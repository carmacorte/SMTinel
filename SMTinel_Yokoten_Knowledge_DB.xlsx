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comments/comment1.xml" ContentType="application/vnd.openxmlformats-officedocument.spreadsheetml.comments+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comments/comment2.xml" ContentType="application/vnd.openxmlformats-officedocument.spreadsheetml.comments+xml"/>
  <Override PartName="/xl/tables/table9.xml" ContentType="application/vnd.openxmlformats-officedocument.spreadsheetml.table+xml"/>
  <Override PartName="/xl/worksheets/sheet12.xml" ContentType="application/vnd.openxmlformats-officedocument.spreadsheetml.worksheet+xml"/>
  <Override PartName="/xl/comments/comment3.xml" ContentType="application/vnd.openxmlformats-officedocument.spreadsheetml.comments+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hange Overview" sheetId="1" state="visible" r:id="rId1"/>
    <sheet xmlns:r="http://schemas.openxmlformats.org/officeDocument/2006/relationships" name="Deviation Radar" sheetId="2" state="visible" r:id="rId2"/>
    <sheet xmlns:r="http://schemas.openxmlformats.org/officeDocument/2006/relationships" name="Deviation Instructions" sheetId="3" state="visible" r:id="rId3"/>
    <sheet xmlns:r="http://schemas.openxmlformats.org/officeDocument/2006/relationships" name="Traducciones ECN ECO" sheetId="4" state="visible" r:id="rId4"/>
    <sheet xmlns:r="http://schemas.openxmlformats.org/officeDocument/2006/relationships" name="Qualification" sheetId="5" state="visible" r:id="rId5"/>
    <sheet xmlns:r="http://schemas.openxmlformats.org/officeDocument/2006/relationships" name="Findings" sheetId="6" state="visible" r:id="rId6"/>
    <sheet xmlns:r="http://schemas.openxmlformats.org/officeDocument/2006/relationships" name="Actions" sheetId="7" state="visible" r:id="rId7"/>
    <sheet xmlns:r="http://schemas.openxmlformats.org/officeDocument/2006/relationships" name="Critical Characteristics" sheetId="8" state="visible" r:id="rId8"/>
    <sheet xmlns:r="http://schemas.openxmlformats.org/officeDocument/2006/relationships" name="Component Cross Reference" sheetId="9" state="visible" r:id="rId9"/>
    <sheet xmlns:r="http://schemas.openxmlformats.org/officeDocument/2006/relationships" name="Instructions" sheetId="10" state="visible" r:id="rId10"/>
    <sheet xmlns:r="http://schemas.openxmlformats.org/officeDocument/2006/relationships" name="Change Register" sheetId="11" state="visible" r:id="rId11"/>
    <sheet xmlns:r="http://schemas.openxmlformats.org/officeDocument/2006/relationships" name="Change Applicability" sheetId="12" state="visible" r:id="rId12"/>
    <sheet xmlns:r="http://schemas.openxmlformats.org/officeDocument/2006/relationships" name="Change Rules" sheetId="13" state="visible" r:id="rId13"/>
    <sheet xmlns:r="http://schemas.openxmlformats.org/officeDocument/2006/relationships" name="Deviation Items" sheetId="14" state="visible" r:id="rId14"/>
    <sheet xmlns:r="http://schemas.openxmlformats.org/officeDocument/2006/relationships" name="Deviation Raw" sheetId="15" state="visible" r:id="rId15"/>
  </sheets>
  <definedNames>
    <definedName name="_xlnm.Print_Titles" localSheetId="1">'Deviation Radar'!$1:$1</definedName>
    <definedName name="_xlnm.Print_Titles" localSheetId="13">'Deviation Items'!$1:$1</definedName>
    <definedName name="_xlnm.Print_Titles" localSheetId="14">'Deviation Raw'!$1:$1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numFmts>
  <fonts count="28">
    <font>
      <name val="Calibri"/>
      <color theme="1"/>
      <sz val="11"/>
    </font>
    <font>
      <name val="Calibri"/>
      <b val="1"/>
      <color rgb="FFFFFFFF"/>
      <sz val="11"/>
    </font>
    <font>
      <name val="Calibri"/>
      <b val="1"/>
      <color rgb="FF33472D"/>
      <sz val="11"/>
    </font>
    <font>
      <name val="Calibri"/>
      <color rgb="FF008000"/>
      <sz val="11"/>
    </font>
    <font>
      <name val="Calibri"/>
      <color rgb="FF666666"/>
      <sz val="11"/>
    </font>
    <font>
      <name val="Calibri"/>
      <b val="1"/>
      <color rgb="00FFFFFF"/>
      <sz val="10"/>
    </font>
    <font>
      <name val="Calibri"/>
      <color rgb="001F4E79"/>
      <sz val="10"/>
    </font>
    <font>
      <name val="Calibri"/>
      <b val="1"/>
      <color rgb="00FFFFFF"/>
    </font>
    <font>
      <name val="Calibri"/>
      <b val="1"/>
      <color rgb="0033472D"/>
      <sz val="10"/>
    </font>
    <font>
      <name val="Calibri"/>
      <color rgb="0033472D"/>
      <sz val="10"/>
    </font>
    <font>
      <name val="Calibri"/>
      <b val="1"/>
      <color rgb="00233329"/>
      <sz val="10"/>
    </font>
    <font>
      <name val="Calibri"/>
      <color rgb="00233329"/>
      <sz val="10"/>
    </font>
    <font>
      <name val="Aptos"/>
      <color rgb="00237453"/>
      <sz val="10"/>
    </font>
    <font>
      <name val="Aptos Display"/>
      <b val="1"/>
      <color rgb="00FFFFFF"/>
      <sz val="10"/>
    </font>
    <font>
      <name val="Aptos"/>
      <color rgb="00695398"/>
      <sz val="10"/>
    </font>
    <font>
      <name val="Aptos Display"/>
      <b val="1"/>
      <color rgb="00FFFFFF"/>
      <sz val="21"/>
    </font>
    <font>
      <name val="Aptos"/>
      <b val="1"/>
      <color rgb="00225D95"/>
      <sz val="13"/>
    </font>
    <font>
      <name val="Aptos"/>
      <b val="1"/>
      <color rgb="00FFFFFF"/>
      <sz val="12"/>
    </font>
    <font>
      <name val="Aptos"/>
      <color rgb="00243322"/>
      <sz val="11"/>
    </font>
    <font>
      <name val="Aptos"/>
      <b val="1"/>
      <color rgb="00237453"/>
      <sz val="13"/>
    </font>
    <font>
      <name val="Aptos"/>
      <color rgb="006B7480"/>
      <sz val="11"/>
    </font>
    <font>
      <name val="Aptos"/>
      <b val="1"/>
      <color rgb="00237453"/>
      <sz val="11"/>
    </font>
    <font>
      <name val="Aptos"/>
      <color rgb="00243322"/>
      <sz val="10"/>
    </font>
    <font>
      <name val="Aptos"/>
      <b val="1"/>
      <color rgb="00FFFFFF"/>
      <sz val="11"/>
    </font>
    <font>
      <name val="Aptos"/>
      <color rgb="0018764E"/>
      <sz val="10"/>
    </font>
    <font>
      <name val="Aptos"/>
      <color rgb="00955F19"/>
      <sz val="10"/>
    </font>
    <font>
      <name val="Aptos"/>
      <b val="1"/>
      <color rgb="00FFFFFF"/>
      <sz val="10"/>
    </font>
    <font>
      <name val="Aptos"/>
      <b val="1"/>
      <color rgb="0023352A"/>
      <sz val="10"/>
    </font>
  </fonts>
  <fills count="16">
    <fill>
      <patternFill/>
    </fill>
    <fill>
      <patternFill patternType="gray125"/>
    </fill>
    <fill>
      <patternFill patternType="solid">
        <fgColor rgb="FF33472D"/>
      </patternFill>
    </fill>
    <fill>
      <patternFill patternType="solid">
        <fgColor rgb="00FFF2CC"/>
      </patternFill>
    </fill>
    <fill>
      <patternFill patternType="solid">
        <fgColor rgb="0033472D"/>
      </patternFill>
    </fill>
    <fill>
      <patternFill patternType="solid">
        <fgColor rgb="00F4F7F2"/>
      </patternFill>
    </fill>
    <fill>
      <patternFill patternType="solid">
        <fgColor rgb="00FFEDDB"/>
      </patternFill>
    </fill>
    <fill>
      <patternFill patternType="solid">
        <fgColor rgb="00F8DDDD"/>
      </patternFill>
    </fill>
    <fill>
      <patternFill patternType="solid">
        <fgColor rgb="00243322"/>
      </patternFill>
    </fill>
    <fill>
      <patternFill patternType="solid">
        <fgColor rgb="00EAF0E8"/>
      </patternFill>
    </fill>
    <fill>
      <patternFill patternType="solid">
        <fgColor rgb="00F7F9F6"/>
      </patternFill>
    </fill>
    <fill>
      <patternFill patternType="solid">
        <fgColor rgb="00F5F7F3"/>
      </patternFill>
    </fill>
    <fill>
      <patternFill patternType="solid">
        <fgColor rgb="00EBF1E9"/>
      </patternFill>
    </fill>
    <fill>
      <patternFill patternType="solid">
        <fgColor rgb="00F2F8F2"/>
      </patternFill>
    </fill>
    <fill>
      <patternFill patternType="solid">
        <fgColor rgb="0032482C"/>
      </patternFill>
    </fill>
    <fill>
      <patternFill patternType="solid">
        <fgColor rgb="00EEF2EC"/>
      </patternFill>
    </fill>
  </fills>
  <borders count="2">
    <border>
      <left/>
      <right/>
      <top/>
      <bottom/>
      <diagonal/>
    </border>
    <border>
      <left/>
      <right/>
      <top/>
      <bottom style="thin">
        <color rgb="FFD7E0DA"/>
      </bottom>
      <diagonal/>
    </border>
  </borders>
  <cellStyleXfs count="1">
    <xf numFmtId="0" fontId="0" fillId="0" borderId="0"/>
  </cellStyleXfs>
  <cellXfs count="51">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2" fillId="0" borderId="1" applyAlignment="1" pivotButton="0" quotePrefix="0" xfId="0">
      <alignment vertical="top" wrapText="1"/>
    </xf>
    <xf numFmtId="164" fontId="0" fillId="0" borderId="1" applyAlignment="1" pivotButton="0" quotePrefix="0" xfId="0">
      <alignment vertical="top" wrapText="1"/>
    </xf>
    <xf numFmtId="0" fontId="1" fillId="2" borderId="0" applyAlignment="1" pivotButton="0" quotePrefix="0" xfId="0">
      <alignment vertical="center"/>
    </xf>
    <xf numFmtId="0" fontId="4"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wrapText="1"/>
    </xf>
    <xf numFmtId="0" fontId="0" fillId="3" borderId="1" applyAlignment="1" pivotButton="0" quotePrefix="0" xfId="0">
      <alignment vertical="top" wrapText="1"/>
    </xf>
    <xf numFmtId="0" fontId="10" fillId="0" borderId="0" applyAlignment="1" pivotButton="0" quotePrefix="0" xfId="0">
      <alignment vertical="center" wrapText="1"/>
    </xf>
    <xf numFmtId="0" fontId="11" fillId="0" borderId="0" applyAlignment="1" pivotButton="0" quotePrefix="0" xfId="0">
      <alignment vertical="center" wrapText="1"/>
    </xf>
    <xf numFmtId="0" fontId="5" fillId="4" borderId="0" applyAlignment="1" pivotButton="0" quotePrefix="0" xfId="0">
      <alignment vertical="center" wrapText="1"/>
    </xf>
    <xf numFmtId="0" fontId="6" fillId="0" borderId="0" applyAlignment="1" pivotButton="0" quotePrefix="0" xfId="0">
      <alignment vertical="center" wrapText="1"/>
    </xf>
    <xf numFmtId="165" fontId="6" fillId="0" borderId="0" applyAlignment="1" pivotButton="0" quotePrefix="0" xfId="0">
      <alignment vertical="center" wrapText="1"/>
    </xf>
    <xf numFmtId="165" fontId="0" fillId="0" borderId="0" pivotButton="0" quotePrefix="0" xfId="0"/>
    <xf numFmtId="0" fontId="7" fillId="4" borderId="0" applyAlignment="1" pivotButton="0" quotePrefix="0" xfId="0">
      <alignment vertical="center"/>
    </xf>
    <xf numFmtId="0" fontId="8" fillId="0" borderId="0" applyAlignment="1" pivotButton="0" quotePrefix="0" xfId="0">
      <alignment vertical="center" wrapText="1"/>
    </xf>
    <xf numFmtId="0" fontId="9" fillId="0" borderId="0" applyAlignment="1" pivotButton="0" quotePrefix="0" xfId="0">
      <alignment vertical="center" wrapText="1"/>
    </xf>
    <xf numFmtId="0" fontId="15" fillId="4" borderId="0" applyAlignment="1" pivotButton="0" quotePrefix="0" xfId="0">
      <alignment vertical="center" indent="1"/>
    </xf>
    <xf numFmtId="165" fontId="16" fillId="0" borderId="0" pivotButton="0" quotePrefix="0" xfId="0"/>
    <xf numFmtId="0" fontId="17" fillId="8" borderId="0" pivotButton="0" quotePrefix="0" xfId="0"/>
    <xf numFmtId="0" fontId="18" fillId="9" borderId="0" pivotButton="0" quotePrefix="0" xfId="0"/>
    <xf numFmtId="0" fontId="19" fillId="9" borderId="0" pivotButton="0" quotePrefix="0" xfId="0"/>
    <xf numFmtId="0" fontId="18" fillId="10" borderId="0" pivotButton="0" quotePrefix="0" xfId="0"/>
    <xf numFmtId="0" fontId="19" fillId="10" borderId="0" pivotButton="0" quotePrefix="0" xfId="0"/>
    <xf numFmtId="0" fontId="18" fillId="11" borderId="0" applyAlignment="1" pivotButton="0" quotePrefix="0" xfId="0">
      <alignment vertical="center" wrapText="1" indent="1"/>
    </xf>
    <xf numFmtId="0" fontId="20" fillId="12" borderId="0" applyAlignment="1" pivotButton="0" quotePrefix="0" xfId="0">
      <alignment vertical="center" wrapText="1" indent="1"/>
    </xf>
    <xf numFmtId="0" fontId="21" fillId="0" borderId="0" applyAlignment="1" pivotButton="0" quotePrefix="0" xfId="0">
      <alignment wrapText="1"/>
    </xf>
    <xf numFmtId="0" fontId="13" fillId="4" borderId="0" applyAlignment="1" pivotButton="0" quotePrefix="0" xfId="0">
      <alignment vertical="center" wrapText="1"/>
    </xf>
    <xf numFmtId="0" fontId="12" fillId="0" borderId="0" applyAlignment="1" pivotButton="0" quotePrefix="0" xfId="0">
      <alignment vertical="center"/>
    </xf>
    <xf numFmtId="165" fontId="12" fillId="0" borderId="0" applyAlignment="1" pivotButton="0" quotePrefix="0" xfId="0">
      <alignment vertical="center"/>
    </xf>
    <xf numFmtId="0" fontId="12" fillId="0" borderId="0" applyAlignment="1" pivotButton="0" quotePrefix="0" xfId="0">
      <alignment vertical="center" wrapText="1"/>
    </xf>
    <xf numFmtId="0" fontId="14" fillId="0" borderId="0" applyAlignment="1" pivotButton="0" quotePrefix="0" xfId="0">
      <alignment vertical="center"/>
    </xf>
    <xf numFmtId="0" fontId="12" fillId="5" borderId="0" applyAlignment="1" pivotButton="0" quotePrefix="0" xfId="0">
      <alignment vertical="center"/>
    </xf>
    <xf numFmtId="0" fontId="12" fillId="5" borderId="0" applyAlignment="1" pivotButton="0" quotePrefix="0" xfId="0">
      <alignment vertical="center" wrapText="1"/>
    </xf>
    <xf numFmtId="165" fontId="12" fillId="5" borderId="0" applyAlignment="1" pivotButton="0" quotePrefix="0" xfId="0">
      <alignment vertical="center"/>
    </xf>
    <xf numFmtId="0" fontId="12" fillId="6" borderId="0" applyAlignment="1" pivotButton="0" quotePrefix="0" xfId="0">
      <alignment vertical="center"/>
    </xf>
    <xf numFmtId="0" fontId="12" fillId="7" borderId="0" applyAlignment="1" pivotButton="0" quotePrefix="0" xfId="0">
      <alignment vertical="center"/>
    </xf>
    <xf numFmtId="0" fontId="22" fillId="0" borderId="0" applyAlignment="1" pivotButton="0" quotePrefix="0" xfId="0">
      <alignment vertical="center" wrapText="1"/>
    </xf>
    <xf numFmtId="0" fontId="21" fillId="0" borderId="0" pivotButton="0" quotePrefix="0" xfId="0"/>
    <xf numFmtId="0" fontId="23" fillId="4" borderId="0" applyAlignment="1" pivotButton="0" quotePrefix="0" xfId="0">
      <alignment vertical="center" wrapText="1"/>
    </xf>
    <xf numFmtId="0" fontId="12" fillId="0" borderId="0" applyAlignment="1" pivotButton="0" quotePrefix="0" xfId="0">
      <alignment vertical="center"/>
    </xf>
    <xf numFmtId="0" fontId="26" fillId="14" borderId="0" pivotButton="0" quotePrefix="0" xfId="0"/>
    <xf numFmtId="0" fontId="0" fillId="14" borderId="0" applyAlignment="1" pivotButton="0" quotePrefix="0" xfId="0">
      <alignment vertical="center" wrapText="1"/>
    </xf>
    <xf numFmtId="0" fontId="27" fillId="15" borderId="0" pivotButton="0" quotePrefix="0" xfId="0"/>
    <xf numFmtId="0" fontId="0" fillId="0" borderId="0" applyAlignment="1" pivotButton="0" quotePrefix="0" xfId="0">
      <alignment vertical="center" wrapText="1"/>
    </xf>
    <xf numFmtId="0" fontId="5" fillId="4" borderId="0" applyAlignment="1" pivotButton="0" quotePrefix="0" xfId="0">
      <alignment horizontal="center" vertical="center" wrapText="1"/>
    </xf>
    <xf numFmtId="0" fontId="24" fillId="13" borderId="0" applyAlignment="1" pivotButton="0" quotePrefix="0" xfId="0">
      <alignment vertical="top" wrapText="1"/>
    </xf>
    <xf numFmtId="0" fontId="25" fillId="0" borderId="0" applyAlignment="1" pivotButton="0" quotePrefix="0" xfId="0">
      <alignment wrapText="1"/>
    </xf>
  </cellXfs>
  <cellStyles count="1">
    <cellStyle name="Normal" xfId="0"/>
  </cellStyles>
  <dxfs count="2">
    <dxf>
      <fill>
        <patternFill patternType="solid">
          <fgColor rgb="00FFF0D7"/>
        </patternFill>
      </fill>
    </dxf>
    <dxf>
      <fill>
        <patternFill patternType="solid">
          <fgColor rgb="00FBE2D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OpenAI</author>
  </authors>
  <commentList>
    <comment ref="N1" authorId="0" shapeId="0">
      <text>
        <t>Número de parte del componente. Puede quedar vacío mientras esté pendiente de confirmación.</t>
      </text>
    </comment>
    <comment ref="O1" authorId="0" shapeId="0">
      <text>
        <t>Referencia de componente en la PCB, por ejemplo J9, J73 o J8.</t>
      </text>
    </comment>
    <comment ref="P1" authorId="0" shapeId="0">
      <text>
        <t>Y = la acción controla directamente ese componente. Con Product + RefDes + Active=Y, Yokoten la publica como referencia crítica.</t>
      </text>
    </comment>
    <comment ref="Q1" authorId="0" shapeId="0">
      <text>
        <t>Motivo normalizado: Escape, Sin cobertura, Orientación, Daño físico, Proceso especial u Otro.</t>
      </text>
    </comment>
    <comment ref="R1" authorId="0" shapeId="0">
      <text>
        <t>Explicación corta de por qué la referencia se considera crítica.</t>
      </text>
    </comment>
    <comment ref="S1" authorId="0" shapeId="0">
      <text>
        <t>Origen de la condición: cliente, FVN, 8D, Action Tracker, etc.</t>
      </text>
    </comment>
    <comment ref="T1" authorId="0" shapeId="0">
      <text>
        <t>Condición corta que Yokoten muestra junto al RefDes.</t>
      </text>
    </comment>
  </commentList>
</comments>
</file>

<file path=xl/comments/comment2.xml><?xml version="1.0" encoding="utf-8"?>
<comments xmlns="http://schemas.openxmlformats.org/spreadsheetml/2006/main">
  <authors>
    <author>SMTinel Knowledge</author>
  </authors>
  <commentList>
    <comment ref="A1" authorId="0" shapeId="0">
      <text>
        <t>Clave interna única y estable del documento y revisión. Se utiliza como relación foránea con Change Applicability.</t>
      </text>
    </comment>
    <comment ref="B1" authorId="0" shapeId="0">
      <text>
        <t>ECN, ECO o DEVIATION. La calificación MPN global puede representarse como ECO/ECN según la fuente.</t>
      </text>
    </comment>
    <comment ref="F1" authorId="0" shapeId="0">
      <text>
        <t>Approved requiere evidencia oficial. Draft/Pending nunca permite liberar por excepción.</t>
      </text>
    </comment>
    <comment ref="G1" authorId="0" shapeId="0">
      <text>
        <t>Estado documental; la vigencia REAL se evalúa también con fechas, WO y alcance.</t>
      </text>
    </comment>
    <comment ref="H1" authorId="0" shapeId="0">
      <text>
        <t>FJZ / GLOBAL_AVL / OTHER_SITE / MULTI_SITE. La globalidad no sustituye el match de BOM.</t>
      </text>
    </comment>
    <comment ref="J1" authorId="0" shapeId="0">
      <text>
        <t>Documento autorizado relacionado (ECO origen de ECN, desviación que excepciona un ECO, etc.).</t>
      </text>
    </comment>
    <comment ref="L1" authorId="0" shapeId="0">
      <text>
        <t>Fecha/hora de entrada en vigor cuando la fuente oficial la especifica.</t>
      </text>
    </comment>
    <comment ref="M1" authorId="0" shapeId="0">
      <text>
        <t>Vencimiento de desviación o cese documentado. Vacío no implica vigencia indefinida para DEVIATION.</t>
      </text>
    </comment>
    <comment ref="N1" authorId="0" shapeId="0">
      <text>
        <t>Se evalúa sobre WO de corrida como límite inclusivo, solo si el documento utiliza este criterio.</t>
      </text>
    </comment>
    <comment ref="O1" authorId="0" shapeId="0">
      <text>
        <t>Se evalúa sobre WO de corrida como límite inclusivo.</t>
      </text>
    </comment>
    <comment ref="P1" authorId="0" shapeId="0">
      <text>
        <t>Vínculo a documento controlado (preferentemente URL HTTPS accesible internamente).</t>
      </text>
    </comment>
    <comment ref="T1" authorId="0" shapeId="0">
      <text>
        <t>Y publica a la base. No significa que la desviación esté activa temporalmente.</t>
      </text>
    </comment>
  </commentList>
</comments>
</file>

<file path=xl/comments/comment3.xml><?xml version="1.0" encoding="utf-8"?>
<comments xmlns="http://schemas.openxmlformats.org/spreadsheetml/2006/main">
  <authors>
    <author>SMTinel Knowledge</author>
  </authors>
  <commentList>
    <comment ref="B1" authorId="0" shapeId="0">
      <text>
        <t>Código/familia que CommonDB asigna a la corrida. Debe coincidir exactamente; no hacer coincidencias parciales.</t>
      </text>
    </comment>
    <comment ref="C1" authorId="0" shapeId="0">
      <text>
        <t>Revisión de la PCBA; ANY solo con alcance oficial a todas las revisiones. Vacío = sin verificar, no comodín.</t>
      </text>
    </comment>
    <comment ref="D1" authorId="0" shapeId="0">
      <text>
        <t>Número de tablilla 73-..., o ALL_IN_SKU si está oficialmente probado alcance completo. Vacío = incompleto.</t>
      </text>
    </comment>
    <comment ref="E1" authorId="0" shapeId="0">
      <text>
        <t>Debe existir en Change Register, mismo texto exacto.</t>
      </text>
    </comment>
    <comment ref="F1" authorId="0" shapeId="0">
      <text>
        <t>FJZ, FVN, GLOBAL_AVL u otra planta autorizada por la fuente.</t>
      </text>
    </comment>
    <comment ref="I1" authorId="0" shapeId="0">
      <text>
        <t>Usar si solo cierta Work Order está aprobada. Almacenar como texto.</t>
      </text>
    </comment>
    <comment ref="J1" authorId="0" shapeId="0">
      <text>
        <t>Rango de WO inclusivo, no hacer comparación lexicográfica.</t>
      </text>
    </comment>
    <comment ref="K1" authorId="0" shapeId="0">
      <text>
        <t>Rango de WO inclusivo, no hacer comparación lexicográfica.</t>
      </text>
    </comment>
    <comment ref="M1" authorId="0" shapeId="0">
      <text>
        <t>Material que se sustituye o restringe, si la fuente lo indica.</t>
      </text>
    </comment>
    <comment ref="N1" authorId="0" shapeId="0">
      <text>
        <t>CPN obligatorio después de implementación, si aplica.</t>
      </text>
    </comment>
    <comment ref="O1" authorId="0" shapeId="0">
      <text>
        <t>Alternativa temporal oficial. Listar solo si aparece expresamente en documento, separada por punto y coma.</t>
      </text>
    </comment>
    <comment ref="Q1" authorId="0" shapeId="0">
      <text>
        <t>BOARD = aplicación específica PCBA; SKU_FAMILY = toda familia aprobada; COMPONENT_BOM = si CPN está en BOM; WO_SPECIFIC = orden específica.</t>
      </text>
    </comment>
    <comment ref="S1" authorId="0" shapeId="0">
      <text>
        <t>Evento en que SMTinel debe solicitar revisión: PRE_WO, MATERIAL_LOAD, FIRST_ARTICLE, PRE_RELEASE, REQUALIFICATION, INFO.</t>
      </text>
    </comment>
    <comment ref="X1" authorId="0" shapeId="0">
      <text>
        <t>BLOCK, VALIDATE, INFO; la prioridad no sustituye validación de estado/efectividad.</t>
      </text>
    </comment>
    <comment ref="Z1" authorId="0" shapeId="0">
      <text>
        <t>Verified solo después de cotejar con documento oficial y validar SKU/revisión/PCBA/WO.</t>
      </text>
    </comment>
    <comment ref="AA1" authorId="0" shapeId="0">
      <text>
        <t>Y habilita publicación si documento también está publicado y validado.</t>
      </text>
    </comment>
    <comment ref="AB1" authorId="0" shapeId="0">
      <text>
        <t>Enlace a fuente del alcance específico cuando difiera del documento general.</t>
      </text>
    </comment>
  </commentList>
</comments>
</file>

<file path=xl/tables/table1.xml><?xml version="1.0" encoding="utf-8"?>
<table xmlns="http://schemas.openxmlformats.org/spreadsheetml/2006/main" id="1" name="DeviationRadar" displayName="DeviationRadar" ref="A1:O488" headerRowCount="1">
  <autoFilter ref="A1:O488"/>
  <tableColumns count="15">
    <tableColumn id="1" name="CTAN Number"/>
    <tableColumn id="2" name="Cisco Deviation"/>
    <tableColumn id="3" name="BU"/>
    <tableColumn id="4" name="Workflow Status (source)"/>
    <tableColumn id="5" name="Date Released (source)"/>
    <tableColumn id="6" name="Effective To (source)"/>
    <tableColumn id="7" name="CSV Rows"/>
    <tableColumn id="8" name="Unique Items"/>
    <tableColumn id="9" name="PCBA PN Candidates"/>
    <tableColumn id="10" name="Known SKU Matches"/>
    <tableColumn id="11" name="Source Conflicts"/>
    <tableColumn id="12" name="Date Window (screening)"/>
    <tableColumn id="13" name="Release Status (screening)"/>
    <tableColumn id="14" name="Review Priority"/>
    <tableColumn id="15" name="Next Action"/>
  </tableColumns>
  <tableStyleInfo name="TableStyleMedium4" showRowStripes="1"/>
</table>
</file>

<file path=xl/tables/table2.xml><?xml version="1.0" encoding="utf-8"?>
<table xmlns="http://schemas.openxmlformats.org/spreadsheetml/2006/main" id="2" name="DeviationInstructions" displayName="DeviationInstructions" ref="A1:P9" headerRowCount="1">
  <autoFilter ref="A1:P9"/>
  <tableColumns count="16">
    <tableColumn id="1" name="CTAN Number"/>
    <tableColumn id="2" name="Customer Deviation#"/>
    <tableColumn id="3" name="SKU (document text)"/>
    <tableColumn id="4" name="Target PN"/>
    <tableColumn id="5" name="RefDes"/>
    <tableColumn id="6" name="Change Operation"/>
    <tableColumn id="7" name="Old / Remove CPN"/>
    <tableColumn id="8" name="New / Add CPN"/>
    <tableColumn id="9" name="Proposed Validation"/>
    <tableColumn id="10" name="Source Excerpt (verbatim)"/>
    <tableColumn id="11" name="Source Workflow"/>
    <tableColumn id="12" name="Effective Until (source)"/>
    <tableColumn id="13" name="Auto Gate"/>
    <tableColumn id="14" name="Review State"/>
    <tableColumn id="15" name="Source File"/>
    <tableColumn id="16" name="Critical Note"/>
  </tableColumns>
  <tableStyleInfo name="TableStyleMedium4" showRowStripes="1"/>
</table>
</file>

<file path=xl/tables/table3.xml><?xml version="1.0" encoding="utf-8"?>
<table xmlns="http://schemas.openxmlformats.org/spreadsheetml/2006/main" id="3" name="Knowledge1" displayName="Knowledge1" ref="A1:O3" headerRowCount="1" totalsRowShown="0">
  <tableColumns count="15">
    <tableColumn id="1" name="Record ID"/>
    <tableColumn id="2" name="Product"/>
    <tableColumn id="3" name="Part Number"/>
    <tableColumn id="4" name="Rev"/>
    <tableColumn id="5" name="Side"/>
    <tableColumn id="6" name="Line"/>
    <tableColumn id="7" name="Status"/>
    <tableColumn id="8" name="P&amp;P Program"/>
    <tableColumn id="9" name="AOI Library"/>
    <tableColumn id="10" name="Last Qualification"/>
    <tableColumn id="11" name="Owner"/>
    <tableColumn id="12" name="FAI Link"/>
    <tableColumn id="13" name="SOP Link"/>
    <tableColumn id="14" name="Notes"/>
    <tableColumn id="15" name="Active"/>
  </tableColumns>
  <tableStyleInfo name="TableStyleMedium2" showFirstColumn="0" showLastColumn="0" showRowStripes="0" showColumnStripes="0"/>
</table>
</file>

<file path=xl/tables/table4.xml><?xml version="1.0" encoding="utf-8"?>
<table xmlns="http://schemas.openxmlformats.org/spreadsheetml/2006/main" id="4" name="Knowledge2" displayName="Knowledge2" ref="A1:Q25" headerRowCount="1" totalsRowCount="0" totalsRowShown="0">
  <tableColumns count="17">
    <tableColumn id="1" name="Finding ID"/>
    <tableColumn id="2" name="Scope"/>
    <tableColumn id="3" name="Product"/>
    <tableColumn id="4" name="Part Number"/>
    <tableColumn id="5" name="Component CPN"/>
    <tableColumn id="6" name="RefDes"/>
    <tableColumn id="7" name="Rev"/>
    <tableColumn id="8" name="Line"/>
    <tableColumn id="9" name="Finding"/>
    <tableColumn id="10" name="Critical Characteristic"/>
    <tableColumn id="11" name="Migration Gate"/>
    <tableColumn id="12" name="Severity"/>
    <tableColumn id="13" name="Source"/>
    <tableColumn id="14" name="8D / LL Link"/>
    <tableColumn id="15" name="Status"/>
    <tableColumn id="16" name="Owner"/>
    <tableColumn id="17" name="Active"/>
  </tableColumns>
  <tableStyleInfo name="TableStyleMedium2" showFirstColumn="0" showLastColumn="0" showRowStripes="0" showColumnStripes="0"/>
</table>
</file>

<file path=xl/tables/table5.xml><?xml version="1.0" encoding="utf-8"?>
<table xmlns="http://schemas.openxmlformats.org/spreadsheetml/2006/main" id="5" name="Knowledge3" displayName="Knowledge3" ref="A1:T73" headerRowCount="1">
  <autoFilter ref="A1:T73"/>
  <tableColumns count="20">
    <tableColumn id="1" name="Action ID"/>
    <tableColumn id="2" name="Finding ID"/>
    <tableColumn id="3" name="Product"/>
    <tableColumn id="4" name="Part Number"/>
    <tableColumn id="5" name="Rev"/>
    <tableColumn id="6" name="Line"/>
    <tableColumn id="7" name="Owner"/>
    <tableColumn id="8" name="Action"/>
    <tableColumn id="9" name="Due Date"/>
    <tableColumn id="10" name="Status"/>
    <tableColumn id="11" name="Evidence Link"/>
    <tableColumn id="12" name="Closure Note"/>
    <tableColumn id="13" name="Active"/>
    <tableColumn id="14" name="Component CPN"/>
    <tableColumn id="15" name="RefDes"/>
    <tableColumn id="16" name="Direct Component Control"/>
    <tableColumn id="17" name="Critical Category"/>
    <tableColumn id="18" name="Critical Reason"/>
    <tableColumn id="19" name="Critical Source"/>
    <tableColumn id="20" name="Critical Condition"/>
  </tableColumns>
  <tableStyleInfo name="TableStyleMedium2" showFirstColumn="0" showLastColumn="0" showRowStripes="1" showColumnStripes="0"/>
</table>
</file>

<file path=xl/tables/table6.xml><?xml version="1.0" encoding="utf-8"?>
<table xmlns="http://schemas.openxmlformats.org/spreadsheetml/2006/main" id="6" name="Knowledge4" displayName="Knowledge4" ref="A1:N20" headerRowCount="1" totalsRowCount="0" totalsRowShown="0">
  <tableColumns count="14">
    <tableColumn id="1" name="CC ID"/>
    <tableColumn id="2" name="Scope"/>
    <tableColumn id="3" name="Product"/>
    <tableColumn id="4" name="Part Number"/>
    <tableColumn id="5" name="Rev"/>
    <tableColumn id="6" name="Line"/>
    <tableColumn id="7" name="Component CPN"/>
    <tableColumn id="8" name="RefDes"/>
    <tableColumn id="9" name="Characteristic"/>
    <tableColumn id="10" name="Control / Detection"/>
    <tableColumn id="11" name="Migration Requirement"/>
    <tableColumn id="12" name="Source"/>
    <tableColumn id="13" name="Owner"/>
    <tableColumn id="14" name="Active"/>
  </tableColumns>
  <tableStyleInfo name="TableStyleMedium2" showFirstColumn="0" showLastColumn="0" showRowStripes="0" showColumnStripes="0"/>
</table>
</file>

<file path=xl/tables/table7.xml><?xml version="1.0" encoding="utf-8"?>
<table xmlns="http://schemas.openxmlformats.org/spreadsheetml/2006/main" id="7" name="Knowledge5" displayName="Knowledge5" ref="A1:L13" headerRowCount="1" totalsRowCount="0" totalsRowShown="0">
  <tableColumns count="12">
    <tableColumn id="1" name="Mapping ID"/>
    <tableColumn id="2" name="Component CPN"/>
    <tableColumn id="3" name="Product"/>
    <tableColumn id="4" name="Board Part Number"/>
    <tableColumn id="5" name="Rev"/>
    <tableColumn id="6" name="RefDes"/>
    <tableColumn id="7" name="Side"/>
    <tableColumn id="8" name="MPN"/>
    <tableColumn id="9" name="Description"/>
    <tableColumn id="10" name="Source"/>
    <tableColumn id="11" name="Notes"/>
    <tableColumn id="12" name="Active"/>
  </tableColumns>
  <tableStyleInfo name="TableStyleMedium2" showFirstColumn="0" showLastColumn="0" showRowStripes="0" showColumnStripes="0"/>
</table>
</file>

<file path=xl/tables/table8.xml><?xml version="1.0" encoding="utf-8"?>
<table xmlns="http://schemas.openxmlformats.org/spreadsheetml/2006/main" id="8" name="Knowledge6" displayName="Knowledge6" ref="A1:B41" headerRowCount="1" totalsRowCount="0" totalsRowShown="0">
  <tableColumns count="2">
    <tableColumn id="1" name="Section"/>
    <tableColumn id="2" name="Guidance"/>
  </tableColumns>
  <tableStyleInfo name="TableStyleMedium2" showFirstColumn="0" showLastColumn="0" showRowStripes="0" showColumnStripes="0"/>
</table>
</file>

<file path=xl/tables/table9.xml><?xml version="1.0" encoding="utf-8"?>
<table xmlns="http://schemas.openxmlformats.org/spreadsheetml/2006/main" id="9" name="Knowledge7" displayName="Knowledge7" ref="A1:U488" headerRowCount="1">
  <autoFilter ref="A1:U488"/>
  <tableColumns count="21">
    <tableColumn id="1" name="Change ID"/>
    <tableColumn id="2" name="Document Type"/>
    <tableColumn id="3" name="Document Number"/>
    <tableColumn id="4" name="Document Revision"/>
    <tableColumn id="5" name="Change Description"/>
    <tableColumn id="6" name="Approval Status"/>
    <tableColumn id="7" name="Document State"/>
    <tableColumn id="8" name="Scope Class"/>
    <tableColumn id="9" name="BU"/>
    <tableColumn id="10" name="Related Document"/>
    <tableColumn id="11" name="Approval Date"/>
    <tableColumn id="12" name="Effective From"/>
    <tableColumn id="13" name="Effective Until"/>
    <tableColumn id="14" name="Effective WO From"/>
    <tableColumn id="15" name="Effective WO Until"/>
    <tableColumn id="16" name="Official Source URL"/>
    <tableColumn id="17" name="Engineering Owner"/>
    <tableColumn id="18" name="Quality Reviewer"/>
    <tableColumn id="19" name="Review Date"/>
    <tableColumn id="20" name="Active"/>
    <tableColumn id="21" name="Notes"/>
  </tableColumns>
  <tableStyleInfo name="TableStyleMedium2" showFirstColumn="0" showLastColumn="0" showRowStripes="1" showColumnStripes="0"/>
</table>
</file>

<file path=xl/tables/table10.xml><?xml version="1.0" encoding="utf-8"?>
<table xmlns="http://schemas.openxmlformats.org/spreadsheetml/2006/main" id="10" name="Knowledge8" displayName="Knowledge8" ref="A1:AC548" headerRowCount="1">
  <autoFilter ref="A1:AC548"/>
  <tableColumns count="29">
    <tableColumn id="1" name="Applicability ID"/>
    <tableColumn id="2" name="SKU"/>
    <tableColumn id="3" name="PCBA Rev"/>
    <tableColumn id="4" name="PCBA Part Number"/>
    <tableColumn id="5" name="Change ID"/>
    <tableColumn id="6" name="Plant"/>
    <tableColumn id="7" name="BU"/>
    <tableColumn id="8" name="Line"/>
    <tableColumn id="9" name="WO Exact"/>
    <tableColumn id="10" name="WO From"/>
    <tableColumn id="11" name="WO Until"/>
    <tableColumn id="12" name="RefDes"/>
    <tableColumn id="13" name="Component CPN Old"/>
    <tableColumn id="14" name="Component CPN New"/>
    <tableColumn id="15" name="Approved Alternate CPN"/>
    <tableColumn id="16" name="MPN"/>
    <tableColumn id="17" name="Applicability Class"/>
    <tableColumn id="18" name="Required Action"/>
    <tableColumn id="19" name="Release Gate"/>
    <tableColumn id="20" name="Validation Method"/>
    <tableColumn id="21" name="Evidence Required"/>
    <tableColumn id="22" name="Scope Effective From"/>
    <tableColumn id="23" name="Scope Effective Until"/>
    <tableColumn id="24" name="Priority"/>
    <tableColumn id="25" name="Responsible"/>
    <tableColumn id="26" name="Curation Status"/>
    <tableColumn id="27" name="Active"/>
    <tableColumn id="28" name="Source Link"/>
    <tableColumn id="29" name="Notes"/>
  </tableColumns>
  <tableStyleInfo name="TableStyleMedium2" showFirstColumn="0" showLastColumn="0" showRowStripes="1" showColumnStripes="0"/>
</table>
</file>

<file path=xl/tables/table11.xml><?xml version="1.0" encoding="utf-8"?>
<table xmlns="http://schemas.openxmlformats.org/spreadsheetml/2006/main" id="11" name="Knowledge9" displayName="Knowledge9" ref="A1:B38" headerRowCount="1">
  <autoFilter ref="A1:B38"/>
  <tableColumns count="2">
    <tableColumn id="1" name="Control"/>
    <tableColumn id="2" name="Regla / Contrato de importación"/>
  </tableColumns>
  <tableStyleInfo name="TableStyleMedium2" showRowStripes="1"/>
</table>
</file>

<file path=xl/tables/table12.xml><?xml version="1.0" encoding="utf-8"?>
<table xmlns="http://schemas.openxmlformats.org/spreadsheetml/2006/main" id="12" name="DeviationItems" displayName="DeviationItems" ref="A1:Q1787" headerRowCount="1">
  <autoFilter ref="A1:Q1787"/>
  <tableColumns count="17">
    <tableColumn id="1" name="Number"/>
    <tableColumn id="2" name="Customer Deviation#"/>
    <tableColumn id="3" name="BU"/>
    <tableColumn id="4" name="Source Site"/>
    <tableColumn id="5" name="Source Plant"/>
    <tableColumn id="6" name="Scope Item PN"/>
    <tableColumn id="7" name="Scope Item Type"/>
    <tableColumn id="8" name="Known SKU (Yokoten)"/>
    <tableColumn id="9" name="Source Workflow Status"/>
    <tableColumn id="10" name="Effective Until (source)"/>
    <tableColumn id="11" name="Date Released (source)"/>
    <tableColumn id="12" name="Source Row IDs"/>
    <tableColumn id="13" name="Duplicate Rows"/>
    <tableColumn id="14" name="Conflicting Values"/>
    <tableColumn id="15" name="FJZ Applicability"/>
    <tableColumn id="16" name="Review State"/>
    <tableColumn id="17" name="Required Evidence"/>
  </tableColumns>
  <tableStyleInfo name="TableStyleMedium4" showRowStripes="1"/>
</table>
</file>

<file path=xl/tables/table13.xml><?xml version="1.0" encoding="utf-8"?>
<table xmlns="http://schemas.openxmlformats.org/spreadsheetml/2006/main" id="13" name="DeviationRaw" displayName="DeviationRaw" ref="A1:U1891" headerRowCount="1">
  <autoFilter ref="A1:U1891"/>
  <tableColumns count="21">
    <tableColumn id="1" name="CSV Row"/>
    <tableColumn id="2" name="Item #"/>
    <tableColumn id="3" name="Site"/>
    <tableColumn id="4" name="Customer"/>
    <tableColumn id="5" name="Plant"/>
    <tableColumn id="6" name="BU"/>
    <tableColumn id="7" name="Number"/>
    <tableColumn id="8" name="Reason Code"/>
    <tableColumn id="9" name="Deviation Type"/>
    <tableColumn id="10" name="Customer Deviation#"/>
    <tableColumn id="11" name="Descrition of Change"/>
    <tableColumn id="12" name="Status"/>
    <tableColumn id="13" name="Item Number"/>
    <tableColumn id="14" name="Effective From"/>
    <tableColumn id="15" name="Effective To"/>
    <tableColumn id="16" name="Reason Code(Page Two)"/>
    <tableColumn id="17" name="Marking Instructions"/>
    <tableColumn id="18" name="Date Originated"/>
    <tableColumn id="19" name="Date Released"/>
    <tableColumn id="20" name="Implementation Status"/>
    <tableColumn id="21" name="TE/PE Comment"/>
  </tableColumns>
  <tableStyleInfo name="TableStyleMedium4"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2.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3.xml.rels><Relationships xmlns="http://schemas.openxmlformats.org/package/2006/relationships"><Relationship Type="http://schemas.openxmlformats.org/officeDocument/2006/relationships/table" Target="/xl/tables/table11.xml" Id="rId1"/></Relationships>
</file>

<file path=xl/worksheets/_rels/sheet14.xml.rels><Relationships xmlns="http://schemas.openxmlformats.org/package/2006/relationships"><Relationship Type="http://schemas.openxmlformats.org/officeDocument/2006/relationships/table" Target="/xl/tables/table12.xml" Id="rId1"/></Relationships>
</file>

<file path=xl/worksheets/_rels/sheet15.xml.rels><Relationships xmlns="http://schemas.openxmlformats.org/package/2006/relationships"><Relationship Type="http://schemas.openxmlformats.org/officeDocument/2006/relationships/table" Target="/xl/tables/table13.xml" Id="rId1"/></Relationships>
</file>

<file path=xl/worksheets/sheet1.xml><?xml version="1.0" encoding="utf-8"?>
<worksheet xmlns="http://schemas.openxmlformats.org/spreadsheetml/2006/main">
  <sheetPr>
    <tabColor rgb="0033472D"/>
    <outlinePr summaryBelow="1" summaryRight="1"/>
    <pageSetUpPr/>
  </sheetPr>
  <dimension ref="A1:F34"/>
  <sheetViews>
    <sheetView showGridLines="0" workbookViewId="0">
      <pane ySplit="7" topLeftCell="A8" activePane="bottomLeft" state="frozen"/>
      <selection pane="bottomLeft" activeCell="A1" sqref="A1"/>
    </sheetView>
  </sheetViews>
  <sheetFormatPr baseColWidth="8" defaultRowHeight="15"/>
  <cols>
    <col width="39" customWidth="1" min="1" max="1"/>
    <col width="26" customWidth="1" min="2" max="2"/>
    <col width="26" customWidth="1" min="3" max="3"/>
    <col width="26" customWidth="1" min="4" max="4"/>
    <col width="26" customWidth="1" min="5" max="5"/>
    <col width="26" customWidth="1" min="6" max="6"/>
  </cols>
  <sheetData>
    <row r="1" ht="29" customHeight="1">
      <c r="A1" s="20" t="inlineStr">
        <is>
          <t>SMTinel  |  YOKOTEN  |  DEVIATION CONTROL</t>
        </is>
      </c>
    </row>
    <row r="2" ht="29" customHeight="1"/>
    <row r="4">
      <c r="A4" t="inlineStr">
        <is>
          <t>Fuente de importacion</t>
        </is>
      </c>
      <c r="B4" t="inlineStr">
        <is>
          <t>Deviation.csv</t>
        </is>
      </c>
    </row>
    <row r="5">
      <c r="A5" t="inlineStr">
        <is>
          <t>Fecha de evaluacion</t>
        </is>
      </c>
      <c r="B5" s="21" t="n">
        <v>46310</v>
      </c>
    </row>
    <row r="7">
      <c r="A7" s="22" t="inlineStr">
        <is>
          <t>INDICADORES DEL MAESTRO</t>
        </is>
      </c>
    </row>
    <row r="9" ht="28" customHeight="1">
      <c r="A9" s="23" t="inlineStr">
        <is>
          <t>Desviaciones en registro</t>
        </is>
      </c>
      <c r="B9" s="24">
        <f>COUNTA('Change Register'!A2:A3000)</f>
        <v/>
      </c>
    </row>
    <row r="10" ht="28" customHeight="1">
      <c r="A10" s="25" t="inlineStr">
        <is>
          <t>Registros CSV originales</t>
        </is>
      </c>
      <c r="B10" s="26">
        <f>COUNTA('Deviation Raw'!A2:A5000)</f>
        <v/>
      </c>
    </row>
    <row r="11" ht="28" customHeight="1">
      <c r="A11" s="23" t="inlineStr">
        <is>
          <t>Combinaciones unicas CTAN + BU + PN</t>
        </is>
      </c>
      <c r="B11" s="24">
        <f>COUNTA('Deviation Items'!A2:A4000)</f>
        <v/>
      </c>
    </row>
    <row r="12" ht="28" customHeight="1">
      <c r="A12" s="25" t="inlineStr">
        <is>
          <t>Candidatos PCBA PN a validar</t>
        </is>
      </c>
      <c r="B12" s="26">
        <f>COUNTA('Change Applicability'!A2:A3000)</f>
        <v/>
      </c>
    </row>
    <row r="13" ht="28" customHeight="1">
      <c r="A13" s="23" t="inlineStr">
        <is>
          <t>Desviaciones con fecha fin abierta</t>
        </is>
      </c>
      <c r="B13" s="24">
        <f>COUNTIF('Deviation Radar'!L2:L3000,"END DATE NOT PASSED")</f>
        <v/>
      </c>
    </row>
    <row r="14" ht="28" customHeight="1">
      <c r="A14" s="25" t="inlineStr">
        <is>
          <t>Desviaciones con conflictos en status/alcance</t>
        </is>
      </c>
      <c r="B14" s="26">
        <f>COUNTIF('Deviation Radar'!K2:K3000,"?*")</f>
        <v/>
      </c>
    </row>
    <row r="15" ht="28" customHeight="1">
      <c r="A15" s="23" t="inlineStr">
        <is>
          <t>Alertas certificadas listas para SMTinel</t>
        </is>
      </c>
      <c r="B15" s="24">
        <f>COUNTIFS('Change Applicability'!Z2:Z3000,"Verified",'Change Applicability'!AA2:AA3000,"Y")</f>
        <v/>
      </c>
    </row>
    <row r="16" ht="28" customHeight="1">
      <c r="A16" s="25" t="inlineStr">
        <is>
          <t>Part Numbers excluidos de FJZ</t>
        </is>
      </c>
      <c r="B16" s="26">
        <f>COUNTIF('Deviation Items'!O2:O4000,"EXCLUDED - FJZ RULE")</f>
        <v/>
      </c>
    </row>
    <row r="19">
      <c r="A19" s="22" t="inlineStr">
        <is>
          <t>CRITERIOS DE PUBLICACION Y CONTROL</t>
        </is>
      </c>
    </row>
    <row r="21" ht="42" customHeight="1">
      <c r="A21" s="27" t="inlineStr">
        <is>
          <t>• El CSV es un export del workflow: no contiene documento firmado, revision PCBA, WO ni fecha efectiva inicial. No autorizar material con estos datos.</t>
        </is>
      </c>
    </row>
    <row r="22" ht="42" customHeight="1">
      <c r="A22" s="28" t="inlineStr">
        <is>
          <t>• Fecha fin abierta NO equivale a desviacion aprobada ni activa. El estado CCB, FAI Status o Implementation se muestra como fuente sin convertirlo a Approved.</t>
        </is>
      </c>
    </row>
    <row r="23" ht="42" customHeight="1">
      <c r="A23" s="27" t="inlineStr">
        <is>
          <t>• Change Register conserva 1 fila por CTAN; Change Applicability incluye solo PN 73- como posibles PCBAs, todos Pending Review / Active=N.</t>
        </is>
      </c>
    </row>
    <row r="24" ht="42" customHeight="1">
      <c r="A24" s="28" t="inlineStr">
        <is>
          <t>• Deviation Items relaciona todos los numeros de parte (incluyendo CPN, chassis, PCB y ensambles) sin asumir que son un PCBA o material anterior/nuevo.</t>
        </is>
      </c>
    </row>
    <row r="25" ht="42" customHeight="1">
      <c r="A25" s="27" t="inlineStr">
        <is>
          <t>• Deviation Raw preserva las 1,890 filas originales y evidencia de origen. Deviation Radar resume estados y candidatos para curacion.</t>
        </is>
      </c>
    </row>
    <row r="26" ht="42" customHeight="1">
      <c r="A26" s="28" t="inlineStr">
        <is>
          <t>• Coincidencias SKU: solo se heredan de numeros de parte IDENTICOS ya documentados en las hojas previas de Yokoten.</t>
        </is>
      </c>
    </row>
    <row r="27" ht="42" customHeight="1">
      <c r="A27" s="27" t="inlineStr">
        <is>
          <t>• No aplicar automaticamente PN 73-19152-02 o 17-15768-01 en FJZ. Buscar caso explicito en documento y Common DB antes de reconsiderar.</t>
        </is>
      </c>
    </row>
    <row r="28" ht="42" customHeight="1">
      <c r="A28" s="28" t="inlineStr">
        <is>
          <t>• Para alertas operativas: verificar aprobacion oficial, revision, BOM/AVL, WO, fecha de corrida, sitio y orden de cambio. Luego marcar Verified + Active=Y.</t>
        </is>
      </c>
    </row>
    <row r="29" ht="42" customHeight="1">
      <c r="A29" s="27" t="inlineStr">
        <is>
          <t>• Se conserva la estructura ECN/ECO creada antes, pero el CSV solo contiene DEVIATIONS. Importar ECN y ECO en etapa posterior.</t>
        </is>
      </c>
    </row>
    <row r="32" ht="32" customHeight="1">
      <c r="A32" s="29" t="inlineStr">
        <is>
          <t>ORDEN RECOMENDADO: SKU → REVISION → PCBA PN → DOCUMENTO → COMPONENTE → VIGENCIA → EVIDENCIA.</t>
        </is>
      </c>
    </row>
    <row r="34" ht="30" customHeight="1">
      <c r="A34" s="41" t="inlineStr">
        <is>
          <t>Detalle para revisar cambios de materiales: hoja Deviation Instructions (8 instrucciones extraidas de 3 desviaciones).</t>
        </is>
      </c>
    </row>
  </sheetData>
  <mergeCells count="14">
    <mergeCell ref="A24:F24"/>
    <mergeCell ref="A28:F28"/>
    <mergeCell ref="A19:F19"/>
    <mergeCell ref="A23:F23"/>
    <mergeCell ref="A1:F2"/>
    <mergeCell ref="A27:F27"/>
    <mergeCell ref="A32:F32"/>
    <mergeCell ref="A22:F22"/>
    <mergeCell ref="A34:F34"/>
    <mergeCell ref="A26:F26"/>
    <mergeCell ref="A21:F21"/>
    <mergeCell ref="A29:F29"/>
    <mergeCell ref="A7:F7"/>
    <mergeCell ref="A25:F25"/>
  </mergeCells>
  <pageMargins left="0.75" right="0.75" top="1" bottom="1" header="0.5" footer="0.5"/>
</worksheet>
</file>

<file path=xl/worksheets/sheet2.xml><?xml version="1.0" encoding="utf-8"?>
<worksheet xmlns="http://schemas.openxmlformats.org/spreadsheetml/2006/main">
  <sheetPr>
    <tabColor rgb="00B67A2C"/>
    <outlinePr summaryBelow="1" summaryRight="1"/>
    <pageSetUpPr fitToPage="1"/>
  </sheetPr>
  <dimension ref="A1:O488"/>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22" customWidth="1" min="2" max="2"/>
    <col width="17" customWidth="1" min="3" max="3"/>
    <col width="24" customWidth="1" min="4" max="4"/>
    <col width="22" customWidth="1" min="5" max="5"/>
    <col width="22" customWidth="1" min="6" max="6"/>
    <col width="14" customWidth="1" min="7" max="7"/>
    <col width="15" customWidth="1" min="8" max="8"/>
    <col width="64" customWidth="1" min="9" max="9"/>
    <col width="42" customWidth="1" min="10" max="10"/>
    <col width="40" customWidth="1" min="11" max="11"/>
    <col width="27" customWidth="1" min="12" max="12"/>
    <col width="30" customWidth="1" min="13" max="13"/>
    <col width="21" customWidth="1" min="14" max="14"/>
    <col width="68" customWidth="1" min="15" max="15"/>
  </cols>
  <sheetData>
    <row r="1" ht="36" customHeight="1">
      <c r="A1" s="30" t="inlineStr">
        <is>
          <t>CTAN Number</t>
        </is>
      </c>
      <c r="B1" s="30" t="inlineStr">
        <is>
          <t>Cisco Deviation</t>
        </is>
      </c>
      <c r="C1" s="30" t="inlineStr">
        <is>
          <t>BU</t>
        </is>
      </c>
      <c r="D1" s="30" t="inlineStr">
        <is>
          <t>Workflow Status (source)</t>
        </is>
      </c>
      <c r="E1" s="30" t="inlineStr">
        <is>
          <t>Date Released (source)</t>
        </is>
      </c>
      <c r="F1" s="30" t="inlineStr">
        <is>
          <t>Effective To (source)</t>
        </is>
      </c>
      <c r="G1" s="30" t="inlineStr">
        <is>
          <t>CSV Rows</t>
        </is>
      </c>
      <c r="H1" s="30" t="inlineStr">
        <is>
          <t>Unique Items</t>
        </is>
      </c>
      <c r="I1" s="30" t="inlineStr">
        <is>
          <t>PCBA PN Candidates</t>
        </is>
      </c>
      <c r="J1" s="30" t="inlineStr">
        <is>
          <t>Known SKU Matches</t>
        </is>
      </c>
      <c r="K1" s="30" t="inlineStr">
        <is>
          <t>Source Conflicts</t>
        </is>
      </c>
      <c r="L1" s="30" t="inlineStr">
        <is>
          <t>Date Window (screening)</t>
        </is>
      </c>
      <c r="M1" s="30" t="inlineStr">
        <is>
          <t>Release Status (screening)</t>
        </is>
      </c>
      <c r="N1" s="30" t="inlineStr">
        <is>
          <t>Review Priority</t>
        </is>
      </c>
      <c r="O1" s="30" t="inlineStr">
        <is>
          <t>Next Action</t>
        </is>
      </c>
    </row>
    <row r="2">
      <c r="A2" s="43" t="inlineStr">
        <is>
          <t>CTANJZ04014</t>
        </is>
      </c>
      <c r="B2" s="43" t="inlineStr">
        <is>
          <t>D598638</t>
        </is>
      </c>
      <c r="C2" s="43" t="inlineStr">
        <is>
          <t>SRGBU</t>
        </is>
      </c>
      <c r="D2" s="43" t="inlineStr">
        <is>
          <t>Closed</t>
        </is>
      </c>
      <c r="E2" s="32" t="n">
        <v>45514</v>
      </c>
      <c r="F2" s="32" t="n">
        <v>47790</v>
      </c>
      <c r="G2" s="43" t="n">
        <v>1</v>
      </c>
      <c r="H2" s="43" t="n">
        <v>1</v>
      </c>
      <c r="I2" s="33" t="inlineStr"/>
      <c r="J2" s="33" t="inlineStr"/>
      <c r="K2" s="33" t="inlineStr"/>
      <c r="L2" s="34">
        <f>IF(F2="","REVIEW: DATE CONFLICT/EMPTY",IF(F2&lt;'Change Overview'!$B$5,"END DATE PASSED","END DATE NOT PASSED"))</f>
        <v/>
      </c>
      <c r="M2" s="34">
        <f>IF(K2&lt;&gt;"","REVIEW SOURCE CONFLICT",IF(OR(ISNUMBER(SEARCH("CCB",D2)),ISNUMBER(SEARCH("Pending",D2))),"CCB/PENDING",IF(OR(ISNUMBER(SEARCH("Expired",D2)),ISNUMBER(SEARCH("Closed",D2))),"CLOSED/EXPIRED",IF(E2="","NO RELEASE DATE","REVIEW APPROVAL"))))</f>
        <v/>
      </c>
      <c r="N2" s="34">
        <f>IF(K2&lt;&gt;"","HIGH: SOURCE CONFLICT",IF(AND(L2="END DATE NOT PASSED",M2="REVIEW APPROVAL"),"HIGH: VERIFY",IF(L2="END DATE NOT PASSED","MEDIUM: CHECK STATUS","LOW: HISTORICAL")))</f>
        <v/>
      </c>
      <c r="O2" s="33" t="inlineStr">
        <is>
          <t>Validar documento firmado, revision/WO/sitio, material afectado y evidencia antes de activar alerta automatica.</t>
        </is>
      </c>
    </row>
    <row r="3">
      <c r="A3" s="43" t="inlineStr">
        <is>
          <t>CTANJZ04427</t>
        </is>
      </c>
      <c r="B3" s="43" t="inlineStr">
        <is>
          <t>D601187</t>
        </is>
      </c>
      <c r="C3" s="43" t="inlineStr">
        <is>
          <t>STBU</t>
        </is>
      </c>
      <c r="D3" s="43" t="inlineStr">
        <is>
          <t>Expired</t>
        </is>
      </c>
      <c r="E3" s="32" t="n">
        <v>45713</v>
      </c>
      <c r="F3" s="32" t="n">
        <v>45775</v>
      </c>
      <c r="G3" s="43" t="n">
        <v>3</v>
      </c>
      <c r="H3" s="43" t="n">
        <v>3</v>
      </c>
      <c r="I3" s="33" t="inlineStr">
        <is>
          <t>73-20249-05</t>
        </is>
      </c>
      <c r="J3" s="33" t="inlineStr"/>
      <c r="K3" s="33" t="inlineStr"/>
      <c r="L3" s="34">
        <f>IF(F3="","REVIEW: DATE CONFLICT/EMPTY",IF(F3&lt;'Change Overview'!$B$5,"END DATE PASSED","END DATE NOT PASSED"))</f>
        <v/>
      </c>
      <c r="M3" s="34">
        <f>IF(K3&lt;&gt;"","REVIEW SOURCE CONFLICT",IF(OR(ISNUMBER(SEARCH("CCB",D3)),ISNUMBER(SEARCH("Pending",D3))),"CCB/PENDING",IF(OR(ISNUMBER(SEARCH("Expired",D3)),ISNUMBER(SEARCH("Closed",D3))),"CLOSED/EXPIRED",IF(E3="","NO RELEASE DATE","REVIEW APPROVAL"))))</f>
        <v/>
      </c>
      <c r="N3" s="34">
        <f>IF(K3&lt;&gt;"","HIGH: SOURCE CONFLICT",IF(AND(L3="END DATE NOT PASSED",M3="REVIEW APPROVAL"),"HIGH: VERIFY",IF(L3="END DATE NOT PASSED","MEDIUM: CHECK STATUS","LOW: HISTORICAL")))</f>
        <v/>
      </c>
      <c r="O3" s="33" t="inlineStr">
        <is>
          <t>Validar documento firmado, revision/WO/sitio, material afectado y evidencia antes de activar alerta automatica.</t>
        </is>
      </c>
    </row>
    <row r="4">
      <c r="A4" s="43" t="inlineStr">
        <is>
          <t>CTANJZ04430</t>
        </is>
      </c>
      <c r="B4" s="43" t="inlineStr">
        <is>
          <t>D601838</t>
        </is>
      </c>
      <c r="C4" s="43" t="inlineStr">
        <is>
          <t>STBU</t>
        </is>
      </c>
      <c r="D4" s="43" t="inlineStr">
        <is>
          <t>Expired</t>
        </is>
      </c>
      <c r="E4" s="32" t="n">
        <v>45709</v>
      </c>
      <c r="F4" s="32" t="n">
        <v>45783</v>
      </c>
      <c r="G4" s="43" t="n">
        <v>1</v>
      </c>
      <c r="H4" s="43" t="n">
        <v>1</v>
      </c>
      <c r="I4" s="33" t="inlineStr"/>
      <c r="J4" s="33" t="inlineStr"/>
      <c r="K4" s="33" t="inlineStr"/>
      <c r="L4" s="34">
        <f>IF(F4="","REVIEW: DATE CONFLICT/EMPTY",IF(F4&lt;'Change Overview'!$B$5,"END DATE PASSED","END DATE NOT PASSED"))</f>
        <v/>
      </c>
      <c r="M4" s="34">
        <f>IF(K4&lt;&gt;"","REVIEW SOURCE CONFLICT",IF(OR(ISNUMBER(SEARCH("CCB",D4)),ISNUMBER(SEARCH("Pending",D4))),"CCB/PENDING",IF(OR(ISNUMBER(SEARCH("Expired",D4)),ISNUMBER(SEARCH("Closed",D4))),"CLOSED/EXPIRED",IF(E4="","NO RELEASE DATE","REVIEW APPROVAL"))))</f>
        <v/>
      </c>
      <c r="N4" s="34">
        <f>IF(K4&lt;&gt;"","HIGH: SOURCE CONFLICT",IF(AND(L4="END DATE NOT PASSED",M4="REVIEW APPROVAL"),"HIGH: VERIFY",IF(L4="END DATE NOT PASSED","MEDIUM: CHECK STATUS","LOW: HISTORICAL")))</f>
        <v/>
      </c>
      <c r="O4" s="33" t="inlineStr">
        <is>
          <t>Validar documento firmado, revision/WO/sitio, material afectado y evidencia antes de activar alerta automatica.</t>
        </is>
      </c>
    </row>
    <row r="5">
      <c r="A5" s="43" t="inlineStr">
        <is>
          <t>CTANJZ04431</t>
        </is>
      </c>
      <c r="B5" s="43" t="inlineStr">
        <is>
          <t>D601949</t>
        </is>
      </c>
      <c r="C5" s="43" t="inlineStr">
        <is>
          <t>STBU</t>
        </is>
      </c>
      <c r="D5" s="43" t="inlineStr">
        <is>
          <t>Expired</t>
        </is>
      </c>
      <c r="E5" s="32" t="n">
        <v>45713</v>
      </c>
      <c r="F5" s="32" t="n">
        <v>45783</v>
      </c>
      <c r="G5" s="43" t="n">
        <v>5</v>
      </c>
      <c r="H5" s="43" t="n">
        <v>5</v>
      </c>
      <c r="I5" s="33" t="inlineStr">
        <is>
          <t>73-20247-05, 73-20249-05</t>
        </is>
      </c>
      <c r="J5" s="33" t="inlineStr"/>
      <c r="K5" s="33" t="inlineStr"/>
      <c r="L5" s="34">
        <f>IF(F5="","REVIEW: DATE CONFLICT/EMPTY",IF(F5&lt;'Change Overview'!$B$5,"END DATE PASSED","END DATE NOT PASSED"))</f>
        <v/>
      </c>
      <c r="M5" s="34">
        <f>IF(K5&lt;&gt;"","REVIEW SOURCE CONFLICT",IF(OR(ISNUMBER(SEARCH("CCB",D5)),ISNUMBER(SEARCH("Pending",D5))),"CCB/PENDING",IF(OR(ISNUMBER(SEARCH("Expired",D5)),ISNUMBER(SEARCH("Closed",D5))),"CLOSED/EXPIRED",IF(E5="","NO RELEASE DATE","REVIEW APPROVAL"))))</f>
        <v/>
      </c>
      <c r="N5" s="34">
        <f>IF(K5&lt;&gt;"","HIGH: SOURCE CONFLICT",IF(AND(L5="END DATE NOT PASSED",M5="REVIEW APPROVAL"),"HIGH: VERIFY",IF(L5="END DATE NOT PASSED","MEDIUM: CHECK STATUS","LOW: HISTORICAL")))</f>
        <v/>
      </c>
      <c r="O5" s="33" t="inlineStr">
        <is>
          <t>Validar documento firmado, revision/WO/sitio, material afectado y evidencia antes de activar alerta automatica.</t>
        </is>
      </c>
    </row>
    <row r="6">
      <c r="A6" s="43" t="inlineStr">
        <is>
          <t>CTANJZ04432</t>
        </is>
      </c>
      <c r="B6" s="43" t="inlineStr">
        <is>
          <t>D601971</t>
        </is>
      </c>
      <c r="C6" s="43" t="inlineStr">
        <is>
          <t>SRGBU</t>
        </is>
      </c>
      <c r="D6" s="43" t="inlineStr">
        <is>
          <t>Expired</t>
        </is>
      </c>
      <c r="E6" s="32" t="n">
        <v>45709</v>
      </c>
      <c r="F6" s="32" t="n">
        <v>45783</v>
      </c>
      <c r="G6" s="43" t="n">
        <v>2</v>
      </c>
      <c r="H6" s="43" t="n">
        <v>2</v>
      </c>
      <c r="I6" s="33" t="inlineStr"/>
      <c r="J6" s="33" t="inlineStr"/>
      <c r="K6" s="33" t="inlineStr"/>
      <c r="L6" s="34">
        <f>IF(F6="","REVIEW: DATE CONFLICT/EMPTY",IF(F6&lt;'Change Overview'!$B$5,"END DATE PASSED","END DATE NOT PASSED"))</f>
        <v/>
      </c>
      <c r="M6" s="34">
        <f>IF(K6&lt;&gt;"","REVIEW SOURCE CONFLICT",IF(OR(ISNUMBER(SEARCH("CCB",D6)),ISNUMBER(SEARCH("Pending",D6))),"CCB/PENDING",IF(OR(ISNUMBER(SEARCH("Expired",D6)),ISNUMBER(SEARCH("Closed",D6))),"CLOSED/EXPIRED",IF(E6="","NO RELEASE DATE","REVIEW APPROVAL"))))</f>
        <v/>
      </c>
      <c r="N6" s="34">
        <f>IF(K6&lt;&gt;"","HIGH: SOURCE CONFLICT",IF(AND(L6="END DATE NOT PASSED",M6="REVIEW APPROVAL"),"HIGH: VERIFY",IF(L6="END DATE NOT PASSED","MEDIUM: CHECK STATUS","LOW: HISTORICAL")))</f>
        <v/>
      </c>
      <c r="O6" s="33" t="inlineStr">
        <is>
          <t>Validar documento firmado, revision/WO/sitio, material afectado y evidencia antes de activar alerta automatica.</t>
        </is>
      </c>
    </row>
    <row r="7">
      <c r="A7" s="43" t="inlineStr">
        <is>
          <t>CTANJZ04435</t>
        </is>
      </c>
      <c r="B7" s="43" t="inlineStr">
        <is>
          <t>D596346</t>
        </is>
      </c>
      <c r="C7" s="43" t="inlineStr">
        <is>
          <t>STBU</t>
        </is>
      </c>
      <c r="D7" s="43" t="inlineStr">
        <is>
          <t>Expired</t>
        </is>
      </c>
      <c r="E7" s="32" t="n">
        <v>45709</v>
      </c>
      <c r="F7" s="32" t="n">
        <v>45783</v>
      </c>
      <c r="G7" s="43" t="n">
        <v>1</v>
      </c>
      <c r="H7" s="43" t="n">
        <v>1</v>
      </c>
      <c r="I7" s="33" t="inlineStr"/>
      <c r="J7" s="33" t="inlineStr"/>
      <c r="K7" s="33" t="inlineStr"/>
      <c r="L7" s="34">
        <f>IF(F7="","REVIEW: DATE CONFLICT/EMPTY",IF(F7&lt;'Change Overview'!$B$5,"END DATE PASSED","END DATE NOT PASSED"))</f>
        <v/>
      </c>
      <c r="M7" s="34">
        <f>IF(K7&lt;&gt;"","REVIEW SOURCE CONFLICT",IF(OR(ISNUMBER(SEARCH("CCB",D7)),ISNUMBER(SEARCH("Pending",D7))),"CCB/PENDING",IF(OR(ISNUMBER(SEARCH("Expired",D7)),ISNUMBER(SEARCH("Closed",D7))),"CLOSED/EXPIRED",IF(E7="","NO RELEASE DATE","REVIEW APPROVAL"))))</f>
        <v/>
      </c>
      <c r="N7" s="34">
        <f>IF(K7&lt;&gt;"","HIGH: SOURCE CONFLICT",IF(AND(L7="END DATE NOT PASSED",M7="REVIEW APPROVAL"),"HIGH: VERIFY",IF(L7="END DATE NOT PASSED","MEDIUM: CHECK STATUS","LOW: HISTORICAL")))</f>
        <v/>
      </c>
      <c r="O7" s="33" t="inlineStr">
        <is>
          <t>Validar documento firmado, revision/WO/sitio, material afectado y evidencia antes de activar alerta automatica.</t>
        </is>
      </c>
    </row>
    <row r="8">
      <c r="A8" s="43" t="inlineStr">
        <is>
          <t>CTANJZ04441</t>
        </is>
      </c>
      <c r="B8" s="43" t="inlineStr">
        <is>
          <t>D601899</t>
        </is>
      </c>
      <c r="C8" s="43" t="inlineStr">
        <is>
          <t>SRGBU</t>
        </is>
      </c>
      <c r="D8" s="43" t="inlineStr">
        <is>
          <t>Expired</t>
        </is>
      </c>
      <c r="E8" s="32" t="n">
        <v>45713</v>
      </c>
      <c r="F8" s="32" t="n">
        <v>45788</v>
      </c>
      <c r="G8" s="43" t="n">
        <v>3</v>
      </c>
      <c r="H8" s="43" t="n">
        <v>3</v>
      </c>
      <c r="I8" s="33" t="inlineStr"/>
      <c r="J8" s="33" t="inlineStr"/>
      <c r="K8" s="33" t="inlineStr"/>
      <c r="L8" s="34">
        <f>IF(F8="","REVIEW: DATE CONFLICT/EMPTY",IF(F8&lt;'Change Overview'!$B$5,"END DATE PASSED","END DATE NOT PASSED"))</f>
        <v/>
      </c>
      <c r="M8" s="34">
        <f>IF(K8&lt;&gt;"","REVIEW SOURCE CONFLICT",IF(OR(ISNUMBER(SEARCH("CCB",D8)),ISNUMBER(SEARCH("Pending",D8))),"CCB/PENDING",IF(OR(ISNUMBER(SEARCH("Expired",D8)),ISNUMBER(SEARCH("Closed",D8))),"CLOSED/EXPIRED",IF(E8="","NO RELEASE DATE","REVIEW APPROVAL"))))</f>
        <v/>
      </c>
      <c r="N8" s="34">
        <f>IF(K8&lt;&gt;"","HIGH: SOURCE CONFLICT",IF(AND(L8="END DATE NOT PASSED",M8="REVIEW APPROVAL"),"HIGH: VERIFY",IF(L8="END DATE NOT PASSED","MEDIUM: CHECK STATUS","LOW: HISTORICAL")))</f>
        <v/>
      </c>
      <c r="O8" s="33" t="inlineStr">
        <is>
          <t>Validar documento firmado, revision/WO/sitio, material afectado y evidencia antes de activar alerta automatica.</t>
        </is>
      </c>
    </row>
    <row r="9">
      <c r="A9" s="43" t="inlineStr">
        <is>
          <t>CTANJZ04443</t>
        </is>
      </c>
      <c r="B9" s="43" t="inlineStr">
        <is>
          <t>D601883</t>
        </is>
      </c>
      <c r="C9" s="43" t="inlineStr">
        <is>
          <t>STBU</t>
        </is>
      </c>
      <c r="D9" s="43" t="inlineStr">
        <is>
          <t>Expired</t>
        </is>
      </c>
      <c r="E9" s="32" t="n">
        <v>45709</v>
      </c>
      <c r="F9" s="32" t="n">
        <v>45788</v>
      </c>
      <c r="G9" s="43" t="n">
        <v>2</v>
      </c>
      <c r="H9" s="43" t="n">
        <v>2</v>
      </c>
      <c r="I9" s="33" t="inlineStr"/>
      <c r="J9" s="33" t="inlineStr"/>
      <c r="K9" s="33" t="inlineStr"/>
      <c r="L9" s="34">
        <f>IF(F9="","REVIEW: DATE CONFLICT/EMPTY",IF(F9&lt;'Change Overview'!$B$5,"END DATE PASSED","END DATE NOT PASSED"))</f>
        <v/>
      </c>
      <c r="M9" s="34">
        <f>IF(K9&lt;&gt;"","REVIEW SOURCE CONFLICT",IF(OR(ISNUMBER(SEARCH("CCB",D9)),ISNUMBER(SEARCH("Pending",D9))),"CCB/PENDING",IF(OR(ISNUMBER(SEARCH("Expired",D9)),ISNUMBER(SEARCH("Closed",D9))),"CLOSED/EXPIRED",IF(E9="","NO RELEASE DATE","REVIEW APPROVAL"))))</f>
        <v/>
      </c>
      <c r="N9" s="34">
        <f>IF(K9&lt;&gt;"","HIGH: SOURCE CONFLICT",IF(AND(L9="END DATE NOT PASSED",M9="REVIEW APPROVAL"),"HIGH: VERIFY",IF(L9="END DATE NOT PASSED","MEDIUM: CHECK STATUS","LOW: HISTORICAL")))</f>
        <v/>
      </c>
      <c r="O9" s="33" t="inlineStr">
        <is>
          <t>Validar documento firmado, revision/WO/sitio, material afectado y evidencia antes de activar alerta automatica.</t>
        </is>
      </c>
    </row>
    <row r="10">
      <c r="A10" s="43" t="inlineStr">
        <is>
          <t>CTANJZ04449</t>
        </is>
      </c>
      <c r="B10" s="43" t="inlineStr">
        <is>
          <t>D602143</t>
        </is>
      </c>
      <c r="C10" s="43" t="inlineStr">
        <is>
          <t>STBU</t>
        </is>
      </c>
      <c r="D10" s="43" t="inlineStr">
        <is>
          <t>Expired</t>
        </is>
      </c>
      <c r="E10" s="32" t="n">
        <v>45709</v>
      </c>
      <c r="F10" s="32" t="n">
        <v>45789</v>
      </c>
      <c r="G10" s="43" t="n">
        <v>9</v>
      </c>
      <c r="H10" s="43" t="n">
        <v>9</v>
      </c>
      <c r="I10" s="33" t="inlineStr">
        <is>
          <t>73-17567-12, 73-17568-12, 73-17569-10, 73-17570-10</t>
        </is>
      </c>
      <c r="J10" s="33" t="inlineStr"/>
      <c r="K10" s="33" t="inlineStr"/>
      <c r="L10" s="34">
        <f>IF(F10="","REVIEW: DATE CONFLICT/EMPTY",IF(F10&lt;'Change Overview'!$B$5,"END DATE PASSED","END DATE NOT PASSED"))</f>
        <v/>
      </c>
      <c r="M10" s="34">
        <f>IF(K10&lt;&gt;"","REVIEW SOURCE CONFLICT",IF(OR(ISNUMBER(SEARCH("CCB",D10)),ISNUMBER(SEARCH("Pending",D10))),"CCB/PENDING",IF(OR(ISNUMBER(SEARCH("Expired",D10)),ISNUMBER(SEARCH("Closed",D10))),"CLOSED/EXPIRED",IF(E10="","NO RELEASE DATE","REVIEW APPROVAL"))))</f>
        <v/>
      </c>
      <c r="N10" s="34">
        <f>IF(K10&lt;&gt;"","HIGH: SOURCE CONFLICT",IF(AND(L10="END DATE NOT PASSED",M10="REVIEW APPROVAL"),"HIGH: VERIFY",IF(L10="END DATE NOT PASSED","MEDIUM: CHECK STATUS","LOW: HISTORICAL")))</f>
        <v/>
      </c>
      <c r="O10" s="33" t="inlineStr">
        <is>
          <t>Validar documento firmado, revision/WO/sitio, material afectado y evidencia antes de activar alerta automatica.</t>
        </is>
      </c>
    </row>
    <row r="11">
      <c r="A11" s="43" t="inlineStr">
        <is>
          <t>CTANJZ04450</t>
        </is>
      </c>
      <c r="B11" s="43" t="inlineStr">
        <is>
          <t>D602145</t>
        </is>
      </c>
      <c r="C11" s="43" t="inlineStr">
        <is>
          <t>STBU</t>
        </is>
      </c>
      <c r="D11" s="43" t="inlineStr">
        <is>
          <t>Expired</t>
        </is>
      </c>
      <c r="E11" s="32" t="n">
        <v>45713</v>
      </c>
      <c r="F11" s="32" t="n">
        <v>45789</v>
      </c>
      <c r="G11" s="43" t="n">
        <v>7</v>
      </c>
      <c r="H11" s="43" t="n">
        <v>7</v>
      </c>
      <c r="I11" s="33" t="inlineStr"/>
      <c r="J11" s="33" t="inlineStr"/>
      <c r="K11" s="33" t="inlineStr"/>
      <c r="L11" s="34">
        <f>IF(F11="","REVIEW: DATE CONFLICT/EMPTY",IF(F11&lt;'Change Overview'!$B$5,"END DATE PASSED","END DATE NOT PASSED"))</f>
        <v/>
      </c>
      <c r="M11" s="34">
        <f>IF(K11&lt;&gt;"","REVIEW SOURCE CONFLICT",IF(OR(ISNUMBER(SEARCH("CCB",D11)),ISNUMBER(SEARCH("Pending",D11))),"CCB/PENDING",IF(OR(ISNUMBER(SEARCH("Expired",D11)),ISNUMBER(SEARCH("Closed",D11))),"CLOSED/EXPIRED",IF(E11="","NO RELEASE DATE","REVIEW APPROVAL"))))</f>
        <v/>
      </c>
      <c r="N11" s="34">
        <f>IF(K11&lt;&gt;"","HIGH: SOURCE CONFLICT",IF(AND(L11="END DATE NOT PASSED",M11="REVIEW APPROVAL"),"HIGH: VERIFY",IF(L11="END DATE NOT PASSED","MEDIUM: CHECK STATUS","LOW: HISTORICAL")))</f>
        <v/>
      </c>
      <c r="O11" s="33" t="inlineStr">
        <is>
          <t>Validar documento firmado, revision/WO/sitio, material afectado y evidencia antes de activar alerta automatica.</t>
        </is>
      </c>
    </row>
    <row r="12">
      <c r="A12" s="43" t="inlineStr">
        <is>
          <t>CTANJZ04453</t>
        </is>
      </c>
      <c r="B12" s="43" t="inlineStr">
        <is>
          <t>D601097</t>
        </is>
      </c>
      <c r="C12" s="43" t="inlineStr">
        <is>
          <t>STBU</t>
        </is>
      </c>
      <c r="D12" s="43" t="inlineStr">
        <is>
          <t>Expired</t>
        </is>
      </c>
      <c r="E12" s="32" t="n">
        <v>45709</v>
      </c>
      <c r="F12" s="32" t="n">
        <v>45790</v>
      </c>
      <c r="G12" s="43" t="n">
        <v>3</v>
      </c>
      <c r="H12" s="43" t="n">
        <v>3</v>
      </c>
      <c r="I12" s="33" t="inlineStr">
        <is>
          <t>73-17499-07</t>
        </is>
      </c>
      <c r="J12" s="33" t="inlineStr"/>
      <c r="K12" s="33" t="inlineStr"/>
      <c r="L12" s="34">
        <f>IF(F12="","REVIEW: DATE CONFLICT/EMPTY",IF(F12&lt;'Change Overview'!$B$5,"END DATE PASSED","END DATE NOT PASSED"))</f>
        <v/>
      </c>
      <c r="M12" s="34">
        <f>IF(K12&lt;&gt;"","REVIEW SOURCE CONFLICT",IF(OR(ISNUMBER(SEARCH("CCB",D12)),ISNUMBER(SEARCH("Pending",D12))),"CCB/PENDING",IF(OR(ISNUMBER(SEARCH("Expired",D12)),ISNUMBER(SEARCH("Closed",D12))),"CLOSED/EXPIRED",IF(E12="","NO RELEASE DATE","REVIEW APPROVAL"))))</f>
        <v/>
      </c>
      <c r="N12" s="34">
        <f>IF(K12&lt;&gt;"","HIGH: SOURCE CONFLICT",IF(AND(L12="END DATE NOT PASSED",M12="REVIEW APPROVAL"),"HIGH: VERIFY",IF(L12="END DATE NOT PASSED","MEDIUM: CHECK STATUS","LOW: HISTORICAL")))</f>
        <v/>
      </c>
      <c r="O12" s="33" t="inlineStr">
        <is>
          <t>Validar documento firmado, revision/WO/sitio, material afectado y evidencia antes de activar alerta automatica.</t>
        </is>
      </c>
    </row>
    <row r="13">
      <c r="A13" s="43" t="inlineStr">
        <is>
          <t>CTANJZ04465</t>
        </is>
      </c>
      <c r="B13" s="43" t="inlineStr">
        <is>
          <t>D602184</t>
        </is>
      </c>
      <c r="C13" s="43" t="inlineStr">
        <is>
          <t>SRGBU</t>
        </is>
      </c>
      <c r="D13" s="43" t="inlineStr">
        <is>
          <t>Expired</t>
        </is>
      </c>
      <c r="E13" s="32" t="n">
        <v>45713</v>
      </c>
      <c r="F13" s="32" t="n">
        <v>45796</v>
      </c>
      <c r="G13" s="43" t="n">
        <v>3</v>
      </c>
      <c r="H13" s="43" t="n">
        <v>3</v>
      </c>
      <c r="I13" s="33" t="inlineStr"/>
      <c r="J13" s="33" t="inlineStr"/>
      <c r="K13" s="33" t="inlineStr"/>
      <c r="L13" s="34">
        <f>IF(F13="","REVIEW: DATE CONFLICT/EMPTY",IF(F13&lt;'Change Overview'!$B$5,"END DATE PASSED","END DATE NOT PASSED"))</f>
        <v/>
      </c>
      <c r="M13" s="34">
        <f>IF(K13&lt;&gt;"","REVIEW SOURCE CONFLICT",IF(OR(ISNUMBER(SEARCH("CCB",D13)),ISNUMBER(SEARCH("Pending",D13))),"CCB/PENDING",IF(OR(ISNUMBER(SEARCH("Expired",D13)),ISNUMBER(SEARCH("Closed",D13))),"CLOSED/EXPIRED",IF(E13="","NO RELEASE DATE","REVIEW APPROVAL"))))</f>
        <v/>
      </c>
      <c r="N13" s="34">
        <f>IF(K13&lt;&gt;"","HIGH: SOURCE CONFLICT",IF(AND(L13="END DATE NOT PASSED",M13="REVIEW APPROVAL"),"HIGH: VERIFY",IF(L13="END DATE NOT PASSED","MEDIUM: CHECK STATUS","LOW: HISTORICAL")))</f>
        <v/>
      </c>
      <c r="O13" s="33" t="inlineStr">
        <is>
          <t>Validar documento firmado, revision/WO/sitio, material afectado y evidencia antes de activar alerta automatica.</t>
        </is>
      </c>
    </row>
    <row r="14">
      <c r="A14" s="43" t="inlineStr">
        <is>
          <t>CTANJZ04466</t>
        </is>
      </c>
      <c r="B14" s="43" t="inlineStr">
        <is>
          <t>D602196</t>
        </is>
      </c>
      <c r="C14" s="43" t="inlineStr">
        <is>
          <t>STBU</t>
        </is>
      </c>
      <c r="D14" s="43" t="inlineStr">
        <is>
          <t>Expired</t>
        </is>
      </c>
      <c r="E14" s="32" t="n">
        <v>45716</v>
      </c>
      <c r="F14" s="32" t="n">
        <v>45796</v>
      </c>
      <c r="G14" s="43" t="n">
        <v>5</v>
      </c>
      <c r="H14" s="43" t="n">
        <v>5</v>
      </c>
      <c r="I14" s="33" t="inlineStr">
        <is>
          <t>73-17497-04, 73-17499-07, 73-20247-06, 73-20249-06</t>
        </is>
      </c>
      <c r="J14" s="33" t="inlineStr">
        <is>
          <t>TUFNELL PARK</t>
        </is>
      </c>
      <c r="K14" s="33" t="inlineStr"/>
      <c r="L14" s="34">
        <f>IF(F14="","REVIEW: DATE CONFLICT/EMPTY",IF(F14&lt;'Change Overview'!$B$5,"END DATE PASSED","END DATE NOT PASSED"))</f>
        <v/>
      </c>
      <c r="M14" s="34">
        <f>IF(K14&lt;&gt;"","REVIEW SOURCE CONFLICT",IF(OR(ISNUMBER(SEARCH("CCB",D14)),ISNUMBER(SEARCH("Pending",D14))),"CCB/PENDING",IF(OR(ISNUMBER(SEARCH("Expired",D14)),ISNUMBER(SEARCH("Closed",D14))),"CLOSED/EXPIRED",IF(E14="","NO RELEASE DATE","REVIEW APPROVAL"))))</f>
        <v/>
      </c>
      <c r="N14" s="34">
        <f>IF(K14&lt;&gt;"","HIGH: SOURCE CONFLICT",IF(AND(L14="END DATE NOT PASSED",M14="REVIEW APPROVAL"),"HIGH: VERIFY",IF(L14="END DATE NOT PASSED","MEDIUM: CHECK STATUS","LOW: HISTORICAL")))</f>
        <v/>
      </c>
      <c r="O14" s="33" t="inlineStr">
        <is>
          <t>Validar documento firmado, revision/WO/sitio, material afectado y evidencia antes de activar alerta automatica.</t>
        </is>
      </c>
    </row>
    <row r="15">
      <c r="A15" s="43" t="inlineStr">
        <is>
          <t>CTANJZ04473</t>
        </is>
      </c>
      <c r="B15" s="43" t="inlineStr">
        <is>
          <t>D602345</t>
        </is>
      </c>
      <c r="C15" s="43" t="inlineStr">
        <is>
          <t>STBU</t>
        </is>
      </c>
      <c r="D15" s="43" t="inlineStr">
        <is>
          <t>Expired</t>
        </is>
      </c>
      <c r="E15" s="32" t="n">
        <v>45720</v>
      </c>
      <c r="F15" s="32" t="n">
        <v>45799</v>
      </c>
      <c r="G15" s="43" t="n">
        <v>5</v>
      </c>
      <c r="H15" s="43" t="n">
        <v>5</v>
      </c>
      <c r="I15" s="33" t="inlineStr"/>
      <c r="J15" s="33" t="inlineStr"/>
      <c r="K15" s="33" t="inlineStr"/>
      <c r="L15" s="34">
        <f>IF(F15="","REVIEW: DATE CONFLICT/EMPTY",IF(F15&lt;'Change Overview'!$B$5,"END DATE PASSED","END DATE NOT PASSED"))</f>
        <v/>
      </c>
      <c r="M15" s="34">
        <f>IF(K15&lt;&gt;"","REVIEW SOURCE CONFLICT",IF(OR(ISNUMBER(SEARCH("CCB",D15)),ISNUMBER(SEARCH("Pending",D15))),"CCB/PENDING",IF(OR(ISNUMBER(SEARCH("Expired",D15)),ISNUMBER(SEARCH("Closed",D15))),"CLOSED/EXPIRED",IF(E15="","NO RELEASE DATE","REVIEW APPROVAL"))))</f>
        <v/>
      </c>
      <c r="N15" s="34">
        <f>IF(K15&lt;&gt;"","HIGH: SOURCE CONFLICT",IF(AND(L15="END DATE NOT PASSED",M15="REVIEW APPROVAL"),"HIGH: VERIFY",IF(L15="END DATE NOT PASSED","MEDIUM: CHECK STATUS","LOW: HISTORICAL")))</f>
        <v/>
      </c>
      <c r="O15" s="33" t="inlineStr">
        <is>
          <t>Validar documento firmado, revision/WO/sitio, material afectado y evidencia antes de activar alerta automatica.</t>
        </is>
      </c>
    </row>
    <row r="16">
      <c r="A16" s="43" t="inlineStr">
        <is>
          <t>CTANJZ04475</t>
        </is>
      </c>
      <c r="B16" s="43" t="inlineStr">
        <is>
          <t>D602181</t>
        </is>
      </c>
      <c r="C16" s="43" t="inlineStr">
        <is>
          <t>SRGBU</t>
        </is>
      </c>
      <c r="D16" s="43" t="inlineStr">
        <is>
          <t>Expired</t>
        </is>
      </c>
      <c r="E16" s="32" t="n">
        <v>45720</v>
      </c>
      <c r="F16" s="32" t="n">
        <v>45799</v>
      </c>
      <c r="G16" s="43" t="n">
        <v>17</v>
      </c>
      <c r="H16" s="43" t="n">
        <v>17</v>
      </c>
      <c r="I16" s="33" t="inlineStr">
        <is>
          <t>73-14503-08, 73-14504-09, 73-14505-09, 73-14506-08, 73-15195-05, 73-15196-05, 73-15197-05, 73-16084-04, 73-16524-03, 73-19107-04</t>
        </is>
      </c>
      <c r="J16" s="33" t="inlineStr"/>
      <c r="K16" s="33" t="inlineStr"/>
      <c r="L16" s="34">
        <f>IF(F16="","REVIEW: DATE CONFLICT/EMPTY",IF(F16&lt;'Change Overview'!$B$5,"END DATE PASSED","END DATE NOT PASSED"))</f>
        <v/>
      </c>
      <c r="M16" s="34">
        <f>IF(K16&lt;&gt;"","REVIEW SOURCE CONFLICT",IF(OR(ISNUMBER(SEARCH("CCB",D16)),ISNUMBER(SEARCH("Pending",D16))),"CCB/PENDING",IF(OR(ISNUMBER(SEARCH("Expired",D16)),ISNUMBER(SEARCH("Closed",D16))),"CLOSED/EXPIRED",IF(E16="","NO RELEASE DATE","REVIEW APPROVAL"))))</f>
        <v/>
      </c>
      <c r="N16" s="34">
        <f>IF(K16&lt;&gt;"","HIGH: SOURCE CONFLICT",IF(AND(L16="END DATE NOT PASSED",M16="REVIEW APPROVAL"),"HIGH: VERIFY",IF(L16="END DATE NOT PASSED","MEDIUM: CHECK STATUS","LOW: HISTORICAL")))</f>
        <v/>
      </c>
      <c r="O16" s="33" t="inlineStr">
        <is>
          <t>Validar documento firmado, revision/WO/sitio, material afectado y evidencia antes de activar alerta automatica.</t>
        </is>
      </c>
    </row>
    <row r="17">
      <c r="A17" s="43" t="inlineStr">
        <is>
          <t>CTANJZ04478</t>
        </is>
      </c>
      <c r="B17" s="43" t="inlineStr">
        <is>
          <t>DP524571</t>
        </is>
      </c>
      <c r="C17" s="43" t="inlineStr">
        <is>
          <t>IOTBU</t>
        </is>
      </c>
      <c r="D17" s="43" t="inlineStr">
        <is>
          <t>Expired</t>
        </is>
      </c>
      <c r="E17" s="32" t="n">
        <v>45723</v>
      </c>
      <c r="F17" s="32" t="n">
        <v>45775</v>
      </c>
      <c r="G17" s="43" t="n">
        <v>5</v>
      </c>
      <c r="H17" s="43" t="n">
        <v>5</v>
      </c>
      <c r="I17" s="33" t="inlineStr">
        <is>
          <t>73-103150-03</t>
        </is>
      </c>
      <c r="J17" s="33" t="inlineStr"/>
      <c r="K17" s="33" t="inlineStr"/>
      <c r="L17" s="34">
        <f>IF(F17="","REVIEW: DATE CONFLICT/EMPTY",IF(F17&lt;'Change Overview'!$B$5,"END DATE PASSED","END DATE NOT PASSED"))</f>
        <v/>
      </c>
      <c r="M17" s="34">
        <f>IF(K17&lt;&gt;"","REVIEW SOURCE CONFLICT",IF(OR(ISNUMBER(SEARCH("CCB",D17)),ISNUMBER(SEARCH("Pending",D17))),"CCB/PENDING",IF(OR(ISNUMBER(SEARCH("Expired",D17)),ISNUMBER(SEARCH("Closed",D17))),"CLOSED/EXPIRED",IF(E17="","NO RELEASE DATE","REVIEW APPROVAL"))))</f>
        <v/>
      </c>
      <c r="N17" s="34">
        <f>IF(K17&lt;&gt;"","HIGH: SOURCE CONFLICT",IF(AND(L17="END DATE NOT PASSED",M17="REVIEW APPROVAL"),"HIGH: VERIFY",IF(L17="END DATE NOT PASSED","MEDIUM: CHECK STATUS","LOW: HISTORICAL")))</f>
        <v/>
      </c>
      <c r="O17" s="33" t="inlineStr">
        <is>
          <t>Validar documento firmado, revision/WO/sitio, material afectado y evidencia antes de activar alerta automatica.</t>
        </is>
      </c>
    </row>
    <row r="18">
      <c r="A18" s="43" t="inlineStr">
        <is>
          <t>CTANJZ04481</t>
        </is>
      </c>
      <c r="B18" s="43" t="inlineStr">
        <is>
          <t>D600361</t>
        </is>
      </c>
      <c r="C18" s="43" t="inlineStr">
        <is>
          <t>STBU</t>
        </is>
      </c>
      <c r="D18" s="43" t="inlineStr">
        <is>
          <t>Expired</t>
        </is>
      </c>
      <c r="E18" s="32" t="n">
        <v>45736</v>
      </c>
      <c r="F18" s="32" t="n">
        <v>45809</v>
      </c>
      <c r="G18" s="43" t="n">
        <v>3</v>
      </c>
      <c r="H18" s="43" t="n">
        <v>3</v>
      </c>
      <c r="I18" s="33" t="inlineStr">
        <is>
          <t>73-19332-01</t>
        </is>
      </c>
      <c r="J18" s="33" t="inlineStr"/>
      <c r="K18" s="33" t="inlineStr"/>
      <c r="L18" s="34">
        <f>IF(F18="","REVIEW: DATE CONFLICT/EMPTY",IF(F18&lt;'Change Overview'!$B$5,"END DATE PASSED","END DATE NOT PASSED"))</f>
        <v/>
      </c>
      <c r="M18" s="34">
        <f>IF(K18&lt;&gt;"","REVIEW SOURCE CONFLICT",IF(OR(ISNUMBER(SEARCH("CCB",D18)),ISNUMBER(SEARCH("Pending",D18))),"CCB/PENDING",IF(OR(ISNUMBER(SEARCH("Expired",D18)),ISNUMBER(SEARCH("Closed",D18))),"CLOSED/EXPIRED",IF(E18="","NO RELEASE DATE","REVIEW APPROVAL"))))</f>
        <v/>
      </c>
      <c r="N18" s="34">
        <f>IF(K18&lt;&gt;"","HIGH: SOURCE CONFLICT",IF(AND(L18="END DATE NOT PASSED",M18="REVIEW APPROVAL"),"HIGH: VERIFY",IF(L18="END DATE NOT PASSED","MEDIUM: CHECK STATUS","LOW: HISTORICAL")))</f>
        <v/>
      </c>
      <c r="O18" s="33" t="inlineStr">
        <is>
          <t>Validar documento firmado, revision/WO/sitio, material afectado y evidencia antes de activar alerta automatica.</t>
        </is>
      </c>
    </row>
    <row r="19">
      <c r="A19" s="43" t="inlineStr">
        <is>
          <t>CTANJZ04487</t>
        </is>
      </c>
      <c r="B19" s="43" t="inlineStr">
        <is>
          <t>D602439</t>
        </is>
      </c>
      <c r="C19" s="43" t="inlineStr">
        <is>
          <t>SRGBU</t>
        </is>
      </c>
      <c r="D19" s="43" t="inlineStr">
        <is>
          <t>Expired</t>
        </is>
      </c>
      <c r="E19" s="32" t="n">
        <v>45732</v>
      </c>
      <c r="F19" s="32" t="n">
        <v>45810</v>
      </c>
      <c r="G19" s="43" t="n">
        <v>1</v>
      </c>
      <c r="H19" s="43" t="n">
        <v>1</v>
      </c>
      <c r="I19" s="33" t="inlineStr"/>
      <c r="J19" s="33" t="inlineStr"/>
      <c r="K19" s="33" t="inlineStr"/>
      <c r="L19" s="34">
        <f>IF(F19="","REVIEW: DATE CONFLICT/EMPTY",IF(F19&lt;'Change Overview'!$B$5,"END DATE PASSED","END DATE NOT PASSED"))</f>
        <v/>
      </c>
      <c r="M19" s="34">
        <f>IF(K19&lt;&gt;"","REVIEW SOURCE CONFLICT",IF(OR(ISNUMBER(SEARCH("CCB",D19)),ISNUMBER(SEARCH("Pending",D19))),"CCB/PENDING",IF(OR(ISNUMBER(SEARCH("Expired",D19)),ISNUMBER(SEARCH("Closed",D19))),"CLOSED/EXPIRED",IF(E19="","NO RELEASE DATE","REVIEW APPROVAL"))))</f>
        <v/>
      </c>
      <c r="N19" s="34">
        <f>IF(K19&lt;&gt;"","HIGH: SOURCE CONFLICT",IF(AND(L19="END DATE NOT PASSED",M19="REVIEW APPROVAL"),"HIGH: VERIFY",IF(L19="END DATE NOT PASSED","MEDIUM: CHECK STATUS","LOW: HISTORICAL")))</f>
        <v/>
      </c>
      <c r="O19" s="33" t="inlineStr">
        <is>
          <t>Validar documento firmado, revision/WO/sitio, material afectado y evidencia antes de activar alerta automatica.</t>
        </is>
      </c>
    </row>
    <row r="20">
      <c r="A20" s="43" t="inlineStr">
        <is>
          <t>CTANJZ04493</t>
        </is>
      </c>
      <c r="B20" s="43" t="inlineStr">
        <is>
          <t>D602616</t>
        </is>
      </c>
      <c r="C20" s="43" t="inlineStr">
        <is>
          <t>STBU</t>
        </is>
      </c>
      <c r="D20" s="43" t="inlineStr">
        <is>
          <t>Expired</t>
        </is>
      </c>
      <c r="E20" s="32" t="n">
        <v>45742</v>
      </c>
      <c r="F20" s="32" t="n">
        <v>45817</v>
      </c>
      <c r="G20" s="43" t="n">
        <v>6</v>
      </c>
      <c r="H20" s="43" t="n">
        <v>6</v>
      </c>
      <c r="I20" s="33" t="inlineStr"/>
      <c r="J20" s="33" t="inlineStr"/>
      <c r="K20" s="33" t="inlineStr"/>
      <c r="L20" s="34">
        <f>IF(F20="","REVIEW: DATE CONFLICT/EMPTY",IF(F20&lt;'Change Overview'!$B$5,"END DATE PASSED","END DATE NOT PASSED"))</f>
        <v/>
      </c>
      <c r="M20" s="34">
        <f>IF(K20&lt;&gt;"","REVIEW SOURCE CONFLICT",IF(OR(ISNUMBER(SEARCH("CCB",D20)),ISNUMBER(SEARCH("Pending",D20))),"CCB/PENDING",IF(OR(ISNUMBER(SEARCH("Expired",D20)),ISNUMBER(SEARCH("Closed",D20))),"CLOSED/EXPIRED",IF(E20="","NO RELEASE DATE","REVIEW APPROVAL"))))</f>
        <v/>
      </c>
      <c r="N20" s="34">
        <f>IF(K20&lt;&gt;"","HIGH: SOURCE CONFLICT",IF(AND(L20="END DATE NOT PASSED",M20="REVIEW APPROVAL"),"HIGH: VERIFY",IF(L20="END DATE NOT PASSED","MEDIUM: CHECK STATUS","LOW: HISTORICAL")))</f>
        <v/>
      </c>
      <c r="O20" s="33" t="inlineStr">
        <is>
          <t>Validar documento firmado, revision/WO/sitio, material afectado y evidencia antes de activar alerta automatica.</t>
        </is>
      </c>
    </row>
    <row r="21">
      <c r="A21" s="43" t="inlineStr">
        <is>
          <t>CTANJZ04503</t>
        </is>
      </c>
      <c r="B21" s="43" t="inlineStr">
        <is>
          <t>D602312</t>
        </is>
      </c>
      <c r="C21" s="43" t="inlineStr">
        <is>
          <t>STBU</t>
        </is>
      </c>
      <c r="D21" s="43" t="inlineStr">
        <is>
          <t>Expired</t>
        </is>
      </c>
      <c r="E21" s="32" t="n">
        <v>45748</v>
      </c>
      <c r="F21" s="32" t="n">
        <v>45824</v>
      </c>
      <c r="G21" s="43" t="n">
        <v>3</v>
      </c>
      <c r="H21" s="43" t="n">
        <v>3</v>
      </c>
      <c r="I21" s="33" t="inlineStr">
        <is>
          <t>73-18489-07</t>
        </is>
      </c>
      <c r="J21" s="33" t="inlineStr"/>
      <c r="K21" s="33" t="inlineStr"/>
      <c r="L21" s="34">
        <f>IF(F21="","REVIEW: DATE CONFLICT/EMPTY",IF(F21&lt;'Change Overview'!$B$5,"END DATE PASSED","END DATE NOT PASSED"))</f>
        <v/>
      </c>
      <c r="M21" s="34">
        <f>IF(K21&lt;&gt;"","REVIEW SOURCE CONFLICT",IF(OR(ISNUMBER(SEARCH("CCB",D21)),ISNUMBER(SEARCH("Pending",D21))),"CCB/PENDING",IF(OR(ISNUMBER(SEARCH("Expired",D21)),ISNUMBER(SEARCH("Closed",D21))),"CLOSED/EXPIRED",IF(E21="","NO RELEASE DATE","REVIEW APPROVAL"))))</f>
        <v/>
      </c>
      <c r="N21" s="34">
        <f>IF(K21&lt;&gt;"","HIGH: SOURCE CONFLICT",IF(AND(L21="END DATE NOT PASSED",M21="REVIEW APPROVAL"),"HIGH: VERIFY",IF(L21="END DATE NOT PASSED","MEDIUM: CHECK STATUS","LOW: HISTORICAL")))</f>
        <v/>
      </c>
      <c r="O21" s="33" t="inlineStr">
        <is>
          <t>Validar documento firmado, revision/WO/sitio, material afectado y evidencia antes de activar alerta automatica.</t>
        </is>
      </c>
    </row>
    <row r="22">
      <c r="A22" s="43" t="inlineStr">
        <is>
          <t>CTANJZ04504</t>
        </is>
      </c>
      <c r="B22" s="43" t="inlineStr">
        <is>
          <t>D602218</t>
        </is>
      </c>
      <c r="C22" s="43" t="inlineStr">
        <is>
          <t>STBU</t>
        </is>
      </c>
      <c r="D22" s="43" t="inlineStr">
        <is>
          <t>Expired</t>
        </is>
      </c>
      <c r="E22" s="32" t="n">
        <v>45748</v>
      </c>
      <c r="F22" s="32" t="n">
        <v>45824</v>
      </c>
      <c r="G22" s="43" t="n">
        <v>3</v>
      </c>
      <c r="H22" s="43" t="n">
        <v>3</v>
      </c>
      <c r="I22" s="33" t="inlineStr">
        <is>
          <t>73-18489-07</t>
        </is>
      </c>
      <c r="J22" s="33" t="inlineStr"/>
      <c r="K22" s="33" t="inlineStr"/>
      <c r="L22" s="34">
        <f>IF(F22="","REVIEW: DATE CONFLICT/EMPTY",IF(F22&lt;'Change Overview'!$B$5,"END DATE PASSED","END DATE NOT PASSED"))</f>
        <v/>
      </c>
      <c r="M22" s="34">
        <f>IF(K22&lt;&gt;"","REVIEW SOURCE CONFLICT",IF(OR(ISNUMBER(SEARCH("CCB",D22)),ISNUMBER(SEARCH("Pending",D22))),"CCB/PENDING",IF(OR(ISNUMBER(SEARCH("Expired",D22)),ISNUMBER(SEARCH("Closed",D22))),"CLOSED/EXPIRED",IF(E22="","NO RELEASE DATE","REVIEW APPROVAL"))))</f>
        <v/>
      </c>
      <c r="N22" s="34">
        <f>IF(K22&lt;&gt;"","HIGH: SOURCE CONFLICT",IF(AND(L22="END DATE NOT PASSED",M22="REVIEW APPROVAL"),"HIGH: VERIFY",IF(L22="END DATE NOT PASSED","MEDIUM: CHECK STATUS","LOW: HISTORICAL")))</f>
        <v/>
      </c>
      <c r="O22" s="33" t="inlineStr">
        <is>
          <t>Validar documento firmado, revision/WO/sitio, material afectado y evidencia antes de activar alerta automatica.</t>
        </is>
      </c>
    </row>
    <row r="23">
      <c r="A23" s="43" t="inlineStr">
        <is>
          <t>CTANJZ04506</t>
        </is>
      </c>
      <c r="B23" s="43" t="inlineStr">
        <is>
          <t>D602909</t>
        </is>
      </c>
      <c r="C23" s="43" t="inlineStr">
        <is>
          <t>SRGBU</t>
        </is>
      </c>
      <c r="D23" s="43" t="inlineStr">
        <is>
          <t>Expired</t>
        </is>
      </c>
      <c r="E23" s="32" t="n">
        <v>45748</v>
      </c>
      <c r="F23" s="32" t="n">
        <v>45826</v>
      </c>
      <c r="G23" s="43" t="n">
        <v>2</v>
      </c>
      <c r="H23" s="43" t="n">
        <v>2</v>
      </c>
      <c r="I23" s="33" t="inlineStr"/>
      <c r="J23" s="33" t="inlineStr"/>
      <c r="K23" s="33" t="inlineStr"/>
      <c r="L23" s="34">
        <f>IF(F23="","REVIEW: DATE CONFLICT/EMPTY",IF(F23&lt;'Change Overview'!$B$5,"END DATE PASSED","END DATE NOT PASSED"))</f>
        <v/>
      </c>
      <c r="M23" s="34">
        <f>IF(K23&lt;&gt;"","REVIEW SOURCE CONFLICT",IF(OR(ISNUMBER(SEARCH("CCB",D23)),ISNUMBER(SEARCH("Pending",D23))),"CCB/PENDING",IF(OR(ISNUMBER(SEARCH("Expired",D23)),ISNUMBER(SEARCH("Closed",D23))),"CLOSED/EXPIRED",IF(E23="","NO RELEASE DATE","REVIEW APPROVAL"))))</f>
        <v/>
      </c>
      <c r="N23" s="34">
        <f>IF(K23&lt;&gt;"","HIGH: SOURCE CONFLICT",IF(AND(L23="END DATE NOT PASSED",M23="REVIEW APPROVAL"),"HIGH: VERIFY",IF(L23="END DATE NOT PASSED","MEDIUM: CHECK STATUS","LOW: HISTORICAL")))</f>
        <v/>
      </c>
      <c r="O23" s="33" t="inlineStr">
        <is>
          <t>Validar documento firmado, revision/WO/sitio, material afectado y evidencia antes de activar alerta automatica.</t>
        </is>
      </c>
    </row>
    <row r="24">
      <c r="A24" s="43" t="inlineStr">
        <is>
          <t>CTANJZ04510</t>
        </is>
      </c>
      <c r="B24" s="43" t="inlineStr">
        <is>
          <t>D601185</t>
        </is>
      </c>
      <c r="C24" s="43" t="inlineStr">
        <is>
          <t>STBU</t>
        </is>
      </c>
      <c r="D24" s="43" t="inlineStr">
        <is>
          <t>Expired</t>
        </is>
      </c>
      <c r="E24" s="32" t="n">
        <v>45757</v>
      </c>
      <c r="F24" s="32" t="n">
        <v>45827</v>
      </c>
      <c r="G24" s="43" t="n">
        <v>3</v>
      </c>
      <c r="H24" s="43" t="n">
        <v>3</v>
      </c>
      <c r="I24" s="33" t="inlineStr">
        <is>
          <t>73-20247-05</t>
        </is>
      </c>
      <c r="J24" s="33" t="inlineStr"/>
      <c r="K24" s="33" t="inlineStr"/>
      <c r="L24" s="34">
        <f>IF(F24="","REVIEW: DATE CONFLICT/EMPTY",IF(F24&lt;'Change Overview'!$B$5,"END DATE PASSED","END DATE NOT PASSED"))</f>
        <v/>
      </c>
      <c r="M24" s="34">
        <f>IF(K24&lt;&gt;"","REVIEW SOURCE CONFLICT",IF(OR(ISNUMBER(SEARCH("CCB",D24)),ISNUMBER(SEARCH("Pending",D24))),"CCB/PENDING",IF(OR(ISNUMBER(SEARCH("Expired",D24)),ISNUMBER(SEARCH("Closed",D24))),"CLOSED/EXPIRED",IF(E24="","NO RELEASE DATE","REVIEW APPROVAL"))))</f>
        <v/>
      </c>
      <c r="N24" s="34">
        <f>IF(K24&lt;&gt;"","HIGH: SOURCE CONFLICT",IF(AND(L24="END DATE NOT PASSED",M24="REVIEW APPROVAL"),"HIGH: VERIFY",IF(L24="END DATE NOT PASSED","MEDIUM: CHECK STATUS","LOW: HISTORICAL")))</f>
        <v/>
      </c>
      <c r="O24" s="33" t="inlineStr">
        <is>
          <t>Validar documento firmado, revision/WO/sitio, material afectado y evidencia antes de activar alerta automatica.</t>
        </is>
      </c>
    </row>
    <row r="25">
      <c r="A25" s="43" t="inlineStr">
        <is>
          <t>CTANJZ04512</t>
        </is>
      </c>
      <c r="B25" s="43" t="inlineStr">
        <is>
          <t>D602969</t>
        </is>
      </c>
      <c r="C25" s="43" t="inlineStr">
        <is>
          <t>STBU</t>
        </is>
      </c>
      <c r="D25" s="43" t="inlineStr">
        <is>
          <t>Expired</t>
        </is>
      </c>
      <c r="E25" s="32" t="n">
        <v>45750</v>
      </c>
      <c r="F25" s="32" t="n">
        <v>45920</v>
      </c>
      <c r="G25" s="43" t="n">
        <v>8</v>
      </c>
      <c r="H25" s="43" t="n">
        <v>8</v>
      </c>
      <c r="I25" s="33" t="inlineStr">
        <is>
          <t>73-20247-05, 73-20249-05</t>
        </is>
      </c>
      <c r="J25" s="33" t="inlineStr"/>
      <c r="K25" s="33" t="inlineStr"/>
      <c r="L25" s="34">
        <f>IF(F25="","REVIEW: DATE CONFLICT/EMPTY",IF(F25&lt;'Change Overview'!$B$5,"END DATE PASSED","END DATE NOT PASSED"))</f>
        <v/>
      </c>
      <c r="M25" s="34">
        <f>IF(K25&lt;&gt;"","REVIEW SOURCE CONFLICT",IF(OR(ISNUMBER(SEARCH("CCB",D25)),ISNUMBER(SEARCH("Pending",D25))),"CCB/PENDING",IF(OR(ISNUMBER(SEARCH("Expired",D25)),ISNUMBER(SEARCH("Closed",D25))),"CLOSED/EXPIRED",IF(E25="","NO RELEASE DATE","REVIEW APPROVAL"))))</f>
        <v/>
      </c>
      <c r="N25" s="34">
        <f>IF(K25&lt;&gt;"","HIGH: SOURCE CONFLICT",IF(AND(L25="END DATE NOT PASSED",M25="REVIEW APPROVAL"),"HIGH: VERIFY",IF(L25="END DATE NOT PASSED","MEDIUM: CHECK STATUS","LOW: HISTORICAL")))</f>
        <v/>
      </c>
      <c r="O25" s="33" t="inlineStr">
        <is>
          <t>Validar documento firmado, revision/WO/sitio, material afectado y evidencia antes de activar alerta automatica.</t>
        </is>
      </c>
    </row>
    <row r="26">
      <c r="A26" s="43" t="inlineStr">
        <is>
          <t>CTANJZ04515</t>
        </is>
      </c>
      <c r="B26" s="43" t="inlineStr">
        <is>
          <t>D602888</t>
        </is>
      </c>
      <c r="C26" s="43" t="inlineStr">
        <is>
          <t>STBU</t>
        </is>
      </c>
      <c r="D26" s="43" t="inlineStr">
        <is>
          <t>Expired</t>
        </is>
      </c>
      <c r="E26" s="32" t="n">
        <v>45750</v>
      </c>
      <c r="F26" s="32" t="n">
        <v>45830</v>
      </c>
      <c r="G26" s="43" t="n">
        <v>1</v>
      </c>
      <c r="H26" s="43" t="n">
        <v>1</v>
      </c>
      <c r="I26" s="33" t="inlineStr"/>
      <c r="J26" s="33" t="inlineStr"/>
      <c r="K26" s="33" t="inlineStr"/>
      <c r="L26" s="34">
        <f>IF(F26="","REVIEW: DATE CONFLICT/EMPTY",IF(F26&lt;'Change Overview'!$B$5,"END DATE PASSED","END DATE NOT PASSED"))</f>
        <v/>
      </c>
      <c r="M26" s="34">
        <f>IF(K26&lt;&gt;"","REVIEW SOURCE CONFLICT",IF(OR(ISNUMBER(SEARCH("CCB",D26)),ISNUMBER(SEARCH("Pending",D26))),"CCB/PENDING",IF(OR(ISNUMBER(SEARCH("Expired",D26)),ISNUMBER(SEARCH("Closed",D26))),"CLOSED/EXPIRED",IF(E26="","NO RELEASE DATE","REVIEW APPROVAL"))))</f>
        <v/>
      </c>
      <c r="N26" s="34">
        <f>IF(K26&lt;&gt;"","HIGH: SOURCE CONFLICT",IF(AND(L26="END DATE NOT PASSED",M26="REVIEW APPROVAL"),"HIGH: VERIFY",IF(L26="END DATE NOT PASSED","MEDIUM: CHECK STATUS","LOW: HISTORICAL")))</f>
        <v/>
      </c>
      <c r="O26" s="33" t="inlineStr">
        <is>
          <t>Validar documento firmado, revision/WO/sitio, material afectado y evidencia antes de activar alerta automatica.</t>
        </is>
      </c>
    </row>
    <row r="27">
      <c r="A27" s="43" t="inlineStr">
        <is>
          <t>CTANJZ04518</t>
        </is>
      </c>
      <c r="B27" s="43" t="inlineStr">
        <is>
          <t>D602944</t>
        </is>
      </c>
      <c r="C27" s="43" t="inlineStr">
        <is>
          <t>CVEBU</t>
        </is>
      </c>
      <c r="D27" s="43" t="inlineStr">
        <is>
          <t>Expired</t>
        </is>
      </c>
      <c r="E27" s="32" t="n">
        <v>45751</v>
      </c>
      <c r="F27" s="32" t="n">
        <v>45831</v>
      </c>
      <c r="G27" s="43" t="n">
        <v>1</v>
      </c>
      <c r="H27" s="43" t="n">
        <v>1</v>
      </c>
      <c r="I27" s="33" t="inlineStr"/>
      <c r="J27" s="33" t="inlineStr"/>
      <c r="K27" s="33" t="inlineStr"/>
      <c r="L27" s="34">
        <f>IF(F27="","REVIEW: DATE CONFLICT/EMPTY",IF(F27&lt;'Change Overview'!$B$5,"END DATE PASSED","END DATE NOT PASSED"))</f>
        <v/>
      </c>
      <c r="M27" s="34">
        <f>IF(K27&lt;&gt;"","REVIEW SOURCE CONFLICT",IF(OR(ISNUMBER(SEARCH("CCB",D27)),ISNUMBER(SEARCH("Pending",D27))),"CCB/PENDING",IF(OR(ISNUMBER(SEARCH("Expired",D27)),ISNUMBER(SEARCH("Closed",D27))),"CLOSED/EXPIRED",IF(E27="","NO RELEASE DATE","REVIEW APPROVAL"))))</f>
        <v/>
      </c>
      <c r="N27" s="34">
        <f>IF(K27&lt;&gt;"","HIGH: SOURCE CONFLICT",IF(AND(L27="END DATE NOT PASSED",M27="REVIEW APPROVAL"),"HIGH: VERIFY",IF(L27="END DATE NOT PASSED","MEDIUM: CHECK STATUS","LOW: HISTORICAL")))</f>
        <v/>
      </c>
      <c r="O27" s="33" t="inlineStr">
        <is>
          <t>Validar documento firmado, revision/WO/sitio, material afectado y evidencia antes de activar alerta automatica.</t>
        </is>
      </c>
    </row>
    <row r="28">
      <c r="A28" s="43" t="inlineStr">
        <is>
          <t>CTANJZ04523</t>
        </is>
      </c>
      <c r="B28" s="43" t="inlineStr">
        <is>
          <t>DP524680</t>
        </is>
      </c>
      <c r="C28" s="43" t="inlineStr">
        <is>
          <t>IOTBU</t>
        </is>
      </c>
      <c r="D28" s="43" t="inlineStr">
        <is>
          <t>Expired</t>
        </is>
      </c>
      <c r="E28" s="32" t="n">
        <v>45751</v>
      </c>
      <c r="F28" s="32" t="n">
        <v>45801</v>
      </c>
      <c r="G28" s="43" t="n">
        <v>2</v>
      </c>
      <c r="H28" s="43" t="n">
        <v>2</v>
      </c>
      <c r="I28" s="33" t="inlineStr">
        <is>
          <t>73-103098-03</t>
        </is>
      </c>
      <c r="J28" s="33" t="inlineStr"/>
      <c r="K28" s="33" t="inlineStr"/>
      <c r="L28" s="34">
        <f>IF(F28="","REVIEW: DATE CONFLICT/EMPTY",IF(F28&lt;'Change Overview'!$B$5,"END DATE PASSED","END DATE NOT PASSED"))</f>
        <v/>
      </c>
      <c r="M28" s="34">
        <f>IF(K28&lt;&gt;"","REVIEW SOURCE CONFLICT",IF(OR(ISNUMBER(SEARCH("CCB",D28)),ISNUMBER(SEARCH("Pending",D28))),"CCB/PENDING",IF(OR(ISNUMBER(SEARCH("Expired",D28)),ISNUMBER(SEARCH("Closed",D28))),"CLOSED/EXPIRED",IF(E28="","NO RELEASE DATE","REVIEW APPROVAL"))))</f>
        <v/>
      </c>
      <c r="N28" s="34">
        <f>IF(K28&lt;&gt;"","HIGH: SOURCE CONFLICT",IF(AND(L28="END DATE NOT PASSED",M28="REVIEW APPROVAL"),"HIGH: VERIFY",IF(L28="END DATE NOT PASSED","MEDIUM: CHECK STATUS","LOW: HISTORICAL")))</f>
        <v/>
      </c>
      <c r="O28" s="33" t="inlineStr">
        <is>
          <t>Validar documento firmado, revision/WO/sitio, material afectado y evidencia antes de activar alerta automatica.</t>
        </is>
      </c>
    </row>
    <row r="29">
      <c r="A29" s="43" t="inlineStr">
        <is>
          <t>CTANJZ04524</t>
        </is>
      </c>
      <c r="B29" s="43" t="inlineStr">
        <is>
          <t>D603036</t>
        </is>
      </c>
      <c r="C29" s="43" t="inlineStr">
        <is>
          <t>STBU</t>
        </is>
      </c>
      <c r="D29" s="43" t="inlineStr">
        <is>
          <t>Expired</t>
        </is>
      </c>
      <c r="E29" s="32" t="n">
        <v>45751</v>
      </c>
      <c r="F29" s="32" t="n">
        <v>45831</v>
      </c>
      <c r="G29" s="43" t="n">
        <v>2</v>
      </c>
      <c r="H29" s="43" t="n">
        <v>2</v>
      </c>
      <c r="I29" s="33" t="inlineStr"/>
      <c r="J29" s="33" t="inlineStr"/>
      <c r="K29" s="33" t="inlineStr"/>
      <c r="L29" s="34">
        <f>IF(F29="","REVIEW: DATE CONFLICT/EMPTY",IF(F29&lt;'Change Overview'!$B$5,"END DATE PASSED","END DATE NOT PASSED"))</f>
        <v/>
      </c>
      <c r="M29" s="34">
        <f>IF(K29&lt;&gt;"","REVIEW SOURCE CONFLICT",IF(OR(ISNUMBER(SEARCH("CCB",D29)),ISNUMBER(SEARCH("Pending",D29))),"CCB/PENDING",IF(OR(ISNUMBER(SEARCH("Expired",D29)),ISNUMBER(SEARCH("Closed",D29))),"CLOSED/EXPIRED",IF(E29="","NO RELEASE DATE","REVIEW APPROVAL"))))</f>
        <v/>
      </c>
      <c r="N29" s="34">
        <f>IF(K29&lt;&gt;"","HIGH: SOURCE CONFLICT",IF(AND(L29="END DATE NOT PASSED",M29="REVIEW APPROVAL"),"HIGH: VERIFY",IF(L29="END DATE NOT PASSED","MEDIUM: CHECK STATUS","LOW: HISTORICAL")))</f>
        <v/>
      </c>
      <c r="O29" s="33" t="inlineStr">
        <is>
          <t>Validar documento firmado, revision/WO/sitio, material afectado y evidencia antes de activar alerta automatica.</t>
        </is>
      </c>
    </row>
    <row r="30">
      <c r="A30" s="43" t="inlineStr">
        <is>
          <t>CTANJZ04526</t>
        </is>
      </c>
      <c r="B30" s="43" t="inlineStr">
        <is>
          <t>D603054</t>
        </is>
      </c>
      <c r="C30" s="43" t="inlineStr">
        <is>
          <t>STBU</t>
        </is>
      </c>
      <c r="D30" s="43" t="inlineStr">
        <is>
          <t>Expired</t>
        </is>
      </c>
      <c r="E30" s="32" t="n">
        <v>45752</v>
      </c>
      <c r="F30" s="32" t="n">
        <v>45832</v>
      </c>
      <c r="G30" s="43" t="n">
        <v>4</v>
      </c>
      <c r="H30" s="43" t="n">
        <v>4</v>
      </c>
      <c r="I30" s="33" t="inlineStr"/>
      <c r="J30" s="33" t="inlineStr"/>
      <c r="K30" s="33" t="inlineStr"/>
      <c r="L30" s="34">
        <f>IF(F30="","REVIEW: DATE CONFLICT/EMPTY",IF(F30&lt;'Change Overview'!$B$5,"END DATE PASSED","END DATE NOT PASSED"))</f>
        <v/>
      </c>
      <c r="M30" s="34">
        <f>IF(K30&lt;&gt;"","REVIEW SOURCE CONFLICT",IF(OR(ISNUMBER(SEARCH("CCB",D30)),ISNUMBER(SEARCH("Pending",D30))),"CCB/PENDING",IF(OR(ISNUMBER(SEARCH("Expired",D30)),ISNUMBER(SEARCH("Closed",D30))),"CLOSED/EXPIRED",IF(E30="","NO RELEASE DATE","REVIEW APPROVAL"))))</f>
        <v/>
      </c>
      <c r="N30" s="34">
        <f>IF(K30&lt;&gt;"","HIGH: SOURCE CONFLICT",IF(AND(L30="END DATE NOT PASSED",M30="REVIEW APPROVAL"),"HIGH: VERIFY",IF(L30="END DATE NOT PASSED","MEDIUM: CHECK STATUS","LOW: HISTORICAL")))</f>
        <v/>
      </c>
      <c r="O30" s="33" t="inlineStr">
        <is>
          <t>Validar documento firmado, revision/WO/sitio, material afectado y evidencia antes de activar alerta automatica.</t>
        </is>
      </c>
    </row>
    <row r="31">
      <c r="A31" s="43" t="inlineStr">
        <is>
          <t>CTANJZ04532</t>
        </is>
      </c>
      <c r="B31" s="43" t="inlineStr">
        <is>
          <t>DP524725</t>
        </is>
      </c>
      <c r="C31" s="43" t="inlineStr">
        <is>
          <t>STBU</t>
        </is>
      </c>
      <c r="D31" s="43" t="inlineStr">
        <is>
          <t>Expired</t>
        </is>
      </c>
      <c r="E31" s="32" t="n">
        <v>45752</v>
      </c>
      <c r="F31" s="32" t="n">
        <v>45804</v>
      </c>
      <c r="G31" s="43" t="n">
        <v>1</v>
      </c>
      <c r="H31" s="43" t="n">
        <v>1</v>
      </c>
      <c r="I31" s="33" t="inlineStr">
        <is>
          <t>73-103558-03</t>
        </is>
      </c>
      <c r="J31" s="33" t="inlineStr"/>
      <c r="K31" s="33" t="inlineStr"/>
      <c r="L31" s="34">
        <f>IF(F31="","REVIEW: DATE CONFLICT/EMPTY",IF(F31&lt;'Change Overview'!$B$5,"END DATE PASSED","END DATE NOT PASSED"))</f>
        <v/>
      </c>
      <c r="M31" s="34">
        <f>IF(K31&lt;&gt;"","REVIEW SOURCE CONFLICT",IF(OR(ISNUMBER(SEARCH("CCB",D31)),ISNUMBER(SEARCH("Pending",D31))),"CCB/PENDING",IF(OR(ISNUMBER(SEARCH("Expired",D31)),ISNUMBER(SEARCH("Closed",D31))),"CLOSED/EXPIRED",IF(E31="","NO RELEASE DATE","REVIEW APPROVAL"))))</f>
        <v/>
      </c>
      <c r="N31" s="34">
        <f>IF(K31&lt;&gt;"","HIGH: SOURCE CONFLICT",IF(AND(L31="END DATE NOT PASSED",M31="REVIEW APPROVAL"),"HIGH: VERIFY",IF(L31="END DATE NOT PASSED","MEDIUM: CHECK STATUS","LOW: HISTORICAL")))</f>
        <v/>
      </c>
      <c r="O31" s="33" t="inlineStr">
        <is>
          <t>Validar documento firmado, revision/WO/sitio, material afectado y evidencia antes de activar alerta automatica.</t>
        </is>
      </c>
    </row>
    <row r="32">
      <c r="A32" s="43" t="inlineStr">
        <is>
          <t>CTANJZ04537</t>
        </is>
      </c>
      <c r="B32" s="43" t="inlineStr">
        <is>
          <t>D602319</t>
        </is>
      </c>
      <c r="C32" s="43" t="inlineStr">
        <is>
          <t>STBU</t>
        </is>
      </c>
      <c r="D32" s="43" t="inlineStr">
        <is>
          <t>Expired</t>
        </is>
      </c>
      <c r="E32" s="32" t="n">
        <v>45762</v>
      </c>
      <c r="F32" s="32" t="n">
        <v>45837</v>
      </c>
      <c r="G32" s="43" t="n">
        <v>12</v>
      </c>
      <c r="H32" s="43" t="n">
        <v>12</v>
      </c>
      <c r="I32" s="33" t="inlineStr">
        <is>
          <t>73-20247-05, 73-20249-05</t>
        </is>
      </c>
      <c r="J32" s="33" t="inlineStr"/>
      <c r="K32" s="33" t="inlineStr"/>
      <c r="L32" s="34">
        <f>IF(F32="","REVIEW: DATE CONFLICT/EMPTY",IF(F32&lt;'Change Overview'!$B$5,"END DATE PASSED","END DATE NOT PASSED"))</f>
        <v/>
      </c>
      <c r="M32" s="34">
        <f>IF(K32&lt;&gt;"","REVIEW SOURCE CONFLICT",IF(OR(ISNUMBER(SEARCH("CCB",D32)),ISNUMBER(SEARCH("Pending",D32))),"CCB/PENDING",IF(OR(ISNUMBER(SEARCH("Expired",D32)),ISNUMBER(SEARCH("Closed",D32))),"CLOSED/EXPIRED",IF(E32="","NO RELEASE DATE","REVIEW APPROVAL"))))</f>
        <v/>
      </c>
      <c r="N32" s="34">
        <f>IF(K32&lt;&gt;"","HIGH: SOURCE CONFLICT",IF(AND(L32="END DATE NOT PASSED",M32="REVIEW APPROVAL"),"HIGH: VERIFY",IF(L32="END DATE NOT PASSED","MEDIUM: CHECK STATUS","LOW: HISTORICAL")))</f>
        <v/>
      </c>
      <c r="O32" s="33" t="inlineStr">
        <is>
          <t>Validar documento firmado, revision/WO/sitio, material afectado y evidencia antes de activar alerta automatica.</t>
        </is>
      </c>
    </row>
    <row r="33">
      <c r="A33" s="43" t="inlineStr">
        <is>
          <t>CTANJZ04545</t>
        </is>
      </c>
      <c r="B33" s="43" t="inlineStr">
        <is>
          <t>D601188</t>
        </is>
      </c>
      <c r="C33" s="43" t="inlineStr">
        <is>
          <t>STBU</t>
        </is>
      </c>
      <c r="D33" s="43" t="inlineStr">
        <is>
          <t>Expired</t>
        </is>
      </c>
      <c r="E33" s="32" t="n">
        <v>45769</v>
      </c>
      <c r="F33" s="32" t="n">
        <v>45840</v>
      </c>
      <c r="G33" s="43" t="n">
        <v>3</v>
      </c>
      <c r="H33" s="43" t="n">
        <v>3</v>
      </c>
      <c r="I33" s="33" t="inlineStr">
        <is>
          <t>73-17498-04</t>
        </is>
      </c>
      <c r="J33" s="33" t="inlineStr"/>
      <c r="K33" s="33" t="inlineStr"/>
      <c r="L33" s="34">
        <f>IF(F33="","REVIEW: DATE CONFLICT/EMPTY",IF(F33&lt;'Change Overview'!$B$5,"END DATE PASSED","END DATE NOT PASSED"))</f>
        <v/>
      </c>
      <c r="M33" s="34">
        <f>IF(K33&lt;&gt;"","REVIEW SOURCE CONFLICT",IF(OR(ISNUMBER(SEARCH("CCB",D33)),ISNUMBER(SEARCH("Pending",D33))),"CCB/PENDING",IF(OR(ISNUMBER(SEARCH("Expired",D33)),ISNUMBER(SEARCH("Closed",D33))),"CLOSED/EXPIRED",IF(E33="","NO RELEASE DATE","REVIEW APPROVAL"))))</f>
        <v/>
      </c>
      <c r="N33" s="34">
        <f>IF(K33&lt;&gt;"","HIGH: SOURCE CONFLICT",IF(AND(L33="END DATE NOT PASSED",M33="REVIEW APPROVAL"),"HIGH: VERIFY",IF(L33="END DATE NOT PASSED","MEDIUM: CHECK STATUS","LOW: HISTORICAL")))</f>
        <v/>
      </c>
      <c r="O33" s="33" t="inlineStr">
        <is>
          <t>Validar documento firmado, revision/WO/sitio, material afectado y evidencia antes de activar alerta automatica.</t>
        </is>
      </c>
    </row>
    <row r="34">
      <c r="A34" s="43" t="inlineStr">
        <is>
          <t>CTANJZ04552</t>
        </is>
      </c>
      <c r="B34" s="43" t="inlineStr">
        <is>
          <t>D603244</t>
        </is>
      </c>
      <c r="C34" s="43" t="inlineStr">
        <is>
          <t>STBU</t>
        </is>
      </c>
      <c r="D34" s="43" t="inlineStr">
        <is>
          <t>Expired</t>
        </is>
      </c>
      <c r="E34" s="32" t="n">
        <v>45771</v>
      </c>
      <c r="F34" s="32" t="n">
        <v>45845</v>
      </c>
      <c r="G34" s="43" t="n">
        <v>9</v>
      </c>
      <c r="H34" s="43" t="n">
        <v>9</v>
      </c>
      <c r="I34" s="33" t="inlineStr">
        <is>
          <t>73-17567-12, 73-17568-12, 73-17569-10, 73-17570-10</t>
        </is>
      </c>
      <c r="J34" s="33" t="inlineStr"/>
      <c r="K34" s="33" t="inlineStr"/>
      <c r="L34" s="34">
        <f>IF(F34="","REVIEW: DATE CONFLICT/EMPTY",IF(F34&lt;'Change Overview'!$B$5,"END DATE PASSED","END DATE NOT PASSED"))</f>
        <v/>
      </c>
      <c r="M34" s="34">
        <f>IF(K34&lt;&gt;"","REVIEW SOURCE CONFLICT",IF(OR(ISNUMBER(SEARCH("CCB",D34)),ISNUMBER(SEARCH("Pending",D34))),"CCB/PENDING",IF(OR(ISNUMBER(SEARCH("Expired",D34)),ISNUMBER(SEARCH("Closed",D34))),"CLOSED/EXPIRED",IF(E34="","NO RELEASE DATE","REVIEW APPROVAL"))))</f>
        <v/>
      </c>
      <c r="N34" s="34">
        <f>IF(K34&lt;&gt;"","HIGH: SOURCE CONFLICT",IF(AND(L34="END DATE NOT PASSED",M34="REVIEW APPROVAL"),"HIGH: VERIFY",IF(L34="END DATE NOT PASSED","MEDIUM: CHECK STATUS","LOW: HISTORICAL")))</f>
        <v/>
      </c>
      <c r="O34" s="33" t="inlineStr">
        <is>
          <t>Validar documento firmado, revision/WO/sitio, material afectado y evidencia antes de activar alerta automatica.</t>
        </is>
      </c>
    </row>
    <row r="35">
      <c r="A35" s="43" t="inlineStr">
        <is>
          <t>CTANJZ04555</t>
        </is>
      </c>
      <c r="B35" s="43" t="inlineStr">
        <is>
          <t>D603224</t>
        </is>
      </c>
      <c r="C35" s="43" t="inlineStr">
        <is>
          <t>SRGBU</t>
        </is>
      </c>
      <c r="D35" s="43" t="inlineStr">
        <is>
          <t>Expired</t>
        </is>
      </c>
      <c r="E35" s="32" t="n">
        <v>45772</v>
      </c>
      <c r="F35" s="32" t="n">
        <v>45845</v>
      </c>
      <c r="G35" s="43" t="n">
        <v>4</v>
      </c>
      <c r="H35" s="43" t="n">
        <v>4</v>
      </c>
      <c r="I35" s="33" t="inlineStr"/>
      <c r="J35" s="33" t="inlineStr"/>
      <c r="K35" s="33" t="inlineStr"/>
      <c r="L35" s="34">
        <f>IF(F35="","REVIEW: DATE CONFLICT/EMPTY",IF(F35&lt;'Change Overview'!$B$5,"END DATE PASSED","END DATE NOT PASSED"))</f>
        <v/>
      </c>
      <c r="M35" s="34">
        <f>IF(K35&lt;&gt;"","REVIEW SOURCE CONFLICT",IF(OR(ISNUMBER(SEARCH("CCB",D35)),ISNUMBER(SEARCH("Pending",D35))),"CCB/PENDING",IF(OR(ISNUMBER(SEARCH("Expired",D35)),ISNUMBER(SEARCH("Closed",D35))),"CLOSED/EXPIRED",IF(E35="","NO RELEASE DATE","REVIEW APPROVAL"))))</f>
        <v/>
      </c>
      <c r="N35" s="34">
        <f>IF(K35&lt;&gt;"","HIGH: SOURCE CONFLICT",IF(AND(L35="END DATE NOT PASSED",M35="REVIEW APPROVAL"),"HIGH: VERIFY",IF(L35="END DATE NOT PASSED","MEDIUM: CHECK STATUS","LOW: HISTORICAL")))</f>
        <v/>
      </c>
      <c r="O35" s="33" t="inlineStr">
        <is>
          <t>Validar documento firmado, revision/WO/sitio, material afectado y evidencia antes de activar alerta automatica.</t>
        </is>
      </c>
    </row>
    <row r="36">
      <c r="A36" s="43" t="inlineStr">
        <is>
          <t>CTANJZ04556</t>
        </is>
      </c>
      <c r="B36" s="43" t="inlineStr">
        <is>
          <t>D603102</t>
        </is>
      </c>
      <c r="C36" s="43" t="inlineStr">
        <is>
          <t>STBU</t>
        </is>
      </c>
      <c r="D36" s="43" t="inlineStr">
        <is>
          <t>Expired</t>
        </is>
      </c>
      <c r="E36" s="32" t="n">
        <v>45771</v>
      </c>
      <c r="F36" s="32" t="n">
        <v>45936</v>
      </c>
      <c r="G36" s="43" t="n">
        <v>6</v>
      </c>
      <c r="H36" s="43" t="n">
        <v>6</v>
      </c>
      <c r="I36" s="33" t="inlineStr">
        <is>
          <t>73-20247-05, 73-20249-05</t>
        </is>
      </c>
      <c r="J36" s="33" t="inlineStr"/>
      <c r="K36" s="33" t="inlineStr"/>
      <c r="L36" s="34">
        <f>IF(F36="","REVIEW: DATE CONFLICT/EMPTY",IF(F36&lt;'Change Overview'!$B$5,"END DATE PASSED","END DATE NOT PASSED"))</f>
        <v/>
      </c>
      <c r="M36" s="34">
        <f>IF(K36&lt;&gt;"","REVIEW SOURCE CONFLICT",IF(OR(ISNUMBER(SEARCH("CCB",D36)),ISNUMBER(SEARCH("Pending",D36))),"CCB/PENDING",IF(OR(ISNUMBER(SEARCH("Expired",D36)),ISNUMBER(SEARCH("Closed",D36))),"CLOSED/EXPIRED",IF(E36="","NO RELEASE DATE","REVIEW APPROVAL"))))</f>
        <v/>
      </c>
      <c r="N36" s="34">
        <f>IF(K36&lt;&gt;"","HIGH: SOURCE CONFLICT",IF(AND(L36="END DATE NOT PASSED",M36="REVIEW APPROVAL"),"HIGH: VERIFY",IF(L36="END DATE NOT PASSED","MEDIUM: CHECK STATUS","LOW: HISTORICAL")))</f>
        <v/>
      </c>
      <c r="O36" s="33" t="inlineStr">
        <is>
          <t>Validar documento firmado, revision/WO/sitio, material afectado y evidencia antes de activar alerta automatica.</t>
        </is>
      </c>
    </row>
    <row r="37">
      <c r="A37" s="43" t="inlineStr">
        <is>
          <t>CTANJZ04557</t>
        </is>
      </c>
      <c r="B37" s="43" t="inlineStr">
        <is>
          <t>D603243</t>
        </is>
      </c>
      <c r="C37" s="43" t="inlineStr">
        <is>
          <t>STBU</t>
        </is>
      </c>
      <c r="D37" s="43" t="inlineStr">
        <is>
          <t>Expired</t>
        </is>
      </c>
      <c r="E37" s="32" t="n">
        <v>45771</v>
      </c>
      <c r="F37" s="32" t="n">
        <v>45847</v>
      </c>
      <c r="G37" s="43" t="n">
        <v>9</v>
      </c>
      <c r="H37" s="43" t="n">
        <v>9</v>
      </c>
      <c r="I37" s="33" t="inlineStr">
        <is>
          <t>73-18488-07, 73-18489-07, 73-18490-09, 73-21007-02</t>
        </is>
      </c>
      <c r="J37" s="33" t="inlineStr"/>
      <c r="K37" s="33" t="inlineStr"/>
      <c r="L37" s="34">
        <f>IF(F37="","REVIEW: DATE CONFLICT/EMPTY",IF(F37&lt;'Change Overview'!$B$5,"END DATE PASSED","END DATE NOT PASSED"))</f>
        <v/>
      </c>
      <c r="M37" s="34">
        <f>IF(K37&lt;&gt;"","REVIEW SOURCE CONFLICT",IF(OR(ISNUMBER(SEARCH("CCB",D37)),ISNUMBER(SEARCH("Pending",D37))),"CCB/PENDING",IF(OR(ISNUMBER(SEARCH("Expired",D37)),ISNUMBER(SEARCH("Closed",D37))),"CLOSED/EXPIRED",IF(E37="","NO RELEASE DATE","REVIEW APPROVAL"))))</f>
        <v/>
      </c>
      <c r="N37" s="34">
        <f>IF(K37&lt;&gt;"","HIGH: SOURCE CONFLICT",IF(AND(L37="END DATE NOT PASSED",M37="REVIEW APPROVAL"),"HIGH: VERIFY",IF(L37="END DATE NOT PASSED","MEDIUM: CHECK STATUS","LOW: HISTORICAL")))</f>
        <v/>
      </c>
      <c r="O37" s="33" t="inlineStr">
        <is>
          <t>Validar documento firmado, revision/WO/sitio, material afectado y evidencia antes de activar alerta automatica.</t>
        </is>
      </c>
    </row>
    <row r="38">
      <c r="A38" s="43" t="inlineStr">
        <is>
          <t>CTANJZ04568</t>
        </is>
      </c>
      <c r="B38" s="43" t="inlineStr">
        <is>
          <t>D603037</t>
        </is>
      </c>
      <c r="C38" s="43" t="inlineStr">
        <is>
          <t>STBU</t>
        </is>
      </c>
      <c r="D38" s="43" t="inlineStr">
        <is>
          <t>Expired</t>
        </is>
      </c>
      <c r="E38" s="32" t="n">
        <v>45779</v>
      </c>
      <c r="F38" s="32" t="n">
        <v>45853</v>
      </c>
      <c r="G38" s="43" t="n">
        <v>23</v>
      </c>
      <c r="H38" s="43" t="n">
        <v>23</v>
      </c>
      <c r="I38" s="33" t="inlineStr"/>
      <c r="J38" s="33" t="inlineStr"/>
      <c r="K38" s="33" t="inlineStr"/>
      <c r="L38" s="34">
        <f>IF(F38="","REVIEW: DATE CONFLICT/EMPTY",IF(F38&lt;'Change Overview'!$B$5,"END DATE PASSED","END DATE NOT PASSED"))</f>
        <v/>
      </c>
      <c r="M38" s="34">
        <f>IF(K38&lt;&gt;"","REVIEW SOURCE CONFLICT",IF(OR(ISNUMBER(SEARCH("CCB",D38)),ISNUMBER(SEARCH("Pending",D38))),"CCB/PENDING",IF(OR(ISNUMBER(SEARCH("Expired",D38)),ISNUMBER(SEARCH("Closed",D38))),"CLOSED/EXPIRED",IF(E38="","NO RELEASE DATE","REVIEW APPROVAL"))))</f>
        <v/>
      </c>
      <c r="N38" s="34">
        <f>IF(K38&lt;&gt;"","HIGH: SOURCE CONFLICT",IF(AND(L38="END DATE NOT PASSED",M38="REVIEW APPROVAL"),"HIGH: VERIFY",IF(L38="END DATE NOT PASSED","MEDIUM: CHECK STATUS","LOW: HISTORICAL")))</f>
        <v/>
      </c>
      <c r="O38" s="33" t="inlineStr">
        <is>
          <t>Validar documento firmado, revision/WO/sitio, material afectado y evidencia antes de activar alerta automatica.</t>
        </is>
      </c>
    </row>
    <row r="39">
      <c r="A39" s="43" t="inlineStr">
        <is>
          <t>CTANJZ04571</t>
        </is>
      </c>
      <c r="B39" s="43" t="inlineStr">
        <is>
          <t>D603340</t>
        </is>
      </c>
      <c r="C39" s="43" t="inlineStr">
        <is>
          <t>IOTBU</t>
        </is>
      </c>
      <c r="D39" s="43" t="inlineStr">
        <is>
          <t>Expired</t>
        </is>
      </c>
      <c r="E39" s="32" t="n">
        <v>45773</v>
      </c>
      <c r="F39" s="32" t="n">
        <v>45855</v>
      </c>
      <c r="G39" s="43" t="n">
        <v>1</v>
      </c>
      <c r="H39" s="43" t="n">
        <v>1</v>
      </c>
      <c r="I39" s="33" t="inlineStr"/>
      <c r="J39" s="33" t="inlineStr"/>
      <c r="K39" s="33" t="inlineStr"/>
      <c r="L39" s="34">
        <f>IF(F39="","REVIEW: DATE CONFLICT/EMPTY",IF(F39&lt;'Change Overview'!$B$5,"END DATE PASSED","END DATE NOT PASSED"))</f>
        <v/>
      </c>
      <c r="M39" s="34">
        <f>IF(K39&lt;&gt;"","REVIEW SOURCE CONFLICT",IF(OR(ISNUMBER(SEARCH("CCB",D39)),ISNUMBER(SEARCH("Pending",D39))),"CCB/PENDING",IF(OR(ISNUMBER(SEARCH("Expired",D39)),ISNUMBER(SEARCH("Closed",D39))),"CLOSED/EXPIRED",IF(E39="","NO RELEASE DATE","REVIEW APPROVAL"))))</f>
        <v/>
      </c>
      <c r="N39" s="34">
        <f>IF(K39&lt;&gt;"","HIGH: SOURCE CONFLICT",IF(AND(L39="END DATE NOT PASSED",M39="REVIEW APPROVAL"),"HIGH: VERIFY",IF(L39="END DATE NOT PASSED","MEDIUM: CHECK STATUS","LOW: HISTORICAL")))</f>
        <v/>
      </c>
      <c r="O39" s="33" t="inlineStr">
        <is>
          <t>Validar documento firmado, revision/WO/sitio, material afectado y evidencia antes de activar alerta automatica.</t>
        </is>
      </c>
    </row>
    <row r="40">
      <c r="A40" s="43" t="inlineStr">
        <is>
          <t>CTANJZ04573</t>
        </is>
      </c>
      <c r="B40" s="43" t="inlineStr">
        <is>
          <t>D603428</t>
        </is>
      </c>
      <c r="C40" s="43" t="inlineStr">
        <is>
          <t>SRGBU</t>
        </is>
      </c>
      <c r="D40" s="43" t="inlineStr">
        <is>
          <t>Expired</t>
        </is>
      </c>
      <c r="E40" s="32" t="n">
        <v>45779</v>
      </c>
      <c r="F40" s="32" t="n">
        <v>45858</v>
      </c>
      <c r="G40" s="43" t="n">
        <v>1</v>
      </c>
      <c r="H40" s="43" t="n">
        <v>1</v>
      </c>
      <c r="I40" s="33" t="inlineStr"/>
      <c r="J40" s="33" t="inlineStr"/>
      <c r="K40" s="33" t="inlineStr"/>
      <c r="L40" s="34">
        <f>IF(F40="","REVIEW: DATE CONFLICT/EMPTY",IF(F40&lt;'Change Overview'!$B$5,"END DATE PASSED","END DATE NOT PASSED"))</f>
        <v/>
      </c>
      <c r="M40" s="34">
        <f>IF(K40&lt;&gt;"","REVIEW SOURCE CONFLICT",IF(OR(ISNUMBER(SEARCH("CCB",D40)),ISNUMBER(SEARCH("Pending",D40))),"CCB/PENDING",IF(OR(ISNUMBER(SEARCH("Expired",D40)),ISNUMBER(SEARCH("Closed",D40))),"CLOSED/EXPIRED",IF(E40="","NO RELEASE DATE","REVIEW APPROVAL"))))</f>
        <v/>
      </c>
      <c r="N40" s="34">
        <f>IF(K40&lt;&gt;"","HIGH: SOURCE CONFLICT",IF(AND(L40="END DATE NOT PASSED",M40="REVIEW APPROVAL"),"HIGH: VERIFY",IF(L40="END DATE NOT PASSED","MEDIUM: CHECK STATUS","LOW: HISTORICAL")))</f>
        <v/>
      </c>
      <c r="O40" s="33" t="inlineStr">
        <is>
          <t>Validar documento firmado, revision/WO/sitio, material afectado y evidencia antes de activar alerta automatica.</t>
        </is>
      </c>
    </row>
    <row r="41">
      <c r="A41" s="43" t="inlineStr">
        <is>
          <t>CTANJZ04575</t>
        </is>
      </c>
      <c r="B41" s="43" t="inlineStr">
        <is>
          <t>D603354</t>
        </is>
      </c>
      <c r="C41" s="43" t="inlineStr">
        <is>
          <t>SRGBU</t>
        </is>
      </c>
      <c r="D41" s="43" t="inlineStr">
        <is>
          <t>Expired</t>
        </is>
      </c>
      <c r="E41" s="32" t="n">
        <v>45779</v>
      </c>
      <c r="F41" s="32" t="n">
        <v>45858</v>
      </c>
      <c r="G41" s="43" t="n">
        <v>1</v>
      </c>
      <c r="H41" s="43" t="n">
        <v>1</v>
      </c>
      <c r="I41" s="33" t="inlineStr"/>
      <c r="J41" s="33" t="inlineStr"/>
      <c r="K41" s="33" t="inlineStr"/>
      <c r="L41" s="34">
        <f>IF(F41="","REVIEW: DATE CONFLICT/EMPTY",IF(F41&lt;'Change Overview'!$B$5,"END DATE PASSED","END DATE NOT PASSED"))</f>
        <v/>
      </c>
      <c r="M41" s="34">
        <f>IF(K41&lt;&gt;"","REVIEW SOURCE CONFLICT",IF(OR(ISNUMBER(SEARCH("CCB",D41)),ISNUMBER(SEARCH("Pending",D41))),"CCB/PENDING",IF(OR(ISNUMBER(SEARCH("Expired",D41)),ISNUMBER(SEARCH("Closed",D41))),"CLOSED/EXPIRED",IF(E41="","NO RELEASE DATE","REVIEW APPROVAL"))))</f>
        <v/>
      </c>
      <c r="N41" s="34">
        <f>IF(K41&lt;&gt;"","HIGH: SOURCE CONFLICT",IF(AND(L41="END DATE NOT PASSED",M41="REVIEW APPROVAL"),"HIGH: VERIFY",IF(L41="END DATE NOT PASSED","MEDIUM: CHECK STATUS","LOW: HISTORICAL")))</f>
        <v/>
      </c>
      <c r="O41" s="33" t="inlineStr">
        <is>
          <t>Validar documento firmado, revision/WO/sitio, material afectado y evidencia antes de activar alerta automatica.</t>
        </is>
      </c>
    </row>
    <row r="42">
      <c r="A42" s="43" t="inlineStr">
        <is>
          <t>CTANJZ04578</t>
        </is>
      </c>
      <c r="B42" s="43" t="inlineStr">
        <is>
          <t>D603342</t>
        </is>
      </c>
      <c r="C42" s="43" t="inlineStr">
        <is>
          <t>STBU</t>
        </is>
      </c>
      <c r="D42" s="43" t="inlineStr">
        <is>
          <t>Expired</t>
        </is>
      </c>
      <c r="E42" s="32" t="n">
        <v>45791</v>
      </c>
      <c r="F42" s="32" t="n">
        <v>45860</v>
      </c>
      <c r="G42" s="43" t="n">
        <v>3</v>
      </c>
      <c r="H42" s="43" t="n">
        <v>3</v>
      </c>
      <c r="I42" s="33" t="inlineStr">
        <is>
          <t>73-102435-05</t>
        </is>
      </c>
      <c r="J42" s="33" t="inlineStr"/>
      <c r="K42" s="33" t="inlineStr"/>
      <c r="L42" s="34">
        <f>IF(F42="","REVIEW: DATE CONFLICT/EMPTY",IF(F42&lt;'Change Overview'!$B$5,"END DATE PASSED","END DATE NOT PASSED"))</f>
        <v/>
      </c>
      <c r="M42" s="34">
        <f>IF(K42&lt;&gt;"","REVIEW SOURCE CONFLICT",IF(OR(ISNUMBER(SEARCH("CCB",D42)),ISNUMBER(SEARCH("Pending",D42))),"CCB/PENDING",IF(OR(ISNUMBER(SEARCH("Expired",D42)),ISNUMBER(SEARCH("Closed",D42))),"CLOSED/EXPIRED",IF(E42="","NO RELEASE DATE","REVIEW APPROVAL"))))</f>
        <v/>
      </c>
      <c r="N42" s="34">
        <f>IF(K42&lt;&gt;"","HIGH: SOURCE CONFLICT",IF(AND(L42="END DATE NOT PASSED",M42="REVIEW APPROVAL"),"HIGH: VERIFY",IF(L42="END DATE NOT PASSED","MEDIUM: CHECK STATUS","LOW: HISTORICAL")))</f>
        <v/>
      </c>
      <c r="O42" s="33" t="inlineStr">
        <is>
          <t>Validar documento firmado, revision/WO/sitio, material afectado y evidencia antes de activar alerta automatica.</t>
        </is>
      </c>
    </row>
    <row r="43">
      <c r="A43" s="43" t="inlineStr">
        <is>
          <t>CTANJZ04580</t>
        </is>
      </c>
      <c r="B43" s="43" t="inlineStr">
        <is>
          <t>D603575</t>
        </is>
      </c>
      <c r="C43" s="43" t="inlineStr">
        <is>
          <t>SRGBU</t>
        </is>
      </c>
      <c r="D43" s="43" t="inlineStr">
        <is>
          <t>Expired</t>
        </is>
      </c>
      <c r="E43" s="32" t="n">
        <v>45791</v>
      </c>
      <c r="F43" s="32" t="n">
        <v>45865</v>
      </c>
      <c r="G43" s="43" t="n">
        <v>1</v>
      </c>
      <c r="H43" s="43" t="n">
        <v>1</v>
      </c>
      <c r="I43" s="33" t="inlineStr"/>
      <c r="J43" s="33" t="inlineStr"/>
      <c r="K43" s="33" t="inlineStr"/>
      <c r="L43" s="34">
        <f>IF(F43="","REVIEW: DATE CONFLICT/EMPTY",IF(F43&lt;'Change Overview'!$B$5,"END DATE PASSED","END DATE NOT PASSED"))</f>
        <v/>
      </c>
      <c r="M43" s="34">
        <f>IF(K43&lt;&gt;"","REVIEW SOURCE CONFLICT",IF(OR(ISNUMBER(SEARCH("CCB",D43)),ISNUMBER(SEARCH("Pending",D43))),"CCB/PENDING",IF(OR(ISNUMBER(SEARCH("Expired",D43)),ISNUMBER(SEARCH("Closed",D43))),"CLOSED/EXPIRED",IF(E43="","NO RELEASE DATE","REVIEW APPROVAL"))))</f>
        <v/>
      </c>
      <c r="N43" s="34">
        <f>IF(K43&lt;&gt;"","HIGH: SOURCE CONFLICT",IF(AND(L43="END DATE NOT PASSED",M43="REVIEW APPROVAL"),"HIGH: VERIFY",IF(L43="END DATE NOT PASSED","MEDIUM: CHECK STATUS","LOW: HISTORICAL")))</f>
        <v/>
      </c>
      <c r="O43" s="33" t="inlineStr">
        <is>
          <t>Validar documento firmado, revision/WO/sitio, material afectado y evidencia antes de activar alerta automatica.</t>
        </is>
      </c>
    </row>
    <row r="44">
      <c r="A44" s="43" t="inlineStr">
        <is>
          <t>CTANJZ04583</t>
        </is>
      </c>
      <c r="B44" s="43" t="inlineStr">
        <is>
          <t>D602497</t>
        </is>
      </c>
      <c r="C44" s="43" t="inlineStr">
        <is>
          <t>STBU</t>
        </is>
      </c>
      <c r="D44" s="43" t="inlineStr">
        <is>
          <t>Expired</t>
        </is>
      </c>
      <c r="E44" s="32" t="n">
        <v>45796</v>
      </c>
      <c r="F44" s="32" t="n">
        <v>45866</v>
      </c>
      <c r="G44" s="43" t="n">
        <v>3</v>
      </c>
      <c r="H44" s="43" t="n">
        <v>3</v>
      </c>
      <c r="I44" s="33" t="inlineStr">
        <is>
          <t>73-19337-01</t>
        </is>
      </c>
      <c r="J44" s="33" t="inlineStr"/>
      <c r="K44" s="33" t="inlineStr"/>
      <c r="L44" s="34">
        <f>IF(F44="","REVIEW: DATE CONFLICT/EMPTY",IF(F44&lt;'Change Overview'!$B$5,"END DATE PASSED","END DATE NOT PASSED"))</f>
        <v/>
      </c>
      <c r="M44" s="34">
        <f>IF(K44&lt;&gt;"","REVIEW SOURCE CONFLICT",IF(OR(ISNUMBER(SEARCH("CCB",D44)),ISNUMBER(SEARCH("Pending",D44))),"CCB/PENDING",IF(OR(ISNUMBER(SEARCH("Expired",D44)),ISNUMBER(SEARCH("Closed",D44))),"CLOSED/EXPIRED",IF(E44="","NO RELEASE DATE","REVIEW APPROVAL"))))</f>
        <v/>
      </c>
      <c r="N44" s="34">
        <f>IF(K44&lt;&gt;"","HIGH: SOURCE CONFLICT",IF(AND(L44="END DATE NOT PASSED",M44="REVIEW APPROVAL"),"HIGH: VERIFY",IF(L44="END DATE NOT PASSED","MEDIUM: CHECK STATUS","LOW: HISTORICAL")))</f>
        <v/>
      </c>
      <c r="O44" s="33" t="inlineStr">
        <is>
          <t>Validar documento firmado, revision/WO/sitio, material afectado y evidencia antes de activar alerta automatica.</t>
        </is>
      </c>
    </row>
    <row r="45">
      <c r="A45" s="43" t="inlineStr">
        <is>
          <t>CTANJZ04587</t>
        </is>
      </c>
      <c r="B45" s="43" t="inlineStr">
        <is>
          <t>D603571</t>
        </is>
      </c>
      <c r="C45" s="43" t="inlineStr">
        <is>
          <t>SRGBU</t>
        </is>
      </c>
      <c r="D45" s="43" t="inlineStr">
        <is>
          <t>Expired</t>
        </is>
      </c>
      <c r="E45" s="32" t="n">
        <v>45796</v>
      </c>
      <c r="F45" s="32" t="n">
        <v>45866</v>
      </c>
      <c r="G45" s="43" t="n">
        <v>2</v>
      </c>
      <c r="H45" s="43" t="n">
        <v>2</v>
      </c>
      <c r="I45" s="33" t="inlineStr"/>
      <c r="J45" s="33" t="inlineStr"/>
      <c r="K45" s="33" t="inlineStr"/>
      <c r="L45" s="34">
        <f>IF(F45="","REVIEW: DATE CONFLICT/EMPTY",IF(F45&lt;'Change Overview'!$B$5,"END DATE PASSED","END DATE NOT PASSED"))</f>
        <v/>
      </c>
      <c r="M45" s="34">
        <f>IF(K45&lt;&gt;"","REVIEW SOURCE CONFLICT",IF(OR(ISNUMBER(SEARCH("CCB",D45)),ISNUMBER(SEARCH("Pending",D45))),"CCB/PENDING",IF(OR(ISNUMBER(SEARCH("Expired",D45)),ISNUMBER(SEARCH("Closed",D45))),"CLOSED/EXPIRED",IF(E45="","NO RELEASE DATE","REVIEW APPROVAL"))))</f>
        <v/>
      </c>
      <c r="N45" s="34">
        <f>IF(K45&lt;&gt;"","HIGH: SOURCE CONFLICT",IF(AND(L45="END DATE NOT PASSED",M45="REVIEW APPROVAL"),"HIGH: VERIFY",IF(L45="END DATE NOT PASSED","MEDIUM: CHECK STATUS","LOW: HISTORICAL")))</f>
        <v/>
      </c>
      <c r="O45" s="33" t="inlineStr">
        <is>
          <t>Validar documento firmado, revision/WO/sitio, material afectado y evidencia antes de activar alerta automatica.</t>
        </is>
      </c>
    </row>
    <row r="46">
      <c r="A46" s="43" t="inlineStr">
        <is>
          <t>CTANJZ04588</t>
        </is>
      </c>
      <c r="B46" s="43" t="inlineStr">
        <is>
          <t>D603105</t>
        </is>
      </c>
      <c r="C46" s="43" t="inlineStr">
        <is>
          <t>SRGBU</t>
        </is>
      </c>
      <c r="D46" s="43" t="inlineStr">
        <is>
          <t>Expired</t>
        </is>
      </c>
      <c r="E46" s="32" t="n">
        <v>45796</v>
      </c>
      <c r="F46" s="32" t="n">
        <v>45868</v>
      </c>
      <c r="G46" s="43" t="n">
        <v>10</v>
      </c>
      <c r="H46" s="43" t="n">
        <v>10</v>
      </c>
      <c r="I46" s="33" t="inlineStr"/>
      <c r="J46" s="33" t="inlineStr"/>
      <c r="K46" s="33" t="inlineStr"/>
      <c r="L46" s="34">
        <f>IF(F46="","REVIEW: DATE CONFLICT/EMPTY",IF(F46&lt;'Change Overview'!$B$5,"END DATE PASSED","END DATE NOT PASSED"))</f>
        <v/>
      </c>
      <c r="M46" s="34">
        <f>IF(K46&lt;&gt;"","REVIEW SOURCE CONFLICT",IF(OR(ISNUMBER(SEARCH("CCB",D46)),ISNUMBER(SEARCH("Pending",D46))),"CCB/PENDING",IF(OR(ISNUMBER(SEARCH("Expired",D46)),ISNUMBER(SEARCH("Closed",D46))),"CLOSED/EXPIRED",IF(E46="","NO RELEASE DATE","REVIEW APPROVAL"))))</f>
        <v/>
      </c>
      <c r="N46" s="34">
        <f>IF(K46&lt;&gt;"","HIGH: SOURCE CONFLICT",IF(AND(L46="END DATE NOT PASSED",M46="REVIEW APPROVAL"),"HIGH: VERIFY",IF(L46="END DATE NOT PASSED","MEDIUM: CHECK STATUS","LOW: HISTORICAL")))</f>
        <v/>
      </c>
      <c r="O46" s="33" t="inlineStr">
        <is>
          <t>Validar documento firmado, revision/WO/sitio, material afectado y evidencia antes de activar alerta automatica.</t>
        </is>
      </c>
    </row>
    <row r="47">
      <c r="A47" s="43" t="inlineStr">
        <is>
          <t>CTANJZ04594</t>
        </is>
      </c>
      <c r="B47" s="43" t="inlineStr">
        <is>
          <t>D603779</t>
        </is>
      </c>
      <c r="C47" s="43" t="inlineStr">
        <is>
          <t>SRGBU</t>
        </is>
      </c>
      <c r="D47" s="43" t="inlineStr">
        <is>
          <t>Expired</t>
        </is>
      </c>
      <c r="E47" s="32" t="n">
        <v>45798</v>
      </c>
      <c r="F47" s="32" t="n">
        <v>45873</v>
      </c>
      <c r="G47" s="43" t="n">
        <v>2</v>
      </c>
      <c r="H47" s="43" t="n">
        <v>2</v>
      </c>
      <c r="I47" s="33" t="inlineStr"/>
      <c r="J47" s="33" t="inlineStr"/>
      <c r="K47" s="33" t="inlineStr"/>
      <c r="L47" s="34">
        <f>IF(F47="","REVIEW: DATE CONFLICT/EMPTY",IF(F47&lt;'Change Overview'!$B$5,"END DATE PASSED","END DATE NOT PASSED"))</f>
        <v/>
      </c>
      <c r="M47" s="34">
        <f>IF(K47&lt;&gt;"","REVIEW SOURCE CONFLICT",IF(OR(ISNUMBER(SEARCH("CCB",D47)),ISNUMBER(SEARCH("Pending",D47))),"CCB/PENDING",IF(OR(ISNUMBER(SEARCH("Expired",D47)),ISNUMBER(SEARCH("Closed",D47))),"CLOSED/EXPIRED",IF(E47="","NO RELEASE DATE","REVIEW APPROVAL"))))</f>
        <v/>
      </c>
      <c r="N47" s="34">
        <f>IF(K47&lt;&gt;"","HIGH: SOURCE CONFLICT",IF(AND(L47="END DATE NOT PASSED",M47="REVIEW APPROVAL"),"HIGH: VERIFY",IF(L47="END DATE NOT PASSED","MEDIUM: CHECK STATUS","LOW: HISTORICAL")))</f>
        <v/>
      </c>
      <c r="O47" s="33" t="inlineStr">
        <is>
          <t>Validar documento firmado, revision/WO/sitio, material afectado y evidencia antes de activar alerta automatica.</t>
        </is>
      </c>
    </row>
    <row r="48">
      <c r="A48" s="43" t="inlineStr">
        <is>
          <t>CTANJZ04600</t>
        </is>
      </c>
      <c r="B48" s="43" t="inlineStr">
        <is>
          <t>D603808</t>
        </is>
      </c>
      <c r="C48" s="43" t="inlineStr">
        <is>
          <t>SRGBU</t>
        </is>
      </c>
      <c r="D48" s="43" t="inlineStr">
        <is>
          <t>Expired</t>
        </is>
      </c>
      <c r="E48" s="32" t="n">
        <v>45798</v>
      </c>
      <c r="F48" s="32" t="n">
        <v>45875</v>
      </c>
      <c r="G48" s="43" t="n">
        <v>1</v>
      </c>
      <c r="H48" s="43" t="n">
        <v>1</v>
      </c>
      <c r="I48" s="33" t="inlineStr"/>
      <c r="J48" s="33" t="inlineStr"/>
      <c r="K48" s="33" t="inlineStr"/>
      <c r="L48" s="34">
        <f>IF(F48="","REVIEW: DATE CONFLICT/EMPTY",IF(F48&lt;'Change Overview'!$B$5,"END DATE PASSED","END DATE NOT PASSED"))</f>
        <v/>
      </c>
      <c r="M48" s="34">
        <f>IF(K48&lt;&gt;"","REVIEW SOURCE CONFLICT",IF(OR(ISNUMBER(SEARCH("CCB",D48)),ISNUMBER(SEARCH("Pending",D48))),"CCB/PENDING",IF(OR(ISNUMBER(SEARCH("Expired",D48)),ISNUMBER(SEARCH("Closed",D48))),"CLOSED/EXPIRED",IF(E48="","NO RELEASE DATE","REVIEW APPROVAL"))))</f>
        <v/>
      </c>
      <c r="N48" s="34">
        <f>IF(K48&lt;&gt;"","HIGH: SOURCE CONFLICT",IF(AND(L48="END DATE NOT PASSED",M48="REVIEW APPROVAL"),"HIGH: VERIFY",IF(L48="END DATE NOT PASSED","MEDIUM: CHECK STATUS","LOW: HISTORICAL")))</f>
        <v/>
      </c>
      <c r="O48" s="33" t="inlineStr">
        <is>
          <t>Validar documento firmado, revision/WO/sitio, material afectado y evidencia antes de activar alerta automatica.</t>
        </is>
      </c>
    </row>
    <row r="49">
      <c r="A49" s="43" t="inlineStr">
        <is>
          <t>CTANJZ04604</t>
        </is>
      </c>
      <c r="B49" s="43" t="inlineStr">
        <is>
          <t>D603402</t>
        </is>
      </c>
      <c r="C49" s="43" t="inlineStr">
        <is>
          <t>STBU</t>
        </is>
      </c>
      <c r="D49" s="43" t="inlineStr">
        <is>
          <t>Expired</t>
        </is>
      </c>
      <c r="E49" s="32" t="n">
        <v>45805</v>
      </c>
      <c r="F49" s="32" t="n">
        <v>46058</v>
      </c>
      <c r="G49" s="43" t="n">
        <v>8</v>
      </c>
      <c r="H49" s="43" t="n">
        <v>8</v>
      </c>
      <c r="I49" s="33" t="inlineStr">
        <is>
          <t>73-102433-04, 73-102434-04, 73-102435-04</t>
        </is>
      </c>
      <c r="J49" s="33" t="inlineStr"/>
      <c r="K49" s="33" t="inlineStr"/>
      <c r="L49" s="34">
        <f>IF(F49="","REVIEW: DATE CONFLICT/EMPTY",IF(F49&lt;'Change Overview'!$B$5,"END DATE PASSED","END DATE NOT PASSED"))</f>
        <v/>
      </c>
      <c r="M49" s="34">
        <f>IF(K49&lt;&gt;"","REVIEW SOURCE CONFLICT",IF(OR(ISNUMBER(SEARCH("CCB",D49)),ISNUMBER(SEARCH("Pending",D49))),"CCB/PENDING",IF(OR(ISNUMBER(SEARCH("Expired",D49)),ISNUMBER(SEARCH("Closed",D49))),"CLOSED/EXPIRED",IF(E49="","NO RELEASE DATE","REVIEW APPROVAL"))))</f>
        <v/>
      </c>
      <c r="N49" s="34">
        <f>IF(K49&lt;&gt;"","HIGH: SOURCE CONFLICT",IF(AND(L49="END DATE NOT PASSED",M49="REVIEW APPROVAL"),"HIGH: VERIFY",IF(L49="END DATE NOT PASSED","MEDIUM: CHECK STATUS","LOW: HISTORICAL")))</f>
        <v/>
      </c>
      <c r="O49" s="33" t="inlineStr">
        <is>
          <t>Validar documento firmado, revision/WO/sitio, material afectado y evidencia antes de activar alerta automatica.</t>
        </is>
      </c>
    </row>
    <row r="50">
      <c r="A50" s="43" t="inlineStr">
        <is>
          <t>CTANJZ04607</t>
        </is>
      </c>
      <c r="B50" s="43" t="inlineStr">
        <is>
          <t>D603592</t>
        </is>
      </c>
      <c r="C50" s="43" t="inlineStr">
        <is>
          <t>STBU</t>
        </is>
      </c>
      <c r="D50" s="43" t="inlineStr">
        <is>
          <t>Expired</t>
        </is>
      </c>
      <c r="E50" s="32" t="n">
        <v>45807</v>
      </c>
      <c r="F50" s="32" t="n">
        <v>45881</v>
      </c>
      <c r="G50" s="43" t="n">
        <v>6</v>
      </c>
      <c r="H50" s="43" t="n">
        <v>6</v>
      </c>
      <c r="I50" s="33" t="inlineStr"/>
      <c r="J50" s="33" t="inlineStr"/>
      <c r="K50" s="33" t="inlineStr"/>
      <c r="L50" s="34">
        <f>IF(F50="","REVIEW: DATE CONFLICT/EMPTY",IF(F50&lt;'Change Overview'!$B$5,"END DATE PASSED","END DATE NOT PASSED"))</f>
        <v/>
      </c>
      <c r="M50" s="34">
        <f>IF(K50&lt;&gt;"","REVIEW SOURCE CONFLICT",IF(OR(ISNUMBER(SEARCH("CCB",D50)),ISNUMBER(SEARCH("Pending",D50))),"CCB/PENDING",IF(OR(ISNUMBER(SEARCH("Expired",D50)),ISNUMBER(SEARCH("Closed",D50))),"CLOSED/EXPIRED",IF(E50="","NO RELEASE DATE","REVIEW APPROVAL"))))</f>
        <v/>
      </c>
      <c r="N50" s="34">
        <f>IF(K50&lt;&gt;"","HIGH: SOURCE CONFLICT",IF(AND(L50="END DATE NOT PASSED",M50="REVIEW APPROVAL"),"HIGH: VERIFY",IF(L50="END DATE NOT PASSED","MEDIUM: CHECK STATUS","LOW: HISTORICAL")))</f>
        <v/>
      </c>
      <c r="O50" s="33" t="inlineStr">
        <is>
          <t>Validar documento firmado, revision/WO/sitio, material afectado y evidencia antes de activar alerta automatica.</t>
        </is>
      </c>
    </row>
    <row r="51">
      <c r="A51" s="43" t="inlineStr">
        <is>
          <t>CTANJZ04609</t>
        </is>
      </c>
      <c r="B51" s="43" t="inlineStr">
        <is>
          <t>DP524872</t>
        </is>
      </c>
      <c r="C51" s="43" t="inlineStr">
        <is>
          <t>CVEBU</t>
        </is>
      </c>
      <c r="D51" s="43" t="inlineStr">
        <is>
          <t>Expired</t>
        </is>
      </c>
      <c r="E51" s="32" t="n">
        <v>45805</v>
      </c>
      <c r="F51" s="32" t="n">
        <v>45852</v>
      </c>
      <c r="G51" s="43" t="n">
        <v>4</v>
      </c>
      <c r="H51" s="43" t="n">
        <v>4</v>
      </c>
      <c r="I51" s="33" t="inlineStr">
        <is>
          <t>73-103720-03, 73-103820-03, 73-103920-03, 73-103922-03</t>
        </is>
      </c>
      <c r="J51" s="33" t="inlineStr"/>
      <c r="K51" s="33" t="inlineStr"/>
      <c r="L51" s="34">
        <f>IF(F51="","REVIEW: DATE CONFLICT/EMPTY",IF(F51&lt;'Change Overview'!$B$5,"END DATE PASSED","END DATE NOT PASSED"))</f>
        <v/>
      </c>
      <c r="M51" s="34">
        <f>IF(K51&lt;&gt;"","REVIEW SOURCE CONFLICT",IF(OR(ISNUMBER(SEARCH("CCB",D51)),ISNUMBER(SEARCH("Pending",D51))),"CCB/PENDING",IF(OR(ISNUMBER(SEARCH("Expired",D51)),ISNUMBER(SEARCH("Closed",D51))),"CLOSED/EXPIRED",IF(E51="","NO RELEASE DATE","REVIEW APPROVAL"))))</f>
        <v/>
      </c>
      <c r="N51" s="34">
        <f>IF(K51&lt;&gt;"","HIGH: SOURCE CONFLICT",IF(AND(L51="END DATE NOT PASSED",M51="REVIEW APPROVAL"),"HIGH: VERIFY",IF(L51="END DATE NOT PASSED","MEDIUM: CHECK STATUS","LOW: HISTORICAL")))</f>
        <v/>
      </c>
      <c r="O51" s="33" t="inlineStr">
        <is>
          <t>Validar documento firmado, revision/WO/sitio, material afectado y evidencia antes de activar alerta automatica.</t>
        </is>
      </c>
    </row>
    <row r="52">
      <c r="A52" s="43" t="inlineStr">
        <is>
          <t>CTANJZ04612</t>
        </is>
      </c>
      <c r="B52" s="43" t="inlineStr">
        <is>
          <t>D603710</t>
        </is>
      </c>
      <c r="C52" s="43" t="inlineStr">
        <is>
          <t>SRGBU</t>
        </is>
      </c>
      <c r="D52" s="43" t="inlineStr">
        <is>
          <t>Expired</t>
        </is>
      </c>
      <c r="E52" s="32" t="n">
        <v>45811</v>
      </c>
      <c r="F52" s="32" t="n">
        <v>45886</v>
      </c>
      <c r="G52" s="43" t="n">
        <v>3</v>
      </c>
      <c r="H52" s="43" t="n">
        <v>3</v>
      </c>
      <c r="I52" s="33" t="inlineStr"/>
      <c r="J52" s="33" t="inlineStr"/>
      <c r="K52" s="33" t="inlineStr"/>
      <c r="L52" s="34">
        <f>IF(F52="","REVIEW: DATE CONFLICT/EMPTY",IF(F52&lt;'Change Overview'!$B$5,"END DATE PASSED","END DATE NOT PASSED"))</f>
        <v/>
      </c>
      <c r="M52" s="34">
        <f>IF(K52&lt;&gt;"","REVIEW SOURCE CONFLICT",IF(OR(ISNUMBER(SEARCH("CCB",D52)),ISNUMBER(SEARCH("Pending",D52))),"CCB/PENDING",IF(OR(ISNUMBER(SEARCH("Expired",D52)),ISNUMBER(SEARCH("Closed",D52))),"CLOSED/EXPIRED",IF(E52="","NO RELEASE DATE","REVIEW APPROVAL"))))</f>
        <v/>
      </c>
      <c r="N52" s="34">
        <f>IF(K52&lt;&gt;"","HIGH: SOURCE CONFLICT",IF(AND(L52="END DATE NOT PASSED",M52="REVIEW APPROVAL"),"HIGH: VERIFY",IF(L52="END DATE NOT PASSED","MEDIUM: CHECK STATUS","LOW: HISTORICAL")))</f>
        <v/>
      </c>
      <c r="O52" s="33" t="inlineStr">
        <is>
          <t>Validar documento firmado, revision/WO/sitio, material afectado y evidencia antes de activar alerta automatica.</t>
        </is>
      </c>
    </row>
    <row r="53">
      <c r="A53" s="43" t="inlineStr">
        <is>
          <t>CTANJZ04613</t>
        </is>
      </c>
      <c r="B53" s="43" t="inlineStr">
        <is>
          <t>D603986</t>
        </is>
      </c>
      <c r="C53" s="43" t="inlineStr">
        <is>
          <t>CVEBU</t>
        </is>
      </c>
      <c r="D53" s="43" t="inlineStr">
        <is>
          <t>Expired</t>
        </is>
      </c>
      <c r="E53" s="32" t="n">
        <v>45811</v>
      </c>
      <c r="F53" s="32" t="n">
        <v>45886</v>
      </c>
      <c r="G53" s="43" t="n">
        <v>10</v>
      </c>
      <c r="H53" s="43" t="n">
        <v>10</v>
      </c>
      <c r="I53" s="33" t="inlineStr">
        <is>
          <t>73-101504-01, 73-102022-02, 73-102197-02, 73-102226-06, 73-102797-02, 73-103103-04, 73-103226-06, 73-103603-04, 73-104022-01</t>
        </is>
      </c>
      <c r="J53" s="33" t="inlineStr">
        <is>
          <t>BROOKLYN, DAVINCI, MILLENIUM</t>
        </is>
      </c>
      <c r="K53" s="33" t="inlineStr"/>
      <c r="L53" s="34">
        <f>IF(F53="","REVIEW: DATE CONFLICT/EMPTY",IF(F53&lt;'Change Overview'!$B$5,"END DATE PASSED","END DATE NOT PASSED"))</f>
        <v/>
      </c>
      <c r="M53" s="34">
        <f>IF(K53&lt;&gt;"","REVIEW SOURCE CONFLICT",IF(OR(ISNUMBER(SEARCH("CCB",D53)),ISNUMBER(SEARCH("Pending",D53))),"CCB/PENDING",IF(OR(ISNUMBER(SEARCH("Expired",D53)),ISNUMBER(SEARCH("Closed",D53))),"CLOSED/EXPIRED",IF(E53="","NO RELEASE DATE","REVIEW APPROVAL"))))</f>
        <v/>
      </c>
      <c r="N53" s="34">
        <f>IF(K53&lt;&gt;"","HIGH: SOURCE CONFLICT",IF(AND(L53="END DATE NOT PASSED",M53="REVIEW APPROVAL"),"HIGH: VERIFY",IF(L53="END DATE NOT PASSED","MEDIUM: CHECK STATUS","LOW: HISTORICAL")))</f>
        <v/>
      </c>
      <c r="O53" s="33" t="inlineStr">
        <is>
          <t>Validar documento firmado, revision/WO/sitio, material afectado y evidencia antes de activar alerta automatica.</t>
        </is>
      </c>
    </row>
    <row r="54">
      <c r="A54" s="43" t="inlineStr">
        <is>
          <t>CTANJZ04616</t>
        </is>
      </c>
      <c r="B54" s="43" t="inlineStr">
        <is>
          <t>D603828</t>
        </is>
      </c>
      <c r="C54" s="43" t="inlineStr">
        <is>
          <t>STBU</t>
        </is>
      </c>
      <c r="D54" s="43" t="inlineStr">
        <is>
          <t>Expired</t>
        </is>
      </c>
      <c r="E54" s="32" t="n">
        <v>45819</v>
      </c>
      <c r="F54" s="32" t="n">
        <v>45889</v>
      </c>
      <c r="G54" s="43" t="n">
        <v>2</v>
      </c>
      <c r="H54" s="43" t="n">
        <v>2</v>
      </c>
      <c r="I54" s="33" t="inlineStr">
        <is>
          <t>73-21007-02</t>
        </is>
      </c>
      <c r="J54" s="33" t="inlineStr"/>
      <c r="K54" s="33" t="inlineStr"/>
      <c r="L54" s="34">
        <f>IF(F54="","REVIEW: DATE CONFLICT/EMPTY",IF(F54&lt;'Change Overview'!$B$5,"END DATE PASSED","END DATE NOT PASSED"))</f>
        <v/>
      </c>
      <c r="M54" s="34">
        <f>IF(K54&lt;&gt;"","REVIEW SOURCE CONFLICT",IF(OR(ISNUMBER(SEARCH("CCB",D54)),ISNUMBER(SEARCH("Pending",D54))),"CCB/PENDING",IF(OR(ISNUMBER(SEARCH("Expired",D54)),ISNUMBER(SEARCH("Closed",D54))),"CLOSED/EXPIRED",IF(E54="","NO RELEASE DATE","REVIEW APPROVAL"))))</f>
        <v/>
      </c>
      <c r="N54" s="34">
        <f>IF(K54&lt;&gt;"","HIGH: SOURCE CONFLICT",IF(AND(L54="END DATE NOT PASSED",M54="REVIEW APPROVAL"),"HIGH: VERIFY",IF(L54="END DATE NOT PASSED","MEDIUM: CHECK STATUS","LOW: HISTORICAL")))</f>
        <v/>
      </c>
      <c r="O54" s="33" t="inlineStr">
        <is>
          <t>Validar documento firmado, revision/WO/sitio, material afectado y evidencia antes de activar alerta automatica.</t>
        </is>
      </c>
    </row>
    <row r="55">
      <c r="A55" s="43" t="inlineStr">
        <is>
          <t>CTANJZ04617</t>
        </is>
      </c>
      <c r="B55" s="43" t="inlineStr">
        <is>
          <t>D604044</t>
        </is>
      </c>
      <c r="C55" s="43" t="inlineStr">
        <is>
          <t>CVEBU</t>
        </is>
      </c>
      <c r="D55" s="43" t="inlineStr">
        <is>
          <t>Expired</t>
        </is>
      </c>
      <c r="E55" s="32" t="n">
        <v>45826</v>
      </c>
      <c r="F55" s="32" t="n">
        <v>45889</v>
      </c>
      <c r="G55" s="43" t="n">
        <v>2</v>
      </c>
      <c r="H55" s="43" t="n">
        <v>2</v>
      </c>
      <c r="I55" s="33" t="inlineStr"/>
      <c r="J55" s="33" t="inlineStr"/>
      <c r="K55" s="33" t="inlineStr"/>
      <c r="L55" s="34">
        <f>IF(F55="","REVIEW: DATE CONFLICT/EMPTY",IF(F55&lt;'Change Overview'!$B$5,"END DATE PASSED","END DATE NOT PASSED"))</f>
        <v/>
      </c>
      <c r="M55" s="34">
        <f>IF(K55&lt;&gt;"","REVIEW SOURCE CONFLICT",IF(OR(ISNUMBER(SEARCH("CCB",D55)),ISNUMBER(SEARCH("Pending",D55))),"CCB/PENDING",IF(OR(ISNUMBER(SEARCH("Expired",D55)),ISNUMBER(SEARCH("Closed",D55))),"CLOSED/EXPIRED",IF(E55="","NO RELEASE DATE","REVIEW APPROVAL"))))</f>
        <v/>
      </c>
      <c r="N55" s="34">
        <f>IF(K55&lt;&gt;"","HIGH: SOURCE CONFLICT",IF(AND(L55="END DATE NOT PASSED",M55="REVIEW APPROVAL"),"HIGH: VERIFY",IF(L55="END DATE NOT PASSED","MEDIUM: CHECK STATUS","LOW: HISTORICAL")))</f>
        <v/>
      </c>
      <c r="O55" s="33" t="inlineStr">
        <is>
          <t>Validar documento firmado, revision/WO/sitio, material afectado y evidencia antes de activar alerta automatica.</t>
        </is>
      </c>
    </row>
    <row r="56">
      <c r="A56" s="43" t="inlineStr">
        <is>
          <t>CTANJZ04618</t>
        </is>
      </c>
      <c r="B56" s="43" t="inlineStr">
        <is>
          <t>D603586</t>
        </is>
      </c>
      <c r="C56" s="43" t="inlineStr">
        <is>
          <t>STBU</t>
        </is>
      </c>
      <c r="D56" s="43" t="inlineStr">
        <is>
          <t>Expired</t>
        </is>
      </c>
      <c r="E56" s="32" t="n">
        <v>45819</v>
      </c>
      <c r="F56" s="32" t="n">
        <v>45889</v>
      </c>
      <c r="G56" s="43" t="n">
        <v>3</v>
      </c>
      <c r="H56" s="43" t="n">
        <v>3</v>
      </c>
      <c r="I56" s="33" t="inlineStr">
        <is>
          <t>73-20247-06</t>
        </is>
      </c>
      <c r="J56" s="33" t="inlineStr">
        <is>
          <t>TUFNELL PARK</t>
        </is>
      </c>
      <c r="K56" s="33" t="inlineStr"/>
      <c r="L56" s="34">
        <f>IF(F56="","REVIEW: DATE CONFLICT/EMPTY",IF(F56&lt;'Change Overview'!$B$5,"END DATE PASSED","END DATE NOT PASSED"))</f>
        <v/>
      </c>
      <c r="M56" s="34">
        <f>IF(K56&lt;&gt;"","REVIEW SOURCE CONFLICT",IF(OR(ISNUMBER(SEARCH("CCB",D56)),ISNUMBER(SEARCH("Pending",D56))),"CCB/PENDING",IF(OR(ISNUMBER(SEARCH("Expired",D56)),ISNUMBER(SEARCH("Closed",D56))),"CLOSED/EXPIRED",IF(E56="","NO RELEASE DATE","REVIEW APPROVAL"))))</f>
        <v/>
      </c>
      <c r="N56" s="34">
        <f>IF(K56&lt;&gt;"","HIGH: SOURCE CONFLICT",IF(AND(L56="END DATE NOT PASSED",M56="REVIEW APPROVAL"),"HIGH: VERIFY",IF(L56="END DATE NOT PASSED","MEDIUM: CHECK STATUS","LOW: HISTORICAL")))</f>
        <v/>
      </c>
      <c r="O56" s="33" t="inlineStr">
        <is>
          <t>Validar documento firmado, revision/WO/sitio, material afectado y evidencia antes de activar alerta automatica.</t>
        </is>
      </c>
    </row>
    <row r="57">
      <c r="A57" s="43" t="inlineStr">
        <is>
          <t>CTANJZ04623</t>
        </is>
      </c>
      <c r="B57" s="43" t="inlineStr">
        <is>
          <t>D604124</t>
        </is>
      </c>
      <c r="C57" s="43" t="inlineStr">
        <is>
          <t>CVEBU</t>
        </is>
      </c>
      <c r="D57" s="43" t="inlineStr">
        <is>
          <t>Expired</t>
        </is>
      </c>
      <c r="E57" s="32" t="n">
        <v>45826</v>
      </c>
      <c r="F57" s="32" t="n">
        <v>45890</v>
      </c>
      <c r="G57" s="43" t="n">
        <v>1</v>
      </c>
      <c r="H57" s="43" t="n">
        <v>1</v>
      </c>
      <c r="I57" s="33" t="inlineStr"/>
      <c r="J57" s="33" t="inlineStr"/>
      <c r="K57" s="33" t="inlineStr"/>
      <c r="L57" s="34">
        <f>IF(F57="","REVIEW: DATE CONFLICT/EMPTY",IF(F57&lt;'Change Overview'!$B$5,"END DATE PASSED","END DATE NOT PASSED"))</f>
        <v/>
      </c>
      <c r="M57" s="34">
        <f>IF(K57&lt;&gt;"","REVIEW SOURCE CONFLICT",IF(OR(ISNUMBER(SEARCH("CCB",D57)),ISNUMBER(SEARCH("Pending",D57))),"CCB/PENDING",IF(OR(ISNUMBER(SEARCH("Expired",D57)),ISNUMBER(SEARCH("Closed",D57))),"CLOSED/EXPIRED",IF(E57="","NO RELEASE DATE","REVIEW APPROVAL"))))</f>
        <v/>
      </c>
      <c r="N57" s="34">
        <f>IF(K57&lt;&gt;"","HIGH: SOURCE CONFLICT",IF(AND(L57="END DATE NOT PASSED",M57="REVIEW APPROVAL"),"HIGH: VERIFY",IF(L57="END DATE NOT PASSED","MEDIUM: CHECK STATUS","LOW: HISTORICAL")))</f>
        <v/>
      </c>
      <c r="O57" s="33" t="inlineStr">
        <is>
          <t>Validar documento firmado, revision/WO/sitio, material afectado y evidencia antes de activar alerta automatica.</t>
        </is>
      </c>
    </row>
    <row r="58">
      <c r="A58" s="43" t="inlineStr">
        <is>
          <t>CTANJZ04631</t>
        </is>
      </c>
      <c r="B58" s="43" t="inlineStr">
        <is>
          <t>D604068</t>
        </is>
      </c>
      <c r="C58" s="43" t="inlineStr">
        <is>
          <t>STBU</t>
        </is>
      </c>
      <c r="D58" s="43" t="inlineStr">
        <is>
          <t>Expired</t>
        </is>
      </c>
      <c r="E58" s="32" t="n">
        <v>45826</v>
      </c>
      <c r="F58" s="32" t="n">
        <v>45895</v>
      </c>
      <c r="G58" s="43" t="n">
        <v>9</v>
      </c>
      <c r="H58" s="43" t="n">
        <v>9</v>
      </c>
      <c r="I58" s="33" t="inlineStr">
        <is>
          <t>73-102433-04, 73-102433-05, 73-102434-04, 73-102434-05, 73-102435-04, 73-102435-05</t>
        </is>
      </c>
      <c r="J58" s="33" t="inlineStr"/>
      <c r="K58" s="33" t="inlineStr"/>
      <c r="L58" s="34">
        <f>IF(F58="","REVIEW: DATE CONFLICT/EMPTY",IF(F58&lt;'Change Overview'!$B$5,"END DATE PASSED","END DATE NOT PASSED"))</f>
        <v/>
      </c>
      <c r="M58" s="34">
        <f>IF(K58&lt;&gt;"","REVIEW SOURCE CONFLICT",IF(OR(ISNUMBER(SEARCH("CCB",D58)),ISNUMBER(SEARCH("Pending",D58))),"CCB/PENDING",IF(OR(ISNUMBER(SEARCH("Expired",D58)),ISNUMBER(SEARCH("Closed",D58))),"CLOSED/EXPIRED",IF(E58="","NO RELEASE DATE","REVIEW APPROVAL"))))</f>
        <v/>
      </c>
      <c r="N58" s="34">
        <f>IF(K58&lt;&gt;"","HIGH: SOURCE CONFLICT",IF(AND(L58="END DATE NOT PASSED",M58="REVIEW APPROVAL"),"HIGH: VERIFY",IF(L58="END DATE NOT PASSED","MEDIUM: CHECK STATUS","LOW: HISTORICAL")))</f>
        <v/>
      </c>
      <c r="O58" s="33" t="inlineStr">
        <is>
          <t>Validar documento firmado, revision/WO/sitio, material afectado y evidencia antes de activar alerta automatica.</t>
        </is>
      </c>
    </row>
    <row r="59">
      <c r="A59" s="43" t="inlineStr">
        <is>
          <t>CTANJZ04632</t>
        </is>
      </c>
      <c r="B59" s="43" t="inlineStr">
        <is>
          <t>DP524922</t>
        </is>
      </c>
      <c r="C59" s="43" t="inlineStr">
        <is>
          <t>STBU</t>
        </is>
      </c>
      <c r="D59" s="43" t="inlineStr">
        <is>
          <t>Expired</t>
        </is>
      </c>
      <c r="E59" s="32" t="n">
        <v>45819</v>
      </c>
      <c r="F59" s="32" t="n">
        <v>45866</v>
      </c>
      <c r="G59" s="43" t="n">
        <v>3</v>
      </c>
      <c r="H59" s="43" t="n">
        <v>3</v>
      </c>
      <c r="I59" s="33" t="inlineStr">
        <is>
          <t>73-103558-04, 73-103633-04, 73-103648-04</t>
        </is>
      </c>
      <c r="J59" s="33" t="inlineStr"/>
      <c r="K59" s="33" t="inlineStr"/>
      <c r="L59" s="34">
        <f>IF(F59="","REVIEW: DATE CONFLICT/EMPTY",IF(F59&lt;'Change Overview'!$B$5,"END DATE PASSED","END DATE NOT PASSED"))</f>
        <v/>
      </c>
      <c r="M59" s="34">
        <f>IF(K59&lt;&gt;"","REVIEW SOURCE CONFLICT",IF(OR(ISNUMBER(SEARCH("CCB",D59)),ISNUMBER(SEARCH("Pending",D59))),"CCB/PENDING",IF(OR(ISNUMBER(SEARCH("Expired",D59)),ISNUMBER(SEARCH("Closed",D59))),"CLOSED/EXPIRED",IF(E59="","NO RELEASE DATE","REVIEW APPROVAL"))))</f>
        <v/>
      </c>
      <c r="N59" s="34">
        <f>IF(K59&lt;&gt;"","HIGH: SOURCE CONFLICT",IF(AND(L59="END DATE NOT PASSED",M59="REVIEW APPROVAL"),"HIGH: VERIFY",IF(L59="END DATE NOT PASSED","MEDIUM: CHECK STATUS","LOW: HISTORICAL")))</f>
        <v/>
      </c>
      <c r="O59" s="33" t="inlineStr">
        <is>
          <t>Validar documento firmado, revision/WO/sitio, material afectado y evidencia antes de activar alerta automatica.</t>
        </is>
      </c>
    </row>
    <row r="60">
      <c r="A60" s="43" t="inlineStr">
        <is>
          <t>CTANJZ04634</t>
        </is>
      </c>
      <c r="B60" s="43" t="inlineStr">
        <is>
          <t>D604208</t>
        </is>
      </c>
      <c r="C60" s="43" t="inlineStr">
        <is>
          <t>STBU</t>
        </is>
      </c>
      <c r="D60" s="43" t="inlineStr">
        <is>
          <t>Expired</t>
        </is>
      </c>
      <c r="E60" s="32" t="n">
        <v>45826</v>
      </c>
      <c r="F60" s="32" t="n">
        <v>45896</v>
      </c>
      <c r="G60" s="43" t="n">
        <v>2</v>
      </c>
      <c r="H60" s="43" t="n">
        <v>2</v>
      </c>
      <c r="I60" s="33" t="inlineStr"/>
      <c r="J60" s="33" t="inlineStr"/>
      <c r="K60" s="33" t="inlineStr"/>
      <c r="L60" s="34">
        <f>IF(F60="","REVIEW: DATE CONFLICT/EMPTY",IF(F60&lt;'Change Overview'!$B$5,"END DATE PASSED","END DATE NOT PASSED"))</f>
        <v/>
      </c>
      <c r="M60" s="34">
        <f>IF(K60&lt;&gt;"","REVIEW SOURCE CONFLICT",IF(OR(ISNUMBER(SEARCH("CCB",D60)),ISNUMBER(SEARCH("Pending",D60))),"CCB/PENDING",IF(OR(ISNUMBER(SEARCH("Expired",D60)),ISNUMBER(SEARCH("Closed",D60))),"CLOSED/EXPIRED",IF(E60="","NO RELEASE DATE","REVIEW APPROVAL"))))</f>
        <v/>
      </c>
      <c r="N60" s="34">
        <f>IF(K60&lt;&gt;"","HIGH: SOURCE CONFLICT",IF(AND(L60="END DATE NOT PASSED",M60="REVIEW APPROVAL"),"HIGH: VERIFY",IF(L60="END DATE NOT PASSED","MEDIUM: CHECK STATUS","LOW: HISTORICAL")))</f>
        <v/>
      </c>
      <c r="O60" s="33" t="inlineStr">
        <is>
          <t>Validar documento firmado, revision/WO/sitio, material afectado y evidencia antes de activar alerta automatica.</t>
        </is>
      </c>
    </row>
    <row r="61">
      <c r="A61" s="43" t="inlineStr">
        <is>
          <t>CTANJZ04635</t>
        </is>
      </c>
      <c r="B61" s="43" t="inlineStr">
        <is>
          <t>D604078</t>
        </is>
      </c>
      <c r="C61" s="43" t="inlineStr">
        <is>
          <t>STBU</t>
        </is>
      </c>
      <c r="D61" s="43" t="inlineStr">
        <is>
          <t>Expired</t>
        </is>
      </c>
      <c r="E61" s="32" t="n">
        <v>45827</v>
      </c>
      <c r="F61" s="32" t="n">
        <v>45896</v>
      </c>
      <c r="G61" s="43" t="n">
        <v>1</v>
      </c>
      <c r="H61" s="43" t="n">
        <v>1</v>
      </c>
      <c r="I61" s="33" t="inlineStr"/>
      <c r="J61" s="33" t="inlineStr"/>
      <c r="K61" s="33" t="inlineStr"/>
      <c r="L61" s="34">
        <f>IF(F61="","REVIEW: DATE CONFLICT/EMPTY",IF(F61&lt;'Change Overview'!$B$5,"END DATE PASSED","END DATE NOT PASSED"))</f>
        <v/>
      </c>
      <c r="M61" s="34">
        <f>IF(K61&lt;&gt;"","REVIEW SOURCE CONFLICT",IF(OR(ISNUMBER(SEARCH("CCB",D61)),ISNUMBER(SEARCH("Pending",D61))),"CCB/PENDING",IF(OR(ISNUMBER(SEARCH("Expired",D61)),ISNUMBER(SEARCH("Closed",D61))),"CLOSED/EXPIRED",IF(E61="","NO RELEASE DATE","REVIEW APPROVAL"))))</f>
        <v/>
      </c>
      <c r="N61" s="34">
        <f>IF(K61&lt;&gt;"","HIGH: SOURCE CONFLICT",IF(AND(L61="END DATE NOT PASSED",M61="REVIEW APPROVAL"),"HIGH: VERIFY",IF(L61="END DATE NOT PASSED","MEDIUM: CHECK STATUS","LOW: HISTORICAL")))</f>
        <v/>
      </c>
      <c r="O61" s="33" t="inlineStr">
        <is>
          <t>Validar documento firmado, revision/WO/sitio, material afectado y evidencia antes de activar alerta automatica.</t>
        </is>
      </c>
    </row>
    <row r="62">
      <c r="A62" s="43" t="inlineStr">
        <is>
          <t>CTANJZ04640</t>
        </is>
      </c>
      <c r="B62" s="43" t="inlineStr">
        <is>
          <t>DP524361</t>
        </is>
      </c>
      <c r="C62" s="43" t="inlineStr">
        <is>
          <t>STBU</t>
        </is>
      </c>
      <c r="D62" s="43" t="inlineStr">
        <is>
          <t>Expired</t>
        </is>
      </c>
      <c r="E62" s="32" t="n">
        <v>45834</v>
      </c>
      <c r="F62" s="32" t="n">
        <v>45871</v>
      </c>
      <c r="G62" s="43" t="n">
        <v>5</v>
      </c>
      <c r="H62" s="43" t="n">
        <v>5</v>
      </c>
      <c r="I62" s="33" t="inlineStr">
        <is>
          <t>73-103633-02</t>
        </is>
      </c>
      <c r="J62" s="33" t="inlineStr"/>
      <c r="K62" s="33" t="inlineStr"/>
      <c r="L62" s="34">
        <f>IF(F62="","REVIEW: DATE CONFLICT/EMPTY",IF(F62&lt;'Change Overview'!$B$5,"END DATE PASSED","END DATE NOT PASSED"))</f>
        <v/>
      </c>
      <c r="M62" s="34">
        <f>IF(K62&lt;&gt;"","REVIEW SOURCE CONFLICT",IF(OR(ISNUMBER(SEARCH("CCB",D62)),ISNUMBER(SEARCH("Pending",D62))),"CCB/PENDING",IF(OR(ISNUMBER(SEARCH("Expired",D62)),ISNUMBER(SEARCH("Closed",D62))),"CLOSED/EXPIRED",IF(E62="","NO RELEASE DATE","REVIEW APPROVAL"))))</f>
        <v/>
      </c>
      <c r="N62" s="34">
        <f>IF(K62&lt;&gt;"","HIGH: SOURCE CONFLICT",IF(AND(L62="END DATE NOT PASSED",M62="REVIEW APPROVAL"),"HIGH: VERIFY",IF(L62="END DATE NOT PASSED","MEDIUM: CHECK STATUS","LOW: HISTORICAL")))</f>
        <v/>
      </c>
      <c r="O62" s="33" t="inlineStr">
        <is>
          <t>Validar documento firmado, revision/WO/sitio, material afectado y evidencia antes de activar alerta automatica.</t>
        </is>
      </c>
    </row>
    <row r="63">
      <c r="A63" s="43" t="inlineStr">
        <is>
          <t>CTANJZ04641</t>
        </is>
      </c>
      <c r="B63" s="43" t="inlineStr">
        <is>
          <t>D604196</t>
        </is>
      </c>
      <c r="C63" s="43" t="inlineStr">
        <is>
          <t>CVEBU</t>
        </is>
      </c>
      <c r="D63" s="43" t="inlineStr">
        <is>
          <t>Expired</t>
        </is>
      </c>
      <c r="E63" s="32" t="n">
        <v>45826</v>
      </c>
      <c r="F63" s="32" t="n">
        <v>45901</v>
      </c>
      <c r="G63" s="43" t="n">
        <v>2</v>
      </c>
      <c r="H63" s="43" t="n">
        <v>2</v>
      </c>
      <c r="I63" s="33" t="inlineStr"/>
      <c r="J63" s="33" t="inlineStr"/>
      <c r="K63" s="33" t="inlineStr"/>
      <c r="L63" s="34">
        <f>IF(F63="","REVIEW: DATE CONFLICT/EMPTY",IF(F63&lt;'Change Overview'!$B$5,"END DATE PASSED","END DATE NOT PASSED"))</f>
        <v/>
      </c>
      <c r="M63" s="34">
        <f>IF(K63&lt;&gt;"","REVIEW SOURCE CONFLICT",IF(OR(ISNUMBER(SEARCH("CCB",D63)),ISNUMBER(SEARCH("Pending",D63))),"CCB/PENDING",IF(OR(ISNUMBER(SEARCH("Expired",D63)),ISNUMBER(SEARCH("Closed",D63))),"CLOSED/EXPIRED",IF(E63="","NO RELEASE DATE","REVIEW APPROVAL"))))</f>
        <v/>
      </c>
      <c r="N63" s="34">
        <f>IF(K63&lt;&gt;"","HIGH: SOURCE CONFLICT",IF(AND(L63="END DATE NOT PASSED",M63="REVIEW APPROVAL"),"HIGH: VERIFY",IF(L63="END DATE NOT PASSED","MEDIUM: CHECK STATUS","LOW: HISTORICAL")))</f>
        <v/>
      </c>
      <c r="O63" s="33" t="inlineStr">
        <is>
          <t>Validar documento firmado, revision/WO/sitio, material afectado y evidencia antes de activar alerta automatica.</t>
        </is>
      </c>
    </row>
    <row r="64">
      <c r="A64" s="43" t="inlineStr">
        <is>
          <t>CTANJZ04645</t>
        </is>
      </c>
      <c r="B64" s="43" t="inlineStr">
        <is>
          <t>DP524944</t>
        </is>
      </c>
      <c r="C64" s="43" t="inlineStr">
        <is>
          <t>STBU</t>
        </is>
      </c>
      <c r="D64" s="43" t="inlineStr">
        <is>
          <t>Expired</t>
        </is>
      </c>
      <c r="E64" s="32" t="n">
        <v>45834</v>
      </c>
      <c r="F64" s="32" t="n">
        <v>45872</v>
      </c>
      <c r="G64" s="43" t="n">
        <v>8</v>
      </c>
      <c r="H64" s="43" t="n">
        <v>8</v>
      </c>
      <c r="I64" s="33" t="inlineStr"/>
      <c r="J64" s="33" t="inlineStr"/>
      <c r="K64" s="33" t="inlineStr"/>
      <c r="L64" s="34">
        <f>IF(F64="","REVIEW: DATE CONFLICT/EMPTY",IF(F64&lt;'Change Overview'!$B$5,"END DATE PASSED","END DATE NOT PASSED"))</f>
        <v/>
      </c>
      <c r="M64" s="34">
        <f>IF(K64&lt;&gt;"","REVIEW SOURCE CONFLICT",IF(OR(ISNUMBER(SEARCH("CCB",D64)),ISNUMBER(SEARCH("Pending",D64))),"CCB/PENDING",IF(OR(ISNUMBER(SEARCH("Expired",D64)),ISNUMBER(SEARCH("Closed",D64))),"CLOSED/EXPIRED",IF(E64="","NO RELEASE DATE","REVIEW APPROVAL"))))</f>
        <v/>
      </c>
      <c r="N64" s="34">
        <f>IF(K64&lt;&gt;"","HIGH: SOURCE CONFLICT",IF(AND(L64="END DATE NOT PASSED",M64="REVIEW APPROVAL"),"HIGH: VERIFY",IF(L64="END DATE NOT PASSED","MEDIUM: CHECK STATUS","LOW: HISTORICAL")))</f>
        <v/>
      </c>
      <c r="O64" s="33" t="inlineStr">
        <is>
          <t>Validar documento firmado, revision/WO/sitio, material afectado y evidencia antes de activar alerta automatica.</t>
        </is>
      </c>
    </row>
    <row r="65">
      <c r="A65" s="43" t="inlineStr">
        <is>
          <t>CTANJZ04646</t>
        </is>
      </c>
      <c r="B65" s="43" t="inlineStr">
        <is>
          <t>D604197</t>
        </is>
      </c>
      <c r="C65" s="43" t="inlineStr">
        <is>
          <t>STBU</t>
        </is>
      </c>
      <c r="D65" s="43" t="inlineStr">
        <is>
          <t>Expired</t>
        </is>
      </c>
      <c r="E65" s="32" t="n">
        <v>45839</v>
      </c>
      <c r="F65" s="32" t="n">
        <v>45902</v>
      </c>
      <c r="G65" s="43" t="n">
        <v>4</v>
      </c>
      <c r="H65" s="43" t="n">
        <v>4</v>
      </c>
      <c r="I65" s="33" t="inlineStr">
        <is>
          <t>73-17499-07</t>
        </is>
      </c>
      <c r="J65" s="33" t="inlineStr"/>
      <c r="K65" s="33" t="inlineStr"/>
      <c r="L65" s="34">
        <f>IF(F65="","REVIEW: DATE CONFLICT/EMPTY",IF(F65&lt;'Change Overview'!$B$5,"END DATE PASSED","END DATE NOT PASSED"))</f>
        <v/>
      </c>
      <c r="M65" s="34">
        <f>IF(K65&lt;&gt;"","REVIEW SOURCE CONFLICT",IF(OR(ISNUMBER(SEARCH("CCB",D65)),ISNUMBER(SEARCH("Pending",D65))),"CCB/PENDING",IF(OR(ISNUMBER(SEARCH("Expired",D65)),ISNUMBER(SEARCH("Closed",D65))),"CLOSED/EXPIRED",IF(E65="","NO RELEASE DATE","REVIEW APPROVAL"))))</f>
        <v/>
      </c>
      <c r="N65" s="34">
        <f>IF(K65&lt;&gt;"","HIGH: SOURCE CONFLICT",IF(AND(L65="END DATE NOT PASSED",M65="REVIEW APPROVAL"),"HIGH: VERIFY",IF(L65="END DATE NOT PASSED","MEDIUM: CHECK STATUS","LOW: HISTORICAL")))</f>
        <v/>
      </c>
      <c r="O65" s="33" t="inlineStr">
        <is>
          <t>Validar documento firmado, revision/WO/sitio, material afectado y evidencia antes de activar alerta automatica.</t>
        </is>
      </c>
    </row>
    <row r="66">
      <c r="A66" s="43" t="inlineStr">
        <is>
          <t>CTANJZ04647</t>
        </is>
      </c>
      <c r="B66" s="43" t="inlineStr">
        <is>
          <t>D604285</t>
        </is>
      </c>
      <c r="C66" s="43" t="inlineStr">
        <is>
          <t>STBU</t>
        </is>
      </c>
      <c r="D66" s="43" t="inlineStr">
        <is>
          <t>Expired</t>
        </is>
      </c>
      <c r="E66" s="32" t="n">
        <v>45853</v>
      </c>
      <c r="F66" s="32" t="n">
        <v>45902</v>
      </c>
      <c r="G66" s="43" t="n">
        <v>2</v>
      </c>
      <c r="H66" s="43" t="n">
        <v>2</v>
      </c>
      <c r="I66" s="33" t="inlineStr"/>
      <c r="J66" s="33" t="inlineStr"/>
      <c r="K66" s="33" t="inlineStr"/>
      <c r="L66" s="34">
        <f>IF(F66="","REVIEW: DATE CONFLICT/EMPTY",IF(F66&lt;'Change Overview'!$B$5,"END DATE PASSED","END DATE NOT PASSED"))</f>
        <v/>
      </c>
      <c r="M66" s="34">
        <f>IF(K66&lt;&gt;"","REVIEW SOURCE CONFLICT",IF(OR(ISNUMBER(SEARCH("CCB",D66)),ISNUMBER(SEARCH("Pending",D66))),"CCB/PENDING",IF(OR(ISNUMBER(SEARCH("Expired",D66)),ISNUMBER(SEARCH("Closed",D66))),"CLOSED/EXPIRED",IF(E66="","NO RELEASE DATE","REVIEW APPROVAL"))))</f>
        <v/>
      </c>
      <c r="N66" s="34">
        <f>IF(K66&lt;&gt;"","HIGH: SOURCE CONFLICT",IF(AND(L66="END DATE NOT PASSED",M66="REVIEW APPROVAL"),"HIGH: VERIFY",IF(L66="END DATE NOT PASSED","MEDIUM: CHECK STATUS","LOW: HISTORICAL")))</f>
        <v/>
      </c>
      <c r="O66" s="33" t="inlineStr">
        <is>
          <t>Validar documento firmado, revision/WO/sitio, material afectado y evidencia antes de activar alerta automatica.</t>
        </is>
      </c>
    </row>
    <row r="67">
      <c r="A67" s="43" t="inlineStr">
        <is>
          <t>CTANJZ04648</t>
        </is>
      </c>
      <c r="B67" s="43" t="inlineStr">
        <is>
          <t>D604046</t>
        </is>
      </c>
      <c r="C67" s="43" t="inlineStr">
        <is>
          <t>STBU</t>
        </is>
      </c>
      <c r="D67" s="43" t="inlineStr">
        <is>
          <t>Expired</t>
        </is>
      </c>
      <c r="E67" s="32" t="n">
        <v>45834</v>
      </c>
      <c r="F67" s="32" t="n">
        <v>45902</v>
      </c>
      <c r="G67" s="43" t="n">
        <v>4</v>
      </c>
      <c r="H67" s="43" t="n">
        <v>4</v>
      </c>
      <c r="I67" s="33" t="inlineStr">
        <is>
          <t>73-17497-04</t>
        </is>
      </c>
      <c r="J67" s="33" t="inlineStr"/>
      <c r="K67" s="33" t="inlineStr"/>
      <c r="L67" s="34">
        <f>IF(F67="","REVIEW: DATE CONFLICT/EMPTY",IF(F67&lt;'Change Overview'!$B$5,"END DATE PASSED","END DATE NOT PASSED"))</f>
        <v/>
      </c>
      <c r="M67" s="34">
        <f>IF(K67&lt;&gt;"","REVIEW SOURCE CONFLICT",IF(OR(ISNUMBER(SEARCH("CCB",D67)),ISNUMBER(SEARCH("Pending",D67))),"CCB/PENDING",IF(OR(ISNUMBER(SEARCH("Expired",D67)),ISNUMBER(SEARCH("Closed",D67))),"CLOSED/EXPIRED",IF(E67="","NO RELEASE DATE","REVIEW APPROVAL"))))</f>
        <v/>
      </c>
      <c r="N67" s="34">
        <f>IF(K67&lt;&gt;"","HIGH: SOURCE CONFLICT",IF(AND(L67="END DATE NOT PASSED",M67="REVIEW APPROVAL"),"HIGH: VERIFY",IF(L67="END DATE NOT PASSED","MEDIUM: CHECK STATUS","LOW: HISTORICAL")))</f>
        <v/>
      </c>
      <c r="O67" s="33" t="inlineStr">
        <is>
          <t>Validar documento firmado, revision/WO/sitio, material afectado y evidencia antes de activar alerta automatica.</t>
        </is>
      </c>
    </row>
    <row r="68">
      <c r="A68" s="43" t="inlineStr">
        <is>
          <t>CTANJZ04649</t>
        </is>
      </c>
      <c r="B68" s="43" t="inlineStr">
        <is>
          <t>D604092</t>
        </is>
      </c>
      <c r="C68" s="43" t="inlineStr">
        <is>
          <t>STBU</t>
        </is>
      </c>
      <c r="D68" s="43" t="inlineStr">
        <is>
          <t>Expired</t>
        </is>
      </c>
      <c r="E68" s="32" t="n">
        <v>45834</v>
      </c>
      <c r="F68" s="32" t="n">
        <v>45902</v>
      </c>
      <c r="G68" s="43" t="n">
        <v>4</v>
      </c>
      <c r="H68" s="43" t="n">
        <v>4</v>
      </c>
      <c r="I68" s="33" t="inlineStr">
        <is>
          <t>73-17498-04</t>
        </is>
      </c>
      <c r="J68" s="33" t="inlineStr"/>
      <c r="K68" s="33" t="inlineStr"/>
      <c r="L68" s="34">
        <f>IF(F68="","REVIEW: DATE CONFLICT/EMPTY",IF(F68&lt;'Change Overview'!$B$5,"END DATE PASSED","END DATE NOT PASSED"))</f>
        <v/>
      </c>
      <c r="M68" s="34">
        <f>IF(K68&lt;&gt;"","REVIEW SOURCE CONFLICT",IF(OR(ISNUMBER(SEARCH("CCB",D68)),ISNUMBER(SEARCH("Pending",D68))),"CCB/PENDING",IF(OR(ISNUMBER(SEARCH("Expired",D68)),ISNUMBER(SEARCH("Closed",D68))),"CLOSED/EXPIRED",IF(E68="","NO RELEASE DATE","REVIEW APPROVAL"))))</f>
        <v/>
      </c>
      <c r="N68" s="34">
        <f>IF(K68&lt;&gt;"","HIGH: SOURCE CONFLICT",IF(AND(L68="END DATE NOT PASSED",M68="REVIEW APPROVAL"),"HIGH: VERIFY",IF(L68="END DATE NOT PASSED","MEDIUM: CHECK STATUS","LOW: HISTORICAL")))</f>
        <v/>
      </c>
      <c r="O68" s="33" t="inlineStr">
        <is>
          <t>Validar documento firmado, revision/WO/sitio, material afectado y evidencia antes de activar alerta automatica.</t>
        </is>
      </c>
    </row>
    <row r="69">
      <c r="A69" s="43" t="inlineStr">
        <is>
          <t>CTANJZ04650</t>
        </is>
      </c>
      <c r="B69" s="43" t="inlineStr">
        <is>
          <t>D604195</t>
        </is>
      </c>
      <c r="C69" s="43" t="inlineStr">
        <is>
          <t>STBU</t>
        </is>
      </c>
      <c r="D69" s="43" t="inlineStr">
        <is>
          <t>Expired</t>
        </is>
      </c>
      <c r="E69" s="32" t="n">
        <v>45839</v>
      </c>
      <c r="F69" s="32" t="n">
        <v>45902</v>
      </c>
      <c r="G69" s="43" t="n">
        <v>4</v>
      </c>
      <c r="H69" s="43" t="n">
        <v>4</v>
      </c>
      <c r="I69" s="33" t="inlineStr">
        <is>
          <t>73-17499-07</t>
        </is>
      </c>
      <c r="J69" s="33" t="inlineStr"/>
      <c r="K69" s="33" t="inlineStr"/>
      <c r="L69" s="34">
        <f>IF(F69="","REVIEW: DATE CONFLICT/EMPTY",IF(F69&lt;'Change Overview'!$B$5,"END DATE PASSED","END DATE NOT PASSED"))</f>
        <v/>
      </c>
      <c r="M69" s="34">
        <f>IF(K69&lt;&gt;"","REVIEW SOURCE CONFLICT",IF(OR(ISNUMBER(SEARCH("CCB",D69)),ISNUMBER(SEARCH("Pending",D69))),"CCB/PENDING",IF(OR(ISNUMBER(SEARCH("Expired",D69)),ISNUMBER(SEARCH("Closed",D69))),"CLOSED/EXPIRED",IF(E69="","NO RELEASE DATE","REVIEW APPROVAL"))))</f>
        <v/>
      </c>
      <c r="N69" s="34">
        <f>IF(K69&lt;&gt;"","HIGH: SOURCE CONFLICT",IF(AND(L69="END DATE NOT PASSED",M69="REVIEW APPROVAL"),"HIGH: VERIFY",IF(L69="END DATE NOT PASSED","MEDIUM: CHECK STATUS","LOW: HISTORICAL")))</f>
        <v/>
      </c>
      <c r="O69" s="33" t="inlineStr">
        <is>
          <t>Validar documento firmado, revision/WO/sitio, material afectado y evidencia antes de activar alerta automatica.</t>
        </is>
      </c>
    </row>
    <row r="70">
      <c r="A70" s="43" t="inlineStr">
        <is>
          <t>CTANJZ04651</t>
        </is>
      </c>
      <c r="B70" s="43" t="inlineStr">
        <is>
          <t>DP524724</t>
        </is>
      </c>
      <c r="C70" s="43" t="inlineStr">
        <is>
          <t>STBU</t>
        </is>
      </c>
      <c r="D70" s="43" t="inlineStr">
        <is>
          <t>Expired</t>
        </is>
      </c>
      <c r="E70" s="32" t="n">
        <v>45834</v>
      </c>
      <c r="F70" s="32" t="n">
        <v>45873</v>
      </c>
      <c r="G70" s="43" t="n">
        <v>8</v>
      </c>
      <c r="H70" s="43" t="n">
        <v>8</v>
      </c>
      <c r="I70" s="33" t="inlineStr">
        <is>
          <t>73-103557-03, 73-103633-03</t>
        </is>
      </c>
      <c r="J70" s="33" t="inlineStr"/>
      <c r="K70" s="33" t="inlineStr"/>
      <c r="L70" s="34">
        <f>IF(F70="","REVIEW: DATE CONFLICT/EMPTY",IF(F70&lt;'Change Overview'!$B$5,"END DATE PASSED","END DATE NOT PASSED"))</f>
        <v/>
      </c>
      <c r="M70" s="34">
        <f>IF(K70&lt;&gt;"","REVIEW SOURCE CONFLICT",IF(OR(ISNUMBER(SEARCH("CCB",D70)),ISNUMBER(SEARCH("Pending",D70))),"CCB/PENDING",IF(OR(ISNUMBER(SEARCH("Expired",D70)),ISNUMBER(SEARCH("Closed",D70))),"CLOSED/EXPIRED",IF(E70="","NO RELEASE DATE","REVIEW APPROVAL"))))</f>
        <v/>
      </c>
      <c r="N70" s="34">
        <f>IF(K70&lt;&gt;"","HIGH: SOURCE CONFLICT",IF(AND(L70="END DATE NOT PASSED",M70="REVIEW APPROVAL"),"HIGH: VERIFY",IF(L70="END DATE NOT PASSED","MEDIUM: CHECK STATUS","LOW: HISTORICAL")))</f>
        <v/>
      </c>
      <c r="O70" s="33" t="inlineStr">
        <is>
          <t>Validar documento firmado, revision/WO/sitio, material afectado y evidencia antes de activar alerta automatica.</t>
        </is>
      </c>
    </row>
    <row r="71">
      <c r="A71" s="43" t="inlineStr">
        <is>
          <t>CTANJZ04652</t>
        </is>
      </c>
      <c r="B71" s="43" t="inlineStr">
        <is>
          <t>DP524450</t>
        </is>
      </c>
      <c r="C71" s="43" t="inlineStr">
        <is>
          <t>STBU</t>
        </is>
      </c>
      <c r="D71" s="43" t="inlineStr">
        <is>
          <t>Expired</t>
        </is>
      </c>
      <c r="E71" s="32" t="n">
        <v>45834</v>
      </c>
      <c r="F71" s="32" t="n">
        <v>45873</v>
      </c>
      <c r="G71" s="43" t="n">
        <v>4</v>
      </c>
      <c r="H71" s="43" t="n">
        <v>4</v>
      </c>
      <c r="I71" s="33" t="inlineStr"/>
      <c r="J71" s="33" t="inlineStr"/>
      <c r="K71" s="33" t="inlineStr"/>
      <c r="L71" s="34">
        <f>IF(F71="","REVIEW: DATE CONFLICT/EMPTY",IF(F71&lt;'Change Overview'!$B$5,"END DATE PASSED","END DATE NOT PASSED"))</f>
        <v/>
      </c>
      <c r="M71" s="34">
        <f>IF(K71&lt;&gt;"","REVIEW SOURCE CONFLICT",IF(OR(ISNUMBER(SEARCH("CCB",D71)),ISNUMBER(SEARCH("Pending",D71))),"CCB/PENDING",IF(OR(ISNUMBER(SEARCH("Expired",D71)),ISNUMBER(SEARCH("Closed",D71))),"CLOSED/EXPIRED",IF(E71="","NO RELEASE DATE","REVIEW APPROVAL"))))</f>
        <v/>
      </c>
      <c r="N71" s="34">
        <f>IF(K71&lt;&gt;"","HIGH: SOURCE CONFLICT",IF(AND(L71="END DATE NOT PASSED",M71="REVIEW APPROVAL"),"HIGH: VERIFY",IF(L71="END DATE NOT PASSED","MEDIUM: CHECK STATUS","LOW: HISTORICAL")))</f>
        <v/>
      </c>
      <c r="O71" s="33" t="inlineStr">
        <is>
          <t>Validar documento firmado, revision/WO/sitio, material afectado y evidencia antes de activar alerta automatica.</t>
        </is>
      </c>
    </row>
    <row r="72">
      <c r="A72" s="43" t="inlineStr">
        <is>
          <t>CTANJZ04653</t>
        </is>
      </c>
      <c r="B72" s="43" t="inlineStr">
        <is>
          <t>D604323</t>
        </is>
      </c>
      <c r="C72" s="43" t="inlineStr">
        <is>
          <t>SRGBU</t>
        </is>
      </c>
      <c r="D72" s="43" t="inlineStr">
        <is>
          <t>Expired</t>
        </is>
      </c>
      <c r="E72" s="32" t="n">
        <v>45826</v>
      </c>
      <c r="F72" s="32" t="n">
        <v>45903</v>
      </c>
      <c r="G72" s="43" t="n">
        <v>1</v>
      </c>
      <c r="H72" s="43" t="n">
        <v>1</v>
      </c>
      <c r="I72" s="33" t="inlineStr"/>
      <c r="J72" s="33" t="inlineStr"/>
      <c r="K72" s="33" t="inlineStr"/>
      <c r="L72" s="34">
        <f>IF(F72="","REVIEW: DATE CONFLICT/EMPTY",IF(F72&lt;'Change Overview'!$B$5,"END DATE PASSED","END DATE NOT PASSED"))</f>
        <v/>
      </c>
      <c r="M72" s="34">
        <f>IF(K72&lt;&gt;"","REVIEW SOURCE CONFLICT",IF(OR(ISNUMBER(SEARCH("CCB",D72)),ISNUMBER(SEARCH("Pending",D72))),"CCB/PENDING",IF(OR(ISNUMBER(SEARCH("Expired",D72)),ISNUMBER(SEARCH("Closed",D72))),"CLOSED/EXPIRED",IF(E72="","NO RELEASE DATE","REVIEW APPROVAL"))))</f>
        <v/>
      </c>
      <c r="N72" s="34">
        <f>IF(K72&lt;&gt;"","HIGH: SOURCE CONFLICT",IF(AND(L72="END DATE NOT PASSED",M72="REVIEW APPROVAL"),"HIGH: VERIFY",IF(L72="END DATE NOT PASSED","MEDIUM: CHECK STATUS","LOW: HISTORICAL")))</f>
        <v/>
      </c>
      <c r="O72" s="33" t="inlineStr">
        <is>
          <t>Validar documento firmado, revision/WO/sitio, material afectado y evidencia antes de activar alerta automatica.</t>
        </is>
      </c>
    </row>
    <row r="73">
      <c r="A73" s="43" t="inlineStr">
        <is>
          <t>CTANJZ04654</t>
        </is>
      </c>
      <c r="B73" s="43" t="inlineStr">
        <is>
          <t>DP524962</t>
        </is>
      </c>
      <c r="C73" s="43" t="inlineStr">
        <is>
          <t>STBU</t>
        </is>
      </c>
      <c r="D73" s="43" t="inlineStr">
        <is>
          <t>Expired</t>
        </is>
      </c>
      <c r="E73" s="32" t="n">
        <v>45834</v>
      </c>
      <c r="F73" s="32" t="n">
        <v>45874</v>
      </c>
      <c r="G73" s="43" t="n">
        <v>1</v>
      </c>
      <c r="H73" s="43" t="n">
        <v>1</v>
      </c>
      <c r="I73" s="33" t="inlineStr">
        <is>
          <t>73-103558-04</t>
        </is>
      </c>
      <c r="J73" s="33" t="inlineStr"/>
      <c r="K73" s="33" t="inlineStr"/>
      <c r="L73" s="34">
        <f>IF(F73="","REVIEW: DATE CONFLICT/EMPTY",IF(F73&lt;'Change Overview'!$B$5,"END DATE PASSED","END DATE NOT PASSED"))</f>
        <v/>
      </c>
      <c r="M73" s="34">
        <f>IF(K73&lt;&gt;"","REVIEW SOURCE CONFLICT",IF(OR(ISNUMBER(SEARCH("CCB",D73)),ISNUMBER(SEARCH("Pending",D73))),"CCB/PENDING",IF(OR(ISNUMBER(SEARCH("Expired",D73)),ISNUMBER(SEARCH("Closed",D73))),"CLOSED/EXPIRED",IF(E73="","NO RELEASE DATE","REVIEW APPROVAL"))))</f>
        <v/>
      </c>
      <c r="N73" s="34">
        <f>IF(K73&lt;&gt;"","HIGH: SOURCE CONFLICT",IF(AND(L73="END DATE NOT PASSED",M73="REVIEW APPROVAL"),"HIGH: VERIFY",IF(L73="END DATE NOT PASSED","MEDIUM: CHECK STATUS","LOW: HISTORICAL")))</f>
        <v/>
      </c>
      <c r="O73" s="33" t="inlineStr">
        <is>
          <t>Validar documento firmado, revision/WO/sitio, material afectado y evidencia antes de activar alerta automatica.</t>
        </is>
      </c>
    </row>
    <row r="74">
      <c r="A74" s="43" t="inlineStr">
        <is>
          <t>CTANJZ04655</t>
        </is>
      </c>
      <c r="B74" s="43" t="inlineStr">
        <is>
          <t>D604352</t>
        </is>
      </c>
      <c r="C74" s="43" t="inlineStr">
        <is>
          <t>SRGBU</t>
        </is>
      </c>
      <c r="D74" s="43" t="inlineStr">
        <is>
          <t>Expired</t>
        </is>
      </c>
      <c r="E74" s="32" t="n">
        <v>45826</v>
      </c>
      <c r="F74" s="32" t="n">
        <v>45904</v>
      </c>
      <c r="G74" s="43" t="n">
        <v>1</v>
      </c>
      <c r="H74" s="43" t="n">
        <v>1</v>
      </c>
      <c r="I74" s="33" t="inlineStr"/>
      <c r="J74" s="33" t="inlineStr"/>
      <c r="K74" s="33" t="inlineStr"/>
      <c r="L74" s="34">
        <f>IF(F74="","REVIEW: DATE CONFLICT/EMPTY",IF(F74&lt;'Change Overview'!$B$5,"END DATE PASSED","END DATE NOT PASSED"))</f>
        <v/>
      </c>
      <c r="M74" s="34">
        <f>IF(K74&lt;&gt;"","REVIEW SOURCE CONFLICT",IF(OR(ISNUMBER(SEARCH("CCB",D74)),ISNUMBER(SEARCH("Pending",D74))),"CCB/PENDING",IF(OR(ISNUMBER(SEARCH("Expired",D74)),ISNUMBER(SEARCH("Closed",D74))),"CLOSED/EXPIRED",IF(E74="","NO RELEASE DATE","REVIEW APPROVAL"))))</f>
        <v/>
      </c>
      <c r="N74" s="34">
        <f>IF(K74&lt;&gt;"","HIGH: SOURCE CONFLICT",IF(AND(L74="END DATE NOT PASSED",M74="REVIEW APPROVAL"),"HIGH: VERIFY",IF(L74="END DATE NOT PASSED","MEDIUM: CHECK STATUS","LOW: HISTORICAL")))</f>
        <v/>
      </c>
      <c r="O74" s="33" t="inlineStr">
        <is>
          <t>Validar documento firmado, revision/WO/sitio, material afectado y evidencia antes de activar alerta automatica.</t>
        </is>
      </c>
    </row>
    <row r="75">
      <c r="A75" s="43" t="inlineStr">
        <is>
          <t>CTANJZ04663</t>
        </is>
      </c>
      <c r="B75" s="43" t="inlineStr">
        <is>
          <t>D603477</t>
        </is>
      </c>
      <c r="C75" s="43" t="inlineStr">
        <is>
          <t>STBU</t>
        </is>
      </c>
      <c r="D75" s="43" t="inlineStr">
        <is>
          <t>Expired</t>
        </is>
      </c>
      <c r="E75" s="32" t="n">
        <v>45834</v>
      </c>
      <c r="F75" s="32" t="n">
        <v>45910</v>
      </c>
      <c r="G75" s="43" t="n">
        <v>4</v>
      </c>
      <c r="H75" s="43" t="n">
        <v>4</v>
      </c>
      <c r="I75" s="33" t="inlineStr"/>
      <c r="J75" s="33" t="inlineStr"/>
      <c r="K75" s="33" t="inlineStr"/>
      <c r="L75" s="34">
        <f>IF(F75="","REVIEW: DATE CONFLICT/EMPTY",IF(F75&lt;'Change Overview'!$B$5,"END DATE PASSED","END DATE NOT PASSED"))</f>
        <v/>
      </c>
      <c r="M75" s="34">
        <f>IF(K75&lt;&gt;"","REVIEW SOURCE CONFLICT",IF(OR(ISNUMBER(SEARCH("CCB",D75)),ISNUMBER(SEARCH("Pending",D75))),"CCB/PENDING",IF(OR(ISNUMBER(SEARCH("Expired",D75)),ISNUMBER(SEARCH("Closed",D75))),"CLOSED/EXPIRED",IF(E75="","NO RELEASE DATE","REVIEW APPROVAL"))))</f>
        <v/>
      </c>
      <c r="N75" s="34">
        <f>IF(K75&lt;&gt;"","HIGH: SOURCE CONFLICT",IF(AND(L75="END DATE NOT PASSED",M75="REVIEW APPROVAL"),"HIGH: VERIFY",IF(L75="END DATE NOT PASSED","MEDIUM: CHECK STATUS","LOW: HISTORICAL")))</f>
        <v/>
      </c>
      <c r="O75" s="33" t="inlineStr">
        <is>
          <t>Validar documento firmado, revision/WO/sitio, material afectado y evidencia antes de activar alerta automatica.</t>
        </is>
      </c>
    </row>
    <row r="76">
      <c r="A76" s="43" t="inlineStr">
        <is>
          <t>CTANJZ04665</t>
        </is>
      </c>
      <c r="B76" s="43" t="inlineStr">
        <is>
          <t>D603650</t>
        </is>
      </c>
      <c r="C76" s="43" t="inlineStr">
        <is>
          <t>STBU</t>
        </is>
      </c>
      <c r="D76" s="43" t="inlineStr">
        <is>
          <t>Expired</t>
        </is>
      </c>
      <c r="E76" s="32" t="n">
        <v>45834</v>
      </c>
      <c r="F76" s="32" t="n">
        <v>45912</v>
      </c>
      <c r="G76" s="43" t="n">
        <v>2</v>
      </c>
      <c r="H76" s="43" t="n">
        <v>2</v>
      </c>
      <c r="I76" s="33" t="inlineStr"/>
      <c r="J76" s="33" t="inlineStr"/>
      <c r="K76" s="33" t="inlineStr"/>
      <c r="L76" s="34">
        <f>IF(F76="","REVIEW: DATE CONFLICT/EMPTY",IF(F76&lt;'Change Overview'!$B$5,"END DATE PASSED","END DATE NOT PASSED"))</f>
        <v/>
      </c>
      <c r="M76" s="34">
        <f>IF(K76&lt;&gt;"","REVIEW SOURCE CONFLICT",IF(OR(ISNUMBER(SEARCH("CCB",D76)),ISNUMBER(SEARCH("Pending",D76))),"CCB/PENDING",IF(OR(ISNUMBER(SEARCH("Expired",D76)),ISNUMBER(SEARCH("Closed",D76))),"CLOSED/EXPIRED",IF(E76="","NO RELEASE DATE","REVIEW APPROVAL"))))</f>
        <v/>
      </c>
      <c r="N76" s="34">
        <f>IF(K76&lt;&gt;"","HIGH: SOURCE CONFLICT",IF(AND(L76="END DATE NOT PASSED",M76="REVIEW APPROVAL"),"HIGH: VERIFY",IF(L76="END DATE NOT PASSED","MEDIUM: CHECK STATUS","LOW: HISTORICAL")))</f>
        <v/>
      </c>
      <c r="O76" s="33" t="inlineStr">
        <is>
          <t>Validar documento firmado, revision/WO/sitio, material afectado y evidencia antes de activar alerta automatica.</t>
        </is>
      </c>
    </row>
    <row r="77">
      <c r="A77" s="43" t="inlineStr">
        <is>
          <t>CTANJZ04673</t>
        </is>
      </c>
      <c r="B77" s="43" t="inlineStr">
        <is>
          <t>D604622</t>
        </is>
      </c>
      <c r="C77" s="43" t="inlineStr">
        <is>
          <t>SRGBU</t>
        </is>
      </c>
      <c r="D77" s="43" t="inlineStr">
        <is>
          <t>Expired</t>
        </is>
      </c>
      <c r="E77" s="32" t="n">
        <v>45839</v>
      </c>
      <c r="F77" s="32" t="n">
        <v>45915</v>
      </c>
      <c r="G77" s="43" t="n">
        <v>1</v>
      </c>
      <c r="H77" s="43" t="n">
        <v>1</v>
      </c>
      <c r="I77" s="33" t="inlineStr"/>
      <c r="J77" s="33" t="inlineStr"/>
      <c r="K77" s="33" t="inlineStr"/>
      <c r="L77" s="34">
        <f>IF(F77="","REVIEW: DATE CONFLICT/EMPTY",IF(F77&lt;'Change Overview'!$B$5,"END DATE PASSED","END DATE NOT PASSED"))</f>
        <v/>
      </c>
      <c r="M77" s="34">
        <f>IF(K77&lt;&gt;"","REVIEW SOURCE CONFLICT",IF(OR(ISNUMBER(SEARCH("CCB",D77)),ISNUMBER(SEARCH("Pending",D77))),"CCB/PENDING",IF(OR(ISNUMBER(SEARCH("Expired",D77)),ISNUMBER(SEARCH("Closed",D77))),"CLOSED/EXPIRED",IF(E77="","NO RELEASE DATE","REVIEW APPROVAL"))))</f>
        <v/>
      </c>
      <c r="N77" s="34">
        <f>IF(K77&lt;&gt;"","HIGH: SOURCE CONFLICT",IF(AND(L77="END DATE NOT PASSED",M77="REVIEW APPROVAL"),"HIGH: VERIFY",IF(L77="END DATE NOT PASSED","MEDIUM: CHECK STATUS","LOW: HISTORICAL")))</f>
        <v/>
      </c>
      <c r="O77" s="33" t="inlineStr">
        <is>
          <t>Validar documento firmado, revision/WO/sitio, material afectado y evidencia antes de activar alerta automatica.</t>
        </is>
      </c>
    </row>
    <row r="78">
      <c r="A78" s="43" t="inlineStr">
        <is>
          <t>CTANJZ04676</t>
        </is>
      </c>
      <c r="B78" s="43" t="inlineStr">
        <is>
          <t>D604366</t>
        </is>
      </c>
      <c r="C78" s="43" t="inlineStr">
        <is>
          <t>STBU</t>
        </is>
      </c>
      <c r="D78" s="43" t="inlineStr">
        <is>
          <t>Expired</t>
        </is>
      </c>
      <c r="E78" s="32" t="n">
        <v>45853</v>
      </c>
      <c r="F78" s="32" t="n">
        <v>45916</v>
      </c>
      <c r="G78" s="43" t="n">
        <v>6</v>
      </c>
      <c r="H78" s="43" t="n">
        <v>6</v>
      </c>
      <c r="I78" s="33" t="inlineStr">
        <is>
          <t>73-20247-05, 73-20249-05</t>
        </is>
      </c>
      <c r="J78" s="33" t="inlineStr"/>
      <c r="K78" s="33" t="inlineStr"/>
      <c r="L78" s="34">
        <f>IF(F78="","REVIEW: DATE CONFLICT/EMPTY",IF(F78&lt;'Change Overview'!$B$5,"END DATE PASSED","END DATE NOT PASSED"))</f>
        <v/>
      </c>
      <c r="M78" s="34">
        <f>IF(K78&lt;&gt;"","REVIEW SOURCE CONFLICT",IF(OR(ISNUMBER(SEARCH("CCB",D78)),ISNUMBER(SEARCH("Pending",D78))),"CCB/PENDING",IF(OR(ISNUMBER(SEARCH("Expired",D78)),ISNUMBER(SEARCH("Closed",D78))),"CLOSED/EXPIRED",IF(E78="","NO RELEASE DATE","REVIEW APPROVAL"))))</f>
        <v/>
      </c>
      <c r="N78" s="34">
        <f>IF(K78&lt;&gt;"","HIGH: SOURCE CONFLICT",IF(AND(L78="END DATE NOT PASSED",M78="REVIEW APPROVAL"),"HIGH: VERIFY",IF(L78="END DATE NOT PASSED","MEDIUM: CHECK STATUS","LOW: HISTORICAL")))</f>
        <v/>
      </c>
      <c r="O78" s="33" t="inlineStr">
        <is>
          <t>Validar documento firmado, revision/WO/sitio, material afectado y evidencia antes de activar alerta automatica.</t>
        </is>
      </c>
    </row>
    <row r="79">
      <c r="A79" s="43" t="inlineStr">
        <is>
          <t>CTANJZ04678</t>
        </is>
      </c>
      <c r="B79" s="43" t="inlineStr">
        <is>
          <t>D604665</t>
        </is>
      </c>
      <c r="C79" s="43" t="inlineStr">
        <is>
          <t>CVEBU</t>
        </is>
      </c>
      <c r="D79" s="43" t="inlineStr">
        <is>
          <t>Expired</t>
        </is>
      </c>
      <c r="E79" s="32" t="n">
        <v>45839</v>
      </c>
      <c r="F79" s="32" t="n">
        <v>45917</v>
      </c>
      <c r="G79" s="43" t="n">
        <v>1</v>
      </c>
      <c r="H79" s="43" t="n">
        <v>1</v>
      </c>
      <c r="I79" s="33" t="inlineStr"/>
      <c r="J79" s="33" t="inlineStr"/>
      <c r="K79" s="33" t="inlineStr"/>
      <c r="L79" s="34">
        <f>IF(F79="","REVIEW: DATE CONFLICT/EMPTY",IF(F79&lt;'Change Overview'!$B$5,"END DATE PASSED","END DATE NOT PASSED"))</f>
        <v/>
      </c>
      <c r="M79" s="34">
        <f>IF(K79&lt;&gt;"","REVIEW SOURCE CONFLICT",IF(OR(ISNUMBER(SEARCH("CCB",D79)),ISNUMBER(SEARCH("Pending",D79))),"CCB/PENDING",IF(OR(ISNUMBER(SEARCH("Expired",D79)),ISNUMBER(SEARCH("Closed",D79))),"CLOSED/EXPIRED",IF(E79="","NO RELEASE DATE","REVIEW APPROVAL"))))</f>
        <v/>
      </c>
      <c r="N79" s="34">
        <f>IF(K79&lt;&gt;"","HIGH: SOURCE CONFLICT",IF(AND(L79="END DATE NOT PASSED",M79="REVIEW APPROVAL"),"HIGH: VERIFY",IF(L79="END DATE NOT PASSED","MEDIUM: CHECK STATUS","LOW: HISTORICAL")))</f>
        <v/>
      </c>
      <c r="O79" s="33" t="inlineStr">
        <is>
          <t>Validar documento firmado, revision/WO/sitio, material afectado y evidencia antes de activar alerta automatica.</t>
        </is>
      </c>
    </row>
    <row r="80">
      <c r="A80" s="43" t="inlineStr">
        <is>
          <t>CTANJZ04679</t>
        </is>
      </c>
      <c r="B80" s="43" t="inlineStr">
        <is>
          <t>DP525026</t>
        </is>
      </c>
      <c r="C80" s="43" t="inlineStr">
        <is>
          <t>CVEBU</t>
        </is>
      </c>
      <c r="D80" s="43" t="inlineStr">
        <is>
          <t>Expired</t>
        </is>
      </c>
      <c r="E80" s="32" t="n">
        <v>45840</v>
      </c>
      <c r="F80" s="32" t="n">
        <v>45888</v>
      </c>
      <c r="G80" s="43" t="n">
        <v>2</v>
      </c>
      <c r="H80" s="43" t="n">
        <v>2</v>
      </c>
      <c r="I80" s="33" t="inlineStr">
        <is>
          <t>73-103103-05, 73-103603-05</t>
        </is>
      </c>
      <c r="J80" s="33" t="inlineStr">
        <is>
          <t>PICTORIS</t>
        </is>
      </c>
      <c r="K80" s="33" t="inlineStr"/>
      <c r="L80" s="34">
        <f>IF(F80="","REVIEW: DATE CONFLICT/EMPTY",IF(F80&lt;'Change Overview'!$B$5,"END DATE PASSED","END DATE NOT PASSED"))</f>
        <v/>
      </c>
      <c r="M80" s="34">
        <f>IF(K80&lt;&gt;"","REVIEW SOURCE CONFLICT",IF(OR(ISNUMBER(SEARCH("CCB",D80)),ISNUMBER(SEARCH("Pending",D80))),"CCB/PENDING",IF(OR(ISNUMBER(SEARCH("Expired",D80)),ISNUMBER(SEARCH("Closed",D80))),"CLOSED/EXPIRED",IF(E80="","NO RELEASE DATE","REVIEW APPROVAL"))))</f>
        <v/>
      </c>
      <c r="N80" s="34">
        <f>IF(K80&lt;&gt;"","HIGH: SOURCE CONFLICT",IF(AND(L80="END DATE NOT PASSED",M80="REVIEW APPROVAL"),"HIGH: VERIFY",IF(L80="END DATE NOT PASSED","MEDIUM: CHECK STATUS","LOW: HISTORICAL")))</f>
        <v/>
      </c>
      <c r="O80" s="33" t="inlineStr">
        <is>
          <t>Validar documento firmado, revision/WO/sitio, material afectado y evidencia antes de activar alerta automatica.</t>
        </is>
      </c>
    </row>
    <row r="81">
      <c r="A81" s="43" t="inlineStr">
        <is>
          <t>CTANJZ04680</t>
        </is>
      </c>
      <c r="B81" s="43" t="inlineStr">
        <is>
          <t>D604676</t>
        </is>
      </c>
      <c r="C81" s="43" t="inlineStr">
        <is>
          <t>CVEBU</t>
        </is>
      </c>
      <c r="D81" s="43" t="inlineStr">
        <is>
          <t>Expired</t>
        </is>
      </c>
      <c r="E81" s="32" t="n">
        <v>45846</v>
      </c>
      <c r="F81" s="32" t="n">
        <v>45918</v>
      </c>
      <c r="G81" s="43" t="n">
        <v>1</v>
      </c>
      <c r="H81" s="43" t="n">
        <v>1</v>
      </c>
      <c r="I81" s="33" t="inlineStr"/>
      <c r="J81" s="33" t="inlineStr"/>
      <c r="K81" s="33" t="inlineStr"/>
      <c r="L81" s="34">
        <f>IF(F81="","REVIEW: DATE CONFLICT/EMPTY",IF(F81&lt;'Change Overview'!$B$5,"END DATE PASSED","END DATE NOT PASSED"))</f>
        <v/>
      </c>
      <c r="M81" s="34">
        <f>IF(K81&lt;&gt;"","REVIEW SOURCE CONFLICT",IF(OR(ISNUMBER(SEARCH("CCB",D81)),ISNUMBER(SEARCH("Pending",D81))),"CCB/PENDING",IF(OR(ISNUMBER(SEARCH("Expired",D81)),ISNUMBER(SEARCH("Closed",D81))),"CLOSED/EXPIRED",IF(E81="","NO RELEASE DATE","REVIEW APPROVAL"))))</f>
        <v/>
      </c>
      <c r="N81" s="34">
        <f>IF(K81&lt;&gt;"","HIGH: SOURCE CONFLICT",IF(AND(L81="END DATE NOT PASSED",M81="REVIEW APPROVAL"),"HIGH: VERIFY",IF(L81="END DATE NOT PASSED","MEDIUM: CHECK STATUS","LOW: HISTORICAL")))</f>
        <v/>
      </c>
      <c r="O81" s="33" t="inlineStr">
        <is>
          <t>Validar documento firmado, revision/WO/sitio, material afectado y evidencia antes de activar alerta automatica.</t>
        </is>
      </c>
    </row>
    <row r="82">
      <c r="A82" s="43" t="inlineStr">
        <is>
          <t>CTANJZ04684</t>
        </is>
      </c>
      <c r="B82" s="43" t="inlineStr">
        <is>
          <t>DP524972</t>
        </is>
      </c>
      <c r="C82" s="43" t="inlineStr">
        <is>
          <t>STBU</t>
        </is>
      </c>
      <c r="D82" s="43" t="inlineStr">
        <is>
          <t>Expired</t>
        </is>
      </c>
      <c r="E82" s="32" t="n">
        <v>45853</v>
      </c>
      <c r="F82" s="32" t="n">
        <v>45892</v>
      </c>
      <c r="G82" s="43" t="n">
        <v>1</v>
      </c>
      <c r="H82" s="43" t="n">
        <v>1</v>
      </c>
      <c r="I82" s="33" t="inlineStr"/>
      <c r="J82" s="33" t="inlineStr"/>
      <c r="K82" s="33" t="inlineStr"/>
      <c r="L82" s="34">
        <f>IF(F82="","REVIEW: DATE CONFLICT/EMPTY",IF(F82&lt;'Change Overview'!$B$5,"END DATE PASSED","END DATE NOT PASSED"))</f>
        <v/>
      </c>
      <c r="M82" s="34">
        <f>IF(K82&lt;&gt;"","REVIEW SOURCE CONFLICT",IF(OR(ISNUMBER(SEARCH("CCB",D82)),ISNUMBER(SEARCH("Pending",D82))),"CCB/PENDING",IF(OR(ISNUMBER(SEARCH("Expired",D82)),ISNUMBER(SEARCH("Closed",D82))),"CLOSED/EXPIRED",IF(E82="","NO RELEASE DATE","REVIEW APPROVAL"))))</f>
        <v/>
      </c>
      <c r="N82" s="34">
        <f>IF(K82&lt;&gt;"","HIGH: SOURCE CONFLICT",IF(AND(L82="END DATE NOT PASSED",M82="REVIEW APPROVAL"),"HIGH: VERIFY",IF(L82="END DATE NOT PASSED","MEDIUM: CHECK STATUS","LOW: HISTORICAL")))</f>
        <v/>
      </c>
      <c r="O82" s="33" t="inlineStr">
        <is>
          <t>Validar documento firmado, revision/WO/sitio, material afectado y evidencia antes de activar alerta automatica.</t>
        </is>
      </c>
    </row>
    <row r="83">
      <c r="A83" s="43" t="inlineStr">
        <is>
          <t>CTANJZ04691</t>
        </is>
      </c>
      <c r="B83" s="43" t="inlineStr">
        <is>
          <t>D604637</t>
        </is>
      </c>
      <c r="C83" s="43" t="inlineStr">
        <is>
          <t>STBU</t>
        </is>
      </c>
      <c r="D83" s="43" t="inlineStr">
        <is>
          <t>Expired</t>
        </is>
      </c>
      <c r="E83" s="32" t="n">
        <v>45853</v>
      </c>
      <c r="F83" s="32" t="n">
        <v>45923</v>
      </c>
      <c r="G83" s="43" t="n">
        <v>12</v>
      </c>
      <c r="H83" s="43" t="n">
        <v>12</v>
      </c>
      <c r="I83" s="33" t="inlineStr">
        <is>
          <t>73-20247-05, 73-20249-05</t>
        </is>
      </c>
      <c r="J83" s="33" t="inlineStr"/>
      <c r="K83" s="33" t="inlineStr"/>
      <c r="L83" s="34">
        <f>IF(F83="","REVIEW: DATE CONFLICT/EMPTY",IF(F83&lt;'Change Overview'!$B$5,"END DATE PASSED","END DATE NOT PASSED"))</f>
        <v/>
      </c>
      <c r="M83" s="34">
        <f>IF(K83&lt;&gt;"","REVIEW SOURCE CONFLICT",IF(OR(ISNUMBER(SEARCH("CCB",D83)),ISNUMBER(SEARCH("Pending",D83))),"CCB/PENDING",IF(OR(ISNUMBER(SEARCH("Expired",D83)),ISNUMBER(SEARCH("Closed",D83))),"CLOSED/EXPIRED",IF(E83="","NO RELEASE DATE","REVIEW APPROVAL"))))</f>
        <v/>
      </c>
      <c r="N83" s="34">
        <f>IF(K83&lt;&gt;"","HIGH: SOURCE CONFLICT",IF(AND(L83="END DATE NOT PASSED",M83="REVIEW APPROVAL"),"HIGH: VERIFY",IF(L83="END DATE NOT PASSED","MEDIUM: CHECK STATUS","LOW: HISTORICAL")))</f>
        <v/>
      </c>
      <c r="O83" s="33" t="inlineStr">
        <is>
          <t>Validar documento firmado, revision/WO/sitio, material afectado y evidencia antes de activar alerta automatica.</t>
        </is>
      </c>
    </row>
    <row r="84">
      <c r="A84" s="43" t="inlineStr">
        <is>
          <t>CTANJZ04693</t>
        </is>
      </c>
      <c r="B84" s="43" t="inlineStr">
        <is>
          <t>D603586</t>
        </is>
      </c>
      <c r="C84" s="43" t="inlineStr">
        <is>
          <t>STBU</t>
        </is>
      </c>
      <c r="D84" s="43" t="inlineStr">
        <is>
          <t>Expired</t>
        </is>
      </c>
      <c r="E84" s="32" t="n">
        <v>45853</v>
      </c>
      <c r="F84" s="32" t="n">
        <v>45889</v>
      </c>
      <c r="G84" s="43" t="n">
        <v>1</v>
      </c>
      <c r="H84" s="43" t="n">
        <v>1</v>
      </c>
      <c r="I84" s="33" t="inlineStr"/>
      <c r="J84" s="33" t="inlineStr"/>
      <c r="K84" s="33" t="inlineStr"/>
      <c r="L84" s="34">
        <f>IF(F84="","REVIEW: DATE CONFLICT/EMPTY",IF(F84&lt;'Change Overview'!$B$5,"END DATE PASSED","END DATE NOT PASSED"))</f>
        <v/>
      </c>
      <c r="M84" s="34">
        <f>IF(K84&lt;&gt;"","REVIEW SOURCE CONFLICT",IF(OR(ISNUMBER(SEARCH("CCB",D84)),ISNUMBER(SEARCH("Pending",D84))),"CCB/PENDING",IF(OR(ISNUMBER(SEARCH("Expired",D84)),ISNUMBER(SEARCH("Closed",D84))),"CLOSED/EXPIRED",IF(E84="","NO RELEASE DATE","REVIEW APPROVAL"))))</f>
        <v/>
      </c>
      <c r="N84" s="34">
        <f>IF(K84&lt;&gt;"","HIGH: SOURCE CONFLICT",IF(AND(L84="END DATE NOT PASSED",M84="REVIEW APPROVAL"),"HIGH: VERIFY",IF(L84="END DATE NOT PASSED","MEDIUM: CHECK STATUS","LOW: HISTORICAL")))</f>
        <v/>
      </c>
      <c r="O84" s="33" t="inlineStr">
        <is>
          <t>Validar documento firmado, revision/WO/sitio, material afectado y evidencia antes de activar alerta automatica.</t>
        </is>
      </c>
    </row>
    <row r="85">
      <c r="A85" s="43" t="inlineStr">
        <is>
          <t>CTANJZ04699</t>
        </is>
      </c>
      <c r="B85" s="43" t="inlineStr">
        <is>
          <t>D604620</t>
        </is>
      </c>
      <c r="C85" s="43" t="inlineStr">
        <is>
          <t>CVEBU</t>
        </is>
      </c>
      <c r="D85" s="43" t="inlineStr">
        <is>
          <t>Expired</t>
        </is>
      </c>
      <c r="E85" s="32" t="n">
        <v>45853</v>
      </c>
      <c r="F85" s="32" t="n">
        <v>45923</v>
      </c>
      <c r="G85" s="43" t="n">
        <v>1</v>
      </c>
      <c r="H85" s="43" t="n">
        <v>1</v>
      </c>
      <c r="I85" s="33" t="inlineStr"/>
      <c r="J85" s="33" t="inlineStr"/>
      <c r="K85" s="33" t="inlineStr"/>
      <c r="L85" s="34">
        <f>IF(F85="","REVIEW: DATE CONFLICT/EMPTY",IF(F85&lt;'Change Overview'!$B$5,"END DATE PASSED","END DATE NOT PASSED"))</f>
        <v/>
      </c>
      <c r="M85" s="34">
        <f>IF(K85&lt;&gt;"","REVIEW SOURCE CONFLICT",IF(OR(ISNUMBER(SEARCH("CCB",D85)),ISNUMBER(SEARCH("Pending",D85))),"CCB/PENDING",IF(OR(ISNUMBER(SEARCH("Expired",D85)),ISNUMBER(SEARCH("Closed",D85))),"CLOSED/EXPIRED",IF(E85="","NO RELEASE DATE","REVIEW APPROVAL"))))</f>
        <v/>
      </c>
      <c r="N85" s="34">
        <f>IF(K85&lt;&gt;"","HIGH: SOURCE CONFLICT",IF(AND(L85="END DATE NOT PASSED",M85="REVIEW APPROVAL"),"HIGH: VERIFY",IF(L85="END DATE NOT PASSED","MEDIUM: CHECK STATUS","LOW: HISTORICAL")))</f>
        <v/>
      </c>
      <c r="O85" s="33" t="inlineStr">
        <is>
          <t>Validar documento firmado, revision/WO/sitio, material afectado y evidencia antes de activar alerta automatica.</t>
        </is>
      </c>
    </row>
    <row r="86">
      <c r="A86" s="43" t="inlineStr">
        <is>
          <t>CTANJZ04702</t>
        </is>
      </c>
      <c r="B86" s="43" t="inlineStr">
        <is>
          <t>D604757</t>
        </is>
      </c>
      <c r="C86" s="43" t="inlineStr">
        <is>
          <t>STBU</t>
        </is>
      </c>
      <c r="D86" s="43" t="inlineStr">
        <is>
          <t>Expired</t>
        </is>
      </c>
      <c r="E86" s="32" t="n">
        <v>45856</v>
      </c>
      <c r="F86" s="32" t="n">
        <v>45930</v>
      </c>
      <c r="G86" s="43" t="n">
        <v>2</v>
      </c>
      <c r="H86" s="43" t="n">
        <v>2</v>
      </c>
      <c r="I86" s="33" t="inlineStr">
        <is>
          <t>73-18490-09</t>
        </is>
      </c>
      <c r="J86" s="33" t="inlineStr"/>
      <c r="K86" s="33" t="inlineStr"/>
      <c r="L86" s="34">
        <f>IF(F86="","REVIEW: DATE CONFLICT/EMPTY",IF(F86&lt;'Change Overview'!$B$5,"END DATE PASSED","END DATE NOT PASSED"))</f>
        <v/>
      </c>
      <c r="M86" s="34">
        <f>IF(K86&lt;&gt;"","REVIEW SOURCE CONFLICT",IF(OR(ISNUMBER(SEARCH("CCB",D86)),ISNUMBER(SEARCH("Pending",D86))),"CCB/PENDING",IF(OR(ISNUMBER(SEARCH("Expired",D86)),ISNUMBER(SEARCH("Closed",D86))),"CLOSED/EXPIRED",IF(E86="","NO RELEASE DATE","REVIEW APPROVAL"))))</f>
        <v/>
      </c>
      <c r="N86" s="34">
        <f>IF(K86&lt;&gt;"","HIGH: SOURCE CONFLICT",IF(AND(L86="END DATE NOT PASSED",M86="REVIEW APPROVAL"),"HIGH: VERIFY",IF(L86="END DATE NOT PASSED","MEDIUM: CHECK STATUS","LOW: HISTORICAL")))</f>
        <v/>
      </c>
      <c r="O86" s="33" t="inlineStr">
        <is>
          <t>Validar documento firmado, revision/WO/sitio, material afectado y evidencia antes de activar alerta automatica.</t>
        </is>
      </c>
    </row>
    <row r="87">
      <c r="A87" s="43" t="inlineStr">
        <is>
          <t>CTANJZ04703</t>
        </is>
      </c>
      <c r="B87" s="43" t="inlineStr">
        <is>
          <t>D604633</t>
        </is>
      </c>
      <c r="C87" s="43" t="inlineStr">
        <is>
          <t>STBU</t>
        </is>
      </c>
      <c r="D87" s="43" t="inlineStr">
        <is>
          <t>Expired</t>
        </is>
      </c>
      <c r="E87" s="32" t="n">
        <v>45856</v>
      </c>
      <c r="F87" s="32" t="n">
        <v>45930</v>
      </c>
      <c r="G87" s="43" t="n">
        <v>2</v>
      </c>
      <c r="H87" s="43" t="n">
        <v>2</v>
      </c>
      <c r="I87" s="33" t="inlineStr">
        <is>
          <t>73-18489-07</t>
        </is>
      </c>
      <c r="J87" s="33" t="inlineStr"/>
      <c r="K87" s="33" t="inlineStr"/>
      <c r="L87" s="34">
        <f>IF(F87="","REVIEW: DATE CONFLICT/EMPTY",IF(F87&lt;'Change Overview'!$B$5,"END DATE PASSED","END DATE NOT PASSED"))</f>
        <v/>
      </c>
      <c r="M87" s="34">
        <f>IF(K87&lt;&gt;"","REVIEW SOURCE CONFLICT",IF(OR(ISNUMBER(SEARCH("CCB",D87)),ISNUMBER(SEARCH("Pending",D87))),"CCB/PENDING",IF(OR(ISNUMBER(SEARCH("Expired",D87)),ISNUMBER(SEARCH("Closed",D87))),"CLOSED/EXPIRED",IF(E87="","NO RELEASE DATE","REVIEW APPROVAL"))))</f>
        <v/>
      </c>
      <c r="N87" s="34">
        <f>IF(K87&lt;&gt;"","HIGH: SOURCE CONFLICT",IF(AND(L87="END DATE NOT PASSED",M87="REVIEW APPROVAL"),"HIGH: VERIFY",IF(L87="END DATE NOT PASSED","MEDIUM: CHECK STATUS","LOW: HISTORICAL")))</f>
        <v/>
      </c>
      <c r="O87" s="33" t="inlineStr">
        <is>
          <t>Validar documento firmado, revision/WO/sitio, material afectado y evidencia antes de activar alerta automatica.</t>
        </is>
      </c>
    </row>
    <row r="88">
      <c r="A88" s="43" t="inlineStr">
        <is>
          <t>CTANJZ04705</t>
        </is>
      </c>
      <c r="B88" s="43" t="inlineStr">
        <is>
          <t>D604634</t>
        </is>
      </c>
      <c r="C88" s="43" t="inlineStr">
        <is>
          <t>STBU</t>
        </is>
      </c>
      <c r="D88" s="43" t="inlineStr">
        <is>
          <t>Expired</t>
        </is>
      </c>
      <c r="E88" s="32" t="n">
        <v>45856</v>
      </c>
      <c r="F88" s="32" t="n">
        <v>45930</v>
      </c>
      <c r="G88" s="43" t="n">
        <v>2</v>
      </c>
      <c r="H88" s="43" t="n">
        <v>2</v>
      </c>
      <c r="I88" s="33" t="inlineStr">
        <is>
          <t>73-18488-07</t>
        </is>
      </c>
      <c r="J88" s="33" t="inlineStr"/>
      <c r="K88" s="33" t="inlineStr"/>
      <c r="L88" s="34">
        <f>IF(F88="","REVIEW: DATE CONFLICT/EMPTY",IF(F88&lt;'Change Overview'!$B$5,"END DATE PASSED","END DATE NOT PASSED"))</f>
        <v/>
      </c>
      <c r="M88" s="34">
        <f>IF(K88&lt;&gt;"","REVIEW SOURCE CONFLICT",IF(OR(ISNUMBER(SEARCH("CCB",D88)),ISNUMBER(SEARCH("Pending",D88))),"CCB/PENDING",IF(OR(ISNUMBER(SEARCH("Expired",D88)),ISNUMBER(SEARCH("Closed",D88))),"CLOSED/EXPIRED",IF(E88="","NO RELEASE DATE","REVIEW APPROVAL"))))</f>
        <v/>
      </c>
      <c r="N88" s="34">
        <f>IF(K88&lt;&gt;"","HIGH: SOURCE CONFLICT",IF(AND(L88="END DATE NOT PASSED",M88="REVIEW APPROVAL"),"HIGH: VERIFY",IF(L88="END DATE NOT PASSED","MEDIUM: CHECK STATUS","LOW: HISTORICAL")))</f>
        <v/>
      </c>
      <c r="O88" s="33" t="inlineStr">
        <is>
          <t>Validar documento firmado, revision/WO/sitio, material afectado y evidencia antes de activar alerta automatica.</t>
        </is>
      </c>
    </row>
    <row r="89">
      <c r="A89" s="43" t="inlineStr">
        <is>
          <t>CTANJZ04706</t>
        </is>
      </c>
      <c r="B89" s="43" t="inlineStr">
        <is>
          <t>DP525064</t>
        </is>
      </c>
      <c r="C89" s="43" t="inlineStr">
        <is>
          <t>CVEBU</t>
        </is>
      </c>
      <c r="D89" s="43" t="inlineStr">
        <is>
          <t>Expired</t>
        </is>
      </c>
      <c r="E89" s="32" t="n">
        <v>45853</v>
      </c>
      <c r="F89" s="32" t="n">
        <v>45900</v>
      </c>
      <c r="G89" s="43" t="n">
        <v>13</v>
      </c>
      <c r="H89" s="43" t="n">
        <v>13</v>
      </c>
      <c r="I89" s="33" t="inlineStr">
        <is>
          <t>73-103698-04, 73-103758-03</t>
        </is>
      </c>
      <c r="J89" s="33" t="inlineStr"/>
      <c r="K89" s="33" t="inlineStr"/>
      <c r="L89" s="34">
        <f>IF(F89="","REVIEW: DATE CONFLICT/EMPTY",IF(F89&lt;'Change Overview'!$B$5,"END DATE PASSED","END DATE NOT PASSED"))</f>
        <v/>
      </c>
      <c r="M89" s="34">
        <f>IF(K89&lt;&gt;"","REVIEW SOURCE CONFLICT",IF(OR(ISNUMBER(SEARCH("CCB",D89)),ISNUMBER(SEARCH("Pending",D89))),"CCB/PENDING",IF(OR(ISNUMBER(SEARCH("Expired",D89)),ISNUMBER(SEARCH("Closed",D89))),"CLOSED/EXPIRED",IF(E89="","NO RELEASE DATE","REVIEW APPROVAL"))))</f>
        <v/>
      </c>
      <c r="N89" s="34">
        <f>IF(K89&lt;&gt;"","HIGH: SOURCE CONFLICT",IF(AND(L89="END DATE NOT PASSED",M89="REVIEW APPROVAL"),"HIGH: VERIFY",IF(L89="END DATE NOT PASSED","MEDIUM: CHECK STATUS","LOW: HISTORICAL")))</f>
        <v/>
      </c>
      <c r="O89" s="33" t="inlineStr">
        <is>
          <t>Validar documento firmado, revision/WO/sitio, material afectado y evidencia antes de activar alerta automatica.</t>
        </is>
      </c>
    </row>
    <row r="90">
      <c r="A90" s="43" t="inlineStr">
        <is>
          <t>CTANJZ04707</t>
        </is>
      </c>
      <c r="B90" s="43" t="inlineStr">
        <is>
          <t>D604653</t>
        </is>
      </c>
      <c r="C90" s="43" t="inlineStr">
        <is>
          <t>STBU</t>
        </is>
      </c>
      <c r="D90" s="43" t="inlineStr">
        <is>
          <t>Expired</t>
        </is>
      </c>
      <c r="E90" s="32" t="n">
        <v>45856</v>
      </c>
      <c r="F90" s="32" t="n">
        <v>45930</v>
      </c>
      <c r="G90" s="43" t="n">
        <v>2</v>
      </c>
      <c r="H90" s="43" t="n">
        <v>2</v>
      </c>
      <c r="I90" s="33" t="inlineStr">
        <is>
          <t>73-17498-04</t>
        </is>
      </c>
      <c r="J90" s="33" t="inlineStr"/>
      <c r="K90" s="33" t="inlineStr"/>
      <c r="L90" s="34">
        <f>IF(F90="","REVIEW: DATE CONFLICT/EMPTY",IF(F90&lt;'Change Overview'!$B$5,"END DATE PASSED","END DATE NOT PASSED"))</f>
        <v/>
      </c>
      <c r="M90" s="34">
        <f>IF(K90&lt;&gt;"","REVIEW SOURCE CONFLICT",IF(OR(ISNUMBER(SEARCH("CCB",D90)),ISNUMBER(SEARCH("Pending",D90))),"CCB/PENDING",IF(OR(ISNUMBER(SEARCH("Expired",D90)),ISNUMBER(SEARCH("Closed",D90))),"CLOSED/EXPIRED",IF(E90="","NO RELEASE DATE","REVIEW APPROVAL"))))</f>
        <v/>
      </c>
      <c r="N90" s="34">
        <f>IF(K90&lt;&gt;"","HIGH: SOURCE CONFLICT",IF(AND(L90="END DATE NOT PASSED",M90="REVIEW APPROVAL"),"HIGH: VERIFY",IF(L90="END DATE NOT PASSED","MEDIUM: CHECK STATUS","LOW: HISTORICAL")))</f>
        <v/>
      </c>
      <c r="O90" s="33" t="inlineStr">
        <is>
          <t>Validar documento firmado, revision/WO/sitio, material afectado y evidencia antes de activar alerta automatica.</t>
        </is>
      </c>
    </row>
    <row r="91">
      <c r="A91" s="43" t="inlineStr">
        <is>
          <t>CTANJZ04709</t>
        </is>
      </c>
      <c r="B91" s="43" t="inlineStr">
        <is>
          <t>D604651</t>
        </is>
      </c>
      <c r="C91" s="43" t="inlineStr">
        <is>
          <t>STBU</t>
        </is>
      </c>
      <c r="D91" s="43" t="inlineStr">
        <is>
          <t>Expired</t>
        </is>
      </c>
      <c r="E91" s="32" t="n">
        <v>45856</v>
      </c>
      <c r="F91" s="32" t="n">
        <v>45930</v>
      </c>
      <c r="G91" s="43" t="n">
        <v>2</v>
      </c>
      <c r="H91" s="43" t="n">
        <v>2</v>
      </c>
      <c r="I91" s="33" t="inlineStr">
        <is>
          <t>73-17498-04</t>
        </is>
      </c>
      <c r="J91" s="33" t="inlineStr"/>
      <c r="K91" s="33" t="inlineStr"/>
      <c r="L91" s="34">
        <f>IF(F91="","REVIEW: DATE CONFLICT/EMPTY",IF(F91&lt;'Change Overview'!$B$5,"END DATE PASSED","END DATE NOT PASSED"))</f>
        <v/>
      </c>
      <c r="M91" s="34">
        <f>IF(K91&lt;&gt;"","REVIEW SOURCE CONFLICT",IF(OR(ISNUMBER(SEARCH("CCB",D91)),ISNUMBER(SEARCH("Pending",D91))),"CCB/PENDING",IF(OR(ISNUMBER(SEARCH("Expired",D91)),ISNUMBER(SEARCH("Closed",D91))),"CLOSED/EXPIRED",IF(E91="","NO RELEASE DATE","REVIEW APPROVAL"))))</f>
        <v/>
      </c>
      <c r="N91" s="34">
        <f>IF(K91&lt;&gt;"","HIGH: SOURCE CONFLICT",IF(AND(L91="END DATE NOT PASSED",M91="REVIEW APPROVAL"),"HIGH: VERIFY",IF(L91="END DATE NOT PASSED","MEDIUM: CHECK STATUS","LOW: HISTORICAL")))</f>
        <v/>
      </c>
      <c r="O91" s="33" t="inlineStr">
        <is>
          <t>Validar documento firmado, revision/WO/sitio, material afectado y evidencia antes de activar alerta automatica.</t>
        </is>
      </c>
    </row>
    <row r="92">
      <c r="A92" s="43" t="inlineStr">
        <is>
          <t>CTANJZ04710</t>
        </is>
      </c>
      <c r="B92" s="43" t="inlineStr">
        <is>
          <t>D604750</t>
        </is>
      </c>
      <c r="C92" s="43" t="inlineStr">
        <is>
          <t>STBU</t>
        </is>
      </c>
      <c r="D92" s="43" t="inlineStr">
        <is>
          <t>Expired</t>
        </is>
      </c>
      <c r="E92" s="32" t="n">
        <v>45856</v>
      </c>
      <c r="F92" s="32" t="n">
        <v>45930</v>
      </c>
      <c r="G92" s="43" t="n">
        <v>2</v>
      </c>
      <c r="H92" s="43" t="n">
        <v>2</v>
      </c>
      <c r="I92" s="33" t="inlineStr">
        <is>
          <t>73-18488-07</t>
        </is>
      </c>
      <c r="J92" s="33" t="inlineStr"/>
      <c r="K92" s="33" t="inlineStr"/>
      <c r="L92" s="34">
        <f>IF(F92="","REVIEW: DATE CONFLICT/EMPTY",IF(F92&lt;'Change Overview'!$B$5,"END DATE PASSED","END DATE NOT PASSED"))</f>
        <v/>
      </c>
      <c r="M92" s="34">
        <f>IF(K92&lt;&gt;"","REVIEW SOURCE CONFLICT",IF(OR(ISNUMBER(SEARCH("CCB",D92)),ISNUMBER(SEARCH("Pending",D92))),"CCB/PENDING",IF(OR(ISNUMBER(SEARCH("Expired",D92)),ISNUMBER(SEARCH("Closed",D92))),"CLOSED/EXPIRED",IF(E92="","NO RELEASE DATE","REVIEW APPROVAL"))))</f>
        <v/>
      </c>
      <c r="N92" s="34">
        <f>IF(K92&lt;&gt;"","HIGH: SOURCE CONFLICT",IF(AND(L92="END DATE NOT PASSED",M92="REVIEW APPROVAL"),"HIGH: VERIFY",IF(L92="END DATE NOT PASSED","MEDIUM: CHECK STATUS","LOW: HISTORICAL")))</f>
        <v/>
      </c>
      <c r="O92" s="33" t="inlineStr">
        <is>
          <t>Validar documento firmado, revision/WO/sitio, material afectado y evidencia antes de activar alerta automatica.</t>
        </is>
      </c>
    </row>
    <row r="93">
      <c r="A93" s="43" t="inlineStr">
        <is>
          <t>CTANJZ04711</t>
        </is>
      </c>
      <c r="B93" s="43" t="inlineStr">
        <is>
          <t>D604652</t>
        </is>
      </c>
      <c r="C93" s="43" t="inlineStr">
        <is>
          <t>STBU</t>
        </is>
      </c>
      <c r="D93" s="43" t="inlineStr">
        <is>
          <t>Expired</t>
        </is>
      </c>
      <c r="E93" s="32" t="n">
        <v>45856</v>
      </c>
      <c r="F93" s="32" t="n">
        <v>45930</v>
      </c>
      <c r="G93" s="43" t="n">
        <v>2</v>
      </c>
      <c r="H93" s="43" t="n">
        <v>2</v>
      </c>
      <c r="I93" s="33" t="inlineStr">
        <is>
          <t>73-102433-05</t>
        </is>
      </c>
      <c r="J93" s="33" t="inlineStr"/>
      <c r="K93" s="33" t="inlineStr"/>
      <c r="L93" s="34">
        <f>IF(F93="","REVIEW: DATE CONFLICT/EMPTY",IF(F93&lt;'Change Overview'!$B$5,"END DATE PASSED","END DATE NOT PASSED"))</f>
        <v/>
      </c>
      <c r="M93" s="34">
        <f>IF(K93&lt;&gt;"","REVIEW SOURCE CONFLICT",IF(OR(ISNUMBER(SEARCH("CCB",D93)),ISNUMBER(SEARCH("Pending",D93))),"CCB/PENDING",IF(OR(ISNUMBER(SEARCH("Expired",D93)),ISNUMBER(SEARCH("Closed",D93))),"CLOSED/EXPIRED",IF(E93="","NO RELEASE DATE","REVIEW APPROVAL"))))</f>
        <v/>
      </c>
      <c r="N93" s="34">
        <f>IF(K93&lt;&gt;"","HIGH: SOURCE CONFLICT",IF(AND(L93="END DATE NOT PASSED",M93="REVIEW APPROVAL"),"HIGH: VERIFY",IF(L93="END DATE NOT PASSED","MEDIUM: CHECK STATUS","LOW: HISTORICAL")))</f>
        <v/>
      </c>
      <c r="O93" s="33" t="inlineStr">
        <is>
          <t>Validar documento firmado, revision/WO/sitio, material afectado y evidencia antes de activar alerta automatica.</t>
        </is>
      </c>
    </row>
    <row r="94">
      <c r="A94" s="43" t="inlineStr">
        <is>
          <t>CTANJZ04721</t>
        </is>
      </c>
      <c r="B94" s="43" t="inlineStr">
        <is>
          <t>D605020</t>
        </is>
      </c>
      <c r="C94" s="43" t="inlineStr">
        <is>
          <t>STBU</t>
        </is>
      </c>
      <c r="D94" s="43" t="inlineStr">
        <is>
          <t>Expired</t>
        </is>
      </c>
      <c r="E94" s="32" t="n">
        <v>45862</v>
      </c>
      <c r="F94" s="32" t="n">
        <v>46027</v>
      </c>
      <c r="G94" s="43" t="n">
        <v>7</v>
      </c>
      <c r="H94" s="43" t="n">
        <v>7</v>
      </c>
      <c r="I94" s="33" t="inlineStr">
        <is>
          <t>73-20249-05</t>
        </is>
      </c>
      <c r="J94" s="33" t="inlineStr"/>
      <c r="K94" s="33" t="inlineStr"/>
      <c r="L94" s="34">
        <f>IF(F94="","REVIEW: DATE CONFLICT/EMPTY",IF(F94&lt;'Change Overview'!$B$5,"END DATE PASSED","END DATE NOT PASSED"))</f>
        <v/>
      </c>
      <c r="M94" s="34">
        <f>IF(K94&lt;&gt;"","REVIEW SOURCE CONFLICT",IF(OR(ISNUMBER(SEARCH("CCB",D94)),ISNUMBER(SEARCH("Pending",D94))),"CCB/PENDING",IF(OR(ISNUMBER(SEARCH("Expired",D94)),ISNUMBER(SEARCH("Closed",D94))),"CLOSED/EXPIRED",IF(E94="","NO RELEASE DATE","REVIEW APPROVAL"))))</f>
        <v/>
      </c>
      <c r="N94" s="34">
        <f>IF(K94&lt;&gt;"","HIGH: SOURCE CONFLICT",IF(AND(L94="END DATE NOT PASSED",M94="REVIEW APPROVAL"),"HIGH: VERIFY",IF(L94="END DATE NOT PASSED","MEDIUM: CHECK STATUS","LOW: HISTORICAL")))</f>
        <v/>
      </c>
      <c r="O94" s="33" t="inlineStr">
        <is>
          <t>Validar documento firmado, revision/WO/sitio, material afectado y evidencia antes de activar alerta automatica.</t>
        </is>
      </c>
    </row>
    <row r="95">
      <c r="A95" s="43" t="inlineStr">
        <is>
          <t>CTANJZ04726</t>
        </is>
      </c>
      <c r="B95" s="43" t="inlineStr">
        <is>
          <t>D604890</t>
        </is>
      </c>
      <c r="C95" s="43" t="inlineStr">
        <is>
          <t>STBU</t>
        </is>
      </c>
      <c r="D95" s="43" t="inlineStr">
        <is>
          <t>Expired</t>
        </is>
      </c>
      <c r="E95" s="32" t="n">
        <v>45864</v>
      </c>
      <c r="F95" s="32" t="n">
        <v>45939</v>
      </c>
      <c r="G95" s="43" t="n">
        <v>9</v>
      </c>
      <c r="H95" s="43" t="n">
        <v>9</v>
      </c>
      <c r="I95" s="33" t="inlineStr"/>
      <c r="J95" s="33" t="inlineStr"/>
      <c r="K95" s="33" t="inlineStr"/>
      <c r="L95" s="34">
        <f>IF(F95="","REVIEW: DATE CONFLICT/EMPTY",IF(F95&lt;'Change Overview'!$B$5,"END DATE PASSED","END DATE NOT PASSED"))</f>
        <v/>
      </c>
      <c r="M95" s="34">
        <f>IF(K95&lt;&gt;"","REVIEW SOURCE CONFLICT",IF(OR(ISNUMBER(SEARCH("CCB",D95)),ISNUMBER(SEARCH("Pending",D95))),"CCB/PENDING",IF(OR(ISNUMBER(SEARCH("Expired",D95)),ISNUMBER(SEARCH("Closed",D95))),"CLOSED/EXPIRED",IF(E95="","NO RELEASE DATE","REVIEW APPROVAL"))))</f>
        <v/>
      </c>
      <c r="N95" s="34">
        <f>IF(K95&lt;&gt;"","HIGH: SOURCE CONFLICT",IF(AND(L95="END DATE NOT PASSED",M95="REVIEW APPROVAL"),"HIGH: VERIFY",IF(L95="END DATE NOT PASSED","MEDIUM: CHECK STATUS","LOW: HISTORICAL")))</f>
        <v/>
      </c>
      <c r="O95" s="33" t="inlineStr">
        <is>
          <t>Validar documento firmado, revision/WO/sitio, material afectado y evidencia antes de activar alerta automatica.</t>
        </is>
      </c>
    </row>
    <row r="96">
      <c r="A96" s="43" t="inlineStr">
        <is>
          <t>CTANJZ04731</t>
        </is>
      </c>
      <c r="B96" s="43" t="inlineStr">
        <is>
          <t>DP525122</t>
        </is>
      </c>
      <c r="C96" s="43" t="inlineStr">
        <is>
          <t>CVEBU</t>
        </is>
      </c>
      <c r="D96" s="43" t="inlineStr">
        <is>
          <t>Expired</t>
        </is>
      </c>
      <c r="E96" s="32" t="n">
        <v>45862</v>
      </c>
      <c r="F96" s="32" t="n">
        <v>45913</v>
      </c>
      <c r="G96" s="43" t="n">
        <v>1</v>
      </c>
      <c r="H96" s="43" t="n">
        <v>1</v>
      </c>
      <c r="I96" s="33" t="inlineStr"/>
      <c r="J96" s="33" t="inlineStr"/>
      <c r="K96" s="33" t="inlineStr"/>
      <c r="L96" s="34">
        <f>IF(F96="","REVIEW: DATE CONFLICT/EMPTY",IF(F96&lt;'Change Overview'!$B$5,"END DATE PASSED","END DATE NOT PASSED"))</f>
        <v/>
      </c>
      <c r="M96" s="34">
        <f>IF(K96&lt;&gt;"","REVIEW SOURCE CONFLICT",IF(OR(ISNUMBER(SEARCH("CCB",D96)),ISNUMBER(SEARCH("Pending",D96))),"CCB/PENDING",IF(OR(ISNUMBER(SEARCH("Expired",D96)),ISNUMBER(SEARCH("Closed",D96))),"CLOSED/EXPIRED",IF(E96="","NO RELEASE DATE","REVIEW APPROVAL"))))</f>
        <v/>
      </c>
      <c r="N96" s="34">
        <f>IF(K96&lt;&gt;"","HIGH: SOURCE CONFLICT",IF(AND(L96="END DATE NOT PASSED",M96="REVIEW APPROVAL"),"HIGH: VERIFY",IF(L96="END DATE NOT PASSED","MEDIUM: CHECK STATUS","LOW: HISTORICAL")))</f>
        <v/>
      </c>
      <c r="O96" s="33" t="inlineStr">
        <is>
          <t>Validar documento firmado, revision/WO/sitio, material afectado y evidencia antes de activar alerta automatica.</t>
        </is>
      </c>
    </row>
    <row r="97">
      <c r="A97" s="43" t="inlineStr">
        <is>
          <t>CTANJZ04732</t>
        </is>
      </c>
      <c r="B97" s="43" t="inlineStr">
        <is>
          <t>D604140</t>
        </is>
      </c>
      <c r="C97" s="43" t="inlineStr">
        <is>
          <t>STBU</t>
        </is>
      </c>
      <c r="D97" s="43" t="inlineStr">
        <is>
          <t>Expired</t>
        </is>
      </c>
      <c r="E97" s="32" t="n">
        <v>45866</v>
      </c>
      <c r="F97" s="32" t="n">
        <v>45944</v>
      </c>
      <c r="G97" s="43" t="n">
        <v>1</v>
      </c>
      <c r="H97" s="43" t="n">
        <v>1</v>
      </c>
      <c r="I97" s="33" t="inlineStr"/>
      <c r="J97" s="33" t="inlineStr"/>
      <c r="K97" s="33" t="inlineStr"/>
      <c r="L97" s="34">
        <f>IF(F97="","REVIEW: DATE CONFLICT/EMPTY",IF(F97&lt;'Change Overview'!$B$5,"END DATE PASSED","END DATE NOT PASSED"))</f>
        <v/>
      </c>
      <c r="M97" s="34">
        <f>IF(K97&lt;&gt;"","REVIEW SOURCE CONFLICT",IF(OR(ISNUMBER(SEARCH("CCB",D97)),ISNUMBER(SEARCH("Pending",D97))),"CCB/PENDING",IF(OR(ISNUMBER(SEARCH("Expired",D97)),ISNUMBER(SEARCH("Closed",D97))),"CLOSED/EXPIRED",IF(E97="","NO RELEASE DATE","REVIEW APPROVAL"))))</f>
        <v/>
      </c>
      <c r="N97" s="34">
        <f>IF(K97&lt;&gt;"","HIGH: SOURCE CONFLICT",IF(AND(L97="END DATE NOT PASSED",M97="REVIEW APPROVAL"),"HIGH: VERIFY",IF(L97="END DATE NOT PASSED","MEDIUM: CHECK STATUS","LOW: HISTORICAL")))</f>
        <v/>
      </c>
      <c r="O97" s="33" t="inlineStr">
        <is>
          <t>Validar documento firmado, revision/WO/sitio, material afectado y evidencia antes de activar alerta automatica.</t>
        </is>
      </c>
    </row>
    <row r="98">
      <c r="A98" s="43" t="inlineStr">
        <is>
          <t>CTANJZ04733</t>
        </is>
      </c>
      <c r="B98" s="43" t="inlineStr">
        <is>
          <t>DP525134</t>
        </is>
      </c>
      <c r="C98" s="43" t="inlineStr">
        <is>
          <t>STBU</t>
        </is>
      </c>
      <c r="D98" s="43" t="inlineStr">
        <is>
          <t>Expired</t>
        </is>
      </c>
      <c r="E98" s="32" t="n">
        <v>45863</v>
      </c>
      <c r="F98" s="32" t="n">
        <v>45915</v>
      </c>
      <c r="G98" s="43" t="n">
        <v>4</v>
      </c>
      <c r="H98" s="43" t="n">
        <v>4</v>
      </c>
      <c r="I98" s="33" t="inlineStr"/>
      <c r="J98" s="33" t="inlineStr"/>
      <c r="K98" s="33" t="inlineStr"/>
      <c r="L98" s="34">
        <f>IF(F98="","REVIEW: DATE CONFLICT/EMPTY",IF(F98&lt;'Change Overview'!$B$5,"END DATE PASSED","END DATE NOT PASSED"))</f>
        <v/>
      </c>
      <c r="M98" s="34">
        <f>IF(K98&lt;&gt;"","REVIEW SOURCE CONFLICT",IF(OR(ISNUMBER(SEARCH("CCB",D98)),ISNUMBER(SEARCH("Pending",D98))),"CCB/PENDING",IF(OR(ISNUMBER(SEARCH("Expired",D98)),ISNUMBER(SEARCH("Closed",D98))),"CLOSED/EXPIRED",IF(E98="","NO RELEASE DATE","REVIEW APPROVAL"))))</f>
        <v/>
      </c>
      <c r="N98" s="34">
        <f>IF(K98&lt;&gt;"","HIGH: SOURCE CONFLICT",IF(AND(L98="END DATE NOT PASSED",M98="REVIEW APPROVAL"),"HIGH: VERIFY",IF(L98="END DATE NOT PASSED","MEDIUM: CHECK STATUS","LOW: HISTORICAL")))</f>
        <v/>
      </c>
      <c r="O98" s="33" t="inlineStr">
        <is>
          <t>Validar documento firmado, revision/WO/sitio, material afectado y evidencia antes de activar alerta automatica.</t>
        </is>
      </c>
    </row>
    <row r="99">
      <c r="A99" s="43" t="inlineStr">
        <is>
          <t>CTANJZ04734</t>
        </is>
      </c>
      <c r="B99" s="43" t="inlineStr">
        <is>
          <t>DP525135</t>
        </is>
      </c>
      <c r="C99" s="43" t="inlineStr">
        <is>
          <t>STBU</t>
        </is>
      </c>
      <c r="D99" s="43" t="inlineStr">
        <is>
          <t>Expired</t>
        </is>
      </c>
      <c r="E99" s="32" t="n">
        <v>45863</v>
      </c>
      <c r="F99" s="32" t="n">
        <v>45915</v>
      </c>
      <c r="G99" s="43" t="n">
        <v>1</v>
      </c>
      <c r="H99" s="43" t="n">
        <v>1</v>
      </c>
      <c r="I99" s="33" t="inlineStr">
        <is>
          <t>73-103633-04</t>
        </is>
      </c>
      <c r="J99" s="33" t="inlineStr"/>
      <c r="K99" s="33" t="inlineStr"/>
      <c r="L99" s="34">
        <f>IF(F99="","REVIEW: DATE CONFLICT/EMPTY",IF(F99&lt;'Change Overview'!$B$5,"END DATE PASSED","END DATE NOT PASSED"))</f>
        <v/>
      </c>
      <c r="M99" s="34">
        <f>IF(K99&lt;&gt;"","REVIEW SOURCE CONFLICT",IF(OR(ISNUMBER(SEARCH("CCB",D99)),ISNUMBER(SEARCH("Pending",D99))),"CCB/PENDING",IF(OR(ISNUMBER(SEARCH("Expired",D99)),ISNUMBER(SEARCH("Closed",D99))),"CLOSED/EXPIRED",IF(E99="","NO RELEASE DATE","REVIEW APPROVAL"))))</f>
        <v/>
      </c>
      <c r="N99" s="34">
        <f>IF(K99&lt;&gt;"","HIGH: SOURCE CONFLICT",IF(AND(L99="END DATE NOT PASSED",M99="REVIEW APPROVAL"),"HIGH: VERIFY",IF(L99="END DATE NOT PASSED","MEDIUM: CHECK STATUS","LOW: HISTORICAL")))</f>
        <v/>
      </c>
      <c r="O99" s="33" t="inlineStr">
        <is>
          <t>Validar documento firmado, revision/WO/sitio, material afectado y evidencia antes de activar alerta automatica.</t>
        </is>
      </c>
    </row>
    <row r="100">
      <c r="A100" s="43" t="inlineStr">
        <is>
          <t>CTANJZ04739</t>
        </is>
      </c>
      <c r="B100" s="43" t="inlineStr">
        <is>
          <t>D605179</t>
        </is>
      </c>
      <c r="C100" s="43" t="inlineStr">
        <is>
          <t>STBU</t>
        </is>
      </c>
      <c r="D100" s="43" t="inlineStr">
        <is>
          <t>Expired</t>
        </is>
      </c>
      <c r="E100" s="32" t="n">
        <v>45868</v>
      </c>
      <c r="F100" s="32" t="n">
        <v>45946</v>
      </c>
      <c r="G100" s="43" t="n">
        <v>1</v>
      </c>
      <c r="H100" s="43" t="n">
        <v>1</v>
      </c>
      <c r="I100" s="33" t="inlineStr"/>
      <c r="J100" s="33" t="inlineStr"/>
      <c r="K100" s="33" t="inlineStr"/>
      <c r="L100" s="34">
        <f>IF(F100="","REVIEW: DATE CONFLICT/EMPTY",IF(F100&lt;'Change Overview'!$B$5,"END DATE PASSED","END DATE NOT PASSED"))</f>
        <v/>
      </c>
      <c r="M100" s="34">
        <f>IF(K100&lt;&gt;"","REVIEW SOURCE CONFLICT",IF(OR(ISNUMBER(SEARCH("CCB",D100)),ISNUMBER(SEARCH("Pending",D100))),"CCB/PENDING",IF(OR(ISNUMBER(SEARCH("Expired",D100)),ISNUMBER(SEARCH("Closed",D100))),"CLOSED/EXPIRED",IF(E100="","NO RELEASE DATE","REVIEW APPROVAL"))))</f>
        <v/>
      </c>
      <c r="N100" s="34">
        <f>IF(K100&lt;&gt;"","HIGH: SOURCE CONFLICT",IF(AND(L100="END DATE NOT PASSED",M100="REVIEW APPROVAL"),"HIGH: VERIFY",IF(L100="END DATE NOT PASSED","MEDIUM: CHECK STATUS","LOW: HISTORICAL")))</f>
        <v/>
      </c>
      <c r="O100" s="33" t="inlineStr">
        <is>
          <t>Validar documento firmado, revision/WO/sitio, material afectado y evidencia antes de activar alerta automatica.</t>
        </is>
      </c>
    </row>
    <row r="101">
      <c r="A101" s="43" t="inlineStr">
        <is>
          <t>CTANJZ04741</t>
        </is>
      </c>
      <c r="B101" s="43" t="inlineStr">
        <is>
          <t>D605272</t>
        </is>
      </c>
      <c r="C101" s="43" t="inlineStr">
        <is>
          <t>STBU</t>
        </is>
      </c>
      <c r="D101" s="43" t="inlineStr">
        <is>
          <t>Expired</t>
        </is>
      </c>
      <c r="E101" s="32" t="n">
        <v>45874</v>
      </c>
      <c r="F101" s="32" t="n">
        <v>45950</v>
      </c>
      <c r="G101" s="43" t="n">
        <v>7</v>
      </c>
      <c r="H101" s="43" t="n">
        <v>7</v>
      </c>
      <c r="I101" s="33" t="inlineStr"/>
      <c r="J101" s="33" t="inlineStr"/>
      <c r="K101" s="33" t="inlineStr"/>
      <c r="L101" s="34">
        <f>IF(F101="","REVIEW: DATE CONFLICT/EMPTY",IF(F101&lt;'Change Overview'!$B$5,"END DATE PASSED","END DATE NOT PASSED"))</f>
        <v/>
      </c>
      <c r="M101" s="34">
        <f>IF(K101&lt;&gt;"","REVIEW SOURCE CONFLICT",IF(OR(ISNUMBER(SEARCH("CCB",D101)),ISNUMBER(SEARCH("Pending",D101))),"CCB/PENDING",IF(OR(ISNUMBER(SEARCH("Expired",D101)),ISNUMBER(SEARCH("Closed",D101))),"CLOSED/EXPIRED",IF(E101="","NO RELEASE DATE","REVIEW APPROVAL"))))</f>
        <v/>
      </c>
      <c r="N101" s="34">
        <f>IF(K101&lt;&gt;"","HIGH: SOURCE CONFLICT",IF(AND(L101="END DATE NOT PASSED",M101="REVIEW APPROVAL"),"HIGH: VERIFY",IF(L101="END DATE NOT PASSED","MEDIUM: CHECK STATUS","LOW: HISTORICAL")))</f>
        <v/>
      </c>
      <c r="O101" s="33" t="inlineStr">
        <is>
          <t>Validar documento firmado, revision/WO/sitio, material afectado y evidencia antes de activar alerta automatica.</t>
        </is>
      </c>
    </row>
    <row r="102">
      <c r="A102" s="43" t="inlineStr">
        <is>
          <t>CTANJZ04742</t>
        </is>
      </c>
      <c r="B102" s="43" t="inlineStr">
        <is>
          <t>D605284</t>
        </is>
      </c>
      <c r="C102" s="43" t="inlineStr">
        <is>
          <t>CVEBU</t>
        </is>
      </c>
      <c r="D102" s="43" t="inlineStr">
        <is>
          <t>Expired</t>
        </is>
      </c>
      <c r="E102" s="32" t="n">
        <v>45867</v>
      </c>
      <c r="F102" s="32" t="n">
        <v>45950</v>
      </c>
      <c r="G102" s="43" t="n">
        <v>2</v>
      </c>
      <c r="H102" s="43" t="n">
        <v>2</v>
      </c>
      <c r="I102" s="33" t="inlineStr"/>
      <c r="J102" s="33" t="inlineStr"/>
      <c r="K102" s="33" t="inlineStr"/>
      <c r="L102" s="34">
        <f>IF(F102="","REVIEW: DATE CONFLICT/EMPTY",IF(F102&lt;'Change Overview'!$B$5,"END DATE PASSED","END DATE NOT PASSED"))</f>
        <v/>
      </c>
      <c r="M102" s="34">
        <f>IF(K102&lt;&gt;"","REVIEW SOURCE CONFLICT",IF(OR(ISNUMBER(SEARCH("CCB",D102)),ISNUMBER(SEARCH("Pending",D102))),"CCB/PENDING",IF(OR(ISNUMBER(SEARCH("Expired",D102)),ISNUMBER(SEARCH("Closed",D102))),"CLOSED/EXPIRED",IF(E102="","NO RELEASE DATE","REVIEW APPROVAL"))))</f>
        <v/>
      </c>
      <c r="N102" s="34">
        <f>IF(K102&lt;&gt;"","HIGH: SOURCE CONFLICT",IF(AND(L102="END DATE NOT PASSED",M102="REVIEW APPROVAL"),"HIGH: VERIFY",IF(L102="END DATE NOT PASSED","MEDIUM: CHECK STATUS","LOW: HISTORICAL")))</f>
        <v/>
      </c>
      <c r="O102" s="33" t="inlineStr">
        <is>
          <t>Validar documento firmado, revision/WO/sitio, material afectado y evidencia antes de activar alerta automatica.</t>
        </is>
      </c>
    </row>
    <row r="103">
      <c r="A103" s="43" t="inlineStr">
        <is>
          <t>CTANJZ04744</t>
        </is>
      </c>
      <c r="B103" s="43" t="inlineStr">
        <is>
          <t>D605288</t>
        </is>
      </c>
      <c r="C103" s="43" t="inlineStr">
        <is>
          <t>IOTBU</t>
        </is>
      </c>
      <c r="D103" s="43" t="inlineStr">
        <is>
          <t>Expired</t>
        </is>
      </c>
      <c r="E103" s="32" t="n">
        <v>45868</v>
      </c>
      <c r="F103" s="32" t="n">
        <v>45951</v>
      </c>
      <c r="G103" s="43" t="n">
        <v>4</v>
      </c>
      <c r="H103" s="43" t="n">
        <v>4</v>
      </c>
      <c r="I103" s="33" t="inlineStr">
        <is>
          <t>73-101439-04, 73-102239-04, 73-103098-03</t>
        </is>
      </c>
      <c r="J103" s="33" t="inlineStr"/>
      <c r="K103" s="33" t="inlineStr"/>
      <c r="L103" s="34">
        <f>IF(F103="","REVIEW: DATE CONFLICT/EMPTY",IF(F103&lt;'Change Overview'!$B$5,"END DATE PASSED","END DATE NOT PASSED"))</f>
        <v/>
      </c>
      <c r="M103" s="34">
        <f>IF(K103&lt;&gt;"","REVIEW SOURCE CONFLICT",IF(OR(ISNUMBER(SEARCH("CCB",D103)),ISNUMBER(SEARCH("Pending",D103))),"CCB/PENDING",IF(OR(ISNUMBER(SEARCH("Expired",D103)),ISNUMBER(SEARCH("Closed",D103))),"CLOSED/EXPIRED",IF(E103="","NO RELEASE DATE","REVIEW APPROVAL"))))</f>
        <v/>
      </c>
      <c r="N103" s="34">
        <f>IF(K103&lt;&gt;"","HIGH: SOURCE CONFLICT",IF(AND(L103="END DATE NOT PASSED",M103="REVIEW APPROVAL"),"HIGH: VERIFY",IF(L103="END DATE NOT PASSED","MEDIUM: CHECK STATUS","LOW: HISTORICAL")))</f>
        <v/>
      </c>
      <c r="O103" s="33" t="inlineStr">
        <is>
          <t>Validar documento firmado, revision/WO/sitio, material afectado y evidencia antes de activar alerta automatica.</t>
        </is>
      </c>
    </row>
    <row r="104">
      <c r="A104" s="43" t="inlineStr">
        <is>
          <t>CTANJZ04745</t>
        </is>
      </c>
      <c r="B104" s="43" t="inlineStr">
        <is>
          <t>D605275</t>
        </is>
      </c>
      <c r="C104" s="43" t="inlineStr">
        <is>
          <t>SRGBU</t>
        </is>
      </c>
      <c r="D104" s="43" t="inlineStr">
        <is>
          <t>Expired</t>
        </is>
      </c>
      <c r="E104" s="32" t="n">
        <v>45866</v>
      </c>
      <c r="F104" s="32" t="n">
        <v>45950</v>
      </c>
      <c r="G104" s="43" t="n">
        <v>1</v>
      </c>
      <c r="H104" s="43" t="n">
        <v>1</v>
      </c>
      <c r="I104" s="33" t="inlineStr"/>
      <c r="J104" s="33" t="inlineStr"/>
      <c r="K104" s="33" t="inlineStr"/>
      <c r="L104" s="34">
        <f>IF(F104="","REVIEW: DATE CONFLICT/EMPTY",IF(F104&lt;'Change Overview'!$B$5,"END DATE PASSED","END DATE NOT PASSED"))</f>
        <v/>
      </c>
      <c r="M104" s="34">
        <f>IF(K104&lt;&gt;"","REVIEW SOURCE CONFLICT",IF(OR(ISNUMBER(SEARCH("CCB",D104)),ISNUMBER(SEARCH("Pending",D104))),"CCB/PENDING",IF(OR(ISNUMBER(SEARCH("Expired",D104)),ISNUMBER(SEARCH("Closed",D104))),"CLOSED/EXPIRED",IF(E104="","NO RELEASE DATE","REVIEW APPROVAL"))))</f>
        <v/>
      </c>
      <c r="N104" s="34">
        <f>IF(K104&lt;&gt;"","HIGH: SOURCE CONFLICT",IF(AND(L104="END DATE NOT PASSED",M104="REVIEW APPROVAL"),"HIGH: VERIFY",IF(L104="END DATE NOT PASSED","MEDIUM: CHECK STATUS","LOW: HISTORICAL")))</f>
        <v/>
      </c>
      <c r="O104" s="33" t="inlineStr">
        <is>
          <t>Validar documento firmado, revision/WO/sitio, material afectado y evidencia antes de activar alerta automatica.</t>
        </is>
      </c>
    </row>
    <row r="105">
      <c r="A105" s="43" t="inlineStr">
        <is>
          <t>CTANJZ04747</t>
        </is>
      </c>
      <c r="B105" s="43" t="inlineStr">
        <is>
          <t>D605207</t>
        </is>
      </c>
      <c r="C105" s="43" t="inlineStr">
        <is>
          <t>SRGBU</t>
        </is>
      </c>
      <c r="D105" s="43" t="inlineStr">
        <is>
          <t>Expired</t>
        </is>
      </c>
      <c r="E105" s="32" t="n">
        <v>45874</v>
      </c>
      <c r="F105" s="32" t="n">
        <v>45953</v>
      </c>
      <c r="G105" s="43" t="n">
        <v>2</v>
      </c>
      <c r="H105" s="43" t="n">
        <v>2</v>
      </c>
      <c r="I105" s="33" t="inlineStr"/>
      <c r="J105" s="33" t="inlineStr"/>
      <c r="K105" s="33" t="inlineStr"/>
      <c r="L105" s="34">
        <f>IF(F105="","REVIEW: DATE CONFLICT/EMPTY",IF(F105&lt;'Change Overview'!$B$5,"END DATE PASSED","END DATE NOT PASSED"))</f>
        <v/>
      </c>
      <c r="M105" s="34">
        <f>IF(K105&lt;&gt;"","REVIEW SOURCE CONFLICT",IF(OR(ISNUMBER(SEARCH("CCB",D105)),ISNUMBER(SEARCH("Pending",D105))),"CCB/PENDING",IF(OR(ISNUMBER(SEARCH("Expired",D105)),ISNUMBER(SEARCH("Closed",D105))),"CLOSED/EXPIRED",IF(E105="","NO RELEASE DATE","REVIEW APPROVAL"))))</f>
        <v/>
      </c>
      <c r="N105" s="34">
        <f>IF(K105&lt;&gt;"","HIGH: SOURCE CONFLICT",IF(AND(L105="END DATE NOT PASSED",M105="REVIEW APPROVAL"),"HIGH: VERIFY",IF(L105="END DATE NOT PASSED","MEDIUM: CHECK STATUS","LOW: HISTORICAL")))</f>
        <v/>
      </c>
      <c r="O105" s="33" t="inlineStr">
        <is>
          <t>Validar documento firmado, revision/WO/sitio, material afectado y evidencia antes de activar alerta automatica.</t>
        </is>
      </c>
    </row>
    <row r="106">
      <c r="A106" s="43" t="inlineStr">
        <is>
          <t>CTANJZ04749</t>
        </is>
      </c>
      <c r="B106" s="43" t="inlineStr">
        <is>
          <t>D603796</t>
        </is>
      </c>
      <c r="C106" s="43" t="inlineStr">
        <is>
          <t>SRGBU</t>
        </is>
      </c>
      <c r="D106" s="43" t="inlineStr">
        <is>
          <t>Expired</t>
        </is>
      </c>
      <c r="E106" s="32" t="n">
        <v>45874</v>
      </c>
      <c r="F106" s="32" t="n">
        <v>45956</v>
      </c>
      <c r="G106" s="43" t="n">
        <v>2</v>
      </c>
      <c r="H106" s="43" t="n">
        <v>2</v>
      </c>
      <c r="I106" s="33" t="inlineStr"/>
      <c r="J106" s="33" t="inlineStr"/>
      <c r="K106" s="33" t="inlineStr"/>
      <c r="L106" s="34">
        <f>IF(F106="","REVIEW: DATE CONFLICT/EMPTY",IF(F106&lt;'Change Overview'!$B$5,"END DATE PASSED","END DATE NOT PASSED"))</f>
        <v/>
      </c>
      <c r="M106" s="34">
        <f>IF(K106&lt;&gt;"","REVIEW SOURCE CONFLICT",IF(OR(ISNUMBER(SEARCH("CCB",D106)),ISNUMBER(SEARCH("Pending",D106))),"CCB/PENDING",IF(OR(ISNUMBER(SEARCH("Expired",D106)),ISNUMBER(SEARCH("Closed",D106))),"CLOSED/EXPIRED",IF(E106="","NO RELEASE DATE","REVIEW APPROVAL"))))</f>
        <v/>
      </c>
      <c r="N106" s="34">
        <f>IF(K106&lt;&gt;"","HIGH: SOURCE CONFLICT",IF(AND(L106="END DATE NOT PASSED",M106="REVIEW APPROVAL"),"HIGH: VERIFY",IF(L106="END DATE NOT PASSED","MEDIUM: CHECK STATUS","LOW: HISTORICAL")))</f>
        <v/>
      </c>
      <c r="O106" s="33" t="inlineStr">
        <is>
          <t>Validar documento firmado, revision/WO/sitio, material afectado y evidencia antes de activar alerta automatica.</t>
        </is>
      </c>
    </row>
    <row r="107">
      <c r="A107" s="43" t="inlineStr">
        <is>
          <t>CTANJZ04754</t>
        </is>
      </c>
      <c r="B107" s="43" t="inlineStr">
        <is>
          <t>D605279</t>
        </is>
      </c>
      <c r="C107" s="43" t="inlineStr">
        <is>
          <t>STBU</t>
        </is>
      </c>
      <c r="D107" s="43" t="inlineStr">
        <is>
          <t>Expired</t>
        </is>
      </c>
      <c r="E107" s="32" t="n">
        <v>45883</v>
      </c>
      <c r="F107" s="32" t="n">
        <v>45957</v>
      </c>
      <c r="G107" s="43" t="n">
        <v>1</v>
      </c>
      <c r="H107" s="43" t="n">
        <v>1</v>
      </c>
      <c r="I107" s="33" t="inlineStr"/>
      <c r="J107" s="33" t="inlineStr"/>
      <c r="K107" s="33" t="inlineStr"/>
      <c r="L107" s="34">
        <f>IF(F107="","REVIEW: DATE CONFLICT/EMPTY",IF(F107&lt;'Change Overview'!$B$5,"END DATE PASSED","END DATE NOT PASSED"))</f>
        <v/>
      </c>
      <c r="M107" s="34">
        <f>IF(K107&lt;&gt;"","REVIEW SOURCE CONFLICT",IF(OR(ISNUMBER(SEARCH("CCB",D107)),ISNUMBER(SEARCH("Pending",D107))),"CCB/PENDING",IF(OR(ISNUMBER(SEARCH("Expired",D107)),ISNUMBER(SEARCH("Closed",D107))),"CLOSED/EXPIRED",IF(E107="","NO RELEASE DATE","REVIEW APPROVAL"))))</f>
        <v/>
      </c>
      <c r="N107" s="34">
        <f>IF(K107&lt;&gt;"","HIGH: SOURCE CONFLICT",IF(AND(L107="END DATE NOT PASSED",M107="REVIEW APPROVAL"),"HIGH: VERIFY",IF(L107="END DATE NOT PASSED","MEDIUM: CHECK STATUS","LOW: HISTORICAL")))</f>
        <v/>
      </c>
      <c r="O107" s="33" t="inlineStr">
        <is>
          <t>Validar documento firmado, revision/WO/sitio, material afectado y evidencia antes de activar alerta automatica.</t>
        </is>
      </c>
    </row>
    <row r="108">
      <c r="A108" s="43" t="inlineStr">
        <is>
          <t>CTANJZ04758</t>
        </is>
      </c>
      <c r="B108" s="43" t="inlineStr">
        <is>
          <t>D605395</t>
        </is>
      </c>
      <c r="C108" s="43" t="inlineStr">
        <is>
          <t>IOTBU</t>
        </is>
      </c>
      <c r="D108" s="43" t="inlineStr">
        <is>
          <t>Expired</t>
        </is>
      </c>
      <c r="E108" s="32" t="n">
        <v>45875</v>
      </c>
      <c r="F108" s="32" t="n">
        <v>45959</v>
      </c>
      <c r="G108" s="43" t="n">
        <v>10</v>
      </c>
      <c r="H108" s="43" t="n">
        <v>10</v>
      </c>
      <c r="I108" s="33" t="inlineStr">
        <is>
          <t>73-101439-04, 73-102239-04, 73-103098-03</t>
        </is>
      </c>
      <c r="J108" s="33" t="inlineStr"/>
      <c r="K108" s="33" t="inlineStr"/>
      <c r="L108" s="34">
        <f>IF(F108="","REVIEW: DATE CONFLICT/EMPTY",IF(F108&lt;'Change Overview'!$B$5,"END DATE PASSED","END DATE NOT PASSED"))</f>
        <v/>
      </c>
      <c r="M108" s="34">
        <f>IF(K108&lt;&gt;"","REVIEW SOURCE CONFLICT",IF(OR(ISNUMBER(SEARCH("CCB",D108)),ISNUMBER(SEARCH("Pending",D108))),"CCB/PENDING",IF(OR(ISNUMBER(SEARCH("Expired",D108)),ISNUMBER(SEARCH("Closed",D108))),"CLOSED/EXPIRED",IF(E108="","NO RELEASE DATE","REVIEW APPROVAL"))))</f>
        <v/>
      </c>
      <c r="N108" s="34">
        <f>IF(K108&lt;&gt;"","HIGH: SOURCE CONFLICT",IF(AND(L108="END DATE NOT PASSED",M108="REVIEW APPROVAL"),"HIGH: VERIFY",IF(L108="END DATE NOT PASSED","MEDIUM: CHECK STATUS","LOW: HISTORICAL")))</f>
        <v/>
      </c>
      <c r="O108" s="33" t="inlineStr">
        <is>
          <t>Validar documento firmado, revision/WO/sitio, material afectado y evidencia antes de activar alerta automatica.</t>
        </is>
      </c>
    </row>
    <row r="109">
      <c r="A109" s="43" t="inlineStr">
        <is>
          <t>CTANJZ04759</t>
        </is>
      </c>
      <c r="B109" s="43" t="inlineStr">
        <is>
          <t>DP525171</t>
        </is>
      </c>
      <c r="C109" s="43" t="inlineStr">
        <is>
          <t>STBU</t>
        </is>
      </c>
      <c r="D109" s="43" t="inlineStr">
        <is>
          <t>Expired</t>
        </is>
      </c>
      <c r="E109" s="32" t="n">
        <v>45875</v>
      </c>
      <c r="F109" s="32" t="n">
        <v>45928</v>
      </c>
      <c r="G109" s="43" t="n">
        <v>2</v>
      </c>
      <c r="H109" s="43" t="n">
        <v>2</v>
      </c>
      <c r="I109" s="33" t="inlineStr"/>
      <c r="J109" s="33" t="inlineStr"/>
      <c r="K109" s="33" t="inlineStr"/>
      <c r="L109" s="34">
        <f>IF(F109="","REVIEW: DATE CONFLICT/EMPTY",IF(F109&lt;'Change Overview'!$B$5,"END DATE PASSED","END DATE NOT PASSED"))</f>
        <v/>
      </c>
      <c r="M109" s="34">
        <f>IF(K109&lt;&gt;"","REVIEW SOURCE CONFLICT",IF(OR(ISNUMBER(SEARCH("CCB",D109)),ISNUMBER(SEARCH("Pending",D109))),"CCB/PENDING",IF(OR(ISNUMBER(SEARCH("Expired",D109)),ISNUMBER(SEARCH("Closed",D109))),"CLOSED/EXPIRED",IF(E109="","NO RELEASE DATE","REVIEW APPROVAL"))))</f>
        <v/>
      </c>
      <c r="N109" s="34">
        <f>IF(K109&lt;&gt;"","HIGH: SOURCE CONFLICT",IF(AND(L109="END DATE NOT PASSED",M109="REVIEW APPROVAL"),"HIGH: VERIFY",IF(L109="END DATE NOT PASSED","MEDIUM: CHECK STATUS","LOW: HISTORICAL")))</f>
        <v/>
      </c>
      <c r="O109" s="33" t="inlineStr">
        <is>
          <t>Validar documento firmado, revision/WO/sitio, material afectado y evidencia antes de activar alerta automatica.</t>
        </is>
      </c>
    </row>
    <row r="110">
      <c r="A110" s="43" t="inlineStr">
        <is>
          <t>CTANJZ04760</t>
        </is>
      </c>
      <c r="B110" s="43" t="inlineStr">
        <is>
          <t>D605494</t>
        </is>
      </c>
      <c r="C110" s="43" t="inlineStr">
        <is>
          <t>STBU</t>
        </is>
      </c>
      <c r="D110" s="43" t="inlineStr">
        <is>
          <t>Expired</t>
        </is>
      </c>
      <c r="E110" s="32" t="n">
        <v>45890</v>
      </c>
      <c r="F110" s="32" t="n">
        <v>45960</v>
      </c>
      <c r="G110" s="43" t="n">
        <v>12</v>
      </c>
      <c r="H110" s="43" t="n">
        <v>12</v>
      </c>
      <c r="I110" s="33" t="inlineStr"/>
      <c r="J110" s="33" t="inlineStr"/>
      <c r="K110" s="33" t="inlineStr"/>
      <c r="L110" s="34">
        <f>IF(F110="","REVIEW: DATE CONFLICT/EMPTY",IF(F110&lt;'Change Overview'!$B$5,"END DATE PASSED","END DATE NOT PASSED"))</f>
        <v/>
      </c>
      <c r="M110" s="34">
        <f>IF(K110&lt;&gt;"","REVIEW SOURCE CONFLICT",IF(OR(ISNUMBER(SEARCH("CCB",D110)),ISNUMBER(SEARCH("Pending",D110))),"CCB/PENDING",IF(OR(ISNUMBER(SEARCH("Expired",D110)),ISNUMBER(SEARCH("Closed",D110))),"CLOSED/EXPIRED",IF(E110="","NO RELEASE DATE","REVIEW APPROVAL"))))</f>
        <v/>
      </c>
      <c r="N110" s="34">
        <f>IF(K110&lt;&gt;"","HIGH: SOURCE CONFLICT",IF(AND(L110="END DATE NOT PASSED",M110="REVIEW APPROVAL"),"HIGH: VERIFY",IF(L110="END DATE NOT PASSED","MEDIUM: CHECK STATUS","LOW: HISTORICAL")))</f>
        <v/>
      </c>
      <c r="O110" s="33" t="inlineStr">
        <is>
          <t>Validar documento firmado, revision/WO/sitio, material afectado y evidencia antes de activar alerta automatica.</t>
        </is>
      </c>
    </row>
    <row r="111">
      <c r="A111" s="43" t="inlineStr">
        <is>
          <t>CTANJZ04761</t>
        </is>
      </c>
      <c r="B111" s="43" t="inlineStr">
        <is>
          <t>DP525183</t>
        </is>
      </c>
      <c r="C111" s="43" t="inlineStr">
        <is>
          <t>CVEBU</t>
        </is>
      </c>
      <c r="D111" s="43" t="inlineStr">
        <is>
          <t>Expired</t>
        </is>
      </c>
      <c r="E111" s="32" t="n">
        <v>45883</v>
      </c>
      <c r="F111" s="32" t="n">
        <v>45930</v>
      </c>
      <c r="G111" s="43" t="n">
        <v>3</v>
      </c>
      <c r="H111" s="43" t="n">
        <v>3</v>
      </c>
      <c r="I111" s="33" t="inlineStr">
        <is>
          <t>73-103758-02</t>
        </is>
      </c>
      <c r="J111" s="33" t="inlineStr"/>
      <c r="K111" s="33" t="inlineStr"/>
      <c r="L111" s="34">
        <f>IF(F111="","REVIEW: DATE CONFLICT/EMPTY",IF(F111&lt;'Change Overview'!$B$5,"END DATE PASSED","END DATE NOT PASSED"))</f>
        <v/>
      </c>
      <c r="M111" s="34">
        <f>IF(K111&lt;&gt;"","REVIEW SOURCE CONFLICT",IF(OR(ISNUMBER(SEARCH("CCB",D111)),ISNUMBER(SEARCH("Pending",D111))),"CCB/PENDING",IF(OR(ISNUMBER(SEARCH("Expired",D111)),ISNUMBER(SEARCH("Closed",D111))),"CLOSED/EXPIRED",IF(E111="","NO RELEASE DATE","REVIEW APPROVAL"))))</f>
        <v/>
      </c>
      <c r="N111" s="34">
        <f>IF(K111&lt;&gt;"","HIGH: SOURCE CONFLICT",IF(AND(L111="END DATE NOT PASSED",M111="REVIEW APPROVAL"),"HIGH: VERIFY",IF(L111="END DATE NOT PASSED","MEDIUM: CHECK STATUS","LOW: HISTORICAL")))</f>
        <v/>
      </c>
      <c r="O111" s="33" t="inlineStr">
        <is>
          <t>Validar documento firmado, revision/WO/sitio, material afectado y evidencia antes de activar alerta automatica.</t>
        </is>
      </c>
    </row>
    <row r="112">
      <c r="A112" s="43" t="inlineStr">
        <is>
          <t>CTANJZ04763</t>
        </is>
      </c>
      <c r="B112" s="43" t="inlineStr">
        <is>
          <t>DP525137</t>
        </is>
      </c>
      <c r="C112" s="43" t="inlineStr">
        <is>
          <t>STBU</t>
        </is>
      </c>
      <c r="D112" s="43" t="inlineStr">
        <is>
          <t>Expired</t>
        </is>
      </c>
      <c r="E112" s="32" t="n">
        <v>45883</v>
      </c>
      <c r="F112" s="32" t="n">
        <v>45932</v>
      </c>
      <c r="G112" s="43" t="n">
        <v>8</v>
      </c>
      <c r="H112" s="43" t="n">
        <v>8</v>
      </c>
      <c r="I112" s="33" t="inlineStr"/>
      <c r="J112" s="33" t="inlineStr"/>
      <c r="K112" s="33" t="inlineStr"/>
      <c r="L112" s="34">
        <f>IF(F112="","REVIEW: DATE CONFLICT/EMPTY",IF(F112&lt;'Change Overview'!$B$5,"END DATE PASSED","END DATE NOT PASSED"))</f>
        <v/>
      </c>
      <c r="M112" s="34">
        <f>IF(K112&lt;&gt;"","REVIEW SOURCE CONFLICT",IF(OR(ISNUMBER(SEARCH("CCB",D112)),ISNUMBER(SEARCH("Pending",D112))),"CCB/PENDING",IF(OR(ISNUMBER(SEARCH("Expired",D112)),ISNUMBER(SEARCH("Closed",D112))),"CLOSED/EXPIRED",IF(E112="","NO RELEASE DATE","REVIEW APPROVAL"))))</f>
        <v/>
      </c>
      <c r="N112" s="34">
        <f>IF(K112&lt;&gt;"","HIGH: SOURCE CONFLICT",IF(AND(L112="END DATE NOT PASSED",M112="REVIEW APPROVAL"),"HIGH: VERIFY",IF(L112="END DATE NOT PASSED","MEDIUM: CHECK STATUS","LOW: HISTORICAL")))</f>
        <v/>
      </c>
      <c r="O112" s="33" t="inlineStr">
        <is>
          <t>Validar documento firmado, revision/WO/sitio, material afectado y evidencia antes de activar alerta automatica.</t>
        </is>
      </c>
    </row>
    <row r="113">
      <c r="A113" s="43" t="inlineStr">
        <is>
          <t>CTANJZ04764</t>
        </is>
      </c>
      <c r="B113" s="43" t="inlineStr">
        <is>
          <t>D605287</t>
        </is>
      </c>
      <c r="C113" s="43" t="inlineStr">
        <is>
          <t>SRGBU</t>
        </is>
      </c>
      <c r="D113" s="43" t="inlineStr">
        <is>
          <t>Expired</t>
        </is>
      </c>
      <c r="E113" s="32" t="n">
        <v>45881</v>
      </c>
      <c r="F113" s="32" t="n">
        <v>45964</v>
      </c>
      <c r="G113" s="43" t="n">
        <v>1</v>
      </c>
      <c r="H113" s="43" t="n">
        <v>1</v>
      </c>
      <c r="I113" s="33" t="inlineStr"/>
      <c r="J113" s="33" t="inlineStr"/>
      <c r="K113" s="33" t="inlineStr"/>
      <c r="L113" s="34">
        <f>IF(F113="","REVIEW: DATE CONFLICT/EMPTY",IF(F113&lt;'Change Overview'!$B$5,"END DATE PASSED","END DATE NOT PASSED"))</f>
        <v/>
      </c>
      <c r="M113" s="34">
        <f>IF(K113&lt;&gt;"","REVIEW SOURCE CONFLICT",IF(OR(ISNUMBER(SEARCH("CCB",D113)),ISNUMBER(SEARCH("Pending",D113))),"CCB/PENDING",IF(OR(ISNUMBER(SEARCH("Expired",D113)),ISNUMBER(SEARCH("Closed",D113))),"CLOSED/EXPIRED",IF(E113="","NO RELEASE DATE","REVIEW APPROVAL"))))</f>
        <v/>
      </c>
      <c r="N113" s="34">
        <f>IF(K113&lt;&gt;"","HIGH: SOURCE CONFLICT",IF(AND(L113="END DATE NOT PASSED",M113="REVIEW APPROVAL"),"HIGH: VERIFY",IF(L113="END DATE NOT PASSED","MEDIUM: CHECK STATUS","LOW: HISTORICAL")))</f>
        <v/>
      </c>
      <c r="O113" s="33" t="inlineStr">
        <is>
          <t>Validar documento firmado, revision/WO/sitio, material afectado y evidencia antes de activar alerta automatica.</t>
        </is>
      </c>
    </row>
    <row r="114">
      <c r="A114" s="43" t="inlineStr">
        <is>
          <t>CTANJZ04765</t>
        </is>
      </c>
      <c r="B114" s="43" t="inlineStr">
        <is>
          <t>D605484</t>
        </is>
      </c>
      <c r="C114" s="43" t="inlineStr">
        <is>
          <t>SRGBU</t>
        </is>
      </c>
      <c r="D114" s="43" t="inlineStr">
        <is>
          <t>Expired</t>
        </is>
      </c>
      <c r="E114" s="32" t="n">
        <v>45881</v>
      </c>
      <c r="F114" s="32" t="n">
        <v>45964</v>
      </c>
      <c r="G114" s="43" t="n">
        <v>8</v>
      </c>
      <c r="H114" s="43" t="n">
        <v>8</v>
      </c>
      <c r="I114" s="33" t="inlineStr"/>
      <c r="J114" s="33" t="inlineStr"/>
      <c r="K114" s="33" t="inlineStr"/>
      <c r="L114" s="34">
        <f>IF(F114="","REVIEW: DATE CONFLICT/EMPTY",IF(F114&lt;'Change Overview'!$B$5,"END DATE PASSED","END DATE NOT PASSED"))</f>
        <v/>
      </c>
      <c r="M114" s="34">
        <f>IF(K114&lt;&gt;"","REVIEW SOURCE CONFLICT",IF(OR(ISNUMBER(SEARCH("CCB",D114)),ISNUMBER(SEARCH("Pending",D114))),"CCB/PENDING",IF(OR(ISNUMBER(SEARCH("Expired",D114)),ISNUMBER(SEARCH("Closed",D114))),"CLOSED/EXPIRED",IF(E114="","NO RELEASE DATE","REVIEW APPROVAL"))))</f>
        <v/>
      </c>
      <c r="N114" s="34">
        <f>IF(K114&lt;&gt;"","HIGH: SOURCE CONFLICT",IF(AND(L114="END DATE NOT PASSED",M114="REVIEW APPROVAL"),"HIGH: VERIFY",IF(L114="END DATE NOT PASSED","MEDIUM: CHECK STATUS","LOW: HISTORICAL")))</f>
        <v/>
      </c>
      <c r="O114" s="33" t="inlineStr">
        <is>
          <t>Validar documento firmado, revision/WO/sitio, material afectado y evidencia antes de activar alerta automatica.</t>
        </is>
      </c>
    </row>
    <row r="115">
      <c r="A115" s="43" t="inlineStr">
        <is>
          <t>CTANJZ04766</t>
        </is>
      </c>
      <c r="B115" s="43" t="inlineStr">
        <is>
          <t>DP525199</t>
        </is>
      </c>
      <c r="C115" s="43" t="inlineStr">
        <is>
          <t>IOTBU</t>
        </is>
      </c>
      <c r="D115" s="43" t="inlineStr">
        <is>
          <t>Expired</t>
        </is>
      </c>
      <c r="E115" s="32" t="n">
        <v>45883</v>
      </c>
      <c r="F115" s="32" t="n">
        <v>45934</v>
      </c>
      <c r="G115" s="43" t="n">
        <v>1</v>
      </c>
      <c r="H115" s="43" t="n">
        <v>1</v>
      </c>
      <c r="I115" s="33" t="inlineStr">
        <is>
          <t>73-101441-05</t>
        </is>
      </c>
      <c r="J115" s="33" t="inlineStr"/>
      <c r="K115" s="33" t="inlineStr"/>
      <c r="L115" s="34">
        <f>IF(F115="","REVIEW: DATE CONFLICT/EMPTY",IF(F115&lt;'Change Overview'!$B$5,"END DATE PASSED","END DATE NOT PASSED"))</f>
        <v/>
      </c>
      <c r="M115" s="34">
        <f>IF(K115&lt;&gt;"","REVIEW SOURCE CONFLICT",IF(OR(ISNUMBER(SEARCH("CCB",D115)),ISNUMBER(SEARCH("Pending",D115))),"CCB/PENDING",IF(OR(ISNUMBER(SEARCH("Expired",D115)),ISNUMBER(SEARCH("Closed",D115))),"CLOSED/EXPIRED",IF(E115="","NO RELEASE DATE","REVIEW APPROVAL"))))</f>
        <v/>
      </c>
      <c r="N115" s="34">
        <f>IF(K115&lt;&gt;"","HIGH: SOURCE CONFLICT",IF(AND(L115="END DATE NOT PASSED",M115="REVIEW APPROVAL"),"HIGH: VERIFY",IF(L115="END DATE NOT PASSED","MEDIUM: CHECK STATUS","LOW: HISTORICAL")))</f>
        <v/>
      </c>
      <c r="O115" s="33" t="inlineStr">
        <is>
          <t>Validar documento firmado, revision/WO/sitio, material afectado y evidencia antes de activar alerta automatica.</t>
        </is>
      </c>
    </row>
    <row r="116">
      <c r="A116" s="43" t="inlineStr">
        <is>
          <t>CTANJZ04767</t>
        </is>
      </c>
      <c r="B116" s="43" t="inlineStr">
        <is>
          <t>D605590</t>
        </is>
      </c>
      <c r="C116" s="43" t="inlineStr">
        <is>
          <t>CVEBU</t>
        </is>
      </c>
      <c r="D116" s="43" t="inlineStr">
        <is>
          <t>Expired</t>
        </is>
      </c>
      <c r="E116" s="32" t="n">
        <v>45883</v>
      </c>
      <c r="F116" s="32" t="n">
        <v>45965</v>
      </c>
      <c r="G116" s="43" t="n">
        <v>1</v>
      </c>
      <c r="H116" s="43" t="n">
        <v>1</v>
      </c>
      <c r="I116" s="33" t="inlineStr"/>
      <c r="J116" s="33" t="inlineStr"/>
      <c r="K116" s="33" t="inlineStr"/>
      <c r="L116" s="34">
        <f>IF(F116="","REVIEW: DATE CONFLICT/EMPTY",IF(F116&lt;'Change Overview'!$B$5,"END DATE PASSED","END DATE NOT PASSED"))</f>
        <v/>
      </c>
      <c r="M116" s="34">
        <f>IF(K116&lt;&gt;"","REVIEW SOURCE CONFLICT",IF(OR(ISNUMBER(SEARCH("CCB",D116)),ISNUMBER(SEARCH("Pending",D116))),"CCB/PENDING",IF(OR(ISNUMBER(SEARCH("Expired",D116)),ISNUMBER(SEARCH("Closed",D116))),"CLOSED/EXPIRED",IF(E116="","NO RELEASE DATE","REVIEW APPROVAL"))))</f>
        <v/>
      </c>
      <c r="N116" s="34">
        <f>IF(K116&lt;&gt;"","HIGH: SOURCE CONFLICT",IF(AND(L116="END DATE NOT PASSED",M116="REVIEW APPROVAL"),"HIGH: VERIFY",IF(L116="END DATE NOT PASSED","MEDIUM: CHECK STATUS","LOW: HISTORICAL")))</f>
        <v/>
      </c>
      <c r="O116" s="33" t="inlineStr">
        <is>
          <t>Validar documento firmado, revision/WO/sitio, material afectado y evidencia antes de activar alerta automatica.</t>
        </is>
      </c>
    </row>
    <row r="117">
      <c r="A117" s="43" t="inlineStr">
        <is>
          <t>CTANJZ04768</t>
        </is>
      </c>
      <c r="B117" s="43" t="inlineStr">
        <is>
          <t>DP525211</t>
        </is>
      </c>
      <c r="C117" s="43" t="inlineStr">
        <is>
          <t>CVEBU</t>
        </is>
      </c>
      <c r="D117" s="43" t="inlineStr">
        <is>
          <t>Expired</t>
        </is>
      </c>
      <c r="E117" s="32" t="n">
        <v>45883</v>
      </c>
      <c r="F117" s="32" t="n">
        <v>45936</v>
      </c>
      <c r="G117" s="43" t="n">
        <v>3</v>
      </c>
      <c r="H117" s="43" t="n">
        <v>3</v>
      </c>
      <c r="I117" s="33" t="inlineStr"/>
      <c r="J117" s="33" t="inlineStr"/>
      <c r="K117" s="33" t="inlineStr"/>
      <c r="L117" s="34">
        <f>IF(F117="","REVIEW: DATE CONFLICT/EMPTY",IF(F117&lt;'Change Overview'!$B$5,"END DATE PASSED","END DATE NOT PASSED"))</f>
        <v/>
      </c>
      <c r="M117" s="34">
        <f>IF(K117&lt;&gt;"","REVIEW SOURCE CONFLICT",IF(OR(ISNUMBER(SEARCH("CCB",D117)),ISNUMBER(SEARCH("Pending",D117))),"CCB/PENDING",IF(OR(ISNUMBER(SEARCH("Expired",D117)),ISNUMBER(SEARCH("Closed",D117))),"CLOSED/EXPIRED",IF(E117="","NO RELEASE DATE","REVIEW APPROVAL"))))</f>
        <v/>
      </c>
      <c r="N117" s="34">
        <f>IF(K117&lt;&gt;"","HIGH: SOURCE CONFLICT",IF(AND(L117="END DATE NOT PASSED",M117="REVIEW APPROVAL"),"HIGH: VERIFY",IF(L117="END DATE NOT PASSED","MEDIUM: CHECK STATUS","LOW: HISTORICAL")))</f>
        <v/>
      </c>
      <c r="O117" s="33" t="inlineStr">
        <is>
          <t>Validar documento firmado, revision/WO/sitio, material afectado y evidencia antes de activar alerta automatica.</t>
        </is>
      </c>
    </row>
    <row r="118">
      <c r="A118" s="43" t="inlineStr">
        <is>
          <t>CTANJZ04772</t>
        </is>
      </c>
      <c r="B118" s="43" t="inlineStr">
        <is>
          <t>D605688</t>
        </is>
      </c>
      <c r="C118" s="43" t="inlineStr">
        <is>
          <t>SRGBU</t>
        </is>
      </c>
      <c r="D118" s="43" t="inlineStr">
        <is>
          <t>Expired</t>
        </is>
      </c>
      <c r="E118" s="32" t="n">
        <v>45887</v>
      </c>
      <c r="F118" s="32" t="n">
        <v>45971</v>
      </c>
      <c r="G118" s="43" t="n">
        <v>2</v>
      </c>
      <c r="H118" s="43" t="n">
        <v>2</v>
      </c>
      <c r="I118" s="33" t="inlineStr"/>
      <c r="J118" s="33" t="inlineStr"/>
      <c r="K118" s="33" t="inlineStr"/>
      <c r="L118" s="34">
        <f>IF(F118="","REVIEW: DATE CONFLICT/EMPTY",IF(F118&lt;'Change Overview'!$B$5,"END DATE PASSED","END DATE NOT PASSED"))</f>
        <v/>
      </c>
      <c r="M118" s="34">
        <f>IF(K118&lt;&gt;"","REVIEW SOURCE CONFLICT",IF(OR(ISNUMBER(SEARCH("CCB",D118)),ISNUMBER(SEARCH("Pending",D118))),"CCB/PENDING",IF(OR(ISNUMBER(SEARCH("Expired",D118)),ISNUMBER(SEARCH("Closed",D118))),"CLOSED/EXPIRED",IF(E118="","NO RELEASE DATE","REVIEW APPROVAL"))))</f>
        <v/>
      </c>
      <c r="N118" s="34">
        <f>IF(K118&lt;&gt;"","HIGH: SOURCE CONFLICT",IF(AND(L118="END DATE NOT PASSED",M118="REVIEW APPROVAL"),"HIGH: VERIFY",IF(L118="END DATE NOT PASSED","MEDIUM: CHECK STATUS","LOW: HISTORICAL")))</f>
        <v/>
      </c>
      <c r="O118" s="33" t="inlineStr">
        <is>
          <t>Validar documento firmado, revision/WO/sitio, material afectado y evidencia antes de activar alerta automatica.</t>
        </is>
      </c>
    </row>
    <row r="119">
      <c r="A119" s="43" t="inlineStr">
        <is>
          <t>CTANJZ04773</t>
        </is>
      </c>
      <c r="B119" s="43" t="inlineStr">
        <is>
          <t>DP525235</t>
        </is>
      </c>
      <c r="C119" s="43" t="inlineStr">
        <is>
          <t>STBU</t>
        </is>
      </c>
      <c r="D119" s="43" t="inlineStr">
        <is>
          <t>Expired</t>
        </is>
      </c>
      <c r="E119" s="32" t="n">
        <v>45895</v>
      </c>
      <c r="F119" s="32" t="n">
        <v>45942</v>
      </c>
      <c r="G119" s="43" t="n">
        <v>4</v>
      </c>
      <c r="H119" s="43" t="n">
        <v>4</v>
      </c>
      <c r="I119" s="33" t="inlineStr">
        <is>
          <t>73-103557-04, 73-103633-04</t>
        </is>
      </c>
      <c r="J119" s="33" t="inlineStr"/>
      <c r="K119" s="33" t="inlineStr"/>
      <c r="L119" s="34">
        <f>IF(F119="","REVIEW: DATE CONFLICT/EMPTY",IF(F119&lt;'Change Overview'!$B$5,"END DATE PASSED","END DATE NOT PASSED"))</f>
        <v/>
      </c>
      <c r="M119" s="34">
        <f>IF(K119&lt;&gt;"","REVIEW SOURCE CONFLICT",IF(OR(ISNUMBER(SEARCH("CCB",D119)),ISNUMBER(SEARCH("Pending",D119))),"CCB/PENDING",IF(OR(ISNUMBER(SEARCH("Expired",D119)),ISNUMBER(SEARCH("Closed",D119))),"CLOSED/EXPIRED",IF(E119="","NO RELEASE DATE","REVIEW APPROVAL"))))</f>
        <v/>
      </c>
      <c r="N119" s="34">
        <f>IF(K119&lt;&gt;"","HIGH: SOURCE CONFLICT",IF(AND(L119="END DATE NOT PASSED",M119="REVIEW APPROVAL"),"HIGH: VERIFY",IF(L119="END DATE NOT PASSED","MEDIUM: CHECK STATUS","LOW: HISTORICAL")))</f>
        <v/>
      </c>
      <c r="O119" s="33" t="inlineStr">
        <is>
          <t>Validar documento firmado, revision/WO/sitio, material afectado y evidencia antes de activar alerta automatica.</t>
        </is>
      </c>
    </row>
    <row r="120">
      <c r="A120" s="43" t="inlineStr">
        <is>
          <t>CTANJZ04774</t>
        </is>
      </c>
      <c r="B120" s="43" t="inlineStr">
        <is>
          <t>D605647</t>
        </is>
      </c>
      <c r="C120" s="43" t="inlineStr">
        <is>
          <t>SRGBU</t>
        </is>
      </c>
      <c r="D120" s="43" t="inlineStr">
        <is>
          <t>Expired</t>
        </is>
      </c>
      <c r="E120" s="32" t="n">
        <v>45890</v>
      </c>
      <c r="F120" s="32" t="n">
        <v>45972</v>
      </c>
      <c r="G120" s="43" t="n">
        <v>3</v>
      </c>
      <c r="H120" s="43" t="n">
        <v>3</v>
      </c>
      <c r="I120" s="33" t="inlineStr">
        <is>
          <t>73-21204-06, 73-21231-05, 73-21417-05</t>
        </is>
      </c>
      <c r="J120" s="33" t="inlineStr">
        <is>
          <t>CHARON</t>
        </is>
      </c>
      <c r="K120" s="33" t="inlineStr"/>
      <c r="L120" s="34">
        <f>IF(F120="","REVIEW: DATE CONFLICT/EMPTY",IF(F120&lt;'Change Overview'!$B$5,"END DATE PASSED","END DATE NOT PASSED"))</f>
        <v/>
      </c>
      <c r="M120" s="34">
        <f>IF(K120&lt;&gt;"","REVIEW SOURCE CONFLICT",IF(OR(ISNUMBER(SEARCH("CCB",D120)),ISNUMBER(SEARCH("Pending",D120))),"CCB/PENDING",IF(OR(ISNUMBER(SEARCH("Expired",D120)),ISNUMBER(SEARCH("Closed",D120))),"CLOSED/EXPIRED",IF(E120="","NO RELEASE DATE","REVIEW APPROVAL"))))</f>
        <v/>
      </c>
      <c r="N120" s="34">
        <f>IF(K120&lt;&gt;"","HIGH: SOURCE CONFLICT",IF(AND(L120="END DATE NOT PASSED",M120="REVIEW APPROVAL"),"HIGH: VERIFY",IF(L120="END DATE NOT PASSED","MEDIUM: CHECK STATUS","LOW: HISTORICAL")))</f>
        <v/>
      </c>
      <c r="O120" s="33" t="inlineStr">
        <is>
          <t>Validar documento firmado, revision/WO/sitio, material afectado y evidencia antes de activar alerta automatica.</t>
        </is>
      </c>
    </row>
    <row r="121">
      <c r="A121" s="43" t="inlineStr">
        <is>
          <t>CTANJZ04776</t>
        </is>
      </c>
      <c r="B121" s="43" t="inlineStr">
        <is>
          <t>D605611</t>
        </is>
      </c>
      <c r="C121" s="43" t="inlineStr">
        <is>
          <t>SRGBU</t>
        </is>
      </c>
      <c r="D121" s="43" t="inlineStr">
        <is>
          <t>Expired</t>
        </is>
      </c>
      <c r="E121" s="32" t="n">
        <v>45890</v>
      </c>
      <c r="F121" s="32" t="n">
        <v>45972</v>
      </c>
      <c r="G121" s="43" t="n">
        <v>1</v>
      </c>
      <c r="H121" s="43" t="n">
        <v>1</v>
      </c>
      <c r="I121" s="33" t="inlineStr"/>
      <c r="J121" s="33" t="inlineStr"/>
      <c r="K121" s="33" t="inlineStr"/>
      <c r="L121" s="34">
        <f>IF(F121="","REVIEW: DATE CONFLICT/EMPTY",IF(F121&lt;'Change Overview'!$B$5,"END DATE PASSED","END DATE NOT PASSED"))</f>
        <v/>
      </c>
      <c r="M121" s="34">
        <f>IF(K121&lt;&gt;"","REVIEW SOURCE CONFLICT",IF(OR(ISNUMBER(SEARCH("CCB",D121)),ISNUMBER(SEARCH("Pending",D121))),"CCB/PENDING",IF(OR(ISNUMBER(SEARCH("Expired",D121)),ISNUMBER(SEARCH("Closed",D121))),"CLOSED/EXPIRED",IF(E121="","NO RELEASE DATE","REVIEW APPROVAL"))))</f>
        <v/>
      </c>
      <c r="N121" s="34">
        <f>IF(K121&lt;&gt;"","HIGH: SOURCE CONFLICT",IF(AND(L121="END DATE NOT PASSED",M121="REVIEW APPROVAL"),"HIGH: VERIFY",IF(L121="END DATE NOT PASSED","MEDIUM: CHECK STATUS","LOW: HISTORICAL")))</f>
        <v/>
      </c>
      <c r="O121" s="33" t="inlineStr">
        <is>
          <t>Validar documento firmado, revision/WO/sitio, material afectado y evidencia antes de activar alerta automatica.</t>
        </is>
      </c>
    </row>
    <row r="122">
      <c r="A122" s="43" t="inlineStr">
        <is>
          <t>CTANJZ04781</t>
        </is>
      </c>
      <c r="B122" s="43" t="inlineStr">
        <is>
          <t>DP525216</t>
        </is>
      </c>
      <c r="C122" s="43" t="inlineStr">
        <is>
          <t>CVEBU</t>
        </is>
      </c>
      <c r="D122" s="43" t="inlineStr">
        <is>
          <t>Expired</t>
        </is>
      </c>
      <c r="E122" s="32" t="n">
        <v>45895</v>
      </c>
      <c r="F122" s="32" t="n">
        <v>45949</v>
      </c>
      <c r="G122" s="43" t="n">
        <v>2</v>
      </c>
      <c r="H122" s="43" t="n">
        <v>2</v>
      </c>
      <c r="I122" s="33" t="inlineStr"/>
      <c r="J122" s="33" t="inlineStr"/>
      <c r="K122" s="33" t="inlineStr"/>
      <c r="L122" s="34">
        <f>IF(F122="","REVIEW: DATE CONFLICT/EMPTY",IF(F122&lt;'Change Overview'!$B$5,"END DATE PASSED","END DATE NOT PASSED"))</f>
        <v/>
      </c>
      <c r="M122" s="34">
        <f>IF(K122&lt;&gt;"","REVIEW SOURCE CONFLICT",IF(OR(ISNUMBER(SEARCH("CCB",D122)),ISNUMBER(SEARCH("Pending",D122))),"CCB/PENDING",IF(OR(ISNUMBER(SEARCH("Expired",D122)),ISNUMBER(SEARCH("Closed",D122))),"CLOSED/EXPIRED",IF(E122="","NO RELEASE DATE","REVIEW APPROVAL"))))</f>
        <v/>
      </c>
      <c r="N122" s="34">
        <f>IF(K122&lt;&gt;"","HIGH: SOURCE CONFLICT",IF(AND(L122="END DATE NOT PASSED",M122="REVIEW APPROVAL"),"HIGH: VERIFY",IF(L122="END DATE NOT PASSED","MEDIUM: CHECK STATUS","LOW: HISTORICAL")))</f>
        <v/>
      </c>
      <c r="O122" s="33" t="inlineStr">
        <is>
          <t>Validar documento firmado, revision/WO/sitio, material afectado y evidencia antes de activar alerta automatica.</t>
        </is>
      </c>
    </row>
    <row r="123">
      <c r="A123" s="43" t="inlineStr">
        <is>
          <t>CTANJZ04782</t>
        </is>
      </c>
      <c r="B123" s="43" t="inlineStr">
        <is>
          <t>D605645</t>
        </is>
      </c>
      <c r="C123" s="43" t="inlineStr">
        <is>
          <t>STBU</t>
        </is>
      </c>
      <c r="D123" s="43" t="inlineStr">
        <is>
          <t>Expired</t>
        </is>
      </c>
      <c r="E123" s="32" t="n">
        <v>45898</v>
      </c>
      <c r="F123" s="32" t="n">
        <v>45979</v>
      </c>
      <c r="G123" s="43" t="n">
        <v>6</v>
      </c>
      <c r="H123" s="43" t="n">
        <v>6</v>
      </c>
      <c r="I123" s="33" t="inlineStr"/>
      <c r="J123" s="33" t="inlineStr"/>
      <c r="K123" s="33" t="inlineStr"/>
      <c r="L123" s="34">
        <f>IF(F123="","REVIEW: DATE CONFLICT/EMPTY",IF(F123&lt;'Change Overview'!$B$5,"END DATE PASSED","END DATE NOT PASSED"))</f>
        <v/>
      </c>
      <c r="M123" s="34">
        <f>IF(K123&lt;&gt;"","REVIEW SOURCE CONFLICT",IF(OR(ISNUMBER(SEARCH("CCB",D123)),ISNUMBER(SEARCH("Pending",D123))),"CCB/PENDING",IF(OR(ISNUMBER(SEARCH("Expired",D123)),ISNUMBER(SEARCH("Closed",D123))),"CLOSED/EXPIRED",IF(E123="","NO RELEASE DATE","REVIEW APPROVAL"))))</f>
        <v/>
      </c>
      <c r="N123" s="34">
        <f>IF(K123&lt;&gt;"","HIGH: SOURCE CONFLICT",IF(AND(L123="END DATE NOT PASSED",M123="REVIEW APPROVAL"),"HIGH: VERIFY",IF(L123="END DATE NOT PASSED","MEDIUM: CHECK STATUS","LOW: HISTORICAL")))</f>
        <v/>
      </c>
      <c r="O123" s="33" t="inlineStr">
        <is>
          <t>Validar documento firmado, revision/WO/sitio, material afectado y evidencia antes de activar alerta automatica.</t>
        </is>
      </c>
    </row>
    <row r="124">
      <c r="A124" s="43" t="inlineStr">
        <is>
          <t>CTANJZ04784</t>
        </is>
      </c>
      <c r="B124" s="43" t="inlineStr">
        <is>
          <t>D605463</t>
        </is>
      </c>
      <c r="C124" s="43" t="inlineStr">
        <is>
          <t>SRGBU</t>
        </is>
      </c>
      <c r="D124" s="43" t="inlineStr">
        <is>
          <t>Expired</t>
        </is>
      </c>
      <c r="E124" s="32" t="n">
        <v>45896</v>
      </c>
      <c r="F124" s="32" t="n">
        <v>45979</v>
      </c>
      <c r="G124" s="43" t="n">
        <v>1</v>
      </c>
      <c r="H124" s="43" t="n">
        <v>1</v>
      </c>
      <c r="I124" s="33" t="inlineStr"/>
      <c r="J124" s="33" t="inlineStr"/>
      <c r="K124" s="33" t="inlineStr"/>
      <c r="L124" s="34">
        <f>IF(F124="","REVIEW: DATE CONFLICT/EMPTY",IF(F124&lt;'Change Overview'!$B$5,"END DATE PASSED","END DATE NOT PASSED"))</f>
        <v/>
      </c>
      <c r="M124" s="34">
        <f>IF(K124&lt;&gt;"","REVIEW SOURCE CONFLICT",IF(OR(ISNUMBER(SEARCH("CCB",D124)),ISNUMBER(SEARCH("Pending",D124))),"CCB/PENDING",IF(OR(ISNUMBER(SEARCH("Expired",D124)),ISNUMBER(SEARCH("Closed",D124))),"CLOSED/EXPIRED",IF(E124="","NO RELEASE DATE","REVIEW APPROVAL"))))</f>
        <v/>
      </c>
      <c r="N124" s="34">
        <f>IF(K124&lt;&gt;"","HIGH: SOURCE CONFLICT",IF(AND(L124="END DATE NOT PASSED",M124="REVIEW APPROVAL"),"HIGH: VERIFY",IF(L124="END DATE NOT PASSED","MEDIUM: CHECK STATUS","LOW: HISTORICAL")))</f>
        <v/>
      </c>
      <c r="O124" s="33" t="inlineStr">
        <is>
          <t>Validar documento firmado, revision/WO/sitio, material afectado y evidencia antes de activar alerta automatica.</t>
        </is>
      </c>
    </row>
    <row r="125">
      <c r="A125" s="43" t="inlineStr">
        <is>
          <t>CTANJZ04785</t>
        </is>
      </c>
      <c r="B125" s="43" t="inlineStr">
        <is>
          <t>D605462</t>
        </is>
      </c>
      <c r="C125" s="43" t="inlineStr">
        <is>
          <t>SRGBU</t>
        </is>
      </c>
      <c r="D125" s="43" t="inlineStr">
        <is>
          <t>Expired</t>
        </is>
      </c>
      <c r="E125" s="32" t="n">
        <v>45896</v>
      </c>
      <c r="F125" s="32" t="n">
        <v>45979</v>
      </c>
      <c r="G125" s="43" t="n">
        <v>1</v>
      </c>
      <c r="H125" s="43" t="n">
        <v>1</v>
      </c>
      <c r="I125" s="33" t="inlineStr"/>
      <c r="J125" s="33" t="inlineStr"/>
      <c r="K125" s="33" t="inlineStr"/>
      <c r="L125" s="34">
        <f>IF(F125="","REVIEW: DATE CONFLICT/EMPTY",IF(F125&lt;'Change Overview'!$B$5,"END DATE PASSED","END DATE NOT PASSED"))</f>
        <v/>
      </c>
      <c r="M125" s="34">
        <f>IF(K125&lt;&gt;"","REVIEW SOURCE CONFLICT",IF(OR(ISNUMBER(SEARCH("CCB",D125)),ISNUMBER(SEARCH("Pending",D125))),"CCB/PENDING",IF(OR(ISNUMBER(SEARCH("Expired",D125)),ISNUMBER(SEARCH("Closed",D125))),"CLOSED/EXPIRED",IF(E125="","NO RELEASE DATE","REVIEW APPROVAL"))))</f>
        <v/>
      </c>
      <c r="N125" s="34">
        <f>IF(K125&lt;&gt;"","HIGH: SOURCE CONFLICT",IF(AND(L125="END DATE NOT PASSED",M125="REVIEW APPROVAL"),"HIGH: VERIFY",IF(L125="END DATE NOT PASSED","MEDIUM: CHECK STATUS","LOW: HISTORICAL")))</f>
        <v/>
      </c>
      <c r="O125" s="33" t="inlineStr">
        <is>
          <t>Validar documento firmado, revision/WO/sitio, material afectado y evidencia antes de activar alerta automatica.</t>
        </is>
      </c>
    </row>
    <row r="126">
      <c r="A126" s="43" t="inlineStr">
        <is>
          <t>CTANJZ04787</t>
        </is>
      </c>
      <c r="B126" s="43" t="inlineStr">
        <is>
          <t>D605781</t>
        </is>
      </c>
      <c r="C126" s="43" t="inlineStr">
        <is>
          <t>CVEBU</t>
        </is>
      </c>
      <c r="D126" s="43" t="inlineStr">
        <is>
          <t>Expired</t>
        </is>
      </c>
      <c r="E126" s="32" t="n">
        <v>45897</v>
      </c>
      <c r="F126" s="32" t="n">
        <v>45979</v>
      </c>
      <c r="G126" s="43" t="n">
        <v>4</v>
      </c>
      <c r="H126" s="43" t="n">
        <v>4</v>
      </c>
      <c r="I126" s="33" t="inlineStr"/>
      <c r="J126" s="33" t="inlineStr"/>
      <c r="K126" s="33" t="inlineStr"/>
      <c r="L126" s="34">
        <f>IF(F126="","REVIEW: DATE CONFLICT/EMPTY",IF(F126&lt;'Change Overview'!$B$5,"END DATE PASSED","END DATE NOT PASSED"))</f>
        <v/>
      </c>
      <c r="M126" s="34">
        <f>IF(K126&lt;&gt;"","REVIEW SOURCE CONFLICT",IF(OR(ISNUMBER(SEARCH("CCB",D126)),ISNUMBER(SEARCH("Pending",D126))),"CCB/PENDING",IF(OR(ISNUMBER(SEARCH("Expired",D126)),ISNUMBER(SEARCH("Closed",D126))),"CLOSED/EXPIRED",IF(E126="","NO RELEASE DATE","REVIEW APPROVAL"))))</f>
        <v/>
      </c>
      <c r="N126" s="34">
        <f>IF(K126&lt;&gt;"","HIGH: SOURCE CONFLICT",IF(AND(L126="END DATE NOT PASSED",M126="REVIEW APPROVAL"),"HIGH: VERIFY",IF(L126="END DATE NOT PASSED","MEDIUM: CHECK STATUS","LOW: HISTORICAL")))</f>
        <v/>
      </c>
      <c r="O126" s="33" t="inlineStr">
        <is>
          <t>Validar documento firmado, revision/WO/sitio, material afectado y evidencia antes de activar alerta automatica.</t>
        </is>
      </c>
    </row>
    <row r="127">
      <c r="A127" s="43" t="inlineStr">
        <is>
          <t>CTANJZ04801</t>
        </is>
      </c>
      <c r="B127" s="43" t="inlineStr">
        <is>
          <t>D605868</t>
        </is>
      </c>
      <c r="C127" s="43" t="inlineStr">
        <is>
          <t>CVEBU</t>
        </is>
      </c>
      <c r="D127" s="43" t="inlineStr">
        <is>
          <t>Expired</t>
        </is>
      </c>
      <c r="E127" s="32" t="n">
        <v>45917</v>
      </c>
      <c r="F127" s="32" t="n">
        <v>45991</v>
      </c>
      <c r="G127" s="43" t="n">
        <v>6</v>
      </c>
      <c r="H127" s="43" t="n">
        <v>6</v>
      </c>
      <c r="I127" s="33" t="inlineStr">
        <is>
          <t>73-103720-04, 73-103820-04, 73-103920-04, 73-103922-04</t>
        </is>
      </c>
      <c r="J127" s="33" t="inlineStr"/>
      <c r="K127" s="33" t="inlineStr"/>
      <c r="L127" s="34">
        <f>IF(F127="","REVIEW: DATE CONFLICT/EMPTY",IF(F127&lt;'Change Overview'!$B$5,"END DATE PASSED","END DATE NOT PASSED"))</f>
        <v/>
      </c>
      <c r="M127" s="34">
        <f>IF(K127&lt;&gt;"","REVIEW SOURCE CONFLICT",IF(OR(ISNUMBER(SEARCH("CCB",D127)),ISNUMBER(SEARCH("Pending",D127))),"CCB/PENDING",IF(OR(ISNUMBER(SEARCH("Expired",D127)),ISNUMBER(SEARCH("Closed",D127))),"CLOSED/EXPIRED",IF(E127="","NO RELEASE DATE","REVIEW APPROVAL"))))</f>
        <v/>
      </c>
      <c r="N127" s="34">
        <f>IF(K127&lt;&gt;"","HIGH: SOURCE CONFLICT",IF(AND(L127="END DATE NOT PASSED",M127="REVIEW APPROVAL"),"HIGH: VERIFY",IF(L127="END DATE NOT PASSED","MEDIUM: CHECK STATUS","LOW: HISTORICAL")))</f>
        <v/>
      </c>
      <c r="O127" s="33" t="inlineStr">
        <is>
          <t>Validar documento firmado, revision/WO/sitio, material afectado y evidencia antes de activar alerta automatica.</t>
        </is>
      </c>
    </row>
    <row r="128">
      <c r="A128" s="43" t="inlineStr">
        <is>
          <t>CTANJZ04802</t>
        </is>
      </c>
      <c r="B128" s="43" t="inlineStr">
        <is>
          <t>D605759</t>
        </is>
      </c>
      <c r="C128" s="43" t="inlineStr">
        <is>
          <t>IOTBU</t>
        </is>
      </c>
      <c r="D128" s="43" t="inlineStr">
        <is>
          <t>Expired</t>
        </is>
      </c>
      <c r="E128" s="32" t="n">
        <v>45918</v>
      </c>
      <c r="F128" s="32" t="n">
        <v>45993</v>
      </c>
      <c r="G128" s="43" t="n">
        <v>1</v>
      </c>
      <c r="H128" s="43" t="n">
        <v>1</v>
      </c>
      <c r="I128" s="33" t="inlineStr"/>
      <c r="J128" s="33" t="inlineStr"/>
      <c r="K128" s="33" t="inlineStr"/>
      <c r="L128" s="34">
        <f>IF(F128="","REVIEW: DATE CONFLICT/EMPTY",IF(F128&lt;'Change Overview'!$B$5,"END DATE PASSED","END DATE NOT PASSED"))</f>
        <v/>
      </c>
      <c r="M128" s="34">
        <f>IF(K128&lt;&gt;"","REVIEW SOURCE CONFLICT",IF(OR(ISNUMBER(SEARCH("CCB",D128)),ISNUMBER(SEARCH("Pending",D128))),"CCB/PENDING",IF(OR(ISNUMBER(SEARCH("Expired",D128)),ISNUMBER(SEARCH("Closed",D128))),"CLOSED/EXPIRED",IF(E128="","NO RELEASE DATE","REVIEW APPROVAL"))))</f>
        <v/>
      </c>
      <c r="N128" s="34">
        <f>IF(K128&lt;&gt;"","HIGH: SOURCE CONFLICT",IF(AND(L128="END DATE NOT PASSED",M128="REVIEW APPROVAL"),"HIGH: VERIFY",IF(L128="END DATE NOT PASSED","MEDIUM: CHECK STATUS","LOW: HISTORICAL")))</f>
        <v/>
      </c>
      <c r="O128" s="33" t="inlineStr">
        <is>
          <t>Validar documento firmado, revision/WO/sitio, material afectado y evidencia antes de activar alerta automatica.</t>
        </is>
      </c>
    </row>
    <row r="129">
      <c r="A129" s="43" t="inlineStr">
        <is>
          <t>CTANJZ04805</t>
        </is>
      </c>
      <c r="B129" s="43" t="inlineStr">
        <is>
          <t>D605923</t>
        </is>
      </c>
      <c r="C129" s="43" t="inlineStr">
        <is>
          <t>CVEBU</t>
        </is>
      </c>
      <c r="D129" s="43" t="inlineStr">
        <is>
          <t>Expired</t>
        </is>
      </c>
      <c r="E129" s="32" t="n">
        <v>45918</v>
      </c>
      <c r="F129" s="32" t="n">
        <v>45994</v>
      </c>
      <c r="G129" s="43" t="n">
        <v>1</v>
      </c>
      <c r="H129" s="43" t="n">
        <v>1</v>
      </c>
      <c r="I129" s="33" t="inlineStr"/>
      <c r="J129" s="33" t="inlineStr"/>
      <c r="K129" s="33" t="inlineStr"/>
      <c r="L129" s="34">
        <f>IF(F129="","REVIEW: DATE CONFLICT/EMPTY",IF(F129&lt;'Change Overview'!$B$5,"END DATE PASSED","END DATE NOT PASSED"))</f>
        <v/>
      </c>
      <c r="M129" s="34">
        <f>IF(K129&lt;&gt;"","REVIEW SOURCE CONFLICT",IF(OR(ISNUMBER(SEARCH("CCB",D129)),ISNUMBER(SEARCH("Pending",D129))),"CCB/PENDING",IF(OR(ISNUMBER(SEARCH("Expired",D129)),ISNUMBER(SEARCH("Closed",D129))),"CLOSED/EXPIRED",IF(E129="","NO RELEASE DATE","REVIEW APPROVAL"))))</f>
        <v/>
      </c>
      <c r="N129" s="34">
        <f>IF(K129&lt;&gt;"","HIGH: SOURCE CONFLICT",IF(AND(L129="END DATE NOT PASSED",M129="REVIEW APPROVAL"),"HIGH: VERIFY",IF(L129="END DATE NOT PASSED","MEDIUM: CHECK STATUS","LOW: HISTORICAL")))</f>
        <v/>
      </c>
      <c r="O129" s="33" t="inlineStr">
        <is>
          <t>Validar documento firmado, revision/WO/sitio, material afectado y evidencia antes de activar alerta automatica.</t>
        </is>
      </c>
    </row>
    <row r="130">
      <c r="A130" s="43" t="inlineStr">
        <is>
          <t>CTANJZ04806</t>
        </is>
      </c>
      <c r="B130" s="43" t="inlineStr">
        <is>
          <t>D605896</t>
        </is>
      </c>
      <c r="C130" s="43" t="inlineStr">
        <is>
          <t>STBU</t>
        </is>
      </c>
      <c r="D130" s="43" t="inlineStr">
        <is>
          <t>Expired</t>
        </is>
      </c>
      <c r="E130" s="32" t="n">
        <v>45929</v>
      </c>
      <c r="F130" s="32" t="n">
        <v>45994</v>
      </c>
      <c r="G130" s="43" t="n">
        <v>9</v>
      </c>
      <c r="H130" s="43" t="n">
        <v>9</v>
      </c>
      <c r="I130" s="33" t="inlineStr">
        <is>
          <t>73-18488-07, 73-18489-07, 73-18490-09, 73-21007-02</t>
        </is>
      </c>
      <c r="J130" s="33" t="inlineStr"/>
      <c r="K130" s="33" t="inlineStr"/>
      <c r="L130" s="34">
        <f>IF(F130="","REVIEW: DATE CONFLICT/EMPTY",IF(F130&lt;'Change Overview'!$B$5,"END DATE PASSED","END DATE NOT PASSED"))</f>
        <v/>
      </c>
      <c r="M130" s="34">
        <f>IF(K130&lt;&gt;"","REVIEW SOURCE CONFLICT",IF(OR(ISNUMBER(SEARCH("CCB",D130)),ISNUMBER(SEARCH("Pending",D130))),"CCB/PENDING",IF(OR(ISNUMBER(SEARCH("Expired",D130)),ISNUMBER(SEARCH("Closed",D130))),"CLOSED/EXPIRED",IF(E130="","NO RELEASE DATE","REVIEW APPROVAL"))))</f>
        <v/>
      </c>
      <c r="N130" s="34">
        <f>IF(K130&lt;&gt;"","HIGH: SOURCE CONFLICT",IF(AND(L130="END DATE NOT PASSED",M130="REVIEW APPROVAL"),"HIGH: VERIFY",IF(L130="END DATE NOT PASSED","MEDIUM: CHECK STATUS","LOW: HISTORICAL")))</f>
        <v/>
      </c>
      <c r="O130" s="33" t="inlineStr">
        <is>
          <t>Validar documento firmado, revision/WO/sitio, material afectado y evidencia antes de activar alerta automatica.</t>
        </is>
      </c>
    </row>
    <row r="131">
      <c r="A131" s="43" t="inlineStr">
        <is>
          <t>CTANJZ04809</t>
        </is>
      </c>
      <c r="B131" s="43" t="inlineStr">
        <is>
          <t>D606156</t>
        </is>
      </c>
      <c r="C131" s="43" t="inlineStr">
        <is>
          <t>CVEBU</t>
        </is>
      </c>
      <c r="D131" s="43" t="inlineStr">
        <is>
          <t>Expired</t>
        </is>
      </c>
      <c r="E131" s="32" t="n">
        <v>45929</v>
      </c>
      <c r="F131" s="32" t="n">
        <v>45997</v>
      </c>
      <c r="G131" s="43" t="n">
        <v>3</v>
      </c>
      <c r="H131" s="43" t="n">
        <v>3</v>
      </c>
      <c r="I131" s="33" t="inlineStr"/>
      <c r="J131" s="33" t="inlineStr"/>
      <c r="K131" s="33" t="inlineStr"/>
      <c r="L131" s="34">
        <f>IF(F131="","REVIEW: DATE CONFLICT/EMPTY",IF(F131&lt;'Change Overview'!$B$5,"END DATE PASSED","END DATE NOT PASSED"))</f>
        <v/>
      </c>
      <c r="M131" s="34">
        <f>IF(K131&lt;&gt;"","REVIEW SOURCE CONFLICT",IF(OR(ISNUMBER(SEARCH("CCB",D131)),ISNUMBER(SEARCH("Pending",D131))),"CCB/PENDING",IF(OR(ISNUMBER(SEARCH("Expired",D131)),ISNUMBER(SEARCH("Closed",D131))),"CLOSED/EXPIRED",IF(E131="","NO RELEASE DATE","REVIEW APPROVAL"))))</f>
        <v/>
      </c>
      <c r="N131" s="34">
        <f>IF(K131&lt;&gt;"","HIGH: SOURCE CONFLICT",IF(AND(L131="END DATE NOT PASSED",M131="REVIEW APPROVAL"),"HIGH: VERIFY",IF(L131="END DATE NOT PASSED","MEDIUM: CHECK STATUS","LOW: HISTORICAL")))</f>
        <v/>
      </c>
      <c r="O131" s="33" t="inlineStr">
        <is>
          <t>Validar documento firmado, revision/WO/sitio, material afectado y evidencia antes de activar alerta automatica.</t>
        </is>
      </c>
    </row>
    <row r="132">
      <c r="A132" s="43" t="inlineStr">
        <is>
          <t>CTANJZ04810</t>
        </is>
      </c>
      <c r="B132" s="43" t="inlineStr">
        <is>
          <t>D606067</t>
        </is>
      </c>
      <c r="C132" s="43" t="inlineStr">
        <is>
          <t>STBU</t>
        </is>
      </c>
      <c r="D132" s="43" t="inlineStr">
        <is>
          <t>Expired</t>
        </is>
      </c>
      <c r="E132" s="32" t="n">
        <v>45930</v>
      </c>
      <c r="F132" s="32" t="n">
        <v>45998</v>
      </c>
      <c r="G132" s="43" t="n">
        <v>4</v>
      </c>
      <c r="H132" s="43" t="n">
        <v>4</v>
      </c>
      <c r="I132" s="33" t="inlineStr"/>
      <c r="J132" s="33" t="inlineStr"/>
      <c r="K132" s="33" t="inlineStr"/>
      <c r="L132" s="34">
        <f>IF(F132="","REVIEW: DATE CONFLICT/EMPTY",IF(F132&lt;'Change Overview'!$B$5,"END DATE PASSED","END DATE NOT PASSED"))</f>
        <v/>
      </c>
      <c r="M132" s="34">
        <f>IF(K132&lt;&gt;"","REVIEW SOURCE CONFLICT",IF(OR(ISNUMBER(SEARCH("CCB",D132)),ISNUMBER(SEARCH("Pending",D132))),"CCB/PENDING",IF(OR(ISNUMBER(SEARCH("Expired",D132)),ISNUMBER(SEARCH("Closed",D132))),"CLOSED/EXPIRED",IF(E132="","NO RELEASE DATE","REVIEW APPROVAL"))))</f>
        <v/>
      </c>
      <c r="N132" s="34">
        <f>IF(K132&lt;&gt;"","HIGH: SOURCE CONFLICT",IF(AND(L132="END DATE NOT PASSED",M132="REVIEW APPROVAL"),"HIGH: VERIFY",IF(L132="END DATE NOT PASSED","MEDIUM: CHECK STATUS","LOW: HISTORICAL")))</f>
        <v/>
      </c>
      <c r="O132" s="33" t="inlineStr">
        <is>
          <t>Validar documento firmado, revision/WO/sitio, material afectado y evidencia antes de activar alerta automatica.</t>
        </is>
      </c>
    </row>
    <row r="133">
      <c r="A133" s="43" t="inlineStr">
        <is>
          <t>CTANJZ04830</t>
        </is>
      </c>
      <c r="B133" s="43" t="inlineStr">
        <is>
          <t>D604917</t>
        </is>
      </c>
      <c r="C133" s="43" t="inlineStr">
        <is>
          <t>SRGBU</t>
        </is>
      </c>
      <c r="D133" s="43" t="inlineStr">
        <is>
          <t>Expired</t>
        </is>
      </c>
      <c r="E133" s="32" t="n">
        <v>45924</v>
      </c>
      <c r="F133" s="32" t="n">
        <v>45932</v>
      </c>
      <c r="G133" s="43" t="n">
        <v>1</v>
      </c>
      <c r="H133" s="43" t="n">
        <v>1</v>
      </c>
      <c r="I133" s="33" t="inlineStr"/>
      <c r="J133" s="33" t="inlineStr"/>
      <c r="K133" s="33" t="inlineStr"/>
      <c r="L133" s="34">
        <f>IF(F133="","REVIEW: DATE CONFLICT/EMPTY",IF(F133&lt;'Change Overview'!$B$5,"END DATE PASSED","END DATE NOT PASSED"))</f>
        <v/>
      </c>
      <c r="M133" s="34">
        <f>IF(K133&lt;&gt;"","REVIEW SOURCE CONFLICT",IF(OR(ISNUMBER(SEARCH("CCB",D133)),ISNUMBER(SEARCH("Pending",D133))),"CCB/PENDING",IF(OR(ISNUMBER(SEARCH("Expired",D133)),ISNUMBER(SEARCH("Closed",D133))),"CLOSED/EXPIRED",IF(E133="","NO RELEASE DATE","REVIEW APPROVAL"))))</f>
        <v/>
      </c>
      <c r="N133" s="34">
        <f>IF(K133&lt;&gt;"","HIGH: SOURCE CONFLICT",IF(AND(L133="END DATE NOT PASSED",M133="REVIEW APPROVAL"),"HIGH: VERIFY",IF(L133="END DATE NOT PASSED","MEDIUM: CHECK STATUS","LOW: HISTORICAL")))</f>
        <v/>
      </c>
      <c r="O133" s="33" t="inlineStr">
        <is>
          <t>Validar documento firmado, revision/WO/sitio, material afectado y evidencia antes de activar alerta automatica.</t>
        </is>
      </c>
    </row>
    <row r="134">
      <c r="A134" s="43" t="inlineStr">
        <is>
          <t>CTANJZ04837</t>
        </is>
      </c>
      <c r="B134" s="43" t="inlineStr">
        <is>
          <t>D604535</t>
        </is>
      </c>
      <c r="C134" s="43" t="inlineStr">
        <is>
          <t>SRGBU</t>
        </is>
      </c>
      <c r="D134" s="43" t="inlineStr">
        <is>
          <t>Expired</t>
        </is>
      </c>
      <c r="E134" s="32" t="n">
        <v>45924</v>
      </c>
      <c r="F134" s="32" t="n">
        <v>45936</v>
      </c>
      <c r="G134" s="43" t="n">
        <v>1</v>
      </c>
      <c r="H134" s="43" t="n">
        <v>1</v>
      </c>
      <c r="I134" s="33" t="inlineStr"/>
      <c r="J134" s="33" t="inlineStr"/>
      <c r="K134" s="33" t="inlineStr"/>
      <c r="L134" s="34">
        <f>IF(F134="","REVIEW: DATE CONFLICT/EMPTY",IF(F134&lt;'Change Overview'!$B$5,"END DATE PASSED","END DATE NOT PASSED"))</f>
        <v/>
      </c>
      <c r="M134" s="34">
        <f>IF(K134&lt;&gt;"","REVIEW SOURCE CONFLICT",IF(OR(ISNUMBER(SEARCH("CCB",D134)),ISNUMBER(SEARCH("Pending",D134))),"CCB/PENDING",IF(OR(ISNUMBER(SEARCH("Expired",D134)),ISNUMBER(SEARCH("Closed",D134))),"CLOSED/EXPIRED",IF(E134="","NO RELEASE DATE","REVIEW APPROVAL"))))</f>
        <v/>
      </c>
      <c r="N134" s="34">
        <f>IF(K134&lt;&gt;"","HIGH: SOURCE CONFLICT",IF(AND(L134="END DATE NOT PASSED",M134="REVIEW APPROVAL"),"HIGH: VERIFY",IF(L134="END DATE NOT PASSED","MEDIUM: CHECK STATUS","LOW: HISTORICAL")))</f>
        <v/>
      </c>
      <c r="O134" s="33" t="inlineStr">
        <is>
          <t>Validar documento firmado, revision/WO/sitio, material afectado y evidencia antes de activar alerta automatica.</t>
        </is>
      </c>
    </row>
    <row r="135">
      <c r="A135" s="43" t="inlineStr">
        <is>
          <t>CTANJZ04838</t>
        </is>
      </c>
      <c r="B135" s="43" t="inlineStr">
        <is>
          <t>D604931</t>
        </is>
      </c>
      <c r="C135" s="43" t="inlineStr">
        <is>
          <t>SRGBU</t>
        </is>
      </c>
      <c r="D135" s="43" t="inlineStr">
        <is>
          <t>Expired</t>
        </is>
      </c>
      <c r="E135" s="32" t="n">
        <v>45924</v>
      </c>
      <c r="F135" s="32" t="n">
        <v>45938</v>
      </c>
      <c r="G135" s="43" t="n">
        <v>2</v>
      </c>
      <c r="H135" s="43" t="n">
        <v>2</v>
      </c>
      <c r="I135" s="33" t="inlineStr"/>
      <c r="J135" s="33" t="inlineStr"/>
      <c r="K135" s="33" t="inlineStr"/>
      <c r="L135" s="34">
        <f>IF(F135="","REVIEW: DATE CONFLICT/EMPTY",IF(F135&lt;'Change Overview'!$B$5,"END DATE PASSED","END DATE NOT PASSED"))</f>
        <v/>
      </c>
      <c r="M135" s="34">
        <f>IF(K135&lt;&gt;"","REVIEW SOURCE CONFLICT",IF(OR(ISNUMBER(SEARCH("CCB",D135)),ISNUMBER(SEARCH("Pending",D135))),"CCB/PENDING",IF(OR(ISNUMBER(SEARCH("Expired",D135)),ISNUMBER(SEARCH("Closed",D135))),"CLOSED/EXPIRED",IF(E135="","NO RELEASE DATE","REVIEW APPROVAL"))))</f>
        <v/>
      </c>
      <c r="N135" s="34">
        <f>IF(K135&lt;&gt;"","HIGH: SOURCE CONFLICT",IF(AND(L135="END DATE NOT PASSED",M135="REVIEW APPROVAL"),"HIGH: VERIFY",IF(L135="END DATE NOT PASSED","MEDIUM: CHECK STATUS","LOW: HISTORICAL")))</f>
        <v/>
      </c>
      <c r="O135" s="33" t="inlineStr">
        <is>
          <t>Validar documento firmado, revision/WO/sitio, material afectado y evidencia antes de activar alerta automatica.</t>
        </is>
      </c>
    </row>
    <row r="136">
      <c r="A136" s="43" t="inlineStr">
        <is>
          <t>CTANJZ04852</t>
        </is>
      </c>
      <c r="B136" s="43" t="inlineStr">
        <is>
          <t>D605275</t>
        </is>
      </c>
      <c r="C136" s="43" t="inlineStr">
        <is>
          <t>SRGBU</t>
        </is>
      </c>
      <c r="D136" s="43" t="inlineStr">
        <is>
          <t>Expired</t>
        </is>
      </c>
      <c r="E136" s="32" t="n">
        <v>45924</v>
      </c>
      <c r="F136" s="32" t="n">
        <v>45951</v>
      </c>
      <c r="G136" s="43" t="n">
        <v>1</v>
      </c>
      <c r="H136" s="43" t="n">
        <v>1</v>
      </c>
      <c r="I136" s="33" t="inlineStr"/>
      <c r="J136" s="33" t="inlineStr"/>
      <c r="K136" s="33" t="inlineStr"/>
      <c r="L136" s="34">
        <f>IF(F136="","REVIEW: DATE CONFLICT/EMPTY",IF(F136&lt;'Change Overview'!$B$5,"END DATE PASSED","END DATE NOT PASSED"))</f>
        <v/>
      </c>
      <c r="M136" s="34">
        <f>IF(K136&lt;&gt;"","REVIEW SOURCE CONFLICT",IF(OR(ISNUMBER(SEARCH("CCB",D136)),ISNUMBER(SEARCH("Pending",D136))),"CCB/PENDING",IF(OR(ISNUMBER(SEARCH("Expired",D136)),ISNUMBER(SEARCH("Closed",D136))),"CLOSED/EXPIRED",IF(E136="","NO RELEASE DATE","REVIEW APPROVAL"))))</f>
        <v/>
      </c>
      <c r="N136" s="34">
        <f>IF(K136&lt;&gt;"","HIGH: SOURCE CONFLICT",IF(AND(L136="END DATE NOT PASSED",M136="REVIEW APPROVAL"),"HIGH: VERIFY",IF(L136="END DATE NOT PASSED","MEDIUM: CHECK STATUS","LOW: HISTORICAL")))</f>
        <v/>
      </c>
      <c r="O136" s="33" t="inlineStr">
        <is>
          <t>Validar documento firmado, revision/WO/sitio, material afectado y evidencia antes de activar alerta automatica.</t>
        </is>
      </c>
    </row>
    <row r="137">
      <c r="A137" s="43" t="inlineStr">
        <is>
          <t>CTANJZ04854</t>
        </is>
      </c>
      <c r="B137" s="43" t="inlineStr">
        <is>
          <t>D606187</t>
        </is>
      </c>
      <c r="C137" s="43" t="inlineStr">
        <is>
          <t>CVEBU</t>
        </is>
      </c>
      <c r="D137" s="43" t="inlineStr">
        <is>
          <t>Expired</t>
        </is>
      </c>
      <c r="E137" s="32" t="n">
        <v>45939</v>
      </c>
      <c r="F137" s="32" t="n">
        <v>46005</v>
      </c>
      <c r="G137" s="43" t="n">
        <v>3</v>
      </c>
      <c r="H137" s="43" t="n">
        <v>3</v>
      </c>
      <c r="I137" s="33" t="inlineStr">
        <is>
          <t>73-102022-02, 73-104022-01</t>
        </is>
      </c>
      <c r="J137" s="33" t="inlineStr">
        <is>
          <t>BROOKLYN</t>
        </is>
      </c>
      <c r="K137" s="33" t="inlineStr"/>
      <c r="L137" s="34">
        <f>IF(F137="","REVIEW: DATE CONFLICT/EMPTY",IF(F137&lt;'Change Overview'!$B$5,"END DATE PASSED","END DATE NOT PASSED"))</f>
        <v/>
      </c>
      <c r="M137" s="34">
        <f>IF(K137&lt;&gt;"","REVIEW SOURCE CONFLICT",IF(OR(ISNUMBER(SEARCH("CCB",D137)),ISNUMBER(SEARCH("Pending",D137))),"CCB/PENDING",IF(OR(ISNUMBER(SEARCH("Expired",D137)),ISNUMBER(SEARCH("Closed",D137))),"CLOSED/EXPIRED",IF(E137="","NO RELEASE DATE","REVIEW APPROVAL"))))</f>
        <v/>
      </c>
      <c r="N137" s="34">
        <f>IF(K137&lt;&gt;"","HIGH: SOURCE CONFLICT",IF(AND(L137="END DATE NOT PASSED",M137="REVIEW APPROVAL"),"HIGH: VERIFY",IF(L137="END DATE NOT PASSED","MEDIUM: CHECK STATUS","LOW: HISTORICAL")))</f>
        <v/>
      </c>
      <c r="O137" s="33" t="inlineStr">
        <is>
          <t>Validar documento firmado, revision/WO/sitio, material afectado y evidencia antes de activar alerta automatica.</t>
        </is>
      </c>
    </row>
    <row r="138">
      <c r="A138" s="43" t="inlineStr">
        <is>
          <t>CTANJZ04859</t>
        </is>
      </c>
      <c r="B138" s="43" t="inlineStr">
        <is>
          <t>D605688</t>
        </is>
      </c>
      <c r="C138" s="43" t="inlineStr">
        <is>
          <t>SRGBU</t>
        </is>
      </c>
      <c r="D138" s="43" t="inlineStr">
        <is>
          <t>Expired</t>
        </is>
      </c>
      <c r="E138" s="32" t="n">
        <v>45924</v>
      </c>
      <c r="F138" s="32" t="n">
        <v>45972</v>
      </c>
      <c r="G138" s="43" t="n">
        <v>2</v>
      </c>
      <c r="H138" s="43" t="n">
        <v>2</v>
      </c>
      <c r="I138" s="33" t="inlineStr"/>
      <c r="J138" s="33" t="inlineStr"/>
      <c r="K138" s="33" t="inlineStr"/>
      <c r="L138" s="34">
        <f>IF(F138="","REVIEW: DATE CONFLICT/EMPTY",IF(F138&lt;'Change Overview'!$B$5,"END DATE PASSED","END DATE NOT PASSED"))</f>
        <v/>
      </c>
      <c r="M138" s="34">
        <f>IF(K138&lt;&gt;"","REVIEW SOURCE CONFLICT",IF(OR(ISNUMBER(SEARCH("CCB",D138)),ISNUMBER(SEARCH("Pending",D138))),"CCB/PENDING",IF(OR(ISNUMBER(SEARCH("Expired",D138)),ISNUMBER(SEARCH("Closed",D138))),"CLOSED/EXPIRED",IF(E138="","NO RELEASE DATE","REVIEW APPROVAL"))))</f>
        <v/>
      </c>
      <c r="N138" s="34">
        <f>IF(K138&lt;&gt;"","HIGH: SOURCE CONFLICT",IF(AND(L138="END DATE NOT PASSED",M138="REVIEW APPROVAL"),"HIGH: VERIFY",IF(L138="END DATE NOT PASSED","MEDIUM: CHECK STATUS","LOW: HISTORICAL")))</f>
        <v/>
      </c>
      <c r="O138" s="33" t="inlineStr">
        <is>
          <t>Validar documento firmado, revision/WO/sitio, material afectado y evidencia antes de activar alerta automatica.</t>
        </is>
      </c>
    </row>
    <row r="139">
      <c r="A139" s="43" t="inlineStr">
        <is>
          <t>CTANJZ04862</t>
        </is>
      </c>
      <c r="B139" s="43" t="inlineStr">
        <is>
          <t>D606224</t>
        </is>
      </c>
      <c r="C139" s="43" t="inlineStr">
        <is>
          <t>STBU</t>
        </is>
      </c>
      <c r="D139" s="43" t="inlineStr">
        <is>
          <t>Expired</t>
        </is>
      </c>
      <c r="E139" s="32" t="n">
        <v>45951</v>
      </c>
      <c r="F139" s="32" t="n">
        <v>46007</v>
      </c>
      <c r="G139" s="43" t="n">
        <v>2</v>
      </c>
      <c r="H139" s="43" t="n">
        <v>2</v>
      </c>
      <c r="I139" s="33" t="inlineStr">
        <is>
          <t>73-21007-02</t>
        </is>
      </c>
      <c r="J139" s="33" t="inlineStr"/>
      <c r="K139" s="33" t="inlineStr"/>
      <c r="L139" s="34">
        <f>IF(F139="","REVIEW: DATE CONFLICT/EMPTY",IF(F139&lt;'Change Overview'!$B$5,"END DATE PASSED","END DATE NOT PASSED"))</f>
        <v/>
      </c>
      <c r="M139" s="34">
        <f>IF(K139&lt;&gt;"","REVIEW SOURCE CONFLICT",IF(OR(ISNUMBER(SEARCH("CCB",D139)),ISNUMBER(SEARCH("Pending",D139))),"CCB/PENDING",IF(OR(ISNUMBER(SEARCH("Expired",D139)),ISNUMBER(SEARCH("Closed",D139))),"CLOSED/EXPIRED",IF(E139="","NO RELEASE DATE","REVIEW APPROVAL"))))</f>
        <v/>
      </c>
      <c r="N139" s="34">
        <f>IF(K139&lt;&gt;"","HIGH: SOURCE CONFLICT",IF(AND(L139="END DATE NOT PASSED",M139="REVIEW APPROVAL"),"HIGH: VERIFY",IF(L139="END DATE NOT PASSED","MEDIUM: CHECK STATUS","LOW: HISTORICAL")))</f>
        <v/>
      </c>
      <c r="O139" s="33" t="inlineStr">
        <is>
          <t>Validar documento firmado, revision/WO/sitio, material afectado y evidencia antes de activar alerta automatica.</t>
        </is>
      </c>
    </row>
    <row r="140">
      <c r="A140" s="43" t="inlineStr">
        <is>
          <t>CTANJZ04863</t>
        </is>
      </c>
      <c r="B140" s="43" t="inlineStr">
        <is>
          <t>D606223</t>
        </is>
      </c>
      <c r="C140" s="43" t="inlineStr">
        <is>
          <t>STBU</t>
        </is>
      </c>
      <c r="D140" s="43" t="inlineStr">
        <is>
          <t>Expired</t>
        </is>
      </c>
      <c r="E140" s="32" t="n">
        <v>45933</v>
      </c>
      <c r="F140" s="32" t="n">
        <v>46039</v>
      </c>
      <c r="G140" s="43" t="n">
        <v>3</v>
      </c>
      <c r="H140" s="43" t="n">
        <v>3</v>
      </c>
      <c r="I140" s="33" t="inlineStr"/>
      <c r="J140" s="33" t="inlineStr"/>
      <c r="K140" s="33" t="inlineStr"/>
      <c r="L140" s="34">
        <f>IF(F140="","REVIEW: DATE CONFLICT/EMPTY",IF(F140&lt;'Change Overview'!$B$5,"END DATE PASSED","END DATE NOT PASSED"))</f>
        <v/>
      </c>
      <c r="M140" s="34">
        <f>IF(K140&lt;&gt;"","REVIEW SOURCE CONFLICT",IF(OR(ISNUMBER(SEARCH("CCB",D140)),ISNUMBER(SEARCH("Pending",D140))),"CCB/PENDING",IF(OR(ISNUMBER(SEARCH("Expired",D140)),ISNUMBER(SEARCH("Closed",D140))),"CLOSED/EXPIRED",IF(E140="","NO RELEASE DATE","REVIEW APPROVAL"))))</f>
        <v/>
      </c>
      <c r="N140" s="34">
        <f>IF(K140&lt;&gt;"","HIGH: SOURCE CONFLICT",IF(AND(L140="END DATE NOT PASSED",M140="REVIEW APPROVAL"),"HIGH: VERIFY",IF(L140="END DATE NOT PASSED","MEDIUM: CHECK STATUS","LOW: HISTORICAL")))</f>
        <v/>
      </c>
      <c r="O140" s="33" t="inlineStr">
        <is>
          <t>Validar documento firmado, revision/WO/sitio, material afectado y evidencia antes de activar alerta automatica.</t>
        </is>
      </c>
    </row>
    <row r="141">
      <c r="A141" s="43" t="inlineStr">
        <is>
          <t>CTANJZ04864</t>
        </is>
      </c>
      <c r="B141" s="43" t="inlineStr">
        <is>
          <t>D606346</t>
        </is>
      </c>
      <c r="C141" s="43" t="inlineStr">
        <is>
          <t>STBU</t>
        </is>
      </c>
      <c r="D141" s="43" t="inlineStr">
        <is>
          <t>Expired</t>
        </is>
      </c>
      <c r="E141" s="32" t="n">
        <v>45933</v>
      </c>
      <c r="F141" s="32" t="n">
        <v>46008</v>
      </c>
      <c r="G141" s="43" t="n">
        <v>4</v>
      </c>
      <c r="H141" s="43" t="n">
        <v>4</v>
      </c>
      <c r="I141" s="33" t="inlineStr"/>
      <c r="J141" s="33" t="inlineStr"/>
      <c r="K141" s="33" t="inlineStr"/>
      <c r="L141" s="34">
        <f>IF(F141="","REVIEW: DATE CONFLICT/EMPTY",IF(F141&lt;'Change Overview'!$B$5,"END DATE PASSED","END DATE NOT PASSED"))</f>
        <v/>
      </c>
      <c r="M141" s="34">
        <f>IF(K141&lt;&gt;"","REVIEW SOURCE CONFLICT",IF(OR(ISNUMBER(SEARCH("CCB",D141)),ISNUMBER(SEARCH("Pending",D141))),"CCB/PENDING",IF(OR(ISNUMBER(SEARCH("Expired",D141)),ISNUMBER(SEARCH("Closed",D141))),"CLOSED/EXPIRED",IF(E141="","NO RELEASE DATE","REVIEW APPROVAL"))))</f>
        <v/>
      </c>
      <c r="N141" s="34">
        <f>IF(K141&lt;&gt;"","HIGH: SOURCE CONFLICT",IF(AND(L141="END DATE NOT PASSED",M141="REVIEW APPROVAL"),"HIGH: VERIFY",IF(L141="END DATE NOT PASSED","MEDIUM: CHECK STATUS","LOW: HISTORICAL")))</f>
        <v/>
      </c>
      <c r="O141" s="33" t="inlineStr">
        <is>
          <t>Validar documento firmado, revision/WO/sitio, material afectado y evidencia antes de activar alerta automatica.</t>
        </is>
      </c>
    </row>
    <row r="142">
      <c r="A142" s="43" t="inlineStr">
        <is>
          <t>CTANJZ04865</t>
        </is>
      </c>
      <c r="B142" s="43" t="inlineStr">
        <is>
          <t>D606401</t>
        </is>
      </c>
      <c r="C142" s="43" t="inlineStr">
        <is>
          <t>STBU</t>
        </is>
      </c>
      <c r="D142" s="43" t="inlineStr">
        <is>
          <t>Expired</t>
        </is>
      </c>
      <c r="E142" s="32" t="n">
        <v>45953</v>
      </c>
      <c r="F142" s="32" t="n">
        <v>46008</v>
      </c>
      <c r="G142" s="43" t="n">
        <v>2</v>
      </c>
      <c r="H142" s="43" t="n">
        <v>2</v>
      </c>
      <c r="I142" s="33" t="inlineStr">
        <is>
          <t>73-103633-04</t>
        </is>
      </c>
      <c r="J142" s="33" t="inlineStr"/>
      <c r="K142" s="33" t="inlineStr"/>
      <c r="L142" s="34">
        <f>IF(F142="","REVIEW: DATE CONFLICT/EMPTY",IF(F142&lt;'Change Overview'!$B$5,"END DATE PASSED","END DATE NOT PASSED"))</f>
        <v/>
      </c>
      <c r="M142" s="34">
        <f>IF(K142&lt;&gt;"","REVIEW SOURCE CONFLICT",IF(OR(ISNUMBER(SEARCH("CCB",D142)),ISNUMBER(SEARCH("Pending",D142))),"CCB/PENDING",IF(OR(ISNUMBER(SEARCH("Expired",D142)),ISNUMBER(SEARCH("Closed",D142))),"CLOSED/EXPIRED",IF(E142="","NO RELEASE DATE","REVIEW APPROVAL"))))</f>
        <v/>
      </c>
      <c r="N142" s="34">
        <f>IF(K142&lt;&gt;"","HIGH: SOURCE CONFLICT",IF(AND(L142="END DATE NOT PASSED",M142="REVIEW APPROVAL"),"HIGH: VERIFY",IF(L142="END DATE NOT PASSED","MEDIUM: CHECK STATUS","LOW: HISTORICAL")))</f>
        <v/>
      </c>
      <c r="O142" s="33" t="inlineStr">
        <is>
          <t>Validar documento firmado, revision/WO/sitio, material afectado y evidencia antes de activar alerta automatica.</t>
        </is>
      </c>
    </row>
    <row r="143">
      <c r="A143" s="43" t="inlineStr">
        <is>
          <t>CTANJZ04866</t>
        </is>
      </c>
      <c r="B143" s="43" t="inlineStr">
        <is>
          <t>D604888</t>
        </is>
      </c>
      <c r="C143" s="43" t="inlineStr">
        <is>
          <t>STBU</t>
        </is>
      </c>
      <c r="D143" s="43" t="inlineStr">
        <is>
          <t>Expired</t>
        </is>
      </c>
      <c r="E143" s="32" t="n">
        <v>45951</v>
      </c>
      <c r="F143" s="32" t="n">
        <v>46009</v>
      </c>
      <c r="G143" s="43" t="n">
        <v>1</v>
      </c>
      <c r="H143" s="43" t="n">
        <v>1</v>
      </c>
      <c r="I143" s="33" t="inlineStr"/>
      <c r="J143" s="33" t="inlineStr"/>
      <c r="K143" s="33" t="inlineStr"/>
      <c r="L143" s="34">
        <f>IF(F143="","REVIEW: DATE CONFLICT/EMPTY",IF(F143&lt;'Change Overview'!$B$5,"END DATE PASSED","END DATE NOT PASSED"))</f>
        <v/>
      </c>
      <c r="M143" s="34">
        <f>IF(K143&lt;&gt;"","REVIEW SOURCE CONFLICT",IF(OR(ISNUMBER(SEARCH("CCB",D143)),ISNUMBER(SEARCH("Pending",D143))),"CCB/PENDING",IF(OR(ISNUMBER(SEARCH("Expired",D143)),ISNUMBER(SEARCH("Closed",D143))),"CLOSED/EXPIRED",IF(E143="","NO RELEASE DATE","REVIEW APPROVAL"))))</f>
        <v/>
      </c>
      <c r="N143" s="34">
        <f>IF(K143&lt;&gt;"","HIGH: SOURCE CONFLICT",IF(AND(L143="END DATE NOT PASSED",M143="REVIEW APPROVAL"),"HIGH: VERIFY",IF(L143="END DATE NOT PASSED","MEDIUM: CHECK STATUS","LOW: HISTORICAL")))</f>
        <v/>
      </c>
      <c r="O143" s="33" t="inlineStr">
        <is>
          <t>Validar documento firmado, revision/WO/sitio, material afectado y evidencia antes de activar alerta automatica.</t>
        </is>
      </c>
    </row>
    <row r="144">
      <c r="A144" s="43" t="inlineStr">
        <is>
          <t>CTANJZ04867</t>
        </is>
      </c>
      <c r="B144" s="43" t="inlineStr">
        <is>
          <t>D606464</t>
        </is>
      </c>
      <c r="C144" s="43" t="inlineStr">
        <is>
          <t>CVEBU</t>
        </is>
      </c>
      <c r="D144" s="43" t="inlineStr">
        <is>
          <t>Expired</t>
        </is>
      </c>
      <c r="E144" s="32" t="n">
        <v>45943</v>
      </c>
      <c r="F144" s="32" t="n">
        <v>46007</v>
      </c>
      <c r="G144" s="43" t="n">
        <v>1</v>
      </c>
      <c r="H144" s="43" t="n">
        <v>1</v>
      </c>
      <c r="I144" s="33" t="inlineStr"/>
      <c r="J144" s="33" t="inlineStr"/>
      <c r="K144" s="33" t="inlineStr"/>
      <c r="L144" s="34">
        <f>IF(F144="","REVIEW: DATE CONFLICT/EMPTY",IF(F144&lt;'Change Overview'!$B$5,"END DATE PASSED","END DATE NOT PASSED"))</f>
        <v/>
      </c>
      <c r="M144" s="34">
        <f>IF(K144&lt;&gt;"","REVIEW SOURCE CONFLICT",IF(OR(ISNUMBER(SEARCH("CCB",D144)),ISNUMBER(SEARCH("Pending",D144))),"CCB/PENDING",IF(OR(ISNUMBER(SEARCH("Expired",D144)),ISNUMBER(SEARCH("Closed",D144))),"CLOSED/EXPIRED",IF(E144="","NO RELEASE DATE","REVIEW APPROVAL"))))</f>
        <v/>
      </c>
      <c r="N144" s="34">
        <f>IF(K144&lt;&gt;"","HIGH: SOURCE CONFLICT",IF(AND(L144="END DATE NOT PASSED",M144="REVIEW APPROVAL"),"HIGH: VERIFY",IF(L144="END DATE NOT PASSED","MEDIUM: CHECK STATUS","LOW: HISTORICAL")))</f>
        <v/>
      </c>
      <c r="O144" s="33" t="inlineStr">
        <is>
          <t>Validar documento firmado, revision/WO/sitio, material afectado y evidencia antes de activar alerta automatica.</t>
        </is>
      </c>
    </row>
    <row r="145">
      <c r="A145" s="43" t="inlineStr">
        <is>
          <t>CTANJZ04871</t>
        </is>
      </c>
      <c r="B145" s="43" t="inlineStr">
        <is>
          <t>D606244</t>
        </is>
      </c>
      <c r="C145" s="43" t="inlineStr">
        <is>
          <t>SRGBU</t>
        </is>
      </c>
      <c r="D145" s="43" t="inlineStr">
        <is>
          <t>Expired</t>
        </is>
      </c>
      <c r="E145" s="32" t="n">
        <v>45953</v>
      </c>
      <c r="F145" s="32" t="n">
        <v>46014</v>
      </c>
      <c r="G145" s="43" t="n">
        <v>2</v>
      </c>
      <c r="H145" s="43" t="n">
        <v>2</v>
      </c>
      <c r="I145" s="33" t="inlineStr"/>
      <c r="J145" s="33" t="inlineStr"/>
      <c r="K145" s="33" t="inlineStr"/>
      <c r="L145" s="34">
        <f>IF(F145="","REVIEW: DATE CONFLICT/EMPTY",IF(F145&lt;'Change Overview'!$B$5,"END DATE PASSED","END DATE NOT PASSED"))</f>
        <v/>
      </c>
      <c r="M145" s="34">
        <f>IF(K145&lt;&gt;"","REVIEW SOURCE CONFLICT",IF(OR(ISNUMBER(SEARCH("CCB",D145)),ISNUMBER(SEARCH("Pending",D145))),"CCB/PENDING",IF(OR(ISNUMBER(SEARCH("Expired",D145)),ISNUMBER(SEARCH("Closed",D145))),"CLOSED/EXPIRED",IF(E145="","NO RELEASE DATE","REVIEW APPROVAL"))))</f>
        <v/>
      </c>
      <c r="N145" s="34">
        <f>IF(K145&lt;&gt;"","HIGH: SOURCE CONFLICT",IF(AND(L145="END DATE NOT PASSED",M145="REVIEW APPROVAL"),"HIGH: VERIFY",IF(L145="END DATE NOT PASSED","MEDIUM: CHECK STATUS","LOW: HISTORICAL")))</f>
        <v/>
      </c>
      <c r="O145" s="33" t="inlineStr">
        <is>
          <t>Validar documento firmado, revision/WO/sitio, material afectado y evidencia antes de activar alerta automatica.</t>
        </is>
      </c>
    </row>
    <row r="146">
      <c r="A146" s="43" t="inlineStr">
        <is>
          <t>CTANJZ04872</t>
        </is>
      </c>
      <c r="B146" s="43" t="inlineStr">
        <is>
          <t>D606243</t>
        </is>
      </c>
      <c r="C146" s="43" t="inlineStr">
        <is>
          <t>STBU</t>
        </is>
      </c>
      <c r="D146" s="43" t="inlineStr">
        <is>
          <t>Expired</t>
        </is>
      </c>
      <c r="E146" s="32" t="n">
        <v>45951</v>
      </c>
      <c r="F146" s="32" t="n">
        <v>46015</v>
      </c>
      <c r="G146" s="43" t="n">
        <v>5</v>
      </c>
      <c r="H146" s="43" t="n">
        <v>5</v>
      </c>
      <c r="I146" s="33" t="inlineStr"/>
      <c r="J146" s="33" t="inlineStr"/>
      <c r="K146" s="33" t="inlineStr"/>
      <c r="L146" s="34">
        <f>IF(F146="","REVIEW: DATE CONFLICT/EMPTY",IF(F146&lt;'Change Overview'!$B$5,"END DATE PASSED","END DATE NOT PASSED"))</f>
        <v/>
      </c>
      <c r="M146" s="34">
        <f>IF(K146&lt;&gt;"","REVIEW SOURCE CONFLICT",IF(OR(ISNUMBER(SEARCH("CCB",D146)),ISNUMBER(SEARCH("Pending",D146))),"CCB/PENDING",IF(OR(ISNUMBER(SEARCH("Expired",D146)),ISNUMBER(SEARCH("Closed",D146))),"CLOSED/EXPIRED",IF(E146="","NO RELEASE DATE","REVIEW APPROVAL"))))</f>
        <v/>
      </c>
      <c r="N146" s="34">
        <f>IF(K146&lt;&gt;"","HIGH: SOURCE CONFLICT",IF(AND(L146="END DATE NOT PASSED",M146="REVIEW APPROVAL"),"HIGH: VERIFY",IF(L146="END DATE NOT PASSED","MEDIUM: CHECK STATUS","LOW: HISTORICAL")))</f>
        <v/>
      </c>
      <c r="O146" s="33" t="inlineStr">
        <is>
          <t>Validar documento firmado, revision/WO/sitio, material afectado y evidencia antes de activar alerta automatica.</t>
        </is>
      </c>
    </row>
    <row r="147">
      <c r="A147" s="43" t="inlineStr">
        <is>
          <t>CTANJZ04873</t>
        </is>
      </c>
      <c r="B147" s="43" t="inlineStr">
        <is>
          <t>D606385</t>
        </is>
      </c>
      <c r="C147" s="43" t="inlineStr">
        <is>
          <t>STBU</t>
        </is>
      </c>
      <c r="D147" s="43" t="inlineStr">
        <is>
          <t>Expired</t>
        </is>
      </c>
      <c r="E147" s="32" t="n">
        <v>45933</v>
      </c>
      <c r="F147" s="32" t="n">
        <v>46014</v>
      </c>
      <c r="G147" s="43" t="n">
        <v>4</v>
      </c>
      <c r="H147" s="43" t="n">
        <v>4</v>
      </c>
      <c r="I147" s="33" t="inlineStr"/>
      <c r="J147" s="33" t="inlineStr"/>
      <c r="K147" s="33" t="inlineStr"/>
      <c r="L147" s="34">
        <f>IF(F147="","REVIEW: DATE CONFLICT/EMPTY",IF(F147&lt;'Change Overview'!$B$5,"END DATE PASSED","END DATE NOT PASSED"))</f>
        <v/>
      </c>
      <c r="M147" s="34">
        <f>IF(K147&lt;&gt;"","REVIEW SOURCE CONFLICT",IF(OR(ISNUMBER(SEARCH("CCB",D147)),ISNUMBER(SEARCH("Pending",D147))),"CCB/PENDING",IF(OR(ISNUMBER(SEARCH("Expired",D147)),ISNUMBER(SEARCH("Closed",D147))),"CLOSED/EXPIRED",IF(E147="","NO RELEASE DATE","REVIEW APPROVAL"))))</f>
        <v/>
      </c>
      <c r="N147" s="34">
        <f>IF(K147&lt;&gt;"","HIGH: SOURCE CONFLICT",IF(AND(L147="END DATE NOT PASSED",M147="REVIEW APPROVAL"),"HIGH: VERIFY",IF(L147="END DATE NOT PASSED","MEDIUM: CHECK STATUS","LOW: HISTORICAL")))</f>
        <v/>
      </c>
      <c r="O147" s="33" t="inlineStr">
        <is>
          <t>Validar documento firmado, revision/WO/sitio, material afectado y evidencia antes de activar alerta automatica.</t>
        </is>
      </c>
    </row>
    <row r="148">
      <c r="A148" s="43" t="inlineStr">
        <is>
          <t>CTANJZ04881</t>
        </is>
      </c>
      <c r="B148" s="43" t="inlineStr">
        <is>
          <t>D606269</t>
        </is>
      </c>
      <c r="C148" s="43" t="inlineStr">
        <is>
          <t>STBU</t>
        </is>
      </c>
      <c r="D148" s="43" t="inlineStr">
        <is>
          <t>Expired</t>
        </is>
      </c>
      <c r="E148" s="32" t="n">
        <v>45955</v>
      </c>
      <c r="F148" s="32" t="n">
        <v>46016</v>
      </c>
      <c r="G148" s="43" t="n">
        <v>1</v>
      </c>
      <c r="H148" s="43" t="n">
        <v>1</v>
      </c>
      <c r="I148" s="33" t="inlineStr">
        <is>
          <t>73-103558-04</t>
        </is>
      </c>
      <c r="J148" s="33" t="inlineStr"/>
      <c r="K148" s="33" t="inlineStr"/>
      <c r="L148" s="34">
        <f>IF(F148="","REVIEW: DATE CONFLICT/EMPTY",IF(F148&lt;'Change Overview'!$B$5,"END DATE PASSED","END DATE NOT PASSED"))</f>
        <v/>
      </c>
      <c r="M148" s="34">
        <f>IF(K148&lt;&gt;"","REVIEW SOURCE CONFLICT",IF(OR(ISNUMBER(SEARCH("CCB",D148)),ISNUMBER(SEARCH("Pending",D148))),"CCB/PENDING",IF(OR(ISNUMBER(SEARCH("Expired",D148)),ISNUMBER(SEARCH("Closed",D148))),"CLOSED/EXPIRED",IF(E148="","NO RELEASE DATE","REVIEW APPROVAL"))))</f>
        <v/>
      </c>
      <c r="N148" s="34">
        <f>IF(K148&lt;&gt;"","HIGH: SOURCE CONFLICT",IF(AND(L148="END DATE NOT PASSED",M148="REVIEW APPROVAL"),"HIGH: VERIFY",IF(L148="END DATE NOT PASSED","MEDIUM: CHECK STATUS","LOW: HISTORICAL")))</f>
        <v/>
      </c>
      <c r="O148" s="33" t="inlineStr">
        <is>
          <t>Validar documento firmado, revision/WO/sitio, material afectado y evidencia antes de activar alerta automatica.</t>
        </is>
      </c>
    </row>
    <row r="149">
      <c r="A149" s="43" t="inlineStr">
        <is>
          <t>CTANJZ04884</t>
        </is>
      </c>
      <c r="B149" s="43" t="inlineStr">
        <is>
          <t>D606680</t>
        </is>
      </c>
      <c r="C149" s="43" t="inlineStr">
        <is>
          <t>CVEBU</t>
        </is>
      </c>
      <c r="D149" s="43" t="inlineStr">
        <is>
          <t>Expired</t>
        </is>
      </c>
      <c r="E149" s="32" t="n">
        <v>45943</v>
      </c>
      <c r="F149" s="32" t="n">
        <v>46020</v>
      </c>
      <c r="G149" s="43" t="n">
        <v>2</v>
      </c>
      <c r="H149" s="43" t="n">
        <v>2</v>
      </c>
      <c r="I149" s="33" t="inlineStr">
        <is>
          <t>73-103922-04</t>
        </is>
      </c>
      <c r="J149" s="33" t="inlineStr"/>
      <c r="K149" s="33" t="inlineStr"/>
      <c r="L149" s="34">
        <f>IF(F149="","REVIEW: DATE CONFLICT/EMPTY",IF(F149&lt;'Change Overview'!$B$5,"END DATE PASSED","END DATE NOT PASSED"))</f>
        <v/>
      </c>
      <c r="M149" s="34">
        <f>IF(K149&lt;&gt;"","REVIEW SOURCE CONFLICT",IF(OR(ISNUMBER(SEARCH("CCB",D149)),ISNUMBER(SEARCH("Pending",D149))),"CCB/PENDING",IF(OR(ISNUMBER(SEARCH("Expired",D149)),ISNUMBER(SEARCH("Closed",D149))),"CLOSED/EXPIRED",IF(E149="","NO RELEASE DATE","REVIEW APPROVAL"))))</f>
        <v/>
      </c>
      <c r="N149" s="34">
        <f>IF(K149&lt;&gt;"","HIGH: SOURCE CONFLICT",IF(AND(L149="END DATE NOT PASSED",M149="REVIEW APPROVAL"),"HIGH: VERIFY",IF(L149="END DATE NOT PASSED","MEDIUM: CHECK STATUS","LOW: HISTORICAL")))</f>
        <v/>
      </c>
      <c r="O149" s="33" t="inlineStr">
        <is>
          <t>Validar documento firmado, revision/WO/sitio, material afectado y evidencia antes de activar alerta automatica.</t>
        </is>
      </c>
    </row>
    <row r="150">
      <c r="A150" s="43" t="inlineStr">
        <is>
          <t>CTANJZ04886</t>
        </is>
      </c>
      <c r="B150" s="43" t="inlineStr">
        <is>
          <t>D606659</t>
        </is>
      </c>
      <c r="C150" s="43" t="inlineStr">
        <is>
          <t>STBU</t>
        </is>
      </c>
      <c r="D150" s="43" t="inlineStr">
        <is>
          <t>Expired</t>
        </is>
      </c>
      <c r="E150" s="32" t="n">
        <v>45951</v>
      </c>
      <c r="F150" s="32" t="n">
        <v>46022</v>
      </c>
      <c r="G150" s="43" t="n">
        <v>2</v>
      </c>
      <c r="H150" s="43" t="n">
        <v>2</v>
      </c>
      <c r="I150" s="33" t="inlineStr">
        <is>
          <t>73-102435-05</t>
        </is>
      </c>
      <c r="J150" s="33" t="inlineStr"/>
      <c r="K150" s="33" t="inlineStr"/>
      <c r="L150" s="34">
        <f>IF(F150="","REVIEW: DATE CONFLICT/EMPTY",IF(F150&lt;'Change Overview'!$B$5,"END DATE PASSED","END DATE NOT PASSED"))</f>
        <v/>
      </c>
      <c r="M150" s="34">
        <f>IF(K150&lt;&gt;"","REVIEW SOURCE CONFLICT",IF(OR(ISNUMBER(SEARCH("CCB",D150)),ISNUMBER(SEARCH("Pending",D150))),"CCB/PENDING",IF(OR(ISNUMBER(SEARCH("Expired",D150)),ISNUMBER(SEARCH("Closed",D150))),"CLOSED/EXPIRED",IF(E150="","NO RELEASE DATE","REVIEW APPROVAL"))))</f>
        <v/>
      </c>
      <c r="N150" s="34">
        <f>IF(K150&lt;&gt;"","HIGH: SOURCE CONFLICT",IF(AND(L150="END DATE NOT PASSED",M150="REVIEW APPROVAL"),"HIGH: VERIFY",IF(L150="END DATE NOT PASSED","MEDIUM: CHECK STATUS","LOW: HISTORICAL")))</f>
        <v/>
      </c>
      <c r="O150" s="33" t="inlineStr">
        <is>
          <t>Validar documento firmado, revision/WO/sitio, material afectado y evidencia antes de activar alerta automatica.</t>
        </is>
      </c>
    </row>
    <row r="151">
      <c r="A151" s="43" t="inlineStr">
        <is>
          <t>CTANJZ04887</t>
        </is>
      </c>
      <c r="B151" s="43" t="inlineStr">
        <is>
          <t>D606802</t>
        </is>
      </c>
      <c r="C151" s="43" t="inlineStr">
        <is>
          <t>STBU</t>
        </is>
      </c>
      <c r="D151" s="43" t="inlineStr">
        <is>
          <t>Expired</t>
        </is>
      </c>
      <c r="E151" s="32" t="n">
        <v>45959</v>
      </c>
      <c r="F151" s="32" t="n">
        <v>46024</v>
      </c>
      <c r="G151" s="43" t="n">
        <v>2</v>
      </c>
      <c r="H151" s="43" t="n">
        <v>2</v>
      </c>
      <c r="I151" s="33" t="inlineStr">
        <is>
          <t>73-103633-04</t>
        </is>
      </c>
      <c r="J151" s="33" t="inlineStr"/>
      <c r="K151" s="33" t="inlineStr"/>
      <c r="L151" s="34">
        <f>IF(F151="","REVIEW: DATE CONFLICT/EMPTY",IF(F151&lt;'Change Overview'!$B$5,"END DATE PASSED","END DATE NOT PASSED"))</f>
        <v/>
      </c>
      <c r="M151" s="34">
        <f>IF(K151&lt;&gt;"","REVIEW SOURCE CONFLICT",IF(OR(ISNUMBER(SEARCH("CCB",D151)),ISNUMBER(SEARCH("Pending",D151))),"CCB/PENDING",IF(OR(ISNUMBER(SEARCH("Expired",D151)),ISNUMBER(SEARCH("Closed",D151))),"CLOSED/EXPIRED",IF(E151="","NO RELEASE DATE","REVIEW APPROVAL"))))</f>
        <v/>
      </c>
      <c r="N151" s="34">
        <f>IF(K151&lt;&gt;"","HIGH: SOURCE CONFLICT",IF(AND(L151="END DATE NOT PASSED",M151="REVIEW APPROVAL"),"HIGH: VERIFY",IF(L151="END DATE NOT PASSED","MEDIUM: CHECK STATUS","LOW: HISTORICAL")))</f>
        <v/>
      </c>
      <c r="O151" s="33" t="inlineStr">
        <is>
          <t>Validar documento firmado, revision/WO/sitio, material afectado y evidencia antes de activar alerta automatica.</t>
        </is>
      </c>
    </row>
    <row r="152">
      <c r="A152" s="43" t="inlineStr">
        <is>
          <t>CTANJZ04889</t>
        </is>
      </c>
      <c r="B152" s="43" t="inlineStr">
        <is>
          <t>D606833</t>
        </is>
      </c>
      <c r="C152" s="43" t="inlineStr">
        <is>
          <t>SRGBU</t>
        </is>
      </c>
      <c r="D152" s="43" t="inlineStr">
        <is>
          <t>Expired</t>
        </is>
      </c>
      <c r="E152" s="32" t="n">
        <v>45954</v>
      </c>
      <c r="F152" s="32" t="n">
        <v>46024</v>
      </c>
      <c r="G152" s="43" t="n">
        <v>1</v>
      </c>
      <c r="H152" s="43" t="n">
        <v>1</v>
      </c>
      <c r="I152" s="33" t="inlineStr"/>
      <c r="J152" s="33" t="inlineStr"/>
      <c r="K152" s="33" t="inlineStr"/>
      <c r="L152" s="34">
        <f>IF(F152="","REVIEW: DATE CONFLICT/EMPTY",IF(F152&lt;'Change Overview'!$B$5,"END DATE PASSED","END DATE NOT PASSED"))</f>
        <v/>
      </c>
      <c r="M152" s="34">
        <f>IF(K152&lt;&gt;"","REVIEW SOURCE CONFLICT",IF(OR(ISNUMBER(SEARCH("CCB",D152)),ISNUMBER(SEARCH("Pending",D152))),"CCB/PENDING",IF(OR(ISNUMBER(SEARCH("Expired",D152)),ISNUMBER(SEARCH("Closed",D152))),"CLOSED/EXPIRED",IF(E152="","NO RELEASE DATE","REVIEW APPROVAL"))))</f>
        <v/>
      </c>
      <c r="N152" s="34">
        <f>IF(K152&lt;&gt;"","HIGH: SOURCE CONFLICT",IF(AND(L152="END DATE NOT PASSED",M152="REVIEW APPROVAL"),"HIGH: VERIFY",IF(L152="END DATE NOT PASSED","MEDIUM: CHECK STATUS","LOW: HISTORICAL")))</f>
        <v/>
      </c>
      <c r="O152" s="33" t="inlineStr">
        <is>
          <t>Validar documento firmado, revision/WO/sitio, material afectado y evidencia antes de activar alerta automatica.</t>
        </is>
      </c>
    </row>
    <row r="153">
      <c r="A153" s="43" t="inlineStr">
        <is>
          <t>CTANJZ04892</t>
        </is>
      </c>
      <c r="B153" s="43" t="inlineStr">
        <is>
          <t>D606672</t>
        </is>
      </c>
      <c r="C153" s="43" t="inlineStr">
        <is>
          <t>CVEBU</t>
        </is>
      </c>
      <c r="D153" s="43" t="inlineStr">
        <is>
          <t>Expired</t>
        </is>
      </c>
      <c r="E153" s="32" t="n">
        <v>45951</v>
      </c>
      <c r="F153" s="32" t="n">
        <v>46021</v>
      </c>
      <c r="G153" s="43" t="n">
        <v>2</v>
      </c>
      <c r="H153" s="43" t="n">
        <v>2</v>
      </c>
      <c r="I153" s="33" t="inlineStr">
        <is>
          <t>73-102197-02</t>
        </is>
      </c>
      <c r="J153" s="33" t="inlineStr"/>
      <c r="K153" s="33" t="inlineStr"/>
      <c r="L153" s="34">
        <f>IF(F153="","REVIEW: DATE CONFLICT/EMPTY",IF(F153&lt;'Change Overview'!$B$5,"END DATE PASSED","END DATE NOT PASSED"))</f>
        <v/>
      </c>
      <c r="M153" s="34">
        <f>IF(K153&lt;&gt;"","REVIEW SOURCE CONFLICT",IF(OR(ISNUMBER(SEARCH("CCB",D153)),ISNUMBER(SEARCH("Pending",D153))),"CCB/PENDING",IF(OR(ISNUMBER(SEARCH("Expired",D153)),ISNUMBER(SEARCH("Closed",D153))),"CLOSED/EXPIRED",IF(E153="","NO RELEASE DATE","REVIEW APPROVAL"))))</f>
        <v/>
      </c>
      <c r="N153" s="34">
        <f>IF(K153&lt;&gt;"","HIGH: SOURCE CONFLICT",IF(AND(L153="END DATE NOT PASSED",M153="REVIEW APPROVAL"),"HIGH: VERIFY",IF(L153="END DATE NOT PASSED","MEDIUM: CHECK STATUS","LOW: HISTORICAL")))</f>
        <v/>
      </c>
      <c r="O153" s="33" t="inlineStr">
        <is>
          <t>Validar documento firmado, revision/WO/sitio, material afectado y evidencia antes de activar alerta automatica.</t>
        </is>
      </c>
    </row>
    <row r="154">
      <c r="A154" s="43" t="inlineStr">
        <is>
          <t>CTANJZ04893</t>
        </is>
      </c>
      <c r="B154" s="43" t="inlineStr">
        <is>
          <t>D606870</t>
        </is>
      </c>
      <c r="C154" s="43" t="inlineStr">
        <is>
          <t>SRGBU</t>
        </is>
      </c>
      <c r="D154" s="43" t="inlineStr">
        <is>
          <t>Expired</t>
        </is>
      </c>
      <c r="E154" s="32" t="n">
        <v>45954</v>
      </c>
      <c r="F154" s="32" t="n">
        <v>46027</v>
      </c>
      <c r="G154" s="43" t="n">
        <v>4</v>
      </c>
      <c r="H154" s="43" t="n">
        <v>4</v>
      </c>
      <c r="I154" s="33" t="inlineStr"/>
      <c r="J154" s="33" t="inlineStr"/>
      <c r="K154" s="33" t="inlineStr"/>
      <c r="L154" s="34">
        <f>IF(F154="","REVIEW: DATE CONFLICT/EMPTY",IF(F154&lt;'Change Overview'!$B$5,"END DATE PASSED","END DATE NOT PASSED"))</f>
        <v/>
      </c>
      <c r="M154" s="34">
        <f>IF(K154&lt;&gt;"","REVIEW SOURCE CONFLICT",IF(OR(ISNUMBER(SEARCH("CCB",D154)),ISNUMBER(SEARCH("Pending",D154))),"CCB/PENDING",IF(OR(ISNUMBER(SEARCH("Expired",D154)),ISNUMBER(SEARCH("Closed",D154))),"CLOSED/EXPIRED",IF(E154="","NO RELEASE DATE","REVIEW APPROVAL"))))</f>
        <v/>
      </c>
      <c r="N154" s="34">
        <f>IF(K154&lt;&gt;"","HIGH: SOURCE CONFLICT",IF(AND(L154="END DATE NOT PASSED",M154="REVIEW APPROVAL"),"HIGH: VERIFY",IF(L154="END DATE NOT PASSED","MEDIUM: CHECK STATUS","LOW: HISTORICAL")))</f>
        <v/>
      </c>
      <c r="O154" s="33" t="inlineStr">
        <is>
          <t>Validar documento firmado, revision/WO/sitio, material afectado y evidencia antes de activar alerta automatica.</t>
        </is>
      </c>
    </row>
    <row r="155">
      <c r="A155" s="43" t="inlineStr">
        <is>
          <t>CTANJZ04894</t>
        </is>
      </c>
      <c r="B155" s="43" t="inlineStr">
        <is>
          <t>D606830</t>
        </is>
      </c>
      <c r="C155" s="43" t="inlineStr">
        <is>
          <t>STBU</t>
        </is>
      </c>
      <c r="D155" s="43" t="inlineStr">
        <is>
          <t>Expired</t>
        </is>
      </c>
      <c r="E155" s="32" t="n">
        <v>45955</v>
      </c>
      <c r="F155" s="32" t="n">
        <v>46027</v>
      </c>
      <c r="G155" s="43" t="n">
        <v>5</v>
      </c>
      <c r="H155" s="43" t="n">
        <v>5</v>
      </c>
      <c r="I155" s="33" t="inlineStr"/>
      <c r="J155" s="33" t="inlineStr"/>
      <c r="K155" s="33" t="inlineStr"/>
      <c r="L155" s="34">
        <f>IF(F155="","REVIEW: DATE CONFLICT/EMPTY",IF(F155&lt;'Change Overview'!$B$5,"END DATE PASSED","END DATE NOT PASSED"))</f>
        <v/>
      </c>
      <c r="M155" s="34">
        <f>IF(K155&lt;&gt;"","REVIEW SOURCE CONFLICT",IF(OR(ISNUMBER(SEARCH("CCB",D155)),ISNUMBER(SEARCH("Pending",D155))),"CCB/PENDING",IF(OR(ISNUMBER(SEARCH("Expired",D155)),ISNUMBER(SEARCH("Closed",D155))),"CLOSED/EXPIRED",IF(E155="","NO RELEASE DATE","REVIEW APPROVAL"))))</f>
        <v/>
      </c>
      <c r="N155" s="34">
        <f>IF(K155&lt;&gt;"","HIGH: SOURCE CONFLICT",IF(AND(L155="END DATE NOT PASSED",M155="REVIEW APPROVAL"),"HIGH: VERIFY",IF(L155="END DATE NOT PASSED","MEDIUM: CHECK STATUS","LOW: HISTORICAL")))</f>
        <v/>
      </c>
      <c r="O155" s="33" t="inlineStr">
        <is>
          <t>Validar documento firmado, revision/WO/sitio, material afectado y evidencia antes de activar alerta automatica.</t>
        </is>
      </c>
    </row>
    <row r="156">
      <c r="A156" s="43" t="inlineStr">
        <is>
          <t>CTANJZ04896</t>
        </is>
      </c>
      <c r="B156" s="43" t="inlineStr">
        <is>
          <t>D605020</t>
        </is>
      </c>
      <c r="C156" s="43" t="inlineStr">
        <is>
          <t>STBU</t>
        </is>
      </c>
      <c r="D156" s="43" t="inlineStr">
        <is>
          <t>Expired</t>
        </is>
      </c>
      <c r="E156" s="32" t="n">
        <v>45951</v>
      </c>
      <c r="F156" s="32" t="n">
        <v>46026</v>
      </c>
      <c r="G156" s="43" t="n">
        <v>7</v>
      </c>
      <c r="H156" s="43" t="n">
        <v>7</v>
      </c>
      <c r="I156" s="33" t="inlineStr">
        <is>
          <t>73-20249-05</t>
        </is>
      </c>
      <c r="J156" s="33" t="inlineStr"/>
      <c r="K156" s="33" t="inlineStr"/>
      <c r="L156" s="34">
        <f>IF(F156="","REVIEW: DATE CONFLICT/EMPTY",IF(F156&lt;'Change Overview'!$B$5,"END DATE PASSED","END DATE NOT PASSED"))</f>
        <v/>
      </c>
      <c r="M156" s="34">
        <f>IF(K156&lt;&gt;"","REVIEW SOURCE CONFLICT",IF(OR(ISNUMBER(SEARCH("CCB",D156)),ISNUMBER(SEARCH("Pending",D156))),"CCB/PENDING",IF(OR(ISNUMBER(SEARCH("Expired",D156)),ISNUMBER(SEARCH("Closed",D156))),"CLOSED/EXPIRED",IF(E156="","NO RELEASE DATE","REVIEW APPROVAL"))))</f>
        <v/>
      </c>
      <c r="N156" s="34">
        <f>IF(K156&lt;&gt;"","HIGH: SOURCE CONFLICT",IF(AND(L156="END DATE NOT PASSED",M156="REVIEW APPROVAL"),"HIGH: VERIFY",IF(L156="END DATE NOT PASSED","MEDIUM: CHECK STATUS","LOW: HISTORICAL")))</f>
        <v/>
      </c>
      <c r="O156" s="33" t="inlineStr">
        <is>
          <t>Validar documento firmado, revision/WO/sitio, material afectado y evidencia antes de activar alerta automatica.</t>
        </is>
      </c>
    </row>
    <row r="157">
      <c r="A157" s="43" t="inlineStr">
        <is>
          <t>CTANJZ04898</t>
        </is>
      </c>
      <c r="B157" s="43" t="inlineStr">
        <is>
          <t>DP525313</t>
        </is>
      </c>
      <c r="C157" s="43" t="inlineStr">
        <is>
          <t>STBU</t>
        </is>
      </c>
      <c r="D157" s="43" t="inlineStr">
        <is>
          <t>Expired</t>
        </is>
      </c>
      <c r="E157" s="32" t="n">
        <v>45951</v>
      </c>
      <c r="F157" s="32" t="n">
        <v>45999</v>
      </c>
      <c r="G157" s="43" t="n">
        <v>2</v>
      </c>
      <c r="H157" s="43" t="n">
        <v>2</v>
      </c>
      <c r="I157" s="33" t="inlineStr"/>
      <c r="J157" s="33" t="inlineStr"/>
      <c r="K157" s="33" t="inlineStr"/>
      <c r="L157" s="34">
        <f>IF(F157="","REVIEW: DATE CONFLICT/EMPTY",IF(F157&lt;'Change Overview'!$B$5,"END DATE PASSED","END DATE NOT PASSED"))</f>
        <v/>
      </c>
      <c r="M157" s="34">
        <f>IF(K157&lt;&gt;"","REVIEW SOURCE CONFLICT",IF(OR(ISNUMBER(SEARCH("CCB",D157)),ISNUMBER(SEARCH("Pending",D157))),"CCB/PENDING",IF(OR(ISNUMBER(SEARCH("Expired",D157)),ISNUMBER(SEARCH("Closed",D157))),"CLOSED/EXPIRED",IF(E157="","NO RELEASE DATE","REVIEW APPROVAL"))))</f>
        <v/>
      </c>
      <c r="N157" s="34">
        <f>IF(K157&lt;&gt;"","HIGH: SOURCE CONFLICT",IF(AND(L157="END DATE NOT PASSED",M157="REVIEW APPROVAL"),"HIGH: VERIFY",IF(L157="END DATE NOT PASSED","MEDIUM: CHECK STATUS","LOW: HISTORICAL")))</f>
        <v/>
      </c>
      <c r="O157" s="33" t="inlineStr">
        <is>
          <t>Validar documento firmado, revision/WO/sitio, material afectado y evidencia antes de activar alerta automatica.</t>
        </is>
      </c>
    </row>
    <row r="158">
      <c r="A158" s="43" t="inlineStr">
        <is>
          <t>CTANJZ04899</t>
        </is>
      </c>
      <c r="B158" s="43" t="inlineStr">
        <is>
          <t>D606900</t>
        </is>
      </c>
      <c r="C158" s="43" t="inlineStr">
        <is>
          <t>STBU</t>
        </is>
      </c>
      <c r="D158" s="43" t="inlineStr">
        <is>
          <t>Expired</t>
        </is>
      </c>
      <c r="E158" s="32" t="n">
        <v>45955</v>
      </c>
      <c r="F158" s="32" t="n">
        <v>46029</v>
      </c>
      <c r="G158" s="43" t="n">
        <v>8</v>
      </c>
      <c r="H158" s="43" t="n">
        <v>8</v>
      </c>
      <c r="I158" s="33" t="inlineStr">
        <is>
          <t>73-17497-04, 73-17498-04, 73-17499-07, 73-17510-02, 73-17514-02, 73-17530-02, 73-18626-04, 73-19361-01</t>
        </is>
      </c>
      <c r="J158" s="33" t="inlineStr"/>
      <c r="K158" s="33" t="inlineStr"/>
      <c r="L158" s="34">
        <f>IF(F158="","REVIEW: DATE CONFLICT/EMPTY",IF(F158&lt;'Change Overview'!$B$5,"END DATE PASSED","END DATE NOT PASSED"))</f>
        <v/>
      </c>
      <c r="M158" s="34">
        <f>IF(K158&lt;&gt;"","REVIEW SOURCE CONFLICT",IF(OR(ISNUMBER(SEARCH("CCB",D158)),ISNUMBER(SEARCH("Pending",D158))),"CCB/PENDING",IF(OR(ISNUMBER(SEARCH("Expired",D158)),ISNUMBER(SEARCH("Closed",D158))),"CLOSED/EXPIRED",IF(E158="","NO RELEASE DATE","REVIEW APPROVAL"))))</f>
        <v/>
      </c>
      <c r="N158" s="34">
        <f>IF(K158&lt;&gt;"","HIGH: SOURCE CONFLICT",IF(AND(L158="END DATE NOT PASSED",M158="REVIEW APPROVAL"),"HIGH: VERIFY",IF(L158="END DATE NOT PASSED","MEDIUM: CHECK STATUS","LOW: HISTORICAL")))</f>
        <v/>
      </c>
      <c r="O158" s="33" t="inlineStr">
        <is>
          <t>Validar documento firmado, revision/WO/sitio, material afectado y evidencia antes de activar alerta automatica.</t>
        </is>
      </c>
    </row>
    <row r="159">
      <c r="A159" s="43" t="inlineStr">
        <is>
          <t>CTANJZ04900</t>
        </is>
      </c>
      <c r="B159" s="43" t="inlineStr">
        <is>
          <t>D606855</t>
        </is>
      </c>
      <c r="C159" s="43" t="inlineStr">
        <is>
          <t>STBU</t>
        </is>
      </c>
      <c r="D159" s="43" t="inlineStr">
        <is>
          <t>Expired</t>
        </is>
      </c>
      <c r="E159" s="32" t="n">
        <v>45955</v>
      </c>
      <c r="F159" s="32" t="n">
        <v>46029</v>
      </c>
      <c r="G159" s="43" t="n">
        <v>4</v>
      </c>
      <c r="H159" s="43" t="n">
        <v>4</v>
      </c>
      <c r="I159" s="33" t="inlineStr"/>
      <c r="J159" s="33" t="inlineStr"/>
      <c r="K159" s="33" t="inlineStr"/>
      <c r="L159" s="34">
        <f>IF(F159="","REVIEW: DATE CONFLICT/EMPTY",IF(F159&lt;'Change Overview'!$B$5,"END DATE PASSED","END DATE NOT PASSED"))</f>
        <v/>
      </c>
      <c r="M159" s="34">
        <f>IF(K159&lt;&gt;"","REVIEW SOURCE CONFLICT",IF(OR(ISNUMBER(SEARCH("CCB",D159)),ISNUMBER(SEARCH("Pending",D159))),"CCB/PENDING",IF(OR(ISNUMBER(SEARCH("Expired",D159)),ISNUMBER(SEARCH("Closed",D159))),"CLOSED/EXPIRED",IF(E159="","NO RELEASE DATE","REVIEW APPROVAL"))))</f>
        <v/>
      </c>
      <c r="N159" s="34">
        <f>IF(K159&lt;&gt;"","HIGH: SOURCE CONFLICT",IF(AND(L159="END DATE NOT PASSED",M159="REVIEW APPROVAL"),"HIGH: VERIFY",IF(L159="END DATE NOT PASSED","MEDIUM: CHECK STATUS","LOW: HISTORICAL")))</f>
        <v/>
      </c>
      <c r="O159" s="33" t="inlineStr">
        <is>
          <t>Validar documento firmado, revision/WO/sitio, material afectado y evidencia antes de activar alerta automatica.</t>
        </is>
      </c>
    </row>
    <row r="160">
      <c r="A160" s="43" t="inlineStr">
        <is>
          <t>CTANJZ04901</t>
        </is>
      </c>
      <c r="B160" s="43" t="inlineStr">
        <is>
          <t>DP525192</t>
        </is>
      </c>
      <c r="C160" s="43" t="inlineStr">
        <is>
          <t>STBU</t>
        </is>
      </c>
      <c r="D160" s="43" t="inlineStr">
        <is>
          <t>Expired</t>
        </is>
      </c>
      <c r="E160" s="32" t="n">
        <v>45955</v>
      </c>
      <c r="F160" s="32" t="n">
        <v>45999</v>
      </c>
      <c r="G160" s="43" t="n">
        <v>8</v>
      </c>
      <c r="H160" s="43" t="n">
        <v>8</v>
      </c>
      <c r="I160" s="33" t="inlineStr"/>
      <c r="J160" s="33" t="inlineStr"/>
      <c r="K160" s="33" t="inlineStr"/>
      <c r="L160" s="34">
        <f>IF(F160="","REVIEW: DATE CONFLICT/EMPTY",IF(F160&lt;'Change Overview'!$B$5,"END DATE PASSED","END DATE NOT PASSED"))</f>
        <v/>
      </c>
      <c r="M160" s="34">
        <f>IF(K160&lt;&gt;"","REVIEW SOURCE CONFLICT",IF(OR(ISNUMBER(SEARCH("CCB",D160)),ISNUMBER(SEARCH("Pending",D160))),"CCB/PENDING",IF(OR(ISNUMBER(SEARCH("Expired",D160)),ISNUMBER(SEARCH("Closed",D160))),"CLOSED/EXPIRED",IF(E160="","NO RELEASE DATE","REVIEW APPROVAL"))))</f>
        <v/>
      </c>
      <c r="N160" s="34">
        <f>IF(K160&lt;&gt;"","HIGH: SOURCE CONFLICT",IF(AND(L160="END DATE NOT PASSED",M160="REVIEW APPROVAL"),"HIGH: VERIFY",IF(L160="END DATE NOT PASSED","MEDIUM: CHECK STATUS","LOW: HISTORICAL")))</f>
        <v/>
      </c>
      <c r="O160" s="33" t="inlineStr">
        <is>
          <t>Validar documento firmado, revision/WO/sitio, material afectado y evidencia antes de activar alerta automatica.</t>
        </is>
      </c>
    </row>
    <row r="161">
      <c r="A161" s="43" t="inlineStr">
        <is>
          <t>CTANJZ04902</t>
        </is>
      </c>
      <c r="B161" s="43" t="inlineStr">
        <is>
          <t>D606660</t>
        </is>
      </c>
      <c r="C161" s="43" t="inlineStr">
        <is>
          <t>STBU</t>
        </is>
      </c>
      <c r="D161" s="43" t="inlineStr">
        <is>
          <t>Expired</t>
        </is>
      </c>
      <c r="E161" s="32" t="n">
        <v>45954</v>
      </c>
      <c r="F161" s="32" t="n">
        <v>46029</v>
      </c>
      <c r="G161" s="43" t="n">
        <v>1</v>
      </c>
      <c r="H161" s="43" t="n">
        <v>1</v>
      </c>
      <c r="I161" s="33" t="inlineStr">
        <is>
          <t>73-102482-02</t>
        </is>
      </c>
      <c r="J161" s="33" t="inlineStr"/>
      <c r="K161" s="33" t="inlineStr"/>
      <c r="L161" s="34">
        <f>IF(F161="","REVIEW: DATE CONFLICT/EMPTY",IF(F161&lt;'Change Overview'!$B$5,"END DATE PASSED","END DATE NOT PASSED"))</f>
        <v/>
      </c>
      <c r="M161" s="34">
        <f>IF(K161&lt;&gt;"","REVIEW SOURCE CONFLICT",IF(OR(ISNUMBER(SEARCH("CCB",D161)),ISNUMBER(SEARCH("Pending",D161))),"CCB/PENDING",IF(OR(ISNUMBER(SEARCH("Expired",D161)),ISNUMBER(SEARCH("Closed",D161))),"CLOSED/EXPIRED",IF(E161="","NO RELEASE DATE","REVIEW APPROVAL"))))</f>
        <v/>
      </c>
      <c r="N161" s="34">
        <f>IF(K161&lt;&gt;"","HIGH: SOURCE CONFLICT",IF(AND(L161="END DATE NOT PASSED",M161="REVIEW APPROVAL"),"HIGH: VERIFY",IF(L161="END DATE NOT PASSED","MEDIUM: CHECK STATUS","LOW: HISTORICAL")))</f>
        <v/>
      </c>
      <c r="O161" s="33" t="inlineStr">
        <is>
          <t>Validar documento firmado, revision/WO/sitio, material afectado y evidencia antes de activar alerta automatica.</t>
        </is>
      </c>
    </row>
    <row r="162">
      <c r="A162" s="43" t="inlineStr">
        <is>
          <t>CTANJZ04904</t>
        </is>
      </c>
      <c r="B162" s="43" t="inlineStr">
        <is>
          <t>D606915</t>
        </is>
      </c>
      <c r="C162" s="43" t="inlineStr">
        <is>
          <t>STBU</t>
        </is>
      </c>
      <c r="D162" s="43" t="inlineStr">
        <is>
          <t>Expired</t>
        </is>
      </c>
      <c r="E162" s="32" t="n">
        <v>45955</v>
      </c>
      <c r="F162" s="32" t="n">
        <v>46030</v>
      </c>
      <c r="G162" s="43" t="n">
        <v>7</v>
      </c>
      <c r="H162" s="43" t="n">
        <v>7</v>
      </c>
      <c r="I162" s="33" t="inlineStr">
        <is>
          <t>73-102433-04, 73-102433-05, 73-102434-04, 73-102434-05, 73-102435-04, 73-102435-05</t>
        </is>
      </c>
      <c r="J162" s="33" t="inlineStr"/>
      <c r="K162" s="33" t="inlineStr"/>
      <c r="L162" s="34">
        <f>IF(F162="","REVIEW: DATE CONFLICT/EMPTY",IF(F162&lt;'Change Overview'!$B$5,"END DATE PASSED","END DATE NOT PASSED"))</f>
        <v/>
      </c>
      <c r="M162" s="34">
        <f>IF(K162&lt;&gt;"","REVIEW SOURCE CONFLICT",IF(OR(ISNUMBER(SEARCH("CCB",D162)),ISNUMBER(SEARCH("Pending",D162))),"CCB/PENDING",IF(OR(ISNUMBER(SEARCH("Expired",D162)),ISNUMBER(SEARCH("Closed",D162))),"CLOSED/EXPIRED",IF(E162="","NO RELEASE DATE","REVIEW APPROVAL"))))</f>
        <v/>
      </c>
      <c r="N162" s="34">
        <f>IF(K162&lt;&gt;"","HIGH: SOURCE CONFLICT",IF(AND(L162="END DATE NOT PASSED",M162="REVIEW APPROVAL"),"HIGH: VERIFY",IF(L162="END DATE NOT PASSED","MEDIUM: CHECK STATUS","LOW: HISTORICAL")))</f>
        <v/>
      </c>
      <c r="O162" s="33" t="inlineStr">
        <is>
          <t>Validar documento firmado, revision/WO/sitio, material afectado y evidencia antes de activar alerta automatica.</t>
        </is>
      </c>
    </row>
    <row r="163">
      <c r="A163" s="43" t="inlineStr">
        <is>
          <t>CTANJZ04907</t>
        </is>
      </c>
      <c r="B163" s="43" t="inlineStr">
        <is>
          <t>D604685</t>
        </is>
      </c>
      <c r="C163" s="43" t="inlineStr">
        <is>
          <t>STBU</t>
        </is>
      </c>
      <c r="D163" s="43" t="inlineStr">
        <is>
          <t>Expired</t>
        </is>
      </c>
      <c r="E163" s="32" t="n"/>
      <c r="F163" s="32" t="n">
        <v>46030</v>
      </c>
      <c r="G163" s="43" t="n">
        <v>2</v>
      </c>
      <c r="H163" s="43" t="n">
        <v>2</v>
      </c>
      <c r="I163" s="33" t="inlineStr"/>
      <c r="J163" s="33" t="inlineStr"/>
      <c r="K163" s="33" t="inlineStr"/>
      <c r="L163" s="34">
        <f>IF(F163="","REVIEW: DATE CONFLICT/EMPTY",IF(F163&lt;'Change Overview'!$B$5,"END DATE PASSED","END DATE NOT PASSED"))</f>
        <v/>
      </c>
      <c r="M163" s="34">
        <f>IF(K163&lt;&gt;"","REVIEW SOURCE CONFLICT",IF(OR(ISNUMBER(SEARCH("CCB",D163)),ISNUMBER(SEARCH("Pending",D163))),"CCB/PENDING",IF(OR(ISNUMBER(SEARCH("Expired",D163)),ISNUMBER(SEARCH("Closed",D163))),"CLOSED/EXPIRED",IF(E163="","NO RELEASE DATE","REVIEW APPROVAL"))))</f>
        <v/>
      </c>
      <c r="N163" s="34">
        <f>IF(K163&lt;&gt;"","HIGH: SOURCE CONFLICT",IF(AND(L163="END DATE NOT PASSED",M163="REVIEW APPROVAL"),"HIGH: VERIFY",IF(L163="END DATE NOT PASSED","MEDIUM: CHECK STATUS","LOW: HISTORICAL")))</f>
        <v/>
      </c>
      <c r="O163" s="33" t="inlineStr">
        <is>
          <t>Validar documento firmado, revision/WO/sitio, material afectado y evidencia antes de activar alerta automatica.</t>
        </is>
      </c>
    </row>
    <row r="164">
      <c r="A164" s="43" t="inlineStr">
        <is>
          <t>CTANJZ04909</t>
        </is>
      </c>
      <c r="B164" s="43" t="inlineStr">
        <is>
          <t>D606967</t>
        </is>
      </c>
      <c r="C164" s="43" t="inlineStr">
        <is>
          <t>STBU</t>
        </is>
      </c>
      <c r="D164" s="43" t="inlineStr">
        <is>
          <t>Expired</t>
        </is>
      </c>
      <c r="E164" s="32" t="n">
        <v>45961</v>
      </c>
      <c r="F164" s="32" t="n">
        <v>46033</v>
      </c>
      <c r="G164" s="43" t="n">
        <v>7</v>
      </c>
      <c r="H164" s="43" t="n">
        <v>7</v>
      </c>
      <c r="I164" s="33" t="inlineStr"/>
      <c r="J164" s="33" t="inlineStr"/>
      <c r="K164" s="33" t="inlineStr"/>
      <c r="L164" s="34">
        <f>IF(F164="","REVIEW: DATE CONFLICT/EMPTY",IF(F164&lt;'Change Overview'!$B$5,"END DATE PASSED","END DATE NOT PASSED"))</f>
        <v/>
      </c>
      <c r="M164" s="34">
        <f>IF(K164&lt;&gt;"","REVIEW SOURCE CONFLICT",IF(OR(ISNUMBER(SEARCH("CCB",D164)),ISNUMBER(SEARCH("Pending",D164))),"CCB/PENDING",IF(OR(ISNUMBER(SEARCH("Expired",D164)),ISNUMBER(SEARCH("Closed",D164))),"CLOSED/EXPIRED",IF(E164="","NO RELEASE DATE","REVIEW APPROVAL"))))</f>
        <v/>
      </c>
      <c r="N164" s="34">
        <f>IF(K164&lt;&gt;"","HIGH: SOURCE CONFLICT",IF(AND(L164="END DATE NOT PASSED",M164="REVIEW APPROVAL"),"HIGH: VERIFY",IF(L164="END DATE NOT PASSED","MEDIUM: CHECK STATUS","LOW: HISTORICAL")))</f>
        <v/>
      </c>
      <c r="O164" s="33" t="inlineStr">
        <is>
          <t>Validar documento firmado, revision/WO/sitio, material afectado y evidencia antes de activar alerta automatica.</t>
        </is>
      </c>
    </row>
    <row r="165">
      <c r="A165" s="43" t="inlineStr">
        <is>
          <t>CTANJZ04914</t>
        </is>
      </c>
      <c r="B165" s="43" t="inlineStr">
        <is>
          <t>D606941</t>
        </is>
      </c>
      <c r="C165" s="43" t="inlineStr">
        <is>
          <t>STBU</t>
        </is>
      </c>
      <c r="D165" s="43" t="inlineStr">
        <is>
          <t>Expired</t>
        </is>
      </c>
      <c r="E165" s="32" t="n">
        <v>45961</v>
      </c>
      <c r="F165" s="32" t="n">
        <v>46034</v>
      </c>
      <c r="G165" s="43" t="n">
        <v>2</v>
      </c>
      <c r="H165" s="43" t="n">
        <v>2</v>
      </c>
      <c r="I165" s="33" t="inlineStr">
        <is>
          <t>73-103559-04, 73-103648-04</t>
        </is>
      </c>
      <c r="J165" s="33" t="inlineStr"/>
      <c r="K165" s="33" t="inlineStr"/>
      <c r="L165" s="34">
        <f>IF(F165="","REVIEW: DATE CONFLICT/EMPTY",IF(F165&lt;'Change Overview'!$B$5,"END DATE PASSED","END DATE NOT PASSED"))</f>
        <v/>
      </c>
      <c r="M165" s="34">
        <f>IF(K165&lt;&gt;"","REVIEW SOURCE CONFLICT",IF(OR(ISNUMBER(SEARCH("CCB",D165)),ISNUMBER(SEARCH("Pending",D165))),"CCB/PENDING",IF(OR(ISNUMBER(SEARCH("Expired",D165)),ISNUMBER(SEARCH("Closed",D165))),"CLOSED/EXPIRED",IF(E165="","NO RELEASE DATE","REVIEW APPROVAL"))))</f>
        <v/>
      </c>
      <c r="N165" s="34">
        <f>IF(K165&lt;&gt;"","HIGH: SOURCE CONFLICT",IF(AND(L165="END DATE NOT PASSED",M165="REVIEW APPROVAL"),"HIGH: VERIFY",IF(L165="END DATE NOT PASSED","MEDIUM: CHECK STATUS","LOW: HISTORICAL")))</f>
        <v/>
      </c>
      <c r="O165" s="33" t="inlineStr">
        <is>
          <t>Validar documento firmado, revision/WO/sitio, material afectado y evidencia antes de activar alerta automatica.</t>
        </is>
      </c>
    </row>
    <row r="166">
      <c r="A166" s="43" t="inlineStr">
        <is>
          <t>CTANJZ04915</t>
        </is>
      </c>
      <c r="B166" s="43" t="inlineStr">
        <is>
          <t>D606919</t>
        </is>
      </c>
      <c r="C166" s="43" t="inlineStr">
        <is>
          <t>STBU</t>
        </is>
      </c>
      <c r="D166" s="43" t="inlineStr">
        <is>
          <t>Expired</t>
        </is>
      </c>
      <c r="E166" s="32" t="n">
        <v>45966</v>
      </c>
      <c r="F166" s="32" t="n">
        <v>46036</v>
      </c>
      <c r="G166" s="43" t="n">
        <v>7</v>
      </c>
      <c r="H166" s="43" t="n">
        <v>7</v>
      </c>
      <c r="I166" s="33" t="inlineStr"/>
      <c r="J166" s="33" t="inlineStr"/>
      <c r="K166" s="33" t="inlineStr"/>
      <c r="L166" s="34">
        <f>IF(F166="","REVIEW: DATE CONFLICT/EMPTY",IF(F166&lt;'Change Overview'!$B$5,"END DATE PASSED","END DATE NOT PASSED"))</f>
        <v/>
      </c>
      <c r="M166" s="34">
        <f>IF(K166&lt;&gt;"","REVIEW SOURCE CONFLICT",IF(OR(ISNUMBER(SEARCH("CCB",D166)),ISNUMBER(SEARCH("Pending",D166))),"CCB/PENDING",IF(OR(ISNUMBER(SEARCH("Expired",D166)),ISNUMBER(SEARCH("Closed",D166))),"CLOSED/EXPIRED",IF(E166="","NO RELEASE DATE","REVIEW APPROVAL"))))</f>
        <v/>
      </c>
      <c r="N166" s="34">
        <f>IF(K166&lt;&gt;"","HIGH: SOURCE CONFLICT",IF(AND(L166="END DATE NOT PASSED",M166="REVIEW APPROVAL"),"HIGH: VERIFY",IF(L166="END DATE NOT PASSED","MEDIUM: CHECK STATUS","LOW: HISTORICAL")))</f>
        <v/>
      </c>
      <c r="O166" s="33" t="inlineStr">
        <is>
          <t>Validar documento firmado, revision/WO/sitio, material afectado y evidencia antes de activar alerta automatica.</t>
        </is>
      </c>
    </row>
    <row r="167">
      <c r="A167" s="43" t="inlineStr">
        <is>
          <t>CTANJZ04920</t>
        </is>
      </c>
      <c r="B167" s="43" t="inlineStr">
        <is>
          <t>D607129</t>
        </is>
      </c>
      <c r="C167" s="43" t="inlineStr">
        <is>
          <t>SRGBU</t>
        </is>
      </c>
      <c r="D167" s="43" t="inlineStr">
        <is>
          <t>Expired</t>
        </is>
      </c>
      <c r="E167" s="32" t="n">
        <v>45955</v>
      </c>
      <c r="F167" s="32" t="n">
        <v>46037</v>
      </c>
      <c r="G167" s="43" t="n">
        <v>1</v>
      </c>
      <c r="H167" s="43" t="n">
        <v>1</v>
      </c>
      <c r="I167" s="33" t="inlineStr"/>
      <c r="J167" s="33" t="inlineStr"/>
      <c r="K167" s="33" t="inlineStr"/>
      <c r="L167" s="34">
        <f>IF(F167="","REVIEW: DATE CONFLICT/EMPTY",IF(F167&lt;'Change Overview'!$B$5,"END DATE PASSED","END DATE NOT PASSED"))</f>
        <v/>
      </c>
      <c r="M167" s="34">
        <f>IF(K167&lt;&gt;"","REVIEW SOURCE CONFLICT",IF(OR(ISNUMBER(SEARCH("CCB",D167)),ISNUMBER(SEARCH("Pending",D167))),"CCB/PENDING",IF(OR(ISNUMBER(SEARCH("Expired",D167)),ISNUMBER(SEARCH("Closed",D167))),"CLOSED/EXPIRED",IF(E167="","NO RELEASE DATE","REVIEW APPROVAL"))))</f>
        <v/>
      </c>
      <c r="N167" s="34">
        <f>IF(K167&lt;&gt;"","HIGH: SOURCE CONFLICT",IF(AND(L167="END DATE NOT PASSED",M167="REVIEW APPROVAL"),"HIGH: VERIFY",IF(L167="END DATE NOT PASSED","MEDIUM: CHECK STATUS","LOW: HISTORICAL")))</f>
        <v/>
      </c>
      <c r="O167" s="33" t="inlineStr">
        <is>
          <t>Validar documento firmado, revision/WO/sitio, material afectado y evidencia antes de activar alerta automatica.</t>
        </is>
      </c>
    </row>
    <row r="168">
      <c r="A168" s="43" t="inlineStr">
        <is>
          <t>CTANJZ04921</t>
        </is>
      </c>
      <c r="B168" s="43" t="inlineStr">
        <is>
          <t>D607106</t>
        </is>
      </c>
      <c r="C168" s="43" t="inlineStr">
        <is>
          <t>STBU</t>
        </is>
      </c>
      <c r="D168" s="43" t="inlineStr">
        <is>
          <t>Expired</t>
        </is>
      </c>
      <c r="E168" s="32" t="n">
        <v>45966</v>
      </c>
      <c r="F168" s="32" t="n">
        <v>46037</v>
      </c>
      <c r="G168" s="43" t="n">
        <v>6</v>
      </c>
      <c r="H168" s="43" t="n">
        <v>6</v>
      </c>
      <c r="I168" s="33" t="inlineStr"/>
      <c r="J168" s="33" t="inlineStr"/>
      <c r="K168" s="33" t="inlineStr"/>
      <c r="L168" s="34">
        <f>IF(F168="","REVIEW: DATE CONFLICT/EMPTY",IF(F168&lt;'Change Overview'!$B$5,"END DATE PASSED","END DATE NOT PASSED"))</f>
        <v/>
      </c>
      <c r="M168" s="34">
        <f>IF(K168&lt;&gt;"","REVIEW SOURCE CONFLICT",IF(OR(ISNUMBER(SEARCH("CCB",D168)),ISNUMBER(SEARCH("Pending",D168))),"CCB/PENDING",IF(OR(ISNUMBER(SEARCH("Expired",D168)),ISNUMBER(SEARCH("Closed",D168))),"CLOSED/EXPIRED",IF(E168="","NO RELEASE DATE","REVIEW APPROVAL"))))</f>
        <v/>
      </c>
      <c r="N168" s="34">
        <f>IF(K168&lt;&gt;"","HIGH: SOURCE CONFLICT",IF(AND(L168="END DATE NOT PASSED",M168="REVIEW APPROVAL"),"HIGH: VERIFY",IF(L168="END DATE NOT PASSED","MEDIUM: CHECK STATUS","LOW: HISTORICAL")))</f>
        <v/>
      </c>
      <c r="O168" s="33" t="inlineStr">
        <is>
          <t>Validar documento firmado, revision/WO/sitio, material afectado y evidencia antes de activar alerta automatica.</t>
        </is>
      </c>
    </row>
    <row r="169">
      <c r="A169" s="43" t="inlineStr">
        <is>
          <t>CTANJZ04922</t>
        </is>
      </c>
      <c r="B169" s="43" t="inlineStr">
        <is>
          <t>D607082</t>
        </is>
      </c>
      <c r="C169" s="43" t="inlineStr">
        <is>
          <t>STBU</t>
        </is>
      </c>
      <c r="D169" s="43" t="inlineStr">
        <is>
          <t>Expired</t>
        </is>
      </c>
      <c r="E169" s="32" t="n">
        <v>45976</v>
      </c>
      <c r="F169" s="32" t="n">
        <v>46036</v>
      </c>
      <c r="G169" s="43" t="n">
        <v>7</v>
      </c>
      <c r="H169" s="43" t="n">
        <v>7</v>
      </c>
      <c r="I169" s="33" t="inlineStr"/>
      <c r="J169" s="33" t="inlineStr"/>
      <c r="K169" s="33" t="inlineStr"/>
      <c r="L169" s="34">
        <f>IF(F169="","REVIEW: DATE CONFLICT/EMPTY",IF(F169&lt;'Change Overview'!$B$5,"END DATE PASSED","END DATE NOT PASSED"))</f>
        <v/>
      </c>
      <c r="M169" s="34">
        <f>IF(K169&lt;&gt;"","REVIEW SOURCE CONFLICT",IF(OR(ISNUMBER(SEARCH("CCB",D169)),ISNUMBER(SEARCH("Pending",D169))),"CCB/PENDING",IF(OR(ISNUMBER(SEARCH("Expired",D169)),ISNUMBER(SEARCH("Closed",D169))),"CLOSED/EXPIRED",IF(E169="","NO RELEASE DATE","REVIEW APPROVAL"))))</f>
        <v/>
      </c>
      <c r="N169" s="34">
        <f>IF(K169&lt;&gt;"","HIGH: SOURCE CONFLICT",IF(AND(L169="END DATE NOT PASSED",M169="REVIEW APPROVAL"),"HIGH: VERIFY",IF(L169="END DATE NOT PASSED","MEDIUM: CHECK STATUS","LOW: HISTORICAL")))</f>
        <v/>
      </c>
      <c r="O169" s="33" t="inlineStr">
        <is>
          <t>Validar documento firmado, revision/WO/sitio, material afectado y evidencia antes de activar alerta automatica.</t>
        </is>
      </c>
    </row>
    <row r="170">
      <c r="A170" s="43" t="inlineStr">
        <is>
          <t>CTANJZ04923</t>
        </is>
      </c>
      <c r="B170" s="43" t="inlineStr">
        <is>
          <t>D607132</t>
        </is>
      </c>
      <c r="C170" s="43" t="inlineStr">
        <is>
          <t>STBU</t>
        </is>
      </c>
      <c r="D170" s="43" t="inlineStr">
        <is>
          <t>Expired</t>
        </is>
      </c>
      <c r="E170" s="32" t="n">
        <v>45966</v>
      </c>
      <c r="F170" s="32" t="n">
        <v>46037</v>
      </c>
      <c r="G170" s="43" t="n">
        <v>5</v>
      </c>
      <c r="H170" s="43" t="n">
        <v>5</v>
      </c>
      <c r="I170" s="33" t="inlineStr"/>
      <c r="J170" s="33" t="inlineStr"/>
      <c r="K170" s="33" t="inlineStr"/>
      <c r="L170" s="34">
        <f>IF(F170="","REVIEW: DATE CONFLICT/EMPTY",IF(F170&lt;'Change Overview'!$B$5,"END DATE PASSED","END DATE NOT PASSED"))</f>
        <v/>
      </c>
      <c r="M170" s="34">
        <f>IF(K170&lt;&gt;"","REVIEW SOURCE CONFLICT",IF(OR(ISNUMBER(SEARCH("CCB",D170)),ISNUMBER(SEARCH("Pending",D170))),"CCB/PENDING",IF(OR(ISNUMBER(SEARCH("Expired",D170)),ISNUMBER(SEARCH("Closed",D170))),"CLOSED/EXPIRED",IF(E170="","NO RELEASE DATE","REVIEW APPROVAL"))))</f>
        <v/>
      </c>
      <c r="N170" s="34">
        <f>IF(K170&lt;&gt;"","HIGH: SOURCE CONFLICT",IF(AND(L170="END DATE NOT PASSED",M170="REVIEW APPROVAL"),"HIGH: VERIFY",IF(L170="END DATE NOT PASSED","MEDIUM: CHECK STATUS","LOW: HISTORICAL")))</f>
        <v/>
      </c>
      <c r="O170" s="33" t="inlineStr">
        <is>
          <t>Validar documento firmado, revision/WO/sitio, material afectado y evidencia antes de activar alerta automatica.</t>
        </is>
      </c>
    </row>
    <row r="171">
      <c r="A171" s="43" t="inlineStr">
        <is>
          <t>CTANJZ04941</t>
        </is>
      </c>
      <c r="B171" s="43" t="inlineStr">
        <is>
          <t>D607408</t>
        </is>
      </c>
      <c r="C171" s="43" t="inlineStr">
        <is>
          <t>SRGBU</t>
        </is>
      </c>
      <c r="D171" s="43" t="inlineStr">
        <is>
          <t>Expired</t>
        </is>
      </c>
      <c r="E171" s="32" t="n">
        <v>45975</v>
      </c>
      <c r="F171" s="32" t="n">
        <v>46050</v>
      </c>
      <c r="G171" s="43" t="n">
        <v>2</v>
      </c>
      <c r="H171" s="43" t="n">
        <v>2</v>
      </c>
      <c r="I171" s="33" t="inlineStr"/>
      <c r="J171" s="33" t="inlineStr"/>
      <c r="K171" s="33" t="inlineStr"/>
      <c r="L171" s="34">
        <f>IF(F171="","REVIEW: DATE CONFLICT/EMPTY",IF(F171&lt;'Change Overview'!$B$5,"END DATE PASSED","END DATE NOT PASSED"))</f>
        <v/>
      </c>
      <c r="M171" s="34">
        <f>IF(K171&lt;&gt;"","REVIEW SOURCE CONFLICT",IF(OR(ISNUMBER(SEARCH("CCB",D171)),ISNUMBER(SEARCH("Pending",D171))),"CCB/PENDING",IF(OR(ISNUMBER(SEARCH("Expired",D171)),ISNUMBER(SEARCH("Closed",D171))),"CLOSED/EXPIRED",IF(E171="","NO RELEASE DATE","REVIEW APPROVAL"))))</f>
        <v/>
      </c>
      <c r="N171" s="34">
        <f>IF(K171&lt;&gt;"","HIGH: SOURCE CONFLICT",IF(AND(L171="END DATE NOT PASSED",M171="REVIEW APPROVAL"),"HIGH: VERIFY",IF(L171="END DATE NOT PASSED","MEDIUM: CHECK STATUS","LOW: HISTORICAL")))</f>
        <v/>
      </c>
      <c r="O171" s="33" t="inlineStr">
        <is>
          <t>Validar documento firmado, revision/WO/sitio, material afectado y evidencia antes de activar alerta automatica.</t>
        </is>
      </c>
    </row>
    <row r="172">
      <c r="A172" s="43" t="inlineStr">
        <is>
          <t>CTANJZ04942</t>
        </is>
      </c>
      <c r="B172" s="43" t="inlineStr">
        <is>
          <t>D607246</t>
        </is>
      </c>
      <c r="C172" s="43" t="inlineStr">
        <is>
          <t>SRGBU</t>
        </is>
      </c>
      <c r="D172" s="43" t="inlineStr">
        <is>
          <t>Expired</t>
        </is>
      </c>
      <c r="E172" s="32" t="n">
        <v>45975</v>
      </c>
      <c r="F172" s="32" t="n">
        <v>46050</v>
      </c>
      <c r="G172" s="43" t="n">
        <v>8</v>
      </c>
      <c r="H172" s="43" t="n">
        <v>8</v>
      </c>
      <c r="I172" s="33" t="inlineStr"/>
      <c r="J172" s="33" t="inlineStr"/>
      <c r="K172" s="33" t="inlineStr"/>
      <c r="L172" s="34">
        <f>IF(F172="","REVIEW: DATE CONFLICT/EMPTY",IF(F172&lt;'Change Overview'!$B$5,"END DATE PASSED","END DATE NOT PASSED"))</f>
        <v/>
      </c>
      <c r="M172" s="34">
        <f>IF(K172&lt;&gt;"","REVIEW SOURCE CONFLICT",IF(OR(ISNUMBER(SEARCH("CCB",D172)),ISNUMBER(SEARCH("Pending",D172))),"CCB/PENDING",IF(OR(ISNUMBER(SEARCH("Expired",D172)),ISNUMBER(SEARCH("Closed",D172))),"CLOSED/EXPIRED",IF(E172="","NO RELEASE DATE","REVIEW APPROVAL"))))</f>
        <v/>
      </c>
      <c r="N172" s="34">
        <f>IF(K172&lt;&gt;"","HIGH: SOURCE CONFLICT",IF(AND(L172="END DATE NOT PASSED",M172="REVIEW APPROVAL"),"HIGH: VERIFY",IF(L172="END DATE NOT PASSED","MEDIUM: CHECK STATUS","LOW: HISTORICAL")))</f>
        <v/>
      </c>
      <c r="O172" s="33" t="inlineStr">
        <is>
          <t>Validar documento firmado, revision/WO/sitio, material afectado y evidencia antes de activar alerta automatica.</t>
        </is>
      </c>
    </row>
    <row r="173">
      <c r="A173" s="43" t="inlineStr">
        <is>
          <t>CTANJZ04943</t>
        </is>
      </c>
      <c r="B173" s="43" t="inlineStr">
        <is>
          <t>D607210</t>
        </is>
      </c>
      <c r="C173" s="43" t="inlineStr">
        <is>
          <t>SRGBU</t>
        </is>
      </c>
      <c r="D173" s="43" t="inlineStr">
        <is>
          <t>Expired</t>
        </is>
      </c>
      <c r="E173" s="32" t="n">
        <v>45975</v>
      </c>
      <c r="F173" s="32" t="n">
        <v>46229</v>
      </c>
      <c r="G173" s="43" t="n">
        <v>2</v>
      </c>
      <c r="H173" s="43" t="n">
        <v>2</v>
      </c>
      <c r="I173" s="33" t="inlineStr"/>
      <c r="J173" s="33" t="inlineStr"/>
      <c r="K173" s="33" t="inlineStr"/>
      <c r="L173" s="34">
        <f>IF(F173="","REVIEW: DATE CONFLICT/EMPTY",IF(F173&lt;'Change Overview'!$B$5,"END DATE PASSED","END DATE NOT PASSED"))</f>
        <v/>
      </c>
      <c r="M173" s="34">
        <f>IF(K173&lt;&gt;"","REVIEW SOURCE CONFLICT",IF(OR(ISNUMBER(SEARCH("CCB",D173)),ISNUMBER(SEARCH("Pending",D173))),"CCB/PENDING",IF(OR(ISNUMBER(SEARCH("Expired",D173)),ISNUMBER(SEARCH("Closed",D173))),"CLOSED/EXPIRED",IF(E173="","NO RELEASE DATE","REVIEW APPROVAL"))))</f>
        <v/>
      </c>
      <c r="N173" s="34">
        <f>IF(K173&lt;&gt;"","HIGH: SOURCE CONFLICT",IF(AND(L173="END DATE NOT PASSED",M173="REVIEW APPROVAL"),"HIGH: VERIFY",IF(L173="END DATE NOT PASSED","MEDIUM: CHECK STATUS","LOW: HISTORICAL")))</f>
        <v/>
      </c>
      <c r="O173" s="33" t="inlineStr">
        <is>
          <t>Validar documento firmado, revision/WO/sitio, material afectado y evidencia antes de activar alerta automatica.</t>
        </is>
      </c>
    </row>
    <row r="174">
      <c r="A174" s="43" t="inlineStr">
        <is>
          <t>CTANJZ04944</t>
        </is>
      </c>
      <c r="B174" s="43" t="inlineStr">
        <is>
          <t>DP525176</t>
        </is>
      </c>
      <c r="C174" s="43" t="inlineStr">
        <is>
          <t>STBU</t>
        </is>
      </c>
      <c r="D174" s="43" t="inlineStr">
        <is>
          <t>Expired</t>
        </is>
      </c>
      <c r="E174" s="32" t="n">
        <v>45982</v>
      </c>
      <c r="F174" s="32" t="n">
        <v>46020</v>
      </c>
      <c r="G174" s="43" t="n">
        <v>8</v>
      </c>
      <c r="H174" s="43" t="n">
        <v>8</v>
      </c>
      <c r="I174" s="33" t="inlineStr"/>
      <c r="J174" s="33" t="inlineStr"/>
      <c r="K174" s="33" t="inlineStr"/>
      <c r="L174" s="34">
        <f>IF(F174="","REVIEW: DATE CONFLICT/EMPTY",IF(F174&lt;'Change Overview'!$B$5,"END DATE PASSED","END DATE NOT PASSED"))</f>
        <v/>
      </c>
      <c r="M174" s="34">
        <f>IF(K174&lt;&gt;"","REVIEW SOURCE CONFLICT",IF(OR(ISNUMBER(SEARCH("CCB",D174)),ISNUMBER(SEARCH("Pending",D174))),"CCB/PENDING",IF(OR(ISNUMBER(SEARCH("Expired",D174)),ISNUMBER(SEARCH("Closed",D174))),"CLOSED/EXPIRED",IF(E174="","NO RELEASE DATE","REVIEW APPROVAL"))))</f>
        <v/>
      </c>
      <c r="N174" s="34">
        <f>IF(K174&lt;&gt;"","HIGH: SOURCE CONFLICT",IF(AND(L174="END DATE NOT PASSED",M174="REVIEW APPROVAL"),"HIGH: VERIFY",IF(L174="END DATE NOT PASSED","MEDIUM: CHECK STATUS","LOW: HISTORICAL")))</f>
        <v/>
      </c>
      <c r="O174" s="33" t="inlineStr">
        <is>
          <t>Validar documento firmado, revision/WO/sitio, material afectado y evidencia antes de activar alerta automatica.</t>
        </is>
      </c>
    </row>
    <row r="175">
      <c r="A175" s="43" t="inlineStr">
        <is>
          <t>CTANJZ04945</t>
        </is>
      </c>
      <c r="B175" s="43" t="inlineStr">
        <is>
          <t>D607354</t>
        </is>
      </c>
      <c r="C175" s="43" t="inlineStr">
        <is>
          <t>STBU</t>
        </is>
      </c>
      <c r="D175" s="43" t="inlineStr">
        <is>
          <t>Expired</t>
        </is>
      </c>
      <c r="E175" s="32" t="n">
        <v>45990</v>
      </c>
      <c r="F175" s="32" t="n">
        <v>46050</v>
      </c>
      <c r="G175" s="43" t="n">
        <v>7</v>
      </c>
      <c r="H175" s="43" t="n">
        <v>7</v>
      </c>
      <c r="I175" s="33" t="inlineStr"/>
      <c r="J175" s="33" t="inlineStr"/>
      <c r="K175" s="33" t="inlineStr"/>
      <c r="L175" s="34">
        <f>IF(F175="","REVIEW: DATE CONFLICT/EMPTY",IF(F175&lt;'Change Overview'!$B$5,"END DATE PASSED","END DATE NOT PASSED"))</f>
        <v/>
      </c>
      <c r="M175" s="34">
        <f>IF(K175&lt;&gt;"","REVIEW SOURCE CONFLICT",IF(OR(ISNUMBER(SEARCH("CCB",D175)),ISNUMBER(SEARCH("Pending",D175))),"CCB/PENDING",IF(OR(ISNUMBER(SEARCH("Expired",D175)),ISNUMBER(SEARCH("Closed",D175))),"CLOSED/EXPIRED",IF(E175="","NO RELEASE DATE","REVIEW APPROVAL"))))</f>
        <v/>
      </c>
      <c r="N175" s="34">
        <f>IF(K175&lt;&gt;"","HIGH: SOURCE CONFLICT",IF(AND(L175="END DATE NOT PASSED",M175="REVIEW APPROVAL"),"HIGH: VERIFY",IF(L175="END DATE NOT PASSED","MEDIUM: CHECK STATUS","LOW: HISTORICAL")))</f>
        <v/>
      </c>
      <c r="O175" s="33" t="inlineStr">
        <is>
          <t>Validar documento firmado, revision/WO/sitio, material afectado y evidencia antes de activar alerta automatica.</t>
        </is>
      </c>
    </row>
    <row r="176">
      <c r="A176" s="43" t="inlineStr">
        <is>
          <t>CTANJZ04950</t>
        </is>
      </c>
      <c r="B176" s="43" t="inlineStr">
        <is>
          <t>D607497</t>
        </is>
      </c>
      <c r="C176" s="43" t="inlineStr">
        <is>
          <t>STBU</t>
        </is>
      </c>
      <c r="D176" s="43" t="inlineStr">
        <is>
          <t>Expired</t>
        </is>
      </c>
      <c r="E176" s="32" t="n">
        <v>46002</v>
      </c>
      <c r="F176" s="32" t="n">
        <v>46054</v>
      </c>
      <c r="G176" s="43" t="n">
        <v>6</v>
      </c>
      <c r="H176" s="43" t="n">
        <v>6</v>
      </c>
      <c r="I176" s="33" t="inlineStr"/>
      <c r="J176" s="33" t="inlineStr"/>
      <c r="K176" s="33" t="inlineStr"/>
      <c r="L176" s="34">
        <f>IF(F176="","REVIEW: DATE CONFLICT/EMPTY",IF(F176&lt;'Change Overview'!$B$5,"END DATE PASSED","END DATE NOT PASSED"))</f>
        <v/>
      </c>
      <c r="M176" s="34">
        <f>IF(K176&lt;&gt;"","REVIEW SOURCE CONFLICT",IF(OR(ISNUMBER(SEARCH("CCB",D176)),ISNUMBER(SEARCH("Pending",D176))),"CCB/PENDING",IF(OR(ISNUMBER(SEARCH("Expired",D176)),ISNUMBER(SEARCH("Closed",D176))),"CLOSED/EXPIRED",IF(E176="","NO RELEASE DATE","REVIEW APPROVAL"))))</f>
        <v/>
      </c>
      <c r="N176" s="34">
        <f>IF(K176&lt;&gt;"","HIGH: SOURCE CONFLICT",IF(AND(L176="END DATE NOT PASSED",M176="REVIEW APPROVAL"),"HIGH: VERIFY",IF(L176="END DATE NOT PASSED","MEDIUM: CHECK STATUS","LOW: HISTORICAL")))</f>
        <v/>
      </c>
      <c r="O176" s="33" t="inlineStr">
        <is>
          <t>Validar documento firmado, revision/WO/sitio, material afectado y evidencia antes de activar alerta automatica.</t>
        </is>
      </c>
    </row>
    <row r="177">
      <c r="A177" s="43" t="inlineStr">
        <is>
          <t>CTANJZ04959</t>
        </is>
      </c>
      <c r="B177" s="43" t="inlineStr">
        <is>
          <t>D607626</t>
        </is>
      </c>
      <c r="C177" s="43" t="inlineStr">
        <is>
          <t>CVEBU</t>
        </is>
      </c>
      <c r="D177" s="43" t="inlineStr">
        <is>
          <t>Expired</t>
        </is>
      </c>
      <c r="E177" s="32" t="n">
        <v>45981</v>
      </c>
      <c r="F177" s="32" t="n">
        <v>46063</v>
      </c>
      <c r="G177" s="43" t="n">
        <v>2</v>
      </c>
      <c r="H177" s="43" t="n">
        <v>2</v>
      </c>
      <c r="I177" s="33" t="inlineStr"/>
      <c r="J177" s="33" t="inlineStr"/>
      <c r="K177" s="33" t="inlineStr"/>
      <c r="L177" s="34">
        <f>IF(F177="","REVIEW: DATE CONFLICT/EMPTY",IF(F177&lt;'Change Overview'!$B$5,"END DATE PASSED","END DATE NOT PASSED"))</f>
        <v/>
      </c>
      <c r="M177" s="34">
        <f>IF(K177&lt;&gt;"","REVIEW SOURCE CONFLICT",IF(OR(ISNUMBER(SEARCH("CCB",D177)),ISNUMBER(SEARCH("Pending",D177))),"CCB/PENDING",IF(OR(ISNUMBER(SEARCH("Expired",D177)),ISNUMBER(SEARCH("Closed",D177))),"CLOSED/EXPIRED",IF(E177="","NO RELEASE DATE","REVIEW APPROVAL"))))</f>
        <v/>
      </c>
      <c r="N177" s="34">
        <f>IF(K177&lt;&gt;"","HIGH: SOURCE CONFLICT",IF(AND(L177="END DATE NOT PASSED",M177="REVIEW APPROVAL"),"HIGH: VERIFY",IF(L177="END DATE NOT PASSED","MEDIUM: CHECK STATUS","LOW: HISTORICAL")))</f>
        <v/>
      </c>
      <c r="O177" s="33" t="inlineStr">
        <is>
          <t>Validar documento firmado, revision/WO/sitio, material afectado y evidencia antes de activar alerta automatica.</t>
        </is>
      </c>
    </row>
    <row r="178">
      <c r="A178" s="43" t="inlineStr">
        <is>
          <t>CTANJZ04960</t>
        </is>
      </c>
      <c r="B178" s="43" t="inlineStr">
        <is>
          <t>DP524662</t>
        </is>
      </c>
      <c r="C178" s="43" t="inlineStr">
        <is>
          <t>STBU</t>
        </is>
      </c>
      <c r="D178" s="43" t="inlineStr">
        <is>
          <t>Expired</t>
        </is>
      </c>
      <c r="E178" s="32" t="n"/>
      <c r="F178" s="32" t="n">
        <v>46031</v>
      </c>
      <c r="G178" s="43" t="n">
        <v>1</v>
      </c>
      <c r="H178" s="43" t="n">
        <v>1</v>
      </c>
      <c r="I178" s="33" t="inlineStr">
        <is>
          <t>73-103648-03</t>
        </is>
      </c>
      <c r="J178" s="33" t="inlineStr"/>
      <c r="K178" s="33" t="inlineStr"/>
      <c r="L178" s="34">
        <f>IF(F178="","REVIEW: DATE CONFLICT/EMPTY",IF(F178&lt;'Change Overview'!$B$5,"END DATE PASSED","END DATE NOT PASSED"))</f>
        <v/>
      </c>
      <c r="M178" s="34">
        <f>IF(K178&lt;&gt;"","REVIEW SOURCE CONFLICT",IF(OR(ISNUMBER(SEARCH("CCB",D178)),ISNUMBER(SEARCH("Pending",D178))),"CCB/PENDING",IF(OR(ISNUMBER(SEARCH("Expired",D178)),ISNUMBER(SEARCH("Closed",D178))),"CLOSED/EXPIRED",IF(E178="","NO RELEASE DATE","REVIEW APPROVAL"))))</f>
        <v/>
      </c>
      <c r="N178" s="34">
        <f>IF(K178&lt;&gt;"","HIGH: SOURCE CONFLICT",IF(AND(L178="END DATE NOT PASSED",M178="REVIEW APPROVAL"),"HIGH: VERIFY",IF(L178="END DATE NOT PASSED","MEDIUM: CHECK STATUS","LOW: HISTORICAL")))</f>
        <v/>
      </c>
      <c r="O178" s="33" t="inlineStr">
        <is>
          <t>Validar documento firmado, revision/WO/sitio, material afectado y evidencia antes de activar alerta automatica.</t>
        </is>
      </c>
    </row>
    <row r="179">
      <c r="A179" s="43" t="inlineStr">
        <is>
          <t>CTANJZ04962</t>
        </is>
      </c>
      <c r="B179" s="43" t="inlineStr">
        <is>
          <t>DP525527</t>
        </is>
      </c>
      <c r="C179" s="43" t="inlineStr">
        <is>
          <t>IOTBU</t>
        </is>
      </c>
      <c r="D179" s="43" t="inlineStr">
        <is>
          <t>Expired</t>
        </is>
      </c>
      <c r="E179" s="32" t="n">
        <v>46000</v>
      </c>
      <c r="F179" s="32" t="n">
        <v>46034</v>
      </c>
      <c r="G179" s="43" t="n">
        <v>2</v>
      </c>
      <c r="H179" s="43" t="n">
        <v>2</v>
      </c>
      <c r="I179" s="33" t="inlineStr">
        <is>
          <t>73-101441-05</t>
        </is>
      </c>
      <c r="J179" s="33" t="inlineStr"/>
      <c r="K179" s="33" t="inlineStr"/>
      <c r="L179" s="34">
        <f>IF(F179="","REVIEW: DATE CONFLICT/EMPTY",IF(F179&lt;'Change Overview'!$B$5,"END DATE PASSED","END DATE NOT PASSED"))</f>
        <v/>
      </c>
      <c r="M179" s="34">
        <f>IF(K179&lt;&gt;"","REVIEW SOURCE CONFLICT",IF(OR(ISNUMBER(SEARCH("CCB",D179)),ISNUMBER(SEARCH("Pending",D179))),"CCB/PENDING",IF(OR(ISNUMBER(SEARCH("Expired",D179)),ISNUMBER(SEARCH("Closed",D179))),"CLOSED/EXPIRED",IF(E179="","NO RELEASE DATE","REVIEW APPROVAL"))))</f>
        <v/>
      </c>
      <c r="N179" s="34">
        <f>IF(K179&lt;&gt;"","HIGH: SOURCE CONFLICT",IF(AND(L179="END DATE NOT PASSED",M179="REVIEW APPROVAL"),"HIGH: VERIFY",IF(L179="END DATE NOT PASSED","MEDIUM: CHECK STATUS","LOW: HISTORICAL")))</f>
        <v/>
      </c>
      <c r="O179" s="33" t="inlineStr">
        <is>
          <t>Validar documento firmado, revision/WO/sitio, material afectado y evidencia antes de activar alerta automatica.</t>
        </is>
      </c>
    </row>
    <row r="180">
      <c r="A180" s="43" t="inlineStr">
        <is>
          <t>CTANJZ04963</t>
        </is>
      </c>
      <c r="B180" s="43" t="inlineStr">
        <is>
          <t>D607703</t>
        </is>
      </c>
      <c r="C180" s="43" t="inlineStr">
        <is>
          <t>SRGBU</t>
        </is>
      </c>
      <c r="D180" s="43" t="inlineStr">
        <is>
          <t>Expired</t>
        </is>
      </c>
      <c r="E180" s="32" t="n">
        <v>45981</v>
      </c>
      <c r="F180" s="32" t="n">
        <v>46064</v>
      </c>
      <c r="G180" s="43" t="n">
        <v>1</v>
      </c>
      <c r="H180" s="43" t="n">
        <v>1</v>
      </c>
      <c r="I180" s="33" t="inlineStr"/>
      <c r="J180" s="33" t="inlineStr"/>
      <c r="K180" s="33" t="inlineStr"/>
      <c r="L180" s="34">
        <f>IF(F180="","REVIEW: DATE CONFLICT/EMPTY",IF(F180&lt;'Change Overview'!$B$5,"END DATE PASSED","END DATE NOT PASSED"))</f>
        <v/>
      </c>
      <c r="M180" s="34">
        <f>IF(K180&lt;&gt;"","REVIEW SOURCE CONFLICT",IF(OR(ISNUMBER(SEARCH("CCB",D180)),ISNUMBER(SEARCH("Pending",D180))),"CCB/PENDING",IF(OR(ISNUMBER(SEARCH("Expired",D180)),ISNUMBER(SEARCH("Closed",D180))),"CLOSED/EXPIRED",IF(E180="","NO RELEASE DATE","REVIEW APPROVAL"))))</f>
        <v/>
      </c>
      <c r="N180" s="34">
        <f>IF(K180&lt;&gt;"","HIGH: SOURCE CONFLICT",IF(AND(L180="END DATE NOT PASSED",M180="REVIEW APPROVAL"),"HIGH: VERIFY",IF(L180="END DATE NOT PASSED","MEDIUM: CHECK STATUS","LOW: HISTORICAL")))</f>
        <v/>
      </c>
      <c r="O180" s="33" t="inlineStr">
        <is>
          <t>Validar documento firmado, revision/WO/sitio, material afectado y evidencia antes de activar alerta automatica.</t>
        </is>
      </c>
    </row>
    <row r="181">
      <c r="A181" s="43" t="inlineStr">
        <is>
          <t>CTANJZ04965</t>
        </is>
      </c>
      <c r="B181" s="43" t="inlineStr">
        <is>
          <t>D607679</t>
        </is>
      </c>
      <c r="C181" s="43" t="inlineStr">
        <is>
          <t>CVEBU</t>
        </is>
      </c>
      <c r="D181" s="43" t="inlineStr">
        <is>
          <t>Expired</t>
        </is>
      </c>
      <c r="E181" s="32" t="n">
        <v>46000</v>
      </c>
      <c r="F181" s="32" t="n">
        <v>46064</v>
      </c>
      <c r="G181" s="43" t="n">
        <v>1</v>
      </c>
      <c r="H181" s="43" t="n">
        <v>1</v>
      </c>
      <c r="I181" s="33" t="inlineStr"/>
      <c r="J181" s="33" t="inlineStr"/>
      <c r="K181" s="33" t="inlineStr"/>
      <c r="L181" s="34">
        <f>IF(F181="","REVIEW: DATE CONFLICT/EMPTY",IF(F181&lt;'Change Overview'!$B$5,"END DATE PASSED","END DATE NOT PASSED"))</f>
        <v/>
      </c>
      <c r="M181" s="34">
        <f>IF(K181&lt;&gt;"","REVIEW SOURCE CONFLICT",IF(OR(ISNUMBER(SEARCH("CCB",D181)),ISNUMBER(SEARCH("Pending",D181))),"CCB/PENDING",IF(OR(ISNUMBER(SEARCH("Expired",D181)),ISNUMBER(SEARCH("Closed",D181))),"CLOSED/EXPIRED",IF(E181="","NO RELEASE DATE","REVIEW APPROVAL"))))</f>
        <v/>
      </c>
      <c r="N181" s="34">
        <f>IF(K181&lt;&gt;"","HIGH: SOURCE CONFLICT",IF(AND(L181="END DATE NOT PASSED",M181="REVIEW APPROVAL"),"HIGH: VERIFY",IF(L181="END DATE NOT PASSED","MEDIUM: CHECK STATUS","LOW: HISTORICAL")))</f>
        <v/>
      </c>
      <c r="O181" s="33" t="inlineStr">
        <is>
          <t>Validar documento firmado, revision/WO/sitio, material afectado y evidencia antes de activar alerta automatica.</t>
        </is>
      </c>
    </row>
    <row r="182">
      <c r="A182" s="43" t="inlineStr">
        <is>
          <t>CTANJZ04967</t>
        </is>
      </c>
      <c r="B182" s="43" t="inlineStr">
        <is>
          <t>D607705</t>
        </is>
      </c>
      <c r="C182" s="43" t="inlineStr">
        <is>
          <t>STBU</t>
        </is>
      </c>
      <c r="D182" s="43" t="inlineStr">
        <is>
          <t>Expired</t>
        </is>
      </c>
      <c r="E182" s="32" t="n">
        <v>46035</v>
      </c>
      <c r="F182" s="32" t="n">
        <v>46069</v>
      </c>
      <c r="G182" s="43" t="n">
        <v>6</v>
      </c>
      <c r="H182" s="43" t="n">
        <v>6</v>
      </c>
      <c r="I182" s="33" t="inlineStr">
        <is>
          <t>73-103558-04, 73-103633-04</t>
        </is>
      </c>
      <c r="J182" s="33" t="inlineStr"/>
      <c r="K182" s="33" t="inlineStr"/>
      <c r="L182" s="34">
        <f>IF(F182="","REVIEW: DATE CONFLICT/EMPTY",IF(F182&lt;'Change Overview'!$B$5,"END DATE PASSED","END DATE NOT PASSED"))</f>
        <v/>
      </c>
      <c r="M182" s="34">
        <f>IF(K182&lt;&gt;"","REVIEW SOURCE CONFLICT",IF(OR(ISNUMBER(SEARCH("CCB",D182)),ISNUMBER(SEARCH("Pending",D182))),"CCB/PENDING",IF(OR(ISNUMBER(SEARCH("Expired",D182)),ISNUMBER(SEARCH("Closed",D182))),"CLOSED/EXPIRED",IF(E182="","NO RELEASE DATE","REVIEW APPROVAL"))))</f>
        <v/>
      </c>
      <c r="N182" s="34">
        <f>IF(K182&lt;&gt;"","HIGH: SOURCE CONFLICT",IF(AND(L182="END DATE NOT PASSED",M182="REVIEW APPROVAL"),"HIGH: VERIFY",IF(L182="END DATE NOT PASSED","MEDIUM: CHECK STATUS","LOW: HISTORICAL")))</f>
        <v/>
      </c>
      <c r="O182" s="33" t="inlineStr">
        <is>
          <t>Validar documento firmado, revision/WO/sitio, material afectado y evidencia antes de activar alerta automatica.</t>
        </is>
      </c>
    </row>
    <row r="183">
      <c r="A183" s="43" t="inlineStr">
        <is>
          <t>CTANJZ04968</t>
        </is>
      </c>
      <c r="B183" s="43" t="inlineStr">
        <is>
          <t>D607803</t>
        </is>
      </c>
      <c r="C183" s="43" t="inlineStr">
        <is>
          <t>SRGBU</t>
        </is>
      </c>
      <c r="D183" s="43" t="inlineStr">
        <is>
          <t>Expired</t>
        </is>
      </c>
      <c r="E183" s="32" t="n">
        <v>45982</v>
      </c>
      <c r="F183" s="32" t="n">
        <v>46069</v>
      </c>
      <c r="G183" s="43" t="n">
        <v>1</v>
      </c>
      <c r="H183" s="43" t="n">
        <v>1</v>
      </c>
      <c r="I183" s="33" t="inlineStr"/>
      <c r="J183" s="33" t="inlineStr"/>
      <c r="K183" s="33" t="inlineStr"/>
      <c r="L183" s="34">
        <f>IF(F183="","REVIEW: DATE CONFLICT/EMPTY",IF(F183&lt;'Change Overview'!$B$5,"END DATE PASSED","END DATE NOT PASSED"))</f>
        <v/>
      </c>
      <c r="M183" s="34">
        <f>IF(K183&lt;&gt;"","REVIEW SOURCE CONFLICT",IF(OR(ISNUMBER(SEARCH("CCB",D183)),ISNUMBER(SEARCH("Pending",D183))),"CCB/PENDING",IF(OR(ISNUMBER(SEARCH("Expired",D183)),ISNUMBER(SEARCH("Closed",D183))),"CLOSED/EXPIRED",IF(E183="","NO RELEASE DATE","REVIEW APPROVAL"))))</f>
        <v/>
      </c>
      <c r="N183" s="34">
        <f>IF(K183&lt;&gt;"","HIGH: SOURCE CONFLICT",IF(AND(L183="END DATE NOT PASSED",M183="REVIEW APPROVAL"),"HIGH: VERIFY",IF(L183="END DATE NOT PASSED","MEDIUM: CHECK STATUS","LOW: HISTORICAL")))</f>
        <v/>
      </c>
      <c r="O183" s="33" t="inlineStr">
        <is>
          <t>Validar documento firmado, revision/WO/sitio, material afectado y evidencia antes de activar alerta automatica.</t>
        </is>
      </c>
    </row>
    <row r="184">
      <c r="A184" s="43" t="inlineStr">
        <is>
          <t>CTANJZ04972</t>
        </is>
      </c>
      <c r="B184" s="43" t="inlineStr">
        <is>
          <t>D607766</t>
        </is>
      </c>
      <c r="C184" s="43" t="inlineStr">
        <is>
          <t>SRGBU</t>
        </is>
      </c>
      <c r="D184" s="43" t="inlineStr">
        <is>
          <t>Expired</t>
        </is>
      </c>
      <c r="E184" s="32" t="n">
        <v>45994</v>
      </c>
      <c r="F184" s="32" t="n">
        <v>46070</v>
      </c>
      <c r="G184" s="43" t="n">
        <v>2</v>
      </c>
      <c r="H184" s="43" t="n">
        <v>2</v>
      </c>
      <c r="I184" s="33" t="inlineStr"/>
      <c r="J184" s="33" t="inlineStr"/>
      <c r="K184" s="33" t="inlineStr"/>
      <c r="L184" s="34">
        <f>IF(F184="","REVIEW: DATE CONFLICT/EMPTY",IF(F184&lt;'Change Overview'!$B$5,"END DATE PASSED","END DATE NOT PASSED"))</f>
        <v/>
      </c>
      <c r="M184" s="34">
        <f>IF(K184&lt;&gt;"","REVIEW SOURCE CONFLICT",IF(OR(ISNUMBER(SEARCH("CCB",D184)),ISNUMBER(SEARCH("Pending",D184))),"CCB/PENDING",IF(OR(ISNUMBER(SEARCH("Expired",D184)),ISNUMBER(SEARCH("Closed",D184))),"CLOSED/EXPIRED",IF(E184="","NO RELEASE DATE","REVIEW APPROVAL"))))</f>
        <v/>
      </c>
      <c r="N184" s="34">
        <f>IF(K184&lt;&gt;"","HIGH: SOURCE CONFLICT",IF(AND(L184="END DATE NOT PASSED",M184="REVIEW APPROVAL"),"HIGH: VERIFY",IF(L184="END DATE NOT PASSED","MEDIUM: CHECK STATUS","LOW: HISTORICAL")))</f>
        <v/>
      </c>
      <c r="O184" s="33" t="inlineStr">
        <is>
          <t>Validar documento firmado, revision/WO/sitio, material afectado y evidencia antes de activar alerta automatica.</t>
        </is>
      </c>
    </row>
    <row r="185">
      <c r="A185" s="43" t="inlineStr">
        <is>
          <t>CTANJZ04973</t>
        </is>
      </c>
      <c r="B185" s="43" t="inlineStr">
        <is>
          <t>D607838</t>
        </is>
      </c>
      <c r="C185" s="43" t="inlineStr">
        <is>
          <t>SRGBU</t>
        </is>
      </c>
      <c r="D185" s="43" t="inlineStr">
        <is>
          <t>Expired</t>
        </is>
      </c>
      <c r="E185" s="32" t="n">
        <v>46000</v>
      </c>
      <c r="F185" s="32" t="n">
        <v>46071</v>
      </c>
      <c r="G185" s="43" t="n">
        <v>1</v>
      </c>
      <c r="H185" s="43" t="n">
        <v>1</v>
      </c>
      <c r="I185" s="33" t="inlineStr"/>
      <c r="J185" s="33" t="inlineStr"/>
      <c r="K185" s="33" t="inlineStr"/>
      <c r="L185" s="34">
        <f>IF(F185="","REVIEW: DATE CONFLICT/EMPTY",IF(F185&lt;'Change Overview'!$B$5,"END DATE PASSED","END DATE NOT PASSED"))</f>
        <v/>
      </c>
      <c r="M185" s="34">
        <f>IF(K185&lt;&gt;"","REVIEW SOURCE CONFLICT",IF(OR(ISNUMBER(SEARCH("CCB",D185)),ISNUMBER(SEARCH("Pending",D185))),"CCB/PENDING",IF(OR(ISNUMBER(SEARCH("Expired",D185)),ISNUMBER(SEARCH("Closed",D185))),"CLOSED/EXPIRED",IF(E185="","NO RELEASE DATE","REVIEW APPROVAL"))))</f>
        <v/>
      </c>
      <c r="N185" s="34">
        <f>IF(K185&lt;&gt;"","HIGH: SOURCE CONFLICT",IF(AND(L185="END DATE NOT PASSED",M185="REVIEW APPROVAL"),"HIGH: VERIFY",IF(L185="END DATE NOT PASSED","MEDIUM: CHECK STATUS","LOW: HISTORICAL")))</f>
        <v/>
      </c>
      <c r="O185" s="33" t="inlineStr">
        <is>
          <t>Validar documento firmado, revision/WO/sitio, material afectado y evidencia antes de activar alerta automatica.</t>
        </is>
      </c>
    </row>
    <row r="186">
      <c r="A186" s="43" t="inlineStr">
        <is>
          <t>CTANJZ04980</t>
        </is>
      </c>
      <c r="B186" s="43" t="inlineStr">
        <is>
          <t>D607758</t>
        </is>
      </c>
      <c r="C186" s="43" t="inlineStr">
        <is>
          <t>SRGBU</t>
        </is>
      </c>
      <c r="D186" s="43" t="inlineStr">
        <is>
          <t>Expired</t>
        </is>
      </c>
      <c r="E186" s="32" t="n">
        <v>46000</v>
      </c>
      <c r="F186" s="32" t="n">
        <v>46076</v>
      </c>
      <c r="G186" s="43" t="n">
        <v>1</v>
      </c>
      <c r="H186" s="43" t="n">
        <v>1</v>
      </c>
      <c r="I186" s="33" t="inlineStr"/>
      <c r="J186" s="33" t="inlineStr"/>
      <c r="K186" s="33" t="inlineStr"/>
      <c r="L186" s="34">
        <f>IF(F186="","REVIEW: DATE CONFLICT/EMPTY",IF(F186&lt;'Change Overview'!$B$5,"END DATE PASSED","END DATE NOT PASSED"))</f>
        <v/>
      </c>
      <c r="M186" s="34">
        <f>IF(K186&lt;&gt;"","REVIEW SOURCE CONFLICT",IF(OR(ISNUMBER(SEARCH("CCB",D186)),ISNUMBER(SEARCH("Pending",D186))),"CCB/PENDING",IF(OR(ISNUMBER(SEARCH("Expired",D186)),ISNUMBER(SEARCH("Closed",D186))),"CLOSED/EXPIRED",IF(E186="","NO RELEASE DATE","REVIEW APPROVAL"))))</f>
        <v/>
      </c>
      <c r="N186" s="34">
        <f>IF(K186&lt;&gt;"","HIGH: SOURCE CONFLICT",IF(AND(L186="END DATE NOT PASSED",M186="REVIEW APPROVAL"),"HIGH: VERIFY",IF(L186="END DATE NOT PASSED","MEDIUM: CHECK STATUS","LOW: HISTORICAL")))</f>
        <v/>
      </c>
      <c r="O186" s="33" t="inlineStr">
        <is>
          <t>Validar documento firmado, revision/WO/sitio, material afectado y evidencia antes de activar alerta automatica.</t>
        </is>
      </c>
    </row>
    <row r="187">
      <c r="A187" s="43" t="inlineStr">
        <is>
          <t>CTANJZ04981</t>
        </is>
      </c>
      <c r="B187" s="43" t="inlineStr">
        <is>
          <t>D607861</t>
        </is>
      </c>
      <c r="C187" s="43" t="inlineStr">
        <is>
          <t>STBU</t>
        </is>
      </c>
      <c r="D187" s="43" t="inlineStr">
        <is>
          <t>Expired</t>
        </is>
      </c>
      <c r="E187" s="32" t="n">
        <v>46036</v>
      </c>
      <c r="F187" s="32" t="n">
        <v>46076</v>
      </c>
      <c r="G187" s="43" t="n">
        <v>7</v>
      </c>
      <c r="H187" s="43" t="n">
        <v>7</v>
      </c>
      <c r="I187" s="33" t="inlineStr">
        <is>
          <t>73-102433-05, 73-20249-06</t>
        </is>
      </c>
      <c r="J187" s="33" t="inlineStr">
        <is>
          <t>TUFNELL PARK</t>
        </is>
      </c>
      <c r="K187" s="33" t="inlineStr"/>
      <c r="L187" s="34">
        <f>IF(F187="","REVIEW: DATE CONFLICT/EMPTY",IF(F187&lt;'Change Overview'!$B$5,"END DATE PASSED","END DATE NOT PASSED"))</f>
        <v/>
      </c>
      <c r="M187" s="34">
        <f>IF(K187&lt;&gt;"","REVIEW SOURCE CONFLICT",IF(OR(ISNUMBER(SEARCH("CCB",D187)),ISNUMBER(SEARCH("Pending",D187))),"CCB/PENDING",IF(OR(ISNUMBER(SEARCH("Expired",D187)),ISNUMBER(SEARCH("Closed",D187))),"CLOSED/EXPIRED",IF(E187="","NO RELEASE DATE","REVIEW APPROVAL"))))</f>
        <v/>
      </c>
      <c r="N187" s="34">
        <f>IF(K187&lt;&gt;"","HIGH: SOURCE CONFLICT",IF(AND(L187="END DATE NOT PASSED",M187="REVIEW APPROVAL"),"HIGH: VERIFY",IF(L187="END DATE NOT PASSED","MEDIUM: CHECK STATUS","LOW: HISTORICAL")))</f>
        <v/>
      </c>
      <c r="O187" s="33" t="inlineStr">
        <is>
          <t>Validar documento firmado, revision/WO/sitio, material afectado y evidencia antes de activar alerta automatica.</t>
        </is>
      </c>
    </row>
    <row r="188">
      <c r="A188" s="43" t="inlineStr">
        <is>
          <t>CTANJZ04983</t>
        </is>
      </c>
      <c r="B188" s="43" t="inlineStr">
        <is>
          <t>D607949</t>
        </is>
      </c>
      <c r="C188" s="43" t="inlineStr">
        <is>
          <t>SRGBU</t>
        </is>
      </c>
      <c r="D188" s="43" t="inlineStr">
        <is>
          <t>Expired</t>
        </is>
      </c>
      <c r="E188" s="32" t="n">
        <v>46000</v>
      </c>
      <c r="F188" s="32" t="n">
        <v>46077</v>
      </c>
      <c r="G188" s="43" t="n">
        <v>2</v>
      </c>
      <c r="H188" s="43" t="n">
        <v>2</v>
      </c>
      <c r="I188" s="33" t="inlineStr"/>
      <c r="J188" s="33" t="inlineStr"/>
      <c r="K188" s="33" t="inlineStr"/>
      <c r="L188" s="34">
        <f>IF(F188="","REVIEW: DATE CONFLICT/EMPTY",IF(F188&lt;'Change Overview'!$B$5,"END DATE PASSED","END DATE NOT PASSED"))</f>
        <v/>
      </c>
      <c r="M188" s="34">
        <f>IF(K188&lt;&gt;"","REVIEW SOURCE CONFLICT",IF(OR(ISNUMBER(SEARCH("CCB",D188)),ISNUMBER(SEARCH("Pending",D188))),"CCB/PENDING",IF(OR(ISNUMBER(SEARCH("Expired",D188)),ISNUMBER(SEARCH("Closed",D188))),"CLOSED/EXPIRED",IF(E188="","NO RELEASE DATE","REVIEW APPROVAL"))))</f>
        <v/>
      </c>
      <c r="N188" s="34">
        <f>IF(K188&lt;&gt;"","HIGH: SOURCE CONFLICT",IF(AND(L188="END DATE NOT PASSED",M188="REVIEW APPROVAL"),"HIGH: VERIFY",IF(L188="END DATE NOT PASSED","MEDIUM: CHECK STATUS","LOW: HISTORICAL")))</f>
        <v/>
      </c>
      <c r="O188" s="33" t="inlineStr">
        <is>
          <t>Validar documento firmado, revision/WO/sitio, material afectado y evidencia antes de activar alerta automatica.</t>
        </is>
      </c>
    </row>
    <row r="189">
      <c r="A189" s="43" t="inlineStr">
        <is>
          <t>CTANJZ04984</t>
        </is>
      </c>
      <c r="B189" s="43" t="inlineStr">
        <is>
          <t>D604760</t>
        </is>
      </c>
      <c r="C189" s="43" t="inlineStr">
        <is>
          <t>CVEBU</t>
        </is>
      </c>
      <c r="D189" s="43" t="inlineStr">
        <is>
          <t>Expired</t>
        </is>
      </c>
      <c r="E189" s="32" t="n">
        <v>46000</v>
      </c>
      <c r="F189" s="32" t="n">
        <v>46077</v>
      </c>
      <c r="G189" s="43" t="n">
        <v>1</v>
      </c>
      <c r="H189" s="43" t="n">
        <v>1</v>
      </c>
      <c r="I189" s="33" t="inlineStr"/>
      <c r="J189" s="33" t="inlineStr"/>
      <c r="K189" s="33" t="inlineStr"/>
      <c r="L189" s="34">
        <f>IF(F189="","REVIEW: DATE CONFLICT/EMPTY",IF(F189&lt;'Change Overview'!$B$5,"END DATE PASSED","END DATE NOT PASSED"))</f>
        <v/>
      </c>
      <c r="M189" s="34">
        <f>IF(K189&lt;&gt;"","REVIEW SOURCE CONFLICT",IF(OR(ISNUMBER(SEARCH("CCB",D189)),ISNUMBER(SEARCH("Pending",D189))),"CCB/PENDING",IF(OR(ISNUMBER(SEARCH("Expired",D189)),ISNUMBER(SEARCH("Closed",D189))),"CLOSED/EXPIRED",IF(E189="","NO RELEASE DATE","REVIEW APPROVAL"))))</f>
        <v/>
      </c>
      <c r="N189" s="34">
        <f>IF(K189&lt;&gt;"","HIGH: SOURCE CONFLICT",IF(AND(L189="END DATE NOT PASSED",M189="REVIEW APPROVAL"),"HIGH: VERIFY",IF(L189="END DATE NOT PASSED","MEDIUM: CHECK STATUS","LOW: HISTORICAL")))</f>
        <v/>
      </c>
      <c r="O189" s="33" t="inlineStr">
        <is>
          <t>Validar documento firmado, revision/WO/sitio, material afectado y evidencia antes de activar alerta automatica.</t>
        </is>
      </c>
    </row>
    <row r="190">
      <c r="A190" s="43" t="inlineStr">
        <is>
          <t>CTANJZ04990</t>
        </is>
      </c>
      <c r="B190" s="43" t="inlineStr">
        <is>
          <t>D607247</t>
        </is>
      </c>
      <c r="C190" s="43" t="inlineStr">
        <is>
          <t>SRGBU</t>
        </is>
      </c>
      <c r="D190" s="43" t="inlineStr">
        <is>
          <t>Expired</t>
        </is>
      </c>
      <c r="E190" s="32" t="n">
        <v>46000</v>
      </c>
      <c r="F190" s="32" t="n">
        <v>46079</v>
      </c>
      <c r="G190" s="43" t="n">
        <v>3</v>
      </c>
      <c r="H190" s="43" t="n">
        <v>3</v>
      </c>
      <c r="I190" s="33" t="inlineStr">
        <is>
          <t>73-21204-06, 73-21231-05, 73-21417-05</t>
        </is>
      </c>
      <c r="J190" s="33" t="inlineStr">
        <is>
          <t>CHARON</t>
        </is>
      </c>
      <c r="K190" s="33" t="inlineStr"/>
      <c r="L190" s="34">
        <f>IF(F190="","REVIEW: DATE CONFLICT/EMPTY",IF(F190&lt;'Change Overview'!$B$5,"END DATE PASSED","END DATE NOT PASSED"))</f>
        <v/>
      </c>
      <c r="M190" s="34">
        <f>IF(K190&lt;&gt;"","REVIEW SOURCE CONFLICT",IF(OR(ISNUMBER(SEARCH("CCB",D190)),ISNUMBER(SEARCH("Pending",D190))),"CCB/PENDING",IF(OR(ISNUMBER(SEARCH("Expired",D190)),ISNUMBER(SEARCH("Closed",D190))),"CLOSED/EXPIRED",IF(E190="","NO RELEASE DATE","REVIEW APPROVAL"))))</f>
        <v/>
      </c>
      <c r="N190" s="34">
        <f>IF(K190&lt;&gt;"","HIGH: SOURCE CONFLICT",IF(AND(L190="END DATE NOT PASSED",M190="REVIEW APPROVAL"),"HIGH: VERIFY",IF(L190="END DATE NOT PASSED","MEDIUM: CHECK STATUS","LOW: HISTORICAL")))</f>
        <v/>
      </c>
      <c r="O190" s="33" t="inlineStr">
        <is>
          <t>Validar documento firmado, revision/WO/sitio, material afectado y evidencia antes de activar alerta automatica.</t>
        </is>
      </c>
    </row>
    <row r="191">
      <c r="A191" s="43" t="inlineStr">
        <is>
          <t>CTANJZ04995</t>
        </is>
      </c>
      <c r="B191" s="43" t="inlineStr">
        <is>
          <t>DP525581</t>
        </is>
      </c>
      <c r="C191" s="43" t="inlineStr">
        <is>
          <t>CVEBU</t>
        </is>
      </c>
      <c r="D191" s="43" t="inlineStr">
        <is>
          <t>Expired</t>
        </is>
      </c>
      <c r="E191" s="32" t="n">
        <v>46000</v>
      </c>
      <c r="F191" s="32" t="n">
        <v>46052</v>
      </c>
      <c r="G191" s="43" t="n">
        <v>4</v>
      </c>
      <c r="H191" s="43" t="n">
        <v>4</v>
      </c>
      <c r="I191" s="33" t="inlineStr"/>
      <c r="J191" s="33" t="inlineStr"/>
      <c r="K191" s="33" t="inlineStr"/>
      <c r="L191" s="34">
        <f>IF(F191="","REVIEW: DATE CONFLICT/EMPTY",IF(F191&lt;'Change Overview'!$B$5,"END DATE PASSED","END DATE NOT PASSED"))</f>
        <v/>
      </c>
      <c r="M191" s="34">
        <f>IF(K191&lt;&gt;"","REVIEW SOURCE CONFLICT",IF(OR(ISNUMBER(SEARCH("CCB",D191)),ISNUMBER(SEARCH("Pending",D191))),"CCB/PENDING",IF(OR(ISNUMBER(SEARCH("Expired",D191)),ISNUMBER(SEARCH("Closed",D191))),"CLOSED/EXPIRED",IF(E191="","NO RELEASE DATE","REVIEW APPROVAL"))))</f>
        <v/>
      </c>
      <c r="N191" s="34">
        <f>IF(K191&lt;&gt;"","HIGH: SOURCE CONFLICT",IF(AND(L191="END DATE NOT PASSED",M191="REVIEW APPROVAL"),"HIGH: VERIFY",IF(L191="END DATE NOT PASSED","MEDIUM: CHECK STATUS","LOW: HISTORICAL")))</f>
        <v/>
      </c>
      <c r="O191" s="33" t="inlineStr">
        <is>
          <t>Validar documento firmado, revision/WO/sitio, material afectado y evidencia antes de activar alerta automatica.</t>
        </is>
      </c>
    </row>
    <row r="192">
      <c r="A192" s="43" t="inlineStr">
        <is>
          <t>CTANJZ04996</t>
        </is>
      </c>
      <c r="B192" s="43" t="inlineStr">
        <is>
          <t>D607987</t>
        </is>
      </c>
      <c r="C192" s="43" t="inlineStr">
        <is>
          <t>STBU</t>
        </is>
      </c>
      <c r="D192" s="43" t="inlineStr">
        <is>
          <t>Expired</t>
        </is>
      </c>
      <c r="E192" s="32" t="n">
        <v>46035</v>
      </c>
      <c r="F192" s="32" t="n">
        <v>46083</v>
      </c>
      <c r="G192" s="43" t="n">
        <v>1</v>
      </c>
      <c r="H192" s="43" t="n">
        <v>1</v>
      </c>
      <c r="I192" s="33" t="inlineStr"/>
      <c r="J192" s="33" t="inlineStr"/>
      <c r="K192" s="33" t="inlineStr"/>
      <c r="L192" s="34">
        <f>IF(F192="","REVIEW: DATE CONFLICT/EMPTY",IF(F192&lt;'Change Overview'!$B$5,"END DATE PASSED","END DATE NOT PASSED"))</f>
        <v/>
      </c>
      <c r="M192" s="34">
        <f>IF(K192&lt;&gt;"","REVIEW SOURCE CONFLICT",IF(OR(ISNUMBER(SEARCH("CCB",D192)),ISNUMBER(SEARCH("Pending",D192))),"CCB/PENDING",IF(OR(ISNUMBER(SEARCH("Expired",D192)),ISNUMBER(SEARCH("Closed",D192))),"CLOSED/EXPIRED",IF(E192="","NO RELEASE DATE","REVIEW APPROVAL"))))</f>
        <v/>
      </c>
      <c r="N192" s="34">
        <f>IF(K192&lt;&gt;"","HIGH: SOURCE CONFLICT",IF(AND(L192="END DATE NOT PASSED",M192="REVIEW APPROVAL"),"HIGH: VERIFY",IF(L192="END DATE NOT PASSED","MEDIUM: CHECK STATUS","LOW: HISTORICAL")))</f>
        <v/>
      </c>
      <c r="O192" s="33" t="inlineStr">
        <is>
          <t>Validar documento firmado, revision/WO/sitio, material afectado y evidencia antes de activar alerta automatica.</t>
        </is>
      </c>
    </row>
    <row r="193">
      <c r="A193" s="43" t="inlineStr">
        <is>
          <t>CTANJZ04997</t>
        </is>
      </c>
      <c r="B193" s="43" t="inlineStr">
        <is>
          <t>D608035</t>
        </is>
      </c>
      <c r="C193" s="43" t="inlineStr">
        <is>
          <t>STBU</t>
        </is>
      </c>
      <c r="D193" s="43" t="inlineStr">
        <is>
          <t>Expired</t>
        </is>
      </c>
      <c r="E193" s="32" t="n">
        <v>46035</v>
      </c>
      <c r="F193" s="32" t="n">
        <v>46083</v>
      </c>
      <c r="G193" s="43" t="n">
        <v>3</v>
      </c>
      <c r="H193" s="43" t="n">
        <v>3</v>
      </c>
      <c r="I193" s="33" t="inlineStr">
        <is>
          <t>73-103559-04, 73-103633-04, 73-103648-04</t>
        </is>
      </c>
      <c r="J193" s="33" t="inlineStr"/>
      <c r="K193" s="33" t="inlineStr"/>
      <c r="L193" s="34">
        <f>IF(F193="","REVIEW: DATE CONFLICT/EMPTY",IF(F193&lt;'Change Overview'!$B$5,"END DATE PASSED","END DATE NOT PASSED"))</f>
        <v/>
      </c>
      <c r="M193" s="34">
        <f>IF(K193&lt;&gt;"","REVIEW SOURCE CONFLICT",IF(OR(ISNUMBER(SEARCH("CCB",D193)),ISNUMBER(SEARCH("Pending",D193))),"CCB/PENDING",IF(OR(ISNUMBER(SEARCH("Expired",D193)),ISNUMBER(SEARCH("Closed",D193))),"CLOSED/EXPIRED",IF(E193="","NO RELEASE DATE","REVIEW APPROVAL"))))</f>
        <v/>
      </c>
      <c r="N193" s="34">
        <f>IF(K193&lt;&gt;"","HIGH: SOURCE CONFLICT",IF(AND(L193="END DATE NOT PASSED",M193="REVIEW APPROVAL"),"HIGH: VERIFY",IF(L193="END DATE NOT PASSED","MEDIUM: CHECK STATUS","LOW: HISTORICAL")))</f>
        <v/>
      </c>
      <c r="O193" s="33" t="inlineStr">
        <is>
          <t>Validar documento firmado, revision/WO/sitio, material afectado y evidencia antes de activar alerta automatica.</t>
        </is>
      </c>
    </row>
    <row r="194">
      <c r="A194" s="43" t="inlineStr">
        <is>
          <t>CTANJZ05000</t>
        </is>
      </c>
      <c r="B194" s="43" t="inlineStr">
        <is>
          <t>D607991</t>
        </is>
      </c>
      <c r="C194" s="43" t="inlineStr">
        <is>
          <t>STBU</t>
        </is>
      </c>
      <c r="D194" s="43" t="inlineStr">
        <is>
          <t>Expired</t>
        </is>
      </c>
      <c r="E194" s="32" t="n">
        <v>46035</v>
      </c>
      <c r="F194" s="32" t="n">
        <v>46083</v>
      </c>
      <c r="G194" s="43" t="n">
        <v>6</v>
      </c>
      <c r="H194" s="43" t="n">
        <v>6</v>
      </c>
      <c r="I194" s="33" t="inlineStr">
        <is>
          <t>73-18490-09, 73-18490-10, 73-21007-02, 73-21007-03</t>
        </is>
      </c>
      <c r="J194" s="33" t="inlineStr"/>
      <c r="K194" s="33" t="inlineStr"/>
      <c r="L194" s="34">
        <f>IF(F194="","REVIEW: DATE CONFLICT/EMPTY",IF(F194&lt;'Change Overview'!$B$5,"END DATE PASSED","END DATE NOT PASSED"))</f>
        <v/>
      </c>
      <c r="M194" s="34">
        <f>IF(K194&lt;&gt;"","REVIEW SOURCE CONFLICT",IF(OR(ISNUMBER(SEARCH("CCB",D194)),ISNUMBER(SEARCH("Pending",D194))),"CCB/PENDING",IF(OR(ISNUMBER(SEARCH("Expired",D194)),ISNUMBER(SEARCH("Closed",D194))),"CLOSED/EXPIRED",IF(E194="","NO RELEASE DATE","REVIEW APPROVAL"))))</f>
        <v/>
      </c>
      <c r="N194" s="34">
        <f>IF(K194&lt;&gt;"","HIGH: SOURCE CONFLICT",IF(AND(L194="END DATE NOT PASSED",M194="REVIEW APPROVAL"),"HIGH: VERIFY",IF(L194="END DATE NOT PASSED","MEDIUM: CHECK STATUS","LOW: HISTORICAL")))</f>
        <v/>
      </c>
      <c r="O194" s="33" t="inlineStr">
        <is>
          <t>Validar documento firmado, revision/WO/sitio, material afectado y evidencia antes de activar alerta automatica.</t>
        </is>
      </c>
    </row>
    <row r="195">
      <c r="A195" s="43" t="inlineStr">
        <is>
          <t>CTANJZ05001</t>
        </is>
      </c>
      <c r="B195" s="43" t="inlineStr">
        <is>
          <t>D607678</t>
        </is>
      </c>
      <c r="C195" s="43" t="inlineStr">
        <is>
          <t>STBU</t>
        </is>
      </c>
      <c r="D195" s="43" t="inlineStr">
        <is>
          <t>Expired</t>
        </is>
      </c>
      <c r="E195" s="32" t="n">
        <v>46036</v>
      </c>
      <c r="F195" s="32" t="n">
        <v>46083</v>
      </c>
      <c r="G195" s="43" t="n">
        <v>2</v>
      </c>
      <c r="H195" s="43" t="n">
        <v>2</v>
      </c>
      <c r="I195" s="33" t="inlineStr">
        <is>
          <t>73-20249-06</t>
        </is>
      </c>
      <c r="J195" s="33" t="inlineStr">
        <is>
          <t>TUFNELL PARK</t>
        </is>
      </c>
      <c r="K195" s="33" t="inlineStr"/>
      <c r="L195" s="34">
        <f>IF(F195="","REVIEW: DATE CONFLICT/EMPTY",IF(F195&lt;'Change Overview'!$B$5,"END DATE PASSED","END DATE NOT PASSED"))</f>
        <v/>
      </c>
      <c r="M195" s="34">
        <f>IF(K195&lt;&gt;"","REVIEW SOURCE CONFLICT",IF(OR(ISNUMBER(SEARCH("CCB",D195)),ISNUMBER(SEARCH("Pending",D195))),"CCB/PENDING",IF(OR(ISNUMBER(SEARCH("Expired",D195)),ISNUMBER(SEARCH("Closed",D195))),"CLOSED/EXPIRED",IF(E195="","NO RELEASE DATE","REVIEW APPROVAL"))))</f>
        <v/>
      </c>
      <c r="N195" s="34">
        <f>IF(K195&lt;&gt;"","HIGH: SOURCE CONFLICT",IF(AND(L195="END DATE NOT PASSED",M195="REVIEW APPROVAL"),"HIGH: VERIFY",IF(L195="END DATE NOT PASSED","MEDIUM: CHECK STATUS","LOW: HISTORICAL")))</f>
        <v/>
      </c>
      <c r="O195" s="33" t="inlineStr">
        <is>
          <t>Validar documento firmado, revision/WO/sitio, material afectado y evidencia antes de activar alerta automatica.</t>
        </is>
      </c>
    </row>
    <row r="196">
      <c r="A196" s="43" t="inlineStr">
        <is>
          <t>CTANJZ05004</t>
        </is>
      </c>
      <c r="B196" s="43" t="inlineStr">
        <is>
          <t>D607851</t>
        </is>
      </c>
      <c r="C196" s="43" t="inlineStr">
        <is>
          <t>CVEBU</t>
        </is>
      </c>
      <c r="D196" s="43" t="inlineStr">
        <is>
          <t>Expired</t>
        </is>
      </c>
      <c r="E196" s="32" t="n">
        <v>46007</v>
      </c>
      <c r="F196" s="32" t="n">
        <v>46084</v>
      </c>
      <c r="G196" s="43" t="n">
        <v>2</v>
      </c>
      <c r="H196" s="43" t="n">
        <v>2</v>
      </c>
      <c r="I196" s="33" t="inlineStr">
        <is>
          <t>73-102121-01</t>
        </is>
      </c>
      <c r="J196" s="33" t="inlineStr"/>
      <c r="K196" s="33" t="inlineStr"/>
      <c r="L196" s="34">
        <f>IF(F196="","REVIEW: DATE CONFLICT/EMPTY",IF(F196&lt;'Change Overview'!$B$5,"END DATE PASSED","END DATE NOT PASSED"))</f>
        <v/>
      </c>
      <c r="M196" s="34">
        <f>IF(K196&lt;&gt;"","REVIEW SOURCE CONFLICT",IF(OR(ISNUMBER(SEARCH("CCB",D196)),ISNUMBER(SEARCH("Pending",D196))),"CCB/PENDING",IF(OR(ISNUMBER(SEARCH("Expired",D196)),ISNUMBER(SEARCH("Closed",D196))),"CLOSED/EXPIRED",IF(E196="","NO RELEASE DATE","REVIEW APPROVAL"))))</f>
        <v/>
      </c>
      <c r="N196" s="34">
        <f>IF(K196&lt;&gt;"","HIGH: SOURCE CONFLICT",IF(AND(L196="END DATE NOT PASSED",M196="REVIEW APPROVAL"),"HIGH: VERIFY",IF(L196="END DATE NOT PASSED","MEDIUM: CHECK STATUS","LOW: HISTORICAL")))</f>
        <v/>
      </c>
      <c r="O196" s="33" t="inlineStr">
        <is>
          <t>Validar documento firmado, revision/WO/sitio, material afectado y evidencia antes de activar alerta automatica.</t>
        </is>
      </c>
    </row>
    <row r="197">
      <c r="A197" s="43" t="inlineStr">
        <is>
          <t>CTANJZ05008</t>
        </is>
      </c>
      <c r="B197" s="43" t="inlineStr">
        <is>
          <t>DP525595</t>
        </is>
      </c>
      <c r="C197" s="43" t="inlineStr">
        <is>
          <t>CVEBU</t>
        </is>
      </c>
      <c r="D197" s="43" t="inlineStr">
        <is>
          <t>Expired</t>
        </is>
      </c>
      <c r="E197" s="32" t="n">
        <v>46007</v>
      </c>
      <c r="F197" s="32" t="n">
        <v>46055</v>
      </c>
      <c r="G197" s="43" t="n">
        <v>2</v>
      </c>
      <c r="H197" s="43" t="n">
        <v>2</v>
      </c>
      <c r="I197" s="33" t="inlineStr"/>
      <c r="J197" s="33" t="inlineStr"/>
      <c r="K197" s="33" t="inlineStr"/>
      <c r="L197" s="34">
        <f>IF(F197="","REVIEW: DATE CONFLICT/EMPTY",IF(F197&lt;'Change Overview'!$B$5,"END DATE PASSED","END DATE NOT PASSED"))</f>
        <v/>
      </c>
      <c r="M197" s="34">
        <f>IF(K197&lt;&gt;"","REVIEW SOURCE CONFLICT",IF(OR(ISNUMBER(SEARCH("CCB",D197)),ISNUMBER(SEARCH("Pending",D197))),"CCB/PENDING",IF(OR(ISNUMBER(SEARCH("Expired",D197)),ISNUMBER(SEARCH("Closed",D197))),"CLOSED/EXPIRED",IF(E197="","NO RELEASE DATE","REVIEW APPROVAL"))))</f>
        <v/>
      </c>
      <c r="N197" s="34">
        <f>IF(K197&lt;&gt;"","HIGH: SOURCE CONFLICT",IF(AND(L197="END DATE NOT PASSED",M197="REVIEW APPROVAL"),"HIGH: VERIFY",IF(L197="END DATE NOT PASSED","MEDIUM: CHECK STATUS","LOW: HISTORICAL")))</f>
        <v/>
      </c>
      <c r="O197" s="33" t="inlineStr">
        <is>
          <t>Validar documento firmado, revision/WO/sitio, material afectado y evidencia antes de activar alerta automatica.</t>
        </is>
      </c>
    </row>
    <row r="198">
      <c r="A198" s="43" t="inlineStr">
        <is>
          <t>CTANJZ05009</t>
        </is>
      </c>
      <c r="B198" s="43" t="inlineStr">
        <is>
          <t>D607538</t>
        </is>
      </c>
      <c r="C198" s="43" t="inlineStr">
        <is>
          <t>CVEBU</t>
        </is>
      </c>
      <c r="D198" s="43" t="inlineStr">
        <is>
          <t>Expired</t>
        </is>
      </c>
      <c r="E198" s="32" t="n">
        <v>46007</v>
      </c>
      <c r="F198" s="32" t="n">
        <v>46086</v>
      </c>
      <c r="G198" s="43" t="n">
        <v>2</v>
      </c>
      <c r="H198" s="43" t="n">
        <v>2</v>
      </c>
      <c r="I198" s="33" t="inlineStr">
        <is>
          <t>73-102365-01</t>
        </is>
      </c>
      <c r="J198" s="33" t="inlineStr"/>
      <c r="K198" s="33" t="inlineStr"/>
      <c r="L198" s="34">
        <f>IF(F198="","REVIEW: DATE CONFLICT/EMPTY",IF(F198&lt;'Change Overview'!$B$5,"END DATE PASSED","END DATE NOT PASSED"))</f>
        <v/>
      </c>
      <c r="M198" s="34">
        <f>IF(K198&lt;&gt;"","REVIEW SOURCE CONFLICT",IF(OR(ISNUMBER(SEARCH("CCB",D198)),ISNUMBER(SEARCH("Pending",D198))),"CCB/PENDING",IF(OR(ISNUMBER(SEARCH("Expired",D198)),ISNUMBER(SEARCH("Closed",D198))),"CLOSED/EXPIRED",IF(E198="","NO RELEASE DATE","REVIEW APPROVAL"))))</f>
        <v/>
      </c>
      <c r="N198" s="34">
        <f>IF(K198&lt;&gt;"","HIGH: SOURCE CONFLICT",IF(AND(L198="END DATE NOT PASSED",M198="REVIEW APPROVAL"),"HIGH: VERIFY",IF(L198="END DATE NOT PASSED","MEDIUM: CHECK STATUS","LOW: HISTORICAL")))</f>
        <v/>
      </c>
      <c r="O198" s="33" t="inlineStr">
        <is>
          <t>Validar documento firmado, revision/WO/sitio, material afectado y evidencia antes de activar alerta automatica.</t>
        </is>
      </c>
    </row>
    <row r="199">
      <c r="A199" s="43" t="inlineStr">
        <is>
          <t>CTANJZ05011</t>
        </is>
      </c>
      <c r="B199" s="43" t="inlineStr">
        <is>
          <t>D607854</t>
        </is>
      </c>
      <c r="C199" s="43" t="inlineStr">
        <is>
          <t>CVEBU</t>
        </is>
      </c>
      <c r="D199" s="43" t="inlineStr">
        <is>
          <t>Expired</t>
        </is>
      </c>
      <c r="E199" s="32" t="n">
        <v>46007</v>
      </c>
      <c r="F199" s="32" t="n">
        <v>46086</v>
      </c>
      <c r="G199" s="43" t="n">
        <v>2</v>
      </c>
      <c r="H199" s="43" t="n">
        <v>2</v>
      </c>
      <c r="I199" s="33" t="inlineStr">
        <is>
          <t>73-103459-02</t>
        </is>
      </c>
      <c r="J199" s="33" t="inlineStr">
        <is>
          <t>HEIMDALL</t>
        </is>
      </c>
      <c r="K199" s="33" t="inlineStr"/>
      <c r="L199" s="34">
        <f>IF(F199="","REVIEW: DATE CONFLICT/EMPTY",IF(F199&lt;'Change Overview'!$B$5,"END DATE PASSED","END DATE NOT PASSED"))</f>
        <v/>
      </c>
      <c r="M199" s="34">
        <f>IF(K199&lt;&gt;"","REVIEW SOURCE CONFLICT",IF(OR(ISNUMBER(SEARCH("CCB",D199)),ISNUMBER(SEARCH("Pending",D199))),"CCB/PENDING",IF(OR(ISNUMBER(SEARCH("Expired",D199)),ISNUMBER(SEARCH("Closed",D199))),"CLOSED/EXPIRED",IF(E199="","NO RELEASE DATE","REVIEW APPROVAL"))))</f>
        <v/>
      </c>
      <c r="N199" s="34">
        <f>IF(K199&lt;&gt;"","HIGH: SOURCE CONFLICT",IF(AND(L199="END DATE NOT PASSED",M199="REVIEW APPROVAL"),"HIGH: VERIFY",IF(L199="END DATE NOT PASSED","MEDIUM: CHECK STATUS","LOW: HISTORICAL")))</f>
        <v/>
      </c>
      <c r="O199" s="33" t="inlineStr">
        <is>
          <t>Validar documento firmado, revision/WO/sitio, material afectado y evidencia antes de activar alerta automatica.</t>
        </is>
      </c>
    </row>
    <row r="200">
      <c r="A200" s="43" t="inlineStr">
        <is>
          <t>CTANJZ05014</t>
        </is>
      </c>
      <c r="B200" s="43" t="inlineStr">
        <is>
          <t>D608072</t>
        </is>
      </c>
      <c r="C200" s="43" t="inlineStr">
        <is>
          <t>STBU</t>
        </is>
      </c>
      <c r="D200" s="43" t="inlineStr">
        <is>
          <t>Expired</t>
        </is>
      </c>
      <c r="E200" s="32" t="n">
        <v>46045</v>
      </c>
      <c r="F200" s="32" t="n">
        <v>46087</v>
      </c>
      <c r="G200" s="43" t="n">
        <v>2</v>
      </c>
      <c r="H200" s="43" t="n">
        <v>2</v>
      </c>
      <c r="I200" s="33" t="inlineStr">
        <is>
          <t>73-102435-05</t>
        </is>
      </c>
      <c r="J200" s="33" t="inlineStr"/>
      <c r="K200" s="33" t="inlineStr"/>
      <c r="L200" s="34">
        <f>IF(F200="","REVIEW: DATE CONFLICT/EMPTY",IF(F200&lt;'Change Overview'!$B$5,"END DATE PASSED","END DATE NOT PASSED"))</f>
        <v/>
      </c>
      <c r="M200" s="34">
        <f>IF(K200&lt;&gt;"","REVIEW SOURCE CONFLICT",IF(OR(ISNUMBER(SEARCH("CCB",D200)),ISNUMBER(SEARCH("Pending",D200))),"CCB/PENDING",IF(OR(ISNUMBER(SEARCH("Expired",D200)),ISNUMBER(SEARCH("Closed",D200))),"CLOSED/EXPIRED",IF(E200="","NO RELEASE DATE","REVIEW APPROVAL"))))</f>
        <v/>
      </c>
      <c r="N200" s="34">
        <f>IF(K200&lt;&gt;"","HIGH: SOURCE CONFLICT",IF(AND(L200="END DATE NOT PASSED",M200="REVIEW APPROVAL"),"HIGH: VERIFY",IF(L200="END DATE NOT PASSED","MEDIUM: CHECK STATUS","LOW: HISTORICAL")))</f>
        <v/>
      </c>
      <c r="O200" s="33" t="inlineStr">
        <is>
          <t>Validar documento firmado, revision/WO/sitio, material afectado y evidencia antes de activar alerta automatica.</t>
        </is>
      </c>
    </row>
    <row r="201">
      <c r="A201" s="43" t="inlineStr">
        <is>
          <t>CTANJZ05015</t>
        </is>
      </c>
      <c r="B201" s="43" t="inlineStr">
        <is>
          <t>D607988</t>
        </is>
      </c>
      <c r="C201" s="43" t="inlineStr">
        <is>
          <t>IOTBU</t>
        </is>
      </c>
      <c r="D201" s="43" t="inlineStr">
        <is>
          <t>Expired</t>
        </is>
      </c>
      <c r="E201" s="32" t="n">
        <v>46036</v>
      </c>
      <c r="F201" s="32" t="n">
        <v>46087</v>
      </c>
      <c r="G201" s="43" t="n">
        <v>4</v>
      </c>
      <c r="H201" s="43" t="n">
        <v>4</v>
      </c>
      <c r="I201" s="33" t="inlineStr"/>
      <c r="J201" s="33" t="inlineStr"/>
      <c r="K201" s="33" t="inlineStr"/>
      <c r="L201" s="34">
        <f>IF(F201="","REVIEW: DATE CONFLICT/EMPTY",IF(F201&lt;'Change Overview'!$B$5,"END DATE PASSED","END DATE NOT PASSED"))</f>
        <v/>
      </c>
      <c r="M201" s="34">
        <f>IF(K201&lt;&gt;"","REVIEW SOURCE CONFLICT",IF(OR(ISNUMBER(SEARCH("CCB",D201)),ISNUMBER(SEARCH("Pending",D201))),"CCB/PENDING",IF(OR(ISNUMBER(SEARCH("Expired",D201)),ISNUMBER(SEARCH("Closed",D201))),"CLOSED/EXPIRED",IF(E201="","NO RELEASE DATE","REVIEW APPROVAL"))))</f>
        <v/>
      </c>
      <c r="N201" s="34">
        <f>IF(K201&lt;&gt;"","HIGH: SOURCE CONFLICT",IF(AND(L201="END DATE NOT PASSED",M201="REVIEW APPROVAL"),"HIGH: VERIFY",IF(L201="END DATE NOT PASSED","MEDIUM: CHECK STATUS","LOW: HISTORICAL")))</f>
        <v/>
      </c>
      <c r="O201" s="33" t="inlineStr">
        <is>
          <t>Validar documento firmado, revision/WO/sitio, material afectado y evidencia antes de activar alerta automatica.</t>
        </is>
      </c>
    </row>
    <row r="202">
      <c r="A202" s="43" t="inlineStr">
        <is>
          <t>CTANJZ05017</t>
        </is>
      </c>
      <c r="B202" s="43" t="inlineStr">
        <is>
          <t>D608183</t>
        </is>
      </c>
      <c r="C202" s="43" t="inlineStr">
        <is>
          <t>SRGBU</t>
        </is>
      </c>
      <c r="D202" s="43" t="inlineStr">
        <is>
          <t>Expired</t>
        </is>
      </c>
      <c r="E202" s="32" t="n">
        <v>46035</v>
      </c>
      <c r="F202" s="32" t="n">
        <v>46087</v>
      </c>
      <c r="G202" s="43" t="n">
        <v>1</v>
      </c>
      <c r="H202" s="43" t="n">
        <v>1</v>
      </c>
      <c r="I202" s="33" t="inlineStr"/>
      <c r="J202" s="33" t="inlineStr"/>
      <c r="K202" s="33" t="inlineStr"/>
      <c r="L202" s="34">
        <f>IF(F202="","REVIEW: DATE CONFLICT/EMPTY",IF(F202&lt;'Change Overview'!$B$5,"END DATE PASSED","END DATE NOT PASSED"))</f>
        <v/>
      </c>
      <c r="M202" s="34">
        <f>IF(K202&lt;&gt;"","REVIEW SOURCE CONFLICT",IF(OR(ISNUMBER(SEARCH("CCB",D202)),ISNUMBER(SEARCH("Pending",D202))),"CCB/PENDING",IF(OR(ISNUMBER(SEARCH("Expired",D202)),ISNUMBER(SEARCH("Closed",D202))),"CLOSED/EXPIRED",IF(E202="","NO RELEASE DATE","REVIEW APPROVAL"))))</f>
        <v/>
      </c>
      <c r="N202" s="34">
        <f>IF(K202&lt;&gt;"","HIGH: SOURCE CONFLICT",IF(AND(L202="END DATE NOT PASSED",M202="REVIEW APPROVAL"),"HIGH: VERIFY",IF(L202="END DATE NOT PASSED","MEDIUM: CHECK STATUS","LOW: HISTORICAL")))</f>
        <v/>
      </c>
      <c r="O202" s="33" t="inlineStr">
        <is>
          <t>Validar documento firmado, revision/WO/sitio, material afectado y evidencia antes de activar alerta automatica.</t>
        </is>
      </c>
    </row>
    <row r="203">
      <c r="A203" s="43" t="inlineStr">
        <is>
          <t>CTANJZ05022</t>
        </is>
      </c>
      <c r="B203" s="43" t="inlineStr">
        <is>
          <t>D607604</t>
        </is>
      </c>
      <c r="C203" s="43" t="inlineStr">
        <is>
          <t>STBU</t>
        </is>
      </c>
      <c r="D203" s="43" t="inlineStr">
        <is>
          <t>Expired</t>
        </is>
      </c>
      <c r="E203" s="32" t="n">
        <v>46049</v>
      </c>
      <c r="F203" s="32" t="n">
        <v>46092</v>
      </c>
      <c r="G203" s="43" t="n">
        <v>2</v>
      </c>
      <c r="H203" s="43" t="n">
        <v>2</v>
      </c>
      <c r="I203" s="33" t="inlineStr">
        <is>
          <t>73-18489-08</t>
        </is>
      </c>
      <c r="J203" s="33" t="inlineStr"/>
      <c r="K203" s="33" t="inlineStr"/>
      <c r="L203" s="34">
        <f>IF(F203="","REVIEW: DATE CONFLICT/EMPTY",IF(F203&lt;'Change Overview'!$B$5,"END DATE PASSED","END DATE NOT PASSED"))</f>
        <v/>
      </c>
      <c r="M203" s="34">
        <f>IF(K203&lt;&gt;"","REVIEW SOURCE CONFLICT",IF(OR(ISNUMBER(SEARCH("CCB",D203)),ISNUMBER(SEARCH("Pending",D203))),"CCB/PENDING",IF(OR(ISNUMBER(SEARCH("Expired",D203)),ISNUMBER(SEARCH("Closed",D203))),"CLOSED/EXPIRED",IF(E203="","NO RELEASE DATE","REVIEW APPROVAL"))))</f>
        <v/>
      </c>
      <c r="N203" s="34">
        <f>IF(K203&lt;&gt;"","HIGH: SOURCE CONFLICT",IF(AND(L203="END DATE NOT PASSED",M203="REVIEW APPROVAL"),"HIGH: VERIFY",IF(L203="END DATE NOT PASSED","MEDIUM: CHECK STATUS","LOW: HISTORICAL")))</f>
        <v/>
      </c>
      <c r="O203" s="33" t="inlineStr">
        <is>
          <t>Validar documento firmado, revision/WO/sitio, material afectado y evidencia antes de activar alerta automatica.</t>
        </is>
      </c>
    </row>
    <row r="204">
      <c r="A204" s="43" t="inlineStr">
        <is>
          <t>CTANJZ05024</t>
        </is>
      </c>
      <c r="B204" s="43" t="inlineStr">
        <is>
          <t>D608212</t>
        </is>
      </c>
      <c r="C204" s="43" t="inlineStr">
        <is>
          <t>SRGBU</t>
        </is>
      </c>
      <c r="D204" s="43" t="inlineStr">
        <is>
          <t>Expired</t>
        </is>
      </c>
      <c r="E204" s="32" t="n">
        <v>46035</v>
      </c>
      <c r="F204" s="32" t="n">
        <v>46092</v>
      </c>
      <c r="G204" s="43" t="n">
        <v>1</v>
      </c>
      <c r="H204" s="43" t="n">
        <v>1</v>
      </c>
      <c r="I204" s="33" t="inlineStr"/>
      <c r="J204" s="33" t="inlineStr"/>
      <c r="K204" s="33" t="inlineStr"/>
      <c r="L204" s="34">
        <f>IF(F204="","REVIEW: DATE CONFLICT/EMPTY",IF(F204&lt;'Change Overview'!$B$5,"END DATE PASSED","END DATE NOT PASSED"))</f>
        <v/>
      </c>
      <c r="M204" s="34">
        <f>IF(K204&lt;&gt;"","REVIEW SOURCE CONFLICT",IF(OR(ISNUMBER(SEARCH("CCB",D204)),ISNUMBER(SEARCH("Pending",D204))),"CCB/PENDING",IF(OR(ISNUMBER(SEARCH("Expired",D204)),ISNUMBER(SEARCH("Closed",D204))),"CLOSED/EXPIRED",IF(E204="","NO RELEASE DATE","REVIEW APPROVAL"))))</f>
        <v/>
      </c>
      <c r="N204" s="34">
        <f>IF(K204&lt;&gt;"","HIGH: SOURCE CONFLICT",IF(AND(L204="END DATE NOT PASSED",M204="REVIEW APPROVAL"),"HIGH: VERIFY",IF(L204="END DATE NOT PASSED","MEDIUM: CHECK STATUS","LOW: HISTORICAL")))</f>
        <v/>
      </c>
      <c r="O204" s="33" t="inlineStr">
        <is>
          <t>Validar documento firmado, revision/WO/sitio, material afectado y evidencia antes de activar alerta automatica.</t>
        </is>
      </c>
    </row>
    <row r="205">
      <c r="A205" s="43" t="inlineStr">
        <is>
          <t>CTANJZ05026</t>
        </is>
      </c>
      <c r="B205" s="43" t="inlineStr">
        <is>
          <t>D608324</t>
        </is>
      </c>
      <c r="C205" s="43" t="inlineStr">
        <is>
          <t>IOTBU</t>
        </is>
      </c>
      <c r="D205" s="43" t="inlineStr">
        <is>
          <t>Expired</t>
        </is>
      </c>
      <c r="E205" s="32" t="n">
        <v>46036</v>
      </c>
      <c r="F205" s="32" t="n">
        <v>46092</v>
      </c>
      <c r="G205" s="43" t="n">
        <v>11</v>
      </c>
      <c r="H205" s="43" t="n">
        <v>11</v>
      </c>
      <c r="I205" s="33" t="inlineStr">
        <is>
          <t>73-101439-04, 73-102239-04, 73-103098-03</t>
        </is>
      </c>
      <c r="J205" s="33" t="inlineStr"/>
      <c r="K205" s="33" t="inlineStr"/>
      <c r="L205" s="34">
        <f>IF(F205="","REVIEW: DATE CONFLICT/EMPTY",IF(F205&lt;'Change Overview'!$B$5,"END DATE PASSED","END DATE NOT PASSED"))</f>
        <v/>
      </c>
      <c r="M205" s="34">
        <f>IF(K205&lt;&gt;"","REVIEW SOURCE CONFLICT",IF(OR(ISNUMBER(SEARCH("CCB",D205)),ISNUMBER(SEARCH("Pending",D205))),"CCB/PENDING",IF(OR(ISNUMBER(SEARCH("Expired",D205)),ISNUMBER(SEARCH("Closed",D205))),"CLOSED/EXPIRED",IF(E205="","NO RELEASE DATE","REVIEW APPROVAL"))))</f>
        <v/>
      </c>
      <c r="N205" s="34">
        <f>IF(K205&lt;&gt;"","HIGH: SOURCE CONFLICT",IF(AND(L205="END DATE NOT PASSED",M205="REVIEW APPROVAL"),"HIGH: VERIFY",IF(L205="END DATE NOT PASSED","MEDIUM: CHECK STATUS","LOW: HISTORICAL")))</f>
        <v/>
      </c>
      <c r="O205" s="33" t="inlineStr">
        <is>
          <t>Validar documento firmado, revision/WO/sitio, material afectado y evidencia antes de activar alerta automatica.</t>
        </is>
      </c>
    </row>
    <row r="206">
      <c r="A206" s="43" t="inlineStr">
        <is>
          <t>CTANJZ05029</t>
        </is>
      </c>
      <c r="B206" s="43" t="inlineStr">
        <is>
          <t>D608309</t>
        </is>
      </c>
      <c r="C206" s="43" t="inlineStr">
        <is>
          <t>STBU</t>
        </is>
      </c>
      <c r="D206" s="43" t="inlineStr">
        <is>
          <t>Expired</t>
        </is>
      </c>
      <c r="E206" s="32" t="n">
        <v>46049</v>
      </c>
      <c r="F206" s="32" t="n">
        <v>46092</v>
      </c>
      <c r="G206" s="43" t="n">
        <v>2</v>
      </c>
      <c r="H206" s="43" t="n">
        <v>2</v>
      </c>
      <c r="I206" s="33" t="inlineStr">
        <is>
          <t>73-103633-04</t>
        </is>
      </c>
      <c r="J206" s="33" t="inlineStr"/>
      <c r="K206" s="33" t="inlineStr"/>
      <c r="L206" s="34">
        <f>IF(F206="","REVIEW: DATE CONFLICT/EMPTY",IF(F206&lt;'Change Overview'!$B$5,"END DATE PASSED","END DATE NOT PASSED"))</f>
        <v/>
      </c>
      <c r="M206" s="34">
        <f>IF(K206&lt;&gt;"","REVIEW SOURCE CONFLICT",IF(OR(ISNUMBER(SEARCH("CCB",D206)),ISNUMBER(SEARCH("Pending",D206))),"CCB/PENDING",IF(OR(ISNUMBER(SEARCH("Expired",D206)),ISNUMBER(SEARCH("Closed",D206))),"CLOSED/EXPIRED",IF(E206="","NO RELEASE DATE","REVIEW APPROVAL"))))</f>
        <v/>
      </c>
      <c r="N206" s="34">
        <f>IF(K206&lt;&gt;"","HIGH: SOURCE CONFLICT",IF(AND(L206="END DATE NOT PASSED",M206="REVIEW APPROVAL"),"HIGH: VERIFY",IF(L206="END DATE NOT PASSED","MEDIUM: CHECK STATUS","LOW: HISTORICAL")))</f>
        <v/>
      </c>
      <c r="O206" s="33" t="inlineStr">
        <is>
          <t>Validar documento firmado, revision/WO/sitio, material afectado y evidencia antes de activar alerta automatica.</t>
        </is>
      </c>
    </row>
    <row r="207">
      <c r="A207" s="43" t="inlineStr">
        <is>
          <t>CTANJZ05041</t>
        </is>
      </c>
      <c r="B207" s="43" t="inlineStr">
        <is>
          <t>DP525661</t>
        </is>
      </c>
      <c r="C207" s="43" t="inlineStr">
        <is>
          <t>CVEBU</t>
        </is>
      </c>
      <c r="D207" s="43" t="inlineStr">
        <is>
          <t>Expired</t>
        </is>
      </c>
      <c r="E207" s="32" t="n">
        <v>46045</v>
      </c>
      <c r="F207" s="32" t="n">
        <v>46070</v>
      </c>
      <c r="G207" s="43" t="n">
        <v>1</v>
      </c>
      <c r="H207" s="43" t="n">
        <v>1</v>
      </c>
      <c r="I207" s="33" t="inlineStr">
        <is>
          <t>73-103826-04</t>
        </is>
      </c>
      <c r="J207" s="33" t="inlineStr"/>
      <c r="K207" s="33" t="inlineStr"/>
      <c r="L207" s="34">
        <f>IF(F207="","REVIEW: DATE CONFLICT/EMPTY",IF(F207&lt;'Change Overview'!$B$5,"END DATE PASSED","END DATE NOT PASSED"))</f>
        <v/>
      </c>
      <c r="M207" s="34">
        <f>IF(K207&lt;&gt;"","REVIEW SOURCE CONFLICT",IF(OR(ISNUMBER(SEARCH("CCB",D207)),ISNUMBER(SEARCH("Pending",D207))),"CCB/PENDING",IF(OR(ISNUMBER(SEARCH("Expired",D207)),ISNUMBER(SEARCH("Closed",D207))),"CLOSED/EXPIRED",IF(E207="","NO RELEASE DATE","REVIEW APPROVAL"))))</f>
        <v/>
      </c>
      <c r="N207" s="34">
        <f>IF(K207&lt;&gt;"","HIGH: SOURCE CONFLICT",IF(AND(L207="END DATE NOT PASSED",M207="REVIEW APPROVAL"),"HIGH: VERIFY",IF(L207="END DATE NOT PASSED","MEDIUM: CHECK STATUS","LOW: HISTORICAL")))</f>
        <v/>
      </c>
      <c r="O207" s="33" t="inlineStr">
        <is>
          <t>Validar documento firmado, revision/WO/sitio, material afectado y evidencia antes de activar alerta automatica.</t>
        </is>
      </c>
    </row>
    <row r="208">
      <c r="A208" s="43" t="inlineStr">
        <is>
          <t>CTANJZ05042</t>
        </is>
      </c>
      <c r="B208" s="43" t="inlineStr">
        <is>
          <t>D608554</t>
        </is>
      </c>
      <c r="C208" s="43" t="inlineStr">
        <is>
          <t>STBU</t>
        </is>
      </c>
      <c r="D208" s="43" t="inlineStr">
        <is>
          <t>Expired</t>
        </is>
      </c>
      <c r="E208" s="32" t="n">
        <v>46049</v>
      </c>
      <c r="F208" s="32" t="n">
        <v>46101</v>
      </c>
      <c r="G208" s="43" t="n">
        <v>4</v>
      </c>
      <c r="H208" s="43" t="n">
        <v>4</v>
      </c>
      <c r="I208" s="33" t="inlineStr">
        <is>
          <t>73-102433-05, 73-102434-05, 73-102435-05</t>
        </is>
      </c>
      <c r="J208" s="33" t="inlineStr"/>
      <c r="K208" s="33" t="inlineStr"/>
      <c r="L208" s="34">
        <f>IF(F208="","REVIEW: DATE CONFLICT/EMPTY",IF(F208&lt;'Change Overview'!$B$5,"END DATE PASSED","END DATE NOT PASSED"))</f>
        <v/>
      </c>
      <c r="M208" s="34">
        <f>IF(K208&lt;&gt;"","REVIEW SOURCE CONFLICT",IF(OR(ISNUMBER(SEARCH("CCB",D208)),ISNUMBER(SEARCH("Pending",D208))),"CCB/PENDING",IF(OR(ISNUMBER(SEARCH("Expired",D208)),ISNUMBER(SEARCH("Closed",D208))),"CLOSED/EXPIRED",IF(E208="","NO RELEASE DATE","REVIEW APPROVAL"))))</f>
        <v/>
      </c>
      <c r="N208" s="34">
        <f>IF(K208&lt;&gt;"","HIGH: SOURCE CONFLICT",IF(AND(L208="END DATE NOT PASSED",M208="REVIEW APPROVAL"),"HIGH: VERIFY",IF(L208="END DATE NOT PASSED","MEDIUM: CHECK STATUS","LOW: HISTORICAL")))</f>
        <v/>
      </c>
      <c r="O208" s="33" t="inlineStr">
        <is>
          <t>Validar documento firmado, revision/WO/sitio, material afectado y evidencia antes de activar alerta automatica.</t>
        </is>
      </c>
    </row>
    <row r="209">
      <c r="A209" s="43" t="inlineStr">
        <is>
          <t>CTANJZ05045</t>
        </is>
      </c>
      <c r="B209" s="43" t="inlineStr">
        <is>
          <t>D607856</t>
        </is>
      </c>
      <c r="C209" s="43" t="inlineStr">
        <is>
          <t>STBU</t>
        </is>
      </c>
      <c r="D209" s="43" t="inlineStr">
        <is>
          <t>Expired</t>
        </is>
      </c>
      <c r="E209" s="32" t="n">
        <v>46049</v>
      </c>
      <c r="F209" s="32" t="n">
        <v>46104</v>
      </c>
      <c r="G209" s="43" t="n">
        <v>6</v>
      </c>
      <c r="H209" s="43" t="n">
        <v>6</v>
      </c>
      <c r="I209" s="33" t="inlineStr"/>
      <c r="J209" s="33" t="inlineStr"/>
      <c r="K209" s="33" t="inlineStr"/>
      <c r="L209" s="34">
        <f>IF(F209="","REVIEW: DATE CONFLICT/EMPTY",IF(F209&lt;'Change Overview'!$B$5,"END DATE PASSED","END DATE NOT PASSED"))</f>
        <v/>
      </c>
      <c r="M209" s="34">
        <f>IF(K209&lt;&gt;"","REVIEW SOURCE CONFLICT",IF(OR(ISNUMBER(SEARCH("CCB",D209)),ISNUMBER(SEARCH("Pending",D209))),"CCB/PENDING",IF(OR(ISNUMBER(SEARCH("Expired",D209)),ISNUMBER(SEARCH("Closed",D209))),"CLOSED/EXPIRED",IF(E209="","NO RELEASE DATE","REVIEW APPROVAL"))))</f>
        <v/>
      </c>
      <c r="N209" s="34">
        <f>IF(K209&lt;&gt;"","HIGH: SOURCE CONFLICT",IF(AND(L209="END DATE NOT PASSED",M209="REVIEW APPROVAL"),"HIGH: VERIFY",IF(L209="END DATE NOT PASSED","MEDIUM: CHECK STATUS","LOW: HISTORICAL")))</f>
        <v/>
      </c>
      <c r="O209" s="33" t="inlineStr">
        <is>
          <t>Validar documento firmado, revision/WO/sitio, material afectado y evidencia antes de activar alerta automatica.</t>
        </is>
      </c>
    </row>
    <row r="210">
      <c r="A210" s="43" t="inlineStr">
        <is>
          <t>CTANJZ05046</t>
        </is>
      </c>
      <c r="B210" s="43" t="inlineStr">
        <is>
          <t>D608209</t>
        </is>
      </c>
      <c r="C210" s="43" t="inlineStr">
        <is>
          <t>SRGBU</t>
        </is>
      </c>
      <c r="D210" s="43" t="inlineStr">
        <is>
          <t>Expired</t>
        </is>
      </c>
      <c r="E210" s="32" t="n">
        <v>46039</v>
      </c>
      <c r="F210" s="32" t="n">
        <v>46101</v>
      </c>
      <c r="G210" s="43" t="n">
        <v>1</v>
      </c>
      <c r="H210" s="43" t="n">
        <v>1</v>
      </c>
      <c r="I210" s="33" t="inlineStr"/>
      <c r="J210" s="33" t="inlineStr"/>
      <c r="K210" s="33" t="inlineStr"/>
      <c r="L210" s="34">
        <f>IF(F210="","REVIEW: DATE CONFLICT/EMPTY",IF(F210&lt;'Change Overview'!$B$5,"END DATE PASSED","END DATE NOT PASSED"))</f>
        <v/>
      </c>
      <c r="M210" s="34">
        <f>IF(K210&lt;&gt;"","REVIEW SOURCE CONFLICT",IF(OR(ISNUMBER(SEARCH("CCB",D210)),ISNUMBER(SEARCH("Pending",D210))),"CCB/PENDING",IF(OR(ISNUMBER(SEARCH("Expired",D210)),ISNUMBER(SEARCH("Closed",D210))),"CLOSED/EXPIRED",IF(E210="","NO RELEASE DATE","REVIEW APPROVAL"))))</f>
        <v/>
      </c>
      <c r="N210" s="34">
        <f>IF(K210&lt;&gt;"","HIGH: SOURCE CONFLICT",IF(AND(L210="END DATE NOT PASSED",M210="REVIEW APPROVAL"),"HIGH: VERIFY",IF(L210="END DATE NOT PASSED","MEDIUM: CHECK STATUS","LOW: HISTORICAL")))</f>
        <v/>
      </c>
      <c r="O210" s="33" t="inlineStr">
        <is>
          <t>Validar documento firmado, revision/WO/sitio, material afectado y evidencia antes de activar alerta automatica.</t>
        </is>
      </c>
    </row>
    <row r="211">
      <c r="A211" s="43" t="inlineStr">
        <is>
          <t>CTANJZ05048</t>
        </is>
      </c>
      <c r="B211" s="43" t="inlineStr">
        <is>
          <t>D608514</t>
        </is>
      </c>
      <c r="C211" s="43" t="inlineStr">
        <is>
          <t>STBU</t>
        </is>
      </c>
      <c r="D211" s="43" t="inlineStr">
        <is>
          <t>Expired</t>
        </is>
      </c>
      <c r="E211" s="32" t="n">
        <v>46049</v>
      </c>
      <c r="F211" s="32" t="n">
        <v>46104</v>
      </c>
      <c r="G211" s="43" t="n">
        <v>2</v>
      </c>
      <c r="H211" s="43" t="n">
        <v>2</v>
      </c>
      <c r="I211" s="33" t="inlineStr">
        <is>
          <t>73-21007-02</t>
        </is>
      </c>
      <c r="J211" s="33" t="inlineStr"/>
      <c r="K211" s="33" t="inlineStr"/>
      <c r="L211" s="34">
        <f>IF(F211="","REVIEW: DATE CONFLICT/EMPTY",IF(F211&lt;'Change Overview'!$B$5,"END DATE PASSED","END DATE NOT PASSED"))</f>
        <v/>
      </c>
      <c r="M211" s="34">
        <f>IF(K211&lt;&gt;"","REVIEW SOURCE CONFLICT",IF(OR(ISNUMBER(SEARCH("CCB",D211)),ISNUMBER(SEARCH("Pending",D211))),"CCB/PENDING",IF(OR(ISNUMBER(SEARCH("Expired",D211)),ISNUMBER(SEARCH("Closed",D211))),"CLOSED/EXPIRED",IF(E211="","NO RELEASE DATE","REVIEW APPROVAL"))))</f>
        <v/>
      </c>
      <c r="N211" s="34">
        <f>IF(K211&lt;&gt;"","HIGH: SOURCE CONFLICT",IF(AND(L211="END DATE NOT PASSED",M211="REVIEW APPROVAL"),"HIGH: VERIFY",IF(L211="END DATE NOT PASSED","MEDIUM: CHECK STATUS","LOW: HISTORICAL")))</f>
        <v/>
      </c>
      <c r="O211" s="33" t="inlineStr">
        <is>
          <t>Validar documento firmado, revision/WO/sitio, material afectado y evidencia antes de activar alerta automatica.</t>
        </is>
      </c>
    </row>
    <row r="212">
      <c r="A212" s="43" t="inlineStr">
        <is>
          <t>CTANJZ05050</t>
        </is>
      </c>
      <c r="B212" s="43" t="inlineStr">
        <is>
          <t>D608532</t>
        </is>
      </c>
      <c r="C212" s="43" t="inlineStr">
        <is>
          <t>STBU</t>
        </is>
      </c>
      <c r="D212" s="43" t="inlineStr">
        <is>
          <t>Expired</t>
        </is>
      </c>
      <c r="E212" s="32" t="n">
        <v>46049</v>
      </c>
      <c r="F212" s="32" t="n">
        <v>46101</v>
      </c>
      <c r="G212" s="43" t="n">
        <v>8</v>
      </c>
      <c r="H212" s="43" t="n">
        <v>8</v>
      </c>
      <c r="I212" s="33" t="inlineStr"/>
      <c r="J212" s="33" t="inlineStr"/>
      <c r="K212" s="33" t="inlineStr"/>
      <c r="L212" s="34">
        <f>IF(F212="","REVIEW: DATE CONFLICT/EMPTY",IF(F212&lt;'Change Overview'!$B$5,"END DATE PASSED","END DATE NOT PASSED"))</f>
        <v/>
      </c>
      <c r="M212" s="34">
        <f>IF(K212&lt;&gt;"","REVIEW SOURCE CONFLICT",IF(OR(ISNUMBER(SEARCH("CCB",D212)),ISNUMBER(SEARCH("Pending",D212))),"CCB/PENDING",IF(OR(ISNUMBER(SEARCH("Expired",D212)),ISNUMBER(SEARCH("Closed",D212))),"CLOSED/EXPIRED",IF(E212="","NO RELEASE DATE","REVIEW APPROVAL"))))</f>
        <v/>
      </c>
      <c r="N212" s="34">
        <f>IF(K212&lt;&gt;"","HIGH: SOURCE CONFLICT",IF(AND(L212="END DATE NOT PASSED",M212="REVIEW APPROVAL"),"HIGH: VERIFY",IF(L212="END DATE NOT PASSED","MEDIUM: CHECK STATUS","LOW: HISTORICAL")))</f>
        <v/>
      </c>
      <c r="O212" s="33" t="inlineStr">
        <is>
          <t>Validar documento firmado, revision/WO/sitio, material afectado y evidencia antes de activar alerta automatica.</t>
        </is>
      </c>
    </row>
    <row r="213">
      <c r="A213" s="43" t="inlineStr">
        <is>
          <t>CTANJZ05051</t>
        </is>
      </c>
      <c r="B213" s="43" t="inlineStr">
        <is>
          <t>D608434</t>
        </is>
      </c>
      <c r="C213" s="43" t="inlineStr">
        <is>
          <t>SRGBU</t>
        </is>
      </c>
      <c r="D213" s="43" t="inlineStr">
        <is>
          <t>Expired</t>
        </is>
      </c>
      <c r="E213" s="32" t="n">
        <v>46045</v>
      </c>
      <c r="F213" s="32" t="n">
        <v>46104</v>
      </c>
      <c r="G213" s="43" t="n">
        <v>2</v>
      </c>
      <c r="H213" s="43" t="n">
        <v>2</v>
      </c>
      <c r="I213" s="33" t="inlineStr"/>
      <c r="J213" s="33" t="inlineStr"/>
      <c r="K213" s="33" t="inlineStr"/>
      <c r="L213" s="34">
        <f>IF(F213="","REVIEW: DATE CONFLICT/EMPTY",IF(F213&lt;'Change Overview'!$B$5,"END DATE PASSED","END DATE NOT PASSED"))</f>
        <v/>
      </c>
      <c r="M213" s="34">
        <f>IF(K213&lt;&gt;"","REVIEW SOURCE CONFLICT",IF(OR(ISNUMBER(SEARCH("CCB",D213)),ISNUMBER(SEARCH("Pending",D213))),"CCB/PENDING",IF(OR(ISNUMBER(SEARCH("Expired",D213)),ISNUMBER(SEARCH("Closed",D213))),"CLOSED/EXPIRED",IF(E213="","NO RELEASE DATE","REVIEW APPROVAL"))))</f>
        <v/>
      </c>
      <c r="N213" s="34">
        <f>IF(K213&lt;&gt;"","HIGH: SOURCE CONFLICT",IF(AND(L213="END DATE NOT PASSED",M213="REVIEW APPROVAL"),"HIGH: VERIFY",IF(L213="END DATE NOT PASSED","MEDIUM: CHECK STATUS","LOW: HISTORICAL")))</f>
        <v/>
      </c>
      <c r="O213" s="33" t="inlineStr">
        <is>
          <t>Validar documento firmado, revision/WO/sitio, material afectado y evidencia antes de activar alerta automatica.</t>
        </is>
      </c>
    </row>
    <row r="214">
      <c r="A214" s="43" t="inlineStr">
        <is>
          <t>CTANJZ05052</t>
        </is>
      </c>
      <c r="B214" s="43" t="inlineStr">
        <is>
          <t>D607542</t>
        </is>
      </c>
      <c r="C214" s="43" t="inlineStr">
        <is>
          <t>CVEBU</t>
        </is>
      </c>
      <c r="D214" s="43" t="inlineStr">
        <is>
          <t>Expired</t>
        </is>
      </c>
      <c r="E214" s="32" t="n">
        <v>46036</v>
      </c>
      <c r="F214" s="32" t="n">
        <v>46105</v>
      </c>
      <c r="G214" s="43" t="n">
        <v>2</v>
      </c>
      <c r="H214" s="43" t="n">
        <v>2</v>
      </c>
      <c r="I214" s="33" t="inlineStr"/>
      <c r="J214" s="33" t="inlineStr"/>
      <c r="K214" s="33" t="inlineStr"/>
      <c r="L214" s="34">
        <f>IF(F214="","REVIEW: DATE CONFLICT/EMPTY",IF(F214&lt;'Change Overview'!$B$5,"END DATE PASSED","END DATE NOT PASSED"))</f>
        <v/>
      </c>
      <c r="M214" s="34">
        <f>IF(K214&lt;&gt;"","REVIEW SOURCE CONFLICT",IF(OR(ISNUMBER(SEARCH("CCB",D214)),ISNUMBER(SEARCH("Pending",D214))),"CCB/PENDING",IF(OR(ISNUMBER(SEARCH("Expired",D214)),ISNUMBER(SEARCH("Closed",D214))),"CLOSED/EXPIRED",IF(E214="","NO RELEASE DATE","REVIEW APPROVAL"))))</f>
        <v/>
      </c>
      <c r="N214" s="34">
        <f>IF(K214&lt;&gt;"","HIGH: SOURCE CONFLICT",IF(AND(L214="END DATE NOT PASSED",M214="REVIEW APPROVAL"),"HIGH: VERIFY",IF(L214="END DATE NOT PASSED","MEDIUM: CHECK STATUS","LOW: HISTORICAL")))</f>
        <v/>
      </c>
      <c r="O214" s="33" t="inlineStr">
        <is>
          <t>Validar documento firmado, revision/WO/sitio, material afectado y evidencia antes de activar alerta automatica.</t>
        </is>
      </c>
    </row>
    <row r="215">
      <c r="A215" s="43" t="inlineStr">
        <is>
          <t>CTANJZ05056</t>
        </is>
      </c>
      <c r="B215" s="43" t="inlineStr">
        <is>
          <t>D608410</t>
        </is>
      </c>
      <c r="C215" s="43" t="inlineStr">
        <is>
          <t>SRGBU</t>
        </is>
      </c>
      <c r="D215" s="43" t="inlineStr">
        <is>
          <t>Expired</t>
        </is>
      </c>
      <c r="E215" s="32" t="n">
        <v>46045</v>
      </c>
      <c r="F215" s="32" t="n">
        <v>46112</v>
      </c>
      <c r="G215" s="43" t="n">
        <v>2</v>
      </c>
      <c r="H215" s="43" t="n">
        <v>2</v>
      </c>
      <c r="I215" s="33" t="inlineStr"/>
      <c r="J215" s="33" t="inlineStr"/>
      <c r="K215" s="33" t="inlineStr"/>
      <c r="L215" s="34">
        <f>IF(F215="","REVIEW: DATE CONFLICT/EMPTY",IF(F215&lt;'Change Overview'!$B$5,"END DATE PASSED","END DATE NOT PASSED"))</f>
        <v/>
      </c>
      <c r="M215" s="34">
        <f>IF(K215&lt;&gt;"","REVIEW SOURCE CONFLICT",IF(OR(ISNUMBER(SEARCH("CCB",D215)),ISNUMBER(SEARCH("Pending",D215))),"CCB/PENDING",IF(OR(ISNUMBER(SEARCH("Expired",D215)),ISNUMBER(SEARCH("Closed",D215))),"CLOSED/EXPIRED",IF(E215="","NO RELEASE DATE","REVIEW APPROVAL"))))</f>
        <v/>
      </c>
      <c r="N215" s="34">
        <f>IF(K215&lt;&gt;"","HIGH: SOURCE CONFLICT",IF(AND(L215="END DATE NOT PASSED",M215="REVIEW APPROVAL"),"HIGH: VERIFY",IF(L215="END DATE NOT PASSED","MEDIUM: CHECK STATUS","LOW: HISTORICAL")))</f>
        <v/>
      </c>
      <c r="O215" s="33" t="inlineStr">
        <is>
          <t>Validar documento firmado, revision/WO/sitio, material afectado y evidencia antes de activar alerta automatica.</t>
        </is>
      </c>
    </row>
    <row r="216">
      <c r="A216" s="43" t="inlineStr">
        <is>
          <t>CTANJZ05059</t>
        </is>
      </c>
      <c r="B216" s="43" t="inlineStr">
        <is>
          <t>D608814</t>
        </is>
      </c>
      <c r="C216" s="43" t="inlineStr">
        <is>
          <t>STBU</t>
        </is>
      </c>
      <c r="D216" s="43" t="inlineStr">
        <is>
          <t>Expired</t>
        </is>
      </c>
      <c r="E216" s="32" t="n">
        <v>46053</v>
      </c>
      <c r="F216" s="32" t="n">
        <v>46121</v>
      </c>
      <c r="G216" s="43" t="n">
        <v>2</v>
      </c>
      <c r="H216" s="43" t="n">
        <v>2</v>
      </c>
      <c r="I216" s="33" t="inlineStr"/>
      <c r="J216" s="33" t="inlineStr"/>
      <c r="K216" s="33" t="inlineStr"/>
      <c r="L216" s="34">
        <f>IF(F216="","REVIEW: DATE CONFLICT/EMPTY",IF(F216&lt;'Change Overview'!$B$5,"END DATE PASSED","END DATE NOT PASSED"))</f>
        <v/>
      </c>
      <c r="M216" s="34">
        <f>IF(K216&lt;&gt;"","REVIEW SOURCE CONFLICT",IF(OR(ISNUMBER(SEARCH("CCB",D216)),ISNUMBER(SEARCH("Pending",D216))),"CCB/PENDING",IF(OR(ISNUMBER(SEARCH("Expired",D216)),ISNUMBER(SEARCH("Closed",D216))),"CLOSED/EXPIRED",IF(E216="","NO RELEASE DATE","REVIEW APPROVAL"))))</f>
        <v/>
      </c>
      <c r="N216" s="34">
        <f>IF(K216&lt;&gt;"","HIGH: SOURCE CONFLICT",IF(AND(L216="END DATE NOT PASSED",M216="REVIEW APPROVAL"),"HIGH: VERIFY",IF(L216="END DATE NOT PASSED","MEDIUM: CHECK STATUS","LOW: HISTORICAL")))</f>
        <v/>
      </c>
      <c r="O216" s="33" t="inlineStr">
        <is>
          <t>Validar documento firmado, revision/WO/sitio, material afectado y evidencia antes de activar alerta automatica.</t>
        </is>
      </c>
    </row>
    <row r="217">
      <c r="A217" s="43" t="inlineStr">
        <is>
          <t>CTANJZ05060</t>
        </is>
      </c>
      <c r="B217" s="43" t="inlineStr">
        <is>
          <t>D608530</t>
        </is>
      </c>
      <c r="C217" s="43" t="inlineStr">
        <is>
          <t>STBU</t>
        </is>
      </c>
      <c r="D217" s="43" t="inlineStr">
        <is>
          <t>Expired</t>
        </is>
      </c>
      <c r="E217" s="32" t="n">
        <v>46049</v>
      </c>
      <c r="F217" s="32" t="n">
        <v>46122</v>
      </c>
      <c r="G217" s="43" t="n">
        <v>3</v>
      </c>
      <c r="H217" s="43" t="n">
        <v>3</v>
      </c>
      <c r="I217" s="33" t="inlineStr"/>
      <c r="J217" s="33" t="inlineStr"/>
      <c r="K217" s="33" t="inlineStr"/>
      <c r="L217" s="34">
        <f>IF(F217="","REVIEW: DATE CONFLICT/EMPTY",IF(F217&lt;'Change Overview'!$B$5,"END DATE PASSED","END DATE NOT PASSED"))</f>
        <v/>
      </c>
      <c r="M217" s="34">
        <f>IF(K217&lt;&gt;"","REVIEW SOURCE CONFLICT",IF(OR(ISNUMBER(SEARCH("CCB",D217)),ISNUMBER(SEARCH("Pending",D217))),"CCB/PENDING",IF(OR(ISNUMBER(SEARCH("Expired",D217)),ISNUMBER(SEARCH("Closed",D217))),"CLOSED/EXPIRED",IF(E217="","NO RELEASE DATE","REVIEW APPROVAL"))))</f>
        <v/>
      </c>
      <c r="N217" s="34">
        <f>IF(K217&lt;&gt;"","HIGH: SOURCE CONFLICT",IF(AND(L217="END DATE NOT PASSED",M217="REVIEW APPROVAL"),"HIGH: VERIFY",IF(L217="END DATE NOT PASSED","MEDIUM: CHECK STATUS","LOW: HISTORICAL")))</f>
        <v/>
      </c>
      <c r="O217" s="33" t="inlineStr">
        <is>
          <t>Validar documento firmado, revision/WO/sitio, material afectado y evidencia antes de activar alerta automatica.</t>
        </is>
      </c>
    </row>
    <row r="218">
      <c r="A218" s="43" t="inlineStr">
        <is>
          <t>CTANJZ05061</t>
        </is>
      </c>
      <c r="B218" s="43" t="inlineStr">
        <is>
          <t>D608308</t>
        </is>
      </c>
      <c r="C218" s="43" t="inlineStr">
        <is>
          <t>CVEBU</t>
        </is>
      </c>
      <c r="D218" s="43" t="inlineStr">
        <is>
          <t>Expired</t>
        </is>
      </c>
      <c r="E218" s="32" t="n">
        <v>46039</v>
      </c>
      <c r="F218" s="32" t="n">
        <v>46121</v>
      </c>
      <c r="G218" s="43" t="n">
        <v>2</v>
      </c>
      <c r="H218" s="43" t="n">
        <v>2</v>
      </c>
      <c r="I218" s="33" t="inlineStr">
        <is>
          <t>73-103720-04</t>
        </is>
      </c>
      <c r="J218" s="33" t="inlineStr"/>
      <c r="K218" s="33" t="inlineStr"/>
      <c r="L218" s="34">
        <f>IF(F218="","REVIEW: DATE CONFLICT/EMPTY",IF(F218&lt;'Change Overview'!$B$5,"END DATE PASSED","END DATE NOT PASSED"))</f>
        <v/>
      </c>
      <c r="M218" s="34">
        <f>IF(K218&lt;&gt;"","REVIEW SOURCE CONFLICT",IF(OR(ISNUMBER(SEARCH("CCB",D218)),ISNUMBER(SEARCH("Pending",D218))),"CCB/PENDING",IF(OR(ISNUMBER(SEARCH("Expired",D218)),ISNUMBER(SEARCH("Closed",D218))),"CLOSED/EXPIRED",IF(E218="","NO RELEASE DATE","REVIEW APPROVAL"))))</f>
        <v/>
      </c>
      <c r="N218" s="34">
        <f>IF(K218&lt;&gt;"","HIGH: SOURCE CONFLICT",IF(AND(L218="END DATE NOT PASSED",M218="REVIEW APPROVAL"),"HIGH: VERIFY",IF(L218="END DATE NOT PASSED","MEDIUM: CHECK STATUS","LOW: HISTORICAL")))</f>
        <v/>
      </c>
      <c r="O218" s="33" t="inlineStr">
        <is>
          <t>Validar documento firmado, revision/WO/sitio, material afectado y evidencia antes de activar alerta automatica.</t>
        </is>
      </c>
    </row>
    <row r="219">
      <c r="A219" s="43" t="inlineStr">
        <is>
          <t>CTANJZ05063</t>
        </is>
      </c>
      <c r="B219" s="43" t="inlineStr">
        <is>
          <t>DP525718</t>
        </is>
      </c>
      <c r="C219" s="43" t="inlineStr">
        <is>
          <t>CVEBU</t>
        </is>
      </c>
      <c r="D219" s="43" t="inlineStr">
        <is>
          <t>Expired</t>
        </is>
      </c>
      <c r="E219" s="32" t="n">
        <v>46045</v>
      </c>
      <c r="F219" s="32" t="n">
        <v>46094</v>
      </c>
      <c r="G219" s="43" t="n">
        <v>2</v>
      </c>
      <c r="H219" s="43" t="n">
        <v>2</v>
      </c>
      <c r="I219" s="33" t="inlineStr"/>
      <c r="J219" s="33" t="inlineStr"/>
      <c r="K219" s="33" t="inlineStr"/>
      <c r="L219" s="34">
        <f>IF(F219="","REVIEW: DATE CONFLICT/EMPTY",IF(F219&lt;'Change Overview'!$B$5,"END DATE PASSED","END DATE NOT PASSED"))</f>
        <v/>
      </c>
      <c r="M219" s="34">
        <f>IF(K219&lt;&gt;"","REVIEW SOURCE CONFLICT",IF(OR(ISNUMBER(SEARCH("CCB",D219)),ISNUMBER(SEARCH("Pending",D219))),"CCB/PENDING",IF(OR(ISNUMBER(SEARCH("Expired",D219)),ISNUMBER(SEARCH("Closed",D219))),"CLOSED/EXPIRED",IF(E219="","NO RELEASE DATE","REVIEW APPROVAL"))))</f>
        <v/>
      </c>
      <c r="N219" s="34">
        <f>IF(K219&lt;&gt;"","HIGH: SOURCE CONFLICT",IF(AND(L219="END DATE NOT PASSED",M219="REVIEW APPROVAL"),"HIGH: VERIFY",IF(L219="END DATE NOT PASSED","MEDIUM: CHECK STATUS","LOW: HISTORICAL")))</f>
        <v/>
      </c>
      <c r="O219" s="33" t="inlineStr">
        <is>
          <t>Validar documento firmado, revision/WO/sitio, material afectado y evidencia antes de activar alerta automatica.</t>
        </is>
      </c>
    </row>
    <row r="220">
      <c r="A220" s="43" t="inlineStr">
        <is>
          <t>CTANJZ05064</t>
        </is>
      </c>
      <c r="B220" s="43" t="inlineStr">
        <is>
          <t>D608788</t>
        </is>
      </c>
      <c r="C220" s="43" t="inlineStr">
        <is>
          <t>STBU</t>
        </is>
      </c>
      <c r="D220" s="43" t="inlineStr">
        <is>
          <t>Expired</t>
        </is>
      </c>
      <c r="E220" s="32" t="n">
        <v>46064</v>
      </c>
      <c r="F220" s="32" t="n">
        <v>46126</v>
      </c>
      <c r="G220" s="43" t="n">
        <v>2</v>
      </c>
      <c r="H220" s="43" t="n">
        <v>2</v>
      </c>
      <c r="I220" s="33" t="inlineStr">
        <is>
          <t>73-102435-05</t>
        </is>
      </c>
      <c r="J220" s="33" t="inlineStr"/>
      <c r="K220" s="33" t="inlineStr"/>
      <c r="L220" s="34">
        <f>IF(F220="","REVIEW: DATE CONFLICT/EMPTY",IF(F220&lt;'Change Overview'!$B$5,"END DATE PASSED","END DATE NOT PASSED"))</f>
        <v/>
      </c>
      <c r="M220" s="34">
        <f>IF(K220&lt;&gt;"","REVIEW SOURCE CONFLICT",IF(OR(ISNUMBER(SEARCH("CCB",D220)),ISNUMBER(SEARCH("Pending",D220))),"CCB/PENDING",IF(OR(ISNUMBER(SEARCH("Expired",D220)),ISNUMBER(SEARCH("Closed",D220))),"CLOSED/EXPIRED",IF(E220="","NO RELEASE DATE","REVIEW APPROVAL"))))</f>
        <v/>
      </c>
      <c r="N220" s="34">
        <f>IF(K220&lt;&gt;"","HIGH: SOURCE CONFLICT",IF(AND(L220="END DATE NOT PASSED",M220="REVIEW APPROVAL"),"HIGH: VERIFY",IF(L220="END DATE NOT PASSED","MEDIUM: CHECK STATUS","LOW: HISTORICAL")))</f>
        <v/>
      </c>
      <c r="O220" s="33" t="inlineStr">
        <is>
          <t>Validar documento firmado, revision/WO/sitio, material afectado y evidencia antes de activar alerta automatica.</t>
        </is>
      </c>
    </row>
    <row r="221">
      <c r="A221" s="43" t="inlineStr">
        <is>
          <t>CTANJZ05067</t>
        </is>
      </c>
      <c r="B221" s="43" t="inlineStr">
        <is>
          <t>D608828</t>
        </is>
      </c>
      <c r="C221" s="43" t="inlineStr">
        <is>
          <t>STBU</t>
        </is>
      </c>
      <c r="D221" s="43" t="inlineStr">
        <is>
          <t>Expired</t>
        </is>
      </c>
      <c r="E221" s="32" t="n">
        <v>46053</v>
      </c>
      <c r="F221" s="32" t="n">
        <v>46127</v>
      </c>
      <c r="G221" s="43" t="n">
        <v>7</v>
      </c>
      <c r="H221" s="43" t="n">
        <v>7</v>
      </c>
      <c r="I221" s="33" t="inlineStr"/>
      <c r="J221" s="33" t="inlineStr"/>
      <c r="K221" s="33" t="inlineStr"/>
      <c r="L221" s="34">
        <f>IF(F221="","REVIEW: DATE CONFLICT/EMPTY",IF(F221&lt;'Change Overview'!$B$5,"END DATE PASSED","END DATE NOT PASSED"))</f>
        <v/>
      </c>
      <c r="M221" s="34">
        <f>IF(K221&lt;&gt;"","REVIEW SOURCE CONFLICT",IF(OR(ISNUMBER(SEARCH("CCB",D221)),ISNUMBER(SEARCH("Pending",D221))),"CCB/PENDING",IF(OR(ISNUMBER(SEARCH("Expired",D221)),ISNUMBER(SEARCH("Closed",D221))),"CLOSED/EXPIRED",IF(E221="","NO RELEASE DATE","REVIEW APPROVAL"))))</f>
        <v/>
      </c>
      <c r="N221" s="34">
        <f>IF(K221&lt;&gt;"","HIGH: SOURCE CONFLICT",IF(AND(L221="END DATE NOT PASSED",M221="REVIEW APPROVAL"),"HIGH: VERIFY",IF(L221="END DATE NOT PASSED","MEDIUM: CHECK STATUS","LOW: HISTORICAL")))</f>
        <v/>
      </c>
      <c r="O221" s="33" t="inlineStr">
        <is>
          <t>Validar documento firmado, revision/WO/sitio, material afectado y evidencia antes de activar alerta automatica.</t>
        </is>
      </c>
    </row>
    <row r="222">
      <c r="A222" s="43" t="inlineStr">
        <is>
          <t>CTANJZ05068</t>
        </is>
      </c>
      <c r="B222" s="43" t="inlineStr">
        <is>
          <t>D609010</t>
        </is>
      </c>
      <c r="C222" s="43" t="inlineStr">
        <is>
          <t>CVEBU</t>
        </is>
      </c>
      <c r="D222" s="43" t="inlineStr">
        <is>
          <t>Expired</t>
        </is>
      </c>
      <c r="E222" s="32" t="n">
        <v>46049</v>
      </c>
      <c r="F222" s="32" t="n">
        <v>46127</v>
      </c>
      <c r="G222" s="43" t="n">
        <v>2</v>
      </c>
      <c r="H222" s="43" t="n">
        <v>2</v>
      </c>
      <c r="I222" s="33" t="inlineStr">
        <is>
          <t>73-103820-04</t>
        </is>
      </c>
      <c r="J222" s="33" t="inlineStr"/>
      <c r="K222" s="33" t="inlineStr"/>
      <c r="L222" s="34">
        <f>IF(F222="","REVIEW: DATE CONFLICT/EMPTY",IF(F222&lt;'Change Overview'!$B$5,"END DATE PASSED","END DATE NOT PASSED"))</f>
        <v/>
      </c>
      <c r="M222" s="34">
        <f>IF(K222&lt;&gt;"","REVIEW SOURCE CONFLICT",IF(OR(ISNUMBER(SEARCH("CCB",D222)),ISNUMBER(SEARCH("Pending",D222))),"CCB/PENDING",IF(OR(ISNUMBER(SEARCH("Expired",D222)),ISNUMBER(SEARCH("Closed",D222))),"CLOSED/EXPIRED",IF(E222="","NO RELEASE DATE","REVIEW APPROVAL"))))</f>
        <v/>
      </c>
      <c r="N222" s="34">
        <f>IF(K222&lt;&gt;"","HIGH: SOURCE CONFLICT",IF(AND(L222="END DATE NOT PASSED",M222="REVIEW APPROVAL"),"HIGH: VERIFY",IF(L222="END DATE NOT PASSED","MEDIUM: CHECK STATUS","LOW: HISTORICAL")))</f>
        <v/>
      </c>
      <c r="O222" s="33" t="inlineStr">
        <is>
          <t>Validar documento firmado, revision/WO/sitio, material afectado y evidencia antes de activar alerta automatica.</t>
        </is>
      </c>
    </row>
    <row r="223">
      <c r="A223" s="43" t="inlineStr">
        <is>
          <t>CTANJZ05073</t>
        </is>
      </c>
      <c r="B223" s="43" t="inlineStr">
        <is>
          <t>D609045</t>
        </is>
      </c>
      <c r="C223" s="43" t="inlineStr">
        <is>
          <t>STBU</t>
        </is>
      </c>
      <c r="D223" s="43" t="inlineStr">
        <is>
          <t>Expired</t>
        </is>
      </c>
      <c r="E223" s="32" t="n">
        <v>46064</v>
      </c>
      <c r="F223" s="32" t="n">
        <v>46131</v>
      </c>
      <c r="G223" s="43" t="n">
        <v>2</v>
      </c>
      <c r="H223" s="43" t="n">
        <v>2</v>
      </c>
      <c r="I223" s="33" t="inlineStr">
        <is>
          <t>73-103125-02</t>
        </is>
      </c>
      <c r="J223" s="33" t="inlineStr"/>
      <c r="K223" s="33" t="inlineStr"/>
      <c r="L223" s="34">
        <f>IF(F223="","REVIEW: DATE CONFLICT/EMPTY",IF(F223&lt;'Change Overview'!$B$5,"END DATE PASSED","END DATE NOT PASSED"))</f>
        <v/>
      </c>
      <c r="M223" s="34">
        <f>IF(K223&lt;&gt;"","REVIEW SOURCE CONFLICT",IF(OR(ISNUMBER(SEARCH("CCB",D223)),ISNUMBER(SEARCH("Pending",D223))),"CCB/PENDING",IF(OR(ISNUMBER(SEARCH("Expired",D223)),ISNUMBER(SEARCH("Closed",D223))),"CLOSED/EXPIRED",IF(E223="","NO RELEASE DATE","REVIEW APPROVAL"))))</f>
        <v/>
      </c>
      <c r="N223" s="34">
        <f>IF(K223&lt;&gt;"","HIGH: SOURCE CONFLICT",IF(AND(L223="END DATE NOT PASSED",M223="REVIEW APPROVAL"),"HIGH: VERIFY",IF(L223="END DATE NOT PASSED","MEDIUM: CHECK STATUS","LOW: HISTORICAL")))</f>
        <v/>
      </c>
      <c r="O223" s="33" t="inlineStr">
        <is>
          <t>Validar documento firmado, revision/WO/sitio, material afectado y evidencia antes de activar alerta automatica.</t>
        </is>
      </c>
    </row>
    <row r="224">
      <c r="A224" s="43" t="inlineStr">
        <is>
          <t>CTANJZ05079</t>
        </is>
      </c>
      <c r="B224" s="43" t="inlineStr">
        <is>
          <t>D608804</t>
        </is>
      </c>
      <c r="C224" s="43" t="inlineStr">
        <is>
          <t>SRGBU</t>
        </is>
      </c>
      <c r="D224" s="43" t="inlineStr">
        <is>
          <t>Expired</t>
        </is>
      </c>
      <c r="E224" s="32" t="n">
        <v>46053</v>
      </c>
      <c r="F224" s="32" t="n">
        <v>46133</v>
      </c>
      <c r="G224" s="43" t="n">
        <v>1</v>
      </c>
      <c r="H224" s="43" t="n">
        <v>1</v>
      </c>
      <c r="I224" s="33" t="inlineStr"/>
      <c r="J224" s="33" t="inlineStr"/>
      <c r="K224" s="33" t="inlineStr"/>
      <c r="L224" s="34">
        <f>IF(F224="","REVIEW: DATE CONFLICT/EMPTY",IF(F224&lt;'Change Overview'!$B$5,"END DATE PASSED","END DATE NOT PASSED"))</f>
        <v/>
      </c>
      <c r="M224" s="34">
        <f>IF(K224&lt;&gt;"","REVIEW SOURCE CONFLICT",IF(OR(ISNUMBER(SEARCH("CCB",D224)),ISNUMBER(SEARCH("Pending",D224))),"CCB/PENDING",IF(OR(ISNUMBER(SEARCH("Expired",D224)),ISNUMBER(SEARCH("Closed",D224))),"CLOSED/EXPIRED",IF(E224="","NO RELEASE DATE","REVIEW APPROVAL"))))</f>
        <v/>
      </c>
      <c r="N224" s="34">
        <f>IF(K224&lt;&gt;"","HIGH: SOURCE CONFLICT",IF(AND(L224="END DATE NOT PASSED",M224="REVIEW APPROVAL"),"HIGH: VERIFY",IF(L224="END DATE NOT PASSED","MEDIUM: CHECK STATUS","LOW: HISTORICAL")))</f>
        <v/>
      </c>
      <c r="O224" s="33" t="inlineStr">
        <is>
          <t>Validar documento firmado, revision/WO/sitio, material afectado y evidencia antes de activar alerta automatica.</t>
        </is>
      </c>
    </row>
    <row r="225">
      <c r="A225" s="43" t="inlineStr">
        <is>
          <t>CTANJZ05085</t>
        </is>
      </c>
      <c r="B225" s="43" t="inlineStr">
        <is>
          <t>D609145</t>
        </is>
      </c>
      <c r="C225" s="43" t="inlineStr">
        <is>
          <t>STBU</t>
        </is>
      </c>
      <c r="D225" s="43" t="inlineStr">
        <is>
          <t>Expired</t>
        </is>
      </c>
      <c r="E225" s="32" t="n">
        <v>46070</v>
      </c>
      <c r="F225" s="32" t="n">
        <v>46135</v>
      </c>
      <c r="G225" s="43" t="n">
        <v>6</v>
      </c>
      <c r="H225" s="43" t="n">
        <v>6</v>
      </c>
      <c r="I225" s="33" t="inlineStr"/>
      <c r="J225" s="33" t="inlineStr"/>
      <c r="K225" s="33" t="inlineStr"/>
      <c r="L225" s="34">
        <f>IF(F225="","REVIEW: DATE CONFLICT/EMPTY",IF(F225&lt;'Change Overview'!$B$5,"END DATE PASSED","END DATE NOT PASSED"))</f>
        <v/>
      </c>
      <c r="M225" s="34">
        <f>IF(K225&lt;&gt;"","REVIEW SOURCE CONFLICT",IF(OR(ISNUMBER(SEARCH("CCB",D225)),ISNUMBER(SEARCH("Pending",D225))),"CCB/PENDING",IF(OR(ISNUMBER(SEARCH("Expired",D225)),ISNUMBER(SEARCH("Closed",D225))),"CLOSED/EXPIRED",IF(E225="","NO RELEASE DATE","REVIEW APPROVAL"))))</f>
        <v/>
      </c>
      <c r="N225" s="34">
        <f>IF(K225&lt;&gt;"","HIGH: SOURCE CONFLICT",IF(AND(L225="END DATE NOT PASSED",M225="REVIEW APPROVAL"),"HIGH: VERIFY",IF(L225="END DATE NOT PASSED","MEDIUM: CHECK STATUS","LOW: HISTORICAL")))</f>
        <v/>
      </c>
      <c r="O225" s="33" t="inlineStr">
        <is>
          <t>Validar documento firmado, revision/WO/sitio, material afectado y evidencia antes de activar alerta automatica.</t>
        </is>
      </c>
    </row>
    <row r="226">
      <c r="A226" s="43" t="inlineStr">
        <is>
          <t>CTANJZ05086</t>
        </is>
      </c>
      <c r="B226" s="43" t="inlineStr">
        <is>
          <t>D609139</t>
        </is>
      </c>
      <c r="C226" s="43" t="inlineStr">
        <is>
          <t>CVEBU</t>
        </is>
      </c>
      <c r="D226" s="43" t="inlineStr">
        <is>
          <t>Expired</t>
        </is>
      </c>
      <c r="E226" s="32" t="n">
        <v>46053</v>
      </c>
      <c r="F226" s="32" t="n">
        <v>46136</v>
      </c>
      <c r="G226" s="43" t="n">
        <v>12</v>
      </c>
      <c r="H226" s="43" t="n">
        <v>12</v>
      </c>
      <c r="I226" s="33" t="inlineStr">
        <is>
          <t>73-102022-02, 73-102197-02, 73-102226-06, 73-102797-02, 73-103226-06, 73-103698-06, 73-103826-05, 73-103940-06, 73-103950-01, 73-103951-01, 73-104022-01</t>
        </is>
      </c>
      <c r="J226" s="33" t="inlineStr">
        <is>
          <t>BAYFRONT, BROOKLYN, DAVINCI, MILLENIUM</t>
        </is>
      </c>
      <c r="K226" s="33" t="inlineStr"/>
      <c r="L226" s="34">
        <f>IF(F226="","REVIEW: DATE CONFLICT/EMPTY",IF(F226&lt;'Change Overview'!$B$5,"END DATE PASSED","END DATE NOT PASSED"))</f>
        <v/>
      </c>
      <c r="M226" s="34">
        <f>IF(K226&lt;&gt;"","REVIEW SOURCE CONFLICT",IF(OR(ISNUMBER(SEARCH("CCB",D226)),ISNUMBER(SEARCH("Pending",D226))),"CCB/PENDING",IF(OR(ISNUMBER(SEARCH("Expired",D226)),ISNUMBER(SEARCH("Closed",D226))),"CLOSED/EXPIRED",IF(E226="","NO RELEASE DATE","REVIEW APPROVAL"))))</f>
        <v/>
      </c>
      <c r="N226" s="34">
        <f>IF(K226&lt;&gt;"","HIGH: SOURCE CONFLICT",IF(AND(L226="END DATE NOT PASSED",M226="REVIEW APPROVAL"),"HIGH: VERIFY",IF(L226="END DATE NOT PASSED","MEDIUM: CHECK STATUS","LOW: HISTORICAL")))</f>
        <v/>
      </c>
      <c r="O226" s="33" t="inlineStr">
        <is>
          <t>Validar documento firmado, revision/WO/sitio, material afectado y evidencia antes de activar alerta automatica.</t>
        </is>
      </c>
    </row>
    <row r="227">
      <c r="A227" s="43" t="inlineStr">
        <is>
          <t>CTANJZ05087</t>
        </is>
      </c>
      <c r="B227" s="43" t="inlineStr">
        <is>
          <t>D609115</t>
        </is>
      </c>
      <c r="C227" s="43" t="inlineStr">
        <is>
          <t>CVEBU</t>
        </is>
      </c>
      <c r="D227" s="43" t="inlineStr">
        <is>
          <t>Expired</t>
        </is>
      </c>
      <c r="E227" s="32" t="n">
        <v>46064</v>
      </c>
      <c r="F227" s="32" t="n">
        <v>46140</v>
      </c>
      <c r="G227" s="43" t="n">
        <v>7</v>
      </c>
      <c r="H227" s="43" t="n">
        <v>7</v>
      </c>
      <c r="I227" s="33" t="inlineStr">
        <is>
          <t>73-102022-02, 73-102197-02, 73-102226-06, 73-102797-02, 73-103226-06, 73-104022-01</t>
        </is>
      </c>
      <c r="J227" s="33" t="inlineStr">
        <is>
          <t>BROOKLYN, DAVINCI, MILLENIUM</t>
        </is>
      </c>
      <c r="K227" s="33" t="inlineStr"/>
      <c r="L227" s="34">
        <f>IF(F227="","REVIEW: DATE CONFLICT/EMPTY",IF(F227&lt;'Change Overview'!$B$5,"END DATE PASSED","END DATE NOT PASSED"))</f>
        <v/>
      </c>
      <c r="M227" s="34">
        <f>IF(K227&lt;&gt;"","REVIEW SOURCE CONFLICT",IF(OR(ISNUMBER(SEARCH("CCB",D227)),ISNUMBER(SEARCH("Pending",D227))),"CCB/PENDING",IF(OR(ISNUMBER(SEARCH("Expired",D227)),ISNUMBER(SEARCH("Closed",D227))),"CLOSED/EXPIRED",IF(E227="","NO RELEASE DATE","REVIEW APPROVAL"))))</f>
        <v/>
      </c>
      <c r="N227" s="34">
        <f>IF(K227&lt;&gt;"","HIGH: SOURCE CONFLICT",IF(AND(L227="END DATE NOT PASSED",M227="REVIEW APPROVAL"),"HIGH: VERIFY",IF(L227="END DATE NOT PASSED","MEDIUM: CHECK STATUS","LOW: HISTORICAL")))</f>
        <v/>
      </c>
      <c r="O227" s="33" t="inlineStr">
        <is>
          <t>Validar documento firmado, revision/WO/sitio, material afectado y evidencia antes de activar alerta automatica.</t>
        </is>
      </c>
    </row>
    <row r="228">
      <c r="A228" s="43" t="inlineStr">
        <is>
          <t>CTANJZ05088</t>
        </is>
      </c>
      <c r="B228" s="43" t="inlineStr">
        <is>
          <t>D609228</t>
        </is>
      </c>
      <c r="C228" s="43" t="inlineStr">
        <is>
          <t>SRGBU</t>
        </is>
      </c>
      <c r="D228" s="43" t="inlineStr">
        <is>
          <t>Expired</t>
        </is>
      </c>
      <c r="E228" s="32" t="n">
        <v>46073</v>
      </c>
      <c r="F228" s="32" t="n">
        <v>46141</v>
      </c>
      <c r="G228" s="43" t="n">
        <v>6</v>
      </c>
      <c r="H228" s="43" t="n">
        <v>6</v>
      </c>
      <c r="I228" s="33" t="inlineStr"/>
      <c r="J228" s="33" t="inlineStr"/>
      <c r="K228" s="33" t="inlineStr"/>
      <c r="L228" s="34">
        <f>IF(F228="","REVIEW: DATE CONFLICT/EMPTY",IF(F228&lt;'Change Overview'!$B$5,"END DATE PASSED","END DATE NOT PASSED"))</f>
        <v/>
      </c>
      <c r="M228" s="34">
        <f>IF(K228&lt;&gt;"","REVIEW SOURCE CONFLICT",IF(OR(ISNUMBER(SEARCH("CCB",D228)),ISNUMBER(SEARCH("Pending",D228))),"CCB/PENDING",IF(OR(ISNUMBER(SEARCH("Expired",D228)),ISNUMBER(SEARCH("Closed",D228))),"CLOSED/EXPIRED",IF(E228="","NO RELEASE DATE","REVIEW APPROVAL"))))</f>
        <v/>
      </c>
      <c r="N228" s="34">
        <f>IF(K228&lt;&gt;"","HIGH: SOURCE CONFLICT",IF(AND(L228="END DATE NOT PASSED",M228="REVIEW APPROVAL"),"HIGH: VERIFY",IF(L228="END DATE NOT PASSED","MEDIUM: CHECK STATUS","LOW: HISTORICAL")))</f>
        <v/>
      </c>
      <c r="O228" s="33" t="inlineStr">
        <is>
          <t>Validar documento firmado, revision/WO/sitio, material afectado y evidencia antes de activar alerta automatica.</t>
        </is>
      </c>
    </row>
    <row r="229">
      <c r="A229" s="43" t="inlineStr">
        <is>
          <t>CTANJZ05090</t>
        </is>
      </c>
      <c r="B229" s="43" t="inlineStr">
        <is>
          <t>D608351</t>
        </is>
      </c>
      <c r="C229" s="43" t="inlineStr">
        <is>
          <t>STBU</t>
        </is>
      </c>
      <c r="D229" s="43" t="inlineStr">
        <is>
          <t>Expired</t>
        </is>
      </c>
      <c r="E229" s="32" t="n">
        <v>46073</v>
      </c>
      <c r="F229" s="32" t="n">
        <v>46141</v>
      </c>
      <c r="G229" s="43" t="n">
        <v>9</v>
      </c>
      <c r="H229" s="43" t="n">
        <v>9</v>
      </c>
      <c r="I229" s="33" t="inlineStr">
        <is>
          <t>73-18488-07, 73-18489-07, 73-18490-09, 73-21007-02</t>
        </is>
      </c>
      <c r="J229" s="33" t="inlineStr"/>
      <c r="K229" s="33" t="inlineStr"/>
      <c r="L229" s="34">
        <f>IF(F229="","REVIEW: DATE CONFLICT/EMPTY",IF(F229&lt;'Change Overview'!$B$5,"END DATE PASSED","END DATE NOT PASSED"))</f>
        <v/>
      </c>
      <c r="M229" s="34">
        <f>IF(K229&lt;&gt;"","REVIEW SOURCE CONFLICT",IF(OR(ISNUMBER(SEARCH("CCB",D229)),ISNUMBER(SEARCH("Pending",D229))),"CCB/PENDING",IF(OR(ISNUMBER(SEARCH("Expired",D229)),ISNUMBER(SEARCH("Closed",D229))),"CLOSED/EXPIRED",IF(E229="","NO RELEASE DATE","REVIEW APPROVAL"))))</f>
        <v/>
      </c>
      <c r="N229" s="34">
        <f>IF(K229&lt;&gt;"","HIGH: SOURCE CONFLICT",IF(AND(L229="END DATE NOT PASSED",M229="REVIEW APPROVAL"),"HIGH: VERIFY",IF(L229="END DATE NOT PASSED","MEDIUM: CHECK STATUS","LOW: HISTORICAL")))</f>
        <v/>
      </c>
      <c r="O229" s="33" t="inlineStr">
        <is>
          <t>Validar documento firmado, revision/WO/sitio, material afectado y evidencia antes de activar alerta automatica.</t>
        </is>
      </c>
    </row>
    <row r="230">
      <c r="A230" s="43" t="inlineStr">
        <is>
          <t>CTANJZ05091</t>
        </is>
      </c>
      <c r="B230" s="43" t="inlineStr">
        <is>
          <t>D609188</t>
        </is>
      </c>
      <c r="C230" s="43" t="inlineStr">
        <is>
          <t>CVEBU</t>
        </is>
      </c>
      <c r="D230" s="43" t="inlineStr">
        <is>
          <t>Re-Extended</t>
        </is>
      </c>
      <c r="E230" s="32" t="n">
        <v>46057</v>
      </c>
      <c r="F230" s="32" t="n">
        <v>46320</v>
      </c>
      <c r="G230" s="43" t="n">
        <v>2</v>
      </c>
      <c r="H230" s="43" t="n">
        <v>2</v>
      </c>
      <c r="I230" s="33" t="inlineStr">
        <is>
          <t>73-103922-04</t>
        </is>
      </c>
      <c r="J230" s="33" t="inlineStr"/>
      <c r="K230" s="33" t="inlineStr"/>
      <c r="L230" s="34">
        <f>IF(F230="","REVIEW: DATE CONFLICT/EMPTY",IF(F230&lt;'Change Overview'!$B$5,"END DATE PASSED","END DATE NOT PASSED"))</f>
        <v/>
      </c>
      <c r="M230" s="34">
        <f>IF(K230&lt;&gt;"","REVIEW SOURCE CONFLICT",IF(OR(ISNUMBER(SEARCH("CCB",D230)),ISNUMBER(SEARCH("Pending",D230))),"CCB/PENDING",IF(OR(ISNUMBER(SEARCH("Expired",D230)),ISNUMBER(SEARCH("Closed",D230))),"CLOSED/EXPIRED",IF(E230="","NO RELEASE DATE","REVIEW APPROVAL"))))</f>
        <v/>
      </c>
      <c r="N230" s="34">
        <f>IF(K230&lt;&gt;"","HIGH: SOURCE CONFLICT",IF(AND(L230="END DATE NOT PASSED",M230="REVIEW APPROVAL"),"HIGH: VERIFY",IF(L230="END DATE NOT PASSED","MEDIUM: CHECK STATUS","LOW: HISTORICAL")))</f>
        <v/>
      </c>
      <c r="O230" s="33" t="inlineStr">
        <is>
          <t>Validar documento firmado, revision/WO/sitio, material afectado y evidencia antes de activar alerta automatica.</t>
        </is>
      </c>
    </row>
    <row r="231">
      <c r="A231" s="43" t="inlineStr">
        <is>
          <t>CTANJZ05093</t>
        </is>
      </c>
      <c r="B231" s="43" t="inlineStr">
        <is>
          <t>DP525776</t>
        </is>
      </c>
      <c r="C231" s="43" t="inlineStr">
        <is>
          <t>CVEBU</t>
        </is>
      </c>
      <c r="D231" s="43" t="inlineStr">
        <is>
          <t>Expired</t>
        </is>
      </c>
      <c r="E231" s="32" t="n">
        <v>46064</v>
      </c>
      <c r="F231" s="32" t="n">
        <v>46109</v>
      </c>
      <c r="G231" s="43" t="n">
        <v>4</v>
      </c>
      <c r="H231" s="43" t="n">
        <v>4</v>
      </c>
      <c r="I231" s="33" t="inlineStr"/>
      <c r="J231" s="33" t="inlineStr"/>
      <c r="K231" s="33" t="inlineStr"/>
      <c r="L231" s="34">
        <f>IF(F231="","REVIEW: DATE CONFLICT/EMPTY",IF(F231&lt;'Change Overview'!$B$5,"END DATE PASSED","END DATE NOT PASSED"))</f>
        <v/>
      </c>
      <c r="M231" s="34">
        <f>IF(K231&lt;&gt;"","REVIEW SOURCE CONFLICT",IF(OR(ISNUMBER(SEARCH("CCB",D231)),ISNUMBER(SEARCH("Pending",D231))),"CCB/PENDING",IF(OR(ISNUMBER(SEARCH("Expired",D231)),ISNUMBER(SEARCH("Closed",D231))),"CLOSED/EXPIRED",IF(E231="","NO RELEASE DATE","REVIEW APPROVAL"))))</f>
        <v/>
      </c>
      <c r="N231" s="34">
        <f>IF(K231&lt;&gt;"","HIGH: SOURCE CONFLICT",IF(AND(L231="END DATE NOT PASSED",M231="REVIEW APPROVAL"),"HIGH: VERIFY",IF(L231="END DATE NOT PASSED","MEDIUM: CHECK STATUS","LOW: HISTORICAL")))</f>
        <v/>
      </c>
      <c r="O231" s="33" t="inlineStr">
        <is>
          <t>Validar documento firmado, revision/WO/sitio, material afectado y evidencia antes de activar alerta automatica.</t>
        </is>
      </c>
    </row>
    <row r="232">
      <c r="A232" s="43" t="inlineStr">
        <is>
          <t>CTANJZ05094</t>
        </is>
      </c>
      <c r="B232" s="43" t="inlineStr">
        <is>
          <t>D609408</t>
        </is>
      </c>
      <c r="C232" s="43" t="inlineStr">
        <is>
          <t>STBU</t>
        </is>
      </c>
      <c r="D232" s="43" t="inlineStr">
        <is>
          <t>Expired</t>
        </is>
      </c>
      <c r="E232" s="32" t="n">
        <v>46081</v>
      </c>
      <c r="F232" s="32" t="n">
        <v>46146</v>
      </c>
      <c r="G232" s="43" t="n">
        <v>4</v>
      </c>
      <c r="H232" s="43" t="n">
        <v>4</v>
      </c>
      <c r="I232" s="33" t="inlineStr">
        <is>
          <t>73-18488-08, 73-18489-08, 73-18490-10, 73-21007-03</t>
        </is>
      </c>
      <c r="J232" s="33" t="inlineStr"/>
      <c r="K232" s="33" t="inlineStr"/>
      <c r="L232" s="34">
        <f>IF(F232="","REVIEW: DATE CONFLICT/EMPTY",IF(F232&lt;'Change Overview'!$B$5,"END DATE PASSED","END DATE NOT PASSED"))</f>
        <v/>
      </c>
      <c r="M232" s="34">
        <f>IF(K232&lt;&gt;"","REVIEW SOURCE CONFLICT",IF(OR(ISNUMBER(SEARCH("CCB",D232)),ISNUMBER(SEARCH("Pending",D232))),"CCB/PENDING",IF(OR(ISNUMBER(SEARCH("Expired",D232)),ISNUMBER(SEARCH("Closed",D232))),"CLOSED/EXPIRED",IF(E232="","NO RELEASE DATE","REVIEW APPROVAL"))))</f>
        <v/>
      </c>
      <c r="N232" s="34">
        <f>IF(K232&lt;&gt;"","HIGH: SOURCE CONFLICT",IF(AND(L232="END DATE NOT PASSED",M232="REVIEW APPROVAL"),"HIGH: VERIFY",IF(L232="END DATE NOT PASSED","MEDIUM: CHECK STATUS","LOW: HISTORICAL")))</f>
        <v/>
      </c>
      <c r="O232" s="33" t="inlineStr">
        <is>
          <t>Validar documento firmado, revision/WO/sitio, material afectado y evidencia antes de activar alerta automatica.</t>
        </is>
      </c>
    </row>
    <row r="233">
      <c r="A233" s="43" t="inlineStr">
        <is>
          <t>CTANJZ05096</t>
        </is>
      </c>
      <c r="B233" s="43" t="inlineStr">
        <is>
          <t>D609350</t>
        </is>
      </c>
      <c r="C233" s="43" t="inlineStr">
        <is>
          <t>SRGBU</t>
        </is>
      </c>
      <c r="D233" s="43" t="inlineStr">
        <is>
          <t>Expired</t>
        </is>
      </c>
      <c r="E233" s="32" t="n">
        <v>46073</v>
      </c>
      <c r="F233" s="32" t="n">
        <v>46146</v>
      </c>
      <c r="G233" s="43" t="n">
        <v>8</v>
      </c>
      <c r="H233" s="43" t="n">
        <v>8</v>
      </c>
      <c r="I233" s="33" t="inlineStr"/>
      <c r="J233" s="33" t="inlineStr"/>
      <c r="K233" s="33" t="inlineStr"/>
      <c r="L233" s="34">
        <f>IF(F233="","REVIEW: DATE CONFLICT/EMPTY",IF(F233&lt;'Change Overview'!$B$5,"END DATE PASSED","END DATE NOT PASSED"))</f>
        <v/>
      </c>
      <c r="M233" s="34">
        <f>IF(K233&lt;&gt;"","REVIEW SOURCE CONFLICT",IF(OR(ISNUMBER(SEARCH("CCB",D233)),ISNUMBER(SEARCH("Pending",D233))),"CCB/PENDING",IF(OR(ISNUMBER(SEARCH("Expired",D233)),ISNUMBER(SEARCH("Closed",D233))),"CLOSED/EXPIRED",IF(E233="","NO RELEASE DATE","REVIEW APPROVAL"))))</f>
        <v/>
      </c>
      <c r="N233" s="34">
        <f>IF(K233&lt;&gt;"","HIGH: SOURCE CONFLICT",IF(AND(L233="END DATE NOT PASSED",M233="REVIEW APPROVAL"),"HIGH: VERIFY",IF(L233="END DATE NOT PASSED","MEDIUM: CHECK STATUS","LOW: HISTORICAL")))</f>
        <v/>
      </c>
      <c r="O233" s="33" t="inlineStr">
        <is>
          <t>Validar documento firmado, revision/WO/sitio, material afectado y evidencia antes de activar alerta automatica.</t>
        </is>
      </c>
    </row>
    <row r="234">
      <c r="A234" s="43" t="inlineStr">
        <is>
          <t>CTANJZ05097</t>
        </is>
      </c>
      <c r="B234" s="43" t="inlineStr">
        <is>
          <t>D608813</t>
        </is>
      </c>
      <c r="C234" s="43" t="inlineStr">
        <is>
          <t>STBU</t>
        </is>
      </c>
      <c r="D234" s="43" t="inlineStr">
        <is>
          <t>Expired</t>
        </is>
      </c>
      <c r="E234" s="32" t="n">
        <v>46077</v>
      </c>
      <c r="F234" s="32" t="n">
        <v>46147</v>
      </c>
      <c r="G234" s="43" t="n">
        <v>2</v>
      </c>
      <c r="H234" s="43" t="n">
        <v>2</v>
      </c>
      <c r="I234" s="33" t="inlineStr"/>
      <c r="J234" s="33" t="inlineStr"/>
      <c r="K234" s="33" t="inlineStr"/>
      <c r="L234" s="34">
        <f>IF(F234="","REVIEW: DATE CONFLICT/EMPTY",IF(F234&lt;'Change Overview'!$B$5,"END DATE PASSED","END DATE NOT PASSED"))</f>
        <v/>
      </c>
      <c r="M234" s="34">
        <f>IF(K234&lt;&gt;"","REVIEW SOURCE CONFLICT",IF(OR(ISNUMBER(SEARCH("CCB",D234)),ISNUMBER(SEARCH("Pending",D234))),"CCB/PENDING",IF(OR(ISNUMBER(SEARCH("Expired",D234)),ISNUMBER(SEARCH("Closed",D234))),"CLOSED/EXPIRED",IF(E234="","NO RELEASE DATE","REVIEW APPROVAL"))))</f>
        <v/>
      </c>
      <c r="N234" s="34">
        <f>IF(K234&lt;&gt;"","HIGH: SOURCE CONFLICT",IF(AND(L234="END DATE NOT PASSED",M234="REVIEW APPROVAL"),"HIGH: VERIFY",IF(L234="END DATE NOT PASSED","MEDIUM: CHECK STATUS","LOW: HISTORICAL")))</f>
        <v/>
      </c>
      <c r="O234" s="33" t="inlineStr">
        <is>
          <t>Validar documento firmado, revision/WO/sitio, material afectado y evidencia antes de activar alerta automatica.</t>
        </is>
      </c>
    </row>
    <row r="235">
      <c r="A235" s="43" t="inlineStr">
        <is>
          <t>CTANJZ05101</t>
        </is>
      </c>
      <c r="B235" s="43" t="inlineStr">
        <is>
          <t>D609457</t>
        </is>
      </c>
      <c r="C235" s="43" t="inlineStr">
        <is>
          <t>CVEBU</t>
        </is>
      </c>
      <c r="D235" s="43" t="inlineStr">
        <is>
          <t>Expired</t>
        </is>
      </c>
      <c r="E235" s="32" t="n">
        <v>46070</v>
      </c>
      <c r="F235" s="32" t="n">
        <v>46148</v>
      </c>
      <c r="G235" s="43" t="n">
        <v>1</v>
      </c>
      <c r="H235" s="43" t="n">
        <v>1</v>
      </c>
      <c r="I235" s="33" t="inlineStr"/>
      <c r="J235" s="33" t="inlineStr"/>
      <c r="K235" s="33" t="inlineStr"/>
      <c r="L235" s="34">
        <f>IF(F235="","REVIEW: DATE CONFLICT/EMPTY",IF(F235&lt;'Change Overview'!$B$5,"END DATE PASSED","END DATE NOT PASSED"))</f>
        <v/>
      </c>
      <c r="M235" s="34">
        <f>IF(K235&lt;&gt;"","REVIEW SOURCE CONFLICT",IF(OR(ISNUMBER(SEARCH("CCB",D235)),ISNUMBER(SEARCH("Pending",D235))),"CCB/PENDING",IF(OR(ISNUMBER(SEARCH("Expired",D235)),ISNUMBER(SEARCH("Closed",D235))),"CLOSED/EXPIRED",IF(E235="","NO RELEASE DATE","REVIEW APPROVAL"))))</f>
        <v/>
      </c>
      <c r="N235" s="34">
        <f>IF(K235&lt;&gt;"","HIGH: SOURCE CONFLICT",IF(AND(L235="END DATE NOT PASSED",M235="REVIEW APPROVAL"),"HIGH: VERIFY",IF(L235="END DATE NOT PASSED","MEDIUM: CHECK STATUS","LOW: HISTORICAL")))</f>
        <v/>
      </c>
      <c r="O235" s="33" t="inlineStr">
        <is>
          <t>Validar documento firmado, revision/WO/sitio, material afectado y evidencia antes de activar alerta automatica.</t>
        </is>
      </c>
    </row>
    <row r="236">
      <c r="A236" s="43" t="inlineStr">
        <is>
          <t>CTANJZ05105</t>
        </is>
      </c>
      <c r="B236" s="43" t="inlineStr">
        <is>
          <t>D609558</t>
        </is>
      </c>
      <c r="C236" s="43" t="inlineStr">
        <is>
          <t>CRBU</t>
        </is>
      </c>
      <c r="D236" s="43" t="inlineStr">
        <is>
          <t>Expired</t>
        </is>
      </c>
      <c r="E236" s="32" t="n">
        <v>46084</v>
      </c>
      <c r="F236" s="32" t="n">
        <v>46153</v>
      </c>
      <c r="G236" s="43" t="n">
        <v>4</v>
      </c>
      <c r="H236" s="43" t="n">
        <v>4</v>
      </c>
      <c r="I236" s="33" t="inlineStr">
        <is>
          <t>73-21144-06, 73-21146-05, 73-21146-12</t>
        </is>
      </c>
      <c r="J236" s="33" t="inlineStr"/>
      <c r="K236" s="33" t="inlineStr"/>
      <c r="L236" s="34">
        <f>IF(F236="","REVIEW: DATE CONFLICT/EMPTY",IF(F236&lt;'Change Overview'!$B$5,"END DATE PASSED","END DATE NOT PASSED"))</f>
        <v/>
      </c>
      <c r="M236" s="34">
        <f>IF(K236&lt;&gt;"","REVIEW SOURCE CONFLICT",IF(OR(ISNUMBER(SEARCH("CCB",D236)),ISNUMBER(SEARCH("Pending",D236))),"CCB/PENDING",IF(OR(ISNUMBER(SEARCH("Expired",D236)),ISNUMBER(SEARCH("Closed",D236))),"CLOSED/EXPIRED",IF(E236="","NO RELEASE DATE","REVIEW APPROVAL"))))</f>
        <v/>
      </c>
      <c r="N236" s="34">
        <f>IF(K236&lt;&gt;"","HIGH: SOURCE CONFLICT",IF(AND(L236="END DATE NOT PASSED",M236="REVIEW APPROVAL"),"HIGH: VERIFY",IF(L236="END DATE NOT PASSED","MEDIUM: CHECK STATUS","LOW: HISTORICAL")))</f>
        <v/>
      </c>
      <c r="O236" s="33" t="inlineStr">
        <is>
          <t>Validar documento firmado, revision/WO/sitio, material afectado y evidencia antes de activar alerta automatica.</t>
        </is>
      </c>
    </row>
    <row r="237">
      <c r="A237" s="43" t="inlineStr">
        <is>
          <t>CTANJZ05106</t>
        </is>
      </c>
      <c r="B237" s="43" t="inlineStr">
        <is>
          <t>D609154</t>
        </is>
      </c>
      <c r="C237" s="43" t="inlineStr">
        <is>
          <t>STBU</t>
        </is>
      </c>
      <c r="D237" s="43" t="inlineStr">
        <is>
          <t>Expired</t>
        </is>
      </c>
      <c r="E237" s="32" t="n">
        <v>46092</v>
      </c>
      <c r="F237" s="32" t="n">
        <v>46154</v>
      </c>
      <c r="G237" s="43" t="n">
        <v>2</v>
      </c>
      <c r="H237" s="43" t="n">
        <v>2</v>
      </c>
      <c r="I237" s="33" t="inlineStr"/>
      <c r="J237" s="33" t="inlineStr"/>
      <c r="K237" s="33" t="inlineStr"/>
      <c r="L237" s="34">
        <f>IF(F237="","REVIEW: DATE CONFLICT/EMPTY",IF(F237&lt;'Change Overview'!$B$5,"END DATE PASSED","END DATE NOT PASSED"))</f>
        <v/>
      </c>
      <c r="M237" s="34">
        <f>IF(K237&lt;&gt;"","REVIEW SOURCE CONFLICT",IF(OR(ISNUMBER(SEARCH("CCB",D237)),ISNUMBER(SEARCH("Pending",D237))),"CCB/PENDING",IF(OR(ISNUMBER(SEARCH("Expired",D237)),ISNUMBER(SEARCH("Closed",D237))),"CLOSED/EXPIRED",IF(E237="","NO RELEASE DATE","REVIEW APPROVAL"))))</f>
        <v/>
      </c>
      <c r="N237" s="34">
        <f>IF(K237&lt;&gt;"","HIGH: SOURCE CONFLICT",IF(AND(L237="END DATE NOT PASSED",M237="REVIEW APPROVAL"),"HIGH: VERIFY",IF(L237="END DATE NOT PASSED","MEDIUM: CHECK STATUS","LOW: HISTORICAL")))</f>
        <v/>
      </c>
      <c r="O237" s="33" t="inlineStr">
        <is>
          <t>Validar documento firmado, revision/WO/sitio, material afectado y evidencia antes de activar alerta automatica.</t>
        </is>
      </c>
    </row>
    <row r="238">
      <c r="A238" s="43" t="inlineStr">
        <is>
          <t>CTANJZ05107</t>
        </is>
      </c>
      <c r="B238" s="43" t="inlineStr">
        <is>
          <t>DP525818</t>
        </is>
      </c>
      <c r="C238" s="43" t="inlineStr">
        <is>
          <t>STBU</t>
        </is>
      </c>
      <c r="D238" s="43" t="inlineStr">
        <is>
          <t>Expired</t>
        </is>
      </c>
      <c r="E238" s="32" t="n">
        <v>46086</v>
      </c>
      <c r="F238" s="32" t="n">
        <v>46126</v>
      </c>
      <c r="G238" s="43" t="n">
        <v>1</v>
      </c>
      <c r="H238" s="43" t="n">
        <v>1</v>
      </c>
      <c r="I238" s="33" t="inlineStr">
        <is>
          <t>73-103557-04</t>
        </is>
      </c>
      <c r="J238" s="33" t="inlineStr"/>
      <c r="K238" s="33" t="inlineStr"/>
      <c r="L238" s="34">
        <f>IF(F238="","REVIEW: DATE CONFLICT/EMPTY",IF(F238&lt;'Change Overview'!$B$5,"END DATE PASSED","END DATE NOT PASSED"))</f>
        <v/>
      </c>
      <c r="M238" s="34">
        <f>IF(K238&lt;&gt;"","REVIEW SOURCE CONFLICT",IF(OR(ISNUMBER(SEARCH("CCB",D238)),ISNUMBER(SEARCH("Pending",D238))),"CCB/PENDING",IF(OR(ISNUMBER(SEARCH("Expired",D238)),ISNUMBER(SEARCH("Closed",D238))),"CLOSED/EXPIRED",IF(E238="","NO RELEASE DATE","REVIEW APPROVAL"))))</f>
        <v/>
      </c>
      <c r="N238" s="34">
        <f>IF(K238&lt;&gt;"","HIGH: SOURCE CONFLICT",IF(AND(L238="END DATE NOT PASSED",M238="REVIEW APPROVAL"),"HIGH: VERIFY",IF(L238="END DATE NOT PASSED","MEDIUM: CHECK STATUS","LOW: HISTORICAL")))</f>
        <v/>
      </c>
      <c r="O238" s="33" t="inlineStr">
        <is>
          <t>Validar documento firmado, revision/WO/sitio, material afectado y evidencia antes de activar alerta automatica.</t>
        </is>
      </c>
    </row>
    <row r="239">
      <c r="A239" s="43" t="inlineStr">
        <is>
          <t>CTANJZ05108</t>
        </is>
      </c>
      <c r="B239" s="43" t="inlineStr">
        <is>
          <t>D609649</t>
        </is>
      </c>
      <c r="C239" s="43" t="inlineStr">
        <is>
          <t>CVEBU</t>
        </is>
      </c>
      <c r="D239" s="43" t="inlineStr">
        <is>
          <t>Expired</t>
        </is>
      </c>
      <c r="E239" s="32" t="n">
        <v>46084</v>
      </c>
      <c r="F239" s="32" t="n">
        <v>46160</v>
      </c>
      <c r="G239" s="43" t="n">
        <v>7</v>
      </c>
      <c r="H239" s="43" t="n">
        <v>7</v>
      </c>
      <c r="I239" s="33" t="inlineStr">
        <is>
          <t>73-103698-06, 73-103940-06</t>
        </is>
      </c>
      <c r="J239" s="33" t="inlineStr"/>
      <c r="K239" s="33" t="inlineStr"/>
      <c r="L239" s="34">
        <f>IF(F239="","REVIEW: DATE CONFLICT/EMPTY",IF(F239&lt;'Change Overview'!$B$5,"END DATE PASSED","END DATE NOT PASSED"))</f>
        <v/>
      </c>
      <c r="M239" s="34">
        <f>IF(K239&lt;&gt;"","REVIEW SOURCE CONFLICT",IF(OR(ISNUMBER(SEARCH("CCB",D239)),ISNUMBER(SEARCH("Pending",D239))),"CCB/PENDING",IF(OR(ISNUMBER(SEARCH("Expired",D239)),ISNUMBER(SEARCH("Closed",D239))),"CLOSED/EXPIRED",IF(E239="","NO RELEASE DATE","REVIEW APPROVAL"))))</f>
        <v/>
      </c>
      <c r="N239" s="34">
        <f>IF(K239&lt;&gt;"","HIGH: SOURCE CONFLICT",IF(AND(L239="END DATE NOT PASSED",M239="REVIEW APPROVAL"),"HIGH: VERIFY",IF(L239="END DATE NOT PASSED","MEDIUM: CHECK STATUS","LOW: HISTORICAL")))</f>
        <v/>
      </c>
      <c r="O239" s="33" t="inlineStr">
        <is>
          <t>Validar documento firmado, revision/WO/sitio, material afectado y evidencia antes de activar alerta automatica.</t>
        </is>
      </c>
    </row>
    <row r="240">
      <c r="A240" s="43" t="inlineStr">
        <is>
          <t>CTANJZ05110</t>
        </is>
      </c>
      <c r="B240" s="43" t="inlineStr">
        <is>
          <t>D609549</t>
        </is>
      </c>
      <c r="C240" s="43" t="inlineStr">
        <is>
          <t>STBU</t>
        </is>
      </c>
      <c r="D240" s="43" t="inlineStr">
        <is>
          <t>Expired</t>
        </is>
      </c>
      <c r="E240" s="32" t="n">
        <v>46092</v>
      </c>
      <c r="F240" s="32" t="n">
        <v>46157</v>
      </c>
      <c r="G240" s="43" t="n">
        <v>6</v>
      </c>
      <c r="H240" s="43" t="n">
        <v>6</v>
      </c>
      <c r="I240" s="33" t="inlineStr"/>
      <c r="J240" s="33" t="inlineStr"/>
      <c r="K240" s="33" t="inlineStr"/>
      <c r="L240" s="34">
        <f>IF(F240="","REVIEW: DATE CONFLICT/EMPTY",IF(F240&lt;'Change Overview'!$B$5,"END DATE PASSED","END DATE NOT PASSED"))</f>
        <v/>
      </c>
      <c r="M240" s="34">
        <f>IF(K240&lt;&gt;"","REVIEW SOURCE CONFLICT",IF(OR(ISNUMBER(SEARCH("CCB",D240)),ISNUMBER(SEARCH("Pending",D240))),"CCB/PENDING",IF(OR(ISNUMBER(SEARCH("Expired",D240)),ISNUMBER(SEARCH("Closed",D240))),"CLOSED/EXPIRED",IF(E240="","NO RELEASE DATE","REVIEW APPROVAL"))))</f>
        <v/>
      </c>
      <c r="N240" s="34">
        <f>IF(K240&lt;&gt;"","HIGH: SOURCE CONFLICT",IF(AND(L240="END DATE NOT PASSED",M240="REVIEW APPROVAL"),"HIGH: VERIFY",IF(L240="END DATE NOT PASSED","MEDIUM: CHECK STATUS","LOW: HISTORICAL")))</f>
        <v/>
      </c>
      <c r="O240" s="33" t="inlineStr">
        <is>
          <t>Validar documento firmado, revision/WO/sitio, material afectado y evidencia antes de activar alerta automatica.</t>
        </is>
      </c>
    </row>
    <row r="241">
      <c r="A241" s="43" t="inlineStr">
        <is>
          <t>CTANJZ05114</t>
        </is>
      </c>
      <c r="B241" s="43" t="inlineStr">
        <is>
          <t>D609653</t>
        </is>
      </c>
      <c r="C241" s="43" t="inlineStr">
        <is>
          <t>CVEBU</t>
        </is>
      </c>
      <c r="D241" s="43" t="inlineStr">
        <is>
          <t>Expired</t>
        </is>
      </c>
      <c r="E241" s="32" t="n">
        <v>46084</v>
      </c>
      <c r="F241" s="32" t="n">
        <v>46161</v>
      </c>
      <c r="G241" s="43" t="n">
        <v>7</v>
      </c>
      <c r="H241" s="43" t="n">
        <v>7</v>
      </c>
      <c r="I241" s="33" t="inlineStr">
        <is>
          <t>73-103698-06, 73-103940-06</t>
        </is>
      </c>
      <c r="J241" s="33" t="inlineStr"/>
      <c r="K241" s="33" t="inlineStr"/>
      <c r="L241" s="34">
        <f>IF(F241="","REVIEW: DATE CONFLICT/EMPTY",IF(F241&lt;'Change Overview'!$B$5,"END DATE PASSED","END DATE NOT PASSED"))</f>
        <v/>
      </c>
      <c r="M241" s="34">
        <f>IF(K241&lt;&gt;"","REVIEW SOURCE CONFLICT",IF(OR(ISNUMBER(SEARCH("CCB",D241)),ISNUMBER(SEARCH("Pending",D241))),"CCB/PENDING",IF(OR(ISNUMBER(SEARCH("Expired",D241)),ISNUMBER(SEARCH("Closed",D241))),"CLOSED/EXPIRED",IF(E241="","NO RELEASE DATE","REVIEW APPROVAL"))))</f>
        <v/>
      </c>
      <c r="N241" s="34">
        <f>IF(K241&lt;&gt;"","HIGH: SOURCE CONFLICT",IF(AND(L241="END DATE NOT PASSED",M241="REVIEW APPROVAL"),"HIGH: VERIFY",IF(L241="END DATE NOT PASSED","MEDIUM: CHECK STATUS","LOW: HISTORICAL")))</f>
        <v/>
      </c>
      <c r="O241" s="33" t="inlineStr">
        <is>
          <t>Validar documento firmado, revision/WO/sitio, material afectado y evidencia antes de activar alerta automatica.</t>
        </is>
      </c>
    </row>
    <row r="242">
      <c r="A242" s="43" t="inlineStr">
        <is>
          <t>CTANJZ05129</t>
        </is>
      </c>
      <c r="B242" s="43" t="inlineStr">
        <is>
          <t>D609917</t>
        </is>
      </c>
      <c r="C242" s="43" t="inlineStr">
        <is>
          <t>IOTBU</t>
        </is>
      </c>
      <c r="D242" s="43" t="inlineStr">
        <is>
          <t>Expired</t>
        </is>
      </c>
      <c r="E242" s="32" t="n">
        <v>46092</v>
      </c>
      <c r="F242" s="32" t="n">
        <v>46175</v>
      </c>
      <c r="G242" s="43" t="n">
        <v>12</v>
      </c>
      <c r="H242" s="43" t="n">
        <v>12</v>
      </c>
      <c r="I242" s="33" t="inlineStr">
        <is>
          <t>73-101439-04, 73-102239-04, 73-103098-03</t>
        </is>
      </c>
      <c r="J242" s="33" t="inlineStr"/>
      <c r="K242" s="33" t="inlineStr"/>
      <c r="L242" s="34">
        <f>IF(F242="","REVIEW: DATE CONFLICT/EMPTY",IF(F242&lt;'Change Overview'!$B$5,"END DATE PASSED","END DATE NOT PASSED"))</f>
        <v/>
      </c>
      <c r="M242" s="34">
        <f>IF(K242&lt;&gt;"","REVIEW SOURCE CONFLICT",IF(OR(ISNUMBER(SEARCH("CCB",D242)),ISNUMBER(SEARCH("Pending",D242))),"CCB/PENDING",IF(OR(ISNUMBER(SEARCH("Expired",D242)),ISNUMBER(SEARCH("Closed",D242))),"CLOSED/EXPIRED",IF(E242="","NO RELEASE DATE","REVIEW APPROVAL"))))</f>
        <v/>
      </c>
      <c r="N242" s="34">
        <f>IF(K242&lt;&gt;"","HIGH: SOURCE CONFLICT",IF(AND(L242="END DATE NOT PASSED",M242="REVIEW APPROVAL"),"HIGH: VERIFY",IF(L242="END DATE NOT PASSED","MEDIUM: CHECK STATUS","LOW: HISTORICAL")))</f>
        <v/>
      </c>
      <c r="O242" s="33" t="inlineStr">
        <is>
          <t>Validar documento firmado, revision/WO/sitio, material afectado y evidencia antes de activar alerta automatica.</t>
        </is>
      </c>
    </row>
    <row r="243">
      <c r="A243" s="43" t="inlineStr">
        <is>
          <t>CTANJZ05130</t>
        </is>
      </c>
      <c r="B243" s="43" t="inlineStr">
        <is>
          <t>D608669</t>
        </is>
      </c>
      <c r="C243" s="43" t="inlineStr">
        <is>
          <t>STBU</t>
        </is>
      </c>
      <c r="D243" s="43" t="inlineStr">
        <is>
          <t>Expired</t>
        </is>
      </c>
      <c r="E243" s="32" t="n">
        <v>46105</v>
      </c>
      <c r="F243" s="32" t="n">
        <v>46175</v>
      </c>
      <c r="G243" s="43" t="n">
        <v>1</v>
      </c>
      <c r="H243" s="43" t="n">
        <v>1</v>
      </c>
      <c r="I243" s="33" t="inlineStr"/>
      <c r="J243" s="33" t="inlineStr"/>
      <c r="K243" s="33" t="inlineStr"/>
      <c r="L243" s="34">
        <f>IF(F243="","REVIEW: DATE CONFLICT/EMPTY",IF(F243&lt;'Change Overview'!$B$5,"END DATE PASSED","END DATE NOT PASSED"))</f>
        <v/>
      </c>
      <c r="M243" s="34">
        <f>IF(K243&lt;&gt;"","REVIEW SOURCE CONFLICT",IF(OR(ISNUMBER(SEARCH("CCB",D243)),ISNUMBER(SEARCH("Pending",D243))),"CCB/PENDING",IF(OR(ISNUMBER(SEARCH("Expired",D243)),ISNUMBER(SEARCH("Closed",D243))),"CLOSED/EXPIRED",IF(E243="","NO RELEASE DATE","REVIEW APPROVAL"))))</f>
        <v/>
      </c>
      <c r="N243" s="34">
        <f>IF(K243&lt;&gt;"","HIGH: SOURCE CONFLICT",IF(AND(L243="END DATE NOT PASSED",M243="REVIEW APPROVAL"),"HIGH: VERIFY",IF(L243="END DATE NOT PASSED","MEDIUM: CHECK STATUS","LOW: HISTORICAL")))</f>
        <v/>
      </c>
      <c r="O243" s="33" t="inlineStr">
        <is>
          <t>Validar documento firmado, revision/WO/sitio, material afectado y evidencia antes de activar alerta automatica.</t>
        </is>
      </c>
    </row>
    <row r="244">
      <c r="A244" s="43" t="inlineStr">
        <is>
          <t>CTANJZ05131</t>
        </is>
      </c>
      <c r="B244" s="43" t="inlineStr">
        <is>
          <t>D609897</t>
        </is>
      </c>
      <c r="C244" s="43" t="inlineStr">
        <is>
          <t>STBU</t>
        </is>
      </c>
      <c r="D244" s="43" t="inlineStr">
        <is>
          <t>Expired</t>
        </is>
      </c>
      <c r="E244" s="32" t="n">
        <v>46105</v>
      </c>
      <c r="F244" s="32" t="n">
        <v>46175</v>
      </c>
      <c r="G244" s="43" t="n">
        <v>2</v>
      </c>
      <c r="H244" s="43" t="n">
        <v>2</v>
      </c>
      <c r="I244" s="33" t="inlineStr"/>
      <c r="J244" s="33" t="inlineStr"/>
      <c r="K244" s="33" t="inlineStr"/>
      <c r="L244" s="34">
        <f>IF(F244="","REVIEW: DATE CONFLICT/EMPTY",IF(F244&lt;'Change Overview'!$B$5,"END DATE PASSED","END DATE NOT PASSED"))</f>
        <v/>
      </c>
      <c r="M244" s="34">
        <f>IF(K244&lt;&gt;"","REVIEW SOURCE CONFLICT",IF(OR(ISNUMBER(SEARCH("CCB",D244)),ISNUMBER(SEARCH("Pending",D244))),"CCB/PENDING",IF(OR(ISNUMBER(SEARCH("Expired",D244)),ISNUMBER(SEARCH("Closed",D244))),"CLOSED/EXPIRED",IF(E244="","NO RELEASE DATE","REVIEW APPROVAL"))))</f>
        <v/>
      </c>
      <c r="N244" s="34">
        <f>IF(K244&lt;&gt;"","HIGH: SOURCE CONFLICT",IF(AND(L244="END DATE NOT PASSED",M244="REVIEW APPROVAL"),"HIGH: VERIFY",IF(L244="END DATE NOT PASSED","MEDIUM: CHECK STATUS","LOW: HISTORICAL")))</f>
        <v/>
      </c>
      <c r="O244" s="33" t="inlineStr">
        <is>
          <t>Validar documento firmado, revision/WO/sitio, material afectado y evidencia antes de activar alerta automatica.</t>
        </is>
      </c>
    </row>
    <row r="245">
      <c r="A245" s="43" t="inlineStr">
        <is>
          <t>CTANJZ05134</t>
        </is>
      </c>
      <c r="B245" s="43" t="inlineStr">
        <is>
          <t>D609794</t>
        </is>
      </c>
      <c r="C245" s="43" t="inlineStr">
        <is>
          <t>STBU</t>
        </is>
      </c>
      <c r="D245" s="43" t="inlineStr">
        <is>
          <t>Expired</t>
        </is>
      </c>
      <c r="E245" s="32" t="n">
        <v>46105</v>
      </c>
      <c r="F245" s="32" t="n">
        <v>46176</v>
      </c>
      <c r="G245" s="43" t="n">
        <v>2</v>
      </c>
      <c r="H245" s="43" t="n">
        <v>2</v>
      </c>
      <c r="I245" s="33" t="inlineStr">
        <is>
          <t>73-18490-10</t>
        </is>
      </c>
      <c r="J245" s="33" t="inlineStr"/>
      <c r="K245" s="33" t="inlineStr"/>
      <c r="L245" s="34">
        <f>IF(F245="","REVIEW: DATE CONFLICT/EMPTY",IF(F245&lt;'Change Overview'!$B$5,"END DATE PASSED","END DATE NOT PASSED"))</f>
        <v/>
      </c>
      <c r="M245" s="34">
        <f>IF(K245&lt;&gt;"","REVIEW SOURCE CONFLICT",IF(OR(ISNUMBER(SEARCH("CCB",D245)),ISNUMBER(SEARCH("Pending",D245))),"CCB/PENDING",IF(OR(ISNUMBER(SEARCH("Expired",D245)),ISNUMBER(SEARCH("Closed",D245))),"CLOSED/EXPIRED",IF(E245="","NO RELEASE DATE","REVIEW APPROVAL"))))</f>
        <v/>
      </c>
      <c r="N245" s="34">
        <f>IF(K245&lt;&gt;"","HIGH: SOURCE CONFLICT",IF(AND(L245="END DATE NOT PASSED",M245="REVIEW APPROVAL"),"HIGH: VERIFY",IF(L245="END DATE NOT PASSED","MEDIUM: CHECK STATUS","LOW: HISTORICAL")))</f>
        <v/>
      </c>
      <c r="O245" s="33" t="inlineStr">
        <is>
          <t>Validar documento firmado, revision/WO/sitio, material afectado y evidencia antes de activar alerta automatica.</t>
        </is>
      </c>
    </row>
    <row r="246">
      <c r="A246" s="43" t="inlineStr">
        <is>
          <t>CTANJZ05136</t>
        </is>
      </c>
      <c r="B246" s="43" t="inlineStr">
        <is>
          <t>D609987</t>
        </is>
      </c>
      <c r="C246" s="43" t="inlineStr">
        <is>
          <t>CVEBU</t>
        </is>
      </c>
      <c r="D246" s="43" t="inlineStr">
        <is>
          <t>Expired</t>
        </is>
      </c>
      <c r="E246" s="32" t="n">
        <v>46101</v>
      </c>
      <c r="F246" s="32" t="n">
        <v>46180</v>
      </c>
      <c r="G246" s="43" t="n">
        <v>1</v>
      </c>
      <c r="H246" s="43" t="n">
        <v>1</v>
      </c>
      <c r="I246" s="33" t="inlineStr"/>
      <c r="J246" s="33" t="inlineStr"/>
      <c r="K246" s="33" t="inlineStr"/>
      <c r="L246" s="34">
        <f>IF(F246="","REVIEW: DATE CONFLICT/EMPTY",IF(F246&lt;'Change Overview'!$B$5,"END DATE PASSED","END DATE NOT PASSED"))</f>
        <v/>
      </c>
      <c r="M246" s="34">
        <f>IF(K246&lt;&gt;"","REVIEW SOURCE CONFLICT",IF(OR(ISNUMBER(SEARCH("CCB",D246)),ISNUMBER(SEARCH("Pending",D246))),"CCB/PENDING",IF(OR(ISNUMBER(SEARCH("Expired",D246)),ISNUMBER(SEARCH("Closed",D246))),"CLOSED/EXPIRED",IF(E246="","NO RELEASE DATE","REVIEW APPROVAL"))))</f>
        <v/>
      </c>
      <c r="N246" s="34">
        <f>IF(K246&lt;&gt;"","HIGH: SOURCE CONFLICT",IF(AND(L246="END DATE NOT PASSED",M246="REVIEW APPROVAL"),"HIGH: VERIFY",IF(L246="END DATE NOT PASSED","MEDIUM: CHECK STATUS","LOW: HISTORICAL")))</f>
        <v/>
      </c>
      <c r="O246" s="33" t="inlineStr">
        <is>
          <t>Validar documento firmado, revision/WO/sitio, material afectado y evidencia antes de activar alerta automatica.</t>
        </is>
      </c>
    </row>
    <row r="247">
      <c r="A247" s="43" t="inlineStr">
        <is>
          <t>CTANJZ05137</t>
        </is>
      </c>
      <c r="B247" s="43" t="inlineStr">
        <is>
          <t>D609403</t>
        </is>
      </c>
      <c r="C247" s="43" t="inlineStr">
        <is>
          <t>CRBU</t>
        </is>
      </c>
      <c r="D247" s="43" t="inlineStr">
        <is>
          <t>Expired</t>
        </is>
      </c>
      <c r="E247" s="32" t="n">
        <v>46106</v>
      </c>
      <c r="F247" s="32" t="n">
        <v>46270</v>
      </c>
      <c r="G247" s="43" t="n">
        <v>4</v>
      </c>
      <c r="H247" s="43" t="n">
        <v>2</v>
      </c>
      <c r="I247" s="33" t="inlineStr"/>
      <c r="J247" s="33" t="inlineStr"/>
      <c r="K247" s="33" t="inlineStr"/>
      <c r="L247" s="34">
        <f>IF(F247="","REVIEW: DATE CONFLICT/EMPTY",IF(F247&lt;'Change Overview'!$B$5,"END DATE PASSED","END DATE NOT PASSED"))</f>
        <v/>
      </c>
      <c r="M247" s="34">
        <f>IF(K247&lt;&gt;"","REVIEW SOURCE CONFLICT",IF(OR(ISNUMBER(SEARCH("CCB",D247)),ISNUMBER(SEARCH("Pending",D247))),"CCB/PENDING",IF(OR(ISNUMBER(SEARCH("Expired",D247)),ISNUMBER(SEARCH("Closed",D247))),"CLOSED/EXPIRED",IF(E247="","NO RELEASE DATE","REVIEW APPROVAL"))))</f>
        <v/>
      </c>
      <c r="N247" s="34">
        <f>IF(K247&lt;&gt;"","HIGH: SOURCE CONFLICT",IF(AND(L247="END DATE NOT PASSED",M247="REVIEW APPROVAL"),"HIGH: VERIFY",IF(L247="END DATE NOT PASSED","MEDIUM: CHECK STATUS","LOW: HISTORICAL")))</f>
        <v/>
      </c>
      <c r="O247" s="33" t="inlineStr">
        <is>
          <t>Validar documento firmado, revision/WO/sitio, material afectado y evidencia antes de activar alerta automatica.</t>
        </is>
      </c>
    </row>
    <row r="248">
      <c r="A248" s="43" t="inlineStr">
        <is>
          <t>CTANJZ05138</t>
        </is>
      </c>
      <c r="B248" s="43" t="inlineStr">
        <is>
          <t>D609929</t>
        </is>
      </c>
      <c r="C248" s="43" t="inlineStr">
        <is>
          <t>CVEBU</t>
        </is>
      </c>
      <c r="D248" s="43" t="inlineStr">
        <is>
          <t>Expired</t>
        </is>
      </c>
      <c r="E248" s="32" t="n">
        <v>46100</v>
      </c>
      <c r="F248" s="32" t="n">
        <v>46180</v>
      </c>
      <c r="G248" s="43" t="n">
        <v>5</v>
      </c>
      <c r="H248" s="43" t="n">
        <v>5</v>
      </c>
      <c r="I248" s="33" t="inlineStr">
        <is>
          <t>73-102226-06, 73-103226-06, 73-103698-06, 73-103940-06</t>
        </is>
      </c>
      <c r="J248" s="33" t="inlineStr">
        <is>
          <t>MILLENIUM</t>
        </is>
      </c>
      <c r="K248" s="33" t="inlineStr"/>
      <c r="L248" s="34">
        <f>IF(F248="","REVIEW: DATE CONFLICT/EMPTY",IF(F248&lt;'Change Overview'!$B$5,"END DATE PASSED","END DATE NOT PASSED"))</f>
        <v/>
      </c>
      <c r="M248" s="34">
        <f>IF(K248&lt;&gt;"","REVIEW SOURCE CONFLICT",IF(OR(ISNUMBER(SEARCH("CCB",D248)),ISNUMBER(SEARCH("Pending",D248))),"CCB/PENDING",IF(OR(ISNUMBER(SEARCH("Expired",D248)),ISNUMBER(SEARCH("Closed",D248))),"CLOSED/EXPIRED",IF(E248="","NO RELEASE DATE","REVIEW APPROVAL"))))</f>
        <v/>
      </c>
      <c r="N248" s="34">
        <f>IF(K248&lt;&gt;"","HIGH: SOURCE CONFLICT",IF(AND(L248="END DATE NOT PASSED",M248="REVIEW APPROVAL"),"HIGH: VERIFY",IF(L248="END DATE NOT PASSED","MEDIUM: CHECK STATUS","LOW: HISTORICAL")))</f>
        <v/>
      </c>
      <c r="O248" s="33" t="inlineStr">
        <is>
          <t>Validar documento firmado, revision/WO/sitio, material afectado y evidencia antes de activar alerta automatica.</t>
        </is>
      </c>
    </row>
    <row r="249">
      <c r="A249" s="43" t="inlineStr">
        <is>
          <t>CTANJZ05139</t>
        </is>
      </c>
      <c r="B249" s="43" t="inlineStr">
        <is>
          <t>D609791</t>
        </is>
      </c>
      <c r="C249" s="43" t="inlineStr">
        <is>
          <t>STBU</t>
        </is>
      </c>
      <c r="D249" s="43" t="inlineStr">
        <is>
          <t>Expired</t>
        </is>
      </c>
      <c r="E249" s="32" t="n">
        <v>46105</v>
      </c>
      <c r="F249" s="32" t="n">
        <v>46180</v>
      </c>
      <c r="G249" s="43" t="n">
        <v>4</v>
      </c>
      <c r="H249" s="43" t="n">
        <v>2</v>
      </c>
      <c r="I249" s="33" t="inlineStr">
        <is>
          <t>73-18489-08</t>
        </is>
      </c>
      <c r="J249" s="33" t="inlineStr"/>
      <c r="K249" s="33" t="inlineStr"/>
      <c r="L249" s="34">
        <f>IF(F249="","REVIEW: DATE CONFLICT/EMPTY",IF(F249&lt;'Change Overview'!$B$5,"END DATE PASSED","END DATE NOT PASSED"))</f>
        <v/>
      </c>
      <c r="M249" s="34">
        <f>IF(K249&lt;&gt;"","REVIEW SOURCE CONFLICT",IF(OR(ISNUMBER(SEARCH("CCB",D249)),ISNUMBER(SEARCH("Pending",D249))),"CCB/PENDING",IF(OR(ISNUMBER(SEARCH("Expired",D249)),ISNUMBER(SEARCH("Closed",D249))),"CLOSED/EXPIRED",IF(E249="","NO RELEASE DATE","REVIEW APPROVAL"))))</f>
        <v/>
      </c>
      <c r="N249" s="34">
        <f>IF(K249&lt;&gt;"","HIGH: SOURCE CONFLICT",IF(AND(L249="END DATE NOT PASSED",M249="REVIEW APPROVAL"),"HIGH: VERIFY",IF(L249="END DATE NOT PASSED","MEDIUM: CHECK STATUS","LOW: HISTORICAL")))</f>
        <v/>
      </c>
      <c r="O249" s="33" t="inlineStr">
        <is>
          <t>Validar documento firmado, revision/WO/sitio, material afectado y evidencia antes de activar alerta automatica.</t>
        </is>
      </c>
    </row>
    <row r="250">
      <c r="A250" s="43" t="inlineStr">
        <is>
          <t>CTANJZ05140</t>
        </is>
      </c>
      <c r="B250" s="43" t="inlineStr">
        <is>
          <t>D609792</t>
        </is>
      </c>
      <c r="C250" s="43" t="inlineStr">
        <is>
          <t>STBU</t>
        </is>
      </c>
      <c r="D250" s="43" t="inlineStr">
        <is>
          <t>Expired</t>
        </is>
      </c>
      <c r="E250" s="32" t="n">
        <v>46106</v>
      </c>
      <c r="F250" s="32" t="n">
        <v>46180</v>
      </c>
      <c r="G250" s="43" t="n">
        <v>4</v>
      </c>
      <c r="H250" s="43" t="n">
        <v>2</v>
      </c>
      <c r="I250" s="33" t="inlineStr">
        <is>
          <t>73-18489-08</t>
        </is>
      </c>
      <c r="J250" s="33" t="inlineStr"/>
      <c r="K250" s="33" t="inlineStr"/>
      <c r="L250" s="34">
        <f>IF(F250="","REVIEW: DATE CONFLICT/EMPTY",IF(F250&lt;'Change Overview'!$B$5,"END DATE PASSED","END DATE NOT PASSED"))</f>
        <v/>
      </c>
      <c r="M250" s="34">
        <f>IF(K250&lt;&gt;"","REVIEW SOURCE CONFLICT",IF(OR(ISNUMBER(SEARCH("CCB",D250)),ISNUMBER(SEARCH("Pending",D250))),"CCB/PENDING",IF(OR(ISNUMBER(SEARCH("Expired",D250)),ISNUMBER(SEARCH("Closed",D250))),"CLOSED/EXPIRED",IF(E250="","NO RELEASE DATE","REVIEW APPROVAL"))))</f>
        <v/>
      </c>
      <c r="N250" s="34">
        <f>IF(K250&lt;&gt;"","HIGH: SOURCE CONFLICT",IF(AND(L250="END DATE NOT PASSED",M250="REVIEW APPROVAL"),"HIGH: VERIFY",IF(L250="END DATE NOT PASSED","MEDIUM: CHECK STATUS","LOW: HISTORICAL")))</f>
        <v/>
      </c>
      <c r="O250" s="33" t="inlineStr">
        <is>
          <t>Validar documento firmado, revision/WO/sitio, material afectado y evidencia antes de activar alerta automatica.</t>
        </is>
      </c>
    </row>
    <row r="251">
      <c r="A251" s="43" t="inlineStr">
        <is>
          <t>CTANJZ05141</t>
        </is>
      </c>
      <c r="B251" s="43" t="inlineStr">
        <is>
          <t>D609793</t>
        </is>
      </c>
      <c r="C251" s="43" t="inlineStr">
        <is>
          <t>STBU</t>
        </is>
      </c>
      <c r="D251" s="43" t="inlineStr">
        <is>
          <t>Expired</t>
        </is>
      </c>
      <c r="E251" s="32" t="n">
        <v>46105</v>
      </c>
      <c r="F251" s="32" t="n">
        <v>46180</v>
      </c>
      <c r="G251" s="43" t="n">
        <v>4</v>
      </c>
      <c r="H251" s="43" t="n">
        <v>2</v>
      </c>
      <c r="I251" s="33" t="inlineStr">
        <is>
          <t>73-18489-08</t>
        </is>
      </c>
      <c r="J251" s="33" t="inlineStr"/>
      <c r="K251" s="33" t="inlineStr"/>
      <c r="L251" s="34">
        <f>IF(F251="","REVIEW: DATE CONFLICT/EMPTY",IF(F251&lt;'Change Overview'!$B$5,"END DATE PASSED","END DATE NOT PASSED"))</f>
        <v/>
      </c>
      <c r="M251" s="34">
        <f>IF(K251&lt;&gt;"","REVIEW SOURCE CONFLICT",IF(OR(ISNUMBER(SEARCH("CCB",D251)),ISNUMBER(SEARCH("Pending",D251))),"CCB/PENDING",IF(OR(ISNUMBER(SEARCH("Expired",D251)),ISNUMBER(SEARCH("Closed",D251))),"CLOSED/EXPIRED",IF(E251="","NO RELEASE DATE","REVIEW APPROVAL"))))</f>
        <v/>
      </c>
      <c r="N251" s="34">
        <f>IF(K251&lt;&gt;"","HIGH: SOURCE CONFLICT",IF(AND(L251="END DATE NOT PASSED",M251="REVIEW APPROVAL"),"HIGH: VERIFY",IF(L251="END DATE NOT PASSED","MEDIUM: CHECK STATUS","LOW: HISTORICAL")))</f>
        <v/>
      </c>
      <c r="O251" s="33" t="inlineStr">
        <is>
          <t>Validar documento firmado, revision/WO/sitio, material afectado y evidencia antes de activar alerta automatica.</t>
        </is>
      </c>
    </row>
    <row r="252">
      <c r="A252" s="43" t="inlineStr">
        <is>
          <t>CTANJZ05142</t>
        </is>
      </c>
      <c r="B252" s="43" t="inlineStr">
        <is>
          <t>D609946</t>
        </is>
      </c>
      <c r="C252" s="43" t="inlineStr">
        <is>
          <t>STBU</t>
        </is>
      </c>
      <c r="D252" s="43" t="inlineStr">
        <is>
          <t>Expired</t>
        </is>
      </c>
      <c r="E252" s="32" t="n">
        <v>46121</v>
      </c>
      <c r="F252" s="32" t="n">
        <v>46181</v>
      </c>
      <c r="G252" s="43" t="n">
        <v>3</v>
      </c>
      <c r="H252" s="43" t="n">
        <v>3</v>
      </c>
      <c r="I252" s="33" t="inlineStr"/>
      <c r="J252" s="33" t="inlineStr"/>
      <c r="K252" s="33" t="inlineStr"/>
      <c r="L252" s="34">
        <f>IF(F252="","REVIEW: DATE CONFLICT/EMPTY",IF(F252&lt;'Change Overview'!$B$5,"END DATE PASSED","END DATE NOT PASSED"))</f>
        <v/>
      </c>
      <c r="M252" s="34">
        <f>IF(K252&lt;&gt;"","REVIEW SOURCE CONFLICT",IF(OR(ISNUMBER(SEARCH("CCB",D252)),ISNUMBER(SEARCH("Pending",D252))),"CCB/PENDING",IF(OR(ISNUMBER(SEARCH("Expired",D252)),ISNUMBER(SEARCH("Closed",D252))),"CLOSED/EXPIRED",IF(E252="","NO RELEASE DATE","REVIEW APPROVAL"))))</f>
        <v/>
      </c>
      <c r="N252" s="34">
        <f>IF(K252&lt;&gt;"","HIGH: SOURCE CONFLICT",IF(AND(L252="END DATE NOT PASSED",M252="REVIEW APPROVAL"),"HIGH: VERIFY",IF(L252="END DATE NOT PASSED","MEDIUM: CHECK STATUS","LOW: HISTORICAL")))</f>
        <v/>
      </c>
      <c r="O252" s="33" t="inlineStr">
        <is>
          <t>Validar documento firmado, revision/WO/sitio, material afectado y evidencia antes de activar alerta automatica.</t>
        </is>
      </c>
    </row>
    <row r="253">
      <c r="A253" s="43" t="inlineStr">
        <is>
          <t>CTANJZ05143</t>
        </is>
      </c>
      <c r="B253" s="43" t="inlineStr">
        <is>
          <t>D608560</t>
        </is>
      </c>
      <c r="C253" s="43" t="inlineStr">
        <is>
          <t>STBU</t>
        </is>
      </c>
      <c r="D253" s="43" t="inlineStr">
        <is>
          <t>Expired</t>
        </is>
      </c>
      <c r="E253" s="32" t="n">
        <v>46121</v>
      </c>
      <c r="F253" s="32" t="n">
        <v>46181</v>
      </c>
      <c r="G253" s="43" t="n">
        <v>2</v>
      </c>
      <c r="H253" s="43" t="n">
        <v>2</v>
      </c>
      <c r="I253" s="33" t="inlineStr"/>
      <c r="J253" s="33" t="inlineStr"/>
      <c r="K253" s="33" t="inlineStr"/>
      <c r="L253" s="34">
        <f>IF(F253="","REVIEW: DATE CONFLICT/EMPTY",IF(F253&lt;'Change Overview'!$B$5,"END DATE PASSED","END DATE NOT PASSED"))</f>
        <v/>
      </c>
      <c r="M253" s="34">
        <f>IF(K253&lt;&gt;"","REVIEW SOURCE CONFLICT",IF(OR(ISNUMBER(SEARCH("CCB",D253)),ISNUMBER(SEARCH("Pending",D253))),"CCB/PENDING",IF(OR(ISNUMBER(SEARCH("Expired",D253)),ISNUMBER(SEARCH("Closed",D253))),"CLOSED/EXPIRED",IF(E253="","NO RELEASE DATE","REVIEW APPROVAL"))))</f>
        <v/>
      </c>
      <c r="N253" s="34">
        <f>IF(K253&lt;&gt;"","HIGH: SOURCE CONFLICT",IF(AND(L253="END DATE NOT PASSED",M253="REVIEW APPROVAL"),"HIGH: VERIFY",IF(L253="END DATE NOT PASSED","MEDIUM: CHECK STATUS","LOW: HISTORICAL")))</f>
        <v/>
      </c>
      <c r="O253" s="33" t="inlineStr">
        <is>
          <t>Validar documento firmado, revision/WO/sitio, material afectado y evidencia antes de activar alerta automatica.</t>
        </is>
      </c>
    </row>
    <row r="254">
      <c r="A254" s="43" t="inlineStr">
        <is>
          <t>CTANJZ05144</t>
        </is>
      </c>
      <c r="B254" s="43" t="inlineStr">
        <is>
          <t>D610061</t>
        </is>
      </c>
      <c r="C254" s="43" t="inlineStr">
        <is>
          <t>CVEBU</t>
        </is>
      </c>
      <c r="D254" s="43" t="inlineStr">
        <is>
          <t>Expired</t>
        </is>
      </c>
      <c r="E254" s="32" t="n">
        <v>46100</v>
      </c>
      <c r="F254" s="32" t="n">
        <v>46181</v>
      </c>
      <c r="G254" s="43" t="n">
        <v>3</v>
      </c>
      <c r="H254" s="43" t="n">
        <v>3</v>
      </c>
      <c r="I254" s="33" t="inlineStr">
        <is>
          <t>73-103826-05</t>
        </is>
      </c>
      <c r="J254" s="33" t="inlineStr">
        <is>
          <t>BAYFRONT</t>
        </is>
      </c>
      <c r="K254" s="33" t="inlineStr"/>
      <c r="L254" s="34">
        <f>IF(F254="","REVIEW: DATE CONFLICT/EMPTY",IF(F254&lt;'Change Overview'!$B$5,"END DATE PASSED","END DATE NOT PASSED"))</f>
        <v/>
      </c>
      <c r="M254" s="34">
        <f>IF(K254&lt;&gt;"","REVIEW SOURCE CONFLICT",IF(OR(ISNUMBER(SEARCH("CCB",D254)),ISNUMBER(SEARCH("Pending",D254))),"CCB/PENDING",IF(OR(ISNUMBER(SEARCH("Expired",D254)),ISNUMBER(SEARCH("Closed",D254))),"CLOSED/EXPIRED",IF(E254="","NO RELEASE DATE","REVIEW APPROVAL"))))</f>
        <v/>
      </c>
      <c r="N254" s="34">
        <f>IF(K254&lt;&gt;"","HIGH: SOURCE CONFLICT",IF(AND(L254="END DATE NOT PASSED",M254="REVIEW APPROVAL"),"HIGH: VERIFY",IF(L254="END DATE NOT PASSED","MEDIUM: CHECK STATUS","LOW: HISTORICAL")))</f>
        <v/>
      </c>
      <c r="O254" s="33" t="inlineStr">
        <is>
          <t>Validar documento firmado, revision/WO/sitio, material afectado y evidencia antes de activar alerta automatica.</t>
        </is>
      </c>
    </row>
    <row r="255">
      <c r="A255" s="43" t="inlineStr">
        <is>
          <t>CTANJZ05145</t>
        </is>
      </c>
      <c r="B255" s="43" t="inlineStr">
        <is>
          <t>D609994</t>
        </is>
      </c>
      <c r="C255" s="43" t="inlineStr">
        <is>
          <t>STBU</t>
        </is>
      </c>
      <c r="D255" s="43" t="inlineStr">
        <is>
          <t>Expired</t>
        </is>
      </c>
      <c r="E255" s="32" t="n">
        <v>46121</v>
      </c>
      <c r="F255" s="32" t="n">
        <v>46183</v>
      </c>
      <c r="G255" s="43" t="n">
        <v>8</v>
      </c>
      <c r="H255" s="43" t="n">
        <v>8</v>
      </c>
      <c r="I255" s="33" t="inlineStr"/>
      <c r="J255" s="33" t="inlineStr"/>
      <c r="K255" s="33" t="inlineStr"/>
      <c r="L255" s="34">
        <f>IF(F255="","REVIEW: DATE CONFLICT/EMPTY",IF(F255&lt;'Change Overview'!$B$5,"END DATE PASSED","END DATE NOT PASSED"))</f>
        <v/>
      </c>
      <c r="M255" s="34">
        <f>IF(K255&lt;&gt;"","REVIEW SOURCE CONFLICT",IF(OR(ISNUMBER(SEARCH("CCB",D255)),ISNUMBER(SEARCH("Pending",D255))),"CCB/PENDING",IF(OR(ISNUMBER(SEARCH("Expired",D255)),ISNUMBER(SEARCH("Closed",D255))),"CLOSED/EXPIRED",IF(E255="","NO RELEASE DATE","REVIEW APPROVAL"))))</f>
        <v/>
      </c>
      <c r="N255" s="34">
        <f>IF(K255&lt;&gt;"","HIGH: SOURCE CONFLICT",IF(AND(L255="END DATE NOT PASSED",M255="REVIEW APPROVAL"),"HIGH: VERIFY",IF(L255="END DATE NOT PASSED","MEDIUM: CHECK STATUS","LOW: HISTORICAL")))</f>
        <v/>
      </c>
      <c r="O255" s="33" t="inlineStr">
        <is>
          <t>Validar documento firmado, revision/WO/sitio, material afectado y evidencia antes de activar alerta automatica.</t>
        </is>
      </c>
    </row>
    <row r="256">
      <c r="A256" s="43" t="inlineStr">
        <is>
          <t>CTANJZ05146</t>
        </is>
      </c>
      <c r="B256" s="43" t="inlineStr">
        <is>
          <t>D610073</t>
        </is>
      </c>
      <c r="C256" s="43" t="inlineStr">
        <is>
          <t>CRBU</t>
        </is>
      </c>
      <c r="D256" s="43" t="inlineStr">
        <is>
          <t>Expired</t>
        </is>
      </c>
      <c r="E256" s="32" t="n">
        <v>46107</v>
      </c>
      <c r="F256" s="32" t="n">
        <v>46186</v>
      </c>
      <c r="G256" s="43" t="n">
        <v>9</v>
      </c>
      <c r="H256" s="43" t="n">
        <v>9</v>
      </c>
      <c r="I256" s="33" t="inlineStr"/>
      <c r="J256" s="33" t="inlineStr"/>
      <c r="K256" s="33" t="inlineStr"/>
      <c r="L256" s="34">
        <f>IF(F256="","REVIEW: DATE CONFLICT/EMPTY",IF(F256&lt;'Change Overview'!$B$5,"END DATE PASSED","END DATE NOT PASSED"))</f>
        <v/>
      </c>
      <c r="M256" s="34">
        <f>IF(K256&lt;&gt;"","REVIEW SOURCE CONFLICT",IF(OR(ISNUMBER(SEARCH("CCB",D256)),ISNUMBER(SEARCH("Pending",D256))),"CCB/PENDING",IF(OR(ISNUMBER(SEARCH("Expired",D256)),ISNUMBER(SEARCH("Closed",D256))),"CLOSED/EXPIRED",IF(E256="","NO RELEASE DATE","REVIEW APPROVAL"))))</f>
        <v/>
      </c>
      <c r="N256" s="34">
        <f>IF(K256&lt;&gt;"","HIGH: SOURCE CONFLICT",IF(AND(L256="END DATE NOT PASSED",M256="REVIEW APPROVAL"),"HIGH: VERIFY",IF(L256="END DATE NOT PASSED","MEDIUM: CHECK STATUS","LOW: HISTORICAL")))</f>
        <v/>
      </c>
      <c r="O256" s="33" t="inlineStr">
        <is>
          <t>Validar documento firmado, revision/WO/sitio, material afectado y evidencia antes de activar alerta automatica.</t>
        </is>
      </c>
    </row>
    <row r="257">
      <c r="A257" s="43" t="inlineStr">
        <is>
          <t>CTANJZ05148</t>
        </is>
      </c>
      <c r="B257" s="43" t="inlineStr">
        <is>
          <t>D610094</t>
        </is>
      </c>
      <c r="C257" s="43" t="inlineStr">
        <is>
          <t>CRBU</t>
        </is>
      </c>
      <c r="D257" s="43" t="inlineStr">
        <is>
          <t>Expired</t>
        </is>
      </c>
      <c r="E257" s="32" t="n">
        <v>46133</v>
      </c>
      <c r="F257" s="32" t="n">
        <v>46188</v>
      </c>
      <c r="G257" s="43" t="n">
        <v>3</v>
      </c>
      <c r="H257" s="43" t="n">
        <v>3</v>
      </c>
      <c r="I257" s="33" t="inlineStr"/>
      <c r="J257" s="33" t="inlineStr"/>
      <c r="K257" s="33" t="inlineStr"/>
      <c r="L257" s="34">
        <f>IF(F257="","REVIEW: DATE CONFLICT/EMPTY",IF(F257&lt;'Change Overview'!$B$5,"END DATE PASSED","END DATE NOT PASSED"))</f>
        <v/>
      </c>
      <c r="M257" s="34">
        <f>IF(K257&lt;&gt;"","REVIEW SOURCE CONFLICT",IF(OR(ISNUMBER(SEARCH("CCB",D257)),ISNUMBER(SEARCH("Pending",D257))),"CCB/PENDING",IF(OR(ISNUMBER(SEARCH("Expired",D257)),ISNUMBER(SEARCH("Closed",D257))),"CLOSED/EXPIRED",IF(E257="","NO RELEASE DATE","REVIEW APPROVAL"))))</f>
        <v/>
      </c>
      <c r="N257" s="34">
        <f>IF(K257&lt;&gt;"","HIGH: SOURCE CONFLICT",IF(AND(L257="END DATE NOT PASSED",M257="REVIEW APPROVAL"),"HIGH: VERIFY",IF(L257="END DATE NOT PASSED","MEDIUM: CHECK STATUS","LOW: HISTORICAL")))</f>
        <v/>
      </c>
      <c r="O257" s="33" t="inlineStr">
        <is>
          <t>Validar documento firmado, revision/WO/sitio, material afectado y evidencia antes de activar alerta automatica.</t>
        </is>
      </c>
    </row>
    <row r="258">
      <c r="A258" s="43" t="inlineStr">
        <is>
          <t>CTANJZ05149</t>
        </is>
      </c>
      <c r="B258" s="43" t="inlineStr">
        <is>
          <t>D610093</t>
        </is>
      </c>
      <c r="C258" s="43" t="inlineStr">
        <is>
          <t>CRBU</t>
        </is>
      </c>
      <c r="D258" s="43" t="inlineStr">
        <is>
          <t>Expired</t>
        </is>
      </c>
      <c r="E258" s="32" t="n">
        <v>46130</v>
      </c>
      <c r="F258" s="32" t="n">
        <v>46188</v>
      </c>
      <c r="G258" s="43" t="n">
        <v>2</v>
      </c>
      <c r="H258" s="43" t="n">
        <v>2</v>
      </c>
      <c r="I258" s="33" t="inlineStr"/>
      <c r="J258" s="33" t="inlineStr"/>
      <c r="K258" s="33" t="inlineStr"/>
      <c r="L258" s="34">
        <f>IF(F258="","REVIEW: DATE CONFLICT/EMPTY",IF(F258&lt;'Change Overview'!$B$5,"END DATE PASSED","END DATE NOT PASSED"))</f>
        <v/>
      </c>
      <c r="M258" s="34">
        <f>IF(K258&lt;&gt;"","REVIEW SOURCE CONFLICT",IF(OR(ISNUMBER(SEARCH("CCB",D258)),ISNUMBER(SEARCH("Pending",D258))),"CCB/PENDING",IF(OR(ISNUMBER(SEARCH("Expired",D258)),ISNUMBER(SEARCH("Closed",D258))),"CLOSED/EXPIRED",IF(E258="","NO RELEASE DATE","REVIEW APPROVAL"))))</f>
        <v/>
      </c>
      <c r="N258" s="34">
        <f>IF(K258&lt;&gt;"","HIGH: SOURCE CONFLICT",IF(AND(L258="END DATE NOT PASSED",M258="REVIEW APPROVAL"),"HIGH: VERIFY",IF(L258="END DATE NOT PASSED","MEDIUM: CHECK STATUS","LOW: HISTORICAL")))</f>
        <v/>
      </c>
      <c r="O258" s="33" t="inlineStr">
        <is>
          <t>Validar documento firmado, revision/WO/sitio, material afectado y evidencia antes de activar alerta automatica.</t>
        </is>
      </c>
    </row>
    <row r="259">
      <c r="A259" s="43" t="inlineStr">
        <is>
          <t>CTANJZ05150</t>
        </is>
      </c>
      <c r="B259" s="43" t="inlineStr">
        <is>
          <t>D610122</t>
        </is>
      </c>
      <c r="C259" s="43" t="inlineStr">
        <is>
          <t>STBU</t>
        </is>
      </c>
      <c r="D259" s="43" t="inlineStr">
        <is>
          <t>Expired</t>
        </is>
      </c>
      <c r="E259" s="32" t="n">
        <v>46129</v>
      </c>
      <c r="F259" s="32" t="n">
        <v>46188</v>
      </c>
      <c r="G259" s="43" t="n">
        <v>6</v>
      </c>
      <c r="H259" s="43" t="n">
        <v>6</v>
      </c>
      <c r="I259" s="33" t="inlineStr"/>
      <c r="J259" s="33" t="inlineStr"/>
      <c r="K259" s="33" t="inlineStr"/>
      <c r="L259" s="34">
        <f>IF(F259="","REVIEW: DATE CONFLICT/EMPTY",IF(F259&lt;'Change Overview'!$B$5,"END DATE PASSED","END DATE NOT PASSED"))</f>
        <v/>
      </c>
      <c r="M259" s="34">
        <f>IF(K259&lt;&gt;"","REVIEW SOURCE CONFLICT",IF(OR(ISNUMBER(SEARCH("CCB",D259)),ISNUMBER(SEARCH("Pending",D259))),"CCB/PENDING",IF(OR(ISNUMBER(SEARCH("Expired",D259)),ISNUMBER(SEARCH("Closed",D259))),"CLOSED/EXPIRED",IF(E259="","NO RELEASE DATE","REVIEW APPROVAL"))))</f>
        <v/>
      </c>
      <c r="N259" s="34">
        <f>IF(K259&lt;&gt;"","HIGH: SOURCE CONFLICT",IF(AND(L259="END DATE NOT PASSED",M259="REVIEW APPROVAL"),"HIGH: VERIFY",IF(L259="END DATE NOT PASSED","MEDIUM: CHECK STATUS","LOW: HISTORICAL")))</f>
        <v/>
      </c>
      <c r="O259" s="33" t="inlineStr">
        <is>
          <t>Validar documento firmado, revision/WO/sitio, material afectado y evidencia antes de activar alerta automatica.</t>
        </is>
      </c>
    </row>
    <row r="260">
      <c r="A260" s="43" t="inlineStr">
        <is>
          <t>CTANJZ05151</t>
        </is>
      </c>
      <c r="B260" s="43" t="inlineStr">
        <is>
          <t>DP525933</t>
        </is>
      </c>
      <c r="C260" s="43" t="inlineStr">
        <is>
          <t>STBU</t>
        </is>
      </c>
      <c r="D260" s="43" t="inlineStr">
        <is>
          <t>Expired</t>
        </is>
      </c>
      <c r="E260" s="32" t="n">
        <v>46113</v>
      </c>
      <c r="F260" s="32" t="n">
        <v>46158</v>
      </c>
      <c r="G260" s="43" t="n">
        <v>2</v>
      </c>
      <c r="H260" s="43" t="n">
        <v>2</v>
      </c>
      <c r="I260" s="33" t="inlineStr"/>
      <c r="J260" s="33" t="inlineStr"/>
      <c r="K260" s="33" t="inlineStr"/>
      <c r="L260" s="34">
        <f>IF(F260="","REVIEW: DATE CONFLICT/EMPTY",IF(F260&lt;'Change Overview'!$B$5,"END DATE PASSED","END DATE NOT PASSED"))</f>
        <v/>
      </c>
      <c r="M260" s="34">
        <f>IF(K260&lt;&gt;"","REVIEW SOURCE CONFLICT",IF(OR(ISNUMBER(SEARCH("CCB",D260)),ISNUMBER(SEARCH("Pending",D260))),"CCB/PENDING",IF(OR(ISNUMBER(SEARCH("Expired",D260)),ISNUMBER(SEARCH("Closed",D260))),"CLOSED/EXPIRED",IF(E260="","NO RELEASE DATE","REVIEW APPROVAL"))))</f>
        <v/>
      </c>
      <c r="N260" s="34">
        <f>IF(K260&lt;&gt;"","HIGH: SOURCE CONFLICT",IF(AND(L260="END DATE NOT PASSED",M260="REVIEW APPROVAL"),"HIGH: VERIFY",IF(L260="END DATE NOT PASSED","MEDIUM: CHECK STATUS","LOW: HISTORICAL")))</f>
        <v/>
      </c>
      <c r="O260" s="33" t="inlineStr">
        <is>
          <t>Validar documento firmado, revision/WO/sitio, material afectado y evidencia antes de activar alerta automatica.</t>
        </is>
      </c>
    </row>
    <row r="261">
      <c r="A261" s="43" t="inlineStr">
        <is>
          <t>CTANJZ05153</t>
        </is>
      </c>
      <c r="B261" s="43" t="inlineStr">
        <is>
          <t>DP525940</t>
        </is>
      </c>
      <c r="C261" s="43" t="inlineStr">
        <is>
          <t>STBU</t>
        </is>
      </c>
      <c r="D261" s="43" t="inlineStr">
        <is>
          <t>Expired</t>
        </is>
      </c>
      <c r="E261" s="32" t="n">
        <v>46113</v>
      </c>
      <c r="F261" s="32" t="n">
        <v>46159</v>
      </c>
      <c r="G261" s="43" t="n">
        <v>2</v>
      </c>
      <c r="H261" s="43" t="n">
        <v>2</v>
      </c>
      <c r="I261" s="33" t="inlineStr"/>
      <c r="J261" s="33" t="inlineStr"/>
      <c r="K261" s="33" t="inlineStr"/>
      <c r="L261" s="34">
        <f>IF(F261="","REVIEW: DATE CONFLICT/EMPTY",IF(F261&lt;'Change Overview'!$B$5,"END DATE PASSED","END DATE NOT PASSED"))</f>
        <v/>
      </c>
      <c r="M261" s="34">
        <f>IF(K261&lt;&gt;"","REVIEW SOURCE CONFLICT",IF(OR(ISNUMBER(SEARCH("CCB",D261)),ISNUMBER(SEARCH("Pending",D261))),"CCB/PENDING",IF(OR(ISNUMBER(SEARCH("Expired",D261)),ISNUMBER(SEARCH("Closed",D261))),"CLOSED/EXPIRED",IF(E261="","NO RELEASE DATE","REVIEW APPROVAL"))))</f>
        <v/>
      </c>
      <c r="N261" s="34">
        <f>IF(K261&lt;&gt;"","HIGH: SOURCE CONFLICT",IF(AND(L261="END DATE NOT PASSED",M261="REVIEW APPROVAL"),"HIGH: VERIFY",IF(L261="END DATE NOT PASSED","MEDIUM: CHECK STATUS","LOW: HISTORICAL")))</f>
        <v/>
      </c>
      <c r="O261" s="33" t="inlineStr">
        <is>
          <t>Validar documento firmado, revision/WO/sitio, material afectado y evidencia antes de activar alerta automatica.</t>
        </is>
      </c>
    </row>
    <row r="262">
      <c r="A262" s="43" t="inlineStr">
        <is>
          <t>CTANJZ05154</t>
        </is>
      </c>
      <c r="B262" s="43" t="inlineStr">
        <is>
          <t>D610130</t>
        </is>
      </c>
      <c r="C262" s="43" t="inlineStr">
        <is>
          <t>STBU</t>
        </is>
      </c>
      <c r="D262" s="43" t="inlineStr">
        <is>
          <t>Expired</t>
        </is>
      </c>
      <c r="E262" s="32" t="n">
        <v>46121</v>
      </c>
      <c r="F262" s="32" t="n">
        <v>46189</v>
      </c>
      <c r="G262" s="43" t="n">
        <v>3</v>
      </c>
      <c r="H262" s="43" t="n">
        <v>3</v>
      </c>
      <c r="I262" s="33" t="inlineStr">
        <is>
          <t>73-20247-06, 73-20249-06</t>
        </is>
      </c>
      <c r="J262" s="33" t="inlineStr">
        <is>
          <t>TUFNELL PARK</t>
        </is>
      </c>
      <c r="K262" s="33" t="inlineStr"/>
      <c r="L262" s="34">
        <f>IF(F262="","REVIEW: DATE CONFLICT/EMPTY",IF(F262&lt;'Change Overview'!$B$5,"END DATE PASSED","END DATE NOT PASSED"))</f>
        <v/>
      </c>
      <c r="M262" s="34">
        <f>IF(K262&lt;&gt;"","REVIEW SOURCE CONFLICT",IF(OR(ISNUMBER(SEARCH("CCB",D262)),ISNUMBER(SEARCH("Pending",D262))),"CCB/PENDING",IF(OR(ISNUMBER(SEARCH("Expired",D262)),ISNUMBER(SEARCH("Closed",D262))),"CLOSED/EXPIRED",IF(E262="","NO RELEASE DATE","REVIEW APPROVAL"))))</f>
        <v/>
      </c>
      <c r="N262" s="34">
        <f>IF(K262&lt;&gt;"","HIGH: SOURCE CONFLICT",IF(AND(L262="END DATE NOT PASSED",M262="REVIEW APPROVAL"),"HIGH: VERIFY",IF(L262="END DATE NOT PASSED","MEDIUM: CHECK STATUS","LOW: HISTORICAL")))</f>
        <v/>
      </c>
      <c r="O262" s="33" t="inlineStr">
        <is>
          <t>Validar documento firmado, revision/WO/sitio, material afectado y evidencia antes de activar alerta automatica.</t>
        </is>
      </c>
    </row>
    <row r="263">
      <c r="A263" s="43" t="inlineStr">
        <is>
          <t>CTANJZ05155</t>
        </is>
      </c>
      <c r="B263" s="43" t="inlineStr">
        <is>
          <t>D610128</t>
        </is>
      </c>
      <c r="C263" s="43" t="inlineStr">
        <is>
          <t>STBU</t>
        </is>
      </c>
      <c r="D263" s="43" t="inlineStr">
        <is>
          <t>Expired</t>
        </is>
      </c>
      <c r="E263" s="32" t="n">
        <v>46129</v>
      </c>
      <c r="F263" s="32" t="n">
        <v>46189</v>
      </c>
      <c r="G263" s="43" t="n">
        <v>2</v>
      </c>
      <c r="H263" s="43" t="n">
        <v>2</v>
      </c>
      <c r="I263" s="33" t="inlineStr"/>
      <c r="J263" s="33" t="inlineStr"/>
      <c r="K263" s="33" t="inlineStr"/>
      <c r="L263" s="34">
        <f>IF(F263="","REVIEW: DATE CONFLICT/EMPTY",IF(F263&lt;'Change Overview'!$B$5,"END DATE PASSED","END DATE NOT PASSED"))</f>
        <v/>
      </c>
      <c r="M263" s="34">
        <f>IF(K263&lt;&gt;"","REVIEW SOURCE CONFLICT",IF(OR(ISNUMBER(SEARCH("CCB",D263)),ISNUMBER(SEARCH("Pending",D263))),"CCB/PENDING",IF(OR(ISNUMBER(SEARCH("Expired",D263)),ISNUMBER(SEARCH("Closed",D263))),"CLOSED/EXPIRED",IF(E263="","NO RELEASE DATE","REVIEW APPROVAL"))))</f>
        <v/>
      </c>
      <c r="N263" s="34">
        <f>IF(K263&lt;&gt;"","HIGH: SOURCE CONFLICT",IF(AND(L263="END DATE NOT PASSED",M263="REVIEW APPROVAL"),"HIGH: VERIFY",IF(L263="END DATE NOT PASSED","MEDIUM: CHECK STATUS","LOW: HISTORICAL")))</f>
        <v/>
      </c>
      <c r="O263" s="33" t="inlineStr">
        <is>
          <t>Validar documento firmado, revision/WO/sitio, material afectado y evidencia antes de activar alerta automatica.</t>
        </is>
      </c>
    </row>
    <row r="264">
      <c r="A264" s="43" t="inlineStr">
        <is>
          <t>CTANJZ05156</t>
        </is>
      </c>
      <c r="B264" s="43" t="inlineStr">
        <is>
          <t>D608513</t>
        </is>
      </c>
      <c r="C264" s="43" t="inlineStr">
        <is>
          <t>CRBU</t>
        </is>
      </c>
      <c r="D264" s="43" t="inlineStr">
        <is>
          <t>Expired</t>
        </is>
      </c>
      <c r="E264" s="32" t="n">
        <v>46130</v>
      </c>
      <c r="F264" s="32" t="n">
        <v>46189</v>
      </c>
      <c r="G264" s="43" t="n">
        <v>3</v>
      </c>
      <c r="H264" s="43" t="n">
        <v>3</v>
      </c>
      <c r="I264" s="33" t="inlineStr"/>
      <c r="J264" s="33" t="inlineStr"/>
      <c r="K264" s="33" t="inlineStr"/>
      <c r="L264" s="34">
        <f>IF(F264="","REVIEW: DATE CONFLICT/EMPTY",IF(F264&lt;'Change Overview'!$B$5,"END DATE PASSED","END DATE NOT PASSED"))</f>
        <v/>
      </c>
      <c r="M264" s="34">
        <f>IF(K264&lt;&gt;"","REVIEW SOURCE CONFLICT",IF(OR(ISNUMBER(SEARCH("CCB",D264)),ISNUMBER(SEARCH("Pending",D264))),"CCB/PENDING",IF(OR(ISNUMBER(SEARCH("Expired",D264)),ISNUMBER(SEARCH("Closed",D264))),"CLOSED/EXPIRED",IF(E264="","NO RELEASE DATE","REVIEW APPROVAL"))))</f>
        <v/>
      </c>
      <c r="N264" s="34">
        <f>IF(K264&lt;&gt;"","HIGH: SOURCE CONFLICT",IF(AND(L264="END DATE NOT PASSED",M264="REVIEW APPROVAL"),"HIGH: VERIFY",IF(L264="END DATE NOT PASSED","MEDIUM: CHECK STATUS","LOW: HISTORICAL")))</f>
        <v/>
      </c>
      <c r="O264" s="33" t="inlineStr">
        <is>
          <t>Validar documento firmado, revision/WO/sitio, material afectado y evidencia antes de activar alerta automatica.</t>
        </is>
      </c>
    </row>
    <row r="265">
      <c r="A265" s="43" t="inlineStr">
        <is>
          <t>CTANJZ05157</t>
        </is>
      </c>
      <c r="B265" s="43" t="inlineStr">
        <is>
          <t>D610246</t>
        </is>
      </c>
      <c r="C265" s="43" t="inlineStr">
        <is>
          <t>CVEBU</t>
        </is>
      </c>
      <c r="D265" s="43" t="inlineStr">
        <is>
          <t>Expired</t>
        </is>
      </c>
      <c r="E265" s="32" t="n">
        <v>46113</v>
      </c>
      <c r="F265" s="32" t="n">
        <v>46190</v>
      </c>
      <c r="G265" s="43" t="n">
        <v>3</v>
      </c>
      <c r="H265" s="43" t="n">
        <v>3</v>
      </c>
      <c r="I265" s="33" t="inlineStr">
        <is>
          <t>73-103103-05, 73-103603-05</t>
        </is>
      </c>
      <c r="J265" s="33" t="inlineStr">
        <is>
          <t>PICTORIS</t>
        </is>
      </c>
      <c r="K265" s="33" t="inlineStr"/>
      <c r="L265" s="34">
        <f>IF(F265="","REVIEW: DATE CONFLICT/EMPTY",IF(F265&lt;'Change Overview'!$B$5,"END DATE PASSED","END DATE NOT PASSED"))</f>
        <v/>
      </c>
      <c r="M265" s="34">
        <f>IF(K265&lt;&gt;"","REVIEW SOURCE CONFLICT",IF(OR(ISNUMBER(SEARCH("CCB",D265)),ISNUMBER(SEARCH("Pending",D265))),"CCB/PENDING",IF(OR(ISNUMBER(SEARCH("Expired",D265)),ISNUMBER(SEARCH("Closed",D265))),"CLOSED/EXPIRED",IF(E265="","NO RELEASE DATE","REVIEW APPROVAL"))))</f>
        <v/>
      </c>
      <c r="N265" s="34">
        <f>IF(K265&lt;&gt;"","HIGH: SOURCE CONFLICT",IF(AND(L265="END DATE NOT PASSED",M265="REVIEW APPROVAL"),"HIGH: VERIFY",IF(L265="END DATE NOT PASSED","MEDIUM: CHECK STATUS","LOW: HISTORICAL")))</f>
        <v/>
      </c>
      <c r="O265" s="33" t="inlineStr">
        <is>
          <t>Validar documento firmado, revision/WO/sitio, material afectado y evidencia antes de activar alerta automatica.</t>
        </is>
      </c>
    </row>
    <row r="266">
      <c r="A266" s="43" t="inlineStr">
        <is>
          <t>CTANJZ05159</t>
        </is>
      </c>
      <c r="B266" s="43" t="inlineStr">
        <is>
          <t>D609704</t>
        </is>
      </c>
      <c r="C266" s="43" t="inlineStr">
        <is>
          <t>SRGBU</t>
        </is>
      </c>
      <c r="D266" s="43" t="inlineStr">
        <is>
          <t>Expired</t>
        </is>
      </c>
      <c r="E266" s="32" t="n">
        <v>46128</v>
      </c>
      <c r="F266" s="32" t="n">
        <v>46190</v>
      </c>
      <c r="G266" s="43" t="n">
        <v>1</v>
      </c>
      <c r="H266" s="43" t="n">
        <v>1</v>
      </c>
      <c r="I266" s="33" t="inlineStr"/>
      <c r="J266" s="33" t="inlineStr"/>
      <c r="K266" s="33" t="inlineStr"/>
      <c r="L266" s="34">
        <f>IF(F266="","REVIEW: DATE CONFLICT/EMPTY",IF(F266&lt;'Change Overview'!$B$5,"END DATE PASSED","END DATE NOT PASSED"))</f>
        <v/>
      </c>
      <c r="M266" s="34">
        <f>IF(K266&lt;&gt;"","REVIEW SOURCE CONFLICT",IF(OR(ISNUMBER(SEARCH("CCB",D266)),ISNUMBER(SEARCH("Pending",D266))),"CCB/PENDING",IF(OR(ISNUMBER(SEARCH("Expired",D266)),ISNUMBER(SEARCH("Closed",D266))),"CLOSED/EXPIRED",IF(E266="","NO RELEASE DATE","REVIEW APPROVAL"))))</f>
        <v/>
      </c>
      <c r="N266" s="34">
        <f>IF(K266&lt;&gt;"","HIGH: SOURCE CONFLICT",IF(AND(L266="END DATE NOT PASSED",M266="REVIEW APPROVAL"),"HIGH: VERIFY",IF(L266="END DATE NOT PASSED","MEDIUM: CHECK STATUS","LOW: HISTORICAL")))</f>
        <v/>
      </c>
      <c r="O266" s="33" t="inlineStr">
        <is>
          <t>Validar documento firmado, revision/WO/sitio, material afectado y evidencia antes de activar alerta automatica.</t>
        </is>
      </c>
    </row>
    <row r="267">
      <c r="A267" s="43" t="inlineStr">
        <is>
          <t>CTANJZ05160</t>
        </is>
      </c>
      <c r="B267" s="43" t="inlineStr">
        <is>
          <t>D610237</t>
        </is>
      </c>
      <c r="C267" s="43" t="inlineStr">
        <is>
          <t>STBU</t>
        </is>
      </c>
      <c r="D267" s="43" t="inlineStr">
        <is>
          <t>Expired</t>
        </is>
      </c>
      <c r="E267" s="32" t="n">
        <v>46130</v>
      </c>
      <c r="F267" s="32" t="n">
        <v>46190</v>
      </c>
      <c r="G267" s="43" t="n">
        <v>4</v>
      </c>
      <c r="H267" s="43" t="n">
        <v>4</v>
      </c>
      <c r="I267" s="33" t="inlineStr">
        <is>
          <t>73-102433-05, 73-102434-05, 73-102435-05</t>
        </is>
      </c>
      <c r="J267" s="33" t="inlineStr"/>
      <c r="K267" s="33" t="inlineStr"/>
      <c r="L267" s="34">
        <f>IF(F267="","REVIEW: DATE CONFLICT/EMPTY",IF(F267&lt;'Change Overview'!$B$5,"END DATE PASSED","END DATE NOT PASSED"))</f>
        <v/>
      </c>
      <c r="M267" s="34">
        <f>IF(K267&lt;&gt;"","REVIEW SOURCE CONFLICT",IF(OR(ISNUMBER(SEARCH("CCB",D267)),ISNUMBER(SEARCH("Pending",D267))),"CCB/PENDING",IF(OR(ISNUMBER(SEARCH("Expired",D267)),ISNUMBER(SEARCH("Closed",D267))),"CLOSED/EXPIRED",IF(E267="","NO RELEASE DATE","REVIEW APPROVAL"))))</f>
        <v/>
      </c>
      <c r="N267" s="34">
        <f>IF(K267&lt;&gt;"","HIGH: SOURCE CONFLICT",IF(AND(L267="END DATE NOT PASSED",M267="REVIEW APPROVAL"),"HIGH: VERIFY",IF(L267="END DATE NOT PASSED","MEDIUM: CHECK STATUS","LOW: HISTORICAL")))</f>
        <v/>
      </c>
      <c r="O267" s="33" t="inlineStr">
        <is>
          <t>Validar documento firmado, revision/WO/sitio, material afectado y evidencia antes de activar alerta automatica.</t>
        </is>
      </c>
    </row>
    <row r="268">
      <c r="A268" s="43" t="inlineStr">
        <is>
          <t>CTANJZ05166</t>
        </is>
      </c>
      <c r="B268" s="43" t="inlineStr">
        <is>
          <t>DP525902</t>
        </is>
      </c>
      <c r="C268" s="43" t="inlineStr">
        <is>
          <t>STBU</t>
        </is>
      </c>
      <c r="D268" s="43" t="inlineStr">
        <is>
          <t>Expired</t>
        </is>
      </c>
      <c r="E268" s="32" t="n">
        <v>46136</v>
      </c>
      <c r="F268" s="32" t="n">
        <v>46166</v>
      </c>
      <c r="G268" s="43" t="n">
        <v>4</v>
      </c>
      <c r="H268" s="43" t="n">
        <v>4</v>
      </c>
      <c r="I268" s="33" t="inlineStr"/>
      <c r="J268" s="33" t="inlineStr"/>
      <c r="K268" s="33" t="inlineStr"/>
      <c r="L268" s="34">
        <f>IF(F268="","REVIEW: DATE CONFLICT/EMPTY",IF(F268&lt;'Change Overview'!$B$5,"END DATE PASSED","END DATE NOT PASSED"))</f>
        <v/>
      </c>
      <c r="M268" s="34">
        <f>IF(K268&lt;&gt;"","REVIEW SOURCE CONFLICT",IF(OR(ISNUMBER(SEARCH("CCB",D268)),ISNUMBER(SEARCH("Pending",D268))),"CCB/PENDING",IF(OR(ISNUMBER(SEARCH("Expired",D268)),ISNUMBER(SEARCH("Closed",D268))),"CLOSED/EXPIRED",IF(E268="","NO RELEASE DATE","REVIEW APPROVAL"))))</f>
        <v/>
      </c>
      <c r="N268" s="34">
        <f>IF(K268&lt;&gt;"","HIGH: SOURCE CONFLICT",IF(AND(L268="END DATE NOT PASSED",M268="REVIEW APPROVAL"),"HIGH: VERIFY",IF(L268="END DATE NOT PASSED","MEDIUM: CHECK STATUS","LOW: HISTORICAL")))</f>
        <v/>
      </c>
      <c r="O268" s="33" t="inlineStr">
        <is>
          <t>Validar documento firmado, revision/WO/sitio, material afectado y evidencia antes de activar alerta automatica.</t>
        </is>
      </c>
    </row>
    <row r="269">
      <c r="A269" s="43" t="inlineStr">
        <is>
          <t>CTANJZ05167</t>
        </is>
      </c>
      <c r="B269" s="43" t="inlineStr">
        <is>
          <t>D610433</t>
        </is>
      </c>
      <c r="C269" s="43" t="inlineStr">
        <is>
          <t>CVEBU</t>
        </is>
      </c>
      <c r="D269" s="43" t="inlineStr">
        <is>
          <t>Expired</t>
        </is>
      </c>
      <c r="E269" s="32" t="n">
        <v>46129</v>
      </c>
      <c r="F269" s="32" t="n">
        <v>46197</v>
      </c>
      <c r="G269" s="43" t="n">
        <v>8</v>
      </c>
      <c r="H269" s="43" t="n">
        <v>8</v>
      </c>
      <c r="I269" s="33" t="inlineStr">
        <is>
          <t>73-103698-06, 73-103940-06</t>
        </is>
      </c>
      <c r="J269" s="33" t="inlineStr"/>
      <c r="K269" s="33" t="inlineStr"/>
      <c r="L269" s="34">
        <f>IF(F269="","REVIEW: DATE CONFLICT/EMPTY",IF(F269&lt;'Change Overview'!$B$5,"END DATE PASSED","END DATE NOT PASSED"))</f>
        <v/>
      </c>
      <c r="M269" s="34">
        <f>IF(K269&lt;&gt;"","REVIEW SOURCE CONFLICT",IF(OR(ISNUMBER(SEARCH("CCB",D269)),ISNUMBER(SEARCH("Pending",D269))),"CCB/PENDING",IF(OR(ISNUMBER(SEARCH("Expired",D269)),ISNUMBER(SEARCH("Closed",D269))),"CLOSED/EXPIRED",IF(E269="","NO RELEASE DATE","REVIEW APPROVAL"))))</f>
        <v/>
      </c>
      <c r="N269" s="34">
        <f>IF(K269&lt;&gt;"","HIGH: SOURCE CONFLICT",IF(AND(L269="END DATE NOT PASSED",M269="REVIEW APPROVAL"),"HIGH: VERIFY",IF(L269="END DATE NOT PASSED","MEDIUM: CHECK STATUS","LOW: HISTORICAL")))</f>
        <v/>
      </c>
      <c r="O269" s="33" t="inlineStr">
        <is>
          <t>Validar documento firmado, revision/WO/sitio, material afectado y evidencia antes de activar alerta automatica.</t>
        </is>
      </c>
    </row>
    <row r="270">
      <c r="A270" s="43" t="inlineStr">
        <is>
          <t>CTANJZ05169</t>
        </is>
      </c>
      <c r="B270" s="43" t="inlineStr">
        <is>
          <t>D610106</t>
        </is>
      </c>
      <c r="C270" s="43" t="inlineStr">
        <is>
          <t>STBU</t>
        </is>
      </c>
      <c r="D270" s="43" t="inlineStr">
        <is>
          <t>Expired</t>
        </is>
      </c>
      <c r="E270" s="32" t="n">
        <v>46136</v>
      </c>
      <c r="F270" s="32" t="n">
        <v>46198</v>
      </c>
      <c r="G270" s="43" t="n">
        <v>4</v>
      </c>
      <c r="H270" s="43" t="n">
        <v>2</v>
      </c>
      <c r="I270" s="33" t="inlineStr">
        <is>
          <t>73-102435-05</t>
        </is>
      </c>
      <c r="J270" s="33" t="inlineStr"/>
      <c r="K270" s="33" t="inlineStr"/>
      <c r="L270" s="34">
        <f>IF(F270="","REVIEW: DATE CONFLICT/EMPTY",IF(F270&lt;'Change Overview'!$B$5,"END DATE PASSED","END DATE NOT PASSED"))</f>
        <v/>
      </c>
      <c r="M270" s="34">
        <f>IF(K270&lt;&gt;"","REVIEW SOURCE CONFLICT",IF(OR(ISNUMBER(SEARCH("CCB",D270)),ISNUMBER(SEARCH("Pending",D270))),"CCB/PENDING",IF(OR(ISNUMBER(SEARCH("Expired",D270)),ISNUMBER(SEARCH("Closed",D270))),"CLOSED/EXPIRED",IF(E270="","NO RELEASE DATE","REVIEW APPROVAL"))))</f>
        <v/>
      </c>
      <c r="N270" s="34">
        <f>IF(K270&lt;&gt;"","HIGH: SOURCE CONFLICT",IF(AND(L270="END DATE NOT PASSED",M270="REVIEW APPROVAL"),"HIGH: VERIFY",IF(L270="END DATE NOT PASSED","MEDIUM: CHECK STATUS","LOW: HISTORICAL")))</f>
        <v/>
      </c>
      <c r="O270" s="33" t="inlineStr">
        <is>
          <t>Validar documento firmado, revision/WO/sitio, material afectado y evidencia antes de activar alerta automatica.</t>
        </is>
      </c>
    </row>
    <row r="271">
      <c r="A271" s="43" t="inlineStr">
        <is>
          <t>CTANJZ05171</t>
        </is>
      </c>
      <c r="B271" s="43" t="inlineStr">
        <is>
          <t>D610166</t>
        </is>
      </c>
      <c r="C271" s="43" t="inlineStr">
        <is>
          <t>STBU</t>
        </is>
      </c>
      <c r="D271" s="43" t="inlineStr">
        <is>
          <t>Expired</t>
        </is>
      </c>
      <c r="E271" s="32" t="n">
        <v>46136</v>
      </c>
      <c r="F271" s="32" t="n">
        <v>46198</v>
      </c>
      <c r="G271" s="43" t="n">
        <v>4</v>
      </c>
      <c r="H271" s="43" t="n">
        <v>2</v>
      </c>
      <c r="I271" s="33" t="inlineStr"/>
      <c r="J271" s="33" t="inlineStr"/>
      <c r="K271" s="33" t="inlineStr"/>
      <c r="L271" s="34">
        <f>IF(F271="","REVIEW: DATE CONFLICT/EMPTY",IF(F271&lt;'Change Overview'!$B$5,"END DATE PASSED","END DATE NOT PASSED"))</f>
        <v/>
      </c>
      <c r="M271" s="34">
        <f>IF(K271&lt;&gt;"","REVIEW SOURCE CONFLICT",IF(OR(ISNUMBER(SEARCH("CCB",D271)),ISNUMBER(SEARCH("Pending",D271))),"CCB/PENDING",IF(OR(ISNUMBER(SEARCH("Expired",D271)),ISNUMBER(SEARCH("Closed",D271))),"CLOSED/EXPIRED",IF(E271="","NO RELEASE DATE","REVIEW APPROVAL"))))</f>
        <v/>
      </c>
      <c r="N271" s="34">
        <f>IF(K271&lt;&gt;"","HIGH: SOURCE CONFLICT",IF(AND(L271="END DATE NOT PASSED",M271="REVIEW APPROVAL"),"HIGH: VERIFY",IF(L271="END DATE NOT PASSED","MEDIUM: CHECK STATUS","LOW: HISTORICAL")))</f>
        <v/>
      </c>
      <c r="O271" s="33" t="inlineStr">
        <is>
          <t>Validar documento firmado, revision/WO/sitio, material afectado y evidencia antes de activar alerta automatica.</t>
        </is>
      </c>
    </row>
    <row r="272">
      <c r="A272" s="43" t="inlineStr">
        <is>
          <t>CTANJZ05172</t>
        </is>
      </c>
      <c r="B272" s="43" t="inlineStr">
        <is>
          <t>D610410</t>
        </is>
      </c>
      <c r="C272" s="43" t="inlineStr">
        <is>
          <t>STBU</t>
        </is>
      </c>
      <c r="D272" s="43" t="inlineStr">
        <is>
          <t>Expired</t>
        </is>
      </c>
      <c r="E272" s="32" t="n">
        <v>46136</v>
      </c>
      <c r="F272" s="32" t="n">
        <v>46199</v>
      </c>
      <c r="G272" s="43" t="n">
        <v>1</v>
      </c>
      <c r="H272" s="43" t="n">
        <v>1</v>
      </c>
      <c r="I272" s="33" t="inlineStr"/>
      <c r="J272" s="33" t="inlineStr"/>
      <c r="K272" s="33" t="inlineStr"/>
      <c r="L272" s="34">
        <f>IF(F272="","REVIEW: DATE CONFLICT/EMPTY",IF(F272&lt;'Change Overview'!$B$5,"END DATE PASSED","END DATE NOT PASSED"))</f>
        <v/>
      </c>
      <c r="M272" s="34">
        <f>IF(K272&lt;&gt;"","REVIEW SOURCE CONFLICT",IF(OR(ISNUMBER(SEARCH("CCB",D272)),ISNUMBER(SEARCH("Pending",D272))),"CCB/PENDING",IF(OR(ISNUMBER(SEARCH("Expired",D272)),ISNUMBER(SEARCH("Closed",D272))),"CLOSED/EXPIRED",IF(E272="","NO RELEASE DATE","REVIEW APPROVAL"))))</f>
        <v/>
      </c>
      <c r="N272" s="34">
        <f>IF(K272&lt;&gt;"","HIGH: SOURCE CONFLICT",IF(AND(L272="END DATE NOT PASSED",M272="REVIEW APPROVAL"),"HIGH: VERIFY",IF(L272="END DATE NOT PASSED","MEDIUM: CHECK STATUS","LOW: HISTORICAL")))</f>
        <v/>
      </c>
      <c r="O272" s="33" t="inlineStr">
        <is>
          <t>Validar documento firmado, revision/WO/sitio, material afectado y evidencia antes de activar alerta automatica.</t>
        </is>
      </c>
    </row>
    <row r="273">
      <c r="A273" s="43" t="inlineStr">
        <is>
          <t>CTANJZ05173</t>
        </is>
      </c>
      <c r="B273" s="43" t="inlineStr">
        <is>
          <t>D609995</t>
        </is>
      </c>
      <c r="C273" s="43" t="inlineStr">
        <is>
          <t>STBU</t>
        </is>
      </c>
      <c r="D273" s="43" t="inlineStr">
        <is>
          <t>Expired</t>
        </is>
      </c>
      <c r="E273" s="32" t="n">
        <v>46136</v>
      </c>
      <c r="F273" s="32" t="n">
        <v>46198</v>
      </c>
      <c r="G273" s="43" t="n">
        <v>4</v>
      </c>
      <c r="H273" s="43" t="n">
        <v>4</v>
      </c>
      <c r="I273" s="33" t="inlineStr">
        <is>
          <t>73-18490-10, 73-21007-03</t>
        </is>
      </c>
      <c r="J273" s="33" t="inlineStr"/>
      <c r="K273" s="33" t="inlineStr"/>
      <c r="L273" s="34">
        <f>IF(F273="","REVIEW: DATE CONFLICT/EMPTY",IF(F273&lt;'Change Overview'!$B$5,"END DATE PASSED","END DATE NOT PASSED"))</f>
        <v/>
      </c>
      <c r="M273" s="34">
        <f>IF(K273&lt;&gt;"","REVIEW SOURCE CONFLICT",IF(OR(ISNUMBER(SEARCH("CCB",D273)),ISNUMBER(SEARCH("Pending",D273))),"CCB/PENDING",IF(OR(ISNUMBER(SEARCH("Expired",D273)),ISNUMBER(SEARCH("Closed",D273))),"CLOSED/EXPIRED",IF(E273="","NO RELEASE DATE","REVIEW APPROVAL"))))</f>
        <v/>
      </c>
      <c r="N273" s="34">
        <f>IF(K273&lt;&gt;"","HIGH: SOURCE CONFLICT",IF(AND(L273="END DATE NOT PASSED",M273="REVIEW APPROVAL"),"HIGH: VERIFY",IF(L273="END DATE NOT PASSED","MEDIUM: CHECK STATUS","LOW: HISTORICAL")))</f>
        <v/>
      </c>
      <c r="O273" s="33" t="inlineStr">
        <is>
          <t>Validar documento firmado, revision/WO/sitio, material afectado y evidencia antes de activar alerta automatica.</t>
        </is>
      </c>
    </row>
    <row r="274">
      <c r="A274" s="43" t="inlineStr">
        <is>
          <t>CTANJZ05174</t>
        </is>
      </c>
      <c r="B274" s="43" t="inlineStr">
        <is>
          <t>D609996</t>
        </is>
      </c>
      <c r="C274" s="43" t="inlineStr">
        <is>
          <t>STBU</t>
        </is>
      </c>
      <c r="D274" s="43" t="inlineStr">
        <is>
          <t>Expired</t>
        </is>
      </c>
      <c r="E274" s="32" t="n">
        <v>46130</v>
      </c>
      <c r="F274" s="32" t="n">
        <v>46198</v>
      </c>
      <c r="G274" s="43" t="n">
        <v>3</v>
      </c>
      <c r="H274" s="43" t="n">
        <v>3</v>
      </c>
      <c r="I274" s="33" t="inlineStr"/>
      <c r="J274" s="33" t="inlineStr"/>
      <c r="K274" s="33" t="inlineStr"/>
      <c r="L274" s="34">
        <f>IF(F274="","REVIEW: DATE CONFLICT/EMPTY",IF(F274&lt;'Change Overview'!$B$5,"END DATE PASSED","END DATE NOT PASSED"))</f>
        <v/>
      </c>
      <c r="M274" s="34">
        <f>IF(K274&lt;&gt;"","REVIEW SOURCE CONFLICT",IF(OR(ISNUMBER(SEARCH("CCB",D274)),ISNUMBER(SEARCH("Pending",D274))),"CCB/PENDING",IF(OR(ISNUMBER(SEARCH("Expired",D274)),ISNUMBER(SEARCH("Closed",D274))),"CLOSED/EXPIRED",IF(E274="","NO RELEASE DATE","REVIEW APPROVAL"))))</f>
        <v/>
      </c>
      <c r="N274" s="34">
        <f>IF(K274&lt;&gt;"","HIGH: SOURCE CONFLICT",IF(AND(L274="END DATE NOT PASSED",M274="REVIEW APPROVAL"),"HIGH: VERIFY",IF(L274="END DATE NOT PASSED","MEDIUM: CHECK STATUS","LOW: HISTORICAL")))</f>
        <v/>
      </c>
      <c r="O274" s="33" t="inlineStr">
        <is>
          <t>Validar documento firmado, revision/WO/sitio, material afectado y evidencia antes de activar alerta automatica.</t>
        </is>
      </c>
    </row>
    <row r="275">
      <c r="A275" s="43" t="inlineStr">
        <is>
          <t>CTANJZ05175</t>
        </is>
      </c>
      <c r="B275" s="43" t="inlineStr">
        <is>
          <t>D610401</t>
        </is>
      </c>
      <c r="C275" s="43" t="inlineStr">
        <is>
          <t>CRBU</t>
        </is>
      </c>
      <c r="D275" s="43" t="inlineStr">
        <is>
          <t>Expired</t>
        </is>
      </c>
      <c r="E275" s="32" t="n">
        <v>46143</v>
      </c>
      <c r="F275" s="32" t="n">
        <v>46201</v>
      </c>
      <c r="G275" s="43" t="n">
        <v>1</v>
      </c>
      <c r="H275" s="43" t="n">
        <v>1</v>
      </c>
      <c r="I275" s="33" t="inlineStr">
        <is>
          <t>73-20193-09</t>
        </is>
      </c>
      <c r="J275" s="33" t="inlineStr"/>
      <c r="K275" s="33" t="inlineStr"/>
      <c r="L275" s="34">
        <f>IF(F275="","REVIEW: DATE CONFLICT/EMPTY",IF(F275&lt;'Change Overview'!$B$5,"END DATE PASSED","END DATE NOT PASSED"))</f>
        <v/>
      </c>
      <c r="M275" s="34">
        <f>IF(K275&lt;&gt;"","REVIEW SOURCE CONFLICT",IF(OR(ISNUMBER(SEARCH("CCB",D275)),ISNUMBER(SEARCH("Pending",D275))),"CCB/PENDING",IF(OR(ISNUMBER(SEARCH("Expired",D275)),ISNUMBER(SEARCH("Closed",D275))),"CLOSED/EXPIRED",IF(E275="","NO RELEASE DATE","REVIEW APPROVAL"))))</f>
        <v/>
      </c>
      <c r="N275" s="34">
        <f>IF(K275&lt;&gt;"","HIGH: SOURCE CONFLICT",IF(AND(L275="END DATE NOT PASSED",M275="REVIEW APPROVAL"),"HIGH: VERIFY",IF(L275="END DATE NOT PASSED","MEDIUM: CHECK STATUS","LOW: HISTORICAL")))</f>
        <v/>
      </c>
      <c r="O275" s="33" t="inlineStr">
        <is>
          <t>Validar documento firmado, revision/WO/sitio, material afectado y evidencia antes de activar alerta automatica.</t>
        </is>
      </c>
    </row>
    <row r="276">
      <c r="A276" s="43" t="inlineStr">
        <is>
          <t>CTANJZ05176</t>
        </is>
      </c>
      <c r="B276" s="43" t="inlineStr">
        <is>
          <t>D610506</t>
        </is>
      </c>
      <c r="C276" s="43" t="inlineStr">
        <is>
          <t>STBU</t>
        </is>
      </c>
      <c r="D276" s="43" t="inlineStr">
        <is>
          <t>Expired</t>
        </is>
      </c>
      <c r="E276" s="32" t="n">
        <v>46136</v>
      </c>
      <c r="F276" s="32" t="n">
        <v>46201</v>
      </c>
      <c r="G276" s="43" t="n">
        <v>3</v>
      </c>
      <c r="H276" s="43" t="n">
        <v>3</v>
      </c>
      <c r="I276" s="33" t="inlineStr">
        <is>
          <t>73-20247-06, 73-20249-06</t>
        </is>
      </c>
      <c r="J276" s="33" t="inlineStr">
        <is>
          <t>TUFNELL PARK</t>
        </is>
      </c>
      <c r="K276" s="33" t="inlineStr"/>
      <c r="L276" s="34">
        <f>IF(F276="","REVIEW: DATE CONFLICT/EMPTY",IF(F276&lt;'Change Overview'!$B$5,"END DATE PASSED","END DATE NOT PASSED"))</f>
        <v/>
      </c>
      <c r="M276" s="34">
        <f>IF(K276&lt;&gt;"","REVIEW SOURCE CONFLICT",IF(OR(ISNUMBER(SEARCH("CCB",D276)),ISNUMBER(SEARCH("Pending",D276))),"CCB/PENDING",IF(OR(ISNUMBER(SEARCH("Expired",D276)),ISNUMBER(SEARCH("Closed",D276))),"CLOSED/EXPIRED",IF(E276="","NO RELEASE DATE","REVIEW APPROVAL"))))</f>
        <v/>
      </c>
      <c r="N276" s="34">
        <f>IF(K276&lt;&gt;"","HIGH: SOURCE CONFLICT",IF(AND(L276="END DATE NOT PASSED",M276="REVIEW APPROVAL"),"HIGH: VERIFY",IF(L276="END DATE NOT PASSED","MEDIUM: CHECK STATUS","LOW: HISTORICAL")))</f>
        <v/>
      </c>
      <c r="O276" s="33" t="inlineStr">
        <is>
          <t>Validar documento firmado, revision/WO/sitio, material afectado y evidencia antes de activar alerta automatica.</t>
        </is>
      </c>
    </row>
    <row r="277">
      <c r="A277" s="43" t="inlineStr">
        <is>
          <t>CTANJZ05177</t>
        </is>
      </c>
      <c r="B277" s="43" t="inlineStr">
        <is>
          <t>D610236</t>
        </is>
      </c>
      <c r="C277" s="43" t="inlineStr">
        <is>
          <t>CRBU</t>
        </is>
      </c>
      <c r="D277" s="43" t="inlineStr">
        <is>
          <t>Expired</t>
        </is>
      </c>
      <c r="E277" s="32" t="n">
        <v>46162</v>
      </c>
      <c r="F277" s="32" t="n">
        <v>46201</v>
      </c>
      <c r="G277" s="43" t="n">
        <v>8</v>
      </c>
      <c r="H277" s="43" t="n">
        <v>8</v>
      </c>
      <c r="I277" s="33" t="inlineStr"/>
      <c r="J277" s="33" t="inlineStr"/>
      <c r="K277" s="33" t="inlineStr"/>
      <c r="L277" s="34">
        <f>IF(F277="","REVIEW: DATE CONFLICT/EMPTY",IF(F277&lt;'Change Overview'!$B$5,"END DATE PASSED","END DATE NOT PASSED"))</f>
        <v/>
      </c>
      <c r="M277" s="34">
        <f>IF(K277&lt;&gt;"","REVIEW SOURCE CONFLICT",IF(OR(ISNUMBER(SEARCH("CCB",D277)),ISNUMBER(SEARCH("Pending",D277))),"CCB/PENDING",IF(OR(ISNUMBER(SEARCH("Expired",D277)),ISNUMBER(SEARCH("Closed",D277))),"CLOSED/EXPIRED",IF(E277="","NO RELEASE DATE","REVIEW APPROVAL"))))</f>
        <v/>
      </c>
      <c r="N277" s="34">
        <f>IF(K277&lt;&gt;"","HIGH: SOURCE CONFLICT",IF(AND(L277="END DATE NOT PASSED",M277="REVIEW APPROVAL"),"HIGH: VERIFY",IF(L277="END DATE NOT PASSED","MEDIUM: CHECK STATUS","LOW: HISTORICAL")))</f>
        <v/>
      </c>
      <c r="O277" s="33" t="inlineStr">
        <is>
          <t>Validar documento firmado, revision/WO/sitio, material afectado y evidencia antes de activar alerta automatica.</t>
        </is>
      </c>
    </row>
    <row r="278">
      <c r="A278" s="43" t="inlineStr">
        <is>
          <t>CTANJZ05178</t>
        </is>
      </c>
      <c r="B278" s="43" t="inlineStr">
        <is>
          <t>D609813</t>
        </is>
      </c>
      <c r="C278" s="43" t="inlineStr">
        <is>
          <t>STBU</t>
        </is>
      </c>
      <c r="D278" s="43" t="inlineStr">
        <is>
          <t>Expired</t>
        </is>
      </c>
      <c r="E278" s="32" t="n">
        <v>46136</v>
      </c>
      <c r="F278" s="32" t="n">
        <v>46201</v>
      </c>
      <c r="G278" s="43" t="n">
        <v>2</v>
      </c>
      <c r="H278" s="43" t="n">
        <v>2</v>
      </c>
      <c r="I278" s="33" t="inlineStr"/>
      <c r="J278" s="33" t="inlineStr"/>
      <c r="K278" s="33" t="inlineStr"/>
      <c r="L278" s="34">
        <f>IF(F278="","REVIEW: DATE CONFLICT/EMPTY",IF(F278&lt;'Change Overview'!$B$5,"END DATE PASSED","END DATE NOT PASSED"))</f>
        <v/>
      </c>
      <c r="M278" s="34">
        <f>IF(K278&lt;&gt;"","REVIEW SOURCE CONFLICT",IF(OR(ISNUMBER(SEARCH("CCB",D278)),ISNUMBER(SEARCH("Pending",D278))),"CCB/PENDING",IF(OR(ISNUMBER(SEARCH("Expired",D278)),ISNUMBER(SEARCH("Closed",D278))),"CLOSED/EXPIRED",IF(E278="","NO RELEASE DATE","REVIEW APPROVAL"))))</f>
        <v/>
      </c>
      <c r="N278" s="34">
        <f>IF(K278&lt;&gt;"","HIGH: SOURCE CONFLICT",IF(AND(L278="END DATE NOT PASSED",M278="REVIEW APPROVAL"),"HIGH: VERIFY",IF(L278="END DATE NOT PASSED","MEDIUM: CHECK STATUS","LOW: HISTORICAL")))</f>
        <v/>
      </c>
      <c r="O278" s="33" t="inlineStr">
        <is>
          <t>Validar documento firmado, revision/WO/sitio, material afectado y evidencia antes de activar alerta automatica.</t>
        </is>
      </c>
    </row>
    <row r="279">
      <c r="A279" s="43" t="inlineStr">
        <is>
          <t>CTANJZ05179</t>
        </is>
      </c>
      <c r="B279" s="43" t="inlineStr">
        <is>
          <t>D610254</t>
        </is>
      </c>
      <c r="C279" s="43" t="inlineStr">
        <is>
          <t>CRBU</t>
        </is>
      </c>
      <c r="D279" s="43" t="inlineStr">
        <is>
          <t>Expired</t>
        </is>
      </c>
      <c r="E279" s="32" t="n">
        <v>46162</v>
      </c>
      <c r="F279" s="32" t="n">
        <v>46201</v>
      </c>
      <c r="G279" s="43" t="n">
        <v>1</v>
      </c>
      <c r="H279" s="43" t="n">
        <v>1</v>
      </c>
      <c r="I279" s="33" t="inlineStr"/>
      <c r="J279" s="33" t="inlineStr"/>
      <c r="K279" s="33" t="inlineStr"/>
      <c r="L279" s="34">
        <f>IF(F279="","REVIEW: DATE CONFLICT/EMPTY",IF(F279&lt;'Change Overview'!$B$5,"END DATE PASSED","END DATE NOT PASSED"))</f>
        <v/>
      </c>
      <c r="M279" s="34">
        <f>IF(K279&lt;&gt;"","REVIEW SOURCE CONFLICT",IF(OR(ISNUMBER(SEARCH("CCB",D279)),ISNUMBER(SEARCH("Pending",D279))),"CCB/PENDING",IF(OR(ISNUMBER(SEARCH("Expired",D279)),ISNUMBER(SEARCH("Closed",D279))),"CLOSED/EXPIRED",IF(E279="","NO RELEASE DATE","REVIEW APPROVAL"))))</f>
        <v/>
      </c>
      <c r="N279" s="34">
        <f>IF(K279&lt;&gt;"","HIGH: SOURCE CONFLICT",IF(AND(L279="END DATE NOT PASSED",M279="REVIEW APPROVAL"),"HIGH: VERIFY",IF(L279="END DATE NOT PASSED","MEDIUM: CHECK STATUS","LOW: HISTORICAL")))</f>
        <v/>
      </c>
      <c r="O279" s="33" t="inlineStr">
        <is>
          <t>Validar documento firmado, revision/WO/sitio, material afectado y evidencia antes de activar alerta automatica.</t>
        </is>
      </c>
    </row>
    <row r="280">
      <c r="A280" s="43" t="inlineStr">
        <is>
          <t>CTANJZ05181</t>
        </is>
      </c>
      <c r="B280" s="43" t="inlineStr">
        <is>
          <t>D609526</t>
        </is>
      </c>
      <c r="C280" s="43" t="inlineStr">
        <is>
          <t>IOTBU</t>
        </is>
      </c>
      <c r="D280" s="43" t="inlineStr">
        <is>
          <t>Expired</t>
        </is>
      </c>
      <c r="E280" s="32" t="n">
        <v>46126</v>
      </c>
      <c r="F280" s="32" t="n">
        <v>46202</v>
      </c>
      <c r="G280" s="43" t="n">
        <v>6</v>
      </c>
      <c r="H280" s="43" t="n">
        <v>6</v>
      </c>
      <c r="I280" s="33" t="inlineStr">
        <is>
          <t>73-101439-04</t>
        </is>
      </c>
      <c r="J280" s="33" t="inlineStr"/>
      <c r="K280" s="33" t="inlineStr"/>
      <c r="L280" s="34">
        <f>IF(F280="","REVIEW: DATE CONFLICT/EMPTY",IF(F280&lt;'Change Overview'!$B$5,"END DATE PASSED","END DATE NOT PASSED"))</f>
        <v/>
      </c>
      <c r="M280" s="34">
        <f>IF(K280&lt;&gt;"","REVIEW SOURCE CONFLICT",IF(OR(ISNUMBER(SEARCH("CCB",D280)),ISNUMBER(SEARCH("Pending",D280))),"CCB/PENDING",IF(OR(ISNUMBER(SEARCH("Expired",D280)),ISNUMBER(SEARCH("Closed",D280))),"CLOSED/EXPIRED",IF(E280="","NO RELEASE DATE","REVIEW APPROVAL"))))</f>
        <v/>
      </c>
      <c r="N280" s="34">
        <f>IF(K280&lt;&gt;"","HIGH: SOURCE CONFLICT",IF(AND(L280="END DATE NOT PASSED",M280="REVIEW APPROVAL"),"HIGH: VERIFY",IF(L280="END DATE NOT PASSED","MEDIUM: CHECK STATUS","LOW: HISTORICAL")))</f>
        <v/>
      </c>
      <c r="O280" s="33" t="inlineStr">
        <is>
          <t>Validar documento firmado, revision/WO/sitio, material afectado y evidencia antes de activar alerta automatica.</t>
        </is>
      </c>
    </row>
    <row r="281">
      <c r="A281" s="43" t="inlineStr">
        <is>
          <t>CTANJZ05182</t>
        </is>
      </c>
      <c r="B281" s="43" t="inlineStr">
        <is>
          <t>D609527</t>
        </is>
      </c>
      <c r="C281" s="43" t="inlineStr">
        <is>
          <t>IOTBU</t>
        </is>
      </c>
      <c r="D281" s="43" t="inlineStr">
        <is>
          <t>Expired</t>
        </is>
      </c>
      <c r="E281" s="32" t="n">
        <v>46126</v>
      </c>
      <c r="F281" s="32" t="n">
        <v>46202</v>
      </c>
      <c r="G281" s="43" t="n">
        <v>3</v>
      </c>
      <c r="H281" s="43" t="n">
        <v>3</v>
      </c>
      <c r="I281" s="33" t="inlineStr">
        <is>
          <t>73-103098-03</t>
        </is>
      </c>
      <c r="J281" s="33" t="inlineStr"/>
      <c r="K281" s="33" t="inlineStr"/>
      <c r="L281" s="34">
        <f>IF(F281="","REVIEW: DATE CONFLICT/EMPTY",IF(F281&lt;'Change Overview'!$B$5,"END DATE PASSED","END DATE NOT PASSED"))</f>
        <v/>
      </c>
      <c r="M281" s="34">
        <f>IF(K281&lt;&gt;"","REVIEW SOURCE CONFLICT",IF(OR(ISNUMBER(SEARCH("CCB",D281)),ISNUMBER(SEARCH("Pending",D281))),"CCB/PENDING",IF(OR(ISNUMBER(SEARCH("Expired",D281)),ISNUMBER(SEARCH("Closed",D281))),"CLOSED/EXPIRED",IF(E281="","NO RELEASE DATE","REVIEW APPROVAL"))))</f>
        <v/>
      </c>
      <c r="N281" s="34">
        <f>IF(K281&lt;&gt;"","HIGH: SOURCE CONFLICT",IF(AND(L281="END DATE NOT PASSED",M281="REVIEW APPROVAL"),"HIGH: VERIFY",IF(L281="END DATE NOT PASSED","MEDIUM: CHECK STATUS","LOW: HISTORICAL")))</f>
        <v/>
      </c>
      <c r="O281" s="33" t="inlineStr">
        <is>
          <t>Validar documento firmado, revision/WO/sitio, material afectado y evidencia antes de activar alerta automatica.</t>
        </is>
      </c>
    </row>
    <row r="282">
      <c r="A282" s="43" t="inlineStr">
        <is>
          <t>CTANJZ05183</t>
        </is>
      </c>
      <c r="B282" s="43" t="inlineStr">
        <is>
          <t>DP525974</t>
        </is>
      </c>
      <c r="C282" s="43" t="inlineStr">
        <is>
          <t>STBU</t>
        </is>
      </c>
      <c r="D282" s="43" t="inlineStr">
        <is>
          <t>Expired</t>
        </is>
      </c>
      <c r="E282" s="32" t="n">
        <v>46130</v>
      </c>
      <c r="F282" s="32" t="n">
        <v>46172</v>
      </c>
      <c r="G282" s="43" t="n">
        <v>1</v>
      </c>
      <c r="H282" s="43" t="n">
        <v>1</v>
      </c>
      <c r="I282" s="33" t="inlineStr">
        <is>
          <t>73-103633-05</t>
        </is>
      </c>
      <c r="J282" s="33" t="inlineStr"/>
      <c r="K282" s="33" t="inlineStr"/>
      <c r="L282" s="34">
        <f>IF(F282="","REVIEW: DATE CONFLICT/EMPTY",IF(F282&lt;'Change Overview'!$B$5,"END DATE PASSED","END DATE NOT PASSED"))</f>
        <v/>
      </c>
      <c r="M282" s="34">
        <f>IF(K282&lt;&gt;"","REVIEW SOURCE CONFLICT",IF(OR(ISNUMBER(SEARCH("CCB",D282)),ISNUMBER(SEARCH("Pending",D282))),"CCB/PENDING",IF(OR(ISNUMBER(SEARCH("Expired",D282)),ISNUMBER(SEARCH("Closed",D282))),"CLOSED/EXPIRED",IF(E282="","NO RELEASE DATE","REVIEW APPROVAL"))))</f>
        <v/>
      </c>
      <c r="N282" s="34">
        <f>IF(K282&lt;&gt;"","HIGH: SOURCE CONFLICT",IF(AND(L282="END DATE NOT PASSED",M282="REVIEW APPROVAL"),"HIGH: VERIFY",IF(L282="END DATE NOT PASSED","MEDIUM: CHECK STATUS","LOW: HISTORICAL")))</f>
        <v/>
      </c>
      <c r="O282" s="33" t="inlineStr">
        <is>
          <t>Validar documento firmado, revision/WO/sitio, material afectado y evidencia antes de activar alerta automatica.</t>
        </is>
      </c>
    </row>
    <row r="283">
      <c r="A283" s="43" t="inlineStr">
        <is>
          <t>CTANJZ05184</t>
        </is>
      </c>
      <c r="B283" s="43" t="inlineStr">
        <is>
          <t>D610411</t>
        </is>
      </c>
      <c r="C283" s="43" t="inlineStr">
        <is>
          <t>STBU</t>
        </is>
      </c>
      <c r="D283" s="43" t="inlineStr">
        <is>
          <t>Expired</t>
        </is>
      </c>
      <c r="E283" s="32" t="n">
        <v>46147</v>
      </c>
      <c r="F283" s="32" t="n">
        <v>46202</v>
      </c>
      <c r="G283" s="43" t="n">
        <v>4</v>
      </c>
      <c r="H283" s="43" t="n">
        <v>4</v>
      </c>
      <c r="I283" s="33" t="inlineStr">
        <is>
          <t>73-18850-01, 73-19232-01, 73-19233-01</t>
        </is>
      </c>
      <c r="J283" s="33" t="inlineStr"/>
      <c r="K283" s="33" t="inlineStr"/>
      <c r="L283" s="34">
        <f>IF(F283="","REVIEW: DATE CONFLICT/EMPTY",IF(F283&lt;'Change Overview'!$B$5,"END DATE PASSED","END DATE NOT PASSED"))</f>
        <v/>
      </c>
      <c r="M283" s="34">
        <f>IF(K283&lt;&gt;"","REVIEW SOURCE CONFLICT",IF(OR(ISNUMBER(SEARCH("CCB",D283)),ISNUMBER(SEARCH("Pending",D283))),"CCB/PENDING",IF(OR(ISNUMBER(SEARCH("Expired",D283)),ISNUMBER(SEARCH("Closed",D283))),"CLOSED/EXPIRED",IF(E283="","NO RELEASE DATE","REVIEW APPROVAL"))))</f>
        <v/>
      </c>
      <c r="N283" s="34">
        <f>IF(K283&lt;&gt;"","HIGH: SOURCE CONFLICT",IF(AND(L283="END DATE NOT PASSED",M283="REVIEW APPROVAL"),"HIGH: VERIFY",IF(L283="END DATE NOT PASSED","MEDIUM: CHECK STATUS","LOW: HISTORICAL")))</f>
        <v/>
      </c>
      <c r="O283" s="33" t="inlineStr">
        <is>
          <t>Validar documento firmado, revision/WO/sitio, material afectado y evidencia antes de activar alerta automatica.</t>
        </is>
      </c>
    </row>
    <row r="284">
      <c r="A284" s="43" t="inlineStr">
        <is>
          <t>CTANJZ05185</t>
        </is>
      </c>
      <c r="B284" s="43" t="inlineStr">
        <is>
          <t>D610453</t>
        </is>
      </c>
      <c r="C284" s="43" t="inlineStr">
        <is>
          <t>STBU</t>
        </is>
      </c>
      <c r="D284" s="43" t="inlineStr">
        <is>
          <t>Expired</t>
        </is>
      </c>
      <c r="E284" s="32" t="n">
        <v>46147</v>
      </c>
      <c r="F284" s="32" t="n">
        <v>46202</v>
      </c>
      <c r="G284" s="43" t="n">
        <v>1</v>
      </c>
      <c r="H284" s="43" t="n">
        <v>1</v>
      </c>
      <c r="I284" s="33" t="inlineStr"/>
      <c r="J284" s="33" t="inlineStr"/>
      <c r="K284" s="33" t="inlineStr"/>
      <c r="L284" s="34">
        <f>IF(F284="","REVIEW: DATE CONFLICT/EMPTY",IF(F284&lt;'Change Overview'!$B$5,"END DATE PASSED","END DATE NOT PASSED"))</f>
        <v/>
      </c>
      <c r="M284" s="34">
        <f>IF(K284&lt;&gt;"","REVIEW SOURCE CONFLICT",IF(OR(ISNUMBER(SEARCH("CCB",D284)),ISNUMBER(SEARCH("Pending",D284))),"CCB/PENDING",IF(OR(ISNUMBER(SEARCH("Expired",D284)),ISNUMBER(SEARCH("Closed",D284))),"CLOSED/EXPIRED",IF(E284="","NO RELEASE DATE","REVIEW APPROVAL"))))</f>
        <v/>
      </c>
      <c r="N284" s="34">
        <f>IF(K284&lt;&gt;"","HIGH: SOURCE CONFLICT",IF(AND(L284="END DATE NOT PASSED",M284="REVIEW APPROVAL"),"HIGH: VERIFY",IF(L284="END DATE NOT PASSED","MEDIUM: CHECK STATUS","LOW: HISTORICAL")))</f>
        <v/>
      </c>
      <c r="O284" s="33" t="inlineStr">
        <is>
          <t>Validar documento firmado, revision/WO/sitio, material afectado y evidencia antes de activar alerta automatica.</t>
        </is>
      </c>
    </row>
    <row r="285">
      <c r="A285" s="43" t="inlineStr">
        <is>
          <t>CTANJZ05187</t>
        </is>
      </c>
      <c r="B285" s="43" t="inlineStr">
        <is>
          <t>D610412</t>
        </is>
      </c>
      <c r="C285" s="43" t="inlineStr">
        <is>
          <t>STBU</t>
        </is>
      </c>
      <c r="D285" s="43" t="inlineStr">
        <is>
          <t>Expired</t>
        </is>
      </c>
      <c r="E285" s="32" t="n">
        <v>46136</v>
      </c>
      <c r="F285" s="32" t="n">
        <v>46205</v>
      </c>
      <c r="G285" s="43" t="n">
        <v>2</v>
      </c>
      <c r="H285" s="43" t="n">
        <v>2</v>
      </c>
      <c r="I285" s="33" t="inlineStr">
        <is>
          <t>73-17757-01</t>
        </is>
      </c>
      <c r="J285" s="33" t="inlineStr"/>
      <c r="K285" s="33" t="inlineStr"/>
      <c r="L285" s="34">
        <f>IF(F285="","REVIEW: DATE CONFLICT/EMPTY",IF(F285&lt;'Change Overview'!$B$5,"END DATE PASSED","END DATE NOT PASSED"))</f>
        <v/>
      </c>
      <c r="M285" s="34">
        <f>IF(K285&lt;&gt;"","REVIEW SOURCE CONFLICT",IF(OR(ISNUMBER(SEARCH("CCB",D285)),ISNUMBER(SEARCH("Pending",D285))),"CCB/PENDING",IF(OR(ISNUMBER(SEARCH("Expired",D285)),ISNUMBER(SEARCH("Closed",D285))),"CLOSED/EXPIRED",IF(E285="","NO RELEASE DATE","REVIEW APPROVAL"))))</f>
        <v/>
      </c>
      <c r="N285" s="34">
        <f>IF(K285&lt;&gt;"","HIGH: SOURCE CONFLICT",IF(AND(L285="END DATE NOT PASSED",M285="REVIEW APPROVAL"),"HIGH: VERIFY",IF(L285="END DATE NOT PASSED","MEDIUM: CHECK STATUS","LOW: HISTORICAL")))</f>
        <v/>
      </c>
      <c r="O285" s="33" t="inlineStr">
        <is>
          <t>Validar documento firmado, revision/WO/sitio, material afectado y evidencia antes de activar alerta automatica.</t>
        </is>
      </c>
    </row>
    <row r="286">
      <c r="A286" s="43" t="inlineStr">
        <is>
          <t>CTANJZ05190</t>
        </is>
      </c>
      <c r="B286" s="43" t="inlineStr">
        <is>
          <t>D610571</t>
        </is>
      </c>
      <c r="C286" s="43" t="inlineStr">
        <is>
          <t>CRBU</t>
        </is>
      </c>
      <c r="D286" s="43" t="inlineStr">
        <is>
          <t>Expired</t>
        </is>
      </c>
      <c r="E286" s="32" t="n">
        <v>46147</v>
      </c>
      <c r="F286" s="32" t="n">
        <v>46208</v>
      </c>
      <c r="G286" s="43" t="n">
        <v>9</v>
      </c>
      <c r="H286" s="43" t="n">
        <v>9</v>
      </c>
      <c r="I286" s="33" t="inlineStr">
        <is>
          <t>73-20176-08, 73-20513-08</t>
        </is>
      </c>
      <c r="J286" s="33" t="inlineStr"/>
      <c r="K286" s="33" t="inlineStr"/>
      <c r="L286" s="34">
        <f>IF(F286="","REVIEW: DATE CONFLICT/EMPTY",IF(F286&lt;'Change Overview'!$B$5,"END DATE PASSED","END DATE NOT PASSED"))</f>
        <v/>
      </c>
      <c r="M286" s="34">
        <f>IF(K286&lt;&gt;"","REVIEW SOURCE CONFLICT",IF(OR(ISNUMBER(SEARCH("CCB",D286)),ISNUMBER(SEARCH("Pending",D286))),"CCB/PENDING",IF(OR(ISNUMBER(SEARCH("Expired",D286)),ISNUMBER(SEARCH("Closed",D286))),"CLOSED/EXPIRED",IF(E286="","NO RELEASE DATE","REVIEW APPROVAL"))))</f>
        <v/>
      </c>
      <c r="N286" s="34">
        <f>IF(K286&lt;&gt;"","HIGH: SOURCE CONFLICT",IF(AND(L286="END DATE NOT PASSED",M286="REVIEW APPROVAL"),"HIGH: VERIFY",IF(L286="END DATE NOT PASSED","MEDIUM: CHECK STATUS","LOW: HISTORICAL")))</f>
        <v/>
      </c>
      <c r="O286" s="33" t="inlineStr">
        <is>
          <t>Validar documento firmado, revision/WO/sitio, material afectado y evidencia antes de activar alerta automatica.</t>
        </is>
      </c>
    </row>
    <row r="287">
      <c r="A287" s="43" t="inlineStr">
        <is>
          <t>CTANJZ05192</t>
        </is>
      </c>
      <c r="B287" s="43" t="inlineStr">
        <is>
          <t>D610167</t>
        </is>
      </c>
      <c r="C287" s="43" t="inlineStr">
        <is>
          <t>STBU</t>
        </is>
      </c>
      <c r="D287" s="43" t="inlineStr">
        <is>
          <t>Expired</t>
        </is>
      </c>
      <c r="E287" s="32" t="n">
        <v>46136</v>
      </c>
      <c r="F287" s="32" t="n">
        <v>46205</v>
      </c>
      <c r="G287" s="43" t="n">
        <v>4</v>
      </c>
      <c r="H287" s="43" t="n">
        <v>2</v>
      </c>
      <c r="I287" s="33" t="inlineStr"/>
      <c r="J287" s="33" t="inlineStr"/>
      <c r="K287" s="33" t="inlineStr"/>
      <c r="L287" s="34">
        <f>IF(F287="","REVIEW: DATE CONFLICT/EMPTY",IF(F287&lt;'Change Overview'!$B$5,"END DATE PASSED","END DATE NOT PASSED"))</f>
        <v/>
      </c>
      <c r="M287" s="34">
        <f>IF(K287&lt;&gt;"","REVIEW SOURCE CONFLICT",IF(OR(ISNUMBER(SEARCH("CCB",D287)),ISNUMBER(SEARCH("Pending",D287))),"CCB/PENDING",IF(OR(ISNUMBER(SEARCH("Expired",D287)),ISNUMBER(SEARCH("Closed",D287))),"CLOSED/EXPIRED",IF(E287="","NO RELEASE DATE","REVIEW APPROVAL"))))</f>
        <v/>
      </c>
      <c r="N287" s="34">
        <f>IF(K287&lt;&gt;"","HIGH: SOURCE CONFLICT",IF(AND(L287="END DATE NOT PASSED",M287="REVIEW APPROVAL"),"HIGH: VERIFY",IF(L287="END DATE NOT PASSED","MEDIUM: CHECK STATUS","LOW: HISTORICAL")))</f>
        <v/>
      </c>
      <c r="O287" s="33" t="inlineStr">
        <is>
          <t>Validar documento firmado, revision/WO/sitio, material afectado y evidencia antes de activar alerta automatica.</t>
        </is>
      </c>
    </row>
    <row r="288">
      <c r="A288" s="43" t="inlineStr">
        <is>
          <t>CTANJZ05195</t>
        </is>
      </c>
      <c r="B288" s="43" t="inlineStr">
        <is>
          <t>D610252</t>
        </is>
      </c>
      <c r="C288" s="43" t="inlineStr">
        <is>
          <t>STBU</t>
        </is>
      </c>
      <c r="D288" s="43" t="inlineStr">
        <is>
          <t>Expired</t>
        </is>
      </c>
      <c r="E288" s="32" t="n">
        <v>46136</v>
      </c>
      <c r="F288" s="32" t="n">
        <v>46209</v>
      </c>
      <c r="G288" s="43" t="n">
        <v>3</v>
      </c>
      <c r="H288" s="43" t="n">
        <v>3</v>
      </c>
      <c r="I288" s="33" t="inlineStr"/>
      <c r="J288" s="33" t="inlineStr"/>
      <c r="K288" s="33" t="inlineStr"/>
      <c r="L288" s="34">
        <f>IF(F288="","REVIEW: DATE CONFLICT/EMPTY",IF(F288&lt;'Change Overview'!$B$5,"END DATE PASSED","END DATE NOT PASSED"))</f>
        <v/>
      </c>
      <c r="M288" s="34">
        <f>IF(K288&lt;&gt;"","REVIEW SOURCE CONFLICT",IF(OR(ISNUMBER(SEARCH("CCB",D288)),ISNUMBER(SEARCH("Pending",D288))),"CCB/PENDING",IF(OR(ISNUMBER(SEARCH("Expired",D288)),ISNUMBER(SEARCH("Closed",D288))),"CLOSED/EXPIRED",IF(E288="","NO RELEASE DATE","REVIEW APPROVAL"))))</f>
        <v/>
      </c>
      <c r="N288" s="34">
        <f>IF(K288&lt;&gt;"","HIGH: SOURCE CONFLICT",IF(AND(L288="END DATE NOT PASSED",M288="REVIEW APPROVAL"),"HIGH: VERIFY",IF(L288="END DATE NOT PASSED","MEDIUM: CHECK STATUS","LOW: HISTORICAL")))</f>
        <v/>
      </c>
      <c r="O288" s="33" t="inlineStr">
        <is>
          <t>Validar documento firmado, revision/WO/sitio, material afectado y evidencia antes de activar alerta automatica.</t>
        </is>
      </c>
    </row>
    <row r="289">
      <c r="A289" s="43" t="inlineStr">
        <is>
          <t>CTANJZ05198</t>
        </is>
      </c>
      <c r="B289" s="43" t="inlineStr">
        <is>
          <t>D610616</t>
        </is>
      </c>
      <c r="C289" s="43" t="inlineStr">
        <is>
          <t>SRGBU</t>
        </is>
      </c>
      <c r="D289" s="43" t="inlineStr">
        <is>
          <t>Expired</t>
        </is>
      </c>
      <c r="E289" s="32" t="n">
        <v>46136</v>
      </c>
      <c r="F289" s="32" t="n">
        <v>46209</v>
      </c>
      <c r="G289" s="43" t="n">
        <v>2</v>
      </c>
      <c r="H289" s="43" t="n">
        <v>2</v>
      </c>
      <c r="I289" s="33" t="inlineStr"/>
      <c r="J289" s="33" t="inlineStr"/>
      <c r="K289" s="33" t="inlineStr"/>
      <c r="L289" s="34">
        <f>IF(F289="","REVIEW: DATE CONFLICT/EMPTY",IF(F289&lt;'Change Overview'!$B$5,"END DATE PASSED","END DATE NOT PASSED"))</f>
        <v/>
      </c>
      <c r="M289" s="34">
        <f>IF(K289&lt;&gt;"","REVIEW SOURCE CONFLICT",IF(OR(ISNUMBER(SEARCH("CCB",D289)),ISNUMBER(SEARCH("Pending",D289))),"CCB/PENDING",IF(OR(ISNUMBER(SEARCH("Expired",D289)),ISNUMBER(SEARCH("Closed",D289))),"CLOSED/EXPIRED",IF(E289="","NO RELEASE DATE","REVIEW APPROVAL"))))</f>
        <v/>
      </c>
      <c r="N289" s="34">
        <f>IF(K289&lt;&gt;"","HIGH: SOURCE CONFLICT",IF(AND(L289="END DATE NOT PASSED",M289="REVIEW APPROVAL"),"HIGH: VERIFY",IF(L289="END DATE NOT PASSED","MEDIUM: CHECK STATUS","LOW: HISTORICAL")))</f>
        <v/>
      </c>
      <c r="O289" s="33" t="inlineStr">
        <is>
          <t>Validar documento firmado, revision/WO/sitio, material afectado y evidencia antes de activar alerta automatica.</t>
        </is>
      </c>
    </row>
    <row r="290">
      <c r="A290" s="43" t="inlineStr">
        <is>
          <t>CTANJZ05199</t>
        </is>
      </c>
      <c r="B290" s="43" t="inlineStr">
        <is>
          <t>D610304</t>
        </is>
      </c>
      <c r="C290" s="43" t="inlineStr">
        <is>
          <t>CRBU</t>
        </is>
      </c>
      <c r="D290" s="43" t="inlineStr">
        <is>
          <t>Expired</t>
        </is>
      </c>
      <c r="E290" s="32" t="n">
        <v>46150</v>
      </c>
      <c r="F290" s="32" t="n">
        <v>46209</v>
      </c>
      <c r="G290" s="43" t="n">
        <v>8</v>
      </c>
      <c r="H290" s="43" t="n">
        <v>8</v>
      </c>
      <c r="I290" s="33" t="inlineStr"/>
      <c r="J290" s="33" t="inlineStr"/>
      <c r="K290" s="33" t="inlineStr"/>
      <c r="L290" s="34">
        <f>IF(F290="","REVIEW: DATE CONFLICT/EMPTY",IF(F290&lt;'Change Overview'!$B$5,"END DATE PASSED","END DATE NOT PASSED"))</f>
        <v/>
      </c>
      <c r="M290" s="34">
        <f>IF(K290&lt;&gt;"","REVIEW SOURCE CONFLICT",IF(OR(ISNUMBER(SEARCH("CCB",D290)),ISNUMBER(SEARCH("Pending",D290))),"CCB/PENDING",IF(OR(ISNUMBER(SEARCH("Expired",D290)),ISNUMBER(SEARCH("Closed",D290))),"CLOSED/EXPIRED",IF(E290="","NO RELEASE DATE","REVIEW APPROVAL"))))</f>
        <v/>
      </c>
      <c r="N290" s="34">
        <f>IF(K290&lt;&gt;"","HIGH: SOURCE CONFLICT",IF(AND(L290="END DATE NOT PASSED",M290="REVIEW APPROVAL"),"HIGH: VERIFY",IF(L290="END DATE NOT PASSED","MEDIUM: CHECK STATUS","LOW: HISTORICAL")))</f>
        <v/>
      </c>
      <c r="O290" s="33" t="inlineStr">
        <is>
          <t>Validar documento firmado, revision/WO/sitio, material afectado y evidencia antes de activar alerta automatica.</t>
        </is>
      </c>
    </row>
    <row r="291">
      <c r="A291" s="43" t="inlineStr">
        <is>
          <t>CTANJZ05200</t>
        </is>
      </c>
      <c r="B291" s="43" t="inlineStr">
        <is>
          <t>D610511</t>
        </is>
      </c>
      <c r="C291" s="43" t="inlineStr">
        <is>
          <t>STBU</t>
        </is>
      </c>
      <c r="D291" s="43" t="inlineStr">
        <is>
          <t>Expired</t>
        </is>
      </c>
      <c r="E291" s="32" t="n">
        <v>46147</v>
      </c>
      <c r="F291" s="32" t="n">
        <v>46209</v>
      </c>
      <c r="G291" s="43" t="n">
        <v>4</v>
      </c>
      <c r="H291" s="43" t="n">
        <v>4</v>
      </c>
      <c r="I291" s="33" t="inlineStr">
        <is>
          <t>73-18850-01, 73-19232-01, 73-19233-01</t>
        </is>
      </c>
      <c r="J291" s="33" t="inlineStr"/>
      <c r="K291" s="33" t="inlineStr"/>
      <c r="L291" s="34">
        <f>IF(F291="","REVIEW: DATE CONFLICT/EMPTY",IF(F291&lt;'Change Overview'!$B$5,"END DATE PASSED","END DATE NOT PASSED"))</f>
        <v/>
      </c>
      <c r="M291" s="34">
        <f>IF(K291&lt;&gt;"","REVIEW SOURCE CONFLICT",IF(OR(ISNUMBER(SEARCH("CCB",D291)),ISNUMBER(SEARCH("Pending",D291))),"CCB/PENDING",IF(OR(ISNUMBER(SEARCH("Expired",D291)),ISNUMBER(SEARCH("Closed",D291))),"CLOSED/EXPIRED",IF(E291="","NO RELEASE DATE","REVIEW APPROVAL"))))</f>
        <v/>
      </c>
      <c r="N291" s="34">
        <f>IF(K291&lt;&gt;"","HIGH: SOURCE CONFLICT",IF(AND(L291="END DATE NOT PASSED",M291="REVIEW APPROVAL"),"HIGH: VERIFY",IF(L291="END DATE NOT PASSED","MEDIUM: CHECK STATUS","LOW: HISTORICAL")))</f>
        <v/>
      </c>
      <c r="O291" s="33" t="inlineStr">
        <is>
          <t>Validar documento firmado, revision/WO/sitio, material afectado y evidencia antes de activar alerta automatica.</t>
        </is>
      </c>
    </row>
    <row r="292">
      <c r="A292" s="43" t="inlineStr">
        <is>
          <t>CTANJZ05202</t>
        </is>
      </c>
      <c r="B292" s="43" t="inlineStr">
        <is>
          <t>D610693</t>
        </is>
      </c>
      <c r="C292" s="43" t="inlineStr">
        <is>
          <t>CVEBU</t>
        </is>
      </c>
      <c r="D292" s="43" t="inlineStr">
        <is>
          <t>Expired</t>
        </is>
      </c>
      <c r="E292" s="32" t="n">
        <v>46136</v>
      </c>
      <c r="F292" s="32" t="n">
        <v>46210</v>
      </c>
      <c r="G292" s="43" t="n">
        <v>2</v>
      </c>
      <c r="H292" s="43" t="n">
        <v>2</v>
      </c>
      <c r="I292" s="33" t="inlineStr"/>
      <c r="J292" s="33" t="inlineStr"/>
      <c r="K292" s="33" t="inlineStr"/>
      <c r="L292" s="34">
        <f>IF(F292="","REVIEW: DATE CONFLICT/EMPTY",IF(F292&lt;'Change Overview'!$B$5,"END DATE PASSED","END DATE NOT PASSED"))</f>
        <v/>
      </c>
      <c r="M292" s="34">
        <f>IF(K292&lt;&gt;"","REVIEW SOURCE CONFLICT",IF(OR(ISNUMBER(SEARCH("CCB",D292)),ISNUMBER(SEARCH("Pending",D292))),"CCB/PENDING",IF(OR(ISNUMBER(SEARCH("Expired",D292)),ISNUMBER(SEARCH("Closed",D292))),"CLOSED/EXPIRED",IF(E292="","NO RELEASE DATE","REVIEW APPROVAL"))))</f>
        <v/>
      </c>
      <c r="N292" s="34">
        <f>IF(K292&lt;&gt;"","HIGH: SOURCE CONFLICT",IF(AND(L292="END DATE NOT PASSED",M292="REVIEW APPROVAL"),"HIGH: VERIFY",IF(L292="END DATE NOT PASSED","MEDIUM: CHECK STATUS","LOW: HISTORICAL")))</f>
        <v/>
      </c>
      <c r="O292" s="33" t="inlineStr">
        <is>
          <t>Validar documento firmado, revision/WO/sitio, material afectado y evidencia antes de activar alerta automatica.</t>
        </is>
      </c>
    </row>
    <row r="293">
      <c r="A293" s="43" t="inlineStr">
        <is>
          <t>CTANJZ05203</t>
        </is>
      </c>
      <c r="B293" s="43" t="inlineStr">
        <is>
          <t>D610694</t>
        </is>
      </c>
      <c r="C293" s="43" t="inlineStr">
        <is>
          <t>CVEBU</t>
        </is>
      </c>
      <c r="D293" s="43" t="inlineStr">
        <is>
          <t>Expired</t>
        </is>
      </c>
      <c r="E293" s="32" t="n">
        <v>46136</v>
      </c>
      <c r="F293" s="32" t="n">
        <v>46211</v>
      </c>
      <c r="G293" s="43" t="n">
        <v>2</v>
      </c>
      <c r="H293" s="43" t="n">
        <v>2</v>
      </c>
      <c r="I293" s="33" t="inlineStr"/>
      <c r="J293" s="33" t="inlineStr"/>
      <c r="K293" s="33" t="inlineStr"/>
      <c r="L293" s="34">
        <f>IF(F293="","REVIEW: DATE CONFLICT/EMPTY",IF(F293&lt;'Change Overview'!$B$5,"END DATE PASSED","END DATE NOT PASSED"))</f>
        <v/>
      </c>
      <c r="M293" s="34">
        <f>IF(K293&lt;&gt;"","REVIEW SOURCE CONFLICT",IF(OR(ISNUMBER(SEARCH("CCB",D293)),ISNUMBER(SEARCH("Pending",D293))),"CCB/PENDING",IF(OR(ISNUMBER(SEARCH("Expired",D293)),ISNUMBER(SEARCH("Closed",D293))),"CLOSED/EXPIRED",IF(E293="","NO RELEASE DATE","REVIEW APPROVAL"))))</f>
        <v/>
      </c>
      <c r="N293" s="34">
        <f>IF(K293&lt;&gt;"","HIGH: SOURCE CONFLICT",IF(AND(L293="END DATE NOT PASSED",M293="REVIEW APPROVAL"),"HIGH: VERIFY",IF(L293="END DATE NOT PASSED","MEDIUM: CHECK STATUS","LOW: HISTORICAL")))</f>
        <v/>
      </c>
      <c r="O293" s="33" t="inlineStr">
        <is>
          <t>Validar documento firmado, revision/WO/sitio, material afectado y evidencia antes de activar alerta automatica.</t>
        </is>
      </c>
    </row>
    <row r="294">
      <c r="A294" s="43" t="inlineStr">
        <is>
          <t>CTANJZ05204</t>
        </is>
      </c>
      <c r="B294" s="43" t="inlineStr">
        <is>
          <t>D610600</t>
        </is>
      </c>
      <c r="C294" s="43" t="inlineStr">
        <is>
          <t>CRBU</t>
        </is>
      </c>
      <c r="D294" s="43" t="inlineStr">
        <is>
          <t>Expired</t>
        </is>
      </c>
      <c r="E294" s="32" t="n">
        <v>46150</v>
      </c>
      <c r="F294" s="32" t="n">
        <v>46212</v>
      </c>
      <c r="G294" s="43" t="n">
        <v>4</v>
      </c>
      <c r="H294" s="43" t="n">
        <v>4</v>
      </c>
      <c r="I294" s="33" t="inlineStr">
        <is>
          <t>73-18706-04</t>
        </is>
      </c>
      <c r="J294" s="33" t="inlineStr"/>
      <c r="K294" s="33" t="inlineStr"/>
      <c r="L294" s="34">
        <f>IF(F294="","REVIEW: DATE CONFLICT/EMPTY",IF(F294&lt;'Change Overview'!$B$5,"END DATE PASSED","END DATE NOT PASSED"))</f>
        <v/>
      </c>
      <c r="M294" s="34">
        <f>IF(K294&lt;&gt;"","REVIEW SOURCE CONFLICT",IF(OR(ISNUMBER(SEARCH("CCB",D294)),ISNUMBER(SEARCH("Pending",D294))),"CCB/PENDING",IF(OR(ISNUMBER(SEARCH("Expired",D294)),ISNUMBER(SEARCH("Closed",D294))),"CLOSED/EXPIRED",IF(E294="","NO RELEASE DATE","REVIEW APPROVAL"))))</f>
        <v/>
      </c>
      <c r="N294" s="34">
        <f>IF(K294&lt;&gt;"","HIGH: SOURCE CONFLICT",IF(AND(L294="END DATE NOT PASSED",M294="REVIEW APPROVAL"),"HIGH: VERIFY",IF(L294="END DATE NOT PASSED","MEDIUM: CHECK STATUS","LOW: HISTORICAL")))</f>
        <v/>
      </c>
      <c r="O294" s="33" t="inlineStr">
        <is>
          <t>Validar documento firmado, revision/WO/sitio, material afectado y evidencia antes de activar alerta automatica.</t>
        </is>
      </c>
    </row>
    <row r="295">
      <c r="A295" s="43" t="inlineStr">
        <is>
          <t>CTANJZ05205</t>
        </is>
      </c>
      <c r="B295" s="43" t="inlineStr">
        <is>
          <t>D610308</t>
        </is>
      </c>
      <c r="C295" s="43" t="inlineStr">
        <is>
          <t>STBU</t>
        </is>
      </c>
      <c r="D295" s="43" t="inlineStr">
        <is>
          <t>Expired</t>
        </is>
      </c>
      <c r="E295" s="32" t="n">
        <v>46147</v>
      </c>
      <c r="F295" s="32" t="n">
        <v>46212</v>
      </c>
      <c r="G295" s="43" t="n">
        <v>2</v>
      </c>
      <c r="H295" s="43" t="n">
        <v>2</v>
      </c>
      <c r="I295" s="33" t="inlineStr"/>
      <c r="J295" s="33" t="inlineStr"/>
      <c r="K295" s="33" t="inlineStr"/>
      <c r="L295" s="34">
        <f>IF(F295="","REVIEW: DATE CONFLICT/EMPTY",IF(F295&lt;'Change Overview'!$B$5,"END DATE PASSED","END DATE NOT PASSED"))</f>
        <v/>
      </c>
      <c r="M295" s="34">
        <f>IF(K295&lt;&gt;"","REVIEW SOURCE CONFLICT",IF(OR(ISNUMBER(SEARCH("CCB",D295)),ISNUMBER(SEARCH("Pending",D295))),"CCB/PENDING",IF(OR(ISNUMBER(SEARCH("Expired",D295)),ISNUMBER(SEARCH("Closed",D295))),"CLOSED/EXPIRED",IF(E295="","NO RELEASE DATE","REVIEW APPROVAL"))))</f>
        <v/>
      </c>
      <c r="N295" s="34">
        <f>IF(K295&lt;&gt;"","HIGH: SOURCE CONFLICT",IF(AND(L295="END DATE NOT PASSED",M295="REVIEW APPROVAL"),"HIGH: VERIFY",IF(L295="END DATE NOT PASSED","MEDIUM: CHECK STATUS","LOW: HISTORICAL")))</f>
        <v/>
      </c>
      <c r="O295" s="33" t="inlineStr">
        <is>
          <t>Validar documento firmado, revision/WO/sitio, material afectado y evidencia antes de activar alerta automatica.</t>
        </is>
      </c>
    </row>
    <row r="296">
      <c r="A296" s="43" t="inlineStr">
        <is>
          <t>CTANJZ05209</t>
        </is>
      </c>
      <c r="B296" s="43" t="inlineStr">
        <is>
          <t>D610810</t>
        </is>
      </c>
      <c r="C296" s="43" t="inlineStr">
        <is>
          <t>CVEBU</t>
        </is>
      </c>
      <c r="D296" s="43" t="inlineStr">
        <is>
          <t>Expired</t>
        </is>
      </c>
      <c r="E296" s="32" t="n">
        <v>46158</v>
      </c>
      <c r="F296" s="32" t="n">
        <v>46216</v>
      </c>
      <c r="G296" s="43" t="n">
        <v>2</v>
      </c>
      <c r="H296" s="43" t="n">
        <v>2</v>
      </c>
      <c r="I296" s="33" t="inlineStr"/>
      <c r="J296" s="33" t="inlineStr"/>
      <c r="K296" s="33" t="inlineStr"/>
      <c r="L296" s="34">
        <f>IF(F296="","REVIEW: DATE CONFLICT/EMPTY",IF(F296&lt;'Change Overview'!$B$5,"END DATE PASSED","END DATE NOT PASSED"))</f>
        <v/>
      </c>
      <c r="M296" s="34">
        <f>IF(K296&lt;&gt;"","REVIEW SOURCE CONFLICT",IF(OR(ISNUMBER(SEARCH("CCB",D296)),ISNUMBER(SEARCH("Pending",D296))),"CCB/PENDING",IF(OR(ISNUMBER(SEARCH("Expired",D296)),ISNUMBER(SEARCH("Closed",D296))),"CLOSED/EXPIRED",IF(E296="","NO RELEASE DATE","REVIEW APPROVAL"))))</f>
        <v/>
      </c>
      <c r="N296" s="34">
        <f>IF(K296&lt;&gt;"","HIGH: SOURCE CONFLICT",IF(AND(L296="END DATE NOT PASSED",M296="REVIEW APPROVAL"),"HIGH: VERIFY",IF(L296="END DATE NOT PASSED","MEDIUM: CHECK STATUS","LOW: HISTORICAL")))</f>
        <v/>
      </c>
      <c r="O296" s="33" t="inlineStr">
        <is>
          <t>Validar documento firmado, revision/WO/sitio, material afectado y evidencia antes de activar alerta automatica.</t>
        </is>
      </c>
    </row>
    <row r="297">
      <c r="A297" s="43" t="inlineStr">
        <is>
          <t>CTANJZ05210</t>
        </is>
      </c>
      <c r="B297" s="43" t="inlineStr">
        <is>
          <t>DP526044</t>
        </is>
      </c>
      <c r="C297" s="43" t="inlineStr">
        <is>
          <t>CVEBU</t>
        </is>
      </c>
      <c r="D297" s="43" t="inlineStr">
        <is>
          <t>Expired</t>
        </is>
      </c>
      <c r="E297" s="32" t="n">
        <v>46136</v>
      </c>
      <c r="F297" s="32" t="n">
        <v>46187</v>
      </c>
      <c r="G297" s="43" t="n">
        <v>4</v>
      </c>
      <c r="H297" s="43" t="n">
        <v>2</v>
      </c>
      <c r="I297" s="33" t="inlineStr">
        <is>
          <t>73-104175-02</t>
        </is>
      </c>
      <c r="J297" s="33" t="inlineStr"/>
      <c r="K297" s="33" t="inlineStr">
        <is>
          <t>Descrition of Change</t>
        </is>
      </c>
      <c r="L297" s="34">
        <f>IF(F297="","REVIEW: DATE CONFLICT/EMPTY",IF(F297&lt;'Change Overview'!$B$5,"END DATE PASSED","END DATE NOT PASSED"))</f>
        <v/>
      </c>
      <c r="M297" s="34">
        <f>IF(K297&lt;&gt;"","REVIEW SOURCE CONFLICT",IF(OR(ISNUMBER(SEARCH("CCB",D297)),ISNUMBER(SEARCH("Pending",D297))),"CCB/PENDING",IF(OR(ISNUMBER(SEARCH("Expired",D297)),ISNUMBER(SEARCH("Closed",D297))),"CLOSED/EXPIRED",IF(E297="","NO RELEASE DATE","REVIEW APPROVAL"))))</f>
        <v/>
      </c>
      <c r="N297" s="34">
        <f>IF(K297&lt;&gt;"","HIGH: SOURCE CONFLICT",IF(AND(L297="END DATE NOT PASSED",M297="REVIEW APPROVAL"),"HIGH: VERIFY",IF(L297="END DATE NOT PASSED","MEDIUM: CHECK STATUS","LOW: HISTORICAL")))</f>
        <v/>
      </c>
      <c r="O297" s="33" t="inlineStr">
        <is>
          <t>Validar documento firmado, revision/WO/sitio, material afectado y evidencia antes de activar alerta automatica.</t>
        </is>
      </c>
    </row>
    <row r="298">
      <c r="A298" s="43" t="inlineStr">
        <is>
          <t>CTANJZ05211</t>
        </is>
      </c>
      <c r="B298" s="43" t="inlineStr">
        <is>
          <t>D610813</t>
        </is>
      </c>
      <c r="C298" s="43" t="inlineStr">
        <is>
          <t>CVEBU</t>
        </is>
      </c>
      <c r="D298" s="43" t="inlineStr">
        <is>
          <t>Expired</t>
        </is>
      </c>
      <c r="E298" s="32" t="n">
        <v>46140</v>
      </c>
      <c r="F298" s="32" t="n">
        <v>46217</v>
      </c>
      <c r="G298" s="43" t="n">
        <v>1</v>
      </c>
      <c r="H298" s="43" t="n">
        <v>1</v>
      </c>
      <c r="I298" s="33" t="inlineStr"/>
      <c r="J298" s="33" t="inlineStr"/>
      <c r="K298" s="33" t="inlineStr"/>
      <c r="L298" s="34">
        <f>IF(F298="","REVIEW: DATE CONFLICT/EMPTY",IF(F298&lt;'Change Overview'!$B$5,"END DATE PASSED","END DATE NOT PASSED"))</f>
        <v/>
      </c>
      <c r="M298" s="34">
        <f>IF(K298&lt;&gt;"","REVIEW SOURCE CONFLICT",IF(OR(ISNUMBER(SEARCH("CCB",D298)),ISNUMBER(SEARCH("Pending",D298))),"CCB/PENDING",IF(OR(ISNUMBER(SEARCH("Expired",D298)),ISNUMBER(SEARCH("Closed",D298))),"CLOSED/EXPIRED",IF(E298="","NO RELEASE DATE","REVIEW APPROVAL"))))</f>
        <v/>
      </c>
      <c r="N298" s="34">
        <f>IF(K298&lt;&gt;"","HIGH: SOURCE CONFLICT",IF(AND(L298="END DATE NOT PASSED",M298="REVIEW APPROVAL"),"HIGH: VERIFY",IF(L298="END DATE NOT PASSED","MEDIUM: CHECK STATUS","LOW: HISTORICAL")))</f>
        <v/>
      </c>
      <c r="O298" s="33" t="inlineStr">
        <is>
          <t>Validar documento firmado, revision/WO/sitio, material afectado y evidencia antes de activar alerta automatica.</t>
        </is>
      </c>
    </row>
    <row r="299">
      <c r="A299" s="43" t="inlineStr">
        <is>
          <t>CTANJZ05214</t>
        </is>
      </c>
      <c r="B299" s="43" t="inlineStr">
        <is>
          <t>D610907</t>
        </is>
      </c>
      <c r="C299" s="43" t="inlineStr">
        <is>
          <t>CVEBU</t>
        </is>
      </c>
      <c r="D299" s="43" t="inlineStr">
        <is>
          <t>Expired</t>
        </is>
      </c>
      <c r="E299" s="32" t="n">
        <v>46147</v>
      </c>
      <c r="F299" s="32" t="n">
        <v>46218</v>
      </c>
      <c r="G299" s="43" t="n">
        <v>8</v>
      </c>
      <c r="H299" s="43" t="n">
        <v>8</v>
      </c>
      <c r="I299" s="33" t="inlineStr">
        <is>
          <t>73-103698-06, 73-103940-06</t>
        </is>
      </c>
      <c r="J299" s="33" t="inlineStr"/>
      <c r="K299" s="33" t="inlineStr"/>
      <c r="L299" s="34">
        <f>IF(F299="","REVIEW: DATE CONFLICT/EMPTY",IF(F299&lt;'Change Overview'!$B$5,"END DATE PASSED","END DATE NOT PASSED"))</f>
        <v/>
      </c>
      <c r="M299" s="34">
        <f>IF(K299&lt;&gt;"","REVIEW SOURCE CONFLICT",IF(OR(ISNUMBER(SEARCH("CCB",D299)),ISNUMBER(SEARCH("Pending",D299))),"CCB/PENDING",IF(OR(ISNUMBER(SEARCH("Expired",D299)),ISNUMBER(SEARCH("Closed",D299))),"CLOSED/EXPIRED",IF(E299="","NO RELEASE DATE","REVIEW APPROVAL"))))</f>
        <v/>
      </c>
      <c r="N299" s="34">
        <f>IF(K299&lt;&gt;"","HIGH: SOURCE CONFLICT",IF(AND(L299="END DATE NOT PASSED",M299="REVIEW APPROVAL"),"HIGH: VERIFY",IF(L299="END DATE NOT PASSED","MEDIUM: CHECK STATUS","LOW: HISTORICAL")))</f>
        <v/>
      </c>
      <c r="O299" s="33" t="inlineStr">
        <is>
          <t>Validar documento firmado, revision/WO/sitio, material afectado y evidencia antes de activar alerta automatica.</t>
        </is>
      </c>
    </row>
    <row r="300">
      <c r="A300" s="43" t="inlineStr">
        <is>
          <t>CTANJZ05215</t>
        </is>
      </c>
      <c r="B300" s="43" t="inlineStr">
        <is>
          <t>D610740</t>
        </is>
      </c>
      <c r="C300" s="43" t="inlineStr">
        <is>
          <t>STBU</t>
        </is>
      </c>
      <c r="D300" s="43" t="inlineStr">
        <is>
          <t>Expired</t>
        </is>
      </c>
      <c r="E300" s="32" t="n">
        <v>46161</v>
      </c>
      <c r="F300" s="32" t="n">
        <v>46222</v>
      </c>
      <c r="G300" s="43" t="n">
        <v>6</v>
      </c>
      <c r="H300" s="43" t="n">
        <v>6</v>
      </c>
      <c r="I300" s="33" t="inlineStr"/>
      <c r="J300" s="33" t="inlineStr"/>
      <c r="K300" s="33" t="inlineStr"/>
      <c r="L300" s="34">
        <f>IF(F300="","REVIEW: DATE CONFLICT/EMPTY",IF(F300&lt;'Change Overview'!$B$5,"END DATE PASSED","END DATE NOT PASSED"))</f>
        <v/>
      </c>
      <c r="M300" s="34">
        <f>IF(K300&lt;&gt;"","REVIEW SOURCE CONFLICT",IF(OR(ISNUMBER(SEARCH("CCB",D300)),ISNUMBER(SEARCH("Pending",D300))),"CCB/PENDING",IF(OR(ISNUMBER(SEARCH("Expired",D300)),ISNUMBER(SEARCH("Closed",D300))),"CLOSED/EXPIRED",IF(E300="","NO RELEASE DATE","REVIEW APPROVAL"))))</f>
        <v/>
      </c>
      <c r="N300" s="34">
        <f>IF(K300&lt;&gt;"","HIGH: SOURCE CONFLICT",IF(AND(L300="END DATE NOT PASSED",M300="REVIEW APPROVAL"),"HIGH: VERIFY",IF(L300="END DATE NOT PASSED","MEDIUM: CHECK STATUS","LOW: HISTORICAL")))</f>
        <v/>
      </c>
      <c r="O300" s="33" t="inlineStr">
        <is>
          <t>Validar documento firmado, revision/WO/sitio, material afectado y evidencia antes de activar alerta automatica.</t>
        </is>
      </c>
    </row>
    <row r="301">
      <c r="A301" s="43" t="inlineStr">
        <is>
          <t>CTANJZ05218</t>
        </is>
      </c>
      <c r="B301" s="43" t="inlineStr">
        <is>
          <t>D610760</t>
        </is>
      </c>
      <c r="C301" s="43" t="inlineStr">
        <is>
          <t>STBU</t>
        </is>
      </c>
      <c r="D301" s="43" t="inlineStr">
        <is>
          <t>Expired</t>
        </is>
      </c>
      <c r="E301" s="32" t="n">
        <v>46163</v>
      </c>
      <c r="F301" s="32" t="n">
        <v>46223</v>
      </c>
      <c r="G301" s="43" t="n">
        <v>3</v>
      </c>
      <c r="H301" s="43" t="n">
        <v>3</v>
      </c>
      <c r="I301" s="33" t="inlineStr">
        <is>
          <t>73-17499-07</t>
        </is>
      </c>
      <c r="J301" s="33" t="inlineStr"/>
      <c r="K301" s="33" t="inlineStr"/>
      <c r="L301" s="34">
        <f>IF(F301="","REVIEW: DATE CONFLICT/EMPTY",IF(F301&lt;'Change Overview'!$B$5,"END DATE PASSED","END DATE NOT PASSED"))</f>
        <v/>
      </c>
      <c r="M301" s="34">
        <f>IF(K301&lt;&gt;"","REVIEW SOURCE CONFLICT",IF(OR(ISNUMBER(SEARCH("CCB",D301)),ISNUMBER(SEARCH("Pending",D301))),"CCB/PENDING",IF(OR(ISNUMBER(SEARCH("Expired",D301)),ISNUMBER(SEARCH("Closed",D301))),"CLOSED/EXPIRED",IF(E301="","NO RELEASE DATE","REVIEW APPROVAL"))))</f>
        <v/>
      </c>
      <c r="N301" s="34">
        <f>IF(K301&lt;&gt;"","HIGH: SOURCE CONFLICT",IF(AND(L301="END DATE NOT PASSED",M301="REVIEW APPROVAL"),"HIGH: VERIFY",IF(L301="END DATE NOT PASSED","MEDIUM: CHECK STATUS","LOW: HISTORICAL")))</f>
        <v/>
      </c>
      <c r="O301" s="33" t="inlineStr">
        <is>
          <t>Validar documento firmado, revision/WO/sitio, material afectado y evidencia antes de activar alerta automatica.</t>
        </is>
      </c>
    </row>
    <row r="302">
      <c r="A302" s="43" t="inlineStr">
        <is>
          <t>CTANJZ05219</t>
        </is>
      </c>
      <c r="B302" s="43" t="inlineStr">
        <is>
          <t>D610973</t>
        </is>
      </c>
      <c r="C302" s="43" t="inlineStr">
        <is>
          <t>CVEBU</t>
        </is>
      </c>
      <c r="D302" s="43" t="inlineStr">
        <is>
          <t>Expired</t>
        </is>
      </c>
      <c r="E302" s="32" t="n">
        <v>46147</v>
      </c>
      <c r="F302" s="32" t="n">
        <v>46223</v>
      </c>
      <c r="G302" s="43" t="n">
        <v>5</v>
      </c>
      <c r="H302" s="43" t="n">
        <v>5</v>
      </c>
      <c r="I302" s="33" t="inlineStr">
        <is>
          <t>73-103698-06, 73-103758-04</t>
        </is>
      </c>
      <c r="J302" s="33" t="inlineStr"/>
      <c r="K302" s="33" t="inlineStr"/>
      <c r="L302" s="34">
        <f>IF(F302="","REVIEW: DATE CONFLICT/EMPTY",IF(F302&lt;'Change Overview'!$B$5,"END DATE PASSED","END DATE NOT PASSED"))</f>
        <v/>
      </c>
      <c r="M302" s="34">
        <f>IF(K302&lt;&gt;"","REVIEW SOURCE CONFLICT",IF(OR(ISNUMBER(SEARCH("CCB",D302)),ISNUMBER(SEARCH("Pending",D302))),"CCB/PENDING",IF(OR(ISNUMBER(SEARCH("Expired",D302)),ISNUMBER(SEARCH("Closed",D302))),"CLOSED/EXPIRED",IF(E302="","NO RELEASE DATE","REVIEW APPROVAL"))))</f>
        <v/>
      </c>
      <c r="N302" s="34">
        <f>IF(K302&lt;&gt;"","HIGH: SOURCE CONFLICT",IF(AND(L302="END DATE NOT PASSED",M302="REVIEW APPROVAL"),"HIGH: VERIFY",IF(L302="END DATE NOT PASSED","MEDIUM: CHECK STATUS","LOW: HISTORICAL")))</f>
        <v/>
      </c>
      <c r="O302" s="33" t="inlineStr">
        <is>
          <t>Validar documento firmado, revision/WO/sitio, material afectado y evidencia antes de activar alerta automatica.</t>
        </is>
      </c>
    </row>
    <row r="303">
      <c r="A303" s="43" t="inlineStr">
        <is>
          <t>CTANJZ05222</t>
        </is>
      </c>
      <c r="B303" s="43" t="inlineStr">
        <is>
          <t>D610909</t>
        </is>
      </c>
      <c r="C303" s="43" t="inlineStr">
        <is>
          <t>STBU</t>
        </is>
      </c>
      <c r="D303" s="43" t="inlineStr">
        <is>
          <t>Expired</t>
        </is>
      </c>
      <c r="E303" s="32" t="n">
        <v>46165</v>
      </c>
      <c r="F303" s="32" t="n">
        <v>46224</v>
      </c>
      <c r="G303" s="43" t="n">
        <v>1</v>
      </c>
      <c r="H303" s="43" t="n">
        <v>1</v>
      </c>
      <c r="I303" s="33" t="inlineStr"/>
      <c r="J303" s="33" t="inlineStr"/>
      <c r="K303" s="33" t="inlineStr"/>
      <c r="L303" s="34">
        <f>IF(F303="","REVIEW: DATE CONFLICT/EMPTY",IF(F303&lt;'Change Overview'!$B$5,"END DATE PASSED","END DATE NOT PASSED"))</f>
        <v/>
      </c>
      <c r="M303" s="34">
        <f>IF(K303&lt;&gt;"","REVIEW SOURCE CONFLICT",IF(OR(ISNUMBER(SEARCH("CCB",D303)),ISNUMBER(SEARCH("Pending",D303))),"CCB/PENDING",IF(OR(ISNUMBER(SEARCH("Expired",D303)),ISNUMBER(SEARCH("Closed",D303))),"CLOSED/EXPIRED",IF(E303="","NO RELEASE DATE","REVIEW APPROVAL"))))</f>
        <v/>
      </c>
      <c r="N303" s="34">
        <f>IF(K303&lt;&gt;"","HIGH: SOURCE CONFLICT",IF(AND(L303="END DATE NOT PASSED",M303="REVIEW APPROVAL"),"HIGH: VERIFY",IF(L303="END DATE NOT PASSED","MEDIUM: CHECK STATUS","LOW: HISTORICAL")))</f>
        <v/>
      </c>
      <c r="O303" s="33" t="inlineStr">
        <is>
          <t>Validar documento firmado, revision/WO/sitio, material afectado y evidencia antes de activar alerta automatica.</t>
        </is>
      </c>
    </row>
    <row r="304">
      <c r="A304" s="43" t="inlineStr">
        <is>
          <t>CTANJZ05225</t>
        </is>
      </c>
      <c r="B304" s="43" t="inlineStr">
        <is>
          <t>DP526083</t>
        </is>
      </c>
      <c r="C304" s="43" t="inlineStr">
        <is>
          <t>SRGBU</t>
        </is>
      </c>
      <c r="D304" s="43" t="inlineStr">
        <is>
          <t>Expired</t>
        </is>
      </c>
      <c r="E304" s="32" t="n">
        <v>46158</v>
      </c>
      <c r="F304" s="32" t="n">
        <v>46196</v>
      </c>
      <c r="G304" s="43" t="n">
        <v>1</v>
      </c>
      <c r="H304" s="43" t="n">
        <v>1</v>
      </c>
      <c r="I304" s="33" t="inlineStr"/>
      <c r="J304" s="33" t="inlineStr"/>
      <c r="K304" s="33" t="inlineStr"/>
      <c r="L304" s="34">
        <f>IF(F304="","REVIEW: DATE CONFLICT/EMPTY",IF(F304&lt;'Change Overview'!$B$5,"END DATE PASSED","END DATE NOT PASSED"))</f>
        <v/>
      </c>
      <c r="M304" s="34">
        <f>IF(K304&lt;&gt;"","REVIEW SOURCE CONFLICT",IF(OR(ISNUMBER(SEARCH("CCB",D304)),ISNUMBER(SEARCH("Pending",D304))),"CCB/PENDING",IF(OR(ISNUMBER(SEARCH("Expired",D304)),ISNUMBER(SEARCH("Closed",D304))),"CLOSED/EXPIRED",IF(E304="","NO RELEASE DATE","REVIEW APPROVAL"))))</f>
        <v/>
      </c>
      <c r="N304" s="34">
        <f>IF(K304&lt;&gt;"","HIGH: SOURCE CONFLICT",IF(AND(L304="END DATE NOT PASSED",M304="REVIEW APPROVAL"),"HIGH: VERIFY",IF(L304="END DATE NOT PASSED","MEDIUM: CHECK STATUS","LOW: HISTORICAL")))</f>
        <v/>
      </c>
      <c r="O304" s="33" t="inlineStr">
        <is>
          <t>Validar documento firmado, revision/WO/sitio, material afectado y evidencia antes de activar alerta automatica.</t>
        </is>
      </c>
    </row>
    <row r="305">
      <c r="A305" s="43" t="inlineStr">
        <is>
          <t>CTANJZ05229</t>
        </is>
      </c>
      <c r="B305" s="43" t="inlineStr">
        <is>
          <t>D611135</t>
        </is>
      </c>
      <c r="C305" s="43" t="inlineStr">
        <is>
          <t>STBU</t>
        </is>
      </c>
      <c r="D305" s="43" t="inlineStr">
        <is>
          <t>Expired</t>
        </is>
      </c>
      <c r="E305" s="32" t="n">
        <v>46165</v>
      </c>
      <c r="F305" s="32" t="n">
        <v>46232</v>
      </c>
      <c r="G305" s="43" t="n">
        <v>1</v>
      </c>
      <c r="H305" s="43" t="n">
        <v>1</v>
      </c>
      <c r="I305" s="33" t="inlineStr"/>
      <c r="J305" s="33" t="inlineStr"/>
      <c r="K305" s="33" t="inlineStr"/>
      <c r="L305" s="34">
        <f>IF(F305="","REVIEW: DATE CONFLICT/EMPTY",IF(F305&lt;'Change Overview'!$B$5,"END DATE PASSED","END DATE NOT PASSED"))</f>
        <v/>
      </c>
      <c r="M305" s="34">
        <f>IF(K305&lt;&gt;"","REVIEW SOURCE CONFLICT",IF(OR(ISNUMBER(SEARCH("CCB",D305)),ISNUMBER(SEARCH("Pending",D305))),"CCB/PENDING",IF(OR(ISNUMBER(SEARCH("Expired",D305)),ISNUMBER(SEARCH("Closed",D305))),"CLOSED/EXPIRED",IF(E305="","NO RELEASE DATE","REVIEW APPROVAL"))))</f>
        <v/>
      </c>
      <c r="N305" s="34">
        <f>IF(K305&lt;&gt;"","HIGH: SOURCE CONFLICT",IF(AND(L305="END DATE NOT PASSED",M305="REVIEW APPROVAL"),"HIGH: VERIFY",IF(L305="END DATE NOT PASSED","MEDIUM: CHECK STATUS","LOW: HISTORICAL")))</f>
        <v/>
      </c>
      <c r="O305" s="33" t="inlineStr">
        <is>
          <t>Validar documento firmado, revision/WO/sitio, material afectado y evidencia antes de activar alerta automatica.</t>
        </is>
      </c>
    </row>
    <row r="306">
      <c r="A306" s="43" t="inlineStr">
        <is>
          <t>CTANJZ05230</t>
        </is>
      </c>
      <c r="B306" s="43" t="inlineStr">
        <is>
          <t>D611061</t>
        </is>
      </c>
      <c r="C306" s="43" t="inlineStr">
        <is>
          <t>SRGBU</t>
        </is>
      </c>
      <c r="D306" s="43" t="inlineStr">
        <is>
          <t>Expired</t>
        </is>
      </c>
      <c r="E306" s="32" t="n">
        <v>46158</v>
      </c>
      <c r="F306" s="32" t="n">
        <v>46234</v>
      </c>
      <c r="G306" s="43" t="n">
        <v>1</v>
      </c>
      <c r="H306" s="43" t="n">
        <v>1</v>
      </c>
      <c r="I306" s="33" t="inlineStr"/>
      <c r="J306" s="33" t="inlineStr"/>
      <c r="K306" s="33" t="inlineStr"/>
      <c r="L306" s="34">
        <f>IF(F306="","REVIEW: DATE CONFLICT/EMPTY",IF(F306&lt;'Change Overview'!$B$5,"END DATE PASSED","END DATE NOT PASSED"))</f>
        <v/>
      </c>
      <c r="M306" s="34">
        <f>IF(K306&lt;&gt;"","REVIEW SOURCE CONFLICT",IF(OR(ISNUMBER(SEARCH("CCB",D306)),ISNUMBER(SEARCH("Pending",D306))),"CCB/PENDING",IF(OR(ISNUMBER(SEARCH("Expired",D306)),ISNUMBER(SEARCH("Closed",D306))),"CLOSED/EXPIRED",IF(E306="","NO RELEASE DATE","REVIEW APPROVAL"))))</f>
        <v/>
      </c>
      <c r="N306" s="34">
        <f>IF(K306&lt;&gt;"","HIGH: SOURCE CONFLICT",IF(AND(L306="END DATE NOT PASSED",M306="REVIEW APPROVAL"),"HIGH: VERIFY",IF(L306="END DATE NOT PASSED","MEDIUM: CHECK STATUS","LOW: HISTORICAL")))</f>
        <v/>
      </c>
      <c r="O306" s="33" t="inlineStr">
        <is>
          <t>Validar documento firmado, revision/WO/sitio, material afectado y evidencia antes de activar alerta automatica.</t>
        </is>
      </c>
    </row>
    <row r="307">
      <c r="A307" s="43" t="inlineStr">
        <is>
          <t>CTANJZ05233</t>
        </is>
      </c>
      <c r="B307" s="43" t="inlineStr">
        <is>
          <t>D611098</t>
        </is>
      </c>
      <c r="C307" s="43" t="inlineStr">
        <is>
          <t>STBU</t>
        </is>
      </c>
      <c r="D307" s="43" t="inlineStr">
        <is>
          <t>Expired</t>
        </is>
      </c>
      <c r="E307" s="32" t="n">
        <v>46171</v>
      </c>
      <c r="F307" s="32" t="n">
        <v>46236</v>
      </c>
      <c r="G307" s="43" t="n">
        <v>4</v>
      </c>
      <c r="H307" s="43" t="n">
        <v>2</v>
      </c>
      <c r="I307" s="33" t="inlineStr">
        <is>
          <t>73-20249-06</t>
        </is>
      </c>
      <c r="J307" s="33" t="inlineStr">
        <is>
          <t>TUFNELL PARK</t>
        </is>
      </c>
      <c r="K307" s="33" t="inlineStr"/>
      <c r="L307" s="34">
        <f>IF(F307="","REVIEW: DATE CONFLICT/EMPTY",IF(F307&lt;'Change Overview'!$B$5,"END DATE PASSED","END DATE NOT PASSED"))</f>
        <v/>
      </c>
      <c r="M307" s="34">
        <f>IF(K307&lt;&gt;"","REVIEW SOURCE CONFLICT",IF(OR(ISNUMBER(SEARCH("CCB",D307)),ISNUMBER(SEARCH("Pending",D307))),"CCB/PENDING",IF(OR(ISNUMBER(SEARCH("Expired",D307)),ISNUMBER(SEARCH("Closed",D307))),"CLOSED/EXPIRED",IF(E307="","NO RELEASE DATE","REVIEW APPROVAL"))))</f>
        <v/>
      </c>
      <c r="N307" s="34">
        <f>IF(K307&lt;&gt;"","HIGH: SOURCE CONFLICT",IF(AND(L307="END DATE NOT PASSED",M307="REVIEW APPROVAL"),"HIGH: VERIFY",IF(L307="END DATE NOT PASSED","MEDIUM: CHECK STATUS","LOW: HISTORICAL")))</f>
        <v/>
      </c>
      <c r="O307" s="33" t="inlineStr">
        <is>
          <t>Validar documento firmado, revision/WO/sitio, material afectado y evidencia antes de activar alerta automatica.</t>
        </is>
      </c>
    </row>
    <row r="308">
      <c r="A308" s="43" t="inlineStr">
        <is>
          <t>CTANJZ05234</t>
        </is>
      </c>
      <c r="B308" s="43" t="inlineStr">
        <is>
          <t>D611192</t>
        </is>
      </c>
      <c r="C308" s="43" t="inlineStr">
        <is>
          <t>CVEBU</t>
        </is>
      </c>
      <c r="D308" s="43" t="inlineStr">
        <is>
          <t>Expired</t>
        </is>
      </c>
      <c r="E308" s="32" t="n">
        <v>46157</v>
      </c>
      <c r="F308" s="32" t="n">
        <v>46236</v>
      </c>
      <c r="G308" s="43" t="n">
        <v>3</v>
      </c>
      <c r="H308" s="43" t="n">
        <v>3</v>
      </c>
      <c r="I308" s="33" t="inlineStr">
        <is>
          <t>73-103720-04, 73-103920-04</t>
        </is>
      </c>
      <c r="J308" s="33" t="inlineStr"/>
      <c r="K308" s="33" t="inlineStr"/>
      <c r="L308" s="34">
        <f>IF(F308="","REVIEW: DATE CONFLICT/EMPTY",IF(F308&lt;'Change Overview'!$B$5,"END DATE PASSED","END DATE NOT PASSED"))</f>
        <v/>
      </c>
      <c r="M308" s="34">
        <f>IF(K308&lt;&gt;"","REVIEW SOURCE CONFLICT",IF(OR(ISNUMBER(SEARCH("CCB",D308)),ISNUMBER(SEARCH("Pending",D308))),"CCB/PENDING",IF(OR(ISNUMBER(SEARCH("Expired",D308)),ISNUMBER(SEARCH("Closed",D308))),"CLOSED/EXPIRED",IF(E308="","NO RELEASE DATE","REVIEW APPROVAL"))))</f>
        <v/>
      </c>
      <c r="N308" s="34">
        <f>IF(K308&lt;&gt;"","HIGH: SOURCE CONFLICT",IF(AND(L308="END DATE NOT PASSED",M308="REVIEW APPROVAL"),"HIGH: VERIFY",IF(L308="END DATE NOT PASSED","MEDIUM: CHECK STATUS","LOW: HISTORICAL")))</f>
        <v/>
      </c>
      <c r="O308" s="33" t="inlineStr">
        <is>
          <t>Validar documento firmado, revision/WO/sitio, material afectado y evidencia antes de activar alerta automatica.</t>
        </is>
      </c>
    </row>
    <row r="309">
      <c r="A309" s="43" t="inlineStr">
        <is>
          <t>CTANJZ05235</t>
        </is>
      </c>
      <c r="B309" s="43" t="inlineStr">
        <is>
          <t>D610818</t>
        </is>
      </c>
      <c r="C309" s="43" t="inlineStr">
        <is>
          <t>SRGBU</t>
        </is>
      </c>
      <c r="D309" s="43" t="inlineStr">
        <is>
          <t>Expired</t>
        </is>
      </c>
      <c r="E309" s="32" t="n">
        <v>46161</v>
      </c>
      <c r="F309" s="32" t="n">
        <v>46239</v>
      </c>
      <c r="G309" s="43" t="n">
        <v>4</v>
      </c>
      <c r="H309" s="43" t="n">
        <v>2</v>
      </c>
      <c r="I309" s="33" t="inlineStr">
        <is>
          <t>73-20988-05</t>
        </is>
      </c>
      <c r="J309" s="33" t="inlineStr"/>
      <c r="K309" s="33" t="inlineStr"/>
      <c r="L309" s="34">
        <f>IF(F309="","REVIEW: DATE CONFLICT/EMPTY",IF(F309&lt;'Change Overview'!$B$5,"END DATE PASSED","END DATE NOT PASSED"))</f>
        <v/>
      </c>
      <c r="M309" s="34">
        <f>IF(K309&lt;&gt;"","REVIEW SOURCE CONFLICT",IF(OR(ISNUMBER(SEARCH("CCB",D309)),ISNUMBER(SEARCH("Pending",D309))),"CCB/PENDING",IF(OR(ISNUMBER(SEARCH("Expired",D309)),ISNUMBER(SEARCH("Closed",D309))),"CLOSED/EXPIRED",IF(E309="","NO RELEASE DATE","REVIEW APPROVAL"))))</f>
        <v/>
      </c>
      <c r="N309" s="34">
        <f>IF(K309&lt;&gt;"","HIGH: SOURCE CONFLICT",IF(AND(L309="END DATE NOT PASSED",M309="REVIEW APPROVAL"),"HIGH: VERIFY",IF(L309="END DATE NOT PASSED","MEDIUM: CHECK STATUS","LOW: HISTORICAL")))</f>
        <v/>
      </c>
      <c r="O309" s="33" t="inlineStr">
        <is>
          <t>Validar documento firmado, revision/WO/sitio, material afectado y evidencia antes de activar alerta automatica.</t>
        </is>
      </c>
    </row>
    <row r="310">
      <c r="A310" s="43" t="inlineStr">
        <is>
          <t>CTANJZ05236</t>
        </is>
      </c>
      <c r="B310" s="43" t="inlineStr">
        <is>
          <t>D610747</t>
        </is>
      </c>
      <c r="C310" s="43" t="inlineStr">
        <is>
          <t>CVEBU</t>
        </is>
      </c>
      <c r="D310" s="43" t="inlineStr">
        <is>
          <t>Expired</t>
        </is>
      </c>
      <c r="E310" s="32" t="n">
        <v>46158</v>
      </c>
      <c r="F310" s="32" t="n">
        <v>46239</v>
      </c>
      <c r="G310" s="43" t="n">
        <v>3</v>
      </c>
      <c r="H310" s="43" t="n">
        <v>3</v>
      </c>
      <c r="I310" s="33" t="inlineStr">
        <is>
          <t>73-103826-05, 73-103880-05</t>
        </is>
      </c>
      <c r="J310" s="33" t="inlineStr">
        <is>
          <t>BAYFRONT</t>
        </is>
      </c>
      <c r="K310" s="33" t="inlineStr"/>
      <c r="L310" s="34">
        <f>IF(F310="","REVIEW: DATE CONFLICT/EMPTY",IF(F310&lt;'Change Overview'!$B$5,"END DATE PASSED","END DATE NOT PASSED"))</f>
        <v/>
      </c>
      <c r="M310" s="34">
        <f>IF(K310&lt;&gt;"","REVIEW SOURCE CONFLICT",IF(OR(ISNUMBER(SEARCH("CCB",D310)),ISNUMBER(SEARCH("Pending",D310))),"CCB/PENDING",IF(OR(ISNUMBER(SEARCH("Expired",D310)),ISNUMBER(SEARCH("Closed",D310))),"CLOSED/EXPIRED",IF(E310="","NO RELEASE DATE","REVIEW APPROVAL"))))</f>
        <v/>
      </c>
      <c r="N310" s="34">
        <f>IF(K310&lt;&gt;"","HIGH: SOURCE CONFLICT",IF(AND(L310="END DATE NOT PASSED",M310="REVIEW APPROVAL"),"HIGH: VERIFY",IF(L310="END DATE NOT PASSED","MEDIUM: CHECK STATUS","LOW: HISTORICAL")))</f>
        <v/>
      </c>
      <c r="O310" s="33" t="inlineStr">
        <is>
          <t>Validar documento firmado, revision/WO/sitio, material afectado y evidencia antes de activar alerta automatica.</t>
        </is>
      </c>
    </row>
    <row r="311">
      <c r="A311" s="43" t="inlineStr">
        <is>
          <t>CTANJZ05237</t>
        </is>
      </c>
      <c r="B311" s="43" t="inlineStr">
        <is>
          <t>D611227</t>
        </is>
      </c>
      <c r="C311" s="43" t="inlineStr">
        <is>
          <t>CVEBU</t>
        </is>
      </c>
      <c r="D311" s="43" t="inlineStr">
        <is>
          <t>Expired</t>
        </is>
      </c>
      <c r="E311" s="32" t="n">
        <v>46164</v>
      </c>
      <c r="F311" s="32" t="n">
        <v>46240</v>
      </c>
      <c r="G311" s="43" t="n">
        <v>7</v>
      </c>
      <c r="H311" s="43" t="n">
        <v>7</v>
      </c>
      <c r="I311" s="33" t="inlineStr">
        <is>
          <t>73-102022-02, 73-102197-02, 73-102226-06, 73-102797-02, 73-103226-06, 73-104022-01</t>
        </is>
      </c>
      <c r="J311" s="33" t="inlineStr">
        <is>
          <t>BROOKLYN, DAVINCI, MILLENIUM</t>
        </is>
      </c>
      <c r="K311" s="33" t="inlineStr"/>
      <c r="L311" s="34">
        <f>IF(F311="","REVIEW: DATE CONFLICT/EMPTY",IF(F311&lt;'Change Overview'!$B$5,"END DATE PASSED","END DATE NOT PASSED"))</f>
        <v/>
      </c>
      <c r="M311" s="34">
        <f>IF(K311&lt;&gt;"","REVIEW SOURCE CONFLICT",IF(OR(ISNUMBER(SEARCH("CCB",D311)),ISNUMBER(SEARCH("Pending",D311))),"CCB/PENDING",IF(OR(ISNUMBER(SEARCH("Expired",D311)),ISNUMBER(SEARCH("Closed",D311))),"CLOSED/EXPIRED",IF(E311="","NO RELEASE DATE","REVIEW APPROVAL"))))</f>
        <v/>
      </c>
      <c r="N311" s="34">
        <f>IF(K311&lt;&gt;"","HIGH: SOURCE CONFLICT",IF(AND(L311="END DATE NOT PASSED",M311="REVIEW APPROVAL"),"HIGH: VERIFY",IF(L311="END DATE NOT PASSED","MEDIUM: CHECK STATUS","LOW: HISTORICAL")))</f>
        <v/>
      </c>
      <c r="O311" s="33" t="inlineStr">
        <is>
          <t>Validar documento firmado, revision/WO/sitio, material afectado y evidencia antes de activar alerta automatica.</t>
        </is>
      </c>
    </row>
    <row r="312">
      <c r="A312" s="43" t="inlineStr">
        <is>
          <t>CTANJZ05240</t>
        </is>
      </c>
      <c r="B312" s="43" t="inlineStr">
        <is>
          <t>D611208</t>
        </is>
      </c>
      <c r="C312" s="43" t="inlineStr">
        <is>
          <t>SRGBU</t>
        </is>
      </c>
      <c r="D312" s="43" t="inlineStr">
        <is>
          <t>Expired</t>
        </is>
      </c>
      <c r="E312" s="32" t="n">
        <v>46161</v>
      </c>
      <c r="F312" s="32" t="n">
        <v>46243</v>
      </c>
      <c r="G312" s="43" t="n">
        <v>8</v>
      </c>
      <c r="H312" s="43" t="n">
        <v>8</v>
      </c>
      <c r="I312" s="33" t="inlineStr"/>
      <c r="J312" s="33" t="inlineStr"/>
      <c r="K312" s="33" t="inlineStr"/>
      <c r="L312" s="34">
        <f>IF(F312="","REVIEW: DATE CONFLICT/EMPTY",IF(F312&lt;'Change Overview'!$B$5,"END DATE PASSED","END DATE NOT PASSED"))</f>
        <v/>
      </c>
      <c r="M312" s="34">
        <f>IF(K312&lt;&gt;"","REVIEW SOURCE CONFLICT",IF(OR(ISNUMBER(SEARCH("CCB",D312)),ISNUMBER(SEARCH("Pending",D312))),"CCB/PENDING",IF(OR(ISNUMBER(SEARCH("Expired",D312)),ISNUMBER(SEARCH("Closed",D312))),"CLOSED/EXPIRED",IF(E312="","NO RELEASE DATE","REVIEW APPROVAL"))))</f>
        <v/>
      </c>
      <c r="N312" s="34">
        <f>IF(K312&lt;&gt;"","HIGH: SOURCE CONFLICT",IF(AND(L312="END DATE NOT PASSED",M312="REVIEW APPROVAL"),"HIGH: VERIFY",IF(L312="END DATE NOT PASSED","MEDIUM: CHECK STATUS","LOW: HISTORICAL")))</f>
        <v/>
      </c>
      <c r="O312" s="33" t="inlineStr">
        <is>
          <t>Validar documento firmado, revision/WO/sitio, material afectado y evidencia antes de activar alerta automatica.</t>
        </is>
      </c>
    </row>
    <row r="313">
      <c r="A313" s="43" t="inlineStr">
        <is>
          <t>CTANJZ05241</t>
        </is>
      </c>
      <c r="B313" s="43" t="inlineStr">
        <is>
          <t>D611381</t>
        </is>
      </c>
      <c r="C313" s="43" t="inlineStr">
        <is>
          <t>SRGBU</t>
        </is>
      </c>
      <c r="D313" s="43" t="inlineStr">
        <is>
          <t>Expired</t>
        </is>
      </c>
      <c r="E313" s="32" t="n"/>
      <c r="F313" s="32" t="n">
        <v>46245</v>
      </c>
      <c r="G313" s="43" t="n">
        <v>1</v>
      </c>
      <c r="H313" s="43" t="n">
        <v>1</v>
      </c>
      <c r="I313" s="33" t="inlineStr"/>
      <c r="J313" s="33" t="inlineStr"/>
      <c r="K313" s="33" t="inlineStr"/>
      <c r="L313" s="34">
        <f>IF(F313="","REVIEW: DATE CONFLICT/EMPTY",IF(F313&lt;'Change Overview'!$B$5,"END DATE PASSED","END DATE NOT PASSED"))</f>
        <v/>
      </c>
      <c r="M313" s="34">
        <f>IF(K313&lt;&gt;"","REVIEW SOURCE CONFLICT",IF(OR(ISNUMBER(SEARCH("CCB",D313)),ISNUMBER(SEARCH("Pending",D313))),"CCB/PENDING",IF(OR(ISNUMBER(SEARCH("Expired",D313)),ISNUMBER(SEARCH("Closed",D313))),"CLOSED/EXPIRED",IF(E313="","NO RELEASE DATE","REVIEW APPROVAL"))))</f>
        <v/>
      </c>
      <c r="N313" s="34">
        <f>IF(K313&lt;&gt;"","HIGH: SOURCE CONFLICT",IF(AND(L313="END DATE NOT PASSED",M313="REVIEW APPROVAL"),"HIGH: VERIFY",IF(L313="END DATE NOT PASSED","MEDIUM: CHECK STATUS","LOW: HISTORICAL")))</f>
        <v/>
      </c>
      <c r="O313" s="33" t="inlineStr">
        <is>
          <t>Validar documento firmado, revision/WO/sitio, material afectado y evidencia antes de activar alerta automatica.</t>
        </is>
      </c>
    </row>
    <row r="314">
      <c r="A314" s="43" t="inlineStr">
        <is>
          <t>CTANJZ05242</t>
        </is>
      </c>
      <c r="B314" s="43" t="inlineStr">
        <is>
          <t>D611127</t>
        </is>
      </c>
      <c r="C314" s="43" t="inlineStr">
        <is>
          <t>STBU</t>
        </is>
      </c>
      <c r="D314" s="43" t="inlineStr">
        <is>
          <t>Expired</t>
        </is>
      </c>
      <c r="E314" s="32" t="n">
        <v>46176</v>
      </c>
      <c r="F314" s="32" t="n">
        <v>46246</v>
      </c>
      <c r="G314" s="43" t="n">
        <v>6</v>
      </c>
      <c r="H314" s="43" t="n">
        <v>6</v>
      </c>
      <c r="I314" s="33" t="inlineStr">
        <is>
          <t>73-18488-08, 73-18489-08, 73-18490-10, 73-21007-03</t>
        </is>
      </c>
      <c r="J314" s="33" t="inlineStr"/>
      <c r="K314" s="33" t="inlineStr"/>
      <c r="L314" s="34">
        <f>IF(F314="","REVIEW: DATE CONFLICT/EMPTY",IF(F314&lt;'Change Overview'!$B$5,"END DATE PASSED","END DATE NOT PASSED"))</f>
        <v/>
      </c>
      <c r="M314" s="34">
        <f>IF(K314&lt;&gt;"","REVIEW SOURCE CONFLICT",IF(OR(ISNUMBER(SEARCH("CCB",D314)),ISNUMBER(SEARCH("Pending",D314))),"CCB/PENDING",IF(OR(ISNUMBER(SEARCH("Expired",D314)),ISNUMBER(SEARCH("Closed",D314))),"CLOSED/EXPIRED",IF(E314="","NO RELEASE DATE","REVIEW APPROVAL"))))</f>
        <v/>
      </c>
      <c r="N314" s="34">
        <f>IF(K314&lt;&gt;"","HIGH: SOURCE CONFLICT",IF(AND(L314="END DATE NOT PASSED",M314="REVIEW APPROVAL"),"HIGH: VERIFY",IF(L314="END DATE NOT PASSED","MEDIUM: CHECK STATUS","LOW: HISTORICAL")))</f>
        <v/>
      </c>
      <c r="O314" s="33" t="inlineStr">
        <is>
          <t>Validar documento firmado, revision/WO/sitio, material afectado y evidencia antes de activar alerta automatica.</t>
        </is>
      </c>
    </row>
    <row r="315">
      <c r="A315" s="43" t="inlineStr">
        <is>
          <t>CTANJZ05243</t>
        </is>
      </c>
      <c r="B315" s="43" t="inlineStr">
        <is>
          <t>D611346</t>
        </is>
      </c>
      <c r="C315" s="43" t="inlineStr">
        <is>
          <t>STBU</t>
        </is>
      </c>
      <c r="D315" s="43" t="inlineStr">
        <is>
          <t>Expired</t>
        </is>
      </c>
      <c r="E315" s="32" t="n">
        <v>46176</v>
      </c>
      <c r="F315" s="32" t="n">
        <v>46246</v>
      </c>
      <c r="G315" s="43" t="n">
        <v>4</v>
      </c>
      <c r="H315" s="43" t="n">
        <v>4</v>
      </c>
      <c r="I315" s="33" t="inlineStr"/>
      <c r="J315" s="33" t="inlineStr"/>
      <c r="K315" s="33" t="inlineStr"/>
      <c r="L315" s="34">
        <f>IF(F315="","REVIEW: DATE CONFLICT/EMPTY",IF(F315&lt;'Change Overview'!$B$5,"END DATE PASSED","END DATE NOT PASSED"))</f>
        <v/>
      </c>
      <c r="M315" s="34">
        <f>IF(K315&lt;&gt;"","REVIEW SOURCE CONFLICT",IF(OR(ISNUMBER(SEARCH("CCB",D315)),ISNUMBER(SEARCH("Pending",D315))),"CCB/PENDING",IF(OR(ISNUMBER(SEARCH("Expired",D315)),ISNUMBER(SEARCH("Closed",D315))),"CLOSED/EXPIRED",IF(E315="","NO RELEASE DATE","REVIEW APPROVAL"))))</f>
        <v/>
      </c>
      <c r="N315" s="34">
        <f>IF(K315&lt;&gt;"","HIGH: SOURCE CONFLICT",IF(AND(L315="END DATE NOT PASSED",M315="REVIEW APPROVAL"),"HIGH: VERIFY",IF(L315="END DATE NOT PASSED","MEDIUM: CHECK STATUS","LOW: HISTORICAL")))</f>
        <v/>
      </c>
      <c r="O315" s="33" t="inlineStr">
        <is>
          <t>Validar documento firmado, revision/WO/sitio, material afectado y evidencia antes de activar alerta automatica.</t>
        </is>
      </c>
    </row>
    <row r="316">
      <c r="A316" s="43" t="inlineStr">
        <is>
          <t>CTANJZ05245</t>
        </is>
      </c>
      <c r="B316" s="43" t="inlineStr">
        <is>
          <t>D611365</t>
        </is>
      </c>
      <c r="C316" s="43" t="inlineStr">
        <is>
          <t>CVEBU</t>
        </is>
      </c>
      <c r="D316" s="43" t="inlineStr">
        <is>
          <t>Expired</t>
        </is>
      </c>
      <c r="E316" s="32" t="n">
        <v>46171</v>
      </c>
      <c r="F316" s="32" t="n">
        <v>46247</v>
      </c>
      <c r="G316" s="43" t="n">
        <v>6</v>
      </c>
      <c r="H316" s="43" t="n">
        <v>6</v>
      </c>
      <c r="I316" s="33" t="inlineStr"/>
      <c r="J316" s="33" t="inlineStr"/>
      <c r="K316" s="33" t="inlineStr"/>
      <c r="L316" s="34">
        <f>IF(F316="","REVIEW: DATE CONFLICT/EMPTY",IF(F316&lt;'Change Overview'!$B$5,"END DATE PASSED","END DATE NOT PASSED"))</f>
        <v/>
      </c>
      <c r="M316" s="34">
        <f>IF(K316&lt;&gt;"","REVIEW SOURCE CONFLICT",IF(OR(ISNUMBER(SEARCH("CCB",D316)),ISNUMBER(SEARCH("Pending",D316))),"CCB/PENDING",IF(OR(ISNUMBER(SEARCH("Expired",D316)),ISNUMBER(SEARCH("Closed",D316))),"CLOSED/EXPIRED",IF(E316="","NO RELEASE DATE","REVIEW APPROVAL"))))</f>
        <v/>
      </c>
      <c r="N316" s="34">
        <f>IF(K316&lt;&gt;"","HIGH: SOURCE CONFLICT",IF(AND(L316="END DATE NOT PASSED",M316="REVIEW APPROVAL"),"HIGH: VERIFY",IF(L316="END DATE NOT PASSED","MEDIUM: CHECK STATUS","LOW: HISTORICAL")))</f>
        <v/>
      </c>
      <c r="O316" s="33" t="inlineStr">
        <is>
          <t>Validar documento firmado, revision/WO/sitio, material afectado y evidencia antes de activar alerta automatica.</t>
        </is>
      </c>
    </row>
    <row r="317">
      <c r="A317" s="43" t="inlineStr">
        <is>
          <t>CTANJZ05247</t>
        </is>
      </c>
      <c r="B317" s="43" t="inlineStr">
        <is>
          <t>D611179</t>
        </is>
      </c>
      <c r="C317" s="43" t="inlineStr">
        <is>
          <t>STBU</t>
        </is>
      </c>
      <c r="D317" s="43" t="inlineStr">
        <is>
          <t>Expired</t>
        </is>
      </c>
      <c r="E317" s="32" t="n">
        <v>46177</v>
      </c>
      <c r="F317" s="32" t="n">
        <v>46250</v>
      </c>
      <c r="G317" s="43" t="n">
        <v>2</v>
      </c>
      <c r="H317" s="43" t="n">
        <v>2</v>
      </c>
      <c r="I317" s="33" t="inlineStr"/>
      <c r="J317" s="33" t="inlineStr"/>
      <c r="K317" s="33" t="inlineStr"/>
      <c r="L317" s="34">
        <f>IF(F317="","REVIEW: DATE CONFLICT/EMPTY",IF(F317&lt;'Change Overview'!$B$5,"END DATE PASSED","END DATE NOT PASSED"))</f>
        <v/>
      </c>
      <c r="M317" s="34">
        <f>IF(K317&lt;&gt;"","REVIEW SOURCE CONFLICT",IF(OR(ISNUMBER(SEARCH("CCB",D317)),ISNUMBER(SEARCH("Pending",D317))),"CCB/PENDING",IF(OR(ISNUMBER(SEARCH("Expired",D317)),ISNUMBER(SEARCH("Closed",D317))),"CLOSED/EXPIRED",IF(E317="","NO RELEASE DATE","REVIEW APPROVAL"))))</f>
        <v/>
      </c>
      <c r="N317" s="34">
        <f>IF(K317&lt;&gt;"","HIGH: SOURCE CONFLICT",IF(AND(L317="END DATE NOT PASSED",M317="REVIEW APPROVAL"),"HIGH: VERIFY",IF(L317="END DATE NOT PASSED","MEDIUM: CHECK STATUS","LOW: HISTORICAL")))</f>
        <v/>
      </c>
      <c r="O317" s="33" t="inlineStr">
        <is>
          <t>Validar documento firmado, revision/WO/sitio, material afectado y evidencia antes de activar alerta automatica.</t>
        </is>
      </c>
    </row>
    <row r="318">
      <c r="A318" s="43" t="inlineStr">
        <is>
          <t>CTANJZ05250</t>
        </is>
      </c>
      <c r="B318" s="43" t="inlineStr">
        <is>
          <t>D611256</t>
        </is>
      </c>
      <c r="C318" s="43" t="inlineStr">
        <is>
          <t>STBU</t>
        </is>
      </c>
      <c r="D318" s="43" t="inlineStr">
        <is>
          <t>Expired</t>
        </is>
      </c>
      <c r="E318" s="32" t="n">
        <v>46183</v>
      </c>
      <c r="F318" s="32" t="n">
        <v>46250</v>
      </c>
      <c r="G318" s="43" t="n">
        <v>14</v>
      </c>
      <c r="H318" s="43" t="n">
        <v>14</v>
      </c>
      <c r="I318" s="33" t="inlineStr">
        <is>
          <t>73-101944-03, 73-101945-03, 73-102418-04, 73-102419-03, 73-102888-01, 73-20247-06, 73-20249-06</t>
        </is>
      </c>
      <c r="J318" s="33" t="inlineStr">
        <is>
          <t>TUFNELL PARK</t>
        </is>
      </c>
      <c r="K318" s="33" t="inlineStr"/>
      <c r="L318" s="34">
        <f>IF(F318="","REVIEW: DATE CONFLICT/EMPTY",IF(F318&lt;'Change Overview'!$B$5,"END DATE PASSED","END DATE NOT PASSED"))</f>
        <v/>
      </c>
      <c r="M318" s="34">
        <f>IF(K318&lt;&gt;"","REVIEW SOURCE CONFLICT",IF(OR(ISNUMBER(SEARCH("CCB",D318)),ISNUMBER(SEARCH("Pending",D318))),"CCB/PENDING",IF(OR(ISNUMBER(SEARCH("Expired",D318)),ISNUMBER(SEARCH("Closed",D318))),"CLOSED/EXPIRED",IF(E318="","NO RELEASE DATE","REVIEW APPROVAL"))))</f>
        <v/>
      </c>
      <c r="N318" s="34">
        <f>IF(K318&lt;&gt;"","HIGH: SOURCE CONFLICT",IF(AND(L318="END DATE NOT PASSED",M318="REVIEW APPROVAL"),"HIGH: VERIFY",IF(L318="END DATE NOT PASSED","MEDIUM: CHECK STATUS","LOW: HISTORICAL")))</f>
        <v/>
      </c>
      <c r="O318" s="33" t="inlineStr">
        <is>
          <t>Validar documento firmado, revision/WO/sitio, material afectado y evidencia antes de activar alerta automatica.</t>
        </is>
      </c>
    </row>
    <row r="319">
      <c r="A319" s="43" t="inlineStr">
        <is>
          <t>CTANJZ05251</t>
        </is>
      </c>
      <c r="B319" s="43" t="inlineStr">
        <is>
          <t>D610647</t>
        </is>
      </c>
      <c r="C319" s="43" t="inlineStr">
        <is>
          <t>STBU</t>
        </is>
      </c>
      <c r="D319" s="43" t="inlineStr">
        <is>
          <t>Expired</t>
        </is>
      </c>
      <c r="E319" s="32" t="n">
        <v>46175</v>
      </c>
      <c r="F319" s="32" t="n">
        <v>46251</v>
      </c>
      <c r="G319" s="43" t="n">
        <v>6</v>
      </c>
      <c r="H319" s="43" t="n">
        <v>6</v>
      </c>
      <c r="I319" s="33" t="inlineStr"/>
      <c r="J319" s="33" t="inlineStr"/>
      <c r="K319" s="33" t="inlineStr">
        <is>
          <t>Descrition of Change</t>
        </is>
      </c>
      <c r="L319" s="34">
        <f>IF(F319="","REVIEW: DATE CONFLICT/EMPTY",IF(F319&lt;'Change Overview'!$B$5,"END DATE PASSED","END DATE NOT PASSED"))</f>
        <v/>
      </c>
      <c r="M319" s="34">
        <f>IF(K319&lt;&gt;"","REVIEW SOURCE CONFLICT",IF(OR(ISNUMBER(SEARCH("CCB",D319)),ISNUMBER(SEARCH("Pending",D319))),"CCB/PENDING",IF(OR(ISNUMBER(SEARCH("Expired",D319)),ISNUMBER(SEARCH("Closed",D319))),"CLOSED/EXPIRED",IF(E319="","NO RELEASE DATE","REVIEW APPROVAL"))))</f>
        <v/>
      </c>
      <c r="N319" s="34">
        <f>IF(K319&lt;&gt;"","HIGH: SOURCE CONFLICT",IF(AND(L319="END DATE NOT PASSED",M319="REVIEW APPROVAL"),"HIGH: VERIFY",IF(L319="END DATE NOT PASSED","MEDIUM: CHECK STATUS","LOW: HISTORICAL")))</f>
        <v/>
      </c>
      <c r="O319" s="33" t="inlineStr">
        <is>
          <t>Validar documento firmado, revision/WO/sitio, material afectado y evidencia antes de activar alerta automatica.</t>
        </is>
      </c>
    </row>
    <row r="320">
      <c r="A320" s="43" t="inlineStr">
        <is>
          <t>CTANJZ05252</t>
        </is>
      </c>
      <c r="B320" s="43" t="inlineStr">
        <is>
          <t>D611133</t>
        </is>
      </c>
      <c r="C320" s="43" t="inlineStr">
        <is>
          <t>STBU</t>
        </is>
      </c>
      <c r="D320" s="43" t="inlineStr">
        <is>
          <t>Expired</t>
        </is>
      </c>
      <c r="E320" s="32" t="n">
        <v>46183</v>
      </c>
      <c r="F320" s="32" t="n">
        <v>46251</v>
      </c>
      <c r="G320" s="43" t="n">
        <v>15</v>
      </c>
      <c r="H320" s="43" t="n">
        <v>15</v>
      </c>
      <c r="I320" s="33" t="inlineStr">
        <is>
          <t>73-16681-10, 73-17497-04, 73-17498-04, 73-17499-07, 73-17530-02, 73-17757-01, 73-18488-06, 73-18488-07, 73-18489-06, 73-18489-07, 73-18490-08, 73-18490-09, 73-18626-04, 73-21007-01, 73-21007-02</t>
        </is>
      </c>
      <c r="J320" s="33" t="inlineStr"/>
      <c r="K320" s="33" t="inlineStr"/>
      <c r="L320" s="34">
        <f>IF(F320="","REVIEW: DATE CONFLICT/EMPTY",IF(F320&lt;'Change Overview'!$B$5,"END DATE PASSED","END DATE NOT PASSED"))</f>
        <v/>
      </c>
      <c r="M320" s="34">
        <f>IF(K320&lt;&gt;"","REVIEW SOURCE CONFLICT",IF(OR(ISNUMBER(SEARCH("CCB",D320)),ISNUMBER(SEARCH("Pending",D320))),"CCB/PENDING",IF(OR(ISNUMBER(SEARCH("Expired",D320)),ISNUMBER(SEARCH("Closed",D320))),"CLOSED/EXPIRED",IF(E320="","NO RELEASE DATE","REVIEW APPROVAL"))))</f>
        <v/>
      </c>
      <c r="N320" s="34">
        <f>IF(K320&lt;&gt;"","HIGH: SOURCE CONFLICT",IF(AND(L320="END DATE NOT PASSED",M320="REVIEW APPROVAL"),"HIGH: VERIFY",IF(L320="END DATE NOT PASSED","MEDIUM: CHECK STATUS","LOW: HISTORICAL")))</f>
        <v/>
      </c>
      <c r="O320" s="33" t="inlineStr">
        <is>
          <t>Validar documento firmado, revision/WO/sitio, material afectado y evidencia antes de activar alerta automatica.</t>
        </is>
      </c>
    </row>
    <row r="321">
      <c r="A321" s="43" t="inlineStr">
        <is>
          <t>CTANJZ05254</t>
        </is>
      </c>
      <c r="B321" s="43" t="inlineStr">
        <is>
          <t>D611204</t>
        </is>
      </c>
      <c r="C321" s="43" t="inlineStr">
        <is>
          <t>STBU</t>
        </is>
      </c>
      <c r="D321" s="43" t="inlineStr">
        <is>
          <t>Expired</t>
        </is>
      </c>
      <c r="E321" s="32" t="n">
        <v>46183</v>
      </c>
      <c r="F321" s="32" t="n">
        <v>46252</v>
      </c>
      <c r="G321" s="43" t="n">
        <v>10</v>
      </c>
      <c r="H321" s="43" t="n">
        <v>10</v>
      </c>
      <c r="I321" s="33" t="inlineStr">
        <is>
          <t>73-103558-04, 73-103559-04, 73-103563-02, 73-103622-02, 73-103633-04</t>
        </is>
      </c>
      <c r="J321" s="33" t="inlineStr"/>
      <c r="K321" s="33" t="inlineStr"/>
      <c r="L321" s="34">
        <f>IF(F321="","REVIEW: DATE CONFLICT/EMPTY",IF(F321&lt;'Change Overview'!$B$5,"END DATE PASSED","END DATE NOT PASSED"))</f>
        <v/>
      </c>
      <c r="M321" s="34">
        <f>IF(K321&lt;&gt;"","REVIEW SOURCE CONFLICT",IF(OR(ISNUMBER(SEARCH("CCB",D321)),ISNUMBER(SEARCH("Pending",D321))),"CCB/PENDING",IF(OR(ISNUMBER(SEARCH("Expired",D321)),ISNUMBER(SEARCH("Closed",D321))),"CLOSED/EXPIRED",IF(E321="","NO RELEASE DATE","REVIEW APPROVAL"))))</f>
        <v/>
      </c>
      <c r="N321" s="34">
        <f>IF(K321&lt;&gt;"","HIGH: SOURCE CONFLICT",IF(AND(L321="END DATE NOT PASSED",M321="REVIEW APPROVAL"),"HIGH: VERIFY",IF(L321="END DATE NOT PASSED","MEDIUM: CHECK STATUS","LOW: HISTORICAL")))</f>
        <v/>
      </c>
      <c r="O321" s="33" t="inlineStr">
        <is>
          <t>Validar documento firmado, revision/WO/sitio, material afectado y evidencia antes de activar alerta automatica.</t>
        </is>
      </c>
    </row>
    <row r="322">
      <c r="A322" s="43" t="inlineStr">
        <is>
          <t>CTANJZ05255</t>
        </is>
      </c>
      <c r="B322" s="43" t="inlineStr">
        <is>
          <t>D611205</t>
        </is>
      </c>
      <c r="C322" s="43" t="inlineStr">
        <is>
          <t>STBU</t>
        </is>
      </c>
      <c r="D322" s="43" t="inlineStr">
        <is>
          <t>Expired</t>
        </is>
      </c>
      <c r="E322" s="32" t="n">
        <v>46183</v>
      </c>
      <c r="F322" s="32" t="n">
        <v>46251</v>
      </c>
      <c r="G322" s="43" t="n">
        <v>12</v>
      </c>
      <c r="H322" s="43" t="n">
        <v>12</v>
      </c>
      <c r="I322" s="33" t="inlineStr">
        <is>
          <t>73-101944-03, 73-101945-03, 73-102433-06, 73-102434-06, 73-102435-06, 73-103122-01, 73-103125-02</t>
        </is>
      </c>
      <c r="J322" s="33" t="inlineStr"/>
      <c r="K322" s="33" t="inlineStr"/>
      <c r="L322" s="34">
        <f>IF(F322="","REVIEW: DATE CONFLICT/EMPTY",IF(F322&lt;'Change Overview'!$B$5,"END DATE PASSED","END DATE NOT PASSED"))</f>
        <v/>
      </c>
      <c r="M322" s="34">
        <f>IF(K322&lt;&gt;"","REVIEW SOURCE CONFLICT",IF(OR(ISNUMBER(SEARCH("CCB",D322)),ISNUMBER(SEARCH("Pending",D322))),"CCB/PENDING",IF(OR(ISNUMBER(SEARCH("Expired",D322)),ISNUMBER(SEARCH("Closed",D322))),"CLOSED/EXPIRED",IF(E322="","NO RELEASE DATE","REVIEW APPROVAL"))))</f>
        <v/>
      </c>
      <c r="N322" s="34">
        <f>IF(K322&lt;&gt;"","HIGH: SOURCE CONFLICT",IF(AND(L322="END DATE NOT PASSED",M322="REVIEW APPROVAL"),"HIGH: VERIFY",IF(L322="END DATE NOT PASSED","MEDIUM: CHECK STATUS","LOW: HISTORICAL")))</f>
        <v/>
      </c>
      <c r="O322" s="33" t="inlineStr">
        <is>
          <t>Validar documento firmado, revision/WO/sitio, material afectado y evidencia antes de activar alerta automatica.</t>
        </is>
      </c>
    </row>
    <row r="323">
      <c r="A323" s="43" t="inlineStr">
        <is>
          <t>CTANJZ05256</t>
        </is>
      </c>
      <c r="B323" s="43" t="inlineStr">
        <is>
          <t>D611345</t>
        </is>
      </c>
      <c r="C323" s="43" t="inlineStr">
        <is>
          <t>STBU</t>
        </is>
      </c>
      <c r="D323" s="43" t="inlineStr">
        <is>
          <t>Expired</t>
        </is>
      </c>
      <c r="E323" s="32" t="n">
        <v>46183</v>
      </c>
      <c r="F323" s="32" t="n">
        <v>46251</v>
      </c>
      <c r="G323" s="43" t="n">
        <v>1</v>
      </c>
      <c r="H323" s="43" t="n">
        <v>1</v>
      </c>
      <c r="I323" s="33" t="inlineStr"/>
      <c r="J323" s="33" t="inlineStr"/>
      <c r="K323" s="33" t="inlineStr"/>
      <c r="L323" s="34">
        <f>IF(F323="","REVIEW: DATE CONFLICT/EMPTY",IF(F323&lt;'Change Overview'!$B$5,"END DATE PASSED","END DATE NOT PASSED"))</f>
        <v/>
      </c>
      <c r="M323" s="34">
        <f>IF(K323&lt;&gt;"","REVIEW SOURCE CONFLICT",IF(OR(ISNUMBER(SEARCH("CCB",D323)),ISNUMBER(SEARCH("Pending",D323))),"CCB/PENDING",IF(OR(ISNUMBER(SEARCH("Expired",D323)),ISNUMBER(SEARCH("Closed",D323))),"CLOSED/EXPIRED",IF(E323="","NO RELEASE DATE","REVIEW APPROVAL"))))</f>
        <v/>
      </c>
      <c r="N323" s="34">
        <f>IF(K323&lt;&gt;"","HIGH: SOURCE CONFLICT",IF(AND(L323="END DATE NOT PASSED",M323="REVIEW APPROVAL"),"HIGH: VERIFY",IF(L323="END DATE NOT PASSED","MEDIUM: CHECK STATUS","LOW: HISTORICAL")))</f>
        <v/>
      </c>
      <c r="O323" s="33" t="inlineStr">
        <is>
          <t>Validar documento firmado, revision/WO/sitio, material afectado y evidencia antes de activar alerta automatica.</t>
        </is>
      </c>
    </row>
    <row r="324">
      <c r="A324" s="43" t="inlineStr">
        <is>
          <t>CTANJZ05258</t>
        </is>
      </c>
      <c r="B324" s="43" t="inlineStr">
        <is>
          <t>D611479</t>
        </is>
      </c>
      <c r="C324" s="43" t="inlineStr">
        <is>
          <t>CVEBU</t>
        </is>
      </c>
      <c r="D324" s="43" t="inlineStr">
        <is>
          <t>Extended</t>
        </is>
      </c>
      <c r="E324" s="32" t="n">
        <v>46174</v>
      </c>
      <c r="F324" s="32" t="n">
        <v>46341</v>
      </c>
      <c r="G324" s="43" t="n">
        <v>5</v>
      </c>
      <c r="H324" s="43" t="n">
        <v>5</v>
      </c>
      <c r="I324" s="33" t="inlineStr">
        <is>
          <t>73-103698-06, 73-103758-04</t>
        </is>
      </c>
      <c r="J324" s="33" t="inlineStr"/>
      <c r="K324" s="33" t="inlineStr"/>
      <c r="L324" s="34">
        <f>IF(F324="","REVIEW: DATE CONFLICT/EMPTY",IF(F324&lt;'Change Overview'!$B$5,"END DATE PASSED","END DATE NOT PASSED"))</f>
        <v/>
      </c>
      <c r="M324" s="34">
        <f>IF(K324&lt;&gt;"","REVIEW SOURCE CONFLICT",IF(OR(ISNUMBER(SEARCH("CCB",D324)),ISNUMBER(SEARCH("Pending",D324))),"CCB/PENDING",IF(OR(ISNUMBER(SEARCH("Expired",D324)),ISNUMBER(SEARCH("Closed",D324))),"CLOSED/EXPIRED",IF(E324="","NO RELEASE DATE","REVIEW APPROVAL"))))</f>
        <v/>
      </c>
      <c r="N324" s="34">
        <f>IF(K324&lt;&gt;"","HIGH: SOURCE CONFLICT",IF(AND(L324="END DATE NOT PASSED",M324="REVIEW APPROVAL"),"HIGH: VERIFY",IF(L324="END DATE NOT PASSED","MEDIUM: CHECK STATUS","LOW: HISTORICAL")))</f>
        <v/>
      </c>
      <c r="O324" s="33" t="inlineStr">
        <is>
          <t>Validar documento firmado, revision/WO/sitio, material afectado y evidencia antes de activar alerta automatica.</t>
        </is>
      </c>
    </row>
    <row r="325">
      <c r="A325" s="43" t="inlineStr">
        <is>
          <t>CTANJZ05259</t>
        </is>
      </c>
      <c r="B325" s="43" t="inlineStr">
        <is>
          <t>D611312</t>
        </is>
      </c>
      <c r="C325" s="43" t="inlineStr">
        <is>
          <t>STBU</t>
        </is>
      </c>
      <c r="D325" s="43" t="inlineStr">
        <is>
          <t>Expired</t>
        </is>
      </c>
      <c r="E325" s="32" t="n">
        <v>46183</v>
      </c>
      <c r="F325" s="32" t="n">
        <v>46252</v>
      </c>
      <c r="G325" s="43" t="n">
        <v>11</v>
      </c>
      <c r="H325" s="43" t="n">
        <v>11</v>
      </c>
      <c r="I325" s="33" t="inlineStr">
        <is>
          <t>73-16681-10, 73-16682-05, 73-16685-04, 73-16828-04, 73-17923-02, 73-18632-03</t>
        </is>
      </c>
      <c r="J325" s="33" t="inlineStr"/>
      <c r="K325" s="33" t="inlineStr"/>
      <c r="L325" s="34">
        <f>IF(F325="","REVIEW: DATE CONFLICT/EMPTY",IF(F325&lt;'Change Overview'!$B$5,"END DATE PASSED","END DATE NOT PASSED"))</f>
        <v/>
      </c>
      <c r="M325" s="34">
        <f>IF(K325&lt;&gt;"","REVIEW SOURCE CONFLICT",IF(OR(ISNUMBER(SEARCH("CCB",D325)),ISNUMBER(SEARCH("Pending",D325))),"CCB/PENDING",IF(OR(ISNUMBER(SEARCH("Expired",D325)),ISNUMBER(SEARCH("Closed",D325))),"CLOSED/EXPIRED",IF(E325="","NO RELEASE DATE","REVIEW APPROVAL"))))</f>
        <v/>
      </c>
      <c r="N325" s="34">
        <f>IF(K325&lt;&gt;"","HIGH: SOURCE CONFLICT",IF(AND(L325="END DATE NOT PASSED",M325="REVIEW APPROVAL"),"HIGH: VERIFY",IF(L325="END DATE NOT PASSED","MEDIUM: CHECK STATUS","LOW: HISTORICAL")))</f>
        <v/>
      </c>
      <c r="O325" s="33" t="inlineStr">
        <is>
          <t>Validar documento firmado, revision/WO/sitio, material afectado y evidencia antes de activar alerta automatica.</t>
        </is>
      </c>
    </row>
    <row r="326">
      <c r="A326" s="43" t="inlineStr">
        <is>
          <t>CTANJZ05260</t>
        </is>
      </c>
      <c r="B326" s="43" t="inlineStr">
        <is>
          <t>D611478</t>
        </is>
      </c>
      <c r="C326" s="43" t="inlineStr">
        <is>
          <t>CVEBU</t>
        </is>
      </c>
      <c r="D326" s="43" t="inlineStr">
        <is>
          <t>Expired</t>
        </is>
      </c>
      <c r="E326" s="32" t="n">
        <v>46174</v>
      </c>
      <c r="F326" s="32" t="n">
        <v>46252</v>
      </c>
      <c r="G326" s="43" t="n">
        <v>4</v>
      </c>
      <c r="H326" s="43" t="n">
        <v>4</v>
      </c>
      <c r="I326" s="33" t="inlineStr"/>
      <c r="J326" s="33" t="inlineStr"/>
      <c r="K326" s="33" t="inlineStr"/>
      <c r="L326" s="34">
        <f>IF(F326="","REVIEW: DATE CONFLICT/EMPTY",IF(F326&lt;'Change Overview'!$B$5,"END DATE PASSED","END DATE NOT PASSED"))</f>
        <v/>
      </c>
      <c r="M326" s="34">
        <f>IF(K326&lt;&gt;"","REVIEW SOURCE CONFLICT",IF(OR(ISNUMBER(SEARCH("CCB",D326)),ISNUMBER(SEARCH("Pending",D326))),"CCB/PENDING",IF(OR(ISNUMBER(SEARCH("Expired",D326)),ISNUMBER(SEARCH("Closed",D326))),"CLOSED/EXPIRED",IF(E326="","NO RELEASE DATE","REVIEW APPROVAL"))))</f>
        <v/>
      </c>
      <c r="N326" s="34">
        <f>IF(K326&lt;&gt;"","HIGH: SOURCE CONFLICT",IF(AND(L326="END DATE NOT PASSED",M326="REVIEW APPROVAL"),"HIGH: VERIFY",IF(L326="END DATE NOT PASSED","MEDIUM: CHECK STATUS","LOW: HISTORICAL")))</f>
        <v/>
      </c>
      <c r="O326" s="33" t="inlineStr">
        <is>
          <t>Validar documento firmado, revision/WO/sitio, material afectado y evidencia antes de activar alerta automatica.</t>
        </is>
      </c>
    </row>
    <row r="327">
      <c r="A327" s="43" t="inlineStr">
        <is>
          <t>CTANJZ05263</t>
        </is>
      </c>
      <c r="B327" s="43" t="inlineStr">
        <is>
          <t>D611492</t>
        </is>
      </c>
      <c r="C327" s="43" t="inlineStr">
        <is>
          <t>CVEBU</t>
        </is>
      </c>
      <c r="D327" s="43" t="inlineStr">
        <is>
          <t>Expired</t>
        </is>
      </c>
      <c r="E327" s="32" t="n">
        <v>46174</v>
      </c>
      <c r="F327" s="32" t="n">
        <v>46253</v>
      </c>
      <c r="G327" s="43" t="n">
        <v>2</v>
      </c>
      <c r="H327" s="43" t="n">
        <v>2</v>
      </c>
      <c r="I327" s="33" t="inlineStr">
        <is>
          <t>73-103922-04</t>
        </is>
      </c>
      <c r="J327" s="33" t="inlineStr"/>
      <c r="K327" s="33" t="inlineStr"/>
      <c r="L327" s="34">
        <f>IF(F327="","REVIEW: DATE CONFLICT/EMPTY",IF(F327&lt;'Change Overview'!$B$5,"END DATE PASSED","END DATE NOT PASSED"))</f>
        <v/>
      </c>
      <c r="M327" s="34">
        <f>IF(K327&lt;&gt;"","REVIEW SOURCE CONFLICT",IF(OR(ISNUMBER(SEARCH("CCB",D327)),ISNUMBER(SEARCH("Pending",D327))),"CCB/PENDING",IF(OR(ISNUMBER(SEARCH("Expired",D327)),ISNUMBER(SEARCH("Closed",D327))),"CLOSED/EXPIRED",IF(E327="","NO RELEASE DATE","REVIEW APPROVAL"))))</f>
        <v/>
      </c>
      <c r="N327" s="34">
        <f>IF(K327&lt;&gt;"","HIGH: SOURCE CONFLICT",IF(AND(L327="END DATE NOT PASSED",M327="REVIEW APPROVAL"),"HIGH: VERIFY",IF(L327="END DATE NOT PASSED","MEDIUM: CHECK STATUS","LOW: HISTORICAL")))</f>
        <v/>
      </c>
      <c r="O327" s="33" t="inlineStr">
        <is>
          <t>Validar documento firmado, revision/WO/sitio, material afectado y evidencia antes de activar alerta automatica.</t>
        </is>
      </c>
    </row>
    <row r="328">
      <c r="A328" s="43" t="inlineStr">
        <is>
          <t>CTANJZ05265</t>
        </is>
      </c>
      <c r="B328" s="43" t="inlineStr">
        <is>
          <t>D611483</t>
        </is>
      </c>
      <c r="C328" s="43" t="inlineStr">
        <is>
          <t>STBU</t>
        </is>
      </c>
      <c r="D328" s="43" t="inlineStr">
        <is>
          <t>Expired</t>
        </is>
      </c>
      <c r="E328" s="32" t="n">
        <v>46197</v>
      </c>
      <c r="F328" s="32" t="n">
        <v>46256</v>
      </c>
      <c r="G328" s="43" t="n">
        <v>1</v>
      </c>
      <c r="H328" s="43" t="n">
        <v>1</v>
      </c>
      <c r="I328" s="33" t="inlineStr"/>
      <c r="J328" s="33" t="inlineStr"/>
      <c r="K328" s="33" t="inlineStr"/>
      <c r="L328" s="34">
        <f>IF(F328="","REVIEW: DATE CONFLICT/EMPTY",IF(F328&lt;'Change Overview'!$B$5,"END DATE PASSED","END DATE NOT PASSED"))</f>
        <v/>
      </c>
      <c r="M328" s="34">
        <f>IF(K328&lt;&gt;"","REVIEW SOURCE CONFLICT",IF(OR(ISNUMBER(SEARCH("CCB",D328)),ISNUMBER(SEARCH("Pending",D328))),"CCB/PENDING",IF(OR(ISNUMBER(SEARCH("Expired",D328)),ISNUMBER(SEARCH("Closed",D328))),"CLOSED/EXPIRED",IF(E328="","NO RELEASE DATE","REVIEW APPROVAL"))))</f>
        <v/>
      </c>
      <c r="N328" s="34">
        <f>IF(K328&lt;&gt;"","HIGH: SOURCE CONFLICT",IF(AND(L328="END DATE NOT PASSED",M328="REVIEW APPROVAL"),"HIGH: VERIFY",IF(L328="END DATE NOT PASSED","MEDIUM: CHECK STATUS","LOW: HISTORICAL")))</f>
        <v/>
      </c>
      <c r="O328" s="33" t="inlineStr">
        <is>
          <t>Validar documento firmado, revision/WO/sitio, material afectado y evidencia antes de activar alerta automatica.</t>
        </is>
      </c>
    </row>
    <row r="329">
      <c r="A329" s="43" t="inlineStr">
        <is>
          <t>CTANJZ05266</t>
        </is>
      </c>
      <c r="B329" s="43" t="inlineStr">
        <is>
          <t>D611591</t>
        </is>
      </c>
      <c r="C329" s="43" t="inlineStr">
        <is>
          <t>STBU</t>
        </is>
      </c>
      <c r="D329" s="43" t="inlineStr">
        <is>
          <t>Expired</t>
        </is>
      </c>
      <c r="E329" s="32" t="n">
        <v>46205</v>
      </c>
      <c r="F329" s="32" t="n">
        <v>46258</v>
      </c>
      <c r="G329" s="43" t="n">
        <v>4</v>
      </c>
      <c r="H329" s="43" t="n">
        <v>4</v>
      </c>
      <c r="I329" s="33" t="inlineStr">
        <is>
          <t>73-20247-06, 73-20249-06</t>
        </is>
      </c>
      <c r="J329" s="33" t="inlineStr">
        <is>
          <t>TUFNELL PARK</t>
        </is>
      </c>
      <c r="K329" s="33" t="inlineStr"/>
      <c r="L329" s="34">
        <f>IF(F329="","REVIEW: DATE CONFLICT/EMPTY",IF(F329&lt;'Change Overview'!$B$5,"END DATE PASSED","END DATE NOT PASSED"))</f>
        <v/>
      </c>
      <c r="M329" s="34">
        <f>IF(K329&lt;&gt;"","REVIEW SOURCE CONFLICT",IF(OR(ISNUMBER(SEARCH("CCB",D329)),ISNUMBER(SEARCH("Pending",D329))),"CCB/PENDING",IF(OR(ISNUMBER(SEARCH("Expired",D329)),ISNUMBER(SEARCH("Closed",D329))),"CLOSED/EXPIRED",IF(E329="","NO RELEASE DATE","REVIEW APPROVAL"))))</f>
        <v/>
      </c>
      <c r="N329" s="34">
        <f>IF(K329&lt;&gt;"","HIGH: SOURCE CONFLICT",IF(AND(L329="END DATE NOT PASSED",M329="REVIEW APPROVAL"),"HIGH: VERIFY",IF(L329="END DATE NOT PASSED","MEDIUM: CHECK STATUS","LOW: HISTORICAL")))</f>
        <v/>
      </c>
      <c r="O329" s="33" t="inlineStr">
        <is>
          <t>Validar documento firmado, revision/WO/sitio, material afectado y evidencia antes de activar alerta automatica.</t>
        </is>
      </c>
    </row>
    <row r="330">
      <c r="A330" s="43" t="inlineStr">
        <is>
          <t>CTANJZ05267</t>
        </is>
      </c>
      <c r="B330" s="43" t="inlineStr">
        <is>
          <t>D611503</t>
        </is>
      </c>
      <c r="C330" s="43" t="inlineStr">
        <is>
          <t>STBU</t>
        </is>
      </c>
      <c r="D330" s="43" t="inlineStr">
        <is>
          <t>Expired</t>
        </is>
      </c>
      <c r="E330" s="32" t="n">
        <v>46200</v>
      </c>
      <c r="F330" s="32" t="n">
        <v>46258</v>
      </c>
      <c r="G330" s="43" t="n">
        <v>3</v>
      </c>
      <c r="H330" s="43" t="n">
        <v>3</v>
      </c>
      <c r="I330" s="33" t="inlineStr"/>
      <c r="J330" s="33" t="inlineStr"/>
      <c r="K330" s="33" t="inlineStr"/>
      <c r="L330" s="34">
        <f>IF(F330="","REVIEW: DATE CONFLICT/EMPTY",IF(F330&lt;'Change Overview'!$B$5,"END DATE PASSED","END DATE NOT PASSED"))</f>
        <v/>
      </c>
      <c r="M330" s="34">
        <f>IF(K330&lt;&gt;"","REVIEW SOURCE CONFLICT",IF(OR(ISNUMBER(SEARCH("CCB",D330)),ISNUMBER(SEARCH("Pending",D330))),"CCB/PENDING",IF(OR(ISNUMBER(SEARCH("Expired",D330)),ISNUMBER(SEARCH("Closed",D330))),"CLOSED/EXPIRED",IF(E330="","NO RELEASE DATE","REVIEW APPROVAL"))))</f>
        <v/>
      </c>
      <c r="N330" s="34">
        <f>IF(K330&lt;&gt;"","HIGH: SOURCE CONFLICT",IF(AND(L330="END DATE NOT PASSED",M330="REVIEW APPROVAL"),"HIGH: VERIFY",IF(L330="END DATE NOT PASSED","MEDIUM: CHECK STATUS","LOW: HISTORICAL")))</f>
        <v/>
      </c>
      <c r="O330" s="33" t="inlineStr">
        <is>
          <t>Validar documento firmado, revision/WO/sitio, material afectado y evidencia antes de activar alerta automatica.</t>
        </is>
      </c>
    </row>
    <row r="331">
      <c r="A331" s="43" t="inlineStr">
        <is>
          <t>CTANJZ05270</t>
        </is>
      </c>
      <c r="B331" s="43" t="inlineStr">
        <is>
          <t>D611661</t>
        </is>
      </c>
      <c r="C331" s="43" t="inlineStr">
        <is>
          <t>STBU</t>
        </is>
      </c>
      <c r="D331" s="43" t="inlineStr">
        <is>
          <t>Expired</t>
        </is>
      </c>
      <c r="E331" s="32" t="n">
        <v>46200</v>
      </c>
      <c r="F331" s="32" t="n">
        <v>46260</v>
      </c>
      <c r="G331" s="43" t="n">
        <v>3</v>
      </c>
      <c r="H331" s="43" t="n">
        <v>3</v>
      </c>
      <c r="I331" s="33" t="inlineStr"/>
      <c r="J331" s="33" t="inlineStr"/>
      <c r="K331" s="33" t="inlineStr"/>
      <c r="L331" s="34">
        <f>IF(F331="","REVIEW: DATE CONFLICT/EMPTY",IF(F331&lt;'Change Overview'!$B$5,"END DATE PASSED","END DATE NOT PASSED"))</f>
        <v/>
      </c>
      <c r="M331" s="34">
        <f>IF(K331&lt;&gt;"","REVIEW SOURCE CONFLICT",IF(OR(ISNUMBER(SEARCH("CCB",D331)),ISNUMBER(SEARCH("Pending",D331))),"CCB/PENDING",IF(OR(ISNUMBER(SEARCH("Expired",D331)),ISNUMBER(SEARCH("Closed",D331))),"CLOSED/EXPIRED",IF(E331="","NO RELEASE DATE","REVIEW APPROVAL"))))</f>
        <v/>
      </c>
      <c r="N331" s="34">
        <f>IF(K331&lt;&gt;"","HIGH: SOURCE CONFLICT",IF(AND(L331="END DATE NOT PASSED",M331="REVIEW APPROVAL"),"HIGH: VERIFY",IF(L331="END DATE NOT PASSED","MEDIUM: CHECK STATUS","LOW: HISTORICAL")))</f>
        <v/>
      </c>
      <c r="O331" s="33" t="inlineStr">
        <is>
          <t>Validar documento firmado, revision/WO/sitio, material afectado y evidencia antes de activar alerta automatica.</t>
        </is>
      </c>
    </row>
    <row r="332">
      <c r="A332" s="43" t="inlineStr">
        <is>
          <t>CTANJZ05272</t>
        </is>
      </c>
      <c r="B332" s="43" t="inlineStr">
        <is>
          <t>D611391</t>
        </is>
      </c>
      <c r="C332" s="43" t="inlineStr">
        <is>
          <t>SRGBU</t>
        </is>
      </c>
      <c r="D332" s="43" t="inlineStr">
        <is>
          <t>Expired</t>
        </is>
      </c>
      <c r="E332" s="32" t="n">
        <v>46186</v>
      </c>
      <c r="F332" s="32" t="n">
        <v>46261</v>
      </c>
      <c r="G332" s="43" t="n">
        <v>2</v>
      </c>
      <c r="H332" s="43" t="n">
        <v>2</v>
      </c>
      <c r="I332" s="33" t="inlineStr"/>
      <c r="J332" s="33" t="inlineStr"/>
      <c r="K332" s="33" t="inlineStr"/>
      <c r="L332" s="34">
        <f>IF(F332="","REVIEW: DATE CONFLICT/EMPTY",IF(F332&lt;'Change Overview'!$B$5,"END DATE PASSED","END DATE NOT PASSED"))</f>
        <v/>
      </c>
      <c r="M332" s="34">
        <f>IF(K332&lt;&gt;"","REVIEW SOURCE CONFLICT",IF(OR(ISNUMBER(SEARCH("CCB",D332)),ISNUMBER(SEARCH("Pending",D332))),"CCB/PENDING",IF(OR(ISNUMBER(SEARCH("Expired",D332)),ISNUMBER(SEARCH("Closed",D332))),"CLOSED/EXPIRED",IF(E332="","NO RELEASE DATE","REVIEW APPROVAL"))))</f>
        <v/>
      </c>
      <c r="N332" s="34">
        <f>IF(K332&lt;&gt;"","HIGH: SOURCE CONFLICT",IF(AND(L332="END DATE NOT PASSED",M332="REVIEW APPROVAL"),"HIGH: VERIFY",IF(L332="END DATE NOT PASSED","MEDIUM: CHECK STATUS","LOW: HISTORICAL")))</f>
        <v/>
      </c>
      <c r="O332" s="33" t="inlineStr">
        <is>
          <t>Validar documento firmado, revision/WO/sitio, material afectado y evidencia antes de activar alerta automatica.</t>
        </is>
      </c>
    </row>
    <row r="333">
      <c r="A333" s="43" t="inlineStr">
        <is>
          <t>CTANJZ05273</t>
        </is>
      </c>
      <c r="B333" s="43" t="inlineStr">
        <is>
          <t>D611453</t>
        </is>
      </c>
      <c r="C333" s="43" t="inlineStr">
        <is>
          <t>CRBU</t>
        </is>
      </c>
      <c r="D333" s="43" t="inlineStr">
        <is>
          <t>Expired</t>
        </is>
      </c>
      <c r="E333" s="32" t="n">
        <v>46205</v>
      </c>
      <c r="F333" s="32" t="n">
        <v>46263</v>
      </c>
      <c r="G333" s="43" t="n">
        <v>6</v>
      </c>
      <c r="H333" s="43" t="n">
        <v>3</v>
      </c>
      <c r="I333" s="33" t="inlineStr">
        <is>
          <t>73-21146-12</t>
        </is>
      </c>
      <c r="J333" s="33" t="inlineStr"/>
      <c r="K333" s="33" t="inlineStr"/>
      <c r="L333" s="34">
        <f>IF(F333="","REVIEW: DATE CONFLICT/EMPTY",IF(F333&lt;'Change Overview'!$B$5,"END DATE PASSED","END DATE NOT PASSED"))</f>
        <v/>
      </c>
      <c r="M333" s="34">
        <f>IF(K333&lt;&gt;"","REVIEW SOURCE CONFLICT",IF(OR(ISNUMBER(SEARCH("CCB",D333)),ISNUMBER(SEARCH("Pending",D333))),"CCB/PENDING",IF(OR(ISNUMBER(SEARCH("Expired",D333)),ISNUMBER(SEARCH("Closed",D333))),"CLOSED/EXPIRED",IF(E333="","NO RELEASE DATE","REVIEW APPROVAL"))))</f>
        <v/>
      </c>
      <c r="N333" s="34">
        <f>IF(K333&lt;&gt;"","HIGH: SOURCE CONFLICT",IF(AND(L333="END DATE NOT PASSED",M333="REVIEW APPROVAL"),"HIGH: VERIFY",IF(L333="END DATE NOT PASSED","MEDIUM: CHECK STATUS","LOW: HISTORICAL")))</f>
        <v/>
      </c>
      <c r="O333" s="33" t="inlineStr">
        <is>
          <t>Validar documento firmado, revision/WO/sitio, material afectado y evidencia antes de activar alerta automatica.</t>
        </is>
      </c>
    </row>
    <row r="334">
      <c r="A334" s="43" t="inlineStr">
        <is>
          <t>CTANJZ05274</t>
        </is>
      </c>
      <c r="B334" s="43" t="inlineStr">
        <is>
          <t>D610621</t>
        </is>
      </c>
      <c r="C334" s="43" t="inlineStr">
        <is>
          <t>STBU</t>
        </is>
      </c>
      <c r="D334" s="43" t="inlineStr">
        <is>
          <t>Expired</t>
        </is>
      </c>
      <c r="E334" s="32" t="n">
        <v>46189</v>
      </c>
      <c r="F334" s="32" t="n">
        <v>46264</v>
      </c>
      <c r="G334" s="43" t="n">
        <v>1</v>
      </c>
      <c r="H334" s="43" t="n">
        <v>1</v>
      </c>
      <c r="I334" s="33" t="inlineStr"/>
      <c r="J334" s="33" t="inlineStr"/>
      <c r="K334" s="33" t="inlineStr"/>
      <c r="L334" s="34">
        <f>IF(F334="","REVIEW: DATE CONFLICT/EMPTY",IF(F334&lt;'Change Overview'!$B$5,"END DATE PASSED","END DATE NOT PASSED"))</f>
        <v/>
      </c>
      <c r="M334" s="34">
        <f>IF(K334&lt;&gt;"","REVIEW SOURCE CONFLICT",IF(OR(ISNUMBER(SEARCH("CCB",D334)),ISNUMBER(SEARCH("Pending",D334))),"CCB/PENDING",IF(OR(ISNUMBER(SEARCH("Expired",D334)),ISNUMBER(SEARCH("Closed",D334))),"CLOSED/EXPIRED",IF(E334="","NO RELEASE DATE","REVIEW APPROVAL"))))</f>
        <v/>
      </c>
      <c r="N334" s="34">
        <f>IF(K334&lt;&gt;"","HIGH: SOURCE CONFLICT",IF(AND(L334="END DATE NOT PASSED",M334="REVIEW APPROVAL"),"HIGH: VERIFY",IF(L334="END DATE NOT PASSED","MEDIUM: CHECK STATUS","LOW: HISTORICAL")))</f>
        <v/>
      </c>
      <c r="O334" s="33" t="inlineStr">
        <is>
          <t>Validar documento firmado, revision/WO/sitio, material afectado y evidencia antes de activar alerta automatica.</t>
        </is>
      </c>
    </row>
    <row r="335">
      <c r="A335" s="43" t="inlineStr">
        <is>
          <t>CTANJZ05276</t>
        </is>
      </c>
      <c r="B335" s="43" t="inlineStr">
        <is>
          <t>D610509</t>
        </is>
      </c>
      <c r="C335" s="43" t="inlineStr">
        <is>
          <t>STBU</t>
        </is>
      </c>
      <c r="D335" s="43" t="inlineStr">
        <is>
          <t>Expired</t>
        </is>
      </c>
      <c r="E335" s="32" t="n">
        <v>46189</v>
      </c>
      <c r="F335" s="32" t="n">
        <v>46264</v>
      </c>
      <c r="G335" s="43" t="n">
        <v>1</v>
      </c>
      <c r="H335" s="43" t="n">
        <v>1</v>
      </c>
      <c r="I335" s="33" t="inlineStr"/>
      <c r="J335" s="33" t="inlineStr"/>
      <c r="K335" s="33" t="inlineStr"/>
      <c r="L335" s="34">
        <f>IF(F335="","REVIEW: DATE CONFLICT/EMPTY",IF(F335&lt;'Change Overview'!$B$5,"END DATE PASSED","END DATE NOT PASSED"))</f>
        <v/>
      </c>
      <c r="M335" s="34">
        <f>IF(K335&lt;&gt;"","REVIEW SOURCE CONFLICT",IF(OR(ISNUMBER(SEARCH("CCB",D335)),ISNUMBER(SEARCH("Pending",D335))),"CCB/PENDING",IF(OR(ISNUMBER(SEARCH("Expired",D335)),ISNUMBER(SEARCH("Closed",D335))),"CLOSED/EXPIRED",IF(E335="","NO RELEASE DATE","REVIEW APPROVAL"))))</f>
        <v/>
      </c>
      <c r="N335" s="34">
        <f>IF(K335&lt;&gt;"","HIGH: SOURCE CONFLICT",IF(AND(L335="END DATE NOT PASSED",M335="REVIEW APPROVAL"),"HIGH: VERIFY",IF(L335="END DATE NOT PASSED","MEDIUM: CHECK STATUS","LOW: HISTORICAL")))</f>
        <v/>
      </c>
      <c r="O335" s="33" t="inlineStr">
        <is>
          <t>Validar documento firmado, revision/WO/sitio, material afectado y evidencia antes de activar alerta automatica.</t>
        </is>
      </c>
    </row>
    <row r="336">
      <c r="A336" s="43" t="inlineStr">
        <is>
          <t>CTANJZ05277</t>
        </is>
      </c>
      <c r="B336" s="43" t="inlineStr">
        <is>
          <t>D611714</t>
        </is>
      </c>
      <c r="C336" s="43" t="inlineStr">
        <is>
          <t>STBU</t>
        </is>
      </c>
      <c r="D336" s="43" t="inlineStr">
        <is>
          <t>Expired</t>
        </is>
      </c>
      <c r="E336" s="32" t="n">
        <v>46200</v>
      </c>
      <c r="F336" s="32" t="n">
        <v>46264</v>
      </c>
      <c r="G336" s="43" t="n">
        <v>1</v>
      </c>
      <c r="H336" s="43" t="n">
        <v>1</v>
      </c>
      <c r="I336" s="33" t="inlineStr"/>
      <c r="J336" s="33" t="inlineStr"/>
      <c r="K336" s="33" t="inlineStr"/>
      <c r="L336" s="34">
        <f>IF(F336="","REVIEW: DATE CONFLICT/EMPTY",IF(F336&lt;'Change Overview'!$B$5,"END DATE PASSED","END DATE NOT PASSED"))</f>
        <v/>
      </c>
      <c r="M336" s="34">
        <f>IF(K336&lt;&gt;"","REVIEW SOURCE CONFLICT",IF(OR(ISNUMBER(SEARCH("CCB",D336)),ISNUMBER(SEARCH("Pending",D336))),"CCB/PENDING",IF(OR(ISNUMBER(SEARCH("Expired",D336)),ISNUMBER(SEARCH("Closed",D336))),"CLOSED/EXPIRED",IF(E336="","NO RELEASE DATE","REVIEW APPROVAL"))))</f>
        <v/>
      </c>
      <c r="N336" s="34">
        <f>IF(K336&lt;&gt;"","HIGH: SOURCE CONFLICT",IF(AND(L336="END DATE NOT PASSED",M336="REVIEW APPROVAL"),"HIGH: VERIFY",IF(L336="END DATE NOT PASSED","MEDIUM: CHECK STATUS","LOW: HISTORICAL")))</f>
        <v/>
      </c>
      <c r="O336" s="33" t="inlineStr">
        <is>
          <t>Validar documento firmado, revision/WO/sitio, material afectado y evidencia antes de activar alerta automatica.</t>
        </is>
      </c>
    </row>
    <row r="337">
      <c r="A337" s="43" t="inlineStr">
        <is>
          <t>CTANJZ05279</t>
        </is>
      </c>
      <c r="B337" s="43" t="inlineStr">
        <is>
          <t>D611450</t>
        </is>
      </c>
      <c r="C337" s="43" t="inlineStr">
        <is>
          <t>CRBU</t>
        </is>
      </c>
      <c r="D337" s="43" t="inlineStr">
        <is>
          <t>Expired</t>
        </is>
      </c>
      <c r="E337" s="32" t="n">
        <v>46193</v>
      </c>
      <c r="F337" s="32" t="n">
        <v>46263</v>
      </c>
      <c r="G337" s="43" t="n">
        <v>4</v>
      </c>
      <c r="H337" s="43" t="n">
        <v>2</v>
      </c>
      <c r="I337" s="33" t="inlineStr">
        <is>
          <t>73-21146-12</t>
        </is>
      </c>
      <c r="J337" s="33" t="inlineStr"/>
      <c r="K337" s="33" t="inlineStr"/>
      <c r="L337" s="34">
        <f>IF(F337="","REVIEW: DATE CONFLICT/EMPTY",IF(F337&lt;'Change Overview'!$B$5,"END DATE PASSED","END DATE NOT PASSED"))</f>
        <v/>
      </c>
      <c r="M337" s="34">
        <f>IF(K337&lt;&gt;"","REVIEW SOURCE CONFLICT",IF(OR(ISNUMBER(SEARCH("CCB",D337)),ISNUMBER(SEARCH("Pending",D337))),"CCB/PENDING",IF(OR(ISNUMBER(SEARCH("Expired",D337)),ISNUMBER(SEARCH("Closed",D337))),"CLOSED/EXPIRED",IF(E337="","NO RELEASE DATE","REVIEW APPROVAL"))))</f>
        <v/>
      </c>
      <c r="N337" s="34">
        <f>IF(K337&lt;&gt;"","HIGH: SOURCE CONFLICT",IF(AND(L337="END DATE NOT PASSED",M337="REVIEW APPROVAL"),"HIGH: VERIFY",IF(L337="END DATE NOT PASSED","MEDIUM: CHECK STATUS","LOW: HISTORICAL")))</f>
        <v/>
      </c>
      <c r="O337" s="33" t="inlineStr">
        <is>
          <t>Validar documento firmado, revision/WO/sitio, material afectado y evidencia antes de activar alerta automatica.</t>
        </is>
      </c>
    </row>
    <row r="338">
      <c r="A338" s="43" t="inlineStr">
        <is>
          <t>CTANJZ05281</t>
        </is>
      </c>
      <c r="B338" s="43" t="inlineStr">
        <is>
          <t>D611764</t>
        </is>
      </c>
      <c r="C338" s="43" t="inlineStr">
        <is>
          <t>IOTBU</t>
        </is>
      </c>
      <c r="D338" s="43" t="inlineStr">
        <is>
          <t>Expired</t>
        </is>
      </c>
      <c r="E338" s="32" t="n">
        <v>46189</v>
      </c>
      <c r="F338" s="32" t="n">
        <v>46265</v>
      </c>
      <c r="G338" s="43" t="n">
        <v>12</v>
      </c>
      <c r="H338" s="43" t="n">
        <v>12</v>
      </c>
      <c r="I338" s="33" t="inlineStr">
        <is>
          <t>73-101439-04, 73-102239-04, 73-103098-03</t>
        </is>
      </c>
      <c r="J338" s="33" t="inlineStr"/>
      <c r="K338" s="33" t="inlineStr"/>
      <c r="L338" s="34">
        <f>IF(F338="","REVIEW: DATE CONFLICT/EMPTY",IF(F338&lt;'Change Overview'!$B$5,"END DATE PASSED","END DATE NOT PASSED"))</f>
        <v/>
      </c>
      <c r="M338" s="34">
        <f>IF(K338&lt;&gt;"","REVIEW SOURCE CONFLICT",IF(OR(ISNUMBER(SEARCH("CCB",D338)),ISNUMBER(SEARCH("Pending",D338))),"CCB/PENDING",IF(OR(ISNUMBER(SEARCH("Expired",D338)),ISNUMBER(SEARCH("Closed",D338))),"CLOSED/EXPIRED",IF(E338="","NO RELEASE DATE","REVIEW APPROVAL"))))</f>
        <v/>
      </c>
      <c r="N338" s="34">
        <f>IF(K338&lt;&gt;"","HIGH: SOURCE CONFLICT",IF(AND(L338="END DATE NOT PASSED",M338="REVIEW APPROVAL"),"HIGH: VERIFY",IF(L338="END DATE NOT PASSED","MEDIUM: CHECK STATUS","LOW: HISTORICAL")))</f>
        <v/>
      </c>
      <c r="O338" s="33" t="inlineStr">
        <is>
          <t>Validar documento firmado, revision/WO/sitio, material afectado y evidencia antes de activar alerta automatica.</t>
        </is>
      </c>
    </row>
    <row r="339">
      <c r="A339" s="43" t="inlineStr">
        <is>
          <t>CTANJZ05283</t>
        </is>
      </c>
      <c r="B339" s="43" t="inlineStr">
        <is>
          <t>D611711</t>
        </is>
      </c>
      <c r="C339" s="43" t="inlineStr">
        <is>
          <t>STBU</t>
        </is>
      </c>
      <c r="D339" s="43" t="inlineStr">
        <is>
          <t>Expired</t>
        </is>
      </c>
      <c r="E339" s="32" t="n">
        <v>46200</v>
      </c>
      <c r="F339" s="32" t="n">
        <v>46268</v>
      </c>
      <c r="G339" s="43" t="n">
        <v>4</v>
      </c>
      <c r="H339" s="43" t="n">
        <v>4</v>
      </c>
      <c r="I339" s="33" t="inlineStr"/>
      <c r="J339" s="33" t="inlineStr"/>
      <c r="K339" s="33" t="inlineStr"/>
      <c r="L339" s="34">
        <f>IF(F339="","REVIEW: DATE CONFLICT/EMPTY",IF(F339&lt;'Change Overview'!$B$5,"END DATE PASSED","END DATE NOT PASSED"))</f>
        <v/>
      </c>
      <c r="M339" s="34">
        <f>IF(K339&lt;&gt;"","REVIEW SOURCE CONFLICT",IF(OR(ISNUMBER(SEARCH("CCB",D339)),ISNUMBER(SEARCH("Pending",D339))),"CCB/PENDING",IF(OR(ISNUMBER(SEARCH("Expired",D339)),ISNUMBER(SEARCH("Closed",D339))),"CLOSED/EXPIRED",IF(E339="","NO RELEASE DATE","REVIEW APPROVAL"))))</f>
        <v/>
      </c>
      <c r="N339" s="34">
        <f>IF(K339&lt;&gt;"","HIGH: SOURCE CONFLICT",IF(AND(L339="END DATE NOT PASSED",M339="REVIEW APPROVAL"),"HIGH: VERIFY",IF(L339="END DATE NOT PASSED","MEDIUM: CHECK STATUS","LOW: HISTORICAL")))</f>
        <v/>
      </c>
      <c r="O339" s="33" t="inlineStr">
        <is>
          <t>Validar documento firmado, revision/WO/sitio, material afectado y evidencia antes de activar alerta automatica.</t>
        </is>
      </c>
    </row>
    <row r="340">
      <c r="A340" s="43" t="inlineStr">
        <is>
          <t>CTANJZ05284</t>
        </is>
      </c>
      <c r="B340" s="43" t="inlineStr">
        <is>
          <t>D611785</t>
        </is>
      </c>
      <c r="C340" s="43" t="inlineStr">
        <is>
          <t>CRBU</t>
        </is>
      </c>
      <c r="D340" s="43" t="inlineStr">
        <is>
          <t>Extended</t>
        </is>
      </c>
      <c r="E340" s="32" t="n">
        <v>46205</v>
      </c>
      <c r="F340" s="32" t="n">
        <v>46360</v>
      </c>
      <c r="G340" s="43" t="n">
        <v>4</v>
      </c>
      <c r="H340" s="43" t="n">
        <v>2</v>
      </c>
      <c r="I340" s="33" t="inlineStr">
        <is>
          <t>73-21146-12</t>
        </is>
      </c>
      <c r="J340" s="33" t="inlineStr"/>
      <c r="K340" s="33" t="inlineStr"/>
      <c r="L340" s="34">
        <f>IF(F340="","REVIEW: DATE CONFLICT/EMPTY",IF(F340&lt;'Change Overview'!$B$5,"END DATE PASSED","END DATE NOT PASSED"))</f>
        <v/>
      </c>
      <c r="M340" s="34">
        <f>IF(K340&lt;&gt;"","REVIEW SOURCE CONFLICT",IF(OR(ISNUMBER(SEARCH("CCB",D340)),ISNUMBER(SEARCH("Pending",D340))),"CCB/PENDING",IF(OR(ISNUMBER(SEARCH("Expired",D340)),ISNUMBER(SEARCH("Closed",D340))),"CLOSED/EXPIRED",IF(E340="","NO RELEASE DATE","REVIEW APPROVAL"))))</f>
        <v/>
      </c>
      <c r="N340" s="34">
        <f>IF(K340&lt;&gt;"","HIGH: SOURCE CONFLICT",IF(AND(L340="END DATE NOT PASSED",M340="REVIEW APPROVAL"),"HIGH: VERIFY",IF(L340="END DATE NOT PASSED","MEDIUM: CHECK STATUS","LOW: HISTORICAL")))</f>
        <v/>
      </c>
      <c r="O340" s="33" t="inlineStr">
        <is>
          <t>Validar documento firmado, revision/WO/sitio, material afectado y evidencia antes de activar alerta automatica.</t>
        </is>
      </c>
    </row>
    <row r="341">
      <c r="A341" s="43" t="inlineStr">
        <is>
          <t>CTANJZ05285</t>
        </is>
      </c>
      <c r="B341" s="43" t="inlineStr">
        <is>
          <t>D611828</t>
        </is>
      </c>
      <c r="C341" s="43" t="inlineStr">
        <is>
          <t>CRBU</t>
        </is>
      </c>
      <c r="D341" s="43" t="inlineStr">
        <is>
          <t>Expired</t>
        </is>
      </c>
      <c r="E341" s="32" t="n">
        <v>46205</v>
      </c>
      <c r="F341" s="32" t="n">
        <v>46270</v>
      </c>
      <c r="G341" s="43" t="n">
        <v>9</v>
      </c>
      <c r="H341" s="43" t="n">
        <v>9</v>
      </c>
      <c r="I341" s="33" t="inlineStr">
        <is>
          <t>73-19875-07, 73-19875-08, 73-20176-08, 73-20176-09, 73-20513-09</t>
        </is>
      </c>
      <c r="J341" s="33" t="inlineStr"/>
      <c r="K341" s="33" t="inlineStr"/>
      <c r="L341" s="34">
        <f>IF(F341="","REVIEW: DATE CONFLICT/EMPTY",IF(F341&lt;'Change Overview'!$B$5,"END DATE PASSED","END DATE NOT PASSED"))</f>
        <v/>
      </c>
      <c r="M341" s="34">
        <f>IF(K341&lt;&gt;"","REVIEW SOURCE CONFLICT",IF(OR(ISNUMBER(SEARCH("CCB",D341)),ISNUMBER(SEARCH("Pending",D341))),"CCB/PENDING",IF(OR(ISNUMBER(SEARCH("Expired",D341)),ISNUMBER(SEARCH("Closed",D341))),"CLOSED/EXPIRED",IF(E341="","NO RELEASE DATE","REVIEW APPROVAL"))))</f>
        <v/>
      </c>
      <c r="N341" s="34">
        <f>IF(K341&lt;&gt;"","HIGH: SOURCE CONFLICT",IF(AND(L341="END DATE NOT PASSED",M341="REVIEW APPROVAL"),"HIGH: VERIFY",IF(L341="END DATE NOT PASSED","MEDIUM: CHECK STATUS","LOW: HISTORICAL")))</f>
        <v/>
      </c>
      <c r="O341" s="33" t="inlineStr">
        <is>
          <t>Validar documento firmado, revision/WO/sitio, material afectado y evidencia antes de activar alerta automatica.</t>
        </is>
      </c>
    </row>
    <row r="342">
      <c r="A342" s="43" t="inlineStr">
        <is>
          <t>CTANJZ05286</t>
        </is>
      </c>
      <c r="B342" s="43" t="inlineStr">
        <is>
          <t>D611905</t>
        </is>
      </c>
      <c r="C342" s="43" t="inlineStr">
        <is>
          <t>STBU</t>
        </is>
      </c>
      <c r="D342" s="43" t="inlineStr">
        <is>
          <t>Expired</t>
        </is>
      </c>
      <c r="E342" s="32" t="n">
        <v>46210</v>
      </c>
      <c r="F342" s="32" t="n">
        <v>46272</v>
      </c>
      <c r="G342" s="43" t="n">
        <v>12</v>
      </c>
      <c r="H342" s="43" t="n">
        <v>12</v>
      </c>
      <c r="I342" s="33" t="inlineStr"/>
      <c r="J342" s="33" t="inlineStr"/>
      <c r="K342" s="33" t="inlineStr"/>
      <c r="L342" s="34">
        <f>IF(F342="","REVIEW: DATE CONFLICT/EMPTY",IF(F342&lt;'Change Overview'!$B$5,"END DATE PASSED","END DATE NOT PASSED"))</f>
        <v/>
      </c>
      <c r="M342" s="34">
        <f>IF(K342&lt;&gt;"","REVIEW SOURCE CONFLICT",IF(OR(ISNUMBER(SEARCH("CCB",D342)),ISNUMBER(SEARCH("Pending",D342))),"CCB/PENDING",IF(OR(ISNUMBER(SEARCH("Expired",D342)),ISNUMBER(SEARCH("Closed",D342))),"CLOSED/EXPIRED",IF(E342="","NO RELEASE DATE","REVIEW APPROVAL"))))</f>
        <v/>
      </c>
      <c r="N342" s="34">
        <f>IF(K342&lt;&gt;"","HIGH: SOURCE CONFLICT",IF(AND(L342="END DATE NOT PASSED",M342="REVIEW APPROVAL"),"HIGH: VERIFY",IF(L342="END DATE NOT PASSED","MEDIUM: CHECK STATUS","LOW: HISTORICAL")))</f>
        <v/>
      </c>
      <c r="O342" s="33" t="inlineStr">
        <is>
          <t>Validar documento firmado, revision/WO/sitio, material afectado y evidencia antes de activar alerta automatica.</t>
        </is>
      </c>
    </row>
    <row r="343">
      <c r="A343" s="43" t="inlineStr">
        <is>
          <t>CTANJZ05289</t>
        </is>
      </c>
      <c r="B343" s="43" t="inlineStr">
        <is>
          <t>DP526170</t>
        </is>
      </c>
      <c r="C343" s="43" t="inlineStr">
        <is>
          <t>CVEBU</t>
        </is>
      </c>
      <c r="D343" s="43" t="inlineStr">
        <is>
          <t>Expired</t>
        </is>
      </c>
      <c r="E343" s="32" t="n">
        <v>46210</v>
      </c>
      <c r="F343" s="32" t="n">
        <v>46223</v>
      </c>
      <c r="G343" s="43" t="n">
        <v>2</v>
      </c>
      <c r="H343" s="43" t="n">
        <v>2</v>
      </c>
      <c r="I343" s="33" t="inlineStr"/>
      <c r="J343" s="33" t="inlineStr"/>
      <c r="K343" s="33" t="inlineStr"/>
      <c r="L343" s="34">
        <f>IF(F343="","REVIEW: DATE CONFLICT/EMPTY",IF(F343&lt;'Change Overview'!$B$5,"END DATE PASSED","END DATE NOT PASSED"))</f>
        <v/>
      </c>
      <c r="M343" s="34">
        <f>IF(K343&lt;&gt;"","REVIEW SOURCE CONFLICT",IF(OR(ISNUMBER(SEARCH("CCB",D343)),ISNUMBER(SEARCH("Pending",D343))),"CCB/PENDING",IF(OR(ISNUMBER(SEARCH("Expired",D343)),ISNUMBER(SEARCH("Closed",D343))),"CLOSED/EXPIRED",IF(E343="","NO RELEASE DATE","REVIEW APPROVAL"))))</f>
        <v/>
      </c>
      <c r="N343" s="34">
        <f>IF(K343&lt;&gt;"","HIGH: SOURCE CONFLICT",IF(AND(L343="END DATE NOT PASSED",M343="REVIEW APPROVAL"),"HIGH: VERIFY",IF(L343="END DATE NOT PASSED","MEDIUM: CHECK STATUS","LOW: HISTORICAL")))</f>
        <v/>
      </c>
      <c r="O343" s="33" t="inlineStr">
        <is>
          <t>Validar documento firmado, revision/WO/sitio, material afectado y evidencia antes de activar alerta automatica.</t>
        </is>
      </c>
    </row>
    <row r="344">
      <c r="A344" s="43" t="inlineStr">
        <is>
          <t>CTANJZ05290</t>
        </is>
      </c>
      <c r="B344" s="43" t="inlineStr">
        <is>
          <t>D612021</t>
        </is>
      </c>
      <c r="C344" s="43" t="inlineStr">
        <is>
          <t>CVEBU</t>
        </is>
      </c>
      <c r="D344" s="43" t="inlineStr">
        <is>
          <t>Extended</t>
        </is>
      </c>
      <c r="E344" s="32" t="n">
        <v>46193</v>
      </c>
      <c r="F344" s="32" t="n">
        <v>46363</v>
      </c>
      <c r="G344" s="43" t="n">
        <v>4</v>
      </c>
      <c r="H344" s="43" t="n">
        <v>4</v>
      </c>
      <c r="I344" s="33" t="inlineStr"/>
      <c r="J344" s="33" t="inlineStr"/>
      <c r="K344" s="33" t="inlineStr"/>
      <c r="L344" s="34">
        <f>IF(F344="","REVIEW: DATE CONFLICT/EMPTY",IF(F344&lt;'Change Overview'!$B$5,"END DATE PASSED","END DATE NOT PASSED"))</f>
        <v/>
      </c>
      <c r="M344" s="34">
        <f>IF(K344&lt;&gt;"","REVIEW SOURCE CONFLICT",IF(OR(ISNUMBER(SEARCH("CCB",D344)),ISNUMBER(SEARCH("Pending",D344))),"CCB/PENDING",IF(OR(ISNUMBER(SEARCH("Expired",D344)),ISNUMBER(SEARCH("Closed",D344))),"CLOSED/EXPIRED",IF(E344="","NO RELEASE DATE","REVIEW APPROVAL"))))</f>
        <v/>
      </c>
      <c r="N344" s="34">
        <f>IF(K344&lt;&gt;"","HIGH: SOURCE CONFLICT",IF(AND(L344="END DATE NOT PASSED",M344="REVIEW APPROVAL"),"HIGH: VERIFY",IF(L344="END DATE NOT PASSED","MEDIUM: CHECK STATUS","LOW: HISTORICAL")))</f>
        <v/>
      </c>
      <c r="O344" s="33" t="inlineStr">
        <is>
          <t>Validar documento firmado, revision/WO/sitio, material afectado y evidencia antes de activar alerta automatica.</t>
        </is>
      </c>
    </row>
    <row r="345">
      <c r="A345" s="43" t="inlineStr">
        <is>
          <t>CTANJZ05291</t>
        </is>
      </c>
      <c r="B345" s="43" t="inlineStr">
        <is>
          <t>D611588</t>
        </is>
      </c>
      <c r="C345" s="43" t="inlineStr">
        <is>
          <t>CRBU</t>
        </is>
      </c>
      <c r="D345" s="43" t="inlineStr">
        <is>
          <t>Expired</t>
        </is>
      </c>
      <c r="E345" s="32" t="n">
        <v>46205</v>
      </c>
      <c r="F345" s="32" t="n">
        <v>46277</v>
      </c>
      <c r="G345" s="43" t="n">
        <v>3</v>
      </c>
      <c r="H345" s="43" t="n">
        <v>3</v>
      </c>
      <c r="I345" s="33" t="inlineStr">
        <is>
          <t>73-102363-05</t>
        </is>
      </c>
      <c r="J345" s="33" t="inlineStr"/>
      <c r="K345" s="33" t="inlineStr"/>
      <c r="L345" s="34">
        <f>IF(F345="","REVIEW: DATE CONFLICT/EMPTY",IF(F345&lt;'Change Overview'!$B$5,"END DATE PASSED","END DATE NOT PASSED"))</f>
        <v/>
      </c>
      <c r="M345" s="34">
        <f>IF(K345&lt;&gt;"","REVIEW SOURCE CONFLICT",IF(OR(ISNUMBER(SEARCH("CCB",D345)),ISNUMBER(SEARCH("Pending",D345))),"CCB/PENDING",IF(OR(ISNUMBER(SEARCH("Expired",D345)),ISNUMBER(SEARCH("Closed",D345))),"CLOSED/EXPIRED",IF(E345="","NO RELEASE DATE","REVIEW APPROVAL"))))</f>
        <v/>
      </c>
      <c r="N345" s="34">
        <f>IF(K345&lt;&gt;"","HIGH: SOURCE CONFLICT",IF(AND(L345="END DATE NOT PASSED",M345="REVIEW APPROVAL"),"HIGH: VERIFY",IF(L345="END DATE NOT PASSED","MEDIUM: CHECK STATUS","LOW: HISTORICAL")))</f>
        <v/>
      </c>
      <c r="O345" s="33" t="inlineStr">
        <is>
          <t>Validar documento firmado, revision/WO/sitio, material afectado y evidencia antes de activar alerta automatica.</t>
        </is>
      </c>
    </row>
    <row r="346">
      <c r="A346" s="43" t="inlineStr">
        <is>
          <t>CTANJZ05292</t>
        </is>
      </c>
      <c r="B346" s="43" t="inlineStr">
        <is>
          <t>D612032</t>
        </is>
      </c>
      <c r="C346" s="43" t="inlineStr">
        <is>
          <t>CRBU</t>
        </is>
      </c>
      <c r="D346" s="43" t="inlineStr">
        <is>
          <t>Expired / Extended</t>
        </is>
      </c>
      <c r="E346" s="32" t="n">
        <v>46205</v>
      </c>
      <c r="F346" s="32" t="n"/>
      <c r="G346" s="43" t="n">
        <v>7</v>
      </c>
      <c r="H346" s="43" t="n">
        <v>7</v>
      </c>
      <c r="I346" s="33" t="inlineStr">
        <is>
          <t>73-102362-05, 73-102363-05, 73-20922-04</t>
        </is>
      </c>
      <c r="J346" s="33" t="inlineStr"/>
      <c r="K346" s="33" t="inlineStr">
        <is>
          <t>Status, Effective To, Descrition of Change</t>
        </is>
      </c>
      <c r="L346" s="34">
        <f>IF(F346="","REVIEW: DATE CONFLICT/EMPTY",IF(F346&lt;'Change Overview'!$B$5,"END DATE PASSED","END DATE NOT PASSED"))</f>
        <v/>
      </c>
      <c r="M346" s="34">
        <f>IF(K346&lt;&gt;"","REVIEW SOURCE CONFLICT",IF(OR(ISNUMBER(SEARCH("CCB",D346)),ISNUMBER(SEARCH("Pending",D346))),"CCB/PENDING",IF(OR(ISNUMBER(SEARCH("Expired",D346)),ISNUMBER(SEARCH("Closed",D346))),"CLOSED/EXPIRED",IF(E346="","NO RELEASE DATE","REVIEW APPROVAL"))))</f>
        <v/>
      </c>
      <c r="N346" s="34">
        <f>IF(K346&lt;&gt;"","HIGH: SOURCE CONFLICT",IF(AND(L346="END DATE NOT PASSED",M346="REVIEW APPROVAL"),"HIGH: VERIFY",IF(L346="END DATE NOT PASSED","MEDIUM: CHECK STATUS","LOW: HISTORICAL")))</f>
        <v/>
      </c>
      <c r="O346" s="33" t="inlineStr">
        <is>
          <t>Validar documento firmado, revision/WO/sitio, material afectado y evidencia antes de activar alerta automatica.</t>
        </is>
      </c>
    </row>
    <row r="347">
      <c r="A347" s="43" t="inlineStr">
        <is>
          <t>CTANJZ05295</t>
        </is>
      </c>
      <c r="B347" s="43" t="inlineStr">
        <is>
          <t>D611861</t>
        </is>
      </c>
      <c r="C347" s="43" t="inlineStr">
        <is>
          <t>STBU</t>
        </is>
      </c>
      <c r="D347" s="43" t="inlineStr">
        <is>
          <t>Expired</t>
        </is>
      </c>
      <c r="E347" s="32" t="n">
        <v>46210</v>
      </c>
      <c r="F347" s="32" t="n">
        <v>46279</v>
      </c>
      <c r="G347" s="43" t="n">
        <v>1</v>
      </c>
      <c r="H347" s="43" t="n">
        <v>1</v>
      </c>
      <c r="I347" s="33" t="inlineStr"/>
      <c r="J347" s="33" t="inlineStr"/>
      <c r="K347" s="33" t="inlineStr"/>
      <c r="L347" s="34">
        <f>IF(F347="","REVIEW: DATE CONFLICT/EMPTY",IF(F347&lt;'Change Overview'!$B$5,"END DATE PASSED","END DATE NOT PASSED"))</f>
        <v/>
      </c>
      <c r="M347" s="34">
        <f>IF(K347&lt;&gt;"","REVIEW SOURCE CONFLICT",IF(OR(ISNUMBER(SEARCH("CCB",D347)),ISNUMBER(SEARCH("Pending",D347))),"CCB/PENDING",IF(OR(ISNUMBER(SEARCH("Expired",D347)),ISNUMBER(SEARCH("Closed",D347))),"CLOSED/EXPIRED",IF(E347="","NO RELEASE DATE","REVIEW APPROVAL"))))</f>
        <v/>
      </c>
      <c r="N347" s="34">
        <f>IF(K347&lt;&gt;"","HIGH: SOURCE CONFLICT",IF(AND(L347="END DATE NOT PASSED",M347="REVIEW APPROVAL"),"HIGH: VERIFY",IF(L347="END DATE NOT PASSED","MEDIUM: CHECK STATUS","LOW: HISTORICAL")))</f>
        <v/>
      </c>
      <c r="O347" s="33" t="inlineStr">
        <is>
          <t>Validar documento firmado, revision/WO/sitio, material afectado y evidencia antes de activar alerta automatica.</t>
        </is>
      </c>
    </row>
    <row r="348">
      <c r="A348" s="43" t="inlineStr">
        <is>
          <t>CTANJZ05297</t>
        </is>
      </c>
      <c r="B348" s="43" t="inlineStr">
        <is>
          <t>D612129</t>
        </is>
      </c>
      <c r="C348" s="43" t="inlineStr">
        <is>
          <t>CVEBU</t>
        </is>
      </c>
      <c r="D348" s="43" t="inlineStr">
        <is>
          <t>Expired</t>
        </is>
      </c>
      <c r="E348" s="32" t="n">
        <v>46203</v>
      </c>
      <c r="F348" s="32" t="n">
        <v>46279</v>
      </c>
      <c r="G348" s="43" t="n">
        <v>1</v>
      </c>
      <c r="H348" s="43" t="n">
        <v>1</v>
      </c>
      <c r="I348" s="33" t="inlineStr"/>
      <c r="J348" s="33" t="inlineStr"/>
      <c r="K348" s="33" t="inlineStr"/>
      <c r="L348" s="34">
        <f>IF(F348="","REVIEW: DATE CONFLICT/EMPTY",IF(F348&lt;'Change Overview'!$B$5,"END DATE PASSED","END DATE NOT PASSED"))</f>
        <v/>
      </c>
      <c r="M348" s="34">
        <f>IF(K348&lt;&gt;"","REVIEW SOURCE CONFLICT",IF(OR(ISNUMBER(SEARCH("CCB",D348)),ISNUMBER(SEARCH("Pending",D348))),"CCB/PENDING",IF(OR(ISNUMBER(SEARCH("Expired",D348)),ISNUMBER(SEARCH("Closed",D348))),"CLOSED/EXPIRED",IF(E348="","NO RELEASE DATE","REVIEW APPROVAL"))))</f>
        <v/>
      </c>
      <c r="N348" s="34">
        <f>IF(K348&lt;&gt;"","HIGH: SOURCE CONFLICT",IF(AND(L348="END DATE NOT PASSED",M348="REVIEW APPROVAL"),"HIGH: VERIFY",IF(L348="END DATE NOT PASSED","MEDIUM: CHECK STATUS","LOW: HISTORICAL")))</f>
        <v/>
      </c>
      <c r="O348" s="33" t="inlineStr">
        <is>
          <t>Validar documento firmado, revision/WO/sitio, material afectado y evidencia antes de activar alerta automatica.</t>
        </is>
      </c>
    </row>
    <row r="349">
      <c r="A349" s="43" t="inlineStr">
        <is>
          <t>CTANJZ05298</t>
        </is>
      </c>
      <c r="B349" s="43" t="inlineStr">
        <is>
          <t>D612004</t>
        </is>
      </c>
      <c r="C349" s="43" t="inlineStr">
        <is>
          <t>CRBU</t>
        </is>
      </c>
      <c r="D349" s="43" t="inlineStr">
        <is>
          <t>Expired</t>
        </is>
      </c>
      <c r="E349" s="32" t="n">
        <v>46218</v>
      </c>
      <c r="F349" s="32" t="n">
        <v>46280</v>
      </c>
      <c r="G349" s="43" t="n">
        <v>3</v>
      </c>
      <c r="H349" s="43" t="n">
        <v>3</v>
      </c>
      <c r="I349" s="33" t="inlineStr">
        <is>
          <t>73-20516-05</t>
        </is>
      </c>
      <c r="J349" s="33" t="inlineStr"/>
      <c r="K349" s="33" t="inlineStr"/>
      <c r="L349" s="34">
        <f>IF(F349="","REVIEW: DATE CONFLICT/EMPTY",IF(F349&lt;'Change Overview'!$B$5,"END DATE PASSED","END DATE NOT PASSED"))</f>
        <v/>
      </c>
      <c r="M349" s="34">
        <f>IF(K349&lt;&gt;"","REVIEW SOURCE CONFLICT",IF(OR(ISNUMBER(SEARCH("CCB",D349)),ISNUMBER(SEARCH("Pending",D349))),"CCB/PENDING",IF(OR(ISNUMBER(SEARCH("Expired",D349)),ISNUMBER(SEARCH("Closed",D349))),"CLOSED/EXPIRED",IF(E349="","NO RELEASE DATE","REVIEW APPROVAL"))))</f>
        <v/>
      </c>
      <c r="N349" s="34">
        <f>IF(K349&lt;&gt;"","HIGH: SOURCE CONFLICT",IF(AND(L349="END DATE NOT PASSED",M349="REVIEW APPROVAL"),"HIGH: VERIFY",IF(L349="END DATE NOT PASSED","MEDIUM: CHECK STATUS","LOW: HISTORICAL")))</f>
        <v/>
      </c>
      <c r="O349" s="33" t="inlineStr">
        <is>
          <t>Validar documento firmado, revision/WO/sitio, material afectado y evidencia antes de activar alerta automatica.</t>
        </is>
      </c>
    </row>
    <row r="350">
      <c r="A350" s="43" t="inlineStr">
        <is>
          <t>CTANJZ05299</t>
        </is>
      </c>
      <c r="B350" s="43" t="inlineStr">
        <is>
          <t>DP526170</t>
        </is>
      </c>
      <c r="C350" s="43" t="inlineStr">
        <is>
          <t>CVEBU</t>
        </is>
      </c>
      <c r="D350" s="43" t="inlineStr">
        <is>
          <t>Expired</t>
        </is>
      </c>
      <c r="E350" s="32" t="n"/>
      <c r="F350" s="32" t="n">
        <v>46223</v>
      </c>
      <c r="G350" s="43" t="n">
        <v>2</v>
      </c>
      <c r="H350" s="43" t="n">
        <v>2</v>
      </c>
      <c r="I350" s="33" t="inlineStr"/>
      <c r="J350" s="33" t="inlineStr"/>
      <c r="K350" s="33" t="inlineStr"/>
      <c r="L350" s="34">
        <f>IF(F350="","REVIEW: DATE CONFLICT/EMPTY",IF(F350&lt;'Change Overview'!$B$5,"END DATE PASSED","END DATE NOT PASSED"))</f>
        <v/>
      </c>
      <c r="M350" s="34">
        <f>IF(K350&lt;&gt;"","REVIEW SOURCE CONFLICT",IF(OR(ISNUMBER(SEARCH("CCB",D350)),ISNUMBER(SEARCH("Pending",D350))),"CCB/PENDING",IF(OR(ISNUMBER(SEARCH("Expired",D350)),ISNUMBER(SEARCH("Closed",D350))),"CLOSED/EXPIRED",IF(E350="","NO RELEASE DATE","REVIEW APPROVAL"))))</f>
        <v/>
      </c>
      <c r="N350" s="34">
        <f>IF(K350&lt;&gt;"","HIGH: SOURCE CONFLICT",IF(AND(L350="END DATE NOT PASSED",M350="REVIEW APPROVAL"),"HIGH: VERIFY",IF(L350="END DATE NOT PASSED","MEDIUM: CHECK STATUS","LOW: HISTORICAL")))</f>
        <v/>
      </c>
      <c r="O350" s="33" t="inlineStr">
        <is>
          <t>Validar documento firmado, revision/WO/sitio, material afectado y evidencia antes de activar alerta automatica.</t>
        </is>
      </c>
    </row>
    <row r="351">
      <c r="A351" s="43" t="inlineStr">
        <is>
          <t>CTANJZ05301</t>
        </is>
      </c>
      <c r="B351" s="43" t="inlineStr">
        <is>
          <t>D611612</t>
        </is>
      </c>
      <c r="C351" s="43" t="inlineStr">
        <is>
          <t>CRBU</t>
        </is>
      </c>
      <c r="D351" s="43" t="inlineStr">
        <is>
          <t>Expired</t>
        </is>
      </c>
      <c r="E351" s="32" t="n"/>
      <c r="F351" s="32" t="n">
        <v>46281</v>
      </c>
      <c r="G351" s="43" t="n">
        <v>10</v>
      </c>
      <c r="H351" s="43" t="n">
        <v>10</v>
      </c>
      <c r="I351" s="33" t="inlineStr">
        <is>
          <t>73-101492-04, 73-101882-03, 73-101883-03, 73-19985-06, 73-19986-06, 73-20327-06, 73-20664-04, 73-20816-03, 73-21577-01</t>
        </is>
      </c>
      <c r="J351" s="33" t="inlineStr"/>
      <c r="K351" s="33" t="inlineStr"/>
      <c r="L351" s="34">
        <f>IF(F351="","REVIEW: DATE CONFLICT/EMPTY",IF(F351&lt;'Change Overview'!$B$5,"END DATE PASSED","END DATE NOT PASSED"))</f>
        <v/>
      </c>
      <c r="M351" s="34">
        <f>IF(K351&lt;&gt;"","REVIEW SOURCE CONFLICT",IF(OR(ISNUMBER(SEARCH("CCB",D351)),ISNUMBER(SEARCH("Pending",D351))),"CCB/PENDING",IF(OR(ISNUMBER(SEARCH("Expired",D351)),ISNUMBER(SEARCH("Closed",D351))),"CLOSED/EXPIRED",IF(E351="","NO RELEASE DATE","REVIEW APPROVAL"))))</f>
        <v/>
      </c>
      <c r="N351" s="34">
        <f>IF(K351&lt;&gt;"","HIGH: SOURCE CONFLICT",IF(AND(L351="END DATE NOT PASSED",M351="REVIEW APPROVAL"),"HIGH: VERIFY",IF(L351="END DATE NOT PASSED","MEDIUM: CHECK STATUS","LOW: HISTORICAL")))</f>
        <v/>
      </c>
      <c r="O351" s="33" t="inlineStr">
        <is>
          <t>Validar documento firmado, revision/WO/sitio, material afectado y evidencia antes de activar alerta automatica.</t>
        </is>
      </c>
    </row>
    <row r="352">
      <c r="A352" s="43" t="inlineStr">
        <is>
          <t>CTANJZ05302</t>
        </is>
      </c>
      <c r="B352" s="43" t="inlineStr">
        <is>
          <t>D611944</t>
        </is>
      </c>
      <c r="C352" s="43" t="inlineStr">
        <is>
          <t>CVEBU</t>
        </is>
      </c>
      <c r="D352" s="43" t="inlineStr">
        <is>
          <t>Expired</t>
        </is>
      </c>
      <c r="E352" s="32" t="n">
        <v>46203</v>
      </c>
      <c r="F352" s="32" t="n">
        <v>46281</v>
      </c>
      <c r="G352" s="43" t="n">
        <v>17</v>
      </c>
      <c r="H352" s="43" t="n">
        <v>17</v>
      </c>
      <c r="I352" s="33" t="inlineStr">
        <is>
          <t>73-102022-02, 73-102038-03, 73-102121-01, 73-102197-02, 73-102226-06, 73-102797-02, 73-103103-06, 73-103226-06, 73-103450-01, 73-103603-06, 73-103698-06, 73-103826-05, 73-103880-05, 73-103940-06, 73-103951-01, 73-104022-01</t>
        </is>
      </c>
      <c r="J352" s="33" t="inlineStr">
        <is>
          <t>BAYFRONT, BROOKLYN, DAVINCI, MILLENIUM</t>
        </is>
      </c>
      <c r="K352" s="33" t="inlineStr">
        <is>
          <t>Descrition of Change</t>
        </is>
      </c>
      <c r="L352" s="34">
        <f>IF(F352="","REVIEW: DATE CONFLICT/EMPTY",IF(F352&lt;'Change Overview'!$B$5,"END DATE PASSED","END DATE NOT PASSED"))</f>
        <v/>
      </c>
      <c r="M352" s="34">
        <f>IF(K352&lt;&gt;"","REVIEW SOURCE CONFLICT",IF(OR(ISNUMBER(SEARCH("CCB",D352)),ISNUMBER(SEARCH("Pending",D352))),"CCB/PENDING",IF(OR(ISNUMBER(SEARCH("Expired",D352)),ISNUMBER(SEARCH("Closed",D352))),"CLOSED/EXPIRED",IF(E352="","NO RELEASE DATE","REVIEW APPROVAL"))))</f>
        <v/>
      </c>
      <c r="N352" s="34">
        <f>IF(K352&lt;&gt;"","HIGH: SOURCE CONFLICT",IF(AND(L352="END DATE NOT PASSED",M352="REVIEW APPROVAL"),"HIGH: VERIFY",IF(L352="END DATE NOT PASSED","MEDIUM: CHECK STATUS","LOW: HISTORICAL")))</f>
        <v/>
      </c>
      <c r="O352" s="33" t="inlineStr">
        <is>
          <t>Validar documento firmado, revision/WO/sitio, material afectado y evidencia antes de activar alerta automatica.</t>
        </is>
      </c>
    </row>
    <row r="353">
      <c r="A353" s="43" t="inlineStr">
        <is>
          <t>CTANJZ05303</t>
        </is>
      </c>
      <c r="B353" s="43" t="inlineStr">
        <is>
          <t>DP526278</t>
        </is>
      </c>
      <c r="C353" s="43" t="inlineStr">
        <is>
          <t>CVEBU</t>
        </is>
      </c>
      <c r="D353" s="43" t="inlineStr">
        <is>
          <t>Expired</t>
        </is>
      </c>
      <c r="E353" s="32" t="n">
        <v>46205</v>
      </c>
      <c r="F353" s="32" t="n">
        <v>46251</v>
      </c>
      <c r="G353" s="43" t="n">
        <v>2</v>
      </c>
      <c r="H353" s="43" t="n">
        <v>1</v>
      </c>
      <c r="I353" s="33" t="inlineStr"/>
      <c r="J353" s="33" t="inlineStr"/>
      <c r="K353" s="33" t="inlineStr">
        <is>
          <t>Descrition of Change</t>
        </is>
      </c>
      <c r="L353" s="34">
        <f>IF(F353="","REVIEW: DATE CONFLICT/EMPTY",IF(F353&lt;'Change Overview'!$B$5,"END DATE PASSED","END DATE NOT PASSED"))</f>
        <v/>
      </c>
      <c r="M353" s="34">
        <f>IF(K353&lt;&gt;"","REVIEW SOURCE CONFLICT",IF(OR(ISNUMBER(SEARCH("CCB",D353)),ISNUMBER(SEARCH("Pending",D353))),"CCB/PENDING",IF(OR(ISNUMBER(SEARCH("Expired",D353)),ISNUMBER(SEARCH("Closed",D353))),"CLOSED/EXPIRED",IF(E353="","NO RELEASE DATE","REVIEW APPROVAL"))))</f>
        <v/>
      </c>
      <c r="N353" s="34">
        <f>IF(K353&lt;&gt;"","HIGH: SOURCE CONFLICT",IF(AND(L353="END DATE NOT PASSED",M353="REVIEW APPROVAL"),"HIGH: VERIFY",IF(L353="END DATE NOT PASSED","MEDIUM: CHECK STATUS","LOW: HISTORICAL")))</f>
        <v/>
      </c>
      <c r="O353" s="33" t="inlineStr">
        <is>
          <t>Validar documento firmado, revision/WO/sitio, material afectado y evidencia antes de activar alerta automatica.</t>
        </is>
      </c>
    </row>
    <row r="354">
      <c r="A354" s="43" t="inlineStr">
        <is>
          <t>CTANJZ05304</t>
        </is>
      </c>
      <c r="B354" s="43" t="inlineStr">
        <is>
          <t>D611712</t>
        </is>
      </c>
      <c r="C354" s="43" t="inlineStr">
        <is>
          <t>STBU</t>
        </is>
      </c>
      <c r="D354" s="43" t="inlineStr">
        <is>
          <t>Expired</t>
        </is>
      </c>
      <c r="E354" s="32" t="n">
        <v>46211</v>
      </c>
      <c r="F354" s="32" t="n">
        <v>46281</v>
      </c>
      <c r="G354" s="43" t="n">
        <v>4</v>
      </c>
      <c r="H354" s="43" t="n">
        <v>4</v>
      </c>
      <c r="I354" s="33" t="inlineStr">
        <is>
          <t>73-20247-06, 73-20249-06</t>
        </is>
      </c>
      <c r="J354" s="33" t="inlineStr">
        <is>
          <t>TUFNELL PARK</t>
        </is>
      </c>
      <c r="K354" s="33" t="inlineStr"/>
      <c r="L354" s="34">
        <f>IF(F354="","REVIEW: DATE CONFLICT/EMPTY",IF(F354&lt;'Change Overview'!$B$5,"END DATE PASSED","END DATE NOT PASSED"))</f>
        <v/>
      </c>
      <c r="M354" s="34">
        <f>IF(K354&lt;&gt;"","REVIEW SOURCE CONFLICT",IF(OR(ISNUMBER(SEARCH("CCB",D354)),ISNUMBER(SEARCH("Pending",D354))),"CCB/PENDING",IF(OR(ISNUMBER(SEARCH("Expired",D354)),ISNUMBER(SEARCH("Closed",D354))),"CLOSED/EXPIRED",IF(E354="","NO RELEASE DATE","REVIEW APPROVAL"))))</f>
        <v/>
      </c>
      <c r="N354" s="34">
        <f>IF(K354&lt;&gt;"","HIGH: SOURCE CONFLICT",IF(AND(L354="END DATE NOT PASSED",M354="REVIEW APPROVAL"),"HIGH: VERIFY",IF(L354="END DATE NOT PASSED","MEDIUM: CHECK STATUS","LOW: HISTORICAL")))</f>
        <v/>
      </c>
      <c r="O354" s="33" t="inlineStr">
        <is>
          <t>Validar documento firmado, revision/WO/sitio, material afectado y evidencia antes de activar alerta automatica.</t>
        </is>
      </c>
    </row>
    <row r="355">
      <c r="A355" s="43" t="inlineStr">
        <is>
          <t>CTANJZ05305</t>
        </is>
      </c>
      <c r="B355" s="43" t="inlineStr">
        <is>
          <t>D612126</t>
        </is>
      </c>
      <c r="C355" s="43" t="inlineStr">
        <is>
          <t>CVEBU</t>
        </is>
      </c>
      <c r="D355" s="43" t="inlineStr">
        <is>
          <t>Expired</t>
        </is>
      </c>
      <c r="E355" s="32" t="n">
        <v>46205</v>
      </c>
      <c r="F355" s="32" t="n">
        <v>46280</v>
      </c>
      <c r="G355" s="43" t="n">
        <v>1</v>
      </c>
      <c r="H355" s="43" t="n">
        <v>1</v>
      </c>
      <c r="I355" s="33" t="inlineStr"/>
      <c r="J355" s="33" t="inlineStr"/>
      <c r="K355" s="33" t="inlineStr"/>
      <c r="L355" s="34">
        <f>IF(F355="","REVIEW: DATE CONFLICT/EMPTY",IF(F355&lt;'Change Overview'!$B$5,"END DATE PASSED","END DATE NOT PASSED"))</f>
        <v/>
      </c>
      <c r="M355" s="34">
        <f>IF(K355&lt;&gt;"","REVIEW SOURCE CONFLICT",IF(OR(ISNUMBER(SEARCH("CCB",D355)),ISNUMBER(SEARCH("Pending",D355))),"CCB/PENDING",IF(OR(ISNUMBER(SEARCH("Expired",D355)),ISNUMBER(SEARCH("Closed",D355))),"CLOSED/EXPIRED",IF(E355="","NO RELEASE DATE","REVIEW APPROVAL"))))</f>
        <v/>
      </c>
      <c r="N355" s="34">
        <f>IF(K355&lt;&gt;"","HIGH: SOURCE CONFLICT",IF(AND(L355="END DATE NOT PASSED",M355="REVIEW APPROVAL"),"HIGH: VERIFY",IF(L355="END DATE NOT PASSED","MEDIUM: CHECK STATUS","LOW: HISTORICAL")))</f>
        <v/>
      </c>
      <c r="O355" s="33" t="inlineStr">
        <is>
          <t>Validar documento firmado, revision/WO/sitio, material afectado y evidencia antes de activar alerta automatica.</t>
        </is>
      </c>
    </row>
    <row r="356">
      <c r="A356" s="43" t="inlineStr">
        <is>
          <t>CTANJZ05306</t>
        </is>
      </c>
      <c r="B356" s="43" t="inlineStr">
        <is>
          <t>DP526173</t>
        </is>
      </c>
      <c r="C356" s="43" t="inlineStr">
        <is>
          <t>CVEBU</t>
        </is>
      </c>
      <c r="D356" s="43" t="inlineStr">
        <is>
          <t>Expired</t>
        </is>
      </c>
      <c r="E356" s="32" t="n">
        <v>46205</v>
      </c>
      <c r="F356" s="32" t="n">
        <v>46229</v>
      </c>
      <c r="G356" s="43" t="n">
        <v>1</v>
      </c>
      <c r="H356" s="43" t="n">
        <v>1</v>
      </c>
      <c r="I356" s="33" t="inlineStr"/>
      <c r="J356" s="33" t="inlineStr"/>
      <c r="K356" s="33" t="inlineStr"/>
      <c r="L356" s="34">
        <f>IF(F356="","REVIEW: DATE CONFLICT/EMPTY",IF(F356&lt;'Change Overview'!$B$5,"END DATE PASSED","END DATE NOT PASSED"))</f>
        <v/>
      </c>
      <c r="M356" s="34">
        <f>IF(K356&lt;&gt;"","REVIEW SOURCE CONFLICT",IF(OR(ISNUMBER(SEARCH("CCB",D356)),ISNUMBER(SEARCH("Pending",D356))),"CCB/PENDING",IF(OR(ISNUMBER(SEARCH("Expired",D356)),ISNUMBER(SEARCH("Closed",D356))),"CLOSED/EXPIRED",IF(E356="","NO RELEASE DATE","REVIEW APPROVAL"))))</f>
        <v/>
      </c>
      <c r="N356" s="34">
        <f>IF(K356&lt;&gt;"","HIGH: SOURCE CONFLICT",IF(AND(L356="END DATE NOT PASSED",M356="REVIEW APPROVAL"),"HIGH: VERIFY",IF(L356="END DATE NOT PASSED","MEDIUM: CHECK STATUS","LOW: HISTORICAL")))</f>
        <v/>
      </c>
      <c r="O356" s="33" t="inlineStr">
        <is>
          <t>Validar documento firmado, revision/WO/sitio, material afectado y evidencia antes de activar alerta automatica.</t>
        </is>
      </c>
    </row>
    <row r="357">
      <c r="A357" s="43" t="inlineStr">
        <is>
          <t>CTANJZ05307</t>
        </is>
      </c>
      <c r="B357" s="43" t="inlineStr">
        <is>
          <t>DP526267</t>
        </is>
      </c>
      <c r="C357" s="43" t="inlineStr">
        <is>
          <t>CVEBU</t>
        </is>
      </c>
      <c r="D357" s="43" t="inlineStr">
        <is>
          <t>Expired</t>
        </is>
      </c>
      <c r="E357" s="32" t="n">
        <v>46205</v>
      </c>
      <c r="F357" s="32" t="n">
        <v>46248</v>
      </c>
      <c r="G357" s="43" t="n">
        <v>1</v>
      </c>
      <c r="H357" s="43" t="n">
        <v>1</v>
      </c>
      <c r="I357" s="33" t="inlineStr"/>
      <c r="J357" s="33" t="inlineStr"/>
      <c r="K357" s="33" t="inlineStr"/>
      <c r="L357" s="34">
        <f>IF(F357="","REVIEW: DATE CONFLICT/EMPTY",IF(F357&lt;'Change Overview'!$B$5,"END DATE PASSED","END DATE NOT PASSED"))</f>
        <v/>
      </c>
      <c r="M357" s="34">
        <f>IF(K357&lt;&gt;"","REVIEW SOURCE CONFLICT",IF(OR(ISNUMBER(SEARCH("CCB",D357)),ISNUMBER(SEARCH("Pending",D357))),"CCB/PENDING",IF(OR(ISNUMBER(SEARCH("Expired",D357)),ISNUMBER(SEARCH("Closed",D357))),"CLOSED/EXPIRED",IF(E357="","NO RELEASE DATE","REVIEW APPROVAL"))))</f>
        <v/>
      </c>
      <c r="N357" s="34">
        <f>IF(K357&lt;&gt;"","HIGH: SOURCE CONFLICT",IF(AND(L357="END DATE NOT PASSED",M357="REVIEW APPROVAL"),"HIGH: VERIFY",IF(L357="END DATE NOT PASSED","MEDIUM: CHECK STATUS","LOW: HISTORICAL")))</f>
        <v/>
      </c>
      <c r="O357" s="33" t="inlineStr">
        <is>
          <t>Validar documento firmado, revision/WO/sitio, material afectado y evidencia antes de activar alerta automatica.</t>
        </is>
      </c>
    </row>
    <row r="358">
      <c r="A358" s="43" t="inlineStr">
        <is>
          <t>CTANJZ05308</t>
        </is>
      </c>
      <c r="B358" s="43" t="inlineStr">
        <is>
          <t>DP526196</t>
        </is>
      </c>
      <c r="C358" s="43" t="inlineStr">
        <is>
          <t>CVEBU</t>
        </is>
      </c>
      <c r="D358" s="43" t="inlineStr">
        <is>
          <t>Expired</t>
        </is>
      </c>
      <c r="E358" s="32" t="n">
        <v>46205</v>
      </c>
      <c r="F358" s="32" t="n">
        <v>46230</v>
      </c>
      <c r="G358" s="43" t="n">
        <v>1</v>
      </c>
      <c r="H358" s="43" t="n">
        <v>1</v>
      </c>
      <c r="I358" s="33" t="inlineStr"/>
      <c r="J358" s="33" t="inlineStr"/>
      <c r="K358" s="33" t="inlineStr"/>
      <c r="L358" s="34">
        <f>IF(F358="","REVIEW: DATE CONFLICT/EMPTY",IF(F358&lt;'Change Overview'!$B$5,"END DATE PASSED","END DATE NOT PASSED"))</f>
        <v/>
      </c>
      <c r="M358" s="34">
        <f>IF(K358&lt;&gt;"","REVIEW SOURCE CONFLICT",IF(OR(ISNUMBER(SEARCH("CCB",D358)),ISNUMBER(SEARCH("Pending",D358))),"CCB/PENDING",IF(OR(ISNUMBER(SEARCH("Expired",D358)),ISNUMBER(SEARCH("Closed",D358))),"CLOSED/EXPIRED",IF(E358="","NO RELEASE DATE","REVIEW APPROVAL"))))</f>
        <v/>
      </c>
      <c r="N358" s="34">
        <f>IF(K358&lt;&gt;"","HIGH: SOURCE CONFLICT",IF(AND(L358="END DATE NOT PASSED",M358="REVIEW APPROVAL"),"HIGH: VERIFY",IF(L358="END DATE NOT PASSED","MEDIUM: CHECK STATUS","LOW: HISTORICAL")))</f>
        <v/>
      </c>
      <c r="O358" s="33" t="inlineStr">
        <is>
          <t>Validar documento firmado, revision/WO/sitio, material afectado y evidencia antes de activar alerta automatica.</t>
        </is>
      </c>
    </row>
    <row r="359">
      <c r="A359" s="43" t="inlineStr">
        <is>
          <t>CTANJZ05310</t>
        </is>
      </c>
      <c r="B359" s="43" t="inlineStr">
        <is>
          <t>DP526230</t>
        </is>
      </c>
      <c r="C359" s="43" t="inlineStr">
        <is>
          <t>CVEBU</t>
        </is>
      </c>
      <c r="D359" s="43" t="inlineStr">
        <is>
          <t>Expired</t>
        </is>
      </c>
      <c r="E359" s="32" t="n">
        <v>46205</v>
      </c>
      <c r="F359" s="32" t="n">
        <v>46238</v>
      </c>
      <c r="G359" s="43" t="n">
        <v>1</v>
      </c>
      <c r="H359" s="43" t="n">
        <v>1</v>
      </c>
      <c r="I359" s="33" t="inlineStr"/>
      <c r="J359" s="33" t="inlineStr"/>
      <c r="K359" s="33" t="inlineStr"/>
      <c r="L359" s="34">
        <f>IF(F359="","REVIEW: DATE CONFLICT/EMPTY",IF(F359&lt;'Change Overview'!$B$5,"END DATE PASSED","END DATE NOT PASSED"))</f>
        <v/>
      </c>
      <c r="M359" s="34">
        <f>IF(K359&lt;&gt;"","REVIEW SOURCE CONFLICT",IF(OR(ISNUMBER(SEARCH("CCB",D359)),ISNUMBER(SEARCH("Pending",D359))),"CCB/PENDING",IF(OR(ISNUMBER(SEARCH("Expired",D359)),ISNUMBER(SEARCH("Closed",D359))),"CLOSED/EXPIRED",IF(E359="","NO RELEASE DATE","REVIEW APPROVAL"))))</f>
        <v/>
      </c>
      <c r="N359" s="34">
        <f>IF(K359&lt;&gt;"","HIGH: SOURCE CONFLICT",IF(AND(L359="END DATE NOT PASSED",M359="REVIEW APPROVAL"),"HIGH: VERIFY",IF(L359="END DATE NOT PASSED","MEDIUM: CHECK STATUS","LOW: HISTORICAL")))</f>
        <v/>
      </c>
      <c r="O359" s="33" t="inlineStr">
        <is>
          <t>Validar documento firmado, revision/WO/sitio, material afectado y evidencia antes de activar alerta automatica.</t>
        </is>
      </c>
    </row>
    <row r="360">
      <c r="A360" s="43" t="inlineStr">
        <is>
          <t>CTANJZ05311</t>
        </is>
      </c>
      <c r="B360" s="43" t="inlineStr">
        <is>
          <t>D612169</t>
        </is>
      </c>
      <c r="C360" s="43" t="inlineStr">
        <is>
          <t>CVEBU</t>
        </is>
      </c>
      <c r="D360" s="43" t="inlineStr">
        <is>
          <t>Expired</t>
        </is>
      </c>
      <c r="E360" s="32" t="n">
        <v>46205</v>
      </c>
      <c r="F360" s="32" t="n">
        <v>46285</v>
      </c>
      <c r="G360" s="43" t="n">
        <v>7</v>
      </c>
      <c r="H360" s="43" t="n">
        <v>7</v>
      </c>
      <c r="I360" s="33" t="inlineStr">
        <is>
          <t>73-103698-06, 73-103940-06</t>
        </is>
      </c>
      <c r="J360" s="33" t="inlineStr"/>
      <c r="K360" s="33" t="inlineStr"/>
      <c r="L360" s="34">
        <f>IF(F360="","REVIEW: DATE CONFLICT/EMPTY",IF(F360&lt;'Change Overview'!$B$5,"END DATE PASSED","END DATE NOT PASSED"))</f>
        <v/>
      </c>
      <c r="M360" s="34">
        <f>IF(K360&lt;&gt;"","REVIEW SOURCE CONFLICT",IF(OR(ISNUMBER(SEARCH("CCB",D360)),ISNUMBER(SEARCH("Pending",D360))),"CCB/PENDING",IF(OR(ISNUMBER(SEARCH("Expired",D360)),ISNUMBER(SEARCH("Closed",D360))),"CLOSED/EXPIRED",IF(E360="","NO RELEASE DATE","REVIEW APPROVAL"))))</f>
        <v/>
      </c>
      <c r="N360" s="34">
        <f>IF(K360&lt;&gt;"","HIGH: SOURCE CONFLICT",IF(AND(L360="END DATE NOT PASSED",M360="REVIEW APPROVAL"),"HIGH: VERIFY",IF(L360="END DATE NOT PASSED","MEDIUM: CHECK STATUS","LOW: HISTORICAL")))</f>
        <v/>
      </c>
      <c r="O360" s="33" t="inlineStr">
        <is>
          <t>Validar documento firmado, revision/WO/sitio, material afectado y evidencia antes de activar alerta automatica.</t>
        </is>
      </c>
    </row>
    <row r="361">
      <c r="A361" s="43" t="inlineStr">
        <is>
          <t>CTANJZ05312</t>
        </is>
      </c>
      <c r="B361" s="43" t="inlineStr">
        <is>
          <t>DP526209</t>
        </is>
      </c>
      <c r="C361" s="43" t="inlineStr">
        <is>
          <t>CVEBU</t>
        </is>
      </c>
      <c r="D361" s="43" t="inlineStr">
        <is>
          <t>Expired</t>
        </is>
      </c>
      <c r="E361" s="32" t="n">
        <v>46205</v>
      </c>
      <c r="F361" s="32" t="n">
        <v>46235</v>
      </c>
      <c r="G361" s="43" t="n">
        <v>1</v>
      </c>
      <c r="H361" s="43" t="n">
        <v>1</v>
      </c>
      <c r="I361" s="33" t="inlineStr"/>
      <c r="J361" s="33" t="inlineStr"/>
      <c r="K361" s="33" t="inlineStr"/>
      <c r="L361" s="34">
        <f>IF(F361="","REVIEW: DATE CONFLICT/EMPTY",IF(F361&lt;'Change Overview'!$B$5,"END DATE PASSED","END DATE NOT PASSED"))</f>
        <v/>
      </c>
      <c r="M361" s="34">
        <f>IF(K361&lt;&gt;"","REVIEW SOURCE CONFLICT",IF(OR(ISNUMBER(SEARCH("CCB",D361)),ISNUMBER(SEARCH("Pending",D361))),"CCB/PENDING",IF(OR(ISNUMBER(SEARCH("Expired",D361)),ISNUMBER(SEARCH("Closed",D361))),"CLOSED/EXPIRED",IF(E361="","NO RELEASE DATE","REVIEW APPROVAL"))))</f>
        <v/>
      </c>
      <c r="N361" s="34">
        <f>IF(K361&lt;&gt;"","HIGH: SOURCE CONFLICT",IF(AND(L361="END DATE NOT PASSED",M361="REVIEW APPROVAL"),"HIGH: VERIFY",IF(L361="END DATE NOT PASSED","MEDIUM: CHECK STATUS","LOW: HISTORICAL")))</f>
        <v/>
      </c>
      <c r="O361" s="33" t="inlineStr">
        <is>
          <t>Validar documento firmado, revision/WO/sitio, material afectado y evidencia antes de activar alerta automatica.</t>
        </is>
      </c>
    </row>
    <row r="362">
      <c r="A362" s="43" t="inlineStr">
        <is>
          <t>CTANJZ05313</t>
        </is>
      </c>
      <c r="B362" s="43" t="inlineStr">
        <is>
          <t>DP526246</t>
        </is>
      </c>
      <c r="C362" s="43" t="inlineStr">
        <is>
          <t>CVEBU</t>
        </is>
      </c>
      <c r="D362" s="43" t="inlineStr">
        <is>
          <t>Expired</t>
        </is>
      </c>
      <c r="E362" s="32" t="n">
        <v>46205</v>
      </c>
      <c r="F362" s="32" t="n">
        <v>46244</v>
      </c>
      <c r="G362" s="43" t="n">
        <v>1</v>
      </c>
      <c r="H362" s="43" t="n">
        <v>1</v>
      </c>
      <c r="I362" s="33" t="inlineStr"/>
      <c r="J362" s="33" t="inlineStr"/>
      <c r="K362" s="33" t="inlineStr"/>
      <c r="L362" s="34">
        <f>IF(F362="","REVIEW: DATE CONFLICT/EMPTY",IF(F362&lt;'Change Overview'!$B$5,"END DATE PASSED","END DATE NOT PASSED"))</f>
        <v/>
      </c>
      <c r="M362" s="34">
        <f>IF(K362&lt;&gt;"","REVIEW SOURCE CONFLICT",IF(OR(ISNUMBER(SEARCH("CCB",D362)),ISNUMBER(SEARCH("Pending",D362))),"CCB/PENDING",IF(OR(ISNUMBER(SEARCH("Expired",D362)),ISNUMBER(SEARCH("Closed",D362))),"CLOSED/EXPIRED",IF(E362="","NO RELEASE DATE","REVIEW APPROVAL"))))</f>
        <v/>
      </c>
      <c r="N362" s="34">
        <f>IF(K362&lt;&gt;"","HIGH: SOURCE CONFLICT",IF(AND(L362="END DATE NOT PASSED",M362="REVIEW APPROVAL"),"HIGH: VERIFY",IF(L362="END DATE NOT PASSED","MEDIUM: CHECK STATUS","LOW: HISTORICAL")))</f>
        <v/>
      </c>
      <c r="O362" s="33" t="inlineStr">
        <is>
          <t>Validar documento firmado, revision/WO/sitio, material afectado y evidencia antes de activar alerta automatica.</t>
        </is>
      </c>
    </row>
    <row r="363">
      <c r="A363" s="43" t="inlineStr">
        <is>
          <t>CTANJZ05314</t>
        </is>
      </c>
      <c r="B363" s="43" t="inlineStr">
        <is>
          <t>D612107</t>
        </is>
      </c>
      <c r="C363" s="43" t="inlineStr">
        <is>
          <t>CRBU</t>
        </is>
      </c>
      <c r="D363" s="43" t="inlineStr">
        <is>
          <t>Expired</t>
        </is>
      </c>
      <c r="E363" s="32" t="n">
        <v>46218</v>
      </c>
      <c r="F363" s="32" t="n">
        <v>46287</v>
      </c>
      <c r="G363" s="43" t="n">
        <v>4</v>
      </c>
      <c r="H363" s="43" t="n">
        <v>2</v>
      </c>
      <c r="I363" s="33" t="inlineStr">
        <is>
          <t>73-20922-04</t>
        </is>
      </c>
      <c r="J363" s="33" t="inlineStr"/>
      <c r="K363" s="33" t="inlineStr"/>
      <c r="L363" s="34">
        <f>IF(F363="","REVIEW: DATE CONFLICT/EMPTY",IF(F363&lt;'Change Overview'!$B$5,"END DATE PASSED","END DATE NOT PASSED"))</f>
        <v/>
      </c>
      <c r="M363" s="34">
        <f>IF(K363&lt;&gt;"","REVIEW SOURCE CONFLICT",IF(OR(ISNUMBER(SEARCH("CCB",D363)),ISNUMBER(SEARCH("Pending",D363))),"CCB/PENDING",IF(OR(ISNUMBER(SEARCH("Expired",D363)),ISNUMBER(SEARCH("Closed",D363))),"CLOSED/EXPIRED",IF(E363="","NO RELEASE DATE","REVIEW APPROVAL"))))</f>
        <v/>
      </c>
      <c r="N363" s="34">
        <f>IF(K363&lt;&gt;"","HIGH: SOURCE CONFLICT",IF(AND(L363="END DATE NOT PASSED",M363="REVIEW APPROVAL"),"HIGH: VERIFY",IF(L363="END DATE NOT PASSED","MEDIUM: CHECK STATUS","LOW: HISTORICAL")))</f>
        <v/>
      </c>
      <c r="O363" s="33" t="inlineStr">
        <is>
          <t>Validar documento firmado, revision/WO/sitio, material afectado y evidencia antes de activar alerta automatica.</t>
        </is>
      </c>
    </row>
    <row r="364">
      <c r="A364" s="43" t="inlineStr">
        <is>
          <t>CTANJZ05318</t>
        </is>
      </c>
      <c r="B364" s="43" t="inlineStr">
        <is>
          <t>D611340</t>
        </is>
      </c>
      <c r="C364" s="43" t="inlineStr">
        <is>
          <t>CVEBU</t>
        </is>
      </c>
      <c r="D364" s="43" t="inlineStr">
        <is>
          <t>Expired</t>
        </is>
      </c>
      <c r="E364" s="32" t="n">
        <v>46205</v>
      </c>
      <c r="F364" s="32" t="n">
        <v>46250</v>
      </c>
      <c r="G364" s="43" t="n">
        <v>2</v>
      </c>
      <c r="H364" s="43" t="n">
        <v>2</v>
      </c>
      <c r="I364" s="33" t="inlineStr"/>
      <c r="J364" s="33" t="inlineStr"/>
      <c r="K364" s="33" t="inlineStr"/>
      <c r="L364" s="34">
        <f>IF(F364="","REVIEW: DATE CONFLICT/EMPTY",IF(F364&lt;'Change Overview'!$B$5,"END DATE PASSED","END DATE NOT PASSED"))</f>
        <v/>
      </c>
      <c r="M364" s="34">
        <f>IF(K364&lt;&gt;"","REVIEW SOURCE CONFLICT",IF(OR(ISNUMBER(SEARCH("CCB",D364)),ISNUMBER(SEARCH("Pending",D364))),"CCB/PENDING",IF(OR(ISNUMBER(SEARCH("Expired",D364)),ISNUMBER(SEARCH("Closed",D364))),"CLOSED/EXPIRED",IF(E364="","NO RELEASE DATE","REVIEW APPROVAL"))))</f>
        <v/>
      </c>
      <c r="N364" s="34">
        <f>IF(K364&lt;&gt;"","HIGH: SOURCE CONFLICT",IF(AND(L364="END DATE NOT PASSED",M364="REVIEW APPROVAL"),"HIGH: VERIFY",IF(L364="END DATE NOT PASSED","MEDIUM: CHECK STATUS","LOW: HISTORICAL")))</f>
        <v/>
      </c>
      <c r="O364" s="33" t="inlineStr">
        <is>
          <t>Validar documento firmado, revision/WO/sitio, material afectado y evidencia antes de activar alerta automatica.</t>
        </is>
      </c>
    </row>
    <row r="365">
      <c r="A365" s="43" t="inlineStr">
        <is>
          <t>CTANJZ05319</t>
        </is>
      </c>
      <c r="B365" s="43" t="inlineStr">
        <is>
          <t>D612288</t>
        </is>
      </c>
      <c r="C365" s="43" t="inlineStr">
        <is>
          <t>CVEBU</t>
        </is>
      </c>
      <c r="D365" s="43" t="inlineStr">
        <is>
          <t>Expired</t>
        </is>
      </c>
      <c r="E365" s="32" t="n">
        <v>46205</v>
      </c>
      <c r="F365" s="32" t="n">
        <v>46287</v>
      </c>
      <c r="G365" s="43" t="n">
        <v>1</v>
      </c>
      <c r="H365" s="43" t="n">
        <v>1</v>
      </c>
      <c r="I365" s="33" t="inlineStr"/>
      <c r="J365" s="33" t="inlineStr"/>
      <c r="K365" s="33" t="inlineStr"/>
      <c r="L365" s="34">
        <f>IF(F365="","REVIEW: DATE CONFLICT/EMPTY",IF(F365&lt;'Change Overview'!$B$5,"END DATE PASSED","END DATE NOT PASSED"))</f>
        <v/>
      </c>
      <c r="M365" s="34">
        <f>IF(K365&lt;&gt;"","REVIEW SOURCE CONFLICT",IF(OR(ISNUMBER(SEARCH("CCB",D365)),ISNUMBER(SEARCH("Pending",D365))),"CCB/PENDING",IF(OR(ISNUMBER(SEARCH("Expired",D365)),ISNUMBER(SEARCH("Closed",D365))),"CLOSED/EXPIRED",IF(E365="","NO RELEASE DATE","REVIEW APPROVAL"))))</f>
        <v/>
      </c>
      <c r="N365" s="34">
        <f>IF(K365&lt;&gt;"","HIGH: SOURCE CONFLICT",IF(AND(L365="END DATE NOT PASSED",M365="REVIEW APPROVAL"),"HIGH: VERIFY",IF(L365="END DATE NOT PASSED","MEDIUM: CHECK STATUS","LOW: HISTORICAL")))</f>
        <v/>
      </c>
      <c r="O365" s="33" t="inlineStr">
        <is>
          <t>Validar documento firmado, revision/WO/sitio, material afectado y evidencia antes de activar alerta automatica.</t>
        </is>
      </c>
    </row>
    <row r="366">
      <c r="A366" s="43" t="inlineStr">
        <is>
          <t>CTANJZ05320</t>
        </is>
      </c>
      <c r="B366" s="43" t="inlineStr">
        <is>
          <t>D612244</t>
        </is>
      </c>
      <c r="C366" s="43" t="inlineStr">
        <is>
          <t>STBU</t>
        </is>
      </c>
      <c r="D366" s="43" t="inlineStr">
        <is>
          <t>Expired</t>
        </is>
      </c>
      <c r="E366" s="32" t="n">
        <v>46219</v>
      </c>
      <c r="F366" s="32" t="n">
        <v>46288</v>
      </c>
      <c r="G366" s="43" t="n">
        <v>4</v>
      </c>
      <c r="H366" s="43" t="n">
        <v>4</v>
      </c>
      <c r="I366" s="33" t="inlineStr">
        <is>
          <t>73-102433-05, 73-102434-05, 73-102435-05</t>
        </is>
      </c>
      <c r="J366" s="33" t="inlineStr"/>
      <c r="K366" s="33" t="inlineStr"/>
      <c r="L366" s="34">
        <f>IF(F366="","REVIEW: DATE CONFLICT/EMPTY",IF(F366&lt;'Change Overview'!$B$5,"END DATE PASSED","END DATE NOT PASSED"))</f>
        <v/>
      </c>
      <c r="M366" s="34">
        <f>IF(K366&lt;&gt;"","REVIEW SOURCE CONFLICT",IF(OR(ISNUMBER(SEARCH("CCB",D366)),ISNUMBER(SEARCH("Pending",D366))),"CCB/PENDING",IF(OR(ISNUMBER(SEARCH("Expired",D366)),ISNUMBER(SEARCH("Closed",D366))),"CLOSED/EXPIRED",IF(E366="","NO RELEASE DATE","REVIEW APPROVAL"))))</f>
        <v/>
      </c>
      <c r="N366" s="34">
        <f>IF(K366&lt;&gt;"","HIGH: SOURCE CONFLICT",IF(AND(L366="END DATE NOT PASSED",M366="REVIEW APPROVAL"),"HIGH: VERIFY",IF(L366="END DATE NOT PASSED","MEDIUM: CHECK STATUS","LOW: HISTORICAL")))</f>
        <v/>
      </c>
      <c r="O366" s="33" t="inlineStr">
        <is>
          <t>Validar documento firmado, revision/WO/sitio, material afectado y evidencia antes de activar alerta automatica.</t>
        </is>
      </c>
    </row>
    <row r="367">
      <c r="A367" s="43" t="inlineStr">
        <is>
          <t>CTANJZ05322</t>
        </is>
      </c>
      <c r="B367" s="43" t="inlineStr">
        <is>
          <t>D612106</t>
        </is>
      </c>
      <c r="C367" s="43" t="inlineStr">
        <is>
          <t>CRBU</t>
        </is>
      </c>
      <c r="D367" s="43" t="inlineStr">
        <is>
          <t>Extended</t>
        </is>
      </c>
      <c r="E367" s="32" t="n">
        <v>46223</v>
      </c>
      <c r="F367" s="32" t="n">
        <v>46377</v>
      </c>
      <c r="G367" s="43" t="n">
        <v>4</v>
      </c>
      <c r="H367" s="43" t="n">
        <v>2</v>
      </c>
      <c r="I367" s="33" t="inlineStr">
        <is>
          <t>73-102363-05</t>
        </is>
      </c>
      <c r="J367" s="33" t="inlineStr"/>
      <c r="K367" s="33" t="inlineStr"/>
      <c r="L367" s="34">
        <f>IF(F367="","REVIEW: DATE CONFLICT/EMPTY",IF(F367&lt;'Change Overview'!$B$5,"END DATE PASSED","END DATE NOT PASSED"))</f>
        <v/>
      </c>
      <c r="M367" s="34">
        <f>IF(K367&lt;&gt;"","REVIEW SOURCE CONFLICT",IF(OR(ISNUMBER(SEARCH("CCB",D367)),ISNUMBER(SEARCH("Pending",D367))),"CCB/PENDING",IF(OR(ISNUMBER(SEARCH("Expired",D367)),ISNUMBER(SEARCH("Closed",D367))),"CLOSED/EXPIRED",IF(E367="","NO RELEASE DATE","REVIEW APPROVAL"))))</f>
        <v/>
      </c>
      <c r="N367" s="34">
        <f>IF(K367&lt;&gt;"","HIGH: SOURCE CONFLICT",IF(AND(L367="END DATE NOT PASSED",M367="REVIEW APPROVAL"),"HIGH: VERIFY",IF(L367="END DATE NOT PASSED","MEDIUM: CHECK STATUS","LOW: HISTORICAL")))</f>
        <v/>
      </c>
      <c r="O367" s="33" t="inlineStr">
        <is>
          <t>Validar documento firmado, revision/WO/sitio, material afectado y evidencia antes de activar alerta automatica.</t>
        </is>
      </c>
    </row>
    <row r="368">
      <c r="A368" s="43" t="inlineStr">
        <is>
          <t>CTANJZ05323</t>
        </is>
      </c>
      <c r="B368" s="43" t="inlineStr">
        <is>
          <t>D611825</t>
        </is>
      </c>
      <c r="C368" s="43" t="inlineStr">
        <is>
          <t>CRBU</t>
        </is>
      </c>
      <c r="D368" s="43" t="inlineStr">
        <is>
          <t>Extended</t>
        </is>
      </c>
      <c r="E368" s="32" t="n">
        <v>46223</v>
      </c>
      <c r="F368" s="32" t="n">
        <v>46378</v>
      </c>
      <c r="G368" s="43" t="n">
        <v>2</v>
      </c>
      <c r="H368" s="43" t="n">
        <v>1</v>
      </c>
      <c r="I368" s="33" t="inlineStr"/>
      <c r="J368" s="33" t="inlineStr"/>
      <c r="K368" s="33" t="inlineStr"/>
      <c r="L368" s="34">
        <f>IF(F368="","REVIEW: DATE CONFLICT/EMPTY",IF(F368&lt;'Change Overview'!$B$5,"END DATE PASSED","END DATE NOT PASSED"))</f>
        <v/>
      </c>
      <c r="M368" s="34">
        <f>IF(K368&lt;&gt;"","REVIEW SOURCE CONFLICT",IF(OR(ISNUMBER(SEARCH("CCB",D368)),ISNUMBER(SEARCH("Pending",D368))),"CCB/PENDING",IF(OR(ISNUMBER(SEARCH("Expired",D368)),ISNUMBER(SEARCH("Closed",D368))),"CLOSED/EXPIRED",IF(E368="","NO RELEASE DATE","REVIEW APPROVAL"))))</f>
        <v/>
      </c>
      <c r="N368" s="34">
        <f>IF(K368&lt;&gt;"","HIGH: SOURCE CONFLICT",IF(AND(L368="END DATE NOT PASSED",M368="REVIEW APPROVAL"),"HIGH: VERIFY",IF(L368="END DATE NOT PASSED","MEDIUM: CHECK STATUS","LOW: HISTORICAL")))</f>
        <v/>
      </c>
      <c r="O368" s="33" t="inlineStr">
        <is>
          <t>Validar documento firmado, revision/WO/sitio, material afectado y evidencia antes de activar alerta automatica.</t>
        </is>
      </c>
    </row>
    <row r="369">
      <c r="A369" s="43" t="inlineStr">
        <is>
          <t>CTANJZ05325</t>
        </is>
      </c>
      <c r="B369" s="43" t="inlineStr">
        <is>
          <t>D611994</t>
        </is>
      </c>
      <c r="C369" s="43" t="inlineStr">
        <is>
          <t>CVEBU</t>
        </is>
      </c>
      <c r="D369" s="43" t="inlineStr">
        <is>
          <t>Expired</t>
        </is>
      </c>
      <c r="E369" s="32" t="n">
        <v>46218</v>
      </c>
      <c r="F369" s="32" t="n">
        <v>46289</v>
      </c>
      <c r="G369" s="43" t="n">
        <v>4</v>
      </c>
      <c r="H369" s="43" t="n">
        <v>4</v>
      </c>
      <c r="I369" s="33" t="inlineStr">
        <is>
          <t>73-103826-05, 73-103880-05</t>
        </is>
      </c>
      <c r="J369" s="33" t="inlineStr">
        <is>
          <t>BAYFRONT</t>
        </is>
      </c>
      <c r="K369" s="33" t="inlineStr"/>
      <c r="L369" s="34">
        <f>IF(F369="","REVIEW: DATE CONFLICT/EMPTY",IF(F369&lt;'Change Overview'!$B$5,"END DATE PASSED","END DATE NOT PASSED"))</f>
        <v/>
      </c>
      <c r="M369" s="34">
        <f>IF(K369&lt;&gt;"","REVIEW SOURCE CONFLICT",IF(OR(ISNUMBER(SEARCH("CCB",D369)),ISNUMBER(SEARCH("Pending",D369))),"CCB/PENDING",IF(OR(ISNUMBER(SEARCH("Expired",D369)),ISNUMBER(SEARCH("Closed",D369))),"CLOSED/EXPIRED",IF(E369="","NO RELEASE DATE","REVIEW APPROVAL"))))</f>
        <v/>
      </c>
      <c r="N369" s="34">
        <f>IF(K369&lt;&gt;"","HIGH: SOURCE CONFLICT",IF(AND(L369="END DATE NOT PASSED",M369="REVIEW APPROVAL"),"HIGH: VERIFY",IF(L369="END DATE NOT PASSED","MEDIUM: CHECK STATUS","LOW: HISTORICAL")))</f>
        <v/>
      </c>
      <c r="O369" s="33" t="inlineStr">
        <is>
          <t>Validar documento firmado, revision/WO/sitio, material afectado y evidencia antes de activar alerta automatica.</t>
        </is>
      </c>
    </row>
    <row r="370">
      <c r="A370" s="43" t="inlineStr">
        <is>
          <t>CTANJZ05326</t>
        </is>
      </c>
      <c r="B370" s="43" t="inlineStr">
        <is>
          <t>DP526159</t>
        </is>
      </c>
      <c r="C370" s="43" t="inlineStr">
        <is>
          <t>CVEBU</t>
        </is>
      </c>
      <c r="D370" s="43" t="inlineStr">
        <is>
          <t>Expired</t>
        </is>
      </c>
      <c r="E370" s="32" t="n">
        <v>46211</v>
      </c>
      <c r="F370" s="32" t="n">
        <v>46223</v>
      </c>
      <c r="G370" s="43" t="n">
        <v>1</v>
      </c>
      <c r="H370" s="43" t="n">
        <v>1</v>
      </c>
      <c r="I370" s="33" t="inlineStr"/>
      <c r="J370" s="33" t="inlineStr"/>
      <c r="K370" s="33" t="inlineStr"/>
      <c r="L370" s="34">
        <f>IF(F370="","REVIEW: DATE CONFLICT/EMPTY",IF(F370&lt;'Change Overview'!$B$5,"END DATE PASSED","END DATE NOT PASSED"))</f>
        <v/>
      </c>
      <c r="M370" s="34">
        <f>IF(K370&lt;&gt;"","REVIEW SOURCE CONFLICT",IF(OR(ISNUMBER(SEARCH("CCB",D370)),ISNUMBER(SEARCH("Pending",D370))),"CCB/PENDING",IF(OR(ISNUMBER(SEARCH("Expired",D370)),ISNUMBER(SEARCH("Closed",D370))),"CLOSED/EXPIRED",IF(E370="","NO RELEASE DATE","REVIEW APPROVAL"))))</f>
        <v/>
      </c>
      <c r="N370" s="34">
        <f>IF(K370&lt;&gt;"","HIGH: SOURCE CONFLICT",IF(AND(L370="END DATE NOT PASSED",M370="REVIEW APPROVAL"),"HIGH: VERIFY",IF(L370="END DATE NOT PASSED","MEDIUM: CHECK STATUS","LOW: HISTORICAL")))</f>
        <v/>
      </c>
      <c r="O370" s="33" t="inlineStr">
        <is>
          <t>Validar documento firmado, revision/WO/sitio, material afectado y evidencia antes de activar alerta automatica.</t>
        </is>
      </c>
    </row>
    <row r="371">
      <c r="A371" s="43" t="inlineStr">
        <is>
          <t>CTANJZ05327</t>
        </is>
      </c>
      <c r="B371" s="43" t="inlineStr">
        <is>
          <t>D612196</t>
        </is>
      </c>
      <c r="C371" s="43" t="inlineStr">
        <is>
          <t>STBU</t>
        </is>
      </c>
      <c r="D371" s="43" t="inlineStr">
        <is>
          <t>Expired</t>
        </is>
      </c>
      <c r="E371" s="32" t="n">
        <v>46223</v>
      </c>
      <c r="F371" s="32" t="n">
        <v>46292</v>
      </c>
      <c r="G371" s="43" t="n">
        <v>7</v>
      </c>
      <c r="H371" s="43" t="n">
        <v>7</v>
      </c>
      <c r="I371" s="33" t="inlineStr">
        <is>
          <t>73-102418-04, 73-102483-02, 73-103633-04, 73-103788-04, 73-20247-06, 73-20249-06</t>
        </is>
      </c>
      <c r="J371" s="33" t="inlineStr">
        <is>
          <t>TUFNELL PARK</t>
        </is>
      </c>
      <c r="K371" s="33" t="inlineStr"/>
      <c r="L371" s="34">
        <f>IF(F371="","REVIEW: DATE CONFLICT/EMPTY",IF(F371&lt;'Change Overview'!$B$5,"END DATE PASSED","END DATE NOT PASSED"))</f>
        <v/>
      </c>
      <c r="M371" s="34">
        <f>IF(K371&lt;&gt;"","REVIEW SOURCE CONFLICT",IF(OR(ISNUMBER(SEARCH("CCB",D371)),ISNUMBER(SEARCH("Pending",D371))),"CCB/PENDING",IF(OR(ISNUMBER(SEARCH("Expired",D371)),ISNUMBER(SEARCH("Closed",D371))),"CLOSED/EXPIRED",IF(E371="","NO RELEASE DATE","REVIEW APPROVAL"))))</f>
        <v/>
      </c>
      <c r="N371" s="34">
        <f>IF(K371&lt;&gt;"","HIGH: SOURCE CONFLICT",IF(AND(L371="END DATE NOT PASSED",M371="REVIEW APPROVAL"),"HIGH: VERIFY",IF(L371="END DATE NOT PASSED","MEDIUM: CHECK STATUS","LOW: HISTORICAL")))</f>
        <v/>
      </c>
      <c r="O371" s="33" t="inlineStr">
        <is>
          <t>Validar documento firmado, revision/WO/sitio, material afectado y evidencia antes de activar alerta automatica.</t>
        </is>
      </c>
    </row>
    <row r="372">
      <c r="A372" s="43" t="inlineStr">
        <is>
          <t>CTANJZ05328</t>
        </is>
      </c>
      <c r="B372" s="43" t="inlineStr">
        <is>
          <t>D611690</t>
        </is>
      </c>
      <c r="C372" s="43" t="inlineStr">
        <is>
          <t>CRBU</t>
        </is>
      </c>
      <c r="D372" s="43" t="inlineStr">
        <is>
          <t>Expired</t>
        </is>
      </c>
      <c r="E372" s="32" t="n">
        <v>46227</v>
      </c>
      <c r="F372" s="32" t="n">
        <v>46292</v>
      </c>
      <c r="G372" s="43" t="n">
        <v>1</v>
      </c>
      <c r="H372" s="43" t="n">
        <v>1</v>
      </c>
      <c r="I372" s="33" t="inlineStr">
        <is>
          <t>73-19875-07</t>
        </is>
      </c>
      <c r="J372" s="33" t="inlineStr"/>
      <c r="K372" s="33" t="inlineStr"/>
      <c r="L372" s="34">
        <f>IF(F372="","REVIEW: DATE CONFLICT/EMPTY",IF(F372&lt;'Change Overview'!$B$5,"END DATE PASSED","END DATE NOT PASSED"))</f>
        <v/>
      </c>
      <c r="M372" s="34">
        <f>IF(K372&lt;&gt;"","REVIEW SOURCE CONFLICT",IF(OR(ISNUMBER(SEARCH("CCB",D372)),ISNUMBER(SEARCH("Pending",D372))),"CCB/PENDING",IF(OR(ISNUMBER(SEARCH("Expired",D372)),ISNUMBER(SEARCH("Closed",D372))),"CLOSED/EXPIRED",IF(E372="","NO RELEASE DATE","REVIEW APPROVAL"))))</f>
        <v/>
      </c>
      <c r="N372" s="34">
        <f>IF(K372&lt;&gt;"","HIGH: SOURCE CONFLICT",IF(AND(L372="END DATE NOT PASSED",M372="REVIEW APPROVAL"),"HIGH: VERIFY",IF(L372="END DATE NOT PASSED","MEDIUM: CHECK STATUS","LOW: HISTORICAL")))</f>
        <v/>
      </c>
      <c r="O372" s="33" t="inlineStr">
        <is>
          <t>Validar documento firmado, revision/WO/sitio, material afectado y evidencia antes de activar alerta automatica.</t>
        </is>
      </c>
    </row>
    <row r="373">
      <c r="A373" s="43" t="inlineStr">
        <is>
          <t>CTANJZ05330</t>
        </is>
      </c>
      <c r="B373" s="43" t="inlineStr">
        <is>
          <t>D612291</t>
        </is>
      </c>
      <c r="C373" s="43" t="inlineStr">
        <is>
          <t>CVEBU</t>
        </is>
      </c>
      <c r="D373" s="43" t="inlineStr">
        <is>
          <t>Expired</t>
        </is>
      </c>
      <c r="E373" s="32" t="n">
        <v>46218</v>
      </c>
      <c r="F373" s="32" t="n">
        <v>46293</v>
      </c>
      <c r="G373" s="43" t="n">
        <v>3</v>
      </c>
      <c r="H373" s="43" t="n">
        <v>3</v>
      </c>
      <c r="I373" s="33" t="inlineStr">
        <is>
          <t>73-103820-04, 73-103922-04</t>
        </is>
      </c>
      <c r="J373" s="33" t="inlineStr"/>
      <c r="K373" s="33" t="inlineStr"/>
      <c r="L373" s="34">
        <f>IF(F373="","REVIEW: DATE CONFLICT/EMPTY",IF(F373&lt;'Change Overview'!$B$5,"END DATE PASSED","END DATE NOT PASSED"))</f>
        <v/>
      </c>
      <c r="M373" s="34">
        <f>IF(K373&lt;&gt;"","REVIEW SOURCE CONFLICT",IF(OR(ISNUMBER(SEARCH("CCB",D373)),ISNUMBER(SEARCH("Pending",D373))),"CCB/PENDING",IF(OR(ISNUMBER(SEARCH("Expired",D373)),ISNUMBER(SEARCH("Closed",D373))),"CLOSED/EXPIRED",IF(E373="","NO RELEASE DATE","REVIEW APPROVAL"))))</f>
        <v/>
      </c>
      <c r="N373" s="34">
        <f>IF(K373&lt;&gt;"","HIGH: SOURCE CONFLICT",IF(AND(L373="END DATE NOT PASSED",M373="REVIEW APPROVAL"),"HIGH: VERIFY",IF(L373="END DATE NOT PASSED","MEDIUM: CHECK STATUS","LOW: HISTORICAL")))</f>
        <v/>
      </c>
      <c r="O373" s="33" t="inlineStr">
        <is>
          <t>Validar documento firmado, revision/WO/sitio, material afectado y evidencia antes de activar alerta automatica.</t>
        </is>
      </c>
    </row>
    <row r="374">
      <c r="A374" s="43" t="inlineStr">
        <is>
          <t>CTANJZ05333</t>
        </is>
      </c>
      <c r="B374" s="43" t="inlineStr">
        <is>
          <t>D611891</t>
        </is>
      </c>
      <c r="C374" s="43" t="inlineStr">
        <is>
          <t>CRBU</t>
        </is>
      </c>
      <c r="D374" s="43" t="inlineStr">
        <is>
          <t>Expired</t>
        </is>
      </c>
      <c r="E374" s="32" t="n">
        <v>46224</v>
      </c>
      <c r="F374" s="32" t="n">
        <v>46293</v>
      </c>
      <c r="G374" s="43" t="n">
        <v>4</v>
      </c>
      <c r="H374" s="43" t="n">
        <v>2</v>
      </c>
      <c r="I374" s="33" t="inlineStr">
        <is>
          <t>73-20922-04</t>
        </is>
      </c>
      <c r="J374" s="33" t="inlineStr"/>
      <c r="K374" s="33" t="inlineStr"/>
      <c r="L374" s="34">
        <f>IF(F374="","REVIEW: DATE CONFLICT/EMPTY",IF(F374&lt;'Change Overview'!$B$5,"END DATE PASSED","END DATE NOT PASSED"))</f>
        <v/>
      </c>
      <c r="M374" s="34">
        <f>IF(K374&lt;&gt;"","REVIEW SOURCE CONFLICT",IF(OR(ISNUMBER(SEARCH("CCB",D374)),ISNUMBER(SEARCH("Pending",D374))),"CCB/PENDING",IF(OR(ISNUMBER(SEARCH("Expired",D374)),ISNUMBER(SEARCH("Closed",D374))),"CLOSED/EXPIRED",IF(E374="","NO RELEASE DATE","REVIEW APPROVAL"))))</f>
        <v/>
      </c>
      <c r="N374" s="34">
        <f>IF(K374&lt;&gt;"","HIGH: SOURCE CONFLICT",IF(AND(L374="END DATE NOT PASSED",M374="REVIEW APPROVAL"),"HIGH: VERIFY",IF(L374="END DATE NOT PASSED","MEDIUM: CHECK STATUS","LOW: HISTORICAL")))</f>
        <v/>
      </c>
      <c r="O374" s="33" t="inlineStr">
        <is>
          <t>Validar documento firmado, revision/WO/sitio, material afectado y evidencia antes de activar alerta automatica.</t>
        </is>
      </c>
    </row>
    <row r="375">
      <c r="A375" s="43" t="inlineStr">
        <is>
          <t>CTANJZ05335</t>
        </is>
      </c>
      <c r="B375" s="43" t="inlineStr">
        <is>
          <t>D612467</t>
        </is>
      </c>
      <c r="C375" s="43" t="inlineStr">
        <is>
          <t>STBU</t>
        </is>
      </c>
      <c r="D375" s="43" t="inlineStr">
        <is>
          <t>Expired</t>
        </is>
      </c>
      <c r="E375" s="32" t="n">
        <v>46219</v>
      </c>
      <c r="F375" s="32" t="n">
        <v>46294</v>
      </c>
      <c r="G375" s="43" t="n">
        <v>12</v>
      </c>
      <c r="H375" s="43" t="n">
        <v>12</v>
      </c>
      <c r="I375" s="33" t="inlineStr">
        <is>
          <t>73-101944-03, 73-101945-03, 73-102418-04, 73-102419-03, 73-20247-06, 73-20249-06</t>
        </is>
      </c>
      <c r="J375" s="33" t="inlineStr">
        <is>
          <t>TUFNELL PARK</t>
        </is>
      </c>
      <c r="K375" s="33" t="inlineStr"/>
      <c r="L375" s="34">
        <f>IF(F375="","REVIEW: DATE CONFLICT/EMPTY",IF(F375&lt;'Change Overview'!$B$5,"END DATE PASSED","END DATE NOT PASSED"))</f>
        <v/>
      </c>
      <c r="M375" s="34">
        <f>IF(K375&lt;&gt;"","REVIEW SOURCE CONFLICT",IF(OR(ISNUMBER(SEARCH("CCB",D375)),ISNUMBER(SEARCH("Pending",D375))),"CCB/PENDING",IF(OR(ISNUMBER(SEARCH("Expired",D375)),ISNUMBER(SEARCH("Closed",D375))),"CLOSED/EXPIRED",IF(E375="","NO RELEASE DATE","REVIEW APPROVAL"))))</f>
        <v/>
      </c>
      <c r="N375" s="34">
        <f>IF(K375&lt;&gt;"","HIGH: SOURCE CONFLICT",IF(AND(L375="END DATE NOT PASSED",M375="REVIEW APPROVAL"),"HIGH: VERIFY",IF(L375="END DATE NOT PASSED","MEDIUM: CHECK STATUS","LOW: HISTORICAL")))</f>
        <v/>
      </c>
      <c r="O375" s="33" t="inlineStr">
        <is>
          <t>Validar documento firmado, revision/WO/sitio, material afectado y evidencia antes de activar alerta automatica.</t>
        </is>
      </c>
    </row>
    <row r="376">
      <c r="A376" s="43" t="inlineStr">
        <is>
          <t>CTANJZ05336</t>
        </is>
      </c>
      <c r="B376" s="43" t="inlineStr">
        <is>
          <t>D612122</t>
        </is>
      </c>
      <c r="C376" s="43" t="inlineStr">
        <is>
          <t>CRBU</t>
        </is>
      </c>
      <c r="D376" s="43" t="inlineStr">
        <is>
          <t>Extended</t>
        </is>
      </c>
      <c r="E376" s="32" t="n">
        <v>46227</v>
      </c>
      <c r="F376" s="32" t="n">
        <v>46384</v>
      </c>
      <c r="G376" s="43" t="n">
        <v>4</v>
      </c>
      <c r="H376" s="43" t="n">
        <v>2</v>
      </c>
      <c r="I376" s="33" t="inlineStr">
        <is>
          <t>73-102363-05</t>
        </is>
      </c>
      <c r="J376" s="33" t="inlineStr"/>
      <c r="K376" s="33" t="inlineStr"/>
      <c r="L376" s="34">
        <f>IF(F376="","REVIEW: DATE CONFLICT/EMPTY",IF(F376&lt;'Change Overview'!$B$5,"END DATE PASSED","END DATE NOT PASSED"))</f>
        <v/>
      </c>
      <c r="M376" s="34">
        <f>IF(K376&lt;&gt;"","REVIEW SOURCE CONFLICT",IF(OR(ISNUMBER(SEARCH("CCB",D376)),ISNUMBER(SEARCH("Pending",D376))),"CCB/PENDING",IF(OR(ISNUMBER(SEARCH("Expired",D376)),ISNUMBER(SEARCH("Closed",D376))),"CLOSED/EXPIRED",IF(E376="","NO RELEASE DATE","REVIEW APPROVAL"))))</f>
        <v/>
      </c>
      <c r="N376" s="34">
        <f>IF(K376&lt;&gt;"","HIGH: SOURCE CONFLICT",IF(AND(L376="END DATE NOT PASSED",M376="REVIEW APPROVAL"),"HIGH: VERIFY",IF(L376="END DATE NOT PASSED","MEDIUM: CHECK STATUS","LOW: HISTORICAL")))</f>
        <v/>
      </c>
      <c r="O376" s="33" t="inlineStr">
        <is>
          <t>Validar documento firmado, revision/WO/sitio, material afectado y evidencia antes de activar alerta automatica.</t>
        </is>
      </c>
    </row>
    <row r="377">
      <c r="A377" s="43" t="inlineStr">
        <is>
          <t>CTANJZ05337</t>
        </is>
      </c>
      <c r="B377" s="43" t="inlineStr">
        <is>
          <t>D612448</t>
        </is>
      </c>
      <c r="C377" s="43" t="inlineStr">
        <is>
          <t>STBU</t>
        </is>
      </c>
      <c r="D377" s="43" t="inlineStr">
        <is>
          <t>Expired</t>
        </is>
      </c>
      <c r="E377" s="32" t="n">
        <v>46219</v>
      </c>
      <c r="F377" s="32" t="n">
        <v>46295</v>
      </c>
      <c r="G377" s="43" t="n">
        <v>12</v>
      </c>
      <c r="H377" s="43" t="n">
        <v>12</v>
      </c>
      <c r="I377" s="33" t="inlineStr">
        <is>
          <t>73-101944-03, 73-101945-03, 73-102433-06, 73-102434-06, 73-102435-06, 73-103122-01, 73-103125-02</t>
        </is>
      </c>
      <c r="J377" s="33" t="inlineStr"/>
      <c r="K377" s="33" t="inlineStr"/>
      <c r="L377" s="34">
        <f>IF(F377="","REVIEW: DATE CONFLICT/EMPTY",IF(F377&lt;'Change Overview'!$B$5,"END DATE PASSED","END DATE NOT PASSED"))</f>
        <v/>
      </c>
      <c r="M377" s="34">
        <f>IF(K377&lt;&gt;"","REVIEW SOURCE CONFLICT",IF(OR(ISNUMBER(SEARCH("CCB",D377)),ISNUMBER(SEARCH("Pending",D377))),"CCB/PENDING",IF(OR(ISNUMBER(SEARCH("Expired",D377)),ISNUMBER(SEARCH("Closed",D377))),"CLOSED/EXPIRED",IF(E377="","NO RELEASE DATE","REVIEW APPROVAL"))))</f>
        <v/>
      </c>
      <c r="N377" s="34">
        <f>IF(K377&lt;&gt;"","HIGH: SOURCE CONFLICT",IF(AND(L377="END DATE NOT PASSED",M377="REVIEW APPROVAL"),"HIGH: VERIFY",IF(L377="END DATE NOT PASSED","MEDIUM: CHECK STATUS","LOW: HISTORICAL")))</f>
        <v/>
      </c>
      <c r="O377" s="33" t="inlineStr">
        <is>
          <t>Validar documento firmado, revision/WO/sitio, material afectado y evidencia antes de activar alerta automatica.</t>
        </is>
      </c>
    </row>
    <row r="378">
      <c r="A378" s="43" t="inlineStr">
        <is>
          <t>CTANJZ05338</t>
        </is>
      </c>
      <c r="B378" s="43" t="inlineStr">
        <is>
          <t>D612446</t>
        </is>
      </c>
      <c r="C378" s="43" t="inlineStr">
        <is>
          <t>STBU</t>
        </is>
      </c>
      <c r="D378" s="43" t="inlineStr">
        <is>
          <t>Expired</t>
        </is>
      </c>
      <c r="E378" s="32" t="n">
        <v>46219</v>
      </c>
      <c r="F378" s="32" t="n">
        <v>46295</v>
      </c>
      <c r="G378" s="43" t="n">
        <v>12</v>
      </c>
      <c r="H378" s="43" t="n">
        <v>12</v>
      </c>
      <c r="I378" s="33" t="inlineStr">
        <is>
          <t>73-103558-04, 73-103559-04, 73-103563-02, 73-103622-02, 73-103633-04, 73-103788-04</t>
        </is>
      </c>
      <c r="J378" s="33" t="inlineStr"/>
      <c r="K378" s="33" t="inlineStr"/>
      <c r="L378" s="34">
        <f>IF(F378="","REVIEW: DATE CONFLICT/EMPTY",IF(F378&lt;'Change Overview'!$B$5,"END DATE PASSED","END DATE NOT PASSED"))</f>
        <v/>
      </c>
      <c r="M378" s="34">
        <f>IF(K378&lt;&gt;"","REVIEW SOURCE CONFLICT",IF(OR(ISNUMBER(SEARCH("CCB",D378)),ISNUMBER(SEARCH("Pending",D378))),"CCB/PENDING",IF(OR(ISNUMBER(SEARCH("Expired",D378)),ISNUMBER(SEARCH("Closed",D378))),"CLOSED/EXPIRED",IF(E378="","NO RELEASE DATE","REVIEW APPROVAL"))))</f>
        <v/>
      </c>
      <c r="N378" s="34">
        <f>IF(K378&lt;&gt;"","HIGH: SOURCE CONFLICT",IF(AND(L378="END DATE NOT PASSED",M378="REVIEW APPROVAL"),"HIGH: VERIFY",IF(L378="END DATE NOT PASSED","MEDIUM: CHECK STATUS","LOW: HISTORICAL")))</f>
        <v/>
      </c>
      <c r="O378" s="33" t="inlineStr">
        <is>
          <t>Validar documento firmado, revision/WO/sitio, material afectado y evidencia antes de activar alerta automatica.</t>
        </is>
      </c>
    </row>
    <row r="379">
      <c r="A379" s="43" t="inlineStr">
        <is>
          <t>CTANJZ05339</t>
        </is>
      </c>
      <c r="B379" s="43" t="inlineStr">
        <is>
          <t>D612194</t>
        </is>
      </c>
      <c r="C379" s="43" t="inlineStr">
        <is>
          <t>STBU</t>
        </is>
      </c>
      <c r="D379" s="43" t="inlineStr">
        <is>
          <t>Expired</t>
        </is>
      </c>
      <c r="E379" s="32" t="n">
        <v>46228</v>
      </c>
      <c r="F379" s="32" t="n">
        <v>46295</v>
      </c>
      <c r="G379" s="43" t="n">
        <v>3</v>
      </c>
      <c r="H379" s="43" t="n">
        <v>3</v>
      </c>
      <c r="I379" s="33" t="inlineStr"/>
      <c r="J379" s="33" t="inlineStr"/>
      <c r="K379" s="33" t="inlineStr"/>
      <c r="L379" s="34">
        <f>IF(F379="","REVIEW: DATE CONFLICT/EMPTY",IF(F379&lt;'Change Overview'!$B$5,"END DATE PASSED","END DATE NOT PASSED"))</f>
        <v/>
      </c>
      <c r="M379" s="34">
        <f>IF(K379&lt;&gt;"","REVIEW SOURCE CONFLICT",IF(OR(ISNUMBER(SEARCH("CCB",D379)),ISNUMBER(SEARCH("Pending",D379))),"CCB/PENDING",IF(OR(ISNUMBER(SEARCH("Expired",D379)),ISNUMBER(SEARCH("Closed",D379))),"CLOSED/EXPIRED",IF(E379="","NO RELEASE DATE","REVIEW APPROVAL"))))</f>
        <v/>
      </c>
      <c r="N379" s="34">
        <f>IF(K379&lt;&gt;"","HIGH: SOURCE CONFLICT",IF(AND(L379="END DATE NOT PASSED",M379="REVIEW APPROVAL"),"HIGH: VERIFY",IF(L379="END DATE NOT PASSED","MEDIUM: CHECK STATUS","LOW: HISTORICAL")))</f>
        <v/>
      </c>
      <c r="O379" s="33" t="inlineStr">
        <is>
          <t>Validar documento firmado, revision/WO/sitio, material afectado y evidencia antes de activar alerta automatica.</t>
        </is>
      </c>
    </row>
    <row r="380">
      <c r="A380" s="43" t="inlineStr">
        <is>
          <t>CTANJZ05340</t>
        </is>
      </c>
      <c r="B380" s="43" t="inlineStr">
        <is>
          <t>D611387</t>
        </is>
      </c>
      <c r="C380" s="43" t="inlineStr">
        <is>
          <t>SRGBU</t>
        </is>
      </c>
      <c r="D380" s="43" t="inlineStr">
        <is>
          <t>Expired</t>
        </is>
      </c>
      <c r="E380" s="32" t="n">
        <v>46223</v>
      </c>
      <c r="F380" s="32" t="n">
        <v>46299</v>
      </c>
      <c r="G380" s="43" t="n">
        <v>1</v>
      </c>
      <c r="H380" s="43" t="n">
        <v>1</v>
      </c>
      <c r="I380" s="33" t="inlineStr"/>
      <c r="J380" s="33" t="inlineStr"/>
      <c r="K380" s="33" t="inlineStr"/>
      <c r="L380" s="34">
        <f>IF(F380="","REVIEW: DATE CONFLICT/EMPTY",IF(F380&lt;'Change Overview'!$B$5,"END DATE PASSED","END DATE NOT PASSED"))</f>
        <v/>
      </c>
      <c r="M380" s="34">
        <f>IF(K380&lt;&gt;"","REVIEW SOURCE CONFLICT",IF(OR(ISNUMBER(SEARCH("CCB",D380)),ISNUMBER(SEARCH("Pending",D380))),"CCB/PENDING",IF(OR(ISNUMBER(SEARCH("Expired",D380)),ISNUMBER(SEARCH("Closed",D380))),"CLOSED/EXPIRED",IF(E380="","NO RELEASE DATE","REVIEW APPROVAL"))))</f>
        <v/>
      </c>
      <c r="N380" s="34">
        <f>IF(K380&lt;&gt;"","HIGH: SOURCE CONFLICT",IF(AND(L380="END DATE NOT PASSED",M380="REVIEW APPROVAL"),"HIGH: VERIFY",IF(L380="END DATE NOT PASSED","MEDIUM: CHECK STATUS","LOW: HISTORICAL")))</f>
        <v/>
      </c>
      <c r="O380" s="33" t="inlineStr">
        <is>
          <t>Validar documento firmado, revision/WO/sitio, material afectado y evidencia antes de activar alerta automatica.</t>
        </is>
      </c>
    </row>
    <row r="381">
      <c r="A381" s="43" t="inlineStr">
        <is>
          <t>CTANJZ05341</t>
        </is>
      </c>
      <c r="B381" s="43" t="inlineStr">
        <is>
          <t>D612354</t>
        </is>
      </c>
      <c r="C381" s="43" t="inlineStr">
        <is>
          <t>CVEBU</t>
        </is>
      </c>
      <c r="D381" s="43" t="inlineStr">
        <is>
          <t>Extended</t>
        </is>
      </c>
      <c r="E381" s="32" t="n">
        <v>46224</v>
      </c>
      <c r="F381" s="32" t="n">
        <v>46389</v>
      </c>
      <c r="G381" s="43" t="n">
        <v>6</v>
      </c>
      <c r="H381" s="43" t="n">
        <v>6</v>
      </c>
      <c r="I381" s="33" t="inlineStr"/>
      <c r="J381" s="33" t="inlineStr"/>
      <c r="K381" s="33" t="inlineStr"/>
      <c r="L381" s="34">
        <f>IF(F381="","REVIEW: DATE CONFLICT/EMPTY",IF(F381&lt;'Change Overview'!$B$5,"END DATE PASSED","END DATE NOT PASSED"))</f>
        <v/>
      </c>
      <c r="M381" s="34">
        <f>IF(K381&lt;&gt;"","REVIEW SOURCE CONFLICT",IF(OR(ISNUMBER(SEARCH("CCB",D381)),ISNUMBER(SEARCH("Pending",D381))),"CCB/PENDING",IF(OR(ISNUMBER(SEARCH("Expired",D381)),ISNUMBER(SEARCH("Closed",D381))),"CLOSED/EXPIRED",IF(E381="","NO RELEASE DATE","REVIEW APPROVAL"))))</f>
        <v/>
      </c>
      <c r="N381" s="34">
        <f>IF(K381&lt;&gt;"","HIGH: SOURCE CONFLICT",IF(AND(L381="END DATE NOT PASSED",M381="REVIEW APPROVAL"),"HIGH: VERIFY",IF(L381="END DATE NOT PASSED","MEDIUM: CHECK STATUS","LOW: HISTORICAL")))</f>
        <v/>
      </c>
      <c r="O381" s="33" t="inlineStr">
        <is>
          <t>Validar documento firmado, revision/WO/sitio, material afectado y evidencia antes de activar alerta automatica.</t>
        </is>
      </c>
    </row>
    <row r="382">
      <c r="A382" s="43" t="inlineStr">
        <is>
          <t>CTANJZ05343</t>
        </is>
      </c>
      <c r="B382" s="43" t="inlineStr">
        <is>
          <t>D612246</t>
        </is>
      </c>
      <c r="C382" s="43" t="inlineStr">
        <is>
          <t>STBU</t>
        </is>
      </c>
      <c r="D382" s="43" t="inlineStr">
        <is>
          <t>Expired</t>
        </is>
      </c>
      <c r="E382" s="32" t="n">
        <v>46227</v>
      </c>
      <c r="F382" s="32" t="n">
        <v>46300</v>
      </c>
      <c r="G382" s="43" t="n">
        <v>8</v>
      </c>
      <c r="H382" s="43" t="n">
        <v>8</v>
      </c>
      <c r="I382" s="33" t="inlineStr"/>
      <c r="J382" s="33" t="inlineStr"/>
      <c r="K382" s="33" t="inlineStr"/>
      <c r="L382" s="34">
        <f>IF(F382="","REVIEW: DATE CONFLICT/EMPTY",IF(F382&lt;'Change Overview'!$B$5,"END DATE PASSED","END DATE NOT PASSED"))</f>
        <v/>
      </c>
      <c r="M382" s="34">
        <f>IF(K382&lt;&gt;"","REVIEW SOURCE CONFLICT",IF(OR(ISNUMBER(SEARCH("CCB",D382)),ISNUMBER(SEARCH("Pending",D382))),"CCB/PENDING",IF(OR(ISNUMBER(SEARCH("Expired",D382)),ISNUMBER(SEARCH("Closed",D382))),"CLOSED/EXPIRED",IF(E382="","NO RELEASE DATE","REVIEW APPROVAL"))))</f>
        <v/>
      </c>
      <c r="N382" s="34">
        <f>IF(K382&lt;&gt;"","HIGH: SOURCE CONFLICT",IF(AND(L382="END DATE NOT PASSED",M382="REVIEW APPROVAL"),"HIGH: VERIFY",IF(L382="END DATE NOT PASSED","MEDIUM: CHECK STATUS","LOW: HISTORICAL")))</f>
        <v/>
      </c>
      <c r="O382" s="33" t="inlineStr">
        <is>
          <t>Validar documento firmado, revision/WO/sitio, material afectado y evidencia antes de activar alerta automatica.</t>
        </is>
      </c>
    </row>
    <row r="383">
      <c r="A383" s="43" t="inlineStr">
        <is>
          <t>CTANJZ05344</t>
        </is>
      </c>
      <c r="B383" s="43" t="inlineStr">
        <is>
          <t>D612031</t>
        </is>
      </c>
      <c r="C383" s="43" t="inlineStr">
        <is>
          <t>SRGBU</t>
        </is>
      </c>
      <c r="D383" s="43" t="inlineStr">
        <is>
          <t>Expired</t>
        </is>
      </c>
      <c r="E383" s="32" t="n">
        <v>46224</v>
      </c>
      <c r="F383" s="32" t="n">
        <v>46301</v>
      </c>
      <c r="G383" s="43" t="n">
        <v>3</v>
      </c>
      <c r="H383" s="43" t="n">
        <v>3</v>
      </c>
      <c r="I383" s="33" t="inlineStr">
        <is>
          <t>73-21204-06, 73-21231-05, 73-21417-05</t>
        </is>
      </c>
      <c r="J383" s="33" t="inlineStr">
        <is>
          <t>CHARON</t>
        </is>
      </c>
      <c r="K383" s="33" t="inlineStr"/>
      <c r="L383" s="34">
        <f>IF(F383="","REVIEW: DATE CONFLICT/EMPTY",IF(F383&lt;'Change Overview'!$B$5,"END DATE PASSED","END DATE NOT PASSED"))</f>
        <v/>
      </c>
      <c r="M383" s="34">
        <f>IF(K383&lt;&gt;"","REVIEW SOURCE CONFLICT",IF(OR(ISNUMBER(SEARCH("CCB",D383)),ISNUMBER(SEARCH("Pending",D383))),"CCB/PENDING",IF(OR(ISNUMBER(SEARCH("Expired",D383)),ISNUMBER(SEARCH("Closed",D383))),"CLOSED/EXPIRED",IF(E383="","NO RELEASE DATE","REVIEW APPROVAL"))))</f>
        <v/>
      </c>
      <c r="N383" s="34">
        <f>IF(K383&lt;&gt;"","HIGH: SOURCE CONFLICT",IF(AND(L383="END DATE NOT PASSED",M383="REVIEW APPROVAL"),"HIGH: VERIFY",IF(L383="END DATE NOT PASSED","MEDIUM: CHECK STATUS","LOW: HISTORICAL")))</f>
        <v/>
      </c>
      <c r="O383" s="33" t="inlineStr">
        <is>
          <t>Validar documento firmado, revision/WO/sitio, material afectado y evidencia antes de activar alerta automatica.</t>
        </is>
      </c>
    </row>
    <row r="384">
      <c r="A384" s="43" t="inlineStr">
        <is>
          <t>CTANJZ05345</t>
        </is>
      </c>
      <c r="B384" s="43" t="inlineStr">
        <is>
          <t>D612428</t>
        </is>
      </c>
      <c r="C384" s="43" t="inlineStr">
        <is>
          <t>STBU</t>
        </is>
      </c>
      <c r="D384" s="43" t="inlineStr">
        <is>
          <t>Expired</t>
        </is>
      </c>
      <c r="E384" s="32" t="n">
        <v>46219</v>
      </c>
      <c r="F384" s="32" t="n">
        <v>46301</v>
      </c>
      <c r="G384" s="43" t="n">
        <v>2</v>
      </c>
      <c r="H384" s="43" t="n">
        <v>2</v>
      </c>
      <c r="I384" s="33" t="inlineStr"/>
      <c r="J384" s="33" t="inlineStr"/>
      <c r="K384" s="33" t="inlineStr"/>
      <c r="L384" s="34">
        <f>IF(F384="","REVIEW: DATE CONFLICT/EMPTY",IF(F384&lt;'Change Overview'!$B$5,"END DATE PASSED","END DATE NOT PASSED"))</f>
        <v/>
      </c>
      <c r="M384" s="34">
        <f>IF(K384&lt;&gt;"","REVIEW SOURCE CONFLICT",IF(OR(ISNUMBER(SEARCH("CCB",D384)),ISNUMBER(SEARCH("Pending",D384))),"CCB/PENDING",IF(OR(ISNUMBER(SEARCH("Expired",D384)),ISNUMBER(SEARCH("Closed",D384))),"CLOSED/EXPIRED",IF(E384="","NO RELEASE DATE","REVIEW APPROVAL"))))</f>
        <v/>
      </c>
      <c r="N384" s="34">
        <f>IF(K384&lt;&gt;"","HIGH: SOURCE CONFLICT",IF(AND(L384="END DATE NOT PASSED",M384="REVIEW APPROVAL"),"HIGH: VERIFY",IF(L384="END DATE NOT PASSED","MEDIUM: CHECK STATUS","LOW: HISTORICAL")))</f>
        <v/>
      </c>
      <c r="O384" s="33" t="inlineStr">
        <is>
          <t>Validar documento firmado, revision/WO/sitio, material afectado y evidencia antes de activar alerta automatica.</t>
        </is>
      </c>
    </row>
    <row r="385">
      <c r="A385" s="43" t="inlineStr">
        <is>
          <t>CTANJZ05346</t>
        </is>
      </c>
      <c r="B385" s="43" t="inlineStr">
        <is>
          <t>DP526305</t>
        </is>
      </c>
      <c r="C385" s="43" t="inlineStr">
        <is>
          <t>CVEBU</t>
        </is>
      </c>
      <c r="D385" s="43" t="inlineStr">
        <is>
          <t>Expired</t>
        </is>
      </c>
      <c r="E385" s="32" t="n">
        <v>46224</v>
      </c>
      <c r="F385" s="32" t="n">
        <v>46257</v>
      </c>
      <c r="G385" s="43" t="n">
        <v>2</v>
      </c>
      <c r="H385" s="43" t="n">
        <v>2</v>
      </c>
      <c r="I385" s="33" t="inlineStr"/>
      <c r="J385" s="33" t="inlineStr"/>
      <c r="K385" s="33" t="inlineStr"/>
      <c r="L385" s="34">
        <f>IF(F385="","REVIEW: DATE CONFLICT/EMPTY",IF(F385&lt;'Change Overview'!$B$5,"END DATE PASSED","END DATE NOT PASSED"))</f>
        <v/>
      </c>
      <c r="M385" s="34">
        <f>IF(K385&lt;&gt;"","REVIEW SOURCE CONFLICT",IF(OR(ISNUMBER(SEARCH("CCB",D385)),ISNUMBER(SEARCH("Pending",D385))),"CCB/PENDING",IF(OR(ISNUMBER(SEARCH("Expired",D385)),ISNUMBER(SEARCH("Closed",D385))),"CLOSED/EXPIRED",IF(E385="","NO RELEASE DATE","REVIEW APPROVAL"))))</f>
        <v/>
      </c>
      <c r="N385" s="34">
        <f>IF(K385&lt;&gt;"","HIGH: SOURCE CONFLICT",IF(AND(L385="END DATE NOT PASSED",M385="REVIEW APPROVAL"),"HIGH: VERIFY",IF(L385="END DATE NOT PASSED","MEDIUM: CHECK STATUS","LOW: HISTORICAL")))</f>
        <v/>
      </c>
      <c r="O385" s="33" t="inlineStr">
        <is>
          <t>Validar documento firmado, revision/WO/sitio, material afectado y evidencia antes de activar alerta automatica.</t>
        </is>
      </c>
    </row>
    <row r="386">
      <c r="A386" s="43" t="inlineStr">
        <is>
          <t>CTANJZ05347</t>
        </is>
      </c>
      <c r="B386" s="43" t="inlineStr">
        <is>
          <t>D611853</t>
        </is>
      </c>
      <c r="C386" s="43" t="inlineStr">
        <is>
          <t>CRBU</t>
        </is>
      </c>
      <c r="D386" s="43" t="inlineStr">
        <is>
          <t>Expired</t>
        </is>
      </c>
      <c r="E386" s="32" t="n">
        <v>46227</v>
      </c>
      <c r="F386" s="32" t="n">
        <v>46301</v>
      </c>
      <c r="G386" s="43" t="n">
        <v>4</v>
      </c>
      <c r="H386" s="43" t="n">
        <v>2</v>
      </c>
      <c r="I386" s="33" t="inlineStr">
        <is>
          <t>73-102363-05</t>
        </is>
      </c>
      <c r="J386" s="33" t="inlineStr"/>
      <c r="K386" s="33" t="inlineStr"/>
      <c r="L386" s="34">
        <f>IF(F386="","REVIEW: DATE CONFLICT/EMPTY",IF(F386&lt;'Change Overview'!$B$5,"END DATE PASSED","END DATE NOT PASSED"))</f>
        <v/>
      </c>
      <c r="M386" s="34">
        <f>IF(K386&lt;&gt;"","REVIEW SOURCE CONFLICT",IF(OR(ISNUMBER(SEARCH("CCB",D386)),ISNUMBER(SEARCH("Pending",D386))),"CCB/PENDING",IF(OR(ISNUMBER(SEARCH("Expired",D386)),ISNUMBER(SEARCH("Closed",D386))),"CLOSED/EXPIRED",IF(E386="","NO RELEASE DATE","REVIEW APPROVAL"))))</f>
        <v/>
      </c>
      <c r="N386" s="34">
        <f>IF(K386&lt;&gt;"","HIGH: SOURCE CONFLICT",IF(AND(L386="END DATE NOT PASSED",M386="REVIEW APPROVAL"),"HIGH: VERIFY",IF(L386="END DATE NOT PASSED","MEDIUM: CHECK STATUS","LOW: HISTORICAL")))</f>
        <v/>
      </c>
      <c r="O386" s="33" t="inlineStr">
        <is>
          <t>Validar documento firmado, revision/WO/sitio, material afectado y evidencia antes de activar alerta automatica.</t>
        </is>
      </c>
    </row>
    <row r="387">
      <c r="A387" s="43" t="inlineStr">
        <is>
          <t>CTANJZ05348</t>
        </is>
      </c>
      <c r="B387" s="43" t="inlineStr">
        <is>
          <t>D612482</t>
        </is>
      </c>
      <c r="C387" s="43" t="inlineStr">
        <is>
          <t>STBU</t>
        </is>
      </c>
      <c r="D387" s="43" t="inlineStr">
        <is>
          <t>Expired</t>
        </is>
      </c>
      <c r="E387" s="32" t="n">
        <v>46224</v>
      </c>
      <c r="F387" s="32" t="n">
        <v>46302</v>
      </c>
      <c r="G387" s="43" t="n">
        <v>4</v>
      </c>
      <c r="H387" s="43" t="n">
        <v>2</v>
      </c>
      <c r="I387" s="33" t="inlineStr">
        <is>
          <t>73-20249-06</t>
        </is>
      </c>
      <c r="J387" s="33" t="inlineStr">
        <is>
          <t>TUFNELL PARK</t>
        </is>
      </c>
      <c r="K387" s="33" t="inlineStr"/>
      <c r="L387" s="34">
        <f>IF(F387="","REVIEW: DATE CONFLICT/EMPTY",IF(F387&lt;'Change Overview'!$B$5,"END DATE PASSED","END DATE NOT PASSED"))</f>
        <v/>
      </c>
      <c r="M387" s="34">
        <f>IF(K387&lt;&gt;"","REVIEW SOURCE CONFLICT",IF(OR(ISNUMBER(SEARCH("CCB",D387)),ISNUMBER(SEARCH("Pending",D387))),"CCB/PENDING",IF(OR(ISNUMBER(SEARCH("Expired",D387)),ISNUMBER(SEARCH("Closed",D387))),"CLOSED/EXPIRED",IF(E387="","NO RELEASE DATE","REVIEW APPROVAL"))))</f>
        <v/>
      </c>
      <c r="N387" s="34">
        <f>IF(K387&lt;&gt;"","HIGH: SOURCE CONFLICT",IF(AND(L387="END DATE NOT PASSED",M387="REVIEW APPROVAL"),"HIGH: VERIFY",IF(L387="END DATE NOT PASSED","MEDIUM: CHECK STATUS","LOW: HISTORICAL")))</f>
        <v/>
      </c>
      <c r="O387" s="33" t="inlineStr">
        <is>
          <t>Validar documento firmado, revision/WO/sitio, material afectado y evidencia antes de activar alerta automatica.</t>
        </is>
      </c>
    </row>
    <row r="388">
      <c r="A388" s="43" t="inlineStr">
        <is>
          <t>CTANJZ05349</t>
        </is>
      </c>
      <c r="B388" s="43" t="inlineStr">
        <is>
          <t>D612481</t>
        </is>
      </c>
      <c r="C388" s="43" t="inlineStr">
        <is>
          <t>STBU</t>
        </is>
      </c>
      <c r="D388" s="43" t="inlineStr">
        <is>
          <t>Expired</t>
        </is>
      </c>
      <c r="E388" s="32" t="n">
        <v>46224</v>
      </c>
      <c r="F388" s="32" t="n">
        <v>46302</v>
      </c>
      <c r="G388" s="43" t="n">
        <v>4</v>
      </c>
      <c r="H388" s="43" t="n">
        <v>2</v>
      </c>
      <c r="I388" s="33" t="inlineStr">
        <is>
          <t>73-18489-08</t>
        </is>
      </c>
      <c r="J388" s="33" t="inlineStr"/>
      <c r="K388" s="33" t="inlineStr"/>
      <c r="L388" s="34">
        <f>IF(F388="","REVIEW: DATE CONFLICT/EMPTY",IF(F388&lt;'Change Overview'!$B$5,"END DATE PASSED","END DATE NOT PASSED"))</f>
        <v/>
      </c>
      <c r="M388" s="34">
        <f>IF(K388&lt;&gt;"","REVIEW SOURCE CONFLICT",IF(OR(ISNUMBER(SEARCH("CCB",D388)),ISNUMBER(SEARCH("Pending",D388))),"CCB/PENDING",IF(OR(ISNUMBER(SEARCH("Expired",D388)),ISNUMBER(SEARCH("Closed",D388))),"CLOSED/EXPIRED",IF(E388="","NO RELEASE DATE","REVIEW APPROVAL"))))</f>
        <v/>
      </c>
      <c r="N388" s="34">
        <f>IF(K388&lt;&gt;"","HIGH: SOURCE CONFLICT",IF(AND(L388="END DATE NOT PASSED",M388="REVIEW APPROVAL"),"HIGH: VERIFY",IF(L388="END DATE NOT PASSED","MEDIUM: CHECK STATUS","LOW: HISTORICAL")))</f>
        <v/>
      </c>
      <c r="O388" s="33" t="inlineStr">
        <is>
          <t>Validar documento firmado, revision/WO/sitio, material afectado y evidencia antes de activar alerta automatica.</t>
        </is>
      </c>
    </row>
    <row r="389">
      <c r="A389" s="43" t="inlineStr">
        <is>
          <t>CTANJZ05350</t>
        </is>
      </c>
      <c r="B389" s="43" t="inlineStr">
        <is>
          <t>D612480</t>
        </is>
      </c>
      <c r="C389" s="43" t="inlineStr">
        <is>
          <t>STBU</t>
        </is>
      </c>
      <c r="D389" s="43" t="inlineStr">
        <is>
          <t>Expired</t>
        </is>
      </c>
      <c r="E389" s="32" t="n">
        <v>46224</v>
      </c>
      <c r="F389" s="32" t="n">
        <v>46302</v>
      </c>
      <c r="G389" s="43" t="n">
        <v>4</v>
      </c>
      <c r="H389" s="43" t="n">
        <v>2</v>
      </c>
      <c r="I389" s="33" t="inlineStr">
        <is>
          <t>73-20249-06</t>
        </is>
      </c>
      <c r="J389" s="33" t="inlineStr">
        <is>
          <t>TUFNELL PARK</t>
        </is>
      </c>
      <c r="K389" s="33" t="inlineStr"/>
      <c r="L389" s="34">
        <f>IF(F389="","REVIEW: DATE CONFLICT/EMPTY",IF(F389&lt;'Change Overview'!$B$5,"END DATE PASSED","END DATE NOT PASSED"))</f>
        <v/>
      </c>
      <c r="M389" s="34">
        <f>IF(K389&lt;&gt;"","REVIEW SOURCE CONFLICT",IF(OR(ISNUMBER(SEARCH("CCB",D389)),ISNUMBER(SEARCH("Pending",D389))),"CCB/PENDING",IF(OR(ISNUMBER(SEARCH("Expired",D389)),ISNUMBER(SEARCH("Closed",D389))),"CLOSED/EXPIRED",IF(E389="","NO RELEASE DATE","REVIEW APPROVAL"))))</f>
        <v/>
      </c>
      <c r="N389" s="34">
        <f>IF(K389&lt;&gt;"","HIGH: SOURCE CONFLICT",IF(AND(L389="END DATE NOT PASSED",M389="REVIEW APPROVAL"),"HIGH: VERIFY",IF(L389="END DATE NOT PASSED","MEDIUM: CHECK STATUS","LOW: HISTORICAL")))</f>
        <v/>
      </c>
      <c r="O389" s="33" t="inlineStr">
        <is>
          <t>Validar documento firmado, revision/WO/sitio, material afectado y evidencia antes de activar alerta automatica.</t>
        </is>
      </c>
    </row>
    <row r="390">
      <c r="A390" s="43" t="inlineStr">
        <is>
          <t>CTANJZ05351</t>
        </is>
      </c>
      <c r="B390" s="43" t="inlineStr">
        <is>
          <t>D612083</t>
        </is>
      </c>
      <c r="C390" s="43" t="inlineStr">
        <is>
          <t>CRBU</t>
        </is>
      </c>
      <c r="D390" s="43" t="inlineStr">
        <is>
          <t>Extended</t>
        </is>
      </c>
      <c r="E390" s="32" t="n">
        <v>46227</v>
      </c>
      <c r="F390" s="32" t="n">
        <v>46390</v>
      </c>
      <c r="G390" s="43" t="n">
        <v>4</v>
      </c>
      <c r="H390" s="43" t="n">
        <v>2</v>
      </c>
      <c r="I390" s="33" t="inlineStr">
        <is>
          <t>73-102363-05</t>
        </is>
      </c>
      <c r="J390" s="33" t="inlineStr"/>
      <c r="K390" s="33" t="inlineStr"/>
      <c r="L390" s="34">
        <f>IF(F390="","REVIEW: DATE CONFLICT/EMPTY",IF(F390&lt;'Change Overview'!$B$5,"END DATE PASSED","END DATE NOT PASSED"))</f>
        <v/>
      </c>
      <c r="M390" s="34">
        <f>IF(K390&lt;&gt;"","REVIEW SOURCE CONFLICT",IF(OR(ISNUMBER(SEARCH("CCB",D390)),ISNUMBER(SEARCH("Pending",D390))),"CCB/PENDING",IF(OR(ISNUMBER(SEARCH("Expired",D390)),ISNUMBER(SEARCH("Closed",D390))),"CLOSED/EXPIRED",IF(E390="","NO RELEASE DATE","REVIEW APPROVAL"))))</f>
        <v/>
      </c>
      <c r="N390" s="34">
        <f>IF(K390&lt;&gt;"","HIGH: SOURCE CONFLICT",IF(AND(L390="END DATE NOT PASSED",M390="REVIEW APPROVAL"),"HIGH: VERIFY",IF(L390="END DATE NOT PASSED","MEDIUM: CHECK STATUS","LOW: HISTORICAL")))</f>
        <v/>
      </c>
      <c r="O390" s="33" t="inlineStr">
        <is>
          <t>Validar documento firmado, revision/WO/sitio, material afectado y evidencia antes de activar alerta automatica.</t>
        </is>
      </c>
    </row>
    <row r="391">
      <c r="A391" s="43" t="inlineStr">
        <is>
          <t>CTANJZ05352</t>
        </is>
      </c>
      <c r="B391" s="43" t="inlineStr">
        <is>
          <t>D611822</t>
        </is>
      </c>
      <c r="C391" s="43" t="inlineStr">
        <is>
          <t>CRBU</t>
        </is>
      </c>
      <c r="D391" s="43" t="inlineStr">
        <is>
          <t>Extended</t>
        </is>
      </c>
      <c r="E391" s="32" t="n">
        <v>46227</v>
      </c>
      <c r="F391" s="32" t="n">
        <v>46390</v>
      </c>
      <c r="G391" s="43" t="n">
        <v>4</v>
      </c>
      <c r="H391" s="43" t="n">
        <v>2</v>
      </c>
      <c r="I391" s="33" t="inlineStr">
        <is>
          <t>73-102363-05</t>
        </is>
      </c>
      <c r="J391" s="33" t="inlineStr"/>
      <c r="K391" s="33" t="inlineStr"/>
      <c r="L391" s="34">
        <f>IF(F391="","REVIEW: DATE CONFLICT/EMPTY",IF(F391&lt;'Change Overview'!$B$5,"END DATE PASSED","END DATE NOT PASSED"))</f>
        <v/>
      </c>
      <c r="M391" s="34">
        <f>IF(K391&lt;&gt;"","REVIEW SOURCE CONFLICT",IF(OR(ISNUMBER(SEARCH("CCB",D391)),ISNUMBER(SEARCH("Pending",D391))),"CCB/PENDING",IF(OR(ISNUMBER(SEARCH("Expired",D391)),ISNUMBER(SEARCH("Closed",D391))),"CLOSED/EXPIRED",IF(E391="","NO RELEASE DATE","REVIEW APPROVAL"))))</f>
        <v/>
      </c>
      <c r="N391" s="34">
        <f>IF(K391&lt;&gt;"","HIGH: SOURCE CONFLICT",IF(AND(L391="END DATE NOT PASSED",M391="REVIEW APPROVAL"),"HIGH: VERIFY",IF(L391="END DATE NOT PASSED","MEDIUM: CHECK STATUS","LOW: HISTORICAL")))</f>
        <v/>
      </c>
      <c r="O391" s="33" t="inlineStr">
        <is>
          <t>Validar documento firmado, revision/WO/sitio, material afectado y evidencia antes de activar alerta automatica.</t>
        </is>
      </c>
    </row>
    <row r="392">
      <c r="A392" s="43" t="inlineStr">
        <is>
          <t>CTANJZ05353</t>
        </is>
      </c>
      <c r="B392" s="43" t="inlineStr">
        <is>
          <t>D612478</t>
        </is>
      </c>
      <c r="C392" s="43" t="inlineStr">
        <is>
          <t>STBU</t>
        </is>
      </c>
      <c r="D392" s="43" t="inlineStr">
        <is>
          <t>Expired</t>
        </is>
      </c>
      <c r="E392" s="32" t="n">
        <v>46224</v>
      </c>
      <c r="F392" s="32" t="n">
        <v>46302</v>
      </c>
      <c r="G392" s="43" t="n">
        <v>4</v>
      </c>
      <c r="H392" s="43" t="n">
        <v>2</v>
      </c>
      <c r="I392" s="33" t="inlineStr">
        <is>
          <t>73-18489-08</t>
        </is>
      </c>
      <c r="J392" s="33" t="inlineStr"/>
      <c r="K392" s="33" t="inlineStr"/>
      <c r="L392" s="34">
        <f>IF(F392="","REVIEW: DATE CONFLICT/EMPTY",IF(F392&lt;'Change Overview'!$B$5,"END DATE PASSED","END DATE NOT PASSED"))</f>
        <v/>
      </c>
      <c r="M392" s="34">
        <f>IF(K392&lt;&gt;"","REVIEW SOURCE CONFLICT",IF(OR(ISNUMBER(SEARCH("CCB",D392)),ISNUMBER(SEARCH("Pending",D392))),"CCB/PENDING",IF(OR(ISNUMBER(SEARCH("Expired",D392)),ISNUMBER(SEARCH("Closed",D392))),"CLOSED/EXPIRED",IF(E392="","NO RELEASE DATE","REVIEW APPROVAL"))))</f>
        <v/>
      </c>
      <c r="N392" s="34">
        <f>IF(K392&lt;&gt;"","HIGH: SOURCE CONFLICT",IF(AND(L392="END DATE NOT PASSED",M392="REVIEW APPROVAL"),"HIGH: VERIFY",IF(L392="END DATE NOT PASSED","MEDIUM: CHECK STATUS","LOW: HISTORICAL")))</f>
        <v/>
      </c>
      <c r="O392" s="33" t="inlineStr">
        <is>
          <t>Validar documento firmado, revision/WO/sitio, material afectado y evidencia antes de activar alerta automatica.</t>
        </is>
      </c>
    </row>
    <row r="393">
      <c r="A393" s="43" t="inlineStr">
        <is>
          <t>CTANJZ05389</t>
        </is>
      </c>
      <c r="B393" s="43" t="inlineStr">
        <is>
          <t>D612687</t>
        </is>
      </c>
      <c r="C393" s="43" t="inlineStr">
        <is>
          <t>SRGBU</t>
        </is>
      </c>
      <c r="D393" s="43" t="inlineStr">
        <is>
          <t>Expired</t>
        </is>
      </c>
      <c r="E393" s="32" t="n">
        <v>46242</v>
      </c>
      <c r="F393" s="32" t="n">
        <v>46306</v>
      </c>
      <c r="G393" s="43" t="n">
        <v>1</v>
      </c>
      <c r="H393" s="43" t="n">
        <v>1</v>
      </c>
      <c r="I393" s="33" t="inlineStr"/>
      <c r="J393" s="33" t="inlineStr"/>
      <c r="K393" s="33" t="inlineStr"/>
      <c r="L393" s="34">
        <f>IF(F393="","REVIEW: DATE CONFLICT/EMPTY",IF(F393&lt;'Change Overview'!$B$5,"END DATE PASSED","END DATE NOT PASSED"))</f>
        <v/>
      </c>
      <c r="M393" s="34">
        <f>IF(K393&lt;&gt;"","REVIEW SOURCE CONFLICT",IF(OR(ISNUMBER(SEARCH("CCB",D393)),ISNUMBER(SEARCH("Pending",D393))),"CCB/PENDING",IF(OR(ISNUMBER(SEARCH("Expired",D393)),ISNUMBER(SEARCH("Closed",D393))),"CLOSED/EXPIRED",IF(E393="","NO RELEASE DATE","REVIEW APPROVAL"))))</f>
        <v/>
      </c>
      <c r="N393" s="34">
        <f>IF(K393&lt;&gt;"","HIGH: SOURCE CONFLICT",IF(AND(L393="END DATE NOT PASSED",M393="REVIEW APPROVAL"),"HIGH: VERIFY",IF(L393="END DATE NOT PASSED","MEDIUM: CHECK STATUS","LOW: HISTORICAL")))</f>
        <v/>
      </c>
      <c r="O393" s="33" t="inlineStr">
        <is>
          <t>Validar documento firmado, revision/WO/sitio, material afectado y evidencia antes de activar alerta automatica.</t>
        </is>
      </c>
    </row>
    <row r="394">
      <c r="A394" s="43" t="inlineStr">
        <is>
          <t>CTANJZ05390</t>
        </is>
      </c>
      <c r="B394" s="43" t="inlineStr">
        <is>
          <t>D611890</t>
        </is>
      </c>
      <c r="C394" s="43" t="inlineStr">
        <is>
          <t>CRBU</t>
        </is>
      </c>
      <c r="D394" s="43" t="inlineStr">
        <is>
          <t>Expired</t>
        </is>
      </c>
      <c r="E394" s="32" t="n">
        <v>46242</v>
      </c>
      <c r="F394" s="32" t="n">
        <v>46306</v>
      </c>
      <c r="G394" s="43" t="n">
        <v>2</v>
      </c>
      <c r="H394" s="43" t="n">
        <v>1</v>
      </c>
      <c r="I394" s="33" t="inlineStr"/>
      <c r="J394" s="33" t="inlineStr"/>
      <c r="K394" s="33" t="inlineStr"/>
      <c r="L394" s="34">
        <f>IF(F394="","REVIEW: DATE CONFLICT/EMPTY",IF(F394&lt;'Change Overview'!$B$5,"END DATE PASSED","END DATE NOT PASSED"))</f>
        <v/>
      </c>
      <c r="M394" s="34">
        <f>IF(K394&lt;&gt;"","REVIEW SOURCE CONFLICT",IF(OR(ISNUMBER(SEARCH("CCB",D394)),ISNUMBER(SEARCH("Pending",D394))),"CCB/PENDING",IF(OR(ISNUMBER(SEARCH("Expired",D394)),ISNUMBER(SEARCH("Closed",D394))),"CLOSED/EXPIRED",IF(E394="","NO RELEASE DATE","REVIEW APPROVAL"))))</f>
        <v/>
      </c>
      <c r="N394" s="34">
        <f>IF(K394&lt;&gt;"","HIGH: SOURCE CONFLICT",IF(AND(L394="END DATE NOT PASSED",M394="REVIEW APPROVAL"),"HIGH: VERIFY",IF(L394="END DATE NOT PASSED","MEDIUM: CHECK STATUS","LOW: HISTORICAL")))</f>
        <v/>
      </c>
      <c r="O394" s="33" t="inlineStr">
        <is>
          <t>Validar documento firmado, revision/WO/sitio, material afectado y evidencia antes de activar alerta automatica.</t>
        </is>
      </c>
    </row>
    <row r="395">
      <c r="A395" s="43" t="inlineStr">
        <is>
          <t>CTANJZ05394</t>
        </is>
      </c>
      <c r="B395" s="43" t="inlineStr">
        <is>
          <t>D612245</t>
        </is>
      </c>
      <c r="C395" s="43" t="inlineStr">
        <is>
          <t>STBU</t>
        </is>
      </c>
      <c r="D395" s="43" t="inlineStr">
        <is>
          <t>Expired</t>
        </is>
      </c>
      <c r="E395" s="32" t="n">
        <v>46249</v>
      </c>
      <c r="F395" s="32" t="n">
        <v>46308</v>
      </c>
      <c r="G395" s="43" t="n">
        <v>2</v>
      </c>
      <c r="H395" s="43" t="n">
        <v>2</v>
      </c>
      <c r="I395" s="33" t="inlineStr"/>
      <c r="J395" s="33" t="inlineStr"/>
      <c r="K395" s="33" t="inlineStr"/>
      <c r="L395" s="34">
        <f>IF(F395="","REVIEW: DATE CONFLICT/EMPTY",IF(F395&lt;'Change Overview'!$B$5,"END DATE PASSED","END DATE NOT PASSED"))</f>
        <v/>
      </c>
      <c r="M395" s="34">
        <f>IF(K395&lt;&gt;"","REVIEW SOURCE CONFLICT",IF(OR(ISNUMBER(SEARCH("CCB",D395)),ISNUMBER(SEARCH("Pending",D395))),"CCB/PENDING",IF(OR(ISNUMBER(SEARCH("Expired",D395)),ISNUMBER(SEARCH("Closed",D395))),"CLOSED/EXPIRED",IF(E395="","NO RELEASE DATE","REVIEW APPROVAL"))))</f>
        <v/>
      </c>
      <c r="N395" s="34">
        <f>IF(K395&lt;&gt;"","HIGH: SOURCE CONFLICT",IF(AND(L395="END DATE NOT PASSED",M395="REVIEW APPROVAL"),"HIGH: VERIFY",IF(L395="END DATE NOT PASSED","MEDIUM: CHECK STATUS","LOW: HISTORICAL")))</f>
        <v/>
      </c>
      <c r="O395" s="33" t="inlineStr">
        <is>
          <t>Validar documento firmado, revision/WO/sitio, material afectado y evidencia antes de activar alerta automatica.</t>
        </is>
      </c>
    </row>
    <row r="396">
      <c r="A396" s="43" t="inlineStr">
        <is>
          <t>CTANJZ05395</t>
        </is>
      </c>
      <c r="B396" s="43" t="inlineStr">
        <is>
          <t>D612689</t>
        </is>
      </c>
      <c r="C396" s="43" t="inlineStr">
        <is>
          <t>STBU</t>
        </is>
      </c>
      <c r="D396" s="43" t="inlineStr">
        <is>
          <t>Expired</t>
        </is>
      </c>
      <c r="E396" s="32" t="n">
        <v>46249</v>
      </c>
      <c r="F396" s="32" t="n">
        <v>46309</v>
      </c>
      <c r="G396" s="43" t="n">
        <v>3</v>
      </c>
      <c r="H396" s="43" t="n">
        <v>3</v>
      </c>
      <c r="I396" s="33" t="inlineStr"/>
      <c r="J396" s="33" t="inlineStr"/>
      <c r="K396" s="33" t="inlineStr"/>
      <c r="L396" s="34">
        <f>IF(F396="","REVIEW: DATE CONFLICT/EMPTY",IF(F396&lt;'Change Overview'!$B$5,"END DATE PASSED","END DATE NOT PASSED"))</f>
        <v/>
      </c>
      <c r="M396" s="34">
        <f>IF(K396&lt;&gt;"","REVIEW SOURCE CONFLICT",IF(OR(ISNUMBER(SEARCH("CCB",D396)),ISNUMBER(SEARCH("Pending",D396))),"CCB/PENDING",IF(OR(ISNUMBER(SEARCH("Expired",D396)),ISNUMBER(SEARCH("Closed",D396))),"CLOSED/EXPIRED",IF(E396="","NO RELEASE DATE","REVIEW APPROVAL"))))</f>
        <v/>
      </c>
      <c r="N396" s="34">
        <f>IF(K396&lt;&gt;"","HIGH: SOURCE CONFLICT",IF(AND(L396="END DATE NOT PASSED",M396="REVIEW APPROVAL"),"HIGH: VERIFY",IF(L396="END DATE NOT PASSED","MEDIUM: CHECK STATUS","LOW: HISTORICAL")))</f>
        <v/>
      </c>
      <c r="O396" s="33" t="inlineStr">
        <is>
          <t>Validar documento firmado, revision/WO/sitio, material afectado y evidencia antes de activar alerta automatica.</t>
        </is>
      </c>
    </row>
    <row r="397">
      <c r="A397" s="43" t="inlineStr">
        <is>
          <t>CTANJZ05396</t>
        </is>
      </c>
      <c r="B397" s="43" t="inlineStr">
        <is>
          <t>D612685</t>
        </is>
      </c>
      <c r="C397" s="43" t="inlineStr">
        <is>
          <t>CRBU</t>
        </is>
      </c>
      <c r="D397" s="43" t="inlineStr">
        <is>
          <t>Expired</t>
        </is>
      </c>
      <c r="E397" s="32" t="n">
        <v>46255</v>
      </c>
      <c r="F397" s="32" t="n">
        <v>46308</v>
      </c>
      <c r="G397" s="43" t="n">
        <v>5</v>
      </c>
      <c r="H397" s="43" t="n">
        <v>5</v>
      </c>
      <c r="I397" s="33" t="inlineStr">
        <is>
          <t>73-20176-08, 73-20516-05</t>
        </is>
      </c>
      <c r="J397" s="33" t="inlineStr"/>
      <c r="K397" s="33" t="inlineStr"/>
      <c r="L397" s="34">
        <f>IF(F397="","REVIEW: DATE CONFLICT/EMPTY",IF(F397&lt;'Change Overview'!$B$5,"END DATE PASSED","END DATE NOT PASSED"))</f>
        <v/>
      </c>
      <c r="M397" s="34">
        <f>IF(K397&lt;&gt;"","REVIEW SOURCE CONFLICT",IF(OR(ISNUMBER(SEARCH("CCB",D397)),ISNUMBER(SEARCH("Pending",D397))),"CCB/PENDING",IF(OR(ISNUMBER(SEARCH("Expired",D397)),ISNUMBER(SEARCH("Closed",D397))),"CLOSED/EXPIRED",IF(E397="","NO RELEASE DATE","REVIEW APPROVAL"))))</f>
        <v/>
      </c>
      <c r="N397" s="34">
        <f>IF(K397&lt;&gt;"","HIGH: SOURCE CONFLICT",IF(AND(L397="END DATE NOT PASSED",M397="REVIEW APPROVAL"),"HIGH: VERIFY",IF(L397="END DATE NOT PASSED","MEDIUM: CHECK STATUS","LOW: HISTORICAL")))</f>
        <v/>
      </c>
      <c r="O397" s="33" t="inlineStr">
        <is>
          <t>Validar documento firmado, revision/WO/sitio, material afectado y evidencia antes de activar alerta automatica.</t>
        </is>
      </c>
    </row>
    <row r="398">
      <c r="A398" s="43" t="inlineStr">
        <is>
          <t>CTANJZ05398</t>
        </is>
      </c>
      <c r="B398" s="43" t="inlineStr">
        <is>
          <t>D612843</t>
        </is>
      </c>
      <c r="C398" s="43" t="inlineStr">
        <is>
          <t>STBU</t>
        </is>
      </c>
      <c r="D398" s="43" t="inlineStr">
        <is>
          <t>FAI Status</t>
        </is>
      </c>
      <c r="E398" s="32" t="n">
        <v>46249</v>
      </c>
      <c r="F398" s="32" t="n">
        <v>46313</v>
      </c>
      <c r="G398" s="43" t="n">
        <v>4</v>
      </c>
      <c r="H398" s="43" t="n">
        <v>2</v>
      </c>
      <c r="I398" s="33" t="inlineStr">
        <is>
          <t>73-20247-06</t>
        </is>
      </c>
      <c r="J398" s="33" t="inlineStr">
        <is>
          <t>TUFNELL PARK</t>
        </is>
      </c>
      <c r="K398" s="33" t="inlineStr"/>
      <c r="L398" s="34">
        <f>IF(F398="","REVIEW: DATE CONFLICT/EMPTY",IF(F398&lt;'Change Overview'!$B$5,"END DATE PASSED","END DATE NOT PASSED"))</f>
        <v/>
      </c>
      <c r="M398" s="34">
        <f>IF(K398&lt;&gt;"","REVIEW SOURCE CONFLICT",IF(OR(ISNUMBER(SEARCH("CCB",D398)),ISNUMBER(SEARCH("Pending",D398))),"CCB/PENDING",IF(OR(ISNUMBER(SEARCH("Expired",D398)),ISNUMBER(SEARCH("Closed",D398))),"CLOSED/EXPIRED",IF(E398="","NO RELEASE DATE","REVIEW APPROVAL"))))</f>
        <v/>
      </c>
      <c r="N398" s="34">
        <f>IF(K398&lt;&gt;"","HIGH: SOURCE CONFLICT",IF(AND(L398="END DATE NOT PASSED",M398="REVIEW APPROVAL"),"HIGH: VERIFY",IF(L398="END DATE NOT PASSED","MEDIUM: CHECK STATUS","LOW: HISTORICAL")))</f>
        <v/>
      </c>
      <c r="O398" s="33" t="inlineStr">
        <is>
          <t>Validar documento firmado, revision/WO/sitio, material afectado y evidencia antes de activar alerta automatica.</t>
        </is>
      </c>
    </row>
    <row r="399">
      <c r="A399" s="43" t="inlineStr">
        <is>
          <t>CTANJZ05400</t>
        </is>
      </c>
      <c r="B399" s="43" t="inlineStr">
        <is>
          <t>D612658</t>
        </is>
      </c>
      <c r="C399" s="43" t="inlineStr">
        <is>
          <t>STBU</t>
        </is>
      </c>
      <c r="D399" s="43" t="inlineStr">
        <is>
          <t>FAI Status</t>
        </is>
      </c>
      <c r="E399" s="32" t="n">
        <v>46242</v>
      </c>
      <c r="F399" s="32" t="n">
        <v>46313</v>
      </c>
      <c r="G399" s="43" t="n">
        <v>8</v>
      </c>
      <c r="H399" s="43" t="n">
        <v>8</v>
      </c>
      <c r="I399" s="33" t="inlineStr">
        <is>
          <t>73-102433-06, 73-102434-06, 73-102435-06, 73-103633-04</t>
        </is>
      </c>
      <c r="J399" s="33" t="inlineStr"/>
      <c r="K399" s="33" t="inlineStr"/>
      <c r="L399" s="34">
        <f>IF(F399="","REVIEW: DATE CONFLICT/EMPTY",IF(F399&lt;'Change Overview'!$B$5,"END DATE PASSED","END DATE NOT PASSED"))</f>
        <v/>
      </c>
      <c r="M399" s="34">
        <f>IF(K399&lt;&gt;"","REVIEW SOURCE CONFLICT",IF(OR(ISNUMBER(SEARCH("CCB",D399)),ISNUMBER(SEARCH("Pending",D399))),"CCB/PENDING",IF(OR(ISNUMBER(SEARCH("Expired",D399)),ISNUMBER(SEARCH("Closed",D399))),"CLOSED/EXPIRED",IF(E399="","NO RELEASE DATE","REVIEW APPROVAL"))))</f>
        <v/>
      </c>
      <c r="N399" s="34">
        <f>IF(K399&lt;&gt;"","HIGH: SOURCE CONFLICT",IF(AND(L399="END DATE NOT PASSED",M399="REVIEW APPROVAL"),"HIGH: VERIFY",IF(L399="END DATE NOT PASSED","MEDIUM: CHECK STATUS","LOW: HISTORICAL")))</f>
        <v/>
      </c>
      <c r="O399" s="33" t="inlineStr">
        <is>
          <t>Validar documento firmado, revision/WO/sitio, material afectado y evidencia antes de activar alerta automatica.</t>
        </is>
      </c>
    </row>
    <row r="400">
      <c r="A400" s="43" t="inlineStr">
        <is>
          <t>CTANJZ05402</t>
        </is>
      </c>
      <c r="B400" s="43" t="inlineStr">
        <is>
          <t>D612802</t>
        </is>
      </c>
      <c r="C400" s="43" t="inlineStr">
        <is>
          <t>SRGBU</t>
        </is>
      </c>
      <c r="D400" s="43" t="inlineStr">
        <is>
          <t>FAI Status</t>
        </is>
      </c>
      <c r="E400" s="32" t="n">
        <v>46242</v>
      </c>
      <c r="F400" s="32" t="n">
        <v>46314</v>
      </c>
      <c r="G400" s="43" t="n">
        <v>2</v>
      </c>
      <c r="H400" s="43" t="n">
        <v>2</v>
      </c>
      <c r="I400" s="33" t="inlineStr"/>
      <c r="J400" s="33" t="inlineStr"/>
      <c r="K400" s="33" t="inlineStr"/>
      <c r="L400" s="34">
        <f>IF(F400="","REVIEW: DATE CONFLICT/EMPTY",IF(F400&lt;'Change Overview'!$B$5,"END DATE PASSED","END DATE NOT PASSED"))</f>
        <v/>
      </c>
      <c r="M400" s="34">
        <f>IF(K400&lt;&gt;"","REVIEW SOURCE CONFLICT",IF(OR(ISNUMBER(SEARCH("CCB",D400)),ISNUMBER(SEARCH("Pending",D400))),"CCB/PENDING",IF(OR(ISNUMBER(SEARCH("Expired",D400)),ISNUMBER(SEARCH("Closed",D400))),"CLOSED/EXPIRED",IF(E400="","NO RELEASE DATE","REVIEW APPROVAL"))))</f>
        <v/>
      </c>
      <c r="N400" s="34">
        <f>IF(K400&lt;&gt;"","HIGH: SOURCE CONFLICT",IF(AND(L400="END DATE NOT PASSED",M400="REVIEW APPROVAL"),"HIGH: VERIFY",IF(L400="END DATE NOT PASSED","MEDIUM: CHECK STATUS","LOW: HISTORICAL")))</f>
        <v/>
      </c>
      <c r="O400" s="33" t="inlineStr">
        <is>
          <t>Validar documento firmado, revision/WO/sitio, material afectado y evidencia antes de activar alerta automatica.</t>
        </is>
      </c>
    </row>
    <row r="401">
      <c r="A401" s="43" t="inlineStr">
        <is>
          <t>CTANJZ05403</t>
        </is>
      </c>
      <c r="B401" s="43" t="inlineStr">
        <is>
          <t>D612842</t>
        </is>
      </c>
      <c r="C401" s="43" t="inlineStr">
        <is>
          <t>STBU</t>
        </is>
      </c>
      <c r="D401" s="43" t="inlineStr">
        <is>
          <t>FAI Status</t>
        </is>
      </c>
      <c r="E401" s="32" t="n">
        <v>46268</v>
      </c>
      <c r="F401" s="32" t="n">
        <v>46315</v>
      </c>
      <c r="G401" s="43" t="n">
        <v>4</v>
      </c>
      <c r="H401" s="43" t="n">
        <v>2</v>
      </c>
      <c r="I401" s="33" t="inlineStr">
        <is>
          <t>73-20247-06</t>
        </is>
      </c>
      <c r="J401" s="33" t="inlineStr">
        <is>
          <t>TUFNELL PARK</t>
        </is>
      </c>
      <c r="K401" s="33" t="inlineStr"/>
      <c r="L401" s="34">
        <f>IF(F401="","REVIEW: DATE CONFLICT/EMPTY",IF(F401&lt;'Change Overview'!$B$5,"END DATE PASSED","END DATE NOT PASSED"))</f>
        <v/>
      </c>
      <c r="M401" s="34">
        <f>IF(K401&lt;&gt;"","REVIEW SOURCE CONFLICT",IF(OR(ISNUMBER(SEARCH("CCB",D401)),ISNUMBER(SEARCH("Pending",D401))),"CCB/PENDING",IF(OR(ISNUMBER(SEARCH("Expired",D401)),ISNUMBER(SEARCH("Closed",D401))),"CLOSED/EXPIRED",IF(E401="","NO RELEASE DATE","REVIEW APPROVAL"))))</f>
        <v/>
      </c>
      <c r="N401" s="34">
        <f>IF(K401&lt;&gt;"","HIGH: SOURCE CONFLICT",IF(AND(L401="END DATE NOT PASSED",M401="REVIEW APPROVAL"),"HIGH: VERIFY",IF(L401="END DATE NOT PASSED","MEDIUM: CHECK STATUS","LOW: HISTORICAL")))</f>
        <v/>
      </c>
      <c r="O401" s="33" t="inlineStr">
        <is>
          <t>Validar documento firmado, revision/WO/sitio, material afectado y evidencia antes de activar alerta automatica.</t>
        </is>
      </c>
    </row>
    <row r="402">
      <c r="A402" s="43" t="inlineStr">
        <is>
          <t>CTANJZ05406</t>
        </is>
      </c>
      <c r="B402" s="43" t="inlineStr">
        <is>
          <t>D612801</t>
        </is>
      </c>
      <c r="C402" s="43" t="inlineStr">
        <is>
          <t>SRGBU</t>
        </is>
      </c>
      <c r="D402" s="43" t="inlineStr">
        <is>
          <t>FAI Status</t>
        </is>
      </c>
      <c r="E402" s="32" t="n">
        <v>46246</v>
      </c>
      <c r="F402" s="32" t="n">
        <v>46320</v>
      </c>
      <c r="G402" s="43" t="n">
        <v>2</v>
      </c>
      <c r="H402" s="43" t="n">
        <v>2</v>
      </c>
      <c r="I402" s="33" t="inlineStr">
        <is>
          <t>73-14506-08</t>
        </is>
      </c>
      <c r="J402" s="33" t="inlineStr"/>
      <c r="K402" s="33" t="inlineStr"/>
      <c r="L402" s="34">
        <f>IF(F402="","REVIEW: DATE CONFLICT/EMPTY",IF(F402&lt;'Change Overview'!$B$5,"END DATE PASSED","END DATE NOT PASSED"))</f>
        <v/>
      </c>
      <c r="M402" s="34">
        <f>IF(K402&lt;&gt;"","REVIEW SOURCE CONFLICT",IF(OR(ISNUMBER(SEARCH("CCB",D402)),ISNUMBER(SEARCH("Pending",D402))),"CCB/PENDING",IF(OR(ISNUMBER(SEARCH("Expired",D402)),ISNUMBER(SEARCH("Closed",D402))),"CLOSED/EXPIRED",IF(E402="","NO RELEASE DATE","REVIEW APPROVAL"))))</f>
        <v/>
      </c>
      <c r="N402" s="34">
        <f>IF(K402&lt;&gt;"","HIGH: SOURCE CONFLICT",IF(AND(L402="END DATE NOT PASSED",M402="REVIEW APPROVAL"),"HIGH: VERIFY",IF(L402="END DATE NOT PASSED","MEDIUM: CHECK STATUS","LOW: HISTORICAL")))</f>
        <v/>
      </c>
      <c r="O402" s="33" t="inlineStr">
        <is>
          <t>Validar documento firmado, revision/WO/sitio, material afectado y evidencia antes de activar alerta automatica.</t>
        </is>
      </c>
    </row>
    <row r="403">
      <c r="A403" s="43" t="inlineStr">
        <is>
          <t>CTANJZ05408</t>
        </is>
      </c>
      <c r="B403" s="43" t="inlineStr">
        <is>
          <t>D613038</t>
        </is>
      </c>
      <c r="C403" s="43" t="inlineStr">
        <is>
          <t>CVEBU</t>
        </is>
      </c>
      <c r="D403" s="43" t="inlineStr">
        <is>
          <t>FAI Status</t>
        </is>
      </c>
      <c r="E403" s="32" t="n">
        <v>46263</v>
      </c>
      <c r="F403" s="32" t="n">
        <v>46322</v>
      </c>
      <c r="G403" s="43" t="n">
        <v>10</v>
      </c>
      <c r="H403" s="43" t="n">
        <v>10</v>
      </c>
      <c r="I403" s="33" t="inlineStr">
        <is>
          <t>73-103720-04, 73-103820-04</t>
        </is>
      </c>
      <c r="J403" s="33" t="inlineStr"/>
      <c r="K403" s="33" t="inlineStr"/>
      <c r="L403" s="34">
        <f>IF(F403="","REVIEW: DATE CONFLICT/EMPTY",IF(F403&lt;'Change Overview'!$B$5,"END DATE PASSED","END DATE NOT PASSED"))</f>
        <v/>
      </c>
      <c r="M403" s="34">
        <f>IF(K403&lt;&gt;"","REVIEW SOURCE CONFLICT",IF(OR(ISNUMBER(SEARCH("CCB",D403)),ISNUMBER(SEARCH("Pending",D403))),"CCB/PENDING",IF(OR(ISNUMBER(SEARCH("Expired",D403)),ISNUMBER(SEARCH("Closed",D403))),"CLOSED/EXPIRED",IF(E403="","NO RELEASE DATE","REVIEW APPROVAL"))))</f>
        <v/>
      </c>
      <c r="N403" s="34">
        <f>IF(K403&lt;&gt;"","HIGH: SOURCE CONFLICT",IF(AND(L403="END DATE NOT PASSED",M403="REVIEW APPROVAL"),"HIGH: VERIFY",IF(L403="END DATE NOT PASSED","MEDIUM: CHECK STATUS","LOW: HISTORICAL")))</f>
        <v/>
      </c>
      <c r="O403" s="33" t="inlineStr">
        <is>
          <t>Validar documento firmado, revision/WO/sitio, material afectado y evidencia antes de activar alerta automatica.</t>
        </is>
      </c>
    </row>
    <row r="404">
      <c r="A404" s="43" t="inlineStr">
        <is>
          <t>CTANJZ05409</t>
        </is>
      </c>
      <c r="B404" s="43" t="inlineStr">
        <is>
          <t>D613059</t>
        </is>
      </c>
      <c r="C404" s="43" t="inlineStr">
        <is>
          <t>CVEBU</t>
        </is>
      </c>
      <c r="D404" s="43" t="inlineStr">
        <is>
          <t>FAI Status</t>
        </is>
      </c>
      <c r="E404" s="32" t="n">
        <v>46263</v>
      </c>
      <c r="F404" s="32" t="n">
        <v>46322</v>
      </c>
      <c r="G404" s="43" t="n">
        <v>3</v>
      </c>
      <c r="H404" s="43" t="n">
        <v>3</v>
      </c>
      <c r="I404" s="33" t="inlineStr">
        <is>
          <t>73-103698-06, 73-103940-06</t>
        </is>
      </c>
      <c r="J404" s="33" t="inlineStr"/>
      <c r="K404" s="33" t="inlineStr"/>
      <c r="L404" s="34">
        <f>IF(F404="","REVIEW: DATE CONFLICT/EMPTY",IF(F404&lt;'Change Overview'!$B$5,"END DATE PASSED","END DATE NOT PASSED"))</f>
        <v/>
      </c>
      <c r="M404" s="34">
        <f>IF(K404&lt;&gt;"","REVIEW SOURCE CONFLICT",IF(OR(ISNUMBER(SEARCH("CCB",D404)),ISNUMBER(SEARCH("Pending",D404))),"CCB/PENDING",IF(OR(ISNUMBER(SEARCH("Expired",D404)),ISNUMBER(SEARCH("Closed",D404))),"CLOSED/EXPIRED",IF(E404="","NO RELEASE DATE","REVIEW APPROVAL"))))</f>
        <v/>
      </c>
      <c r="N404" s="34">
        <f>IF(K404&lt;&gt;"","HIGH: SOURCE CONFLICT",IF(AND(L404="END DATE NOT PASSED",M404="REVIEW APPROVAL"),"HIGH: VERIFY",IF(L404="END DATE NOT PASSED","MEDIUM: CHECK STATUS","LOW: HISTORICAL")))</f>
        <v/>
      </c>
      <c r="O404" s="33" t="inlineStr">
        <is>
          <t>Validar documento firmado, revision/WO/sitio, material afectado y evidencia antes de activar alerta automatica.</t>
        </is>
      </c>
    </row>
    <row r="405">
      <c r="A405" s="43" t="inlineStr">
        <is>
          <t>CTANJZ05410</t>
        </is>
      </c>
      <c r="B405" s="43" t="inlineStr">
        <is>
          <t>D612424</t>
        </is>
      </c>
      <c r="C405" s="43" t="inlineStr">
        <is>
          <t>STBU</t>
        </is>
      </c>
      <c r="D405" s="43" t="inlineStr">
        <is>
          <t>FAI Status</t>
        </is>
      </c>
      <c r="E405" s="32" t="n">
        <v>46268</v>
      </c>
      <c r="F405" s="32" t="n">
        <v>46323</v>
      </c>
      <c r="G405" s="43" t="n">
        <v>6</v>
      </c>
      <c r="H405" s="43" t="n">
        <v>6</v>
      </c>
      <c r="I405" s="33" t="inlineStr">
        <is>
          <t>73-20247-06</t>
        </is>
      </c>
      <c r="J405" s="33" t="inlineStr">
        <is>
          <t>TUFNELL PARK</t>
        </is>
      </c>
      <c r="K405" s="33" t="inlineStr"/>
      <c r="L405" s="34">
        <f>IF(F405="","REVIEW: DATE CONFLICT/EMPTY",IF(F405&lt;'Change Overview'!$B$5,"END DATE PASSED","END DATE NOT PASSED"))</f>
        <v/>
      </c>
      <c r="M405" s="34">
        <f>IF(K405&lt;&gt;"","REVIEW SOURCE CONFLICT",IF(OR(ISNUMBER(SEARCH("CCB",D405)),ISNUMBER(SEARCH("Pending",D405))),"CCB/PENDING",IF(OR(ISNUMBER(SEARCH("Expired",D405)),ISNUMBER(SEARCH("Closed",D405))),"CLOSED/EXPIRED",IF(E405="","NO RELEASE DATE","REVIEW APPROVAL"))))</f>
        <v/>
      </c>
      <c r="N405" s="34">
        <f>IF(K405&lt;&gt;"","HIGH: SOURCE CONFLICT",IF(AND(L405="END DATE NOT PASSED",M405="REVIEW APPROVAL"),"HIGH: VERIFY",IF(L405="END DATE NOT PASSED","MEDIUM: CHECK STATUS","LOW: HISTORICAL")))</f>
        <v/>
      </c>
      <c r="O405" s="33" t="inlineStr">
        <is>
          <t>Validar documento firmado, revision/WO/sitio, material afectado y evidencia antes de activar alerta automatica.</t>
        </is>
      </c>
    </row>
    <row r="406">
      <c r="A406" s="43" t="inlineStr">
        <is>
          <t>CTANJZ05411</t>
        </is>
      </c>
      <c r="B406" s="43" t="inlineStr">
        <is>
          <t>D613013</t>
        </is>
      </c>
      <c r="C406" s="43" t="inlineStr">
        <is>
          <t>IOTBU</t>
        </is>
      </c>
      <c r="D406" s="43" t="inlineStr">
        <is>
          <t>FAI Status</t>
        </is>
      </c>
      <c r="E406" s="32" t="n">
        <v>46269</v>
      </c>
      <c r="F406" s="32" t="n">
        <v>46322</v>
      </c>
      <c r="G406" s="43" t="n">
        <v>2</v>
      </c>
      <c r="H406" s="43" t="n">
        <v>1</v>
      </c>
      <c r="I406" s="33" t="inlineStr"/>
      <c r="J406" s="33" t="inlineStr"/>
      <c r="K406" s="33" t="inlineStr"/>
      <c r="L406" s="34">
        <f>IF(F406="","REVIEW: DATE CONFLICT/EMPTY",IF(F406&lt;'Change Overview'!$B$5,"END DATE PASSED","END DATE NOT PASSED"))</f>
        <v/>
      </c>
      <c r="M406" s="34">
        <f>IF(K406&lt;&gt;"","REVIEW SOURCE CONFLICT",IF(OR(ISNUMBER(SEARCH("CCB",D406)),ISNUMBER(SEARCH("Pending",D406))),"CCB/PENDING",IF(OR(ISNUMBER(SEARCH("Expired",D406)),ISNUMBER(SEARCH("Closed",D406))),"CLOSED/EXPIRED",IF(E406="","NO RELEASE DATE","REVIEW APPROVAL"))))</f>
        <v/>
      </c>
      <c r="N406" s="34">
        <f>IF(K406&lt;&gt;"","HIGH: SOURCE CONFLICT",IF(AND(L406="END DATE NOT PASSED",M406="REVIEW APPROVAL"),"HIGH: VERIFY",IF(L406="END DATE NOT PASSED","MEDIUM: CHECK STATUS","LOW: HISTORICAL")))</f>
        <v/>
      </c>
      <c r="O406" s="33" t="inlineStr">
        <is>
          <t>Validar documento firmado, revision/WO/sitio, material afectado y evidencia antes de activar alerta automatica.</t>
        </is>
      </c>
    </row>
    <row r="407">
      <c r="A407" s="43" t="inlineStr">
        <is>
          <t>CTANJZ05412</t>
        </is>
      </c>
      <c r="B407" s="43" t="inlineStr">
        <is>
          <t>D613005</t>
        </is>
      </c>
      <c r="C407" s="43" t="inlineStr">
        <is>
          <t>STBU</t>
        </is>
      </c>
      <c r="D407" s="43" t="inlineStr">
        <is>
          <t>FAI Status</t>
        </is>
      </c>
      <c r="E407" s="32" t="n">
        <v>46268</v>
      </c>
      <c r="F407" s="32" t="n">
        <v>46323</v>
      </c>
      <c r="G407" s="43" t="n">
        <v>3</v>
      </c>
      <c r="H407" s="43" t="n">
        <v>3</v>
      </c>
      <c r="I407" s="33" t="inlineStr"/>
      <c r="J407" s="33" t="inlineStr"/>
      <c r="K407" s="33" t="inlineStr"/>
      <c r="L407" s="34">
        <f>IF(F407="","REVIEW: DATE CONFLICT/EMPTY",IF(F407&lt;'Change Overview'!$B$5,"END DATE PASSED","END DATE NOT PASSED"))</f>
        <v/>
      </c>
      <c r="M407" s="34">
        <f>IF(K407&lt;&gt;"","REVIEW SOURCE CONFLICT",IF(OR(ISNUMBER(SEARCH("CCB",D407)),ISNUMBER(SEARCH("Pending",D407))),"CCB/PENDING",IF(OR(ISNUMBER(SEARCH("Expired",D407)),ISNUMBER(SEARCH("Closed",D407))),"CLOSED/EXPIRED",IF(E407="","NO RELEASE DATE","REVIEW APPROVAL"))))</f>
        <v/>
      </c>
      <c r="N407" s="34">
        <f>IF(K407&lt;&gt;"","HIGH: SOURCE CONFLICT",IF(AND(L407="END DATE NOT PASSED",M407="REVIEW APPROVAL"),"HIGH: VERIFY",IF(L407="END DATE NOT PASSED","MEDIUM: CHECK STATUS","LOW: HISTORICAL")))</f>
        <v/>
      </c>
      <c r="O407" s="33" t="inlineStr">
        <is>
          <t>Validar documento firmado, revision/WO/sitio, material afectado y evidencia antes de activar alerta automatica.</t>
        </is>
      </c>
    </row>
    <row r="408">
      <c r="A408" s="43" t="inlineStr">
        <is>
          <t>CTANJZ05413</t>
        </is>
      </c>
      <c r="B408" s="43" t="inlineStr">
        <is>
          <t>D613063</t>
        </is>
      </c>
      <c r="C408" s="43" t="inlineStr">
        <is>
          <t>CRBU</t>
        </is>
      </c>
      <c r="D408" s="43" t="inlineStr">
        <is>
          <t>FAI Status</t>
        </is>
      </c>
      <c r="E408" s="32" t="n">
        <v>46252</v>
      </c>
      <c r="F408" s="32" t="n">
        <v>46324</v>
      </c>
      <c r="G408" s="43" t="n">
        <v>8</v>
      </c>
      <c r="H408" s="43" t="n">
        <v>8</v>
      </c>
      <c r="I408" s="33" t="inlineStr">
        <is>
          <t>73-20176-06, 73-20193-09, 73-20513-06, 73-21144-07, 73-21146-12</t>
        </is>
      </c>
      <c r="J408" s="33" t="inlineStr"/>
      <c r="K408" s="33" t="inlineStr"/>
      <c r="L408" s="34">
        <f>IF(F408="","REVIEW: DATE CONFLICT/EMPTY",IF(F408&lt;'Change Overview'!$B$5,"END DATE PASSED","END DATE NOT PASSED"))</f>
        <v/>
      </c>
      <c r="M408" s="34">
        <f>IF(K408&lt;&gt;"","REVIEW SOURCE CONFLICT",IF(OR(ISNUMBER(SEARCH("CCB",D408)),ISNUMBER(SEARCH("Pending",D408))),"CCB/PENDING",IF(OR(ISNUMBER(SEARCH("Expired",D408)),ISNUMBER(SEARCH("Closed",D408))),"CLOSED/EXPIRED",IF(E408="","NO RELEASE DATE","REVIEW APPROVAL"))))</f>
        <v/>
      </c>
      <c r="N408" s="34">
        <f>IF(K408&lt;&gt;"","HIGH: SOURCE CONFLICT",IF(AND(L408="END DATE NOT PASSED",M408="REVIEW APPROVAL"),"HIGH: VERIFY",IF(L408="END DATE NOT PASSED","MEDIUM: CHECK STATUS","LOW: HISTORICAL")))</f>
        <v/>
      </c>
      <c r="O408" s="33" t="inlineStr">
        <is>
          <t>Validar documento firmado, revision/WO/sitio, material afectado y evidencia antes de activar alerta automatica.</t>
        </is>
      </c>
    </row>
    <row r="409">
      <c r="A409" s="43" t="inlineStr">
        <is>
          <t>CTANJZ05414</t>
        </is>
      </c>
      <c r="B409" s="43" t="inlineStr">
        <is>
          <t>D613039</t>
        </is>
      </c>
      <c r="C409" s="43" t="inlineStr">
        <is>
          <t>CVEBU</t>
        </is>
      </c>
      <c r="D409" s="43" t="inlineStr">
        <is>
          <t>FAI Status</t>
        </is>
      </c>
      <c r="E409" s="32" t="n">
        <v>46269</v>
      </c>
      <c r="F409" s="32" t="n">
        <v>46324</v>
      </c>
      <c r="G409" s="43" t="n">
        <v>4</v>
      </c>
      <c r="H409" s="43" t="n">
        <v>4</v>
      </c>
      <c r="I409" s="33" t="inlineStr">
        <is>
          <t>73-103459-02, 73-103758-04</t>
        </is>
      </c>
      <c r="J409" s="33" t="inlineStr">
        <is>
          <t>HEIMDALL</t>
        </is>
      </c>
      <c r="K409" s="33" t="inlineStr"/>
      <c r="L409" s="34">
        <f>IF(F409="","REVIEW: DATE CONFLICT/EMPTY",IF(F409&lt;'Change Overview'!$B$5,"END DATE PASSED","END DATE NOT PASSED"))</f>
        <v/>
      </c>
      <c r="M409" s="34">
        <f>IF(K409&lt;&gt;"","REVIEW SOURCE CONFLICT",IF(OR(ISNUMBER(SEARCH("CCB",D409)),ISNUMBER(SEARCH("Pending",D409))),"CCB/PENDING",IF(OR(ISNUMBER(SEARCH("Expired",D409)),ISNUMBER(SEARCH("Closed",D409))),"CLOSED/EXPIRED",IF(E409="","NO RELEASE DATE","REVIEW APPROVAL"))))</f>
        <v/>
      </c>
      <c r="N409" s="34">
        <f>IF(K409&lt;&gt;"","HIGH: SOURCE CONFLICT",IF(AND(L409="END DATE NOT PASSED",M409="REVIEW APPROVAL"),"HIGH: VERIFY",IF(L409="END DATE NOT PASSED","MEDIUM: CHECK STATUS","LOW: HISTORICAL")))</f>
        <v/>
      </c>
      <c r="O409" s="33" t="inlineStr">
        <is>
          <t>Validar documento firmado, revision/WO/sitio, material afectado y evidencia antes de activar alerta automatica.</t>
        </is>
      </c>
    </row>
    <row r="410">
      <c r="A410" s="43" t="inlineStr">
        <is>
          <t>CTANJZ05416</t>
        </is>
      </c>
      <c r="B410" s="43" t="inlineStr">
        <is>
          <t>D612425</t>
        </is>
      </c>
      <c r="C410" s="43" t="inlineStr">
        <is>
          <t>STBU</t>
        </is>
      </c>
      <c r="D410" s="43" t="inlineStr">
        <is>
          <t>FAI Status</t>
        </is>
      </c>
      <c r="E410" s="32" t="n">
        <v>46268</v>
      </c>
      <c r="F410" s="32" t="n">
        <v>46329</v>
      </c>
      <c r="G410" s="43" t="n">
        <v>3</v>
      </c>
      <c r="H410" s="43" t="n">
        <v>3</v>
      </c>
      <c r="I410" s="33" t="inlineStr"/>
      <c r="J410" s="33" t="inlineStr"/>
      <c r="K410" s="33" t="inlineStr"/>
      <c r="L410" s="34">
        <f>IF(F410="","REVIEW: DATE CONFLICT/EMPTY",IF(F410&lt;'Change Overview'!$B$5,"END DATE PASSED","END DATE NOT PASSED"))</f>
        <v/>
      </c>
      <c r="M410" s="34">
        <f>IF(K410&lt;&gt;"","REVIEW SOURCE CONFLICT",IF(OR(ISNUMBER(SEARCH("CCB",D410)),ISNUMBER(SEARCH("Pending",D410))),"CCB/PENDING",IF(OR(ISNUMBER(SEARCH("Expired",D410)),ISNUMBER(SEARCH("Closed",D410))),"CLOSED/EXPIRED",IF(E410="","NO RELEASE DATE","REVIEW APPROVAL"))))</f>
        <v/>
      </c>
      <c r="N410" s="34">
        <f>IF(K410&lt;&gt;"","HIGH: SOURCE CONFLICT",IF(AND(L410="END DATE NOT PASSED",M410="REVIEW APPROVAL"),"HIGH: VERIFY",IF(L410="END DATE NOT PASSED","MEDIUM: CHECK STATUS","LOW: HISTORICAL")))</f>
        <v/>
      </c>
      <c r="O410" s="33" t="inlineStr">
        <is>
          <t>Validar documento firmado, revision/WO/sitio, material afectado y evidencia antes de activar alerta automatica.</t>
        </is>
      </c>
    </row>
    <row r="411">
      <c r="A411" s="43" t="inlineStr">
        <is>
          <t>CTANJZ05417</t>
        </is>
      </c>
      <c r="B411" s="43" t="inlineStr">
        <is>
          <t>D611851</t>
        </is>
      </c>
      <c r="C411" s="43" t="inlineStr">
        <is>
          <t>CRBU</t>
        </is>
      </c>
      <c r="D411" s="43" t="inlineStr">
        <is>
          <t>Extended</t>
        </is>
      </c>
      <c r="E411" s="32" t="n">
        <v>46260</v>
      </c>
      <c r="F411" s="32" t="n">
        <v>46420</v>
      </c>
      <c r="G411" s="43" t="n">
        <v>4</v>
      </c>
      <c r="H411" s="43" t="n">
        <v>2</v>
      </c>
      <c r="I411" s="33" t="inlineStr">
        <is>
          <t>73-102363-05</t>
        </is>
      </c>
      <c r="J411" s="33" t="inlineStr"/>
      <c r="K411" s="33" t="inlineStr"/>
      <c r="L411" s="34">
        <f>IF(F411="","REVIEW: DATE CONFLICT/EMPTY",IF(F411&lt;'Change Overview'!$B$5,"END DATE PASSED","END DATE NOT PASSED"))</f>
        <v/>
      </c>
      <c r="M411" s="34">
        <f>IF(K411&lt;&gt;"","REVIEW SOURCE CONFLICT",IF(OR(ISNUMBER(SEARCH("CCB",D411)),ISNUMBER(SEARCH("Pending",D411))),"CCB/PENDING",IF(OR(ISNUMBER(SEARCH("Expired",D411)),ISNUMBER(SEARCH("Closed",D411))),"CLOSED/EXPIRED",IF(E411="","NO RELEASE DATE","REVIEW APPROVAL"))))</f>
        <v/>
      </c>
      <c r="N411" s="34">
        <f>IF(K411&lt;&gt;"","HIGH: SOURCE CONFLICT",IF(AND(L411="END DATE NOT PASSED",M411="REVIEW APPROVAL"),"HIGH: VERIFY",IF(L411="END DATE NOT PASSED","MEDIUM: CHECK STATUS","LOW: HISTORICAL")))</f>
        <v/>
      </c>
      <c r="O411" s="33" t="inlineStr">
        <is>
          <t>Validar documento firmado, revision/WO/sitio, material afectado y evidencia antes de activar alerta automatica.</t>
        </is>
      </c>
    </row>
    <row r="412">
      <c r="A412" s="43" t="inlineStr">
        <is>
          <t>CTANJZ05419</t>
        </is>
      </c>
      <c r="B412" s="43" t="inlineStr">
        <is>
          <t>D612975</t>
        </is>
      </c>
      <c r="C412" s="43" t="inlineStr">
        <is>
          <t>STBU</t>
        </is>
      </c>
      <c r="D412" s="43" t="inlineStr">
        <is>
          <t>FAI Status</t>
        </is>
      </c>
      <c r="E412" s="32" t="n">
        <v>46268</v>
      </c>
      <c r="F412" s="32" t="n">
        <v>46330</v>
      </c>
      <c r="G412" s="43" t="n">
        <v>6</v>
      </c>
      <c r="H412" s="43" t="n">
        <v>6</v>
      </c>
      <c r="I412" s="33" t="inlineStr">
        <is>
          <t>73-102433-06, 73-102434-06, 73-102435-06</t>
        </is>
      </c>
      <c r="J412" s="33" t="inlineStr"/>
      <c r="K412" s="33" t="inlineStr"/>
      <c r="L412" s="34">
        <f>IF(F412="","REVIEW: DATE CONFLICT/EMPTY",IF(F412&lt;'Change Overview'!$B$5,"END DATE PASSED","END DATE NOT PASSED"))</f>
        <v/>
      </c>
      <c r="M412" s="34">
        <f>IF(K412&lt;&gt;"","REVIEW SOURCE CONFLICT",IF(OR(ISNUMBER(SEARCH("CCB",D412)),ISNUMBER(SEARCH("Pending",D412))),"CCB/PENDING",IF(OR(ISNUMBER(SEARCH("Expired",D412)),ISNUMBER(SEARCH("Closed",D412))),"CLOSED/EXPIRED",IF(E412="","NO RELEASE DATE","REVIEW APPROVAL"))))</f>
        <v/>
      </c>
      <c r="N412" s="34">
        <f>IF(K412&lt;&gt;"","HIGH: SOURCE CONFLICT",IF(AND(L412="END DATE NOT PASSED",M412="REVIEW APPROVAL"),"HIGH: VERIFY",IF(L412="END DATE NOT PASSED","MEDIUM: CHECK STATUS","LOW: HISTORICAL")))</f>
        <v/>
      </c>
      <c r="O412" s="33" t="inlineStr">
        <is>
          <t>Validar documento firmado, revision/WO/sitio, material afectado y evidencia antes de activar alerta automatica.</t>
        </is>
      </c>
    </row>
    <row r="413">
      <c r="A413" s="43" t="inlineStr">
        <is>
          <t>CTANJZ05422</t>
        </is>
      </c>
      <c r="B413" s="43" t="inlineStr">
        <is>
          <t>D613228</t>
        </is>
      </c>
      <c r="C413" s="43" t="inlineStr">
        <is>
          <t>SRGBU</t>
        </is>
      </c>
      <c r="D413" s="43" t="inlineStr">
        <is>
          <t>FAI Status</t>
        </is>
      </c>
      <c r="E413" s="32" t="n">
        <v>46263</v>
      </c>
      <c r="F413" s="32" t="n">
        <v>46334</v>
      </c>
      <c r="G413" s="43" t="n">
        <v>8</v>
      </c>
      <c r="H413" s="43" t="n">
        <v>8</v>
      </c>
      <c r="I413" s="33" t="inlineStr"/>
      <c r="J413" s="33" t="inlineStr"/>
      <c r="K413" s="33" t="inlineStr"/>
      <c r="L413" s="34">
        <f>IF(F413="","REVIEW: DATE CONFLICT/EMPTY",IF(F413&lt;'Change Overview'!$B$5,"END DATE PASSED","END DATE NOT PASSED"))</f>
        <v/>
      </c>
      <c r="M413" s="34">
        <f>IF(K413&lt;&gt;"","REVIEW SOURCE CONFLICT",IF(OR(ISNUMBER(SEARCH("CCB",D413)),ISNUMBER(SEARCH("Pending",D413))),"CCB/PENDING",IF(OR(ISNUMBER(SEARCH("Expired",D413)),ISNUMBER(SEARCH("Closed",D413))),"CLOSED/EXPIRED",IF(E413="","NO RELEASE DATE","REVIEW APPROVAL"))))</f>
        <v/>
      </c>
      <c r="N413" s="34">
        <f>IF(K413&lt;&gt;"","HIGH: SOURCE CONFLICT",IF(AND(L413="END DATE NOT PASSED",M413="REVIEW APPROVAL"),"HIGH: VERIFY",IF(L413="END DATE NOT PASSED","MEDIUM: CHECK STATUS","LOW: HISTORICAL")))</f>
        <v/>
      </c>
      <c r="O413" s="33" t="inlineStr">
        <is>
          <t>Validar documento firmado, revision/WO/sitio, material afectado y evidencia antes de activar alerta automatica.</t>
        </is>
      </c>
    </row>
    <row r="414">
      <c r="A414" s="43" t="inlineStr">
        <is>
          <t>CTANJZ05424</t>
        </is>
      </c>
      <c r="B414" s="43" t="inlineStr">
        <is>
          <t>D613355</t>
        </is>
      </c>
      <c r="C414" s="43" t="inlineStr">
        <is>
          <t>CVEBU</t>
        </is>
      </c>
      <c r="D414" s="43" t="inlineStr">
        <is>
          <t>FAI Status</t>
        </is>
      </c>
      <c r="E414" s="32" t="n">
        <v>46287</v>
      </c>
      <c r="F414" s="32" t="n">
        <v>46335</v>
      </c>
      <c r="G414" s="43" t="n">
        <v>4</v>
      </c>
      <c r="H414" s="43" t="n">
        <v>4</v>
      </c>
      <c r="I414" s="33" t="inlineStr">
        <is>
          <t>73-102226-06, 73-103226-06</t>
        </is>
      </c>
      <c r="J414" s="33" t="inlineStr">
        <is>
          <t>MILLENIUM</t>
        </is>
      </c>
      <c r="K414" s="33" t="inlineStr"/>
      <c r="L414" s="34">
        <f>IF(F414="","REVIEW: DATE CONFLICT/EMPTY",IF(F414&lt;'Change Overview'!$B$5,"END DATE PASSED","END DATE NOT PASSED"))</f>
        <v/>
      </c>
      <c r="M414" s="34">
        <f>IF(K414&lt;&gt;"","REVIEW SOURCE CONFLICT",IF(OR(ISNUMBER(SEARCH("CCB",D414)),ISNUMBER(SEARCH("Pending",D414))),"CCB/PENDING",IF(OR(ISNUMBER(SEARCH("Expired",D414)),ISNUMBER(SEARCH("Closed",D414))),"CLOSED/EXPIRED",IF(E414="","NO RELEASE DATE","REVIEW APPROVAL"))))</f>
        <v/>
      </c>
      <c r="N414" s="34">
        <f>IF(K414&lt;&gt;"","HIGH: SOURCE CONFLICT",IF(AND(L414="END DATE NOT PASSED",M414="REVIEW APPROVAL"),"HIGH: VERIFY",IF(L414="END DATE NOT PASSED","MEDIUM: CHECK STATUS","LOW: HISTORICAL")))</f>
        <v/>
      </c>
      <c r="O414" s="33" t="inlineStr">
        <is>
          <t>Validar documento firmado, revision/WO/sitio, material afectado y evidencia antes de activar alerta automatica.</t>
        </is>
      </c>
    </row>
    <row r="415">
      <c r="A415" s="43" t="inlineStr">
        <is>
          <t>CTANJZ05426</t>
        </is>
      </c>
      <c r="B415" s="43" t="inlineStr">
        <is>
          <t>D612426</t>
        </is>
      </c>
      <c r="C415" s="43" t="inlineStr">
        <is>
          <t>STBU</t>
        </is>
      </c>
      <c r="D415" s="43" t="inlineStr">
        <is>
          <t>FAI Status</t>
        </is>
      </c>
      <c r="E415" s="32" t="n">
        <v>46281</v>
      </c>
      <c r="F415" s="32" t="n">
        <v>46343</v>
      </c>
      <c r="G415" s="43" t="n">
        <v>3</v>
      </c>
      <c r="H415" s="43" t="n">
        <v>3</v>
      </c>
      <c r="I415" s="33" t="inlineStr"/>
      <c r="J415" s="33" t="inlineStr"/>
      <c r="K415" s="33" t="inlineStr"/>
      <c r="L415" s="34">
        <f>IF(F415="","REVIEW: DATE CONFLICT/EMPTY",IF(F415&lt;'Change Overview'!$B$5,"END DATE PASSED","END DATE NOT PASSED"))</f>
        <v/>
      </c>
      <c r="M415" s="34">
        <f>IF(K415&lt;&gt;"","REVIEW SOURCE CONFLICT",IF(OR(ISNUMBER(SEARCH("CCB",D415)),ISNUMBER(SEARCH("Pending",D415))),"CCB/PENDING",IF(OR(ISNUMBER(SEARCH("Expired",D415)),ISNUMBER(SEARCH("Closed",D415))),"CLOSED/EXPIRED",IF(E415="","NO RELEASE DATE","REVIEW APPROVAL"))))</f>
        <v/>
      </c>
      <c r="N415" s="34">
        <f>IF(K415&lt;&gt;"","HIGH: SOURCE CONFLICT",IF(AND(L415="END DATE NOT PASSED",M415="REVIEW APPROVAL"),"HIGH: VERIFY",IF(L415="END DATE NOT PASSED","MEDIUM: CHECK STATUS","LOW: HISTORICAL")))</f>
        <v/>
      </c>
      <c r="O415" s="33" t="inlineStr">
        <is>
          <t>Validar documento firmado, revision/WO/sitio, material afectado y evidencia antes de activar alerta automatica.</t>
        </is>
      </c>
    </row>
    <row r="416">
      <c r="A416" s="43" t="inlineStr">
        <is>
          <t>CTANJZ05427</t>
        </is>
      </c>
      <c r="B416" s="43" t="inlineStr">
        <is>
          <t>D613419</t>
        </is>
      </c>
      <c r="C416" s="43" t="inlineStr">
        <is>
          <t>STBU</t>
        </is>
      </c>
      <c r="D416" s="43" t="inlineStr">
        <is>
          <t>FAI Status</t>
        </is>
      </c>
      <c r="E416" s="32" t="n">
        <v>46281</v>
      </c>
      <c r="F416" s="32" t="n">
        <v>46343</v>
      </c>
      <c r="G416" s="43" t="n">
        <v>6</v>
      </c>
      <c r="H416" s="43" t="n">
        <v>6</v>
      </c>
      <c r="I416" s="33" t="inlineStr"/>
      <c r="J416" s="33" t="inlineStr"/>
      <c r="K416" s="33" t="inlineStr"/>
      <c r="L416" s="34">
        <f>IF(F416="","REVIEW: DATE CONFLICT/EMPTY",IF(F416&lt;'Change Overview'!$B$5,"END DATE PASSED","END DATE NOT PASSED"))</f>
        <v/>
      </c>
      <c r="M416" s="34">
        <f>IF(K416&lt;&gt;"","REVIEW SOURCE CONFLICT",IF(OR(ISNUMBER(SEARCH("CCB",D416)),ISNUMBER(SEARCH("Pending",D416))),"CCB/PENDING",IF(OR(ISNUMBER(SEARCH("Expired",D416)),ISNUMBER(SEARCH("Closed",D416))),"CLOSED/EXPIRED",IF(E416="","NO RELEASE DATE","REVIEW APPROVAL"))))</f>
        <v/>
      </c>
      <c r="N416" s="34">
        <f>IF(K416&lt;&gt;"","HIGH: SOURCE CONFLICT",IF(AND(L416="END DATE NOT PASSED",M416="REVIEW APPROVAL"),"HIGH: VERIFY",IF(L416="END DATE NOT PASSED","MEDIUM: CHECK STATUS","LOW: HISTORICAL")))</f>
        <v/>
      </c>
      <c r="O416" s="33" t="inlineStr">
        <is>
          <t>Validar documento firmado, revision/WO/sitio, material afectado y evidencia antes de activar alerta automatica.</t>
        </is>
      </c>
    </row>
    <row r="417">
      <c r="A417" s="43" t="inlineStr">
        <is>
          <t>CTANJZ05430</t>
        </is>
      </c>
      <c r="B417" s="43" t="inlineStr">
        <is>
          <t>D613562</t>
        </is>
      </c>
      <c r="C417" s="43" t="inlineStr">
        <is>
          <t>CVEBU</t>
        </is>
      </c>
      <c r="D417" s="43" t="inlineStr">
        <is>
          <t>FAI Status</t>
        </is>
      </c>
      <c r="E417" s="32" t="n">
        <v>46287</v>
      </c>
      <c r="F417" s="32" t="n">
        <v>46344</v>
      </c>
      <c r="G417" s="43" t="n">
        <v>2</v>
      </c>
      <c r="H417" s="43" t="n">
        <v>2</v>
      </c>
      <c r="I417" s="33" t="inlineStr"/>
      <c r="J417" s="33" t="inlineStr"/>
      <c r="K417" s="33" t="inlineStr"/>
      <c r="L417" s="34">
        <f>IF(F417="","REVIEW: DATE CONFLICT/EMPTY",IF(F417&lt;'Change Overview'!$B$5,"END DATE PASSED","END DATE NOT PASSED"))</f>
        <v/>
      </c>
      <c r="M417" s="34">
        <f>IF(K417&lt;&gt;"","REVIEW SOURCE CONFLICT",IF(OR(ISNUMBER(SEARCH("CCB",D417)),ISNUMBER(SEARCH("Pending",D417))),"CCB/PENDING",IF(OR(ISNUMBER(SEARCH("Expired",D417)),ISNUMBER(SEARCH("Closed",D417))),"CLOSED/EXPIRED",IF(E417="","NO RELEASE DATE","REVIEW APPROVAL"))))</f>
        <v/>
      </c>
      <c r="N417" s="34">
        <f>IF(K417&lt;&gt;"","HIGH: SOURCE CONFLICT",IF(AND(L417="END DATE NOT PASSED",M417="REVIEW APPROVAL"),"HIGH: VERIFY",IF(L417="END DATE NOT PASSED","MEDIUM: CHECK STATUS","LOW: HISTORICAL")))</f>
        <v/>
      </c>
      <c r="O417" s="33" t="inlineStr">
        <is>
          <t>Validar documento firmado, revision/WO/sitio, material afectado y evidencia antes de activar alerta automatica.</t>
        </is>
      </c>
    </row>
    <row r="418">
      <c r="A418" s="43" t="inlineStr">
        <is>
          <t>CTANJZ05432</t>
        </is>
      </c>
      <c r="B418" s="43" t="inlineStr">
        <is>
          <t>D613436</t>
        </is>
      </c>
      <c r="C418" s="43" t="inlineStr">
        <is>
          <t>STBU</t>
        </is>
      </c>
      <c r="D418" s="43" t="inlineStr">
        <is>
          <t>Implementation</t>
        </is>
      </c>
      <c r="E418" s="32" t="n">
        <v>46287</v>
      </c>
      <c r="F418" s="32" t="n">
        <v>46348</v>
      </c>
      <c r="G418" s="43" t="n">
        <v>3</v>
      </c>
      <c r="H418" s="43" t="n">
        <v>3</v>
      </c>
      <c r="I418" s="33" t="inlineStr">
        <is>
          <t>73-18488-08, 73-18489-08</t>
        </is>
      </c>
      <c r="J418" s="33" t="inlineStr"/>
      <c r="K418" s="33" t="inlineStr"/>
      <c r="L418" s="34">
        <f>IF(F418="","REVIEW: DATE CONFLICT/EMPTY",IF(F418&lt;'Change Overview'!$B$5,"END DATE PASSED","END DATE NOT PASSED"))</f>
        <v/>
      </c>
      <c r="M418" s="34">
        <f>IF(K418&lt;&gt;"","REVIEW SOURCE CONFLICT",IF(OR(ISNUMBER(SEARCH("CCB",D418)),ISNUMBER(SEARCH("Pending",D418))),"CCB/PENDING",IF(OR(ISNUMBER(SEARCH("Expired",D418)),ISNUMBER(SEARCH("Closed",D418))),"CLOSED/EXPIRED",IF(E418="","NO RELEASE DATE","REVIEW APPROVAL"))))</f>
        <v/>
      </c>
      <c r="N418" s="34">
        <f>IF(K418&lt;&gt;"","HIGH: SOURCE CONFLICT",IF(AND(L418="END DATE NOT PASSED",M418="REVIEW APPROVAL"),"HIGH: VERIFY",IF(L418="END DATE NOT PASSED","MEDIUM: CHECK STATUS","LOW: HISTORICAL")))</f>
        <v/>
      </c>
      <c r="O418" s="33" t="inlineStr">
        <is>
          <t>Validar documento firmado, revision/WO/sitio, material afectado y evidencia antes de activar alerta automatica.</t>
        </is>
      </c>
    </row>
    <row r="419">
      <c r="A419" s="43" t="inlineStr">
        <is>
          <t>CTANJZ05433</t>
        </is>
      </c>
      <c r="B419" s="43" t="inlineStr">
        <is>
          <t>D613553</t>
        </is>
      </c>
      <c r="C419" s="43" t="inlineStr">
        <is>
          <t>SRGBU</t>
        </is>
      </c>
      <c r="D419" s="43" t="inlineStr">
        <is>
          <t>Implementation</t>
        </is>
      </c>
      <c r="E419" s="32" t="n">
        <v>46281</v>
      </c>
      <c r="F419" s="32" t="n">
        <v>46348</v>
      </c>
      <c r="G419" s="43" t="n">
        <v>1</v>
      </c>
      <c r="H419" s="43" t="n">
        <v>1</v>
      </c>
      <c r="I419" s="33" t="inlineStr"/>
      <c r="J419" s="33" t="inlineStr"/>
      <c r="K419" s="33" t="inlineStr"/>
      <c r="L419" s="34">
        <f>IF(F419="","REVIEW: DATE CONFLICT/EMPTY",IF(F419&lt;'Change Overview'!$B$5,"END DATE PASSED","END DATE NOT PASSED"))</f>
        <v/>
      </c>
      <c r="M419" s="34">
        <f>IF(K419&lt;&gt;"","REVIEW SOURCE CONFLICT",IF(OR(ISNUMBER(SEARCH("CCB",D419)),ISNUMBER(SEARCH("Pending",D419))),"CCB/PENDING",IF(OR(ISNUMBER(SEARCH("Expired",D419)),ISNUMBER(SEARCH("Closed",D419))),"CLOSED/EXPIRED",IF(E419="","NO RELEASE DATE","REVIEW APPROVAL"))))</f>
        <v/>
      </c>
      <c r="N419" s="34">
        <f>IF(K419&lt;&gt;"","HIGH: SOURCE CONFLICT",IF(AND(L419="END DATE NOT PASSED",M419="REVIEW APPROVAL"),"HIGH: VERIFY",IF(L419="END DATE NOT PASSED","MEDIUM: CHECK STATUS","LOW: HISTORICAL")))</f>
        <v/>
      </c>
      <c r="O419" s="33" t="inlineStr">
        <is>
          <t>Validar documento firmado, revision/WO/sitio, material afectado y evidencia antes de activar alerta automatica.</t>
        </is>
      </c>
    </row>
    <row r="420">
      <c r="A420" s="43" t="inlineStr">
        <is>
          <t>CTANJZ05434</t>
        </is>
      </c>
      <c r="B420" s="43" t="inlineStr">
        <is>
          <t>D613624</t>
        </is>
      </c>
      <c r="C420" s="43" t="inlineStr">
        <is>
          <t>CRBU</t>
        </is>
      </c>
      <c r="D420" s="43" t="inlineStr">
        <is>
          <t>FAI Status</t>
        </is>
      </c>
      <c r="E420" s="32" t="n">
        <v>46290</v>
      </c>
      <c r="F420" s="32" t="n">
        <v>46348</v>
      </c>
      <c r="G420" s="43" t="n">
        <v>3</v>
      </c>
      <c r="H420" s="43" t="n">
        <v>3</v>
      </c>
      <c r="I420" s="33" t="inlineStr">
        <is>
          <t>73-21144-07, 73-21146-10</t>
        </is>
      </c>
      <c r="J420" s="33" t="inlineStr"/>
      <c r="K420" s="33" t="inlineStr"/>
      <c r="L420" s="34">
        <f>IF(F420="","REVIEW: DATE CONFLICT/EMPTY",IF(F420&lt;'Change Overview'!$B$5,"END DATE PASSED","END DATE NOT PASSED"))</f>
        <v/>
      </c>
      <c r="M420" s="34">
        <f>IF(K420&lt;&gt;"","REVIEW SOURCE CONFLICT",IF(OR(ISNUMBER(SEARCH("CCB",D420)),ISNUMBER(SEARCH("Pending",D420))),"CCB/PENDING",IF(OR(ISNUMBER(SEARCH("Expired",D420)),ISNUMBER(SEARCH("Closed",D420))),"CLOSED/EXPIRED",IF(E420="","NO RELEASE DATE","REVIEW APPROVAL"))))</f>
        <v/>
      </c>
      <c r="N420" s="34">
        <f>IF(K420&lt;&gt;"","HIGH: SOURCE CONFLICT",IF(AND(L420="END DATE NOT PASSED",M420="REVIEW APPROVAL"),"HIGH: VERIFY",IF(L420="END DATE NOT PASSED","MEDIUM: CHECK STATUS","LOW: HISTORICAL")))</f>
        <v/>
      </c>
      <c r="O420" s="33" t="inlineStr">
        <is>
          <t>Validar documento firmado, revision/WO/sitio, material afectado y evidencia antes de activar alerta automatica.</t>
        </is>
      </c>
    </row>
    <row r="421">
      <c r="A421" s="43" t="inlineStr">
        <is>
          <t>CTANJZ05436</t>
        </is>
      </c>
      <c r="B421" s="43" t="inlineStr">
        <is>
          <t>D613521</t>
        </is>
      </c>
      <c r="C421" s="43" t="inlineStr">
        <is>
          <t>STBU</t>
        </is>
      </c>
      <c r="D421" s="43" t="inlineStr">
        <is>
          <t>FAI Status</t>
        </is>
      </c>
      <c r="E421" s="32" t="n">
        <v>46287</v>
      </c>
      <c r="F421" s="32" t="n">
        <v>46348</v>
      </c>
      <c r="G421" s="43" t="n">
        <v>14</v>
      </c>
      <c r="H421" s="43" t="n">
        <v>14</v>
      </c>
      <c r="I421" s="33" t="inlineStr">
        <is>
          <t>73-17497-04, 73-17498-04, 73-17499-07, 73-17510-02, 73-17514-02, 73-17530-02, 73-18626-04, 73-19332-01, 73-19337-01, 73-19361-01, 73-20007-01</t>
        </is>
      </c>
      <c r="J421" s="33" t="inlineStr"/>
      <c r="K421" s="33" t="inlineStr"/>
      <c r="L421" s="34">
        <f>IF(F421="","REVIEW: DATE CONFLICT/EMPTY",IF(F421&lt;'Change Overview'!$B$5,"END DATE PASSED","END DATE NOT PASSED"))</f>
        <v/>
      </c>
      <c r="M421" s="34">
        <f>IF(K421&lt;&gt;"","REVIEW SOURCE CONFLICT",IF(OR(ISNUMBER(SEARCH("CCB",D421)),ISNUMBER(SEARCH("Pending",D421))),"CCB/PENDING",IF(OR(ISNUMBER(SEARCH("Expired",D421)),ISNUMBER(SEARCH("Closed",D421))),"CLOSED/EXPIRED",IF(E421="","NO RELEASE DATE","REVIEW APPROVAL"))))</f>
        <v/>
      </c>
      <c r="N421" s="34">
        <f>IF(K421&lt;&gt;"","HIGH: SOURCE CONFLICT",IF(AND(L421="END DATE NOT PASSED",M421="REVIEW APPROVAL"),"HIGH: VERIFY",IF(L421="END DATE NOT PASSED","MEDIUM: CHECK STATUS","LOW: HISTORICAL")))</f>
        <v/>
      </c>
      <c r="O421" s="33" t="inlineStr">
        <is>
          <t>Validar documento firmado, revision/WO/sitio, material afectado y evidencia antes de activar alerta automatica.</t>
        </is>
      </c>
    </row>
    <row r="422">
      <c r="A422" s="43" t="inlineStr">
        <is>
          <t>CTANJZ05437</t>
        </is>
      </c>
      <c r="B422" s="43" t="inlineStr">
        <is>
          <t>D613615</t>
        </is>
      </c>
      <c r="C422" s="43" t="inlineStr">
        <is>
          <t>SRGBU</t>
        </is>
      </c>
      <c r="D422" s="43" t="inlineStr">
        <is>
          <t>FAI Status</t>
        </is>
      </c>
      <c r="E422" s="32" t="n">
        <v>46281</v>
      </c>
      <c r="F422" s="32" t="n">
        <v>46348</v>
      </c>
      <c r="G422" s="43" t="n">
        <v>1</v>
      </c>
      <c r="H422" s="43" t="n">
        <v>1</v>
      </c>
      <c r="I422" s="33" t="inlineStr"/>
      <c r="J422" s="33" t="inlineStr"/>
      <c r="K422" s="33" t="inlineStr"/>
      <c r="L422" s="34">
        <f>IF(F422="","REVIEW: DATE CONFLICT/EMPTY",IF(F422&lt;'Change Overview'!$B$5,"END DATE PASSED","END DATE NOT PASSED"))</f>
        <v/>
      </c>
      <c r="M422" s="34">
        <f>IF(K422&lt;&gt;"","REVIEW SOURCE CONFLICT",IF(OR(ISNUMBER(SEARCH("CCB",D422)),ISNUMBER(SEARCH("Pending",D422))),"CCB/PENDING",IF(OR(ISNUMBER(SEARCH("Expired",D422)),ISNUMBER(SEARCH("Closed",D422))),"CLOSED/EXPIRED",IF(E422="","NO RELEASE DATE","REVIEW APPROVAL"))))</f>
        <v/>
      </c>
      <c r="N422" s="34">
        <f>IF(K422&lt;&gt;"","HIGH: SOURCE CONFLICT",IF(AND(L422="END DATE NOT PASSED",M422="REVIEW APPROVAL"),"HIGH: VERIFY",IF(L422="END DATE NOT PASSED","MEDIUM: CHECK STATUS","LOW: HISTORICAL")))</f>
        <v/>
      </c>
      <c r="O422" s="33" t="inlineStr">
        <is>
          <t>Validar documento firmado, revision/WO/sitio, material afectado y evidencia antes de activar alerta automatica.</t>
        </is>
      </c>
    </row>
    <row r="423">
      <c r="A423" s="43" t="inlineStr">
        <is>
          <t>CTANJZ05438</t>
        </is>
      </c>
      <c r="B423" s="43" t="inlineStr">
        <is>
          <t>D613532</t>
        </is>
      </c>
      <c r="C423" s="43" t="inlineStr">
        <is>
          <t>STBU</t>
        </is>
      </c>
      <c r="D423" s="43" t="inlineStr">
        <is>
          <t>FAI Status</t>
        </is>
      </c>
      <c r="E423" s="32" t="n">
        <v>46281</v>
      </c>
      <c r="F423" s="32" t="n">
        <v>46349</v>
      </c>
      <c r="G423" s="43" t="n">
        <v>3</v>
      </c>
      <c r="H423" s="43" t="n">
        <v>3</v>
      </c>
      <c r="I423" s="33" t="inlineStr"/>
      <c r="J423" s="33" t="inlineStr"/>
      <c r="K423" s="33" t="inlineStr"/>
      <c r="L423" s="34">
        <f>IF(F423="","REVIEW: DATE CONFLICT/EMPTY",IF(F423&lt;'Change Overview'!$B$5,"END DATE PASSED","END DATE NOT PASSED"))</f>
        <v/>
      </c>
      <c r="M423" s="34">
        <f>IF(K423&lt;&gt;"","REVIEW SOURCE CONFLICT",IF(OR(ISNUMBER(SEARCH("CCB",D423)),ISNUMBER(SEARCH("Pending",D423))),"CCB/PENDING",IF(OR(ISNUMBER(SEARCH("Expired",D423)),ISNUMBER(SEARCH("Closed",D423))),"CLOSED/EXPIRED",IF(E423="","NO RELEASE DATE","REVIEW APPROVAL"))))</f>
        <v/>
      </c>
      <c r="N423" s="34">
        <f>IF(K423&lt;&gt;"","HIGH: SOURCE CONFLICT",IF(AND(L423="END DATE NOT PASSED",M423="REVIEW APPROVAL"),"HIGH: VERIFY",IF(L423="END DATE NOT PASSED","MEDIUM: CHECK STATUS","LOW: HISTORICAL")))</f>
        <v/>
      </c>
      <c r="O423" s="33" t="inlineStr">
        <is>
          <t>Validar documento firmado, revision/WO/sitio, material afectado y evidencia antes de activar alerta automatica.</t>
        </is>
      </c>
    </row>
    <row r="424">
      <c r="A424" s="43" t="inlineStr">
        <is>
          <t>CTANJZ05439</t>
        </is>
      </c>
      <c r="B424" s="43" t="inlineStr">
        <is>
          <t>D613561</t>
        </is>
      </c>
      <c r="C424" s="43" t="inlineStr">
        <is>
          <t>STBU</t>
        </is>
      </c>
      <c r="D424" s="43" t="inlineStr">
        <is>
          <t>Implementation</t>
        </is>
      </c>
      <c r="E424" s="32" t="n">
        <v>46287</v>
      </c>
      <c r="F424" s="32" t="n">
        <v>46350</v>
      </c>
      <c r="G424" s="43" t="n">
        <v>4</v>
      </c>
      <c r="H424" s="43" t="n">
        <v>2</v>
      </c>
      <c r="I424" s="33" t="inlineStr">
        <is>
          <t>73-18489-08</t>
        </is>
      </c>
      <c r="J424" s="33" t="inlineStr"/>
      <c r="K424" s="33" t="inlineStr"/>
      <c r="L424" s="34">
        <f>IF(F424="","REVIEW: DATE CONFLICT/EMPTY",IF(F424&lt;'Change Overview'!$B$5,"END DATE PASSED","END DATE NOT PASSED"))</f>
        <v/>
      </c>
      <c r="M424" s="34">
        <f>IF(K424&lt;&gt;"","REVIEW SOURCE CONFLICT",IF(OR(ISNUMBER(SEARCH("CCB",D424)),ISNUMBER(SEARCH("Pending",D424))),"CCB/PENDING",IF(OR(ISNUMBER(SEARCH("Expired",D424)),ISNUMBER(SEARCH("Closed",D424))),"CLOSED/EXPIRED",IF(E424="","NO RELEASE DATE","REVIEW APPROVAL"))))</f>
        <v/>
      </c>
      <c r="N424" s="34">
        <f>IF(K424&lt;&gt;"","HIGH: SOURCE CONFLICT",IF(AND(L424="END DATE NOT PASSED",M424="REVIEW APPROVAL"),"HIGH: VERIFY",IF(L424="END DATE NOT PASSED","MEDIUM: CHECK STATUS","LOW: HISTORICAL")))</f>
        <v/>
      </c>
      <c r="O424" s="33" t="inlineStr">
        <is>
          <t>Validar documento firmado, revision/WO/sitio, material afectado y evidencia antes de activar alerta automatica.</t>
        </is>
      </c>
    </row>
    <row r="425">
      <c r="A425" s="43" t="inlineStr">
        <is>
          <t>CTANJZ05440</t>
        </is>
      </c>
      <c r="B425" s="43" t="inlineStr">
        <is>
          <t>D613638</t>
        </is>
      </c>
      <c r="C425" s="43" t="inlineStr">
        <is>
          <t>SRGBU</t>
        </is>
      </c>
      <c r="D425" s="43" t="inlineStr">
        <is>
          <t>Implementation</t>
        </is>
      </c>
      <c r="E425" s="32" t="n">
        <v>46287</v>
      </c>
      <c r="F425" s="32" t="n">
        <v>46350</v>
      </c>
      <c r="G425" s="43" t="n">
        <v>2</v>
      </c>
      <c r="H425" s="43" t="n">
        <v>2</v>
      </c>
      <c r="I425" s="33" t="inlineStr"/>
      <c r="J425" s="33" t="inlineStr"/>
      <c r="K425" s="33" t="inlineStr"/>
      <c r="L425" s="34">
        <f>IF(F425="","REVIEW: DATE CONFLICT/EMPTY",IF(F425&lt;'Change Overview'!$B$5,"END DATE PASSED","END DATE NOT PASSED"))</f>
        <v/>
      </c>
      <c r="M425" s="34">
        <f>IF(K425&lt;&gt;"","REVIEW SOURCE CONFLICT",IF(OR(ISNUMBER(SEARCH("CCB",D425)),ISNUMBER(SEARCH("Pending",D425))),"CCB/PENDING",IF(OR(ISNUMBER(SEARCH("Expired",D425)),ISNUMBER(SEARCH("Closed",D425))),"CLOSED/EXPIRED",IF(E425="","NO RELEASE DATE","REVIEW APPROVAL"))))</f>
        <v/>
      </c>
      <c r="N425" s="34">
        <f>IF(K425&lt;&gt;"","HIGH: SOURCE CONFLICT",IF(AND(L425="END DATE NOT PASSED",M425="REVIEW APPROVAL"),"HIGH: VERIFY",IF(L425="END DATE NOT PASSED","MEDIUM: CHECK STATUS","LOW: HISTORICAL")))</f>
        <v/>
      </c>
      <c r="O425" s="33" t="inlineStr">
        <is>
          <t>Validar documento firmado, revision/WO/sitio, material afectado y evidencia antes de activar alerta automatica.</t>
        </is>
      </c>
    </row>
    <row r="426">
      <c r="A426" s="43" t="inlineStr">
        <is>
          <t>CTANJZ05442</t>
        </is>
      </c>
      <c r="B426" s="43" t="inlineStr">
        <is>
          <t>D613519</t>
        </is>
      </c>
      <c r="C426" s="43" t="inlineStr">
        <is>
          <t>STBU</t>
        </is>
      </c>
      <c r="D426" s="43" t="inlineStr">
        <is>
          <t>FAI Status</t>
        </is>
      </c>
      <c r="E426" s="32" t="n">
        <v>46281</v>
      </c>
      <c r="F426" s="32" t="n">
        <v>46350</v>
      </c>
      <c r="G426" s="43" t="n">
        <v>3</v>
      </c>
      <c r="H426" s="43" t="n">
        <v>3</v>
      </c>
      <c r="I426" s="33" t="inlineStr">
        <is>
          <t>73-16681-10, 73-16682-05</t>
        </is>
      </c>
      <c r="J426" s="33" t="inlineStr"/>
      <c r="K426" s="33" t="inlineStr"/>
      <c r="L426" s="34">
        <f>IF(F426="","REVIEW: DATE CONFLICT/EMPTY",IF(F426&lt;'Change Overview'!$B$5,"END DATE PASSED","END DATE NOT PASSED"))</f>
        <v/>
      </c>
      <c r="M426" s="34">
        <f>IF(K426&lt;&gt;"","REVIEW SOURCE CONFLICT",IF(OR(ISNUMBER(SEARCH("CCB",D426)),ISNUMBER(SEARCH("Pending",D426))),"CCB/PENDING",IF(OR(ISNUMBER(SEARCH("Expired",D426)),ISNUMBER(SEARCH("Closed",D426))),"CLOSED/EXPIRED",IF(E426="","NO RELEASE DATE","REVIEW APPROVAL"))))</f>
        <v/>
      </c>
      <c r="N426" s="34">
        <f>IF(K426&lt;&gt;"","HIGH: SOURCE CONFLICT",IF(AND(L426="END DATE NOT PASSED",M426="REVIEW APPROVAL"),"HIGH: VERIFY",IF(L426="END DATE NOT PASSED","MEDIUM: CHECK STATUS","LOW: HISTORICAL")))</f>
        <v/>
      </c>
      <c r="O426" s="33" t="inlineStr">
        <is>
          <t>Validar documento firmado, revision/WO/sitio, material afectado y evidencia antes de activar alerta automatica.</t>
        </is>
      </c>
    </row>
    <row r="427">
      <c r="A427" s="43" t="inlineStr">
        <is>
          <t>CTANJZ05446</t>
        </is>
      </c>
      <c r="B427" s="43" t="inlineStr">
        <is>
          <t>D613569</t>
        </is>
      </c>
      <c r="C427" s="43" t="inlineStr">
        <is>
          <t>CRBU</t>
        </is>
      </c>
      <c r="D427" s="43" t="inlineStr">
        <is>
          <t>FAI Status</t>
        </is>
      </c>
      <c r="E427" s="32" t="n">
        <v>46295</v>
      </c>
      <c r="F427" s="32" t="n">
        <v>46441</v>
      </c>
      <c r="G427" s="43" t="n">
        <v>4</v>
      </c>
      <c r="H427" s="43" t="n">
        <v>2</v>
      </c>
      <c r="I427" s="33" t="inlineStr">
        <is>
          <t>73-19152-02</t>
        </is>
      </c>
      <c r="J427" s="33" t="inlineStr"/>
      <c r="K427" s="33" t="inlineStr"/>
      <c r="L427" s="34">
        <f>IF(F427="","REVIEW: DATE CONFLICT/EMPTY",IF(F427&lt;'Change Overview'!$B$5,"END DATE PASSED","END DATE NOT PASSED"))</f>
        <v/>
      </c>
      <c r="M427" s="34">
        <f>IF(K427&lt;&gt;"","REVIEW SOURCE CONFLICT",IF(OR(ISNUMBER(SEARCH("CCB",D427)),ISNUMBER(SEARCH("Pending",D427))),"CCB/PENDING",IF(OR(ISNUMBER(SEARCH("Expired",D427)),ISNUMBER(SEARCH("Closed",D427))),"CLOSED/EXPIRED",IF(E427="","NO RELEASE DATE","REVIEW APPROVAL"))))</f>
        <v/>
      </c>
      <c r="N427" s="34">
        <f>IF(K427&lt;&gt;"","HIGH: SOURCE CONFLICT",IF(AND(L427="END DATE NOT PASSED",M427="REVIEW APPROVAL"),"HIGH: VERIFY",IF(L427="END DATE NOT PASSED","MEDIUM: CHECK STATUS","LOW: HISTORICAL")))</f>
        <v/>
      </c>
      <c r="O427" s="33" t="inlineStr">
        <is>
          <t>Validar documento firmado, revision/WO/sitio, material afectado y evidencia antes de activar alerta automatica.</t>
        </is>
      </c>
    </row>
    <row r="428">
      <c r="A428" s="43" t="inlineStr">
        <is>
          <t>CTANJZ05449</t>
        </is>
      </c>
      <c r="B428" s="43" t="inlineStr">
        <is>
          <t>D613605</t>
        </is>
      </c>
      <c r="C428" s="43" t="inlineStr">
        <is>
          <t>CVEBU</t>
        </is>
      </c>
      <c r="D428" s="43" t="inlineStr">
        <is>
          <t>FAI Status</t>
        </is>
      </c>
      <c r="E428" s="32" t="n">
        <v>46294</v>
      </c>
      <c r="F428" s="32" t="n">
        <v>46353</v>
      </c>
      <c r="G428" s="43" t="n">
        <v>2</v>
      </c>
      <c r="H428" s="43" t="n">
        <v>2</v>
      </c>
      <c r="I428" s="33" t="inlineStr"/>
      <c r="J428" s="33" t="inlineStr"/>
      <c r="K428" s="33" t="inlineStr"/>
      <c r="L428" s="34">
        <f>IF(F428="","REVIEW: DATE CONFLICT/EMPTY",IF(F428&lt;'Change Overview'!$B$5,"END DATE PASSED","END DATE NOT PASSED"))</f>
        <v/>
      </c>
      <c r="M428" s="34">
        <f>IF(K428&lt;&gt;"","REVIEW SOURCE CONFLICT",IF(OR(ISNUMBER(SEARCH("CCB",D428)),ISNUMBER(SEARCH("Pending",D428))),"CCB/PENDING",IF(OR(ISNUMBER(SEARCH("Expired",D428)),ISNUMBER(SEARCH("Closed",D428))),"CLOSED/EXPIRED",IF(E428="","NO RELEASE DATE","REVIEW APPROVAL"))))</f>
        <v/>
      </c>
      <c r="N428" s="34">
        <f>IF(K428&lt;&gt;"","HIGH: SOURCE CONFLICT",IF(AND(L428="END DATE NOT PASSED",M428="REVIEW APPROVAL"),"HIGH: VERIFY",IF(L428="END DATE NOT PASSED","MEDIUM: CHECK STATUS","LOW: HISTORICAL")))</f>
        <v/>
      </c>
      <c r="O428" s="33" t="inlineStr">
        <is>
          <t>Validar documento firmado, revision/WO/sitio, material afectado y evidencia antes de activar alerta automatica.</t>
        </is>
      </c>
    </row>
    <row r="429">
      <c r="A429" s="43" t="inlineStr">
        <is>
          <t>CTANJZ05450</t>
        </is>
      </c>
      <c r="B429" s="43" t="inlineStr">
        <is>
          <t>D613609</t>
        </is>
      </c>
      <c r="C429" s="43" t="inlineStr">
        <is>
          <t>CVEBU</t>
        </is>
      </c>
      <c r="D429" s="43" t="inlineStr">
        <is>
          <t>FAI Status</t>
        </is>
      </c>
      <c r="E429" s="32" t="n">
        <v>46296</v>
      </c>
      <c r="F429" s="32" t="n">
        <v>46355</v>
      </c>
      <c r="G429" s="43" t="n">
        <v>2</v>
      </c>
      <c r="H429" s="43" t="n">
        <v>2</v>
      </c>
      <c r="I429" s="33" t="inlineStr"/>
      <c r="J429" s="33" t="inlineStr"/>
      <c r="K429" s="33" t="inlineStr"/>
      <c r="L429" s="34">
        <f>IF(F429="","REVIEW: DATE CONFLICT/EMPTY",IF(F429&lt;'Change Overview'!$B$5,"END DATE PASSED","END DATE NOT PASSED"))</f>
        <v/>
      </c>
      <c r="M429" s="34">
        <f>IF(K429&lt;&gt;"","REVIEW SOURCE CONFLICT",IF(OR(ISNUMBER(SEARCH("CCB",D429)),ISNUMBER(SEARCH("Pending",D429))),"CCB/PENDING",IF(OR(ISNUMBER(SEARCH("Expired",D429)),ISNUMBER(SEARCH("Closed",D429))),"CLOSED/EXPIRED",IF(E429="","NO RELEASE DATE","REVIEW APPROVAL"))))</f>
        <v/>
      </c>
      <c r="N429" s="34">
        <f>IF(K429&lt;&gt;"","HIGH: SOURCE CONFLICT",IF(AND(L429="END DATE NOT PASSED",M429="REVIEW APPROVAL"),"HIGH: VERIFY",IF(L429="END DATE NOT PASSED","MEDIUM: CHECK STATUS","LOW: HISTORICAL")))</f>
        <v/>
      </c>
      <c r="O429" s="33" t="inlineStr">
        <is>
          <t>Validar documento firmado, revision/WO/sitio, material afectado y evidencia antes de activar alerta automatica.</t>
        </is>
      </c>
    </row>
    <row r="430">
      <c r="A430" s="43" t="inlineStr">
        <is>
          <t>CTANJZ05451</t>
        </is>
      </c>
      <c r="B430" s="43" t="inlineStr">
        <is>
          <t>D613618</t>
        </is>
      </c>
      <c r="C430" s="43" t="inlineStr">
        <is>
          <t>CVEBU</t>
        </is>
      </c>
      <c r="D430" s="43" t="inlineStr">
        <is>
          <t>FAI Status</t>
        </is>
      </c>
      <c r="E430" s="32" t="n">
        <v>46297</v>
      </c>
      <c r="F430" s="32" t="n">
        <v>46355</v>
      </c>
      <c r="G430" s="43" t="n">
        <v>2</v>
      </c>
      <c r="H430" s="43" t="n">
        <v>2</v>
      </c>
      <c r="I430" s="33" t="inlineStr"/>
      <c r="J430" s="33" t="inlineStr"/>
      <c r="K430" s="33" t="inlineStr"/>
      <c r="L430" s="34">
        <f>IF(F430="","REVIEW: DATE CONFLICT/EMPTY",IF(F430&lt;'Change Overview'!$B$5,"END DATE PASSED","END DATE NOT PASSED"))</f>
        <v/>
      </c>
      <c r="M430" s="34">
        <f>IF(K430&lt;&gt;"","REVIEW SOURCE CONFLICT",IF(OR(ISNUMBER(SEARCH("CCB",D430)),ISNUMBER(SEARCH("Pending",D430))),"CCB/PENDING",IF(OR(ISNUMBER(SEARCH("Expired",D430)),ISNUMBER(SEARCH("Closed",D430))),"CLOSED/EXPIRED",IF(E430="","NO RELEASE DATE","REVIEW APPROVAL"))))</f>
        <v/>
      </c>
      <c r="N430" s="34">
        <f>IF(K430&lt;&gt;"","HIGH: SOURCE CONFLICT",IF(AND(L430="END DATE NOT PASSED",M430="REVIEW APPROVAL"),"HIGH: VERIFY",IF(L430="END DATE NOT PASSED","MEDIUM: CHECK STATUS","LOW: HISTORICAL")))</f>
        <v/>
      </c>
      <c r="O430" s="33" t="inlineStr">
        <is>
          <t>Validar documento firmado, revision/WO/sitio, material afectado y evidencia antes de activar alerta automatica.</t>
        </is>
      </c>
    </row>
    <row r="431">
      <c r="A431" s="43" t="inlineStr">
        <is>
          <t>CTANJZ05453</t>
        </is>
      </c>
      <c r="B431" s="43" t="inlineStr">
        <is>
          <t>D613633</t>
        </is>
      </c>
      <c r="C431" s="43" t="inlineStr">
        <is>
          <t>CRBU</t>
        </is>
      </c>
      <c r="D431" s="43" t="inlineStr">
        <is>
          <t>FAI Status</t>
        </is>
      </c>
      <c r="E431" s="32" t="n">
        <v>46294</v>
      </c>
      <c r="F431" s="32" t="n">
        <v>46446</v>
      </c>
      <c r="G431" s="43" t="n">
        <v>2</v>
      </c>
      <c r="H431" s="43" t="n">
        <v>1</v>
      </c>
      <c r="I431" s="33" t="inlineStr"/>
      <c r="J431" s="33" t="inlineStr"/>
      <c r="K431" s="33" t="inlineStr"/>
      <c r="L431" s="34">
        <f>IF(F431="","REVIEW: DATE CONFLICT/EMPTY",IF(F431&lt;'Change Overview'!$B$5,"END DATE PASSED","END DATE NOT PASSED"))</f>
        <v/>
      </c>
      <c r="M431" s="34">
        <f>IF(K431&lt;&gt;"","REVIEW SOURCE CONFLICT",IF(OR(ISNUMBER(SEARCH("CCB",D431)),ISNUMBER(SEARCH("Pending",D431))),"CCB/PENDING",IF(OR(ISNUMBER(SEARCH("Expired",D431)),ISNUMBER(SEARCH("Closed",D431))),"CLOSED/EXPIRED",IF(E431="","NO RELEASE DATE","REVIEW APPROVAL"))))</f>
        <v/>
      </c>
      <c r="N431" s="34">
        <f>IF(K431&lt;&gt;"","HIGH: SOURCE CONFLICT",IF(AND(L431="END DATE NOT PASSED",M431="REVIEW APPROVAL"),"HIGH: VERIFY",IF(L431="END DATE NOT PASSED","MEDIUM: CHECK STATUS","LOW: HISTORICAL")))</f>
        <v/>
      </c>
      <c r="O431" s="33" t="inlineStr">
        <is>
          <t>Validar documento firmado, revision/WO/sitio, material afectado y evidencia antes de activar alerta automatica.</t>
        </is>
      </c>
    </row>
    <row r="432">
      <c r="A432" s="43" t="inlineStr">
        <is>
          <t>CTANJZ05454</t>
        </is>
      </c>
      <c r="B432" s="43" t="inlineStr">
        <is>
          <t>D613632</t>
        </is>
      </c>
      <c r="C432" s="43" t="inlineStr">
        <is>
          <t>CRBU</t>
        </is>
      </c>
      <c r="D432" s="43" t="inlineStr">
        <is>
          <t>Implementation</t>
        </is>
      </c>
      <c r="E432" s="32" t="n">
        <v>46294</v>
      </c>
      <c r="F432" s="32" t="n">
        <v>46446</v>
      </c>
      <c r="G432" s="43" t="n">
        <v>2</v>
      </c>
      <c r="H432" s="43" t="n">
        <v>1</v>
      </c>
      <c r="I432" s="33" t="inlineStr"/>
      <c r="J432" s="33" t="inlineStr"/>
      <c r="K432" s="33" t="inlineStr"/>
      <c r="L432" s="34">
        <f>IF(F432="","REVIEW: DATE CONFLICT/EMPTY",IF(F432&lt;'Change Overview'!$B$5,"END DATE PASSED","END DATE NOT PASSED"))</f>
        <v/>
      </c>
      <c r="M432" s="34">
        <f>IF(K432&lt;&gt;"","REVIEW SOURCE CONFLICT",IF(OR(ISNUMBER(SEARCH("CCB",D432)),ISNUMBER(SEARCH("Pending",D432))),"CCB/PENDING",IF(OR(ISNUMBER(SEARCH("Expired",D432)),ISNUMBER(SEARCH("Closed",D432))),"CLOSED/EXPIRED",IF(E432="","NO RELEASE DATE","REVIEW APPROVAL"))))</f>
        <v/>
      </c>
      <c r="N432" s="34">
        <f>IF(K432&lt;&gt;"","HIGH: SOURCE CONFLICT",IF(AND(L432="END DATE NOT PASSED",M432="REVIEW APPROVAL"),"HIGH: VERIFY",IF(L432="END DATE NOT PASSED","MEDIUM: CHECK STATUS","LOW: HISTORICAL")))</f>
        <v/>
      </c>
      <c r="O432" s="33" t="inlineStr">
        <is>
          <t>Validar documento firmado, revision/WO/sitio, material afectado y evidencia antes de activar alerta automatica.</t>
        </is>
      </c>
    </row>
    <row r="433">
      <c r="A433" s="43" t="inlineStr">
        <is>
          <t>CTANJZ05455</t>
        </is>
      </c>
      <c r="B433" s="43" t="inlineStr">
        <is>
          <t>D613568</t>
        </is>
      </c>
      <c r="C433" s="43" t="inlineStr">
        <is>
          <t>CRBU</t>
        </is>
      </c>
      <c r="D433" s="43" t="inlineStr">
        <is>
          <t>Implementation</t>
        </is>
      </c>
      <c r="E433" s="32" t="n">
        <v>46295</v>
      </c>
      <c r="F433" s="32" t="n">
        <v>46357</v>
      </c>
      <c r="G433" s="43" t="n">
        <v>2</v>
      </c>
      <c r="H433" s="43" t="n">
        <v>1</v>
      </c>
      <c r="I433" s="33" t="inlineStr"/>
      <c r="J433" s="33" t="inlineStr"/>
      <c r="K433" s="33" t="inlineStr"/>
      <c r="L433" s="34">
        <f>IF(F433="","REVIEW: DATE CONFLICT/EMPTY",IF(F433&lt;'Change Overview'!$B$5,"END DATE PASSED","END DATE NOT PASSED"))</f>
        <v/>
      </c>
      <c r="M433" s="34">
        <f>IF(K433&lt;&gt;"","REVIEW SOURCE CONFLICT",IF(OR(ISNUMBER(SEARCH("CCB",D433)),ISNUMBER(SEARCH("Pending",D433))),"CCB/PENDING",IF(OR(ISNUMBER(SEARCH("Expired",D433)),ISNUMBER(SEARCH("Closed",D433))),"CLOSED/EXPIRED",IF(E433="","NO RELEASE DATE","REVIEW APPROVAL"))))</f>
        <v/>
      </c>
      <c r="N433" s="34">
        <f>IF(K433&lt;&gt;"","HIGH: SOURCE CONFLICT",IF(AND(L433="END DATE NOT PASSED",M433="REVIEW APPROVAL"),"HIGH: VERIFY",IF(L433="END DATE NOT PASSED","MEDIUM: CHECK STATUS","LOW: HISTORICAL")))</f>
        <v/>
      </c>
      <c r="O433" s="33" t="inlineStr">
        <is>
          <t>Validar documento firmado, revision/WO/sitio, material afectado y evidencia antes de activar alerta automatica.</t>
        </is>
      </c>
    </row>
    <row r="434">
      <c r="A434" s="43" t="inlineStr">
        <is>
          <t>CTANJZ05456</t>
        </is>
      </c>
      <c r="B434" s="43" t="inlineStr">
        <is>
          <t>D613567</t>
        </is>
      </c>
      <c r="C434" s="43" t="inlineStr">
        <is>
          <t>CRBU</t>
        </is>
      </c>
      <c r="D434" s="43" t="inlineStr">
        <is>
          <t>Implementation</t>
        </is>
      </c>
      <c r="E434" s="32" t="n">
        <v>46295</v>
      </c>
      <c r="F434" s="32" t="n">
        <v>46357</v>
      </c>
      <c r="G434" s="43" t="n">
        <v>2</v>
      </c>
      <c r="H434" s="43" t="n">
        <v>1</v>
      </c>
      <c r="I434" s="33" t="inlineStr"/>
      <c r="J434" s="33" t="inlineStr"/>
      <c r="K434" s="33" t="inlineStr"/>
      <c r="L434" s="34">
        <f>IF(F434="","REVIEW: DATE CONFLICT/EMPTY",IF(F434&lt;'Change Overview'!$B$5,"END DATE PASSED","END DATE NOT PASSED"))</f>
        <v/>
      </c>
      <c r="M434" s="34">
        <f>IF(K434&lt;&gt;"","REVIEW SOURCE CONFLICT",IF(OR(ISNUMBER(SEARCH("CCB",D434)),ISNUMBER(SEARCH("Pending",D434))),"CCB/PENDING",IF(OR(ISNUMBER(SEARCH("Expired",D434)),ISNUMBER(SEARCH("Closed",D434))),"CLOSED/EXPIRED",IF(E434="","NO RELEASE DATE","REVIEW APPROVAL"))))</f>
        <v/>
      </c>
      <c r="N434" s="34">
        <f>IF(K434&lt;&gt;"","HIGH: SOURCE CONFLICT",IF(AND(L434="END DATE NOT PASSED",M434="REVIEW APPROVAL"),"HIGH: VERIFY",IF(L434="END DATE NOT PASSED","MEDIUM: CHECK STATUS","LOW: HISTORICAL")))</f>
        <v/>
      </c>
      <c r="O434" s="33" t="inlineStr">
        <is>
          <t>Validar documento firmado, revision/WO/sitio, material afectado y evidencia antes de activar alerta automatica.</t>
        </is>
      </c>
    </row>
    <row r="435">
      <c r="A435" s="43" t="inlineStr">
        <is>
          <t>CTANJZ05457</t>
        </is>
      </c>
      <c r="B435" s="43" t="inlineStr">
        <is>
          <t>D613736</t>
        </is>
      </c>
      <c r="C435" s="43" t="inlineStr">
        <is>
          <t>STBU</t>
        </is>
      </c>
      <c r="D435" s="43" t="inlineStr">
        <is>
          <t>Implementation</t>
        </is>
      </c>
      <c r="E435" s="32" t="n">
        <v>46297</v>
      </c>
      <c r="F435" s="32" t="n">
        <v>46357</v>
      </c>
      <c r="G435" s="43" t="n">
        <v>2</v>
      </c>
      <c r="H435" s="43" t="n">
        <v>2</v>
      </c>
      <c r="I435" s="33" t="inlineStr"/>
      <c r="J435" s="33" t="inlineStr"/>
      <c r="K435" s="33" t="inlineStr"/>
      <c r="L435" s="34">
        <f>IF(F435="","REVIEW: DATE CONFLICT/EMPTY",IF(F435&lt;'Change Overview'!$B$5,"END DATE PASSED","END DATE NOT PASSED"))</f>
        <v/>
      </c>
      <c r="M435" s="34">
        <f>IF(K435&lt;&gt;"","REVIEW SOURCE CONFLICT",IF(OR(ISNUMBER(SEARCH("CCB",D435)),ISNUMBER(SEARCH("Pending",D435))),"CCB/PENDING",IF(OR(ISNUMBER(SEARCH("Expired",D435)),ISNUMBER(SEARCH("Closed",D435))),"CLOSED/EXPIRED",IF(E435="","NO RELEASE DATE","REVIEW APPROVAL"))))</f>
        <v/>
      </c>
      <c r="N435" s="34">
        <f>IF(K435&lt;&gt;"","HIGH: SOURCE CONFLICT",IF(AND(L435="END DATE NOT PASSED",M435="REVIEW APPROVAL"),"HIGH: VERIFY",IF(L435="END DATE NOT PASSED","MEDIUM: CHECK STATUS","LOW: HISTORICAL")))</f>
        <v/>
      </c>
      <c r="O435" s="33" t="inlineStr">
        <is>
          <t>Validar documento firmado, revision/WO/sitio, material afectado y evidencia antes de activar alerta automatica.</t>
        </is>
      </c>
    </row>
    <row r="436">
      <c r="A436" s="43" t="inlineStr">
        <is>
          <t>CTANJZ05458</t>
        </is>
      </c>
      <c r="B436" s="43" t="inlineStr">
        <is>
          <t>D613627</t>
        </is>
      </c>
      <c r="C436" s="43" t="inlineStr">
        <is>
          <t>CRBU</t>
        </is>
      </c>
      <c r="D436" s="43" t="inlineStr">
        <is>
          <t>Implementation</t>
        </is>
      </c>
      <c r="E436" s="32" t="n">
        <v>46295</v>
      </c>
      <c r="F436" s="32" t="n">
        <v>46357</v>
      </c>
      <c r="G436" s="43" t="n">
        <v>4</v>
      </c>
      <c r="H436" s="43" t="n">
        <v>2</v>
      </c>
      <c r="I436" s="33" t="inlineStr"/>
      <c r="J436" s="33" t="inlineStr"/>
      <c r="K436" s="33" t="inlineStr"/>
      <c r="L436" s="34">
        <f>IF(F436="","REVIEW: DATE CONFLICT/EMPTY",IF(F436&lt;'Change Overview'!$B$5,"END DATE PASSED","END DATE NOT PASSED"))</f>
        <v/>
      </c>
      <c r="M436" s="34">
        <f>IF(K436&lt;&gt;"","REVIEW SOURCE CONFLICT",IF(OR(ISNUMBER(SEARCH("CCB",D436)),ISNUMBER(SEARCH("Pending",D436))),"CCB/PENDING",IF(OR(ISNUMBER(SEARCH("Expired",D436)),ISNUMBER(SEARCH("Closed",D436))),"CLOSED/EXPIRED",IF(E436="","NO RELEASE DATE","REVIEW APPROVAL"))))</f>
        <v/>
      </c>
      <c r="N436" s="34">
        <f>IF(K436&lt;&gt;"","HIGH: SOURCE CONFLICT",IF(AND(L436="END DATE NOT PASSED",M436="REVIEW APPROVAL"),"HIGH: VERIFY",IF(L436="END DATE NOT PASSED","MEDIUM: CHECK STATUS","LOW: HISTORICAL")))</f>
        <v/>
      </c>
      <c r="O436" s="33" t="inlineStr">
        <is>
          <t>Validar documento firmado, revision/WO/sitio, material afectado y evidencia antes de activar alerta automatica.</t>
        </is>
      </c>
    </row>
    <row r="437">
      <c r="A437" s="43" t="inlineStr">
        <is>
          <t>CTANJZ05459</t>
        </is>
      </c>
      <c r="B437" s="43" t="inlineStr">
        <is>
          <t>D613629</t>
        </is>
      </c>
      <c r="C437" s="43" t="inlineStr">
        <is>
          <t>CRBU</t>
        </is>
      </c>
      <c r="D437" s="43" t="inlineStr">
        <is>
          <t>Implementation</t>
        </is>
      </c>
      <c r="E437" s="32" t="n">
        <v>46295</v>
      </c>
      <c r="F437" s="32" t="n">
        <v>46357</v>
      </c>
      <c r="G437" s="43" t="n">
        <v>4</v>
      </c>
      <c r="H437" s="43" t="n">
        <v>2</v>
      </c>
      <c r="I437" s="33" t="inlineStr"/>
      <c r="J437" s="33" t="inlineStr"/>
      <c r="K437" s="33" t="inlineStr"/>
      <c r="L437" s="34">
        <f>IF(F437="","REVIEW: DATE CONFLICT/EMPTY",IF(F437&lt;'Change Overview'!$B$5,"END DATE PASSED","END DATE NOT PASSED"))</f>
        <v/>
      </c>
      <c r="M437" s="34">
        <f>IF(K437&lt;&gt;"","REVIEW SOURCE CONFLICT",IF(OR(ISNUMBER(SEARCH("CCB",D437)),ISNUMBER(SEARCH("Pending",D437))),"CCB/PENDING",IF(OR(ISNUMBER(SEARCH("Expired",D437)),ISNUMBER(SEARCH("Closed",D437))),"CLOSED/EXPIRED",IF(E437="","NO RELEASE DATE","REVIEW APPROVAL"))))</f>
        <v/>
      </c>
      <c r="N437" s="34">
        <f>IF(K437&lt;&gt;"","HIGH: SOURCE CONFLICT",IF(AND(L437="END DATE NOT PASSED",M437="REVIEW APPROVAL"),"HIGH: VERIFY",IF(L437="END DATE NOT PASSED","MEDIUM: CHECK STATUS","LOW: HISTORICAL")))</f>
        <v/>
      </c>
      <c r="O437" s="33" t="inlineStr">
        <is>
          <t>Validar documento firmado, revision/WO/sitio, material afectado y evidencia antes de activar alerta automatica.</t>
        </is>
      </c>
    </row>
    <row r="438">
      <c r="A438" s="43" t="inlineStr">
        <is>
          <t>CTANJZ05462</t>
        </is>
      </c>
      <c r="B438" s="43" t="inlineStr">
        <is>
          <t>D613679</t>
        </is>
      </c>
      <c r="C438" s="43" t="inlineStr">
        <is>
          <t>STBU</t>
        </is>
      </c>
      <c r="D438" s="43" t="inlineStr">
        <is>
          <t>FAI Status</t>
        </is>
      </c>
      <c r="E438" s="32" t="n">
        <v>46295</v>
      </c>
      <c r="F438" s="32" t="n">
        <v>46359</v>
      </c>
      <c r="G438" s="43" t="n">
        <v>1</v>
      </c>
      <c r="H438" s="43" t="n">
        <v>1</v>
      </c>
      <c r="I438" s="33" t="inlineStr">
        <is>
          <t>73-103633-04</t>
        </is>
      </c>
      <c r="J438" s="33" t="inlineStr"/>
      <c r="K438" s="33" t="inlineStr"/>
      <c r="L438" s="34">
        <f>IF(F438="","REVIEW: DATE CONFLICT/EMPTY",IF(F438&lt;'Change Overview'!$B$5,"END DATE PASSED","END DATE NOT PASSED"))</f>
        <v/>
      </c>
      <c r="M438" s="34">
        <f>IF(K438&lt;&gt;"","REVIEW SOURCE CONFLICT",IF(OR(ISNUMBER(SEARCH("CCB",D438)),ISNUMBER(SEARCH("Pending",D438))),"CCB/PENDING",IF(OR(ISNUMBER(SEARCH("Expired",D438)),ISNUMBER(SEARCH("Closed",D438))),"CLOSED/EXPIRED",IF(E438="","NO RELEASE DATE","REVIEW APPROVAL"))))</f>
        <v/>
      </c>
      <c r="N438" s="34">
        <f>IF(K438&lt;&gt;"","HIGH: SOURCE CONFLICT",IF(AND(L438="END DATE NOT PASSED",M438="REVIEW APPROVAL"),"HIGH: VERIFY",IF(L438="END DATE NOT PASSED","MEDIUM: CHECK STATUS","LOW: HISTORICAL")))</f>
        <v/>
      </c>
      <c r="O438" s="33" t="inlineStr">
        <is>
          <t>Validar documento firmado, revision/WO/sitio, material afectado y evidencia antes de activar alerta automatica.</t>
        </is>
      </c>
    </row>
    <row r="439">
      <c r="A439" s="43" t="inlineStr">
        <is>
          <t>CTANJZ05463</t>
        </is>
      </c>
      <c r="B439" s="43" t="inlineStr">
        <is>
          <t>D613810</t>
        </is>
      </c>
      <c r="C439" s="43" t="inlineStr">
        <is>
          <t>SRGBU</t>
        </is>
      </c>
      <c r="D439" s="43" t="inlineStr">
        <is>
          <t>FAI Status</t>
        </is>
      </c>
      <c r="E439" s="32" t="n">
        <v>46290</v>
      </c>
      <c r="F439" s="32" t="n">
        <v>46358</v>
      </c>
      <c r="G439" s="43" t="n">
        <v>3</v>
      </c>
      <c r="H439" s="43" t="n">
        <v>3</v>
      </c>
      <c r="I439" s="33" t="inlineStr"/>
      <c r="J439" s="33" t="inlineStr"/>
      <c r="K439" s="33" t="inlineStr"/>
      <c r="L439" s="34">
        <f>IF(F439="","REVIEW: DATE CONFLICT/EMPTY",IF(F439&lt;'Change Overview'!$B$5,"END DATE PASSED","END DATE NOT PASSED"))</f>
        <v/>
      </c>
      <c r="M439" s="34">
        <f>IF(K439&lt;&gt;"","REVIEW SOURCE CONFLICT",IF(OR(ISNUMBER(SEARCH("CCB",D439)),ISNUMBER(SEARCH("Pending",D439))),"CCB/PENDING",IF(OR(ISNUMBER(SEARCH("Expired",D439)),ISNUMBER(SEARCH("Closed",D439))),"CLOSED/EXPIRED",IF(E439="","NO RELEASE DATE","REVIEW APPROVAL"))))</f>
        <v/>
      </c>
      <c r="N439" s="34">
        <f>IF(K439&lt;&gt;"","HIGH: SOURCE CONFLICT",IF(AND(L439="END DATE NOT PASSED",M439="REVIEW APPROVAL"),"HIGH: VERIFY",IF(L439="END DATE NOT PASSED","MEDIUM: CHECK STATUS","LOW: HISTORICAL")))</f>
        <v/>
      </c>
      <c r="O439" s="33" t="inlineStr">
        <is>
          <t>Validar documento firmado, revision/WO/sitio, material afectado y evidencia antes de activar alerta automatica.</t>
        </is>
      </c>
    </row>
    <row r="440">
      <c r="A440" s="43" t="inlineStr">
        <is>
          <t>CTANJZ05465</t>
        </is>
      </c>
      <c r="B440" s="43" t="inlineStr">
        <is>
          <t>D613504</t>
        </is>
      </c>
      <c r="C440" s="43" t="inlineStr">
        <is>
          <t>CRBU</t>
        </is>
      </c>
      <c r="D440" s="43" t="inlineStr">
        <is>
          <t>Implementation</t>
        </is>
      </c>
      <c r="E440" s="32" t="n">
        <v>46297</v>
      </c>
      <c r="F440" s="32" t="n">
        <v>46362</v>
      </c>
      <c r="G440" s="43" t="n">
        <v>5</v>
      </c>
      <c r="H440" s="43" t="n">
        <v>5</v>
      </c>
      <c r="I440" s="33" t="inlineStr"/>
      <c r="J440" s="33" t="inlineStr"/>
      <c r="K440" s="33" t="inlineStr"/>
      <c r="L440" s="34">
        <f>IF(F440="","REVIEW: DATE CONFLICT/EMPTY",IF(F440&lt;'Change Overview'!$B$5,"END DATE PASSED","END DATE NOT PASSED"))</f>
        <v/>
      </c>
      <c r="M440" s="34">
        <f>IF(K440&lt;&gt;"","REVIEW SOURCE CONFLICT",IF(OR(ISNUMBER(SEARCH("CCB",D440)),ISNUMBER(SEARCH("Pending",D440))),"CCB/PENDING",IF(OR(ISNUMBER(SEARCH("Expired",D440)),ISNUMBER(SEARCH("Closed",D440))),"CLOSED/EXPIRED",IF(E440="","NO RELEASE DATE","REVIEW APPROVAL"))))</f>
        <v/>
      </c>
      <c r="N440" s="34">
        <f>IF(K440&lt;&gt;"","HIGH: SOURCE CONFLICT",IF(AND(L440="END DATE NOT PASSED",M440="REVIEW APPROVAL"),"HIGH: VERIFY",IF(L440="END DATE NOT PASSED","MEDIUM: CHECK STATUS","LOW: HISTORICAL")))</f>
        <v/>
      </c>
      <c r="O440" s="33" t="inlineStr">
        <is>
          <t>Validar documento firmado, revision/WO/sitio, material afectado y evidencia antes de activar alerta automatica.</t>
        </is>
      </c>
    </row>
    <row r="441">
      <c r="A441" s="43" t="inlineStr">
        <is>
          <t>CTANJZ05466</t>
        </is>
      </c>
      <c r="B441" s="43" t="inlineStr">
        <is>
          <t>D613946</t>
        </is>
      </c>
      <c r="C441" s="43" t="inlineStr">
        <is>
          <t>CVEBU</t>
        </is>
      </c>
      <c r="D441" s="43" t="inlineStr">
        <is>
          <t>FAI Status</t>
        </is>
      </c>
      <c r="E441" s="32" t="n">
        <v>46298</v>
      </c>
      <c r="F441" s="32" t="n">
        <v>46363</v>
      </c>
      <c r="G441" s="43" t="n">
        <v>7</v>
      </c>
      <c r="H441" s="43" t="n">
        <v>7</v>
      </c>
      <c r="I441" s="33" t="inlineStr">
        <is>
          <t>73-103698-06, 73-103940-06</t>
        </is>
      </c>
      <c r="J441" s="33" t="inlineStr"/>
      <c r="K441" s="33" t="inlineStr"/>
      <c r="L441" s="34">
        <f>IF(F441="","REVIEW: DATE CONFLICT/EMPTY",IF(F441&lt;'Change Overview'!$B$5,"END DATE PASSED","END DATE NOT PASSED"))</f>
        <v/>
      </c>
      <c r="M441" s="34">
        <f>IF(K441&lt;&gt;"","REVIEW SOURCE CONFLICT",IF(OR(ISNUMBER(SEARCH("CCB",D441)),ISNUMBER(SEARCH("Pending",D441))),"CCB/PENDING",IF(OR(ISNUMBER(SEARCH("Expired",D441)),ISNUMBER(SEARCH("Closed",D441))),"CLOSED/EXPIRED",IF(E441="","NO RELEASE DATE","REVIEW APPROVAL"))))</f>
        <v/>
      </c>
      <c r="N441" s="34">
        <f>IF(K441&lt;&gt;"","HIGH: SOURCE CONFLICT",IF(AND(L441="END DATE NOT PASSED",M441="REVIEW APPROVAL"),"HIGH: VERIFY",IF(L441="END DATE NOT PASSED","MEDIUM: CHECK STATUS","LOW: HISTORICAL")))</f>
        <v/>
      </c>
      <c r="O441" s="33" t="inlineStr">
        <is>
          <t>Validar documento firmado, revision/WO/sitio, material afectado y evidencia antes de activar alerta automatica.</t>
        </is>
      </c>
    </row>
    <row r="442">
      <c r="A442" s="43" t="inlineStr">
        <is>
          <t>CTANJZ05467</t>
        </is>
      </c>
      <c r="B442" s="43" t="inlineStr">
        <is>
          <t>DP526581</t>
        </is>
      </c>
      <c r="C442" s="43" t="inlineStr">
        <is>
          <t>STBU</t>
        </is>
      </c>
      <c r="D442" s="43" t="inlineStr">
        <is>
          <t>FAI Status</t>
        </is>
      </c>
      <c r="E442" s="32" t="n">
        <v>46296</v>
      </c>
      <c r="F442" s="32" t="n">
        <v>46334</v>
      </c>
      <c r="G442" s="43" t="n">
        <v>2</v>
      </c>
      <c r="H442" s="43" t="n">
        <v>2</v>
      </c>
      <c r="I442" s="33" t="inlineStr"/>
      <c r="J442" s="33" t="inlineStr"/>
      <c r="K442" s="33" t="inlineStr"/>
      <c r="L442" s="34">
        <f>IF(F442="","REVIEW: DATE CONFLICT/EMPTY",IF(F442&lt;'Change Overview'!$B$5,"END DATE PASSED","END DATE NOT PASSED"))</f>
        <v/>
      </c>
      <c r="M442" s="34">
        <f>IF(K442&lt;&gt;"","REVIEW SOURCE CONFLICT",IF(OR(ISNUMBER(SEARCH("CCB",D442)),ISNUMBER(SEARCH("Pending",D442))),"CCB/PENDING",IF(OR(ISNUMBER(SEARCH("Expired",D442)),ISNUMBER(SEARCH("Closed",D442))),"CLOSED/EXPIRED",IF(E442="","NO RELEASE DATE","REVIEW APPROVAL"))))</f>
        <v/>
      </c>
      <c r="N442" s="34">
        <f>IF(K442&lt;&gt;"","HIGH: SOURCE CONFLICT",IF(AND(L442="END DATE NOT PASSED",M442="REVIEW APPROVAL"),"HIGH: VERIFY",IF(L442="END DATE NOT PASSED","MEDIUM: CHECK STATUS","LOW: HISTORICAL")))</f>
        <v/>
      </c>
      <c r="O442" s="33" t="inlineStr">
        <is>
          <t>Validar documento firmado, revision/WO/sitio, material afectado y evidencia antes de activar alerta automatica.</t>
        </is>
      </c>
    </row>
    <row r="443">
      <c r="A443" s="43" t="inlineStr">
        <is>
          <t>CTANJZ05468</t>
        </is>
      </c>
      <c r="B443" s="43" t="inlineStr">
        <is>
          <t>D613858</t>
        </is>
      </c>
      <c r="C443" s="43" t="inlineStr">
        <is>
          <t>STBU</t>
        </is>
      </c>
      <c r="D443" s="43" t="inlineStr">
        <is>
          <t>Implementation</t>
        </is>
      </c>
      <c r="E443" s="32" t="n">
        <v>46298</v>
      </c>
      <c r="F443" s="32" t="n">
        <v>46364</v>
      </c>
      <c r="G443" s="43" t="n">
        <v>4</v>
      </c>
      <c r="H443" s="43" t="n">
        <v>2</v>
      </c>
      <c r="I443" s="33" t="inlineStr">
        <is>
          <t>73-102418-04</t>
        </is>
      </c>
      <c r="J443" s="33" t="inlineStr"/>
      <c r="K443" s="33" t="inlineStr"/>
      <c r="L443" s="34">
        <f>IF(F443="","REVIEW: DATE CONFLICT/EMPTY",IF(F443&lt;'Change Overview'!$B$5,"END DATE PASSED","END DATE NOT PASSED"))</f>
        <v/>
      </c>
      <c r="M443" s="34">
        <f>IF(K443&lt;&gt;"","REVIEW SOURCE CONFLICT",IF(OR(ISNUMBER(SEARCH("CCB",D443)),ISNUMBER(SEARCH("Pending",D443))),"CCB/PENDING",IF(OR(ISNUMBER(SEARCH("Expired",D443)),ISNUMBER(SEARCH("Closed",D443))),"CLOSED/EXPIRED",IF(E443="","NO RELEASE DATE","REVIEW APPROVAL"))))</f>
        <v/>
      </c>
      <c r="N443" s="34">
        <f>IF(K443&lt;&gt;"","HIGH: SOURCE CONFLICT",IF(AND(L443="END DATE NOT PASSED",M443="REVIEW APPROVAL"),"HIGH: VERIFY",IF(L443="END DATE NOT PASSED","MEDIUM: CHECK STATUS","LOW: HISTORICAL")))</f>
        <v/>
      </c>
      <c r="O443" s="33" t="inlineStr">
        <is>
          <t>Validar documento firmado, revision/WO/sitio, material afectado y evidencia antes de activar alerta automatica.</t>
        </is>
      </c>
    </row>
    <row r="444">
      <c r="A444" s="43" t="inlineStr">
        <is>
          <t>CTANJZ05469</t>
        </is>
      </c>
      <c r="B444" s="43" t="inlineStr">
        <is>
          <t>D613812</t>
        </is>
      </c>
      <c r="C444" s="43" t="inlineStr">
        <is>
          <t>STBU</t>
        </is>
      </c>
      <c r="D444" s="43" t="inlineStr">
        <is>
          <t>Implementation</t>
        </is>
      </c>
      <c r="E444" s="32" t="n">
        <v>46304</v>
      </c>
      <c r="F444" s="32" t="n">
        <v>46364</v>
      </c>
      <c r="G444" s="43" t="n">
        <v>4</v>
      </c>
      <c r="H444" s="43" t="n">
        <v>4</v>
      </c>
      <c r="I444" s="33" t="inlineStr"/>
      <c r="J444" s="33" t="inlineStr"/>
      <c r="K444" s="33" t="inlineStr"/>
      <c r="L444" s="34">
        <f>IF(F444="","REVIEW: DATE CONFLICT/EMPTY",IF(F444&lt;'Change Overview'!$B$5,"END DATE PASSED","END DATE NOT PASSED"))</f>
        <v/>
      </c>
      <c r="M444" s="34">
        <f>IF(K444&lt;&gt;"","REVIEW SOURCE CONFLICT",IF(OR(ISNUMBER(SEARCH("CCB",D444)),ISNUMBER(SEARCH("Pending",D444))),"CCB/PENDING",IF(OR(ISNUMBER(SEARCH("Expired",D444)),ISNUMBER(SEARCH("Closed",D444))),"CLOSED/EXPIRED",IF(E444="","NO RELEASE DATE","REVIEW APPROVAL"))))</f>
        <v/>
      </c>
      <c r="N444" s="34">
        <f>IF(K444&lt;&gt;"","HIGH: SOURCE CONFLICT",IF(AND(L444="END DATE NOT PASSED",M444="REVIEW APPROVAL"),"HIGH: VERIFY",IF(L444="END DATE NOT PASSED","MEDIUM: CHECK STATUS","LOW: HISTORICAL")))</f>
        <v/>
      </c>
      <c r="O444" s="33" t="inlineStr">
        <is>
          <t>Validar documento firmado, revision/WO/sitio, material afectado y evidencia antes de activar alerta automatica.</t>
        </is>
      </c>
    </row>
    <row r="445">
      <c r="A445" s="43" t="inlineStr">
        <is>
          <t>CTANJZ05470</t>
        </is>
      </c>
      <c r="B445" s="43" t="inlineStr">
        <is>
          <t>D613859</t>
        </is>
      </c>
      <c r="C445" s="43" t="inlineStr">
        <is>
          <t>STBU</t>
        </is>
      </c>
      <c r="D445" s="43" t="inlineStr">
        <is>
          <t>Implementation</t>
        </is>
      </c>
      <c r="E445" s="32" t="n">
        <v>46304</v>
      </c>
      <c r="F445" s="32" t="n">
        <v>46364</v>
      </c>
      <c r="G445" s="43" t="n">
        <v>4</v>
      </c>
      <c r="H445" s="43" t="n">
        <v>2</v>
      </c>
      <c r="I445" s="33" t="inlineStr">
        <is>
          <t>73-102482-02</t>
        </is>
      </c>
      <c r="J445" s="33" t="inlineStr"/>
      <c r="K445" s="33" t="inlineStr"/>
      <c r="L445" s="34">
        <f>IF(F445="","REVIEW: DATE CONFLICT/EMPTY",IF(F445&lt;'Change Overview'!$B$5,"END DATE PASSED","END DATE NOT PASSED"))</f>
        <v/>
      </c>
      <c r="M445" s="34">
        <f>IF(K445&lt;&gt;"","REVIEW SOURCE CONFLICT",IF(OR(ISNUMBER(SEARCH("CCB",D445)),ISNUMBER(SEARCH("Pending",D445))),"CCB/PENDING",IF(OR(ISNUMBER(SEARCH("Expired",D445)),ISNUMBER(SEARCH("Closed",D445))),"CLOSED/EXPIRED",IF(E445="","NO RELEASE DATE","REVIEW APPROVAL"))))</f>
        <v/>
      </c>
      <c r="N445" s="34">
        <f>IF(K445&lt;&gt;"","HIGH: SOURCE CONFLICT",IF(AND(L445="END DATE NOT PASSED",M445="REVIEW APPROVAL"),"HIGH: VERIFY",IF(L445="END DATE NOT PASSED","MEDIUM: CHECK STATUS","LOW: HISTORICAL")))</f>
        <v/>
      </c>
      <c r="O445" s="33" t="inlineStr">
        <is>
          <t>Validar documento firmado, revision/WO/sitio, material afectado y evidencia antes de activar alerta automatica.</t>
        </is>
      </c>
    </row>
    <row r="446">
      <c r="A446" s="43" t="inlineStr">
        <is>
          <t>CTANJZ05471</t>
        </is>
      </c>
      <c r="B446" s="43" t="inlineStr">
        <is>
          <t>D613625</t>
        </is>
      </c>
      <c r="C446" s="43" t="inlineStr">
        <is>
          <t>STBU</t>
        </is>
      </c>
      <c r="D446" s="43" t="inlineStr">
        <is>
          <t>Implementation</t>
        </is>
      </c>
      <c r="E446" s="32" t="n">
        <v>46304</v>
      </c>
      <c r="F446" s="32" t="n">
        <v>46364</v>
      </c>
      <c r="G446" s="43" t="n">
        <v>3</v>
      </c>
      <c r="H446" s="43" t="n">
        <v>3</v>
      </c>
      <c r="I446" s="33" t="inlineStr"/>
      <c r="J446" s="33" t="inlineStr"/>
      <c r="K446" s="33" t="inlineStr"/>
      <c r="L446" s="34">
        <f>IF(F446="","REVIEW: DATE CONFLICT/EMPTY",IF(F446&lt;'Change Overview'!$B$5,"END DATE PASSED","END DATE NOT PASSED"))</f>
        <v/>
      </c>
      <c r="M446" s="34">
        <f>IF(K446&lt;&gt;"","REVIEW SOURCE CONFLICT",IF(OR(ISNUMBER(SEARCH("CCB",D446)),ISNUMBER(SEARCH("Pending",D446))),"CCB/PENDING",IF(OR(ISNUMBER(SEARCH("Expired",D446)),ISNUMBER(SEARCH("Closed",D446))),"CLOSED/EXPIRED",IF(E446="","NO RELEASE DATE","REVIEW APPROVAL"))))</f>
        <v/>
      </c>
      <c r="N446" s="34">
        <f>IF(K446&lt;&gt;"","HIGH: SOURCE CONFLICT",IF(AND(L446="END DATE NOT PASSED",M446="REVIEW APPROVAL"),"HIGH: VERIFY",IF(L446="END DATE NOT PASSED","MEDIUM: CHECK STATUS","LOW: HISTORICAL")))</f>
        <v/>
      </c>
      <c r="O446" s="33" t="inlineStr">
        <is>
          <t>Validar documento firmado, revision/WO/sitio, material afectado y evidencia antes de activar alerta automatica.</t>
        </is>
      </c>
    </row>
    <row r="447">
      <c r="A447" s="43" t="inlineStr">
        <is>
          <t>CTANJZ05476</t>
        </is>
      </c>
      <c r="B447" s="43" t="inlineStr">
        <is>
          <t>D614007</t>
        </is>
      </c>
      <c r="C447" s="43" t="inlineStr">
        <is>
          <t>CVEBU</t>
        </is>
      </c>
      <c r="D447" s="43" t="inlineStr">
        <is>
          <t>FAI Status</t>
        </is>
      </c>
      <c r="E447" s="32" t="n">
        <v>46298</v>
      </c>
      <c r="F447" s="32" t="n">
        <v>46365</v>
      </c>
      <c r="G447" s="43" t="n">
        <v>3</v>
      </c>
      <c r="H447" s="43" t="n">
        <v>3</v>
      </c>
      <c r="I447" s="33" t="inlineStr">
        <is>
          <t>73-103720-04, 73-103920-04</t>
        </is>
      </c>
      <c r="J447" s="33" t="inlineStr"/>
      <c r="K447" s="33" t="inlineStr"/>
      <c r="L447" s="34">
        <f>IF(F447="","REVIEW: DATE CONFLICT/EMPTY",IF(F447&lt;'Change Overview'!$B$5,"END DATE PASSED","END DATE NOT PASSED"))</f>
        <v/>
      </c>
      <c r="M447" s="34">
        <f>IF(K447&lt;&gt;"","REVIEW SOURCE CONFLICT",IF(OR(ISNUMBER(SEARCH("CCB",D447)),ISNUMBER(SEARCH("Pending",D447))),"CCB/PENDING",IF(OR(ISNUMBER(SEARCH("Expired",D447)),ISNUMBER(SEARCH("Closed",D447))),"CLOSED/EXPIRED",IF(E447="","NO RELEASE DATE","REVIEW APPROVAL"))))</f>
        <v/>
      </c>
      <c r="N447" s="34">
        <f>IF(K447&lt;&gt;"","HIGH: SOURCE CONFLICT",IF(AND(L447="END DATE NOT PASSED",M447="REVIEW APPROVAL"),"HIGH: VERIFY",IF(L447="END DATE NOT PASSED","MEDIUM: CHECK STATUS","LOW: HISTORICAL")))</f>
        <v/>
      </c>
      <c r="O447" s="33" t="inlineStr">
        <is>
          <t>Validar documento firmado, revision/WO/sitio, material afectado y evidencia antes de activar alerta automatica.</t>
        </is>
      </c>
    </row>
    <row r="448">
      <c r="A448" s="43" t="inlineStr">
        <is>
          <t>CTANJZ05479</t>
        </is>
      </c>
      <c r="B448" s="43" t="inlineStr">
        <is>
          <t>D613635</t>
        </is>
      </c>
      <c r="C448" s="43" t="inlineStr">
        <is>
          <t>CRBU</t>
        </is>
      </c>
      <c r="D448" s="43" t="inlineStr">
        <is>
          <t>Implementation</t>
        </is>
      </c>
      <c r="E448" s="32" t="n">
        <v>46298</v>
      </c>
      <c r="F448" s="32" t="n">
        <v>46366</v>
      </c>
      <c r="G448" s="43" t="n">
        <v>4</v>
      </c>
      <c r="H448" s="43" t="n">
        <v>2</v>
      </c>
      <c r="I448" s="33" t="inlineStr"/>
      <c r="J448" s="33" t="inlineStr"/>
      <c r="K448" s="33" t="inlineStr"/>
      <c r="L448" s="34">
        <f>IF(F448="","REVIEW: DATE CONFLICT/EMPTY",IF(F448&lt;'Change Overview'!$B$5,"END DATE PASSED","END DATE NOT PASSED"))</f>
        <v/>
      </c>
      <c r="M448" s="34">
        <f>IF(K448&lt;&gt;"","REVIEW SOURCE CONFLICT",IF(OR(ISNUMBER(SEARCH("CCB",D448)),ISNUMBER(SEARCH("Pending",D448))),"CCB/PENDING",IF(OR(ISNUMBER(SEARCH("Expired",D448)),ISNUMBER(SEARCH("Closed",D448))),"CLOSED/EXPIRED",IF(E448="","NO RELEASE DATE","REVIEW APPROVAL"))))</f>
        <v/>
      </c>
      <c r="N448" s="34">
        <f>IF(K448&lt;&gt;"","HIGH: SOURCE CONFLICT",IF(AND(L448="END DATE NOT PASSED",M448="REVIEW APPROVAL"),"HIGH: VERIFY",IF(L448="END DATE NOT PASSED","MEDIUM: CHECK STATUS","LOW: HISTORICAL")))</f>
        <v/>
      </c>
      <c r="O448" s="33" t="inlineStr">
        <is>
          <t>Validar documento firmado, revision/WO/sitio, material afectado y evidencia antes de activar alerta automatica.</t>
        </is>
      </c>
    </row>
    <row r="449">
      <c r="A449" s="43" t="inlineStr">
        <is>
          <t>CTANJZ05482</t>
        </is>
      </c>
      <c r="B449" s="43" t="inlineStr">
        <is>
          <t>D614055</t>
        </is>
      </c>
      <c r="C449" s="43" t="inlineStr">
        <is>
          <t>SRGBU</t>
        </is>
      </c>
      <c r="D449" s="43" t="inlineStr">
        <is>
          <t>FAI Status</t>
        </is>
      </c>
      <c r="E449" s="32" t="n">
        <v>46304</v>
      </c>
      <c r="F449" s="32" t="n">
        <v>46369</v>
      </c>
      <c r="G449" s="43" t="n">
        <v>1</v>
      </c>
      <c r="H449" s="43" t="n">
        <v>1</v>
      </c>
      <c r="I449" s="33" t="inlineStr"/>
      <c r="J449" s="33" t="inlineStr"/>
      <c r="K449" s="33" t="inlineStr"/>
      <c r="L449" s="34">
        <f>IF(F449="","REVIEW: DATE CONFLICT/EMPTY",IF(F449&lt;'Change Overview'!$B$5,"END DATE PASSED","END DATE NOT PASSED"))</f>
        <v/>
      </c>
      <c r="M449" s="34">
        <f>IF(K449&lt;&gt;"","REVIEW SOURCE CONFLICT",IF(OR(ISNUMBER(SEARCH("CCB",D449)),ISNUMBER(SEARCH("Pending",D449))),"CCB/PENDING",IF(OR(ISNUMBER(SEARCH("Expired",D449)),ISNUMBER(SEARCH("Closed",D449))),"CLOSED/EXPIRED",IF(E449="","NO RELEASE DATE","REVIEW APPROVAL"))))</f>
        <v/>
      </c>
      <c r="N449" s="34">
        <f>IF(K449&lt;&gt;"","HIGH: SOURCE CONFLICT",IF(AND(L449="END DATE NOT PASSED",M449="REVIEW APPROVAL"),"HIGH: VERIFY",IF(L449="END DATE NOT PASSED","MEDIUM: CHECK STATUS","LOW: HISTORICAL")))</f>
        <v/>
      </c>
      <c r="O449" s="33" t="inlineStr">
        <is>
          <t>Validar documento firmado, revision/WO/sitio, material afectado y evidencia antes de activar alerta automatica.</t>
        </is>
      </c>
    </row>
    <row r="450">
      <c r="A450" s="43" t="inlineStr">
        <is>
          <t>CTANJZ05483</t>
        </is>
      </c>
      <c r="B450" s="43" t="inlineStr">
        <is>
          <t>D613884</t>
        </is>
      </c>
      <c r="C450" s="43" t="inlineStr">
        <is>
          <t>STBU</t>
        </is>
      </c>
      <c r="D450" s="43" t="inlineStr">
        <is>
          <t>Implementation</t>
        </is>
      </c>
      <c r="E450" s="32" t="n">
        <v>46305</v>
      </c>
      <c r="F450" s="32" t="n">
        <v>46370</v>
      </c>
      <c r="G450" s="43" t="n">
        <v>14</v>
      </c>
      <c r="H450" s="43" t="n">
        <v>14</v>
      </c>
      <c r="I450" s="33" t="inlineStr">
        <is>
          <t>73-17497-04, 73-17498-04, 73-17499-07, 73-17510-02, 73-17514-02, 73-17530-02, 73-18626-04, 73-19332-01, 73-19337-01, 73-19361-01, 73-20007-01</t>
        </is>
      </c>
      <c r="J450" s="33" t="inlineStr"/>
      <c r="K450" s="33" t="inlineStr"/>
      <c r="L450" s="34">
        <f>IF(F450="","REVIEW: DATE CONFLICT/EMPTY",IF(F450&lt;'Change Overview'!$B$5,"END DATE PASSED","END DATE NOT PASSED"))</f>
        <v/>
      </c>
      <c r="M450" s="34">
        <f>IF(K450&lt;&gt;"","REVIEW SOURCE CONFLICT",IF(OR(ISNUMBER(SEARCH("CCB",D450)),ISNUMBER(SEARCH("Pending",D450))),"CCB/PENDING",IF(OR(ISNUMBER(SEARCH("Expired",D450)),ISNUMBER(SEARCH("Closed",D450))),"CLOSED/EXPIRED",IF(E450="","NO RELEASE DATE","REVIEW APPROVAL"))))</f>
        <v/>
      </c>
      <c r="N450" s="34">
        <f>IF(K450&lt;&gt;"","HIGH: SOURCE CONFLICT",IF(AND(L450="END DATE NOT PASSED",M450="REVIEW APPROVAL"),"HIGH: VERIFY",IF(L450="END DATE NOT PASSED","MEDIUM: CHECK STATUS","LOW: HISTORICAL")))</f>
        <v/>
      </c>
      <c r="O450" s="33" t="inlineStr">
        <is>
          <t>Validar documento firmado, revision/WO/sitio, material afectado y evidencia antes de activar alerta automatica.</t>
        </is>
      </c>
    </row>
    <row r="451">
      <c r="A451" s="43" t="inlineStr">
        <is>
          <t>CTANJZ05484</t>
        </is>
      </c>
      <c r="B451" s="43" t="inlineStr">
        <is>
          <t>D614019</t>
        </is>
      </c>
      <c r="C451" s="43" t="inlineStr">
        <is>
          <t>CVEBU</t>
        </is>
      </c>
      <c r="D451" s="43" t="inlineStr">
        <is>
          <t>FAI Status</t>
        </is>
      </c>
      <c r="E451" s="32" t="n">
        <v>46298</v>
      </c>
      <c r="F451" s="32" t="n">
        <v>46370</v>
      </c>
      <c r="G451" s="43" t="n">
        <v>4</v>
      </c>
      <c r="H451" s="43" t="n">
        <v>4</v>
      </c>
      <c r="I451" s="33" t="inlineStr">
        <is>
          <t>73-103826-05, 73-103880-05</t>
        </is>
      </c>
      <c r="J451" s="33" t="inlineStr">
        <is>
          <t>BAYFRONT</t>
        </is>
      </c>
      <c r="K451" s="33" t="inlineStr"/>
      <c r="L451" s="34">
        <f>IF(F451="","REVIEW: DATE CONFLICT/EMPTY",IF(F451&lt;'Change Overview'!$B$5,"END DATE PASSED","END DATE NOT PASSED"))</f>
        <v/>
      </c>
      <c r="M451" s="34">
        <f>IF(K451&lt;&gt;"","REVIEW SOURCE CONFLICT",IF(OR(ISNUMBER(SEARCH("CCB",D451)),ISNUMBER(SEARCH("Pending",D451))),"CCB/PENDING",IF(OR(ISNUMBER(SEARCH("Expired",D451)),ISNUMBER(SEARCH("Closed",D451))),"CLOSED/EXPIRED",IF(E451="","NO RELEASE DATE","REVIEW APPROVAL"))))</f>
        <v/>
      </c>
      <c r="N451" s="34">
        <f>IF(K451&lt;&gt;"","HIGH: SOURCE CONFLICT",IF(AND(L451="END DATE NOT PASSED",M451="REVIEW APPROVAL"),"HIGH: VERIFY",IF(L451="END DATE NOT PASSED","MEDIUM: CHECK STATUS","LOW: HISTORICAL")))</f>
        <v/>
      </c>
      <c r="O451" s="33" t="inlineStr">
        <is>
          <t>Validar documento firmado, revision/WO/sitio, material afectado y evidencia antes de activar alerta automatica.</t>
        </is>
      </c>
    </row>
    <row r="452">
      <c r="A452" s="43" t="inlineStr">
        <is>
          <t>CTANJZ05485</t>
        </is>
      </c>
      <c r="B452" s="43" t="inlineStr">
        <is>
          <t>D613992</t>
        </is>
      </c>
      <c r="C452" s="43" t="inlineStr">
        <is>
          <t>STBU</t>
        </is>
      </c>
      <c r="D452" s="43" t="inlineStr">
        <is>
          <t>Implementation</t>
        </is>
      </c>
      <c r="E452" s="32" t="n">
        <v>46309</v>
      </c>
      <c r="F452" s="32" t="n">
        <v>46370</v>
      </c>
      <c r="G452" s="43" t="n">
        <v>4</v>
      </c>
      <c r="H452" s="43" t="n">
        <v>2</v>
      </c>
      <c r="I452" s="33" t="inlineStr">
        <is>
          <t>73-102483-02</t>
        </is>
      </c>
      <c r="J452" s="33" t="inlineStr"/>
      <c r="K452" s="33" t="inlineStr"/>
      <c r="L452" s="34">
        <f>IF(F452="","REVIEW: DATE CONFLICT/EMPTY",IF(F452&lt;'Change Overview'!$B$5,"END DATE PASSED","END DATE NOT PASSED"))</f>
        <v/>
      </c>
      <c r="M452" s="34">
        <f>IF(K452&lt;&gt;"","REVIEW SOURCE CONFLICT",IF(OR(ISNUMBER(SEARCH("CCB",D452)),ISNUMBER(SEARCH("Pending",D452))),"CCB/PENDING",IF(OR(ISNUMBER(SEARCH("Expired",D452)),ISNUMBER(SEARCH("Closed",D452))),"CLOSED/EXPIRED",IF(E452="","NO RELEASE DATE","REVIEW APPROVAL"))))</f>
        <v/>
      </c>
      <c r="N452" s="34">
        <f>IF(K452&lt;&gt;"","HIGH: SOURCE CONFLICT",IF(AND(L452="END DATE NOT PASSED",M452="REVIEW APPROVAL"),"HIGH: VERIFY",IF(L452="END DATE NOT PASSED","MEDIUM: CHECK STATUS","LOW: HISTORICAL")))</f>
        <v/>
      </c>
      <c r="O452" s="33" t="inlineStr">
        <is>
          <t>Validar documento firmado, revision/WO/sitio, material afectado y evidencia antes de activar alerta automatica.</t>
        </is>
      </c>
    </row>
    <row r="453">
      <c r="A453" s="43" t="inlineStr">
        <is>
          <t>CTANJZ05489</t>
        </is>
      </c>
      <c r="B453" s="43" t="inlineStr">
        <is>
          <t>D613845</t>
        </is>
      </c>
      <c r="C453" s="43" t="inlineStr">
        <is>
          <t>SRGBU</t>
        </is>
      </c>
      <c r="D453" s="43" t="inlineStr">
        <is>
          <t>CCB</t>
        </is>
      </c>
      <c r="E453" s="32" t="n"/>
      <c r="F453" s="32" t="n">
        <v>46371</v>
      </c>
      <c r="G453" s="43" t="n">
        <v>1</v>
      </c>
      <c r="H453" s="43" t="n">
        <v>1</v>
      </c>
      <c r="I453" s="33" t="inlineStr"/>
      <c r="J453" s="33" t="inlineStr"/>
      <c r="K453" s="33" t="inlineStr"/>
      <c r="L453" s="34">
        <f>IF(F453="","REVIEW: DATE CONFLICT/EMPTY",IF(F453&lt;'Change Overview'!$B$5,"END DATE PASSED","END DATE NOT PASSED"))</f>
        <v/>
      </c>
      <c r="M453" s="34">
        <f>IF(K453&lt;&gt;"","REVIEW SOURCE CONFLICT",IF(OR(ISNUMBER(SEARCH("CCB",D453)),ISNUMBER(SEARCH("Pending",D453))),"CCB/PENDING",IF(OR(ISNUMBER(SEARCH("Expired",D453)),ISNUMBER(SEARCH("Closed",D453))),"CLOSED/EXPIRED",IF(E453="","NO RELEASE DATE","REVIEW APPROVAL"))))</f>
        <v/>
      </c>
      <c r="N453" s="34">
        <f>IF(K453&lt;&gt;"","HIGH: SOURCE CONFLICT",IF(AND(L453="END DATE NOT PASSED",M453="REVIEW APPROVAL"),"HIGH: VERIFY",IF(L453="END DATE NOT PASSED","MEDIUM: CHECK STATUS","LOW: HISTORICAL")))</f>
        <v/>
      </c>
      <c r="O453" s="33" t="inlineStr">
        <is>
          <t>Validar documento firmado, revision/WO/sitio, material afectado y evidencia antes de activar alerta automatica.</t>
        </is>
      </c>
    </row>
    <row r="454">
      <c r="A454" s="43" t="inlineStr">
        <is>
          <t>CTANJZ05492</t>
        </is>
      </c>
      <c r="B454" s="43" t="inlineStr">
        <is>
          <t>D613573</t>
        </is>
      </c>
      <c r="C454" s="43" t="inlineStr">
        <is>
          <t>STBU</t>
        </is>
      </c>
      <c r="D454" s="43" t="inlineStr">
        <is>
          <t>CCB</t>
        </is>
      </c>
      <c r="E454" s="32" t="n"/>
      <c r="F454" s="32" t="n">
        <v>46372</v>
      </c>
      <c r="G454" s="43" t="n">
        <v>5</v>
      </c>
      <c r="H454" s="43" t="n">
        <v>5</v>
      </c>
      <c r="I454" s="33" t="inlineStr"/>
      <c r="J454" s="33" t="inlineStr"/>
      <c r="K454" s="33" t="inlineStr"/>
      <c r="L454" s="34">
        <f>IF(F454="","REVIEW: DATE CONFLICT/EMPTY",IF(F454&lt;'Change Overview'!$B$5,"END DATE PASSED","END DATE NOT PASSED"))</f>
        <v/>
      </c>
      <c r="M454" s="34">
        <f>IF(K454&lt;&gt;"","REVIEW SOURCE CONFLICT",IF(OR(ISNUMBER(SEARCH("CCB",D454)),ISNUMBER(SEARCH("Pending",D454))),"CCB/PENDING",IF(OR(ISNUMBER(SEARCH("Expired",D454)),ISNUMBER(SEARCH("Closed",D454))),"CLOSED/EXPIRED",IF(E454="","NO RELEASE DATE","REVIEW APPROVAL"))))</f>
        <v/>
      </c>
      <c r="N454" s="34">
        <f>IF(K454&lt;&gt;"","HIGH: SOURCE CONFLICT",IF(AND(L454="END DATE NOT PASSED",M454="REVIEW APPROVAL"),"HIGH: VERIFY",IF(L454="END DATE NOT PASSED","MEDIUM: CHECK STATUS","LOW: HISTORICAL")))</f>
        <v/>
      </c>
      <c r="O454" s="33" t="inlineStr">
        <is>
          <t>Validar documento firmado, revision/WO/sitio, material afectado y evidencia antes de activar alerta automatica.</t>
        </is>
      </c>
    </row>
    <row r="455">
      <c r="A455" s="43" t="inlineStr">
        <is>
          <t>CTANJZ05496</t>
        </is>
      </c>
      <c r="B455" s="43" t="inlineStr">
        <is>
          <t>D613740</t>
        </is>
      </c>
      <c r="C455" s="43" t="inlineStr">
        <is>
          <t>CRBU</t>
        </is>
      </c>
      <c r="D455" s="43" t="inlineStr">
        <is>
          <t>Implementation</t>
        </is>
      </c>
      <c r="E455" s="32" t="n">
        <v>46298</v>
      </c>
      <c r="F455" s="32" t="n">
        <v>46463</v>
      </c>
      <c r="G455" s="43" t="n">
        <v>2</v>
      </c>
      <c r="H455" s="43" t="n">
        <v>1</v>
      </c>
      <c r="I455" s="33" t="inlineStr"/>
      <c r="J455" s="33" t="inlineStr"/>
      <c r="K455" s="33" t="inlineStr"/>
      <c r="L455" s="34">
        <f>IF(F455="","REVIEW: DATE CONFLICT/EMPTY",IF(F455&lt;'Change Overview'!$B$5,"END DATE PASSED","END DATE NOT PASSED"))</f>
        <v/>
      </c>
      <c r="M455" s="34">
        <f>IF(K455&lt;&gt;"","REVIEW SOURCE CONFLICT",IF(OR(ISNUMBER(SEARCH("CCB",D455)),ISNUMBER(SEARCH("Pending",D455))),"CCB/PENDING",IF(OR(ISNUMBER(SEARCH("Expired",D455)),ISNUMBER(SEARCH("Closed",D455))),"CLOSED/EXPIRED",IF(E455="","NO RELEASE DATE","REVIEW APPROVAL"))))</f>
        <v/>
      </c>
      <c r="N455" s="34">
        <f>IF(K455&lt;&gt;"","HIGH: SOURCE CONFLICT",IF(AND(L455="END DATE NOT PASSED",M455="REVIEW APPROVAL"),"HIGH: VERIFY",IF(L455="END DATE NOT PASSED","MEDIUM: CHECK STATUS","LOW: HISTORICAL")))</f>
        <v/>
      </c>
      <c r="O455" s="33" t="inlineStr">
        <is>
          <t>Validar documento firmado, revision/WO/sitio, material afectado y evidencia antes de activar alerta automatica.</t>
        </is>
      </c>
    </row>
    <row r="456">
      <c r="A456" s="43" t="inlineStr">
        <is>
          <t>CTANJZ05498</t>
        </is>
      </c>
      <c r="B456" s="43" t="inlineStr">
        <is>
          <t>D614131</t>
        </is>
      </c>
      <c r="C456" s="43" t="inlineStr">
        <is>
          <t>CVEBU</t>
        </is>
      </c>
      <c r="D456" s="43" t="inlineStr">
        <is>
          <t>CCB</t>
        </is>
      </c>
      <c r="E456" s="32" t="n"/>
      <c r="F456" s="32" t="n">
        <v>46375</v>
      </c>
      <c r="G456" s="43" t="n">
        <v>2</v>
      </c>
      <c r="H456" s="43" t="n">
        <v>2</v>
      </c>
      <c r="I456" s="33" t="inlineStr"/>
      <c r="J456" s="33" t="inlineStr"/>
      <c r="K456" s="33" t="inlineStr"/>
      <c r="L456" s="34">
        <f>IF(F456="","REVIEW: DATE CONFLICT/EMPTY",IF(F456&lt;'Change Overview'!$B$5,"END DATE PASSED","END DATE NOT PASSED"))</f>
        <v/>
      </c>
      <c r="M456" s="34">
        <f>IF(K456&lt;&gt;"","REVIEW SOURCE CONFLICT",IF(OR(ISNUMBER(SEARCH("CCB",D456)),ISNUMBER(SEARCH("Pending",D456))),"CCB/PENDING",IF(OR(ISNUMBER(SEARCH("Expired",D456)),ISNUMBER(SEARCH("Closed",D456))),"CLOSED/EXPIRED",IF(E456="","NO RELEASE DATE","REVIEW APPROVAL"))))</f>
        <v/>
      </c>
      <c r="N456" s="34">
        <f>IF(K456&lt;&gt;"","HIGH: SOURCE CONFLICT",IF(AND(L456="END DATE NOT PASSED",M456="REVIEW APPROVAL"),"HIGH: VERIFY",IF(L456="END DATE NOT PASSED","MEDIUM: CHECK STATUS","LOW: HISTORICAL")))</f>
        <v/>
      </c>
      <c r="O456" s="33" t="inlineStr">
        <is>
          <t>Validar documento firmado, revision/WO/sitio, material afectado y evidencia antes de activar alerta automatica.</t>
        </is>
      </c>
    </row>
    <row r="457">
      <c r="A457" s="43" t="inlineStr">
        <is>
          <t>CTANJZ05499</t>
        </is>
      </c>
      <c r="B457" s="43" t="inlineStr">
        <is>
          <t>D612994</t>
        </is>
      </c>
      <c r="C457" s="43" t="inlineStr">
        <is>
          <t>CRBU</t>
        </is>
      </c>
      <c r="D457" s="43" t="inlineStr">
        <is>
          <t>Implementation</t>
        </is>
      </c>
      <c r="E457" s="32" t="n">
        <v>46298</v>
      </c>
      <c r="F457" s="32" t="n">
        <v>46375</v>
      </c>
      <c r="G457" s="43" t="n">
        <v>4</v>
      </c>
      <c r="H457" s="43" t="n">
        <v>2</v>
      </c>
      <c r="I457" s="33" t="inlineStr">
        <is>
          <t>73-102363-05</t>
        </is>
      </c>
      <c r="J457" s="33" t="inlineStr"/>
      <c r="K457" s="33" t="inlineStr"/>
      <c r="L457" s="34">
        <f>IF(F457="","REVIEW: DATE CONFLICT/EMPTY",IF(F457&lt;'Change Overview'!$B$5,"END DATE PASSED","END DATE NOT PASSED"))</f>
        <v/>
      </c>
      <c r="M457" s="34">
        <f>IF(K457&lt;&gt;"","REVIEW SOURCE CONFLICT",IF(OR(ISNUMBER(SEARCH("CCB",D457)),ISNUMBER(SEARCH("Pending",D457))),"CCB/PENDING",IF(OR(ISNUMBER(SEARCH("Expired",D457)),ISNUMBER(SEARCH("Closed",D457))),"CLOSED/EXPIRED",IF(E457="","NO RELEASE DATE","REVIEW APPROVAL"))))</f>
        <v/>
      </c>
      <c r="N457" s="34">
        <f>IF(K457&lt;&gt;"","HIGH: SOURCE CONFLICT",IF(AND(L457="END DATE NOT PASSED",M457="REVIEW APPROVAL"),"HIGH: VERIFY",IF(L457="END DATE NOT PASSED","MEDIUM: CHECK STATUS","LOW: HISTORICAL")))</f>
        <v/>
      </c>
      <c r="O457" s="33" t="inlineStr">
        <is>
          <t>Validar documento firmado, revision/WO/sitio, material afectado y evidencia antes de activar alerta automatica.</t>
        </is>
      </c>
    </row>
    <row r="458">
      <c r="A458" s="43" t="inlineStr">
        <is>
          <t>CTANJZ05500</t>
        </is>
      </c>
      <c r="B458" s="43" t="inlineStr">
        <is>
          <t>D612993</t>
        </is>
      </c>
      <c r="C458" s="43" t="inlineStr">
        <is>
          <t>CRBU</t>
        </is>
      </c>
      <c r="D458" s="43" t="inlineStr">
        <is>
          <t>Implementation / Pending</t>
        </is>
      </c>
      <c r="E458" s="32" t="n">
        <v>46298</v>
      </c>
      <c r="F458" s="32" t="n">
        <v>46375</v>
      </c>
      <c r="G458" s="43" t="n">
        <v>4</v>
      </c>
      <c r="H458" s="43" t="n">
        <v>2</v>
      </c>
      <c r="I458" s="33" t="inlineStr">
        <is>
          <t>73-102362-07</t>
        </is>
      </c>
      <c r="J458" s="33" t="inlineStr"/>
      <c r="K458" s="33" t="inlineStr">
        <is>
          <t>Status</t>
        </is>
      </c>
      <c r="L458" s="34">
        <f>IF(F458="","REVIEW: DATE CONFLICT/EMPTY",IF(F458&lt;'Change Overview'!$B$5,"END DATE PASSED","END DATE NOT PASSED"))</f>
        <v/>
      </c>
      <c r="M458" s="34">
        <f>IF(K458&lt;&gt;"","REVIEW SOURCE CONFLICT",IF(OR(ISNUMBER(SEARCH("CCB",D458)),ISNUMBER(SEARCH("Pending",D458))),"CCB/PENDING",IF(OR(ISNUMBER(SEARCH("Expired",D458)),ISNUMBER(SEARCH("Closed",D458))),"CLOSED/EXPIRED",IF(E458="","NO RELEASE DATE","REVIEW APPROVAL"))))</f>
        <v/>
      </c>
      <c r="N458" s="34">
        <f>IF(K458&lt;&gt;"","HIGH: SOURCE CONFLICT",IF(AND(L458="END DATE NOT PASSED",M458="REVIEW APPROVAL"),"HIGH: VERIFY",IF(L458="END DATE NOT PASSED","MEDIUM: CHECK STATUS","LOW: HISTORICAL")))</f>
        <v/>
      </c>
      <c r="O458" s="33" t="inlineStr">
        <is>
          <t>Validar documento firmado, revision/WO/sitio, material afectado y evidencia antes de activar alerta automatica.</t>
        </is>
      </c>
    </row>
    <row r="459">
      <c r="A459" s="43" t="inlineStr">
        <is>
          <t>CTANJZ05501</t>
        </is>
      </c>
      <c r="B459" s="43" t="inlineStr">
        <is>
          <t>DP526639</t>
        </is>
      </c>
      <c r="C459" s="43" t="inlineStr">
        <is>
          <t>STBU</t>
        </is>
      </c>
      <c r="D459" s="43" t="inlineStr">
        <is>
          <t>CCB</t>
        </is>
      </c>
      <c r="E459" s="32" t="n"/>
      <c r="F459" s="32" t="n">
        <v>46346</v>
      </c>
      <c r="G459" s="43" t="n">
        <v>4</v>
      </c>
      <c r="H459" s="43" t="n">
        <v>4</v>
      </c>
      <c r="I459" s="33" t="inlineStr">
        <is>
          <t>73-104531-01, 73-104532-01, 73-104533-01</t>
        </is>
      </c>
      <c r="J459" s="33" t="inlineStr">
        <is>
          <t>GREENFORD</t>
        </is>
      </c>
      <c r="K459" s="33" t="inlineStr"/>
      <c r="L459" s="34">
        <f>IF(F459="","REVIEW: DATE CONFLICT/EMPTY",IF(F459&lt;'Change Overview'!$B$5,"END DATE PASSED","END DATE NOT PASSED"))</f>
        <v/>
      </c>
      <c r="M459" s="34">
        <f>IF(K459&lt;&gt;"","REVIEW SOURCE CONFLICT",IF(OR(ISNUMBER(SEARCH("CCB",D459)),ISNUMBER(SEARCH("Pending",D459))),"CCB/PENDING",IF(OR(ISNUMBER(SEARCH("Expired",D459)),ISNUMBER(SEARCH("Closed",D459))),"CLOSED/EXPIRED",IF(E459="","NO RELEASE DATE","REVIEW APPROVAL"))))</f>
        <v/>
      </c>
      <c r="N459" s="34">
        <f>IF(K459&lt;&gt;"","HIGH: SOURCE CONFLICT",IF(AND(L459="END DATE NOT PASSED",M459="REVIEW APPROVAL"),"HIGH: VERIFY",IF(L459="END DATE NOT PASSED","MEDIUM: CHECK STATUS","LOW: HISTORICAL")))</f>
        <v/>
      </c>
      <c r="O459" s="33" t="inlineStr">
        <is>
          <t>Validar documento firmado, revision/WO/sitio, material afectado y evidencia antes de activar alerta automatica.</t>
        </is>
      </c>
    </row>
    <row r="460">
      <c r="A460" s="43" t="inlineStr">
        <is>
          <t>CTANJZ05502</t>
        </is>
      </c>
      <c r="B460" s="43" t="inlineStr">
        <is>
          <t>D613744</t>
        </is>
      </c>
      <c r="C460" s="43" t="inlineStr">
        <is>
          <t>CRBU</t>
        </is>
      </c>
      <c r="D460" s="43" t="inlineStr">
        <is>
          <t>Implementation / Pending</t>
        </is>
      </c>
      <c r="E460" s="32" t="n">
        <v>46298</v>
      </c>
      <c r="F460" s="32" t="n">
        <v>46376</v>
      </c>
      <c r="G460" s="43" t="n">
        <v>4</v>
      </c>
      <c r="H460" s="43" t="n">
        <v>2</v>
      </c>
      <c r="I460" s="33" t="inlineStr">
        <is>
          <t>73-21335-01</t>
        </is>
      </c>
      <c r="J460" s="33" t="inlineStr"/>
      <c r="K460" s="33" t="inlineStr">
        <is>
          <t>Status</t>
        </is>
      </c>
      <c r="L460" s="34">
        <f>IF(F460="","REVIEW: DATE CONFLICT/EMPTY",IF(F460&lt;'Change Overview'!$B$5,"END DATE PASSED","END DATE NOT PASSED"))</f>
        <v/>
      </c>
      <c r="M460" s="34">
        <f>IF(K460&lt;&gt;"","REVIEW SOURCE CONFLICT",IF(OR(ISNUMBER(SEARCH("CCB",D460)),ISNUMBER(SEARCH("Pending",D460))),"CCB/PENDING",IF(OR(ISNUMBER(SEARCH("Expired",D460)),ISNUMBER(SEARCH("Closed",D460))),"CLOSED/EXPIRED",IF(E460="","NO RELEASE DATE","REVIEW APPROVAL"))))</f>
        <v/>
      </c>
      <c r="N460" s="34">
        <f>IF(K460&lt;&gt;"","HIGH: SOURCE CONFLICT",IF(AND(L460="END DATE NOT PASSED",M460="REVIEW APPROVAL"),"HIGH: VERIFY",IF(L460="END DATE NOT PASSED","MEDIUM: CHECK STATUS","LOW: HISTORICAL")))</f>
        <v/>
      </c>
      <c r="O460" s="33" t="inlineStr">
        <is>
          <t>Validar documento firmado, revision/WO/sitio, material afectado y evidencia antes de activar alerta automatica.</t>
        </is>
      </c>
    </row>
    <row r="461">
      <c r="A461" s="43" t="inlineStr">
        <is>
          <t>CTANJZ05503</t>
        </is>
      </c>
      <c r="B461" s="43" t="inlineStr">
        <is>
          <t>D612992</t>
        </is>
      </c>
      <c r="C461" s="43" t="inlineStr">
        <is>
          <t>CRBU</t>
        </is>
      </c>
      <c r="D461" s="43" t="inlineStr">
        <is>
          <t>Implementation / Pending</t>
        </is>
      </c>
      <c r="E461" s="32" t="n">
        <v>46298</v>
      </c>
      <c r="F461" s="32" t="n">
        <v>46377</v>
      </c>
      <c r="G461" s="43" t="n">
        <v>4</v>
      </c>
      <c r="H461" s="43" t="n">
        <v>2</v>
      </c>
      <c r="I461" s="33" t="inlineStr">
        <is>
          <t>73-20922-04</t>
        </is>
      </c>
      <c r="J461" s="33" t="inlineStr"/>
      <c r="K461" s="33" t="inlineStr">
        <is>
          <t>Status</t>
        </is>
      </c>
      <c r="L461" s="34">
        <f>IF(F461="","REVIEW: DATE CONFLICT/EMPTY",IF(F461&lt;'Change Overview'!$B$5,"END DATE PASSED","END DATE NOT PASSED"))</f>
        <v/>
      </c>
      <c r="M461" s="34">
        <f>IF(K461&lt;&gt;"","REVIEW SOURCE CONFLICT",IF(OR(ISNUMBER(SEARCH("CCB",D461)),ISNUMBER(SEARCH("Pending",D461))),"CCB/PENDING",IF(OR(ISNUMBER(SEARCH("Expired",D461)),ISNUMBER(SEARCH("Closed",D461))),"CLOSED/EXPIRED",IF(E461="","NO RELEASE DATE","REVIEW APPROVAL"))))</f>
        <v/>
      </c>
      <c r="N461" s="34">
        <f>IF(K461&lt;&gt;"","HIGH: SOURCE CONFLICT",IF(AND(L461="END DATE NOT PASSED",M461="REVIEW APPROVAL"),"HIGH: VERIFY",IF(L461="END DATE NOT PASSED","MEDIUM: CHECK STATUS","LOW: HISTORICAL")))</f>
        <v/>
      </c>
      <c r="O461" s="33" t="inlineStr">
        <is>
          <t>Validar documento firmado, revision/WO/sitio, material afectado y evidencia antes de activar alerta automatica.</t>
        </is>
      </c>
    </row>
    <row r="462">
      <c r="A462" s="43" t="inlineStr">
        <is>
          <t>CTANJZ05504</t>
        </is>
      </c>
      <c r="B462" s="43" t="inlineStr">
        <is>
          <t>D611865</t>
        </is>
      </c>
      <c r="C462" s="43" t="inlineStr">
        <is>
          <t>CRBU</t>
        </is>
      </c>
      <c r="D462" s="43" t="inlineStr">
        <is>
          <t>CCB</t>
        </is>
      </c>
      <c r="E462" s="32" t="n"/>
      <c r="F462" s="32" t="n">
        <v>46377</v>
      </c>
      <c r="G462" s="43" t="n">
        <v>2</v>
      </c>
      <c r="H462" s="43" t="n">
        <v>2</v>
      </c>
      <c r="I462" s="33" t="inlineStr">
        <is>
          <t>73-19911-07</t>
        </is>
      </c>
      <c r="J462" s="33" t="inlineStr"/>
      <c r="K462" s="33" t="inlineStr"/>
      <c r="L462" s="34">
        <f>IF(F462="","REVIEW: DATE CONFLICT/EMPTY",IF(F462&lt;'Change Overview'!$B$5,"END DATE PASSED","END DATE NOT PASSED"))</f>
        <v/>
      </c>
      <c r="M462" s="34">
        <f>IF(K462&lt;&gt;"","REVIEW SOURCE CONFLICT",IF(OR(ISNUMBER(SEARCH("CCB",D462)),ISNUMBER(SEARCH("Pending",D462))),"CCB/PENDING",IF(OR(ISNUMBER(SEARCH("Expired",D462)),ISNUMBER(SEARCH("Closed",D462))),"CLOSED/EXPIRED",IF(E462="","NO RELEASE DATE","REVIEW APPROVAL"))))</f>
        <v/>
      </c>
      <c r="N462" s="34">
        <f>IF(K462&lt;&gt;"","HIGH: SOURCE CONFLICT",IF(AND(L462="END DATE NOT PASSED",M462="REVIEW APPROVAL"),"HIGH: VERIFY",IF(L462="END DATE NOT PASSED","MEDIUM: CHECK STATUS","LOW: HISTORICAL")))</f>
        <v/>
      </c>
      <c r="O462" s="33" t="inlineStr">
        <is>
          <t>Validar documento firmado, revision/WO/sitio, material afectado y evidencia antes de activar alerta automatica.</t>
        </is>
      </c>
    </row>
    <row r="463">
      <c r="A463" s="43" t="inlineStr">
        <is>
          <t>CTANJZ05505</t>
        </is>
      </c>
      <c r="B463" s="43" t="inlineStr">
        <is>
          <t>D613277</t>
        </is>
      </c>
      <c r="C463" s="43" t="inlineStr">
        <is>
          <t>STBU</t>
        </is>
      </c>
      <c r="D463" s="43" t="inlineStr">
        <is>
          <t>Implementation</t>
        </is>
      </c>
      <c r="E463" s="32" t="n">
        <v>46308</v>
      </c>
      <c r="F463" s="32" t="n">
        <v>46377</v>
      </c>
      <c r="G463" s="43" t="n">
        <v>3</v>
      </c>
      <c r="H463" s="43" t="n">
        <v>3</v>
      </c>
      <c r="I463" s="33" t="inlineStr"/>
      <c r="J463" s="33" t="inlineStr"/>
      <c r="K463" s="33" t="inlineStr"/>
      <c r="L463" s="34">
        <f>IF(F463="","REVIEW: DATE CONFLICT/EMPTY",IF(F463&lt;'Change Overview'!$B$5,"END DATE PASSED","END DATE NOT PASSED"))</f>
        <v/>
      </c>
      <c r="M463" s="34">
        <f>IF(K463&lt;&gt;"","REVIEW SOURCE CONFLICT",IF(OR(ISNUMBER(SEARCH("CCB",D463)),ISNUMBER(SEARCH("Pending",D463))),"CCB/PENDING",IF(OR(ISNUMBER(SEARCH("Expired",D463)),ISNUMBER(SEARCH("Closed",D463))),"CLOSED/EXPIRED",IF(E463="","NO RELEASE DATE","REVIEW APPROVAL"))))</f>
        <v/>
      </c>
      <c r="N463" s="34">
        <f>IF(K463&lt;&gt;"","HIGH: SOURCE CONFLICT",IF(AND(L463="END DATE NOT PASSED",M463="REVIEW APPROVAL"),"HIGH: VERIFY",IF(L463="END DATE NOT PASSED","MEDIUM: CHECK STATUS","LOW: HISTORICAL")))</f>
        <v/>
      </c>
      <c r="O463" s="33" t="inlineStr">
        <is>
          <t>Validar documento firmado, revision/WO/sitio, material afectado y evidencia antes de activar alerta automatica.</t>
        </is>
      </c>
    </row>
    <row r="464">
      <c r="A464" s="43" t="inlineStr">
        <is>
          <t>CTANJZ05506</t>
        </is>
      </c>
      <c r="B464" s="43" t="inlineStr">
        <is>
          <t>D613418</t>
        </is>
      </c>
      <c r="C464" s="43" t="inlineStr">
        <is>
          <t>CRBU</t>
        </is>
      </c>
      <c r="D464" s="43" t="inlineStr">
        <is>
          <t>Implementation</t>
        </is>
      </c>
      <c r="E464" s="32" t="n">
        <v>46298</v>
      </c>
      <c r="F464" s="32" t="n">
        <v>46378</v>
      </c>
      <c r="G464" s="43" t="n">
        <v>4</v>
      </c>
      <c r="H464" s="43" t="n">
        <v>2</v>
      </c>
      <c r="I464" s="33" t="inlineStr">
        <is>
          <t>73-102363-05</t>
        </is>
      </c>
      <c r="J464" s="33" t="inlineStr"/>
      <c r="K464" s="33" t="inlineStr"/>
      <c r="L464" s="34">
        <f>IF(F464="","REVIEW: DATE CONFLICT/EMPTY",IF(F464&lt;'Change Overview'!$B$5,"END DATE PASSED","END DATE NOT PASSED"))</f>
        <v/>
      </c>
      <c r="M464" s="34">
        <f>IF(K464&lt;&gt;"","REVIEW SOURCE CONFLICT",IF(OR(ISNUMBER(SEARCH("CCB",D464)),ISNUMBER(SEARCH("Pending",D464))),"CCB/PENDING",IF(OR(ISNUMBER(SEARCH("Expired",D464)),ISNUMBER(SEARCH("Closed",D464))),"CLOSED/EXPIRED",IF(E464="","NO RELEASE DATE","REVIEW APPROVAL"))))</f>
        <v/>
      </c>
      <c r="N464" s="34">
        <f>IF(K464&lt;&gt;"","HIGH: SOURCE CONFLICT",IF(AND(L464="END DATE NOT PASSED",M464="REVIEW APPROVAL"),"HIGH: VERIFY",IF(L464="END DATE NOT PASSED","MEDIUM: CHECK STATUS","LOW: HISTORICAL")))</f>
        <v/>
      </c>
      <c r="O464" s="33" t="inlineStr">
        <is>
          <t>Validar documento firmado, revision/WO/sitio, material afectado y evidencia antes de activar alerta automatica.</t>
        </is>
      </c>
    </row>
    <row r="465">
      <c r="A465" s="43" t="inlineStr">
        <is>
          <t>CTANJZ05507</t>
        </is>
      </c>
      <c r="B465" s="43" t="inlineStr">
        <is>
          <t>D613427</t>
        </is>
      </c>
      <c r="C465" s="43" t="inlineStr">
        <is>
          <t>CRBU</t>
        </is>
      </c>
      <c r="D465" s="43" t="inlineStr">
        <is>
          <t>Implementation</t>
        </is>
      </c>
      <c r="E465" s="32" t="n">
        <v>46298</v>
      </c>
      <c r="F465" s="32" t="n">
        <v>46378</v>
      </c>
      <c r="G465" s="43" t="n">
        <v>4</v>
      </c>
      <c r="H465" s="43" t="n">
        <v>2</v>
      </c>
      <c r="I465" s="33" t="inlineStr">
        <is>
          <t>73-102363-05</t>
        </is>
      </c>
      <c r="J465" s="33" t="inlineStr"/>
      <c r="K465" s="33" t="inlineStr"/>
      <c r="L465" s="34">
        <f>IF(F465="","REVIEW: DATE CONFLICT/EMPTY",IF(F465&lt;'Change Overview'!$B$5,"END DATE PASSED","END DATE NOT PASSED"))</f>
        <v/>
      </c>
      <c r="M465" s="34">
        <f>IF(K465&lt;&gt;"","REVIEW SOURCE CONFLICT",IF(OR(ISNUMBER(SEARCH("CCB",D465)),ISNUMBER(SEARCH("Pending",D465))),"CCB/PENDING",IF(OR(ISNUMBER(SEARCH("Expired",D465)),ISNUMBER(SEARCH("Closed",D465))),"CLOSED/EXPIRED",IF(E465="","NO RELEASE DATE","REVIEW APPROVAL"))))</f>
        <v/>
      </c>
      <c r="N465" s="34">
        <f>IF(K465&lt;&gt;"","HIGH: SOURCE CONFLICT",IF(AND(L465="END DATE NOT PASSED",M465="REVIEW APPROVAL"),"HIGH: VERIFY",IF(L465="END DATE NOT PASSED","MEDIUM: CHECK STATUS","LOW: HISTORICAL")))</f>
        <v/>
      </c>
      <c r="O465" s="33" t="inlineStr">
        <is>
          <t>Validar documento firmado, revision/WO/sitio, material afectado y evidencia antes de activar alerta automatica.</t>
        </is>
      </c>
    </row>
    <row r="466">
      <c r="A466" s="43" t="inlineStr">
        <is>
          <t>CTANJZ05509</t>
        </is>
      </c>
      <c r="B466" s="43" t="inlineStr">
        <is>
          <t>D614276</t>
        </is>
      </c>
      <c r="C466" s="43" t="inlineStr">
        <is>
          <t>STBU</t>
        </is>
      </c>
      <c r="D466" s="43" t="inlineStr">
        <is>
          <t>CCB</t>
        </is>
      </c>
      <c r="E466" s="32" t="n"/>
      <c r="F466" s="32" t="n">
        <v>46385</v>
      </c>
      <c r="G466" s="43" t="n">
        <v>6</v>
      </c>
      <c r="H466" s="43" t="n">
        <v>6</v>
      </c>
      <c r="I466" s="33" t="inlineStr"/>
      <c r="J466" s="33" t="inlineStr"/>
      <c r="K466" s="33" t="inlineStr"/>
      <c r="L466" s="34">
        <f>IF(F466="","REVIEW: DATE CONFLICT/EMPTY",IF(F466&lt;'Change Overview'!$B$5,"END DATE PASSED","END DATE NOT PASSED"))</f>
        <v/>
      </c>
      <c r="M466" s="34">
        <f>IF(K466&lt;&gt;"","REVIEW SOURCE CONFLICT",IF(OR(ISNUMBER(SEARCH("CCB",D466)),ISNUMBER(SEARCH("Pending",D466))),"CCB/PENDING",IF(OR(ISNUMBER(SEARCH("Expired",D466)),ISNUMBER(SEARCH("Closed",D466))),"CLOSED/EXPIRED",IF(E466="","NO RELEASE DATE","REVIEW APPROVAL"))))</f>
        <v/>
      </c>
      <c r="N466" s="34">
        <f>IF(K466&lt;&gt;"","HIGH: SOURCE CONFLICT",IF(AND(L466="END DATE NOT PASSED",M466="REVIEW APPROVAL"),"HIGH: VERIFY",IF(L466="END DATE NOT PASSED","MEDIUM: CHECK STATUS","LOW: HISTORICAL")))</f>
        <v/>
      </c>
      <c r="O466" s="33" t="inlineStr">
        <is>
          <t>Validar documento firmado, revision/WO/sitio, material afectado y evidencia antes de activar alerta automatica.</t>
        </is>
      </c>
    </row>
    <row r="467">
      <c r="A467" s="43" t="inlineStr">
        <is>
          <t>CTANJZ05510</t>
        </is>
      </c>
      <c r="B467" s="43" t="inlineStr">
        <is>
          <t>D614346</t>
        </is>
      </c>
      <c r="C467" s="43" t="inlineStr">
        <is>
          <t>STBU</t>
        </is>
      </c>
      <c r="D467" s="43" t="inlineStr">
        <is>
          <t>CCB</t>
        </is>
      </c>
      <c r="E467" s="32" t="n"/>
      <c r="F467" s="32" t="n">
        <v>46385</v>
      </c>
      <c r="G467" s="43" t="n">
        <v>23</v>
      </c>
      <c r="H467" s="43" t="n">
        <v>23</v>
      </c>
      <c r="I467" s="33" t="inlineStr">
        <is>
          <t>73-16685-04, 73-16828-04, 73-16835-02, 73-17497-04, 73-17498-04, 73-17499-07, 73-17510-02, 73-17514-02, 73-17530-02, 73-17923-02, 73-18626-04, 73-18632-03, 73-19332-01, 73-19337-01, 73-19361-01, 73-20007-01</t>
        </is>
      </c>
      <c r="J467" s="33" t="inlineStr"/>
      <c r="K467" s="33" t="inlineStr"/>
      <c r="L467" s="34">
        <f>IF(F467="","REVIEW: DATE CONFLICT/EMPTY",IF(F467&lt;'Change Overview'!$B$5,"END DATE PASSED","END DATE NOT PASSED"))</f>
        <v/>
      </c>
      <c r="M467" s="34">
        <f>IF(K467&lt;&gt;"","REVIEW SOURCE CONFLICT",IF(OR(ISNUMBER(SEARCH("CCB",D467)),ISNUMBER(SEARCH("Pending",D467))),"CCB/PENDING",IF(OR(ISNUMBER(SEARCH("Expired",D467)),ISNUMBER(SEARCH("Closed",D467))),"CLOSED/EXPIRED",IF(E467="","NO RELEASE DATE","REVIEW APPROVAL"))))</f>
        <v/>
      </c>
      <c r="N467" s="34">
        <f>IF(K467&lt;&gt;"","HIGH: SOURCE CONFLICT",IF(AND(L467="END DATE NOT PASSED",M467="REVIEW APPROVAL"),"HIGH: VERIFY",IF(L467="END DATE NOT PASSED","MEDIUM: CHECK STATUS","LOW: HISTORICAL")))</f>
        <v/>
      </c>
      <c r="O467" s="33" t="inlineStr">
        <is>
          <t>Validar documento firmado, revision/WO/sitio, material afectado y evidencia antes de activar alerta automatica.</t>
        </is>
      </c>
    </row>
    <row r="468">
      <c r="A468" s="43" t="inlineStr">
        <is>
          <t>CTANJZ05512</t>
        </is>
      </c>
      <c r="B468" s="43" t="inlineStr">
        <is>
          <t>D613970</t>
        </is>
      </c>
      <c r="C468" s="43" t="inlineStr">
        <is>
          <t>STBU</t>
        </is>
      </c>
      <c r="D468" s="43" t="inlineStr">
        <is>
          <t>CCB</t>
        </is>
      </c>
      <c r="E468" s="32" t="n"/>
      <c r="F468" s="32" t="n">
        <v>46387</v>
      </c>
      <c r="G468" s="43" t="n">
        <v>2</v>
      </c>
      <c r="H468" s="43" t="n">
        <v>2</v>
      </c>
      <c r="I468" s="33" t="inlineStr"/>
      <c r="J468" s="33" t="inlineStr"/>
      <c r="K468" s="33" t="inlineStr"/>
      <c r="L468" s="34">
        <f>IF(F468="","REVIEW: DATE CONFLICT/EMPTY",IF(F468&lt;'Change Overview'!$B$5,"END DATE PASSED","END DATE NOT PASSED"))</f>
        <v/>
      </c>
      <c r="M468" s="34">
        <f>IF(K468&lt;&gt;"","REVIEW SOURCE CONFLICT",IF(OR(ISNUMBER(SEARCH("CCB",D468)),ISNUMBER(SEARCH("Pending",D468))),"CCB/PENDING",IF(OR(ISNUMBER(SEARCH("Expired",D468)),ISNUMBER(SEARCH("Closed",D468))),"CLOSED/EXPIRED",IF(E468="","NO RELEASE DATE","REVIEW APPROVAL"))))</f>
        <v/>
      </c>
      <c r="N468" s="34">
        <f>IF(K468&lt;&gt;"","HIGH: SOURCE CONFLICT",IF(AND(L468="END DATE NOT PASSED",M468="REVIEW APPROVAL"),"HIGH: VERIFY",IF(L468="END DATE NOT PASSED","MEDIUM: CHECK STATUS","LOW: HISTORICAL")))</f>
        <v/>
      </c>
      <c r="O468" s="33" t="inlineStr">
        <is>
          <t>Validar documento firmado, revision/WO/sitio, material afectado y evidencia antes de activar alerta automatica.</t>
        </is>
      </c>
    </row>
    <row r="469">
      <c r="A469" s="43" t="inlineStr">
        <is>
          <t>CTANJZ05513</t>
        </is>
      </c>
      <c r="B469" s="43" t="inlineStr">
        <is>
          <t>D614398</t>
        </is>
      </c>
      <c r="C469" s="43" t="inlineStr">
        <is>
          <t>CVEBU</t>
        </is>
      </c>
      <c r="D469" s="43" t="inlineStr">
        <is>
          <t>Implementation</t>
        </is>
      </c>
      <c r="E469" s="32" t="n">
        <v>46310</v>
      </c>
      <c r="F469" s="32" t="n">
        <v>46390</v>
      </c>
      <c r="G469" s="43" t="n">
        <v>3</v>
      </c>
      <c r="H469" s="43" t="n">
        <v>3</v>
      </c>
      <c r="I469" s="33" t="inlineStr">
        <is>
          <t>73-103698-06, 73-103940-06</t>
        </is>
      </c>
      <c r="J469" s="33" t="inlineStr"/>
      <c r="K469" s="33" t="inlineStr"/>
      <c r="L469" s="34">
        <f>IF(F469="","REVIEW: DATE CONFLICT/EMPTY",IF(F469&lt;'Change Overview'!$B$5,"END DATE PASSED","END DATE NOT PASSED"))</f>
        <v/>
      </c>
      <c r="M469" s="34">
        <f>IF(K469&lt;&gt;"","REVIEW SOURCE CONFLICT",IF(OR(ISNUMBER(SEARCH("CCB",D469)),ISNUMBER(SEARCH("Pending",D469))),"CCB/PENDING",IF(OR(ISNUMBER(SEARCH("Expired",D469)),ISNUMBER(SEARCH("Closed",D469))),"CLOSED/EXPIRED",IF(E469="","NO RELEASE DATE","REVIEW APPROVAL"))))</f>
        <v/>
      </c>
      <c r="N469" s="34">
        <f>IF(K469&lt;&gt;"","HIGH: SOURCE CONFLICT",IF(AND(L469="END DATE NOT PASSED",M469="REVIEW APPROVAL"),"HIGH: VERIFY",IF(L469="END DATE NOT PASSED","MEDIUM: CHECK STATUS","LOW: HISTORICAL")))</f>
        <v/>
      </c>
      <c r="O469" s="33" t="inlineStr">
        <is>
          <t>Validar documento firmado, revision/WO/sitio, material afectado y evidencia antes de activar alerta automatica.</t>
        </is>
      </c>
    </row>
    <row r="470">
      <c r="A470" s="43" t="inlineStr">
        <is>
          <t>CTANJZ05514</t>
        </is>
      </c>
      <c r="B470" s="43" t="inlineStr">
        <is>
          <t>D613278</t>
        </is>
      </c>
      <c r="C470" s="43" t="inlineStr">
        <is>
          <t>STBU</t>
        </is>
      </c>
      <c r="D470" s="43" t="inlineStr">
        <is>
          <t>CCB</t>
        </is>
      </c>
      <c r="E470" s="32" t="n"/>
      <c r="F470" s="32" t="n">
        <v>46390</v>
      </c>
      <c r="G470" s="43" t="n">
        <v>3</v>
      </c>
      <c r="H470" s="43" t="n">
        <v>3</v>
      </c>
      <c r="I470" s="33" t="inlineStr">
        <is>
          <t>73-20247-06, 73-20249-06</t>
        </is>
      </c>
      <c r="J470" s="33" t="inlineStr">
        <is>
          <t>TUFNELL PARK</t>
        </is>
      </c>
      <c r="K470" s="33" t="inlineStr"/>
      <c r="L470" s="34">
        <f>IF(F470="","REVIEW: DATE CONFLICT/EMPTY",IF(F470&lt;'Change Overview'!$B$5,"END DATE PASSED","END DATE NOT PASSED"))</f>
        <v/>
      </c>
      <c r="M470" s="34">
        <f>IF(K470&lt;&gt;"","REVIEW SOURCE CONFLICT",IF(OR(ISNUMBER(SEARCH("CCB",D470)),ISNUMBER(SEARCH("Pending",D470))),"CCB/PENDING",IF(OR(ISNUMBER(SEARCH("Expired",D470)),ISNUMBER(SEARCH("Closed",D470))),"CLOSED/EXPIRED",IF(E470="","NO RELEASE DATE","REVIEW APPROVAL"))))</f>
        <v/>
      </c>
      <c r="N470" s="34">
        <f>IF(K470&lt;&gt;"","HIGH: SOURCE CONFLICT",IF(AND(L470="END DATE NOT PASSED",M470="REVIEW APPROVAL"),"HIGH: VERIFY",IF(L470="END DATE NOT PASSED","MEDIUM: CHECK STATUS","LOW: HISTORICAL")))</f>
        <v/>
      </c>
      <c r="O470" s="33" t="inlineStr">
        <is>
          <t>Validar documento firmado, revision/WO/sitio, material afectado y evidencia antes de activar alerta automatica.</t>
        </is>
      </c>
    </row>
    <row r="471">
      <c r="A471" s="43" t="inlineStr">
        <is>
          <t>CTANJZ05515</t>
        </is>
      </c>
      <c r="B471" s="43" t="inlineStr">
        <is>
          <t>D614056</t>
        </is>
      </c>
      <c r="C471" s="43" t="inlineStr">
        <is>
          <t>STBU</t>
        </is>
      </c>
      <c r="D471" s="43" t="inlineStr">
        <is>
          <t>CCB</t>
        </is>
      </c>
      <c r="E471" s="32" t="n"/>
      <c r="F471" s="32" t="n">
        <v>46391</v>
      </c>
      <c r="G471" s="43" t="n">
        <v>15</v>
      </c>
      <c r="H471" s="43" t="n">
        <v>15</v>
      </c>
      <c r="I471" s="33" t="inlineStr">
        <is>
          <t>73-102433-05, 73-102434-05, 73-102435-05, 73-103557-04, 73-103633-04, 73-103633-05, 73-104531-01, 73-104533-01, 73-104536-01, 73-104537-01, 73-20247-06, 73-20249-06</t>
        </is>
      </c>
      <c r="J471" s="33" t="inlineStr">
        <is>
          <t>TUFNELL PARK</t>
        </is>
      </c>
      <c r="K471" s="33" t="inlineStr"/>
      <c r="L471" s="34">
        <f>IF(F471="","REVIEW: DATE CONFLICT/EMPTY",IF(F471&lt;'Change Overview'!$B$5,"END DATE PASSED","END DATE NOT PASSED"))</f>
        <v/>
      </c>
      <c r="M471" s="34">
        <f>IF(K471&lt;&gt;"","REVIEW SOURCE CONFLICT",IF(OR(ISNUMBER(SEARCH("CCB",D471)),ISNUMBER(SEARCH("Pending",D471))),"CCB/PENDING",IF(OR(ISNUMBER(SEARCH("Expired",D471)),ISNUMBER(SEARCH("Closed",D471))),"CLOSED/EXPIRED",IF(E471="","NO RELEASE DATE","REVIEW APPROVAL"))))</f>
        <v/>
      </c>
      <c r="N471" s="34">
        <f>IF(K471&lt;&gt;"","HIGH: SOURCE CONFLICT",IF(AND(L471="END DATE NOT PASSED",M471="REVIEW APPROVAL"),"HIGH: VERIFY",IF(L471="END DATE NOT PASSED","MEDIUM: CHECK STATUS","LOW: HISTORICAL")))</f>
        <v/>
      </c>
      <c r="O471" s="33" t="inlineStr">
        <is>
          <t>Validar documento firmado, revision/WO/sitio, material afectado y evidencia antes de activar alerta automatica.</t>
        </is>
      </c>
    </row>
    <row r="472">
      <c r="A472" s="43" t="inlineStr">
        <is>
          <t>CTANJZ05517</t>
        </is>
      </c>
      <c r="B472" s="43" t="inlineStr">
        <is>
          <t>D613872</t>
        </is>
      </c>
      <c r="C472" s="43" t="inlineStr">
        <is>
          <t>STBU</t>
        </is>
      </c>
      <c r="D472" s="43" t="inlineStr">
        <is>
          <t>CCB</t>
        </is>
      </c>
      <c r="E472" s="32" t="n"/>
      <c r="F472" s="32" t="n">
        <v>46391</v>
      </c>
      <c r="G472" s="43" t="n">
        <v>4</v>
      </c>
      <c r="H472" s="43" t="n">
        <v>4</v>
      </c>
      <c r="I472" s="33" t="inlineStr">
        <is>
          <t>73-20247-06, 73-20249-06</t>
        </is>
      </c>
      <c r="J472" s="33" t="inlineStr">
        <is>
          <t>TUFNELL PARK</t>
        </is>
      </c>
      <c r="K472" s="33" t="inlineStr"/>
      <c r="L472" s="34">
        <f>IF(F472="","REVIEW: DATE CONFLICT/EMPTY",IF(F472&lt;'Change Overview'!$B$5,"END DATE PASSED","END DATE NOT PASSED"))</f>
        <v/>
      </c>
      <c r="M472" s="34">
        <f>IF(K472&lt;&gt;"","REVIEW SOURCE CONFLICT",IF(OR(ISNUMBER(SEARCH("CCB",D472)),ISNUMBER(SEARCH("Pending",D472))),"CCB/PENDING",IF(OR(ISNUMBER(SEARCH("Expired",D472)),ISNUMBER(SEARCH("Closed",D472))),"CLOSED/EXPIRED",IF(E472="","NO RELEASE DATE","REVIEW APPROVAL"))))</f>
        <v/>
      </c>
      <c r="N472" s="34">
        <f>IF(K472&lt;&gt;"","HIGH: SOURCE CONFLICT",IF(AND(L472="END DATE NOT PASSED",M472="REVIEW APPROVAL"),"HIGH: VERIFY",IF(L472="END DATE NOT PASSED","MEDIUM: CHECK STATUS","LOW: HISTORICAL")))</f>
        <v/>
      </c>
      <c r="O472" s="33" t="inlineStr">
        <is>
          <t>Validar documento firmado, revision/WO/sitio, material afectado y evidencia antes de activar alerta automatica.</t>
        </is>
      </c>
    </row>
    <row r="473">
      <c r="A473" s="43" t="inlineStr">
        <is>
          <t>CTANJZ05518</t>
        </is>
      </c>
      <c r="B473" s="43" t="inlineStr">
        <is>
          <t>D613870</t>
        </is>
      </c>
      <c r="C473" s="43" t="inlineStr">
        <is>
          <t>STBU</t>
        </is>
      </c>
      <c r="D473" s="43" t="inlineStr">
        <is>
          <t>CCB</t>
        </is>
      </c>
      <c r="E473" s="32" t="n"/>
      <c r="F473" s="32" t="n">
        <v>46391</v>
      </c>
      <c r="G473" s="43" t="n">
        <v>1</v>
      </c>
      <c r="H473" s="43" t="n">
        <v>1</v>
      </c>
      <c r="I473" s="33" t="inlineStr"/>
      <c r="J473" s="33" t="inlineStr"/>
      <c r="K473" s="33" t="inlineStr"/>
      <c r="L473" s="34">
        <f>IF(F473="","REVIEW: DATE CONFLICT/EMPTY",IF(F473&lt;'Change Overview'!$B$5,"END DATE PASSED","END DATE NOT PASSED"))</f>
        <v/>
      </c>
      <c r="M473" s="34">
        <f>IF(K473&lt;&gt;"","REVIEW SOURCE CONFLICT",IF(OR(ISNUMBER(SEARCH("CCB",D473)),ISNUMBER(SEARCH("Pending",D473))),"CCB/PENDING",IF(OR(ISNUMBER(SEARCH("Expired",D473)),ISNUMBER(SEARCH("Closed",D473))),"CLOSED/EXPIRED",IF(E473="","NO RELEASE DATE","REVIEW APPROVAL"))))</f>
        <v/>
      </c>
      <c r="N473" s="34">
        <f>IF(K473&lt;&gt;"","HIGH: SOURCE CONFLICT",IF(AND(L473="END DATE NOT PASSED",M473="REVIEW APPROVAL"),"HIGH: VERIFY",IF(L473="END DATE NOT PASSED","MEDIUM: CHECK STATUS","LOW: HISTORICAL")))</f>
        <v/>
      </c>
      <c r="O473" s="33" t="inlineStr">
        <is>
          <t>Validar documento firmado, revision/WO/sitio, material afectado y evidencia antes de activar alerta automatica.</t>
        </is>
      </c>
    </row>
    <row r="474">
      <c r="A474" s="43" t="inlineStr">
        <is>
          <t>CTANJZ05519</t>
        </is>
      </c>
      <c r="B474" s="43" t="inlineStr">
        <is>
          <t>D614380</t>
        </is>
      </c>
      <c r="C474" s="43" t="inlineStr">
        <is>
          <t>CVEBU</t>
        </is>
      </c>
      <c r="D474" s="43" t="inlineStr">
        <is>
          <t>CCB</t>
        </is>
      </c>
      <c r="E474" s="32" t="n"/>
      <c r="F474" s="32" t="n">
        <v>46388</v>
      </c>
      <c r="G474" s="43" t="n">
        <v>3</v>
      </c>
      <c r="H474" s="43" t="n">
        <v>3</v>
      </c>
      <c r="I474" s="33" t="inlineStr">
        <is>
          <t>73-103103-05, 73-103603-05</t>
        </is>
      </c>
      <c r="J474" s="33" t="inlineStr">
        <is>
          <t>PICTORIS</t>
        </is>
      </c>
      <c r="K474" s="33" t="inlineStr"/>
      <c r="L474" s="34">
        <f>IF(F474="","REVIEW: DATE CONFLICT/EMPTY",IF(F474&lt;'Change Overview'!$B$5,"END DATE PASSED","END DATE NOT PASSED"))</f>
        <v/>
      </c>
      <c r="M474" s="34">
        <f>IF(K474&lt;&gt;"","REVIEW SOURCE CONFLICT",IF(OR(ISNUMBER(SEARCH("CCB",D474)),ISNUMBER(SEARCH("Pending",D474))),"CCB/PENDING",IF(OR(ISNUMBER(SEARCH("Expired",D474)),ISNUMBER(SEARCH("Closed",D474))),"CLOSED/EXPIRED",IF(E474="","NO RELEASE DATE","REVIEW APPROVAL"))))</f>
        <v/>
      </c>
      <c r="N474" s="34">
        <f>IF(K474&lt;&gt;"","HIGH: SOURCE CONFLICT",IF(AND(L474="END DATE NOT PASSED",M474="REVIEW APPROVAL"),"HIGH: VERIFY",IF(L474="END DATE NOT PASSED","MEDIUM: CHECK STATUS","LOW: HISTORICAL")))</f>
        <v/>
      </c>
      <c r="O474" s="33" t="inlineStr">
        <is>
          <t>Validar documento firmado, revision/WO/sitio, material afectado y evidencia antes de activar alerta automatica.</t>
        </is>
      </c>
    </row>
    <row r="475">
      <c r="A475" s="43" t="inlineStr">
        <is>
          <t>CTANJZ05520</t>
        </is>
      </c>
      <c r="B475" s="43" t="inlineStr">
        <is>
          <t>D614397</t>
        </is>
      </c>
      <c r="C475" s="43" t="inlineStr">
        <is>
          <t>CVEBU</t>
        </is>
      </c>
      <c r="D475" s="43" t="inlineStr">
        <is>
          <t>CCB</t>
        </is>
      </c>
      <c r="E475" s="32" t="n"/>
      <c r="F475" s="32" t="n">
        <v>46392</v>
      </c>
      <c r="G475" s="43" t="n">
        <v>3</v>
      </c>
      <c r="H475" s="43" t="n">
        <v>3</v>
      </c>
      <c r="I475" s="33" t="inlineStr">
        <is>
          <t>73-102226-06, 73-103226-06</t>
        </is>
      </c>
      <c r="J475" s="33" t="inlineStr">
        <is>
          <t>MILLENIUM</t>
        </is>
      </c>
      <c r="K475" s="33" t="inlineStr"/>
      <c r="L475" s="34">
        <f>IF(F475="","REVIEW: DATE CONFLICT/EMPTY",IF(F475&lt;'Change Overview'!$B$5,"END DATE PASSED","END DATE NOT PASSED"))</f>
        <v/>
      </c>
      <c r="M475" s="34">
        <f>IF(K475&lt;&gt;"","REVIEW SOURCE CONFLICT",IF(OR(ISNUMBER(SEARCH("CCB",D475)),ISNUMBER(SEARCH("Pending",D475))),"CCB/PENDING",IF(OR(ISNUMBER(SEARCH("Expired",D475)),ISNUMBER(SEARCH("Closed",D475))),"CLOSED/EXPIRED",IF(E475="","NO RELEASE DATE","REVIEW APPROVAL"))))</f>
        <v/>
      </c>
      <c r="N475" s="34">
        <f>IF(K475&lt;&gt;"","HIGH: SOURCE CONFLICT",IF(AND(L475="END DATE NOT PASSED",M475="REVIEW APPROVAL"),"HIGH: VERIFY",IF(L475="END DATE NOT PASSED","MEDIUM: CHECK STATUS","LOW: HISTORICAL")))</f>
        <v/>
      </c>
      <c r="O475" s="33" t="inlineStr">
        <is>
          <t>Validar documento firmado, revision/WO/sitio, material afectado y evidencia antes de activar alerta automatica.</t>
        </is>
      </c>
    </row>
    <row r="476">
      <c r="A476" s="43" t="inlineStr">
        <is>
          <t>CTANJZ05522</t>
        </is>
      </c>
      <c r="B476" s="43" t="inlineStr">
        <is>
          <t>D614467</t>
        </is>
      </c>
      <c r="C476" s="43" t="inlineStr">
        <is>
          <t>CVEBU</t>
        </is>
      </c>
      <c r="D476" s="43" t="inlineStr">
        <is>
          <t>CCB</t>
        </is>
      </c>
      <c r="E476" s="32" t="n"/>
      <c r="F476" s="32" t="n">
        <v>46392</v>
      </c>
      <c r="G476" s="43" t="n">
        <v>3</v>
      </c>
      <c r="H476" s="43" t="n">
        <v>3</v>
      </c>
      <c r="I476" s="33" t="inlineStr">
        <is>
          <t>73-103698-06</t>
        </is>
      </c>
      <c r="J476" s="33" t="inlineStr"/>
      <c r="K476" s="33" t="inlineStr"/>
      <c r="L476" s="34">
        <f>IF(F476="","REVIEW: DATE CONFLICT/EMPTY",IF(F476&lt;'Change Overview'!$B$5,"END DATE PASSED","END DATE NOT PASSED"))</f>
        <v/>
      </c>
      <c r="M476" s="34">
        <f>IF(K476&lt;&gt;"","REVIEW SOURCE CONFLICT",IF(OR(ISNUMBER(SEARCH("CCB",D476)),ISNUMBER(SEARCH("Pending",D476))),"CCB/PENDING",IF(OR(ISNUMBER(SEARCH("Expired",D476)),ISNUMBER(SEARCH("Closed",D476))),"CLOSED/EXPIRED",IF(E476="","NO RELEASE DATE","REVIEW APPROVAL"))))</f>
        <v/>
      </c>
      <c r="N476" s="34">
        <f>IF(K476&lt;&gt;"","HIGH: SOURCE CONFLICT",IF(AND(L476="END DATE NOT PASSED",M476="REVIEW APPROVAL"),"HIGH: VERIFY",IF(L476="END DATE NOT PASSED","MEDIUM: CHECK STATUS","LOW: HISTORICAL")))</f>
        <v/>
      </c>
      <c r="O476" s="33" t="inlineStr">
        <is>
          <t>Validar documento firmado, revision/WO/sitio, material afectado y evidencia antes de activar alerta automatica.</t>
        </is>
      </c>
    </row>
    <row r="477">
      <c r="A477" s="43" t="inlineStr">
        <is>
          <t>CTANJZ05524</t>
        </is>
      </c>
      <c r="B477" s="43" t="inlineStr">
        <is>
          <t>DP526706</t>
        </is>
      </c>
      <c r="C477" s="43" t="inlineStr">
        <is>
          <t>STBU</t>
        </is>
      </c>
      <c r="D477" s="43" t="inlineStr">
        <is>
          <t>CCB</t>
        </is>
      </c>
      <c r="E477" s="32" t="n"/>
      <c r="F477" s="32" t="n">
        <v>46364</v>
      </c>
      <c r="G477" s="43" t="n">
        <v>3</v>
      </c>
      <c r="H477" s="43" t="n">
        <v>3</v>
      </c>
      <c r="I477" s="33" t="inlineStr">
        <is>
          <t>73-104531-01, 73-104532-01, 73-104533-01</t>
        </is>
      </c>
      <c r="J477" s="33" t="inlineStr">
        <is>
          <t>GREENFORD</t>
        </is>
      </c>
      <c r="K477" s="33" t="inlineStr"/>
      <c r="L477" s="34">
        <f>IF(F477="","REVIEW: DATE CONFLICT/EMPTY",IF(F477&lt;'Change Overview'!$B$5,"END DATE PASSED","END DATE NOT PASSED"))</f>
        <v/>
      </c>
      <c r="M477" s="34">
        <f>IF(K477&lt;&gt;"","REVIEW SOURCE CONFLICT",IF(OR(ISNUMBER(SEARCH("CCB",D477)),ISNUMBER(SEARCH("Pending",D477))),"CCB/PENDING",IF(OR(ISNUMBER(SEARCH("Expired",D477)),ISNUMBER(SEARCH("Closed",D477))),"CLOSED/EXPIRED",IF(E477="","NO RELEASE DATE","REVIEW APPROVAL"))))</f>
        <v/>
      </c>
      <c r="N477" s="34">
        <f>IF(K477&lt;&gt;"","HIGH: SOURCE CONFLICT",IF(AND(L477="END DATE NOT PASSED",M477="REVIEW APPROVAL"),"HIGH: VERIFY",IF(L477="END DATE NOT PASSED","MEDIUM: CHECK STATUS","LOW: HISTORICAL")))</f>
        <v/>
      </c>
      <c r="O477" s="33" t="inlineStr">
        <is>
          <t>Validar documento firmado, revision/WO/sitio, material afectado y evidencia antes de activar alerta automatica.</t>
        </is>
      </c>
    </row>
    <row r="478">
      <c r="A478" s="43" t="inlineStr">
        <is>
          <t>CTANJZ05525</t>
        </is>
      </c>
      <c r="B478" s="43" t="inlineStr">
        <is>
          <t>D614478</t>
        </is>
      </c>
      <c r="C478" s="43" t="inlineStr">
        <is>
          <t>CVEBU</t>
        </is>
      </c>
      <c r="D478" s="43" t="inlineStr">
        <is>
          <t>CCB</t>
        </is>
      </c>
      <c r="E478" s="32" t="n"/>
      <c r="F478" s="32" t="n">
        <v>46394</v>
      </c>
      <c r="G478" s="43" t="n">
        <v>4</v>
      </c>
      <c r="H478" s="43" t="n">
        <v>4</v>
      </c>
      <c r="I478" s="33" t="inlineStr">
        <is>
          <t>73-102121-01</t>
        </is>
      </c>
      <c r="J478" s="33" t="inlineStr"/>
      <c r="K478" s="33" t="inlineStr"/>
      <c r="L478" s="34">
        <f>IF(F478="","REVIEW: DATE CONFLICT/EMPTY",IF(F478&lt;'Change Overview'!$B$5,"END DATE PASSED","END DATE NOT PASSED"))</f>
        <v/>
      </c>
      <c r="M478" s="34">
        <f>IF(K478&lt;&gt;"","REVIEW SOURCE CONFLICT",IF(OR(ISNUMBER(SEARCH("CCB",D478)),ISNUMBER(SEARCH("Pending",D478))),"CCB/PENDING",IF(OR(ISNUMBER(SEARCH("Expired",D478)),ISNUMBER(SEARCH("Closed",D478))),"CLOSED/EXPIRED",IF(E478="","NO RELEASE DATE","REVIEW APPROVAL"))))</f>
        <v/>
      </c>
      <c r="N478" s="34">
        <f>IF(K478&lt;&gt;"","HIGH: SOURCE CONFLICT",IF(AND(L478="END DATE NOT PASSED",M478="REVIEW APPROVAL"),"HIGH: VERIFY",IF(L478="END DATE NOT PASSED","MEDIUM: CHECK STATUS","LOW: HISTORICAL")))</f>
        <v/>
      </c>
      <c r="O478" s="33" t="inlineStr">
        <is>
          <t>Validar documento firmado, revision/WO/sitio, material afectado y evidencia antes de activar alerta automatica.</t>
        </is>
      </c>
    </row>
    <row r="479">
      <c r="A479" s="43" t="inlineStr">
        <is>
          <t>CTANJZ05526</t>
        </is>
      </c>
      <c r="B479" s="43" t="inlineStr">
        <is>
          <t>D614537</t>
        </is>
      </c>
      <c r="C479" s="43" t="inlineStr">
        <is>
          <t>STBU</t>
        </is>
      </c>
      <c r="D479" s="43" t="inlineStr">
        <is>
          <t>CCB</t>
        </is>
      </c>
      <c r="E479" s="32" t="n"/>
      <c r="F479" s="32" t="n">
        <v>46397</v>
      </c>
      <c r="G479" s="43" t="n">
        <v>8</v>
      </c>
      <c r="H479" s="43" t="n">
        <v>8</v>
      </c>
      <c r="I479" s="33" t="inlineStr">
        <is>
          <t>73-102433-05, 73-102433-06, 73-102434-05, 73-102434-06, 73-102435-05, 73-102435-06</t>
        </is>
      </c>
      <c r="J479" s="33" t="inlineStr"/>
      <c r="K479" s="33" t="inlineStr"/>
      <c r="L479" s="34">
        <f>IF(F479="","REVIEW: DATE CONFLICT/EMPTY",IF(F479&lt;'Change Overview'!$B$5,"END DATE PASSED","END DATE NOT PASSED"))</f>
        <v/>
      </c>
      <c r="M479" s="34">
        <f>IF(K479&lt;&gt;"","REVIEW SOURCE CONFLICT",IF(OR(ISNUMBER(SEARCH("CCB",D479)),ISNUMBER(SEARCH("Pending",D479))),"CCB/PENDING",IF(OR(ISNUMBER(SEARCH("Expired",D479)),ISNUMBER(SEARCH("Closed",D479))),"CLOSED/EXPIRED",IF(E479="","NO RELEASE DATE","REVIEW APPROVAL"))))</f>
        <v/>
      </c>
      <c r="N479" s="34">
        <f>IF(K479&lt;&gt;"","HIGH: SOURCE CONFLICT",IF(AND(L479="END DATE NOT PASSED",M479="REVIEW APPROVAL"),"HIGH: VERIFY",IF(L479="END DATE NOT PASSED","MEDIUM: CHECK STATUS","LOW: HISTORICAL")))</f>
        <v/>
      </c>
      <c r="O479" s="33" t="inlineStr">
        <is>
          <t>Validar documento firmado, revision/WO/sitio, material afectado y evidencia antes de activar alerta automatica.</t>
        </is>
      </c>
    </row>
    <row r="480">
      <c r="A480" s="43" t="inlineStr">
        <is>
          <t>CTANJZ05527</t>
        </is>
      </c>
      <c r="B480" s="43" t="inlineStr">
        <is>
          <t>D614253</t>
        </is>
      </c>
      <c r="C480" s="43" t="inlineStr">
        <is>
          <t>SRGBU</t>
        </is>
      </c>
      <c r="D480" s="43" t="inlineStr">
        <is>
          <t>CCB</t>
        </is>
      </c>
      <c r="E480" s="32" t="n"/>
      <c r="F480" s="32" t="n">
        <v>46397</v>
      </c>
      <c r="G480" s="43" t="n">
        <v>2</v>
      </c>
      <c r="H480" s="43" t="n">
        <v>2</v>
      </c>
      <c r="I480" s="33" t="inlineStr"/>
      <c r="J480" s="33" t="inlineStr"/>
      <c r="K480" s="33" t="inlineStr"/>
      <c r="L480" s="34">
        <f>IF(F480="","REVIEW: DATE CONFLICT/EMPTY",IF(F480&lt;'Change Overview'!$B$5,"END DATE PASSED","END DATE NOT PASSED"))</f>
        <v/>
      </c>
      <c r="M480" s="34">
        <f>IF(K480&lt;&gt;"","REVIEW SOURCE CONFLICT",IF(OR(ISNUMBER(SEARCH("CCB",D480)),ISNUMBER(SEARCH("Pending",D480))),"CCB/PENDING",IF(OR(ISNUMBER(SEARCH("Expired",D480)),ISNUMBER(SEARCH("Closed",D480))),"CLOSED/EXPIRED",IF(E480="","NO RELEASE DATE","REVIEW APPROVAL"))))</f>
        <v/>
      </c>
      <c r="N480" s="34">
        <f>IF(K480&lt;&gt;"","HIGH: SOURCE CONFLICT",IF(AND(L480="END DATE NOT PASSED",M480="REVIEW APPROVAL"),"HIGH: VERIFY",IF(L480="END DATE NOT PASSED","MEDIUM: CHECK STATUS","LOW: HISTORICAL")))</f>
        <v/>
      </c>
      <c r="O480" s="33" t="inlineStr">
        <is>
          <t>Validar documento firmado, revision/WO/sitio, material afectado y evidencia antes de activar alerta automatica.</t>
        </is>
      </c>
    </row>
    <row r="481">
      <c r="A481" s="43" t="inlineStr">
        <is>
          <t>CTANJZ05530</t>
        </is>
      </c>
      <c r="B481" s="43" t="inlineStr">
        <is>
          <t>D612697</t>
        </is>
      </c>
      <c r="C481" s="43" t="inlineStr">
        <is>
          <t>CRBU</t>
        </is>
      </c>
      <c r="D481" s="43" t="inlineStr">
        <is>
          <t>CCB</t>
        </is>
      </c>
      <c r="E481" s="32" t="n"/>
      <c r="F481" s="32" t="n">
        <v>46397</v>
      </c>
      <c r="G481" s="43" t="n">
        <v>1</v>
      </c>
      <c r="H481" s="43" t="n">
        <v>1</v>
      </c>
      <c r="I481" s="33" t="inlineStr"/>
      <c r="J481" s="33" t="inlineStr"/>
      <c r="K481" s="33" t="inlineStr"/>
      <c r="L481" s="34">
        <f>IF(F481="","REVIEW: DATE CONFLICT/EMPTY",IF(F481&lt;'Change Overview'!$B$5,"END DATE PASSED","END DATE NOT PASSED"))</f>
        <v/>
      </c>
      <c r="M481" s="34">
        <f>IF(K481&lt;&gt;"","REVIEW SOURCE CONFLICT",IF(OR(ISNUMBER(SEARCH("CCB",D481)),ISNUMBER(SEARCH("Pending",D481))),"CCB/PENDING",IF(OR(ISNUMBER(SEARCH("Expired",D481)),ISNUMBER(SEARCH("Closed",D481))),"CLOSED/EXPIRED",IF(E481="","NO RELEASE DATE","REVIEW APPROVAL"))))</f>
        <v/>
      </c>
      <c r="N481" s="34">
        <f>IF(K481&lt;&gt;"","HIGH: SOURCE CONFLICT",IF(AND(L481="END DATE NOT PASSED",M481="REVIEW APPROVAL"),"HIGH: VERIFY",IF(L481="END DATE NOT PASSED","MEDIUM: CHECK STATUS","LOW: HISTORICAL")))</f>
        <v/>
      </c>
      <c r="O481" s="33" t="inlineStr">
        <is>
          <t>Validar documento firmado, revision/WO/sitio, material afectado y evidencia antes de activar alerta automatica.</t>
        </is>
      </c>
    </row>
    <row r="482">
      <c r="A482" s="43" t="inlineStr">
        <is>
          <t>CTANJZ05531</t>
        </is>
      </c>
      <c r="B482" s="43" t="inlineStr">
        <is>
          <t>D614405</t>
        </is>
      </c>
      <c r="C482" s="43" t="inlineStr">
        <is>
          <t>STBU</t>
        </is>
      </c>
      <c r="D482" s="43" t="inlineStr">
        <is>
          <t>CCB</t>
        </is>
      </c>
      <c r="E482" s="32" t="n"/>
      <c r="F482" s="32" t="n">
        <v>46398</v>
      </c>
      <c r="G482" s="43" t="n">
        <v>3</v>
      </c>
      <c r="H482" s="43" t="n">
        <v>3</v>
      </c>
      <c r="I482" s="33" t="inlineStr">
        <is>
          <t>73-102433-06</t>
        </is>
      </c>
      <c r="J482" s="33" t="inlineStr"/>
      <c r="K482" s="33" t="inlineStr"/>
      <c r="L482" s="34">
        <f>IF(F482="","REVIEW: DATE CONFLICT/EMPTY",IF(F482&lt;'Change Overview'!$B$5,"END DATE PASSED","END DATE NOT PASSED"))</f>
        <v/>
      </c>
      <c r="M482" s="34">
        <f>IF(K482&lt;&gt;"","REVIEW SOURCE CONFLICT",IF(OR(ISNUMBER(SEARCH("CCB",D482)),ISNUMBER(SEARCH("Pending",D482))),"CCB/PENDING",IF(OR(ISNUMBER(SEARCH("Expired",D482)),ISNUMBER(SEARCH("Closed",D482))),"CLOSED/EXPIRED",IF(E482="","NO RELEASE DATE","REVIEW APPROVAL"))))</f>
        <v/>
      </c>
      <c r="N482" s="34">
        <f>IF(K482&lt;&gt;"","HIGH: SOURCE CONFLICT",IF(AND(L482="END DATE NOT PASSED",M482="REVIEW APPROVAL"),"HIGH: VERIFY",IF(L482="END DATE NOT PASSED","MEDIUM: CHECK STATUS","LOW: HISTORICAL")))</f>
        <v/>
      </c>
      <c r="O482" s="33" t="inlineStr">
        <is>
          <t>Validar documento firmado, revision/WO/sitio, material afectado y evidencia antes de activar alerta automatica.</t>
        </is>
      </c>
    </row>
    <row r="483">
      <c r="A483" s="43" t="inlineStr">
        <is>
          <t>CTANJZ05532</t>
        </is>
      </c>
      <c r="B483" s="43" t="inlineStr">
        <is>
          <t>D614414</t>
        </is>
      </c>
      <c r="C483" s="43" t="inlineStr">
        <is>
          <t>STBU</t>
        </is>
      </c>
      <c r="D483" s="43" t="inlineStr">
        <is>
          <t>CCB</t>
        </is>
      </c>
      <c r="E483" s="32" t="n"/>
      <c r="F483" s="32" t="n">
        <v>46398</v>
      </c>
      <c r="G483" s="43" t="n">
        <v>4</v>
      </c>
      <c r="H483" s="43" t="n">
        <v>2</v>
      </c>
      <c r="I483" s="33" t="inlineStr">
        <is>
          <t>73-102434-06</t>
        </is>
      </c>
      <c r="J483" s="33" t="inlineStr"/>
      <c r="K483" s="33" t="inlineStr"/>
      <c r="L483" s="34">
        <f>IF(F483="","REVIEW: DATE CONFLICT/EMPTY",IF(F483&lt;'Change Overview'!$B$5,"END DATE PASSED","END DATE NOT PASSED"))</f>
        <v/>
      </c>
      <c r="M483" s="34">
        <f>IF(K483&lt;&gt;"","REVIEW SOURCE CONFLICT",IF(OR(ISNUMBER(SEARCH("CCB",D483)),ISNUMBER(SEARCH("Pending",D483))),"CCB/PENDING",IF(OR(ISNUMBER(SEARCH("Expired",D483)),ISNUMBER(SEARCH("Closed",D483))),"CLOSED/EXPIRED",IF(E483="","NO RELEASE DATE","REVIEW APPROVAL"))))</f>
        <v/>
      </c>
      <c r="N483" s="34">
        <f>IF(K483&lt;&gt;"","HIGH: SOURCE CONFLICT",IF(AND(L483="END DATE NOT PASSED",M483="REVIEW APPROVAL"),"HIGH: VERIFY",IF(L483="END DATE NOT PASSED","MEDIUM: CHECK STATUS","LOW: HISTORICAL")))</f>
        <v/>
      </c>
      <c r="O483" s="33" t="inlineStr">
        <is>
          <t>Validar documento firmado, revision/WO/sitio, material afectado y evidencia antes de activar alerta automatica.</t>
        </is>
      </c>
    </row>
    <row r="484">
      <c r="A484" s="43" t="inlineStr">
        <is>
          <t>CTANJZ05533</t>
        </is>
      </c>
      <c r="B484" s="43" t="inlineStr">
        <is>
          <t>D614415</t>
        </is>
      </c>
      <c r="C484" s="43" t="inlineStr">
        <is>
          <t>MIXED</t>
        </is>
      </c>
      <c r="D484" s="43" t="inlineStr">
        <is>
          <t>CCB / Pending</t>
        </is>
      </c>
      <c r="E484" s="32" t="n"/>
      <c r="F484" s="32" t="n">
        <v>46398</v>
      </c>
      <c r="G484" s="43" t="n">
        <v>8</v>
      </c>
      <c r="H484" s="43" t="n">
        <v>2</v>
      </c>
      <c r="I484" s="33" t="inlineStr">
        <is>
          <t>73-102434-06</t>
        </is>
      </c>
      <c r="J484" s="33" t="inlineStr"/>
      <c r="K484" s="33" t="inlineStr">
        <is>
          <t>Status, BU, Descrition of Change</t>
        </is>
      </c>
      <c r="L484" s="34">
        <f>IF(F484="","REVIEW: DATE CONFLICT/EMPTY",IF(F484&lt;'Change Overview'!$B$5,"END DATE PASSED","END DATE NOT PASSED"))</f>
        <v/>
      </c>
      <c r="M484" s="34">
        <f>IF(K484&lt;&gt;"","REVIEW SOURCE CONFLICT",IF(OR(ISNUMBER(SEARCH("CCB",D484)),ISNUMBER(SEARCH("Pending",D484))),"CCB/PENDING",IF(OR(ISNUMBER(SEARCH("Expired",D484)),ISNUMBER(SEARCH("Closed",D484))),"CLOSED/EXPIRED",IF(E484="","NO RELEASE DATE","REVIEW APPROVAL"))))</f>
        <v/>
      </c>
      <c r="N484" s="34">
        <f>IF(K484&lt;&gt;"","HIGH: SOURCE CONFLICT",IF(AND(L484="END DATE NOT PASSED",M484="REVIEW APPROVAL"),"HIGH: VERIFY",IF(L484="END DATE NOT PASSED","MEDIUM: CHECK STATUS","LOW: HISTORICAL")))</f>
        <v/>
      </c>
      <c r="O484" s="33" t="inlineStr">
        <is>
          <t>Validar documento firmado, revision/WO/sitio, material afectado y evidencia antes de activar alerta automatica.</t>
        </is>
      </c>
    </row>
    <row r="485">
      <c r="A485" s="43" t="inlineStr">
        <is>
          <t>CTANJZ05534</t>
        </is>
      </c>
      <c r="B485" s="43" t="inlineStr">
        <is>
          <t>D614416</t>
        </is>
      </c>
      <c r="C485" s="43" t="inlineStr">
        <is>
          <t>STBU</t>
        </is>
      </c>
      <c r="D485" s="43" t="inlineStr">
        <is>
          <t>CCB</t>
        </is>
      </c>
      <c r="E485" s="32" t="n"/>
      <c r="F485" s="32" t="n">
        <v>46398</v>
      </c>
      <c r="G485" s="43" t="n">
        <v>4</v>
      </c>
      <c r="H485" s="43" t="n">
        <v>2</v>
      </c>
      <c r="I485" s="33" t="inlineStr">
        <is>
          <t>73-20247-06</t>
        </is>
      </c>
      <c r="J485" s="33" t="inlineStr">
        <is>
          <t>TUFNELL PARK</t>
        </is>
      </c>
      <c r="K485" s="33" t="inlineStr"/>
      <c r="L485" s="34">
        <f>IF(F485="","REVIEW: DATE CONFLICT/EMPTY",IF(F485&lt;'Change Overview'!$B$5,"END DATE PASSED","END DATE NOT PASSED"))</f>
        <v/>
      </c>
      <c r="M485" s="34">
        <f>IF(K485&lt;&gt;"","REVIEW SOURCE CONFLICT",IF(OR(ISNUMBER(SEARCH("CCB",D485)),ISNUMBER(SEARCH("Pending",D485))),"CCB/PENDING",IF(OR(ISNUMBER(SEARCH("Expired",D485)),ISNUMBER(SEARCH("Closed",D485))),"CLOSED/EXPIRED",IF(E485="","NO RELEASE DATE","REVIEW APPROVAL"))))</f>
        <v/>
      </c>
      <c r="N485" s="34">
        <f>IF(K485&lt;&gt;"","HIGH: SOURCE CONFLICT",IF(AND(L485="END DATE NOT PASSED",M485="REVIEW APPROVAL"),"HIGH: VERIFY",IF(L485="END DATE NOT PASSED","MEDIUM: CHECK STATUS","LOW: HISTORICAL")))</f>
        <v/>
      </c>
      <c r="O485" s="33" t="inlineStr">
        <is>
          <t>Validar documento firmado, revision/WO/sitio, material afectado y evidencia antes de activar alerta automatica.</t>
        </is>
      </c>
    </row>
    <row r="486">
      <c r="A486" s="43" t="inlineStr">
        <is>
          <t>CTANJZ05535</t>
        </is>
      </c>
      <c r="B486" s="43" t="inlineStr">
        <is>
          <t>D614316</t>
        </is>
      </c>
      <c r="C486" s="43" t="inlineStr">
        <is>
          <t>STBU</t>
        </is>
      </c>
      <c r="D486" s="43" t="inlineStr">
        <is>
          <t>CCB</t>
        </is>
      </c>
      <c r="E486" s="32" t="n"/>
      <c r="F486" s="32" t="n">
        <v>46398</v>
      </c>
      <c r="G486" s="43" t="n">
        <v>4</v>
      </c>
      <c r="H486" s="43" t="n">
        <v>2</v>
      </c>
      <c r="I486" s="33" t="inlineStr">
        <is>
          <t>73-18490-10</t>
        </is>
      </c>
      <c r="J486" s="33" t="inlineStr"/>
      <c r="K486" s="33" t="inlineStr"/>
      <c r="L486" s="34">
        <f>IF(F486="","REVIEW: DATE CONFLICT/EMPTY",IF(F486&lt;'Change Overview'!$B$5,"END DATE PASSED","END DATE NOT PASSED"))</f>
        <v/>
      </c>
      <c r="M486" s="34">
        <f>IF(K486&lt;&gt;"","REVIEW SOURCE CONFLICT",IF(OR(ISNUMBER(SEARCH("CCB",D486)),ISNUMBER(SEARCH("Pending",D486))),"CCB/PENDING",IF(OR(ISNUMBER(SEARCH("Expired",D486)),ISNUMBER(SEARCH("Closed",D486))),"CLOSED/EXPIRED",IF(E486="","NO RELEASE DATE","REVIEW APPROVAL"))))</f>
        <v/>
      </c>
      <c r="N486" s="34">
        <f>IF(K486&lt;&gt;"","HIGH: SOURCE CONFLICT",IF(AND(L486="END DATE NOT PASSED",M486="REVIEW APPROVAL"),"HIGH: VERIFY",IF(L486="END DATE NOT PASSED","MEDIUM: CHECK STATUS","LOW: HISTORICAL")))</f>
        <v/>
      </c>
      <c r="O486" s="33" t="inlineStr">
        <is>
          <t>Validar documento firmado, revision/WO/sitio, material afectado y evidencia antes de activar alerta automatica.</t>
        </is>
      </c>
    </row>
    <row r="487">
      <c r="A487" s="43" t="inlineStr">
        <is>
          <t>CTANJZ05536</t>
        </is>
      </c>
      <c r="B487" s="43" t="inlineStr">
        <is>
          <t>D614239</t>
        </is>
      </c>
      <c r="C487" s="43" t="inlineStr">
        <is>
          <t>SRGBU</t>
        </is>
      </c>
      <c r="D487" s="43" t="inlineStr">
        <is>
          <t>CCB / Pending</t>
        </is>
      </c>
      <c r="E487" s="32" t="n"/>
      <c r="F487" s="32" t="n">
        <v>46398</v>
      </c>
      <c r="G487" s="43" t="n">
        <v>4</v>
      </c>
      <c r="H487" s="43" t="n">
        <v>2</v>
      </c>
      <c r="I487" s="33" t="inlineStr">
        <is>
          <t>73-20198-10</t>
        </is>
      </c>
      <c r="J487" s="33" t="inlineStr"/>
      <c r="K487" s="33" t="inlineStr">
        <is>
          <t>Status</t>
        </is>
      </c>
      <c r="L487" s="34">
        <f>IF(F487="","REVIEW: DATE CONFLICT/EMPTY",IF(F487&lt;'Change Overview'!$B$5,"END DATE PASSED","END DATE NOT PASSED"))</f>
        <v/>
      </c>
      <c r="M487" s="34">
        <f>IF(K487&lt;&gt;"","REVIEW SOURCE CONFLICT",IF(OR(ISNUMBER(SEARCH("CCB",D487)),ISNUMBER(SEARCH("Pending",D487))),"CCB/PENDING",IF(OR(ISNUMBER(SEARCH("Expired",D487)),ISNUMBER(SEARCH("Closed",D487))),"CLOSED/EXPIRED",IF(E487="","NO RELEASE DATE","REVIEW APPROVAL"))))</f>
        <v/>
      </c>
      <c r="N487" s="34">
        <f>IF(K487&lt;&gt;"","HIGH: SOURCE CONFLICT",IF(AND(L487="END DATE NOT PASSED",M487="REVIEW APPROVAL"),"HIGH: VERIFY",IF(L487="END DATE NOT PASSED","MEDIUM: CHECK STATUS","LOW: HISTORICAL")))</f>
        <v/>
      </c>
      <c r="O487" s="33" t="inlineStr">
        <is>
          <t>Validar documento firmado, revision/WO/sitio, material afectado y evidencia antes de activar alerta automatica.</t>
        </is>
      </c>
    </row>
    <row r="488">
      <c r="A488" s="43" t="inlineStr">
        <is>
          <t>CTANJZ05537</t>
        </is>
      </c>
      <c r="B488" s="43" t="inlineStr">
        <is>
          <t>D614497</t>
        </is>
      </c>
      <c r="C488" s="43" t="inlineStr">
        <is>
          <t>CRBU</t>
        </is>
      </c>
      <c r="D488" s="43" t="inlineStr">
        <is>
          <t>CCB</t>
        </is>
      </c>
      <c r="E488" s="32" t="n"/>
      <c r="F488" s="32" t="n">
        <v>46399</v>
      </c>
      <c r="G488" s="43" t="n">
        <v>2</v>
      </c>
      <c r="H488" s="43" t="n">
        <v>2</v>
      </c>
      <c r="I488" s="33" t="inlineStr"/>
      <c r="J488" s="33" t="inlineStr"/>
      <c r="K488" s="33" t="inlineStr"/>
      <c r="L488" s="34">
        <f>IF(F488="","REVIEW: DATE CONFLICT/EMPTY",IF(F488&lt;'Change Overview'!$B$5,"END DATE PASSED","END DATE NOT PASSED"))</f>
        <v/>
      </c>
      <c r="M488" s="34">
        <f>IF(K488&lt;&gt;"","REVIEW SOURCE CONFLICT",IF(OR(ISNUMBER(SEARCH("CCB",D488)),ISNUMBER(SEARCH("Pending",D488))),"CCB/PENDING",IF(OR(ISNUMBER(SEARCH("Expired",D488)),ISNUMBER(SEARCH("Closed",D488))),"CLOSED/EXPIRED",IF(E488="","NO RELEASE DATE","REVIEW APPROVAL"))))</f>
        <v/>
      </c>
      <c r="N488" s="34">
        <f>IF(K488&lt;&gt;"","HIGH: SOURCE CONFLICT",IF(AND(L488="END DATE NOT PASSED",M488="REVIEW APPROVAL"),"HIGH: VERIFY",IF(L488="END DATE NOT PASSED","MEDIUM: CHECK STATUS","LOW: HISTORICAL")))</f>
        <v/>
      </c>
      <c r="O488" s="33" t="inlineStr">
        <is>
          <t>Validar documento firmado, revision/WO/sitio, material afectado y evidencia antes de activar alerta automatica.</t>
        </is>
      </c>
    </row>
  </sheetData>
  <printOptions horizontalCentered="0"/>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B67A2C"/>
    <outlinePr summaryBelow="1" summaryRight="1"/>
    <pageSetUpPr/>
  </sheetPr>
  <dimension ref="A1:P9"/>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20" customWidth="1" min="2" max="2"/>
    <col width="20" customWidth="1" min="3" max="3"/>
    <col width="22" customWidth="1" min="4" max="4"/>
    <col width="14" customWidth="1" min="5" max="5"/>
    <col width="20" customWidth="1" min="6" max="6"/>
    <col width="22" customWidth="1" min="7" max="7"/>
    <col width="23" customWidth="1" min="8" max="8"/>
    <col width="34" customWidth="1" min="9" max="9"/>
    <col width="62" customWidth="1" min="10" max="10"/>
    <col width="20" customWidth="1" min="11" max="11"/>
    <col width="20" customWidth="1" min="12" max="12"/>
    <col width="20" customWidth="1" min="13" max="13"/>
    <col width="19" customWidth="1" min="14" max="14"/>
    <col width="28" customWidth="1" min="15" max="15"/>
    <col width="69" customWidth="1" min="16" max="16"/>
  </cols>
  <sheetData>
    <row r="1" ht="35" customHeight="1">
      <c r="A1" s="42" t="inlineStr">
        <is>
          <t>CTAN Number</t>
        </is>
      </c>
      <c r="B1" s="42" t="inlineStr">
        <is>
          <t>Customer Deviation#</t>
        </is>
      </c>
      <c r="C1" s="42" t="inlineStr">
        <is>
          <t>SKU (document text)</t>
        </is>
      </c>
      <c r="D1" s="42" t="inlineStr">
        <is>
          <t>Target PN</t>
        </is>
      </c>
      <c r="E1" s="42" t="inlineStr">
        <is>
          <t>RefDes</t>
        </is>
      </c>
      <c r="F1" s="42" t="inlineStr">
        <is>
          <t>Change Operation</t>
        </is>
      </c>
      <c r="G1" s="42" t="inlineStr">
        <is>
          <t>Old / Remove CPN</t>
        </is>
      </c>
      <c r="H1" s="42" t="inlineStr">
        <is>
          <t>New / Add CPN</t>
        </is>
      </c>
      <c r="I1" s="42" t="inlineStr">
        <is>
          <t>Proposed Validation</t>
        </is>
      </c>
      <c r="J1" s="42" t="inlineStr">
        <is>
          <t>Source Excerpt (verbatim)</t>
        </is>
      </c>
      <c r="K1" s="42" t="inlineStr">
        <is>
          <t>Source Workflow</t>
        </is>
      </c>
      <c r="L1" s="42" t="inlineStr">
        <is>
          <t>Effective Until (source)</t>
        </is>
      </c>
      <c r="M1" s="42" t="inlineStr">
        <is>
          <t>Auto Gate</t>
        </is>
      </c>
      <c r="N1" s="42" t="inlineStr">
        <is>
          <t>Review State</t>
        </is>
      </c>
      <c r="O1" s="42" t="inlineStr">
        <is>
          <t>Source File</t>
        </is>
      </c>
      <c r="P1" s="42" t="inlineStr">
        <is>
          <t>Critical Note</t>
        </is>
      </c>
    </row>
    <row r="2" ht="43" customHeight="1">
      <c r="A2" s="43" t="inlineStr">
        <is>
          <t>CTANJZ05414</t>
        </is>
      </c>
      <c r="B2" s="43" t="inlineStr">
        <is>
          <t>D613039</t>
        </is>
      </c>
      <c r="C2" s="43" t="inlineStr">
        <is>
          <t>HEIMDALL</t>
        </is>
      </c>
      <c r="D2" s="43" t="inlineStr">
        <is>
          <t>73-103459-02</t>
        </is>
      </c>
      <c r="E2" s="43" t="inlineStr">
        <is>
          <t>U65</t>
        </is>
      </c>
      <c r="F2" s="43" t="inlineStr">
        <is>
          <t>REMOVE</t>
        </is>
      </c>
      <c r="G2" s="43" t="inlineStr">
        <is>
          <t>15-109506-01</t>
        </is>
      </c>
      <c r="H2" s="43" t="inlineStr"/>
      <c r="I2" s="33" t="inlineStr">
        <is>
          <t>BOM / P&amp;P / FAI</t>
        </is>
      </c>
      <c r="J2" s="33" t="inlineStr">
        <is>
          <t>Remove U65/15-109506-01 from BOM</t>
        </is>
      </c>
      <c r="K2" s="43" t="inlineStr">
        <is>
          <t>FAI Status</t>
        </is>
      </c>
      <c r="L2" s="43" t="inlineStr">
        <is>
          <t>2026-10-29</t>
        </is>
      </c>
      <c r="M2" s="43" t="inlineStr">
        <is>
          <t>NO - PENDING REVIEW</t>
        </is>
      </c>
      <c r="N2" s="43" t="inlineStr">
        <is>
          <t>Pending Review</t>
        </is>
      </c>
      <c r="O2" s="43" t="inlineStr">
        <is>
          <t>Deviation.csv</t>
        </is>
      </c>
      <c r="P2" s="33" t="inlineStr">
        <is>
          <t>Aplica solo si la desviacion se usa en la WO; requiere confirmar sustitucion Renesas/TI. El PN 73-103758-04 se menciona como referencia, no como BOM objetivo.</t>
        </is>
      </c>
    </row>
    <row r="3" ht="43" customHeight="1">
      <c r="A3" s="43" t="inlineStr">
        <is>
          <t>CTANJZ05414</t>
        </is>
      </c>
      <c r="B3" s="43" t="inlineStr">
        <is>
          <t>D613039</t>
        </is>
      </c>
      <c r="C3" s="43" t="inlineStr">
        <is>
          <t>HEIMDALL</t>
        </is>
      </c>
      <c r="D3" s="43" t="inlineStr">
        <is>
          <t>73-103459-02</t>
        </is>
      </c>
      <c r="E3" s="43" t="inlineStr">
        <is>
          <t>U66</t>
        </is>
      </c>
      <c r="F3" s="43" t="inlineStr">
        <is>
          <t>ADD</t>
        </is>
      </c>
      <c r="G3" s="43" t="inlineStr"/>
      <c r="H3" s="43" t="inlineStr">
        <is>
          <t>15-109628-01</t>
        </is>
      </c>
      <c r="I3" s="33" t="inlineStr">
        <is>
          <t>BOM / P&amp;P / FAI</t>
        </is>
      </c>
      <c r="J3" s="33" t="inlineStr">
        <is>
          <t>Add U66/15-109628-01 to BOM</t>
        </is>
      </c>
      <c r="K3" s="43" t="inlineStr">
        <is>
          <t>FAI Status</t>
        </is>
      </c>
      <c r="L3" s="43" t="inlineStr">
        <is>
          <t>2026-10-29</t>
        </is>
      </c>
      <c r="M3" s="43" t="inlineStr">
        <is>
          <t>NO - PENDING REVIEW</t>
        </is>
      </c>
      <c r="N3" s="43" t="inlineStr">
        <is>
          <t>Pending Review</t>
        </is>
      </c>
      <c r="O3" s="43" t="inlineStr">
        <is>
          <t>Deviation.csv</t>
        </is>
      </c>
      <c r="P3" s="33" t="inlineStr">
        <is>
          <t>Aplica solo si la desviacion se usa en la WO; requiere confirmar sustitucion Renesas/TI. El PN 73-103758-04 se menciona como referencia, no como BOM objetivo.</t>
        </is>
      </c>
    </row>
    <row r="4" ht="43" customHeight="1">
      <c r="A4" s="43" t="inlineStr">
        <is>
          <t>CTANJZ05414</t>
        </is>
      </c>
      <c r="B4" s="43" t="inlineStr">
        <is>
          <t>D613039</t>
        </is>
      </c>
      <c r="C4" s="43" t="inlineStr">
        <is>
          <t>HEIMDALL</t>
        </is>
      </c>
      <c r="D4" s="43" t="inlineStr">
        <is>
          <t>73-103459-02</t>
        </is>
      </c>
      <c r="E4" s="43" t="inlineStr">
        <is>
          <t>R149</t>
        </is>
      </c>
      <c r="F4" s="43" t="inlineStr">
        <is>
          <t>REPLACE</t>
        </is>
      </c>
      <c r="G4" s="43" t="inlineStr">
        <is>
          <t>12-4443-01</t>
        </is>
      </c>
      <c r="H4" s="43" t="inlineStr">
        <is>
          <t>12-2567-02</t>
        </is>
      </c>
      <c r="I4" s="33" t="inlineStr">
        <is>
          <t>BOM / P&amp;P / ICT</t>
        </is>
      </c>
      <c r="J4" s="33" t="inlineStr">
        <is>
          <t>Change R149 from 12-4443-01 to 12-2567-02</t>
        </is>
      </c>
      <c r="K4" s="43" t="inlineStr">
        <is>
          <t>FAI Status</t>
        </is>
      </c>
      <c r="L4" s="43" t="inlineStr">
        <is>
          <t>2026-10-29</t>
        </is>
      </c>
      <c r="M4" s="43" t="inlineStr">
        <is>
          <t>NO - PENDING REVIEW</t>
        </is>
      </c>
      <c r="N4" s="43" t="inlineStr">
        <is>
          <t>Pending Review</t>
        </is>
      </c>
      <c r="O4" s="43" t="inlineStr">
        <is>
          <t>Deviation.csv</t>
        </is>
      </c>
      <c r="P4" s="33" t="inlineStr">
        <is>
          <t>Aplica solo si la desviacion se usa en la WO; requiere confirmar sustitucion Renesas/TI. El PN 73-103758-04 se menciona como referencia, no como BOM objetivo.</t>
        </is>
      </c>
    </row>
    <row r="5" ht="43" customHeight="1">
      <c r="A5" s="43" t="inlineStr">
        <is>
          <t>CTANJZ05414</t>
        </is>
      </c>
      <c r="B5" s="43" t="inlineStr">
        <is>
          <t>D613039</t>
        </is>
      </c>
      <c r="C5" s="43" t="inlineStr">
        <is>
          <t>HEIMDALL</t>
        </is>
      </c>
      <c r="D5" s="43" t="inlineStr">
        <is>
          <t>73-103459-02</t>
        </is>
      </c>
      <c r="E5" s="43" t="inlineStr">
        <is>
          <t>R151</t>
        </is>
      </c>
      <c r="F5" s="43" t="inlineStr">
        <is>
          <t>REPLACE</t>
        </is>
      </c>
      <c r="G5" s="43" t="inlineStr">
        <is>
          <t>12-100278-01</t>
        </is>
      </c>
      <c r="H5" s="43" t="inlineStr">
        <is>
          <t>12-4978-01</t>
        </is>
      </c>
      <c r="I5" s="33" t="inlineStr">
        <is>
          <t>BOM / P&amp;P / ICT</t>
        </is>
      </c>
      <c r="J5" s="33" t="inlineStr">
        <is>
          <t>Change R151 from 12-100278-01 to 12-4978-01</t>
        </is>
      </c>
      <c r="K5" s="43" t="inlineStr">
        <is>
          <t>FAI Status</t>
        </is>
      </c>
      <c r="L5" s="43" t="inlineStr">
        <is>
          <t>2026-10-29</t>
        </is>
      </c>
      <c r="M5" s="43" t="inlineStr">
        <is>
          <t>NO - PENDING REVIEW</t>
        </is>
      </c>
      <c r="N5" s="43" t="inlineStr">
        <is>
          <t>Pending Review</t>
        </is>
      </c>
      <c r="O5" s="43" t="inlineStr">
        <is>
          <t>Deviation.csv</t>
        </is>
      </c>
      <c r="P5" s="33" t="inlineStr">
        <is>
          <t>Aplica solo si la desviacion se usa en la WO; requiere confirmar sustitucion Renesas/TI. El PN 73-103758-04 se menciona como referencia, no como BOM objetivo.</t>
        </is>
      </c>
    </row>
    <row r="6" ht="43" customHeight="1">
      <c r="A6" s="43" t="inlineStr">
        <is>
          <t>CTANJZ05519</t>
        </is>
      </c>
      <c r="B6" s="43" t="inlineStr">
        <is>
          <t>D614380</t>
        </is>
      </c>
      <c r="C6" s="43" t="inlineStr">
        <is>
          <t>PICTORIS</t>
        </is>
      </c>
      <c r="D6" s="43" t="inlineStr">
        <is>
          <t>73-103603-05</t>
        </is>
      </c>
      <c r="E6" s="43" t="inlineStr">
        <is>
          <t>U417</t>
        </is>
      </c>
      <c r="F6" s="43" t="inlineStr">
        <is>
          <t>REPLACE</t>
        </is>
      </c>
      <c r="G6" s="43" t="inlineStr">
        <is>
          <t>15-108939-01</t>
        </is>
      </c>
      <c r="H6" s="43" t="inlineStr">
        <is>
          <t>15-108939-03</t>
        </is>
      </c>
      <c r="I6" s="33" t="inlineStr">
        <is>
          <t>BOM / AOI / FAI</t>
        </is>
      </c>
      <c r="J6" s="33" t="inlineStr">
        <is>
          <t>For refdes U417Remove from BOM15-108939-01</t>
        </is>
      </c>
      <c r="K6" s="43" t="inlineStr">
        <is>
          <t>CCB</t>
        </is>
      </c>
      <c r="L6" s="43" t="inlineStr">
        <is>
          <t>2027-01-01</t>
        </is>
      </c>
      <c r="M6" s="43" t="inlineStr">
        <is>
          <t>NO - PENDING REVIEW</t>
        </is>
      </c>
      <c r="N6" s="43" t="inlineStr">
        <is>
          <t>Pending Review</t>
        </is>
      </c>
      <c r="O6" s="43" t="inlineStr">
        <is>
          <t>Deviation.csv</t>
        </is>
      </c>
      <c r="P6" s="33" t="inlineStr">
        <is>
          <t>CSV en estado CCB; NO aprobado. La revision B0 consta en descripcion, confirmar aplicabilidad para cada PCBA.</t>
        </is>
      </c>
    </row>
    <row r="7" ht="43" customHeight="1">
      <c r="A7" s="43" t="inlineStr">
        <is>
          <t>CTANJZ05519</t>
        </is>
      </c>
      <c r="B7" s="43" t="inlineStr">
        <is>
          <t>D614380</t>
        </is>
      </c>
      <c r="C7" s="43" t="inlineStr">
        <is>
          <t>PICTORIS</t>
        </is>
      </c>
      <c r="D7" s="43" t="inlineStr">
        <is>
          <t>73-103103-05</t>
        </is>
      </c>
      <c r="E7" s="43" t="inlineStr">
        <is>
          <t>U417</t>
        </is>
      </c>
      <c r="F7" s="43" t="inlineStr">
        <is>
          <t>REPLACE</t>
        </is>
      </c>
      <c r="G7" s="43" t="inlineStr">
        <is>
          <t>15-108939-01</t>
        </is>
      </c>
      <c r="H7" s="43" t="inlineStr">
        <is>
          <t>15-108939-03</t>
        </is>
      </c>
      <c r="I7" s="33" t="inlineStr">
        <is>
          <t>BOM / AOI / FAI</t>
        </is>
      </c>
      <c r="J7" s="33" t="inlineStr">
        <is>
          <t>For refdes U417Remove from BOM15-108939-01</t>
        </is>
      </c>
      <c r="K7" s="43" t="inlineStr">
        <is>
          <t>CCB</t>
        </is>
      </c>
      <c r="L7" s="43" t="inlineStr">
        <is>
          <t>2027-01-01</t>
        </is>
      </c>
      <c r="M7" s="43" t="inlineStr">
        <is>
          <t>NO - PENDING REVIEW</t>
        </is>
      </c>
      <c r="N7" s="43" t="inlineStr">
        <is>
          <t>Pending Review</t>
        </is>
      </c>
      <c r="O7" s="43" t="inlineStr">
        <is>
          <t>Deviation.csv</t>
        </is>
      </c>
      <c r="P7" s="33" t="inlineStr">
        <is>
          <t>CSV en estado CCB; NO aprobado. La revision B0 consta en descripcion, confirmar aplicabilidad para cada PCBA.</t>
        </is>
      </c>
    </row>
    <row r="8" ht="43" customHeight="1">
      <c r="A8" s="43" t="inlineStr">
        <is>
          <t>CTANJZ05408</t>
        </is>
      </c>
      <c r="B8" s="43" t="inlineStr">
        <is>
          <t>D613038</t>
        </is>
      </c>
      <c r="C8" s="43" t="inlineStr">
        <is>
          <t>TYNE</t>
        </is>
      </c>
      <c r="D8" s="43" t="inlineStr">
        <is>
          <t>68-104853-01</t>
        </is>
      </c>
      <c r="E8" s="43" t="inlineStr"/>
      <c r="F8" s="43" t="inlineStr">
        <is>
          <t>MODULE_REPLACE</t>
        </is>
      </c>
      <c r="G8" s="43" t="inlineStr">
        <is>
          <t>800-117978-03</t>
        </is>
      </c>
      <c r="H8" s="43" t="inlineStr">
        <is>
          <t>800-118978-03</t>
        </is>
      </c>
      <c r="I8" s="33" t="inlineStr">
        <is>
          <t>Assembly BOM / module PN / FAI</t>
        </is>
      </c>
      <c r="J8" s="33" t="inlineStr">
        <is>
          <t>FJZ is hereby allowed to replace Taylor Module CPN 800-117978-03 with 800-118978-03</t>
        </is>
      </c>
      <c r="K8" s="43" t="inlineStr">
        <is>
          <t>FAI Status</t>
        </is>
      </c>
      <c r="L8" s="43" t="inlineStr">
        <is>
          <t>2026-10-27</t>
        </is>
      </c>
      <c r="M8" s="43" t="inlineStr">
        <is>
          <t>NO - PENDING REVIEW</t>
        </is>
      </c>
      <c r="N8" s="43" t="inlineStr">
        <is>
          <t>Pending Review</t>
        </is>
      </c>
      <c r="O8" s="43" t="inlineStr">
        <is>
          <t>Deviation.csv</t>
        </is>
      </c>
      <c r="P8" s="33" t="inlineStr">
        <is>
          <t>Cambiar MODULO completo; la descripcion indica explicitamente que 15-110522-02 NO reemplaza individualmente 15-110522-01.</t>
        </is>
      </c>
    </row>
    <row r="9" ht="43" customHeight="1">
      <c r="A9" s="43" t="inlineStr">
        <is>
          <t>CTANJZ05408</t>
        </is>
      </c>
      <c r="B9" s="43" t="inlineStr">
        <is>
          <t>D613038</t>
        </is>
      </c>
      <c r="C9" s="43" t="inlineStr">
        <is>
          <t>TYNE</t>
        </is>
      </c>
      <c r="D9" s="43" t="inlineStr">
        <is>
          <t>68-104854-01</t>
        </is>
      </c>
      <c r="E9" s="43" t="inlineStr"/>
      <c r="F9" s="43" t="inlineStr">
        <is>
          <t>MODULE_REPLACE</t>
        </is>
      </c>
      <c r="G9" s="43" t="inlineStr">
        <is>
          <t>800-117978-03</t>
        </is>
      </c>
      <c r="H9" s="43" t="inlineStr">
        <is>
          <t>800-118978-03</t>
        </is>
      </c>
      <c r="I9" s="33" t="inlineStr">
        <is>
          <t>Assembly BOM / module PN / FAI</t>
        </is>
      </c>
      <c r="J9" s="33" t="inlineStr">
        <is>
          <t>FJZ is hereby allowed to replace Taylor Module CPN 800-117978-03 with 800-118978-03</t>
        </is>
      </c>
      <c r="K9" s="43" t="inlineStr">
        <is>
          <t>FAI Status</t>
        </is>
      </c>
      <c r="L9" s="43" t="inlineStr">
        <is>
          <t>2026-10-27</t>
        </is>
      </c>
      <c r="M9" s="43" t="inlineStr">
        <is>
          <t>NO - PENDING REVIEW</t>
        </is>
      </c>
      <c r="N9" s="43" t="inlineStr">
        <is>
          <t>Pending Review</t>
        </is>
      </c>
      <c r="O9" s="43" t="inlineStr">
        <is>
          <t>Deviation.csv</t>
        </is>
      </c>
      <c r="P9" s="33" t="inlineStr">
        <is>
          <t>Cambiar MODULO completo; la descripcion indica explicitamente que 15-110522-02 NO reemplaza individualmente 15-110522-01.</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3"/>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22" customWidth="1" min="2" max="2"/>
  </cols>
  <sheetData>
    <row r="1" ht="32" customHeight="1">
      <c r="A1" s="44" t="inlineStr">
        <is>
          <t>SMTinel Yokoten | Descripciones del customer en español</t>
        </is>
      </c>
      <c r="B1" s="45" t="inlineStr"/>
    </row>
    <row r="2" ht="42" customHeight="1">
      <c r="A2" s="46" t="inlineStr">
        <is>
          <t>Objetivo</t>
        </is>
      </c>
      <c r="B2" s="47" t="inlineStr">
        <is>
          <t>Mostrar primero el resumen y la traducción técnica en español sin eliminar el original en inglés.</t>
        </is>
      </c>
    </row>
    <row r="3" ht="42" customHeight="1">
      <c r="A3" s="46" t="inlineStr">
        <is>
          <t>Alcance actual</t>
        </is>
      </c>
      <c r="B3" s="47" t="inlineStr">
        <is>
          <t>La base suministrada registra 487 desviaciones; NO contiene registros ECN/ECO independientes.</t>
        </is>
      </c>
    </row>
    <row r="4" ht="42" customHeight="1">
      <c r="A4" s="46" t="inlineStr">
        <is>
          <t>Cambio solicitado</t>
        </is>
      </c>
      <c r="B4" s="47" t="inlineStr">
        <is>
          <t>Para futuros ECN/ECO, agregar sus filas a Change Register y su alcance a Change Applicability.</t>
        </is>
      </c>
    </row>
    <row r="5" ht="42" customHeight="1">
      <c r="A5" s="46" t="inlineStr">
        <is>
          <t>Summary ES</t>
        </is>
      </c>
      <c r="B5" s="47" t="inlineStr">
        <is>
          <t>Síntesis de impacto: producto, PN, referencias, sustitución y condición de validación.</t>
        </is>
      </c>
    </row>
    <row r="6" ht="42" customHeight="1">
      <c r="A6" s="46" t="inlineStr">
        <is>
          <t>Change Description ES</t>
        </is>
      </c>
      <c r="B6" s="47" t="inlineStr">
        <is>
          <t>Traducción técnica fiel del texto original; NO alterar códigos, CPN/MPN, PN, RefDes, revision ni unidades.</t>
        </is>
      </c>
    </row>
    <row r="7" ht="42" customHeight="1">
      <c r="A7" s="46" t="inlineStr">
        <is>
          <t>Translation Review</t>
        </is>
      </c>
      <c r="B7" s="47" t="inlineStr">
        <is>
          <t>Traduccion para consulta / Requiere revision: este campo jamás significa que el cambio está aprobado.</t>
        </is>
      </c>
    </row>
    <row r="8" ht="42" customHeight="1">
      <c r="A8" s="46" t="inlineStr">
        <is>
          <t>Texto original</t>
        </is>
      </c>
      <c r="B8" s="47" t="inlineStr">
        <is>
          <t>Se conserva intacto en Change Register / Change Description y se muestra expandible en Yokoten.</t>
        </is>
      </c>
    </row>
    <row r="9" ht="42" customHeight="1">
      <c r="A9" s="46" t="inlineStr">
        <is>
          <t>Sin traducción</t>
        </is>
      </c>
      <c r="B9" s="47" t="inlineStr">
        <is>
          <t>Yokoten debe mostrar "Traducción pendiente" y permitir consultar el texto original. No inventar traducción.</t>
        </is>
      </c>
    </row>
    <row r="10" ht="42" customHeight="1">
      <c r="A10" s="46" t="inlineStr">
        <is>
          <t>Fuente de verdad</t>
        </is>
      </c>
      <c r="B10" s="47" t="inlineStr">
        <is>
          <t>Estado, aplicabilidad y vigencia provienen del documento oficial; la traducción solo ayuda a leerlo.</t>
        </is>
      </c>
    </row>
    <row r="11" ht="42" customHeight="1">
      <c r="A11" s="46" t="inlineStr">
        <is>
          <t>Priorizacion</t>
        </is>
      </c>
      <c r="B11" s="47" t="inlineStr">
        <is>
          <t>Al asociar nuevos ECN/ECO a corridas, traducir al menos los documentos con coincidencia PN/Rev/WO.</t>
        </is>
      </c>
    </row>
    <row r="12" ht="42" customHeight="1">
      <c r="A12" s="46" t="inlineStr">
        <is>
          <t>Nota sobre desviaciones</t>
        </is>
      </c>
      <c r="B12" s="47" t="inlineStr">
        <is>
          <t>Se prepararon 10 traducciones técnicas de documentos ejemplares; las 477 restantes conservan el texto inglés.</t>
        </is>
      </c>
    </row>
    <row r="13" ht="42" customHeight="1">
      <c r="A13" s="46" t="inlineStr">
        <is>
          <t>Flujo GitHub</t>
        </is>
      </c>
      <c r="B13" s="47" t="inlineStr">
        <is>
          <t>Publicar el libro actualizado como SMTinel_Yokoten_Knowledge_DB.xlsx en el repositorio para lectura dinámica.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3"/>
  <sheetViews>
    <sheetView showGridLines="0" workbookViewId="0">
      <pane ySplit="1" topLeftCell="A2" activePane="bottomLeft" state="frozen"/>
      <selection activeCell="A1" sqref="A1"/>
    </sheetView>
  </sheetViews>
  <sheetFormatPr baseColWidth="8" defaultRowHeight="14.5"/>
  <cols>
    <col width="24" customWidth="1" min="1" max="1"/>
    <col width="18" customWidth="1" min="2" max="3"/>
    <col width="10" customWidth="1" min="4" max="6"/>
    <col width="20" customWidth="1" min="7" max="7"/>
    <col width="18" customWidth="1" min="8" max="11"/>
    <col width="34" customWidth="1" min="12" max="13"/>
    <col width="48" customWidth="1" min="14" max="14"/>
    <col width="10" customWidth="1" min="15" max="15"/>
  </cols>
  <sheetData>
    <row r="1" ht="28" customHeight="1">
      <c r="A1" s="1" t="inlineStr">
        <is>
          <t>Record ID</t>
        </is>
      </c>
      <c r="B1" s="1" t="inlineStr">
        <is>
          <t>Product</t>
        </is>
      </c>
      <c r="C1" s="1" t="inlineStr">
        <is>
          <t>Part Number</t>
        </is>
      </c>
      <c r="D1" s="1" t="inlineStr">
        <is>
          <t>Rev</t>
        </is>
      </c>
      <c r="E1" s="1" t="inlineStr">
        <is>
          <t>Side</t>
        </is>
      </c>
      <c r="F1" s="1" t="inlineStr">
        <is>
          <t>Line</t>
        </is>
      </c>
      <c r="G1" s="1" t="inlineStr">
        <is>
          <t>Status</t>
        </is>
      </c>
      <c r="H1" s="1" t="inlineStr">
        <is>
          <t>P&amp;P Program</t>
        </is>
      </c>
      <c r="I1" s="1" t="inlineStr">
        <is>
          <t>AOI Library</t>
        </is>
      </c>
      <c r="J1" s="1" t="inlineStr">
        <is>
          <t>Last Qualification</t>
        </is>
      </c>
      <c r="K1" s="1" t="inlineStr">
        <is>
          <t>Owner</t>
        </is>
      </c>
      <c r="L1" s="1" t="inlineStr">
        <is>
          <t>FAI Link</t>
        </is>
      </c>
      <c r="M1" s="1" t="inlineStr">
        <is>
          <t>SOP Link</t>
        </is>
      </c>
      <c r="N1" s="1" t="inlineStr">
        <is>
          <t>Notes</t>
        </is>
      </c>
      <c r="O1" s="1" t="inlineStr">
        <is>
          <t>Active</t>
        </is>
      </c>
    </row>
    <row r="2" ht="29" customHeight="1">
      <c r="A2" s="2" t="inlineStr">
        <is>
          <t>QUAL-PICTORIS-B0-L13</t>
        </is>
      </c>
      <c r="B2" s="2" t="inlineStr">
        <is>
          <t>PICTORIS</t>
        </is>
      </c>
      <c r="C2" s="2" t="inlineStr">
        <is>
          <t>73-103603-05</t>
        </is>
      </c>
      <c r="D2" s="2" t="inlineStr">
        <is>
          <t>B0</t>
        </is>
      </c>
      <c r="E2" s="2" t="inlineStr">
        <is>
          <t>Top</t>
        </is>
      </c>
      <c r="F2" s="2" t="inlineStr">
        <is>
          <t>L13</t>
        </is>
      </c>
      <c r="G2" s="2" t="inlineStr">
        <is>
          <t>Requal Required</t>
        </is>
      </c>
      <c r="H2" s="2" t="n"/>
      <c r="I2" s="2" t="n"/>
      <c r="J2" s="2" t="n"/>
      <c r="K2" s="2" t="n"/>
      <c r="L2" s="2" t="n"/>
      <c r="M2" s="2" t="n"/>
      <c r="N2" s="2" t="inlineStr">
        <is>
          <t>Queja histórica por orientación de J73. Actualizar la calificación después de revisar los controles.</t>
        </is>
      </c>
      <c r="O2" s="2" t="inlineStr">
        <is>
          <t>Y</t>
        </is>
      </c>
    </row>
    <row r="3">
      <c r="A3" s="2" t="inlineStr">
        <is>
          <t>QUAL-PICTORIS-B0-L17</t>
        </is>
      </c>
      <c r="B3" s="2" t="inlineStr">
        <is>
          <t>PICTORIS</t>
        </is>
      </c>
      <c r="C3" s="2" t="inlineStr">
        <is>
          <t>73-103603-05</t>
        </is>
      </c>
      <c r="D3" s="2" t="inlineStr">
        <is>
          <t>B0</t>
        </is>
      </c>
      <c r="E3" s="2" t="inlineStr">
        <is>
          <t>Top</t>
        </is>
      </c>
      <c r="F3" s="2" t="inlineStr">
        <is>
          <t>L17</t>
        </is>
      </c>
      <c r="G3" s="2" t="inlineStr">
        <is>
          <t>Requal Required</t>
        </is>
      </c>
      <c r="H3" s="2" t="n"/>
      <c r="I3" s="2" t="n"/>
      <c r="J3" s="2" t="n"/>
      <c r="K3" s="2" t="n"/>
      <c r="L3" s="2" t="n"/>
      <c r="M3" s="2" t="n"/>
      <c r="N3" s="2" t="inlineStr">
        <is>
          <t>Aplicar esta lección antes de liberar la línea.</t>
        </is>
      </c>
      <c r="O3" s="2" t="inlineStr">
        <is>
          <t>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Q25"/>
  <sheetViews>
    <sheetView showGridLines="0" workbookViewId="0">
      <pane ySplit="1" topLeftCell="A2" activePane="bottomLeft" state="frozen"/>
      <selection activeCell="A1" sqref="A1"/>
    </sheetView>
  </sheetViews>
  <sheetFormatPr baseColWidth="8" defaultRowHeight="14.5"/>
  <cols>
    <col width="24" customWidth="1" min="1" max="1"/>
    <col width="20" customWidth="1" min="2" max="2"/>
    <col width="18" customWidth="1" min="3" max="4"/>
    <col width="22" customWidth="1" min="5" max="5"/>
    <col width="16" customWidth="1" min="6" max="6"/>
    <col width="10" customWidth="1" min="7" max="8"/>
    <col width="48" customWidth="1" min="9" max="9"/>
    <col width="34" customWidth="1" min="10" max="10"/>
    <col width="60" customWidth="1" min="11" max="11"/>
    <col width="14" customWidth="1" min="12" max="12"/>
    <col width="30" customWidth="1" min="13" max="13"/>
    <col width="34" customWidth="1" min="14" max="14"/>
    <col width="14" customWidth="1" min="15" max="15"/>
    <col width="18" customWidth="1" min="16" max="16"/>
    <col width="10" customWidth="1" min="17" max="17"/>
  </cols>
  <sheetData>
    <row r="1" ht="28" customHeight="1">
      <c r="A1" s="1" t="inlineStr">
        <is>
          <t>Finding ID</t>
        </is>
      </c>
      <c r="B1" s="1" t="inlineStr">
        <is>
          <t>Scope</t>
        </is>
      </c>
      <c r="C1" s="1" t="inlineStr">
        <is>
          <t>Product</t>
        </is>
      </c>
      <c r="D1" s="1" t="inlineStr">
        <is>
          <t>Part Number</t>
        </is>
      </c>
      <c r="E1" s="1" t="inlineStr">
        <is>
          <t>Component CPN</t>
        </is>
      </c>
      <c r="F1" s="1" t="inlineStr">
        <is>
          <t>RefDes</t>
        </is>
      </c>
      <c r="G1" s="1" t="inlineStr">
        <is>
          <t>Rev</t>
        </is>
      </c>
      <c r="H1" s="1" t="inlineStr">
        <is>
          <t>Line</t>
        </is>
      </c>
      <c r="I1" s="1" t="inlineStr">
        <is>
          <t>Finding</t>
        </is>
      </c>
      <c r="J1" s="1" t="inlineStr">
        <is>
          <t>Critical Characteristic</t>
        </is>
      </c>
      <c r="K1" s="1" t="inlineStr">
        <is>
          <t>Migration Gate</t>
        </is>
      </c>
      <c r="L1" s="1" t="inlineStr">
        <is>
          <t>Severity</t>
        </is>
      </c>
      <c r="M1" s="1" t="inlineStr">
        <is>
          <t>Source</t>
        </is>
      </c>
      <c r="N1" s="1" t="inlineStr">
        <is>
          <t>8D / LL Link</t>
        </is>
      </c>
      <c r="O1" s="1" t="inlineStr">
        <is>
          <t>Status</t>
        </is>
      </c>
      <c r="P1" s="1" t="inlineStr">
        <is>
          <t>Owner</t>
        </is>
      </c>
      <c r="Q1" s="1" t="inlineStr">
        <is>
          <t>Active</t>
        </is>
      </c>
    </row>
    <row r="2" ht="29" customHeight="1">
      <c r="A2" s="2" t="inlineStr">
        <is>
          <t>LL-PICTORIS-J73</t>
        </is>
      </c>
      <c r="B2" s="2" t="inlineStr">
        <is>
          <t>PRODUCT</t>
        </is>
      </c>
      <c r="C2" s="2" t="inlineStr">
        <is>
          <t>PICTORIS</t>
        </is>
      </c>
      <c r="D2" s="2" t="inlineStr">
        <is>
          <t>73-103603-05</t>
        </is>
      </c>
      <c r="E2" s="2" t="inlineStr">
        <is>
          <t>27-100137-01</t>
        </is>
      </c>
      <c r="F2" s="2" t="inlineStr">
        <is>
          <t>J73</t>
        </is>
      </c>
      <c r="G2" s="2" t="inlineStr">
        <is>
          <t>B0</t>
        </is>
      </c>
      <c r="H2" s="2" t="inlineStr">
        <is>
          <t>L13</t>
        </is>
      </c>
      <c r="I2" s="2" t="inlineStr">
        <is>
          <t>Queja de cliente: J73 se instaló al revés.</t>
        </is>
      </c>
      <c r="J2" s="2" t="inlineStr">
        <is>
          <t>Orientación de J73. El cuerpo blanco va hacia el pin 1. No usar el triángulo como guía.</t>
        </is>
      </c>
      <c r="K2" s="2" t="inlineStr">
        <is>
          <t>Antes de liberar la línea, confirmar que el cuerpo blanco apunta al pin 1. Revisar la orientación con AOI y en la primera pieza.</t>
        </is>
      </c>
      <c r="L2" s="2" t="inlineStr">
        <is>
          <t>Critical</t>
        </is>
      </c>
      <c r="M2" s="2" t="inlineStr">
        <is>
          <t>Queja de cliente / lección 8D</t>
        </is>
      </c>
      <c r="N2" s="2" t="n"/>
      <c r="O2" s="2" t="inlineStr">
        <is>
          <t>Open</t>
        </is>
      </c>
      <c r="P2" s="2" t="n"/>
      <c r="Q2" s="2" t="inlineStr">
        <is>
          <t>Y</t>
        </is>
      </c>
    </row>
    <row r="3" ht="29" customHeight="1">
      <c r="A3" s="2" t="inlineStr">
        <is>
          <t>LL-PICTORIS-J73-L13</t>
        </is>
      </c>
      <c r="B3" s="2" t="inlineStr">
        <is>
          <t>PRODUCT_REV_LINE</t>
        </is>
      </c>
      <c r="C3" s="2" t="inlineStr">
        <is>
          <t>PICTORIS</t>
        </is>
      </c>
      <c r="D3" s="2" t="inlineStr">
        <is>
          <t>73-103603-05</t>
        </is>
      </c>
      <c r="E3" s="2" t="inlineStr">
        <is>
          <t>27-100137-01</t>
        </is>
      </c>
      <c r="F3" s="2" t="inlineStr">
        <is>
          <t>J73</t>
        </is>
      </c>
      <c r="G3" s="2" t="inlineStr">
        <is>
          <t>B0</t>
        </is>
      </c>
      <c r="H3" s="2" t="inlineStr">
        <is>
          <t>L13</t>
        </is>
      </c>
      <c r="I3" s="2" t="inlineStr">
        <is>
          <t>La revisión de AOI no detectó J73 instalado al revés.</t>
        </is>
      </c>
      <c r="J3" s="2" t="inlineStr">
        <is>
          <t>Orientación de J73. El cuerpo blanco va hacia el pin 1. No usar el triángulo como guía.</t>
        </is>
      </c>
      <c r="K3" s="2" t="inlineStr">
        <is>
          <t>Probar que AOI detecte una pieza correcta y otra con J73 al revés. Repetir la prueba al calificar o recalificar la línea.</t>
        </is>
      </c>
      <c r="L3" s="2" t="inlineStr">
        <is>
          <t>High</t>
        </is>
      </c>
      <c r="M3" s="2" t="inlineStr">
        <is>
          <t>Hallazgo histórico de línea</t>
        </is>
      </c>
      <c r="N3" s="2" t="n"/>
      <c r="O3" s="2" t="inlineStr">
        <is>
          <t>Open</t>
        </is>
      </c>
      <c r="P3" s="2" t="n"/>
      <c r="Q3" s="2" t="inlineStr">
        <is>
          <t>Y</t>
        </is>
      </c>
    </row>
    <row r="4" ht="43.5" customHeight="1">
      <c r="A4" s="2" t="inlineStr">
        <is>
          <t>LL-PICTORIS-WO-IDENTITY</t>
        </is>
      </c>
      <c r="B4" s="2" t="inlineStr">
        <is>
          <t>PRODUCT</t>
        </is>
      </c>
      <c r="C4" s="2" t="inlineStr">
        <is>
          <t>PICTORIS</t>
        </is>
      </c>
      <c r="D4" s="2" t="inlineStr">
        <is>
          <t>73-103603-05</t>
        </is>
      </c>
      <c r="E4" s="2" t="n"/>
      <c r="F4" s="2" t="n"/>
      <c r="G4" s="2" t="n"/>
      <c r="H4" s="2" t="n"/>
      <c r="I4" s="2" t="inlineStr">
        <is>
          <t>Se usó una revisión incorrecta y, en otra orden, un número de parte incorrecto.</t>
        </is>
      </c>
      <c r="J4" s="2" t="inlineStr">
        <is>
          <t>Número de parte y revisión liberada de la orden de trabajo.</t>
        </is>
      </c>
      <c r="K4" s="2" t="inlineStr">
        <is>
          <t>Antes de crear o liberar la orden, confirmar número de parte y revisión. Revisar modelo, número de parte y revisión en la primera pieza.</t>
        </is>
      </c>
      <c r="L4" s="2" t="inlineStr">
        <is>
          <t>High</t>
        </is>
      </c>
      <c r="M4" s="2" t="inlineStr">
        <is>
          <t>Control de cambios 2026-09-15 · EVT-08 / EVT-09</t>
        </is>
      </c>
      <c r="N4" s="2" t="n"/>
      <c r="O4" s="2" t="inlineStr">
        <is>
          <t>Open</t>
        </is>
      </c>
      <c r="P4" s="2" t="inlineStr">
        <is>
          <t>Planeación / PM</t>
        </is>
      </c>
      <c r="Q4" s="2" t="inlineStr">
        <is>
          <t>Y</t>
        </is>
      </c>
    </row>
    <row r="5" ht="43.5" customHeight="1">
      <c r="A5" s="2" t="inlineStr">
        <is>
          <t>LL-BAYFRONT-BOM-LOADLIST</t>
        </is>
      </c>
      <c r="B5" s="2" t="inlineStr">
        <is>
          <t>PRODUCT</t>
        </is>
      </c>
      <c r="C5" s="2" t="inlineStr">
        <is>
          <t>BAYFRONT</t>
        </is>
      </c>
      <c r="D5" s="2" t="inlineStr">
        <is>
          <t>73-103826-05</t>
        </is>
      </c>
      <c r="E5" s="2" t="n"/>
      <c r="F5" s="2" t="n"/>
      <c r="G5" s="2" t="n"/>
      <c r="H5" s="2" t="n"/>
      <c r="I5" s="2" t="inlineStr">
        <is>
          <t>La lista de carga no coincidía con la BOM: había diferencias en parte, posición o cantidad.</t>
        </is>
      </c>
      <c r="J5" s="2" t="inlineStr">
        <is>
          <t>Coincidencia entre BOM liberada y lista de carga.</t>
        </is>
      </c>
      <c r="K5" s="2" t="inlineStr">
        <is>
          <t>Antes de aprobar la lista de carga, comparar número de parte, posición, cantidad y revisión contra la BOM liberada.</t>
        </is>
      </c>
      <c r="L5" s="2" t="inlineStr">
        <is>
          <t>Medium</t>
        </is>
      </c>
      <c r="M5" s="2" t="inlineStr">
        <is>
          <t>Control de cambios 2026-09-15 · EVT-01</t>
        </is>
      </c>
      <c r="N5" s="2" t="n"/>
      <c r="O5" s="2" t="inlineStr">
        <is>
          <t>Open</t>
        </is>
      </c>
      <c r="P5" s="2" t="inlineStr">
        <is>
          <t>Programación / Calidad</t>
        </is>
      </c>
      <c r="Q5" s="2" t="inlineStr">
        <is>
          <t>Y</t>
        </is>
      </c>
    </row>
    <row r="6" ht="58" customHeight="1">
      <c r="A6" s="2" t="inlineStr">
        <is>
          <t>LL-ARATA-ODM-CONFIG</t>
        </is>
      </c>
      <c r="B6" s="2" t="inlineStr">
        <is>
          <t>REVISION</t>
        </is>
      </c>
      <c r="C6" s="2" t="inlineStr">
        <is>
          <t>ARATA</t>
        </is>
      </c>
      <c r="D6" s="2" t="inlineStr">
        <is>
          <t>74-133408-02</t>
        </is>
      </c>
      <c r="E6" s="2" t="n"/>
      <c r="F6" s="2" t="n"/>
      <c r="G6" s="2" t="inlineStr">
        <is>
          <t>B0</t>
        </is>
      </c>
      <c r="H6" s="2" t="n"/>
      <c r="I6" s="2" t="inlineStr">
        <is>
          <t>El número de parte por sí solo no identifica esta configuración. U58, la revisión y el cambio deben coincidir en SMT e ICT.</t>
        </is>
      </c>
      <c r="J6" s="2" t="inlineStr">
        <is>
          <t>Configuración correcta: U58, revisión y cambio liberado.</t>
        </is>
      </c>
      <c r="K6" s="2" t="inlineStr">
        <is>
          <t>Antes de liberar, confirmar U58, revisión y cambio en la orden. Revisar que SMT e ICT usen la misma configuración y pruebas.</t>
        </is>
      </c>
      <c r="L6" s="2" t="inlineStr">
        <is>
          <t>High</t>
        </is>
      </c>
      <c r="M6" s="2" t="inlineStr">
        <is>
          <t>Control de cambios 2026-09-15 · EVT-02 / EVT-03 / EVT-04</t>
        </is>
      </c>
      <c r="N6" s="2" t="n"/>
      <c r="O6" s="2" t="inlineStr">
        <is>
          <t>Open</t>
        </is>
      </c>
      <c r="P6" s="2" t="inlineStr">
        <is>
          <t>Planeación / Producto / SMT / ICT</t>
        </is>
      </c>
      <c r="Q6" s="2" t="inlineStr">
        <is>
          <t>Y</t>
        </is>
      </c>
    </row>
    <row r="7" ht="72.5" customHeight="1">
      <c r="A7" s="2" t="inlineStr">
        <is>
          <t>LL-TAYLOR-LARGE-BODY-CLEARANCE</t>
        </is>
      </c>
      <c r="B7" s="2" t="inlineStr">
        <is>
          <t>PRODUCT</t>
        </is>
      </c>
      <c r="C7" s="2" t="inlineStr">
        <is>
          <t>TAYLOR</t>
        </is>
      </c>
      <c r="D7" s="2" t="n"/>
      <c r="E7" s="2" t="n"/>
      <c r="F7" s="2" t="n"/>
      <c r="G7" s="2" t="n"/>
      <c r="H7" s="2" t="n"/>
      <c r="I7" s="2" t="inlineStr">
        <is>
          <t>Algunos componentes grandes quedan demasiado cerca o se tocan. AOI no siempre detecta esta separación.</t>
        </is>
      </c>
      <c r="J7" s="2" t="inlineStr">
        <is>
          <t>Separación entre componentes y tamaño aprobado del cuerpo.</t>
        </is>
      </c>
      <c r="K7" s="2" t="inlineStr">
        <is>
          <t>Antes de liberar, revisar tamaño, centrado y posición de los componentes. Medir la separación después de colocar y soldar. Repetir si cambia el proveedor o componente.</t>
        </is>
      </c>
      <c r="L7" s="2" t="inlineStr">
        <is>
          <t>High</t>
        </is>
      </c>
      <c r="M7" s="2" t="inlineStr">
        <is>
          <t>Control de cambios 2026-09-15 · EVT-19 / EVT-20 / EVT-21; caso Taylor</t>
        </is>
      </c>
      <c r="N7" s="2" t="n"/>
      <c r="O7" s="2" t="inlineStr">
        <is>
          <t>Open</t>
        </is>
      </c>
      <c r="P7" s="2" t="inlineStr">
        <is>
          <t>Carlos Martínez / Josué Rangel / José Cruz</t>
        </is>
      </c>
      <c r="Q7" s="2" t="inlineStr">
        <is>
          <t>Y</t>
        </is>
      </c>
    </row>
    <row r="8" ht="92.40000152587891" customHeight="1">
      <c r="A8" s="2" t="inlineStr">
        <is>
          <t>LL-NIXIE-MIC-SEATING</t>
        </is>
      </c>
      <c r="B8" s="2" t="inlineStr">
        <is>
          <t>PRODUCT</t>
        </is>
      </c>
      <c r="C8" s="2" t="inlineStr">
        <is>
          <t>NIXIE</t>
        </is>
      </c>
      <c r="D8" s="2" t="n"/>
      <c r="E8" s="2" t="n"/>
      <c r="F8" s="2" t="n"/>
      <c r="G8" s="2" t="n"/>
      <c r="H8" s="2" t="n"/>
      <c r="I8" s="2" t="inlineStr">
        <is>
          <t>El micrófono puede levantarse o mover las bolas de soldadura si se presiona demasiado. Se probaron boquillas y ajustes; la causa aún no está confirmada.</t>
        </is>
      </c>
      <c r="J8" s="2" t="inlineStr">
        <is>
          <t>Asiento del micrófono y bolas de soldadura sin desplazamiento.</t>
        </is>
      </c>
      <c r="K8" s="2" t="inlineStr">
        <is>
          <t>Usar la boquilla y los ajustes aprobados por el proveedor. Revisar después de colocar y soldar. Revalidar si cambia el proveedor, la boquilla o el programa.</t>
        </is>
      </c>
      <c r="L8" s="2" t="inlineStr">
        <is>
          <t>High</t>
        </is>
      </c>
      <c r="M8" s="2" t="inlineStr">
        <is>
          <t>Caso SMTinel NIXIE Q1WK08 / WK10</t>
        </is>
      </c>
      <c r="N8" s="2" t="inlineStr">
        <is>
          <t>https://chatgpt.com/c/6ab960a3-208c-83e8-8009-8c18a39dd451</t>
        </is>
      </c>
      <c r="O8" s="2" t="inlineStr">
        <is>
          <t>Monitoring</t>
        </is>
      </c>
      <c r="P8" s="2" t="inlineStr">
        <is>
          <t>SMT-P&amp;P / Carlos Martínez</t>
        </is>
      </c>
      <c r="Q8" s="2" t="inlineStr">
        <is>
          <t>Y</t>
        </is>
      </c>
    </row>
    <row r="9" ht="58" customHeight="1">
      <c r="A9" s="2" t="inlineStr">
        <is>
          <t>LL-TUFNELL-DEVIATION-SCOPE-HI</t>
        </is>
      </c>
      <c r="B9" s="2" t="inlineStr">
        <is>
          <t>PRODUCT</t>
        </is>
      </c>
      <c r="C9" s="2" t="inlineStr">
        <is>
          <t>TUFNELL PARK</t>
        </is>
      </c>
      <c r="D9" s="2" t="inlineStr">
        <is>
          <t>73-20247-06</t>
        </is>
      </c>
      <c r="E9" s="2" t="inlineStr">
        <is>
          <t>15-102981-01; 15-102981-02</t>
        </is>
      </c>
      <c r="F9" s="2" t="inlineStr">
        <is>
          <t>U23</t>
        </is>
      </c>
      <c r="G9" s="2" t="n"/>
      <c r="H9" s="2" t="n"/>
      <c r="I9" s="2" t="inlineStr">
        <is>
          <t>Una desviación de CRBU podría permitir material cancelado en NGFWBU, donde no aplica.</t>
        </is>
      </c>
      <c r="J9" s="2" t="inlineStr">
        <is>
          <t>La desviación de U23 solo aplica al producto y orden aprobados.</t>
        </is>
      </c>
      <c r="K9" s="2" t="inlineStr">
        <is>
          <t>Antes de aceptar el material, confirmar unidad de negocio, producto y orden contra la desviación. Si no coinciden, mantener el bloqueo en SAP.</t>
        </is>
      </c>
      <c r="L9" s="2" t="inlineStr">
        <is>
          <t>Critical</t>
        </is>
      </c>
      <c r="M9" s="2" t="inlineStr">
        <is>
          <t>Análisis de desviación CRBU / NGFWBU</t>
        </is>
      </c>
      <c r="N9" s="2" t="n"/>
      <c r="O9" s="2" t="inlineStr">
        <is>
          <t>Open</t>
        </is>
      </c>
      <c r="P9" s="2" t="n"/>
      <c r="Q9" s="2" t="inlineStr">
        <is>
          <t>Y</t>
        </is>
      </c>
    </row>
    <row r="10" ht="58" customHeight="1">
      <c r="A10" s="2" t="inlineStr">
        <is>
          <t>LL-TUFNELL-DEVIATION-SCOPE-LO</t>
        </is>
      </c>
      <c r="B10" s="2" t="inlineStr">
        <is>
          <t>PRODUCT</t>
        </is>
      </c>
      <c r="C10" s="2" t="inlineStr">
        <is>
          <t>TUFNELL PARK</t>
        </is>
      </c>
      <c r="D10" s="2" t="inlineStr">
        <is>
          <t>73-20249-06</t>
        </is>
      </c>
      <c r="E10" s="2" t="inlineStr">
        <is>
          <t>15-102981-01; 15-102981-02</t>
        </is>
      </c>
      <c r="F10" s="2" t="inlineStr">
        <is>
          <t>U23</t>
        </is>
      </c>
      <c r="G10" s="2" t="n"/>
      <c r="H10" s="2" t="n"/>
      <c r="I10" s="2" t="inlineStr">
        <is>
          <t>Una desviación de CRBU podría permitir material cancelado en NGFWBU, donde no aplica.</t>
        </is>
      </c>
      <c r="J10" s="2" t="inlineStr">
        <is>
          <t>La desviación de U23 solo aplica al producto y orden aprobados.</t>
        </is>
      </c>
      <c r="K10" s="2" t="inlineStr">
        <is>
          <t>Antes de aceptar el material, confirmar unidad de negocio, producto y orden contra la desviación. Si no coinciden, mantener el bloqueo en SAP.</t>
        </is>
      </c>
      <c r="L10" s="2" t="inlineStr">
        <is>
          <t>Critical</t>
        </is>
      </c>
      <c r="M10" s="2" t="inlineStr">
        <is>
          <t>Análisis de desviación CRBU / NGFWBU</t>
        </is>
      </c>
      <c r="N10" s="2" t="n"/>
      <c r="O10" s="2" t="inlineStr">
        <is>
          <t>Open</t>
        </is>
      </c>
      <c r="P10" s="2" t="n"/>
      <c r="Q10" s="2" t="inlineStr">
        <is>
          <t>Y</t>
        </is>
      </c>
    </row>
    <row r="11" ht="87" customHeight="1">
      <c r="A11" s="2" t="inlineStr">
        <is>
          <t>LL-CHARON-CR95-POLARITY</t>
        </is>
      </c>
      <c r="B11" s="2" t="inlineStr">
        <is>
          <t>PRODUCT</t>
        </is>
      </c>
      <c r="C11" s="2" t="inlineStr">
        <is>
          <t>CHARON</t>
        </is>
      </c>
      <c r="D11" s="2" t="inlineStr">
        <is>
          <t>73-21231-05</t>
        </is>
      </c>
      <c r="E11" s="2" t="inlineStr">
        <is>
          <t>25-100369-01</t>
        </is>
      </c>
      <c r="F11" s="2" t="inlineStr">
        <is>
          <t>CR95</t>
        </is>
      </c>
      <c r="G11" s="2" t="inlineStr">
        <is>
          <t>C0</t>
        </is>
      </c>
      <c r="H11" s="2" t="inlineStr">
        <is>
          <t>L13</t>
        </is>
      </c>
      <c r="I11" s="2" t="inlineStr">
        <is>
          <t>CR95 se encontró al revés. En esta pieza, la marca verde indica el ánodo. La tablilla tiene el silkscreen al contrario: no guiarse por él.</t>
        </is>
      </c>
      <c r="J11" s="2" t="inlineStr">
        <is>
          <t>Orientación de CR95. La marca verde va en sentido opuesto a la marca de polaridad del silkscreen.</t>
        </is>
      </c>
      <c r="K11" s="2" t="inlineStr">
        <is>
          <t>Antes de liberar, revisar que la marca verde quede al lado opuesto al silkscreen de polaridad. Usar la ayuda visual aprobada.</t>
        </is>
      </c>
      <c r="L11" s="2" t="inlineStr">
        <is>
          <t>Critical</t>
        </is>
      </c>
      <c r="M11" s="2" t="inlineStr">
        <is>
          <t>Revisión del caso Charon / correo de polaridad CR95</t>
        </is>
      </c>
      <c r="N11" s="2" t="n"/>
      <c r="O11" s="2" t="inlineStr">
        <is>
          <t>Closed</t>
        </is>
      </c>
      <c r="P11" s="2" t="n"/>
      <c r="Q11" s="2" t="inlineStr">
        <is>
          <t>Y</t>
        </is>
      </c>
    </row>
    <row r="12" ht="66" customHeight="1">
      <c r="A12" s="9" t="inlineStr">
        <is>
          <t>LL-PICTORIS-BOTON-FLUX</t>
        </is>
      </c>
      <c r="B12" s="9" t="inlineStr">
        <is>
          <t>PRODUCT</t>
        </is>
      </c>
      <c r="C12" s="9" t="inlineStr">
        <is>
          <t>PICTORIS</t>
        </is>
      </c>
      <c r="D12" s="9" t="inlineStr">
        <is>
          <t>73-103603-05</t>
        </is>
      </c>
      <c r="E12" s="9" t="inlineStr">
        <is>
          <t>22-100214-01</t>
        </is>
      </c>
      <c r="F12" s="9" t="inlineStr">
        <is>
          <t>S1</t>
        </is>
      </c>
      <c r="G12" s="9" t="n"/>
      <c r="H12" s="9" t="n"/>
      <c r="I12" s="9" t="inlineStr">
        <is>
          <t>El flux aplicado directamente al cuerpo del botón reprodujo el atasco. El botón puede quedar húmedo o pegajoso y los residuos solidificarse con las horas. Rechazar y reemplazar si hay humedad por flux, pegajosidad o residuos, aunque todavía funcione.</t>
        </is>
      </c>
      <c r="J12" s="9" t="inlineStr">
        <is>
          <t>Botón sin flux ni residuos, con accionamiento y retorno libres.</t>
        </is>
      </c>
      <c r="K12" s="9" t="inlineStr">
        <is>
          <t>Antes del retrabajo, proteger con Kapton toda el área de conectores y el cuerpo del botón, sin presionar el actuador. No aplicar flux al componente. Revisar al 100 % antes y después. Ante contaminación, reemplazar sin esperar al atasco. Para probar el botón, presionar solo con el dedo. No usar pinzas puntiagudas.</t>
        </is>
      </c>
      <c r="L12" s="9" t="n"/>
      <c r="M12" s="9" t="inlineStr">
        <is>
          <t>Alerta de calidad CVEBU QAF350 Rev03. Experimento y criterios reportados el 30/09/2026.</t>
        </is>
      </c>
      <c r="N12" s="9" t="n"/>
      <c r="O12" s="9" t="inlineStr">
        <is>
          <t>Open</t>
        </is>
      </c>
      <c r="P12" s="9" t="n"/>
      <c r="Q12" s="9" t="inlineStr">
        <is>
          <t>Y</t>
        </is>
      </c>
    </row>
    <row r="13" ht="66" customHeight="1">
      <c r="A13" s="9" t="inlineStr">
        <is>
          <t>LL-MILLENIUM-BOTON-FLUX</t>
        </is>
      </c>
      <c r="B13" s="9" t="inlineStr">
        <is>
          <t>PRODUCT</t>
        </is>
      </c>
      <c r="C13" s="9" t="inlineStr">
        <is>
          <t>MILLENIUM</t>
        </is>
      </c>
      <c r="D13" s="9" t="inlineStr">
        <is>
          <t>73-102226-06</t>
        </is>
      </c>
      <c r="E13" s="9" t="inlineStr">
        <is>
          <t>22-100214-01</t>
        </is>
      </c>
      <c r="F13" s="9" t="inlineStr">
        <is>
          <t>S1</t>
        </is>
      </c>
      <c r="G13" s="9" t="n"/>
      <c r="H13" s="9" t="n"/>
      <c r="I13" s="9" t="inlineStr">
        <is>
          <t>El flux aplicado directamente al cuerpo del botón reprodujo el atasco. El botón puede quedar húmedo o pegajoso y los residuos solidificarse con las horas. Rechazar y reemplazar si hay humedad por flux, pegajosidad o residuos, aunque todavía funcione.</t>
        </is>
      </c>
      <c r="J13" s="9" t="inlineStr">
        <is>
          <t>Botón sin flux ni residuos, con accionamiento y retorno libres.</t>
        </is>
      </c>
      <c r="K13" s="9" t="inlineStr">
        <is>
          <t>Antes del retrabajo, proteger con Kapton toda el área de conectores y el cuerpo del botón, sin presionar el actuador. No aplicar flux al componente. Revisar al 100 % antes y después. Ante contaminación, reemplazar sin esperar al atasco. Para probar el botón, presionar solo con el dedo. No usar pinzas puntiagudas.</t>
        </is>
      </c>
      <c r="L13" s="9" t="n"/>
      <c r="M13" s="9" t="inlineStr">
        <is>
          <t>Alerta de calidad CVEBU QAF350 Rev03. Experimento y criterios reportados el 30/09/2026.</t>
        </is>
      </c>
      <c r="N13" s="9" t="n"/>
      <c r="O13" s="9" t="inlineStr">
        <is>
          <t>Open</t>
        </is>
      </c>
      <c r="P13" s="9" t="n"/>
      <c r="Q13" s="9" t="inlineStr">
        <is>
          <t>Y</t>
        </is>
      </c>
    </row>
    <row r="14" ht="66" customHeight="1">
      <c r="A14" s="9" t="inlineStr">
        <is>
          <t>LL-OCTAVIO-BOTON-FLUX</t>
        </is>
      </c>
      <c r="B14" s="9" t="inlineStr">
        <is>
          <t>PRODUCT</t>
        </is>
      </c>
      <c r="C14" s="9" t="inlineStr">
        <is>
          <t>OCTAVIO</t>
        </is>
      </c>
      <c r="D14" s="9" t="inlineStr">
        <is>
          <t>73-102701-01</t>
        </is>
      </c>
      <c r="E14" s="9" t="inlineStr">
        <is>
          <t>22-100214-01</t>
        </is>
      </c>
      <c r="F14" s="9" t="inlineStr">
        <is>
          <t>S1</t>
        </is>
      </c>
      <c r="G14" s="9" t="n"/>
      <c r="H14" s="9" t="n"/>
      <c r="I14" s="9" t="inlineStr">
        <is>
          <t>El flux aplicado directamente al cuerpo del botón reprodujo el atasco. El botón puede quedar húmedo o pegajoso y los residuos solidificarse con las horas. Rechazar y reemplazar si hay humedad por flux, pegajosidad o residuos, aunque todavía funcione.</t>
        </is>
      </c>
      <c r="J14" s="9" t="inlineStr">
        <is>
          <t>Botón sin flux ni residuos, con accionamiento y retorno libres.</t>
        </is>
      </c>
      <c r="K14" s="9" t="inlineStr">
        <is>
          <t>Antes del retrabajo, proteger con Kapton toda el área de conectores y el cuerpo del botón, sin presionar el actuador. No aplicar flux al componente. Revisar al 100 % antes y después. Ante contaminación, reemplazar sin esperar al atasco. Para probar el botón, presionar solo con el dedo. No usar pinzas puntiagudas.</t>
        </is>
      </c>
      <c r="L14" s="9" t="n"/>
      <c r="M14" s="9" t="inlineStr">
        <is>
          <t>Alerta de calidad CVEBU QAF350 Rev03. Experimento y criterios reportados el 30/09/2026.</t>
        </is>
      </c>
      <c r="N14" s="9" t="n"/>
      <c r="O14" s="9" t="inlineStr">
        <is>
          <t>Open</t>
        </is>
      </c>
      <c r="P14" s="9" t="n"/>
      <c r="Q14" s="9" t="inlineStr">
        <is>
          <t>Y</t>
        </is>
      </c>
    </row>
    <row r="15" ht="66" customHeight="1">
      <c r="A15" s="9" t="inlineStr">
        <is>
          <t>LL-BROOKLYN-BOTON-FLUX</t>
        </is>
      </c>
      <c r="B15" s="9" t="inlineStr">
        <is>
          <t>PRODUCT</t>
        </is>
      </c>
      <c r="C15" s="9" t="inlineStr">
        <is>
          <t>BROOKLYN</t>
        </is>
      </c>
      <c r="D15" s="9" t="inlineStr">
        <is>
          <t>73-102022-02</t>
        </is>
      </c>
      <c r="E15" s="9" t="inlineStr">
        <is>
          <t>22-100214-01</t>
        </is>
      </c>
      <c r="F15" s="9" t="inlineStr">
        <is>
          <t>S1</t>
        </is>
      </c>
      <c r="G15" s="9" t="n"/>
      <c r="H15" s="9" t="n"/>
      <c r="I15" s="9" t="inlineStr">
        <is>
          <t>El flux aplicado directamente al cuerpo del botón reprodujo el atasco. El botón puede quedar húmedo o pegajoso y los residuos solidificarse con las horas. Rechazar y reemplazar si hay humedad por flux, pegajosidad o residuos, aunque todavía funcione.</t>
        </is>
      </c>
      <c r="J15" s="9" t="inlineStr">
        <is>
          <t>Botón sin flux ni residuos, con accionamiento y retorno libres.</t>
        </is>
      </c>
      <c r="K15" s="9" t="inlineStr">
        <is>
          <t>Antes del retrabajo, proteger con Kapton toda el área de conectores y el cuerpo del botón, sin presionar el actuador. No aplicar flux al componente. Revisar al 100 % antes y después. Ante contaminación, reemplazar sin esperar al atasco. Para probar el botón, presionar solo con el dedo. No usar pinzas puntiagudas.</t>
        </is>
      </c>
      <c r="L15" s="9" t="n"/>
      <c r="M15" s="9" t="inlineStr">
        <is>
          <t>Alerta de calidad CVEBU QAF350 Rev03. Experimento y criterios reportados el 30/09/2026.</t>
        </is>
      </c>
      <c r="N15" s="9" t="n"/>
      <c r="O15" s="9" t="inlineStr">
        <is>
          <t>Open</t>
        </is>
      </c>
      <c r="P15" s="9" t="n"/>
      <c r="Q15" s="9" t="inlineStr">
        <is>
          <t>Y</t>
        </is>
      </c>
    </row>
    <row r="16" ht="66" customHeight="1">
      <c r="A16" s="9" t="inlineStr">
        <is>
          <t>LL-DAVINCI-BOTON-FLUX</t>
        </is>
      </c>
      <c r="B16" s="9" t="inlineStr">
        <is>
          <t>PRODUCT</t>
        </is>
      </c>
      <c r="C16" s="9" t="inlineStr">
        <is>
          <t>DAVINCI</t>
        </is>
      </c>
      <c r="D16" s="9" t="inlineStr">
        <is>
          <t>73-102797-02</t>
        </is>
      </c>
      <c r="E16" s="9" t="inlineStr">
        <is>
          <t>22-100214-01</t>
        </is>
      </c>
      <c r="F16" s="9" t="inlineStr">
        <is>
          <t>S1</t>
        </is>
      </c>
      <c r="G16" s="9" t="n"/>
      <c r="H16" s="9" t="n"/>
      <c r="I16" s="9" t="inlineStr">
        <is>
          <t>El flux aplicado directamente al cuerpo del botón reprodujo el atasco. El botón puede quedar húmedo o pegajoso y los residuos solidificarse con las horas. Rechazar y reemplazar si hay humedad por flux, pegajosidad o residuos, aunque todavía funcione.</t>
        </is>
      </c>
      <c r="J16" s="9" t="inlineStr">
        <is>
          <t>Botón sin flux ni residuos, con accionamiento y retorno libres.</t>
        </is>
      </c>
      <c r="K16" s="9" t="inlineStr">
        <is>
          <t>Antes del retrabajo, proteger con Kapton toda el área de conectores y el cuerpo del botón, sin presionar el actuador. No aplicar flux al componente. Revisar al 100 % antes y después. Ante contaminación, reemplazar sin esperar al atasco. Para probar el botón, presionar solo con el dedo. No usar pinzas puntiagudas.</t>
        </is>
      </c>
      <c r="L16" s="9" t="n"/>
      <c r="M16" s="9" t="inlineStr">
        <is>
          <t>Alerta de calidad CVEBU QAF350 Rev03. Experimento y criterios reportados el 30/09/2026.</t>
        </is>
      </c>
      <c r="N16" s="9" t="n"/>
      <c r="O16" s="9" t="inlineStr">
        <is>
          <t>Open</t>
        </is>
      </c>
      <c r="P16" s="9" t="n"/>
      <c r="Q16" s="9" t="inlineStr">
        <is>
          <t>Y</t>
        </is>
      </c>
    </row>
    <row r="17" ht="92" customHeight="1">
      <c r="A17" s="9" t="inlineStr">
        <is>
          <t>LL-HEIMDALL-CLIP-CUSTODY</t>
        </is>
      </c>
      <c r="B17" s="9" t="inlineStr">
        <is>
          <t>REVISION</t>
        </is>
      </c>
      <c r="C17" s="9" t="inlineStr">
        <is>
          <t>HEIMDALL</t>
        </is>
      </c>
      <c r="D17" s="9" t="inlineStr">
        <is>
          <t>73-103459-02</t>
        </is>
      </c>
      <c r="E17" s="9" t="inlineStr">
        <is>
          <t>700-136420-01</t>
        </is>
      </c>
      <c r="F17" s="9" t="inlineStr">
        <is>
          <t>J3-J8</t>
        </is>
      </c>
      <c r="G17" s="9" t="inlineStr">
        <is>
          <t>A0</t>
        </is>
      </c>
      <c r="H17" s="9" t="n"/>
      <c r="I17" s="9" t="inlineStr">
        <is>
          <t>El cambio agregó clips en J3-J8, pero no quedó claro qué proceso los instala ni cómo se revisan.</t>
        </is>
      </c>
      <c r="J17" s="9" t="inlineStr">
        <is>
          <t>Clip presente y fijo en J3-J8. Contacto dorado limpio y proceso de ensamble definido.</t>
        </is>
      </c>
      <c r="K17" s="9" t="inlineStr">
        <is>
          <t>Antes de liberar un cambio, definir quién instala cada pieza, cómo se instala y cómo se revisa. Si no está claro, detener la liberación y pedir aclaración al equipo del cliente.</t>
        </is>
      </c>
      <c r="L17" s="9" t="inlineStr">
        <is>
          <t>Critical</t>
        </is>
      </c>
      <c r="M17" s="9" t="inlineStr">
        <is>
          <t>PCAMAP 61-107350-02 · investigación del clip Heimdall</t>
        </is>
      </c>
      <c r="N17" s="9" t="n"/>
      <c r="O17" s="9" t="inlineStr">
        <is>
          <t>Open</t>
        </is>
      </c>
      <c r="P17" s="9" t="n"/>
      <c r="Q17" s="9" t="inlineStr">
        <is>
          <t>Y</t>
        </is>
      </c>
    </row>
    <row r="18" ht="92.40000152587891" customHeight="1">
      <c r="A18" s="9" t="inlineStr">
        <is>
          <t>LL-GREENFORD-AOI-MARCADO</t>
        </is>
      </c>
      <c r="B18" s="9" t="inlineStr">
        <is>
          <t>PRODUCT</t>
        </is>
      </c>
      <c r="C18" s="9" t="inlineStr">
        <is>
          <t>GREENFORD</t>
        </is>
      </c>
      <c r="D18" s="9" t="inlineStr">
        <is>
          <t>73-104532-01</t>
        </is>
      </c>
      <c r="E18" s="9" t="inlineStr">
        <is>
          <t>17-103689-02; 17-103691-01; 17-102460-07</t>
        </is>
      </c>
      <c r="F18" s="9" t="str"/>
      <c r="G18" s="9" t="str"/>
      <c r="H18" s="9" t="str"/>
      <c r="I18" s="9" t="inlineStr">
        <is>
          <t>El usuario reportó un paro de 5 horas en tercer turno después de aceptar material reprogramado y ajustar OCV/OCR en otra corrida. La decisión no quedó disponible para todas las librerías/turnos. El reply aclara C1 como identificación aceptada y solicita referencia oficial. Lección: una liberación local requiere referencia controlada y despliegue verificado por CPN. El historial de cambios debe comprobar la propagación real.</t>
        </is>
      </c>
      <c r="J18" s="9" t="inlineStr">
        <is>
          <t>Identificación autorizada del material reprogramado y revisión vigente OCV/OCR</t>
        </is>
      </c>
      <c r="K18" s="9" t="inlineStr">
        <is>
          <t>Antes del cambio de modelo o línea, cotejar PN, programación, marcado autorizado y librería vigente. Sin referencia oficial disponible, retener y escalar. No extender C1 a otros PN o programaciones por semejanza.</t>
        </is>
      </c>
      <c r="L18" s="9" t="str"/>
      <c r="M18" s="9" t="inlineStr">
        <is>
          <t>Chat Análisis de causa raíz, 01/10/2026. Relato del usuario y síntesis de PILOTO GREENFORD / Re: PILOTO GREENFORD. La revisión de los adjuntos debe respaldar la autorización.</t>
        </is>
      </c>
      <c r="N18" s="9" t="inlineStr">
        <is>
          <t>https://chatgpt.com/g/g-p-6abe462c09308191916f0eed68e0b198/c/6abe43f8-a784-83e8-9f10-f6d0d31564a3</t>
        </is>
      </c>
      <c r="O18" s="9" t="inlineStr">
        <is>
          <t>Open</t>
        </is>
      </c>
      <c r="P18" s="9" t="str"/>
      <c r="Q18" s="9" t="inlineStr">
        <is>
          <t>Y</t>
        </is>
      </c>
    </row>
    <row r="19" ht="79.19999694824219" customHeight="1">
      <c r="A19" s="9" t="inlineStr">
        <is>
          <t>LL-BROOKLYN-S1-ACCIONAMIENTO</t>
        </is>
      </c>
      <c r="B19" s="9" t="inlineStr">
        <is>
          <t>PRODUCT</t>
        </is>
      </c>
      <c r="C19" s="9" t="inlineStr">
        <is>
          <t>BROOKLYN</t>
        </is>
      </c>
      <c r="D19" s="9" t="inlineStr">
        <is>
          <t>73-102022-02</t>
        </is>
      </c>
      <c r="E19" s="9" t="inlineStr">
        <is>
          <t>22-100214-01</t>
        </is>
      </c>
      <c r="F19" s="9" t="inlineStr">
        <is>
          <t>S1</t>
        </is>
      </c>
      <c r="G19" s="9" t="str"/>
      <c r="H19" s="9" t="str"/>
      <c r="I19" s="9" t="inlineStr">
        <is>
          <t>En el experimento con 5 unidades Brooklyn se reportó que el accionamiento con tweezer puntiaguda podía sacar el actuador de sus guías. Lección: la verificación del botón debe detectar la falla sin introducir daño. El ensayo de alcohol/flux corresponde a LL-BROOKLYN-BOTON-FLUX y no prueba inmunidad ante todos los procesos de limpieza.</t>
        </is>
      </c>
      <c r="J19" s="9" t="inlineStr">
        <is>
          <t>Accionamiento y retorno de S1 sin fuerza lateral ni herramienta punzante</t>
        </is>
      </c>
      <c r="K19" s="9" t="inlineStr">
        <is>
          <t>Definir en WI el método de accionamiento controlado. Antes/después del retrabajo revisar retorno libre, atasco, retorno lento, decoloración y residuos. Separar defecto previo de daño durante inspección.</t>
        </is>
      </c>
      <c r="L19" s="9" t="str"/>
      <c r="M19" s="9" t="inlineStr">
        <is>
          <t>Chat Investigación profunda 8D, 30/09/2026. Experimento en 5 Brooklyn recuperado del historial: flux reprodujo atasco; alcohol no lo reprodujo en esa muestra; observación de tweezer.</t>
        </is>
      </c>
      <c r="N19" s="9" t="inlineStr">
        <is>
          <t>https://chatgpt.com/g/g-p-6ab5f35ed9d08191805565e89e7b1a6d/c/6ab7e69c-30b0-83e8-a989-621112ddf261</t>
        </is>
      </c>
      <c r="O19" s="9" t="inlineStr">
        <is>
          <t>Open</t>
        </is>
      </c>
      <c r="P19" s="9" t="str"/>
      <c r="Q19" s="9" t="inlineStr">
        <is>
          <t>Y</t>
        </is>
      </c>
    </row>
    <row r="20" ht="79.19999694824219" customHeight="1">
      <c r="A20" s="9" t="inlineStr">
        <is>
          <t>LL-CVEBU-S1-TERMICO</t>
        </is>
      </c>
      <c r="B20" s="9" t="inlineStr">
        <is>
          <t>PRODUCT</t>
        </is>
      </c>
      <c r="C20" s="9" t="inlineStr">
        <is>
          <t>CVEBU</t>
        </is>
      </c>
      <c r="D20" s="9" t="str"/>
      <c r="E20" s="9" t="inlineStr">
        <is>
          <t>22-100214-01</t>
        </is>
      </c>
      <c r="F20" s="9" t="inlineStr">
        <is>
          <t>S1</t>
        </is>
      </c>
      <c r="G20" s="9" t="str"/>
      <c r="H20" s="9" t="str"/>
      <c r="I20" s="9" t="inlineStr">
        <is>
          <t>Se observó que el calor de retrabajo se propaga por la PCB hasta el botón. La degradación del mecanismo por conducción a través de cobre es una hipótesis contribuyente pendiente de medición. Lección de investigación: medir temperatura e historial de ciclos antes de atribuir el atasco al layout. La distancia en assembly drawing no demuestra aislamiento térmico.</t>
        </is>
      </c>
      <c r="J20" s="9" t="inlineStr">
        <is>
          <t>Exposición térmica indirecta y acumulada de S1 durante retrabajo</t>
        </is>
      </c>
      <c r="K20" s="9" t="inlineStr">
        <is>
          <t>Evaluar cada producto/revisión por separado. Medir cuerpo y terminal de S1, zona intervenida y referencia PCB; correlacionar con fuerza, recorrido y retorno. No fijar distancia o límite térmico sin especificación y validación.</t>
        </is>
      </c>
      <c r="L20" s="9" t="str"/>
      <c r="M20" s="9" t="inlineStr">
        <is>
          <t>Chat Estándares IPC Térmicos, 01/10/2026. Observación del usuario y plan experimental propuesto. Productos a comparar: Pictoris, Millenium, Octavio, Brooklyn y Davinci.</t>
        </is>
      </c>
      <c r="N20" s="9" t="inlineStr">
        <is>
          <t>https://chatgpt.com/g/g-p-6ab5f35ed9d08191805565e89e7b1a6d/c/6abf35e3-0b6c-83e8-a8c2-defe530ca3f4</t>
        </is>
      </c>
      <c r="O20" s="9" t="inlineStr">
        <is>
          <t>Open</t>
        </is>
      </c>
      <c r="P20" s="9" t="str"/>
      <c r="Q20" s="9" t="inlineStr">
        <is>
          <t>N</t>
        </is>
      </c>
    </row>
    <row r="21" ht="92.40000152587891" customHeight="1">
      <c r="A21" s="9" t="inlineStr">
        <is>
          <t>LL-LANCER-CAP-PREICT</t>
        </is>
      </c>
      <c r="B21" s="9" t="inlineStr">
        <is>
          <t>PRODUCT</t>
        </is>
      </c>
      <c r="C21" s="9" t="inlineStr">
        <is>
          <t>LANCER</t>
        </is>
      </c>
      <c r="D21" s="9" t="str"/>
      <c r="E21" s="9" t="inlineStr">
        <is>
          <t>11-101935-01</t>
        </is>
      </c>
      <c r="F21" s="9" t="str"/>
      <c r="G21" s="9" t="str"/>
      <c r="H21" s="9" t="str"/>
      <c r="I21" s="9" t="inlineStr">
        <is>
          <t>Las validaciones reportadas el 01/10/2026 encontraron el mismo síntoma de capacitor antes de ICT, incluida una unidad que nunca pasó por ICT. Esto descarta ICT como causa iniciadora de toda la población. Lección: localizar primero el punto de introducción y comparar por RefDes/circuito y población de origen. La concentración QSFP o diferencia por date code no confirma causalidad.</t>
        </is>
      </c>
      <c r="J21" s="9" t="inlineStr">
        <is>
          <t>Condición del capacitor antes de ICT y localización de la primera degradación</t>
        </is>
      </c>
      <c r="K21" s="9" t="inlineStr">
        <is>
          <t>Comparar evidencia pre-ICT/post-ICT y trazabilidad por WO, lote y RefDes. No liberar ni cerrar la investigación suponiendo picos ICT o que todos los componentes de un lote deban fallar.</t>
        </is>
      </c>
      <c r="L21" s="9" t="str"/>
      <c r="M21" s="9" t="inlineStr">
        <is>
          <t>Chat Traducir reporte a inglés / Lancer, 30/09–01/10/2026. Validaciones posteriores descartan ICT como origen. Síntesis del correo: FJZ303626L6 y FJZ303609VF. PN de board y RefDes exactos pendientes.</t>
        </is>
      </c>
      <c r="N21" s="9" t="inlineStr">
        <is>
          <t>https://chatgpt.com/c/6abd16d8-6e58-83e8-90e0-5c916d86d0f1</t>
        </is>
      </c>
      <c r="O21" s="9" t="inlineStr">
        <is>
          <t>Open</t>
        </is>
      </c>
      <c r="P21" s="9" t="str"/>
      <c r="Q21" s="9" t="inlineStr">
        <is>
          <t>Y</t>
        </is>
      </c>
    </row>
    <row r="22" ht="79.19999694824219" customHeight="1">
      <c r="A22" s="9" t="inlineStr">
        <is>
          <t>LL-VORETJ-PTH-PUENTES</t>
        </is>
      </c>
      <c r="B22" s="9" t="inlineStr">
        <is>
          <t>PRODUCT</t>
        </is>
      </c>
      <c r="C22" s="9" t="inlineStr">
        <is>
          <t>VoreTJ-48PXPLX</t>
        </is>
      </c>
      <c r="D22" s="9" t="inlineStr">
        <is>
          <t>73-103083-04</t>
        </is>
      </c>
      <c r="E22" s="9" t="inlineStr">
        <is>
          <t>29-102727-02</t>
        </is>
      </c>
      <c r="F22" s="9" t="inlineStr">
        <is>
          <t>J2/J4/J7/J13</t>
        </is>
      </c>
      <c r="G22" s="9" t="str"/>
      <c r="H22" s="9" t="str"/>
      <c r="I22" s="9" t="inlineStr">
        <is>
          <t>En Quake/Mobius se reportaron 27 seriales con puentes físicos en conectores, provenientes de distintas WOs/líneas SMT. La ola PTH fue el proceso común observado, pero no se confirmó causa raíz. Lección: definir la población por genealogía de proceso y verificar físicamente el defecto antes de adjudicarlo a una línea SMT o a proveedor.</t>
        </is>
      </c>
      <c r="J22" s="9" t="inlineStr">
        <is>
          <t>Ausencia de puentes de soldadura en conectores después de PTH</t>
        </is>
      </c>
      <c r="K22" s="9" t="inlineStr">
        <is>
          <t>Inspeccionar las referencias afectadas después de PTH y segregar desde el último serial conforme ante recurrencia. Revalidar receta y controles cuando cambien ola, pallet, producto o parámetros.</t>
        </is>
      </c>
      <c r="L22" s="9" t="str"/>
      <c r="M22" s="9" t="inlineStr">
        <is>
          <t>Chat Quake/Mobius, 04/08/2026 hora México / 05/08 UTC. Relato de 27 SN; síntesis del historial: PTH P21S1CT1/P21S4CT1 y RefDes J2/J4/J7/J13. Causa raíz pendiente.</t>
        </is>
      </c>
      <c r="N22" s="9" t="str"/>
      <c r="O22" s="9" t="inlineStr">
        <is>
          <t>Open</t>
        </is>
      </c>
      <c r="P22" s="9" t="str"/>
      <c r="Q22" s="9" t="inlineStr">
        <is>
          <t>Y</t>
        </is>
      </c>
    </row>
    <row r="23" ht="92.40000152587891" customHeight="1">
      <c r="A23" s="9" t="inlineStr">
        <is>
          <t>LL-TTM-TDR-RAYONES</t>
        </is>
      </c>
      <c r="B23" s="9" t="inlineStr">
        <is>
          <t>PRODUCT</t>
        </is>
      </c>
      <c r="C23" s="9" t="str"/>
      <c r="D23" s="9" t="inlineStr">
        <is>
          <t>28-14458-04</t>
        </is>
      </c>
      <c r="E23" s="9" t="str"/>
      <c r="F23" s="9" t="inlineStr">
        <is>
          <t>TDR coupon</t>
        </is>
      </c>
      <c r="G23" s="9" t="str"/>
      <c r="H23" s="9" t="str"/>
      <c r="I23" s="9" t="inlineStr">
        <is>
          <t>Se reportaron 400 PCB TTM con rayones en cupones TDR durante descarga AOI. El cupón ensayado fue reportado OK y se discutió aceptación específica condicionada. Lección: proteger el cupón durante manejo y conservar evidencia de integridad/aceptación de la población exacta; un cupón OK no autoriza rayones en lotes futuros ni demuestra por sí solo integridad de todos los circuitos.</t>
        </is>
      </c>
      <c r="J23" s="9" t="inlineStr">
        <is>
          <t>Integridad del cupón TDR y del PCB durante descarga/manejo</t>
        </is>
      </c>
      <c r="K23" s="9" t="inlineStr">
        <is>
          <t>Proteger el panel/cupón durante manejo AOI. Ante rayón, retener, evaluar alcance y obtener disposición documentada para ese lote. Confirmar board/modelo de uso antes de heredar al producto.</t>
        </is>
      </c>
      <c r="L23" s="9" t="str"/>
      <c r="M23" s="9" t="inlineStr">
        <is>
          <t>Chat TTM PCB 28-14458-04, 10/08/2026. 400 piezas y cupón probado OK. La síntesis también menciona coupon trace open: cotejar reporte original para conciliar condiciones/poblaciones.</t>
        </is>
      </c>
      <c r="N23" s="9" t="str"/>
      <c r="O23" s="9" t="inlineStr">
        <is>
          <t>Open</t>
        </is>
      </c>
      <c r="P23" s="9" t="str"/>
      <c r="Q23" s="9" t="inlineStr">
        <is>
          <t>N</t>
        </is>
      </c>
    </row>
    <row r="24" ht="79.19999694824219" customHeight="1">
      <c r="A24" s="9" t="inlineStr">
        <is>
          <t>LL-731991908-LAVADO-REIMPRESION</t>
        </is>
      </c>
      <c r="B24" s="9" t="inlineStr">
        <is>
          <t>PRODUCT</t>
        </is>
      </c>
      <c r="C24" s="9" t="str"/>
      <c r="D24" s="9" t="inlineStr">
        <is>
          <t>73-19919-08</t>
        </is>
      </c>
      <c r="E24" s="9" t="str"/>
      <c r="F24" s="9" t="str"/>
      <c r="G24" s="9" t="str"/>
      <c r="H24" s="9" t="str"/>
      <c r="I24" s="9" t="inlineStr">
        <is>
          <t>Para WO 000001289594 se documentaron múltiples intentos de impresión y limpieza manual entre intentos en lugar de lavadora, con residuos/cortos reportados. Lección: una PCB con impresión rechazada debe seguir el método de lavado y verificación aprobado antes de volver a imprimir. No mezclar este caso con intercambio de feeders sin evidencia específica.</t>
        </is>
      </c>
      <c r="J24" s="9" t="inlineStr">
        <is>
          <t>PCB limpia y verificada antes de reimpresión de pasta</t>
        </is>
      </c>
      <c r="K24" s="9" t="inlineStr">
        <is>
          <t>Segregar PCB con impresión rechazada, enviarla al lavado aprobado y verificar limpieza antes de reintroducirla. Registrar intentos y disposición; detener/escalar si el defecto de impresión se repite.</t>
        </is>
      </c>
      <c r="L24" s="9" t="str"/>
      <c r="M24" s="9" t="inlineStr">
        <is>
          <t>Chats ICT Short Fail 73-19919-08 / WO 000001289594, 21/08/2026. 890 unidades, 18 afectadas, 873 ICT Pass y 17 pendientes son cifras de momentos/poblaciones por conciliar. No calcular tasa con ellas.</t>
        </is>
      </c>
      <c r="N24" s="9" t="str"/>
      <c r="O24" s="9" t="inlineStr">
        <is>
          <t>Open</t>
        </is>
      </c>
      <c r="P24" s="9" t="str"/>
      <c r="Q24" s="9" t="inlineStr">
        <is>
          <t>Y</t>
        </is>
      </c>
    </row>
    <row r="25" ht="92.40000152587891" customHeight="1">
      <c r="A25" s="9" t="inlineStr">
        <is>
          <t>LL-PRESSFIT-CENTRADO</t>
        </is>
      </c>
      <c r="B25" s="9" t="inlineStr">
        <is>
          <t>PRODUCT</t>
        </is>
      </c>
      <c r="C25" s="9" t="str"/>
      <c r="D25" s="9" t="str"/>
      <c r="E25" s="9" t="str"/>
      <c r="F25" s="9" t="inlineStr">
        <is>
          <t>P1/P2</t>
        </is>
      </c>
      <c r="G25" s="9" t="str"/>
      <c r="H25" s="9" t="str"/>
      <c r="I25" s="9" t="inlineStr">
        <is>
          <t>Se reportó asentamiento incompleto de stack connectors por fuerza desigual con fixture descentrado. Se discutieron láser/gage y validación de 100 PCBA; el resumen reporta 0 fallas en VI, 5DX y PCBFT. Lección: controlar centrado y verificar altura/gap después de prensar, además de la primera pieza. PN/modelo sin recuperar y rangos dimensionales contradictorios entre chats: pendiente cotejo del reporte aprobado.</t>
        </is>
      </c>
      <c r="J25" s="9" t="inlineStr">
        <is>
          <t>Centrado del fixture y asentamiento completo después de press-fit</t>
        </is>
      </c>
      <c r="K25" s="9" t="inlineStr">
        <is>
          <t>Confirmar modelo, PN y especificación vigente antes de publicar. Verificar centrado, soporte, paralelismo y seating mediante gage aprobado. No usar 0.042 in como límite de aceptación.</t>
        </is>
      </c>
      <c r="L25" s="9" t="str"/>
      <c r="M25" s="9" t="inlineStr">
        <is>
          <t>Chats Stack connectors not fully seated / Improper Seating, 13–25/08/2026. P1/P2 en el reporte final; otro chat menciona M3/M4. La medición 0.042 in y los rangos deben cotejarse con drawing.</t>
        </is>
      </c>
      <c r="N25" s="9" t="str"/>
      <c r="O25" s="9" t="inlineStr">
        <is>
          <t>Open</t>
        </is>
      </c>
      <c r="P25" s="9" t="str"/>
      <c r="Q25" s="9" t="inlineStr">
        <is>
          <t>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T73"/>
  <sheetViews>
    <sheetView showGridLines="0" workbookViewId="0">
      <pane ySplit="1" topLeftCell="A2" activePane="bottomLeft" state="frozen"/>
      <selection pane="bottomLeft" activeCell="A1" sqref="A1"/>
    </sheetView>
  </sheetViews>
  <sheetFormatPr baseColWidth="8" defaultRowHeight="14.5"/>
  <cols>
    <col width="24" customWidth="1" min="1" max="2"/>
    <col width="18" customWidth="1" min="3" max="4"/>
    <col width="10" customWidth="1" min="5" max="6"/>
    <col width="18" customWidth="1" min="7" max="7"/>
    <col width="50" customWidth="1" min="8" max="8"/>
    <col width="16" customWidth="1" min="9" max="9"/>
    <col width="14" customWidth="1" min="10" max="10"/>
    <col width="34" customWidth="1" min="11" max="11"/>
    <col width="50" customWidth="1" min="12" max="12"/>
    <col width="10" customWidth="1" min="13" max="13"/>
    <col width="18" customWidth="1" min="14" max="14"/>
    <col width="14" customWidth="1" min="15" max="15"/>
    <col width="24" customWidth="1" min="16" max="16"/>
    <col width="20" customWidth="1" min="17" max="17"/>
    <col width="38" customWidth="1" min="18" max="18"/>
    <col width="30" customWidth="1" min="19" max="19"/>
    <col width="38" customWidth="1" min="20" max="20"/>
  </cols>
  <sheetData>
    <row r="1" ht="28" customHeight="1">
      <c r="A1" s="1" t="inlineStr">
        <is>
          <t>Action ID</t>
        </is>
      </c>
      <c r="B1" s="1" t="inlineStr">
        <is>
          <t>Finding ID</t>
        </is>
      </c>
      <c r="C1" s="1" t="inlineStr">
        <is>
          <t>Product</t>
        </is>
      </c>
      <c r="D1" s="1" t="inlineStr">
        <is>
          <t>Part Number</t>
        </is>
      </c>
      <c r="E1" s="1" t="inlineStr">
        <is>
          <t>Rev</t>
        </is>
      </c>
      <c r="F1" s="1" t="inlineStr">
        <is>
          <t>Line</t>
        </is>
      </c>
      <c r="G1" s="1" t="inlineStr">
        <is>
          <t>Owner</t>
        </is>
      </c>
      <c r="H1" s="1" t="inlineStr">
        <is>
          <t>Action</t>
        </is>
      </c>
      <c r="I1" s="1" t="inlineStr">
        <is>
          <t>Due Date</t>
        </is>
      </c>
      <c r="J1" s="1" t="inlineStr">
        <is>
          <t>Status</t>
        </is>
      </c>
      <c r="K1" s="1" t="inlineStr">
        <is>
          <t>Evidence Link</t>
        </is>
      </c>
      <c r="L1" s="1" t="inlineStr">
        <is>
          <t>Closure Note</t>
        </is>
      </c>
      <c r="M1" s="1" t="inlineStr">
        <is>
          <t>Active</t>
        </is>
      </c>
      <c r="N1" s="1" t="inlineStr">
        <is>
          <t>Component CPN</t>
        </is>
      </c>
      <c r="O1" s="1" t="inlineStr">
        <is>
          <t>RefDes</t>
        </is>
      </c>
      <c r="P1" s="1" t="inlineStr">
        <is>
          <t>Direct Component Control</t>
        </is>
      </c>
      <c r="Q1" s="1" t="inlineStr">
        <is>
          <t>Critical Category</t>
        </is>
      </c>
      <c r="R1" s="1" t="inlineStr">
        <is>
          <t>Critical Reason</t>
        </is>
      </c>
      <c r="S1" s="1" t="inlineStr">
        <is>
          <t>Critical Source</t>
        </is>
      </c>
      <c r="T1" s="1" t="inlineStr">
        <is>
          <t>Critical Condition</t>
        </is>
      </c>
    </row>
    <row r="2" ht="28" customHeight="1">
      <c r="A2" s="2" t="inlineStr">
        <is>
          <t>ACT-PICTORIS-J73-PNP</t>
        </is>
      </c>
      <c r="B2" s="2" t="inlineStr">
        <is>
          <t>LL-PICTORIS-J73</t>
        </is>
      </c>
      <c r="C2" s="2" t="inlineStr">
        <is>
          <t>PICTORIS</t>
        </is>
      </c>
      <c r="D2" s="2" t="inlineStr">
        <is>
          <t>73-103603-05</t>
        </is>
      </c>
      <c r="E2" s="2" t="inlineStr">
        <is>
          <t>B0</t>
        </is>
      </c>
      <c r="F2" s="2" t="n"/>
      <c r="G2" s="2" t="inlineStr">
        <is>
          <t>Josué Rangel</t>
        </is>
      </c>
      <c r="H2" s="2" t="inlineStr">
        <is>
          <t>Corregir la orientación de J73 en los programas P&amp;P de L13 y L17 según el plano aprobado.</t>
        </is>
      </c>
      <c r="I2" s="4" t="n"/>
      <c r="J2" s="2" t="inlineStr">
        <is>
          <t>Closed</t>
        </is>
      </c>
      <c r="K2" s="2" t="n"/>
      <c r="L2" s="2" t="inlineStr">
        <is>
          <t>Cerrado según revisión 8D: se registró la corrección de orientación en P&amp;P.</t>
        </is>
      </c>
      <c r="M2" s="2" t="inlineStr">
        <is>
          <t>Y</t>
        </is>
      </c>
      <c r="N2" s="2" t="inlineStr">
        <is>
          <t>27-100137-01</t>
        </is>
      </c>
      <c r="O2" s="2" t="inlineStr">
        <is>
          <t>J73</t>
        </is>
      </c>
      <c r="P2" s="2" t="inlineStr">
        <is>
          <t>Y</t>
        </is>
      </c>
      <c r="Q2" s="2" t="inlineStr">
        <is>
          <t>Orientación</t>
        </is>
      </c>
      <c r="R2" s="2" t="inlineStr">
        <is>
          <t>Escape previo / riesgo conocido</t>
        </is>
      </c>
      <c r="S2" s="2" t="inlineStr">
        <is>
          <t>Queja de cliente / lección 8D</t>
        </is>
      </c>
      <c r="T2" s="2" t="inlineStr">
        <is>
          <t>Orientación invertida</t>
        </is>
      </c>
    </row>
    <row r="3" ht="28" customHeight="1">
      <c r="A3" s="2" t="inlineStr">
        <is>
          <t>ACT-PICTORIS-J73-AOI</t>
        </is>
      </c>
      <c r="B3" s="2" t="inlineStr">
        <is>
          <t>LL-PICTORIS-J73</t>
        </is>
      </c>
      <c r="C3" s="2" t="inlineStr">
        <is>
          <t>PICTORIS</t>
        </is>
      </c>
      <c r="D3" s="2" t="inlineStr">
        <is>
          <t>73-103603-05</t>
        </is>
      </c>
      <c r="E3" s="2" t="inlineStr">
        <is>
          <t>B0</t>
        </is>
      </c>
      <c r="F3" s="2" t="n"/>
      <c r="G3" s="2" t="inlineStr">
        <is>
          <t>Alberto Cruz</t>
        </is>
      </c>
      <c r="H3" s="2" t="inlineStr">
        <is>
          <t>Ajustar AOI y probar una pieza correcta y otra con J73 girado 180° antes de liberar.</t>
        </is>
      </c>
      <c r="I3" s="4" t="n"/>
      <c r="J3" s="2" t="inlineStr">
        <is>
          <t>Closed</t>
        </is>
      </c>
      <c r="K3" s="2" t="n"/>
      <c r="L3" s="2" t="inlineStr">
        <is>
          <t>Cerrado según revisión 8D: se probaron piezas con orientación correcta e invertida.</t>
        </is>
      </c>
      <c r="M3" s="2" t="inlineStr">
        <is>
          <t>Y</t>
        </is>
      </c>
      <c r="N3" s="2" t="inlineStr">
        <is>
          <t>27-100137-01</t>
        </is>
      </c>
      <c r="O3" s="2" t="inlineStr">
        <is>
          <t>J73</t>
        </is>
      </c>
      <c r="P3" s="2" t="inlineStr">
        <is>
          <t>Y</t>
        </is>
      </c>
      <c r="Q3" s="2" t="inlineStr">
        <is>
          <t>Orientación</t>
        </is>
      </c>
      <c r="R3" s="2" t="inlineStr">
        <is>
          <t>Escape previo / riesgo conocido</t>
        </is>
      </c>
      <c r="S3" s="2" t="inlineStr">
        <is>
          <t>Queja de cliente / lección 8D</t>
        </is>
      </c>
      <c r="T3" s="2" t="inlineStr">
        <is>
          <t>Orientación invertida</t>
        </is>
      </c>
    </row>
    <row r="4" ht="28" customHeight="1">
      <c r="A4" s="2" t="inlineStr">
        <is>
          <t>ACT-PICTORIS-J73-REQUAL</t>
        </is>
      </c>
      <c r="B4" s="2" t="inlineStr">
        <is>
          <t>LL-PICTORIS-J73</t>
        </is>
      </c>
      <c r="C4" s="2" t="inlineStr">
        <is>
          <t>PICTORIS</t>
        </is>
      </c>
      <c r="D4" s="2" t="inlineStr">
        <is>
          <t>73-103603-05</t>
        </is>
      </c>
      <c r="E4" s="2" t="n"/>
      <c r="F4" s="2" t="n"/>
      <c r="G4" s="2" t="inlineStr">
        <is>
          <t>Carlos Martínez</t>
        </is>
      </c>
      <c r="H4" s="2" t="inlineStr">
        <is>
          <t>Al calificar o recalificar una línea, revisar orientación P&amp;P, prueba AOI correcto/invertido y primera pieza antes de liberar.</t>
        </is>
      </c>
      <c r="I4" s="4" t="n"/>
      <c r="J4" s="2" t="inlineStr">
        <is>
          <t>Open</t>
        </is>
      </c>
      <c r="K4" s="2" t="n"/>
      <c r="L4" s="2" t="n"/>
      <c r="M4" s="2" t="inlineStr">
        <is>
          <t>Y</t>
        </is>
      </c>
      <c r="N4" s="2" t="inlineStr">
        <is>
          <t>27-100137-01</t>
        </is>
      </c>
      <c r="O4" s="2" t="inlineStr">
        <is>
          <t>J73</t>
        </is>
      </c>
      <c r="P4" s="2" t="inlineStr">
        <is>
          <t>Y</t>
        </is>
      </c>
      <c r="Q4" s="2" t="inlineStr">
        <is>
          <t>Orientación</t>
        </is>
      </c>
      <c r="R4" s="2" t="inlineStr">
        <is>
          <t>Escape previo / riesgo conocido</t>
        </is>
      </c>
      <c r="S4" s="2" t="inlineStr">
        <is>
          <t>Queja de cliente / lección 8D</t>
        </is>
      </c>
      <c r="T4" s="2" t="inlineStr">
        <is>
          <t>Orientación invertida</t>
        </is>
      </c>
    </row>
    <row r="5" ht="28" customHeight="1">
      <c r="A5" s="2" t="inlineStr">
        <is>
          <t>ACT-PICTORIS-J73-TEST-COVERAGE</t>
        </is>
      </c>
      <c r="B5" s="2" t="inlineStr">
        <is>
          <t>LL-PICTORIS-J73</t>
        </is>
      </c>
      <c r="C5" s="2" t="inlineStr">
        <is>
          <t>PICTORIS</t>
        </is>
      </c>
      <c r="D5" s="2" t="inlineStr">
        <is>
          <t>73-103603-05</t>
        </is>
      </c>
      <c r="E5" s="2" t="n"/>
      <c r="F5" s="2" t="n"/>
      <c r="G5" s="2" t="inlineStr">
        <is>
          <t>David Pacheco</t>
        </is>
      </c>
      <c r="H5" s="2" t="inlineStr">
        <is>
          <t>Revisar si las pruebas detectan J73 al revés. No contar la prueba funcional como control de orientación sin evidencia.</t>
        </is>
      </c>
      <c r="I5" s="4" t="n"/>
      <c r="J5" s="2" t="inlineStr">
        <is>
          <t>Open</t>
        </is>
      </c>
      <c r="K5" s="2" t="n"/>
      <c r="L5" s="2" t="n"/>
      <c r="M5" s="2" t="inlineStr">
        <is>
          <t>Y</t>
        </is>
      </c>
      <c r="N5" s="2" t="inlineStr">
        <is>
          <t>27-100137-01</t>
        </is>
      </c>
      <c r="O5" s="2" t="inlineStr">
        <is>
          <t>J73</t>
        </is>
      </c>
      <c r="P5" s="2" t="inlineStr">
        <is>
          <t>Y</t>
        </is>
      </c>
      <c r="Q5" s="2" t="inlineStr">
        <is>
          <t>Orientación</t>
        </is>
      </c>
      <c r="R5" s="2" t="inlineStr">
        <is>
          <t>Escape previo / riesgo conocido</t>
        </is>
      </c>
      <c r="S5" s="2" t="inlineStr">
        <is>
          <t>Queja de cliente / lección 8D</t>
        </is>
      </c>
      <c r="T5" s="2" t="inlineStr">
        <is>
          <t>Orientación invertida</t>
        </is>
      </c>
    </row>
    <row r="6" ht="28" customHeight="1">
      <c r="A6" s="2" t="inlineStr">
        <is>
          <t>ACT-PICTORIS-WO-PN-REV-BLOCK</t>
        </is>
      </c>
      <c r="B6" s="2" t="inlineStr">
        <is>
          <t>LL-PICTORIS-WO-IDENTITY</t>
        </is>
      </c>
      <c r="C6" s="2" t="inlineStr">
        <is>
          <t>PICTORIS</t>
        </is>
      </c>
      <c r="D6" s="2" t="inlineStr">
        <is>
          <t>73-103603-05</t>
        </is>
      </c>
      <c r="E6" s="2" t="n"/>
      <c r="F6" s="2" t="n"/>
      <c r="G6" s="2" t="inlineStr">
        <is>
          <t>Planeación / PM</t>
        </is>
      </c>
      <c r="H6" s="2" t="inlineStr">
        <is>
          <t>Agregar un bloqueo para impedir crear o liberar órdenes con número de parte o revisión incorrectos.</t>
        </is>
      </c>
      <c r="I6" s="4" t="n"/>
      <c r="J6" s="2" t="inlineStr">
        <is>
          <t>Open</t>
        </is>
      </c>
      <c r="K6" s="2" t="n"/>
      <c r="L6" s="2" t="n"/>
      <c r="M6" s="2" t="inlineStr">
        <is>
          <t>Y</t>
        </is>
      </c>
      <c r="N6" s="2" t="n"/>
      <c r="O6" s="2" t="n"/>
      <c r="P6" s="2" t="n"/>
      <c r="Q6" s="2" t="n"/>
      <c r="R6" s="2" t="n"/>
      <c r="S6" s="2" t="n"/>
      <c r="T6" s="2" t="n"/>
    </row>
    <row r="7" ht="28" customHeight="1">
      <c r="A7" s="2" t="inlineStr">
        <is>
          <t>ACT-PICTORIS-WO-FIRST-PIECE-ID</t>
        </is>
      </c>
      <c r="B7" s="2" t="inlineStr">
        <is>
          <t>LL-PICTORIS-WO-IDENTITY</t>
        </is>
      </c>
      <c r="C7" s="2" t="inlineStr">
        <is>
          <t>PICTORIS</t>
        </is>
      </c>
      <c r="D7" s="2" t="inlineStr">
        <is>
          <t>73-103603-05</t>
        </is>
      </c>
      <c r="E7" s="2" t="n"/>
      <c r="F7" s="2" t="n"/>
      <c r="G7" s="2" t="inlineStr">
        <is>
          <t>Planeación / PM</t>
        </is>
      </c>
      <c r="H7" s="2" t="inlineStr">
        <is>
          <t>Antes de producir, confirmar modelo, número de parte y revisión en la primera pieza. Corregir cualquier diferencia en la orden.</t>
        </is>
      </c>
      <c r="I7" s="4" t="n"/>
      <c r="J7" s="2" t="inlineStr">
        <is>
          <t>Open</t>
        </is>
      </c>
      <c r="K7" s="2" t="n"/>
      <c r="L7" s="2" t="n"/>
      <c r="M7" s="2" t="inlineStr">
        <is>
          <t>Y</t>
        </is>
      </c>
      <c r="N7" s="2" t="n"/>
      <c r="O7" s="2" t="n"/>
      <c r="P7" s="2" t="n"/>
      <c r="Q7" s="2" t="n"/>
      <c r="R7" s="2" t="n"/>
      <c r="S7" s="2" t="n"/>
      <c r="T7" s="2" t="n"/>
    </row>
    <row r="8" ht="28" customHeight="1">
      <c r="A8" s="2" t="inlineStr">
        <is>
          <t>ACT-BAYFRONT-BOM-LOADLIST-CHECK</t>
        </is>
      </c>
      <c r="B8" s="2" t="inlineStr">
        <is>
          <t>LL-BAYFRONT-BOM-LOADLIST</t>
        </is>
      </c>
      <c r="C8" s="2" t="inlineStr">
        <is>
          <t>BAYFRONT</t>
        </is>
      </c>
      <c r="D8" s="2" t="inlineStr">
        <is>
          <t>73-103826-05</t>
        </is>
      </c>
      <c r="E8" s="2" t="n"/>
      <c r="F8" s="2" t="n"/>
      <c r="G8" s="2" t="inlineStr">
        <is>
          <t>Programación / Calidad</t>
        </is>
      </c>
      <c r="H8" s="2" t="inlineStr">
        <is>
          <t>Comparar automáticamente número de parte, posición, cantidad y revisión entre BOM y lista de carga antes de aprobar.</t>
        </is>
      </c>
      <c r="I8" s="4" t="n"/>
      <c r="J8" s="2" t="inlineStr">
        <is>
          <t>Open</t>
        </is>
      </c>
      <c r="K8" s="2" t="n"/>
      <c r="L8" s="2" t="n"/>
      <c r="M8" s="2" t="inlineStr">
        <is>
          <t>Y</t>
        </is>
      </c>
      <c r="N8" s="2" t="n"/>
      <c r="O8" s="2" t="n"/>
      <c r="P8" s="2" t="n"/>
      <c r="Q8" s="2" t="n"/>
      <c r="R8" s="2" t="n"/>
      <c r="S8" s="2" t="n"/>
      <c r="T8" s="2" t="n"/>
    </row>
    <row r="9" ht="28" customHeight="1">
      <c r="A9" s="2" t="inlineStr">
        <is>
          <t>ACT-ARATA-U58-CONFIG-GATE</t>
        </is>
      </c>
      <c r="B9" s="2" t="inlineStr">
        <is>
          <t>LL-ARATA-ODM-CONFIG</t>
        </is>
      </c>
      <c r="C9" s="2" t="inlineStr">
        <is>
          <t>ARATA</t>
        </is>
      </c>
      <c r="D9" s="2" t="inlineStr">
        <is>
          <t>74-133408-02</t>
        </is>
      </c>
      <c r="E9" s="2" t="inlineStr">
        <is>
          <t>B0</t>
        </is>
      </c>
      <c r="F9" s="2" t="n"/>
      <c r="G9" s="2" t="inlineStr">
        <is>
          <t>Planeación / Producto / SMT / ICT</t>
        </is>
      </c>
      <c r="H9" s="2" t="inlineStr">
        <is>
          <t>Registrar U58, revisión y documento de cambio en la orden. Completar la revisión conjunta antes de liberar.</t>
        </is>
      </c>
      <c r="I9" s="4" t="n"/>
      <c r="J9" s="2" t="inlineStr">
        <is>
          <t>Open</t>
        </is>
      </c>
      <c r="K9" s="2" t="n"/>
      <c r="L9" s="2" t="n"/>
      <c r="M9" s="2" t="inlineStr">
        <is>
          <t>Y</t>
        </is>
      </c>
      <c r="N9" s="2" t="n"/>
      <c r="O9" s="2" t="n"/>
      <c r="P9" s="2" t="n"/>
      <c r="Q9" s="2" t="n"/>
      <c r="R9" s="2" t="n"/>
      <c r="S9" s="2" t="n"/>
      <c r="T9" s="2" t="n"/>
    </row>
    <row r="10" ht="28" customHeight="1">
      <c r="A10" s="2" t="inlineStr">
        <is>
          <t>ACT-ARATA-ICT-CHANGE-VALIDATION</t>
        </is>
      </c>
      <c r="B10" s="2" t="inlineStr">
        <is>
          <t>LL-ARATA-ODM-CONFIG</t>
        </is>
      </c>
      <c r="C10" s="2" t="inlineStr">
        <is>
          <t>ARATA</t>
        </is>
      </c>
      <c r="D10" s="2" t="inlineStr">
        <is>
          <t>74-133408-02</t>
        </is>
      </c>
      <c r="E10" s="2" t="inlineStr">
        <is>
          <t>B0</t>
        </is>
      </c>
      <c r="F10" s="2" t="n"/>
      <c r="G10" s="2" t="inlineStr">
        <is>
          <t>ICT / Planeación / SMT</t>
        </is>
      </c>
      <c r="H10" s="2" t="inlineStr">
        <is>
          <t>Antes de liberar un cambio, confirmar que ICT tenga las pruebas correctas para la configuración física, incluida U602 cuando aplique.</t>
        </is>
      </c>
      <c r="I10" s="4" t="n"/>
      <c r="J10" s="2" t="inlineStr">
        <is>
          <t>Open</t>
        </is>
      </c>
      <c r="K10" s="2" t="n"/>
      <c r="L10" s="2" t="n"/>
      <c r="M10" s="2" t="inlineStr">
        <is>
          <t>Y</t>
        </is>
      </c>
      <c r="N10" s="2" t="n"/>
      <c r="O10" s="2" t="n"/>
      <c r="P10" s="2" t="n"/>
      <c r="Q10" s="2" t="n"/>
      <c r="R10" s="2" t="n"/>
      <c r="S10" s="2" t="n"/>
      <c r="T10" s="2" t="n"/>
    </row>
    <row r="11" ht="28" customHeight="1">
      <c r="A11" s="2" t="inlineStr">
        <is>
          <t>ACT-ARATA-REFDES-CLOSEOUT</t>
        </is>
      </c>
      <c r="B11" s="2" t="inlineStr">
        <is>
          <t>LL-ARATA-ODM-CONFIG</t>
        </is>
      </c>
      <c r="C11" s="2" t="inlineStr">
        <is>
          <t>ARATA</t>
        </is>
      </c>
      <c r="D11" s="2" t="inlineStr">
        <is>
          <t>74-133408-02</t>
        </is>
      </c>
      <c r="E11" s="2" t="inlineStr">
        <is>
          <t>B0</t>
        </is>
      </c>
      <c r="F11" s="2" t="n"/>
      <c r="G11" s="2" t="inlineStr">
        <is>
          <t>SMT / ICT</t>
        </is>
      </c>
      <c r="H11" s="2" t="inlineStr">
        <is>
          <t>Antes de liberar la orden, revisar cada posición afectada y confirmar el cambio físico y las pruebas correspondientes.</t>
        </is>
      </c>
      <c r="I11" s="4" t="n"/>
      <c r="J11" s="2" t="inlineStr">
        <is>
          <t>Open</t>
        </is>
      </c>
      <c r="K11" s="2" t="n"/>
      <c r="L11" s="2" t="n"/>
      <c r="M11" s="2" t="inlineStr">
        <is>
          <t>Y</t>
        </is>
      </c>
      <c r="N11" s="2" t="n"/>
      <c r="O11" s="2" t="n"/>
      <c r="P11" s="2" t="n"/>
      <c r="Q11" s="2" t="n"/>
      <c r="R11" s="2" t="n"/>
      <c r="S11" s="2" t="n"/>
      <c r="T11" s="2" t="n"/>
    </row>
    <row r="12" ht="28" customHeight="1">
      <c r="A12" s="2" t="inlineStr">
        <is>
          <t>ACT-TAYLOR-PNP-DEBUG</t>
        </is>
      </c>
      <c r="B12" s="2" t="inlineStr">
        <is>
          <t>LL-TAYLOR-LARGE-BODY-CLEARANCE</t>
        </is>
      </c>
      <c r="C12" s="2" t="inlineStr">
        <is>
          <t>TAYLOR</t>
        </is>
      </c>
      <c r="D12" s="2" t="n"/>
      <c r="E12" s="2" t="n"/>
      <c r="F12" s="2" t="n"/>
      <c r="G12" s="2" t="inlineStr">
        <is>
          <t>Josué Rangel</t>
        </is>
      </c>
      <c r="H12" s="2" t="inlineStr">
        <is>
          <t>Revisar las zonas críticas en el modo de ajuste P&amp;P. Confirmar pieza, centrado, posición, ángulo y separación con muestras buenas y malas.</t>
        </is>
      </c>
      <c r="I12" s="4" t="n"/>
      <c r="J12" s="2" t="inlineStr">
        <is>
          <t>Open</t>
        </is>
      </c>
      <c r="K12" s="2" t="n"/>
      <c r="L12" s="2" t="n"/>
      <c r="M12" s="2" t="inlineStr">
        <is>
          <t>Y</t>
        </is>
      </c>
      <c r="N12" s="2" t="n"/>
      <c r="O12" s="2" t="n"/>
      <c r="P12" s="2" t="n"/>
      <c r="Q12" s="2" t="n"/>
      <c r="R12" s="2" t="n"/>
      <c r="S12" s="2" t="n"/>
      <c r="T12" s="2" t="n"/>
    </row>
    <row r="13" ht="28" customHeight="1">
      <c r="A13" s="2" t="inlineStr">
        <is>
          <t>ACT-TAYLOR-AOI-CLEARANCE</t>
        </is>
      </c>
      <c r="B13" s="2" t="inlineStr">
        <is>
          <t>LL-TAYLOR-LARGE-BODY-CLEARANCE</t>
        </is>
      </c>
      <c r="C13" s="2" t="inlineStr">
        <is>
          <t>TAYLOR</t>
        </is>
      </c>
      <c r="D13" s="2" t="n"/>
      <c r="E13" s="2" t="n"/>
      <c r="F13" s="2" t="n"/>
      <c r="G13" s="2" t="inlineStr">
        <is>
          <t>José Cruz</t>
        </is>
      </c>
      <c r="H13" s="2" t="inlineStr">
        <is>
          <t>Ajustar AOI para revisar las posiciones críticas con muestras buenas y malas. Si no puede detectarlo, documentar otro método de inspección.</t>
        </is>
      </c>
      <c r="I13" s="4" t="n"/>
      <c r="J13" s="2" t="inlineStr">
        <is>
          <t>Open</t>
        </is>
      </c>
      <c r="K13" s="2" t="n"/>
      <c r="L13" s="2" t="n"/>
      <c r="M13" s="2" t="inlineStr">
        <is>
          <t>Y</t>
        </is>
      </c>
      <c r="N13" s="2" t="n"/>
      <c r="O13" s="2" t="n"/>
      <c r="P13" s="2" t="n"/>
      <c r="Q13" s="2" t="n"/>
      <c r="R13" s="2" t="n"/>
      <c r="S13" s="2" t="n"/>
      <c r="T13" s="2" t="n"/>
    </row>
    <row r="14" ht="28" customHeight="1">
      <c r="A14" s="2" t="inlineStr">
        <is>
          <t>ACT-TAYLOR-AVL-BODY-ENVELOPE</t>
        </is>
      </c>
      <c r="B14" s="2" t="inlineStr">
        <is>
          <t>LL-TAYLOR-LARGE-BODY-CLEARANCE</t>
        </is>
      </c>
      <c r="C14" s="2" t="inlineStr">
        <is>
          <t>TAYLOR</t>
        </is>
      </c>
      <c r="D14" s="2" t="n"/>
      <c r="E14" s="2" t="n"/>
      <c r="F14" s="2" t="n"/>
      <c r="G14" s="2" t="inlineStr">
        <is>
          <t>Carlos Martínez</t>
        </is>
      </c>
      <c r="H14" s="2" t="inlineStr">
        <is>
          <t>Limitar las piezas grandes a tamaños aprobados para mantener la separación. Volver a revisar si cambia proveedor o modelo.</t>
        </is>
      </c>
      <c r="I14" s="4" t="n"/>
      <c r="J14" s="2" t="inlineStr">
        <is>
          <t>Open</t>
        </is>
      </c>
      <c r="K14" s="2" t="n"/>
      <c r="L14" s="2" t="n"/>
      <c r="M14" s="2" t="inlineStr">
        <is>
          <t>Y</t>
        </is>
      </c>
      <c r="N14" s="2" t="n"/>
      <c r="O14" s="2" t="n"/>
      <c r="P14" s="2" t="n"/>
      <c r="Q14" s="2" t="n"/>
      <c r="R14" s="2" t="n"/>
      <c r="S14" s="2" t="n"/>
      <c r="T14" s="2" t="n"/>
    </row>
    <row r="15" ht="28" customHeight="1">
      <c r="A15" s="2" t="inlineStr">
        <is>
          <t>ACT-TAYLOR-XRAY-2000</t>
        </is>
      </c>
      <c r="B15" s="2" t="inlineStr">
        <is>
          <t>LL-TAYLOR-LARGE-BODY-CLEARANCE</t>
        </is>
      </c>
      <c r="C15" s="2" t="inlineStr">
        <is>
          <t>TAYLOR</t>
        </is>
      </c>
      <c r="D15" s="2" t="n"/>
      <c r="E15" s="2" t="n"/>
      <c r="F15" s="2" t="n"/>
      <c r="G15" s="2" t="n"/>
      <c r="H15" s="2" t="inlineStr">
        <is>
          <t>Inspeccionar con rayos X las primeras 2,000 piezas de validación y vigilar las zonas críticas.</t>
        </is>
      </c>
      <c r="I15" s="4" t="n"/>
      <c r="J15" s="2" t="inlineStr">
        <is>
          <t>Monitoring</t>
        </is>
      </c>
      <c r="K15" s="2" t="n"/>
      <c r="L15" s="2" t="n"/>
      <c r="M15" s="2" t="inlineStr">
        <is>
          <t>Y</t>
        </is>
      </c>
      <c r="N15" s="2" t="n"/>
      <c r="O15" s="2" t="n"/>
      <c r="P15" s="2" t="n"/>
      <c r="Q15" s="2" t="n"/>
      <c r="R15" s="2" t="n"/>
      <c r="S15" s="2" t="n"/>
      <c r="T15" s="2" t="n"/>
    </row>
    <row r="16" ht="52.79999923706055" customHeight="1">
      <c r="A16" s="2" t="inlineStr">
        <is>
          <t>ACT-NIXIE-PNP-NOZZLE-STANDARD</t>
        </is>
      </c>
      <c r="B16" s="2" t="inlineStr">
        <is>
          <t>LL-NIXIE-MIC-SEATING</t>
        </is>
      </c>
      <c r="C16" s="2" t="inlineStr">
        <is>
          <t>NIXIE</t>
        </is>
      </c>
      <c r="D16" s="2" t="n"/>
      <c r="E16" s="2" t="n"/>
      <c r="F16" s="2" t="n"/>
      <c r="G16" s="2" t="inlineStr">
        <is>
          <t>SMT-P&amp;P</t>
        </is>
      </c>
      <c r="H16" s="2" t="inlineStr">
        <is>
          <t>Definir la boquilla y los ajustes P&amp;P del micrófono según la hoja del proveedor. Controlar la presión al colocarlo.</t>
        </is>
      </c>
      <c r="I16" s="4" t="n"/>
      <c r="J16" s="2" t="inlineStr">
        <is>
          <t>Open</t>
        </is>
      </c>
      <c r="K16" s="2" t="inlineStr">
        <is>
          <t>https://chatgpt.com/c/6ab960a3-208c-83e8-8009-8c18a39dd451</t>
        </is>
      </c>
      <c r="L16" s="2" t="n"/>
      <c r="M16" s="2" t="inlineStr">
        <is>
          <t>Y</t>
        </is>
      </c>
      <c r="N16" s="2" t="n"/>
      <c r="O16" s="2" t="n"/>
      <c r="P16" s="2" t="n"/>
      <c r="Q16" s="2" t="n"/>
      <c r="R16" s="2" t="n"/>
      <c r="S16" s="2" t="n"/>
      <c r="T16" s="2" t="n"/>
    </row>
    <row r="17" ht="52.79999923706055" customHeight="1">
      <c r="A17" s="2" t="inlineStr">
        <is>
          <t>ACT-NIXIE-GETTOP-WK10-SAFELAUNCH</t>
        </is>
      </c>
      <c r="B17" s="2" t="inlineStr">
        <is>
          <t>LL-NIXIE-MIC-SEATING</t>
        </is>
      </c>
      <c r="C17" s="2" t="inlineStr">
        <is>
          <t>NIXIE</t>
        </is>
      </c>
      <c r="D17" s="2" t="n"/>
      <c r="E17" s="2" t="n"/>
      <c r="F17" s="2" t="n"/>
      <c r="G17" s="2" t="inlineStr">
        <is>
          <t>Quality / Carlos Martínez</t>
        </is>
      </c>
      <c r="H17" s="2" t="inlineStr">
        <is>
          <t>Durante la validación WK10 / WO1290100, usar solo GETTOP MD-HRA261-H10-2 y mantener MERRY bloqueado. Revisar después de colocar y soldar.</t>
        </is>
      </c>
      <c r="I17" s="4" t="n"/>
      <c r="J17" s="2" t="inlineStr">
        <is>
          <t>Monitoring</t>
        </is>
      </c>
      <c r="K17" s="2" t="inlineStr">
        <is>
          <t>https://chatgpt.com/c/6ab960a3-208c-83e8-8009-8c18a39dd451</t>
        </is>
      </c>
      <c r="L17" s="2" t="n"/>
      <c r="M17" s="2" t="inlineStr">
        <is>
          <t>Y</t>
        </is>
      </c>
      <c r="N17" s="2" t="n"/>
      <c r="O17" s="2" t="n"/>
      <c r="P17" s="2" t="n"/>
      <c r="Q17" s="2" t="n"/>
      <c r="R17" s="2" t="n"/>
      <c r="S17" s="2" t="n"/>
      <c r="T17" s="2" t="n"/>
    </row>
    <row r="18" ht="28" customHeight="1">
      <c r="A18" s="2" t="inlineStr">
        <is>
          <t>ACT-TUFNELL-HI-BLOCK-TOSHIBA</t>
        </is>
      </c>
      <c r="B18" s="2" t="inlineStr">
        <is>
          <t>LL-TUFNELL-DEVIATION-SCOPE-HI</t>
        </is>
      </c>
      <c r="C18" s="2" t="inlineStr">
        <is>
          <t>TUFNELL PARK</t>
        </is>
      </c>
      <c r="D18" s="2" t="inlineStr">
        <is>
          <t>73-20247-06</t>
        </is>
      </c>
      <c r="E18" s="2" t="n"/>
      <c r="F18" s="2" t="n"/>
      <c r="G18" s="2" t="n"/>
      <c r="H18" s="2" t="inlineStr">
        <is>
          <t>Bloquear material Toshiba para NGFWBU hasta corregir el alcance de la desviación. La aprobación de CRBU no autoriza su uso en NGFWBU.</t>
        </is>
      </c>
      <c r="I18" s="4" t="n"/>
      <c r="J18" s="2" t="inlineStr">
        <is>
          <t>Monitoring</t>
        </is>
      </c>
      <c r="K18" s="2" t="n"/>
      <c r="L18" s="2" t="n"/>
      <c r="M18" s="2" t="inlineStr">
        <is>
          <t>Y</t>
        </is>
      </c>
      <c r="N18" s="2" t="inlineStr">
        <is>
          <t>15-102981-01; 15-102981-02</t>
        </is>
      </c>
      <c r="O18" s="2" t="inlineStr">
        <is>
          <t>U23</t>
        </is>
      </c>
      <c r="P18" s="2" t="inlineStr">
        <is>
          <t>Y</t>
        </is>
      </c>
      <c r="Q18" s="2" t="n"/>
      <c r="R18" s="2" t="n"/>
      <c r="S18" s="2" t="inlineStr">
        <is>
          <t>Análisis de desviación CRBU / NGFWBU</t>
        </is>
      </c>
      <c r="T18" s="2" t="n"/>
    </row>
    <row r="19" ht="28" customHeight="1">
      <c r="A19" s="2" t="inlineStr">
        <is>
          <t>ACT-TUFNELL-HI-DEVIATION-SCOPE</t>
        </is>
      </c>
      <c r="B19" s="2" t="inlineStr">
        <is>
          <t>LL-TUFNELL-DEVIATION-SCOPE-HI</t>
        </is>
      </c>
      <c r="C19" s="2" t="inlineStr">
        <is>
          <t>TUFNELL PARK</t>
        </is>
      </c>
      <c r="D19" s="2" t="inlineStr">
        <is>
          <t>73-20247-06</t>
        </is>
      </c>
      <c r="E19" s="2" t="n"/>
      <c r="F19" s="2" t="n"/>
      <c r="G19" s="2" t="n"/>
      <c r="H19" s="2" t="inlineStr">
        <is>
          <t>Antes de aplicar una desviación, confirmar unidad de negocio, producto y orden. Si no coinciden, mantener el bloqueo en SAP.</t>
        </is>
      </c>
      <c r="I19" s="4" t="n"/>
      <c r="J19" s="2" t="inlineStr">
        <is>
          <t>Open</t>
        </is>
      </c>
      <c r="K19" s="2" t="n"/>
      <c r="L19" s="2" t="n"/>
      <c r="M19" s="2" t="inlineStr">
        <is>
          <t>Y</t>
        </is>
      </c>
      <c r="N19" s="2" t="inlineStr">
        <is>
          <t>15-102981-01; 15-102981-02</t>
        </is>
      </c>
      <c r="O19" s="2" t="inlineStr">
        <is>
          <t>U23</t>
        </is>
      </c>
      <c r="P19" s="2" t="inlineStr">
        <is>
          <t>Y</t>
        </is>
      </c>
      <c r="Q19" s="2" t="n"/>
      <c r="R19" s="2" t="n"/>
      <c r="S19" s="2" t="inlineStr">
        <is>
          <t>Análisis de desviación CRBU / NGFWBU</t>
        </is>
      </c>
      <c r="T19" s="2" t="n"/>
    </row>
    <row r="20" ht="28" customHeight="1">
      <c r="A20" s="2" t="inlineStr">
        <is>
          <t>ACT-TUFNELL-LO-BLOCK-TOSHIBA</t>
        </is>
      </c>
      <c r="B20" s="2" t="inlineStr">
        <is>
          <t>LL-TUFNELL-DEVIATION-SCOPE-LO</t>
        </is>
      </c>
      <c r="C20" s="2" t="inlineStr">
        <is>
          <t>TUFNELL PARK</t>
        </is>
      </c>
      <c r="D20" s="2" t="inlineStr">
        <is>
          <t>73-20249-06</t>
        </is>
      </c>
      <c r="E20" s="2" t="n"/>
      <c r="F20" s="2" t="n"/>
      <c r="G20" s="2" t="n"/>
      <c r="H20" s="2" t="inlineStr">
        <is>
          <t>Bloquear material Toshiba para NGFWBU hasta corregir el alcance de la desviación. La aprobación de CRBU no autoriza su uso en NGFWBU.</t>
        </is>
      </c>
      <c r="I20" s="4" t="n"/>
      <c r="J20" s="2" t="inlineStr">
        <is>
          <t>Monitoring</t>
        </is>
      </c>
      <c r="K20" s="2" t="n"/>
      <c r="L20" s="2" t="n"/>
      <c r="M20" s="2" t="inlineStr">
        <is>
          <t>Y</t>
        </is>
      </c>
      <c r="N20" s="2" t="inlineStr">
        <is>
          <t>15-102981-01; 15-102981-02</t>
        </is>
      </c>
      <c r="O20" s="2" t="inlineStr">
        <is>
          <t>U23</t>
        </is>
      </c>
      <c r="P20" s="2" t="inlineStr">
        <is>
          <t>Y</t>
        </is>
      </c>
      <c r="Q20" s="2" t="n"/>
      <c r="R20" s="2" t="n"/>
      <c r="S20" s="2" t="inlineStr">
        <is>
          <t>Análisis de desviación CRBU / NGFWBU</t>
        </is>
      </c>
      <c r="T20" s="2" t="n"/>
    </row>
    <row r="21" ht="28" customHeight="1">
      <c r="A21" s="2" t="inlineStr">
        <is>
          <t>ACT-TUFNELL-LO-DEVIATION-SCOPE</t>
        </is>
      </c>
      <c r="B21" s="2" t="inlineStr">
        <is>
          <t>LL-TUFNELL-DEVIATION-SCOPE-LO</t>
        </is>
      </c>
      <c r="C21" s="2" t="inlineStr">
        <is>
          <t>TUFNELL PARK</t>
        </is>
      </c>
      <c r="D21" s="2" t="inlineStr">
        <is>
          <t>73-20249-06</t>
        </is>
      </c>
      <c r="E21" s="2" t="n"/>
      <c r="F21" s="2" t="n"/>
      <c r="G21" s="2" t="n"/>
      <c r="H21" s="2" t="inlineStr">
        <is>
          <t>Antes de aplicar una desviación, confirmar unidad de negocio, producto y orden. Si no coinciden, mantener el bloqueo en SAP.</t>
        </is>
      </c>
      <c r="I21" s="4" t="n"/>
      <c r="J21" s="2" t="inlineStr">
        <is>
          <t>Open</t>
        </is>
      </c>
      <c r="K21" s="2" t="n"/>
      <c r="L21" s="2" t="n"/>
      <c r="M21" s="2" t="inlineStr">
        <is>
          <t>Y</t>
        </is>
      </c>
      <c r="N21" s="2" t="inlineStr">
        <is>
          <t>15-102981-01; 15-102981-02</t>
        </is>
      </c>
      <c r="O21" s="2" t="inlineStr">
        <is>
          <t>U23</t>
        </is>
      </c>
      <c r="P21" s="2" t="inlineStr">
        <is>
          <t>Y</t>
        </is>
      </c>
      <c r="Q21" s="2" t="n"/>
      <c r="R21" s="2" t="n"/>
      <c r="S21" s="2" t="inlineStr">
        <is>
          <t>Análisis de desviación CRBU / NGFWBU</t>
        </is>
      </c>
      <c r="T21" s="2" t="n"/>
    </row>
    <row r="22" ht="28" customHeight="1">
      <c r="A22" s="2" t="inlineStr">
        <is>
          <t>ACT-CHARON-CR95-SOP-VISUAL</t>
        </is>
      </c>
      <c r="B22" s="2" t="inlineStr">
        <is>
          <t>LL-CHARON-CR95-POLARITY</t>
        </is>
      </c>
      <c r="C22" s="2" t="inlineStr">
        <is>
          <t>CHARON</t>
        </is>
      </c>
      <c r="D22" s="2" t="n"/>
      <c r="E22" s="2" t="n"/>
      <c r="F22" s="2" t="n"/>
      <c r="G22" s="2" t="n"/>
      <c r="H22" s="2" t="inlineStr">
        <is>
          <t>Agregar una ayuda visual al procedimiento SMT para CR95. Confirmar en producción que la marca verde quede opuesta a la marca de polaridad de la tablilla.</t>
        </is>
      </c>
      <c r="I22" s="4" t="n"/>
      <c r="J22" s="2" t="inlineStr">
        <is>
          <t>Closed</t>
        </is>
      </c>
      <c r="K22" s="2" t="n"/>
      <c r="L22" s="2" t="inlineStr">
        <is>
          <t>La revisión posterior indicó que la ayuda visual se cerró durante NPI. La marca verde indica ánodo y va opuesta al silkscreen.</t>
        </is>
      </c>
      <c r="M22" s="2" t="inlineStr">
        <is>
          <t>Y</t>
        </is>
      </c>
      <c r="N22" s="2" t="inlineStr">
        <is>
          <t>25-100369-01</t>
        </is>
      </c>
      <c r="O22" s="2" t="inlineStr">
        <is>
          <t>CR95</t>
        </is>
      </c>
      <c r="P22" s="2" t="inlineStr">
        <is>
          <t>Y</t>
        </is>
      </c>
      <c r="Q22" s="2" t="inlineStr">
        <is>
          <t>Orientación</t>
        </is>
      </c>
      <c r="R22" s="2" t="inlineStr">
        <is>
          <t>Lección aprendida / riesgo conocido</t>
        </is>
      </c>
      <c r="S22" s="2" t="inlineStr">
        <is>
          <t>Revisión del caso Charon / correo de polaridad CR95</t>
        </is>
      </c>
      <c r="T22" s="2" t="inlineStr">
        <is>
          <t>Orientación contraria al silkscreen</t>
        </is>
      </c>
    </row>
    <row r="23" ht="39.5" customHeight="1">
      <c r="A23" s="9" t="inlineStr">
        <is>
          <t>ACT-PICTORIS-BOTON-FLUX-PROTEGER</t>
        </is>
      </c>
      <c r="B23" s="9" t="inlineStr">
        <is>
          <t>LL-PICTORIS-BOTON-FLUX</t>
        </is>
      </c>
      <c r="C23" s="9" t="inlineStr">
        <is>
          <t>PICTORIS</t>
        </is>
      </c>
      <c r="D23" s="9" t="n"/>
      <c r="E23" s="9" t="n"/>
      <c r="F23" s="9" t="n"/>
      <c r="G23" s="9" t="n"/>
      <c r="H23" s="9" t="inlineStr">
        <is>
          <t>No aplicar flux al botón, su cuerpo ni sus aberturas. Cubrir con Kapton toda el área de conectores y proteger el botón sin presionar el actuador. Mantener la protección durante el retrabajo.</t>
        </is>
      </c>
      <c r="I23" s="9" t="n"/>
      <c r="J23" s="9" t="inlineStr">
        <is>
          <t>Open</t>
        </is>
      </c>
      <c r="K23" s="9" t="n"/>
      <c r="L23" s="9" t="n"/>
      <c r="M23" s="9" t="inlineStr">
        <is>
          <t>Y</t>
        </is>
      </c>
      <c r="N23" s="2" t="inlineStr">
        <is>
          <t>22-100214-01</t>
        </is>
      </c>
      <c r="O23" s="2" t="inlineStr">
        <is>
          <t>S1</t>
        </is>
      </c>
      <c r="P23" s="2" t="inlineStr">
        <is>
          <t>Y</t>
        </is>
      </c>
      <c r="Q23" s="2" t="n"/>
      <c r="R23" s="2" t="n"/>
      <c r="S23" s="2" t="inlineStr">
        <is>
          <t>Alerta de calidad CVEBU QAF350 Rev03. Experimento y criterios reportados el 30/09/2026.</t>
        </is>
      </c>
      <c r="T23" s="2" t="n"/>
    </row>
    <row r="24" ht="66" customHeight="1">
      <c r="A24" s="9" t="inlineStr">
        <is>
          <t>ACT-PICTORIS-BOTON-FLUX-REEMPLAZAR</t>
        </is>
      </c>
      <c r="B24" s="9" t="inlineStr">
        <is>
          <t>LL-PICTORIS-BOTON-FLUX</t>
        </is>
      </c>
      <c r="C24" s="9" t="inlineStr">
        <is>
          <t>PICTORIS</t>
        </is>
      </c>
      <c r="D24" s="9" t="n"/>
      <c r="E24" s="9" t="n"/>
      <c r="F24" s="9" t="n"/>
      <c r="G24" s="9" t="n"/>
      <c r="H24" s="9" t="inlineStr">
        <is>
          <t>Inspeccionar el botón al 100 % antes y después del retrabajo. Si está húmedo por flux, pegajoso o con residuos, rechazar la unidad y reemplazar el componente completo por el método aprobado. No esperar a que se pegue. La limpieza o el funcionamiento temporal no sustituyen el reemplazo.</t>
        </is>
      </c>
      <c r="I24" s="9" t="n"/>
      <c r="J24" s="9" t="inlineStr">
        <is>
          <t>Open</t>
        </is>
      </c>
      <c r="K24" s="9" t="n"/>
      <c r="L24" s="9" t="n"/>
      <c r="M24" s="9" t="inlineStr">
        <is>
          <t>Y</t>
        </is>
      </c>
      <c r="N24" s="2" t="inlineStr">
        <is>
          <t>22-100214-01</t>
        </is>
      </c>
      <c r="O24" s="2" t="inlineStr">
        <is>
          <t>S1</t>
        </is>
      </c>
      <c r="P24" s="2" t="inlineStr">
        <is>
          <t>Y</t>
        </is>
      </c>
      <c r="Q24" s="2" t="n"/>
      <c r="R24" s="2" t="n"/>
      <c r="S24" s="2" t="inlineStr">
        <is>
          <t>Alerta de calidad CVEBU QAF350 Rev03. Experimento y criterios reportados el 30/09/2026.</t>
        </is>
      </c>
      <c r="T24" s="2" t="n"/>
    </row>
    <row r="25" ht="52.75" customHeight="1">
      <c r="A25" s="9" t="inlineStr">
        <is>
          <t>ACT-PICTORIS-BOTON-FLUX-VERIFICAR</t>
        </is>
      </c>
      <c r="B25" s="9" t="inlineStr">
        <is>
          <t>LL-PICTORIS-BOTON-FLUX</t>
        </is>
      </c>
      <c r="C25" s="9" t="inlineStr">
        <is>
          <t>PICTORIS</t>
        </is>
      </c>
      <c r="D25" s="9" t="n"/>
      <c r="E25" s="9" t="n"/>
      <c r="F25" s="9" t="n"/>
      <c r="G25" s="9" t="n"/>
      <c r="H25" s="9" t="inlineStr">
        <is>
          <t>Después del reemplazo, comprobar limpieza, accionamiento y retorno del botón. Ejecutar la prueba funcional aplicable y registrar el reemplazo y resultado por número de serie antes de liberar la unidad.</t>
        </is>
      </c>
      <c r="I25" s="9" t="n"/>
      <c r="J25" s="9" t="inlineStr">
        <is>
          <t>Open</t>
        </is>
      </c>
      <c r="K25" s="9" t="n"/>
      <c r="L25" s="9" t="n"/>
      <c r="M25" s="9" t="inlineStr">
        <is>
          <t>Y</t>
        </is>
      </c>
      <c r="N25" s="2" t="inlineStr">
        <is>
          <t>22-100214-01</t>
        </is>
      </c>
      <c r="O25" s="2" t="inlineStr">
        <is>
          <t>S1</t>
        </is>
      </c>
      <c r="P25" s="2" t="inlineStr">
        <is>
          <t>Y</t>
        </is>
      </c>
      <c r="Q25" s="2" t="n"/>
      <c r="R25" s="2" t="n"/>
      <c r="S25" s="2" t="inlineStr">
        <is>
          <t>Alerta de calidad CVEBU QAF350 Rev03. Experimento y criterios reportados el 30/09/2026.</t>
        </is>
      </c>
      <c r="T25" s="2" t="n"/>
    </row>
    <row r="26" ht="39.5" customHeight="1">
      <c r="A26" s="9" t="inlineStr">
        <is>
          <t>ACT-MILLENIUM-BOTON-FLUX-PROTEGER</t>
        </is>
      </c>
      <c r="B26" s="9" t="inlineStr">
        <is>
          <t>LL-MILLENIUM-BOTON-FLUX</t>
        </is>
      </c>
      <c r="C26" s="9" t="inlineStr">
        <is>
          <t>MILLENIUM</t>
        </is>
      </c>
      <c r="D26" s="9" t="n"/>
      <c r="E26" s="9" t="n"/>
      <c r="F26" s="9" t="n"/>
      <c r="G26" s="9" t="n"/>
      <c r="H26" s="9" t="inlineStr">
        <is>
          <t>No aplicar flux al botón, su cuerpo ni sus aberturas. Cubrir con Kapton toda el área de conectores y proteger el botón sin presionar el actuador. Mantener la protección durante el retrabajo.</t>
        </is>
      </c>
      <c r="I26" s="9" t="n"/>
      <c r="J26" s="9" t="inlineStr">
        <is>
          <t>Open</t>
        </is>
      </c>
      <c r="K26" s="9" t="n"/>
      <c r="L26" s="9" t="n"/>
      <c r="M26" s="9" t="inlineStr">
        <is>
          <t>Y</t>
        </is>
      </c>
      <c r="N26" s="2" t="inlineStr">
        <is>
          <t>22-100214-01</t>
        </is>
      </c>
      <c r="O26" s="2" t="inlineStr">
        <is>
          <t>S1</t>
        </is>
      </c>
      <c r="P26" s="2" t="inlineStr">
        <is>
          <t>Y</t>
        </is>
      </c>
      <c r="Q26" s="2" t="n"/>
      <c r="R26" s="2" t="n"/>
      <c r="S26" s="2" t="inlineStr">
        <is>
          <t>Alerta de calidad CVEBU QAF350 Rev03. Experimento y criterios reportados el 30/09/2026.</t>
        </is>
      </c>
      <c r="T26" s="2" t="n"/>
    </row>
    <row r="27" ht="66" customHeight="1">
      <c r="A27" s="9" t="inlineStr">
        <is>
          <t>ACT-MILLENIUM-BOTON-FLUX-REEMPLAZAR</t>
        </is>
      </c>
      <c r="B27" s="9" t="inlineStr">
        <is>
          <t>LL-MILLENIUM-BOTON-FLUX</t>
        </is>
      </c>
      <c r="C27" s="9" t="inlineStr">
        <is>
          <t>MILLENIUM</t>
        </is>
      </c>
      <c r="D27" s="9" t="n"/>
      <c r="E27" s="9" t="n"/>
      <c r="F27" s="9" t="n"/>
      <c r="G27" s="9" t="n"/>
      <c r="H27" s="9" t="inlineStr">
        <is>
          <t>Inspeccionar el botón al 100 % antes y después del retrabajo. Si está húmedo por flux, pegajoso o con residuos, rechazar la unidad y reemplazar el componente completo por el método aprobado. No esperar a que se pegue. La limpieza o el funcionamiento temporal no sustituyen el reemplazo.</t>
        </is>
      </c>
      <c r="I27" s="9" t="n"/>
      <c r="J27" s="9" t="inlineStr">
        <is>
          <t>Open</t>
        </is>
      </c>
      <c r="K27" s="9" t="n"/>
      <c r="L27" s="9" t="n"/>
      <c r="M27" s="9" t="inlineStr">
        <is>
          <t>Y</t>
        </is>
      </c>
      <c r="N27" s="2" t="inlineStr">
        <is>
          <t>22-100214-01</t>
        </is>
      </c>
      <c r="O27" s="2" t="inlineStr">
        <is>
          <t>S1</t>
        </is>
      </c>
      <c r="P27" s="2" t="inlineStr">
        <is>
          <t>Y</t>
        </is>
      </c>
      <c r="Q27" s="2" t="n"/>
      <c r="R27" s="2" t="n"/>
      <c r="S27" s="2" t="inlineStr">
        <is>
          <t>Alerta de calidad CVEBU QAF350 Rev03. Experimento y criterios reportados el 30/09/2026.</t>
        </is>
      </c>
      <c r="T27" s="2" t="n"/>
    </row>
    <row r="28" ht="52.75" customHeight="1">
      <c r="A28" s="9" t="inlineStr">
        <is>
          <t>ACT-MILLENIUM-BOTON-FLUX-VERIFICAR</t>
        </is>
      </c>
      <c r="B28" s="9" t="inlineStr">
        <is>
          <t>LL-MILLENIUM-BOTON-FLUX</t>
        </is>
      </c>
      <c r="C28" s="9" t="inlineStr">
        <is>
          <t>MILLENIUM</t>
        </is>
      </c>
      <c r="D28" s="9" t="n"/>
      <c r="E28" s="9" t="n"/>
      <c r="F28" s="9" t="n"/>
      <c r="G28" s="9" t="n"/>
      <c r="H28" s="9" t="inlineStr">
        <is>
          <t>Después del reemplazo, comprobar limpieza, accionamiento y retorno del botón. Ejecutar la prueba funcional aplicable y registrar el reemplazo y resultado por número de serie antes de liberar la unidad.</t>
        </is>
      </c>
      <c r="I28" s="9" t="n"/>
      <c r="J28" s="9" t="inlineStr">
        <is>
          <t>Open</t>
        </is>
      </c>
      <c r="K28" s="9" t="n"/>
      <c r="L28" s="9" t="n"/>
      <c r="M28" s="9" t="inlineStr">
        <is>
          <t>Y</t>
        </is>
      </c>
      <c r="N28" s="2" t="inlineStr">
        <is>
          <t>22-100214-01</t>
        </is>
      </c>
      <c r="O28" s="2" t="inlineStr">
        <is>
          <t>S1</t>
        </is>
      </c>
      <c r="P28" s="2" t="inlineStr">
        <is>
          <t>Y</t>
        </is>
      </c>
      <c r="Q28" s="2" t="n"/>
      <c r="R28" s="2" t="n"/>
      <c r="S28" s="2" t="inlineStr">
        <is>
          <t>Alerta de calidad CVEBU QAF350 Rev03. Experimento y criterios reportados el 30/09/2026.</t>
        </is>
      </c>
      <c r="T28" s="2" t="n"/>
    </row>
    <row r="29" ht="39.5" customHeight="1">
      <c r="A29" s="9" t="inlineStr">
        <is>
          <t>ACT-OCTAVIO-BOTON-FLUX-PROTEGER</t>
        </is>
      </c>
      <c r="B29" s="9" t="inlineStr">
        <is>
          <t>LL-OCTAVIO-BOTON-FLUX</t>
        </is>
      </c>
      <c r="C29" s="9" t="inlineStr">
        <is>
          <t>OCTAVIO</t>
        </is>
      </c>
      <c r="D29" s="9" t="n"/>
      <c r="E29" s="9" t="n"/>
      <c r="F29" s="9" t="n"/>
      <c r="G29" s="9" t="n"/>
      <c r="H29" s="9" t="inlineStr">
        <is>
          <t>No aplicar flux al botón, su cuerpo ni sus aberturas. Cubrir con Kapton toda el área de conectores y proteger el botón sin presionar el actuador. Mantener la protección durante el retrabajo.</t>
        </is>
      </c>
      <c r="I29" s="9" t="n"/>
      <c r="J29" s="9" t="inlineStr">
        <is>
          <t>Open</t>
        </is>
      </c>
      <c r="K29" s="9" t="n"/>
      <c r="L29" s="9" t="n"/>
      <c r="M29" s="9" t="inlineStr">
        <is>
          <t>Y</t>
        </is>
      </c>
      <c r="N29" s="2" t="inlineStr">
        <is>
          <t>22-100214-01</t>
        </is>
      </c>
      <c r="O29" s="2" t="inlineStr">
        <is>
          <t>S1</t>
        </is>
      </c>
      <c r="P29" s="2" t="inlineStr">
        <is>
          <t>Y</t>
        </is>
      </c>
      <c r="Q29" s="2" t="n"/>
      <c r="R29" s="2" t="n"/>
      <c r="S29" s="2" t="inlineStr">
        <is>
          <t>Alerta de calidad CVEBU QAF350 Rev03. Experimento y criterios reportados el 30/09/2026.</t>
        </is>
      </c>
      <c r="T29" s="2" t="n"/>
    </row>
    <row r="30" ht="66" customHeight="1">
      <c r="A30" s="9" t="inlineStr">
        <is>
          <t>ACT-OCTAVIO-BOTON-FLUX-REEMPLAZAR</t>
        </is>
      </c>
      <c r="B30" s="9" t="inlineStr">
        <is>
          <t>LL-OCTAVIO-BOTON-FLUX</t>
        </is>
      </c>
      <c r="C30" s="9" t="inlineStr">
        <is>
          <t>OCTAVIO</t>
        </is>
      </c>
      <c r="D30" s="9" t="n"/>
      <c r="E30" s="9" t="n"/>
      <c r="F30" s="9" t="n"/>
      <c r="G30" s="9" t="n"/>
      <c r="H30" s="9" t="inlineStr">
        <is>
          <t>Inspeccionar el botón al 100 % antes y después del retrabajo. Si está húmedo por flux, pegajoso o con residuos, rechazar la unidad y reemplazar el componente completo por el método aprobado. No esperar a que se pegue. La limpieza o el funcionamiento temporal no sustituyen el reemplazo.</t>
        </is>
      </c>
      <c r="I30" s="9" t="n"/>
      <c r="J30" s="9" t="inlineStr">
        <is>
          <t>Open</t>
        </is>
      </c>
      <c r="K30" s="9" t="n"/>
      <c r="L30" s="9" t="n"/>
      <c r="M30" s="9" t="inlineStr">
        <is>
          <t>Y</t>
        </is>
      </c>
      <c r="N30" s="2" t="inlineStr">
        <is>
          <t>22-100214-01</t>
        </is>
      </c>
      <c r="O30" s="2" t="inlineStr">
        <is>
          <t>S1</t>
        </is>
      </c>
      <c r="P30" s="2" t="inlineStr">
        <is>
          <t>Y</t>
        </is>
      </c>
      <c r="Q30" s="2" t="n"/>
      <c r="R30" s="2" t="n"/>
      <c r="S30" s="2" t="inlineStr">
        <is>
          <t>Alerta de calidad CVEBU QAF350 Rev03. Experimento y criterios reportados el 30/09/2026.</t>
        </is>
      </c>
      <c r="T30" s="2" t="n"/>
    </row>
    <row r="31" ht="52.75" customHeight="1">
      <c r="A31" s="9" t="inlineStr">
        <is>
          <t>ACT-OCTAVIO-BOTON-FLUX-VERIFICAR</t>
        </is>
      </c>
      <c r="B31" s="9" t="inlineStr">
        <is>
          <t>LL-OCTAVIO-BOTON-FLUX</t>
        </is>
      </c>
      <c r="C31" s="9" t="inlineStr">
        <is>
          <t>OCTAVIO</t>
        </is>
      </c>
      <c r="D31" s="9" t="n"/>
      <c r="E31" s="9" t="n"/>
      <c r="F31" s="9" t="n"/>
      <c r="G31" s="9" t="n"/>
      <c r="H31" s="9" t="inlineStr">
        <is>
          <t>Después del reemplazo, comprobar limpieza, accionamiento y retorno del botón. Ejecutar la prueba funcional aplicable y registrar el reemplazo y resultado por número de serie antes de liberar la unidad.</t>
        </is>
      </c>
      <c r="I31" s="9" t="n"/>
      <c r="J31" s="9" t="inlineStr">
        <is>
          <t>Open</t>
        </is>
      </c>
      <c r="K31" s="9" t="n"/>
      <c r="L31" s="9" t="n"/>
      <c r="M31" s="9" t="inlineStr">
        <is>
          <t>Y</t>
        </is>
      </c>
      <c r="N31" s="2" t="inlineStr">
        <is>
          <t>22-100214-01</t>
        </is>
      </c>
      <c r="O31" s="2" t="inlineStr">
        <is>
          <t>S1</t>
        </is>
      </c>
      <c r="P31" s="2" t="inlineStr">
        <is>
          <t>Y</t>
        </is>
      </c>
      <c r="Q31" s="2" t="n"/>
      <c r="R31" s="2" t="n"/>
      <c r="S31" s="2" t="inlineStr">
        <is>
          <t>Alerta de calidad CVEBU QAF350 Rev03. Experimento y criterios reportados el 30/09/2026.</t>
        </is>
      </c>
      <c r="T31" s="2" t="n"/>
    </row>
    <row r="32" ht="39.5" customHeight="1">
      <c r="A32" s="9" t="inlineStr">
        <is>
          <t>ACT-BROOKLYN-BOTON-FLUX-PROTEGER</t>
        </is>
      </c>
      <c r="B32" s="9" t="inlineStr">
        <is>
          <t>LL-BROOKLYN-BOTON-FLUX</t>
        </is>
      </c>
      <c r="C32" s="9" t="inlineStr">
        <is>
          <t>BROOKLYN</t>
        </is>
      </c>
      <c r="D32" s="9" t="n"/>
      <c r="E32" s="9" t="n"/>
      <c r="F32" s="9" t="n"/>
      <c r="G32" s="9" t="n"/>
      <c r="H32" s="9" t="inlineStr">
        <is>
          <t>No aplicar flux al botón, su cuerpo ni sus aberturas. Cubrir con Kapton toda el área de conectores y proteger el botón sin presionar el actuador. Mantener la protección durante el retrabajo.</t>
        </is>
      </c>
      <c r="I32" s="9" t="n"/>
      <c r="J32" s="9" t="inlineStr">
        <is>
          <t>Open</t>
        </is>
      </c>
      <c r="K32" s="9" t="n"/>
      <c r="L32" s="9" t="n"/>
      <c r="M32" s="9" t="inlineStr">
        <is>
          <t>Y</t>
        </is>
      </c>
      <c r="N32" s="2" t="inlineStr">
        <is>
          <t>22-100214-01</t>
        </is>
      </c>
      <c r="O32" s="2" t="inlineStr">
        <is>
          <t>S1</t>
        </is>
      </c>
      <c r="P32" s="2" t="inlineStr">
        <is>
          <t>Y</t>
        </is>
      </c>
      <c r="Q32" s="2" t="n"/>
      <c r="R32" s="2" t="n"/>
      <c r="S32" s="2" t="inlineStr">
        <is>
          <t>Alerta de calidad CVEBU QAF350 Rev03. Experimento y criterios reportados el 30/09/2026.</t>
        </is>
      </c>
      <c r="T32" s="2" t="n"/>
    </row>
    <row r="33" ht="66" customHeight="1">
      <c r="A33" s="9" t="inlineStr">
        <is>
          <t>ACT-BROOKLYN-BOTON-FLUX-REEMPLAZAR</t>
        </is>
      </c>
      <c r="B33" s="9" t="inlineStr">
        <is>
          <t>LL-BROOKLYN-BOTON-FLUX</t>
        </is>
      </c>
      <c r="C33" s="9" t="inlineStr">
        <is>
          <t>BROOKLYN</t>
        </is>
      </c>
      <c r="D33" s="9" t="n"/>
      <c r="E33" s="9" t="n"/>
      <c r="F33" s="9" t="n"/>
      <c r="G33" s="9" t="n"/>
      <c r="H33" s="9" t="inlineStr">
        <is>
          <t>Inspeccionar el botón al 100 % antes y después del retrabajo. Si está húmedo por flux, pegajoso o con residuos, rechazar la unidad y reemplazar el componente completo por el método aprobado. No esperar a que se pegue. La limpieza o el funcionamiento temporal no sustituyen el reemplazo.</t>
        </is>
      </c>
      <c r="I33" s="9" t="n"/>
      <c r="J33" s="9" t="inlineStr">
        <is>
          <t>Open</t>
        </is>
      </c>
      <c r="K33" s="9" t="n"/>
      <c r="L33" s="9" t="n"/>
      <c r="M33" s="9" t="inlineStr">
        <is>
          <t>Y</t>
        </is>
      </c>
      <c r="N33" s="2" t="inlineStr">
        <is>
          <t>22-100214-01</t>
        </is>
      </c>
      <c r="O33" s="2" t="inlineStr">
        <is>
          <t>S1</t>
        </is>
      </c>
      <c r="P33" s="2" t="inlineStr">
        <is>
          <t>Y</t>
        </is>
      </c>
      <c r="Q33" s="2" t="n"/>
      <c r="R33" s="2" t="n"/>
      <c r="S33" s="2" t="inlineStr">
        <is>
          <t>Alerta de calidad CVEBU QAF350 Rev03. Experimento y criterios reportados el 30/09/2026.</t>
        </is>
      </c>
      <c r="T33" s="2" t="n"/>
    </row>
    <row r="34" ht="52.75" customHeight="1">
      <c r="A34" s="9" t="inlineStr">
        <is>
          <t>ACT-BROOKLYN-BOTON-FLUX-VERIFICAR</t>
        </is>
      </c>
      <c r="B34" s="9" t="inlineStr">
        <is>
          <t>LL-BROOKLYN-BOTON-FLUX</t>
        </is>
      </c>
      <c r="C34" s="9" t="inlineStr">
        <is>
          <t>BROOKLYN</t>
        </is>
      </c>
      <c r="D34" s="9" t="n"/>
      <c r="E34" s="9" t="n"/>
      <c r="F34" s="9" t="n"/>
      <c r="G34" s="9" t="n"/>
      <c r="H34" s="9" t="inlineStr">
        <is>
          <t>Después del reemplazo, comprobar limpieza, accionamiento y retorno del botón. Ejecutar la prueba funcional aplicable y registrar el reemplazo y resultado por número de serie antes de liberar la unidad.</t>
        </is>
      </c>
      <c r="I34" s="9" t="n"/>
      <c r="J34" s="9" t="inlineStr">
        <is>
          <t>Open</t>
        </is>
      </c>
      <c r="K34" s="9" t="n"/>
      <c r="L34" s="9" t="n"/>
      <c r="M34" s="9" t="inlineStr">
        <is>
          <t>Y</t>
        </is>
      </c>
      <c r="N34" s="2" t="inlineStr">
        <is>
          <t>22-100214-01</t>
        </is>
      </c>
      <c r="O34" s="2" t="inlineStr">
        <is>
          <t>S1</t>
        </is>
      </c>
      <c r="P34" s="2" t="inlineStr">
        <is>
          <t>Y</t>
        </is>
      </c>
      <c r="Q34" s="2" t="n"/>
      <c r="R34" s="2" t="n"/>
      <c r="S34" s="2" t="inlineStr">
        <is>
          <t>Alerta de calidad CVEBU QAF350 Rev03. Experimento y criterios reportados el 30/09/2026.</t>
        </is>
      </c>
      <c r="T34" s="2" t="n"/>
    </row>
    <row r="35" ht="39.5" customHeight="1">
      <c r="A35" s="9" t="inlineStr">
        <is>
          <t>ACT-DAVINCI-BOTON-FLUX-PROTEGER</t>
        </is>
      </c>
      <c r="B35" s="9" t="inlineStr">
        <is>
          <t>LL-DAVINCI-BOTON-FLUX</t>
        </is>
      </c>
      <c r="C35" s="9" t="inlineStr">
        <is>
          <t>DAVINCI</t>
        </is>
      </c>
      <c r="D35" s="9" t="n"/>
      <c r="E35" s="9" t="n"/>
      <c r="F35" s="9" t="n"/>
      <c r="G35" s="9" t="n"/>
      <c r="H35" s="9" t="inlineStr">
        <is>
          <t>No aplicar flux al botón, su cuerpo ni sus aberturas. Cubrir con Kapton toda el área de conectores y proteger el botón sin presionar el actuador. Mantener la protección durante el retrabajo.</t>
        </is>
      </c>
      <c r="I35" s="9" t="n"/>
      <c r="J35" s="9" t="inlineStr">
        <is>
          <t>Open</t>
        </is>
      </c>
      <c r="K35" s="9" t="n"/>
      <c r="L35" s="9" t="n"/>
      <c r="M35" s="9" t="inlineStr">
        <is>
          <t>Y</t>
        </is>
      </c>
      <c r="N35" s="2" t="inlineStr">
        <is>
          <t>22-100214-01</t>
        </is>
      </c>
      <c r="O35" s="2" t="inlineStr">
        <is>
          <t>S1</t>
        </is>
      </c>
      <c r="P35" s="2" t="inlineStr">
        <is>
          <t>Y</t>
        </is>
      </c>
      <c r="Q35" s="2" t="n"/>
      <c r="R35" s="2" t="n"/>
      <c r="S35" s="2" t="inlineStr">
        <is>
          <t>Alerta de calidad CVEBU QAF350 Rev03. Experimento y criterios reportados el 30/09/2026.</t>
        </is>
      </c>
      <c r="T35" s="2" t="n"/>
    </row>
    <row r="36" ht="66" customHeight="1">
      <c r="A36" s="9" t="inlineStr">
        <is>
          <t>ACT-DAVINCI-BOTON-FLUX-REEMPLAZAR</t>
        </is>
      </c>
      <c r="B36" s="9" t="inlineStr">
        <is>
          <t>LL-DAVINCI-BOTON-FLUX</t>
        </is>
      </c>
      <c r="C36" s="9" t="inlineStr">
        <is>
          <t>DAVINCI</t>
        </is>
      </c>
      <c r="D36" s="9" t="n"/>
      <c r="E36" s="9" t="n"/>
      <c r="F36" s="9" t="n"/>
      <c r="G36" s="9" t="n"/>
      <c r="H36" s="9" t="inlineStr">
        <is>
          <t>Inspeccionar el botón al 100 % antes y después del retrabajo. Si está húmedo por flux, pegajoso o con residuos, rechazar la unidad y reemplazar el componente completo por el método aprobado. No esperar a que se pegue. La limpieza o el funcionamiento temporal no sustituyen el reemplazo.</t>
        </is>
      </c>
      <c r="I36" s="9" t="n"/>
      <c r="J36" s="9" t="inlineStr">
        <is>
          <t>Open</t>
        </is>
      </c>
      <c r="K36" s="9" t="n"/>
      <c r="L36" s="9" t="n"/>
      <c r="M36" s="9" t="inlineStr">
        <is>
          <t>Y</t>
        </is>
      </c>
      <c r="N36" s="2" t="inlineStr">
        <is>
          <t>22-100214-01</t>
        </is>
      </c>
      <c r="O36" s="2" t="inlineStr">
        <is>
          <t>S1</t>
        </is>
      </c>
      <c r="P36" s="2" t="inlineStr">
        <is>
          <t>Y</t>
        </is>
      </c>
      <c r="Q36" s="2" t="n"/>
      <c r="R36" s="2" t="n"/>
      <c r="S36" s="2" t="inlineStr">
        <is>
          <t>Alerta de calidad CVEBU QAF350 Rev03. Experimento y criterios reportados el 30/09/2026.</t>
        </is>
      </c>
      <c r="T36" s="2" t="n"/>
    </row>
    <row r="37" ht="52.75" customHeight="1">
      <c r="A37" s="9" t="inlineStr">
        <is>
          <t>ACT-DAVINCI-BOTON-FLUX-VERIFICAR</t>
        </is>
      </c>
      <c r="B37" s="9" t="inlineStr">
        <is>
          <t>LL-DAVINCI-BOTON-FLUX</t>
        </is>
      </c>
      <c r="C37" s="9" t="inlineStr">
        <is>
          <t>DAVINCI</t>
        </is>
      </c>
      <c r="D37" s="9" t="n"/>
      <c r="E37" s="9" t="n"/>
      <c r="F37" s="9" t="n"/>
      <c r="G37" s="9" t="n"/>
      <c r="H37" s="9" t="inlineStr">
        <is>
          <t>Después del reemplazo, comprobar limpieza, accionamiento y retorno del botón. Ejecutar la prueba funcional aplicable y registrar el reemplazo y resultado por número de serie antes de liberar la unidad.</t>
        </is>
      </c>
      <c r="I37" s="9" t="n"/>
      <c r="J37" s="9" t="inlineStr">
        <is>
          <t>Open</t>
        </is>
      </c>
      <c r="K37" s="9" t="n"/>
      <c r="L37" s="9" t="n"/>
      <c r="M37" s="9" t="inlineStr">
        <is>
          <t>Y</t>
        </is>
      </c>
      <c r="N37" s="2" t="inlineStr">
        <is>
          <t>22-100214-01</t>
        </is>
      </c>
      <c r="O37" s="2" t="inlineStr">
        <is>
          <t>S1</t>
        </is>
      </c>
      <c r="P37" s="2" t="inlineStr">
        <is>
          <t>Y</t>
        </is>
      </c>
      <c r="Q37" s="2" t="n"/>
      <c r="R37" s="2" t="n"/>
      <c r="S37" s="2" t="inlineStr">
        <is>
          <t>Alerta de calidad CVEBU QAF350 Rev03. Experimento y criterios reportados el 30/09/2026.</t>
        </is>
      </c>
      <c r="T37" s="2" t="n"/>
    </row>
    <row r="38" ht="72" customHeight="1">
      <c r="A38" s="9" t="inlineStr">
        <is>
          <t>ACT-HEIMDALL-CLIP-REWORK</t>
        </is>
      </c>
      <c r="B38" s="9" t="inlineStr">
        <is>
          <t>LL-HEIMDALL-CLIP-CUSTODY</t>
        </is>
      </c>
      <c r="C38" s="9" t="inlineStr">
        <is>
          <t>HEIMDALL</t>
        </is>
      </c>
      <c r="D38" s="9" t="inlineStr">
        <is>
          <t>73-103459-02</t>
        </is>
      </c>
      <c r="E38" s="9" t="inlineStr">
        <is>
          <t>A0</t>
        </is>
      </c>
      <c r="F38" s="9" t="n"/>
      <c r="G38" s="9" t="n"/>
      <c r="H38" s="9" t="inlineStr">
        <is>
          <t>Retrabajar la población afectada instalando el clip P/N 700-136420-01 en J3-J8 mediante el procedimiento aprobado. Verificar presencia, fijación, limpieza de la superficie dorada de contacto y ejecutar 100 % X-Ray en J3-J8 antes de liberar cada unidad.</t>
        </is>
      </c>
      <c r="I38" s="9" t="n"/>
      <c r="J38" s="9" t="inlineStr">
        <is>
          <t>Open</t>
        </is>
      </c>
      <c r="K38" s="9" t="n"/>
      <c r="L38" s="9" t="inlineStr">
        <is>
          <t>Contención / Producto</t>
        </is>
      </c>
      <c r="M38" s="9" t="inlineStr">
        <is>
          <t>Y</t>
        </is>
      </c>
      <c r="N38" s="2" t="inlineStr">
        <is>
          <t>700-136420-01</t>
        </is>
      </c>
      <c r="O38" s="2" t="inlineStr">
        <is>
          <t>J3-J8</t>
        </is>
      </c>
      <c r="P38" s="2" t="inlineStr">
        <is>
          <t>Y</t>
        </is>
      </c>
      <c r="Q38" s="2" t="n"/>
      <c r="R38" s="2" t="n"/>
      <c r="S38" s="2" t="inlineStr">
        <is>
          <t>PCAMAP 61-107350-02 · investigación del clip Heimdall</t>
        </is>
      </c>
      <c r="T38" s="2" t="n"/>
    </row>
    <row r="39" ht="72" customHeight="1">
      <c r="A39" s="9" t="inlineStr">
        <is>
          <t>ACT-HEIMDALL-CLIP-PROCESS-DEFINITION</t>
        </is>
      </c>
      <c r="B39" s="9" t="inlineStr">
        <is>
          <t>LL-HEIMDALL-CLIP-CUSTODY</t>
        </is>
      </c>
      <c r="C39" s="9" t="inlineStr">
        <is>
          <t>HEIMDALL</t>
        </is>
      </c>
      <c r="D39" s="9" t="inlineStr">
        <is>
          <t>73-103459-02</t>
        </is>
      </c>
      <c r="E39" s="9" t="inlineStr">
        <is>
          <t>A0</t>
        </is>
      </c>
      <c r="F39" s="9" t="n"/>
      <c r="G39" s="9" t="n"/>
      <c r="H39" s="9" t="inlineStr">
        <is>
          <t>Definir y documentar de manera explícita dónde se instala el clip 700-136420-01, qué proceso acepta su custodia y cuál es el método de ensamble. Actualizar los documentos aplicables de proceso (lista de carga/programa, stencil cuando aplique, WI/SOP y criterio de inspección) para la revisión 73-103459-02 A0.</t>
        </is>
      </c>
      <c r="I39" s="9" t="n"/>
      <c r="J39" s="9" t="inlineStr">
        <is>
          <t>Open</t>
        </is>
      </c>
      <c r="K39" s="9" t="n"/>
      <c r="L39" s="9" t="inlineStr">
        <is>
          <t>Implementación de proceso</t>
        </is>
      </c>
      <c r="M39" s="9" t="inlineStr">
        <is>
          <t>Y</t>
        </is>
      </c>
      <c r="N39" s="2" t="inlineStr">
        <is>
          <t>700-136420-01</t>
        </is>
      </c>
      <c r="O39" s="2" t="inlineStr">
        <is>
          <t>J3-J8</t>
        </is>
      </c>
      <c r="P39" s="2" t="inlineStr">
        <is>
          <t>Y</t>
        </is>
      </c>
      <c r="Q39" s="2" t="n"/>
      <c r="R39" s="2" t="n"/>
      <c r="S39" s="2" t="inlineStr">
        <is>
          <t>PCAMAP 61-107350-02 · investigación del clip Heimdall</t>
        </is>
      </c>
      <c r="T39" s="2" t="n"/>
    </row>
    <row r="40" ht="72" customHeight="1">
      <c r="A40" s="9" t="inlineStr">
        <is>
          <t>ACT-HEIMDALL-PCAMAP-CUSTODY-GATE</t>
        </is>
      </c>
      <c r="B40" s="9" t="inlineStr">
        <is>
          <t>LL-HEIMDALL-CLIP-CUSTODY</t>
        </is>
      </c>
      <c r="C40" s="9" t="inlineStr">
        <is>
          <t>HEIMDALL</t>
        </is>
      </c>
      <c r="D40" s="9" t="inlineStr">
        <is>
          <t>73-103459-02</t>
        </is>
      </c>
      <c r="E40" s="9" t="inlineStr">
        <is>
          <t>A0</t>
        </is>
      </c>
      <c r="F40" s="9" t="n"/>
      <c r="G40" s="9" t="n"/>
      <c r="H40" s="9" t="inlineStr">
        <is>
          <t>Implementar el PCAMAP Reference Custody Gate: todo P/N afectado por ECN que tenga RefDes o relación física con la PCBA debe tener destino de manufactura, owner, método de ensamble, documento de control y método de verificación antes de liberar. La falta de palabras SMT/PTH/press-fit en la descripción no permite cerrar el ítem como N/A.</t>
        </is>
      </c>
      <c r="I40" s="9" t="n"/>
      <c r="J40" s="9" t="inlineStr">
        <is>
          <t>Open</t>
        </is>
      </c>
      <c r="K40" s="9" t="n"/>
      <c r="L40" s="9" t="inlineStr">
        <is>
          <t>Sistema / Prevención</t>
        </is>
      </c>
      <c r="M40" s="9" t="inlineStr">
        <is>
          <t>Y</t>
        </is>
      </c>
      <c r="N40" s="2" t="inlineStr">
        <is>
          <t>700-136420-01</t>
        </is>
      </c>
      <c r="O40" s="2" t="inlineStr">
        <is>
          <t>J3-J8</t>
        </is>
      </c>
      <c r="P40" s="2" t="inlineStr">
        <is>
          <t>Y</t>
        </is>
      </c>
      <c r="Q40" s="2" t="n"/>
      <c r="R40" s="2" t="n"/>
      <c r="S40" s="2" t="inlineStr">
        <is>
          <t>PCAMAP 61-107350-02 · investigación del clip Heimdall</t>
        </is>
      </c>
      <c r="T40" s="2" t="n"/>
    </row>
    <row r="41" ht="72" customHeight="1">
      <c r="A41" s="9" t="inlineStr">
        <is>
          <t>ACT-HEIMDALL-ECN-CFT-REVIEW</t>
        </is>
      </c>
      <c r="B41" s="9" t="inlineStr">
        <is>
          <t>LL-HEIMDALL-CLIP-CUSTODY</t>
        </is>
      </c>
      <c r="C41" s="9" t="inlineStr">
        <is>
          <t>HEIMDALL</t>
        </is>
      </c>
      <c r="D41" s="9" t="inlineStr">
        <is>
          <t>73-103459-02</t>
        </is>
      </c>
      <c r="E41" s="9" t="inlineStr">
        <is>
          <t>A0</t>
        </is>
      </c>
      <c r="F41" s="9" t="n"/>
      <c r="G41" s="9" t="n"/>
      <c r="H41" s="9" t="inlineStr">
        <is>
          <t>Incorporar esta revisión como punto obligatorio en las juntas de ECN/ECO. El CFT debe revisar activamente el delta de BOM/PCAMAP/drawing, asignar custodia por referencia y completar el checklist antes de aprobar la implementación. Una referencia sin owner o método definido permanece UNRESOLVED / HOLD.</t>
        </is>
      </c>
      <c r="I41" s="9" t="n"/>
      <c r="J41" s="9" t="inlineStr">
        <is>
          <t>Open</t>
        </is>
      </c>
      <c r="K41" s="9" t="n"/>
      <c r="L41" s="9" t="inlineStr">
        <is>
          <t>Sistema / ECN</t>
        </is>
      </c>
      <c r="M41" s="9" t="inlineStr">
        <is>
          <t>Y</t>
        </is>
      </c>
      <c r="N41" s="2" t="inlineStr">
        <is>
          <t>700-136420-01</t>
        </is>
      </c>
      <c r="O41" s="2" t="inlineStr">
        <is>
          <t>J3-J8</t>
        </is>
      </c>
      <c r="P41" s="2" t="inlineStr">
        <is>
          <t>Y</t>
        </is>
      </c>
      <c r="Q41" s="2" t="n"/>
      <c r="R41" s="2" t="n"/>
      <c r="S41" s="2" t="inlineStr">
        <is>
          <t>PCAMAP 61-107350-02 · investigación del clip Heimdall</t>
        </is>
      </c>
      <c r="T41" s="2" t="n"/>
    </row>
    <row r="42" ht="72" customHeight="1">
      <c r="A42" s="9" t="inlineStr">
        <is>
          <t>ACT-HEIMDALL-CISCO-HEADUP</t>
        </is>
      </c>
      <c r="B42" s="9" t="inlineStr">
        <is>
          <t>LL-HEIMDALL-CLIP-CUSTODY</t>
        </is>
      </c>
      <c r="C42" s="9" t="inlineStr">
        <is>
          <t>HEIMDALL</t>
        </is>
      </c>
      <c r="D42" s="9" t="inlineStr">
        <is>
          <t>73-103459-02</t>
        </is>
      </c>
      <c r="E42" s="9" t="inlineStr">
        <is>
          <t>A0</t>
        </is>
      </c>
      <c r="F42" s="9" t="n"/>
      <c r="G42" s="9" t="n"/>
      <c r="H42" s="9" t="inlineStr">
        <is>
          <t>Cuando el CFT no pueda determinar de forma concluyente dónde va una referencia, quién la ensambla o cómo debe implementarse con la documentación disponible, escalar un Head-Up / Technical Clarification al grupo de Cisco antes de liberar la construcción. No cerrar por suposición, prefijo de RefDes o descripción del material.</t>
        </is>
      </c>
      <c r="I42" s="9" t="n"/>
      <c r="J42" s="9" t="inlineStr">
        <is>
          <t>Open</t>
        </is>
      </c>
      <c r="K42" s="9" t="n"/>
      <c r="L42" s="9" t="inlineStr">
        <is>
          <t>Escalación</t>
        </is>
      </c>
      <c r="M42" s="9" t="inlineStr">
        <is>
          <t>Y</t>
        </is>
      </c>
      <c r="N42" s="2" t="inlineStr">
        <is>
          <t>700-136420-01</t>
        </is>
      </c>
      <c r="O42" s="2" t="inlineStr">
        <is>
          <t>J3-J8</t>
        </is>
      </c>
      <c r="P42" s="2" t="inlineStr">
        <is>
          <t>Y</t>
        </is>
      </c>
      <c r="Q42" s="2" t="n"/>
      <c r="R42" s="2" t="n"/>
      <c r="S42" s="2" t="inlineStr">
        <is>
          <t>PCAMAP 61-107350-02 · investigación del clip Heimdall</t>
        </is>
      </c>
      <c r="T42" s="2" t="n"/>
    </row>
    <row r="43" ht="72" customHeight="1">
      <c r="A43" s="9" t="inlineStr">
        <is>
          <t>ACT-HEIMDALL-VECTOR-EXPOSURE</t>
        </is>
      </c>
      <c r="B43" s="9" t="inlineStr">
        <is>
          <t>LL-HEIMDALL-CLIP-CUSTODY</t>
        </is>
      </c>
      <c r="C43" s="9" t="inlineStr">
        <is>
          <t>HEIMDALL</t>
        </is>
      </c>
      <c r="D43" s="9" t="inlineStr">
        <is>
          <t>73-103459-02</t>
        </is>
      </c>
      <c r="E43" s="9" t="inlineStr">
        <is>
          <t>A0</t>
        </is>
      </c>
      <c r="F43" s="9" t="n"/>
      <c r="G43" s="9" t="n"/>
      <c r="H43" s="9" t="inlineStr">
        <is>
          <t>Agregar en VECTOR el control de custodia por referencia y el cálculo de exposición desde la fecha de efectividad del cambio hasta la fecha de asignación/corrección: WOs, seriales, líneas, días de exposición y población potencial de retrabajo.</t>
        </is>
      </c>
      <c r="I43" s="9" t="n"/>
      <c r="J43" s="9" t="inlineStr">
        <is>
          <t>Open</t>
        </is>
      </c>
      <c r="K43" s="9" t="n"/>
      <c r="L43" s="9" t="inlineStr">
        <is>
          <t>Sistema / VECTOR</t>
        </is>
      </c>
      <c r="M43" s="9" t="inlineStr">
        <is>
          <t>Y</t>
        </is>
      </c>
      <c r="N43" s="2" t="inlineStr">
        <is>
          <t>700-136420-01</t>
        </is>
      </c>
      <c r="O43" s="2" t="inlineStr">
        <is>
          <t>J3-J8</t>
        </is>
      </c>
      <c r="P43" s="2" t="inlineStr">
        <is>
          <t>Y</t>
        </is>
      </c>
      <c r="Q43" s="2" t="n"/>
      <c r="R43" s="2" t="n"/>
      <c r="S43" s="2" t="inlineStr">
        <is>
          <t>PCAMAP 61-107350-02 · investigación del clip Heimdall</t>
        </is>
      </c>
      <c r="T43" s="2" t="n"/>
    </row>
    <row r="44" ht="72" customHeight="1">
      <c r="A44" s="9" t="inlineStr">
        <is>
          <t>ACT-HEIMDALL-CUSTODY-EFFECTIVENESS</t>
        </is>
      </c>
      <c r="B44" s="9" t="inlineStr">
        <is>
          <t>LL-HEIMDALL-CLIP-CUSTODY</t>
        </is>
      </c>
      <c r="C44" s="9" t="inlineStr">
        <is>
          <t>HEIMDALL</t>
        </is>
      </c>
      <c r="D44" s="9" t="inlineStr">
        <is>
          <t>73-103459-02</t>
        </is>
      </c>
      <c r="E44" s="9" t="inlineStr">
        <is>
          <t>A0</t>
        </is>
      </c>
      <c r="F44" s="9" t="n"/>
      <c r="G44" s="9" t="n"/>
      <c r="H44" s="9" t="inlineStr">
        <is>
          <t>Verificar efectividad durante los siguientes 10 ECN aplicables o 90 días: 100 % de referencias agregadas/cambiadas con proceso, owner, método, documento y evidencia de verificación definidos antes de release; cero referencias cerradas como N/A sin justificación documentada y cero liberaciones con estatus UNRESOLVED.</t>
        </is>
      </c>
      <c r="I44" s="9" t="n"/>
      <c r="J44" s="9" t="inlineStr">
        <is>
          <t>Open</t>
        </is>
      </c>
      <c r="K44" s="9" t="n"/>
      <c r="L44" s="9" t="inlineStr">
        <is>
          <t>Efectividad</t>
        </is>
      </c>
      <c r="M44" s="9" t="inlineStr">
        <is>
          <t>Y</t>
        </is>
      </c>
      <c r="N44" s="2" t="inlineStr">
        <is>
          <t>700-136420-01</t>
        </is>
      </c>
      <c r="O44" s="2" t="inlineStr">
        <is>
          <t>J3-J8</t>
        </is>
      </c>
      <c r="P44" s="2" t="inlineStr">
        <is>
          <t>Y</t>
        </is>
      </c>
      <c r="Q44" s="2" t="n"/>
      <c r="R44" s="2" t="n"/>
      <c r="S44" s="2" t="inlineStr">
        <is>
          <t>PCAMAP 61-107350-02 · investigación del clip Heimdall</t>
        </is>
      </c>
      <c r="T44" s="2" t="n"/>
    </row>
    <row r="45" ht="39.59999847412109" customHeight="1">
      <c r="A45" s="9" t="inlineStr">
        <is>
          <t>ACT-GREENFORD-AOI-MARCADO-REFERENCIA</t>
        </is>
      </c>
      <c r="B45" s="9" t="inlineStr">
        <is>
          <t>LL-GREENFORD-AOI-MARCADO</t>
        </is>
      </c>
      <c r="C45" s="9" t="inlineStr">
        <is>
          <t>GREENFORD</t>
        </is>
      </c>
      <c r="D45" s="9" t="inlineStr">
        <is>
          <t>73-104532-01</t>
        </is>
      </c>
      <c r="E45" s="9" t="n"/>
      <c r="F45" s="9" t="n"/>
      <c r="G45" s="9" t="n"/>
      <c r="H45" s="9" t="inlineStr">
        <is>
          <t>Obtener y publicar la referencia oficial de aceptación por CPN/programación, con foto del marcado permitido, fuente de autorización y revisión accesible a los tres turnos.</t>
        </is>
      </c>
      <c r="I45" s="9" t="n"/>
      <c r="J45" s="9" t="inlineStr">
        <is>
          <t>Open</t>
        </is>
      </c>
      <c r="K45" s="9" t="inlineStr">
        <is>
          <t>https://chatgpt.com/g/g-p-6abe462c09308191916f0eed68e0b198/c/6abe43f8-a784-83e8-9f10-f6d0d31564a3</t>
        </is>
      </c>
      <c r="L45" s="9" t="inlineStr">
        <is>
          <t>Propuesta documentada. Ejecución y cierre sin confirmar. Para cerrar: Referencia aprobada y disponible en punto de uso; pieza permitida y pieza no autorizada identificadas.</t>
        </is>
      </c>
      <c r="M45" s="9" t="inlineStr">
        <is>
          <t>Y</t>
        </is>
      </c>
      <c r="N45" s="2" t="inlineStr">
        <is>
          <t>17-103689-02; 17-103691-01; 17-102460-07</t>
        </is>
      </c>
      <c r="O45" s="2" t="n"/>
      <c r="P45" s="2" t="n"/>
      <c r="Q45" s="2" t="n"/>
      <c r="R45" s="2" t="n"/>
      <c r="S45" s="2" t="n"/>
      <c r="T45" s="2" t="n"/>
    </row>
    <row r="46" ht="39.59999847412109" customHeight="1">
      <c r="A46" s="9" t="inlineStr">
        <is>
          <t>ACT-GREENFORD-AOI-MARCADO-DESPLIEGUE</t>
        </is>
      </c>
      <c r="B46" s="9" t="inlineStr">
        <is>
          <t>LL-GREENFORD-AOI-MARCADO</t>
        </is>
      </c>
      <c r="C46" s="9" t="inlineStr">
        <is>
          <t>GREENFORD</t>
        </is>
      </c>
      <c r="D46" s="9" t="inlineStr">
        <is>
          <t>73-104532-01</t>
        </is>
      </c>
      <c r="E46" s="9" t="n"/>
      <c r="F46" s="9" t="n"/>
      <c r="G46" s="9" t="n"/>
      <c r="H46" s="9" t="inlineStr">
        <is>
          <t>Buscar todos los modelos/librerías que usan los CPN afectados. Registrar versión antes/después, guardar el cambio y validar cada librería impactada con muestra permitida y no permitida.</t>
        </is>
      </c>
      <c r="I46" s="9" t="n"/>
      <c r="J46" s="9" t="inlineStr">
        <is>
          <t>Open</t>
        </is>
      </c>
      <c r="K46" s="9" t="inlineStr">
        <is>
          <t>https://chatgpt.com/g/g-p-6abe462c09308191916f0eed68e0b198/c/6abe43f8-a784-83e8-9f10-f6d0d31564a3</t>
        </is>
      </c>
      <c r="L46" s="9" t="inlineStr">
        <is>
          <t>Propuesta documentada. Ejecución y cierre sin confirmar. Para cerrar: Matriz de impacto completa, revisiones guardadas y evidencia de aceptación/rechazo en cada librería aplicable.</t>
        </is>
      </c>
      <c r="M46" s="9" t="inlineStr">
        <is>
          <t>Y</t>
        </is>
      </c>
      <c r="N46" s="2" t="inlineStr">
        <is>
          <t>17-103689-02; 17-103691-01; 17-102460-07</t>
        </is>
      </c>
      <c r="O46" s="2" t="n"/>
      <c r="P46" s="2" t="n"/>
      <c r="Q46" s="2" t="n"/>
      <c r="R46" s="2" t="n"/>
      <c r="S46" s="2" t="n"/>
      <c r="T46" s="2" t="n"/>
    </row>
    <row r="47" ht="39.59999847412109" customHeight="1">
      <c r="A47" s="9" t="inlineStr">
        <is>
          <t>ACT-GREENFORD-AOI-MARCADO-SIGUIENTE-CORRIDA</t>
        </is>
      </c>
      <c r="B47" s="9" t="inlineStr">
        <is>
          <t>LL-GREENFORD-AOI-MARCADO</t>
        </is>
      </c>
      <c r="C47" s="9" t="inlineStr">
        <is>
          <t>GREENFORD</t>
        </is>
      </c>
      <c r="D47" s="9" t="inlineStr">
        <is>
          <t>73-104532-01</t>
        </is>
      </c>
      <c r="E47" s="9" t="n"/>
      <c r="F47" s="9" t="n"/>
      <c r="G47" s="9" t="n"/>
      <c r="H47" s="9" t="inlineStr">
        <is>
          <t>En la siguiente corrida tras cambio de modelo/línea, verificar que la librería cargada coincide con la revisión aprobada y repetir el reto OCV/OCR.</t>
        </is>
      </c>
      <c r="I47" s="9" t="n"/>
      <c r="J47" s="9" t="inlineStr">
        <is>
          <t>Open</t>
        </is>
      </c>
      <c r="K47" s="9" t="inlineStr">
        <is>
          <t>https://chatgpt.com/g/g-p-6abe462c09308191916f0eed68e0b198/c/6abe43f8-a784-83e8-9f10-f6d0d31564a3</t>
        </is>
      </c>
      <c r="L47" s="9" t="inlineStr">
        <is>
          <t>Propuesta documentada. Ejecución y cierre sin confirmar. Para cerrar: Registro de máquina, modelo, revisión cargada y resultado del reto en la siguiente corrida.</t>
        </is>
      </c>
      <c r="M47" s="9" t="inlineStr">
        <is>
          <t>Y</t>
        </is>
      </c>
      <c r="N47" s="2" t="inlineStr">
        <is>
          <t>17-103689-02; 17-103691-01; 17-102460-07</t>
        </is>
      </c>
      <c r="O47" s="2" t="n"/>
      <c r="P47" s="2" t="n"/>
      <c r="Q47" s="2" t="n"/>
      <c r="R47" s="2" t="n"/>
      <c r="S47" s="2" t="n"/>
      <c r="T47" s="2" t="n"/>
    </row>
    <row r="48" ht="39.59999847412109" customHeight="1">
      <c r="A48" s="9" t="inlineStr">
        <is>
          <t>ACT-GREENFORD-AOI-MARCADO-HISTORIAL</t>
        </is>
      </c>
      <c r="B48" s="9" t="inlineStr">
        <is>
          <t>LL-GREENFORD-AOI-MARCADO</t>
        </is>
      </c>
      <c r="C48" s="9" t="inlineStr">
        <is>
          <t>GREENFORD</t>
        </is>
      </c>
      <c r="D48" s="9" t="inlineStr">
        <is>
          <t>73-104532-01</t>
        </is>
      </c>
      <c r="E48" s="9" t="n"/>
      <c r="F48" s="9" t="n"/>
      <c r="G48" s="9" t="n"/>
      <c r="H48" s="9" t="inlineStr">
        <is>
          <t>Revisar logs, usuarios, timestamps y revisiones para demostrar dónde se guardó o no se propagó el cambio. Usar esa evidencia en el RCCA de recurrencia.</t>
        </is>
      </c>
      <c r="I48" s="9" t="n"/>
      <c r="J48" s="9" t="inlineStr">
        <is>
          <t>Open</t>
        </is>
      </c>
      <c r="K48" s="9" t="inlineStr">
        <is>
          <t>https://chatgpt.com/g/g-p-6abe462c09308191916f0eed68e0b198/c/6abe43f8-a784-83e8-9f10-f6d0d31564a3</t>
        </is>
      </c>
      <c r="L48" s="9" t="inlineStr">
        <is>
          <t>Propuesta documentada. Ejecución y cierre sin confirmar. Para cerrar: Trazabilidad de cambios y población de librerías afectadas; causa sistémica sustentada sin atribuir intención al personal.</t>
        </is>
      </c>
      <c r="M48" s="9" t="inlineStr">
        <is>
          <t>Y</t>
        </is>
      </c>
      <c r="N48" s="2" t="inlineStr">
        <is>
          <t>17-103689-02; 17-103691-01; 17-102460-07</t>
        </is>
      </c>
      <c r="O48" s="2" t="n"/>
      <c r="P48" s="2" t="n"/>
      <c r="Q48" s="2" t="n"/>
      <c r="R48" s="2" t="n"/>
      <c r="S48" s="2" t="n"/>
      <c r="T48" s="2" t="n"/>
    </row>
    <row r="49" ht="39.59999847412109" customHeight="1">
      <c r="A49" s="9" t="inlineStr">
        <is>
          <t>ACT-BROOKLYN-S1-ACCIONAMIENTO-WI</t>
        </is>
      </c>
      <c r="B49" s="9" t="inlineStr">
        <is>
          <t>LL-BROOKLYN-S1-ACCIONAMIENTO</t>
        </is>
      </c>
      <c r="C49" s="9" t="inlineStr">
        <is>
          <t>BROOKLYN</t>
        </is>
      </c>
      <c r="D49" s="9" t="inlineStr">
        <is>
          <t>73-102022-02</t>
        </is>
      </c>
      <c r="E49" s="9" t="n"/>
      <c r="F49" s="9" t="n"/>
      <c r="G49" s="9" t="n"/>
      <c r="H49" s="9" t="inlineStr">
        <is>
          <t>Actualizar el método de verificación de S1: accionamiento controlado según WI, sin pinza puntiaguda ni empuje lateral. Registrar condición antes y después de intervenir.</t>
        </is>
      </c>
      <c r="I49" s="9" t="n"/>
      <c r="J49" s="9" t="inlineStr">
        <is>
          <t>Open</t>
        </is>
      </c>
      <c r="K49" s="9" t="inlineStr">
        <is>
          <t>https://chatgpt.com/g/g-p-6ab5f35ed9d08191805565e89e7b1a6d/c/6ab7e69c-30b0-83e8-a989-621112ddf261</t>
        </is>
      </c>
      <c r="L49" s="9" t="inlineStr">
        <is>
          <t>Propuesta documentada. Ejecución y cierre sin confirmar. Para cerrar: WI aprobada y demostración de que el método verifica retorno sin dañar guías ni actuador.</t>
        </is>
      </c>
      <c r="M49" s="9" t="inlineStr">
        <is>
          <t>Y</t>
        </is>
      </c>
      <c r="N49" s="2" t="inlineStr">
        <is>
          <t>22-100214-01</t>
        </is>
      </c>
      <c r="O49" s="2" t="inlineStr">
        <is>
          <t>S1</t>
        </is>
      </c>
      <c r="P49" s="2" t="inlineStr">
        <is>
          <t>Y</t>
        </is>
      </c>
      <c r="Q49" s="2" t="n"/>
      <c r="R49" s="2" t="n"/>
      <c r="S49" s="2" t="inlineStr">
        <is>
          <t>Chat Investigación profunda 8D, 30/09/2026. Experimento en 5 Brooklyn recuperado del historial: flux reprodujo atasco; alcohol no lo reprodujo en esa muestra; observación de tweezer.</t>
        </is>
      </c>
      <c r="T49" s="2" t="n"/>
    </row>
    <row r="50" ht="39.59999847412109" customHeight="1">
      <c r="A50" s="9" t="inlineStr">
        <is>
          <t>ACT-BROOKLYN-S1-ACCIONAMIENTO-FIXTURE</t>
        </is>
      </c>
      <c r="B50" s="9" t="inlineStr">
        <is>
          <t>LL-BROOKLYN-S1-ACCIONAMIENTO</t>
        </is>
      </c>
      <c r="C50" s="9" t="inlineStr">
        <is>
          <t>BROOKLYN</t>
        </is>
      </c>
      <c r="D50" s="9" t="inlineStr">
        <is>
          <t>73-102022-02</t>
        </is>
      </c>
      <c r="E50" s="9" t="n"/>
      <c r="F50" s="9" t="n"/>
      <c r="G50" s="9" t="n"/>
      <c r="H50" s="9" t="inlineStr">
        <is>
          <t>Revisar alineación, altura/recorrido, contacto y desgaste del actuador de test. Validar repetibilidad del accionamiento sin sobrecarga ni fuerza lateral.</t>
        </is>
      </c>
      <c r="I50" s="9" t="n"/>
      <c r="J50" s="9" t="inlineStr">
        <is>
          <t>Open</t>
        </is>
      </c>
      <c r="K50" s="9" t="inlineStr">
        <is>
          <t>https://chatgpt.com/g/g-p-6ab5f35ed9d08191805565e89e7b1a6d/c/6ab7e69c-30b0-83e8-a989-621112ddf261</t>
        </is>
      </c>
      <c r="L50" s="9" t="inlineStr">
        <is>
          <t>Propuesta documentada. Ejecución y cierre sin confirmar. Para cerrar: Comparación antes/después y evidencia funcional/mecánica del método aprobado. No cerrar por un solo accionamiento correcto.</t>
        </is>
      </c>
      <c r="M50" s="9" t="inlineStr">
        <is>
          <t>Y</t>
        </is>
      </c>
      <c r="N50" s="2" t="inlineStr">
        <is>
          <t>22-100214-01</t>
        </is>
      </c>
      <c r="O50" s="2" t="inlineStr">
        <is>
          <t>S1</t>
        </is>
      </c>
      <c r="P50" s="2" t="inlineStr">
        <is>
          <t>Y</t>
        </is>
      </c>
      <c r="Q50" s="2" t="n"/>
      <c r="R50" s="2" t="n"/>
      <c r="S50" s="2" t="inlineStr">
        <is>
          <t>Chat Investigación profunda 8D, 30/09/2026. Experimento en 5 Brooklyn recuperado del historial: flux reprodujo atasco; alcohol no lo reprodujo en esa muestra; observación de tweezer.</t>
        </is>
      </c>
      <c r="T50" s="2" t="n"/>
    </row>
    <row r="51" ht="52.79999923706055" customHeight="1">
      <c r="A51" s="9" t="inlineStr">
        <is>
          <t>ACT-CVEBU-S1-TERMICO-TERMOPARES</t>
        </is>
      </c>
      <c r="B51" s="9" t="inlineStr">
        <is>
          <t>LL-CVEBU-S1-TERMICO</t>
        </is>
      </c>
      <c r="C51" s="9" t="inlineStr">
        <is>
          <t>CVEBU</t>
        </is>
      </c>
      <c r="D51" s="9" t="n"/>
      <c r="E51" s="9" t="n"/>
      <c r="F51" s="9" t="n"/>
      <c r="G51" s="9" t="n"/>
      <c r="H51" s="9" t="inlineStr">
        <is>
          <t>Instrumentar cuerpo y terminal/pad de S1, punto de retrabajo y zona de referencia. Registrar temperatura pico, tiempo y ciclos con el mismo retrabajo normalizado por producto.</t>
        </is>
      </c>
      <c r="I51" s="9" t="n"/>
      <c r="J51" s="9" t="inlineStr">
        <is>
          <t>Open</t>
        </is>
      </c>
      <c r="K51" s="9" t="inlineStr">
        <is>
          <t>https://chatgpt.com/g/g-p-6ab5f35ed9d08191805565e89e7b1a6d/c/6abf35e3-0b6c-83e8-a8c2-defe530ca3f4</t>
        </is>
      </c>
      <c r="L51" s="9" t="inlineStr">
        <is>
          <t>Propuesta documentada. Ejecución y cierre sin confirmar. Para cerrar: Curvas medidas por producto/revisión y parámetros reales del retrabajo; límites cotejados con especificación particular del componente.</t>
        </is>
      </c>
      <c r="M51" s="9" t="inlineStr">
        <is>
          <t>Y</t>
        </is>
      </c>
      <c r="N51" s="2" t="inlineStr">
        <is>
          <t>22-100214-01</t>
        </is>
      </c>
      <c r="O51" s="2" t="inlineStr">
        <is>
          <t>S1</t>
        </is>
      </c>
      <c r="P51" s="2" t="inlineStr">
        <is>
          <t>Y</t>
        </is>
      </c>
      <c r="Q51" s="2" t="n"/>
      <c r="R51" s="2" t="n"/>
      <c r="S51" s="2" t="inlineStr">
        <is>
          <t>Chat Estándares IPC Térmicos, 01/10/2026. Observación del usuario y plan experimental propuesto. Productos a comparar: Pictoris, Millenium, Octavio, Brooklyn y Davinci.</t>
        </is>
      </c>
      <c r="T51" s="2" t="n"/>
    </row>
    <row r="52" ht="39.59999847412109" customHeight="1">
      <c r="A52" s="9" t="inlineStr">
        <is>
          <t>ACT-CVEBU-S1-TERMICO-COBRE</t>
        </is>
      </c>
      <c r="B52" s="9" t="inlineStr">
        <is>
          <t>LL-CVEBU-S1-TERMICO</t>
        </is>
      </c>
      <c r="C52" s="9" t="inlineStr">
        <is>
          <t>CVEBU</t>
        </is>
      </c>
      <c r="D52" s="9" t="n"/>
      <c r="E52" s="9" t="n"/>
      <c r="F52" s="9" t="n"/>
      <c r="G52" s="9" t="n"/>
      <c r="H52" s="9" t="inlineStr">
        <is>
          <t>Revisar CAD/Gerber para identificar planos, vías y caminos de cobre entre zonas de retrabajo y S1. Comparar puntos a distancia similar con conectividad térmica diferente.</t>
        </is>
      </c>
      <c r="I52" s="9" t="n"/>
      <c r="J52" s="9" t="inlineStr">
        <is>
          <t>Open</t>
        </is>
      </c>
      <c r="K52" s="9" t="inlineStr">
        <is>
          <t>https://chatgpt.com/g/g-p-6ab5f35ed9d08191805565e89e7b1a6d/c/6abf35e3-0b6c-83e8-a8c2-defe530ca3f4</t>
        </is>
      </c>
      <c r="L52" s="9" t="inlineStr">
        <is>
          <t>Propuesta documentada. Ejecución y cierre sin confirmar. Para cerrar: Mapas de cobre y correlación con temperaturas medidas; modelo/PN/revisión y aplicabilidad confirmados antes de publicar.</t>
        </is>
      </c>
      <c r="M52" s="9" t="inlineStr">
        <is>
          <t>Y</t>
        </is>
      </c>
      <c r="N52" s="2" t="inlineStr">
        <is>
          <t>22-100214-01</t>
        </is>
      </c>
      <c r="O52" s="2" t="inlineStr">
        <is>
          <t>S1</t>
        </is>
      </c>
      <c r="P52" s="2" t="inlineStr">
        <is>
          <t>Y</t>
        </is>
      </c>
      <c r="Q52" s="2" t="n"/>
      <c r="R52" s="2" t="n"/>
      <c r="S52" s="2" t="inlineStr">
        <is>
          <t>Chat Estándares IPC Térmicos, 01/10/2026. Observación del usuario y plan experimental propuesto. Productos a comparar: Pictoris, Millenium, Octavio, Brooklyn y Davinci.</t>
        </is>
      </c>
      <c r="T52" s="2" t="n"/>
    </row>
    <row r="53" ht="52.79999923706055" customHeight="1">
      <c r="A53" s="9" t="inlineStr">
        <is>
          <t>ACT-CVEBU-S1-TERMICO-MECANICA</t>
        </is>
      </c>
      <c r="B53" s="9" t="inlineStr">
        <is>
          <t>LL-CVEBU-S1-TERMICO</t>
        </is>
      </c>
      <c r="C53" s="9" t="inlineStr">
        <is>
          <t>CVEBU</t>
        </is>
      </c>
      <c r="D53" s="9" t="n"/>
      <c r="E53" s="9" t="n"/>
      <c r="F53" s="9" t="n"/>
      <c r="G53" s="9" t="n"/>
      <c r="H53" s="9" t="inlineStr">
        <is>
          <t>Medir fuerza, recorrido y retorno antes y después de ciclos térmicos controlados, separando calor, contaminación y método de accionamiento.</t>
        </is>
      </c>
      <c r="I53" s="9" t="n"/>
      <c r="J53" s="9" t="inlineStr">
        <is>
          <t>Open</t>
        </is>
      </c>
      <c r="K53" s="9" t="inlineStr">
        <is>
          <t>https://chatgpt.com/g/g-p-6ab5f35ed9d08191805565e89e7b1a6d/c/6abf35e3-0b6c-83e8-a8c2-defe530ca3f4</t>
        </is>
      </c>
      <c r="L53" s="9" t="inlineStr">
        <is>
          <t>Propuesta documentada. Ejecución y cierre sin confirmar. Para cerrar: Datos que confirmen o descarten degradación térmica. Actualizar D4/PFMEA solo con mecanismo demostrado y documento aprobado.</t>
        </is>
      </c>
      <c r="M53" s="9" t="inlineStr">
        <is>
          <t>Y</t>
        </is>
      </c>
      <c r="N53" s="2" t="inlineStr">
        <is>
          <t>22-100214-01</t>
        </is>
      </c>
      <c r="O53" s="2" t="inlineStr">
        <is>
          <t>S1</t>
        </is>
      </c>
      <c r="P53" s="2" t="inlineStr">
        <is>
          <t>Y</t>
        </is>
      </c>
      <c r="Q53" s="2" t="n"/>
      <c r="R53" s="2" t="n"/>
      <c r="S53" s="2" t="inlineStr">
        <is>
          <t>Chat Estándares IPC Térmicos, 01/10/2026. Observación del usuario y plan experimental propuesto. Productos a comparar: Pictoris, Millenium, Octavio, Brooklyn y Davinci.</t>
        </is>
      </c>
      <c r="T53" s="2" t="n"/>
    </row>
    <row r="54" ht="39.59999847412109" customHeight="1">
      <c r="A54" s="9" t="inlineStr">
        <is>
          <t>ACT-LANCER-CAP-PREICT-TRAZABILIDAD</t>
        </is>
      </c>
      <c r="B54" s="9" t="inlineStr">
        <is>
          <t>LL-LANCER-CAP-PREICT</t>
        </is>
      </c>
      <c r="C54" s="9" t="inlineStr">
        <is>
          <t>LANCER</t>
        </is>
      </c>
      <c r="D54" s="9" t="n"/>
      <c r="E54" s="9" t="n"/>
      <c r="F54" s="9" t="n"/>
      <c r="G54" s="9" t="n"/>
      <c r="H54" s="9" t="inlineStr">
        <is>
          <t>Consolidar población con evidencia pre-ICT/post-ICT por serial, WO, lote/date code, estación previa y RefDes. Separar unidades nunca probadas en ICT.</t>
        </is>
      </c>
      <c r="I54" s="9" t="n"/>
      <c r="J54" s="9" t="inlineStr">
        <is>
          <t>Open</t>
        </is>
      </c>
      <c r="K54" s="9" t="inlineStr">
        <is>
          <t>https://chatgpt.com/c/6abd16d8-6e58-83e8-90e0-5c916d86d0f1</t>
        </is>
      </c>
      <c r="L54" s="9" t="inlineStr">
        <is>
          <t>Propuesta documentada. Ejecución y cierre sin confirmar. Para cerrar: Evidencia por serial que ubique la primera detección y preserve denominadores de cada población.</t>
        </is>
      </c>
      <c r="M54" s="9" t="inlineStr">
        <is>
          <t>Y</t>
        </is>
      </c>
      <c r="N54" s="2" t="inlineStr">
        <is>
          <t>11-101935-01</t>
        </is>
      </c>
      <c r="O54" s="2" t="n"/>
      <c r="P54" s="2" t="n"/>
      <c r="Q54" s="2" t="n"/>
      <c r="R54" s="2" t="n"/>
      <c r="S54" s="2" t="n"/>
      <c r="T54" s="2" t="n"/>
    </row>
    <row r="55" ht="39.59999847412109" customHeight="1">
      <c r="A55" s="9" t="inlineStr">
        <is>
          <t>ACT-LANCER-CAP-PREICT-MECANISMO</t>
        </is>
      </c>
      <c r="B55" s="9" t="inlineStr">
        <is>
          <t>LL-LANCER-CAP-PREICT</t>
        </is>
      </c>
      <c r="C55" s="9" t="inlineStr">
        <is>
          <t>LANCER</t>
        </is>
      </c>
      <c r="D55" s="9" t="n"/>
      <c r="E55" s="9" t="n"/>
      <c r="F55" s="9" t="n"/>
      <c r="G55" s="9" t="n"/>
      <c r="H55" s="9" t="inlineStr">
        <is>
          <t>Comparar referencias QSFP falladas con referencias sanas del mismo PN. Revisar SMT/reflow, historial de manejo/retrabajo y exposiciones eléctricas anteriores a ICT.</t>
        </is>
      </c>
      <c r="I55" s="9" t="n"/>
      <c r="J55" s="9" t="inlineStr">
        <is>
          <t>Open</t>
        </is>
      </c>
      <c r="K55" s="9" t="inlineStr">
        <is>
          <t>https://chatgpt.com/c/6abd16d8-6e58-83e8-90e0-5c916d86d0f1</t>
        </is>
      </c>
      <c r="L55" s="9" t="inlineStr">
        <is>
          <t>Propuesta documentada. Ejecución y cierre sin confirmar. Para cerrar: Mecanismo reproducido o descartado mediante comparación controlada; sin atribuir causalidad solo a una correlación.</t>
        </is>
      </c>
      <c r="M55" s="9" t="inlineStr">
        <is>
          <t>Y</t>
        </is>
      </c>
      <c r="N55" s="2" t="inlineStr">
        <is>
          <t>11-101935-01</t>
        </is>
      </c>
      <c r="O55" s="2" t="n"/>
      <c r="P55" s="2" t="n"/>
      <c r="Q55" s="2" t="n"/>
      <c r="R55" s="2" t="n"/>
      <c r="S55" s="2" t="n"/>
      <c r="T55" s="2" t="n"/>
    </row>
    <row r="56" ht="52.79999923706055" customHeight="1">
      <c r="A56" s="9" t="inlineStr">
        <is>
          <t>ACT-LANCER-CAP-PREICT-ACTUALIZAR-RCCA</t>
        </is>
      </c>
      <c r="B56" s="9" t="inlineStr">
        <is>
          <t>LL-LANCER-CAP-PREICT</t>
        </is>
      </c>
      <c r="C56" s="9" t="inlineStr">
        <is>
          <t>LANCER</t>
        </is>
      </c>
      <c r="D56" s="9" t="n"/>
      <c r="E56" s="9" t="n"/>
      <c r="F56" s="9" t="n"/>
      <c r="G56" s="9" t="n"/>
      <c r="H56" s="9" t="inlineStr">
        <is>
          <t>Actualizar la investigación y comunicación con la evidencia pre-ICT. Retirar ICT como causa iniciadora de toda la población y mantener abierto el mecanismo de degradación.</t>
        </is>
      </c>
      <c r="I56" s="9" t="n"/>
      <c r="J56" s="9" t="inlineStr">
        <is>
          <t>Open</t>
        </is>
      </c>
      <c r="K56" s="9" t="inlineStr">
        <is>
          <t>https://chatgpt.com/c/6abd16d8-6e58-83e8-90e0-5c916d86d0f1</t>
        </is>
      </c>
      <c r="L56" s="9" t="inlineStr">
        <is>
          <t>Propuesta documentada. Ejecución y cierre sin confirmar. Para cerrar: RCCA refleja las validaciones realizadas, mecanismo pendiente y población confirmada; sin cierre causal por descarte aislado.</t>
        </is>
      </c>
      <c r="M56" s="9" t="inlineStr">
        <is>
          <t>Y</t>
        </is>
      </c>
      <c r="N56" s="2" t="inlineStr">
        <is>
          <t>11-101935-01</t>
        </is>
      </c>
      <c r="O56" s="2" t="n"/>
      <c r="P56" s="2" t="n"/>
      <c r="Q56" s="2" t="n"/>
      <c r="R56" s="2" t="n"/>
      <c r="S56" s="2" t="n"/>
      <c r="T56" s="2" t="n"/>
    </row>
    <row r="57" ht="39.59999847412109" customHeight="1">
      <c r="A57" s="9" t="inlineStr">
        <is>
          <t>ACT-VORETJ-PTH-PUENTES-CONTENCION</t>
        </is>
      </c>
      <c r="B57" s="9" t="inlineStr">
        <is>
          <t>LL-VORETJ-PTH-PUENTES</t>
        </is>
      </c>
      <c r="C57" s="9" t="inlineStr">
        <is>
          <t>VoreTJ-48PXPLX</t>
        </is>
      </c>
      <c r="D57" s="9" t="inlineStr">
        <is>
          <t>73-103083-04</t>
        </is>
      </c>
      <c r="E57" s="9" t="n"/>
      <c r="F57" s="9" t="n"/>
      <c r="G57" s="9" t="n"/>
      <c r="H57" s="9" t="inlineStr">
        <is>
          <t>Implementar inspección 100 % post-PTH de los conectores afectados. Ante el primer puente, detener, segregar desde el último serial bueno y registrar alcance por WO/serial.</t>
        </is>
      </c>
      <c r="I57" s="9" t="n"/>
      <c r="J57" s="9" t="inlineStr">
        <is>
          <t>Open</t>
        </is>
      </c>
      <c r="K57" s="9" t="n"/>
      <c r="L57" s="9" t="inlineStr">
        <is>
          <t>Propuesta documentada. Ejecución y cierre sin confirmar. Para cerrar: Lista de población y resultados por serial; última unidad buena identificada y autorización de reinicio documentada.</t>
        </is>
      </c>
      <c r="M57" s="9" t="inlineStr">
        <is>
          <t>Y</t>
        </is>
      </c>
      <c r="N57" s="2" t="inlineStr">
        <is>
          <t>29-102727-02</t>
        </is>
      </c>
      <c r="O57" s="2" t="inlineStr">
        <is>
          <t>J2/J4/J7/J13</t>
        </is>
      </c>
      <c r="P57" s="2" t="inlineStr">
        <is>
          <t>Y</t>
        </is>
      </c>
      <c r="Q57" s="2" t="n"/>
      <c r="R57" s="2" t="n"/>
      <c r="S57" s="2" t="inlineStr">
        <is>
          <t>Chat Quake/Mobius, 04/08/2026 hora México / 05/08 UTC. Relato de 27 SN; síntesis del historial: PTH P21S1CT1/P21S4CT1 y RefDes J2/J4/J7/J13. Causa raíz pendiente.</t>
        </is>
      </c>
      <c r="T57" s="2" t="n"/>
    </row>
    <row r="58" ht="39.59999847412109" customHeight="1">
      <c r="A58" s="9" t="inlineStr">
        <is>
          <t>ACT-VORETJ-PTH-PUENTES-OLA</t>
        </is>
      </c>
      <c r="B58" s="9" t="inlineStr">
        <is>
          <t>LL-VORETJ-PTH-PUENTES</t>
        </is>
      </c>
      <c r="C58" s="9" t="inlineStr">
        <is>
          <t>VoreTJ-48PXPLX</t>
        </is>
      </c>
      <c r="D58" s="9" t="inlineStr">
        <is>
          <t>73-103083-04</t>
        </is>
      </c>
      <c r="E58" s="9" t="n"/>
      <c r="F58" s="9" t="n"/>
      <c r="G58" s="9" t="n"/>
      <c r="H58" s="9" t="inlineStr">
        <is>
          <t>Revisar receta, flux, preheat, conveyor, ola, pallet y terminales. Comparar condiciones de unidades con y sin puentes y validar el cambio seleccionado.</t>
        </is>
      </c>
      <c r="I58" s="9" t="n"/>
      <c r="J58" s="9" t="inlineStr">
        <is>
          <t>Open</t>
        </is>
      </c>
      <c r="K58" s="9" t="n"/>
      <c r="L58" s="9" t="inlineStr">
        <is>
          <t>Propuesta documentada. Ejecución y cierre sin confirmar. Para cerrar: Comparativo y corrida controlada que sustenten el mecanismo y efectividad del control.</t>
        </is>
      </c>
      <c r="M58" s="9" t="inlineStr">
        <is>
          <t>Y</t>
        </is>
      </c>
      <c r="N58" s="2" t="inlineStr">
        <is>
          <t>29-102727-02</t>
        </is>
      </c>
      <c r="O58" s="2" t="inlineStr">
        <is>
          <t>J2/J4/J7/J13</t>
        </is>
      </c>
      <c r="P58" s="2" t="inlineStr">
        <is>
          <t>Y</t>
        </is>
      </c>
      <c r="Q58" s="2" t="n"/>
      <c r="R58" s="2" t="n"/>
      <c r="S58" s="2" t="inlineStr">
        <is>
          <t>Chat Quake/Mobius, 04/08/2026 hora México / 05/08 UTC. Relato de 27 SN; síntesis del historial: PTH P21S1CT1/P21S4CT1 y RefDes J2/J4/J7/J13. Causa raíz pendiente.</t>
        </is>
      </c>
      <c r="T58" s="2" t="n"/>
    </row>
    <row r="59" ht="39.59999847412109" customHeight="1">
      <c r="A59" s="9" t="inlineStr">
        <is>
          <t>ACT-TTM-TDR-RAYONES-MANEJO</t>
        </is>
      </c>
      <c r="B59" s="9" t="inlineStr">
        <is>
          <t>LL-TTM-TDR-RAYONES</t>
        </is>
      </c>
      <c r="C59" s="9" t="n"/>
      <c r="D59" s="9" t="inlineStr">
        <is>
          <t>28-14458-04</t>
        </is>
      </c>
      <c r="E59" s="9" t="n"/>
      <c r="F59" s="9" t="n"/>
      <c r="G59" s="9" t="n"/>
      <c r="H59" s="9" t="inlineStr">
        <is>
          <t>Implementar separación con film y método de manejo que evite contacto/roce en cupones durante descarga AOI. Revisar punto físico de generación del rayón.</t>
        </is>
      </c>
      <c r="I59" s="9" t="n"/>
      <c r="J59" s="9" t="inlineStr">
        <is>
          <t>Open</t>
        </is>
      </c>
      <c r="K59" s="9" t="n"/>
      <c r="L59" s="9" t="inlineStr">
        <is>
          <t>Propuesta documentada. Ejecución y cierre sin confirmar. Para cerrar: WI/método aprobado y evidencia de descarga sin rayones en validación.</t>
        </is>
      </c>
      <c r="M59" s="9" t="inlineStr">
        <is>
          <t>Y</t>
        </is>
      </c>
      <c r="N59" s="2" t="n"/>
      <c r="O59" s="2" t="inlineStr">
        <is>
          <t>TDR coupon</t>
        </is>
      </c>
      <c r="P59" s="2" t="n"/>
      <c r="Q59" s="2" t="n"/>
      <c r="R59" s="2" t="n"/>
      <c r="S59" s="2" t="n"/>
      <c r="T59" s="2" t="n"/>
    </row>
    <row r="60" ht="39.59999847412109" customHeight="1">
      <c r="A60" s="9" t="inlineStr">
        <is>
          <t>ACT-TTM-TDR-RAYONES-DISPOSICION</t>
        </is>
      </c>
      <c r="B60" s="9" t="inlineStr">
        <is>
          <t>LL-TTM-TDR-RAYONES</t>
        </is>
      </c>
      <c r="C60" s="9" t="n"/>
      <c r="D60" s="9" t="inlineStr">
        <is>
          <t>28-14458-04</t>
        </is>
      </c>
      <c r="E60" s="9" t="n"/>
      <c r="F60" s="9" t="n"/>
      <c r="G60" s="9" t="n"/>
      <c r="H60" s="9" t="inlineStr">
        <is>
          <t>Conciliar resultados TDR, condición de cupones y alcance del daño. Registrar lote, date code, cantidad, embarque y aceptación específica del cliente antes de liberar la población.</t>
        </is>
      </c>
      <c r="I60" s="9" t="n"/>
      <c r="J60" s="9" t="inlineStr">
        <is>
          <t>Open</t>
        </is>
      </c>
      <c r="K60" s="9" t="n"/>
      <c r="L60" s="9" t="inlineStr">
        <is>
          <t>Propuesta documentada. Ejecución y cierre sin confirmar. Para cerrar: Disposición aprobada de la población exacta, trazabilidad y resolución de discrepancias del reporte.</t>
        </is>
      </c>
      <c r="M60" s="9" t="inlineStr">
        <is>
          <t>Y</t>
        </is>
      </c>
      <c r="N60" s="2" t="n"/>
      <c r="O60" s="2" t="inlineStr">
        <is>
          <t>TDR coupon</t>
        </is>
      </c>
      <c r="P60" s="2" t="n"/>
      <c r="Q60" s="2" t="n"/>
      <c r="R60" s="2" t="n"/>
      <c r="S60" s="2" t="n"/>
      <c r="T60" s="2" t="n"/>
    </row>
    <row r="61" ht="39.59999847412109" customHeight="1">
      <c r="A61" s="9" t="inlineStr">
        <is>
          <t>ACT-731991908-LAVADO-REIMPRESION-LAVADO</t>
        </is>
      </c>
      <c r="B61" s="9" t="inlineStr">
        <is>
          <t>LL-731991908-LAVADO-REIMPRESION</t>
        </is>
      </c>
      <c r="C61" s="9" t="n"/>
      <c r="D61" s="9" t="inlineStr">
        <is>
          <t>73-19919-08</t>
        </is>
      </c>
      <c r="E61" s="9" t="n"/>
      <c r="F61" s="9" t="n"/>
      <c r="G61" s="9" t="n"/>
      <c r="H61" s="9" t="inlineStr">
        <is>
          <t>Reforzar la ruta de lavado aprobada para PCBs con impresión rechazada y verificar limpieza antes de reimpresión. Evitar sustituir lavadora por limpieza manual no autorizada.</t>
        </is>
      </c>
      <c r="I61" s="9" t="n"/>
      <c r="J61" s="9" t="inlineStr">
        <is>
          <t>Open</t>
        </is>
      </c>
      <c r="K61" s="9" t="n"/>
      <c r="L61" s="9" t="inlineStr">
        <is>
          <t>Acción documentada. Cierre sin confirmar. Para cerrar: Registros de lavado/verificación y cumplimiento de WI en la siguiente corrida aplicable.</t>
        </is>
      </c>
      <c r="M61" s="9" t="inlineStr">
        <is>
          <t>Y</t>
        </is>
      </c>
      <c r="N61" s="2" t="n"/>
      <c r="O61" s="2" t="n"/>
      <c r="P61" s="2" t="n"/>
      <c r="Q61" s="2" t="n"/>
      <c r="R61" s="2" t="n"/>
      <c r="S61" s="2" t="n"/>
      <c r="T61" s="2" t="n"/>
    </row>
    <row r="62" ht="39.59999847412109" customHeight="1">
      <c r="A62" s="9" t="inlineStr">
        <is>
          <t>ACT-731991908-LAVADO-REIMPRESION-BUFFER</t>
        </is>
      </c>
      <c r="B62" s="9" t="inlineStr">
        <is>
          <t>LL-731991908-LAVADO-REIMPRESION</t>
        </is>
      </c>
      <c r="C62" s="9" t="n"/>
      <c r="D62" s="9" t="inlineStr">
        <is>
          <t>73-19919-08</t>
        </is>
      </c>
      <c r="E62" s="9" t="n"/>
      <c r="F62" s="9" t="n"/>
      <c r="G62" s="9" t="n"/>
      <c r="H62" s="9" t="inlineStr">
        <is>
          <t>Crear buffer identificado y control de trazabilidad para separar PCBs pendientes de lavado, limpias y autorizadas para reimpresión.</t>
        </is>
      </c>
      <c r="I62" s="9" t="n"/>
      <c r="J62" s="9" t="inlineStr">
        <is>
          <t>Open</t>
        </is>
      </c>
      <c r="K62" s="9" t="n"/>
      <c r="L62" s="9" t="inlineStr">
        <is>
          <t>Acción documentada. Cierre sin confirmar. Para cerrar: Separación física y registro que impidan regresar una unidad pendiente de lavado a impresora.</t>
        </is>
      </c>
      <c r="M62" s="9" t="inlineStr">
        <is>
          <t>Y</t>
        </is>
      </c>
      <c r="N62" s="2" t="n"/>
      <c r="O62" s="2" t="n"/>
      <c r="P62" s="2" t="n"/>
      <c r="Q62" s="2" t="n"/>
      <c r="R62" s="2" t="n"/>
      <c r="S62" s="2" t="n"/>
      <c r="T62" s="2" t="n"/>
    </row>
    <row r="63" ht="39.59999847412109" customHeight="1">
      <c r="A63" s="9" t="inlineStr">
        <is>
          <t>ACT-731991908-LAVADO-REIMPRESION-REINCIDENCIA</t>
        </is>
      </c>
      <c r="B63" s="9" t="inlineStr">
        <is>
          <t>LL-731991908-LAVADO-REIMPRESION</t>
        </is>
      </c>
      <c r="C63" s="9" t="n"/>
      <c r="D63" s="9" t="inlineStr">
        <is>
          <t>73-19919-08</t>
        </is>
      </c>
      <c r="E63" s="9" t="n"/>
      <c r="F63" s="9" t="n"/>
      <c r="G63" s="9" t="n"/>
      <c r="H63" s="9" t="inlineStr">
        <is>
          <t>Entrenar en Stop, Call and Wait ante impresión repetidamente rechazada. Conciliar población afectada y verificar efectividad en la siguiente corrida.</t>
        </is>
      </c>
      <c r="I63" s="9" t="n"/>
      <c r="J63" s="9" t="inlineStr">
        <is>
          <t>Open</t>
        </is>
      </c>
      <c r="K63" s="9" t="n"/>
      <c r="L63" s="9" t="inlineStr">
        <is>
          <t>Acción documentada. Cierre sin confirmar. Para cerrar: Entrenamiento y auditoría de ruta; conteos por estación reconciliados, sin repetir residuos/cortos asociados.</t>
        </is>
      </c>
      <c r="M63" s="9" t="inlineStr">
        <is>
          <t>Y</t>
        </is>
      </c>
      <c r="N63" s="2" t="n"/>
      <c r="O63" s="2" t="n"/>
      <c r="P63" s="2" t="n"/>
      <c r="Q63" s="2" t="n"/>
      <c r="R63" s="2" t="n"/>
      <c r="S63" s="2" t="n"/>
      <c r="T63" s="2" t="n"/>
    </row>
    <row r="64" ht="39.59999847412109" customHeight="1">
      <c r="A64" s="9" t="inlineStr">
        <is>
          <t>ACT-PRESSFIT-CENTRADO-ALINEACION</t>
        </is>
      </c>
      <c r="B64" s="9" t="inlineStr">
        <is>
          <t>LL-PRESSFIT-CENTRADO</t>
        </is>
      </c>
      <c r="C64" s="9" t="n"/>
      <c r="D64" s="9" t="n"/>
      <c r="E64" s="9" t="n"/>
      <c r="F64" s="9" t="n"/>
      <c r="G64" s="9" t="n"/>
      <c r="H64" s="9" t="inlineStr">
        <is>
          <t>Implementar y validar láser/referencia de centrado para el fixture, verificando soporte, paralelismo y contacto uniforme bajo el dado.</t>
        </is>
      </c>
      <c r="I64" s="9" t="n"/>
      <c r="J64" s="9" t="inlineStr">
        <is>
          <t>Open</t>
        </is>
      </c>
      <c r="K64" s="9" t="n"/>
      <c r="L64" s="9" t="inlineStr">
        <is>
          <t>Propuesta documentada. Ejecución y cierre sin confirmar. Para cerrar: Producto y fixture identificados, alineación controlada y evidencia de distribución/asentamiento conforme.</t>
        </is>
      </c>
      <c r="M64" s="9" t="inlineStr">
        <is>
          <t>Y</t>
        </is>
      </c>
      <c r="N64" s="2" t="n"/>
      <c r="O64" s="2" t="inlineStr">
        <is>
          <t>P1/P2</t>
        </is>
      </c>
      <c r="P64" s="2" t="inlineStr">
        <is>
          <t>Y</t>
        </is>
      </c>
      <c r="Q64" s="2" t="n"/>
      <c r="R64" s="2" t="n"/>
      <c r="S64" s="2" t="inlineStr">
        <is>
          <t>Chats Stack connectors not fully seated / Improper Seating, 13–25/08/2026. P1/P2 en el reporte final; otro chat menciona M3/M4. La medición 0.042 in y los rangos deben cotejarse con drawing.</t>
        </is>
      </c>
      <c r="T64" s="2" t="n"/>
    </row>
    <row r="65" ht="39.59999847412109" customHeight="1">
      <c r="A65" s="9" t="inlineStr">
        <is>
          <t>ACT-PRESSFIT-CENTRADO-GAGE</t>
        </is>
      </c>
      <c r="B65" s="9" t="inlineStr">
        <is>
          <t>LL-PRESSFIT-CENTRADO</t>
        </is>
      </c>
      <c r="C65" s="9" t="n"/>
      <c r="D65" s="9" t="n"/>
      <c r="E65" s="9" t="n"/>
      <c r="F65" s="9" t="n"/>
      <c r="G65" s="9" t="n"/>
      <c r="H65" s="9" t="inlineStr">
        <is>
          <t>Validar gage post-pressfit para medir seating/gap según drawing aprobado. Definir en WI reacción ante pins elevados o asentamiento incompleto.</t>
        </is>
      </c>
      <c r="I65" s="9" t="n"/>
      <c r="J65" s="9" t="inlineStr">
        <is>
          <t>Open</t>
        </is>
      </c>
      <c r="K65" s="9" t="n"/>
      <c r="L65" s="9" t="inlineStr">
        <is>
          <t>Propuesta documentada. Ejecución y cierre sin confirmar. Para cerrar: Gage y criterio aprobados con muestras conformes/no conformes; discrepancias dimensionales resueltas.</t>
        </is>
      </c>
      <c r="M65" s="9" t="inlineStr">
        <is>
          <t>Y</t>
        </is>
      </c>
      <c r="N65" s="2" t="n"/>
      <c r="O65" s="2" t="inlineStr">
        <is>
          <t>P1/P2</t>
        </is>
      </c>
      <c r="P65" s="2" t="inlineStr">
        <is>
          <t>Y</t>
        </is>
      </c>
      <c r="Q65" s="2" t="n"/>
      <c r="R65" s="2" t="n"/>
      <c r="S65" s="2" t="inlineStr">
        <is>
          <t>Chats Stack connectors not fully seated / Improper Seating, 13–25/08/2026. P1/P2 en el reporte final; otro chat menciona M3/M4. La medición 0.042 in y los rangos deben cotejarse con drawing.</t>
        </is>
      </c>
      <c r="T65" s="2" t="n"/>
    </row>
    <row r="66" ht="39.59999847412109" customHeight="1">
      <c r="A66" s="9" t="inlineStr">
        <is>
          <t>ACT-PRESSFIT-CENTRADO-EFECTIVIDAD</t>
        </is>
      </c>
      <c r="B66" s="9" t="inlineStr">
        <is>
          <t>LL-PRESSFIT-CENTRADO</t>
        </is>
      </c>
      <c r="C66" s="9" t="n"/>
      <c r="D66" s="9" t="n"/>
      <c r="E66" s="9" t="n"/>
      <c r="F66" s="9" t="n"/>
      <c r="G66" s="9" t="n"/>
      <c r="H66" s="9" t="inlineStr">
        <is>
          <t>Cotejar registros de las 100 PCBA reportadas con VI/5DX/PCBFT y el plan AOI 20 %. Confirmar qué controles quedaron instalados y cuáles siguen propuestos.</t>
        </is>
      </c>
      <c r="I66" s="9" t="n"/>
      <c r="J66" s="9" t="inlineStr">
        <is>
          <t>Open</t>
        </is>
      </c>
      <c r="K66" s="9" t="n"/>
      <c r="L66" s="9" t="inlineStr">
        <is>
          <t>Propuesta documentada. Ejecución y cierre sin confirmar. Para cerrar: Reporte por población/prueba y evidencia del control permanente; no cerrar láser por el resultado de contención.</t>
        </is>
      </c>
      <c r="M66" s="9" t="inlineStr">
        <is>
          <t>Y</t>
        </is>
      </c>
      <c r="N66" s="2" t="n"/>
      <c r="O66" s="2" t="inlineStr">
        <is>
          <t>P1/P2</t>
        </is>
      </c>
      <c r="P66" s="2" t="inlineStr">
        <is>
          <t>Y</t>
        </is>
      </c>
      <c r="Q66" s="2" t="n"/>
      <c r="R66" s="2" t="n"/>
      <c r="S66" s="2" t="inlineStr">
        <is>
          <t>Chats Stack connectors not fully seated / Improper Seating, 13–25/08/2026. P1/P2 en el reporte final; otro chat menciona M3/M4. La medición 0.042 in y los rangos deben cotejarse con drawing.</t>
        </is>
      </c>
      <c r="T66" s="2" t="n"/>
    </row>
    <row r="67" ht="52.79999923706055" customHeight="1">
      <c r="A67" s="9" t="inlineStr">
        <is>
          <t>ACT-NIXIE-MIC-SEATING-STENCIL-DOE</t>
        </is>
      </c>
      <c r="B67" s="9" t="inlineStr">
        <is>
          <t>LL-NIXIE-MIC-SEATING</t>
        </is>
      </c>
      <c r="C67" s="9" t="inlineStr">
        <is>
          <t>NIXIE</t>
        </is>
      </c>
      <c r="D67" s="9" t="n"/>
      <c r="E67" s="9" t="n"/>
      <c r="F67" s="9" t="n"/>
      <c r="G67" s="9" t="n"/>
      <c r="H67" s="9" t="inlineStr">
        <is>
          <t>Ejecutar DOE de geometrías de aperturas del aro discutidas: comparar stencil actual de 3 gajos con alternativas segmentadas/semiabiertas, manteniendo criterios de voids y volumen. No adoptar ring completo solo para eliminar beads.</t>
        </is>
      </c>
      <c r="I67" s="9" t="n"/>
      <c r="J67" s="9" t="inlineStr">
        <is>
          <t>Open</t>
        </is>
      </c>
      <c r="K67" s="9" t="inlineStr">
        <is>
          <t>https://chatgpt.com/c/6ab960a3-208c-83e8-8009-8c18a39dd451</t>
        </is>
      </c>
      <c r="L67" s="9" t="inlineStr">
        <is>
          <t>Propuesta documentada. Ejecución y cierre sin confirmar. Para cerrar: Datos por condición de impresión/reflow, beads internas/externas, tilt y voids; diseño seleccionado y aprobado.</t>
        </is>
      </c>
      <c r="M67" s="9" t="inlineStr">
        <is>
          <t>Y</t>
        </is>
      </c>
      <c r="N67" s="2" t="n"/>
      <c r="O67" s="2" t="n"/>
      <c r="P67" s="2" t="n"/>
      <c r="Q67" s="2" t="n"/>
      <c r="R67" s="2" t="n"/>
      <c r="S67" s="2" t="n"/>
      <c r="T67" s="2" t="n"/>
    </row>
    <row r="68" ht="52.79999923706055" customHeight="1">
      <c r="A68" s="9" t="inlineStr">
        <is>
          <t>ACT-NIXIE-MIC-SEATING-CORRELACION-ACUSTICA</t>
        </is>
      </c>
      <c r="B68" s="9" t="inlineStr">
        <is>
          <t>LL-NIXIE-MIC-SEATING</t>
        </is>
      </c>
      <c r="C68" s="9" t="inlineStr">
        <is>
          <t>NIXIE</t>
        </is>
      </c>
      <c r="D68" s="9" t="n"/>
      <c r="E68" s="9" t="n"/>
      <c r="F68" s="9" t="n"/>
      <c r="G68" s="9" t="n"/>
      <c r="H68" s="9" t="inlineStr">
        <is>
          <t>Correlacionar RX de bead/tilt/voids y coplanaridad con sensibilidad dBFS a 94 dBSPL y respuesta a 1/3.15/10 kHz, según límites aprobados para el producto.</t>
        </is>
      </c>
      <c r="I68" s="9" t="n"/>
      <c r="J68" s="9" t="inlineStr">
        <is>
          <t>Open</t>
        </is>
      </c>
      <c r="K68" s="9" t="inlineStr">
        <is>
          <t>https://chatgpt.com/c/6ab960a3-208c-83e8-8009-8c18a39dd451</t>
        </is>
      </c>
      <c r="L68" s="9" t="inlineStr">
        <is>
          <t>Propuesta documentada. Ejecución y cierre sin confirmar. Para cerrar: Resultados de unidades conformes/no conformes que confirmen o descarten el mecanismo; puerto alineado/libre y criterio acústico documentados.</t>
        </is>
      </c>
      <c r="M68" s="9" t="inlineStr">
        <is>
          <t>Y</t>
        </is>
      </c>
      <c r="N68" s="2" t="n"/>
      <c r="O68" s="2" t="n"/>
      <c r="P68" s="2" t="n"/>
      <c r="Q68" s="2" t="n"/>
      <c r="R68" s="2" t="n"/>
      <c r="S68" s="2" t="n"/>
      <c r="T68" s="2" t="n"/>
    </row>
    <row r="69" ht="39.59999847412109" customHeight="1">
      <c r="A69" s="9" t="inlineStr">
        <is>
          <t>ACT-NIXIE-MIC-SEATING-CONTROL-PLAN</t>
        </is>
      </c>
      <c r="B69" s="9" t="inlineStr">
        <is>
          <t>LL-NIXIE-MIC-SEATING</t>
        </is>
      </c>
      <c r="C69" s="9" t="inlineStr">
        <is>
          <t>NIXIE</t>
        </is>
      </c>
      <c r="D69" s="9" t="n"/>
      <c r="E69" s="9" t="n"/>
      <c r="F69" s="9" t="n"/>
      <c r="G69" s="9" t="n"/>
      <c r="H69" s="9" t="inlineStr">
        <is>
          <t>Actualizar WI/PFMEA/Control Plan con los límites y método de inspección/prueba validados tras DOE. Incorporar reacción ante levantamiento y pérdida acústica.</t>
        </is>
      </c>
      <c r="I69" s="9" t="n"/>
      <c r="J69" s="9" t="inlineStr">
        <is>
          <t>Open</t>
        </is>
      </c>
      <c r="K69" s="9" t="inlineStr">
        <is>
          <t>https://chatgpt.com/c/6ab960a3-208c-83e8-8009-8c18a39dd451</t>
        </is>
      </c>
      <c r="L69" s="9" t="inlineStr">
        <is>
          <t>Propuesta documentada. Ejecución y cierre sin confirmar. Para cerrar: Documentos aprobados y prueba de efectividad de la nueva condición; no publicar mecanismo causal antes de verificarlo.</t>
        </is>
      </c>
      <c r="M69" s="9" t="inlineStr">
        <is>
          <t>Y</t>
        </is>
      </c>
      <c r="N69" s="2" t="n"/>
      <c r="O69" s="2" t="n"/>
      <c r="P69" s="2" t="n"/>
      <c r="Q69" s="2" t="n"/>
      <c r="R69" s="2" t="n"/>
      <c r="S69" s="2" t="n"/>
      <c r="T69" s="2" t="n"/>
    </row>
    <row r="70" ht="54" customHeight="1">
      <c r="A70" s="9" t="inlineStr">
        <is>
          <t>ACT-PICTORIS-J9-SOP-YOKOTEN</t>
        </is>
      </c>
      <c r="B70" s="9" t="n"/>
      <c r="C70" s="9" t="inlineStr">
        <is>
          <t>PICTORIS</t>
        </is>
      </c>
      <c r="D70" s="9" t="inlineStr">
        <is>
          <t>73-103603-05</t>
        </is>
      </c>
      <c r="E70" s="9" t="n"/>
      <c r="F70" s="9" t="n"/>
      <c r="G70" s="9" t="inlineStr">
        <is>
          <t>Procesos</t>
        </is>
      </c>
      <c r="H70" s="9" t="inlineStr">
        <is>
          <t>Revisar el control definido antes de liberar producción. Integrar el control aprobado en SOP y SMTinel Yokoten.</t>
        </is>
      </c>
      <c r="I70" s="9" t="n"/>
      <c r="J70" s="9" t="inlineStr">
        <is>
          <t>Open</t>
        </is>
      </c>
      <c r="K70" s="9" t="n"/>
      <c r="L70" s="9" t="inlineStr">
        <is>
          <t>Cerrar cuando la SOP/ayuda visual esté aprobada e implementada. Al cerrar, conservar J9 en Yokoten como Histórico controlado.</t>
        </is>
      </c>
      <c r="M70" s="9" t="inlineStr">
        <is>
          <t>Y</t>
        </is>
      </c>
      <c r="N70" s="10" t="inlineStr">
        <is>
          <t>Pendiente</t>
        </is>
      </c>
      <c r="O70" s="2" t="inlineStr">
        <is>
          <t>J9</t>
        </is>
      </c>
      <c r="P70" s="2" t="inlineStr">
        <is>
          <t>Y</t>
        </is>
      </c>
      <c r="Q70" s="2" t="inlineStr">
        <is>
          <t>Daño físico</t>
        </is>
      </c>
      <c r="R70" s="2" t="inlineStr">
        <is>
          <t>Condición detectada al llegar a FVN</t>
        </is>
      </c>
      <c r="S70" s="2" t="inlineStr">
        <is>
          <t>FVN</t>
        </is>
      </c>
      <c r="T70" s="2" t="inlineStr">
        <is>
          <t>Terminales levantadas</t>
        </is>
      </c>
    </row>
    <row r="71" ht="54" customHeight="1">
      <c r="A71" s="9" t="inlineStr">
        <is>
          <t>ACT-PICTORIS-J73-SOP-YOKOTEN</t>
        </is>
      </c>
      <c r="B71" s="9" t="inlineStr">
        <is>
          <t>LL-PICTORIS-J73</t>
        </is>
      </c>
      <c r="C71" s="9" t="inlineStr">
        <is>
          <t>PICTORIS</t>
        </is>
      </c>
      <c r="D71" s="9" t="inlineStr">
        <is>
          <t>73-103603-05</t>
        </is>
      </c>
      <c r="E71" s="9" t="n"/>
      <c r="F71" s="9" t="n"/>
      <c r="G71" s="9" t="inlineStr">
        <is>
          <t>Procesos</t>
        </is>
      </c>
      <c r="H71" s="9" t="inlineStr">
        <is>
          <t>Integrar en SOP/ayuda visual el control de orientación de J73: cuerpo blanco hacia pin 1; no usar el triángulo como guía. Mantener la referencia visible en SMTinel Yokoten.</t>
        </is>
      </c>
      <c r="I71" s="9" t="n"/>
      <c r="J71" s="9" t="inlineStr">
        <is>
          <t>Open</t>
        </is>
      </c>
      <c r="K71" s="9" t="n"/>
      <c r="L71" s="9" t="inlineStr">
        <is>
          <t>Cerrar cuando la SOP/ayuda visual esté aprobada e implementada. Al cerrar, conservar J73 en Yokoten como Histórico controlado.</t>
        </is>
      </c>
      <c r="M71" s="9" t="inlineStr">
        <is>
          <t>Y</t>
        </is>
      </c>
      <c r="N71" s="2" t="inlineStr">
        <is>
          <t>27-100137-01</t>
        </is>
      </c>
      <c r="O71" s="2" t="inlineStr">
        <is>
          <t>J73</t>
        </is>
      </c>
      <c r="P71" s="2" t="inlineStr">
        <is>
          <t>Y</t>
        </is>
      </c>
      <c r="Q71" s="2" t="inlineStr">
        <is>
          <t>Orientación</t>
        </is>
      </c>
      <c r="R71" s="2" t="inlineStr">
        <is>
          <t>Escape previo / riesgo conocido</t>
        </is>
      </c>
      <c r="S71" s="2" t="inlineStr">
        <is>
          <t>Queja de cliente / lección 8D</t>
        </is>
      </c>
      <c r="T71" s="2" t="inlineStr">
        <is>
          <t>Orientación invertida</t>
        </is>
      </c>
    </row>
    <row r="72" ht="54" customHeight="1">
      <c r="A72" s="9" t="inlineStr">
        <is>
          <t>ACT-PICTORIS-J8-SOP-YOKOTEN</t>
        </is>
      </c>
      <c r="B72" s="9" t="n"/>
      <c r="C72" s="9" t="inlineStr">
        <is>
          <t>PICTORIS</t>
        </is>
      </c>
      <c r="D72" s="9" t="inlineStr">
        <is>
          <t>73-103603-05</t>
        </is>
      </c>
      <c r="E72" s="9" t="n"/>
      <c r="F72" s="9" t="n"/>
      <c r="G72" s="9" t="inlineStr">
        <is>
          <t>Procesos</t>
        </is>
      </c>
      <c r="H72" s="9" t="inlineStr">
        <is>
          <t>Aplicar el control definido por Procesos / SOP antes de liberar producción y mantener la referencia visible en SMTinel Yokoten.</t>
        </is>
      </c>
      <c r="I72" s="9" t="n"/>
      <c r="J72" s="9" t="inlineStr">
        <is>
          <t>Open</t>
        </is>
      </c>
      <c r="K72" s="9" t="n"/>
      <c r="L72" s="9" t="inlineStr">
        <is>
          <t>Cerrar cuando el control de J8 quede definido, aprobado e implementado. Al cerrar, conservar J8 en Yokoten como Histórico controlado.</t>
        </is>
      </c>
      <c r="M72" s="9" t="inlineStr">
        <is>
          <t>Y</t>
        </is>
      </c>
      <c r="N72" s="10" t="inlineStr">
        <is>
          <t>Pendiente</t>
        </is>
      </c>
      <c r="O72" s="2" t="inlineStr">
        <is>
          <t>J8</t>
        </is>
      </c>
      <c r="P72" s="2" t="inlineStr">
        <is>
          <t>Y</t>
        </is>
      </c>
      <c r="Q72" s="2" t="inlineStr">
        <is>
          <t>Otro</t>
        </is>
      </c>
      <c r="R72" s="2" t="inlineStr">
        <is>
          <t>Acción directa sobre componente</t>
        </is>
      </c>
      <c r="S72" s="2" t="inlineStr">
        <is>
          <t>Action Tracker</t>
        </is>
      </c>
      <c r="T72" s="2" t="inlineStr">
        <is>
          <t>Referencia crítica</t>
        </is>
      </c>
    </row>
    <row r="73" ht="54" customHeight="1">
      <c r="A73" s="9" t="inlineStr">
        <is>
          <t>ACT-BROOKLYN-J59-SOP-YOKOTEN</t>
        </is>
      </c>
      <c r="B73" s="9" t="n"/>
      <c r="C73" s="9" t="inlineStr">
        <is>
          <t>BROOKLYN</t>
        </is>
      </c>
      <c r="D73" s="9" t="inlineStr">
        <is>
          <t>73-102022-02</t>
        </is>
      </c>
      <c r="E73" s="9" t="n"/>
      <c r="F73" s="9" t="n"/>
      <c r="G73" s="9" t="inlineStr">
        <is>
          <t>Procesos</t>
        </is>
      </c>
      <c r="H73" s="9" t="inlineStr">
        <is>
          <t>Integrar en SOP/ayuda visual el control de orientación de J59 y mantener la referencia visible en SMTinel Yokoten antes de liberar producción.</t>
        </is>
      </c>
      <c r="I73" s="9" t="n"/>
      <c r="J73" s="9" t="inlineStr">
        <is>
          <t>Open</t>
        </is>
      </c>
      <c r="K73" s="9" t="n"/>
      <c r="L73" s="9" t="inlineStr">
        <is>
          <t>Cerrar cuando la SOP/ayuda visual esté aprobada e implementada. Al cerrar, conservar J59 en Yokoten como Histórico controlado.</t>
        </is>
      </c>
      <c r="M73" s="9" t="inlineStr">
        <is>
          <t>Y</t>
        </is>
      </c>
      <c r="N73" s="10" t="inlineStr">
        <is>
          <t>Pendiente</t>
        </is>
      </c>
      <c r="O73" s="2" t="inlineStr">
        <is>
          <t>J59</t>
        </is>
      </c>
      <c r="P73" s="2" t="inlineStr">
        <is>
          <t>Y</t>
        </is>
      </c>
      <c r="Q73" s="2" t="inlineStr">
        <is>
          <t>Orientación</t>
        </is>
      </c>
      <c r="R73" s="2" t="inlineStr">
        <is>
          <t>Escape previo / riesgo conocido</t>
        </is>
      </c>
      <c r="S73" s="2" t="inlineStr">
        <is>
          <t>8D Brooklyn J59 / Action Tracker</t>
        </is>
      </c>
      <c r="T73" s="2" t="inlineStr">
        <is>
          <t>Orientación invertida</t>
        </is>
      </c>
    </row>
  </sheetData>
  <dataValidations count="2">
    <dataValidation sqref="P2:P500" showDropDown="0" showInputMessage="0" showErrorMessage="0" allowBlank="1" type="list">
      <formula1>"Y,N"</formula1>
    </dataValidation>
    <dataValidation sqref="Q2:Q500" showDropDown="0" showInputMessage="0" showErrorMessage="0" allowBlank="1" type="list">
      <formula1>"Escape,Sin cobertura,Orientación,Daño físico,Proceso especial,Otro"</formula1>
    </dataValidation>
  </dataValidations>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N20"/>
  <sheetViews>
    <sheetView showGridLines="0" workbookViewId="0">
      <pane ySplit="1" topLeftCell="A2" activePane="bottomLeft" state="frozen"/>
      <selection activeCell="A1" sqref="A1"/>
    </sheetView>
  </sheetViews>
  <sheetFormatPr baseColWidth="8" defaultRowHeight="14.5"/>
  <cols>
    <col width="24" customWidth="1" min="1" max="1"/>
    <col width="20" customWidth="1" min="2" max="2"/>
    <col width="18" customWidth="1" min="3" max="4"/>
    <col width="10" customWidth="1" min="5" max="6"/>
    <col width="22" customWidth="1" min="7" max="8"/>
    <col width="34" customWidth="1" min="9" max="9"/>
    <col width="50" customWidth="1" min="10" max="10"/>
    <col width="60" customWidth="1" min="11" max="11"/>
    <col width="30" customWidth="1" min="12" max="12"/>
    <col width="18" customWidth="1" min="13" max="13"/>
    <col width="10" customWidth="1" min="14" max="14"/>
  </cols>
  <sheetData>
    <row r="1" ht="28" customHeight="1">
      <c r="A1" s="1" t="inlineStr">
        <is>
          <t>CC ID</t>
        </is>
      </c>
      <c r="B1" s="1" t="inlineStr">
        <is>
          <t>Scope</t>
        </is>
      </c>
      <c r="C1" s="1" t="inlineStr">
        <is>
          <t>Product</t>
        </is>
      </c>
      <c r="D1" s="1" t="inlineStr">
        <is>
          <t>Part Number</t>
        </is>
      </c>
      <c r="E1" s="1" t="inlineStr">
        <is>
          <t>Rev</t>
        </is>
      </c>
      <c r="F1" s="1" t="inlineStr">
        <is>
          <t>Line</t>
        </is>
      </c>
      <c r="G1" s="1" t="inlineStr">
        <is>
          <t>Component CPN</t>
        </is>
      </c>
      <c r="H1" s="1" t="inlineStr">
        <is>
          <t>RefDes</t>
        </is>
      </c>
      <c r="I1" s="1" t="inlineStr">
        <is>
          <t>Characteristic</t>
        </is>
      </c>
      <c r="J1" s="1" t="inlineStr">
        <is>
          <t>Control / Detection</t>
        </is>
      </c>
      <c r="K1" s="1" t="inlineStr">
        <is>
          <t>Migration Requirement</t>
        </is>
      </c>
      <c r="L1" s="1" t="inlineStr">
        <is>
          <t>Source</t>
        </is>
      </c>
      <c r="M1" s="1" t="inlineStr">
        <is>
          <t>Owner</t>
        </is>
      </c>
      <c r="N1" s="1" t="inlineStr">
        <is>
          <t>Active</t>
        </is>
      </c>
    </row>
    <row r="2" ht="43.5" customHeight="1">
      <c r="A2" s="2" t="inlineStr">
        <is>
          <t>CC-PICTORIS-J73</t>
        </is>
      </c>
      <c r="B2" s="2" t="inlineStr">
        <is>
          <t>PRODUCT</t>
        </is>
      </c>
      <c r="C2" s="2" t="inlineStr">
        <is>
          <t>PICTORIS</t>
        </is>
      </c>
      <c r="D2" s="2" t="inlineStr">
        <is>
          <t>73-103603-05</t>
        </is>
      </c>
      <c r="E2" s="2" t="n"/>
      <c r="F2" s="2" t="n"/>
      <c r="G2" s="2" t="inlineStr">
        <is>
          <t>27-100137-01</t>
        </is>
      </c>
      <c r="H2" s="2" t="inlineStr">
        <is>
          <t>J73</t>
        </is>
      </c>
      <c r="I2" s="2" t="inlineStr">
        <is>
          <t>Orientación de J73. Cuerpo blanco hacia pin 1. No usar el triángulo como guía.</t>
        </is>
      </c>
      <c r="J2" s="2" t="inlineStr">
        <is>
          <t>Revisar orientación en P&amp;P y AOI. Confirmar primera pieza.</t>
        </is>
      </c>
      <c r="K2" s="2" t="inlineStr">
        <is>
          <t>Repetir la prueba de orientación al calificar o recalificar la línea.</t>
        </is>
      </c>
      <c r="L2" s="2" t="inlineStr">
        <is>
          <t>Queja de cliente / lección aprendida</t>
        </is>
      </c>
      <c r="M2" s="2" t="inlineStr">
        <is>
          <t>Josué Rangel / Alberto Cruz / Carlos Martínez</t>
        </is>
      </c>
      <c r="N2" s="2" t="inlineStr">
        <is>
          <t>Y</t>
        </is>
      </c>
    </row>
    <row r="3" ht="29" customHeight="1">
      <c r="A3" s="2" t="inlineStr">
        <is>
          <t>CC-PICTORIS-WO-IDENTITY</t>
        </is>
      </c>
      <c r="B3" s="2" t="inlineStr">
        <is>
          <t>PRODUCT</t>
        </is>
      </c>
      <c r="C3" s="2" t="inlineStr">
        <is>
          <t>PICTORIS</t>
        </is>
      </c>
      <c r="D3" s="2" t="inlineStr">
        <is>
          <t>73-103603-05</t>
        </is>
      </c>
      <c r="E3" s="2" t="n"/>
      <c r="F3" s="2" t="n"/>
      <c r="G3" s="2" t="n"/>
      <c r="H3" s="2" t="inlineStr">
        <is>
          <t>WO / First Piece</t>
        </is>
      </c>
      <c r="I3" s="2" t="inlineStr">
        <is>
          <t>Número de parte y revisión correctos.</t>
        </is>
      </c>
      <c r="J3" s="2" t="inlineStr">
        <is>
          <t>Validar ambos datos en la orden y en la primera pieza.</t>
        </is>
      </c>
      <c r="K3" s="2" t="inlineStr">
        <is>
          <t>Detener la orden si el número de parte o la revisión no coincide.</t>
        </is>
      </c>
      <c r="L3" s="2" t="inlineStr">
        <is>
          <t>Control de configuración · EVT-08 / EVT-09</t>
        </is>
      </c>
      <c r="M3" s="2" t="inlineStr">
        <is>
          <t>Planeación / PM</t>
        </is>
      </c>
      <c r="N3" s="2" t="inlineStr">
        <is>
          <t>Y</t>
        </is>
      </c>
    </row>
    <row r="4" ht="29" customHeight="1">
      <c r="A4" s="2" t="inlineStr">
        <is>
          <t>CC-BAYFRONT-BOM-LOADLIST</t>
        </is>
      </c>
      <c r="B4" s="2" t="inlineStr">
        <is>
          <t>PRODUCT</t>
        </is>
      </c>
      <c r="C4" s="2" t="inlineStr">
        <is>
          <t>BAYFRONT</t>
        </is>
      </c>
      <c r="D4" s="2" t="inlineStr">
        <is>
          <t>73-103826-05</t>
        </is>
      </c>
      <c r="E4" s="2" t="n"/>
      <c r="F4" s="2" t="n"/>
      <c r="G4" s="2" t="n"/>
      <c r="H4" s="2" t="inlineStr">
        <is>
          <t>BOM / Load List</t>
        </is>
      </c>
      <c r="I4" s="2" t="inlineStr">
        <is>
          <t>Coincidencia de parte, posición, cantidad y revisión.</t>
        </is>
      </c>
      <c r="J4" s="2" t="inlineStr">
        <is>
          <t>Comparar BOM liberada contra lista de carga antes de liberar.</t>
        </is>
      </c>
      <c r="K4" s="2" t="inlineStr">
        <is>
          <t>No liberar si hay diferencias.</t>
        </is>
      </c>
      <c r="L4" s="2" t="inlineStr">
        <is>
          <t>Control de configuración · EVT-01</t>
        </is>
      </c>
      <c r="M4" s="2" t="inlineStr">
        <is>
          <t>Programación / Calidad</t>
        </is>
      </c>
      <c r="N4" s="2" t="inlineStr">
        <is>
          <t>Y</t>
        </is>
      </c>
    </row>
    <row r="5" ht="43.5" customHeight="1">
      <c r="A5" s="2" t="inlineStr">
        <is>
          <t>CC-ARATA-ODM-CONFIG</t>
        </is>
      </c>
      <c r="B5" s="2" t="inlineStr">
        <is>
          <t>REVISION</t>
        </is>
      </c>
      <c r="C5" s="2" t="inlineStr">
        <is>
          <t>ARATA</t>
        </is>
      </c>
      <c r="D5" s="2" t="inlineStr">
        <is>
          <t>74-133408-02</t>
        </is>
      </c>
      <c r="E5" s="2" t="inlineStr">
        <is>
          <t>B0</t>
        </is>
      </c>
      <c r="F5" s="2" t="n"/>
      <c r="G5" s="2" t="n"/>
      <c r="H5" s="2" t="inlineStr">
        <is>
          <t>U58 / impacted RefDes</t>
        </is>
      </c>
      <c r="I5" s="2" t="inlineStr">
        <is>
          <t>Configuración ODM: U58, revisión y cambio aplicado.</t>
        </is>
      </c>
      <c r="J5" s="2" t="inlineStr">
        <is>
          <t>Confirmar orden, configuración física SMT y pruebas ICT.</t>
        </is>
      </c>
      <c r="K5" s="2" t="inlineStr">
        <is>
          <t>Volver a revisar si cambia U58, la revisión o las pruebas afectadas.</t>
        </is>
      </c>
      <c r="L5" s="2" t="inlineStr">
        <is>
          <t>Control de configuración · EVT-02 / EVT-03 / EVT-04</t>
        </is>
      </c>
      <c r="M5" s="2" t="inlineStr">
        <is>
          <t>Planeación / Producto / SMT / ICT</t>
        </is>
      </c>
      <c r="N5" s="2" t="inlineStr">
        <is>
          <t>Y</t>
        </is>
      </c>
    </row>
    <row r="6" ht="43.5" customHeight="1">
      <c r="A6" s="2" t="inlineStr">
        <is>
          <t>CC-TAYLOR-CLEARANCE</t>
        </is>
      </c>
      <c r="B6" s="2" t="inlineStr">
        <is>
          <t>PRODUCT</t>
        </is>
      </c>
      <c r="C6" s="2" t="inlineStr">
        <is>
          <t>TAYLOR</t>
        </is>
      </c>
      <c r="D6" s="2" t="n"/>
      <c r="E6" s="2" t="n"/>
      <c r="F6" s="2" t="n"/>
      <c r="G6" s="2" t="n"/>
      <c r="H6" s="2" t="inlineStr">
        <is>
          <t>C69_B/C4_B; C267/C268; C280/C282/C283/C284/C274/C67/C70</t>
        </is>
      </c>
      <c r="I6" s="2" t="inlineStr">
        <is>
          <t>Separación mínima entre componentes y tamaño aprobado.</t>
        </is>
      </c>
      <c r="J6" s="2" t="inlineStr">
        <is>
          <t>Revisar tamaño, colocación y separación después de soldar. Usar AOI u otra inspección aprobada.</t>
        </is>
      </c>
      <c r="K6" s="2" t="inlineStr">
        <is>
          <t>Revisar de nuevo si cambia proveedor, pieza, boquilla o programa.</t>
        </is>
      </c>
      <c r="L6" s="2" t="inlineStr">
        <is>
          <t>Caso Taylor / registro SMTinel</t>
        </is>
      </c>
      <c r="M6" s="2" t="inlineStr">
        <is>
          <t>Carlos Martínez / Josué Rangel / José Cruz</t>
        </is>
      </c>
      <c r="N6" s="2" t="inlineStr">
        <is>
          <t>Y</t>
        </is>
      </c>
    </row>
    <row r="7" ht="52.79999923706055" customHeight="1">
      <c r="A7" s="2" t="inlineStr">
        <is>
          <t>CC-NIXIE-MIC-SEATING</t>
        </is>
      </c>
      <c r="B7" s="2" t="inlineStr">
        <is>
          <t>PRODUCT</t>
        </is>
      </c>
      <c r="C7" s="2" t="inlineStr">
        <is>
          <t>NIXIE</t>
        </is>
      </c>
      <c r="D7" s="2" t="n"/>
      <c r="E7" s="2" t="n"/>
      <c r="F7" s="2" t="n"/>
      <c r="G7" s="2" t="n"/>
      <c r="H7" s="2" t="inlineStr">
        <is>
          <t>Microphone</t>
        </is>
      </c>
      <c r="I7" s="2" t="inlineStr">
        <is>
          <t>Micrófono asentado. Bolas de soldadura sin desplazamiento.</t>
        </is>
      </c>
      <c r="J7" s="2" t="inlineStr">
        <is>
          <t>Usar boquilla y ajustes aprobados. Revisar después de colocar y soldar.</t>
        </is>
      </c>
      <c r="K7" s="2" t="inlineStr">
        <is>
          <t>Revalidar si cambia proveedor, boquilla o programa.</t>
        </is>
      </c>
      <c r="L7" s="2" t="inlineStr">
        <is>
          <t>Caso NIXIE Q1WK08 / WK10</t>
        </is>
      </c>
      <c r="M7" s="2" t="inlineStr">
        <is>
          <t>SMT-P&amp;P / Carlos Martínez</t>
        </is>
      </c>
      <c r="N7" s="2" t="inlineStr">
        <is>
          <t>Y</t>
        </is>
      </c>
    </row>
    <row r="8" ht="43.5" customHeight="1">
      <c r="A8" s="2" t="inlineStr">
        <is>
          <t>CC-TUFNELL-DEVIATION-SCOPE-HI</t>
        </is>
      </c>
      <c r="B8" s="2" t="inlineStr">
        <is>
          <t>PRODUCT</t>
        </is>
      </c>
      <c r="C8" s="2" t="inlineStr">
        <is>
          <t>TUFNELL PARK</t>
        </is>
      </c>
      <c r="D8" s="2" t="inlineStr">
        <is>
          <t>73-20247-06</t>
        </is>
      </c>
      <c r="E8" s="2" t="n"/>
      <c r="F8" s="2" t="n"/>
      <c r="G8" s="2" t="inlineStr">
        <is>
          <t>15-102981-01; 15-102981-02</t>
        </is>
      </c>
      <c r="H8" s="2" t="inlineStr">
        <is>
          <t>U23</t>
        </is>
      </c>
      <c r="I8" s="2" t="inlineStr">
        <is>
          <t>La aprobación de material solo aplica al producto y orden indicados.</t>
        </is>
      </c>
      <c r="J8" s="2" t="inlineStr">
        <is>
          <t>Revisar material, producto y orden contra SAP y la desviación.</t>
        </is>
      </c>
      <c r="K8" s="2" t="inlineStr">
        <is>
          <t>No permitir excepciones fuera del alcance aprobado.</t>
        </is>
      </c>
      <c r="L8" s="2" t="inlineStr">
        <is>
          <t>Análisis de desviación CRBU / NGFWBU</t>
        </is>
      </c>
      <c r="M8" s="2" t="n"/>
      <c r="N8" s="2" t="inlineStr">
        <is>
          <t>Y</t>
        </is>
      </c>
    </row>
    <row r="9" ht="43.5" customHeight="1">
      <c r="A9" s="2" t="inlineStr">
        <is>
          <t>CC-TUFNELL-DEVIATION-SCOPE-LO</t>
        </is>
      </c>
      <c r="B9" s="2" t="inlineStr">
        <is>
          <t>PRODUCT</t>
        </is>
      </c>
      <c r="C9" s="2" t="inlineStr">
        <is>
          <t>TUFNELL PARK</t>
        </is>
      </c>
      <c r="D9" s="2" t="inlineStr">
        <is>
          <t>73-20249-06</t>
        </is>
      </c>
      <c r="E9" s="2" t="n"/>
      <c r="F9" s="2" t="n"/>
      <c r="G9" s="2" t="inlineStr">
        <is>
          <t>15-102981-01; 15-102981-02</t>
        </is>
      </c>
      <c r="H9" s="2" t="inlineStr">
        <is>
          <t>U23</t>
        </is>
      </c>
      <c r="I9" s="2" t="inlineStr">
        <is>
          <t>La aprobación de material solo aplica al producto y orden indicados.</t>
        </is>
      </c>
      <c r="J9" s="2" t="inlineStr">
        <is>
          <t>Revisar material, producto y orden contra SAP y la desviación.</t>
        </is>
      </c>
      <c r="K9" s="2" t="inlineStr">
        <is>
          <t>No permitir excepciones fuera del alcance aprobado.</t>
        </is>
      </c>
      <c r="L9" s="2" t="inlineStr">
        <is>
          <t>Análisis de desviación CRBU / NGFWBU</t>
        </is>
      </c>
      <c r="M9" s="2" t="n"/>
      <c r="N9" s="2" t="inlineStr">
        <is>
          <t>Y</t>
        </is>
      </c>
    </row>
    <row r="10" ht="43.5" customHeight="1">
      <c r="A10" s="2" t="inlineStr">
        <is>
          <t>CC-CHARON-CR95-POLARITY</t>
        </is>
      </c>
      <c r="B10" s="2" t="inlineStr">
        <is>
          <t>PRODUCT</t>
        </is>
      </c>
      <c r="C10" s="2" t="inlineStr">
        <is>
          <t>CHARON</t>
        </is>
      </c>
      <c r="D10" s="2" t="n"/>
      <c r="E10" s="2" t="n"/>
      <c r="F10" s="2" t="n"/>
      <c r="G10" s="2" t="inlineStr">
        <is>
          <t>25-100369-01</t>
        </is>
      </c>
      <c r="H10" s="2" t="inlineStr">
        <is>
          <t>CR95</t>
        </is>
      </c>
      <c r="I10" s="2" t="inlineStr">
        <is>
          <t>Orientación de CR95. La marca verde indica el ánodo.</t>
        </is>
      </c>
      <c r="J10" s="2" t="inlineStr">
        <is>
          <t>Revisar con la ayuda visual aprobada. La marca verde va opuesta al silkscreen.</t>
        </is>
      </c>
      <c r="K10" s="2" t="inlineStr">
        <is>
          <t>Confirmar la orientación al iniciar en una línea nueva o recalificar.</t>
        </is>
      </c>
      <c r="L10" s="2" t="inlineStr">
        <is>
          <t>Revisión Charon / correo de polaridad CR95</t>
        </is>
      </c>
      <c r="M10" s="2" t="n"/>
      <c r="N10" s="2" t="inlineStr">
        <is>
          <t>Y</t>
        </is>
      </c>
    </row>
    <row r="11" ht="39.5" customHeight="1">
      <c r="A11" s="9" t="inlineStr">
        <is>
          <t>CC-PICTORIS-BOTON-FLUX</t>
        </is>
      </c>
      <c r="B11" s="9" t="inlineStr">
        <is>
          <t>PRODUCT</t>
        </is>
      </c>
      <c r="C11" s="9" t="inlineStr">
        <is>
          <t>PICTORIS</t>
        </is>
      </c>
      <c r="D11" s="9" t="n"/>
      <c r="E11" s="9" t="n"/>
      <c r="F11" s="9" t="n"/>
      <c r="G11" s="9" t="n"/>
      <c r="H11" s="9" t="n"/>
      <c r="I11" s="9" t="inlineStr">
        <is>
          <t>Botón seco, sin flux ni pegajosidad, con accionamiento y retorno libres.</t>
        </is>
      </c>
      <c r="J11" s="9" t="inlineStr">
        <is>
          <t>Proteger el botón y toda el área de conectores con Kapton durante el retrabajo. Inspeccionar al 100 %. Rechazar y reemplazar ante residuos o pegajosidad, aunque el botón aún accione. Para probarlo, usar solo el dedo. No usar pinzas puntiagudas.</t>
        </is>
      </c>
      <c r="K11" s="9" t="inlineStr">
        <is>
          <t>Aplicar estos controles en cada línea nueva o recalificación del producto. Confirmar que el personal conoce el criterio de reemplazo y verificar función después de cambiar el componente.</t>
        </is>
      </c>
      <c r="L11" s="9" t="inlineStr">
        <is>
          <t>Alerta de calidad CVEBU QAF350 Rev03. Experimento y criterios reportados el 30/09/2026.</t>
        </is>
      </c>
      <c r="M11" s="9" t="n"/>
      <c r="N11" s="9" t="inlineStr">
        <is>
          <t>Y</t>
        </is>
      </c>
    </row>
    <row r="12" ht="39.5" customHeight="1">
      <c r="A12" s="9" t="inlineStr">
        <is>
          <t>CC-MILLENIUM-BOTON-FLUX</t>
        </is>
      </c>
      <c r="B12" s="9" t="inlineStr">
        <is>
          <t>PRODUCT</t>
        </is>
      </c>
      <c r="C12" s="9" t="inlineStr">
        <is>
          <t>MILLENIUM</t>
        </is>
      </c>
      <c r="D12" s="9" t="n"/>
      <c r="E12" s="9" t="n"/>
      <c r="F12" s="9" t="n"/>
      <c r="G12" s="9" t="n"/>
      <c r="H12" s="9" t="n"/>
      <c r="I12" s="9" t="inlineStr">
        <is>
          <t>Botón seco, sin flux ni pegajosidad, con accionamiento y retorno libres.</t>
        </is>
      </c>
      <c r="J12" s="9" t="inlineStr">
        <is>
          <t>Proteger el botón y toda el área de conectores con Kapton durante el retrabajo. Inspeccionar al 100 %. Rechazar y reemplazar ante residuos o pegajosidad, aunque el botón aún accione. Para probarlo, usar solo el dedo. No usar pinzas puntiagudas.</t>
        </is>
      </c>
      <c r="K12" s="9" t="inlineStr">
        <is>
          <t>Aplicar estos controles en cada línea nueva o recalificación del producto. Confirmar que el personal conoce el criterio de reemplazo y verificar función después de cambiar el componente.</t>
        </is>
      </c>
      <c r="L12" s="9" t="inlineStr">
        <is>
          <t>Alerta de calidad CVEBU QAF350 Rev03. Experimento y criterios reportados el 30/09/2026.</t>
        </is>
      </c>
      <c r="M12" s="9" t="n"/>
      <c r="N12" s="9" t="inlineStr">
        <is>
          <t>Y</t>
        </is>
      </c>
    </row>
    <row r="13" ht="39.5" customHeight="1">
      <c r="A13" s="9" t="inlineStr">
        <is>
          <t>CC-OCTAVIO-BOTON-FLUX</t>
        </is>
      </c>
      <c r="B13" s="9" t="inlineStr">
        <is>
          <t>PRODUCT</t>
        </is>
      </c>
      <c r="C13" s="9" t="inlineStr">
        <is>
          <t>OCTAVIO</t>
        </is>
      </c>
      <c r="D13" s="9" t="n"/>
      <c r="E13" s="9" t="n"/>
      <c r="F13" s="9" t="n"/>
      <c r="G13" s="9" t="n"/>
      <c r="H13" s="9" t="n"/>
      <c r="I13" s="9" t="inlineStr">
        <is>
          <t>Botón seco, sin flux ni pegajosidad, con accionamiento y retorno libres.</t>
        </is>
      </c>
      <c r="J13" s="9" t="inlineStr">
        <is>
          <t>Proteger el botón y toda el área de conectores con Kapton durante el retrabajo. Inspeccionar al 100 %. Rechazar y reemplazar ante residuos o pegajosidad, aunque el botón aún accione. Para probarlo, usar solo el dedo. No usar pinzas puntiagudas.</t>
        </is>
      </c>
      <c r="K13" s="9" t="inlineStr">
        <is>
          <t>Aplicar estos controles en cada línea nueva o recalificación del producto. Confirmar que el personal conoce el criterio de reemplazo y verificar función después de cambiar el componente.</t>
        </is>
      </c>
      <c r="L13" s="9" t="inlineStr">
        <is>
          <t>Alerta de calidad CVEBU QAF350 Rev03. Experimento y criterios reportados el 30/09/2026.</t>
        </is>
      </c>
      <c r="M13" s="9" t="n"/>
      <c r="N13" s="9" t="inlineStr">
        <is>
          <t>Y</t>
        </is>
      </c>
    </row>
    <row r="14" ht="39.5" customHeight="1">
      <c r="A14" s="9" t="inlineStr">
        <is>
          <t>CC-BROOKLYN-BOTON-FLUX</t>
        </is>
      </c>
      <c r="B14" s="9" t="inlineStr">
        <is>
          <t>PRODUCT</t>
        </is>
      </c>
      <c r="C14" s="9" t="inlineStr">
        <is>
          <t>BROOKLYN</t>
        </is>
      </c>
      <c r="D14" s="9" t="n"/>
      <c r="E14" s="9" t="n"/>
      <c r="F14" s="9" t="n"/>
      <c r="G14" s="9" t="n"/>
      <c r="H14" s="9" t="n"/>
      <c r="I14" s="9" t="inlineStr">
        <is>
          <t>Botón seco, sin flux ni pegajosidad, con accionamiento y retorno libres.</t>
        </is>
      </c>
      <c r="J14" s="9" t="inlineStr">
        <is>
          <t>Proteger el botón y toda el área de conectores con Kapton durante el retrabajo. Inspeccionar al 100 %. Rechazar y reemplazar ante residuos o pegajosidad, aunque el botón aún accione. Para probarlo, usar solo el dedo. No usar pinzas puntiagudas.</t>
        </is>
      </c>
      <c r="K14" s="9" t="inlineStr">
        <is>
          <t>Aplicar estos controles en cada línea nueva o recalificación del producto. Confirmar que el personal conoce el criterio de reemplazo y verificar función después de cambiar el componente.</t>
        </is>
      </c>
      <c r="L14" s="9" t="inlineStr">
        <is>
          <t>Alerta de calidad CVEBU QAF350 Rev03. Experimento y criterios reportados el 30/09/2026.</t>
        </is>
      </c>
      <c r="M14" s="9" t="n"/>
      <c r="N14" s="9" t="inlineStr">
        <is>
          <t>Y</t>
        </is>
      </c>
    </row>
    <row r="15" ht="39.5" customHeight="1">
      <c r="A15" s="9" t="inlineStr">
        <is>
          <t>CC-DAVINCI-BOTON-FLUX</t>
        </is>
      </c>
      <c r="B15" s="9" t="inlineStr">
        <is>
          <t>PRODUCT</t>
        </is>
      </c>
      <c r="C15" s="9" t="inlineStr">
        <is>
          <t>DAVINCI</t>
        </is>
      </c>
      <c r="D15" s="9" t="n"/>
      <c r="E15" s="9" t="n"/>
      <c r="F15" s="9" t="n"/>
      <c r="G15" s="9" t="n"/>
      <c r="H15" s="9" t="n"/>
      <c r="I15" s="9" t="inlineStr">
        <is>
          <t>Botón seco, sin flux ni pegajosidad, con accionamiento y retorno libres.</t>
        </is>
      </c>
      <c r="J15" s="9" t="inlineStr">
        <is>
          <t>Proteger el botón y toda el área de conectores con Kapton durante el retrabajo. Inspeccionar al 100 %. Rechazar y reemplazar ante residuos o pegajosidad, aunque el botón aún accione. Para probarlo, usar solo el dedo. No usar pinzas puntiagudas.</t>
        </is>
      </c>
      <c r="K15" s="9" t="inlineStr">
        <is>
          <t>Aplicar estos controles en cada línea nueva o recalificación del producto. Confirmar que el personal conoce el criterio de reemplazo y verificar función después de cambiar el componente.</t>
        </is>
      </c>
      <c r="L15" s="9" t="inlineStr">
        <is>
          <t>Alerta de calidad CVEBU QAF350 Rev03. Experimento y criterios reportados el 30/09/2026.</t>
        </is>
      </c>
      <c r="M15" s="9" t="n"/>
      <c r="N15" s="9" t="inlineStr">
        <is>
          <t>Y</t>
        </is>
      </c>
    </row>
    <row r="16" ht="70" customHeight="1">
      <c r="A16" s="9" t="inlineStr">
        <is>
          <t>CC-HEIMDALL-CLIP-CUSTODY</t>
        </is>
      </c>
      <c r="B16" s="9" t="inlineStr">
        <is>
          <t>REVISION</t>
        </is>
      </c>
      <c r="C16" s="9" t="inlineStr">
        <is>
          <t>HEIMDALL</t>
        </is>
      </c>
      <c r="D16" s="9" t="inlineStr">
        <is>
          <t>73-103459-02</t>
        </is>
      </c>
      <c r="E16" s="9" t="inlineStr">
        <is>
          <t>A0</t>
        </is>
      </c>
      <c r="F16" s="9" t="n"/>
      <c r="G16" s="9" t="inlineStr">
        <is>
          <t>700-136420-01</t>
        </is>
      </c>
      <c r="H16" s="9" t="inlineStr">
        <is>
          <t>J3-J8</t>
        </is>
      </c>
      <c r="I16" s="9" t="inlineStr">
        <is>
          <t>Presencia, fijación y continuidad del clip J3-J8; superficie dorada de contacto limpia; custodia de manufactura definida por referencia.</t>
        </is>
      </c>
      <c r="J16" s="9" t="inlineStr">
        <is>
          <t>PCAMAP + BOM/RefDes + documento de proceso aprobado + 100 % X-Ray en J3-J8.</t>
        </is>
      </c>
      <c r="K16" s="9" t="inlineStr">
        <is>
          <t>En cada ECN/ECO, nueva revisión, cambio de línea o requalificación, confirmar el owner, destino y método de ensamble de J3-J8. Si algún campo queda sin resolver, mantener HOLD y escalar al CFT/Cisco.</t>
        </is>
      </c>
      <c r="L16" s="9" t="inlineStr">
        <is>
          <t>PCAMAP 61-107350-02 · Heimdall 73-103459-02 ECN / clip investigation</t>
        </is>
      </c>
      <c r="M16" s="9" t="n"/>
      <c r="N16" s="9" t="inlineStr">
        <is>
          <t>Y</t>
        </is>
      </c>
    </row>
    <row r="17" ht="66" customHeight="1">
      <c r="A17" s="9" t="inlineStr">
        <is>
          <t>CC-GREENFORD-MARCADO</t>
        </is>
      </c>
      <c r="B17" s="9" t="inlineStr">
        <is>
          <t>PRODUCT</t>
        </is>
      </c>
      <c r="C17" s="9" t="inlineStr">
        <is>
          <t>GREENFORD</t>
        </is>
      </c>
      <c r="D17" s="9" t="inlineStr">
        <is>
          <t>73-104532-01</t>
        </is>
      </c>
      <c r="E17" s="9" t="str"/>
      <c r="F17" s="9" t="str"/>
      <c r="G17" s="9" t="inlineStr">
        <is>
          <t>17-103689-02; 17-103691-01; 17-102460-07</t>
        </is>
      </c>
      <c r="H17" s="9" t="str"/>
      <c r="I17" s="9" t="inlineStr">
        <is>
          <t>Identificación autorizada del material reprogramado y revisión vigente OCV/OCR</t>
        </is>
      </c>
      <c r="J17" s="9" t="inlineStr">
        <is>
          <t>Referencia oficial de marcado + revisión OCV/OCR controlada + reto positivo/negativo.</t>
        </is>
      </c>
      <c r="K17" s="9" t="inlineStr">
        <is>
          <t>Antes del cambio de modelo o línea, cotejar PN, programación, marcado autorizado y librería vigente. Sin referencia oficial disponible, retener y escalar. No extender C1 a otros PN o programaciones por semejanza.</t>
        </is>
      </c>
      <c r="L17" s="9" t="inlineStr">
        <is>
          <t>Chat Análisis de causa raíz, 01/10/2026. Relato del usuario y síntesis de PILOTO GREENFORD / Re: PILOTO GREENFORD. La revisión de los adjuntos debe respaldar la autorización.</t>
        </is>
      </c>
      <c r="M17" s="9" t="str"/>
      <c r="N17" s="9" t="inlineStr">
        <is>
          <t>Y</t>
        </is>
      </c>
    </row>
    <row r="18" ht="66" customHeight="1">
      <c r="A18" s="9" t="inlineStr">
        <is>
          <t>CC-BROOKLYN-S1-ACCIONAMIENTO</t>
        </is>
      </c>
      <c r="B18" s="9" t="inlineStr">
        <is>
          <t>PRODUCT</t>
        </is>
      </c>
      <c r="C18" s="9" t="inlineStr">
        <is>
          <t>BROOKLYN</t>
        </is>
      </c>
      <c r="D18" s="9" t="inlineStr">
        <is>
          <t>73-102022-02</t>
        </is>
      </c>
      <c r="E18" s="9" t="str"/>
      <c r="F18" s="9" t="str"/>
      <c r="G18" s="9" t="inlineStr">
        <is>
          <t>22-100214-01</t>
        </is>
      </c>
      <c r="H18" s="9" t="inlineStr">
        <is>
          <t>S1</t>
        </is>
      </c>
      <c r="I18" s="9" t="inlineStr">
        <is>
          <t>Accionamiento y retorno de S1 sin fuerza lateral ni herramienta punzante</t>
        </is>
      </c>
      <c r="J18" s="9" t="inlineStr">
        <is>
          <t>WI de accionamiento controlado y verificación antes/después. No usar herramienta punzante.</t>
        </is>
      </c>
      <c r="K18" s="9" t="inlineStr">
        <is>
          <t>Definir en WI el método de accionamiento controlado. Antes/después del retrabajo revisar retorno libre, atasco, retorno lento, decoloración y residuos. Separar defecto previo de daño durante inspección.</t>
        </is>
      </c>
      <c r="L18" s="9" t="inlineStr">
        <is>
          <t>Chat Investigación profunda 8D, 30/09/2026. Experimento en 5 Brooklyn recuperado del historial: flux reprodujo atasco; alcohol no lo reprodujo en esa muestra; observación de tweezer.</t>
        </is>
      </c>
      <c r="M18" s="9" t="str"/>
      <c r="N18" s="9" t="inlineStr">
        <is>
          <t>Y</t>
        </is>
      </c>
    </row>
    <row r="19" ht="66" customHeight="1">
      <c r="A19" s="9" t="inlineStr">
        <is>
          <t>CC-VORETJ-PTH-PUENTES</t>
        </is>
      </c>
      <c r="B19" s="9" t="inlineStr">
        <is>
          <t>PRODUCT</t>
        </is>
      </c>
      <c r="C19" s="9" t="inlineStr">
        <is>
          <t>VoreTJ-48PXPLX</t>
        </is>
      </c>
      <c r="D19" s="9" t="inlineStr">
        <is>
          <t>73-103083-04</t>
        </is>
      </c>
      <c r="E19" s="9" t="str"/>
      <c r="F19" s="9" t="str"/>
      <c r="G19" s="9" t="inlineStr">
        <is>
          <t>29-102727-02</t>
        </is>
      </c>
      <c r="H19" s="9" t="inlineStr">
        <is>
          <t>J2/J4/J7/J13</t>
        </is>
      </c>
      <c r="I19" s="9" t="inlineStr">
        <is>
          <t>Ausencia de puentes de soldadura en conectores después de PTH</t>
        </is>
      </c>
      <c r="J19" s="9" t="inlineStr">
        <is>
          <t>Inspección post-PTH de J2/J4/J7/J13 y receta/fixture controlados.</t>
        </is>
      </c>
      <c r="K19" s="9" t="inlineStr">
        <is>
          <t>Inspeccionar las referencias afectadas después de PTH y segregar desde el último serial conforme ante recurrencia. Revalidar receta y controles cuando cambien ola, pallet, producto o parámetros.</t>
        </is>
      </c>
      <c r="L19" s="9" t="inlineStr">
        <is>
          <t>Chat Quake/Mobius, 04/08/2026 hora México / 05/08 UTC. Relato de 27 SN; síntesis del historial: PTH P21S1CT1/P21S4CT1 y RefDes J2/J4/J7/J13. Causa raíz pendiente.</t>
        </is>
      </c>
      <c r="M19" s="9" t="str"/>
      <c r="N19" s="9" t="inlineStr">
        <is>
          <t>Y</t>
        </is>
      </c>
    </row>
    <row r="20" ht="79.19999694824219" customHeight="1">
      <c r="A20" s="9" t="inlineStr">
        <is>
          <t>CC-731991908-LAVADO</t>
        </is>
      </c>
      <c r="B20" s="9" t="inlineStr">
        <is>
          <t>PRODUCT</t>
        </is>
      </c>
      <c r="C20" s="9" t="str"/>
      <c r="D20" s="9" t="inlineStr">
        <is>
          <t>73-19919-08</t>
        </is>
      </c>
      <c r="E20" s="9" t="str"/>
      <c r="F20" s="9" t="str"/>
      <c r="G20" s="9" t="str"/>
      <c r="H20" s="9" t="str"/>
      <c r="I20" s="9" t="inlineStr">
        <is>
          <t>PCB limpia y verificada antes de reimpresión de pasta</t>
        </is>
      </c>
      <c r="J20" s="9" t="inlineStr">
        <is>
          <t>Ruta aprobada de lavado, buffer segregado y verificación antes de reimpresión.</t>
        </is>
      </c>
      <c r="K20" s="9" t="inlineStr">
        <is>
          <t>Segregar PCB con impresión rechazada, enviarla al lavado aprobado y verificar limpieza antes de reintroducirla. Registrar intentos y disposición; detener/escalar si el defecto de impresión se repite.</t>
        </is>
      </c>
      <c r="L20" s="9" t="inlineStr">
        <is>
          <t>Chats ICT Short Fail 73-19919-08 / WO 000001289594, 21/08/2026. 890 unidades, 18 afectadas, 873 ICT Pass y 17 pendientes son cifras de momentos/poblaciones por conciliar. No calcular tasa con ellas.</t>
        </is>
      </c>
      <c r="M20" s="9" t="str"/>
      <c r="N20" s="9" t="inlineStr">
        <is>
          <t>Y</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activeCell="A1" sqref="A1"/>
    </sheetView>
  </sheetViews>
  <sheetFormatPr baseColWidth="8" defaultRowHeight="14.5"/>
  <cols>
    <col width="28" customWidth="1" min="1" max="1"/>
    <col width="22" customWidth="1" min="2" max="2"/>
    <col width="20" customWidth="1" min="3" max="4"/>
    <col width="10" customWidth="1" min="5" max="5"/>
    <col width="14" customWidth="1" min="6" max="6"/>
    <col width="10" customWidth="1" min="7" max="7"/>
    <col width="28" customWidth="1" min="8" max="8"/>
    <col width="38" customWidth="1" min="9" max="9"/>
    <col width="34" customWidth="1" min="10" max="10"/>
    <col width="58" customWidth="1" min="11" max="11"/>
    <col width="10" customWidth="1" min="12" max="12"/>
  </cols>
  <sheetData>
    <row r="1" ht="28" customHeight="1">
      <c r="A1" s="5" t="inlineStr">
        <is>
          <t>Mapping ID</t>
        </is>
      </c>
      <c r="B1" s="5" t="inlineStr">
        <is>
          <t>Component CPN</t>
        </is>
      </c>
      <c r="C1" s="5" t="inlineStr">
        <is>
          <t>Product</t>
        </is>
      </c>
      <c r="D1" s="5" t="inlineStr">
        <is>
          <t>Board Part Number</t>
        </is>
      </c>
      <c r="E1" s="5" t="inlineStr">
        <is>
          <t>Rev</t>
        </is>
      </c>
      <c r="F1" s="5" t="inlineStr">
        <is>
          <t>RefDes</t>
        </is>
      </c>
      <c r="G1" s="5" t="inlineStr">
        <is>
          <t>Side</t>
        </is>
      </c>
      <c r="H1" s="5" t="inlineStr">
        <is>
          <t>MPN</t>
        </is>
      </c>
      <c r="I1" s="5" t="inlineStr">
        <is>
          <t>Description</t>
        </is>
      </c>
      <c r="J1" s="5" t="inlineStr">
        <is>
          <t>Source</t>
        </is>
      </c>
      <c r="K1" s="5" t="inlineStr">
        <is>
          <t>Notes</t>
        </is>
      </c>
      <c r="L1" s="5" t="inlineStr">
        <is>
          <t>Active</t>
        </is>
      </c>
    </row>
    <row r="2" ht="29" customHeight="1">
      <c r="A2" s="6" t="inlineStr">
        <is>
          <t>MAP-PICTORIS-J73</t>
        </is>
      </c>
      <c r="B2" s="7" t="inlineStr">
        <is>
          <t>27-100137-01</t>
        </is>
      </c>
      <c r="C2" s="7" t="inlineStr">
        <is>
          <t>PICTORIS</t>
        </is>
      </c>
      <c r="D2" s="7" t="inlineStr">
        <is>
          <t>73-103603-05</t>
        </is>
      </c>
      <c r="E2" s="7" t="n"/>
      <c r="F2" s="7" t="inlineStr">
        <is>
          <t>J73</t>
        </is>
      </c>
      <c r="G2" s="7" t="n"/>
      <c r="H2" s="7" t="n"/>
      <c r="I2" s="7" t="inlineStr">
        <is>
          <t>Conector J73. Revisar orientación.</t>
        </is>
      </c>
      <c r="J2" s="7" t="inlineStr">
        <is>
          <t>Queja de cliente / lección aprendida</t>
        </is>
      </c>
      <c r="K2" s="7" t="inlineStr">
        <is>
          <t>Componente asociado al hallazgo J73. La posición cambia según la tablilla.</t>
        </is>
      </c>
      <c r="L2" s="6" t="inlineStr">
        <is>
          <t>Y</t>
        </is>
      </c>
    </row>
    <row r="3" ht="29" customHeight="1">
      <c r="A3" s="6" t="inlineStr">
        <is>
          <t>MAP-TUFNELL-HI-U23-OLD</t>
        </is>
      </c>
      <c r="B3" s="7" t="inlineStr">
        <is>
          <t>15-102981-01</t>
        </is>
      </c>
      <c r="C3" s="7" t="inlineStr">
        <is>
          <t>TUFNELL PARK</t>
        </is>
      </c>
      <c r="D3" s="7" t="inlineStr">
        <is>
          <t>73-20247-06</t>
        </is>
      </c>
      <c r="E3" s="7" t="n"/>
      <c r="F3" s="7" t="inlineStr">
        <is>
          <t>U23</t>
        </is>
      </c>
      <c r="G3" s="7" t="n"/>
      <c r="H3" s="7" t="n"/>
      <c r="I3" s="7" t="inlineStr">
        <is>
          <t>Material U23 antes del cambio liberado.</t>
        </is>
      </c>
      <c r="J3" s="7" t="inlineStr">
        <is>
          <t>Análisis de desviación CRBU / NGFWBU</t>
        </is>
      </c>
      <c r="K3" s="7" t="inlineStr">
        <is>
          <t>Transición documentada de 15-102981-01 a 15-102981-02.</t>
        </is>
      </c>
      <c r="L3" s="6" t="inlineStr">
        <is>
          <t>Y</t>
        </is>
      </c>
    </row>
    <row r="4" ht="29" customHeight="1">
      <c r="A4" s="6" t="inlineStr">
        <is>
          <t>MAP-TUFNELL-HI-U23-NEW</t>
        </is>
      </c>
      <c r="B4" s="7" t="inlineStr">
        <is>
          <t>15-102981-02</t>
        </is>
      </c>
      <c r="C4" s="7" t="inlineStr">
        <is>
          <t>TUFNELL PARK</t>
        </is>
      </c>
      <c r="D4" s="7" t="inlineStr">
        <is>
          <t>73-20247-06</t>
        </is>
      </c>
      <c r="E4" s="7" t="n"/>
      <c r="F4" s="7" t="inlineStr">
        <is>
          <t>U23</t>
        </is>
      </c>
      <c r="G4" s="7" t="n"/>
      <c r="H4" s="7" t="n"/>
      <c r="I4" s="7" t="inlineStr">
        <is>
          <t>Material U23 después del cambio liberado.</t>
        </is>
      </c>
      <c r="J4" s="7" t="inlineStr">
        <is>
          <t>Análisis de desviación CRBU / NGFWBU</t>
        </is>
      </c>
      <c r="K4" s="7" t="inlineStr">
        <is>
          <t>Transición documentada de 15-102981-01 a 15-102981-02.</t>
        </is>
      </c>
      <c r="L4" s="6" t="inlineStr">
        <is>
          <t>Y</t>
        </is>
      </c>
    </row>
    <row r="5" ht="29" customHeight="1">
      <c r="A5" s="6" t="inlineStr">
        <is>
          <t>MAP-TUFNELL-LO-U23-OLD</t>
        </is>
      </c>
      <c r="B5" s="7" t="inlineStr">
        <is>
          <t>15-102981-01</t>
        </is>
      </c>
      <c r="C5" s="7" t="inlineStr">
        <is>
          <t>TUFNELL PARK</t>
        </is>
      </c>
      <c r="D5" s="7" t="inlineStr">
        <is>
          <t>73-20249-06</t>
        </is>
      </c>
      <c r="E5" s="7" t="n"/>
      <c r="F5" s="7" t="inlineStr">
        <is>
          <t>U23</t>
        </is>
      </c>
      <c r="G5" s="7" t="n"/>
      <c r="H5" s="7" t="n"/>
      <c r="I5" s="7" t="inlineStr">
        <is>
          <t>Material U23 antes del cambio liberado.</t>
        </is>
      </c>
      <c r="J5" s="7" t="inlineStr">
        <is>
          <t>Análisis de desviación CRBU / NGFWBU</t>
        </is>
      </c>
      <c r="K5" s="7" t="inlineStr">
        <is>
          <t>Transición documentada de 15-102981-01 a 15-102981-02.</t>
        </is>
      </c>
      <c r="L5" s="6" t="inlineStr">
        <is>
          <t>Y</t>
        </is>
      </c>
    </row>
    <row r="6" ht="29" customHeight="1">
      <c r="A6" s="6" t="inlineStr">
        <is>
          <t>MAP-TUFNELL-LO-U23-NEW</t>
        </is>
      </c>
      <c r="B6" s="7" t="inlineStr">
        <is>
          <t>15-102981-02</t>
        </is>
      </c>
      <c r="C6" s="7" t="inlineStr">
        <is>
          <t>TUFNELL PARK</t>
        </is>
      </c>
      <c r="D6" s="7" t="inlineStr">
        <is>
          <t>73-20249-06</t>
        </is>
      </c>
      <c r="E6" s="7" t="n"/>
      <c r="F6" s="7" t="inlineStr">
        <is>
          <t>U23</t>
        </is>
      </c>
      <c r="G6" s="7" t="n"/>
      <c r="H6" s="7" t="n"/>
      <c r="I6" s="7" t="inlineStr">
        <is>
          <t>Material U23 después del cambio liberado.</t>
        </is>
      </c>
      <c r="J6" s="7" t="inlineStr">
        <is>
          <t>Análisis de desviación CRBU / NGFWBU</t>
        </is>
      </c>
      <c r="K6" s="7" t="inlineStr">
        <is>
          <t>Transición documentada de 15-102981-01 a 15-102981-02.</t>
        </is>
      </c>
      <c r="L6" s="6" t="inlineStr">
        <is>
          <t>Y</t>
        </is>
      </c>
    </row>
    <row r="7" ht="46" customHeight="1">
      <c r="A7" s="6" t="inlineStr">
        <is>
          <t>MAP-HEIMDALL-CLIP-J3-J8</t>
        </is>
      </c>
      <c r="B7" s="7" t="inlineStr">
        <is>
          <t>700-136420-01</t>
        </is>
      </c>
      <c r="C7" s="7" t="inlineStr">
        <is>
          <t>HEIMDALL</t>
        </is>
      </c>
      <c r="D7" s="7" t="inlineStr">
        <is>
          <t>73-103459-02</t>
        </is>
      </c>
      <c r="E7" s="7" t="inlineStr">
        <is>
          <t>A0</t>
        </is>
      </c>
      <c r="F7" s="7" t="inlineStr">
        <is>
          <t>J3-J8</t>
        </is>
      </c>
      <c r="G7" s="7" t="n"/>
      <c r="H7" s="7" t="n"/>
      <c r="I7" s="7" t="inlineStr">
        <is>
          <t>Clip de contacto BeCu con acabado Au/Ni para la interfaz eléctrica/mecánica con los spring terminals del speaker.</t>
        </is>
      </c>
      <c r="J7" s="7" t="inlineStr">
        <is>
          <t>PCAMAP 61-107350-02 · ECN / Heimdall clip investigation</t>
        </is>
      </c>
      <c r="K7" s="7" t="inlineStr">
        <is>
          <t>El PCAMAP identifica J3-J8 como posiciones de clip y requiere X-Ray. El método de ensamble y la custodia del proceso deben quedar explícitos en la implementación del ECN.</t>
        </is>
      </c>
      <c r="L7" s="6" t="inlineStr">
        <is>
          <t>Y</t>
        </is>
      </c>
    </row>
    <row r="8" ht="52.79999923706055" customHeight="1">
      <c r="A8" s="6" t="inlineStr">
        <is>
          <t>MAP-VORETJ-PULSE-CONECTORES</t>
        </is>
      </c>
      <c r="B8" s="7" t="inlineStr">
        <is>
          <t>29-102727-02</t>
        </is>
      </c>
      <c r="C8" s="7" t="inlineStr">
        <is>
          <t>VoreTJ-48PXPLX</t>
        </is>
      </c>
      <c r="D8" s="7" t="inlineStr">
        <is>
          <t>73-103083-04</t>
        </is>
      </c>
      <c r="E8" s="7" t="str"/>
      <c r="F8" s="7" t="inlineStr">
        <is>
          <t>J2/J4/J7/J13</t>
        </is>
      </c>
      <c r="G8" s="7" t="str"/>
      <c r="H8" s="7" t="str"/>
      <c r="I8" s="7" t="inlineStr">
        <is>
          <t>Conector PULSE con puentes reportados post-PTH.</t>
        </is>
      </c>
      <c r="J8" s="7" t="inlineStr">
        <is>
          <t>Chat Quake/Mobius, 04/08/2026 hora México / 05/08 UTC. Relato de 27 SN; síntesis del historial: PTH P21S1CT1/P21S4CT1 y RefDes J2/J4/J7/J13. Causa raíz pendiente.</t>
        </is>
      </c>
      <c r="K8" s="7" t="inlineStr">
        <is>
          <t>Mapeo recuperado del historial; cotejar BOM/RefDes vigente al implementar en otra revisión.</t>
        </is>
      </c>
      <c r="L8" s="6" t="inlineStr">
        <is>
          <t>Y</t>
        </is>
      </c>
    </row>
    <row r="9" ht="39.59999847412109" customHeight="1">
      <c r="A9" s="6" t="inlineStr">
        <is>
          <t>MAP-PICTORIS-S1</t>
        </is>
      </c>
      <c r="B9" s="7" t="inlineStr">
        <is>
          <t>22-100214-01</t>
        </is>
      </c>
      <c r="C9" s="7" t="inlineStr">
        <is>
          <t>PICTORIS</t>
        </is>
      </c>
      <c r="D9" s="7" t="inlineStr">
        <is>
          <t>73-103603-05</t>
        </is>
      </c>
      <c r="E9" s="7" t="str"/>
      <c r="F9" s="7" t="inlineStr">
        <is>
          <t>S1</t>
        </is>
      </c>
      <c r="G9" s="7" t="str"/>
      <c r="H9" s="7" t="str"/>
      <c r="I9" s="7" t="inlineStr">
        <is>
          <t>Botón S1 CVEBU.</t>
        </is>
      </c>
      <c r="J9" s="7" t="inlineStr">
        <is>
          <t>Findings existentes LL-PICTORIS-BOTON-FLUX. Base suministrada por el usuario.</t>
        </is>
      </c>
      <c r="K9" s="7" t="inlineStr">
        <is>
          <t>Mapeo ya documentado en Findings. La herencia de controles térmicos requiere validación específica del producto/layout.</t>
        </is>
      </c>
      <c r="L9" s="6" t="inlineStr">
        <is>
          <t>Y</t>
        </is>
      </c>
    </row>
    <row r="10" ht="39.59999847412109" customHeight="1">
      <c r="A10" s="6" t="inlineStr">
        <is>
          <t>MAP-MILLENIUM-S1</t>
        </is>
      </c>
      <c r="B10" s="7" t="inlineStr">
        <is>
          <t>22-100214-01</t>
        </is>
      </c>
      <c r="C10" s="7" t="inlineStr">
        <is>
          <t>MILLENIUM</t>
        </is>
      </c>
      <c r="D10" s="7" t="inlineStr">
        <is>
          <t>73-102226-06</t>
        </is>
      </c>
      <c r="E10" s="7" t="str"/>
      <c r="F10" s="7" t="inlineStr">
        <is>
          <t>S1</t>
        </is>
      </c>
      <c r="G10" s="7" t="str"/>
      <c r="H10" s="7" t="str"/>
      <c r="I10" s="7" t="inlineStr">
        <is>
          <t>Botón S1 CVEBU.</t>
        </is>
      </c>
      <c r="J10" s="7" t="inlineStr">
        <is>
          <t>Findings existentes LL-MILLENIUM-BOTON-FLUX. Base suministrada por el usuario.</t>
        </is>
      </c>
      <c r="K10" s="7" t="inlineStr">
        <is>
          <t>Mapeo ya documentado en Findings. La herencia de controles térmicos requiere validación específica del producto/layout.</t>
        </is>
      </c>
      <c r="L10" s="6" t="inlineStr">
        <is>
          <t>Y</t>
        </is>
      </c>
    </row>
    <row r="11" ht="39.59999847412109" customHeight="1">
      <c r="A11" s="6" t="inlineStr">
        <is>
          <t>MAP-OCTAVIO-S1</t>
        </is>
      </c>
      <c r="B11" s="7" t="inlineStr">
        <is>
          <t>22-100214-01</t>
        </is>
      </c>
      <c r="C11" s="7" t="inlineStr">
        <is>
          <t>OCTAVIO</t>
        </is>
      </c>
      <c r="D11" s="7" t="inlineStr">
        <is>
          <t>73-102701-01</t>
        </is>
      </c>
      <c r="E11" s="7" t="str"/>
      <c r="F11" s="7" t="inlineStr">
        <is>
          <t>S1</t>
        </is>
      </c>
      <c r="G11" s="7" t="str"/>
      <c r="H11" s="7" t="str"/>
      <c r="I11" s="7" t="inlineStr">
        <is>
          <t>Botón S1 CVEBU.</t>
        </is>
      </c>
      <c r="J11" s="7" t="inlineStr">
        <is>
          <t>Findings existentes LL-OCTAVIO-BOTON-FLUX. Base suministrada por el usuario.</t>
        </is>
      </c>
      <c r="K11" s="7" t="inlineStr">
        <is>
          <t>Mapeo ya documentado en Findings. La herencia de controles térmicos requiere validación específica del producto/layout.</t>
        </is>
      </c>
      <c r="L11" s="6" t="inlineStr">
        <is>
          <t>Y</t>
        </is>
      </c>
    </row>
    <row r="12" ht="39.59999847412109" customHeight="1">
      <c r="A12" s="6" t="inlineStr">
        <is>
          <t>MAP-BROOKLYN-S1</t>
        </is>
      </c>
      <c r="B12" s="7" t="inlineStr">
        <is>
          <t>22-100214-01</t>
        </is>
      </c>
      <c r="C12" s="7" t="inlineStr">
        <is>
          <t>BROOKLYN</t>
        </is>
      </c>
      <c r="D12" s="7" t="inlineStr">
        <is>
          <t>73-102022-02</t>
        </is>
      </c>
      <c r="E12" s="7" t="str"/>
      <c r="F12" s="7" t="inlineStr">
        <is>
          <t>S1</t>
        </is>
      </c>
      <c r="G12" s="7" t="str"/>
      <c r="H12" s="7" t="str"/>
      <c r="I12" s="7" t="inlineStr">
        <is>
          <t>Botón S1 CVEBU.</t>
        </is>
      </c>
      <c r="J12" s="7" t="inlineStr">
        <is>
          <t>Findings existentes LL-BROOKLYN-BOTON-FLUX. Base suministrada por el usuario.</t>
        </is>
      </c>
      <c r="K12" s="7" t="inlineStr">
        <is>
          <t>Mapeo ya documentado en Findings. La herencia de controles térmicos requiere validación específica del producto/layout.</t>
        </is>
      </c>
      <c r="L12" s="6" t="inlineStr">
        <is>
          <t>Y</t>
        </is>
      </c>
    </row>
    <row r="13" ht="39.59999847412109" customHeight="1">
      <c r="A13" s="6" t="inlineStr">
        <is>
          <t>MAP-DAVINCI-S1</t>
        </is>
      </c>
      <c r="B13" s="7" t="inlineStr">
        <is>
          <t>22-100214-01</t>
        </is>
      </c>
      <c r="C13" s="7" t="inlineStr">
        <is>
          <t>DAVINCI</t>
        </is>
      </c>
      <c r="D13" s="7" t="inlineStr">
        <is>
          <t>73-102797-02</t>
        </is>
      </c>
      <c r="E13" s="7" t="str"/>
      <c r="F13" s="7" t="inlineStr">
        <is>
          <t>S1</t>
        </is>
      </c>
      <c r="G13" s="7" t="str"/>
      <c r="H13" s="7" t="str"/>
      <c r="I13" s="7" t="inlineStr">
        <is>
          <t>Botón S1 CVEBU.</t>
        </is>
      </c>
      <c r="J13" s="7" t="inlineStr">
        <is>
          <t>Findings existentes LL-DAVINCI-BOTON-FLUX. Base suministrada por el usuario.</t>
        </is>
      </c>
      <c r="K13" s="7" t="inlineStr">
        <is>
          <t>Mapeo ya documentado en Findings. La herencia de controles térmicos requiere validación específica del producto/layout.</t>
        </is>
      </c>
      <c r="L13" s="6" t="inlineStr">
        <is>
          <t>Y</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B41"/>
  <sheetViews>
    <sheetView showGridLines="0" workbookViewId="0">
      <pane ySplit="1" topLeftCell="A2" activePane="bottomLeft" state="frozen"/>
      <selection activeCell="A1" sqref="A1"/>
    </sheetView>
  </sheetViews>
  <sheetFormatPr baseColWidth="8" defaultRowHeight="14.5"/>
  <cols>
    <col width="24" customWidth="1" min="1" max="1"/>
    <col width="110" customWidth="1" min="2" max="2"/>
  </cols>
  <sheetData>
    <row r="1" ht="28" customHeight="1">
      <c r="A1" s="1" t="inlineStr">
        <is>
          <t>Section</t>
        </is>
      </c>
      <c r="B1" s="1" t="inlineStr">
        <is>
          <t>Guidance</t>
        </is>
      </c>
    </row>
    <row r="2" ht="29" customHeight="1">
      <c r="A2" s="3" t="inlineStr">
        <is>
          <t>Purpose</t>
        </is>
      </c>
      <c r="B2" s="2" t="inlineStr">
        <is>
          <t>Base manual de lecciones Yokoten para SMTinel. Los datos de producción, órdenes, pruebas y reparaciones están en Common DB / Handoff / Test Performance / Repair Record.</t>
        </is>
      </c>
    </row>
    <row r="3">
      <c r="A3" s="3" t="inlineStr">
        <is>
          <t>Root filename</t>
        </is>
      </c>
      <c r="B3" s="2" t="inlineStr">
        <is>
          <t>Guardar con el nombre SMTinel_Yokoten_Knowledge_DB.xlsx en la carpeta principal.</t>
        </is>
      </c>
    </row>
    <row r="4" ht="29" customHeight="1">
      <c r="A4" s="3" t="inlineStr">
        <is>
          <t>Scope values</t>
        </is>
      </c>
      <c r="B4" s="2" t="inlineStr">
        <is>
          <t>Usar PRODUCT, REVISION, LINE o PRODUCT_REV_LINE. PRODUCT aplica a todas las líneas. PRODUCT_REV_LINE aplica solo a esa revisión y línea.</t>
        </is>
      </c>
    </row>
    <row r="5">
      <c r="A5" s="3" t="inlineStr">
        <is>
          <t>Active</t>
        </is>
      </c>
      <c r="B5" s="2" t="inlineStr">
        <is>
          <t>Y publica el registro. N lo conserva sin cargarlo en SMTinel.</t>
        </is>
      </c>
    </row>
    <row r="6">
      <c r="A6" s="3" t="inlineStr">
        <is>
          <t>Qualification</t>
        </is>
      </c>
      <c r="B6" s="2" t="inlineStr">
        <is>
          <t>Agregar una fila por producto, número de parte, revisión y línea cuando exista evidencia de calificación.</t>
        </is>
      </c>
    </row>
    <row r="7">
      <c r="A7" s="3" t="inlineStr">
        <is>
          <t>Findings</t>
        </is>
      </c>
      <c r="B7" s="2" t="inlineStr">
        <is>
          <t>Una fila por lección aprendida o hallazgo. Usar un Finding ID único y estable.</t>
        </is>
      </c>
    </row>
    <row r="8">
      <c r="A8" s="3" t="inlineStr">
        <is>
          <t>Actions</t>
        </is>
      </c>
      <c r="B8" s="2" t="inlineStr">
        <is>
          <t>Las acciones pueden ligarse al Finding ID y a una persona/equipo responsable. Finding ID puede quedar vacío solo para una referencia crítica iniciada directamente desde Action Tracker; no crear un Finding hasta que la lección esté validada según la regla de curación.</t>
        </is>
      </c>
    </row>
    <row r="9">
      <c r="A9" s="3" t="inlineStr">
        <is>
          <t>Critical Characteristics</t>
        </is>
      </c>
      <c r="B9" s="2" t="inlineStr">
        <is>
          <t>Controles importantes del producto que deben mantenerse al cambiar de línea.</t>
        </is>
      </c>
    </row>
    <row r="10">
      <c r="A10" s="3" t="inlineStr">
        <is>
          <t>Links</t>
        </is>
      </c>
      <c r="B10" s="2" t="inlineStr">
        <is>
          <t>Usar enlaces HTTPS a FAI, SOP, 8D, lección aprendida o evidencia. No insertar archivos adjuntos.</t>
        </is>
      </c>
    </row>
    <row r="11" ht="29" customHeight="1">
      <c r="A11" s="3" t="inlineStr">
        <is>
          <t>Size discipline</t>
        </is>
      </c>
      <c r="B11" s="2" t="inlineStr">
        <is>
          <t>Guardar solo texto. No pegar imágenes, listas de series, registros de producción ni reportes de reparación.</t>
        </is>
      </c>
    </row>
    <row r="12" ht="29" customHeight="1">
      <c r="A12" s="3" t="inlineStr">
        <is>
          <t>Curation rule</t>
        </is>
      </c>
      <c r="B12" s="2" t="inlineStr">
        <is>
          <t>Esta regla aplica a Findings y Critical Characteristics: publicar lecciones solo con análisis respaldado y conclusión validada. Actions sí puede contener controles Open/Monitoring pendientes de implementación; no convertir una acción propuesta en causa confirmada.</t>
        </is>
      </c>
    </row>
    <row r="13" ht="29" customHeight="1">
      <c r="A13" s="3" t="inlineStr">
        <is>
          <t>Action status</t>
        </is>
      </c>
      <c r="B13" s="2" t="inlineStr">
        <is>
          <t>Usar Closed solo con evidencia de cierre. Usar Open o Monitoring mientras siga pendiente o falte evidencia.</t>
        </is>
      </c>
    </row>
    <row r="14" ht="29" customHeight="1">
      <c r="A14" s="3" t="inlineStr">
        <is>
          <t>Component CPN</t>
        </is>
      </c>
      <c r="B14" s="2" t="inlineStr">
        <is>
          <t>Registrar el número de parte del componente. Sirve para buscar la misma pieza en otros productos.</t>
        </is>
      </c>
    </row>
    <row r="15" ht="29" customHeight="1">
      <c r="A15" s="3" t="inlineStr">
        <is>
          <t>RefDes rule</t>
        </is>
      </c>
      <c r="B15" s="2" t="inlineStr">
        <is>
          <t>La posición, como J73, puede cambiar entre tablillas. Confirmar el número de parte del componente o el cruce de componentes.</t>
        </is>
      </c>
    </row>
    <row r="16" ht="29" customHeight="1">
      <c r="A16" s="3" t="inlineStr">
        <is>
          <t>Component Cross Reference</t>
        </is>
      </c>
      <c r="B16" s="2" t="inlineStr">
        <is>
          <t>Agregar una fila por componente, número de tablilla y posición. La revisión puede quedar vacía si aplica a todas.</t>
        </is>
      </c>
    </row>
    <row r="17" ht="29" customHeight="1">
      <c r="A17" s="3" t="inlineStr">
        <is>
          <t>Component-level Yokoten</t>
        </is>
      </c>
      <c r="B17" s="2" t="inlineStr">
        <is>
          <t>Compartir una lección con otro producto solo si el cruce confirma el mismo número de parte del componente. Mantener separado el hallazgo original y los productos relacionados.</t>
        </is>
      </c>
    </row>
    <row r="18" ht="29" customHeight="1">
      <c r="A18" s="3" t="inlineStr">
        <is>
          <t>Search contract</t>
        </is>
      </c>
      <c r="B18" s="2" t="inlineStr">
        <is>
          <t>La búsqueda puede usar producto, número de tablilla, revisión, componente, posición, MPN, Finding ID o texto del hallazgo. Buscar por componente debe mostrar productos relacionados y su historial de línea y orden.</t>
        </is>
      </c>
    </row>
    <row r="19" ht="26.39999961853027" customHeight="1">
      <c r="A19" s="3" t="inlineStr">
        <is>
          <t>Actualización 01/10/2026</t>
        </is>
      </c>
      <c r="B19" s="2" t="inlineStr">
        <is>
          <t>Casos recuperados de chats de agosto a 01/10/2026. Contenido nuevo en español; encabezados, Scope, Status y Active conservan el contrato del importador.</t>
        </is>
      </c>
    </row>
    <row r="20" ht="26.39999961853027" customHeight="1">
      <c r="A20" s="3" t="inlineStr">
        <is>
          <t>Publicación pendiente</t>
        </is>
      </c>
      <c r="B20" s="2" t="inlineStr">
        <is>
          <t>Active=N conserva casos con mecanismo, aplicabilidad o datos fuente pendientes: S1 térmico, TTM/cupón y press-fit. No representan una causa confirmada ni un criterio liberado. Sus Actions registran trabajo propuesto para validación.</t>
        </is>
      </c>
    </row>
    <row r="21" ht="26.39999961853027" customHeight="1">
      <c r="A21" s="3" t="inlineStr">
        <is>
          <t>Cierre de acciones</t>
        </is>
      </c>
      <c r="B21" s="2" t="inlineStr">
        <is>
          <t>En las acciones nuevas, Closure Note describe la evidencia requerida para cerrar; no indica trabajo ya completado. Fuente de chat en Evidence Link significa antecedente de discusión, no prueba de ejecución. Owner y Due Date quedan vacíos si no se documentaron.</t>
        </is>
      </c>
    </row>
    <row r="22" ht="26.39999961853027" customHeight="1">
      <c r="A22" s="3" t="inlineStr">
        <is>
          <t>NIXIE actualización</t>
        </is>
      </c>
      <c r="B22" s="2" t="inlineStr">
        <is>
          <t>La corrida de 1,800 GETTOP con cambio de nozzle/fuerza mantuvo esferas. P&amp;P no se congela como solución antes de DOE/validación. El sello acústico es hipótesis funcional a verificar con medición.</t>
        </is>
      </c>
    </row>
    <row r="23" ht="26.39999961853027" customHeight="1">
      <c r="A23" s="3" t="inlineStr">
        <is>
          <t>Qualification revisión pendiente</t>
        </is>
      </c>
      <c r="B23" s="2" t="inlineStr">
        <is>
          <t>Los dos registros existentes PICTORIS L13/L17 indican Side=Top. El historial de líneas identifica L13/L17 como Bottom y J73 como BOTTOM. Se conservaron los valores: cotejar programa/drawing/FAI antes de liberar la calificación.</t>
        </is>
      </c>
    </row>
    <row r="24" ht="58" customHeight="1">
      <c r="A24" s="3" t="inlineStr">
        <is>
          <t>Critical reference trigger</t>
        </is>
      </c>
      <c r="B24" s="2" t="inlineStr">
        <is>
          <t>Si Actions.Active=Y, Product tiene valor, RefDes tiene valor y Direct Component Control=Y, SMTinel debe incorporar automáticamente esa combinación como Referencia crítica del producto. No mantener una segunda lista manual.</t>
        </is>
      </c>
    </row>
    <row r="25" ht="58" customHeight="1">
      <c r="A25" s="3" t="inlineStr">
        <is>
          <t>Critical reference key</t>
        </is>
      </c>
      <c r="B25" s="2" t="inlineStr">
        <is>
          <t>Agrupar por Product + RefDes. Board Part Number, Rev, Line y Component CPN refinan la aplicabilidad y el cruce, pero Component CPN puede quedar pendiente sin bloquear la publicación.</t>
        </is>
      </c>
    </row>
    <row r="26" ht="58" customHeight="1">
      <c r="A26" s="3" t="inlineStr">
        <is>
          <t>Critical reference state</t>
        </is>
      </c>
      <c r="B26" s="2" t="inlineStr">
        <is>
          <t>Prioridad de estado por referencia: Open &gt; Monitoring &gt; Closed. Si todas las acciones directas de Product + RefDes están Closed, mover la referencia a Histórico controlado; no borrarla.</t>
        </is>
      </c>
    </row>
    <row r="27" ht="58" customHeight="1">
      <c r="A27" s="3" t="inlineStr">
        <is>
          <t>Critical reference badge</t>
        </is>
      </c>
      <c r="B27" s="2" t="inlineStr">
        <is>
          <t>El contador del producto incluye solo referencias con estado Open o Monitoring. Mostrar un badge discreto por producto/línea cuando la referencia aplique; no convertir toda la matriz en un mapa de colores.</t>
        </is>
      </c>
    </row>
    <row r="28" ht="58" customHeight="1">
      <c r="A28" s="3" t="inlineStr">
        <is>
          <t>Critical reference categories</t>
        </is>
      </c>
      <c r="B28" s="2" t="inlineStr">
        <is>
          <t>Valores permitidos: Escape, Sin cobertura, Orientación, Daño físico, Proceso especial u Otro. Usar la categoría para explicar el motivo, no para sustituir la condición específica.</t>
        </is>
      </c>
    </row>
    <row r="29" ht="58" customHeight="1">
      <c r="A29" s="3" t="inlineStr">
        <is>
          <t>Critical reference display</t>
        </is>
      </c>
      <c r="B29" s="2" t="inlineStr">
        <is>
          <t>En detalle de Yokoten, mostrar antes de Retroalimentación del producto: RefDes, Critical Condition, Critical Reason, Action como Control requerido y Status. Las acciones adicionales pueden desplegarse debajo.</t>
        </is>
      </c>
    </row>
    <row r="30" ht="58" customHeight="1">
      <c r="A30" s="3" t="inlineStr">
        <is>
          <t>Drawing Intelligence link</t>
        </is>
      </c>
      <c r="B30" s="2" t="inlineStr">
        <is>
          <t>Cuando RefDes sea válido, ligar Drawing Intelligence con Product + RefDes y usar Component CPN como apoyo cuando esté disponible. La falta temporal de Component CPN no elimina la referencia crítica.</t>
        </is>
      </c>
    </row>
    <row r="31" ht="58" customHeight="1">
      <c r="A31" s="3" t="inlineStr">
        <is>
          <t>Critical reference closure</t>
        </is>
      </c>
      <c r="B31" s="2" t="inlineStr">
        <is>
          <t>Cerrar la acción no elimina la lección. Closed conserva el registro para la siguiente corrida y deja evidencia histórica de que el control fue implementado.</t>
        </is>
      </c>
    </row>
    <row r="32" ht="58" customHeight="1">
      <c r="A32" s="3" t="inlineStr">
        <is>
          <t>Actualización 06/10/2026</t>
        </is>
      </c>
      <c r="B32" s="2" t="inlineStr">
        <is>
          <t>Se habilitó el contrato de Referencias críticas del producto desde Action Tracker. PICTORIS: J9, J73 y J8. BROOKLYN: J59. Los Component CPN pendientes permanecen vacíos hasta confirmación.</t>
        </is>
      </c>
    </row>
    <row r="33" ht="28" customHeight="1">
      <c r="A33" s="11" t="inlineStr">
        <is>
          <t>Change Control / overview</t>
        </is>
      </c>
      <c r="B33" s="12" t="inlineStr">
        <is>
          <t>Change Register + Change Applicability agregan ECN, ECO y desviaciones. Las alertas de corridas se generan en la interfaz de SMTinel, no dentro del XLSX.</t>
        </is>
      </c>
    </row>
    <row r="34" ht="28" customHeight="1">
      <c r="A34" s="11" t="inlineStr">
        <is>
          <t>Change Control / register</t>
        </is>
      </c>
      <c r="B34" s="12" t="inlineStr">
        <is>
          <t>Una fila por documento oficial y revisión única; usar Change ID estable, Document Type, Number, Approval Status, fechas y fuente.</t>
        </is>
      </c>
    </row>
    <row r="35" ht="28" customHeight="1">
      <c r="A35" s="11" t="inlineStr">
        <is>
          <t>Change Control / applicability</t>
        </is>
      </c>
      <c r="B35" s="12" t="inlineStr">
        <is>
          <t>Una fila por relación de cambio a SKU/PCBA/revisión/orden/componente; varios SKUs pueden compartir Change ID sin duplicar el documento maestro.</t>
        </is>
      </c>
    </row>
    <row r="36" ht="28" customHeight="1">
      <c r="A36" s="11" t="inlineStr">
        <is>
          <t>Change Control / identity</t>
        </is>
      </c>
      <c r="B36" s="12" t="inlineStr">
        <is>
          <t>Orden de datos del usuario: SKU, revisión de PCBA, PCBA Part Number, luego ECN/ECO/Deviation y CPN afectado. Todo join debe ser exacto.</t>
        </is>
      </c>
    </row>
    <row r="37" ht="32" customHeight="1">
      <c r="A37" s="11" t="inlineStr">
        <is>
          <t>Change Control / active</t>
        </is>
      </c>
      <c r="B37" s="12" t="inlineStr">
        <is>
          <t>Active=Y publica el registro, pero la vigencia del cambio se determina con aprobación y límites efectivos. Especialmente nunca considerar una desviación activa sin respaldo.</t>
        </is>
      </c>
    </row>
    <row r="38" ht="28" customHeight="1">
      <c r="A38" s="11" t="inlineStr">
        <is>
          <t>Change Control / curation</t>
        </is>
      </c>
      <c r="B38" s="12" t="inlineStr">
        <is>
          <t>No colocar Verified ni Active=Y hasta cotejar master oficial, aplicabilidad a FJZ, BOM/revisión/WO, material anterior y sustituto.</t>
        </is>
      </c>
    </row>
    <row r="39" ht="28" customHeight="1">
      <c r="A39" s="11" t="inlineStr">
        <is>
          <t>Change Control / master pending</t>
        </is>
      </c>
      <c r="B39" s="12" t="inlineStr">
        <is>
          <t>El maestro ECN/ECO/Deviation aún no se incorporó. Las dos tablas nuevas son un esquema listo para ingestión, sin datos de cambios inventados.</t>
        </is>
      </c>
    </row>
    <row r="40" ht="28" customHeight="1">
      <c r="A40" s="11" t="inlineStr">
        <is>
          <t>Change Control / integration</t>
        </is>
      </c>
      <c r="B40" s="12" t="inlineStr">
        <is>
          <t>Para la notificación automática en tiempo de corrida debe conectarse el index de SMTinel/Yokoten con estas hojas y fuente en vivo Common DB/WO/BOM.</t>
        </is>
      </c>
    </row>
    <row r="41" ht="28" customHeight="1">
      <c r="A41" s="11" t="inlineStr">
        <is>
          <t>Change Control / source</t>
        </is>
      </c>
      <c r="B41" s="12" t="inlineStr">
        <is>
          <t>Más reglas en hoja Change Rules. Mantener históricos y vínculos auditables, sin copiar adjuntos binarios.</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tabColor rgb="001F6D49"/>
    <outlinePr summaryBelow="1" summaryRight="1"/>
    <pageSetUpPr fitToPage="1"/>
  </sheetPr>
  <dimension ref="A1:X488"/>
  <sheetViews>
    <sheetView showGridLines="0" zoomScale="8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9"/>
  <cols>
    <col width="22" customWidth="1" min="1" max="1"/>
    <col width="19" customWidth="1" min="2" max="2"/>
    <col width="25" customWidth="1" min="3" max="3"/>
    <col width="20" customWidth="1" min="4" max="4"/>
    <col width="65" customWidth="1" min="5" max="5"/>
    <col width="20" customWidth="1" min="6" max="6"/>
    <col width="22" customWidth="1" min="7" max="7"/>
    <col width="22" customWidth="1" min="8" max="8"/>
    <col width="18" customWidth="1" min="9" max="9"/>
    <col width="25" customWidth="1" min="10" max="10"/>
    <col width="20" customWidth="1" min="11" max="11"/>
    <col width="20" customWidth="1" min="12" max="12"/>
    <col width="20" customWidth="1" min="13" max="13"/>
    <col width="23" customWidth="1" min="14" max="14"/>
    <col width="23" customWidth="1" min="15" max="15"/>
    <col width="58" customWidth="1" min="16" max="16"/>
    <col width="27" customWidth="1" min="17" max="17"/>
    <col width="25" customWidth="1" min="18" max="18"/>
    <col width="20" customWidth="1" min="19" max="19"/>
    <col width="13" customWidth="1" min="20" max="20"/>
    <col width="62" customWidth="1" min="21" max="21"/>
    <col width="65" customWidth="1" min="22" max="22"/>
    <col width="65" customWidth="1" min="23" max="23"/>
    <col width="23" customWidth="1" min="24" max="24"/>
  </cols>
  <sheetData>
    <row r="1" ht="34" customHeight="1">
      <c r="A1" s="13" t="inlineStr">
        <is>
          <t>Change ID</t>
        </is>
      </c>
      <c r="B1" s="13" t="inlineStr">
        <is>
          <t>Document Type</t>
        </is>
      </c>
      <c r="C1" s="13" t="inlineStr">
        <is>
          <t>Document Number</t>
        </is>
      </c>
      <c r="D1" s="13" t="inlineStr">
        <is>
          <t>Document Revision</t>
        </is>
      </c>
      <c r="E1" s="13" t="inlineStr">
        <is>
          <t>Change Description</t>
        </is>
      </c>
      <c r="F1" s="13" t="inlineStr">
        <is>
          <t>Approval Status</t>
        </is>
      </c>
      <c r="G1" s="13" t="inlineStr">
        <is>
          <t>Document State</t>
        </is>
      </c>
      <c r="H1" s="13" t="inlineStr">
        <is>
          <t>Scope Class</t>
        </is>
      </c>
      <c r="I1" s="13" t="inlineStr">
        <is>
          <t>BU</t>
        </is>
      </c>
      <c r="J1" s="13" t="inlineStr">
        <is>
          <t>Related Document</t>
        </is>
      </c>
      <c r="K1" s="13" t="inlineStr">
        <is>
          <t>Approval Date</t>
        </is>
      </c>
      <c r="L1" s="13" t="inlineStr">
        <is>
          <t>Effective From</t>
        </is>
      </c>
      <c r="M1" s="13" t="inlineStr">
        <is>
          <t>Effective Until</t>
        </is>
      </c>
      <c r="N1" s="13" t="inlineStr">
        <is>
          <t>Effective WO From</t>
        </is>
      </c>
      <c r="O1" s="13" t="inlineStr">
        <is>
          <t>Effective WO Until</t>
        </is>
      </c>
      <c r="P1" s="13" t="inlineStr">
        <is>
          <t>Official Source URL</t>
        </is>
      </c>
      <c r="Q1" s="13" t="inlineStr">
        <is>
          <t>Engineering Owner</t>
        </is>
      </c>
      <c r="R1" s="13" t="inlineStr">
        <is>
          <t>Quality Reviewer</t>
        </is>
      </c>
      <c r="S1" s="13" t="inlineStr">
        <is>
          <t>Review Date</t>
        </is>
      </c>
      <c r="T1" s="13" t="inlineStr">
        <is>
          <t>Active</t>
        </is>
      </c>
      <c r="U1" s="13" t="inlineStr">
        <is>
          <t>Notes</t>
        </is>
      </c>
      <c r="V1" s="48" t="inlineStr">
        <is>
          <t>Summary ES</t>
        </is>
      </c>
      <c r="W1" s="48" t="inlineStr">
        <is>
          <t>Change Description ES</t>
        </is>
      </c>
      <c r="X1" s="48" t="inlineStr">
        <is>
          <t>Translation Review</t>
        </is>
      </c>
    </row>
    <row r="2">
      <c r="A2" s="35" t="inlineStr">
        <is>
          <t>DEV-CTANJZ04014</t>
        </is>
      </c>
      <c r="B2" s="35" t="inlineStr">
        <is>
          <t>DEVIATION</t>
        </is>
      </c>
      <c r="C2" s="35" t="inlineStr">
        <is>
          <t>D598638</t>
        </is>
      </c>
      <c r="D2" s="35" t="n"/>
      <c r="E2" s="36" t="inlineStr">
        <is>
          <t>D598638 TBABU: This is extension of D585507.Deviation  Leverages # D585507 (Purpose of the new deviation is to reference new version of DVD 80-100592-02 with old 01 version)The solution for this problem requires IT tool changes in order to permanently resolve the issue; therefore we are using the deviation process (with Director approval) for an extensive period of time.This Deviation will officially authorizes to all Sites to follow Order Fulfillment EAC Compliance DVD Disc Insertion Process during pack outPlease see PageThree for details</t>
        </is>
      </c>
      <c r="F2" s="35" t="inlineStr">
        <is>
          <t>Pending</t>
        </is>
      </c>
      <c r="G2" s="35" t="inlineStr">
        <is>
          <t>Closed</t>
        </is>
      </c>
      <c r="H2" s="35" t="inlineStr">
        <is>
          <t>Pending Review</t>
        </is>
      </c>
      <c r="I2" s="35" t="inlineStr">
        <is>
          <t>SRGBU</t>
        </is>
      </c>
      <c r="J2" s="35" t="inlineStr">
        <is>
          <t>CTANJZ04014</t>
        </is>
      </c>
      <c r="K2" s="37" t="n"/>
      <c r="L2" s="37" t="n"/>
      <c r="M2" s="37" t="n">
        <v>47790</v>
      </c>
      <c r="N2" s="35" t="n"/>
      <c r="O2" s="35" t="n"/>
      <c r="P2" s="35" t="n"/>
      <c r="Q2" s="35" t="n"/>
      <c r="R2" s="35" t="n"/>
      <c r="S2" s="35" t="n"/>
      <c r="T2" s="35" t="inlineStr">
        <is>
          <t>Y</t>
        </is>
      </c>
      <c r="U2" s="36" t="inlineStr">
        <is>
          <t xml:space="preserve">FUENTE: Deviation.csv, filas CSV 1249-1249; Workflow=Closed; Date Released=2024-08-10; Date Originated=2024-08-06; Site=FJZP, Plant=MCGA (sin convertir automaticamente a FJZ); 1 filas PN; APROBACION Y APLICABILIDAD NO VALIDADAS. </t>
        </is>
      </c>
    </row>
    <row r="3">
      <c r="A3" s="43" t="inlineStr">
        <is>
          <t>DEV-CTANJZ04427</t>
        </is>
      </c>
      <c r="B3" s="43" t="inlineStr">
        <is>
          <t>DEVIATION</t>
        </is>
      </c>
      <c r="C3" s="43" t="inlineStr">
        <is>
          <t>D601187</t>
        </is>
      </c>
      <c r="D3" s="43" t="n"/>
      <c r="E3" s="33" t="inlineStr">
        <is>
          <t>D601187NGFWBU: Risk Buy: GQR No: GQR000020121; AQR No: AQR000831374; CPN:20-0645-01; MFR NAME: INFINEON TECHNOLOGIES; MPN: IRLML9303TRPBFTo execute the above AQR at CM Site.</t>
        </is>
      </c>
      <c r="F3" s="43" t="inlineStr">
        <is>
          <t>Pending</t>
        </is>
      </c>
      <c r="G3" s="43" t="inlineStr">
        <is>
          <t>Expired</t>
        </is>
      </c>
      <c r="H3" s="43" t="inlineStr">
        <is>
          <t>Pending Review</t>
        </is>
      </c>
      <c r="I3" s="43" t="inlineStr">
        <is>
          <t>STBU</t>
        </is>
      </c>
      <c r="J3" s="43" t="inlineStr">
        <is>
          <t>CTANJZ04427</t>
        </is>
      </c>
      <c r="K3" s="32" t="n"/>
      <c r="L3" s="32" t="n"/>
      <c r="M3" s="32" t="n">
        <v>45775</v>
      </c>
      <c r="N3" s="43" t="n"/>
      <c r="O3" s="43" t="n"/>
      <c r="P3" s="43" t="n"/>
      <c r="Q3" s="43" t="n"/>
      <c r="R3" s="43" t="n"/>
      <c r="S3" s="43" t="n"/>
      <c r="T3" s="43" t="inlineStr">
        <is>
          <t>Y</t>
        </is>
      </c>
      <c r="U3" s="33" t="inlineStr">
        <is>
          <t xml:space="preserve">FUENTE: Deviation.csv, filas CSV 1549-1551; Workflow=Expired; Date Released=2025-02-25; Date Originated=2025-02-03; Site=FJZP, Plant=MCGA (sin convertir automaticamente a FJZ); 3 filas PN; APROBACION Y APLICABILIDAD NO VALIDADAS. </t>
        </is>
      </c>
    </row>
    <row r="4">
      <c r="A4" s="35" t="inlineStr">
        <is>
          <t>DEV-CTANJZ04430</t>
        </is>
      </c>
      <c r="B4" s="35" t="inlineStr">
        <is>
          <t>DEVIATION</t>
        </is>
      </c>
      <c r="C4" s="35" t="inlineStr">
        <is>
          <t>D601838</t>
        </is>
      </c>
      <c r="D4" s="35" t="n"/>
      <c r="E4" s="36" t="inlineStr">
        <is>
          <t>D601838 Use 16-100671-01 MPN MTFDDAK480TGB-1BC16ABYY in place of 16-100670-01.</t>
        </is>
      </c>
      <c r="F4" s="35" t="inlineStr">
        <is>
          <t>Pending</t>
        </is>
      </c>
      <c r="G4" s="35" t="inlineStr">
        <is>
          <t>Expired</t>
        </is>
      </c>
      <c r="H4" s="35" t="inlineStr">
        <is>
          <t>Pending Review</t>
        </is>
      </c>
      <c r="I4" s="35" t="inlineStr">
        <is>
          <t>STBU</t>
        </is>
      </c>
      <c r="J4" s="35" t="inlineStr">
        <is>
          <t>CTANJZ04430</t>
        </is>
      </c>
      <c r="K4" s="37" t="n"/>
      <c r="L4" s="37" t="n"/>
      <c r="M4" s="37" t="n">
        <v>45783</v>
      </c>
      <c r="N4" s="35" t="n"/>
      <c r="O4" s="35" t="n"/>
      <c r="P4" s="35" t="n"/>
      <c r="Q4" s="35" t="n"/>
      <c r="R4" s="35" t="n"/>
      <c r="S4" s="35" t="n"/>
      <c r="T4" s="35" t="inlineStr">
        <is>
          <t>Y</t>
        </is>
      </c>
      <c r="U4" s="36" t="inlineStr">
        <is>
          <t xml:space="preserve">FUENTE: Deviation.csv, filas CSV 471-471; Workflow=Expired; Date Released=2025-02-21; Date Originated=2025-02-06; Site=FJZP, Plant=MCGA (sin convertir automaticamente a FJZ); 1 filas PN; APROBACION Y APLICABILIDAD NO VALIDADAS. </t>
        </is>
      </c>
      <c r="V4" s="49" t="inlineStr">
        <is>
          <t>Sustitución de material: utilizar 16-100671-01, MPN MTFDDAK480TGB-1BC16ABYY, en lugar de 16-100670-01.</t>
        </is>
      </c>
      <c r="W4" s="49" t="inlineStr">
        <is>
          <t>D601838: utilizar el CPN 16-100671-01, MPN MTFDDAK480TGB-1BC16ABYY, en reemplazo del CPN 16-100670-01. No se indican RefDes, revisiones ni evidencia de liberación en este texto; confirmar su alcance en el documento oficial.</t>
        </is>
      </c>
      <c r="X4" s="50" t="inlineStr">
        <is>
          <t>Traduccion para consulta</t>
        </is>
      </c>
    </row>
    <row r="5">
      <c r="A5" s="43" t="inlineStr">
        <is>
          <t>DEV-CTANJZ04431</t>
        </is>
      </c>
      <c r="B5" s="43" t="inlineStr">
        <is>
          <t>DEVIATION</t>
        </is>
      </c>
      <c r="C5" s="43" t="inlineStr">
        <is>
          <t>D601949</t>
        </is>
      </c>
      <c r="D5" s="43" t="n"/>
      <c r="E5" s="33" t="inlineStr">
        <is>
          <t>D601949 Allow FJZ to use material that change qual status to Cancel for the MCO113085:17-102102-0217-102040-0517-16001-05</t>
        </is>
      </c>
      <c r="F5" s="43" t="inlineStr">
        <is>
          <t>Pending</t>
        </is>
      </c>
      <c r="G5" s="43" t="inlineStr">
        <is>
          <t>Expired</t>
        </is>
      </c>
      <c r="H5" s="43" t="inlineStr">
        <is>
          <t>Pending Review</t>
        </is>
      </c>
      <c r="I5" s="43" t="inlineStr">
        <is>
          <t>STBU</t>
        </is>
      </c>
      <c r="J5" s="43" t="inlineStr">
        <is>
          <t>CTANJZ04431</t>
        </is>
      </c>
      <c r="K5" s="32" t="n"/>
      <c r="L5" s="32" t="n"/>
      <c r="M5" s="32" t="n">
        <v>45783</v>
      </c>
      <c r="N5" s="43" t="n"/>
      <c r="O5" s="43" t="n"/>
      <c r="P5" s="43" t="n"/>
      <c r="Q5" s="43" t="n"/>
      <c r="R5" s="43" t="n"/>
      <c r="S5" s="43" t="n"/>
      <c r="T5" s="43" t="inlineStr">
        <is>
          <t>Y</t>
        </is>
      </c>
      <c r="U5" s="33" t="inlineStr">
        <is>
          <t xml:space="preserve">FUENTE: Deviation.csv, filas CSV 710-714; Workflow=Expired; Date Released=2025-02-25; Date Originated=2025-02-06; Site=FJZP, Plant=MCGA (sin convertir automaticamente a FJZ); 5 filas PN; APROBACION Y APLICABILIDAD NO VALIDADAS. </t>
        </is>
      </c>
    </row>
    <row r="6">
      <c r="A6" s="35" t="inlineStr">
        <is>
          <t>DEV-CTANJZ04432</t>
        </is>
      </c>
      <c r="B6" s="35" t="inlineStr">
        <is>
          <t>DEVIATION</t>
        </is>
      </c>
      <c r="C6" s="35" t="inlineStr">
        <is>
          <t>D601971</t>
        </is>
      </c>
      <c r="D6" s="35" t="n"/>
      <c r="E6" s="36" t="inlineStr">
        <is>
          <t>D601971 Please see PageThree for details</t>
        </is>
      </c>
      <c r="F6" s="35" t="inlineStr">
        <is>
          <t>Pending</t>
        </is>
      </c>
      <c r="G6" s="35" t="inlineStr">
        <is>
          <t>Expired</t>
        </is>
      </c>
      <c r="H6" s="35" t="inlineStr">
        <is>
          <t>Pending Review</t>
        </is>
      </c>
      <c r="I6" s="35" t="inlineStr">
        <is>
          <t>SRGBU</t>
        </is>
      </c>
      <c r="J6" s="35" t="inlineStr">
        <is>
          <t>CTANJZ04432</t>
        </is>
      </c>
      <c r="K6" s="37" t="n"/>
      <c r="L6" s="37" t="n"/>
      <c r="M6" s="37" t="n">
        <v>45783</v>
      </c>
      <c r="N6" s="35" t="n"/>
      <c r="O6" s="35" t="n"/>
      <c r="P6" s="35" t="n"/>
      <c r="Q6" s="35" t="n"/>
      <c r="R6" s="35" t="n"/>
      <c r="S6" s="35" t="n"/>
      <c r="T6" s="35" t="inlineStr">
        <is>
          <t>Y</t>
        </is>
      </c>
      <c r="U6" s="36" t="inlineStr">
        <is>
          <t xml:space="preserve">FUENTE: Deviation.csv, filas CSV 472-473; Workflow=Expired; Date Released=2025-02-21; Date Originated=2025-02-06; Site=FJZP, Plant=MCGA (sin convertir automaticamente a FJZ); 2 filas PN; APROBACION Y APLICABILIDAD NO VALIDADAS. </t>
        </is>
      </c>
    </row>
    <row r="7">
      <c r="A7" s="43" t="inlineStr">
        <is>
          <t>DEV-CTANJZ04435</t>
        </is>
      </c>
      <c r="B7" s="43" t="inlineStr">
        <is>
          <t>DEVIATION</t>
        </is>
      </c>
      <c r="C7" s="43" t="inlineStr">
        <is>
          <t>D596346</t>
        </is>
      </c>
      <c r="D7" s="43" t="n"/>
      <c r="E7" s="33" t="inlineStr">
        <is>
          <t>D596346 NGFWBU: GEN2 Net Mod; 68-104010-01 FNLASY; FPR-X-NM; GEN2;8X1G; BOROUGH.  The Borough PCBA is not sufficiently supported by the Borough mechanical Carrier.  Additional metal Spacer(s) and Formex insulator film is required to support the PCBA and prevent any risk of component damage and prevent potential electrical shorting of active components and via's.  This Deviation supports the evaluation of a temporary fix until a permanent change is implemented.</t>
        </is>
      </c>
      <c r="F7" s="43" t="inlineStr">
        <is>
          <t>Pending</t>
        </is>
      </c>
      <c r="G7" s="43" t="inlineStr">
        <is>
          <t>Expired</t>
        </is>
      </c>
      <c r="H7" s="43" t="inlineStr">
        <is>
          <t>Pending Review</t>
        </is>
      </c>
      <c r="I7" s="43" t="inlineStr">
        <is>
          <t>STBU</t>
        </is>
      </c>
      <c r="J7" s="43" t="inlineStr">
        <is>
          <t>CTANJZ04435</t>
        </is>
      </c>
      <c r="K7" s="32" t="n"/>
      <c r="L7" s="32" t="n"/>
      <c r="M7" s="32" t="n">
        <v>45783</v>
      </c>
      <c r="N7" s="43" t="n"/>
      <c r="O7" s="43" t="n"/>
      <c r="P7" s="43" t="n"/>
      <c r="Q7" s="43" t="n"/>
      <c r="R7" s="43" t="n"/>
      <c r="S7" s="43" t="n"/>
      <c r="T7" s="43" t="inlineStr">
        <is>
          <t>Y</t>
        </is>
      </c>
      <c r="U7" s="33" t="inlineStr">
        <is>
          <t xml:space="preserve">FUENTE: Deviation.csv, filas CSV 1733-1733; Workflow=Expired; Date Released=2025-02-21; Date Originated=2025-02-06; Site=FJZP, Plant=MCGA (sin convertir automaticamente a FJZ); 1 filas PN; APROBACION Y APLICABILIDAD NO VALIDADAS. </t>
        </is>
      </c>
    </row>
    <row r="8">
      <c r="A8" s="35" t="inlineStr">
        <is>
          <t>DEV-CTANJZ04441</t>
        </is>
      </c>
      <c r="B8" s="35" t="inlineStr">
        <is>
          <t>DEVIATION</t>
        </is>
      </c>
      <c r="C8" s="35" t="inlineStr">
        <is>
          <t>D601899</t>
        </is>
      </c>
      <c r="D8" s="35" t="n"/>
      <c r="E8" s="36" t="inlineStr">
        <is>
          <t>D601899 SRGBU: VG410 - Allow FOC to use non A0 parts to ship to customer.There is no HW difference from PP to Pilot; and the RDT units can be shipped to customer.Below are the CPNs and qtys:       CPN          Rev QTY      MPN74-129859-01 -05 28 74-129859-0174-129860-01 -05 29 74-129860-01800-51476-01 -01 43 74-130046-01</t>
        </is>
      </c>
      <c r="F8" s="35" t="inlineStr">
        <is>
          <t>Pending</t>
        </is>
      </c>
      <c r="G8" s="35" t="inlineStr">
        <is>
          <t>Expired</t>
        </is>
      </c>
      <c r="H8" s="35" t="inlineStr">
        <is>
          <t>Pending Review</t>
        </is>
      </c>
      <c r="I8" s="35" t="inlineStr">
        <is>
          <t>SRGBU</t>
        </is>
      </c>
      <c r="J8" s="35" t="inlineStr">
        <is>
          <t>CTANJZ04441</t>
        </is>
      </c>
      <c r="K8" s="37" t="n"/>
      <c r="L8" s="37" t="n"/>
      <c r="M8" s="37" t="n">
        <v>45788</v>
      </c>
      <c r="N8" s="35" t="n"/>
      <c r="O8" s="35" t="n"/>
      <c r="P8" s="35" t="n"/>
      <c r="Q8" s="35" t="n"/>
      <c r="R8" s="35" t="n"/>
      <c r="S8" s="35" t="n"/>
      <c r="T8" s="35" t="inlineStr">
        <is>
          <t>Y</t>
        </is>
      </c>
      <c r="U8" s="36" t="inlineStr">
        <is>
          <t xml:space="preserve">FUENTE: Deviation.csv, filas CSV 653-655; Workflow=Expired; Date Released=2025-02-25; Date Originated=2025-02-11; Site=FJZP, Plant=MCGA (sin convertir automaticamente a FJZ); 3 filas PN; APROBACION Y APLICABILIDAD NO VALIDADAS. </t>
        </is>
      </c>
    </row>
    <row r="9">
      <c r="A9" s="43" t="inlineStr">
        <is>
          <t>DEV-CTANJZ04443</t>
        </is>
      </c>
      <c r="B9" s="43" t="inlineStr">
        <is>
          <t>DEVIATION</t>
        </is>
      </c>
      <c r="C9" s="43" t="inlineStr">
        <is>
          <t>D601883</t>
        </is>
      </c>
      <c r="D9" s="43" t="n"/>
      <c r="E9" s="33" t="inlineStr">
        <is>
          <t>D601883 Allow use the old packaging 84-100494-02 and not use the new end caps 501-102028-01</t>
        </is>
      </c>
      <c r="F9" s="43" t="inlineStr">
        <is>
          <t>Pending</t>
        </is>
      </c>
      <c r="G9" s="43" t="inlineStr">
        <is>
          <t>Expired</t>
        </is>
      </c>
      <c r="H9" s="43" t="inlineStr">
        <is>
          <t>Pending Review</t>
        </is>
      </c>
      <c r="I9" s="43" t="inlineStr">
        <is>
          <t>STBU</t>
        </is>
      </c>
      <c r="J9" s="43" t="inlineStr">
        <is>
          <t>CTANJZ04443</t>
        </is>
      </c>
      <c r="K9" s="32" t="n"/>
      <c r="L9" s="32" t="n"/>
      <c r="M9" s="32" t="n">
        <v>45788</v>
      </c>
      <c r="N9" s="43" t="n"/>
      <c r="O9" s="43" t="n"/>
      <c r="P9" s="43" t="n"/>
      <c r="Q9" s="43" t="n"/>
      <c r="R9" s="43" t="n"/>
      <c r="S9" s="43" t="n"/>
      <c r="T9" s="43" t="inlineStr">
        <is>
          <t>Y</t>
        </is>
      </c>
      <c r="U9" s="33" t="inlineStr">
        <is>
          <t xml:space="preserve">FUENTE: Deviation.csv, filas CSV 348-349; Workflow=Expired; Date Released=2025-02-21; Date Originated=2025-02-11; Site=FJZP, Plant=MCGA (sin convertir automaticamente a FJZ); 2 filas PN; APROBACION Y APLICABILIDAD NO VALIDADAS. </t>
        </is>
      </c>
    </row>
    <row r="10">
      <c r="A10" s="35" t="inlineStr">
        <is>
          <t>DEV-CTANJZ04449</t>
        </is>
      </c>
      <c r="B10" s="35" t="inlineStr">
        <is>
          <t>DEVIATION</t>
        </is>
      </c>
      <c r="C10" s="35" t="inlineStr">
        <is>
          <t>D602143</t>
        </is>
      </c>
      <c r="D10" s="35" t="n"/>
      <c r="E10" s="36" t="inlineStr">
        <is>
          <t>D602143FJZ will to change the battery placement to 800-level on assy area for the KP products and do a manual discharge before placing the battery.</t>
        </is>
      </c>
      <c r="F10" s="35" t="inlineStr">
        <is>
          <t>Pending</t>
        </is>
      </c>
      <c r="G10" s="35" t="inlineStr">
        <is>
          <t>Expired</t>
        </is>
      </c>
      <c r="H10" s="35" t="inlineStr">
        <is>
          <t>Pending Review</t>
        </is>
      </c>
      <c r="I10" s="35" t="inlineStr">
        <is>
          <t>STBU</t>
        </is>
      </c>
      <c r="J10" s="35" t="inlineStr">
        <is>
          <t>CTANJZ04449</t>
        </is>
      </c>
      <c r="K10" s="37" t="n"/>
      <c r="L10" s="37" t="n"/>
      <c r="M10" s="37" t="n">
        <v>45789</v>
      </c>
      <c r="N10" s="35" t="n"/>
      <c r="O10" s="35" t="n"/>
      <c r="P10" s="35" t="n"/>
      <c r="Q10" s="35" t="n"/>
      <c r="R10" s="35" t="n"/>
      <c r="S10" s="35" t="n"/>
      <c r="T10" s="35" t="inlineStr">
        <is>
          <t>Y</t>
        </is>
      </c>
      <c r="U10" s="36" t="inlineStr">
        <is>
          <t xml:space="preserve">FUENTE: Deviation.csv, filas CSV 656-664; Workflow=Expired; Date Released=2025-02-21; Date Originated=2025-02-12; Site=FJZP, Plant=MCGA (sin convertir automaticamente a FJZ); 9 filas PN; APROBACION Y APLICABILIDAD NO VALIDADAS. </t>
        </is>
      </c>
    </row>
    <row r="11">
      <c r="A11" s="43" t="inlineStr">
        <is>
          <t>DEV-CTANJZ04450</t>
        </is>
      </c>
      <c r="B11" s="43" t="inlineStr">
        <is>
          <t>DEVIATION</t>
        </is>
      </c>
      <c r="C11" s="43" t="inlineStr">
        <is>
          <t>D602145</t>
        </is>
      </c>
      <c r="D11" s="43" t="n"/>
      <c r="E11" s="33" t="inlineStr">
        <is>
          <t>D602145Use 74-126726-01 as substitute of 74-113291-01 on DF</t>
        </is>
      </c>
      <c r="F11" s="43" t="inlineStr">
        <is>
          <t>Pending</t>
        </is>
      </c>
      <c r="G11" s="43" t="inlineStr">
        <is>
          <t>Expired</t>
        </is>
      </c>
      <c r="H11" s="43" t="inlineStr">
        <is>
          <t>Pending Review</t>
        </is>
      </c>
      <c r="I11" s="43" t="inlineStr">
        <is>
          <t>STBU</t>
        </is>
      </c>
      <c r="J11" s="43" t="inlineStr">
        <is>
          <t>CTANJZ04450</t>
        </is>
      </c>
      <c r="K11" s="32" t="n"/>
      <c r="L11" s="32" t="n"/>
      <c r="M11" s="32" t="n">
        <v>45789</v>
      </c>
      <c r="N11" s="43" t="n"/>
      <c r="O11" s="43" t="n"/>
      <c r="P11" s="43" t="n"/>
      <c r="Q11" s="43" t="n"/>
      <c r="R11" s="43" t="n"/>
      <c r="S11" s="43" t="n"/>
      <c r="T11" s="43" t="inlineStr">
        <is>
          <t>Y</t>
        </is>
      </c>
      <c r="U11" s="33" t="inlineStr">
        <is>
          <t xml:space="preserve">FUENTE: Deviation.csv, filas CSV 679-685; Workflow=Expired; Date Released=2025-02-25; Date Originated=2025-02-12; Site=FJZP, Plant=MCGA (sin convertir automaticamente a FJZ); 7 filas PN; APROBACION Y APLICABILIDAD NO VALIDADAS. </t>
        </is>
      </c>
    </row>
    <row r="12">
      <c r="A12" s="35" t="inlineStr">
        <is>
          <t>DEV-CTANJZ04453</t>
        </is>
      </c>
      <c r="B12" s="35" t="inlineStr">
        <is>
          <t>DEVIATION</t>
        </is>
      </c>
      <c r="C12" s="35" t="inlineStr">
        <is>
          <t>D601097</t>
        </is>
      </c>
      <c r="D12" s="35" t="n"/>
      <c r="E12" s="36" t="inlineStr">
        <is>
          <t>D601097NGFWBU: Risk Buy: GQR No: GQR000041154; AQR No: AQR001673096; CPN:36-0227-01; MFR NAME: TAI-TECH ADVANCED ELECTRONICS; MPN:MB15K601-03CTo execute the above AQR at CM Site.</t>
        </is>
      </c>
      <c r="F12" s="35" t="inlineStr">
        <is>
          <t>Pending</t>
        </is>
      </c>
      <c r="G12" s="35" t="inlineStr">
        <is>
          <t>Expired</t>
        </is>
      </c>
      <c r="H12" s="35" t="inlineStr">
        <is>
          <t>Pending Review</t>
        </is>
      </c>
      <c r="I12" s="35" t="inlineStr">
        <is>
          <t>STBU</t>
        </is>
      </c>
      <c r="J12" s="35" t="inlineStr">
        <is>
          <t>CTANJZ04453</t>
        </is>
      </c>
      <c r="K12" s="37" t="n"/>
      <c r="L12" s="37" t="n"/>
      <c r="M12" s="37" t="n">
        <v>45790</v>
      </c>
      <c r="N12" s="35" t="n"/>
      <c r="O12" s="35" t="n"/>
      <c r="P12" s="35" t="n"/>
      <c r="Q12" s="35" t="n"/>
      <c r="R12" s="35" t="n"/>
      <c r="S12" s="35" t="n"/>
      <c r="T12" s="35" t="inlineStr">
        <is>
          <t>Y</t>
        </is>
      </c>
      <c r="U12" s="36" t="inlineStr">
        <is>
          <t xml:space="preserve">FUENTE: Deviation.csv, filas CSV 1411-1413; Workflow=Expired; Date Released=2025-02-21; Date Originated=2025-02-13; Site=FJZP, Plant=MCGA (sin convertir automaticamente a FJZ); 3 filas PN; APROBACION Y APLICABILIDAD NO VALIDADAS. </t>
        </is>
      </c>
    </row>
    <row r="13">
      <c r="A13" s="43" t="inlineStr">
        <is>
          <t>DEV-CTANJZ04465</t>
        </is>
      </c>
      <c r="B13" s="43" t="inlineStr">
        <is>
          <t>DEVIATION</t>
        </is>
      </c>
      <c r="C13" s="43" t="inlineStr">
        <is>
          <t>D602184</t>
        </is>
      </c>
      <c r="D13" s="43" t="n"/>
      <c r="E13" s="33" t="inlineStr">
        <is>
          <t>D602184SRGBU-Promethium; Promethium-L; Tabei-L:Allow the use of the Re-Spin fab by the JDM partner; while waiting for confirmation from the MCN/AQR team</t>
        </is>
      </c>
      <c r="F13" s="43" t="inlineStr">
        <is>
          <t>Pending</t>
        </is>
      </c>
      <c r="G13" s="43" t="inlineStr">
        <is>
          <t>Expired</t>
        </is>
      </c>
      <c r="H13" s="43" t="inlineStr">
        <is>
          <t>Pending Review</t>
        </is>
      </c>
      <c r="I13" s="43" t="inlineStr">
        <is>
          <t>SRGBU</t>
        </is>
      </c>
      <c r="J13" s="43" t="inlineStr">
        <is>
          <t>CTANJZ04465</t>
        </is>
      </c>
      <c r="K13" s="32" t="n"/>
      <c r="L13" s="32" t="n"/>
      <c r="M13" s="32" t="n">
        <v>45796</v>
      </c>
      <c r="N13" s="43" t="n"/>
      <c r="O13" s="43" t="n"/>
      <c r="P13" s="43" t="n"/>
      <c r="Q13" s="43" t="n"/>
      <c r="R13" s="43" t="n"/>
      <c r="S13" s="43" t="n"/>
      <c r="T13" s="43" t="inlineStr">
        <is>
          <t>Y</t>
        </is>
      </c>
      <c r="U13" s="33" t="inlineStr">
        <is>
          <t xml:space="preserve">FUENTE: Deviation.csv, filas CSV 1734-1736; Workflow=Expired; Date Released=2025-02-25; Date Originated=2025-02-19; Site=FJZP, Plant=MCGA (sin convertir automaticamente a FJZ); 3 filas PN; APROBACION Y APLICABILIDAD NO VALIDADAS. </t>
        </is>
      </c>
    </row>
    <row r="14">
      <c r="A14" s="35" t="inlineStr">
        <is>
          <t>DEV-CTANJZ04466</t>
        </is>
      </c>
      <c r="B14" s="35" t="inlineStr">
        <is>
          <t>DEVIATION</t>
        </is>
      </c>
      <c r="C14" s="35" t="inlineStr">
        <is>
          <t>D602196</t>
        </is>
      </c>
      <c r="D14" s="35" t="n"/>
      <c r="E14" s="36" t="inlineStr">
        <is>
          <t>D602196 Allow FJZ to use the alternative part PR1983 (NJSS-M3-1.53-P) from PENCOM</t>
        </is>
      </c>
      <c r="F14" s="35" t="inlineStr">
        <is>
          <t>Pending</t>
        </is>
      </c>
      <c r="G14" s="35" t="inlineStr">
        <is>
          <t>Expired</t>
        </is>
      </c>
      <c r="H14" s="35" t="inlineStr">
        <is>
          <t>Pending Review</t>
        </is>
      </c>
      <c r="I14" s="35" t="inlineStr">
        <is>
          <t>STBU</t>
        </is>
      </c>
      <c r="J14" s="35" t="inlineStr">
        <is>
          <t>CTANJZ04466</t>
        </is>
      </c>
      <c r="K14" s="37" t="n"/>
      <c r="L14" s="37" t="n"/>
      <c r="M14" s="37" t="n">
        <v>45796</v>
      </c>
      <c r="N14" s="35" t="n"/>
      <c r="O14" s="35" t="n"/>
      <c r="P14" s="35" t="n"/>
      <c r="Q14" s="35" t="n"/>
      <c r="R14" s="35" t="n"/>
      <c r="S14" s="35" t="n"/>
      <c r="T14" s="35" t="inlineStr">
        <is>
          <t>Y</t>
        </is>
      </c>
      <c r="U14" s="36" t="inlineStr">
        <is>
          <t xml:space="preserve">FUENTE: Deviation.csv, filas CSV 1595-1599; Workflow=Expired; Date Released=2025-02-28; Date Originated=2025-02-19; Site=FJZP, Plant=MCGA (sin convertir automaticamente a FJZ); 5 filas PN; APROBACION Y APLICABILIDAD NO VALIDADAS. </t>
        </is>
      </c>
    </row>
    <row r="15">
      <c r="A15" s="43" t="inlineStr">
        <is>
          <t>DEV-CTANJZ04473</t>
        </is>
      </c>
      <c r="B15" s="43" t="inlineStr">
        <is>
          <t>DEVIATION</t>
        </is>
      </c>
      <c r="C15" s="43" t="inlineStr">
        <is>
          <t>D602345</t>
        </is>
      </c>
      <c r="D15" s="43" t="n"/>
      <c r="E15" s="33" t="inlineStr">
        <is>
          <t>D602345 Please see PageThree for details</t>
        </is>
      </c>
      <c r="F15" s="43" t="inlineStr">
        <is>
          <t>Pending</t>
        </is>
      </c>
      <c r="G15" s="43" t="inlineStr">
        <is>
          <t>Expired</t>
        </is>
      </c>
      <c r="H15" s="43" t="inlineStr">
        <is>
          <t>Pending Review</t>
        </is>
      </c>
      <c r="I15" s="43" t="inlineStr">
        <is>
          <t>STBU</t>
        </is>
      </c>
      <c r="J15" s="43" t="inlineStr">
        <is>
          <t>CTANJZ04473</t>
        </is>
      </c>
      <c r="K15" s="32" t="n"/>
      <c r="L15" s="32" t="n"/>
      <c r="M15" s="32" t="n">
        <v>45799</v>
      </c>
      <c r="N15" s="43" t="n"/>
      <c r="O15" s="43" t="n"/>
      <c r="P15" s="43" t="n"/>
      <c r="Q15" s="43" t="n"/>
      <c r="R15" s="43" t="n"/>
      <c r="S15" s="43" t="n"/>
      <c r="T15" s="43" t="inlineStr">
        <is>
          <t>Y</t>
        </is>
      </c>
      <c r="U15" s="33" t="inlineStr">
        <is>
          <t xml:space="preserve">FUENTE: Deviation.csv, filas CSV 1737-1741; Workflow=Expired; Date Released=2025-03-04; Date Originated=2025-02-22; Site=FJZP, Plant=MCGA (sin convertir automaticamente a FJZ); 5 filas PN; APROBACION Y APLICABILIDAD NO VALIDADAS. </t>
        </is>
      </c>
    </row>
    <row r="16">
      <c r="A16" s="35" t="inlineStr">
        <is>
          <t>DEV-CTANJZ04475</t>
        </is>
      </c>
      <c r="B16" s="35" t="inlineStr">
        <is>
          <t>DEVIATION</t>
        </is>
      </c>
      <c r="C16" s="35" t="inlineStr">
        <is>
          <t>D602181</t>
        </is>
      </c>
      <c r="D16" s="35" t="n"/>
      <c r="E16" s="36"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F16" s="35" t="inlineStr">
        <is>
          <t>Pending</t>
        </is>
      </c>
      <c r="G16" s="35" t="inlineStr">
        <is>
          <t>Expired</t>
        </is>
      </c>
      <c r="H16" s="35" t="inlineStr">
        <is>
          <t>Pending Review</t>
        </is>
      </c>
      <c r="I16" s="35" t="inlineStr">
        <is>
          <t>SRGBU</t>
        </is>
      </c>
      <c r="J16" s="35" t="inlineStr">
        <is>
          <t>CTANJZ04475</t>
        </is>
      </c>
      <c r="K16" s="37" t="n"/>
      <c r="L16" s="37" t="n"/>
      <c r="M16" s="37" t="n">
        <v>45799</v>
      </c>
      <c r="N16" s="35" t="n"/>
      <c r="O16" s="35" t="n"/>
      <c r="P16" s="35" t="n"/>
      <c r="Q16" s="35" t="n"/>
      <c r="R16" s="35" t="n"/>
      <c r="S16" s="35" t="n"/>
      <c r="T16" s="35" t="inlineStr">
        <is>
          <t>Y</t>
        </is>
      </c>
      <c r="U16" s="36" t="inlineStr">
        <is>
          <t xml:space="preserve">FUENTE: Deviation.csv, filas CSV 338-365; Workflow=Expired; Date Released=2025-03-04; Date Originated=2025-02-22; Site=FJZP, Plant=MCGA (sin convertir automaticamente a FJZ); 17 filas PN; APROBACION Y APLICABILIDAD NO VALIDADAS. </t>
        </is>
      </c>
    </row>
    <row r="17">
      <c r="A17" s="43" t="inlineStr">
        <is>
          <t>DEV-CTANJZ04478</t>
        </is>
      </c>
      <c r="B17" s="43" t="inlineStr">
        <is>
          <t>DEVIATION</t>
        </is>
      </c>
      <c r="C17" s="43" t="inlineStr">
        <is>
          <t>DP524571</t>
        </is>
      </c>
      <c r="D17" s="43" t="n"/>
      <c r="E17" s="33" t="inlineStr">
        <is>
          <t>DP524571IOTBU:KITTY HAWK:PP: Substitute 25-1289-01 for 25-100271-01 on the Carrier PCA (73-103150-03) which report to the following CPNs:.800-111160-01 ASY;ELMECH;ENG DEVELOPMENT;CHASSIS;KITTY HAWK..68-104003-01 FNLASY;ENG DEVELOPMENT;W/KH INSTALLED;KITTY HAWK.800-112601-01 ASY;ELMECH;MFG TEST;CHASSIS;KITTY HAWK..68-104601-01 FNLASY;MFG TEST;W/O KH INSTALLED;KITTY HAWKNote: We are purchasing; building  and shipping to the 68- levels</t>
        </is>
      </c>
      <c r="F17" s="43" t="inlineStr">
        <is>
          <t>Pending</t>
        </is>
      </c>
      <c r="G17" s="43" t="inlineStr">
        <is>
          <t>Expired</t>
        </is>
      </c>
      <c r="H17" s="43" t="inlineStr">
        <is>
          <t>Pending Review</t>
        </is>
      </c>
      <c r="I17" s="43" t="inlineStr">
        <is>
          <t>IOTBU</t>
        </is>
      </c>
      <c r="J17" s="43" t="inlineStr">
        <is>
          <t>CTANJZ04478</t>
        </is>
      </c>
      <c r="K17" s="32" t="n"/>
      <c r="L17" s="32" t="n"/>
      <c r="M17" s="32" t="n">
        <v>45775</v>
      </c>
      <c r="N17" s="43" t="n"/>
      <c r="O17" s="43" t="n"/>
      <c r="P17" s="43" t="n"/>
      <c r="Q17" s="43" t="n"/>
      <c r="R17" s="43" t="n"/>
      <c r="S17" s="43" t="n"/>
      <c r="T17" s="43" t="inlineStr">
        <is>
          <t>Y</t>
        </is>
      </c>
      <c r="U17" s="33" t="inlineStr">
        <is>
          <t xml:space="preserve">FUENTE: Deviation.csv, filas CSV 377-381; Workflow=Expired; Date Released=2025-03-07; Date Originated=2025-02-28; Site=FJZP, Plant=MCGA (sin convertir automaticamente a FJZ); 5 filas PN; APROBACION Y APLICABILIDAD NO VALIDADAS. </t>
        </is>
      </c>
    </row>
    <row r="18">
      <c r="A18" s="35" t="inlineStr">
        <is>
          <t>DEV-CTANJZ04481</t>
        </is>
      </c>
      <c r="B18" s="35" t="inlineStr">
        <is>
          <t>DEVIATION</t>
        </is>
      </c>
      <c r="C18" s="35" t="inlineStr">
        <is>
          <t>D600361</t>
        </is>
      </c>
      <c r="D18" s="35" t="n"/>
      <c r="E18" s="36" t="inlineStr">
        <is>
          <t>D600361 Please see PageThree for details</t>
        </is>
      </c>
      <c r="F18" s="35" t="inlineStr">
        <is>
          <t>Pending</t>
        </is>
      </c>
      <c r="G18" s="35" t="inlineStr">
        <is>
          <t>Expired</t>
        </is>
      </c>
      <c r="H18" s="35" t="inlineStr">
        <is>
          <t>Pending Review</t>
        </is>
      </c>
      <c r="I18" s="35" t="inlineStr">
        <is>
          <t>STBU</t>
        </is>
      </c>
      <c r="J18" s="35" t="inlineStr">
        <is>
          <t>CTANJZ04481</t>
        </is>
      </c>
      <c r="K18" s="37" t="n"/>
      <c r="L18" s="37" t="n"/>
      <c r="M18" s="37" t="n">
        <v>45809</v>
      </c>
      <c r="N18" s="35" t="n"/>
      <c r="O18" s="35" t="n"/>
      <c r="P18" s="35" t="n"/>
      <c r="Q18" s="35" t="n"/>
      <c r="R18" s="35" t="n"/>
      <c r="S18" s="35" t="n"/>
      <c r="T18" s="35" t="inlineStr">
        <is>
          <t>Y</t>
        </is>
      </c>
      <c r="U18" s="36" t="inlineStr">
        <is>
          <t xml:space="preserve">FUENTE: Deviation.csv, filas CSV 156-158; Workflow=Expired; Date Released=2025-03-20; Date Originated=2025-03-04; Site=FJZP, Plant=MCGA (sin convertir automaticamente a FJZ); 3 filas PN; APROBACION Y APLICABILIDAD NO VALIDADAS. </t>
        </is>
      </c>
    </row>
    <row r="19">
      <c r="A19" s="43" t="inlineStr">
        <is>
          <t>DEV-CTANJZ04487</t>
        </is>
      </c>
      <c r="B19" s="43" t="inlineStr">
        <is>
          <t>DEVIATION</t>
        </is>
      </c>
      <c r="C19" s="43" t="inlineStr">
        <is>
          <t>D602439</t>
        </is>
      </c>
      <c r="D19" s="43" t="n"/>
      <c r="E19" s="33" t="inlineStr">
        <is>
          <t>D602439 Roku5G C0 modem FW upgrade:This deviation instructs FOL PCBA site and DF sites to upgrade modem FW on Roku5G.Current FW information:Idx Carrier              FwVersion        PriVersion1   GENERIC              02.13.08.00      030.047_000OEM PRI VERSION = 001.002New FW information:Idx Carrier              FwVersion        PriVersion1   ATT                  02.15.01.00      030.059_0002   GENERIC              02.15.01.00      030.054_0013   TMO                  02.15.01.00      030.017_0004   VERIZON              02.16.05.00      030.077_000OEM PRI version = 001.003Note: DF sites will only need to perform upgrade until all OH inventory already comes upgraded from PCBA site.</t>
        </is>
      </c>
      <c r="F19" s="43" t="inlineStr">
        <is>
          <t>Pending</t>
        </is>
      </c>
      <c r="G19" s="43" t="inlineStr">
        <is>
          <t>Expired</t>
        </is>
      </c>
      <c r="H19" s="43" t="inlineStr">
        <is>
          <t>Pending Review</t>
        </is>
      </c>
      <c r="I19" s="43" t="inlineStr">
        <is>
          <t>SRGBU</t>
        </is>
      </c>
      <c r="J19" s="43" t="inlineStr">
        <is>
          <t>CTANJZ04487</t>
        </is>
      </c>
      <c r="K19" s="32" t="n"/>
      <c r="L19" s="32" t="n"/>
      <c r="M19" s="32" t="n">
        <v>45810</v>
      </c>
      <c r="N19" s="43" t="n"/>
      <c r="O19" s="43" t="n"/>
      <c r="P19" s="43" t="n"/>
      <c r="Q19" s="43" t="n"/>
      <c r="R19" s="43" t="n"/>
      <c r="S19" s="43" t="n"/>
      <c r="T19" s="43" t="inlineStr">
        <is>
          <t>Y</t>
        </is>
      </c>
      <c r="U19" s="33" t="inlineStr">
        <is>
          <t xml:space="preserve">FUENTE: Deviation.csv, filas CSV 803-803; Workflow=Expired; Date Released=2025-03-16; Date Originated=2025-03-06; Site=FJZP, Plant=MCGA (sin convertir automaticamente a FJZ); 1 filas PN; APROBACION Y APLICABILIDAD NO VALIDADAS. </t>
        </is>
      </c>
    </row>
    <row r="20">
      <c r="A20" s="35" t="inlineStr">
        <is>
          <t>DEV-CTANJZ04493</t>
        </is>
      </c>
      <c r="B20" s="35" t="inlineStr">
        <is>
          <t>DEVIATION</t>
        </is>
      </c>
      <c r="C20" s="35" t="inlineStr">
        <is>
          <t>D602616</t>
        </is>
      </c>
      <c r="D20" s="35" t="n"/>
      <c r="E20" s="36" t="inlineStr">
        <is>
          <t>D602616 This Deviation supports immediate use of updated Victoria RM PCA/TAN MAPs for Victoria A0 Pilot build; currently in process at FJZ.On 68-104742-04_A0;  use updated PCA/TAN MAP 61-107123-04 -A2  On 68-104743-04_A0;  use updated PCA/TAN MAP 61-107124-04 -A2On 68-104744-04_A0;  use updated PCA/TAN MAP 61-107125-04 -A2Updated TAN MAPs are attached to ECO EA618008  and will be forwarded directly to FJZ for Pilot use.</t>
        </is>
      </c>
      <c r="F20" s="35" t="inlineStr">
        <is>
          <t>Pending</t>
        </is>
      </c>
      <c r="G20" s="35" t="inlineStr">
        <is>
          <t>Expired</t>
        </is>
      </c>
      <c r="H20" s="35" t="inlineStr">
        <is>
          <t>Pending Review</t>
        </is>
      </c>
      <c r="I20" s="35" t="inlineStr">
        <is>
          <t>STBU</t>
        </is>
      </c>
      <c r="J20" s="35" t="inlineStr">
        <is>
          <t>CTANJZ04493</t>
        </is>
      </c>
      <c r="K20" s="37" t="n"/>
      <c r="L20" s="37" t="n"/>
      <c r="M20" s="37" t="n">
        <v>45817</v>
      </c>
      <c r="N20" s="35" t="n"/>
      <c r="O20" s="35" t="n"/>
      <c r="P20" s="35" t="n"/>
      <c r="Q20" s="35" t="n"/>
      <c r="R20" s="35" t="n"/>
      <c r="S20" s="35" t="n"/>
      <c r="T20" s="35" t="inlineStr">
        <is>
          <t>Y</t>
        </is>
      </c>
      <c r="U20" s="36" t="inlineStr">
        <is>
          <t xml:space="preserve">FUENTE: Deviation.csv, filas CSV 1742-1804; Workflow=Expired; Date Released=2025-03-26; Date Originated=2025-03-12; Site=FJZP, Plant=MCGA (sin convertir automaticamente a FJZ); 6 filas PN; APROBACION Y APLICABILIDAD NO VALIDADAS. </t>
        </is>
      </c>
    </row>
    <row r="21">
      <c r="A21" s="43" t="inlineStr">
        <is>
          <t>DEV-CTANJZ04503</t>
        </is>
      </c>
      <c r="B21" s="43" t="inlineStr">
        <is>
          <t>DEVIATION</t>
        </is>
      </c>
      <c r="C21" s="43" t="inlineStr">
        <is>
          <t>D602312</t>
        </is>
      </c>
      <c r="D21" s="43" t="n"/>
      <c r="E21" s="33" t="inlineStr">
        <is>
          <t>D602312 NGFWBU: Risk Buy: F1KLOW: GQR No: GQR000040714; AQR No: AQR001532662; CPN:25-1209-01; MFR NAME: HARVATEK CORPORATION; MPN:B2G32UYUG20C000913U1924To execute the above AQR at CM Site.</t>
        </is>
      </c>
      <c r="F21" s="43" t="inlineStr">
        <is>
          <t>Pending</t>
        </is>
      </c>
      <c r="G21" s="43" t="inlineStr">
        <is>
          <t>Expired</t>
        </is>
      </c>
      <c r="H21" s="43" t="inlineStr">
        <is>
          <t>Pending Review</t>
        </is>
      </c>
      <c r="I21" s="43" t="inlineStr">
        <is>
          <t>STBU</t>
        </is>
      </c>
      <c r="J21" s="43" t="inlineStr">
        <is>
          <t>CTANJZ04503</t>
        </is>
      </c>
      <c r="K21" s="32" t="n"/>
      <c r="L21" s="32" t="n"/>
      <c r="M21" s="32" t="n">
        <v>45824</v>
      </c>
      <c r="N21" s="43" t="n"/>
      <c r="O21" s="43" t="n"/>
      <c r="P21" s="43" t="n"/>
      <c r="Q21" s="43" t="n"/>
      <c r="R21" s="43" t="n"/>
      <c r="S21" s="43" t="n"/>
      <c r="T21" s="43" t="inlineStr">
        <is>
          <t>Y</t>
        </is>
      </c>
      <c r="U21" s="33" t="inlineStr">
        <is>
          <t xml:space="preserve">FUENTE: Deviation.csv, filas CSV 1402-1404; Workflow=Expired; Date Released=2025-04-01; Date Originated=2025-03-19; Site=FJZP, Plant=MCGA (sin convertir automaticamente a FJZ); 3 filas PN; APROBACION Y APLICABILIDAD NO VALIDADAS. </t>
        </is>
      </c>
    </row>
    <row r="22">
      <c r="A22" s="35" t="inlineStr">
        <is>
          <t>DEV-CTANJZ04504</t>
        </is>
      </c>
      <c r="B22" s="35" t="inlineStr">
        <is>
          <t>DEVIATION</t>
        </is>
      </c>
      <c r="C22" s="35" t="inlineStr">
        <is>
          <t>D602218</t>
        </is>
      </c>
      <c r="D22" s="35" t="n"/>
      <c r="E22" s="36" t="inlineStr">
        <is>
          <t>D602218 NGFWBU: Risk Buy: GQR No: GQR000040714; AQR No: AQR001532743; CPN:25-1209-01; MFR NAME:HARVATEK CORPORATION; MPN: B2G32UYUG20C000913U1924To execute the above AQR at CM Site.</t>
        </is>
      </c>
      <c r="F22" s="35" t="inlineStr">
        <is>
          <t>Pending</t>
        </is>
      </c>
      <c r="G22" s="35" t="inlineStr">
        <is>
          <t>Expired</t>
        </is>
      </c>
      <c r="H22" s="35" t="inlineStr">
        <is>
          <t>Pending Review</t>
        </is>
      </c>
      <c r="I22" s="35" t="inlineStr">
        <is>
          <t>STBU</t>
        </is>
      </c>
      <c r="J22" s="35" t="inlineStr">
        <is>
          <t>CTANJZ04504</t>
        </is>
      </c>
      <c r="K22" s="37" t="n"/>
      <c r="L22" s="37" t="n"/>
      <c r="M22" s="37" t="n">
        <v>45824</v>
      </c>
      <c r="N22" s="35" t="n"/>
      <c r="O22" s="35" t="n"/>
      <c r="P22" s="35" t="n"/>
      <c r="Q22" s="35" t="n"/>
      <c r="R22" s="35" t="n"/>
      <c r="S22" s="35" t="n"/>
      <c r="T22" s="35" t="inlineStr">
        <is>
          <t>Y</t>
        </is>
      </c>
      <c r="U22" s="36" t="inlineStr">
        <is>
          <t xml:space="preserve">FUENTE: Deviation.csv, filas CSV 1399-1401; Workflow=Expired; Date Released=2025-04-01; Date Originated=2025-03-19; Site=FJZP, Plant=MCGA (sin convertir automaticamente a FJZ); 3 filas PN; APROBACION Y APLICABILIDAD NO VALIDADAS. </t>
        </is>
      </c>
    </row>
    <row r="23">
      <c r="A23" s="43" t="inlineStr">
        <is>
          <t>DEV-CTANJZ04506</t>
        </is>
      </c>
      <c r="B23" s="43" t="inlineStr">
        <is>
          <t>DEVIATION</t>
        </is>
      </c>
      <c r="C23" s="43" t="inlineStr">
        <is>
          <t>D602909</t>
        </is>
      </c>
      <c r="D23" s="43" t="n"/>
      <c r="E23" s="33" t="inlineStr">
        <is>
          <t>D602909 Foxconn does not use 16-4458-01 Kioxia THGBMUG8C2LBAIL eMMC (Qualified) until CIMC is updated on Tabei-M and Orion:</t>
        </is>
      </c>
      <c r="F23" s="43" t="inlineStr">
        <is>
          <t>Pending</t>
        </is>
      </c>
      <c r="G23" s="43" t="inlineStr">
        <is>
          <t>Expired</t>
        </is>
      </c>
      <c r="H23" s="43" t="inlineStr">
        <is>
          <t>Pending Review</t>
        </is>
      </c>
      <c r="I23" s="43" t="inlineStr">
        <is>
          <t>SRGBU</t>
        </is>
      </c>
      <c r="J23" s="43" t="inlineStr">
        <is>
          <t>CTANJZ04506</t>
        </is>
      </c>
      <c r="K23" s="32" t="n"/>
      <c r="L23" s="32" t="n"/>
      <c r="M23" s="32" t="n">
        <v>45826</v>
      </c>
      <c r="N23" s="43" t="n"/>
      <c r="O23" s="43" t="n"/>
      <c r="P23" s="43" t="n"/>
      <c r="Q23" s="43" t="n"/>
      <c r="R23" s="43" t="n"/>
      <c r="S23" s="43" t="n"/>
      <c r="T23" s="43" t="inlineStr">
        <is>
          <t>Y</t>
        </is>
      </c>
      <c r="U23" s="33" t="inlineStr">
        <is>
          <t xml:space="preserve">FUENTE: Deviation.csv, filas CSV 873-874; Workflow=Expired; Date Released=2025-04-01; Date Originated=2025-03-21; Site=FJZP, Plant=MCGA (sin convertir automaticamente a FJZ); 2 filas PN; APROBACION Y APLICABILIDAD NO VALIDADAS. </t>
        </is>
      </c>
    </row>
    <row r="24">
      <c r="A24" s="35" t="inlineStr">
        <is>
          <t>DEV-CTANJZ04510</t>
        </is>
      </c>
      <c r="B24" s="35" t="inlineStr">
        <is>
          <t>DEVIATION</t>
        </is>
      </c>
      <c r="C24" s="35" t="inlineStr">
        <is>
          <t>D601185</t>
        </is>
      </c>
      <c r="D24" s="35" t="n"/>
      <c r="E24" s="36" t="inlineStr">
        <is>
          <t>D601185 NGFWBU: Risk Buy: GQR No: GQR000006098; AQR No: AQR000305168; CPN:15-100294-01; MFR NAME: ONSEMI; MPN: NCP51200MNTXGTo execute the above AQR at CM Site</t>
        </is>
      </c>
      <c r="F24" s="35" t="inlineStr">
        <is>
          <t>Pending</t>
        </is>
      </c>
      <c r="G24" s="35" t="inlineStr">
        <is>
          <t>Expired</t>
        </is>
      </c>
      <c r="H24" s="35" t="inlineStr">
        <is>
          <t>Pending Review</t>
        </is>
      </c>
      <c r="I24" s="35" t="inlineStr">
        <is>
          <t>STBU</t>
        </is>
      </c>
      <c r="J24" s="35" t="inlineStr">
        <is>
          <t>CTANJZ04510</t>
        </is>
      </c>
      <c r="K24" s="37" t="n"/>
      <c r="L24" s="37" t="n"/>
      <c r="M24" s="37" t="n">
        <v>45827</v>
      </c>
      <c r="N24" s="35" t="n"/>
      <c r="O24" s="35" t="n"/>
      <c r="P24" s="35" t="n"/>
      <c r="Q24" s="35" t="n"/>
      <c r="R24" s="35" t="n"/>
      <c r="S24" s="35" t="n"/>
      <c r="T24" s="35" t="inlineStr">
        <is>
          <t>Y</t>
        </is>
      </c>
      <c r="U24" s="36" t="inlineStr">
        <is>
          <t xml:space="preserve">FUENTE: Deviation.csv, filas CSV 1414-1456; Workflow=Expired; Date Released=2025-04-10; Date Originated=2025-03-24; Site=FJZP, Plant=MCGA (sin convertir automaticamente a FJZ); 3 filas PN; APROBACION Y APLICABILIDAD NO VALIDADAS. </t>
        </is>
      </c>
    </row>
    <row r="25">
      <c r="A25" s="43" t="inlineStr">
        <is>
          <t>DEV-CTANJZ04512</t>
        </is>
      </c>
      <c r="B25" s="43" t="inlineStr">
        <is>
          <t>DEVIATION</t>
        </is>
      </c>
      <c r="C25" s="43" t="inlineStr">
        <is>
          <t>D602969</t>
        </is>
      </c>
      <c r="D25" s="43" t="n"/>
      <c r="E25" s="33" t="inlineStr">
        <is>
          <t>D602969 Rommon change from 1.3.03 to 1.3.05; but the FPGA still showing Golden FPGA Version 0.20.0 and Running FPGA Version 0.21.0 and rommon is waiting for FPGA 0.22.0To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t>
        </is>
      </c>
      <c r="F25" s="43" t="inlineStr">
        <is>
          <t>Pending</t>
        </is>
      </c>
      <c r="G25" s="43" t="inlineStr">
        <is>
          <t>Expired</t>
        </is>
      </c>
      <c r="H25" s="43" t="inlineStr">
        <is>
          <t>Pending Review</t>
        </is>
      </c>
      <c r="I25" s="43" t="inlineStr">
        <is>
          <t>STBU</t>
        </is>
      </c>
      <c r="J25" s="43" t="inlineStr">
        <is>
          <t>CTANJZ04512</t>
        </is>
      </c>
      <c r="K25" s="32" t="n"/>
      <c r="L25" s="32" t="n"/>
      <c r="M25" s="32" t="n">
        <v>45920</v>
      </c>
      <c r="N25" s="43" t="n"/>
      <c r="O25" s="43" t="n"/>
      <c r="P25" s="43" t="n"/>
      <c r="Q25" s="43" t="n"/>
      <c r="R25" s="43" t="n"/>
      <c r="S25" s="43" t="n"/>
      <c r="T25" s="43" t="inlineStr">
        <is>
          <t>Y</t>
        </is>
      </c>
      <c r="U25" s="33" t="inlineStr">
        <is>
          <t xml:space="preserve">FUENTE: Deviation.csv, filas CSV 17-27; Workflow=Expired; Date Released=2025-04-03; Date Originated=2025-03-25; Site=FJZP, Plant=MCGA (sin convertir automaticamente a FJZ); 8 filas PN; APROBACION Y APLICABILIDAD NO VALIDADAS. </t>
        </is>
      </c>
    </row>
    <row r="26">
      <c r="A26" s="35" t="inlineStr">
        <is>
          <t>DEV-CTANJZ04515</t>
        </is>
      </c>
      <c r="B26" s="35" t="inlineStr">
        <is>
          <t>DEVIATION</t>
        </is>
      </c>
      <c r="C26" s="35" t="inlineStr">
        <is>
          <t>D602888</t>
        </is>
      </c>
      <c r="D26" s="35" t="n"/>
      <c r="E26" s="36" t="inlineStr">
        <is>
          <t>D602888 To re-program the IDPROM at PCBA functional test with the following command:diag nm2 program idprom write type-i d7 format-t dec data-w 4200This will provide a TLV setting of d7421068 at the IDPROM address of the VPA Power Consumption.</t>
        </is>
      </c>
      <c r="F26" s="35" t="inlineStr">
        <is>
          <t>Pending</t>
        </is>
      </c>
      <c r="G26" s="35" t="inlineStr">
        <is>
          <t>Expired</t>
        </is>
      </c>
      <c r="H26" s="35" t="inlineStr">
        <is>
          <t>Pending Review</t>
        </is>
      </c>
      <c r="I26" s="35" t="inlineStr">
        <is>
          <t>STBU</t>
        </is>
      </c>
      <c r="J26" s="35" t="inlineStr">
        <is>
          <t>CTANJZ04515</t>
        </is>
      </c>
      <c r="K26" s="37" t="n"/>
      <c r="L26" s="37" t="n"/>
      <c r="M26" s="37" t="n">
        <v>45830</v>
      </c>
      <c r="N26" s="35" t="n"/>
      <c r="O26" s="35" t="n"/>
      <c r="P26" s="35" t="n"/>
      <c r="Q26" s="35" t="n"/>
      <c r="R26" s="35" t="n"/>
      <c r="S26" s="35" t="n"/>
      <c r="T26" s="35" t="inlineStr">
        <is>
          <t>Y</t>
        </is>
      </c>
      <c r="U26" s="36" t="inlineStr">
        <is>
          <t xml:space="preserve">FUENTE: Deviation.csv, filas CSV 754-754; Workflow=Expired; Date Released=2025-04-03; Date Originated=2025-03-25; Site=FJZP, Plant=MCGA (sin convertir automaticamente a FJZ); 1 filas PN; APROBACION Y APLICABILIDAD NO VALIDADAS. </t>
        </is>
      </c>
    </row>
    <row r="27">
      <c r="A27" s="43" t="inlineStr">
        <is>
          <t>DEV-CTANJZ04518</t>
        </is>
      </c>
      <c r="B27" s="43" t="inlineStr">
        <is>
          <t>DEVIATION</t>
        </is>
      </c>
      <c r="C27" s="43" t="inlineStr">
        <is>
          <t>D602944</t>
        </is>
      </c>
      <c r="D27" s="43" t="n"/>
      <c r="E27" s="33" t="inlineStr">
        <is>
          <t>D602944 CVEBU: CS-CAM-PTZ4K+; add a prefix SVP in front of the manufacturer Serial number. This is an extension of D600834.</t>
        </is>
      </c>
      <c r="F27" s="43" t="inlineStr">
        <is>
          <t>Pending</t>
        </is>
      </c>
      <c r="G27" s="43" t="inlineStr">
        <is>
          <t>Expired</t>
        </is>
      </c>
      <c r="H27" s="43" t="inlineStr">
        <is>
          <t>Pending Review</t>
        </is>
      </c>
      <c r="I27" s="43" t="inlineStr">
        <is>
          <t>CVEBU</t>
        </is>
      </c>
      <c r="J27" s="43" t="inlineStr">
        <is>
          <t>CTANJZ04518</t>
        </is>
      </c>
      <c r="K27" s="32" t="n"/>
      <c r="L27" s="32" t="n"/>
      <c r="M27" s="32" t="n">
        <v>45831</v>
      </c>
      <c r="N27" s="43" t="n"/>
      <c r="O27" s="43" t="n"/>
      <c r="P27" s="43" t="n"/>
      <c r="Q27" s="43" t="n"/>
      <c r="R27" s="43" t="n"/>
      <c r="S27" s="43" t="n"/>
      <c r="T27" s="43" t="inlineStr">
        <is>
          <t>Y</t>
        </is>
      </c>
      <c r="U27" s="33" t="inlineStr">
        <is>
          <t xml:space="preserve">FUENTE: Deviation.csv, filas CSV 755-755; Workflow=Expired; Date Released=2025-04-04; Date Originated=2025-03-26; Site=FJZP, Plant=MCGA (sin convertir automaticamente a FJZ); 1 filas PN; APROBACION Y APLICABILIDAD NO VALIDADAS. </t>
        </is>
      </c>
    </row>
    <row r="28">
      <c r="A28" s="35" t="inlineStr">
        <is>
          <t>DEV-CTANJZ04523</t>
        </is>
      </c>
      <c r="B28" s="35" t="inlineStr">
        <is>
          <t>DEVIATION</t>
        </is>
      </c>
      <c r="C28" s="35" t="inlineStr">
        <is>
          <t>DP524680</t>
        </is>
      </c>
      <c r="D28" s="35" t="n"/>
      <c r="E28" s="36" t="inlineStr">
        <is>
          <t>DP524680 IOTBU: Kitty Hawk: PCA 73-103098-03: TAN 68-104004-01:Due to the current size of  the PCA  label on PCBA 73-103098-03 and its adjacency placement to a part (15-110493-01) at Ref Des location U45; it is currently causing soldering challenges. Foxconn has requested that our team decrease the size of the label to help prevent the buildup of solder that results in solder bridges.This Deviation Prototype allows the CM (FJZ) to change the label stock used for the PCBA label from 471-100217-01; to 471-100301-01 for the PP build while we work to make the change permanent for Production.  In addition; at the request of our Mech PE; we are also adding 3 more labels to the TAN level for PP.Therefore; all locations and contents for all labels explain above can be found on the attached file to this Deviation.</t>
        </is>
      </c>
      <c r="F28" s="35" t="inlineStr">
        <is>
          <t>Pending</t>
        </is>
      </c>
      <c r="G28" s="35" t="inlineStr">
        <is>
          <t>Expired</t>
        </is>
      </c>
      <c r="H28" s="35" t="inlineStr">
        <is>
          <t>Pending Review</t>
        </is>
      </c>
      <c r="I28" s="35" t="inlineStr">
        <is>
          <t>IOTBU</t>
        </is>
      </c>
      <c r="J28" s="35" t="inlineStr">
        <is>
          <t>CTANJZ04523</t>
        </is>
      </c>
      <c r="K28" s="37" t="n"/>
      <c r="L28" s="37" t="n"/>
      <c r="M28" s="37" t="n">
        <v>45801</v>
      </c>
      <c r="N28" s="35" t="n"/>
      <c r="O28" s="35" t="n"/>
      <c r="P28" s="35" t="n"/>
      <c r="Q28" s="35" t="n"/>
      <c r="R28" s="35" t="n"/>
      <c r="S28" s="35" t="n"/>
      <c r="T28" s="35" t="inlineStr">
        <is>
          <t>Y</t>
        </is>
      </c>
      <c r="U28" s="36" t="inlineStr">
        <is>
          <t xml:space="preserve">FUENTE: Deviation.csv, filas CSV 397-398; Workflow=Expired; Date Released=2025-04-04; Date Originated=2025-03-26; Site=FJZP, Plant=MCGA (sin convertir automaticamente a FJZ); 2 filas PN; APROBACION Y APLICABILIDAD NO VALIDADAS. </t>
        </is>
      </c>
    </row>
    <row r="29">
      <c r="A29" s="43" t="inlineStr">
        <is>
          <t>DEV-CTANJZ04524</t>
        </is>
      </c>
      <c r="B29" s="43" t="inlineStr">
        <is>
          <t>DEVIATION</t>
        </is>
      </c>
      <c r="C29" s="43" t="inlineStr">
        <is>
          <t>D603036</t>
        </is>
      </c>
      <c r="D29" s="43" t="n"/>
      <c r="E29" s="33" t="inlineStr">
        <is>
          <t>D603036 Allow FJZ to use DC with more than 2 Yrs. for part 15-105550-01 used on assembly 68-6723-04 (2245) This component is not exposed to a thermal process is directly attached to a socket.</t>
        </is>
      </c>
      <c r="F29" s="43" t="inlineStr">
        <is>
          <t>Pending</t>
        </is>
      </c>
      <c r="G29" s="43" t="inlineStr">
        <is>
          <t>Expired</t>
        </is>
      </c>
      <c r="H29" s="43" t="inlineStr">
        <is>
          <t>Pending Review</t>
        </is>
      </c>
      <c r="I29" s="43" t="inlineStr">
        <is>
          <t>STBU</t>
        </is>
      </c>
      <c r="J29" s="43" t="inlineStr">
        <is>
          <t>CTANJZ04524</t>
        </is>
      </c>
      <c r="K29" s="32" t="n"/>
      <c r="L29" s="32" t="n"/>
      <c r="M29" s="32" t="n">
        <v>45831</v>
      </c>
      <c r="N29" s="43" t="n"/>
      <c r="O29" s="43" t="n"/>
      <c r="P29" s="43" t="n"/>
      <c r="Q29" s="43" t="n"/>
      <c r="R29" s="43" t="n"/>
      <c r="S29" s="43" t="n"/>
      <c r="T29" s="43" t="inlineStr">
        <is>
          <t>Y</t>
        </is>
      </c>
      <c r="U29" s="33" t="inlineStr">
        <is>
          <t xml:space="preserve">FUENTE: Deviation.csv, filas CSV 350-351; Workflow=Expired; Date Released=2025-04-04; Date Originated=2025-03-26; Site=FJZP, Plant=MCGA (sin convertir automaticamente a FJZ); 2 filas PN; APROBACION Y APLICABILIDAD NO VALIDADAS. </t>
        </is>
      </c>
    </row>
    <row r="30">
      <c r="A30" s="35" t="inlineStr">
        <is>
          <t>DEV-CTANJZ04526</t>
        </is>
      </c>
      <c r="B30" s="35" t="inlineStr">
        <is>
          <t>DEVIATION</t>
        </is>
      </c>
      <c r="C30" s="35" t="inlineStr">
        <is>
          <t>D603054</t>
        </is>
      </c>
      <c r="D30" s="35" t="n"/>
      <c r="E30" s="36" t="inlineStr">
        <is>
          <t>D603054 NGFWBU: Netmod Gen-2 - To re-program the IDPROM at PCBA functional test to correct the VPA power consumption Hex value with the following command:Brentwood 10G : diag nm2 program idprom write type-i d7 format-t dec data-w 4200Brentwood 25G : diag nm2 program idprom write type-i d7 format-t dec data-w 5000Maryland 40G : diag nm2 program idprom write type-i d7 format-t dec data-w 5100Shenfield : diag nm2 program idprom write type-i d7 format-t dec data-w 6000</t>
        </is>
      </c>
      <c r="F30" s="35" t="inlineStr">
        <is>
          <t>Pending</t>
        </is>
      </c>
      <c r="G30" s="35" t="inlineStr">
        <is>
          <t>Expired</t>
        </is>
      </c>
      <c r="H30" s="35" t="inlineStr">
        <is>
          <t>Pending Review</t>
        </is>
      </c>
      <c r="I30" s="35" t="inlineStr">
        <is>
          <t>STBU</t>
        </is>
      </c>
      <c r="J30" s="35" t="inlineStr">
        <is>
          <t>CTANJZ04526</t>
        </is>
      </c>
      <c r="K30" s="37" t="n"/>
      <c r="L30" s="37" t="n"/>
      <c r="M30" s="37" t="n">
        <v>45832</v>
      </c>
      <c r="N30" s="35" t="n"/>
      <c r="O30" s="35" t="n"/>
      <c r="P30" s="35" t="n"/>
      <c r="Q30" s="35" t="n"/>
      <c r="R30" s="35" t="n"/>
      <c r="S30" s="35" t="n"/>
      <c r="T30" s="35" t="inlineStr">
        <is>
          <t>Y</t>
        </is>
      </c>
      <c r="U30" s="36" t="inlineStr">
        <is>
          <t xml:space="preserve">FUENTE: Deviation.csv, filas CSV 756-759; Workflow=Expired; Date Released=2025-04-05; Date Originated=2025-03-27; Site=FJZP, Plant=MCGA (sin convertir automaticamente a FJZ); 4 filas PN; APROBACION Y APLICABILIDAD NO VALIDADAS. </t>
        </is>
      </c>
    </row>
    <row r="31">
      <c r="A31" s="43" t="inlineStr">
        <is>
          <t>DEV-CTANJZ04532</t>
        </is>
      </c>
      <c r="B31" s="43" t="inlineStr">
        <is>
          <t>DEVIATION</t>
        </is>
      </c>
      <c r="C31" s="43" t="inlineStr">
        <is>
          <t>DP524725</t>
        </is>
      </c>
      <c r="D31" s="43" t="n"/>
      <c r="E31" s="33" t="inlineStr">
        <is>
          <t>DP524725 For ESW-P3 build - FJZ can skip Edge Bonding process step for all P3 units</t>
        </is>
      </c>
      <c r="F31" s="43" t="inlineStr">
        <is>
          <t>Pending</t>
        </is>
      </c>
      <c r="G31" s="43" t="inlineStr">
        <is>
          <t>Expired</t>
        </is>
      </c>
      <c r="H31" s="43" t="inlineStr">
        <is>
          <t>Pending Review</t>
        </is>
      </c>
      <c r="I31" s="43" t="inlineStr">
        <is>
          <t>STBU</t>
        </is>
      </c>
      <c r="J31" s="43" t="inlineStr">
        <is>
          <t>CTANJZ04532</t>
        </is>
      </c>
      <c r="K31" s="32" t="n"/>
      <c r="L31" s="32" t="n"/>
      <c r="M31" s="32" t="n">
        <v>45804</v>
      </c>
      <c r="N31" s="43" t="n"/>
      <c r="O31" s="43" t="n"/>
      <c r="P31" s="43" t="n"/>
      <c r="Q31" s="43" t="n"/>
      <c r="R31" s="43" t="n"/>
      <c r="S31" s="43" t="n"/>
      <c r="T31" s="43" t="inlineStr">
        <is>
          <t>Y</t>
        </is>
      </c>
      <c r="U31" s="33" t="inlineStr">
        <is>
          <t xml:space="preserve">FUENTE: Deviation.csv, filas CSV 802-802; Workflow=Expired; Date Released=2025-04-05; Date Originated=2025-03-31; Site=FJZP, Plant=MCGA (sin convertir automaticamente a FJZ); 1 filas PN; APROBACION Y APLICABILIDAD NO VALIDADAS. </t>
        </is>
      </c>
    </row>
    <row r="32">
      <c r="A32" s="35" t="inlineStr">
        <is>
          <t>DEV-CTANJZ04537</t>
        </is>
      </c>
      <c r="B32" s="35" t="inlineStr">
        <is>
          <t>DEVIATION</t>
        </is>
      </c>
      <c r="C32" s="35" t="inlineStr">
        <is>
          <t>D602319</t>
        </is>
      </c>
      <c r="D32" s="35" t="n"/>
      <c r="E32" s="36" t="inlineStr">
        <is>
          <t>D602319 Deviation created to allow FJZ to test Tufnell units from Bone Pile with old revision for temporary manufacturing process changes.</t>
        </is>
      </c>
      <c r="F32" s="35" t="inlineStr">
        <is>
          <t>Pending</t>
        </is>
      </c>
      <c r="G32" s="35" t="inlineStr">
        <is>
          <t>Expired</t>
        </is>
      </c>
      <c r="H32" s="35" t="inlineStr">
        <is>
          <t>Pending Review</t>
        </is>
      </c>
      <c r="I32" s="35" t="inlineStr">
        <is>
          <t>STBU</t>
        </is>
      </c>
      <c r="J32" s="35" t="inlineStr">
        <is>
          <t>CTANJZ04537</t>
        </is>
      </c>
      <c r="K32" s="37" t="n"/>
      <c r="L32" s="37" t="n"/>
      <c r="M32" s="37" t="n">
        <v>45837</v>
      </c>
      <c r="N32" s="35" t="n"/>
      <c r="O32" s="35" t="n"/>
      <c r="P32" s="35" t="n"/>
      <c r="Q32" s="35" t="n"/>
      <c r="R32" s="35" t="n"/>
      <c r="S32" s="35" t="n"/>
      <c r="T32" s="35" t="inlineStr">
        <is>
          <t>Y</t>
        </is>
      </c>
      <c r="U32" s="36" t="inlineStr">
        <is>
          <t xml:space="preserve">FUENTE: Deviation.csv, filas CSV 665-676; Workflow=Expired; Date Released=2025-04-15; Date Originated=2025-04-01; Site=FJZP, Plant=MCGA (sin convertir automaticamente a FJZ); 12 filas PN; APROBACION Y APLICABILIDAD NO VALIDADAS. </t>
        </is>
      </c>
    </row>
    <row r="33">
      <c r="A33" s="43" t="inlineStr">
        <is>
          <t>DEV-CTANJZ04545</t>
        </is>
      </c>
      <c r="B33" s="43" t="inlineStr">
        <is>
          <t>DEVIATION</t>
        </is>
      </c>
      <c r="C33" s="43" t="inlineStr">
        <is>
          <t>D601188</t>
        </is>
      </c>
      <c r="D33" s="43" t="n"/>
      <c r="E33" s="33" t="inlineStr">
        <is>
          <t>D601188 NGFWBU: Risk Buy: GQR No: GQR000040714; AQR No: AQR001532866; CPN:25-1209-01; MFR NAME: HARVATEK CORPORATION; MPN:B2G32UYUG20C000913U1924To execute the above AQR at CM Site.</t>
        </is>
      </c>
      <c r="F33" s="43" t="inlineStr">
        <is>
          <t>Pending</t>
        </is>
      </c>
      <c r="G33" s="43" t="inlineStr">
        <is>
          <t>Expired</t>
        </is>
      </c>
      <c r="H33" s="43" t="inlineStr">
        <is>
          <t>Pending Review</t>
        </is>
      </c>
      <c r="I33" s="43" t="inlineStr">
        <is>
          <t>STBU</t>
        </is>
      </c>
      <c r="J33" s="43" t="inlineStr">
        <is>
          <t>CTANJZ04545</t>
        </is>
      </c>
      <c r="K33" s="32" t="n"/>
      <c r="L33" s="32" t="n"/>
      <c r="M33" s="32" t="n">
        <v>45840</v>
      </c>
      <c r="N33" s="43" t="n"/>
      <c r="O33" s="43" t="n"/>
      <c r="P33" s="43" t="n"/>
      <c r="Q33" s="43" t="n"/>
      <c r="R33" s="43" t="n"/>
      <c r="S33" s="43" t="n"/>
      <c r="T33" s="43" t="inlineStr">
        <is>
          <t>Y</t>
        </is>
      </c>
      <c r="U33" s="33" t="inlineStr">
        <is>
          <t xml:space="preserve">FUENTE: Deviation.csv, filas CSV 1552-1554; Workflow=Expired; Date Released=2025-04-22; Date Originated=2025-04-07; Site=FJZP, Plant=MCGA (sin convertir automaticamente a FJZ); 3 filas PN; APROBACION Y APLICABILIDAD NO VALIDADAS. </t>
        </is>
      </c>
    </row>
    <row r="34">
      <c r="A34" s="35" t="inlineStr">
        <is>
          <t>DEV-CTANJZ04552</t>
        </is>
      </c>
      <c r="B34" s="35" t="inlineStr">
        <is>
          <t>DEVIATION</t>
        </is>
      </c>
      <c r="C34" s="35" t="inlineStr">
        <is>
          <t>D603244</t>
        </is>
      </c>
      <c r="D34" s="35" t="n"/>
      <c r="E34" s="36" t="inlineStr">
        <is>
          <t>D603244 FJZ will to change the battery placement to 800-level on assy area for the KP products and do a manual discharge before placing the battery.Currently the D602143 allows FJZ to make the discharge and they are using 30 for the discharge; this deviation will request to do the discharge by 50 seconds because there are around 10% of failures on production line that are fixed by doing the discharge for 50 seconds; we intend to replicate this on production line to avoid the rework</t>
        </is>
      </c>
      <c r="F34" s="35" t="inlineStr">
        <is>
          <t>Pending</t>
        </is>
      </c>
      <c r="G34" s="35" t="inlineStr">
        <is>
          <t>Expired</t>
        </is>
      </c>
      <c r="H34" s="35" t="inlineStr">
        <is>
          <t>Pending Review</t>
        </is>
      </c>
      <c r="I34" s="35" t="inlineStr">
        <is>
          <t>STBU</t>
        </is>
      </c>
      <c r="J34" s="35" t="inlineStr">
        <is>
          <t>CTANJZ04552</t>
        </is>
      </c>
      <c r="K34" s="37" t="n"/>
      <c r="L34" s="37" t="n"/>
      <c r="M34" s="37" t="n">
        <v>45845</v>
      </c>
      <c r="N34" s="35" t="n"/>
      <c r="O34" s="35" t="n"/>
      <c r="P34" s="35" t="n"/>
      <c r="Q34" s="35" t="n"/>
      <c r="R34" s="35" t="n"/>
      <c r="S34" s="35" t="n"/>
      <c r="T34" s="35" t="inlineStr">
        <is>
          <t>Y</t>
        </is>
      </c>
      <c r="U34" s="36" t="inlineStr">
        <is>
          <t xml:space="preserve">FUENTE: Deviation.csv, filas CSV 677-747; Workflow=Expired; Date Released=2025-04-24; Date Originated=2025-04-09; Site=FJZP, Plant=MCGA (sin convertir automaticamente a FJZ); 9 filas PN; APROBACION Y APLICABILIDAD NO VALIDADAS. </t>
        </is>
      </c>
    </row>
    <row r="35">
      <c r="A35" s="43" t="inlineStr">
        <is>
          <t>DEV-CTANJZ04555</t>
        </is>
      </c>
      <c r="B35" s="43" t="inlineStr">
        <is>
          <t>DEVIATION</t>
        </is>
      </c>
      <c r="C35" s="43" t="inlineStr">
        <is>
          <t>D603224</t>
        </is>
      </c>
      <c r="D35" s="43" t="n"/>
      <c r="E35" s="33" t="inlineStr">
        <is>
          <t>D603224 SRGBU: Tabei-M/Orion: Authorize all DFs to site Balance (SB) by requesting 16-101937-01 and 16-101938-01 (with FW450 or newer) in replacement of 16-102060-01 and 16-102058-01.Note: if those SSD have older fw version; upgrade to FW450 or newer FW.</t>
        </is>
      </c>
      <c r="F35" s="43" t="inlineStr">
        <is>
          <t>Pending</t>
        </is>
      </c>
      <c r="G35" s="43" t="inlineStr">
        <is>
          <t>Expired</t>
        </is>
      </c>
      <c r="H35" s="43" t="inlineStr">
        <is>
          <t>Pending Review</t>
        </is>
      </c>
      <c r="I35" s="43" t="inlineStr">
        <is>
          <t>SRGBU</t>
        </is>
      </c>
      <c r="J35" s="43" t="inlineStr">
        <is>
          <t>CTANJZ04555</t>
        </is>
      </c>
      <c r="K35" s="32" t="n"/>
      <c r="L35" s="32" t="n"/>
      <c r="M35" s="32" t="n">
        <v>45845</v>
      </c>
      <c r="N35" s="43" t="n"/>
      <c r="O35" s="43" t="n"/>
      <c r="P35" s="43" t="n"/>
      <c r="Q35" s="43" t="n"/>
      <c r="R35" s="43" t="n"/>
      <c r="S35" s="43" t="n"/>
      <c r="T35" s="43" t="inlineStr">
        <is>
          <t>Y</t>
        </is>
      </c>
      <c r="U35" s="33" t="inlineStr">
        <is>
          <t xml:space="preserve">FUENTE: Deviation.csv, filas CSV 399-402; Workflow=Expired; Date Released=2025-04-25; Date Originated=2025-04-09; Site=FJZP, Plant=MCGA (sin convertir automaticamente a FJZ); 4 filas PN; APROBACION Y APLICABILIDAD NO VALIDADAS. </t>
        </is>
      </c>
    </row>
    <row r="36">
      <c r="A36" s="35" t="inlineStr">
        <is>
          <t>DEV-CTANJZ04556</t>
        </is>
      </c>
      <c r="B36" s="35" t="inlineStr">
        <is>
          <t>DEVIATION</t>
        </is>
      </c>
      <c r="C36" s="35" t="inlineStr">
        <is>
          <t>D603102</t>
        </is>
      </c>
      <c r="D36" s="35" t="n"/>
      <c r="E36" s="36" t="inlineStr">
        <is>
          <t>D603102 Issue: Rommon change from 1.3.03 to 1.3.05; but the FPGA still showing Golden FPGA Version 0.20.0 and Running FPGA Version 0.21.0 and rommon is waiting for FPGA 0.22.0Validation: All scenarios passed and upgraded ROMMON to 1.3.05 and FPGA golden v21 &amp; running v22A. 1.3.05 - Partially ECO implementation (ROMMON) =&gt; Script downgrade to 1.3.03; upgrade through FW bundle to 1.3.05 and FPGA golden v21 &amp; running v22B. 1.3.03- Partially ECO implementation; manually downgraded ROMMON from 1.3.05 =&gt; upgrade through FW bundle to 1.3.05 and FPGA golden v21 &amp; running v22C. 1.3.03 - Pre-ECO implementation; likely passed P2C already =&gt; upgrade through FW bundle to 1.3.05 and FPGA golden v21 &amp; running v22D. 1.2.X - Previous released pre-programmed =&gt; upgrade through FW bundle to 1.3.05 and FPGA golden v21 &amp; running v22Material availability:1. FJZ is allowed to use the old rev material until we received the new parts to fully implementTo receive in April 2025:17-102041-05 - FPGA CONFIG; SPI17-102043-02 - NIC SPI17-102050-06 - POWER SEQUENCERTo receive in June 2025:17-16001-05 - FPGA+Akido+Secure_JTAGMaterial with new version OH:17-102040-06 - BIOS_ROMMON17-102102-03 - NIC SPI; U85; VER 21.00.022. The parts 17-102041-07 (FPGA CONFIG; SPI) and 17-16001-07 (FPGA+Akido+Secure_JTAG) **must be used** together. No mixing of new versions of these with old version. No exceptions.</t>
        </is>
      </c>
      <c r="F36" s="35" t="inlineStr">
        <is>
          <t>Pending</t>
        </is>
      </c>
      <c r="G36" s="35" t="inlineStr">
        <is>
          <t>Expired</t>
        </is>
      </c>
      <c r="H36" s="35" t="inlineStr">
        <is>
          <t>Pending Review</t>
        </is>
      </c>
      <c r="I36" s="35" t="inlineStr">
        <is>
          <t>STBU</t>
        </is>
      </c>
      <c r="J36" s="35" t="inlineStr">
        <is>
          <t>CTANJZ04556</t>
        </is>
      </c>
      <c r="K36" s="37" t="n"/>
      <c r="L36" s="37" t="n"/>
      <c r="M36" s="37" t="n">
        <v>45936</v>
      </c>
      <c r="N36" s="35" t="n"/>
      <c r="O36" s="35" t="n"/>
      <c r="P36" s="35" t="n"/>
      <c r="Q36" s="35" t="n"/>
      <c r="R36" s="35" t="n"/>
      <c r="S36" s="35" t="n"/>
      <c r="T36" s="35" t="inlineStr">
        <is>
          <t>Y</t>
        </is>
      </c>
      <c r="U36" s="36" t="inlineStr">
        <is>
          <t xml:space="preserve">FUENTE: Deviation.csv, filas CSV 8-22; Workflow=Expired; Date Released=2025-04-24; Date Originated=2025-04-10; Site=FJZP, Plant=MCGA (sin convertir automaticamente a FJZ); 6 filas PN; APROBACION Y APLICABILIDAD NO VALIDADAS. </t>
        </is>
      </c>
    </row>
    <row r="37">
      <c r="A37" s="43" t="inlineStr">
        <is>
          <t>DEV-CTANJZ04557</t>
        </is>
      </c>
      <c r="B37" s="43" t="inlineStr">
        <is>
          <t>DEVIATION</t>
        </is>
      </c>
      <c r="C37" s="43" t="inlineStr">
        <is>
          <t>D603243</t>
        </is>
      </c>
      <c r="D37" s="43" t="n"/>
      <c r="E37" s="33" t="inlineStr">
        <is>
          <t>D603243 FJZ will start to build with APC and AP2 platforms during normal production for PCBA and DF areas.FJZ to scan the DV number for the APC units; the units with no DV (AP2) will be not scanned.Remove the APC label before packing the unit on DF.If confirmed that the script can not test APC and AP2 at the same station; units will need to be tested on the APC station for the APC labeled units and on the AP2 station for the AP2 units without DV; otherwise all the units can be tested on the APC stations.</t>
        </is>
      </c>
      <c r="F37" s="43" t="inlineStr">
        <is>
          <t>Pending</t>
        </is>
      </c>
      <c r="G37" s="43" t="inlineStr">
        <is>
          <t>Expired</t>
        </is>
      </c>
      <c r="H37" s="43" t="inlineStr">
        <is>
          <t>Pending Review</t>
        </is>
      </c>
      <c r="I37" s="43" t="inlineStr">
        <is>
          <t>STBU</t>
        </is>
      </c>
      <c r="J37" s="43" t="inlineStr">
        <is>
          <t>CTANJZ04557</t>
        </is>
      </c>
      <c r="K37" s="32" t="n"/>
      <c r="L37" s="32" t="n"/>
      <c r="M37" s="32" t="n">
        <v>45847</v>
      </c>
      <c r="N37" s="43" t="n"/>
      <c r="O37" s="43" t="n"/>
      <c r="P37" s="43" t="n"/>
      <c r="Q37" s="43" t="n"/>
      <c r="R37" s="43" t="n"/>
      <c r="S37" s="43" t="n"/>
      <c r="T37" s="43" t="inlineStr">
        <is>
          <t>Y</t>
        </is>
      </c>
      <c r="U37" s="33" t="inlineStr">
        <is>
          <t xml:space="preserve">FUENTE: Deviation.csv, filas CSV 1718-1840; Workflow=Expired; Date Released=2025-04-24; Date Originated=2025-04-11; Site=FJZP, Plant=MCGA (sin convertir automaticamente a FJZ); 9 filas PN; APROBACION Y APLICABILIDAD NO VALIDADAS. </t>
        </is>
      </c>
    </row>
    <row r="38">
      <c r="A38" s="35" t="inlineStr">
        <is>
          <t>DEV-CTANJZ04568</t>
        </is>
      </c>
      <c r="B38" s="35" t="inlineStr">
        <is>
          <t>DEVIATION</t>
        </is>
      </c>
      <c r="C38" s="35" t="inlineStr">
        <is>
          <t>D603037</t>
        </is>
      </c>
      <c r="D38" s="35" t="n"/>
      <c r="E38" s="36" t="inlineStr">
        <is>
          <t>D603037 Allow FJZ to test material on hand with old revision and paste expired period</t>
        </is>
      </c>
      <c r="F38" s="35" t="inlineStr">
        <is>
          <t>Pending</t>
        </is>
      </c>
      <c r="G38" s="35" t="inlineStr">
        <is>
          <t>Expired</t>
        </is>
      </c>
      <c r="H38" s="35" t="inlineStr">
        <is>
          <t>Pending Review</t>
        </is>
      </c>
      <c r="I38" s="35" t="inlineStr">
        <is>
          <t>STBU</t>
        </is>
      </c>
      <c r="J38" s="35" t="inlineStr">
        <is>
          <t>CTANJZ04568</t>
        </is>
      </c>
      <c r="K38" s="37" t="n"/>
      <c r="L38" s="37" t="n"/>
      <c r="M38" s="37" t="n">
        <v>45853</v>
      </c>
      <c r="N38" s="35" t="n"/>
      <c r="O38" s="35" t="n"/>
      <c r="P38" s="35" t="n"/>
      <c r="Q38" s="35" t="n"/>
      <c r="R38" s="35" t="n"/>
      <c r="S38" s="35" t="n"/>
      <c r="T38" s="35" t="inlineStr">
        <is>
          <t>Y</t>
        </is>
      </c>
      <c r="U38" s="36" t="inlineStr">
        <is>
          <t xml:space="preserve">FUENTE: Deviation.csv, filas CSV 695-796; Workflow=Expired; Date Released=2025-05-02; Date Originated=2025-04-17; Site=FJZP, Plant=MCGA (sin convertir automaticamente a FJZ); 23 filas PN; APROBACION Y APLICABILIDAD NO VALIDADAS. </t>
        </is>
      </c>
    </row>
    <row r="39">
      <c r="A39" s="43" t="inlineStr">
        <is>
          <t>DEV-CTANJZ04571</t>
        </is>
      </c>
      <c r="B39" s="43" t="inlineStr">
        <is>
          <t>DEVIATION</t>
        </is>
      </c>
      <c r="C39" s="43" t="inlineStr">
        <is>
          <t>D603340</t>
        </is>
      </c>
      <c r="D39" s="43" t="n"/>
      <c r="E39" s="33" t="inlineStr">
        <is>
          <t>D603340 IOTBU: Sonic: Use up Proto materialFoxconn can use up below prototype revisions in the production builds.For 08-1171-04 Rev. A0; use up Rev. 01For 17-102990-02 Rev. A0; use up Rev. 01For 28-103007-04 Rev. A0; use up Rev. 02For 28-103008-04 Rev. A0; use up Rev. 01For 28-103010-03 Rev. A0; use up Rev. 02For 28-103011-05 Rev. A0; use up Rev. 01For 28-103012-03 Rev. A0; use up Rev. 02For 28-103013-04 Rev. A0; use up Rev. 02For 28-103014-05 Rev. A0; use up Rev. 01For 28-103370-02 Rev. A0; use up Rev. 02</t>
        </is>
      </c>
      <c r="F39" s="43" t="inlineStr">
        <is>
          <t>Pending</t>
        </is>
      </c>
      <c r="G39" s="43" t="inlineStr">
        <is>
          <t>Expired</t>
        </is>
      </c>
      <c r="H39" s="43" t="inlineStr">
        <is>
          <t>Pending Review</t>
        </is>
      </c>
      <c r="I39" s="43" t="inlineStr">
        <is>
          <t>IOTBU</t>
        </is>
      </c>
      <c r="J39" s="43" t="inlineStr">
        <is>
          <t>CTANJZ04571</t>
        </is>
      </c>
      <c r="K39" s="32" t="n"/>
      <c r="L39" s="32" t="n"/>
      <c r="M39" s="32" t="n">
        <v>45855</v>
      </c>
      <c r="N39" s="43" t="n"/>
      <c r="O39" s="43" t="n"/>
      <c r="P39" s="43" t="n"/>
      <c r="Q39" s="43" t="n"/>
      <c r="R39" s="43" t="n"/>
      <c r="S39" s="43" t="n"/>
      <c r="T39" s="43" t="inlineStr">
        <is>
          <t>Y</t>
        </is>
      </c>
      <c r="U39" s="33" t="inlineStr">
        <is>
          <t xml:space="preserve">FUENTE: Deviation.csv, filas CSV 797-797; Workflow=Expired; Date Released=2025-04-26; Date Originated=2025-04-21; Site=FJZP, Plant=MCGA (sin convertir automaticamente a FJZ); 1 filas PN; APROBACION Y APLICABILIDAD NO VALIDADAS. </t>
        </is>
      </c>
    </row>
    <row r="40">
      <c r="A40" s="35" t="inlineStr">
        <is>
          <t>DEV-CTANJZ04573</t>
        </is>
      </c>
      <c r="B40" s="35" t="inlineStr">
        <is>
          <t>DEVIATION</t>
        </is>
      </c>
      <c r="C40" s="35" t="inlineStr">
        <is>
          <t>D603428</t>
        </is>
      </c>
      <c r="D40" s="35" t="n"/>
      <c r="E40" s="36" t="inlineStr">
        <is>
          <t>D603428 Allow FJZ to use ONLY the MPN M393A2K43EB3-CWE of the 15-106507-02; instead of 15-107070-01; in the PIDs:MEM-C8200-16GBMEM-C8300-16GBMEM-C8500-32GBMEM-C8500L-16GB</t>
        </is>
      </c>
      <c r="F40" s="35" t="inlineStr">
        <is>
          <t>Pending</t>
        </is>
      </c>
      <c r="G40" s="35" t="inlineStr">
        <is>
          <t>Expired</t>
        </is>
      </c>
      <c r="H40" s="35" t="inlineStr">
        <is>
          <t>Pending Review</t>
        </is>
      </c>
      <c r="I40" s="35" t="inlineStr">
        <is>
          <t>SRGBU</t>
        </is>
      </c>
      <c r="J40" s="35" t="inlineStr">
        <is>
          <t>CTANJZ04573</t>
        </is>
      </c>
      <c r="K40" s="37" t="n"/>
      <c r="L40" s="37" t="n"/>
      <c r="M40" s="37" t="n">
        <v>45858</v>
      </c>
      <c r="N40" s="35" t="n"/>
      <c r="O40" s="35" t="n"/>
      <c r="P40" s="35" t="n"/>
      <c r="Q40" s="35" t="n"/>
      <c r="R40" s="35" t="n"/>
      <c r="S40" s="35" t="n"/>
      <c r="T40" s="35" t="inlineStr">
        <is>
          <t>Y</t>
        </is>
      </c>
      <c r="U40" s="36" t="inlineStr">
        <is>
          <t xml:space="preserve">FUENTE: Deviation.csv, filas CSV 798-798; Workflow=Expired; Date Released=2025-05-02; Date Originated=2025-04-22; Site=FJZP, Plant=MCGA (sin convertir automaticamente a FJZ); 1 filas PN; APROBACION Y APLICABILIDAD NO VALIDADAS. </t>
        </is>
      </c>
    </row>
    <row r="41">
      <c r="A41" s="43" t="inlineStr">
        <is>
          <t>DEV-CTANJZ04575</t>
        </is>
      </c>
      <c r="B41" s="43" t="inlineStr">
        <is>
          <t>DEVIATION</t>
        </is>
      </c>
      <c r="C41" s="43" t="inlineStr">
        <is>
          <t>D603354</t>
        </is>
      </c>
      <c r="D41" s="43" t="n"/>
      <c r="E41" s="33" t="inlineStr">
        <is>
          <t>D603354 FAI for 84-1474-01 from Stephen Gould is being approved. CE checked and he agreed to use this box while the FAI process is fully approved</t>
        </is>
      </c>
      <c r="F41" s="43" t="inlineStr">
        <is>
          <t>Pending</t>
        </is>
      </c>
      <c r="G41" s="43" t="inlineStr">
        <is>
          <t>Expired</t>
        </is>
      </c>
      <c r="H41" s="43" t="inlineStr">
        <is>
          <t>Pending Review</t>
        </is>
      </c>
      <c r="I41" s="43" t="inlineStr">
        <is>
          <t>SRGBU</t>
        </is>
      </c>
      <c r="J41" s="43" t="inlineStr">
        <is>
          <t>CTANJZ04575</t>
        </is>
      </c>
      <c r="K41" s="32" t="n"/>
      <c r="L41" s="32" t="n"/>
      <c r="M41" s="32" t="n">
        <v>45858</v>
      </c>
      <c r="N41" s="43" t="n"/>
      <c r="O41" s="43" t="n"/>
      <c r="P41" s="43" t="n"/>
      <c r="Q41" s="43" t="n"/>
      <c r="R41" s="43" t="n"/>
      <c r="S41" s="43" t="n"/>
      <c r="T41" s="43" t="inlineStr">
        <is>
          <t>Y</t>
        </is>
      </c>
      <c r="U41" s="33" t="inlineStr">
        <is>
          <t xml:space="preserve">FUENTE: Deviation.csv, filas CSV 799-799; Workflow=Expired; Date Released=2025-05-02; Date Originated=2025-04-22; Site=FJZP, Plant=MCGA (sin convertir automaticamente a FJZ); 1 filas PN; APROBACION Y APLICABILIDAD NO VALIDADAS. </t>
        </is>
      </c>
    </row>
    <row r="42">
      <c r="A42" s="35" t="inlineStr">
        <is>
          <t>DEV-CTANJZ04578</t>
        </is>
      </c>
      <c r="B42" s="35" t="inlineStr">
        <is>
          <t>DEVIATION</t>
        </is>
      </c>
      <c r="C42" s="35" t="inlineStr">
        <is>
          <t>D603342</t>
        </is>
      </c>
      <c r="D42" s="35" t="n"/>
      <c r="E42" s="36" t="inlineStr">
        <is>
          <t>D603342 NGFWBU: Risk Buy: GQR No: GQR000049257; AQR No: AQR002319708; CPN: 15-100531-01; MFR NAME:DIODES INC; MPN: PI3CLS39306V8-7To execute the above AQR at CM Site.</t>
        </is>
      </c>
      <c r="F42" s="35" t="inlineStr">
        <is>
          <t>Pending</t>
        </is>
      </c>
      <c r="G42" s="35" t="inlineStr">
        <is>
          <t>Expired</t>
        </is>
      </c>
      <c r="H42" s="35" t="inlineStr">
        <is>
          <t>Pending Review</t>
        </is>
      </c>
      <c r="I42" s="35" t="inlineStr">
        <is>
          <t>STBU</t>
        </is>
      </c>
      <c r="J42" s="35" t="inlineStr">
        <is>
          <t>CTANJZ04578</t>
        </is>
      </c>
      <c r="K42" s="37" t="n"/>
      <c r="L42" s="37" t="n"/>
      <c r="M42" s="37" t="n">
        <v>45860</v>
      </c>
      <c r="N42" s="35" t="n"/>
      <c r="O42" s="35" t="n"/>
      <c r="P42" s="35" t="n"/>
      <c r="Q42" s="35" t="n"/>
      <c r="R42" s="35" t="n"/>
      <c r="S42" s="35" t="n"/>
      <c r="T42" s="35" t="inlineStr">
        <is>
          <t>Y</t>
        </is>
      </c>
      <c r="U42" s="36" t="inlineStr">
        <is>
          <t xml:space="preserve">FUENTE: Deviation.csv, filas CSV 1405-1407; Workflow=Expired; Date Released=2025-05-14; Date Originated=2025-04-24; Site=FJZP, Plant=MCGA (sin convertir automaticamente a FJZ); 3 filas PN; APROBACION Y APLICABILIDAD NO VALIDADAS. </t>
        </is>
      </c>
    </row>
    <row r="43">
      <c r="A43" s="43" t="inlineStr">
        <is>
          <t>DEV-CTANJZ04580</t>
        </is>
      </c>
      <c r="B43" s="43" t="inlineStr">
        <is>
          <t>DEVIATION</t>
        </is>
      </c>
      <c r="C43" s="43" t="inlineStr">
        <is>
          <t>D603575</t>
        </is>
      </c>
      <c r="D43" s="43" t="n"/>
      <c r="E43" s="33" t="inlineStr">
        <is>
          <t>D603575 Allow FJZ to use ONLY the MPN=MTA18ASF2G72PDZ-2G6E1; Supplier=  Micron of the 15-106507-02; instead of 15-107070-01; in the PIDs:MEM-C8200-16GBMEM-C8300-16GBMEM-C8500-32GBMEM-C8500L-16GB</t>
        </is>
      </c>
      <c r="F43" s="43" t="inlineStr">
        <is>
          <t>Pending</t>
        </is>
      </c>
      <c r="G43" s="43" t="inlineStr">
        <is>
          <t>Expired</t>
        </is>
      </c>
      <c r="H43" s="43" t="inlineStr">
        <is>
          <t>Pending Review</t>
        </is>
      </c>
      <c r="I43" s="43" t="inlineStr">
        <is>
          <t>SRGBU</t>
        </is>
      </c>
      <c r="J43" s="43" t="inlineStr">
        <is>
          <t>CTANJZ04580</t>
        </is>
      </c>
      <c r="K43" s="32" t="n"/>
      <c r="L43" s="32" t="n"/>
      <c r="M43" s="32" t="n">
        <v>45865</v>
      </c>
      <c r="N43" s="43" t="n"/>
      <c r="O43" s="43" t="n"/>
      <c r="P43" s="43" t="n"/>
      <c r="Q43" s="43" t="n"/>
      <c r="R43" s="43" t="n"/>
      <c r="S43" s="43" t="n"/>
      <c r="T43" s="43" t="inlineStr">
        <is>
          <t>Y</t>
        </is>
      </c>
      <c r="U43" s="33" t="inlineStr">
        <is>
          <t xml:space="preserve">FUENTE: Deviation.csv, filas CSV 715-715; Workflow=Expired; Date Released=2025-05-14; Date Originated=2025-04-29; Site=FJZP, Plant=MCGA (sin convertir automaticamente a FJZ); 1 filas PN; APROBACION Y APLICABILIDAD NO VALIDADAS. </t>
        </is>
      </c>
    </row>
    <row r="44">
      <c r="A44" s="35" t="inlineStr">
        <is>
          <t>DEV-CTANJZ04583</t>
        </is>
      </c>
      <c r="B44" s="35" t="inlineStr">
        <is>
          <t>DEVIATION</t>
        </is>
      </c>
      <c r="C44" s="35" t="inlineStr">
        <is>
          <t>D602497</t>
        </is>
      </c>
      <c r="D44" s="35" t="n"/>
      <c r="E44" s="36" t="inlineStr">
        <is>
          <t>D602497 Please see PageThree for details</t>
        </is>
      </c>
      <c r="F44" s="35" t="inlineStr">
        <is>
          <t>Pending</t>
        </is>
      </c>
      <c r="G44" s="35" t="inlineStr">
        <is>
          <t>Expired</t>
        </is>
      </c>
      <c r="H44" s="35" t="inlineStr">
        <is>
          <t>Pending Review</t>
        </is>
      </c>
      <c r="I44" s="35" t="inlineStr">
        <is>
          <t>STBU</t>
        </is>
      </c>
      <c r="J44" s="35" t="inlineStr">
        <is>
          <t>CTANJZ04583</t>
        </is>
      </c>
      <c r="K44" s="37" t="n"/>
      <c r="L44" s="37" t="n"/>
      <c r="M44" s="37" t="n">
        <v>45866</v>
      </c>
      <c r="N44" s="35" t="n"/>
      <c r="O44" s="35" t="n"/>
      <c r="P44" s="35" t="n"/>
      <c r="Q44" s="35" t="n"/>
      <c r="R44" s="35" t="n"/>
      <c r="S44" s="35" t="n"/>
      <c r="T44" s="35" t="inlineStr">
        <is>
          <t>Y</t>
        </is>
      </c>
      <c r="U44" s="36" t="inlineStr">
        <is>
          <t xml:space="preserve">FUENTE: Deviation.csv, filas CSV 146-148; Workflow=Expired; Date Released=2025-05-19; Date Originated=2025-04-30; Site=FJZP, Plant=MCGA (sin convertir automaticamente a FJZ); 3 filas PN; APROBACION Y APLICABILIDAD NO VALIDADAS. </t>
        </is>
      </c>
    </row>
    <row r="45">
      <c r="A45" s="43" t="inlineStr">
        <is>
          <t>DEV-CTANJZ04587</t>
        </is>
      </c>
      <c r="B45" s="43" t="inlineStr">
        <is>
          <t>DEVIATION</t>
        </is>
      </c>
      <c r="C45" s="43" t="inlineStr">
        <is>
          <t>D603571</t>
        </is>
      </c>
      <c r="D45" s="43" t="n"/>
      <c r="E45" s="33" t="inlineStr">
        <is>
          <t>D603571 Please see PageThree for details</t>
        </is>
      </c>
      <c r="F45" s="43" t="inlineStr">
        <is>
          <t>Pending</t>
        </is>
      </c>
      <c r="G45" s="43" t="inlineStr">
        <is>
          <t>Expired</t>
        </is>
      </c>
      <c r="H45" s="43" t="inlineStr">
        <is>
          <t>Pending Review</t>
        </is>
      </c>
      <c r="I45" s="43" t="inlineStr">
        <is>
          <t>SRGBU</t>
        </is>
      </c>
      <c r="J45" s="43" t="inlineStr">
        <is>
          <t>CTANJZ04587</t>
        </is>
      </c>
      <c r="K45" s="32" t="n"/>
      <c r="L45" s="32" t="n"/>
      <c r="M45" s="32" t="n">
        <v>45866</v>
      </c>
      <c r="N45" s="43" t="n"/>
      <c r="O45" s="43" t="n"/>
      <c r="P45" s="43" t="n"/>
      <c r="Q45" s="43" t="n"/>
      <c r="R45" s="43" t="n"/>
      <c r="S45" s="43" t="n"/>
      <c r="T45" s="43" t="inlineStr">
        <is>
          <t>Y</t>
        </is>
      </c>
      <c r="U45" s="33" t="inlineStr">
        <is>
          <t xml:space="preserve">FUENTE: Deviation.csv, filas CSV 352-353; Workflow=Expired; Date Released=2025-05-19; Date Originated=2025-05-05; Site=FJZP, Plant=MCGA (sin convertir automaticamente a FJZ); 2 filas PN; APROBACION Y APLICABILIDAD NO VALIDADAS. </t>
        </is>
      </c>
    </row>
    <row r="46">
      <c r="A46" s="35" t="inlineStr">
        <is>
          <t>DEV-CTANJZ04588</t>
        </is>
      </c>
      <c r="B46" s="35" t="inlineStr">
        <is>
          <t>DEVIATION</t>
        </is>
      </c>
      <c r="C46" s="35" t="inlineStr">
        <is>
          <t>D603105</t>
        </is>
      </c>
      <c r="D46" s="35" t="n"/>
      <c r="E46" s="36" t="inlineStr">
        <is>
          <t>D603105 DF site to immediately implement 56-102310-01 rev. E0 on Betelgeuse PIDs</t>
        </is>
      </c>
      <c r="F46" s="35" t="inlineStr">
        <is>
          <t>Pending</t>
        </is>
      </c>
      <c r="G46" s="35" t="inlineStr">
        <is>
          <t>Expired</t>
        </is>
      </c>
      <c r="H46" s="35" t="inlineStr">
        <is>
          <t>Pending Review</t>
        </is>
      </c>
      <c r="I46" s="35" t="inlineStr">
        <is>
          <t>SRGBU</t>
        </is>
      </c>
      <c r="J46" s="35" t="inlineStr">
        <is>
          <t>CTANJZ04588</t>
        </is>
      </c>
      <c r="K46" s="37" t="n"/>
      <c r="L46" s="37" t="n"/>
      <c r="M46" s="37" t="n">
        <v>45868</v>
      </c>
      <c r="N46" s="35" t="n"/>
      <c r="O46" s="35" t="n"/>
      <c r="P46" s="35" t="n"/>
      <c r="Q46" s="35" t="n"/>
      <c r="R46" s="35" t="n"/>
      <c r="S46" s="35" t="n"/>
      <c r="T46" s="35" t="inlineStr">
        <is>
          <t>Y</t>
        </is>
      </c>
      <c r="U46" s="36" t="inlineStr">
        <is>
          <t xml:space="preserve">FUENTE: Deviation.csv, filas CSV 716-765; Workflow=Expired; Date Released=2025-05-19; Date Originated=2025-05-05; Site=FJZP, Plant=MCGA (sin convertir automaticamente a FJZ); 10 filas PN; APROBACION Y APLICABILIDAD NO VALIDADAS. </t>
        </is>
      </c>
    </row>
    <row r="47">
      <c r="A47" s="43" t="inlineStr">
        <is>
          <t>DEV-CTANJZ04594</t>
        </is>
      </c>
      <c r="B47" s="43" t="inlineStr">
        <is>
          <t>DEVIATION</t>
        </is>
      </c>
      <c r="C47" s="43" t="inlineStr">
        <is>
          <t>D603779</t>
        </is>
      </c>
      <c r="D47" s="43" t="n"/>
      <c r="E47" s="33" t="inlineStr">
        <is>
          <t>D603779 SRGBU FGUDue to shortages on CPN: 15-107070-01; this deviation allow FGU to use CPN: 15-104536-01 and use them for support build plan.Both CPN uses the same qualified MPNs; and as per FGU the OH of item 15-104536-01 is 98 pcs. ETA for 15-107070-01 is May 26th with 500pcs.MPN qualified:SR5722G822APJDASG0MTA18ASF2G72PDZ-3G2R1M393A2K43EB3-CWEHMAG78EXNRA084N</t>
        </is>
      </c>
      <c r="F47" s="43" t="inlineStr">
        <is>
          <t>Pending</t>
        </is>
      </c>
      <c r="G47" s="43" t="inlineStr">
        <is>
          <t>Expired</t>
        </is>
      </c>
      <c r="H47" s="43" t="inlineStr">
        <is>
          <t>Pending Review</t>
        </is>
      </c>
      <c r="I47" s="43" t="inlineStr">
        <is>
          <t>SRGBU</t>
        </is>
      </c>
      <c r="J47" s="43" t="inlineStr">
        <is>
          <t>CTANJZ04594</t>
        </is>
      </c>
      <c r="K47" s="32" t="n"/>
      <c r="L47" s="32" t="n"/>
      <c r="M47" s="32" t="n">
        <v>45873</v>
      </c>
      <c r="N47" s="43" t="n"/>
      <c r="O47" s="43" t="n"/>
      <c r="P47" s="43" t="n"/>
      <c r="Q47" s="43" t="n"/>
      <c r="R47" s="43" t="n"/>
      <c r="S47" s="43" t="n"/>
      <c r="T47" s="43" t="inlineStr">
        <is>
          <t>Y</t>
        </is>
      </c>
      <c r="U47" s="33" t="inlineStr">
        <is>
          <t xml:space="preserve">FUENTE: Deviation.csv, filas CSV 357-358; Workflow=Expired; Date Released=2025-05-21; Date Originated=2025-05-07; Site=FJZP, Plant=MCGA (sin convertir automaticamente a FJZ); 2 filas PN; APROBACION Y APLICABILIDAD NO VALIDADAS. </t>
        </is>
      </c>
    </row>
    <row r="48">
      <c r="A48" s="35" t="inlineStr">
        <is>
          <t>DEV-CTANJZ04600</t>
        </is>
      </c>
      <c r="B48" s="35" t="inlineStr">
        <is>
          <t>DEVIATION</t>
        </is>
      </c>
      <c r="C48" s="35" t="inlineStr">
        <is>
          <t>D603808</t>
        </is>
      </c>
      <c r="D48" s="35" t="n"/>
      <c r="E48" s="36" t="inlineStr">
        <is>
          <t>D603808Allow FJZ to use the MPN=MTA18ASF2G72PDZ-2G6E1 from Micron technology and SR5722G822APGDASC0 from Smart Modular of the  15-104536-01; instead of 15-107070-01; in the PIDs:MEM-C8200-16GBMEM-C8300-16GBMEM-C8500-32GBMEM-C8500L-16GB</t>
        </is>
      </c>
      <c r="F48" s="35" t="inlineStr">
        <is>
          <t>Pending</t>
        </is>
      </c>
      <c r="G48" s="35" t="inlineStr">
        <is>
          <t>Expired</t>
        </is>
      </c>
      <c r="H48" s="35" t="inlineStr">
        <is>
          <t>Pending Review</t>
        </is>
      </c>
      <c r="I48" s="35" t="inlineStr">
        <is>
          <t>SRGBU</t>
        </is>
      </c>
      <c r="J48" s="35" t="inlineStr">
        <is>
          <t>CTANJZ04600</t>
        </is>
      </c>
      <c r="K48" s="37" t="n"/>
      <c r="L48" s="37" t="n"/>
      <c r="M48" s="37" t="n">
        <v>45875</v>
      </c>
      <c r="N48" s="35" t="n"/>
      <c r="O48" s="35" t="n"/>
      <c r="P48" s="35" t="n"/>
      <c r="Q48" s="35" t="n"/>
      <c r="R48" s="35" t="n"/>
      <c r="S48" s="35" t="n"/>
      <c r="T48" s="35" t="inlineStr">
        <is>
          <t>Y</t>
        </is>
      </c>
      <c r="U48" s="36" t="inlineStr">
        <is>
          <t xml:space="preserve">FUENTE: Deviation.csv, filas CSV 728-728; Workflow=Expired; Date Released=2025-05-21; Date Originated=2025-05-09; Site=FJZP, Plant=MCGA (sin convertir automaticamente a FJZ); 1 filas PN; APROBACION Y APLICABILIDAD NO VALIDADAS. </t>
        </is>
      </c>
    </row>
    <row r="49">
      <c r="A49" s="43" t="inlineStr">
        <is>
          <t>DEV-CTANJZ04604</t>
        </is>
      </c>
      <c r="B49" s="43" t="inlineStr">
        <is>
          <t>DEVIATION</t>
        </is>
      </c>
      <c r="C49" s="43" t="inlineStr">
        <is>
          <t>D603402</t>
        </is>
      </c>
      <c r="D49" s="43" t="n"/>
      <c r="E49" s="33" t="inlineStr">
        <is>
          <t>D603402 Warwick (Extension of dev D597333): Risk buy &amp; use authorization for DIMM socket - 26-100401-01</t>
        </is>
      </c>
      <c r="F49" s="43" t="inlineStr">
        <is>
          <t>Pending</t>
        </is>
      </c>
      <c r="G49" s="43" t="inlineStr">
        <is>
          <t>Expired</t>
        </is>
      </c>
      <c r="H49" s="43" t="inlineStr">
        <is>
          <t>Pending Review</t>
        </is>
      </c>
      <c r="I49" s="43" t="inlineStr">
        <is>
          <t>STBU</t>
        </is>
      </c>
      <c r="J49" s="43" t="inlineStr">
        <is>
          <t>CTANJZ04604</t>
        </is>
      </c>
      <c r="K49" s="32" t="n"/>
      <c r="L49" s="32" t="n"/>
      <c r="M49" s="32" t="n">
        <v>46058</v>
      </c>
      <c r="N49" s="43" t="n"/>
      <c r="O49" s="43" t="n"/>
      <c r="P49" s="43" t="n"/>
      <c r="Q49" s="43" t="n"/>
      <c r="R49" s="43" t="n"/>
      <c r="S49" s="43" t="n"/>
      <c r="T49" s="43" t="inlineStr">
        <is>
          <t>Y</t>
        </is>
      </c>
      <c r="U49" s="33" t="inlineStr">
        <is>
          <t xml:space="preserve">FUENTE: Deviation.csv, filas CSV 106-113; Workflow=Expired; Date Released=2025-05-28; Date Originated=2025-05-13; Site=FJZP, Plant=MCGA (sin convertir automaticamente a FJZ); 8 filas PN; APROBACION Y APLICABILIDAD NO VALIDADAS. </t>
        </is>
      </c>
    </row>
    <row r="50">
      <c r="A50" s="35" t="inlineStr">
        <is>
          <t>DEV-CTANJZ04607</t>
        </is>
      </c>
      <c r="B50" s="35" t="inlineStr">
        <is>
          <t>DEVIATION</t>
        </is>
      </c>
      <c r="C50" s="35" t="inlineStr">
        <is>
          <t>D603592</t>
        </is>
      </c>
      <c r="D50" s="35" t="n"/>
      <c r="E50" s="36" t="inlineStr">
        <is>
          <t>D603592 NGFWBU: Net mod Gen2 - PCAMAP/TANMAP update to correct the VPA power consumption NMs:Maryland 40GBrentwood 10GBrentwood 25GShenfieldUpdate is in test script for TXT to HEX value:BoroughTempleEA618472 was released to correct hex value in IDPROM. No impact to field.  All HW already addressed ahead of FCS. Allows documentation to 'catch up' with as-built products.</t>
        </is>
      </c>
      <c r="F50" s="35" t="inlineStr">
        <is>
          <t>Pending</t>
        </is>
      </c>
      <c r="G50" s="35" t="inlineStr">
        <is>
          <t>Expired</t>
        </is>
      </c>
      <c r="H50" s="35" t="inlineStr">
        <is>
          <t>Pending Review</t>
        </is>
      </c>
      <c r="I50" s="35" t="inlineStr">
        <is>
          <t>STBU</t>
        </is>
      </c>
      <c r="J50" s="35" t="inlineStr">
        <is>
          <t>CTANJZ04607</t>
        </is>
      </c>
      <c r="K50" s="37" t="n"/>
      <c r="L50" s="37" t="n"/>
      <c r="M50" s="37" t="n">
        <v>45881</v>
      </c>
      <c r="N50" s="35" t="n"/>
      <c r="O50" s="35" t="n"/>
      <c r="P50" s="35" t="n"/>
      <c r="Q50" s="35" t="n"/>
      <c r="R50" s="35" t="n"/>
      <c r="S50" s="35" t="n"/>
      <c r="T50" s="35" t="inlineStr">
        <is>
          <t>Y</t>
        </is>
      </c>
      <c r="U50" s="36" t="inlineStr">
        <is>
          <t xml:space="preserve">FUENTE: Deviation.csv, filas CSV 729-734; Workflow=Expired; Date Released=2025-05-30; Date Originated=2025-05-15; Site=FJZP, Plant=MCGA (sin convertir automaticamente a FJZ); 6 filas PN; APROBACION Y APLICABILIDAD NO VALIDADAS. </t>
        </is>
      </c>
    </row>
    <row r="51">
      <c r="A51" s="43" t="inlineStr">
        <is>
          <t>DEV-CTANJZ04609</t>
        </is>
      </c>
      <c r="B51" s="43" t="inlineStr">
        <is>
          <t>DEVIATION</t>
        </is>
      </c>
      <c r="C51" s="43" t="inlineStr">
        <is>
          <t>DP524872</t>
        </is>
      </c>
      <c r="D51" s="43" t="n"/>
      <c r="E51" s="33" t="inlineStr">
        <is>
          <t>DP524872 CVEBU;Taylor73-103720-03 -04 PCA;TAYLOR HIGH MODULE WITH MICRON 16GB LPDDR5  73-103820-03 -04 PCA;TAYLOR HIGH MODULE WITH HYNIX 16GB LPDDR5  73-103920-03 -04 PCA;TAYLOR LOW MODULE WITH MICRON 16GB LPDDR573-103922-03 -04 PCA;TAYLOR LOW MODULE WITH HYNIX 16GB LPDDR5  In BOMs; refdes U1515-11134-01 IC-LIN;VREG;SHUNT;SOT233;ADJ;0.5%;I-TEMPDeplete stock: ONSEMI TLV431BSN1T1GQualified: ST  TS3431BILTQualified: ST TLVH431AIL3TQualified: TI TLVH431BIDBZRQualified: TI TLVH431BQDBZRQ1Until further notice; Foxconn shall avoid using theST Micro TS3431BILT alternate as it pulls a higher shunt current than the other alternates. This part gives a bigger variation to the voltage ICT measures at TP50. See the attached FFF comparsion by Mouser and a small snip from the schematic.</t>
        </is>
      </c>
      <c r="F51" s="43" t="inlineStr">
        <is>
          <t>Pending</t>
        </is>
      </c>
      <c r="G51" s="43" t="inlineStr">
        <is>
          <t>Expired</t>
        </is>
      </c>
      <c r="H51" s="43" t="inlineStr">
        <is>
          <t>Pending Review</t>
        </is>
      </c>
      <c r="I51" s="43" t="inlineStr">
        <is>
          <t>CVEBU</t>
        </is>
      </c>
      <c r="J51" s="43" t="inlineStr">
        <is>
          <t>CTANJZ04609</t>
        </is>
      </c>
      <c r="K51" s="32" t="n"/>
      <c r="L51" s="32" t="n"/>
      <c r="M51" s="32" t="n">
        <v>45852</v>
      </c>
      <c r="N51" s="43" t="n"/>
      <c r="O51" s="43" t="n"/>
      <c r="P51" s="43" t="n"/>
      <c r="Q51" s="43" t="n"/>
      <c r="R51" s="43" t="n"/>
      <c r="S51" s="43" t="n"/>
      <c r="T51" s="43" t="inlineStr">
        <is>
          <t>Y</t>
        </is>
      </c>
      <c r="U51" s="33" t="inlineStr">
        <is>
          <t xml:space="preserve">FUENTE: Deviation.csv, filas CSV 368-371; Workflow=Expired; Date Released=2025-05-28; Date Originated=2025-05-16; Site=FJZP, Plant=MCGA (sin convertir automaticamente a FJZ); 4 filas PN; APROBACION Y APLICABILIDAD NO VALIDADAS. </t>
        </is>
      </c>
    </row>
    <row r="52">
      <c r="A52" s="35" t="inlineStr">
        <is>
          <t>DEV-CTANJZ04612</t>
        </is>
      </c>
      <c r="B52" s="35" t="inlineStr">
        <is>
          <t>DEVIATION</t>
        </is>
      </c>
      <c r="C52" s="35" t="inlineStr">
        <is>
          <t>D603710</t>
        </is>
      </c>
      <c r="D52" s="35" t="n"/>
      <c r="E52" s="36" t="inlineStr">
        <is>
          <t>D603710 SRGBU: VG410 - Allow FOC to use non A0 parts to ship to customer.There is no HW difference from PP to Pilot; and the RDT units can be shipped to customer.Below are the CPNs and qtys:       CPN          Rev QTY      MPN74-129859-01 -05 28 74-129859-0174-129860-01 -05 29 74-129860-01800-51476-01 -01 43 74-130046-01</t>
        </is>
      </c>
      <c r="F52" s="35" t="inlineStr">
        <is>
          <t>Pending</t>
        </is>
      </c>
      <c r="G52" s="35" t="inlineStr">
        <is>
          <t>Expired</t>
        </is>
      </c>
      <c r="H52" s="35" t="inlineStr">
        <is>
          <t>Pending Review</t>
        </is>
      </c>
      <c r="I52" s="35" t="inlineStr">
        <is>
          <t>SRGBU</t>
        </is>
      </c>
      <c r="J52" s="35" t="inlineStr">
        <is>
          <t>CTANJZ04612</t>
        </is>
      </c>
      <c r="K52" s="37" t="n"/>
      <c r="L52" s="37" t="n"/>
      <c r="M52" s="37" t="n">
        <v>45886</v>
      </c>
      <c r="N52" s="35" t="n"/>
      <c r="O52" s="35" t="n"/>
      <c r="P52" s="35" t="n"/>
      <c r="Q52" s="35" t="n"/>
      <c r="R52" s="35" t="n"/>
      <c r="S52" s="35" t="n"/>
      <c r="T52" s="35" t="inlineStr">
        <is>
          <t>Y</t>
        </is>
      </c>
      <c r="U52" s="36" t="inlineStr">
        <is>
          <t xml:space="preserve">FUENTE: Deviation.csv, filas CSV 735-737; Workflow=Expired; Date Released=2025-06-03; Date Originated=2025-05-20; Site=FJZP, Plant=MCGA (sin convertir automaticamente a FJZ); 3 filas PN; APROBACION Y APLICABILIDAD NO VALIDADAS. </t>
        </is>
      </c>
    </row>
    <row r="53">
      <c r="A53" s="43" t="inlineStr">
        <is>
          <t>DEV-CTANJZ04613</t>
        </is>
      </c>
      <c r="B53" s="43" t="inlineStr">
        <is>
          <t>DEVIATION</t>
        </is>
      </c>
      <c r="C53" s="43" t="inlineStr">
        <is>
          <t>D603986</t>
        </is>
      </c>
      <c r="D53" s="43" t="n"/>
      <c r="E53"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F53" s="43" t="inlineStr">
        <is>
          <t>Pending</t>
        </is>
      </c>
      <c r="G53" s="43" t="inlineStr">
        <is>
          <t>Expired</t>
        </is>
      </c>
      <c r="H53" s="43" t="inlineStr">
        <is>
          <t>Pending Review</t>
        </is>
      </c>
      <c r="I53" s="43" t="inlineStr">
        <is>
          <t>CVEBU</t>
        </is>
      </c>
      <c r="J53" s="43" t="inlineStr">
        <is>
          <t>CTANJZ04613</t>
        </is>
      </c>
      <c r="K53" s="32" t="n"/>
      <c r="L53" s="32" t="n"/>
      <c r="M53" s="32" t="n">
        <v>45886</v>
      </c>
      <c r="N53" s="43" t="n"/>
      <c r="O53" s="43" t="n"/>
      <c r="P53" s="43" t="n"/>
      <c r="Q53" s="43" t="n"/>
      <c r="R53" s="43" t="n"/>
      <c r="S53" s="43" t="n"/>
      <c r="T53" s="43" t="inlineStr">
        <is>
          <t>Y</t>
        </is>
      </c>
      <c r="U53" s="33" t="inlineStr">
        <is>
          <t xml:space="preserve">FUENTE: Deviation.csv, filas CSV 738-843; Workflow=Expired; Date Released=2025-06-03; Date Originated=2025-05-20; Site=FJZP, Plant=MCGA (sin convertir automaticamente a FJZ); 10 filas PN; APROBACION Y APLICABILIDAD NO VALIDADAS. </t>
        </is>
      </c>
    </row>
    <row r="54">
      <c r="A54" s="35" t="inlineStr">
        <is>
          <t>DEV-CTANJZ04616</t>
        </is>
      </c>
      <c r="B54" s="35" t="inlineStr">
        <is>
          <t>DEVIATION</t>
        </is>
      </c>
      <c r="C54" s="35" t="inlineStr">
        <is>
          <t>D603828</t>
        </is>
      </c>
      <c r="D54" s="35" t="n"/>
      <c r="E54" s="36" t="inlineStr">
        <is>
          <t>D603828 Please see PageThree for details</t>
        </is>
      </c>
      <c r="F54" s="35" t="inlineStr">
        <is>
          <t>Pending</t>
        </is>
      </c>
      <c r="G54" s="35" t="inlineStr">
        <is>
          <t>Expired</t>
        </is>
      </c>
      <c r="H54" s="35" t="inlineStr">
        <is>
          <t>Pending Review</t>
        </is>
      </c>
      <c r="I54" s="35" t="inlineStr">
        <is>
          <t>STBU</t>
        </is>
      </c>
      <c r="J54" s="35" t="inlineStr">
        <is>
          <t>CTANJZ04616</t>
        </is>
      </c>
      <c r="K54" s="37" t="n"/>
      <c r="L54" s="37" t="n"/>
      <c r="M54" s="37" t="n">
        <v>45889</v>
      </c>
      <c r="N54" s="35" t="n"/>
      <c r="O54" s="35" t="n"/>
      <c r="P54" s="35" t="n"/>
      <c r="Q54" s="35" t="n"/>
      <c r="R54" s="35" t="n"/>
      <c r="S54" s="35" t="n"/>
      <c r="T54" s="35" t="inlineStr">
        <is>
          <t>Y</t>
        </is>
      </c>
      <c r="U54" s="36" t="inlineStr">
        <is>
          <t xml:space="preserve">FUENTE: Deviation.csv, filas CSV 1841-1842; Workflow=Expired; Date Released=2025-06-11; Date Originated=2025-05-23; Site=FJZP, Plant=MCGA (sin convertir automaticamente a FJZ); 2 filas PN; APROBACION Y APLICABILIDAD NO VALIDADAS. </t>
        </is>
      </c>
    </row>
    <row r="55">
      <c r="A55" s="43" t="inlineStr">
        <is>
          <t>DEV-CTANJZ04617</t>
        </is>
      </c>
      <c r="B55" s="43" t="inlineStr">
        <is>
          <t>DEVIATION</t>
        </is>
      </c>
      <c r="C55" s="43" t="inlineStr">
        <is>
          <t>D604044</t>
        </is>
      </c>
      <c r="D55" s="43" t="n"/>
      <c r="E55" s="33" t="inlineStr">
        <is>
          <t>D604044 Allow AVer to use 50% recycled plastic bag to pack the camera and 35% recycled plastic bag to pack cable cover</t>
        </is>
      </c>
      <c r="F55" s="43" t="inlineStr">
        <is>
          <t>Pending</t>
        </is>
      </c>
      <c r="G55" s="43" t="inlineStr">
        <is>
          <t>Expired</t>
        </is>
      </c>
      <c r="H55" s="43" t="inlineStr">
        <is>
          <t>Pending Review</t>
        </is>
      </c>
      <c r="I55" s="43" t="inlineStr">
        <is>
          <t>CVEBU</t>
        </is>
      </c>
      <c r="J55" s="43" t="inlineStr">
        <is>
          <t>CTANJZ04617</t>
        </is>
      </c>
      <c r="K55" s="32" t="n"/>
      <c r="L55" s="32" t="n"/>
      <c r="M55" s="32" t="n">
        <v>45889</v>
      </c>
      <c r="N55" s="43" t="n"/>
      <c r="O55" s="43" t="n"/>
      <c r="P55" s="43" t="n"/>
      <c r="Q55" s="43" t="n"/>
      <c r="R55" s="43" t="n"/>
      <c r="S55" s="43" t="n"/>
      <c r="T55" s="43" t="inlineStr">
        <is>
          <t>Y</t>
        </is>
      </c>
      <c r="U55" s="33" t="inlineStr">
        <is>
          <t xml:space="preserve">FUENTE: Deviation.csv, filas CSV 804-805; Workflow=Expired; Date Released=2025-06-18; Date Originated=2025-05-23; Site=FJZP, Plant=MCGA (sin convertir automaticamente a FJZ); 2 filas PN; APROBACION Y APLICABILIDAD NO VALIDADAS. </t>
        </is>
      </c>
    </row>
    <row r="56">
      <c r="A56" s="35" t="inlineStr">
        <is>
          <t>DEV-CTANJZ04618</t>
        </is>
      </c>
      <c r="B56" s="35" t="inlineStr">
        <is>
          <t>DEVIATION</t>
        </is>
      </c>
      <c r="C56" s="35" t="inlineStr">
        <is>
          <t>D603586</t>
        </is>
      </c>
      <c r="D56" s="35" t="n"/>
      <c r="E56" s="36" t="inlineStr">
        <is>
          <t>D603586 NGFWBU: Risk Buy: GQR No: GQR000047935; AQR No: AQR002263531 ; CPN: 20-0405-01; MFR NAME: ROHM; MPN: US6K1To execute the above AQR at CM Site.</t>
        </is>
      </c>
      <c r="F56" s="35" t="inlineStr">
        <is>
          <t>Pending</t>
        </is>
      </c>
      <c r="G56" s="35" t="inlineStr">
        <is>
          <t>Expired</t>
        </is>
      </c>
      <c r="H56" s="35" t="inlineStr">
        <is>
          <t>Pending Review</t>
        </is>
      </c>
      <c r="I56" s="35" t="inlineStr">
        <is>
          <t>STBU</t>
        </is>
      </c>
      <c r="J56" s="35" t="inlineStr">
        <is>
          <t>CTANJZ04618</t>
        </is>
      </c>
      <c r="K56" s="37" t="n"/>
      <c r="L56" s="37" t="n"/>
      <c r="M56" s="37" t="n">
        <v>45889</v>
      </c>
      <c r="N56" s="35" t="n"/>
      <c r="O56" s="35" t="n"/>
      <c r="P56" s="35" t="n"/>
      <c r="Q56" s="35" t="n"/>
      <c r="R56" s="35" t="n"/>
      <c r="S56" s="35" t="n"/>
      <c r="T56" s="35" t="inlineStr">
        <is>
          <t>Y</t>
        </is>
      </c>
      <c r="U56" s="36" t="inlineStr">
        <is>
          <t xml:space="preserve">FUENTE: Deviation.csv, filas CSV 1408-1410; Workflow=Expired; Date Released=2025-06-11; Date Originated=2025-05-23; Site=FJZP, Plant=MCGA (sin convertir automaticamente a FJZ); 3 filas PN; APROBACION Y APLICABILIDAD NO VALIDADAS. </t>
        </is>
      </c>
      <c r="V56" s="49" t="inlineStr">
        <is>
          <t>Calificación / compra de riesgo: tramitar AQR002263531 para el CPN 20-0405-01, fabricante ROHM, MPN US6K1, en el sitio de manufactura. Se solicita revisar y firmar el documento recargado.</t>
        </is>
      </c>
      <c r="W56" s="49" t="inlineStr">
        <is>
          <t>D603586: observación: documento equivalente a CTANJZ04618; se volvió a cargar D603586 y se solicita revisión y aprobación. NGFWBU: compra de riesgo asociada al GQR000047935 y AQR002263531, CPN 20-0405-01, fabricante ROHM, MPN US6K1. La intención es ejecutar la calificación AQR mencionada en el sitio CM. Solicitar la evidencia de aprobación antes de tratarla como autorización.</t>
        </is>
      </c>
      <c r="X56" s="50" t="inlineStr">
        <is>
          <t>Traduccion para consulta</t>
        </is>
      </c>
    </row>
    <row r="57">
      <c r="A57" s="43" t="inlineStr">
        <is>
          <t>DEV-CTANJZ04623</t>
        </is>
      </c>
      <c r="B57" s="43" t="inlineStr">
        <is>
          <t>DEVIATION</t>
        </is>
      </c>
      <c r="C57" s="43" t="inlineStr">
        <is>
          <t>D604124</t>
        </is>
      </c>
      <c r="D57" s="43" t="n"/>
      <c r="E57" s="33" t="inlineStr">
        <is>
          <t>D604124 Add Custom cardboard cutouts and edge boards during palletisation and a note not to depalletize in transit</t>
        </is>
      </c>
      <c r="F57" s="43" t="inlineStr">
        <is>
          <t>Pending</t>
        </is>
      </c>
      <c r="G57" s="43" t="inlineStr">
        <is>
          <t>Expired</t>
        </is>
      </c>
      <c r="H57" s="43" t="inlineStr">
        <is>
          <t>Pending Review</t>
        </is>
      </c>
      <c r="I57" s="43" t="inlineStr">
        <is>
          <t>CVEBU</t>
        </is>
      </c>
      <c r="J57" s="43" t="inlineStr">
        <is>
          <t>CTANJZ04623</t>
        </is>
      </c>
      <c r="K57" s="32" t="n"/>
      <c r="L57" s="32" t="n"/>
      <c r="M57" s="32" t="n">
        <v>45890</v>
      </c>
      <c r="N57" s="43" t="n"/>
      <c r="O57" s="43" t="n"/>
      <c r="P57" s="43" t="n"/>
      <c r="Q57" s="43" t="n"/>
      <c r="R57" s="43" t="n"/>
      <c r="S57" s="43" t="n"/>
      <c r="T57" s="43" t="inlineStr">
        <is>
          <t>Y</t>
        </is>
      </c>
      <c r="U57" s="33" t="inlineStr">
        <is>
          <t xml:space="preserve">FUENTE: Deviation.csv, filas CSV 1843-1843; Workflow=Expired; Date Released=2025-06-18; Date Originated=2025-05-24; Site=FJZP, Plant=MCGA (sin convertir automaticamente a FJZ); 1 filas PN; APROBACION Y APLICABILIDAD NO VALIDADAS. </t>
        </is>
      </c>
    </row>
    <row r="58">
      <c r="A58" s="35" t="inlineStr">
        <is>
          <t>DEV-CTANJZ04631</t>
        </is>
      </c>
      <c r="B58" s="35" t="inlineStr">
        <is>
          <t>DEVIATION</t>
        </is>
      </c>
      <c r="C58" s="35" t="inlineStr">
        <is>
          <t>D604068</t>
        </is>
      </c>
      <c r="D58" s="35" t="n"/>
      <c r="E58" s="36" t="inlineStr">
        <is>
          <t>D604068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November 2025 to use all the old material</t>
        </is>
      </c>
      <c r="F58" s="35" t="inlineStr">
        <is>
          <t>Pending</t>
        </is>
      </c>
      <c r="G58" s="35" t="inlineStr">
        <is>
          <t>Expired</t>
        </is>
      </c>
      <c r="H58" s="35" t="inlineStr">
        <is>
          <t>Pending Review</t>
        </is>
      </c>
      <c r="I58" s="35" t="inlineStr">
        <is>
          <t>STBU</t>
        </is>
      </c>
      <c r="J58" s="35" t="inlineStr">
        <is>
          <t>CTANJZ04631</t>
        </is>
      </c>
      <c r="K58" s="37" t="n"/>
      <c r="L58" s="37" t="n"/>
      <c r="M58" s="37" t="n">
        <v>45895</v>
      </c>
      <c r="N58" s="35" t="n"/>
      <c r="O58" s="35" t="n"/>
      <c r="P58" s="35" t="n"/>
      <c r="Q58" s="35" t="n"/>
      <c r="R58" s="35" t="n"/>
      <c r="S58" s="35" t="n"/>
      <c r="T58" s="35" t="inlineStr">
        <is>
          <t>Y</t>
        </is>
      </c>
      <c r="U58" s="36" t="inlineStr">
        <is>
          <t xml:space="preserve">FUENTE: Deviation.csv, filas CSV 2-37; Workflow=Expired; Date Released=2025-06-18; Date Originated=2025-05-29; Site=FJZP, Plant=MCGA (sin convertir automaticamente a FJZ); 9 filas PN; APROBACION Y APLICABILIDAD NO VALIDADAS. </t>
        </is>
      </c>
      <c r="V58" s="49" t="inlineStr">
        <is>
          <t>WARWICK: cambiar conector 29-104201-01 (terminal de soldadura de 125 mil) por 29-104201-02 (165 mil) para mejorar la protrusión y el llenado de barril en PCB de aproximadamente 137 mil de espesor.</t>
        </is>
      </c>
      <c r="W58" s="49" t="inlineStr">
        <is>
          <t>D604068, Warwick: la longitud actual de las terminales de soldadura del conector es de 125 mil, mientras que la PCB tiene un espesor aproximado de 137 mil. Esta falta de protrusión dificulta la inspección y se relaciona con llenado insuficiente de los barriles metalizados. Las terminales más largas permitirán mejor soldadura. La desviación describe permitir a FJZ implementar antes el ECO EA616344, reemplazando únicamente el conector 29-104201-01 (terminal de 125 mil) por 29-104201-02 (terminal de 165 mil). También se menciona el ECO EA608077 liberado en diciembre de 2024 y un plan histórico de implementación para noviembre de 2025 con agotamiento del material anterior. Conservar el estado del documento antes de cualquier aplicación.</t>
        </is>
      </c>
      <c r="X58" s="50" t="inlineStr">
        <is>
          <t>Traduccion para consulta</t>
        </is>
      </c>
    </row>
    <row r="59">
      <c r="A59" s="43" t="inlineStr">
        <is>
          <t>DEV-CTANJZ04632</t>
        </is>
      </c>
      <c r="B59" s="43" t="inlineStr">
        <is>
          <t>DEVIATION</t>
        </is>
      </c>
      <c r="C59" s="43" t="inlineStr">
        <is>
          <t>DP524922</t>
        </is>
      </c>
      <c r="D59" s="43" t="n"/>
      <c r="E59" s="33" t="inlineStr">
        <is>
          <t>DP524922 For Pre-pilot build- FJZ can follow AVL build matrix Provided by PE (Priyanka anshu) for MB; ESW and Mezz</t>
        </is>
      </c>
      <c r="F59" s="43" t="inlineStr">
        <is>
          <t>Pending</t>
        </is>
      </c>
      <c r="G59" s="43" t="inlineStr">
        <is>
          <t>Expired</t>
        </is>
      </c>
      <c r="H59" s="43" t="inlineStr">
        <is>
          <t>Pending Review</t>
        </is>
      </c>
      <c r="I59" s="43" t="inlineStr">
        <is>
          <t>STBU</t>
        </is>
      </c>
      <c r="J59" s="43" t="inlineStr">
        <is>
          <t>CTANJZ04632</t>
        </is>
      </c>
      <c r="K59" s="32" t="n"/>
      <c r="L59" s="32" t="n"/>
      <c r="M59" s="32" t="n">
        <v>45866</v>
      </c>
      <c r="N59" s="43" t="n"/>
      <c r="O59" s="43" t="n"/>
      <c r="P59" s="43" t="n"/>
      <c r="Q59" s="43" t="n"/>
      <c r="R59" s="43" t="n"/>
      <c r="S59" s="43" t="n"/>
      <c r="T59" s="43" t="inlineStr">
        <is>
          <t>Y</t>
        </is>
      </c>
      <c r="U59" s="33" t="inlineStr">
        <is>
          <t xml:space="preserve">FUENTE: Deviation.csv, filas CSV 354-356; Workflow=Expired; Date Released=2025-06-11; Date Originated=2025-05-30; Site=FJZP, Plant=MCGA (sin convertir automaticamente a FJZ); 3 filas PN; APROBACION Y APLICABILIDAD NO VALIDADAS. </t>
        </is>
      </c>
    </row>
    <row r="60">
      <c r="A60" s="35" t="inlineStr">
        <is>
          <t>DEV-CTANJZ04634</t>
        </is>
      </c>
      <c r="B60" s="35" t="inlineStr">
        <is>
          <t>DEVIATION</t>
        </is>
      </c>
      <c r="C60" s="35" t="inlineStr">
        <is>
          <t>D604208</t>
        </is>
      </c>
      <c r="D60" s="35" t="n"/>
      <c r="E60" s="36" t="inlineStr">
        <is>
          <t>D604208 FJZ to change the stock of the part 15-104142-01 to 15-104142-02 for MPN HMA82GU7DJR8N-XN (28 units)  and SR5722G822AUJUMME1 (2840 units) these M]PNs are used on both parts and can be converted from -01 to be used as -02</t>
        </is>
      </c>
      <c r="F60" s="35" t="inlineStr">
        <is>
          <t>Pending</t>
        </is>
      </c>
      <c r="G60" s="35" t="inlineStr">
        <is>
          <t>Expired</t>
        </is>
      </c>
      <c r="H60" s="35" t="inlineStr">
        <is>
          <t>Pending Review</t>
        </is>
      </c>
      <c r="I60" s="35" t="inlineStr">
        <is>
          <t>STBU</t>
        </is>
      </c>
      <c r="J60" s="35" t="inlineStr">
        <is>
          <t>CTANJZ04634</t>
        </is>
      </c>
      <c r="K60" s="37" t="n"/>
      <c r="L60" s="37" t="n"/>
      <c r="M60" s="37" t="n">
        <v>45896</v>
      </c>
      <c r="N60" s="35" t="n"/>
      <c r="O60" s="35" t="n"/>
      <c r="P60" s="35" t="n"/>
      <c r="Q60" s="35" t="n"/>
      <c r="R60" s="35" t="n"/>
      <c r="S60" s="35" t="n"/>
      <c r="T60" s="35" t="inlineStr">
        <is>
          <t>Y</t>
        </is>
      </c>
      <c r="U60" s="36" t="inlineStr">
        <is>
          <t xml:space="preserve">FUENTE: Deviation.csv, filas CSV 807-808; Workflow=Expired; Date Released=2025-06-18; Date Originated=2025-05-30; Site=FJZP, Plant=MCGA (sin convertir automaticamente a FJZ); 2 filas PN; APROBACION Y APLICABILIDAD NO VALIDADAS. </t>
        </is>
      </c>
    </row>
    <row r="61">
      <c r="A61" s="43" t="inlineStr">
        <is>
          <t>DEV-CTANJZ04635</t>
        </is>
      </c>
      <c r="B61" s="43" t="inlineStr">
        <is>
          <t>DEVIATION</t>
        </is>
      </c>
      <c r="C61" s="43" t="inlineStr">
        <is>
          <t>D604078</t>
        </is>
      </c>
      <c r="D61" s="43" t="n"/>
      <c r="E61" s="33" t="inlineStr">
        <is>
          <t>D604078 Use individual bag 502-00269-01 per memory instead of use a single bag for 2 memories</t>
        </is>
      </c>
      <c r="F61" s="43" t="inlineStr">
        <is>
          <t>Pending</t>
        </is>
      </c>
      <c r="G61" s="43" t="inlineStr">
        <is>
          <t>Expired</t>
        </is>
      </c>
      <c r="H61" s="43" t="inlineStr">
        <is>
          <t>Pending Review</t>
        </is>
      </c>
      <c r="I61" s="43" t="inlineStr">
        <is>
          <t>STBU</t>
        </is>
      </c>
      <c r="J61" s="43" t="inlineStr">
        <is>
          <t>CTANJZ04635</t>
        </is>
      </c>
      <c r="K61" s="32" t="n"/>
      <c r="L61" s="32" t="n"/>
      <c r="M61" s="32" t="n">
        <v>45896</v>
      </c>
      <c r="N61" s="43" t="n"/>
      <c r="O61" s="43" t="n"/>
      <c r="P61" s="43" t="n"/>
      <c r="Q61" s="43" t="n"/>
      <c r="R61" s="43" t="n"/>
      <c r="S61" s="43" t="n"/>
      <c r="T61" s="43" t="inlineStr">
        <is>
          <t>Y</t>
        </is>
      </c>
      <c r="U61" s="33" t="inlineStr">
        <is>
          <t xml:space="preserve">FUENTE: Deviation.csv, filas CSV 1844-1844; Workflow=Expired; Date Released=2025-06-19; Date Originated=2025-05-30; Site=FJZP, Plant=MCGA (sin convertir automaticamente a FJZ); 1 filas PN; APROBACION Y APLICABILIDAD NO VALIDADAS. </t>
        </is>
      </c>
    </row>
    <row r="62">
      <c r="A62" s="35" t="inlineStr">
        <is>
          <t>DEV-CTANJZ04640</t>
        </is>
      </c>
      <c r="B62" s="35" t="inlineStr">
        <is>
          <t>DEVIATION</t>
        </is>
      </c>
      <c r="C62" s="35" t="inlineStr">
        <is>
          <t>DP524361</t>
        </is>
      </c>
      <c r="D62" s="35" t="n"/>
      <c r="E62" s="36" t="inlineStr">
        <is>
          <t>DP524361 Please see PageThree for details</t>
        </is>
      </c>
      <c r="F62" s="35" t="inlineStr">
        <is>
          <t>Pending</t>
        </is>
      </c>
      <c r="G62" s="35" t="inlineStr">
        <is>
          <t>Expired</t>
        </is>
      </c>
      <c r="H62" s="35" t="inlineStr">
        <is>
          <t>Pending Review</t>
        </is>
      </c>
      <c r="I62" s="35" t="inlineStr">
        <is>
          <t>STBU</t>
        </is>
      </c>
      <c r="J62" s="35" t="inlineStr">
        <is>
          <t>CTANJZ04640</t>
        </is>
      </c>
      <c r="K62" s="37" t="n"/>
      <c r="L62" s="37" t="n"/>
      <c r="M62" s="37" t="n">
        <v>45871</v>
      </c>
      <c r="N62" s="35" t="n"/>
      <c r="O62" s="35" t="n"/>
      <c r="P62" s="35" t="n"/>
      <c r="Q62" s="35" t="n"/>
      <c r="R62" s="35" t="n"/>
      <c r="S62" s="35" t="n"/>
      <c r="T62" s="35" t="inlineStr">
        <is>
          <t>Y</t>
        </is>
      </c>
      <c r="U62" s="36" t="inlineStr">
        <is>
          <t xml:space="preserve">FUENTE: Deviation.csv, filas CSV 766-770; Workflow=Expired; Date Released=2025-06-26; Date Originated=2025-06-04; Site=FJZP, Plant=MCGA (sin convertir automaticamente a FJZ); 5 filas PN; APROBACION Y APLICABILIDAD NO VALIDADAS. </t>
        </is>
      </c>
    </row>
    <row r="63">
      <c r="A63" s="43" t="inlineStr">
        <is>
          <t>DEV-CTANJZ04641</t>
        </is>
      </c>
      <c r="B63" s="43" t="inlineStr">
        <is>
          <t>DEVIATION</t>
        </is>
      </c>
      <c r="C63" s="43" t="inlineStr">
        <is>
          <t>D604196</t>
        </is>
      </c>
      <c r="D63" s="43" t="n"/>
      <c r="E63" s="33" t="inlineStr">
        <is>
          <t>D604196 CVEBUPWR-CORD-IND-F Power Cord for India 5m 10A  PWR-CORD-IND-F= Power Cord for India 5m 10A  SPAREIn BOMs:37-100881-02 POWER CORD;India;STRANDED;250.0 V;6.0 A;5M;GREY;3x 1.0 mm2IPQ: Feller 5122-FE0-0-5100IPQ: Volex  VLX-37-100881-02-MP3PWR-CORD-IND-B Power Cord for India 2m 10A  PWR-CORD-IND-B= Power Cord for India 2m 10A  SPARE37-100894-02 OWER CORD;India;STRANDED;250.0 V;6.0 A;2M;GREY;3x 1.0 mm2IPQ: Volex VLX-37-100894-02-MP3DF and BTS sites are allowed to start sourcing non-China power cords for India which is still in IPQ.</t>
        </is>
      </c>
      <c r="F63" s="43" t="inlineStr">
        <is>
          <t>Pending</t>
        </is>
      </c>
      <c r="G63" s="43" t="inlineStr">
        <is>
          <t>Expired</t>
        </is>
      </c>
      <c r="H63" s="43" t="inlineStr">
        <is>
          <t>Pending Review</t>
        </is>
      </c>
      <c r="I63" s="43" t="inlineStr">
        <is>
          <t>CVEBU</t>
        </is>
      </c>
      <c r="J63" s="43" t="inlineStr">
        <is>
          <t>CTANJZ04641</t>
        </is>
      </c>
      <c r="K63" s="32" t="n"/>
      <c r="L63" s="32" t="n"/>
      <c r="M63" s="32" t="n">
        <v>45901</v>
      </c>
      <c r="N63" s="43" t="n"/>
      <c r="O63" s="43" t="n"/>
      <c r="P63" s="43" t="n"/>
      <c r="Q63" s="43" t="n"/>
      <c r="R63" s="43" t="n"/>
      <c r="S63" s="43" t="n"/>
      <c r="T63" s="43" t="inlineStr">
        <is>
          <t>Y</t>
        </is>
      </c>
      <c r="U63" s="33" t="inlineStr">
        <is>
          <t xml:space="preserve">FUENTE: Deviation.csv, filas CSV 393-394; Workflow=Expired; Date Released=2025-06-18; Date Originated=2025-06-04; Site=FJZP, Plant=MCGA (sin convertir automaticamente a FJZ); 2 filas PN; APROBACION Y APLICABILIDAD NO VALIDADAS. </t>
        </is>
      </c>
    </row>
    <row r="64">
      <c r="A64" s="35" t="inlineStr">
        <is>
          <t>DEV-CTANJZ04645</t>
        </is>
      </c>
      <c r="B64" s="35" t="inlineStr">
        <is>
          <t>DEVIATION</t>
        </is>
      </c>
      <c r="C64" s="35" t="inlineStr">
        <is>
          <t>DP524944</t>
        </is>
      </c>
      <c r="D64" s="35" t="n"/>
      <c r="E64" s="36" t="inlineStr">
        <is>
          <t>DP524944 Please see PageThree for details</t>
        </is>
      </c>
      <c r="F64" s="35" t="inlineStr">
        <is>
          <t>Pending</t>
        </is>
      </c>
      <c r="G64" s="35" t="inlineStr">
        <is>
          <t>Expired</t>
        </is>
      </c>
      <c r="H64" s="35" t="inlineStr">
        <is>
          <t>Pending Review</t>
        </is>
      </c>
      <c r="I64" s="35" t="inlineStr">
        <is>
          <t>STBU</t>
        </is>
      </c>
      <c r="J64" s="35" t="inlineStr">
        <is>
          <t>CTANJZ04645</t>
        </is>
      </c>
      <c r="K64" s="37" t="n"/>
      <c r="L64" s="37" t="n"/>
      <c r="M64" s="37" t="n">
        <v>45872</v>
      </c>
      <c r="N64" s="35" t="n"/>
      <c r="O64" s="35" t="n"/>
      <c r="P64" s="35" t="n"/>
      <c r="Q64" s="35" t="n"/>
      <c r="R64" s="35" t="n"/>
      <c r="S64" s="35" t="n"/>
      <c r="T64" s="35" t="inlineStr">
        <is>
          <t>Y</t>
        </is>
      </c>
      <c r="U64" s="36" t="inlineStr">
        <is>
          <t xml:space="preserve">FUENTE: Deviation.csv, filas CSV 771-778; Workflow=Expired; Date Released=2025-06-26; Date Originated=2025-06-05; Site=FJZP, Plant=MCGA (sin convertir automaticamente a FJZ); 8 filas PN; APROBACION Y APLICABILIDAD NO VALIDADAS. </t>
        </is>
      </c>
    </row>
    <row r="65">
      <c r="A65" s="43" t="inlineStr">
        <is>
          <t>DEV-CTANJZ04646</t>
        </is>
      </c>
      <c r="B65" s="43" t="inlineStr">
        <is>
          <t>DEVIATION</t>
        </is>
      </c>
      <c r="C65" s="43" t="inlineStr">
        <is>
          <t>D604197</t>
        </is>
      </c>
      <c r="D65" s="43" t="n"/>
      <c r="E65" s="33" t="inlineStr">
        <is>
          <t>D604197 NGFWBU: Risk Buy: GQR No: GQR000055332; AQR No:AQR002398401; CPN: 15-5000-01; MFR NAME: TOSHIBA; MPN: TC7PZ34FU;LCISJ(CB</t>
        </is>
      </c>
      <c r="F65" s="43" t="inlineStr">
        <is>
          <t>Pending</t>
        </is>
      </c>
      <c r="G65" s="43" t="inlineStr">
        <is>
          <t>Expired</t>
        </is>
      </c>
      <c r="H65" s="43" t="inlineStr">
        <is>
          <t>Pending Review</t>
        </is>
      </c>
      <c r="I65" s="43" t="inlineStr">
        <is>
          <t>STBU</t>
        </is>
      </c>
      <c r="J65" s="43" t="inlineStr">
        <is>
          <t>CTANJZ04646</t>
        </is>
      </c>
      <c r="K65" s="32" t="n"/>
      <c r="L65" s="32" t="n"/>
      <c r="M65" s="32" t="n">
        <v>45902</v>
      </c>
      <c r="N65" s="43" t="n"/>
      <c r="O65" s="43" t="n"/>
      <c r="P65" s="43" t="n"/>
      <c r="Q65" s="43" t="n"/>
      <c r="R65" s="43" t="n"/>
      <c r="S65" s="43" t="n"/>
      <c r="T65" s="43" t="inlineStr">
        <is>
          <t>Y</t>
        </is>
      </c>
      <c r="U65" s="33" t="inlineStr">
        <is>
          <t xml:space="preserve">FUENTE: Deviation.csv, filas CSV 1466-1469; Workflow=Expired; Date Released=2025-07-01; Date Originated=2025-06-05; Site=FJZP, Plant=MCGA (sin convertir automaticamente a FJZ); 4 filas PN; APROBACION Y APLICABILIDAD NO VALIDADAS. </t>
        </is>
      </c>
    </row>
    <row r="66">
      <c r="A66" s="35" t="inlineStr">
        <is>
          <t>DEV-CTANJZ04647</t>
        </is>
      </c>
      <c r="B66" s="35" t="inlineStr">
        <is>
          <t>DEVIATION</t>
        </is>
      </c>
      <c r="C66" s="35" t="inlineStr">
        <is>
          <t>D604285</t>
        </is>
      </c>
      <c r="D66" s="35" t="n"/>
      <c r="E66" s="36" t="inlineStr">
        <is>
          <t>D604285::::::::::::::NGFWBU FPR4K::::::::::::::::::This deviation seek to allow FJZ to place Risk Buy PO for 16-101919-01 with MPNs:SAMSUNG SEMICONDUCTORS - MZTL21T9HCJR-00A07HYNIX SEMICONDUCTOR - HFS1T9GEEWX091NThis Deviation also allows for FJZ to use Qualified MPNs:SAMSUNG SEMICONDUCTORS - MZTL21T9HCJR-00A07HYNIX SEMICONDUCTOR - HFS1T9GEEWX091N</t>
        </is>
      </c>
      <c r="F66" s="35" t="inlineStr">
        <is>
          <t>Pending</t>
        </is>
      </c>
      <c r="G66" s="35" t="inlineStr">
        <is>
          <t>Expired</t>
        </is>
      </c>
      <c r="H66" s="35" t="inlineStr">
        <is>
          <t>Pending Review</t>
        </is>
      </c>
      <c r="I66" s="35" t="inlineStr">
        <is>
          <t>STBU</t>
        </is>
      </c>
      <c r="J66" s="35" t="inlineStr">
        <is>
          <t>CTANJZ04647</t>
        </is>
      </c>
      <c r="K66" s="37" t="n"/>
      <c r="L66" s="37" t="n"/>
      <c r="M66" s="37" t="n">
        <v>45902</v>
      </c>
      <c r="N66" s="35" t="n"/>
      <c r="O66" s="35" t="n"/>
      <c r="P66" s="35" t="n"/>
      <c r="Q66" s="35" t="n"/>
      <c r="R66" s="35" t="n"/>
      <c r="S66" s="35" t="n"/>
      <c r="T66" s="35" t="inlineStr">
        <is>
          <t>Y</t>
        </is>
      </c>
      <c r="U66" s="36" t="inlineStr">
        <is>
          <t xml:space="preserve">FUENTE: Deviation.csv, filas CSV 1423-1465; Workflow=Expired; Date Released=2025-07-15; Date Originated=2025-06-05; Site=FJZP, Plant=MCGA (sin convertir automaticamente a FJZ); 2 filas PN; APROBACION Y APLICABILIDAD NO VALIDADAS. </t>
        </is>
      </c>
    </row>
    <row r="67">
      <c r="A67" s="43" t="inlineStr">
        <is>
          <t>DEV-CTANJZ04648</t>
        </is>
      </c>
      <c r="B67" s="43" t="inlineStr">
        <is>
          <t>DEVIATION</t>
        </is>
      </c>
      <c r="C67" s="43" t="inlineStr">
        <is>
          <t>D604046</t>
        </is>
      </c>
      <c r="D67" s="43" t="n"/>
      <c r="E67" s="33" t="inlineStr">
        <is>
          <t>D604046 NGFWBU: Risk Buy: GQR No: GQR000054859; AQR No:AQR002377427; CPN: 20-0443-01; MFR NAME: CYSTECH ELECTRONICS CORP; MPN: MTB2D6N03RJ3</t>
        </is>
      </c>
      <c r="F67" s="43" t="inlineStr">
        <is>
          <t>Pending</t>
        </is>
      </c>
      <c r="G67" s="43" t="inlineStr">
        <is>
          <t>Expired</t>
        </is>
      </c>
      <c r="H67" s="43" t="inlineStr">
        <is>
          <t>Pending Review</t>
        </is>
      </c>
      <c r="I67" s="43" t="inlineStr">
        <is>
          <t>STBU</t>
        </is>
      </c>
      <c r="J67" s="43" t="inlineStr">
        <is>
          <t>CTANJZ04648</t>
        </is>
      </c>
      <c r="K67" s="32" t="n"/>
      <c r="L67" s="32" t="n"/>
      <c r="M67" s="32" t="n">
        <v>45902</v>
      </c>
      <c r="N67" s="43" t="n"/>
      <c r="O67" s="43" t="n"/>
      <c r="P67" s="43" t="n"/>
      <c r="Q67" s="43" t="n"/>
      <c r="R67" s="43" t="n"/>
      <c r="S67" s="43" t="n"/>
      <c r="T67" s="43" t="inlineStr">
        <is>
          <t>Y</t>
        </is>
      </c>
      <c r="U67" s="33" t="inlineStr">
        <is>
          <t xml:space="preserve">FUENTE: Deviation.csv, filas CSV 1419-1422; Workflow=Expired; Date Released=2025-06-26; Date Originated=2025-06-05; Site=FJZP, Plant=MCGA (sin convertir automaticamente a FJZ); 4 filas PN; APROBACION Y APLICABILIDAD NO VALIDADAS. </t>
        </is>
      </c>
    </row>
    <row r="68">
      <c r="A68" s="35" t="inlineStr">
        <is>
          <t>DEV-CTANJZ04649</t>
        </is>
      </c>
      <c r="B68" s="35" t="inlineStr">
        <is>
          <t>DEVIATION</t>
        </is>
      </c>
      <c r="C68" s="35" t="inlineStr">
        <is>
          <t>D604092</t>
        </is>
      </c>
      <c r="D68" s="35" t="n"/>
      <c r="E68" s="36" t="inlineStr">
        <is>
          <t>D604092 NGFWBU: Risk Buy: GQR No: GQR000052832; AQR No:AQR002399499; CPN: 20-0187-01; MFR NAME: DIODES INC; MPN: DZT2222A-13</t>
        </is>
      </c>
      <c r="F68" s="35" t="inlineStr">
        <is>
          <t>Pending</t>
        </is>
      </c>
      <c r="G68" s="35" t="inlineStr">
        <is>
          <t>Expired</t>
        </is>
      </c>
      <c r="H68" s="35" t="inlineStr">
        <is>
          <t>Pending Review</t>
        </is>
      </c>
      <c r="I68" s="35" t="inlineStr">
        <is>
          <t>STBU</t>
        </is>
      </c>
      <c r="J68" s="35" t="inlineStr">
        <is>
          <t>CTANJZ04649</t>
        </is>
      </c>
      <c r="K68" s="37" t="n"/>
      <c r="L68" s="37" t="n"/>
      <c r="M68" s="37" t="n">
        <v>45902</v>
      </c>
      <c r="N68" s="35" t="n"/>
      <c r="O68" s="35" t="n"/>
      <c r="P68" s="35" t="n"/>
      <c r="Q68" s="35" t="n"/>
      <c r="R68" s="35" t="n"/>
      <c r="S68" s="35" t="n"/>
      <c r="T68" s="35" t="inlineStr">
        <is>
          <t>Y</t>
        </is>
      </c>
      <c r="U68" s="36" t="inlineStr">
        <is>
          <t xml:space="preserve">FUENTE: Deviation.csv, filas CSV 1415-1418; Workflow=Expired; Date Released=2025-06-26; Date Originated=2025-06-05; Site=FJZP, Plant=MCGA (sin convertir automaticamente a FJZ); 4 filas PN; APROBACION Y APLICABILIDAD NO VALIDADAS. </t>
        </is>
      </c>
    </row>
    <row r="69">
      <c r="A69" s="43" t="inlineStr">
        <is>
          <t>DEV-CTANJZ04650</t>
        </is>
      </c>
      <c r="B69" s="43" t="inlineStr">
        <is>
          <t>DEVIATION</t>
        </is>
      </c>
      <c r="C69" s="43" t="inlineStr">
        <is>
          <t>D604195</t>
        </is>
      </c>
      <c r="D69" s="43" t="n"/>
      <c r="E69" s="33" t="inlineStr">
        <is>
          <t>D604195 NGFWBU: Risk Buy: GQR No: GQR000055149; AQR No:AQR002394490; CPN: 24-3133-01; MFR NAME: MAG LAYERS; MPN: MMD-10DZNR36MEX2-CS-RU</t>
        </is>
      </c>
      <c r="F69" s="43" t="inlineStr">
        <is>
          <t>Pending</t>
        </is>
      </c>
      <c r="G69" s="43" t="inlineStr">
        <is>
          <t>Expired</t>
        </is>
      </c>
      <c r="H69" s="43" t="inlineStr">
        <is>
          <t>Pending Review</t>
        </is>
      </c>
      <c r="I69" s="43" t="inlineStr">
        <is>
          <t>STBU</t>
        </is>
      </c>
      <c r="J69" s="43" t="inlineStr">
        <is>
          <t>CTANJZ04650</t>
        </is>
      </c>
      <c r="K69" s="32" t="n"/>
      <c r="L69" s="32" t="n"/>
      <c r="M69" s="32" t="n">
        <v>45902</v>
      </c>
      <c r="N69" s="43" t="n"/>
      <c r="O69" s="43" t="n"/>
      <c r="P69" s="43" t="n"/>
      <c r="Q69" s="43" t="n"/>
      <c r="R69" s="43" t="n"/>
      <c r="S69" s="43" t="n"/>
      <c r="T69" s="43" t="inlineStr">
        <is>
          <t>Y</t>
        </is>
      </c>
      <c r="U69" s="33" t="inlineStr">
        <is>
          <t xml:space="preserve">FUENTE: Deviation.csv, filas CSV 1457-1470; Workflow=Expired; Date Released=2025-07-01; Date Originated=2025-06-05; Site=FJZP, Plant=MCGA (sin convertir automaticamente a FJZ); 4 filas PN; APROBACION Y APLICABILIDAD NO VALIDADAS. </t>
        </is>
      </c>
    </row>
    <row r="70">
      <c r="A70" s="35" t="inlineStr">
        <is>
          <t>DEV-CTANJZ04651</t>
        </is>
      </c>
      <c r="B70" s="35" t="inlineStr">
        <is>
          <t>DEVIATION</t>
        </is>
      </c>
      <c r="C70" s="35" t="inlineStr">
        <is>
          <t>DP524724</t>
        </is>
      </c>
      <c r="D70" s="35" t="n"/>
      <c r="E70" s="36" t="inlineStr">
        <is>
          <t>DP524724 Please see PageThree for details</t>
        </is>
      </c>
      <c r="F70" s="35" t="inlineStr">
        <is>
          <t>Pending</t>
        </is>
      </c>
      <c r="G70" s="35" t="inlineStr">
        <is>
          <t>Expired</t>
        </is>
      </c>
      <c r="H70" s="35" t="inlineStr">
        <is>
          <t>Pending Review</t>
        </is>
      </c>
      <c r="I70" s="35" t="inlineStr">
        <is>
          <t>STBU</t>
        </is>
      </c>
      <c r="J70" s="35" t="inlineStr">
        <is>
          <t>CTANJZ04651</t>
        </is>
      </c>
      <c r="K70" s="37" t="n"/>
      <c r="L70" s="37" t="n"/>
      <c r="M70" s="37" t="n">
        <v>45873</v>
      </c>
      <c r="N70" s="35" t="n"/>
      <c r="O70" s="35" t="n"/>
      <c r="P70" s="35" t="n"/>
      <c r="Q70" s="35" t="n"/>
      <c r="R70" s="35" t="n"/>
      <c r="S70" s="35" t="n"/>
      <c r="T70" s="35" t="inlineStr">
        <is>
          <t>Y</t>
        </is>
      </c>
      <c r="U70" s="36" t="inlineStr">
        <is>
          <t xml:space="preserve">FUENTE: Deviation.csv, filas CSV 690-726; Workflow=Expired; Date Released=2025-06-26; Date Originated=2025-06-06; Site=FJZP, Plant=MCGA (sin convertir automaticamente a FJZ); 8 filas PN; APROBACION Y APLICABILIDAD NO VALIDADAS. </t>
        </is>
      </c>
    </row>
    <row r="71">
      <c r="A71" s="43" t="inlineStr">
        <is>
          <t>DEV-CTANJZ04652</t>
        </is>
      </c>
      <c r="B71" s="43" t="inlineStr">
        <is>
          <t>DEVIATION</t>
        </is>
      </c>
      <c r="C71" s="43" t="inlineStr">
        <is>
          <t>DP524450</t>
        </is>
      </c>
      <c r="D71" s="43" t="n"/>
      <c r="E71" s="33" t="inlineStr">
        <is>
          <t>DP524450 Please see PageThree for details</t>
        </is>
      </c>
      <c r="F71" s="43" t="inlineStr">
        <is>
          <t>Pending</t>
        </is>
      </c>
      <c r="G71" s="43" t="inlineStr">
        <is>
          <t>Expired</t>
        </is>
      </c>
      <c r="H71" s="43" t="inlineStr">
        <is>
          <t>Pending Review</t>
        </is>
      </c>
      <c r="I71" s="43" t="inlineStr">
        <is>
          <t>STBU</t>
        </is>
      </c>
      <c r="J71" s="43" t="inlineStr">
        <is>
          <t>CTANJZ04652</t>
        </is>
      </c>
      <c r="K71" s="32" t="n"/>
      <c r="L71" s="32" t="n"/>
      <c r="M71" s="32" t="n">
        <v>45873</v>
      </c>
      <c r="N71" s="43" t="n"/>
      <c r="O71" s="43" t="n"/>
      <c r="P71" s="43" t="n"/>
      <c r="Q71" s="43" t="n"/>
      <c r="R71" s="43" t="n"/>
      <c r="S71" s="43" t="n"/>
      <c r="T71" s="43" t="inlineStr">
        <is>
          <t>Y</t>
        </is>
      </c>
      <c r="U71" s="33" t="inlineStr">
        <is>
          <t xml:space="preserve">FUENTE: Deviation.csv, filas CSV 686-689; Workflow=Expired; Date Released=2025-06-26; Date Originated=2025-06-06; Site=FJZP, Plant=MCGA (sin convertir automaticamente a FJZ); 4 filas PN; APROBACION Y APLICABILIDAD NO VALIDADAS. </t>
        </is>
      </c>
    </row>
    <row r="72">
      <c r="A72" s="35" t="inlineStr">
        <is>
          <t>DEV-CTANJZ04653</t>
        </is>
      </c>
      <c r="B72" s="35" t="inlineStr">
        <is>
          <t>DEVIATION</t>
        </is>
      </c>
      <c r="C72" s="35" t="inlineStr">
        <is>
          <t>D604323</t>
        </is>
      </c>
      <c r="D72" s="35" t="n"/>
      <c r="E72" s="36" t="inlineStr">
        <is>
          <t>D604323 Allow FJZ to use the MPN=MTA36ASF4G72PZ-2G6E1  from Micron technology  of the  15-104289-01; instead of 15-107071-01; in the PIDs:MEM-C8500-64GBMEM-C8500L-32GBMEM-C8500L-64GB</t>
        </is>
      </c>
      <c r="F72" s="35" t="inlineStr">
        <is>
          <t>Pending</t>
        </is>
      </c>
      <c r="G72" s="35" t="inlineStr">
        <is>
          <t>Expired</t>
        </is>
      </c>
      <c r="H72" s="35" t="inlineStr">
        <is>
          <t>Pending Review</t>
        </is>
      </c>
      <c r="I72" s="35" t="inlineStr">
        <is>
          <t>SRGBU</t>
        </is>
      </c>
      <c r="J72" s="35" t="inlineStr">
        <is>
          <t>CTANJZ04653</t>
        </is>
      </c>
      <c r="K72" s="37" t="n"/>
      <c r="L72" s="37" t="n"/>
      <c r="M72" s="37" t="n">
        <v>45903</v>
      </c>
      <c r="N72" s="35" t="n"/>
      <c r="O72" s="35" t="n"/>
      <c r="P72" s="35" t="n"/>
      <c r="Q72" s="35" t="n"/>
      <c r="R72" s="35" t="n"/>
      <c r="S72" s="35" t="n"/>
      <c r="T72" s="35" t="inlineStr">
        <is>
          <t>Y</t>
        </is>
      </c>
      <c r="U72" s="36" t="inlineStr">
        <is>
          <t xml:space="preserve">FUENTE: Deviation.csv, filas CSV 810-810; Workflow=Expired; Date Released=2025-06-18; Date Originated=2025-06-06; Site=FJZP, Plant=MCGA (sin convertir automaticamente a FJZ); 1 filas PN; APROBACION Y APLICABILIDAD NO VALIDADAS. </t>
        </is>
      </c>
    </row>
    <row r="73">
      <c r="A73" s="43" t="inlineStr">
        <is>
          <t>DEV-CTANJZ04654</t>
        </is>
      </c>
      <c r="B73" s="43" t="inlineStr">
        <is>
          <t>DEVIATION</t>
        </is>
      </c>
      <c r="C73" s="43" t="inlineStr">
        <is>
          <t>DP524962</t>
        </is>
      </c>
      <c r="D73" s="43" t="n"/>
      <c r="E73" s="33" t="inlineStr">
        <is>
          <t>DP524962 Current MPN OH is 98CX8540-A0-BZD4C000 and proposed MPN is 98CX8540A0-BZD4C000</t>
        </is>
      </c>
      <c r="F73" s="43" t="inlineStr">
        <is>
          <t>Pending</t>
        </is>
      </c>
      <c r="G73" s="43" t="inlineStr">
        <is>
          <t>Expired</t>
        </is>
      </c>
      <c r="H73" s="43" t="inlineStr">
        <is>
          <t>Pending Review</t>
        </is>
      </c>
      <c r="I73" s="43" t="inlineStr">
        <is>
          <t>STBU</t>
        </is>
      </c>
      <c r="J73" s="43" t="inlineStr">
        <is>
          <t>CTANJZ04654</t>
        </is>
      </c>
      <c r="K73" s="32" t="n"/>
      <c r="L73" s="32" t="n"/>
      <c r="M73" s="32" t="n">
        <v>45874</v>
      </c>
      <c r="N73" s="43" t="n"/>
      <c r="O73" s="43" t="n"/>
      <c r="P73" s="43" t="n"/>
      <c r="Q73" s="43" t="n"/>
      <c r="R73" s="43" t="n"/>
      <c r="S73" s="43" t="n"/>
      <c r="T73" s="43" t="inlineStr">
        <is>
          <t>Y</t>
        </is>
      </c>
      <c r="U73" s="33" t="inlineStr">
        <is>
          <t xml:space="preserve">FUENTE: Deviation.csv, filas CSV 727-727; Workflow=Expired; Date Released=2025-06-26; Date Originated=2025-06-09; Site=FJZP, Plant=MCGA (sin convertir automaticamente a FJZ); 1 filas PN; APROBACION Y APLICABILIDAD NO VALIDADAS. </t>
        </is>
      </c>
    </row>
    <row r="74">
      <c r="A74" s="35" t="inlineStr">
        <is>
          <t>DEV-CTANJZ04655</t>
        </is>
      </c>
      <c r="B74" s="35" t="inlineStr">
        <is>
          <t>DEVIATION</t>
        </is>
      </c>
      <c r="C74" s="35" t="inlineStr">
        <is>
          <t>D604352</t>
        </is>
      </c>
      <c r="D74" s="35" t="n"/>
      <c r="E74" s="36" t="inlineStr">
        <is>
          <t>D604352 Allow FJZ to use the MPN=HMAG84EXNRA084N  from Hynix  of the  15-105664-01; instead of 15-107071-01; in the PIDs:MEM-C8200-32GBMEM-C8500-64GBMEM-C8500L-32GBMEM-C8500L-64GB</t>
        </is>
      </c>
      <c r="F74" s="35" t="inlineStr">
        <is>
          <t>Pending</t>
        </is>
      </c>
      <c r="G74" s="35" t="inlineStr">
        <is>
          <t>Expired</t>
        </is>
      </c>
      <c r="H74" s="35" t="inlineStr">
        <is>
          <t>Pending Review</t>
        </is>
      </c>
      <c r="I74" s="35" t="inlineStr">
        <is>
          <t>SRGBU</t>
        </is>
      </c>
      <c r="J74" s="35" t="inlineStr">
        <is>
          <t>CTANJZ04655</t>
        </is>
      </c>
      <c r="K74" s="37" t="n"/>
      <c r="L74" s="37" t="n"/>
      <c r="M74" s="37" t="n">
        <v>45904</v>
      </c>
      <c r="N74" s="35" t="n"/>
      <c r="O74" s="35" t="n"/>
      <c r="P74" s="35" t="n"/>
      <c r="Q74" s="35" t="n"/>
      <c r="R74" s="35" t="n"/>
      <c r="S74" s="35" t="n"/>
      <c r="T74" s="35" t="inlineStr">
        <is>
          <t>Y</t>
        </is>
      </c>
      <c r="U74" s="36" t="inlineStr">
        <is>
          <t xml:space="preserve">FUENTE: Deviation.csv, filas CSV 811-811; Workflow=Expired; Date Released=2025-06-18; Date Originated=2025-06-09; Site=FJZP, Plant=MCGA (sin convertir automaticamente a FJZ); 1 filas PN; APROBACION Y APLICABILIDAD NO VALIDADAS. </t>
        </is>
      </c>
    </row>
    <row r="75">
      <c r="A75" s="43" t="inlineStr">
        <is>
          <t>DEV-CTANJZ04663</t>
        </is>
      </c>
      <c r="B75" s="43" t="inlineStr">
        <is>
          <t>DEVIATION</t>
        </is>
      </c>
      <c r="C75" s="43" t="inlineStr">
        <is>
          <t>D603477</t>
        </is>
      </c>
      <c r="D75" s="43" t="n"/>
      <c r="E75" s="33" t="inlineStr">
        <is>
          <t>D603477 NGFWBU: NETMODS - Allow to FJZ to use the Standoff 50-1605-01 instead the PN 50-2002-01 in these NM to complete urgent orders68-102608-0468-103988-0168-102707-0468-102763-04WK12: 35 UnitsWK13: 95 UnitsWK01: 55 UnitsNOTE: Material will arrive on May 2</t>
        </is>
      </c>
      <c r="F75" s="43" t="inlineStr">
        <is>
          <t>Pending</t>
        </is>
      </c>
      <c r="G75" s="43" t="inlineStr">
        <is>
          <t>Expired</t>
        </is>
      </c>
      <c r="H75" s="43" t="inlineStr">
        <is>
          <t>Pending Review</t>
        </is>
      </c>
      <c r="I75" s="43" t="inlineStr">
        <is>
          <t>STBU</t>
        </is>
      </c>
      <c r="J75" s="43" t="inlineStr">
        <is>
          <t>CTANJZ04663</t>
        </is>
      </c>
      <c r="K75" s="32" t="n"/>
      <c r="L75" s="32" t="n"/>
      <c r="M75" s="32" t="n">
        <v>45910</v>
      </c>
      <c r="N75" s="43" t="n"/>
      <c r="O75" s="43" t="n"/>
      <c r="P75" s="43" t="n"/>
      <c r="Q75" s="43" t="n"/>
      <c r="R75" s="43" t="n"/>
      <c r="S75" s="43" t="n"/>
      <c r="T75" s="43" t="inlineStr">
        <is>
          <t>Y</t>
        </is>
      </c>
      <c r="U75" s="33" t="inlineStr">
        <is>
          <t xml:space="preserve">FUENTE: Deviation.csv, filas CSV 812-815; Workflow=Expired; Date Released=2025-06-26; Date Originated=2025-06-13; Site=FJZP, Plant=MCGA (sin convertir automaticamente a FJZ); 4 filas PN; APROBACION Y APLICABILIDAD NO VALIDADAS. </t>
        </is>
      </c>
    </row>
    <row r="76">
      <c r="A76" s="35" t="inlineStr">
        <is>
          <t>DEV-CTANJZ04665</t>
        </is>
      </c>
      <c r="B76" s="35" t="inlineStr">
        <is>
          <t>DEVIATION</t>
        </is>
      </c>
      <c r="C76" s="35" t="inlineStr">
        <is>
          <t>D603650</t>
        </is>
      </c>
      <c r="D76" s="35" t="n"/>
      <c r="E76" s="36" t="inlineStr">
        <is>
          <t>D603650 Allow FJZ to use DC with more than 2 Yrs. for part 15-105587-01 used on assembly 68-6724-03 (2244) This component is not exposed to a thermal process is directly attached to a socket.</t>
        </is>
      </c>
      <c r="F76" s="35" t="inlineStr">
        <is>
          <t>Pending</t>
        </is>
      </c>
      <c r="G76" s="35" t="inlineStr">
        <is>
          <t>Expired</t>
        </is>
      </c>
      <c r="H76" s="35" t="inlineStr">
        <is>
          <t>Pending Review</t>
        </is>
      </c>
      <c r="I76" s="35" t="inlineStr">
        <is>
          <t>STBU</t>
        </is>
      </c>
      <c r="J76" s="35" t="inlineStr">
        <is>
          <t>CTANJZ04665</t>
        </is>
      </c>
      <c r="K76" s="37" t="n"/>
      <c r="L76" s="37" t="n"/>
      <c r="M76" s="37" t="n">
        <v>45912</v>
      </c>
      <c r="N76" s="35" t="n"/>
      <c r="O76" s="35" t="n"/>
      <c r="P76" s="35" t="n"/>
      <c r="Q76" s="35" t="n"/>
      <c r="R76" s="35" t="n"/>
      <c r="S76" s="35" t="n"/>
      <c r="T76" s="35" t="inlineStr">
        <is>
          <t>Y</t>
        </is>
      </c>
      <c r="U76" s="36" t="inlineStr">
        <is>
          <t xml:space="preserve">FUENTE: Deviation.csv, filas CSV 492-493; Workflow=Expired; Date Released=2025-06-26; Date Originated=2025-06-14; Site=FJZP, Plant=MCGA (sin convertir automaticamente a FJZ); 2 filas PN; APROBACION Y APLICABILIDAD NO VALIDADAS. </t>
        </is>
      </c>
    </row>
    <row r="77">
      <c r="A77" s="43" t="inlineStr">
        <is>
          <t>DEV-CTANJZ04673</t>
        </is>
      </c>
      <c r="B77" s="43" t="inlineStr">
        <is>
          <t>DEVIATION</t>
        </is>
      </c>
      <c r="C77" s="43" t="inlineStr">
        <is>
          <t>D604622</t>
        </is>
      </c>
      <c r="D77" s="43" t="n"/>
      <c r="E77" s="33" t="inlineStr">
        <is>
          <t>D604622 Allow Foxconn to use 30-100290-01 Rev B0 for Roku CAT 7 production builds.</t>
        </is>
      </c>
      <c r="F77" s="43" t="inlineStr">
        <is>
          <t>Pending</t>
        </is>
      </c>
      <c r="G77" s="43" t="inlineStr">
        <is>
          <t>Expired</t>
        </is>
      </c>
      <c r="H77" s="43" t="inlineStr">
        <is>
          <t>Pending Review</t>
        </is>
      </c>
      <c r="I77" s="43" t="inlineStr">
        <is>
          <t>SRGBU</t>
        </is>
      </c>
      <c r="J77" s="43" t="inlineStr">
        <is>
          <t>CTANJZ04673</t>
        </is>
      </c>
      <c r="K77" s="32" t="n"/>
      <c r="L77" s="32" t="n"/>
      <c r="M77" s="32" t="n">
        <v>45915</v>
      </c>
      <c r="N77" s="43" t="n"/>
      <c r="O77" s="43" t="n"/>
      <c r="P77" s="43" t="n"/>
      <c r="Q77" s="43" t="n"/>
      <c r="R77" s="43" t="n"/>
      <c r="S77" s="43" t="n"/>
      <c r="T77" s="43" t="inlineStr">
        <is>
          <t>Y</t>
        </is>
      </c>
      <c r="U77" s="33" t="inlineStr">
        <is>
          <t xml:space="preserve">FUENTE: Deviation.csv, filas CSV 876-876; Workflow=Expired; Date Released=2025-07-01; Date Originated=2025-06-19; Site=FJZP, Plant=MCGA (sin convertir automaticamente a FJZ); 1 filas PN; APROBACION Y APLICABILIDAD NO VALIDADAS. </t>
        </is>
      </c>
    </row>
    <row r="78">
      <c r="A78" s="35" t="inlineStr">
        <is>
          <t>DEV-CTANJZ04676</t>
        </is>
      </c>
      <c r="B78" s="35" t="inlineStr">
        <is>
          <t>DEVIATION</t>
        </is>
      </c>
      <c r="C78" s="35" t="inlineStr">
        <is>
          <t>D604366</t>
        </is>
      </c>
      <c r="D78" s="35" t="n"/>
      <c r="E78" s="36" t="inlineStr">
        <is>
          <t>D604366 Please see PageThree for details</t>
        </is>
      </c>
      <c r="F78" s="35" t="inlineStr">
        <is>
          <t>Pending</t>
        </is>
      </c>
      <c r="G78" s="35" t="inlineStr">
        <is>
          <t>Expired</t>
        </is>
      </c>
      <c r="H78" s="35" t="inlineStr">
        <is>
          <t>Pending Review</t>
        </is>
      </c>
      <c r="I78" s="35" t="inlineStr">
        <is>
          <t>STBU</t>
        </is>
      </c>
      <c r="J78" s="35" t="inlineStr">
        <is>
          <t>CTANJZ04676</t>
        </is>
      </c>
      <c r="K78" s="37" t="n"/>
      <c r="L78" s="37" t="n"/>
      <c r="M78" s="37" t="n">
        <v>45916</v>
      </c>
      <c r="N78" s="35" t="n"/>
      <c r="O78" s="35" t="n"/>
      <c r="P78" s="35" t="n"/>
      <c r="Q78" s="35" t="n"/>
      <c r="R78" s="35" t="n"/>
      <c r="S78" s="35" t="n"/>
      <c r="T78" s="35" t="inlineStr">
        <is>
          <t>Y</t>
        </is>
      </c>
      <c r="U78" s="36" t="inlineStr">
        <is>
          <t xml:space="preserve">FUENTE: Deviation.csv, filas CSV 11-16; Workflow=Expired; Date Released=2025-07-15; Date Originated=2025-06-19; Site=FJZP, Plant=MCGA (sin convertir automaticamente a FJZ); 6 filas PN; APROBACION Y APLICABILIDAD NO VALIDADAS. </t>
        </is>
      </c>
    </row>
    <row r="79">
      <c r="A79" s="43" t="inlineStr">
        <is>
          <t>DEV-CTANJZ04678</t>
        </is>
      </c>
      <c r="B79" s="43" t="inlineStr">
        <is>
          <t>DEVIATION</t>
        </is>
      </c>
      <c r="C79" s="43" t="inlineStr">
        <is>
          <t>D604665</t>
        </is>
      </c>
      <c r="D79" s="43" t="n"/>
      <c r="E79" s="33" t="inlineStr">
        <is>
          <t>D604665 CVEBU;HeliosCS-CAM-RVPTZ-C Cisco Room Vision PTZ Camera; Carbon Black  74-146086-01 CAMERA MODULE;4k;PTZ;HELIOS;CARBON BLACKSelectable option via Config sheet:CS-PWR-INJ-30W Power Injector 802.3at PoE+ 30W  341-100456-03 PWRSPLY-ADAPTER;ISOLATED;POE;AC;30.0 W...IPQ to Qualified: Microchip PD-9001GR/AT/AC-CSIQualified:        Phihong   POE29U-1AT(PL)C-R ZDue missing availability FCZ and FJZ is allowed to use instead:AIR-PWRINJ6 Power Injector (802.3at)  for Aironet Access Points  341-100456-02 PWRSPLY-ADAPTER;ISOLATED;POE;AC;30.0 W..Qualified: Microchip PD-9001GR/AT/AC-WN ZQualified: Phihong   POE29U-1AT(PL)C-R Z</t>
        </is>
      </c>
      <c r="F79" s="43" t="inlineStr">
        <is>
          <t>Pending</t>
        </is>
      </c>
      <c r="G79" s="43" t="inlineStr">
        <is>
          <t>Expired</t>
        </is>
      </c>
      <c r="H79" s="43" t="inlineStr">
        <is>
          <t>Pending Review</t>
        </is>
      </c>
      <c r="I79" s="43" t="inlineStr">
        <is>
          <t>CVEBU</t>
        </is>
      </c>
      <c r="J79" s="43" t="inlineStr">
        <is>
          <t>CTANJZ04678</t>
        </is>
      </c>
      <c r="K79" s="32" t="n"/>
      <c r="L79" s="32" t="n"/>
      <c r="M79" s="32" t="n">
        <v>45917</v>
      </c>
      <c r="N79" s="43" t="n"/>
      <c r="O79" s="43" t="n"/>
      <c r="P79" s="43" t="n"/>
      <c r="Q79" s="43" t="n"/>
      <c r="R79" s="43" t="n"/>
      <c r="S79" s="43" t="n"/>
      <c r="T79" s="43" t="inlineStr">
        <is>
          <t>Y</t>
        </is>
      </c>
      <c r="U79" s="33" t="inlineStr">
        <is>
          <t xml:space="preserve">FUENTE: Deviation.csv, filas CSV 877-877; Workflow=Expired; Date Released=2025-07-01; Date Originated=2025-06-20; Site=FJZP, Plant=MCGA (sin convertir automaticamente a FJZ); 1 filas PN; APROBACION Y APLICABILIDAD NO VALIDADAS. </t>
        </is>
      </c>
    </row>
    <row r="80">
      <c r="A80" s="35" t="inlineStr">
        <is>
          <t>DEV-CTANJZ04679</t>
        </is>
      </c>
      <c r="B80" s="35" t="inlineStr">
        <is>
          <t>DEVIATION</t>
        </is>
      </c>
      <c r="C80" s="35" t="inlineStr">
        <is>
          <t>DP525026</t>
        </is>
      </c>
      <c r="D80" s="35" t="n"/>
      <c r="E80" s="36" t="inlineStr">
        <is>
          <t>DP525026 CVEBU;Pictoris73-103103-04 PCA; PICTORIS MAIN BOARD   73-103103-05 PCA; PICTORIS MAIN BOARD  73-103603-04 PCA; PICTORIS MAIN BOARD NR  73-103603-05 PCA; PICTORIS MAIN BOARD NR  In BOMs; refdes U41715-108939-01 IC-MP;Trusted Platform Module 2.0 I2C;33 MHz;VQFP;32 P;5x5 mm PKGSIZE;0.5P;3.3 V NOM;0.63 W;I2C;NO-JTAG;-40 to 105 'CIPQ:       Infinion   SLB 9673AU2.0 FW27.24Qualified: ST Micro   ST33HF2X32AHE3C1Do not use Infinion TPM circuit until the Pictoris AVL 2nd source build is completed and concluded. This is likely to be settled by late August 2025</t>
        </is>
      </c>
      <c r="F80" s="35" t="inlineStr">
        <is>
          <t>Pending</t>
        </is>
      </c>
      <c r="G80" s="35" t="inlineStr">
        <is>
          <t>Expired</t>
        </is>
      </c>
      <c r="H80" s="35" t="inlineStr">
        <is>
          <t>Pending Review</t>
        </is>
      </c>
      <c r="I80" s="35" t="inlineStr">
        <is>
          <t>CVEBU</t>
        </is>
      </c>
      <c r="J80" s="35" t="inlineStr">
        <is>
          <t>CTANJZ04679</t>
        </is>
      </c>
      <c r="K80" s="37" t="n"/>
      <c r="L80" s="37" t="n"/>
      <c r="M80" s="37" t="n">
        <v>45888</v>
      </c>
      <c r="N80" s="35" t="n"/>
      <c r="O80" s="35" t="n"/>
      <c r="P80" s="35" t="n"/>
      <c r="Q80" s="35" t="n"/>
      <c r="R80" s="35" t="n"/>
      <c r="S80" s="35" t="n"/>
      <c r="T80" s="35" t="inlineStr">
        <is>
          <t>Y</t>
        </is>
      </c>
      <c r="U80" s="36" t="inlineStr">
        <is>
          <t xml:space="preserve">FUENTE: Deviation.csv, filas CSV 366-367; Workflow=Expired; Date Released=2025-07-02; Date Originated=2025-06-21; Site=FJZP, Plant=MCGA (sin convertir automaticamente a FJZ); 2 filas PN; APROBACION Y APLICABILIDAD NO VALIDADAS. </t>
        </is>
      </c>
      <c r="V80" s="49" t="inlineStr">
        <is>
          <t>PICTORIS: restricción temporal en U417. El documento indica no utilizar el circuito TPM Infineon hasta completar y concluir la calificación de la segunda fuente AVL de Pictoris.</t>
        </is>
      </c>
      <c r="W80" s="49" t="inlineStr">
        <is>
          <t>DP525026: Pictoris PCBAs 73-103103-04, 73-103103-05, 73-103603-04 y 73-103603-05. En la BOM, referencia U417, CPN 15-108939-01: módulo de plataforma confiable TPM 2.0, interfaz I²C, 33 MHz, VQFP de 32 terminales, encapsulado 5 × 5 mm, 3.3 V nominal y temperatura de −40 a 105 °C. Se mencionan Infineon SLB 9673AU2.0 FW27.24 y ST Micro ST33HF2X32AHE3C1. Instrucción original: no utilizar el circuito TPM Infineon hasta que la corrida de calificación de segunda fuente AVL de Pictoris haya concluido. El texto de origen estimaba su resolución para finales de agosto de 2025; no se debe interpretar esa estimación como liberación.</t>
        </is>
      </c>
      <c r="X80" s="50" t="inlineStr">
        <is>
          <t>Traduccion para consulta</t>
        </is>
      </c>
    </row>
    <row r="81">
      <c r="A81" s="43" t="inlineStr">
        <is>
          <t>DEV-CTANJZ04680</t>
        </is>
      </c>
      <c r="B81" s="43" t="inlineStr">
        <is>
          <t>DEVIATION</t>
        </is>
      </c>
      <c r="C81" s="43" t="inlineStr">
        <is>
          <t>D604676</t>
        </is>
      </c>
      <c r="D81" s="43" t="n"/>
      <c r="E81" s="33" t="inlineStr">
        <is>
          <t>D604676 CVEBU;HeliosCS-CAM-RVPTZ-C Cisco Room Vision PTZ Camera; Carbon Black  74-146086-01 CAMERA MODULE;4k;PTZ;HELIOS;CARBON BLACKSelectable option via Config sheet:CS-PWR-INJ-30W Power Injector 802.3at PoE+ 30W  341-100456-03 PWRSPLY-ADAPTER;ISOLATED;POE;AC;30.0 W...IPQ:       Microchip PD-9001GR/AT/AC-CSIQualified: Phihong   POE29U-1AT(PL)C-R ZDue missing availability; FCZ and FJZ are allowed to use same Phihong MPN; but with previous version CPN:AIR-PWRINJ6 Power Injector (802.3at)  for Aironet Access Points  341-100456-02 PWRSPLY-ADAPTER;ISOLATED;POE;AC;30.0 W..Qualified: Phihong   POE29U-1AT(PL)C-R Z (100 pcs site balanced from FVE)</t>
        </is>
      </c>
      <c r="F81" s="43" t="inlineStr">
        <is>
          <t>Pending</t>
        </is>
      </c>
      <c r="G81" s="43" t="inlineStr">
        <is>
          <t>Expired</t>
        </is>
      </c>
      <c r="H81" s="43" t="inlineStr">
        <is>
          <t>Pending Review</t>
        </is>
      </c>
      <c r="I81" s="43" t="inlineStr">
        <is>
          <t>CVEBU</t>
        </is>
      </c>
      <c r="J81" s="43" t="inlineStr">
        <is>
          <t>CTANJZ04680</t>
        </is>
      </c>
      <c r="K81" s="32" t="n"/>
      <c r="L81" s="32" t="n"/>
      <c r="M81" s="32" t="n">
        <v>45918</v>
      </c>
      <c r="N81" s="43" t="n"/>
      <c r="O81" s="43" t="n"/>
      <c r="P81" s="43" t="n"/>
      <c r="Q81" s="43" t="n"/>
      <c r="R81" s="43" t="n"/>
      <c r="S81" s="43" t="n"/>
      <c r="T81" s="43" t="inlineStr">
        <is>
          <t>Y</t>
        </is>
      </c>
      <c r="U81" s="33" t="inlineStr">
        <is>
          <t xml:space="preserve">FUENTE: Deviation.csv, filas CSV 878-878; Workflow=Expired; Date Released=2025-07-08; Date Originated=2025-06-21; Site=FJZP, Plant=MCGA (sin convertir automaticamente a FJZ); 1 filas PN; APROBACION Y APLICABILIDAD NO VALIDADAS. </t>
        </is>
      </c>
    </row>
    <row r="82">
      <c r="A82" s="35" t="inlineStr">
        <is>
          <t>DEV-CTANJZ04684</t>
        </is>
      </c>
      <c r="B82" s="35" t="inlineStr">
        <is>
          <t>DEVIATION</t>
        </is>
      </c>
      <c r="C82" s="35" t="inlineStr">
        <is>
          <t>DP524972</t>
        </is>
      </c>
      <c r="D82" s="35" t="n"/>
      <c r="E82" s="36" t="inlineStr">
        <is>
          <t>DP524972 This Prototype deviation will be used for Woodside Park Pre-Pilot chassis material at Likom.1. 10 chassis from Likom will be using the Old front logo label without the "Secure" wording due to new labels being lost. Likom will cut in the new labels for the rest of the units that will be shipped to FJZ once they have been received.</t>
        </is>
      </c>
      <c r="F82" s="35" t="inlineStr">
        <is>
          <t>Pending</t>
        </is>
      </c>
      <c r="G82" s="35" t="inlineStr">
        <is>
          <t>Expired</t>
        </is>
      </c>
      <c r="H82" s="35" t="inlineStr">
        <is>
          <t>Pending Review</t>
        </is>
      </c>
      <c r="I82" s="35" t="inlineStr">
        <is>
          <t>STBU</t>
        </is>
      </c>
      <c r="J82" s="35" t="inlineStr">
        <is>
          <t>CTANJZ04684</t>
        </is>
      </c>
      <c r="K82" s="37" t="n"/>
      <c r="L82" s="37" t="n"/>
      <c r="M82" s="37" t="n">
        <v>45892</v>
      </c>
      <c r="N82" s="35" t="n"/>
      <c r="O82" s="35" t="n"/>
      <c r="P82" s="35" t="n"/>
      <c r="Q82" s="35" t="n"/>
      <c r="R82" s="35" t="n"/>
      <c r="S82" s="35" t="n"/>
      <c r="T82" s="35" t="inlineStr">
        <is>
          <t>Y</t>
        </is>
      </c>
      <c r="U82" s="36" t="inlineStr">
        <is>
          <t xml:space="preserve">FUENTE: Deviation.csv, filas CSV 806-806; Workflow=Expired; Date Released=2025-07-15; Date Originated=2025-06-25; Site=FJZP, Plant=MCGA (sin convertir automaticamente a FJZ); 1 filas PN; APROBACION Y APLICABILIDAD NO VALIDADAS. </t>
        </is>
      </c>
    </row>
    <row r="83">
      <c r="A83" s="43" t="inlineStr">
        <is>
          <t>DEV-CTANJZ04691</t>
        </is>
      </c>
      <c r="B83" s="43" t="inlineStr">
        <is>
          <t>DEVIATION</t>
        </is>
      </c>
      <c r="C83" s="43" t="inlineStr">
        <is>
          <t>D604637</t>
        </is>
      </c>
      <c r="D83" s="43" t="n"/>
      <c r="E83" s="33" t="inlineStr">
        <is>
          <t>D604637 Deviation created to allow FJZ to test Tufnell units from Bone Pile with old revision for temporary manufacturing process changes.</t>
        </is>
      </c>
      <c r="F83" s="43" t="inlineStr">
        <is>
          <t>Pending</t>
        </is>
      </c>
      <c r="G83" s="43" t="inlineStr">
        <is>
          <t>Expired</t>
        </is>
      </c>
      <c r="H83" s="43" t="inlineStr">
        <is>
          <t>Pending Review</t>
        </is>
      </c>
      <c r="I83" s="43" t="inlineStr">
        <is>
          <t>STBU</t>
        </is>
      </c>
      <c r="J83" s="43" t="inlineStr">
        <is>
          <t>CTANJZ04691</t>
        </is>
      </c>
      <c r="K83" s="32" t="n"/>
      <c r="L83" s="32" t="n"/>
      <c r="M83" s="32" t="n">
        <v>45923</v>
      </c>
      <c r="N83" s="43" t="n"/>
      <c r="O83" s="43" t="n"/>
      <c r="P83" s="43" t="n"/>
      <c r="Q83" s="43" t="n"/>
      <c r="R83" s="43" t="n"/>
      <c r="S83" s="43" t="n"/>
      <c r="T83" s="43" t="inlineStr">
        <is>
          <t>Y</t>
        </is>
      </c>
      <c r="U83" s="33" t="inlineStr">
        <is>
          <t xml:space="preserve">FUENTE: Deviation.csv, filas CSV 760-932; Workflow=Expired; Date Released=2025-07-15; Date Originated=2025-06-26; Site=FJZP, Plant=MCGA (sin convertir automaticamente a FJZ); 12 filas PN; APROBACION Y APLICABILIDAD NO VALIDADAS. </t>
        </is>
      </c>
    </row>
    <row r="84">
      <c r="A84" s="35" t="inlineStr">
        <is>
          <t>DEV-CTANJZ04693</t>
        </is>
      </c>
      <c r="B84" s="35" t="inlineStr">
        <is>
          <t>DEVIATION</t>
        </is>
      </c>
      <c r="C84" s="35" t="inlineStr">
        <is>
          <t>D603586</t>
        </is>
      </c>
      <c r="D84" s="35" t="n"/>
      <c r="E84" s="36" t="inlineStr">
        <is>
          <t>D603586 ---Remark:It is same as CTANJZ04618;just reload the D603586;please review and sign off it;Thank you all.NGFWBU: Risk Buy: GQR No: GQR000047935; AQR No: AQR002263531 ; CPN: 20-0405-01; MFR NAME: ROHM; MPN: US6K1To execute the above AQR at CM Site.</t>
        </is>
      </c>
      <c r="F84" s="35" t="inlineStr">
        <is>
          <t>Pending</t>
        </is>
      </c>
      <c r="G84" s="35" t="inlineStr">
        <is>
          <t>Expired</t>
        </is>
      </c>
      <c r="H84" s="35" t="inlineStr">
        <is>
          <t>Pending Review</t>
        </is>
      </c>
      <c r="I84" s="35" t="inlineStr">
        <is>
          <t>STBU</t>
        </is>
      </c>
      <c r="J84" s="35" t="inlineStr">
        <is>
          <t>CTANJZ04693</t>
        </is>
      </c>
      <c r="K84" s="37" t="n"/>
      <c r="L84" s="37" t="n"/>
      <c r="M84" s="37" t="n">
        <v>45889</v>
      </c>
      <c r="N84" s="35" t="n"/>
      <c r="O84" s="35" t="n"/>
      <c r="P84" s="35" t="n"/>
      <c r="Q84" s="35" t="n"/>
      <c r="R84" s="35" t="n"/>
      <c r="S84" s="35" t="n"/>
      <c r="T84" s="35" t="inlineStr">
        <is>
          <t>Y</t>
        </is>
      </c>
      <c r="U84" s="36" t="inlineStr">
        <is>
          <t xml:space="preserve">FUENTE: Deviation.csv, filas CSV 1436-1436; Workflow=Expired; Date Released=2025-07-15; Date Originated=2025-06-26; Site=FJZP, Plant=MCGA (sin convertir automaticamente a FJZ); 1 filas PN; APROBACION Y APLICABILIDAD NO VALIDADAS. </t>
        </is>
      </c>
      <c r="V84" s="49" t="inlineStr">
        <is>
          <t>Calificación / compra de riesgo: tramitar AQR002263531 para el CPN 20-0405-01, fabricante ROHM, MPN US6K1, en el sitio de manufactura. Se solicita revisar y firmar el documento recargado.</t>
        </is>
      </c>
      <c r="W84" s="49" t="inlineStr">
        <is>
          <t>D603586: observación: documento equivalente a CTANJZ04618; se volvió a cargar D603586 y se solicita revisión y aprobación. NGFWBU: compra de riesgo asociada al GQR000047935 y AQR002263531, CPN 20-0405-01, fabricante ROHM, MPN US6K1. La intención es ejecutar la calificación AQR mencionada en el sitio CM. Solicitar la evidencia de aprobación antes de tratarla como autorización.</t>
        </is>
      </c>
      <c r="X84" s="50" t="inlineStr">
        <is>
          <t>Traduccion para consulta</t>
        </is>
      </c>
    </row>
    <row r="85">
      <c r="A85" s="43" t="inlineStr">
        <is>
          <t>DEV-CTANJZ04699</t>
        </is>
      </c>
      <c r="B85" s="43" t="inlineStr">
        <is>
          <t>DEVIATION</t>
        </is>
      </c>
      <c r="C85" s="43" t="inlineStr">
        <is>
          <t>D604620</t>
        </is>
      </c>
      <c r="D85" s="43" t="n"/>
      <c r="E85" s="33" t="inlineStr">
        <is>
          <t>D604620 CVEBU;HeliosCS-PWR-INJ-30W   Power Injector 802.3at PoE+ 30W  CS-PWR-INJ-30W=  Power Injector 802.3at PoE+ 30W - SPAREIn BOMs341-100456-03 PWRSPLY-ADAPTER;ISOLATED;POE;AC;30.0 W...IPQ:       Microchip PD-9001GR/AT/AC-CSIQualified: Phihong   POE29U-1AT(PL)C-R ZSince the Microchip alternate is not yet qualified; and the Phihong alternate is not yet on-hand at DF sites; the DF sites are temporarily allowed to use the previous version:341-100456-02 PWRSPLY-ADAPTER;ISOLATED;POE;AC;30.0 W..Qualified: Microchip PD-9001GR/AT/AC-WN ZQualified: Phihong   POE29U-1AT(PL)C-R ZUsing Microchip PD-9001GR/AT/AC-WN Z together with Brooklyn and Helios; may cause an extra Helios re-boot at first start-up. This allows temporarily use of this alternate.</t>
        </is>
      </c>
      <c r="F85" s="43" t="inlineStr">
        <is>
          <t>Pending</t>
        </is>
      </c>
      <c r="G85" s="43" t="inlineStr">
        <is>
          <t>Expired</t>
        </is>
      </c>
      <c r="H85" s="43" t="inlineStr">
        <is>
          <t>Pending Review</t>
        </is>
      </c>
      <c r="I85" s="43" t="inlineStr">
        <is>
          <t>CVEBU</t>
        </is>
      </c>
      <c r="J85" s="43" t="inlineStr">
        <is>
          <t>CTANJZ04699</t>
        </is>
      </c>
      <c r="K85" s="32" t="n"/>
      <c r="L85" s="32" t="n"/>
      <c r="M85" s="32" t="n">
        <v>45923</v>
      </c>
      <c r="N85" s="43" t="n"/>
      <c r="O85" s="43" t="n"/>
      <c r="P85" s="43" t="n"/>
      <c r="Q85" s="43" t="n"/>
      <c r="R85" s="43" t="n"/>
      <c r="S85" s="43" t="n"/>
      <c r="T85" s="43" t="inlineStr">
        <is>
          <t>Y</t>
        </is>
      </c>
      <c r="U85" s="33" t="inlineStr">
        <is>
          <t xml:space="preserve">FUENTE: Deviation.csv, filas CSV 474-474; Workflow=Expired; Date Released=2025-07-15; Date Originated=2025-07-02; Site=FJZP, Plant=MCGA (sin convertir automaticamente a FJZ); 1 filas PN; APROBACION Y APLICABILIDAD NO VALIDADAS. </t>
        </is>
      </c>
    </row>
    <row r="86">
      <c r="A86" s="35" t="inlineStr">
        <is>
          <t>DEV-CTANJZ04702</t>
        </is>
      </c>
      <c r="B86" s="35" t="inlineStr">
        <is>
          <t>DEVIATION</t>
        </is>
      </c>
      <c r="C86" s="35" t="inlineStr">
        <is>
          <t>D604757</t>
        </is>
      </c>
      <c r="D86" s="35" t="n"/>
      <c r="E86" s="36" t="inlineStr">
        <is>
          <t>D604757 NGFWBU: Risk Buy: GQR No: GQR000046874; AQR No:AQR002261011; CPN: 20-0041-02; MFR NAME: NEXPERIA USA INC; MPN: PMBT2907ATo execute the above AQR at CM Site.</t>
        </is>
      </c>
      <c r="F86" s="35" t="inlineStr">
        <is>
          <t>Pending</t>
        </is>
      </c>
      <c r="G86" s="35" t="inlineStr">
        <is>
          <t>Expired</t>
        </is>
      </c>
      <c r="H86" s="35" t="inlineStr">
        <is>
          <t>Pending Review</t>
        </is>
      </c>
      <c r="I86" s="35" t="inlineStr">
        <is>
          <t>STBU</t>
        </is>
      </c>
      <c r="J86" s="35" t="inlineStr">
        <is>
          <t>CTANJZ04702</t>
        </is>
      </c>
      <c r="K86" s="37" t="n"/>
      <c r="L86" s="37" t="n"/>
      <c r="M86" s="37" t="n">
        <v>45930</v>
      </c>
      <c r="N86" s="35" t="n"/>
      <c r="O86" s="35" t="n"/>
      <c r="P86" s="35" t="n"/>
      <c r="Q86" s="35" t="n"/>
      <c r="R86" s="35" t="n"/>
      <c r="S86" s="35" t="n"/>
      <c r="T86" s="35" t="inlineStr">
        <is>
          <t>Y</t>
        </is>
      </c>
      <c r="U86" s="36" t="inlineStr">
        <is>
          <t xml:space="preserve">FUENTE: Deviation.csv, filas CSV 1432-1433; Workflow=Expired; Date Released=2025-07-18; Date Originated=2025-07-03; Site=FJZP, Plant=MCGA (sin convertir automaticamente a FJZ); 2 filas PN; APROBACION Y APLICABILIDAD NO VALIDADAS. </t>
        </is>
      </c>
    </row>
    <row r="87">
      <c r="A87" s="43" t="inlineStr">
        <is>
          <t>DEV-CTANJZ04703</t>
        </is>
      </c>
      <c r="B87" s="43" t="inlineStr">
        <is>
          <t>DEVIATION</t>
        </is>
      </c>
      <c r="C87" s="43" t="inlineStr">
        <is>
          <t>D604633</t>
        </is>
      </c>
      <c r="D87" s="43" t="n"/>
      <c r="E87" s="33" t="inlineStr">
        <is>
          <t>D604633 NGFWBU: Risk Buy: GQR No: GQR000046862; AQR No:AQR002450088; CPN: 20-0643-01; MFR NAME: NEXPERIA USA INC; MPN: MMBT3904.To execute the above AQR at CM Site.</t>
        </is>
      </c>
      <c r="F87" s="43" t="inlineStr">
        <is>
          <t>Pending</t>
        </is>
      </c>
      <c r="G87" s="43" t="inlineStr">
        <is>
          <t>Expired</t>
        </is>
      </c>
      <c r="H87" s="43" t="inlineStr">
        <is>
          <t>Pending Review</t>
        </is>
      </c>
      <c r="I87" s="43" t="inlineStr">
        <is>
          <t>STBU</t>
        </is>
      </c>
      <c r="J87" s="43" t="inlineStr">
        <is>
          <t>CTANJZ04703</t>
        </is>
      </c>
      <c r="K87" s="32" t="n"/>
      <c r="L87" s="32" t="n"/>
      <c r="M87" s="32" t="n">
        <v>45930</v>
      </c>
      <c r="N87" s="43" t="n"/>
      <c r="O87" s="43" t="n"/>
      <c r="P87" s="43" t="n"/>
      <c r="Q87" s="43" t="n"/>
      <c r="R87" s="43" t="n"/>
      <c r="S87" s="43" t="n"/>
      <c r="T87" s="43" t="inlineStr">
        <is>
          <t>Y</t>
        </is>
      </c>
      <c r="U87" s="33" t="inlineStr">
        <is>
          <t xml:space="preserve">FUENTE: Deviation.csv, filas CSV 1428-1429; Workflow=Expired; Date Released=2025-07-18; Date Originated=2025-07-03; Site=FJZP, Plant=MCGA (sin convertir automaticamente a FJZ); 2 filas PN; APROBACION Y APLICABILIDAD NO VALIDADAS. </t>
        </is>
      </c>
    </row>
    <row r="88">
      <c r="A88" s="35" t="inlineStr">
        <is>
          <t>DEV-CTANJZ04705</t>
        </is>
      </c>
      <c r="B88" s="35" t="inlineStr">
        <is>
          <t>DEVIATION</t>
        </is>
      </c>
      <c r="C88" s="35" t="inlineStr">
        <is>
          <t>D604634</t>
        </is>
      </c>
      <c r="D88" s="35" t="n"/>
      <c r="E88" s="36" t="inlineStr">
        <is>
          <t>D604634 NGFWBU: Risk Buy: GQR No: GQR000046862; AQR No:AQR002450087; CPN: 20-0643-01; MFR NAME: NEXPERIA USA INC; MPN: MMBT3904To execute the above AQR at CM Site.</t>
        </is>
      </c>
      <c r="F88" s="35" t="inlineStr">
        <is>
          <t>Pending</t>
        </is>
      </c>
      <c r="G88" s="35" t="inlineStr">
        <is>
          <t>Expired</t>
        </is>
      </c>
      <c r="H88" s="35" t="inlineStr">
        <is>
          <t>Pending Review</t>
        </is>
      </c>
      <c r="I88" s="35" t="inlineStr">
        <is>
          <t>STBU</t>
        </is>
      </c>
      <c r="J88" s="35" t="inlineStr">
        <is>
          <t>CTANJZ04705</t>
        </is>
      </c>
      <c r="K88" s="37" t="n"/>
      <c r="L88" s="37" t="n"/>
      <c r="M88" s="37" t="n">
        <v>45930</v>
      </c>
      <c r="N88" s="35" t="n"/>
      <c r="O88" s="35" t="n"/>
      <c r="P88" s="35" t="n"/>
      <c r="Q88" s="35" t="n"/>
      <c r="R88" s="35" t="n"/>
      <c r="S88" s="35" t="n"/>
      <c r="T88" s="35" t="inlineStr">
        <is>
          <t>Y</t>
        </is>
      </c>
      <c r="U88" s="36" t="inlineStr">
        <is>
          <t xml:space="preserve">FUENTE: Deviation.csv, filas CSV 1430-1431; Workflow=Expired; Date Released=2025-07-18; Date Originated=2025-07-03; Site=FJZP, Plant=MCGA (sin convertir automaticamente a FJZ); 2 filas PN; APROBACION Y APLICABILIDAD NO VALIDADAS. </t>
        </is>
      </c>
    </row>
    <row r="89">
      <c r="A89" s="43" t="inlineStr">
        <is>
          <t>DEV-CTANJZ04706</t>
        </is>
      </c>
      <c r="B89" s="43" t="inlineStr">
        <is>
          <t>DEVIATION</t>
        </is>
      </c>
      <c r="C89" s="43" t="inlineStr">
        <is>
          <t>DP525064</t>
        </is>
      </c>
      <c r="D89" s="43" t="n"/>
      <c r="E89" s="33" t="inlineStr">
        <is>
          <t>DP525064 This deviation allows FJZ to build 68-104855-01 with several deviations that are listed in attached Document.</t>
        </is>
      </c>
      <c r="F89" s="43" t="inlineStr">
        <is>
          <t>Pending</t>
        </is>
      </c>
      <c r="G89" s="43" t="inlineStr">
        <is>
          <t>Expired</t>
        </is>
      </c>
      <c r="H89" s="43" t="inlineStr">
        <is>
          <t>Pending Review</t>
        </is>
      </c>
      <c r="I89" s="43" t="inlineStr">
        <is>
          <t>CVEBU</t>
        </is>
      </c>
      <c r="J89" s="43" t="inlineStr">
        <is>
          <t>CTANJZ04706</t>
        </is>
      </c>
      <c r="K89" s="32" t="n"/>
      <c r="L89" s="32" t="n"/>
      <c r="M89" s="32" t="n">
        <v>45900</v>
      </c>
      <c r="N89" s="43" t="n"/>
      <c r="O89" s="43" t="n"/>
      <c r="P89" s="43" t="n"/>
      <c r="Q89" s="43" t="n"/>
      <c r="R89" s="43" t="n"/>
      <c r="S89" s="43" t="n"/>
      <c r="T89" s="43" t="inlineStr">
        <is>
          <t>Y</t>
        </is>
      </c>
      <c r="U89" s="33" t="inlineStr">
        <is>
          <t xml:space="preserve">FUENTE: Deviation.csv, filas CSV 372-392; Workflow=Expired; Date Released=2025-07-15; Date Originated=2025-07-03; Site=FJZP, Plant=MCGA (sin convertir automaticamente a FJZ); 13 filas PN; APROBACION Y APLICABILIDAD NO VALIDADAS. </t>
        </is>
      </c>
    </row>
    <row r="90">
      <c r="A90" s="35" t="inlineStr">
        <is>
          <t>DEV-CTANJZ04707</t>
        </is>
      </c>
      <c r="B90" s="35" t="inlineStr">
        <is>
          <t>DEVIATION</t>
        </is>
      </c>
      <c r="C90" s="35" t="inlineStr">
        <is>
          <t>D604653</t>
        </is>
      </c>
      <c r="D90" s="35" t="n"/>
      <c r="E90" s="36" t="inlineStr">
        <is>
          <t>D604653 NGFWBU: Risk Buy: GQR No: GQR000055333; AQR No: AQR002398314; CPN: 15-14278-01; MFR NAME:DIODES INC; MPN: LXS0102VEXTo execute the above AQR at CM Site.</t>
        </is>
      </c>
      <c r="F90" s="35" t="inlineStr">
        <is>
          <t>Pending</t>
        </is>
      </c>
      <c r="G90" s="35" t="inlineStr">
        <is>
          <t>Expired</t>
        </is>
      </c>
      <c r="H90" s="35" t="inlineStr">
        <is>
          <t>Pending Review</t>
        </is>
      </c>
      <c r="I90" s="35" t="inlineStr">
        <is>
          <t>STBU</t>
        </is>
      </c>
      <c r="J90" s="35" t="inlineStr">
        <is>
          <t>CTANJZ04707</t>
        </is>
      </c>
      <c r="K90" s="37" t="n"/>
      <c r="L90" s="37" t="n"/>
      <c r="M90" s="37" t="n">
        <v>45930</v>
      </c>
      <c r="N90" s="35" t="n"/>
      <c r="O90" s="35" t="n"/>
      <c r="P90" s="35" t="n"/>
      <c r="Q90" s="35" t="n"/>
      <c r="R90" s="35" t="n"/>
      <c r="S90" s="35" t="n"/>
      <c r="T90" s="35" t="inlineStr">
        <is>
          <t>Y</t>
        </is>
      </c>
      <c r="U90" s="36" t="inlineStr">
        <is>
          <t xml:space="preserve">FUENTE: Deviation.csv, filas CSV 1424-1425; Workflow=Expired; Date Released=2025-07-18; Date Originated=2025-07-03; Site=FJZP, Plant=MCGA (sin convertir automaticamente a FJZ); 2 filas PN; APROBACION Y APLICABILIDAD NO VALIDADAS. </t>
        </is>
      </c>
    </row>
    <row r="91">
      <c r="A91" s="43" t="inlineStr">
        <is>
          <t>DEV-CTANJZ04709</t>
        </is>
      </c>
      <c r="B91" s="43" t="inlineStr">
        <is>
          <t>DEVIATION</t>
        </is>
      </c>
      <c r="C91" s="43" t="inlineStr">
        <is>
          <t>D604651</t>
        </is>
      </c>
      <c r="D91" s="43" t="n"/>
      <c r="E91" s="33" t="inlineStr">
        <is>
          <t>D604651 NGFWBU: Risk Buy: GQR No: GQR000056533 ; AQR No: AQR002427706; CPN: 29-6281-01; MFR NAME: TE CONNECTIVITY CORP ; MPN: 2057159-1.To execute the above AQR at CM Site.</t>
        </is>
      </c>
      <c r="F91" s="43" t="inlineStr">
        <is>
          <t>Pending</t>
        </is>
      </c>
      <c r="G91" s="43" t="inlineStr">
        <is>
          <t>Expired</t>
        </is>
      </c>
      <c r="H91" s="43" t="inlineStr">
        <is>
          <t>Pending Review</t>
        </is>
      </c>
      <c r="I91" s="43" t="inlineStr">
        <is>
          <t>STBU</t>
        </is>
      </c>
      <c r="J91" s="43" t="inlineStr">
        <is>
          <t>CTANJZ04709</t>
        </is>
      </c>
      <c r="K91" s="32" t="n"/>
      <c r="L91" s="32" t="n"/>
      <c r="M91" s="32" t="n">
        <v>45930</v>
      </c>
      <c r="N91" s="43" t="n"/>
      <c r="O91" s="43" t="n"/>
      <c r="P91" s="43" t="n"/>
      <c r="Q91" s="43" t="n"/>
      <c r="R91" s="43" t="n"/>
      <c r="S91" s="43" t="n"/>
      <c r="T91" s="43" t="inlineStr">
        <is>
          <t>Y</t>
        </is>
      </c>
      <c r="U91" s="33" t="inlineStr">
        <is>
          <t xml:space="preserve">FUENTE: Deviation.csv, filas CSV 1426-1427; Workflow=Expired; Date Released=2025-07-18; Date Originated=2025-07-03; Site=FJZP, Plant=MCGA (sin convertir automaticamente a FJZ); 2 filas PN; APROBACION Y APLICABILIDAD NO VALIDADAS. </t>
        </is>
      </c>
    </row>
    <row r="92">
      <c r="A92" s="35" t="inlineStr">
        <is>
          <t>DEV-CTANJZ04710</t>
        </is>
      </c>
      <c r="B92" s="35" t="inlineStr">
        <is>
          <t>DEVIATION</t>
        </is>
      </c>
      <c r="C92" s="35" t="inlineStr">
        <is>
          <t>D604750</t>
        </is>
      </c>
      <c r="D92" s="35" t="n"/>
      <c r="E92" s="36" t="inlineStr">
        <is>
          <t>D604750 NGFWBU: Risk Buy: GQR No: GQR000046866; AQR No:AQR002294673; CPN: 20-0150-02; MFR NAME: NEXPERIA USA INC; MPN: MMBT3904.To execute the above AQR at CM Site.</t>
        </is>
      </c>
      <c r="F92" s="35" t="inlineStr">
        <is>
          <t>Pending</t>
        </is>
      </c>
      <c r="G92" s="35" t="inlineStr">
        <is>
          <t>Expired</t>
        </is>
      </c>
      <c r="H92" s="35" t="inlineStr">
        <is>
          <t>Pending Review</t>
        </is>
      </c>
      <c r="I92" s="35" t="inlineStr">
        <is>
          <t>STBU</t>
        </is>
      </c>
      <c r="J92" s="35" t="inlineStr">
        <is>
          <t>CTANJZ04710</t>
        </is>
      </c>
      <c r="K92" s="37" t="n"/>
      <c r="L92" s="37" t="n"/>
      <c r="M92" s="37" t="n">
        <v>45930</v>
      </c>
      <c r="N92" s="35" t="n"/>
      <c r="O92" s="35" t="n"/>
      <c r="P92" s="35" t="n"/>
      <c r="Q92" s="35" t="n"/>
      <c r="R92" s="35" t="n"/>
      <c r="S92" s="35" t="n"/>
      <c r="T92" s="35" t="inlineStr">
        <is>
          <t>Y</t>
        </is>
      </c>
      <c r="U92" s="36" t="inlineStr">
        <is>
          <t xml:space="preserve">FUENTE: Deviation.csv, filas CSV 1438-1439; Workflow=Expired; Date Released=2025-07-18; Date Originated=2025-07-03; Site=FJZP, Plant=MCGA (sin convertir automaticamente a FJZ); 2 filas PN; APROBACION Y APLICABILIDAD NO VALIDADAS. </t>
        </is>
      </c>
    </row>
    <row r="93">
      <c r="A93" s="43" t="inlineStr">
        <is>
          <t>DEV-CTANJZ04711</t>
        </is>
      </c>
      <c r="B93" s="43" t="inlineStr">
        <is>
          <t>DEVIATION</t>
        </is>
      </c>
      <c r="C93" s="43" t="inlineStr">
        <is>
          <t>D604652</t>
        </is>
      </c>
      <c r="D93" s="43" t="n"/>
      <c r="E93" s="33" t="inlineStr">
        <is>
          <t>D604652 NGFWBU: Risk Buy: GQR No: GQR000056634; AQR No:AQR002431749; CPN: 25-1289-01; MFR NAME: STANLEY ELECTRIC; MPN: FYYPY1211C-10-TRTo execute the above AQR at CM Site.</t>
        </is>
      </c>
      <c r="F93" s="43" t="inlineStr">
        <is>
          <t>Pending</t>
        </is>
      </c>
      <c r="G93" s="43" t="inlineStr">
        <is>
          <t>Expired</t>
        </is>
      </c>
      <c r="H93" s="43" t="inlineStr">
        <is>
          <t>Pending Review</t>
        </is>
      </c>
      <c r="I93" s="43" t="inlineStr">
        <is>
          <t>STBU</t>
        </is>
      </c>
      <c r="J93" s="43" t="inlineStr">
        <is>
          <t>CTANJZ04711</t>
        </is>
      </c>
      <c r="K93" s="32" t="n"/>
      <c r="L93" s="32" t="n"/>
      <c r="M93" s="32" t="n">
        <v>45930</v>
      </c>
      <c r="N93" s="43" t="n"/>
      <c r="O93" s="43" t="n"/>
      <c r="P93" s="43" t="n"/>
      <c r="Q93" s="43" t="n"/>
      <c r="R93" s="43" t="n"/>
      <c r="S93" s="43" t="n"/>
      <c r="T93" s="43" t="inlineStr">
        <is>
          <t>Y</t>
        </is>
      </c>
      <c r="U93" s="33" t="inlineStr">
        <is>
          <t xml:space="preserve">FUENTE: Deviation.csv, filas CSV 1434-1437; Workflow=Expired; Date Released=2025-07-18; Date Originated=2025-07-03; Site=FJZP, Plant=MCGA (sin convertir automaticamente a FJZ); 2 filas PN; APROBACION Y APLICABILIDAD NO VALIDADAS. </t>
        </is>
      </c>
    </row>
    <row r="94">
      <c r="A94" s="35" t="inlineStr">
        <is>
          <t>DEV-CTANJZ04721</t>
        </is>
      </c>
      <c r="B94" s="35" t="inlineStr">
        <is>
          <t>DEVIATION</t>
        </is>
      </c>
      <c r="C94" s="35" t="inlineStr">
        <is>
          <t>D605020</t>
        </is>
      </c>
      <c r="D94" s="35" t="n"/>
      <c r="E94" s="36"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F94" s="35" t="inlineStr">
        <is>
          <t>Pending</t>
        </is>
      </c>
      <c r="G94" s="35" t="inlineStr">
        <is>
          <t>Expired</t>
        </is>
      </c>
      <c r="H94" s="35" t="inlineStr">
        <is>
          <t>Pending Review</t>
        </is>
      </c>
      <c r="I94" s="35" t="inlineStr">
        <is>
          <t>STBU</t>
        </is>
      </c>
      <c r="J94" s="35" t="inlineStr">
        <is>
          <t>CTANJZ04721</t>
        </is>
      </c>
      <c r="K94" s="37" t="n"/>
      <c r="L94" s="37" t="n"/>
      <c r="M94" s="37" t="n">
        <v>46027</v>
      </c>
      <c r="N94" s="35" t="n"/>
      <c r="O94" s="35" t="n"/>
      <c r="P94" s="35" t="n"/>
      <c r="Q94" s="35" t="n"/>
      <c r="R94" s="35" t="n"/>
      <c r="S94" s="35" t="n"/>
      <c r="T94" s="35" t="inlineStr">
        <is>
          <t>Y</t>
        </is>
      </c>
      <c r="U94" s="36" t="inlineStr">
        <is>
          <t xml:space="preserve">FUENTE: Deviation.csv, filas CSV 45-51; Workflow=Expired; Date Released=2025-07-24; Date Originated=2025-07-10; Site=FJZP, Plant=MCGA (sin convertir automaticamente a FJZ); 7 filas PN; APROBACION Y APLICABILIDAD NO VALIDADAS. </t>
        </is>
      </c>
    </row>
    <row r="95">
      <c r="A95" s="43" t="inlineStr">
        <is>
          <t>DEV-CTANJZ04726</t>
        </is>
      </c>
      <c r="B95" s="43" t="inlineStr">
        <is>
          <t>DEVIATION</t>
        </is>
      </c>
      <c r="C95" s="43" t="inlineStr">
        <is>
          <t>D604890</t>
        </is>
      </c>
      <c r="D95" s="43" t="n"/>
      <c r="E95" s="33" t="inlineStr">
        <is>
          <t>D604890Allow FJZ the usage of the -06 parts either thru risk buy or site balance for the number 700-107696-06.The EA612121 changed version -05 to -06 without notice to NGFWBU and the TANs were not  included on it.</t>
        </is>
      </c>
      <c r="F95" s="43" t="inlineStr">
        <is>
          <t>Pending</t>
        </is>
      </c>
      <c r="G95" s="43" t="inlineStr">
        <is>
          <t>Expired</t>
        </is>
      </c>
      <c r="H95" s="43" t="inlineStr">
        <is>
          <t>Pending Review</t>
        </is>
      </c>
      <c r="I95" s="43" t="inlineStr">
        <is>
          <t>STBU</t>
        </is>
      </c>
      <c r="J95" s="43" t="inlineStr">
        <is>
          <t>CTANJZ04726</t>
        </is>
      </c>
      <c r="K95" s="32" t="n"/>
      <c r="L95" s="32" t="n"/>
      <c r="M95" s="32" t="n">
        <v>45939</v>
      </c>
      <c r="N95" s="43" t="n"/>
      <c r="O95" s="43" t="n"/>
      <c r="P95" s="43" t="n"/>
      <c r="Q95" s="43" t="n"/>
      <c r="R95" s="43" t="n"/>
      <c r="S95" s="43" t="n"/>
      <c r="T95" s="43" t="inlineStr">
        <is>
          <t>Y</t>
        </is>
      </c>
      <c r="U95" s="33" t="inlineStr">
        <is>
          <t xml:space="preserve">FUENTE: Deviation.csv, filas CSV 1724-1732; Workflow=Expired; Date Released=2025-07-26; Date Originated=2025-07-14; Site=FJZP, Plant=MCGA (sin convertir automaticamente a FJZ); 9 filas PN; APROBACION Y APLICABILIDAD NO VALIDADAS. </t>
        </is>
      </c>
    </row>
    <row r="96">
      <c r="A96" s="35" t="inlineStr">
        <is>
          <t>DEV-CTANJZ04731</t>
        </is>
      </c>
      <c r="B96" s="35" t="inlineStr">
        <is>
          <t>DEVIATION</t>
        </is>
      </c>
      <c r="C96" s="35" t="inlineStr">
        <is>
          <t>DP525122</t>
        </is>
      </c>
      <c r="D96" s="35" t="n"/>
      <c r="E96" s="36" t="inlineStr">
        <is>
          <t>DP525122 This deviation allows FJZ to bulid 68-104855-01-07 with audio board 73-103758-02-10 without 22-100431-01.</t>
        </is>
      </c>
      <c r="F96" s="35" t="inlineStr">
        <is>
          <t>Pending</t>
        </is>
      </c>
      <c r="G96" s="35" t="inlineStr">
        <is>
          <t>Expired</t>
        </is>
      </c>
      <c r="H96" s="35" t="inlineStr">
        <is>
          <t>Pending Review</t>
        </is>
      </c>
      <c r="I96" s="35" t="inlineStr">
        <is>
          <t>CVEBU</t>
        </is>
      </c>
      <c r="J96" s="35" t="inlineStr">
        <is>
          <t>CTANJZ04731</t>
        </is>
      </c>
      <c r="K96" s="37" t="n"/>
      <c r="L96" s="37" t="n"/>
      <c r="M96" s="37" t="n">
        <v>45913</v>
      </c>
      <c r="N96" s="35" t="n"/>
      <c r="O96" s="35" t="n"/>
      <c r="P96" s="35" t="n"/>
      <c r="Q96" s="35" t="n"/>
      <c r="R96" s="35" t="n"/>
      <c r="S96" s="35" t="n"/>
      <c r="T96" s="35" t="inlineStr">
        <is>
          <t>Y</t>
        </is>
      </c>
      <c r="U96" s="36" t="inlineStr">
        <is>
          <t xml:space="preserve">FUENTE: Deviation.csv, filas CSV 494-494; Workflow=Expired; Date Released=2025-07-24; Date Originated=2025-07-16; Site=FJZP, Plant=MCGA (sin convertir automaticamente a FJZ); 1 filas PN; APROBACION Y APLICABILIDAD NO VALIDADAS. </t>
        </is>
      </c>
    </row>
    <row r="97">
      <c r="A97" s="43" t="inlineStr">
        <is>
          <t>DEV-CTANJZ04732</t>
        </is>
      </c>
      <c r="B97" s="43" t="inlineStr">
        <is>
          <t>DEVIATION</t>
        </is>
      </c>
      <c r="C97" s="43" t="inlineStr">
        <is>
          <t>D604140</t>
        </is>
      </c>
      <c r="D97" s="43" t="n"/>
      <c r="E97" s="33" t="inlineStr">
        <is>
          <t>D604140 Allow FJZ to use the box 55-2999-01 to ship the spare PID CSF1200-BRKT=. ECO is ongoing to include the packaging in the BOM</t>
        </is>
      </c>
      <c r="F97" s="43" t="inlineStr">
        <is>
          <t>Pending</t>
        </is>
      </c>
      <c r="G97" s="43" t="inlineStr">
        <is>
          <t>Expired</t>
        </is>
      </c>
      <c r="H97" s="43" t="inlineStr">
        <is>
          <t>Pending Review</t>
        </is>
      </c>
      <c r="I97" s="43" t="inlineStr">
        <is>
          <t>STBU</t>
        </is>
      </c>
      <c r="J97" s="43" t="inlineStr">
        <is>
          <t>CTANJZ04732</t>
        </is>
      </c>
      <c r="K97" s="32" t="n"/>
      <c r="L97" s="32" t="n"/>
      <c r="M97" s="32" t="n">
        <v>45944</v>
      </c>
      <c r="N97" s="43" t="n"/>
      <c r="O97" s="43" t="n"/>
      <c r="P97" s="43" t="n"/>
      <c r="Q97" s="43" t="n"/>
      <c r="R97" s="43" t="n"/>
      <c r="S97" s="43" t="n"/>
      <c r="T97" s="43" t="inlineStr">
        <is>
          <t>Y</t>
        </is>
      </c>
      <c r="U97" s="33" t="inlineStr">
        <is>
          <t xml:space="preserve">FUENTE: Deviation.csv, filas CSV 800-800; Workflow=Expired; Date Released=2025-07-28; Date Originated=2025-07-17; Site=FJZP, Plant=MCGA (sin convertir automaticamente a FJZ); 1 filas PN; APROBACION Y APLICABILIDAD NO VALIDADAS. </t>
        </is>
      </c>
    </row>
    <row r="98">
      <c r="A98" s="35" t="inlineStr">
        <is>
          <t>DEV-CTANJZ04733</t>
        </is>
      </c>
      <c r="B98" s="35" t="inlineStr">
        <is>
          <t>DEVIATION</t>
        </is>
      </c>
      <c r="C98" s="35" t="inlineStr">
        <is>
          <t>DP525134</t>
        </is>
      </c>
      <c r="D98" s="35" t="n"/>
      <c r="E98" s="36" t="inlineStr">
        <is>
          <t>DP525134 FJZ authorized to purchase 15-107726-01 Nanya NT16GA72D8PFX3K-JR which is currently at IPQ status. Please note that HW engineering has completed qualification on both Woodside and Warwick Avenue; and Product Ops will be performing test script support validation in parallel with this risk buy.  Please secure enough inventory to support upcoming Pilot 1; 2 &amp; 3 builds as well as PP build on Model A. (Usage is 4 per Model B/C/D; 2 per Model A)</t>
        </is>
      </c>
      <c r="F98" s="35" t="inlineStr">
        <is>
          <t>Pending</t>
        </is>
      </c>
      <c r="G98" s="35" t="inlineStr">
        <is>
          <t>Expired</t>
        </is>
      </c>
      <c r="H98" s="35" t="inlineStr">
        <is>
          <t>Pending Review</t>
        </is>
      </c>
      <c r="I98" s="35" t="inlineStr">
        <is>
          <t>STBU</t>
        </is>
      </c>
      <c r="J98" s="35" t="inlineStr">
        <is>
          <t>CTANJZ04733</t>
        </is>
      </c>
      <c r="K98" s="37" t="n"/>
      <c r="L98" s="37" t="n"/>
      <c r="M98" s="37" t="n">
        <v>45915</v>
      </c>
      <c r="N98" s="35" t="n"/>
      <c r="O98" s="35" t="n"/>
      <c r="P98" s="35" t="n"/>
      <c r="Q98" s="35" t="n"/>
      <c r="R98" s="35" t="n"/>
      <c r="S98" s="35" t="n"/>
      <c r="T98" s="35" t="inlineStr">
        <is>
          <t>Y</t>
        </is>
      </c>
      <c r="U98" s="36" t="inlineStr">
        <is>
          <t xml:space="preserve">FUENTE: Deviation.csv, filas CSV 382-409; Workflow=Expired; Date Released=2025-07-25; Date Originated=2025-07-18; Site=FJZP, Plant=MCGA (sin convertir automaticamente a FJZ); 4 filas PN; APROBACION Y APLICABILIDAD NO VALIDADAS. </t>
        </is>
      </c>
    </row>
    <row r="99">
      <c r="A99" s="43" t="inlineStr">
        <is>
          <t>DEV-CTANJZ04734</t>
        </is>
      </c>
      <c r="B99" s="43" t="inlineStr">
        <is>
          <t>DEVIATION</t>
        </is>
      </c>
      <c r="C99" s="43" t="inlineStr">
        <is>
          <t>DP525135</t>
        </is>
      </c>
      <c r="D99" s="43" t="n"/>
      <c r="E99" s="33" t="inlineStr">
        <is>
          <t>DP525135 Due to solder bridging seen on 11-101888-04 when using Taiyo Yuden; there are several actions for FJZ on the upcoming Pilot 1; 2 &amp; 3 builds.Please see PageThree for details</t>
        </is>
      </c>
      <c r="F99" s="43" t="inlineStr">
        <is>
          <t>Pending</t>
        </is>
      </c>
      <c r="G99" s="43" t="inlineStr">
        <is>
          <t>Expired</t>
        </is>
      </c>
      <c r="H99" s="43" t="inlineStr">
        <is>
          <t>Pending Review</t>
        </is>
      </c>
      <c r="I99" s="43" t="inlineStr">
        <is>
          <t>STBU</t>
        </is>
      </c>
      <c r="J99" s="43" t="inlineStr">
        <is>
          <t>CTANJZ04734</t>
        </is>
      </c>
      <c r="K99" s="32" t="n"/>
      <c r="L99" s="32" t="n"/>
      <c r="M99" s="32" t="n">
        <v>45915</v>
      </c>
      <c r="N99" s="43" t="n"/>
      <c r="O99" s="43" t="n"/>
      <c r="P99" s="43" t="n"/>
      <c r="Q99" s="43" t="n"/>
      <c r="R99" s="43" t="n"/>
      <c r="S99" s="43" t="n"/>
      <c r="T99" s="43" t="inlineStr">
        <is>
          <t>Y</t>
        </is>
      </c>
      <c r="U99" s="33" t="inlineStr">
        <is>
          <t xml:space="preserve">FUENTE: Deviation.csv, filas CSV 875-875; Workflow=Expired; Date Released=2025-07-25; Date Originated=2025-07-18; Site=FJZP, Plant=MCGA (sin convertir automaticamente a FJZ); 1 filas PN; APROBACION Y APLICABILIDAD NO VALIDADAS. </t>
        </is>
      </c>
    </row>
    <row r="100">
      <c r="A100" s="35" t="inlineStr">
        <is>
          <t>DEV-CTANJZ04739</t>
        </is>
      </c>
      <c r="B100" s="35" t="inlineStr">
        <is>
          <t>DEVIATION</t>
        </is>
      </c>
      <c r="C100" s="35" t="inlineStr">
        <is>
          <t>D605179</t>
        </is>
      </c>
      <c r="D100" s="35" t="n"/>
      <c r="E100" s="36" t="inlineStr">
        <is>
          <t>D605179 Allow FJZ to rework 60 units with missing internal LED gasket and without label guides</t>
        </is>
      </c>
      <c r="F100" s="35" t="inlineStr">
        <is>
          <t>Pending</t>
        </is>
      </c>
      <c r="G100" s="35" t="inlineStr">
        <is>
          <t>Expired</t>
        </is>
      </c>
      <c r="H100" s="35" t="inlineStr">
        <is>
          <t>Pending Review</t>
        </is>
      </c>
      <c r="I100" s="35" t="inlineStr">
        <is>
          <t>STBU</t>
        </is>
      </c>
      <c r="J100" s="35" t="inlineStr">
        <is>
          <t>CTANJZ04739</t>
        </is>
      </c>
      <c r="K100" s="37" t="n"/>
      <c r="L100" s="37" t="n"/>
      <c r="M100" s="37" t="n">
        <v>45946</v>
      </c>
      <c r="N100" s="35" t="n"/>
      <c r="O100" s="35" t="n"/>
      <c r="P100" s="35" t="n"/>
      <c r="Q100" s="35" t="n"/>
      <c r="R100" s="35" t="n"/>
      <c r="S100" s="35" t="n"/>
      <c r="T100" s="35" t="inlineStr">
        <is>
          <t>Y</t>
        </is>
      </c>
      <c r="U100" s="36" t="inlineStr">
        <is>
          <t xml:space="preserve">FUENTE: Deviation.csv, filas CSV 801-801; Workflow=Expired; Date Released=2025-07-30; Date Originated=2025-07-21; Site=FJZP, Plant=MCGA (sin convertir automaticamente a FJZ); 1 filas PN; APROBACION Y APLICABILIDAD NO VALIDADAS. </t>
        </is>
      </c>
    </row>
    <row r="101">
      <c r="A101" s="43" t="inlineStr">
        <is>
          <t>DEV-CTANJZ04741</t>
        </is>
      </c>
      <c r="B101" s="43" t="inlineStr">
        <is>
          <t>DEVIATION</t>
        </is>
      </c>
      <c r="C101" s="43" t="inlineStr">
        <is>
          <t>D605272</t>
        </is>
      </c>
      <c r="D101" s="43" t="n"/>
      <c r="E101" s="33" t="inlineStr">
        <is>
          <t>D605272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F101" s="43" t="inlineStr">
        <is>
          <t>Pending</t>
        </is>
      </c>
      <c r="G101" s="43" t="inlineStr">
        <is>
          <t>Expired</t>
        </is>
      </c>
      <c r="H101" s="43" t="inlineStr">
        <is>
          <t>Pending Review</t>
        </is>
      </c>
      <c r="I101" s="43" t="inlineStr">
        <is>
          <t>STBU</t>
        </is>
      </c>
      <c r="J101" s="43" t="inlineStr">
        <is>
          <t>CTANJZ04741</t>
        </is>
      </c>
      <c r="K101" s="32" t="n"/>
      <c r="L101" s="32" t="n"/>
      <c r="M101" s="32" t="n">
        <v>45950</v>
      </c>
      <c r="N101" s="43" t="n"/>
      <c r="O101" s="43" t="n"/>
      <c r="P101" s="43" t="n"/>
      <c r="Q101" s="43" t="n"/>
      <c r="R101" s="43" t="n"/>
      <c r="S101" s="43" t="n"/>
      <c r="T101" s="43" t="inlineStr">
        <is>
          <t>Y</t>
        </is>
      </c>
      <c r="U101" s="33" t="inlineStr">
        <is>
          <t xml:space="preserve">FUENTE: Deviation.csv, filas CSV 824-852; Workflow=Expired; Date Released=2025-08-05; Date Originated=2025-07-22; Site=FJZP, Plant=MCGA (sin convertir automaticamente a FJZ); 7 filas PN; APROBACION Y APLICABILIDAD NO VALIDADAS. </t>
        </is>
      </c>
    </row>
    <row r="102">
      <c r="A102" s="35" t="inlineStr">
        <is>
          <t>DEV-CTANJZ04742</t>
        </is>
      </c>
      <c r="B102" s="35" t="inlineStr">
        <is>
          <t>DEVIATION</t>
        </is>
      </c>
      <c r="C102" s="35" t="inlineStr">
        <is>
          <t>D605284</t>
        </is>
      </c>
      <c r="D102" s="35" t="n"/>
      <c r="E102" s="36" t="inlineStr">
        <is>
          <t>D605284 Allow FCZ to update the qty per box for CS-PWR-INJ-30W=55-3315-01 qty 1-355-1205-01 qty 4-8</t>
        </is>
      </c>
      <c r="F102" s="35" t="inlineStr">
        <is>
          <t>Pending</t>
        </is>
      </c>
      <c r="G102" s="35" t="inlineStr">
        <is>
          <t>Expired</t>
        </is>
      </c>
      <c r="H102" s="35" t="inlineStr">
        <is>
          <t>Pending Review</t>
        </is>
      </c>
      <c r="I102" s="35" t="inlineStr">
        <is>
          <t>CVEBU</t>
        </is>
      </c>
      <c r="J102" s="35" t="inlineStr">
        <is>
          <t>CTANJZ04742</t>
        </is>
      </c>
      <c r="K102" s="37" t="n"/>
      <c r="L102" s="37" t="n"/>
      <c r="M102" s="37" t="n">
        <v>45950</v>
      </c>
      <c r="N102" s="35" t="n"/>
      <c r="O102" s="35" t="n"/>
      <c r="P102" s="35" t="n"/>
      <c r="Q102" s="35" t="n"/>
      <c r="R102" s="35" t="n"/>
      <c r="S102" s="35" t="n"/>
      <c r="T102" s="35" t="inlineStr">
        <is>
          <t>Y</t>
        </is>
      </c>
      <c r="U102" s="36" t="inlineStr">
        <is>
          <t xml:space="preserve">FUENTE: Deviation.csv, filas CSV 1743-1744; Workflow=Expired; Date Released=2025-07-29; Date Originated=2025-07-22; Site=FJZP, Plant=MCGA (sin convertir automaticamente a FJZ); 2 filas PN; APROBACION Y APLICABILIDAD NO VALIDADAS. </t>
        </is>
      </c>
    </row>
    <row r="103">
      <c r="A103" s="43" t="inlineStr">
        <is>
          <t>DEV-CTANJZ04744</t>
        </is>
      </c>
      <c r="B103" s="43" t="inlineStr">
        <is>
          <t>DEVIATION</t>
        </is>
      </c>
      <c r="C103" s="43" t="inlineStr">
        <is>
          <t>D605288</t>
        </is>
      </c>
      <c r="D103" s="43" t="n"/>
      <c r="E103" s="33" t="inlineStr">
        <is>
          <t>D605288 To authorize a Risk Buy of MFGR/MPN SAMSUNG SEMICONDUCTORS K4A8G085WG-BIWE which is currently listed in IPQ status under CPN 15-105197-01.</t>
        </is>
      </c>
      <c r="F103" s="43" t="inlineStr">
        <is>
          <t>Pending</t>
        </is>
      </c>
      <c r="G103" s="43" t="inlineStr">
        <is>
          <t>Expired</t>
        </is>
      </c>
      <c r="H103" s="43" t="inlineStr">
        <is>
          <t>Pending Review</t>
        </is>
      </c>
      <c r="I103" s="43" t="inlineStr">
        <is>
          <t>IOTBU</t>
        </is>
      </c>
      <c r="J103" s="43" t="inlineStr">
        <is>
          <t>CTANJZ04744</t>
        </is>
      </c>
      <c r="K103" s="32" t="n"/>
      <c r="L103" s="32" t="n"/>
      <c r="M103" s="32" t="n">
        <v>45951</v>
      </c>
      <c r="N103" s="43" t="n"/>
      <c r="O103" s="43" t="n"/>
      <c r="P103" s="43" t="n"/>
      <c r="Q103" s="43" t="n"/>
      <c r="R103" s="43" t="n"/>
      <c r="S103" s="43" t="n"/>
      <c r="T103" s="43" t="inlineStr">
        <is>
          <t>Y</t>
        </is>
      </c>
      <c r="U103" s="33" t="inlineStr">
        <is>
          <t xml:space="preserve">FUENTE: Deviation.csv, filas CSV 1471-1581; Workflow=Expired; Date Released=2025-07-30; Date Originated=2025-07-23; Site=FJZP, Plant=MCGA (sin convertir automaticamente a FJZ); 4 filas PN; APROBACION Y APLICABILIDAD NO VALIDADAS. </t>
        </is>
      </c>
    </row>
    <row r="104">
      <c r="A104" s="35" t="inlineStr">
        <is>
          <t>DEV-CTANJZ04745</t>
        </is>
      </c>
      <c r="B104" s="35" t="inlineStr">
        <is>
          <t>DEVIATION</t>
        </is>
      </c>
      <c r="C104" s="35" t="inlineStr">
        <is>
          <t>D605275</t>
        </is>
      </c>
      <c r="D104" s="35" t="n"/>
      <c r="E104" s="36" t="inlineStr">
        <is>
          <t>D605275 Allow FJZ to use the MPN= MTA18ASF2G72PDZ-3G2R1   from Micron of the  15-108743-01; instead of 15-107070-01; in the PIDs:MEM-C8200-16GBMEM-C8200-16GB=MEM-C8500-32GBMEM-C8500-32GB=MEM-C8500L-16GBMEM-C8500L-16GB=</t>
        </is>
      </c>
      <c r="F104" s="35" t="inlineStr">
        <is>
          <t>Pending</t>
        </is>
      </c>
      <c r="G104" s="35" t="inlineStr">
        <is>
          <t>Expired</t>
        </is>
      </c>
      <c r="H104" s="35" t="inlineStr">
        <is>
          <t>Pending Review</t>
        </is>
      </c>
      <c r="I104" s="35" t="inlineStr">
        <is>
          <t>SRGBU</t>
        </is>
      </c>
      <c r="J104" s="35" t="inlineStr">
        <is>
          <t>CTANJZ04745</t>
        </is>
      </c>
      <c r="K104" s="37" t="n"/>
      <c r="L104" s="37" t="n"/>
      <c r="M104" s="37" t="n">
        <v>45950</v>
      </c>
      <c r="N104" s="35" t="n"/>
      <c r="O104" s="35" t="n"/>
      <c r="P104" s="35" t="n"/>
      <c r="Q104" s="35" t="n"/>
      <c r="R104" s="35" t="n"/>
      <c r="S104" s="35" t="n"/>
      <c r="T104" s="35" t="inlineStr">
        <is>
          <t>Y</t>
        </is>
      </c>
      <c r="U104" s="36" t="inlineStr">
        <is>
          <t xml:space="preserve">FUENTE: Deviation.csv, filas CSV 823-823; Workflow=Expired; Date Released=2025-07-28; Date Originated=2025-07-23; Site=FJZP, Plant=MCGA (sin convertir automaticamente a FJZ); 1 filas PN; APROBACION Y APLICABILIDAD NO VALIDADAS. </t>
        </is>
      </c>
    </row>
    <row r="105">
      <c r="A105" s="43" t="inlineStr">
        <is>
          <t>DEV-CTANJZ04747</t>
        </is>
      </c>
      <c r="B105" s="43" t="inlineStr">
        <is>
          <t>DEVIATION</t>
        </is>
      </c>
      <c r="C105" s="43" t="inlineStr">
        <is>
          <t>D605207</t>
        </is>
      </c>
      <c r="D105" s="43" t="n"/>
      <c r="E105" s="33" t="inlineStr">
        <is>
          <t>D605207CPN 16-100775-01; Micron MPN MTFDDAK480TGB-1BC16ABYY; must be resized during test from the native capacity of 480GB to the required capacity of 400 GB.CPN 16-100809-01; Micron MPN MTFDDAK240TGA-1BC16ABYY; must be resized during test from the native capacity of 240GB to the required capacity of 100 GB.Please see Page Three for details</t>
        </is>
      </c>
      <c r="F105" s="43" t="inlineStr">
        <is>
          <t>Pending</t>
        </is>
      </c>
      <c r="G105" s="43" t="inlineStr">
        <is>
          <t>Expired</t>
        </is>
      </c>
      <c r="H105" s="43" t="inlineStr">
        <is>
          <t>Pending Review</t>
        </is>
      </c>
      <c r="I105" s="43" t="inlineStr">
        <is>
          <t>SRGBU</t>
        </is>
      </c>
      <c r="J105" s="43" t="inlineStr">
        <is>
          <t>CTANJZ04747</t>
        </is>
      </c>
      <c r="K105" s="32" t="n"/>
      <c r="L105" s="32" t="n"/>
      <c r="M105" s="32" t="n">
        <v>45953</v>
      </c>
      <c r="N105" s="43" t="n"/>
      <c r="O105" s="43" t="n"/>
      <c r="P105" s="43" t="n"/>
      <c r="Q105" s="43" t="n"/>
      <c r="R105" s="43" t="n"/>
      <c r="S105" s="43" t="n"/>
      <c r="T105" s="43" t="inlineStr">
        <is>
          <t>Y</t>
        </is>
      </c>
      <c r="U105" s="33" t="inlineStr">
        <is>
          <t xml:space="preserve">FUENTE: Deviation.csv, filas CSV 395-396; Workflow=Expired; Date Released=2025-08-05; Date Originated=2025-07-25; Site=FJZP, Plant=MCGA (sin convertir automaticamente a FJZ); 2 filas PN; APROBACION Y APLICABILIDAD NO VALIDADAS. </t>
        </is>
      </c>
    </row>
    <row r="106">
      <c r="A106" s="35" t="inlineStr">
        <is>
          <t>DEV-CTANJZ04749</t>
        </is>
      </c>
      <c r="B106" s="35" t="inlineStr">
        <is>
          <t>DEVIATION</t>
        </is>
      </c>
      <c r="C106" s="35" t="inlineStr">
        <is>
          <t>D603796</t>
        </is>
      </c>
      <c r="D106" s="35" t="n"/>
      <c r="E106" s="36" t="inlineStr">
        <is>
          <t>D603796 Allow FJZ to upgrade the Firmware of the 16-102058-01  ( 800-50421-02) to FW 450 or newer</t>
        </is>
      </c>
      <c r="F106" s="35" t="inlineStr">
        <is>
          <t>Pending</t>
        </is>
      </c>
      <c r="G106" s="35" t="inlineStr">
        <is>
          <t>Expired</t>
        </is>
      </c>
      <c r="H106" s="35" t="inlineStr">
        <is>
          <t>Pending Review</t>
        </is>
      </c>
      <c r="I106" s="35" t="inlineStr">
        <is>
          <t>SRGBU</t>
        </is>
      </c>
      <c r="J106" s="35" t="inlineStr">
        <is>
          <t>CTANJZ04749</t>
        </is>
      </c>
      <c r="K106" s="37" t="n"/>
      <c r="L106" s="37" t="n"/>
      <c r="M106" s="37" t="n">
        <v>45956</v>
      </c>
      <c r="N106" s="35" t="n"/>
      <c r="O106" s="35" t="n"/>
      <c r="P106" s="35" t="n"/>
      <c r="Q106" s="35" t="n"/>
      <c r="R106" s="35" t="n"/>
      <c r="S106" s="35" t="n"/>
      <c r="T106" s="35" t="inlineStr">
        <is>
          <t>Y</t>
        </is>
      </c>
      <c r="U106" s="36" t="inlineStr">
        <is>
          <t xml:space="preserve">FUENTE: Deviation.csv, filas CSV 890-891; Workflow=Expired; Date Released=2025-08-05; Date Originated=2025-07-28; Site=FJZP, Plant=MCGA (sin convertir automaticamente a FJZ); 2 filas PN; APROBACION Y APLICABILIDAD NO VALIDADAS. </t>
        </is>
      </c>
    </row>
    <row r="107">
      <c r="A107" s="43" t="inlineStr">
        <is>
          <t>DEV-CTANJZ04754</t>
        </is>
      </c>
      <c r="B107" s="43" t="inlineStr">
        <is>
          <t>DEVIATION</t>
        </is>
      </c>
      <c r="C107" s="43" t="inlineStr">
        <is>
          <t>D605279</t>
        </is>
      </c>
      <c r="D107" s="43" t="n"/>
      <c r="E107" s="33" t="inlineStr">
        <is>
          <t>D605279 Allow FJZ to reidentify the carrier 800-110793-01 rev 03 for 800-110793-01 rev A0</t>
        </is>
      </c>
      <c r="F107" s="43" t="inlineStr">
        <is>
          <t>Pending</t>
        </is>
      </c>
      <c r="G107" s="43" t="inlineStr">
        <is>
          <t>Expired</t>
        </is>
      </c>
      <c r="H107" s="43" t="inlineStr">
        <is>
          <t>Pending Review</t>
        </is>
      </c>
      <c r="I107" s="43" t="inlineStr">
        <is>
          <t>STBU</t>
        </is>
      </c>
      <c r="J107" s="43" t="inlineStr">
        <is>
          <t>CTANJZ04754</t>
        </is>
      </c>
      <c r="K107" s="32" t="n"/>
      <c r="L107" s="32" t="n"/>
      <c r="M107" s="32" t="n">
        <v>45957</v>
      </c>
      <c r="N107" s="43" t="n"/>
      <c r="O107" s="43" t="n"/>
      <c r="P107" s="43" t="n"/>
      <c r="Q107" s="43" t="n"/>
      <c r="R107" s="43" t="n"/>
      <c r="S107" s="43" t="n"/>
      <c r="T107" s="43" t="inlineStr">
        <is>
          <t>Y</t>
        </is>
      </c>
      <c r="U107" s="33" t="inlineStr">
        <is>
          <t xml:space="preserve">FUENTE: Deviation.csv, filas CSV 892-892; Workflow=Expired; Date Released=2025-08-14; Date Originated=2025-07-29; Site=FJZP, Plant=MCGA (sin convertir automaticamente a FJZ); 1 filas PN; APROBACION Y APLICABILIDAD NO VALIDADAS. </t>
        </is>
      </c>
    </row>
    <row r="108">
      <c r="A108" s="35" t="inlineStr">
        <is>
          <t>DEV-CTANJZ04758</t>
        </is>
      </c>
      <c r="B108" s="35" t="inlineStr">
        <is>
          <t>DEVIATION</t>
        </is>
      </c>
      <c r="C108" s="35" t="inlineStr">
        <is>
          <t>D605395</t>
        </is>
      </c>
      <c r="D108" s="35" t="n"/>
      <c r="E108" s="36" t="inlineStr">
        <is>
          <t>D605395 To authorize the use of SAMSUNG SEMICONDUCTORS K4A8G085WG-BIWE which was risk purchased under deviation no- D605288 currently listed in IPQ status under CPN 15-105197-01.</t>
        </is>
      </c>
      <c r="F108" s="35" t="inlineStr">
        <is>
          <t>Pending</t>
        </is>
      </c>
      <c r="G108" s="35" t="inlineStr">
        <is>
          <t>Expired</t>
        </is>
      </c>
      <c r="H108" s="35" t="inlineStr">
        <is>
          <t>Pending Review</t>
        </is>
      </c>
      <c r="I108" s="35" t="inlineStr">
        <is>
          <t>IOTBU</t>
        </is>
      </c>
      <c r="J108" s="35" t="inlineStr">
        <is>
          <t>CTANJZ04758</t>
        </is>
      </c>
      <c r="K108" s="37" t="n"/>
      <c r="L108" s="37" t="n"/>
      <c r="M108" s="37" t="n">
        <v>45959</v>
      </c>
      <c r="N108" s="35" t="n"/>
      <c r="O108" s="35" t="n"/>
      <c r="P108" s="35" t="n"/>
      <c r="Q108" s="35" t="n"/>
      <c r="R108" s="35" t="n"/>
      <c r="S108" s="35" t="n"/>
      <c r="T108" s="35" t="inlineStr">
        <is>
          <t>Y</t>
        </is>
      </c>
      <c r="U108" s="36" t="inlineStr">
        <is>
          <t xml:space="preserve">FUENTE: Deviation.csv, filas CSV 893-917; Workflow=Expired; Date Released=2025-08-06; Date Originated=2025-07-31; Site=FJZP, Plant=MCGA (sin convertir automaticamente a FJZ); 10 filas PN; APROBACION Y APLICABILIDAD NO VALIDADAS. </t>
        </is>
      </c>
    </row>
    <row r="109">
      <c r="A109" s="43" t="inlineStr">
        <is>
          <t>DEV-CTANJZ04759</t>
        </is>
      </c>
      <c r="B109" s="43" t="inlineStr">
        <is>
          <t>DEVIATION</t>
        </is>
      </c>
      <c r="C109" s="43" t="inlineStr">
        <is>
          <t>DP525171</t>
        </is>
      </c>
      <c r="D109" s="43" t="n"/>
      <c r="E109" s="33" t="inlineStr">
        <is>
          <t>DP525171FJZ has 13 damaged heatsinks with suspected shipping damage.  (CPN 700-138284-01; Mfg'r = AVC) In parallel with pursuing root cause &amp; corrective action with AVC; FJZ is directed to use 9 of these 13 to complete Pre-Pilot build on Model C &amp; D. (4 SKU C &amp; 5 SKU D). Units should be marked with Deviation number on top of pull-out tab at front of chassis &amp; serial numbers tracked/shared in DBN.Summary? 9 units to be built with the heat sinks that are validated by Cisco on-site support? 7 units to be tested and shipped.? 2 units to remain at FJZ (1 SKU-C and 1 SKU-D) and be used to validate the new fixture &amp; tools improvements.? FJZ to track/share serial numbers once available.</t>
        </is>
      </c>
      <c r="F109" s="43" t="inlineStr">
        <is>
          <t>Pending</t>
        </is>
      </c>
      <c r="G109" s="43" t="inlineStr">
        <is>
          <t>Expired</t>
        </is>
      </c>
      <c r="H109" s="43" t="inlineStr">
        <is>
          <t>Pending Review</t>
        </is>
      </c>
      <c r="I109" s="43" t="inlineStr">
        <is>
          <t>STBU</t>
        </is>
      </c>
      <c r="J109" s="43" t="inlineStr">
        <is>
          <t>CTANJZ04759</t>
        </is>
      </c>
      <c r="K109" s="32" t="n"/>
      <c r="L109" s="32" t="n"/>
      <c r="M109" s="32" t="n">
        <v>45928</v>
      </c>
      <c r="N109" s="43" t="n"/>
      <c r="O109" s="43" t="n"/>
      <c r="P109" s="43" t="n"/>
      <c r="Q109" s="43" t="n"/>
      <c r="R109" s="43" t="n"/>
      <c r="S109" s="43" t="n"/>
      <c r="T109" s="43" t="inlineStr">
        <is>
          <t>Y</t>
        </is>
      </c>
      <c r="U109" s="33" t="inlineStr">
        <is>
          <t xml:space="preserve">FUENTE: Deviation.csv, filas CSV 475-476; Workflow=Expired; Date Released=2025-08-06; Date Originated=2025-07-31; Site=FJZP, Plant=MCGA (sin convertir automaticamente a FJZ); 2 filas PN; APROBACION Y APLICABILIDAD NO VALIDADAS. </t>
        </is>
      </c>
    </row>
    <row r="110">
      <c r="A110" s="35" t="inlineStr">
        <is>
          <t>DEV-CTANJZ04760</t>
        </is>
      </c>
      <c r="B110" s="35" t="inlineStr">
        <is>
          <t>DEVIATION</t>
        </is>
      </c>
      <c r="C110" s="35" t="inlineStr">
        <is>
          <t>D605494</t>
        </is>
      </c>
      <c r="D110" s="35" t="n"/>
      <c r="E110" s="36" t="inlineStr">
        <is>
          <t>D605494 Please see PageThree for details</t>
        </is>
      </c>
      <c r="F110" s="35" t="inlineStr">
        <is>
          <t>Pending</t>
        </is>
      </c>
      <c r="G110" s="35" t="inlineStr">
        <is>
          <t>Expired</t>
        </is>
      </c>
      <c r="H110" s="35" t="inlineStr">
        <is>
          <t>Pending Review</t>
        </is>
      </c>
      <c r="I110" s="35" t="inlineStr">
        <is>
          <t>STBU</t>
        </is>
      </c>
      <c r="J110" s="35" t="inlineStr">
        <is>
          <t>CTANJZ04760</t>
        </is>
      </c>
      <c r="K110" s="37" t="n"/>
      <c r="L110" s="37" t="n"/>
      <c r="M110" s="37" t="n">
        <v>45960</v>
      </c>
      <c r="N110" s="35" t="n"/>
      <c r="O110" s="35" t="n"/>
      <c r="P110" s="35" t="n"/>
      <c r="Q110" s="35" t="n"/>
      <c r="R110" s="35" t="n"/>
      <c r="S110" s="35" t="n"/>
      <c r="T110" s="35" t="inlineStr">
        <is>
          <t>Y</t>
        </is>
      </c>
      <c r="U110" s="36" t="inlineStr">
        <is>
          <t xml:space="preserve">FUENTE: Deviation.csv, filas CSV 1745-1814; Workflow=Expired; Date Released=2025-08-21; Date Originated=2025-08-01; Site=FJZP, Plant=MCGA (sin convertir automaticamente a FJZ); 12 filas PN; APROBACION Y APLICABILIDAD NO VALIDADAS. </t>
        </is>
      </c>
    </row>
    <row r="111">
      <c r="A111" s="43" t="inlineStr">
        <is>
          <t>DEV-CTANJZ04761</t>
        </is>
      </c>
      <c r="B111" s="43" t="inlineStr">
        <is>
          <t>DEVIATION</t>
        </is>
      </c>
      <c r="C111" s="43" t="inlineStr">
        <is>
          <t>DP525183</t>
        </is>
      </c>
      <c r="D111" s="43" t="n"/>
      <c r="E111" s="33" t="inlineStr">
        <is>
          <t>DP525183NPI; CVEBU; Tyne; Rework Tyne Audio Board with Detector Switches at FJZAffected item68-104855-01; ASY-ELMECH; Tyne Codec; Customized Model; Radio  73-103758-03; PCBA; Tyne Codec; Audio Board22-100431-01; SWT; Horizontal Detector switch...Deviation:- FJZ to rework all Audio Boards assembled into DV1 units (10 pieces) with 6x detector switches with CPN 22-100431-01. This applies to S1-S6.- Detector switches with CPN 22-100431-01 will be shipped from FOL August 4th; hence FJZ needs to plan to rework immediately upon arrival to minimize DV1 assembly delay.- It is ok that detector switches are slided into place manually on the PCBA and soldered through one extra reflow cycle.- This deviation superseedes DP525122Cisco Contact: Christian Kjoelseth</t>
        </is>
      </c>
      <c r="F111" s="43" t="inlineStr">
        <is>
          <t>Pending</t>
        </is>
      </c>
      <c r="G111" s="43" t="inlineStr">
        <is>
          <t>Expired</t>
        </is>
      </c>
      <c r="H111" s="43" t="inlineStr">
        <is>
          <t>Pending Review</t>
        </is>
      </c>
      <c r="I111" s="43" t="inlineStr">
        <is>
          <t>CVEBU</t>
        </is>
      </c>
      <c r="J111" s="43" t="inlineStr">
        <is>
          <t>CTANJZ04761</t>
        </is>
      </c>
      <c r="K111" s="32" t="n"/>
      <c r="L111" s="32" t="n"/>
      <c r="M111" s="32" t="n">
        <v>45930</v>
      </c>
      <c r="N111" s="43" t="n"/>
      <c r="O111" s="43" t="n"/>
      <c r="P111" s="43" t="n"/>
      <c r="Q111" s="43" t="n"/>
      <c r="R111" s="43" t="n"/>
      <c r="S111" s="43" t="n"/>
      <c r="T111" s="43" t="inlineStr">
        <is>
          <t>Y</t>
        </is>
      </c>
      <c r="U111" s="33" t="inlineStr">
        <is>
          <t xml:space="preserve">FUENTE: Deviation.csv, filas CSV 1646-1684; Workflow=Expired; Date Released=2025-08-14; Date Originated=2025-08-02; Site=FJZP, Plant=MCGA (sin convertir automaticamente a FJZ); 3 filas PN; APROBACION Y APLICABILIDAD NO VALIDADAS. </t>
        </is>
      </c>
    </row>
    <row r="112">
      <c r="A112" s="35" t="inlineStr">
        <is>
          <t>DEV-CTANJZ04763</t>
        </is>
      </c>
      <c r="B112" s="35" t="inlineStr">
        <is>
          <t>DEVIATION</t>
        </is>
      </c>
      <c r="C112" s="35" t="inlineStr">
        <is>
          <t>DP525137</t>
        </is>
      </c>
      <c r="D112" s="35" t="n"/>
      <c r="E112" s="36" t="inlineStr">
        <is>
          <t>DP525137 This Prototype deviation will be used for Woodside Park Pre-Pilot build at FJZ Mexico.1. Pleas use new the two pieces of 800-112578-01 and 800-112756-01 to validate the updated PBP design that should make it easier to install and remove the assembled PBP.</t>
        </is>
      </c>
      <c r="F112" s="35" t="inlineStr">
        <is>
          <t>Pending</t>
        </is>
      </c>
      <c r="G112" s="35" t="inlineStr">
        <is>
          <t>Expired</t>
        </is>
      </c>
      <c r="H112" s="35" t="inlineStr">
        <is>
          <t>Pending Review</t>
        </is>
      </c>
      <c r="I112" s="35" t="inlineStr">
        <is>
          <t>STBU</t>
        </is>
      </c>
      <c r="J112" s="35" t="inlineStr">
        <is>
          <t>CTANJZ04763</t>
        </is>
      </c>
      <c r="K112" s="37" t="n"/>
      <c r="L112" s="37" t="n"/>
      <c r="M112" s="37" t="n">
        <v>45932</v>
      </c>
      <c r="N112" s="35" t="n"/>
      <c r="O112" s="35" t="n"/>
      <c r="P112" s="35" t="n"/>
      <c r="Q112" s="35" t="n"/>
      <c r="R112" s="35" t="n"/>
      <c r="S112" s="35" t="n"/>
      <c r="T112" s="35" t="inlineStr">
        <is>
          <t>Y</t>
        </is>
      </c>
      <c r="U112" s="36" t="inlineStr">
        <is>
          <t xml:space="preserve">FUENTE: Deviation.csv, filas CSV 780-787; Workflow=Expired; Date Released=2025-08-14; Date Originated=2025-08-05; Site=FJZP, Plant=MCGA (sin convertir automaticamente a FJZ); 8 filas PN; APROBACION Y APLICABILIDAD NO VALIDADAS. </t>
        </is>
      </c>
    </row>
    <row r="113">
      <c r="A113" s="43" t="inlineStr">
        <is>
          <t>DEV-CTANJZ04764</t>
        </is>
      </c>
      <c r="B113" s="43" t="inlineStr">
        <is>
          <t>DEVIATION</t>
        </is>
      </c>
      <c r="C113" s="43" t="inlineStr">
        <is>
          <t>D605287</t>
        </is>
      </c>
      <c r="D113" s="43" t="n"/>
      <c r="E113" s="33" t="inlineStr">
        <is>
          <t>D605287 SRGBU: This Deviation is created for risk buy of Nanya NT16GA72D8PFX3K-JR (15-107070-01) of 7K pcs</t>
        </is>
      </c>
      <c r="F113" s="43" t="inlineStr">
        <is>
          <t>Pending</t>
        </is>
      </c>
      <c r="G113" s="43" t="inlineStr">
        <is>
          <t>Expired</t>
        </is>
      </c>
      <c r="H113" s="43" t="inlineStr">
        <is>
          <t>Pending Review</t>
        </is>
      </c>
      <c r="I113" s="43" t="inlineStr">
        <is>
          <t>SRGBU</t>
        </is>
      </c>
      <c r="J113" s="43" t="inlineStr">
        <is>
          <t>CTANJZ04764</t>
        </is>
      </c>
      <c r="K113" s="32" t="n"/>
      <c r="L113" s="32" t="n"/>
      <c r="M113" s="32" t="n">
        <v>45964</v>
      </c>
      <c r="N113" s="43" t="n"/>
      <c r="O113" s="43" t="n"/>
      <c r="P113" s="43" t="n"/>
      <c r="Q113" s="43" t="n"/>
      <c r="R113" s="43" t="n"/>
      <c r="S113" s="43" t="n"/>
      <c r="T113" s="43" t="inlineStr">
        <is>
          <t>Y</t>
        </is>
      </c>
      <c r="U113" s="33" t="inlineStr">
        <is>
          <t xml:space="preserve">FUENTE: Deviation.csv, filas CSV 1555-1555; Workflow=Expired; Date Released=2025-08-12; Date Originated=2025-08-05; Site=FJZP, Plant=MCGA (sin convertir automaticamente a FJZ); 1 filas PN; APROBACION Y APLICABILIDAD NO VALIDADAS. </t>
        </is>
      </c>
    </row>
    <row r="114">
      <c r="A114" s="35" t="inlineStr">
        <is>
          <t>DEV-CTANJZ04765</t>
        </is>
      </c>
      <c r="B114" s="35" t="inlineStr">
        <is>
          <t>DEVIATION</t>
        </is>
      </c>
      <c r="C114" s="35" t="inlineStr">
        <is>
          <t>D605484</t>
        </is>
      </c>
      <c r="D114" s="35" t="n"/>
      <c r="E114" s="36" t="inlineStr">
        <is>
          <t>D605484 SRGBU-Nutella production to use new release 17.15.1r Rommon version</t>
        </is>
      </c>
      <c r="F114" s="35" t="inlineStr">
        <is>
          <t>Pending</t>
        </is>
      </c>
      <c r="G114" s="35" t="inlineStr">
        <is>
          <t>Expired</t>
        </is>
      </c>
      <c r="H114" s="35" t="inlineStr">
        <is>
          <t>Pending Review</t>
        </is>
      </c>
      <c r="I114" s="35" t="inlineStr">
        <is>
          <t>SRGBU</t>
        </is>
      </c>
      <c r="J114" s="35" t="inlineStr">
        <is>
          <t>CTANJZ04765</t>
        </is>
      </c>
      <c r="K114" s="37" t="n"/>
      <c r="L114" s="37" t="n"/>
      <c r="M114" s="37" t="n">
        <v>45964</v>
      </c>
      <c r="N114" s="35" t="n"/>
      <c r="O114" s="35" t="n"/>
      <c r="P114" s="35" t="n"/>
      <c r="Q114" s="35" t="n"/>
      <c r="R114" s="35" t="n"/>
      <c r="S114" s="35" t="n"/>
      <c r="T114" s="35" t="inlineStr">
        <is>
          <t>Y</t>
        </is>
      </c>
      <c r="U114" s="36" t="inlineStr">
        <is>
          <t xml:space="preserve">FUENTE: Deviation.csv, filas CSV 1815-1822; Workflow=Expired; Date Released=2025-08-12; Date Originated=2025-08-05; Site=FJZP, Plant=MCGA (sin convertir automaticamente a FJZ); 8 filas PN; APROBACION Y APLICABILIDAD NO VALIDADAS. </t>
        </is>
      </c>
    </row>
    <row r="115">
      <c r="A115" s="43" t="inlineStr">
        <is>
          <t>DEV-CTANJZ04766</t>
        </is>
      </c>
      <c r="B115" s="43" t="inlineStr">
        <is>
          <t>DEVIATION</t>
        </is>
      </c>
      <c r="C115" s="43" t="inlineStr">
        <is>
          <t>DP525199</t>
        </is>
      </c>
      <c r="D115" s="43" t="n"/>
      <c r="E115" s="33" t="inlineStr">
        <is>
          <t>DP525199 IoTBU: Allow FJZ to purchase MPN UHE2A221MHD6 which is in Qual Status as End of Production for the build of Test Pallets for Hellcat.</t>
        </is>
      </c>
      <c r="F115" s="43" t="inlineStr">
        <is>
          <t>Pending</t>
        </is>
      </c>
      <c r="G115" s="43" t="inlineStr">
        <is>
          <t>Expired</t>
        </is>
      </c>
      <c r="H115" s="43" t="inlineStr">
        <is>
          <t>Pending Review</t>
        </is>
      </c>
      <c r="I115" s="43" t="inlineStr">
        <is>
          <t>IOTBU</t>
        </is>
      </c>
      <c r="J115" s="43" t="inlineStr">
        <is>
          <t>CTANJZ04766</t>
        </is>
      </c>
      <c r="K115" s="32" t="n"/>
      <c r="L115" s="32" t="n"/>
      <c r="M115" s="32" t="n">
        <v>45934</v>
      </c>
      <c r="N115" s="43" t="n"/>
      <c r="O115" s="43" t="n"/>
      <c r="P115" s="43" t="n"/>
      <c r="Q115" s="43" t="n"/>
      <c r="R115" s="43" t="n"/>
      <c r="S115" s="43" t="n"/>
      <c r="T115" s="43" t="inlineStr">
        <is>
          <t>Y</t>
        </is>
      </c>
      <c r="U115" s="33" t="inlineStr">
        <is>
          <t xml:space="preserve">FUENTE: Deviation.csv, filas CSV 432-432; Workflow=Expired; Date Released=2025-08-14; Date Originated=2025-08-06; Site=FJZP, Plant=MCGA (sin convertir automaticamente a FJZ); 1 filas PN; APROBACION Y APLICABILIDAD NO VALIDADAS. </t>
        </is>
      </c>
    </row>
    <row r="116">
      <c r="A116" s="35" t="inlineStr">
        <is>
          <t>DEV-CTANJZ04767</t>
        </is>
      </c>
      <c r="B116" s="35" t="inlineStr">
        <is>
          <t>DEVIATION</t>
        </is>
      </c>
      <c r="C116" s="35" t="inlineStr">
        <is>
          <t>D605590</t>
        </is>
      </c>
      <c r="D116" s="35" t="n"/>
      <c r="E116" s="36" t="inlineStr">
        <is>
          <t>D605590 CVEBU: Helios: Cancel the taping of the packaging box at AVer. AVer is instructed to ship the Helios camera units to DFs without taping the box.  This Deviation is extension of the Deviation# D603822</t>
        </is>
      </c>
      <c r="F116" s="35" t="inlineStr">
        <is>
          <t>Pending</t>
        </is>
      </c>
      <c r="G116" s="35" t="inlineStr">
        <is>
          <t>Expired</t>
        </is>
      </c>
      <c r="H116" s="35" t="inlineStr">
        <is>
          <t>Pending Review</t>
        </is>
      </c>
      <c r="I116" s="35" t="inlineStr">
        <is>
          <t>CVEBU</t>
        </is>
      </c>
      <c r="J116" s="35" t="inlineStr">
        <is>
          <t>CTANJZ04767</t>
        </is>
      </c>
      <c r="K116" s="37" t="n"/>
      <c r="L116" s="37" t="n"/>
      <c r="M116" s="37" t="n">
        <v>45965</v>
      </c>
      <c r="N116" s="35" t="n"/>
      <c r="O116" s="35" t="n"/>
      <c r="P116" s="35" t="n"/>
      <c r="Q116" s="35" t="n"/>
      <c r="R116" s="35" t="n"/>
      <c r="S116" s="35" t="n"/>
      <c r="T116" s="35" t="inlineStr">
        <is>
          <t>Y</t>
        </is>
      </c>
      <c r="U116" s="36" t="inlineStr">
        <is>
          <t xml:space="preserve">FUENTE: Deviation.csv, filas CSV 816-816; Workflow=Expired; Date Released=2025-08-14; Date Originated=2025-08-07; Site=FJZP, Plant=MCGA (sin convertir automaticamente a FJZ); 1 filas PN; APROBACION Y APLICABILIDAD NO VALIDADAS. </t>
        </is>
      </c>
    </row>
    <row r="117">
      <c r="A117" s="43" t="inlineStr">
        <is>
          <t>DEV-CTANJZ04768</t>
        </is>
      </c>
      <c r="B117" s="43" t="inlineStr">
        <is>
          <t>DEVIATION</t>
        </is>
      </c>
      <c r="C117" s="43" t="inlineStr">
        <is>
          <t>DP525211</t>
        </is>
      </c>
      <c r="D117" s="43" t="n"/>
      <c r="E117" s="33" t="inlineStr">
        <is>
          <t>DP525211Tyne. DV1-build at FJZ.This deviation allows FJZ to build 68-104855-01-07 with several deviations that are listed in attached Document.This deviation supersedes DP525064.</t>
        </is>
      </c>
      <c r="F117" s="43" t="inlineStr">
        <is>
          <t>Pending</t>
        </is>
      </c>
      <c r="G117" s="43" t="inlineStr">
        <is>
          <t>Expired</t>
        </is>
      </c>
      <c r="H117" s="43" t="inlineStr">
        <is>
          <t>Pending Review</t>
        </is>
      </c>
      <c r="I117" s="43" t="inlineStr">
        <is>
          <t>CVEBU</t>
        </is>
      </c>
      <c r="J117" s="43" t="inlineStr">
        <is>
          <t>CTANJZ04768</t>
        </is>
      </c>
      <c r="K117" s="32" t="n"/>
      <c r="L117" s="32" t="n"/>
      <c r="M117" s="32" t="n">
        <v>45936</v>
      </c>
      <c r="N117" s="43" t="n"/>
      <c r="O117" s="43" t="n"/>
      <c r="P117" s="43" t="n"/>
      <c r="Q117" s="43" t="n"/>
      <c r="R117" s="43" t="n"/>
      <c r="S117" s="43" t="n"/>
      <c r="T117" s="43" t="inlineStr">
        <is>
          <t>Y</t>
        </is>
      </c>
      <c r="U117" s="33" t="inlineStr">
        <is>
          <t xml:space="preserve">FUENTE: Deviation.csv, filas CSV 830-832; Workflow=Expired; Date Released=2025-08-14; Date Originated=2025-08-08; Site=FJZP, Plant=MCGA (sin convertir automaticamente a FJZ); 3 filas PN; APROBACION Y APLICABILIDAD NO VALIDADAS. </t>
        </is>
      </c>
    </row>
    <row r="118">
      <c r="A118" s="35" t="inlineStr">
        <is>
          <t>DEV-CTANJZ04772</t>
        </is>
      </c>
      <c r="B118" s="35" t="inlineStr">
        <is>
          <t>DEVIATION</t>
        </is>
      </c>
      <c r="C118" s="35" t="inlineStr">
        <is>
          <t>D605688</t>
        </is>
      </c>
      <c r="D118" s="35" t="n"/>
      <c r="E118" s="36" t="inlineStr">
        <is>
          <t>D605688 SRGBU-Arata: Upgrade FPGA 17-103018-01 to V139 before shipping to customers</t>
        </is>
      </c>
      <c r="F118" s="35" t="inlineStr">
        <is>
          <t>Pending</t>
        </is>
      </c>
      <c r="G118" s="35" t="inlineStr">
        <is>
          <t>Expired</t>
        </is>
      </c>
      <c r="H118" s="35" t="inlineStr">
        <is>
          <t>Pending Review</t>
        </is>
      </c>
      <c r="I118" s="35" t="inlineStr">
        <is>
          <t>SRGBU</t>
        </is>
      </c>
      <c r="J118" s="35" t="inlineStr">
        <is>
          <t>CTANJZ04772</t>
        </is>
      </c>
      <c r="K118" s="37" t="n"/>
      <c r="L118" s="37" t="n"/>
      <c r="M118" s="37" t="n">
        <v>45971</v>
      </c>
      <c r="N118" s="35" t="n"/>
      <c r="O118" s="35" t="n"/>
      <c r="P118" s="35" t="n"/>
      <c r="Q118" s="35" t="n"/>
      <c r="R118" s="35" t="n"/>
      <c r="S118" s="35" t="n"/>
      <c r="T118" s="35" t="inlineStr">
        <is>
          <t>Y</t>
        </is>
      </c>
      <c r="U118" s="36" t="inlineStr">
        <is>
          <t xml:space="preserve">FUENTE: Deviation.csv, filas CSV 817-818; Workflow=Expired; Date Released=2025-08-18; Date Originated=2025-08-13; Site=FJZP, Plant=MCGA (sin convertir automaticamente a FJZ); 2 filas PN; APROBACION Y APLICABILIDAD NO VALIDADAS. </t>
        </is>
      </c>
    </row>
    <row r="119">
      <c r="A119" s="43" t="inlineStr">
        <is>
          <t>DEV-CTANJZ04773</t>
        </is>
      </c>
      <c r="B119" s="43" t="inlineStr">
        <is>
          <t>DEVIATION</t>
        </is>
      </c>
      <c r="C119" s="43" t="inlineStr">
        <is>
          <t>DP525235</t>
        </is>
      </c>
      <c r="D119" s="43" t="n"/>
      <c r="E119" s="33" t="inlineStr">
        <is>
          <t>DP525235 NGFWBU:Woodside Park Model A/B Pre-Pilot - Allow usage of consigned AMD CPUs with cancelled MPN AVL status.</t>
        </is>
      </c>
      <c r="F119" s="43" t="inlineStr">
        <is>
          <t>Pending</t>
        </is>
      </c>
      <c r="G119" s="43" t="inlineStr">
        <is>
          <t>Expired</t>
        </is>
      </c>
      <c r="H119" s="43" t="inlineStr">
        <is>
          <t>Pending Review</t>
        </is>
      </c>
      <c r="I119" s="43" t="inlineStr">
        <is>
          <t>STBU</t>
        </is>
      </c>
      <c r="J119" s="43" t="inlineStr">
        <is>
          <t>CTANJZ04773</t>
        </is>
      </c>
      <c r="K119" s="32" t="n"/>
      <c r="L119" s="32" t="n"/>
      <c r="M119" s="32" t="n">
        <v>45942</v>
      </c>
      <c r="N119" s="43" t="n"/>
      <c r="O119" s="43" t="n"/>
      <c r="P119" s="43" t="n"/>
      <c r="Q119" s="43" t="n"/>
      <c r="R119" s="43" t="n"/>
      <c r="S119" s="43" t="n"/>
      <c r="T119" s="43" t="inlineStr">
        <is>
          <t>Y</t>
        </is>
      </c>
      <c r="U119" s="33" t="inlineStr">
        <is>
          <t xml:space="preserve">FUENTE: Deviation.csv, filas CSV 835-838; Workflow=Expired; Date Released=2025-08-26; Date Originated=2025-08-14; Site=FJZP, Plant=MCGA (sin convertir automaticamente a FJZ); 4 filas PN; APROBACION Y APLICABILIDAD NO VALIDADAS. </t>
        </is>
      </c>
    </row>
    <row r="120">
      <c r="A120" s="35" t="inlineStr">
        <is>
          <t>DEV-CTANJZ04774</t>
        </is>
      </c>
      <c r="B120" s="35" t="inlineStr">
        <is>
          <t>DEVIATION</t>
        </is>
      </c>
      <c r="C120" s="35" t="inlineStr">
        <is>
          <t>D605647</t>
        </is>
      </c>
      <c r="D120" s="35" t="n"/>
      <c r="E120" s="36" t="inlineStr">
        <is>
          <t>D605647 Allow FOL;FVN and FJZ to use MPN 08-1210-01-A0 under CPN 08-1210-01 to support mass production build till furthuer instruction from Cisco.</t>
        </is>
      </c>
      <c r="F120" s="35" t="inlineStr">
        <is>
          <t>Pending</t>
        </is>
      </c>
      <c r="G120" s="35" t="inlineStr">
        <is>
          <t>Expired</t>
        </is>
      </c>
      <c r="H120" s="35" t="inlineStr">
        <is>
          <t>Pending Review</t>
        </is>
      </c>
      <c r="I120" s="35" t="inlineStr">
        <is>
          <t>SRGBU</t>
        </is>
      </c>
      <c r="J120" s="35" t="inlineStr">
        <is>
          <t>CTANJZ04774</t>
        </is>
      </c>
      <c r="K120" s="37" t="n"/>
      <c r="L120" s="37" t="n"/>
      <c r="M120" s="37" t="n">
        <v>45972</v>
      </c>
      <c r="N120" s="35" t="n"/>
      <c r="O120" s="35" t="n"/>
      <c r="P120" s="35" t="n"/>
      <c r="Q120" s="35" t="n"/>
      <c r="R120" s="35" t="n"/>
      <c r="S120" s="35" t="n"/>
      <c r="T120" s="35" t="inlineStr">
        <is>
          <t>Y</t>
        </is>
      </c>
      <c r="U120" s="36" t="inlineStr">
        <is>
          <t xml:space="preserve">FUENTE: Deviation.csv, filas CSV 861-863; Workflow=Expired; Date Released=2025-08-21; Date Originated=2025-08-14; Site=FJZP, Plant=MCGA (sin convertir automaticamente a FJZ); 3 filas PN; APROBACION Y APLICABILIDAD NO VALIDADAS. </t>
        </is>
      </c>
    </row>
    <row r="121">
      <c r="A121" s="43" t="inlineStr">
        <is>
          <t>DEV-CTANJZ04776</t>
        </is>
      </c>
      <c r="B121" s="43" t="inlineStr">
        <is>
          <t>DEVIATION</t>
        </is>
      </c>
      <c r="C121" s="43" t="inlineStr">
        <is>
          <t>D605611</t>
        </is>
      </c>
      <c r="D121" s="43" t="n"/>
      <c r="E121" s="33" t="inlineStr">
        <is>
          <t>D605611 SRGBU: Tabei-M production (74-125442-04/ 68-7717-01) to use CIMC_4.15.0.2R version</t>
        </is>
      </c>
      <c r="F121" s="43" t="inlineStr">
        <is>
          <t>Pending</t>
        </is>
      </c>
      <c r="G121" s="43" t="inlineStr">
        <is>
          <t>Expired</t>
        </is>
      </c>
      <c r="H121" s="43" t="inlineStr">
        <is>
          <t>Pending Review</t>
        </is>
      </c>
      <c r="I121" s="43" t="inlineStr">
        <is>
          <t>SRGBU</t>
        </is>
      </c>
      <c r="J121" s="43" t="inlineStr">
        <is>
          <t>CTANJZ04776</t>
        </is>
      </c>
      <c r="K121" s="32" t="n"/>
      <c r="L121" s="32" t="n"/>
      <c r="M121" s="32" t="n">
        <v>45972</v>
      </c>
      <c r="N121" s="43" t="n"/>
      <c r="O121" s="43" t="n"/>
      <c r="P121" s="43" t="n"/>
      <c r="Q121" s="43" t="n"/>
      <c r="R121" s="43" t="n"/>
      <c r="S121" s="43" t="n"/>
      <c r="T121" s="43" t="inlineStr">
        <is>
          <t>Y</t>
        </is>
      </c>
      <c r="U121" s="33" t="inlineStr">
        <is>
          <t xml:space="preserve">FUENTE: Deviation.csv, filas CSV 1823-1823; Workflow=Expired; Date Released=2025-08-21; Date Originated=2025-08-14; Site=FJZP, Plant=MCGA (sin convertir automaticamente a FJZ); 1 filas PN; APROBACION Y APLICABILIDAD NO VALIDADAS. </t>
        </is>
      </c>
    </row>
    <row r="122">
      <c r="A122" s="35" t="inlineStr">
        <is>
          <t>DEV-CTANJZ04781</t>
        </is>
      </c>
      <c r="B122" s="35" t="inlineStr">
        <is>
          <t>DEVIATION</t>
        </is>
      </c>
      <c r="C122" s="35" t="inlineStr">
        <is>
          <t>DP525216</t>
        </is>
      </c>
      <c r="D122" s="35" t="n"/>
      <c r="E122" s="36" t="inlineStr">
        <is>
          <t>DP525216 Tyne. DV1-build at FJZ.This deviation allows to use 51-103064-01 instead of 51-103504-01.1pcs 51-103064-01 replaces 4pcs 51-103504-01.Do not install 51-103504-01 under PSU (page 14 in 95-118330-01-06).See more instructions in attached document.</t>
        </is>
      </c>
      <c r="F122" s="35" t="inlineStr">
        <is>
          <t>Pending</t>
        </is>
      </c>
      <c r="G122" s="35" t="inlineStr">
        <is>
          <t>Expired</t>
        </is>
      </c>
      <c r="H122" s="35" t="inlineStr">
        <is>
          <t>Pending Review</t>
        </is>
      </c>
      <c r="I122" s="35" t="inlineStr">
        <is>
          <t>CVEBU</t>
        </is>
      </c>
      <c r="J122" s="35" t="inlineStr">
        <is>
          <t>CTANJZ04781</t>
        </is>
      </c>
      <c r="K122" s="37" t="n"/>
      <c r="L122" s="37" t="n"/>
      <c r="M122" s="37" t="n">
        <v>45949</v>
      </c>
      <c r="N122" s="35" t="n"/>
      <c r="O122" s="35" t="n"/>
      <c r="P122" s="35" t="n"/>
      <c r="Q122" s="35" t="n"/>
      <c r="R122" s="35" t="n"/>
      <c r="S122" s="35" t="n"/>
      <c r="T122" s="35" t="inlineStr">
        <is>
          <t>Y</t>
        </is>
      </c>
      <c r="U122" s="36" t="inlineStr">
        <is>
          <t xml:space="preserve">FUENTE: Deviation.csv, filas CSV 821-822; Workflow=Expired; Date Released=2025-08-26; Date Originated=2025-08-20; Site=FJZP, Plant=MCGA (sin convertir automaticamente a FJZ); 2 filas PN; APROBACION Y APLICABILIDAD NO VALIDADAS. </t>
        </is>
      </c>
    </row>
    <row r="123">
      <c r="A123" s="43" t="inlineStr">
        <is>
          <t>DEV-CTANJZ04782</t>
        </is>
      </c>
      <c r="B123" s="43" t="inlineStr">
        <is>
          <t>DEVIATION</t>
        </is>
      </c>
      <c r="C123" s="43" t="inlineStr">
        <is>
          <t>D605645</t>
        </is>
      </c>
      <c r="D123" s="43" t="n"/>
      <c r="E123" s="33" t="inlineStr">
        <is>
          <t>D605645 FJZ can't ship AVC Fans (MPN: GND0456A70); until we know what the RC is of the 2C failures at cold tempEngineering is requesting additional information to discard FPGA Version issue</t>
        </is>
      </c>
      <c r="F123" s="43" t="inlineStr">
        <is>
          <t>Pending</t>
        </is>
      </c>
      <c r="G123" s="43" t="inlineStr">
        <is>
          <t>Expired</t>
        </is>
      </c>
      <c r="H123" s="43" t="inlineStr">
        <is>
          <t>Pending Review</t>
        </is>
      </c>
      <c r="I123" s="43" t="inlineStr">
        <is>
          <t>STBU</t>
        </is>
      </c>
      <c r="J123" s="43" t="inlineStr">
        <is>
          <t>CTANJZ04782</t>
        </is>
      </c>
      <c r="K123" s="32" t="n"/>
      <c r="L123" s="32" t="n"/>
      <c r="M123" s="32" t="n">
        <v>45979</v>
      </c>
      <c r="N123" s="43" t="n"/>
      <c r="O123" s="43" t="n"/>
      <c r="P123" s="43" t="n"/>
      <c r="Q123" s="43" t="n"/>
      <c r="R123" s="43" t="n"/>
      <c r="S123" s="43" t="n"/>
      <c r="T123" s="43" t="inlineStr">
        <is>
          <t>Y</t>
        </is>
      </c>
      <c r="U123" s="33" t="inlineStr">
        <is>
          <t xml:space="preserve">FUENTE: Deviation.csv, filas CSV 883-1025; Workflow=Expired; Date Released=2025-08-29; Date Originated=2025-08-20; Site=FJZP, Plant=MCGA (sin convertir automaticamente a FJZ); 6 filas PN; APROBACION Y APLICABILIDAD NO VALIDADAS. </t>
        </is>
      </c>
    </row>
    <row r="124">
      <c r="A124" s="35" t="inlineStr">
        <is>
          <t>DEV-CTANJZ04784</t>
        </is>
      </c>
      <c r="B124" s="35" t="inlineStr">
        <is>
          <t>DEVIATION</t>
        </is>
      </c>
      <c r="C124" s="35" t="inlineStr">
        <is>
          <t>D605463</t>
        </is>
      </c>
      <c r="D124" s="35" t="n"/>
      <c r="E124" s="36" t="inlineStr">
        <is>
          <t>D605463 SRGBU Hyperloop E0 Modem FW upgrade:This deviation instructs PCBA site and DF site to upgrade modem FW during MFG test process. DF sites for spare orders do not need to perform this as spares do not go through MFG testing at DF site.current modem FW output of show cellular 0/2/0 firmware:Idx Carrier              FwVersion        PriVersion   Status  1   Generic              32.00.119        1027         Active  2   Verizon              32.00.128        2022         Inactive3   ATT                  32.00.148        4024         Inactive4   TMUS                 32.00.158        5007         InactivePlease see PageThree for details</t>
        </is>
      </c>
      <c r="F124" s="35" t="inlineStr">
        <is>
          <t>Pending</t>
        </is>
      </c>
      <c r="G124" s="35" t="inlineStr">
        <is>
          <t>Expired</t>
        </is>
      </c>
      <c r="H124" s="35" t="inlineStr">
        <is>
          <t>Pending Review</t>
        </is>
      </c>
      <c r="I124" s="35" t="inlineStr">
        <is>
          <t>SRGBU</t>
        </is>
      </c>
      <c r="J124" s="35" t="inlineStr">
        <is>
          <t>CTANJZ04784</t>
        </is>
      </c>
      <c r="K124" s="37" t="n"/>
      <c r="L124" s="37" t="n"/>
      <c r="M124" s="37" t="n">
        <v>45979</v>
      </c>
      <c r="N124" s="35" t="n"/>
      <c r="O124" s="35" t="n"/>
      <c r="P124" s="35" t="n"/>
      <c r="Q124" s="35" t="n"/>
      <c r="R124" s="35" t="n"/>
      <c r="S124" s="35" t="n"/>
      <c r="T124" s="35" t="inlineStr">
        <is>
          <t>Y</t>
        </is>
      </c>
      <c r="U124" s="36" t="inlineStr">
        <is>
          <t xml:space="preserve">FUENTE: Deviation.csv, filas CSV 53-53; Workflow=Expired; Date Released=2025-08-27; Date Originated=2025-08-20; Site=FJZP, Plant=MCGA (sin convertir automaticamente a FJZ); 1 filas PN; APROBACION Y APLICABILIDAD NO VALIDADAS. </t>
        </is>
      </c>
    </row>
    <row r="125">
      <c r="A125" s="43" t="inlineStr">
        <is>
          <t>DEV-CTANJZ04785</t>
        </is>
      </c>
      <c r="B125" s="43" t="inlineStr">
        <is>
          <t>DEVIATION</t>
        </is>
      </c>
      <c r="C125" s="43" t="inlineStr">
        <is>
          <t>D605462</t>
        </is>
      </c>
      <c r="D125" s="43" t="n"/>
      <c r="E125" s="33" t="inlineStr">
        <is>
          <t>D605462 SRGBU Sears E0 modem FW upgrade:This deviation instructs PCBA site and DF site to upgrade modem FW to "E0" during test process. DF sites for spare orders do not need to perform this as spares do not go through MFG testing at DF site.Please see PageThree for details</t>
        </is>
      </c>
      <c r="F125" s="43" t="inlineStr">
        <is>
          <t>Pending</t>
        </is>
      </c>
      <c r="G125" s="43" t="inlineStr">
        <is>
          <t>Expired</t>
        </is>
      </c>
      <c r="H125" s="43" t="inlineStr">
        <is>
          <t>Pending Review</t>
        </is>
      </c>
      <c r="I125" s="43" t="inlineStr">
        <is>
          <t>SRGBU</t>
        </is>
      </c>
      <c r="J125" s="43" t="inlineStr">
        <is>
          <t>CTANJZ04785</t>
        </is>
      </c>
      <c r="K125" s="32" t="n"/>
      <c r="L125" s="32" t="n"/>
      <c r="M125" s="32" t="n">
        <v>45979</v>
      </c>
      <c r="N125" s="43" t="n"/>
      <c r="O125" s="43" t="n"/>
      <c r="P125" s="43" t="n"/>
      <c r="Q125" s="43" t="n"/>
      <c r="R125" s="43" t="n"/>
      <c r="S125" s="43" t="n"/>
      <c r="T125" s="43" t="inlineStr">
        <is>
          <t>Y</t>
        </is>
      </c>
      <c r="U125" s="33" t="inlineStr">
        <is>
          <t xml:space="preserve">FUENTE: Deviation.csv, filas CSV 54-54; Workflow=Expired; Date Released=2025-08-27; Date Originated=2025-08-20; Site=FJZP, Plant=MCGA (sin convertir automaticamente a FJZ); 1 filas PN; APROBACION Y APLICABILIDAD NO VALIDADAS. </t>
        </is>
      </c>
    </row>
    <row r="126">
      <c r="A126" s="35" t="inlineStr">
        <is>
          <t>DEV-CTANJZ04787</t>
        </is>
      </c>
      <c r="B126" s="35" t="inlineStr">
        <is>
          <t>DEVIATION</t>
        </is>
      </c>
      <c r="C126" s="35" t="inlineStr">
        <is>
          <t>D605781</t>
        </is>
      </c>
      <c r="D126" s="35" t="n"/>
      <c r="E126" s="36" t="inlineStr">
        <is>
          <t>D605781 CVEBU: Helios: Allow AVer to use 50% recycled plastic bag to pack the camera and 35% recycled plastic bag to pack cable cover.This Deviation is extension of the deviation# D604044</t>
        </is>
      </c>
      <c r="F126" s="35" t="inlineStr">
        <is>
          <t>Pending</t>
        </is>
      </c>
      <c r="G126" s="35" t="inlineStr">
        <is>
          <t>Expired</t>
        </is>
      </c>
      <c r="H126" s="35" t="inlineStr">
        <is>
          <t>Pending Review</t>
        </is>
      </c>
      <c r="I126" s="35" t="inlineStr">
        <is>
          <t>CVEBU</t>
        </is>
      </c>
      <c r="J126" s="35" t="inlineStr">
        <is>
          <t>CTANJZ04787</t>
        </is>
      </c>
      <c r="K126" s="37" t="n"/>
      <c r="L126" s="37" t="n"/>
      <c r="M126" s="37" t="n">
        <v>45979</v>
      </c>
      <c r="N126" s="35" t="n"/>
      <c r="O126" s="35" t="n"/>
      <c r="P126" s="35" t="n"/>
      <c r="Q126" s="35" t="n"/>
      <c r="R126" s="35" t="n"/>
      <c r="S126" s="35" t="n"/>
      <c r="T126" s="35" t="inlineStr">
        <is>
          <t>Y</t>
        </is>
      </c>
      <c r="U126" s="36" t="inlineStr">
        <is>
          <t xml:space="preserve">FUENTE: Deviation.csv, filas CSV 879-882; Workflow=Expired; Date Released=2025-08-28; Date Originated=2025-08-21; Site=FJZP, Plant=MCGA (sin convertir automaticamente a FJZ); 4 filas PN; APROBACION Y APLICABILIDAD NO VALIDADAS. </t>
        </is>
      </c>
    </row>
    <row r="127">
      <c r="A127" s="43" t="inlineStr">
        <is>
          <t>DEV-CTANJZ04801</t>
        </is>
      </c>
      <c r="B127" s="43" t="inlineStr">
        <is>
          <t>DEVIATION</t>
        </is>
      </c>
      <c r="C127" s="43" t="inlineStr">
        <is>
          <t>D605868</t>
        </is>
      </c>
      <c r="D127" s="43" t="n"/>
      <c r="E127" s="33" t="inlineStr">
        <is>
          <t>D605868 CVEBU;Taylor73-103720-04 PCA;TAYLOR HIGH MODULE WITH MICRON 16GB LPDDR5    73-103820-04 PCA;TAYLOR HIGH MODULE WITH HYNIX 16GB LPDDR5    73-103920-04 PCA;TAYLOR LOW MODULE WITH MICRON 16GB LPDDR5  73-103922-04 PCA;TAYLOR LOW MODULE WITH HYNIX 16GB LPDDR5In BOMs20pcsRefdes C80;C85;C572;C686;C687;C690;C691;C692;C693;C694;C695;C740;C741;C794;C67_A;C68_A;C69_A;C67_B;C68_B;C69_B11-3700-01 CAP;CE;10pF;25V;+/-0.5pF;C0G;SM;0201in;MX HGT 0.33mm;PB-FREE;A-TEMP (-40 to 125'C)  Qualified: Murata GRM0335C1E100JA01 (30%) From Mouser 10k pcs with DC1902Qualified: Yageo IC0201J_NPO8BN100 (50%)Qualified: Union    CL0201NPO100JW    (20%)1 pcsRefdes C80711-101945-01 CAP;CE;56.0pF;25.0 V;5.0%;C0G/NP0;SM;0201;0.33mmH;-55 to 125 C  Qualified: Murata GRM0335C1E560JA01 (30%) From Mouser 1k pcs with DC2126Qualified: Yageo  IC0201JNPO8BN560  (70%)FJZ is hereby allowed to source the 10k + 1k  pcs of these two 0201 capacitors with old date code.Before usage; feeding these old DC capacitors into MP volume; a solderability test report shall provided to Cisco CVEBU.</t>
        </is>
      </c>
      <c r="F127" s="43" t="inlineStr">
        <is>
          <t>Pending</t>
        </is>
      </c>
      <c r="G127" s="43" t="inlineStr">
        <is>
          <t>Expired</t>
        </is>
      </c>
      <c r="H127" s="43" t="inlineStr">
        <is>
          <t>Pending Review</t>
        </is>
      </c>
      <c r="I127" s="43" t="inlineStr">
        <is>
          <t>CVEBU</t>
        </is>
      </c>
      <c r="J127" s="43" t="inlineStr">
        <is>
          <t>CTANJZ04801</t>
        </is>
      </c>
      <c r="K127" s="32" t="n"/>
      <c r="L127" s="32" t="n"/>
      <c r="M127" s="32" t="n">
        <v>45991</v>
      </c>
      <c r="N127" s="43" t="n"/>
      <c r="O127" s="43" t="n"/>
      <c r="P127" s="43" t="n"/>
      <c r="Q127" s="43" t="n"/>
      <c r="R127" s="43" t="n"/>
      <c r="S127" s="43" t="n"/>
      <c r="T127" s="43" t="inlineStr">
        <is>
          <t>Y</t>
        </is>
      </c>
      <c r="U127" s="33" t="inlineStr">
        <is>
          <t xml:space="preserve">FUENTE: Deviation.csv, filas CSV 403-408; Workflow=Expired; Date Released=2025-09-17; Date Originated=2025-09-02; Site=FJZP, Plant=MCGA (sin convertir automaticamente a FJZ); 6 filas PN; APROBACION Y APLICABILIDAD NO VALIDADAS. </t>
        </is>
      </c>
    </row>
    <row r="128">
      <c r="A128" s="35" t="inlineStr">
        <is>
          <t>DEV-CTANJZ04802</t>
        </is>
      </c>
      <c r="B128" s="35" t="inlineStr">
        <is>
          <t>DEVIATION</t>
        </is>
      </c>
      <c r="C128" s="35" t="inlineStr">
        <is>
          <t>D605759</t>
        </is>
      </c>
      <c r="D128" s="35" t="n"/>
      <c r="E128" s="36" t="inlineStr">
        <is>
          <t>D605759 IOTBU: Sonic/Turbo: Allowing CM site to purchase and use below IPQ MPN's of CPN #11-101911-01 on Sonic/Turbo Production PCA's.Supplier                MPN                              StatusTDK       CGA3E2X7R1E154K080_A In Process - QualYAGEO AC0603K_X7R8BB154         In Process - QualMURATA   GCM188R71E154KA37             Deplete Stock</t>
        </is>
      </c>
      <c r="F128" s="35" t="inlineStr">
        <is>
          <t>Pending</t>
        </is>
      </c>
      <c r="G128" s="35" t="inlineStr">
        <is>
          <t>Expired</t>
        </is>
      </c>
      <c r="H128" s="35" t="inlineStr">
        <is>
          <t>Pending Review</t>
        </is>
      </c>
      <c r="I128" s="35" t="inlineStr">
        <is>
          <t>IOTBU</t>
        </is>
      </c>
      <c r="J128" s="35" t="inlineStr">
        <is>
          <t>CTANJZ04802</t>
        </is>
      </c>
      <c r="K128" s="37" t="n"/>
      <c r="L128" s="37" t="n"/>
      <c r="M128" s="37" t="n">
        <v>45993</v>
      </c>
      <c r="N128" s="35" t="n"/>
      <c r="O128" s="35" t="n"/>
      <c r="P128" s="35" t="n"/>
      <c r="Q128" s="35" t="n"/>
      <c r="R128" s="35" t="n"/>
      <c r="S128" s="35" t="n"/>
      <c r="T128" s="35" t="inlineStr">
        <is>
          <t>Y</t>
        </is>
      </c>
      <c r="U128" s="36" t="inlineStr">
        <is>
          <t xml:space="preserve">FUENTE: Deviation.csv, filas CSV 516-516; Workflow=Expired; Date Released=2025-09-18; Date Originated=2025-09-03; Site=FJZP, Plant=MCGA (sin convertir automaticamente a FJZ); 1 filas PN; APROBACION Y APLICABILIDAD NO VALIDADAS. </t>
        </is>
      </c>
    </row>
    <row r="129">
      <c r="A129" s="43" t="inlineStr">
        <is>
          <t>DEV-CTANJZ04805</t>
        </is>
      </c>
      <c r="B129" s="43" t="inlineStr">
        <is>
          <t>DEVIATION</t>
        </is>
      </c>
      <c r="C129" s="43" t="inlineStr">
        <is>
          <t>D605923</t>
        </is>
      </c>
      <c r="D129" s="43" t="n"/>
      <c r="E129" s="33" t="inlineStr">
        <is>
          <t>D605923 CVEBU: CS-CAM-PTZ4K+; add a prefix SVP in front of the manufacturer Serial number. This is an extension of D602944</t>
        </is>
      </c>
      <c r="F129" s="43" t="inlineStr">
        <is>
          <t>Pending</t>
        </is>
      </c>
      <c r="G129" s="43" t="inlineStr">
        <is>
          <t>Expired</t>
        </is>
      </c>
      <c r="H129" s="43" t="inlineStr">
        <is>
          <t>Pending Review</t>
        </is>
      </c>
      <c r="I129" s="43" t="inlineStr">
        <is>
          <t>CVEBU</t>
        </is>
      </c>
      <c r="J129" s="43" t="inlineStr">
        <is>
          <t>CTANJZ04805</t>
        </is>
      </c>
      <c r="K129" s="32" t="n"/>
      <c r="L129" s="32" t="n"/>
      <c r="M129" s="32" t="n">
        <v>45994</v>
      </c>
      <c r="N129" s="43" t="n"/>
      <c r="O129" s="43" t="n"/>
      <c r="P129" s="43" t="n"/>
      <c r="Q129" s="43" t="n"/>
      <c r="R129" s="43" t="n"/>
      <c r="S129" s="43" t="n"/>
      <c r="T129" s="43" t="inlineStr">
        <is>
          <t>Y</t>
        </is>
      </c>
      <c r="U129" s="33" t="inlineStr">
        <is>
          <t xml:space="preserve">FUENTE: Deviation.csv, filas CSV 885-885; Workflow=Expired; Date Released=2025-09-18; Date Originated=2025-09-05; Site=FJZP, Plant=MCGA (sin convertir automaticamente a FJZ); 1 filas PN; APROBACION Y APLICABILIDAD NO VALIDADAS. </t>
        </is>
      </c>
    </row>
    <row r="130">
      <c r="A130" s="35" t="inlineStr">
        <is>
          <t>DEV-CTANJZ04806</t>
        </is>
      </c>
      <c r="B130" s="35" t="inlineStr">
        <is>
          <t>DEVIATION</t>
        </is>
      </c>
      <c r="C130" s="35" t="inlineStr">
        <is>
          <t>D605896</t>
        </is>
      </c>
      <c r="D130" s="35" t="n"/>
      <c r="E130" s="36" t="inlineStr">
        <is>
          <t>D605896 NGFWBU-Westminster-FPR1000 Series:This deviation is to allow the CM FJZ to do the following to run a control build of WM DT and WM RM to validate changes on EA616081 as specified belowFor all Westminster ProductsFPR-1010 ( Build 5 SKU)FPR-1120 ( Build 5 SKU)FPR-1140 ( Build 5 SKU)FPR-1150 ( Build 3 SKU)FJZ CM to apply the following changes:1.) FJZ to upgrade the ROMMON FW 1.0.25 U7B_U8B; 17-100951-16 to  ROMMON FW 1.0.28 U7B_U8B; 17-100951-17 @ P2C with  fxos-k8-fp1k-firmware.1028.0207.SPARun all control product units through normal Manufacturing test all the way until DF and tested with all combination of SWProvide the test results with serial number to PE Aiseosa Omorogieva(Aomorogi) for reviewingSet boards assemblies aside; if test results are satisfactory and the PE gives approval then units can be mixed with production for customer shipments. If the units do not pass test then we need to hold them up and notify PE for further instruction.**  Cisco Support Team ***PLPM:   Pin MakEPE:    Aiseosa OmorogievaMPE: David AlbaniME:       Edgar BarronTE: Patricia ChavezTDE: Nirupama Padmanabhan</t>
        </is>
      </c>
      <c r="F130" s="35" t="inlineStr">
        <is>
          <t>Pending</t>
        </is>
      </c>
      <c r="G130" s="35" t="inlineStr">
        <is>
          <t>Expired</t>
        </is>
      </c>
      <c r="H130" s="35" t="inlineStr">
        <is>
          <t>Pending Review</t>
        </is>
      </c>
      <c r="I130" s="35" t="inlineStr">
        <is>
          <t>STBU</t>
        </is>
      </c>
      <c r="J130" s="35" t="inlineStr">
        <is>
          <t>CTANJZ04806</t>
        </is>
      </c>
      <c r="K130" s="37" t="n"/>
      <c r="L130" s="37" t="n"/>
      <c r="M130" s="37" t="n">
        <v>45994</v>
      </c>
      <c r="N130" s="35" t="n"/>
      <c r="O130" s="35" t="n"/>
      <c r="P130" s="35" t="n"/>
      <c r="Q130" s="35" t="n"/>
      <c r="R130" s="35" t="n"/>
      <c r="S130" s="35" t="n"/>
      <c r="T130" s="35" t="inlineStr">
        <is>
          <t>Y</t>
        </is>
      </c>
      <c r="U130" s="36" t="inlineStr">
        <is>
          <t xml:space="preserve">FUENTE: Deviation.csv, filas CSV 844-884; Workflow=Expired; Date Released=2025-09-29; Date Originated=2025-09-05; Site=FJZP, Plant=MCGA (sin convertir automaticamente a FJZ); 9 filas PN; APROBACION Y APLICABILIDAD NO VALIDADAS. </t>
        </is>
      </c>
    </row>
    <row r="131">
      <c r="A131" s="43" t="inlineStr">
        <is>
          <t>DEV-CTANJZ04809</t>
        </is>
      </c>
      <c r="B131" s="43" t="inlineStr">
        <is>
          <t>DEVIATION</t>
        </is>
      </c>
      <c r="C131" s="43" t="inlineStr">
        <is>
          <t>D606156</t>
        </is>
      </c>
      <c r="D131" s="43" t="n"/>
      <c r="E131" s="33" t="inlineStr">
        <is>
          <t>D606156 CVEBU;Taylor800-115882-01  (with 73-103103-05) ASY-ELMECH;CPU;PICTORIS; MB WITH TAYLOR 16GB LOW;TAA  800-115884-01 (with 73-103603-05 )ASY-ELMECH;CPU;PICTORIS;MB NR WITH TAYLOR 16GB LOW;TAA  In BOMs:800-126978-03 -B0 (with 73-103922-03) E/M_ASSY_MECH;TAYLOR LOW MODULE;HYNIX 16GB LPDDR5  Instead FJZ is hereby allowed to consume their stock (approx 150 pcs) of the previous version:800-126978-02 ^01 (with 73-103922-03  ^05) E/M_ASSY_MECH;TAYLOR LOW MODULE;HYNIX 16GB LPDDR5</t>
        </is>
      </c>
      <c r="F131" s="43" t="inlineStr">
        <is>
          <t>Pending</t>
        </is>
      </c>
      <c r="G131" s="43" t="inlineStr">
        <is>
          <t>Expired</t>
        </is>
      </c>
      <c r="H131" s="43" t="inlineStr">
        <is>
          <t>Pending Review</t>
        </is>
      </c>
      <c r="I131" s="43" t="inlineStr">
        <is>
          <t>CVEBU</t>
        </is>
      </c>
      <c r="J131" s="43" t="inlineStr">
        <is>
          <t>CTANJZ04809</t>
        </is>
      </c>
      <c r="K131" s="32" t="n"/>
      <c r="L131" s="32" t="n"/>
      <c r="M131" s="32" t="n">
        <v>45997</v>
      </c>
      <c r="N131" s="43" t="n"/>
      <c r="O131" s="43" t="n"/>
      <c r="P131" s="43" t="n"/>
      <c r="Q131" s="43" t="n"/>
      <c r="R131" s="43" t="n"/>
      <c r="S131" s="43" t="n"/>
      <c r="T131" s="43" t="inlineStr">
        <is>
          <t>Y</t>
        </is>
      </c>
      <c r="U131" s="33" t="inlineStr">
        <is>
          <t xml:space="preserve">FUENTE: Deviation.csv, filas CSV 523-525; Workflow=Expired; Date Released=2025-09-29; Date Originated=2025-09-09; Site=FJZP, Plant=MCGA (sin convertir automaticamente a FJZ); 3 filas PN; APROBACION Y APLICABILIDAD NO VALIDADAS. </t>
        </is>
      </c>
    </row>
    <row r="132">
      <c r="A132" s="35" t="inlineStr">
        <is>
          <t>DEV-CTANJZ04810</t>
        </is>
      </c>
      <c r="B132" s="35" t="inlineStr">
        <is>
          <t>DEVIATION</t>
        </is>
      </c>
      <c r="C132" s="35" t="inlineStr">
        <is>
          <t>D606067</t>
        </is>
      </c>
      <c r="D132" s="35" t="n"/>
      <c r="E132" s="36" t="inlineStr">
        <is>
          <t>D606067 Allow to FJZ to use 502-00002-01 bag for all the PIDs until ECO is released</t>
        </is>
      </c>
      <c r="F132" s="35" t="inlineStr">
        <is>
          <t>Pending</t>
        </is>
      </c>
      <c r="G132" s="35" t="inlineStr">
        <is>
          <t>Expired</t>
        </is>
      </c>
      <c r="H132" s="35" t="inlineStr">
        <is>
          <t>Pending Review</t>
        </is>
      </c>
      <c r="I132" s="35" t="inlineStr">
        <is>
          <t>STBU</t>
        </is>
      </c>
      <c r="J132" s="35" t="inlineStr">
        <is>
          <t>CTANJZ04810</t>
        </is>
      </c>
      <c r="K132" s="37" t="n"/>
      <c r="L132" s="37" t="n"/>
      <c r="M132" s="37" t="n">
        <v>45998</v>
      </c>
      <c r="N132" s="35" t="n"/>
      <c r="O132" s="35" t="n"/>
      <c r="P132" s="35" t="n"/>
      <c r="Q132" s="35" t="n"/>
      <c r="R132" s="35" t="n"/>
      <c r="S132" s="35" t="n"/>
      <c r="T132" s="35" t="inlineStr">
        <is>
          <t>Y</t>
        </is>
      </c>
      <c r="U132" s="36" t="inlineStr">
        <is>
          <t xml:space="preserve">FUENTE: Deviation.csv, filas CSV 1767-1770; Workflow=Expired; Date Released=2025-09-30; Date Originated=2025-09-09; Site=FJZP, Plant=MCGA (sin convertir automaticamente a FJZ); 4 filas PN; APROBACION Y APLICABILIDAD NO VALIDADAS. </t>
        </is>
      </c>
    </row>
    <row r="133">
      <c r="A133" s="43" t="inlineStr">
        <is>
          <t>DEV-CTANJZ04830</t>
        </is>
      </c>
      <c r="B133" s="43" t="inlineStr">
        <is>
          <t>DEVIATION</t>
        </is>
      </c>
      <c r="C133" s="43" t="inlineStr">
        <is>
          <t>D604917</t>
        </is>
      </c>
      <c r="D133" s="43" t="n"/>
      <c r="E133" s="33" t="inlineStr">
        <is>
          <t>D604917 Allow Foxconn to perform a 300-piece small batch verification build of Roku 5G using part number 700-124423-01 (Sears version without USB port hole) instead of part number 700-132589-01 (Roku 5G version with USB port). The TAN associated with this change is 68-7799-03.</t>
        </is>
      </c>
      <c r="F133" s="43" t="inlineStr">
        <is>
          <t>Pending</t>
        </is>
      </c>
      <c r="G133" s="43" t="inlineStr">
        <is>
          <t>Expired</t>
        </is>
      </c>
      <c r="H133" s="43" t="inlineStr">
        <is>
          <t>Pending Review</t>
        </is>
      </c>
      <c r="I133" s="43" t="inlineStr">
        <is>
          <t>SRGBU</t>
        </is>
      </c>
      <c r="J133" s="43" t="inlineStr">
        <is>
          <t>CTANJZ04830</t>
        </is>
      </c>
      <c r="K133" s="32" t="n"/>
      <c r="L133" s="32" t="n"/>
      <c r="M133" s="32" t="n">
        <v>45932</v>
      </c>
      <c r="N133" s="43" t="n"/>
      <c r="O133" s="43" t="n"/>
      <c r="P133" s="43" t="n"/>
      <c r="Q133" s="43" t="n"/>
      <c r="R133" s="43" t="n"/>
      <c r="S133" s="43" t="n"/>
      <c r="T133" s="43" t="inlineStr">
        <is>
          <t>Y</t>
        </is>
      </c>
      <c r="U133" s="33" t="inlineStr">
        <is>
          <t xml:space="preserve">FUENTE: Deviation.csv, filas CSV 748-748; Workflow=Expired; Date Released=2025-09-24; Date Originated=2025-09-12; Site=FJZP, Plant=MCGA (sin convertir automaticamente a FJZ); 1 filas PN; APROBACION Y APLICABILIDAD NO VALIDADAS. </t>
        </is>
      </c>
    </row>
    <row r="134">
      <c r="A134" s="35" t="inlineStr">
        <is>
          <t>DEV-CTANJZ04837</t>
        </is>
      </c>
      <c r="B134" s="35" t="inlineStr">
        <is>
          <t>DEVIATION</t>
        </is>
      </c>
      <c r="C134" s="35" t="inlineStr">
        <is>
          <t>D604535</t>
        </is>
      </c>
      <c r="D134" s="35" t="n"/>
      <c r="E134" s="36" t="inlineStr">
        <is>
          <t>D604535 Roku5G C0 modem FW upgrade:This deviation instructs FOL PCBA site and DF sites to upgrade modem FW on Roku5G.Current FW information:Idx Carrier              FwVersion        PriVersion1   GENERIC              02.13.08.00      030.047_000OEM PRI VERSION = 001.002New FW information:Idx Carrier              FwVersion        PriVersion1   ATT                  02.15.01.00      030.059_0002   GENERIC              02.15.01.00      030.054_0013   TMO                  02.15.01.00      030.017_0004   VERIZON              02.16.05.00      030.077_000OEM PRI version = 001.003Note: DF sites will only need to perform upgrade until all OH inventory already comes upgraded from PCBA site.This deviation is being released as D602439 is expired and PCBA site still has 16 units in inventory with old modem that need to be upgraded.</t>
        </is>
      </c>
      <c r="F134" s="35" t="inlineStr">
        <is>
          <t>Pending</t>
        </is>
      </c>
      <c r="G134" s="35" t="inlineStr">
        <is>
          <t>Expired</t>
        </is>
      </c>
      <c r="H134" s="35" t="inlineStr">
        <is>
          <t>Pending Review</t>
        </is>
      </c>
      <c r="I134" s="35" t="inlineStr">
        <is>
          <t>SRGBU</t>
        </is>
      </c>
      <c r="J134" s="35" t="inlineStr">
        <is>
          <t>CTANJZ04837</t>
        </is>
      </c>
      <c r="K134" s="37" t="n"/>
      <c r="L134" s="37" t="n"/>
      <c r="M134" s="37" t="n">
        <v>45936</v>
      </c>
      <c r="N134" s="35" t="n"/>
      <c r="O134" s="35" t="n"/>
      <c r="P134" s="35" t="n"/>
      <c r="Q134" s="35" t="n"/>
      <c r="R134" s="35" t="n"/>
      <c r="S134" s="35" t="n"/>
      <c r="T134" s="35" t="inlineStr">
        <is>
          <t>Y</t>
        </is>
      </c>
      <c r="U134" s="36" t="inlineStr">
        <is>
          <t xml:space="preserve">FUENTE: Deviation.csv, filas CSV 788-788; Workflow=Expired; Date Released=2025-09-24; Date Originated=2025-09-13; Site=FJZP, Plant=MCGA (sin convertir automaticamente a FJZ); 1 filas PN; APROBACION Y APLICABILIDAD NO VALIDADAS. </t>
        </is>
      </c>
    </row>
    <row r="135">
      <c r="A135" s="43" t="inlineStr">
        <is>
          <t>DEV-CTANJZ04838</t>
        </is>
      </c>
      <c r="B135" s="43" t="inlineStr">
        <is>
          <t>DEVIATION</t>
        </is>
      </c>
      <c r="C135" s="43" t="inlineStr">
        <is>
          <t>D604931</t>
        </is>
      </c>
      <c r="D135" s="43" t="n"/>
      <c r="E135" s="33" t="inlineStr">
        <is>
          <t>D604931 SRGBU-Arata; FCS build programming imagesAllow Foxconn to use the following images for the Arata FCS build:ROMMON: C8000-NG-S1-17-18-1_4r.pkgFPGA: arata_top_signed_rel_token_250605_V136.jed;           arata_top_250220.fea; Mirabile2_SOC_CSK_PUB.pem upgradeMCU: Arata_pwrseq_V0306_250610_MCUV_REL.binCPN affected are 74-134702-02 and 74-133408-02.</t>
        </is>
      </c>
      <c r="F135" s="43" t="inlineStr">
        <is>
          <t>Pending</t>
        </is>
      </c>
      <c r="G135" s="43" t="inlineStr">
        <is>
          <t>Expired</t>
        </is>
      </c>
      <c r="H135" s="43" t="inlineStr">
        <is>
          <t>Pending Review</t>
        </is>
      </c>
      <c r="I135" s="43" t="inlineStr">
        <is>
          <t>SRGBU</t>
        </is>
      </c>
      <c r="J135" s="43" t="inlineStr">
        <is>
          <t>CTANJZ04838</t>
        </is>
      </c>
      <c r="K135" s="32" t="n"/>
      <c r="L135" s="32" t="n"/>
      <c r="M135" s="32" t="n">
        <v>45938</v>
      </c>
      <c r="N135" s="43" t="n"/>
      <c r="O135" s="43" t="n"/>
      <c r="P135" s="43" t="n"/>
      <c r="Q135" s="43" t="n"/>
      <c r="R135" s="43" t="n"/>
      <c r="S135" s="43" t="n"/>
      <c r="T135" s="43" t="inlineStr">
        <is>
          <t>Y</t>
        </is>
      </c>
      <c r="U135" s="33" t="inlineStr">
        <is>
          <t xml:space="preserve">FUENTE: Deviation.csv, filas CSV 833-834; Workflow=Expired; Date Released=2025-09-24; Date Originated=2025-09-13; Site=FJZP, Plant=MCGA (sin convertir automaticamente a FJZ); 2 filas PN; APROBACION Y APLICABILIDAD NO VALIDADAS. </t>
        </is>
      </c>
    </row>
    <row r="136">
      <c r="A136" s="35" t="inlineStr">
        <is>
          <t>DEV-CTANJZ04852</t>
        </is>
      </c>
      <c r="B136" s="35" t="inlineStr">
        <is>
          <t>DEVIATION</t>
        </is>
      </c>
      <c r="C136" s="35" t="inlineStr">
        <is>
          <t>D605275</t>
        </is>
      </c>
      <c r="D136" s="35" t="n"/>
      <c r="E136" s="36" t="inlineStr">
        <is>
          <t>D605275 Allow FJZ to use the MPN= MTA18ASF2G72PDZ-3G2R1   from Micron of the  15-108743-01; instead of 15-107070-01; in the PIDs:MEM-C8200-16GBMEM-C8200-16GB=MEM-C8500-32GBMEM-C8500-32GB=MEM-C8500L-16GBMEM-C8500L-16GB=</t>
        </is>
      </c>
      <c r="F136" s="35" t="inlineStr">
        <is>
          <t>Pending</t>
        </is>
      </c>
      <c r="G136" s="35" t="inlineStr">
        <is>
          <t>Expired</t>
        </is>
      </c>
      <c r="H136" s="35" t="inlineStr">
        <is>
          <t>Pending Review</t>
        </is>
      </c>
      <c r="I136" s="35" t="inlineStr">
        <is>
          <t>SRGBU</t>
        </is>
      </c>
      <c r="J136" s="35" t="inlineStr">
        <is>
          <t>CTANJZ04852</t>
        </is>
      </c>
      <c r="K136" s="37" t="n"/>
      <c r="L136" s="37" t="n"/>
      <c r="M136" s="37" t="n">
        <v>45951</v>
      </c>
      <c r="N136" s="35" t="n"/>
      <c r="O136" s="35" t="n"/>
      <c r="P136" s="35" t="n"/>
      <c r="Q136" s="35" t="n"/>
      <c r="R136" s="35" t="n"/>
      <c r="S136" s="35" t="n"/>
      <c r="T136" s="35" t="inlineStr">
        <is>
          <t>Y</t>
        </is>
      </c>
      <c r="U136" s="36" t="inlineStr">
        <is>
          <t xml:space="preserve">FUENTE: Deviation.csv, filas CSV 779-779; Workflow=Expired; Date Released=2025-09-24; Date Originated=2025-09-13; Site=FJZP, Plant=MCGA (sin convertir automaticamente a FJZ); 1 filas PN; APROBACION Y APLICABILIDAD NO VALIDADAS. </t>
        </is>
      </c>
    </row>
    <row r="137">
      <c r="A137" s="43" t="inlineStr">
        <is>
          <t>DEV-CTANJZ04854</t>
        </is>
      </c>
      <c r="B137" s="43" t="inlineStr">
        <is>
          <t>DEVIATION</t>
        </is>
      </c>
      <c r="C137" s="43" t="inlineStr">
        <is>
          <t>D606187</t>
        </is>
      </c>
      <c r="D137" s="43" t="n"/>
      <c r="E137" s="33" t="inlineStr">
        <is>
          <t>D606187 CVEBU;Brooklyn800-137504-01 (with 73-102022-02) ASY-ELMECH;CPU; BROOKLYN;MAIN BOARD WITH BAILEY;TAA800-147504-01 (with 73-104022-01) ASY-ELMECH;CPU; BROOKLYN;MAIN BOARD NR WITH BAILEY;TAAIn 73-102022-02 and 73-104022-01 BOMs; refdes P4; P5; P6; P7  (4 pcs)29-103082-01 CON;RJ45;R;RA;TH;1 R;8 P;16.1 Wx15.1 Lmm;w/Gn and Ye LEDs;PIP;TAB DOWNQualified: Amphenol RJE73-1CS-0004Since launch of Brooklyn; there has been an unacceptable high failure rate due to bent pin #1 and loss of contact for these Amphenol connectors.Connector P5 interfacing Vecchio (Touch10) has been severely affected.By mid CY2025 improved Amphenol connectors are received; tested and approved by Cisco. The MPN is unchanged. FVN has already received mass production quantities of the improved connector.FJZ will receive mass production quantities of the improved connector by Sep 2025.  The Main board assemblies built at FJZ are shipped to FVN; assembled into Brooklyn units; then finally shipped back to FJZ for SW download and final test.During 2nd half of CY2025; several Main Board assemblies with weak RJ45 connectors have arrived/will arrive FVN for assembly into complete Brooklyn units.All Mexican made Main Board assemblies with Serial Numbers prior to FJZ2938xxxx shall be reworked at FVN by replacing P4; P5; P6; P7 with the new and upgraded RJ45 connector.Date Code for these connectors must be from July 2025 and later.</t>
        </is>
      </c>
      <c r="F137" s="43" t="inlineStr">
        <is>
          <t>Pending</t>
        </is>
      </c>
      <c r="G137" s="43" t="inlineStr">
        <is>
          <t>Expired</t>
        </is>
      </c>
      <c r="H137" s="43" t="inlineStr">
        <is>
          <t>Pending Review</t>
        </is>
      </c>
      <c r="I137" s="43" t="inlineStr">
        <is>
          <t>CVEBU</t>
        </is>
      </c>
      <c r="J137" s="43" t="inlineStr">
        <is>
          <t>CTANJZ04854</t>
        </is>
      </c>
      <c r="K137" s="32" t="n"/>
      <c r="L137" s="32" t="n"/>
      <c r="M137" s="32" t="n">
        <v>46005</v>
      </c>
      <c r="N137" s="43" t="n"/>
      <c r="O137" s="43" t="n"/>
      <c r="P137" s="43" t="n"/>
      <c r="Q137" s="43" t="n"/>
      <c r="R137" s="43" t="n"/>
      <c r="S137" s="43" t="n"/>
      <c r="T137" s="43" t="inlineStr">
        <is>
          <t>Y</t>
        </is>
      </c>
      <c r="U137" s="33" t="inlineStr">
        <is>
          <t xml:space="preserve">FUENTE: Deviation.csv, filas CSV 1626-1628; Workflow=Expired; Date Released=2025-10-09; Date Originated=2025-09-15; Site=FJZP, Plant=MCGA (sin convertir automaticamente a FJZ); 3 filas PN; APROBACION Y APLICABILIDAD NO VALIDADAS. </t>
        </is>
      </c>
    </row>
    <row r="138">
      <c r="A138" s="35" t="inlineStr">
        <is>
          <t>DEV-CTANJZ04859</t>
        </is>
      </c>
      <c r="B138" s="35" t="inlineStr">
        <is>
          <t>DEVIATION</t>
        </is>
      </c>
      <c r="C138" s="35" t="inlineStr">
        <is>
          <t>D605688</t>
        </is>
      </c>
      <c r="D138" s="35" t="n"/>
      <c r="E138" s="36" t="inlineStr">
        <is>
          <t>D605688 SRGBU-Arata: Upgrade FPGA 17-103018-01 to V139 before shipping to customers</t>
        </is>
      </c>
      <c r="F138" s="35" t="inlineStr">
        <is>
          <t>Pending</t>
        </is>
      </c>
      <c r="G138" s="35" t="inlineStr">
        <is>
          <t>Expired</t>
        </is>
      </c>
      <c r="H138" s="35" t="inlineStr">
        <is>
          <t>Pending Review</t>
        </is>
      </c>
      <c r="I138" s="35" t="inlineStr">
        <is>
          <t>SRGBU</t>
        </is>
      </c>
      <c r="J138" s="35" t="inlineStr">
        <is>
          <t>CTANJZ04859</t>
        </is>
      </c>
      <c r="K138" s="37" t="n"/>
      <c r="L138" s="37" t="n"/>
      <c r="M138" s="37" t="n">
        <v>45972</v>
      </c>
      <c r="N138" s="35" t="n"/>
      <c r="O138" s="35" t="n"/>
      <c r="P138" s="35" t="n"/>
      <c r="Q138" s="35" t="n"/>
      <c r="R138" s="35" t="n"/>
      <c r="S138" s="35" t="n"/>
      <c r="T138" s="35" t="inlineStr">
        <is>
          <t>Y</t>
        </is>
      </c>
      <c r="U138" s="36" t="inlineStr">
        <is>
          <t xml:space="preserve">FUENTE: Deviation.csv, filas CSV 819-820; Workflow=Expired; Date Released=2025-09-24; Date Originated=2025-09-17; Site=FJZP, Plant=MCGA (sin convertir automaticamente a FJZ); 2 filas PN; APROBACION Y APLICABILIDAD NO VALIDADAS. </t>
        </is>
      </c>
    </row>
    <row r="139">
      <c r="A139" s="43" t="inlineStr">
        <is>
          <t>DEV-CTANJZ04862</t>
        </is>
      </c>
      <c r="B139" s="43" t="inlineStr">
        <is>
          <t>DEVIATION</t>
        </is>
      </c>
      <c r="C139" s="43" t="inlineStr">
        <is>
          <t>D606224</t>
        </is>
      </c>
      <c r="D139" s="43" t="n"/>
      <c r="E139" s="33" t="inlineStr">
        <is>
          <t>D606224 Please see PageThree for details</t>
        </is>
      </c>
      <c r="F139" s="43" t="inlineStr">
        <is>
          <t>Pending</t>
        </is>
      </c>
      <c r="G139" s="43" t="inlineStr">
        <is>
          <t>Expired</t>
        </is>
      </c>
      <c r="H139" s="43" t="inlineStr">
        <is>
          <t>Pending Review</t>
        </is>
      </c>
      <c r="I139" s="43" t="inlineStr">
        <is>
          <t>STBU</t>
        </is>
      </c>
      <c r="J139" s="43" t="inlineStr">
        <is>
          <t>CTANJZ04862</t>
        </is>
      </c>
      <c r="K139" s="32" t="n"/>
      <c r="L139" s="32" t="n"/>
      <c r="M139" s="32" t="n">
        <v>46007</v>
      </c>
      <c r="N139" s="43" t="n"/>
      <c r="O139" s="43" t="n"/>
      <c r="P139" s="43" t="n"/>
      <c r="Q139" s="43" t="n"/>
      <c r="R139" s="43" t="n"/>
      <c r="S139" s="43" t="n"/>
      <c r="T139" s="43" t="inlineStr">
        <is>
          <t>Y</t>
        </is>
      </c>
      <c r="U139" s="33" t="inlineStr">
        <is>
          <t xml:space="preserve">FUENTE: Deviation.csv, filas CSV 1771-1772; Workflow=Expired; Date Released=2025-10-21; Date Originated=2025-09-17; Site=FJZP, Plant=MCGA (sin convertir automaticamente a FJZ); 2 filas PN; APROBACION Y APLICABILIDAD NO VALIDADAS. </t>
        </is>
      </c>
    </row>
    <row r="140">
      <c r="A140" s="35" t="inlineStr">
        <is>
          <t>DEV-CTANJZ04863</t>
        </is>
      </c>
      <c r="B140" s="35" t="inlineStr">
        <is>
          <t>DEVIATION</t>
        </is>
      </c>
      <c r="C140" s="35" t="inlineStr">
        <is>
          <t>D606223</t>
        </is>
      </c>
      <c r="D140" s="35" t="n"/>
      <c r="E140" s="36" t="inlineStr">
        <is>
          <t>D606223 Allow FJZ to use 2;184 pcs of CPN- 15-104142-02 instead of version 01 to complete the qtr. End commitment.Please first make a controlled run of 3 units; pass the units trhough the process (PCBASSY; PCBP2; PCB2C; SYSASSY; SYSHIPOT; SYSFT) to confirm there is not any problem and report if any problem to**  Cisco Support Team ***PLPM:   Pin MakPE - Aiseosa OmorogievaME - Edgar BarronTE- Patricia ChavezTDE: Nirupama PadmanabhanSet the assemblies aside; if test results are satisfactory and the PE gives approval then units can be mixed with production for customer shipments. If the units do not pass test then we need to hold them up and notify PE for further instruction.Once released the material will be used to complete the qtr. end commitment</t>
        </is>
      </c>
      <c r="F140" s="35" t="inlineStr">
        <is>
          <t>Pending</t>
        </is>
      </c>
      <c r="G140" s="35" t="inlineStr">
        <is>
          <t>Expired</t>
        </is>
      </c>
      <c r="H140" s="35" t="inlineStr">
        <is>
          <t>Pending Review</t>
        </is>
      </c>
      <c r="I140" s="35" t="inlineStr">
        <is>
          <t>STBU</t>
        </is>
      </c>
      <c r="J140" s="35" t="inlineStr">
        <is>
          <t>CTANJZ04863</t>
        </is>
      </c>
      <c r="K140" s="37" t="n"/>
      <c r="L140" s="37" t="n"/>
      <c r="M140" s="37" t="n">
        <v>46039</v>
      </c>
      <c r="N140" s="35" t="n"/>
      <c r="O140" s="35" t="n"/>
      <c r="P140" s="35" t="n"/>
      <c r="Q140" s="35" t="n"/>
      <c r="R140" s="35" t="n"/>
      <c r="S140" s="35" t="n"/>
      <c r="T140" s="35" t="inlineStr">
        <is>
          <t>Y</t>
        </is>
      </c>
      <c r="U140" s="36" t="inlineStr">
        <is>
          <t xml:space="preserve">FUENTE: Deviation.csv, filas CSV 429-431; Workflow=Expired; Date Released=2025-10-03; Date Originated=2025-09-18; Site=FJZP, Plant=MCGA (sin convertir automaticamente a FJZ); 3 filas PN; APROBACION Y APLICABILIDAD NO VALIDADAS. </t>
        </is>
      </c>
    </row>
    <row r="141">
      <c r="A141" s="43" t="inlineStr">
        <is>
          <t>DEV-CTANJZ04864</t>
        </is>
      </c>
      <c r="B141" s="43" t="inlineStr">
        <is>
          <t>DEVIATION</t>
        </is>
      </c>
      <c r="C141" s="43" t="inlineStr">
        <is>
          <t>D606346</t>
        </is>
      </c>
      <c r="D141" s="43" t="n"/>
      <c r="E141" s="33" t="inlineStr">
        <is>
          <t>D606346 NGFWBU:Woodside Park Model Pilot - Allow usage of consigned AMD CPUs with cancelled MPN AVL status</t>
        </is>
      </c>
      <c r="F141" s="43" t="inlineStr">
        <is>
          <t>Pending</t>
        </is>
      </c>
      <c r="G141" s="43" t="inlineStr">
        <is>
          <t>Expired</t>
        </is>
      </c>
      <c r="H141" s="43" t="inlineStr">
        <is>
          <t>Pending Review</t>
        </is>
      </c>
      <c r="I141" s="43" t="inlineStr">
        <is>
          <t>STBU</t>
        </is>
      </c>
      <c r="J141" s="43" t="inlineStr">
        <is>
          <t>CTANJZ04864</t>
        </is>
      </c>
      <c r="K141" s="32" t="n"/>
      <c r="L141" s="32" t="n"/>
      <c r="M141" s="32" t="n">
        <v>46008</v>
      </c>
      <c r="N141" s="43" t="n"/>
      <c r="O141" s="43" t="n"/>
      <c r="P141" s="43" t="n"/>
      <c r="Q141" s="43" t="n"/>
      <c r="R141" s="43" t="n"/>
      <c r="S141" s="43" t="n"/>
      <c r="T141" s="43" t="inlineStr">
        <is>
          <t>Y</t>
        </is>
      </c>
      <c r="U141" s="33" t="inlineStr">
        <is>
          <t xml:space="preserve">FUENTE: Deviation.csv, filas CSV 495-498; Workflow=Expired; Date Released=2025-10-03; Date Originated=2025-09-18; Site=FJZP, Plant=MCGA (sin convertir automaticamente a FJZ); 4 filas PN; APROBACION Y APLICABILIDAD NO VALIDADAS. </t>
        </is>
      </c>
    </row>
    <row r="142">
      <c r="A142" s="35" t="inlineStr">
        <is>
          <t>DEV-CTANJZ04865</t>
        </is>
      </c>
      <c r="B142" s="35" t="inlineStr">
        <is>
          <t>DEVIATION</t>
        </is>
      </c>
      <c r="C142" s="35" t="inlineStr">
        <is>
          <t>D606401</t>
        </is>
      </c>
      <c r="D142" s="35" t="n"/>
      <c r="E142" s="36" t="inlineStr">
        <is>
          <t>D606401 NGFWBU:Woodside Park - Changes needed to support Pilot 1</t>
        </is>
      </c>
      <c r="F142" s="35" t="inlineStr">
        <is>
          <t>Pending</t>
        </is>
      </c>
      <c r="G142" s="35" t="inlineStr">
        <is>
          <t>Expired</t>
        </is>
      </c>
      <c r="H142" s="35" t="inlineStr">
        <is>
          <t>Pending Review</t>
        </is>
      </c>
      <c r="I142" s="35" t="inlineStr">
        <is>
          <t>STBU</t>
        </is>
      </c>
      <c r="J142" s="35" t="inlineStr">
        <is>
          <t>CTANJZ04865</t>
        </is>
      </c>
      <c r="K142" s="37" t="n"/>
      <c r="L142" s="37" t="n"/>
      <c r="M142" s="37" t="n">
        <v>46008</v>
      </c>
      <c r="N142" s="35" t="n"/>
      <c r="O142" s="35" t="n"/>
      <c r="P142" s="35" t="n"/>
      <c r="Q142" s="35" t="n"/>
      <c r="R142" s="35" t="n"/>
      <c r="S142" s="35" t="n"/>
      <c r="T142" s="35" t="inlineStr">
        <is>
          <t>Y</t>
        </is>
      </c>
      <c r="U142" s="36" t="inlineStr">
        <is>
          <t xml:space="preserve">FUENTE: Deviation.csv, filas CSV 962-963; Workflow=Expired; Date Released=2025-10-23; Date Originated=2025-09-18; Site=FJZP, Plant=MCGA (sin convertir automaticamente a FJZ); 2 filas PN; APROBACION Y APLICABILIDAD NO VALIDADAS. </t>
        </is>
      </c>
    </row>
    <row r="143">
      <c r="A143" s="43" t="inlineStr">
        <is>
          <t>DEV-CTANJZ04866</t>
        </is>
      </c>
      <c r="B143" s="43" t="inlineStr">
        <is>
          <t>DEVIATION</t>
        </is>
      </c>
      <c r="C143" s="43" t="inlineStr">
        <is>
          <t>D604888</t>
        </is>
      </c>
      <c r="D143" s="43" t="n"/>
      <c r="E143" s="33" t="inlineStr">
        <is>
          <t>D604888 Allow FJZ to test material on hand with expired period since are required for the commit of this qtr. These 9 units were produced more than 12 months ago but there was no requirement until now.</t>
        </is>
      </c>
      <c r="F143" s="43" t="inlineStr">
        <is>
          <t>Pending</t>
        </is>
      </c>
      <c r="G143" s="43" t="inlineStr">
        <is>
          <t>Expired</t>
        </is>
      </c>
      <c r="H143" s="43" t="inlineStr">
        <is>
          <t>Pending Review</t>
        </is>
      </c>
      <c r="I143" s="43" t="inlineStr">
        <is>
          <t>STBU</t>
        </is>
      </c>
      <c r="J143" s="43" t="inlineStr">
        <is>
          <t>CTANJZ04866</t>
        </is>
      </c>
      <c r="K143" s="32" t="n"/>
      <c r="L143" s="32" t="n"/>
      <c r="M143" s="32" t="n">
        <v>46009</v>
      </c>
      <c r="N143" s="43" t="n"/>
      <c r="O143" s="43" t="n"/>
      <c r="P143" s="43" t="n"/>
      <c r="Q143" s="43" t="n"/>
      <c r="R143" s="43" t="n"/>
      <c r="S143" s="43" t="n"/>
      <c r="T143" s="43" t="inlineStr">
        <is>
          <t>Y</t>
        </is>
      </c>
      <c r="U143" s="33" t="inlineStr">
        <is>
          <t xml:space="preserve">FUENTE: Deviation.csv, filas CSV 964-964; Workflow=Expired; Date Released=2025-10-21; Date Originated=2025-09-19; Site=FJZP, Plant=MCGA (sin convertir automaticamente a FJZ); 1 filas PN; APROBACION Y APLICABILIDAD NO VALIDADAS. </t>
        </is>
      </c>
    </row>
    <row r="144">
      <c r="A144" s="35" t="inlineStr">
        <is>
          <t>DEV-CTANJZ04867</t>
        </is>
      </c>
      <c r="B144" s="35" t="inlineStr">
        <is>
          <t>DEVIATION</t>
        </is>
      </c>
      <c r="C144" s="35" t="inlineStr">
        <is>
          <t>D606464</t>
        </is>
      </c>
      <c r="D144" s="35" t="n"/>
      <c r="E144" s="36" t="inlineStr">
        <is>
          <t>D606464 CVEBU: Helios: To allow FCZ and FJZ to use -02 revision of 74-140219-01.DF site qty are (FJZ:200pcs; FCZ:100pcs)</t>
        </is>
      </c>
      <c r="F144" s="35" t="inlineStr">
        <is>
          <t>Pending</t>
        </is>
      </c>
      <c r="G144" s="35" t="inlineStr">
        <is>
          <t>Expired</t>
        </is>
      </c>
      <c r="H144" s="35" t="inlineStr">
        <is>
          <t>Pending Review</t>
        </is>
      </c>
      <c r="I144" s="35" t="inlineStr">
        <is>
          <t>CVEBU</t>
        </is>
      </c>
      <c r="J144" s="35" t="inlineStr">
        <is>
          <t>CTANJZ04867</t>
        </is>
      </c>
      <c r="K144" s="37" t="n"/>
      <c r="L144" s="37" t="n"/>
      <c r="M144" s="37" t="n">
        <v>46007</v>
      </c>
      <c r="N144" s="35" t="n"/>
      <c r="O144" s="35" t="n"/>
      <c r="P144" s="35" t="n"/>
      <c r="Q144" s="35" t="n"/>
      <c r="R144" s="35" t="n"/>
      <c r="S144" s="35" t="n"/>
      <c r="T144" s="35" t="inlineStr">
        <is>
          <t>Y</t>
        </is>
      </c>
      <c r="U144" s="36" t="inlineStr">
        <is>
          <t xml:space="preserve">FUENTE: Deviation.csv, filas CSV 961-961; Workflow=Expired; Date Released=2025-10-13; Date Originated=2025-09-19; Site=FJZP, Plant=MCGA (sin convertir automaticamente a FJZ); 1 filas PN; APROBACION Y APLICABILIDAD NO VALIDADAS. </t>
        </is>
      </c>
    </row>
    <row r="145">
      <c r="A145" s="43" t="inlineStr">
        <is>
          <t>DEV-CTANJZ04871</t>
        </is>
      </c>
      <c r="B145" s="43" t="inlineStr">
        <is>
          <t>DEVIATION</t>
        </is>
      </c>
      <c r="C145" s="43" t="inlineStr">
        <is>
          <t>D606244</t>
        </is>
      </c>
      <c r="D145" s="43" t="n"/>
      <c r="E145" s="33" t="inlineStr">
        <is>
          <t>D606244 SRGBU:Promethium:Promethium-L:Update image on part number 17-101533-01 from curie_sb_4.6.0 to curie_sb_4.8.0</t>
        </is>
      </c>
      <c r="F145" s="43" t="inlineStr">
        <is>
          <t>Pending</t>
        </is>
      </c>
      <c r="G145" s="43" t="inlineStr">
        <is>
          <t>Expired</t>
        </is>
      </c>
      <c r="H145" s="43" t="inlineStr">
        <is>
          <t>Pending Review</t>
        </is>
      </c>
      <c r="I145" s="43" t="inlineStr">
        <is>
          <t>SRGBU</t>
        </is>
      </c>
      <c r="J145" s="43" t="inlineStr">
        <is>
          <t>CTANJZ04871</t>
        </is>
      </c>
      <c r="K145" s="32" t="n"/>
      <c r="L145" s="32" t="n"/>
      <c r="M145" s="32" t="n">
        <v>46014</v>
      </c>
      <c r="N145" s="43" t="n"/>
      <c r="O145" s="43" t="n"/>
      <c r="P145" s="43" t="n"/>
      <c r="Q145" s="43" t="n"/>
      <c r="R145" s="43" t="n"/>
      <c r="S145" s="43" t="n"/>
      <c r="T145" s="43" t="inlineStr">
        <is>
          <t>Y</t>
        </is>
      </c>
      <c r="U145" s="33" t="inlineStr">
        <is>
          <t xml:space="preserve">FUENTE: Deviation.csv, filas CSV 839-840; Workflow=Expired; Date Released=2025-10-23; Date Originated=2025-09-25; Site=FJZP, Plant=MCGA (sin convertir automaticamente a FJZ); 2 filas PN; APROBACION Y APLICABILIDAD NO VALIDADAS. </t>
        </is>
      </c>
    </row>
    <row r="146">
      <c r="A146" s="35" t="inlineStr">
        <is>
          <t>DEV-CTANJZ04872</t>
        </is>
      </c>
      <c r="B146" s="35" t="inlineStr">
        <is>
          <t>DEVIATION</t>
        </is>
      </c>
      <c r="C146" s="35" t="inlineStr">
        <is>
          <t>D606243</t>
        </is>
      </c>
      <c r="D146" s="35" t="n"/>
      <c r="E146" s="36" t="inlineStr">
        <is>
          <t>D606243 NGFWBU::::For FPR3K and CSF4200 on the specific PIDs affected by 32G DDR4 Shortage:FP3105 -800-110666-02FPR3110 -800-108035-05FPR3130 -800-108037-05CSF4115 -800-109498-06Allow FJZ to use 15-109192-01 in place of 15-108159-01 to help the qtr. End commitment.FJZ to use the below specified MPNs on 15-109192-01 in place of 15-108159-01 in spite of the AVL status on 15-109192-01:SAMSUNG SEMICONDUCTORS - M393A4G43CB4-CWEMICRON TECHNOLOGY - MTA18ASF4G72PDZ-3G2F1HYNIX SEMICONDUCTOR - HMAG88DXNRBFJZ to first do a controlled run of 3 units; pass the units through the process (PCBASSY; PCBP2; PCB2C; SYSASSY; SYSHIPOT; SYSFT) to confirm there is not any problem and report if any problem to Cisco PE / Support Team.Set the assemblies aside; if test results are satisfactory and the PE gives approval then units can be mixed with production for customer shipments. If the units FAIL then FJZ need to hold units and notify PE for further instruction.*** Cisco Support Team ***PLPM:   Pin MakPE - Aiseosa OmorogievaME - Lluvia RuvalcabaTE- Patricia ChavezTDE: Nirupama Padmanabhan</t>
        </is>
      </c>
      <c r="F146" s="35" t="inlineStr">
        <is>
          <t>Pending</t>
        </is>
      </c>
      <c r="G146" s="35" t="inlineStr">
        <is>
          <t>Expired</t>
        </is>
      </c>
      <c r="H146" s="35" t="inlineStr">
        <is>
          <t>Pending Review</t>
        </is>
      </c>
      <c r="I146" s="35" t="inlineStr">
        <is>
          <t>STBU</t>
        </is>
      </c>
      <c r="J146" s="35" t="inlineStr">
        <is>
          <t>CTANJZ04872</t>
        </is>
      </c>
      <c r="K146" s="37" t="n"/>
      <c r="L146" s="37" t="n"/>
      <c r="M146" s="37" t="n">
        <v>46015</v>
      </c>
      <c r="N146" s="35" t="n"/>
      <c r="O146" s="35" t="n"/>
      <c r="P146" s="35" t="n"/>
      <c r="Q146" s="35" t="n"/>
      <c r="R146" s="35" t="n"/>
      <c r="S146" s="35" t="n"/>
      <c r="T146" s="35" t="inlineStr">
        <is>
          <t>Y</t>
        </is>
      </c>
      <c r="U146" s="36" t="inlineStr">
        <is>
          <t xml:space="preserve">FUENTE: Deviation.csv, filas CSV 410-439; Workflow=Expired; Date Released=2025-10-21; Date Originated=2025-09-25; Site=FJZP, Plant=MCGA (sin convertir automaticamente a FJZ); 5 filas PN; APROBACION Y APLICABILIDAD NO VALIDADAS. </t>
        </is>
      </c>
    </row>
    <row r="147">
      <c r="A147" s="43" t="inlineStr">
        <is>
          <t>DEV-CTANJZ04873</t>
        </is>
      </c>
      <c r="B147" s="43" t="inlineStr">
        <is>
          <t>DEVIATION</t>
        </is>
      </c>
      <c r="C147" s="43" t="inlineStr">
        <is>
          <t>D606385</t>
        </is>
      </c>
      <c r="D147" s="43" t="n"/>
      <c r="E147" s="33" t="inlineStr">
        <is>
          <t>D606385 This Deviaiton will be used for the Woodside Park Pilot 1 build at FJZ; Mexico. See material notes below for materials to use new version or old revision of material.1. 800-50525-03 SSD carrier will be used for Woodside Park Pilot builds.2. 700-138393-01 qty in stock can be used up with MPN 1363472.3. 800-112989-01 Revision 02 can be used for the Pilot builds.4. 700-138289-01 revision 07 can be used for the Pilot builds.5. 700-138284-01 revision 08 can be used for the Pilot builds.6. 700-137009-01 revision 02 can be used for the Pilot builds.7. 47-111061-01 revision 03 samples can be used for the Pilot builds.</t>
        </is>
      </c>
      <c r="F147" s="43" t="inlineStr">
        <is>
          <t>Pending</t>
        </is>
      </c>
      <c r="G147" s="43" t="inlineStr">
        <is>
          <t>Expired</t>
        </is>
      </c>
      <c r="H147" s="43" t="inlineStr">
        <is>
          <t>Pending Review</t>
        </is>
      </c>
      <c r="I147" s="43" t="inlineStr">
        <is>
          <t>STBU</t>
        </is>
      </c>
      <c r="J147" s="43" t="inlineStr">
        <is>
          <t>CTANJZ04873</t>
        </is>
      </c>
      <c r="K147" s="32" t="n"/>
      <c r="L147" s="32" t="n"/>
      <c r="M147" s="32" t="n">
        <v>46014</v>
      </c>
      <c r="N147" s="43" t="n"/>
      <c r="O147" s="43" t="n"/>
      <c r="P147" s="43" t="n"/>
      <c r="Q147" s="43" t="n"/>
      <c r="R147" s="43" t="n"/>
      <c r="S147" s="43" t="n"/>
      <c r="T147" s="43" t="inlineStr">
        <is>
          <t>Y</t>
        </is>
      </c>
      <c r="U147" s="33" t="inlineStr">
        <is>
          <t xml:space="preserve">FUENTE: Deviation.csv, filas CSV 841-904; Workflow=Expired; Date Released=2025-10-03; Date Originated=2025-09-25; Site=FJZP, Plant=MCGA (sin convertir automaticamente a FJZ); 4 filas PN; APROBACION Y APLICABILIDAD NO VALIDADAS. </t>
        </is>
      </c>
    </row>
    <row r="148">
      <c r="A148" s="35" t="inlineStr">
        <is>
          <t>DEV-CTANJZ04881</t>
        </is>
      </c>
      <c r="B148" s="35" t="inlineStr">
        <is>
          <t>DEVIATION</t>
        </is>
      </c>
      <c r="C148" s="35" t="inlineStr">
        <is>
          <t>D606269</t>
        </is>
      </c>
      <c r="D148" s="35" t="n"/>
      <c r="E148" s="36" t="inlineStr">
        <is>
          <t>D606269 For ESW- Pilot -1; please follow below for SMT build1. For PN# 15-107147-01; MPN 98CX8540-A0-BZD4C000 and MPN 98CX8540A0-BZD4C000 are exactly same. Had to update MPN nomenclature as per Marvell request to match their MPN name.2. 11-3347-01 ¡V You can use Rev A0 ; for only Qualified MPN under it.3. 17-103220-03 / 17-103221-01 / 17-103222-02 ¡V Rev 01 and Rev A0 programming are same. CPN was moved to A0 after the PO release because of high L/T.</t>
        </is>
      </c>
      <c r="F148" s="35" t="inlineStr">
        <is>
          <t>Pending</t>
        </is>
      </c>
      <c r="G148" s="35" t="inlineStr">
        <is>
          <t>Expired</t>
        </is>
      </c>
      <c r="H148" s="35" t="inlineStr">
        <is>
          <t>Pending Review</t>
        </is>
      </c>
      <c r="I148" s="35" t="inlineStr">
        <is>
          <t>STBU</t>
        </is>
      </c>
      <c r="J148" s="35" t="inlineStr">
        <is>
          <t>CTANJZ04881</t>
        </is>
      </c>
      <c r="K148" s="37" t="n"/>
      <c r="L148" s="37" t="n"/>
      <c r="M148" s="37" t="n">
        <v>46016</v>
      </c>
      <c r="N148" s="35" t="n"/>
      <c r="O148" s="35" t="n"/>
      <c r="P148" s="35" t="n"/>
      <c r="Q148" s="35" t="n"/>
      <c r="R148" s="35" t="n"/>
      <c r="S148" s="35" t="n"/>
      <c r="T148" s="35" t="inlineStr">
        <is>
          <t>Y</t>
        </is>
      </c>
      <c r="U148" s="36" t="inlineStr">
        <is>
          <t xml:space="preserve">FUENTE: Deviation.csv, filas CSV 905-905; Workflow=Expired; Date Released=2025-10-25; Date Originated=2025-09-26; Site=FJZP, Plant=MCGA (sin convertir automaticamente a FJZ); 1 filas PN; APROBACION Y APLICABILIDAD NO VALIDADAS. </t>
        </is>
      </c>
    </row>
    <row r="149">
      <c r="A149" s="43" t="inlineStr">
        <is>
          <t>DEV-CTANJZ04884</t>
        </is>
      </c>
      <c r="B149" s="43" t="inlineStr">
        <is>
          <t>DEVIATION</t>
        </is>
      </c>
      <c r="C149" s="43" t="inlineStr">
        <is>
          <t>D606680</t>
        </is>
      </c>
      <c r="D149" s="43" t="n"/>
      <c r="E149" s="33" t="inlineStr">
        <is>
          <t>D606680 CVEBU;Taylor800-126978-03 / 73-103922-04 PCA;TAYLOR LOW MODULE WITH HYNIX 16GB LPDDR5  In BOM28-103228-04 PCBFAB;12 L;EM-370(Z);OSP;47.2 mil;TAYLOR;2-UP  To avoid E&amp;O; FJZ is allowed to consume their stock of 342 pcs previous version PCBs; namely 28-103228-03.</t>
        </is>
      </c>
      <c r="F149" s="43" t="inlineStr">
        <is>
          <t>Pending</t>
        </is>
      </c>
      <c r="G149" s="43" t="inlineStr">
        <is>
          <t>Expired</t>
        </is>
      </c>
      <c r="H149" s="43" t="inlineStr">
        <is>
          <t>Pending Review</t>
        </is>
      </c>
      <c r="I149" s="43" t="inlineStr">
        <is>
          <t>CVEBU</t>
        </is>
      </c>
      <c r="J149" s="43" t="inlineStr">
        <is>
          <t>CTANJZ04884</t>
        </is>
      </c>
      <c r="K149" s="32" t="n"/>
      <c r="L149" s="32" t="n"/>
      <c r="M149" s="32" t="n">
        <v>46020</v>
      </c>
      <c r="N149" s="43" t="n"/>
      <c r="O149" s="43" t="n"/>
      <c r="P149" s="43" t="n"/>
      <c r="Q149" s="43" t="n"/>
      <c r="R149" s="43" t="n"/>
      <c r="S149" s="43" t="n"/>
      <c r="T149" s="43" t="inlineStr">
        <is>
          <t>Y</t>
        </is>
      </c>
      <c r="U149" s="33" t="inlineStr">
        <is>
          <t xml:space="preserve">FUENTE: Deviation.csv, filas CSV 440-441; Workflow=Expired; Date Released=2025-10-13; Date Originated=2025-09-30; Site=FJZP, Plant=MCGA (sin convertir automaticamente a FJZ); 2 filas PN; APROBACION Y APLICABILIDAD NO VALIDADAS. </t>
        </is>
      </c>
    </row>
    <row r="150">
      <c r="A150" s="35" t="inlineStr">
        <is>
          <t>DEV-CTANJZ04886</t>
        </is>
      </c>
      <c r="B150" s="35" t="inlineStr">
        <is>
          <t>DEVIATION</t>
        </is>
      </c>
      <c r="C150" s="35" t="inlineStr">
        <is>
          <t>D606659</t>
        </is>
      </c>
      <c r="D150" s="35" t="n"/>
      <c r="E150" s="36" t="inlineStr">
        <is>
          <t>D606659 NGFWBU: Risk Buy: GQR No: GQR000068480; AQR No: AQR002836001; CPN: 22-100237-01; MFR NAME: DIPTRONICS; MPN: TAFG-12WQTo execute the above AQR at CM Site.</t>
        </is>
      </c>
      <c r="F150" s="35" t="inlineStr">
        <is>
          <t>Pending</t>
        </is>
      </c>
      <c r="G150" s="35" t="inlineStr">
        <is>
          <t>Expired</t>
        </is>
      </c>
      <c r="H150" s="35" t="inlineStr">
        <is>
          <t>Pending Review</t>
        </is>
      </c>
      <c r="I150" s="35" t="inlineStr">
        <is>
          <t>STBU</t>
        </is>
      </c>
      <c r="J150" s="35" t="inlineStr">
        <is>
          <t>CTANJZ04886</t>
        </is>
      </c>
      <c r="K150" s="37" t="n"/>
      <c r="L150" s="37" t="n"/>
      <c r="M150" s="37" t="n">
        <v>46022</v>
      </c>
      <c r="N150" s="35" t="n"/>
      <c r="O150" s="35" t="n"/>
      <c r="P150" s="35" t="n"/>
      <c r="Q150" s="35" t="n"/>
      <c r="R150" s="35" t="n"/>
      <c r="S150" s="35" t="n"/>
      <c r="T150" s="35" t="inlineStr">
        <is>
          <t>Y</t>
        </is>
      </c>
      <c r="U150" s="36" t="inlineStr">
        <is>
          <t xml:space="preserve">FUENTE: Deviation.csv, filas CSV 1440-1441; Workflow=Expired; Date Released=2025-10-21; Date Originated=2025-10-07; Site=FJZP, Plant=MCGA (sin convertir automaticamente a FJZ); 2 filas PN; APROBACION Y APLICABILIDAD NO VALIDADAS. </t>
        </is>
      </c>
    </row>
    <row r="151">
      <c r="A151" s="43" t="inlineStr">
        <is>
          <t>DEV-CTANJZ04887</t>
        </is>
      </c>
      <c r="B151" s="43" t="inlineStr">
        <is>
          <t>DEVIATION</t>
        </is>
      </c>
      <c r="C151" s="43" t="inlineStr">
        <is>
          <t>D606802</t>
        </is>
      </c>
      <c r="D151" s="43" t="n"/>
      <c r="E151" s="33" t="inlineStr">
        <is>
          <t>D606802NGFWBU:Woodside Park - Test Direction for Initial Pilot 1 units</t>
        </is>
      </c>
      <c r="F151" s="43" t="inlineStr">
        <is>
          <t>Pending</t>
        </is>
      </c>
      <c r="G151" s="43" t="inlineStr">
        <is>
          <t>Expired</t>
        </is>
      </c>
      <c r="H151" s="43" t="inlineStr">
        <is>
          <t>Pending Review</t>
        </is>
      </c>
      <c r="I151" s="43" t="inlineStr">
        <is>
          <t>STBU</t>
        </is>
      </c>
      <c r="J151" s="43" t="inlineStr">
        <is>
          <t>CTANJZ04887</t>
        </is>
      </c>
      <c r="K151" s="32" t="n"/>
      <c r="L151" s="32" t="n"/>
      <c r="M151" s="32" t="n">
        <v>46024</v>
      </c>
      <c r="N151" s="43" t="n"/>
      <c r="O151" s="43" t="n"/>
      <c r="P151" s="43" t="n"/>
      <c r="Q151" s="43" t="n"/>
      <c r="R151" s="43" t="n"/>
      <c r="S151" s="43" t="n"/>
      <c r="T151" s="43" t="inlineStr">
        <is>
          <t>Y</t>
        </is>
      </c>
      <c r="U151" s="33" t="inlineStr">
        <is>
          <t xml:space="preserve">FUENTE: Deviation.csv, filas CSV 942-943; Workflow=Expired; Date Released=2025-10-29; Date Originated=2025-10-07; Site=FJZP, Plant=MCGA (sin convertir automaticamente a FJZ); 2 filas PN; APROBACION Y APLICABILIDAD NO VALIDADAS. </t>
        </is>
      </c>
    </row>
    <row r="152">
      <c r="A152" s="35" t="inlineStr">
        <is>
          <t>DEV-CTANJZ04889</t>
        </is>
      </c>
      <c r="B152" s="35" t="inlineStr">
        <is>
          <t>DEVIATION</t>
        </is>
      </c>
      <c r="C152" s="35" t="inlineStr">
        <is>
          <t>D606833</t>
        </is>
      </c>
      <c r="D152" s="35" t="n"/>
      <c r="E152" s="36" t="inlineStr">
        <is>
          <t>D606833 Allow Foxconn to use 30-100290-01 Rev B0 for Roku CAT 7 production builds.</t>
        </is>
      </c>
      <c r="F152" s="35" t="inlineStr">
        <is>
          <t>Pending</t>
        </is>
      </c>
      <c r="G152" s="35" t="inlineStr">
        <is>
          <t>Expired</t>
        </is>
      </c>
      <c r="H152" s="35" t="inlineStr">
        <is>
          <t>Pending Review</t>
        </is>
      </c>
      <c r="I152" s="35" t="inlineStr">
        <is>
          <t>SRGBU</t>
        </is>
      </c>
      <c r="J152" s="35" t="inlineStr">
        <is>
          <t>CTANJZ04889</t>
        </is>
      </c>
      <c r="K152" s="37" t="n"/>
      <c r="L152" s="37" t="n"/>
      <c r="M152" s="37" t="n">
        <v>46024</v>
      </c>
      <c r="N152" s="35" t="n"/>
      <c r="O152" s="35" t="n"/>
      <c r="P152" s="35" t="n"/>
      <c r="Q152" s="35" t="n"/>
      <c r="R152" s="35" t="n"/>
      <c r="S152" s="35" t="n"/>
      <c r="T152" s="35" t="inlineStr">
        <is>
          <t>Y</t>
        </is>
      </c>
      <c r="U152" s="36" t="inlineStr">
        <is>
          <t xml:space="preserve">FUENTE: Deviation.csv, filas CSV 944-944; Workflow=Expired; Date Released=2025-10-24; Date Originated=2025-10-07; Site=FJZP, Plant=MCGA (sin convertir automaticamente a FJZ); 1 filas PN; APROBACION Y APLICABILIDAD NO VALIDADAS. </t>
        </is>
      </c>
    </row>
    <row r="153">
      <c r="A153" s="43" t="inlineStr">
        <is>
          <t>DEV-CTANJZ04892</t>
        </is>
      </c>
      <c r="B153" s="43" t="inlineStr">
        <is>
          <t>DEVIATION</t>
        </is>
      </c>
      <c r="C153" s="43" t="inlineStr">
        <is>
          <t>D606672</t>
        </is>
      </c>
      <c r="D153" s="43" t="n"/>
      <c r="E153" s="33" t="inlineStr">
        <is>
          <t>D606672 CVEBU;DaVinci800-109542-02 E/M_ASSY_MECH; DAVINCI MAIN BOARD UPD UNIT;TAA  800-109532-03 ASY-ELMECH;CPU;DAVINCI;MAIN BOARD WITH TX2 NX 8GB;TAA  73-102197-02 PCA;DAVINCI MAIN BOARD  In BOM28-102487-05 PCBFAB;14 L;EM-827;OSP;86.6 mil;DAVINCI;MB  Qualified:       Gold 28-102487-05_S102_M202Qualified:       ISU  28-102487-05_S102_M202Qualified:       TTM  28-102487-05_S107_M202IPQ to Qualified:TTM  28-102487-05_S802_M202 (by MCO133407)FJZ is hereby resume their PO#70460025 buying 304 pcs + 40 pcs of28-102487-05_S802_M202Before these PCBs are used in Maas Production; a DaVinci unit control run shall be performed.10 pcs 800-109532-03 / 73-102197-02 PCBAs shall be built and tested.These complete Main Board assemblies shall be used to build complete DaVinci units which needs to pass normal production tests.After a successful control run; 28-102487-05_S802_M202 can be used in Mass Production; even if the MPN is not yet flipped to Qualified</t>
        </is>
      </c>
      <c r="F153" s="43" t="inlineStr">
        <is>
          <t>Pending</t>
        </is>
      </c>
      <c r="G153" s="43" t="inlineStr">
        <is>
          <t>Expired</t>
        </is>
      </c>
      <c r="H153" s="43" t="inlineStr">
        <is>
          <t>Pending Review</t>
        </is>
      </c>
      <c r="I153" s="43" t="inlineStr">
        <is>
          <t>CVEBU</t>
        </is>
      </c>
      <c r="J153" s="43" t="inlineStr">
        <is>
          <t>CTANJZ04892</t>
        </is>
      </c>
      <c r="K153" s="32" t="n"/>
      <c r="L153" s="32" t="n"/>
      <c r="M153" s="32" t="n">
        <v>46021</v>
      </c>
      <c r="N153" s="43" t="n"/>
      <c r="O153" s="43" t="n"/>
      <c r="P153" s="43" t="n"/>
      <c r="Q153" s="43" t="n"/>
      <c r="R153" s="43" t="n"/>
      <c r="S153" s="43" t="n"/>
      <c r="T153" s="43" t="inlineStr">
        <is>
          <t>Y</t>
        </is>
      </c>
      <c r="U153" s="33" t="inlineStr">
        <is>
          <t xml:space="preserve">FUENTE: Deviation.csv, filas CSV 159-160; Workflow=Expired; Date Released=2025-10-21; Date Originated=2025-10-07; Site=FJZP, Plant=MCGA (sin convertir automaticamente a FJZ); 2 filas PN; APROBACION Y APLICABILIDAD NO VALIDADAS. </t>
        </is>
      </c>
    </row>
    <row r="154">
      <c r="A154" s="35" t="inlineStr">
        <is>
          <t>DEV-CTANJZ04893</t>
        </is>
      </c>
      <c r="B154" s="35" t="inlineStr">
        <is>
          <t>DEVIATION</t>
        </is>
      </c>
      <c r="C154" s="35" t="inlineStr">
        <is>
          <t>D606870</t>
        </is>
      </c>
      <c r="D154" s="35" t="n"/>
      <c r="E154" s="36" t="inlineStr">
        <is>
          <t>D606870 SRGBU: Allow FJZ Site to use 16-102062-01  with date code &gt;2 years (DC 2235).1.- Solderability test is required due to date code &gt;2 years. (One D/CL/C) Total: 3 units2.- If ANY quality problems are presented using this CPN during the evaluation; it needs to notify to Cisco ME (Jose Barraza).3. Foxconn Juarez must  record the impacted SNs using SFCS (shop floor control system) if the component is approved</t>
        </is>
      </c>
      <c r="F154" s="35" t="inlineStr">
        <is>
          <t>Pending</t>
        </is>
      </c>
      <c r="G154" s="35" t="inlineStr">
        <is>
          <t>Expired</t>
        </is>
      </c>
      <c r="H154" s="35" t="inlineStr">
        <is>
          <t>Pending Review</t>
        </is>
      </c>
      <c r="I154" s="35" t="inlineStr">
        <is>
          <t>SRGBU</t>
        </is>
      </c>
      <c r="J154" s="35" t="inlineStr">
        <is>
          <t>CTANJZ04893</t>
        </is>
      </c>
      <c r="K154" s="37" t="n"/>
      <c r="L154" s="37" t="n"/>
      <c r="M154" s="37" t="n">
        <v>46027</v>
      </c>
      <c r="N154" s="35" t="n"/>
      <c r="O154" s="35" t="n"/>
      <c r="P154" s="35" t="n"/>
      <c r="Q154" s="35" t="n"/>
      <c r="R154" s="35" t="n"/>
      <c r="S154" s="35" t="n"/>
      <c r="T154" s="35" t="inlineStr">
        <is>
          <t>Y</t>
        </is>
      </c>
      <c r="U154" s="36" t="inlineStr">
        <is>
          <t xml:space="preserve">FUENTE: Deviation.csv, filas CSV 419-422; Workflow=Expired; Date Released=2025-10-24; Date Originated=2025-10-07; Site=FJZP, Plant=MCGA (sin convertir automaticamente a FJZ); 4 filas PN; APROBACION Y APLICABILIDAD NO VALIDADAS. </t>
        </is>
      </c>
    </row>
    <row r="155">
      <c r="A155" s="43" t="inlineStr">
        <is>
          <t>DEV-CTANJZ04894</t>
        </is>
      </c>
      <c r="B155" s="43" t="inlineStr">
        <is>
          <t>DEVIATION</t>
        </is>
      </c>
      <c r="C155" s="43" t="inlineStr">
        <is>
          <t>D606830</t>
        </is>
      </c>
      <c r="D155" s="43" t="n"/>
      <c r="E155" s="33" t="inlineStr">
        <is>
          <t>D606830 Please see Page Three for details</t>
        </is>
      </c>
      <c r="F155" s="43" t="inlineStr">
        <is>
          <t>Pending</t>
        </is>
      </c>
      <c r="G155" s="43" t="inlineStr">
        <is>
          <t>Expired</t>
        </is>
      </c>
      <c r="H155" s="43" t="inlineStr">
        <is>
          <t>Pending Review</t>
        </is>
      </c>
      <c r="I155" s="43" t="inlineStr">
        <is>
          <t>STBU</t>
        </is>
      </c>
      <c r="J155" s="43" t="inlineStr">
        <is>
          <t>CTANJZ04894</t>
        </is>
      </c>
      <c r="K155" s="32" t="n"/>
      <c r="L155" s="32" t="n"/>
      <c r="M155" s="32" t="n">
        <v>46027</v>
      </c>
      <c r="N155" s="43" t="n"/>
      <c r="O155" s="43" t="n"/>
      <c r="P155" s="43" t="n"/>
      <c r="Q155" s="43" t="n"/>
      <c r="R155" s="43" t="n"/>
      <c r="S155" s="43" t="n"/>
      <c r="T155" s="43" t="inlineStr">
        <is>
          <t>Y</t>
        </is>
      </c>
      <c r="U155" s="33" t="inlineStr">
        <is>
          <t xml:space="preserve">FUENTE: Deviation.csv, filas CSV 414-418; Workflow=Expired; Date Released=2025-10-25; Date Originated=2025-10-07; Site=FJZP, Plant=MCGA (sin convertir automaticamente a FJZ); 5 filas PN; APROBACION Y APLICABILIDAD NO VALIDADAS. </t>
        </is>
      </c>
    </row>
    <row r="156">
      <c r="A156" s="35" t="inlineStr">
        <is>
          <t>DEV-CTANJZ04896</t>
        </is>
      </c>
      <c r="B156" s="35" t="inlineStr">
        <is>
          <t>DEVIATION</t>
        </is>
      </c>
      <c r="C156" s="35" t="inlineStr">
        <is>
          <t>D605020</t>
        </is>
      </c>
      <c r="D156" s="35" t="n"/>
      <c r="E156" s="36"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F156" s="35" t="inlineStr">
        <is>
          <t>Pending</t>
        </is>
      </c>
      <c r="G156" s="35" t="inlineStr">
        <is>
          <t>Expired</t>
        </is>
      </c>
      <c r="H156" s="35" t="inlineStr">
        <is>
          <t>Pending Review</t>
        </is>
      </c>
      <c r="I156" s="35" t="inlineStr">
        <is>
          <t>STBU</t>
        </is>
      </c>
      <c r="J156" s="35" t="inlineStr">
        <is>
          <t>CTANJZ04896</t>
        </is>
      </c>
      <c r="K156" s="37" t="n"/>
      <c r="L156" s="37" t="n"/>
      <c r="M156" s="37" t="n">
        <v>46026</v>
      </c>
      <c r="N156" s="35" t="n"/>
      <c r="O156" s="35" t="n"/>
      <c r="P156" s="35" t="n"/>
      <c r="Q156" s="35" t="n"/>
      <c r="R156" s="35" t="n"/>
      <c r="S156" s="35" t="n"/>
      <c r="T156" s="35" t="inlineStr">
        <is>
          <t>Y</t>
        </is>
      </c>
      <c r="U156" s="36" t="inlineStr">
        <is>
          <t xml:space="preserve">FUENTE: Deviation.csv, filas CSV 38-44; Workflow=Expired; Date Released=2025-10-21; Date Originated=2025-10-08; Site=FJZP, Plant=MCGA (sin convertir automaticamente a FJZ); 7 filas PN; APROBACION Y APLICABILIDAD NO VALIDADAS. </t>
        </is>
      </c>
    </row>
    <row r="157">
      <c r="A157" s="43" t="inlineStr">
        <is>
          <t>DEV-CTANJZ04898</t>
        </is>
      </c>
      <c r="B157" s="43" t="inlineStr">
        <is>
          <t>DEVIATION</t>
        </is>
      </c>
      <c r="C157" s="43" t="inlineStr">
        <is>
          <t>DP525313</t>
        </is>
      </c>
      <c r="D157" s="43" t="n"/>
      <c r="E157" s="33" t="inlineStr">
        <is>
          <t>DP525313 This Prototype deviation will be used for Woodside Park P4 build at FJZ Mexico.1.     10 A0 PSUs(341-101623-02) and 2 A0 Fans(800-112580-01) will be used to finished the remaining P4 build SKU B 68-104575-04 only.</t>
        </is>
      </c>
      <c r="F157" s="43" t="inlineStr">
        <is>
          <t>Pending</t>
        </is>
      </c>
      <c r="G157" s="43" t="inlineStr">
        <is>
          <t>Expired</t>
        </is>
      </c>
      <c r="H157" s="43" t="inlineStr">
        <is>
          <t>Pending Review</t>
        </is>
      </c>
      <c r="I157" s="43" t="inlineStr">
        <is>
          <t>STBU</t>
        </is>
      </c>
      <c r="J157" s="43" t="inlineStr">
        <is>
          <t>CTANJZ04898</t>
        </is>
      </c>
      <c r="K157" s="32" t="n"/>
      <c r="L157" s="32" t="n"/>
      <c r="M157" s="32" t="n">
        <v>45999</v>
      </c>
      <c r="N157" s="43" t="n"/>
      <c r="O157" s="43" t="n"/>
      <c r="P157" s="43" t="n"/>
      <c r="Q157" s="43" t="n"/>
      <c r="R157" s="43" t="n"/>
      <c r="S157" s="43" t="n"/>
      <c r="T157" s="43" t="inlineStr">
        <is>
          <t>Y</t>
        </is>
      </c>
      <c r="U157" s="33" t="inlineStr">
        <is>
          <t xml:space="preserve">FUENTE: Deviation.csv, filas CSV 886-887; Workflow=Expired; Date Released=2025-10-21; Date Originated=2025-10-09; Site=FJZP, Plant=MCGA (sin convertir automaticamente a FJZ); 2 filas PN; APROBACION Y APLICABILIDAD NO VALIDADAS. </t>
        </is>
      </c>
    </row>
    <row r="158">
      <c r="A158" s="35" t="inlineStr">
        <is>
          <t>DEV-CTANJZ04899</t>
        </is>
      </c>
      <c r="B158" s="35" t="inlineStr">
        <is>
          <t>DEVIATION</t>
        </is>
      </c>
      <c r="C158" s="35" t="inlineStr">
        <is>
          <t>D606900</t>
        </is>
      </c>
      <c r="D158" s="35" t="n"/>
      <c r="E158" s="36" t="inlineStr">
        <is>
          <t>D606900 FJZ has 855 PCBAs on 73- level that have expired tests and 358 with a parent still associated to them.All units will have to go back to the PCBA process to be assembled again on the QW units. The units that are associated to a parent will need to be disassociated to be used on manufacturing.PCQO will add this deviation to script and provide a fix to do the disassociation.</t>
        </is>
      </c>
      <c r="F158" s="35" t="inlineStr">
        <is>
          <t>Pending</t>
        </is>
      </c>
      <c r="G158" s="35" t="inlineStr">
        <is>
          <t>Expired</t>
        </is>
      </c>
      <c r="H158" s="35" t="inlineStr">
        <is>
          <t>Pending Review</t>
        </is>
      </c>
      <c r="I158" s="35" t="inlineStr">
        <is>
          <t>STBU</t>
        </is>
      </c>
      <c r="J158" s="35" t="inlineStr">
        <is>
          <t>CTANJZ04899</t>
        </is>
      </c>
      <c r="K158" s="37" t="n"/>
      <c r="L158" s="37" t="n"/>
      <c r="M158" s="37" t="n">
        <v>46029</v>
      </c>
      <c r="N158" s="35" t="n"/>
      <c r="O158" s="35" t="n"/>
      <c r="P158" s="35" t="n"/>
      <c r="Q158" s="35" t="n"/>
      <c r="R158" s="35" t="n"/>
      <c r="S158" s="35" t="n"/>
      <c r="T158" s="35" t="inlineStr">
        <is>
          <t>Y</t>
        </is>
      </c>
      <c r="U158" s="36" t="inlineStr">
        <is>
          <t xml:space="preserve">FUENTE: Deviation.csv, filas CSV 853-860; Workflow=Expired; Date Released=2025-10-25; Date Originated=2025-10-09; Site=FJZP, Plant=MCGA (sin convertir automaticamente a FJZ); 8 filas PN; APROBACION Y APLICABILIDAD NO VALIDADAS. </t>
        </is>
      </c>
    </row>
    <row r="159">
      <c r="A159" s="43" t="inlineStr">
        <is>
          <t>DEV-CTANJZ04900</t>
        </is>
      </c>
      <c r="B159" s="43" t="inlineStr">
        <is>
          <t>DEVIATION</t>
        </is>
      </c>
      <c r="C159" s="43" t="inlineStr">
        <is>
          <t>D606855</t>
        </is>
      </c>
      <c r="D159" s="43" t="n"/>
      <c r="E159" s="33" t="inlineStr">
        <is>
          <t>D606855 This Deviaiton will be used for the Woodside Park Pilot 1 build at FJZ; Mexico. See material notes below for materials to use new version or old revision of material.700-136450-02 Revision 04 can be used for the Pilot builds.700-135337-01 Revision 08 can be used for the Pilot builds.</t>
        </is>
      </c>
      <c r="F159" s="43" t="inlineStr">
        <is>
          <t>Pending</t>
        </is>
      </c>
      <c r="G159" s="43" t="inlineStr">
        <is>
          <t>Expired</t>
        </is>
      </c>
      <c r="H159" s="43" t="inlineStr">
        <is>
          <t>Pending Review</t>
        </is>
      </c>
      <c r="I159" s="43" t="inlineStr">
        <is>
          <t>STBU</t>
        </is>
      </c>
      <c r="J159" s="43" t="inlineStr">
        <is>
          <t>CTANJZ04900</t>
        </is>
      </c>
      <c r="K159" s="32" t="n"/>
      <c r="L159" s="32" t="n"/>
      <c r="M159" s="32" t="n">
        <v>46029</v>
      </c>
      <c r="N159" s="43" t="n"/>
      <c r="O159" s="43" t="n"/>
      <c r="P159" s="43" t="n"/>
      <c r="Q159" s="43" t="n"/>
      <c r="R159" s="43" t="n"/>
      <c r="S159" s="43" t="n"/>
      <c r="T159" s="43" t="inlineStr">
        <is>
          <t>Y</t>
        </is>
      </c>
      <c r="U159" s="33" t="inlineStr">
        <is>
          <t xml:space="preserve">FUENTE: Deviation.csv, filas CSV 950-953; Workflow=Expired; Date Released=2025-10-25; Date Originated=2025-10-09; Site=FJZP, Plant=MCGA (sin convertir automaticamente a FJZ); 4 filas PN; APROBACION Y APLICABILIDAD NO VALIDADAS. </t>
        </is>
      </c>
    </row>
    <row r="160">
      <c r="A160" s="35" t="inlineStr">
        <is>
          <t>DEV-CTANJZ04901</t>
        </is>
      </c>
      <c r="B160" s="35" t="inlineStr">
        <is>
          <t>DEVIATION</t>
        </is>
      </c>
      <c r="C160" s="35" t="inlineStr">
        <is>
          <t>DP525192</t>
        </is>
      </c>
      <c r="D160" s="35" t="n"/>
      <c r="E160" s="36" t="inlineStr">
        <is>
          <t>DP525192 This Prototype deviation will be used for Woodside Park Pre-Pilot build at FJZ Mexico.1. For Batch units; please run them normally on LED/P2/2C (scanning the 800-pn and FJZ SN)o Provide a list of all FJZ Serial Numbers in this batch process to Adrian Liu.o This is needed in order to start batch process.o Reference email from Adrian Liu for extra context on this process.2.     FAI suggested Fixtures will arrive Aug 11. Please follow deviation on disposition of these units.o All SKU-A goes thru DIMM automationo 5 SKU-B goes thru DIMM automation toolo 5 SKU-B thru new fixtures.3. RETEST UNIT: deviation coming up.o Please bring back 10 units from DF and any new units passed 2C hold off for this control runo Any units that pass that  2C 8/1 - 8/2 include in retest control run.o Identify all Serial number before batch test start. Add a tab to DBN to monitor test. Ricardo by 8/2/25o Control Test RUN per agreement should start on 8/5/25o DO NOT RUN ANY OTHER UNITS AT TEST UNTIL THESE CONTROL RUN IS COMPLETED.o The control run retest units are to be run from PCBLED thru 2C.    ? No disassociation of units.    ? Any new failure contact Adrian ASAP.4.     FJZ is allowed to use cancelled status MPN 3A61-780-WPR for 800-112718-02.        FJZ can use revision -06 of the accessory kit 53-101728-01.5.     FJZ is allowed to use 700-138393-01 with cancelled Hardware Specialty Comp MPN: 1363472.</t>
        </is>
      </c>
      <c r="F160" s="35" t="inlineStr">
        <is>
          <t>Pending</t>
        </is>
      </c>
      <c r="G160" s="35" t="inlineStr">
        <is>
          <t>Expired</t>
        </is>
      </c>
      <c r="H160" s="35" t="inlineStr">
        <is>
          <t>Pending Review</t>
        </is>
      </c>
      <c r="I160" s="35" t="inlineStr">
        <is>
          <t>STBU</t>
        </is>
      </c>
      <c r="J160" s="35" t="inlineStr">
        <is>
          <t>CTANJZ04901</t>
        </is>
      </c>
      <c r="K160" s="37" t="n"/>
      <c r="L160" s="37" t="n"/>
      <c r="M160" s="37" t="n">
        <v>45999</v>
      </c>
      <c r="N160" s="35" t="n"/>
      <c r="O160" s="35" t="n"/>
      <c r="P160" s="35" t="n"/>
      <c r="Q160" s="35" t="n"/>
      <c r="R160" s="35" t="n"/>
      <c r="S160" s="35" t="n"/>
      <c r="T160" s="35" t="inlineStr">
        <is>
          <t>Y</t>
        </is>
      </c>
      <c r="U160" s="36" t="inlineStr">
        <is>
          <t xml:space="preserve">FUENTE: Deviation.csv, filas CSV 809-974; Workflow=Expired; Date Released=2025-10-25; Date Originated=2025-10-09; Site=FJZP, Plant=MCGA (sin convertir automaticamente a FJZ); 8 filas PN; APROBACION Y APLICABILIDAD NO VALIDADAS. </t>
        </is>
      </c>
    </row>
    <row r="161">
      <c r="A161" s="43" t="inlineStr">
        <is>
          <t>DEV-CTANJZ04902</t>
        </is>
      </c>
      <c r="B161" s="43" t="inlineStr">
        <is>
          <t>DEVIATION</t>
        </is>
      </c>
      <c r="C161" s="43" t="inlineStr">
        <is>
          <t>D606660</t>
        </is>
      </c>
      <c r="D161" s="43" t="n"/>
      <c r="E161" s="33" t="inlineStr">
        <is>
          <t>D606660 MAC Block Size ¡V Value (four MAC address per port) Hex value is incorrect and needs to be modify from "16" to "8"</t>
        </is>
      </c>
      <c r="F161" s="43" t="inlineStr">
        <is>
          <t>Pending</t>
        </is>
      </c>
      <c r="G161" s="43" t="inlineStr">
        <is>
          <t>Expired</t>
        </is>
      </c>
      <c r="H161" s="43" t="inlineStr">
        <is>
          <t>Pending Review</t>
        </is>
      </c>
      <c r="I161" s="43" t="inlineStr">
        <is>
          <t>STBU</t>
        </is>
      </c>
      <c r="J161" s="43" t="inlineStr">
        <is>
          <t>CTANJZ04902</t>
        </is>
      </c>
      <c r="K161" s="32" t="n"/>
      <c r="L161" s="32" t="n"/>
      <c r="M161" s="32" t="n">
        <v>46029</v>
      </c>
      <c r="N161" s="43" t="n"/>
      <c r="O161" s="43" t="n"/>
      <c r="P161" s="43" t="n"/>
      <c r="Q161" s="43" t="n"/>
      <c r="R161" s="43" t="n"/>
      <c r="S161" s="43" t="n"/>
      <c r="T161" s="43" t="inlineStr">
        <is>
          <t>Y</t>
        </is>
      </c>
      <c r="U161" s="33" t="inlineStr">
        <is>
          <t xml:space="preserve">FUENTE: Deviation.csv, filas CSV 949-949; Workflow=Expired; Date Released=2025-10-24; Date Originated=2025-10-09; Site=FJZP, Plant=MCGA (sin convertir automaticamente a FJZ); 1 filas PN; APROBACION Y APLICABILIDAD NO VALIDADAS. </t>
        </is>
      </c>
    </row>
    <row r="162">
      <c r="A162" s="35" t="inlineStr">
        <is>
          <t>DEV-CTANJZ04904</t>
        </is>
      </c>
      <c r="B162" s="35" t="inlineStr">
        <is>
          <t>DEVIATION</t>
        </is>
      </c>
      <c r="C162" s="35" t="inlineStr">
        <is>
          <t>D606915</t>
        </is>
      </c>
      <c r="D162" s="35" t="n"/>
      <c r="E162" s="36" t="inlineStr">
        <is>
          <t>D606915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December 2025 to use all the old material</t>
        </is>
      </c>
      <c r="F162" s="35" t="inlineStr">
        <is>
          <t>Pending</t>
        </is>
      </c>
      <c r="G162" s="35" t="inlineStr">
        <is>
          <t>Expired</t>
        </is>
      </c>
      <c r="H162" s="35" t="inlineStr">
        <is>
          <t>Pending Review</t>
        </is>
      </c>
      <c r="I162" s="35" t="inlineStr">
        <is>
          <t>STBU</t>
        </is>
      </c>
      <c r="J162" s="35" t="inlineStr">
        <is>
          <t>CTANJZ04904</t>
        </is>
      </c>
      <c r="K162" s="37" t="n"/>
      <c r="L162" s="37" t="n"/>
      <c r="M162" s="37" t="n">
        <v>46030</v>
      </c>
      <c r="N162" s="35" t="n"/>
      <c r="O162" s="35" t="n"/>
      <c r="P162" s="35" t="n"/>
      <c r="Q162" s="35" t="n"/>
      <c r="R162" s="35" t="n"/>
      <c r="S162" s="35" t="n"/>
      <c r="T162" s="35" t="inlineStr">
        <is>
          <t>Y</t>
        </is>
      </c>
      <c r="U162" s="36" t="inlineStr">
        <is>
          <t xml:space="preserve">FUENTE: Deviation.csv, filas CSV 28-34; Workflow=Expired; Date Released=2025-10-25; Date Originated=2025-10-10; Site=FJZP, Plant=MCGA (sin convertir automaticamente a FJZ); 7 filas PN; APROBACION Y APLICABILIDAD NO VALIDADAS. </t>
        </is>
      </c>
    </row>
    <row r="163">
      <c r="A163" s="43" t="inlineStr">
        <is>
          <t>DEV-CTANJZ04907</t>
        </is>
      </c>
      <c r="B163" s="43" t="inlineStr">
        <is>
          <t>DEVIATION</t>
        </is>
      </c>
      <c r="C163" s="43" t="inlineStr">
        <is>
          <t>D604685</t>
        </is>
      </c>
      <c r="D163" s="43" t="n"/>
      <c r="E163" s="33" t="inlineStr">
        <is>
          <t>D604685 Use DIMM 15-104289-01 instead of 15-104174-01 on Kilburn Park D 800-103845-08. MPN  MTA36ASF4G72PZ-2G6E1 (MICRON TECHNOLOGY) is an approved MPN for 15-104174-01  but vendor sent the part identified with a label as 15-104289-01</t>
        </is>
      </c>
      <c r="F163" s="43" t="inlineStr">
        <is>
          <t>Pending</t>
        </is>
      </c>
      <c r="G163" s="43" t="inlineStr">
        <is>
          <t>Expired</t>
        </is>
      </c>
      <c r="H163" s="43" t="inlineStr">
        <is>
          <t>Pending Review</t>
        </is>
      </c>
      <c r="I163" s="43" t="inlineStr">
        <is>
          <t>STBU</t>
        </is>
      </c>
      <c r="J163" s="43" t="inlineStr">
        <is>
          <t>CTANJZ04907</t>
        </is>
      </c>
      <c r="K163" s="32" t="n"/>
      <c r="L163" s="32" t="n"/>
      <c r="M163" s="32" t="n">
        <v>46030</v>
      </c>
      <c r="N163" s="43" t="n"/>
      <c r="O163" s="43" t="n"/>
      <c r="P163" s="43" t="n"/>
      <c r="Q163" s="43" t="n"/>
      <c r="R163" s="43" t="n"/>
      <c r="S163" s="43" t="n"/>
      <c r="T163" s="43" t="inlineStr">
        <is>
          <t>Y</t>
        </is>
      </c>
      <c r="U163" s="33" t="inlineStr">
        <is>
          <t xml:space="preserve">FUENTE: Deviation.csv, filas CSV 423-450; Workflow=Expired; Date Released=sin dato; Date Originated=2025-10-10; Site=FJZP, Plant=MCGA (sin convertir automaticamente a FJZ); 2 filas PN; APROBACION Y APLICABILIDAD NO VALIDADAS. </t>
        </is>
      </c>
    </row>
    <row r="164">
      <c r="A164" s="35" t="inlineStr">
        <is>
          <t>DEV-CTANJZ04909</t>
        </is>
      </c>
      <c r="B164" s="35" t="inlineStr">
        <is>
          <t>DEVIATION</t>
        </is>
      </c>
      <c r="C164" s="35" t="inlineStr">
        <is>
          <t>D606967</t>
        </is>
      </c>
      <c r="D164" s="35" t="n"/>
      <c r="E164" s="36" t="inlineStr">
        <is>
          <t>D606967 Use DIMM 15-105736-02 instead of 15-106507-02 on QW. MPN SMART MODULAR SR5722G822APJDASG0 is an approved MPN for 15-106507-02</t>
        </is>
      </c>
      <c r="F164" s="35" t="inlineStr">
        <is>
          <t>Pending</t>
        </is>
      </c>
      <c r="G164" s="35" t="inlineStr">
        <is>
          <t>Expired</t>
        </is>
      </c>
      <c r="H164" s="35" t="inlineStr">
        <is>
          <t>Pending Review</t>
        </is>
      </c>
      <c r="I164" s="35" t="inlineStr">
        <is>
          <t>STBU</t>
        </is>
      </c>
      <c r="J164" s="35" t="inlineStr">
        <is>
          <t>CTANJZ04909</t>
        </is>
      </c>
      <c r="K164" s="37" t="n"/>
      <c r="L164" s="37" t="n"/>
      <c r="M164" s="37" t="n">
        <v>46033</v>
      </c>
      <c r="N164" s="35" t="n"/>
      <c r="O164" s="35" t="n"/>
      <c r="P164" s="35" t="n"/>
      <c r="Q164" s="35" t="n"/>
      <c r="R164" s="35" t="n"/>
      <c r="S164" s="35" t="n"/>
      <c r="T164" s="35" t="inlineStr">
        <is>
          <t>Y</t>
        </is>
      </c>
      <c r="U164" s="36" t="inlineStr">
        <is>
          <t xml:space="preserve">FUENTE: Deviation.csv, filas CSV 452-458; Workflow=Expired; Date Released=2025-10-31; Date Originated=2025-10-13; Site=FJZP, Plant=MCGA (sin convertir automaticamente a FJZ); 7 filas PN; APROBACION Y APLICABILIDAD NO VALIDADAS. </t>
        </is>
      </c>
    </row>
    <row r="165">
      <c r="A165" s="43" t="inlineStr">
        <is>
          <t>DEV-CTANJZ04914</t>
        </is>
      </c>
      <c r="B165" s="43" t="inlineStr">
        <is>
          <t>DEVIATION</t>
        </is>
      </c>
      <c r="C165" s="43" t="inlineStr">
        <is>
          <t>D606941</t>
        </is>
      </c>
      <c r="D165" s="43" t="n"/>
      <c r="E165" s="33" t="inlineStr">
        <is>
          <t>D606941 The Mezz Cards (for both single and dual) require the following BoM updates for Pilot-1 and Pilot-2:1. Replace R8_CFA with 12-2517-01 (86.6 k£[; 0603)2. Mount C728_CFA with 11-3838-01 (10 £gF; 0603)After implementing both changes; please retest the units. Run ICT and confirm the correct values through ICT coverage.</t>
        </is>
      </c>
      <c r="F165" s="43" t="inlineStr">
        <is>
          <t>Pending</t>
        </is>
      </c>
      <c r="G165" s="43" t="inlineStr">
        <is>
          <t>Expired</t>
        </is>
      </c>
      <c r="H165" s="43" t="inlineStr">
        <is>
          <t>Pending Review</t>
        </is>
      </c>
      <c r="I165" s="43" t="inlineStr">
        <is>
          <t>STBU</t>
        </is>
      </c>
      <c r="J165" s="43" t="inlineStr">
        <is>
          <t>CTANJZ04914</t>
        </is>
      </c>
      <c r="K165" s="32" t="n"/>
      <c r="L165" s="32" t="n"/>
      <c r="M165" s="32" t="n">
        <v>46034</v>
      </c>
      <c r="N165" s="43" t="n"/>
      <c r="O165" s="43" t="n"/>
      <c r="P165" s="43" t="n"/>
      <c r="Q165" s="43" t="n"/>
      <c r="R165" s="43" t="n"/>
      <c r="S165" s="43" t="n"/>
      <c r="T165" s="43" t="inlineStr">
        <is>
          <t>Y</t>
        </is>
      </c>
      <c r="U165" s="33" t="inlineStr">
        <is>
          <t xml:space="preserve">FUENTE: Deviation.csv, filas CSV 1631-1632; Workflow=Expired; Date Released=2025-10-31; Date Originated=2025-10-15; Site=FJZP, Plant=MCGA (sin convertir automaticamente a FJZ); 2 filas PN; APROBACION Y APLICABILIDAD NO VALIDADAS. </t>
        </is>
      </c>
    </row>
    <row r="166">
      <c r="A166" s="35" t="inlineStr">
        <is>
          <t>DEV-CTANJZ04915</t>
        </is>
      </c>
      <c r="B166" s="35" t="inlineStr">
        <is>
          <t>DEVIATION</t>
        </is>
      </c>
      <c r="C166" s="35" t="inlineStr">
        <is>
          <t>D606919</t>
        </is>
      </c>
      <c r="D166" s="35" t="n"/>
      <c r="E166" s="36" t="inlineStr">
        <is>
          <t>D606919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F166" s="35" t="inlineStr">
        <is>
          <t>Pending</t>
        </is>
      </c>
      <c r="G166" s="35" t="inlineStr">
        <is>
          <t>Expired</t>
        </is>
      </c>
      <c r="H166" s="35" t="inlineStr">
        <is>
          <t>Pending Review</t>
        </is>
      </c>
      <c r="I166" s="35" t="inlineStr">
        <is>
          <t>STBU</t>
        </is>
      </c>
      <c r="J166" s="35" t="inlineStr">
        <is>
          <t>CTANJZ04915</t>
        </is>
      </c>
      <c r="K166" s="37" t="n"/>
      <c r="L166" s="37" t="n"/>
      <c r="M166" s="37" t="n">
        <v>46036</v>
      </c>
      <c r="N166" s="35" t="n"/>
      <c r="O166" s="35" t="n"/>
      <c r="P166" s="35" t="n"/>
      <c r="Q166" s="35" t="n"/>
      <c r="R166" s="35" t="n"/>
      <c r="S166" s="35" t="n"/>
      <c r="T166" s="35" t="inlineStr">
        <is>
          <t>Y</t>
        </is>
      </c>
      <c r="U166" s="36" t="inlineStr">
        <is>
          <t xml:space="preserve">FUENTE: Deviation.csv, filas CSV 871-914; Workflow=Expired; Date Released=2025-11-05; Date Originated=2025-10-16; Site=FJZP, Plant=MCGA (sin convertir automaticamente a FJZ); 7 filas PN; APROBACION Y APLICABILIDAD NO VALIDADAS. </t>
        </is>
      </c>
    </row>
    <row r="167">
      <c r="A167" s="43" t="inlineStr">
        <is>
          <t>DEV-CTANJZ04920</t>
        </is>
      </c>
      <c r="B167" s="43" t="inlineStr">
        <is>
          <t>DEVIATION</t>
        </is>
      </c>
      <c r="C167" s="43" t="inlineStr">
        <is>
          <t>D607129</t>
        </is>
      </c>
      <c r="D167" s="43" t="n"/>
      <c r="E167" s="33" t="inlineStr">
        <is>
          <t>D607129 SRGBU Accolade: PCAMAP correction/update. Accolade PCAMAP inadvertently contained erroneous sensor data resulting in functional test failures. The PCAMAP has been corrected. Please use the PCAMAP contained in the deviation until ECO EA622613 is issued for permanent update. For all units in WIP at PCBA; please re-run P2C to correct this issue. For all units at NCB or FJZ DF; re-run SYSFT to correct this issue.1. On 73-21143-03; for PCAMAP 61-106693-03; address 0x127 onward updated to remove "Middle 2" sensor. Please use attached PCAMAP (61-106693-03_B0.pdf) for EEPROM programming.</t>
        </is>
      </c>
      <c r="F167" s="43" t="inlineStr">
        <is>
          <t>Pending</t>
        </is>
      </c>
      <c r="G167" s="43" t="inlineStr">
        <is>
          <t>Expired</t>
        </is>
      </c>
      <c r="H167" s="43" t="inlineStr">
        <is>
          <t>Pending Review</t>
        </is>
      </c>
      <c r="I167" s="43" t="inlineStr">
        <is>
          <t>SRGBU</t>
        </is>
      </c>
      <c r="J167" s="43" t="inlineStr">
        <is>
          <t>CTANJZ04920</t>
        </is>
      </c>
      <c r="K167" s="32" t="n"/>
      <c r="L167" s="32" t="n"/>
      <c r="M167" s="32" t="n">
        <v>46037</v>
      </c>
      <c r="N167" s="43" t="n"/>
      <c r="O167" s="43" t="n"/>
      <c r="P167" s="43" t="n"/>
      <c r="Q167" s="43" t="n"/>
      <c r="R167" s="43" t="n"/>
      <c r="S167" s="43" t="n"/>
      <c r="T167" s="43" t="inlineStr">
        <is>
          <t>Y</t>
        </is>
      </c>
      <c r="U167" s="33" t="inlineStr">
        <is>
          <t xml:space="preserve">FUENTE: Deviation.csv, filas CSV 1773-1773; Workflow=Expired; Date Released=2025-10-25; Date Originated=2025-10-17; Site=FJZP, Plant=MCGA (sin convertir automaticamente a FJZ); 1 filas PN; APROBACION Y APLICABILIDAD NO VALIDADAS. </t>
        </is>
      </c>
    </row>
    <row r="168">
      <c r="A168" s="35" t="inlineStr">
        <is>
          <t>DEV-CTANJZ04921</t>
        </is>
      </c>
      <c r="B168" s="35" t="inlineStr">
        <is>
          <t>DEVIATION</t>
        </is>
      </c>
      <c r="C168" s="35" t="inlineStr">
        <is>
          <t>D607106</t>
        </is>
      </c>
      <c r="D168" s="35" t="n"/>
      <c r="E168" s="36" t="inlineStr">
        <is>
          <t>D607106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FPR3120-NGFW-K9SNs: TSP2942ABZZ &amp; TSP2942ABZUSO: 119112143-1</t>
        </is>
      </c>
      <c r="F168" s="35" t="inlineStr">
        <is>
          <t>Pending</t>
        </is>
      </c>
      <c r="G168" s="35" t="inlineStr">
        <is>
          <t>Expired</t>
        </is>
      </c>
      <c r="H168" s="35" t="inlineStr">
        <is>
          <t>Pending Review</t>
        </is>
      </c>
      <c r="I168" s="35" t="inlineStr">
        <is>
          <t>STBU</t>
        </is>
      </c>
      <c r="J168" s="35" t="inlineStr">
        <is>
          <t>CTANJZ04921</t>
        </is>
      </c>
      <c r="K168" s="37" t="n"/>
      <c r="L168" s="37" t="n"/>
      <c r="M168" s="37" t="n">
        <v>46037</v>
      </c>
      <c r="N168" s="35" t="n"/>
      <c r="O168" s="35" t="n"/>
      <c r="P168" s="35" t="n"/>
      <c r="Q168" s="35" t="n"/>
      <c r="R168" s="35" t="n"/>
      <c r="S168" s="35" t="n"/>
      <c r="T168" s="35" t="inlineStr">
        <is>
          <t>Y</t>
        </is>
      </c>
      <c r="U168" s="36" t="inlineStr">
        <is>
          <t xml:space="preserve">FUENTE: Deviation.csv, filas CSV 915-970; Workflow=Expired; Date Released=2025-11-05; Date Originated=2025-10-17; Site=FJZP, Plant=MCGA (sin convertir automaticamente a FJZ); 6 filas PN; APROBACION Y APLICABILIDAD NO VALIDADAS. </t>
        </is>
      </c>
    </row>
    <row r="169">
      <c r="A169" s="43" t="inlineStr">
        <is>
          <t>DEV-CTANJZ04922</t>
        </is>
      </c>
      <c r="B169" s="43" t="inlineStr">
        <is>
          <t>DEVIATION</t>
        </is>
      </c>
      <c r="C169" s="43" t="inlineStr">
        <is>
          <t>D607082</t>
        </is>
      </c>
      <c r="D169" s="43" t="n"/>
      <c r="E169" s="33" t="inlineStr">
        <is>
          <t>D607082 Allow FJZ to ship the LED connector (J5400; PN: C334.00084.005) with cosmetic issue during QEnd; due it's not presenting issue during PCBLED test</t>
        </is>
      </c>
      <c r="F169" s="43" t="inlineStr">
        <is>
          <t>Pending</t>
        </is>
      </c>
      <c r="G169" s="43" t="inlineStr">
        <is>
          <t>Expired</t>
        </is>
      </c>
      <c r="H169" s="43" t="inlineStr">
        <is>
          <t>Pending Review</t>
        </is>
      </c>
      <c r="I169" s="43" t="inlineStr">
        <is>
          <t>STBU</t>
        </is>
      </c>
      <c r="J169" s="43" t="inlineStr">
        <is>
          <t>CTANJZ04922</t>
        </is>
      </c>
      <c r="K169" s="32" t="n"/>
      <c r="L169" s="32" t="n"/>
      <c r="M169" s="32" t="n">
        <v>46036</v>
      </c>
      <c r="N169" s="43" t="n"/>
      <c r="O169" s="43" t="n"/>
      <c r="P169" s="43" t="n"/>
      <c r="Q169" s="43" t="n"/>
      <c r="R169" s="43" t="n"/>
      <c r="S169" s="43" t="n"/>
      <c r="T169" s="43" t="inlineStr">
        <is>
          <t>Y</t>
        </is>
      </c>
      <c r="U169" s="33" t="inlineStr">
        <is>
          <t xml:space="preserve">FUENTE: Deviation.csv, filas CSV 864-870; Workflow=Expired; Date Released=2025-11-15; Date Originated=2025-10-17; Site=FJZP, Plant=MCGA (sin convertir automaticamente a FJZ); 7 filas PN; APROBACION Y APLICABILIDAD NO VALIDADAS. </t>
        </is>
      </c>
    </row>
    <row r="170">
      <c r="A170" s="35" t="inlineStr">
        <is>
          <t>DEV-CTANJZ04923</t>
        </is>
      </c>
      <c r="B170" s="35" t="inlineStr">
        <is>
          <t>DEVIATION</t>
        </is>
      </c>
      <c r="C170" s="35" t="inlineStr">
        <is>
          <t>D607132</t>
        </is>
      </c>
      <c r="D170" s="35" t="n"/>
      <c r="E170" s="36" t="inlineStr">
        <is>
          <t>D607132 Trend will rework the existing stock 3;221 pcs total of chassis 800-105431-01 to be used on production.FJZ will modify the current sequence for assembly (Side screws; upper screw and then bottom screws)This Will allow us to use the material with a condition on the screw that Cisco; FJZ and trend agreed that is acceptable.</t>
        </is>
      </c>
      <c r="F170" s="35" t="inlineStr">
        <is>
          <t>Pending</t>
        </is>
      </c>
      <c r="G170" s="35" t="inlineStr">
        <is>
          <t>Expired</t>
        </is>
      </c>
      <c r="H170" s="35" t="inlineStr">
        <is>
          <t>Pending Review</t>
        </is>
      </c>
      <c r="I170" s="35" t="inlineStr">
        <is>
          <t>STBU</t>
        </is>
      </c>
      <c r="J170" s="35" t="inlineStr">
        <is>
          <t>CTANJZ04923</t>
        </is>
      </c>
      <c r="K170" s="37" t="n"/>
      <c r="L170" s="37" t="n"/>
      <c r="M170" s="37" t="n">
        <v>46037</v>
      </c>
      <c r="N170" s="35" t="n"/>
      <c r="O170" s="35" t="n"/>
      <c r="P170" s="35" t="n"/>
      <c r="Q170" s="35" t="n"/>
      <c r="R170" s="35" t="n"/>
      <c r="S170" s="35" t="n"/>
      <c r="T170" s="35" t="inlineStr">
        <is>
          <t>Y</t>
        </is>
      </c>
      <c r="U170" s="36" t="inlineStr">
        <is>
          <t xml:space="preserve">FUENTE: Deviation.csv, filas CSV 424-428; Workflow=Expired; Date Released=2025-11-05; Date Originated=2025-10-17; Site=FJZP, Plant=MCGA (sin convertir automaticamente a FJZ); 5 filas PN; APROBACION Y APLICABILIDAD NO VALIDADAS. </t>
        </is>
      </c>
    </row>
    <row r="171">
      <c r="A171" s="43" t="inlineStr">
        <is>
          <t>DEV-CTANJZ04941</t>
        </is>
      </c>
      <c r="B171" s="43" t="inlineStr">
        <is>
          <t>DEVIATION</t>
        </is>
      </c>
      <c r="C171" s="43" t="inlineStr">
        <is>
          <t>D607408</t>
        </is>
      </c>
      <c r="D171" s="43" t="n"/>
      <c r="E171" s="33" t="inlineStr">
        <is>
          <t>D607408 SRGBU ISR1K: Allow Multiple Sites (FVN/FOL/NCB/FJZ) to place Risk Buy PO with SMART for Nanya DDR4 which is currently in IPQ stageCPN: 15-104046-02MPN: NT5AD1024M8H3-JRSites are ONLY allowed to procure the part under risk buy. Do NOT use for manufacturing builds yet. A follow up Deviation will be released later for manufacturing builds once all the testing are completed (tracked by GQR000048111).</t>
        </is>
      </c>
      <c r="F171" s="43" t="inlineStr">
        <is>
          <t>Pending</t>
        </is>
      </c>
      <c r="G171" s="43" t="inlineStr">
        <is>
          <t>Expired</t>
        </is>
      </c>
      <c r="H171" s="43" t="inlineStr">
        <is>
          <t>Pending Review</t>
        </is>
      </c>
      <c r="I171" s="43" t="inlineStr">
        <is>
          <t>SRGBU</t>
        </is>
      </c>
      <c r="J171" s="43" t="inlineStr">
        <is>
          <t>CTANJZ04941</t>
        </is>
      </c>
      <c r="K171" s="32" t="n"/>
      <c r="L171" s="32" t="n"/>
      <c r="M171" s="32" t="n">
        <v>46050</v>
      </c>
      <c r="N171" s="43" t="n"/>
      <c r="O171" s="43" t="n"/>
      <c r="P171" s="43" t="n"/>
      <c r="Q171" s="43" t="n"/>
      <c r="R171" s="43" t="n"/>
      <c r="S171" s="43" t="n"/>
      <c r="T171" s="43" t="inlineStr">
        <is>
          <t>Y</t>
        </is>
      </c>
      <c r="U171" s="33" t="inlineStr">
        <is>
          <t xml:space="preserve">FUENTE: Deviation.csv, filas CSV 1460-1461; Workflow=Expired; Date Released=2025-11-14; Date Originated=2025-10-30; Site=FJZP, Plant=MCGA (sin convertir automaticamente a FJZ); 2 filas PN; APROBACION Y APLICABILIDAD NO VALIDADAS. </t>
        </is>
      </c>
    </row>
    <row r="172">
      <c r="A172" s="35" t="inlineStr">
        <is>
          <t>DEV-CTANJZ04942</t>
        </is>
      </c>
      <c r="B172" s="35" t="inlineStr">
        <is>
          <t>DEVIATION</t>
        </is>
      </c>
      <c r="C172" s="35" t="inlineStr">
        <is>
          <t>D607246</t>
        </is>
      </c>
      <c r="D172" s="35" t="n"/>
      <c r="E172" s="36" t="inlineStr">
        <is>
          <t>D607246 SRGBU - This deviation is an extension of Deviation D605484               Nutella production to use new release 17.15.1r Rommon version</t>
        </is>
      </c>
      <c r="F172" s="35" t="inlineStr">
        <is>
          <t>Pending</t>
        </is>
      </c>
      <c r="G172" s="35" t="inlineStr">
        <is>
          <t>Expired</t>
        </is>
      </c>
      <c r="H172" s="35" t="inlineStr">
        <is>
          <t>Pending Review</t>
        </is>
      </c>
      <c r="I172" s="35" t="inlineStr">
        <is>
          <t>SRGBU</t>
        </is>
      </c>
      <c r="J172" s="35" t="inlineStr">
        <is>
          <t>CTANJZ04942</t>
        </is>
      </c>
      <c r="K172" s="37" t="n"/>
      <c r="L172" s="37" t="n"/>
      <c r="M172" s="37" t="n">
        <v>46050</v>
      </c>
      <c r="N172" s="35" t="n"/>
      <c r="O172" s="35" t="n"/>
      <c r="P172" s="35" t="n"/>
      <c r="Q172" s="35" t="n"/>
      <c r="R172" s="35" t="n"/>
      <c r="S172" s="35" t="n"/>
      <c r="T172" s="35" t="inlineStr">
        <is>
          <t>Y</t>
        </is>
      </c>
      <c r="U172" s="36" t="inlineStr">
        <is>
          <t xml:space="preserve">FUENTE: Deviation.csv, filas CSV 1774-1785; Workflow=Expired; Date Released=2025-11-14; Date Originated=2025-10-30; Site=FJZP, Plant=MCGA (sin convertir automaticamente a FJZ); 8 filas PN; APROBACION Y APLICABILIDAD NO VALIDADAS. </t>
        </is>
      </c>
    </row>
    <row r="173">
      <c r="A173" s="43" t="inlineStr">
        <is>
          <t>DEV-CTANJZ04943</t>
        </is>
      </c>
      <c r="B173" s="43" t="inlineStr">
        <is>
          <t>DEVIATION</t>
        </is>
      </c>
      <c r="C173" s="43" t="inlineStr">
        <is>
          <t>D607210</t>
        </is>
      </c>
      <c r="D173" s="43" t="n"/>
      <c r="E173" s="33" t="inlineStr">
        <is>
          <t>D607210 Please see Page Three for details</t>
        </is>
      </c>
      <c r="F173" s="43" t="inlineStr">
        <is>
          <t>Pending</t>
        </is>
      </c>
      <c r="G173" s="43" t="inlineStr">
        <is>
          <t>Expired</t>
        </is>
      </c>
      <c r="H173" s="43" t="inlineStr">
        <is>
          <t>Pending Review</t>
        </is>
      </c>
      <c r="I173" s="43" t="inlineStr">
        <is>
          <t>SRGBU</t>
        </is>
      </c>
      <c r="J173" s="43" t="inlineStr">
        <is>
          <t>CTANJZ04943</t>
        </is>
      </c>
      <c r="K173" s="32" t="n"/>
      <c r="L173" s="32" t="n"/>
      <c r="M173" s="32" t="n">
        <v>46229</v>
      </c>
      <c r="N173" s="43" t="n"/>
      <c r="O173" s="43" t="n"/>
      <c r="P173" s="43" t="n"/>
      <c r="Q173" s="43" t="n"/>
      <c r="R173" s="43" t="n"/>
      <c r="S173" s="43" t="n"/>
      <c r="T173" s="43" t="inlineStr">
        <is>
          <t>Y</t>
        </is>
      </c>
      <c r="U173" s="33" t="inlineStr">
        <is>
          <t xml:space="preserve">FUENTE: Deviation.csv, filas CSV 565-566; Workflow=Expired; Date Released=2025-11-14; Date Originated=2025-10-30; Site=FJZP, Plant=MCGA (sin convertir automaticamente a FJZ); 2 filas PN; APROBACION Y APLICABILIDAD NO VALIDADAS. </t>
        </is>
      </c>
    </row>
    <row r="174">
      <c r="A174" s="35" t="inlineStr">
        <is>
          <t>DEV-CTANJZ04944</t>
        </is>
      </c>
      <c r="B174" s="35" t="inlineStr">
        <is>
          <t>DEVIATION</t>
        </is>
      </c>
      <c r="C174" s="35" t="inlineStr">
        <is>
          <t>DP525176</t>
        </is>
      </c>
      <c r="D174" s="35" t="n"/>
      <c r="E174" s="36" t="inlineStr">
        <is>
          <t>DP525176 This Prototype deviation will be used for Woodside Park Pre-Pilot build at FJZ Mexico.1. Change usage of 49-0574-01 from 12pcs to 6pcs under 800-112578-01 Rev:A02. Adding the the circle and enlarge of the Power icon for 800-112578-01 Rev:A03. Reduce the the material on 700-134990-01 Rev: A0 per DFM proposal for 800-112578-01 Rev:A0</t>
        </is>
      </c>
      <c r="F174" s="35" t="inlineStr">
        <is>
          <t>Pending</t>
        </is>
      </c>
      <c r="G174" s="35" t="inlineStr">
        <is>
          <t>Expired</t>
        </is>
      </c>
      <c r="H174" s="35" t="inlineStr">
        <is>
          <t>Pending Review</t>
        </is>
      </c>
      <c r="I174" s="35" t="inlineStr">
        <is>
          <t>STBU</t>
        </is>
      </c>
      <c r="J174" s="35" t="inlineStr">
        <is>
          <t>CTANJZ04944</t>
        </is>
      </c>
      <c r="K174" s="37" t="n"/>
      <c r="L174" s="37" t="n"/>
      <c r="M174" s="37" t="n">
        <v>46020</v>
      </c>
      <c r="N174" s="35" t="n"/>
      <c r="O174" s="35" t="n"/>
      <c r="P174" s="35" t="n"/>
      <c r="Q174" s="35" t="n"/>
      <c r="R174" s="35" t="n"/>
      <c r="S174" s="35" t="n"/>
      <c r="T174" s="35" t="inlineStr">
        <is>
          <t>Y</t>
        </is>
      </c>
      <c r="U174" s="36" t="inlineStr">
        <is>
          <t xml:space="preserve">FUENTE: Deviation.csv, filas CSV 906-941; Workflow=Expired; Date Released=2025-11-21; Date Originated=2025-10-31; Site=FJZP, Plant=MCGA (sin convertir automaticamente a FJZ); 8 filas PN; APROBACION Y APLICABILIDAD NO VALIDADAS. </t>
        </is>
      </c>
    </row>
    <row r="175">
      <c r="A175" s="43" t="inlineStr">
        <is>
          <t>DEV-CTANJZ04945</t>
        </is>
      </c>
      <c r="B175" s="43" t="inlineStr">
        <is>
          <t>DEVIATION</t>
        </is>
      </c>
      <c r="C175" s="43" t="inlineStr">
        <is>
          <t>D607354</t>
        </is>
      </c>
      <c r="D175" s="43" t="n"/>
      <c r="E175" s="33" t="inlineStr">
        <is>
          <t>D607354 Use 74-126726-01 as substitute of 74-113291-01 on DF</t>
        </is>
      </c>
      <c r="F175" s="43" t="inlineStr">
        <is>
          <t>Pending</t>
        </is>
      </c>
      <c r="G175" s="43" t="inlineStr">
        <is>
          <t>Expired</t>
        </is>
      </c>
      <c r="H175" s="43" t="inlineStr">
        <is>
          <t>Pending Review</t>
        </is>
      </c>
      <c r="I175" s="43" t="inlineStr">
        <is>
          <t>STBU</t>
        </is>
      </c>
      <c r="J175" s="43" t="inlineStr">
        <is>
          <t>CTANJZ04945</t>
        </is>
      </c>
      <c r="K175" s="32" t="n"/>
      <c r="L175" s="32" t="n"/>
      <c r="M175" s="32" t="n">
        <v>46050</v>
      </c>
      <c r="N175" s="43" t="n"/>
      <c r="O175" s="43" t="n"/>
      <c r="P175" s="43" t="n"/>
      <c r="Q175" s="43" t="n"/>
      <c r="R175" s="43" t="n"/>
      <c r="S175" s="43" t="n"/>
      <c r="T175" s="43" t="inlineStr">
        <is>
          <t>Y</t>
        </is>
      </c>
      <c r="U175" s="33" t="inlineStr">
        <is>
          <t xml:space="preserve">FUENTE: Deviation.csv, filas CSV 933-978; Workflow=Expired; Date Released=2025-11-29; Date Originated=2025-10-31; Site=FJZP, Plant=MCGA (sin convertir automaticamente a FJZ); 7 filas PN; APROBACION Y APLICABILIDAD NO VALIDADAS. </t>
        </is>
      </c>
    </row>
    <row r="176">
      <c r="A176" s="35" t="inlineStr">
        <is>
          <t>DEV-CTANJZ04950</t>
        </is>
      </c>
      <c r="B176" s="35" t="inlineStr">
        <is>
          <t>DEVIATION</t>
        </is>
      </c>
      <c r="C176" s="35" t="inlineStr">
        <is>
          <t>D607497</t>
        </is>
      </c>
      <c r="D176" s="35" t="n"/>
      <c r="E176" s="36" t="inlineStr">
        <is>
          <t>D607497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FPR3110-NGFW-K9Qty: 2SO: 119264367-6</t>
        </is>
      </c>
      <c r="F176" s="35" t="inlineStr">
        <is>
          <t>Pending</t>
        </is>
      </c>
      <c r="G176" s="35" t="inlineStr">
        <is>
          <t>Expired</t>
        </is>
      </c>
      <c r="H176" s="35" t="inlineStr">
        <is>
          <t>Pending Review</t>
        </is>
      </c>
      <c r="I176" s="35" t="inlineStr">
        <is>
          <t>STBU</t>
        </is>
      </c>
      <c r="J176" s="35" t="inlineStr">
        <is>
          <t>CTANJZ04950</t>
        </is>
      </c>
      <c r="K176" s="37" t="n"/>
      <c r="L176" s="37" t="n"/>
      <c r="M176" s="37" t="n">
        <v>46054</v>
      </c>
      <c r="N176" s="35" t="n"/>
      <c r="O176" s="35" t="n"/>
      <c r="P176" s="35" t="n"/>
      <c r="Q176" s="35" t="n"/>
      <c r="R176" s="35" t="n"/>
      <c r="S176" s="35" t="n"/>
      <c r="T176" s="35" t="inlineStr">
        <is>
          <t>Y</t>
        </is>
      </c>
      <c r="U176" s="36" t="inlineStr">
        <is>
          <t xml:space="preserve">FUENTE: Deviation.csv, filas CSV 979-984; Workflow=Expired; Date Released=2025-12-11; Date Originated=2025-11-05; Site=FJZP, Plant=MCGA (sin convertir automaticamente a FJZ); 6 filas PN; APROBACION Y APLICABILIDAD NO VALIDADAS. </t>
        </is>
      </c>
    </row>
    <row r="177">
      <c r="A177" s="43" t="inlineStr">
        <is>
          <t>DEV-CTANJZ04959</t>
        </is>
      </c>
      <c r="B177" s="43" t="inlineStr">
        <is>
          <t>DEVIATION</t>
        </is>
      </c>
      <c r="C177" s="43" t="inlineStr">
        <is>
          <t>D607626</t>
        </is>
      </c>
      <c r="D177" s="43" t="n"/>
      <c r="E177" s="33" t="inlineStr">
        <is>
          <t>D607626 CVEBU;Polaris800-105480-01 ASY-ELMECH;CPU;Polaris; Main Board with NVIDIA800-108480-01 ASY-ELMECH;CPU;Polaris; Main Board with NVIDIA; TAA  In 800- BOMs30-100206-01 GRAPHIC CONTROLLER;NVIDIA;12V;PARKER SYSTEM-ON-MODULE;SEARREY 400P;1.9GHz;-25 to 105 C;for CODEC-PRODeplete stock: NVIDIA 600-83310-1000-800LTB:           NVIDIA 900-83310-6200-000As replacements; Foxconn can useeither:30-100206-02 GRAPHIC CONTROLLER;NVIDIA;12V;PARKER SYSTEM-ON-MODULE;SEARREY 400P;1.9GHz;-25 to 105 C;for DESKPRO  Deplete stock: NVIDIA 900-83310-6200-000Deplete stock: NVIDIA 900-83310-6200-001Obsolete:      NVIDIA 900-83310-620A-000Where used:  800-109226-01 ^01 ASY-ELMECH;CPU;MILLENNIUM; Main Board with NVIDIA   or:30-100206-03 -A0 GRAPHIC CONTROLLER;NVIDIA;12V;PARKER SYSTEM-ON-MODULE;SEARREY 400P;1.9GHz;-25 to 105 C;for HELIXDeplete stock: NVIDIA 900-83310-6200-000Obsolete:      NVIDIA 900-83310-620B-000Where used:800-106860-01 ^C0 ASY-ELMECH;CPU;HELIX MAINBOARD W/ NVIDIA  800-110760-01 ^C0 ASY-ELMECH;CPU;HELIX MAINBOARD W/ NVIDIA TAA  The three versions of 30-100206-0x were created for commercial reason; allowing a follow-up per product; Barents;Polaris;and Helix. The alternates under three CPN versions are functionally equal; and fully interchangeable.</t>
        </is>
      </c>
      <c r="F177" s="43" t="inlineStr">
        <is>
          <t>Pending</t>
        </is>
      </c>
      <c r="G177" s="43" t="inlineStr">
        <is>
          <t>Expired</t>
        </is>
      </c>
      <c r="H177" s="43" t="inlineStr">
        <is>
          <t>Pending Review</t>
        </is>
      </c>
      <c r="I177" s="43" t="inlineStr">
        <is>
          <t>CVEBU</t>
        </is>
      </c>
      <c r="J177" s="43" t="inlineStr">
        <is>
          <t>CTANJZ04959</t>
        </is>
      </c>
      <c r="K177" s="32" t="n"/>
      <c r="L177" s="32" t="n"/>
      <c r="M177" s="32" t="n">
        <v>46063</v>
      </c>
      <c r="N177" s="43" t="n"/>
      <c r="O177" s="43" t="n"/>
      <c r="P177" s="43" t="n"/>
      <c r="Q177" s="43" t="n"/>
      <c r="R177" s="43" t="n"/>
      <c r="S177" s="43" t="n"/>
      <c r="T177" s="43" t="inlineStr">
        <is>
          <t>Y</t>
        </is>
      </c>
      <c r="U177" s="33" t="inlineStr">
        <is>
          <t xml:space="preserve">FUENTE: Deviation.csv, filas CSV 433-434; Workflow=Expired; Date Released=2025-11-20; Date Originated=2025-11-11; Site=FJZP, Plant=MCGA (sin convertir automaticamente a FJZ); 2 filas PN; APROBACION Y APLICABILIDAD NO VALIDADAS. </t>
        </is>
      </c>
    </row>
    <row r="178">
      <c r="A178" s="35" t="inlineStr">
        <is>
          <t>DEV-CTANJZ04960</t>
        </is>
      </c>
      <c r="B178" s="35" t="inlineStr">
        <is>
          <t>DEVIATION</t>
        </is>
      </c>
      <c r="C178" s="35" t="inlineStr">
        <is>
          <t>DP524662</t>
        </is>
      </c>
      <c r="D178" s="35" t="n"/>
      <c r="E178" s="36" t="inlineStr">
        <is>
          <t>DP524662 1) Replace  #17-103261-01 (UFD0;UFD1) with 17-102422-02 dual card (73-103648-03)</t>
        </is>
      </c>
      <c r="F178" s="35" t="inlineStr">
        <is>
          <t>Pending</t>
        </is>
      </c>
      <c r="G178" s="35" t="inlineStr">
        <is>
          <t>Expired</t>
        </is>
      </c>
      <c r="H178" s="35" t="inlineStr">
        <is>
          <t>Pending Review</t>
        </is>
      </c>
      <c r="I178" s="35" t="inlineStr">
        <is>
          <t>STBU</t>
        </is>
      </c>
      <c r="J178" s="35" t="inlineStr">
        <is>
          <t>CTANJZ04960</t>
        </is>
      </c>
      <c r="K178" s="37" t="n"/>
      <c r="L178" s="37" t="n"/>
      <c r="M178" s="37" t="n">
        <v>46031</v>
      </c>
      <c r="N178" s="35" t="n"/>
      <c r="O178" s="35" t="n"/>
      <c r="P178" s="35" t="n"/>
      <c r="Q178" s="35" t="n"/>
      <c r="R178" s="35" t="n"/>
      <c r="S178" s="35" t="n"/>
      <c r="T178" s="35" t="inlineStr">
        <is>
          <t>Y</t>
        </is>
      </c>
      <c r="U178" s="36" t="inlineStr">
        <is>
          <t xml:space="preserve">FUENTE: Deviation.csv, filas CSV 451-451; Workflow=Expired; Date Released=sin dato; Date Originated=2025-11-11; Site=FJZP, Plant=MCGA (sin convertir automaticamente a FJZ); 1 filas PN; APROBACION Y APLICABILIDAD NO VALIDADAS. </t>
        </is>
      </c>
    </row>
    <row r="179">
      <c r="A179" s="43" t="inlineStr">
        <is>
          <t>DEV-CTANJZ04962</t>
        </is>
      </c>
      <c r="B179" s="43" t="inlineStr">
        <is>
          <t>DEVIATION</t>
        </is>
      </c>
      <c r="C179" s="43" t="inlineStr">
        <is>
          <t>DP525527</t>
        </is>
      </c>
      <c r="D179" s="43" t="n"/>
      <c r="E179" s="33" t="inlineStr">
        <is>
          <t>DP525527 IoTBU: Allow FJZ to purchase MPN UHE2A221MHD6 which is in Qual Status as End of Production for the build of Test Pallets for Hellcat. This is an extension of DP525199.</t>
        </is>
      </c>
      <c r="F179" s="43" t="inlineStr">
        <is>
          <t>Pending</t>
        </is>
      </c>
      <c r="G179" s="43" t="inlineStr">
        <is>
          <t>Expired</t>
        </is>
      </c>
      <c r="H179" s="43" t="inlineStr">
        <is>
          <t>Pending Review</t>
        </is>
      </c>
      <c r="I179" s="43" t="inlineStr">
        <is>
          <t>IOTBU</t>
        </is>
      </c>
      <c r="J179" s="43" t="inlineStr">
        <is>
          <t>CTANJZ04962</t>
        </is>
      </c>
      <c r="K179" s="32" t="n"/>
      <c r="L179" s="32" t="n"/>
      <c r="M179" s="32" t="n">
        <v>46034</v>
      </c>
      <c r="N179" s="43" t="n"/>
      <c r="O179" s="43" t="n"/>
      <c r="P179" s="43" t="n"/>
      <c r="Q179" s="43" t="n"/>
      <c r="R179" s="43" t="n"/>
      <c r="S179" s="43" t="n"/>
      <c r="T179" s="43" t="inlineStr">
        <is>
          <t>Y</t>
        </is>
      </c>
      <c r="U179" s="33" t="inlineStr">
        <is>
          <t xml:space="preserve">FUENTE: Deviation.csv, filas CSV 954-955; Workflow=Expired; Date Released=2025-12-09; Date Originated=2025-11-14; Site=FJZP, Plant=MCGA (sin convertir automaticamente a FJZ); 2 filas PN; APROBACION Y APLICABILIDAD NO VALIDADAS. </t>
        </is>
      </c>
    </row>
    <row r="180">
      <c r="A180" s="35" t="inlineStr">
        <is>
          <t>DEV-CTANJZ04963</t>
        </is>
      </c>
      <c r="B180" s="35" t="inlineStr">
        <is>
          <t>DEVIATION</t>
        </is>
      </c>
      <c r="C180" s="35" t="inlineStr">
        <is>
          <t>D607703</t>
        </is>
      </c>
      <c r="D180" s="35" t="n"/>
      <c r="E180" s="36" t="inlineStr">
        <is>
          <t>D607703 SRGBU: Tabei-M production (74-125442-04/ 68-7717-01) to use CIMC_4.15.0.2R version (extension of D605611)</t>
        </is>
      </c>
      <c r="F180" s="35" t="inlineStr">
        <is>
          <t>Pending</t>
        </is>
      </c>
      <c r="G180" s="35" t="inlineStr">
        <is>
          <t>Expired</t>
        </is>
      </c>
      <c r="H180" s="35" t="inlineStr">
        <is>
          <t>Pending Review</t>
        </is>
      </c>
      <c r="I180" s="35" t="inlineStr">
        <is>
          <t>SRGBU</t>
        </is>
      </c>
      <c r="J180" s="35" t="inlineStr">
        <is>
          <t>CTANJZ04963</t>
        </is>
      </c>
      <c r="K180" s="37" t="n"/>
      <c r="L180" s="37" t="n"/>
      <c r="M180" s="37" t="n">
        <v>46064</v>
      </c>
      <c r="N180" s="35" t="n"/>
      <c r="O180" s="35" t="n"/>
      <c r="P180" s="35" t="n"/>
      <c r="Q180" s="35" t="n"/>
      <c r="R180" s="35" t="n"/>
      <c r="S180" s="35" t="n"/>
      <c r="T180" s="35" t="inlineStr">
        <is>
          <t>Y</t>
        </is>
      </c>
      <c r="U180" s="36" t="inlineStr">
        <is>
          <t xml:space="preserve">FUENTE: Deviation.csv, filas CSV 975-975; Workflow=Expired; Date Released=2025-11-20; Date Originated=2025-11-14; Site=FJZP, Plant=MCGA (sin convertir automaticamente a FJZ); 1 filas PN; APROBACION Y APLICABILIDAD NO VALIDADAS. </t>
        </is>
      </c>
    </row>
    <row r="181">
      <c r="A181" s="43" t="inlineStr">
        <is>
          <t>DEV-CTANJZ04965</t>
        </is>
      </c>
      <c r="B181" s="43" t="inlineStr">
        <is>
          <t>DEVIATION</t>
        </is>
      </c>
      <c r="C181" s="43" t="inlineStr">
        <is>
          <t>D607679</t>
        </is>
      </c>
      <c r="D181" s="43" t="n"/>
      <c r="E181" s="33" t="inlineStr">
        <is>
          <t>D607679 CVEBU;Polaris NR TAA68-103946-04 ASY-ELMECH;POLARIS UNIT TX2 FUSED NR;TAARemove from BOM:800-118476-04 FNLASY-ELMECH;MODULE;POLARIS UNIT CAM2 TX2 FUSED NR;TAA  Add to BOM:800-108476-04 FNLASY-ELMECH;MODULE;POLARIS UNIT CAM2 TX2 NR;TAAReason: To balance use-up of NVIDIA Tx2 Module remaining stock; FJZ shall change from providing fused NR back to true NR for the NR;TAA Polaris variant</t>
        </is>
      </c>
      <c r="F181" s="43" t="inlineStr">
        <is>
          <t>Pending</t>
        </is>
      </c>
      <c r="G181" s="43" t="inlineStr">
        <is>
          <t>Expired</t>
        </is>
      </c>
      <c r="H181" s="43" t="inlineStr">
        <is>
          <t>Pending Review</t>
        </is>
      </c>
      <c r="I181" s="43" t="inlineStr">
        <is>
          <t>CVEBU</t>
        </is>
      </c>
      <c r="J181" s="43" t="inlineStr">
        <is>
          <t>CTANJZ04965</t>
        </is>
      </c>
      <c r="K181" s="32" t="n"/>
      <c r="L181" s="32" t="n"/>
      <c r="M181" s="32" t="n">
        <v>46064</v>
      </c>
      <c r="N181" s="43" t="n"/>
      <c r="O181" s="43" t="n"/>
      <c r="P181" s="43" t="n"/>
      <c r="Q181" s="43" t="n"/>
      <c r="R181" s="43" t="n"/>
      <c r="S181" s="43" t="n"/>
      <c r="T181" s="43" t="inlineStr">
        <is>
          <t>Y</t>
        </is>
      </c>
      <c r="U181" s="33" t="inlineStr">
        <is>
          <t xml:space="preserve">FUENTE: Deviation.csv, filas CSV 435-435; Workflow=Expired; Date Released=2025-12-09; Date Originated=2025-11-14; Site=FJZP, Plant=MCGA (sin convertir automaticamente a FJZ); 1 filas PN; APROBACION Y APLICABILIDAD NO VALIDADAS. </t>
        </is>
      </c>
    </row>
    <row r="182">
      <c r="A182" s="35" t="inlineStr">
        <is>
          <t>DEV-CTANJZ04967</t>
        </is>
      </c>
      <c r="B182" s="35" t="inlineStr">
        <is>
          <t>DEVIATION</t>
        </is>
      </c>
      <c r="C182" s="35" t="inlineStr">
        <is>
          <t>D607705</t>
        </is>
      </c>
      <c r="D182" s="35" t="n"/>
      <c r="E182" s="36" t="inlineStr">
        <is>
          <t>D607705 1. For Main Board - 73-103633-05; due to solder bridging seen on 11-101888-04 when using Taiyo Yuden (big body 0402; larger tolerance); FJZ is directed to use Walsin MPN 402X226M6R3 (AVL status = IPQ) on at least 10 PCBAs as part of the Pilot 2 build.  Please note that FJZ has already completed risk buy for this Walsin MPN per previous risk buy deviation (see DP525135). These 10 qual units should also use bare fabs from Gold Circuit (GCE). Note that Pilot 1 was 100% WUS bare fabs.  To reduce exposure to new Walsin CPN usage; all other units should use Kyocera/AVX outside of CPU socket areas if material allows.  Taiyo Yuden should not be used for the Pilot 2 build.  If Walsin qualificationproves successful (which is fully expected due to dimenstional similarity to Kyocera/AVX); we will move to have Taiyo Yuden AVL updated to EOP/NNB status preventing further usage2. For ESW (73-103558-04); CPN 15-107147-01;  Ok to use MPN 98CX8540-A0-BZD4C000; please note that current AVL = MPN 98CX8540A0-BZD4C000; same part; format/MPN nomenclature updated per Marvell request after FJZ Purchase Order placed.3. For 700-138393-01; Ok to use HARDWARE SPECIALTY MPN 1363472 (AVL = Cancelled)4. For SSD assemblies 68-104897-01 (3.8TB) &amp; 68-104898-01 (7.6TB); please make sure to use  new SSD carrier version -03 (800-50525-03); down version carrier material will be used up on Warwick Avenue SSD assemblies per ECO EA620457</t>
        </is>
      </c>
      <c r="F182" s="35" t="inlineStr">
        <is>
          <t>Pending</t>
        </is>
      </c>
      <c r="G182" s="35" t="inlineStr">
        <is>
          <t>Expired</t>
        </is>
      </c>
      <c r="H182" s="35" t="inlineStr">
        <is>
          <t>Pending Review</t>
        </is>
      </c>
      <c r="I182" s="35" t="inlineStr">
        <is>
          <t>STBU</t>
        </is>
      </c>
      <c r="J182" s="35" t="inlineStr">
        <is>
          <t>CTANJZ04967</t>
        </is>
      </c>
      <c r="K182" s="37" t="n"/>
      <c r="L182" s="37" t="n"/>
      <c r="M182" s="37" t="n">
        <v>46069</v>
      </c>
      <c r="N182" s="35" t="n"/>
      <c r="O182" s="35" t="n"/>
      <c r="P182" s="35" t="n"/>
      <c r="Q182" s="35" t="n"/>
      <c r="R182" s="35" t="n"/>
      <c r="S182" s="35" t="n"/>
      <c r="T182" s="35" t="inlineStr">
        <is>
          <t>Y</t>
        </is>
      </c>
      <c r="U182" s="36" t="inlineStr">
        <is>
          <t xml:space="preserve">FUENTE: Deviation.csv, filas CSV 149-154; Workflow=Expired; Date Released=2026-01-13; Date Originated=2025-11-18; Site=FJZP, Plant=MCGA (sin convertir automaticamente a FJZ); 6 filas PN; APROBACION Y APLICABILIDAD NO VALIDADAS. </t>
        </is>
      </c>
    </row>
    <row r="183">
      <c r="A183" s="43" t="inlineStr">
        <is>
          <t>DEV-CTANJZ04968</t>
        </is>
      </c>
      <c r="B183" s="43" t="inlineStr">
        <is>
          <t>DEVIATION</t>
        </is>
      </c>
      <c r="C183" s="43" t="inlineStr">
        <is>
          <t>D607803</t>
        </is>
      </c>
      <c r="D183" s="43" t="n"/>
      <c r="E183" s="33" t="inlineStr">
        <is>
          <t>D607803 SRGBU-Fugazi: Rommon 26.1(1r) upgrade</t>
        </is>
      </c>
      <c r="F183" s="43" t="inlineStr">
        <is>
          <t>Pending</t>
        </is>
      </c>
      <c r="G183" s="43" t="inlineStr">
        <is>
          <t>Expired</t>
        </is>
      </c>
      <c r="H183" s="43" t="inlineStr">
        <is>
          <t>Pending Review</t>
        </is>
      </c>
      <c r="I183" s="43" t="inlineStr">
        <is>
          <t>SRGBU</t>
        </is>
      </c>
      <c r="J183" s="43" t="inlineStr">
        <is>
          <t>CTANJZ04968</t>
        </is>
      </c>
      <c r="K183" s="32" t="n"/>
      <c r="L183" s="32" t="n"/>
      <c r="M183" s="32" t="n">
        <v>46069</v>
      </c>
      <c r="N183" s="43" t="n"/>
      <c r="O183" s="43" t="n"/>
      <c r="P183" s="43" t="n"/>
      <c r="Q183" s="43" t="n"/>
      <c r="R183" s="43" t="n"/>
      <c r="S183" s="43" t="n"/>
      <c r="T183" s="43" t="inlineStr">
        <is>
          <t>Y</t>
        </is>
      </c>
      <c r="U183" s="33" t="inlineStr">
        <is>
          <t xml:space="preserve">FUENTE: Deviation.csv, filas CSV 945-945; Workflow=Expired; Date Released=2025-11-21; Date Originated=2025-11-18; Site=FJZP, Plant=MCGA (sin convertir automaticamente a FJZ); 1 filas PN; APROBACION Y APLICABILIDAD NO VALIDADAS. </t>
        </is>
      </c>
    </row>
    <row r="184">
      <c r="A184" s="35" t="inlineStr">
        <is>
          <t>DEV-CTANJZ04972</t>
        </is>
      </c>
      <c r="B184" s="35" t="inlineStr">
        <is>
          <t>DEVIATION</t>
        </is>
      </c>
      <c r="C184" s="35" t="inlineStr">
        <is>
          <t>D607766</t>
        </is>
      </c>
      <c r="D184" s="35" t="n"/>
      <c r="E184" s="36" t="inlineStr">
        <is>
          <t>D607766 This deviation is an extension of Deviation D605688.SRGBU-Arata: Upgrade FPGA 17-103018-01 to V139 before shipping to customers</t>
        </is>
      </c>
      <c r="F184" s="35" t="inlineStr">
        <is>
          <t>Pending</t>
        </is>
      </c>
      <c r="G184" s="35" t="inlineStr">
        <is>
          <t>Expired</t>
        </is>
      </c>
      <c r="H184" s="35" t="inlineStr">
        <is>
          <t>Pending Review</t>
        </is>
      </c>
      <c r="I184" s="35" t="inlineStr">
        <is>
          <t>SRGBU</t>
        </is>
      </c>
      <c r="J184" s="35" t="inlineStr">
        <is>
          <t>CTANJZ04972</t>
        </is>
      </c>
      <c r="K184" s="37" t="n"/>
      <c r="L184" s="37" t="n"/>
      <c r="M184" s="37" t="n">
        <v>46070</v>
      </c>
      <c r="N184" s="35" t="n"/>
      <c r="O184" s="35" t="n"/>
      <c r="P184" s="35" t="n"/>
      <c r="Q184" s="35" t="n"/>
      <c r="R184" s="35" t="n"/>
      <c r="S184" s="35" t="n"/>
      <c r="T184" s="35" t="inlineStr">
        <is>
          <t>Y</t>
        </is>
      </c>
      <c r="U184" s="36" t="inlineStr">
        <is>
          <t xml:space="preserve">FUENTE: Deviation.csv, filas CSV 946-947; Workflow=Expired; Date Released=2025-12-03; Date Originated=2025-11-19; Site=FJZP, Plant=MCGA (sin convertir automaticamente a FJZ); 2 filas PN; APROBACION Y APLICABILIDAD NO VALIDADAS. </t>
        </is>
      </c>
    </row>
    <row r="185">
      <c r="A185" s="43" t="inlineStr">
        <is>
          <t>DEV-CTANJZ04973</t>
        </is>
      </c>
      <c r="B185" s="43" t="inlineStr">
        <is>
          <t>DEVIATION</t>
        </is>
      </c>
      <c r="C185" s="43" t="inlineStr">
        <is>
          <t>D607838</t>
        </is>
      </c>
      <c r="D185" s="43" t="n"/>
      <c r="E185" s="33" t="inlineStr">
        <is>
          <t>D607838 SRGBU: Nightwatch: Restrict MFG to use the MPN# TI CSD95485RWJ of CPN # 15-106360-01. Date code 2450 or older caused field failure. Details can be found in SCQO case SQA-1257.Please find the SCQO link:https://scqo.cisco.com/#/process-detail?triggerType=SQA&amp;processInstanceId=2372440&amp;caseId=SQA-1257&amp;domainId=SQA-1257</t>
        </is>
      </c>
      <c r="F185" s="43" t="inlineStr">
        <is>
          <t>Pending</t>
        </is>
      </c>
      <c r="G185" s="43" t="inlineStr">
        <is>
          <t>Expired</t>
        </is>
      </c>
      <c r="H185" s="43" t="inlineStr">
        <is>
          <t>Pending Review</t>
        </is>
      </c>
      <c r="I185" s="43" t="inlineStr">
        <is>
          <t>SRGBU</t>
        </is>
      </c>
      <c r="J185" s="43" t="inlineStr">
        <is>
          <t>CTANJZ04973</t>
        </is>
      </c>
      <c r="K185" s="32" t="n"/>
      <c r="L185" s="32" t="n"/>
      <c r="M185" s="32" t="n">
        <v>46071</v>
      </c>
      <c r="N185" s="43" t="n"/>
      <c r="O185" s="43" t="n"/>
      <c r="P185" s="43" t="n"/>
      <c r="Q185" s="43" t="n"/>
      <c r="R185" s="43" t="n"/>
      <c r="S185" s="43" t="n"/>
      <c r="T185" s="43" t="inlineStr">
        <is>
          <t>Y</t>
        </is>
      </c>
      <c r="U185" s="33" t="inlineStr">
        <is>
          <t xml:space="preserve">FUENTE: Deviation.csv, filas CSV 948-948; Workflow=Expired; Date Released=2025-12-09; Date Originated=2025-11-20; Site=FJZP, Plant=MCGA (sin convertir automaticamente a FJZ); 1 filas PN; APROBACION Y APLICABILIDAD NO VALIDADAS. </t>
        </is>
      </c>
    </row>
    <row r="186">
      <c r="A186" s="35" t="inlineStr">
        <is>
          <t>DEV-CTANJZ04980</t>
        </is>
      </c>
      <c r="B186" s="35" t="inlineStr">
        <is>
          <t>DEVIATION</t>
        </is>
      </c>
      <c r="C186" s="35" t="inlineStr">
        <is>
          <t>D607758</t>
        </is>
      </c>
      <c r="D186" s="35" t="n"/>
      <c r="E186" s="36" t="inlineStr">
        <is>
          <t>D607758SRGBU Sears E0 modem FW upgrade:This deviation instructs PCBA site and DF site to upgrade modem FW to "E0" during test process. DF sites for spare orders do not need to perform this as spares do not go through MFG testing at DF site.Current output of show cell 0/2/0 firmware:Idx Carrier              FwVersion        PriVersion   Status2   Generic PTCRB        M0H.030202       1080         Activecurrent output of show cellular 0/2/0 hardware:Modem Firmware Version = M0H.030202Host Firmware Version = A0H.000302PRI version = 1080-115; Carrier = Generic PTCRBOEM PRI version = 1080-115output of at#getFW after performing upgrade:HOST FIRMWARE  : A0H.000312SLOT   STATUS     CARRIER  VERSION         TMCFG1      Activated  Generic  M0H.030202      1083-1162                 empty    empty           emptyOKoutput of at#cfvr after performing upgrade:#CFVR: 4OKoutput of at#dhcprelay? after performing upgrade:#DHCPRELAY: 1OKOutput of show cell 0/2/0 firmware after performing FW upgrade:2   Generic PTCRB        M0H.030202       1083         ActiveOutput of show cellular 0/2/0 hardware after performing upgrade:Modem Firmware Version = M0H.030202Host Firmware Version = A0H.000312PRI version = 1083-116; Carrier = Generic PTCRBOEM PRI version = 1083-116DMESG log should also be captured during the modem FW upgrade for these units and shared in the event of a FW upgrade failureMFG qual for this upgrade was done through D603953. The units used for this mfg qual FOC2923041Q and FOC291902B0 can be used as normal production unit</t>
        </is>
      </c>
      <c r="F186" s="35" t="inlineStr">
        <is>
          <t>Pending</t>
        </is>
      </c>
      <c r="G186" s="35" t="inlineStr">
        <is>
          <t>Expired</t>
        </is>
      </c>
      <c r="H186" s="35" t="inlineStr">
        <is>
          <t>Pending Review</t>
        </is>
      </c>
      <c r="I186" s="35" t="inlineStr">
        <is>
          <t>SRGBU</t>
        </is>
      </c>
      <c r="J186" s="35" t="inlineStr">
        <is>
          <t>CTANJZ04980</t>
        </is>
      </c>
      <c r="K186" s="37" t="n"/>
      <c r="L186" s="37" t="n"/>
      <c r="M186" s="37" t="n">
        <v>46076</v>
      </c>
      <c r="N186" s="35" t="n"/>
      <c r="O186" s="35" t="n"/>
      <c r="P186" s="35" t="n"/>
      <c r="Q186" s="35" t="n"/>
      <c r="R186" s="35" t="n"/>
      <c r="S186" s="35" t="n"/>
      <c r="T186" s="35" t="inlineStr">
        <is>
          <t>Y</t>
        </is>
      </c>
      <c r="U186" s="36" t="inlineStr">
        <is>
          <t xml:space="preserve">FUENTE: Deviation.csv, filas CSV 918-918; Workflow=Expired; Date Released=2025-12-09; Date Originated=2025-11-25; Site=FJZP, Plant=MCGA (sin convertir automaticamente a FJZ); 1 filas PN; APROBACION Y APLICABILIDAD NO VALIDADAS. </t>
        </is>
      </c>
    </row>
    <row r="187">
      <c r="A187" s="43" t="inlineStr">
        <is>
          <t>DEV-CTANJZ04981</t>
        </is>
      </c>
      <c r="B187" s="43" t="inlineStr">
        <is>
          <t>DEVIATION</t>
        </is>
      </c>
      <c r="C187" s="43" t="inlineStr">
        <is>
          <t>D607861</t>
        </is>
      </c>
      <c r="D187" s="43" t="n"/>
      <c r="E187" s="33" t="inlineStr">
        <is>
          <t>D607861 Allow FJZ to use the MPN with DC &gt;= 245115-106779-01 (CSD95495QVM)15-106360-01 (CSD95485RWJ)15-105515-01 (CSD95496QVM)15-105514-01 (CSD95492QVM)15-103921-01 (CSD95480RWJ)</t>
        </is>
      </c>
      <c r="F187" s="43" t="inlineStr">
        <is>
          <t>Pending</t>
        </is>
      </c>
      <c r="G187" s="43" t="inlineStr">
        <is>
          <t>Expired</t>
        </is>
      </c>
      <c r="H187" s="43" t="inlineStr">
        <is>
          <t>Pending Review</t>
        </is>
      </c>
      <c r="I187" s="43" t="inlineStr">
        <is>
          <t>STBU</t>
        </is>
      </c>
      <c r="J187" s="43" t="inlineStr">
        <is>
          <t>CTANJZ04981</t>
        </is>
      </c>
      <c r="K187" s="32" t="n"/>
      <c r="L187" s="32" t="n"/>
      <c r="M187" s="32" t="n">
        <v>46076</v>
      </c>
      <c r="N187" s="43" t="n"/>
      <c r="O187" s="43" t="n"/>
      <c r="P187" s="43" t="n"/>
      <c r="Q187" s="43" t="n"/>
      <c r="R187" s="43" t="n"/>
      <c r="S187" s="43" t="n"/>
      <c r="T187" s="43" t="inlineStr">
        <is>
          <t>Y</t>
        </is>
      </c>
      <c r="U187" s="33" t="inlineStr">
        <is>
          <t xml:space="preserve">FUENTE: Deviation.csv, filas CSV 919-986; Workflow=Expired; Date Released=2026-01-14; Date Originated=2025-11-25; Site=FJZP, Plant=MCGA (sin convertir automaticamente a FJZ); 7 filas PN; APROBACION Y APLICABILIDAD NO VALIDADAS. </t>
        </is>
      </c>
    </row>
    <row r="188">
      <c r="A188" s="35" t="inlineStr">
        <is>
          <t>DEV-CTANJZ04983</t>
        </is>
      </c>
      <c r="B188" s="35" t="inlineStr">
        <is>
          <t>DEVIATION</t>
        </is>
      </c>
      <c r="C188" s="35" t="inlineStr">
        <is>
          <t>D607949</t>
        </is>
      </c>
      <c r="D188" s="35" t="n"/>
      <c r="E188" s="36" t="inlineStr">
        <is>
          <t>D607949 SRGBU: Tabei-M/Orion: Authorize all DFs to site Balance (SB) by requesting 16-101937-01/16-102213-01 in replacement of 16-102060-01Note: if those SSD have older fw version; upgrade to FW510 before shipping</t>
        </is>
      </c>
      <c r="F188" s="35" t="inlineStr">
        <is>
          <t>Pending</t>
        </is>
      </c>
      <c r="G188" s="35" t="inlineStr">
        <is>
          <t>Expired</t>
        </is>
      </c>
      <c r="H188" s="35" t="inlineStr">
        <is>
          <t>Pending Review</t>
        </is>
      </c>
      <c r="I188" s="35" t="inlineStr">
        <is>
          <t>SRGBU</t>
        </is>
      </c>
      <c r="J188" s="35" t="inlineStr">
        <is>
          <t>CTANJZ04983</t>
        </is>
      </c>
      <c r="K188" s="37" t="n"/>
      <c r="L188" s="37" t="n"/>
      <c r="M188" s="37" t="n">
        <v>46077</v>
      </c>
      <c r="N188" s="35" t="n"/>
      <c r="O188" s="35" t="n"/>
      <c r="P188" s="35" t="n"/>
      <c r="Q188" s="35" t="n"/>
      <c r="R188" s="35" t="n"/>
      <c r="S188" s="35" t="n"/>
      <c r="T188" s="35" t="inlineStr">
        <is>
          <t>Y</t>
        </is>
      </c>
      <c r="U188" s="36" t="inlineStr">
        <is>
          <t xml:space="preserve">FUENTE: Deviation.csv, filas CSV 442-443; Workflow=Expired; Date Released=2025-12-09; Date Originated=2025-11-26; Site=FJZP, Plant=MCGA (sin convertir automaticamente a FJZ); 2 filas PN; APROBACION Y APLICABILIDAD NO VALIDADAS. </t>
        </is>
      </c>
    </row>
    <row r="189">
      <c r="A189" s="43" t="inlineStr">
        <is>
          <t>DEV-CTANJZ04984</t>
        </is>
      </c>
      <c r="B189" s="43" t="inlineStr">
        <is>
          <t>DEVIATION</t>
        </is>
      </c>
      <c r="C189" s="43" t="inlineStr">
        <is>
          <t>D604760</t>
        </is>
      </c>
      <c r="D189" s="43" t="n"/>
      <c r="E189" s="33" t="inlineStr">
        <is>
          <t>D604760 CVEBU: Sourcing deviation for FOL; FOC and SHK. Extension of D598063 &amp; D599926  Affected Item used in multiple products:CPN: 341-100574-01MPN: ADF019-790G Z from ACBELPID PSU-12VDC-70W-GRACBEL PSU will not be compliant for Chinese market effective 31st July 2024. This impacts the importation of the PSU into China; moving from bonded area and outbound shipment of finished goods to Chinese customers.With immediate effect; no orders to be placed with ACBEL (MPN -  ADF019-790G Z ) for PSU 341-100574-01 by FOC; FOL and SHK.  Only source new orders from FSP going forward (MPN- FSP070-AHAN2_9NA0701500-Z)Note; adding PID to affected item for DF/BTS site working on PID level.Contact Cisco: Annette McCarthy and Jarle Aasland</t>
        </is>
      </c>
      <c r="F189" s="43" t="inlineStr">
        <is>
          <t>Pending</t>
        </is>
      </c>
      <c r="G189" s="43" t="inlineStr">
        <is>
          <t>Expired</t>
        </is>
      </c>
      <c r="H189" s="43" t="inlineStr">
        <is>
          <t>Pending Review</t>
        </is>
      </c>
      <c r="I189" s="43" t="inlineStr">
        <is>
          <t>CVEBU</t>
        </is>
      </c>
      <c r="J189" s="43" t="inlineStr">
        <is>
          <t>CTANJZ04984</t>
        </is>
      </c>
      <c r="K189" s="32" t="n"/>
      <c r="L189" s="32" t="n"/>
      <c r="M189" s="32" t="n">
        <v>46077</v>
      </c>
      <c r="N189" s="43" t="n"/>
      <c r="O189" s="43" t="n"/>
      <c r="P189" s="43" t="n"/>
      <c r="Q189" s="43" t="n"/>
      <c r="R189" s="43" t="n"/>
      <c r="S189" s="43" t="n"/>
      <c r="T189" s="43" t="inlineStr">
        <is>
          <t>Y</t>
        </is>
      </c>
      <c r="U189" s="33" t="inlineStr">
        <is>
          <t xml:space="preserve">FUENTE: Deviation.csv, filas CSV 987-987; Workflow=Expired; Date Released=2025-12-09; Date Originated=2025-11-26; Site=FJZP, Plant=MCGA (sin convertir automaticamente a FJZ); 1 filas PN; APROBACION Y APLICABILIDAD NO VALIDADAS. </t>
        </is>
      </c>
    </row>
    <row r="190">
      <c r="A190" s="35" t="inlineStr">
        <is>
          <t>DEV-CTANJZ04990</t>
        </is>
      </c>
      <c r="B190" s="35" t="inlineStr">
        <is>
          <t>DEVIATION</t>
        </is>
      </c>
      <c r="C190" s="35" t="inlineStr">
        <is>
          <t>D607247</t>
        </is>
      </c>
      <c r="D190" s="35" t="n"/>
      <c r="E190" s="36" t="inlineStr">
        <is>
          <t>D607247 This deviation is an extension of Deviation D605647.Allow FOL;FVN and FJZ to use MPN 08-1210-01-A0 under CPN 08-1210-01 to support mass production build till furthuer instruction from Cisco.</t>
        </is>
      </c>
      <c r="F190" s="35" t="inlineStr">
        <is>
          <t>Pending</t>
        </is>
      </c>
      <c r="G190" s="35" t="inlineStr">
        <is>
          <t>Expired</t>
        </is>
      </c>
      <c r="H190" s="35" t="inlineStr">
        <is>
          <t>Pending Review</t>
        </is>
      </c>
      <c r="I190" s="35" t="inlineStr">
        <is>
          <t>SRGBU</t>
        </is>
      </c>
      <c r="J190" s="35" t="inlineStr">
        <is>
          <t>CTANJZ04990</t>
        </is>
      </c>
      <c r="K190" s="37" t="n"/>
      <c r="L190" s="37" t="n"/>
      <c r="M190" s="37" t="n">
        <v>46079</v>
      </c>
      <c r="N190" s="35" t="n"/>
      <c r="O190" s="35" t="n"/>
      <c r="P190" s="35" t="n"/>
      <c r="Q190" s="35" t="n"/>
      <c r="R190" s="35" t="n"/>
      <c r="S190" s="35" t="n"/>
      <c r="T190" s="35" t="inlineStr">
        <is>
          <t>Y</t>
        </is>
      </c>
      <c r="U190" s="36" t="inlineStr">
        <is>
          <t xml:space="preserve">FUENTE: Deviation.csv, filas CSV 988-990; Workflow=Expired; Date Released=2025-12-09; Date Originated=2025-11-28; Site=FJZP, Plant=MCGA (sin convertir automaticamente a FJZ); 3 filas PN; APROBACION Y APLICABILIDAD NO VALIDADAS. </t>
        </is>
      </c>
    </row>
    <row r="191">
      <c r="A191" s="43" t="inlineStr">
        <is>
          <t>DEV-CTANJZ04995</t>
        </is>
      </c>
      <c r="B191" s="43" t="inlineStr">
        <is>
          <t>DEVIATION</t>
        </is>
      </c>
      <c r="C191" s="43" t="inlineStr">
        <is>
          <t>DP525581</t>
        </is>
      </c>
      <c r="D191" s="43" t="n"/>
      <c r="E191" s="33" t="inlineStr">
        <is>
          <t>DP525581 NPI; Tyne; Approval for FJZ to build Pre-Pilot 1 with old Main Board VersionAffected item68-104853-01; ASY-ELMECH; Tyne Codec; Radio   68-104854-01; ASY-ELMECH; Tyne Codec; Non-Radio   73-103698-04; PCBA; Tyne Codec; Main Board; Radio (Rev D)73-103698-05; PCBA; Tyne Codec; Main Board; Radio (Rev E)73-103940-04; PCBA; Tyne Codec; Main Board; Non-Radio (Rev D)73-103940-05; PCBA; Tyne Codec; Main Board; Non-Radio (Rev E)Deviation:- This deviation instructs FJZ to replace 73-103698-05 with 73-103698-04 on upcoming Pre-Pilot 1 build of 15x 68-104853-01- This deviation instructs FJZ to replace 73-103940-05 with 73-103940-04 on upcoming Pre-Pilot 1 build of 30x 68-104854-01- This deviation instructs FJZ to build Pre-Pilot 1 and Pre-Pilot 2 according to attached allocation planCisco Contact: Christian KjoelsethFJZ Contact: Fernando Valdez</t>
        </is>
      </c>
      <c r="F191" s="43" t="inlineStr">
        <is>
          <t>Pending</t>
        </is>
      </c>
      <c r="G191" s="43" t="inlineStr">
        <is>
          <t>Expired</t>
        </is>
      </c>
      <c r="H191" s="43" t="inlineStr">
        <is>
          <t>Pending Review</t>
        </is>
      </c>
      <c r="I191" s="43" t="inlineStr">
        <is>
          <t>CVEBU</t>
        </is>
      </c>
      <c r="J191" s="43" t="inlineStr">
        <is>
          <t>CTANJZ04995</t>
        </is>
      </c>
      <c r="K191" s="32" t="n"/>
      <c r="L191" s="32" t="n"/>
      <c r="M191" s="32" t="n">
        <v>46052</v>
      </c>
      <c r="N191" s="43" t="n"/>
      <c r="O191" s="43" t="n"/>
      <c r="P191" s="43" t="n"/>
      <c r="Q191" s="43" t="n"/>
      <c r="R191" s="43" t="n"/>
      <c r="S191" s="43" t="n"/>
      <c r="T191" s="43" t="inlineStr">
        <is>
          <t>Y</t>
        </is>
      </c>
      <c r="U191" s="33" t="inlineStr">
        <is>
          <t xml:space="preserve">FUENTE: Deviation.csv, filas CSV 517-520; Workflow=Expired; Date Released=2025-12-09; Date Originated=2025-12-02; Site=FJZP, Plant=MCGA (sin convertir automaticamente a FJZ); 4 filas PN; APROBACION Y APLICABILIDAD NO VALIDADAS. </t>
        </is>
      </c>
    </row>
    <row r="192">
      <c r="A192" s="35" t="inlineStr">
        <is>
          <t>DEV-CTANJZ04996</t>
        </is>
      </c>
      <c r="B192" s="35" t="inlineStr">
        <is>
          <t>DEVIATION</t>
        </is>
      </c>
      <c r="C192" s="35" t="inlineStr">
        <is>
          <t>D607987</t>
        </is>
      </c>
      <c r="D192" s="35" t="n"/>
      <c r="E192" s="36" t="inlineStr">
        <is>
          <t>D607987 The SSD label in the side placed from Hynix; it's been damaging during the assembly of the SSD. Cisco Mechanical engineer to review with the supplier another location to place the label in the SSD</t>
        </is>
      </c>
      <c r="F192" s="35" t="inlineStr">
        <is>
          <t>Pending</t>
        </is>
      </c>
      <c r="G192" s="35" t="inlineStr">
        <is>
          <t>Expired</t>
        </is>
      </c>
      <c r="H192" s="35" t="inlineStr">
        <is>
          <t>Pending Review</t>
        </is>
      </c>
      <c r="I192" s="35" t="inlineStr">
        <is>
          <t>STBU</t>
        </is>
      </c>
      <c r="J192" s="35" t="inlineStr">
        <is>
          <t>CTANJZ04996</t>
        </is>
      </c>
      <c r="K192" s="37" t="n"/>
      <c r="L192" s="37" t="n"/>
      <c r="M192" s="37" t="n">
        <v>46083</v>
      </c>
      <c r="N192" s="35" t="n"/>
      <c r="O192" s="35" t="n"/>
      <c r="P192" s="35" t="n"/>
      <c r="Q192" s="35" t="n"/>
      <c r="R192" s="35" t="n"/>
      <c r="S192" s="35" t="n"/>
      <c r="T192" s="35" t="inlineStr">
        <is>
          <t>Y</t>
        </is>
      </c>
      <c r="U192" s="36" t="inlineStr">
        <is>
          <t xml:space="preserve">FUENTE: Deviation.csv, filas CSV 994-994; Workflow=Expired; Date Released=2026-01-13; Date Originated=2025-12-02; Site=FJZP, Plant=MCGA (sin convertir automaticamente a FJZ); 1 filas PN; APROBACION Y APLICABILIDAD NO VALIDADAS. </t>
        </is>
      </c>
    </row>
    <row r="193">
      <c r="A193" s="43" t="inlineStr">
        <is>
          <t>DEV-CTANJZ04997</t>
        </is>
      </c>
      <c r="B193" s="43" t="inlineStr">
        <is>
          <t>DEVIATION</t>
        </is>
      </c>
      <c r="C193" s="43" t="inlineStr">
        <is>
          <t>D608035</t>
        </is>
      </c>
      <c r="D193" s="43" t="n"/>
      <c r="E193" s="33" t="inlineStr">
        <is>
          <t>D608035 During release of ECO EA622285; several programmable device AVL entries were inadvertently left at IPQ. These AVL sources were fully qualified for usage on Pilot 2.   This Deviation directs Foxconn (FJZ) to use the following CPN/MPN combinations that are currently at IPQ status for Pilot 2 material requirements.  Please note that MCO135340 has been submitted to correct this oversight.73-103648-04 / 73-103559-0417-103223-04-MICROCHIP Ok to use73-103633-0417-103265-03 SMART MODULAR Ok to use17-103273-04 SMART MODULAR Ok to use17-103272-03 SMART MODULAR Ok to use</t>
        </is>
      </c>
      <c r="F193" s="43" t="inlineStr">
        <is>
          <t>Pending</t>
        </is>
      </c>
      <c r="G193" s="43" t="inlineStr">
        <is>
          <t>Expired</t>
        </is>
      </c>
      <c r="H193" s="43" t="inlineStr">
        <is>
          <t>Pending Review</t>
        </is>
      </c>
      <c r="I193" s="43" t="inlineStr">
        <is>
          <t>STBU</t>
        </is>
      </c>
      <c r="J193" s="43" t="inlineStr">
        <is>
          <t>CTANJZ04997</t>
        </is>
      </c>
      <c r="K193" s="32" t="n"/>
      <c r="L193" s="32" t="n"/>
      <c r="M193" s="32" t="n">
        <v>46083</v>
      </c>
      <c r="N193" s="43" t="n"/>
      <c r="O193" s="43" t="n"/>
      <c r="P193" s="43" t="n"/>
      <c r="Q193" s="43" t="n"/>
      <c r="R193" s="43" t="n"/>
      <c r="S193" s="43" t="n"/>
      <c r="T193" s="43" t="inlineStr">
        <is>
          <t>Y</t>
        </is>
      </c>
      <c r="U193" s="33" t="inlineStr">
        <is>
          <t xml:space="preserve">FUENTE: Deviation.csv, filas CSV 991-993; Workflow=Expired; Date Released=2026-01-13; Date Originated=2025-12-02; Site=FJZP, Plant=MCGA (sin convertir automaticamente a FJZ); 3 filas PN; APROBACION Y APLICABILIDAD NO VALIDADAS. </t>
        </is>
      </c>
    </row>
    <row r="194">
      <c r="A194" s="35" t="inlineStr">
        <is>
          <t>DEV-CTANJZ05000</t>
        </is>
      </c>
      <c r="B194" s="35" t="inlineStr">
        <is>
          <t>DEVIATION</t>
        </is>
      </c>
      <c r="C194" s="35" t="inlineStr">
        <is>
          <t>D607991</t>
        </is>
      </c>
      <c r="D194" s="35" t="n"/>
      <c r="E194" s="36" t="inlineStr">
        <is>
          <t>D607991FJZ to rotate the placement of the quack label and serial number label on the PCB to be able to read the serial after the heatsink is assembled.</t>
        </is>
      </c>
      <c r="F194" s="35" t="inlineStr">
        <is>
          <t>Pending</t>
        </is>
      </c>
      <c r="G194" s="35" t="inlineStr">
        <is>
          <t>Expired</t>
        </is>
      </c>
      <c r="H194" s="35" t="inlineStr">
        <is>
          <t>Pending Review</t>
        </is>
      </c>
      <c r="I194" s="35" t="inlineStr">
        <is>
          <t>STBU</t>
        </is>
      </c>
      <c r="J194" s="35" t="inlineStr">
        <is>
          <t>CTANJZ05000</t>
        </is>
      </c>
      <c r="K194" s="37" t="n"/>
      <c r="L194" s="37" t="n"/>
      <c r="M194" s="37" t="n">
        <v>46083</v>
      </c>
      <c r="N194" s="35" t="n"/>
      <c r="O194" s="35" t="n"/>
      <c r="P194" s="35" t="n"/>
      <c r="Q194" s="35" t="n"/>
      <c r="R194" s="35" t="n"/>
      <c r="S194" s="35" t="n"/>
      <c r="T194" s="35" t="inlineStr">
        <is>
          <t>Y</t>
        </is>
      </c>
      <c r="U194" s="36" t="inlineStr">
        <is>
          <t xml:space="preserve">FUENTE: Deviation.csv, filas CSV 1756-1761; Workflow=Expired; Date Released=2026-01-13; Date Originated=2025-12-02; Site=FJZP, Plant=MCGA (sin convertir automaticamente a FJZ); 6 filas PN; APROBACION Y APLICABILIDAD NO VALIDADAS. </t>
        </is>
      </c>
    </row>
    <row r="195">
      <c r="A195" s="43" t="inlineStr">
        <is>
          <t>DEV-CTANJZ05001</t>
        </is>
      </c>
      <c r="B195" s="43" t="inlineStr">
        <is>
          <t>DEVIATION</t>
        </is>
      </c>
      <c r="C195" s="43" t="inlineStr">
        <is>
          <t>D607678</t>
        </is>
      </c>
      <c r="D195" s="43" t="n"/>
      <c r="E195" s="33" t="inlineStr">
        <is>
          <t>D607678 NGFWBU: Risk Buy: GQR No: GQR000072536; AQR No: AQR002981203; CPN: 20-100534-02; MFR NAME: NEXPERIA USA INC ; MPN: PSMNR51-25YLH &amp; MFR NAME: ONSEMI ; MPN: NTMFS0D55N03CGT1GTo execute the above AQR at CM Site.</t>
        </is>
      </c>
      <c r="F195" s="43" t="inlineStr">
        <is>
          <t>Pending</t>
        </is>
      </c>
      <c r="G195" s="43" t="inlineStr">
        <is>
          <t>Expired</t>
        </is>
      </c>
      <c r="H195" s="43" t="inlineStr">
        <is>
          <t>Pending Review</t>
        </is>
      </c>
      <c r="I195" s="43" t="inlineStr">
        <is>
          <t>STBU</t>
        </is>
      </c>
      <c r="J195" s="43" t="inlineStr">
        <is>
          <t>CTANJZ05001</t>
        </is>
      </c>
      <c r="K195" s="32" t="n"/>
      <c r="L195" s="32" t="n"/>
      <c r="M195" s="32" t="n">
        <v>46083</v>
      </c>
      <c r="N195" s="43" t="n"/>
      <c r="O195" s="43" t="n"/>
      <c r="P195" s="43" t="n"/>
      <c r="Q195" s="43" t="n"/>
      <c r="R195" s="43" t="n"/>
      <c r="S195" s="43" t="n"/>
      <c r="T195" s="43" t="inlineStr">
        <is>
          <t>Y</t>
        </is>
      </c>
      <c r="U195" s="33" t="inlineStr">
        <is>
          <t xml:space="preserve">FUENTE: Deviation.csv, filas CSV 1442-1443; Workflow=Expired; Date Released=2026-01-14; Date Originated=2025-12-02; Site=FJZP, Plant=MCGA (sin convertir automaticamente a FJZ); 2 filas PN; APROBACION Y APLICABILIDAD NO VALIDADAS. </t>
        </is>
      </c>
    </row>
    <row r="196">
      <c r="A196" s="35" t="inlineStr">
        <is>
          <t>DEV-CTANJZ05004</t>
        </is>
      </c>
      <c r="B196" s="35" t="inlineStr">
        <is>
          <t>DEVIATION</t>
        </is>
      </c>
      <c r="C196" s="35" t="inlineStr">
        <is>
          <t>D607851</t>
        </is>
      </c>
      <c r="D196" s="35" t="n"/>
      <c r="E196" s="36" t="inlineStr">
        <is>
          <t>D607851 CVEBU; Nixie. Engineering/Control run build to qualify MPN AT30TSE004A-MA5M from Microchip. 18-Nov. 2025Microchip have sent FJZ 100 pcs of CPN 15-104894-01; MPN AT30TSE004A-MA5M. Position U12.These shall be used in a control build as normal production flow.PCA CPN: 73-102121-01 PCA; NIXIE MIC BOARDFJZ shall do a control run with 100 units. Build &amp; Test to TAN level 68-105050-01 or 68-105051-01After successful build; and Cisco approval; the units can be shipped to customers.Note: BU have already pass EDVT; this build is to pass normal production testNote: Please provide build scheduleNote: Report Yield for this build.Contact Cisco: Irving Contreras and Jarle Aasland</t>
        </is>
      </c>
      <c r="F196" s="35" t="inlineStr">
        <is>
          <t>Pending</t>
        </is>
      </c>
      <c r="G196" s="35" t="inlineStr">
        <is>
          <t>Expired</t>
        </is>
      </c>
      <c r="H196" s="35" t="inlineStr">
        <is>
          <t>Pending Review</t>
        </is>
      </c>
      <c r="I196" s="35" t="inlineStr">
        <is>
          <t>CVEBU</t>
        </is>
      </c>
      <c r="J196" s="35" t="inlineStr">
        <is>
          <t>CTANJZ05004</t>
        </is>
      </c>
      <c r="K196" s="37" t="n"/>
      <c r="L196" s="37" t="n"/>
      <c r="M196" s="37" t="n">
        <v>46084</v>
      </c>
      <c r="N196" s="35" t="n"/>
      <c r="O196" s="35" t="n"/>
      <c r="P196" s="35" t="n"/>
      <c r="Q196" s="35" t="n"/>
      <c r="R196" s="35" t="n"/>
      <c r="S196" s="35" t="n"/>
      <c r="T196" s="35" t="inlineStr">
        <is>
          <t>Y</t>
        </is>
      </c>
      <c r="U196" s="36" t="inlineStr">
        <is>
          <t xml:space="preserve">FUENTE: Deviation.csv, filas CSV 124-125; Workflow=Expired; Date Released=2025-12-16; Date Originated=2025-12-03; Site=FJZP, Plant=MCGA (sin convertir automaticamente a FJZ); 2 filas PN; APROBACION Y APLICABILIDAD NO VALIDADAS. </t>
        </is>
      </c>
    </row>
    <row r="197">
      <c r="A197" s="43" t="inlineStr">
        <is>
          <t>DEV-CTANJZ05008</t>
        </is>
      </c>
      <c r="B197" s="43" t="inlineStr">
        <is>
          <t>DEVIATION</t>
        </is>
      </c>
      <c r="C197" s="43" t="inlineStr">
        <is>
          <t>DP525595</t>
        </is>
      </c>
      <c r="D197" s="43" t="n"/>
      <c r="E197" s="33" t="inlineStr">
        <is>
          <t>DP525595 This deviation allows to use 502-100456-01 rev 01 and rev A0 in Pre-pilot build at FJZ.</t>
        </is>
      </c>
      <c r="F197" s="43" t="inlineStr">
        <is>
          <t>Pending</t>
        </is>
      </c>
      <c r="G197" s="43" t="inlineStr">
        <is>
          <t>Expired</t>
        </is>
      </c>
      <c r="H197" s="43" t="inlineStr">
        <is>
          <t>Pending Review</t>
        </is>
      </c>
      <c r="I197" s="43" t="inlineStr">
        <is>
          <t>CVEBU</t>
        </is>
      </c>
      <c r="J197" s="43" t="inlineStr">
        <is>
          <t>CTANJZ05008</t>
        </is>
      </c>
      <c r="K197" s="32" t="n"/>
      <c r="L197" s="32" t="n"/>
      <c r="M197" s="32" t="n">
        <v>46055</v>
      </c>
      <c r="N197" s="43" t="n"/>
      <c r="O197" s="43" t="n"/>
      <c r="P197" s="43" t="n"/>
      <c r="Q197" s="43" t="n"/>
      <c r="R197" s="43" t="n"/>
      <c r="S197" s="43" t="n"/>
      <c r="T197" s="43" t="inlineStr">
        <is>
          <t>Y</t>
        </is>
      </c>
      <c r="U197" s="33" t="inlineStr">
        <is>
          <t xml:space="preserve">FUENTE: Deviation.csv, filas CSV 985-1137; Workflow=Expired; Date Released=2025-12-16; Date Originated=2025-12-04; Site=FJZP, Plant=MCGA (sin convertir automaticamente a FJZ); 2 filas PN; APROBACION Y APLICABILIDAD NO VALIDADAS. </t>
        </is>
      </c>
    </row>
    <row r="198">
      <c r="A198" s="35" t="inlineStr">
        <is>
          <t>DEV-CTANJZ05009</t>
        </is>
      </c>
      <c r="B198" s="35" t="inlineStr">
        <is>
          <t>DEVIATION</t>
        </is>
      </c>
      <c r="C198" s="35" t="inlineStr">
        <is>
          <t>D607538</t>
        </is>
      </c>
      <c r="D198" s="35" t="n"/>
      <c r="E198" s="36" t="inlineStr">
        <is>
          <t>D607538 CVEBU; Nixie. 2nd source qualification for FPCs and NDAA compliance. Supplier name and site; VICTORY GIANT TECHNOLOGY (VGT) MFS (Malaysia)CM shall build and test up to TAN level 68-103291-01FPCA: Note; CPNs is finished goods from VGT; no assembly needed for the 73-CC.FPC CPN FPC MPNs Description FPCA 73-CC CPN28-102227-03 28-102227-03_S803 Nixie CAP SENSE FPCA 73-102365-01Control builds for all FPCs. ORT is mandatory to be used for this qualification.Note: Please provide build schedule and quote.Note: MOQ quantities will be negotiated with supplier. Build all boards into units.Contact Cisco: Norris Tse and Jarle Aasland</t>
        </is>
      </c>
      <c r="F198" s="35" t="inlineStr">
        <is>
          <t>Pending</t>
        </is>
      </c>
      <c r="G198" s="35" t="inlineStr">
        <is>
          <t>Expired</t>
        </is>
      </c>
      <c r="H198" s="35" t="inlineStr">
        <is>
          <t>Pending Review</t>
        </is>
      </c>
      <c r="I198" s="35" t="inlineStr">
        <is>
          <t>CVEBU</t>
        </is>
      </c>
      <c r="J198" s="35" t="inlineStr">
        <is>
          <t>CTANJZ05009</t>
        </is>
      </c>
      <c r="K198" s="37" t="n"/>
      <c r="L198" s="37" t="n"/>
      <c r="M198" s="37" t="n">
        <v>46086</v>
      </c>
      <c r="N198" s="35" t="n"/>
      <c r="O198" s="35" t="n"/>
      <c r="P198" s="35" t="n"/>
      <c r="Q198" s="35" t="n"/>
      <c r="R198" s="35" t="n"/>
      <c r="S198" s="35" t="n"/>
      <c r="T198" s="35" t="inlineStr">
        <is>
          <t>Y</t>
        </is>
      </c>
      <c r="U198" s="36" t="inlineStr">
        <is>
          <t xml:space="preserve">FUENTE: Deviation.csv, filas CSV 164-165; Workflow=Expired; Date Released=2025-12-16; Date Originated=2025-12-05; Site=FJZP, Plant=MCGA (sin convertir automaticamente a FJZ); 2 filas PN; APROBACION Y APLICABILIDAD NO VALIDADAS. </t>
        </is>
      </c>
    </row>
    <row r="199">
      <c r="A199" s="43" t="inlineStr">
        <is>
          <t>DEV-CTANJZ05011</t>
        </is>
      </c>
      <c r="B199" s="43" t="inlineStr">
        <is>
          <t>DEVIATION</t>
        </is>
      </c>
      <c r="C199" s="43" t="inlineStr">
        <is>
          <t>D607854</t>
        </is>
      </c>
      <c r="D199" s="43" t="n"/>
      <c r="E199" s="33" t="inlineStr">
        <is>
          <t>D607854 CVEBU; Heimdall. Engineering/Control run build. CPN: 06-100786-01; MPN:  Gettop Positions U1-U64. Malaysia site qualification. 18-Nov. 2025PCA CPN: 73-103459-02 PCA;HEIMDALL MIC BOARD260 pcs for qualification have been sent to FJZ.FJZ shall do a control run with 4 units. Build &amp; Test as normal production to TAN level 68-104816-01 or 68-104817-01Note: Report Yield for this small quantity build; and any trend on results close to the limitsNote: Please provide build scheduleAfter successful build; and Cisco approval; the units can be shipped to customers.Contact Cisco: Irving Contreras and Jarle Aasland</t>
        </is>
      </c>
      <c r="F199" s="43" t="inlineStr">
        <is>
          <t>Pending</t>
        </is>
      </c>
      <c r="G199" s="43" t="inlineStr">
        <is>
          <t>Expired</t>
        </is>
      </c>
      <c r="H199" s="43" t="inlineStr">
        <is>
          <t>Pending Review</t>
        </is>
      </c>
      <c r="I199" s="43" t="inlineStr">
        <is>
          <t>CVEBU</t>
        </is>
      </c>
      <c r="J199" s="43" t="inlineStr">
        <is>
          <t>CTANJZ05011</t>
        </is>
      </c>
      <c r="K199" s="32" t="n"/>
      <c r="L199" s="32" t="n"/>
      <c r="M199" s="32" t="n">
        <v>46086</v>
      </c>
      <c r="N199" s="43" t="n"/>
      <c r="O199" s="43" t="n"/>
      <c r="P199" s="43" t="n"/>
      <c r="Q199" s="43" t="n"/>
      <c r="R199" s="43" t="n"/>
      <c r="S199" s="43" t="n"/>
      <c r="T199" s="43" t="inlineStr">
        <is>
          <t>Y</t>
        </is>
      </c>
      <c r="U199" s="33" t="inlineStr">
        <is>
          <t xml:space="preserve">FUENTE: Deviation.csv, filas CSV 126-127; Workflow=Expired; Date Released=2025-12-16; Date Originated=2025-12-05; Site=FJZP, Plant=MCGA (sin convertir automaticamente a FJZ); 2 filas PN; APROBACION Y APLICABILIDAD NO VALIDADAS. </t>
        </is>
      </c>
    </row>
    <row r="200">
      <c r="A200" s="35" t="inlineStr">
        <is>
          <t>DEV-CTANJZ05014</t>
        </is>
      </c>
      <c r="B200" s="35" t="inlineStr">
        <is>
          <t>DEVIATION</t>
        </is>
      </c>
      <c r="C200" s="35" t="inlineStr">
        <is>
          <t>D608072</t>
        </is>
      </c>
      <c r="D200" s="35" t="n"/>
      <c r="E200" s="36" t="inlineStr">
        <is>
          <t>D608072NGFWBU: Risk Buy: GQR No: GQR000074710; AQR No: AQR003023126; CPN: 15-12877-02; MFR Name: RICHTEK TECHNOLOGY; MPN: RT9731AZQW.To execute the above AQR at CM site.</t>
        </is>
      </c>
      <c r="F200" s="35" t="inlineStr">
        <is>
          <t>Pending</t>
        </is>
      </c>
      <c r="G200" s="35" t="inlineStr">
        <is>
          <t>Expired</t>
        </is>
      </c>
      <c r="H200" s="35" t="inlineStr">
        <is>
          <t>Pending Review</t>
        </is>
      </c>
      <c r="I200" s="35" t="inlineStr">
        <is>
          <t>STBU</t>
        </is>
      </c>
      <c r="J200" s="35" t="inlineStr">
        <is>
          <t>CTANJZ05014</t>
        </is>
      </c>
      <c r="K200" s="37" t="n"/>
      <c r="L200" s="37" t="n"/>
      <c r="M200" s="37" t="n">
        <v>46087</v>
      </c>
      <c r="N200" s="35" t="n"/>
      <c r="O200" s="35" t="n"/>
      <c r="P200" s="35" t="n"/>
      <c r="Q200" s="35" t="n"/>
      <c r="R200" s="35" t="n"/>
      <c r="S200" s="35" t="n"/>
      <c r="T200" s="35" t="inlineStr">
        <is>
          <t>Y</t>
        </is>
      </c>
      <c r="U200" s="36" t="inlineStr">
        <is>
          <t xml:space="preserve">FUENTE: Deviation.csv, filas CSV 1435-1448; Workflow=Expired; Date Released=2026-01-23; Date Originated=2025-12-08; Site=FJZP, Plant=MCGA (sin convertir automaticamente a FJZ); 2 filas PN; APROBACION Y APLICABILIDAD NO VALIDADAS. </t>
        </is>
      </c>
    </row>
    <row r="201">
      <c r="A201" s="43" t="inlineStr">
        <is>
          <t>DEV-CTANJZ05015</t>
        </is>
      </c>
      <c r="B201" s="43" t="inlineStr">
        <is>
          <t>DEVIATION</t>
        </is>
      </c>
      <c r="C201" s="43" t="inlineStr">
        <is>
          <t>D607988</t>
        </is>
      </c>
      <c r="D201" s="43" t="n"/>
      <c r="E201" s="33" t="inlineStr">
        <is>
          <t>D607988 IoTBU: Allow FJZ to purchase MPN 65-00-GEL30-0300 (51-101214-01) as an alternate due to a short and a long LT of MPN 65-00-GEL30-0030 (51-103322-01).</t>
        </is>
      </c>
      <c r="F201" s="43" t="inlineStr">
        <is>
          <t>Pending</t>
        </is>
      </c>
      <c r="G201" s="43" t="inlineStr">
        <is>
          <t>Expired</t>
        </is>
      </c>
      <c r="H201" s="43" t="inlineStr">
        <is>
          <t>Pending Review</t>
        </is>
      </c>
      <c r="I201" s="43" t="inlineStr">
        <is>
          <t>IOTBU</t>
        </is>
      </c>
      <c r="J201" s="43" t="inlineStr">
        <is>
          <t>CTANJZ05015</t>
        </is>
      </c>
      <c r="K201" s="32" t="n"/>
      <c r="L201" s="32" t="n"/>
      <c r="M201" s="32" t="n">
        <v>46087</v>
      </c>
      <c r="N201" s="43" t="n"/>
      <c r="O201" s="43" t="n"/>
      <c r="P201" s="43" t="n"/>
      <c r="Q201" s="43" t="n"/>
      <c r="R201" s="43" t="n"/>
      <c r="S201" s="43" t="n"/>
      <c r="T201" s="43" t="inlineStr">
        <is>
          <t>Y</t>
        </is>
      </c>
      <c r="U201" s="33" t="inlineStr">
        <is>
          <t xml:space="preserve">FUENTE: Deviation.csv, filas CSV 1099-1102; Workflow=Expired; Date Released=2026-01-14; Date Originated=2025-12-08; Site=FJZP, Plant=MCGA (sin convertir automaticamente a FJZ); 4 filas PN; APROBACION Y APLICABILIDAD NO VALIDADAS. </t>
        </is>
      </c>
    </row>
    <row r="202">
      <c r="A202" s="35" t="inlineStr">
        <is>
          <t>DEV-CTANJZ05017</t>
        </is>
      </c>
      <c r="B202" s="35" t="inlineStr">
        <is>
          <t>DEVIATION</t>
        </is>
      </c>
      <c r="C202" s="35" t="inlineStr">
        <is>
          <t>D608183</t>
        </is>
      </c>
      <c r="D202" s="35" t="n"/>
      <c r="E202" s="36" t="inlineStr">
        <is>
          <t>D608183 Allow FJZ to rename  Micron MPN= MTA36ASF4G72PZ-3G2R1 of the  15-104174-01  and 15-104289-01  ; as 15-107071-01; in the PIDs:MEM-C8200-32GBMEM-C8200-32GB=MEM-8300-32GBMEM-8300-32GB=MEM-C8500-32GBMEM-C8500-64GBMEM-C8500-64GB=MEM-C8500L-32GBMEM-C8500L-32GB=MEM-C8500L-64GBMEM-C8500L-64GB=</t>
        </is>
      </c>
      <c r="F202" s="35" t="inlineStr">
        <is>
          <t>Pending</t>
        </is>
      </c>
      <c r="G202" s="35" t="inlineStr">
        <is>
          <t>Expired</t>
        </is>
      </c>
      <c r="H202" s="35" t="inlineStr">
        <is>
          <t>Pending Review</t>
        </is>
      </c>
      <c r="I202" s="35" t="inlineStr">
        <is>
          <t>SRGBU</t>
        </is>
      </c>
      <c r="J202" s="35" t="inlineStr">
        <is>
          <t>CTANJZ05017</t>
        </is>
      </c>
      <c r="K202" s="37" t="n"/>
      <c r="L202" s="37" t="n"/>
      <c r="M202" s="37" t="n">
        <v>46087</v>
      </c>
      <c r="N202" s="35" t="n"/>
      <c r="O202" s="35" t="n"/>
      <c r="P202" s="35" t="n"/>
      <c r="Q202" s="35" t="n"/>
      <c r="R202" s="35" t="n"/>
      <c r="S202" s="35" t="n"/>
      <c r="T202" s="35" t="inlineStr">
        <is>
          <t>Y</t>
        </is>
      </c>
      <c r="U202" s="36" t="inlineStr">
        <is>
          <t xml:space="preserve">FUENTE: Deviation.csv, filas CSV 1098-1098; Workflow=Expired; Date Released=2026-01-13; Date Originated=2025-12-08; Site=FJZP, Plant=MCGA (sin convertir automaticamente a FJZ); 1 filas PN; APROBACION Y APLICABILIDAD NO VALIDADAS. </t>
        </is>
      </c>
    </row>
    <row r="203">
      <c r="A203" s="43" t="inlineStr">
        <is>
          <t>DEV-CTANJZ05022</t>
        </is>
      </c>
      <c r="B203" s="43" t="inlineStr">
        <is>
          <t>DEVIATION</t>
        </is>
      </c>
      <c r="C203" s="43" t="inlineStr">
        <is>
          <t>D607604</t>
        </is>
      </c>
      <c r="D203" s="43" t="n"/>
      <c r="E203" s="33" t="inlineStr">
        <is>
          <t>D607604 NGFWBU: Risk Buy: GQR No: GQR000072447; AQR No:AQR003000368; CPN: 22-0522-01; MFR NAME: DIPTRONICS ; MPN: DTSA-62N-VTo execute the above AQR at CM Site.</t>
        </is>
      </c>
      <c r="F203" s="43" t="inlineStr">
        <is>
          <t>Pending</t>
        </is>
      </c>
      <c r="G203" s="43" t="inlineStr">
        <is>
          <t>Expired</t>
        </is>
      </c>
      <c r="H203" s="43" t="inlineStr">
        <is>
          <t>Pending Review</t>
        </is>
      </c>
      <c r="I203" s="43" t="inlineStr">
        <is>
          <t>STBU</t>
        </is>
      </c>
      <c r="J203" s="43" t="inlineStr">
        <is>
          <t>CTANJZ05022</t>
        </is>
      </c>
      <c r="K203" s="32" t="n"/>
      <c r="L203" s="32" t="n"/>
      <c r="M203" s="32" t="n">
        <v>46092</v>
      </c>
      <c r="N203" s="43" t="n"/>
      <c r="O203" s="43" t="n"/>
      <c r="P203" s="43" t="n"/>
      <c r="Q203" s="43" t="n"/>
      <c r="R203" s="43" t="n"/>
      <c r="S203" s="43" t="n"/>
      <c r="T203" s="43" t="inlineStr">
        <is>
          <t>Y</t>
        </is>
      </c>
      <c r="U203" s="33" t="inlineStr">
        <is>
          <t xml:space="preserve">FUENTE: Deviation.csv, filas CSV 1556-1557; Workflow=Expired; Date Released=2026-01-27; Date Originated=2025-12-11; Site=FJZP, Plant=MCGA (sin convertir automaticamente a FJZ); 2 filas PN; APROBACION Y APLICABILIDAD NO VALIDADAS. </t>
        </is>
      </c>
    </row>
    <row r="204">
      <c r="A204" s="35" t="inlineStr">
        <is>
          <t>DEV-CTANJZ05024</t>
        </is>
      </c>
      <c r="B204" s="35" t="inlineStr">
        <is>
          <t>DEVIATION</t>
        </is>
      </c>
      <c r="C204" s="35" t="inlineStr">
        <is>
          <t>D608212</t>
        </is>
      </c>
      <c r="D204" s="35" t="n"/>
      <c r="E204" s="36" t="inlineStr">
        <is>
          <t>D608212 Allow FJZ to use DDR4 TAN 15-109066-01 in place of 15-109388-01 on Spatha TAN 68-7623-06 for the following MPNs ONLY:1. Smart Modular MPN SR5724G822APJDAMF02. Micron Tech MPN MTA18ASF4G72PDZ-3G2F1</t>
        </is>
      </c>
      <c r="F204" s="35" t="inlineStr">
        <is>
          <t>Pending</t>
        </is>
      </c>
      <c r="G204" s="35" t="inlineStr">
        <is>
          <t>Expired</t>
        </is>
      </c>
      <c r="H204" s="35" t="inlineStr">
        <is>
          <t>Pending Review</t>
        </is>
      </c>
      <c r="I204" s="35" t="inlineStr">
        <is>
          <t>SRGBU</t>
        </is>
      </c>
      <c r="J204" s="35" t="inlineStr">
        <is>
          <t>CTANJZ05024</t>
        </is>
      </c>
      <c r="K204" s="37" t="n"/>
      <c r="L204" s="37" t="n"/>
      <c r="M204" s="37" t="n">
        <v>46092</v>
      </c>
      <c r="N204" s="35" t="n"/>
      <c r="O204" s="35" t="n"/>
      <c r="P204" s="35" t="n"/>
      <c r="Q204" s="35" t="n"/>
      <c r="R204" s="35" t="n"/>
      <c r="S204" s="35" t="n"/>
      <c r="T204" s="35" t="inlineStr">
        <is>
          <t>Y</t>
        </is>
      </c>
      <c r="U204" s="36" t="inlineStr">
        <is>
          <t xml:space="preserve">FUENTE: Deviation.csv, filas CSV 459-459; Workflow=Expired; Date Released=2026-01-13; Date Originated=2025-12-11; Site=FJZP, Plant=MCGA (sin convertir automaticamente a FJZ); 1 filas PN; APROBACION Y APLICABILIDAD NO VALIDADAS. </t>
        </is>
      </c>
    </row>
    <row r="205">
      <c r="A205" s="43" t="inlineStr">
        <is>
          <t>DEV-CTANJZ05026</t>
        </is>
      </c>
      <c r="B205" s="43" t="inlineStr">
        <is>
          <t>DEVIATION</t>
        </is>
      </c>
      <c r="C205" s="43" t="inlineStr">
        <is>
          <t>D608324</t>
        </is>
      </c>
      <c r="D205" s="43" t="n"/>
      <c r="E205" s="33" t="inlineStr">
        <is>
          <t>D608324 Please see PageThree for details</t>
        </is>
      </c>
      <c r="F205" s="43" t="inlineStr">
        <is>
          <t>Pending</t>
        </is>
      </c>
      <c r="G205" s="43" t="inlineStr">
        <is>
          <t>Expired</t>
        </is>
      </c>
      <c r="H205" s="43" t="inlineStr">
        <is>
          <t>Pending Review</t>
        </is>
      </c>
      <c r="I205" s="43" t="inlineStr">
        <is>
          <t>IOTBU</t>
        </is>
      </c>
      <c r="J205" s="43" t="inlineStr">
        <is>
          <t>CTANJZ05026</t>
        </is>
      </c>
      <c r="K205" s="32" t="n"/>
      <c r="L205" s="32" t="n"/>
      <c r="M205" s="32" t="n">
        <v>46092</v>
      </c>
      <c r="N205" s="43" t="n"/>
      <c r="O205" s="43" t="n"/>
      <c r="P205" s="43" t="n"/>
      <c r="Q205" s="43" t="n"/>
      <c r="R205" s="43" t="n"/>
      <c r="S205" s="43" t="n"/>
      <c r="T205" s="43" t="inlineStr">
        <is>
          <t>Y</t>
        </is>
      </c>
      <c r="U205" s="33" t="inlineStr">
        <is>
          <t xml:space="preserve">FUENTE: Deviation.csv, filas CSV 1034-1044; Workflow=Expired; Date Released=2026-01-14; Date Originated=2025-12-11; Site=FJZP, Plant=MCGA (sin convertir automaticamente a FJZ); 11 filas PN; APROBACION Y APLICABILIDAD NO VALIDADAS. </t>
        </is>
      </c>
    </row>
    <row r="206">
      <c r="A206" s="35" t="inlineStr">
        <is>
          <t>DEV-CTANJZ05029</t>
        </is>
      </c>
      <c r="B206" s="35" t="inlineStr">
        <is>
          <t>DEVIATION</t>
        </is>
      </c>
      <c r="C206" s="35" t="inlineStr">
        <is>
          <t>D608309</t>
        </is>
      </c>
      <c r="D206" s="35" t="n"/>
      <c r="E206" s="36" t="inlineStr">
        <is>
          <t>D608309 Woodside Park Main Board Pilot 2 units are failing 100% at ICT for U208.</t>
        </is>
      </c>
      <c r="F206" s="35" t="inlineStr">
        <is>
          <t>Pending</t>
        </is>
      </c>
      <c r="G206" s="35" t="inlineStr">
        <is>
          <t>Expired</t>
        </is>
      </c>
      <c r="H206" s="35" t="inlineStr">
        <is>
          <t>Pending Review</t>
        </is>
      </c>
      <c r="I206" s="35" t="inlineStr">
        <is>
          <t>STBU</t>
        </is>
      </c>
      <c r="J206" s="35" t="inlineStr">
        <is>
          <t>CTANJZ05029</t>
        </is>
      </c>
      <c r="K206" s="37" t="n"/>
      <c r="L206" s="37" t="n"/>
      <c r="M206" s="37" t="n">
        <v>46092</v>
      </c>
      <c r="N206" s="35" t="n"/>
      <c r="O206" s="35" t="n"/>
      <c r="P206" s="35" t="n"/>
      <c r="Q206" s="35" t="n"/>
      <c r="R206" s="35" t="n"/>
      <c r="S206" s="35" t="n"/>
      <c r="T206" s="35" t="inlineStr">
        <is>
          <t>Y</t>
        </is>
      </c>
      <c r="U206" s="36" t="inlineStr">
        <is>
          <t xml:space="preserve">FUENTE: Deviation.csv, filas CSV 965-966; Workflow=Expired; Date Released=2026-01-27; Date Originated=2025-12-12; Site=FJZP, Plant=MCGA (sin convertir automaticamente a FJZ); 2 filas PN; APROBACION Y APLICABILIDAD NO VALIDADAS. </t>
        </is>
      </c>
    </row>
    <row r="207">
      <c r="A207" s="43" t="inlineStr">
        <is>
          <t>DEV-CTANJZ05041</t>
        </is>
      </c>
      <c r="B207" s="43" t="inlineStr">
        <is>
          <t>DEVIATION</t>
        </is>
      </c>
      <c r="C207" s="43" t="inlineStr">
        <is>
          <t>DP525661</t>
        </is>
      </c>
      <c r="D207" s="43" t="n"/>
      <c r="E207" s="33" t="inlineStr">
        <is>
          <t>DP525661 CVEBU; Bayfront Mainboard Prepilot Proto planner corrections to FJZ 18-DEC-25Build with PCBA 73-103826-04 revision 02 and use use 28-103519-04 revision 04.Cisco contact: Jarle Aasland &lt;jaaaslan@cisco.com&gt;</t>
        </is>
      </c>
      <c r="F207" s="43" t="inlineStr">
        <is>
          <t>Pending</t>
        </is>
      </c>
      <c r="G207" s="43" t="inlineStr">
        <is>
          <t>Expired</t>
        </is>
      </c>
      <c r="H207" s="43" t="inlineStr">
        <is>
          <t>Pending Review</t>
        </is>
      </c>
      <c r="I207" s="43" t="inlineStr">
        <is>
          <t>CVEBU</t>
        </is>
      </c>
      <c r="J207" s="43" t="inlineStr">
        <is>
          <t>CTANJZ05041</t>
        </is>
      </c>
      <c r="K207" s="32" t="n"/>
      <c r="L207" s="32" t="n"/>
      <c r="M207" s="32" t="n">
        <v>46070</v>
      </c>
      <c r="N207" s="43" t="n"/>
      <c r="O207" s="43" t="n"/>
      <c r="P207" s="43" t="n"/>
      <c r="Q207" s="43" t="n"/>
      <c r="R207" s="43" t="n"/>
      <c r="S207" s="43" t="n"/>
      <c r="T207" s="43" t="inlineStr">
        <is>
          <t>Y</t>
        </is>
      </c>
      <c r="U207" s="33" t="inlineStr">
        <is>
          <t xml:space="preserve">FUENTE: Deviation.csv, filas CSV 155-155; Workflow=Expired; Date Released=2026-01-23; Date Originated=2025-12-19; Site=FJZP, Plant=MCGA (sin convertir automaticamente a FJZ); 1 filas PN; APROBACION Y APLICABILIDAD NO VALIDADAS. </t>
        </is>
      </c>
    </row>
    <row r="208">
      <c r="A208" s="35" t="inlineStr">
        <is>
          <t>DEV-CTANJZ05042</t>
        </is>
      </c>
      <c r="B208" s="35" t="inlineStr">
        <is>
          <t>DEVIATION</t>
        </is>
      </c>
      <c r="C208" s="35" t="inlineStr">
        <is>
          <t>D608554</t>
        </is>
      </c>
      <c r="D208" s="35" t="n"/>
      <c r="E208" s="36" t="inlineStr">
        <is>
          <t>D608554NGFWBU:Warwick Avenue - Factory direction for ICT &amp; process updates to address Renesas PWM programmable device content issue</t>
        </is>
      </c>
      <c r="F208" s="35" t="inlineStr">
        <is>
          <t>Pending</t>
        </is>
      </c>
      <c r="G208" s="35" t="inlineStr">
        <is>
          <t>Expired</t>
        </is>
      </c>
      <c r="H208" s="35" t="inlineStr">
        <is>
          <t>Pending Review</t>
        </is>
      </c>
      <c r="I208" s="35" t="inlineStr">
        <is>
          <t>STBU</t>
        </is>
      </c>
      <c r="J208" s="35" t="inlineStr">
        <is>
          <t>CTANJZ05042</t>
        </is>
      </c>
      <c r="K208" s="37" t="n"/>
      <c r="L208" s="37" t="n"/>
      <c r="M208" s="37" t="n">
        <v>46101</v>
      </c>
      <c r="N208" s="35" t="n"/>
      <c r="O208" s="35" t="n"/>
      <c r="P208" s="35" t="n"/>
      <c r="Q208" s="35" t="n"/>
      <c r="R208" s="35" t="n"/>
      <c r="S208" s="35" t="n"/>
      <c r="T208" s="35" t="inlineStr">
        <is>
          <t>Y</t>
        </is>
      </c>
      <c r="U208" s="36" t="inlineStr">
        <is>
          <t xml:space="preserve">FUENTE: Deviation.csv, filas CSV 1629-1659; Workflow=Expired; Date Released=2026-01-27; Date Originated=2025-12-23; Site=FJZP, Plant=MCGA (sin convertir automaticamente a FJZ); 4 filas PN; APROBACION Y APLICABILIDAD NO VALIDADAS. </t>
        </is>
      </c>
    </row>
    <row r="209">
      <c r="A209" s="43" t="inlineStr">
        <is>
          <t>DEV-CTANJZ05045</t>
        </is>
      </c>
      <c r="B209" s="43" t="inlineStr">
        <is>
          <t>DEVIATION</t>
        </is>
      </c>
      <c r="C209" s="43" t="inlineStr">
        <is>
          <t>D607856</t>
        </is>
      </c>
      <c r="D209" s="43" t="n"/>
      <c r="E209" s="33" t="inlineStr">
        <is>
          <t>D607856 FJZ to perform a validation of AVC Fans in PCB2C due issue was presenting in July at cold temperature; after have the results will be define if the material can continue be use in production floorValidation:5 units of Tufnell Park10 AVC fansRun a cycle in PCB2C and provide the results to Cisco PE and ME</t>
        </is>
      </c>
      <c r="F209" s="43" t="inlineStr">
        <is>
          <t>Pending</t>
        </is>
      </c>
      <c r="G209" s="43" t="inlineStr">
        <is>
          <t>Expired</t>
        </is>
      </c>
      <c r="H209" s="43" t="inlineStr">
        <is>
          <t>Pending Review</t>
        </is>
      </c>
      <c r="I209" s="43" t="inlineStr">
        <is>
          <t>STBU</t>
        </is>
      </c>
      <c r="J209" s="43" t="inlineStr">
        <is>
          <t>CTANJZ05045</t>
        </is>
      </c>
      <c r="K209" s="32" t="n"/>
      <c r="L209" s="32" t="n"/>
      <c r="M209" s="32" t="n">
        <v>46104</v>
      </c>
      <c r="N209" s="43" t="n"/>
      <c r="O209" s="43" t="n"/>
      <c r="P209" s="43" t="n"/>
      <c r="Q209" s="43" t="n"/>
      <c r="R209" s="43" t="n"/>
      <c r="S209" s="43" t="n"/>
      <c r="T209" s="43" t="inlineStr">
        <is>
          <t>Y</t>
        </is>
      </c>
      <c r="U209" s="33" t="inlineStr">
        <is>
          <t xml:space="preserve">FUENTE: Deviation.csv, filas CSV 956-1062; Workflow=Expired; Date Released=2026-01-27; Date Originated=2025-12-23; Site=FJZP, Plant=MCGA (sin convertir automaticamente a FJZ); 6 filas PN; APROBACION Y APLICABILIDAD NO VALIDADAS. </t>
        </is>
      </c>
    </row>
    <row r="210">
      <c r="A210" s="35" t="inlineStr">
        <is>
          <t>DEV-CTANJZ05046</t>
        </is>
      </c>
      <c r="B210" s="35" t="inlineStr">
        <is>
          <t>DEVIATION</t>
        </is>
      </c>
      <c r="C210" s="35" t="inlineStr">
        <is>
          <t>D608209</t>
        </is>
      </c>
      <c r="D210" s="35" t="n"/>
      <c r="E210" s="36" t="inlineStr">
        <is>
          <t>D608209 SRGBU-ACE: All DFs are prohibited from shipping ACE units containing the old Date Code (D/C=&lt;2450) of TI CSD95485RWJ (15-106360-01); to Amazon customers.Serial Number (S/N) list of ACE units containing the old Date Code is attached to this deviation for reference.Note: Amazon customers define as GUID End-To = AMAZONCOM INC</t>
        </is>
      </c>
      <c r="F210" s="35" t="inlineStr">
        <is>
          <t>Pending</t>
        </is>
      </c>
      <c r="G210" s="35" t="inlineStr">
        <is>
          <t>Expired</t>
        </is>
      </c>
      <c r="H210" s="35" t="inlineStr">
        <is>
          <t>Pending Review</t>
        </is>
      </c>
      <c r="I210" s="35" t="inlineStr">
        <is>
          <t>SRGBU</t>
        </is>
      </c>
      <c r="J210" s="35" t="inlineStr">
        <is>
          <t>CTANJZ05046</t>
        </is>
      </c>
      <c r="K210" s="37" t="n"/>
      <c r="L210" s="37" t="n"/>
      <c r="M210" s="37" t="n">
        <v>46101</v>
      </c>
      <c r="N210" s="35" t="n"/>
      <c r="O210" s="35" t="n"/>
      <c r="P210" s="35" t="n"/>
      <c r="Q210" s="35" t="n"/>
      <c r="R210" s="35" t="n"/>
      <c r="S210" s="35" t="n"/>
      <c r="T210" s="35" t="inlineStr">
        <is>
          <t>Y</t>
        </is>
      </c>
      <c r="U210" s="36" t="inlineStr">
        <is>
          <t xml:space="preserve">FUENTE: Deviation.csv, filas CSV 1045-1045; Workflow=Expired; Date Released=2026-01-17; Date Originated=2025-12-23; Site=FJZP, Plant=MCGA (sin convertir automaticamente a FJZ); 1 filas PN; APROBACION Y APLICABILIDAD NO VALIDADAS. </t>
        </is>
      </c>
    </row>
    <row r="211">
      <c r="A211" s="43" t="inlineStr">
        <is>
          <t>DEV-CTANJZ05048</t>
        </is>
      </c>
      <c r="B211" s="43" t="inlineStr">
        <is>
          <t>DEVIATION</t>
        </is>
      </c>
      <c r="C211" s="43" t="inlineStr">
        <is>
          <t>D608514</t>
        </is>
      </c>
      <c r="D211" s="43" t="n"/>
      <c r="E211" s="33" t="inlineStr">
        <is>
          <t>D608514 Please see PageThree for details</t>
        </is>
      </c>
      <c r="F211" s="43" t="inlineStr">
        <is>
          <t>Pending</t>
        </is>
      </c>
      <c r="G211" s="43" t="inlineStr">
        <is>
          <t>Expired</t>
        </is>
      </c>
      <c r="H211" s="43" t="inlineStr">
        <is>
          <t>Pending Review</t>
        </is>
      </c>
      <c r="I211" s="43" t="inlineStr">
        <is>
          <t>STBU</t>
        </is>
      </c>
      <c r="J211" s="43" t="inlineStr">
        <is>
          <t>CTANJZ05048</t>
        </is>
      </c>
      <c r="K211" s="32" t="n"/>
      <c r="L211" s="32" t="n"/>
      <c r="M211" s="32" t="n">
        <v>46104</v>
      </c>
      <c r="N211" s="43" t="n"/>
      <c r="O211" s="43" t="n"/>
      <c r="P211" s="43" t="n"/>
      <c r="Q211" s="43" t="n"/>
      <c r="R211" s="43" t="n"/>
      <c r="S211" s="43" t="n"/>
      <c r="T211" s="43" t="inlineStr">
        <is>
          <t>Y</t>
        </is>
      </c>
      <c r="U211" s="33" t="inlineStr">
        <is>
          <t xml:space="preserve">FUENTE: Deviation.csv, filas CSV 1762-1763; Workflow=Expired; Date Released=2026-01-27; Date Originated=2025-12-23; Site=FJZP, Plant=MCGA (sin convertir automaticamente a FJZ); 2 filas PN; APROBACION Y APLICABILIDAD NO VALIDADAS. </t>
        </is>
      </c>
    </row>
    <row r="212">
      <c r="A212" s="35" t="inlineStr">
        <is>
          <t>DEV-CTANJZ05050</t>
        </is>
      </c>
      <c r="B212" s="35" t="inlineStr">
        <is>
          <t>DEVIATION</t>
        </is>
      </c>
      <c r="C212" s="35" t="inlineStr">
        <is>
          <t>D608532</t>
        </is>
      </c>
      <c r="D212" s="35" t="n"/>
      <c r="E212" s="36" t="inlineStr">
        <is>
          <t>D608532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F212" s="35" t="inlineStr">
        <is>
          <t>Pending</t>
        </is>
      </c>
      <c r="G212" s="35" t="inlineStr">
        <is>
          <t>Expired</t>
        </is>
      </c>
      <c r="H212" s="35" t="inlineStr">
        <is>
          <t>Pending Review</t>
        </is>
      </c>
      <c r="I212" s="35" t="inlineStr">
        <is>
          <t>STBU</t>
        </is>
      </c>
      <c r="J212" s="35" t="inlineStr">
        <is>
          <t>CTANJZ05050</t>
        </is>
      </c>
      <c r="K212" s="37" t="n"/>
      <c r="L212" s="37" t="n"/>
      <c r="M212" s="37" t="n">
        <v>46101</v>
      </c>
      <c r="N212" s="35" t="n"/>
      <c r="O212" s="35" t="n"/>
      <c r="P212" s="35" t="n"/>
      <c r="Q212" s="35" t="n"/>
      <c r="R212" s="35" t="n"/>
      <c r="S212" s="35" t="n"/>
      <c r="T212" s="35" t="inlineStr">
        <is>
          <t>Y</t>
        </is>
      </c>
      <c r="U212" s="36" t="inlineStr">
        <is>
          <t xml:space="preserve">FUENTE: Deviation.csv, filas CSV 1046-1059; Workflow=Expired; Date Released=2026-01-27; Date Originated=2025-12-23; Site=FJZP, Plant=MCGA (sin convertir automaticamente a FJZ); 8 filas PN; APROBACION Y APLICABILIDAD NO VALIDADAS. </t>
        </is>
      </c>
    </row>
    <row r="213">
      <c r="A213" s="43" t="inlineStr">
        <is>
          <t>DEV-CTANJZ05051</t>
        </is>
      </c>
      <c r="B213" s="43" t="inlineStr">
        <is>
          <t>DEVIATION</t>
        </is>
      </c>
      <c r="C213" s="43" t="inlineStr">
        <is>
          <t>D608434</t>
        </is>
      </c>
      <c r="D213" s="43" t="n"/>
      <c r="E213" s="33" t="inlineStr">
        <is>
          <t>D608434 SRGBU:Promethium:Promethium-L:Extension of D606244Update image on part number 17-101533-01 from curie_sb_4.6.0 to curie_sb_4.8.0</t>
        </is>
      </c>
      <c r="F213" s="43" t="inlineStr">
        <is>
          <t>Pending</t>
        </is>
      </c>
      <c r="G213" s="43" t="inlineStr">
        <is>
          <t>Expired</t>
        </is>
      </c>
      <c r="H213" s="43" t="inlineStr">
        <is>
          <t>Pending Review</t>
        </is>
      </c>
      <c r="I213" s="43" t="inlineStr">
        <is>
          <t>SRGBU</t>
        </is>
      </c>
      <c r="J213" s="43" t="inlineStr">
        <is>
          <t>CTANJZ05051</t>
        </is>
      </c>
      <c r="K213" s="32" t="n"/>
      <c r="L213" s="32" t="n"/>
      <c r="M213" s="32" t="n">
        <v>46104</v>
      </c>
      <c r="N213" s="43" t="n"/>
      <c r="O213" s="43" t="n"/>
      <c r="P213" s="43" t="n"/>
      <c r="Q213" s="43" t="n"/>
      <c r="R213" s="43" t="n"/>
      <c r="S213" s="43" t="n"/>
      <c r="T213" s="43" t="inlineStr">
        <is>
          <t>Y</t>
        </is>
      </c>
      <c r="U213" s="33" t="inlineStr">
        <is>
          <t xml:space="preserve">FUENTE: Deviation.csv, filas CSV 1063-1064; Workflow=Expired; Date Released=2026-01-23; Date Originated=2025-12-23; Site=FJZP, Plant=MCGA (sin convertir automaticamente a FJZ); 2 filas PN; APROBACION Y APLICABILIDAD NO VALIDADAS. </t>
        </is>
      </c>
    </row>
    <row r="214">
      <c r="A214" s="35" t="inlineStr">
        <is>
          <t>DEV-CTANJZ05052</t>
        </is>
      </c>
      <c r="B214" s="35" t="inlineStr">
        <is>
          <t>DEVIATION</t>
        </is>
      </c>
      <c r="C214" s="35" t="inlineStr">
        <is>
          <t>D607542</t>
        </is>
      </c>
      <c r="D214" s="35" t="n"/>
      <c r="E214" s="36" t="inlineStr">
        <is>
          <t>D607542CVEBU; Heimdall. 2nd source qualification for FPCs and NDAA compliance. Supplier name and site; VICTORY GIANT TECHNOLOGY (VGT) MFS (Malaysia)CM shall build and test up to TAN level 68-104607-01 or similarFPC CPN FPC MPNs Description FPCA 73-CC CPN28-103291-01 28-103291-01_S803 Heimdall MB-MIC FPCControl builds for all FPCs. ORT is mandatory to be used for this qualification.Note: Please provide build schedule and quote.Note: MOQ quantities will be negotiated with supplier. Build all boards into units.Contact Cisco: Norris Tse and Jarle Aasland</t>
        </is>
      </c>
      <c r="F214" s="35" t="inlineStr">
        <is>
          <t>Pending</t>
        </is>
      </c>
      <c r="G214" s="35" t="inlineStr">
        <is>
          <t>Expired</t>
        </is>
      </c>
      <c r="H214" s="35" t="inlineStr">
        <is>
          <t>Pending Review</t>
        </is>
      </c>
      <c r="I214" s="35" t="inlineStr">
        <is>
          <t>CVEBU</t>
        </is>
      </c>
      <c r="J214" s="35" t="inlineStr">
        <is>
          <t>CTANJZ05052</t>
        </is>
      </c>
      <c r="K214" s="37" t="n"/>
      <c r="L214" s="37" t="n"/>
      <c r="M214" s="37" t="n">
        <v>46105</v>
      </c>
      <c r="N214" s="35" t="n"/>
      <c r="O214" s="35" t="n"/>
      <c r="P214" s="35" t="n"/>
      <c r="Q214" s="35" t="n"/>
      <c r="R214" s="35" t="n"/>
      <c r="S214" s="35" t="n"/>
      <c r="T214" s="35" t="inlineStr">
        <is>
          <t>Y</t>
        </is>
      </c>
      <c r="U214" s="36" t="inlineStr">
        <is>
          <t xml:space="preserve">FUENTE: Deviation.csv, filas CSV 161-162; Workflow=Expired; Date Released=2026-01-14; Date Originated=2025-12-24; Site=FJZP, Plant=MCGA (sin convertir automaticamente a FJZ); 2 filas PN; APROBACION Y APLICABILIDAD NO VALIDADAS. </t>
        </is>
      </c>
    </row>
    <row r="215">
      <c r="A215" s="43" t="inlineStr">
        <is>
          <t>DEV-CTANJZ05056</t>
        </is>
      </c>
      <c r="B215" s="43" t="inlineStr">
        <is>
          <t>DEVIATION</t>
        </is>
      </c>
      <c r="C215" s="43" t="inlineStr">
        <is>
          <t>D608410</t>
        </is>
      </c>
      <c r="D215" s="43" t="n"/>
      <c r="E215" s="33" t="inlineStr">
        <is>
          <t>D608410 Allow Foxconn to perform a 300-piece small batch verification build of Roku 5G using part number 700-124423-01 (Sears version without USB port hole) instead of part number 700-132589-01 (Roku 5G version with USB port). The TAN associated with this change is 68-7799-03 and 68-7799-04</t>
        </is>
      </c>
      <c r="F215" s="43" t="inlineStr">
        <is>
          <t>Pending</t>
        </is>
      </c>
      <c r="G215" s="43" t="inlineStr">
        <is>
          <t>Expired</t>
        </is>
      </c>
      <c r="H215" s="43" t="inlineStr">
        <is>
          <t>Pending Review</t>
        </is>
      </c>
      <c r="I215" s="43" t="inlineStr">
        <is>
          <t>SRGBU</t>
        </is>
      </c>
      <c r="J215" s="43" t="inlineStr">
        <is>
          <t>CTANJZ05056</t>
        </is>
      </c>
      <c r="K215" s="32" t="n"/>
      <c r="L215" s="32" t="n"/>
      <c r="M215" s="32" t="n">
        <v>46112</v>
      </c>
      <c r="N215" s="43" t="n"/>
      <c r="O215" s="43" t="n"/>
      <c r="P215" s="43" t="n"/>
      <c r="Q215" s="43" t="n"/>
      <c r="R215" s="43" t="n"/>
      <c r="S215" s="43" t="n"/>
      <c r="T215" s="43" t="inlineStr">
        <is>
          <t>Y</t>
        </is>
      </c>
      <c r="U215" s="33" t="inlineStr">
        <is>
          <t xml:space="preserve">FUENTE: Deviation.csv, filas CSV 1065-1066; Workflow=Expired; Date Released=2026-01-23; Date Originated=2026-01-05; Site=FJZP, Plant=MCGA (sin convertir automaticamente a FJZ); 2 filas PN; APROBACION Y APLICABILIDAD NO VALIDADAS. </t>
        </is>
      </c>
    </row>
    <row r="216">
      <c r="A216" s="35" t="inlineStr">
        <is>
          <t>DEV-CTANJZ05059</t>
        </is>
      </c>
      <c r="B216" s="35" t="inlineStr">
        <is>
          <t>DEVIATION</t>
        </is>
      </c>
      <c r="C216" s="35" t="inlineStr">
        <is>
          <t>D608814</t>
        </is>
      </c>
      <c r="D216" s="35" t="n"/>
      <c r="E216" s="36" t="inlineStr">
        <is>
          <t>D608814 NGFWBU GQR: GQR000077588 Case: AQR003239338 CPN: 15-110451-01; MFR NAME: HYNIX SEMICONDUCTOR; MPN: HMCG94CHBRA  To execute the above AQR at CM site; should be tested on Model C</t>
        </is>
      </c>
      <c r="F216" s="35" t="inlineStr">
        <is>
          <t>Pending</t>
        </is>
      </c>
      <c r="G216" s="35" t="inlineStr">
        <is>
          <t>Expired</t>
        </is>
      </c>
      <c r="H216" s="35" t="inlineStr">
        <is>
          <t>Pending Review</t>
        </is>
      </c>
      <c r="I216" s="35" t="inlineStr">
        <is>
          <t>STBU</t>
        </is>
      </c>
      <c r="J216" s="35" t="inlineStr">
        <is>
          <t>CTANJZ05059</t>
        </is>
      </c>
      <c r="K216" s="37" t="n"/>
      <c r="L216" s="37" t="n"/>
      <c r="M216" s="37" t="n">
        <v>46121</v>
      </c>
      <c r="N216" s="35" t="n"/>
      <c r="O216" s="35" t="n"/>
      <c r="P216" s="35" t="n"/>
      <c r="Q216" s="35" t="n"/>
      <c r="R216" s="35" t="n"/>
      <c r="S216" s="35" t="n"/>
      <c r="T216" s="35" t="inlineStr">
        <is>
          <t>Y</t>
        </is>
      </c>
      <c r="U216" s="36" t="inlineStr">
        <is>
          <t xml:space="preserve">FUENTE: Deviation.csv, filas CSV 1582-1583; Workflow=Expired; Date Released=2026-01-31; Date Originated=2026-01-09; Site=FJZP, Plant=MCGA (sin convertir automaticamente a FJZ); 2 filas PN; APROBACION Y APLICABILIDAD NO VALIDADAS. </t>
        </is>
      </c>
    </row>
    <row r="217">
      <c r="A217" s="43" t="inlineStr">
        <is>
          <t>DEV-CTANJZ05060</t>
        </is>
      </c>
      <c r="B217" s="43" t="inlineStr">
        <is>
          <t>DEVIATION</t>
        </is>
      </c>
      <c r="C217" s="43" t="inlineStr">
        <is>
          <t>D608530</t>
        </is>
      </c>
      <c r="D217" s="43" t="n"/>
      <c r="E217" s="33" t="inlineStr">
        <is>
          <t>D608530 Please see PageThree for details</t>
        </is>
      </c>
      <c r="F217" s="43" t="inlineStr">
        <is>
          <t>Pending</t>
        </is>
      </c>
      <c r="G217" s="43" t="inlineStr">
        <is>
          <t>Expired</t>
        </is>
      </c>
      <c r="H217" s="43" t="inlineStr">
        <is>
          <t>Pending Review</t>
        </is>
      </c>
      <c r="I217" s="43" t="inlineStr">
        <is>
          <t>STBU</t>
        </is>
      </c>
      <c r="J217" s="43" t="inlineStr">
        <is>
          <t>CTANJZ05060</t>
        </is>
      </c>
      <c r="K217" s="32" t="n"/>
      <c r="L217" s="32" t="n"/>
      <c r="M217" s="32" t="n">
        <v>46122</v>
      </c>
      <c r="N217" s="43" t="n"/>
      <c r="O217" s="43" t="n"/>
      <c r="P217" s="43" t="n"/>
      <c r="Q217" s="43" t="n"/>
      <c r="R217" s="43" t="n"/>
      <c r="S217" s="43" t="n"/>
      <c r="T217" s="43" t="inlineStr">
        <is>
          <t>Y</t>
        </is>
      </c>
      <c r="U217" s="33" t="inlineStr">
        <is>
          <t xml:space="preserve">FUENTE: Deviation.csv, filas CSV 1764-1766; Workflow=Expired; Date Released=2026-01-27; Date Originated=2026-01-12; Site=FJZP, Plant=MCGA (sin convertir automaticamente a FJZ); 3 filas PN; APROBACION Y APLICABILIDAD NO VALIDADAS. </t>
        </is>
      </c>
    </row>
    <row r="218">
      <c r="A218" s="35" t="inlineStr">
        <is>
          <t>DEV-CTANJZ05061</t>
        </is>
      </c>
      <c r="B218" s="35" t="inlineStr">
        <is>
          <t>DEVIATION</t>
        </is>
      </c>
      <c r="C218" s="35" t="inlineStr">
        <is>
          <t>D608308</t>
        </is>
      </c>
      <c r="D218" s="35" t="n"/>
      <c r="E218" s="36" t="inlineStr">
        <is>
          <t>D608308 CVEBU;Taylor and Tyne800-117978-03 -A0 E/M_ASSY_MECH;TAYLOR HIGH MODULE;MICRON 16GB LPDDR5  73-103720-04 -A0  PCA;TAYLOR HIGH MODULE WITH MICRON 16GB LPDDR5    To act on an errata from NVIDIA; five 73- BOM instances need to be removed.This change has been implemented by EA623434 Dec 8th 2025 up-revisioning from -B0 to -C0For the 170 pcs stock at FJZ of Taylor High rev -A0  Modules; FJZ shall remove just the resistor:Remove refdes R5912-100143-01 RES; TKF; 10 Kohm; 1/20W; 1%; 0201</t>
        </is>
      </c>
      <c r="F218" s="35" t="inlineStr">
        <is>
          <t>Pending</t>
        </is>
      </c>
      <c r="G218" s="35" t="inlineStr">
        <is>
          <t>Expired</t>
        </is>
      </c>
      <c r="H218" s="35" t="inlineStr">
        <is>
          <t>Pending Review</t>
        </is>
      </c>
      <c r="I218" s="35" t="inlineStr">
        <is>
          <t>CVEBU</t>
        </is>
      </c>
      <c r="J218" s="35" t="inlineStr">
        <is>
          <t>CTANJZ05061</t>
        </is>
      </c>
      <c r="K218" s="37" t="n"/>
      <c r="L218" s="37" t="n"/>
      <c r="M218" s="37" t="n">
        <v>46121</v>
      </c>
      <c r="N218" s="35" t="n"/>
      <c r="O218" s="35" t="n"/>
      <c r="P218" s="35" t="n"/>
      <c r="Q218" s="35" t="n"/>
      <c r="R218" s="35" t="n"/>
      <c r="S218" s="35" t="n"/>
      <c r="T218" s="35" t="inlineStr">
        <is>
          <t>Y</t>
        </is>
      </c>
      <c r="U218" s="36" t="inlineStr">
        <is>
          <t xml:space="preserve">FUENTE: Deviation.csv, filas CSV 1640-1641; Workflow=Expired; Date Released=2026-01-17; Date Originated=2026-01-12; Site=FJZP, Plant=MCGA (sin convertir automaticamente a FJZ); 2 filas PN; APROBACION Y APLICABILIDAD NO VALIDADAS. </t>
        </is>
      </c>
    </row>
    <row r="219">
      <c r="A219" s="43" t="inlineStr">
        <is>
          <t>DEV-CTANJZ05063</t>
        </is>
      </c>
      <c r="B219" s="43" t="inlineStr">
        <is>
          <t>DEVIATION</t>
        </is>
      </c>
      <c r="C219" s="43" t="inlineStr">
        <is>
          <t>DP525718</t>
        </is>
      </c>
      <c r="D219" s="43" t="n"/>
      <c r="E219" s="33" t="inlineStr">
        <is>
          <t>DP525718 NPI; CVEBU; Tyne; Rework of PP1 and PP2 build at FJZAffected item68-104853-0168-104854-01DeviationFJZ to perform following rework on PP1 and PP2 units not yet assembled.1. Remove R59 on Taylor PCBA 73-103720-04 according to D608308 on both PP1 and PP2 units2. On PP1 only; Replace TR10/24-101509-01/RT1GSCMCS-RU with same part from new lot code D5900150005 on Tyne PCBAs 73-103698-04/05 and 73-103940-04/053. Scrap OH stock of TR10/24-101509-01/RT1GSCMCS-RU with LD5500110001 and confirm that no other lot codes currently exists at FJZ.4. No re-test in ICT or PCBDG is needed after reworkNote; the 13 units of 68-104854-01 already assembled are not impacted by this rework deviation; but these must be marked with "R59 not removed / 10Gb not reworked"Cisco Contact: Christian Kjoelseth</t>
        </is>
      </c>
      <c r="F219" s="43" t="inlineStr">
        <is>
          <t>Pending</t>
        </is>
      </c>
      <c r="G219" s="43" t="inlineStr">
        <is>
          <t>Expired</t>
        </is>
      </c>
      <c r="H219" s="43" t="inlineStr">
        <is>
          <t>Pending Review</t>
        </is>
      </c>
      <c r="I219" s="43" t="inlineStr">
        <is>
          <t>CVEBU</t>
        </is>
      </c>
      <c r="J219" s="43" t="inlineStr">
        <is>
          <t>CTANJZ05063</t>
        </is>
      </c>
      <c r="K219" s="32" t="n"/>
      <c r="L219" s="32" t="n"/>
      <c r="M219" s="32" t="n">
        <v>46094</v>
      </c>
      <c r="N219" s="43" t="n"/>
      <c r="O219" s="43" t="n"/>
      <c r="P219" s="43" t="n"/>
      <c r="Q219" s="43" t="n"/>
      <c r="R219" s="43" t="n"/>
      <c r="S219" s="43" t="n"/>
      <c r="T219" s="43" t="inlineStr">
        <is>
          <t>Y</t>
        </is>
      </c>
      <c r="U219" s="33" t="inlineStr">
        <is>
          <t xml:space="preserve">FUENTE: Deviation.csv, filas CSV 1647-1685; Workflow=Expired; Date Released=2026-01-23; Date Originated=2026-01-13; Site=FJZP, Plant=MCGA (sin convertir automaticamente a FJZ); 2 filas PN; APROBACION Y APLICABILIDAD NO VALIDADAS. </t>
        </is>
      </c>
    </row>
    <row r="220">
      <c r="A220" s="35" t="inlineStr">
        <is>
          <t>DEV-CTANJZ05064</t>
        </is>
      </c>
      <c r="B220" s="35" t="inlineStr">
        <is>
          <t>DEVIATION</t>
        </is>
      </c>
      <c r="C220" s="35" t="inlineStr">
        <is>
          <t>D608788</t>
        </is>
      </c>
      <c r="D220" s="35" t="n"/>
      <c r="E220" s="36" t="inlineStr">
        <is>
          <t>D608788 NGFWBU: Risk Buy: GQR: GQR000077986 Case: AQR003242593 CPN: 20-100286-01; MFR NAME: DIODES INC; MPN: DMTH31M1LPSWTo execute the above AQR at CM site</t>
        </is>
      </c>
      <c r="F220" s="35" t="inlineStr">
        <is>
          <t>Pending</t>
        </is>
      </c>
      <c r="G220" s="35" t="inlineStr">
        <is>
          <t>Expired</t>
        </is>
      </c>
      <c r="H220" s="35" t="inlineStr">
        <is>
          <t>Pending Review</t>
        </is>
      </c>
      <c r="I220" s="35" t="inlineStr">
        <is>
          <t>STBU</t>
        </is>
      </c>
      <c r="J220" s="35" t="inlineStr">
        <is>
          <t>CTANJZ05064</t>
        </is>
      </c>
      <c r="K220" s="37" t="n"/>
      <c r="L220" s="37" t="n"/>
      <c r="M220" s="37" t="n">
        <v>46126</v>
      </c>
      <c r="N220" s="35" t="n"/>
      <c r="O220" s="35" t="n"/>
      <c r="P220" s="35" t="n"/>
      <c r="Q220" s="35" t="n"/>
      <c r="R220" s="35" t="n"/>
      <c r="S220" s="35" t="n"/>
      <c r="T220" s="35" t="inlineStr">
        <is>
          <t>Y</t>
        </is>
      </c>
      <c r="U220" s="36" t="inlineStr">
        <is>
          <t xml:space="preserve">FUENTE: Deviation.csv, filas CSV 1444-1445; Workflow=Expired; Date Released=2026-02-11; Date Originated=2026-01-14; Site=FJZP, Plant=MCGA (sin convertir automaticamente a FJZ); 2 filas PN; APROBACION Y APLICABILIDAD NO VALIDADAS. </t>
        </is>
      </c>
    </row>
    <row r="221">
      <c r="A221" s="43" t="inlineStr">
        <is>
          <t>DEV-CTANJZ05067</t>
        </is>
      </c>
      <c r="B221" s="43" t="inlineStr">
        <is>
          <t>DEVIATION</t>
        </is>
      </c>
      <c r="C221" s="43" t="inlineStr">
        <is>
          <t>D608828</t>
        </is>
      </c>
      <c r="D221" s="43" t="n"/>
      <c r="E221" s="33" t="inlineStr">
        <is>
          <t>D608828Use DIMM 15-105736-02 instead of 15-106507-02 on QW. MPN SMART MODULAR SR5722G822APJDASG0 is an approved MPN for 15-106507-02</t>
        </is>
      </c>
      <c r="F221" s="43" t="inlineStr">
        <is>
          <t>Pending</t>
        </is>
      </c>
      <c r="G221" s="43" t="inlineStr">
        <is>
          <t>Expired</t>
        </is>
      </c>
      <c r="H221" s="43" t="inlineStr">
        <is>
          <t>Pending Review</t>
        </is>
      </c>
      <c r="I221" s="43" t="inlineStr">
        <is>
          <t>STBU</t>
        </is>
      </c>
      <c r="J221" s="43" t="inlineStr">
        <is>
          <t>CTANJZ05067</t>
        </is>
      </c>
      <c r="K221" s="32" t="n"/>
      <c r="L221" s="32" t="n"/>
      <c r="M221" s="32" t="n">
        <v>46127</v>
      </c>
      <c r="N221" s="43" t="n"/>
      <c r="O221" s="43" t="n"/>
      <c r="P221" s="43" t="n"/>
      <c r="Q221" s="43" t="n"/>
      <c r="R221" s="43" t="n"/>
      <c r="S221" s="43" t="n"/>
      <c r="T221" s="43" t="inlineStr">
        <is>
          <t>Y</t>
        </is>
      </c>
      <c r="U221" s="33" t="inlineStr">
        <is>
          <t xml:space="preserve">FUENTE: Deviation.csv, filas CSV 436-486; Workflow=Expired; Date Released=2026-01-31; Date Originated=2026-01-16; Site=FJZP, Plant=MCGA (sin convertir automaticamente a FJZ); 7 filas PN; APROBACION Y APLICABILIDAD NO VALIDADAS. </t>
        </is>
      </c>
    </row>
    <row r="222">
      <c r="A222" s="35" t="inlineStr">
        <is>
          <t>DEV-CTANJZ05068</t>
        </is>
      </c>
      <c r="B222" s="35" t="inlineStr">
        <is>
          <t>DEVIATION</t>
        </is>
      </c>
      <c r="C222" s="35" t="inlineStr">
        <is>
          <t>D609010</t>
        </is>
      </c>
      <c r="D222" s="35" t="n"/>
      <c r="E222" s="36" t="inlineStr">
        <is>
          <t>D609010 CVEBU;Taylor High Hynix for Bayfront800-11600x-01 E/M_ASSY_MECH;TAYLOR HIGH 16GB;W/BAYFRONT MB...In BOMs:800-118978-03  rev -A0 and -B0 E/M_ASSY_MECH;TAYLOR HIGH MODULE;HYNIX 16GB LPDDR5  73-103820-04 rev -A0 and -B0  PCA;TAYLOR HIGH MODULE WITH HYNIX 16GB LPDDR5  To act on an errata from NVIDIA; resistor R59 needs to be removed.This change has been implemented by EA623434 Dec 8th 2025 up-revisioning from -B0 to -C0For 10 pcs Taylor High Hynix rev -B0  Modules in stock at FJZ; resistor with refdes R59 shall be removed.12-100143-01 RES; TKF; 10 Kohm; 1/20W; 1%; 0201Removal of this resistor corrects the logical level for the HDMI CEC signal from 2.0 to 3.3 V</t>
        </is>
      </c>
      <c r="F222" s="35" t="inlineStr">
        <is>
          <t>Pending</t>
        </is>
      </c>
      <c r="G222" s="35" t="inlineStr">
        <is>
          <t>Expired</t>
        </is>
      </c>
      <c r="H222" s="35" t="inlineStr">
        <is>
          <t>Pending Review</t>
        </is>
      </c>
      <c r="I222" s="35" t="inlineStr">
        <is>
          <t>CVEBU</t>
        </is>
      </c>
      <c r="J222" s="35" t="inlineStr">
        <is>
          <t>CTANJZ05068</t>
        </is>
      </c>
      <c r="K222" s="37" t="n"/>
      <c r="L222" s="37" t="n"/>
      <c r="M222" s="37" t="n">
        <v>46127</v>
      </c>
      <c r="N222" s="35" t="n"/>
      <c r="O222" s="35" t="n"/>
      <c r="P222" s="35" t="n"/>
      <c r="Q222" s="35" t="n"/>
      <c r="R222" s="35" t="n"/>
      <c r="S222" s="35" t="n"/>
      <c r="T222" s="35" t="inlineStr">
        <is>
          <t>Y</t>
        </is>
      </c>
      <c r="U222" s="36" t="inlineStr">
        <is>
          <t xml:space="preserve">FUENTE: Deviation.csv, filas CSV 1633-1634; Workflow=Expired; Date Released=2026-01-27; Date Originated=2026-01-16; Site=FJZP, Plant=MCGA (sin convertir automaticamente a FJZ); 2 filas PN; APROBACION Y APLICABILIDAD NO VALIDADAS. </t>
        </is>
      </c>
    </row>
    <row r="223">
      <c r="A223" s="43" t="inlineStr">
        <is>
          <t>DEV-CTANJZ05073</t>
        </is>
      </c>
      <c r="B223" s="43" t="inlineStr">
        <is>
          <t>DEVIATION</t>
        </is>
      </c>
      <c r="C223" s="43" t="inlineStr">
        <is>
          <t>D609045</t>
        </is>
      </c>
      <c r="D223" s="43" t="n"/>
      <c r="E223" s="33" t="inlineStr">
        <is>
          <t>D609045 During QEnd; for Shenfield there are short of PN 29-102749-02 (MPN: 2027180102; MOLEX); this deviation is to allow FJZ to use 29-102749-01 (MPN: 2027180102; MOLEX)The drawing and description no show any differences between the versions:29-102749-01 Description: CON;QSFP-DD;CON ONLY;1x1;R;RA;SMT;76P;23.2Lx18.2Wx7.3H29-102749-02 Description: CON;QSFP-DD;CON ONLY;1x1;R;RA;SMT;76P;23.2Lx18.2Wx7.3H</t>
        </is>
      </c>
      <c r="F223" s="43" t="inlineStr">
        <is>
          <t>Pending</t>
        </is>
      </c>
      <c r="G223" s="43" t="inlineStr">
        <is>
          <t>Expired</t>
        </is>
      </c>
      <c r="H223" s="43" t="inlineStr">
        <is>
          <t>Pending Review</t>
        </is>
      </c>
      <c r="I223" s="43" t="inlineStr">
        <is>
          <t>STBU</t>
        </is>
      </c>
      <c r="J223" s="43" t="inlineStr">
        <is>
          <t>CTANJZ05073</t>
        </is>
      </c>
      <c r="K223" s="32" t="n"/>
      <c r="L223" s="32" t="n"/>
      <c r="M223" s="32" t="n">
        <v>46131</v>
      </c>
      <c r="N223" s="43" t="n"/>
      <c r="O223" s="43" t="n"/>
      <c r="P223" s="43" t="n"/>
      <c r="Q223" s="43" t="n"/>
      <c r="R223" s="43" t="n"/>
      <c r="S223" s="43" t="n"/>
      <c r="T223" s="43" t="inlineStr">
        <is>
          <t>Y</t>
        </is>
      </c>
      <c r="U223" s="33" t="inlineStr">
        <is>
          <t xml:space="preserve">FUENTE: Deviation.csv, filas CSV 1014-1015; Workflow=Expired; Date Released=2026-02-11; Date Originated=2026-01-20; Site=FJZP, Plant=MCGA (sin convertir automaticamente a FJZ); 2 filas PN; APROBACION Y APLICABILIDAD NO VALIDADAS. </t>
        </is>
      </c>
    </row>
    <row r="224">
      <c r="A224" s="35" t="inlineStr">
        <is>
          <t>DEV-CTANJZ05079</t>
        </is>
      </c>
      <c r="B224" s="35" t="inlineStr">
        <is>
          <t>DEVIATION</t>
        </is>
      </c>
      <c r="C224" s="35" t="inlineStr">
        <is>
          <t>D608804</t>
        </is>
      </c>
      <c r="D224" s="35" t="n"/>
      <c r="E224" s="36" t="inlineStr">
        <is>
          <t>D608804 Allow FJZ to rename  Samsung Semiconductors MPN M393A2K43EB3-CWE  from the 15-106879-01   as 15-108743-01; in the PIDs:MEM-C85G2-32GBMEM-C85G2-32GB=</t>
        </is>
      </c>
      <c r="F224" s="35" t="inlineStr">
        <is>
          <t>Pending</t>
        </is>
      </c>
      <c r="G224" s="35" t="inlineStr">
        <is>
          <t>Expired</t>
        </is>
      </c>
      <c r="H224" s="35" t="inlineStr">
        <is>
          <t>Pending Review</t>
        </is>
      </c>
      <c r="I224" s="35" t="inlineStr">
        <is>
          <t>SRGBU</t>
        </is>
      </c>
      <c r="J224" s="35" t="inlineStr">
        <is>
          <t>CTANJZ05079</t>
        </is>
      </c>
      <c r="K224" s="37" t="n"/>
      <c r="L224" s="37" t="n"/>
      <c r="M224" s="37" t="n">
        <v>46133</v>
      </c>
      <c r="N224" s="35" t="n"/>
      <c r="O224" s="35" t="n"/>
      <c r="P224" s="35" t="n"/>
      <c r="Q224" s="35" t="n"/>
      <c r="R224" s="35" t="n"/>
      <c r="S224" s="35" t="n"/>
      <c r="T224" s="35" t="inlineStr">
        <is>
          <t>Y</t>
        </is>
      </c>
      <c r="U224" s="36" t="inlineStr">
        <is>
          <t xml:space="preserve">FUENTE: Deviation.csv, filas CSV 1016-1016; Workflow=Expired; Date Released=2026-01-31; Date Originated=2026-01-22; Site=FJZP, Plant=MCGA (sin convertir automaticamente a FJZ); 1 filas PN; APROBACION Y APLICABILIDAD NO VALIDADAS. </t>
        </is>
      </c>
    </row>
    <row r="225">
      <c r="A225" s="43" t="inlineStr">
        <is>
          <t>DEV-CTANJZ05085</t>
        </is>
      </c>
      <c r="B225" s="43" t="inlineStr">
        <is>
          <t>DEVIATION</t>
        </is>
      </c>
      <c r="C225" s="43" t="inlineStr">
        <is>
          <t>D609145</t>
        </is>
      </c>
      <c r="D225" s="43" t="n"/>
      <c r="E225" s="33" t="inlineStr">
        <is>
          <t>D609145 Foxconn provided several examples units showing the J2400 &amp; J2401 CZT component visual defect. All units pass the LED test without any issues.  From the FJZ QA PCBA and Cisco ME perspective; this cosmetic condition can be considered acceptable.This Deviation supports use of the Connectors with recessed LED Light Pipes with the following conditions:- All production units MUST meet the LED test criteria and PASS the LED Test- Units already assembled with these connectors can be approved for shipment; after the units PASS the LED Test.- The use of these Connectors shall be limited to production demand until the end of Q2/26; only if the existing inventory of "good" connectors is depleted; for new builds.- All systems that are assembled with the 1x4 Connectors with recessed LED shall be identified by Serial Number; maintained by Foxconn Production; published after Q2/26 quarter end.Additional use of these defective Connectors beyond Q2/FY26 quarter end shall be decided upon by Cisco Regional ME and Supply team members; based on material needs.  In all cases; the units shall PASS LED Test; and S/N recorded</t>
        </is>
      </c>
      <c r="F225" s="43" t="inlineStr">
        <is>
          <t>Pending</t>
        </is>
      </c>
      <c r="G225" s="43" t="inlineStr">
        <is>
          <t>Expired</t>
        </is>
      </c>
      <c r="H225" s="43" t="inlineStr">
        <is>
          <t>Pending Review</t>
        </is>
      </c>
      <c r="I225" s="43" t="inlineStr">
        <is>
          <t>STBU</t>
        </is>
      </c>
      <c r="J225" s="43" t="inlineStr">
        <is>
          <t>CTANJZ05085</t>
        </is>
      </c>
      <c r="K225" s="32" t="n"/>
      <c r="L225" s="32" t="n"/>
      <c r="M225" s="32" t="n">
        <v>46135</v>
      </c>
      <c r="N225" s="43" t="n"/>
      <c r="O225" s="43" t="n"/>
      <c r="P225" s="43" t="n"/>
      <c r="Q225" s="43" t="n"/>
      <c r="R225" s="43" t="n"/>
      <c r="S225" s="43" t="n"/>
      <c r="T225" s="43" t="inlineStr">
        <is>
          <t>Y</t>
        </is>
      </c>
      <c r="U225" s="33" t="inlineStr">
        <is>
          <t xml:space="preserve">FUENTE: Deviation.csv, filas CSV 444-449; Workflow=Expired; Date Released=2026-02-17; Date Originated=2026-01-23; Site=FJZP, Plant=MCGA (sin convertir automaticamente a FJZ); 6 filas PN; APROBACION Y APLICABILIDAD NO VALIDADAS. </t>
        </is>
      </c>
    </row>
    <row r="226">
      <c r="A226" s="35" t="inlineStr">
        <is>
          <t>DEV-CTANJZ05086</t>
        </is>
      </c>
      <c r="B226" s="35" t="inlineStr">
        <is>
          <t>DEVIATION</t>
        </is>
      </c>
      <c r="C226" s="35" t="inlineStr">
        <is>
          <t>D609139</t>
        </is>
      </c>
      <c r="D226" s="35" t="n"/>
      <c r="E226" s="36"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F226" s="35" t="inlineStr">
        <is>
          <t>Pending</t>
        </is>
      </c>
      <c r="G226" s="35" t="inlineStr">
        <is>
          <t>Expired</t>
        </is>
      </c>
      <c r="H226" s="35" t="inlineStr">
        <is>
          <t>Pending Review</t>
        </is>
      </c>
      <c r="I226" s="35" t="inlineStr">
        <is>
          <t>CVEBU</t>
        </is>
      </c>
      <c r="J226" s="35" t="inlineStr">
        <is>
          <t>CTANJZ05086</t>
        </is>
      </c>
      <c r="K226" s="37" t="n"/>
      <c r="L226" s="37" t="n"/>
      <c r="M226" s="37" t="n">
        <v>46136</v>
      </c>
      <c r="N226" s="35" t="n"/>
      <c r="O226" s="35" t="n"/>
      <c r="P226" s="35" t="n"/>
      <c r="Q226" s="35" t="n"/>
      <c r="R226" s="35" t="n"/>
      <c r="S226" s="35" t="n"/>
      <c r="T226" s="35" t="inlineStr">
        <is>
          <t>Y</t>
        </is>
      </c>
      <c r="U226" s="36" t="inlineStr">
        <is>
          <t xml:space="preserve">FUENTE: Deviation.csv, filas CSV 460-510; Workflow=Expired; Date Released=2026-01-31; Date Originated=2026-01-26; Site=FJZP, Plant=MCGA (sin convertir automaticamente a FJZ); 12 filas PN; APROBACION Y APLICABILIDAD NO VALIDADAS. </t>
        </is>
      </c>
    </row>
    <row r="227">
      <c r="A227" s="43" t="inlineStr">
        <is>
          <t>DEV-CTANJZ05087</t>
        </is>
      </c>
      <c r="B227" s="43" t="inlineStr">
        <is>
          <t>DEVIATION</t>
        </is>
      </c>
      <c r="C227" s="43" t="inlineStr">
        <is>
          <t>D609115</t>
        </is>
      </c>
      <c r="D227" s="43" t="n"/>
      <c r="E227" s="33" t="inlineStr">
        <is>
          <t>D609115CVEBU;Brooklyn;DaVinci;Millennium73-102022-02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D602313 which allowed 13k pcs old DC parts to be consumed.FOL is hereby allowed to source and use in total 43554 pcs LIFCL-17-7BG256C with old Date Codes CY2022 and slightly newer Date CodesBefore usage in MP; FOL shall perform a solderability test and issue a simple test report.Since the affected Date Codes are almost the same; it is sufficient to run the solderability report with samples from one of the oldest component lots.CVEBU encourages Foxconn and Cisco GSM to put heavy pressure on Lattice to get on track providing only fresh Date Code parts.</t>
        </is>
      </c>
      <c r="F227" s="43" t="inlineStr">
        <is>
          <t>Pending</t>
        </is>
      </c>
      <c r="G227" s="43" t="inlineStr">
        <is>
          <t>Expired</t>
        </is>
      </c>
      <c r="H227" s="43" t="inlineStr">
        <is>
          <t>Pending Review</t>
        </is>
      </c>
      <c r="I227" s="43" t="inlineStr">
        <is>
          <t>CVEBU</t>
        </is>
      </c>
      <c r="J227" s="43" t="inlineStr">
        <is>
          <t>CTANJZ05087</t>
        </is>
      </c>
      <c r="K227" s="32" t="n"/>
      <c r="L227" s="32" t="n"/>
      <c r="M227" s="32" t="n">
        <v>46140</v>
      </c>
      <c r="N227" s="43" t="n"/>
      <c r="O227" s="43" t="n"/>
      <c r="P227" s="43" t="n"/>
      <c r="Q227" s="43" t="n"/>
      <c r="R227" s="43" t="n"/>
      <c r="S227" s="43" t="n"/>
      <c r="T227" s="43" t="inlineStr">
        <is>
          <t>Y</t>
        </is>
      </c>
      <c r="U227" s="33" t="inlineStr">
        <is>
          <t xml:space="preserve">FUENTE: Deviation.csv, filas CSV 477-564; Workflow=Expired; Date Released=2026-02-11; Date Originated=2026-01-28; Site=FJZP, Plant=MCGA (sin convertir automaticamente a FJZ); 7 filas PN; APROBACION Y APLICABILIDAD NO VALIDADAS. </t>
        </is>
      </c>
    </row>
    <row r="228">
      <c r="A228" s="35" t="inlineStr">
        <is>
          <t>DEV-CTANJZ05088</t>
        </is>
      </c>
      <c r="B228" s="35" t="inlineStr">
        <is>
          <t>DEVIATION</t>
        </is>
      </c>
      <c r="C228" s="35" t="inlineStr">
        <is>
          <t>D609228</t>
        </is>
      </c>
      <c r="D228" s="35" t="n"/>
      <c r="E228" s="36" t="inlineStr">
        <is>
          <t>D609228TBABU : Effective today; sites are to remove above listed CPNs from the BOM of its respective where used assemblies and stop procurement.? 55-1170-01? 47-21510-01? 47-21512-01? 47-21513-01? 83-1294-01? 78-3621-01This is the Extension deviation of :D569743</t>
        </is>
      </c>
      <c r="F228" s="35" t="inlineStr">
        <is>
          <t>Pending</t>
        </is>
      </c>
      <c r="G228" s="35" t="inlineStr">
        <is>
          <t>Expired</t>
        </is>
      </c>
      <c r="H228" s="35" t="inlineStr">
        <is>
          <t>Pending Review</t>
        </is>
      </c>
      <c r="I228" s="35" t="inlineStr">
        <is>
          <t>SRGBU</t>
        </is>
      </c>
      <c r="J228" s="35" t="inlineStr">
        <is>
          <t>CTANJZ05088</t>
        </is>
      </c>
      <c r="K228" s="37" t="n"/>
      <c r="L228" s="37" t="n"/>
      <c r="M228" s="37" t="n">
        <v>46141</v>
      </c>
      <c r="N228" s="35" t="n"/>
      <c r="O228" s="35" t="n"/>
      <c r="P228" s="35" t="n"/>
      <c r="Q228" s="35" t="n"/>
      <c r="R228" s="35" t="n"/>
      <c r="S228" s="35" t="n"/>
      <c r="T228" s="35" t="inlineStr">
        <is>
          <t>Y</t>
        </is>
      </c>
      <c r="U228" s="36" t="inlineStr">
        <is>
          <t xml:space="preserve">FUENTE: Deviation.csv, filas CSV 1635-1671; Workflow=Expired; Date Released=2026-02-20; Date Originated=2026-01-29; Site=FJZP, Plant=MCGA (sin convertir automaticamente a FJZ); 6 filas PN; APROBACION Y APLICABILIDAD NO VALIDADAS. </t>
        </is>
      </c>
    </row>
    <row r="229">
      <c r="A229" s="43" t="inlineStr">
        <is>
          <t>DEV-CTANJZ05090</t>
        </is>
      </c>
      <c r="B229" s="43" t="inlineStr">
        <is>
          <t>DEVIATION</t>
        </is>
      </c>
      <c r="C229" s="43" t="inlineStr">
        <is>
          <t>D608351</t>
        </is>
      </c>
      <c r="D229" s="43" t="n"/>
      <c r="E229" s="33" t="inlineStr">
        <is>
          <t>D608351 Please see PageThree for details</t>
        </is>
      </c>
      <c r="F229" s="43" t="inlineStr">
        <is>
          <t>Pending</t>
        </is>
      </c>
      <c r="G229" s="43" t="inlineStr">
        <is>
          <t>Expired</t>
        </is>
      </c>
      <c r="H229" s="43" t="inlineStr">
        <is>
          <t>Pending Review</t>
        </is>
      </c>
      <c r="I229" s="43" t="inlineStr">
        <is>
          <t>STBU</t>
        </is>
      </c>
      <c r="J229" s="43" t="inlineStr">
        <is>
          <t>CTANJZ05090</t>
        </is>
      </c>
      <c r="K229" s="32" t="n"/>
      <c r="L229" s="32" t="n"/>
      <c r="M229" s="32" t="n">
        <v>46141</v>
      </c>
      <c r="N229" s="43" t="n"/>
      <c r="O229" s="43" t="n"/>
      <c r="P229" s="43" t="n"/>
      <c r="Q229" s="43" t="n"/>
      <c r="R229" s="43" t="n"/>
      <c r="S229" s="43" t="n"/>
      <c r="T229" s="43" t="inlineStr">
        <is>
          <t>Y</t>
        </is>
      </c>
      <c r="U229" s="33" t="inlineStr">
        <is>
          <t xml:space="preserve">FUENTE: Deviation.csv, filas CSV 1026-1182; Workflow=Expired; Date Released=2026-02-20; Date Originated=2026-01-29; Site=FJZP, Plant=MCGA (sin convertir automaticamente a FJZ); 9 filas PN; APROBACION Y APLICABILIDAD NO VALIDADAS. </t>
        </is>
      </c>
    </row>
    <row r="230">
      <c r="A230" s="35" t="inlineStr">
        <is>
          <t>DEV-CTANJZ05091</t>
        </is>
      </c>
      <c r="B230" s="35" t="inlineStr">
        <is>
          <t>DEVIATION</t>
        </is>
      </c>
      <c r="C230" s="35" t="inlineStr">
        <is>
          <t>D609188</t>
        </is>
      </c>
      <c r="D230" s="35" t="n"/>
      <c r="E230" s="36" t="inlineStr">
        <is>
          <t>D609188 VEBU;Taylor800-126978-03 / 73-103922-04 PCA;TAYLOR LOW MODULE WITH HYNIX 16GB LPDDR5In 73- BOM refdes Q3820-100665-01 XTR;PNP;40.0 V;200.0 mA;SOT-323;3 P;0.15 W;150 to -55 C  Qualified: Nexperia PMST3906Qualified: Onsemi  MMBT3906WT1GIPQ:       Panjit  MMBT3906W (10 pcs samples on-hand at FVN)Where used: Bailey; TaylorFVN shall perform a test run of 10 pcs Taylor Low Hynix with Q38 transistor using the IPQ alternate from Panjit.If these Taylor modules pass normal production tests; they can be consumed as mass-production units.Special attention must be paid when these modules are mounted on Pictoris MB and tested; Any issues shall be reported back to Cisco.   1) FVN shall provide PO quote asap2) A schedule for execution shall be submitted to Cisco.DE: halkvedaPE: hasorens</t>
        </is>
      </c>
      <c r="F230" s="35" t="inlineStr">
        <is>
          <t>Pending</t>
        </is>
      </c>
      <c r="G230" s="35" t="n"/>
      <c r="H230" s="35" t="inlineStr">
        <is>
          <t>Pending Review</t>
        </is>
      </c>
      <c r="I230" s="35" t="inlineStr">
        <is>
          <t>CVEBU</t>
        </is>
      </c>
      <c r="J230" s="35" t="inlineStr">
        <is>
          <t>CTANJZ05091</t>
        </is>
      </c>
      <c r="K230" s="37" t="n"/>
      <c r="L230" s="37" t="n"/>
      <c r="M230" s="37" t="n">
        <v>46320</v>
      </c>
      <c r="N230" s="35" t="n"/>
      <c r="O230" s="35" t="n"/>
      <c r="P230" s="35" t="n"/>
      <c r="Q230" s="35" t="n"/>
      <c r="R230" s="35" t="n"/>
      <c r="S230" s="35" t="n"/>
      <c r="T230" s="35" t="inlineStr">
        <is>
          <t>Y</t>
        </is>
      </c>
      <c r="U230" s="36" t="inlineStr">
        <is>
          <t xml:space="preserve">FUENTE: Deviation.csv, filas CSV 316-322; Workflow=Re-Extended; Date Released=2026-02-04; Date Originated=2026-01-29; Site=FJZP, Plant=MCGA (sin convertir automaticamente a FJZ); 2 filas PN; APROBACION Y APLICABILIDAD NO VALIDADAS. </t>
        </is>
      </c>
    </row>
    <row r="231">
      <c r="A231" s="43" t="inlineStr">
        <is>
          <t>DEV-CTANJZ05093</t>
        </is>
      </c>
      <c r="B231" s="43" t="inlineStr">
        <is>
          <t>DEVIATION</t>
        </is>
      </c>
      <c r="C231" s="43" t="inlineStr">
        <is>
          <t>DP525776</t>
        </is>
      </c>
      <c r="D231" s="43" t="n"/>
      <c r="E231" s="33" t="inlineStr">
        <is>
          <t>DP525776 CVEBU; Vasco. Allow Foxconn MPN mismatch with CPNs AVL. Ref. DP525484. 17-JAN 2026.Allow FVN to order and use Following MPNs in P2 builds for CPNs:1. NXP MPN PIMX9596XVTXNAC15-111231-01 IC-COMM;10.0Gb/s;4.0 W;95.0 Tj MAX;FCBGA;548 P;15.0x15.0mm PKGSIZE;0.5mm PITCH;1.8 V;5.0 %;32.0;0 to 95 CInstead of MPN in AVL: MIMX9556CVTXNAC (NXP)2. NXP MPN PPF0900AVNA1ES15-111232-01 IC-LIN;PWRMGT;PMIC;QFN;56P;8x8mm PKGSIZE;0.50mm PITCH;3.300V NOM;-40to125C;Power management IC for IMX95Instead of MPN in AVL: MPF0900AMNA1ES (NXP)3. NXP MPN PPF5302AVNAAEP15-111203-01 IC-LIN;VREG;SW;BUCK;PQFN;24P;4.50x3.50mm PKGSIZE;0.50mm PITCH;5.500V IN;1.200V OUT;3MHz;12A;-40to105CInstead of MPN in AVL: MPF5302AVNAAEP (NXP)4. NXP MPN PPF5301AVNABEP15-111235-01 IC-LIN;PMIC;PQFN;24P;3.50x4.50mm PKGSIZE;0.50mm PITCH;5.500V IN;1.200V OUT;3MHz;8A;-40to125C; I2C bus PMIC chipset for IMX95Instead of MPN in AVL: MPF5301AVNA0ES (NXP)For the upcoming builds.Note: The part is in prototype stage from NXP; so there will be a difference with MPNs until they build MP parts.PE: jaaaslan</t>
        </is>
      </c>
      <c r="F231" s="43" t="inlineStr">
        <is>
          <t>Pending</t>
        </is>
      </c>
      <c r="G231" s="43" t="inlineStr">
        <is>
          <t>Expired</t>
        </is>
      </c>
      <c r="H231" s="43" t="inlineStr">
        <is>
          <t>Pending Review</t>
        </is>
      </c>
      <c r="I231" s="43" t="inlineStr">
        <is>
          <t>CVEBU</t>
        </is>
      </c>
      <c r="J231" s="43" t="inlineStr">
        <is>
          <t>CTANJZ05093</t>
        </is>
      </c>
      <c r="K231" s="32" t="n"/>
      <c r="L231" s="32" t="n"/>
      <c r="M231" s="32" t="n">
        <v>46109</v>
      </c>
      <c r="N231" s="43" t="n"/>
      <c r="O231" s="43" t="n"/>
      <c r="P231" s="43" t="n"/>
      <c r="Q231" s="43" t="n"/>
      <c r="R231" s="43" t="n"/>
      <c r="S231" s="43" t="n"/>
      <c r="T231" s="43" t="inlineStr">
        <is>
          <t>Y</t>
        </is>
      </c>
      <c r="U231" s="33" t="inlineStr">
        <is>
          <t xml:space="preserve">FUENTE: Deviation.csv, filas CSV 163-188; Workflow=Expired; Date Released=2026-02-11; Date Originated=2026-02-03; Site=FJZP, Plant=MCGA (sin convertir automaticamente a FJZ); 4 filas PN; APROBACION Y APLICABILIDAD NO VALIDADAS. </t>
        </is>
      </c>
    </row>
    <row r="232">
      <c r="A232" s="35" t="inlineStr">
        <is>
          <t>DEV-CTANJZ05094</t>
        </is>
      </c>
      <c r="B232" s="35" t="inlineStr">
        <is>
          <t>DEVIATION</t>
        </is>
      </c>
      <c r="C232" s="35" t="inlineStr">
        <is>
          <t>D609408</t>
        </is>
      </c>
      <c r="D232" s="35" t="n"/>
      <c r="E232" s="36" t="inlineStr">
        <is>
          <t>D609408 NGFWBU: FPR1K EA616081 ¡X Validation &amp; FAI ROMMON Reference Designator CorrectionScope: All FPR1K SKUs73-18488-0873-18489-0873-18490-1073-21007-03Deviation / Required Action:Perform PCBA rework to correctly populate the ROMMON SPI Flash ;17-100951-17; at the designated reference designators : U7B_F and U8B_F.Verification / Test Requirement:After rework completion; verify correct placement and functionality of the ROMMON SPI Flash. Once verification is confirmed; run each respective FPR1K unit through PCBA ETE testing per the standard manufacturing test process.</t>
        </is>
      </c>
      <c r="F232" s="35" t="inlineStr">
        <is>
          <t>Pending</t>
        </is>
      </c>
      <c r="G232" s="35" t="inlineStr">
        <is>
          <t>Expired</t>
        </is>
      </c>
      <c r="H232" s="35" t="inlineStr">
        <is>
          <t>Pending Review</t>
        </is>
      </c>
      <c r="I232" s="35" t="inlineStr">
        <is>
          <t>STBU</t>
        </is>
      </c>
      <c r="J232" s="35" t="inlineStr">
        <is>
          <t>CTANJZ05094</t>
        </is>
      </c>
      <c r="K232" s="37" t="n"/>
      <c r="L232" s="37" t="n"/>
      <c r="M232" s="37" t="n">
        <v>46146</v>
      </c>
      <c r="N232" s="35" t="n"/>
      <c r="O232" s="35" t="n"/>
      <c r="P232" s="35" t="n"/>
      <c r="Q232" s="35" t="n"/>
      <c r="R232" s="35" t="n"/>
      <c r="S232" s="35" t="n"/>
      <c r="T232" s="35" t="inlineStr">
        <is>
          <t>Y</t>
        </is>
      </c>
      <c r="U232" s="36" t="inlineStr">
        <is>
          <t xml:space="preserve">FUENTE: Deviation.csv, filas CSV 1807-1810; Workflow=Expired; Date Released=2026-02-28; Date Originated=2026-02-03; Site=FJZP, Plant=MCGA (sin convertir automaticamente a FJZ); 4 filas PN; APROBACION Y APLICABILIDAD NO VALIDADAS. </t>
        </is>
      </c>
    </row>
    <row r="233">
      <c r="A233" s="43" t="inlineStr">
        <is>
          <t>DEV-CTANJZ05096</t>
        </is>
      </c>
      <c r="B233" s="43" t="inlineStr">
        <is>
          <t>DEVIATION</t>
        </is>
      </c>
      <c r="C233" s="43" t="inlineStr">
        <is>
          <t>D609350</t>
        </is>
      </c>
      <c r="D233" s="43" t="n"/>
      <c r="E233" s="33" t="inlineStr">
        <is>
          <t>D609350 SRGBU-Nutella: Upgrade to Rommon version 17.15.(1r) and use eMMC KLMCG1RCTE-B041</t>
        </is>
      </c>
      <c r="F233" s="43" t="inlineStr">
        <is>
          <t>Pending</t>
        </is>
      </c>
      <c r="G233" s="43" t="inlineStr">
        <is>
          <t>Expired</t>
        </is>
      </c>
      <c r="H233" s="43" t="inlineStr">
        <is>
          <t>Pending Review</t>
        </is>
      </c>
      <c r="I233" s="43" t="inlineStr">
        <is>
          <t>SRGBU</t>
        </is>
      </c>
      <c r="J233" s="43" t="inlineStr">
        <is>
          <t>CTANJZ05096</t>
        </is>
      </c>
      <c r="K233" s="32" t="n"/>
      <c r="L233" s="32" t="n"/>
      <c r="M233" s="32" t="n">
        <v>46146</v>
      </c>
      <c r="N233" s="43" t="n"/>
      <c r="O233" s="43" t="n"/>
      <c r="P233" s="43" t="n"/>
      <c r="Q233" s="43" t="n"/>
      <c r="R233" s="43" t="n"/>
      <c r="S233" s="43" t="n"/>
      <c r="T233" s="43" t="inlineStr">
        <is>
          <t>Y</t>
        </is>
      </c>
      <c r="U233" s="33" t="inlineStr">
        <is>
          <t xml:space="preserve">FUENTE: Deviation.csv, filas CSV 976-1009; Workflow=Expired; Date Released=2026-02-20; Date Originated=2026-02-03; Site=FJZP, Plant=MCGA (sin convertir automaticamente a FJZ); 8 filas PN; APROBACION Y APLICABILIDAD NO VALIDADAS. </t>
        </is>
      </c>
    </row>
    <row r="234">
      <c r="A234" s="35" t="inlineStr">
        <is>
          <t>DEV-CTANJZ05097</t>
        </is>
      </c>
      <c r="B234" s="35" t="inlineStr">
        <is>
          <t>DEVIATION</t>
        </is>
      </c>
      <c r="C234" s="35" t="inlineStr">
        <is>
          <t>D608813</t>
        </is>
      </c>
      <c r="D234" s="35" t="n"/>
      <c r="E234" s="36" t="inlineStr">
        <is>
          <t>D608813 NGFWBU GQR: GQR000077590 Case: AQR003239330 CPN: 15-110830-01; MFR NAME: HYNIX SEMICONDUCTOR; MPN: HMCG88CHBRATo execute the above AQR at CM site; should be tested on Model A.</t>
        </is>
      </c>
      <c r="F234" s="35" t="inlineStr">
        <is>
          <t>Pending</t>
        </is>
      </c>
      <c r="G234" s="35" t="inlineStr">
        <is>
          <t>Expired</t>
        </is>
      </c>
      <c r="H234" s="35" t="inlineStr">
        <is>
          <t>Pending Review</t>
        </is>
      </c>
      <c r="I234" s="35" t="inlineStr">
        <is>
          <t>STBU</t>
        </is>
      </c>
      <c r="J234" s="35" t="inlineStr">
        <is>
          <t>CTANJZ05097</t>
        </is>
      </c>
      <c r="K234" s="37" t="n"/>
      <c r="L234" s="37" t="n"/>
      <c r="M234" s="37" t="n">
        <v>46147</v>
      </c>
      <c r="N234" s="35" t="n"/>
      <c r="O234" s="35" t="n"/>
      <c r="P234" s="35" t="n"/>
      <c r="Q234" s="35" t="n"/>
      <c r="R234" s="35" t="n"/>
      <c r="S234" s="35" t="n"/>
      <c r="T234" s="35" t="inlineStr">
        <is>
          <t>Y</t>
        </is>
      </c>
      <c r="U234" s="36" t="inlineStr">
        <is>
          <t xml:space="preserve">FUENTE: Deviation.csv, filas CSV 1558-1559; Workflow=Expired; Date Released=2026-02-24; Date Originated=2026-02-04; Site=FJZP, Plant=MCGA (sin convertir automaticamente a FJZ); 2 filas PN; APROBACION Y APLICABILIDAD NO VALIDADAS. </t>
        </is>
      </c>
    </row>
    <row r="235">
      <c r="A235" s="43" t="inlineStr">
        <is>
          <t>DEV-CTANJZ05101</t>
        </is>
      </c>
      <c r="B235" s="43" t="inlineStr">
        <is>
          <t>DEVIATION</t>
        </is>
      </c>
      <c r="C235" s="43" t="inlineStr">
        <is>
          <t>D609457</t>
        </is>
      </c>
      <c r="D235" s="43" t="n"/>
      <c r="E235" s="33" t="inlineStr">
        <is>
          <t>D609457 CVEBU;Pictoris800-115884-01 -A0 ASY-ELMECH;CPU;PICTORIS;MB NR WITH TAYLOR 16GB LOW;TAA  Qualified: Foxconn 800-115884-0147 pcs of these Main Board assemblies manufactured at FJZ have been wrongly marked as rev -B0. Correct marking is -A0.10 pcs are on-hand at FVN and 37 pcs are in the progress of being shipped from FJZ to FVN.Even if the revision marking is wrong; FVN is hereby allowed to accept and to consume these 47 pcs main board assemblies to build47 pcs 800-125884-01 FNLASY-ELMECH;MODULE;PICTORIS UNIT NR;TAA CARBON</t>
        </is>
      </c>
      <c r="F235" s="43" t="inlineStr">
        <is>
          <t>Pending</t>
        </is>
      </c>
      <c r="G235" s="43" t="inlineStr">
        <is>
          <t>Expired</t>
        </is>
      </c>
      <c r="H235" s="43" t="inlineStr">
        <is>
          <t>Pending Review</t>
        </is>
      </c>
      <c r="I235" s="43" t="inlineStr">
        <is>
          <t>CVEBU</t>
        </is>
      </c>
      <c r="J235" s="43" t="inlineStr">
        <is>
          <t>CTANJZ05101</t>
        </is>
      </c>
      <c r="K235" s="32" t="n"/>
      <c r="L235" s="32" t="n"/>
      <c r="M235" s="32" t="n">
        <v>46148</v>
      </c>
      <c r="N235" s="43" t="n"/>
      <c r="O235" s="43" t="n"/>
      <c r="P235" s="43" t="n"/>
      <c r="Q235" s="43" t="n"/>
      <c r="R235" s="43" t="n"/>
      <c r="S235" s="43" t="n"/>
      <c r="T235" s="43" t="inlineStr">
        <is>
          <t>Y</t>
        </is>
      </c>
      <c r="U235" s="33" t="inlineStr">
        <is>
          <t xml:space="preserve">FUENTE: Deviation.csv, filas CSV 526-526; Workflow=Expired; Date Released=2026-02-17; Date Originated=2026-02-06; Site=FJZP, Plant=MCGA (sin convertir automaticamente a FJZ); 1 filas PN; APROBACION Y APLICABILIDAD NO VALIDADAS. </t>
        </is>
      </c>
    </row>
    <row r="236">
      <c r="A236" s="35" t="inlineStr">
        <is>
          <t>DEV-CTANJZ05105</t>
        </is>
      </c>
      <c r="B236" s="35" t="inlineStr">
        <is>
          <t>DEVIATION</t>
        </is>
      </c>
      <c r="C236" s="35" t="inlineStr">
        <is>
          <t>D609558</t>
        </is>
      </c>
      <c r="D236" s="35" t="n"/>
      <c r="E236" s="36" t="inlineStr">
        <is>
          <t>D609558 CRBU:8000 - CRBU- BB8 &amp; BB4- Approve FOL/FJZ to build and ship boards with ASIC in IPQ ( 08-100199-03)CPN :  08-100199-03Status: IPQMPN : 08-100199-03-A01. Approve FOL &amp; FJZ to build the boards with ASIC in IPQ status2. Run regular manf. qual and shipout on passing.Note : Approved to build any production versions and revisions using this deviation.</t>
        </is>
      </c>
      <c r="F236" s="35" t="inlineStr">
        <is>
          <t>Pending</t>
        </is>
      </c>
      <c r="G236" s="35" t="inlineStr">
        <is>
          <t>Expired</t>
        </is>
      </c>
      <c r="H236" s="35" t="inlineStr">
        <is>
          <t>Pending Review</t>
        </is>
      </c>
      <c r="I236" s="35" t="inlineStr">
        <is>
          <t>CRBU</t>
        </is>
      </c>
      <c r="J236" s="35" t="inlineStr">
        <is>
          <t>CTANJZ05105</t>
        </is>
      </c>
      <c r="K236" s="37" t="n"/>
      <c r="L236" s="37" t="n"/>
      <c r="M236" s="37" t="n">
        <v>46153</v>
      </c>
      <c r="N236" s="35" t="n"/>
      <c r="O236" s="35" t="n"/>
      <c r="P236" s="35" t="n"/>
      <c r="Q236" s="35" t="n"/>
      <c r="R236" s="35" t="n"/>
      <c r="S236" s="35" t="n"/>
      <c r="T236" s="35" t="inlineStr">
        <is>
          <t>Y</t>
        </is>
      </c>
      <c r="U236" s="36" t="inlineStr">
        <is>
          <t xml:space="preserve">FUENTE: Deviation.csv, filas CSV 1010-1013; Workflow=Expired; Date Released=2026-03-03; Date Originated=2026-02-11; Site=FJZP, Plant=MCGA (sin convertir automaticamente a FJZ); 4 filas PN; APROBACION Y APLICABILIDAD NO VALIDADAS. </t>
        </is>
      </c>
    </row>
    <row r="237">
      <c r="A237" s="43" t="inlineStr">
        <is>
          <t>DEV-CTANJZ05106</t>
        </is>
      </c>
      <c r="B237" s="43" t="inlineStr">
        <is>
          <t>DEVIATION</t>
        </is>
      </c>
      <c r="C237" s="43" t="inlineStr">
        <is>
          <t>D609154</t>
        </is>
      </c>
      <c r="D237" s="43" t="n"/>
      <c r="E237" s="33" t="inlineStr">
        <is>
          <t>D609154 For the orders that required 341-101280-02; FJZ is allowed to ship 341-101280-01 due there are no major changes between version 01 and 02EA617631: The reason for versioning up the 341-power supply for Tufnell is due to the PSOne initiative to standardize common base power supply. This standardization effort will help to reduce COGS for similar power suppliesThe material disposition for this ECO is USE AS IS</t>
        </is>
      </c>
      <c r="F237" s="43" t="inlineStr">
        <is>
          <t>Pending</t>
        </is>
      </c>
      <c r="G237" s="43" t="inlineStr">
        <is>
          <t>Expired</t>
        </is>
      </c>
      <c r="H237" s="43" t="inlineStr">
        <is>
          <t>Pending Review</t>
        </is>
      </c>
      <c r="I237" s="43" t="inlineStr">
        <is>
          <t>STBU</t>
        </is>
      </c>
      <c r="J237" s="43" t="inlineStr">
        <is>
          <t>CTANJZ05106</t>
        </is>
      </c>
      <c r="K237" s="32" t="n"/>
      <c r="L237" s="32" t="n"/>
      <c r="M237" s="32" t="n">
        <v>46154</v>
      </c>
      <c r="N237" s="43" t="n"/>
      <c r="O237" s="43" t="n"/>
      <c r="P237" s="43" t="n"/>
      <c r="Q237" s="43" t="n"/>
      <c r="R237" s="43" t="n"/>
      <c r="S237" s="43" t="n"/>
      <c r="T237" s="43" t="inlineStr">
        <is>
          <t>Y</t>
        </is>
      </c>
      <c r="U237" s="33" t="inlineStr">
        <is>
          <t xml:space="preserve">FUENTE: Deviation.csv, filas CSV 995-996; Workflow=Expired; Date Released=2026-03-11; Date Originated=2026-02-11; Site=FJZP, Plant=MCGA (sin convertir automaticamente a FJZ); 2 filas PN; APROBACION Y APLICABILIDAD NO VALIDADAS. </t>
        </is>
      </c>
    </row>
    <row r="238">
      <c r="A238" s="35" t="inlineStr">
        <is>
          <t>DEV-CTANJZ05107</t>
        </is>
      </c>
      <c r="B238" s="35" t="inlineStr">
        <is>
          <t>DEVIATION</t>
        </is>
      </c>
      <c r="C238" s="35" t="inlineStr">
        <is>
          <t>DP525818</t>
        </is>
      </c>
      <c r="D238" s="35" t="n"/>
      <c r="E238" s="36" t="inlineStr">
        <is>
          <t>DP525818Please follow the items below for the upcoming Pre-Pilot build for assembly #73-103557-04_rev10 and #73-103633-04 B0 -&gt;1) PCB #28-103225-04 ¡V FJZ can use 19 pcs FAB from WUS (Rev.03) after solderability testing.2) PCB #28-103230-02 and #28-103304-02 ¡V Use 35 pcs TGCE; and WUS (Rev.02). No need to run solderability test as there is no SMT component on this board.3) for PCB- FJZ can use 35pcs TGCE and all remaining quantity from WUS.4) Cisco consigned parts (17-103121-01; 15-111069-01; 15-111070-01; 15-110830-01) ¡V FJZ may use the ¡§Z-suffix¡¨ part numbers for the Pre-Pilot build (#17-103121-01Z; #15-111069-01Z; #15-111070-01Z; #15-110830-01Z).5) Cisco consigned parts #15-111069-01 and #15-111070-01 ¡V FJZ may use MPNs #100-000001695-00 ;100-000001695 (without -00); and  #100-000001693-00; 100-000001693 (without -00) which currently have a qualification status of ¡§Cancelled.¡¨6) DIMM socket #26-100403-01 ¡V Do not use the TE part.7) Stand-off #700-138393-01 ¡V FJZ is allowed to use existing hardware MPN #1363472 (status: ¡§Cancelled¡¨) until stock is depleted.8) PCAMAP ¡V Use 61-107744-04 Rev 03 for Model A.9) TANMAP ¡V Please use the following documents; as these PNs are not yet structured in PID:#95-119598-01 Rev 01 (TANMAP; Woodside Park; CSF-6120)#95-119599-01 Rev 01 (TANMAP; Woodside Park; CSF-6130)10) For Smart Programmed Parts (17-103160-05 and 17-103161-05); FJZ can ignore the part number marked on the component itself and follow the part number on the outer box label for the Pre-Pilot build.</t>
        </is>
      </c>
      <c r="F238" s="35" t="inlineStr">
        <is>
          <t>Pending</t>
        </is>
      </c>
      <c r="G238" s="35" t="inlineStr">
        <is>
          <t>Expired</t>
        </is>
      </c>
      <c r="H238" s="35" t="inlineStr">
        <is>
          <t>Pending Review</t>
        </is>
      </c>
      <c r="I238" s="35" t="inlineStr">
        <is>
          <t>STBU</t>
        </is>
      </c>
      <c r="J238" s="35" t="inlineStr">
        <is>
          <t>CTANJZ05107</t>
        </is>
      </c>
      <c r="K238" s="37" t="n"/>
      <c r="L238" s="37" t="n"/>
      <c r="M238" s="37" t="n">
        <v>46126</v>
      </c>
      <c r="N238" s="35" t="n"/>
      <c r="O238" s="35" t="n"/>
      <c r="P238" s="35" t="n"/>
      <c r="Q238" s="35" t="n"/>
      <c r="R238" s="35" t="n"/>
      <c r="S238" s="35" t="n"/>
      <c r="T238" s="35" t="inlineStr">
        <is>
          <t>Y</t>
        </is>
      </c>
      <c r="U238" s="36" t="inlineStr">
        <is>
          <t xml:space="preserve">FUENTE: Deviation.csv, filas CSV 971-971; Workflow=Expired; Date Released=2026-03-05; Date Originated=2026-02-20; Site=FJZP, Plant=MCGA (sin convertir automaticamente a FJZ); 1 filas PN; APROBACION Y APLICABILIDAD NO VALIDADAS. </t>
        </is>
      </c>
    </row>
    <row r="239">
      <c r="A239" s="43" t="inlineStr">
        <is>
          <t>DEV-CTANJZ05108</t>
        </is>
      </c>
      <c r="B239" s="43" t="inlineStr">
        <is>
          <t>DEVIATION</t>
        </is>
      </c>
      <c r="C239" s="43" t="inlineStr">
        <is>
          <t>D609649</t>
        </is>
      </c>
      <c r="D239" s="43" t="n"/>
      <c r="E239" s="33" t="inlineStr">
        <is>
          <t>D609649 NPI; CVEBU; Tyne Pilot 1 Build; Use of Maglayer MPN under 24-101509-01 and Dev/REL fuse instruction.Affected items68-104853-0168-104854-0173-103698-0673-103940-0624-101509-01Deviation- For Pilot 1 build at FJZ; FJZ is allowed to use IPQ MPN RT1GSCMCS-RU under 24-101509-01 as long as only Lot Code D5900150005 or later lot codes are used.- The 75 Pilot 1 units to be shipped to Norway must be dev fused while the remaining 25 must be release fused.Comment:Author of this deviation does not know if Pilot 1 build will consists of both Radio and Non-Radio units; hence allowing use of Maglayer MPNs in both assemblies.</t>
        </is>
      </c>
      <c r="F239" s="43" t="inlineStr">
        <is>
          <t>Pending</t>
        </is>
      </c>
      <c r="G239" s="43" t="inlineStr">
        <is>
          <t>Expired</t>
        </is>
      </c>
      <c r="H239" s="43" t="inlineStr">
        <is>
          <t>Pending Review</t>
        </is>
      </c>
      <c r="I239" s="43" t="inlineStr">
        <is>
          <t>CVEBU</t>
        </is>
      </c>
      <c r="J239" s="43" t="inlineStr">
        <is>
          <t>CTANJZ05108</t>
        </is>
      </c>
      <c r="K239" s="32" t="n"/>
      <c r="L239" s="32" t="n"/>
      <c r="M239" s="32" t="n">
        <v>46160</v>
      </c>
      <c r="N239" s="43" t="n"/>
      <c r="O239" s="43" t="n"/>
      <c r="P239" s="43" t="n"/>
      <c r="Q239" s="43" t="n"/>
      <c r="R239" s="43" t="n"/>
      <c r="S239" s="43" t="n"/>
      <c r="T239" s="43" t="inlineStr">
        <is>
          <t>Y</t>
        </is>
      </c>
      <c r="U239" s="33" t="inlineStr">
        <is>
          <t xml:space="preserve">FUENTE: Deviation.csv, filas CSV 504-537; Workflow=Expired; Date Released=2026-03-03; Date Originated=2026-02-24; Site=FJZP, Plant=MCGA (sin convertir automaticamente a FJZ); 7 filas PN; APROBACION Y APLICABILIDAD NO VALIDADAS. </t>
        </is>
      </c>
    </row>
    <row r="240">
      <c r="A240" s="35" t="inlineStr">
        <is>
          <t>DEV-CTANJZ05110</t>
        </is>
      </c>
      <c r="B240" s="35" t="inlineStr">
        <is>
          <t>DEVIATION</t>
        </is>
      </c>
      <c r="C240" s="35" t="inlineStr">
        <is>
          <t>D609549</t>
        </is>
      </c>
      <c r="D240" s="35" t="n"/>
      <c r="E240" s="36" t="inlineStr">
        <is>
          <t>D609549? Last week FJZ communicate to have a huge shortage from Renesas given the Earthquake occurred on last December; CPN C066.00531.005.? FJZ found 2 parts to substitute this CPN with; C064.00350.005 and C031.00691.005 (MFG RC21008A000GND#BB0).? From the above parts; FJZ has a broker buy by 8K with Mouser to cover C064.00350.005 but limited options to cover C031.00691.005 (MFG RC21008A000GND#BB0).? C031.00691.005 (MFG RC21008A000GND#BB0); supplier will be shipping 490 units next week; and following deliveries until April 16th</t>
        </is>
      </c>
      <c r="F240" s="35" t="inlineStr">
        <is>
          <t>Pending</t>
        </is>
      </c>
      <c r="G240" s="35" t="inlineStr">
        <is>
          <t>Expired</t>
        </is>
      </c>
      <c r="H240" s="35" t="inlineStr">
        <is>
          <t>Pending Review</t>
        </is>
      </c>
      <c r="I240" s="35" t="inlineStr">
        <is>
          <t>STBU</t>
        </is>
      </c>
      <c r="J240" s="35" t="inlineStr">
        <is>
          <t>CTANJZ05110</t>
        </is>
      </c>
      <c r="K240" s="37" t="n"/>
      <c r="L240" s="37" t="n"/>
      <c r="M240" s="37" t="n">
        <v>46157</v>
      </c>
      <c r="N240" s="35" t="n"/>
      <c r="O240" s="35" t="n"/>
      <c r="P240" s="35" t="n"/>
      <c r="Q240" s="35" t="n"/>
      <c r="R240" s="35" t="n"/>
      <c r="S240" s="35" t="n"/>
      <c r="T240" s="35" t="inlineStr">
        <is>
          <t>Y</t>
        </is>
      </c>
      <c r="U240" s="36" t="inlineStr">
        <is>
          <t xml:space="preserve">FUENTE: Deviation.csv, filas CSV 997-1002; Workflow=Expired; Date Released=2026-03-11; Date Originated=2026-02-24; Site=FJZP, Plant=MCGA (sin convertir automaticamente a FJZ); 6 filas PN; APROBACION Y APLICABILIDAD NO VALIDADAS. </t>
        </is>
      </c>
    </row>
    <row r="241">
      <c r="A241" s="43" t="inlineStr">
        <is>
          <t>DEV-CTANJZ05114</t>
        </is>
      </c>
      <c r="B241" s="43" t="inlineStr">
        <is>
          <t>DEVIATION</t>
        </is>
      </c>
      <c r="C241" s="43" t="inlineStr">
        <is>
          <t>D609653</t>
        </is>
      </c>
      <c r="D241" s="43" t="n"/>
      <c r="E241" s="33" t="inlineStr">
        <is>
          <t>D609653 NPI; CVEBU; Tyne Pilot 1 Build; Use of ADI IPQ MPN under 15-110893-01Affected items68-104853-0168-104854-0173-103698-0673-103940-0615-110893-01Deviation- For Pilot 1 build at FJZ; FJZ is allowed; and must use IPQ MPN ADV7537JBCZ-10 under 15-110893-01.Comment:Author of this deviation does not know if Pilot 1 build will consists of both Radio and Non-Radio units; hence allowing use of Maglayer MPNs in both assemblies.</t>
        </is>
      </c>
      <c r="F241" s="43" t="inlineStr">
        <is>
          <t>Pending</t>
        </is>
      </c>
      <c r="G241" s="43" t="inlineStr">
        <is>
          <t>Expired</t>
        </is>
      </c>
      <c r="H241" s="43" t="inlineStr">
        <is>
          <t>Pending Review</t>
        </is>
      </c>
      <c r="I241" s="43" t="inlineStr">
        <is>
          <t>CVEBU</t>
        </is>
      </c>
      <c r="J241" s="43" t="inlineStr">
        <is>
          <t>CTANJZ05114</t>
        </is>
      </c>
      <c r="K241" s="32" t="n"/>
      <c r="L241" s="32" t="n"/>
      <c r="M241" s="32" t="n">
        <v>46161</v>
      </c>
      <c r="N241" s="43" t="n"/>
      <c r="O241" s="43" t="n"/>
      <c r="P241" s="43" t="n"/>
      <c r="Q241" s="43" t="n"/>
      <c r="R241" s="43" t="n"/>
      <c r="S241" s="43" t="n"/>
      <c r="T241" s="43" t="inlineStr">
        <is>
          <t>Y</t>
        </is>
      </c>
      <c r="U241" s="33" t="inlineStr">
        <is>
          <t xml:space="preserve">FUENTE: Deviation.csv, filas CSV 487-587; Workflow=Expired; Date Released=2026-03-03; Date Originated=2026-02-24; Site=FJZP, Plant=MCGA (sin convertir automaticamente a FJZ); 7 filas PN; APROBACION Y APLICABILIDAD NO VALIDADAS. </t>
        </is>
      </c>
    </row>
    <row r="242">
      <c r="A242" s="35" t="inlineStr">
        <is>
          <t>DEV-CTANJZ05129</t>
        </is>
      </c>
      <c r="B242" s="35" t="inlineStr">
        <is>
          <t>DEVIATION</t>
        </is>
      </c>
      <c r="C242" s="35" t="inlineStr">
        <is>
          <t>D609917</t>
        </is>
      </c>
      <c r="D242" s="35" t="n"/>
      <c r="E242" s="36" t="inlineStr">
        <is>
          <t>D609917 Please see PageThree for details</t>
        </is>
      </c>
      <c r="F242" s="35" t="inlineStr">
        <is>
          <t>Pending</t>
        </is>
      </c>
      <c r="G242" s="35" t="inlineStr">
        <is>
          <t>Expired</t>
        </is>
      </c>
      <c r="H242" s="35" t="inlineStr">
        <is>
          <t>Pending Review</t>
        </is>
      </c>
      <c r="I242" s="35" t="inlineStr">
        <is>
          <t>IOTBU</t>
        </is>
      </c>
      <c r="J242" s="35" t="inlineStr">
        <is>
          <t>CTANJZ05129</t>
        </is>
      </c>
      <c r="K242" s="37" t="n"/>
      <c r="L242" s="37" t="n"/>
      <c r="M242" s="37" t="n">
        <v>46175</v>
      </c>
      <c r="N242" s="35" t="n"/>
      <c r="O242" s="35" t="n"/>
      <c r="P242" s="35" t="n"/>
      <c r="Q242" s="35" t="n"/>
      <c r="R242" s="35" t="n"/>
      <c r="S242" s="35" t="n"/>
      <c r="T242" s="35" t="inlineStr">
        <is>
          <t>Y</t>
        </is>
      </c>
      <c r="U242" s="36" t="inlineStr">
        <is>
          <t xml:space="preserve">FUENTE: Deviation.csv, filas CSV 1138-1149; Workflow=Expired; Date Released=2026-03-11; Date Originated=2026-03-05; Site=FJZP, Plant=MCGA (sin convertir automaticamente a FJZ); 12 filas PN; APROBACION Y APLICABILIDAD NO VALIDADAS. </t>
        </is>
      </c>
    </row>
    <row r="243">
      <c r="A243" s="43" t="inlineStr">
        <is>
          <t>DEV-CTANJZ05130</t>
        </is>
      </c>
      <c r="B243" s="43" t="inlineStr">
        <is>
          <t>DEVIATION</t>
        </is>
      </c>
      <c r="C243" s="43" t="inlineStr">
        <is>
          <t>D608669</t>
        </is>
      </c>
      <c r="D243" s="43" t="n"/>
      <c r="E243" s="33" t="inlineStr">
        <is>
          <t>D608669DELTA PCN #2025ECR07000012Delta shall produce and ship 768 units of 341-101114-01/02; EDPS-400BB K Z with the changes that were identified in the PCNThe initial shipments from Delta will support NGFW Q2; January 26 quarter end shipments.  FJZ shall receive the units from DeltaFJZ shall assemble the units per demand; TPK DC PSU configurationsThe units shall run through normal production testing.FJZ shall inform Cisco when 30 systems have been completed.  Record the system S/N and pass/fail results.   Alert Cisco ME; TE; and PLPM team members if any of these units fail Mfg Test prior to completing the 30unit Mfg qual build.</t>
        </is>
      </c>
      <c r="F243" s="43" t="inlineStr">
        <is>
          <t>Pending</t>
        </is>
      </c>
      <c r="G243" s="43" t="inlineStr">
        <is>
          <t>Expired</t>
        </is>
      </c>
      <c r="H243" s="43" t="inlineStr">
        <is>
          <t>Pending Review</t>
        </is>
      </c>
      <c r="I243" s="43" t="inlineStr">
        <is>
          <t>STBU</t>
        </is>
      </c>
      <c r="J243" s="43" t="inlineStr">
        <is>
          <t>CTANJZ05130</t>
        </is>
      </c>
      <c r="K243" s="32" t="n"/>
      <c r="L243" s="32" t="n"/>
      <c r="M243" s="32" t="n">
        <v>46175</v>
      </c>
      <c r="N243" s="43" t="n"/>
      <c r="O243" s="43" t="n"/>
      <c r="P243" s="43" t="n"/>
      <c r="Q243" s="43" t="n"/>
      <c r="R243" s="43" t="n"/>
      <c r="S243" s="43" t="n"/>
      <c r="T243" s="43" t="inlineStr">
        <is>
          <t>Y</t>
        </is>
      </c>
      <c r="U243" s="33" t="inlineStr">
        <is>
          <t xml:space="preserve">FUENTE: Deviation.csv, filas CSV 61-61; Workflow=Expired; Date Released=2026-03-24; Date Originated=2026-03-05; Site=FJZP, Plant=MCGA (sin convertir automaticamente a FJZ); 1 filas PN; APROBACION Y APLICABILIDAD NO VALIDADAS. </t>
        </is>
      </c>
    </row>
    <row r="244">
      <c r="A244" s="35" t="inlineStr">
        <is>
          <t>DEV-CTANJZ05131</t>
        </is>
      </c>
      <c r="B244" s="35" t="inlineStr">
        <is>
          <t>DEVIATION</t>
        </is>
      </c>
      <c r="C244" s="35" t="inlineStr">
        <is>
          <t>D609897</t>
        </is>
      </c>
      <c r="D244" s="35" t="n"/>
      <c r="E244" s="36" t="inlineStr">
        <is>
          <t>D609897 Allow Risk buy of PN 15-102934-01 (MPN: CY7C64215-28PVXI) (DC2231);1;755 pcs</t>
        </is>
      </c>
      <c r="F244" s="35" t="inlineStr">
        <is>
          <t>Pending</t>
        </is>
      </c>
      <c r="G244" s="35" t="inlineStr">
        <is>
          <t>Expired</t>
        </is>
      </c>
      <c r="H244" s="35" t="inlineStr">
        <is>
          <t>Pending Review</t>
        </is>
      </c>
      <c r="I244" s="35" t="inlineStr">
        <is>
          <t>STBU</t>
        </is>
      </c>
      <c r="J244" s="35" t="inlineStr">
        <is>
          <t>CTANJZ05131</t>
        </is>
      </c>
      <c r="K244" s="37" t="n"/>
      <c r="L244" s="37" t="n"/>
      <c r="M244" s="37" t="n">
        <v>46175</v>
      </c>
      <c r="N244" s="35" t="n"/>
      <c r="O244" s="35" t="n"/>
      <c r="P244" s="35" t="n"/>
      <c r="Q244" s="35" t="n"/>
      <c r="R244" s="35" t="n"/>
      <c r="S244" s="35" t="n"/>
      <c r="T244" s="35" t="inlineStr">
        <is>
          <t>Y</t>
        </is>
      </c>
      <c r="U244" s="36" t="inlineStr">
        <is>
          <t xml:space="preserve">FUENTE: Deviation.csv, filas CSV 1600-1601; Workflow=Expired; Date Released=2026-03-24; Date Originated=2026-03-05; Site=FJZP, Plant=MCGA (sin convertir automaticamente a FJZ); 2 filas PN; APROBACION Y APLICABILIDAD NO VALIDADAS. </t>
        </is>
      </c>
    </row>
    <row r="245">
      <c r="A245" s="43" t="inlineStr">
        <is>
          <t>DEV-CTANJZ05134</t>
        </is>
      </c>
      <c r="B245" s="43" t="inlineStr">
        <is>
          <t>DEVIATION</t>
        </is>
      </c>
      <c r="C245" s="43" t="inlineStr">
        <is>
          <t>D609794</t>
        </is>
      </c>
      <c r="D245" s="43" t="n"/>
      <c r="E245" s="33" t="inlineStr">
        <is>
          <t>D609794 NGFWBU GQR: GQR000076448 Case: AQR003106218 CPN: 15-14518-02; MFR NAME: RICHTEK TECHNOLOGY; MPN: RTQ6059GJ8This deviation instructs Foxconn Juarez (FJZ) to execute a sample buy and conduct a Mfg qual build for the following part(s):BU: NGFWBUPF: F1KLOWAffected TAN(s): 68-6191-07Affected Item(s): 73-18490-10CPN:15-14518-02; MFR NAME: RICHTEK TECHNOLOGY; MPN: RTQ6059GJ8Build Qty: 5Ref Des: U42_PETo execute the above AQR at CM site; should be tested on Model A.</t>
        </is>
      </c>
      <c r="F245" s="43" t="inlineStr">
        <is>
          <t>Pending</t>
        </is>
      </c>
      <c r="G245" s="43" t="inlineStr">
        <is>
          <t>Expired</t>
        </is>
      </c>
      <c r="H245" s="43" t="inlineStr">
        <is>
          <t>Pending Review</t>
        </is>
      </c>
      <c r="I245" s="43" t="inlineStr">
        <is>
          <t>STBU</t>
        </is>
      </c>
      <c r="J245" s="43" t="inlineStr">
        <is>
          <t>CTANJZ05134</t>
        </is>
      </c>
      <c r="K245" s="32" t="n"/>
      <c r="L245" s="32" t="n"/>
      <c r="M245" s="32" t="n">
        <v>46176</v>
      </c>
      <c r="N245" s="43" t="n"/>
      <c r="O245" s="43" t="n"/>
      <c r="P245" s="43" t="n"/>
      <c r="Q245" s="43" t="n"/>
      <c r="R245" s="43" t="n"/>
      <c r="S245" s="43" t="n"/>
      <c r="T245" s="43" t="inlineStr">
        <is>
          <t>Y</t>
        </is>
      </c>
      <c r="U245" s="33" t="inlineStr">
        <is>
          <t xml:space="preserve">FUENTE: Deviation.csv, filas CSV 1584-1585; Workflow=Expired; Date Released=2026-03-24; Date Originated=2026-03-06; Site=FJZP, Plant=MCGA (sin convertir automaticamente a FJZ); 2 filas PN; APROBACION Y APLICABILIDAD NO VALIDADAS. </t>
        </is>
      </c>
    </row>
    <row r="246">
      <c r="A246" s="35" t="inlineStr">
        <is>
          <t>DEV-CTANJZ05136</t>
        </is>
      </c>
      <c r="B246" s="35" t="inlineStr">
        <is>
          <t>DEVIATION</t>
        </is>
      </c>
      <c r="C246" s="35" t="inlineStr">
        <is>
          <t>D609987</t>
        </is>
      </c>
      <c r="D246" s="35" t="n"/>
      <c r="E246" s="36" t="inlineStr">
        <is>
          <t>D609987 CVEBU;Polaris NR TAAThis is a follow-up deviation to D607679 which expired Feb 11th 2026.68-103946-04 ASY-ELMECH;POLARIS UNIT TX2 FUSED NR;TAARemove from BOM:800-118476-04 (with 800-108480-01) FNLASY-ELMECH;MODULE;POLARIS UNIT CAM2 TX2 FUSED NR;TAA  Add to BOM:800-108476-04 (with 800-108480-02)  FNLASY-ELMECH;MODULE;POLARIS UNIT CAM2 TX2 NR;TAA</t>
        </is>
      </c>
      <c r="F246" s="35" t="inlineStr">
        <is>
          <t>Pending</t>
        </is>
      </c>
      <c r="G246" s="35" t="inlineStr">
        <is>
          <t>Expired</t>
        </is>
      </c>
      <c r="H246" s="35" t="inlineStr">
        <is>
          <t>Pending Review</t>
        </is>
      </c>
      <c r="I246" s="35" t="inlineStr">
        <is>
          <t>CVEBU</t>
        </is>
      </c>
      <c r="J246" s="35" t="inlineStr">
        <is>
          <t>CTANJZ05136</t>
        </is>
      </c>
      <c r="K246" s="37" t="n"/>
      <c r="L246" s="37" t="n"/>
      <c r="M246" s="37" t="n">
        <v>46180</v>
      </c>
      <c r="N246" s="35" t="n"/>
      <c r="O246" s="35" t="n"/>
      <c r="P246" s="35" t="n"/>
      <c r="Q246" s="35" t="n"/>
      <c r="R246" s="35" t="n"/>
      <c r="S246" s="35" t="n"/>
      <c r="T246" s="35" t="inlineStr">
        <is>
          <t>Y</t>
        </is>
      </c>
      <c r="U246" s="36" t="inlineStr">
        <is>
          <t xml:space="preserve">FUENTE: Deviation.csv, filas CSV 646-646; Workflow=Expired; Date Released=2026-03-20; Date Originated=2026-03-09; Site=FJZP, Plant=MCGA (sin convertir automaticamente a FJZ); 1 filas PN; APROBACION Y APLICABILIDAD NO VALIDADAS. </t>
        </is>
      </c>
    </row>
    <row r="247">
      <c r="A247" s="43" t="inlineStr">
        <is>
          <t>DEV-CTANJZ05137</t>
        </is>
      </c>
      <c r="B247" s="43" t="inlineStr">
        <is>
          <t>DEVIATION</t>
        </is>
      </c>
      <c r="C247" s="43" t="inlineStr">
        <is>
          <t>D609403</t>
        </is>
      </c>
      <c r="D247" s="43" t="n"/>
      <c r="E247" s="33" t="inlineStr">
        <is>
          <t>D609403 Need to qualify 800-111487-03 on 68-7781-12 for Assy Qual Request # : AQR003456311 Which is a Supplier PCN from 800-111487-03 for PCN TYPE : Site Move on GQR GQR000079378 and AQR AQR003456311FVN/FOL/FJZ can arrange MFG qual build with latest PCBA or down version</t>
        </is>
      </c>
      <c r="F247" s="43" t="inlineStr">
        <is>
          <t>Pending</t>
        </is>
      </c>
      <c r="G247" s="43" t="inlineStr">
        <is>
          <t>Expired</t>
        </is>
      </c>
      <c r="H247" s="43" t="inlineStr">
        <is>
          <t>Pending Review</t>
        </is>
      </c>
      <c r="I247" s="43" t="inlineStr">
        <is>
          <t>CRBU</t>
        </is>
      </c>
      <c r="J247" s="43" t="inlineStr">
        <is>
          <t>CTANJZ05137</t>
        </is>
      </c>
      <c r="K247" s="32" t="n"/>
      <c r="L247" s="32" t="n"/>
      <c r="M247" s="32" t="n">
        <v>46270</v>
      </c>
      <c r="N247" s="43" t="n"/>
      <c r="O247" s="43" t="n"/>
      <c r="P247" s="43" t="n"/>
      <c r="Q247" s="43" t="n"/>
      <c r="R247" s="43" t="n"/>
      <c r="S247" s="43" t="n"/>
      <c r="T247" s="43" t="inlineStr">
        <is>
          <t>Y</t>
        </is>
      </c>
      <c r="U247" s="33" t="inlineStr">
        <is>
          <t xml:space="preserve">FUENTE: Deviation.csv, filas CSV 100-220; Workflow=Expired; Date Released=2026-03-25; Date Originated=2026-03-10; Site=FJZP, Plant=MCGA (sin convertir automaticamente a FJZ); 4 filas PN; APROBACION Y APLICABILIDAD NO VALIDADAS. </t>
        </is>
      </c>
    </row>
    <row r="248">
      <c r="A248" s="35" t="inlineStr">
        <is>
          <t>DEV-CTANJZ05138</t>
        </is>
      </c>
      <c r="B248" s="35" t="inlineStr">
        <is>
          <t>DEVIATION</t>
        </is>
      </c>
      <c r="C248" s="35" t="inlineStr">
        <is>
          <t>D609929</t>
        </is>
      </c>
      <c r="D248" s="35" t="n"/>
      <c r="E248" s="36" t="inlineStr">
        <is>
          <t>D609929CVEBU;Tyne; Millennium73-102226-06 -B0 PCA; Millennium Codec Main Board; Radio  73-103226-06 -B0 PCA; Millennium Codec Main Board; Non-Radio  73-103698-06  -A0 PCBA; Tyne Codec; Main Board; Radio    73-103940-06 -A0 PCBA; Tyne Codec; Main Board; Non-Radio  In BOMs; refdes U38615-109766-01 IC-LIN;VREG;TSOT23;6 P;2.9x2.8mm PKGSIZE;0.95mm PITCH;60.0 V IN;28.0 V OUT;0.4 MHz;0.5 A;-40 to 125 CDC/DC STEP-DOWN BUCK REGULATOR  Qualified: Renesas RAA2116054GP3#JA0Qualified: TI      LMR51606XDBVRWhere used: Millennium; Tyne; YpsilonFJZ is allowed to source 3000pcs DC2221 15-109766-01/RAA2116054GP3#JA0 for Millennium and Tyne.These parts can be consumed after a successful solderability test.</t>
        </is>
      </c>
      <c r="F248" s="35" t="inlineStr">
        <is>
          <t>Pending</t>
        </is>
      </c>
      <c r="G248" s="35" t="inlineStr">
        <is>
          <t>Expired</t>
        </is>
      </c>
      <c r="H248" s="35" t="inlineStr">
        <is>
          <t>Pending Review</t>
        </is>
      </c>
      <c r="I248" s="35" t="inlineStr">
        <is>
          <t>CVEBU</t>
        </is>
      </c>
      <c r="J248" s="35" t="inlineStr">
        <is>
          <t>CTANJZ05138</t>
        </is>
      </c>
      <c r="K248" s="37" t="n"/>
      <c r="L248" s="37" t="n"/>
      <c r="M248" s="37" t="n">
        <v>46180</v>
      </c>
      <c r="N248" s="35" t="n"/>
      <c r="O248" s="35" t="n"/>
      <c r="P248" s="35" t="n"/>
      <c r="Q248" s="35" t="n"/>
      <c r="R248" s="35" t="n"/>
      <c r="S248" s="35" t="n"/>
      <c r="T248" s="35" t="inlineStr">
        <is>
          <t>Y</t>
        </is>
      </c>
      <c r="U248" s="36" t="inlineStr">
        <is>
          <t xml:space="preserve">FUENTE: Deviation.csv, filas CSV 511-515; Workflow=Expired; Date Released=2026-03-19; Date Originated=2026-03-10; Site=FJZP, Plant=MCGA (sin convertir automaticamente a FJZ); 5 filas PN; APROBACION Y APLICABILIDAD NO VALIDADAS. </t>
        </is>
      </c>
    </row>
    <row r="249">
      <c r="A249" s="43" t="inlineStr">
        <is>
          <t>DEV-CTANJZ05139</t>
        </is>
      </c>
      <c r="B249" s="43" t="inlineStr">
        <is>
          <t>DEVIATION</t>
        </is>
      </c>
      <c r="C249" s="43" t="inlineStr">
        <is>
          <t>D609791</t>
        </is>
      </c>
      <c r="D249" s="43" t="n"/>
      <c r="E249" s="33" t="inlineStr">
        <is>
          <t>D609791 NGFWBU GQR: GQR000076448 Case: AQR003106226 CPN: 15-14518-02; MFR NAME: RICHTEK TECHNOLOGY; MPN: RTQ6059GJ8; WESTMINSTER RACK MOUNT.This deviation instructs Foxconn Juarez (FJZ) to execute a sample buy and conduct a Mfg qual build for the following part(s):BU: NGFWBUPF: FPRLOWAffected TAN(s): 68-7007-02Affected Item(s): 73-18489-08CPN:15-14518-02; MFR NAME: RICHTEK TECHNOLOGY; MPN: RTQ6059GJ8Build Qty: 5Ref Des: U42_PETo execute the above AQR at CM site; should be tested on Model A.</t>
        </is>
      </c>
      <c r="F249" s="43" t="inlineStr">
        <is>
          <t>Pending</t>
        </is>
      </c>
      <c r="G249" s="43" t="inlineStr">
        <is>
          <t>Expired</t>
        </is>
      </c>
      <c r="H249" s="43" t="inlineStr">
        <is>
          <t>Pending Review</t>
        </is>
      </c>
      <c r="I249" s="43" t="inlineStr">
        <is>
          <t>STBU</t>
        </is>
      </c>
      <c r="J249" s="43" t="inlineStr">
        <is>
          <t>CTANJZ05139</t>
        </is>
      </c>
      <c r="K249" s="32" t="n"/>
      <c r="L249" s="32" t="n"/>
      <c r="M249" s="32" t="n">
        <v>46180</v>
      </c>
      <c r="N249" s="43" t="n"/>
      <c r="O249" s="43" t="n"/>
      <c r="P249" s="43" t="n"/>
      <c r="Q249" s="43" t="n"/>
      <c r="R249" s="43" t="n"/>
      <c r="S249" s="43" t="n"/>
      <c r="T249" s="43" t="inlineStr">
        <is>
          <t>Y</t>
        </is>
      </c>
      <c r="U249" s="33" t="inlineStr">
        <is>
          <t xml:space="preserve">FUENTE: Deviation.csv, filas CSV 166-1447; Workflow=Expired; Date Released=2026-03-24; Date Originated=2026-03-10; Site=FJZP, Plant=MCGA (sin convertir automaticamente a FJZ); 4 filas PN; APROBACION Y APLICABILIDAD NO VALIDADAS. </t>
        </is>
      </c>
    </row>
    <row r="250">
      <c r="A250" s="35" t="inlineStr">
        <is>
          <t>DEV-CTANJZ05140</t>
        </is>
      </c>
      <c r="B250" s="35" t="inlineStr">
        <is>
          <t>DEVIATION</t>
        </is>
      </c>
      <c r="C250" s="35" t="inlineStr">
        <is>
          <t>D609792</t>
        </is>
      </c>
      <c r="D250" s="35" t="n"/>
      <c r="E250" s="36" t="inlineStr">
        <is>
          <t>D609792NGFWBU GQR: GQR000076657 Case: AQR003235642 CPN: 36-0333-01; MFR NAME: MAG LAYERS; MPN: GMLB-160808-0220Y-BK ; WESTMINSTER RACK MOUNT.This deviation instructs Foxconn Juarez (FJZ) to execute a sample buy and conduct a Mfg qual build for the following part(s):BU: NGFWBUPF: F1KLOWAffected TAN(s):68-6432-03Affected Item(s): 73-18489-08CPN: 36-0333-01; MFR NAME: MAG LAYERS; MPN: GMLB-160808-0220Y-BKBuild Qty: 5Ref Des: L34;L38;L39To execute the above AQR at CM site; should be tested on Model A.</t>
        </is>
      </c>
      <c r="F250" s="35" t="inlineStr">
        <is>
          <t>Pending</t>
        </is>
      </c>
      <c r="G250" s="35" t="inlineStr">
        <is>
          <t>Expired</t>
        </is>
      </c>
      <c r="H250" s="35" t="inlineStr">
        <is>
          <t>Pending Review</t>
        </is>
      </c>
      <c r="I250" s="35" t="inlineStr">
        <is>
          <t>STBU</t>
        </is>
      </c>
      <c r="J250" s="35" t="inlineStr">
        <is>
          <t>CTANJZ05140</t>
        </is>
      </c>
      <c r="K250" s="37" t="n"/>
      <c r="L250" s="37" t="n"/>
      <c r="M250" s="37" t="n">
        <v>46180</v>
      </c>
      <c r="N250" s="35" t="n"/>
      <c r="O250" s="35" t="n"/>
      <c r="P250" s="35" t="n"/>
      <c r="Q250" s="35" t="n"/>
      <c r="R250" s="35" t="n"/>
      <c r="S250" s="35" t="n"/>
      <c r="T250" s="35" t="inlineStr">
        <is>
          <t>Y</t>
        </is>
      </c>
      <c r="U250" s="36" t="inlineStr">
        <is>
          <t xml:space="preserve">FUENTE: Deviation.csv, filas CSV 168-1504; Workflow=Expired; Date Released=2026-03-25; Date Originated=2026-03-10; Site=FJZP, Plant=MCGA (sin convertir automaticamente a FJZ); 4 filas PN; APROBACION Y APLICABILIDAD NO VALIDADAS. </t>
        </is>
      </c>
    </row>
    <row r="251">
      <c r="A251" s="43" t="inlineStr">
        <is>
          <t>DEV-CTANJZ05141</t>
        </is>
      </c>
      <c r="B251" s="43" t="inlineStr">
        <is>
          <t>DEVIATION</t>
        </is>
      </c>
      <c r="C251" s="43" t="inlineStr">
        <is>
          <t>D609793</t>
        </is>
      </c>
      <c r="D251" s="43" t="n"/>
      <c r="E251" s="33" t="inlineStr">
        <is>
          <t>D609793 NGFWBU GQR: GQR000076658 Case: AQR003234979 CPN: 36-0333-01; MFR NAME: TAI-TECH ADVANCED ELECTRONICS; MPN: MB18K221-03R30V2CThis deviation instructs Foxconn Juarez (FJZ) to execute a sample buy and conduct a Mfg qual build for the following part(s):BU: NGFWBUPF: F1KLOWAffected TAN(s):68-6432-03Affected Item(s): 73-18489-08CPN: 36-0333-01; MFR NAME: TAI-TECH ADVANCED ELECTRONICS; MPN: MB18K221-03R30V2CBuild Qty: 5Ref Des: L34;L38;L39To execute the above AQR at CM site; should be tested on Model A.</t>
        </is>
      </c>
      <c r="F251" s="43" t="inlineStr">
        <is>
          <t>Pending</t>
        </is>
      </c>
      <c r="G251" s="43" t="inlineStr">
        <is>
          <t>Expired</t>
        </is>
      </c>
      <c r="H251" s="43" t="inlineStr">
        <is>
          <t>Pending Review</t>
        </is>
      </c>
      <c r="I251" s="43" t="inlineStr">
        <is>
          <t>STBU</t>
        </is>
      </c>
      <c r="J251" s="43" t="inlineStr">
        <is>
          <t>CTANJZ05141</t>
        </is>
      </c>
      <c r="K251" s="32" t="n"/>
      <c r="L251" s="32" t="n"/>
      <c r="M251" s="32" t="n">
        <v>46180</v>
      </c>
      <c r="N251" s="43" t="n"/>
      <c r="O251" s="43" t="n"/>
      <c r="P251" s="43" t="n"/>
      <c r="Q251" s="43" t="n"/>
      <c r="R251" s="43" t="n"/>
      <c r="S251" s="43" t="n"/>
      <c r="T251" s="43" t="inlineStr">
        <is>
          <t>Y</t>
        </is>
      </c>
      <c r="U251" s="33" t="inlineStr">
        <is>
          <t xml:space="preserve">FUENTE: Deviation.csv, filas CSV 170-1451; Workflow=Expired; Date Released=2026-03-24; Date Originated=2026-03-10; Site=FJZP, Plant=MCGA (sin convertir automaticamente a FJZ); 4 filas PN; APROBACION Y APLICABILIDAD NO VALIDADAS. </t>
        </is>
      </c>
    </row>
    <row r="252">
      <c r="A252" s="35" t="inlineStr">
        <is>
          <t>DEV-CTANJZ05142</t>
        </is>
      </c>
      <c r="B252" s="35" t="inlineStr">
        <is>
          <t>DEVIATION</t>
        </is>
      </c>
      <c r="C252" s="35" t="inlineStr">
        <is>
          <t>D609946</t>
        </is>
      </c>
      <c r="D252" s="35" t="n"/>
      <c r="E252" s="36" t="inlineStr">
        <is>
          <t>D609946 Allow FJZ to rework the SSD 68-103418-01; from Micron to Samsung to continue building in DF side</t>
        </is>
      </c>
      <c r="F252" s="35" t="inlineStr">
        <is>
          <t>Pending</t>
        </is>
      </c>
      <c r="G252" s="35" t="inlineStr">
        <is>
          <t>Expired</t>
        </is>
      </c>
      <c r="H252" s="35" t="inlineStr">
        <is>
          <t>Pending Review</t>
        </is>
      </c>
      <c r="I252" s="35" t="inlineStr">
        <is>
          <t>STBU</t>
        </is>
      </c>
      <c r="J252" s="35" t="inlineStr">
        <is>
          <t>CTANJZ05142</t>
        </is>
      </c>
      <c r="K252" s="37" t="n"/>
      <c r="L252" s="37" t="n"/>
      <c r="M252" s="37" t="n">
        <v>46181</v>
      </c>
      <c r="N252" s="35" t="n"/>
      <c r="O252" s="35" t="n"/>
      <c r="P252" s="35" t="n"/>
      <c r="Q252" s="35" t="n"/>
      <c r="R252" s="35" t="n"/>
      <c r="S252" s="35" t="n"/>
      <c r="T252" s="35" t="inlineStr">
        <is>
          <t>Y</t>
        </is>
      </c>
      <c r="U252" s="36" t="inlineStr">
        <is>
          <t xml:space="preserve">FUENTE: Deviation.csv, filas CSV 1192-1194; Workflow=Expired; Date Released=2026-04-09; Date Originated=2026-03-11; Site=FJZP, Plant=MCGA (sin convertir automaticamente a FJZ); 3 filas PN; APROBACION Y APLICABILIDAD NO VALIDADAS. </t>
        </is>
      </c>
    </row>
    <row r="253">
      <c r="A253" s="43" t="inlineStr">
        <is>
          <t>DEV-CTANJZ05143</t>
        </is>
      </c>
      <c r="B253" s="43" t="inlineStr">
        <is>
          <t>DEVIATION</t>
        </is>
      </c>
      <c r="C253" s="43" t="inlineStr">
        <is>
          <t>D608560</t>
        </is>
      </c>
      <c r="D253" s="43" t="n"/>
      <c r="E253" s="33" t="inlineStr">
        <is>
          <t>D608560 Allow them to use this box (55-0584-01) as substitute of 55-103733</t>
        </is>
      </c>
      <c r="F253" s="43" t="inlineStr">
        <is>
          <t>Pending</t>
        </is>
      </c>
      <c r="G253" s="43" t="inlineStr">
        <is>
          <t>Expired</t>
        </is>
      </c>
      <c r="H253" s="43" t="inlineStr">
        <is>
          <t>Pending Review</t>
        </is>
      </c>
      <c r="I253" s="43" t="inlineStr">
        <is>
          <t>STBU</t>
        </is>
      </c>
      <c r="J253" s="43" t="inlineStr">
        <is>
          <t>CTANJZ05143</t>
        </is>
      </c>
      <c r="K253" s="32" t="n"/>
      <c r="L253" s="32" t="n"/>
      <c r="M253" s="32" t="n">
        <v>46181</v>
      </c>
      <c r="N253" s="43" t="n"/>
      <c r="O253" s="43" t="n"/>
      <c r="P253" s="43" t="n"/>
      <c r="Q253" s="43" t="n"/>
      <c r="R253" s="43" t="n"/>
      <c r="S253" s="43" t="n"/>
      <c r="T253" s="43" t="inlineStr">
        <is>
          <t>Y</t>
        </is>
      </c>
      <c r="U253" s="33" t="inlineStr">
        <is>
          <t xml:space="preserve">FUENTE: Deviation.csv, filas CSV 1195-1196; Workflow=Expired; Date Released=2026-04-09; Date Originated=2026-03-11; Site=FJZP, Plant=MCGA (sin convertir automaticamente a FJZ); 2 filas PN; APROBACION Y APLICABILIDAD NO VALIDADAS. </t>
        </is>
      </c>
    </row>
    <row r="254">
      <c r="A254" s="35" t="inlineStr">
        <is>
          <t>DEV-CTANJZ05144</t>
        </is>
      </c>
      <c r="B254" s="35" t="inlineStr">
        <is>
          <t>DEVIATION</t>
        </is>
      </c>
      <c r="C254" s="35" t="inlineStr">
        <is>
          <t>D610061</t>
        </is>
      </c>
      <c r="D254" s="35" t="n"/>
      <c r="E254" s="36" t="inlineStr">
        <is>
          <t>D610061 CVEBU: Bayfront Pilot build. Deviation to allow use IPQ and old Date Codes parts. March 2026.Foxconn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F254" s="35" t="inlineStr">
        <is>
          <t>Pending</t>
        </is>
      </c>
      <c r="G254" s="35" t="inlineStr">
        <is>
          <t>Expired</t>
        </is>
      </c>
      <c r="H254" s="35" t="inlineStr">
        <is>
          <t>Pending Review</t>
        </is>
      </c>
      <c r="I254" s="35" t="inlineStr">
        <is>
          <t>CVEBU</t>
        </is>
      </c>
      <c r="J254" s="35" t="inlineStr">
        <is>
          <t>CTANJZ05144</t>
        </is>
      </c>
      <c r="K254" s="37" t="n"/>
      <c r="L254" s="37" t="n"/>
      <c r="M254" s="37" t="n">
        <v>46181</v>
      </c>
      <c r="N254" s="35" t="n"/>
      <c r="O254" s="35" t="n"/>
      <c r="P254" s="35" t="n"/>
      <c r="Q254" s="35" t="n"/>
      <c r="R254" s="35" t="n"/>
      <c r="S254" s="35" t="n"/>
      <c r="T254" s="35" t="inlineStr">
        <is>
          <t>Y</t>
        </is>
      </c>
      <c r="U254" s="36" t="inlineStr">
        <is>
          <t xml:space="preserve">FUENTE: Deviation.csv, filas CSV 1150-1191; Workflow=Expired; Date Released=2026-03-19; Date Originated=2026-03-12; Site=FJZP, Plant=MCGA (sin convertir automaticamente a FJZ); 3 filas PN; APROBACION Y APLICABILIDAD NO VALIDADAS. </t>
        </is>
      </c>
    </row>
    <row r="255">
      <c r="A255" s="43" t="inlineStr">
        <is>
          <t>DEV-CTANJZ05145</t>
        </is>
      </c>
      <c r="B255" s="43" t="inlineStr">
        <is>
          <t>DEVIATION</t>
        </is>
      </c>
      <c r="C255" s="43" t="inlineStr">
        <is>
          <t>D609994</t>
        </is>
      </c>
      <c r="D255" s="43" t="n"/>
      <c r="E255" s="33" t="inlineStr">
        <is>
          <t>D609994 A. Restriction of AVL for CPN 16-101652-01:RESTRICT/DO NOT USE: Micron MPN MTFDKCC950TFR-1BC15ABCC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part(MTFDKCC950TFR-1BC15ABCC) must be reworked to replace the drive with the approved Samsung MPN (MZQL2960HCJR-00A07) to allow FPR3K SKUs to continue on the DF side.This deviation applies to MPNs at both PCBA and DF Sites at FJZ effective immediately.</t>
        </is>
      </c>
      <c r="F255" s="43" t="inlineStr">
        <is>
          <t>Pending</t>
        </is>
      </c>
      <c r="G255" s="43" t="inlineStr">
        <is>
          <t>Expired</t>
        </is>
      </c>
      <c r="H255" s="43" t="inlineStr">
        <is>
          <t>Pending Review</t>
        </is>
      </c>
      <c r="I255" s="43" t="inlineStr">
        <is>
          <t>STBU</t>
        </is>
      </c>
      <c r="J255" s="43" t="inlineStr">
        <is>
          <t>CTANJZ05145</t>
        </is>
      </c>
      <c r="K255" s="32" t="n"/>
      <c r="L255" s="32" t="n"/>
      <c r="M255" s="32" t="n">
        <v>46183</v>
      </c>
      <c r="N255" s="43" t="n"/>
      <c r="O255" s="43" t="n"/>
      <c r="P255" s="43" t="n"/>
      <c r="Q255" s="43" t="n"/>
      <c r="R255" s="43" t="n"/>
      <c r="S255" s="43" t="n"/>
      <c r="T255" s="43" t="inlineStr">
        <is>
          <t>Y</t>
        </is>
      </c>
      <c r="U255" s="33" t="inlineStr">
        <is>
          <t xml:space="preserve">FUENTE: Deviation.csv, filas CSV 1017-1079; Workflow=Expired; Date Released=2026-04-09; Date Originated=2026-03-13; Site=FJZP, Plant=MCGA (sin convertir automaticamente a FJZ); 8 filas PN; APROBACION Y APLICABILIDAD NO VALIDADAS. </t>
        </is>
      </c>
    </row>
    <row r="256">
      <c r="A256" s="35" t="inlineStr">
        <is>
          <t>DEV-CTANJZ05146</t>
        </is>
      </c>
      <c r="B256" s="35" t="inlineStr">
        <is>
          <t>DEVIATION</t>
        </is>
      </c>
      <c r="C256" s="35" t="inlineStr">
        <is>
          <t>D610073</t>
        </is>
      </c>
      <c r="D256" s="35" t="n"/>
      <c r="E256" s="36" t="inlineStr">
        <is>
          <t>D610073 CRBU - Allow FVN &amp; FJZ to Risk Buy  51-103496-01 - 5K Each site.Approved to risk buy 51-103496-01 based on demand on below programs.LS18; LS8; LS4; LC7; LC6; LC6E; LC1; FC12</t>
        </is>
      </c>
      <c r="F256" s="35" t="inlineStr">
        <is>
          <t>Pending</t>
        </is>
      </c>
      <c r="G256" s="35" t="inlineStr">
        <is>
          <t>Expired</t>
        </is>
      </c>
      <c r="H256" s="35" t="inlineStr">
        <is>
          <t>Pending Review</t>
        </is>
      </c>
      <c r="I256" s="35" t="inlineStr">
        <is>
          <t>CRBU</t>
        </is>
      </c>
      <c r="J256" s="35" t="inlineStr">
        <is>
          <t>CTANJZ05146</t>
        </is>
      </c>
      <c r="K256" s="37" t="n"/>
      <c r="L256" s="37" t="n"/>
      <c r="M256" s="37" t="n">
        <v>46186</v>
      </c>
      <c r="N256" s="35" t="n"/>
      <c r="O256" s="35" t="n"/>
      <c r="P256" s="35" t="n"/>
      <c r="Q256" s="35" t="n"/>
      <c r="R256" s="35" t="n"/>
      <c r="S256" s="35" t="n"/>
      <c r="T256" s="35" t="inlineStr">
        <is>
          <t>Y</t>
        </is>
      </c>
      <c r="U256" s="36" t="inlineStr">
        <is>
          <t xml:space="preserve">FUENTE: Deviation.csv, filas CSV 1080-1094; Workflow=Expired; Date Released=2026-03-26; Date Originated=2026-03-16; Site=FJZP, Plant=MCGA (sin convertir automaticamente a FJZ); 9 filas PN; APROBACION Y APLICABILIDAD NO VALIDADAS. </t>
        </is>
      </c>
    </row>
    <row r="257">
      <c r="A257" s="43" t="inlineStr">
        <is>
          <t>DEV-CTANJZ05148</t>
        </is>
      </c>
      <c r="B257" s="43" t="inlineStr">
        <is>
          <t>DEVIATION</t>
        </is>
      </c>
      <c r="C257" s="43" t="inlineStr">
        <is>
          <t>D610094</t>
        </is>
      </c>
      <c r="D257" s="43" t="n"/>
      <c r="E257" s="33" t="inlineStr">
        <is>
          <t>D610094 CRBU-8000-GB Mono - Skew Qualification - LC4; LC5 &amp; LC7 -Q200_Combo SKU 268-7406-xx ( use latest production version and revision ) - LC4 - 3 location ASIC - U1_N0;U1_N1; U1_N268-7184-xx ( use latest production version and revision ) - LC5 - 3 location ASIC - U1_N0;U1_N1; U1_N268-7393-xx ( use latest production version and revision ) - LC7 -  2 location ASIC - U1_N0;U1_N1Build :LC4-  5 qty boardsLC5-  5 qty boardsLC7 - 5 qty boardsPCN #: CPCI-1009CCN #: CCN0000116821. Approve FJZ/FVN to build LC4 using the 01-1311-01 in place of  01-1057-04  on the location U1_N0 ; U1_N1 ; U1_N22. Approve FJZ/FVN to build LC5 using the 01-1311-01 in place of  01-1057-04  on the location U1_N0 ; U1_N1 ; U1_N23. Approve FJZ/FVN to build LC7 using the 01-1311-01 in place of  01-1057-04  on the location U1_N0 ; U1_N13. All units must go through MFG/Production Tests + MCVT4. Record and share thermal data during 2C/4C testing for all the ASICs on the board for all corners and share to EPE for review5. Do not ship the board until approved by EPENote : The part 01-1311-01 will be shipped with the deviation number on the label of the outer box and on the moisture barrier bag.</t>
        </is>
      </c>
      <c r="F257" s="43" t="inlineStr">
        <is>
          <t>Pending</t>
        </is>
      </c>
      <c r="G257" s="43" t="inlineStr">
        <is>
          <t>Expired</t>
        </is>
      </c>
      <c r="H257" s="43" t="inlineStr">
        <is>
          <t>Pending Review</t>
        </is>
      </c>
      <c r="I257" s="43" t="inlineStr">
        <is>
          <t>CRBU</t>
        </is>
      </c>
      <c r="J257" s="43" t="inlineStr">
        <is>
          <t>CTANJZ05148</t>
        </is>
      </c>
      <c r="K257" s="32" t="n"/>
      <c r="L257" s="32" t="n"/>
      <c r="M257" s="32" t="n">
        <v>46188</v>
      </c>
      <c r="N257" s="43" t="n"/>
      <c r="O257" s="43" t="n"/>
      <c r="P257" s="43" t="n"/>
      <c r="Q257" s="43" t="n"/>
      <c r="R257" s="43" t="n"/>
      <c r="S257" s="43" t="n"/>
      <c r="T257" s="43" t="inlineStr">
        <is>
          <t>Y</t>
        </is>
      </c>
      <c r="U257" s="33" t="inlineStr">
        <is>
          <t xml:space="preserve">FUENTE: Deviation.csv, filas CSV 52-103; Workflow=Expired; Date Released=2026-04-21; Date Originated=2026-03-18; Site=FJZP, Plant=MCGA (sin convertir automaticamente a FJZ); 3 filas PN; APROBACION Y APLICABILIDAD NO VALIDADAS. </t>
        </is>
      </c>
    </row>
    <row r="258">
      <c r="A258" s="35" t="inlineStr">
        <is>
          <t>DEV-CTANJZ05149</t>
        </is>
      </c>
      <c r="B258" s="35" t="inlineStr">
        <is>
          <t>DEVIATION</t>
        </is>
      </c>
      <c r="C258" s="35" t="inlineStr">
        <is>
          <t>D610093</t>
        </is>
      </c>
      <c r="D258" s="35" t="n"/>
      <c r="E258" s="36" t="inlineStr">
        <is>
          <t>D610093 CRBU-8000-GB Mono - Skew Qualification - LS8 &amp; LS4 - Q200L - GB Mono - SKU 368-7195-xx ( use latest production version and revision ) - LS868-7261-xx ( use latest production version and revision ) - LS4Build :LS8- 8qty boardsLS4-8qty boardsPCN #: CPCI-1009CCN #: CCN0000116821. Approve FJZ/FVN to build LS8 using the 08-100233-01 in place of 08-1057-03  on the location U1_N0 &amp; U1_N12. Approve FJZ/FVN to build LS4 using the 08-100233-01 in place of 08-1057-03  on the location U1_N03. All units must go through MFG/Production Tests + MCVT4. Record and share thermal data during 2C/4C testing for all the ASICs on the board for all corners and share to EPE for review5. Do not ship the board until approved by EPENote : The part 08-100233-01 will be shipped with the deviation number on the label of the outer box and on the moisture barrier bag.</t>
        </is>
      </c>
      <c r="F258" s="35" t="inlineStr">
        <is>
          <t>Pending</t>
        </is>
      </c>
      <c r="G258" s="35" t="inlineStr">
        <is>
          <t>Expired</t>
        </is>
      </c>
      <c r="H258" s="35" t="inlineStr">
        <is>
          <t>Pending Review</t>
        </is>
      </c>
      <c r="I258" s="35" t="inlineStr">
        <is>
          <t>CRBU</t>
        </is>
      </c>
      <c r="J258" s="35" t="inlineStr">
        <is>
          <t>CTANJZ05149</t>
        </is>
      </c>
      <c r="K258" s="37" t="n"/>
      <c r="L258" s="37" t="n"/>
      <c r="M258" s="37" t="n">
        <v>46188</v>
      </c>
      <c r="N258" s="35" t="n"/>
      <c r="O258" s="35" t="n"/>
      <c r="P258" s="35" t="n"/>
      <c r="Q258" s="35" t="n"/>
      <c r="R258" s="35" t="n"/>
      <c r="S258" s="35" t="n"/>
      <c r="T258" s="35" t="inlineStr">
        <is>
          <t>Y</t>
        </is>
      </c>
      <c r="U258" s="36" t="inlineStr">
        <is>
          <t xml:space="preserve">FUENTE: Deviation.csv, filas CSV 104-105; Workflow=Expired; Date Released=2026-04-18; Date Originated=2026-03-18; Site=FJZP, Plant=MCGA (sin convertir automaticamente a FJZ); 2 filas PN; APROBACION Y APLICABILIDAD NO VALIDADAS. </t>
        </is>
      </c>
    </row>
    <row r="259">
      <c r="A259" s="43" t="inlineStr">
        <is>
          <t>DEV-CTANJZ05150</t>
        </is>
      </c>
      <c r="B259" s="43" t="inlineStr">
        <is>
          <t>DEVIATION</t>
        </is>
      </c>
      <c r="C259" s="43" t="inlineStr">
        <is>
          <t>D610122</t>
        </is>
      </c>
      <c r="D259" s="43" t="n"/>
      <c r="E259" s="33" t="inlineStr">
        <is>
          <t>D610122 NGFWBU:::: CSF1200::::Foxconn PN: C066.00531.005Manufacturer Part Number (MPN) :RC21008B175GND#BB0Quantity: 1;000 piecesDue to a critical material shortage of PN C066.00531.005; FJZ requests approval to use 1;000 pcs of Renesas devices that have a different top marking than standard production material. This deviation allows for such.The devices were originally manufactured as blank devices (RC21008BENGGND#BB0) and were programmed by Renesas to the required configuration RC21008B175GND#BB0 prior to shipment. The only difference is the top marking; which reflects the original blank device marking.Standard Material:MPN: RC21008B175GND#BB0Top Marking: Includes ¡§B175GND¡¨ (per Renesas marking diagram)Deviated Material:Final MPN: RC21008B175GND#BB0 (programmed by Renesas)Original Blank MPN: RC21008BENGGND#BB0Top Marking: Includes ¡§BENG¡¨ instead of ¡§B175GND¡¨No impact to FFF or quality as parts have been screen by Renesas...</t>
        </is>
      </c>
      <c r="F259" s="43" t="inlineStr">
        <is>
          <t>Pending</t>
        </is>
      </c>
      <c r="G259" s="43" t="inlineStr">
        <is>
          <t>Expired</t>
        </is>
      </c>
      <c r="H259" s="43" t="inlineStr">
        <is>
          <t>Pending Review</t>
        </is>
      </c>
      <c r="I259" s="43" t="inlineStr">
        <is>
          <t>STBU</t>
        </is>
      </c>
      <c r="J259" s="43" t="inlineStr">
        <is>
          <t>CTANJZ05150</t>
        </is>
      </c>
      <c r="K259" s="32" t="n"/>
      <c r="L259" s="32" t="n"/>
      <c r="M259" s="32" t="n">
        <v>46188</v>
      </c>
      <c r="N259" s="43" t="n"/>
      <c r="O259" s="43" t="n"/>
      <c r="P259" s="43" t="n"/>
      <c r="Q259" s="43" t="n"/>
      <c r="R259" s="43" t="n"/>
      <c r="S259" s="43" t="n"/>
      <c r="T259" s="43" t="inlineStr">
        <is>
          <t>Y</t>
        </is>
      </c>
      <c r="U259" s="33" t="inlineStr">
        <is>
          <t xml:space="preserve">FUENTE: Deviation.csv, filas CSV 1095-1153; Workflow=Expired; Date Released=2026-04-17; Date Originated=2026-03-18; Site=FJZP, Plant=MCGA (sin convertir automaticamente a FJZ); 6 filas PN; APROBACION Y APLICABILIDAD NO VALIDADAS. </t>
        </is>
      </c>
    </row>
    <row r="260">
      <c r="A260" s="35" t="inlineStr">
        <is>
          <t>DEV-CTANJZ05151</t>
        </is>
      </c>
      <c r="B260" s="35" t="inlineStr">
        <is>
          <t>DEVIATION</t>
        </is>
      </c>
      <c r="C260" s="35" t="inlineStr">
        <is>
          <t>DP525933</t>
        </is>
      </c>
      <c r="D260" s="35" t="n"/>
      <c r="E260" s="36" t="inlineStr">
        <is>
          <t>DP525933 Use 700-136522-05 instead of 700-136522-04 due to material shortage to continue build of Monument</t>
        </is>
      </c>
      <c r="F260" s="35" t="inlineStr">
        <is>
          <t>Pending</t>
        </is>
      </c>
      <c r="G260" s="35" t="inlineStr">
        <is>
          <t>Expired</t>
        </is>
      </c>
      <c r="H260" s="35" t="inlineStr">
        <is>
          <t>Pending Review</t>
        </is>
      </c>
      <c r="I260" s="35" t="inlineStr">
        <is>
          <t>STBU</t>
        </is>
      </c>
      <c r="J260" s="35" t="inlineStr">
        <is>
          <t>CTANJZ05151</t>
        </is>
      </c>
      <c r="K260" s="37" t="n"/>
      <c r="L260" s="37" t="n"/>
      <c r="M260" s="37" t="n">
        <v>46158</v>
      </c>
      <c r="N260" s="35" t="n"/>
      <c r="O260" s="35" t="n"/>
      <c r="P260" s="35" t="n"/>
      <c r="Q260" s="35" t="n"/>
      <c r="R260" s="35" t="n"/>
      <c r="S260" s="35" t="n"/>
      <c r="T260" s="35" t="inlineStr">
        <is>
          <t>Y</t>
        </is>
      </c>
      <c r="U260" s="36" t="inlineStr">
        <is>
          <t xml:space="preserve">FUENTE: Deviation.csv, filas CSV 499-500; Workflow=Expired; Date Released=2026-04-01; Date Originated=2026-03-18; Site=FJZP, Plant=MCGA (sin convertir automaticamente a FJZ); 2 filas PN; APROBACION Y APLICABILIDAD NO VALIDADAS. </t>
        </is>
      </c>
    </row>
    <row r="261">
      <c r="A261" s="43" t="inlineStr">
        <is>
          <t>DEV-CTANJZ05153</t>
        </is>
      </c>
      <c r="B261" s="43" t="inlineStr">
        <is>
          <t>DEVIATION</t>
        </is>
      </c>
      <c r="C261" s="43" t="inlineStr">
        <is>
          <t>DP525940</t>
        </is>
      </c>
      <c r="D261" s="43" t="n"/>
      <c r="E261" s="33" t="inlineStr">
        <is>
          <t>DP525940 Use 700-136522-05 instead of 700-136522-04 due to material shortage to continue build of Monument</t>
        </is>
      </c>
      <c r="F261" s="43" t="inlineStr">
        <is>
          <t>Pending</t>
        </is>
      </c>
      <c r="G261" s="43" t="inlineStr">
        <is>
          <t>Expired</t>
        </is>
      </c>
      <c r="H261" s="43" t="inlineStr">
        <is>
          <t>Pending Review</t>
        </is>
      </c>
      <c r="I261" s="43" t="inlineStr">
        <is>
          <t>STBU</t>
        </is>
      </c>
      <c r="J261" s="43" t="inlineStr">
        <is>
          <t>CTANJZ05153</t>
        </is>
      </c>
      <c r="K261" s="32" t="n"/>
      <c r="L261" s="32" t="n"/>
      <c r="M261" s="32" t="n">
        <v>46159</v>
      </c>
      <c r="N261" s="43" t="n"/>
      <c r="O261" s="43" t="n"/>
      <c r="P261" s="43" t="n"/>
      <c r="Q261" s="43" t="n"/>
      <c r="R261" s="43" t="n"/>
      <c r="S261" s="43" t="n"/>
      <c r="T261" s="43" t="inlineStr">
        <is>
          <t>Y</t>
        </is>
      </c>
      <c r="U261" s="33" t="inlineStr">
        <is>
          <t xml:space="preserve">FUENTE: Deviation.csv, filas CSV 502-503; Workflow=Expired; Date Released=2026-04-01; Date Originated=2026-03-19; Site=FJZP, Plant=MCGA (sin convertir automaticamente a FJZ); 2 filas PN; APROBACION Y APLICABILIDAD NO VALIDADAS. </t>
        </is>
      </c>
    </row>
    <row r="262">
      <c r="A262" s="35" t="inlineStr">
        <is>
          <t>DEV-CTANJZ05154</t>
        </is>
      </c>
      <c r="B262" s="35" t="inlineStr">
        <is>
          <t>DEVIATION</t>
        </is>
      </c>
      <c r="C262" s="35" t="inlineStr">
        <is>
          <t>D610130</t>
        </is>
      </c>
      <c r="D262" s="35" t="n"/>
      <c r="E262" s="36" t="inlineStr">
        <is>
          <t>D610130 FJZ to reprogram in ICT the Renesas part 17-102052-01 for TPK Low and TPK HighThese are the actions on going:1. Testplan to be modified to add IC programming2. Fixtures TPK Low 73-20249 and TPK High 73-20247 to be wired to adapt Renesas programmer3. Use UABU (Line 3) TRI machine due is the only one that supports Renesas programmer using Windows 10 due drivers used4. FJZ to debug the equipment5. Receive remotely support from Bojay team to program the file (17-102052-01_A0.zip)      a) FJZ to run a validation with 2 TPK Low units from ICT to PCBP2 and provide to Cisco EPE; TE and ME the test logs      b) FJZ to run a validation with 2 TPK High units from ICT to PCBP2 and provide to Cisco EPE; TE and ME the test logs6. 240 pcs for TPK Low and 80 pcs for TPK High to be reprogram in ICT (Quantity can be change depending on lead time of the point 7)7. Reviewing with Renesas 2 different options for the 4000 pcs OH with no programmed part      a) Send back to Renesas the 4K pcs to be reprogram      b) Renesas to expedite shipment for the part 17-102052-01 already programmed</t>
        </is>
      </c>
      <c r="F262" s="35" t="inlineStr">
        <is>
          <t>Pending</t>
        </is>
      </c>
      <c r="G262" s="35" t="inlineStr">
        <is>
          <t>Expired</t>
        </is>
      </c>
      <c r="H262" s="35" t="inlineStr">
        <is>
          <t>Pending Review</t>
        </is>
      </c>
      <c r="I262" s="35" t="inlineStr">
        <is>
          <t>STBU</t>
        </is>
      </c>
      <c r="J262" s="35" t="inlineStr">
        <is>
          <t>CTANJZ05154</t>
        </is>
      </c>
      <c r="K262" s="37" t="n"/>
      <c r="L262" s="37" t="n"/>
      <c r="M262" s="37" t="n">
        <v>46189</v>
      </c>
      <c r="N262" s="35" t="n"/>
      <c r="O262" s="35" t="n"/>
      <c r="P262" s="35" t="n"/>
      <c r="Q262" s="35" t="n"/>
      <c r="R262" s="35" t="n"/>
      <c r="S262" s="35" t="n"/>
      <c r="T262" s="35" t="inlineStr">
        <is>
          <t>Y</t>
        </is>
      </c>
      <c r="U262" s="36" t="inlineStr">
        <is>
          <t xml:space="preserve">FUENTE: Deviation.csv, filas CSV 1050-1052; Workflow=Expired; Date Released=2026-04-09; Date Originated=2026-03-19; Site=FJZP, Plant=MCGA (sin convertir automaticamente a FJZ); 3 filas PN; APROBACION Y APLICABILIDAD NO VALIDADAS. </t>
        </is>
      </c>
    </row>
    <row r="263">
      <c r="A263" s="43" t="inlineStr">
        <is>
          <t>DEV-CTANJZ05155</t>
        </is>
      </c>
      <c r="B263" s="43" t="inlineStr">
        <is>
          <t>DEVIATION</t>
        </is>
      </c>
      <c r="C263" s="43" t="inlineStr">
        <is>
          <t>D610128</t>
        </is>
      </c>
      <c r="D263" s="43" t="n"/>
      <c r="E263" s="33" t="inlineStr">
        <is>
          <t>D610128 Allow FJZ to use DC  2231 for programmed component  17-13481-01 - Raw part 15-102934-01 (MPN# CY7C64215-28PVXI). The component was approved to risk buy and now will be used after programming. FJZ plans to purchase 1800 pcs of raw part 15-102934-01</t>
        </is>
      </c>
      <c r="F263" s="43" t="inlineStr">
        <is>
          <t>Pending</t>
        </is>
      </c>
      <c r="G263" s="43" t="inlineStr">
        <is>
          <t>Expired</t>
        </is>
      </c>
      <c r="H263" s="43" t="inlineStr">
        <is>
          <t>Pending Review</t>
        </is>
      </c>
      <c r="I263" s="43" t="inlineStr">
        <is>
          <t>STBU</t>
        </is>
      </c>
      <c r="J263" s="43" t="inlineStr">
        <is>
          <t>CTANJZ05155</t>
        </is>
      </c>
      <c r="K263" s="32" t="n"/>
      <c r="L263" s="32" t="n"/>
      <c r="M263" s="32" t="n">
        <v>46189</v>
      </c>
      <c r="N263" s="43" t="n"/>
      <c r="O263" s="43" t="n"/>
      <c r="P263" s="43" t="n"/>
      <c r="Q263" s="43" t="n"/>
      <c r="R263" s="43" t="n"/>
      <c r="S263" s="43" t="n"/>
      <c r="T263" s="43" t="inlineStr">
        <is>
          <t>Y</t>
        </is>
      </c>
      <c r="U263" s="33" t="inlineStr">
        <is>
          <t xml:space="preserve">FUENTE: Deviation.csv, filas CSV 521-522; Workflow=Expired; Date Released=2026-04-17; Date Originated=2026-03-19; Site=FJZP, Plant=MCGA (sin convertir automaticamente a FJZ); 2 filas PN; APROBACION Y APLICABILIDAD NO VALIDADAS. </t>
        </is>
      </c>
    </row>
    <row r="264">
      <c r="A264" s="35" t="inlineStr">
        <is>
          <t>DEV-CTANJZ05156</t>
        </is>
      </c>
      <c r="B264" s="35" t="inlineStr">
        <is>
          <t>DEVIATION</t>
        </is>
      </c>
      <c r="C264" s="35" t="inlineStr">
        <is>
          <t>D608513</t>
        </is>
      </c>
      <c r="D264" s="35" t="n"/>
      <c r="E264" s="36" t="inlineStr">
        <is>
          <t>D608513 Please see PageThree for details</t>
        </is>
      </c>
      <c r="F264" s="35" t="inlineStr">
        <is>
          <t>Pending</t>
        </is>
      </c>
      <c r="G264" s="35" t="inlineStr">
        <is>
          <t>Expired</t>
        </is>
      </c>
      <c r="H264" s="35" t="inlineStr">
        <is>
          <t>Pending Review</t>
        </is>
      </c>
      <c r="I264" s="35" t="inlineStr">
        <is>
          <t>CRBU</t>
        </is>
      </c>
      <c r="J264" s="35" t="inlineStr">
        <is>
          <t>CTANJZ05156</t>
        </is>
      </c>
      <c r="K264" s="37" t="n"/>
      <c r="L264" s="37" t="n"/>
      <c r="M264" s="37" t="n">
        <v>46189</v>
      </c>
      <c r="N264" s="35" t="n"/>
      <c r="O264" s="35" t="n"/>
      <c r="P264" s="35" t="n"/>
      <c r="Q264" s="35" t="n"/>
      <c r="R264" s="35" t="n"/>
      <c r="S264" s="35" t="n"/>
      <c r="T264" s="35" t="inlineStr">
        <is>
          <t>Y</t>
        </is>
      </c>
      <c r="U264" s="36" t="inlineStr">
        <is>
          <t xml:space="preserve">FUENTE: Deviation.csv, filas CSV 1047-1049; Workflow=Expired; Date Released=2026-04-18; Date Originated=2026-03-19; Site=FJZP, Plant=MCGA (sin convertir automaticamente a FJZ); 3 filas PN; APROBACION Y APLICABILIDAD NO VALIDADAS. </t>
        </is>
      </c>
    </row>
    <row r="265">
      <c r="A265" s="43" t="inlineStr">
        <is>
          <t>DEV-CTANJZ05157</t>
        </is>
      </c>
      <c r="B265" s="43" t="inlineStr">
        <is>
          <t>DEVIATION</t>
        </is>
      </c>
      <c r="C265" s="43" t="inlineStr">
        <is>
          <t>D610246</t>
        </is>
      </c>
      <c r="D265" s="43" t="n"/>
      <c r="E265" s="33" t="inlineStr">
        <is>
          <t>D610246 Title: FVN and FJZ shall start to source 28-103096-06 PCB; PICTORIS MBCVEBU;Pictoris73-103103-05 PCA;PICTORIS MB73-103603-05 PCA;PICTORIS MB NRIn BOMs:28-103096-05 PCB;PICTORIS MBFVN and FJZ shall stop sourcing version -05; and instead immediately start sourcing28-103096-06 PCB;PICTORIS MB</t>
        </is>
      </c>
      <c r="F265" s="43" t="inlineStr">
        <is>
          <t>Pending</t>
        </is>
      </c>
      <c r="G265" s="43" t="inlineStr">
        <is>
          <t>Expired</t>
        </is>
      </c>
      <c r="H265" s="43" t="inlineStr">
        <is>
          <t>Pending Review</t>
        </is>
      </c>
      <c r="I265" s="43" t="inlineStr">
        <is>
          <t>CVEBU</t>
        </is>
      </c>
      <c r="J265" s="43" t="inlineStr">
        <is>
          <t>CTANJZ05157</t>
        </is>
      </c>
      <c r="K265" s="32" t="n"/>
      <c r="L265" s="32" t="n"/>
      <c r="M265" s="32" t="n">
        <v>46190</v>
      </c>
      <c r="N265" s="43" t="n"/>
      <c r="O265" s="43" t="n"/>
      <c r="P265" s="43" t="n"/>
      <c r="Q265" s="43" t="n"/>
      <c r="R265" s="43" t="n"/>
      <c r="S265" s="43" t="n"/>
      <c r="T265" s="43" t="inlineStr">
        <is>
          <t>Y</t>
        </is>
      </c>
      <c r="U265" s="33" t="inlineStr">
        <is>
          <t xml:space="preserve">FUENTE: Deviation.csv, filas CSV 1835-1837; Workflow=Expired; Date Released=2026-04-01; Date Originated=2026-03-19; Site=FJZP, Plant=MCGA (sin convertir automaticamente a FJZ); 3 filas PN; APROBACION Y APLICABILIDAD NO VALIDADAS. </t>
        </is>
      </c>
      <c r="V265" s="49" t="inlineStr">
        <is>
          <t>PICTORIS: sustituir el PCB 28-103096-05 por la revisión 28-103096-06 en las BOM de las PCBAs 73-103103-05 y 73-103603-05. El documento indica que FVN y FJZ dejen de abastecer la revisión -05 y comiencen a abastecer la -06.</t>
        </is>
      </c>
      <c r="W265" s="49" t="inlineStr">
        <is>
          <t>D610246: FVN y FJZ deben comenzar a abastecer el PCB 28-103096-06 para Pictoris. Productos afectados: PCBA 73-103103-05 (tarjeta principal Pictoris) y PCBA 73-103603-05 (tarjeta principal Pictoris, variante NR). En las BOM que actualmente incluyen el PCB 28-103096-05, dejar de abastecer la versión -05 y comenzar a abastecer de inmediato el PCB 28-103096-06. La indicación describe el cambio histórico; su estado actual debe verificarse en el documento del customer.</t>
        </is>
      </c>
      <c r="X265" s="50" t="inlineStr">
        <is>
          <t>Traduccion para consulta</t>
        </is>
      </c>
    </row>
    <row r="266">
      <c r="A266" s="35" t="inlineStr">
        <is>
          <t>DEV-CTANJZ05159</t>
        </is>
      </c>
      <c r="B266" s="35" t="inlineStr">
        <is>
          <t>DEVIATION</t>
        </is>
      </c>
      <c r="C266" s="35" t="inlineStr">
        <is>
          <t>D609704</t>
        </is>
      </c>
      <c r="D266" s="35" t="n"/>
      <c r="E266" s="36" t="inlineStr">
        <is>
          <t>D609704 Allow FJZ to rename  Samsung Semiconductors MPN MTA18ASF2G72PDZ-3G2R1  from the 15-105176-01    as 15-108743-01; in the PIDs:MEM-C85G2-32GBMEM-C85G2-32GB=</t>
        </is>
      </c>
      <c r="F266" s="35" t="inlineStr">
        <is>
          <t>Pending</t>
        </is>
      </c>
      <c r="G266" s="35" t="inlineStr">
        <is>
          <t>Expired</t>
        </is>
      </c>
      <c r="H266" s="35" t="inlineStr">
        <is>
          <t>Pending Review</t>
        </is>
      </c>
      <c r="I266" s="35" t="inlineStr">
        <is>
          <t>SRGBU</t>
        </is>
      </c>
      <c r="J266" s="35" t="inlineStr">
        <is>
          <t>CTANJZ05159</t>
        </is>
      </c>
      <c r="K266" s="37" t="n"/>
      <c r="L266" s="37" t="n"/>
      <c r="M266" s="37" t="n">
        <v>46190</v>
      </c>
      <c r="N266" s="35" t="n"/>
      <c r="O266" s="35" t="n"/>
      <c r="P266" s="35" t="n"/>
      <c r="Q266" s="35" t="n"/>
      <c r="R266" s="35" t="n"/>
      <c r="S266" s="35" t="n"/>
      <c r="T266" s="35" t="inlineStr">
        <is>
          <t>Y</t>
        </is>
      </c>
      <c r="U266" s="36" t="inlineStr">
        <is>
          <t xml:space="preserve">FUENTE: Deviation.csv, filas CSV 1124-1124; Workflow=Expired; Date Released=2026-04-16; Date Originated=2026-03-20; Site=FJZP, Plant=MCGA (sin convertir automaticamente a FJZ); 1 filas PN; APROBACION Y APLICABILIDAD NO VALIDADAS. </t>
        </is>
      </c>
    </row>
    <row r="267">
      <c r="A267" s="43" t="inlineStr">
        <is>
          <t>DEV-CTANJZ05160</t>
        </is>
      </c>
      <c r="B267" s="43" t="inlineStr">
        <is>
          <t>DEVIATION</t>
        </is>
      </c>
      <c r="C267" s="43" t="inlineStr">
        <is>
          <t>D610237</t>
        </is>
      </c>
      <c r="D267" s="43" t="n"/>
      <c r="E267" s="33" t="inlineStr">
        <is>
          <t>D610237 FJZ can reprogram on site the part 17-102457-07 to prevent decommit 273 units (File is in the attachments). 5 units needs to be test in ICT/ P2 and provide the test logs to Cisco EPE; TDE; TE and ME to confirm everything is correct</t>
        </is>
      </c>
      <c r="F267" s="43" t="inlineStr">
        <is>
          <t>Pending</t>
        </is>
      </c>
      <c r="G267" s="43" t="inlineStr">
        <is>
          <t>Expired</t>
        </is>
      </c>
      <c r="H267" s="43" t="inlineStr">
        <is>
          <t>Pending Review</t>
        </is>
      </c>
      <c r="I267" s="43" t="inlineStr">
        <is>
          <t>STBU</t>
        </is>
      </c>
      <c r="J267" s="43" t="inlineStr">
        <is>
          <t>CTANJZ05160</t>
        </is>
      </c>
      <c r="K267" s="32" t="n"/>
      <c r="L267" s="32" t="n"/>
      <c r="M267" s="32" t="n">
        <v>46190</v>
      </c>
      <c r="N267" s="43" t="n"/>
      <c r="O267" s="43" t="n"/>
      <c r="P267" s="43" t="n"/>
      <c r="Q267" s="43" t="n"/>
      <c r="R267" s="43" t="n"/>
      <c r="S267" s="43" t="n"/>
      <c r="T267" s="43" t="inlineStr">
        <is>
          <t>Y</t>
        </is>
      </c>
      <c r="U267" s="33" t="inlineStr">
        <is>
          <t xml:space="preserve">FUENTE: Deviation.csv, filas CSV 1125-1128; Workflow=Expired; Date Released=2026-04-18; Date Originated=2026-03-20; Site=FJZP, Plant=MCGA (sin convertir automaticamente a FJZ); 4 filas PN; APROBACION Y APLICABILIDAD NO VALIDADAS. </t>
        </is>
      </c>
    </row>
    <row r="268">
      <c r="A268" s="35" t="inlineStr">
        <is>
          <t>DEV-CTANJZ05166</t>
        </is>
      </c>
      <c r="B268" s="35" t="inlineStr">
        <is>
          <t>DEVIATION</t>
        </is>
      </c>
      <c r="C268" s="35" t="inlineStr">
        <is>
          <t>DP525902</t>
        </is>
      </c>
      <c r="D268" s="35" t="n"/>
      <c r="E268" s="36" t="inlineStr">
        <is>
          <t>DP525902his deviation will be used for the following instructions for Woodside Park SKU A &amp; B Pre-Pilot build.Pre Pilot A/B build Plan:35 SKU A-19 have been built and tested or in process of being tested. These units will have PSU; FANs; SSD to be shipped as extra accessory. DO NOT SHIP WITH GOLD ACCESSORY-16 SKU A units will be built and tested with the raw material (accessory list material) and will not use gold material31 SKU B-20 have been built and tested or in process of being tested. These units will have PSU; FANs; SSD to be shipped as extra accessory. DO NOT SHIP WITH GOLD ACCESSORY-11 SKU B units will be built and tested with the raw material (accessory list material) and will not use gold material</t>
        </is>
      </c>
      <c r="F268" s="35" t="inlineStr">
        <is>
          <t>Pending</t>
        </is>
      </c>
      <c r="G268" s="35" t="inlineStr">
        <is>
          <t>Expired</t>
        </is>
      </c>
      <c r="H268" s="35" t="inlineStr">
        <is>
          <t>Pending Review</t>
        </is>
      </c>
      <c r="I268" s="35" t="inlineStr">
        <is>
          <t>STBU</t>
        </is>
      </c>
      <c r="J268" s="35" t="inlineStr">
        <is>
          <t>CTANJZ05166</t>
        </is>
      </c>
      <c r="K268" s="37" t="n"/>
      <c r="L268" s="37" t="n"/>
      <c r="M268" s="37" t="n">
        <v>46166</v>
      </c>
      <c r="N268" s="35" t="n"/>
      <c r="O268" s="35" t="n"/>
      <c r="P268" s="35" t="n"/>
      <c r="Q268" s="35" t="n"/>
      <c r="R268" s="35" t="n"/>
      <c r="S268" s="35" t="n"/>
      <c r="T268" s="35" t="inlineStr">
        <is>
          <t>Y</t>
        </is>
      </c>
      <c r="U268" s="36" t="inlineStr">
        <is>
          <t xml:space="preserve">FUENTE: Deviation.csv, filas CSV 1084-1087; Workflow=Expired; Date Released=2026-04-24; Date Originated=2026-03-26; Site=FJZP, Plant=MCGA (sin convertir automaticamente a FJZ); 4 filas PN; APROBACION Y APLICABILIDAD NO VALIDADAS. </t>
        </is>
      </c>
    </row>
    <row r="269">
      <c r="A269" s="43" t="inlineStr">
        <is>
          <t>DEV-CTANJZ05167</t>
        </is>
      </c>
      <c r="B269" s="43" t="inlineStr">
        <is>
          <t>DEVIATION</t>
        </is>
      </c>
      <c r="C269" s="43" t="inlineStr">
        <is>
          <t>D610433</t>
        </is>
      </c>
      <c r="D269" s="43" t="n"/>
      <c r="E269" s="33" t="inlineStr">
        <is>
          <t>D610433 NPI; CVEBU; Tyne Pilot 1 Build; Use of ADI IPQ MPN under 15-110893-01Affected items68-104853-0168-104854-0173-103698-0673-103940-0615-110893-0124-101509-01Deviation- For Pilot 2 build at FJZ and onwords; FJZ is allowed    - and must use IPQ MPN ADV7537JBCZ-10 under 15-110893-01    - to use IPQ MPN RT1GSCMCS-RU under 24-101509-01 as long as only Lot Code D5900150005 or later lot codes are used.Comment:Author of this deviation does not know if Pilot 1 build will consists of both Radio and Non-Radio units; hence allowing usage in both assemblies.</t>
        </is>
      </c>
      <c r="F269" s="43" t="inlineStr">
        <is>
          <t>Pending</t>
        </is>
      </c>
      <c r="G269" s="43" t="inlineStr">
        <is>
          <t>Expired</t>
        </is>
      </c>
      <c r="H269" s="43" t="inlineStr">
        <is>
          <t>Pending Review</t>
        </is>
      </c>
      <c r="I269" s="43" t="inlineStr">
        <is>
          <t>CVEBU</t>
        </is>
      </c>
      <c r="J269" s="43" t="inlineStr">
        <is>
          <t>CTANJZ05167</t>
        </is>
      </c>
      <c r="K269" s="32" t="n"/>
      <c r="L269" s="32" t="n"/>
      <c r="M269" s="32" t="n">
        <v>46197</v>
      </c>
      <c r="N269" s="43" t="n"/>
      <c r="O269" s="43" t="n"/>
      <c r="P269" s="43" t="n"/>
      <c r="Q269" s="43" t="n"/>
      <c r="R269" s="43" t="n"/>
      <c r="S269" s="43" t="n"/>
      <c r="T269" s="43" t="inlineStr">
        <is>
          <t>Y</t>
        </is>
      </c>
      <c r="U269" s="33" t="inlineStr">
        <is>
          <t xml:space="preserve">FUENTE: Deviation.csv, filas CSV 529-536; Workflow=Expired; Date Released=2026-04-17; Date Originated=2026-03-27; Site=FJZP, Plant=MCGA (sin convertir automaticamente a FJZ); 8 filas PN; APROBACION Y APLICABILIDAD NO VALIDADAS. </t>
        </is>
      </c>
    </row>
    <row r="270">
      <c r="A270" s="35" t="inlineStr">
        <is>
          <t>DEV-CTANJZ05169</t>
        </is>
      </c>
      <c r="B270" s="35" t="inlineStr">
        <is>
          <t>DEVIATION</t>
        </is>
      </c>
      <c r="C270" s="35" t="inlineStr">
        <is>
          <t>D610106</t>
        </is>
      </c>
      <c r="D270" s="35" t="n"/>
      <c r="E270" s="36" t="inlineStr">
        <is>
          <t>D610106 NGFWBU GQR: GQR000081537 Case: AQR003508207 CPN: 15-103518-01; MFR NAME: TOSHIBA; MPN: 74AVC1T45FU;LCF(GTThis deviation instructs Foxconn Juarez (FJZ) to execute a sample buy and conduct a Production Qual build for the following part(s):BU: NGFWBUPF: FPRHIGHAffected TAN(s):68-103466-06Affected Item(s): 73-102435-05CPN: 15-103518-01; MFR NAME: TOSHIBA; MPN: 74AVC1T45FU;LCF(GTBuild Qty: 10Ref Des: U228To execute the above AQR at CM site; should be tested on Model A.</t>
        </is>
      </c>
      <c r="F270" s="35" t="inlineStr">
        <is>
          <t>Pending</t>
        </is>
      </c>
      <c r="G270" s="35" t="inlineStr">
        <is>
          <t>Expired</t>
        </is>
      </c>
      <c r="H270" s="35" t="inlineStr">
        <is>
          <t>Pending Review</t>
        </is>
      </c>
      <c r="I270" s="35" t="inlineStr">
        <is>
          <t>STBU</t>
        </is>
      </c>
      <c r="J270" s="35" t="inlineStr">
        <is>
          <t>CTANJZ05169</t>
        </is>
      </c>
      <c r="K270" s="37" t="n"/>
      <c r="L270" s="37" t="n"/>
      <c r="M270" s="37" t="n">
        <v>46198</v>
      </c>
      <c r="N270" s="35" t="n"/>
      <c r="O270" s="35" t="n"/>
      <c r="P270" s="35" t="n"/>
      <c r="Q270" s="35" t="n"/>
      <c r="R270" s="35" t="n"/>
      <c r="S270" s="35" t="n"/>
      <c r="T270" s="35" t="inlineStr">
        <is>
          <t>Y</t>
        </is>
      </c>
      <c r="U270" s="36" t="inlineStr">
        <is>
          <t xml:space="preserve">FUENTE: Deviation.csv, filas CSV 171-1506; Workflow=Expired; Date Released=2026-04-24; Date Originated=2026-03-30; Site=FJZP, Plant=MCGA (sin convertir automaticamente a FJZ); 4 filas PN; APROBACION Y APLICABILIDAD NO VALIDADAS. </t>
        </is>
      </c>
    </row>
    <row r="271">
      <c r="A271" s="43" t="inlineStr">
        <is>
          <t>DEV-CTANJZ05171</t>
        </is>
      </c>
      <c r="B271" s="43" t="inlineStr">
        <is>
          <t>DEVIATION</t>
        </is>
      </c>
      <c r="C271" s="43" t="inlineStr">
        <is>
          <t>D610166</t>
        </is>
      </c>
      <c r="D271" s="43" t="n"/>
      <c r="E271" s="33" t="inlineStr">
        <is>
          <t>D610166 NGFWBU GQR: GQR000076808 Case: AQR003149321 CPN: 15-110393-01; MFR NAME: MICRON TECHNOLOGY; MPN: MTC20C2085S1TC56BD1This deviation instructs Foxconn Juarez (FJZ) to execute a sample buy and conduct a Production Qual build for the following part(s):BU: NGFWBUPF: CSF1200Affected TAN(s):68-104744-04Affected Item(s): 74-139982-01CPN: 15-110393-01; MFR NAME: MICRON TECHNOLOGY; MPN: MTC20C2085S1TC56BD1Build Qty: 5Ref Des: DIMM_MOD0;DIMM_MOD1To execute the above AQR at CM site; should be tested on Model A.</t>
        </is>
      </c>
      <c r="F271" s="43" t="inlineStr">
        <is>
          <t>Pending</t>
        </is>
      </c>
      <c r="G271" s="43" t="inlineStr">
        <is>
          <t>Expired</t>
        </is>
      </c>
      <c r="H271" s="43" t="inlineStr">
        <is>
          <t>Pending Review</t>
        </is>
      </c>
      <c r="I271" s="43" t="inlineStr">
        <is>
          <t>STBU</t>
        </is>
      </c>
      <c r="J271" s="43" t="inlineStr">
        <is>
          <t>CTANJZ05171</t>
        </is>
      </c>
      <c r="K271" s="32" t="n"/>
      <c r="L271" s="32" t="n"/>
      <c r="M271" s="32" t="n">
        <v>46198</v>
      </c>
      <c r="N271" s="43" t="n"/>
      <c r="O271" s="43" t="n"/>
      <c r="P271" s="43" t="n"/>
      <c r="Q271" s="43" t="n"/>
      <c r="R271" s="43" t="n"/>
      <c r="S271" s="43" t="n"/>
      <c r="T271" s="43" t="inlineStr">
        <is>
          <t>Y</t>
        </is>
      </c>
      <c r="U271" s="33" t="inlineStr">
        <is>
          <t xml:space="preserve">FUENTE: Deviation.csv, filas CSV 173-1508; Workflow=Expired; Date Released=2026-04-24; Date Originated=2026-03-30; Site=FJZP, Plant=MCGA (sin convertir automaticamente a FJZ); 4 filas PN; APROBACION Y APLICABILIDAD NO VALIDADAS. </t>
        </is>
      </c>
    </row>
    <row r="272">
      <c r="A272" s="35" t="inlineStr">
        <is>
          <t>DEV-CTANJZ05172</t>
        </is>
      </c>
      <c r="B272" s="35" t="inlineStr">
        <is>
          <t>DEVIATION</t>
        </is>
      </c>
      <c r="C272" s="35" t="inlineStr">
        <is>
          <t>D610410</t>
        </is>
      </c>
      <c r="D272" s="35" t="n"/>
      <c r="E272" s="36" t="inlineStr">
        <is>
          <t>D610410 Allow to FJZ to put the accessories in a different place of the box (not specified in the drawing 62-116056-01); to the box can be closed correctly; with the condition to use double tape in the top of the box to ensure the box will not open</t>
        </is>
      </c>
      <c r="F272" s="35" t="inlineStr">
        <is>
          <t>Pending</t>
        </is>
      </c>
      <c r="G272" s="35" t="inlineStr">
        <is>
          <t>Expired</t>
        </is>
      </c>
      <c r="H272" s="35" t="inlineStr">
        <is>
          <t>Pending Review</t>
        </is>
      </c>
      <c r="I272" s="35" t="inlineStr">
        <is>
          <t>STBU</t>
        </is>
      </c>
      <c r="J272" s="35" t="inlineStr">
        <is>
          <t>CTANJZ05172</t>
        </is>
      </c>
      <c r="K272" s="37" t="n"/>
      <c r="L272" s="37" t="n"/>
      <c r="M272" s="37" t="n">
        <v>46199</v>
      </c>
      <c r="N272" s="35" t="n"/>
      <c r="O272" s="35" t="n"/>
      <c r="P272" s="35" t="n"/>
      <c r="Q272" s="35" t="n"/>
      <c r="R272" s="35" t="n"/>
      <c r="S272" s="35" t="n"/>
      <c r="T272" s="35" t="inlineStr">
        <is>
          <t>Y</t>
        </is>
      </c>
      <c r="U272" s="36" t="inlineStr">
        <is>
          <t xml:space="preserve">FUENTE: Deviation.csv, filas CSV 1067-1067; Workflow=Expired; Date Released=2026-04-24; Date Originated=2026-03-30; Site=FJZP, Plant=MCGA (sin convertir automaticamente a FJZ); 1 filas PN; APROBACION Y APLICABILIDAD NO VALIDADAS. </t>
        </is>
      </c>
    </row>
    <row r="273">
      <c r="A273" s="43" t="inlineStr">
        <is>
          <t>DEV-CTANJZ05173</t>
        </is>
      </c>
      <c r="B273" s="43" t="inlineStr">
        <is>
          <t>DEVIATION</t>
        </is>
      </c>
      <c r="C273" s="43" t="inlineStr">
        <is>
          <t>D609995</t>
        </is>
      </c>
      <c r="D273" s="43" t="n"/>
      <c r="E273" s="33" t="inlineStr">
        <is>
          <t>D609995FJZ to rotate the placement of the quack label and serial number label on the PCB to be able to read the serial after the heatsink is assembled.</t>
        </is>
      </c>
      <c r="F273" s="43" t="inlineStr">
        <is>
          <t>Pending</t>
        </is>
      </c>
      <c r="G273" s="43" t="inlineStr">
        <is>
          <t>Expired</t>
        </is>
      </c>
      <c r="H273" s="43" t="inlineStr">
        <is>
          <t>Pending Review</t>
        </is>
      </c>
      <c r="I273" s="43" t="inlineStr">
        <is>
          <t>STBU</t>
        </is>
      </c>
      <c r="J273" s="43" t="inlineStr">
        <is>
          <t>CTANJZ05173</t>
        </is>
      </c>
      <c r="K273" s="32" t="n"/>
      <c r="L273" s="32" t="n"/>
      <c r="M273" s="32" t="n">
        <v>46198</v>
      </c>
      <c r="N273" s="43" t="n"/>
      <c r="O273" s="43" t="n"/>
      <c r="P273" s="43" t="n"/>
      <c r="Q273" s="43" t="n"/>
      <c r="R273" s="43" t="n"/>
      <c r="S273" s="43" t="n"/>
      <c r="T273" s="43" t="inlineStr">
        <is>
          <t>Y</t>
        </is>
      </c>
      <c r="U273" s="33" t="inlineStr">
        <is>
          <t xml:space="preserve">FUENTE: Deviation.csv, filas CSV 1824-1827; Workflow=Expired; Date Released=2026-04-24; Date Originated=2026-03-30; Site=FJZP, Plant=MCGA (sin convertir automaticamente a FJZ); 4 filas PN; APROBACION Y APLICABILIDAD NO VALIDADAS. </t>
        </is>
      </c>
    </row>
    <row r="274">
      <c r="A274" s="35" t="inlineStr">
        <is>
          <t>DEV-CTANJZ05174</t>
        </is>
      </c>
      <c r="B274" s="35" t="inlineStr">
        <is>
          <t>DEVIATION</t>
        </is>
      </c>
      <c r="C274" s="35" t="inlineStr">
        <is>
          <t>D609996</t>
        </is>
      </c>
      <c r="D274" s="35" t="n"/>
      <c r="E274" s="36" t="inlineStr">
        <is>
          <t>D609996 FJZ is requesting to use the 15-104142-01 instead of the -02 version (qty=908)</t>
        </is>
      </c>
      <c r="F274" s="35" t="inlineStr">
        <is>
          <t>Pending</t>
        </is>
      </c>
      <c r="G274" s="35" t="inlineStr">
        <is>
          <t>Expired</t>
        </is>
      </c>
      <c r="H274" s="35" t="inlineStr">
        <is>
          <t>Pending Review</t>
        </is>
      </c>
      <c r="I274" s="35" t="inlineStr">
        <is>
          <t>STBU</t>
        </is>
      </c>
      <c r="J274" s="35" t="inlineStr">
        <is>
          <t>CTANJZ05174</t>
        </is>
      </c>
      <c r="K274" s="37" t="n"/>
      <c r="L274" s="37" t="n"/>
      <c r="M274" s="37" t="n">
        <v>46198</v>
      </c>
      <c r="N274" s="35" t="n"/>
      <c r="O274" s="35" t="n"/>
      <c r="P274" s="35" t="n"/>
      <c r="Q274" s="35" t="n"/>
      <c r="R274" s="35" t="n"/>
      <c r="S274" s="35" t="n"/>
      <c r="T274" s="35" t="inlineStr">
        <is>
          <t>Y</t>
        </is>
      </c>
      <c r="U274" s="36" t="inlineStr">
        <is>
          <t xml:space="preserve">FUENTE: Deviation.csv, filas CSV 574-576; Workflow=Expired; Date Released=2026-04-18; Date Originated=2026-03-30; Site=FJZP, Plant=MCGA (sin convertir automaticamente a FJZ); 3 filas PN; APROBACION Y APLICABILIDAD NO VALIDADAS. </t>
        </is>
      </c>
    </row>
    <row r="275">
      <c r="A275" s="43" t="inlineStr">
        <is>
          <t>DEV-CTANJZ05175</t>
        </is>
      </c>
      <c r="B275" s="43" t="inlineStr">
        <is>
          <t>DEVIATION</t>
        </is>
      </c>
      <c r="C275" s="43" t="inlineStr">
        <is>
          <t>D610401</t>
        </is>
      </c>
      <c r="D275" s="43" t="n"/>
      <c r="E275" s="33" t="inlineStr">
        <is>
          <t>D610401 CRBU:8000 - CRBU- LS4; LS8 &amp; LS18 - ASIC - Replacing the 08-1057 with 08-100210-01CPN :  08-1057-xxAlternate CPN : 08-100210-01Product : LS4; LS8; &amp; LS181. Approve FJZ and FVN to build LS4;LS8 &amp; LS18 boards with the 08-100210-01 part in place of 08-1057-xx2. Run regular manufacturing qual and ship out on passing.Note : Approved to build any production versions and revisions using this deviation.</t>
        </is>
      </c>
      <c r="F275" s="43" t="inlineStr">
        <is>
          <t>Pending</t>
        </is>
      </c>
      <c r="G275" s="43" t="inlineStr">
        <is>
          <t>Expired</t>
        </is>
      </c>
      <c r="H275" s="43" t="inlineStr">
        <is>
          <t>Pending Review</t>
        </is>
      </c>
      <c r="I275" s="43" t="inlineStr">
        <is>
          <t>CRBU</t>
        </is>
      </c>
      <c r="J275" s="43" t="inlineStr">
        <is>
          <t>CTANJZ05175</t>
        </is>
      </c>
      <c r="K275" s="32" t="n"/>
      <c r="L275" s="32" t="n"/>
      <c r="M275" s="32" t="n">
        <v>46201</v>
      </c>
      <c r="N275" s="43" t="n"/>
      <c r="O275" s="43" t="n"/>
      <c r="P275" s="43" t="n"/>
      <c r="Q275" s="43" t="n"/>
      <c r="R275" s="43" t="n"/>
      <c r="S275" s="43" t="n"/>
      <c r="T275" s="43" t="inlineStr">
        <is>
          <t>Y</t>
        </is>
      </c>
      <c r="U275" s="33" t="inlineStr">
        <is>
          <t xml:space="preserve">FUENTE: Deviation.csv, filas CSV 1118-1118; Workflow=Expired; Date Released=2026-05-01; Date Originated=2026-03-31; Site=FJZP, Plant=MCGA (sin convertir automaticamente a FJZ); 1 filas PN; APROBACION Y APLICABILIDAD NO VALIDADAS. </t>
        </is>
      </c>
    </row>
    <row r="276">
      <c r="A276" s="35" t="inlineStr">
        <is>
          <t>DEV-CTANJZ05176</t>
        </is>
      </c>
      <c r="B276" s="35" t="inlineStr">
        <is>
          <t>DEVIATION</t>
        </is>
      </c>
      <c r="C276" s="35" t="inlineStr">
        <is>
          <t>D610506</t>
        </is>
      </c>
      <c r="D276" s="35" t="n"/>
      <c r="E276" s="36" t="inlineStr">
        <is>
          <t>D610506FJZ to reprogram in ICT the Renesas part 17-102052-01 for TPK Low and TPK HighFJZ to reprogram:73-20249-06 --&gt; 1200pcs73-20247-06 --&gt; 600pcsSocket to arrive on April 09</t>
        </is>
      </c>
      <c r="F276" s="35" t="inlineStr">
        <is>
          <t>Pending</t>
        </is>
      </c>
      <c r="G276" s="35" t="inlineStr">
        <is>
          <t>Expired</t>
        </is>
      </c>
      <c r="H276" s="35" t="inlineStr">
        <is>
          <t>Pending Review</t>
        </is>
      </c>
      <c r="I276" s="35" t="inlineStr">
        <is>
          <t>STBU</t>
        </is>
      </c>
      <c r="J276" s="35" t="inlineStr">
        <is>
          <t>CTANJZ05176</t>
        </is>
      </c>
      <c r="K276" s="37" t="n"/>
      <c r="L276" s="37" t="n"/>
      <c r="M276" s="37" t="n">
        <v>46201</v>
      </c>
      <c r="N276" s="35" t="n"/>
      <c r="O276" s="35" t="n"/>
      <c r="P276" s="35" t="n"/>
      <c r="Q276" s="35" t="n"/>
      <c r="R276" s="35" t="n"/>
      <c r="S276" s="35" t="n"/>
      <c r="T276" s="35" t="inlineStr">
        <is>
          <t>Y</t>
        </is>
      </c>
      <c r="U276" s="36" t="inlineStr">
        <is>
          <t xml:space="preserve">FUENTE: Deviation.csv, filas CSV 1119-1121; Workflow=Expired; Date Released=2026-04-24; Date Originated=2026-03-31; Site=FJZP, Plant=MCGA (sin convertir automaticamente a FJZ); 3 filas PN; APROBACION Y APLICABILIDAD NO VALIDADAS. </t>
        </is>
      </c>
    </row>
    <row r="277">
      <c r="A277" s="43" t="inlineStr">
        <is>
          <t>DEV-CTANJZ05177</t>
        </is>
      </c>
      <c r="B277" s="43" t="inlineStr">
        <is>
          <t>DEVIATION</t>
        </is>
      </c>
      <c r="C277" s="43" t="inlineStr">
        <is>
          <t>D610236</t>
        </is>
      </c>
      <c r="D277" s="43" t="n"/>
      <c r="E277" s="33" t="inlineStr">
        <is>
          <t>D610236 CRBU: 8000- LS4;8;18 &amp; LC4;5;7; RP1 &amp; RP2 -25.4.1 FPD versions - SNT implementationLC4: 68-7406 ( latest production version &amp; revision )LC5: 68-7184 ( latest production version &amp; revision )LC7 :68-7393 ( latest production version &amp; revision )LS4 : 68-7261 ( latest production version &amp; revision )LS8 : 68-7195 ( latest production version &amp; revision )  LS18 : 68-7202 ( latest production version &amp; revision )RP1 : 68-6597 ( latest production version &amp; revision )RP2: 800-51482-01 ( latest production version &amp; revision )1.Deviation is to tract the first Serial number of the board which implement the 25.4.1 for all the products listed above.2.Changes between the XR 7.3.6 vs 25.4.1 is listed in the attachment.</t>
        </is>
      </c>
      <c r="F277" s="43" t="inlineStr">
        <is>
          <t>Pending</t>
        </is>
      </c>
      <c r="G277" s="43" t="inlineStr">
        <is>
          <t>Expired</t>
        </is>
      </c>
      <c r="H277" s="43" t="inlineStr">
        <is>
          <t>Pending Review</t>
        </is>
      </c>
      <c r="I277" s="43" t="inlineStr">
        <is>
          <t>CRBU</t>
        </is>
      </c>
      <c r="J277" s="43" t="inlineStr">
        <is>
          <t>CTANJZ05177</t>
        </is>
      </c>
      <c r="K277" s="32" t="n"/>
      <c r="L277" s="32" t="n"/>
      <c r="M277" s="32" t="n">
        <v>46201</v>
      </c>
      <c r="N277" s="43" t="n"/>
      <c r="O277" s="43" t="n"/>
      <c r="P277" s="43" t="n"/>
      <c r="Q277" s="43" t="n"/>
      <c r="R277" s="43" t="n"/>
      <c r="S277" s="43" t="n"/>
      <c r="T277" s="43" t="inlineStr">
        <is>
          <t>Y</t>
        </is>
      </c>
      <c r="U277" s="33" t="inlineStr">
        <is>
          <t xml:space="preserve">FUENTE: Deviation.csv, filas CSV 1069-1115; Workflow=Expired; Date Released=2026-05-20; Date Originated=2026-03-31; Site=FJZP, Plant=MCGA (sin convertir automaticamente a FJZ); 8 filas PN; APROBACION Y APLICABILIDAD NO VALIDADAS. </t>
        </is>
      </c>
    </row>
    <row r="278">
      <c r="A278" s="35" t="inlineStr">
        <is>
          <t>DEV-CTANJZ05178</t>
        </is>
      </c>
      <c r="B278" s="35" t="inlineStr">
        <is>
          <t>DEVIATION</t>
        </is>
      </c>
      <c r="C278" s="35" t="inlineStr">
        <is>
          <t>D609813</t>
        </is>
      </c>
      <c r="D278" s="35" t="n"/>
      <c r="E278" s="36" t="inlineStr">
        <is>
          <t>D609813 Allow FJZ to use under deviation the label 471-100986-01 as substitute while we receive the label 471-100989-01 for the Victoria DT product</t>
        </is>
      </c>
      <c r="F278" s="35" t="inlineStr">
        <is>
          <t>Pending</t>
        </is>
      </c>
      <c r="G278" s="35" t="inlineStr">
        <is>
          <t>Expired</t>
        </is>
      </c>
      <c r="H278" s="35" t="inlineStr">
        <is>
          <t>Pending Review</t>
        </is>
      </c>
      <c r="I278" s="35" t="inlineStr">
        <is>
          <t>STBU</t>
        </is>
      </c>
      <c r="J278" s="35" t="inlineStr">
        <is>
          <t>CTANJZ05178</t>
        </is>
      </c>
      <c r="K278" s="37" t="n"/>
      <c r="L278" s="37" t="n"/>
      <c r="M278" s="37" t="n">
        <v>46201</v>
      </c>
      <c r="N278" s="35" t="n"/>
      <c r="O278" s="35" t="n"/>
      <c r="P278" s="35" t="n"/>
      <c r="Q278" s="35" t="n"/>
      <c r="R278" s="35" t="n"/>
      <c r="S278" s="35" t="n"/>
      <c r="T278" s="35" t="inlineStr">
        <is>
          <t>Y</t>
        </is>
      </c>
      <c r="U278" s="36" t="inlineStr">
        <is>
          <t xml:space="preserve">FUENTE: Deviation.csv, filas CSV 1116-1117; Workflow=Expired; Date Released=2026-04-24; Date Originated=2026-03-31; Site=FJZP, Plant=MCGA (sin convertir automaticamente a FJZ); 2 filas PN; APROBACION Y APLICABILIDAD NO VALIDADAS. </t>
        </is>
      </c>
    </row>
    <row r="279">
      <c r="A279" s="43" t="inlineStr">
        <is>
          <t>DEV-CTANJZ05179</t>
        </is>
      </c>
      <c r="B279" s="43" t="inlineStr">
        <is>
          <t>DEVIATION</t>
        </is>
      </c>
      <c r="C279" s="43" t="inlineStr">
        <is>
          <t>D610254</t>
        </is>
      </c>
      <c r="D279" s="43" t="n"/>
      <c r="E279" s="33" t="inlineStr">
        <is>
          <t>D610254 CRBU: 8000- RP2-S -25.4.1 FPD versions - SNT implementationRP2-S ( latest production version and revision ) - 68-8066-011.Deviation is to tract the first Serial number of the board which implement the 25.4.1 for all the products listed above.2.Changes between the XR 7.3.6 vs 25.4.1 is listed in the attachment.</t>
        </is>
      </c>
      <c r="F279" s="43" t="inlineStr">
        <is>
          <t>Pending</t>
        </is>
      </c>
      <c r="G279" s="43" t="inlineStr">
        <is>
          <t>Expired</t>
        </is>
      </c>
      <c r="H279" s="43" t="inlineStr">
        <is>
          <t>Pending Review</t>
        </is>
      </c>
      <c r="I279" s="43" t="inlineStr">
        <is>
          <t>CRBU</t>
        </is>
      </c>
      <c r="J279" s="43" t="inlineStr">
        <is>
          <t>CTANJZ05179</t>
        </is>
      </c>
      <c r="K279" s="32" t="n"/>
      <c r="L279" s="32" t="n"/>
      <c r="M279" s="32" t="n">
        <v>46201</v>
      </c>
      <c r="N279" s="43" t="n"/>
      <c r="O279" s="43" t="n"/>
      <c r="P279" s="43" t="n"/>
      <c r="Q279" s="43" t="n"/>
      <c r="R279" s="43" t="n"/>
      <c r="S279" s="43" t="n"/>
      <c r="T279" s="43" t="inlineStr">
        <is>
          <t>Y</t>
        </is>
      </c>
      <c r="U279" s="33" t="inlineStr">
        <is>
          <t xml:space="preserve">FUENTE: Deviation.csv, filas CSV 1068-1068; Workflow=Expired; Date Released=2026-05-20; Date Originated=2026-03-31; Site=FJZP, Plant=MCGA (sin convertir automaticamente a FJZ); 1 filas PN; APROBACION Y APLICABILIDAD NO VALIDADAS. </t>
        </is>
      </c>
    </row>
    <row r="280">
      <c r="A280" s="35" t="inlineStr">
        <is>
          <t>DEV-CTANJZ05181</t>
        </is>
      </c>
      <c r="B280" s="35" t="inlineStr">
        <is>
          <t>DEVIATION</t>
        </is>
      </c>
      <c r="C280" s="35" t="inlineStr">
        <is>
          <t>D609526</t>
        </is>
      </c>
      <c r="D280" s="35" t="n"/>
      <c r="E280" s="36" t="inlineStr">
        <is>
          <t>D609526 IOTBU: Hellcat :PCBFAB: CPN# 28-101582-04:NDAA 851: Build and Test product using PCBFABs produced by non-China NDAA (SEA) friendly countries.Instructions:1. Foxconn is tasked to build QTY=10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73-101439-04Current CPN: 28-101582-04</t>
        </is>
      </c>
      <c r="F280" s="35" t="inlineStr">
        <is>
          <t>Pending</t>
        </is>
      </c>
      <c r="G280" s="35" t="inlineStr">
        <is>
          <t>Expired</t>
        </is>
      </c>
      <c r="H280" s="35" t="inlineStr">
        <is>
          <t>Pending Review</t>
        </is>
      </c>
      <c r="I280" s="35" t="inlineStr">
        <is>
          <t>IOTBU</t>
        </is>
      </c>
      <c r="J280" s="35" t="inlineStr">
        <is>
          <t>CTANJZ05181</t>
        </is>
      </c>
      <c r="K280" s="37" t="n"/>
      <c r="L280" s="37" t="n"/>
      <c r="M280" s="37" t="n">
        <v>46202</v>
      </c>
      <c r="N280" s="35" t="n"/>
      <c r="O280" s="35" t="n"/>
      <c r="P280" s="35" t="n"/>
      <c r="Q280" s="35" t="n"/>
      <c r="R280" s="35" t="n"/>
      <c r="S280" s="35" t="n"/>
      <c r="T280" s="35" t="inlineStr">
        <is>
          <t>Y</t>
        </is>
      </c>
      <c r="U280" s="36" t="inlineStr">
        <is>
          <t xml:space="preserve">FUENTE: Deviation.csv, filas CSV 59-134; Workflow=Expired; Date Released=2026-04-14; Date Originated=2026-04-01; Site=FJZP, Plant=MCGA (sin convertir automaticamente a FJZ); 6 filas PN; APROBACION Y APLICABILIDAD NO VALIDADAS. </t>
        </is>
      </c>
    </row>
    <row r="281">
      <c r="A281" s="43" t="inlineStr">
        <is>
          <t>DEV-CTANJZ05182</t>
        </is>
      </c>
      <c r="B281" s="43" t="inlineStr">
        <is>
          <t>DEVIATION</t>
        </is>
      </c>
      <c r="C281" s="43" t="inlineStr">
        <is>
          <t>D609527</t>
        </is>
      </c>
      <c r="D281" s="43" t="n"/>
      <c r="E281" s="33" t="inlineStr">
        <is>
          <t>D609527 IOTBU: Kitty Hawk: PCBFAB: CPN# 28-102878-03: NDAA 851: Build and Test product using PCBFABs produced by non-China NDAA (SEA) friendly countries.Instructions:1. Foxconn is tasked to build QTY=18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73-103098-03Current CPN: 28-102878-03</t>
        </is>
      </c>
      <c r="F281" s="43" t="inlineStr">
        <is>
          <t>Pending</t>
        </is>
      </c>
      <c r="G281" s="43" t="inlineStr">
        <is>
          <t>Expired</t>
        </is>
      </c>
      <c r="H281" s="43" t="inlineStr">
        <is>
          <t>Pending Review</t>
        </is>
      </c>
      <c r="I281" s="43" t="inlineStr">
        <is>
          <t>IOTBU</t>
        </is>
      </c>
      <c r="J281" s="43" t="inlineStr">
        <is>
          <t>CTANJZ05182</t>
        </is>
      </c>
      <c r="K281" s="32" t="n"/>
      <c r="L281" s="32" t="n"/>
      <c r="M281" s="32" t="n">
        <v>46202</v>
      </c>
      <c r="N281" s="43" t="n"/>
      <c r="O281" s="43" t="n"/>
      <c r="P281" s="43" t="n"/>
      <c r="Q281" s="43" t="n"/>
      <c r="R281" s="43" t="n"/>
      <c r="S281" s="43" t="n"/>
      <c r="T281" s="43" t="inlineStr">
        <is>
          <t>Y</t>
        </is>
      </c>
      <c r="U281" s="33" t="inlineStr">
        <is>
          <t xml:space="preserve">FUENTE: Deviation.csv, filas CSV 56-58; Workflow=Expired; Date Released=2026-04-14; Date Originated=2026-04-01; Site=FJZP, Plant=MCGA (sin convertir automaticamente a FJZ); 3 filas PN; APROBACION Y APLICABILIDAD NO VALIDADAS. </t>
        </is>
      </c>
    </row>
    <row r="282">
      <c r="A282" s="35" t="inlineStr">
        <is>
          <t>DEV-CTANJZ05183</t>
        </is>
      </c>
      <c r="B282" s="35" t="inlineStr">
        <is>
          <t>DEVIATION</t>
        </is>
      </c>
      <c r="C282" s="35" t="inlineStr">
        <is>
          <t>DP525974</t>
        </is>
      </c>
      <c r="D282" s="35" t="n"/>
      <c r="E282" s="36" t="inlineStr">
        <is>
          <t>DP525974 Please proceed with the following for PCBA build 73-103633-05:1) Build 2 boards (73-level); complete ICT testing; and ship to Eng SJ lab.2) No CPU installation required.3) No DDR installation required.4) Complete edge bonding.5) Install all heatsinks except CPU heatsinks; include CPU heatsinks in the shipment.6) FJZ may use 28-103225-05 (currently in process).7) FJZ may use SN74AVC4T245BQBR or SN74AVC4T245BQB for CPN# 15-111159-01 based on availability.</t>
        </is>
      </c>
      <c r="F282" s="35" t="inlineStr">
        <is>
          <t>Pending</t>
        </is>
      </c>
      <c r="G282" s="35" t="inlineStr">
        <is>
          <t>Expired</t>
        </is>
      </c>
      <c r="H282" s="35" t="inlineStr">
        <is>
          <t>Pending Review</t>
        </is>
      </c>
      <c r="I282" s="35" t="inlineStr">
        <is>
          <t>STBU</t>
        </is>
      </c>
      <c r="J282" s="35" t="inlineStr">
        <is>
          <t>CTANJZ05183</t>
        </is>
      </c>
      <c r="K282" s="37" t="n"/>
      <c r="L282" s="37" t="n"/>
      <c r="M282" s="37" t="n">
        <v>46172</v>
      </c>
      <c r="N282" s="35" t="n"/>
      <c r="O282" s="35" t="n"/>
      <c r="P282" s="35" t="n"/>
      <c r="Q282" s="35" t="n"/>
      <c r="R282" s="35" t="n"/>
      <c r="S282" s="35" t="n"/>
      <c r="T282" s="35" t="inlineStr">
        <is>
          <t>Y</t>
        </is>
      </c>
      <c r="U282" s="36" t="inlineStr">
        <is>
          <t xml:space="preserve">FUENTE: Deviation.csv, filas CSV 652-652; Workflow=Expired; Date Released=2026-04-18; Date Originated=2026-04-01; Site=FJZP, Plant=MCGA (sin convertir automaticamente a FJZ); 1 filas PN; APROBACION Y APLICABILIDAD NO VALIDADAS. </t>
        </is>
      </c>
    </row>
    <row r="283">
      <c r="A283" s="43" t="inlineStr">
        <is>
          <t>DEV-CTANJZ05184</t>
        </is>
      </c>
      <c r="B283" s="43" t="inlineStr">
        <is>
          <t>DEVIATION</t>
        </is>
      </c>
      <c r="C283" s="43" t="inlineStr">
        <is>
          <t>D610411</t>
        </is>
      </c>
      <c r="D283" s="43" t="n"/>
      <c r="E283" s="33" t="inlineStr">
        <is>
          <t>D610411 There is a need to convert Presidios PCBs from a 73- part to another; this it's already covered in the TANMAPs; FJZ needs to do inventory transfers from one part number to another.FJZ needs to make sure the units have not been tested previously on functional test; then they will relabel with the same SN; but with the 73- part that is required; they will keep the tracking and provide the list of the serial numbers that were converted and what part will be used on.The records needs to be sent to Cisco TE; PE and ME</t>
        </is>
      </c>
      <c r="F283" s="43" t="inlineStr">
        <is>
          <t>Pending</t>
        </is>
      </c>
      <c r="G283" s="43" t="inlineStr">
        <is>
          <t>Expired</t>
        </is>
      </c>
      <c r="H283" s="43" t="inlineStr">
        <is>
          <t>Pending Review</t>
        </is>
      </c>
      <c r="I283" s="43" t="inlineStr">
        <is>
          <t>STBU</t>
        </is>
      </c>
      <c r="J283" s="43" t="inlineStr">
        <is>
          <t>CTANJZ05184</t>
        </is>
      </c>
      <c r="K283" s="32" t="n"/>
      <c r="L283" s="32" t="n"/>
      <c r="M283" s="32" t="n">
        <v>46202</v>
      </c>
      <c r="N283" s="43" t="n"/>
      <c r="O283" s="43" t="n"/>
      <c r="P283" s="43" t="n"/>
      <c r="Q283" s="43" t="n"/>
      <c r="R283" s="43" t="n"/>
      <c r="S283" s="43" t="n"/>
      <c r="T283" s="43" t="inlineStr">
        <is>
          <t>Y</t>
        </is>
      </c>
      <c r="U283" s="33" t="inlineStr">
        <is>
          <t xml:space="preserve">FUENTE: Deviation.csv, filas CSV 1122-1220; Workflow=Expired; Date Released=2026-05-05; Date Originated=2026-04-01; Site=FJZP, Plant=MCGA (sin convertir automaticamente a FJZ); 4 filas PN; APROBACION Y APLICABILIDAD NO VALIDADAS. </t>
        </is>
      </c>
    </row>
    <row r="284">
      <c r="A284" s="35" t="inlineStr">
        <is>
          <t>DEV-CTANJZ05185</t>
        </is>
      </c>
      <c r="B284" s="35" t="inlineStr">
        <is>
          <t>DEVIATION</t>
        </is>
      </c>
      <c r="C284" s="35" t="inlineStr">
        <is>
          <t>D610453</t>
        </is>
      </c>
      <c r="D284" s="35" t="n"/>
      <c r="E284" s="36" t="inlineStr">
        <is>
          <t>D610453 Woodside Park - CSF6100 SeriesThe purpose of this deviation is to allow for the customer document (78-102258-01) and envelope (502-00194-01) to be used for the sales orders 119901344; 119901345; and 119901347 for the Woodside Park DC PSU.</t>
        </is>
      </c>
      <c r="F284" s="35" t="inlineStr">
        <is>
          <t>Pending</t>
        </is>
      </c>
      <c r="G284" s="35" t="inlineStr">
        <is>
          <t>Expired</t>
        </is>
      </c>
      <c r="H284" s="35" t="inlineStr">
        <is>
          <t>Pending Review</t>
        </is>
      </c>
      <c r="I284" s="35" t="inlineStr">
        <is>
          <t>STBU</t>
        </is>
      </c>
      <c r="J284" s="35" t="inlineStr">
        <is>
          <t>CTANJZ05185</t>
        </is>
      </c>
      <c r="K284" s="37" t="n"/>
      <c r="L284" s="37" t="n"/>
      <c r="M284" s="37" t="n">
        <v>46202</v>
      </c>
      <c r="N284" s="35" t="n"/>
      <c r="O284" s="35" t="n"/>
      <c r="P284" s="35" t="n"/>
      <c r="Q284" s="35" t="n"/>
      <c r="R284" s="35" t="n"/>
      <c r="S284" s="35" t="n"/>
      <c r="T284" s="35" t="inlineStr">
        <is>
          <t>Y</t>
        </is>
      </c>
      <c r="U284" s="36" t="inlineStr">
        <is>
          <t xml:space="preserve">FUENTE: Deviation.csv, filas CSV 1221-1221; Workflow=Expired; Date Released=2026-05-05; Date Originated=2026-04-01; Site=FJZP, Plant=MCGA (sin convertir automaticamente a FJZ); 1 filas PN; APROBACION Y APLICABILIDAD NO VALIDADAS. </t>
        </is>
      </c>
    </row>
    <row r="285">
      <c r="A285" s="43" t="inlineStr">
        <is>
          <t>DEV-CTANJZ05187</t>
        </is>
      </c>
      <c r="B285" s="43" t="inlineStr">
        <is>
          <t>DEVIATION</t>
        </is>
      </c>
      <c r="C285" s="43" t="inlineStr">
        <is>
          <t>D610412</t>
        </is>
      </c>
      <c r="D285" s="43" t="n"/>
      <c r="E285" s="33" t="inlineStr">
        <is>
          <t>D610412Use Molex MPN 44068-0287 instead of 44068-0265 for PN# 29-100530-01</t>
        </is>
      </c>
      <c r="F285" s="43" t="inlineStr">
        <is>
          <t>Pending</t>
        </is>
      </c>
      <c r="G285" s="43" t="inlineStr">
        <is>
          <t>Expired</t>
        </is>
      </c>
      <c r="H285" s="43" t="inlineStr">
        <is>
          <t>Pending Review</t>
        </is>
      </c>
      <c r="I285" s="43" t="inlineStr">
        <is>
          <t>STBU</t>
        </is>
      </c>
      <c r="J285" s="43" t="inlineStr">
        <is>
          <t>CTANJZ05187</t>
        </is>
      </c>
      <c r="K285" s="32" t="n"/>
      <c r="L285" s="32" t="n"/>
      <c r="M285" s="32" t="n">
        <v>46205</v>
      </c>
      <c r="N285" s="43" t="n"/>
      <c r="O285" s="43" t="n"/>
      <c r="P285" s="43" t="n"/>
      <c r="Q285" s="43" t="n"/>
      <c r="R285" s="43" t="n"/>
      <c r="S285" s="43" t="n"/>
      <c r="T285" s="43" t="inlineStr">
        <is>
          <t>Y</t>
        </is>
      </c>
      <c r="U285" s="33" t="inlineStr">
        <is>
          <t xml:space="preserve">FUENTE: Deviation.csv, filas CSV 588-589; Workflow=Expired; Date Released=2026-04-24; Date Originated=2026-04-06; Site=FJZP, Plant=MCGA (sin convertir automaticamente a FJZ); 2 filas PN; APROBACION Y APLICABILIDAD NO VALIDADAS. </t>
        </is>
      </c>
    </row>
    <row r="286">
      <c r="A286" s="35" t="inlineStr">
        <is>
          <t>DEV-CTANJZ05190</t>
        </is>
      </c>
      <c r="B286" s="35" t="inlineStr">
        <is>
          <t>DEVIATION</t>
        </is>
      </c>
      <c r="C286" s="35" t="inlineStr">
        <is>
          <t>D610571</t>
        </is>
      </c>
      <c r="D286" s="35" t="n"/>
      <c r="E286" s="36" t="inlineStr">
        <is>
          <t>D610571 Risk Buy for LC4/5 to prepare for the rollout of ECO EA619918LC4 ComponentsMultiplier: 1200 units per BOM QTY15-110847-01 replaces 15-9669-03; BOM QTY 5; U104; U157; U2_13; Total Purchase QTY 600017-16031-07 replaces 17-16031-04; BOM QTY1 U9; Total Purchase QTY 120019-100823-01 replaces 19-100510-0 BOM QTY 1; 1 U316; Total Purchase Total Purchase 120019-100849-01 replaces 19-100493-01; BOM QTY 1 U100; Total Purchase 120019-100850-01 replaces 19-1364-01; BOM QTY 1 U66; Total Purchase 1200LC5 ComponentsMultiplier: 3;000 units per BOM QTY17-16031-07 replaces 17-16031-06; BOM QTY 1; U9; Total Purchase 300025-100310-01 replaces 25-1283-01; BOM QTY 36; Total Purchase 108;000</t>
        </is>
      </c>
      <c r="F286" s="35" t="inlineStr">
        <is>
          <t>Pending</t>
        </is>
      </c>
      <c r="G286" s="35" t="inlineStr">
        <is>
          <t>Expired</t>
        </is>
      </c>
      <c r="H286" s="35" t="inlineStr">
        <is>
          <t>Pending Review</t>
        </is>
      </c>
      <c r="I286" s="35" t="inlineStr">
        <is>
          <t>CRBU</t>
        </is>
      </c>
      <c r="J286" s="35" t="inlineStr">
        <is>
          <t>CTANJZ05190</t>
        </is>
      </c>
      <c r="K286" s="37" t="n"/>
      <c r="L286" s="37" t="n"/>
      <c r="M286" s="37" t="n">
        <v>46208</v>
      </c>
      <c r="N286" s="35" t="n"/>
      <c r="O286" s="35" t="n"/>
      <c r="P286" s="35" t="n"/>
      <c r="Q286" s="35" t="n"/>
      <c r="R286" s="35" t="n"/>
      <c r="S286" s="35" t="n"/>
      <c r="T286" s="35" t="inlineStr">
        <is>
          <t>Y</t>
        </is>
      </c>
      <c r="U286" s="36" t="inlineStr">
        <is>
          <t xml:space="preserve">FUENTE: Deviation.csv, filas CSV 1452-1517; Workflow=Expired; Date Released=2026-05-05; Date Originated=2026-04-07; Site=FJZP, Plant=MCGA (sin convertir automaticamente a FJZ); 9 filas PN; APROBACION Y APLICABILIDAD NO VALIDADAS. </t>
        </is>
      </c>
    </row>
    <row r="287">
      <c r="A287" s="43" t="inlineStr">
        <is>
          <t>DEV-CTANJZ05192</t>
        </is>
      </c>
      <c r="B287" s="43" t="inlineStr">
        <is>
          <t>DEVIATION</t>
        </is>
      </c>
      <c r="C287" s="43" t="inlineStr">
        <is>
          <t>D610167</t>
        </is>
      </c>
      <c r="D287" s="43" t="n"/>
      <c r="E287" s="33" t="inlineStr">
        <is>
          <t>D610167 NGFWBU GQR: GQR000076809 Case: AQR003149309 CPN: 15-110388-01; MFR NAME: MICRON TECHNOLOGY; MPN: MTC10C1084S1TC56BD1This deviation instructs Foxconn Juarez (FJZ) to execute a sample buy and conduct a Production Qual build for the following part(s):BU: NGFWBUPF: CSF1200Affected TAN(s):68-104743-04Affected Item(s): 74-139981-01CPN: 15-110388-01; MFR NAME: MICRON TECHNOLOGY; MPN: MTC10C1084S1TC56BD1Build Qty: 5Ref Des: DIMM_MOD0;DIMM_MOD1To execute the above AQR at CM site; should be tested on Model A.</t>
        </is>
      </c>
      <c r="F287" s="43" t="inlineStr">
        <is>
          <t>Pending</t>
        </is>
      </c>
      <c r="G287" s="43" t="inlineStr">
        <is>
          <t>Expired</t>
        </is>
      </c>
      <c r="H287" s="43" t="inlineStr">
        <is>
          <t>Pending Review</t>
        </is>
      </c>
      <c r="I287" s="43" t="inlineStr">
        <is>
          <t>STBU</t>
        </is>
      </c>
      <c r="J287" s="43" t="inlineStr">
        <is>
          <t>CTANJZ05192</t>
        </is>
      </c>
      <c r="K287" s="32" t="n"/>
      <c r="L287" s="32" t="n"/>
      <c r="M287" s="32" t="n">
        <v>46205</v>
      </c>
      <c r="N287" s="43" t="n"/>
      <c r="O287" s="43" t="n"/>
      <c r="P287" s="43" t="n"/>
      <c r="Q287" s="43" t="n"/>
      <c r="R287" s="43" t="n"/>
      <c r="S287" s="43" t="n"/>
      <c r="T287" s="43" t="inlineStr">
        <is>
          <t>Y</t>
        </is>
      </c>
      <c r="U287" s="33" t="inlineStr">
        <is>
          <t xml:space="preserve">FUENTE: Deviation.csv, filas CSV 246-1478; Workflow=Expired; Date Released=2026-04-24; Date Originated=2026-04-07; Site=FJZP, Plant=MCGA (sin convertir automaticamente a FJZ); 4 filas PN; APROBACION Y APLICABILIDAD NO VALIDADAS. </t>
        </is>
      </c>
    </row>
    <row r="288">
      <c r="A288" s="35" t="inlineStr">
        <is>
          <t>DEV-CTANJZ05195</t>
        </is>
      </c>
      <c r="B288" s="35" t="inlineStr">
        <is>
          <t>DEVIATION</t>
        </is>
      </c>
      <c r="C288" s="35" t="inlineStr">
        <is>
          <t>D610252</t>
        </is>
      </c>
      <c r="D288" s="35" t="n"/>
      <c r="E288" s="36" t="inlineStr">
        <is>
          <t>D610252 This Deviation will be allowing Likom to rework the Woodside Park NetMod Cage due to some minor interference</t>
        </is>
      </c>
      <c r="F288" s="35" t="inlineStr">
        <is>
          <t>Pending</t>
        </is>
      </c>
      <c r="G288" s="35" t="inlineStr">
        <is>
          <t>Expired</t>
        </is>
      </c>
      <c r="H288" s="35" t="inlineStr">
        <is>
          <t>Pending Review</t>
        </is>
      </c>
      <c r="I288" s="35" t="inlineStr">
        <is>
          <t>STBU</t>
        </is>
      </c>
      <c r="J288" s="35" t="inlineStr">
        <is>
          <t>CTANJZ05195</t>
        </is>
      </c>
      <c r="K288" s="37" t="n"/>
      <c r="L288" s="37" t="n"/>
      <c r="M288" s="37" t="n">
        <v>46209</v>
      </c>
      <c r="N288" s="35" t="n"/>
      <c r="O288" s="35" t="n"/>
      <c r="P288" s="35" t="n"/>
      <c r="Q288" s="35" t="n"/>
      <c r="R288" s="35" t="n"/>
      <c r="S288" s="35" t="n"/>
      <c r="T288" s="35" t="inlineStr">
        <is>
          <t>Y</t>
        </is>
      </c>
      <c r="U288" s="36" t="inlineStr">
        <is>
          <t xml:space="preserve">FUENTE: Deviation.csv, filas CSV 1790-1792; Workflow=Expired; Date Released=2026-04-24; Date Originated=2026-04-09; Site=FJZP, Plant=MCGA (sin convertir automaticamente a FJZ); 3 filas PN; APROBACION Y APLICABILIDAD NO VALIDADAS. </t>
        </is>
      </c>
    </row>
    <row r="289">
      <c r="A289" s="43" t="inlineStr">
        <is>
          <t>DEV-CTANJZ05198</t>
        </is>
      </c>
      <c r="B289" s="43" t="inlineStr">
        <is>
          <t>DEVIATION</t>
        </is>
      </c>
      <c r="C289" s="43" t="inlineStr">
        <is>
          <t>D610616</t>
        </is>
      </c>
      <c r="D289" s="43" t="n"/>
      <c r="E289" s="33" t="inlineStr">
        <is>
          <t>D610616 SRGBU:Site Balance was performed under deviation D608183; but the DIMMs were not re-labeled only the boxes.</t>
        </is>
      </c>
      <c r="F289" s="43" t="inlineStr">
        <is>
          <t>Pending</t>
        </is>
      </c>
      <c r="G289" s="43" t="inlineStr">
        <is>
          <t>Expired</t>
        </is>
      </c>
      <c r="H289" s="43" t="inlineStr">
        <is>
          <t>Pending Review</t>
        </is>
      </c>
      <c r="I289" s="43" t="inlineStr">
        <is>
          <t>SRGBU</t>
        </is>
      </c>
      <c r="J289" s="43" t="inlineStr">
        <is>
          <t>CTANJZ05198</t>
        </is>
      </c>
      <c r="K289" s="32" t="n"/>
      <c r="L289" s="32" t="n"/>
      <c r="M289" s="32" t="n">
        <v>46209</v>
      </c>
      <c r="N289" s="43" t="n"/>
      <c r="O289" s="43" t="n"/>
      <c r="P289" s="43" t="n"/>
      <c r="Q289" s="43" t="n"/>
      <c r="R289" s="43" t="n"/>
      <c r="S289" s="43" t="n"/>
      <c r="T289" s="43" t="inlineStr">
        <is>
          <t>Y</t>
        </is>
      </c>
      <c r="U289" s="33" t="inlineStr">
        <is>
          <t xml:space="preserve">FUENTE: Deviation.csv, filas CSV 1110-1111; Workflow=Expired; Date Released=2026-04-24; Date Originated=2026-04-09; Site=FJZP, Plant=MCGA (sin convertir automaticamente a FJZ); 2 filas PN; APROBACION Y APLICABILIDAD NO VALIDADAS. </t>
        </is>
      </c>
    </row>
    <row r="290">
      <c r="A290" s="35" t="inlineStr">
        <is>
          <t>DEV-CTANJZ05199</t>
        </is>
      </c>
      <c r="B290" s="35" t="inlineStr">
        <is>
          <t>DEVIATION</t>
        </is>
      </c>
      <c r="C290" s="35" t="inlineStr">
        <is>
          <t>D610304</t>
        </is>
      </c>
      <c r="D290" s="35" t="n"/>
      <c r="E290" s="36" t="inlineStr">
        <is>
          <t>D610304 Deviation extension for D607227.ECO EA622974 is being released to make the change; this deviation to help cover till the ECO is released.ERBU: ASR-9000 Family: To allow Foxconn to follow below deviation points for POD label printing process.1) The manufacturer name is getting appended half way due to .btw file error; allow Foxconn to print manufacturer name as appearing in .btw file2) For ASR-9912; the 2 UKCA logo and Morocco label are missing in the .pdf; but available in the .zip reference folder and excel sheet; Foxconn to follow the excel sheet and .jpeg file available in the .zip folder3) For ASR-9006 ; as new POD label is larger than existing label; Foxconn to stick in on top of chassis.4) For ASR-9922 the Morocco logo are missing in the .pdf; but available in the .zip reference folder and excel sheet; Foxconn to follow the excel sheet and .jpeg file available in the .zip folder5) For ASR-9006; ASR-9010; ASR-9922 the VCCI logo are missing in the .excel sheet; but available in the .pdf; Foxconn to follow the pdf file available in the .zip folder6) For all other PID's: the COO; CLEI; 2D barcode; PID VID; PN Barcode; Date code are duplicated in the BOM; Foxconn to remove all duplicate content smaller label's.Please stick the POD labels in approximate location; for slightly larger size label please stick in suitable locations in center.  FOC to share the FAI report for the same after implementing the deviation.ECO EA622974 is being release to make the change; this deviation to help cover till the ECO is released.</t>
        </is>
      </c>
      <c r="F290" s="35" t="inlineStr">
        <is>
          <t>Pending</t>
        </is>
      </c>
      <c r="G290" s="35" t="inlineStr">
        <is>
          <t>Expired</t>
        </is>
      </c>
      <c r="H290" s="35" t="inlineStr">
        <is>
          <t>Pending Review</t>
        </is>
      </c>
      <c r="I290" s="35" t="inlineStr">
        <is>
          <t>CRBU</t>
        </is>
      </c>
      <c r="J290" s="35" t="inlineStr">
        <is>
          <t>CTANJZ05199</t>
        </is>
      </c>
      <c r="K290" s="37" t="n"/>
      <c r="L290" s="37" t="n"/>
      <c r="M290" s="37" t="n">
        <v>46209</v>
      </c>
      <c r="N290" s="35" t="n"/>
      <c r="O290" s="35" t="n"/>
      <c r="P290" s="35" t="n"/>
      <c r="Q290" s="35" t="n"/>
      <c r="R290" s="35" t="n"/>
      <c r="S290" s="35" t="n"/>
      <c r="T290" s="35" t="inlineStr">
        <is>
          <t>Y</t>
        </is>
      </c>
      <c r="U290" s="36" t="inlineStr">
        <is>
          <t xml:space="preserve">FUENTE: Deviation.csv, filas CSV 1777-1789; Workflow=Expired; Date Released=2026-05-08; Date Originated=2026-04-09; Site=FJZP, Plant=MCGA (sin convertir automaticamente a FJZ); 8 filas PN; APROBACION Y APLICABILIDAD NO VALIDADAS. </t>
        </is>
      </c>
    </row>
    <row r="291">
      <c r="A291" s="43" t="inlineStr">
        <is>
          <t>DEV-CTANJZ05200</t>
        </is>
      </c>
      <c r="B291" s="43" t="inlineStr">
        <is>
          <t>DEVIATION</t>
        </is>
      </c>
      <c r="C291" s="43" t="inlineStr">
        <is>
          <t>D610511</t>
        </is>
      </c>
      <c r="D291" s="43" t="n"/>
      <c r="E291" s="33" t="inlineStr">
        <is>
          <t>D610511Risk buy of presidios to re label the parts. There is a need to convert Presidios PCBs from a 73- part to another; this it's already covered in the TANMAPs; FJZ needs to do inventory transfers from one part number to another.FJZ needs to make sure the units have not been tested previously on functional test; then they will relabel with the same SN; but with the 73- part that is required; they will keep the tracking and provide the list of the serial numbers that were converted and what part will be used on.The records needs to be sent to Cisco TE; PE and ME</t>
        </is>
      </c>
      <c r="F291" s="43" t="inlineStr">
        <is>
          <t>Pending</t>
        </is>
      </c>
      <c r="G291" s="43" t="inlineStr">
        <is>
          <t>Expired</t>
        </is>
      </c>
      <c r="H291" s="43" t="inlineStr">
        <is>
          <t>Pending Review</t>
        </is>
      </c>
      <c r="I291" s="43" t="inlineStr">
        <is>
          <t>STBU</t>
        </is>
      </c>
      <c r="J291" s="43" t="inlineStr">
        <is>
          <t>CTANJZ05200</t>
        </is>
      </c>
      <c r="K291" s="32" t="n"/>
      <c r="L291" s="32" t="n"/>
      <c r="M291" s="32" t="n">
        <v>46209</v>
      </c>
      <c r="N291" s="43" t="n"/>
      <c r="O291" s="43" t="n"/>
      <c r="P291" s="43" t="n"/>
      <c r="Q291" s="43" t="n"/>
      <c r="R291" s="43" t="n"/>
      <c r="S291" s="43" t="n"/>
      <c r="T291" s="43" t="inlineStr">
        <is>
          <t>Y</t>
        </is>
      </c>
      <c r="U291" s="33" t="inlineStr">
        <is>
          <t xml:space="preserve">FUENTE: Deviation.csv, filas CSV 1088-1109; Workflow=Expired; Date Released=2026-05-05; Date Originated=2026-04-09; Site=FJZP, Plant=MCGA (sin convertir automaticamente a FJZ); 4 filas PN; APROBACION Y APLICABILIDAD NO VALIDADAS. </t>
        </is>
      </c>
    </row>
    <row r="292">
      <c r="A292" s="35" t="inlineStr">
        <is>
          <t>DEV-CTANJZ05202</t>
        </is>
      </c>
      <c r="B292" s="35" t="inlineStr">
        <is>
          <t>DEVIATION</t>
        </is>
      </c>
      <c r="C292" s="35" t="inlineStr">
        <is>
          <t>D610693</t>
        </is>
      </c>
      <c r="D292" s="35" t="n"/>
      <c r="E292" s="36" t="inlineStr">
        <is>
          <t>D610693 CVEBU; Heimdall. 2nd source qualification for PCBs for NDAA compliance. FOXCONN JUAREZ shall build and test up to TAN level 68-104607-01 or similar  PCB            -                MPN 28-103261-05 - 28-103261-05_S603_M604 (VICTORY GIANT TH)   Control builds for Heimdall PCB. ORT is mandatory to be used for this qualification.  Note: Please provide build schedule and follow up FJZ tracker details.  Note: MOQ quantities will be negotiated with supplier; PO placed by FJZ.  Note: Build all boards into units.  Contact Cisco: Jose Barraza and Jarle Aasland Contact FJZ: Cristina Cano</t>
        </is>
      </c>
      <c r="F292" s="35" t="inlineStr">
        <is>
          <t>Pending</t>
        </is>
      </c>
      <c r="G292" s="35" t="inlineStr">
        <is>
          <t>Expired</t>
        </is>
      </c>
      <c r="H292" s="35" t="inlineStr">
        <is>
          <t>Pending Review</t>
        </is>
      </c>
      <c r="I292" s="35" t="inlineStr">
        <is>
          <t>CVEBU</t>
        </is>
      </c>
      <c r="J292" s="35" t="inlineStr">
        <is>
          <t>CTANJZ05202</t>
        </is>
      </c>
      <c r="K292" s="37" t="n"/>
      <c r="L292" s="37" t="n"/>
      <c r="M292" s="37" t="n">
        <v>46210</v>
      </c>
      <c r="N292" s="35" t="n"/>
      <c r="O292" s="35" t="n"/>
      <c r="P292" s="35" t="n"/>
      <c r="Q292" s="35" t="n"/>
      <c r="R292" s="35" t="n"/>
      <c r="S292" s="35" t="n"/>
      <c r="T292" s="35" t="inlineStr">
        <is>
          <t>Y</t>
        </is>
      </c>
      <c r="U292" s="36" t="inlineStr">
        <is>
          <t xml:space="preserve">FUENTE: Deviation.csv, filas CSV 249-250; Workflow=Expired; Date Released=2026-04-24; Date Originated=2026-04-10; Site=FJZP, Plant=MCGA (sin convertir automaticamente a FJZ); 2 filas PN; APROBACION Y APLICABILIDAD NO VALIDADAS. </t>
        </is>
      </c>
    </row>
    <row r="293">
      <c r="A293" s="43" t="inlineStr">
        <is>
          <t>DEV-CTANJZ05203</t>
        </is>
      </c>
      <c r="B293" s="43" t="inlineStr">
        <is>
          <t>DEVIATION</t>
        </is>
      </c>
      <c r="C293" s="43" t="inlineStr">
        <is>
          <t>D610694</t>
        </is>
      </c>
      <c r="D293" s="43" t="n"/>
      <c r="E293" s="33" t="inlineStr">
        <is>
          <t>D610694 CVEBU; Nixie. 2nd source qualification for PCBs for NDAA compliance. FOXCONN JUAREZ shall build and test up to TAN level 68-105050-01; 68-105051-01or similar  PCB            -                MPN 28-102088-05 - 28-102088-05_S606_M202 (ZHUHAI FOUNDER TH)   Control builds for Nixie PCB. ORT is mandatory to be used for this qualification.  Note: Please provide build schedule and follow up FJZ tracker details.  Note: MOQ quantities will be negotiated with supplier; PO placed by FJZ.  Note: Build all boards into units.  Note: After successful build; and Cisco approval; the units can be shipped to customers  Contact Cisco: Jose Barraza and Jarle Aasland Contact FJZ: Cristina Cano</t>
        </is>
      </c>
      <c r="F293" s="43" t="inlineStr">
        <is>
          <t>Pending</t>
        </is>
      </c>
      <c r="G293" s="43" t="inlineStr">
        <is>
          <t>Expired</t>
        </is>
      </c>
      <c r="H293" s="43" t="inlineStr">
        <is>
          <t>Pending Review</t>
        </is>
      </c>
      <c r="I293" s="43" t="inlineStr">
        <is>
          <t>CVEBU</t>
        </is>
      </c>
      <c r="J293" s="43" t="inlineStr">
        <is>
          <t>CTANJZ05203</t>
        </is>
      </c>
      <c r="K293" s="32" t="n"/>
      <c r="L293" s="32" t="n"/>
      <c r="M293" s="32" t="n">
        <v>46211</v>
      </c>
      <c r="N293" s="43" t="n"/>
      <c r="O293" s="43" t="n"/>
      <c r="P293" s="43" t="n"/>
      <c r="Q293" s="43" t="n"/>
      <c r="R293" s="43" t="n"/>
      <c r="S293" s="43" t="n"/>
      <c r="T293" s="43" t="inlineStr">
        <is>
          <t>Y</t>
        </is>
      </c>
      <c r="U293" s="33" t="inlineStr">
        <is>
          <t xml:space="preserve">FUENTE: Deviation.csv, filas CSV 117-118; Workflow=Expired; Date Released=2026-04-24; Date Originated=2026-04-10; Site=FJZP, Plant=MCGA (sin convertir automaticamente a FJZ); 2 filas PN; APROBACION Y APLICABILIDAD NO VALIDADAS. </t>
        </is>
      </c>
    </row>
    <row r="294">
      <c r="A294" s="35" t="inlineStr">
        <is>
          <t>DEV-CTANJZ05204</t>
        </is>
      </c>
      <c r="B294" s="35" t="inlineStr">
        <is>
          <t>DEVIATION</t>
        </is>
      </c>
      <c r="C294" s="35" t="inlineStr">
        <is>
          <t>D610600</t>
        </is>
      </c>
      <c r="D294" s="35" t="n"/>
      <c r="E294" s="36" t="inlineStr">
        <is>
          <t>D610600 CRBU-Chassis- 8s chassis rework - Allow FJZ to RMA 112 qty of (800-48223-02) 8808 Chassis to Likom with DC 2523 x-cede connector for rework ; MID Plane with DC 2523 Should be shipped to FOL for rework &amp; follow SCQO- MY1943Likom to rework these 112 Qty 8808 Chassis with latest improved x-cede connector from DC 2601For Likom side-1.?The chassis version and CPN will not change after rework.2. The chassis serial number (SN) will not change after rework.3. The reworked chassis will be replaced with a new RPMP (backplate); while other components (piece part and sub-assembly) will remain unchanged; retaining the part number; version; and SN. It will be shipped after testing.In FOL side for RPMP rework once received from FJZ1.  Replace all old DC2523 x-connector with latest improved new connector from DC 2601 ; keep original SN  2. Paste deviation label after rework on boardFVN should also follow as per SCQO- MY1943</t>
        </is>
      </c>
      <c r="F294" s="35" t="inlineStr">
        <is>
          <t>Pending</t>
        </is>
      </c>
      <c r="G294" s="35" t="inlineStr">
        <is>
          <t>Expired</t>
        </is>
      </c>
      <c r="H294" s="35" t="inlineStr">
        <is>
          <t>Pending Review</t>
        </is>
      </c>
      <c r="I294" s="35" t="inlineStr">
        <is>
          <t>CRBU</t>
        </is>
      </c>
      <c r="J294" s="35" t="inlineStr">
        <is>
          <t>CTANJZ05204</t>
        </is>
      </c>
      <c r="K294" s="37" t="n"/>
      <c r="L294" s="37" t="n"/>
      <c r="M294" s="37" t="n">
        <v>46212</v>
      </c>
      <c r="N294" s="35" t="n"/>
      <c r="O294" s="35" t="n"/>
      <c r="P294" s="35" t="n"/>
      <c r="Q294" s="35" t="n"/>
      <c r="R294" s="35" t="n"/>
      <c r="S294" s="35" t="n"/>
      <c r="T294" s="35" t="inlineStr">
        <is>
          <t>Y</t>
        </is>
      </c>
      <c r="U294" s="36" t="inlineStr">
        <is>
          <t xml:space="preserve">FUENTE: Deviation.csv, filas CSV 1112-1170; Workflow=Expired; Date Released=2026-05-08; Date Originated=2026-04-11; Site=FJZP, Plant=MCGA (sin convertir automaticamente a FJZ); 4 filas PN; APROBACION Y APLICABILIDAD NO VALIDADAS. </t>
        </is>
      </c>
    </row>
    <row r="295">
      <c r="A295" s="43" t="inlineStr">
        <is>
          <t>DEV-CTANJZ05205</t>
        </is>
      </c>
      <c r="B295" s="43" t="inlineStr">
        <is>
          <t>DEVIATION</t>
        </is>
      </c>
      <c r="C295" s="43" t="inlineStr">
        <is>
          <t>D610308</t>
        </is>
      </c>
      <c r="D295" s="43" t="n"/>
      <c r="E295" s="33" t="inlineStr">
        <is>
          <t>D610308 NGFWBU:Woodside Park Pilot 2 - Allow usage of consigned AMD CPUs with cancelled MPN AVL status</t>
        </is>
      </c>
      <c r="F295" s="43" t="inlineStr">
        <is>
          <t>Pending</t>
        </is>
      </c>
      <c r="G295" s="43" t="inlineStr">
        <is>
          <t>Expired</t>
        </is>
      </c>
      <c r="H295" s="43" t="inlineStr">
        <is>
          <t>Pending Review</t>
        </is>
      </c>
      <c r="I295" s="43" t="inlineStr">
        <is>
          <t>STBU</t>
        </is>
      </c>
      <c r="J295" s="43" t="inlineStr">
        <is>
          <t>CTANJZ05205</t>
        </is>
      </c>
      <c r="K295" s="32" t="n"/>
      <c r="L295" s="32" t="n"/>
      <c r="M295" s="32" t="n">
        <v>46212</v>
      </c>
      <c r="N295" s="43" t="n"/>
      <c r="O295" s="43" t="n"/>
      <c r="P295" s="43" t="n"/>
      <c r="Q295" s="43" t="n"/>
      <c r="R295" s="43" t="n"/>
      <c r="S295" s="43" t="n"/>
      <c r="T295" s="43" t="inlineStr">
        <is>
          <t>Y</t>
        </is>
      </c>
      <c r="U295" s="33" t="inlineStr">
        <is>
          <t xml:space="preserve">FUENTE: Deviation.csv, filas CSV 590-591; Workflow=Expired; Date Released=2026-05-05; Date Originated=2026-04-11; Site=FJZP, Plant=MCGA (sin convertir automaticamente a FJZ); 2 filas PN; APROBACION Y APLICABILIDAD NO VALIDADAS. </t>
        </is>
      </c>
    </row>
    <row r="296">
      <c r="A296" s="35" t="inlineStr">
        <is>
          <t>DEV-CTANJZ05209</t>
        </is>
      </c>
      <c r="B296" s="35" t="inlineStr">
        <is>
          <t>DEVIATION</t>
        </is>
      </c>
      <c r="C296" s="35" t="inlineStr">
        <is>
          <t>D610810</t>
        </is>
      </c>
      <c r="D296" s="35" t="n"/>
      <c r="E296" s="36" t="inlineStr">
        <is>
          <t>D610810Add SN-label on to the outside of the glassine bag back of bulk packed boxes with Tyne units. The BTS site needs to scan the Tyne unit (with Glassine bag wrapped around) with serial number. Each unit from Pilot 1; Pilot 2 and later builds must have a scannable label with serial number information to avoid having to open the Glassine bag to then scan the Tyne unit.The addition of this label on the glassine bag of Tyne units is to be a permanent change also applicable for Mass Production.</t>
        </is>
      </c>
      <c r="F296" s="35" t="inlineStr">
        <is>
          <t>Pending</t>
        </is>
      </c>
      <c r="G296" s="35" t="inlineStr">
        <is>
          <t>Expired</t>
        </is>
      </c>
      <c r="H296" s="35" t="inlineStr">
        <is>
          <t>Pending Review</t>
        </is>
      </c>
      <c r="I296" s="35" t="inlineStr">
        <is>
          <t>CVEBU</t>
        </is>
      </c>
      <c r="J296" s="35" t="inlineStr">
        <is>
          <t>CTANJZ05209</t>
        </is>
      </c>
      <c r="K296" s="37" t="n"/>
      <c r="L296" s="37" t="n"/>
      <c r="M296" s="37" t="n">
        <v>46216</v>
      </c>
      <c r="N296" s="35" t="n"/>
      <c r="O296" s="35" t="n"/>
      <c r="P296" s="35" t="n"/>
      <c r="Q296" s="35" t="n"/>
      <c r="R296" s="35" t="n"/>
      <c r="S296" s="35" t="n"/>
      <c r="T296" s="35" t="inlineStr">
        <is>
          <t>Y</t>
        </is>
      </c>
      <c r="U296" s="36" t="inlineStr">
        <is>
          <t xml:space="preserve">FUENTE: Deviation.csv, filas CSV 62-63; Workflow=Expired; Date Released=2026-05-16; Date Originated=2026-04-15; Site=FJZP, Plant=MCGA (sin convertir automaticamente a FJZ); 2 filas PN; APROBACION Y APLICABILIDAD NO VALIDADAS. </t>
        </is>
      </c>
    </row>
    <row r="297">
      <c r="A297" s="43" t="inlineStr">
        <is>
          <t>DEV-CTANJZ05210</t>
        </is>
      </c>
      <c r="B297" s="43" t="inlineStr">
        <is>
          <t>DEVIATION</t>
        </is>
      </c>
      <c r="C297" s="43" t="inlineStr">
        <is>
          <t>DP526044</t>
        </is>
      </c>
      <c r="D297" s="43" t="n"/>
      <c r="E297" s="33" t="inlineStr">
        <is>
          <t>DP526044 CVEBU; Vasco. Allow Foxconn MPN mismatch with PCB CPN 28-103757-02  15-APR 2026.  Tripod has shipped wrong material code: 28-103757-02_S105_M202 In Agile: 28-103757-02_S105_M604 It is ok to use these boards in Vasco Wall mount builds at FJZ.  Assembly: 73-104175-02. VASCO WM INTERFACE BOARD Contact Cisco: Jarle Aasland; Contact FJZ:</t>
        </is>
      </c>
      <c r="F297" s="43" t="inlineStr">
        <is>
          <t>Pending</t>
        </is>
      </c>
      <c r="G297" s="38" t="inlineStr">
        <is>
          <t>Expired</t>
        </is>
      </c>
      <c r="H297" s="43" t="inlineStr">
        <is>
          <t>Pending Review</t>
        </is>
      </c>
      <c r="I297" s="43" t="inlineStr">
        <is>
          <t>CVEBU</t>
        </is>
      </c>
      <c r="J297" s="43" t="inlineStr">
        <is>
          <t>CTANJZ05210</t>
        </is>
      </c>
      <c r="K297" s="32" t="n"/>
      <c r="L297" s="32" t="n"/>
      <c r="M297" s="32" t="n">
        <v>46187</v>
      </c>
      <c r="N297" s="43" t="n"/>
      <c r="O297" s="43" t="n"/>
      <c r="P297" s="43" t="n"/>
      <c r="Q297" s="43" t="n"/>
      <c r="R297" s="43" t="n"/>
      <c r="S297" s="43" t="n"/>
      <c r="T297" s="43" t="inlineStr">
        <is>
          <t>Y</t>
        </is>
      </c>
      <c r="U297" s="33" t="inlineStr">
        <is>
          <t>FUENTE: Deviation.csv, filas CSV 212-1884; Workflow=Expired; Date Released=2026-04-24; Date Originated=2026-04-16; Site=FJZP, Plant=MCGA (sin convertir automaticamente a FJZ); 4 filas PN; APROBACION Y APLICABILIDAD NO VALIDADAS. CONFLICTOS: Descrition of Change: DP526044 CVEBU; Vasco. Allow Foxconn MPN mismatch with PCB CPN 28-103757-02  15-APR 2026.  Tripod has shipped wrong mate</t>
        </is>
      </c>
    </row>
    <row r="298">
      <c r="A298" s="35" t="inlineStr">
        <is>
          <t>DEV-CTANJZ05211</t>
        </is>
      </c>
      <c r="B298" s="35" t="inlineStr">
        <is>
          <t>DEVIATION</t>
        </is>
      </c>
      <c r="C298" s="35" t="inlineStr">
        <is>
          <t>D610813</t>
        </is>
      </c>
      <c r="D298" s="35" t="n"/>
      <c r="E298" s="36" t="inlineStr">
        <is>
          <t>D610813CVEBU; Allow FJZ to use parts that does not show the test path correct in Cesium; however based on supplier`s data the units are OK to ship</t>
        </is>
      </c>
      <c r="F298" s="35" t="inlineStr">
        <is>
          <t>Pending</t>
        </is>
      </c>
      <c r="G298" s="35" t="inlineStr">
        <is>
          <t>Expired</t>
        </is>
      </c>
      <c r="H298" s="35" t="inlineStr">
        <is>
          <t>Pending Review</t>
        </is>
      </c>
      <c r="I298" s="35" t="inlineStr">
        <is>
          <t>CVEBU</t>
        </is>
      </c>
      <c r="J298" s="35" t="inlineStr">
        <is>
          <t>CTANJZ05211</t>
        </is>
      </c>
      <c r="K298" s="37" t="n"/>
      <c r="L298" s="37" t="n"/>
      <c r="M298" s="37" t="n">
        <v>46217</v>
      </c>
      <c r="N298" s="35" t="n"/>
      <c r="O298" s="35" t="n"/>
      <c r="P298" s="35" t="n"/>
      <c r="Q298" s="35" t="n"/>
      <c r="R298" s="35" t="n"/>
      <c r="S298" s="35" t="n"/>
      <c r="T298" s="35" t="inlineStr">
        <is>
          <t>Y</t>
        </is>
      </c>
      <c r="U298" s="36" t="inlineStr">
        <is>
          <t xml:space="preserve">FUENTE: Deviation.csv, filas CSV 1103-1103; Workflow=Expired; Date Released=2026-04-28; Date Originated=2026-04-16; Site=FJZP, Plant=MCGA (sin convertir automaticamente a FJZ); 1 filas PN; APROBACION Y APLICABILIDAD NO VALIDADAS. </t>
        </is>
      </c>
    </row>
    <row r="299">
      <c r="A299" s="43" t="inlineStr">
        <is>
          <t>DEV-CTANJZ05214</t>
        </is>
      </c>
      <c r="B299" s="43" t="inlineStr">
        <is>
          <t>DEVIATION</t>
        </is>
      </c>
      <c r="C299" s="43" t="inlineStr">
        <is>
          <t>D610907</t>
        </is>
      </c>
      <c r="D299" s="43" t="n"/>
      <c r="E299" s="33" t="inlineStr">
        <is>
          <t>D610907 CVEBU; Tyne; Pilot 2 rework instructionAffected items68-104853-01; ASY-ELMECH; Tyne Codec; Radio73-103698-06; PCA; Tyne Codec Main Board; Radio68-104854-01; ASY-ELMECH; Tyne Codec; Non-Radio73-103940-06; PCA; Tyne Codec Main Board; Non-RadioRework instruction- FJZ need to rework entire Pilot 2 batch of Tyne Main Boards; 40x 73-103940-06 and 260x 73-103698-06 with following change    - C4355 must be changed from 11-2819-01 (10nF) to 11-3617-01 (220nF)- FJZ must implement updated HW Monitor FW in ICT test prior to ICT. Updated code will be provided by Cisco as soon as possible- FJZ to allocated 20x 68-104853-01 from Pilot 2 batch to be shipped to Norway for new RDT testing    - These 20 must be DEV fusedAdditional comments- Above rework instruction is only valid for Main Boards that has not been powered.- If any Pilot 2 Main Boards has been powered; FJZ must inform Cisco for further details.- Further details in such case will be uploaded as a comment to this deviation.- Pilot 1 units is not affected by this deviation; a separate deviation will be provided for those laterCisco Contact: Christian Kjolseth</t>
        </is>
      </c>
      <c r="F299" s="43" t="inlineStr">
        <is>
          <t>Pending</t>
        </is>
      </c>
      <c r="G299" s="43" t="inlineStr">
        <is>
          <t>Expired</t>
        </is>
      </c>
      <c r="H299" s="43" t="inlineStr">
        <is>
          <t>Pending Review</t>
        </is>
      </c>
      <c r="I299" s="43" t="inlineStr">
        <is>
          <t>CVEBU</t>
        </is>
      </c>
      <c r="J299" s="43" t="inlineStr">
        <is>
          <t>CTANJZ05214</t>
        </is>
      </c>
      <c r="K299" s="32" t="n"/>
      <c r="L299" s="32" t="n"/>
      <c r="M299" s="32" t="n">
        <v>46218</v>
      </c>
      <c r="N299" s="43" t="n"/>
      <c r="O299" s="43" t="n"/>
      <c r="P299" s="43" t="n"/>
      <c r="Q299" s="43" t="n"/>
      <c r="R299" s="43" t="n"/>
      <c r="S299" s="43" t="n"/>
      <c r="T299" s="43" t="inlineStr">
        <is>
          <t>Y</t>
        </is>
      </c>
      <c r="U299" s="33" t="inlineStr">
        <is>
          <t xml:space="preserve">FUENTE: Deviation.csv, filas CSV 1793-1828; Workflow=Expired; Date Released=2026-05-05; Date Originated=2026-04-20; Site=FJZP, Plant=MCGA (sin convertir automaticamente a FJZ); 8 filas PN; APROBACION Y APLICABILIDAD NO VALIDADAS. </t>
        </is>
      </c>
    </row>
    <row r="300">
      <c r="A300" s="35" t="inlineStr">
        <is>
          <t>DEV-CTANJZ05215</t>
        </is>
      </c>
      <c r="B300" s="35" t="inlineStr">
        <is>
          <t>DEVIATION</t>
        </is>
      </c>
      <c r="C300" s="35" t="inlineStr">
        <is>
          <t>D610740</t>
        </is>
      </c>
      <c r="D300" s="35" t="n"/>
      <c r="E300" s="36" t="inlineStr">
        <is>
          <t>D610740 his deviation allows FJZ to use CPN 15-109516-01 in substitute of 15-107676-01 (Hynix -"HMAG94DXNRB204N / HMAG94DXNRB205N and MICRON -MTA36ASF8G72PZ-3G2F1; MTA36ASF8G72PZ-3G2E1) for FPR3120/FPR3140 and CSF4225/CSF4245 Units that are short materialInstructions:1. FJZ needs to override the 15-109516-01 for 15-107676-01 in the Auto DIMM machine2. Place deviation label in visible area of the board3. Deviation labels MUST be scanned at PCBP2 for traceability</t>
        </is>
      </c>
      <c r="F300" s="35" t="inlineStr">
        <is>
          <t>Pending</t>
        </is>
      </c>
      <c r="G300" s="35" t="inlineStr">
        <is>
          <t>Expired</t>
        </is>
      </c>
      <c r="H300" s="35" t="inlineStr">
        <is>
          <t>Pending Review</t>
        </is>
      </c>
      <c r="I300" s="35" t="inlineStr">
        <is>
          <t>STBU</t>
        </is>
      </c>
      <c r="J300" s="35" t="inlineStr">
        <is>
          <t>CTANJZ05215</t>
        </is>
      </c>
      <c r="K300" s="37" t="n"/>
      <c r="L300" s="37" t="n"/>
      <c r="M300" s="37" t="n">
        <v>46222</v>
      </c>
      <c r="N300" s="35" t="n"/>
      <c r="O300" s="35" t="n"/>
      <c r="P300" s="35" t="n"/>
      <c r="Q300" s="35" t="n"/>
      <c r="R300" s="35" t="n"/>
      <c r="S300" s="35" t="n"/>
      <c r="T300" s="35" t="inlineStr">
        <is>
          <t>Y</t>
        </is>
      </c>
      <c r="U300" s="36" t="inlineStr">
        <is>
          <t xml:space="preserve">FUENTE: Deviation.csv, filas CSV 1107-1371; Workflow=Expired; Date Released=2026-05-19; Date Originated=2026-04-21; Site=FJZP, Plant=MCGA (sin convertir automaticamente a FJZ); 6 filas PN; APROBACION Y APLICABILIDAD NO VALIDADAS. </t>
        </is>
      </c>
    </row>
    <row r="301">
      <c r="A301" s="43" t="inlineStr">
        <is>
          <t>DEV-CTANJZ05218</t>
        </is>
      </c>
      <c r="B301" s="43" t="inlineStr">
        <is>
          <t>DEVIATION</t>
        </is>
      </c>
      <c r="C301" s="43" t="inlineStr">
        <is>
          <t>D610760</t>
        </is>
      </c>
      <c r="D301" s="43" t="n"/>
      <c r="E301" s="33" t="inlineStr">
        <is>
          <t>D6107601.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F301" s="43" t="inlineStr">
        <is>
          <t>Pending</t>
        </is>
      </c>
      <c r="G301" s="43" t="inlineStr">
        <is>
          <t>Expired</t>
        </is>
      </c>
      <c r="H301" s="43" t="inlineStr">
        <is>
          <t>Pending Review</t>
        </is>
      </c>
      <c r="I301" s="43" t="inlineStr">
        <is>
          <t>STBU</t>
        </is>
      </c>
      <c r="J301" s="43" t="inlineStr">
        <is>
          <t>CTANJZ05218</t>
        </is>
      </c>
      <c r="K301" s="32" t="n"/>
      <c r="L301" s="32" t="n"/>
      <c r="M301" s="32" t="n">
        <v>46223</v>
      </c>
      <c r="N301" s="43" t="n"/>
      <c r="O301" s="43" t="n"/>
      <c r="P301" s="43" t="n"/>
      <c r="Q301" s="43" t="n"/>
      <c r="R301" s="43" t="n"/>
      <c r="S301" s="43" t="n"/>
      <c r="T301" s="43" t="inlineStr">
        <is>
          <t>Y</t>
        </is>
      </c>
      <c r="U301" s="33" t="inlineStr">
        <is>
          <t xml:space="preserve">FUENTE: Deviation.csv, filas CSV 1104-1106; Workflow=Expired; Date Released=2026-05-21; Date Originated=2026-04-22; Site=FJZP, Plant=MCGA (sin convertir automaticamente a FJZ); 3 filas PN; APROBACION Y APLICABILIDAD NO VALIDADAS. </t>
        </is>
      </c>
    </row>
    <row r="302">
      <c r="A302" s="35" t="inlineStr">
        <is>
          <t>DEV-CTANJZ05219</t>
        </is>
      </c>
      <c r="B302" s="35" t="inlineStr">
        <is>
          <t>DEVIATION</t>
        </is>
      </c>
      <c r="C302" s="35" t="inlineStr">
        <is>
          <t>D610973</t>
        </is>
      </c>
      <c r="D302" s="35" t="n"/>
      <c r="E302" s="36" t="inlineStr">
        <is>
          <t>D610973NPI; CVEBU; Tyne; Qualification of VGT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28-103367-06_S122_M604 from VGT   - C4355 in 73-103698-06 BOM shall be populated by 11-3617-01 (instead of 11-2819-01 as today)   - Boards shall undergo ICT; PCBDG and PCBPM test stations prior shipping   - Boards shall be DEV fused (if applicable)- FJZ to build 4x 73-103758-04 where:   - 28-103453-04 in BOM shall be populated by IPQ MPN 28-103453-04_S122_M604 from VGT   - Boards shall undergo ICT test stations prior shipping- FJZ is allowed to use alternative packagingAdditional comments- VGT has delivered 50x 28-103367-06 and 48x 28-103453-04 to FJZ.-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F302" s="35" t="inlineStr">
        <is>
          <t>Pending</t>
        </is>
      </c>
      <c r="G302" s="35" t="inlineStr">
        <is>
          <t>Expired</t>
        </is>
      </c>
      <c r="H302" s="35" t="inlineStr">
        <is>
          <t>Pending Review</t>
        </is>
      </c>
      <c r="I302" s="35" t="inlineStr">
        <is>
          <t>CVEBU</t>
        </is>
      </c>
      <c r="J302" s="35" t="inlineStr">
        <is>
          <t>CTANJZ05219</t>
        </is>
      </c>
      <c r="K302" s="37" t="n"/>
      <c r="L302" s="37" t="n"/>
      <c r="M302" s="37" t="n">
        <v>46223</v>
      </c>
      <c r="N302" s="35" t="n"/>
      <c r="O302" s="35" t="n"/>
      <c r="P302" s="35" t="n"/>
      <c r="Q302" s="35" t="n"/>
      <c r="R302" s="35" t="n"/>
      <c r="S302" s="35" t="n"/>
      <c r="T302" s="35" t="inlineStr">
        <is>
          <t>Y</t>
        </is>
      </c>
      <c r="U302" s="36" t="inlineStr">
        <is>
          <t xml:space="preserve">FUENTE: Deviation.csv, filas CSV 178-182; Workflow=Expired; Date Released=2026-05-05; Date Originated=2026-04-22; Site=FJZP, Plant=MCGA (sin convertir automaticamente a FJZ); 5 filas PN; APROBACION Y APLICABILIDAD NO VALIDADAS. </t>
        </is>
      </c>
    </row>
    <row r="303">
      <c r="A303" s="43" t="inlineStr">
        <is>
          <t>DEV-CTANJZ05222</t>
        </is>
      </c>
      <c r="B303" s="43" t="inlineStr">
        <is>
          <t>DEVIATION</t>
        </is>
      </c>
      <c r="C303" s="43" t="inlineStr">
        <is>
          <t>D610909</t>
        </is>
      </c>
      <c r="D303" s="43" t="n"/>
      <c r="E303" s="33" t="inlineStr">
        <is>
          <t>D610909 NGFWBU: FPR3K -Tufnell Park 311 Pc 800-109483-01 (GND0456A70 -AVC):For all AVC(GND0456A70) FPR3K-FAN at DFFJZ is permitted to build assemblies using the 311 RMA AVC fans that have been reworked by the supplier; provided the following tracking controls are implemented:1.) Visible Physical Identification-A deviation label must be clearly and visibly placed on each reworked fan prior to installation.-Label placement must be consistent and auditable at the unit level.2.) The deviation must be explicitly programmed into the board IDPROM for any assembly utilizing one of the reworked RMA fans in order to ensure downstream traceability; failure analysis; and historical correlation of field returns or quality events.3.) Fans must pass SYSFT at DF and display no failures from ETE testing before shipping.***  Cisco Support Team ***PLPM:   Pin MakEPE:    Aiseosa OmorogievaME:       Lluvia Esmeralda Ruvalcaba TorresTE: Pete Martinez RangelTDE: Adrian Liu / Nirupama Padmanabhan</t>
        </is>
      </c>
      <c r="F303" s="43" t="inlineStr">
        <is>
          <t>Pending</t>
        </is>
      </c>
      <c r="G303" s="43" t="inlineStr">
        <is>
          <t>Expired</t>
        </is>
      </c>
      <c r="H303" s="43" t="inlineStr">
        <is>
          <t>Pending Review</t>
        </is>
      </c>
      <c r="I303" s="43" t="inlineStr">
        <is>
          <t>STBU</t>
        </is>
      </c>
      <c r="J303" s="43" t="inlineStr">
        <is>
          <t>CTANJZ05222</t>
        </is>
      </c>
      <c r="K303" s="32" t="n"/>
      <c r="L303" s="32" t="n"/>
      <c r="M303" s="32" t="n">
        <v>46224</v>
      </c>
      <c r="N303" s="43" t="n"/>
      <c r="O303" s="43" t="n"/>
      <c r="P303" s="43" t="n"/>
      <c r="Q303" s="43" t="n"/>
      <c r="R303" s="43" t="n"/>
      <c r="S303" s="43" t="n"/>
      <c r="T303" s="43" t="inlineStr">
        <is>
          <t>Y</t>
        </is>
      </c>
      <c r="U303" s="33" t="inlineStr">
        <is>
          <t xml:space="preserve">FUENTE: Deviation.csv, filas CSV 1648-1648; Workflow=Expired; Date Released=2026-05-23; Date Originated=2026-04-24; Site=FJZP, Plant=MCGA (sin convertir automaticamente a FJZ); 1 filas PN; APROBACION Y APLICABILIDAD NO VALIDADAS. </t>
        </is>
      </c>
    </row>
    <row r="304">
      <c r="A304" s="35" t="inlineStr">
        <is>
          <t>DEV-CTANJZ05225</t>
        </is>
      </c>
      <c r="B304" s="35" t="inlineStr">
        <is>
          <t>DEVIATION</t>
        </is>
      </c>
      <c r="C304" s="35" t="inlineStr">
        <is>
          <t>DP526083</t>
        </is>
      </c>
      <c r="D304" s="35" t="n"/>
      <c r="E304" s="36" t="inlineStr">
        <is>
          <t>DP526083 SRGBU: Alduin: 74?141119?01 PP2 (Pre?Pilot #2) build:To allow use of Foxconn part number C066.00670.005 in place of Cisco part number 15?111384?01 to a quantity of 52 pieces.Both parts share the same manufacturer part number family and are functionally identical; with the only difference being packaging. The components are manufactured by Renesas Electronics; and no impact to form; fit; or function.Foxconn Part Number - C066.00670.005Foxconn MPN - RC21008B17KGND#BB0Cisco Part Number - 15-111384-01Cisco MPN - RC21008B17KGND#KB0Manufacturer - Renesas Electronics</t>
        </is>
      </c>
      <c r="F304" s="35" t="inlineStr">
        <is>
          <t>Pending</t>
        </is>
      </c>
      <c r="G304" s="35" t="inlineStr">
        <is>
          <t>Expired</t>
        </is>
      </c>
      <c r="H304" s="35" t="inlineStr">
        <is>
          <t>Pending Review</t>
        </is>
      </c>
      <c r="I304" s="35" t="inlineStr">
        <is>
          <t>SRGBU</t>
        </is>
      </c>
      <c r="J304" s="35" t="inlineStr">
        <is>
          <t>CTANJZ05225</t>
        </is>
      </c>
      <c r="K304" s="37" t="n"/>
      <c r="L304" s="37" t="n"/>
      <c r="M304" s="37" t="n">
        <v>46196</v>
      </c>
      <c r="N304" s="35" t="n"/>
      <c r="O304" s="35" t="n"/>
      <c r="P304" s="35" t="n"/>
      <c r="Q304" s="35" t="n"/>
      <c r="R304" s="35" t="n"/>
      <c r="S304" s="35" t="n"/>
      <c r="T304" s="35" t="inlineStr">
        <is>
          <t>Y</t>
        </is>
      </c>
      <c r="U304" s="36" t="inlineStr">
        <is>
          <t xml:space="preserve">FUENTE: Deviation.csv, filas CSV 527-527; Workflow=Expired; Date Released=2026-05-16; Date Originated=2026-04-25; Site=FJZP, Plant=MCGA (sin convertir automaticamente a FJZ); 1 filas PN; APROBACION Y APLICABILIDAD NO VALIDADAS. </t>
        </is>
      </c>
    </row>
    <row r="305">
      <c r="A305" s="43" t="inlineStr">
        <is>
          <t>DEV-CTANJZ05229</t>
        </is>
      </c>
      <c r="B305" s="43" t="inlineStr">
        <is>
          <t>DEVIATION</t>
        </is>
      </c>
      <c r="C305" s="43" t="inlineStr">
        <is>
          <t>D611135</t>
        </is>
      </c>
      <c r="D305" s="43" t="n"/>
      <c r="E305" s="33" t="inlineStr">
        <is>
          <t>D611135 Allow FJZ to use the accessory kit 53-101728-01 without Cisco tape with the condition to FJZ include an envelope lid with Cisco tape to ensure the kit doesn't openAt moment 90 pcs were found with same issue; but FJZ SQE is doing quality inspection on the rest of the material</t>
        </is>
      </c>
      <c r="F305" s="43" t="inlineStr">
        <is>
          <t>Pending</t>
        </is>
      </c>
      <c r="G305" s="43" t="inlineStr">
        <is>
          <t>Expired</t>
        </is>
      </c>
      <c r="H305" s="43" t="inlineStr">
        <is>
          <t>Pending Review</t>
        </is>
      </c>
      <c r="I305" s="43" t="inlineStr">
        <is>
          <t>STBU</t>
        </is>
      </c>
      <c r="J305" s="43" t="inlineStr">
        <is>
          <t>CTANJZ05229</t>
        </is>
      </c>
      <c r="K305" s="32" t="n"/>
      <c r="L305" s="32" t="n"/>
      <c r="M305" s="32" t="n">
        <v>46232</v>
      </c>
      <c r="N305" s="43" t="n"/>
      <c r="O305" s="43" t="n"/>
      <c r="P305" s="43" t="n"/>
      <c r="Q305" s="43" t="n"/>
      <c r="R305" s="43" t="n"/>
      <c r="S305" s="43" t="n"/>
      <c r="T305" s="43" t="inlineStr">
        <is>
          <t>Y</t>
        </is>
      </c>
      <c r="U305" s="33" t="inlineStr">
        <is>
          <t xml:space="preserve">FUENTE: Deviation.csv, filas CSV 1183-1183; Workflow=Expired; Date Released=2026-05-23; Date Originated=2026-04-30; Site=FJZP, Plant=MCGA (sin convertir automaticamente a FJZ); 1 filas PN; APROBACION Y APLICABILIDAD NO VALIDADAS. </t>
        </is>
      </c>
    </row>
    <row r="306">
      <c r="A306" s="35" t="inlineStr">
        <is>
          <t>DEV-CTANJZ05230</t>
        </is>
      </c>
      <c r="B306" s="35" t="inlineStr">
        <is>
          <t>DEVIATION</t>
        </is>
      </c>
      <c r="C306" s="35" t="inlineStr">
        <is>
          <t>D611061</t>
        </is>
      </c>
      <c r="D306" s="35" t="n"/>
      <c r="E306" s="36" t="inlineStr">
        <is>
          <t>D611061SRGBU: ROKU: To allow the use of I?Pex part 8CCZ921300000001D2 as a substitute for the currently constrained I?Pex part 8CCEN81500000001D2 on PN 72?102318?01 (refer to attached drawings).Both parts utilize the same jumper; and the substitution is limited to the use of existing excess inventory. The only differences between the two parts are cable length and cable manufacturer; with no impact to functional performance. This deviation is intended to support shipment of up to 3;000 units.</t>
        </is>
      </c>
      <c r="F306" s="35" t="inlineStr">
        <is>
          <t>Pending</t>
        </is>
      </c>
      <c r="G306" s="35" t="inlineStr">
        <is>
          <t>Expired</t>
        </is>
      </c>
      <c r="H306" s="35" t="inlineStr">
        <is>
          <t>Pending Review</t>
        </is>
      </c>
      <c r="I306" s="35" t="inlineStr">
        <is>
          <t>SRGBU</t>
        </is>
      </c>
      <c r="J306" s="35" t="inlineStr">
        <is>
          <t>CTANJZ05230</t>
        </is>
      </c>
      <c r="K306" s="37" t="n"/>
      <c r="L306" s="37" t="n"/>
      <c r="M306" s="37" t="n">
        <v>46234</v>
      </c>
      <c r="N306" s="35" t="n"/>
      <c r="O306" s="35" t="n"/>
      <c r="P306" s="35" t="n"/>
      <c r="Q306" s="35" t="n"/>
      <c r="R306" s="35" t="n"/>
      <c r="S306" s="35" t="n"/>
      <c r="T306" s="35" t="inlineStr">
        <is>
          <t>Y</t>
        </is>
      </c>
      <c r="U306" s="36" t="inlineStr">
        <is>
          <t xml:space="preserve">FUENTE: Deviation.csv, filas CSV 1184-1184; Workflow=Expired; Date Released=2026-05-16; Date Originated=2026-05-05; Site=FJZP, Plant=MCGA (sin convertir automaticamente a FJZ); 1 filas PN; APROBACION Y APLICABILIDAD NO VALIDADAS. </t>
        </is>
      </c>
    </row>
    <row r="307">
      <c r="A307" s="43" t="inlineStr">
        <is>
          <t>DEV-CTANJZ05233</t>
        </is>
      </c>
      <c r="B307" s="43" t="inlineStr">
        <is>
          <t>DEVIATION</t>
        </is>
      </c>
      <c r="C307" s="43" t="inlineStr">
        <is>
          <t>D611098</t>
        </is>
      </c>
      <c r="D307" s="43" t="n"/>
      <c r="E307" s="33" t="inlineStr">
        <is>
          <t>D611098 NGFWBU GQR: GQR000089053 Case: AQR003586911 CPN: 29-100625-01; MFR NAME: PULSE; MPN: JG0-0307NLThis deviation instructs Foxconn Juarez (FJZ) to execute a sample buy and conduct a Production Qual build for the following part(s):BU: NGFWBUPF: FPRMID3Affected TAN(s):68-7254-05Affected Item(s): 73-20249-06CPN: 29-100625-01; MFR NAME: PULSE; MPN: JG0-0307NLBuild Qty: 5Ref Des: J3To execute the above AQR at CM site; should be tested on Model A.</t>
        </is>
      </c>
      <c r="F307" s="43" t="inlineStr">
        <is>
          <t>Pending</t>
        </is>
      </c>
      <c r="G307" s="43" t="inlineStr">
        <is>
          <t>Expired</t>
        </is>
      </c>
      <c r="H307" s="43" t="inlineStr">
        <is>
          <t>Pending Review</t>
        </is>
      </c>
      <c r="I307" s="43" t="inlineStr">
        <is>
          <t>STBU</t>
        </is>
      </c>
      <c r="J307" s="43" t="inlineStr">
        <is>
          <t>CTANJZ05233</t>
        </is>
      </c>
      <c r="K307" s="32" t="n"/>
      <c r="L307" s="32" t="n"/>
      <c r="M307" s="32" t="n">
        <v>46236</v>
      </c>
      <c r="N307" s="43" t="n"/>
      <c r="O307" s="43" t="n"/>
      <c r="P307" s="43" t="n"/>
      <c r="Q307" s="43" t="n"/>
      <c r="R307" s="43" t="n"/>
      <c r="S307" s="43" t="n"/>
      <c r="T307" s="43" t="inlineStr">
        <is>
          <t>Y</t>
        </is>
      </c>
      <c r="U307" s="33" t="inlineStr">
        <is>
          <t xml:space="preserve">FUENTE: Deviation.csv, filas CSV 194-1474; Workflow=Expired; Date Released=2026-05-29; Date Originated=2026-05-06; Site=FJZP, Plant=MCGA (sin convertir automaticamente a FJZ); 4 filas PN; APROBACION Y APLICABILIDAD NO VALIDADAS. </t>
        </is>
      </c>
    </row>
    <row r="308">
      <c r="A308" s="35" t="inlineStr">
        <is>
          <t>DEV-CTANJZ05234</t>
        </is>
      </c>
      <c r="B308" s="35" t="inlineStr">
        <is>
          <t>DEVIATION</t>
        </is>
      </c>
      <c r="C308" s="35" t="inlineStr">
        <is>
          <t>D611192</t>
        </is>
      </c>
      <c r="D308" s="35" t="n"/>
      <c r="E308" s="36" t="inlineStr">
        <is>
          <t>D611192 CVEBU;Taylor73-103720-04 PCA;TAYLOR HIGH MODULE WITH MICRON 16GB LPDDR5  73-103920-04 PCA;TAYLOR LOW MODULE WITH MICRON 16GB LPDDR5  In BOMs refdes M1_A; M1_B (2 pcs)15-110522-01 IC-DRAM-D;LPDDR5;64Gb(1Gx64bits);3200MHz(6400MT/s);0.5V NOM;-40 to 95 C;TFBGA;441P;8K CyclesQualified:  Micron  MT62F1G64D4EK-023 WT:C  (-25 to  85C)In case of shortage; the same part can be sourced from NVIDIA under the below listed CPN/MPN:74-142935-01 IC-DRAM-D;LPDDR5;64Gb(1Gx64bits);3200MHz(6400MT/s);0.5V NOM;-40 to 95 C;TFBGA;441P;8K CyclesIPQ: NVIDIA 161-0568-900 (Contains Micron MT62F1G64D4EK-023 WT:C)Ref. JF04378 which justifies this action by CVEBU directors</t>
        </is>
      </c>
      <c r="F308" s="35" t="inlineStr">
        <is>
          <t>Pending</t>
        </is>
      </c>
      <c r="G308" s="35" t="inlineStr">
        <is>
          <t>Expired</t>
        </is>
      </c>
      <c r="H308" s="35" t="inlineStr">
        <is>
          <t>Pending Review</t>
        </is>
      </c>
      <c r="I308" s="35" t="inlineStr">
        <is>
          <t>CVEBU</t>
        </is>
      </c>
      <c r="J308" s="35" t="inlineStr">
        <is>
          <t>CTANJZ05234</t>
        </is>
      </c>
      <c r="K308" s="37" t="n"/>
      <c r="L308" s="37" t="n"/>
      <c r="M308" s="37" t="n">
        <v>46236</v>
      </c>
      <c r="N308" s="35" t="n"/>
      <c r="O308" s="35" t="n"/>
      <c r="P308" s="35" t="n"/>
      <c r="Q308" s="35" t="n"/>
      <c r="R308" s="35" t="n"/>
      <c r="S308" s="35" t="n"/>
      <c r="T308" s="35" t="inlineStr">
        <is>
          <t>Y</t>
        </is>
      </c>
      <c r="U308" s="36" t="inlineStr">
        <is>
          <t xml:space="preserve">FUENTE: Deviation.csv, filas CSV 538-540; Workflow=Expired; Date Released=2026-05-15; Date Originated=2026-05-06; Site=FJZP, Plant=MCGA (sin convertir automaticamente a FJZ); 3 filas PN; APROBACION Y APLICABILIDAD NO VALIDADAS. </t>
        </is>
      </c>
    </row>
    <row r="309">
      <c r="A309" s="43" t="inlineStr">
        <is>
          <t>DEV-CTANJZ05235</t>
        </is>
      </c>
      <c r="B309" s="43" t="inlineStr">
        <is>
          <t>DEVIATION</t>
        </is>
      </c>
      <c r="C309" s="43" t="inlineStr">
        <is>
          <t>D610818</t>
        </is>
      </c>
      <c r="D309" s="43" t="n"/>
      <c r="E309" s="33" t="inlineStr">
        <is>
          <t>D610818 UABU needs to qualify ONSEMI MOC207M  on 73-20988-05 under 15-7230-01 1.FJZ to build 2pcs Cisco products with below MCN samples; 2. All units need to go through normal manufacturing process; 3. Pls hold the shipment until Cisco's shipment approval; 4. Pls keep EPE Harry Cuong Vi(cuvi@cisco.com) posted if any failures during the process. CCN000005473	GQR000041243	AQR003537700  Build Qty: 2 Affected TAN(s): 68-103948-01 Affected Item(s): 73-20988-05 MFR Name: ONSEMI MPN: MOC207M</t>
        </is>
      </c>
      <c r="F309" s="43" t="inlineStr">
        <is>
          <t>Pending</t>
        </is>
      </c>
      <c r="G309" s="43" t="inlineStr">
        <is>
          <t>Expired</t>
        </is>
      </c>
      <c r="H309" s="43" t="inlineStr">
        <is>
          <t>Pending Review</t>
        </is>
      </c>
      <c r="I309" s="43" t="inlineStr">
        <is>
          <t>SRGBU</t>
        </is>
      </c>
      <c r="J309" s="43" t="inlineStr">
        <is>
          <t>CTANJZ05235</t>
        </is>
      </c>
      <c r="K309" s="32" t="n"/>
      <c r="L309" s="32" t="n"/>
      <c r="M309" s="32" t="n">
        <v>46239</v>
      </c>
      <c r="N309" s="43" t="n"/>
      <c r="O309" s="43" t="n"/>
      <c r="P309" s="43" t="n"/>
      <c r="Q309" s="43" t="n"/>
      <c r="R309" s="43" t="n"/>
      <c r="S309" s="43" t="n"/>
      <c r="T309" s="43" t="inlineStr">
        <is>
          <t>Y</t>
        </is>
      </c>
      <c r="U309" s="33" t="inlineStr">
        <is>
          <t xml:space="preserve">FUENTE: Deviation.csv, filas CSV 96-320; Workflow=Expired; Date Released=2026-05-19; Date Originated=2026-05-08; Site=FJZP, Plant=MCGA (sin convertir automaticamente a FJZ); 4 filas PN; APROBACION Y APLICABILIDAD NO VALIDADAS. </t>
        </is>
      </c>
    </row>
    <row r="310">
      <c r="A310" s="35" t="inlineStr">
        <is>
          <t>DEV-CTANJZ05236</t>
        </is>
      </c>
      <c r="B310" s="35" t="inlineStr">
        <is>
          <t>DEVIATION</t>
        </is>
      </c>
      <c r="C310" s="35" t="inlineStr">
        <is>
          <t>D610747</t>
        </is>
      </c>
      <c r="D310" s="35" t="n"/>
      <c r="E310" s="36" t="inlineStr">
        <is>
          <t>D610747 Bayfront Pilot build. Deviation to allow use CPN version not in BOM. March 2026.Foxconn is allowed to use the following part? 12-2213 version -02. CPN is FFF with version -01 which is in the BOMIn Assemblies73-103826-05 PCA; BAYFRONT MAIN BOARD73-103880-05 PCA; BAYFRONT MAIN BOARD NRContact Cisco: Jarle Aasland</t>
        </is>
      </c>
      <c r="F310" s="35" t="inlineStr">
        <is>
          <t>Pending</t>
        </is>
      </c>
      <c r="G310" s="35" t="inlineStr">
        <is>
          <t>Expired</t>
        </is>
      </c>
      <c r="H310" s="35" t="inlineStr">
        <is>
          <t>Pending Review</t>
        </is>
      </c>
      <c r="I310" s="35" t="inlineStr">
        <is>
          <t>CVEBU</t>
        </is>
      </c>
      <c r="J310" s="35" t="inlineStr">
        <is>
          <t>CTANJZ05236</t>
        </is>
      </c>
      <c r="K310" s="37" t="n"/>
      <c r="L310" s="37" t="n"/>
      <c r="M310" s="37" t="n">
        <v>46239</v>
      </c>
      <c r="N310" s="35" t="n"/>
      <c r="O310" s="35" t="n"/>
      <c r="P310" s="35" t="n"/>
      <c r="Q310" s="35" t="n"/>
      <c r="R310" s="35" t="n"/>
      <c r="S310" s="35" t="n"/>
      <c r="T310" s="35" t="inlineStr">
        <is>
          <t>Y</t>
        </is>
      </c>
      <c r="U310" s="36" t="inlineStr">
        <is>
          <t xml:space="preserve">FUENTE: Deviation.csv, filas CSV 1158-1160; Workflow=Expired; Date Released=2026-05-16; Date Originated=2026-05-08; Site=FJZP, Plant=MCGA (sin convertir automaticamente a FJZ); 3 filas PN; APROBACION Y APLICABILIDAD NO VALIDADAS. </t>
        </is>
      </c>
    </row>
    <row r="311">
      <c r="A311" s="43" t="inlineStr">
        <is>
          <t>DEV-CTANJZ05237</t>
        </is>
      </c>
      <c r="B311" s="43" t="inlineStr">
        <is>
          <t>DEVIATION</t>
        </is>
      </c>
      <c r="C311" s="43" t="inlineStr">
        <is>
          <t>D611227</t>
        </is>
      </c>
      <c r="D311" s="43" t="n"/>
      <c r="E311" s="33" t="inlineStr">
        <is>
          <t>D611227 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D609115 which allowed 43.5k pcs old DC parts to be consumed.FOL is hereby allowed to use in total 2392 pcs LIFCL-17-7BG256C with old Date Codes CY2022.695 pcs with DC 9D2201; and 1697 pcs with DC 9D2218.Since solderability test was requested in D609115; and FVN is still consuming from the same batch of components; this deviation does not require an additional solderability test rerport.</t>
        </is>
      </c>
      <c r="F311" s="43" t="inlineStr">
        <is>
          <t>Pending</t>
        </is>
      </c>
      <c r="G311" s="43" t="inlineStr">
        <is>
          <t>Expired</t>
        </is>
      </c>
      <c r="H311" s="43" t="inlineStr">
        <is>
          <t>Pending Review</t>
        </is>
      </c>
      <c r="I311" s="43" t="inlineStr">
        <is>
          <t>CVEBU</t>
        </is>
      </c>
      <c r="J311" s="43" t="inlineStr">
        <is>
          <t>CTANJZ05237</t>
        </is>
      </c>
      <c r="K311" s="32" t="n"/>
      <c r="L311" s="32" t="n"/>
      <c r="M311" s="32" t="n">
        <v>46240</v>
      </c>
      <c r="N311" s="43" t="n"/>
      <c r="O311" s="43" t="n"/>
      <c r="P311" s="43" t="n"/>
      <c r="Q311" s="43" t="n"/>
      <c r="R311" s="43" t="n"/>
      <c r="S311" s="43" t="n"/>
      <c r="T311" s="43" t="inlineStr">
        <is>
          <t>Y</t>
        </is>
      </c>
      <c r="U311" s="33" t="inlineStr">
        <is>
          <t xml:space="preserve">FUENTE: Deviation.csv, filas CSV 541-547; Workflow=Expired; Date Released=2026-05-22; Date Originated=2026-05-09; Site=FJZP, Plant=MCGA (sin convertir automaticamente a FJZ); 7 filas PN; APROBACION Y APLICABILIDAD NO VALIDADAS. </t>
        </is>
      </c>
    </row>
    <row r="312">
      <c r="A312" s="35" t="inlineStr">
        <is>
          <t>DEV-CTANJZ05240</t>
        </is>
      </c>
      <c r="B312" s="35" t="inlineStr">
        <is>
          <t>DEVIATION</t>
        </is>
      </c>
      <c r="C312" s="35" t="inlineStr">
        <is>
          <t>D611208</t>
        </is>
      </c>
      <c r="D312" s="35" t="n"/>
      <c r="E312" s="36" t="inlineStr">
        <is>
          <t>D611208 SRGBU-Nutella: Upgrade to Rommon version 17.15.(1r) and use eMMC KLMCG1RCTE-B041 NOTE: This is an extension deviation of D609350.</t>
        </is>
      </c>
      <c r="F312" s="35" t="inlineStr">
        <is>
          <t>Pending</t>
        </is>
      </c>
      <c r="G312" s="35" t="inlineStr">
        <is>
          <t>Expired</t>
        </is>
      </c>
      <c r="H312" s="35" t="inlineStr">
        <is>
          <t>Pending Review</t>
        </is>
      </c>
      <c r="I312" s="35" t="inlineStr">
        <is>
          <t>SRGBU</t>
        </is>
      </c>
      <c r="J312" s="35" t="inlineStr">
        <is>
          <t>CTANJZ05240</t>
        </is>
      </c>
      <c r="K312" s="37" t="n"/>
      <c r="L312" s="37" t="n"/>
      <c r="M312" s="37" t="n">
        <v>46243</v>
      </c>
      <c r="N312" s="35" t="n"/>
      <c r="O312" s="35" t="n"/>
      <c r="P312" s="35" t="n"/>
      <c r="Q312" s="35" t="n"/>
      <c r="R312" s="35" t="n"/>
      <c r="S312" s="35" t="n"/>
      <c r="T312" s="35" t="inlineStr">
        <is>
          <t>Y</t>
        </is>
      </c>
      <c r="U312" s="36" t="inlineStr">
        <is>
          <t xml:space="preserve">FUENTE: Deviation.csv, filas CSV 1161-1168; Workflow=Expired; Date Released=2026-05-19; Date Originated=2026-05-13; Site=FJZP, Plant=MCGA (sin convertir automaticamente a FJZ); 8 filas PN; APROBACION Y APLICABILIDAD NO VALIDADAS. </t>
        </is>
      </c>
    </row>
    <row r="313">
      <c r="A313" s="43" t="inlineStr">
        <is>
          <t>DEV-CTANJZ05241</t>
        </is>
      </c>
      <c r="B313" s="43" t="inlineStr">
        <is>
          <t>DEVIATION</t>
        </is>
      </c>
      <c r="C313" s="43" t="inlineStr">
        <is>
          <t>D611381</t>
        </is>
      </c>
      <c r="D313" s="43" t="n"/>
      <c r="E313" s="33" t="inlineStr">
        <is>
          <t>D611381 CRBU Tornado package change for Tornado and its install kit: 1.74-138066-03 - Replace 504-101489-01 with 84-102626-01 x 0.025 (40-pack) and added 502-100392-01 x 1(qty) as Bag 2.74-138185-01 - Replace 504-101530-01 with 55-106170-01 x 1 single-pack; 55-106171-01 x 0.0625 over-pack and 502-00127-01x 2(qty) 3.8101-INSTKIT-C01(=) - Replace 504-101530-01 with 55-106170-01 x 0 single-pack (reuse)  Packaging changes to move out from the Single Pack Inbound to 40-Pack multi pack shipment and Insta KIT updated to accommodate the 40 Pack packaging; EA624996 is released to reflected these changes; however  84-102626-01/55-106170-01/55-106171-01 are in IPQ with restricted production.   As CE Fernando confirmed; current FAI documents which were provided to Wistron by Stephen Gould; is sufficient to transition to new package. This deviation is intiated for Wistron to implement new packages even they are in IPQ.</t>
        </is>
      </c>
      <c r="F313" s="43" t="inlineStr">
        <is>
          <t>Pending</t>
        </is>
      </c>
      <c r="G313" s="43" t="inlineStr">
        <is>
          <t>Expired</t>
        </is>
      </c>
      <c r="H313" s="43" t="inlineStr">
        <is>
          <t>Pending Review</t>
        </is>
      </c>
      <c r="I313" s="43" t="inlineStr">
        <is>
          <t>SRGBU</t>
        </is>
      </c>
      <c r="J313" s="43" t="inlineStr">
        <is>
          <t>CTANJZ05241</t>
        </is>
      </c>
      <c r="K313" s="32" t="n"/>
      <c r="L313" s="32" t="n"/>
      <c r="M313" s="32" t="n">
        <v>46245</v>
      </c>
      <c r="N313" s="43" t="n"/>
      <c r="O313" s="43" t="n"/>
      <c r="P313" s="43" t="n"/>
      <c r="Q313" s="43" t="n"/>
      <c r="R313" s="43" t="n"/>
      <c r="S313" s="43" t="n"/>
      <c r="T313" s="43" t="inlineStr">
        <is>
          <t>Y</t>
        </is>
      </c>
      <c r="U313" s="33" t="inlineStr">
        <is>
          <t xml:space="preserve">FUENTE: Deviation.csv, filas CSV 501-501; Workflow=Expired; Date Released=sin dato; Date Originated=2026-05-15; Site=FJZP, Plant=MCGA (sin convertir automaticamente a FJZ); 1 filas PN; APROBACION Y APLICABILIDAD NO VALIDADAS. </t>
        </is>
      </c>
    </row>
    <row r="314">
      <c r="A314" s="35" t="inlineStr">
        <is>
          <t>DEV-CTANJZ05242</t>
        </is>
      </c>
      <c r="B314" s="35" t="inlineStr">
        <is>
          <t>DEVIATION</t>
        </is>
      </c>
      <c r="C314" s="35" t="inlineStr">
        <is>
          <t>D611127</t>
        </is>
      </c>
      <c r="D314" s="35" t="n"/>
      <c r="E314" s="36" t="inlineStr">
        <is>
          <t>D611127 Please see PageThree for details</t>
        </is>
      </c>
      <c r="F314" s="35" t="inlineStr">
        <is>
          <t>Pending</t>
        </is>
      </c>
      <c r="G314" s="35" t="inlineStr">
        <is>
          <t>Expired</t>
        </is>
      </c>
      <c r="H314" s="35" t="inlineStr">
        <is>
          <t>Pending Review</t>
        </is>
      </c>
      <c r="I314" s="35" t="inlineStr">
        <is>
          <t>STBU</t>
        </is>
      </c>
      <c r="J314" s="35" t="inlineStr">
        <is>
          <t>CTANJZ05242</t>
        </is>
      </c>
      <c r="K314" s="37" t="n"/>
      <c r="L314" s="37" t="n"/>
      <c r="M314" s="37" t="n">
        <v>46246</v>
      </c>
      <c r="N314" s="35" t="n"/>
      <c r="O314" s="35" t="n"/>
      <c r="P314" s="35" t="n"/>
      <c r="Q314" s="35" t="n"/>
      <c r="R314" s="35" t="n"/>
      <c r="S314" s="35" t="n"/>
      <c r="T314" s="35" t="inlineStr">
        <is>
          <t>Y</t>
        </is>
      </c>
      <c r="U314" s="36" t="inlineStr">
        <is>
          <t xml:space="preserve">FUENTE: Deviation.csv, filas CSV 1602-1607; Workflow=Expired; Date Released=2026-06-03; Date Originated=2026-05-15; Site=FJZP, Plant=MCGA (sin convertir automaticamente a FJZ); 6 filas PN; APROBACION Y APLICABILIDAD NO VALIDADAS. </t>
        </is>
      </c>
    </row>
    <row r="315">
      <c r="A315" s="43" t="inlineStr">
        <is>
          <t>DEV-CTANJZ05243</t>
        </is>
      </c>
      <c r="B315" s="43" t="inlineStr">
        <is>
          <t>DEVIATION</t>
        </is>
      </c>
      <c r="C315" s="43" t="inlineStr">
        <is>
          <t>D611346</t>
        </is>
      </c>
      <c r="D315" s="43" t="n"/>
      <c r="E315" s="33" t="inlineStr">
        <is>
          <t>D611346 PCBA needs to use a packaging to keep the units prior to move it to DF; as 84 is not include in version 06; we allow to FJZ use the packaging 84-102476-01 in this old version until FJZ implement the 07 version (EA618260) that is planning to be implement in Aug 2026</t>
        </is>
      </c>
      <c r="F315" s="43" t="inlineStr">
        <is>
          <t>Pending</t>
        </is>
      </c>
      <c r="G315" s="43" t="inlineStr">
        <is>
          <t>Expired</t>
        </is>
      </c>
      <c r="H315" s="43" t="inlineStr">
        <is>
          <t>Pending Review</t>
        </is>
      </c>
      <c r="I315" s="43" t="inlineStr">
        <is>
          <t>STBU</t>
        </is>
      </c>
      <c r="J315" s="43" t="inlineStr">
        <is>
          <t>CTANJZ05243</t>
        </is>
      </c>
      <c r="K315" s="32" t="n"/>
      <c r="L315" s="32" t="n"/>
      <c r="M315" s="32" t="n">
        <v>46246</v>
      </c>
      <c r="N315" s="43" t="n"/>
      <c r="O315" s="43" t="n"/>
      <c r="P315" s="43" t="n"/>
      <c r="Q315" s="43" t="n"/>
      <c r="R315" s="43" t="n"/>
      <c r="S315" s="43" t="n"/>
      <c r="T315" s="43" t="inlineStr">
        <is>
          <t>Y</t>
        </is>
      </c>
      <c r="U315" s="33" t="inlineStr">
        <is>
          <t xml:space="preserve">FUENTE: Deviation.csv, filas CSV 1169-1201; Workflow=Expired; Date Released=2026-06-03; Date Originated=2026-05-15; Site=FJZP, Plant=MCGA (sin convertir automaticamente a FJZ); 4 filas PN; APROBACION Y APLICABILIDAD NO VALIDADAS. </t>
        </is>
      </c>
    </row>
    <row r="316">
      <c r="A316" s="35" t="inlineStr">
        <is>
          <t>DEV-CTANJZ05245</t>
        </is>
      </c>
      <c r="B316" s="35" t="inlineStr">
        <is>
          <t>DEVIATION</t>
        </is>
      </c>
      <c r="C316" s="35" t="inlineStr">
        <is>
          <t>D611365</t>
        </is>
      </c>
      <c r="D316" s="35" t="n"/>
      <c r="E316" s="36" t="inlineStr">
        <is>
          <t>D611365Allow to ship the units with a stress mark on the cosmetic surface of the rear cover 700-135777-01</t>
        </is>
      </c>
      <c r="F316" s="35" t="inlineStr">
        <is>
          <t>Pending</t>
        </is>
      </c>
      <c r="G316" s="35" t="inlineStr">
        <is>
          <t>Expired</t>
        </is>
      </c>
      <c r="H316" s="35" t="inlineStr">
        <is>
          <t>Pending Review</t>
        </is>
      </c>
      <c r="I316" s="35" t="inlineStr">
        <is>
          <t>CVEBU</t>
        </is>
      </c>
      <c r="J316" s="35" t="inlineStr">
        <is>
          <t>CTANJZ05245</t>
        </is>
      </c>
      <c r="K316" s="37" t="n"/>
      <c r="L316" s="37" t="n"/>
      <c r="M316" s="37" t="n">
        <v>46247</v>
      </c>
      <c r="N316" s="35" t="n"/>
      <c r="O316" s="35" t="n"/>
      <c r="P316" s="35" t="n"/>
      <c r="Q316" s="35" t="n"/>
      <c r="R316" s="35" t="n"/>
      <c r="S316" s="35" t="n"/>
      <c r="T316" s="35" t="inlineStr">
        <is>
          <t>Y</t>
        </is>
      </c>
      <c r="U316" s="36" t="inlineStr">
        <is>
          <t xml:space="preserve">FUENTE: Deviation.csv, filas CSV 577-582; Workflow=Expired; Date Released=2026-05-29; Date Originated=2026-05-18; Site=FJZP, Plant=MCGA (sin convertir automaticamente a FJZ); 6 filas PN; APROBACION Y APLICABILIDAD NO VALIDADAS. </t>
        </is>
      </c>
    </row>
    <row r="317">
      <c r="A317" s="43" t="inlineStr">
        <is>
          <t>DEV-CTANJZ05247</t>
        </is>
      </c>
      <c r="B317" s="43" t="inlineStr">
        <is>
          <t>DEVIATION</t>
        </is>
      </c>
      <c r="C317" s="43" t="inlineStr">
        <is>
          <t>D611179</t>
        </is>
      </c>
      <c r="D317" s="43" t="n"/>
      <c r="E317" s="33" t="inlineStr">
        <is>
          <t>D611179 NGFBWU:Queensway - SSD risk buy and subsequent re-identification to meet current demand</t>
        </is>
      </c>
      <c r="F317" s="43" t="inlineStr">
        <is>
          <t>Pending</t>
        </is>
      </c>
      <c r="G317" s="43" t="inlineStr">
        <is>
          <t>Expired</t>
        </is>
      </c>
      <c r="H317" s="43" t="inlineStr">
        <is>
          <t>Pending Review</t>
        </is>
      </c>
      <c r="I317" s="43" t="inlineStr">
        <is>
          <t>STBU</t>
        </is>
      </c>
      <c r="J317" s="43" t="inlineStr">
        <is>
          <t>CTANJZ05247</t>
        </is>
      </c>
      <c r="K317" s="32" t="n"/>
      <c r="L317" s="32" t="n"/>
      <c r="M317" s="32" t="n">
        <v>46250</v>
      </c>
      <c r="N317" s="43" t="n"/>
      <c r="O317" s="43" t="n"/>
      <c r="P317" s="43" t="n"/>
      <c r="Q317" s="43" t="n"/>
      <c r="R317" s="43" t="n"/>
      <c r="S317" s="43" t="n"/>
      <c r="T317" s="43" t="inlineStr">
        <is>
          <t>Y</t>
        </is>
      </c>
      <c r="U317" s="33" t="inlineStr">
        <is>
          <t xml:space="preserve">FUENTE: Deviation.csv, filas CSV 1203-1204; Workflow=Expired; Date Released=2026-06-04; Date Originated=2026-05-19; Site=FJZP, Plant=MCGA (sin convertir automaticamente a FJZ); 2 filas PN; APROBACION Y APLICABILIDAD NO VALIDADAS. </t>
        </is>
      </c>
    </row>
    <row r="318">
      <c r="A318" s="35" t="inlineStr">
        <is>
          <t>DEV-CTANJZ05250</t>
        </is>
      </c>
      <c r="B318" s="35" t="inlineStr">
        <is>
          <t>DEVIATION</t>
        </is>
      </c>
      <c r="C318" s="35" t="inlineStr">
        <is>
          <t>D611256</t>
        </is>
      </c>
      <c r="D318" s="35" t="n"/>
      <c r="E318" s="36" t="inlineStr">
        <is>
          <t>D611256 Please see PageThree for details</t>
        </is>
      </c>
      <c r="F318" s="35" t="inlineStr">
        <is>
          <t>Pending</t>
        </is>
      </c>
      <c r="G318" s="35" t="inlineStr">
        <is>
          <t>Expired</t>
        </is>
      </c>
      <c r="H318" s="35" t="inlineStr">
        <is>
          <t>Pending Review</t>
        </is>
      </c>
      <c r="I318" s="35" t="inlineStr">
        <is>
          <t>STBU</t>
        </is>
      </c>
      <c r="J318" s="35" t="inlineStr">
        <is>
          <t>CTANJZ05250</t>
        </is>
      </c>
      <c r="K318" s="37" t="n"/>
      <c r="L318" s="37" t="n"/>
      <c r="M318" s="37" t="n">
        <v>46250</v>
      </c>
      <c r="N318" s="35" t="n"/>
      <c r="O318" s="35" t="n"/>
      <c r="P318" s="35" t="n"/>
      <c r="Q318" s="35" t="n"/>
      <c r="R318" s="35" t="n"/>
      <c r="S318" s="35" t="n"/>
      <c r="T318" s="35" t="inlineStr">
        <is>
          <t>Y</t>
        </is>
      </c>
      <c r="U318" s="36" t="inlineStr">
        <is>
          <t xml:space="preserve">FUENTE: Deviation.csv, filas CSV 1487-1608; Workflow=Expired; Date Released=2026-06-10; Date Originated=2026-05-20; Site=FJZP, Plant=MCGA (sin convertir automaticamente a FJZ); 14 filas PN; APROBACION Y APLICABILIDAD NO VALIDADAS. </t>
        </is>
      </c>
    </row>
    <row r="319">
      <c r="A319" s="43" t="inlineStr">
        <is>
          <t>DEV-CTANJZ05251</t>
        </is>
      </c>
      <c r="B319" s="43" t="inlineStr">
        <is>
          <t>DEVIATION</t>
        </is>
      </c>
      <c r="C319" s="43" t="inlineStr">
        <is>
          <t>D610647</t>
        </is>
      </c>
      <c r="D319" s="43" t="n"/>
      <c r="E319" s="33" t="inlineStr">
        <is>
          <t>D610647 This Deviation supports rework of Victoria Rack Mount production units; updating the ROMMON image from v1.1.07 to v1.1.09ROMMON image can be updated at either PCBA or DF74-139979-0174-139980-0174-139981-0168-104741-0468-104742-0468-104743-04****  Notes for the CM; FJZ Mfg ****FJZ Mfg will perform a FW upgrade (ROMMON v1.1.09) on Victoria Rack Mount units in production; running with either SW 7.7 or new SW release 10.0The v1.1.09 ROMMON image file has been attached to this Deviation.  Cisco/FJZ TE will create the Mfg Test script (P2C/2C).  The firmware update shall be upgraded at P2C/2C.  Victoria RM units require the v1.1.09 imageCisco/FJZ TE will update the new Deviation Number field in the IDPROM table of Victoria RM Low and High SKUsFJZ Mfg will place a Deviation label on available space on the PCBA and on the Chassis bottom surface of all Victoria RM Pilot units with this ROMMON image updateAll units should be identified with the current TANs and ELMECH part numbers currently released to productionThe firmware change must be validated at DF via test orders for each released SW version for CSF1200 RM product family as part of this Deviation implementation.  FAI will be required from fresh builds with both SW 7.7 and SW 10.0 units;  updated with this new ROMMON version; v1.1.09Any failures during the FW upgrade should be reported to Cisco TE team\\sjck-netapp-ns\local\vpn_board\sae\SSP\Victoria\Programmable\BIOS\RM_v1.1.09.imgNote:This Deviation will be made permanent with the release of ECO EA625636.   This Deviation shall also be used to support quarter end builds with either SW 7.7 or SW 10.0; but only after this validation is completed; using the new RM_v1.1.09 image.  Consult with Cisco TE/ME/PE for approval and direction.</t>
        </is>
      </c>
      <c r="F319" s="43" t="inlineStr">
        <is>
          <t>Pending</t>
        </is>
      </c>
      <c r="G319" s="38" t="inlineStr">
        <is>
          <t>Expired</t>
        </is>
      </c>
      <c r="H319" s="43" t="inlineStr">
        <is>
          <t>Pending Review</t>
        </is>
      </c>
      <c r="I319" s="43" t="inlineStr">
        <is>
          <t>STBU</t>
        </is>
      </c>
      <c r="J319" s="43" t="inlineStr">
        <is>
          <t>CTANJZ05251</t>
        </is>
      </c>
      <c r="K319" s="32" t="n"/>
      <c r="L319" s="32" t="n"/>
      <c r="M319" s="32" t="n">
        <v>46251</v>
      </c>
      <c r="N319" s="43" t="n"/>
      <c r="O319" s="43" t="n"/>
      <c r="P319" s="43" t="n"/>
      <c r="Q319" s="43" t="n"/>
      <c r="R319" s="43" t="n"/>
      <c r="S319" s="43" t="n"/>
      <c r="T319" s="43" t="inlineStr">
        <is>
          <t>Y</t>
        </is>
      </c>
      <c r="U319" s="33" t="inlineStr">
        <is>
          <t>FUENTE: Deviation.csv, filas CSV 1811-1831; Workflow=Expired; Date Released=2026-06-02; Date Originated=2026-05-20; Site=FJZP, Plant=MCGA (sin convertir automaticamente a FJZ); 6 filas PN; APROBACION Y APLICABILIDAD NO VALIDADAS. CONFLICTOS: Descrition of Change: D610647 Please see PageThree for details / D610647 This Deviation supports rework of Victoria Rack Mount production unit</t>
        </is>
      </c>
    </row>
    <row r="320">
      <c r="A320" s="35" t="inlineStr">
        <is>
          <t>DEV-CTANJZ05252</t>
        </is>
      </c>
      <c r="B320" s="35" t="inlineStr">
        <is>
          <t>DEVIATION</t>
        </is>
      </c>
      <c r="C320" s="35" t="inlineStr">
        <is>
          <t>D611133</t>
        </is>
      </c>
      <c r="D320" s="35" t="n"/>
      <c r="E320" s="36"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F320" s="35" t="inlineStr">
        <is>
          <t>Pending</t>
        </is>
      </c>
      <c r="G320" s="35" t="inlineStr">
        <is>
          <t>Expired</t>
        </is>
      </c>
      <c r="H320" s="35" t="inlineStr">
        <is>
          <t>Pending Review</t>
        </is>
      </c>
      <c r="I320" s="35" t="inlineStr">
        <is>
          <t>STBU</t>
        </is>
      </c>
      <c r="J320" s="35" t="inlineStr">
        <is>
          <t>CTANJZ05252</t>
        </is>
      </c>
      <c r="K320" s="37" t="n"/>
      <c r="L320" s="37" t="n"/>
      <c r="M320" s="37" t="n">
        <v>46251</v>
      </c>
      <c r="N320" s="35" t="n"/>
      <c r="O320" s="35" t="n"/>
      <c r="P320" s="35" t="n"/>
      <c r="Q320" s="35" t="n"/>
      <c r="R320" s="35" t="n"/>
      <c r="S320" s="35" t="n"/>
      <c r="T320" s="35" t="inlineStr">
        <is>
          <t>Y</t>
        </is>
      </c>
      <c r="U320" s="36" t="inlineStr">
        <is>
          <t xml:space="preserve">FUENTE: Deviation.csv, filas CSV 1205-1238; Workflow=Expired; Date Released=2026-06-10; Date Originated=2026-05-20; Site=FJZP, Plant=MCGA (sin convertir automaticamente a FJZ); 15 filas PN; APROBACION Y APLICABILIDAD NO VALIDADAS. </t>
        </is>
      </c>
    </row>
    <row r="321">
      <c r="A321" s="43" t="inlineStr">
        <is>
          <t>DEV-CTANJZ05254</t>
        </is>
      </c>
      <c r="B321" s="43" t="inlineStr">
        <is>
          <t>DEVIATION</t>
        </is>
      </c>
      <c r="C321" s="43" t="inlineStr">
        <is>
          <t>D611204</t>
        </is>
      </c>
      <c r="D321" s="43" t="n"/>
      <c r="E321" s="33" t="inlineStr">
        <is>
          <t>D611204 Please see PageThree for details</t>
        </is>
      </c>
      <c r="F321" s="43" t="inlineStr">
        <is>
          <t>Pending</t>
        </is>
      </c>
      <c r="G321" s="43" t="inlineStr">
        <is>
          <t>Expired</t>
        </is>
      </c>
      <c r="H321" s="43" t="inlineStr">
        <is>
          <t>Pending Review</t>
        </is>
      </c>
      <c r="I321" s="43" t="inlineStr">
        <is>
          <t>STBU</t>
        </is>
      </c>
      <c r="J321" s="43" t="inlineStr">
        <is>
          <t>CTANJZ05254</t>
        </is>
      </c>
      <c r="K321" s="32" t="n"/>
      <c r="L321" s="32" t="n"/>
      <c r="M321" s="32" t="n">
        <v>46252</v>
      </c>
      <c r="N321" s="43" t="n"/>
      <c r="O321" s="43" t="n"/>
      <c r="P321" s="43" t="n"/>
      <c r="Q321" s="43" t="n"/>
      <c r="R321" s="43" t="n"/>
      <c r="S321" s="43" t="n"/>
      <c r="T321" s="43" t="inlineStr">
        <is>
          <t>Y</t>
        </is>
      </c>
      <c r="U321" s="33" t="inlineStr">
        <is>
          <t xml:space="preserve">FUENTE: Deviation.csv, filas CSV 1613-1622; Workflow=Expired; Date Released=2026-06-10; Date Originated=2026-05-20; Site=FJZP, Plant=MCGA (sin convertir automaticamente a FJZ); 10 filas PN; APROBACION Y APLICABILIDAD NO VALIDADAS. </t>
        </is>
      </c>
    </row>
    <row r="322">
      <c r="A322" s="35" t="inlineStr">
        <is>
          <t>DEV-CTANJZ05255</t>
        </is>
      </c>
      <c r="B322" s="35" t="inlineStr">
        <is>
          <t>DEVIATION</t>
        </is>
      </c>
      <c r="C322" s="35" t="inlineStr">
        <is>
          <t>D611205</t>
        </is>
      </c>
      <c r="D322" s="35" t="n"/>
      <c r="E322" s="36" t="inlineStr">
        <is>
          <t>D611205 Please see PageThree for details</t>
        </is>
      </c>
      <c r="F322" s="35" t="inlineStr">
        <is>
          <t>Pending</t>
        </is>
      </c>
      <c r="G322" s="35" t="inlineStr">
        <is>
          <t>Expired</t>
        </is>
      </c>
      <c r="H322" s="35" t="inlineStr">
        <is>
          <t>Pending Review</t>
        </is>
      </c>
      <c r="I322" s="35" t="inlineStr">
        <is>
          <t>STBU</t>
        </is>
      </c>
      <c r="J322" s="35" t="inlineStr">
        <is>
          <t>CTANJZ05255</t>
        </is>
      </c>
      <c r="K322" s="37" t="n"/>
      <c r="L322" s="37" t="n"/>
      <c r="M322" s="37" t="n">
        <v>46251</v>
      </c>
      <c r="N322" s="35" t="n"/>
      <c r="O322" s="35" t="n"/>
      <c r="P322" s="35" t="n"/>
      <c r="Q322" s="35" t="n"/>
      <c r="R322" s="35" t="n"/>
      <c r="S322" s="35" t="n"/>
      <c r="T322" s="35" t="inlineStr">
        <is>
          <t>Y</t>
        </is>
      </c>
      <c r="U322" s="36" t="inlineStr">
        <is>
          <t xml:space="preserve">FUENTE: Deviation.csv, filas CSV 1475-1612; Workflow=Expired; Date Released=2026-06-10; Date Originated=2026-05-20; Site=FJZP, Plant=MCGA (sin convertir automaticamente a FJZ); 12 filas PN; APROBACION Y APLICABILIDAD NO VALIDADAS. </t>
        </is>
      </c>
    </row>
    <row r="323">
      <c r="A323" s="43" t="inlineStr">
        <is>
          <t>DEV-CTANJZ05256</t>
        </is>
      </c>
      <c r="B323" s="43" t="inlineStr">
        <is>
          <t>DEVIATION</t>
        </is>
      </c>
      <c r="C323" s="43" t="inlineStr">
        <is>
          <t>D611345</t>
        </is>
      </c>
      <c r="D323" s="43" t="n"/>
      <c r="E323" s="33" t="inlineStr">
        <is>
          <t>D611345 During 2023; EDI for 68-104008-02 was overstated which made FJZ to build a lot of units but booking did not come. After noticing EDI was adjusted way down; these units remained as excess. Now that some customers have asked for these modules on their systems; we need to use this old stock; otherwise orders can be cancelledAs there are already escalations for the orders; we need to fulfill them as needed</t>
        </is>
      </c>
      <c r="F323" s="43" t="inlineStr">
        <is>
          <t>Pending</t>
        </is>
      </c>
      <c r="G323" s="43" t="inlineStr">
        <is>
          <t>Expired</t>
        </is>
      </c>
      <c r="H323" s="43" t="inlineStr">
        <is>
          <t>Pending Review</t>
        </is>
      </c>
      <c r="I323" s="43" t="inlineStr">
        <is>
          <t>STBU</t>
        </is>
      </c>
      <c r="J323" s="43" t="inlineStr">
        <is>
          <t>CTANJZ05256</t>
        </is>
      </c>
      <c r="K323" s="32" t="n"/>
      <c r="L323" s="32" t="n"/>
      <c r="M323" s="32" t="n">
        <v>46251</v>
      </c>
      <c r="N323" s="43" t="n"/>
      <c r="O323" s="43" t="n"/>
      <c r="P323" s="43" t="n"/>
      <c r="Q323" s="43" t="n"/>
      <c r="R323" s="43" t="n"/>
      <c r="S323" s="43" t="n"/>
      <c r="T323" s="43" t="inlineStr">
        <is>
          <t>Y</t>
        </is>
      </c>
      <c r="U323" s="33" t="inlineStr">
        <is>
          <t xml:space="preserve">FUENTE: Deviation.csv, filas CSV 1202-1202; Workflow=Expired; Date Released=2026-06-10; Date Originated=2026-05-20; Site=FJZP, Plant=MCGA (sin convertir automaticamente a FJZ); 1 filas PN; APROBACION Y APLICABILIDAD NO VALIDADAS. </t>
        </is>
      </c>
    </row>
    <row r="324">
      <c r="A324" s="35" t="inlineStr">
        <is>
          <t>DEV-CTANJZ05258</t>
        </is>
      </c>
      <c r="B324" s="35" t="inlineStr">
        <is>
          <t>DEVIATION</t>
        </is>
      </c>
      <c r="C324" s="35" t="inlineStr">
        <is>
          <t>D611479</t>
        </is>
      </c>
      <c r="D324" s="35" t="n"/>
      <c r="E324" s="36" t="inlineStr">
        <is>
          <t>D611479 NPI; CVEBU; Tyne; Qualification of Founder TH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28-103367-06_S606_M604 from Founder TH   - Boards shall undergo ICT; PCBDG and PCBPM test stations prior shipping   - Boards shall be DEV fused (if applicable)- FJZ to build 4x 73-103758-04 where:   - 28-103453-04 in BOM shall be populated by IPQ MPN 28-103453-04_S606_M604 from Founder TH   - Boards shall undergo ICT test stations prior shipping- FJZ is allowed to use alternative packaging- Above PCBAs to be shipped to Christian Kjoelseth in NorwayAdditional comments- Founder TH will delivered 50x 28-103367-06 and 48x 28-103453-04 to FJZ with ETD June 10th-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F324" s="35" t="inlineStr">
        <is>
          <t>Pending</t>
        </is>
      </c>
      <c r="G324" s="35" t="n"/>
      <c r="H324" s="35" t="inlineStr">
        <is>
          <t>Pending Review</t>
        </is>
      </c>
      <c r="I324" s="35" t="inlineStr">
        <is>
          <t>CVEBU</t>
        </is>
      </c>
      <c r="J324" s="35" t="inlineStr">
        <is>
          <t>CTANJZ05258</t>
        </is>
      </c>
      <c r="K324" s="37" t="n"/>
      <c r="L324" s="37" t="n"/>
      <c r="M324" s="37" t="n">
        <v>46341</v>
      </c>
      <c r="N324" s="35" t="n"/>
      <c r="O324" s="35" t="n"/>
      <c r="P324" s="35" t="n"/>
      <c r="Q324" s="35" t="n"/>
      <c r="R324" s="35" t="n"/>
      <c r="S324" s="35" t="n"/>
      <c r="T324" s="35" t="inlineStr">
        <is>
          <t>Y</t>
        </is>
      </c>
      <c r="U324" s="36" t="inlineStr">
        <is>
          <t xml:space="preserve">FUENTE: Deviation.csv, filas CSV 221-225; Workflow=Extended; Date Released=2026-06-01; Date Originated=2026-05-21; Site=FJZP, Plant=MCGA (sin convertir automaticamente a FJZ); 5 filas PN; APROBACION Y APLICABILIDAD NO VALIDADAS. </t>
        </is>
      </c>
    </row>
    <row r="325">
      <c r="A325" s="43" t="inlineStr">
        <is>
          <t>DEV-CTANJZ05259</t>
        </is>
      </c>
      <c r="B325" s="43" t="inlineStr">
        <is>
          <t>DEVIATION</t>
        </is>
      </c>
      <c r="C325" s="43" t="inlineStr">
        <is>
          <t>D611312</t>
        </is>
      </c>
      <c r="D325" s="43" t="n"/>
      <c r="E325"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F325" s="43" t="inlineStr">
        <is>
          <t>Pending</t>
        </is>
      </c>
      <c r="G325" s="43" t="inlineStr">
        <is>
          <t>Expired</t>
        </is>
      </c>
      <c r="H325" s="43" t="inlineStr">
        <is>
          <t>Pending Review</t>
        </is>
      </c>
      <c r="I325" s="43" t="inlineStr">
        <is>
          <t>STBU</t>
        </is>
      </c>
      <c r="J325" s="43" t="inlineStr">
        <is>
          <t>CTANJZ05259</t>
        </is>
      </c>
      <c r="K325" s="32" t="n"/>
      <c r="L325" s="32" t="n"/>
      <c r="M325" s="32" t="n">
        <v>46252</v>
      </c>
      <c r="N325" s="43" t="n"/>
      <c r="O325" s="43" t="n"/>
      <c r="P325" s="43" t="n"/>
      <c r="Q325" s="43" t="n"/>
      <c r="R325" s="43" t="n"/>
      <c r="S325" s="43" t="n"/>
      <c r="T325" s="43" t="inlineStr">
        <is>
          <t>Y</t>
        </is>
      </c>
      <c r="U325" s="33" t="inlineStr">
        <is>
          <t xml:space="preserve">FUENTE: Deviation.csv, filas CSV 1281-1298; Workflow=Expired; Date Released=2026-06-10; Date Originated=2026-05-21; Site=FJZP, Plant=MCGA (sin convertir automaticamente a FJZ); 11 filas PN; APROBACION Y APLICABILIDAD NO VALIDADAS. </t>
        </is>
      </c>
    </row>
    <row r="326">
      <c r="A326" s="35" t="inlineStr">
        <is>
          <t>DEV-CTANJZ05260</t>
        </is>
      </c>
      <c r="B326" s="35" t="inlineStr">
        <is>
          <t>DEVIATION</t>
        </is>
      </c>
      <c r="C326" s="35" t="inlineStr">
        <is>
          <t>D611478</t>
        </is>
      </c>
      <c r="D326" s="35" t="n"/>
      <c r="E326" s="36" t="inlineStr">
        <is>
          <t>D611478 CVEBU; Tyne; Minimal ORT with Millennium ORT chamber until we have the dedicated setup for Tyne availableAffected items68-104853-01; ASY-ELMECH; Tyne Codec; Radio68-104854-01; ASY-ELMECH; Tyne Codec; Non-RadioDeviation- This deviation is to use the Millennium ORT chamber and the supporting test equipment to use for the ORT test for Tyne for a short period of time until we have the dedicated setup for Tyne ORT available up and running.- Also; this deviation is to allow running the minimal ORT for Tyne to gain confidence moving forward with the FCS until we have the dedicated setup for Tyne available.Cisco Contact: Sreelakshmi Paliyath</t>
        </is>
      </c>
      <c r="F326" s="35" t="inlineStr">
        <is>
          <t>Pending</t>
        </is>
      </c>
      <c r="G326" s="35" t="inlineStr">
        <is>
          <t>Expired</t>
        </is>
      </c>
      <c r="H326" s="35" t="inlineStr">
        <is>
          <t>Pending Review</t>
        </is>
      </c>
      <c r="I326" s="35" t="inlineStr">
        <is>
          <t>CVEBU</t>
        </is>
      </c>
      <c r="J326" s="35" t="inlineStr">
        <is>
          <t>CTANJZ05260</t>
        </is>
      </c>
      <c r="K326" s="37" t="n"/>
      <c r="L326" s="37" t="n"/>
      <c r="M326" s="37" t="n">
        <v>46252</v>
      </c>
      <c r="N326" s="35" t="n"/>
      <c r="O326" s="35" t="n"/>
      <c r="P326" s="35" t="n"/>
      <c r="Q326" s="35" t="n"/>
      <c r="R326" s="35" t="n"/>
      <c r="S326" s="35" t="n"/>
      <c r="T326" s="35" t="inlineStr">
        <is>
          <t>Y</t>
        </is>
      </c>
      <c r="U326" s="36" t="inlineStr">
        <is>
          <t xml:space="preserve">FUENTE: Deviation.csv, filas CSV 1299-1302; Workflow=Expired; Date Released=2026-06-01; Date Originated=2026-05-21; Site=FJZP, Plant=MCGA (sin convertir automaticamente a FJZ); 4 filas PN; APROBACION Y APLICABILIDAD NO VALIDADAS. </t>
        </is>
      </c>
    </row>
    <row r="327">
      <c r="A327" s="43" t="inlineStr">
        <is>
          <t>DEV-CTANJZ05263</t>
        </is>
      </c>
      <c r="B327" s="43" t="inlineStr">
        <is>
          <t>DEVIATION</t>
        </is>
      </c>
      <c r="C327" s="43" t="inlineStr">
        <is>
          <t>D611492</t>
        </is>
      </c>
      <c r="D327" s="43" t="n"/>
      <c r="E327" s="33" t="inlineStr">
        <is>
          <t>D611492 CVEBU;TaylorThis deviation corrects D610922 which addressed FVN to do this test build. It is now decided that it shall be performed by FJZ.800-125478-01 FNLASY-ELMECH;MODULE;PICTORIS UNIT CARBON  In BOM:800-115480-02 ASY-ELMECH;CPU;PICTORIS;MB WITH TAYLOR 16GB LOW  In BOM:800-126978-03  /73-103922-04 -C2 PCA;TAYLOR LOW MODULE WITH HYNIX 16GB LPDDR5  In BOM:28-103228-04 -A0 PCBFAB;12 L;EM-370(Z);OSP;47.2 mil;TAYLOR;2-UPQualified: Gold    28-103228-04_S120_M210Qualified: AKM     28-103228-04_S115_M210IPQ:       Founder 28-103228-04_S606_M210FJZ shall build 10 pcs Taylor PCBAs (5 pcb panels) using the IPQ PCB from Founder.The Taylor LOW PCBAs shall be consumed onto Pictoris Main Board assemblies.2 pcs Pictoris Main Boards shall be DEV fused and sent to Cisco Lysaker Norway for EDVT.After successfull EDVT; the remaining 8 pcs Pictoris Main Board assemblies shall be used to complete 8 pcs Pictoris units. These shall be fed through ORT before shipping to the end-customers.</t>
        </is>
      </c>
      <c r="F327" s="43" t="inlineStr">
        <is>
          <t>Pending</t>
        </is>
      </c>
      <c r="G327" s="43" t="inlineStr">
        <is>
          <t>Expired</t>
        </is>
      </c>
      <c r="H327" s="43" t="inlineStr">
        <is>
          <t>Pending Review</t>
        </is>
      </c>
      <c r="I327" s="43" t="inlineStr">
        <is>
          <t>CVEBU</t>
        </is>
      </c>
      <c r="J327" s="43" t="inlineStr">
        <is>
          <t>CTANJZ05263</t>
        </is>
      </c>
      <c r="K327" s="32" t="n"/>
      <c r="L327" s="32" t="n"/>
      <c r="M327" s="32" t="n">
        <v>46253</v>
      </c>
      <c r="N327" s="43" t="n"/>
      <c r="O327" s="43" t="n"/>
      <c r="P327" s="43" t="n"/>
      <c r="Q327" s="43" t="n"/>
      <c r="R327" s="43" t="n"/>
      <c r="S327" s="43" t="n"/>
      <c r="T327" s="43" t="inlineStr">
        <is>
          <t>Y</t>
        </is>
      </c>
      <c r="U327" s="33" t="inlineStr">
        <is>
          <t xml:space="preserve">FUENTE: Deviation.csv, filas CSV 293-294; Workflow=Expired; Date Released=2026-06-01; Date Originated=2026-05-22; Site=FJZP, Plant=MCGA (sin convertir automaticamente a FJZ); 2 filas PN; APROBACION Y APLICABILIDAD NO VALIDADAS. </t>
        </is>
      </c>
    </row>
    <row r="328">
      <c r="A328" s="35" t="inlineStr">
        <is>
          <t>DEV-CTANJZ05265</t>
        </is>
      </c>
      <c r="B328" s="35" t="inlineStr">
        <is>
          <t>DEVIATION</t>
        </is>
      </c>
      <c r="C328" s="35" t="inlineStr">
        <is>
          <t>D611483</t>
        </is>
      </c>
      <c r="D328" s="35" t="n"/>
      <c r="E328" s="36" t="inlineStr">
        <is>
          <t>D611483 NGFWBU: FPR3K -Tufnell Park 311 Pcs + 5700 Pcs 800-109483-01 (GND0456A70 -AVC):For all AVC(GND0456A70) FPR3K-FAN at DFFJZ is permitted to build assemblies using the 311 +5700 AVC fans that have been reworked by the supplier; provided the following tracking controls are implemented:1.) Visible Physical Identification-For all reworked 6011pcs(311+5700) AVC to use the Original MPN: GND0456A70-A deviation label must be clearly and visibly placed on each reworked fan prior to installation.-Label placement must be consistent and auditable at the unit level.2.) Fans must pass SYSFT at DF and display no failures from ETE testing before shipping.***  Cisco Support Team ***PLPM:   Pin MakEPE:    Aiseosa OmorogievaME:       Lluvia Esmeralda Ruvalcaba TorresTE: Pete Martinez RangelTDE: Adrian Liu / Nirupama Padmanabhan</t>
        </is>
      </c>
      <c r="F328" s="35" t="inlineStr">
        <is>
          <t>Pending</t>
        </is>
      </c>
      <c r="G328" s="35" t="inlineStr">
        <is>
          <t>Expired</t>
        </is>
      </c>
      <c r="H328" s="35" t="inlineStr">
        <is>
          <t>Pending Review</t>
        </is>
      </c>
      <c r="I328" s="35" t="inlineStr">
        <is>
          <t>STBU</t>
        </is>
      </c>
      <c r="J328" s="35" t="inlineStr">
        <is>
          <t>CTANJZ05265</t>
        </is>
      </c>
      <c r="K328" s="37" t="n"/>
      <c r="L328" s="37" t="n"/>
      <c r="M328" s="37" t="n">
        <v>46256</v>
      </c>
      <c r="N328" s="35" t="n"/>
      <c r="O328" s="35" t="n"/>
      <c r="P328" s="35" t="n"/>
      <c r="Q328" s="35" t="n"/>
      <c r="R328" s="35" t="n"/>
      <c r="S328" s="35" t="n"/>
      <c r="T328" s="35" t="inlineStr">
        <is>
          <t>Y</t>
        </is>
      </c>
      <c r="U328" s="36" t="inlineStr">
        <is>
          <t xml:space="preserve">FUENTE: Deviation.csv, filas CSV 1660-1660; Workflow=Expired; Date Released=2026-06-24; Date Originated=2026-05-25; Site=FJZP, Plant=MCGA (sin convertir automaticamente a FJZ); 1 filas PN; APROBACION Y APLICABILIDAD NO VALIDADAS. </t>
        </is>
      </c>
    </row>
    <row r="329">
      <c r="A329" s="43" t="inlineStr">
        <is>
          <t>DEV-CTANJZ05266</t>
        </is>
      </c>
      <c r="B329" s="43" t="inlineStr">
        <is>
          <t>DEVIATION</t>
        </is>
      </c>
      <c r="C329" s="43" t="inlineStr">
        <is>
          <t>D611591</t>
        </is>
      </c>
      <c r="D329" s="43" t="n"/>
      <c r="E329" s="33" t="inlineStr">
        <is>
          <t>D611591 Allow FJZ to reprogram on site 2000 pcs of the part 17-102041-05 to convert it 17-102041-07 to avoid short of material during Q4</t>
        </is>
      </c>
      <c r="F329" s="43" t="inlineStr">
        <is>
          <t>Pending</t>
        </is>
      </c>
      <c r="G329" s="43" t="inlineStr">
        <is>
          <t>Expired</t>
        </is>
      </c>
      <c r="H329" s="43" t="inlineStr">
        <is>
          <t>Pending Review</t>
        </is>
      </c>
      <c r="I329" s="43" t="inlineStr">
        <is>
          <t>STBU</t>
        </is>
      </c>
      <c r="J329" s="43" t="inlineStr">
        <is>
          <t>CTANJZ05266</t>
        </is>
      </c>
      <c r="K329" s="32" t="n"/>
      <c r="L329" s="32" t="n"/>
      <c r="M329" s="32" t="n">
        <v>46258</v>
      </c>
      <c r="N329" s="43" t="n"/>
      <c r="O329" s="43" t="n"/>
      <c r="P329" s="43" t="n"/>
      <c r="Q329" s="43" t="n"/>
      <c r="R329" s="43" t="n"/>
      <c r="S329" s="43" t="n"/>
      <c r="T329" s="43" t="inlineStr">
        <is>
          <t>Y</t>
        </is>
      </c>
      <c r="U329" s="33" t="inlineStr">
        <is>
          <t xml:space="preserve">FUENTE: Deviation.csv, filas CSV 1154-1157; Workflow=Expired; Date Released=2026-07-02; Date Originated=2026-05-27; Site=FJZP, Plant=MCGA (sin convertir automaticamente a FJZ); 4 filas PN; APROBACION Y APLICABILIDAD NO VALIDADAS. </t>
        </is>
      </c>
    </row>
    <row r="330">
      <c r="A330" s="35" t="inlineStr">
        <is>
          <t>DEV-CTANJZ05267</t>
        </is>
      </c>
      <c r="B330" s="35" t="inlineStr">
        <is>
          <t>DEVIATION</t>
        </is>
      </c>
      <c r="C330" s="35" t="inlineStr">
        <is>
          <t>D611503</t>
        </is>
      </c>
      <c r="D330" s="35" t="n"/>
      <c r="E330" s="36" t="inlineStr">
        <is>
          <t>D611503 Due shortage material; we allow FJZ to use the PN 29-102749-02 to replace 29-102749-01 with this specific MPN (Molex: 2027180102)</t>
        </is>
      </c>
      <c r="F330" s="35" t="inlineStr">
        <is>
          <t>Pending</t>
        </is>
      </c>
      <c r="G330" s="35" t="inlineStr">
        <is>
          <t>Expired</t>
        </is>
      </c>
      <c r="H330" s="35" t="inlineStr">
        <is>
          <t>Pending Review</t>
        </is>
      </c>
      <c r="I330" s="35" t="inlineStr">
        <is>
          <t>STBU</t>
        </is>
      </c>
      <c r="J330" s="35" t="inlineStr">
        <is>
          <t>CTANJZ05267</t>
        </is>
      </c>
      <c r="K330" s="37" t="n"/>
      <c r="L330" s="37" t="n"/>
      <c r="M330" s="37" t="n">
        <v>46258</v>
      </c>
      <c r="N330" s="35" t="n"/>
      <c r="O330" s="35" t="n"/>
      <c r="P330" s="35" t="n"/>
      <c r="Q330" s="35" t="n"/>
      <c r="R330" s="35" t="n"/>
      <c r="S330" s="35" t="n"/>
      <c r="T330" s="35" t="inlineStr">
        <is>
          <t>Y</t>
        </is>
      </c>
      <c r="U330" s="36" t="inlineStr">
        <is>
          <t xml:space="preserve">FUENTE: Deviation.csv, filas CSV 1239-1241; Workflow=Expired; Date Released=2026-06-27; Date Originated=2026-05-27; Site=FJZP, Plant=MCGA (sin convertir automaticamente a FJZ); 3 filas PN; APROBACION Y APLICABILIDAD NO VALIDADAS. </t>
        </is>
      </c>
    </row>
    <row r="331">
      <c r="A331" s="43" t="inlineStr">
        <is>
          <t>DEV-CTANJZ05270</t>
        </is>
      </c>
      <c r="B331" s="43" t="inlineStr">
        <is>
          <t>DEVIATION</t>
        </is>
      </c>
      <c r="C331" s="43" t="inlineStr">
        <is>
          <t>D611661</t>
        </is>
      </c>
      <c r="D331" s="43" t="n"/>
      <c r="E331" s="33" t="inlineStr">
        <is>
          <t>D611661NGFWBU:Warwick Avenue - To address system FPGA PCI-AER failures at PCB2C cold corner; direct factory to upgrade System FPGA in conjunction with updated Diags usage</t>
        </is>
      </c>
      <c r="F331" s="43" t="inlineStr">
        <is>
          <t>Pending</t>
        </is>
      </c>
      <c r="G331" s="43" t="inlineStr">
        <is>
          <t>Expired</t>
        </is>
      </c>
      <c r="H331" s="43" t="inlineStr">
        <is>
          <t>Pending Review</t>
        </is>
      </c>
      <c r="I331" s="43" t="inlineStr">
        <is>
          <t>STBU</t>
        </is>
      </c>
      <c r="J331" s="43" t="inlineStr">
        <is>
          <t>CTANJZ05270</t>
        </is>
      </c>
      <c r="K331" s="32" t="n"/>
      <c r="L331" s="32" t="n"/>
      <c r="M331" s="32" t="n">
        <v>46260</v>
      </c>
      <c r="N331" s="43" t="n"/>
      <c r="O331" s="43" t="n"/>
      <c r="P331" s="43" t="n"/>
      <c r="Q331" s="43" t="n"/>
      <c r="R331" s="43" t="n"/>
      <c r="S331" s="43" t="n"/>
      <c r="T331" s="43" t="inlineStr">
        <is>
          <t>Y</t>
        </is>
      </c>
      <c r="U331" s="33" t="inlineStr">
        <is>
          <t xml:space="preserve">FUENTE: Deviation.csv, filas CSV 1832-1834; Workflow=Expired; Date Released=2026-06-27; Date Originated=2026-05-29; Site=FJZP, Plant=MCGA (sin convertir automaticamente a FJZ); 3 filas PN; APROBACION Y APLICABILIDAD NO VALIDADAS. </t>
        </is>
      </c>
    </row>
    <row r="332">
      <c r="A332" s="35" t="inlineStr">
        <is>
          <t>DEV-CTANJZ05272</t>
        </is>
      </c>
      <c r="B332" s="35" t="inlineStr">
        <is>
          <t>DEVIATION</t>
        </is>
      </c>
      <c r="C332" s="35" t="inlineStr">
        <is>
          <t>D611391</t>
        </is>
      </c>
      <c r="D332" s="35" t="n"/>
      <c r="E332" s="36" t="inlineStr">
        <is>
          <t>D611391 SRGBU-DDR4 MemoryThe CM has received CPN 15-106879-01 in place of 15-107070-01The outer boxes were labeled with the correct CPN to be used 15-107070-01; but the part number insides the packaging was 15-106879-01Both CPNs have the same AMLsThis Deviation will allow the use of 15-106879-01 in place of 15-107070-01The CM has received CPN 15-104174-01 in place of 15-107071-01The outer boxes were labeled with the correct CPN to be used 15-107071-01; but the part number inside the package was 15-104174-01Both CPNs have the same AMLThis deviation will allow the use of 15-104174-01 in place of 15-107071-01</t>
        </is>
      </c>
      <c r="F332" s="35" t="inlineStr">
        <is>
          <t>Pending</t>
        </is>
      </c>
      <c r="G332" s="35" t="inlineStr">
        <is>
          <t>Expired</t>
        </is>
      </c>
      <c r="H332" s="35" t="inlineStr">
        <is>
          <t>Pending Review</t>
        </is>
      </c>
      <c r="I332" s="35" t="inlineStr">
        <is>
          <t>SRGBU</t>
        </is>
      </c>
      <c r="J332" s="35" t="inlineStr">
        <is>
          <t>CTANJZ05272</t>
        </is>
      </c>
      <c r="K332" s="37" t="n"/>
      <c r="L332" s="37" t="n"/>
      <c r="M332" s="37" t="n">
        <v>46261</v>
      </c>
      <c r="N332" s="35" t="n"/>
      <c r="O332" s="35" t="n"/>
      <c r="P332" s="35" t="n"/>
      <c r="Q332" s="35" t="n"/>
      <c r="R332" s="35" t="n"/>
      <c r="S332" s="35" t="n"/>
      <c r="T332" s="35" t="inlineStr">
        <is>
          <t>Y</t>
        </is>
      </c>
      <c r="U332" s="36" t="inlineStr">
        <is>
          <t xml:space="preserve">FUENTE: Deviation.csv, filas CSV 1242-1243; Workflow=Expired; Date Released=2026-06-13; Date Originated=2026-05-30; Site=FJZP, Plant=MCGA (sin convertir automaticamente a FJZ); 2 filas PN; APROBACION Y APLICABILIDAD NO VALIDADAS. </t>
        </is>
      </c>
    </row>
    <row r="333">
      <c r="A333" s="43" t="inlineStr">
        <is>
          <t>DEV-CTANJZ05273</t>
        </is>
      </c>
      <c r="B333" s="43" t="inlineStr">
        <is>
          <t>DEVIATION</t>
        </is>
      </c>
      <c r="C333" s="43" t="inlineStr">
        <is>
          <t>D611453</t>
        </is>
      </c>
      <c r="D333" s="43" t="n"/>
      <c r="E333" s="33" t="inlineStr">
        <is>
          <t>D611453 Need to qualify LTP8800-2IPV#PBF on 73-21146-12for Assy Qual Request # : AQR003561763 Which is a Supplier PCN from LTP8800-2IPV#PBF for PCN TYPE : Process Change on GQR GQR000086308 and AQR AQR003561763FVN/FOL/FJZ can arrange MFG qual build-3 boards with latest PCBA or down version</t>
        </is>
      </c>
      <c r="F333" s="43" t="inlineStr">
        <is>
          <t>Pending</t>
        </is>
      </c>
      <c r="G333" s="43" t="inlineStr">
        <is>
          <t>Expired</t>
        </is>
      </c>
      <c r="H333" s="43" t="inlineStr">
        <is>
          <t>Pending Review</t>
        </is>
      </c>
      <c r="I333" s="43" t="inlineStr">
        <is>
          <t>CRBU</t>
        </is>
      </c>
      <c r="J333" s="43" t="inlineStr">
        <is>
          <t>CTANJZ05273</t>
        </is>
      </c>
      <c r="K333" s="32" t="n"/>
      <c r="L333" s="32" t="n"/>
      <c r="M333" s="32" t="n">
        <v>46263</v>
      </c>
      <c r="N333" s="43" t="n"/>
      <c r="O333" s="43" t="n"/>
      <c r="P333" s="43" t="n"/>
      <c r="Q333" s="43" t="n"/>
      <c r="R333" s="43" t="n"/>
      <c r="S333" s="43" t="n"/>
      <c r="T333" s="43" t="inlineStr">
        <is>
          <t>Y</t>
        </is>
      </c>
      <c r="U333" s="33" t="inlineStr">
        <is>
          <t xml:space="preserve">FUENTE: Deviation.csv, filas CSV 119-216; Workflow=Expired; Date Released=2026-07-02; Date Originated=2026-06-02; Site=FJZP, Plant=MCGA (sin convertir automaticamente a FJZ); 6 filas PN; APROBACION Y APLICABILIDAD NO VALIDADAS. </t>
        </is>
      </c>
    </row>
    <row r="334">
      <c r="A334" s="35" t="inlineStr">
        <is>
          <t>DEV-CTANJZ05274</t>
        </is>
      </c>
      <c r="B334" s="35" t="inlineStr">
        <is>
          <t>DEVIATION</t>
        </is>
      </c>
      <c r="C334" s="35" t="inlineStr">
        <is>
          <t>D610621</t>
        </is>
      </c>
      <c r="D334" s="35" t="n"/>
      <c r="E334" s="36" t="inlineStr">
        <is>
          <t>D610621 Woodside Park - CSF6100 SeriesThe purpose of this deviation is to allow for the customer document (78-102258-01) and envelope (502-00194-01) to be used for the sales orders 119901344; 119901345; and 119901347 for the Woodside Park DC PSU (341-101794-01).</t>
        </is>
      </c>
      <c r="F334" s="35" t="inlineStr">
        <is>
          <t>Pending</t>
        </is>
      </c>
      <c r="G334" s="35" t="inlineStr">
        <is>
          <t>Expired</t>
        </is>
      </c>
      <c r="H334" s="35" t="inlineStr">
        <is>
          <t>Pending Review</t>
        </is>
      </c>
      <c r="I334" s="35" t="inlineStr">
        <is>
          <t>STBU</t>
        </is>
      </c>
      <c r="J334" s="35" t="inlineStr">
        <is>
          <t>CTANJZ05274</t>
        </is>
      </c>
      <c r="K334" s="37" t="n"/>
      <c r="L334" s="37" t="n"/>
      <c r="M334" s="37" t="n">
        <v>46264</v>
      </c>
      <c r="N334" s="35" t="n"/>
      <c r="O334" s="35" t="n"/>
      <c r="P334" s="35" t="n"/>
      <c r="Q334" s="35" t="n"/>
      <c r="R334" s="35" t="n"/>
      <c r="S334" s="35" t="n"/>
      <c r="T334" s="35" t="inlineStr">
        <is>
          <t>Y</t>
        </is>
      </c>
      <c r="U334" s="36" t="inlineStr">
        <is>
          <t xml:space="preserve">FUENTE: Deviation.csv, filas CSV 1173-1173; Workflow=Expired; Date Released=2026-06-16; Date Originated=2026-06-02; Site=FJZP, Plant=MCGA (sin convertir automaticamente a FJZ); 1 filas PN; APROBACION Y APLICABILIDAD NO VALIDADAS. </t>
        </is>
      </c>
    </row>
    <row r="335">
      <c r="A335" s="43" t="inlineStr">
        <is>
          <t>DEV-CTANJZ05276</t>
        </is>
      </c>
      <c r="B335" s="43" t="inlineStr">
        <is>
          <t>DEVIATION</t>
        </is>
      </c>
      <c r="C335" s="43" t="inlineStr">
        <is>
          <t>D610509</t>
        </is>
      </c>
      <c r="D335" s="43" t="n"/>
      <c r="E335" s="33" t="inlineStr">
        <is>
          <t>D610509 Woodside Park - CSF6100 SeriesAdding a bag (502-00154-01) to the Woodside Park Spare Fan PID.</t>
        </is>
      </c>
      <c r="F335" s="43" t="inlineStr">
        <is>
          <t>Pending</t>
        </is>
      </c>
      <c r="G335" s="43" t="inlineStr">
        <is>
          <t>Expired</t>
        </is>
      </c>
      <c r="H335" s="43" t="inlineStr">
        <is>
          <t>Pending Review</t>
        </is>
      </c>
      <c r="I335" s="43" t="inlineStr">
        <is>
          <t>STBU</t>
        </is>
      </c>
      <c r="J335" s="43" t="inlineStr">
        <is>
          <t>CTANJZ05276</t>
        </is>
      </c>
      <c r="K335" s="32" t="n"/>
      <c r="L335" s="32" t="n"/>
      <c r="M335" s="32" t="n">
        <v>46264</v>
      </c>
      <c r="N335" s="43" t="n"/>
      <c r="O335" s="43" t="n"/>
      <c r="P335" s="43" t="n"/>
      <c r="Q335" s="43" t="n"/>
      <c r="R335" s="43" t="n"/>
      <c r="S335" s="43" t="n"/>
      <c r="T335" s="43" t="inlineStr">
        <is>
          <t>Y</t>
        </is>
      </c>
      <c r="U335" s="33" t="inlineStr">
        <is>
          <t xml:space="preserve">FUENTE: Deviation.csv, filas CSV 1171-1171; Workflow=Expired; Date Released=2026-06-16; Date Originated=2026-06-02; Site=FJZP, Plant=MCGA (sin convertir automaticamente a FJZ); 1 filas PN; APROBACION Y APLICABILIDAD NO VALIDADAS. </t>
        </is>
      </c>
    </row>
    <row r="336">
      <c r="A336" s="35" t="inlineStr">
        <is>
          <t>DEV-CTANJZ05277</t>
        </is>
      </c>
      <c r="B336" s="35" t="inlineStr">
        <is>
          <t>DEVIATION</t>
        </is>
      </c>
      <c r="C336" s="35" t="inlineStr">
        <is>
          <t>D611714</t>
        </is>
      </c>
      <c r="D336" s="35" t="n"/>
      <c r="E336" s="36" t="inlineStr">
        <is>
          <t>D611714 During 2023; EDI for 68-104009-02 was overstated which made FJZ to build a lot of units but booking did not come. After noticing EDI was adjusted way down; these units remained as excess. Now that some customers have asked for these modules on their systems; we need to use this old stock; otherwise orders can be cancelledAs there are already escalations for the orders; we need to fulfill them as needed</t>
        </is>
      </c>
      <c r="F336" s="35" t="inlineStr">
        <is>
          <t>Pending</t>
        </is>
      </c>
      <c r="G336" s="35" t="inlineStr">
        <is>
          <t>Expired</t>
        </is>
      </c>
      <c r="H336" s="35" t="inlineStr">
        <is>
          <t>Pending Review</t>
        </is>
      </c>
      <c r="I336" s="35" t="inlineStr">
        <is>
          <t>STBU</t>
        </is>
      </c>
      <c r="J336" s="35" t="inlineStr">
        <is>
          <t>CTANJZ05277</t>
        </is>
      </c>
      <c r="K336" s="37" t="n"/>
      <c r="L336" s="37" t="n"/>
      <c r="M336" s="37" t="n">
        <v>46264</v>
      </c>
      <c r="N336" s="35" t="n"/>
      <c r="O336" s="35" t="n"/>
      <c r="P336" s="35" t="n"/>
      <c r="Q336" s="35" t="n"/>
      <c r="R336" s="35" t="n"/>
      <c r="S336" s="35" t="n"/>
      <c r="T336" s="35" t="inlineStr">
        <is>
          <t>Y</t>
        </is>
      </c>
      <c r="U336" s="36" t="inlineStr">
        <is>
          <t xml:space="preserve">FUENTE: Deviation.csv, filas CSV 1172-1172; Workflow=Expired; Date Released=2026-06-27; Date Originated=2026-06-02; Site=FJZP, Plant=MCGA (sin convertir automaticamente a FJZ); 1 filas PN; APROBACION Y APLICABILIDAD NO VALIDADAS. </t>
        </is>
      </c>
    </row>
    <row r="337">
      <c r="A337" s="43" t="inlineStr">
        <is>
          <t>DEV-CTANJZ05279</t>
        </is>
      </c>
      <c r="B337" s="43" t="inlineStr">
        <is>
          <t>DEVIATION</t>
        </is>
      </c>
      <c r="C337" s="43" t="inlineStr">
        <is>
          <t>D611450</t>
        </is>
      </c>
      <c r="D337" s="43" t="n"/>
      <c r="E337" s="33" t="inlineStr">
        <is>
          <t>D611450 Need to qualify ADP2387ACPZN on 73-21146-12 for Assy Qual Request # : AQR003568133 Which is a Supplier PCN from ADP2387ACPZN for PCN TYPE : Site Move on GQR GQR000086467 and AQR AQR003568133FVN/FOL/FJZ can arrange MFG qual build-3 boards with latest PCBA or down version</t>
        </is>
      </c>
      <c r="F337" s="43" t="inlineStr">
        <is>
          <t>Pending</t>
        </is>
      </c>
      <c r="G337" s="43" t="inlineStr">
        <is>
          <t>Expired</t>
        </is>
      </c>
      <c r="H337" s="43" t="inlineStr">
        <is>
          <t>Pending Review</t>
        </is>
      </c>
      <c r="I337" s="43" t="inlineStr">
        <is>
          <t>CRBU</t>
        </is>
      </c>
      <c r="J337" s="43" t="inlineStr">
        <is>
          <t>CTANJZ05279</t>
        </is>
      </c>
      <c r="K337" s="32" t="n"/>
      <c r="L337" s="32" t="n"/>
      <c r="M337" s="32" t="n">
        <v>46263</v>
      </c>
      <c r="N337" s="43" t="n"/>
      <c r="O337" s="43" t="n"/>
      <c r="P337" s="43" t="n"/>
      <c r="Q337" s="43" t="n"/>
      <c r="R337" s="43" t="n"/>
      <c r="S337" s="43" t="n"/>
      <c r="T337" s="43" t="inlineStr">
        <is>
          <t>Y</t>
        </is>
      </c>
      <c r="U337" s="33" t="inlineStr">
        <is>
          <t xml:space="preserve">FUENTE: Deviation.csv, filas CSV 122-218; Workflow=Expired; Date Released=2026-06-20; Date Originated=2026-06-02; Site=FJZP, Plant=MCGA (sin convertir automaticamente a FJZ); 4 filas PN; APROBACION Y APLICABILIDAD NO VALIDADAS. </t>
        </is>
      </c>
    </row>
    <row r="338">
      <c r="A338" s="35" t="inlineStr">
        <is>
          <t>DEV-CTANJZ05281</t>
        </is>
      </c>
      <c r="B338" s="35" t="inlineStr">
        <is>
          <t>DEVIATION</t>
        </is>
      </c>
      <c r="C338" s="35" t="inlineStr">
        <is>
          <t>D611764</t>
        </is>
      </c>
      <c r="D338" s="35" t="n"/>
      <c r="E338" s="36" t="inlineStr">
        <is>
          <t>D611764 Please see PageThree for details</t>
        </is>
      </c>
      <c r="F338" s="35" t="inlineStr">
        <is>
          <t>Pending</t>
        </is>
      </c>
      <c r="G338" s="35" t="inlineStr">
        <is>
          <t>Expired</t>
        </is>
      </c>
      <c r="H338" s="35" t="inlineStr">
        <is>
          <t>Pending Review</t>
        </is>
      </c>
      <c r="I338" s="35" t="inlineStr">
        <is>
          <t>IOTBU</t>
        </is>
      </c>
      <c r="J338" s="35" t="inlineStr">
        <is>
          <t>CTANJZ05281</t>
        </is>
      </c>
      <c r="K338" s="37" t="n"/>
      <c r="L338" s="37" t="n"/>
      <c r="M338" s="37" t="n">
        <v>46265</v>
      </c>
      <c r="N338" s="35" t="n"/>
      <c r="O338" s="35" t="n"/>
      <c r="P338" s="35" t="n"/>
      <c r="Q338" s="35" t="n"/>
      <c r="R338" s="35" t="n"/>
      <c r="S338" s="35" t="n"/>
      <c r="T338" s="35" t="inlineStr">
        <is>
          <t>Y</t>
        </is>
      </c>
      <c r="U338" s="36" t="inlineStr">
        <is>
          <t xml:space="preserve">FUENTE: Deviation.csv, filas CSV 1174-1211; Workflow=Expired; Date Released=2026-06-16; Date Originated=2026-06-03; Site=FJZP, Plant=MCGA (sin convertir automaticamente a FJZ); 12 filas PN; APROBACION Y APLICABILIDAD NO VALIDADAS. </t>
        </is>
      </c>
    </row>
    <row r="339">
      <c r="A339" s="43" t="inlineStr">
        <is>
          <t>DEV-CTANJZ05283</t>
        </is>
      </c>
      <c r="B339" s="43" t="inlineStr">
        <is>
          <t>DEVIATION</t>
        </is>
      </c>
      <c r="C339" s="43" t="inlineStr">
        <is>
          <t>D611711</t>
        </is>
      </c>
      <c r="D339" s="43" t="n"/>
      <c r="E339" s="33" t="inlineStr">
        <is>
          <t>D611711 This deviation allows Foxconn to build Victoria DT; CSF12xx; and PCA assemblies using CPN 15-108821-01 in place of CPN 15-110890-01 at the following reference designators:U1800; U1801; U1900; U1901; U2000; U2100; U2101; U2200; U2201; and U2300.The AVLs for both CPNs are identical; however; NGFWBU has transitioned to a unique Cisco Part Number for future builds. Therefore; this deviation permits the use of the existing equivalent CPN for the affected builds.FJZ May use the following MPN despite status of AVLH5CG48AGBDX018       HYNIX  (Qualified)MT60B2G8HB-48B:A     MICRON (Cancelled)K4RAH086VB-BCQK     SAMSUNG SEMICONDUCTORS (Obsolete)</t>
        </is>
      </c>
      <c r="F339" s="43" t="inlineStr">
        <is>
          <t>Pending</t>
        </is>
      </c>
      <c r="G339" s="43" t="inlineStr">
        <is>
          <t>Expired</t>
        </is>
      </c>
      <c r="H339" s="43" t="inlineStr">
        <is>
          <t>Pending Review</t>
        </is>
      </c>
      <c r="I339" s="43" t="inlineStr">
        <is>
          <t>STBU</t>
        </is>
      </c>
      <c r="J339" s="43" t="inlineStr">
        <is>
          <t>CTANJZ05283</t>
        </is>
      </c>
      <c r="K339" s="32" t="n"/>
      <c r="L339" s="32" t="n"/>
      <c r="M339" s="32" t="n">
        <v>46268</v>
      </c>
      <c r="N339" s="43" t="n"/>
      <c r="O339" s="43" t="n"/>
      <c r="P339" s="43" t="n"/>
      <c r="Q339" s="43" t="n"/>
      <c r="R339" s="43" t="n"/>
      <c r="S339" s="43" t="n"/>
      <c r="T339" s="43" t="inlineStr">
        <is>
          <t>Y</t>
        </is>
      </c>
      <c r="U339" s="33" t="inlineStr">
        <is>
          <t xml:space="preserve">FUENTE: Deviation.csv, filas CSV 1326-1329; Workflow=Expired; Date Released=2026-06-27; Date Originated=2026-06-06; Site=FJZP, Plant=MCGA (sin convertir automaticamente a FJZ); 4 filas PN; APROBACION Y APLICABILIDAD NO VALIDADAS. </t>
        </is>
      </c>
    </row>
    <row r="340">
      <c r="A340" s="35" t="inlineStr">
        <is>
          <t>DEV-CTANJZ05284</t>
        </is>
      </c>
      <c r="B340" s="35" t="inlineStr">
        <is>
          <t>DEVIATION</t>
        </is>
      </c>
      <c r="C340" s="35" t="inlineStr">
        <is>
          <t>D611785</t>
        </is>
      </c>
      <c r="D340" s="35" t="n"/>
      <c r="E340" s="36" t="inlineStr">
        <is>
          <t>D611785 Need to qualify VOS617A-7T on 73-21146-12 for Assy Qual Request # : AQR003707792 Which is a Supplier PCN from VOS617A-7T for PCN TYPE : Process Change on GQR GQR000090455 and AQR AQR003707792FVN/FOL/FJZ can arrange MFG qual build-3 boards with latest PCBA or down version</t>
        </is>
      </c>
      <c r="F340" s="35" t="inlineStr">
        <is>
          <t>Pending</t>
        </is>
      </c>
      <c r="G340" s="35" t="n"/>
      <c r="H340" s="35" t="inlineStr">
        <is>
          <t>Pending Review</t>
        </is>
      </c>
      <c r="I340" s="35" t="inlineStr">
        <is>
          <t>CRBU</t>
        </is>
      </c>
      <c r="J340" s="35" t="inlineStr">
        <is>
          <t>CTANJZ05284</t>
        </is>
      </c>
      <c r="K340" s="37" t="n"/>
      <c r="L340" s="37" t="n"/>
      <c r="M340" s="37" t="n">
        <v>46360</v>
      </c>
      <c r="N340" s="35" t="n"/>
      <c r="O340" s="35" t="n"/>
      <c r="P340" s="35" t="n"/>
      <c r="Q340" s="35" t="n"/>
      <c r="R340" s="35" t="n"/>
      <c r="S340" s="35" t="n"/>
      <c r="T340" s="35" t="inlineStr">
        <is>
          <t>Y</t>
        </is>
      </c>
      <c r="U340" s="36" t="inlineStr">
        <is>
          <t xml:space="preserve">FUENTE: Deviation.csv, filas CSV 144-331; Workflow=Extended; Date Released=2026-07-02; Date Originated=2026-06-09; Site=FJZP, Plant=MCGA (sin convertir automaticamente a FJZ); 4 filas PN; APROBACION Y APLICABILIDAD NO VALIDADAS. </t>
        </is>
      </c>
    </row>
    <row r="341">
      <c r="A341" s="43" t="inlineStr">
        <is>
          <t>DEV-CTANJZ05285</t>
        </is>
      </c>
      <c r="B341" s="43" t="inlineStr">
        <is>
          <t>DEVIATION</t>
        </is>
      </c>
      <c r="C341" s="43" t="inlineStr">
        <is>
          <t>D611828</t>
        </is>
      </c>
      <c r="D341" s="43" t="n"/>
      <c r="E341" s="33" t="inlineStr">
        <is>
          <t>D611828 CRBU: LC4/5 Vanguard/Lancer Daughter Board (28-14421-07 rev01) Material EM528 Risk Buy in anticipation of release of ECO EA619918FJZ / FVN sites to proceed ordering replacement EM528 PCB material CPN - 28-14421-07 as existing CPN material with EM888 is EOL.GCE MPN: 28-14421-07_S201_M207-01ISU MPN: 28-14421-07_S102_M207-01WUS MPN: 28-14421-07_S110_M207-01</t>
        </is>
      </c>
      <c r="F341" s="43" t="inlineStr">
        <is>
          <t>Pending</t>
        </is>
      </c>
      <c r="G341" s="43" t="inlineStr">
        <is>
          <t>Expired</t>
        </is>
      </c>
      <c r="H341" s="43" t="inlineStr">
        <is>
          <t>Pending Review</t>
        </is>
      </c>
      <c r="I341" s="43" t="inlineStr">
        <is>
          <t>CRBU</t>
        </is>
      </c>
      <c r="J341" s="43" t="inlineStr">
        <is>
          <t>CTANJZ05285</t>
        </is>
      </c>
      <c r="K341" s="32" t="n"/>
      <c r="L341" s="32" t="n"/>
      <c r="M341" s="32" t="n">
        <v>46270</v>
      </c>
      <c r="N341" s="43" t="n"/>
      <c r="O341" s="43" t="n"/>
      <c r="P341" s="43" t="n"/>
      <c r="Q341" s="43" t="n"/>
      <c r="R341" s="43" t="n"/>
      <c r="S341" s="43" t="n"/>
      <c r="T341" s="43" t="inlineStr">
        <is>
          <t>Y</t>
        </is>
      </c>
      <c r="U341" s="33" t="inlineStr">
        <is>
          <t xml:space="preserve">FUENTE: Deviation.csv, filas CSV 1500-1561; Workflow=Expired; Date Released=2026-07-02; Date Originated=2026-06-09; Site=FJZP, Plant=MCGA (sin convertir automaticamente a FJZ); 9 filas PN; APROBACION Y APLICABILIDAD NO VALIDADAS. </t>
        </is>
      </c>
    </row>
    <row r="342">
      <c r="A342" s="35" t="inlineStr">
        <is>
          <t>DEV-CTANJZ05286</t>
        </is>
      </c>
      <c r="B342" s="35" t="inlineStr">
        <is>
          <t>DEVIATION</t>
        </is>
      </c>
      <c r="C342" s="35" t="inlineStr">
        <is>
          <t>D611905</t>
        </is>
      </c>
      <c r="D342" s="35" t="n"/>
      <c r="E342" s="36"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F342" s="35" t="inlineStr">
        <is>
          <t>Pending</t>
        </is>
      </c>
      <c r="G342" s="35" t="inlineStr">
        <is>
          <t>Expired</t>
        </is>
      </c>
      <c r="H342" s="35" t="inlineStr">
        <is>
          <t>Pending Review</t>
        </is>
      </c>
      <c r="I342" s="35" t="inlineStr">
        <is>
          <t>STBU</t>
        </is>
      </c>
      <c r="J342" s="35" t="inlineStr">
        <is>
          <t>CTANJZ05286</t>
        </is>
      </c>
      <c r="K342" s="37" t="n"/>
      <c r="L342" s="37" t="n"/>
      <c r="M342" s="37" t="n">
        <v>46272</v>
      </c>
      <c r="N342" s="35" t="n"/>
      <c r="O342" s="35" t="n"/>
      <c r="P342" s="35" t="n"/>
      <c r="Q342" s="35" t="n"/>
      <c r="R342" s="35" t="n"/>
      <c r="S342" s="35" t="n"/>
      <c r="T342" s="35" t="inlineStr">
        <is>
          <t>Y</t>
        </is>
      </c>
      <c r="U342" s="36" t="inlineStr">
        <is>
          <t xml:space="preserve">FUENTE: Deviation.csv, filas CSV 1217-1325; Workflow=Expired; Date Released=2026-07-07; Date Originated=2026-06-10; Site=FJZP, Plant=MCGA (sin convertir automaticamente a FJZ); 12 filas PN; APROBACION Y APLICABILIDAD NO VALIDADAS. </t>
        </is>
      </c>
    </row>
    <row r="343">
      <c r="A343" s="43" t="inlineStr">
        <is>
          <t>DEV-CTANJZ05289</t>
        </is>
      </c>
      <c r="B343" s="43" t="inlineStr">
        <is>
          <t>DEVIATION</t>
        </is>
      </c>
      <c r="C343" s="43" t="inlineStr">
        <is>
          <t>DP526170</t>
        </is>
      </c>
      <c r="D343" s="43" t="n"/>
      <c r="E343" s="33" t="inlineStr">
        <is>
          <t>DP526170CVEBU; Risk buy of NDAA PCBs for Tyne Main Board and Audio Board from Founder ThailandAffected item28-104097-06; PCBFAB; 14L; High Temp FR4; 2.2mm; OSP; Tyne Codec; Main Board; NDAA (28-103367-06)   28-104098-04; PCBFAB; 8L; High Temp FR4; 1.6mm; OSP; Tyne Codec; Audio Board; NDAA (28-103453-04)   Risk buy instruction- FJZ is hereby instructed to place 2 urgent POs to Founder TH   - PO 1: 600 pieces of 28-104097-06/28-103367-06_S606_M604 with fastest possible ETD from Founder   - PO 1: 600 pieces of 28-104098-04/28-103453-04_S606_M604 with fastest possible ETD from Founder   - PO 2: 600 pieces of 28-104097-06/28-103367-06_S606_M604 with ETD from Founder March 1st 2027   - PO 2: 600 pieces of 28-104098-04/28-103453-04_S606_M604 with ETD from Founder March 1st 2027Background- 28-104097-06 is the same PCB as 28-103367-06; but with only Founder TH MPN 28-103367-06_S606_M604 on the AVL- 28-104098-04 is the same PCB as 28-103453-04; but with only Founder TH MPN 28-103453-04_S606_M604 on the AVL- 28-103367-06_S606_M604 and 28-103453-04_S606_M604 will be qualified during summer 2026 through D611479- Due to long LT; this deviation is needed to kick off material sourcing for required NDAA PCBs; in paralell with PCB qualification.- Cisco EPE team will try to coordinate above with Founder TH in parallel- Only FJZ makes these PCBAs; hence FJZ is the only CM that needs to secure this PCB.Cisco contact: Havard Sorensen and Lee Hudson</t>
        </is>
      </c>
      <c r="F343" s="43" t="inlineStr">
        <is>
          <t>Pending</t>
        </is>
      </c>
      <c r="G343" s="43" t="inlineStr">
        <is>
          <t>Expired</t>
        </is>
      </c>
      <c r="H343" s="43" t="inlineStr">
        <is>
          <t>Pending Review</t>
        </is>
      </c>
      <c r="I343" s="43" t="inlineStr">
        <is>
          <t>CVEBU</t>
        </is>
      </c>
      <c r="J343" s="43" t="inlineStr">
        <is>
          <t>CTANJZ05289</t>
        </is>
      </c>
      <c r="K343" s="32" t="n"/>
      <c r="L343" s="32" t="n"/>
      <c r="M343" s="32" t="n">
        <v>46223</v>
      </c>
      <c r="N343" s="43" t="n"/>
      <c r="O343" s="43" t="n"/>
      <c r="P343" s="43" t="n"/>
      <c r="Q343" s="43" t="n"/>
      <c r="R343" s="43" t="n"/>
      <c r="S343" s="43" t="n"/>
      <c r="T343" s="43" t="inlineStr">
        <is>
          <t>Y</t>
        </is>
      </c>
      <c r="U343" s="33" t="inlineStr">
        <is>
          <t xml:space="preserve">FUENTE: Deviation.csv, filas CSV 184-185; Workflow=Expired; Date Released=2026-07-07; Date Originated=2026-06-11; Site=FJZP, Plant=MCGA (sin convertir automaticamente a FJZ); 2 filas PN; APROBACION Y APLICABILIDAD NO VALIDADAS. </t>
        </is>
      </c>
    </row>
    <row r="344">
      <c r="A344" s="35" t="inlineStr">
        <is>
          <t>DEV-CTANJZ05290</t>
        </is>
      </c>
      <c r="B344" s="35" t="inlineStr">
        <is>
          <t>DEVIATION</t>
        </is>
      </c>
      <c r="C344" s="35" t="inlineStr">
        <is>
          <t>D612021</t>
        </is>
      </c>
      <c r="D344" s="35" t="n"/>
      <c r="E344" s="36" t="inlineStr">
        <is>
          <t>D612021 CVEBU: TyneDue to quality issues on Taylor Modules produced at FJZ; Cisco would like FVN to support FJZ with Taylor Modules for an INTERIM period until quality issues at FJZ are under control800-117978-03 E/M_ASSY_MECH;TAYLOR HIGH MODULE;MICRON 16GB LPDDR5Where used: Tyne800-118978-03 E/M_ASSY_MECH;TAYLOR HIGH MODULE;HYNIX 16GB LPDDR5Where used: BayfrontFJZ is allowed to use 800-118978-03 instead of 800-117978-03 for all Tyne Radio units 68-104853-01.FJZ must clearly label units that have built with FVN modules (800-118978-03) and prepare such shipments to any BTS site on a separate pallet. FJZ must inform Cisco and the BTS site about when such a shipment takes place so Cisco can do proper arrangements.</t>
        </is>
      </c>
      <c r="F344" s="35" t="inlineStr">
        <is>
          <t>Pending</t>
        </is>
      </c>
      <c r="G344" s="35" t="n"/>
      <c r="H344" s="35" t="inlineStr">
        <is>
          <t>Pending Review</t>
        </is>
      </c>
      <c r="I344" s="35" t="inlineStr">
        <is>
          <t>CVEBU</t>
        </is>
      </c>
      <c r="J344" s="35" t="inlineStr">
        <is>
          <t>CTANJZ05290</t>
        </is>
      </c>
      <c r="K344" s="37" t="n"/>
      <c r="L344" s="37" t="n"/>
      <c r="M344" s="37" t="n">
        <v>46363</v>
      </c>
      <c r="N344" s="35" t="n"/>
      <c r="O344" s="35" t="n"/>
      <c r="P344" s="35" t="n"/>
      <c r="Q344" s="35" t="n"/>
      <c r="R344" s="35" t="n"/>
      <c r="S344" s="35" t="n"/>
      <c r="T344" s="35" t="inlineStr">
        <is>
          <t>Y</t>
        </is>
      </c>
      <c r="U344" s="36" t="inlineStr">
        <is>
          <t xml:space="preserve">FUENTE: Deviation.csv, filas CSV 642-645; Workflow=Extended; Date Released=2026-06-20; Date Originated=2026-06-12; Site=FJZP, Plant=MCGA (sin convertir automaticamente a FJZ); 4 filas PN; APROBACION Y APLICABILIDAD NO VALIDADAS. </t>
        </is>
      </c>
    </row>
    <row r="345">
      <c r="A345" s="43" t="inlineStr">
        <is>
          <t>DEV-CTANJZ05291</t>
        </is>
      </c>
      <c r="B345" s="43" t="inlineStr">
        <is>
          <t>DEVIATION</t>
        </is>
      </c>
      <c r="C345" s="43" t="inlineStr">
        <is>
          <t>D611588</t>
        </is>
      </c>
      <c r="D345" s="43" t="n"/>
      <c r="E345" s="33" t="inlineStr">
        <is>
          <t>D611588ERBU : WASP RP:  Allowing FVN to socket program the  17-102236-02 (I210) part with 17-102236-01 image ( p1a_06_flash_readout.bin )(V3.25) and use in production.FVN to follow the below process for the new Build.1. FVN to socket program the  17-102236-02 (I210) part with 17-102236-01 image ( p1a_06_flash_readout.bin )(V3.25)2. Use socket programmed I210 part 17-102236-02 on (U174 ) reference designator in the new Build.3. Do the ETE testing  with the Socket programmed parts verify the V3.30 version .4. Share the Results to Cisco for Log review for first 3 boards.FAI Qualification of the new I210 image parts from SMART 17-102236-03.1. Please take 2 boards of 73-102363-05  and mount the below MPN parts on the boards and do the MFG qual.Verify  the FPD version of the pre-programmed part V3.30 version.CPN:17-102236-03 [I210]MPN:MX25L6433FM2I-08QMFG:MACRONIXQty/Board:1Ref Des:U1742. Please take 2 boards of 73-102363-05  and mount the below MPN parts on the boards and do the MFG qual.Verify  the FPD version of the pre-programmed part V3.30 version.CPN:17-102236-03 [I210]MPN:W25Q64JVSSIMMFG:WINBONDQty/Board:1Ref Des:U1743. Please take 2 boards of 73-102363-05  and mount the below MPN parts on the boards and do the MFG qual.Verify  the FPD version of the pre-programmed part V3.30 version.CPN:17-102236-03 [I210]MPN:IS25LP064A-JBLEMFG:ISSIQty/Board:1Ref Des:U174FVN to share the FAI report .</t>
        </is>
      </c>
      <c r="F345" s="43" t="inlineStr">
        <is>
          <t>Pending</t>
        </is>
      </c>
      <c r="G345" s="43" t="inlineStr">
        <is>
          <t>Expired</t>
        </is>
      </c>
      <c r="H345" s="43" t="inlineStr">
        <is>
          <t>Pending Review</t>
        </is>
      </c>
      <c r="I345" s="43" t="inlineStr">
        <is>
          <t>CRBU</t>
        </is>
      </c>
      <c r="J345" s="43" t="inlineStr">
        <is>
          <t>CTANJZ05291</t>
        </is>
      </c>
      <c r="K345" s="32" t="n"/>
      <c r="L345" s="32" t="n"/>
      <c r="M345" s="32" t="n">
        <v>46277</v>
      </c>
      <c r="N345" s="43" t="n"/>
      <c r="O345" s="43" t="n"/>
      <c r="P345" s="43" t="n"/>
      <c r="Q345" s="43" t="n"/>
      <c r="R345" s="43" t="n"/>
      <c r="S345" s="43" t="n"/>
      <c r="T345" s="43" t="inlineStr">
        <is>
          <t>Y</t>
        </is>
      </c>
      <c r="U345" s="33" t="inlineStr">
        <is>
          <t xml:space="preserve">FUENTE: Deviation.csv, filas CSV 1342-1344; Workflow=Expired; Date Released=2026-07-02; Date Originated=2026-06-15; Site=FJZP, Plant=MCGA (sin convertir automaticamente a FJZ); 3 filas PN; APROBACION Y APLICABILIDAD NO VALIDADAS. </t>
        </is>
      </c>
    </row>
    <row r="346">
      <c r="A346" s="35" t="inlineStr">
        <is>
          <t>DEV-CTANJZ05292</t>
        </is>
      </c>
      <c r="B346" s="35" t="inlineStr">
        <is>
          <t>DEVIATION</t>
        </is>
      </c>
      <c r="C346" s="35" t="inlineStr">
        <is>
          <t>D612032</t>
        </is>
      </c>
      <c r="D346" s="35" t="n"/>
      <c r="E346" s="36" t="inlineStr">
        <is>
          <t>D612032 Need to qualify CCN000008819 CCN000009497 CCN000009814 on Wasp1-RP/Wasp1-SC/K2</t>
        </is>
      </c>
      <c r="F346" s="35" t="inlineStr">
        <is>
          <t>Pending</t>
        </is>
      </c>
      <c r="G346" s="38" t="n"/>
      <c r="H346" s="35" t="inlineStr">
        <is>
          <t>Pending Review</t>
        </is>
      </c>
      <c r="I346" s="35" t="inlineStr">
        <is>
          <t>CRBU</t>
        </is>
      </c>
      <c r="J346" s="35" t="inlineStr">
        <is>
          <t>CTANJZ05292</t>
        </is>
      </c>
      <c r="K346" s="37" t="n"/>
      <c r="L346" s="37" t="n"/>
      <c r="M346" s="37" t="n"/>
      <c r="N346" s="35" t="n"/>
      <c r="O346" s="35" t="n"/>
      <c r="P346" s="35" t="n"/>
      <c r="Q346" s="35" t="n"/>
      <c r="R346" s="35" t="n"/>
      <c r="S346" s="35" t="n"/>
      <c r="T346" s="35" t="inlineStr">
        <is>
          <t>Y</t>
        </is>
      </c>
      <c r="U346" s="36" t="inlineStr">
        <is>
          <t>FUENTE: Deviation.csv, filas CSV 189-337; Workflow=Expired / Extended; Date Released=2026-07-02; Date Originated=2026-06-16; Site=FJZP, Plant=MCGA (sin convertir automaticamente a FJZ); 7 filas PN; APROBACION Y APLICABILIDAD NO VALIDADAS. CONFLICTOS: Status: Expired / Extended | Effective To: 2026-09-13 / 2026-12-11 | Descrition of Change: D612032 Need to qualify CCN000008819 CCN000009497 CCN000009814 on Wasp1-RP/Wasp1-SC/K2 / D612032Need to qualify CCN00000</t>
        </is>
      </c>
    </row>
    <row r="347">
      <c r="A347" s="43" t="inlineStr">
        <is>
          <t>DEV-CTANJZ05295</t>
        </is>
      </c>
      <c r="B347" s="43" t="inlineStr">
        <is>
          <t>DEVIATION</t>
        </is>
      </c>
      <c r="C347" s="43" t="inlineStr">
        <is>
          <t>D611861</t>
        </is>
      </c>
      <c r="D347" s="43" t="n"/>
      <c r="E347" s="33" t="inlineStr">
        <is>
          <t>D611861 During 2023; EDI for 68-104007-02 was overstated which made FJZ to build a lot of units but booking did not come. After noticing EDI was adjusted way down; these units remained as excess. Now that some customers have asked for these modules on their systems; we need to use this old stock; otherwise orders can be cancelledAs there are already escalations for the orders; we need to fulfill them as needed</t>
        </is>
      </c>
      <c r="F347" s="43" t="inlineStr">
        <is>
          <t>Pending</t>
        </is>
      </c>
      <c r="G347" s="43" t="inlineStr">
        <is>
          <t>Expired</t>
        </is>
      </c>
      <c r="H347" s="43" t="inlineStr">
        <is>
          <t>Pending Review</t>
        </is>
      </c>
      <c r="I347" s="43" t="inlineStr">
        <is>
          <t>STBU</t>
        </is>
      </c>
      <c r="J347" s="43" t="inlineStr">
        <is>
          <t>CTANJZ05295</t>
        </is>
      </c>
      <c r="K347" s="32" t="n"/>
      <c r="L347" s="32" t="n"/>
      <c r="M347" s="32" t="n">
        <v>46279</v>
      </c>
      <c r="N347" s="43" t="n"/>
      <c r="O347" s="43" t="n"/>
      <c r="P347" s="43" t="n"/>
      <c r="Q347" s="43" t="n"/>
      <c r="R347" s="43" t="n"/>
      <c r="S347" s="43" t="n"/>
      <c r="T347" s="43" t="inlineStr">
        <is>
          <t>Y</t>
        </is>
      </c>
      <c r="U347" s="33" t="inlineStr">
        <is>
          <t xml:space="preserve">FUENTE: Deviation.csv, filas CSV 1334-1334; Workflow=Expired; Date Released=2026-07-07; Date Originated=2026-06-17; Site=FJZP, Plant=MCGA (sin convertir automaticamente a FJZ); 1 filas PN; APROBACION Y APLICABILIDAD NO VALIDADAS. </t>
        </is>
      </c>
    </row>
    <row r="348">
      <c r="A348" s="35" t="inlineStr">
        <is>
          <t>DEV-CTANJZ05297</t>
        </is>
      </c>
      <c r="B348" s="35" t="inlineStr">
        <is>
          <t>DEVIATION</t>
        </is>
      </c>
      <c r="C348" s="35" t="inlineStr">
        <is>
          <t>D612129</t>
        </is>
      </c>
      <c r="D348" s="35" t="n"/>
      <c r="E348" s="36" t="inlineStr">
        <is>
          <t>D612129 CVEBU: CS-CAM-PTZ4K+; add a prefix SVP in front of the manufacturer Serial number.This new deviation is an extension of D605923.</t>
        </is>
      </c>
      <c r="F348" s="35" t="inlineStr">
        <is>
          <t>Pending</t>
        </is>
      </c>
      <c r="G348" s="35" t="inlineStr">
        <is>
          <t>Expired</t>
        </is>
      </c>
      <c r="H348" s="35" t="inlineStr">
        <is>
          <t>Pending Review</t>
        </is>
      </c>
      <c r="I348" s="35" t="inlineStr">
        <is>
          <t>CVEBU</t>
        </is>
      </c>
      <c r="J348" s="35" t="inlineStr">
        <is>
          <t>CTANJZ05297</t>
        </is>
      </c>
      <c r="K348" s="37" t="n"/>
      <c r="L348" s="37" t="n"/>
      <c r="M348" s="37" t="n">
        <v>46279</v>
      </c>
      <c r="N348" s="35" t="n"/>
      <c r="O348" s="35" t="n"/>
      <c r="P348" s="35" t="n"/>
      <c r="Q348" s="35" t="n"/>
      <c r="R348" s="35" t="n"/>
      <c r="S348" s="35" t="n"/>
      <c r="T348" s="35" t="inlineStr">
        <is>
          <t>Y</t>
        </is>
      </c>
      <c r="U348" s="36" t="inlineStr">
        <is>
          <t xml:space="preserve">FUENTE: Deviation.csv, filas CSV 1333-1333; Workflow=Expired; Date Released=2026-06-30; Date Originated=2026-06-17; Site=FJZP, Plant=MCGA (sin convertir automaticamente a FJZ); 1 filas PN; APROBACION Y APLICABILIDAD NO VALIDADAS. </t>
        </is>
      </c>
    </row>
    <row r="349">
      <c r="A349" s="43" t="inlineStr">
        <is>
          <t>DEV-CTANJZ05298</t>
        </is>
      </c>
      <c r="B349" s="43" t="inlineStr">
        <is>
          <t>DEVIATION</t>
        </is>
      </c>
      <c r="C349" s="43" t="inlineStr">
        <is>
          <t>D612004</t>
        </is>
      </c>
      <c r="D349" s="43" t="n"/>
      <c r="E349" s="33" t="inlineStr">
        <is>
          <t>D612004 CRBU NG-D LC7 ::: Cisco request 100% of a new build going thru the rework and reporting any failures from functional tests.Rework Instructions for addressing the CHECK_LPBK_STATUS failure in PCB2C Diag on Dauntless LC7 WIP/new build.TAN ::: 68-7393-03PCA ::: 73-20516-05 ( any production version &amp; revision )* 73-20516-XX: Rework Instructions1. Removed 0-ohm R1468.2. Add connection between  R1468.1 pad and C1398.2 pad either with 0-ohm resistor or wire jumper (picture depicts below). FOL may re-use the removed 0-ohm resistor from R1468.</t>
        </is>
      </c>
      <c r="F349" s="43" t="inlineStr">
        <is>
          <t>Pending</t>
        </is>
      </c>
      <c r="G349" s="43" t="inlineStr">
        <is>
          <t>Expired</t>
        </is>
      </c>
      <c r="H349" s="43" t="inlineStr">
        <is>
          <t>Pending Review</t>
        </is>
      </c>
      <c r="I349" s="43" t="inlineStr">
        <is>
          <t>CRBU</t>
        </is>
      </c>
      <c r="J349" s="43" t="inlineStr">
        <is>
          <t>CTANJZ05298</t>
        </is>
      </c>
      <c r="K349" s="32" t="n"/>
      <c r="L349" s="32" t="n"/>
      <c r="M349" s="32" t="n">
        <v>46280</v>
      </c>
      <c r="N349" s="43" t="n"/>
      <c r="O349" s="43" t="n"/>
      <c r="P349" s="43" t="n"/>
      <c r="Q349" s="43" t="n"/>
      <c r="R349" s="43" t="n"/>
      <c r="S349" s="43" t="n"/>
      <c r="T349" s="43" t="inlineStr">
        <is>
          <t>Y</t>
        </is>
      </c>
      <c r="U349" s="33" t="inlineStr">
        <is>
          <t xml:space="preserve">FUENTE: Deviation.csv, filas CSV 1330-1332; Workflow=Expired; Date Released=2026-07-15; Date Originated=2026-06-17; Site=FJZP, Plant=MCGA (sin convertir automaticamente a FJZ); 3 filas PN; APROBACION Y APLICABILIDAD NO VALIDADAS. </t>
        </is>
      </c>
    </row>
    <row r="350">
      <c r="A350" s="35" t="inlineStr">
        <is>
          <t>DEV-CTANJZ05299</t>
        </is>
      </c>
      <c r="B350" s="35" t="inlineStr">
        <is>
          <t>DEVIATION</t>
        </is>
      </c>
      <c r="C350" s="35" t="inlineStr">
        <is>
          <t>DP526170</t>
        </is>
      </c>
      <c r="D350" s="35" t="n"/>
      <c r="E350" s="36" t="inlineStr">
        <is>
          <t>DP526170CVEBU; Risk buy of NDAA PCBs for Tyne Main Board and Audio Board from Founder ThailandAffected item28-104097-06; PCBFAB; 14L; High Temp FR4; 2.2mm; OSP; Tyne Codec; Main Board; NDAA (28-103367-06)   28-104098-04; PCBFAB; 8L; High Temp FR4; 1.6mm; OSP; Tyne Codec; Audio Board; NDAA (28-103453-04)   Risk buy instruction- FJZ is hereby instructed to place 2 urgent POs to Founder TH   - PO 1: 600 pieces of 28-104097-06/28-103367-06_S606_M604 with fastest possible ETD from Founder   - PO 1: 600 pieces of 28-104098-04/28-103453-04_S606_M604 with fastest possible ETD from Founder   - PO 2: 600 pieces of 28-104097-06/28-103367-06_S606_M604 with ETD from Founder March 1st 2027   - PO 2: 600 pieces of 28-104098-04/28-103453-04_S606_M604 with ETD from Founder March 1st 2027Background- 28-104097-06 is the same PCB as 28-103367-06; but with only Founder TH MPN 28-103367-06_S606_M604 on the AVL- 28-104098-04 is the same PCB as 28-103453-04; but with only Founder TH MPN 28-103453-04_S606_M604 on the AVL- 28-103367-06_S606_M604 and 28-103453-04_S606_M604 will be qualified during summer 2026 through D611479- Due to long LT; this deviation is needed to kick off material sourcing for required NDAA PCBs; in paralell with PCB qualification.- Cisco EPE team will try to coordinate above with Founder TH in parallel- Only FJZ makes these PCBAs; hence FJZ is the only CM that needs to secure this PCB.Cisco contact: Havard Sorensen and Lee Hudson</t>
        </is>
      </c>
      <c r="F350" s="35" t="inlineStr">
        <is>
          <t>Pending</t>
        </is>
      </c>
      <c r="G350" s="35" t="inlineStr">
        <is>
          <t>Expired</t>
        </is>
      </c>
      <c r="H350" s="35" t="inlineStr">
        <is>
          <t>Pending Review</t>
        </is>
      </c>
      <c r="I350" s="35" t="inlineStr">
        <is>
          <t>CVEBU</t>
        </is>
      </c>
      <c r="J350" s="35" t="inlineStr">
        <is>
          <t>CTANJZ05299</t>
        </is>
      </c>
      <c r="K350" s="37" t="n"/>
      <c r="L350" s="37" t="n"/>
      <c r="M350" s="37" t="n">
        <v>46223</v>
      </c>
      <c r="N350" s="35" t="n"/>
      <c r="O350" s="35" t="n"/>
      <c r="P350" s="35" t="n"/>
      <c r="Q350" s="35" t="n"/>
      <c r="R350" s="35" t="n"/>
      <c r="S350" s="35" t="n"/>
      <c r="T350" s="35" t="inlineStr">
        <is>
          <t>Y</t>
        </is>
      </c>
      <c r="U350" s="36" t="inlineStr">
        <is>
          <t xml:space="preserve">FUENTE: Deviation.csv, filas CSV 176-177; Workflow=Expired; Date Released=sin dato; Date Originated=2026-06-18; Site=FJZP, Plant=MCGA (sin convertir automaticamente a FJZ); 2 filas PN; APROBACION Y APLICABILIDAD NO VALIDADAS. </t>
        </is>
      </c>
    </row>
    <row r="351">
      <c r="A351" s="43" t="inlineStr">
        <is>
          <t>DEV-CTANJZ05301</t>
        </is>
      </c>
      <c r="B351" s="43" t="inlineStr">
        <is>
          <t>DEVIATION</t>
        </is>
      </c>
      <c r="C351" s="43" t="inlineStr">
        <is>
          <t>D611612</t>
        </is>
      </c>
      <c r="D351" s="43" t="n"/>
      <c r="E351" s="33" t="inlineStr">
        <is>
          <t>D611612 Please see PageThree for details</t>
        </is>
      </c>
      <c r="F351" s="43" t="inlineStr">
        <is>
          <t>Pending</t>
        </is>
      </c>
      <c r="G351" s="43" t="inlineStr">
        <is>
          <t>Expired</t>
        </is>
      </c>
      <c r="H351" s="43" t="inlineStr">
        <is>
          <t>Pending Review</t>
        </is>
      </c>
      <c r="I351" s="43" t="inlineStr">
        <is>
          <t>CRBU</t>
        </is>
      </c>
      <c r="J351" s="43" t="inlineStr">
        <is>
          <t>CTANJZ05301</t>
        </is>
      </c>
      <c r="K351" s="32" t="n"/>
      <c r="L351" s="32" t="n"/>
      <c r="M351" s="32" t="n">
        <v>46281</v>
      </c>
      <c r="N351" s="43" t="n"/>
      <c r="O351" s="43" t="n"/>
      <c r="P351" s="43" t="n"/>
      <c r="Q351" s="43" t="n"/>
      <c r="R351" s="43" t="n"/>
      <c r="S351" s="43" t="n"/>
      <c r="T351" s="43" t="inlineStr">
        <is>
          <t>Y</t>
        </is>
      </c>
      <c r="U351" s="33" t="inlineStr">
        <is>
          <t xml:space="preserve">FUENTE: Deviation.csv, filas CSV 1129-1257; Workflow=Expired; Date Released=sin dato; Date Originated=2026-06-20; Site=FJZP, Plant=MCGA (sin convertir automaticamente a FJZ); 10 filas PN; APROBACION Y APLICABILIDAD NO VALIDADAS. </t>
        </is>
      </c>
    </row>
    <row r="352">
      <c r="A352" s="35" t="inlineStr">
        <is>
          <t>DEV-CTANJZ05302</t>
        </is>
      </c>
      <c r="B352" s="35" t="inlineStr">
        <is>
          <t>DEVIATION</t>
        </is>
      </c>
      <c r="C352" s="35" t="inlineStr">
        <is>
          <t>D611944</t>
        </is>
      </c>
      <c r="D352" s="35" t="n"/>
      <c r="E352" s="36" t="inlineStr">
        <is>
          <t>D611944 CVEBU;Mimir + all other CVEBU products 73-103946-03 -06	PCA;MIMIR BOARD   In BOM    15-107243-01 IC-TIMING;GENERATOR;VFQFPN;24 P;4.0x4.0mm PKGSIZE;0.5mm PITCH;1.8V to 3.3V;-40 to 85 C;un-programmed Obsolete:  Renesas 5P49V6965A000NLGI (Unprogrammed)(To obsolete by MCO106791) Qualified: Renesas 5P49V6965A001NLGI (Pre-programmed)  Due to shortage; Foxconn is allowed to source from brookers and use the Obsoleted part in all affected CVEBU products.</t>
        </is>
      </c>
      <c r="F352" s="35" t="inlineStr">
        <is>
          <t>Pending</t>
        </is>
      </c>
      <c r="G352" s="38" t="inlineStr">
        <is>
          <t>Expired</t>
        </is>
      </c>
      <c r="H352" s="35" t="inlineStr">
        <is>
          <t>Pending Review</t>
        </is>
      </c>
      <c r="I352" s="35" t="inlineStr">
        <is>
          <t>CVEBU</t>
        </is>
      </c>
      <c r="J352" s="35" t="inlineStr">
        <is>
          <t>CTANJZ05302</t>
        </is>
      </c>
      <c r="K352" s="37" t="n"/>
      <c r="L352" s="37" t="n"/>
      <c r="M352" s="37" t="n">
        <v>46281</v>
      </c>
      <c r="N352" s="35" t="n"/>
      <c r="O352" s="35" t="n"/>
      <c r="P352" s="35" t="n"/>
      <c r="Q352" s="35" t="n"/>
      <c r="R352" s="35" t="n"/>
      <c r="S352" s="35" t="n"/>
      <c r="T352" s="35" t="inlineStr">
        <is>
          <t>Y</t>
        </is>
      </c>
      <c r="U352" s="36" t="inlineStr">
        <is>
          <t>FUENTE: Deviation.csv, filas CSV 528-563; Workflow=Expired; Date Released=2026-06-30; Date Originated=2026-06-20; Site=FJZP, Plant=MCGA (sin convertir automaticamente a FJZ); 17 filas PN; APROBACION Y APLICABILIDAD NO VALIDADAS. CONFLICTOS: Descrition of Change: D611944 CVEBU;Mimir + all other CVEBU products 73-103946-03 -06	PCA;MIMIR BOARD   In BOM    15-107243-01 IC-TIMING;GENER</t>
        </is>
      </c>
    </row>
    <row r="353">
      <c r="A353" s="43" t="inlineStr">
        <is>
          <t>DEV-CTANJZ05303</t>
        </is>
      </c>
      <c r="B353" s="43" t="inlineStr">
        <is>
          <t>DEVIATION</t>
        </is>
      </c>
      <c r="C353" s="43" t="inlineStr">
        <is>
          <t>DP526278</t>
        </is>
      </c>
      <c r="D353" s="43" t="n"/>
      <c r="E353" s="33" t="inlineStr">
        <is>
          <t>DP526278 CVEBU; Risk buy of NDAA Stylus for use in Pictoris  Affected items 74-137567-02; TPASY-OTHER;ACCESSORY; DESK PRO STYLUS;NDAA    Risk buy instruction to FJZ DF Site - FJZ DF site is hereby instructed to place following risk buy PO    - 1000 pieces of 74-137567-02/74-137567-02 from Wacom with fastest possible ETD    - 1000 pieces of 74-137567-02/74-137567-02 from Wacom with ETD March 1st 2027</t>
        </is>
      </c>
      <c r="F353" s="43" t="inlineStr">
        <is>
          <t>Pending</t>
        </is>
      </c>
      <c r="G353" s="38" t="inlineStr">
        <is>
          <t>Expired</t>
        </is>
      </c>
      <c r="H353" s="43" t="inlineStr">
        <is>
          <t>Pending Review</t>
        </is>
      </c>
      <c r="I353" s="43" t="inlineStr">
        <is>
          <t>CVEBU</t>
        </is>
      </c>
      <c r="J353" s="43" t="inlineStr">
        <is>
          <t>CTANJZ05303</t>
        </is>
      </c>
      <c r="K353" s="32" t="n"/>
      <c r="L353" s="32" t="n"/>
      <c r="M353" s="32" t="n">
        <v>46251</v>
      </c>
      <c r="N353" s="43" t="n"/>
      <c r="O353" s="43" t="n"/>
      <c r="P353" s="43" t="n"/>
      <c r="Q353" s="43" t="n"/>
      <c r="R353" s="43" t="n"/>
      <c r="S353" s="43" t="n"/>
      <c r="T353" s="43" t="inlineStr">
        <is>
          <t>Y</t>
        </is>
      </c>
      <c r="U353" s="33" t="inlineStr">
        <is>
          <t>FUENTE: Deviation.csv, filas CSV 292-1891; Workflow=Expired; Date Released=2026-07-02; Date Originated=2026-06-20; Site=FJZP, Plant=MCGA (sin convertir automaticamente a FJZ); 2 filas PN; APROBACION Y APLICABILIDAD NO VALIDADAS. CONFLICTOS: Descrition of Change: DP526278 CVEBU; Risk buy of NDAA Stylus for use in Pictoris  Affected items 74-137567-02; TPASY-OTHER;ACCESSORY; DESK PR</t>
        </is>
      </c>
    </row>
    <row r="354">
      <c r="A354" s="35" t="inlineStr">
        <is>
          <t>DEV-CTANJZ05304</t>
        </is>
      </c>
      <c r="B354" s="35" t="inlineStr">
        <is>
          <t>DEVIATION</t>
        </is>
      </c>
      <c r="C354" s="35" t="inlineStr">
        <is>
          <t>D611712</t>
        </is>
      </c>
      <c r="D354" s="35" t="n"/>
      <c r="E354" s="36" t="inlineStr">
        <is>
          <t>D611712 Due shortage material; we allow FJZ to use the PN 24-2954-01 to replace 24-2954-02 with this specific MPN XCL7050-222MEC (COILCRAFT Supplier)</t>
        </is>
      </c>
      <c r="F354" s="35" t="inlineStr">
        <is>
          <t>Pending</t>
        </is>
      </c>
      <c r="G354" s="35" t="inlineStr">
        <is>
          <t>Expired</t>
        </is>
      </c>
      <c r="H354" s="35" t="inlineStr">
        <is>
          <t>Pending Review</t>
        </is>
      </c>
      <c r="I354" s="35" t="inlineStr">
        <is>
          <t>STBU</t>
        </is>
      </c>
      <c r="J354" s="35" t="inlineStr">
        <is>
          <t>CTANJZ05304</t>
        </is>
      </c>
      <c r="K354" s="37" t="n"/>
      <c r="L354" s="37" t="n"/>
      <c r="M354" s="37" t="n">
        <v>46281</v>
      </c>
      <c r="N354" s="35" t="n"/>
      <c r="O354" s="35" t="n"/>
      <c r="P354" s="35" t="n"/>
      <c r="Q354" s="35" t="n"/>
      <c r="R354" s="35" t="n"/>
      <c r="S354" s="35" t="n"/>
      <c r="T354" s="35" t="inlineStr">
        <is>
          <t>Y</t>
        </is>
      </c>
      <c r="U354" s="36" t="inlineStr">
        <is>
          <t xml:space="preserve">FUENTE: Deviation.csv, filas CSV 1212-1215; Workflow=Expired; Date Released=2026-07-08; Date Originated=2026-06-20; Site=FJZP, Plant=MCGA (sin convertir automaticamente a FJZ); 4 filas PN; APROBACION Y APLICABILIDAD NO VALIDADAS. </t>
        </is>
      </c>
    </row>
    <row r="355">
      <c r="A355" s="43" t="inlineStr">
        <is>
          <t>DEV-CTANJZ05305</t>
        </is>
      </c>
      <c r="B355" s="43" t="inlineStr">
        <is>
          <t>DEVIATION</t>
        </is>
      </c>
      <c r="C355" s="43" t="inlineStr">
        <is>
          <t>D612126</t>
        </is>
      </c>
      <c r="D355" s="43" t="n"/>
      <c r="E355" s="33" t="inlineStr">
        <is>
          <t>D612126 CVEBU: DaVinci; Brooklyn; Pictoris; Esperan?a; MilleniumApply label 47-111352-01 only on units being shipped to Chile</t>
        </is>
      </c>
      <c r="F355" s="43" t="inlineStr">
        <is>
          <t>Pending</t>
        </is>
      </c>
      <c r="G355" s="43" t="inlineStr">
        <is>
          <t>Expired</t>
        </is>
      </c>
      <c r="H355" s="43" t="inlineStr">
        <is>
          <t>Pending Review</t>
        </is>
      </c>
      <c r="I355" s="43" t="inlineStr">
        <is>
          <t>CVEBU</t>
        </is>
      </c>
      <c r="J355" s="43" t="inlineStr">
        <is>
          <t>CTANJZ05305</t>
        </is>
      </c>
      <c r="K355" s="32" t="n"/>
      <c r="L355" s="32" t="n"/>
      <c r="M355" s="32" t="n">
        <v>46280</v>
      </c>
      <c r="N355" s="43" t="n"/>
      <c r="O355" s="43" t="n"/>
      <c r="P355" s="43" t="n"/>
      <c r="Q355" s="43" t="n"/>
      <c r="R355" s="43" t="n"/>
      <c r="S355" s="43" t="n"/>
      <c r="T355" s="43" t="inlineStr">
        <is>
          <t>Y</t>
        </is>
      </c>
      <c r="U355" s="33" t="inlineStr">
        <is>
          <t xml:space="preserve">FUENTE: Deviation.csv, filas CSV 1216-1216; Workflow=Expired; Date Released=2026-07-02; Date Originated=2026-06-20; Site=FJZP, Plant=MCGA (sin convertir automaticamente a FJZ); 1 filas PN; APROBACION Y APLICABILIDAD NO VALIDADAS. </t>
        </is>
      </c>
    </row>
    <row r="356">
      <c r="A356" s="35" t="inlineStr">
        <is>
          <t>DEV-CTANJZ05306</t>
        </is>
      </c>
      <c r="B356" s="35" t="inlineStr">
        <is>
          <t>DEVIATION</t>
        </is>
      </c>
      <c r="C356" s="35" t="inlineStr">
        <is>
          <t>DP526173</t>
        </is>
      </c>
      <c r="D356" s="35" t="n"/>
      <c r="E356" s="36" t="inlineStr">
        <is>
          <t>DP526173 CVEBU; Risk buy of NDAA Nixie PCBs from Founder ThailandAffected item28-104119-05; PCBFAB;12L;SYL S1000-2; OSP; 1.7mm NIXIE Mainboard; (28-102088-05);NDAA  Risk buy instruction- FJZ is hereby instructed to place 2 urgent POs to Founder TH   - PO 1: 250 pieces of 28-104119-05/28-102088-05_S606_M202 with fastest possible ETD from Founder   - PO 2: 250 pieces of 28-104119-05/28-102088-05_S606_M202 with ETD from Founder March 1st 2027.Background- 28-104119-05 is the same PCB as 28-102088-05; but with only Founder TH MPN 28-102088-05_S606_M202 on the AVL- 28-102088-05_S606_M202 is estimated to be qualified fall 2026 through D610694 at FJZ.- Due to long LT; this deviation is needed to kick off material sourcing for required NDAA Nixie PCBs; in parallell with PCB qualification.- Founder TH is the only PCB fab outside China that can make such HDI PCBs; hence for Nixie; this is the only option for NDAA.- The intention with two POs; is to have raw material ready at Founder TH to kick of production of PO 2 immediately after testing and qualifying PCBs from PO 1.- Cisco EPE team will try to coordinate above with Founder TH in parallel- Only FJZ makes Nixie; hence FJZ is the only CM that needs to secure this PCB.Cisco contact: Jarle Aasland and Lee Hudson</t>
        </is>
      </c>
      <c r="F356" s="35" t="inlineStr">
        <is>
          <t>Pending</t>
        </is>
      </c>
      <c r="G356" s="35" t="inlineStr">
        <is>
          <t>Expired</t>
        </is>
      </c>
      <c r="H356" s="35" t="inlineStr">
        <is>
          <t>Pending Review</t>
        </is>
      </c>
      <c r="I356" s="35" t="inlineStr">
        <is>
          <t>CVEBU</t>
        </is>
      </c>
      <c r="J356" s="35" t="inlineStr">
        <is>
          <t>CTANJZ05306</t>
        </is>
      </c>
      <c r="K356" s="37" t="n"/>
      <c r="L356" s="37" t="n"/>
      <c r="M356" s="37" t="n">
        <v>46229</v>
      </c>
      <c r="N356" s="35" t="n"/>
      <c r="O356" s="35" t="n"/>
      <c r="P356" s="35" t="n"/>
      <c r="Q356" s="35" t="n"/>
      <c r="R356" s="35" t="n"/>
      <c r="S356" s="35" t="n"/>
      <c r="T356" s="35" t="inlineStr">
        <is>
          <t>Y</t>
        </is>
      </c>
      <c r="U356" s="36" t="inlineStr">
        <is>
          <t xml:space="preserve">FUENTE: Deviation.csv, filas CSV 192-192; Workflow=Expired; Date Released=2026-07-02; Date Originated=2026-06-24; Site=FJZP, Plant=MCGA (sin convertir automaticamente a FJZ); 1 filas PN; APROBACION Y APLICABILIDAD NO VALIDADAS. </t>
        </is>
      </c>
    </row>
    <row r="357">
      <c r="A357" s="43" t="inlineStr">
        <is>
          <t>DEV-CTANJZ05307</t>
        </is>
      </c>
      <c r="B357" s="43" t="inlineStr">
        <is>
          <t>DEVIATION</t>
        </is>
      </c>
      <c r="C357" s="43" t="inlineStr">
        <is>
          <t>DP526267</t>
        </is>
      </c>
      <c r="D357" s="43" t="n"/>
      <c r="E357" s="33" t="inlineStr">
        <is>
          <t>DP526267 CVEBU; Risk buy of NDAA components for use in PictorisThis risk buy supersede DP526230 as wrong MPN was requested under 28-105096-06 in DP526230Affected items07-100907-02; RF EQUIP;ANTENNA;PICTORIS BT;INTERNAL...GREY CABLE;GREEN MARKING;NDAA07-100914-02; RF EQUIP;ANTENNA;PICTORIS LEFT;INTERNAL...BLACK CABLE;YELLOW MARKING;NDAA07-100915-02; RF EQUIP;ANTENNA;PICTORIS RIGHT;INTERNAL...BLACK CABLE;RED MARKING;NDAA43-100341-03; CAMERA;CMOS;AUTO;4.25 mm FL;1.7;39.74 mm OL;GLASS;0 to 70 C;Narrow FOV 70;NDAA43-100363-02; CAMERA;CMOS;AUTO;2.05 mm FL;2.2;42.0 mm OL;GLASS;0 to 70 C;NDAA43-100362-02; DISPLAY WITH TOUCH;27in;27in TOUCH SIZE;3840x2160;TFT;Capacitive;Multi-touch;NDAA28-104786-03; PCBFAB;4L;S1000-2;OSP;39.4 MIL;POLARIS;MIC1 6 MEMS;NDAA (28-101786-03)28-104791-05; PCBFAB;2 L;EM-827;OSP;32.8 mil;HDC2010 SENSOR;BLACK;32-UP;NDAA (28-102791-05)  28-104796-03; PCBFAB;4 L;ENIG;39.4 mil;PICTORIS;MIC-2 FLEX RIGID;6-UP;NDAA (28-103796-03)28-104785-04; PCBFAB;6 L;EM-827;OSP;62.6 mil;PICTORIS;;CAMERA BASE BOARD;4-UP;NDAA (28-103785-04)  28-104787-05; PCBFAB;4 L;EM-827;OSP;53.7 mil;PICTORIS;SIDE IO BOARD;8-UP;NDAA (28-103787-05)    28-104778-02; PCBFAB;4 L;S1000-2 (Shengyi);OSP;23.6 mil;PICTORIS;CAPSENSE VOL_MUTE;NDAA (28-101778-02)  28-105096-06; PCBFAB;16 L;TU-872SLK;OSP;75.6 mil;PICTORIS;MAIN BOARD;2-UP;NDAA (28-103096-06)  Risk buy instruction to FVN- FVN is hereby instructed to place following risk buy POs   - 1000 pieces of 07-100907-02/OCG497-15-000-R_VN with fastest possible ETD   - 1000 pieces of 07-100907-02/OCG497-15-000-R_VN with ETD March 1st 2027   - 1000 pieces of 07-100914-02/OCG495-15-000-R_VN with fastest possible ETD   - 1000 pieces of 07-100914-02/OCG495-15-000-R_VN with ETD March 1st 2027   - 1000 pieces of 07-100915-02/OCG496-15-000-R_VN with fastest possible ETD   - 1000 pieces of 07-100915-02/OCG496-15-000-R_VN with ETD March 1st 2027   - 2000 pieces of 28-104786-03/28-101786-03_S603_MA01-4 with fastest possible ETD   - 10000 pieces of 28-104791-05/28-102791-05_S603_MA01-4 with fastest possible ETD   - 1000 pieces of 28-104796-03/28-103796-03_S803_M202 with fastest possible ETD   - 1000 pieces of 28-104796-03/28-103796-03_S803_M202 with ETD March 1st 2027   - 2000 pieces of 28-104785-04/28-103785-04_S603_MA01-4 with fastest possible ETD   - 2000 pieces of 28-104787-05/28-103787-05_S603_MA01-4 with fastest possible ETD   - 3000 pieces of 28-104778-02/28-101778-02_S603_MA01-4 with fastest possible ETD   - 3000 pieces of 43-100362-02/UV270QU0-M00 with fastest possible ETD   - 5000 pieces of 43-100341-03/CPALO1120005932LH with fastest possible ETD   - 5000 pieces of 43-100363-02/CJAOC1020005931LH with fastest possible ETDRisk buy instruction to FJZ- FJZ is hereby instructed to place following risk buy POs   - 1000 pieces of 28-105096-06/28-103096-06_S603_M605 with fastest possible ETD   - 1000 pieces of 28-105096-06/28-103096-06_S603_M605 with ETD March 1st 2027</t>
        </is>
      </c>
      <c r="F357" s="43" t="inlineStr">
        <is>
          <t>Pending</t>
        </is>
      </c>
      <c r="G357" s="43" t="inlineStr">
        <is>
          <t>Expired</t>
        </is>
      </c>
      <c r="H357" s="43" t="inlineStr">
        <is>
          <t>Pending Review</t>
        </is>
      </c>
      <c r="I357" s="43" t="inlineStr">
        <is>
          <t>CVEBU</t>
        </is>
      </c>
      <c r="J357" s="43" t="inlineStr">
        <is>
          <t>CTANJZ05307</t>
        </is>
      </c>
      <c r="K357" s="32" t="n"/>
      <c r="L357" s="32" t="n"/>
      <c r="M357" s="32" t="n">
        <v>46248</v>
      </c>
      <c r="N357" s="43" t="n"/>
      <c r="O357" s="43" t="n"/>
      <c r="P357" s="43" t="n"/>
      <c r="Q357" s="43" t="n"/>
      <c r="R357" s="43" t="n"/>
      <c r="S357" s="43" t="n"/>
      <c r="T357" s="43" t="inlineStr">
        <is>
          <t>Y</t>
        </is>
      </c>
      <c r="U357" s="33" t="inlineStr">
        <is>
          <t xml:space="preserve">FUENTE: Deviation.csv, filas CSV 190-190; Workflow=Expired; Date Released=2026-07-02; Date Originated=2026-06-24; Site=FJZP, Plant=MCGA (sin convertir automaticamente a FJZ); 1 filas PN; APROBACION Y APLICABILIDAD NO VALIDADAS. </t>
        </is>
      </c>
    </row>
    <row r="358">
      <c r="A358" s="35" t="inlineStr">
        <is>
          <t>DEV-CTANJZ05308</t>
        </is>
      </c>
      <c r="B358" s="35" t="inlineStr">
        <is>
          <t>DEVIATION</t>
        </is>
      </c>
      <c r="C358" s="35" t="inlineStr">
        <is>
          <t>DP526196</t>
        </is>
      </c>
      <c r="D358" s="35" t="n"/>
      <c r="E358" s="36" t="inlineStr">
        <is>
          <t>DP526196 CVEBU; Risk buy of NDAA Nixie PCBs from Founder ThailandThis deviation superseedes DP526173 as MOQ was wrong.Affected item28-104119-05; PCBFAB;12L;SYL S1000-2; OSP; 1.7mm NIXIE Mainboard; (28-102088-05);NDAA  Risk buy instruction- FJZ is hereby instructed to place 1 urgent PO to Founder TH   - PO: 1000 pieces of 28-104119-05/28-102088-05_S606_M202 with fastest possible ETD from FounderBackground- 28-104119-05 is the same PCB as 28-102088-05; but with only Founder TH MPN 28-102088-05_S606_M202 on the AVL- 28-102088-05_S606_M202 is estimated to be qualified fall 2026 through D610694 at FJZ.- Due to long LT; this deviation is needed to kick off material sourcing for required NDAA Nixie PCBs; in parallell with PCB qualification.- Founder TH is the only PCB fab outside China that can make such HDI PCBs; hence for Nixie; this is the only option for NDAA.- Only FJZ makes Nixie; hence FJZ is the only CM that needs to secure this PCB.Cisco contact: Jarle Aasland and Lee Hudson</t>
        </is>
      </c>
      <c r="F358" s="35" t="inlineStr">
        <is>
          <t>Pending</t>
        </is>
      </c>
      <c r="G358" s="35" t="inlineStr">
        <is>
          <t>Expired</t>
        </is>
      </c>
      <c r="H358" s="35" t="inlineStr">
        <is>
          <t>Pending Review</t>
        </is>
      </c>
      <c r="I358" s="35" t="inlineStr">
        <is>
          <t>CVEBU</t>
        </is>
      </c>
      <c r="J358" s="35" t="inlineStr">
        <is>
          <t>CTANJZ05308</t>
        </is>
      </c>
      <c r="K358" s="37" t="n"/>
      <c r="L358" s="37" t="n"/>
      <c r="M358" s="37" t="n">
        <v>46230</v>
      </c>
      <c r="N358" s="35" t="n"/>
      <c r="O358" s="35" t="n"/>
      <c r="P358" s="35" t="n"/>
      <c r="Q358" s="35" t="n"/>
      <c r="R358" s="35" t="n"/>
      <c r="S358" s="35" t="n"/>
      <c r="T358" s="35" t="inlineStr">
        <is>
          <t>Y</t>
        </is>
      </c>
      <c r="U358" s="36" t="inlineStr">
        <is>
          <t xml:space="preserve">FUENTE: Deviation.csv, filas CSV 191-191; Workflow=Expired; Date Released=2026-07-02; Date Originated=2026-06-24; Site=FJZP, Plant=MCGA (sin convertir automaticamente a FJZ); 1 filas PN; APROBACION Y APLICABILIDAD NO VALIDADAS. </t>
        </is>
      </c>
    </row>
    <row r="359">
      <c r="A359" s="43" t="inlineStr">
        <is>
          <t>DEV-CTANJZ05310</t>
        </is>
      </c>
      <c r="B359" s="43" t="inlineStr">
        <is>
          <t>DEVIATION</t>
        </is>
      </c>
      <c r="C359" s="43" t="inlineStr">
        <is>
          <t>DP526230</t>
        </is>
      </c>
      <c r="D359" s="43" t="n"/>
      <c r="E359" s="33" t="inlineStr">
        <is>
          <t>DP526230 Please see PageThree for details</t>
        </is>
      </c>
      <c r="F359" s="43" t="inlineStr">
        <is>
          <t>Pending</t>
        </is>
      </c>
      <c r="G359" s="43" t="inlineStr">
        <is>
          <t>Expired</t>
        </is>
      </c>
      <c r="H359" s="43" t="inlineStr">
        <is>
          <t>Pending Review</t>
        </is>
      </c>
      <c r="I359" s="43" t="inlineStr">
        <is>
          <t>CVEBU</t>
        </is>
      </c>
      <c r="J359" s="43" t="inlineStr">
        <is>
          <t>CTANJZ05310</t>
        </is>
      </c>
      <c r="K359" s="32" t="n"/>
      <c r="L359" s="32" t="n"/>
      <c r="M359" s="32" t="n">
        <v>46238</v>
      </c>
      <c r="N359" s="43" t="n"/>
      <c r="O359" s="43" t="n"/>
      <c r="P359" s="43" t="n"/>
      <c r="Q359" s="43" t="n"/>
      <c r="R359" s="43" t="n"/>
      <c r="S359" s="43" t="n"/>
      <c r="T359" s="43" t="inlineStr">
        <is>
          <t>Y</t>
        </is>
      </c>
      <c r="U359" s="33" t="inlineStr">
        <is>
          <t xml:space="preserve">FUENTE: Deviation.csv, filas CSV 318-318; Workflow=Expired; Date Released=2026-07-02; Date Originated=2026-06-24; Site=FJZP, Plant=MCGA (sin convertir automaticamente a FJZ); 1 filas PN; APROBACION Y APLICABILIDAD NO VALIDADAS. </t>
        </is>
      </c>
    </row>
    <row r="360">
      <c r="A360" s="35" t="inlineStr">
        <is>
          <t>DEV-CTANJZ05311</t>
        </is>
      </c>
      <c r="B360" s="35" t="inlineStr">
        <is>
          <t>DEVIATION</t>
        </is>
      </c>
      <c r="C360" s="35" t="inlineStr">
        <is>
          <t>D612169</t>
        </is>
      </c>
      <c r="D360" s="35" t="n"/>
      <c r="E360" s="36" t="inlineStr">
        <is>
          <t>D612169 CVEBU; Tyne - Allowing FJZ to utilize ADI IPQ MPN; ADV7537JBCZ-10 under 15-110893-01Extension of D610433Affected items68-104853-0168-104854-0173-103698-0673-103940-0615-110893-01</t>
        </is>
      </c>
      <c r="F360" s="35" t="inlineStr">
        <is>
          <t>Pending</t>
        </is>
      </c>
      <c r="G360" s="35" t="inlineStr">
        <is>
          <t>Expired</t>
        </is>
      </c>
      <c r="H360" s="35" t="inlineStr">
        <is>
          <t>Pending Review</t>
        </is>
      </c>
      <c r="I360" s="35" t="inlineStr">
        <is>
          <t>CVEBU</t>
        </is>
      </c>
      <c r="J360" s="35" t="inlineStr">
        <is>
          <t>CTANJZ05311</t>
        </is>
      </c>
      <c r="K360" s="37" t="n"/>
      <c r="L360" s="37" t="n"/>
      <c r="M360" s="37" t="n">
        <v>46285</v>
      </c>
      <c r="N360" s="35" t="n"/>
      <c r="O360" s="35" t="n"/>
      <c r="P360" s="35" t="n"/>
      <c r="Q360" s="35" t="n"/>
      <c r="R360" s="35" t="n"/>
      <c r="S360" s="35" t="n"/>
      <c r="T360" s="35" t="inlineStr">
        <is>
          <t>Y</t>
        </is>
      </c>
      <c r="U360" s="36" t="inlineStr">
        <is>
          <t xml:space="preserve">FUENTE: Deviation.csv, filas CSV 567-573; Workflow=Expired; Date Released=2026-07-02; Date Originated=2026-06-24; Site=FJZP, Plant=MCGA (sin convertir automaticamente a FJZ); 7 filas PN; APROBACION Y APLICABILIDAD NO VALIDADAS. </t>
        </is>
      </c>
    </row>
    <row r="361">
      <c r="A361" s="43" t="inlineStr">
        <is>
          <t>DEV-CTANJZ05312</t>
        </is>
      </c>
      <c r="B361" s="43" t="inlineStr">
        <is>
          <t>DEVIATION</t>
        </is>
      </c>
      <c r="C361" s="43" t="inlineStr">
        <is>
          <t>DP526209</t>
        </is>
      </c>
      <c r="D361" s="43" t="n"/>
      <c r="E361" s="33" t="inlineStr">
        <is>
          <t>DP526209 CVEBU; Risk buy of NDAA Nixie internal Microphones from GETTOPAffected item06-100763-02; AUDIO; MIC; Nixie; Microphone Assembly; -20 Deg C to +60 Deg C;NDAARisk buy instruction- FJZ is hereby instructed to place 1 urgent PO to GETTOP   - PO 1: 6480 pieces of 06-100763-02/NIXIE-UM1045(MY) with fastest possible ETD from GETTOPBackground- NIXIE-UM1045(MY) is estimated to be qualified before summer 2026- Due to long LT; this deviation is needed to kick off material sourcing for required NDAA alternative; in parallel with MPN qualification.- Only FJZ makes Nixie; hence FJZ is the only CM that needs to secure this MicrophoneCisco contact: Jarle Aasland and Lee Hudson</t>
        </is>
      </c>
      <c r="F361" s="43" t="inlineStr">
        <is>
          <t>Pending</t>
        </is>
      </c>
      <c r="G361" s="43" t="inlineStr">
        <is>
          <t>Expired</t>
        </is>
      </c>
      <c r="H361" s="43" t="inlineStr">
        <is>
          <t>Pending Review</t>
        </is>
      </c>
      <c r="I361" s="43" t="inlineStr">
        <is>
          <t>CVEBU</t>
        </is>
      </c>
      <c r="J361" s="43" t="inlineStr">
        <is>
          <t>CTANJZ05312</t>
        </is>
      </c>
      <c r="K361" s="32" t="n"/>
      <c r="L361" s="32" t="n"/>
      <c r="M361" s="32" t="n">
        <v>46235</v>
      </c>
      <c r="N361" s="43" t="n"/>
      <c r="O361" s="43" t="n"/>
      <c r="P361" s="43" t="n"/>
      <c r="Q361" s="43" t="n"/>
      <c r="R361" s="43" t="n"/>
      <c r="S361" s="43" t="n"/>
      <c r="T361" s="43" t="inlineStr">
        <is>
          <t>Y</t>
        </is>
      </c>
      <c r="U361" s="33" t="inlineStr">
        <is>
          <t xml:space="preserve">FUENTE: Deviation.csv, filas CSV 193-193; Workflow=Expired; Date Released=2026-07-02; Date Originated=2026-06-24; Site=FJZP, Plant=MCGA (sin convertir automaticamente a FJZ); 1 filas PN; APROBACION Y APLICABILIDAD NO VALIDADAS. </t>
        </is>
      </c>
    </row>
    <row r="362">
      <c r="A362" s="35" t="inlineStr">
        <is>
          <t>DEV-CTANJZ05313</t>
        </is>
      </c>
      <c r="B362" s="35" t="inlineStr">
        <is>
          <t>DEVIATION</t>
        </is>
      </c>
      <c r="C362" s="35" t="inlineStr">
        <is>
          <t>DP526246</t>
        </is>
      </c>
      <c r="D362" s="35" t="n"/>
      <c r="E362" s="36" t="inlineStr">
        <is>
          <t>DP526246 Please see PageThree for details</t>
        </is>
      </c>
      <c r="F362" s="35" t="inlineStr">
        <is>
          <t>Pending</t>
        </is>
      </c>
      <c r="G362" s="35" t="inlineStr">
        <is>
          <t>Expired</t>
        </is>
      </c>
      <c r="H362" s="35" t="inlineStr">
        <is>
          <t>Pending Review</t>
        </is>
      </c>
      <c r="I362" s="35" t="inlineStr">
        <is>
          <t>CVEBU</t>
        </is>
      </c>
      <c r="J362" s="35" t="inlineStr">
        <is>
          <t>CTANJZ05313</t>
        </is>
      </c>
      <c r="K362" s="37" t="n"/>
      <c r="L362" s="37" t="n"/>
      <c r="M362" s="37" t="n">
        <v>46244</v>
      </c>
      <c r="N362" s="35" t="n"/>
      <c r="O362" s="35" t="n"/>
      <c r="P362" s="35" t="n"/>
      <c r="Q362" s="35" t="n"/>
      <c r="R362" s="35" t="n"/>
      <c r="S362" s="35" t="n"/>
      <c r="T362" s="35" t="inlineStr">
        <is>
          <t>Y</t>
        </is>
      </c>
      <c r="U362" s="36" t="inlineStr">
        <is>
          <t xml:space="preserve">FUENTE: Deviation.csv, filas CSV 321-321; Workflow=Expired; Date Released=2026-07-02; Date Originated=2026-06-24; Site=FJZP, Plant=MCGA (sin convertir automaticamente a FJZ); 1 filas PN; APROBACION Y APLICABILIDAD NO VALIDADAS. </t>
        </is>
      </c>
    </row>
    <row r="363">
      <c r="A363" s="43" t="inlineStr">
        <is>
          <t>DEV-CTANJZ05314</t>
        </is>
      </c>
      <c r="B363" s="43" t="inlineStr">
        <is>
          <t>DEVIATION</t>
        </is>
      </c>
      <c r="C363" s="43" t="inlineStr">
        <is>
          <t>D612107</t>
        </is>
      </c>
      <c r="D363" s="43" t="n"/>
      <c r="E363" s="33" t="inlineStr">
        <is>
          <t>D612107 Need to qualify 74AVC2T45FK;LCF(GT on 73-20922-04</t>
        </is>
      </c>
      <c r="F363" s="43" t="inlineStr">
        <is>
          <t>Pending</t>
        </is>
      </c>
      <c r="G363" s="43" t="inlineStr">
        <is>
          <t>Expired</t>
        </is>
      </c>
      <c r="H363" s="43" t="inlineStr">
        <is>
          <t>Pending Review</t>
        </is>
      </c>
      <c r="I363" s="43" t="inlineStr">
        <is>
          <t>CRBU</t>
        </is>
      </c>
      <c r="J363" s="43" t="inlineStr">
        <is>
          <t>CTANJZ05314</t>
        </is>
      </c>
      <c r="K363" s="32" t="n"/>
      <c r="L363" s="32" t="n"/>
      <c r="M363" s="32" t="n">
        <v>46287</v>
      </c>
      <c r="N363" s="43" t="n"/>
      <c r="O363" s="43" t="n"/>
      <c r="P363" s="43" t="n"/>
      <c r="Q363" s="43" t="n"/>
      <c r="R363" s="43" t="n"/>
      <c r="S363" s="43" t="n"/>
      <c r="T363" s="43" t="inlineStr">
        <is>
          <t>Y</t>
        </is>
      </c>
      <c r="U363" s="33" t="inlineStr">
        <is>
          <t xml:space="preserve">FUENTE: Deviation.csv, filas CSV 55-251; Workflow=Expired; Date Released=2026-07-15; Date Originated=2026-06-25; Site=FJZP, Plant=MCGA (sin convertir automaticamente a FJZ); 4 filas PN; APROBACION Y APLICABILIDAD NO VALIDADAS. </t>
        </is>
      </c>
    </row>
    <row r="364">
      <c r="A364" s="35" t="inlineStr">
        <is>
          <t>DEV-CTANJZ05318</t>
        </is>
      </c>
      <c r="B364" s="35" t="inlineStr">
        <is>
          <t>DEVIATION</t>
        </is>
      </c>
      <c r="C364" s="35" t="inlineStr">
        <is>
          <t>D611340</t>
        </is>
      </c>
      <c r="D364" s="35" t="n"/>
      <c r="E364" s="36" t="inlineStr">
        <is>
          <t>D611340CVEBU; Vecchio; NDAA Risk Buy InstructionThis deviation instruct FJZ and FVN to place risk buy POs according to below instruction.Affected items28-103876-09; PCBFAB;8L;High Temp FR4;OSP;41.3MIL;Vecchio Main Board; NDAA (28-101964-09)  28-103877-03; PCBFAB;4 L;Polyimide; 31.5MIL; Vecchio Sensor Rigid Flex; NDAA (28-102113-03)  28-103878-02; PCBFAB;4 L;High Temp FR4; OSP; 39.4MIL; Vecchio Wall Mount Board; NDAA (28-101990-02)  43-100393-01; DISPLAY WITH TOUCH;10.1in;10.1in TOUCH SIZE;1200x1920;LED;GRAPHICS;In-Cell;Multi-touch;NDAAFJZ is hereby instructed to place PO for following:- 1800 pieces of 28-103876-09/28-101964-09_S602_M202FVN is hereby instructed to place PO for following:- 3000 pieces of 28-103877-03/28-102113-03_S803_MA02- 4150 pieces of 28-103878-02/28-101990-02_S802_M604- 4000 pieces of 43-100393-01/GV101WUM-LS0-3SP2Comments- Vecchio NDAA TANs will follow U-Turn strategy; hence Main Board will be made at FJZ; while unit assembly will take place at FVN before final SW loading and rating label is applied at FJZ again.- Below NDAA TANs are about to be released to A0 shortly and connection to PID with forecast will be done as soon as possible thereafter   - 68-105251-05; ASY-ELMECH; Vecchio Table Stand; First Light; Made in Mexico; NDAA     - 68-105252-05; ASY-ELMECH; Vecchio Wall Mount; First Light; Made in Mexico; NDAACisco Contact: Annette Farrell and Christian Kjoelseth</t>
        </is>
      </c>
      <c r="F364" s="35" t="inlineStr">
        <is>
          <t>Pending</t>
        </is>
      </c>
      <c r="G364" s="35" t="inlineStr">
        <is>
          <t>Expired</t>
        </is>
      </c>
      <c r="H364" s="35" t="inlineStr">
        <is>
          <t>Pending Review</t>
        </is>
      </c>
      <c r="I364" s="35" t="inlineStr">
        <is>
          <t>CVEBU</t>
        </is>
      </c>
      <c r="J364" s="35" t="inlineStr">
        <is>
          <t>CTANJZ05318</t>
        </is>
      </c>
      <c r="K364" s="37" t="n"/>
      <c r="L364" s="37" t="n"/>
      <c r="M364" s="37" t="n">
        <v>46250</v>
      </c>
      <c r="N364" s="35" t="n"/>
      <c r="O364" s="35" t="n"/>
      <c r="P364" s="35" t="n"/>
      <c r="Q364" s="35" t="n"/>
      <c r="R364" s="35" t="n"/>
      <c r="S364" s="35" t="n"/>
      <c r="T364" s="35" t="inlineStr">
        <is>
          <t>Y</t>
        </is>
      </c>
      <c r="U364" s="36" t="inlineStr">
        <is>
          <t xml:space="preserve">FUENTE: Deviation.csv, filas CSV 1885-1886; Workflow=Expired; Date Released=2026-07-02; Date Originated=2026-06-26; Site=FJZP, Plant=MCGA (sin convertir automaticamente a FJZ); 2 filas PN; APROBACION Y APLICABILIDAD NO VALIDADAS. </t>
        </is>
      </c>
    </row>
    <row r="365">
      <c r="A365" s="43" t="inlineStr">
        <is>
          <t>DEV-CTANJZ05319</t>
        </is>
      </c>
      <c r="B365" s="43" t="inlineStr">
        <is>
          <t>DEVIATION</t>
        </is>
      </c>
      <c r="C365" s="43" t="inlineStr">
        <is>
          <t>D612288</t>
        </is>
      </c>
      <c r="D365" s="43" t="n"/>
      <c r="E365" s="33" t="inlineStr">
        <is>
          <t>D612288 CVEBU;Nixie78-101799-01 -B0 CDOCS;Cisco Table Microphone Pro Installation GuideFJZ is temporarily allowed to use revision -A0 of the Nixie Installation Guide.</t>
        </is>
      </c>
      <c r="F365" s="43" t="inlineStr">
        <is>
          <t>Pending</t>
        </is>
      </c>
      <c r="G365" s="43" t="inlineStr">
        <is>
          <t>Expired</t>
        </is>
      </c>
      <c r="H365" s="43" t="inlineStr">
        <is>
          <t>Pending Review</t>
        </is>
      </c>
      <c r="I365" s="43" t="inlineStr">
        <is>
          <t>CVEBU</t>
        </is>
      </c>
      <c r="J365" s="43" t="inlineStr">
        <is>
          <t>CTANJZ05319</t>
        </is>
      </c>
      <c r="K365" s="32" t="n"/>
      <c r="L365" s="32" t="n"/>
      <c r="M365" s="32" t="n">
        <v>46287</v>
      </c>
      <c r="N365" s="43" t="n"/>
      <c r="O365" s="43" t="n"/>
      <c r="P365" s="43" t="n"/>
      <c r="Q365" s="43" t="n"/>
      <c r="R365" s="43" t="n"/>
      <c r="S365" s="43" t="n"/>
      <c r="T365" s="43" t="inlineStr">
        <is>
          <t>Y</t>
        </is>
      </c>
      <c r="U365" s="33" t="inlineStr">
        <is>
          <t xml:space="preserve">FUENTE: Deviation.csv, filas CSV 1258-1258; Workflow=Expired; Date Released=2026-07-02; Date Originated=2026-06-26; Site=FJZP, Plant=MCGA (sin convertir automaticamente a FJZ); 1 filas PN; APROBACION Y APLICABILIDAD NO VALIDADAS. </t>
        </is>
      </c>
    </row>
    <row r="366">
      <c r="A366" s="35" t="inlineStr">
        <is>
          <t>DEV-CTANJZ05320</t>
        </is>
      </c>
      <c r="B366" s="35" t="inlineStr">
        <is>
          <t>DEVIATION</t>
        </is>
      </c>
      <c r="C366" s="35" t="inlineStr">
        <is>
          <t>D612244</t>
        </is>
      </c>
      <c r="D366" s="35" t="n"/>
      <c r="E366" s="36" t="inlineStr">
        <is>
          <t>D612244 NGFWBU: Warwick Avenue - Factory direction for ICT &amp; process updates to address Renesas PWM programmable device content issue</t>
        </is>
      </c>
      <c r="F366" s="35" t="inlineStr">
        <is>
          <t>Pending</t>
        </is>
      </c>
      <c r="G366" s="35" t="inlineStr">
        <is>
          <t>Expired</t>
        </is>
      </c>
      <c r="H366" s="35" t="inlineStr">
        <is>
          <t>Pending Review</t>
        </is>
      </c>
      <c r="I366" s="35" t="inlineStr">
        <is>
          <t>STBU</t>
        </is>
      </c>
      <c r="J366" s="35" t="inlineStr">
        <is>
          <t>CTANJZ05320</t>
        </is>
      </c>
      <c r="K366" s="37" t="n"/>
      <c r="L366" s="37" t="n"/>
      <c r="M366" s="37" t="n">
        <v>46288</v>
      </c>
      <c r="N366" s="35" t="n"/>
      <c r="O366" s="35" t="n"/>
      <c r="P366" s="35" t="n"/>
      <c r="Q366" s="35" t="n"/>
      <c r="R366" s="35" t="n"/>
      <c r="S366" s="35" t="n"/>
      <c r="T366" s="35" t="inlineStr">
        <is>
          <t>Y</t>
        </is>
      </c>
      <c r="U366" s="36" t="inlineStr">
        <is>
          <t xml:space="preserve">FUENTE: Deviation.csv, filas CSV 1259-1262; Workflow=Expired; Date Released=2026-07-16; Date Originated=2026-06-26; Site=FJZP, Plant=MCGA (sin convertir automaticamente a FJZ); 4 filas PN; APROBACION Y APLICABILIDAD NO VALIDADAS. </t>
        </is>
      </c>
    </row>
    <row r="367">
      <c r="A367" s="43" t="inlineStr">
        <is>
          <t>DEV-CTANJZ05322</t>
        </is>
      </c>
      <c r="B367" s="43" t="inlineStr">
        <is>
          <t>DEVIATION</t>
        </is>
      </c>
      <c r="C367" s="43" t="inlineStr">
        <is>
          <t>D612106</t>
        </is>
      </c>
      <c r="D367" s="43" t="n"/>
      <c r="E367" s="33" t="inlineStr">
        <is>
          <t>D612106 Need to qualify 74AVC2T45FK;LCF(GT on 73-102363-05</t>
        </is>
      </c>
      <c r="F367" s="43" t="inlineStr">
        <is>
          <t>Pending</t>
        </is>
      </c>
      <c r="G367" s="43" t="n"/>
      <c r="H367" s="43" t="inlineStr">
        <is>
          <t>Pending Review</t>
        </is>
      </c>
      <c r="I367" s="43" t="inlineStr">
        <is>
          <t>CRBU</t>
        </is>
      </c>
      <c r="J367" s="43" t="inlineStr">
        <is>
          <t>CTANJZ05322</t>
        </is>
      </c>
      <c r="K367" s="32" t="n"/>
      <c r="L367" s="32" t="n"/>
      <c r="M367" s="32" t="n">
        <v>46377</v>
      </c>
      <c r="N367" s="43" t="n"/>
      <c r="O367" s="43" t="n"/>
      <c r="P367" s="43" t="n"/>
      <c r="Q367" s="43" t="n"/>
      <c r="R367" s="43" t="n"/>
      <c r="S367" s="43" t="n"/>
      <c r="T367" s="43" t="inlineStr">
        <is>
          <t>Y</t>
        </is>
      </c>
      <c r="U367" s="33" t="inlineStr">
        <is>
          <t xml:space="preserve">FUENTE: Deviation.csv, filas CSV 88-268; Workflow=Extended; Date Released=2026-07-20; Date Originated=2026-06-27; Site=FJZP, Plant=MCGA (sin convertir automaticamente a FJZ); 4 filas PN; APROBACION Y APLICABILIDAD NO VALIDADAS. </t>
        </is>
      </c>
    </row>
    <row r="368">
      <c r="A368" s="35" t="inlineStr">
        <is>
          <t>DEV-CTANJZ05323</t>
        </is>
      </c>
      <c r="B368" s="35" t="inlineStr">
        <is>
          <t>DEVIATION</t>
        </is>
      </c>
      <c r="C368" s="35" t="inlineStr">
        <is>
          <t>D611825</t>
        </is>
      </c>
      <c r="D368" s="35" t="n"/>
      <c r="E368" s="36" t="inlineStr">
        <is>
          <t>D611825 Need to qualify JP30150011 on 73-103802-05 for Assy Qual Request # : AQR003727904 Which is a Supplier PCN from JP30150011 for PCN TYPE : Site Move on GQR GQR000091465 and AQR AQR003727904</t>
        </is>
      </c>
      <c r="F368" s="35" t="inlineStr">
        <is>
          <t>Pending</t>
        </is>
      </c>
      <c r="G368" s="35" t="n"/>
      <c r="H368" s="35" t="inlineStr">
        <is>
          <t>Pending Review</t>
        </is>
      </c>
      <c r="I368" s="35" t="inlineStr">
        <is>
          <t>CRBU</t>
        </is>
      </c>
      <c r="J368" s="35" t="inlineStr">
        <is>
          <t>CTANJZ05323</t>
        </is>
      </c>
      <c r="K368" s="37" t="n"/>
      <c r="L368" s="37" t="n"/>
      <c r="M368" s="37" t="n">
        <v>46378</v>
      </c>
      <c r="N368" s="35" t="n"/>
      <c r="O368" s="35" t="n"/>
      <c r="P368" s="35" t="n"/>
      <c r="Q368" s="35" t="n"/>
      <c r="R368" s="35" t="n"/>
      <c r="S368" s="35" t="n"/>
      <c r="T368" s="35" t="inlineStr">
        <is>
          <t>Y</t>
        </is>
      </c>
      <c r="U368" s="36" t="inlineStr">
        <is>
          <t xml:space="preserve">FUENTE: Deviation.csv, filas CSV 90-269; Workflow=Extended; Date Released=2026-07-20; Date Originated=2026-06-27; Site=FJZP, Plant=MCGA (sin convertir automaticamente a FJZ); 2 filas PN; APROBACION Y APLICABILIDAD NO VALIDADAS. </t>
        </is>
      </c>
    </row>
    <row r="369">
      <c r="A369" s="43" t="inlineStr">
        <is>
          <t>DEV-CTANJZ05325</t>
        </is>
      </c>
      <c r="B369" s="43" t="inlineStr">
        <is>
          <t>DEVIATION</t>
        </is>
      </c>
      <c r="C369" s="43" t="inlineStr">
        <is>
          <t>D611994</t>
        </is>
      </c>
      <c r="D369" s="43" t="n"/>
      <c r="E369" s="33" t="inlineStr">
        <is>
          <t>D611994 CVEBU: Bayfront Pilot build. Deviation to allow use IPQ and old Date Codes parts. May 2026. Replacement of expired deviation D610061.Foxconn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F369" s="43" t="inlineStr">
        <is>
          <t>Pending</t>
        </is>
      </c>
      <c r="G369" s="43" t="inlineStr">
        <is>
          <t>Expired</t>
        </is>
      </c>
      <c r="H369" s="43" t="inlineStr">
        <is>
          <t>Pending Review</t>
        </is>
      </c>
      <c r="I369" s="43" t="inlineStr">
        <is>
          <t>CVEBU</t>
        </is>
      </c>
      <c r="J369" s="43" t="inlineStr">
        <is>
          <t>CTANJZ05325</t>
        </is>
      </c>
      <c r="K369" s="32" t="n"/>
      <c r="L369" s="32" t="n"/>
      <c r="M369" s="32" t="n">
        <v>46289</v>
      </c>
      <c r="N369" s="43" t="n"/>
      <c r="O369" s="43" t="n"/>
      <c r="P369" s="43" t="n"/>
      <c r="Q369" s="43" t="n"/>
      <c r="R369" s="43" t="n"/>
      <c r="S369" s="43" t="n"/>
      <c r="T369" s="43" t="inlineStr">
        <is>
          <t>Y</t>
        </is>
      </c>
      <c r="U369" s="33" t="inlineStr">
        <is>
          <t xml:space="preserve">FUENTE: Deviation.csv, filas CSV 1197-1353; Workflow=Expired; Date Released=2026-07-15; Date Originated=2026-06-27; Site=FJZP, Plant=MCGA (sin convertir automaticamente a FJZ); 4 filas PN; APROBACION Y APLICABILIDAD NO VALIDADAS. </t>
        </is>
      </c>
    </row>
    <row r="370">
      <c r="A370" s="35" t="inlineStr">
        <is>
          <t>DEV-CTANJZ05326</t>
        </is>
      </c>
      <c r="B370" s="35" t="inlineStr">
        <is>
          <t>DEVIATION</t>
        </is>
      </c>
      <c r="C370" s="35" t="inlineStr">
        <is>
          <t>DP526159</t>
        </is>
      </c>
      <c r="D370" s="35" t="n"/>
      <c r="E370" s="36" t="inlineStr">
        <is>
          <t>DP526159CVEBU; Risk buy of NDAA Taylor PCBs from Founder ThailandAffected item28-104228-04; PCBFAB;12 L;EM-370(Z);OSP;47.2 mil;TAYLOR;2-UP;NDAA (28-103228-04)Risk buy instruction- FJZ is hereby instructed to place 2 urgent POs to Founder TH   - PO 1: 1500 pieces of 28-104228-04/28-103228-04_S606_M210 with fastest possible ETD from Founder   - PO 2: 1500 pieces of 28-104228-04/28-103228-04_S606_M210 with ETD from Founder March 1st 2027.Background- 28-104228-04 is the same PCB as 28-103228-04; but with only Founder TH MPN 28-103228-04_S606_M210 on the AVL- 28-103228-04_S606_M210 will be qualified through samples received from PO 1.- Due to long LT; this deviation is needed to kick off material sourcing for required NDAA Taylor PCBs; in parallell with PCB qualification.- Founder TH is the only PCB fab outside China that can make such HDI PCBs; hence for Pictoris; Tyne and Bayfront; this is the only option for NDAA.- The intention with two POs; is to have raw material ready at Founder TH to kick of production of PO 2 immediately after testing and qualifying PCBs from PO 1.- Cisco EPE team will try to coordinate above with Founder TH in parallel- Only FJZ makes Taylor PCBAs for NDAA; hence FJZ is the only CM that needs to secure this PCB.- Testbuild deviation at FJZ will be provided laterCisco contact: Havard Sorensen and Lee Hudson</t>
        </is>
      </c>
      <c r="F370" s="35" t="inlineStr">
        <is>
          <t>Pending</t>
        </is>
      </c>
      <c r="G370" s="35" t="inlineStr">
        <is>
          <t>Expired</t>
        </is>
      </c>
      <c r="H370" s="35" t="inlineStr">
        <is>
          <t>Pending Review</t>
        </is>
      </c>
      <c r="I370" s="35" t="inlineStr">
        <is>
          <t>CVEBU</t>
        </is>
      </c>
      <c r="J370" s="35" t="inlineStr">
        <is>
          <t>CTANJZ05326</t>
        </is>
      </c>
      <c r="K370" s="37" t="n"/>
      <c r="L370" s="37" t="n"/>
      <c r="M370" s="37" t="n">
        <v>46223</v>
      </c>
      <c r="N370" s="35" t="n"/>
      <c r="O370" s="35" t="n"/>
      <c r="P370" s="35" t="n"/>
      <c r="Q370" s="35" t="n"/>
      <c r="R370" s="35" t="n"/>
      <c r="S370" s="35" t="n"/>
      <c r="T370" s="35" t="inlineStr">
        <is>
          <t>Y</t>
        </is>
      </c>
      <c r="U370" s="36" t="inlineStr">
        <is>
          <t xml:space="preserve">FUENTE: Deviation.csv, filas CSV 183-183; Workflow=Expired; Date Released=2026-07-08; Date Originated=2026-06-30; Site=FJZP, Plant=MCGA (sin convertir automaticamente a FJZ); 1 filas PN; APROBACION Y APLICABILIDAD NO VALIDADAS. </t>
        </is>
      </c>
    </row>
    <row r="371">
      <c r="A371" s="43" t="inlineStr">
        <is>
          <t>DEV-CTANJZ05327</t>
        </is>
      </c>
      <c r="B371" s="43" t="inlineStr">
        <is>
          <t>DEVIATION</t>
        </is>
      </c>
      <c r="C371" s="43" t="inlineStr">
        <is>
          <t>D612196</t>
        </is>
      </c>
      <c r="D371" s="43" t="n"/>
      <c r="E371" s="33" t="inlineStr">
        <is>
          <t>D612196 NGFWBU: Due to all approved MPNs under CPN 25-1283-01 currently showing ¡§Deplete Stock/Cancelled" status in AVL; Foxconn Juarez (FJZ) is unable to procure this part despite ongoing demand. This deviation allows FJZ to continue procurement of CPN 25-1283-01 using existing AVL-listed MPNs and to permit use of this CPN in production for NGFWBU products; overriding lifecycle status restrictions. This is a temporary measure until the new qualified CPN is introduced and added to respective BOMs (TPK/WPK/NMs).CPN 25-100310-01 will replace CPN 25-1283-01 on all affect NGFWBU Products... (See affected Items)</t>
        </is>
      </c>
      <c r="F371" s="43" t="inlineStr">
        <is>
          <t>Pending</t>
        </is>
      </c>
      <c r="G371" s="43" t="inlineStr">
        <is>
          <t>Expired</t>
        </is>
      </c>
      <c r="H371" s="43" t="inlineStr">
        <is>
          <t>Pending Review</t>
        </is>
      </c>
      <c r="I371" s="43" t="inlineStr">
        <is>
          <t>STBU</t>
        </is>
      </c>
      <c r="J371" s="43" t="inlineStr">
        <is>
          <t>CTANJZ05327</t>
        </is>
      </c>
      <c r="K371" s="32" t="n"/>
      <c r="L371" s="32" t="n"/>
      <c r="M371" s="32" t="n">
        <v>46292</v>
      </c>
      <c r="N371" s="43" t="n"/>
      <c r="O371" s="43" t="n"/>
      <c r="P371" s="43" t="n"/>
      <c r="Q371" s="43" t="n"/>
      <c r="R371" s="43" t="n"/>
      <c r="S371" s="43" t="n"/>
      <c r="T371" s="43" t="inlineStr">
        <is>
          <t>Y</t>
        </is>
      </c>
      <c r="U371" s="33" t="inlineStr">
        <is>
          <t xml:space="preserve">FUENTE: Deviation.csv, filas CSV 1805-1849; Workflow=Expired; Date Released=2026-07-20; Date Originated=2026-06-30; Site=FJZP, Plant=MCGA (sin convertir automaticamente a FJZ); 7 filas PN; APROBACION Y APLICABILIDAD NO VALIDADAS. </t>
        </is>
      </c>
    </row>
    <row r="372">
      <c r="A372" s="35" t="inlineStr">
        <is>
          <t>DEV-CTANJZ05328</t>
        </is>
      </c>
      <c r="B372" s="35" t="inlineStr">
        <is>
          <t>DEVIATION</t>
        </is>
      </c>
      <c r="C372" s="35" t="inlineStr">
        <is>
          <t>D611690</t>
        </is>
      </c>
      <c r="D372" s="35" t="n"/>
      <c r="E372" s="36" t="inlineStr">
        <is>
          <t>D611690 CRBU: 8000 : LC4; LC5 DB - 15-102981-01Allow FJZ to use 15-102981-01 with MPN#74AVCH4T245FT on CRBU products.Product : 73-19875 ( any production version and revision )CPN: 15-102981-01MPN: 74AVCH4T245FTVendor: TOSHIBAQty: 80;365 pcs</t>
        </is>
      </c>
      <c r="F372" s="35" t="inlineStr">
        <is>
          <t>Pending</t>
        </is>
      </c>
      <c r="G372" s="35" t="inlineStr">
        <is>
          <t>Expired</t>
        </is>
      </c>
      <c r="H372" s="35" t="inlineStr">
        <is>
          <t>Pending Review</t>
        </is>
      </c>
      <c r="I372" s="35" t="inlineStr">
        <is>
          <t>CRBU</t>
        </is>
      </c>
      <c r="J372" s="35" t="inlineStr">
        <is>
          <t>CTANJZ05328</t>
        </is>
      </c>
      <c r="K372" s="37" t="n"/>
      <c r="L372" s="37" t="n"/>
      <c r="M372" s="37" t="n">
        <v>46292</v>
      </c>
      <c r="N372" s="35" t="n"/>
      <c r="O372" s="35" t="n"/>
      <c r="P372" s="35" t="n"/>
      <c r="Q372" s="35" t="n"/>
      <c r="R372" s="35" t="n"/>
      <c r="S372" s="35" t="n"/>
      <c r="T372" s="35" t="inlineStr">
        <is>
          <t>Y</t>
        </is>
      </c>
      <c r="U372" s="36" t="inlineStr">
        <is>
          <t xml:space="preserve">FUENTE: Deviation.csv, filas CSV 1354-1354; Workflow=Expired; Date Released=2026-07-24; Date Originated=2026-06-30; Site=FJZP, Plant=MCGA (sin convertir automaticamente a FJZ); 1 filas PN; APROBACION Y APLICABILIDAD NO VALIDADAS. </t>
        </is>
      </c>
    </row>
    <row r="373">
      <c r="A373" s="43" t="inlineStr">
        <is>
          <t>DEV-CTANJZ05330</t>
        </is>
      </c>
      <c r="B373" s="43" t="inlineStr">
        <is>
          <t>DEVIATION</t>
        </is>
      </c>
      <c r="C373" s="43" t="inlineStr">
        <is>
          <t>D612291</t>
        </is>
      </c>
      <c r="D373" s="43" t="n"/>
      <c r="E373" s="33" t="inlineStr">
        <is>
          <t>D612291 CVEBU;Taylor73-103820-04 PCA;TAYLOR HIGH MODULE WITH HYNIX 16GB LPDDR5  73-103922-04 PCA;TAYLOR LOW  MODULE WITH HYNIX 16GB LPDDR5In BOMs; refdes M1_A;M1_B  (2 pcs)15-110522-02 IC-DRAM-D;LPDDR5;64Gb(1Gx64bits);4266MHz(8533MT/s);0.5V NOM;-25 to 85 C;TFBGA;441P;8K Cycles;HYNIX;CVEBU ONLY  Qualified: Hynix H58G66BK8BX105IPQ:       Hynix H58G66BK8QX105Due to the current LPDDR5 shortage; FJZ and FVN are allowed to source and use the IPQ automotive variant.</t>
        </is>
      </c>
      <c r="F373" s="43" t="inlineStr">
        <is>
          <t>Pending</t>
        </is>
      </c>
      <c r="G373" s="43" t="inlineStr">
        <is>
          <t>Expired</t>
        </is>
      </c>
      <c r="H373" s="43" t="inlineStr">
        <is>
          <t>Pending Review</t>
        </is>
      </c>
      <c r="I373" s="43" t="inlineStr">
        <is>
          <t>CVEBU</t>
        </is>
      </c>
      <c r="J373" s="43" t="inlineStr">
        <is>
          <t>CTANJZ05330</t>
        </is>
      </c>
      <c r="K373" s="32" t="n"/>
      <c r="L373" s="32" t="n"/>
      <c r="M373" s="32" t="n">
        <v>46293</v>
      </c>
      <c r="N373" s="43" t="n"/>
      <c r="O373" s="43" t="n"/>
      <c r="P373" s="43" t="n"/>
      <c r="Q373" s="43" t="n"/>
      <c r="R373" s="43" t="n"/>
      <c r="S373" s="43" t="n"/>
      <c r="T373" s="43" t="inlineStr">
        <is>
          <t>Y</t>
        </is>
      </c>
      <c r="U373" s="33" t="inlineStr">
        <is>
          <t xml:space="preserve">FUENTE: Deviation.csv, filas CSV 649-651; Workflow=Expired; Date Released=2026-07-15; Date Originated=2026-07-01; Site=FJZP, Plant=MCGA (sin convertir automaticamente a FJZ); 3 filas PN; APROBACION Y APLICABILIDAD NO VALIDADAS. </t>
        </is>
      </c>
    </row>
    <row r="374">
      <c r="A374" s="35" t="inlineStr">
        <is>
          <t>DEV-CTANJZ05333</t>
        </is>
      </c>
      <c r="B374" s="35" t="inlineStr">
        <is>
          <t>DEVIATION</t>
        </is>
      </c>
      <c r="C374" s="35" t="inlineStr">
        <is>
          <t>D611891</t>
        </is>
      </c>
      <c r="D374" s="35" t="n"/>
      <c r="E374" s="36" t="inlineStr">
        <is>
          <t>D611891 Need to qualify JP30150011 on 73-20922-04 for Assy Qual Request # : AQR003727879 Which is a Supplier PCN from JP30150011 for PCN TYPE : Site Move on GQR GQR000091465 and AQR AQR003727879</t>
        </is>
      </c>
      <c r="F374" s="35" t="inlineStr">
        <is>
          <t>Pending</t>
        </is>
      </c>
      <c r="G374" s="35" t="inlineStr">
        <is>
          <t>Expired</t>
        </is>
      </c>
      <c r="H374" s="35" t="inlineStr">
        <is>
          <t>Pending Review</t>
        </is>
      </c>
      <c r="I374" s="35" t="inlineStr">
        <is>
          <t>CRBU</t>
        </is>
      </c>
      <c r="J374" s="35" t="inlineStr">
        <is>
          <t>CTANJZ05333</t>
        </is>
      </c>
      <c r="K374" s="37" t="n"/>
      <c r="L374" s="37" t="n"/>
      <c r="M374" s="37" t="n">
        <v>46293</v>
      </c>
      <c r="N374" s="35" t="n"/>
      <c r="O374" s="35" t="n"/>
      <c r="P374" s="35" t="n"/>
      <c r="Q374" s="35" t="n"/>
      <c r="R374" s="35" t="n"/>
      <c r="S374" s="35" t="n"/>
      <c r="T374" s="35" t="inlineStr">
        <is>
          <t>Y</t>
        </is>
      </c>
      <c r="U374" s="36" t="inlineStr">
        <is>
          <t xml:space="preserve">FUENTE: Deviation.csv, filas CSV 114-248; Workflow=Expired; Date Released=2026-07-21; Date Originated=2026-07-02; Site=FJZP, Plant=MCGA (sin convertir automaticamente a FJZ); 4 filas PN; APROBACION Y APLICABILIDAD NO VALIDADAS. </t>
        </is>
      </c>
    </row>
    <row r="375">
      <c r="A375" s="43" t="inlineStr">
        <is>
          <t>DEV-CTANJZ05335</t>
        </is>
      </c>
      <c r="B375" s="43" t="inlineStr">
        <is>
          <t>DEVIATION</t>
        </is>
      </c>
      <c r="C375" s="43" t="inlineStr">
        <is>
          <t>D612467</t>
        </is>
      </c>
      <c r="D375" s="43" t="n"/>
      <c r="E375" s="33" t="inlineStr">
        <is>
          <t>D612467 Please see PageThree for details</t>
        </is>
      </c>
      <c r="F375" s="43" t="inlineStr">
        <is>
          <t>Pending</t>
        </is>
      </c>
      <c r="G375" s="43" t="inlineStr">
        <is>
          <t>Expired</t>
        </is>
      </c>
      <c r="H375" s="43" t="inlineStr">
        <is>
          <t>Pending Review</t>
        </is>
      </c>
      <c r="I375" s="43" t="inlineStr">
        <is>
          <t>STBU</t>
        </is>
      </c>
      <c r="J375" s="43" t="inlineStr">
        <is>
          <t>CTANJZ05335</t>
        </is>
      </c>
      <c r="K375" s="32" t="n"/>
      <c r="L375" s="32" t="n"/>
      <c r="M375" s="32" t="n">
        <v>46294</v>
      </c>
      <c r="N375" s="43" t="n"/>
      <c r="O375" s="43" t="n"/>
      <c r="P375" s="43" t="n"/>
      <c r="Q375" s="43" t="n"/>
      <c r="R375" s="43" t="n"/>
      <c r="S375" s="43" t="n"/>
      <c r="T375" s="43" t="inlineStr">
        <is>
          <t>Y</t>
        </is>
      </c>
      <c r="U375" s="33" t="inlineStr">
        <is>
          <t xml:space="preserve">FUENTE: Deviation.csv, filas CSV 1509-1592; Workflow=Expired; Date Released=2026-07-16; Date Originated=2026-07-03; Site=FJZP, Plant=MCGA (sin convertir automaticamente a FJZ); 12 filas PN; APROBACION Y APLICABILIDAD NO VALIDADAS. </t>
        </is>
      </c>
    </row>
    <row r="376">
      <c r="A376" s="35" t="inlineStr">
        <is>
          <t>DEV-CTANJZ05336</t>
        </is>
      </c>
      <c r="B376" s="35" t="inlineStr">
        <is>
          <t>DEVIATION</t>
        </is>
      </c>
      <c r="C376" s="35" t="inlineStr">
        <is>
          <t>D612122</t>
        </is>
      </c>
      <c r="D376" s="35" t="n"/>
      <c r="E376" s="36" t="inlineStr">
        <is>
          <t>D612122 Need to qualify GMLB-201209-0040P-N8CS-RU on 73-102363-05</t>
        </is>
      </c>
      <c r="F376" s="35" t="inlineStr">
        <is>
          <t>Pending</t>
        </is>
      </c>
      <c r="G376" s="35" t="n"/>
      <c r="H376" s="35" t="inlineStr">
        <is>
          <t>Pending Review</t>
        </is>
      </c>
      <c r="I376" s="35" t="inlineStr">
        <is>
          <t>CRBU</t>
        </is>
      </c>
      <c r="J376" s="35" t="inlineStr">
        <is>
          <t>CTANJZ05336</t>
        </is>
      </c>
      <c r="K376" s="37" t="n"/>
      <c r="L376" s="37" t="n"/>
      <c r="M376" s="37" t="n">
        <v>46384</v>
      </c>
      <c r="N376" s="35" t="n"/>
      <c r="O376" s="35" t="n"/>
      <c r="P376" s="35" t="n"/>
      <c r="Q376" s="35" t="n"/>
      <c r="R376" s="35" t="n"/>
      <c r="S376" s="35" t="n"/>
      <c r="T376" s="35" t="inlineStr">
        <is>
          <t>Y</t>
        </is>
      </c>
      <c r="U376" s="36" t="inlineStr">
        <is>
          <t xml:space="preserve">FUENTE: Deviation.csv, filas CSV 76-241; Workflow=Extended; Date Released=2026-07-24; Date Originated=2026-07-03; Site=FJZP, Plant=MCGA (sin convertir automaticamente a FJZ); 4 filas PN; APROBACION Y APLICABILIDAD NO VALIDADAS. </t>
        </is>
      </c>
    </row>
    <row r="377">
      <c r="A377" s="43" t="inlineStr">
        <is>
          <t>DEV-CTANJZ05337</t>
        </is>
      </c>
      <c r="B377" s="43" t="inlineStr">
        <is>
          <t>DEVIATION</t>
        </is>
      </c>
      <c r="C377" s="43" t="inlineStr">
        <is>
          <t>D612448</t>
        </is>
      </c>
      <c r="D377" s="43" t="n"/>
      <c r="E377" s="33" t="inlineStr">
        <is>
          <t>D612448 Please see PageThree for details</t>
        </is>
      </c>
      <c r="F377" s="43" t="inlineStr">
        <is>
          <t>Pending</t>
        </is>
      </c>
      <c r="G377" s="43" t="inlineStr">
        <is>
          <t>Expired</t>
        </is>
      </c>
      <c r="H377" s="43" t="inlineStr">
        <is>
          <t>Pending Review</t>
        </is>
      </c>
      <c r="I377" s="43" t="inlineStr">
        <is>
          <t>STBU</t>
        </is>
      </c>
      <c r="J377" s="43" t="inlineStr">
        <is>
          <t>CTANJZ05337</t>
        </is>
      </c>
      <c r="K377" s="32" t="n"/>
      <c r="L377" s="32" t="n"/>
      <c r="M377" s="32" t="n">
        <v>46295</v>
      </c>
      <c r="N377" s="43" t="n"/>
      <c r="O377" s="43" t="n"/>
      <c r="P377" s="43" t="n"/>
      <c r="Q377" s="43" t="n"/>
      <c r="R377" s="43" t="n"/>
      <c r="S377" s="43" t="n"/>
      <c r="T377" s="43" t="inlineStr">
        <is>
          <t>Y</t>
        </is>
      </c>
      <c r="U377" s="33" t="inlineStr">
        <is>
          <t xml:space="preserve">FUENTE: Deviation.csv, filas CSV 1518-1537; Workflow=Expired; Date Released=2026-07-16; Date Originated=2026-07-03; Site=FJZP, Plant=MCGA (sin convertir automaticamente a FJZ); 12 filas PN; APROBACION Y APLICABILIDAD NO VALIDADAS. </t>
        </is>
      </c>
    </row>
    <row r="378">
      <c r="A378" s="35" t="inlineStr">
        <is>
          <t>DEV-CTANJZ05338</t>
        </is>
      </c>
      <c r="B378" s="35" t="inlineStr">
        <is>
          <t>DEVIATION</t>
        </is>
      </c>
      <c r="C378" s="35" t="inlineStr">
        <is>
          <t>D612446</t>
        </is>
      </c>
      <c r="D378" s="35" t="n"/>
      <c r="E378" s="36" t="inlineStr">
        <is>
          <t>D612446 Please see PageThree for details</t>
        </is>
      </c>
      <c r="F378" s="35" t="inlineStr">
        <is>
          <t>Pending</t>
        </is>
      </c>
      <c r="G378" s="35" t="inlineStr">
        <is>
          <t>Expired</t>
        </is>
      </c>
      <c r="H378" s="35" t="inlineStr">
        <is>
          <t>Pending Review</t>
        </is>
      </c>
      <c r="I378" s="35" t="inlineStr">
        <is>
          <t>STBU</t>
        </is>
      </c>
      <c r="J378" s="35" t="inlineStr">
        <is>
          <t>CTANJZ05338</t>
        </is>
      </c>
      <c r="K378" s="37" t="n"/>
      <c r="L378" s="37" t="n"/>
      <c r="M378" s="37" t="n">
        <v>46295</v>
      </c>
      <c r="N378" s="35" t="n"/>
      <c r="O378" s="35" t="n"/>
      <c r="P378" s="35" t="n"/>
      <c r="Q378" s="35" t="n"/>
      <c r="R378" s="35" t="n"/>
      <c r="S378" s="35" t="n"/>
      <c r="T378" s="35" t="inlineStr">
        <is>
          <t>Y</t>
        </is>
      </c>
      <c r="U378" s="36" t="inlineStr">
        <is>
          <t xml:space="preserve">FUENTE: Deviation.csv, filas CSV 1538-1625; Workflow=Expired; Date Released=2026-07-16; Date Originated=2026-07-03; Site=FJZP, Plant=MCGA (sin convertir automaticamente a FJZ); 12 filas PN; APROBACION Y APLICABILIDAD NO VALIDADAS. </t>
        </is>
      </c>
    </row>
    <row r="379">
      <c r="A379" s="43" t="inlineStr">
        <is>
          <t>DEV-CTANJZ05339</t>
        </is>
      </c>
      <c r="B379" s="43" t="inlineStr">
        <is>
          <t>DEVIATION</t>
        </is>
      </c>
      <c r="C379" s="43" t="inlineStr">
        <is>
          <t>D612194</t>
        </is>
      </c>
      <c r="D379" s="43" t="n"/>
      <c r="E379" s="33" t="inlineStr">
        <is>
          <t>D612194 NGFWBU: CSF12XX DesktopCCN000011971 GQR000082691 AQR003526471Qualification of Nanya MPN# NT5FF2048M8A3-Q5 under the CPN# 15-110890-01:Items Affected:Top Assembly 68-104735-05    ELMECH 74-139971-02 PCBA:  74-134455-06Top Assembly 68-104736-05    ELMECH 74-139972-02 PCBA:  74-134456-06FJZ to Build Two units the following a CSF1210 POE and a CSF1220 with Nanya Discrete DDR5  MPN NT5FF2048M8A3-Q5 for CPN 15-110890-01 @ Ref Des U1800; U1801; U1900; U1901; U2000; U2100; U2101; U2200; U2201; U2300Pass boards through these 2 units need to go through ICT/BST/2C and DF system test. And then hold units for further intstructions. For any all failures please notify Cisco Cross Function Team Below:***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F379" s="43" t="inlineStr">
        <is>
          <t>Pending</t>
        </is>
      </c>
      <c r="G379" s="43" t="inlineStr">
        <is>
          <t>Expired</t>
        </is>
      </c>
      <c r="H379" s="43" t="inlineStr">
        <is>
          <t>Pending Review</t>
        </is>
      </c>
      <c r="I379" s="43" t="inlineStr">
        <is>
          <t>STBU</t>
        </is>
      </c>
      <c r="J379" s="43" t="inlineStr">
        <is>
          <t>CTANJZ05339</t>
        </is>
      </c>
      <c r="K379" s="32" t="n"/>
      <c r="L379" s="32" t="n"/>
      <c r="M379" s="32" t="n">
        <v>46295</v>
      </c>
      <c r="N379" s="43" t="n"/>
      <c r="O379" s="43" t="n"/>
      <c r="P379" s="43" t="n"/>
      <c r="Q379" s="43" t="n"/>
      <c r="R379" s="43" t="n"/>
      <c r="S379" s="43" t="n"/>
      <c r="T379" s="43" t="inlineStr">
        <is>
          <t>Y</t>
        </is>
      </c>
      <c r="U379" s="33" t="inlineStr">
        <is>
          <t xml:space="preserve">FUENTE: Deviation.csv, filas CSV 199-201; Workflow=Expired; Date Released=2026-07-25; Date Originated=2026-07-04; Site=FJZP, Plant=MCGA (sin convertir automaticamente a FJZ); 3 filas PN; APROBACION Y APLICABILIDAD NO VALIDADAS. </t>
        </is>
      </c>
    </row>
    <row r="380">
      <c r="A380" s="35" t="inlineStr">
        <is>
          <t>DEV-CTANJZ05340</t>
        </is>
      </c>
      <c r="B380" s="35" t="inlineStr">
        <is>
          <t>DEVIATION</t>
        </is>
      </c>
      <c r="C380" s="35" t="inlineStr">
        <is>
          <t>D611387</t>
        </is>
      </c>
      <c r="D380" s="35" t="n"/>
      <c r="E380" s="36" t="inlineStr">
        <is>
          <t>D611387 Allow FJZ to rename  Micron Technology MPN MTA18ASF4G72PDZ-3G2F1  from the 15-108159-01  as 15-109388-01 ; in the PIDs:MEM-C85G2-64GB  MEM-C85G2-64GB=</t>
        </is>
      </c>
      <c r="F380" s="35" t="inlineStr">
        <is>
          <t>Pending</t>
        </is>
      </c>
      <c r="G380" s="35" t="inlineStr">
        <is>
          <t>Expired</t>
        </is>
      </c>
      <c r="H380" s="35" t="inlineStr">
        <is>
          <t>Pending Review</t>
        </is>
      </c>
      <c r="I380" s="35" t="inlineStr">
        <is>
          <t>SRGBU</t>
        </is>
      </c>
      <c r="J380" s="35" t="inlineStr">
        <is>
          <t>CTANJZ05340</t>
        </is>
      </c>
      <c r="K380" s="37" t="n"/>
      <c r="L380" s="37" t="n"/>
      <c r="M380" s="37" t="n">
        <v>46299</v>
      </c>
      <c r="N380" s="35" t="n"/>
      <c r="O380" s="35" t="n"/>
      <c r="P380" s="35" t="n"/>
      <c r="Q380" s="35" t="n"/>
      <c r="R380" s="35" t="n"/>
      <c r="S380" s="35" t="n"/>
      <c r="T380" s="35" t="inlineStr">
        <is>
          <t>Y</t>
        </is>
      </c>
      <c r="U380" s="36" t="inlineStr">
        <is>
          <t xml:space="preserve">FUENTE: Deviation.csv, filas CSV 1185-1185; Workflow=Expired; Date Released=2026-07-20; Date Originated=2026-07-07; Site=FJZP, Plant=MCGA (sin convertir automaticamente a FJZ); 1 filas PN; APROBACION Y APLICABILIDAD NO VALIDADAS. </t>
        </is>
      </c>
    </row>
    <row r="381">
      <c r="A381" s="43" t="inlineStr">
        <is>
          <t>DEV-CTANJZ05341</t>
        </is>
      </c>
      <c r="B381" s="43" t="inlineStr">
        <is>
          <t>DEVIATION</t>
        </is>
      </c>
      <c r="C381" s="43" t="inlineStr">
        <is>
          <t>D612354</t>
        </is>
      </c>
      <c r="D381" s="43" t="n"/>
      <c r="E381" s="33" t="inlineStr">
        <is>
          <t>D612354 Please see PageThree for details</t>
        </is>
      </c>
      <c r="F381" s="43" t="inlineStr">
        <is>
          <t>Pending</t>
        </is>
      </c>
      <c r="G381" s="43" t="n"/>
      <c r="H381" s="43" t="inlineStr">
        <is>
          <t>Pending Review</t>
        </is>
      </c>
      <c r="I381" s="43" t="inlineStr">
        <is>
          <t>CVEBU</t>
        </is>
      </c>
      <c r="J381" s="43" t="inlineStr">
        <is>
          <t>CTANJZ05341</t>
        </is>
      </c>
      <c r="K381" s="32" t="n"/>
      <c r="L381" s="32" t="n"/>
      <c r="M381" s="32" t="n">
        <v>46389</v>
      </c>
      <c r="N381" s="43" t="n"/>
      <c r="O381" s="43" t="n"/>
      <c r="P381" s="43" t="n"/>
      <c r="Q381" s="43" t="n"/>
      <c r="R381" s="43" t="n"/>
      <c r="S381" s="43" t="n"/>
      <c r="T381" s="43" t="inlineStr">
        <is>
          <t>Y</t>
        </is>
      </c>
      <c r="U381" s="33" t="inlineStr">
        <is>
          <t xml:space="preserve">FUENTE: Deviation.csv, filas CSV 600-605; Workflow=Extended; Date Released=2026-07-21; Date Originated=2026-07-08; Site=FJZP, Plant=MCGA (sin convertir automaticamente a FJZ); 6 filas PN; APROBACION Y APLICABILIDAD NO VALIDADAS. </t>
        </is>
      </c>
    </row>
    <row r="382">
      <c r="A382" s="35" t="inlineStr">
        <is>
          <t>DEV-CTANJZ05343</t>
        </is>
      </c>
      <c r="B382" s="35" t="inlineStr">
        <is>
          <t>DEVIATION</t>
        </is>
      </c>
      <c r="C382" s="35" t="inlineStr">
        <is>
          <t>D612246</t>
        </is>
      </c>
      <c r="D382" s="35" t="n"/>
      <c r="E382" s="36" t="inlineStr">
        <is>
          <t>D612246 A. Restriction of AVL for CPN 16-101652-01:RESTRICT/DO NOT USE: Micron MPN MTFDKCC960TFR-1BC15ABCC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 (MTFDKCC960TFR-1BC15ABCC) must be reworked to replace the drive with the approved Samsung MPN (MZQL2960HCJR-00A07) to allow FPR3K SKUs to continue on the DF side.This deviation applies to MPNs at both PCBA and DF Sites at FJZ effective immediately.</t>
        </is>
      </c>
      <c r="F382" s="35" t="inlineStr">
        <is>
          <t>Pending</t>
        </is>
      </c>
      <c r="G382" s="35" t="inlineStr">
        <is>
          <t>Expired</t>
        </is>
      </c>
      <c r="H382" s="35" t="inlineStr">
        <is>
          <t>Pending Review</t>
        </is>
      </c>
      <c r="I382" s="35" t="inlineStr">
        <is>
          <t>STBU</t>
        </is>
      </c>
      <c r="J382" s="35" t="inlineStr">
        <is>
          <t>CTANJZ05343</t>
        </is>
      </c>
      <c r="K382" s="37" t="n"/>
      <c r="L382" s="37" t="n"/>
      <c r="M382" s="37" t="n">
        <v>46300</v>
      </c>
      <c r="N382" s="35" t="n"/>
      <c r="O382" s="35" t="n"/>
      <c r="P382" s="35" t="n"/>
      <c r="Q382" s="35" t="n"/>
      <c r="R382" s="35" t="n"/>
      <c r="S382" s="35" t="n"/>
      <c r="T382" s="35" t="inlineStr">
        <is>
          <t>Y</t>
        </is>
      </c>
      <c r="U382" s="36" t="inlineStr">
        <is>
          <t xml:space="preserve">FUENTE: Deviation.csv, filas CSV 1186-1276; Workflow=Expired; Date Released=2026-07-24; Date Originated=2026-07-08; Site=FJZP, Plant=MCGA (sin convertir automaticamente a FJZ); 8 filas PN; APROBACION Y APLICABILIDAD NO VALIDADAS. </t>
        </is>
      </c>
    </row>
    <row r="383">
      <c r="A383" s="43" t="inlineStr">
        <is>
          <t>DEV-CTANJZ05344</t>
        </is>
      </c>
      <c r="B383" s="43" t="inlineStr">
        <is>
          <t>DEVIATION</t>
        </is>
      </c>
      <c r="C383" s="43" t="inlineStr">
        <is>
          <t>D612031</t>
        </is>
      </c>
      <c r="D383" s="43" t="n"/>
      <c r="E383" s="33" t="inlineStr">
        <is>
          <t>D612031 Replace 20-0127-02 with 20-0643-01 at Q24 and Q25 for Charon 8P; Charon 8P+ and Charon 8P+ w/POE</t>
        </is>
      </c>
      <c r="F383" s="43" t="inlineStr">
        <is>
          <t>Pending</t>
        </is>
      </c>
      <c r="G383" s="43" t="inlineStr">
        <is>
          <t>Expired</t>
        </is>
      </c>
      <c r="H383" s="43" t="inlineStr">
        <is>
          <t>Pending Review</t>
        </is>
      </c>
      <c r="I383" s="43" t="inlineStr">
        <is>
          <t>SRGBU</t>
        </is>
      </c>
      <c r="J383" s="43" t="inlineStr">
        <is>
          <t>CTANJZ05344</t>
        </is>
      </c>
      <c r="K383" s="32" t="n"/>
      <c r="L383" s="32" t="n"/>
      <c r="M383" s="32" t="n">
        <v>46301</v>
      </c>
      <c r="N383" s="43" t="n"/>
      <c r="O383" s="43" t="n"/>
      <c r="P383" s="43" t="n"/>
      <c r="Q383" s="43" t="n"/>
      <c r="R383" s="43" t="n"/>
      <c r="S383" s="43" t="n"/>
      <c r="T383" s="43" t="inlineStr">
        <is>
          <t>Y</t>
        </is>
      </c>
      <c r="U383" s="33" t="inlineStr">
        <is>
          <t xml:space="preserve">FUENTE: Deviation.csv, filas CSV 1277-1279; Workflow=Expired; Date Released=2026-07-21; Date Originated=2026-07-09; Site=FJZP, Plant=MCGA (sin convertir automaticamente a FJZ); 3 filas PN; APROBACION Y APLICABILIDAD NO VALIDADAS. </t>
        </is>
      </c>
    </row>
    <row r="384">
      <c r="A384" s="35" t="inlineStr">
        <is>
          <t>DEV-CTANJZ05345</t>
        </is>
      </c>
      <c r="B384" s="35" t="inlineStr">
        <is>
          <t>DEVIATION</t>
        </is>
      </c>
      <c r="C384" s="35" t="inlineStr">
        <is>
          <t>D612428</t>
        </is>
      </c>
      <c r="D384" s="35" t="n"/>
      <c r="E384" s="36" t="inlineStr">
        <is>
          <t>D612428FJZ has the last 2 orders for the PID FPR-NM-2X40G-F=; this product is EOL so to fulfillment these orders we allow to FJZ to use as substitute the 55-372527-01 instead of 55-101825-01The orders are 119617780-1 and 119461060-6 (End customer: CISCO SYSTEMS INC SERVICE OPERATIONS)</t>
        </is>
      </c>
      <c r="F384" s="35" t="inlineStr">
        <is>
          <t>Pending</t>
        </is>
      </c>
      <c r="G384" s="35" t="inlineStr">
        <is>
          <t>Expired</t>
        </is>
      </c>
      <c r="H384" s="35" t="inlineStr">
        <is>
          <t>Pending Review</t>
        </is>
      </c>
      <c r="I384" s="35" t="inlineStr">
        <is>
          <t>STBU</t>
        </is>
      </c>
      <c r="J384" s="35" t="inlineStr">
        <is>
          <t>CTANJZ05345</t>
        </is>
      </c>
      <c r="K384" s="37" t="n"/>
      <c r="L384" s="37" t="n"/>
      <c r="M384" s="37" t="n">
        <v>46301</v>
      </c>
      <c r="N384" s="35" t="n"/>
      <c r="O384" s="35" t="n"/>
      <c r="P384" s="35" t="n"/>
      <c r="Q384" s="35" t="n"/>
      <c r="R384" s="35" t="n"/>
      <c r="S384" s="35" t="n"/>
      <c r="T384" s="35" t="inlineStr">
        <is>
          <t>Y</t>
        </is>
      </c>
      <c r="U384" s="36" t="inlineStr">
        <is>
          <t xml:space="preserve">FUENTE: Deviation.csv, filas CSV 1280-1320; Workflow=Expired; Date Released=2026-07-16; Date Originated=2026-07-09; Site=FJZP, Plant=MCGA (sin convertir automaticamente a FJZ); 2 filas PN; APROBACION Y APLICABILIDAD NO VALIDADAS. </t>
        </is>
      </c>
    </row>
    <row r="385">
      <c r="A385" s="43" t="inlineStr">
        <is>
          <t>DEV-CTANJZ05346</t>
        </is>
      </c>
      <c r="B385" s="43" t="inlineStr">
        <is>
          <t>DEVIATION</t>
        </is>
      </c>
      <c r="C385" s="43" t="inlineStr">
        <is>
          <t>DP526305</t>
        </is>
      </c>
      <c r="D385" s="43" t="n"/>
      <c r="E385" s="33" t="inlineStr">
        <is>
          <t>DP526305CVEBU; Risk buy of NDAA components for use in HeimdallAffected items28-104144-03; PCBFAB;10 L;NP-175FM;OSP;122x120 MM;HEIMDALL MAINBOARD (28-103260-03);NDAA28-104146-05; PCBFAB;4 L;NP-175FM;OSP ONLY;339x339 MM;HEIMDALL MIC BOARD (28-103261-05);NDAA  Risk buy instruction to FJZ- FJZ is hereby instructed to place following risk buy POs   - 674 pieces of 28-104144-03/28-103260-03_S802_M604 with fastest possible ETD from TTM MY   - 300 pieces of 28-104146-05/28-103261-05_S603_M604 with fastest possible ETD from VGT TH   - 300 pieces of 28-104146-05/28-103261-05_S603_M604 with ETD March 1st 2027 from VGT THCisco Contact: Lee Hudson and Jarle Aasland</t>
        </is>
      </c>
      <c r="F385" s="43" t="inlineStr">
        <is>
          <t>Pending</t>
        </is>
      </c>
      <c r="G385" s="43" t="inlineStr">
        <is>
          <t>Expired</t>
        </is>
      </c>
      <c r="H385" s="43" t="inlineStr">
        <is>
          <t>Pending Review</t>
        </is>
      </c>
      <c r="I385" s="43" t="inlineStr">
        <is>
          <t>CVEBU</t>
        </is>
      </c>
      <c r="J385" s="43" t="inlineStr">
        <is>
          <t>CTANJZ05346</t>
        </is>
      </c>
      <c r="K385" s="32" t="n"/>
      <c r="L385" s="32" t="n"/>
      <c r="M385" s="32" t="n">
        <v>46257</v>
      </c>
      <c r="N385" s="43" t="n"/>
      <c r="O385" s="43" t="n"/>
      <c r="P385" s="43" t="n"/>
      <c r="Q385" s="43" t="n"/>
      <c r="R385" s="43" t="n"/>
      <c r="S385" s="43" t="n"/>
      <c r="T385" s="43" t="inlineStr">
        <is>
          <t>Y</t>
        </is>
      </c>
      <c r="U385" s="33" t="inlineStr">
        <is>
          <t xml:space="preserve">FUENTE: Deviation.csv, filas CSV 295-296; Workflow=Expired; Date Released=2026-07-21; Date Originated=2026-07-10; Site=FJZP, Plant=MCGA (sin convertir automaticamente a FJZ); 2 filas PN; APROBACION Y APLICABILIDAD NO VALIDADAS. </t>
        </is>
      </c>
    </row>
    <row r="386">
      <c r="A386" s="35" t="inlineStr">
        <is>
          <t>DEV-CTANJZ05347</t>
        </is>
      </c>
      <c r="B386" s="35" t="inlineStr">
        <is>
          <t>DEVIATION</t>
        </is>
      </c>
      <c r="C386" s="35" t="inlineStr">
        <is>
          <t>D611853</t>
        </is>
      </c>
      <c r="D386" s="35" t="n"/>
      <c r="E386" s="36" t="inlineStr">
        <is>
          <t>D611853 Need to qualify 10128798-005RLF on 73-102363-05 for Assy Qual Request # : AQR003717732 Which is a Supplier PCN from 10128798-005RLF for PCN TYPE : Site Move on GQR GQR000091231 and AQR AQR003717732</t>
        </is>
      </c>
      <c r="F386" s="35" t="inlineStr">
        <is>
          <t>Pending</t>
        </is>
      </c>
      <c r="G386" s="35" t="inlineStr">
        <is>
          <t>Expired</t>
        </is>
      </c>
      <c r="H386" s="35" t="inlineStr">
        <is>
          <t>Pending Review</t>
        </is>
      </c>
      <c r="I386" s="35" t="inlineStr">
        <is>
          <t>CRBU</t>
        </is>
      </c>
      <c r="J386" s="35" t="inlineStr">
        <is>
          <t>CTANJZ05347</t>
        </is>
      </c>
      <c r="K386" s="37" t="n"/>
      <c r="L386" s="37" t="n"/>
      <c r="M386" s="37" t="n">
        <v>46301</v>
      </c>
      <c r="N386" s="35" t="n"/>
      <c r="O386" s="35" t="n"/>
      <c r="P386" s="35" t="n"/>
      <c r="Q386" s="35" t="n"/>
      <c r="R386" s="35" t="n"/>
      <c r="S386" s="35" t="n"/>
      <c r="T386" s="35" t="inlineStr">
        <is>
          <t>Y</t>
        </is>
      </c>
      <c r="U386" s="36" t="inlineStr">
        <is>
          <t xml:space="preserve">FUENTE: Deviation.csv, filas CSV 98-203; Workflow=Expired; Date Released=2026-07-24; Date Originated=2026-07-10; Site=FJZP, Plant=MCGA (sin convertir automaticamente a FJZ); 4 filas PN; APROBACION Y APLICABILIDAD NO VALIDADAS. </t>
        </is>
      </c>
    </row>
    <row r="387">
      <c r="A387" s="43" t="inlineStr">
        <is>
          <t>DEV-CTANJZ05348</t>
        </is>
      </c>
      <c r="B387" s="43" t="inlineStr">
        <is>
          <t>DEVIATION</t>
        </is>
      </c>
      <c r="C387" s="43" t="inlineStr">
        <is>
          <t>D612482</t>
        </is>
      </c>
      <c r="D387" s="43" t="n"/>
      <c r="E387" s="33" t="inlineStr">
        <is>
          <t>D612482 NGFWBU GQR: GQR000097189 Case: AQR003807047 CPN: 36-0097-01; MFR NAME: TAI-TECH ADVANCED ELECTRONICS; MPN: MBP43K800-60CThis deviation instructs Foxconn Juarez (FJZ) to execute a sample buy and conduct a Production Qual build for the following part(s):BU: NGFWBUPF: FPRMID3Affected TAN(s):68-7253-05Affected Item(s): 73-20249-06CPN: 36-0097-01; MFR NAME: TAI-TECH ADVANCED ELECTRONICS; MPN: MBP43K800-60CBuild Qty: 7Ref Des: L28;L97To execute the above AQR at CM site; should be tested on Model A.</t>
        </is>
      </c>
      <c r="F387" s="43" t="inlineStr">
        <is>
          <t>Pending</t>
        </is>
      </c>
      <c r="G387" s="43" t="inlineStr">
        <is>
          <t>Expired</t>
        </is>
      </c>
      <c r="H387" s="43" t="inlineStr">
        <is>
          <t>Pending Review</t>
        </is>
      </c>
      <c r="I387" s="43" t="inlineStr">
        <is>
          <t>STBU</t>
        </is>
      </c>
      <c r="J387" s="43" t="inlineStr">
        <is>
          <t>CTANJZ05348</t>
        </is>
      </c>
      <c r="K387" s="32" t="n"/>
      <c r="L387" s="32" t="n"/>
      <c r="M387" s="32" t="n">
        <v>46302</v>
      </c>
      <c r="N387" s="43" t="n"/>
      <c r="O387" s="43" t="n"/>
      <c r="P387" s="43" t="n"/>
      <c r="Q387" s="43" t="n"/>
      <c r="R387" s="43" t="n"/>
      <c r="S387" s="43" t="n"/>
      <c r="T387" s="43" t="inlineStr">
        <is>
          <t>Y</t>
        </is>
      </c>
      <c r="U387" s="33" t="inlineStr">
        <is>
          <t xml:space="preserve">FUENTE: Deviation.csv, filas CSV 196-1531; Workflow=Expired; Date Released=2026-07-21; Date Originated=2026-07-10; Site=FJZP, Plant=MCGA (sin convertir automaticamente a FJZ); 4 filas PN; APROBACION Y APLICABILIDAD NO VALIDADAS. </t>
        </is>
      </c>
    </row>
    <row r="388">
      <c r="A388" s="35" t="inlineStr">
        <is>
          <t>DEV-CTANJZ05349</t>
        </is>
      </c>
      <c r="B388" s="35" t="inlineStr">
        <is>
          <t>DEVIATION</t>
        </is>
      </c>
      <c r="C388" s="35" t="inlineStr">
        <is>
          <t>D612481</t>
        </is>
      </c>
      <c r="D388" s="35" t="n"/>
      <c r="E388" s="36" t="inlineStr">
        <is>
          <t>D612481 NGFWBU GQR: GQR000097189 Case: AQR003807064 CPN: 36-0097-01; MFR NAME: TAI-TECH ADVANCED ELECTRONICS; MPN: MBP43K800-60CThis deviation instructs Foxconn Juarez (FJZ) to execute a sample buy and conduct a Production Qual build for the following part(s):BU: NGFWBUPF: F1KLOW ; FPRLOWAffected TAN(s):68-7007-02Affected Item(s): 73-18489-08CPN: 36-0097-01; MFR NAME: TAI-TECH ADVANCED ELECTRONICS; MPN: MBP43K800-60CBuild Qty: 7Ref Des: L3_PE;L45_PETo execute the above AQR at CM site; should be tested on Model A.</t>
        </is>
      </c>
      <c r="F388" s="35" t="inlineStr">
        <is>
          <t>Pending</t>
        </is>
      </c>
      <c r="G388" s="35" t="inlineStr">
        <is>
          <t>Expired</t>
        </is>
      </c>
      <c r="H388" s="35" t="inlineStr">
        <is>
          <t>Pending Review</t>
        </is>
      </c>
      <c r="I388" s="35" t="inlineStr">
        <is>
          <t>STBU</t>
        </is>
      </c>
      <c r="J388" s="35" t="inlineStr">
        <is>
          <t>CTANJZ05349</t>
        </is>
      </c>
      <c r="K388" s="37" t="n"/>
      <c r="L388" s="37" t="n"/>
      <c r="M388" s="37" t="n">
        <v>46302</v>
      </c>
      <c r="N388" s="35" t="n"/>
      <c r="O388" s="35" t="n"/>
      <c r="P388" s="35" t="n"/>
      <c r="Q388" s="35" t="n"/>
      <c r="R388" s="35" t="n"/>
      <c r="S388" s="35" t="n"/>
      <c r="T388" s="35" t="inlineStr">
        <is>
          <t>Y</t>
        </is>
      </c>
      <c r="U388" s="36" t="inlineStr">
        <is>
          <t xml:space="preserve">FUENTE: Deviation.csv, filas CSV 205-1533; Workflow=Expired; Date Released=2026-07-21; Date Originated=2026-07-10; Site=FJZP, Plant=MCGA (sin convertir automaticamente a FJZ); 4 filas PN; APROBACION Y APLICABILIDAD NO VALIDADAS. </t>
        </is>
      </c>
    </row>
    <row r="389">
      <c r="A389" s="43" t="inlineStr">
        <is>
          <t>DEV-CTANJZ05350</t>
        </is>
      </c>
      <c r="B389" s="43" t="inlineStr">
        <is>
          <t>DEVIATION</t>
        </is>
      </c>
      <c r="C389" s="43" t="inlineStr">
        <is>
          <t>D612480</t>
        </is>
      </c>
      <c r="D389" s="43" t="n"/>
      <c r="E389" s="33" t="inlineStr">
        <is>
          <t>D612480NGFWBU GQR: GQR000096134 Case: AQR003756958 CPN: 36-0097-01; MFR NAME: MAG LAYERS; MPN: BBUPCS453215800Y00This deviation instructs Foxconn Juarez (FJZ) to execute a sample buy and conduct a Production Qual build for the following part(s):BU: NGFWBUPF: FPRMID3Affected TAN(s):68-7253-05Affected Item(s): 73-20249-06CPN: 36-0097-01; MFR NAME: MAG LAYERS; MPN: BBUPCS453215800Y00Build Qty: 7Ref Des: L28;L97To execute the above AQR at CM site; should be tested on Model A.</t>
        </is>
      </c>
      <c r="F389" s="43" t="inlineStr">
        <is>
          <t>Pending</t>
        </is>
      </c>
      <c r="G389" s="43" t="inlineStr">
        <is>
          <t>Expired</t>
        </is>
      </c>
      <c r="H389" s="43" t="inlineStr">
        <is>
          <t>Pending Review</t>
        </is>
      </c>
      <c r="I389" s="43" t="inlineStr">
        <is>
          <t>STBU</t>
        </is>
      </c>
      <c r="J389" s="43" t="inlineStr">
        <is>
          <t>CTANJZ05350</t>
        </is>
      </c>
      <c r="K389" s="32" t="n"/>
      <c r="L389" s="32" t="n"/>
      <c r="M389" s="32" t="n">
        <v>46302</v>
      </c>
      <c r="N389" s="43" t="n"/>
      <c r="O389" s="43" t="n"/>
      <c r="P389" s="43" t="n"/>
      <c r="Q389" s="43" t="n"/>
      <c r="R389" s="43" t="n"/>
      <c r="S389" s="43" t="n"/>
      <c r="T389" s="43" t="inlineStr">
        <is>
          <t>Y</t>
        </is>
      </c>
      <c r="U389" s="33" t="inlineStr">
        <is>
          <t xml:space="preserve">FUENTE: Deviation.csv, filas CSV 209-1578; Workflow=Expired; Date Released=2026-07-21; Date Originated=2026-07-10; Site=FJZP, Plant=MCGA (sin convertir automaticamente a FJZ); 4 filas PN; APROBACION Y APLICABILIDAD NO VALIDADAS. </t>
        </is>
      </c>
    </row>
    <row r="390">
      <c r="A390" s="35" t="inlineStr">
        <is>
          <t>DEV-CTANJZ05351</t>
        </is>
      </c>
      <c r="B390" s="35" t="inlineStr">
        <is>
          <t>DEVIATION</t>
        </is>
      </c>
      <c r="C390" s="35" t="inlineStr">
        <is>
          <t>D612083</t>
        </is>
      </c>
      <c r="D390" s="35" t="n"/>
      <c r="E390" s="36" t="inlineStr">
        <is>
          <t>D612083 Need to qualify MBP18ZP331-15C on 73-102363-05</t>
        </is>
      </c>
      <c r="F390" s="35" t="inlineStr">
        <is>
          <t>Pending</t>
        </is>
      </c>
      <c r="G390" s="35" t="n"/>
      <c r="H390" s="35" t="inlineStr">
        <is>
          <t>Pending Review</t>
        </is>
      </c>
      <c r="I390" s="35" t="inlineStr">
        <is>
          <t>CRBU</t>
        </is>
      </c>
      <c r="J390" s="35" t="inlineStr">
        <is>
          <t>CTANJZ05351</t>
        </is>
      </c>
      <c r="K390" s="37" t="n"/>
      <c r="L390" s="37" t="n"/>
      <c r="M390" s="37" t="n">
        <v>46390</v>
      </c>
      <c r="N390" s="35" t="n"/>
      <c r="O390" s="35" t="n"/>
      <c r="P390" s="35" t="n"/>
      <c r="Q390" s="35" t="n"/>
      <c r="R390" s="35" t="n"/>
      <c r="S390" s="35" t="n"/>
      <c r="T390" s="35" t="inlineStr">
        <is>
          <t>Y</t>
        </is>
      </c>
      <c r="U390" s="36" t="inlineStr">
        <is>
          <t xml:space="preserve">FUENTE: Deviation.csv, filas CSV 80-255; Workflow=Extended; Date Released=2026-07-24; Date Originated=2026-07-10; Site=FJZP, Plant=MCGA (sin convertir automaticamente a FJZ); 4 filas PN; APROBACION Y APLICABILIDAD NO VALIDADAS. </t>
        </is>
      </c>
    </row>
    <row r="391">
      <c r="A391" s="43" t="inlineStr">
        <is>
          <t>DEV-CTANJZ05352</t>
        </is>
      </c>
      <c r="B391" s="43" t="inlineStr">
        <is>
          <t>DEVIATION</t>
        </is>
      </c>
      <c r="C391" s="43" t="inlineStr">
        <is>
          <t>D611822</t>
        </is>
      </c>
      <c r="D391" s="43" t="n"/>
      <c r="E391" s="33" t="inlineStr">
        <is>
          <t>D611822 Need to qualify 102-906-16 on 73-102363-05 for Assy Qual Request # : AQR003710154 Which is a Supplier PCN from 102-906-16 for PCN TYPE : Site Move on GQR GQR000091117 and AQR AQR003710154</t>
        </is>
      </c>
      <c r="F391" s="43" t="inlineStr">
        <is>
          <t>Pending</t>
        </is>
      </c>
      <c r="G391" s="43" t="n"/>
      <c r="H391" s="43" t="inlineStr">
        <is>
          <t>Pending Review</t>
        </is>
      </c>
      <c r="I391" s="43" t="inlineStr">
        <is>
          <t>CRBU</t>
        </is>
      </c>
      <c r="J391" s="43" t="inlineStr">
        <is>
          <t>CTANJZ05352</t>
        </is>
      </c>
      <c r="K391" s="32" t="n"/>
      <c r="L391" s="32" t="n"/>
      <c r="M391" s="32" t="n">
        <v>46390</v>
      </c>
      <c r="N391" s="43" t="n"/>
      <c r="O391" s="43" t="n"/>
      <c r="P391" s="43" t="n"/>
      <c r="Q391" s="43" t="n"/>
      <c r="R391" s="43" t="n"/>
      <c r="S391" s="43" t="n"/>
      <c r="T391" s="43" t="inlineStr">
        <is>
          <t>Y</t>
        </is>
      </c>
      <c r="U391" s="33" t="inlineStr">
        <is>
          <t xml:space="preserve">FUENTE: Deviation.csv, filas CSV 82-257; Workflow=Extended; Date Released=2026-07-24; Date Originated=2026-07-10; Site=FJZP, Plant=MCGA (sin convertir automaticamente a FJZ); 4 filas PN; APROBACION Y APLICABILIDAD NO VALIDADAS. </t>
        </is>
      </c>
    </row>
    <row r="392">
      <c r="A392" s="35" t="inlineStr">
        <is>
          <t>DEV-CTANJZ05353</t>
        </is>
      </c>
      <c r="B392" s="35" t="inlineStr">
        <is>
          <t>DEVIATION</t>
        </is>
      </c>
      <c r="C392" s="35" t="inlineStr">
        <is>
          <t>D612478</t>
        </is>
      </c>
      <c r="D392" s="35" t="n"/>
      <c r="E392" s="36" t="inlineStr">
        <is>
          <t>D612478 NGFWBU GQR: GQR000096134 Case: AQR003756973 CPN: 36-0097-01; MFR NAME: MAG LAYERS; MPN: BBUPCS453215800Y00This deviation instructs Foxconn Juarez (FJZ) to execute a sample buy and conduct a Production Qual build for the following part(s):BU: NGFWBUPF: F1KLOW ; FPRLOWAffected TAN(s):68-7007-02Affected Item(s): 73-18489-08CPN: 36-0097-01; MFR NAME: MAG LAYERS; MPN: BBUPCS453215800Y00Build Qty: 7Ref Des: L3_PE;L45_PETo execute the above AQR at CM site; should be tested on Model A.</t>
        </is>
      </c>
      <c r="F392" s="35" t="inlineStr">
        <is>
          <t>Pending</t>
        </is>
      </c>
      <c r="G392" s="35" t="inlineStr">
        <is>
          <t>Expired</t>
        </is>
      </c>
      <c r="H392" s="35" t="inlineStr">
        <is>
          <t>Pending Review</t>
        </is>
      </c>
      <c r="I392" s="35" t="inlineStr">
        <is>
          <t>STBU</t>
        </is>
      </c>
      <c r="J392" s="35" t="inlineStr">
        <is>
          <t>CTANJZ05353</t>
        </is>
      </c>
      <c r="K392" s="37" t="n"/>
      <c r="L392" s="37" t="n"/>
      <c r="M392" s="37" t="n">
        <v>46302</v>
      </c>
      <c r="N392" s="35" t="n"/>
      <c r="O392" s="35" t="n"/>
      <c r="P392" s="35" t="n"/>
      <c r="Q392" s="35" t="n"/>
      <c r="R392" s="35" t="n"/>
      <c r="S392" s="35" t="n"/>
      <c r="T392" s="35" t="inlineStr">
        <is>
          <t>Y</t>
        </is>
      </c>
      <c r="U392" s="36" t="inlineStr">
        <is>
          <t xml:space="preserve">FUENTE: Deviation.csv, filas CSV 207-1548; Workflow=Expired; Date Released=2026-07-21; Date Originated=2026-07-10; Site=FJZP, Plant=MCGA (sin convertir automaticamente a FJZ); 4 filas PN; APROBACION Y APLICABILIDAD NO VALIDADAS. </t>
        </is>
      </c>
    </row>
    <row r="393">
      <c r="A393" s="43" t="inlineStr">
        <is>
          <t>DEV-CTANJZ05389</t>
        </is>
      </c>
      <c r="B393" s="43" t="inlineStr">
        <is>
          <t>DEVIATION</t>
        </is>
      </c>
      <c r="C393" s="43" t="inlineStr">
        <is>
          <t>D612687</t>
        </is>
      </c>
      <c r="D393" s="43" t="n"/>
      <c r="E393" s="33" t="inlineStr">
        <is>
          <t>D612687 The PSU 341-101113-02 reporting to PWR-CC1-400WAC contained error in the 61-104458-02 PCAMAP where the 341-Type Field was incorrectly changed to A0 when it should be C0.  This error caused error message "%Type 160 not supported in ID PROM" to show up in mfg test.</t>
        </is>
      </c>
      <c r="F393" s="43" t="inlineStr">
        <is>
          <t>Pending</t>
        </is>
      </c>
      <c r="G393" s="43" t="inlineStr">
        <is>
          <t>Expired</t>
        </is>
      </c>
      <c r="H393" s="43" t="inlineStr">
        <is>
          <t>Pending Review</t>
        </is>
      </c>
      <c r="I393" s="43" t="inlineStr">
        <is>
          <t>SRGBU</t>
        </is>
      </c>
      <c r="J393" s="43" t="inlineStr">
        <is>
          <t>CTANJZ05389</t>
        </is>
      </c>
      <c r="K393" s="32" t="n"/>
      <c r="L393" s="32" t="n"/>
      <c r="M393" s="32" t="n">
        <v>46306</v>
      </c>
      <c r="N393" s="43" t="n"/>
      <c r="O393" s="43" t="n"/>
      <c r="P393" s="43" t="n"/>
      <c r="Q393" s="43" t="n"/>
      <c r="R393" s="43" t="n"/>
      <c r="S393" s="43" t="n"/>
      <c r="T393" s="43" t="inlineStr">
        <is>
          <t>Y</t>
        </is>
      </c>
      <c r="U393" s="33" t="inlineStr">
        <is>
          <t xml:space="preserve">FUENTE: Deviation.csv, filas CSV 1321-1321; Workflow=Expired; Date Released=2026-08-08; Date Originated=2026-07-15; Site=FJZP, Plant=MCGA (sin convertir automaticamente a FJZ); 1 filas PN; APROBACION Y APLICABILIDAD NO VALIDADAS. </t>
        </is>
      </c>
    </row>
    <row r="394">
      <c r="A394" s="35" t="inlineStr">
        <is>
          <t>DEV-CTANJZ05390</t>
        </is>
      </c>
      <c r="B394" s="35" t="inlineStr">
        <is>
          <t>DEVIATION</t>
        </is>
      </c>
      <c r="C394" s="35" t="inlineStr">
        <is>
          <t>D611890</t>
        </is>
      </c>
      <c r="D394" s="35" t="n"/>
      <c r="E394" s="36" t="inlineStr">
        <is>
          <t>D611890 Need to qualify JP700 50031 on 73-20922-04 for Assy Qual Request # : AQR003727944 Which is a Supplier PCN from JP700 50031 for PCN TYPE : Site Move on GQR GQR000091463 and AQR AQR003727944</t>
        </is>
      </c>
      <c r="F394" s="35" t="inlineStr">
        <is>
          <t>Pending</t>
        </is>
      </c>
      <c r="G394" s="35" t="inlineStr">
        <is>
          <t>Expired</t>
        </is>
      </c>
      <c r="H394" s="35" t="inlineStr">
        <is>
          <t>Pending Review</t>
        </is>
      </c>
      <c r="I394" s="35" t="inlineStr">
        <is>
          <t>CRBU</t>
        </is>
      </c>
      <c r="J394" s="35" t="inlineStr">
        <is>
          <t>CTANJZ05390</t>
        </is>
      </c>
      <c r="K394" s="37" t="n"/>
      <c r="L394" s="37" t="n"/>
      <c r="M394" s="37" t="n">
        <v>46306</v>
      </c>
      <c r="N394" s="35" t="n"/>
      <c r="O394" s="35" t="n"/>
      <c r="P394" s="35" t="n"/>
      <c r="Q394" s="35" t="n"/>
      <c r="R394" s="35" t="n"/>
      <c r="S394" s="35" t="n"/>
      <c r="T394" s="35" t="inlineStr">
        <is>
          <t>Y</t>
        </is>
      </c>
      <c r="U394" s="36" t="inlineStr">
        <is>
          <t xml:space="preserve">FUENTE: Deviation.csv, filas CSV 115-211; Workflow=Expired; Date Released=2026-08-08; Date Originated=2026-07-15; Site=FJZP, Plant=MCGA (sin convertir automaticamente a FJZ); 2 filas PN; APROBACION Y APLICABILIDAD NO VALIDADAS. </t>
        </is>
      </c>
    </row>
    <row r="395">
      <c r="A395" s="43" t="inlineStr">
        <is>
          <t>DEV-CTANJZ05394</t>
        </is>
      </c>
      <c r="B395" s="43" t="inlineStr">
        <is>
          <t>DEVIATION</t>
        </is>
      </c>
      <c r="C395" s="43" t="inlineStr">
        <is>
          <t>D612245</t>
        </is>
      </c>
      <c r="D395" s="43" t="n"/>
      <c r="E395" s="33" t="inlineStr">
        <is>
          <t>D6122451.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F395" s="43" t="inlineStr">
        <is>
          <t>Pending</t>
        </is>
      </c>
      <c r="G395" s="43" t="inlineStr">
        <is>
          <t>Expired</t>
        </is>
      </c>
      <c r="H395" s="43" t="inlineStr">
        <is>
          <t>Pending Review</t>
        </is>
      </c>
      <c r="I395" s="43" t="inlineStr">
        <is>
          <t>STBU</t>
        </is>
      </c>
      <c r="J395" s="43" t="inlineStr">
        <is>
          <t>CTANJZ05394</t>
        </is>
      </c>
      <c r="K395" s="32" t="n"/>
      <c r="L395" s="32" t="n"/>
      <c r="M395" s="32" t="n">
        <v>46308</v>
      </c>
      <c r="N395" s="43" t="n"/>
      <c r="O395" s="43" t="n"/>
      <c r="P395" s="43" t="n"/>
      <c r="Q395" s="43" t="n"/>
      <c r="R395" s="43" t="n"/>
      <c r="S395" s="43" t="n"/>
      <c r="T395" s="43" t="inlineStr">
        <is>
          <t>Y</t>
        </is>
      </c>
      <c r="U395" s="33" t="inlineStr">
        <is>
          <t xml:space="preserve">FUENTE: Deviation.csv, filas CSV 1222-1223; Workflow=Expired; Date Released=2026-08-15; Date Originated=2026-07-16; Site=FJZP, Plant=MCGA (sin convertir automaticamente a FJZ); 2 filas PN; APROBACION Y APLICABILIDAD NO VALIDADAS. </t>
        </is>
      </c>
    </row>
    <row r="396">
      <c r="A396" s="35" t="inlineStr">
        <is>
          <t>DEV-CTANJZ05395</t>
        </is>
      </c>
      <c r="B396" s="35" t="inlineStr">
        <is>
          <t>DEVIATION</t>
        </is>
      </c>
      <c r="C396" s="35" t="inlineStr">
        <is>
          <t>D612689</t>
        </is>
      </c>
      <c r="D396" s="35" t="n"/>
      <c r="E396" s="36" t="inlineStr">
        <is>
          <t>D612689 Solidgm SSDs secured by Cisco will not have the Cisco CPN label affixed to the drives.The labels without the Cisco CPN will be the physical labels on the SSD devices and the inner cartons.Script modification is not needed as the QR/Barcodes are missing the MPN. The MPN need to be printed on a separate label and the operators can scan the SN label and the MPN label on the current master script</t>
        </is>
      </c>
      <c r="F396" s="35" t="inlineStr">
        <is>
          <t>Pending</t>
        </is>
      </c>
      <c r="G396" s="35" t="inlineStr">
        <is>
          <t>Expired</t>
        </is>
      </c>
      <c r="H396" s="35" t="inlineStr">
        <is>
          <t>Pending Review</t>
        </is>
      </c>
      <c r="I396" s="35" t="inlineStr">
        <is>
          <t>STBU</t>
        </is>
      </c>
      <c r="J396" s="35" t="inlineStr">
        <is>
          <t>CTANJZ05395</t>
        </is>
      </c>
      <c r="K396" s="37" t="n"/>
      <c r="L396" s="37" t="n"/>
      <c r="M396" s="37" t="n">
        <v>46309</v>
      </c>
      <c r="N396" s="35" t="n"/>
      <c r="O396" s="35" t="n"/>
      <c r="P396" s="35" t="n"/>
      <c r="Q396" s="35" t="n"/>
      <c r="R396" s="35" t="n"/>
      <c r="S396" s="35" t="n"/>
      <c r="T396" s="35" t="inlineStr">
        <is>
          <t>Y</t>
        </is>
      </c>
      <c r="U396" s="36" t="inlineStr">
        <is>
          <t xml:space="preserve">FUENTE: Deviation.csv, filas CSV 585-648; Workflow=Expired; Date Released=2026-08-15; Date Originated=2026-07-17; Site=FJZP, Plant=MCGA (sin convertir automaticamente a FJZ); 3 filas PN; APROBACION Y APLICABILIDAD NO VALIDADAS. </t>
        </is>
      </c>
    </row>
    <row r="397">
      <c r="A397" s="43" t="inlineStr">
        <is>
          <t>DEV-CTANJZ05396</t>
        </is>
      </c>
      <c r="B397" s="43" t="inlineStr">
        <is>
          <t>DEVIATION</t>
        </is>
      </c>
      <c r="C397" s="43" t="inlineStr">
        <is>
          <t>D612685</t>
        </is>
      </c>
      <c r="D397" s="43" t="n"/>
      <c r="E397" s="33" t="inlineStr">
        <is>
          <t>D612685 Allow use of LED 25-100310-01 to replace 25-1283-01 due to deplete stock qualification status for LC5/LC7.Affected PIDs:73-20176-08 (68-7184-09 LC5)73-20516-05 (68-7393-03 LC7)</t>
        </is>
      </c>
      <c r="F397" s="43" t="inlineStr">
        <is>
          <t>Pending</t>
        </is>
      </c>
      <c r="G397" s="43" t="inlineStr">
        <is>
          <t>Expired</t>
        </is>
      </c>
      <c r="H397" s="43" t="inlineStr">
        <is>
          <t>Pending Review</t>
        </is>
      </c>
      <c r="I397" s="43" t="inlineStr">
        <is>
          <t>CRBU</t>
        </is>
      </c>
      <c r="J397" s="43" t="inlineStr">
        <is>
          <t>CTANJZ05396</t>
        </is>
      </c>
      <c r="K397" s="32" t="n"/>
      <c r="L397" s="32" t="n"/>
      <c r="M397" s="32" t="n">
        <v>46308</v>
      </c>
      <c r="N397" s="43" t="n"/>
      <c r="O397" s="43" t="n"/>
      <c r="P397" s="43" t="n"/>
      <c r="Q397" s="43" t="n"/>
      <c r="R397" s="43" t="n"/>
      <c r="S397" s="43" t="n"/>
      <c r="T397" s="43" t="inlineStr">
        <is>
          <t>Y</t>
        </is>
      </c>
      <c r="U397" s="33" t="inlineStr">
        <is>
          <t xml:space="preserve">FUENTE: Deviation.csv, filas CSV 1850-1854; Workflow=Expired; Date Released=2026-08-21; Date Originated=2026-07-17; Site=FJZP, Plant=MCGA (sin convertir automaticamente a FJZ); 5 filas PN; APROBACION Y APLICABILIDAD NO VALIDADAS. </t>
        </is>
      </c>
    </row>
    <row r="398">
      <c r="A398" s="35" t="inlineStr">
        <is>
          <t>DEV-CTANJZ05398</t>
        </is>
      </c>
      <c r="B398" s="35" t="inlineStr">
        <is>
          <t>DEVIATION</t>
        </is>
      </c>
      <c r="C398" s="35" t="inlineStr">
        <is>
          <t>D612843</t>
        </is>
      </c>
      <c r="D398" s="35" t="n"/>
      <c r="E398" s="36" t="inlineStr">
        <is>
          <t>D612843 NGFWBU GQR: GQR000097930 Case: AQR004608289 CPN: 24-101177-01; MFR NAME: MAG LAYERS; MPN: MSI-100612V-R15L-KCS-RUThis deviation instructs Foxconn Juarez (FJZ) to execute a sample buy and conduct a Production Qual build for the following part(s):BU: NGFWBUPF: FPRMID3Affected TAN(s):68-7255-05Affected Item(s): 73-20247-06CPN: 24-101177-01; MFR NAME: MAG LAYERS; MPN: MSI-100612V-R15L-KCS-RUBuild Qty: 7Ref Des: L3;L6To execute the above AQR at CM site; should be tested on Model A.</t>
        </is>
      </c>
      <c r="F398" s="35" t="inlineStr">
        <is>
          <t>Pending</t>
        </is>
      </c>
      <c r="G398" s="35" t="n"/>
      <c r="H398" s="35" t="inlineStr">
        <is>
          <t>Pending Review</t>
        </is>
      </c>
      <c r="I398" s="35" t="inlineStr">
        <is>
          <t>STBU</t>
        </is>
      </c>
      <c r="J398" s="35" t="inlineStr">
        <is>
          <t>CTANJZ05398</t>
        </is>
      </c>
      <c r="K398" s="37" t="n"/>
      <c r="L398" s="37" t="n"/>
      <c r="M398" s="37" t="n">
        <v>46313</v>
      </c>
      <c r="N398" s="35" t="n"/>
      <c r="O398" s="35" t="n"/>
      <c r="P398" s="35" t="n"/>
      <c r="Q398" s="35" t="n"/>
      <c r="R398" s="35" t="n"/>
      <c r="S398" s="35" t="n"/>
      <c r="T398" s="35" t="inlineStr">
        <is>
          <t>Y</t>
        </is>
      </c>
      <c r="U398" s="36" t="inlineStr">
        <is>
          <t xml:space="preserve">FUENTE: Deviation.csv, filas CSV 228-1593; Workflow=FAI Status; Date Released=2026-08-15; Date Originated=2026-07-21; Site=FJZP, Plant=MCGA (sin convertir automaticamente a FJZ); 4 filas PN; APROBACION Y APLICABILIDAD NO VALIDADAS. </t>
        </is>
      </c>
    </row>
    <row r="399">
      <c r="A399" s="43" t="inlineStr">
        <is>
          <t>DEV-CTANJZ05400</t>
        </is>
      </c>
      <c r="B399" s="43" t="inlineStr">
        <is>
          <t>DEVIATION</t>
        </is>
      </c>
      <c r="C399" s="43" t="inlineStr">
        <is>
          <t>D612658</t>
        </is>
      </c>
      <c r="D399" s="43" t="n"/>
      <c r="E399" s="33" t="inlineStr">
        <is>
          <t>D612658 For CPN 16-4194-01; FJZ has new PR trigger to buy 1.5K; mainly driven by SUK. Demand within CT2R is covered and exceeded by 1K. In order to not make any purchase to increase excess; we allow FJZ to use the PN 16-102133-01 with MPN MT25QL128ABA1ESE-0SIT; which is the same as the original one</t>
        </is>
      </c>
      <c r="F399" s="43" t="inlineStr">
        <is>
          <t>Pending</t>
        </is>
      </c>
      <c r="G399" s="43" t="n"/>
      <c r="H399" s="43" t="inlineStr">
        <is>
          <t>Pending Review</t>
        </is>
      </c>
      <c r="I399" s="43" t="inlineStr">
        <is>
          <t>STBU</t>
        </is>
      </c>
      <c r="J399" s="43" t="inlineStr">
        <is>
          <t>CTANJZ05400</t>
        </is>
      </c>
      <c r="K399" s="32" t="n"/>
      <c r="L399" s="32" t="n"/>
      <c r="M399" s="32" t="n">
        <v>46313</v>
      </c>
      <c r="N399" s="43" t="n"/>
      <c r="O399" s="43" t="n"/>
      <c r="P399" s="43" t="n"/>
      <c r="Q399" s="43" t="n"/>
      <c r="R399" s="43" t="n"/>
      <c r="S399" s="43" t="n"/>
      <c r="T399" s="43" t="inlineStr">
        <is>
          <t>Y</t>
        </is>
      </c>
      <c r="U399" s="33" t="inlineStr">
        <is>
          <t xml:space="preserve">FUENTE: Deviation.csv, filas CSV 1381-1388; Workflow=FAI Status; Date Released=2026-08-08; Date Originated=2026-07-21; Site=FJZP, Plant=MCGA (sin convertir automaticamente a FJZ); 8 filas PN; APROBACION Y APLICABILIDAD NO VALIDADAS. </t>
        </is>
      </c>
    </row>
    <row r="400">
      <c r="A400" s="35" t="inlineStr">
        <is>
          <t>DEV-CTANJZ05402</t>
        </is>
      </c>
      <c r="B400" s="35" t="inlineStr">
        <is>
          <t>DEVIATION</t>
        </is>
      </c>
      <c r="C400" s="35" t="inlineStr">
        <is>
          <t>D612802</t>
        </is>
      </c>
      <c r="D400" s="35" t="n"/>
      <c r="E400" s="36" t="inlineStr">
        <is>
          <t>D612802 Please see PageThree for details</t>
        </is>
      </c>
      <c r="F400" s="35" t="inlineStr">
        <is>
          <t>Pending</t>
        </is>
      </c>
      <c r="G400" s="35" t="n"/>
      <c r="H400" s="35" t="inlineStr">
        <is>
          <t>Pending Review</t>
        </is>
      </c>
      <c r="I400" s="35" t="inlineStr">
        <is>
          <t>SRGBU</t>
        </is>
      </c>
      <c r="J400" s="35" t="inlineStr">
        <is>
          <t>CTANJZ05402</t>
        </is>
      </c>
      <c r="K400" s="37" t="n"/>
      <c r="L400" s="37" t="n"/>
      <c r="M400" s="37" t="n">
        <v>46314</v>
      </c>
      <c r="N400" s="35" t="n"/>
      <c r="O400" s="35" t="n"/>
      <c r="P400" s="35" t="n"/>
      <c r="Q400" s="35" t="n"/>
      <c r="R400" s="35" t="n"/>
      <c r="S400" s="35" t="n"/>
      <c r="T400" s="35" t="inlineStr">
        <is>
          <t>Y</t>
        </is>
      </c>
      <c r="U400" s="36" t="inlineStr">
        <is>
          <t xml:space="preserve">FUENTE: Deviation.csv, filas CSV 640-641; Workflow=FAI Status; Date Released=2026-08-08; Date Originated=2026-07-23; Site=FJZP, Plant=MCGA (sin convertir automaticamente a FJZ); 2 filas PN; APROBACION Y APLICABILIDAD NO VALIDADAS. </t>
        </is>
      </c>
    </row>
    <row r="401">
      <c r="A401" s="43" t="inlineStr">
        <is>
          <t>DEV-CTANJZ05403</t>
        </is>
      </c>
      <c r="B401" s="43" t="inlineStr">
        <is>
          <t>DEVIATION</t>
        </is>
      </c>
      <c r="C401" s="43" t="inlineStr">
        <is>
          <t>D612842</t>
        </is>
      </c>
      <c r="D401" s="43" t="n"/>
      <c r="E401" s="33" t="inlineStr">
        <is>
          <t>D612842 NGFWBU GQR: GQR000097798 Case: AQR004550081 CPN: 15-100109-01; MFR NAME: TOSHIBA; MPN: 74AVC1T45FU;LCF(GTThis deviation instructs Foxconn Juarez (FJZ) to execute a sample buy and conduct a Production Qual build for the following part(s):BU: NGFWBUPF: FPRMID3Affected TAN(s):68-7255-05Affected Item(s): 73-20247-06CPN: 15-100109-01; MFR NAME: TOSHIBA; MPN: 74AVC1T45FU;LCF(GTBuild Qty: 5Ref Des: U43;U68;U70;U74;U132;U198To execute the above AQR at CM site; should be tested on Model A.</t>
        </is>
      </c>
      <c r="F401" s="43" t="inlineStr">
        <is>
          <t>Pending</t>
        </is>
      </c>
      <c r="G401" s="43" t="n"/>
      <c r="H401" s="43" t="inlineStr">
        <is>
          <t>Pending Review</t>
        </is>
      </c>
      <c r="I401" s="43" t="inlineStr">
        <is>
          <t>STBU</t>
        </is>
      </c>
      <c r="J401" s="43" t="inlineStr">
        <is>
          <t>CTANJZ05403</t>
        </is>
      </c>
      <c r="K401" s="32" t="n"/>
      <c r="L401" s="32" t="n"/>
      <c r="M401" s="32" t="n">
        <v>46315</v>
      </c>
      <c r="N401" s="43" t="n"/>
      <c r="O401" s="43" t="n"/>
      <c r="P401" s="43" t="n"/>
      <c r="Q401" s="43" t="n"/>
      <c r="R401" s="43" t="n"/>
      <c r="S401" s="43" t="n"/>
      <c r="T401" s="43" t="inlineStr">
        <is>
          <t>Y</t>
        </is>
      </c>
      <c r="U401" s="33" t="inlineStr">
        <is>
          <t xml:space="preserve">FUENTE: Deviation.csv, filas CSV 307-1594; Workflow=FAI Status; Date Released=2026-09-03; Date Originated=2026-07-23; Site=FJZP, Plant=MCGA (sin convertir automaticamente a FJZ); 4 filas PN; APROBACION Y APLICABILIDAD NO VALIDADAS. </t>
        </is>
      </c>
    </row>
    <row r="402">
      <c r="A402" s="35" t="inlineStr">
        <is>
          <t>DEV-CTANJZ05406</t>
        </is>
      </c>
      <c r="B402" s="35" t="inlineStr">
        <is>
          <t>DEVIATION</t>
        </is>
      </c>
      <c r="C402" s="35" t="inlineStr">
        <is>
          <t>D612801</t>
        </is>
      </c>
      <c r="D402" s="35" t="n"/>
      <c r="E402" s="36" t="inlineStr">
        <is>
          <t>D612801 Allow Foxconn to program raw part 16-3635-01 with image 17-11551-05</t>
        </is>
      </c>
      <c r="F402" s="35" t="inlineStr">
        <is>
          <t>Pending</t>
        </is>
      </c>
      <c r="G402" s="35" t="n"/>
      <c r="H402" s="35" t="inlineStr">
        <is>
          <t>Pending Review</t>
        </is>
      </c>
      <c r="I402" s="35" t="inlineStr">
        <is>
          <t>SRGBU</t>
        </is>
      </c>
      <c r="J402" s="35" t="inlineStr">
        <is>
          <t>CTANJZ05406</t>
        </is>
      </c>
      <c r="K402" s="37" t="n"/>
      <c r="L402" s="37" t="n"/>
      <c r="M402" s="37" t="n">
        <v>46320</v>
      </c>
      <c r="N402" s="35" t="n"/>
      <c r="O402" s="35" t="n"/>
      <c r="P402" s="35" t="n"/>
      <c r="Q402" s="35" t="n"/>
      <c r="R402" s="35" t="n"/>
      <c r="S402" s="35" t="n"/>
      <c r="T402" s="35" t="inlineStr">
        <is>
          <t>Y</t>
        </is>
      </c>
      <c r="U402" s="36" t="inlineStr">
        <is>
          <t xml:space="preserve">FUENTE: Deviation.csv, filas CSV 1376-1377; Workflow=FAI Status; Date Released=2026-08-12; Date Originated=2026-07-28; Site=FJZP, Plant=MCGA (sin convertir automaticamente a FJZ); 2 filas PN; APROBACION Y APLICABILIDAD NO VALIDADAS. </t>
        </is>
      </c>
    </row>
    <row r="403">
      <c r="A403" s="43" t="inlineStr">
        <is>
          <t>DEV-CTANJZ05408</t>
        </is>
      </c>
      <c r="B403" s="43" t="inlineStr">
        <is>
          <t>DEVIATION</t>
        </is>
      </c>
      <c r="C403" s="43" t="inlineStr">
        <is>
          <t>D613038</t>
        </is>
      </c>
      <c r="D403" s="43" t="n"/>
      <c r="E403"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F403" s="43" t="inlineStr">
        <is>
          <t>Pending</t>
        </is>
      </c>
      <c r="G403" s="43" t="n"/>
      <c r="H403" s="43" t="inlineStr">
        <is>
          <t>Pending Review</t>
        </is>
      </c>
      <c r="I403" s="43" t="inlineStr">
        <is>
          <t>CVEBU</t>
        </is>
      </c>
      <c r="J403" s="43" t="inlineStr">
        <is>
          <t>CTANJZ05408</t>
        </is>
      </c>
      <c r="K403" s="32" t="n"/>
      <c r="L403" s="32" t="n"/>
      <c r="M403" s="32" t="n">
        <v>46322</v>
      </c>
      <c r="N403" s="43" t="n"/>
      <c r="O403" s="43" t="n"/>
      <c r="P403" s="43" t="n"/>
      <c r="Q403" s="43" t="n"/>
      <c r="R403" s="43" t="n"/>
      <c r="S403" s="43" t="n"/>
      <c r="T403" s="43" t="inlineStr">
        <is>
          <t>Y</t>
        </is>
      </c>
      <c r="U403" s="33" t="inlineStr">
        <is>
          <t xml:space="preserve">FUENTE: Deviation.csv, filas CSV 1361-1375; Workflow=FAI Status; Date Released=2026-08-29; Date Originated=2026-07-30; Site=FJZP, Plant=MCGA (sin convertir automaticamente a FJZ); 10 filas PN; APROBACION Y APLICABILIDAD NO VALIDADAS. </t>
        </is>
      </c>
      <c r="V403" s="49" t="inlineStr">
        <is>
          <t>TYNE / TAYLOR HIGH: sustitución de módulo LPDDR5 Micron por módulo Hynix completo; 800-117978-03 → 800-118978-03. No intercambiar únicamente el CPN de DRAM sin los demás cambios de BOM.</t>
        </is>
      </c>
      <c r="W403" s="49" t="inlineStr">
        <is>
          <t>D613038, CVEBU: sustitución de TAYLOR HIGH MODULE con LPDDR5 de 16 GB, versión Micron, por la versión Hynix, además de la posible utilización de material comprado mediante broker. Ensambles afectados: 68-104853-01 (Tyne Codec Radio) y 68-104854-01 (Tyne Codec Non-Radio). Módulo actual 800-117978-03 con PCBA 73-103720-04 y DRAM 15-110522-01 Micron; módulo propuesto 800-118978-03 con PCBA 73-103820-04 y DRAM 15-110522-02 Hynix. El documento permite reemplazar el CPN del módulo completo y menciona material Hynix de los brokers Smith (MPN H58G66BK8BX105N) y Rand (MPN H58G66BK8QX105N) para la PCBA 73-103820-04. Aclaración crítica: 15-110522-02 NO sustituye directamente a 15-110522-01 sin otros cambios en la BOM de PCBA; por ello se debe intercambiar el módulo completo. La fuente indica compatibilidad con las dos versiones a nivel software, sujeta a verificar autorización formal.</t>
        </is>
      </c>
      <c r="X403" s="50" t="inlineStr">
        <is>
          <t>Traduccion para consulta</t>
        </is>
      </c>
    </row>
    <row r="404">
      <c r="A404" s="35" t="inlineStr">
        <is>
          <t>DEV-CTANJZ05409</t>
        </is>
      </c>
      <c r="B404" s="35" t="inlineStr">
        <is>
          <t>DEVIATION</t>
        </is>
      </c>
      <c r="C404" s="35" t="inlineStr">
        <is>
          <t>D613059</t>
        </is>
      </c>
      <c r="D404" s="35" t="n"/>
      <c r="E404" s="36" t="inlineStr">
        <is>
          <t>D613059 CVEBU; Tyne; Allow broker buy and usage of 15-111341-01/PI3EQX1002E2ZREXAffected items15-111341-01; IC-LIN;INTFC DRVR;TQFN;24 P;2.5x2.5mm PKGSIZE;0.35mm PITCH;3.3 V NOM;-40C to 85C;1-port USB3.2 10Gbps Redriver73-103698-06; PCBA; Tyne Codec; Main Board; Radio  73-103940-06; PCBA; Tyne Codec; Main Board; Non-RadioDeviation- FJZ is hereby allowed to secure and use 3500 pieces of PI3EQX1002E2ZREX from broker Newpower at $0.89 cost each- FJZ must perform a successful control run before usage in regular production</t>
        </is>
      </c>
      <c r="F404" s="35" t="inlineStr">
        <is>
          <t>Pending</t>
        </is>
      </c>
      <c r="G404" s="35" t="n"/>
      <c r="H404" s="35" t="inlineStr">
        <is>
          <t>Pending Review</t>
        </is>
      </c>
      <c r="I404" s="35" t="inlineStr">
        <is>
          <t>CVEBU</t>
        </is>
      </c>
      <c r="J404" s="35" t="inlineStr">
        <is>
          <t>CTANJZ05409</t>
        </is>
      </c>
      <c r="K404" s="37" t="n"/>
      <c r="L404" s="37" t="n"/>
      <c r="M404" s="37" t="n">
        <v>46322</v>
      </c>
      <c r="N404" s="35" t="n"/>
      <c r="O404" s="35" t="n"/>
      <c r="P404" s="35" t="n"/>
      <c r="Q404" s="35" t="n"/>
      <c r="R404" s="35" t="n"/>
      <c r="S404" s="35" t="n"/>
      <c r="T404" s="35" t="inlineStr">
        <is>
          <t>Y</t>
        </is>
      </c>
      <c r="U404" s="36" t="inlineStr">
        <is>
          <t xml:space="preserve">FUENTE: Deviation.csv, filas CSV 635-637; Workflow=FAI Status; Date Released=2026-08-29; Date Originated=2026-07-30; Site=FJZP, Plant=MCGA (sin convertir automaticamente a FJZ); 3 filas PN; APROBACION Y APLICABILIDAD NO VALIDADAS. </t>
        </is>
      </c>
    </row>
    <row r="405">
      <c r="A405" s="43" t="inlineStr">
        <is>
          <t>DEV-CTANJZ05410</t>
        </is>
      </c>
      <c r="B405" s="43" t="inlineStr">
        <is>
          <t>DEVIATION</t>
        </is>
      </c>
      <c r="C405" s="43" t="inlineStr">
        <is>
          <t>D612424</t>
        </is>
      </c>
      <c r="D405" s="43" t="n"/>
      <c r="E405" s="33" t="inlineStr">
        <is>
          <t>D612424 Please see PageThree for details</t>
        </is>
      </c>
      <c r="F405" s="43" t="inlineStr">
        <is>
          <t>Pending</t>
        </is>
      </c>
      <c r="G405" s="43" t="n"/>
      <c r="H405" s="43" t="inlineStr">
        <is>
          <t>Pending Review</t>
        </is>
      </c>
      <c r="I405" s="43" t="inlineStr">
        <is>
          <t>STBU</t>
        </is>
      </c>
      <c r="J405" s="43" t="inlineStr">
        <is>
          <t>CTANJZ05410</t>
        </is>
      </c>
      <c r="K405" s="32" t="n"/>
      <c r="L405" s="32" t="n"/>
      <c r="M405" s="32" t="n">
        <v>46323</v>
      </c>
      <c r="N405" s="43" t="n"/>
      <c r="O405" s="43" t="n"/>
      <c r="P405" s="43" t="n"/>
      <c r="Q405" s="43" t="n"/>
      <c r="R405" s="43" t="n"/>
      <c r="S405" s="43" t="n"/>
      <c r="T405" s="43" t="inlineStr">
        <is>
          <t>Y</t>
        </is>
      </c>
      <c r="U405" s="33" t="inlineStr">
        <is>
          <t xml:space="preserve">FUENTE: Deviation.csv, filas CSV 287-300; Workflow=FAI Status; Date Released=2026-09-03; Date Originated=2026-07-31; Site=FJZP, Plant=MCGA (sin convertir automaticamente a FJZ); 6 filas PN; APROBACION Y APLICABILIDAD NO VALIDADAS. </t>
        </is>
      </c>
    </row>
    <row r="406">
      <c r="A406" s="35" t="inlineStr">
        <is>
          <t>DEV-CTANJZ05411</t>
        </is>
      </c>
      <c r="B406" s="35" t="inlineStr">
        <is>
          <t>DEVIATION</t>
        </is>
      </c>
      <c r="C406" s="35" t="inlineStr">
        <is>
          <t>D613013</t>
        </is>
      </c>
      <c r="D406" s="35" t="n"/>
      <c r="E406" s="36" t="inlineStr">
        <is>
          <t>D613013Allow FVN to build/rework 2pcs assy 68-102310-03 with demand(build to current version that production built) with the following components on SumatraGQR000098385/AQR004644133## Qualification BuildAffected TAN(s): 68-102310-03Replacement:19-100521-01;DIODES INC;HX2A333003Ref: U35@73-101926-03</t>
        </is>
      </c>
      <c r="F406" s="35" t="inlineStr">
        <is>
          <t>Pending</t>
        </is>
      </c>
      <c r="G406" s="35" t="n"/>
      <c r="H406" s="35" t="inlineStr">
        <is>
          <t>Pending Review</t>
        </is>
      </c>
      <c r="I406" s="35" t="inlineStr">
        <is>
          <t>IOTBU</t>
        </is>
      </c>
      <c r="J406" s="35" t="inlineStr">
        <is>
          <t>CTANJZ05411</t>
        </is>
      </c>
      <c r="K406" s="37" t="n"/>
      <c r="L406" s="37" t="n"/>
      <c r="M406" s="37" t="n">
        <v>46322</v>
      </c>
      <c r="N406" s="35" t="n"/>
      <c r="O406" s="35" t="n"/>
      <c r="P406" s="35" t="n"/>
      <c r="Q406" s="35" t="n"/>
      <c r="R406" s="35" t="n"/>
      <c r="S406" s="35" t="n"/>
      <c r="T406" s="35" t="inlineStr">
        <is>
          <t>Y</t>
        </is>
      </c>
      <c r="U406" s="36" t="inlineStr">
        <is>
          <t xml:space="preserve">FUENTE: Deviation.csv, filas CSV 95-301; Workflow=FAI Status; Date Released=2026-09-04; Date Originated=2026-07-31; Site=FJZP, Plant=MCGA (sin convertir automaticamente a FJZ); 2 filas PN; APROBACION Y APLICABILIDAD NO VALIDADAS. </t>
        </is>
      </c>
    </row>
    <row r="407">
      <c r="A407" s="43" t="inlineStr">
        <is>
          <t>DEV-CTANJZ05412</t>
        </is>
      </c>
      <c r="B407" s="43" t="inlineStr">
        <is>
          <t>DEVIATION</t>
        </is>
      </c>
      <c r="C407" s="43" t="inlineStr">
        <is>
          <t>D613005</t>
        </is>
      </c>
      <c r="D407" s="43" t="n"/>
      <c r="E407" s="33" t="inlineStr">
        <is>
          <t>D613005 FJZ is requesting to use the 15-104142-01 instead of the -02 version (qty=750)</t>
        </is>
      </c>
      <c r="F407" s="43" t="inlineStr">
        <is>
          <t>Pending</t>
        </is>
      </c>
      <c r="G407" s="43" t="n"/>
      <c r="H407" s="43" t="inlineStr">
        <is>
          <t>Pending Review</t>
        </is>
      </c>
      <c r="I407" s="43" t="inlineStr">
        <is>
          <t>STBU</t>
        </is>
      </c>
      <c r="J407" s="43" t="inlineStr">
        <is>
          <t>CTANJZ05412</t>
        </is>
      </c>
      <c r="K407" s="32" t="n"/>
      <c r="L407" s="32" t="n"/>
      <c r="M407" s="32" t="n">
        <v>46323</v>
      </c>
      <c r="N407" s="43" t="n"/>
      <c r="O407" s="43" t="n"/>
      <c r="P407" s="43" t="n"/>
      <c r="Q407" s="43" t="n"/>
      <c r="R407" s="43" t="n"/>
      <c r="S407" s="43" t="n"/>
      <c r="T407" s="43" t="inlineStr">
        <is>
          <t>Y</t>
        </is>
      </c>
      <c r="U407" s="33" t="inlineStr">
        <is>
          <t xml:space="preserve">FUENTE: Deviation.csv, filas CSV 619-621; Workflow=FAI Status; Date Released=2026-09-03; Date Originated=2026-07-31; Site=FJZP, Plant=MCGA (sin convertir automaticamente a FJZ); 3 filas PN; APROBACION Y APLICABILIDAD NO VALIDADAS. </t>
        </is>
      </c>
    </row>
    <row r="408">
      <c r="A408" s="35" t="inlineStr">
        <is>
          <t>DEV-CTANJZ05413</t>
        </is>
      </c>
      <c r="B408" s="35" t="inlineStr">
        <is>
          <t>DEVIATION</t>
        </is>
      </c>
      <c r="C408" s="35" t="inlineStr">
        <is>
          <t>D613063</t>
        </is>
      </c>
      <c r="D408" s="35" t="n"/>
      <c r="E408" s="36" t="inlineStr">
        <is>
          <t>D613063allow usage of Iron and GB (Mono/2.5D) ASICs showing DPPMs over their goal</t>
        </is>
      </c>
      <c r="F408" s="35" t="inlineStr">
        <is>
          <t>Pending</t>
        </is>
      </c>
      <c r="G408" s="35" t="n"/>
      <c r="H408" s="35" t="inlineStr">
        <is>
          <t>Pending Review</t>
        </is>
      </c>
      <c r="I408" s="35" t="inlineStr">
        <is>
          <t>CRBU</t>
        </is>
      </c>
      <c r="J408" s="35" t="inlineStr">
        <is>
          <t>CTANJZ05413</t>
        </is>
      </c>
      <c r="K408" s="37" t="n"/>
      <c r="L408" s="37" t="n"/>
      <c r="M408" s="37" t="n">
        <v>46324</v>
      </c>
      <c r="N408" s="35" t="n"/>
      <c r="O408" s="35" t="n"/>
      <c r="P408" s="35" t="n"/>
      <c r="Q408" s="35" t="n"/>
      <c r="R408" s="35" t="n"/>
      <c r="S408" s="35" t="n"/>
      <c r="T408" s="35" t="inlineStr">
        <is>
          <t>Y</t>
        </is>
      </c>
      <c r="U408" s="36" t="inlineStr">
        <is>
          <t xml:space="preserve">FUENTE: Deviation.csv, filas CSV 622-629; Workflow=FAI Status; Date Released=2026-08-18; Date Originated=2026-08-03; Site=FJZP, Plant=MCGA (sin convertir automaticamente a FJZ); 8 filas PN; APROBACION Y APLICABILIDAD NO VALIDADAS. </t>
        </is>
      </c>
    </row>
    <row r="409">
      <c r="A409" s="43" t="inlineStr">
        <is>
          <t>DEV-CTANJZ05414</t>
        </is>
      </c>
      <c r="B409" s="43" t="inlineStr">
        <is>
          <t>DEVIATION</t>
        </is>
      </c>
      <c r="C409" s="43" t="inlineStr">
        <is>
          <t>D613039</t>
        </is>
      </c>
      <c r="D409" s="43" t="n"/>
      <c r="E409" s="33" t="inlineStr">
        <is>
          <t>D613039 CVEBU; Heimdall; Temporarily swapping 1.8V LDO from Renesas to TIAffected items73-103459-02; PCA;HEIMDALL MIC BOARD  15-109506-01; IC-LIN;VREG;LDO;DFN;8 P;3.0x3.0mm PKGSIZE;0.65mm PITCH;20.0 V IN;18.0 V OUT;0.5 A;-40 to 125C  15-109628-01; IC-LIN;VREG;LDO;WSON;8 P;3.0x3.0mm PKGSIZE;0.65mm PITCH;16.0 V IN;14.6 V OUT;0.5A;-40 to 125 C; Internal Soft Start  Deviation- FJZ is hereby instructed to perform following changes to 73-103459-02 BOM:- Remove U65/15-109506-01 from BOM- Add U66/15-109628-01 to BOM- Change R149 from 12-4443-01 to 12-2567-02 (from 2.4k to 15k)- Change R151 from 12-100278-01 to 12-4978-01 (from 5.1k to 12k)Additional comment- Above deviation is allowed until stock of 15-109506-01 is available again- Above deviation should not impact SW; but may cause ICT limit adjustment- 15-109506-01 is already used in Tyne Audio Board 73-103758-04; hence pipeline already at FJZ</t>
        </is>
      </c>
      <c r="F409" s="43" t="inlineStr">
        <is>
          <t>Pending</t>
        </is>
      </c>
      <c r="G409" s="43" t="n"/>
      <c r="H409" s="43" t="inlineStr">
        <is>
          <t>Pending Review</t>
        </is>
      </c>
      <c r="I409" s="43" t="inlineStr">
        <is>
          <t>CVEBU</t>
        </is>
      </c>
      <c r="J409" s="43" t="inlineStr">
        <is>
          <t>CTANJZ05414</t>
        </is>
      </c>
      <c r="K409" s="32" t="n"/>
      <c r="L409" s="32" t="n"/>
      <c r="M409" s="32" t="n">
        <v>46324</v>
      </c>
      <c r="N409" s="43" t="n"/>
      <c r="O409" s="43" t="n"/>
      <c r="P409" s="43" t="n"/>
      <c r="Q409" s="43" t="n"/>
      <c r="R409" s="43" t="n"/>
      <c r="S409" s="43" t="n"/>
      <c r="T409" s="43" t="inlineStr">
        <is>
          <t>Y</t>
        </is>
      </c>
      <c r="U409" s="33" t="inlineStr">
        <is>
          <t xml:space="preserve">FUENTE: Deviation.csv, filas CSV 1270-1289; Workflow=FAI Status; Date Released=2026-09-04; Date Originated=2026-08-03; Site=FJZP, Plant=MCGA (sin convertir automaticamente a FJZ); 4 filas PN; APROBACION Y APLICABILIDAD NO VALIDADAS. </t>
        </is>
      </c>
      <c r="V409" s="49" t="inlineStr">
        <is>
          <t>HEIMDALL 73-103459-02: sustitución temporal de LDO Renesas por TI. Retirar U65/15-109506-01, agregar U66/15-109628-01 y cambiar R149 y R151. Revisar BOM, programa P&amp;P y límites ICT según corresponda.</t>
        </is>
      </c>
      <c r="W409" s="49" t="inlineStr">
        <is>
          <t>D613039, CVEBU / HEIMDALL MIC BOARD, PCBA 73-103459-02. Sustitución temporal del regulador LDO de 1.8 V de Renesas por uno de TI. Cambios indicados para la BOM: 1) eliminar U65, CPN 15-109506-01; 2) agregar U66, CPN 15-109628-01; 3) cambiar R149 de 12-4443-01 (2.4 kΩ) a 12-2567-02 (15 kΩ); 4) cambiar R151 de 12-100278-01 (5.1 kΩ) a 12-4978-01 (12 kΩ). El documento indica que el intercambio es temporal hasta que vuelva a estar disponible 15-109506-01. No se espera impacto en software, pero podrían requerirse ajustes de límites ICT. El CPN 15-109506-01 ya se utiliza en la Tyne Audio Board 73-103758-04 como referencia histórica, no como objetivo de estos cuatro cambios. El estatus de aprobación, la WO y la aplicabilidad FJZ deben verificarse antes de usar material.</t>
        </is>
      </c>
      <c r="X409" s="50" t="inlineStr">
        <is>
          <t>Traduccion para consulta</t>
        </is>
      </c>
    </row>
    <row r="410">
      <c r="A410" s="35" t="inlineStr">
        <is>
          <t>DEV-CTANJZ05416</t>
        </is>
      </c>
      <c r="B410" s="35" t="inlineStr">
        <is>
          <t>DEVIATION</t>
        </is>
      </c>
      <c r="C410" s="35" t="inlineStr">
        <is>
          <t>D612425</t>
        </is>
      </c>
      <c r="D410" s="35" t="n"/>
      <c r="E410" s="36" t="inlineStr">
        <is>
          <t>D612425 NGFWBU: CSF12XX DesktopCCN000011710 GQR000081381Qualification of MICRON MPN# MT60B2G8RZ-64B:H under CPN 15-110890-01Items Affected:Top Assembly 68-104735-05    ELMECH 74-139971-02 PCBA:  74-134455-06Top Assembly 68-104736-05    ELMECH 74-139972-02 PCBA:  74-134456-06FJZ to Build Two units the following a CSF1210 POE and a CSF1220 with MICRON Discrete DDR5  MPN MT60B2G8RZ-64B:H  for CPN 15-110890-01 @ Ref Des U1800; U1801; U1900; U1901; U2000; U2100; U2101; U2200; U2201; U2300These units need to go through full ETE testing: ICT/BST/2C and DF system test. FJZ then hold units for further instructions. For any all failures please notify Cisco Cross Function Team Below. Please provide PCBA and Assembled SN to Cisco EPE for tracebility.***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F410" s="35" t="inlineStr">
        <is>
          <t>Pending</t>
        </is>
      </c>
      <c r="G410" s="35" t="n"/>
      <c r="H410" s="35" t="inlineStr">
        <is>
          <t>Pending Review</t>
        </is>
      </c>
      <c r="I410" s="35" t="inlineStr">
        <is>
          <t>STBU</t>
        </is>
      </c>
      <c r="J410" s="35" t="inlineStr">
        <is>
          <t>CTANJZ05416</t>
        </is>
      </c>
      <c r="K410" s="37" t="n"/>
      <c r="L410" s="37" t="n"/>
      <c r="M410" s="37" t="n">
        <v>46329</v>
      </c>
      <c r="N410" s="35" t="n"/>
      <c r="O410" s="35" t="n"/>
      <c r="P410" s="35" t="n"/>
      <c r="Q410" s="35" t="n"/>
      <c r="R410" s="35" t="n"/>
      <c r="S410" s="35" t="n"/>
      <c r="T410" s="35" t="inlineStr">
        <is>
          <t>Y</t>
        </is>
      </c>
      <c r="U410" s="36" t="inlineStr">
        <is>
          <t xml:space="preserve">FUENTE: Deviation.csv, filas CSV 275-277; Workflow=FAI Status; Date Released=2026-09-03; Date Originated=2026-08-06; Site=FJZP, Plant=MCGA (sin convertir automaticamente a FJZ); 3 filas PN; APROBACION Y APLICABILIDAD NO VALIDADAS. </t>
        </is>
      </c>
    </row>
    <row r="411">
      <c r="A411" s="43" t="inlineStr">
        <is>
          <t>DEV-CTANJZ05417</t>
        </is>
      </c>
      <c r="B411" s="43" t="inlineStr">
        <is>
          <t>DEVIATION</t>
        </is>
      </c>
      <c r="C411" s="43" t="inlineStr">
        <is>
          <t>D611851</t>
        </is>
      </c>
      <c r="D411" s="43" t="n"/>
      <c r="E411" s="33" t="inlineStr">
        <is>
          <t>D611851 Need to qualify M24C64-RMN6TP on 73-102363-05 for Assy Qual Request # : AQR003705149 Which is a Supplier PCN from M24C64-RMN6TP for PCN TYPE : Process Change on GQR GQR000090943 and AQR AQR003705149</t>
        </is>
      </c>
      <c r="F411" s="43" t="inlineStr">
        <is>
          <t>Pending</t>
        </is>
      </c>
      <c r="G411" s="43" t="n"/>
      <c r="H411" s="43" t="inlineStr">
        <is>
          <t>Pending Review</t>
        </is>
      </c>
      <c r="I411" s="43" t="inlineStr">
        <is>
          <t>CRBU</t>
        </is>
      </c>
      <c r="J411" s="43" t="inlineStr">
        <is>
          <t>CTANJZ05417</t>
        </is>
      </c>
      <c r="K411" s="32" t="n"/>
      <c r="L411" s="32" t="n"/>
      <c r="M411" s="32" t="n">
        <v>46420</v>
      </c>
      <c r="N411" s="43" t="n"/>
      <c r="O411" s="43" t="n"/>
      <c r="P411" s="43" t="n"/>
      <c r="Q411" s="43" t="n"/>
      <c r="R411" s="43" t="n"/>
      <c r="S411" s="43" t="n"/>
      <c r="T411" s="43" t="inlineStr">
        <is>
          <t>Y</t>
        </is>
      </c>
      <c r="U411" s="33" t="inlineStr">
        <is>
          <t xml:space="preserve">FUENTE: Deviation.csv, filas CSV 92-279; Workflow=Extended; Date Released=2026-08-26; Date Originated=2026-08-08; Site=FJZP, Plant=MCGA (sin convertir automaticamente a FJZ); 4 filas PN; APROBACION Y APLICABILIDAD NO VALIDADAS. </t>
        </is>
      </c>
    </row>
    <row r="412">
      <c r="A412" s="35" t="inlineStr">
        <is>
          <t>DEV-CTANJZ05419</t>
        </is>
      </c>
      <c r="B412" s="35" t="inlineStr">
        <is>
          <t>DEVIATION</t>
        </is>
      </c>
      <c r="C412" s="35" t="inlineStr">
        <is>
          <t>D612975</t>
        </is>
      </c>
      <c r="D412" s="35" t="n"/>
      <c r="E412" s="36" t="inlineStr">
        <is>
          <t>D612975 NGFWBU:Warwick Avenue - Nitrox Config SPI resistor changes to address CDETs/security vulnerability</t>
        </is>
      </c>
      <c r="F412" s="35" t="inlineStr">
        <is>
          <t>Pending</t>
        </is>
      </c>
      <c r="G412" s="35" t="n"/>
      <c r="H412" s="35" t="inlineStr">
        <is>
          <t>Pending Review</t>
        </is>
      </c>
      <c r="I412" s="35" t="inlineStr">
        <is>
          <t>STBU</t>
        </is>
      </c>
      <c r="J412" s="35" t="inlineStr">
        <is>
          <t>CTANJZ05419</t>
        </is>
      </c>
      <c r="K412" s="37" t="n"/>
      <c r="L412" s="37" t="n"/>
      <c r="M412" s="37" t="n">
        <v>46330</v>
      </c>
      <c r="N412" s="35" t="n"/>
      <c r="O412" s="35" t="n"/>
      <c r="P412" s="35" t="n"/>
      <c r="Q412" s="35" t="n"/>
      <c r="R412" s="35" t="n"/>
      <c r="S412" s="35" t="n"/>
      <c r="T412" s="35" t="inlineStr">
        <is>
          <t>Y</t>
        </is>
      </c>
      <c r="U412" s="36" t="inlineStr">
        <is>
          <t xml:space="preserve">FUENTE: Deviation.csv, filas CSV 1865-1870; Workflow=FAI Status; Date Released=2026-09-03; Date Originated=2026-08-08; Site=FJZP, Plant=MCGA (sin convertir automaticamente a FJZ); 6 filas PN; APROBACION Y APLICABILIDAD NO VALIDADAS. </t>
        </is>
      </c>
    </row>
    <row r="413">
      <c r="A413" s="43" t="inlineStr">
        <is>
          <t>DEV-CTANJZ05422</t>
        </is>
      </c>
      <c r="B413" s="43" t="inlineStr">
        <is>
          <t>DEVIATION</t>
        </is>
      </c>
      <c r="C413" s="43" t="inlineStr">
        <is>
          <t>D613228</t>
        </is>
      </c>
      <c r="D413" s="43" t="n"/>
      <c r="E413" s="33" t="inlineStr">
        <is>
          <t>D613228 SRGBU-Nutella: Upgrade to Rommon version 17.15.(1r) and use eMMC KLMCG1RCTE-B041 NOTE: This is an extension deviation of D611208.</t>
        </is>
      </c>
      <c r="F413" s="43" t="inlineStr">
        <is>
          <t>Pending</t>
        </is>
      </c>
      <c r="G413" s="43" t="n"/>
      <c r="H413" s="43" t="inlineStr">
        <is>
          <t>Pending Review</t>
        </is>
      </c>
      <c r="I413" s="43" t="inlineStr">
        <is>
          <t>SRGBU</t>
        </is>
      </c>
      <c r="J413" s="43" t="inlineStr">
        <is>
          <t>CTANJZ05422</t>
        </is>
      </c>
      <c r="K413" s="32" t="n"/>
      <c r="L413" s="32" t="n"/>
      <c r="M413" s="32" t="n">
        <v>46334</v>
      </c>
      <c r="N413" s="43" t="n"/>
      <c r="O413" s="43" t="n"/>
      <c r="P413" s="43" t="n"/>
      <c r="Q413" s="43" t="n"/>
      <c r="R413" s="43" t="n"/>
      <c r="S413" s="43" t="n"/>
      <c r="T413" s="43" t="inlineStr">
        <is>
          <t>Y</t>
        </is>
      </c>
      <c r="U413" s="33" t="inlineStr">
        <is>
          <t xml:space="preserve">FUENTE: Deviation.csv, filas CSV 1294-1308; Workflow=FAI Status; Date Released=2026-08-29; Date Originated=2026-08-12; Site=FJZP, Plant=MCGA (sin convertir automaticamente a FJZ); 8 filas PN; APROBACION Y APLICABILIDAD NO VALIDADAS. </t>
        </is>
      </c>
    </row>
    <row r="414">
      <c r="A414" s="35" t="inlineStr">
        <is>
          <t>DEV-CTANJZ05424</t>
        </is>
      </c>
      <c r="B414" s="35" t="inlineStr">
        <is>
          <t>DEVIATION</t>
        </is>
      </c>
      <c r="C414" s="35" t="inlineStr">
        <is>
          <t>D613355</t>
        </is>
      </c>
      <c r="D414" s="35" t="n"/>
      <c r="E414" s="36" t="inlineStr">
        <is>
          <t>D613355 CVEBU; Millennium; Allow alternative component set to mitigate shortage on 15-109506-01Affected items73-102226-06; PCA; Millennium Codec Main Board; Radio73-103226-06; PCA; Millennium Codec Main Board; Non-RadioDeviation- FJZ is allowed to mitigate 15-109506-01 by following BOM changes  - Remove 3x 15-109506-01; U108; U360; U363  - Add 3x 15-109628-01; U354; U361; U364  - Remove 1x 12-4489-01; R653  - Add 1x 12-4629-01; R653  - Remove 1x 12-4628-01; R748  - Add 1x 12-4453-01; R748  - Remove 1x 12-2567-02; R698  - Add 1x 12-2814-01; R698Additional information- If 12-2814-01 is not in stock; then 12-5359-01 can be used as alternativeCisco Contact: Christian Kjoelseth</t>
        </is>
      </c>
      <c r="F414" s="35" t="inlineStr">
        <is>
          <t>Pending</t>
        </is>
      </c>
      <c r="G414" s="35" t="n"/>
      <c r="H414" s="35" t="inlineStr">
        <is>
          <t>Pending Review</t>
        </is>
      </c>
      <c r="I414" s="35" t="inlineStr">
        <is>
          <t>CVEBU</t>
        </is>
      </c>
      <c r="J414" s="35" t="inlineStr">
        <is>
          <t>CTANJZ05424</t>
        </is>
      </c>
      <c r="K414" s="37" t="n"/>
      <c r="L414" s="37" t="n"/>
      <c r="M414" s="37" t="n">
        <v>46335</v>
      </c>
      <c r="N414" s="35" t="n"/>
      <c r="O414" s="35" t="n"/>
      <c r="P414" s="35" t="n"/>
      <c r="Q414" s="35" t="n"/>
      <c r="R414" s="35" t="n"/>
      <c r="S414" s="35" t="n"/>
      <c r="T414" s="35" t="inlineStr">
        <is>
          <t>Y</t>
        </is>
      </c>
      <c r="U414" s="36" t="inlineStr">
        <is>
          <t xml:space="preserve">FUENTE: Deviation.csv, filas CSV 1290-1293; Workflow=FAI Status; Date Released=2026-09-22; Date Originated=2026-08-13; Site=FJZP, Plant=MCGA (sin convertir automaticamente a FJZ); 4 filas PN; APROBACION Y APLICABILIDAD NO VALIDADAS. </t>
        </is>
      </c>
    </row>
    <row r="415">
      <c r="A415" s="43" t="inlineStr">
        <is>
          <t>DEV-CTANJZ05426</t>
        </is>
      </c>
      <c r="B415" s="43" t="inlineStr">
        <is>
          <t>DEVIATION</t>
        </is>
      </c>
      <c r="C415" s="43" t="inlineStr">
        <is>
          <t>D612426</t>
        </is>
      </c>
      <c r="D415" s="43" t="n"/>
      <c r="E415" s="33" t="inlineStr">
        <is>
          <t>D612426 NGFWBU: CSF12XX DesktopCCN000011970 GQR000082587Qualification of SAMSUNG MPN#  PDRQL8BCBF12-00 under CPN 15-110890-01Items Affected:Top Assembly 68-104735-05    ELMECH 74-139971-02 PCBA:  74-134455-06Top Assembly 68-104736-05    ELMECH 74-139972-02 PCBA:  74-134456-06FJZ to Build Two units the following a CSF1210 POE and a CSF1220 with SAMSUNG Discrete DDR5 MPN#  PDRQL8BCBF12-00  for CPN 15-110890-01 @ Ref Des U1800; U1801; U1900; U1901; U2000; U2100; U2101; U2200; U2201; U2300These units need to go through full ETE testing: ICT/BST/2C and DF system test. FJZ then hold units for further instructions. For any all failures please notify Cisco Cross Function Team Below. Please provide PCBA and Assembled SN to Cisco EPE for traceability.***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F415" s="43" t="inlineStr">
        <is>
          <t>Pending</t>
        </is>
      </c>
      <c r="G415" s="43" t="n"/>
      <c r="H415" s="43" t="inlineStr">
        <is>
          <t>Pending Review</t>
        </is>
      </c>
      <c r="I415" s="43" t="inlineStr">
        <is>
          <t>STBU</t>
        </is>
      </c>
      <c r="J415" s="43" t="inlineStr">
        <is>
          <t>CTANJZ05426</t>
        </is>
      </c>
      <c r="K415" s="32" t="n"/>
      <c r="L415" s="32" t="n"/>
      <c r="M415" s="32" t="n">
        <v>46343</v>
      </c>
      <c r="N415" s="43" t="n"/>
      <c r="O415" s="43" t="n"/>
      <c r="P415" s="43" t="n"/>
      <c r="Q415" s="43" t="n"/>
      <c r="R415" s="43" t="n"/>
      <c r="S415" s="43" t="n"/>
      <c r="T415" s="43" t="inlineStr">
        <is>
          <t>Y</t>
        </is>
      </c>
      <c r="U415" s="33" t="inlineStr">
        <is>
          <t xml:space="preserve">FUENTE: Deviation.csv, filas CSV 304-306; Workflow=FAI Status; Date Released=2026-09-16; Date Originated=2026-08-20; Site=FJZP, Plant=MCGA (sin convertir automaticamente a FJZ); 3 filas PN; APROBACION Y APLICABILIDAD NO VALIDADAS. </t>
        </is>
      </c>
    </row>
    <row r="416">
      <c r="A416" s="35" t="inlineStr">
        <is>
          <t>DEV-CTANJZ05427</t>
        </is>
      </c>
      <c r="B416" s="35" t="inlineStr">
        <is>
          <t>DEVIATION</t>
        </is>
      </c>
      <c r="C416" s="35" t="inlineStr">
        <is>
          <t>D613419</t>
        </is>
      </c>
      <c r="D416" s="35" t="n"/>
      <c r="E416" s="36" t="inlineStr">
        <is>
          <t>D613419 800-50107-02; 5pcs SSD Cage Verification on Tufnell; FPR3K.   We have introduced a second source supplier for the SSD Cable/Tray assembly.  The new Cable is manufactured by Luxshare.   Trend Technologies has provided updated SSD Tray assemblies; 800-50107-02 to FJZ for assembly verification.  The quantity to be tested; and supported by this Deviation is a minimum of 3 assemblies.Trend shall provide 3 ~ 5 Tray assemblies; with the updated Cables from LuxshareFoxconn FJZ will assemble the Tray/Cable assembly under normal manufacturing assembly process.  Same SOP appliesFJZ will conduct all PCBA functional test steps; P2C; 2C; and provide test results on all UUTs applicable under this DeviationFJZ will proceed with DF assembly and normal DF functional tests on these same units.   Provide test results to CiscoAfter assembly; FJZ shall do one of the following; based on material constraints regarding these Tray/Cable Samples;- Disassemble the SSD Tray/Cable samples; and return the TPK systems back to PCBA; where qualified SSD Tray/Cable will be reassembled and units sent back through all functional tests.  Isolate the reworked Trays; return to Trend or Scrap.- Allow the units to ship to Customers.  This is an acceptable option; provided no functional failures were identified during PCBA and DF functional testing.  This decision can be made by Cisco and FJZ team after tests and assembly evaluation is complete.FJZ shall provide the following assembly verification;- Provide top level S/N of the systems assembled- Provide a copy of all test logs created during PCBA and DF on all units tested- Provide any comments regarding the assembly of the Cable to the PCBA and any other visual observations- Document any functional failures identified during this qual build- Contact Aiseosa Omorogieva (aomorogi) &lt;aomorogi@cisco.com&gt;; David Albani (daalbani) &lt;daalbani@cisco.com&gt;; Adrian Liu (adrianli) &lt;adrianli@cisco.com&gt; for any issues during and after assembly and testing of these units.</t>
        </is>
      </c>
      <c r="F416" s="35" t="inlineStr">
        <is>
          <t>Pending</t>
        </is>
      </c>
      <c r="G416" s="35" t="n"/>
      <c r="H416" s="35" t="inlineStr">
        <is>
          <t>Pending Review</t>
        </is>
      </c>
      <c r="I416" s="35" t="inlineStr">
        <is>
          <t>STBU</t>
        </is>
      </c>
      <c r="J416" s="35" t="inlineStr">
        <is>
          <t>CTANJZ05427</t>
        </is>
      </c>
      <c r="K416" s="37" t="n"/>
      <c r="L416" s="37" t="n"/>
      <c r="M416" s="37" t="n">
        <v>46343</v>
      </c>
      <c r="N416" s="35" t="n"/>
      <c r="O416" s="35" t="n"/>
      <c r="P416" s="35" t="n"/>
      <c r="Q416" s="35" t="n"/>
      <c r="R416" s="35" t="n"/>
      <c r="S416" s="35" t="n"/>
      <c r="T416" s="35" t="inlineStr">
        <is>
          <t>Y</t>
        </is>
      </c>
      <c r="U416" s="36" t="inlineStr">
        <is>
          <t xml:space="preserve">FUENTE: Deviation.csv, filas CSV 1874-1879; Workflow=FAI Status; Date Released=2026-09-16; Date Originated=2026-08-20; Site=FJZP, Plant=MCGA (sin convertir automaticamente a FJZ); 6 filas PN; APROBACION Y APLICABILIDAD NO VALIDADAS. </t>
        </is>
      </c>
    </row>
    <row r="417">
      <c r="A417" s="43" t="inlineStr">
        <is>
          <t>DEV-CTANJZ05430</t>
        </is>
      </c>
      <c r="B417" s="43" t="inlineStr">
        <is>
          <t>DEVIATION</t>
        </is>
      </c>
      <c r="C417" s="43" t="inlineStr">
        <is>
          <t>D613562</t>
        </is>
      </c>
      <c r="D417" s="43" t="n"/>
      <c r="E417" s="33" t="inlineStr">
        <is>
          <t>D613562 CVEBU;OctavioCS-DESK-NR-K9  Cisco Desk; NoRadio; First Light (White)In BOM:68-103055-03 ASY-ELMECH;OCTAVIO UNIT 8GB NRIn BOM:800-109400-02 FNLASY-ELMECH;MODULE;OCTAVIO UNIT 8GB NR  In BOM800-109398-02 ASY-ELMECH;CPU;OCTAVIO;MAIN BOARD WITH TX2 NX 8GB NRInstead of the above 800- CPN; FVN is allowed to build 92 pcs Qctavio units using TAA version:800-109399-02 ASY-ELMECH;CPU;OCTAVIO;MAIN BOARD WITH TX2 NX 8GB NR;TAA</t>
        </is>
      </c>
      <c r="F417" s="43" t="inlineStr">
        <is>
          <t>Pending</t>
        </is>
      </c>
      <c r="G417" s="43" t="n"/>
      <c r="H417" s="43" t="inlineStr">
        <is>
          <t>Pending Review</t>
        </is>
      </c>
      <c r="I417" s="43" t="inlineStr">
        <is>
          <t>CVEBU</t>
        </is>
      </c>
      <c r="J417" s="43" t="inlineStr">
        <is>
          <t>CTANJZ05430</t>
        </is>
      </c>
      <c r="K417" s="32" t="n"/>
      <c r="L417" s="32" t="n"/>
      <c r="M417" s="32" t="n">
        <v>46344</v>
      </c>
      <c r="N417" s="43" t="n"/>
      <c r="O417" s="43" t="n"/>
      <c r="P417" s="43" t="n"/>
      <c r="Q417" s="43" t="n"/>
      <c r="R417" s="43" t="n"/>
      <c r="S417" s="43" t="n"/>
      <c r="T417" s="43" t="inlineStr">
        <is>
          <t>Y</t>
        </is>
      </c>
      <c r="U417" s="33" t="inlineStr">
        <is>
          <t xml:space="preserve">FUENTE: Deviation.csv, filas CSV 630-631; Workflow=FAI Status; Date Released=2026-09-22; Date Originated=2026-08-22; Site=FJZP, Plant=MCGA (sin convertir automaticamente a FJZ); 2 filas PN; APROBACION Y APLICABILIDAD NO VALIDADAS. </t>
        </is>
      </c>
    </row>
    <row r="418">
      <c r="A418" s="35" t="inlineStr">
        <is>
          <t>DEV-CTANJZ05432</t>
        </is>
      </c>
      <c r="B418" s="35" t="inlineStr">
        <is>
          <t>DEVIATION</t>
        </is>
      </c>
      <c r="C418" s="35" t="inlineStr">
        <is>
          <t>D613436</t>
        </is>
      </c>
      <c r="D418" s="35" t="n"/>
      <c r="E418" s="36" t="inlineStr">
        <is>
          <t>D613436 WESTMINSTER. - TE part 27-2083-01 is on hold; this deviation is to allow FJZ to use up the stock</t>
        </is>
      </c>
      <c r="F418" s="35" t="inlineStr">
        <is>
          <t>Pending</t>
        </is>
      </c>
      <c r="G418" s="35" t="n"/>
      <c r="H418" s="35" t="inlineStr">
        <is>
          <t>Pending Review</t>
        </is>
      </c>
      <c r="I418" s="35" t="inlineStr">
        <is>
          <t>STBU</t>
        </is>
      </c>
      <c r="J418" s="35" t="inlineStr">
        <is>
          <t>CTANJZ05432</t>
        </is>
      </c>
      <c r="K418" s="37" t="n"/>
      <c r="L418" s="37" t="n"/>
      <c r="M418" s="37" t="n">
        <v>46348</v>
      </c>
      <c r="N418" s="35" t="n"/>
      <c r="O418" s="35" t="n"/>
      <c r="P418" s="35" t="n"/>
      <c r="Q418" s="35" t="n"/>
      <c r="R418" s="35" t="n"/>
      <c r="S418" s="35" t="n"/>
      <c r="T418" s="35" t="inlineStr">
        <is>
          <t>Y</t>
        </is>
      </c>
      <c r="U418" s="36" t="inlineStr">
        <is>
          <t xml:space="preserve">FUENTE: Deviation.csv, filas CSV 1263-1265; Workflow=Implementation; Date Released=2026-09-22; Date Originated=2026-08-25; Site=FJZP, Plant=MCGA (sin convertir automaticamente a FJZ); 3 filas PN; APROBACION Y APLICABILIDAD NO VALIDADAS. </t>
        </is>
      </c>
    </row>
    <row r="419">
      <c r="A419" s="43" t="inlineStr">
        <is>
          <t>DEV-CTANJZ05433</t>
        </is>
      </c>
      <c r="B419" s="43" t="inlineStr">
        <is>
          <t>DEVIATION</t>
        </is>
      </c>
      <c r="C419" s="43" t="inlineStr">
        <is>
          <t>D613553</t>
        </is>
      </c>
      <c r="D419" s="43" t="n"/>
      <c r="E419" s="33" t="inlineStr">
        <is>
          <t>D613553 Allow FJZ to use DDR4 TAN 15-109066-01 in place of 15-109388-01 on Spatha TAN 68-7623-06 for the following MPNs ONLY:1. Smart Modular MPN SR5724G822APJDAMF02. Micron Tech MPN MTA18ASF4G72PDZ-3G2F1This Deviation is an extension for D608212</t>
        </is>
      </c>
      <c r="F419" s="43" t="inlineStr">
        <is>
          <t>Pending</t>
        </is>
      </c>
      <c r="G419" s="43" t="n"/>
      <c r="H419" s="43" t="inlineStr">
        <is>
          <t>Pending Review</t>
        </is>
      </c>
      <c r="I419" s="43" t="inlineStr">
        <is>
          <t>SRGBU</t>
        </is>
      </c>
      <c r="J419" s="43" t="inlineStr">
        <is>
          <t>CTANJZ05433</t>
        </is>
      </c>
      <c r="K419" s="32" t="n"/>
      <c r="L419" s="32" t="n"/>
      <c r="M419" s="32" t="n">
        <v>46348</v>
      </c>
      <c r="N419" s="43" t="n"/>
      <c r="O419" s="43" t="n"/>
      <c r="P419" s="43" t="n"/>
      <c r="Q419" s="43" t="n"/>
      <c r="R419" s="43" t="n"/>
      <c r="S419" s="43" t="n"/>
      <c r="T419" s="43" t="inlineStr">
        <is>
          <t>Y</t>
        </is>
      </c>
      <c r="U419" s="33" t="inlineStr">
        <is>
          <t xml:space="preserve">FUENTE: Deviation.csv, filas CSV 615-615; Workflow=Implementation; Date Released=2026-09-16; Date Originated=2026-08-25; Site=FJZP, Plant=MCGA (sin convertir automaticamente a FJZ); 1 filas PN; APROBACION Y APLICABILIDAD NO VALIDADAS. </t>
        </is>
      </c>
    </row>
    <row r="420">
      <c r="A420" s="35" t="inlineStr">
        <is>
          <t>DEV-CTANJZ05434</t>
        </is>
      </c>
      <c r="B420" s="35" t="inlineStr">
        <is>
          <t>DEVIATION</t>
        </is>
      </c>
      <c r="C420" s="35" t="inlineStr">
        <is>
          <t>D613624</t>
        </is>
      </c>
      <c r="D420" s="35" t="n"/>
      <c r="E420" s="36" t="inlineStr">
        <is>
          <t>D613624 Extended D611504: CRBU:8000 - CRBU- BB8/ BB4- Approve FOL/FJZ to build and ship boards with ASIC in IPQ ( 08-100199-03)CPN :  08-100199-03Status: IPQMPN : 08-100199-03-A0Product : BB4/ BB8 ( any production version and revision )1. Approve FOL &amp; FJZ to build the boards with ASIC in IPQ status2. Run regular manf. qual and shipout on passing.</t>
        </is>
      </c>
      <c r="F420" s="35" t="inlineStr">
        <is>
          <t>Pending</t>
        </is>
      </c>
      <c r="G420" s="35" t="n"/>
      <c r="H420" s="35" t="inlineStr">
        <is>
          <t>Pending Review</t>
        </is>
      </c>
      <c r="I420" s="35" t="inlineStr">
        <is>
          <t>CRBU</t>
        </is>
      </c>
      <c r="J420" s="35" t="inlineStr">
        <is>
          <t>CTANJZ05434</t>
        </is>
      </c>
      <c r="K420" s="37" t="n"/>
      <c r="L420" s="37" t="n"/>
      <c r="M420" s="37" t="n">
        <v>46348</v>
      </c>
      <c r="N420" s="35" t="n"/>
      <c r="O420" s="35" t="n"/>
      <c r="P420" s="35" t="n"/>
      <c r="Q420" s="35" t="n"/>
      <c r="R420" s="35" t="n"/>
      <c r="S420" s="35" t="n"/>
      <c r="T420" s="35" t="inlineStr">
        <is>
          <t>Y</t>
        </is>
      </c>
      <c r="U420" s="36" t="inlineStr">
        <is>
          <t xml:space="preserve">FUENTE: Deviation.csv, filas CSV 262-264; Workflow=FAI Status; Date Released=2026-09-25; Date Originated=2026-08-25; Site=FJZP, Plant=MCGA (sin convertir automaticamente a FJZ); 3 filas PN; APROBACION Y APLICABILIDAD NO VALIDADAS. </t>
        </is>
      </c>
    </row>
    <row r="421">
      <c r="A421" s="43" t="inlineStr">
        <is>
          <t>DEV-CTANJZ05436</t>
        </is>
      </c>
      <c r="B421" s="43" t="inlineStr">
        <is>
          <t>DEVIATION</t>
        </is>
      </c>
      <c r="C421" s="43" t="inlineStr">
        <is>
          <t>D613521</t>
        </is>
      </c>
      <c r="D421" s="43" t="n"/>
      <c r="E421"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F421" s="43" t="inlineStr">
        <is>
          <t>Pending</t>
        </is>
      </c>
      <c r="G421" s="43" t="n"/>
      <c r="H421" s="43" t="inlineStr">
        <is>
          <t>Pending Review</t>
        </is>
      </c>
      <c r="I421" s="43" t="inlineStr">
        <is>
          <t>STBU</t>
        </is>
      </c>
      <c r="J421" s="43" t="inlineStr">
        <is>
          <t>CTANJZ05436</t>
        </is>
      </c>
      <c r="K421" s="32" t="n"/>
      <c r="L421" s="32" t="n"/>
      <c r="M421" s="32" t="n">
        <v>46348</v>
      </c>
      <c r="N421" s="43" t="n"/>
      <c r="O421" s="43" t="n"/>
      <c r="P421" s="43" t="n"/>
      <c r="Q421" s="43" t="n"/>
      <c r="R421" s="43" t="n"/>
      <c r="S421" s="43" t="n"/>
      <c r="T421" s="43" t="inlineStr">
        <is>
          <t>Y</t>
        </is>
      </c>
      <c r="U421" s="33" t="inlineStr">
        <is>
          <t xml:space="preserve">FUENTE: Deviation.csv, filas CSV 1661-1701; Workflow=FAI Status; Date Released=2026-09-22; Date Originated=2026-08-25; Site=FJZP, Plant=MCGA (sin convertir automaticamente a FJZ); 14 filas PN; APROBACION Y APLICABILIDAD NO VALIDADAS. </t>
        </is>
      </c>
    </row>
    <row r="422">
      <c r="A422" s="35" t="inlineStr">
        <is>
          <t>DEV-CTANJZ05437</t>
        </is>
      </c>
      <c r="B422" s="35" t="inlineStr">
        <is>
          <t>DEVIATION</t>
        </is>
      </c>
      <c r="C422" s="35" t="inlineStr">
        <is>
          <t>D613615</t>
        </is>
      </c>
      <c r="D422" s="35" t="n"/>
      <c r="E422" s="36" t="inlineStr">
        <is>
          <t>D613615 SRGBU: ROKU: This deviation requests approval to allow FVT and all DF sites to use a black marker to cross out the incorrect IMEI number printed on the preprinted compliance label for P-LTEA7-NA; P-LTEA7-NA=.The correct IMEI number will be applied separately on the unit with an additional sticker. This change is limited to units where the preprinted label contains the wrong IMEI number.Impacted CPN: 47-110072-01.</t>
        </is>
      </c>
      <c r="F422" s="35" t="inlineStr">
        <is>
          <t>Pending</t>
        </is>
      </c>
      <c r="G422" s="35" t="n"/>
      <c r="H422" s="35" t="inlineStr">
        <is>
          <t>Pending Review</t>
        </is>
      </c>
      <c r="I422" s="35" t="inlineStr">
        <is>
          <t>SRGBU</t>
        </is>
      </c>
      <c r="J422" s="35" t="inlineStr">
        <is>
          <t>CTANJZ05437</t>
        </is>
      </c>
      <c r="K422" s="37" t="n"/>
      <c r="L422" s="37" t="n"/>
      <c r="M422" s="37" t="n">
        <v>46348</v>
      </c>
      <c r="N422" s="35" t="n"/>
      <c r="O422" s="35" t="n"/>
      <c r="P422" s="35" t="n"/>
      <c r="Q422" s="35" t="n"/>
      <c r="R422" s="35" t="n"/>
      <c r="S422" s="35" t="n"/>
      <c r="T422" s="35" t="inlineStr">
        <is>
          <t>Y</t>
        </is>
      </c>
      <c r="U422" s="36" t="inlineStr">
        <is>
          <t xml:space="preserve">FUENTE: Deviation.csv, filas CSV 1255-1255; Workflow=FAI Status; Date Released=2026-09-16; Date Originated=2026-08-26; Site=FJZP, Plant=MCGA (sin convertir automaticamente a FJZ); 1 filas PN; APROBACION Y APLICABILIDAD NO VALIDADAS. </t>
        </is>
      </c>
    </row>
    <row r="423">
      <c r="A423" s="43" t="inlineStr">
        <is>
          <t>DEV-CTANJZ05438</t>
        </is>
      </c>
      <c r="B423" s="43" t="inlineStr">
        <is>
          <t>DEVIATION</t>
        </is>
      </c>
      <c r="C423" s="43" t="inlineStr">
        <is>
          <t>D613532</t>
        </is>
      </c>
      <c r="D423" s="43" t="n"/>
      <c r="E423" s="33" t="inlineStr">
        <is>
          <t>D613532 NGFWBU:Warwick Avenue - To address system FPGA PCI-AER failures at PCB2C cold corner; direct factory to upgrade System FPGA in conjunction with updated Diags usage  (Re-issue of D611661)</t>
        </is>
      </c>
      <c r="F423" s="43" t="inlineStr">
        <is>
          <t>Pending</t>
        </is>
      </c>
      <c r="G423" s="43" t="n"/>
      <c r="H423" s="43" t="inlineStr">
        <is>
          <t>Pending Review</t>
        </is>
      </c>
      <c r="I423" s="43" t="inlineStr">
        <is>
          <t>STBU</t>
        </is>
      </c>
      <c r="J423" s="43" t="inlineStr">
        <is>
          <t>CTANJZ05438</t>
        </is>
      </c>
      <c r="K423" s="32" t="n"/>
      <c r="L423" s="32" t="n"/>
      <c r="M423" s="32" t="n">
        <v>46349</v>
      </c>
      <c r="N423" s="43" t="n"/>
      <c r="O423" s="43" t="n"/>
      <c r="P423" s="43" t="n"/>
      <c r="Q423" s="43" t="n"/>
      <c r="R423" s="43" t="n"/>
      <c r="S423" s="43" t="n"/>
      <c r="T423" s="43" t="inlineStr">
        <is>
          <t>Y</t>
        </is>
      </c>
      <c r="U423" s="33" t="inlineStr">
        <is>
          <t xml:space="preserve">FUENTE: Deviation.csv, filas CSV 1862-1864; Workflow=FAI Status; Date Released=2026-09-16; Date Originated=2026-08-26; Site=FJZP, Plant=MCGA (sin convertir automaticamente a FJZ); 3 filas PN; APROBACION Y APLICABILIDAD NO VALIDADAS. </t>
        </is>
      </c>
    </row>
    <row r="424">
      <c r="A424" s="35" t="inlineStr">
        <is>
          <t>DEV-CTANJZ05439</t>
        </is>
      </c>
      <c r="B424" s="35" t="inlineStr">
        <is>
          <t>DEVIATION</t>
        </is>
      </c>
      <c r="C424" s="35" t="inlineStr">
        <is>
          <t>D613561</t>
        </is>
      </c>
      <c r="D424" s="35" t="n"/>
      <c r="E424" s="36" t="inlineStr">
        <is>
          <t>D613561 NGFWBU GQR: GQR000101110 Case: AQR004707739 CPN: 36-0148-02 ; MFR NAME: MAG LAYERS; MPN: BBPYCS160808601Y00This deviation instructs Foxconn Juarez (FJZ) to execute a sample buy and conduct a Production Qual build for the following part(s):BU: NGFWBUPF: F1KLOWAffected TAN(s):68-6432-03Affected Item(s): 73-18489-08CPN: 36-0148-02; MFR NAME: MAG LAYERS; MPN: BBPYCS160808601Y00Build Qty: 5Ref Des: L35;L36;L37;L40;L41;L42;L43;L44;L1_C;L2_C;L3_C;L4_CTo execute the above AQR at CM site; should be tested on Model A.</t>
        </is>
      </c>
      <c r="F424" s="35" t="inlineStr">
        <is>
          <t>Pending</t>
        </is>
      </c>
      <c r="G424" s="35" t="n"/>
      <c r="H424" s="35" t="inlineStr">
        <is>
          <t>Pending Review</t>
        </is>
      </c>
      <c r="I424" s="35" t="inlineStr">
        <is>
          <t>STBU</t>
        </is>
      </c>
      <c r="J424" s="35" t="inlineStr">
        <is>
          <t>CTANJZ05439</t>
        </is>
      </c>
      <c r="K424" s="37" t="n"/>
      <c r="L424" s="37" t="n"/>
      <c r="M424" s="37" t="n">
        <v>46350</v>
      </c>
      <c r="N424" s="35" t="n"/>
      <c r="O424" s="35" t="n"/>
      <c r="P424" s="35" t="n"/>
      <c r="Q424" s="35" t="n"/>
      <c r="R424" s="35" t="n"/>
      <c r="S424" s="35" t="n"/>
      <c r="T424" s="35" t="inlineStr">
        <is>
          <t>Y</t>
        </is>
      </c>
      <c r="U424" s="36" t="inlineStr">
        <is>
          <t xml:space="preserve">FUENTE: Deviation.csv, filas CSV 260-1610; Workflow=Implementation; Date Released=2026-09-22; Date Originated=2026-08-27; Site=FJZP, Plant=MCGA (sin convertir automaticamente a FJZ); 4 filas PN; APROBACION Y APLICABILIDAD NO VALIDADAS. </t>
        </is>
      </c>
    </row>
    <row r="425">
      <c r="A425" s="43" t="inlineStr">
        <is>
          <t>DEV-CTANJZ05440</t>
        </is>
      </c>
      <c r="B425" s="43" t="inlineStr">
        <is>
          <t>DEVIATION</t>
        </is>
      </c>
      <c r="C425" s="43" t="inlineStr">
        <is>
          <t>D613638</t>
        </is>
      </c>
      <c r="D425" s="43" t="n"/>
      <c r="E425" s="33" t="inlineStr">
        <is>
          <t>D613638 CNGBU: Alduin PIM (74-141119-02) to use raw clock generation Renesas RC21008B001GND#BB0 and Sitime (15-110028-01) and external eeprom STMicro M24C16-RMN6TP (16-100373-01);  and only use TI TPS23881ARTQR under 15-106725-02 for PoE (74-135544-03)</t>
        </is>
      </c>
      <c r="F425" s="43" t="inlineStr">
        <is>
          <t>Pending</t>
        </is>
      </c>
      <c r="G425" s="43" t="n"/>
      <c r="H425" s="43" t="inlineStr">
        <is>
          <t>Pending Review</t>
        </is>
      </c>
      <c r="I425" s="43" t="inlineStr">
        <is>
          <t>SRGBU</t>
        </is>
      </c>
      <c r="J425" s="43" t="inlineStr">
        <is>
          <t>CTANJZ05440</t>
        </is>
      </c>
      <c r="K425" s="32" t="n"/>
      <c r="L425" s="32" t="n"/>
      <c r="M425" s="32" t="n">
        <v>46350</v>
      </c>
      <c r="N425" s="43" t="n"/>
      <c r="O425" s="43" t="n"/>
      <c r="P425" s="43" t="n"/>
      <c r="Q425" s="43" t="n"/>
      <c r="R425" s="43" t="n"/>
      <c r="S425" s="43" t="n"/>
      <c r="T425" s="43" t="inlineStr">
        <is>
          <t>Y</t>
        </is>
      </c>
      <c r="U425" s="33" t="inlineStr">
        <is>
          <t xml:space="preserve">FUENTE: Deviation.csv, filas CSV 1266-1267; Workflow=Implementation; Date Released=2026-09-22; Date Originated=2026-08-27; Site=FJZP, Plant=MCGA (sin convertir automaticamente a FJZ); 2 filas PN; APROBACION Y APLICABILIDAD NO VALIDADAS. </t>
        </is>
      </c>
    </row>
    <row r="426">
      <c r="A426" s="35" t="inlineStr">
        <is>
          <t>DEV-CTANJZ05442</t>
        </is>
      </c>
      <c r="B426" s="35" t="inlineStr">
        <is>
          <t>DEVIATION</t>
        </is>
      </c>
      <c r="C426" s="35" t="inlineStr">
        <is>
          <t>D613519</t>
        </is>
      </c>
      <c r="D426" s="35" t="n"/>
      <c r="E426" s="36" t="inlineStr">
        <is>
          <t>D613519 Use  PN 11-1970-01 from supplier KYOCERA AVX COMPONENTS CORP (MPN: 04025C271KAT2A) to allow FJZ to use it to meet with the last 18 pcs of the model MIO (73-16682-05 and 73-16681-10) part status is End of Production</t>
        </is>
      </c>
      <c r="F426" s="35" t="inlineStr">
        <is>
          <t>Pending</t>
        </is>
      </c>
      <c r="G426" s="35" t="n"/>
      <c r="H426" s="35" t="inlineStr">
        <is>
          <t>Pending Review</t>
        </is>
      </c>
      <c r="I426" s="35" t="inlineStr">
        <is>
          <t>STBU</t>
        </is>
      </c>
      <c r="J426" s="35" t="inlineStr">
        <is>
          <t>CTANJZ05442</t>
        </is>
      </c>
      <c r="K426" s="37" t="n"/>
      <c r="L426" s="37" t="n"/>
      <c r="M426" s="37" t="n">
        <v>46350</v>
      </c>
      <c r="N426" s="35" t="n"/>
      <c r="O426" s="35" t="n"/>
      <c r="P426" s="35" t="n"/>
      <c r="Q426" s="35" t="n"/>
      <c r="R426" s="35" t="n"/>
      <c r="S426" s="35" t="n"/>
      <c r="T426" s="35" t="inlineStr">
        <is>
          <t>Y</t>
        </is>
      </c>
      <c r="U426" s="36" t="inlineStr">
        <is>
          <t xml:space="preserve">FUENTE: Deviation.csv, filas CSV 616-618; Workflow=FAI Status; Date Released=2026-09-16; Date Originated=2026-08-27; Site=FJZP, Plant=MCGA (sin convertir automaticamente a FJZ); 3 filas PN; APROBACION Y APLICABILIDAD NO VALIDADAS. </t>
        </is>
      </c>
    </row>
    <row r="427">
      <c r="A427" s="43" t="inlineStr">
        <is>
          <t>DEV-CTANJZ05446</t>
        </is>
      </c>
      <c r="B427" s="43" t="inlineStr">
        <is>
          <t>DEVIATION</t>
        </is>
      </c>
      <c r="C427" s="43" t="inlineStr">
        <is>
          <t>D613569</t>
        </is>
      </c>
      <c r="D427" s="43" t="n"/>
      <c r="E427" s="33" t="inlineStr">
        <is>
          <t>D613569 Need to qualify M24C32-WMN6P on 73-19152-02 for Assy Qual Request # : AQR004742670 Which is a Supplier PCN from M24C32-WMN6P for PCN TYPE : Process Change on GQR GQR000101811 and AQR AQR004742670</t>
        </is>
      </c>
      <c r="F427" s="43" t="inlineStr">
        <is>
          <t>Pending</t>
        </is>
      </c>
      <c r="G427" s="43" t="n"/>
      <c r="H427" s="43" t="inlineStr">
        <is>
          <t>Pending Review</t>
        </is>
      </c>
      <c r="I427" s="43" t="inlineStr">
        <is>
          <t>CRBU</t>
        </is>
      </c>
      <c r="J427" s="43" t="inlineStr">
        <is>
          <t>CTANJZ05446</t>
        </is>
      </c>
      <c r="K427" s="32" t="n"/>
      <c r="L427" s="32" t="n"/>
      <c r="M427" s="32" t="n">
        <v>46441</v>
      </c>
      <c r="N427" s="43" t="n"/>
      <c r="O427" s="43" t="n"/>
      <c r="P427" s="43" t="n"/>
      <c r="Q427" s="43" t="n"/>
      <c r="R427" s="43" t="n"/>
      <c r="S427" s="43" t="n"/>
      <c r="T427" s="43" t="inlineStr">
        <is>
          <t>Y</t>
        </is>
      </c>
      <c r="U427" s="33" t="inlineStr">
        <is>
          <t xml:space="preserve">FUENTE: Deviation.csv, filas CSV 86-266; Workflow=FAI Status; Date Released=2026-09-30; Date Originated=2026-08-29; Site=FJZP, Plant=MCGA (sin convertir automaticamente a FJZ); 4 filas PN; APROBACION Y APLICABILIDAD NO VALIDADAS. </t>
        </is>
      </c>
      <c r="V427" s="49" t="inlineStr">
        <is>
          <t>Calificación de proveedor por PCN: evaluar el MPN M24C32-WMN6P bajo AQR004742670, GQR000101811, cambio de proceso del proveedor. El PN 73-19152-02 no se produce en FJZ según la regla local.</t>
        </is>
      </c>
      <c r="W427" s="49" t="inlineStr">
        <is>
          <t>D613569: se requiere calificar el MPN M24C32-WMN6P en la tarjeta 73-19152-02 mediante la solicitud AQR004742670. Corresponde a una notificación de cambio de proceso (PCN) del proveedor, asociada al GQR000101811. La calificación MPN/CPN puede tener alcance AVL global, pero el producto 73-19152-02 no debe asignarse a producción FJZ sin evidencia específica de calificación o construcción local.</t>
        </is>
      </c>
      <c r="X427" s="50" t="inlineStr">
        <is>
          <t>Traduccion para consulta</t>
        </is>
      </c>
    </row>
    <row r="428">
      <c r="A428" s="35" t="inlineStr">
        <is>
          <t>DEV-CTANJZ05449</t>
        </is>
      </c>
      <c r="B428" s="35" t="inlineStr">
        <is>
          <t>DEVIATION</t>
        </is>
      </c>
      <c r="C428" s="35" t="inlineStr">
        <is>
          <t>D613605</t>
        </is>
      </c>
      <c r="D428" s="35" t="n"/>
      <c r="E428" s="36" t="inlineStr">
        <is>
          <t>D613605 CVEBU; Nixie. 2nd source qualification for PCBs for NDAA compliance. 24-AUG-26.FOXCONN JUAREZ shall build and test up to TAN level 68-103291-02 or 68-104808-02.PCB            -                MPN28-102088-05 - 28-102088-05_S606_M202 (ZHUHAI FOUNDER TH)Two units to be shipped toCisco Systems NorwayAttention Jarle AaslandTelephone +47 41633762LYSAKER 1; 2nd floor; 252CMail Stop LYS01/2Philip Pedersens vei 1LYSAKER; AKERSHUS 1366NORWAY       Control builds for Nixie PCB. ORT is mandatory to be used for this qualification.Note: Samples docked at FJZ. Please provide build schedule and quote for two Nixie unitsNote: Build all boards into units.Note: After successful build; and Cisco approval; the units can be shipped to customersContact Cisco: Jose Barraza and Jarle AaslandContact FJZ: Isaias Monreal</t>
        </is>
      </c>
      <c r="F428" s="35" t="inlineStr">
        <is>
          <t>Pending</t>
        </is>
      </c>
      <c r="G428" s="35" t="n"/>
      <c r="H428" s="35" t="inlineStr">
        <is>
          <t>Pending Review</t>
        </is>
      </c>
      <c r="I428" s="35" t="inlineStr">
        <is>
          <t>CVEBU</t>
        </is>
      </c>
      <c r="J428" s="35" t="inlineStr">
        <is>
          <t>CTANJZ05449</t>
        </is>
      </c>
      <c r="K428" s="37" t="n"/>
      <c r="L428" s="37" t="n"/>
      <c r="M428" s="37" t="n">
        <v>46353</v>
      </c>
      <c r="N428" s="35" t="n"/>
      <c r="O428" s="35" t="n"/>
      <c r="P428" s="35" t="n"/>
      <c r="Q428" s="35" t="n"/>
      <c r="R428" s="35" t="n"/>
      <c r="S428" s="35" t="n"/>
      <c r="T428" s="35" t="inlineStr">
        <is>
          <t>Y</t>
        </is>
      </c>
      <c r="U428" s="36" t="inlineStr">
        <is>
          <t xml:space="preserve">FUENTE: Deviation.csv, filas CSV 84-85; Workflow=FAI Status; Date Released=2026-09-29; Date Originated=2026-08-31; Site=FJZP, Plant=MCGA (sin convertir automaticamente a FJZ); 2 filas PN; APROBACION Y APLICABILIDAD NO VALIDADAS. </t>
        </is>
      </c>
    </row>
    <row r="429">
      <c r="A429" s="43" t="inlineStr">
        <is>
          <t>DEV-CTANJZ05450</t>
        </is>
      </c>
      <c r="B429" s="43" t="inlineStr">
        <is>
          <t>DEVIATION</t>
        </is>
      </c>
      <c r="C429" s="43" t="inlineStr">
        <is>
          <t>D613609</t>
        </is>
      </c>
      <c r="D429" s="43" t="n"/>
      <c r="E429" s="33" t="inlineStr">
        <is>
          <t>D613609 CVEBU; Heimdall. 2nd source qualification for FPCs. Supplier name and site; VICTORY GIANT TECHNOLOGY (VGT) ¡V Malaysia 24-AUG-26. Renewal of D607542CM shall build and test up to 500 units; TAN level 68-104607-01; 68-104690-01 or TAA version.FPC CPN FPC MPNs Description FPCA 73-CC CPN28-103291-01 28-103291-01_S803 Heimdall MB-MIC FPCControl builds for all FPCs. ORT is mandatory to be used for this qualification.Note: Please provide build schedule.Contact Cisco: Jose Barraza and Jarle AaslandContact FJZ: Isaias Monreal</t>
        </is>
      </c>
      <c r="F429" s="43" t="inlineStr">
        <is>
          <t>Pending</t>
        </is>
      </c>
      <c r="G429" s="43" t="n"/>
      <c r="H429" s="43" t="inlineStr">
        <is>
          <t>Pending Review</t>
        </is>
      </c>
      <c r="I429" s="43" t="inlineStr">
        <is>
          <t>CVEBU</t>
        </is>
      </c>
      <c r="J429" s="43" t="inlineStr">
        <is>
          <t>CTANJZ05450</t>
        </is>
      </c>
      <c r="K429" s="32" t="n"/>
      <c r="L429" s="32" t="n"/>
      <c r="M429" s="32" t="n">
        <v>46355</v>
      </c>
      <c r="N429" s="43" t="n"/>
      <c r="O429" s="43" t="n"/>
      <c r="P429" s="43" t="n"/>
      <c r="Q429" s="43" t="n"/>
      <c r="R429" s="43" t="n"/>
      <c r="S429" s="43" t="n"/>
      <c r="T429" s="43" t="inlineStr">
        <is>
          <t>Y</t>
        </is>
      </c>
      <c r="U429" s="33" t="inlineStr">
        <is>
          <t xml:space="preserve">FUENTE: Deviation.csv, filas CSV 271-272; Workflow=FAI Status; Date Released=2026-10-01; Date Originated=2026-09-01; Site=FJZP, Plant=MCGA (sin convertir automaticamente a FJZ); 2 filas PN; APROBACION Y APLICABILIDAD NO VALIDADAS. </t>
        </is>
      </c>
    </row>
    <row r="430">
      <c r="A430" s="35" t="inlineStr">
        <is>
          <t>DEV-CTANJZ05451</t>
        </is>
      </c>
      <c r="B430" s="35" t="inlineStr">
        <is>
          <t>DEVIATION</t>
        </is>
      </c>
      <c r="C430" s="35" t="inlineStr">
        <is>
          <t>D613618</t>
        </is>
      </c>
      <c r="D430" s="35" t="n"/>
      <c r="E430" s="36" t="inlineStr">
        <is>
          <t>D613618CVEBU; Heimdall. 2nd source qualification for PCBs for NDAA compliance.FOXCONN JUAREZ shall build and test up to 200 units. TAN level 68-104607-01; 68-104690-01 or TAA version.PCB            -                MPN28-103261-05 - 28-103261-05_S603_M604 (VICTORY GIANT TH)2 pcs units shall be shipped to me at Lysaker; Norway.Control builds for Heimdall PCB. ORT is mandatory to be used for this qualification.Note: 200 pcs samples are on-hand. Please provide quote for 2 units; and build schedule.Contact Cisco: Jose Barraza and Jarle AaslandContact FJZ: Isaias Monreal</t>
        </is>
      </c>
      <c r="F430" s="35" t="inlineStr">
        <is>
          <t>Pending</t>
        </is>
      </c>
      <c r="G430" s="35" t="n"/>
      <c r="H430" s="35" t="inlineStr">
        <is>
          <t>Pending Review</t>
        </is>
      </c>
      <c r="I430" s="35" t="inlineStr">
        <is>
          <t>CVEBU</t>
        </is>
      </c>
      <c r="J430" s="35" t="inlineStr">
        <is>
          <t>CTANJZ05451</t>
        </is>
      </c>
      <c r="K430" s="37" t="n"/>
      <c r="L430" s="37" t="n"/>
      <c r="M430" s="37" t="n">
        <v>46355</v>
      </c>
      <c r="N430" s="35" t="n"/>
      <c r="O430" s="35" t="n"/>
      <c r="P430" s="35" t="n"/>
      <c r="Q430" s="35" t="n"/>
      <c r="R430" s="35" t="n"/>
      <c r="S430" s="35" t="n"/>
      <c r="T430" s="35" t="inlineStr">
        <is>
          <t>Y</t>
        </is>
      </c>
      <c r="U430" s="36" t="inlineStr">
        <is>
          <t xml:space="preserve">FUENTE: Deviation.csv, filas CSV 273-274; Workflow=FAI Status; Date Released=2026-10-02; Date Originated=2026-09-01; Site=FJZP, Plant=MCGA (sin convertir automaticamente a FJZ); 2 filas PN; APROBACION Y APLICABILIDAD NO VALIDADAS. </t>
        </is>
      </c>
    </row>
    <row r="431">
      <c r="A431" s="43" t="inlineStr">
        <is>
          <t>DEV-CTANJZ05453</t>
        </is>
      </c>
      <c r="B431" s="43" t="inlineStr">
        <is>
          <t>DEVIATION</t>
        </is>
      </c>
      <c r="C431" s="43" t="inlineStr">
        <is>
          <t>D613633</t>
        </is>
      </c>
      <c r="D431" s="43" t="n"/>
      <c r="E431" s="33" t="inlineStr">
        <is>
          <t>D613633 Need to qualify MX25L3233FM2I-08G on 17-102296-01</t>
        </is>
      </c>
      <c r="F431" s="43" t="inlineStr">
        <is>
          <t>Pending</t>
        </is>
      </c>
      <c r="G431" s="43" t="n"/>
      <c r="H431" s="43" t="inlineStr">
        <is>
          <t>Pending Review</t>
        </is>
      </c>
      <c r="I431" s="43" t="inlineStr">
        <is>
          <t>CRBU</t>
        </is>
      </c>
      <c r="J431" s="43" t="inlineStr">
        <is>
          <t>CTANJZ05453</t>
        </is>
      </c>
      <c r="K431" s="32" t="n"/>
      <c r="L431" s="32" t="n"/>
      <c r="M431" s="32" t="n">
        <v>46446</v>
      </c>
      <c r="N431" s="43" t="n"/>
      <c r="O431" s="43" t="n"/>
      <c r="P431" s="43" t="n"/>
      <c r="Q431" s="43" t="n"/>
      <c r="R431" s="43" t="n"/>
      <c r="S431" s="43" t="n"/>
      <c r="T431" s="43" t="inlineStr">
        <is>
          <t>Y</t>
        </is>
      </c>
      <c r="U431" s="33" t="inlineStr">
        <is>
          <t xml:space="preserve">FUENTE: Deviation.csv, filas CSV 91-270; Workflow=FAI Status; Date Released=2026-09-29; Date Originated=2026-09-03; Site=FJZP, Plant=MCGA (sin convertir automaticamente a FJZ); 2 filas PN; APROBACION Y APLICABILIDAD NO VALIDADAS. </t>
        </is>
      </c>
    </row>
    <row r="432">
      <c r="A432" s="35" t="inlineStr">
        <is>
          <t>DEV-CTANJZ05454</t>
        </is>
      </c>
      <c r="B432" s="35" t="inlineStr">
        <is>
          <t>DEVIATION</t>
        </is>
      </c>
      <c r="C432" s="35" t="inlineStr">
        <is>
          <t>D613632</t>
        </is>
      </c>
      <c r="D432" s="35" t="n"/>
      <c r="E432" s="36" t="inlineStr">
        <is>
          <t>D613632 Need to qualify MX25L3233FM2I-08G on 17-102297-01</t>
        </is>
      </c>
      <c r="F432" s="35" t="inlineStr">
        <is>
          <t>Pending</t>
        </is>
      </c>
      <c r="G432" s="35" t="n"/>
      <c r="H432" s="35" t="inlineStr">
        <is>
          <t>Pending Review</t>
        </is>
      </c>
      <c r="I432" s="35" t="inlineStr">
        <is>
          <t>CRBU</t>
        </is>
      </c>
      <c r="J432" s="35" t="inlineStr">
        <is>
          <t>CTANJZ05454</t>
        </is>
      </c>
      <c r="K432" s="37" t="n"/>
      <c r="L432" s="37" t="n"/>
      <c r="M432" s="37" t="n">
        <v>46446</v>
      </c>
      <c r="N432" s="35" t="n"/>
      <c r="O432" s="35" t="n"/>
      <c r="P432" s="35" t="n"/>
      <c r="Q432" s="35" t="n"/>
      <c r="R432" s="35" t="n"/>
      <c r="S432" s="35" t="n"/>
      <c r="T432" s="35" t="inlineStr">
        <is>
          <t>Y</t>
        </is>
      </c>
      <c r="U432" s="36" t="inlineStr">
        <is>
          <t xml:space="preserve">FUENTE: Deviation.csv, filas CSV 78-242; Workflow=Implementation; Date Released=2026-09-29; Date Originated=2026-09-03; Site=FJZP, Plant=MCGA (sin convertir automaticamente a FJZ); 2 filas PN; APROBACION Y APLICABILIDAD NO VALIDADAS. </t>
        </is>
      </c>
    </row>
    <row r="433">
      <c r="A433" s="43" t="inlineStr">
        <is>
          <t>DEV-CTANJZ05455</t>
        </is>
      </c>
      <c r="B433" s="43" t="inlineStr">
        <is>
          <t>DEVIATION</t>
        </is>
      </c>
      <c r="C433" s="43" t="inlineStr">
        <is>
          <t>D613568</t>
        </is>
      </c>
      <c r="D433" s="43" t="n"/>
      <c r="E433" s="33" t="inlineStr">
        <is>
          <t>D613568 Need to qualify M24C64-RMN6TP on 73-21633-01 for Assy Qual Request # : AQR004745438 Which is a Supplier PCN from M24C64-RMN6TP for PCN TYPE : Process Change on GQR GQR000101798 and AQR AQR004745438</t>
        </is>
      </c>
      <c r="F433" s="43" t="inlineStr">
        <is>
          <t>Pending</t>
        </is>
      </c>
      <c r="G433" s="43" t="n"/>
      <c r="H433" s="43" t="inlineStr">
        <is>
          <t>Pending Review</t>
        </is>
      </c>
      <c r="I433" s="43" t="inlineStr">
        <is>
          <t>CRBU</t>
        </is>
      </c>
      <c r="J433" s="43" t="inlineStr">
        <is>
          <t>CTANJZ05455</t>
        </is>
      </c>
      <c r="K433" s="32" t="n"/>
      <c r="L433" s="32" t="n"/>
      <c r="M433" s="32" t="n">
        <v>46357</v>
      </c>
      <c r="N433" s="43" t="n"/>
      <c r="O433" s="43" t="n"/>
      <c r="P433" s="43" t="n"/>
      <c r="Q433" s="43" t="n"/>
      <c r="R433" s="43" t="n"/>
      <c r="S433" s="43" t="n"/>
      <c r="T433" s="43" t="inlineStr">
        <is>
          <t>Y</t>
        </is>
      </c>
      <c r="U433" s="33" t="inlineStr">
        <is>
          <t xml:space="preserve">FUENTE: Deviation.csv, filas CSV 79-243; Workflow=Implementation; Date Released=2026-09-30; Date Originated=2026-09-03; Site=FJZP, Plant=MCGA (sin convertir automaticamente a FJZ); 2 filas PN; APROBACION Y APLICABILIDAD NO VALIDADAS. </t>
        </is>
      </c>
    </row>
    <row r="434">
      <c r="A434" s="35" t="inlineStr">
        <is>
          <t>DEV-CTANJZ05456</t>
        </is>
      </c>
      <c r="B434" s="35" t="inlineStr">
        <is>
          <t>DEVIATION</t>
        </is>
      </c>
      <c r="C434" s="35" t="inlineStr">
        <is>
          <t>D613567</t>
        </is>
      </c>
      <c r="D434" s="35" t="n"/>
      <c r="E434" s="36" t="inlineStr">
        <is>
          <t>D613567 Need to qualify M24C64-RMN6TP on 73-21335-01 for Assy Qual Request # : AQR004744809 Which is a Supplier PCN from M24C64-RMN6TP for PCN TYPE : Process Change on GQR GQR000101798 and AQR AQR004744809</t>
        </is>
      </c>
      <c r="F434" s="35" t="inlineStr">
        <is>
          <t>Pending</t>
        </is>
      </c>
      <c r="G434" s="35" t="n"/>
      <c r="H434" s="35" t="inlineStr">
        <is>
          <t>Pending Review</t>
        </is>
      </c>
      <c r="I434" s="35" t="inlineStr">
        <is>
          <t>CRBU</t>
        </is>
      </c>
      <c r="J434" s="35" t="inlineStr">
        <is>
          <t>CTANJZ05456</t>
        </is>
      </c>
      <c r="K434" s="37" t="n"/>
      <c r="L434" s="37" t="n"/>
      <c r="M434" s="37" t="n">
        <v>46357</v>
      </c>
      <c r="N434" s="35" t="n"/>
      <c r="O434" s="35" t="n"/>
      <c r="P434" s="35" t="n"/>
      <c r="Q434" s="35" t="n"/>
      <c r="R434" s="35" t="n"/>
      <c r="S434" s="35" t="n"/>
      <c r="T434" s="35" t="inlineStr">
        <is>
          <t>Y</t>
        </is>
      </c>
      <c r="U434" s="36" t="inlineStr">
        <is>
          <t xml:space="preserve">FUENTE: Deviation.csv, filas CSV 75-239; Workflow=Implementation; Date Released=2026-09-30; Date Originated=2026-09-03; Site=FJZP, Plant=MCGA (sin convertir automaticamente a FJZ); 2 filas PN; APROBACION Y APLICABILIDAD NO VALIDADAS. </t>
        </is>
      </c>
    </row>
    <row r="435">
      <c r="A435" s="43" t="inlineStr">
        <is>
          <t>DEV-CTANJZ05457</t>
        </is>
      </c>
      <c r="B435" s="43" t="inlineStr">
        <is>
          <t>DEVIATION</t>
        </is>
      </c>
      <c r="C435" s="43" t="inlineStr">
        <is>
          <t>D613736</t>
        </is>
      </c>
      <c r="D435" s="43" t="n"/>
      <c r="E435" s="33" t="inlineStr">
        <is>
          <t>D613736 CSF4200.- Due shortage material of the 10-3317-04 and backlog orders; we allow FJZ to use 10-3317-03 (MPN SFBR-89BDDZ-CS4)*No script change needs it*</t>
        </is>
      </c>
      <c r="F435" s="43" t="inlineStr">
        <is>
          <t>Pending</t>
        </is>
      </c>
      <c r="G435" s="43" t="n"/>
      <c r="H435" s="43" t="inlineStr">
        <is>
          <t>Pending Review</t>
        </is>
      </c>
      <c r="I435" s="43" t="inlineStr">
        <is>
          <t>STBU</t>
        </is>
      </c>
      <c r="J435" s="43" t="inlineStr">
        <is>
          <t>CTANJZ05457</t>
        </is>
      </c>
      <c r="K435" s="32" t="n"/>
      <c r="L435" s="32" t="n"/>
      <c r="M435" s="32" t="n">
        <v>46357</v>
      </c>
      <c r="N435" s="43" t="n"/>
      <c r="O435" s="43" t="n"/>
      <c r="P435" s="43" t="n"/>
      <c r="Q435" s="43" t="n"/>
      <c r="R435" s="43" t="n"/>
      <c r="S435" s="43" t="n"/>
      <c r="T435" s="43" t="inlineStr">
        <is>
          <t>Y</t>
        </is>
      </c>
      <c r="U435" s="33" t="inlineStr">
        <is>
          <t xml:space="preserve">FUENTE: Deviation.csv, filas CSV 1247-1248; Workflow=Implementation; Date Released=2026-10-02; Date Originated=2026-09-03; Site=FJZP, Plant=MCGA (sin convertir automaticamente a FJZ); 2 filas PN; APROBACION Y APLICABILIDAD NO VALIDADAS. </t>
        </is>
      </c>
    </row>
    <row r="436">
      <c r="A436" s="35" t="inlineStr">
        <is>
          <t>DEV-CTANJZ05458</t>
        </is>
      </c>
      <c r="B436" s="35" t="inlineStr">
        <is>
          <t>DEVIATION</t>
        </is>
      </c>
      <c r="C436" s="35" t="inlineStr">
        <is>
          <t>D613627</t>
        </is>
      </c>
      <c r="D436" s="35" t="n"/>
      <c r="E436" s="36" t="inlineStr">
        <is>
          <t>D613627 Need to qualify MX25L3233FM2I-08G on 17-15768-01</t>
        </is>
      </c>
      <c r="F436" s="35" t="inlineStr">
        <is>
          <t>Pending</t>
        </is>
      </c>
      <c r="G436" s="35" t="n"/>
      <c r="H436" s="35" t="inlineStr">
        <is>
          <t>Pending Review</t>
        </is>
      </c>
      <c r="I436" s="35" t="inlineStr">
        <is>
          <t>CRBU</t>
        </is>
      </c>
      <c r="J436" s="35" t="inlineStr">
        <is>
          <t>CTANJZ05458</t>
        </is>
      </c>
      <c r="K436" s="37" t="n"/>
      <c r="L436" s="37" t="n"/>
      <c r="M436" s="37" t="n">
        <v>46357</v>
      </c>
      <c r="N436" s="35" t="n"/>
      <c r="O436" s="35" t="n"/>
      <c r="P436" s="35" t="n"/>
      <c r="Q436" s="35" t="n"/>
      <c r="R436" s="35" t="n"/>
      <c r="S436" s="35" t="n"/>
      <c r="T436" s="35" t="inlineStr">
        <is>
          <t>Y</t>
        </is>
      </c>
      <c r="U436" s="36" t="inlineStr">
        <is>
          <t xml:space="preserve">FUENTE: Deviation.csv, filas CSV 71-236; Workflow=Implementation; Date Released=2026-09-30; Date Originated=2026-09-03; Site=FJZP, Plant=MCGA (sin convertir automaticamente a FJZ); 4 filas PN; APROBACION Y APLICABILIDAD NO VALIDADAS. </t>
        </is>
      </c>
      <c r="V436" s="49" t="inlineStr">
        <is>
          <t>Calificación propuesta del MPN MX25L3233FM2I-08G en el PN 17-15768-01. Este PN se considera FVN y no aplicable automáticamente a FJZ.</t>
        </is>
      </c>
      <c r="W436" s="49" t="inlineStr">
        <is>
          <t>D613627: se propone calificar el MPN MX25L3233FM2I-08G en el PN 17-15768-01. El texto no ofrece RefDes ni WO. De acuerdo con la regla de alcance de planta, ese PN corresponde a FVN y no se debe presentar como autorización de manufactura FJZ sin asignación explícita.</t>
        </is>
      </c>
      <c r="X436" s="50" t="inlineStr">
        <is>
          <t>Traduccion para consulta</t>
        </is>
      </c>
    </row>
    <row r="437">
      <c r="A437" s="43" t="inlineStr">
        <is>
          <t>DEV-CTANJZ05459</t>
        </is>
      </c>
      <c r="B437" s="43" t="inlineStr">
        <is>
          <t>DEVIATION</t>
        </is>
      </c>
      <c r="C437" s="43" t="inlineStr">
        <is>
          <t>D613629</t>
        </is>
      </c>
      <c r="D437" s="43" t="n"/>
      <c r="E437" s="33" t="inlineStr">
        <is>
          <t>D613629 Need to qualify MX25L3233FM2I-08G on 17-15753-01</t>
        </is>
      </c>
      <c r="F437" s="43" t="inlineStr">
        <is>
          <t>Pending</t>
        </is>
      </c>
      <c r="G437" s="43" t="n"/>
      <c r="H437" s="43" t="inlineStr">
        <is>
          <t>Pending Review</t>
        </is>
      </c>
      <c r="I437" s="43" t="inlineStr">
        <is>
          <t>CRBU</t>
        </is>
      </c>
      <c r="J437" s="43" t="inlineStr">
        <is>
          <t>CTANJZ05459</t>
        </is>
      </c>
      <c r="K437" s="32" t="n"/>
      <c r="L437" s="32" t="n"/>
      <c r="M437" s="32" t="n">
        <v>46357</v>
      </c>
      <c r="N437" s="43" t="n"/>
      <c r="O437" s="43" t="n"/>
      <c r="P437" s="43" t="n"/>
      <c r="Q437" s="43" t="n"/>
      <c r="R437" s="43" t="n"/>
      <c r="S437" s="43" t="n"/>
      <c r="T437" s="43" t="inlineStr">
        <is>
          <t>Y</t>
        </is>
      </c>
      <c r="U437" s="33" t="inlineStr">
        <is>
          <t xml:space="preserve">FUENTE: Deviation.csv, filas CSV 73-238; Workflow=Implementation; Date Released=2026-09-30; Date Originated=2026-09-03; Site=FJZP, Plant=MCGA (sin convertir automaticamente a FJZ); 4 filas PN; APROBACION Y APLICABILIDAD NO VALIDADAS. </t>
        </is>
      </c>
    </row>
    <row r="438">
      <c r="A438" s="35" t="inlineStr">
        <is>
          <t>DEV-CTANJZ05462</t>
        </is>
      </c>
      <c r="B438" s="35" t="inlineStr">
        <is>
          <t>DEVIATION</t>
        </is>
      </c>
      <c r="C438" s="35" t="inlineStr">
        <is>
          <t>D613679</t>
        </is>
      </c>
      <c r="D438" s="35" t="n"/>
      <c r="E438" s="36" t="inlineStr">
        <is>
          <t>D613679 Quack (473-00003-01) &amp; Serial Labels (471-00585-01) were inadvertently left off BOM drop and were deleted from BOM in ECO EA622285 as a result.</t>
        </is>
      </c>
      <c r="F438" s="35" t="inlineStr">
        <is>
          <t>Pending</t>
        </is>
      </c>
      <c r="G438" s="35" t="n"/>
      <c r="H438" s="35" t="inlineStr">
        <is>
          <t>Pending Review</t>
        </is>
      </c>
      <c r="I438" s="35" t="inlineStr">
        <is>
          <t>STBU</t>
        </is>
      </c>
      <c r="J438" s="35" t="inlineStr">
        <is>
          <t>CTANJZ05462</t>
        </is>
      </c>
      <c r="K438" s="37" t="n"/>
      <c r="L438" s="37" t="n"/>
      <c r="M438" s="37" t="n">
        <v>46359</v>
      </c>
      <c r="N438" s="35" t="n"/>
      <c r="O438" s="35" t="n"/>
      <c r="P438" s="35" t="n"/>
      <c r="Q438" s="35" t="n"/>
      <c r="R438" s="35" t="n"/>
      <c r="S438" s="35" t="n"/>
      <c r="T438" s="35" t="inlineStr">
        <is>
          <t>Y</t>
        </is>
      </c>
      <c r="U438" s="36" t="inlineStr">
        <is>
          <t xml:space="preserve">FUENTE: Deviation.csv, filas CSV 1858-1858; Workflow=FAI Status; Date Released=2026-09-30; Date Originated=2026-09-05; Site=FJZP, Plant=MCGA (sin convertir automaticamente a FJZ); 1 filas PN; APROBACION Y APLICABILIDAD NO VALIDADAS. </t>
        </is>
      </c>
    </row>
    <row r="439">
      <c r="A439" s="43" t="inlineStr">
        <is>
          <t>DEV-CTANJZ05463</t>
        </is>
      </c>
      <c r="B439" s="43" t="inlineStr">
        <is>
          <t>DEVIATION</t>
        </is>
      </c>
      <c r="C439" s="43" t="inlineStr">
        <is>
          <t>D613810</t>
        </is>
      </c>
      <c r="D439" s="43" t="n"/>
      <c r="E439" s="33" t="inlineStr">
        <is>
          <t>D613810 SRGBU: Arata Rommon 17.18(4.1r).s1.cp upgrade</t>
        </is>
      </c>
      <c r="F439" s="43" t="inlineStr">
        <is>
          <t>Pending</t>
        </is>
      </c>
      <c r="G439" s="43" t="n"/>
      <c r="H439" s="43" t="inlineStr">
        <is>
          <t>Pending Review</t>
        </is>
      </c>
      <c r="I439" s="43" t="inlineStr">
        <is>
          <t>SRGBU</t>
        </is>
      </c>
      <c r="J439" s="43" t="inlineStr">
        <is>
          <t>CTANJZ05463</t>
        </is>
      </c>
      <c r="K439" s="32" t="n"/>
      <c r="L439" s="32" t="n"/>
      <c r="M439" s="32" t="n">
        <v>46358</v>
      </c>
      <c r="N439" s="43" t="n"/>
      <c r="O439" s="43" t="n"/>
      <c r="P439" s="43" t="n"/>
      <c r="Q439" s="43" t="n"/>
      <c r="R439" s="43" t="n"/>
      <c r="S439" s="43" t="n"/>
      <c r="T439" s="43" t="inlineStr">
        <is>
          <t>Y</t>
        </is>
      </c>
      <c r="U439" s="33" t="inlineStr">
        <is>
          <t xml:space="preserve">FUENTE: Deviation.csv, filas CSV 1855-1857; Workflow=FAI Status; Date Released=2026-09-25; Date Originated=2026-09-05; Site=FJZP, Plant=MCGA (sin convertir automaticamente a FJZ); 3 filas PN; APROBACION Y APLICABILIDAD NO VALIDADAS. </t>
        </is>
      </c>
    </row>
    <row r="440">
      <c r="A440" s="35" t="inlineStr">
        <is>
          <t>DEV-CTANJZ05465</t>
        </is>
      </c>
      <c r="B440" s="35" t="inlineStr">
        <is>
          <t>DEVIATION</t>
        </is>
      </c>
      <c r="C440" s="35" t="inlineStr">
        <is>
          <t>D613504</t>
        </is>
      </c>
      <c r="D440" s="35" t="n"/>
      <c r="E440" s="36" t="inlineStr">
        <is>
          <t>D613504 Please see PageThree for details</t>
        </is>
      </c>
      <c r="F440" s="35" t="inlineStr">
        <is>
          <t>Pending</t>
        </is>
      </c>
      <c r="G440" s="35" t="n"/>
      <c r="H440" s="35" t="inlineStr">
        <is>
          <t>Pending Review</t>
        </is>
      </c>
      <c r="I440" s="35" t="inlineStr">
        <is>
          <t>CRBU</t>
        </is>
      </c>
      <c r="J440" s="35" t="inlineStr">
        <is>
          <t>CTANJZ05465</t>
        </is>
      </c>
      <c r="K440" s="37" t="n"/>
      <c r="L440" s="37" t="n"/>
      <c r="M440" s="37" t="n">
        <v>46362</v>
      </c>
      <c r="N440" s="35" t="n"/>
      <c r="O440" s="35" t="n"/>
      <c r="P440" s="35" t="n"/>
      <c r="Q440" s="35" t="n"/>
      <c r="R440" s="35" t="n"/>
      <c r="S440" s="35" t="n"/>
      <c r="T440" s="35" t="inlineStr">
        <is>
          <t>Y</t>
        </is>
      </c>
      <c r="U440" s="36" t="inlineStr">
        <is>
          <t xml:space="preserve">FUENTE: Deviation.csv, filas CSV 1250-1254; Workflow=Implementation; Date Released=2026-10-02; Date Originated=2026-09-08; Site=FJZP, Plant=MCGA (sin convertir automaticamente a FJZ); 5 filas PN; APROBACION Y APLICABILIDAD NO VALIDADAS. </t>
        </is>
      </c>
    </row>
    <row r="441">
      <c r="A441" s="43" t="inlineStr">
        <is>
          <t>DEV-CTANJZ05466</t>
        </is>
      </c>
      <c r="B441" s="43" t="inlineStr">
        <is>
          <t>DEVIATION</t>
        </is>
      </c>
      <c r="C441" s="43" t="inlineStr">
        <is>
          <t>D613946</t>
        </is>
      </c>
      <c r="D441" s="43" t="n"/>
      <c r="E441" s="33" t="inlineStr">
        <is>
          <t>D613946 CVEBU; Tyne - Allowing FJZ to utilize ANALOG DEVICES IPQ MPN: ADV7537JBCZ-10 under 15-110893-01This deviation is an extension of D610433 and D612169Affected items: -15-110893-01; IC-COMM;48.0Gb/s;125.0 Tj MAX; BGA;145 P;9.0x9.0mm PKGSIZE;0.65mm PITCH;1.8 V;5.0 %;0 to 70 C; HDMI to MIPI CSI-2 Bridge68-104853-01; ASY-ELMECH; Tyne Codec; Radio68-104854-01; ASY-ELMECH; Tyne Codec; Non-Radio73-103698-06; PCBA; Tyne Codec; Main Board; Radio73-103940-06; PCBA; Tyne Codec; Main Board; Non-Radio</t>
        </is>
      </c>
      <c r="F441" s="43" t="inlineStr">
        <is>
          <t>Pending</t>
        </is>
      </c>
      <c r="G441" s="43" t="n"/>
      <c r="H441" s="43" t="inlineStr">
        <is>
          <t>Pending Review</t>
        </is>
      </c>
      <c r="I441" s="43" t="inlineStr">
        <is>
          <t>CVEBU</t>
        </is>
      </c>
      <c r="J441" s="43" t="inlineStr">
        <is>
          <t>CTANJZ05466</t>
        </is>
      </c>
      <c r="K441" s="32" t="n"/>
      <c r="L441" s="32" t="n"/>
      <c r="M441" s="32" t="n">
        <v>46363</v>
      </c>
      <c r="N441" s="43" t="n"/>
      <c r="O441" s="43" t="n"/>
      <c r="P441" s="43" t="n"/>
      <c r="Q441" s="43" t="n"/>
      <c r="R441" s="43" t="n"/>
      <c r="S441" s="43" t="n"/>
      <c r="T441" s="43" t="inlineStr">
        <is>
          <t>Y</t>
        </is>
      </c>
      <c r="U441" s="33" t="inlineStr">
        <is>
          <t xml:space="preserve">FUENTE: Deviation.csv, filas CSV 608-614; Workflow=FAI Status; Date Released=2026-10-03; Date Originated=2026-09-09; Site=FJZP, Plant=MCGA (sin convertir automaticamente a FJZ); 7 filas PN; APROBACION Y APLICABILIDAD NO VALIDADAS. </t>
        </is>
      </c>
    </row>
    <row r="442">
      <c r="A442" s="35" t="inlineStr">
        <is>
          <t>DEV-CTANJZ05467</t>
        </is>
      </c>
      <c r="B442" s="35" t="inlineStr">
        <is>
          <t>DEVIATION</t>
        </is>
      </c>
      <c r="C442" s="35" t="inlineStr">
        <is>
          <t>DP526581</t>
        </is>
      </c>
      <c r="D442" s="35" t="n"/>
      <c r="E442" s="36" t="inlineStr">
        <is>
          <t>DP526581For P1B build; please follow below-1) for CPN - 16-102575-01 ; FJZ can use MPN "MTFDKBA960TFR-1BC15ABYY" as consigned part .2)  The 8 available e-Fused/programmed parts (17-series) will be used exclusively on A3 SKU (74-142749-01). The part usage will be tracked via serial number (SN) for full traceability.3) It is okay to use the TPK bracket accessory kit (53-101510-03) in place of the NPK-specific kit (53-102150-01) for this build.</t>
        </is>
      </c>
      <c r="F442" s="35" t="inlineStr">
        <is>
          <t>Pending</t>
        </is>
      </c>
      <c r="G442" s="35" t="n"/>
      <c r="H442" s="35" t="inlineStr">
        <is>
          <t>Pending Review</t>
        </is>
      </c>
      <c r="I442" s="35" t="inlineStr">
        <is>
          <t>STBU</t>
        </is>
      </c>
      <c r="J442" s="35" t="inlineStr">
        <is>
          <t>CTANJZ05467</t>
        </is>
      </c>
      <c r="K442" s="37" t="n"/>
      <c r="L442" s="37" t="n"/>
      <c r="M442" s="37" t="n">
        <v>46334</v>
      </c>
      <c r="N442" s="35" t="n"/>
      <c r="O442" s="35" t="n"/>
      <c r="P442" s="35" t="n"/>
      <c r="Q442" s="35" t="n"/>
      <c r="R442" s="35" t="n"/>
      <c r="S442" s="35" t="n"/>
      <c r="T442" s="35" t="inlineStr">
        <is>
          <t>Y</t>
        </is>
      </c>
      <c r="U442" s="36" t="inlineStr">
        <is>
          <t xml:space="preserve">FUENTE: Deviation.csv, filas CSV 606-607; Workflow=FAI Status; Date Released=2026-10-01; Date Originated=2026-09-10; Site=FJZP, Plant=MCGA (sin convertir automaticamente a FJZ); 2 filas PN; APROBACION Y APLICABILIDAD NO VALIDADAS. </t>
        </is>
      </c>
    </row>
    <row r="443">
      <c r="A443" s="43" t="inlineStr">
        <is>
          <t>DEV-CTANJZ05468</t>
        </is>
      </c>
      <c r="B443" s="43" t="inlineStr">
        <is>
          <t>DEVIATION</t>
        </is>
      </c>
      <c r="C443" s="43" t="inlineStr">
        <is>
          <t>D613858</t>
        </is>
      </c>
      <c r="D443" s="43" t="n"/>
      <c r="E443" s="33" t="inlineStr">
        <is>
          <t>D613858 NGFWBU GQR: GQR000101798 Case: AQR004745855 CPN: 16-2242-02 ; MFR NAME: ST MICROELECTRONICS; MPN: M24C64-RMN6TPThis deviation instructs Foxconn Juarez (FJZ) to execute a sample buy and conduct a Production Qual build for the following part(s):BU: NGFWBUPF: CSF6100Affected TAN(s):68-104008-02Affected Item(s): 73-102418-04CPN: 16-2242-02; MFR NAME: ST MICROELECTRONICS; MPN: M24C64-RMN6TPBuild Qty: 3Ref Des: U4To execute the above AQR at CM site; should be tested on Model A.</t>
        </is>
      </c>
      <c r="F443" s="43" t="inlineStr">
        <is>
          <t>Pending</t>
        </is>
      </c>
      <c r="G443" s="43" t="n"/>
      <c r="H443" s="43" t="inlineStr">
        <is>
          <t>Pending Review</t>
        </is>
      </c>
      <c r="I443" s="43" t="inlineStr">
        <is>
          <t>STBU</t>
        </is>
      </c>
      <c r="J443" s="43" t="inlineStr">
        <is>
          <t>CTANJZ05468</t>
        </is>
      </c>
      <c r="K443" s="32" t="n"/>
      <c r="L443" s="32" t="n"/>
      <c r="M443" s="32" t="n">
        <v>46364</v>
      </c>
      <c r="N443" s="43" t="n"/>
      <c r="O443" s="43" t="n"/>
      <c r="P443" s="43" t="n"/>
      <c r="Q443" s="43" t="n"/>
      <c r="R443" s="43" t="n"/>
      <c r="S443" s="43" t="n"/>
      <c r="T443" s="43" t="inlineStr">
        <is>
          <t>Y</t>
        </is>
      </c>
      <c r="U443" s="33" t="inlineStr">
        <is>
          <t xml:space="preserve">FUENTE: Deviation.csv, filas CSV 244-1566; Workflow=Implementation; Date Released=2026-10-03; Date Originated=2026-09-10; Site=FJZP, Plant=MCGA (sin convertir automaticamente a FJZ); 4 filas PN; APROBACION Y APLICABILIDAD NO VALIDADAS. </t>
        </is>
      </c>
    </row>
    <row r="444">
      <c r="A444" s="35" t="inlineStr">
        <is>
          <t>DEV-CTANJZ05469</t>
        </is>
      </c>
      <c r="B444" s="35" t="inlineStr">
        <is>
          <t>DEVIATION</t>
        </is>
      </c>
      <c r="C444" s="35" t="inlineStr">
        <is>
          <t>D613812</t>
        </is>
      </c>
      <c r="D444" s="35" t="n"/>
      <c r="E444" s="36" t="inlineStr">
        <is>
          <t>D613812 1. There is 1 order for PID FPR-C9300-AC there are two NM FPR-NM-4X40G &amp; FPR-NM-8X10G needed to complete the system; both of them have expired tests so SN for FPR-NM-4X40G - JAD275105EX; FPR-NM-4X40G - FJZ28111537; FPR-NM-8X10G - FJC30251F7F.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F444" s="35" t="inlineStr">
        <is>
          <t>Pending</t>
        </is>
      </c>
      <c r="G444" s="35" t="n"/>
      <c r="H444" s="35" t="inlineStr">
        <is>
          <t>Pending Review</t>
        </is>
      </c>
      <c r="I444" s="35" t="inlineStr">
        <is>
          <t>STBU</t>
        </is>
      </c>
      <c r="J444" s="35" t="inlineStr">
        <is>
          <t>CTANJZ05469</t>
        </is>
      </c>
      <c r="K444" s="37" t="n"/>
      <c r="L444" s="37" t="n"/>
      <c r="M444" s="37" t="n">
        <v>46364</v>
      </c>
      <c r="N444" s="35" t="n"/>
      <c r="O444" s="35" t="n"/>
      <c r="P444" s="35" t="n"/>
      <c r="Q444" s="35" t="n"/>
      <c r="R444" s="35" t="n"/>
      <c r="S444" s="35" t="n"/>
      <c r="T444" s="35" t="inlineStr">
        <is>
          <t>Y</t>
        </is>
      </c>
      <c r="U444" s="36" t="inlineStr">
        <is>
          <t xml:space="preserve">FUENTE: Deviation.csv, filas CSV 1654-1657; Workflow=Implementation; Date Released=2026-10-09; Date Originated=2026-09-10; Site=FJZP, Plant=MCGA (sin convertir automaticamente a FJZ); 4 filas PN; APROBACION Y APLICABILIDAD NO VALIDADAS. </t>
        </is>
      </c>
    </row>
    <row r="445">
      <c r="A445" s="43" t="inlineStr">
        <is>
          <t>DEV-CTANJZ05470</t>
        </is>
      </c>
      <c r="B445" s="43" t="inlineStr">
        <is>
          <t>DEVIATION</t>
        </is>
      </c>
      <c r="C445" s="43" t="inlineStr">
        <is>
          <t>D613859</t>
        </is>
      </c>
      <c r="D445" s="43" t="n"/>
      <c r="E445" s="33" t="inlineStr">
        <is>
          <t>D613859 NGFWBU GQR: GQR000098291 Case: AQR004634224 CPN: 17-16164-01; MFR NAME: SKYWORKS SOLUTIONS; MPN: SI5394M-A12706-GMThis deviation instructs Foxconn Juarez (FJZ) to execute a sample buy and conduct a Production Qual build for the following part(s):BU: NGFWBUPF: CSF4200Affected TAN(s):68-104010-02Affected Item(s): 73-102482-02CPN: 17-16164-01; MFR NAME: SKYWORKS SOLUTIONS; MPN: SI5394M-A12706-GMBuild Qty: 3Ref Des: U65</t>
        </is>
      </c>
      <c r="F445" s="43" t="inlineStr">
        <is>
          <t>Pending</t>
        </is>
      </c>
      <c r="G445" s="43" t="n"/>
      <c r="H445" s="43" t="inlineStr">
        <is>
          <t>Pending Review</t>
        </is>
      </c>
      <c r="I445" s="43" t="inlineStr">
        <is>
          <t>STBU</t>
        </is>
      </c>
      <c r="J445" s="43" t="inlineStr">
        <is>
          <t>CTANJZ05470</t>
        </is>
      </c>
      <c r="K445" s="32" t="n"/>
      <c r="L445" s="32" t="n"/>
      <c r="M445" s="32" t="n">
        <v>46364</v>
      </c>
      <c r="N445" s="43" t="n"/>
      <c r="O445" s="43" t="n"/>
      <c r="P445" s="43" t="n"/>
      <c r="Q445" s="43" t="n"/>
      <c r="R445" s="43" t="n"/>
      <c r="S445" s="43" t="n"/>
      <c r="T445" s="43" t="inlineStr">
        <is>
          <t>Y</t>
        </is>
      </c>
      <c r="U445" s="33" t="inlineStr">
        <is>
          <t xml:space="preserve">FUENTE: Deviation.csv, filas CSV 258-1568; Workflow=Implementation; Date Released=2026-10-09; Date Originated=2026-09-10; Site=FJZP, Plant=MCGA (sin convertir automaticamente a FJZ); 4 filas PN; APROBACION Y APLICABILIDAD NO VALIDADAS. </t>
        </is>
      </c>
    </row>
    <row r="446">
      <c r="A446" s="35" t="inlineStr">
        <is>
          <t>DEV-CTANJZ05471</t>
        </is>
      </c>
      <c r="B446" s="35" t="inlineStr">
        <is>
          <t>DEVIATION</t>
        </is>
      </c>
      <c r="C446" s="35" t="inlineStr">
        <is>
          <t>D613625</t>
        </is>
      </c>
      <c r="D446" s="35" t="n"/>
      <c r="E446" s="36" t="inlineStr">
        <is>
          <t>D613625 Please see PageThree for details</t>
        </is>
      </c>
      <c r="F446" s="35" t="inlineStr">
        <is>
          <t>Pending</t>
        </is>
      </c>
      <c r="G446" s="35" t="n"/>
      <c r="H446" s="35" t="inlineStr">
        <is>
          <t>Pending Review</t>
        </is>
      </c>
      <c r="I446" s="35" t="inlineStr">
        <is>
          <t>STBU</t>
        </is>
      </c>
      <c r="J446" s="35" t="inlineStr">
        <is>
          <t>CTANJZ05471</t>
        </is>
      </c>
      <c r="K446" s="37" t="n"/>
      <c r="L446" s="37" t="n"/>
      <c r="M446" s="37" t="n">
        <v>46364</v>
      </c>
      <c r="N446" s="35" t="n"/>
      <c r="O446" s="35" t="n"/>
      <c r="P446" s="35" t="n"/>
      <c r="Q446" s="35" t="n"/>
      <c r="R446" s="35" t="n"/>
      <c r="S446" s="35" t="n"/>
      <c r="T446" s="35" t="inlineStr">
        <is>
          <t>Y</t>
        </is>
      </c>
      <c r="U446" s="36" t="inlineStr">
        <is>
          <t xml:space="preserve">FUENTE: Deviation.csv, filas CSV 1859-1861; Workflow=Implementation; Date Released=2026-10-09; Date Originated=2026-09-10; Site=FJZP, Plant=MCGA (sin convertir automaticamente a FJZ); 3 filas PN; APROBACION Y APLICABILIDAD NO VALIDADAS. </t>
        </is>
      </c>
    </row>
    <row r="447">
      <c r="A447" s="43" t="inlineStr">
        <is>
          <t>DEV-CTANJZ05476</t>
        </is>
      </c>
      <c r="B447" s="43" t="inlineStr">
        <is>
          <t>DEVIATION</t>
        </is>
      </c>
      <c r="C447" s="43" t="inlineStr">
        <is>
          <t>D614007</t>
        </is>
      </c>
      <c r="D447" s="43" t="n"/>
      <c r="E447" s="33" t="inlineStr">
        <is>
          <t>D614007 CVEBU;TaylorThis is a follow-up deviation to D611192 which expired Aug 2nd 202673-103720-04 PCA;TAYLOR HIGH MODULE WITH MICRON 16GB LPDDR573-103920-04 PCA;TAYLOR LOW MODULE WITH MICRON 16GB LPDDR5In BOMs refdes M1_A; M1_B (2 pcs)15-110522-01 IC-DRAM-D;LPDDR5;64Gb(1Gx64bits);3200MHz(6400MT/s);0.5V NOM;-40 to 95 C;TFBGA;441P;8K CyclesQualified:  Micron  MT62F1G64D4EK-023 WT:C  (-25 to  85C)In case of shortage; the same part can be sourced from NVIDIA under the below listed CPN/MPN:74-142935-01 IC-DRAM-D;LPDDR5;64Gb(1Gx64bits);3200MHz(6400MT/s);0.5V NOM;-40 to 95 C;TFBGA;441P;8K CyclesIPQ: NVIDIA 161-0568-900 (Contains Micron MT62F1G64D4EK-023 WT:C)Ref. JF04378 which justifies this action by CVEBU directors</t>
        </is>
      </c>
      <c r="F447" s="43" t="inlineStr">
        <is>
          <t>Pending</t>
        </is>
      </c>
      <c r="G447" s="43" t="n"/>
      <c r="H447" s="43" t="inlineStr">
        <is>
          <t>Pending Review</t>
        </is>
      </c>
      <c r="I447" s="43" t="inlineStr">
        <is>
          <t>CVEBU</t>
        </is>
      </c>
      <c r="J447" s="43" t="inlineStr">
        <is>
          <t>CTANJZ05476</t>
        </is>
      </c>
      <c r="K447" s="32" t="n"/>
      <c r="L447" s="32" t="n"/>
      <c r="M447" s="32" t="n">
        <v>46365</v>
      </c>
      <c r="N447" s="43" t="n"/>
      <c r="O447" s="43" t="n"/>
      <c r="P447" s="43" t="n"/>
      <c r="Q447" s="43" t="n"/>
      <c r="R447" s="43" t="n"/>
      <c r="S447" s="43" t="n"/>
      <c r="T447" s="43" t="inlineStr">
        <is>
          <t>Y</t>
        </is>
      </c>
      <c r="U447" s="33" t="inlineStr">
        <is>
          <t xml:space="preserve">FUENTE: Deviation.csv, filas CSV 592-594; Workflow=FAI Status; Date Released=2026-10-03; Date Originated=2026-09-11; Site=FJZP, Plant=MCGA (sin convertir automaticamente a FJZ); 3 filas PN; APROBACION Y APLICABILIDAD NO VALIDADAS. </t>
        </is>
      </c>
    </row>
    <row r="448">
      <c r="A448" s="35" t="inlineStr">
        <is>
          <t>DEV-CTANJZ05479</t>
        </is>
      </c>
      <c r="B448" s="35" t="inlineStr">
        <is>
          <t>DEVIATION</t>
        </is>
      </c>
      <c r="C448" s="35" t="inlineStr">
        <is>
          <t>D613635</t>
        </is>
      </c>
      <c r="D448" s="35" t="n"/>
      <c r="E448" s="36" t="inlineStr">
        <is>
          <t>D613635 Need to qualify MX25L3233FM2I-08G on 17-14802-02</t>
        </is>
      </c>
      <c r="F448" s="35" t="inlineStr">
        <is>
          <t>Pending</t>
        </is>
      </c>
      <c r="G448" s="35" t="n"/>
      <c r="H448" s="35" t="inlineStr">
        <is>
          <t>Pending Review</t>
        </is>
      </c>
      <c r="I448" s="35" t="inlineStr">
        <is>
          <t>CRBU</t>
        </is>
      </c>
      <c r="J448" s="35" t="inlineStr">
        <is>
          <t>CTANJZ05479</t>
        </is>
      </c>
      <c r="K448" s="37" t="n"/>
      <c r="L448" s="37" t="n"/>
      <c r="M448" s="37" t="n">
        <v>46366</v>
      </c>
      <c r="N448" s="35" t="n"/>
      <c r="O448" s="35" t="n"/>
      <c r="P448" s="35" t="n"/>
      <c r="Q448" s="35" t="n"/>
      <c r="R448" s="35" t="n"/>
      <c r="S448" s="35" t="n"/>
      <c r="T448" s="35" t="inlineStr">
        <is>
          <t>Y</t>
        </is>
      </c>
      <c r="U448" s="36" t="inlineStr">
        <is>
          <t xml:space="preserve">FUENTE: Deviation.csv, filas CSV 68-231; Workflow=Implementation; Date Released=2026-10-03; Date Originated=2026-09-14; Site=FJZP, Plant=MCGA (sin convertir automaticamente a FJZ); 4 filas PN; APROBACION Y APLICABILIDAD NO VALIDADAS. </t>
        </is>
      </c>
    </row>
    <row r="449">
      <c r="A449" s="43" t="inlineStr">
        <is>
          <t>DEV-CTANJZ05482</t>
        </is>
      </c>
      <c r="B449" s="43" t="inlineStr">
        <is>
          <t>DEVIATION</t>
        </is>
      </c>
      <c r="C449" s="43" t="inlineStr">
        <is>
          <t>D614055</t>
        </is>
      </c>
      <c r="D449" s="43" t="n"/>
      <c r="E449" s="33" t="inlineStr">
        <is>
          <t>D614055 341-101113-02 PSU with Liteon label printed with Model PS-2401-1SA7 can be used as is</t>
        </is>
      </c>
      <c r="F449" s="43" t="inlineStr">
        <is>
          <t>Pending</t>
        </is>
      </c>
      <c r="G449" s="43" t="n"/>
      <c r="H449" s="43" t="inlineStr">
        <is>
          <t>Pending Review</t>
        </is>
      </c>
      <c r="I449" s="43" t="inlineStr">
        <is>
          <t>SRGBU</t>
        </is>
      </c>
      <c r="J449" s="43" t="inlineStr">
        <is>
          <t>CTANJZ05482</t>
        </is>
      </c>
      <c r="K449" s="32" t="n"/>
      <c r="L449" s="32" t="n"/>
      <c r="M449" s="32" t="n">
        <v>46369</v>
      </c>
      <c r="N449" s="43" t="n"/>
      <c r="O449" s="43" t="n"/>
      <c r="P449" s="43" t="n"/>
      <c r="Q449" s="43" t="n"/>
      <c r="R449" s="43" t="n"/>
      <c r="S449" s="43" t="n"/>
      <c r="T449" s="43" t="inlineStr">
        <is>
          <t>Y</t>
        </is>
      </c>
      <c r="U449" s="33" t="inlineStr">
        <is>
          <t xml:space="preserve">FUENTE: Deviation.csv, filas CSV 1245-1245; Workflow=FAI Status; Date Released=2026-10-09; Date Originated=2026-09-16; Site=FJZP, Plant=MCGA (sin convertir automaticamente a FJZ); 1 filas PN; APROBACION Y APLICABILIDAD NO VALIDADAS. </t>
        </is>
      </c>
    </row>
    <row r="450">
      <c r="A450" s="35" t="inlineStr">
        <is>
          <t>DEV-CTANJZ05483</t>
        </is>
      </c>
      <c r="B450" s="35" t="inlineStr">
        <is>
          <t>DEVIATION</t>
        </is>
      </c>
      <c r="C450" s="35" t="inlineStr">
        <is>
          <t>D613884</t>
        </is>
      </c>
      <c r="D450" s="35" t="n"/>
      <c r="E450" s="36"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F450" s="35" t="inlineStr">
        <is>
          <t>Pending</t>
        </is>
      </c>
      <c r="G450" s="35" t="n"/>
      <c r="H450" s="35" t="inlineStr">
        <is>
          <t>Pending Review</t>
        </is>
      </c>
      <c r="I450" s="35" t="inlineStr">
        <is>
          <t>STBU</t>
        </is>
      </c>
      <c r="J450" s="35" t="inlineStr">
        <is>
          <t>CTANJZ05483</t>
        </is>
      </c>
      <c r="K450" s="37" t="n"/>
      <c r="L450" s="37" t="n"/>
      <c r="M450" s="37" t="n">
        <v>46370</v>
      </c>
      <c r="N450" s="35" t="n"/>
      <c r="O450" s="35" t="n"/>
      <c r="P450" s="35" t="n"/>
      <c r="Q450" s="35" t="n"/>
      <c r="R450" s="35" t="n"/>
      <c r="S450" s="35" t="n"/>
      <c r="T450" s="35" t="inlineStr">
        <is>
          <t>Y</t>
        </is>
      </c>
      <c r="U450" s="36" t="inlineStr">
        <is>
          <t xml:space="preserve">FUENTE: Deviation.csv, filas CSV 1642-1698; Workflow=Implementation; Date Released=2026-10-10; Date Originated=2026-09-16; Site=FJZP, Plant=MCGA (sin convertir automaticamente a FJZ); 14 filas PN; APROBACION Y APLICABILIDAD NO VALIDADAS. </t>
        </is>
      </c>
    </row>
    <row r="451">
      <c r="A451" s="43" t="inlineStr">
        <is>
          <t>DEV-CTANJZ05484</t>
        </is>
      </c>
      <c r="B451" s="43" t="inlineStr">
        <is>
          <t>DEVIATION</t>
        </is>
      </c>
      <c r="C451" s="43" t="inlineStr">
        <is>
          <t>D614019</t>
        </is>
      </c>
      <c r="D451" s="43" t="n"/>
      <c r="E451" s="33" t="inlineStr">
        <is>
          <t>D614019 CVEBU: Bayfront Pilot build. Deviation to allow use IPQ and old Date Codes parts. Sep 2026. Replacement of expired deviation D610061;D611994Foxconn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F451" s="43" t="inlineStr">
        <is>
          <t>Pending</t>
        </is>
      </c>
      <c r="G451" s="43" t="n"/>
      <c r="H451" s="43" t="inlineStr">
        <is>
          <t>Pending Review</t>
        </is>
      </c>
      <c r="I451" s="43" t="inlineStr">
        <is>
          <t>CVEBU</t>
        </is>
      </c>
      <c r="J451" s="43" t="inlineStr">
        <is>
          <t>CTANJZ05484</t>
        </is>
      </c>
      <c r="K451" s="32" t="n"/>
      <c r="L451" s="32" t="n"/>
      <c r="M451" s="32" t="n">
        <v>46370</v>
      </c>
      <c r="N451" s="43" t="n"/>
      <c r="O451" s="43" t="n"/>
      <c r="P451" s="43" t="n"/>
      <c r="Q451" s="43" t="n"/>
      <c r="R451" s="43" t="n"/>
      <c r="S451" s="43" t="n"/>
      <c r="T451" s="43" t="inlineStr">
        <is>
          <t>Y</t>
        </is>
      </c>
      <c r="U451" s="33" t="inlineStr">
        <is>
          <t xml:space="preserve">FUENTE: Deviation.csv, filas CSV 1224-1244; Workflow=FAI Status; Date Released=2026-10-03; Date Originated=2026-09-16; Site=FJZP, Plant=MCGA (sin convertir automaticamente a FJZ); 4 filas PN; APROBACION Y APLICABILIDAD NO VALIDADAS. </t>
        </is>
      </c>
    </row>
    <row r="452">
      <c r="A452" s="35" t="inlineStr">
        <is>
          <t>DEV-CTANJZ05485</t>
        </is>
      </c>
      <c r="B452" s="35" t="inlineStr">
        <is>
          <t>DEVIATION</t>
        </is>
      </c>
      <c r="C452" s="35" t="inlineStr">
        <is>
          <t>D613992</t>
        </is>
      </c>
      <c r="D452" s="35" t="n"/>
      <c r="E452" s="36" t="inlineStr">
        <is>
          <t>D613992 NGFWBU GQR: GQR000102872 Case: AQR004788029 CPN: 29-101162-01; MFR NAME: FCI; MPN: 61083-181602LFThis deviation instructs Foxconn Juarez (FJZ) to execute a sample buy and conduct a Production Qual build for the following part(s):BU: NGFWBUPF: CSF6100Affected TAN(s):68-104010-02Affected Item(s): 73-102483-02CPN: 29-101162-01; MFR NAME: FCI; MPN: 61083-181602LFBuild Qty: 3Ref Des: J4To execute the above AQR at CM site; should be tested on Model A.</t>
        </is>
      </c>
      <c r="F452" s="35" t="inlineStr">
        <is>
          <t>Pending</t>
        </is>
      </c>
      <c r="G452" s="35" t="n"/>
      <c r="H452" s="35" t="inlineStr">
        <is>
          <t>Pending Review</t>
        </is>
      </c>
      <c r="I452" s="35" t="inlineStr">
        <is>
          <t>STBU</t>
        </is>
      </c>
      <c r="J452" s="35" t="inlineStr">
        <is>
          <t>CTANJZ05485</t>
        </is>
      </c>
      <c r="K452" s="37" t="n"/>
      <c r="L452" s="37" t="n"/>
      <c r="M452" s="37" t="n">
        <v>46370</v>
      </c>
      <c r="N452" s="35" t="n"/>
      <c r="O452" s="35" t="n"/>
      <c r="P452" s="35" t="n"/>
      <c r="Q452" s="35" t="n"/>
      <c r="R452" s="35" t="n"/>
      <c r="S452" s="35" t="n"/>
      <c r="T452" s="35" t="inlineStr">
        <is>
          <t>Y</t>
        </is>
      </c>
      <c r="U452" s="36" t="inlineStr">
        <is>
          <t xml:space="preserve">FUENTE: Deviation.csv, filas CSV 232-1564; Workflow=Implementation; Date Released=2026-10-14; Date Originated=2026-09-16; Site=FJZP, Plant=MCGA (sin convertir automaticamente a FJZ); 4 filas PN; APROBACION Y APLICABILIDAD NO VALIDADAS. </t>
        </is>
      </c>
    </row>
    <row r="453">
      <c r="A453" s="43" t="inlineStr">
        <is>
          <t>DEV-CTANJZ05489</t>
        </is>
      </c>
      <c r="B453" s="43" t="inlineStr">
        <is>
          <t>DEVIATION</t>
        </is>
      </c>
      <c r="C453" s="43" t="inlineStr">
        <is>
          <t>D613845</t>
        </is>
      </c>
      <c r="D453" s="43" t="n"/>
      <c r="E453" s="33" t="inlineStr">
        <is>
          <t>D613845 SRGBU; Allow FJZ to use  MPN SR57212812APJDANE0 from 15-103551-01 instead of 15-108111-01For the following PIDs:C8200-1N-4TC8200L-1N-4T</t>
        </is>
      </c>
      <c r="F453" s="43" t="inlineStr">
        <is>
          <t>Pending</t>
        </is>
      </c>
      <c r="G453" s="43" t="inlineStr">
        <is>
          <t>Planned</t>
        </is>
      </c>
      <c r="H453" s="43" t="inlineStr">
        <is>
          <t>Pending Review</t>
        </is>
      </c>
      <c r="I453" s="43" t="inlineStr">
        <is>
          <t>SRGBU</t>
        </is>
      </c>
      <c r="J453" s="43" t="inlineStr">
        <is>
          <t>CTANJZ05489</t>
        </is>
      </c>
      <c r="K453" s="32" t="n"/>
      <c r="L453" s="32" t="n"/>
      <c r="M453" s="32" t="n">
        <v>46371</v>
      </c>
      <c r="N453" s="43" t="n"/>
      <c r="O453" s="43" t="n"/>
      <c r="P453" s="43" t="n"/>
      <c r="Q453" s="43" t="n"/>
      <c r="R453" s="43" t="n"/>
      <c r="S453" s="43" t="n"/>
      <c r="T453" s="43" t="inlineStr">
        <is>
          <t>Y</t>
        </is>
      </c>
      <c r="U453" s="33" t="inlineStr">
        <is>
          <t xml:space="preserve">FUENTE: Deviation.csv, filas CSV 1246-1246; Workflow=CCB; Date Released=sin dato; Date Originated=2026-09-17; Site=FJZP, Plant=MCGA (sin convertir automaticamente a FJZ); 1 filas PN; APROBACION Y APLICABILIDAD NO VALIDADAS. </t>
        </is>
      </c>
    </row>
    <row r="454">
      <c r="A454" s="35" t="inlineStr">
        <is>
          <t>DEV-CTANJZ05492</t>
        </is>
      </c>
      <c r="B454" s="35" t="inlineStr">
        <is>
          <t>DEVIATION</t>
        </is>
      </c>
      <c r="C454" s="35" t="inlineStr">
        <is>
          <t>D613573</t>
        </is>
      </c>
      <c r="D454" s="35" t="n"/>
      <c r="E454" s="36" t="inlineStr">
        <is>
          <t>D613573NGFWBU (Extension of dev D606243):For FPR3K and CSF4200 on the specific PIDs affected by 32G DDR4 Shortage:FP3105 -800-110666-02FPR3110 -800-108035-05FPR3130 -800-108037-05CSF4115 -800-109498-06Allow FJZ to use 15-109192-01 in place of 15-108159-01 to help use up the 835 pcs OHFJZ to use the below specified MPNs on 15-109192-01 in place of 15-108159-01 in spite of the AVL status on 15-109192-01:SAMSUNG SEMICONDUCTORS - M393A4G43CB4-CWEMICRON TECHNOLOGY - MTA18ASF4G72PDZ-3G2F1HYNIX SEMICONDUCTOR - HMAG88DXNRBValidation was performed last year under the deviation: D606243</t>
        </is>
      </c>
      <c r="F454" s="35" t="inlineStr">
        <is>
          <t>Pending</t>
        </is>
      </c>
      <c r="G454" s="35" t="inlineStr">
        <is>
          <t>Planned</t>
        </is>
      </c>
      <c r="H454" s="35" t="inlineStr">
        <is>
          <t>Pending Review</t>
        </is>
      </c>
      <c r="I454" s="35" t="inlineStr">
        <is>
          <t>STBU</t>
        </is>
      </c>
      <c r="J454" s="35" t="inlineStr">
        <is>
          <t>CTANJZ05492</t>
        </is>
      </c>
      <c r="K454" s="37" t="n"/>
      <c r="L454" s="37" t="n"/>
      <c r="M454" s="37" t="n">
        <v>46372</v>
      </c>
      <c r="N454" s="35" t="n"/>
      <c r="O454" s="35" t="n"/>
      <c r="P454" s="35" t="n"/>
      <c r="Q454" s="35" t="n"/>
      <c r="R454" s="35" t="n"/>
      <c r="S454" s="35" t="n"/>
      <c r="T454" s="35" t="inlineStr">
        <is>
          <t>Y</t>
        </is>
      </c>
      <c r="U454" s="36" t="inlineStr">
        <is>
          <t xml:space="preserve">FUENTE: Deviation.csv, filas CSV 595-599; Workflow=CCB; Date Released=sin dato; Date Originated=2026-09-18; Site=FJZP, Plant=MCGA (sin convertir automaticamente a FJZ); 5 filas PN; APROBACION Y APLICABILIDAD NO VALIDADAS. </t>
        </is>
      </c>
    </row>
    <row r="455">
      <c r="A455" s="43" t="inlineStr">
        <is>
          <t>DEV-CTANJZ05496</t>
        </is>
      </c>
      <c r="B455" s="43" t="inlineStr">
        <is>
          <t>DEVIATION</t>
        </is>
      </c>
      <c r="C455" s="43" t="inlineStr">
        <is>
          <t>D613740</t>
        </is>
      </c>
      <c r="D455" s="43" t="n"/>
      <c r="E455" s="33" t="inlineStr">
        <is>
          <t>D613740 Need to qualify MBP21K400-15R045C on 73-19057-07</t>
        </is>
      </c>
      <c r="F455" s="43" t="inlineStr">
        <is>
          <t>Pending</t>
        </is>
      </c>
      <c r="G455" s="43" t="n"/>
      <c r="H455" s="43" t="inlineStr">
        <is>
          <t>Pending Review</t>
        </is>
      </c>
      <c r="I455" s="43" t="inlineStr">
        <is>
          <t>CRBU</t>
        </is>
      </c>
      <c r="J455" s="43" t="inlineStr">
        <is>
          <t>CTANJZ05496</t>
        </is>
      </c>
      <c r="K455" s="32" t="n"/>
      <c r="L455" s="32" t="n"/>
      <c r="M455" s="32" t="n">
        <v>46463</v>
      </c>
      <c r="N455" s="43" t="n"/>
      <c r="O455" s="43" t="n"/>
      <c r="P455" s="43" t="n"/>
      <c r="Q455" s="43" t="n"/>
      <c r="R455" s="43" t="n"/>
      <c r="S455" s="43" t="n"/>
      <c r="T455" s="43" t="inlineStr">
        <is>
          <t>Y</t>
        </is>
      </c>
      <c r="U455" s="33" t="inlineStr">
        <is>
          <t xml:space="preserve">FUENTE: Deviation.csv, filas CSV 70-234; Workflow=Implementation; Date Released=2026-10-03; Date Originated=2026-09-19; Site=FJZP, Plant=MCGA (sin convertir automaticamente a FJZ); 2 filas PN; APROBACION Y APLICABILIDAD NO VALIDADAS. </t>
        </is>
      </c>
    </row>
    <row r="456">
      <c r="A456" s="35" t="inlineStr">
        <is>
          <t>DEV-CTANJZ05498</t>
        </is>
      </c>
      <c r="B456" s="35" t="inlineStr">
        <is>
          <t>DEVIATION</t>
        </is>
      </c>
      <c r="C456" s="35" t="inlineStr">
        <is>
          <t>D614131</t>
        </is>
      </c>
      <c r="D456" s="35" t="n"/>
      <c r="E456" s="36" t="inlineStr">
        <is>
          <t>D614131 CVEBU: Pictoris: Do not ship PSU 341-101006-01 with any revisions earlier to Rev -L0 of 68-108085-01 from FVN.Qty: Per demand</t>
        </is>
      </c>
      <c r="F456" s="35" t="inlineStr">
        <is>
          <t>Pending</t>
        </is>
      </c>
      <c r="G456" s="35" t="inlineStr">
        <is>
          <t>Planned</t>
        </is>
      </c>
      <c r="H456" s="35" t="inlineStr">
        <is>
          <t>Pending Review</t>
        </is>
      </c>
      <c r="I456" s="35" t="inlineStr">
        <is>
          <t>CVEBU</t>
        </is>
      </c>
      <c r="J456" s="35" t="inlineStr">
        <is>
          <t>CTANJZ05498</t>
        </is>
      </c>
      <c r="K456" s="37" t="n"/>
      <c r="L456" s="37" t="n"/>
      <c r="M456" s="37" t="n">
        <v>46375</v>
      </c>
      <c r="N456" s="35" t="n"/>
      <c r="O456" s="35" t="n"/>
      <c r="P456" s="35" t="n"/>
      <c r="Q456" s="35" t="n"/>
      <c r="R456" s="35" t="n"/>
      <c r="S456" s="35" t="n"/>
      <c r="T456" s="35" t="inlineStr">
        <is>
          <t>Y</t>
        </is>
      </c>
      <c r="U456" s="36" t="inlineStr">
        <is>
          <t xml:space="preserve">FUENTE: Deviation.csv, filas CSV 64-65; Workflow=CCB; Date Released=sin dato; Date Originated=2026-09-21; Site=FJZP, Plant=MCGA (sin convertir automaticamente a FJZ); 2 filas PN; APROBACION Y APLICABILIDAD NO VALIDADAS. </t>
        </is>
      </c>
    </row>
    <row r="457">
      <c r="A457" s="43" t="inlineStr">
        <is>
          <t>DEV-CTANJZ05499</t>
        </is>
      </c>
      <c r="B457" s="43" t="inlineStr">
        <is>
          <t>DEVIATION</t>
        </is>
      </c>
      <c r="C457" s="43" t="inlineStr">
        <is>
          <t>D612994</t>
        </is>
      </c>
      <c r="D457" s="43" t="n"/>
      <c r="E457" s="33" t="inlineStr">
        <is>
          <t>D612994 Need to qualify ISC019N03L5S on 73-102363-05</t>
        </is>
      </c>
      <c r="F457" s="43" t="inlineStr">
        <is>
          <t>Pending</t>
        </is>
      </c>
      <c r="G457" s="43" t="n"/>
      <c r="H457" s="43" t="inlineStr">
        <is>
          <t>Pending Review</t>
        </is>
      </c>
      <c r="I457" s="43" t="inlineStr">
        <is>
          <t>CRBU</t>
        </is>
      </c>
      <c r="J457" s="43" t="inlineStr">
        <is>
          <t>CTANJZ05499</t>
        </is>
      </c>
      <c r="K457" s="32" t="n"/>
      <c r="L457" s="32" t="n"/>
      <c r="M457" s="32" t="n">
        <v>46375</v>
      </c>
      <c r="N457" s="43" t="n"/>
      <c r="O457" s="43" t="n"/>
      <c r="P457" s="43" t="n"/>
      <c r="Q457" s="43" t="n"/>
      <c r="R457" s="43" t="n"/>
      <c r="S457" s="43" t="n"/>
      <c r="T457" s="43" t="inlineStr">
        <is>
          <t>Y</t>
        </is>
      </c>
      <c r="U457" s="33" t="inlineStr">
        <is>
          <t xml:space="preserve">FUENTE: Deviation.csv, filas CSV 66-227; Workflow=Implementation; Date Released=2026-10-03; Date Originated=2026-09-22; Site=FJZP, Plant=MCGA (sin convertir automaticamente a FJZ); 4 filas PN; APROBACION Y APLICABILIDAD NO VALIDADAS. </t>
        </is>
      </c>
    </row>
    <row r="458">
      <c r="A458" s="35" t="inlineStr">
        <is>
          <t>DEV-CTANJZ05500</t>
        </is>
      </c>
      <c r="B458" s="35" t="inlineStr">
        <is>
          <t>DEVIATION</t>
        </is>
      </c>
      <c r="C458" s="35" t="inlineStr">
        <is>
          <t>D612993</t>
        </is>
      </c>
      <c r="D458" s="35" t="n"/>
      <c r="E458" s="36" t="inlineStr">
        <is>
          <t>D612993 Need to qualify ISC019N03L5S on 73-102362-07</t>
        </is>
      </c>
      <c r="F458" s="35" t="inlineStr">
        <is>
          <t>Pending</t>
        </is>
      </c>
      <c r="G458" s="38" t="n"/>
      <c r="H458" s="35" t="inlineStr">
        <is>
          <t>Pending Review</t>
        </is>
      </c>
      <c r="I458" s="35" t="inlineStr">
        <is>
          <t>CRBU</t>
        </is>
      </c>
      <c r="J458" s="35" t="inlineStr">
        <is>
          <t>CTANJZ05500</t>
        </is>
      </c>
      <c r="K458" s="37" t="n"/>
      <c r="L458" s="37" t="n"/>
      <c r="M458" s="37" t="n">
        <v>46375</v>
      </c>
      <c r="N458" s="35" t="n"/>
      <c r="O458" s="35" t="n"/>
      <c r="P458" s="35" t="n"/>
      <c r="Q458" s="35" t="n"/>
      <c r="R458" s="35" t="n"/>
      <c r="S458" s="35" t="n"/>
      <c r="T458" s="35" t="inlineStr">
        <is>
          <t>Y</t>
        </is>
      </c>
      <c r="U458" s="36" t="inlineStr">
        <is>
          <t>FUENTE: Deviation.csv, filas CSV 130-329; Workflow=Implementation / Pending; Date Released=2026-10-03; Date Originated=2026-09-22; Site=FJZP, Plant=MCGA (sin convertir automaticamente a FJZ); 4 filas PN; APROBACION Y APLICABILIDAD NO VALIDADAS. CONFLICTOS: Status: Implementation / Pending</t>
        </is>
      </c>
    </row>
    <row r="459">
      <c r="A459" s="43" t="inlineStr">
        <is>
          <t>DEV-CTANJZ05501</t>
        </is>
      </c>
      <c r="B459" s="43" t="inlineStr">
        <is>
          <t>DEVIATION</t>
        </is>
      </c>
      <c r="C459" s="43" t="inlineStr">
        <is>
          <t>DP526639</t>
        </is>
      </c>
      <c r="D459" s="43" t="n"/>
      <c r="E459" s="33" t="inlineStr">
        <is>
          <t>DP526639 NGFWBU: GREENFORD/WARWICK AVENUE - Changes needed to support P2 build at FJZ</t>
        </is>
      </c>
      <c r="F459" s="43" t="inlineStr">
        <is>
          <t>Pending</t>
        </is>
      </c>
      <c r="G459" s="43" t="inlineStr">
        <is>
          <t>Planned</t>
        </is>
      </c>
      <c r="H459" s="43" t="inlineStr">
        <is>
          <t>Pending Review</t>
        </is>
      </c>
      <c r="I459" s="43" t="inlineStr">
        <is>
          <t>STBU</t>
        </is>
      </c>
      <c r="J459" s="43" t="inlineStr">
        <is>
          <t>CTANJZ05501</t>
        </is>
      </c>
      <c r="K459" s="32" t="n"/>
      <c r="L459" s="32" t="n"/>
      <c r="M459" s="32" t="n">
        <v>46346</v>
      </c>
      <c r="N459" s="43" t="n"/>
      <c r="O459" s="43" t="n"/>
      <c r="P459" s="43" t="n"/>
      <c r="Q459" s="43" t="n"/>
      <c r="R459" s="43" t="n"/>
      <c r="S459" s="43" t="n"/>
      <c r="T459" s="43" t="inlineStr">
        <is>
          <t>Y</t>
        </is>
      </c>
      <c r="U459" s="33" t="inlineStr">
        <is>
          <t xml:space="preserve">FUENTE: Deviation.csv, filas CSV 1887-1890; Workflow=CCB; Date Released=sin dato; Date Originated=2026-09-22; Site=FJZP, Plant=MCGA (sin convertir automaticamente a FJZ); 4 filas PN; APROBACION Y APLICABILIDAD NO VALIDADAS. </t>
        </is>
      </c>
    </row>
    <row r="460">
      <c r="A460" s="35" t="inlineStr">
        <is>
          <t>DEV-CTANJZ05502</t>
        </is>
      </c>
      <c r="B460" s="35" t="inlineStr">
        <is>
          <t>DEVIATION</t>
        </is>
      </c>
      <c r="C460" s="35" t="inlineStr">
        <is>
          <t>D613744</t>
        </is>
      </c>
      <c r="D460" s="35" t="n"/>
      <c r="E460" s="36" t="inlineStr">
        <is>
          <t>D613744 Need to qualify MBP21K400-15R045C on 73-21335-01</t>
        </is>
      </c>
      <c r="F460" s="35" t="inlineStr">
        <is>
          <t>Pending</t>
        </is>
      </c>
      <c r="G460" s="38" t="n"/>
      <c r="H460" s="35" t="inlineStr">
        <is>
          <t>Pending Review</t>
        </is>
      </c>
      <c r="I460" s="35" t="inlineStr">
        <is>
          <t>CRBU</t>
        </is>
      </c>
      <c r="J460" s="35" t="inlineStr">
        <is>
          <t>CTANJZ05502</t>
        </is>
      </c>
      <c r="K460" s="37" t="n"/>
      <c r="L460" s="37" t="n"/>
      <c r="M460" s="37" t="n">
        <v>46376</v>
      </c>
      <c r="N460" s="35" t="n"/>
      <c r="O460" s="35" t="n"/>
      <c r="P460" s="35" t="n"/>
      <c r="Q460" s="35" t="n"/>
      <c r="R460" s="35" t="n"/>
      <c r="S460" s="35" t="n"/>
      <c r="T460" s="35" t="inlineStr">
        <is>
          <t>Y</t>
        </is>
      </c>
      <c r="U460" s="36" t="inlineStr">
        <is>
          <t>FUENTE: Deviation.csv, filas CSV 129-327; Workflow=Implementation / Pending; Date Released=2026-10-03; Date Originated=2026-09-22; Site=FJZP, Plant=MCGA (sin convertir automaticamente a FJZ); 4 filas PN; APROBACION Y APLICABILIDAD NO VALIDADAS. CONFLICTOS: Status: Implementation / Pending</t>
        </is>
      </c>
    </row>
    <row r="461">
      <c r="A461" s="43" t="inlineStr">
        <is>
          <t>DEV-CTANJZ05503</t>
        </is>
      </c>
      <c r="B461" s="43" t="inlineStr">
        <is>
          <t>DEVIATION</t>
        </is>
      </c>
      <c r="C461" s="43" t="inlineStr">
        <is>
          <t>D612992</t>
        </is>
      </c>
      <c r="D461" s="43" t="n"/>
      <c r="E461" s="33" t="inlineStr">
        <is>
          <t>D612992 Need to qualify ISC019N03L5S on 73-20922-04</t>
        </is>
      </c>
      <c r="F461" s="43" t="inlineStr">
        <is>
          <t>Pending</t>
        </is>
      </c>
      <c r="G461" s="38" t="n"/>
      <c r="H461" s="43" t="inlineStr">
        <is>
          <t>Pending Review</t>
        </is>
      </c>
      <c r="I461" s="43" t="inlineStr">
        <is>
          <t>CRBU</t>
        </is>
      </c>
      <c r="J461" s="43" t="inlineStr">
        <is>
          <t>CTANJZ05503</t>
        </is>
      </c>
      <c r="K461" s="32" t="n"/>
      <c r="L461" s="32" t="n"/>
      <c r="M461" s="32" t="n">
        <v>46377</v>
      </c>
      <c r="N461" s="43" t="n"/>
      <c r="O461" s="43" t="n"/>
      <c r="P461" s="43" t="n"/>
      <c r="Q461" s="43" t="n"/>
      <c r="R461" s="43" t="n"/>
      <c r="S461" s="43" t="n"/>
      <c r="T461" s="43" t="inlineStr">
        <is>
          <t>Y</t>
        </is>
      </c>
      <c r="U461" s="33" t="inlineStr">
        <is>
          <t>FUENTE: Deviation.csv, filas CSV 135-328; Workflow=Implementation / Pending; Date Released=2026-10-03; Date Originated=2026-09-23; Site=FJZP, Plant=MCGA (sin convertir automaticamente a FJZ); 4 filas PN; APROBACION Y APLICABILIDAD NO VALIDADAS. CONFLICTOS: Status: Implementation / Pending</t>
        </is>
      </c>
    </row>
    <row r="462">
      <c r="A462" s="35" t="inlineStr">
        <is>
          <t>DEV-CTANJZ05504</t>
        </is>
      </c>
      <c r="B462" s="35" t="inlineStr">
        <is>
          <t>DEVIATION</t>
        </is>
      </c>
      <c r="C462" s="35" t="inlineStr">
        <is>
          <t>D611865</t>
        </is>
      </c>
      <c r="D462" s="35" t="n"/>
      <c r="E462" s="36" t="inlineStr">
        <is>
          <t>D611865 UABU-Foxconn Juarez (FJZ)  is allowed to purchase and use VISHAY Mfg. Part Si1902DL-T1-GE3  (Lead (Pb)-free and Halogen-free)  instead of Si1902DL-T1-E3 (Pb)-free with Tape and Reel) for CPN 20-0405-01.CPN: 20-0405-01MPN: Si1902DL-T1-GE3Component will be present on the boards in the attachment for each PF:NyquistQuakeMobiusDie HardEOTARCADE</t>
        </is>
      </c>
      <c r="F462" s="35" t="inlineStr">
        <is>
          <t>Pending</t>
        </is>
      </c>
      <c r="G462" s="35" t="inlineStr">
        <is>
          <t>Planned</t>
        </is>
      </c>
      <c r="H462" s="35" t="inlineStr">
        <is>
          <t>Pending Review</t>
        </is>
      </c>
      <c r="I462" s="35" t="inlineStr">
        <is>
          <t>CRBU</t>
        </is>
      </c>
      <c r="J462" s="35" t="inlineStr">
        <is>
          <t>CTANJZ05504</t>
        </is>
      </c>
      <c r="K462" s="37" t="n"/>
      <c r="L462" s="37" t="n"/>
      <c r="M462" s="37" t="n">
        <v>46377</v>
      </c>
      <c r="N462" s="35" t="n"/>
      <c r="O462" s="35" t="n"/>
      <c r="P462" s="35" t="n"/>
      <c r="Q462" s="35" t="n"/>
      <c r="R462" s="35" t="n"/>
      <c r="S462" s="35" t="n"/>
      <c r="T462" s="35" t="inlineStr">
        <is>
          <t>Y</t>
        </is>
      </c>
      <c r="U462" s="36" t="inlineStr">
        <is>
          <t xml:space="preserve">FUENTE: Deviation.csv, filas CSV 583-584; Workflow=CCB; Date Released=sin dato; Date Originated=2026-09-23; Site=FJZP, Plant=MCGA (sin convertir automaticamente a FJZ); 2 filas PN; APROBACION Y APLICABILIDAD NO VALIDADAS. </t>
        </is>
      </c>
    </row>
    <row r="463">
      <c r="A463" s="43" t="inlineStr">
        <is>
          <t>DEV-CTANJZ05505</t>
        </is>
      </c>
      <c r="B463" s="43" t="inlineStr">
        <is>
          <t>DEVIATION</t>
        </is>
      </c>
      <c r="C463" s="43" t="inlineStr">
        <is>
          <t>D613277</t>
        </is>
      </c>
      <c r="D463" s="43" t="n"/>
      <c r="E463" s="33" t="inlineStr">
        <is>
          <t>D613277 Woodside Park. - Due short of material during this quarter end with this memory PN 15-110449-01; we allow to FJZ to use this PN 15-110364-01 as substitute if required using the MPN (HMCGM4MGBRB and M321RYGA0PB2-CWM)</t>
        </is>
      </c>
      <c r="F463" s="43" t="inlineStr">
        <is>
          <t>Pending</t>
        </is>
      </c>
      <c r="G463" s="43" t="n"/>
      <c r="H463" s="43" t="inlineStr">
        <is>
          <t>Pending Review</t>
        </is>
      </c>
      <c r="I463" s="43" t="inlineStr">
        <is>
          <t>STBU</t>
        </is>
      </c>
      <c r="J463" s="43" t="inlineStr">
        <is>
          <t>CTANJZ05505</t>
        </is>
      </c>
      <c r="K463" s="32" t="n"/>
      <c r="L463" s="32" t="n"/>
      <c r="M463" s="32" t="n">
        <v>46377</v>
      </c>
      <c r="N463" s="43" t="n"/>
      <c r="O463" s="43" t="n"/>
      <c r="P463" s="43" t="n"/>
      <c r="Q463" s="43" t="n"/>
      <c r="R463" s="43" t="n"/>
      <c r="S463" s="43" t="n"/>
      <c r="T463" s="43" t="inlineStr">
        <is>
          <t>Y</t>
        </is>
      </c>
      <c r="U463" s="33" t="inlineStr">
        <is>
          <t xml:space="preserve">FUENTE: Deviation.csv, filas CSV 1396-1398; Workflow=Implementation; Date Released=2026-10-13; Date Originated=2026-09-23; Site=FJZP, Plant=MCGA (sin convertir automaticamente a FJZ); 3 filas PN; APROBACION Y APLICABILIDAD NO VALIDADAS. </t>
        </is>
      </c>
    </row>
    <row r="464">
      <c r="A464" s="35" t="inlineStr">
        <is>
          <t>DEV-CTANJZ05506</t>
        </is>
      </c>
      <c r="B464" s="35" t="inlineStr">
        <is>
          <t>DEVIATION</t>
        </is>
      </c>
      <c r="C464" s="35" t="inlineStr">
        <is>
          <t>D613418</t>
        </is>
      </c>
      <c r="D464" s="35" t="n"/>
      <c r="E464" s="36" t="inlineStr">
        <is>
          <t>D613418 Need to qualify BBPYCS160808601Y00 on 73-102363-05</t>
        </is>
      </c>
      <c r="F464" s="35" t="inlineStr">
        <is>
          <t>Pending</t>
        </is>
      </c>
      <c r="G464" s="35" t="n"/>
      <c r="H464" s="35" t="inlineStr">
        <is>
          <t>Pending Review</t>
        </is>
      </c>
      <c r="I464" s="35" t="inlineStr">
        <is>
          <t>CRBU</t>
        </is>
      </c>
      <c r="J464" s="35" t="inlineStr">
        <is>
          <t>CTANJZ05506</t>
        </is>
      </c>
      <c r="K464" s="37" t="n"/>
      <c r="L464" s="37" t="n"/>
      <c r="M464" s="37" t="n">
        <v>46378</v>
      </c>
      <c r="N464" s="35" t="n"/>
      <c r="O464" s="35" t="n"/>
      <c r="P464" s="35" t="n"/>
      <c r="Q464" s="35" t="n"/>
      <c r="R464" s="35" t="n"/>
      <c r="S464" s="35" t="n"/>
      <c r="T464" s="35" t="inlineStr">
        <is>
          <t>Y</t>
        </is>
      </c>
      <c r="U464" s="36" t="inlineStr">
        <is>
          <t xml:space="preserve">FUENTE: Deviation.csv, filas CSV 137-324; Workflow=Implementation; Date Released=2026-10-03; Date Originated=2026-09-24; Site=FJZP, Plant=MCGA (sin convertir automaticamente a FJZ); 4 filas PN; APROBACION Y APLICABILIDAD NO VALIDADAS. </t>
        </is>
      </c>
    </row>
    <row r="465">
      <c r="A465" s="43" t="inlineStr">
        <is>
          <t>DEV-CTANJZ05507</t>
        </is>
      </c>
      <c r="B465" s="43" t="inlineStr">
        <is>
          <t>DEVIATION</t>
        </is>
      </c>
      <c r="C465" s="43" t="inlineStr">
        <is>
          <t>D613427</t>
        </is>
      </c>
      <c r="D465" s="43" t="n"/>
      <c r="E465" s="33" t="inlineStr">
        <is>
          <t>D613427Need to qualify MBP21K400-15R045C on 73-102363-05</t>
        </is>
      </c>
      <c r="F465" s="43" t="inlineStr">
        <is>
          <t>Pending</t>
        </is>
      </c>
      <c r="G465" s="43" t="n"/>
      <c r="H465" s="43" t="inlineStr">
        <is>
          <t>Pending Review</t>
        </is>
      </c>
      <c r="I465" s="43" t="inlineStr">
        <is>
          <t>CRBU</t>
        </is>
      </c>
      <c r="J465" s="43" t="inlineStr">
        <is>
          <t>CTANJZ05507</t>
        </is>
      </c>
      <c r="K465" s="32" t="n"/>
      <c r="L465" s="32" t="n"/>
      <c r="M465" s="32" t="n">
        <v>46378</v>
      </c>
      <c r="N465" s="43" t="n"/>
      <c r="O465" s="43" t="n"/>
      <c r="P465" s="43" t="n"/>
      <c r="Q465" s="43" t="n"/>
      <c r="R465" s="43" t="n"/>
      <c r="S465" s="43" t="n"/>
      <c r="T465" s="43" t="inlineStr">
        <is>
          <t>Y</t>
        </is>
      </c>
      <c r="U465" s="33" t="inlineStr">
        <is>
          <t xml:space="preserve">FUENTE: Deviation.csv, filas CSV 139-326; Workflow=Implementation; Date Released=2026-10-03; Date Originated=2026-09-24; Site=FJZP, Plant=MCGA (sin convertir automaticamente a FJZ); 4 filas PN; APROBACION Y APLICABILIDAD NO VALIDADAS. </t>
        </is>
      </c>
    </row>
    <row r="466">
      <c r="A466" s="35" t="inlineStr">
        <is>
          <t>DEV-CTANJZ05509</t>
        </is>
      </c>
      <c r="B466" s="35" t="inlineStr">
        <is>
          <t>DEVIATION</t>
        </is>
      </c>
      <c r="C466" s="35" t="inlineStr">
        <is>
          <t>D614276</t>
        </is>
      </c>
      <c r="D466" s="35" t="n"/>
      <c r="E466" s="36" t="inlineStr">
        <is>
          <t>D614276 NGFWBU: Allow FJZ to use 15-102981-01 with MPN#74AVCH4T245FT on NGFWBU products.CPN: 15-102981-01MPN: 74AVCH4T245FTVendor: TOSHIBAQty: 64K pcs</t>
        </is>
      </c>
      <c r="F466" s="35" t="inlineStr">
        <is>
          <t>Pending</t>
        </is>
      </c>
      <c r="G466" s="35" t="inlineStr">
        <is>
          <t>Planned</t>
        </is>
      </c>
      <c r="H466" s="35" t="inlineStr">
        <is>
          <t>Pending Review</t>
        </is>
      </c>
      <c r="I466" s="35" t="inlineStr">
        <is>
          <t>STBU</t>
        </is>
      </c>
      <c r="J466" s="35" t="inlineStr">
        <is>
          <t>CTANJZ05509</t>
        </is>
      </c>
      <c r="K466" s="37" t="n"/>
      <c r="L466" s="37" t="n"/>
      <c r="M466" s="37" t="n">
        <v>46385</v>
      </c>
      <c r="N466" s="35" t="n"/>
      <c r="O466" s="35" t="n"/>
      <c r="P466" s="35" t="n"/>
      <c r="Q466" s="35" t="n"/>
      <c r="R466" s="35" t="n"/>
      <c r="S466" s="35" t="n"/>
      <c r="T466" s="35" t="inlineStr">
        <is>
          <t>Y</t>
        </is>
      </c>
      <c r="U466" s="36" t="inlineStr">
        <is>
          <t xml:space="preserve">FUENTE: Deviation.csv, filas CSV 1390-1395; Workflow=CCB; Date Released=sin dato; Date Originated=2026-10-02; Site=FJZP, Plant=MCGA (sin convertir automaticamente a FJZ); 6 filas PN; APROBACION Y APLICABILIDAD NO VALIDADAS. </t>
        </is>
      </c>
    </row>
    <row r="467">
      <c r="A467" s="43" t="inlineStr">
        <is>
          <t>DEV-CTANJZ05510</t>
        </is>
      </c>
      <c r="B467" s="43" t="inlineStr">
        <is>
          <t>DEVIATION</t>
        </is>
      </c>
      <c r="C467" s="43" t="inlineStr">
        <is>
          <t>D614346</t>
        </is>
      </c>
      <c r="D467" s="43" t="n"/>
      <c r="E467"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F467" s="43" t="inlineStr">
        <is>
          <t>Pending</t>
        </is>
      </c>
      <c r="G467" s="43" t="inlineStr">
        <is>
          <t>Planned</t>
        </is>
      </c>
      <c r="H467" s="43" t="inlineStr">
        <is>
          <t>Pending Review</t>
        </is>
      </c>
      <c r="I467" s="43" t="inlineStr">
        <is>
          <t>STBU</t>
        </is>
      </c>
      <c r="J467" s="43" t="inlineStr">
        <is>
          <t>CTANJZ05510</t>
        </is>
      </c>
      <c r="K467" s="32" t="n"/>
      <c r="L467" s="32" t="n"/>
      <c r="M467" s="32" t="n">
        <v>46385</v>
      </c>
      <c r="N467" s="43" t="n"/>
      <c r="O467" s="43" t="n"/>
      <c r="P467" s="43" t="n"/>
      <c r="Q467" s="43" t="n"/>
      <c r="R467" s="43" t="n"/>
      <c r="S467" s="43" t="n"/>
      <c r="T467" s="43" t="inlineStr">
        <is>
          <t>Y</t>
        </is>
      </c>
      <c r="U467" s="33" t="inlineStr">
        <is>
          <t xml:space="preserve">FUENTE: Deviation.csv, filas CSV 1673-1706; Workflow=CCB; Date Released=sin dato; Date Originated=2026-10-02; Site=FJZP, Plant=MCGA (sin convertir automaticamente a FJZ); 23 filas PN; APROBACION Y APLICABILIDAD NO VALIDADAS. </t>
        </is>
      </c>
    </row>
    <row r="468">
      <c r="A468" s="35" t="inlineStr">
        <is>
          <t>DEV-CTANJZ05512</t>
        </is>
      </c>
      <c r="B468" s="35" t="inlineStr">
        <is>
          <t>DEVIATION</t>
        </is>
      </c>
      <c r="C468" s="35" t="inlineStr">
        <is>
          <t>D613970</t>
        </is>
      </c>
      <c r="D468" s="35" t="n"/>
      <c r="E468" s="36" t="inlineStr">
        <is>
          <t>D613970 Please see PageThree for details</t>
        </is>
      </c>
      <c r="F468" s="35" t="inlineStr">
        <is>
          <t>Pending</t>
        </is>
      </c>
      <c r="G468" s="35" t="inlineStr">
        <is>
          <t>Planned</t>
        </is>
      </c>
      <c r="H468" s="35" t="inlineStr">
        <is>
          <t>Pending Review</t>
        </is>
      </c>
      <c r="I468" s="35" t="inlineStr">
        <is>
          <t>STBU</t>
        </is>
      </c>
      <c r="J468" s="35" t="inlineStr">
        <is>
          <t>CTANJZ05512</t>
        </is>
      </c>
      <c r="K468" s="37" t="n"/>
      <c r="L468" s="37" t="n"/>
      <c r="M468" s="37" t="n">
        <v>46387</v>
      </c>
      <c r="N468" s="35" t="n"/>
      <c r="O468" s="35" t="n"/>
      <c r="P468" s="35" t="n"/>
      <c r="Q468" s="35" t="n"/>
      <c r="R468" s="35" t="n"/>
      <c r="S468" s="35" t="n"/>
      <c r="T468" s="35" t="inlineStr">
        <is>
          <t>Y</t>
        </is>
      </c>
      <c r="U468" s="36" t="inlineStr">
        <is>
          <t xml:space="preserve">FUENTE: Deviation.csv, filas CSV 1359-1360; Workflow=CCB; Date Released=sin dato; Date Originated=2026-10-06; Site=FJZP, Plant=MCGA (sin convertir automaticamente a FJZ); 2 filas PN; APROBACION Y APLICABILIDAD NO VALIDADAS. </t>
        </is>
      </c>
    </row>
    <row r="469">
      <c r="A469" s="43" t="inlineStr">
        <is>
          <t>DEV-CTANJZ05513</t>
        </is>
      </c>
      <c r="B469" s="43" t="inlineStr">
        <is>
          <t>DEVIATION</t>
        </is>
      </c>
      <c r="C469" s="43" t="inlineStr">
        <is>
          <t>D614398</t>
        </is>
      </c>
      <c r="D469" s="43" t="n"/>
      <c r="E469" s="33" t="inlineStr">
        <is>
          <t>D614398 CVEBU: Tyne; Use  ONLY the MPN = SLB 9673AU2.0 FW27.24 of the CPN 15-108939-01 on new builds. Since ECO EA627423 will change the CPN  to version -03 ; FJZ is allowed to rename the  MPN = SLB 9673AU2.0 FW27.24  to 15-108939-03 to cover the demand for Tyne.NOTE: ST part MPN= ST33HF2X32AHE3C1 can be used in other PFs; but NOT in Tyne</t>
        </is>
      </c>
      <c r="F469" s="43" t="inlineStr">
        <is>
          <t>Pending</t>
        </is>
      </c>
      <c r="G469" s="43" t="n"/>
      <c r="H469" s="43" t="inlineStr">
        <is>
          <t>Pending Review</t>
        </is>
      </c>
      <c r="I469" s="43" t="inlineStr">
        <is>
          <t>CVEBU</t>
        </is>
      </c>
      <c r="J469" s="43" t="inlineStr">
        <is>
          <t>CTANJZ05513</t>
        </is>
      </c>
      <c r="K469" s="32" t="n"/>
      <c r="L469" s="32" t="n"/>
      <c r="M469" s="32" t="n">
        <v>46390</v>
      </c>
      <c r="N469" s="43" t="n"/>
      <c r="O469" s="43" t="n"/>
      <c r="P469" s="43" t="n"/>
      <c r="Q469" s="43" t="n"/>
      <c r="R469" s="43" t="n"/>
      <c r="S469" s="43" t="n"/>
      <c r="T469" s="43" t="inlineStr">
        <is>
          <t>Y</t>
        </is>
      </c>
      <c r="U469" s="33" t="inlineStr">
        <is>
          <t xml:space="preserve">FUENTE: Deviation.csv, filas CSV 1356-1358; Workflow=Implementation; Date Released=2026-10-15; Date Originated=2026-10-06; Site=FJZP, Plant=MCGA (sin convertir automaticamente a FJZ); 3 filas PN; APROBACION Y APLICABILIDAD NO VALIDADAS. </t>
        </is>
      </c>
    </row>
    <row r="470">
      <c r="A470" s="35" t="inlineStr">
        <is>
          <t>DEV-CTANJZ05514</t>
        </is>
      </c>
      <c r="B470" s="35" t="inlineStr">
        <is>
          <t>DEVIATION</t>
        </is>
      </c>
      <c r="C470" s="35" t="inlineStr">
        <is>
          <t>D613278</t>
        </is>
      </c>
      <c r="D470" s="35" t="n"/>
      <c r="E470" s="36" t="inlineStr">
        <is>
          <t>D613278 Please see PageThree for details</t>
        </is>
      </c>
      <c r="F470" s="35" t="inlineStr">
        <is>
          <t>Pending</t>
        </is>
      </c>
      <c r="G470" s="35" t="inlineStr">
        <is>
          <t>Planned</t>
        </is>
      </c>
      <c r="H470" s="35" t="inlineStr">
        <is>
          <t>Pending Review</t>
        </is>
      </c>
      <c r="I470" s="35" t="inlineStr">
        <is>
          <t>STBU</t>
        </is>
      </c>
      <c r="J470" s="35" t="inlineStr">
        <is>
          <t>CTANJZ05514</t>
        </is>
      </c>
      <c r="K470" s="37" t="n"/>
      <c r="L470" s="37" t="n"/>
      <c r="M470" s="37" t="n">
        <v>46390</v>
      </c>
      <c r="N470" s="35" t="n"/>
      <c r="O470" s="35" t="n"/>
      <c r="P470" s="35" t="n"/>
      <c r="Q470" s="35" t="n"/>
      <c r="R470" s="35" t="n"/>
      <c r="S470" s="35" t="n"/>
      <c r="T470" s="35" t="inlineStr">
        <is>
          <t>Y</t>
        </is>
      </c>
      <c r="U470" s="36" t="inlineStr">
        <is>
          <t xml:space="preserve">FUENTE: Deviation.csv, filas CSV 1880-1882; Workflow=CCB; Date Released=sin dato; Date Originated=2026-10-06; Site=FJZP, Plant=MCGA (sin convertir automaticamente a FJZ); 3 filas PN; APROBACION Y APLICABILIDAD NO VALIDADAS. </t>
        </is>
      </c>
    </row>
    <row r="471">
      <c r="A471" s="43" t="inlineStr">
        <is>
          <t>DEV-CTANJZ05515</t>
        </is>
      </c>
      <c r="B471" s="43" t="inlineStr">
        <is>
          <t>DEVIATION</t>
        </is>
      </c>
      <c r="C471" s="43" t="inlineStr">
        <is>
          <t>D614056</t>
        </is>
      </c>
      <c r="D471" s="43" t="n"/>
      <c r="E471"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F471" s="43" t="inlineStr">
        <is>
          <t>Pending</t>
        </is>
      </c>
      <c r="G471" s="43" t="inlineStr">
        <is>
          <t>Planned</t>
        </is>
      </c>
      <c r="H471" s="43" t="inlineStr">
        <is>
          <t>Pending Review</t>
        </is>
      </c>
      <c r="I471" s="43" t="inlineStr">
        <is>
          <t>STBU</t>
        </is>
      </c>
      <c r="J471" s="43" t="inlineStr">
        <is>
          <t>CTANJZ05515</t>
        </is>
      </c>
      <c r="K471" s="32" t="n"/>
      <c r="L471" s="32" t="n"/>
      <c r="M471" s="32" t="n">
        <v>46391</v>
      </c>
      <c r="N471" s="43" t="n"/>
      <c r="O471" s="43" t="n"/>
      <c r="P471" s="43" t="n"/>
      <c r="Q471" s="43" t="n"/>
      <c r="R471" s="43" t="n"/>
      <c r="S471" s="43" t="n"/>
      <c r="T471" s="43" t="inlineStr">
        <is>
          <t>Y</t>
        </is>
      </c>
      <c r="U471" s="33" t="inlineStr">
        <is>
          <t xml:space="preserve">FUENTE: Deviation.csv, filas CSV 1335-1355; Workflow=CCB; Date Released=sin dato; Date Originated=2026-10-07; Site=FJZP, Plant=MCGA (sin convertir automaticamente a FJZ); 15 filas PN; APROBACION Y APLICABILIDAD NO VALIDADAS. </t>
        </is>
      </c>
    </row>
    <row r="472">
      <c r="A472" s="35" t="inlineStr">
        <is>
          <t>DEV-CTANJZ05517</t>
        </is>
      </c>
      <c r="B472" s="35" t="inlineStr">
        <is>
          <t>DEVIATION</t>
        </is>
      </c>
      <c r="C472" s="35" t="inlineStr">
        <is>
          <t>D613872</t>
        </is>
      </c>
      <c r="D472" s="35" t="n"/>
      <c r="E472" s="36" t="inlineStr">
        <is>
          <t>D613872 TPK: Allow FJZ to use CPN 15-108582-01 instead of the original one 15-104475-01 (MPN: NT5AD512M16C4-JR)</t>
        </is>
      </c>
      <c r="F472" s="35" t="inlineStr">
        <is>
          <t>Pending</t>
        </is>
      </c>
      <c r="G472" s="35" t="inlineStr">
        <is>
          <t>Planned</t>
        </is>
      </c>
      <c r="H472" s="35" t="inlineStr">
        <is>
          <t>Pending Review</t>
        </is>
      </c>
      <c r="I472" s="35" t="inlineStr">
        <is>
          <t>STBU</t>
        </is>
      </c>
      <c r="J472" s="35" t="inlineStr">
        <is>
          <t>CTANJZ05517</t>
        </is>
      </c>
      <c r="K472" s="37" t="n"/>
      <c r="L472" s="37" t="n"/>
      <c r="M472" s="37" t="n">
        <v>46391</v>
      </c>
      <c r="N472" s="35" t="n"/>
      <c r="O472" s="35" t="n"/>
      <c r="P472" s="35" t="n"/>
      <c r="Q472" s="35" t="n"/>
      <c r="R472" s="35" t="n"/>
      <c r="S472" s="35" t="n"/>
      <c r="T472" s="35" t="inlineStr">
        <is>
          <t>Y</t>
        </is>
      </c>
      <c r="U472" s="36" t="inlineStr">
        <is>
          <t xml:space="preserve">FUENTE: Deviation.csv, filas CSV 1309-1312; Workflow=CCB; Date Released=sin dato; Date Originated=2026-10-07; Site=FJZP, Plant=MCGA (sin convertir automaticamente a FJZ); 4 filas PN; APROBACION Y APLICABILIDAD NO VALIDADAS. </t>
        </is>
      </c>
    </row>
    <row r="473">
      <c r="A473" s="43" t="inlineStr">
        <is>
          <t>DEV-CTANJZ05518</t>
        </is>
      </c>
      <c r="B473" s="43" t="inlineStr">
        <is>
          <t>DEVIATION</t>
        </is>
      </c>
      <c r="C473" s="43" t="inlineStr">
        <is>
          <t>D613870</t>
        </is>
      </c>
      <c r="D473" s="43" t="n"/>
      <c r="E473" s="33" t="inlineStr">
        <is>
          <t>D613870 Extension (D611345): During 2023; EDI for 68-104008-02 was overstated which made FJZ to build a lot of units but booking did not come. After noticing EDI was adjusted way down; these units remained as excess. Now that some customers have asked for these modules on their systems; we need to use this old stock; otherwise orders can be cancelledAs there are already escalations for the orders; we need to fulfill them as needed</t>
        </is>
      </c>
      <c r="F473" s="43" t="inlineStr">
        <is>
          <t>Pending</t>
        </is>
      </c>
      <c r="G473" s="43" t="inlineStr">
        <is>
          <t>Planned</t>
        </is>
      </c>
      <c r="H473" s="43" t="inlineStr">
        <is>
          <t>Pending Review</t>
        </is>
      </c>
      <c r="I473" s="43" t="inlineStr">
        <is>
          <t>STBU</t>
        </is>
      </c>
      <c r="J473" s="43" t="inlineStr">
        <is>
          <t>CTANJZ05518</t>
        </is>
      </c>
      <c r="K473" s="32" t="n"/>
      <c r="L473" s="32" t="n"/>
      <c r="M473" s="32" t="n">
        <v>46391</v>
      </c>
      <c r="N473" s="43" t="n"/>
      <c r="O473" s="43" t="n"/>
      <c r="P473" s="43" t="n"/>
      <c r="Q473" s="43" t="n"/>
      <c r="R473" s="43" t="n"/>
      <c r="S473" s="43" t="n"/>
      <c r="T473" s="43" t="inlineStr">
        <is>
          <t>Y</t>
        </is>
      </c>
      <c r="U473" s="33" t="inlineStr">
        <is>
          <t xml:space="preserve">FUENTE: Deviation.csv, filas CSV 1313-1313; Workflow=CCB; Date Released=sin dato; Date Originated=2026-10-07; Site=FJZP, Plant=MCGA (sin convertir automaticamente a FJZ); 1 filas PN; APROBACION Y APLICABILIDAD NO VALIDADAS. </t>
        </is>
      </c>
    </row>
    <row r="474">
      <c r="A474" s="35" t="inlineStr">
        <is>
          <t>DEV-CTANJZ05519</t>
        </is>
      </c>
      <c r="B474" s="35" t="inlineStr">
        <is>
          <t>DEVIATION</t>
        </is>
      </c>
      <c r="C474" s="35" t="inlineStr">
        <is>
          <t>D614380</t>
        </is>
      </c>
      <c r="D474" s="35" t="n"/>
      <c r="E474" s="36" t="inlineStr">
        <is>
          <t>D614380 CVEBU;Pictoris73-103103-05 B0 PCA; PICTORIS MAIN BOARD  73-103603-05 B0 PCA; PICTORIS MAIN BOARD NR  For refdes U417Remove from BOM15-108939-01 TPM 2.0 I2C with STO's Advanced feature set supported. I-temp only supported  3.3 VQualified: Infinion SLB 9673AU2.0 FW27.24Qualified: ST Micro ST33HF2X32AHE3C1Add to BOM15-108939-03 IC-MP;TPM 2.0 I2C;33 MHz;VQFP;32 P;5x5 mm PKGSIZE;0.5mmP;3.3 V NOM;0.63 W;I2C;NO-JTAG;-40 to 105 'CQualified: Infinion SLB 9673AU2.0 FW27.24Pictoris MB ver -05 is still being manufactured at Foxconn.No FFF change; but need to avoid the ST Micro alternate to improve production yield.</t>
        </is>
      </c>
      <c r="F474" s="35" t="inlineStr">
        <is>
          <t>Pending</t>
        </is>
      </c>
      <c r="G474" s="35" t="inlineStr">
        <is>
          <t>Planned</t>
        </is>
      </c>
      <c r="H474" s="35" t="inlineStr">
        <is>
          <t>Pending Review</t>
        </is>
      </c>
      <c r="I474" s="35" t="inlineStr">
        <is>
          <t>CVEBU</t>
        </is>
      </c>
      <c r="J474" s="35" t="inlineStr">
        <is>
          <t>CTANJZ05519</t>
        </is>
      </c>
      <c r="K474" s="37" t="n"/>
      <c r="L474" s="37" t="n"/>
      <c r="M474" s="37" t="n">
        <v>46388</v>
      </c>
      <c r="N474" s="35" t="n"/>
      <c r="O474" s="35" t="n"/>
      <c r="P474" s="35" t="n"/>
      <c r="Q474" s="35" t="n"/>
      <c r="R474" s="35" t="n"/>
      <c r="S474" s="35" t="n"/>
      <c r="T474" s="35" t="inlineStr">
        <is>
          <t>Y</t>
        </is>
      </c>
      <c r="U474" s="36" t="inlineStr">
        <is>
          <t xml:space="preserve">FUENTE: Deviation.csv, filas CSV 632-634; Workflow=CCB; Date Released=sin dato; Date Originated=2026-10-08; Site=FJZP, Plant=MCGA (sin convertir automaticamente a FJZ); 3 filas PN; APROBACION Y APLICABILIDAD NO VALIDADAS. </t>
        </is>
      </c>
      <c r="V474" s="49" t="inlineStr">
        <is>
          <t>PICTORIS: propuesta de reemplazar el TPM U417, CPN 15-108939-01, por 15-108939-03 en las PCBAs 73-103103-05 y 73-103603-05, revisión B0. El documento busca evitar el alterno ST Micro para mejorar el rendimiento de producción.</t>
        </is>
      </c>
      <c r="W474" s="49" t="inlineStr">
        <is>
          <t>PICTORIS, tarjetas principales 73-103103-05 B0 y 73-103603-05 B0. En la referencia U417, retirar de la BOM el CPN 15-108939-01 (TPM 2.0 I²C de 3.3 V, con alternativas calificadas Infineon SLB 9673AU2.0 FW27.24 y ST Micro ST33HF2X32AHE3C1). Agregar a la BOM el CPN 15-108939-03 (TPM 2.0 I²C, 33 MHz, VQFP de 32 terminales, encapsulado 5 × 5 mm, paso 0.5 mm, 3.3 V nominal, 0.63 W, sin JTAG, temperatura −40 a 105 °C; Infineon SLB 9673AU2.0 FW27.24). La PCBA Pictoris revisión -05 sigue fabricándose en Foxconn. No hay cambio de forma, ajuste o función (FFF), pero se requiere evitar la alternativa ST Micro para mejorar el rendimiento. La propuesta sigue sujeta al estado documental del customer.</t>
        </is>
      </c>
      <c r="X474" s="50" t="inlineStr">
        <is>
          <t>Traduccion para consulta</t>
        </is>
      </c>
    </row>
    <row r="475">
      <c r="A475" s="43" t="inlineStr">
        <is>
          <t>DEV-CTANJZ05520</t>
        </is>
      </c>
      <c r="B475" s="43" t="inlineStr">
        <is>
          <t>DEVIATION</t>
        </is>
      </c>
      <c r="C475" s="43" t="inlineStr">
        <is>
          <t>D614397</t>
        </is>
      </c>
      <c r="D475" s="43" t="n"/>
      <c r="E475" s="33" t="inlineStr">
        <is>
          <t>D614397 CVEBU; Millennium; Davinci; Brooklyn:  Allow FJZ to use 16-101838-01 with DC2203 &amp; DC2218. older than 2 YearRun N= 10 pcs of the DC2203 and N=10 pcs of the DC2218. perform the solderability tests and provide Cisco ME the resultsSolderability test needs to be provided before to use the material in sustaining builds.</t>
        </is>
      </c>
      <c r="F475" s="43" t="inlineStr">
        <is>
          <t>Pending</t>
        </is>
      </c>
      <c r="G475" s="43" t="inlineStr">
        <is>
          <t>Planned</t>
        </is>
      </c>
      <c r="H475" s="43" t="inlineStr">
        <is>
          <t>Pending Review</t>
        </is>
      </c>
      <c r="I475" s="43" t="inlineStr">
        <is>
          <t>CVEBU</t>
        </is>
      </c>
      <c r="J475" s="43" t="inlineStr">
        <is>
          <t>CTANJZ05520</t>
        </is>
      </c>
      <c r="K475" s="32" t="n"/>
      <c r="L475" s="32" t="n"/>
      <c r="M475" s="32" t="n">
        <v>46392</v>
      </c>
      <c r="N475" s="43" t="n"/>
      <c r="O475" s="43" t="n"/>
      <c r="P475" s="43" t="n"/>
      <c r="Q475" s="43" t="n"/>
      <c r="R475" s="43" t="n"/>
      <c r="S475" s="43" t="n"/>
      <c r="T475" s="43" t="inlineStr">
        <is>
          <t>Y</t>
        </is>
      </c>
      <c r="U475" s="33" t="inlineStr">
        <is>
          <t xml:space="preserve">FUENTE: Deviation.csv, filas CSV 1378-1380; Workflow=CCB; Date Released=sin dato; Date Originated=2026-10-08; Site=FJZP, Plant=MCGA (sin convertir automaticamente a FJZ); 3 filas PN; APROBACION Y APLICABILIDAD NO VALIDADAS. </t>
        </is>
      </c>
    </row>
    <row r="476">
      <c r="A476" s="35" t="inlineStr">
        <is>
          <t>DEV-CTANJZ05522</t>
        </is>
      </c>
      <c r="B476" s="35" t="inlineStr">
        <is>
          <t>DEVIATION</t>
        </is>
      </c>
      <c r="C476" s="35" t="inlineStr">
        <is>
          <t>D614467</t>
        </is>
      </c>
      <c r="D476" s="35" t="n"/>
      <c r="E476" s="36" t="inlineStr">
        <is>
          <t>D614467CVEBU; Tyne; DDR4; Qualification of Winbond MPN W668GG6TB-06 under 15-106924-01Affected items- 800-113103-01; ASY-ELMECH;MODULE; Tyne Codec MB with Taylor; Radio- 73-103698-06; PCBA; Tyne Codec; Main Board; Radio- 15-106924-01; IC-DRAM-D;DDR4;8 Gb(512 Mx16bits);1600 MHz(3200MT/s)...Testbuild instruction- FJZ to build 2x 800-113103-01 where:   - 15-106924-01 on 73-103698-06 shall be populated by MPN W668GG6TB-06 from Winbond   - Boards shall undergo ICT; PCBDG and PCBPM test stations prior shipping   - Boards shall be DEV fused (if applicable)   - FJZ is allowed to use alternative packaging; but must ensure that sufficient protection is used. Antistatic bag with bubble wrap around.   - PCBAs to be shipped to Christian Kjoelseth in NorwayAdditional comments- 20 samples has been shipped from Winbond to FJZ- Only 2 samples is needed for this testbuild; the remaining samples shall be used on future Nixie testbuild.</t>
        </is>
      </c>
      <c r="F476" s="35" t="inlineStr">
        <is>
          <t>Pending</t>
        </is>
      </c>
      <c r="G476" s="35" t="inlineStr">
        <is>
          <t>Planned</t>
        </is>
      </c>
      <c r="H476" s="35" t="inlineStr">
        <is>
          <t>Pending Review</t>
        </is>
      </c>
      <c r="I476" s="35" t="inlineStr">
        <is>
          <t>CVEBU</t>
        </is>
      </c>
      <c r="J476" s="35" t="inlineStr">
        <is>
          <t>CTANJZ05522</t>
        </is>
      </c>
      <c r="K476" s="37" t="n"/>
      <c r="L476" s="37" t="n"/>
      <c r="M476" s="37" t="n">
        <v>46392</v>
      </c>
      <c r="N476" s="35" t="n"/>
      <c r="O476" s="35" t="n"/>
      <c r="P476" s="35" t="n"/>
      <c r="Q476" s="35" t="n"/>
      <c r="R476" s="35" t="n"/>
      <c r="S476" s="35" t="n"/>
      <c r="T476" s="35" t="inlineStr">
        <is>
          <t>Y</t>
        </is>
      </c>
      <c r="U476" s="36" t="inlineStr">
        <is>
          <t xml:space="preserve">FUENTE: Deviation.csv, filas CSV 313-315; Workflow=CCB; Date Released=sin dato; Date Originated=2026-10-08; Site=FJZP, Plant=MCGA (sin convertir automaticamente a FJZ); 3 filas PN; APROBACION Y APLICABILIDAD NO VALIDADAS. </t>
        </is>
      </c>
    </row>
    <row r="477">
      <c r="A477" s="43" t="inlineStr">
        <is>
          <t>DEV-CTANJZ05524</t>
        </is>
      </c>
      <c r="B477" s="43" t="inlineStr">
        <is>
          <t>DEVIATION</t>
        </is>
      </c>
      <c r="C477" s="43" t="inlineStr">
        <is>
          <t>DP526706</t>
        </is>
      </c>
      <c r="D477" s="43" t="n"/>
      <c r="E477" s="33" t="inlineStr">
        <is>
          <t>DP526706 NGFWBU: Greenford- Factory direction for ICT &amp; process updates to address Renesas PWM programmable device content issue</t>
        </is>
      </c>
      <c r="F477" s="43" t="inlineStr">
        <is>
          <t>Pending</t>
        </is>
      </c>
      <c r="G477" s="43" t="inlineStr">
        <is>
          <t>Planned</t>
        </is>
      </c>
      <c r="H477" s="43" t="inlineStr">
        <is>
          <t>Pending Review</t>
        </is>
      </c>
      <c r="I477" s="43" t="inlineStr">
        <is>
          <t>STBU</t>
        </is>
      </c>
      <c r="J477" s="43" t="inlineStr">
        <is>
          <t>CTANJZ05524</t>
        </is>
      </c>
      <c r="K477" s="32" t="n"/>
      <c r="L477" s="32" t="n"/>
      <c r="M477" s="32" t="n">
        <v>46364</v>
      </c>
      <c r="N477" s="43" t="n"/>
      <c r="O477" s="43" t="n"/>
      <c r="P477" s="43" t="n"/>
      <c r="Q477" s="43" t="n"/>
      <c r="R477" s="43" t="n"/>
      <c r="S477" s="43" t="n"/>
      <c r="T477" s="43" t="inlineStr">
        <is>
          <t>Y</t>
        </is>
      </c>
      <c r="U477" s="33" t="inlineStr">
        <is>
          <t xml:space="preserve">FUENTE: Deviation.csv, filas CSV 1715-1717; Workflow=CCB; Date Released=sin dato; Date Originated=2026-10-10; Site=FJZP, Plant=MCGA (sin convertir automaticamente a FJZ); 3 filas PN; APROBACION Y APLICABILIDAD NO VALIDADAS. </t>
        </is>
      </c>
    </row>
    <row r="478">
      <c r="A478" s="35" t="inlineStr">
        <is>
          <t>DEV-CTANJZ05525</t>
        </is>
      </c>
      <c r="B478" s="35" t="inlineStr">
        <is>
          <t>DEVIATION</t>
        </is>
      </c>
      <c r="C478" s="35" t="inlineStr">
        <is>
          <t>D614478</t>
        </is>
      </c>
      <c r="D478" s="35" t="n"/>
      <c r="E478" s="36" t="inlineStr">
        <is>
          <t>D614478 CVEBU; Nixie; DDR4; Qualification of Winbond MPN W668GG6TB-06 under 15-106924-01? Affected items- 68-103291-02 or 68-104808-02; ASY-ELMECH; Nixie Microphone TAN (carbon black); whatever is most convenient for FJZ- 73-102121-01 PCA; NIXIE MIC BOARD- 15-106924-01; IC-DRAM-D;DDR4;8 Gb(512 Mx16bits);1600 MHz(3200MT/s)...? Testbuild instruction- FJZ to Build &amp; Test up to 18 units of TAN 68-103291-02 or 68-104808-02 where:   - 15-106924-01 on 73-102121-01; position U7 shall be populated by MPN W668GG6TB-06 from Winbond   - Boards shall undergo normal manufacturing tests prior to shipping   - Two units shall be shipped to Jarle Aasland; Lysaker; Norway for further testing   -  After successful tests at BU location; rest of the units can be shipped towards customers as normal? Additional comments- 20 samples has been shipped from Winbond to FJZ; 18 pcs available after TYNE build allocation (D614467)</t>
        </is>
      </c>
      <c r="F478" s="35" t="inlineStr">
        <is>
          <t>Pending</t>
        </is>
      </c>
      <c r="G478" s="35" t="inlineStr">
        <is>
          <t>Planned</t>
        </is>
      </c>
      <c r="H478" s="35" t="inlineStr">
        <is>
          <t>Pending Review</t>
        </is>
      </c>
      <c r="I478" s="35" t="inlineStr">
        <is>
          <t>CVEBU</t>
        </is>
      </c>
      <c r="J478" s="35" t="inlineStr">
        <is>
          <t>CTANJZ05525</t>
        </is>
      </c>
      <c r="K478" s="37" t="n"/>
      <c r="L478" s="37" t="n"/>
      <c r="M478" s="37" t="n">
        <v>46394</v>
      </c>
      <c r="N478" s="35" t="n"/>
      <c r="O478" s="35" t="n"/>
      <c r="P478" s="35" t="n"/>
      <c r="Q478" s="35" t="n"/>
      <c r="R478" s="35" t="n"/>
      <c r="S478" s="35" t="n"/>
      <c r="T478" s="35" t="inlineStr">
        <is>
          <t>Y</t>
        </is>
      </c>
      <c r="U478" s="36" t="inlineStr">
        <is>
          <t xml:space="preserve">FUENTE: Deviation.csv, filas CSV 309-312; Workflow=CCB; Date Released=sin dato; Date Originated=2026-10-10; Site=FJZP, Plant=MCGA (sin convertir automaticamente a FJZ); 4 filas PN; APROBACION Y APLICABILIDAD NO VALIDADAS. </t>
        </is>
      </c>
    </row>
    <row r="479">
      <c r="A479" s="43" t="inlineStr">
        <is>
          <t>DEV-CTANJZ05526</t>
        </is>
      </c>
      <c r="B479" s="43" t="inlineStr">
        <is>
          <t>DEVIATION</t>
        </is>
      </c>
      <c r="C479" s="43" t="inlineStr">
        <is>
          <t>D614537</t>
        </is>
      </c>
      <c r="D479" s="43" t="n"/>
      <c r="E479" s="33" t="inlineStr">
        <is>
          <t>D614537NGFWBU: Warwick - Factory direction for ICT &amp; process updates to address Renesas PWM programmable device content issue</t>
        </is>
      </c>
      <c r="F479" s="43" t="inlineStr">
        <is>
          <t>Pending</t>
        </is>
      </c>
      <c r="G479" s="43" t="inlineStr">
        <is>
          <t>Planned</t>
        </is>
      </c>
      <c r="H479" s="43" t="inlineStr">
        <is>
          <t>Pending Review</t>
        </is>
      </c>
      <c r="I479" s="43" t="inlineStr">
        <is>
          <t>STBU</t>
        </is>
      </c>
      <c r="J479" s="43" t="inlineStr">
        <is>
          <t>CTANJZ05526</t>
        </is>
      </c>
      <c r="K479" s="32" t="n"/>
      <c r="L479" s="32" t="n"/>
      <c r="M479" s="32" t="n">
        <v>46397</v>
      </c>
      <c r="N479" s="43" t="n"/>
      <c r="O479" s="43" t="n"/>
      <c r="P479" s="43" t="n"/>
      <c r="Q479" s="43" t="n"/>
      <c r="R479" s="43" t="n"/>
      <c r="S479" s="43" t="n"/>
      <c r="T479" s="43" t="inlineStr">
        <is>
          <t>Y</t>
        </is>
      </c>
      <c r="U479" s="33" t="inlineStr">
        <is>
          <t xml:space="preserve">FUENTE: Deviation.csv, filas CSV 1707-1714; Workflow=CCB; Date Released=sin dato; Date Originated=2026-10-13; Site=FJZP, Plant=MCGA (sin convertir automaticamente a FJZ); 8 filas PN; APROBACION Y APLICABILIDAD NO VALIDADAS. </t>
        </is>
      </c>
    </row>
    <row r="480">
      <c r="A480" s="35" t="inlineStr">
        <is>
          <t>DEV-CTANJZ05527</t>
        </is>
      </c>
      <c r="B480" s="35" t="inlineStr">
        <is>
          <t>DEVIATION</t>
        </is>
      </c>
      <c r="C480" s="35" t="inlineStr">
        <is>
          <t>D614253</t>
        </is>
      </c>
      <c r="D480" s="35" t="n"/>
      <c r="E480" s="36" t="inlineStr">
        <is>
          <t>D614253 CNGBU/SRGBU: Authorize CM to use-up 74-135544-02 for Alduin 74-141119-02 and PoE Daughtercard C82G2-POE-DC-F option for Arata</t>
        </is>
      </c>
      <c r="F480" s="35" t="inlineStr">
        <is>
          <t>Pending</t>
        </is>
      </c>
      <c r="G480" s="35" t="inlineStr">
        <is>
          <t>Planned</t>
        </is>
      </c>
      <c r="H480" s="35" t="inlineStr">
        <is>
          <t>Pending Review</t>
        </is>
      </c>
      <c r="I480" s="35" t="inlineStr">
        <is>
          <t>SRGBU</t>
        </is>
      </c>
      <c r="J480" s="35" t="inlineStr">
        <is>
          <t>CTANJZ05527</t>
        </is>
      </c>
      <c r="K480" s="37" t="n"/>
      <c r="L480" s="37" t="n"/>
      <c r="M480" s="37" t="n">
        <v>46397</v>
      </c>
      <c r="N480" s="35" t="n"/>
      <c r="O480" s="35" t="n"/>
      <c r="P480" s="35" t="n"/>
      <c r="Q480" s="35" t="n"/>
      <c r="R480" s="35" t="n"/>
      <c r="S480" s="35" t="n"/>
      <c r="T480" s="35" t="inlineStr">
        <is>
          <t>Y</t>
        </is>
      </c>
      <c r="U480" s="36" t="inlineStr">
        <is>
          <t xml:space="preserve">FUENTE: Deviation.csv, filas CSV 638-639; Workflow=CCB; Date Released=sin dato; Date Originated=2026-10-13; Site=FJZP, Plant=MCGA (sin convertir automaticamente a FJZ); 2 filas PN; APROBACION Y APLICABILIDAD NO VALIDADAS. </t>
        </is>
      </c>
    </row>
    <row r="481">
      <c r="A481" s="43" t="inlineStr">
        <is>
          <t>DEV-CTANJZ05530</t>
        </is>
      </c>
      <c r="B481" s="43" t="inlineStr">
        <is>
          <t>DEVIATION</t>
        </is>
      </c>
      <c r="C481" s="43" t="inlineStr">
        <is>
          <t>D612697</t>
        </is>
      </c>
      <c r="D481" s="43" t="n"/>
      <c r="E481" s="33" t="inlineStr">
        <is>
          <t>D612697 FJZ proceed  a  control run of 30 BB8 production units utilize the new fixture.   This new fixture FOL confirm meet  32lb +/-5 lb pre load press force spec to assembly BB8 NPU heatsink.   a. FJZ is required to document the pre-load pre force on these 30 units and provide the cpk data.a.  Units successfully pass all manufacture test; are approved for shipment to DF site for final delivery to the customer.</t>
        </is>
      </c>
      <c r="F481" s="43" t="inlineStr">
        <is>
          <t>Pending</t>
        </is>
      </c>
      <c r="G481" s="43" t="inlineStr">
        <is>
          <t>Planned</t>
        </is>
      </c>
      <c r="H481" s="43" t="inlineStr">
        <is>
          <t>Pending Review</t>
        </is>
      </c>
      <c r="I481" s="43" t="inlineStr">
        <is>
          <t>CRBU</t>
        </is>
      </c>
      <c r="J481" s="43" t="inlineStr">
        <is>
          <t>CTANJZ05530</t>
        </is>
      </c>
      <c r="K481" s="32" t="n"/>
      <c r="L481" s="32" t="n"/>
      <c r="M481" s="32" t="n">
        <v>46397</v>
      </c>
      <c r="N481" s="43" t="n"/>
      <c r="O481" s="43" t="n"/>
      <c r="P481" s="43" t="n"/>
      <c r="Q481" s="43" t="n"/>
      <c r="R481" s="43" t="n"/>
      <c r="S481" s="43" t="n"/>
      <c r="T481" s="43" t="inlineStr">
        <is>
          <t>Y</t>
        </is>
      </c>
      <c r="U481" s="33" t="inlineStr">
        <is>
          <t xml:space="preserve">FUENTE: Deviation.csv, filas CSV 1389-1389; Workflow=CCB; Date Released=sin dato; Date Originated=2026-10-13; Site=FJZP, Plant=MCGA (sin convertir automaticamente a FJZ); 1 filas PN; APROBACION Y APLICABILIDAD NO VALIDADAS. </t>
        </is>
      </c>
    </row>
    <row r="482">
      <c r="A482" s="35" t="inlineStr">
        <is>
          <t>DEV-CTANJZ05531</t>
        </is>
      </c>
      <c r="B482" s="35" t="inlineStr">
        <is>
          <t>DEVIATION</t>
        </is>
      </c>
      <c r="C482" s="35" t="inlineStr">
        <is>
          <t>D614405</t>
        </is>
      </c>
      <c r="D482" s="35" t="n"/>
      <c r="E482" s="36" t="inlineStr">
        <is>
          <t>D614405 Please see PageThree for details</t>
        </is>
      </c>
      <c r="F482" s="35" t="inlineStr">
        <is>
          <t>Pending</t>
        </is>
      </c>
      <c r="G482" s="35" t="inlineStr">
        <is>
          <t>Planned</t>
        </is>
      </c>
      <c r="H482" s="35" t="inlineStr">
        <is>
          <t>Pending Review</t>
        </is>
      </c>
      <c r="I482" s="35" t="inlineStr">
        <is>
          <t>STBU</t>
        </is>
      </c>
      <c r="J482" s="35" t="inlineStr">
        <is>
          <t>CTANJZ05531</t>
        </is>
      </c>
      <c r="K482" s="37" t="n"/>
      <c r="L482" s="37" t="n"/>
      <c r="M482" s="37" t="n">
        <v>46398</v>
      </c>
      <c r="N482" s="35" t="n"/>
      <c r="O482" s="35" t="n"/>
      <c r="P482" s="35" t="n"/>
      <c r="Q482" s="35" t="n"/>
      <c r="R482" s="35" t="n"/>
      <c r="S482" s="35" t="n"/>
      <c r="T482" s="35" t="inlineStr">
        <is>
          <t>Y</t>
        </is>
      </c>
      <c r="U482" s="36" t="inlineStr">
        <is>
          <t xml:space="preserve">FUENTE: Deviation.csv, filas CSV 1871-1873; Workflow=CCB; Date Released=sin dato; Date Originated=2026-10-14; Site=FJZP, Plant=MCGA (sin convertir automaticamente a FJZ); 3 filas PN; APROBACION Y APLICABILIDAD NO VALIDADAS. </t>
        </is>
      </c>
    </row>
    <row r="483">
      <c r="A483" s="43" t="inlineStr">
        <is>
          <t>DEV-CTANJZ05532</t>
        </is>
      </c>
      <c r="B483" s="43" t="inlineStr">
        <is>
          <t>DEVIATION</t>
        </is>
      </c>
      <c r="C483" s="43" t="inlineStr">
        <is>
          <t>D614414</t>
        </is>
      </c>
      <c r="D483" s="43" t="n"/>
      <c r="E483" s="33" t="inlineStr">
        <is>
          <t>D614414 NGFWBU GQR: GQR000104253 Case: AQR004831459 CPN: 36-0148-02 ; MFR NAME: LAIRD TECHNOLOGIES; MPN: HZ0603C601R-12  This deviation instructs Foxconn Juarez (FJZ) to execute a sample buy and conduct a Production Qual build for the following part(s):  BU: NGFWBU PF: FPRHIGH Affected TAN(s):68-103465-07 Affected Item(s): 73-102434-06 CPN: 36-0148-02; MFR NAME: LAIRD TECHNOLOGIES; MPN: HZ0603C601R-12 Build Qty: 5 Ref Des: L18;L19;L20;L21  To execute the above AQR at CM site; should be tested on Model A. Note: Can be tested on any Warwick model.</t>
        </is>
      </c>
      <c r="F483" s="43" t="inlineStr">
        <is>
          <t>Pending</t>
        </is>
      </c>
      <c r="G483" s="43" t="inlineStr">
        <is>
          <t>Planned</t>
        </is>
      </c>
      <c r="H483" s="43" t="inlineStr">
        <is>
          <t>Pending Review</t>
        </is>
      </c>
      <c r="I483" s="43" t="inlineStr">
        <is>
          <t>STBU</t>
        </is>
      </c>
      <c r="J483" s="43" t="inlineStr">
        <is>
          <t>CTANJZ05532</t>
        </is>
      </c>
      <c r="K483" s="32" t="n"/>
      <c r="L483" s="32" t="n"/>
      <c r="M483" s="32" t="n">
        <v>46398</v>
      </c>
      <c r="N483" s="43" t="n"/>
      <c r="O483" s="43" t="n"/>
      <c r="P483" s="43" t="n"/>
      <c r="Q483" s="43" t="n"/>
      <c r="R483" s="43" t="n"/>
      <c r="S483" s="43" t="n"/>
      <c r="T483" s="43" t="inlineStr">
        <is>
          <t>Y</t>
        </is>
      </c>
      <c r="U483" s="33" t="inlineStr">
        <is>
          <t xml:space="preserve">FUENTE: Deviation.csv, filas CSV 302-1576; Workflow=CCB; Date Released=sin dato; Date Originated=2026-10-14; Site=FJZP, Plant=MCGA (sin convertir automaticamente a FJZ); 4 filas PN; APROBACION Y APLICABILIDAD NO VALIDADAS. </t>
        </is>
      </c>
    </row>
    <row r="484">
      <c r="A484" s="35" t="inlineStr">
        <is>
          <t>DEV-CTANJZ05533</t>
        </is>
      </c>
      <c r="B484" s="35" t="inlineStr">
        <is>
          <t>DEVIATION</t>
        </is>
      </c>
      <c r="C484" s="35" t="inlineStr">
        <is>
          <t>D614415</t>
        </is>
      </c>
      <c r="D484" s="35" t="n"/>
      <c r="E484" s="36" t="inlineStr">
        <is>
          <t>D614415 NGFWBU GQR: GQR000104252 Case: AQR004829994 CPN: 36-0234-01 ; MFR NAME: MAG LAYERS; MPN: BBUPCS160808221Y00  This deviation instructs Foxconn Juarez (FJZ) to execute a sample buy and conduct a Production Qual build for the following part(s):  BU: NGFWBU PF: FPRHIGH Affected TAN(s):68-103465-07 Affected Item(s): 73-102434-06 CPN:36-0234-01; MFR NAME: MAG LAYERS; MPN: BBUPCS160808221Y00 Build Qty: 5 Ref Des: L31;L32  To execute the above AQR at CM site; should be tested on Model A. Note: Can be tested on any Warwick model.</t>
        </is>
      </c>
      <c r="F484" s="35" t="inlineStr">
        <is>
          <t>Pending</t>
        </is>
      </c>
      <c r="G484" s="38" t="n"/>
      <c r="H484" s="35" t="inlineStr">
        <is>
          <t>Pending Review</t>
        </is>
      </c>
      <c r="I484" s="35" t="n"/>
      <c r="J484" s="35" t="inlineStr">
        <is>
          <t>CTANJZ05533</t>
        </is>
      </c>
      <c r="K484" s="37" t="n"/>
      <c r="L484" s="37" t="n"/>
      <c r="M484" s="37" t="n">
        <v>46398</v>
      </c>
      <c r="N484" s="35" t="n"/>
      <c r="O484" s="35" t="n"/>
      <c r="P484" s="35" t="n"/>
      <c r="Q484" s="35" t="n"/>
      <c r="R484" s="35" t="n"/>
      <c r="S484" s="35" t="n"/>
      <c r="T484" s="35" t="inlineStr">
        <is>
          <t>Y</t>
        </is>
      </c>
      <c r="U484" s="36" t="inlineStr">
        <is>
          <t>FUENTE: Deviation.csv, filas CSV 283-1586; Workflow=CCB / Pending; Date Released=sin dato; Date Originated=2026-10-14; Site=FJZP, Plant=MCGA (sin convertir automaticamente a FJZ); 8 filas PN; APROBACION Y APLICABILIDAD NO VALIDADAS. CONFLICTOS: Status: CCB / Pending | BU: 037-STBU / 239-CRBU | Descrition of Change: D614415 NGFWBU GQR: GQR000104252 Case: AQR004829994 CPN: 36-0234-01 ; MFR NAME: MAG LAYERS; MPN: BBUPCS160808221Y00  Thi</t>
        </is>
      </c>
    </row>
    <row r="485">
      <c r="A485" s="43" t="inlineStr">
        <is>
          <t>DEV-CTANJZ05534</t>
        </is>
      </c>
      <c r="B485" s="43" t="inlineStr">
        <is>
          <t>DEVIATION</t>
        </is>
      </c>
      <c r="C485" s="43" t="inlineStr">
        <is>
          <t>D614416</t>
        </is>
      </c>
      <c r="D485" s="43" t="n"/>
      <c r="E485" s="33" t="inlineStr">
        <is>
          <t>D614416 NGFWBU GQR: GQR000104252 Case: AQR004829764 CPN: 36-0234-01 ; MFR NAME: MAG LAYERS; MPN: BBUPCS160808221Y00This deviation instructs Foxconn Juarez (FJZ) to execute a sample buy and conduct a Production Qual build for the following part(s):BU: NGFWBUPF: FPRMID3Affected TAN(s):68-7256-05Affected Item(s): 73-20247-06CPN: 36-0234-01; MFR NAME: MAG LAYERS; MPN: BBUPCS160808221Y00Build Qty: 30Ref Des: L75To execute the above AQR at CM site; should be tested on Model A.</t>
        </is>
      </c>
      <c r="F485" s="43" t="inlineStr">
        <is>
          <t>Pending</t>
        </is>
      </c>
      <c r="G485" s="43" t="inlineStr">
        <is>
          <t>Planned</t>
        </is>
      </c>
      <c r="H485" s="43" t="inlineStr">
        <is>
          <t>Pending Review</t>
        </is>
      </c>
      <c r="I485" s="43" t="inlineStr">
        <is>
          <t>STBU</t>
        </is>
      </c>
      <c r="J485" s="43" t="inlineStr">
        <is>
          <t>CTANJZ05534</t>
        </is>
      </c>
      <c r="K485" s="32" t="n"/>
      <c r="L485" s="32" t="n"/>
      <c r="M485" s="32" t="n">
        <v>46398</v>
      </c>
      <c r="N485" s="43" t="n"/>
      <c r="O485" s="43" t="n"/>
      <c r="P485" s="43" t="n"/>
      <c r="Q485" s="43" t="n"/>
      <c r="R485" s="43" t="n"/>
      <c r="S485" s="43" t="n"/>
      <c r="T485" s="43" t="inlineStr">
        <is>
          <t>Y</t>
        </is>
      </c>
      <c r="U485" s="33" t="inlineStr">
        <is>
          <t xml:space="preserve">FUENTE: Deviation.csv, filas CSV 285-1574; Workflow=CCB; Date Released=sin dato; Date Originated=2026-10-14; Site=FJZP, Plant=MCGA (sin convertir automaticamente a FJZ); 4 filas PN; APROBACION Y APLICABILIDAD NO VALIDADAS. </t>
        </is>
      </c>
    </row>
    <row r="486">
      <c r="A486" s="35" t="inlineStr">
        <is>
          <t>DEV-CTANJZ05535</t>
        </is>
      </c>
      <c r="B486" s="35" t="inlineStr">
        <is>
          <t>DEVIATION</t>
        </is>
      </c>
      <c r="C486" s="35" t="inlineStr">
        <is>
          <t>D614316</t>
        </is>
      </c>
      <c r="D486" s="35" t="n"/>
      <c r="E486" s="36" t="inlineStr">
        <is>
          <t>D614316 NGFWBU GQR: GQR000103856 Case: AQR004810096 CPN: 15-102870-01 ; MFR NAME: DIODES INC; MPN: LSF0108T20-13This deviation instructs Foxconn Juarez (FJZ) to execute a sample buy and conduct a Production Qual build for the following part(s):BU: NGFWBUPF: F1KLOWAffected TAN(s):68-6191-07Affected Item(s): 73-18490-10CPN: 15-102870-01; MFR NAME: DIODES INC; MPN: LSF0108T20-13Build Qty: 10Ref Des: U52To execute the above AQR at CM site; should be tested on Model A.</t>
        </is>
      </c>
      <c r="F486" s="35" t="inlineStr">
        <is>
          <t>Pending</t>
        </is>
      </c>
      <c r="G486" s="35" t="inlineStr">
        <is>
          <t>Planned</t>
        </is>
      </c>
      <c r="H486" s="35" t="inlineStr">
        <is>
          <t>Pending Review</t>
        </is>
      </c>
      <c r="I486" s="35" t="inlineStr">
        <is>
          <t>STBU</t>
        </is>
      </c>
      <c r="J486" s="35" t="inlineStr">
        <is>
          <t>CTANJZ05535</t>
        </is>
      </c>
      <c r="K486" s="37" t="n"/>
      <c r="L486" s="37" t="n"/>
      <c r="M486" s="37" t="n">
        <v>46398</v>
      </c>
      <c r="N486" s="35" t="n"/>
      <c r="O486" s="35" t="n"/>
      <c r="P486" s="35" t="n"/>
      <c r="Q486" s="35" t="n"/>
      <c r="R486" s="35" t="n"/>
      <c r="S486" s="35" t="n"/>
      <c r="T486" s="35" t="inlineStr">
        <is>
          <t>Y</t>
        </is>
      </c>
      <c r="U486" s="36" t="inlineStr">
        <is>
          <t xml:space="preserve">FUENTE: Deviation.csv, filas CSV 280-1570; Workflow=CCB; Date Released=sin dato; Date Originated=2026-10-14; Site=FJZP, Plant=MCGA (sin convertir automaticamente a FJZ); 4 filas PN; APROBACION Y APLICABILIDAD NO VALIDADAS. </t>
        </is>
      </c>
    </row>
    <row r="487">
      <c r="A487" s="43" t="inlineStr">
        <is>
          <t>DEV-CTANJZ05536</t>
        </is>
      </c>
      <c r="B487" s="43" t="inlineStr">
        <is>
          <t>DEVIATION</t>
        </is>
      </c>
      <c r="C487" s="43" t="inlineStr">
        <is>
          <t>D614239</t>
        </is>
      </c>
      <c r="D487" s="43" t="n"/>
      <c r="E487" s="33" t="inlineStr">
        <is>
          <t>D614239 Need to qualify BSZ100N03MS G on 73-20198-10</t>
        </is>
      </c>
      <c r="F487" s="43" t="inlineStr">
        <is>
          <t>Pending</t>
        </is>
      </c>
      <c r="G487" s="38" t="n"/>
      <c r="H487" s="43" t="inlineStr">
        <is>
          <t>Pending Review</t>
        </is>
      </c>
      <c r="I487" s="43" t="inlineStr">
        <is>
          <t>SRGBU</t>
        </is>
      </c>
      <c r="J487" s="43" t="inlineStr">
        <is>
          <t>CTANJZ05536</t>
        </is>
      </c>
      <c r="K487" s="32" t="n"/>
      <c r="L487" s="32" t="n"/>
      <c r="M487" s="32" t="n">
        <v>46398</v>
      </c>
      <c r="N487" s="43" t="n"/>
      <c r="O487" s="43" t="n"/>
      <c r="P487" s="43" t="n"/>
      <c r="Q487" s="43" t="n"/>
      <c r="R487" s="43" t="n"/>
      <c r="S487" s="43" t="n"/>
      <c r="T487" s="43" t="inlineStr">
        <is>
          <t>Y</t>
        </is>
      </c>
      <c r="U487" s="33" t="inlineStr">
        <is>
          <t>FUENTE: Deviation.csv, filas CSV 94-289; Workflow=CCB / Pending; Date Released=sin dato; Date Originated=2026-10-14; Site=FJZP, Plant=MCGA (sin convertir automaticamente a FJZ); 4 filas PN; APROBACION Y APLICABILIDAD NO VALIDADAS. CONFLICTOS: Status: CCB / Pending</t>
        </is>
      </c>
    </row>
    <row r="488">
      <c r="A488" s="35" t="inlineStr">
        <is>
          <t>DEV-CTANJZ05537</t>
        </is>
      </c>
      <c r="B488" s="35" t="inlineStr">
        <is>
          <t>DEVIATION</t>
        </is>
      </c>
      <c r="C488" s="35" t="inlineStr">
        <is>
          <t>D614497</t>
        </is>
      </c>
      <c r="D488" s="35" t="n"/>
      <c r="E488" s="36" t="inlineStr">
        <is>
          <t>D614497This deviation approve FJZ to build 68-8178-01 and -68-7781-12  using paladin plus connectors 29-106208-02</t>
        </is>
      </c>
      <c r="F488" s="35" t="inlineStr">
        <is>
          <t>Pending</t>
        </is>
      </c>
      <c r="G488" s="35" t="inlineStr">
        <is>
          <t>Planned</t>
        </is>
      </c>
      <c r="H488" s="35" t="inlineStr">
        <is>
          <t>Pending Review</t>
        </is>
      </c>
      <c r="I488" s="35" t="inlineStr">
        <is>
          <t>CRBU</t>
        </is>
      </c>
      <c r="J488" s="35" t="inlineStr">
        <is>
          <t>CTANJZ05537</t>
        </is>
      </c>
      <c r="K488" s="37" t="n"/>
      <c r="L488" s="37" t="n"/>
      <c r="M488" s="37" t="n">
        <v>46399</v>
      </c>
      <c r="N488" s="35" t="n"/>
      <c r="O488" s="35" t="n"/>
      <c r="P488" s="35" t="n"/>
      <c r="Q488" s="35" t="n"/>
      <c r="R488" s="35" t="n"/>
      <c r="S488" s="35" t="n"/>
      <c r="T488" s="35" t="inlineStr">
        <is>
          <t>Y</t>
        </is>
      </c>
      <c r="U488" s="36" t="inlineStr">
        <is>
          <t xml:space="preserve">FUENTE: Deviation.csv, filas CSV 1268-1269; Workflow=CCB; Date Released=sin dato; Date Originated=2026-10-15; Site=FJZP, Plant=MCGA (sin convertir automaticamente a FJZ); 2 filas PN; APROBACION Y APLICABILIDAD NO VALIDADAS. </t>
        </is>
      </c>
    </row>
  </sheetData>
  <conditionalFormatting sqref="F2:F3000">
    <cfRule type="expression" priority="1" dxfId="0">
      <formula>F2="Pending"</formula>
    </cfRule>
  </conditionalFormatting>
  <dataValidations count="5">
    <dataValidation sqref="B2:B3000" showDropDown="0" showInputMessage="1" showErrorMessage="1" allowBlank="1" errorTitle="Valor inválido" error="Selecciona un valor permitido." prompt="Selecciona un valor de la lista." type="list" errorStyle="stop">
      <formula1>"ECN,ECO,DEVIATION"</formula1>
    </dataValidation>
    <dataValidation sqref="F2:F3000" showDropDown="0" showInputMessage="1" showErrorMessage="1" allowBlank="1" errorTitle="Valor inválido" error="Selecciona un valor permitido." prompt="Selecciona un valor de la lista." type="list" errorStyle="stop">
      <formula1>"Pending,Approved,Rejected,Cancelled"</formula1>
    </dataValidation>
    <dataValidation sqref="G2:G3000" showDropDown="0" showInputMessage="1" showErrorMessage="1" allowBlank="1" errorTitle="Valor inválido" error="Selecciona un valor permitido." prompt="Selecciona un valor de la lista." type="list" errorStyle="stop">
      <formula1>"Planned,In Effect,Expired,Superseded,Closed,Cancelled"</formula1>
    </dataValidation>
    <dataValidation sqref="H2:H3000" showDropDown="0" showInputMessage="1" showErrorMessage="1" allowBlank="1" errorTitle="Valor inválido" error="Selecciona un valor permitido." prompt="Selecciona un valor de la lista." type="list" errorStyle="stop">
      <formula1>"FJZ,GLOBAL_AVL,MULTI_SITE,OTHER_SITE,Pending Review"</formula1>
    </dataValidation>
    <dataValidation sqref="T2:T3000" showDropDown="0" showInputMessage="1" showErrorMessage="1" allowBlank="1" errorTitle="Valor inválido" error="Selecciona un valor permitido." prompt="Selecciona un valor de la lista." type="list" errorStyle="stop">
      <formula1>"Y,N"</formula1>
    </dataValidation>
  </dataValidations>
  <printOptions horizontalCentered="0"/>
  <pageMargins left="0.75" right="0.75" top="1" bottom="1" header="0.5" footer="0.5"/>
  <pageSetup fitToWidth="1"/>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1F6D49"/>
    <outlinePr summaryBelow="1" summaryRight="1"/>
    <pageSetUpPr fitToPage="1"/>
  </sheetPr>
  <dimension ref="A1:AC548"/>
  <sheetViews>
    <sheetView showGridLines="0" zoomScale="8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9"/>
  <cols>
    <col width="25" customWidth="1" min="1" max="1"/>
    <col width="24" customWidth="1" min="2" max="2"/>
    <col width="16" customWidth="1" min="3" max="3"/>
    <col width="26" customWidth="1" min="4" max="4"/>
    <col width="22" customWidth="1" min="5" max="5"/>
    <col width="20" customWidth="1" min="6" max="6"/>
    <col width="17" customWidth="1" min="7" max="7"/>
    <col width="15" customWidth="1" min="8" max="8"/>
    <col width="20" customWidth="1" min="9" max="9"/>
    <col width="20" customWidth="1" min="10" max="10"/>
    <col width="20" customWidth="1" min="11" max="11"/>
    <col width="18" customWidth="1" min="12" max="12"/>
    <col width="24" customWidth="1" min="13" max="13"/>
    <col width="24" customWidth="1" min="14" max="14"/>
    <col width="28" customWidth="1" min="15" max="15"/>
    <col width="30" customWidth="1" min="16" max="16"/>
    <col width="24" customWidth="1" min="17" max="17"/>
    <col width="58" customWidth="1" min="18" max="18"/>
    <col width="24" customWidth="1" min="19" max="19"/>
    <col width="62" customWidth="1" min="20" max="20"/>
    <col width="58" customWidth="1" min="21" max="21"/>
    <col width="23" customWidth="1" min="22" max="22"/>
    <col width="23" customWidth="1" min="23" max="23"/>
    <col width="19" customWidth="1" min="24" max="24"/>
    <col width="26" customWidth="1" min="25" max="25"/>
    <col width="23" customWidth="1" min="26" max="26"/>
    <col width="13" customWidth="1" min="27" max="27"/>
    <col width="55" customWidth="1" min="28" max="28"/>
    <col width="62" customWidth="1" min="29" max="29"/>
  </cols>
  <sheetData>
    <row r="1" ht="34" customHeight="1">
      <c r="A1" s="13" t="inlineStr">
        <is>
          <t>Applicability ID</t>
        </is>
      </c>
      <c r="B1" s="13" t="inlineStr">
        <is>
          <t>SKU</t>
        </is>
      </c>
      <c r="C1" s="13" t="inlineStr">
        <is>
          <t>PCBA Rev</t>
        </is>
      </c>
      <c r="D1" s="13" t="inlineStr">
        <is>
          <t>PCBA Part Number</t>
        </is>
      </c>
      <c r="E1" s="13" t="inlineStr">
        <is>
          <t>Change ID</t>
        </is>
      </c>
      <c r="F1" s="13" t="inlineStr">
        <is>
          <t>Plant</t>
        </is>
      </c>
      <c r="G1" s="13" t="inlineStr">
        <is>
          <t>BU</t>
        </is>
      </c>
      <c r="H1" s="13" t="inlineStr">
        <is>
          <t>Line</t>
        </is>
      </c>
      <c r="I1" s="13" t="inlineStr">
        <is>
          <t>WO Exact</t>
        </is>
      </c>
      <c r="J1" s="13" t="inlineStr">
        <is>
          <t>WO From</t>
        </is>
      </c>
      <c r="K1" s="13" t="inlineStr">
        <is>
          <t>WO Until</t>
        </is>
      </c>
      <c r="L1" s="13" t="inlineStr">
        <is>
          <t>RefDes</t>
        </is>
      </c>
      <c r="M1" s="13" t="inlineStr">
        <is>
          <t>Component CPN Old</t>
        </is>
      </c>
      <c r="N1" s="13" t="inlineStr">
        <is>
          <t>Component CPN New</t>
        </is>
      </c>
      <c r="O1" s="13" t="inlineStr">
        <is>
          <t>Approved Alternate CPN</t>
        </is>
      </c>
      <c r="P1" s="13" t="inlineStr">
        <is>
          <t>MPN</t>
        </is>
      </c>
      <c r="Q1" s="13" t="inlineStr">
        <is>
          <t>Applicability Class</t>
        </is>
      </c>
      <c r="R1" s="13" t="inlineStr">
        <is>
          <t>Required Action</t>
        </is>
      </c>
      <c r="S1" s="13" t="inlineStr">
        <is>
          <t>Release Gate</t>
        </is>
      </c>
      <c r="T1" s="13" t="inlineStr">
        <is>
          <t>Validation Method</t>
        </is>
      </c>
      <c r="U1" s="13" t="inlineStr">
        <is>
          <t>Evidence Required</t>
        </is>
      </c>
      <c r="V1" s="13" t="inlineStr">
        <is>
          <t>Scope Effective From</t>
        </is>
      </c>
      <c r="W1" s="13" t="inlineStr">
        <is>
          <t>Scope Effective Until</t>
        </is>
      </c>
      <c r="X1" s="13" t="inlineStr">
        <is>
          <t>Priority</t>
        </is>
      </c>
      <c r="Y1" s="13" t="inlineStr">
        <is>
          <t>Responsible</t>
        </is>
      </c>
      <c r="Z1" s="13" t="inlineStr">
        <is>
          <t>Curation Status</t>
        </is>
      </c>
      <c r="AA1" s="13" t="inlineStr">
        <is>
          <t>Active</t>
        </is>
      </c>
      <c r="AB1" s="13" t="inlineStr">
        <is>
          <t>Source Link</t>
        </is>
      </c>
      <c r="AC1" s="13" t="inlineStr">
        <is>
          <t>Notes</t>
        </is>
      </c>
    </row>
    <row r="2">
      <c r="A2" s="43" t="inlineStr">
        <is>
          <t>DA-CTANJZ04427-STBU-73-20249-05</t>
        </is>
      </c>
      <c r="B2" s="43" t="n"/>
      <c r="C2" s="43" t="n"/>
      <c r="D2" s="43" t="inlineStr">
        <is>
          <t>73-20249-05</t>
        </is>
      </c>
      <c r="E2" s="43" t="inlineStr">
        <is>
          <t>DEV-CTANJZ04427</t>
        </is>
      </c>
      <c r="F2" s="43" t="n"/>
      <c r="G2" s="43" t="inlineStr">
        <is>
          <t>STBU</t>
        </is>
      </c>
      <c r="H2" s="43" t="n"/>
      <c r="I2" s="43" t="n"/>
      <c r="J2" s="43" t="n"/>
      <c r="K2" s="43" t="n"/>
      <c r="L2" s="43" t="n"/>
      <c r="M2" s="43" t="n"/>
      <c r="N2" s="43" t="n"/>
      <c r="O2" s="43" t="n"/>
      <c r="P2" s="43" t="n"/>
      <c r="Q2" s="43" t="inlineStr">
        <is>
          <t>BOARD</t>
        </is>
      </c>
      <c r="R2" s="33" t="inlineStr">
        <is>
          <t>REVISAR D601187: verificar accion documentada, PN/revision y vigencia para la corrida. No autoriza sustitucion ni uso de material.</t>
        </is>
      </c>
      <c r="S2" s="43" t="inlineStr">
        <is>
          <t>INFO</t>
        </is>
      </c>
      <c r="T2" s="33" t="inlineStr">
        <is>
          <t>Validar desviacion aprobada y estado; contrastar PN exacto y revision con Common DB, BOM/AVL, WO y fecha de corrida.</t>
        </is>
      </c>
      <c r="U2" s="33" t="inlineStr">
        <is>
          <t>Documento oficial firmado, autorizacion FJZ, revision/WO de alcance, confirmacion BOM y evidencia de implementacion si aplica.</t>
        </is>
      </c>
      <c r="V2" s="43" t="n"/>
      <c r="W2" s="43" t="n"/>
      <c r="X2" s="43" t="inlineStr">
        <is>
          <t>INFO</t>
        </is>
      </c>
      <c r="Y2" s="43" t="n"/>
      <c r="Z2" s="43" t="inlineStr">
        <is>
          <t>Pending Review</t>
        </is>
      </c>
      <c r="AA2" s="43" t="inlineStr">
        <is>
          <t>N</t>
        </is>
      </c>
      <c r="AB2" s="43" t="n"/>
      <c r="AC2" s="33" t="inlineStr">
        <is>
          <t xml:space="preserve">FUENTE: Deviation.csv filas 1551; Item Number original=73-20249-05 (prefijo 73- es CANDIDATO de PCBA, no confirmacion en Common DB); Workflow de origen=Expired; FJZ no validado, revision PCBA/WO no informadas. </t>
        </is>
      </c>
    </row>
    <row r="3">
      <c r="A3" s="43" t="inlineStr">
        <is>
          <t>DA-CTANJZ04431-STBU-73-20247-05</t>
        </is>
      </c>
      <c r="B3" s="43" t="n"/>
      <c r="C3" s="43" t="n"/>
      <c r="D3" s="43" t="inlineStr">
        <is>
          <t>73-20247-05</t>
        </is>
      </c>
      <c r="E3" s="43" t="inlineStr">
        <is>
          <t>DEV-CTANJZ04431</t>
        </is>
      </c>
      <c r="F3" s="43" t="n"/>
      <c r="G3" s="43" t="inlineStr">
        <is>
          <t>STBU</t>
        </is>
      </c>
      <c r="H3" s="43" t="n"/>
      <c r="I3" s="43" t="n"/>
      <c r="J3" s="43" t="n"/>
      <c r="K3" s="43" t="n"/>
      <c r="L3" s="43" t="n"/>
      <c r="M3" s="43" t="n"/>
      <c r="N3" s="43" t="n"/>
      <c r="O3" s="43" t="n"/>
      <c r="P3" s="43" t="n"/>
      <c r="Q3" s="43" t="inlineStr">
        <is>
          <t>BOARD</t>
        </is>
      </c>
      <c r="R3" s="33" t="inlineStr">
        <is>
          <t>REVISAR D601949: verificar accion documentada, PN/revision y vigencia para la corrida. No autoriza sustitucion ni uso de material.</t>
        </is>
      </c>
      <c r="S3" s="43" t="inlineStr">
        <is>
          <t>INFO</t>
        </is>
      </c>
      <c r="T3" s="33" t="inlineStr">
        <is>
          <t>Validar desviacion aprobada y estado; contrastar PN exacto y revision con Common DB, BOM/AVL, WO y fecha de corrida.</t>
        </is>
      </c>
      <c r="U3" s="33" t="inlineStr">
        <is>
          <t>Documento oficial firmado, autorizacion FJZ, revision/WO de alcance, confirmacion BOM y evidencia de implementacion si aplica.</t>
        </is>
      </c>
      <c r="V3" s="43" t="n"/>
      <c r="W3" s="43" t="n"/>
      <c r="X3" s="43" t="inlineStr">
        <is>
          <t>INFO</t>
        </is>
      </c>
      <c r="Y3" s="43" t="n"/>
      <c r="Z3" s="43" t="inlineStr">
        <is>
          <t>Pending Review</t>
        </is>
      </c>
      <c r="AA3" s="43" t="inlineStr">
        <is>
          <t>N</t>
        </is>
      </c>
      <c r="AB3" s="43" t="n"/>
      <c r="AC3" s="33" t="inlineStr">
        <is>
          <t xml:space="preserve">FUENTE: Deviation.csv filas 713; Item Number original=73-20247-05 (prefijo 73- es CANDIDATO de PCBA, no confirmacion en Common DB); Workflow de origen=Expired; FJZ no validado, revision PCBA/WO no informadas. </t>
        </is>
      </c>
    </row>
    <row r="4">
      <c r="A4" s="43" t="inlineStr">
        <is>
          <t>DA-CTANJZ04431-STBU-73-20249-05</t>
        </is>
      </c>
      <c r="B4" s="43" t="n"/>
      <c r="C4" s="43" t="n"/>
      <c r="D4" s="43" t="inlineStr">
        <is>
          <t>73-20249-05</t>
        </is>
      </c>
      <c r="E4" s="43" t="inlineStr">
        <is>
          <t>DEV-CTANJZ04431</t>
        </is>
      </c>
      <c r="F4" s="43" t="n"/>
      <c r="G4" s="43" t="inlineStr">
        <is>
          <t>STBU</t>
        </is>
      </c>
      <c r="H4" s="43" t="n"/>
      <c r="I4" s="43" t="n"/>
      <c r="J4" s="43" t="n"/>
      <c r="K4" s="43" t="n"/>
      <c r="L4" s="43" t="n"/>
      <c r="M4" s="43" t="n"/>
      <c r="N4" s="43" t="n"/>
      <c r="O4" s="43" t="n"/>
      <c r="P4" s="43" t="n"/>
      <c r="Q4" s="43" t="inlineStr">
        <is>
          <t>BOARD</t>
        </is>
      </c>
      <c r="R4" s="33" t="inlineStr">
        <is>
          <t>REVISAR D601949: verificar accion documentada, PN/revision y vigencia para la corrida. No autoriza sustitucion ni uso de material.</t>
        </is>
      </c>
      <c r="S4" s="43" t="inlineStr">
        <is>
          <t>INFO</t>
        </is>
      </c>
      <c r="T4" s="33" t="inlineStr">
        <is>
          <t>Validar desviacion aprobada y estado; contrastar PN exacto y revision con Common DB, BOM/AVL, WO y fecha de corrida.</t>
        </is>
      </c>
      <c r="U4" s="33" t="inlineStr">
        <is>
          <t>Documento oficial firmado, autorizacion FJZ, revision/WO de alcance, confirmacion BOM y evidencia de implementacion si aplica.</t>
        </is>
      </c>
      <c r="V4" s="43" t="n"/>
      <c r="W4" s="43" t="n"/>
      <c r="X4" s="43" t="inlineStr">
        <is>
          <t>INFO</t>
        </is>
      </c>
      <c r="Y4" s="43" t="n"/>
      <c r="Z4" s="43" t="inlineStr">
        <is>
          <t>Pending Review</t>
        </is>
      </c>
      <c r="AA4" s="43" t="inlineStr">
        <is>
          <t>N</t>
        </is>
      </c>
      <c r="AB4" s="43" t="n"/>
      <c r="AC4" s="33" t="inlineStr">
        <is>
          <t xml:space="preserve">FUENTE: Deviation.csv filas 714; Item Number original=73-20249-05 (prefijo 73- es CANDIDATO de PCBA, no confirmacion en Common DB); Workflow de origen=Expired; FJZ no validado, revision PCBA/WO no informadas. </t>
        </is>
      </c>
    </row>
    <row r="5">
      <c r="A5" s="43" t="inlineStr">
        <is>
          <t>DA-CTANJZ04449-STBU-73-17567-12</t>
        </is>
      </c>
      <c r="B5" s="43" t="n"/>
      <c r="C5" s="43" t="n"/>
      <c r="D5" s="43" t="inlineStr">
        <is>
          <t>73-17567-12</t>
        </is>
      </c>
      <c r="E5" s="43" t="inlineStr">
        <is>
          <t>DEV-CTANJZ04449</t>
        </is>
      </c>
      <c r="F5" s="43" t="n"/>
      <c r="G5" s="43" t="inlineStr">
        <is>
          <t>STBU</t>
        </is>
      </c>
      <c r="H5" s="43" t="n"/>
      <c r="I5" s="43" t="n"/>
      <c r="J5" s="43" t="n"/>
      <c r="K5" s="43" t="n"/>
      <c r="L5" s="43" t="n"/>
      <c r="M5" s="43" t="n"/>
      <c r="N5" s="43" t="n"/>
      <c r="O5" s="43" t="n"/>
      <c r="P5" s="43" t="n"/>
      <c r="Q5" s="43" t="inlineStr">
        <is>
          <t>BOARD</t>
        </is>
      </c>
      <c r="R5" s="33" t="inlineStr">
        <is>
          <t>REVISAR D602143: verificar accion documentada, PN/revision y vigencia para la corrida. No autoriza sustitucion ni uso de material.</t>
        </is>
      </c>
      <c r="S5" s="43" t="inlineStr">
        <is>
          <t>INFO</t>
        </is>
      </c>
      <c r="T5" s="33" t="inlineStr">
        <is>
          <t>Validar desviacion aprobada y estado; contrastar PN exacto y revision con Common DB, BOM/AVL, WO y fecha de corrida.</t>
        </is>
      </c>
      <c r="U5" s="33" t="inlineStr">
        <is>
          <t>Documento oficial firmado, autorizacion FJZ, revision/WO de alcance, confirmacion BOM y evidencia de implementacion si aplica.</t>
        </is>
      </c>
      <c r="V5" s="43" t="n"/>
      <c r="W5" s="43" t="n"/>
      <c r="X5" s="43" t="inlineStr">
        <is>
          <t>INFO</t>
        </is>
      </c>
      <c r="Y5" s="43" t="n"/>
      <c r="Z5" s="43" t="inlineStr">
        <is>
          <t>Pending Review</t>
        </is>
      </c>
      <c r="AA5" s="43" t="inlineStr">
        <is>
          <t>N</t>
        </is>
      </c>
      <c r="AB5" s="43" t="n"/>
      <c r="AC5" s="33" t="inlineStr">
        <is>
          <t xml:space="preserve">FUENTE: Deviation.csv filas 657; Item Number original=73-17567-12 (prefijo 73- es CANDIDATO de PCBA, no confirmacion en Common DB); Workflow de origen=Expired; FJZ no validado, revision PCBA/WO no informadas. </t>
        </is>
      </c>
    </row>
    <row r="6">
      <c r="A6" s="43" t="inlineStr">
        <is>
          <t>DA-CTANJZ04449-STBU-73-17568-12</t>
        </is>
      </c>
      <c r="B6" s="43" t="n"/>
      <c r="C6" s="43" t="n"/>
      <c r="D6" s="43" t="inlineStr">
        <is>
          <t>73-17568-12</t>
        </is>
      </c>
      <c r="E6" s="43" t="inlineStr">
        <is>
          <t>DEV-CTANJZ04449</t>
        </is>
      </c>
      <c r="F6" s="43" t="n"/>
      <c r="G6" s="43" t="inlineStr">
        <is>
          <t>STBU</t>
        </is>
      </c>
      <c r="H6" s="43" t="n"/>
      <c r="I6" s="43" t="n"/>
      <c r="J6" s="43" t="n"/>
      <c r="K6" s="43" t="n"/>
      <c r="L6" s="43" t="n"/>
      <c r="M6" s="43" t="n"/>
      <c r="N6" s="43" t="n"/>
      <c r="O6" s="43" t="n"/>
      <c r="P6" s="43" t="n"/>
      <c r="Q6" s="43" t="inlineStr">
        <is>
          <t>BOARD</t>
        </is>
      </c>
      <c r="R6" s="33" t="inlineStr">
        <is>
          <t>REVISAR D602143: verificar accion documentada, PN/revision y vigencia para la corrida. No autoriza sustitucion ni uso de material.</t>
        </is>
      </c>
      <c r="S6" s="43" t="inlineStr">
        <is>
          <t>INFO</t>
        </is>
      </c>
      <c r="T6" s="33" t="inlineStr">
        <is>
          <t>Validar desviacion aprobada y estado; contrastar PN exacto y revision con Common DB, BOM/AVL, WO y fecha de corrida.</t>
        </is>
      </c>
      <c r="U6" s="33" t="inlineStr">
        <is>
          <t>Documento oficial firmado, autorizacion FJZ, revision/WO de alcance, confirmacion BOM y evidencia de implementacion si aplica.</t>
        </is>
      </c>
      <c r="V6" s="43" t="n"/>
      <c r="W6" s="43" t="n"/>
      <c r="X6" s="43" t="inlineStr">
        <is>
          <t>INFO</t>
        </is>
      </c>
      <c r="Y6" s="43" t="n"/>
      <c r="Z6" s="43" t="inlineStr">
        <is>
          <t>Pending Review</t>
        </is>
      </c>
      <c r="AA6" s="43" t="inlineStr">
        <is>
          <t>N</t>
        </is>
      </c>
      <c r="AB6" s="43" t="n"/>
      <c r="AC6" s="33" t="inlineStr">
        <is>
          <t xml:space="preserve">FUENTE: Deviation.csv filas 658; Item Number original=73-17568-12 (prefijo 73- es CANDIDATO de PCBA, no confirmacion en Common DB); Workflow de origen=Expired; FJZ no validado, revision PCBA/WO no informadas. </t>
        </is>
      </c>
    </row>
    <row r="7">
      <c r="A7" s="43" t="inlineStr">
        <is>
          <t>DA-CTANJZ04449-STBU-73-17569-10</t>
        </is>
      </c>
      <c r="B7" s="43" t="n"/>
      <c r="C7" s="43" t="n"/>
      <c r="D7" s="43" t="inlineStr">
        <is>
          <t>73-17569-10</t>
        </is>
      </c>
      <c r="E7" s="43" t="inlineStr">
        <is>
          <t>DEV-CTANJZ04449</t>
        </is>
      </c>
      <c r="F7" s="43" t="n"/>
      <c r="G7" s="43" t="inlineStr">
        <is>
          <t>STBU</t>
        </is>
      </c>
      <c r="H7" s="43" t="n"/>
      <c r="I7" s="43" t="n"/>
      <c r="J7" s="43" t="n"/>
      <c r="K7" s="43" t="n"/>
      <c r="L7" s="43" t="n"/>
      <c r="M7" s="43" t="n"/>
      <c r="N7" s="43" t="n"/>
      <c r="O7" s="43" t="n"/>
      <c r="P7" s="43" t="n"/>
      <c r="Q7" s="43" t="inlineStr">
        <is>
          <t>BOARD</t>
        </is>
      </c>
      <c r="R7" s="33" t="inlineStr">
        <is>
          <t>REVISAR D602143: verificar accion documentada, PN/revision y vigencia para la corrida. No autoriza sustitucion ni uso de material.</t>
        </is>
      </c>
      <c r="S7" s="43" t="inlineStr">
        <is>
          <t>INFO</t>
        </is>
      </c>
      <c r="T7" s="33" t="inlineStr">
        <is>
          <t>Validar desviacion aprobada y estado; contrastar PN exacto y revision con Common DB, BOM/AVL, WO y fecha de corrida.</t>
        </is>
      </c>
      <c r="U7" s="33" t="inlineStr">
        <is>
          <t>Documento oficial firmado, autorizacion FJZ, revision/WO de alcance, confirmacion BOM y evidencia de implementacion si aplica.</t>
        </is>
      </c>
      <c r="V7" s="43" t="n"/>
      <c r="W7" s="43" t="n"/>
      <c r="X7" s="43" t="inlineStr">
        <is>
          <t>INFO</t>
        </is>
      </c>
      <c r="Y7" s="43" t="n"/>
      <c r="Z7" s="43" t="inlineStr">
        <is>
          <t>Pending Review</t>
        </is>
      </c>
      <c r="AA7" s="43" t="inlineStr">
        <is>
          <t>N</t>
        </is>
      </c>
      <c r="AB7" s="43" t="n"/>
      <c r="AC7" s="33" t="inlineStr">
        <is>
          <t xml:space="preserve">FUENTE: Deviation.csv filas 659; Item Number original=73-17569-10 (prefijo 73- es CANDIDATO de PCBA, no confirmacion en Common DB); Workflow de origen=Expired; FJZ no validado, revision PCBA/WO no informadas. </t>
        </is>
      </c>
    </row>
    <row r="8">
      <c r="A8" s="43" t="inlineStr">
        <is>
          <t>DA-CTANJZ04449-STBU-73-17570-10</t>
        </is>
      </c>
      <c r="B8" s="43" t="n"/>
      <c r="C8" s="43" t="n"/>
      <c r="D8" s="43" t="inlineStr">
        <is>
          <t>73-17570-10</t>
        </is>
      </c>
      <c r="E8" s="43" t="inlineStr">
        <is>
          <t>DEV-CTANJZ04449</t>
        </is>
      </c>
      <c r="F8" s="43" t="n"/>
      <c r="G8" s="43" t="inlineStr">
        <is>
          <t>STBU</t>
        </is>
      </c>
      <c r="H8" s="43" t="n"/>
      <c r="I8" s="43" t="n"/>
      <c r="J8" s="43" t="n"/>
      <c r="K8" s="43" t="n"/>
      <c r="L8" s="43" t="n"/>
      <c r="M8" s="43" t="n"/>
      <c r="N8" s="43" t="n"/>
      <c r="O8" s="43" t="n"/>
      <c r="P8" s="43" t="n"/>
      <c r="Q8" s="43" t="inlineStr">
        <is>
          <t>BOARD</t>
        </is>
      </c>
      <c r="R8" s="33" t="inlineStr">
        <is>
          <t>REVISAR D602143: verificar accion documentada, PN/revision y vigencia para la corrida. No autoriza sustitucion ni uso de material.</t>
        </is>
      </c>
      <c r="S8" s="43" t="inlineStr">
        <is>
          <t>INFO</t>
        </is>
      </c>
      <c r="T8" s="33" t="inlineStr">
        <is>
          <t>Validar desviacion aprobada y estado; contrastar PN exacto y revision con Common DB, BOM/AVL, WO y fecha de corrida.</t>
        </is>
      </c>
      <c r="U8" s="33" t="inlineStr">
        <is>
          <t>Documento oficial firmado, autorizacion FJZ, revision/WO de alcance, confirmacion BOM y evidencia de implementacion si aplica.</t>
        </is>
      </c>
      <c r="V8" s="43" t="n"/>
      <c r="W8" s="43" t="n"/>
      <c r="X8" s="43" t="inlineStr">
        <is>
          <t>INFO</t>
        </is>
      </c>
      <c r="Y8" s="43" t="n"/>
      <c r="Z8" s="43" t="inlineStr">
        <is>
          <t>Pending Review</t>
        </is>
      </c>
      <c r="AA8" s="43" t="inlineStr">
        <is>
          <t>N</t>
        </is>
      </c>
      <c r="AB8" s="43" t="n"/>
      <c r="AC8" s="33" t="inlineStr">
        <is>
          <t xml:space="preserve">FUENTE: Deviation.csv filas 660; Item Number original=73-17570-10 (prefijo 73- es CANDIDATO de PCBA, no confirmacion en Common DB); Workflow de origen=Expired; FJZ no validado, revision PCBA/WO no informadas. </t>
        </is>
      </c>
    </row>
    <row r="9">
      <c r="A9" s="43" t="inlineStr">
        <is>
          <t>DA-CTANJZ04453-STBU-73-17499-07</t>
        </is>
      </c>
      <c r="B9" s="43" t="n"/>
      <c r="C9" s="43" t="n"/>
      <c r="D9" s="43" t="inlineStr">
        <is>
          <t>73-17499-07</t>
        </is>
      </c>
      <c r="E9" s="43" t="inlineStr">
        <is>
          <t>DEV-CTANJZ04453</t>
        </is>
      </c>
      <c r="F9" s="43" t="n"/>
      <c r="G9" s="43" t="inlineStr">
        <is>
          <t>STBU</t>
        </is>
      </c>
      <c r="H9" s="43" t="n"/>
      <c r="I9" s="43" t="n"/>
      <c r="J9" s="43" t="n"/>
      <c r="K9" s="43" t="n"/>
      <c r="L9" s="43" t="n"/>
      <c r="M9" s="43" t="n"/>
      <c r="N9" s="43" t="n"/>
      <c r="O9" s="43" t="n"/>
      <c r="P9" s="43" t="n"/>
      <c r="Q9" s="43" t="inlineStr">
        <is>
          <t>BOARD</t>
        </is>
      </c>
      <c r="R9" s="33" t="inlineStr">
        <is>
          <t>REVISAR D601097: verificar accion documentada, PN/revision y vigencia para la corrida. No autoriza sustitucion ni uso de material.</t>
        </is>
      </c>
      <c r="S9" s="43" t="inlineStr">
        <is>
          <t>INFO</t>
        </is>
      </c>
      <c r="T9" s="33" t="inlineStr">
        <is>
          <t>Validar desviacion aprobada y estado; contrastar PN exacto y revision con Common DB, BOM/AVL, WO y fecha de corrida.</t>
        </is>
      </c>
      <c r="U9" s="33" t="inlineStr">
        <is>
          <t>Documento oficial firmado, autorizacion FJZ, revision/WO de alcance, confirmacion BOM y evidencia de implementacion si aplica.</t>
        </is>
      </c>
      <c r="V9" s="43" t="n"/>
      <c r="W9" s="43" t="n"/>
      <c r="X9" s="43" t="inlineStr">
        <is>
          <t>INFO</t>
        </is>
      </c>
      <c r="Y9" s="43" t="n"/>
      <c r="Z9" s="43" t="inlineStr">
        <is>
          <t>Pending Review</t>
        </is>
      </c>
      <c r="AA9" s="43" t="inlineStr">
        <is>
          <t>N</t>
        </is>
      </c>
      <c r="AB9" s="43" t="n"/>
      <c r="AC9" s="33" t="inlineStr">
        <is>
          <t xml:space="preserve">FUENTE: Deviation.csv filas 1413; Item Number original=73-17499-07 (prefijo 73- es CANDIDATO de PCBA, no confirmacion en Common DB); Workflow de origen=Expired; FJZ no validado, revision PCBA/WO no informadas. </t>
        </is>
      </c>
    </row>
    <row r="10">
      <c r="A10" s="43" t="inlineStr">
        <is>
          <t>DA-CTANJZ04466-STBU-73-17497-04</t>
        </is>
      </c>
      <c r="B10" s="43" t="n"/>
      <c r="C10" s="43" t="n"/>
      <c r="D10" s="43" t="inlineStr">
        <is>
          <t>73-17497-04</t>
        </is>
      </c>
      <c r="E10" s="43" t="inlineStr">
        <is>
          <t>DEV-CTANJZ04466</t>
        </is>
      </c>
      <c r="F10" s="43" t="n"/>
      <c r="G10" s="43" t="inlineStr">
        <is>
          <t>STBU</t>
        </is>
      </c>
      <c r="H10" s="43" t="n"/>
      <c r="I10" s="43" t="n"/>
      <c r="J10" s="43" t="n"/>
      <c r="K10" s="43" t="n"/>
      <c r="L10" s="43" t="n"/>
      <c r="M10" s="43" t="n"/>
      <c r="N10" s="43" t="n"/>
      <c r="O10" s="43" t="n"/>
      <c r="P10" s="43" t="n"/>
      <c r="Q10" s="43" t="inlineStr">
        <is>
          <t>BOARD</t>
        </is>
      </c>
      <c r="R10" s="33" t="inlineStr">
        <is>
          <t>REVISAR D602196: verificar accion documentada, PN/revision y vigencia para la corrida. No autoriza sustitucion ni uso de material.</t>
        </is>
      </c>
      <c r="S10" s="43" t="inlineStr">
        <is>
          <t>INFO</t>
        </is>
      </c>
      <c r="T10" s="33" t="inlineStr">
        <is>
          <t>Validar desviacion aprobada y estado; contrastar PN exacto y revision con Common DB, BOM/AVL, WO y fecha de corrida.</t>
        </is>
      </c>
      <c r="U10" s="33" t="inlineStr">
        <is>
          <t>Documento oficial firmado, autorizacion FJZ, revision/WO de alcance, confirmacion BOM y evidencia de implementacion si aplica.</t>
        </is>
      </c>
      <c r="V10" s="43" t="n"/>
      <c r="W10" s="43" t="n"/>
      <c r="X10" s="43" t="inlineStr">
        <is>
          <t>INFO</t>
        </is>
      </c>
      <c r="Y10" s="43" t="n"/>
      <c r="Z10" s="43" t="inlineStr">
        <is>
          <t>Pending Review</t>
        </is>
      </c>
      <c r="AA10" s="43" t="inlineStr">
        <is>
          <t>N</t>
        </is>
      </c>
      <c r="AB10" s="43" t="n"/>
      <c r="AC10" s="33" t="inlineStr">
        <is>
          <t xml:space="preserve">FUENTE: Deviation.csv filas 1596; Item Number original=73-17497-04 (prefijo 73- es CANDIDATO de PCBA, no confirmacion en Common DB); Workflow de origen=Expired; FJZ no validado, revision PCBA/WO no informadas. </t>
        </is>
      </c>
    </row>
    <row r="11">
      <c r="A11" s="43" t="inlineStr">
        <is>
          <t>DA-CTANJZ04466-STBU-73-17499-07</t>
        </is>
      </c>
      <c r="B11" s="43" t="n"/>
      <c r="C11" s="43" t="n"/>
      <c r="D11" s="43" t="inlineStr">
        <is>
          <t>73-17499-07</t>
        </is>
      </c>
      <c r="E11" s="43" t="inlineStr">
        <is>
          <t>DEV-CTANJZ04466</t>
        </is>
      </c>
      <c r="F11" s="43" t="n"/>
      <c r="G11" s="43" t="inlineStr">
        <is>
          <t>STBU</t>
        </is>
      </c>
      <c r="H11" s="43" t="n"/>
      <c r="I11" s="43" t="n"/>
      <c r="J11" s="43" t="n"/>
      <c r="K11" s="43" t="n"/>
      <c r="L11" s="43" t="n"/>
      <c r="M11" s="43" t="n"/>
      <c r="N11" s="43" t="n"/>
      <c r="O11" s="43" t="n"/>
      <c r="P11" s="43" t="n"/>
      <c r="Q11" s="43" t="inlineStr">
        <is>
          <t>BOARD</t>
        </is>
      </c>
      <c r="R11" s="33" t="inlineStr">
        <is>
          <t>REVISAR D602196: verificar accion documentada, PN/revision y vigencia para la corrida. No autoriza sustitucion ni uso de material.</t>
        </is>
      </c>
      <c r="S11" s="43" t="inlineStr">
        <is>
          <t>INFO</t>
        </is>
      </c>
      <c r="T11" s="33" t="inlineStr">
        <is>
          <t>Validar desviacion aprobada y estado; contrastar PN exacto y revision con Common DB, BOM/AVL, WO y fecha de corrida.</t>
        </is>
      </c>
      <c r="U11" s="33" t="inlineStr">
        <is>
          <t>Documento oficial firmado, autorizacion FJZ, revision/WO de alcance, confirmacion BOM y evidencia de implementacion si aplica.</t>
        </is>
      </c>
      <c r="V11" s="43" t="n"/>
      <c r="W11" s="43" t="n"/>
      <c r="X11" s="43" t="inlineStr">
        <is>
          <t>INFO</t>
        </is>
      </c>
      <c r="Y11" s="43" t="n"/>
      <c r="Z11" s="43" t="inlineStr">
        <is>
          <t>Pending Review</t>
        </is>
      </c>
      <c r="AA11" s="43" t="inlineStr">
        <is>
          <t>N</t>
        </is>
      </c>
      <c r="AB11" s="43" t="n"/>
      <c r="AC11" s="33" t="inlineStr">
        <is>
          <t xml:space="preserve">FUENTE: Deviation.csv filas 1597; Item Number original=73-17499-07 (prefijo 73- es CANDIDATO de PCBA, no confirmacion en Common DB); Workflow de origen=Expired; FJZ no validado, revision PCBA/WO no informadas. </t>
        </is>
      </c>
    </row>
    <row r="12">
      <c r="A12" s="43" t="inlineStr">
        <is>
          <t>DA-CTANJZ04466-STBU-73-20247-06</t>
        </is>
      </c>
      <c r="B12" s="43" t="inlineStr">
        <is>
          <t>TUFNELL PARK</t>
        </is>
      </c>
      <c r="C12" s="43" t="n"/>
      <c r="D12" s="43" t="inlineStr">
        <is>
          <t>73-20247-06</t>
        </is>
      </c>
      <c r="E12" s="43" t="inlineStr">
        <is>
          <t>DEV-CTANJZ04466</t>
        </is>
      </c>
      <c r="F12" s="43" t="n"/>
      <c r="G12" s="43" t="inlineStr">
        <is>
          <t>STBU</t>
        </is>
      </c>
      <c r="H12" s="43" t="n"/>
      <c r="I12" s="43" t="n"/>
      <c r="J12" s="43" t="n"/>
      <c r="K12" s="43" t="n"/>
      <c r="L12" s="43" t="n"/>
      <c r="M12" s="43" t="n"/>
      <c r="N12" s="43" t="n"/>
      <c r="O12" s="43" t="n"/>
      <c r="P12" s="43" t="n"/>
      <c r="Q12" s="43" t="inlineStr">
        <is>
          <t>BOARD</t>
        </is>
      </c>
      <c r="R12" s="33" t="inlineStr">
        <is>
          <t>REVISAR D602196: verificar accion documentada, PN/revision y vigencia para la corrida. No autoriza sustitucion ni uso de material.</t>
        </is>
      </c>
      <c r="S12" s="43" t="inlineStr">
        <is>
          <t>INFO</t>
        </is>
      </c>
      <c r="T12" s="33" t="inlineStr">
        <is>
          <t>Validar desviacion aprobada y estado; contrastar PN exacto y revision con Common DB, BOM/AVL, WO y fecha de corrida.</t>
        </is>
      </c>
      <c r="U12" s="33" t="inlineStr">
        <is>
          <t>Documento oficial firmado, autorizacion FJZ, revision/WO de alcance, confirmacion BOM y evidencia de implementacion si aplica.</t>
        </is>
      </c>
      <c r="V12" s="43" t="n"/>
      <c r="W12" s="43" t="n"/>
      <c r="X12" s="43" t="inlineStr">
        <is>
          <t>INFO</t>
        </is>
      </c>
      <c r="Y12" s="43" t="n"/>
      <c r="Z12" s="43" t="inlineStr">
        <is>
          <t>Pending Review</t>
        </is>
      </c>
      <c r="AA12" s="43" t="inlineStr">
        <is>
          <t>N</t>
        </is>
      </c>
      <c r="AB12" s="43" t="n"/>
      <c r="AC12" s="33" t="inlineStr">
        <is>
          <t xml:space="preserve">FUENTE: Deviation.csv filas 1598; Item Number original=73-20247-06 (prefijo 73- es CANDIDATO de PCBA, no confirmacion en Common DB); Workflow de origen=Expired; FJZ no validado, revision PCBA/WO no informadas. </t>
        </is>
      </c>
    </row>
    <row r="13">
      <c r="A13" s="43" t="inlineStr">
        <is>
          <t>DA-CTANJZ04466-STBU-73-20249-06</t>
        </is>
      </c>
      <c r="B13" s="43" t="inlineStr">
        <is>
          <t>TUFNELL PARK</t>
        </is>
      </c>
      <c r="C13" s="43" t="n"/>
      <c r="D13" s="43" t="inlineStr">
        <is>
          <t>73-20249-06</t>
        </is>
      </c>
      <c r="E13" s="43" t="inlineStr">
        <is>
          <t>DEV-CTANJZ04466</t>
        </is>
      </c>
      <c r="F13" s="43" t="n"/>
      <c r="G13" s="43" t="inlineStr">
        <is>
          <t>STBU</t>
        </is>
      </c>
      <c r="H13" s="43" t="n"/>
      <c r="I13" s="43" t="n"/>
      <c r="J13" s="43" t="n"/>
      <c r="K13" s="43" t="n"/>
      <c r="L13" s="43" t="n"/>
      <c r="M13" s="43" t="n"/>
      <c r="N13" s="43" t="n"/>
      <c r="O13" s="43" t="n"/>
      <c r="P13" s="43" t="n"/>
      <c r="Q13" s="43" t="inlineStr">
        <is>
          <t>BOARD</t>
        </is>
      </c>
      <c r="R13" s="33" t="inlineStr">
        <is>
          <t>REVISAR D602196: verificar accion documentada, PN/revision y vigencia para la corrida. No autoriza sustitucion ni uso de material.</t>
        </is>
      </c>
      <c r="S13" s="43" t="inlineStr">
        <is>
          <t>INFO</t>
        </is>
      </c>
      <c r="T13" s="33" t="inlineStr">
        <is>
          <t>Validar desviacion aprobada y estado; contrastar PN exacto y revision con Common DB, BOM/AVL, WO y fecha de corrida.</t>
        </is>
      </c>
      <c r="U13" s="33" t="inlineStr">
        <is>
          <t>Documento oficial firmado, autorizacion FJZ, revision/WO de alcance, confirmacion BOM y evidencia de implementacion si aplica.</t>
        </is>
      </c>
      <c r="V13" s="43" t="n"/>
      <c r="W13" s="43" t="n"/>
      <c r="X13" s="43" t="inlineStr">
        <is>
          <t>INFO</t>
        </is>
      </c>
      <c r="Y13" s="43" t="n"/>
      <c r="Z13" s="43" t="inlineStr">
        <is>
          <t>Pending Review</t>
        </is>
      </c>
      <c r="AA13" s="43" t="inlineStr">
        <is>
          <t>N</t>
        </is>
      </c>
      <c r="AB13" s="43" t="n"/>
      <c r="AC13" s="33" t="inlineStr">
        <is>
          <t xml:space="preserve">FUENTE: Deviation.csv filas 1599; Item Number original=73-20249-06 (prefijo 73- es CANDIDATO de PCBA, no confirmacion en Common DB); Workflow de origen=Expired; FJZ no validado, revision PCBA/WO no informadas. </t>
        </is>
      </c>
    </row>
    <row r="14">
      <c r="A14" s="43" t="inlineStr">
        <is>
          <t>DA-CTANJZ04475-SRGBU-73-14503-08</t>
        </is>
      </c>
      <c r="B14" s="43" t="n"/>
      <c r="C14" s="43" t="n"/>
      <c r="D14" s="43" t="inlineStr">
        <is>
          <t>73-14503-08</t>
        </is>
      </c>
      <c r="E14" s="43" t="inlineStr">
        <is>
          <t>DEV-CTANJZ04475</t>
        </is>
      </c>
      <c r="F14" s="43" t="n"/>
      <c r="G14" s="43" t="inlineStr">
        <is>
          <t>SRGBU</t>
        </is>
      </c>
      <c r="H14" s="43" t="n"/>
      <c r="I14" s="43" t="n"/>
      <c r="J14" s="43" t="n"/>
      <c r="K14" s="43" t="n"/>
      <c r="L14" s="43" t="n"/>
      <c r="M14" s="43" t="n"/>
      <c r="N14" s="43" t="n"/>
      <c r="O14" s="43" t="n"/>
      <c r="P14" s="43" t="n"/>
      <c r="Q14" s="43" t="inlineStr">
        <is>
          <t>BOARD</t>
        </is>
      </c>
      <c r="R14" s="33" t="inlineStr">
        <is>
          <t>REVISAR D602181: verificar accion documentada, PN/revision y vigencia para la corrida. No autoriza sustitucion ni uso de material.</t>
        </is>
      </c>
      <c r="S14" s="43" t="inlineStr">
        <is>
          <t>INFO</t>
        </is>
      </c>
      <c r="T14" s="33" t="inlineStr">
        <is>
          <t>Validar desviacion aprobada y estado; contrastar PN exacto y revision con Common DB, BOM/AVL, WO y fecha de corrida.</t>
        </is>
      </c>
      <c r="U14" s="33" t="inlineStr">
        <is>
          <t>Documento oficial firmado, autorizacion FJZ, revision/WO de alcance, confirmacion BOM y evidencia de implementacion si aplica.</t>
        </is>
      </c>
      <c r="V14" s="43" t="n"/>
      <c r="W14" s="43" t="n"/>
      <c r="X14" s="43" t="inlineStr">
        <is>
          <t>INFO</t>
        </is>
      </c>
      <c r="Y14" s="43" t="n"/>
      <c r="Z14" s="43" t="inlineStr">
        <is>
          <t>Pending Review</t>
        </is>
      </c>
      <c r="AA14" s="43" t="inlineStr">
        <is>
          <t>N</t>
        </is>
      </c>
      <c r="AB14" s="43" t="n"/>
      <c r="AC14" s="33" t="inlineStr">
        <is>
          <t xml:space="preserve">FUENTE: Deviation.csv filas 339; Item Number original=73-14503-08 (prefijo 73- es CANDIDATO de PCBA, no confirmacion en Common DB); Workflow de origen=Expired; FJZ no validado, revision PCBA/WO no informadas. </t>
        </is>
      </c>
    </row>
    <row r="15">
      <c r="A15" s="43" t="inlineStr">
        <is>
          <t>DA-CTANJZ04475-SRGBU-73-14504-09</t>
        </is>
      </c>
      <c r="B15" s="43" t="n"/>
      <c r="C15" s="43" t="n"/>
      <c r="D15" s="43" t="inlineStr">
        <is>
          <t>73-14504-09</t>
        </is>
      </c>
      <c r="E15" s="43" t="inlineStr">
        <is>
          <t>DEV-CTANJZ04475</t>
        </is>
      </c>
      <c r="F15" s="43" t="n"/>
      <c r="G15" s="43" t="inlineStr">
        <is>
          <t>SRGBU</t>
        </is>
      </c>
      <c r="H15" s="43" t="n"/>
      <c r="I15" s="43" t="n"/>
      <c r="J15" s="43" t="n"/>
      <c r="K15" s="43" t="n"/>
      <c r="L15" s="43" t="n"/>
      <c r="M15" s="43" t="n"/>
      <c r="N15" s="43" t="n"/>
      <c r="O15" s="43" t="n"/>
      <c r="P15" s="43" t="n"/>
      <c r="Q15" s="43" t="inlineStr">
        <is>
          <t>BOARD</t>
        </is>
      </c>
      <c r="R15" s="33" t="inlineStr">
        <is>
          <t>REVISAR D602181: verificar accion documentada, PN/revision y vigencia para la corrida. No autoriza sustitucion ni uso de material.</t>
        </is>
      </c>
      <c r="S15" s="43" t="inlineStr">
        <is>
          <t>INFO</t>
        </is>
      </c>
      <c r="T15" s="33" t="inlineStr">
        <is>
          <t>Validar desviacion aprobada y estado; contrastar PN exacto y revision con Common DB, BOM/AVL, WO y fecha de corrida.</t>
        </is>
      </c>
      <c r="U15" s="33" t="inlineStr">
        <is>
          <t>Documento oficial firmado, autorizacion FJZ, revision/WO de alcance, confirmacion BOM y evidencia de implementacion si aplica.</t>
        </is>
      </c>
      <c r="V15" s="43" t="n"/>
      <c r="W15" s="43" t="n"/>
      <c r="X15" s="43" t="inlineStr">
        <is>
          <t>INFO</t>
        </is>
      </c>
      <c r="Y15" s="43" t="n"/>
      <c r="Z15" s="43" t="inlineStr">
        <is>
          <t>Pending Review</t>
        </is>
      </c>
      <c r="AA15" s="43" t="inlineStr">
        <is>
          <t>N</t>
        </is>
      </c>
      <c r="AB15" s="43" t="n"/>
      <c r="AC15" s="33" t="inlineStr">
        <is>
          <t xml:space="preserve">FUENTE: Deviation.csv filas 340; Item Number original=73-14504-09 (prefijo 73- es CANDIDATO de PCBA, no confirmacion en Common DB); Workflow de origen=Expired; FJZ no validado, revision PCBA/WO no informadas. </t>
        </is>
      </c>
    </row>
    <row r="16">
      <c r="A16" s="43" t="inlineStr">
        <is>
          <t>DA-CTANJZ04475-SRGBU-73-14505-09</t>
        </is>
      </c>
      <c r="B16" s="43" t="n"/>
      <c r="C16" s="43" t="n"/>
      <c r="D16" s="43" t="inlineStr">
        <is>
          <t>73-14505-09</t>
        </is>
      </c>
      <c r="E16" s="43" t="inlineStr">
        <is>
          <t>DEV-CTANJZ04475</t>
        </is>
      </c>
      <c r="F16" s="43" t="n"/>
      <c r="G16" s="43" t="inlineStr">
        <is>
          <t>SRGBU</t>
        </is>
      </c>
      <c r="H16" s="43" t="n"/>
      <c r="I16" s="43" t="n"/>
      <c r="J16" s="43" t="n"/>
      <c r="K16" s="43" t="n"/>
      <c r="L16" s="43" t="n"/>
      <c r="M16" s="43" t="n"/>
      <c r="N16" s="43" t="n"/>
      <c r="O16" s="43" t="n"/>
      <c r="P16" s="43" t="n"/>
      <c r="Q16" s="43" t="inlineStr">
        <is>
          <t>BOARD</t>
        </is>
      </c>
      <c r="R16" s="33" t="inlineStr">
        <is>
          <t>REVISAR D602181: verificar accion documentada, PN/revision y vigencia para la corrida. No autoriza sustitucion ni uso de material.</t>
        </is>
      </c>
      <c r="S16" s="43" t="inlineStr">
        <is>
          <t>INFO</t>
        </is>
      </c>
      <c r="T16" s="33" t="inlineStr">
        <is>
          <t>Validar desviacion aprobada y estado; contrastar PN exacto y revision con Common DB, BOM/AVL, WO y fecha de corrida.</t>
        </is>
      </c>
      <c r="U16" s="33" t="inlineStr">
        <is>
          <t>Documento oficial firmado, autorizacion FJZ, revision/WO de alcance, confirmacion BOM y evidencia de implementacion si aplica.</t>
        </is>
      </c>
      <c r="V16" s="43" t="n"/>
      <c r="W16" s="43" t="n"/>
      <c r="X16" s="43" t="inlineStr">
        <is>
          <t>INFO</t>
        </is>
      </c>
      <c r="Y16" s="43" t="n"/>
      <c r="Z16" s="43" t="inlineStr">
        <is>
          <t>Pending Review</t>
        </is>
      </c>
      <c r="AA16" s="43" t="inlineStr">
        <is>
          <t>N</t>
        </is>
      </c>
      <c r="AB16" s="43" t="n"/>
      <c r="AC16" s="33" t="inlineStr">
        <is>
          <t xml:space="preserve">FUENTE: Deviation.csv filas 341; Item Number original=73-14505-09 (prefijo 73- es CANDIDATO de PCBA, no confirmacion en Common DB); Workflow de origen=Expired; FJZ no validado, revision PCBA/WO no informadas. </t>
        </is>
      </c>
    </row>
    <row r="17">
      <c r="A17" s="43" t="inlineStr">
        <is>
          <t>DA-CTANJZ04475-SRGBU-73-14506-08</t>
        </is>
      </c>
      <c r="B17" s="43" t="n"/>
      <c r="C17" s="43" t="n"/>
      <c r="D17" s="43" t="inlineStr">
        <is>
          <t>73-14506-08</t>
        </is>
      </c>
      <c r="E17" s="43" t="inlineStr">
        <is>
          <t>DEV-CTANJZ04475</t>
        </is>
      </c>
      <c r="F17" s="43" t="n"/>
      <c r="G17" s="43" t="inlineStr">
        <is>
          <t>SRGBU</t>
        </is>
      </c>
      <c r="H17" s="43" t="n"/>
      <c r="I17" s="43" t="n"/>
      <c r="J17" s="43" t="n"/>
      <c r="K17" s="43" t="n"/>
      <c r="L17" s="43" t="n"/>
      <c r="M17" s="43" t="n"/>
      <c r="N17" s="43" t="n"/>
      <c r="O17" s="43" t="n"/>
      <c r="P17" s="43" t="n"/>
      <c r="Q17" s="43" t="inlineStr">
        <is>
          <t>BOARD</t>
        </is>
      </c>
      <c r="R17" s="33" t="inlineStr">
        <is>
          <t>REVISAR D602181: verificar accion documentada, PN/revision y vigencia para la corrida. No autoriza sustitucion ni uso de material.</t>
        </is>
      </c>
      <c r="S17" s="43" t="inlineStr">
        <is>
          <t>INFO</t>
        </is>
      </c>
      <c r="T17" s="33" t="inlineStr">
        <is>
          <t>Validar desviacion aprobada y estado; contrastar PN exacto y revision con Common DB, BOM/AVL, WO y fecha de corrida.</t>
        </is>
      </c>
      <c r="U17" s="33" t="inlineStr">
        <is>
          <t>Documento oficial firmado, autorizacion FJZ, revision/WO de alcance, confirmacion BOM y evidencia de implementacion si aplica.</t>
        </is>
      </c>
      <c r="V17" s="43" t="n"/>
      <c r="W17" s="43" t="n"/>
      <c r="X17" s="43" t="inlineStr">
        <is>
          <t>INFO</t>
        </is>
      </c>
      <c r="Y17" s="43" t="n"/>
      <c r="Z17" s="43" t="inlineStr">
        <is>
          <t>Pending Review</t>
        </is>
      </c>
      <c r="AA17" s="43" t="inlineStr">
        <is>
          <t>N</t>
        </is>
      </c>
      <c r="AB17" s="43" t="n"/>
      <c r="AC17" s="33" t="inlineStr">
        <is>
          <t xml:space="preserve">FUENTE: Deviation.csv filas 342; Item Number original=73-14506-08 (prefijo 73- es CANDIDATO de PCBA, no confirmacion en Common DB); Workflow de origen=Expired; FJZ no validado, revision PCBA/WO no informadas. </t>
        </is>
      </c>
    </row>
    <row r="18">
      <c r="A18" s="43" t="inlineStr">
        <is>
          <t>DA-CTANJZ04475-SRGBU-73-15195-05</t>
        </is>
      </c>
      <c r="B18" s="43" t="n"/>
      <c r="C18" s="43" t="n"/>
      <c r="D18" s="43" t="inlineStr">
        <is>
          <t>73-15195-05</t>
        </is>
      </c>
      <c r="E18" s="43" t="inlineStr">
        <is>
          <t>DEV-CTANJZ04475</t>
        </is>
      </c>
      <c r="F18" s="43" t="n"/>
      <c r="G18" s="43" t="inlineStr">
        <is>
          <t>SRGBU</t>
        </is>
      </c>
      <c r="H18" s="43" t="n"/>
      <c r="I18" s="43" t="n"/>
      <c r="J18" s="43" t="n"/>
      <c r="K18" s="43" t="n"/>
      <c r="L18" s="43" t="n"/>
      <c r="M18" s="43" t="n"/>
      <c r="N18" s="43" t="n"/>
      <c r="O18" s="43" t="n"/>
      <c r="P18" s="43" t="n"/>
      <c r="Q18" s="43" t="inlineStr">
        <is>
          <t>BOARD</t>
        </is>
      </c>
      <c r="R18" s="33" t="inlineStr">
        <is>
          <t>REVISAR D602181: verificar accion documentada, PN/revision y vigencia para la corrida. No autoriza sustitucion ni uso de material.</t>
        </is>
      </c>
      <c r="S18" s="43" t="inlineStr">
        <is>
          <t>INFO</t>
        </is>
      </c>
      <c r="T18" s="33" t="inlineStr">
        <is>
          <t>Validar desviacion aprobada y estado; contrastar PN exacto y revision con Common DB, BOM/AVL, WO y fecha de corrida.</t>
        </is>
      </c>
      <c r="U18" s="33" t="inlineStr">
        <is>
          <t>Documento oficial firmado, autorizacion FJZ, revision/WO de alcance, confirmacion BOM y evidencia de implementacion si aplica.</t>
        </is>
      </c>
      <c r="V18" s="43" t="n"/>
      <c r="W18" s="43" t="n"/>
      <c r="X18" s="43" t="inlineStr">
        <is>
          <t>INFO</t>
        </is>
      </c>
      <c r="Y18" s="43" t="n"/>
      <c r="Z18" s="43" t="inlineStr">
        <is>
          <t>Pending Review</t>
        </is>
      </c>
      <c r="AA18" s="43" t="inlineStr">
        <is>
          <t>N</t>
        </is>
      </c>
      <c r="AB18" s="43" t="n"/>
      <c r="AC18" s="33" t="inlineStr">
        <is>
          <t xml:space="preserve">FUENTE: Deviation.csv filas 343; Item Number original=73-15195-05 (prefijo 73- es CANDIDATO de PCBA, no confirmacion en Common DB); Workflow de origen=Expired; FJZ no validado, revision PCBA/WO no informadas. </t>
        </is>
      </c>
    </row>
    <row r="19">
      <c r="A19" s="43" t="inlineStr">
        <is>
          <t>DA-CTANJZ04475-SRGBU-73-15196-05</t>
        </is>
      </c>
      <c r="B19" s="43" t="n"/>
      <c r="C19" s="43" t="n"/>
      <c r="D19" s="43" t="inlineStr">
        <is>
          <t>73-15196-05</t>
        </is>
      </c>
      <c r="E19" s="43" t="inlineStr">
        <is>
          <t>DEV-CTANJZ04475</t>
        </is>
      </c>
      <c r="F19" s="43" t="n"/>
      <c r="G19" s="43" t="inlineStr">
        <is>
          <t>SRGBU</t>
        </is>
      </c>
      <c r="H19" s="43" t="n"/>
      <c r="I19" s="43" t="n"/>
      <c r="J19" s="43" t="n"/>
      <c r="K19" s="43" t="n"/>
      <c r="L19" s="43" t="n"/>
      <c r="M19" s="43" t="n"/>
      <c r="N19" s="43" t="n"/>
      <c r="O19" s="43" t="n"/>
      <c r="P19" s="43" t="n"/>
      <c r="Q19" s="43" t="inlineStr">
        <is>
          <t>BOARD</t>
        </is>
      </c>
      <c r="R19" s="33" t="inlineStr">
        <is>
          <t>REVISAR D602181: verificar accion documentada, PN/revision y vigencia para la corrida. No autoriza sustitucion ni uso de material.</t>
        </is>
      </c>
      <c r="S19" s="43" t="inlineStr">
        <is>
          <t>INFO</t>
        </is>
      </c>
      <c r="T19" s="33" t="inlineStr">
        <is>
          <t>Validar desviacion aprobada y estado; contrastar PN exacto y revision con Common DB, BOM/AVL, WO y fecha de corrida.</t>
        </is>
      </c>
      <c r="U19" s="33" t="inlineStr">
        <is>
          <t>Documento oficial firmado, autorizacion FJZ, revision/WO de alcance, confirmacion BOM y evidencia de implementacion si aplica.</t>
        </is>
      </c>
      <c r="V19" s="43" t="n"/>
      <c r="W19" s="43" t="n"/>
      <c r="X19" s="43" t="inlineStr">
        <is>
          <t>INFO</t>
        </is>
      </c>
      <c r="Y19" s="43" t="n"/>
      <c r="Z19" s="43" t="inlineStr">
        <is>
          <t>Pending Review</t>
        </is>
      </c>
      <c r="AA19" s="43" t="inlineStr">
        <is>
          <t>N</t>
        </is>
      </c>
      <c r="AB19" s="43" t="n"/>
      <c r="AC19" s="33" t="inlineStr">
        <is>
          <t xml:space="preserve">FUENTE: Deviation.csv filas 344; Item Number original=73-15196-05 (prefijo 73- es CANDIDATO de PCBA, no confirmacion en Common DB); Workflow de origen=Expired; FJZ no validado, revision PCBA/WO no informadas. </t>
        </is>
      </c>
    </row>
    <row r="20">
      <c r="A20" s="43" t="inlineStr">
        <is>
          <t>DA-CTANJZ04475-SRGBU-73-15197-05</t>
        </is>
      </c>
      <c r="B20" s="43" t="n"/>
      <c r="C20" s="43" t="n"/>
      <c r="D20" s="43" t="inlineStr">
        <is>
          <t>73-15197-05</t>
        </is>
      </c>
      <c r="E20" s="43" t="inlineStr">
        <is>
          <t>DEV-CTANJZ04475</t>
        </is>
      </c>
      <c r="F20" s="43" t="n"/>
      <c r="G20" s="43" t="inlineStr">
        <is>
          <t>SRGBU</t>
        </is>
      </c>
      <c r="H20" s="43" t="n"/>
      <c r="I20" s="43" t="n"/>
      <c r="J20" s="43" t="n"/>
      <c r="K20" s="43" t="n"/>
      <c r="L20" s="43" t="n"/>
      <c r="M20" s="43" t="n"/>
      <c r="N20" s="43" t="n"/>
      <c r="O20" s="43" t="n"/>
      <c r="P20" s="43" t="n"/>
      <c r="Q20" s="43" t="inlineStr">
        <is>
          <t>BOARD</t>
        </is>
      </c>
      <c r="R20" s="33" t="inlineStr">
        <is>
          <t>REVISAR D602181: verificar accion documentada, PN/revision y vigencia para la corrida. No autoriza sustitucion ni uso de material.</t>
        </is>
      </c>
      <c r="S20" s="43" t="inlineStr">
        <is>
          <t>INFO</t>
        </is>
      </c>
      <c r="T20" s="33" t="inlineStr">
        <is>
          <t>Validar desviacion aprobada y estado; contrastar PN exacto y revision con Common DB, BOM/AVL, WO y fecha de corrida.</t>
        </is>
      </c>
      <c r="U20" s="33" t="inlineStr">
        <is>
          <t>Documento oficial firmado, autorizacion FJZ, revision/WO de alcance, confirmacion BOM y evidencia de implementacion si aplica.</t>
        </is>
      </c>
      <c r="V20" s="43" t="n"/>
      <c r="W20" s="43" t="n"/>
      <c r="X20" s="43" t="inlineStr">
        <is>
          <t>INFO</t>
        </is>
      </c>
      <c r="Y20" s="43" t="n"/>
      <c r="Z20" s="43" t="inlineStr">
        <is>
          <t>Pending Review</t>
        </is>
      </c>
      <c r="AA20" s="43" t="inlineStr">
        <is>
          <t>N</t>
        </is>
      </c>
      <c r="AB20" s="43" t="n"/>
      <c r="AC20" s="33" t="inlineStr">
        <is>
          <t xml:space="preserve">FUENTE: Deviation.csv filas 345; Item Number original=73-15197-05 (prefijo 73- es CANDIDATO de PCBA, no confirmacion en Common DB); Workflow de origen=Expired; FJZ no validado, revision PCBA/WO no informadas. </t>
        </is>
      </c>
    </row>
    <row r="21">
      <c r="A21" s="43" t="inlineStr">
        <is>
          <t>DA-CTANJZ04475-SRGBU-73-16084-04</t>
        </is>
      </c>
      <c r="B21" s="43" t="n"/>
      <c r="C21" s="43" t="n"/>
      <c r="D21" s="43" t="inlineStr">
        <is>
          <t>73-16084-04</t>
        </is>
      </c>
      <c r="E21" s="43" t="inlineStr">
        <is>
          <t>DEV-CTANJZ04475</t>
        </is>
      </c>
      <c r="F21" s="43" t="n"/>
      <c r="G21" s="43" t="inlineStr">
        <is>
          <t>SRGBU</t>
        </is>
      </c>
      <c r="H21" s="43" t="n"/>
      <c r="I21" s="43" t="n"/>
      <c r="J21" s="43" t="n"/>
      <c r="K21" s="43" t="n"/>
      <c r="L21" s="43" t="n"/>
      <c r="M21" s="43" t="n"/>
      <c r="N21" s="43" t="n"/>
      <c r="O21" s="43" t="n"/>
      <c r="P21" s="43" t="n"/>
      <c r="Q21" s="43" t="inlineStr">
        <is>
          <t>BOARD</t>
        </is>
      </c>
      <c r="R21" s="33" t="inlineStr">
        <is>
          <t>REVISAR D602181: verificar accion documentada, PN/revision y vigencia para la corrida. No autoriza sustitucion ni uso de material.</t>
        </is>
      </c>
      <c r="S21" s="43" t="inlineStr">
        <is>
          <t>INFO</t>
        </is>
      </c>
      <c r="T21" s="33" t="inlineStr">
        <is>
          <t>Validar desviacion aprobada y estado; contrastar PN exacto y revision con Common DB, BOM/AVL, WO y fecha de corrida.</t>
        </is>
      </c>
      <c r="U21" s="33" t="inlineStr">
        <is>
          <t>Documento oficial firmado, autorizacion FJZ, revision/WO de alcance, confirmacion BOM y evidencia de implementacion si aplica.</t>
        </is>
      </c>
      <c r="V21" s="43" t="n"/>
      <c r="W21" s="43" t="n"/>
      <c r="X21" s="43" t="inlineStr">
        <is>
          <t>INFO</t>
        </is>
      </c>
      <c r="Y21" s="43" t="n"/>
      <c r="Z21" s="43" t="inlineStr">
        <is>
          <t>Pending Review</t>
        </is>
      </c>
      <c r="AA21" s="43" t="inlineStr">
        <is>
          <t>N</t>
        </is>
      </c>
      <c r="AB21" s="43" t="n"/>
      <c r="AC21" s="33" t="inlineStr">
        <is>
          <t xml:space="preserve">FUENTE: Deviation.csv filas 346; Item Number original=73-16084-04 (prefijo 73- es CANDIDATO de PCBA, no confirmacion en Common DB); Workflow de origen=Expired; FJZ no validado, revision PCBA/WO no informadas. </t>
        </is>
      </c>
    </row>
    <row r="22">
      <c r="A22" s="43" t="inlineStr">
        <is>
          <t>DA-CTANJZ04475-SRGBU-73-16524-03</t>
        </is>
      </c>
      <c r="B22" s="43" t="n"/>
      <c r="C22" s="43" t="n"/>
      <c r="D22" s="43" t="inlineStr">
        <is>
          <t>73-16524-03</t>
        </is>
      </c>
      <c r="E22" s="43" t="inlineStr">
        <is>
          <t>DEV-CTANJZ04475</t>
        </is>
      </c>
      <c r="F22" s="43" t="n"/>
      <c r="G22" s="43" t="inlineStr">
        <is>
          <t>SRGBU</t>
        </is>
      </c>
      <c r="H22" s="43" t="n"/>
      <c r="I22" s="43" t="n"/>
      <c r="J22" s="43" t="n"/>
      <c r="K22" s="43" t="n"/>
      <c r="L22" s="43" t="n"/>
      <c r="M22" s="43" t="n"/>
      <c r="N22" s="43" t="n"/>
      <c r="O22" s="43" t="n"/>
      <c r="P22" s="43" t="n"/>
      <c r="Q22" s="43" t="inlineStr">
        <is>
          <t>BOARD</t>
        </is>
      </c>
      <c r="R22" s="33" t="inlineStr">
        <is>
          <t>REVISAR D602181: verificar accion documentada, PN/revision y vigencia para la corrida. No autoriza sustitucion ni uso de material.</t>
        </is>
      </c>
      <c r="S22" s="43" t="inlineStr">
        <is>
          <t>INFO</t>
        </is>
      </c>
      <c r="T22" s="33" t="inlineStr">
        <is>
          <t>Validar desviacion aprobada y estado; contrastar PN exacto y revision con Common DB, BOM/AVL, WO y fecha de corrida.</t>
        </is>
      </c>
      <c r="U22" s="33" t="inlineStr">
        <is>
          <t>Documento oficial firmado, autorizacion FJZ, revision/WO de alcance, confirmacion BOM y evidencia de implementacion si aplica.</t>
        </is>
      </c>
      <c r="V22" s="43" t="n"/>
      <c r="W22" s="43" t="n"/>
      <c r="X22" s="43" t="inlineStr">
        <is>
          <t>INFO</t>
        </is>
      </c>
      <c r="Y22" s="43" t="n"/>
      <c r="Z22" s="43" t="inlineStr">
        <is>
          <t>Pending Review</t>
        </is>
      </c>
      <c r="AA22" s="43" t="inlineStr">
        <is>
          <t>N</t>
        </is>
      </c>
      <c r="AB22" s="43" t="n"/>
      <c r="AC22" s="33" t="inlineStr">
        <is>
          <t xml:space="preserve">FUENTE: Deviation.csv filas 347; Item Number original=73-16524-03 (prefijo 73- es CANDIDATO de PCBA, no confirmacion en Common DB); Workflow de origen=Expired; FJZ no validado, revision PCBA/WO no informadas. </t>
        </is>
      </c>
    </row>
    <row r="23">
      <c r="A23" s="43" t="inlineStr">
        <is>
          <t>DA-CTANJZ04475-SRGBU-73-19107-04</t>
        </is>
      </c>
      <c r="B23" s="43" t="n"/>
      <c r="C23" s="43" t="n"/>
      <c r="D23" s="43" t="inlineStr">
        <is>
          <t>73-19107-04</t>
        </is>
      </c>
      <c r="E23" s="43" t="inlineStr">
        <is>
          <t>DEV-CTANJZ04475</t>
        </is>
      </c>
      <c r="F23" s="43" t="n"/>
      <c r="G23" s="43" t="inlineStr">
        <is>
          <t>SRGBU</t>
        </is>
      </c>
      <c r="H23" s="43" t="n"/>
      <c r="I23" s="43" t="n"/>
      <c r="J23" s="43" t="n"/>
      <c r="K23" s="43" t="n"/>
      <c r="L23" s="43" t="n"/>
      <c r="M23" s="43" t="n"/>
      <c r="N23" s="43" t="n"/>
      <c r="O23" s="43" t="n"/>
      <c r="P23" s="43" t="n"/>
      <c r="Q23" s="43" t="inlineStr">
        <is>
          <t>BOARD</t>
        </is>
      </c>
      <c r="R23" s="33" t="inlineStr">
        <is>
          <t>REVISAR D602181: verificar accion documentada, PN/revision y vigencia para la corrida. No autoriza sustitucion ni uso de material.</t>
        </is>
      </c>
      <c r="S23" s="43" t="inlineStr">
        <is>
          <t>INFO</t>
        </is>
      </c>
      <c r="T23" s="33" t="inlineStr">
        <is>
          <t>Validar desviacion aprobada y estado; contrastar PN exacto y revision con Common DB, BOM/AVL, WO y fecha de corrida.</t>
        </is>
      </c>
      <c r="U23" s="33" t="inlineStr">
        <is>
          <t>Documento oficial firmado, autorizacion FJZ, revision/WO de alcance, confirmacion BOM y evidencia de implementacion si aplica.</t>
        </is>
      </c>
      <c r="V23" s="43" t="n"/>
      <c r="W23" s="43" t="n"/>
      <c r="X23" s="43" t="inlineStr">
        <is>
          <t>INFO</t>
        </is>
      </c>
      <c r="Y23" s="43" t="n"/>
      <c r="Z23" s="43" t="inlineStr">
        <is>
          <t>Pending Review</t>
        </is>
      </c>
      <c r="AA23" s="43" t="inlineStr">
        <is>
          <t>N</t>
        </is>
      </c>
      <c r="AB23" s="43" t="n"/>
      <c r="AC23" s="33" t="inlineStr">
        <is>
          <t xml:space="preserve">FUENTE: Deviation.csv filas 359; Item Number original=73-19107-04 (prefijo 73- es CANDIDATO de PCBA, no confirmacion en Common DB); Workflow de origen=Expired; FJZ no validado, revision PCBA/WO no informadas. </t>
        </is>
      </c>
    </row>
    <row r="24">
      <c r="A24" s="43" t="inlineStr">
        <is>
          <t>DA-CTANJZ04478-IOTBU-73-103150-03</t>
        </is>
      </c>
      <c r="B24" s="43" t="n"/>
      <c r="C24" s="43" t="n"/>
      <c r="D24" s="43" t="inlineStr">
        <is>
          <t>73-103150-03</t>
        </is>
      </c>
      <c r="E24" s="43" t="inlineStr">
        <is>
          <t>DEV-CTANJZ04478</t>
        </is>
      </c>
      <c r="F24" s="43" t="n"/>
      <c r="G24" s="43" t="inlineStr">
        <is>
          <t>IOTBU</t>
        </is>
      </c>
      <c r="H24" s="43" t="n"/>
      <c r="I24" s="43" t="n"/>
      <c r="J24" s="43" t="n"/>
      <c r="K24" s="43" t="n"/>
      <c r="L24" s="43" t="n"/>
      <c r="M24" s="43" t="n"/>
      <c r="N24" s="43" t="n"/>
      <c r="O24" s="43" t="n"/>
      <c r="P24" s="43" t="n"/>
      <c r="Q24" s="43" t="inlineStr">
        <is>
          <t>BOARD</t>
        </is>
      </c>
      <c r="R24" s="33" t="inlineStr">
        <is>
          <t>REVISAR DP524571: verificar accion documentada, PN/revision y vigencia para la corrida. No autoriza sustitucion ni uso de material.</t>
        </is>
      </c>
      <c r="S24" s="43" t="inlineStr">
        <is>
          <t>INFO</t>
        </is>
      </c>
      <c r="T24" s="33" t="inlineStr">
        <is>
          <t>Validar desviacion aprobada y estado; contrastar PN exacto y revision con Common DB, BOM/AVL, WO y fecha de corrida.</t>
        </is>
      </c>
      <c r="U24" s="33" t="inlineStr">
        <is>
          <t>Documento oficial firmado, autorizacion FJZ, revision/WO de alcance, confirmacion BOM y evidencia de implementacion si aplica.</t>
        </is>
      </c>
      <c r="V24" s="43" t="n"/>
      <c r="W24" s="43" t="n"/>
      <c r="X24" s="43" t="inlineStr">
        <is>
          <t>INFO</t>
        </is>
      </c>
      <c r="Y24" s="43" t="n"/>
      <c r="Z24" s="43" t="inlineStr">
        <is>
          <t>Pending Review</t>
        </is>
      </c>
      <c r="AA24" s="43" t="inlineStr">
        <is>
          <t>N</t>
        </is>
      </c>
      <c r="AB24" s="43" t="n"/>
      <c r="AC24" s="33" t="inlineStr">
        <is>
          <t xml:space="preserve">FUENTE: Deviation.csv filas 379; Item Number original=73-103150-03 (prefijo 73- es CANDIDATO de PCBA, no confirmacion en Common DB); Workflow de origen=Expired; FJZ no validado, revision PCBA/WO no informadas. </t>
        </is>
      </c>
    </row>
    <row r="25">
      <c r="A25" s="43" t="inlineStr">
        <is>
          <t>DA-CTANJZ04481-STBU-73-19332-01</t>
        </is>
      </c>
      <c r="B25" s="43" t="n"/>
      <c r="C25" s="43" t="n"/>
      <c r="D25" s="43" t="inlineStr">
        <is>
          <t>73-19332-01</t>
        </is>
      </c>
      <c r="E25" s="43" t="inlineStr">
        <is>
          <t>DEV-CTANJZ04481</t>
        </is>
      </c>
      <c r="F25" s="43" t="n"/>
      <c r="G25" s="43" t="inlineStr">
        <is>
          <t>STBU</t>
        </is>
      </c>
      <c r="H25" s="43" t="n"/>
      <c r="I25" s="43" t="n"/>
      <c r="J25" s="43" t="n"/>
      <c r="K25" s="43" t="n"/>
      <c r="L25" s="43" t="n"/>
      <c r="M25" s="43" t="n"/>
      <c r="N25" s="43" t="n"/>
      <c r="O25" s="43" t="n"/>
      <c r="P25" s="43" t="n"/>
      <c r="Q25" s="43" t="inlineStr">
        <is>
          <t>BOARD</t>
        </is>
      </c>
      <c r="R25" s="33" t="inlineStr">
        <is>
          <t>REVISAR D600361: verificar accion documentada, PN/revision y vigencia para la corrida. No autoriza sustitucion ni uso de material.</t>
        </is>
      </c>
      <c r="S25" s="43" t="inlineStr">
        <is>
          <t>INFO</t>
        </is>
      </c>
      <c r="T25" s="33" t="inlineStr">
        <is>
          <t>Validar desviacion aprobada y estado; contrastar PN exacto y revision con Common DB, BOM/AVL, WO y fecha de corrida.</t>
        </is>
      </c>
      <c r="U25" s="33" t="inlineStr">
        <is>
          <t>Documento oficial firmado, autorizacion FJZ, revision/WO de alcance, confirmacion BOM y evidencia de implementacion si aplica.</t>
        </is>
      </c>
      <c r="V25" s="43" t="n"/>
      <c r="W25" s="43" t="n"/>
      <c r="X25" s="43" t="inlineStr">
        <is>
          <t>INFO</t>
        </is>
      </c>
      <c r="Y25" s="43" t="n"/>
      <c r="Z25" s="43" t="inlineStr">
        <is>
          <t>Pending Review</t>
        </is>
      </c>
      <c r="AA25" s="43" t="inlineStr">
        <is>
          <t>N</t>
        </is>
      </c>
      <c r="AB25" s="43" t="n"/>
      <c r="AC25" s="33" t="inlineStr">
        <is>
          <t xml:space="preserve">FUENTE: Deviation.csv filas 158; Item Number original=73-19332-01 (prefijo 73- es CANDIDATO de PCBA, no confirmacion en Common DB); Workflow de origen=Expired; FJZ no validado, revision PCBA/WO no informadas. </t>
        </is>
      </c>
    </row>
    <row r="26">
      <c r="A26" s="43" t="inlineStr">
        <is>
          <t>DA-CTANJZ04503-STBU-73-18489-07</t>
        </is>
      </c>
      <c r="B26" s="43" t="n"/>
      <c r="C26" s="43" t="n"/>
      <c r="D26" s="43" t="inlineStr">
        <is>
          <t>73-18489-07</t>
        </is>
      </c>
      <c r="E26" s="43" t="inlineStr">
        <is>
          <t>DEV-CTANJZ04503</t>
        </is>
      </c>
      <c r="F26" s="43" t="n"/>
      <c r="G26" s="43" t="inlineStr">
        <is>
          <t>STBU</t>
        </is>
      </c>
      <c r="H26" s="43" t="n"/>
      <c r="I26" s="43" t="n"/>
      <c r="J26" s="43" t="n"/>
      <c r="K26" s="43" t="n"/>
      <c r="L26" s="43" t="n"/>
      <c r="M26" s="43" t="n"/>
      <c r="N26" s="43" t="n"/>
      <c r="O26" s="43" t="n"/>
      <c r="P26" s="43" t="n"/>
      <c r="Q26" s="43" t="inlineStr">
        <is>
          <t>BOARD</t>
        </is>
      </c>
      <c r="R26" s="33" t="inlineStr">
        <is>
          <t>REVISAR D602312: verificar accion documentada, PN/revision y vigencia para la corrida. No autoriza sustitucion ni uso de material.</t>
        </is>
      </c>
      <c r="S26" s="43" t="inlineStr">
        <is>
          <t>INFO</t>
        </is>
      </c>
      <c r="T26" s="33" t="inlineStr">
        <is>
          <t>Validar desviacion aprobada y estado; contrastar PN exacto y revision con Common DB, BOM/AVL, WO y fecha de corrida.</t>
        </is>
      </c>
      <c r="U26" s="33" t="inlineStr">
        <is>
          <t>Documento oficial firmado, autorizacion FJZ, revision/WO de alcance, confirmacion BOM y evidencia de implementacion si aplica.</t>
        </is>
      </c>
      <c r="V26" s="43" t="n"/>
      <c r="W26" s="43" t="n"/>
      <c r="X26" s="43" t="inlineStr">
        <is>
          <t>INFO</t>
        </is>
      </c>
      <c r="Y26" s="43" t="n"/>
      <c r="Z26" s="43" t="inlineStr">
        <is>
          <t>Pending Review</t>
        </is>
      </c>
      <c r="AA26" s="43" t="inlineStr">
        <is>
          <t>N</t>
        </is>
      </c>
      <c r="AB26" s="43" t="n"/>
      <c r="AC26" s="33" t="inlineStr">
        <is>
          <t xml:space="preserve">FUENTE: Deviation.csv filas 1404; Item Number original=73-18489-07 (prefijo 73- es CANDIDATO de PCBA, no confirmacion en Common DB); Workflow de origen=Expired; FJZ no validado, revision PCBA/WO no informadas. </t>
        </is>
      </c>
    </row>
    <row r="27">
      <c r="A27" s="43" t="inlineStr">
        <is>
          <t>DA-CTANJZ04504-STBU-73-18489-07</t>
        </is>
      </c>
      <c r="B27" s="43" t="n"/>
      <c r="C27" s="43" t="n"/>
      <c r="D27" s="43" t="inlineStr">
        <is>
          <t>73-18489-07</t>
        </is>
      </c>
      <c r="E27" s="43" t="inlineStr">
        <is>
          <t>DEV-CTANJZ04504</t>
        </is>
      </c>
      <c r="F27" s="43" t="n"/>
      <c r="G27" s="43" t="inlineStr">
        <is>
          <t>STBU</t>
        </is>
      </c>
      <c r="H27" s="43" t="n"/>
      <c r="I27" s="43" t="n"/>
      <c r="J27" s="43" t="n"/>
      <c r="K27" s="43" t="n"/>
      <c r="L27" s="43" t="n"/>
      <c r="M27" s="43" t="n"/>
      <c r="N27" s="43" t="n"/>
      <c r="O27" s="43" t="n"/>
      <c r="P27" s="43" t="n"/>
      <c r="Q27" s="43" t="inlineStr">
        <is>
          <t>BOARD</t>
        </is>
      </c>
      <c r="R27" s="33" t="inlineStr">
        <is>
          <t>REVISAR D602218: verificar accion documentada, PN/revision y vigencia para la corrida. No autoriza sustitucion ni uso de material.</t>
        </is>
      </c>
      <c r="S27" s="43" t="inlineStr">
        <is>
          <t>INFO</t>
        </is>
      </c>
      <c r="T27" s="33" t="inlineStr">
        <is>
          <t>Validar desviacion aprobada y estado; contrastar PN exacto y revision con Common DB, BOM/AVL, WO y fecha de corrida.</t>
        </is>
      </c>
      <c r="U27" s="33" t="inlineStr">
        <is>
          <t>Documento oficial firmado, autorizacion FJZ, revision/WO de alcance, confirmacion BOM y evidencia de implementacion si aplica.</t>
        </is>
      </c>
      <c r="V27" s="43" t="n"/>
      <c r="W27" s="43" t="n"/>
      <c r="X27" s="43" t="inlineStr">
        <is>
          <t>INFO</t>
        </is>
      </c>
      <c r="Y27" s="43" t="n"/>
      <c r="Z27" s="43" t="inlineStr">
        <is>
          <t>Pending Review</t>
        </is>
      </c>
      <c r="AA27" s="43" t="inlineStr">
        <is>
          <t>N</t>
        </is>
      </c>
      <c r="AB27" s="43" t="n"/>
      <c r="AC27" s="33" t="inlineStr">
        <is>
          <t xml:space="preserve">FUENTE: Deviation.csv filas 1401; Item Number original=73-18489-07 (prefijo 73- es CANDIDATO de PCBA, no confirmacion en Common DB); Workflow de origen=Expired; FJZ no validado, revision PCBA/WO no informadas. </t>
        </is>
      </c>
    </row>
    <row r="28">
      <c r="A28" s="43" t="inlineStr">
        <is>
          <t>DA-CTANJZ04510-STBU-73-20247-05</t>
        </is>
      </c>
      <c r="B28" s="43" t="n"/>
      <c r="C28" s="43" t="n"/>
      <c r="D28" s="43" t="inlineStr">
        <is>
          <t>73-20247-05</t>
        </is>
      </c>
      <c r="E28" s="43" t="inlineStr">
        <is>
          <t>DEV-CTANJZ04510</t>
        </is>
      </c>
      <c r="F28" s="43" t="n"/>
      <c r="G28" s="43" t="inlineStr">
        <is>
          <t>STBU</t>
        </is>
      </c>
      <c r="H28" s="43" t="n"/>
      <c r="I28" s="43" t="n"/>
      <c r="J28" s="43" t="n"/>
      <c r="K28" s="43" t="n"/>
      <c r="L28" s="43" t="n"/>
      <c r="M28" s="43" t="n"/>
      <c r="N28" s="43" t="n"/>
      <c r="O28" s="43" t="n"/>
      <c r="P28" s="43" t="n"/>
      <c r="Q28" s="43" t="inlineStr">
        <is>
          <t>BOARD</t>
        </is>
      </c>
      <c r="R28" s="33" t="inlineStr">
        <is>
          <t>REVISAR D601185: verificar accion documentada, PN/revision y vigencia para la corrida. No autoriza sustitucion ni uso de material.</t>
        </is>
      </c>
      <c r="S28" s="43" t="inlineStr">
        <is>
          <t>INFO</t>
        </is>
      </c>
      <c r="T28" s="33" t="inlineStr">
        <is>
          <t>Validar desviacion aprobada y estado; contrastar PN exacto y revision con Common DB, BOM/AVL, WO y fecha de corrida.</t>
        </is>
      </c>
      <c r="U28" s="33" t="inlineStr">
        <is>
          <t>Documento oficial firmado, autorizacion FJZ, revision/WO de alcance, confirmacion BOM y evidencia de implementacion si aplica.</t>
        </is>
      </c>
      <c r="V28" s="43" t="n"/>
      <c r="W28" s="43" t="n"/>
      <c r="X28" s="43" t="inlineStr">
        <is>
          <t>INFO</t>
        </is>
      </c>
      <c r="Y28" s="43" t="n"/>
      <c r="Z28" s="43" t="inlineStr">
        <is>
          <t>Pending Review</t>
        </is>
      </c>
      <c r="AA28" s="43" t="inlineStr">
        <is>
          <t>N</t>
        </is>
      </c>
      <c r="AB28" s="43" t="n"/>
      <c r="AC28" s="33" t="inlineStr">
        <is>
          <t xml:space="preserve">FUENTE: Deviation.csv filas 1456; Item Number original=73-20247-05 (prefijo 73- es CANDIDATO de PCBA, no confirmacion en Common DB); Workflow de origen=Expired; FJZ no validado, revision PCBA/WO no informadas. </t>
        </is>
      </c>
    </row>
    <row r="29">
      <c r="A29" s="43" t="inlineStr">
        <is>
          <t>DA-CTANJZ04512-STBU-73-20247-05</t>
        </is>
      </c>
      <c r="B29" s="43" t="n"/>
      <c r="C29" s="43" t="n"/>
      <c r="D29" s="43" t="inlineStr">
        <is>
          <t>73-20247-05</t>
        </is>
      </c>
      <c r="E29" s="43" t="inlineStr">
        <is>
          <t>DEV-CTANJZ04512</t>
        </is>
      </c>
      <c r="F29" s="43" t="n"/>
      <c r="G29" s="43" t="inlineStr">
        <is>
          <t>STBU</t>
        </is>
      </c>
      <c r="H29" s="43" t="n"/>
      <c r="I29" s="43" t="n"/>
      <c r="J29" s="43" t="n"/>
      <c r="K29" s="43" t="n"/>
      <c r="L29" s="43" t="n"/>
      <c r="M29" s="43" t="n"/>
      <c r="N29" s="43" t="n"/>
      <c r="O29" s="43" t="n"/>
      <c r="P29" s="43" t="n"/>
      <c r="Q29" s="43" t="inlineStr">
        <is>
          <t>BOARD</t>
        </is>
      </c>
      <c r="R29" s="33" t="inlineStr">
        <is>
          <t>REVISAR D602969: verificar accion documentada, PN/revision y vigencia para la corrida. No autoriza sustitucion ni uso de material.</t>
        </is>
      </c>
      <c r="S29" s="43" t="inlineStr">
        <is>
          <t>INFO</t>
        </is>
      </c>
      <c r="T29" s="33" t="inlineStr">
        <is>
          <t>Validar desviacion aprobada y estado; contrastar PN exacto y revision con Common DB, BOM/AVL, WO y fecha de corrida.</t>
        </is>
      </c>
      <c r="U29" s="33" t="inlineStr">
        <is>
          <t>Documento oficial firmado, autorizacion FJZ, revision/WO de alcance, confirmacion BOM y evidencia de implementacion si aplica.</t>
        </is>
      </c>
      <c r="V29" s="43" t="n"/>
      <c r="W29" s="43" t="n"/>
      <c r="X29" s="43" t="inlineStr">
        <is>
          <t>INFO</t>
        </is>
      </c>
      <c r="Y29" s="43" t="n"/>
      <c r="Z29" s="43" t="inlineStr">
        <is>
          <t>Pending Review</t>
        </is>
      </c>
      <c r="AA29" s="43" t="inlineStr">
        <is>
          <t>N</t>
        </is>
      </c>
      <c r="AB29" s="43" t="n"/>
      <c r="AC29" s="33" t="inlineStr">
        <is>
          <t xml:space="preserve">FUENTE: Deviation.csv filas 26; Item Number original=73-20247-05 (prefijo 73- es CANDIDATO de PCBA, no confirmacion en Common DB); Workflow de origen=Expired; FJZ no validado, revision PCBA/WO no informadas. </t>
        </is>
      </c>
    </row>
    <row r="30">
      <c r="A30" s="43" t="inlineStr">
        <is>
          <t>DA-CTANJZ04512-STBU-73-20249-05</t>
        </is>
      </c>
      <c r="B30" s="43" t="n"/>
      <c r="C30" s="43" t="n"/>
      <c r="D30" s="43" t="inlineStr">
        <is>
          <t>73-20249-05</t>
        </is>
      </c>
      <c r="E30" s="43" t="inlineStr">
        <is>
          <t>DEV-CTANJZ04512</t>
        </is>
      </c>
      <c r="F30" s="43" t="n"/>
      <c r="G30" s="43" t="inlineStr">
        <is>
          <t>STBU</t>
        </is>
      </c>
      <c r="H30" s="43" t="n"/>
      <c r="I30" s="43" t="n"/>
      <c r="J30" s="43" t="n"/>
      <c r="K30" s="43" t="n"/>
      <c r="L30" s="43" t="n"/>
      <c r="M30" s="43" t="n"/>
      <c r="N30" s="43" t="n"/>
      <c r="O30" s="43" t="n"/>
      <c r="P30" s="43" t="n"/>
      <c r="Q30" s="43" t="inlineStr">
        <is>
          <t>BOARD</t>
        </is>
      </c>
      <c r="R30" s="33" t="inlineStr">
        <is>
          <t>REVISAR D602969: verificar accion documentada, PN/revision y vigencia para la corrida. No autoriza sustitucion ni uso de material.</t>
        </is>
      </c>
      <c r="S30" s="43" t="inlineStr">
        <is>
          <t>INFO</t>
        </is>
      </c>
      <c r="T30" s="33" t="inlineStr">
        <is>
          <t>Validar desviacion aprobada y estado; contrastar PN exacto y revision con Common DB, BOM/AVL, WO y fecha de corrida.</t>
        </is>
      </c>
      <c r="U30" s="33" t="inlineStr">
        <is>
          <t>Documento oficial firmado, autorizacion FJZ, revision/WO de alcance, confirmacion BOM y evidencia de implementacion si aplica.</t>
        </is>
      </c>
      <c r="V30" s="43" t="n"/>
      <c r="W30" s="43" t="n"/>
      <c r="X30" s="43" t="inlineStr">
        <is>
          <t>INFO</t>
        </is>
      </c>
      <c r="Y30" s="43" t="n"/>
      <c r="Z30" s="43" t="inlineStr">
        <is>
          <t>Pending Review</t>
        </is>
      </c>
      <c r="AA30" s="43" t="inlineStr">
        <is>
          <t>N</t>
        </is>
      </c>
      <c r="AB30" s="43" t="n"/>
      <c r="AC30" s="33" t="inlineStr">
        <is>
          <t xml:space="preserve">FUENTE: Deviation.csv filas 27; Item Number original=73-20249-05 (prefijo 73- es CANDIDATO de PCBA, no confirmacion en Common DB); Workflow de origen=Expired; FJZ no validado, revision PCBA/WO no informadas. </t>
        </is>
      </c>
    </row>
    <row r="31">
      <c r="A31" s="43" t="inlineStr">
        <is>
          <t>DA-CTANJZ04523-IOTBU-73-103098-03</t>
        </is>
      </c>
      <c r="B31" s="43" t="n"/>
      <c r="C31" s="43" t="n"/>
      <c r="D31" s="43" t="inlineStr">
        <is>
          <t>73-103098-03</t>
        </is>
      </c>
      <c r="E31" s="43" t="inlineStr">
        <is>
          <t>DEV-CTANJZ04523</t>
        </is>
      </c>
      <c r="F31" s="43" t="n"/>
      <c r="G31" s="43" t="inlineStr">
        <is>
          <t>IOTBU</t>
        </is>
      </c>
      <c r="H31" s="43" t="n"/>
      <c r="I31" s="43" t="n"/>
      <c r="J31" s="43" t="n"/>
      <c r="K31" s="43" t="n"/>
      <c r="L31" s="43" t="n"/>
      <c r="M31" s="43" t="n"/>
      <c r="N31" s="43" t="n"/>
      <c r="O31" s="43" t="n"/>
      <c r="P31" s="43" t="n"/>
      <c r="Q31" s="43" t="inlineStr">
        <is>
          <t>BOARD</t>
        </is>
      </c>
      <c r="R31" s="33" t="inlineStr">
        <is>
          <t>REVISAR DP524680: verificar accion documentada, PN/revision y vigencia para la corrida. No autoriza sustitucion ni uso de material.</t>
        </is>
      </c>
      <c r="S31" s="43" t="inlineStr">
        <is>
          <t>INFO</t>
        </is>
      </c>
      <c r="T31" s="33" t="inlineStr">
        <is>
          <t>Validar desviacion aprobada y estado; contrastar PN exacto y revision con Common DB, BOM/AVL, WO y fecha de corrida.</t>
        </is>
      </c>
      <c r="U31" s="33" t="inlineStr">
        <is>
          <t>Documento oficial firmado, autorizacion FJZ, revision/WO de alcance, confirmacion BOM y evidencia de implementacion si aplica.</t>
        </is>
      </c>
      <c r="V31" s="43" t="n"/>
      <c r="W31" s="43" t="n"/>
      <c r="X31" s="43" t="inlineStr">
        <is>
          <t>INFO</t>
        </is>
      </c>
      <c r="Y31" s="43" t="n"/>
      <c r="Z31" s="43" t="inlineStr">
        <is>
          <t>Pending Review</t>
        </is>
      </c>
      <c r="AA31" s="43" t="inlineStr">
        <is>
          <t>N</t>
        </is>
      </c>
      <c r="AB31" s="43" t="n"/>
      <c r="AC31" s="33" t="inlineStr">
        <is>
          <t xml:space="preserve">FUENTE: Deviation.csv filas 398; Item Number original=73-103098-03 (prefijo 73- es CANDIDATO de PCBA, no confirmacion en Common DB); Workflow de origen=Expired; FJZ no validado, revision PCBA/WO no informadas. </t>
        </is>
      </c>
    </row>
    <row r="32">
      <c r="A32" s="43" t="inlineStr">
        <is>
          <t>DA-CTANJZ04532-STBU-73-103558-03</t>
        </is>
      </c>
      <c r="B32" s="43" t="n"/>
      <c r="C32" s="43" t="n"/>
      <c r="D32" s="43" t="inlineStr">
        <is>
          <t>73-103558-03</t>
        </is>
      </c>
      <c r="E32" s="43" t="inlineStr">
        <is>
          <t>DEV-CTANJZ04532</t>
        </is>
      </c>
      <c r="F32" s="43" t="n"/>
      <c r="G32" s="43" t="inlineStr">
        <is>
          <t>STBU</t>
        </is>
      </c>
      <c r="H32" s="43" t="n"/>
      <c r="I32" s="43" t="n"/>
      <c r="J32" s="43" t="n"/>
      <c r="K32" s="43" t="n"/>
      <c r="L32" s="43" t="n"/>
      <c r="M32" s="43" t="n"/>
      <c r="N32" s="43" t="n"/>
      <c r="O32" s="43" t="n"/>
      <c r="P32" s="43" t="n"/>
      <c r="Q32" s="43" t="inlineStr">
        <is>
          <t>BOARD</t>
        </is>
      </c>
      <c r="R32" s="33" t="inlineStr">
        <is>
          <t>REVISAR DP524725: verificar accion documentada, PN/revision y vigencia para la corrida. No autoriza sustitucion ni uso de material.</t>
        </is>
      </c>
      <c r="S32" s="43" t="inlineStr">
        <is>
          <t>INFO</t>
        </is>
      </c>
      <c r="T32" s="33" t="inlineStr">
        <is>
          <t>Validar desviacion aprobada y estado; contrastar PN exacto y revision con Common DB, BOM/AVL, WO y fecha de corrida.</t>
        </is>
      </c>
      <c r="U32" s="33" t="inlineStr">
        <is>
          <t>Documento oficial firmado, autorizacion FJZ, revision/WO de alcance, confirmacion BOM y evidencia de implementacion si aplica.</t>
        </is>
      </c>
      <c r="V32" s="43" t="n"/>
      <c r="W32" s="43" t="n"/>
      <c r="X32" s="43" t="inlineStr">
        <is>
          <t>INFO</t>
        </is>
      </c>
      <c r="Y32" s="43" t="n"/>
      <c r="Z32" s="43" t="inlineStr">
        <is>
          <t>Pending Review</t>
        </is>
      </c>
      <c r="AA32" s="43" t="inlineStr">
        <is>
          <t>N</t>
        </is>
      </c>
      <c r="AB32" s="43" t="n"/>
      <c r="AC32" s="33" t="inlineStr">
        <is>
          <t xml:space="preserve">FUENTE: Deviation.csv filas 802; Item Number original=73-103558-03 (prefijo 73- es CANDIDATO de PCBA, no confirmacion en Common DB); Workflow de origen=Expired; FJZ no validado, revision PCBA/WO no informadas. </t>
        </is>
      </c>
    </row>
    <row r="33">
      <c r="A33" s="43" t="inlineStr">
        <is>
          <t>DA-CTANJZ04537-STBU-73-20247-05</t>
        </is>
      </c>
      <c r="B33" s="43" t="n"/>
      <c r="C33" s="43" t="n"/>
      <c r="D33" s="43" t="inlineStr">
        <is>
          <t>73-20247-05</t>
        </is>
      </c>
      <c r="E33" s="43" t="inlineStr">
        <is>
          <t>DEV-CTANJZ04537</t>
        </is>
      </c>
      <c r="F33" s="43" t="n"/>
      <c r="G33" s="43" t="inlineStr">
        <is>
          <t>STBU</t>
        </is>
      </c>
      <c r="H33" s="43" t="n"/>
      <c r="I33" s="43" t="n"/>
      <c r="J33" s="43" t="n"/>
      <c r="K33" s="43" t="n"/>
      <c r="L33" s="43" t="n"/>
      <c r="M33" s="43" t="n"/>
      <c r="N33" s="43" t="n"/>
      <c r="O33" s="43" t="n"/>
      <c r="P33" s="43" t="n"/>
      <c r="Q33" s="43" t="inlineStr">
        <is>
          <t>BOARD</t>
        </is>
      </c>
      <c r="R33" s="33" t="inlineStr">
        <is>
          <t>REVISAR D602319: verificar accion documentada, PN/revision y vigencia para la corrida. No autoriza sustitucion ni uso de material.</t>
        </is>
      </c>
      <c r="S33" s="43" t="inlineStr">
        <is>
          <t>INFO</t>
        </is>
      </c>
      <c r="T33" s="33" t="inlineStr">
        <is>
          <t>Validar desviacion aprobada y estado; contrastar PN exacto y revision con Common DB, BOM/AVL, WO y fecha de corrida.</t>
        </is>
      </c>
      <c r="U33" s="33" t="inlineStr">
        <is>
          <t>Documento oficial firmado, autorizacion FJZ, revision/WO de alcance, confirmacion BOM y evidencia de implementacion si aplica.</t>
        </is>
      </c>
      <c r="V33" s="43" t="n"/>
      <c r="W33" s="43" t="n"/>
      <c r="X33" s="43" t="inlineStr">
        <is>
          <t>INFO</t>
        </is>
      </c>
      <c r="Y33" s="43" t="n"/>
      <c r="Z33" s="43" t="inlineStr">
        <is>
          <t>Pending Review</t>
        </is>
      </c>
      <c r="AA33" s="43" t="inlineStr">
        <is>
          <t>N</t>
        </is>
      </c>
      <c r="AB33" s="43" t="n"/>
      <c r="AC33" s="33" t="inlineStr">
        <is>
          <t xml:space="preserve">FUENTE: Deviation.csv filas 670; Item Number original=73-20247-05 (prefijo 73- es CANDIDATO de PCBA, no confirmacion en Common DB); Workflow de origen=Expired; FJZ no validado, revision PCBA/WO no informadas. </t>
        </is>
      </c>
    </row>
    <row r="34">
      <c r="A34" s="43" t="inlineStr">
        <is>
          <t>DA-CTANJZ04537-STBU-73-20249-05</t>
        </is>
      </c>
      <c r="B34" s="43" t="n"/>
      <c r="C34" s="43" t="n"/>
      <c r="D34" s="43" t="inlineStr">
        <is>
          <t>73-20249-05</t>
        </is>
      </c>
      <c r="E34" s="43" t="inlineStr">
        <is>
          <t>DEV-CTANJZ04537</t>
        </is>
      </c>
      <c r="F34" s="43" t="n"/>
      <c r="G34" s="43" t="inlineStr">
        <is>
          <t>STBU</t>
        </is>
      </c>
      <c r="H34" s="43" t="n"/>
      <c r="I34" s="43" t="n"/>
      <c r="J34" s="43" t="n"/>
      <c r="K34" s="43" t="n"/>
      <c r="L34" s="43" t="n"/>
      <c r="M34" s="43" t="n"/>
      <c r="N34" s="43" t="n"/>
      <c r="O34" s="43" t="n"/>
      <c r="P34" s="43" t="n"/>
      <c r="Q34" s="43" t="inlineStr">
        <is>
          <t>BOARD</t>
        </is>
      </c>
      <c r="R34" s="33" t="inlineStr">
        <is>
          <t>REVISAR D602319: verificar accion documentada, PN/revision y vigencia para la corrida. No autoriza sustitucion ni uso de material.</t>
        </is>
      </c>
      <c r="S34" s="43" t="inlineStr">
        <is>
          <t>INFO</t>
        </is>
      </c>
      <c r="T34" s="33" t="inlineStr">
        <is>
          <t>Validar desviacion aprobada y estado; contrastar PN exacto y revision con Common DB, BOM/AVL, WO y fecha de corrida.</t>
        </is>
      </c>
      <c r="U34" s="33" t="inlineStr">
        <is>
          <t>Documento oficial firmado, autorizacion FJZ, revision/WO de alcance, confirmacion BOM y evidencia de implementacion si aplica.</t>
        </is>
      </c>
      <c r="V34" s="43" t="n"/>
      <c r="W34" s="43" t="n"/>
      <c r="X34" s="43" t="inlineStr">
        <is>
          <t>INFO</t>
        </is>
      </c>
      <c r="Y34" s="43" t="n"/>
      <c r="Z34" s="43" t="inlineStr">
        <is>
          <t>Pending Review</t>
        </is>
      </c>
      <c r="AA34" s="43" t="inlineStr">
        <is>
          <t>N</t>
        </is>
      </c>
      <c r="AB34" s="43" t="n"/>
      <c r="AC34" s="33" t="inlineStr">
        <is>
          <t xml:space="preserve">FUENTE: Deviation.csv filas 671; Item Number original=73-20249-05 (prefijo 73- es CANDIDATO de PCBA, no confirmacion en Common DB); Workflow de origen=Expired; FJZ no validado, revision PCBA/WO no informadas. </t>
        </is>
      </c>
    </row>
    <row r="35">
      <c r="A35" s="43" t="inlineStr">
        <is>
          <t>DA-CTANJZ04545-STBU-73-17498-04</t>
        </is>
      </c>
      <c r="B35" s="43" t="n"/>
      <c r="C35" s="43" t="n"/>
      <c r="D35" s="43" t="inlineStr">
        <is>
          <t>73-17498-04</t>
        </is>
      </c>
      <c r="E35" s="43" t="inlineStr">
        <is>
          <t>DEV-CTANJZ04545</t>
        </is>
      </c>
      <c r="F35" s="43" t="n"/>
      <c r="G35" s="43" t="inlineStr">
        <is>
          <t>STBU</t>
        </is>
      </c>
      <c r="H35" s="43" t="n"/>
      <c r="I35" s="43" t="n"/>
      <c r="J35" s="43" t="n"/>
      <c r="K35" s="43" t="n"/>
      <c r="L35" s="43" t="n"/>
      <c r="M35" s="43" t="n"/>
      <c r="N35" s="43" t="n"/>
      <c r="O35" s="43" t="n"/>
      <c r="P35" s="43" t="n"/>
      <c r="Q35" s="43" t="inlineStr">
        <is>
          <t>BOARD</t>
        </is>
      </c>
      <c r="R35" s="33" t="inlineStr">
        <is>
          <t>REVISAR D601188: verificar accion documentada, PN/revision y vigencia para la corrida. No autoriza sustitucion ni uso de material.</t>
        </is>
      </c>
      <c r="S35" s="43" t="inlineStr">
        <is>
          <t>INFO</t>
        </is>
      </c>
      <c r="T35" s="33" t="inlineStr">
        <is>
          <t>Validar desviacion aprobada y estado; contrastar PN exacto y revision con Common DB, BOM/AVL, WO y fecha de corrida.</t>
        </is>
      </c>
      <c r="U35" s="33" t="inlineStr">
        <is>
          <t>Documento oficial firmado, autorizacion FJZ, revision/WO de alcance, confirmacion BOM y evidencia de implementacion si aplica.</t>
        </is>
      </c>
      <c r="V35" s="43" t="n"/>
      <c r="W35" s="43" t="n"/>
      <c r="X35" s="43" t="inlineStr">
        <is>
          <t>INFO</t>
        </is>
      </c>
      <c r="Y35" s="43" t="n"/>
      <c r="Z35" s="43" t="inlineStr">
        <is>
          <t>Pending Review</t>
        </is>
      </c>
      <c r="AA35" s="43" t="inlineStr">
        <is>
          <t>N</t>
        </is>
      </c>
      <c r="AB35" s="43" t="n"/>
      <c r="AC35" s="33" t="inlineStr">
        <is>
          <t xml:space="preserve">FUENTE: Deviation.csv filas 1554; Item Number original=73-17498-04 (prefijo 73- es CANDIDATO de PCBA, no confirmacion en Common DB); Workflow de origen=Expired; FJZ no validado, revision PCBA/WO no informadas. </t>
        </is>
      </c>
    </row>
    <row r="36">
      <c r="A36" s="43" t="inlineStr">
        <is>
          <t>DA-CTANJZ04552-STBU-73-17567-12</t>
        </is>
      </c>
      <c r="B36" s="43" t="n"/>
      <c r="C36" s="43" t="n"/>
      <c r="D36" s="43" t="inlineStr">
        <is>
          <t>73-17567-12</t>
        </is>
      </c>
      <c r="E36" s="43" t="inlineStr">
        <is>
          <t>DEV-CTANJZ04552</t>
        </is>
      </c>
      <c r="F36" s="43" t="n"/>
      <c r="G36" s="43" t="inlineStr">
        <is>
          <t>STBU</t>
        </is>
      </c>
      <c r="H36" s="43" t="n"/>
      <c r="I36" s="43" t="n"/>
      <c r="J36" s="43" t="n"/>
      <c r="K36" s="43" t="n"/>
      <c r="L36" s="43" t="n"/>
      <c r="M36" s="43" t="n"/>
      <c r="N36" s="43" t="n"/>
      <c r="O36" s="43" t="n"/>
      <c r="P36" s="43" t="n"/>
      <c r="Q36" s="43" t="inlineStr">
        <is>
          <t>BOARD</t>
        </is>
      </c>
      <c r="R36" s="33" t="inlineStr">
        <is>
          <t>REVISAR D603244: verificar accion documentada, PN/revision y vigencia para la corrida. No autoriza sustitucion ni uso de material.</t>
        </is>
      </c>
      <c r="S36" s="43" t="inlineStr">
        <is>
          <t>INFO</t>
        </is>
      </c>
      <c r="T36" s="33" t="inlineStr">
        <is>
          <t>Validar desviacion aprobada y estado; contrastar PN exacto y revision con Common DB, BOM/AVL, WO y fecha de corrida.</t>
        </is>
      </c>
      <c r="U36" s="33" t="inlineStr">
        <is>
          <t>Documento oficial firmado, autorizacion FJZ, revision/WO de alcance, confirmacion BOM y evidencia de implementacion si aplica.</t>
        </is>
      </c>
      <c r="V36" s="43" t="n"/>
      <c r="W36" s="43" t="n"/>
      <c r="X36" s="43" t="inlineStr">
        <is>
          <t>INFO</t>
        </is>
      </c>
      <c r="Y36" s="43" t="n"/>
      <c r="Z36" s="43" t="inlineStr">
        <is>
          <t>Pending Review</t>
        </is>
      </c>
      <c r="AA36" s="43" t="inlineStr">
        <is>
          <t>N</t>
        </is>
      </c>
      <c r="AB36" s="43" t="n"/>
      <c r="AC36" s="33" t="inlineStr">
        <is>
          <t xml:space="preserve">FUENTE: Deviation.csv filas 678; Item Number original=73-17567-12 (prefijo 73- es CANDIDATO de PCBA, no confirmacion en Common DB); Workflow de origen=Expired; FJZ no validado, revision PCBA/WO no informadas. </t>
        </is>
      </c>
    </row>
    <row r="37">
      <c r="A37" s="43" t="inlineStr">
        <is>
          <t>DA-CTANJZ04552-STBU-73-17568-12</t>
        </is>
      </c>
      <c r="B37" s="43" t="n"/>
      <c r="C37" s="43" t="n"/>
      <c r="D37" s="43" t="inlineStr">
        <is>
          <t>73-17568-12</t>
        </is>
      </c>
      <c r="E37" s="43" t="inlineStr">
        <is>
          <t>DEV-CTANJZ04552</t>
        </is>
      </c>
      <c r="F37" s="43" t="n"/>
      <c r="G37" s="43" t="inlineStr">
        <is>
          <t>STBU</t>
        </is>
      </c>
      <c r="H37" s="43" t="n"/>
      <c r="I37" s="43" t="n"/>
      <c r="J37" s="43" t="n"/>
      <c r="K37" s="43" t="n"/>
      <c r="L37" s="43" t="n"/>
      <c r="M37" s="43" t="n"/>
      <c r="N37" s="43" t="n"/>
      <c r="O37" s="43" t="n"/>
      <c r="P37" s="43" t="n"/>
      <c r="Q37" s="43" t="inlineStr">
        <is>
          <t>BOARD</t>
        </is>
      </c>
      <c r="R37" s="33" t="inlineStr">
        <is>
          <t>REVISAR D603244: verificar accion documentada, PN/revision y vigencia para la corrida. No autoriza sustitucion ni uso de material.</t>
        </is>
      </c>
      <c r="S37" s="43" t="inlineStr">
        <is>
          <t>INFO</t>
        </is>
      </c>
      <c r="T37" s="33" t="inlineStr">
        <is>
          <t>Validar desviacion aprobada y estado; contrastar PN exacto y revision con Common DB, BOM/AVL, WO y fecha de corrida.</t>
        </is>
      </c>
      <c r="U37" s="33" t="inlineStr">
        <is>
          <t>Documento oficial firmado, autorizacion FJZ, revision/WO de alcance, confirmacion BOM y evidencia de implementacion si aplica.</t>
        </is>
      </c>
      <c r="V37" s="43" t="n"/>
      <c r="W37" s="43" t="n"/>
      <c r="X37" s="43" t="inlineStr">
        <is>
          <t>INFO</t>
        </is>
      </c>
      <c r="Y37" s="43" t="n"/>
      <c r="Z37" s="43" t="inlineStr">
        <is>
          <t>Pending Review</t>
        </is>
      </c>
      <c r="AA37" s="43" t="inlineStr">
        <is>
          <t>N</t>
        </is>
      </c>
      <c r="AB37" s="43" t="n"/>
      <c r="AC37" s="33" t="inlineStr">
        <is>
          <t xml:space="preserve">FUENTE: Deviation.csv filas 741; Item Number original=73-17568-12 (prefijo 73- es CANDIDATO de PCBA, no confirmacion en Common DB); Workflow de origen=Expired; FJZ no validado, revision PCBA/WO no informadas. </t>
        </is>
      </c>
    </row>
    <row r="38">
      <c r="A38" s="43" t="inlineStr">
        <is>
          <t>DA-CTANJZ04552-STBU-73-17569-10</t>
        </is>
      </c>
      <c r="B38" s="43" t="n"/>
      <c r="C38" s="43" t="n"/>
      <c r="D38" s="43" t="inlineStr">
        <is>
          <t>73-17569-10</t>
        </is>
      </c>
      <c r="E38" s="43" t="inlineStr">
        <is>
          <t>DEV-CTANJZ04552</t>
        </is>
      </c>
      <c r="F38" s="43" t="n"/>
      <c r="G38" s="43" t="inlineStr">
        <is>
          <t>STBU</t>
        </is>
      </c>
      <c r="H38" s="43" t="n"/>
      <c r="I38" s="43" t="n"/>
      <c r="J38" s="43" t="n"/>
      <c r="K38" s="43" t="n"/>
      <c r="L38" s="43" t="n"/>
      <c r="M38" s="43" t="n"/>
      <c r="N38" s="43" t="n"/>
      <c r="O38" s="43" t="n"/>
      <c r="P38" s="43" t="n"/>
      <c r="Q38" s="43" t="inlineStr">
        <is>
          <t>BOARD</t>
        </is>
      </c>
      <c r="R38" s="33" t="inlineStr">
        <is>
          <t>REVISAR D603244: verificar accion documentada, PN/revision y vigencia para la corrida. No autoriza sustitucion ni uso de material.</t>
        </is>
      </c>
      <c r="S38" s="43" t="inlineStr">
        <is>
          <t>INFO</t>
        </is>
      </c>
      <c r="T38" s="33" t="inlineStr">
        <is>
          <t>Validar desviacion aprobada y estado; contrastar PN exacto y revision con Common DB, BOM/AVL, WO y fecha de corrida.</t>
        </is>
      </c>
      <c r="U38" s="33" t="inlineStr">
        <is>
          <t>Documento oficial firmado, autorizacion FJZ, revision/WO de alcance, confirmacion BOM y evidencia de implementacion si aplica.</t>
        </is>
      </c>
      <c r="V38" s="43" t="n"/>
      <c r="W38" s="43" t="n"/>
      <c r="X38" s="43" t="inlineStr">
        <is>
          <t>INFO</t>
        </is>
      </c>
      <c r="Y38" s="43" t="n"/>
      <c r="Z38" s="43" t="inlineStr">
        <is>
          <t>Pending Review</t>
        </is>
      </c>
      <c r="AA38" s="43" t="inlineStr">
        <is>
          <t>N</t>
        </is>
      </c>
      <c r="AB38" s="43" t="n"/>
      <c r="AC38" s="33" t="inlineStr">
        <is>
          <t xml:space="preserve">FUENTE: Deviation.csv filas 742; Item Number original=73-17569-10 (prefijo 73- es CANDIDATO de PCBA, no confirmacion en Common DB); Workflow de origen=Expired; FJZ no validado, revision PCBA/WO no informadas. </t>
        </is>
      </c>
    </row>
    <row r="39">
      <c r="A39" s="43" t="inlineStr">
        <is>
          <t>DA-CTANJZ04552-STBU-73-17570-10</t>
        </is>
      </c>
      <c r="B39" s="43" t="n"/>
      <c r="C39" s="43" t="n"/>
      <c r="D39" s="43" t="inlineStr">
        <is>
          <t>73-17570-10</t>
        </is>
      </c>
      <c r="E39" s="43" t="inlineStr">
        <is>
          <t>DEV-CTANJZ04552</t>
        </is>
      </c>
      <c r="F39" s="43" t="n"/>
      <c r="G39" s="43" t="inlineStr">
        <is>
          <t>STBU</t>
        </is>
      </c>
      <c r="H39" s="43" t="n"/>
      <c r="I39" s="43" t="n"/>
      <c r="J39" s="43" t="n"/>
      <c r="K39" s="43" t="n"/>
      <c r="L39" s="43" t="n"/>
      <c r="M39" s="43" t="n"/>
      <c r="N39" s="43" t="n"/>
      <c r="O39" s="43" t="n"/>
      <c r="P39" s="43" t="n"/>
      <c r="Q39" s="43" t="inlineStr">
        <is>
          <t>BOARD</t>
        </is>
      </c>
      <c r="R39" s="33" t="inlineStr">
        <is>
          <t>REVISAR D603244: verificar accion documentada, PN/revision y vigencia para la corrida. No autoriza sustitucion ni uso de material.</t>
        </is>
      </c>
      <c r="S39" s="43" t="inlineStr">
        <is>
          <t>INFO</t>
        </is>
      </c>
      <c r="T39" s="33" t="inlineStr">
        <is>
          <t>Validar desviacion aprobada y estado; contrastar PN exacto y revision con Common DB, BOM/AVL, WO y fecha de corrida.</t>
        </is>
      </c>
      <c r="U39" s="33" t="inlineStr">
        <is>
          <t>Documento oficial firmado, autorizacion FJZ, revision/WO de alcance, confirmacion BOM y evidencia de implementacion si aplica.</t>
        </is>
      </c>
      <c r="V39" s="43" t="n"/>
      <c r="W39" s="43" t="n"/>
      <c r="X39" s="43" t="inlineStr">
        <is>
          <t>INFO</t>
        </is>
      </c>
      <c r="Y39" s="43" t="n"/>
      <c r="Z39" s="43" t="inlineStr">
        <is>
          <t>Pending Review</t>
        </is>
      </c>
      <c r="AA39" s="43" t="inlineStr">
        <is>
          <t>N</t>
        </is>
      </c>
      <c r="AB39" s="43" t="n"/>
      <c r="AC39" s="33" t="inlineStr">
        <is>
          <t xml:space="preserve">FUENTE: Deviation.csv filas 743; Item Number original=73-17570-10 (prefijo 73- es CANDIDATO de PCBA, no confirmacion en Common DB); Workflow de origen=Expired; FJZ no validado, revision PCBA/WO no informadas. </t>
        </is>
      </c>
    </row>
    <row r="40">
      <c r="A40" s="43" t="inlineStr">
        <is>
          <t>DA-CTANJZ04556-STBU-73-20247-05</t>
        </is>
      </c>
      <c r="B40" s="43" t="n"/>
      <c r="C40" s="43" t="n"/>
      <c r="D40" s="43" t="inlineStr">
        <is>
          <t>73-20247-05</t>
        </is>
      </c>
      <c r="E40" s="43" t="inlineStr">
        <is>
          <t>DEV-CTANJZ04556</t>
        </is>
      </c>
      <c r="F40" s="43" t="n"/>
      <c r="G40" s="43" t="inlineStr">
        <is>
          <t>STBU</t>
        </is>
      </c>
      <c r="H40" s="43" t="n"/>
      <c r="I40" s="43" t="n"/>
      <c r="J40" s="43" t="n"/>
      <c r="K40" s="43" t="n"/>
      <c r="L40" s="43" t="n"/>
      <c r="M40" s="43" t="n"/>
      <c r="N40" s="43" t="n"/>
      <c r="O40" s="43" t="n"/>
      <c r="P40" s="43" t="n"/>
      <c r="Q40" s="43" t="inlineStr">
        <is>
          <t>BOARD</t>
        </is>
      </c>
      <c r="R40" s="33" t="inlineStr">
        <is>
          <t>REVISAR D603102: verificar accion documentada, PN/revision y vigencia para la corrida. No autoriza sustitucion ni uso de material.</t>
        </is>
      </c>
      <c r="S40" s="43" t="inlineStr">
        <is>
          <t>INFO</t>
        </is>
      </c>
      <c r="T40" s="33" t="inlineStr">
        <is>
          <t>Validar desviacion aprobada y estado; contrastar PN exacto y revision con Common DB, BOM/AVL, WO y fecha de corrida.</t>
        </is>
      </c>
      <c r="U40" s="33" t="inlineStr">
        <is>
          <t>Documento oficial firmado, autorizacion FJZ, revision/WO de alcance, confirmacion BOM y evidencia de implementacion si aplica.</t>
        </is>
      </c>
      <c r="V40" s="43" t="n"/>
      <c r="W40" s="43" t="n"/>
      <c r="X40" s="43" t="inlineStr">
        <is>
          <t>INFO</t>
        </is>
      </c>
      <c r="Y40" s="43" t="n"/>
      <c r="Z40" s="43" t="inlineStr">
        <is>
          <t>Pending Review</t>
        </is>
      </c>
      <c r="AA40" s="43" t="inlineStr">
        <is>
          <t>N</t>
        </is>
      </c>
      <c r="AB40" s="43" t="n"/>
      <c r="AC40" s="33" t="inlineStr">
        <is>
          <t xml:space="preserve">FUENTE: Deviation.csv filas 21; Item Number original=73-20247-05 (prefijo 73- es CANDIDATO de PCBA, no confirmacion en Common DB); Workflow de origen=Expired; FJZ no validado, revision PCBA/WO no informadas. </t>
        </is>
      </c>
    </row>
    <row r="41">
      <c r="A41" s="43" t="inlineStr">
        <is>
          <t>DA-CTANJZ04556-STBU-73-20249-05</t>
        </is>
      </c>
      <c r="B41" s="43" t="n"/>
      <c r="C41" s="43" t="n"/>
      <c r="D41" s="43" t="inlineStr">
        <is>
          <t>73-20249-05</t>
        </is>
      </c>
      <c r="E41" s="43" t="inlineStr">
        <is>
          <t>DEV-CTANJZ04556</t>
        </is>
      </c>
      <c r="F41" s="43" t="n"/>
      <c r="G41" s="43" t="inlineStr">
        <is>
          <t>STBU</t>
        </is>
      </c>
      <c r="H41" s="43" t="n"/>
      <c r="I41" s="43" t="n"/>
      <c r="J41" s="43" t="n"/>
      <c r="K41" s="43" t="n"/>
      <c r="L41" s="43" t="n"/>
      <c r="M41" s="43" t="n"/>
      <c r="N41" s="43" t="n"/>
      <c r="O41" s="43" t="n"/>
      <c r="P41" s="43" t="n"/>
      <c r="Q41" s="43" t="inlineStr">
        <is>
          <t>BOARD</t>
        </is>
      </c>
      <c r="R41" s="33" t="inlineStr">
        <is>
          <t>REVISAR D603102: verificar accion documentada, PN/revision y vigencia para la corrida. No autoriza sustitucion ni uso de material.</t>
        </is>
      </c>
      <c r="S41" s="43" t="inlineStr">
        <is>
          <t>INFO</t>
        </is>
      </c>
      <c r="T41" s="33" t="inlineStr">
        <is>
          <t>Validar desviacion aprobada y estado; contrastar PN exacto y revision con Common DB, BOM/AVL, WO y fecha de corrida.</t>
        </is>
      </c>
      <c r="U41" s="33" t="inlineStr">
        <is>
          <t>Documento oficial firmado, autorizacion FJZ, revision/WO de alcance, confirmacion BOM y evidencia de implementacion si aplica.</t>
        </is>
      </c>
      <c r="V41" s="43" t="n"/>
      <c r="W41" s="43" t="n"/>
      <c r="X41" s="43" t="inlineStr">
        <is>
          <t>INFO</t>
        </is>
      </c>
      <c r="Y41" s="43" t="n"/>
      <c r="Z41" s="43" t="inlineStr">
        <is>
          <t>Pending Review</t>
        </is>
      </c>
      <c r="AA41" s="43" t="inlineStr">
        <is>
          <t>N</t>
        </is>
      </c>
      <c r="AB41" s="43" t="n"/>
      <c r="AC41" s="33" t="inlineStr">
        <is>
          <t xml:space="preserve">FUENTE: Deviation.csv filas 22; Item Number original=73-20249-05 (prefijo 73- es CANDIDATO de PCBA, no confirmacion en Common DB); Workflow de origen=Expired; FJZ no validado, revision PCBA/WO no informadas. </t>
        </is>
      </c>
    </row>
    <row r="42">
      <c r="A42" s="43" t="inlineStr">
        <is>
          <t>DA-CTANJZ04557-STBU-73-18488-07</t>
        </is>
      </c>
      <c r="B42" s="43" t="n"/>
      <c r="C42" s="43" t="n"/>
      <c r="D42" s="43" t="inlineStr">
        <is>
          <t>73-18488-07</t>
        </is>
      </c>
      <c r="E42" s="43" t="inlineStr">
        <is>
          <t>DEV-CTANJZ04557</t>
        </is>
      </c>
      <c r="F42" s="43" t="n"/>
      <c r="G42" s="43" t="inlineStr">
        <is>
          <t>STBU</t>
        </is>
      </c>
      <c r="H42" s="43" t="n"/>
      <c r="I42" s="43" t="n"/>
      <c r="J42" s="43" t="n"/>
      <c r="K42" s="43" t="n"/>
      <c r="L42" s="43" t="n"/>
      <c r="M42" s="43" t="n"/>
      <c r="N42" s="43" t="n"/>
      <c r="O42" s="43" t="n"/>
      <c r="P42" s="43" t="n"/>
      <c r="Q42" s="43" t="inlineStr">
        <is>
          <t>BOARD</t>
        </is>
      </c>
      <c r="R42" s="33" t="inlineStr">
        <is>
          <t>REVISAR D603243: verificar accion documentada, PN/revision y vigencia para la corrida. No autoriza sustitucion ni uso de material.</t>
        </is>
      </c>
      <c r="S42" s="43" t="inlineStr">
        <is>
          <t>INFO</t>
        </is>
      </c>
      <c r="T42" s="33" t="inlineStr">
        <is>
          <t>Validar desviacion aprobada y estado; contrastar PN exacto y revision con Common DB, BOM/AVL, WO y fecha de corrida.</t>
        </is>
      </c>
      <c r="U42" s="33" t="inlineStr">
        <is>
          <t>Documento oficial firmado, autorizacion FJZ, revision/WO de alcance, confirmacion BOM y evidencia de implementacion si aplica.</t>
        </is>
      </c>
      <c r="V42" s="43" t="n"/>
      <c r="W42" s="43" t="n"/>
      <c r="X42" s="43" t="inlineStr">
        <is>
          <t>INFO</t>
        </is>
      </c>
      <c r="Y42" s="43" t="n"/>
      <c r="Z42" s="43" t="inlineStr">
        <is>
          <t>Pending Review</t>
        </is>
      </c>
      <c r="AA42" s="43" t="inlineStr">
        <is>
          <t>N</t>
        </is>
      </c>
      <c r="AB42" s="43" t="n"/>
      <c r="AC42" s="33" t="inlineStr">
        <is>
          <t xml:space="preserve">FUENTE: Deviation.csv filas 1718; Item Number original=73-18488-07 (prefijo 73- es CANDIDATO de PCBA, no confirmacion en Common DB); Workflow de origen=Expired; FJZ no validado, revision PCBA/WO no informadas. </t>
        </is>
      </c>
    </row>
    <row r="43">
      <c r="A43" s="43" t="inlineStr">
        <is>
          <t>DA-CTANJZ04557-STBU-73-18489-07</t>
        </is>
      </c>
      <c r="B43" s="43" t="n"/>
      <c r="C43" s="43" t="n"/>
      <c r="D43" s="43" t="inlineStr">
        <is>
          <t>73-18489-07</t>
        </is>
      </c>
      <c r="E43" s="43" t="inlineStr">
        <is>
          <t>DEV-CTANJZ04557</t>
        </is>
      </c>
      <c r="F43" s="43" t="n"/>
      <c r="G43" s="43" t="inlineStr">
        <is>
          <t>STBU</t>
        </is>
      </c>
      <c r="H43" s="43" t="n"/>
      <c r="I43" s="43" t="n"/>
      <c r="J43" s="43" t="n"/>
      <c r="K43" s="43" t="n"/>
      <c r="L43" s="43" t="n"/>
      <c r="M43" s="43" t="n"/>
      <c r="N43" s="43" t="n"/>
      <c r="O43" s="43" t="n"/>
      <c r="P43" s="43" t="n"/>
      <c r="Q43" s="43" t="inlineStr">
        <is>
          <t>BOARD</t>
        </is>
      </c>
      <c r="R43" s="33" t="inlineStr">
        <is>
          <t>REVISAR D603243: verificar accion documentada, PN/revision y vigencia para la corrida. No autoriza sustitucion ni uso de material.</t>
        </is>
      </c>
      <c r="S43" s="43" t="inlineStr">
        <is>
          <t>INFO</t>
        </is>
      </c>
      <c r="T43" s="33" t="inlineStr">
        <is>
          <t>Validar desviacion aprobada y estado; contrastar PN exacto y revision con Common DB, BOM/AVL, WO y fecha de corrida.</t>
        </is>
      </c>
      <c r="U43" s="33" t="inlineStr">
        <is>
          <t>Documento oficial firmado, autorizacion FJZ, revision/WO de alcance, confirmacion BOM y evidencia de implementacion si aplica.</t>
        </is>
      </c>
      <c r="V43" s="43" t="n"/>
      <c r="W43" s="43" t="n"/>
      <c r="X43" s="43" t="inlineStr">
        <is>
          <t>INFO</t>
        </is>
      </c>
      <c r="Y43" s="43" t="n"/>
      <c r="Z43" s="43" t="inlineStr">
        <is>
          <t>Pending Review</t>
        </is>
      </c>
      <c r="AA43" s="43" t="inlineStr">
        <is>
          <t>N</t>
        </is>
      </c>
      <c r="AB43" s="43" t="n"/>
      <c r="AC43" s="33" t="inlineStr">
        <is>
          <t xml:space="preserve">FUENTE: Deviation.csv filas 1719; Item Number original=73-18489-07 (prefijo 73- es CANDIDATO de PCBA, no confirmacion en Common DB); Workflow de origen=Expired; FJZ no validado, revision PCBA/WO no informadas. </t>
        </is>
      </c>
    </row>
    <row r="44">
      <c r="A44" s="43" t="inlineStr">
        <is>
          <t>DA-CTANJZ04557-STBU-73-18490-09</t>
        </is>
      </c>
      <c r="B44" s="43" t="n"/>
      <c r="C44" s="43" t="n"/>
      <c r="D44" s="43" t="inlineStr">
        <is>
          <t>73-18490-09</t>
        </is>
      </c>
      <c r="E44" s="43" t="inlineStr">
        <is>
          <t>DEV-CTANJZ04557</t>
        </is>
      </c>
      <c r="F44" s="43" t="n"/>
      <c r="G44" s="43" t="inlineStr">
        <is>
          <t>STBU</t>
        </is>
      </c>
      <c r="H44" s="43" t="n"/>
      <c r="I44" s="43" t="n"/>
      <c r="J44" s="43" t="n"/>
      <c r="K44" s="43" t="n"/>
      <c r="L44" s="43" t="n"/>
      <c r="M44" s="43" t="n"/>
      <c r="N44" s="43" t="n"/>
      <c r="O44" s="43" t="n"/>
      <c r="P44" s="43" t="n"/>
      <c r="Q44" s="43" t="inlineStr">
        <is>
          <t>BOARD</t>
        </is>
      </c>
      <c r="R44" s="33" t="inlineStr">
        <is>
          <t>REVISAR D603243: verificar accion documentada, PN/revision y vigencia para la corrida. No autoriza sustitucion ni uso de material.</t>
        </is>
      </c>
      <c r="S44" s="43" t="inlineStr">
        <is>
          <t>INFO</t>
        </is>
      </c>
      <c r="T44" s="33" t="inlineStr">
        <is>
          <t>Validar desviacion aprobada y estado; contrastar PN exacto y revision con Common DB, BOM/AVL, WO y fecha de corrida.</t>
        </is>
      </c>
      <c r="U44" s="33" t="inlineStr">
        <is>
          <t>Documento oficial firmado, autorizacion FJZ, revision/WO de alcance, confirmacion BOM y evidencia de implementacion si aplica.</t>
        </is>
      </c>
      <c r="V44" s="43" t="n"/>
      <c r="W44" s="43" t="n"/>
      <c r="X44" s="43" t="inlineStr">
        <is>
          <t>INFO</t>
        </is>
      </c>
      <c r="Y44" s="43" t="n"/>
      <c r="Z44" s="43" t="inlineStr">
        <is>
          <t>Pending Review</t>
        </is>
      </c>
      <c r="AA44" s="43" t="inlineStr">
        <is>
          <t>N</t>
        </is>
      </c>
      <c r="AB44" s="43" t="n"/>
      <c r="AC44" s="33" t="inlineStr">
        <is>
          <t xml:space="preserve">FUENTE: Deviation.csv filas 1720; Item Number original=73-18490-09 (prefijo 73- es CANDIDATO de PCBA, no confirmacion en Common DB); Workflow de origen=Expired; FJZ no validado, revision PCBA/WO no informadas. </t>
        </is>
      </c>
    </row>
    <row r="45">
      <c r="A45" s="43" t="inlineStr">
        <is>
          <t>DA-CTANJZ04557-STBU-73-21007-02</t>
        </is>
      </c>
      <c r="B45" s="43" t="n"/>
      <c r="C45" s="43" t="n"/>
      <c r="D45" s="43" t="inlineStr">
        <is>
          <t>73-21007-02</t>
        </is>
      </c>
      <c r="E45" s="43" t="inlineStr">
        <is>
          <t>DEV-CTANJZ04557</t>
        </is>
      </c>
      <c r="F45" s="43" t="n"/>
      <c r="G45" s="43" t="inlineStr">
        <is>
          <t>STBU</t>
        </is>
      </c>
      <c r="H45" s="43" t="n"/>
      <c r="I45" s="43" t="n"/>
      <c r="J45" s="43" t="n"/>
      <c r="K45" s="43" t="n"/>
      <c r="L45" s="43" t="n"/>
      <c r="M45" s="43" t="n"/>
      <c r="N45" s="43" t="n"/>
      <c r="O45" s="43" t="n"/>
      <c r="P45" s="43" t="n"/>
      <c r="Q45" s="43" t="inlineStr">
        <is>
          <t>BOARD</t>
        </is>
      </c>
      <c r="R45" s="33" t="inlineStr">
        <is>
          <t>REVISAR D603243: verificar accion documentada, PN/revision y vigencia para la corrida. No autoriza sustitucion ni uso de material.</t>
        </is>
      </c>
      <c r="S45" s="43" t="inlineStr">
        <is>
          <t>INFO</t>
        </is>
      </c>
      <c r="T45" s="33" t="inlineStr">
        <is>
          <t>Validar desviacion aprobada y estado; contrastar PN exacto y revision con Common DB, BOM/AVL, WO y fecha de corrida.</t>
        </is>
      </c>
      <c r="U45" s="33" t="inlineStr">
        <is>
          <t>Documento oficial firmado, autorizacion FJZ, revision/WO de alcance, confirmacion BOM y evidencia de implementacion si aplica.</t>
        </is>
      </c>
      <c r="V45" s="43" t="n"/>
      <c r="W45" s="43" t="n"/>
      <c r="X45" s="43" t="inlineStr">
        <is>
          <t>INFO</t>
        </is>
      </c>
      <c r="Y45" s="43" t="n"/>
      <c r="Z45" s="43" t="inlineStr">
        <is>
          <t>Pending Review</t>
        </is>
      </c>
      <c r="AA45" s="43" t="inlineStr">
        <is>
          <t>N</t>
        </is>
      </c>
      <c r="AB45" s="43" t="n"/>
      <c r="AC45" s="33" t="inlineStr">
        <is>
          <t xml:space="preserve">FUENTE: Deviation.csv filas 1721; Item Number original=73-21007-02 (prefijo 73- es CANDIDATO de PCBA, no confirmacion en Common DB); Workflow de origen=Expired; FJZ no validado, revision PCBA/WO no informadas. </t>
        </is>
      </c>
    </row>
    <row r="46">
      <c r="A46" s="43" t="inlineStr">
        <is>
          <t>DA-CTANJZ04578-STBU-73-102435-05</t>
        </is>
      </c>
      <c r="B46" s="43" t="n"/>
      <c r="C46" s="43" t="n"/>
      <c r="D46" s="43" t="inlineStr">
        <is>
          <t>73-102435-05</t>
        </is>
      </c>
      <c r="E46" s="43" t="inlineStr">
        <is>
          <t>DEV-CTANJZ04578</t>
        </is>
      </c>
      <c r="F46" s="43" t="n"/>
      <c r="G46" s="43" t="inlineStr">
        <is>
          <t>STBU</t>
        </is>
      </c>
      <c r="H46" s="43" t="n"/>
      <c r="I46" s="43" t="n"/>
      <c r="J46" s="43" t="n"/>
      <c r="K46" s="43" t="n"/>
      <c r="L46" s="43" t="n"/>
      <c r="M46" s="43" t="n"/>
      <c r="N46" s="43" t="n"/>
      <c r="O46" s="43" t="n"/>
      <c r="P46" s="43" t="n"/>
      <c r="Q46" s="43" t="inlineStr">
        <is>
          <t>BOARD</t>
        </is>
      </c>
      <c r="R46" s="33" t="inlineStr">
        <is>
          <t>REVISAR D603342: verificar accion documentada, PN/revision y vigencia para la corrida. No autoriza sustitucion ni uso de material.</t>
        </is>
      </c>
      <c r="S46" s="43" t="inlineStr">
        <is>
          <t>INFO</t>
        </is>
      </c>
      <c r="T46" s="33" t="inlineStr">
        <is>
          <t>Validar desviacion aprobada y estado; contrastar PN exacto y revision con Common DB, BOM/AVL, WO y fecha de corrida.</t>
        </is>
      </c>
      <c r="U46" s="33" t="inlineStr">
        <is>
          <t>Documento oficial firmado, autorizacion FJZ, revision/WO de alcance, confirmacion BOM y evidencia de implementacion si aplica.</t>
        </is>
      </c>
      <c r="V46" s="43" t="n"/>
      <c r="W46" s="43" t="n"/>
      <c r="X46" s="43" t="inlineStr">
        <is>
          <t>INFO</t>
        </is>
      </c>
      <c r="Y46" s="43" t="n"/>
      <c r="Z46" s="43" t="inlineStr">
        <is>
          <t>Pending Review</t>
        </is>
      </c>
      <c r="AA46" s="43" t="inlineStr">
        <is>
          <t>N</t>
        </is>
      </c>
      <c r="AB46" s="43" t="n"/>
      <c r="AC46" s="33" t="inlineStr">
        <is>
          <t xml:space="preserve">FUENTE: Deviation.csv filas 1407; Item Number original=73-102435-05 (prefijo 73- es CANDIDATO de PCBA, no confirmacion en Common DB); Workflow de origen=Expired; FJZ no validado, revision PCBA/WO no informadas. </t>
        </is>
      </c>
    </row>
    <row r="47">
      <c r="A47" s="43" t="inlineStr">
        <is>
          <t>DA-CTANJZ04583-STBU-73-19337-01</t>
        </is>
      </c>
      <c r="B47" s="43" t="n"/>
      <c r="C47" s="43" t="n"/>
      <c r="D47" s="43" t="inlineStr">
        <is>
          <t>73-19337-01</t>
        </is>
      </c>
      <c r="E47" s="43" t="inlineStr">
        <is>
          <t>DEV-CTANJZ04583</t>
        </is>
      </c>
      <c r="F47" s="43" t="n"/>
      <c r="G47" s="43" t="inlineStr">
        <is>
          <t>STBU</t>
        </is>
      </c>
      <c r="H47" s="43" t="n"/>
      <c r="I47" s="43" t="n"/>
      <c r="J47" s="43" t="n"/>
      <c r="K47" s="43" t="n"/>
      <c r="L47" s="43" t="n"/>
      <c r="M47" s="43" t="n"/>
      <c r="N47" s="43" t="n"/>
      <c r="O47" s="43" t="n"/>
      <c r="P47" s="43" t="n"/>
      <c r="Q47" s="43" t="inlineStr">
        <is>
          <t>BOARD</t>
        </is>
      </c>
      <c r="R47" s="33" t="inlineStr">
        <is>
          <t>REVISAR D602497: verificar accion documentada, PN/revision y vigencia para la corrida. No autoriza sustitucion ni uso de material.</t>
        </is>
      </c>
      <c r="S47" s="43" t="inlineStr">
        <is>
          <t>INFO</t>
        </is>
      </c>
      <c r="T47" s="33" t="inlineStr">
        <is>
          <t>Validar desviacion aprobada y estado; contrastar PN exacto y revision con Common DB, BOM/AVL, WO y fecha de corrida.</t>
        </is>
      </c>
      <c r="U47" s="33" t="inlineStr">
        <is>
          <t>Documento oficial firmado, autorizacion FJZ, revision/WO de alcance, confirmacion BOM y evidencia de implementacion si aplica.</t>
        </is>
      </c>
      <c r="V47" s="43" t="n"/>
      <c r="W47" s="43" t="n"/>
      <c r="X47" s="43" t="inlineStr">
        <is>
          <t>INFO</t>
        </is>
      </c>
      <c r="Y47" s="43" t="n"/>
      <c r="Z47" s="43" t="inlineStr">
        <is>
          <t>Pending Review</t>
        </is>
      </c>
      <c r="AA47" s="43" t="inlineStr">
        <is>
          <t>N</t>
        </is>
      </c>
      <c r="AB47" s="43" t="n"/>
      <c r="AC47" s="33" t="inlineStr">
        <is>
          <t xml:space="preserve">FUENTE: Deviation.csv filas 148; Item Number original=73-19337-01 (prefijo 73- es CANDIDATO de PCBA, no confirmacion en Common DB); Workflow de origen=Expired; FJZ no validado, revision PCBA/WO no informadas. </t>
        </is>
      </c>
    </row>
    <row r="48">
      <c r="A48" s="43" t="inlineStr">
        <is>
          <t>DA-CTANJZ04604-STBU-73-102433-04</t>
        </is>
      </c>
      <c r="B48" s="43" t="n"/>
      <c r="C48" s="43" t="n"/>
      <c r="D48" s="43" t="inlineStr">
        <is>
          <t>73-102433-04</t>
        </is>
      </c>
      <c r="E48" s="43" t="inlineStr">
        <is>
          <t>DEV-CTANJZ04604</t>
        </is>
      </c>
      <c r="F48" s="43" t="n"/>
      <c r="G48" s="43" t="inlineStr">
        <is>
          <t>STBU</t>
        </is>
      </c>
      <c r="H48" s="43" t="n"/>
      <c r="I48" s="43" t="n"/>
      <c r="J48" s="43" t="n"/>
      <c r="K48" s="43" t="n"/>
      <c r="L48" s="43" t="n"/>
      <c r="M48" s="43" t="n"/>
      <c r="N48" s="43" t="n"/>
      <c r="O48" s="43" t="n"/>
      <c r="P48" s="43" t="n"/>
      <c r="Q48" s="43" t="inlineStr">
        <is>
          <t>BOARD</t>
        </is>
      </c>
      <c r="R48" s="33" t="inlineStr">
        <is>
          <t>REVISAR D603402: verificar accion documentada, PN/revision y vigencia para la corrida. No autoriza sustitucion ni uso de material.</t>
        </is>
      </c>
      <c r="S48" s="43" t="inlineStr">
        <is>
          <t>INFO</t>
        </is>
      </c>
      <c r="T48" s="33" t="inlineStr">
        <is>
          <t>Validar desviacion aprobada y estado; contrastar PN exacto y revision con Common DB, BOM/AVL, WO y fecha de corrida.</t>
        </is>
      </c>
      <c r="U48" s="33" t="inlineStr">
        <is>
          <t>Documento oficial firmado, autorizacion FJZ, revision/WO de alcance, confirmacion BOM y evidencia de implementacion si aplica.</t>
        </is>
      </c>
      <c r="V48" s="43" t="n"/>
      <c r="W48" s="43" t="n"/>
      <c r="X48" s="43" t="inlineStr">
        <is>
          <t>INFO</t>
        </is>
      </c>
      <c r="Y48" s="43" t="n"/>
      <c r="Z48" s="43" t="inlineStr">
        <is>
          <t>Pending Review</t>
        </is>
      </c>
      <c r="AA48" s="43" t="inlineStr">
        <is>
          <t>N</t>
        </is>
      </c>
      <c r="AB48" s="43" t="n"/>
      <c r="AC48" s="33" t="inlineStr">
        <is>
          <t xml:space="preserve">FUENTE: Deviation.csv filas 111; Item Number original=73-102433-04 (prefijo 73- es CANDIDATO de PCBA, no confirmacion en Common DB); Workflow de origen=Expired; FJZ no validado, revision PCBA/WO no informadas. </t>
        </is>
      </c>
    </row>
    <row r="49">
      <c r="A49" s="43" t="inlineStr">
        <is>
          <t>DA-CTANJZ04604-STBU-73-102434-04</t>
        </is>
      </c>
      <c r="B49" s="43" t="n"/>
      <c r="C49" s="43" t="n"/>
      <c r="D49" s="43" t="inlineStr">
        <is>
          <t>73-102434-04</t>
        </is>
      </c>
      <c r="E49" s="43" t="inlineStr">
        <is>
          <t>DEV-CTANJZ04604</t>
        </is>
      </c>
      <c r="F49" s="43" t="n"/>
      <c r="G49" s="43" t="inlineStr">
        <is>
          <t>STBU</t>
        </is>
      </c>
      <c r="H49" s="43" t="n"/>
      <c r="I49" s="43" t="n"/>
      <c r="J49" s="43" t="n"/>
      <c r="K49" s="43" t="n"/>
      <c r="L49" s="43" t="n"/>
      <c r="M49" s="43" t="n"/>
      <c r="N49" s="43" t="n"/>
      <c r="O49" s="43" t="n"/>
      <c r="P49" s="43" t="n"/>
      <c r="Q49" s="43" t="inlineStr">
        <is>
          <t>BOARD</t>
        </is>
      </c>
      <c r="R49" s="33" t="inlineStr">
        <is>
          <t>REVISAR D603402: verificar accion documentada, PN/revision y vigencia para la corrida. No autoriza sustitucion ni uso de material.</t>
        </is>
      </c>
      <c r="S49" s="43" t="inlineStr">
        <is>
          <t>INFO</t>
        </is>
      </c>
      <c r="T49" s="33" t="inlineStr">
        <is>
          <t>Validar desviacion aprobada y estado; contrastar PN exacto y revision con Common DB, BOM/AVL, WO y fecha de corrida.</t>
        </is>
      </c>
      <c r="U49" s="33" t="inlineStr">
        <is>
          <t>Documento oficial firmado, autorizacion FJZ, revision/WO de alcance, confirmacion BOM y evidencia de implementacion si aplica.</t>
        </is>
      </c>
      <c r="V49" s="43" t="n"/>
      <c r="W49" s="43" t="n"/>
      <c r="X49" s="43" t="inlineStr">
        <is>
          <t>INFO</t>
        </is>
      </c>
      <c r="Y49" s="43" t="n"/>
      <c r="Z49" s="43" t="inlineStr">
        <is>
          <t>Pending Review</t>
        </is>
      </c>
      <c r="AA49" s="43" t="inlineStr">
        <is>
          <t>N</t>
        </is>
      </c>
      <c r="AB49" s="43" t="n"/>
      <c r="AC49" s="33" t="inlineStr">
        <is>
          <t xml:space="preserve">FUENTE: Deviation.csv filas 112; Item Number original=73-102434-04 (prefijo 73- es CANDIDATO de PCBA, no confirmacion en Common DB); Workflow de origen=Expired; FJZ no validado, revision PCBA/WO no informadas. </t>
        </is>
      </c>
    </row>
    <row r="50">
      <c r="A50" s="43" t="inlineStr">
        <is>
          <t>DA-CTANJZ04604-STBU-73-102435-04</t>
        </is>
      </c>
      <c r="B50" s="43" t="n"/>
      <c r="C50" s="43" t="n"/>
      <c r="D50" s="43" t="inlineStr">
        <is>
          <t>73-102435-04</t>
        </is>
      </c>
      <c r="E50" s="43" t="inlineStr">
        <is>
          <t>DEV-CTANJZ04604</t>
        </is>
      </c>
      <c r="F50" s="43" t="n"/>
      <c r="G50" s="43" t="inlineStr">
        <is>
          <t>STBU</t>
        </is>
      </c>
      <c r="H50" s="43" t="n"/>
      <c r="I50" s="43" t="n"/>
      <c r="J50" s="43" t="n"/>
      <c r="K50" s="43" t="n"/>
      <c r="L50" s="43" t="n"/>
      <c r="M50" s="43" t="n"/>
      <c r="N50" s="43" t="n"/>
      <c r="O50" s="43" t="n"/>
      <c r="P50" s="43" t="n"/>
      <c r="Q50" s="43" t="inlineStr">
        <is>
          <t>BOARD</t>
        </is>
      </c>
      <c r="R50" s="33" t="inlineStr">
        <is>
          <t>REVISAR D603402: verificar accion documentada, PN/revision y vigencia para la corrida. No autoriza sustitucion ni uso de material.</t>
        </is>
      </c>
      <c r="S50" s="43" t="inlineStr">
        <is>
          <t>INFO</t>
        </is>
      </c>
      <c r="T50" s="33" t="inlineStr">
        <is>
          <t>Validar desviacion aprobada y estado; contrastar PN exacto y revision con Common DB, BOM/AVL, WO y fecha de corrida.</t>
        </is>
      </c>
      <c r="U50" s="33" t="inlineStr">
        <is>
          <t>Documento oficial firmado, autorizacion FJZ, revision/WO de alcance, confirmacion BOM y evidencia de implementacion si aplica.</t>
        </is>
      </c>
      <c r="V50" s="43" t="n"/>
      <c r="W50" s="43" t="n"/>
      <c r="X50" s="43" t="inlineStr">
        <is>
          <t>INFO</t>
        </is>
      </c>
      <c r="Y50" s="43" t="n"/>
      <c r="Z50" s="43" t="inlineStr">
        <is>
          <t>Pending Review</t>
        </is>
      </c>
      <c r="AA50" s="43" t="inlineStr">
        <is>
          <t>N</t>
        </is>
      </c>
      <c r="AB50" s="43" t="n"/>
      <c r="AC50" s="33" t="inlineStr">
        <is>
          <t xml:space="preserve">FUENTE: Deviation.csv filas 113; Item Number original=73-102435-04 (prefijo 73- es CANDIDATO de PCBA, no confirmacion en Common DB); Workflow de origen=Expired; FJZ no validado, revision PCBA/WO no informadas. </t>
        </is>
      </c>
    </row>
    <row r="51">
      <c r="A51" s="43" t="inlineStr">
        <is>
          <t>DA-CTANJZ04609-CVEBU-73-103720-03</t>
        </is>
      </c>
      <c r="B51" s="43" t="n"/>
      <c r="C51" s="43" t="n"/>
      <c r="D51" s="43" t="inlineStr">
        <is>
          <t>73-103720-03</t>
        </is>
      </c>
      <c r="E51" s="43" t="inlineStr">
        <is>
          <t>DEV-CTANJZ04609</t>
        </is>
      </c>
      <c r="F51" s="43" t="n"/>
      <c r="G51" s="43" t="inlineStr">
        <is>
          <t>CVEBU</t>
        </is>
      </c>
      <c r="H51" s="43" t="n"/>
      <c r="I51" s="43" t="n"/>
      <c r="J51" s="43" t="n"/>
      <c r="K51" s="43" t="n"/>
      <c r="L51" s="43" t="n"/>
      <c r="M51" s="43" t="n"/>
      <c r="N51" s="43" t="n"/>
      <c r="O51" s="43" t="n"/>
      <c r="P51" s="43" t="n"/>
      <c r="Q51" s="43" t="inlineStr">
        <is>
          <t>BOARD</t>
        </is>
      </c>
      <c r="R51" s="33" t="inlineStr">
        <is>
          <t>REVISAR DP524872: verificar accion documentada, PN/revision y vigencia para la corrida. No autoriza sustitucion ni uso de material.</t>
        </is>
      </c>
      <c r="S51" s="43" t="inlineStr">
        <is>
          <t>INFO</t>
        </is>
      </c>
      <c r="T51" s="33" t="inlineStr">
        <is>
          <t>Validar desviacion aprobada y estado; contrastar PN exacto y revision con Common DB, BOM/AVL, WO y fecha de corrida.</t>
        </is>
      </c>
      <c r="U51" s="33" t="inlineStr">
        <is>
          <t>Documento oficial firmado, autorizacion FJZ, revision/WO de alcance, confirmacion BOM y evidencia de implementacion si aplica.</t>
        </is>
      </c>
      <c r="V51" s="43" t="n"/>
      <c r="W51" s="43" t="n"/>
      <c r="X51" s="43" t="inlineStr">
        <is>
          <t>INFO</t>
        </is>
      </c>
      <c r="Y51" s="43" t="n"/>
      <c r="Z51" s="43" t="inlineStr">
        <is>
          <t>Pending Review</t>
        </is>
      </c>
      <c r="AA51" s="43" t="inlineStr">
        <is>
          <t>N</t>
        </is>
      </c>
      <c r="AB51" s="43" t="n"/>
      <c r="AC51" s="33" t="inlineStr">
        <is>
          <t xml:space="preserve">FUENTE: Deviation.csv filas 368; Item Number original=73-103720-03 (prefijo 73- es CANDIDATO de PCBA, no confirmacion en Common DB); Workflow de origen=Expired; FJZ no validado, revision PCBA/WO no informadas. </t>
        </is>
      </c>
    </row>
    <row r="52">
      <c r="A52" s="43" t="inlineStr">
        <is>
          <t>DA-CTANJZ04609-CVEBU-73-103820-03</t>
        </is>
      </c>
      <c r="B52" s="43" t="n"/>
      <c r="C52" s="43" t="n"/>
      <c r="D52" s="43" t="inlineStr">
        <is>
          <t>73-103820-03</t>
        </is>
      </c>
      <c r="E52" s="43" t="inlineStr">
        <is>
          <t>DEV-CTANJZ04609</t>
        </is>
      </c>
      <c r="F52" s="43" t="n"/>
      <c r="G52" s="43" t="inlineStr">
        <is>
          <t>CVEBU</t>
        </is>
      </c>
      <c r="H52" s="43" t="n"/>
      <c r="I52" s="43" t="n"/>
      <c r="J52" s="43" t="n"/>
      <c r="K52" s="43" t="n"/>
      <c r="L52" s="43" t="n"/>
      <c r="M52" s="43" t="n"/>
      <c r="N52" s="43" t="n"/>
      <c r="O52" s="43" t="n"/>
      <c r="P52" s="43" t="n"/>
      <c r="Q52" s="43" t="inlineStr">
        <is>
          <t>BOARD</t>
        </is>
      </c>
      <c r="R52" s="33" t="inlineStr">
        <is>
          <t>REVISAR DP524872: verificar accion documentada, PN/revision y vigencia para la corrida. No autoriza sustitucion ni uso de material.</t>
        </is>
      </c>
      <c r="S52" s="43" t="inlineStr">
        <is>
          <t>INFO</t>
        </is>
      </c>
      <c r="T52" s="33" t="inlineStr">
        <is>
          <t>Validar desviacion aprobada y estado; contrastar PN exacto y revision con Common DB, BOM/AVL, WO y fecha de corrida.</t>
        </is>
      </c>
      <c r="U52" s="33" t="inlineStr">
        <is>
          <t>Documento oficial firmado, autorizacion FJZ, revision/WO de alcance, confirmacion BOM y evidencia de implementacion si aplica.</t>
        </is>
      </c>
      <c r="V52" s="43" t="n"/>
      <c r="W52" s="43" t="n"/>
      <c r="X52" s="43" t="inlineStr">
        <is>
          <t>INFO</t>
        </is>
      </c>
      <c r="Y52" s="43" t="n"/>
      <c r="Z52" s="43" t="inlineStr">
        <is>
          <t>Pending Review</t>
        </is>
      </c>
      <c r="AA52" s="43" t="inlineStr">
        <is>
          <t>N</t>
        </is>
      </c>
      <c r="AB52" s="43" t="n"/>
      <c r="AC52" s="33" t="inlineStr">
        <is>
          <t xml:space="preserve">FUENTE: Deviation.csv filas 369; Item Number original=73-103820-03 (prefijo 73- es CANDIDATO de PCBA, no confirmacion en Common DB); Workflow de origen=Expired; FJZ no validado, revision PCBA/WO no informadas. </t>
        </is>
      </c>
    </row>
    <row r="53">
      <c r="A53" s="43" t="inlineStr">
        <is>
          <t>DA-CTANJZ04609-CVEBU-73-103920-03</t>
        </is>
      </c>
      <c r="B53" s="43" t="n"/>
      <c r="C53" s="43" t="n"/>
      <c r="D53" s="43" t="inlineStr">
        <is>
          <t>73-103920-03</t>
        </is>
      </c>
      <c r="E53" s="43" t="inlineStr">
        <is>
          <t>DEV-CTANJZ04609</t>
        </is>
      </c>
      <c r="F53" s="43" t="n"/>
      <c r="G53" s="43" t="inlineStr">
        <is>
          <t>CVEBU</t>
        </is>
      </c>
      <c r="H53" s="43" t="n"/>
      <c r="I53" s="43" t="n"/>
      <c r="J53" s="43" t="n"/>
      <c r="K53" s="43" t="n"/>
      <c r="L53" s="43" t="n"/>
      <c r="M53" s="43" t="n"/>
      <c r="N53" s="43" t="n"/>
      <c r="O53" s="43" t="n"/>
      <c r="P53" s="43" t="n"/>
      <c r="Q53" s="43" t="inlineStr">
        <is>
          <t>BOARD</t>
        </is>
      </c>
      <c r="R53" s="33" t="inlineStr">
        <is>
          <t>REVISAR DP524872: verificar accion documentada, PN/revision y vigencia para la corrida. No autoriza sustitucion ni uso de material.</t>
        </is>
      </c>
      <c r="S53" s="43" t="inlineStr">
        <is>
          <t>INFO</t>
        </is>
      </c>
      <c r="T53" s="33" t="inlineStr">
        <is>
          <t>Validar desviacion aprobada y estado; contrastar PN exacto y revision con Common DB, BOM/AVL, WO y fecha de corrida.</t>
        </is>
      </c>
      <c r="U53" s="33" t="inlineStr">
        <is>
          <t>Documento oficial firmado, autorizacion FJZ, revision/WO de alcance, confirmacion BOM y evidencia de implementacion si aplica.</t>
        </is>
      </c>
      <c r="V53" s="43" t="n"/>
      <c r="W53" s="43" t="n"/>
      <c r="X53" s="43" t="inlineStr">
        <is>
          <t>INFO</t>
        </is>
      </c>
      <c r="Y53" s="43" t="n"/>
      <c r="Z53" s="43" t="inlineStr">
        <is>
          <t>Pending Review</t>
        </is>
      </c>
      <c r="AA53" s="43" t="inlineStr">
        <is>
          <t>N</t>
        </is>
      </c>
      <c r="AB53" s="43" t="n"/>
      <c r="AC53" s="33" t="inlineStr">
        <is>
          <t xml:space="preserve">FUENTE: Deviation.csv filas 370; Item Number original=73-103920-03 (prefijo 73- es CANDIDATO de PCBA, no confirmacion en Common DB); Workflow de origen=Expired; FJZ no validado, revision PCBA/WO no informadas. </t>
        </is>
      </c>
    </row>
    <row r="54">
      <c r="A54" s="43" t="inlineStr">
        <is>
          <t>DA-CTANJZ04609-CVEBU-73-103922-03</t>
        </is>
      </c>
      <c r="B54" s="43" t="n"/>
      <c r="C54" s="43" t="n"/>
      <c r="D54" s="43" t="inlineStr">
        <is>
          <t>73-103922-03</t>
        </is>
      </c>
      <c r="E54" s="43" t="inlineStr">
        <is>
          <t>DEV-CTANJZ04609</t>
        </is>
      </c>
      <c r="F54" s="43" t="n"/>
      <c r="G54" s="43" t="inlineStr">
        <is>
          <t>CVEBU</t>
        </is>
      </c>
      <c r="H54" s="43" t="n"/>
      <c r="I54" s="43" t="n"/>
      <c r="J54" s="43" t="n"/>
      <c r="K54" s="43" t="n"/>
      <c r="L54" s="43" t="n"/>
      <c r="M54" s="43" t="n"/>
      <c r="N54" s="43" t="n"/>
      <c r="O54" s="43" t="n"/>
      <c r="P54" s="43" t="n"/>
      <c r="Q54" s="43" t="inlineStr">
        <is>
          <t>BOARD</t>
        </is>
      </c>
      <c r="R54" s="33" t="inlineStr">
        <is>
          <t>REVISAR DP524872: verificar accion documentada, PN/revision y vigencia para la corrida. No autoriza sustitucion ni uso de material.</t>
        </is>
      </c>
      <c r="S54" s="43" t="inlineStr">
        <is>
          <t>INFO</t>
        </is>
      </c>
      <c r="T54" s="33" t="inlineStr">
        <is>
          <t>Validar desviacion aprobada y estado; contrastar PN exacto y revision con Common DB, BOM/AVL, WO y fecha de corrida.</t>
        </is>
      </c>
      <c r="U54" s="33" t="inlineStr">
        <is>
          <t>Documento oficial firmado, autorizacion FJZ, revision/WO de alcance, confirmacion BOM y evidencia de implementacion si aplica.</t>
        </is>
      </c>
      <c r="V54" s="43" t="n"/>
      <c r="W54" s="43" t="n"/>
      <c r="X54" s="43" t="inlineStr">
        <is>
          <t>INFO</t>
        </is>
      </c>
      <c r="Y54" s="43" t="n"/>
      <c r="Z54" s="43" t="inlineStr">
        <is>
          <t>Pending Review</t>
        </is>
      </c>
      <c r="AA54" s="43" t="inlineStr">
        <is>
          <t>N</t>
        </is>
      </c>
      <c r="AB54" s="43" t="n"/>
      <c r="AC54" s="33" t="inlineStr">
        <is>
          <t xml:space="preserve">FUENTE: Deviation.csv filas 371; Item Number original=73-103922-03 (prefijo 73- es CANDIDATO de PCBA, no confirmacion en Common DB); Workflow de origen=Expired; FJZ no validado, revision PCBA/WO no informadas. </t>
        </is>
      </c>
    </row>
    <row r="55">
      <c r="A55" s="43" t="inlineStr">
        <is>
          <t>DA-CTANJZ04613-CVEBU-73-101504-01</t>
        </is>
      </c>
      <c r="B55" s="43" t="n"/>
      <c r="C55" s="43" t="n"/>
      <c r="D55" s="43" t="inlineStr">
        <is>
          <t>73-101504-01</t>
        </is>
      </c>
      <c r="E55" s="43" t="inlineStr">
        <is>
          <t>DEV-CTANJZ04613</t>
        </is>
      </c>
      <c r="F55" s="43" t="n"/>
      <c r="G55" s="43" t="inlineStr">
        <is>
          <t>CVEBU</t>
        </is>
      </c>
      <c r="H55" s="43" t="n"/>
      <c r="I55" s="43" t="n"/>
      <c r="J55" s="43" t="n"/>
      <c r="K55" s="43" t="n"/>
      <c r="L55" s="43" t="n"/>
      <c r="M55" s="43" t="n"/>
      <c r="N55" s="43" t="n"/>
      <c r="O55" s="43" t="n"/>
      <c r="P55" s="43" t="n"/>
      <c r="Q55" s="43" t="inlineStr">
        <is>
          <t>BOARD</t>
        </is>
      </c>
      <c r="R55" s="33" t="inlineStr">
        <is>
          <t>REVISAR D603986: verificar accion documentada, PN/revision y vigencia para la corrida. No autoriza sustitucion ni uso de material.</t>
        </is>
      </c>
      <c r="S55" s="43" t="inlineStr">
        <is>
          <t>INFO</t>
        </is>
      </c>
      <c r="T55" s="33" t="inlineStr">
        <is>
          <t>Validar desviacion aprobada y estado; contrastar PN exacto y revision con Common DB, BOM/AVL, WO y fecha de corrida.</t>
        </is>
      </c>
      <c r="U55" s="33" t="inlineStr">
        <is>
          <t>Documento oficial firmado, autorizacion FJZ, revision/WO de alcance, confirmacion BOM y evidencia de implementacion si aplica.</t>
        </is>
      </c>
      <c r="V55" s="43" t="n"/>
      <c r="W55" s="43" t="n"/>
      <c r="X55" s="43" t="inlineStr">
        <is>
          <t>INFO</t>
        </is>
      </c>
      <c r="Y55" s="43" t="n"/>
      <c r="Z55" s="43" t="inlineStr">
        <is>
          <t>Pending Review</t>
        </is>
      </c>
      <c r="AA55" s="43" t="inlineStr">
        <is>
          <t>N</t>
        </is>
      </c>
      <c r="AB55" s="43" t="n"/>
      <c r="AC55" s="33" t="inlineStr">
        <is>
          <t xml:space="preserve">FUENTE: Deviation.csv filas 739; Item Number original=73-101504-01 (prefijo 73- es CANDIDATO de PCBA, no confirmacion en Common DB); Workflow de origen=Expired; FJZ no validado, revision PCBA/WO no informadas. </t>
        </is>
      </c>
    </row>
    <row r="56">
      <c r="A56" s="43" t="inlineStr">
        <is>
          <t>DA-CTANJZ04613-CVEBU-73-102022-02</t>
        </is>
      </c>
      <c r="B56" s="43" t="inlineStr">
        <is>
          <t>BROOKLYN</t>
        </is>
      </c>
      <c r="C56" s="43" t="n"/>
      <c r="D56" s="43" t="inlineStr">
        <is>
          <t>73-102022-02</t>
        </is>
      </c>
      <c r="E56" s="43" t="inlineStr">
        <is>
          <t>DEV-CTANJZ04613</t>
        </is>
      </c>
      <c r="F56" s="43" t="n"/>
      <c r="G56" s="43" t="inlineStr">
        <is>
          <t>CVEBU</t>
        </is>
      </c>
      <c r="H56" s="43" t="n"/>
      <c r="I56" s="43" t="n"/>
      <c r="J56" s="43" t="n"/>
      <c r="K56" s="43" t="n"/>
      <c r="L56" s="43" t="n"/>
      <c r="M56" s="43" t="n"/>
      <c r="N56" s="43" t="n"/>
      <c r="O56" s="43" t="n"/>
      <c r="P56" s="43" t="n"/>
      <c r="Q56" s="43" t="inlineStr">
        <is>
          <t>BOARD</t>
        </is>
      </c>
      <c r="R56" s="33" t="inlineStr">
        <is>
          <t>REVISAR D603986: verificar accion documentada, PN/revision y vigencia para la corrida. No autoriza sustitucion ni uso de material.</t>
        </is>
      </c>
      <c r="S56" s="43" t="inlineStr">
        <is>
          <t>INFO</t>
        </is>
      </c>
      <c r="T56" s="33" t="inlineStr">
        <is>
          <t>Validar desviacion aprobada y estado; contrastar PN exacto y revision con Common DB, BOM/AVL, WO y fecha de corrida.</t>
        </is>
      </c>
      <c r="U56" s="33" t="inlineStr">
        <is>
          <t>Documento oficial firmado, autorizacion FJZ, revision/WO de alcance, confirmacion BOM y evidencia de implementacion si aplica.</t>
        </is>
      </c>
      <c r="V56" s="43" t="n"/>
      <c r="W56" s="43" t="n"/>
      <c r="X56" s="43" t="inlineStr">
        <is>
          <t>INFO</t>
        </is>
      </c>
      <c r="Y56" s="43" t="n"/>
      <c r="Z56" s="43" t="inlineStr">
        <is>
          <t>Pending Review</t>
        </is>
      </c>
      <c r="AA56" s="43" t="inlineStr">
        <is>
          <t>N</t>
        </is>
      </c>
      <c r="AB56" s="43" t="n"/>
      <c r="AC56" s="33" t="inlineStr">
        <is>
          <t xml:space="preserve">FUENTE: Deviation.csv filas 740; Item Number original=73-102022-02 (prefijo 73- es CANDIDATO de PCBA, no confirmacion en Common DB); Workflow de origen=Expired; FJZ no validado, revision PCBA/WO no informadas. </t>
        </is>
      </c>
    </row>
    <row r="57">
      <c r="A57" s="43" t="inlineStr">
        <is>
          <t>DA-CTANJZ04613-CVEBU-73-102197-02</t>
        </is>
      </c>
      <c r="B57" s="43" t="n"/>
      <c r="C57" s="43" t="n"/>
      <c r="D57" s="43" t="inlineStr">
        <is>
          <t>73-102197-02</t>
        </is>
      </c>
      <c r="E57" s="43" t="inlineStr">
        <is>
          <t>DEV-CTANJZ04613</t>
        </is>
      </c>
      <c r="F57" s="43" t="n"/>
      <c r="G57" s="43" t="inlineStr">
        <is>
          <t>CVEBU</t>
        </is>
      </c>
      <c r="H57" s="43" t="n"/>
      <c r="I57" s="43" t="n"/>
      <c r="J57" s="43" t="n"/>
      <c r="K57" s="43" t="n"/>
      <c r="L57" s="43" t="n"/>
      <c r="M57" s="43" t="n"/>
      <c r="N57" s="43" t="n"/>
      <c r="O57" s="43" t="n"/>
      <c r="P57" s="43" t="n"/>
      <c r="Q57" s="43" t="inlineStr">
        <is>
          <t>BOARD</t>
        </is>
      </c>
      <c r="R57" s="33" t="inlineStr">
        <is>
          <t>REVISAR D603986: verificar accion documentada, PN/revision y vigencia para la corrida. No autoriza sustitucion ni uso de material.</t>
        </is>
      </c>
      <c r="S57" s="43" t="inlineStr">
        <is>
          <t>INFO</t>
        </is>
      </c>
      <c r="T57" s="33" t="inlineStr">
        <is>
          <t>Validar desviacion aprobada y estado; contrastar PN exacto y revision con Common DB, BOM/AVL, WO y fecha de corrida.</t>
        </is>
      </c>
      <c r="U57" s="33" t="inlineStr">
        <is>
          <t>Documento oficial firmado, autorizacion FJZ, revision/WO de alcance, confirmacion BOM y evidencia de implementacion si aplica.</t>
        </is>
      </c>
      <c r="V57" s="43" t="n"/>
      <c r="W57" s="43" t="n"/>
      <c r="X57" s="43" t="inlineStr">
        <is>
          <t>INFO</t>
        </is>
      </c>
      <c r="Y57" s="43" t="n"/>
      <c r="Z57" s="43" t="inlineStr">
        <is>
          <t>Pending Review</t>
        </is>
      </c>
      <c r="AA57" s="43" t="inlineStr">
        <is>
          <t>N</t>
        </is>
      </c>
      <c r="AB57" s="43" t="n"/>
      <c r="AC57" s="33" t="inlineStr">
        <is>
          <t xml:space="preserve">FUENTE: Deviation.csv filas 749; Item Number original=73-102197-02 (prefijo 73- es CANDIDATO de PCBA, no confirmacion en Common DB); Workflow de origen=Expired; FJZ no validado, revision PCBA/WO no informadas. </t>
        </is>
      </c>
    </row>
    <row r="58">
      <c r="A58" s="43" t="inlineStr">
        <is>
          <t>DA-CTANJZ04613-CVEBU-73-102226-06</t>
        </is>
      </c>
      <c r="B58" s="43" t="inlineStr">
        <is>
          <t>MILLENIUM</t>
        </is>
      </c>
      <c r="C58" s="43" t="n"/>
      <c r="D58" s="43" t="inlineStr">
        <is>
          <t>73-102226-06</t>
        </is>
      </c>
      <c r="E58" s="43" t="inlineStr">
        <is>
          <t>DEV-CTANJZ04613</t>
        </is>
      </c>
      <c r="F58" s="43" t="n"/>
      <c r="G58" s="43" t="inlineStr">
        <is>
          <t>CVEBU</t>
        </is>
      </c>
      <c r="H58" s="43" t="n"/>
      <c r="I58" s="43" t="n"/>
      <c r="J58" s="43" t="n"/>
      <c r="K58" s="43" t="n"/>
      <c r="L58" s="43" t="n"/>
      <c r="M58" s="43" t="n"/>
      <c r="N58" s="43" t="n"/>
      <c r="O58" s="43" t="n"/>
      <c r="P58" s="43" t="n"/>
      <c r="Q58" s="43" t="inlineStr">
        <is>
          <t>BOARD</t>
        </is>
      </c>
      <c r="R58" s="33" t="inlineStr">
        <is>
          <t>REVISAR D603986: verificar accion documentada, PN/revision y vigencia para la corrida. No autoriza sustitucion ni uso de material.</t>
        </is>
      </c>
      <c r="S58" s="43" t="inlineStr">
        <is>
          <t>INFO</t>
        </is>
      </c>
      <c r="T58" s="33" t="inlineStr">
        <is>
          <t>Validar desviacion aprobada y estado; contrastar PN exacto y revision con Common DB, BOM/AVL, WO y fecha de corrida.</t>
        </is>
      </c>
      <c r="U58" s="33" t="inlineStr">
        <is>
          <t>Documento oficial firmado, autorizacion FJZ, revision/WO de alcance, confirmacion BOM y evidencia de implementacion si aplica.</t>
        </is>
      </c>
      <c r="V58" s="43" t="n"/>
      <c r="W58" s="43" t="n"/>
      <c r="X58" s="43" t="inlineStr">
        <is>
          <t>INFO</t>
        </is>
      </c>
      <c r="Y58" s="43" t="n"/>
      <c r="Z58" s="43" t="inlineStr">
        <is>
          <t>Pending Review</t>
        </is>
      </c>
      <c r="AA58" s="43" t="inlineStr">
        <is>
          <t>N</t>
        </is>
      </c>
      <c r="AB58" s="43" t="n"/>
      <c r="AC58" s="33" t="inlineStr">
        <is>
          <t xml:space="preserve">FUENTE: Deviation.csv filas 750; Item Number original=73-102226-06 (prefijo 73- es CANDIDATO de PCBA, no confirmacion en Common DB); Workflow de origen=Expired; FJZ no validado, revision PCBA/WO no informadas. </t>
        </is>
      </c>
    </row>
    <row r="59">
      <c r="A59" s="43" t="inlineStr">
        <is>
          <t>DA-CTANJZ04613-CVEBU-73-102797-02</t>
        </is>
      </c>
      <c r="B59" s="43" t="inlineStr">
        <is>
          <t>DAVINCI</t>
        </is>
      </c>
      <c r="C59" s="43" t="n"/>
      <c r="D59" s="43" t="inlineStr">
        <is>
          <t>73-102797-02</t>
        </is>
      </c>
      <c r="E59" s="43" t="inlineStr">
        <is>
          <t>DEV-CTANJZ04613</t>
        </is>
      </c>
      <c r="F59" s="43" t="n"/>
      <c r="G59" s="43" t="inlineStr">
        <is>
          <t>CVEBU</t>
        </is>
      </c>
      <c r="H59" s="43" t="n"/>
      <c r="I59" s="43" t="n"/>
      <c r="J59" s="43" t="n"/>
      <c r="K59" s="43" t="n"/>
      <c r="L59" s="43" t="n"/>
      <c r="M59" s="43" t="n"/>
      <c r="N59" s="43" t="n"/>
      <c r="O59" s="43" t="n"/>
      <c r="P59" s="43" t="n"/>
      <c r="Q59" s="43" t="inlineStr">
        <is>
          <t>BOARD</t>
        </is>
      </c>
      <c r="R59" s="33" t="inlineStr">
        <is>
          <t>REVISAR D603986: verificar accion documentada, PN/revision y vigencia para la corrida. No autoriza sustitucion ni uso de material.</t>
        </is>
      </c>
      <c r="S59" s="43" t="inlineStr">
        <is>
          <t>INFO</t>
        </is>
      </c>
      <c r="T59" s="33" t="inlineStr">
        <is>
          <t>Validar desviacion aprobada y estado; contrastar PN exacto y revision con Common DB, BOM/AVL, WO y fecha de corrida.</t>
        </is>
      </c>
      <c r="U59" s="33" t="inlineStr">
        <is>
          <t>Documento oficial firmado, autorizacion FJZ, revision/WO de alcance, confirmacion BOM y evidencia de implementacion si aplica.</t>
        </is>
      </c>
      <c r="V59" s="43" t="n"/>
      <c r="W59" s="43" t="n"/>
      <c r="X59" s="43" t="inlineStr">
        <is>
          <t>INFO</t>
        </is>
      </c>
      <c r="Y59" s="43" t="n"/>
      <c r="Z59" s="43" t="inlineStr">
        <is>
          <t>Pending Review</t>
        </is>
      </c>
      <c r="AA59" s="43" t="inlineStr">
        <is>
          <t>N</t>
        </is>
      </c>
      <c r="AB59" s="43" t="n"/>
      <c r="AC59" s="33" t="inlineStr">
        <is>
          <t xml:space="preserve">FUENTE: Deviation.csv filas 751; Item Number original=73-102797-02 (prefijo 73- es CANDIDATO de PCBA, no confirmacion en Common DB); Workflow de origen=Expired; FJZ no validado, revision PCBA/WO no informadas. </t>
        </is>
      </c>
    </row>
    <row r="60">
      <c r="A60" s="43" t="inlineStr">
        <is>
          <t>DA-CTANJZ04613-CVEBU-73-103103-04</t>
        </is>
      </c>
      <c r="B60" s="43" t="n"/>
      <c r="C60" s="43" t="n"/>
      <c r="D60" s="43" t="inlineStr">
        <is>
          <t>73-103103-04</t>
        </is>
      </c>
      <c r="E60" s="43" t="inlineStr">
        <is>
          <t>DEV-CTANJZ04613</t>
        </is>
      </c>
      <c r="F60" s="43" t="n"/>
      <c r="G60" s="43" t="inlineStr">
        <is>
          <t>CVEBU</t>
        </is>
      </c>
      <c r="H60" s="43" t="n"/>
      <c r="I60" s="43" t="n"/>
      <c r="J60" s="43" t="n"/>
      <c r="K60" s="43" t="n"/>
      <c r="L60" s="43" t="n"/>
      <c r="M60" s="43" t="n"/>
      <c r="N60" s="43" t="n"/>
      <c r="O60" s="43" t="n"/>
      <c r="P60" s="43" t="n"/>
      <c r="Q60" s="43" t="inlineStr">
        <is>
          <t>BOARD</t>
        </is>
      </c>
      <c r="R60" s="33" t="inlineStr">
        <is>
          <t>REVISAR D603986: verificar accion documentada, PN/revision y vigencia para la corrida. No autoriza sustitucion ni uso de material.</t>
        </is>
      </c>
      <c r="S60" s="43" t="inlineStr">
        <is>
          <t>INFO</t>
        </is>
      </c>
      <c r="T60" s="33" t="inlineStr">
        <is>
          <t>Validar desviacion aprobada y estado; contrastar PN exacto y revision con Common DB, BOM/AVL, WO y fecha de corrida.</t>
        </is>
      </c>
      <c r="U60" s="33" t="inlineStr">
        <is>
          <t>Documento oficial firmado, autorizacion FJZ, revision/WO de alcance, confirmacion BOM y evidencia de implementacion si aplica.</t>
        </is>
      </c>
      <c r="V60" s="43" t="n"/>
      <c r="W60" s="43" t="n"/>
      <c r="X60" s="43" t="inlineStr">
        <is>
          <t>INFO</t>
        </is>
      </c>
      <c r="Y60" s="43" t="n"/>
      <c r="Z60" s="43" t="inlineStr">
        <is>
          <t>Pending Review</t>
        </is>
      </c>
      <c r="AA60" s="43" t="inlineStr">
        <is>
          <t>N</t>
        </is>
      </c>
      <c r="AB60" s="43" t="n"/>
      <c r="AC60" s="33" t="inlineStr">
        <is>
          <t xml:space="preserve">FUENTE: Deviation.csv filas 752; Item Number original=73-103103-04 (prefijo 73- es CANDIDATO de PCBA, no confirmacion en Common DB); Workflow de origen=Expired; FJZ no validado, revision PCBA/WO no informadas. </t>
        </is>
      </c>
    </row>
    <row r="61">
      <c r="A61" s="43" t="inlineStr">
        <is>
          <t>DA-CTANJZ04613-CVEBU-73-103226-06</t>
        </is>
      </c>
      <c r="B61" s="43" t="n"/>
      <c r="C61" s="43" t="n"/>
      <c r="D61" s="43" t="inlineStr">
        <is>
          <t>73-103226-06</t>
        </is>
      </c>
      <c r="E61" s="43" t="inlineStr">
        <is>
          <t>DEV-CTANJZ04613</t>
        </is>
      </c>
      <c r="F61" s="43" t="n"/>
      <c r="G61" s="43" t="inlineStr">
        <is>
          <t>CVEBU</t>
        </is>
      </c>
      <c r="H61" s="43" t="n"/>
      <c r="I61" s="43" t="n"/>
      <c r="J61" s="43" t="n"/>
      <c r="K61" s="43" t="n"/>
      <c r="L61" s="43" t="n"/>
      <c r="M61" s="43" t="n"/>
      <c r="N61" s="43" t="n"/>
      <c r="O61" s="43" t="n"/>
      <c r="P61" s="43" t="n"/>
      <c r="Q61" s="43" t="inlineStr">
        <is>
          <t>BOARD</t>
        </is>
      </c>
      <c r="R61" s="33" t="inlineStr">
        <is>
          <t>REVISAR D603986: verificar accion documentada, PN/revision y vigencia para la corrida. No autoriza sustitucion ni uso de material.</t>
        </is>
      </c>
      <c r="S61" s="43" t="inlineStr">
        <is>
          <t>INFO</t>
        </is>
      </c>
      <c r="T61" s="33" t="inlineStr">
        <is>
          <t>Validar desviacion aprobada y estado; contrastar PN exacto y revision con Common DB, BOM/AVL, WO y fecha de corrida.</t>
        </is>
      </c>
      <c r="U61" s="33" t="inlineStr">
        <is>
          <t>Documento oficial firmado, autorizacion FJZ, revision/WO de alcance, confirmacion BOM y evidencia de implementacion si aplica.</t>
        </is>
      </c>
      <c r="V61" s="43" t="n"/>
      <c r="W61" s="43" t="n"/>
      <c r="X61" s="43" t="inlineStr">
        <is>
          <t>INFO</t>
        </is>
      </c>
      <c r="Y61" s="43" t="n"/>
      <c r="Z61" s="43" t="inlineStr">
        <is>
          <t>Pending Review</t>
        </is>
      </c>
      <c r="AA61" s="43" t="inlineStr">
        <is>
          <t>N</t>
        </is>
      </c>
      <c r="AB61" s="43" t="n"/>
      <c r="AC61" s="33" t="inlineStr">
        <is>
          <t xml:space="preserve">FUENTE: Deviation.csv filas 753; Item Number original=73-103226-06 (prefijo 73- es CANDIDATO de PCBA, no confirmacion en Common DB); Workflow de origen=Expired; FJZ no validado, revision PCBA/WO no informadas. </t>
        </is>
      </c>
    </row>
    <row r="62">
      <c r="A62" s="43" t="inlineStr">
        <is>
          <t>DA-CTANJZ04613-CVEBU-73-103603-04</t>
        </is>
      </c>
      <c r="B62" s="43" t="n"/>
      <c r="C62" s="43" t="n"/>
      <c r="D62" s="43" t="inlineStr">
        <is>
          <t>73-103603-04</t>
        </is>
      </c>
      <c r="E62" s="43" t="inlineStr">
        <is>
          <t>DEV-CTANJZ04613</t>
        </is>
      </c>
      <c r="F62" s="43" t="n"/>
      <c r="G62" s="43" t="inlineStr">
        <is>
          <t>CVEBU</t>
        </is>
      </c>
      <c r="H62" s="43" t="n"/>
      <c r="I62" s="43" t="n"/>
      <c r="J62" s="43" t="n"/>
      <c r="K62" s="43" t="n"/>
      <c r="L62" s="43" t="n"/>
      <c r="M62" s="43" t="n"/>
      <c r="N62" s="43" t="n"/>
      <c r="O62" s="43" t="n"/>
      <c r="P62" s="43" t="n"/>
      <c r="Q62" s="43" t="inlineStr">
        <is>
          <t>BOARD</t>
        </is>
      </c>
      <c r="R62" s="33" t="inlineStr">
        <is>
          <t>REVISAR D603986: verificar accion documentada, PN/revision y vigencia para la corrida. No autoriza sustitucion ni uso de material.</t>
        </is>
      </c>
      <c r="S62" s="43" t="inlineStr">
        <is>
          <t>INFO</t>
        </is>
      </c>
      <c r="T62" s="33" t="inlineStr">
        <is>
          <t>Validar desviacion aprobada y estado; contrastar PN exacto y revision con Common DB, BOM/AVL, WO y fecha de corrida.</t>
        </is>
      </c>
      <c r="U62" s="33" t="inlineStr">
        <is>
          <t>Documento oficial firmado, autorizacion FJZ, revision/WO de alcance, confirmacion BOM y evidencia de implementacion si aplica.</t>
        </is>
      </c>
      <c r="V62" s="43" t="n"/>
      <c r="W62" s="43" t="n"/>
      <c r="X62" s="43" t="inlineStr">
        <is>
          <t>INFO</t>
        </is>
      </c>
      <c r="Y62" s="43" t="n"/>
      <c r="Z62" s="43" t="inlineStr">
        <is>
          <t>Pending Review</t>
        </is>
      </c>
      <c r="AA62" s="43" t="inlineStr">
        <is>
          <t>N</t>
        </is>
      </c>
      <c r="AB62" s="43" t="n"/>
      <c r="AC62" s="33" t="inlineStr">
        <is>
          <t xml:space="preserve">FUENTE: Deviation.csv filas 842; Item Number original=73-103603-04 (prefijo 73- es CANDIDATO de PCBA, no confirmacion en Common DB); Workflow de origen=Expired; FJZ no validado, revision PCBA/WO no informadas. </t>
        </is>
      </c>
    </row>
    <row r="63">
      <c r="A63" s="43" t="inlineStr">
        <is>
          <t>DA-CTANJZ04613-CVEBU-73-104022-01</t>
        </is>
      </c>
      <c r="B63" s="43" t="n"/>
      <c r="C63" s="43" t="n"/>
      <c r="D63" s="43" t="inlineStr">
        <is>
          <t>73-104022-01</t>
        </is>
      </c>
      <c r="E63" s="43" t="inlineStr">
        <is>
          <t>DEV-CTANJZ04613</t>
        </is>
      </c>
      <c r="F63" s="43" t="n"/>
      <c r="G63" s="43" t="inlineStr">
        <is>
          <t>CVEBU</t>
        </is>
      </c>
      <c r="H63" s="43" t="n"/>
      <c r="I63" s="43" t="n"/>
      <c r="J63" s="43" t="n"/>
      <c r="K63" s="43" t="n"/>
      <c r="L63" s="43" t="n"/>
      <c r="M63" s="43" t="n"/>
      <c r="N63" s="43" t="n"/>
      <c r="O63" s="43" t="n"/>
      <c r="P63" s="43" t="n"/>
      <c r="Q63" s="43" t="inlineStr">
        <is>
          <t>BOARD</t>
        </is>
      </c>
      <c r="R63" s="33" t="inlineStr">
        <is>
          <t>REVISAR D603986: verificar accion documentada, PN/revision y vigencia para la corrida. No autoriza sustitucion ni uso de material.</t>
        </is>
      </c>
      <c r="S63" s="43" t="inlineStr">
        <is>
          <t>INFO</t>
        </is>
      </c>
      <c r="T63" s="33" t="inlineStr">
        <is>
          <t>Validar desviacion aprobada y estado; contrastar PN exacto y revision con Common DB, BOM/AVL, WO y fecha de corrida.</t>
        </is>
      </c>
      <c r="U63" s="33" t="inlineStr">
        <is>
          <t>Documento oficial firmado, autorizacion FJZ, revision/WO de alcance, confirmacion BOM y evidencia de implementacion si aplica.</t>
        </is>
      </c>
      <c r="V63" s="43" t="n"/>
      <c r="W63" s="43" t="n"/>
      <c r="X63" s="43" t="inlineStr">
        <is>
          <t>INFO</t>
        </is>
      </c>
      <c r="Y63" s="43" t="n"/>
      <c r="Z63" s="43" t="inlineStr">
        <is>
          <t>Pending Review</t>
        </is>
      </c>
      <c r="AA63" s="43" t="inlineStr">
        <is>
          <t>N</t>
        </is>
      </c>
      <c r="AB63" s="43" t="n"/>
      <c r="AC63" s="33" t="inlineStr">
        <is>
          <t xml:space="preserve">FUENTE: Deviation.csv filas 843; Item Number original=73-104022-01 (prefijo 73- es CANDIDATO de PCBA, no confirmacion en Common DB); Workflow de origen=Expired; FJZ no validado, revision PCBA/WO no informadas. </t>
        </is>
      </c>
    </row>
    <row r="64">
      <c r="A64" s="43" t="inlineStr">
        <is>
          <t>DA-CTANJZ04616-STBU-73-21007-02</t>
        </is>
      </c>
      <c r="B64" s="43" t="n"/>
      <c r="C64" s="43" t="n"/>
      <c r="D64" s="43" t="inlineStr">
        <is>
          <t>73-21007-02</t>
        </is>
      </c>
      <c r="E64" s="43" t="inlineStr">
        <is>
          <t>DEV-CTANJZ04616</t>
        </is>
      </c>
      <c r="F64" s="43" t="n"/>
      <c r="G64" s="43" t="inlineStr">
        <is>
          <t>STBU</t>
        </is>
      </c>
      <c r="H64" s="43" t="n"/>
      <c r="I64" s="43" t="n"/>
      <c r="J64" s="43" t="n"/>
      <c r="K64" s="43" t="n"/>
      <c r="L64" s="43" t="n"/>
      <c r="M64" s="43" t="n"/>
      <c r="N64" s="43" t="n"/>
      <c r="O64" s="43" t="n"/>
      <c r="P64" s="43" t="n"/>
      <c r="Q64" s="43" t="inlineStr">
        <is>
          <t>BOARD</t>
        </is>
      </c>
      <c r="R64" s="33" t="inlineStr">
        <is>
          <t>REVISAR D603828: verificar accion documentada, PN/revision y vigencia para la corrida. No autoriza sustitucion ni uso de material.</t>
        </is>
      </c>
      <c r="S64" s="43" t="inlineStr">
        <is>
          <t>INFO</t>
        </is>
      </c>
      <c r="T64" s="33" t="inlineStr">
        <is>
          <t>Validar desviacion aprobada y estado; contrastar PN exacto y revision con Common DB, BOM/AVL, WO y fecha de corrida.</t>
        </is>
      </c>
      <c r="U64" s="33" t="inlineStr">
        <is>
          <t>Documento oficial firmado, autorizacion FJZ, revision/WO de alcance, confirmacion BOM y evidencia de implementacion si aplica.</t>
        </is>
      </c>
      <c r="V64" s="43" t="n"/>
      <c r="W64" s="43" t="n"/>
      <c r="X64" s="43" t="inlineStr">
        <is>
          <t>INFO</t>
        </is>
      </c>
      <c r="Y64" s="43" t="n"/>
      <c r="Z64" s="43" t="inlineStr">
        <is>
          <t>Pending Review</t>
        </is>
      </c>
      <c r="AA64" s="43" t="inlineStr">
        <is>
          <t>N</t>
        </is>
      </c>
      <c r="AB64" s="43" t="n"/>
      <c r="AC64" s="33" t="inlineStr">
        <is>
          <t xml:space="preserve">FUENTE: Deviation.csv filas 1841; Item Number original=73-21007-02 (prefijo 73- es CANDIDATO de PCBA, no confirmacion en Common DB); Workflow de origen=Expired; FJZ no validado, revision PCBA/WO no informadas. </t>
        </is>
      </c>
    </row>
    <row r="65">
      <c r="A65" s="43" t="inlineStr">
        <is>
          <t>DA-CTANJZ04618-STBU-73-20247-06</t>
        </is>
      </c>
      <c r="B65" s="43" t="inlineStr">
        <is>
          <t>TUFNELL PARK</t>
        </is>
      </c>
      <c r="C65" s="43" t="n"/>
      <c r="D65" s="43" t="inlineStr">
        <is>
          <t>73-20247-06</t>
        </is>
      </c>
      <c r="E65" s="43" t="inlineStr">
        <is>
          <t>DEV-CTANJZ04618</t>
        </is>
      </c>
      <c r="F65" s="43" t="n"/>
      <c r="G65" s="43" t="inlineStr">
        <is>
          <t>STBU</t>
        </is>
      </c>
      <c r="H65" s="43" t="n"/>
      <c r="I65" s="43" t="n"/>
      <c r="J65" s="43" t="n"/>
      <c r="K65" s="43" t="n"/>
      <c r="L65" s="43" t="n"/>
      <c r="M65" s="43" t="n"/>
      <c r="N65" s="43" t="n"/>
      <c r="O65" s="43" t="n"/>
      <c r="P65" s="43" t="n"/>
      <c r="Q65" s="43" t="inlineStr">
        <is>
          <t>BOARD</t>
        </is>
      </c>
      <c r="R65" s="33" t="inlineStr">
        <is>
          <t>REVISAR D603586: verificar accion documentada, PN/revision y vigencia para la corrida. No autoriza sustitucion ni uso de material.</t>
        </is>
      </c>
      <c r="S65" s="43" t="inlineStr">
        <is>
          <t>INFO</t>
        </is>
      </c>
      <c r="T65" s="33" t="inlineStr">
        <is>
          <t>Validar desviacion aprobada y estado; contrastar PN exacto y revision con Common DB, BOM/AVL, WO y fecha de corrida.</t>
        </is>
      </c>
      <c r="U65" s="33" t="inlineStr">
        <is>
          <t>Documento oficial firmado, autorizacion FJZ, revision/WO de alcance, confirmacion BOM y evidencia de implementacion si aplica.</t>
        </is>
      </c>
      <c r="V65" s="43" t="n"/>
      <c r="W65" s="43" t="n"/>
      <c r="X65" s="43" t="inlineStr">
        <is>
          <t>INFO</t>
        </is>
      </c>
      <c r="Y65" s="43" t="n"/>
      <c r="Z65" s="43" t="inlineStr">
        <is>
          <t>Pending Review</t>
        </is>
      </c>
      <c r="AA65" s="43" t="inlineStr">
        <is>
          <t>N</t>
        </is>
      </c>
      <c r="AB65" s="43" t="n"/>
      <c r="AC65" s="33" t="inlineStr">
        <is>
          <t xml:space="preserve">FUENTE: Deviation.csv filas 1410; Item Number original=73-20247-06 (prefijo 73- es CANDIDATO de PCBA, no confirmacion en Common DB); Workflow de origen=Expired; FJZ no validado, revision PCBA/WO no informadas. </t>
        </is>
      </c>
    </row>
    <row r="66">
      <c r="A66" s="43" t="inlineStr">
        <is>
          <t>DA-CTANJZ04631-STBU-73-102433-04</t>
        </is>
      </c>
      <c r="B66" s="43" t="n"/>
      <c r="C66" s="43" t="n"/>
      <c r="D66" s="43" t="inlineStr">
        <is>
          <t>73-102433-04</t>
        </is>
      </c>
      <c r="E66" s="43" t="inlineStr">
        <is>
          <t>DEV-CTANJZ04631</t>
        </is>
      </c>
      <c r="F66" s="43" t="n"/>
      <c r="G66" s="43" t="inlineStr">
        <is>
          <t>STBU</t>
        </is>
      </c>
      <c r="H66" s="43" t="n"/>
      <c r="I66" s="43" t="n"/>
      <c r="J66" s="43" t="n"/>
      <c r="K66" s="43" t="n"/>
      <c r="L66" s="43" t="n"/>
      <c r="M66" s="43" t="n"/>
      <c r="N66" s="43" t="n"/>
      <c r="O66" s="43" t="n"/>
      <c r="P66" s="43" t="n"/>
      <c r="Q66" s="43" t="inlineStr">
        <is>
          <t>BOARD</t>
        </is>
      </c>
      <c r="R66" s="33" t="inlineStr">
        <is>
          <t>REVISAR D604068: verificar accion documentada, PN/revision y vigencia para la corrida. No autoriza sustitucion ni uso de material.</t>
        </is>
      </c>
      <c r="S66" s="43" t="inlineStr">
        <is>
          <t>INFO</t>
        </is>
      </c>
      <c r="T66" s="33" t="inlineStr">
        <is>
          <t>Validar desviacion aprobada y estado; contrastar PN exacto y revision con Common DB, BOM/AVL, WO y fecha de corrida.</t>
        </is>
      </c>
      <c r="U66" s="33" t="inlineStr">
        <is>
          <t>Documento oficial firmado, autorizacion FJZ, revision/WO de alcance, confirmacion BOM y evidencia de implementacion si aplica.</t>
        </is>
      </c>
      <c r="V66" s="43" t="n"/>
      <c r="W66" s="43" t="n"/>
      <c r="X66" s="43" t="inlineStr">
        <is>
          <t>INFO</t>
        </is>
      </c>
      <c r="Y66" s="43" t="n"/>
      <c r="Z66" s="43" t="inlineStr">
        <is>
          <t>Pending Review</t>
        </is>
      </c>
      <c r="AA66" s="43" t="inlineStr">
        <is>
          <t>N</t>
        </is>
      </c>
      <c r="AB66" s="43" t="n"/>
      <c r="AC66" s="33" t="inlineStr">
        <is>
          <t xml:space="preserve">FUENTE: Deviation.csv filas 5; Item Number original=73-102433-04 (prefijo 73- es CANDIDATO de PCBA, no confirmacion en Common DB); Workflow de origen=Expired; FJZ no validado, revision PCBA/WO no informadas. </t>
        </is>
      </c>
    </row>
    <row r="67">
      <c r="A67" s="43" t="inlineStr">
        <is>
          <t>DA-CTANJZ04631-STBU-73-102433-05</t>
        </is>
      </c>
      <c r="B67" s="43" t="n"/>
      <c r="C67" s="43" t="n"/>
      <c r="D67" s="43" t="inlineStr">
        <is>
          <t>73-102433-05</t>
        </is>
      </c>
      <c r="E67" s="43" t="inlineStr">
        <is>
          <t>DEV-CTANJZ04631</t>
        </is>
      </c>
      <c r="F67" s="43" t="n"/>
      <c r="G67" s="43" t="inlineStr">
        <is>
          <t>STBU</t>
        </is>
      </c>
      <c r="H67" s="43" t="n"/>
      <c r="I67" s="43" t="n"/>
      <c r="J67" s="43" t="n"/>
      <c r="K67" s="43" t="n"/>
      <c r="L67" s="43" t="n"/>
      <c r="M67" s="43" t="n"/>
      <c r="N67" s="43" t="n"/>
      <c r="O67" s="43" t="n"/>
      <c r="P67" s="43" t="n"/>
      <c r="Q67" s="43" t="inlineStr">
        <is>
          <t>BOARD</t>
        </is>
      </c>
      <c r="R67" s="33" t="inlineStr">
        <is>
          <t>REVISAR D604068: verificar accion documentada, PN/revision y vigencia para la corrida. No autoriza sustitucion ni uso de material.</t>
        </is>
      </c>
      <c r="S67" s="43" t="inlineStr">
        <is>
          <t>INFO</t>
        </is>
      </c>
      <c r="T67" s="33" t="inlineStr">
        <is>
          <t>Validar desviacion aprobada y estado; contrastar PN exacto y revision con Common DB, BOM/AVL, WO y fecha de corrida.</t>
        </is>
      </c>
      <c r="U67" s="33" t="inlineStr">
        <is>
          <t>Documento oficial firmado, autorizacion FJZ, revision/WO de alcance, confirmacion BOM y evidencia de implementacion si aplica.</t>
        </is>
      </c>
      <c r="V67" s="43" t="n"/>
      <c r="W67" s="43" t="n"/>
      <c r="X67" s="43" t="inlineStr">
        <is>
          <t>INFO</t>
        </is>
      </c>
      <c r="Y67" s="43" t="n"/>
      <c r="Z67" s="43" t="inlineStr">
        <is>
          <t>Pending Review</t>
        </is>
      </c>
      <c r="AA67" s="43" t="inlineStr">
        <is>
          <t>N</t>
        </is>
      </c>
      <c r="AB67" s="43" t="n"/>
      <c r="AC67" s="33" t="inlineStr">
        <is>
          <t xml:space="preserve">FUENTE: Deviation.csv filas 6; Item Number original=73-102433-05 (prefijo 73- es CANDIDATO de PCBA, no confirmacion en Common DB); Workflow de origen=Expired; FJZ no validado, revision PCBA/WO no informadas. </t>
        </is>
      </c>
    </row>
    <row r="68">
      <c r="A68" s="43" t="inlineStr">
        <is>
          <t>DA-CTANJZ04631-STBU-73-102434-04</t>
        </is>
      </c>
      <c r="B68" s="43" t="n"/>
      <c r="C68" s="43" t="n"/>
      <c r="D68" s="43" t="inlineStr">
        <is>
          <t>73-102434-04</t>
        </is>
      </c>
      <c r="E68" s="43" t="inlineStr">
        <is>
          <t>DEV-CTANJZ04631</t>
        </is>
      </c>
      <c r="F68" s="43" t="n"/>
      <c r="G68" s="43" t="inlineStr">
        <is>
          <t>STBU</t>
        </is>
      </c>
      <c r="H68" s="43" t="n"/>
      <c r="I68" s="43" t="n"/>
      <c r="J68" s="43" t="n"/>
      <c r="K68" s="43" t="n"/>
      <c r="L68" s="43" t="n"/>
      <c r="M68" s="43" t="n"/>
      <c r="N68" s="43" t="n"/>
      <c r="O68" s="43" t="n"/>
      <c r="P68" s="43" t="n"/>
      <c r="Q68" s="43" t="inlineStr">
        <is>
          <t>BOARD</t>
        </is>
      </c>
      <c r="R68" s="33" t="inlineStr">
        <is>
          <t>REVISAR D604068: verificar accion documentada, PN/revision y vigencia para la corrida. No autoriza sustitucion ni uso de material.</t>
        </is>
      </c>
      <c r="S68" s="43" t="inlineStr">
        <is>
          <t>INFO</t>
        </is>
      </c>
      <c r="T68" s="33" t="inlineStr">
        <is>
          <t>Validar desviacion aprobada y estado; contrastar PN exacto y revision con Common DB, BOM/AVL, WO y fecha de corrida.</t>
        </is>
      </c>
      <c r="U68" s="33" t="inlineStr">
        <is>
          <t>Documento oficial firmado, autorizacion FJZ, revision/WO de alcance, confirmacion BOM y evidencia de implementacion si aplica.</t>
        </is>
      </c>
      <c r="V68" s="43" t="n"/>
      <c r="W68" s="43" t="n"/>
      <c r="X68" s="43" t="inlineStr">
        <is>
          <t>INFO</t>
        </is>
      </c>
      <c r="Y68" s="43" t="n"/>
      <c r="Z68" s="43" t="inlineStr">
        <is>
          <t>Pending Review</t>
        </is>
      </c>
      <c r="AA68" s="43" t="inlineStr">
        <is>
          <t>N</t>
        </is>
      </c>
      <c r="AB68" s="43" t="n"/>
      <c r="AC68" s="33" t="inlineStr">
        <is>
          <t xml:space="preserve">FUENTE: Deviation.csv filas 7; Item Number original=73-102434-04 (prefijo 73- es CANDIDATO de PCBA, no confirmacion en Common DB); Workflow de origen=Expired; FJZ no validado, revision PCBA/WO no informadas. </t>
        </is>
      </c>
    </row>
    <row r="69">
      <c r="A69" s="43" t="inlineStr">
        <is>
          <t>DA-CTANJZ04631-STBU-73-102434-05</t>
        </is>
      </c>
      <c r="B69" s="43" t="n"/>
      <c r="C69" s="43" t="n"/>
      <c r="D69" s="43" t="inlineStr">
        <is>
          <t>73-102434-05</t>
        </is>
      </c>
      <c r="E69" s="43" t="inlineStr">
        <is>
          <t>DEV-CTANJZ04631</t>
        </is>
      </c>
      <c r="F69" s="43" t="n"/>
      <c r="G69" s="43" t="inlineStr">
        <is>
          <t>STBU</t>
        </is>
      </c>
      <c r="H69" s="43" t="n"/>
      <c r="I69" s="43" t="n"/>
      <c r="J69" s="43" t="n"/>
      <c r="K69" s="43" t="n"/>
      <c r="L69" s="43" t="n"/>
      <c r="M69" s="43" t="n"/>
      <c r="N69" s="43" t="n"/>
      <c r="O69" s="43" t="n"/>
      <c r="P69" s="43" t="n"/>
      <c r="Q69" s="43" t="inlineStr">
        <is>
          <t>BOARD</t>
        </is>
      </c>
      <c r="R69" s="33" t="inlineStr">
        <is>
          <t>REVISAR D604068: verificar accion documentada, PN/revision y vigencia para la corrida. No autoriza sustitucion ni uso de material.</t>
        </is>
      </c>
      <c r="S69" s="43" t="inlineStr">
        <is>
          <t>INFO</t>
        </is>
      </c>
      <c r="T69" s="33" t="inlineStr">
        <is>
          <t>Validar desviacion aprobada y estado; contrastar PN exacto y revision con Common DB, BOM/AVL, WO y fecha de corrida.</t>
        </is>
      </c>
      <c r="U69" s="33" t="inlineStr">
        <is>
          <t>Documento oficial firmado, autorizacion FJZ, revision/WO de alcance, confirmacion BOM y evidencia de implementacion si aplica.</t>
        </is>
      </c>
      <c r="V69" s="43" t="n"/>
      <c r="W69" s="43" t="n"/>
      <c r="X69" s="43" t="inlineStr">
        <is>
          <t>INFO</t>
        </is>
      </c>
      <c r="Y69" s="43" t="n"/>
      <c r="Z69" s="43" t="inlineStr">
        <is>
          <t>Pending Review</t>
        </is>
      </c>
      <c r="AA69" s="43" t="inlineStr">
        <is>
          <t>N</t>
        </is>
      </c>
      <c r="AB69" s="43" t="n"/>
      <c r="AC69" s="33" t="inlineStr">
        <is>
          <t xml:space="preserve">FUENTE: Deviation.csv filas 35; Item Number original=73-102434-05 (prefijo 73- es CANDIDATO de PCBA, no confirmacion en Common DB); Workflow de origen=Expired; FJZ no validado, revision PCBA/WO no informadas. </t>
        </is>
      </c>
    </row>
    <row r="70">
      <c r="A70" s="43" t="inlineStr">
        <is>
          <t>DA-CTANJZ04631-STBU-73-102435-04</t>
        </is>
      </c>
      <c r="B70" s="43" t="n"/>
      <c r="C70" s="43" t="n"/>
      <c r="D70" s="43" t="inlineStr">
        <is>
          <t>73-102435-04</t>
        </is>
      </c>
      <c r="E70" s="43" t="inlineStr">
        <is>
          <t>DEV-CTANJZ04631</t>
        </is>
      </c>
      <c r="F70" s="43" t="n"/>
      <c r="G70" s="43" t="inlineStr">
        <is>
          <t>STBU</t>
        </is>
      </c>
      <c r="H70" s="43" t="n"/>
      <c r="I70" s="43" t="n"/>
      <c r="J70" s="43" t="n"/>
      <c r="K70" s="43" t="n"/>
      <c r="L70" s="43" t="n"/>
      <c r="M70" s="43" t="n"/>
      <c r="N70" s="43" t="n"/>
      <c r="O70" s="43" t="n"/>
      <c r="P70" s="43" t="n"/>
      <c r="Q70" s="43" t="inlineStr">
        <is>
          <t>BOARD</t>
        </is>
      </c>
      <c r="R70" s="33" t="inlineStr">
        <is>
          <t>REVISAR D604068: verificar accion documentada, PN/revision y vigencia para la corrida. No autoriza sustitucion ni uso de material.</t>
        </is>
      </c>
      <c r="S70" s="43" t="inlineStr">
        <is>
          <t>INFO</t>
        </is>
      </c>
      <c r="T70" s="33" t="inlineStr">
        <is>
          <t>Validar desviacion aprobada y estado; contrastar PN exacto y revision con Common DB, BOM/AVL, WO y fecha de corrida.</t>
        </is>
      </c>
      <c r="U70" s="33" t="inlineStr">
        <is>
          <t>Documento oficial firmado, autorizacion FJZ, revision/WO de alcance, confirmacion BOM y evidencia de implementacion si aplica.</t>
        </is>
      </c>
      <c r="V70" s="43" t="n"/>
      <c r="W70" s="43" t="n"/>
      <c r="X70" s="43" t="inlineStr">
        <is>
          <t>INFO</t>
        </is>
      </c>
      <c r="Y70" s="43" t="n"/>
      <c r="Z70" s="43" t="inlineStr">
        <is>
          <t>Pending Review</t>
        </is>
      </c>
      <c r="AA70" s="43" t="inlineStr">
        <is>
          <t>N</t>
        </is>
      </c>
      <c r="AB70" s="43" t="n"/>
      <c r="AC70" s="33" t="inlineStr">
        <is>
          <t xml:space="preserve">FUENTE: Deviation.csv filas 36; Item Number original=73-102435-04 (prefijo 73- es CANDIDATO de PCBA, no confirmacion en Common DB); Workflow de origen=Expired; FJZ no validado, revision PCBA/WO no informadas. </t>
        </is>
      </c>
    </row>
    <row r="71">
      <c r="A71" s="43" t="inlineStr">
        <is>
          <t>DA-CTANJZ04631-STBU-73-102435-05</t>
        </is>
      </c>
      <c r="B71" s="43" t="n"/>
      <c r="C71" s="43" t="n"/>
      <c r="D71" s="43" t="inlineStr">
        <is>
          <t>73-102435-05</t>
        </is>
      </c>
      <c r="E71" s="43" t="inlineStr">
        <is>
          <t>DEV-CTANJZ04631</t>
        </is>
      </c>
      <c r="F71" s="43" t="n"/>
      <c r="G71" s="43" t="inlineStr">
        <is>
          <t>STBU</t>
        </is>
      </c>
      <c r="H71" s="43" t="n"/>
      <c r="I71" s="43" t="n"/>
      <c r="J71" s="43" t="n"/>
      <c r="K71" s="43" t="n"/>
      <c r="L71" s="43" t="n"/>
      <c r="M71" s="43" t="n"/>
      <c r="N71" s="43" t="n"/>
      <c r="O71" s="43" t="n"/>
      <c r="P71" s="43" t="n"/>
      <c r="Q71" s="43" t="inlineStr">
        <is>
          <t>BOARD</t>
        </is>
      </c>
      <c r="R71" s="33" t="inlineStr">
        <is>
          <t>REVISAR D604068: verificar accion documentada, PN/revision y vigencia para la corrida. No autoriza sustitucion ni uso de material.</t>
        </is>
      </c>
      <c r="S71" s="43" t="inlineStr">
        <is>
          <t>INFO</t>
        </is>
      </c>
      <c r="T71" s="33" t="inlineStr">
        <is>
          <t>Validar desviacion aprobada y estado; contrastar PN exacto y revision con Common DB, BOM/AVL, WO y fecha de corrida.</t>
        </is>
      </c>
      <c r="U71" s="33" t="inlineStr">
        <is>
          <t>Documento oficial firmado, autorizacion FJZ, revision/WO de alcance, confirmacion BOM y evidencia de implementacion si aplica.</t>
        </is>
      </c>
      <c r="V71" s="43" t="n"/>
      <c r="W71" s="43" t="n"/>
      <c r="X71" s="43" t="inlineStr">
        <is>
          <t>INFO</t>
        </is>
      </c>
      <c r="Y71" s="43" t="n"/>
      <c r="Z71" s="43" t="inlineStr">
        <is>
          <t>Pending Review</t>
        </is>
      </c>
      <c r="AA71" s="43" t="inlineStr">
        <is>
          <t>N</t>
        </is>
      </c>
      <c r="AB71" s="43" t="n"/>
      <c r="AC71" s="33" t="inlineStr">
        <is>
          <t xml:space="preserve">FUENTE: Deviation.csv filas 37; Item Number original=73-102435-05 (prefijo 73- es CANDIDATO de PCBA, no confirmacion en Common DB); Workflow de origen=Expired; FJZ no validado, revision PCBA/WO no informadas. </t>
        </is>
      </c>
    </row>
    <row r="72">
      <c r="A72" s="43" t="inlineStr">
        <is>
          <t>DA-CTANJZ04632-STBU-73-103558-04</t>
        </is>
      </c>
      <c r="B72" s="43" t="n"/>
      <c r="C72" s="43" t="n"/>
      <c r="D72" s="43" t="inlineStr">
        <is>
          <t>73-103558-04</t>
        </is>
      </c>
      <c r="E72" s="43" t="inlineStr">
        <is>
          <t>DEV-CTANJZ04632</t>
        </is>
      </c>
      <c r="F72" s="43" t="n"/>
      <c r="G72" s="43" t="inlineStr">
        <is>
          <t>STBU</t>
        </is>
      </c>
      <c r="H72" s="43" t="n"/>
      <c r="I72" s="43" t="n"/>
      <c r="J72" s="43" t="n"/>
      <c r="K72" s="43" t="n"/>
      <c r="L72" s="43" t="n"/>
      <c r="M72" s="43" t="n"/>
      <c r="N72" s="43" t="n"/>
      <c r="O72" s="43" t="n"/>
      <c r="P72" s="43" t="n"/>
      <c r="Q72" s="43" t="inlineStr">
        <is>
          <t>BOARD</t>
        </is>
      </c>
      <c r="R72" s="33" t="inlineStr">
        <is>
          <t>REVISAR DP524922: verificar accion documentada, PN/revision y vigencia para la corrida. No autoriza sustitucion ni uso de material.</t>
        </is>
      </c>
      <c r="S72" s="43" t="inlineStr">
        <is>
          <t>INFO</t>
        </is>
      </c>
      <c r="T72" s="33" t="inlineStr">
        <is>
          <t>Validar desviacion aprobada y estado; contrastar PN exacto y revision con Common DB, BOM/AVL, WO y fecha de corrida.</t>
        </is>
      </c>
      <c r="U72" s="33" t="inlineStr">
        <is>
          <t>Documento oficial firmado, autorizacion FJZ, revision/WO de alcance, confirmacion BOM y evidencia de implementacion si aplica.</t>
        </is>
      </c>
      <c r="V72" s="43" t="n"/>
      <c r="W72" s="43" t="n"/>
      <c r="X72" s="43" t="inlineStr">
        <is>
          <t>INFO</t>
        </is>
      </c>
      <c r="Y72" s="43" t="n"/>
      <c r="Z72" s="43" t="inlineStr">
        <is>
          <t>Pending Review</t>
        </is>
      </c>
      <c r="AA72" s="43" t="inlineStr">
        <is>
          <t>N</t>
        </is>
      </c>
      <c r="AB72" s="43" t="n"/>
      <c r="AC72" s="33" t="inlineStr">
        <is>
          <t xml:space="preserve">FUENTE: Deviation.csv filas 354; Item Number original=73-103558-04 (prefijo 73- es CANDIDATO de PCBA, no confirmacion en Common DB); Workflow de origen=Expired; FJZ no validado, revision PCBA/WO no informadas. </t>
        </is>
      </c>
    </row>
    <row r="73">
      <c r="A73" s="43" t="inlineStr">
        <is>
          <t>DA-CTANJZ04632-STBU-73-103633-04</t>
        </is>
      </c>
      <c r="B73" s="43" t="n"/>
      <c r="C73" s="43" t="n"/>
      <c r="D73" s="43" t="inlineStr">
        <is>
          <t>73-103633-04</t>
        </is>
      </c>
      <c r="E73" s="43" t="inlineStr">
        <is>
          <t>DEV-CTANJZ04632</t>
        </is>
      </c>
      <c r="F73" s="43" t="n"/>
      <c r="G73" s="43" t="inlineStr">
        <is>
          <t>STBU</t>
        </is>
      </c>
      <c r="H73" s="43" t="n"/>
      <c r="I73" s="43" t="n"/>
      <c r="J73" s="43" t="n"/>
      <c r="K73" s="43" t="n"/>
      <c r="L73" s="43" t="n"/>
      <c r="M73" s="43" t="n"/>
      <c r="N73" s="43" t="n"/>
      <c r="O73" s="43" t="n"/>
      <c r="P73" s="43" t="n"/>
      <c r="Q73" s="43" t="inlineStr">
        <is>
          <t>BOARD</t>
        </is>
      </c>
      <c r="R73" s="33" t="inlineStr">
        <is>
          <t>REVISAR DP524922: verificar accion documentada, PN/revision y vigencia para la corrida. No autoriza sustitucion ni uso de material.</t>
        </is>
      </c>
      <c r="S73" s="43" t="inlineStr">
        <is>
          <t>INFO</t>
        </is>
      </c>
      <c r="T73" s="33" t="inlineStr">
        <is>
          <t>Validar desviacion aprobada y estado; contrastar PN exacto y revision con Common DB, BOM/AVL, WO y fecha de corrida.</t>
        </is>
      </c>
      <c r="U73" s="33" t="inlineStr">
        <is>
          <t>Documento oficial firmado, autorizacion FJZ, revision/WO de alcance, confirmacion BOM y evidencia de implementacion si aplica.</t>
        </is>
      </c>
      <c r="V73" s="43" t="n"/>
      <c r="W73" s="43" t="n"/>
      <c r="X73" s="43" t="inlineStr">
        <is>
          <t>INFO</t>
        </is>
      </c>
      <c r="Y73" s="43" t="n"/>
      <c r="Z73" s="43" t="inlineStr">
        <is>
          <t>Pending Review</t>
        </is>
      </c>
      <c r="AA73" s="43" t="inlineStr">
        <is>
          <t>N</t>
        </is>
      </c>
      <c r="AB73" s="43" t="n"/>
      <c r="AC73" s="33" t="inlineStr">
        <is>
          <t xml:space="preserve">FUENTE: Deviation.csv filas 355; Item Number original=73-103633-04 (prefijo 73- es CANDIDATO de PCBA, no confirmacion en Common DB); Workflow de origen=Expired; FJZ no validado, revision PCBA/WO no informadas. </t>
        </is>
      </c>
    </row>
    <row r="74">
      <c r="A74" s="43" t="inlineStr">
        <is>
          <t>DA-CTANJZ04632-STBU-73-103648-04</t>
        </is>
      </c>
      <c r="B74" s="43" t="n"/>
      <c r="C74" s="43" t="n"/>
      <c r="D74" s="43" t="inlineStr">
        <is>
          <t>73-103648-04</t>
        </is>
      </c>
      <c r="E74" s="43" t="inlineStr">
        <is>
          <t>DEV-CTANJZ04632</t>
        </is>
      </c>
      <c r="F74" s="43" t="n"/>
      <c r="G74" s="43" t="inlineStr">
        <is>
          <t>STBU</t>
        </is>
      </c>
      <c r="H74" s="43" t="n"/>
      <c r="I74" s="43" t="n"/>
      <c r="J74" s="43" t="n"/>
      <c r="K74" s="43" t="n"/>
      <c r="L74" s="43" t="n"/>
      <c r="M74" s="43" t="n"/>
      <c r="N74" s="43" t="n"/>
      <c r="O74" s="43" t="n"/>
      <c r="P74" s="43" t="n"/>
      <c r="Q74" s="43" t="inlineStr">
        <is>
          <t>BOARD</t>
        </is>
      </c>
      <c r="R74" s="33" t="inlineStr">
        <is>
          <t>REVISAR DP524922: verificar accion documentada, PN/revision y vigencia para la corrida. No autoriza sustitucion ni uso de material.</t>
        </is>
      </c>
      <c r="S74" s="43" t="inlineStr">
        <is>
          <t>INFO</t>
        </is>
      </c>
      <c r="T74" s="33" t="inlineStr">
        <is>
          <t>Validar desviacion aprobada y estado; contrastar PN exacto y revision con Common DB, BOM/AVL, WO y fecha de corrida.</t>
        </is>
      </c>
      <c r="U74" s="33" t="inlineStr">
        <is>
          <t>Documento oficial firmado, autorizacion FJZ, revision/WO de alcance, confirmacion BOM y evidencia de implementacion si aplica.</t>
        </is>
      </c>
      <c r="V74" s="43" t="n"/>
      <c r="W74" s="43" t="n"/>
      <c r="X74" s="43" t="inlineStr">
        <is>
          <t>INFO</t>
        </is>
      </c>
      <c r="Y74" s="43" t="n"/>
      <c r="Z74" s="43" t="inlineStr">
        <is>
          <t>Pending Review</t>
        </is>
      </c>
      <c r="AA74" s="43" t="inlineStr">
        <is>
          <t>N</t>
        </is>
      </c>
      <c r="AB74" s="43" t="n"/>
      <c r="AC74" s="33" t="inlineStr">
        <is>
          <t xml:space="preserve">FUENTE: Deviation.csv filas 356; Item Number original=73-103648-04 (prefijo 73- es CANDIDATO de PCBA, no confirmacion en Common DB); Workflow de origen=Expired; FJZ no validado, revision PCBA/WO no informadas. </t>
        </is>
      </c>
    </row>
    <row r="75">
      <c r="A75" s="43" t="inlineStr">
        <is>
          <t>DA-CTANJZ04640-STBU-73-103633-02</t>
        </is>
      </c>
      <c r="B75" s="43" t="n"/>
      <c r="C75" s="43" t="n"/>
      <c r="D75" s="43" t="inlineStr">
        <is>
          <t>73-103633-02</t>
        </is>
      </c>
      <c r="E75" s="43" t="inlineStr">
        <is>
          <t>DEV-CTANJZ04640</t>
        </is>
      </c>
      <c r="F75" s="43" t="n"/>
      <c r="G75" s="43" t="inlineStr">
        <is>
          <t>STBU</t>
        </is>
      </c>
      <c r="H75" s="43" t="n"/>
      <c r="I75" s="43" t="n"/>
      <c r="J75" s="43" t="n"/>
      <c r="K75" s="43" t="n"/>
      <c r="L75" s="43" t="n"/>
      <c r="M75" s="43" t="n"/>
      <c r="N75" s="43" t="n"/>
      <c r="O75" s="43" t="n"/>
      <c r="P75" s="43" t="n"/>
      <c r="Q75" s="43" t="inlineStr">
        <is>
          <t>BOARD</t>
        </is>
      </c>
      <c r="R75" s="33" t="inlineStr">
        <is>
          <t>REVISAR DP524361: verificar accion documentada, PN/revision y vigencia para la corrida. No autoriza sustitucion ni uso de material.</t>
        </is>
      </c>
      <c r="S75" s="43" t="inlineStr">
        <is>
          <t>INFO</t>
        </is>
      </c>
      <c r="T75" s="33" t="inlineStr">
        <is>
          <t>Validar desviacion aprobada y estado; contrastar PN exacto y revision con Common DB, BOM/AVL, WO y fecha de corrida.</t>
        </is>
      </c>
      <c r="U75" s="33" t="inlineStr">
        <is>
          <t>Documento oficial firmado, autorizacion FJZ, revision/WO de alcance, confirmacion BOM y evidencia de implementacion si aplica.</t>
        </is>
      </c>
      <c r="V75" s="43" t="n"/>
      <c r="W75" s="43" t="n"/>
      <c r="X75" s="43" t="inlineStr">
        <is>
          <t>INFO</t>
        </is>
      </c>
      <c r="Y75" s="43" t="n"/>
      <c r="Z75" s="43" t="inlineStr">
        <is>
          <t>Pending Review</t>
        </is>
      </c>
      <c r="AA75" s="43" t="inlineStr">
        <is>
          <t>N</t>
        </is>
      </c>
      <c r="AB75" s="43" t="n"/>
      <c r="AC75" s="33" t="inlineStr">
        <is>
          <t xml:space="preserve">FUENTE: Deviation.csv filas 768; Item Number original=73-103633-02 (prefijo 73- es CANDIDATO de PCBA, no confirmacion en Common DB); Workflow de origen=Expired; FJZ no validado, revision PCBA/WO no informadas. </t>
        </is>
      </c>
    </row>
    <row r="76">
      <c r="A76" s="43" t="inlineStr">
        <is>
          <t>DA-CTANJZ04646-STBU-73-17499-07</t>
        </is>
      </c>
      <c r="B76" s="43" t="n"/>
      <c r="C76" s="43" t="n"/>
      <c r="D76" s="43" t="inlineStr">
        <is>
          <t>73-17499-07</t>
        </is>
      </c>
      <c r="E76" s="43" t="inlineStr">
        <is>
          <t>DEV-CTANJZ04646</t>
        </is>
      </c>
      <c r="F76" s="43" t="n"/>
      <c r="G76" s="43" t="inlineStr">
        <is>
          <t>STBU</t>
        </is>
      </c>
      <c r="H76" s="43" t="n"/>
      <c r="I76" s="43" t="n"/>
      <c r="J76" s="43" t="n"/>
      <c r="K76" s="43" t="n"/>
      <c r="L76" s="43" t="n"/>
      <c r="M76" s="43" t="n"/>
      <c r="N76" s="43" t="n"/>
      <c r="O76" s="43" t="n"/>
      <c r="P76" s="43" t="n"/>
      <c r="Q76" s="43" t="inlineStr">
        <is>
          <t>BOARD</t>
        </is>
      </c>
      <c r="R76" s="33" t="inlineStr">
        <is>
          <t>REVISAR D604197: verificar accion documentada, PN/revision y vigencia para la corrida. No autoriza sustitucion ni uso de material.</t>
        </is>
      </c>
      <c r="S76" s="43" t="inlineStr">
        <is>
          <t>INFO</t>
        </is>
      </c>
      <c r="T76" s="33" t="inlineStr">
        <is>
          <t>Validar desviacion aprobada y estado; contrastar PN exacto y revision con Common DB, BOM/AVL, WO y fecha de corrida.</t>
        </is>
      </c>
      <c r="U76" s="33" t="inlineStr">
        <is>
          <t>Documento oficial firmado, autorizacion FJZ, revision/WO de alcance, confirmacion BOM y evidencia de implementacion si aplica.</t>
        </is>
      </c>
      <c r="V76" s="43" t="n"/>
      <c r="W76" s="43" t="n"/>
      <c r="X76" s="43" t="inlineStr">
        <is>
          <t>INFO</t>
        </is>
      </c>
      <c r="Y76" s="43" t="n"/>
      <c r="Z76" s="43" t="inlineStr">
        <is>
          <t>Pending Review</t>
        </is>
      </c>
      <c r="AA76" s="43" t="inlineStr">
        <is>
          <t>N</t>
        </is>
      </c>
      <c r="AB76" s="43" t="n"/>
      <c r="AC76" s="33" t="inlineStr">
        <is>
          <t xml:space="preserve">FUENTE: Deviation.csv filas 1468; Item Number original=73-17499-07 (prefijo 73- es CANDIDATO de PCBA, no confirmacion en Common DB); Workflow de origen=Expired; FJZ no validado, revision PCBA/WO no informadas. </t>
        </is>
      </c>
    </row>
    <row r="77">
      <c r="A77" s="43" t="inlineStr">
        <is>
          <t>DA-CTANJZ04648-STBU-73-17497-04</t>
        </is>
      </c>
      <c r="B77" s="43" t="n"/>
      <c r="C77" s="43" t="n"/>
      <c r="D77" s="43" t="inlineStr">
        <is>
          <t>73-17497-04</t>
        </is>
      </c>
      <c r="E77" s="43" t="inlineStr">
        <is>
          <t>DEV-CTANJZ04648</t>
        </is>
      </c>
      <c r="F77" s="43" t="n"/>
      <c r="G77" s="43" t="inlineStr">
        <is>
          <t>STBU</t>
        </is>
      </c>
      <c r="H77" s="43" t="n"/>
      <c r="I77" s="43" t="n"/>
      <c r="J77" s="43" t="n"/>
      <c r="K77" s="43" t="n"/>
      <c r="L77" s="43" t="n"/>
      <c r="M77" s="43" t="n"/>
      <c r="N77" s="43" t="n"/>
      <c r="O77" s="43" t="n"/>
      <c r="P77" s="43" t="n"/>
      <c r="Q77" s="43" t="inlineStr">
        <is>
          <t>BOARD</t>
        </is>
      </c>
      <c r="R77" s="33" t="inlineStr">
        <is>
          <t>REVISAR D604046: verificar accion documentada, PN/revision y vigencia para la corrida. No autoriza sustitucion ni uso de material.</t>
        </is>
      </c>
      <c r="S77" s="43" t="inlineStr">
        <is>
          <t>INFO</t>
        </is>
      </c>
      <c r="T77" s="33" t="inlineStr">
        <is>
          <t>Validar desviacion aprobada y estado; contrastar PN exacto y revision con Common DB, BOM/AVL, WO y fecha de corrida.</t>
        </is>
      </c>
      <c r="U77" s="33" t="inlineStr">
        <is>
          <t>Documento oficial firmado, autorizacion FJZ, revision/WO de alcance, confirmacion BOM y evidencia de implementacion si aplica.</t>
        </is>
      </c>
      <c r="V77" s="43" t="n"/>
      <c r="W77" s="43" t="n"/>
      <c r="X77" s="43" t="inlineStr">
        <is>
          <t>INFO</t>
        </is>
      </c>
      <c r="Y77" s="43" t="n"/>
      <c r="Z77" s="43" t="inlineStr">
        <is>
          <t>Pending Review</t>
        </is>
      </c>
      <c r="AA77" s="43" t="inlineStr">
        <is>
          <t>N</t>
        </is>
      </c>
      <c r="AB77" s="43" t="n"/>
      <c r="AC77" s="33" t="inlineStr">
        <is>
          <t xml:space="preserve">FUENTE: Deviation.csv filas 1421; Item Number original=73-17497-04 (prefijo 73- es CANDIDATO de PCBA, no confirmacion en Common DB); Workflow de origen=Expired; FJZ no validado, revision PCBA/WO no informadas. </t>
        </is>
      </c>
    </row>
    <row r="78">
      <c r="A78" s="43" t="inlineStr">
        <is>
          <t>DA-CTANJZ04649-STBU-73-17498-04</t>
        </is>
      </c>
      <c r="B78" s="43" t="n"/>
      <c r="C78" s="43" t="n"/>
      <c r="D78" s="43" t="inlineStr">
        <is>
          <t>73-17498-04</t>
        </is>
      </c>
      <c r="E78" s="43" t="inlineStr">
        <is>
          <t>DEV-CTANJZ04649</t>
        </is>
      </c>
      <c r="F78" s="43" t="n"/>
      <c r="G78" s="43" t="inlineStr">
        <is>
          <t>STBU</t>
        </is>
      </c>
      <c r="H78" s="43" t="n"/>
      <c r="I78" s="43" t="n"/>
      <c r="J78" s="43" t="n"/>
      <c r="K78" s="43" t="n"/>
      <c r="L78" s="43" t="n"/>
      <c r="M78" s="43" t="n"/>
      <c r="N78" s="43" t="n"/>
      <c r="O78" s="43" t="n"/>
      <c r="P78" s="43" t="n"/>
      <c r="Q78" s="43" t="inlineStr">
        <is>
          <t>BOARD</t>
        </is>
      </c>
      <c r="R78" s="33" t="inlineStr">
        <is>
          <t>REVISAR D604092: verificar accion documentada, PN/revision y vigencia para la corrida. No autoriza sustitucion ni uso de material.</t>
        </is>
      </c>
      <c r="S78" s="43" t="inlineStr">
        <is>
          <t>INFO</t>
        </is>
      </c>
      <c r="T78" s="33" t="inlineStr">
        <is>
          <t>Validar desviacion aprobada y estado; contrastar PN exacto y revision con Common DB, BOM/AVL, WO y fecha de corrida.</t>
        </is>
      </c>
      <c r="U78" s="33" t="inlineStr">
        <is>
          <t>Documento oficial firmado, autorizacion FJZ, revision/WO de alcance, confirmacion BOM y evidencia de implementacion si aplica.</t>
        </is>
      </c>
      <c r="V78" s="43" t="n"/>
      <c r="W78" s="43" t="n"/>
      <c r="X78" s="43" t="inlineStr">
        <is>
          <t>INFO</t>
        </is>
      </c>
      <c r="Y78" s="43" t="n"/>
      <c r="Z78" s="43" t="inlineStr">
        <is>
          <t>Pending Review</t>
        </is>
      </c>
      <c r="AA78" s="43" t="inlineStr">
        <is>
          <t>N</t>
        </is>
      </c>
      <c r="AB78" s="43" t="n"/>
      <c r="AC78" s="33" t="inlineStr">
        <is>
          <t xml:space="preserve">FUENTE: Deviation.csv filas 1417; Item Number original=73-17498-04 (prefijo 73- es CANDIDATO de PCBA, no confirmacion en Common DB); Workflow de origen=Expired; FJZ no validado, revision PCBA/WO no informadas. </t>
        </is>
      </c>
    </row>
    <row r="79">
      <c r="A79" s="43" t="inlineStr">
        <is>
          <t>DA-CTANJZ04650-STBU-73-17499-07</t>
        </is>
      </c>
      <c r="B79" s="43" t="n"/>
      <c r="C79" s="43" t="n"/>
      <c r="D79" s="43" t="inlineStr">
        <is>
          <t>73-17499-07</t>
        </is>
      </c>
      <c r="E79" s="43" t="inlineStr">
        <is>
          <t>DEV-CTANJZ04650</t>
        </is>
      </c>
      <c r="F79" s="43" t="n"/>
      <c r="G79" s="43" t="inlineStr">
        <is>
          <t>STBU</t>
        </is>
      </c>
      <c r="H79" s="43" t="n"/>
      <c r="I79" s="43" t="n"/>
      <c r="J79" s="43" t="n"/>
      <c r="K79" s="43" t="n"/>
      <c r="L79" s="43" t="n"/>
      <c r="M79" s="43" t="n"/>
      <c r="N79" s="43" t="n"/>
      <c r="O79" s="43" t="n"/>
      <c r="P79" s="43" t="n"/>
      <c r="Q79" s="43" t="inlineStr">
        <is>
          <t>BOARD</t>
        </is>
      </c>
      <c r="R79" s="33" t="inlineStr">
        <is>
          <t>REVISAR D604195: verificar accion documentada, PN/revision y vigencia para la corrida. No autoriza sustitucion ni uso de material.</t>
        </is>
      </c>
      <c r="S79" s="43" t="inlineStr">
        <is>
          <t>INFO</t>
        </is>
      </c>
      <c r="T79" s="33" t="inlineStr">
        <is>
          <t>Validar desviacion aprobada y estado; contrastar PN exacto y revision con Common DB, BOM/AVL, WO y fecha de corrida.</t>
        </is>
      </c>
      <c r="U79" s="33" t="inlineStr">
        <is>
          <t>Documento oficial firmado, autorizacion FJZ, revision/WO de alcance, confirmacion BOM y evidencia de implementacion si aplica.</t>
        </is>
      </c>
      <c r="V79" s="43" t="n"/>
      <c r="W79" s="43" t="n"/>
      <c r="X79" s="43" t="inlineStr">
        <is>
          <t>INFO</t>
        </is>
      </c>
      <c r="Y79" s="43" t="n"/>
      <c r="Z79" s="43" t="inlineStr">
        <is>
          <t>Pending Review</t>
        </is>
      </c>
      <c r="AA79" s="43" t="inlineStr">
        <is>
          <t>N</t>
        </is>
      </c>
      <c r="AB79" s="43" t="n"/>
      <c r="AC79" s="33" t="inlineStr">
        <is>
          <t xml:space="preserve">FUENTE: Deviation.csv filas 1458; Item Number original=73-17499-07 (prefijo 73- es CANDIDATO de PCBA, no confirmacion en Common DB); Workflow de origen=Expired; FJZ no validado, revision PCBA/WO no informadas. </t>
        </is>
      </c>
    </row>
    <row r="80">
      <c r="A80" s="43" t="inlineStr">
        <is>
          <t>DA-CTANJZ04651-STBU-73-103557-03</t>
        </is>
      </c>
      <c r="B80" s="43" t="n"/>
      <c r="C80" s="43" t="n"/>
      <c r="D80" s="43" t="inlineStr">
        <is>
          <t>73-103557-03</t>
        </is>
      </c>
      <c r="E80" s="43" t="inlineStr">
        <is>
          <t>DEV-CTANJZ04651</t>
        </is>
      </c>
      <c r="F80" s="43" t="n"/>
      <c r="G80" s="43" t="inlineStr">
        <is>
          <t>STBU</t>
        </is>
      </c>
      <c r="H80" s="43" t="n"/>
      <c r="I80" s="43" t="n"/>
      <c r="J80" s="43" t="n"/>
      <c r="K80" s="43" t="n"/>
      <c r="L80" s="43" t="n"/>
      <c r="M80" s="43" t="n"/>
      <c r="N80" s="43" t="n"/>
      <c r="O80" s="43" t="n"/>
      <c r="P80" s="43" t="n"/>
      <c r="Q80" s="43" t="inlineStr">
        <is>
          <t>BOARD</t>
        </is>
      </c>
      <c r="R80" s="33" t="inlineStr">
        <is>
          <t>REVISAR DP524724: verificar accion documentada, PN/revision y vigencia para la corrida. No autoriza sustitucion ni uso de material.</t>
        </is>
      </c>
      <c r="S80" s="43" t="inlineStr">
        <is>
          <t>INFO</t>
        </is>
      </c>
      <c r="T80" s="33" t="inlineStr">
        <is>
          <t>Validar desviacion aprobada y estado; contrastar PN exacto y revision con Common DB, BOM/AVL, WO y fecha de corrida.</t>
        </is>
      </c>
      <c r="U80" s="33" t="inlineStr">
        <is>
          <t>Documento oficial firmado, autorizacion FJZ, revision/WO de alcance, confirmacion BOM y evidencia de implementacion si aplica.</t>
        </is>
      </c>
      <c r="V80" s="43" t="n"/>
      <c r="W80" s="43" t="n"/>
      <c r="X80" s="43" t="inlineStr">
        <is>
          <t>INFO</t>
        </is>
      </c>
      <c r="Y80" s="43" t="n"/>
      <c r="Z80" s="43" t="inlineStr">
        <is>
          <t>Pending Review</t>
        </is>
      </c>
      <c r="AA80" s="43" t="inlineStr">
        <is>
          <t>N</t>
        </is>
      </c>
      <c r="AB80" s="43" t="n"/>
      <c r="AC80" s="33" t="inlineStr">
        <is>
          <t xml:space="preserve">FUENTE: Deviation.csv filas 693; Item Number original=73-103557-03 (prefijo 73- es CANDIDATO de PCBA, no confirmacion en Common DB); Workflow de origen=Expired; FJZ no validado, revision PCBA/WO no informadas. </t>
        </is>
      </c>
    </row>
    <row r="81">
      <c r="A81" s="43" t="inlineStr">
        <is>
          <t>DA-CTANJZ04651-STBU-73-103633-03</t>
        </is>
      </c>
      <c r="B81" s="43" t="n"/>
      <c r="C81" s="43" t="n"/>
      <c r="D81" s="43" t="inlineStr">
        <is>
          <t>73-103633-03</t>
        </is>
      </c>
      <c r="E81" s="43" t="inlineStr">
        <is>
          <t>DEV-CTANJZ04651</t>
        </is>
      </c>
      <c r="F81" s="43" t="n"/>
      <c r="G81" s="43" t="inlineStr">
        <is>
          <t>STBU</t>
        </is>
      </c>
      <c r="H81" s="43" t="n"/>
      <c r="I81" s="43" t="n"/>
      <c r="J81" s="43" t="n"/>
      <c r="K81" s="43" t="n"/>
      <c r="L81" s="43" t="n"/>
      <c r="M81" s="43" t="n"/>
      <c r="N81" s="43" t="n"/>
      <c r="O81" s="43" t="n"/>
      <c r="P81" s="43" t="n"/>
      <c r="Q81" s="43" t="inlineStr">
        <is>
          <t>BOARD</t>
        </is>
      </c>
      <c r="R81" s="33" t="inlineStr">
        <is>
          <t>REVISAR DP524724: verificar accion documentada, PN/revision y vigencia para la corrida. No autoriza sustitucion ni uso de material.</t>
        </is>
      </c>
      <c r="S81" s="43" t="inlineStr">
        <is>
          <t>INFO</t>
        </is>
      </c>
      <c r="T81" s="33" t="inlineStr">
        <is>
          <t>Validar desviacion aprobada y estado; contrastar PN exacto y revision con Common DB, BOM/AVL, WO y fecha de corrida.</t>
        </is>
      </c>
      <c r="U81" s="33" t="inlineStr">
        <is>
          <t>Documento oficial firmado, autorizacion FJZ, revision/WO de alcance, confirmacion BOM y evidencia de implementacion si aplica.</t>
        </is>
      </c>
      <c r="V81" s="43" t="n"/>
      <c r="W81" s="43" t="n"/>
      <c r="X81" s="43" t="inlineStr">
        <is>
          <t>INFO</t>
        </is>
      </c>
      <c r="Y81" s="43" t="n"/>
      <c r="Z81" s="43" t="inlineStr">
        <is>
          <t>Pending Review</t>
        </is>
      </c>
      <c r="AA81" s="43" t="inlineStr">
        <is>
          <t>N</t>
        </is>
      </c>
      <c r="AB81" s="43" t="n"/>
      <c r="AC81" s="33" t="inlineStr">
        <is>
          <t xml:space="preserve">FUENTE: Deviation.csv filas 694; Item Number original=73-103633-03 (prefijo 73- es CANDIDATO de PCBA, no confirmacion en Common DB); Workflow de origen=Expired; FJZ no validado, revision PCBA/WO no informadas. </t>
        </is>
      </c>
    </row>
    <row r="82">
      <c r="A82" s="43" t="inlineStr">
        <is>
          <t>DA-CTANJZ04654-STBU-73-103558-04</t>
        </is>
      </c>
      <c r="B82" s="43" t="n"/>
      <c r="C82" s="43" t="n"/>
      <c r="D82" s="43" t="inlineStr">
        <is>
          <t>73-103558-04</t>
        </is>
      </c>
      <c r="E82" s="43" t="inlineStr">
        <is>
          <t>DEV-CTANJZ04654</t>
        </is>
      </c>
      <c r="F82" s="43" t="n"/>
      <c r="G82" s="43" t="inlineStr">
        <is>
          <t>STBU</t>
        </is>
      </c>
      <c r="H82" s="43" t="n"/>
      <c r="I82" s="43" t="n"/>
      <c r="J82" s="43" t="n"/>
      <c r="K82" s="43" t="n"/>
      <c r="L82" s="43" t="n"/>
      <c r="M82" s="43" t="n"/>
      <c r="N82" s="43" t="n"/>
      <c r="O82" s="43" t="n"/>
      <c r="P82" s="43" t="n"/>
      <c r="Q82" s="43" t="inlineStr">
        <is>
          <t>BOARD</t>
        </is>
      </c>
      <c r="R82" s="33" t="inlineStr">
        <is>
          <t>REVISAR DP524962: verificar accion documentada, PN/revision y vigencia para la corrida. No autoriza sustitucion ni uso de material.</t>
        </is>
      </c>
      <c r="S82" s="43" t="inlineStr">
        <is>
          <t>INFO</t>
        </is>
      </c>
      <c r="T82" s="33" t="inlineStr">
        <is>
          <t>Validar desviacion aprobada y estado; contrastar PN exacto y revision con Common DB, BOM/AVL, WO y fecha de corrida.</t>
        </is>
      </c>
      <c r="U82" s="33" t="inlineStr">
        <is>
          <t>Documento oficial firmado, autorizacion FJZ, revision/WO de alcance, confirmacion BOM y evidencia de implementacion si aplica.</t>
        </is>
      </c>
      <c r="V82" s="43" t="n"/>
      <c r="W82" s="43" t="n"/>
      <c r="X82" s="43" t="inlineStr">
        <is>
          <t>INFO</t>
        </is>
      </c>
      <c r="Y82" s="43" t="n"/>
      <c r="Z82" s="43" t="inlineStr">
        <is>
          <t>Pending Review</t>
        </is>
      </c>
      <c r="AA82" s="43" t="inlineStr">
        <is>
          <t>N</t>
        </is>
      </c>
      <c r="AB82" s="43" t="n"/>
      <c r="AC82" s="33" t="inlineStr">
        <is>
          <t xml:space="preserve">FUENTE: Deviation.csv filas 727; Item Number original=73-103558-04 (prefijo 73- es CANDIDATO de PCBA, no confirmacion en Common DB); Workflow de origen=Expired; FJZ no validado, revision PCBA/WO no informadas. </t>
        </is>
      </c>
    </row>
    <row r="83">
      <c r="A83" s="43" t="inlineStr">
        <is>
          <t>DA-CTANJZ04676-STBU-73-20247-05</t>
        </is>
      </c>
      <c r="B83" s="43" t="n"/>
      <c r="C83" s="43" t="n"/>
      <c r="D83" s="43" t="inlineStr">
        <is>
          <t>73-20247-05</t>
        </is>
      </c>
      <c r="E83" s="43" t="inlineStr">
        <is>
          <t>DEV-CTANJZ04676</t>
        </is>
      </c>
      <c r="F83" s="43" t="n"/>
      <c r="G83" s="43" t="inlineStr">
        <is>
          <t>STBU</t>
        </is>
      </c>
      <c r="H83" s="43" t="n"/>
      <c r="I83" s="43" t="n"/>
      <c r="J83" s="43" t="n"/>
      <c r="K83" s="43" t="n"/>
      <c r="L83" s="43" t="n"/>
      <c r="M83" s="43" t="n"/>
      <c r="N83" s="43" t="n"/>
      <c r="O83" s="43" t="n"/>
      <c r="P83" s="43" t="n"/>
      <c r="Q83" s="43" t="inlineStr">
        <is>
          <t>BOARD</t>
        </is>
      </c>
      <c r="R83" s="33" t="inlineStr">
        <is>
          <t>REVISAR D604366: verificar accion documentada, PN/revision y vigencia para la corrida. No autoriza sustitucion ni uso de material.</t>
        </is>
      </c>
      <c r="S83" s="43" t="inlineStr">
        <is>
          <t>INFO</t>
        </is>
      </c>
      <c r="T83" s="33" t="inlineStr">
        <is>
          <t>Validar desviacion aprobada y estado; contrastar PN exacto y revision con Common DB, BOM/AVL, WO y fecha de corrida.</t>
        </is>
      </c>
      <c r="U83" s="33" t="inlineStr">
        <is>
          <t>Documento oficial firmado, autorizacion FJZ, revision/WO de alcance, confirmacion BOM y evidencia de implementacion si aplica.</t>
        </is>
      </c>
      <c r="V83" s="43" t="n"/>
      <c r="W83" s="43" t="n"/>
      <c r="X83" s="43" t="inlineStr">
        <is>
          <t>INFO</t>
        </is>
      </c>
      <c r="Y83" s="43" t="n"/>
      <c r="Z83" s="43" t="inlineStr">
        <is>
          <t>Pending Review</t>
        </is>
      </c>
      <c r="AA83" s="43" t="inlineStr">
        <is>
          <t>N</t>
        </is>
      </c>
      <c r="AB83" s="43" t="n"/>
      <c r="AC83" s="33" t="inlineStr">
        <is>
          <t xml:space="preserve">FUENTE: Deviation.csv filas 15; Item Number original=73-20247-05 (prefijo 73- es CANDIDATO de PCBA, no confirmacion en Common DB); Workflow de origen=Expired; FJZ no validado, revision PCBA/WO no informadas. </t>
        </is>
      </c>
    </row>
    <row r="84">
      <c r="A84" s="43" t="inlineStr">
        <is>
          <t>DA-CTANJZ04676-STBU-73-20249-05</t>
        </is>
      </c>
      <c r="B84" s="43" t="n"/>
      <c r="C84" s="43" t="n"/>
      <c r="D84" s="43" t="inlineStr">
        <is>
          <t>73-20249-05</t>
        </is>
      </c>
      <c r="E84" s="43" t="inlineStr">
        <is>
          <t>DEV-CTANJZ04676</t>
        </is>
      </c>
      <c r="F84" s="43" t="n"/>
      <c r="G84" s="43" t="inlineStr">
        <is>
          <t>STBU</t>
        </is>
      </c>
      <c r="H84" s="43" t="n"/>
      <c r="I84" s="43" t="n"/>
      <c r="J84" s="43" t="n"/>
      <c r="K84" s="43" t="n"/>
      <c r="L84" s="43" t="n"/>
      <c r="M84" s="43" t="n"/>
      <c r="N84" s="43" t="n"/>
      <c r="O84" s="43" t="n"/>
      <c r="P84" s="43" t="n"/>
      <c r="Q84" s="43" t="inlineStr">
        <is>
          <t>BOARD</t>
        </is>
      </c>
      <c r="R84" s="33" t="inlineStr">
        <is>
          <t>REVISAR D604366: verificar accion documentada, PN/revision y vigencia para la corrida. No autoriza sustitucion ni uso de material.</t>
        </is>
      </c>
      <c r="S84" s="43" t="inlineStr">
        <is>
          <t>INFO</t>
        </is>
      </c>
      <c r="T84" s="33" t="inlineStr">
        <is>
          <t>Validar desviacion aprobada y estado; contrastar PN exacto y revision con Common DB, BOM/AVL, WO y fecha de corrida.</t>
        </is>
      </c>
      <c r="U84" s="33" t="inlineStr">
        <is>
          <t>Documento oficial firmado, autorizacion FJZ, revision/WO de alcance, confirmacion BOM y evidencia de implementacion si aplica.</t>
        </is>
      </c>
      <c r="V84" s="43" t="n"/>
      <c r="W84" s="43" t="n"/>
      <c r="X84" s="43" t="inlineStr">
        <is>
          <t>INFO</t>
        </is>
      </c>
      <c r="Y84" s="43" t="n"/>
      <c r="Z84" s="43" t="inlineStr">
        <is>
          <t>Pending Review</t>
        </is>
      </c>
      <c r="AA84" s="43" t="inlineStr">
        <is>
          <t>N</t>
        </is>
      </c>
      <c r="AB84" s="43" t="n"/>
      <c r="AC84" s="33" t="inlineStr">
        <is>
          <t xml:space="preserve">FUENTE: Deviation.csv filas 16; Item Number original=73-20249-05 (prefijo 73- es CANDIDATO de PCBA, no confirmacion en Common DB); Workflow de origen=Expired; FJZ no validado, revision PCBA/WO no informadas. </t>
        </is>
      </c>
    </row>
    <row r="85">
      <c r="A85" s="43" t="inlineStr">
        <is>
          <t>DA-CTANJZ04679-CVEBU-73-103103-05</t>
        </is>
      </c>
      <c r="B85" s="43" t="n"/>
      <c r="C85" s="43" t="n"/>
      <c r="D85" s="43" t="inlineStr">
        <is>
          <t>73-103103-05</t>
        </is>
      </c>
      <c r="E85" s="43" t="inlineStr">
        <is>
          <t>DEV-CTANJZ04679</t>
        </is>
      </c>
      <c r="F85" s="43" t="n"/>
      <c r="G85" s="43" t="inlineStr">
        <is>
          <t>CVEBU</t>
        </is>
      </c>
      <c r="H85" s="43" t="n"/>
      <c r="I85" s="43" t="n"/>
      <c r="J85" s="43" t="n"/>
      <c r="K85" s="43" t="n"/>
      <c r="L85" s="43" t="n"/>
      <c r="M85" s="43" t="n"/>
      <c r="N85" s="43" t="n"/>
      <c r="O85" s="43" t="n"/>
      <c r="P85" s="43" t="n"/>
      <c r="Q85" s="43" t="inlineStr">
        <is>
          <t>BOARD</t>
        </is>
      </c>
      <c r="R85" s="33" t="inlineStr">
        <is>
          <t>REVISAR DP525026: verificar accion documentada, PN/revision y vigencia para la corrida. No autoriza sustitucion ni uso de material.</t>
        </is>
      </c>
      <c r="S85" s="43" t="inlineStr">
        <is>
          <t>INFO</t>
        </is>
      </c>
      <c r="T85" s="33" t="inlineStr">
        <is>
          <t>Validar desviacion aprobada y estado; contrastar PN exacto y revision con Common DB, BOM/AVL, WO y fecha de corrida.</t>
        </is>
      </c>
      <c r="U85" s="33" t="inlineStr">
        <is>
          <t>Documento oficial firmado, autorizacion FJZ, revision/WO de alcance, confirmacion BOM y evidencia de implementacion si aplica.</t>
        </is>
      </c>
      <c r="V85" s="43" t="n"/>
      <c r="W85" s="43" t="n"/>
      <c r="X85" s="43" t="inlineStr">
        <is>
          <t>INFO</t>
        </is>
      </c>
      <c r="Y85" s="43" t="n"/>
      <c r="Z85" s="43" t="inlineStr">
        <is>
          <t>Pending Review</t>
        </is>
      </c>
      <c r="AA85" s="43" t="inlineStr">
        <is>
          <t>N</t>
        </is>
      </c>
      <c r="AB85" s="43" t="n"/>
      <c r="AC85" s="33" t="inlineStr">
        <is>
          <t xml:space="preserve">FUENTE: Deviation.csv filas 366; Item Number original=73-103103-05 (prefijo 73- es CANDIDATO de PCBA, no confirmacion en Common DB); Workflow de origen=Expired; FJZ no validado, revision PCBA/WO no informadas. </t>
        </is>
      </c>
    </row>
    <row r="86">
      <c r="A86" s="43" t="inlineStr">
        <is>
          <t>DA-CTANJZ04679-CVEBU-73-103603-05</t>
        </is>
      </c>
      <c r="B86" s="43" t="inlineStr">
        <is>
          <t>PICTORIS</t>
        </is>
      </c>
      <c r="C86" s="43" t="n"/>
      <c r="D86" s="43" t="inlineStr">
        <is>
          <t>73-103603-05</t>
        </is>
      </c>
      <c r="E86" s="43" t="inlineStr">
        <is>
          <t>DEV-CTANJZ04679</t>
        </is>
      </c>
      <c r="F86" s="43" t="n"/>
      <c r="G86" s="43" t="inlineStr">
        <is>
          <t>CVEBU</t>
        </is>
      </c>
      <c r="H86" s="43" t="n"/>
      <c r="I86" s="43" t="n"/>
      <c r="J86" s="43" t="n"/>
      <c r="K86" s="43" t="n"/>
      <c r="L86" s="43" t="n"/>
      <c r="M86" s="43" t="n"/>
      <c r="N86" s="43" t="n"/>
      <c r="O86" s="43" t="n"/>
      <c r="P86" s="43" t="n"/>
      <c r="Q86" s="43" t="inlineStr">
        <is>
          <t>BOARD</t>
        </is>
      </c>
      <c r="R86" s="33" t="inlineStr">
        <is>
          <t>REVISAR DP525026: verificar accion documentada, PN/revision y vigencia para la corrida. No autoriza sustitucion ni uso de material.</t>
        </is>
      </c>
      <c r="S86" s="43" t="inlineStr">
        <is>
          <t>INFO</t>
        </is>
      </c>
      <c r="T86" s="33" t="inlineStr">
        <is>
          <t>Validar desviacion aprobada y estado; contrastar PN exacto y revision con Common DB, BOM/AVL, WO y fecha de corrida.</t>
        </is>
      </c>
      <c r="U86" s="33" t="inlineStr">
        <is>
          <t>Documento oficial firmado, autorizacion FJZ, revision/WO de alcance, confirmacion BOM y evidencia de implementacion si aplica.</t>
        </is>
      </c>
      <c r="V86" s="43" t="n"/>
      <c r="W86" s="43" t="n"/>
      <c r="X86" s="43" t="inlineStr">
        <is>
          <t>INFO</t>
        </is>
      </c>
      <c r="Y86" s="43" t="n"/>
      <c r="Z86" s="43" t="inlineStr">
        <is>
          <t>Pending Review</t>
        </is>
      </c>
      <c r="AA86" s="43" t="inlineStr">
        <is>
          <t>N</t>
        </is>
      </c>
      <c r="AB86" s="43" t="n"/>
      <c r="AC86" s="33" t="inlineStr">
        <is>
          <t xml:space="preserve">FUENTE: Deviation.csv filas 367; Item Number original=73-103603-05 (prefijo 73- es CANDIDATO de PCBA, no confirmacion en Common DB); Workflow de origen=Expired; FJZ no validado, revision PCBA/WO no informadas. </t>
        </is>
      </c>
    </row>
    <row r="87">
      <c r="A87" s="43" t="inlineStr">
        <is>
          <t>DA-CTANJZ04691-STBU-73-20247-05</t>
        </is>
      </c>
      <c r="B87" s="43" t="n"/>
      <c r="C87" s="43" t="n"/>
      <c r="D87" s="43" t="inlineStr">
        <is>
          <t>73-20247-05</t>
        </is>
      </c>
      <c r="E87" s="43" t="inlineStr">
        <is>
          <t>DEV-CTANJZ04691</t>
        </is>
      </c>
      <c r="F87" s="43" t="n"/>
      <c r="G87" s="43" t="inlineStr">
        <is>
          <t>STBU</t>
        </is>
      </c>
      <c r="H87" s="43" t="n"/>
      <c r="I87" s="43" t="n"/>
      <c r="J87" s="43" t="n"/>
      <c r="K87" s="43" t="n"/>
      <c r="L87" s="43" t="n"/>
      <c r="M87" s="43" t="n"/>
      <c r="N87" s="43" t="n"/>
      <c r="O87" s="43" t="n"/>
      <c r="P87" s="43" t="n"/>
      <c r="Q87" s="43" t="inlineStr">
        <is>
          <t>BOARD</t>
        </is>
      </c>
      <c r="R87" s="33" t="inlineStr">
        <is>
          <t>REVISAR D604637: verificar accion documentada, PN/revision y vigencia para la corrida. No autoriza sustitucion ni uso de material.</t>
        </is>
      </c>
      <c r="S87" s="43" t="inlineStr">
        <is>
          <t>INFO</t>
        </is>
      </c>
      <c r="T87" s="33" t="inlineStr">
        <is>
          <t>Validar desviacion aprobada y estado; contrastar PN exacto y revision con Common DB, BOM/AVL, WO y fecha de corrida.</t>
        </is>
      </c>
      <c r="U87" s="33" t="inlineStr">
        <is>
          <t>Documento oficial firmado, autorizacion FJZ, revision/WO de alcance, confirmacion BOM y evidencia de implementacion si aplica.</t>
        </is>
      </c>
      <c r="V87" s="43" t="n"/>
      <c r="W87" s="43" t="n"/>
      <c r="X87" s="43" t="inlineStr">
        <is>
          <t>INFO</t>
        </is>
      </c>
      <c r="Y87" s="43" t="n"/>
      <c r="Z87" s="43" t="inlineStr">
        <is>
          <t>Pending Review</t>
        </is>
      </c>
      <c r="AA87" s="43" t="inlineStr">
        <is>
          <t>N</t>
        </is>
      </c>
      <c r="AB87" s="43" t="n"/>
      <c r="AC87" s="33" t="inlineStr">
        <is>
          <t xml:space="preserve">FUENTE: Deviation.csv filas 926; Item Number original=73-20247-05 (prefijo 73- es CANDIDATO de PCBA, no confirmacion en Common DB); Workflow de origen=Expired; FJZ no validado, revision PCBA/WO no informadas. </t>
        </is>
      </c>
    </row>
    <row r="88">
      <c r="A88" s="43" t="inlineStr">
        <is>
          <t>DA-CTANJZ04691-STBU-73-20249-05</t>
        </is>
      </c>
      <c r="B88" s="43" t="n"/>
      <c r="C88" s="43" t="n"/>
      <c r="D88" s="43" t="inlineStr">
        <is>
          <t>73-20249-05</t>
        </is>
      </c>
      <c r="E88" s="43" t="inlineStr">
        <is>
          <t>DEV-CTANJZ04691</t>
        </is>
      </c>
      <c r="F88" s="43" t="n"/>
      <c r="G88" s="43" t="inlineStr">
        <is>
          <t>STBU</t>
        </is>
      </c>
      <c r="H88" s="43" t="n"/>
      <c r="I88" s="43" t="n"/>
      <c r="J88" s="43" t="n"/>
      <c r="K88" s="43" t="n"/>
      <c r="L88" s="43" t="n"/>
      <c r="M88" s="43" t="n"/>
      <c r="N88" s="43" t="n"/>
      <c r="O88" s="43" t="n"/>
      <c r="P88" s="43" t="n"/>
      <c r="Q88" s="43" t="inlineStr">
        <is>
          <t>BOARD</t>
        </is>
      </c>
      <c r="R88" s="33" t="inlineStr">
        <is>
          <t>REVISAR D604637: verificar accion documentada, PN/revision y vigencia para la corrida. No autoriza sustitucion ni uso de material.</t>
        </is>
      </c>
      <c r="S88" s="43" t="inlineStr">
        <is>
          <t>INFO</t>
        </is>
      </c>
      <c r="T88" s="33" t="inlineStr">
        <is>
          <t>Validar desviacion aprobada y estado; contrastar PN exacto y revision con Common DB, BOM/AVL, WO y fecha de corrida.</t>
        </is>
      </c>
      <c r="U88" s="33" t="inlineStr">
        <is>
          <t>Documento oficial firmado, autorizacion FJZ, revision/WO de alcance, confirmacion BOM y evidencia de implementacion si aplica.</t>
        </is>
      </c>
      <c r="V88" s="43" t="n"/>
      <c r="W88" s="43" t="n"/>
      <c r="X88" s="43" t="inlineStr">
        <is>
          <t>INFO</t>
        </is>
      </c>
      <c r="Y88" s="43" t="n"/>
      <c r="Z88" s="43" t="inlineStr">
        <is>
          <t>Pending Review</t>
        </is>
      </c>
      <c r="AA88" s="43" t="inlineStr">
        <is>
          <t>N</t>
        </is>
      </c>
      <c r="AB88" s="43" t="n"/>
      <c r="AC88" s="33" t="inlineStr">
        <is>
          <t xml:space="preserve">FUENTE: Deviation.csv filas 927; Item Number original=73-20249-05 (prefijo 73- es CANDIDATO de PCBA, no confirmacion en Common DB); Workflow de origen=Expired; FJZ no validado, revision PCBA/WO no informadas. </t>
        </is>
      </c>
    </row>
    <row r="89">
      <c r="A89" s="43" t="inlineStr">
        <is>
          <t>DA-CTANJZ04702-STBU-73-18490-09</t>
        </is>
      </c>
      <c r="B89" s="43" t="n"/>
      <c r="C89" s="43" t="n"/>
      <c r="D89" s="43" t="inlineStr">
        <is>
          <t>73-18490-09</t>
        </is>
      </c>
      <c r="E89" s="43" t="inlineStr">
        <is>
          <t>DEV-CTANJZ04702</t>
        </is>
      </c>
      <c r="F89" s="43" t="n"/>
      <c r="G89" s="43" t="inlineStr">
        <is>
          <t>STBU</t>
        </is>
      </c>
      <c r="H89" s="43" t="n"/>
      <c r="I89" s="43" t="n"/>
      <c r="J89" s="43" t="n"/>
      <c r="K89" s="43" t="n"/>
      <c r="L89" s="43" t="n"/>
      <c r="M89" s="43" t="n"/>
      <c r="N89" s="43" t="n"/>
      <c r="O89" s="43" t="n"/>
      <c r="P89" s="43" t="n"/>
      <c r="Q89" s="43" t="inlineStr">
        <is>
          <t>BOARD</t>
        </is>
      </c>
      <c r="R89" s="33" t="inlineStr">
        <is>
          <t>REVISAR D604757: verificar accion documentada, PN/revision y vigencia para la corrida. No autoriza sustitucion ni uso de material.</t>
        </is>
      </c>
      <c r="S89" s="43" t="inlineStr">
        <is>
          <t>INFO</t>
        </is>
      </c>
      <c r="T89" s="33" t="inlineStr">
        <is>
          <t>Validar desviacion aprobada y estado; contrastar PN exacto y revision con Common DB, BOM/AVL, WO y fecha de corrida.</t>
        </is>
      </c>
      <c r="U89" s="33" t="inlineStr">
        <is>
          <t>Documento oficial firmado, autorizacion FJZ, revision/WO de alcance, confirmacion BOM y evidencia de implementacion si aplica.</t>
        </is>
      </c>
      <c r="V89" s="43" t="n"/>
      <c r="W89" s="43" t="n"/>
      <c r="X89" s="43" t="inlineStr">
        <is>
          <t>INFO</t>
        </is>
      </c>
      <c r="Y89" s="43" t="n"/>
      <c r="Z89" s="43" t="inlineStr">
        <is>
          <t>Pending Review</t>
        </is>
      </c>
      <c r="AA89" s="43" t="inlineStr">
        <is>
          <t>N</t>
        </is>
      </c>
      <c r="AB89" s="43" t="n"/>
      <c r="AC89" s="33" t="inlineStr">
        <is>
          <t xml:space="preserve">FUENTE: Deviation.csv filas 1433; Item Number original=73-18490-09 (prefijo 73- es CANDIDATO de PCBA, no confirmacion en Common DB); Workflow de origen=Expired; FJZ no validado, revision PCBA/WO no informadas. </t>
        </is>
      </c>
    </row>
    <row r="90">
      <c r="A90" s="43" t="inlineStr">
        <is>
          <t>DA-CTANJZ04703-STBU-73-18489-07</t>
        </is>
      </c>
      <c r="B90" s="43" t="n"/>
      <c r="C90" s="43" t="n"/>
      <c r="D90" s="43" t="inlineStr">
        <is>
          <t>73-18489-07</t>
        </is>
      </c>
      <c r="E90" s="43" t="inlineStr">
        <is>
          <t>DEV-CTANJZ04703</t>
        </is>
      </c>
      <c r="F90" s="43" t="n"/>
      <c r="G90" s="43" t="inlineStr">
        <is>
          <t>STBU</t>
        </is>
      </c>
      <c r="H90" s="43" t="n"/>
      <c r="I90" s="43" t="n"/>
      <c r="J90" s="43" t="n"/>
      <c r="K90" s="43" t="n"/>
      <c r="L90" s="43" t="n"/>
      <c r="M90" s="43" t="n"/>
      <c r="N90" s="43" t="n"/>
      <c r="O90" s="43" t="n"/>
      <c r="P90" s="43" t="n"/>
      <c r="Q90" s="43" t="inlineStr">
        <is>
          <t>BOARD</t>
        </is>
      </c>
      <c r="R90" s="33" t="inlineStr">
        <is>
          <t>REVISAR D604633: verificar accion documentada, PN/revision y vigencia para la corrida. No autoriza sustitucion ni uso de material.</t>
        </is>
      </c>
      <c r="S90" s="43" t="inlineStr">
        <is>
          <t>INFO</t>
        </is>
      </c>
      <c r="T90" s="33" t="inlineStr">
        <is>
          <t>Validar desviacion aprobada y estado; contrastar PN exacto y revision con Common DB, BOM/AVL, WO y fecha de corrida.</t>
        </is>
      </c>
      <c r="U90" s="33" t="inlineStr">
        <is>
          <t>Documento oficial firmado, autorizacion FJZ, revision/WO de alcance, confirmacion BOM y evidencia de implementacion si aplica.</t>
        </is>
      </c>
      <c r="V90" s="43" t="n"/>
      <c r="W90" s="43" t="n"/>
      <c r="X90" s="43" t="inlineStr">
        <is>
          <t>INFO</t>
        </is>
      </c>
      <c r="Y90" s="43" t="n"/>
      <c r="Z90" s="43" t="inlineStr">
        <is>
          <t>Pending Review</t>
        </is>
      </c>
      <c r="AA90" s="43" t="inlineStr">
        <is>
          <t>N</t>
        </is>
      </c>
      <c r="AB90" s="43" t="n"/>
      <c r="AC90" s="33" t="inlineStr">
        <is>
          <t xml:space="preserve">FUENTE: Deviation.csv filas 1429; Item Number original=73-18489-07 (prefijo 73- es CANDIDATO de PCBA, no confirmacion en Common DB); Workflow de origen=Expired; FJZ no validado, revision PCBA/WO no informadas. </t>
        </is>
      </c>
    </row>
    <row r="91">
      <c r="A91" s="43" t="inlineStr">
        <is>
          <t>DA-CTANJZ04705-STBU-73-18488-07</t>
        </is>
      </c>
      <c r="B91" s="43" t="n"/>
      <c r="C91" s="43" t="n"/>
      <c r="D91" s="43" t="inlineStr">
        <is>
          <t>73-18488-07</t>
        </is>
      </c>
      <c r="E91" s="43" t="inlineStr">
        <is>
          <t>DEV-CTANJZ04705</t>
        </is>
      </c>
      <c r="F91" s="43" t="n"/>
      <c r="G91" s="43" t="inlineStr">
        <is>
          <t>STBU</t>
        </is>
      </c>
      <c r="H91" s="43" t="n"/>
      <c r="I91" s="43" t="n"/>
      <c r="J91" s="43" t="n"/>
      <c r="K91" s="43" t="n"/>
      <c r="L91" s="43" t="n"/>
      <c r="M91" s="43" t="n"/>
      <c r="N91" s="43" t="n"/>
      <c r="O91" s="43" t="n"/>
      <c r="P91" s="43" t="n"/>
      <c r="Q91" s="43" t="inlineStr">
        <is>
          <t>BOARD</t>
        </is>
      </c>
      <c r="R91" s="33" t="inlineStr">
        <is>
          <t>REVISAR D604634: verificar accion documentada, PN/revision y vigencia para la corrida. No autoriza sustitucion ni uso de material.</t>
        </is>
      </c>
      <c r="S91" s="43" t="inlineStr">
        <is>
          <t>INFO</t>
        </is>
      </c>
      <c r="T91" s="33" t="inlineStr">
        <is>
          <t>Validar desviacion aprobada y estado; contrastar PN exacto y revision con Common DB, BOM/AVL, WO y fecha de corrida.</t>
        </is>
      </c>
      <c r="U91" s="33" t="inlineStr">
        <is>
          <t>Documento oficial firmado, autorizacion FJZ, revision/WO de alcance, confirmacion BOM y evidencia de implementacion si aplica.</t>
        </is>
      </c>
      <c r="V91" s="43" t="n"/>
      <c r="W91" s="43" t="n"/>
      <c r="X91" s="43" t="inlineStr">
        <is>
          <t>INFO</t>
        </is>
      </c>
      <c r="Y91" s="43" t="n"/>
      <c r="Z91" s="43" t="inlineStr">
        <is>
          <t>Pending Review</t>
        </is>
      </c>
      <c r="AA91" s="43" t="inlineStr">
        <is>
          <t>N</t>
        </is>
      </c>
      <c r="AB91" s="43" t="n"/>
      <c r="AC91" s="33" t="inlineStr">
        <is>
          <t xml:space="preserve">FUENTE: Deviation.csv filas 1431; Item Number original=73-18488-07 (prefijo 73- es CANDIDATO de PCBA, no confirmacion en Common DB); Workflow de origen=Expired; FJZ no validado, revision PCBA/WO no informadas. </t>
        </is>
      </c>
    </row>
    <row r="92">
      <c r="A92" s="43" t="inlineStr">
        <is>
          <t>DA-CTANJZ04706-CVEBU-73-103698-04</t>
        </is>
      </c>
      <c r="B92" s="43" t="n"/>
      <c r="C92" s="43" t="n"/>
      <c r="D92" s="43" t="inlineStr">
        <is>
          <t>73-103698-04</t>
        </is>
      </c>
      <c r="E92" s="43" t="inlineStr">
        <is>
          <t>DEV-CTANJZ04706</t>
        </is>
      </c>
      <c r="F92" s="43" t="n"/>
      <c r="G92" s="43" t="inlineStr">
        <is>
          <t>CVEBU</t>
        </is>
      </c>
      <c r="H92" s="43" t="n"/>
      <c r="I92" s="43" t="n"/>
      <c r="J92" s="43" t="n"/>
      <c r="K92" s="43" t="n"/>
      <c r="L92" s="43" t="n"/>
      <c r="M92" s="43" t="n"/>
      <c r="N92" s="43" t="n"/>
      <c r="O92" s="43" t="n"/>
      <c r="P92" s="43" t="n"/>
      <c r="Q92" s="43" t="inlineStr">
        <is>
          <t>BOARD</t>
        </is>
      </c>
      <c r="R92" s="33" t="inlineStr">
        <is>
          <t>REVISAR DP525064: verificar accion documentada, PN/revision y vigencia para la corrida. No autoriza sustitucion ni uso de material.</t>
        </is>
      </c>
      <c r="S92" s="43" t="inlineStr">
        <is>
          <t>INFO</t>
        </is>
      </c>
      <c r="T92" s="33" t="inlineStr">
        <is>
          <t>Validar desviacion aprobada y estado; contrastar PN exacto y revision con Common DB, BOM/AVL, WO y fecha de corrida.</t>
        </is>
      </c>
      <c r="U92" s="33" t="inlineStr">
        <is>
          <t>Documento oficial firmado, autorizacion FJZ, revision/WO de alcance, confirmacion BOM y evidencia de implementacion si aplica.</t>
        </is>
      </c>
      <c r="V92" s="43" t="n"/>
      <c r="W92" s="43" t="n"/>
      <c r="X92" s="43" t="inlineStr">
        <is>
          <t>INFO</t>
        </is>
      </c>
      <c r="Y92" s="43" t="n"/>
      <c r="Z92" s="43" t="inlineStr">
        <is>
          <t>Pending Review</t>
        </is>
      </c>
      <c r="AA92" s="43" t="inlineStr">
        <is>
          <t>N</t>
        </is>
      </c>
      <c r="AB92" s="43" t="n"/>
      <c r="AC92" s="33" t="inlineStr">
        <is>
          <t xml:space="preserve">FUENTE: Deviation.csv filas 391; Item Number original=73-103698-04 (prefijo 73- es CANDIDATO de PCBA, no confirmacion en Common DB); Workflow de origen=Expired; FJZ no validado, revision PCBA/WO no informadas. </t>
        </is>
      </c>
    </row>
    <row r="93">
      <c r="A93" s="43" t="inlineStr">
        <is>
          <t>DA-CTANJZ04706-CVEBU-73-103758-03</t>
        </is>
      </c>
      <c r="B93" s="43" t="n"/>
      <c r="C93" s="43" t="n"/>
      <c r="D93" s="43" t="inlineStr">
        <is>
          <t>73-103758-03</t>
        </is>
      </c>
      <c r="E93" s="43" t="inlineStr">
        <is>
          <t>DEV-CTANJZ04706</t>
        </is>
      </c>
      <c r="F93" s="43" t="n"/>
      <c r="G93" s="43" t="inlineStr">
        <is>
          <t>CVEBU</t>
        </is>
      </c>
      <c r="H93" s="43" t="n"/>
      <c r="I93" s="43" t="n"/>
      <c r="J93" s="43" t="n"/>
      <c r="K93" s="43" t="n"/>
      <c r="L93" s="43" t="n"/>
      <c r="M93" s="43" t="n"/>
      <c r="N93" s="43" t="n"/>
      <c r="O93" s="43" t="n"/>
      <c r="P93" s="43" t="n"/>
      <c r="Q93" s="43" t="inlineStr">
        <is>
          <t>BOARD</t>
        </is>
      </c>
      <c r="R93" s="33" t="inlineStr">
        <is>
          <t>REVISAR DP525064: verificar accion documentada, PN/revision y vigencia para la corrida. No autoriza sustitucion ni uso de material.</t>
        </is>
      </c>
      <c r="S93" s="43" t="inlineStr">
        <is>
          <t>INFO</t>
        </is>
      </c>
      <c r="T93" s="33" t="inlineStr">
        <is>
          <t>Validar desviacion aprobada y estado; contrastar PN exacto y revision con Common DB, BOM/AVL, WO y fecha de corrida.</t>
        </is>
      </c>
      <c r="U93" s="33" t="inlineStr">
        <is>
          <t>Documento oficial firmado, autorizacion FJZ, revision/WO de alcance, confirmacion BOM y evidencia de implementacion si aplica.</t>
        </is>
      </c>
      <c r="V93" s="43" t="n"/>
      <c r="W93" s="43" t="n"/>
      <c r="X93" s="43" t="inlineStr">
        <is>
          <t>INFO</t>
        </is>
      </c>
      <c r="Y93" s="43" t="n"/>
      <c r="Z93" s="43" t="inlineStr">
        <is>
          <t>Pending Review</t>
        </is>
      </c>
      <c r="AA93" s="43" t="inlineStr">
        <is>
          <t>N</t>
        </is>
      </c>
      <c r="AB93" s="43" t="n"/>
      <c r="AC93" s="33" t="inlineStr">
        <is>
          <t xml:space="preserve">FUENTE: Deviation.csv filas 392; Item Number original=73-103758-03 (prefijo 73- es CANDIDATO de PCBA, no confirmacion en Common DB); Workflow de origen=Expired; FJZ no validado, revision PCBA/WO no informadas. </t>
        </is>
      </c>
    </row>
    <row r="94">
      <c r="A94" s="43" t="inlineStr">
        <is>
          <t>DA-CTANJZ04707-STBU-73-17498-04</t>
        </is>
      </c>
      <c r="B94" s="43" t="n"/>
      <c r="C94" s="43" t="n"/>
      <c r="D94" s="43" t="inlineStr">
        <is>
          <t>73-17498-04</t>
        </is>
      </c>
      <c r="E94" s="43" t="inlineStr">
        <is>
          <t>DEV-CTANJZ04707</t>
        </is>
      </c>
      <c r="F94" s="43" t="n"/>
      <c r="G94" s="43" t="inlineStr">
        <is>
          <t>STBU</t>
        </is>
      </c>
      <c r="H94" s="43" t="n"/>
      <c r="I94" s="43" t="n"/>
      <c r="J94" s="43" t="n"/>
      <c r="K94" s="43" t="n"/>
      <c r="L94" s="43" t="n"/>
      <c r="M94" s="43" t="n"/>
      <c r="N94" s="43" t="n"/>
      <c r="O94" s="43" t="n"/>
      <c r="P94" s="43" t="n"/>
      <c r="Q94" s="43" t="inlineStr">
        <is>
          <t>BOARD</t>
        </is>
      </c>
      <c r="R94" s="33" t="inlineStr">
        <is>
          <t>REVISAR D604653: verificar accion documentada, PN/revision y vigencia para la corrida. No autoriza sustitucion ni uso de material.</t>
        </is>
      </c>
      <c r="S94" s="43" t="inlineStr">
        <is>
          <t>INFO</t>
        </is>
      </c>
      <c r="T94" s="33" t="inlineStr">
        <is>
          <t>Validar desviacion aprobada y estado; contrastar PN exacto y revision con Common DB, BOM/AVL, WO y fecha de corrida.</t>
        </is>
      </c>
      <c r="U94" s="33" t="inlineStr">
        <is>
          <t>Documento oficial firmado, autorizacion FJZ, revision/WO de alcance, confirmacion BOM y evidencia de implementacion si aplica.</t>
        </is>
      </c>
      <c r="V94" s="43" t="n"/>
      <c r="W94" s="43" t="n"/>
      <c r="X94" s="43" t="inlineStr">
        <is>
          <t>INFO</t>
        </is>
      </c>
      <c r="Y94" s="43" t="n"/>
      <c r="Z94" s="43" t="inlineStr">
        <is>
          <t>Pending Review</t>
        </is>
      </c>
      <c r="AA94" s="43" t="inlineStr">
        <is>
          <t>N</t>
        </is>
      </c>
      <c r="AB94" s="43" t="n"/>
      <c r="AC94" s="33" t="inlineStr">
        <is>
          <t xml:space="preserve">FUENTE: Deviation.csv filas 1425; Item Number original=73-17498-04 (prefijo 73- es CANDIDATO de PCBA, no confirmacion en Common DB); Workflow de origen=Expired; FJZ no validado, revision PCBA/WO no informadas. </t>
        </is>
      </c>
    </row>
    <row r="95">
      <c r="A95" s="43" t="inlineStr">
        <is>
          <t>DA-CTANJZ04709-STBU-73-17498-04</t>
        </is>
      </c>
      <c r="B95" s="43" t="n"/>
      <c r="C95" s="43" t="n"/>
      <c r="D95" s="43" t="inlineStr">
        <is>
          <t>73-17498-04</t>
        </is>
      </c>
      <c r="E95" s="43" t="inlineStr">
        <is>
          <t>DEV-CTANJZ04709</t>
        </is>
      </c>
      <c r="F95" s="43" t="n"/>
      <c r="G95" s="43" t="inlineStr">
        <is>
          <t>STBU</t>
        </is>
      </c>
      <c r="H95" s="43" t="n"/>
      <c r="I95" s="43" t="n"/>
      <c r="J95" s="43" t="n"/>
      <c r="K95" s="43" t="n"/>
      <c r="L95" s="43" t="n"/>
      <c r="M95" s="43" t="n"/>
      <c r="N95" s="43" t="n"/>
      <c r="O95" s="43" t="n"/>
      <c r="P95" s="43" t="n"/>
      <c r="Q95" s="43" t="inlineStr">
        <is>
          <t>BOARD</t>
        </is>
      </c>
      <c r="R95" s="33" t="inlineStr">
        <is>
          <t>REVISAR D604651: verificar accion documentada, PN/revision y vigencia para la corrida. No autoriza sustitucion ni uso de material.</t>
        </is>
      </c>
      <c r="S95" s="43" t="inlineStr">
        <is>
          <t>INFO</t>
        </is>
      </c>
      <c r="T95" s="33" t="inlineStr">
        <is>
          <t>Validar desviacion aprobada y estado; contrastar PN exacto y revision con Common DB, BOM/AVL, WO y fecha de corrida.</t>
        </is>
      </c>
      <c r="U95" s="33" t="inlineStr">
        <is>
          <t>Documento oficial firmado, autorizacion FJZ, revision/WO de alcance, confirmacion BOM y evidencia de implementacion si aplica.</t>
        </is>
      </c>
      <c r="V95" s="43" t="n"/>
      <c r="W95" s="43" t="n"/>
      <c r="X95" s="43" t="inlineStr">
        <is>
          <t>INFO</t>
        </is>
      </c>
      <c r="Y95" s="43" t="n"/>
      <c r="Z95" s="43" t="inlineStr">
        <is>
          <t>Pending Review</t>
        </is>
      </c>
      <c r="AA95" s="43" t="inlineStr">
        <is>
          <t>N</t>
        </is>
      </c>
      <c r="AB95" s="43" t="n"/>
      <c r="AC95" s="33" t="inlineStr">
        <is>
          <t xml:space="preserve">FUENTE: Deviation.csv filas 1427; Item Number original=73-17498-04 (prefijo 73- es CANDIDATO de PCBA, no confirmacion en Common DB); Workflow de origen=Expired; FJZ no validado, revision PCBA/WO no informadas. </t>
        </is>
      </c>
    </row>
    <row r="96">
      <c r="A96" s="43" t="inlineStr">
        <is>
          <t>DA-CTANJZ04710-STBU-73-18488-07</t>
        </is>
      </c>
      <c r="B96" s="43" t="n"/>
      <c r="C96" s="43" t="n"/>
      <c r="D96" s="43" t="inlineStr">
        <is>
          <t>73-18488-07</t>
        </is>
      </c>
      <c r="E96" s="43" t="inlineStr">
        <is>
          <t>DEV-CTANJZ04710</t>
        </is>
      </c>
      <c r="F96" s="43" t="n"/>
      <c r="G96" s="43" t="inlineStr">
        <is>
          <t>STBU</t>
        </is>
      </c>
      <c r="H96" s="43" t="n"/>
      <c r="I96" s="43" t="n"/>
      <c r="J96" s="43" t="n"/>
      <c r="K96" s="43" t="n"/>
      <c r="L96" s="43" t="n"/>
      <c r="M96" s="43" t="n"/>
      <c r="N96" s="43" t="n"/>
      <c r="O96" s="43" t="n"/>
      <c r="P96" s="43" t="n"/>
      <c r="Q96" s="43" t="inlineStr">
        <is>
          <t>BOARD</t>
        </is>
      </c>
      <c r="R96" s="33" t="inlineStr">
        <is>
          <t>REVISAR D604750: verificar accion documentada, PN/revision y vigencia para la corrida. No autoriza sustitucion ni uso de material.</t>
        </is>
      </c>
      <c r="S96" s="43" t="inlineStr">
        <is>
          <t>INFO</t>
        </is>
      </c>
      <c r="T96" s="33" t="inlineStr">
        <is>
          <t>Validar desviacion aprobada y estado; contrastar PN exacto y revision con Common DB, BOM/AVL, WO y fecha de corrida.</t>
        </is>
      </c>
      <c r="U96" s="33" t="inlineStr">
        <is>
          <t>Documento oficial firmado, autorizacion FJZ, revision/WO de alcance, confirmacion BOM y evidencia de implementacion si aplica.</t>
        </is>
      </c>
      <c r="V96" s="43" t="n"/>
      <c r="W96" s="43" t="n"/>
      <c r="X96" s="43" t="inlineStr">
        <is>
          <t>INFO</t>
        </is>
      </c>
      <c r="Y96" s="43" t="n"/>
      <c r="Z96" s="43" t="inlineStr">
        <is>
          <t>Pending Review</t>
        </is>
      </c>
      <c r="AA96" s="43" t="inlineStr">
        <is>
          <t>N</t>
        </is>
      </c>
      <c r="AB96" s="43" t="n"/>
      <c r="AC96" s="33" t="inlineStr">
        <is>
          <t xml:space="preserve">FUENTE: Deviation.csv filas 1439; Item Number original=73-18488-07 (prefijo 73- es CANDIDATO de PCBA, no confirmacion en Common DB); Workflow de origen=Expired; FJZ no validado, revision PCBA/WO no informadas. </t>
        </is>
      </c>
    </row>
    <row r="97">
      <c r="A97" s="43" t="inlineStr">
        <is>
          <t>DA-CTANJZ04711-STBU-73-102433-05</t>
        </is>
      </c>
      <c r="B97" s="43" t="n"/>
      <c r="C97" s="43" t="n"/>
      <c r="D97" s="43" t="inlineStr">
        <is>
          <t>73-102433-05</t>
        </is>
      </c>
      <c r="E97" s="43" t="inlineStr">
        <is>
          <t>DEV-CTANJZ04711</t>
        </is>
      </c>
      <c r="F97" s="43" t="n"/>
      <c r="G97" s="43" t="inlineStr">
        <is>
          <t>STBU</t>
        </is>
      </c>
      <c r="H97" s="43" t="n"/>
      <c r="I97" s="43" t="n"/>
      <c r="J97" s="43" t="n"/>
      <c r="K97" s="43" t="n"/>
      <c r="L97" s="43" t="n"/>
      <c r="M97" s="43" t="n"/>
      <c r="N97" s="43" t="n"/>
      <c r="O97" s="43" t="n"/>
      <c r="P97" s="43" t="n"/>
      <c r="Q97" s="43" t="inlineStr">
        <is>
          <t>BOARD</t>
        </is>
      </c>
      <c r="R97" s="33" t="inlineStr">
        <is>
          <t>REVISAR D604652: verificar accion documentada, PN/revision y vigencia para la corrida. No autoriza sustitucion ni uso de material.</t>
        </is>
      </c>
      <c r="S97" s="43" t="inlineStr">
        <is>
          <t>INFO</t>
        </is>
      </c>
      <c r="T97" s="33" t="inlineStr">
        <is>
          <t>Validar desviacion aprobada y estado; contrastar PN exacto y revision con Common DB, BOM/AVL, WO y fecha de corrida.</t>
        </is>
      </c>
      <c r="U97" s="33" t="inlineStr">
        <is>
          <t>Documento oficial firmado, autorizacion FJZ, revision/WO de alcance, confirmacion BOM y evidencia de implementacion si aplica.</t>
        </is>
      </c>
      <c r="V97" s="43" t="n"/>
      <c r="W97" s="43" t="n"/>
      <c r="X97" s="43" t="inlineStr">
        <is>
          <t>INFO</t>
        </is>
      </c>
      <c r="Y97" s="43" t="n"/>
      <c r="Z97" s="43" t="inlineStr">
        <is>
          <t>Pending Review</t>
        </is>
      </c>
      <c r="AA97" s="43" t="inlineStr">
        <is>
          <t>N</t>
        </is>
      </c>
      <c r="AB97" s="43" t="n"/>
      <c r="AC97" s="33" t="inlineStr">
        <is>
          <t xml:space="preserve">FUENTE: Deviation.csv filas 1437; Item Number original=73-102433-05 (prefijo 73- es CANDIDATO de PCBA, no confirmacion en Common DB); Workflow de origen=Expired; FJZ no validado, revision PCBA/WO no informadas. </t>
        </is>
      </c>
    </row>
    <row r="98">
      <c r="A98" s="43" t="inlineStr">
        <is>
          <t>DA-CTANJZ04721-STBU-73-20249-05</t>
        </is>
      </c>
      <c r="B98" s="43" t="n"/>
      <c r="C98" s="43" t="n"/>
      <c r="D98" s="43" t="inlineStr">
        <is>
          <t>73-20249-05</t>
        </is>
      </c>
      <c r="E98" s="43" t="inlineStr">
        <is>
          <t>DEV-CTANJZ04721</t>
        </is>
      </c>
      <c r="F98" s="43" t="n"/>
      <c r="G98" s="43" t="inlineStr">
        <is>
          <t>STBU</t>
        </is>
      </c>
      <c r="H98" s="43" t="n"/>
      <c r="I98" s="43" t="n"/>
      <c r="J98" s="43" t="n"/>
      <c r="K98" s="43" t="n"/>
      <c r="L98" s="43" t="n"/>
      <c r="M98" s="43" t="n"/>
      <c r="N98" s="43" t="n"/>
      <c r="O98" s="43" t="n"/>
      <c r="P98" s="43" t="n"/>
      <c r="Q98" s="43" t="inlineStr">
        <is>
          <t>BOARD</t>
        </is>
      </c>
      <c r="R98" s="33" t="inlineStr">
        <is>
          <t>REVISAR D605020: verificar accion documentada, PN/revision y vigencia para la corrida. No autoriza sustitucion ni uso de material.</t>
        </is>
      </c>
      <c r="S98" s="43" t="inlineStr">
        <is>
          <t>INFO</t>
        </is>
      </c>
      <c r="T98" s="33" t="inlineStr">
        <is>
          <t>Validar desviacion aprobada y estado; contrastar PN exacto y revision con Common DB, BOM/AVL, WO y fecha de corrida.</t>
        </is>
      </c>
      <c r="U98" s="33" t="inlineStr">
        <is>
          <t>Documento oficial firmado, autorizacion FJZ, revision/WO de alcance, confirmacion BOM y evidencia de implementacion si aplica.</t>
        </is>
      </c>
      <c r="V98" s="43" t="n"/>
      <c r="W98" s="43" t="n"/>
      <c r="X98" s="43" t="inlineStr">
        <is>
          <t>INFO</t>
        </is>
      </c>
      <c r="Y98" s="43" t="n"/>
      <c r="Z98" s="43" t="inlineStr">
        <is>
          <t>Pending Review</t>
        </is>
      </c>
      <c r="AA98" s="43" t="inlineStr">
        <is>
          <t>N</t>
        </is>
      </c>
      <c r="AB98" s="43" t="n"/>
      <c r="AC98" s="33" t="inlineStr">
        <is>
          <t xml:space="preserve">FUENTE: Deviation.csv filas 51; Item Number original=73-20249-05 (prefijo 73- es CANDIDATO de PCBA, no confirmacion en Common DB); Workflow de origen=Expired; FJZ no validado, revision PCBA/WO no informadas. </t>
        </is>
      </c>
    </row>
    <row r="99">
      <c r="A99" s="43" t="inlineStr">
        <is>
          <t>DA-CTANJZ04734-STBU-73-103633-04</t>
        </is>
      </c>
      <c r="B99" s="43" t="n"/>
      <c r="C99" s="43" t="n"/>
      <c r="D99" s="43" t="inlineStr">
        <is>
          <t>73-103633-04</t>
        </is>
      </c>
      <c r="E99" s="43" t="inlineStr">
        <is>
          <t>DEV-CTANJZ04734</t>
        </is>
      </c>
      <c r="F99" s="43" t="n"/>
      <c r="G99" s="43" t="inlineStr">
        <is>
          <t>STBU</t>
        </is>
      </c>
      <c r="H99" s="43" t="n"/>
      <c r="I99" s="43" t="n"/>
      <c r="J99" s="43" t="n"/>
      <c r="K99" s="43" t="n"/>
      <c r="L99" s="43" t="n"/>
      <c r="M99" s="43" t="n"/>
      <c r="N99" s="43" t="n"/>
      <c r="O99" s="43" t="n"/>
      <c r="P99" s="43" t="n"/>
      <c r="Q99" s="43" t="inlineStr">
        <is>
          <t>BOARD</t>
        </is>
      </c>
      <c r="R99" s="33" t="inlineStr">
        <is>
          <t>REVISAR DP525135: verificar accion documentada, PN/revision y vigencia para la corrida. No autoriza sustitucion ni uso de material.</t>
        </is>
      </c>
      <c r="S99" s="43" t="inlineStr">
        <is>
          <t>INFO</t>
        </is>
      </c>
      <c r="T99" s="33" t="inlineStr">
        <is>
          <t>Validar desviacion aprobada y estado; contrastar PN exacto y revision con Common DB, BOM/AVL, WO y fecha de corrida.</t>
        </is>
      </c>
      <c r="U99" s="33" t="inlineStr">
        <is>
          <t>Documento oficial firmado, autorizacion FJZ, revision/WO de alcance, confirmacion BOM y evidencia de implementacion si aplica.</t>
        </is>
      </c>
      <c r="V99" s="43" t="n"/>
      <c r="W99" s="43" t="n"/>
      <c r="X99" s="43" t="inlineStr">
        <is>
          <t>INFO</t>
        </is>
      </c>
      <c r="Y99" s="43" t="n"/>
      <c r="Z99" s="43" t="inlineStr">
        <is>
          <t>Pending Review</t>
        </is>
      </c>
      <c r="AA99" s="43" t="inlineStr">
        <is>
          <t>N</t>
        </is>
      </c>
      <c r="AB99" s="43" t="n"/>
      <c r="AC99" s="33" t="inlineStr">
        <is>
          <t xml:space="preserve">FUENTE: Deviation.csv filas 875; Item Number original=73-103633-04 (prefijo 73- es CANDIDATO de PCBA, no confirmacion en Common DB); Workflow de origen=Expired; FJZ no validado, revision PCBA/WO no informadas. </t>
        </is>
      </c>
    </row>
    <row r="100">
      <c r="A100" s="43" t="inlineStr">
        <is>
          <t>DA-CTANJZ04744-IOTBU-73-101439-04</t>
        </is>
      </c>
      <c r="B100" s="43" t="n"/>
      <c r="C100" s="43" t="n"/>
      <c r="D100" s="43" t="inlineStr">
        <is>
          <t>73-101439-04</t>
        </is>
      </c>
      <c r="E100" s="43" t="inlineStr">
        <is>
          <t>DEV-CTANJZ04744</t>
        </is>
      </c>
      <c r="F100" s="43" t="n"/>
      <c r="G100" s="43" t="inlineStr">
        <is>
          <t>IOTBU</t>
        </is>
      </c>
      <c r="H100" s="43" t="n"/>
      <c r="I100" s="43" t="n"/>
      <c r="J100" s="43" t="n"/>
      <c r="K100" s="43" t="n"/>
      <c r="L100" s="43" t="n"/>
      <c r="M100" s="43" t="n"/>
      <c r="N100" s="43" t="n"/>
      <c r="O100" s="43" t="n"/>
      <c r="P100" s="43" t="n"/>
      <c r="Q100" s="43" t="inlineStr">
        <is>
          <t>BOARD</t>
        </is>
      </c>
      <c r="R100" s="33" t="inlineStr">
        <is>
          <t>REVISAR D605288: verificar accion documentada, PN/revision y vigencia para la corrida. No autoriza sustitucion ni uso de material.</t>
        </is>
      </c>
      <c r="S100" s="43" t="inlineStr">
        <is>
          <t>INFO</t>
        </is>
      </c>
      <c r="T100" s="33" t="inlineStr">
        <is>
          <t>Validar desviacion aprobada y estado; contrastar PN exacto y revision con Common DB, BOM/AVL, WO y fecha de corrida.</t>
        </is>
      </c>
      <c r="U100" s="33" t="inlineStr">
        <is>
          <t>Documento oficial firmado, autorizacion FJZ, revision/WO de alcance, confirmacion BOM y evidencia de implementacion si aplica.</t>
        </is>
      </c>
      <c r="V100" s="43" t="n"/>
      <c r="W100" s="43" t="n"/>
      <c r="X100" s="43" t="inlineStr">
        <is>
          <t>INFO</t>
        </is>
      </c>
      <c r="Y100" s="43" t="n"/>
      <c r="Z100" s="43" t="inlineStr">
        <is>
          <t>Pending Review</t>
        </is>
      </c>
      <c r="AA100" s="43" t="inlineStr">
        <is>
          <t>N</t>
        </is>
      </c>
      <c r="AB100" s="43" t="n"/>
      <c r="AC100" s="33" t="inlineStr">
        <is>
          <t xml:space="preserve">FUENTE: Deviation.csv filas 1472; Item Number original=73-101439-04 (prefijo 73- es CANDIDATO de PCBA, no confirmacion en Common DB); Workflow de origen=Expired; FJZ no validado, revision PCBA/WO no informadas. </t>
        </is>
      </c>
    </row>
    <row r="101">
      <c r="A101" s="43" t="inlineStr">
        <is>
          <t>DA-CTANJZ04744-IOTBU-73-102239-04</t>
        </is>
      </c>
      <c r="B101" s="43" t="n"/>
      <c r="C101" s="43" t="n"/>
      <c r="D101" s="43" t="inlineStr">
        <is>
          <t>73-102239-04</t>
        </is>
      </c>
      <c r="E101" s="43" t="inlineStr">
        <is>
          <t>DEV-CTANJZ04744</t>
        </is>
      </c>
      <c r="F101" s="43" t="n"/>
      <c r="G101" s="43" t="inlineStr">
        <is>
          <t>IOTBU</t>
        </is>
      </c>
      <c r="H101" s="43" t="n"/>
      <c r="I101" s="43" t="n"/>
      <c r="J101" s="43" t="n"/>
      <c r="K101" s="43" t="n"/>
      <c r="L101" s="43" t="n"/>
      <c r="M101" s="43" t="n"/>
      <c r="N101" s="43" t="n"/>
      <c r="O101" s="43" t="n"/>
      <c r="P101" s="43" t="n"/>
      <c r="Q101" s="43" t="inlineStr">
        <is>
          <t>BOARD</t>
        </is>
      </c>
      <c r="R101" s="33" t="inlineStr">
        <is>
          <t>REVISAR D605288: verificar accion documentada, PN/revision y vigencia para la corrida. No autoriza sustitucion ni uso de material.</t>
        </is>
      </c>
      <c r="S101" s="43" t="inlineStr">
        <is>
          <t>INFO</t>
        </is>
      </c>
      <c r="T101" s="33" t="inlineStr">
        <is>
          <t>Validar desviacion aprobada y estado; contrastar PN exacto y revision con Common DB, BOM/AVL, WO y fecha de corrida.</t>
        </is>
      </c>
      <c r="U101" s="33" t="inlineStr">
        <is>
          <t>Documento oficial firmado, autorizacion FJZ, revision/WO de alcance, confirmacion BOM y evidencia de implementacion si aplica.</t>
        </is>
      </c>
      <c r="V101" s="43" t="n"/>
      <c r="W101" s="43" t="n"/>
      <c r="X101" s="43" t="inlineStr">
        <is>
          <t>INFO</t>
        </is>
      </c>
      <c r="Y101" s="43" t="n"/>
      <c r="Z101" s="43" t="inlineStr">
        <is>
          <t>Pending Review</t>
        </is>
      </c>
      <c r="AA101" s="43" t="inlineStr">
        <is>
          <t>N</t>
        </is>
      </c>
      <c r="AB101" s="43" t="n"/>
      <c r="AC101" s="33" t="inlineStr">
        <is>
          <t xml:space="preserve">FUENTE: Deviation.csv filas 1580; Item Number original=73-102239-04 (prefijo 73- es CANDIDATO de PCBA, no confirmacion en Common DB); Workflow de origen=Expired; FJZ no validado, revision PCBA/WO no informadas. </t>
        </is>
      </c>
    </row>
    <row r="102">
      <c r="A102" s="43" t="inlineStr">
        <is>
          <t>DA-CTANJZ04744-IOTBU-73-103098-03</t>
        </is>
      </c>
      <c r="B102" s="43" t="n"/>
      <c r="C102" s="43" t="n"/>
      <c r="D102" s="43" t="inlineStr">
        <is>
          <t>73-103098-03</t>
        </is>
      </c>
      <c r="E102" s="43" t="inlineStr">
        <is>
          <t>DEV-CTANJZ04744</t>
        </is>
      </c>
      <c r="F102" s="43" t="n"/>
      <c r="G102" s="43" t="inlineStr">
        <is>
          <t>IOTBU</t>
        </is>
      </c>
      <c r="H102" s="43" t="n"/>
      <c r="I102" s="43" t="n"/>
      <c r="J102" s="43" t="n"/>
      <c r="K102" s="43" t="n"/>
      <c r="L102" s="43" t="n"/>
      <c r="M102" s="43" t="n"/>
      <c r="N102" s="43" t="n"/>
      <c r="O102" s="43" t="n"/>
      <c r="P102" s="43" t="n"/>
      <c r="Q102" s="43" t="inlineStr">
        <is>
          <t>BOARD</t>
        </is>
      </c>
      <c r="R102" s="33" t="inlineStr">
        <is>
          <t>REVISAR D605288: verificar accion documentada, PN/revision y vigencia para la corrida. No autoriza sustitucion ni uso de material.</t>
        </is>
      </c>
      <c r="S102" s="43" t="inlineStr">
        <is>
          <t>INFO</t>
        </is>
      </c>
      <c r="T102" s="33" t="inlineStr">
        <is>
          <t>Validar desviacion aprobada y estado; contrastar PN exacto y revision con Common DB, BOM/AVL, WO y fecha de corrida.</t>
        </is>
      </c>
      <c r="U102" s="33" t="inlineStr">
        <is>
          <t>Documento oficial firmado, autorizacion FJZ, revision/WO de alcance, confirmacion BOM y evidencia de implementacion si aplica.</t>
        </is>
      </c>
      <c r="V102" s="43" t="n"/>
      <c r="W102" s="43" t="n"/>
      <c r="X102" s="43" t="inlineStr">
        <is>
          <t>INFO</t>
        </is>
      </c>
      <c r="Y102" s="43" t="n"/>
      <c r="Z102" s="43" t="inlineStr">
        <is>
          <t>Pending Review</t>
        </is>
      </c>
      <c r="AA102" s="43" t="inlineStr">
        <is>
          <t>N</t>
        </is>
      </c>
      <c r="AB102" s="43" t="n"/>
      <c r="AC102" s="33" t="inlineStr">
        <is>
          <t xml:space="preserve">FUENTE: Deviation.csv filas 1581; Item Number original=73-103098-03 (prefijo 73- es CANDIDATO de PCBA, no confirmacion en Common DB); Workflow de origen=Expired; FJZ no validado, revision PCBA/WO no informadas. </t>
        </is>
      </c>
    </row>
    <row r="103">
      <c r="A103" s="43" t="inlineStr">
        <is>
          <t>DA-CTANJZ04758-IOTBU-73-101439-04</t>
        </is>
      </c>
      <c r="B103" s="43" t="n"/>
      <c r="C103" s="43" t="n"/>
      <c r="D103" s="43" t="inlineStr">
        <is>
          <t>73-101439-04</t>
        </is>
      </c>
      <c r="E103" s="43" t="inlineStr">
        <is>
          <t>DEV-CTANJZ04758</t>
        </is>
      </c>
      <c r="F103" s="43" t="n"/>
      <c r="G103" s="43" t="inlineStr">
        <is>
          <t>IOTBU</t>
        </is>
      </c>
      <c r="H103" s="43" t="n"/>
      <c r="I103" s="43" t="n"/>
      <c r="J103" s="43" t="n"/>
      <c r="K103" s="43" t="n"/>
      <c r="L103" s="43" t="n"/>
      <c r="M103" s="43" t="n"/>
      <c r="N103" s="43" t="n"/>
      <c r="O103" s="43" t="n"/>
      <c r="P103" s="43" t="n"/>
      <c r="Q103" s="43" t="inlineStr">
        <is>
          <t>BOARD</t>
        </is>
      </c>
      <c r="R103" s="33" t="inlineStr">
        <is>
          <t>REVISAR D605395: verificar accion documentada, PN/revision y vigencia para la corrida. No autoriza sustitucion ni uso de material.</t>
        </is>
      </c>
      <c r="S103" s="43" t="inlineStr">
        <is>
          <t>INFO</t>
        </is>
      </c>
      <c r="T103" s="33" t="inlineStr">
        <is>
          <t>Validar desviacion aprobada y estado; contrastar PN exacto y revision con Common DB, BOM/AVL, WO y fecha de corrida.</t>
        </is>
      </c>
      <c r="U103" s="33" t="inlineStr">
        <is>
          <t>Documento oficial firmado, autorizacion FJZ, revision/WO de alcance, confirmacion BOM y evidencia de implementacion si aplica.</t>
        </is>
      </c>
      <c r="V103" s="43" t="n"/>
      <c r="W103" s="43" t="n"/>
      <c r="X103" s="43" t="inlineStr">
        <is>
          <t>INFO</t>
        </is>
      </c>
      <c r="Y103" s="43" t="n"/>
      <c r="Z103" s="43" t="inlineStr">
        <is>
          <t>Pending Review</t>
        </is>
      </c>
      <c r="AA103" s="43" t="inlineStr">
        <is>
          <t>N</t>
        </is>
      </c>
      <c r="AB103" s="43" t="n"/>
      <c r="AC103" s="33" t="inlineStr">
        <is>
          <t xml:space="preserve">FUENTE: Deviation.csv filas 900; Item Number original=73-101439-04 (prefijo 73- es CANDIDATO de PCBA, no confirmacion en Common DB); Workflow de origen=Expired; FJZ no validado, revision PCBA/WO no informadas. </t>
        </is>
      </c>
    </row>
    <row r="104">
      <c r="A104" s="43" t="inlineStr">
        <is>
          <t>DA-CTANJZ04758-IOTBU-73-102239-04</t>
        </is>
      </c>
      <c r="B104" s="43" t="n"/>
      <c r="C104" s="43" t="n"/>
      <c r="D104" s="43" t="inlineStr">
        <is>
          <t>73-102239-04</t>
        </is>
      </c>
      <c r="E104" s="43" t="inlineStr">
        <is>
          <t>DEV-CTANJZ04758</t>
        </is>
      </c>
      <c r="F104" s="43" t="n"/>
      <c r="G104" s="43" t="inlineStr">
        <is>
          <t>IOTBU</t>
        </is>
      </c>
      <c r="H104" s="43" t="n"/>
      <c r="I104" s="43" t="n"/>
      <c r="J104" s="43" t="n"/>
      <c r="K104" s="43" t="n"/>
      <c r="L104" s="43" t="n"/>
      <c r="M104" s="43" t="n"/>
      <c r="N104" s="43" t="n"/>
      <c r="O104" s="43" t="n"/>
      <c r="P104" s="43" t="n"/>
      <c r="Q104" s="43" t="inlineStr">
        <is>
          <t>BOARD</t>
        </is>
      </c>
      <c r="R104" s="33" t="inlineStr">
        <is>
          <t>REVISAR D605395: verificar accion documentada, PN/revision y vigencia para la corrida. No autoriza sustitucion ni uso de material.</t>
        </is>
      </c>
      <c r="S104" s="43" t="inlineStr">
        <is>
          <t>INFO</t>
        </is>
      </c>
      <c r="T104" s="33" t="inlineStr">
        <is>
          <t>Validar desviacion aprobada y estado; contrastar PN exacto y revision con Common DB, BOM/AVL, WO y fecha de corrida.</t>
        </is>
      </c>
      <c r="U104" s="33" t="inlineStr">
        <is>
          <t>Documento oficial firmado, autorizacion FJZ, revision/WO de alcance, confirmacion BOM y evidencia de implementacion si aplica.</t>
        </is>
      </c>
      <c r="V104" s="43" t="n"/>
      <c r="W104" s="43" t="n"/>
      <c r="X104" s="43" t="inlineStr">
        <is>
          <t>INFO</t>
        </is>
      </c>
      <c r="Y104" s="43" t="n"/>
      <c r="Z104" s="43" t="inlineStr">
        <is>
          <t>Pending Review</t>
        </is>
      </c>
      <c r="AA104" s="43" t="inlineStr">
        <is>
          <t>N</t>
        </is>
      </c>
      <c r="AB104" s="43" t="n"/>
      <c r="AC104" s="33" t="inlineStr">
        <is>
          <t xml:space="preserve">FUENTE: Deviation.csv filas 901; Item Number original=73-102239-04 (prefijo 73- es CANDIDATO de PCBA, no confirmacion en Common DB); Workflow de origen=Expired; FJZ no validado, revision PCBA/WO no informadas. </t>
        </is>
      </c>
    </row>
    <row r="105">
      <c r="A105" s="43" t="inlineStr">
        <is>
          <t>DA-CTANJZ04758-IOTBU-73-103098-03</t>
        </is>
      </c>
      <c r="B105" s="43" t="n"/>
      <c r="C105" s="43" t="n"/>
      <c r="D105" s="43" t="inlineStr">
        <is>
          <t>73-103098-03</t>
        </is>
      </c>
      <c r="E105" s="43" t="inlineStr">
        <is>
          <t>DEV-CTANJZ04758</t>
        </is>
      </c>
      <c r="F105" s="43" t="n"/>
      <c r="G105" s="43" t="inlineStr">
        <is>
          <t>IOTBU</t>
        </is>
      </c>
      <c r="H105" s="43" t="n"/>
      <c r="I105" s="43" t="n"/>
      <c r="J105" s="43" t="n"/>
      <c r="K105" s="43" t="n"/>
      <c r="L105" s="43" t="n"/>
      <c r="M105" s="43" t="n"/>
      <c r="N105" s="43" t="n"/>
      <c r="O105" s="43" t="n"/>
      <c r="P105" s="43" t="n"/>
      <c r="Q105" s="43" t="inlineStr">
        <is>
          <t>BOARD</t>
        </is>
      </c>
      <c r="R105" s="33" t="inlineStr">
        <is>
          <t>REVISAR D605395: verificar accion documentada, PN/revision y vigencia para la corrida. No autoriza sustitucion ni uso de material.</t>
        </is>
      </c>
      <c r="S105" s="43" t="inlineStr">
        <is>
          <t>INFO</t>
        </is>
      </c>
      <c r="T105" s="33" t="inlineStr">
        <is>
          <t>Validar desviacion aprobada y estado; contrastar PN exacto y revision con Common DB, BOM/AVL, WO y fecha de corrida.</t>
        </is>
      </c>
      <c r="U105" s="33" t="inlineStr">
        <is>
          <t>Documento oficial firmado, autorizacion FJZ, revision/WO de alcance, confirmacion BOM y evidencia de implementacion si aplica.</t>
        </is>
      </c>
      <c r="V105" s="43" t="n"/>
      <c r="W105" s="43" t="n"/>
      <c r="X105" s="43" t="inlineStr">
        <is>
          <t>INFO</t>
        </is>
      </c>
      <c r="Y105" s="43" t="n"/>
      <c r="Z105" s="43" t="inlineStr">
        <is>
          <t>Pending Review</t>
        </is>
      </c>
      <c r="AA105" s="43" t="inlineStr">
        <is>
          <t>N</t>
        </is>
      </c>
      <c r="AB105" s="43" t="n"/>
      <c r="AC105" s="33" t="inlineStr">
        <is>
          <t xml:space="preserve">FUENTE: Deviation.csv filas 917; Item Number original=73-103098-03 (prefijo 73- es CANDIDATO de PCBA, no confirmacion en Common DB); Workflow de origen=Expired; FJZ no validado, revision PCBA/WO no informadas. </t>
        </is>
      </c>
    </row>
    <row r="106">
      <c r="A106" s="43" t="inlineStr">
        <is>
          <t>DA-CTANJZ04761-CVEBU-73-103758-02</t>
        </is>
      </c>
      <c r="B106" s="43" t="n"/>
      <c r="C106" s="43" t="n"/>
      <c r="D106" s="43" t="inlineStr">
        <is>
          <t>73-103758-02</t>
        </is>
      </c>
      <c r="E106" s="43" t="inlineStr">
        <is>
          <t>DEV-CTANJZ04761</t>
        </is>
      </c>
      <c r="F106" s="43" t="n"/>
      <c r="G106" s="43" t="inlineStr">
        <is>
          <t>CVEBU</t>
        </is>
      </c>
      <c r="H106" s="43" t="n"/>
      <c r="I106" s="43" t="n"/>
      <c r="J106" s="43" t="n"/>
      <c r="K106" s="43" t="n"/>
      <c r="L106" s="43" t="n"/>
      <c r="M106" s="43" t="n"/>
      <c r="N106" s="43" t="n"/>
      <c r="O106" s="43" t="n"/>
      <c r="P106" s="43" t="n"/>
      <c r="Q106" s="43" t="inlineStr">
        <is>
          <t>BOARD</t>
        </is>
      </c>
      <c r="R106" s="33" t="inlineStr">
        <is>
          <t>REVISAR DP525183: verificar accion documentada, PN/revision y vigencia para la corrida. No autoriza sustitucion ni uso de material.</t>
        </is>
      </c>
      <c r="S106" s="43" t="inlineStr">
        <is>
          <t>INFO</t>
        </is>
      </c>
      <c r="T106" s="33" t="inlineStr">
        <is>
          <t>Validar desviacion aprobada y estado; contrastar PN exacto y revision con Common DB, BOM/AVL, WO y fecha de corrida.</t>
        </is>
      </c>
      <c r="U106" s="33" t="inlineStr">
        <is>
          <t>Documento oficial firmado, autorizacion FJZ, revision/WO de alcance, confirmacion BOM y evidencia de implementacion si aplica.</t>
        </is>
      </c>
      <c r="V106" s="43" t="n"/>
      <c r="W106" s="43" t="n"/>
      <c r="X106" s="43" t="inlineStr">
        <is>
          <t>INFO</t>
        </is>
      </c>
      <c r="Y106" s="43" t="n"/>
      <c r="Z106" s="43" t="inlineStr">
        <is>
          <t>Pending Review</t>
        </is>
      </c>
      <c r="AA106" s="43" t="inlineStr">
        <is>
          <t>N</t>
        </is>
      </c>
      <c r="AB106" s="43" t="n"/>
      <c r="AC106" s="33" t="inlineStr">
        <is>
          <t xml:space="preserve">FUENTE: Deviation.csv filas 1646; Item Number original=73-103758-02 (prefijo 73- es CANDIDATO de PCBA, no confirmacion en Common DB); Workflow de origen=Expired; FJZ no validado, revision PCBA/WO no informadas. </t>
        </is>
      </c>
    </row>
    <row r="107">
      <c r="A107" s="43" t="inlineStr">
        <is>
          <t>DA-CTANJZ04766-IOTBU-73-101441-05</t>
        </is>
      </c>
      <c r="B107" s="43" t="n"/>
      <c r="C107" s="43" t="n"/>
      <c r="D107" s="43" t="inlineStr">
        <is>
          <t>73-101441-05</t>
        </is>
      </c>
      <c r="E107" s="43" t="inlineStr">
        <is>
          <t>DEV-CTANJZ04766</t>
        </is>
      </c>
      <c r="F107" s="43" t="n"/>
      <c r="G107" s="43" t="inlineStr">
        <is>
          <t>IOTBU</t>
        </is>
      </c>
      <c r="H107" s="43" t="n"/>
      <c r="I107" s="43" t="n"/>
      <c r="J107" s="43" t="n"/>
      <c r="K107" s="43" t="n"/>
      <c r="L107" s="43" t="n"/>
      <c r="M107" s="43" t="n"/>
      <c r="N107" s="43" t="n"/>
      <c r="O107" s="43" t="n"/>
      <c r="P107" s="43" t="n"/>
      <c r="Q107" s="43" t="inlineStr">
        <is>
          <t>BOARD</t>
        </is>
      </c>
      <c r="R107" s="33" t="inlineStr">
        <is>
          <t>REVISAR DP525199: verificar accion documentada, PN/revision y vigencia para la corrida. No autoriza sustitucion ni uso de material.</t>
        </is>
      </c>
      <c r="S107" s="43" t="inlineStr">
        <is>
          <t>INFO</t>
        </is>
      </c>
      <c r="T107" s="33" t="inlineStr">
        <is>
          <t>Validar desviacion aprobada y estado; contrastar PN exacto y revision con Common DB, BOM/AVL, WO y fecha de corrida.</t>
        </is>
      </c>
      <c r="U107" s="33" t="inlineStr">
        <is>
          <t>Documento oficial firmado, autorizacion FJZ, revision/WO de alcance, confirmacion BOM y evidencia de implementacion si aplica.</t>
        </is>
      </c>
      <c r="V107" s="43" t="n"/>
      <c r="W107" s="43" t="n"/>
      <c r="X107" s="43" t="inlineStr">
        <is>
          <t>INFO</t>
        </is>
      </c>
      <c r="Y107" s="43" t="n"/>
      <c r="Z107" s="43" t="inlineStr">
        <is>
          <t>Pending Review</t>
        </is>
      </c>
      <c r="AA107" s="43" t="inlineStr">
        <is>
          <t>N</t>
        </is>
      </c>
      <c r="AB107" s="43" t="n"/>
      <c r="AC107" s="33" t="inlineStr">
        <is>
          <t xml:space="preserve">FUENTE: Deviation.csv filas 432; Item Number original=73-101441-05 (prefijo 73- es CANDIDATO de PCBA, no confirmacion en Common DB); Workflow de origen=Expired; FJZ no validado, revision PCBA/WO no informadas. </t>
        </is>
      </c>
    </row>
    <row r="108">
      <c r="A108" s="43" t="inlineStr">
        <is>
          <t>DA-CTANJZ04773-STBU-73-103557-04</t>
        </is>
      </c>
      <c r="B108" s="43" t="n"/>
      <c r="C108" s="43" t="n"/>
      <c r="D108" s="43" t="inlineStr">
        <is>
          <t>73-103557-04</t>
        </is>
      </c>
      <c r="E108" s="43" t="inlineStr">
        <is>
          <t>DEV-CTANJZ04773</t>
        </is>
      </c>
      <c r="F108" s="43" t="n"/>
      <c r="G108" s="43" t="inlineStr">
        <is>
          <t>STBU</t>
        </is>
      </c>
      <c r="H108" s="43" t="n"/>
      <c r="I108" s="43" t="n"/>
      <c r="J108" s="43" t="n"/>
      <c r="K108" s="43" t="n"/>
      <c r="L108" s="43" t="n"/>
      <c r="M108" s="43" t="n"/>
      <c r="N108" s="43" t="n"/>
      <c r="O108" s="43" t="n"/>
      <c r="P108" s="43" t="n"/>
      <c r="Q108" s="43" t="inlineStr">
        <is>
          <t>BOARD</t>
        </is>
      </c>
      <c r="R108" s="33" t="inlineStr">
        <is>
          <t>REVISAR DP525235: verificar accion documentada, PN/revision y vigencia para la corrida. No autoriza sustitucion ni uso de material.</t>
        </is>
      </c>
      <c r="S108" s="43" t="inlineStr">
        <is>
          <t>INFO</t>
        </is>
      </c>
      <c r="T108" s="33" t="inlineStr">
        <is>
          <t>Validar desviacion aprobada y estado; contrastar PN exacto y revision con Common DB, BOM/AVL, WO y fecha de corrida.</t>
        </is>
      </c>
      <c r="U108" s="33" t="inlineStr">
        <is>
          <t>Documento oficial firmado, autorizacion FJZ, revision/WO de alcance, confirmacion BOM y evidencia de implementacion si aplica.</t>
        </is>
      </c>
      <c r="V108" s="43" t="n"/>
      <c r="W108" s="43" t="n"/>
      <c r="X108" s="43" t="inlineStr">
        <is>
          <t>INFO</t>
        </is>
      </c>
      <c r="Y108" s="43" t="n"/>
      <c r="Z108" s="43" t="inlineStr">
        <is>
          <t>Pending Review</t>
        </is>
      </c>
      <c r="AA108" s="43" t="inlineStr">
        <is>
          <t>N</t>
        </is>
      </c>
      <c r="AB108" s="43" t="n"/>
      <c r="AC108" s="33" t="inlineStr">
        <is>
          <t xml:space="preserve">FUENTE: Deviation.csv filas 835; Item Number original=73-103557-04 (prefijo 73- es CANDIDATO de PCBA, no confirmacion en Common DB); Workflow de origen=Expired; FJZ no validado, revision PCBA/WO no informadas. </t>
        </is>
      </c>
    </row>
    <row r="109">
      <c r="A109" s="43" t="inlineStr">
        <is>
          <t>DA-CTANJZ04773-STBU-73-103633-04</t>
        </is>
      </c>
      <c r="B109" s="43" t="n"/>
      <c r="C109" s="43" t="n"/>
      <c r="D109" s="43" t="inlineStr">
        <is>
          <t>73-103633-04</t>
        </is>
      </c>
      <c r="E109" s="43" t="inlineStr">
        <is>
          <t>DEV-CTANJZ04773</t>
        </is>
      </c>
      <c r="F109" s="43" t="n"/>
      <c r="G109" s="43" t="inlineStr">
        <is>
          <t>STBU</t>
        </is>
      </c>
      <c r="H109" s="43" t="n"/>
      <c r="I109" s="43" t="n"/>
      <c r="J109" s="43" t="n"/>
      <c r="K109" s="43" t="n"/>
      <c r="L109" s="43" t="n"/>
      <c r="M109" s="43" t="n"/>
      <c r="N109" s="43" t="n"/>
      <c r="O109" s="43" t="n"/>
      <c r="P109" s="43" t="n"/>
      <c r="Q109" s="43" t="inlineStr">
        <is>
          <t>BOARD</t>
        </is>
      </c>
      <c r="R109" s="33" t="inlineStr">
        <is>
          <t>REVISAR DP525235: verificar accion documentada, PN/revision y vigencia para la corrida. No autoriza sustitucion ni uso de material.</t>
        </is>
      </c>
      <c r="S109" s="43" t="inlineStr">
        <is>
          <t>INFO</t>
        </is>
      </c>
      <c r="T109" s="33" t="inlineStr">
        <is>
          <t>Validar desviacion aprobada y estado; contrastar PN exacto y revision con Common DB, BOM/AVL, WO y fecha de corrida.</t>
        </is>
      </c>
      <c r="U109" s="33" t="inlineStr">
        <is>
          <t>Documento oficial firmado, autorizacion FJZ, revision/WO de alcance, confirmacion BOM y evidencia de implementacion si aplica.</t>
        </is>
      </c>
      <c r="V109" s="43" t="n"/>
      <c r="W109" s="43" t="n"/>
      <c r="X109" s="43" t="inlineStr">
        <is>
          <t>INFO</t>
        </is>
      </c>
      <c r="Y109" s="43" t="n"/>
      <c r="Z109" s="43" t="inlineStr">
        <is>
          <t>Pending Review</t>
        </is>
      </c>
      <c r="AA109" s="43" t="inlineStr">
        <is>
          <t>N</t>
        </is>
      </c>
      <c r="AB109" s="43" t="n"/>
      <c r="AC109" s="33" t="inlineStr">
        <is>
          <t xml:space="preserve">FUENTE: Deviation.csv filas 836; Item Number original=73-103633-04 (prefijo 73- es CANDIDATO de PCBA, no confirmacion en Common DB); Workflow de origen=Expired; FJZ no validado, revision PCBA/WO no informadas. </t>
        </is>
      </c>
    </row>
    <row r="110">
      <c r="A110" s="43" t="inlineStr">
        <is>
          <t>DA-CTANJZ04774-SRGBU-73-21204-06</t>
        </is>
      </c>
      <c r="B110" s="43" t="n"/>
      <c r="C110" s="43" t="n"/>
      <c r="D110" s="43" t="inlineStr">
        <is>
          <t>73-21204-06</t>
        </is>
      </c>
      <c r="E110" s="43" t="inlineStr">
        <is>
          <t>DEV-CTANJZ04774</t>
        </is>
      </c>
      <c r="F110" s="43" t="n"/>
      <c r="G110" s="43" t="inlineStr">
        <is>
          <t>SRGBU</t>
        </is>
      </c>
      <c r="H110" s="43" t="n"/>
      <c r="I110" s="43" t="n"/>
      <c r="J110" s="43" t="n"/>
      <c r="K110" s="43" t="n"/>
      <c r="L110" s="43" t="n"/>
      <c r="M110" s="43" t="n"/>
      <c r="N110" s="43" t="n"/>
      <c r="O110" s="43" t="n"/>
      <c r="P110" s="43" t="n"/>
      <c r="Q110" s="43" t="inlineStr">
        <is>
          <t>BOARD</t>
        </is>
      </c>
      <c r="R110" s="33" t="inlineStr">
        <is>
          <t>REVISAR D605647: verificar accion documentada, PN/revision y vigencia para la corrida. No autoriza sustitucion ni uso de material.</t>
        </is>
      </c>
      <c r="S110" s="43" t="inlineStr">
        <is>
          <t>INFO</t>
        </is>
      </c>
      <c r="T110" s="33" t="inlineStr">
        <is>
          <t>Validar desviacion aprobada y estado; contrastar PN exacto y revision con Common DB, BOM/AVL, WO y fecha de corrida.</t>
        </is>
      </c>
      <c r="U110" s="33" t="inlineStr">
        <is>
          <t>Documento oficial firmado, autorizacion FJZ, revision/WO de alcance, confirmacion BOM y evidencia de implementacion si aplica.</t>
        </is>
      </c>
      <c r="V110" s="43" t="n"/>
      <c r="W110" s="43" t="n"/>
      <c r="X110" s="43" t="inlineStr">
        <is>
          <t>INFO</t>
        </is>
      </c>
      <c r="Y110" s="43" t="n"/>
      <c r="Z110" s="43" t="inlineStr">
        <is>
          <t>Pending Review</t>
        </is>
      </c>
      <c r="AA110" s="43" t="inlineStr">
        <is>
          <t>N</t>
        </is>
      </c>
      <c r="AB110" s="43" t="n"/>
      <c r="AC110" s="33" t="inlineStr">
        <is>
          <t xml:space="preserve">FUENTE: Deviation.csv filas 861; Item Number original=73-21204-06 (prefijo 73- es CANDIDATO de PCBA, no confirmacion en Common DB); Workflow de origen=Expired; FJZ no validado, revision PCBA/WO no informadas. </t>
        </is>
      </c>
    </row>
    <row r="111">
      <c r="A111" s="43" t="inlineStr">
        <is>
          <t>DA-CTANJZ04774-SRGBU-73-21231-05</t>
        </is>
      </c>
      <c r="B111" s="43" t="inlineStr">
        <is>
          <t>CHARON</t>
        </is>
      </c>
      <c r="C111" s="43" t="n"/>
      <c r="D111" s="43" t="inlineStr">
        <is>
          <t>73-21231-05</t>
        </is>
      </c>
      <c r="E111" s="43" t="inlineStr">
        <is>
          <t>DEV-CTANJZ04774</t>
        </is>
      </c>
      <c r="F111" s="43" t="n"/>
      <c r="G111" s="43" t="inlineStr">
        <is>
          <t>SRGBU</t>
        </is>
      </c>
      <c r="H111" s="43" t="n"/>
      <c r="I111" s="43" t="n"/>
      <c r="J111" s="43" t="n"/>
      <c r="K111" s="43" t="n"/>
      <c r="L111" s="43" t="n"/>
      <c r="M111" s="43" t="n"/>
      <c r="N111" s="43" t="n"/>
      <c r="O111" s="43" t="n"/>
      <c r="P111" s="43" t="n"/>
      <c r="Q111" s="43" t="inlineStr">
        <is>
          <t>BOARD</t>
        </is>
      </c>
      <c r="R111" s="33" t="inlineStr">
        <is>
          <t>REVISAR D605647: verificar accion documentada, PN/revision y vigencia para la corrida. No autoriza sustitucion ni uso de material.</t>
        </is>
      </c>
      <c r="S111" s="43" t="inlineStr">
        <is>
          <t>INFO</t>
        </is>
      </c>
      <c r="T111" s="33" t="inlineStr">
        <is>
          <t>Validar desviacion aprobada y estado; contrastar PN exacto y revision con Common DB, BOM/AVL, WO y fecha de corrida.</t>
        </is>
      </c>
      <c r="U111" s="33" t="inlineStr">
        <is>
          <t>Documento oficial firmado, autorizacion FJZ, revision/WO de alcance, confirmacion BOM y evidencia de implementacion si aplica.</t>
        </is>
      </c>
      <c r="V111" s="43" t="n"/>
      <c r="W111" s="43" t="n"/>
      <c r="X111" s="43" t="inlineStr">
        <is>
          <t>INFO</t>
        </is>
      </c>
      <c r="Y111" s="43" t="n"/>
      <c r="Z111" s="43" t="inlineStr">
        <is>
          <t>Pending Review</t>
        </is>
      </c>
      <c r="AA111" s="43" t="inlineStr">
        <is>
          <t>N</t>
        </is>
      </c>
      <c r="AB111" s="43" t="n"/>
      <c r="AC111" s="33" t="inlineStr">
        <is>
          <t xml:space="preserve">FUENTE: Deviation.csv filas 862; Item Number original=73-21231-05 (prefijo 73- es CANDIDATO de PCBA, no confirmacion en Common DB); Workflow de origen=Expired; FJZ no validado, revision PCBA/WO no informadas. </t>
        </is>
      </c>
    </row>
    <row r="112">
      <c r="A112" s="43" t="inlineStr">
        <is>
          <t>DA-CTANJZ04774-SRGBU-73-21417-05</t>
        </is>
      </c>
      <c r="B112" s="43" t="n"/>
      <c r="C112" s="43" t="n"/>
      <c r="D112" s="43" t="inlineStr">
        <is>
          <t>73-21417-05</t>
        </is>
      </c>
      <c r="E112" s="43" t="inlineStr">
        <is>
          <t>DEV-CTANJZ04774</t>
        </is>
      </c>
      <c r="F112" s="43" t="n"/>
      <c r="G112" s="43" t="inlineStr">
        <is>
          <t>SRGBU</t>
        </is>
      </c>
      <c r="H112" s="43" t="n"/>
      <c r="I112" s="43" t="n"/>
      <c r="J112" s="43" t="n"/>
      <c r="K112" s="43" t="n"/>
      <c r="L112" s="43" t="n"/>
      <c r="M112" s="43" t="n"/>
      <c r="N112" s="43" t="n"/>
      <c r="O112" s="43" t="n"/>
      <c r="P112" s="43" t="n"/>
      <c r="Q112" s="43" t="inlineStr">
        <is>
          <t>BOARD</t>
        </is>
      </c>
      <c r="R112" s="33" t="inlineStr">
        <is>
          <t>REVISAR D605647: verificar accion documentada, PN/revision y vigencia para la corrida. No autoriza sustitucion ni uso de material.</t>
        </is>
      </c>
      <c r="S112" s="43" t="inlineStr">
        <is>
          <t>INFO</t>
        </is>
      </c>
      <c r="T112" s="33" t="inlineStr">
        <is>
          <t>Validar desviacion aprobada y estado; contrastar PN exacto y revision con Common DB, BOM/AVL, WO y fecha de corrida.</t>
        </is>
      </c>
      <c r="U112" s="33" t="inlineStr">
        <is>
          <t>Documento oficial firmado, autorizacion FJZ, revision/WO de alcance, confirmacion BOM y evidencia de implementacion si aplica.</t>
        </is>
      </c>
      <c r="V112" s="43" t="n"/>
      <c r="W112" s="43" t="n"/>
      <c r="X112" s="43" t="inlineStr">
        <is>
          <t>INFO</t>
        </is>
      </c>
      <c r="Y112" s="43" t="n"/>
      <c r="Z112" s="43" t="inlineStr">
        <is>
          <t>Pending Review</t>
        </is>
      </c>
      <c r="AA112" s="43" t="inlineStr">
        <is>
          <t>N</t>
        </is>
      </c>
      <c r="AB112" s="43" t="n"/>
      <c r="AC112" s="33" t="inlineStr">
        <is>
          <t xml:space="preserve">FUENTE: Deviation.csv filas 863; Item Number original=73-21417-05 (prefijo 73- es CANDIDATO de PCBA, no confirmacion en Common DB); Workflow de origen=Expired; FJZ no validado, revision PCBA/WO no informadas. </t>
        </is>
      </c>
    </row>
    <row r="113">
      <c r="A113" s="43" t="inlineStr">
        <is>
          <t>DA-CTANJZ04801-CVEBU-73-103720-04</t>
        </is>
      </c>
      <c r="B113" s="43" t="n"/>
      <c r="C113" s="43" t="n"/>
      <c r="D113" s="43" t="inlineStr">
        <is>
          <t>73-103720-04</t>
        </is>
      </c>
      <c r="E113" s="43" t="inlineStr">
        <is>
          <t>DEV-CTANJZ04801</t>
        </is>
      </c>
      <c r="F113" s="43" t="n"/>
      <c r="G113" s="43" t="inlineStr">
        <is>
          <t>CVEBU</t>
        </is>
      </c>
      <c r="H113" s="43" t="n"/>
      <c r="I113" s="43" t="n"/>
      <c r="J113" s="43" t="n"/>
      <c r="K113" s="43" t="n"/>
      <c r="L113" s="43" t="n"/>
      <c r="M113" s="43" t="n"/>
      <c r="N113" s="43" t="n"/>
      <c r="O113" s="43" t="n"/>
      <c r="P113" s="43" t="n"/>
      <c r="Q113" s="43" t="inlineStr">
        <is>
          <t>BOARD</t>
        </is>
      </c>
      <c r="R113" s="33" t="inlineStr">
        <is>
          <t>REVISAR D605868: verificar accion documentada, PN/revision y vigencia para la corrida. No autoriza sustitucion ni uso de material.</t>
        </is>
      </c>
      <c r="S113" s="43" t="inlineStr">
        <is>
          <t>INFO</t>
        </is>
      </c>
      <c r="T113" s="33" t="inlineStr">
        <is>
          <t>Validar desviacion aprobada y estado; contrastar PN exacto y revision con Common DB, BOM/AVL, WO y fecha de corrida.</t>
        </is>
      </c>
      <c r="U113" s="33" t="inlineStr">
        <is>
          <t>Documento oficial firmado, autorizacion FJZ, revision/WO de alcance, confirmacion BOM y evidencia de implementacion si aplica.</t>
        </is>
      </c>
      <c r="V113" s="43" t="n"/>
      <c r="W113" s="43" t="n"/>
      <c r="X113" s="43" t="inlineStr">
        <is>
          <t>INFO</t>
        </is>
      </c>
      <c r="Y113" s="43" t="n"/>
      <c r="Z113" s="43" t="inlineStr">
        <is>
          <t>Pending Review</t>
        </is>
      </c>
      <c r="AA113" s="43" t="inlineStr">
        <is>
          <t>N</t>
        </is>
      </c>
      <c r="AB113" s="43" t="n"/>
      <c r="AC113" s="33" t="inlineStr">
        <is>
          <t xml:space="preserve">FUENTE: Deviation.csv filas 405; Item Number original=73-103720-04 (prefijo 73- es CANDIDATO de PCBA, no confirmacion en Common DB); Workflow de origen=Expired; FJZ no validado, revision PCBA/WO no informadas. </t>
        </is>
      </c>
    </row>
    <row r="114">
      <c r="A114" s="43" t="inlineStr">
        <is>
          <t>DA-CTANJZ04801-CVEBU-73-103820-04</t>
        </is>
      </c>
      <c r="B114" s="43" t="n"/>
      <c r="C114" s="43" t="n"/>
      <c r="D114" s="43" t="inlineStr">
        <is>
          <t>73-103820-04</t>
        </is>
      </c>
      <c r="E114" s="43" t="inlineStr">
        <is>
          <t>DEV-CTANJZ04801</t>
        </is>
      </c>
      <c r="F114" s="43" t="n"/>
      <c r="G114" s="43" t="inlineStr">
        <is>
          <t>CVEBU</t>
        </is>
      </c>
      <c r="H114" s="43" t="n"/>
      <c r="I114" s="43" t="n"/>
      <c r="J114" s="43" t="n"/>
      <c r="K114" s="43" t="n"/>
      <c r="L114" s="43" t="n"/>
      <c r="M114" s="43" t="n"/>
      <c r="N114" s="43" t="n"/>
      <c r="O114" s="43" t="n"/>
      <c r="P114" s="43" t="n"/>
      <c r="Q114" s="43" t="inlineStr">
        <is>
          <t>BOARD</t>
        </is>
      </c>
      <c r="R114" s="33" t="inlineStr">
        <is>
          <t>REVISAR D605868: verificar accion documentada, PN/revision y vigencia para la corrida. No autoriza sustitucion ni uso de material.</t>
        </is>
      </c>
      <c r="S114" s="43" t="inlineStr">
        <is>
          <t>INFO</t>
        </is>
      </c>
      <c r="T114" s="33" t="inlineStr">
        <is>
          <t>Validar desviacion aprobada y estado; contrastar PN exacto y revision con Common DB, BOM/AVL, WO y fecha de corrida.</t>
        </is>
      </c>
      <c r="U114" s="33" t="inlineStr">
        <is>
          <t>Documento oficial firmado, autorizacion FJZ, revision/WO de alcance, confirmacion BOM y evidencia de implementacion si aplica.</t>
        </is>
      </c>
      <c r="V114" s="43" t="n"/>
      <c r="W114" s="43" t="n"/>
      <c r="X114" s="43" t="inlineStr">
        <is>
          <t>INFO</t>
        </is>
      </c>
      <c r="Y114" s="43" t="n"/>
      <c r="Z114" s="43" t="inlineStr">
        <is>
          <t>Pending Review</t>
        </is>
      </c>
      <c r="AA114" s="43" t="inlineStr">
        <is>
          <t>N</t>
        </is>
      </c>
      <c r="AB114" s="43" t="n"/>
      <c r="AC114" s="33" t="inlineStr">
        <is>
          <t xml:space="preserve">FUENTE: Deviation.csv filas 406; Item Number original=73-103820-04 (prefijo 73- es CANDIDATO de PCBA, no confirmacion en Common DB); Workflow de origen=Expired; FJZ no validado, revision PCBA/WO no informadas. </t>
        </is>
      </c>
    </row>
    <row r="115">
      <c r="A115" s="43" t="inlineStr">
        <is>
          <t>DA-CTANJZ04801-CVEBU-73-103920-04</t>
        </is>
      </c>
      <c r="B115" s="43" t="n"/>
      <c r="C115" s="43" t="n"/>
      <c r="D115" s="43" t="inlineStr">
        <is>
          <t>73-103920-04</t>
        </is>
      </c>
      <c r="E115" s="43" t="inlineStr">
        <is>
          <t>DEV-CTANJZ04801</t>
        </is>
      </c>
      <c r="F115" s="43" t="n"/>
      <c r="G115" s="43" t="inlineStr">
        <is>
          <t>CVEBU</t>
        </is>
      </c>
      <c r="H115" s="43" t="n"/>
      <c r="I115" s="43" t="n"/>
      <c r="J115" s="43" t="n"/>
      <c r="K115" s="43" t="n"/>
      <c r="L115" s="43" t="n"/>
      <c r="M115" s="43" t="n"/>
      <c r="N115" s="43" t="n"/>
      <c r="O115" s="43" t="n"/>
      <c r="P115" s="43" t="n"/>
      <c r="Q115" s="43" t="inlineStr">
        <is>
          <t>BOARD</t>
        </is>
      </c>
      <c r="R115" s="33" t="inlineStr">
        <is>
          <t>REVISAR D605868: verificar accion documentada, PN/revision y vigencia para la corrida. No autoriza sustitucion ni uso de material.</t>
        </is>
      </c>
      <c r="S115" s="43" t="inlineStr">
        <is>
          <t>INFO</t>
        </is>
      </c>
      <c r="T115" s="33" t="inlineStr">
        <is>
          <t>Validar desviacion aprobada y estado; contrastar PN exacto y revision con Common DB, BOM/AVL, WO y fecha de corrida.</t>
        </is>
      </c>
      <c r="U115" s="33" t="inlineStr">
        <is>
          <t>Documento oficial firmado, autorizacion FJZ, revision/WO de alcance, confirmacion BOM y evidencia de implementacion si aplica.</t>
        </is>
      </c>
      <c r="V115" s="43" t="n"/>
      <c r="W115" s="43" t="n"/>
      <c r="X115" s="43" t="inlineStr">
        <is>
          <t>INFO</t>
        </is>
      </c>
      <c r="Y115" s="43" t="n"/>
      <c r="Z115" s="43" t="inlineStr">
        <is>
          <t>Pending Review</t>
        </is>
      </c>
      <c r="AA115" s="43" t="inlineStr">
        <is>
          <t>N</t>
        </is>
      </c>
      <c r="AB115" s="43" t="n"/>
      <c r="AC115" s="33" t="inlineStr">
        <is>
          <t xml:space="preserve">FUENTE: Deviation.csv filas 407; Item Number original=73-103920-04 (prefijo 73- es CANDIDATO de PCBA, no confirmacion en Common DB); Workflow de origen=Expired; FJZ no validado, revision PCBA/WO no informadas. </t>
        </is>
      </c>
    </row>
    <row r="116">
      <c r="A116" s="43" t="inlineStr">
        <is>
          <t>DA-CTANJZ04801-CVEBU-73-103922-04</t>
        </is>
      </c>
      <c r="B116" s="43" t="n"/>
      <c r="C116" s="43" t="n"/>
      <c r="D116" s="43" t="inlineStr">
        <is>
          <t>73-103922-04</t>
        </is>
      </c>
      <c r="E116" s="43" t="inlineStr">
        <is>
          <t>DEV-CTANJZ04801</t>
        </is>
      </c>
      <c r="F116" s="43" t="n"/>
      <c r="G116" s="43" t="inlineStr">
        <is>
          <t>CVEBU</t>
        </is>
      </c>
      <c r="H116" s="43" t="n"/>
      <c r="I116" s="43" t="n"/>
      <c r="J116" s="43" t="n"/>
      <c r="K116" s="43" t="n"/>
      <c r="L116" s="43" t="n"/>
      <c r="M116" s="43" t="n"/>
      <c r="N116" s="43" t="n"/>
      <c r="O116" s="43" t="n"/>
      <c r="P116" s="43" t="n"/>
      <c r="Q116" s="43" t="inlineStr">
        <is>
          <t>BOARD</t>
        </is>
      </c>
      <c r="R116" s="33" t="inlineStr">
        <is>
          <t>REVISAR D605868: verificar accion documentada, PN/revision y vigencia para la corrida. No autoriza sustitucion ni uso de material.</t>
        </is>
      </c>
      <c r="S116" s="43" t="inlineStr">
        <is>
          <t>INFO</t>
        </is>
      </c>
      <c r="T116" s="33" t="inlineStr">
        <is>
          <t>Validar desviacion aprobada y estado; contrastar PN exacto y revision con Common DB, BOM/AVL, WO y fecha de corrida.</t>
        </is>
      </c>
      <c r="U116" s="33" t="inlineStr">
        <is>
          <t>Documento oficial firmado, autorizacion FJZ, revision/WO de alcance, confirmacion BOM y evidencia de implementacion si aplica.</t>
        </is>
      </c>
      <c r="V116" s="43" t="n"/>
      <c r="W116" s="43" t="n"/>
      <c r="X116" s="43" t="inlineStr">
        <is>
          <t>INFO</t>
        </is>
      </c>
      <c r="Y116" s="43" t="n"/>
      <c r="Z116" s="43" t="inlineStr">
        <is>
          <t>Pending Review</t>
        </is>
      </c>
      <c r="AA116" s="43" t="inlineStr">
        <is>
          <t>N</t>
        </is>
      </c>
      <c r="AB116" s="43" t="n"/>
      <c r="AC116" s="33" t="inlineStr">
        <is>
          <t xml:space="preserve">FUENTE: Deviation.csv filas 408; Item Number original=73-103922-04 (prefijo 73- es CANDIDATO de PCBA, no confirmacion en Common DB); Workflow de origen=Expired; FJZ no validado, revision PCBA/WO no informadas. </t>
        </is>
      </c>
    </row>
    <row r="117">
      <c r="A117" s="43" t="inlineStr">
        <is>
          <t>DA-CTANJZ04806-STBU-73-18488-07</t>
        </is>
      </c>
      <c r="B117" s="43" t="n"/>
      <c r="C117" s="43" t="n"/>
      <c r="D117" s="43" t="inlineStr">
        <is>
          <t>73-18488-07</t>
        </is>
      </c>
      <c r="E117" s="43" t="inlineStr">
        <is>
          <t>DEV-CTANJZ04806</t>
        </is>
      </c>
      <c r="F117" s="43" t="n"/>
      <c r="G117" s="43" t="inlineStr">
        <is>
          <t>STBU</t>
        </is>
      </c>
      <c r="H117" s="43" t="n"/>
      <c r="I117" s="43" t="n"/>
      <c r="J117" s="43" t="n"/>
      <c r="K117" s="43" t="n"/>
      <c r="L117" s="43" t="n"/>
      <c r="M117" s="43" t="n"/>
      <c r="N117" s="43" t="n"/>
      <c r="O117" s="43" t="n"/>
      <c r="P117" s="43" t="n"/>
      <c r="Q117" s="43" t="inlineStr">
        <is>
          <t>BOARD</t>
        </is>
      </c>
      <c r="R117" s="33" t="inlineStr">
        <is>
          <t>REVISAR D605896: verificar accion documentada, PN/revision y vigencia para la corrida. No autoriza sustitucion ni uso de material.</t>
        </is>
      </c>
      <c r="S117" s="43" t="inlineStr">
        <is>
          <t>INFO</t>
        </is>
      </c>
      <c r="T117" s="33" t="inlineStr">
        <is>
          <t>Validar desviacion aprobada y estado; contrastar PN exacto y revision con Common DB, BOM/AVL, WO y fecha de corrida.</t>
        </is>
      </c>
      <c r="U117" s="33" t="inlineStr">
        <is>
          <t>Documento oficial firmado, autorizacion FJZ, revision/WO de alcance, confirmacion BOM y evidencia de implementacion si aplica.</t>
        </is>
      </c>
      <c r="V117" s="43" t="n"/>
      <c r="W117" s="43" t="n"/>
      <c r="X117" s="43" t="inlineStr">
        <is>
          <t>INFO</t>
        </is>
      </c>
      <c r="Y117" s="43" t="n"/>
      <c r="Z117" s="43" t="inlineStr">
        <is>
          <t>Pending Review</t>
        </is>
      </c>
      <c r="AA117" s="43" t="inlineStr">
        <is>
          <t>N</t>
        </is>
      </c>
      <c r="AB117" s="43" t="n"/>
      <c r="AC117" s="33" t="inlineStr">
        <is>
          <t xml:space="preserve">FUENTE: Deviation.csv filas 844; Item Number original=73-18488-07 (prefijo 73- es CANDIDATO de PCBA, no confirmacion en Common DB); Workflow de origen=Expired; FJZ no validado, revision PCBA/WO no informadas. </t>
        </is>
      </c>
    </row>
    <row r="118">
      <c r="A118" s="43" t="inlineStr">
        <is>
          <t>DA-CTANJZ04806-STBU-73-18489-07</t>
        </is>
      </c>
      <c r="B118" s="43" t="n"/>
      <c r="C118" s="43" t="n"/>
      <c r="D118" s="43" t="inlineStr">
        <is>
          <t>73-18489-07</t>
        </is>
      </c>
      <c r="E118" s="43" t="inlineStr">
        <is>
          <t>DEV-CTANJZ04806</t>
        </is>
      </c>
      <c r="F118" s="43" t="n"/>
      <c r="G118" s="43" t="inlineStr">
        <is>
          <t>STBU</t>
        </is>
      </c>
      <c r="H118" s="43" t="n"/>
      <c r="I118" s="43" t="n"/>
      <c r="J118" s="43" t="n"/>
      <c r="K118" s="43" t="n"/>
      <c r="L118" s="43" t="n"/>
      <c r="M118" s="43" t="n"/>
      <c r="N118" s="43" t="n"/>
      <c r="O118" s="43" t="n"/>
      <c r="P118" s="43" t="n"/>
      <c r="Q118" s="43" t="inlineStr">
        <is>
          <t>BOARD</t>
        </is>
      </c>
      <c r="R118" s="33" t="inlineStr">
        <is>
          <t>REVISAR D605896: verificar accion documentada, PN/revision y vigencia para la corrida. No autoriza sustitucion ni uso de material.</t>
        </is>
      </c>
      <c r="S118" s="43" t="inlineStr">
        <is>
          <t>INFO</t>
        </is>
      </c>
      <c r="T118" s="33" t="inlineStr">
        <is>
          <t>Validar desviacion aprobada y estado; contrastar PN exacto y revision con Common DB, BOM/AVL, WO y fecha de corrida.</t>
        </is>
      </c>
      <c r="U118" s="33" t="inlineStr">
        <is>
          <t>Documento oficial firmado, autorizacion FJZ, revision/WO de alcance, confirmacion BOM y evidencia de implementacion si aplica.</t>
        </is>
      </c>
      <c r="V118" s="43" t="n"/>
      <c r="W118" s="43" t="n"/>
      <c r="X118" s="43" t="inlineStr">
        <is>
          <t>INFO</t>
        </is>
      </c>
      <c r="Y118" s="43" t="n"/>
      <c r="Z118" s="43" t="inlineStr">
        <is>
          <t>Pending Review</t>
        </is>
      </c>
      <c r="AA118" s="43" t="inlineStr">
        <is>
          <t>N</t>
        </is>
      </c>
      <c r="AB118" s="43" t="n"/>
      <c r="AC118" s="33" t="inlineStr">
        <is>
          <t xml:space="preserve">FUENTE: Deviation.csv filas 845; Item Number original=73-18489-07 (prefijo 73- es CANDIDATO de PCBA, no confirmacion en Common DB); Workflow de origen=Expired; FJZ no validado, revision PCBA/WO no informadas. </t>
        </is>
      </c>
    </row>
    <row r="119">
      <c r="A119" s="43" t="inlineStr">
        <is>
          <t>DA-CTANJZ04806-STBU-73-18490-09</t>
        </is>
      </c>
      <c r="B119" s="43" t="n"/>
      <c r="C119" s="43" t="n"/>
      <c r="D119" s="43" t="inlineStr">
        <is>
          <t>73-18490-09</t>
        </is>
      </c>
      <c r="E119" s="43" t="inlineStr">
        <is>
          <t>DEV-CTANJZ04806</t>
        </is>
      </c>
      <c r="F119" s="43" t="n"/>
      <c r="G119" s="43" t="inlineStr">
        <is>
          <t>STBU</t>
        </is>
      </c>
      <c r="H119" s="43" t="n"/>
      <c r="I119" s="43" t="n"/>
      <c r="J119" s="43" t="n"/>
      <c r="K119" s="43" t="n"/>
      <c r="L119" s="43" t="n"/>
      <c r="M119" s="43" t="n"/>
      <c r="N119" s="43" t="n"/>
      <c r="O119" s="43" t="n"/>
      <c r="P119" s="43" t="n"/>
      <c r="Q119" s="43" t="inlineStr">
        <is>
          <t>BOARD</t>
        </is>
      </c>
      <c r="R119" s="33" t="inlineStr">
        <is>
          <t>REVISAR D605896: verificar accion documentada, PN/revision y vigencia para la corrida. No autoriza sustitucion ni uso de material.</t>
        </is>
      </c>
      <c r="S119" s="43" t="inlineStr">
        <is>
          <t>INFO</t>
        </is>
      </c>
      <c r="T119" s="33" t="inlineStr">
        <is>
          <t>Validar desviacion aprobada y estado; contrastar PN exacto y revision con Common DB, BOM/AVL, WO y fecha de corrida.</t>
        </is>
      </c>
      <c r="U119" s="33" t="inlineStr">
        <is>
          <t>Documento oficial firmado, autorizacion FJZ, revision/WO de alcance, confirmacion BOM y evidencia de implementacion si aplica.</t>
        </is>
      </c>
      <c r="V119" s="43" t="n"/>
      <c r="W119" s="43" t="n"/>
      <c r="X119" s="43" t="inlineStr">
        <is>
          <t>INFO</t>
        </is>
      </c>
      <c r="Y119" s="43" t="n"/>
      <c r="Z119" s="43" t="inlineStr">
        <is>
          <t>Pending Review</t>
        </is>
      </c>
      <c r="AA119" s="43" t="inlineStr">
        <is>
          <t>N</t>
        </is>
      </c>
      <c r="AB119" s="43" t="n"/>
      <c r="AC119" s="33" t="inlineStr">
        <is>
          <t xml:space="preserve">FUENTE: Deviation.csv filas 846; Item Number original=73-18490-09 (prefijo 73- es CANDIDATO de PCBA, no confirmacion en Common DB); Workflow de origen=Expired; FJZ no validado, revision PCBA/WO no informadas. </t>
        </is>
      </c>
    </row>
    <row r="120">
      <c r="A120" s="43" t="inlineStr">
        <is>
          <t>DA-CTANJZ04806-STBU-73-21007-02</t>
        </is>
      </c>
      <c r="B120" s="43" t="n"/>
      <c r="C120" s="43" t="n"/>
      <c r="D120" s="43" t="inlineStr">
        <is>
          <t>73-21007-02</t>
        </is>
      </c>
      <c r="E120" s="43" t="inlineStr">
        <is>
          <t>DEV-CTANJZ04806</t>
        </is>
      </c>
      <c r="F120" s="43" t="n"/>
      <c r="G120" s="43" t="inlineStr">
        <is>
          <t>STBU</t>
        </is>
      </c>
      <c r="H120" s="43" t="n"/>
      <c r="I120" s="43" t="n"/>
      <c r="J120" s="43" t="n"/>
      <c r="K120" s="43" t="n"/>
      <c r="L120" s="43" t="n"/>
      <c r="M120" s="43" t="n"/>
      <c r="N120" s="43" t="n"/>
      <c r="O120" s="43" t="n"/>
      <c r="P120" s="43" t="n"/>
      <c r="Q120" s="43" t="inlineStr">
        <is>
          <t>BOARD</t>
        </is>
      </c>
      <c r="R120" s="33" t="inlineStr">
        <is>
          <t>REVISAR D605896: verificar accion documentada, PN/revision y vigencia para la corrida. No autoriza sustitucion ni uso de material.</t>
        </is>
      </c>
      <c r="S120" s="43" t="inlineStr">
        <is>
          <t>INFO</t>
        </is>
      </c>
      <c r="T120" s="33" t="inlineStr">
        <is>
          <t>Validar desviacion aprobada y estado; contrastar PN exacto y revision con Common DB, BOM/AVL, WO y fecha de corrida.</t>
        </is>
      </c>
      <c r="U120" s="33" t="inlineStr">
        <is>
          <t>Documento oficial firmado, autorizacion FJZ, revision/WO de alcance, confirmacion BOM y evidencia de implementacion si aplica.</t>
        </is>
      </c>
      <c r="V120" s="43" t="n"/>
      <c r="W120" s="43" t="n"/>
      <c r="X120" s="43" t="inlineStr">
        <is>
          <t>INFO</t>
        </is>
      </c>
      <c r="Y120" s="43" t="n"/>
      <c r="Z120" s="43" t="inlineStr">
        <is>
          <t>Pending Review</t>
        </is>
      </c>
      <c r="AA120" s="43" t="inlineStr">
        <is>
          <t>N</t>
        </is>
      </c>
      <c r="AB120" s="43" t="n"/>
      <c r="AC120" s="33" t="inlineStr">
        <is>
          <t xml:space="preserve">FUENTE: Deviation.csv filas 847; Item Number original=73-21007-02 (prefijo 73- es CANDIDATO de PCBA, no confirmacion en Common DB); Workflow de origen=Expired; FJZ no validado, revision PCBA/WO no informadas. </t>
        </is>
      </c>
    </row>
    <row r="121">
      <c r="A121" s="43" t="inlineStr">
        <is>
          <t>DA-CTANJZ04854-CVEBU-73-102022-02</t>
        </is>
      </c>
      <c r="B121" s="43" t="inlineStr">
        <is>
          <t>BROOKLYN</t>
        </is>
      </c>
      <c r="C121" s="43" t="n"/>
      <c r="D121" s="43" t="inlineStr">
        <is>
          <t>73-102022-02</t>
        </is>
      </c>
      <c r="E121" s="43" t="inlineStr">
        <is>
          <t>DEV-CTANJZ04854</t>
        </is>
      </c>
      <c r="F121" s="43" t="n"/>
      <c r="G121" s="43" t="inlineStr">
        <is>
          <t>CVEBU</t>
        </is>
      </c>
      <c r="H121" s="43" t="n"/>
      <c r="I121" s="43" t="n"/>
      <c r="J121" s="43" t="n"/>
      <c r="K121" s="43" t="n"/>
      <c r="L121" s="43" t="n"/>
      <c r="M121" s="43" t="n"/>
      <c r="N121" s="43" t="n"/>
      <c r="O121" s="43" t="n"/>
      <c r="P121" s="43" t="n"/>
      <c r="Q121" s="43" t="inlineStr">
        <is>
          <t>BOARD</t>
        </is>
      </c>
      <c r="R121" s="33" t="inlineStr">
        <is>
          <t>REVISAR D606187: verificar accion documentada, PN/revision y vigencia para la corrida. No autoriza sustitucion ni uso de material.</t>
        </is>
      </c>
      <c r="S121" s="43" t="inlineStr">
        <is>
          <t>INFO</t>
        </is>
      </c>
      <c r="T121" s="33" t="inlineStr">
        <is>
          <t>Validar desviacion aprobada y estado; contrastar PN exacto y revision con Common DB, BOM/AVL, WO y fecha de corrida.</t>
        </is>
      </c>
      <c r="U121" s="33" t="inlineStr">
        <is>
          <t>Documento oficial firmado, autorizacion FJZ, revision/WO de alcance, confirmacion BOM y evidencia de implementacion si aplica.</t>
        </is>
      </c>
      <c r="V121" s="43" t="n"/>
      <c r="W121" s="43" t="n"/>
      <c r="X121" s="43" t="inlineStr">
        <is>
          <t>INFO</t>
        </is>
      </c>
      <c r="Y121" s="43" t="n"/>
      <c r="Z121" s="43" t="inlineStr">
        <is>
          <t>Pending Review</t>
        </is>
      </c>
      <c r="AA121" s="43" t="inlineStr">
        <is>
          <t>N</t>
        </is>
      </c>
      <c r="AB121" s="43" t="n"/>
      <c r="AC121" s="33" t="inlineStr">
        <is>
          <t xml:space="preserve">FUENTE: Deviation.csv filas 1627; Item Number original=73-102022-02 (prefijo 73- es CANDIDATO de PCBA, no confirmacion en Common DB); Workflow de origen=Expired; FJZ no validado, revision PCBA/WO no informadas. </t>
        </is>
      </c>
    </row>
    <row r="122">
      <c r="A122" s="43" t="inlineStr">
        <is>
          <t>DA-CTANJZ04854-CVEBU-73-104022-01</t>
        </is>
      </c>
      <c r="B122" s="43" t="n"/>
      <c r="C122" s="43" t="n"/>
      <c r="D122" s="43" t="inlineStr">
        <is>
          <t>73-104022-01</t>
        </is>
      </c>
      <c r="E122" s="43" t="inlineStr">
        <is>
          <t>DEV-CTANJZ04854</t>
        </is>
      </c>
      <c r="F122" s="43" t="n"/>
      <c r="G122" s="43" t="inlineStr">
        <is>
          <t>CVEBU</t>
        </is>
      </c>
      <c r="H122" s="43" t="n"/>
      <c r="I122" s="43" t="n"/>
      <c r="J122" s="43" t="n"/>
      <c r="K122" s="43" t="n"/>
      <c r="L122" s="43" t="n"/>
      <c r="M122" s="43" t="n"/>
      <c r="N122" s="43" t="n"/>
      <c r="O122" s="43" t="n"/>
      <c r="P122" s="43" t="n"/>
      <c r="Q122" s="43" t="inlineStr">
        <is>
          <t>BOARD</t>
        </is>
      </c>
      <c r="R122" s="33" t="inlineStr">
        <is>
          <t>REVISAR D606187: verificar accion documentada, PN/revision y vigencia para la corrida. No autoriza sustitucion ni uso de material.</t>
        </is>
      </c>
      <c r="S122" s="43" t="inlineStr">
        <is>
          <t>INFO</t>
        </is>
      </c>
      <c r="T122" s="33" t="inlineStr">
        <is>
          <t>Validar desviacion aprobada y estado; contrastar PN exacto y revision con Common DB, BOM/AVL, WO y fecha de corrida.</t>
        </is>
      </c>
      <c r="U122" s="33" t="inlineStr">
        <is>
          <t>Documento oficial firmado, autorizacion FJZ, revision/WO de alcance, confirmacion BOM y evidencia de implementacion si aplica.</t>
        </is>
      </c>
      <c r="V122" s="43" t="n"/>
      <c r="W122" s="43" t="n"/>
      <c r="X122" s="43" t="inlineStr">
        <is>
          <t>INFO</t>
        </is>
      </c>
      <c r="Y122" s="43" t="n"/>
      <c r="Z122" s="43" t="inlineStr">
        <is>
          <t>Pending Review</t>
        </is>
      </c>
      <c r="AA122" s="43" t="inlineStr">
        <is>
          <t>N</t>
        </is>
      </c>
      <c r="AB122" s="43" t="n"/>
      <c r="AC122" s="33" t="inlineStr">
        <is>
          <t xml:space="preserve">FUENTE: Deviation.csv filas 1628; Item Number original=73-104022-01 (prefijo 73- es CANDIDATO de PCBA, no confirmacion en Common DB); Workflow de origen=Expired; FJZ no validado, revision PCBA/WO no informadas. </t>
        </is>
      </c>
    </row>
    <row r="123">
      <c r="A123" s="43" t="inlineStr">
        <is>
          <t>DA-CTANJZ04862-STBU-73-21007-02</t>
        </is>
      </c>
      <c r="B123" s="43" t="n"/>
      <c r="C123" s="43" t="n"/>
      <c r="D123" s="43" t="inlineStr">
        <is>
          <t>73-21007-02</t>
        </is>
      </c>
      <c r="E123" s="43" t="inlineStr">
        <is>
          <t>DEV-CTANJZ04862</t>
        </is>
      </c>
      <c r="F123" s="43" t="n"/>
      <c r="G123" s="43" t="inlineStr">
        <is>
          <t>STBU</t>
        </is>
      </c>
      <c r="H123" s="43" t="n"/>
      <c r="I123" s="43" t="n"/>
      <c r="J123" s="43" t="n"/>
      <c r="K123" s="43" t="n"/>
      <c r="L123" s="43" t="n"/>
      <c r="M123" s="43" t="n"/>
      <c r="N123" s="43" t="n"/>
      <c r="O123" s="43" t="n"/>
      <c r="P123" s="43" t="n"/>
      <c r="Q123" s="43" t="inlineStr">
        <is>
          <t>BOARD</t>
        </is>
      </c>
      <c r="R123" s="33" t="inlineStr">
        <is>
          <t>REVISAR D606224: verificar accion documentada, PN/revision y vigencia para la corrida. No autoriza sustitucion ni uso de material.</t>
        </is>
      </c>
      <c r="S123" s="43" t="inlineStr">
        <is>
          <t>INFO</t>
        </is>
      </c>
      <c r="T123" s="33" t="inlineStr">
        <is>
          <t>Validar desviacion aprobada y estado; contrastar PN exacto y revision con Common DB, BOM/AVL, WO y fecha de corrida.</t>
        </is>
      </c>
      <c r="U123" s="33" t="inlineStr">
        <is>
          <t>Documento oficial firmado, autorizacion FJZ, revision/WO de alcance, confirmacion BOM y evidencia de implementacion si aplica.</t>
        </is>
      </c>
      <c r="V123" s="43" t="n"/>
      <c r="W123" s="43" t="n"/>
      <c r="X123" s="43" t="inlineStr">
        <is>
          <t>INFO</t>
        </is>
      </c>
      <c r="Y123" s="43" t="n"/>
      <c r="Z123" s="43" t="inlineStr">
        <is>
          <t>Pending Review</t>
        </is>
      </c>
      <c r="AA123" s="43" t="inlineStr">
        <is>
          <t>N</t>
        </is>
      </c>
      <c r="AB123" s="43" t="n"/>
      <c r="AC123" s="33" t="inlineStr">
        <is>
          <t xml:space="preserve">FUENTE: Deviation.csv filas 1771; Item Number original=73-21007-02 (prefijo 73- es CANDIDATO de PCBA, no confirmacion en Common DB); Workflow de origen=Expired; FJZ no validado, revision PCBA/WO no informadas. </t>
        </is>
      </c>
    </row>
    <row r="124">
      <c r="A124" s="43" t="inlineStr">
        <is>
          <t>DA-CTANJZ04865-STBU-73-103633-04</t>
        </is>
      </c>
      <c r="B124" s="43" t="n"/>
      <c r="C124" s="43" t="n"/>
      <c r="D124" s="43" t="inlineStr">
        <is>
          <t>73-103633-04</t>
        </is>
      </c>
      <c r="E124" s="43" t="inlineStr">
        <is>
          <t>DEV-CTANJZ04865</t>
        </is>
      </c>
      <c r="F124" s="43" t="n"/>
      <c r="G124" s="43" t="inlineStr">
        <is>
          <t>STBU</t>
        </is>
      </c>
      <c r="H124" s="43" t="n"/>
      <c r="I124" s="43" t="n"/>
      <c r="J124" s="43" t="n"/>
      <c r="K124" s="43" t="n"/>
      <c r="L124" s="43" t="n"/>
      <c r="M124" s="43" t="n"/>
      <c r="N124" s="43" t="n"/>
      <c r="O124" s="43" t="n"/>
      <c r="P124" s="43" t="n"/>
      <c r="Q124" s="43" t="inlineStr">
        <is>
          <t>BOARD</t>
        </is>
      </c>
      <c r="R124" s="33" t="inlineStr">
        <is>
          <t>REVISAR D606401: verificar accion documentada, PN/revision y vigencia para la corrida. No autoriza sustitucion ni uso de material.</t>
        </is>
      </c>
      <c r="S124" s="43" t="inlineStr">
        <is>
          <t>INFO</t>
        </is>
      </c>
      <c r="T124" s="33" t="inlineStr">
        <is>
          <t>Validar desviacion aprobada y estado; contrastar PN exacto y revision con Common DB, BOM/AVL, WO y fecha de corrida.</t>
        </is>
      </c>
      <c r="U124" s="33" t="inlineStr">
        <is>
          <t>Documento oficial firmado, autorizacion FJZ, revision/WO de alcance, confirmacion BOM y evidencia de implementacion si aplica.</t>
        </is>
      </c>
      <c r="V124" s="43" t="n"/>
      <c r="W124" s="43" t="n"/>
      <c r="X124" s="43" t="inlineStr">
        <is>
          <t>INFO</t>
        </is>
      </c>
      <c r="Y124" s="43" t="n"/>
      <c r="Z124" s="43" t="inlineStr">
        <is>
          <t>Pending Review</t>
        </is>
      </c>
      <c r="AA124" s="43" t="inlineStr">
        <is>
          <t>N</t>
        </is>
      </c>
      <c r="AB124" s="43" t="n"/>
      <c r="AC124" s="33" t="inlineStr">
        <is>
          <t xml:space="preserve">FUENTE: Deviation.csv filas 963; Item Number original=73-103633-04 (prefijo 73- es CANDIDATO de PCBA, no confirmacion en Common DB); Workflow de origen=Expired; FJZ no validado, revision PCBA/WO no informadas. </t>
        </is>
      </c>
    </row>
    <row r="125">
      <c r="A125" s="43" t="inlineStr">
        <is>
          <t>DA-CTANJZ04881-STBU-73-103558-04</t>
        </is>
      </c>
      <c r="B125" s="43" t="n"/>
      <c r="C125" s="43" t="n"/>
      <c r="D125" s="43" t="inlineStr">
        <is>
          <t>73-103558-04</t>
        </is>
      </c>
      <c r="E125" s="43" t="inlineStr">
        <is>
          <t>DEV-CTANJZ04881</t>
        </is>
      </c>
      <c r="F125" s="43" t="n"/>
      <c r="G125" s="43" t="inlineStr">
        <is>
          <t>STBU</t>
        </is>
      </c>
      <c r="H125" s="43" t="n"/>
      <c r="I125" s="43" t="n"/>
      <c r="J125" s="43" t="n"/>
      <c r="K125" s="43" t="n"/>
      <c r="L125" s="43" t="n"/>
      <c r="M125" s="43" t="n"/>
      <c r="N125" s="43" t="n"/>
      <c r="O125" s="43" t="n"/>
      <c r="P125" s="43" t="n"/>
      <c r="Q125" s="43" t="inlineStr">
        <is>
          <t>BOARD</t>
        </is>
      </c>
      <c r="R125" s="33" t="inlineStr">
        <is>
          <t>REVISAR D606269: verificar accion documentada, PN/revision y vigencia para la corrida. No autoriza sustitucion ni uso de material.</t>
        </is>
      </c>
      <c r="S125" s="43" t="inlineStr">
        <is>
          <t>INFO</t>
        </is>
      </c>
      <c r="T125" s="33" t="inlineStr">
        <is>
          <t>Validar desviacion aprobada y estado; contrastar PN exacto y revision con Common DB, BOM/AVL, WO y fecha de corrida.</t>
        </is>
      </c>
      <c r="U125" s="33" t="inlineStr">
        <is>
          <t>Documento oficial firmado, autorizacion FJZ, revision/WO de alcance, confirmacion BOM y evidencia de implementacion si aplica.</t>
        </is>
      </c>
      <c r="V125" s="43" t="n"/>
      <c r="W125" s="43" t="n"/>
      <c r="X125" s="43" t="inlineStr">
        <is>
          <t>INFO</t>
        </is>
      </c>
      <c r="Y125" s="43" t="n"/>
      <c r="Z125" s="43" t="inlineStr">
        <is>
          <t>Pending Review</t>
        </is>
      </c>
      <c r="AA125" s="43" t="inlineStr">
        <is>
          <t>N</t>
        </is>
      </c>
      <c r="AB125" s="43" t="n"/>
      <c r="AC125" s="33" t="inlineStr">
        <is>
          <t xml:space="preserve">FUENTE: Deviation.csv filas 905; Item Number original=73-103558-04 (prefijo 73- es CANDIDATO de PCBA, no confirmacion en Common DB); Workflow de origen=Expired; FJZ no validado, revision PCBA/WO no informadas. </t>
        </is>
      </c>
    </row>
    <row r="126">
      <c r="A126" s="43" t="inlineStr">
        <is>
          <t>DA-CTANJZ04884-CVEBU-73-103922-04</t>
        </is>
      </c>
      <c r="B126" s="43" t="n"/>
      <c r="C126" s="43" t="n"/>
      <c r="D126" s="43" t="inlineStr">
        <is>
          <t>73-103922-04</t>
        </is>
      </c>
      <c r="E126" s="43" t="inlineStr">
        <is>
          <t>DEV-CTANJZ04884</t>
        </is>
      </c>
      <c r="F126" s="43" t="n"/>
      <c r="G126" s="43" t="inlineStr">
        <is>
          <t>CVEBU</t>
        </is>
      </c>
      <c r="H126" s="43" t="n"/>
      <c r="I126" s="43" t="n"/>
      <c r="J126" s="43" t="n"/>
      <c r="K126" s="43" t="n"/>
      <c r="L126" s="43" t="n"/>
      <c r="M126" s="43" t="n"/>
      <c r="N126" s="43" t="n"/>
      <c r="O126" s="43" t="n"/>
      <c r="P126" s="43" t="n"/>
      <c r="Q126" s="43" t="inlineStr">
        <is>
          <t>BOARD</t>
        </is>
      </c>
      <c r="R126" s="33" t="inlineStr">
        <is>
          <t>REVISAR D606680: verificar accion documentada, PN/revision y vigencia para la corrida. No autoriza sustitucion ni uso de material.</t>
        </is>
      </c>
      <c r="S126" s="43" t="inlineStr">
        <is>
          <t>INFO</t>
        </is>
      </c>
      <c r="T126" s="33" t="inlineStr">
        <is>
          <t>Validar desviacion aprobada y estado; contrastar PN exacto y revision con Common DB, BOM/AVL, WO y fecha de corrida.</t>
        </is>
      </c>
      <c r="U126" s="33" t="inlineStr">
        <is>
          <t>Documento oficial firmado, autorizacion FJZ, revision/WO de alcance, confirmacion BOM y evidencia de implementacion si aplica.</t>
        </is>
      </c>
      <c r="V126" s="43" t="n"/>
      <c r="W126" s="43" t="n"/>
      <c r="X126" s="43" t="inlineStr">
        <is>
          <t>INFO</t>
        </is>
      </c>
      <c r="Y126" s="43" t="n"/>
      <c r="Z126" s="43" t="inlineStr">
        <is>
          <t>Pending Review</t>
        </is>
      </c>
      <c r="AA126" s="43" t="inlineStr">
        <is>
          <t>N</t>
        </is>
      </c>
      <c r="AB126" s="43" t="n"/>
      <c r="AC126" s="33" t="inlineStr">
        <is>
          <t xml:space="preserve">FUENTE: Deviation.csv filas 441; Item Number original=73-103922-04 (prefijo 73- es CANDIDATO de PCBA, no confirmacion en Common DB); Workflow de origen=Expired; FJZ no validado, revision PCBA/WO no informadas. </t>
        </is>
      </c>
    </row>
    <row r="127">
      <c r="A127" s="43" t="inlineStr">
        <is>
          <t>DA-CTANJZ04886-STBU-73-102435-05</t>
        </is>
      </c>
      <c r="B127" s="43" t="n"/>
      <c r="C127" s="43" t="n"/>
      <c r="D127" s="43" t="inlineStr">
        <is>
          <t>73-102435-05</t>
        </is>
      </c>
      <c r="E127" s="43" t="inlineStr">
        <is>
          <t>DEV-CTANJZ04886</t>
        </is>
      </c>
      <c r="F127" s="43" t="n"/>
      <c r="G127" s="43" t="inlineStr">
        <is>
          <t>STBU</t>
        </is>
      </c>
      <c r="H127" s="43" t="n"/>
      <c r="I127" s="43" t="n"/>
      <c r="J127" s="43" t="n"/>
      <c r="K127" s="43" t="n"/>
      <c r="L127" s="43" t="n"/>
      <c r="M127" s="43" t="n"/>
      <c r="N127" s="43" t="n"/>
      <c r="O127" s="43" t="n"/>
      <c r="P127" s="43" t="n"/>
      <c r="Q127" s="43" t="inlineStr">
        <is>
          <t>BOARD</t>
        </is>
      </c>
      <c r="R127" s="33" t="inlineStr">
        <is>
          <t>REVISAR D606659: verificar accion documentada, PN/revision y vigencia para la corrida. No autoriza sustitucion ni uso de material.</t>
        </is>
      </c>
      <c r="S127" s="43" t="inlineStr">
        <is>
          <t>INFO</t>
        </is>
      </c>
      <c r="T127" s="33" t="inlineStr">
        <is>
          <t>Validar desviacion aprobada y estado; contrastar PN exacto y revision con Common DB, BOM/AVL, WO y fecha de corrida.</t>
        </is>
      </c>
      <c r="U127" s="33" t="inlineStr">
        <is>
          <t>Documento oficial firmado, autorizacion FJZ, revision/WO de alcance, confirmacion BOM y evidencia de implementacion si aplica.</t>
        </is>
      </c>
      <c r="V127" s="43" t="n"/>
      <c r="W127" s="43" t="n"/>
      <c r="X127" s="43" t="inlineStr">
        <is>
          <t>INFO</t>
        </is>
      </c>
      <c r="Y127" s="43" t="n"/>
      <c r="Z127" s="43" t="inlineStr">
        <is>
          <t>Pending Review</t>
        </is>
      </c>
      <c r="AA127" s="43" t="inlineStr">
        <is>
          <t>N</t>
        </is>
      </c>
      <c r="AB127" s="43" t="n"/>
      <c r="AC127" s="33" t="inlineStr">
        <is>
          <t xml:space="preserve">FUENTE: Deviation.csv filas 1441; Item Number original=73-102435-05 (prefijo 73- es CANDIDATO de PCBA, no confirmacion en Common DB); Workflow de origen=Expired; FJZ no validado, revision PCBA/WO no informadas. </t>
        </is>
      </c>
    </row>
    <row r="128">
      <c r="A128" s="43" t="inlineStr">
        <is>
          <t>DA-CTANJZ04887-STBU-73-103633-04</t>
        </is>
      </c>
      <c r="B128" s="43" t="n"/>
      <c r="C128" s="43" t="n"/>
      <c r="D128" s="43" t="inlineStr">
        <is>
          <t>73-103633-04</t>
        </is>
      </c>
      <c r="E128" s="43" t="inlineStr">
        <is>
          <t>DEV-CTANJZ04887</t>
        </is>
      </c>
      <c r="F128" s="43" t="n"/>
      <c r="G128" s="43" t="inlineStr">
        <is>
          <t>STBU</t>
        </is>
      </c>
      <c r="H128" s="43" t="n"/>
      <c r="I128" s="43" t="n"/>
      <c r="J128" s="43" t="n"/>
      <c r="K128" s="43" t="n"/>
      <c r="L128" s="43" t="n"/>
      <c r="M128" s="43" t="n"/>
      <c r="N128" s="43" t="n"/>
      <c r="O128" s="43" t="n"/>
      <c r="P128" s="43" t="n"/>
      <c r="Q128" s="43" t="inlineStr">
        <is>
          <t>BOARD</t>
        </is>
      </c>
      <c r="R128" s="33" t="inlineStr">
        <is>
          <t>REVISAR D606802: verificar accion documentada, PN/revision y vigencia para la corrida. No autoriza sustitucion ni uso de material.</t>
        </is>
      </c>
      <c r="S128" s="43" t="inlineStr">
        <is>
          <t>INFO</t>
        </is>
      </c>
      <c r="T128" s="33" t="inlineStr">
        <is>
          <t>Validar desviacion aprobada y estado; contrastar PN exacto y revision con Common DB, BOM/AVL, WO y fecha de corrida.</t>
        </is>
      </c>
      <c r="U128" s="33" t="inlineStr">
        <is>
          <t>Documento oficial firmado, autorizacion FJZ, revision/WO de alcance, confirmacion BOM y evidencia de implementacion si aplica.</t>
        </is>
      </c>
      <c r="V128" s="43" t="n"/>
      <c r="W128" s="43" t="n"/>
      <c r="X128" s="43" t="inlineStr">
        <is>
          <t>INFO</t>
        </is>
      </c>
      <c r="Y128" s="43" t="n"/>
      <c r="Z128" s="43" t="inlineStr">
        <is>
          <t>Pending Review</t>
        </is>
      </c>
      <c r="AA128" s="43" t="inlineStr">
        <is>
          <t>N</t>
        </is>
      </c>
      <c r="AB128" s="43" t="n"/>
      <c r="AC128" s="33" t="inlineStr">
        <is>
          <t xml:space="preserve">FUENTE: Deviation.csv filas 942; Item Number original=73-103633-04 (prefijo 73- es CANDIDATO de PCBA, no confirmacion en Common DB); Workflow de origen=Expired; FJZ no validado, revision PCBA/WO no informadas. </t>
        </is>
      </c>
    </row>
    <row r="129">
      <c r="A129" s="43" t="inlineStr">
        <is>
          <t>DA-CTANJZ04892-CVEBU-73-102197-02</t>
        </is>
      </c>
      <c r="B129" s="43" t="n"/>
      <c r="C129" s="43" t="n"/>
      <c r="D129" s="43" t="inlineStr">
        <is>
          <t>73-102197-02</t>
        </is>
      </c>
      <c r="E129" s="43" t="inlineStr">
        <is>
          <t>DEV-CTANJZ04892</t>
        </is>
      </c>
      <c r="F129" s="43" t="n"/>
      <c r="G129" s="43" t="inlineStr">
        <is>
          <t>CVEBU</t>
        </is>
      </c>
      <c r="H129" s="43" t="n"/>
      <c r="I129" s="43" t="n"/>
      <c r="J129" s="43" t="n"/>
      <c r="K129" s="43" t="n"/>
      <c r="L129" s="43" t="n"/>
      <c r="M129" s="43" t="n"/>
      <c r="N129" s="43" t="n"/>
      <c r="O129" s="43" t="n"/>
      <c r="P129" s="43" t="n"/>
      <c r="Q129" s="43" t="inlineStr">
        <is>
          <t>BOARD</t>
        </is>
      </c>
      <c r="R129" s="33" t="inlineStr">
        <is>
          <t>REVISAR D606672: verificar accion documentada, PN/revision y vigencia para la corrida. No autoriza sustitucion ni uso de material.</t>
        </is>
      </c>
      <c r="S129" s="43" t="inlineStr">
        <is>
          <t>INFO</t>
        </is>
      </c>
      <c r="T129" s="33" t="inlineStr">
        <is>
          <t>Validar desviacion aprobada y estado; contrastar PN exacto y revision con Common DB, BOM/AVL, WO y fecha de corrida.</t>
        </is>
      </c>
      <c r="U129" s="33" t="inlineStr">
        <is>
          <t>Documento oficial firmado, autorizacion FJZ, revision/WO de alcance, confirmacion BOM y evidencia de implementacion si aplica.</t>
        </is>
      </c>
      <c r="V129" s="43" t="n"/>
      <c r="W129" s="43" t="n"/>
      <c r="X129" s="43" t="inlineStr">
        <is>
          <t>INFO</t>
        </is>
      </c>
      <c r="Y129" s="43" t="n"/>
      <c r="Z129" s="43" t="inlineStr">
        <is>
          <t>Pending Review</t>
        </is>
      </c>
      <c r="AA129" s="43" t="inlineStr">
        <is>
          <t>N</t>
        </is>
      </c>
      <c r="AB129" s="43" t="n"/>
      <c r="AC129" s="33" t="inlineStr">
        <is>
          <t xml:space="preserve">FUENTE: Deviation.csv filas 160; Item Number original=73-102197-02 (prefijo 73- es CANDIDATO de PCBA, no confirmacion en Common DB); Workflow de origen=Expired; FJZ no validado, revision PCBA/WO no informadas. </t>
        </is>
      </c>
    </row>
    <row r="130">
      <c r="A130" s="43" t="inlineStr">
        <is>
          <t>DA-CTANJZ04896-STBU-73-20249-05</t>
        </is>
      </c>
      <c r="B130" s="43" t="n"/>
      <c r="C130" s="43" t="n"/>
      <c r="D130" s="43" t="inlineStr">
        <is>
          <t>73-20249-05</t>
        </is>
      </c>
      <c r="E130" s="43" t="inlineStr">
        <is>
          <t>DEV-CTANJZ04896</t>
        </is>
      </c>
      <c r="F130" s="43" t="n"/>
      <c r="G130" s="43" t="inlineStr">
        <is>
          <t>STBU</t>
        </is>
      </c>
      <c r="H130" s="43" t="n"/>
      <c r="I130" s="43" t="n"/>
      <c r="J130" s="43" t="n"/>
      <c r="K130" s="43" t="n"/>
      <c r="L130" s="43" t="n"/>
      <c r="M130" s="43" t="n"/>
      <c r="N130" s="43" t="n"/>
      <c r="O130" s="43" t="n"/>
      <c r="P130" s="43" t="n"/>
      <c r="Q130" s="43" t="inlineStr">
        <is>
          <t>BOARD</t>
        </is>
      </c>
      <c r="R130" s="33" t="inlineStr">
        <is>
          <t>REVISAR D605020: verificar accion documentada, PN/revision y vigencia para la corrida. No autoriza sustitucion ni uso de material.</t>
        </is>
      </c>
      <c r="S130" s="43" t="inlineStr">
        <is>
          <t>INFO</t>
        </is>
      </c>
      <c r="T130" s="33" t="inlineStr">
        <is>
          <t>Validar desviacion aprobada y estado; contrastar PN exacto y revision con Common DB, BOM/AVL, WO y fecha de corrida.</t>
        </is>
      </c>
      <c r="U130" s="33" t="inlineStr">
        <is>
          <t>Documento oficial firmado, autorizacion FJZ, revision/WO de alcance, confirmacion BOM y evidencia de implementacion si aplica.</t>
        </is>
      </c>
      <c r="V130" s="43" t="n"/>
      <c r="W130" s="43" t="n"/>
      <c r="X130" s="43" t="inlineStr">
        <is>
          <t>INFO</t>
        </is>
      </c>
      <c r="Y130" s="43" t="n"/>
      <c r="Z130" s="43" t="inlineStr">
        <is>
          <t>Pending Review</t>
        </is>
      </c>
      <c r="AA130" s="43" t="inlineStr">
        <is>
          <t>N</t>
        </is>
      </c>
      <c r="AB130" s="43" t="n"/>
      <c r="AC130" s="33" t="inlineStr">
        <is>
          <t xml:space="preserve">FUENTE: Deviation.csv filas 44; Item Number original=73-20249-05 (prefijo 73- es CANDIDATO de PCBA, no confirmacion en Common DB); Workflow de origen=Expired; FJZ no validado, revision PCBA/WO no informadas. </t>
        </is>
      </c>
    </row>
    <row r="131">
      <c r="A131" s="43" t="inlineStr">
        <is>
          <t>DA-CTANJZ04899-STBU-73-17497-04</t>
        </is>
      </c>
      <c r="B131" s="43" t="n"/>
      <c r="C131" s="43" t="n"/>
      <c r="D131" s="43" t="inlineStr">
        <is>
          <t>73-17497-04</t>
        </is>
      </c>
      <c r="E131" s="43" t="inlineStr">
        <is>
          <t>DEV-CTANJZ04899</t>
        </is>
      </c>
      <c r="F131" s="43" t="n"/>
      <c r="G131" s="43" t="inlineStr">
        <is>
          <t>STBU</t>
        </is>
      </c>
      <c r="H131" s="43" t="n"/>
      <c r="I131" s="43" t="n"/>
      <c r="J131" s="43" t="n"/>
      <c r="K131" s="43" t="n"/>
      <c r="L131" s="43" t="n"/>
      <c r="M131" s="43" t="n"/>
      <c r="N131" s="43" t="n"/>
      <c r="O131" s="43" t="n"/>
      <c r="P131" s="43" t="n"/>
      <c r="Q131" s="43" t="inlineStr">
        <is>
          <t>BOARD</t>
        </is>
      </c>
      <c r="R131" s="33" t="inlineStr">
        <is>
          <t>REVISAR D606900: verificar accion documentada, PN/revision y vigencia para la corrida. No autoriza sustitucion ni uso de material.</t>
        </is>
      </c>
      <c r="S131" s="43" t="inlineStr">
        <is>
          <t>INFO</t>
        </is>
      </c>
      <c r="T131" s="33" t="inlineStr">
        <is>
          <t>Validar desviacion aprobada y estado; contrastar PN exacto y revision con Common DB, BOM/AVL, WO y fecha de corrida.</t>
        </is>
      </c>
      <c r="U131" s="33" t="inlineStr">
        <is>
          <t>Documento oficial firmado, autorizacion FJZ, revision/WO de alcance, confirmacion BOM y evidencia de implementacion si aplica.</t>
        </is>
      </c>
      <c r="V131" s="43" t="n"/>
      <c r="W131" s="43" t="n"/>
      <c r="X131" s="43" t="inlineStr">
        <is>
          <t>INFO</t>
        </is>
      </c>
      <c r="Y131" s="43" t="n"/>
      <c r="Z131" s="43" t="inlineStr">
        <is>
          <t>Pending Review</t>
        </is>
      </c>
      <c r="AA131" s="43" t="inlineStr">
        <is>
          <t>N</t>
        </is>
      </c>
      <c r="AB131" s="43" t="n"/>
      <c r="AC131" s="33" t="inlineStr">
        <is>
          <t xml:space="preserve">FUENTE: Deviation.csv filas 853; Item Number original=73-17497-04 (prefijo 73- es CANDIDATO de PCBA, no confirmacion en Common DB); Workflow de origen=Expired; FJZ no validado, revision PCBA/WO no informadas. </t>
        </is>
      </c>
    </row>
    <row r="132">
      <c r="A132" s="43" t="inlineStr">
        <is>
          <t>DA-CTANJZ04899-STBU-73-17498-04</t>
        </is>
      </c>
      <c r="B132" s="43" t="n"/>
      <c r="C132" s="43" t="n"/>
      <c r="D132" s="43" t="inlineStr">
        <is>
          <t>73-17498-04</t>
        </is>
      </c>
      <c r="E132" s="43" t="inlineStr">
        <is>
          <t>DEV-CTANJZ04899</t>
        </is>
      </c>
      <c r="F132" s="43" t="n"/>
      <c r="G132" s="43" t="inlineStr">
        <is>
          <t>STBU</t>
        </is>
      </c>
      <c r="H132" s="43" t="n"/>
      <c r="I132" s="43" t="n"/>
      <c r="J132" s="43" t="n"/>
      <c r="K132" s="43" t="n"/>
      <c r="L132" s="43" t="n"/>
      <c r="M132" s="43" t="n"/>
      <c r="N132" s="43" t="n"/>
      <c r="O132" s="43" t="n"/>
      <c r="P132" s="43" t="n"/>
      <c r="Q132" s="43" t="inlineStr">
        <is>
          <t>BOARD</t>
        </is>
      </c>
      <c r="R132" s="33" t="inlineStr">
        <is>
          <t>REVISAR D606900: verificar accion documentada, PN/revision y vigencia para la corrida. No autoriza sustitucion ni uso de material.</t>
        </is>
      </c>
      <c r="S132" s="43" t="inlineStr">
        <is>
          <t>INFO</t>
        </is>
      </c>
      <c r="T132" s="33" t="inlineStr">
        <is>
          <t>Validar desviacion aprobada y estado; contrastar PN exacto y revision con Common DB, BOM/AVL, WO y fecha de corrida.</t>
        </is>
      </c>
      <c r="U132" s="33" t="inlineStr">
        <is>
          <t>Documento oficial firmado, autorizacion FJZ, revision/WO de alcance, confirmacion BOM y evidencia de implementacion si aplica.</t>
        </is>
      </c>
      <c r="V132" s="43" t="n"/>
      <c r="W132" s="43" t="n"/>
      <c r="X132" s="43" t="inlineStr">
        <is>
          <t>INFO</t>
        </is>
      </c>
      <c r="Y132" s="43" t="n"/>
      <c r="Z132" s="43" t="inlineStr">
        <is>
          <t>Pending Review</t>
        </is>
      </c>
      <c r="AA132" s="43" t="inlineStr">
        <is>
          <t>N</t>
        </is>
      </c>
      <c r="AB132" s="43" t="n"/>
      <c r="AC132" s="33" t="inlineStr">
        <is>
          <t xml:space="preserve">FUENTE: Deviation.csv filas 854; Item Number original=73-17498-04 (prefijo 73- es CANDIDATO de PCBA, no confirmacion en Common DB); Workflow de origen=Expired; FJZ no validado, revision PCBA/WO no informadas. </t>
        </is>
      </c>
    </row>
    <row r="133">
      <c r="A133" s="43" t="inlineStr">
        <is>
          <t>DA-CTANJZ04899-STBU-73-17499-07</t>
        </is>
      </c>
      <c r="B133" s="43" t="n"/>
      <c r="C133" s="43" t="n"/>
      <c r="D133" s="43" t="inlineStr">
        <is>
          <t>73-17499-07</t>
        </is>
      </c>
      <c r="E133" s="43" t="inlineStr">
        <is>
          <t>DEV-CTANJZ04899</t>
        </is>
      </c>
      <c r="F133" s="43" t="n"/>
      <c r="G133" s="43" t="inlineStr">
        <is>
          <t>STBU</t>
        </is>
      </c>
      <c r="H133" s="43" t="n"/>
      <c r="I133" s="43" t="n"/>
      <c r="J133" s="43" t="n"/>
      <c r="K133" s="43" t="n"/>
      <c r="L133" s="43" t="n"/>
      <c r="M133" s="43" t="n"/>
      <c r="N133" s="43" t="n"/>
      <c r="O133" s="43" t="n"/>
      <c r="P133" s="43" t="n"/>
      <c r="Q133" s="43" t="inlineStr">
        <is>
          <t>BOARD</t>
        </is>
      </c>
      <c r="R133" s="33" t="inlineStr">
        <is>
          <t>REVISAR D606900: verificar accion documentada, PN/revision y vigencia para la corrida. No autoriza sustitucion ni uso de material.</t>
        </is>
      </c>
      <c r="S133" s="43" t="inlineStr">
        <is>
          <t>INFO</t>
        </is>
      </c>
      <c r="T133" s="33" t="inlineStr">
        <is>
          <t>Validar desviacion aprobada y estado; contrastar PN exacto y revision con Common DB, BOM/AVL, WO y fecha de corrida.</t>
        </is>
      </c>
      <c r="U133" s="33" t="inlineStr">
        <is>
          <t>Documento oficial firmado, autorizacion FJZ, revision/WO de alcance, confirmacion BOM y evidencia de implementacion si aplica.</t>
        </is>
      </c>
      <c r="V133" s="43" t="n"/>
      <c r="W133" s="43" t="n"/>
      <c r="X133" s="43" t="inlineStr">
        <is>
          <t>INFO</t>
        </is>
      </c>
      <c r="Y133" s="43" t="n"/>
      <c r="Z133" s="43" t="inlineStr">
        <is>
          <t>Pending Review</t>
        </is>
      </c>
      <c r="AA133" s="43" t="inlineStr">
        <is>
          <t>N</t>
        </is>
      </c>
      <c r="AB133" s="43" t="n"/>
      <c r="AC133" s="33" t="inlineStr">
        <is>
          <t xml:space="preserve">FUENTE: Deviation.csv filas 855; Item Number original=73-17499-07 (prefijo 73- es CANDIDATO de PCBA, no confirmacion en Common DB); Workflow de origen=Expired; FJZ no validado, revision PCBA/WO no informadas. </t>
        </is>
      </c>
    </row>
    <row r="134">
      <c r="A134" s="43" t="inlineStr">
        <is>
          <t>DA-CTANJZ04899-STBU-73-17510-02</t>
        </is>
      </c>
      <c r="B134" s="43" t="n"/>
      <c r="C134" s="43" t="n"/>
      <c r="D134" s="43" t="inlineStr">
        <is>
          <t>73-17510-02</t>
        </is>
      </c>
      <c r="E134" s="43" t="inlineStr">
        <is>
          <t>DEV-CTANJZ04899</t>
        </is>
      </c>
      <c r="F134" s="43" t="n"/>
      <c r="G134" s="43" t="inlineStr">
        <is>
          <t>STBU</t>
        </is>
      </c>
      <c r="H134" s="43" t="n"/>
      <c r="I134" s="43" t="n"/>
      <c r="J134" s="43" t="n"/>
      <c r="K134" s="43" t="n"/>
      <c r="L134" s="43" t="n"/>
      <c r="M134" s="43" t="n"/>
      <c r="N134" s="43" t="n"/>
      <c r="O134" s="43" t="n"/>
      <c r="P134" s="43" t="n"/>
      <c r="Q134" s="43" t="inlineStr">
        <is>
          <t>BOARD</t>
        </is>
      </c>
      <c r="R134" s="33" t="inlineStr">
        <is>
          <t>REVISAR D606900: verificar accion documentada, PN/revision y vigencia para la corrida. No autoriza sustitucion ni uso de material.</t>
        </is>
      </c>
      <c r="S134" s="43" t="inlineStr">
        <is>
          <t>INFO</t>
        </is>
      </c>
      <c r="T134" s="33" t="inlineStr">
        <is>
          <t>Validar desviacion aprobada y estado; contrastar PN exacto y revision con Common DB, BOM/AVL, WO y fecha de corrida.</t>
        </is>
      </c>
      <c r="U134" s="33" t="inlineStr">
        <is>
          <t>Documento oficial firmado, autorizacion FJZ, revision/WO de alcance, confirmacion BOM y evidencia de implementacion si aplica.</t>
        </is>
      </c>
      <c r="V134" s="43" t="n"/>
      <c r="W134" s="43" t="n"/>
      <c r="X134" s="43" t="inlineStr">
        <is>
          <t>INFO</t>
        </is>
      </c>
      <c r="Y134" s="43" t="n"/>
      <c r="Z134" s="43" t="inlineStr">
        <is>
          <t>Pending Review</t>
        </is>
      </c>
      <c r="AA134" s="43" t="inlineStr">
        <is>
          <t>N</t>
        </is>
      </c>
      <c r="AB134" s="43" t="n"/>
      <c r="AC134" s="33" t="inlineStr">
        <is>
          <t xml:space="preserve">FUENTE: Deviation.csv filas 856; Item Number original=73-17510-02 (prefijo 73- es CANDIDATO de PCBA, no confirmacion en Common DB); Workflow de origen=Expired; FJZ no validado, revision PCBA/WO no informadas. </t>
        </is>
      </c>
    </row>
    <row r="135">
      <c r="A135" s="43" t="inlineStr">
        <is>
          <t>DA-CTANJZ04899-STBU-73-17514-02</t>
        </is>
      </c>
      <c r="B135" s="43" t="n"/>
      <c r="C135" s="43" t="n"/>
      <c r="D135" s="43" t="inlineStr">
        <is>
          <t>73-17514-02</t>
        </is>
      </c>
      <c r="E135" s="43" t="inlineStr">
        <is>
          <t>DEV-CTANJZ04899</t>
        </is>
      </c>
      <c r="F135" s="43" t="n"/>
      <c r="G135" s="43" t="inlineStr">
        <is>
          <t>STBU</t>
        </is>
      </c>
      <c r="H135" s="43" t="n"/>
      <c r="I135" s="43" t="n"/>
      <c r="J135" s="43" t="n"/>
      <c r="K135" s="43" t="n"/>
      <c r="L135" s="43" t="n"/>
      <c r="M135" s="43" t="n"/>
      <c r="N135" s="43" t="n"/>
      <c r="O135" s="43" t="n"/>
      <c r="P135" s="43" t="n"/>
      <c r="Q135" s="43" t="inlineStr">
        <is>
          <t>BOARD</t>
        </is>
      </c>
      <c r="R135" s="33" t="inlineStr">
        <is>
          <t>REVISAR D606900: verificar accion documentada, PN/revision y vigencia para la corrida. No autoriza sustitucion ni uso de material.</t>
        </is>
      </c>
      <c r="S135" s="43" t="inlineStr">
        <is>
          <t>INFO</t>
        </is>
      </c>
      <c r="T135" s="33" t="inlineStr">
        <is>
          <t>Validar desviacion aprobada y estado; contrastar PN exacto y revision con Common DB, BOM/AVL, WO y fecha de corrida.</t>
        </is>
      </c>
      <c r="U135" s="33" t="inlineStr">
        <is>
          <t>Documento oficial firmado, autorizacion FJZ, revision/WO de alcance, confirmacion BOM y evidencia de implementacion si aplica.</t>
        </is>
      </c>
      <c r="V135" s="43" t="n"/>
      <c r="W135" s="43" t="n"/>
      <c r="X135" s="43" t="inlineStr">
        <is>
          <t>INFO</t>
        </is>
      </c>
      <c r="Y135" s="43" t="n"/>
      <c r="Z135" s="43" t="inlineStr">
        <is>
          <t>Pending Review</t>
        </is>
      </c>
      <c r="AA135" s="43" t="inlineStr">
        <is>
          <t>N</t>
        </is>
      </c>
      <c r="AB135" s="43" t="n"/>
      <c r="AC135" s="33" t="inlineStr">
        <is>
          <t xml:space="preserve">FUENTE: Deviation.csv filas 857; Item Number original=73-17514-02 (prefijo 73- es CANDIDATO de PCBA, no confirmacion en Common DB); Workflow de origen=Expired; FJZ no validado, revision PCBA/WO no informadas. </t>
        </is>
      </c>
    </row>
    <row r="136">
      <c r="A136" s="43" t="inlineStr">
        <is>
          <t>DA-CTANJZ04899-STBU-73-17530-02</t>
        </is>
      </c>
      <c r="B136" s="43" t="n"/>
      <c r="C136" s="43" t="n"/>
      <c r="D136" s="43" t="inlineStr">
        <is>
          <t>73-17530-02</t>
        </is>
      </c>
      <c r="E136" s="43" t="inlineStr">
        <is>
          <t>DEV-CTANJZ04899</t>
        </is>
      </c>
      <c r="F136" s="43" t="n"/>
      <c r="G136" s="43" t="inlineStr">
        <is>
          <t>STBU</t>
        </is>
      </c>
      <c r="H136" s="43" t="n"/>
      <c r="I136" s="43" t="n"/>
      <c r="J136" s="43" t="n"/>
      <c r="K136" s="43" t="n"/>
      <c r="L136" s="43" t="n"/>
      <c r="M136" s="43" t="n"/>
      <c r="N136" s="43" t="n"/>
      <c r="O136" s="43" t="n"/>
      <c r="P136" s="43" t="n"/>
      <c r="Q136" s="43" t="inlineStr">
        <is>
          <t>BOARD</t>
        </is>
      </c>
      <c r="R136" s="33" t="inlineStr">
        <is>
          <t>REVISAR D606900: verificar accion documentada, PN/revision y vigencia para la corrida. No autoriza sustitucion ni uso de material.</t>
        </is>
      </c>
      <c r="S136" s="43" t="inlineStr">
        <is>
          <t>INFO</t>
        </is>
      </c>
      <c r="T136" s="33" t="inlineStr">
        <is>
          <t>Validar desviacion aprobada y estado; contrastar PN exacto y revision con Common DB, BOM/AVL, WO y fecha de corrida.</t>
        </is>
      </c>
      <c r="U136" s="33" t="inlineStr">
        <is>
          <t>Documento oficial firmado, autorizacion FJZ, revision/WO de alcance, confirmacion BOM y evidencia de implementacion si aplica.</t>
        </is>
      </c>
      <c r="V136" s="43" t="n"/>
      <c r="W136" s="43" t="n"/>
      <c r="X136" s="43" t="inlineStr">
        <is>
          <t>INFO</t>
        </is>
      </c>
      <c r="Y136" s="43" t="n"/>
      <c r="Z136" s="43" t="inlineStr">
        <is>
          <t>Pending Review</t>
        </is>
      </c>
      <c r="AA136" s="43" t="inlineStr">
        <is>
          <t>N</t>
        </is>
      </c>
      <c r="AB136" s="43" t="n"/>
      <c r="AC136" s="33" t="inlineStr">
        <is>
          <t xml:space="preserve">FUENTE: Deviation.csv filas 858; Item Number original=73-17530-02 (prefijo 73- es CANDIDATO de PCBA, no confirmacion en Common DB); Workflow de origen=Expired; FJZ no validado, revision PCBA/WO no informadas. </t>
        </is>
      </c>
    </row>
    <row r="137">
      <c r="A137" s="43" t="inlineStr">
        <is>
          <t>DA-CTANJZ04899-STBU-73-18626-04</t>
        </is>
      </c>
      <c r="B137" s="43" t="n"/>
      <c r="C137" s="43" t="n"/>
      <c r="D137" s="43" t="inlineStr">
        <is>
          <t>73-18626-04</t>
        </is>
      </c>
      <c r="E137" s="43" t="inlineStr">
        <is>
          <t>DEV-CTANJZ04899</t>
        </is>
      </c>
      <c r="F137" s="43" t="n"/>
      <c r="G137" s="43" t="inlineStr">
        <is>
          <t>STBU</t>
        </is>
      </c>
      <c r="H137" s="43" t="n"/>
      <c r="I137" s="43" t="n"/>
      <c r="J137" s="43" t="n"/>
      <c r="K137" s="43" t="n"/>
      <c r="L137" s="43" t="n"/>
      <c r="M137" s="43" t="n"/>
      <c r="N137" s="43" t="n"/>
      <c r="O137" s="43" t="n"/>
      <c r="P137" s="43" t="n"/>
      <c r="Q137" s="43" t="inlineStr">
        <is>
          <t>BOARD</t>
        </is>
      </c>
      <c r="R137" s="33" t="inlineStr">
        <is>
          <t>REVISAR D606900: verificar accion documentada, PN/revision y vigencia para la corrida. No autoriza sustitucion ni uso de material.</t>
        </is>
      </c>
      <c r="S137" s="43" t="inlineStr">
        <is>
          <t>INFO</t>
        </is>
      </c>
      <c r="T137" s="33" t="inlineStr">
        <is>
          <t>Validar desviacion aprobada y estado; contrastar PN exacto y revision con Common DB, BOM/AVL, WO y fecha de corrida.</t>
        </is>
      </c>
      <c r="U137" s="33" t="inlineStr">
        <is>
          <t>Documento oficial firmado, autorizacion FJZ, revision/WO de alcance, confirmacion BOM y evidencia de implementacion si aplica.</t>
        </is>
      </c>
      <c r="V137" s="43" t="n"/>
      <c r="W137" s="43" t="n"/>
      <c r="X137" s="43" t="inlineStr">
        <is>
          <t>INFO</t>
        </is>
      </c>
      <c r="Y137" s="43" t="n"/>
      <c r="Z137" s="43" t="inlineStr">
        <is>
          <t>Pending Review</t>
        </is>
      </c>
      <c r="AA137" s="43" t="inlineStr">
        <is>
          <t>N</t>
        </is>
      </c>
      <c r="AB137" s="43" t="n"/>
      <c r="AC137" s="33" t="inlineStr">
        <is>
          <t xml:space="preserve">FUENTE: Deviation.csv filas 859; Item Number original=73-18626-04 (prefijo 73- es CANDIDATO de PCBA, no confirmacion en Common DB); Workflow de origen=Expired; FJZ no validado, revision PCBA/WO no informadas. </t>
        </is>
      </c>
    </row>
    <row r="138">
      <c r="A138" s="43" t="inlineStr">
        <is>
          <t>DA-CTANJZ04899-STBU-73-19361-01</t>
        </is>
      </c>
      <c r="B138" s="43" t="n"/>
      <c r="C138" s="43" t="n"/>
      <c r="D138" s="43" t="inlineStr">
        <is>
          <t>73-19361-01</t>
        </is>
      </c>
      <c r="E138" s="43" t="inlineStr">
        <is>
          <t>DEV-CTANJZ04899</t>
        </is>
      </c>
      <c r="F138" s="43" t="n"/>
      <c r="G138" s="43" t="inlineStr">
        <is>
          <t>STBU</t>
        </is>
      </c>
      <c r="H138" s="43" t="n"/>
      <c r="I138" s="43" t="n"/>
      <c r="J138" s="43" t="n"/>
      <c r="K138" s="43" t="n"/>
      <c r="L138" s="43" t="n"/>
      <c r="M138" s="43" t="n"/>
      <c r="N138" s="43" t="n"/>
      <c r="O138" s="43" t="n"/>
      <c r="P138" s="43" t="n"/>
      <c r="Q138" s="43" t="inlineStr">
        <is>
          <t>BOARD</t>
        </is>
      </c>
      <c r="R138" s="33" t="inlineStr">
        <is>
          <t>REVISAR D606900: verificar accion documentada, PN/revision y vigencia para la corrida. No autoriza sustitucion ni uso de material.</t>
        </is>
      </c>
      <c r="S138" s="43" t="inlineStr">
        <is>
          <t>INFO</t>
        </is>
      </c>
      <c r="T138" s="33" t="inlineStr">
        <is>
          <t>Validar desviacion aprobada y estado; contrastar PN exacto y revision con Common DB, BOM/AVL, WO y fecha de corrida.</t>
        </is>
      </c>
      <c r="U138" s="33" t="inlineStr">
        <is>
          <t>Documento oficial firmado, autorizacion FJZ, revision/WO de alcance, confirmacion BOM y evidencia de implementacion si aplica.</t>
        </is>
      </c>
      <c r="V138" s="43" t="n"/>
      <c r="W138" s="43" t="n"/>
      <c r="X138" s="43" t="inlineStr">
        <is>
          <t>INFO</t>
        </is>
      </c>
      <c r="Y138" s="43" t="n"/>
      <c r="Z138" s="43" t="inlineStr">
        <is>
          <t>Pending Review</t>
        </is>
      </c>
      <c r="AA138" s="43" t="inlineStr">
        <is>
          <t>N</t>
        </is>
      </c>
      <c r="AB138" s="43" t="n"/>
      <c r="AC138" s="33" t="inlineStr">
        <is>
          <t xml:space="preserve">FUENTE: Deviation.csv filas 860; Item Number original=73-19361-01 (prefijo 73- es CANDIDATO de PCBA, no confirmacion en Common DB); Workflow de origen=Expired; FJZ no validado, revision PCBA/WO no informadas. </t>
        </is>
      </c>
    </row>
    <row r="139">
      <c r="A139" s="43" t="inlineStr">
        <is>
          <t>DA-CTANJZ04902-STBU-73-102482-02</t>
        </is>
      </c>
      <c r="B139" s="43" t="n"/>
      <c r="C139" s="43" t="n"/>
      <c r="D139" s="43" t="inlineStr">
        <is>
          <t>73-102482-02</t>
        </is>
      </c>
      <c r="E139" s="43" t="inlineStr">
        <is>
          <t>DEV-CTANJZ04902</t>
        </is>
      </c>
      <c r="F139" s="43" t="n"/>
      <c r="G139" s="43" t="inlineStr">
        <is>
          <t>STBU</t>
        </is>
      </c>
      <c r="H139" s="43" t="n"/>
      <c r="I139" s="43" t="n"/>
      <c r="J139" s="43" t="n"/>
      <c r="K139" s="43" t="n"/>
      <c r="L139" s="43" t="n"/>
      <c r="M139" s="43" t="n"/>
      <c r="N139" s="43" t="n"/>
      <c r="O139" s="43" t="n"/>
      <c r="P139" s="43" t="n"/>
      <c r="Q139" s="43" t="inlineStr">
        <is>
          <t>BOARD</t>
        </is>
      </c>
      <c r="R139" s="33" t="inlineStr">
        <is>
          <t>REVISAR D606660: verificar accion documentada, PN/revision y vigencia para la corrida. No autoriza sustitucion ni uso de material.</t>
        </is>
      </c>
      <c r="S139" s="43" t="inlineStr">
        <is>
          <t>INFO</t>
        </is>
      </c>
      <c r="T139" s="33" t="inlineStr">
        <is>
          <t>Validar desviacion aprobada y estado; contrastar PN exacto y revision con Common DB, BOM/AVL, WO y fecha de corrida.</t>
        </is>
      </c>
      <c r="U139" s="33" t="inlineStr">
        <is>
          <t>Documento oficial firmado, autorizacion FJZ, revision/WO de alcance, confirmacion BOM y evidencia de implementacion si aplica.</t>
        </is>
      </c>
      <c r="V139" s="43" t="n"/>
      <c r="W139" s="43" t="n"/>
      <c r="X139" s="43" t="inlineStr">
        <is>
          <t>INFO</t>
        </is>
      </c>
      <c r="Y139" s="43" t="n"/>
      <c r="Z139" s="43" t="inlineStr">
        <is>
          <t>Pending Review</t>
        </is>
      </c>
      <c r="AA139" s="43" t="inlineStr">
        <is>
          <t>N</t>
        </is>
      </c>
      <c r="AB139" s="43" t="n"/>
      <c r="AC139" s="33" t="inlineStr">
        <is>
          <t xml:space="preserve">FUENTE: Deviation.csv filas 949; Item Number original=73-102482-02 (prefijo 73- es CANDIDATO de PCBA, no confirmacion en Common DB); Workflow de origen=Expired; FJZ no validado, revision PCBA/WO no informadas. </t>
        </is>
      </c>
    </row>
    <row r="140">
      <c r="A140" s="43" t="inlineStr">
        <is>
          <t>DA-CTANJZ04904-STBU-73-102433-04</t>
        </is>
      </c>
      <c r="B140" s="43" t="n"/>
      <c r="C140" s="43" t="n"/>
      <c r="D140" s="43" t="inlineStr">
        <is>
          <t>73-102433-04</t>
        </is>
      </c>
      <c r="E140" s="43" t="inlineStr">
        <is>
          <t>DEV-CTANJZ04904</t>
        </is>
      </c>
      <c r="F140" s="43" t="n"/>
      <c r="G140" s="43" t="inlineStr">
        <is>
          <t>STBU</t>
        </is>
      </c>
      <c r="H140" s="43" t="n"/>
      <c r="I140" s="43" t="n"/>
      <c r="J140" s="43" t="n"/>
      <c r="K140" s="43" t="n"/>
      <c r="L140" s="43" t="n"/>
      <c r="M140" s="43" t="n"/>
      <c r="N140" s="43" t="n"/>
      <c r="O140" s="43" t="n"/>
      <c r="P140" s="43" t="n"/>
      <c r="Q140" s="43" t="inlineStr">
        <is>
          <t>BOARD</t>
        </is>
      </c>
      <c r="R140" s="33" t="inlineStr">
        <is>
          <t>REVISAR D606915: verificar accion documentada, PN/revision y vigencia para la corrida. No autoriza sustitucion ni uso de material.</t>
        </is>
      </c>
      <c r="S140" s="43" t="inlineStr">
        <is>
          <t>INFO</t>
        </is>
      </c>
      <c r="T140" s="33" t="inlineStr">
        <is>
          <t>Validar desviacion aprobada y estado; contrastar PN exacto y revision con Common DB, BOM/AVL, WO y fecha de corrida.</t>
        </is>
      </c>
      <c r="U140" s="33" t="inlineStr">
        <is>
          <t>Documento oficial firmado, autorizacion FJZ, revision/WO de alcance, confirmacion BOM y evidencia de implementacion si aplica.</t>
        </is>
      </c>
      <c r="V140" s="43" t="n"/>
      <c r="W140" s="43" t="n"/>
      <c r="X140" s="43" t="inlineStr">
        <is>
          <t>INFO</t>
        </is>
      </c>
      <c r="Y140" s="43" t="n"/>
      <c r="Z140" s="43" t="inlineStr">
        <is>
          <t>Pending Review</t>
        </is>
      </c>
      <c r="AA140" s="43" t="inlineStr">
        <is>
          <t>N</t>
        </is>
      </c>
      <c r="AB140" s="43" t="n"/>
      <c r="AC140" s="33" t="inlineStr">
        <is>
          <t xml:space="preserve">FUENTE: Deviation.csv filas 29; Item Number original=73-102433-04 (prefijo 73- es CANDIDATO de PCBA, no confirmacion en Common DB); Workflow de origen=Expired; FJZ no validado, revision PCBA/WO no informadas. </t>
        </is>
      </c>
    </row>
    <row r="141">
      <c r="A141" s="43" t="inlineStr">
        <is>
          <t>DA-CTANJZ04904-STBU-73-102433-05</t>
        </is>
      </c>
      <c r="B141" s="43" t="n"/>
      <c r="C141" s="43" t="n"/>
      <c r="D141" s="43" t="inlineStr">
        <is>
          <t>73-102433-05</t>
        </is>
      </c>
      <c r="E141" s="43" t="inlineStr">
        <is>
          <t>DEV-CTANJZ04904</t>
        </is>
      </c>
      <c r="F141" s="43" t="n"/>
      <c r="G141" s="43" t="inlineStr">
        <is>
          <t>STBU</t>
        </is>
      </c>
      <c r="H141" s="43" t="n"/>
      <c r="I141" s="43" t="n"/>
      <c r="J141" s="43" t="n"/>
      <c r="K141" s="43" t="n"/>
      <c r="L141" s="43" t="n"/>
      <c r="M141" s="43" t="n"/>
      <c r="N141" s="43" t="n"/>
      <c r="O141" s="43" t="n"/>
      <c r="P141" s="43" t="n"/>
      <c r="Q141" s="43" t="inlineStr">
        <is>
          <t>BOARD</t>
        </is>
      </c>
      <c r="R141" s="33" t="inlineStr">
        <is>
          <t>REVISAR D606915: verificar accion documentada, PN/revision y vigencia para la corrida. No autoriza sustitucion ni uso de material.</t>
        </is>
      </c>
      <c r="S141" s="43" t="inlineStr">
        <is>
          <t>INFO</t>
        </is>
      </c>
      <c r="T141" s="33" t="inlineStr">
        <is>
          <t>Validar desviacion aprobada y estado; contrastar PN exacto y revision con Common DB, BOM/AVL, WO y fecha de corrida.</t>
        </is>
      </c>
      <c r="U141" s="33" t="inlineStr">
        <is>
          <t>Documento oficial firmado, autorizacion FJZ, revision/WO de alcance, confirmacion BOM y evidencia de implementacion si aplica.</t>
        </is>
      </c>
      <c r="V141" s="43" t="n"/>
      <c r="W141" s="43" t="n"/>
      <c r="X141" s="43" t="inlineStr">
        <is>
          <t>INFO</t>
        </is>
      </c>
      <c r="Y141" s="43" t="n"/>
      <c r="Z141" s="43" t="inlineStr">
        <is>
          <t>Pending Review</t>
        </is>
      </c>
      <c r="AA141" s="43" t="inlineStr">
        <is>
          <t>N</t>
        </is>
      </c>
      <c r="AB141" s="43" t="n"/>
      <c r="AC141" s="33" t="inlineStr">
        <is>
          <t xml:space="preserve">FUENTE: Deviation.csv filas 30; Item Number original=73-102433-05 (prefijo 73- es CANDIDATO de PCBA, no confirmacion en Common DB); Workflow de origen=Expired; FJZ no validado, revision PCBA/WO no informadas. </t>
        </is>
      </c>
    </row>
    <row r="142">
      <c r="A142" s="43" t="inlineStr">
        <is>
          <t>DA-CTANJZ04904-STBU-73-102434-04</t>
        </is>
      </c>
      <c r="B142" s="43" t="n"/>
      <c r="C142" s="43" t="n"/>
      <c r="D142" s="43" t="inlineStr">
        <is>
          <t>73-102434-04</t>
        </is>
      </c>
      <c r="E142" s="43" t="inlineStr">
        <is>
          <t>DEV-CTANJZ04904</t>
        </is>
      </c>
      <c r="F142" s="43" t="n"/>
      <c r="G142" s="43" t="inlineStr">
        <is>
          <t>STBU</t>
        </is>
      </c>
      <c r="H142" s="43" t="n"/>
      <c r="I142" s="43" t="n"/>
      <c r="J142" s="43" t="n"/>
      <c r="K142" s="43" t="n"/>
      <c r="L142" s="43" t="n"/>
      <c r="M142" s="43" t="n"/>
      <c r="N142" s="43" t="n"/>
      <c r="O142" s="43" t="n"/>
      <c r="P142" s="43" t="n"/>
      <c r="Q142" s="43" t="inlineStr">
        <is>
          <t>BOARD</t>
        </is>
      </c>
      <c r="R142" s="33" t="inlineStr">
        <is>
          <t>REVISAR D606915: verificar accion documentada, PN/revision y vigencia para la corrida. No autoriza sustitucion ni uso de material.</t>
        </is>
      </c>
      <c r="S142" s="43" t="inlineStr">
        <is>
          <t>INFO</t>
        </is>
      </c>
      <c r="T142" s="33" t="inlineStr">
        <is>
          <t>Validar desviacion aprobada y estado; contrastar PN exacto y revision con Common DB, BOM/AVL, WO y fecha de corrida.</t>
        </is>
      </c>
      <c r="U142" s="33" t="inlineStr">
        <is>
          <t>Documento oficial firmado, autorizacion FJZ, revision/WO de alcance, confirmacion BOM y evidencia de implementacion si aplica.</t>
        </is>
      </c>
      <c r="V142" s="43" t="n"/>
      <c r="W142" s="43" t="n"/>
      <c r="X142" s="43" t="inlineStr">
        <is>
          <t>INFO</t>
        </is>
      </c>
      <c r="Y142" s="43" t="n"/>
      <c r="Z142" s="43" t="inlineStr">
        <is>
          <t>Pending Review</t>
        </is>
      </c>
      <c r="AA142" s="43" t="inlineStr">
        <is>
          <t>N</t>
        </is>
      </c>
      <c r="AB142" s="43" t="n"/>
      <c r="AC142" s="33" t="inlineStr">
        <is>
          <t xml:space="preserve">FUENTE: Deviation.csv filas 31; Item Number original=73-102434-04 (prefijo 73- es CANDIDATO de PCBA, no confirmacion en Common DB); Workflow de origen=Expired; FJZ no validado, revision PCBA/WO no informadas. </t>
        </is>
      </c>
    </row>
    <row r="143">
      <c r="A143" s="43" t="inlineStr">
        <is>
          <t>DA-CTANJZ04904-STBU-73-102434-05</t>
        </is>
      </c>
      <c r="B143" s="43" t="n"/>
      <c r="C143" s="43" t="n"/>
      <c r="D143" s="43" t="inlineStr">
        <is>
          <t>73-102434-05</t>
        </is>
      </c>
      <c r="E143" s="43" t="inlineStr">
        <is>
          <t>DEV-CTANJZ04904</t>
        </is>
      </c>
      <c r="F143" s="43" t="n"/>
      <c r="G143" s="43" t="inlineStr">
        <is>
          <t>STBU</t>
        </is>
      </c>
      <c r="H143" s="43" t="n"/>
      <c r="I143" s="43" t="n"/>
      <c r="J143" s="43" t="n"/>
      <c r="K143" s="43" t="n"/>
      <c r="L143" s="43" t="n"/>
      <c r="M143" s="43" t="n"/>
      <c r="N143" s="43" t="n"/>
      <c r="O143" s="43" t="n"/>
      <c r="P143" s="43" t="n"/>
      <c r="Q143" s="43" t="inlineStr">
        <is>
          <t>BOARD</t>
        </is>
      </c>
      <c r="R143" s="33" t="inlineStr">
        <is>
          <t>REVISAR D606915: verificar accion documentada, PN/revision y vigencia para la corrida. No autoriza sustitucion ni uso de material.</t>
        </is>
      </c>
      <c r="S143" s="43" t="inlineStr">
        <is>
          <t>INFO</t>
        </is>
      </c>
      <c r="T143" s="33" t="inlineStr">
        <is>
          <t>Validar desviacion aprobada y estado; contrastar PN exacto y revision con Common DB, BOM/AVL, WO y fecha de corrida.</t>
        </is>
      </c>
      <c r="U143" s="33" t="inlineStr">
        <is>
          <t>Documento oficial firmado, autorizacion FJZ, revision/WO de alcance, confirmacion BOM y evidencia de implementacion si aplica.</t>
        </is>
      </c>
      <c r="V143" s="43" t="n"/>
      <c r="W143" s="43" t="n"/>
      <c r="X143" s="43" t="inlineStr">
        <is>
          <t>INFO</t>
        </is>
      </c>
      <c r="Y143" s="43" t="n"/>
      <c r="Z143" s="43" t="inlineStr">
        <is>
          <t>Pending Review</t>
        </is>
      </c>
      <c r="AA143" s="43" t="inlineStr">
        <is>
          <t>N</t>
        </is>
      </c>
      <c r="AB143" s="43" t="n"/>
      <c r="AC143" s="33" t="inlineStr">
        <is>
          <t xml:space="preserve">FUENTE: Deviation.csv filas 32; Item Number original=73-102434-05 (prefijo 73- es CANDIDATO de PCBA, no confirmacion en Common DB); Workflow de origen=Expired; FJZ no validado, revision PCBA/WO no informadas. </t>
        </is>
      </c>
    </row>
    <row r="144">
      <c r="A144" s="43" t="inlineStr">
        <is>
          <t>DA-CTANJZ04904-STBU-73-102435-04</t>
        </is>
      </c>
      <c r="B144" s="43" t="n"/>
      <c r="C144" s="43" t="n"/>
      <c r="D144" s="43" t="inlineStr">
        <is>
          <t>73-102435-04</t>
        </is>
      </c>
      <c r="E144" s="43" t="inlineStr">
        <is>
          <t>DEV-CTANJZ04904</t>
        </is>
      </c>
      <c r="F144" s="43" t="n"/>
      <c r="G144" s="43" t="inlineStr">
        <is>
          <t>STBU</t>
        </is>
      </c>
      <c r="H144" s="43" t="n"/>
      <c r="I144" s="43" t="n"/>
      <c r="J144" s="43" t="n"/>
      <c r="K144" s="43" t="n"/>
      <c r="L144" s="43" t="n"/>
      <c r="M144" s="43" t="n"/>
      <c r="N144" s="43" t="n"/>
      <c r="O144" s="43" t="n"/>
      <c r="P144" s="43" t="n"/>
      <c r="Q144" s="43" t="inlineStr">
        <is>
          <t>BOARD</t>
        </is>
      </c>
      <c r="R144" s="33" t="inlineStr">
        <is>
          <t>REVISAR D606915: verificar accion documentada, PN/revision y vigencia para la corrida. No autoriza sustitucion ni uso de material.</t>
        </is>
      </c>
      <c r="S144" s="43" t="inlineStr">
        <is>
          <t>INFO</t>
        </is>
      </c>
      <c r="T144" s="33" t="inlineStr">
        <is>
          <t>Validar desviacion aprobada y estado; contrastar PN exacto y revision con Common DB, BOM/AVL, WO y fecha de corrida.</t>
        </is>
      </c>
      <c r="U144" s="33" t="inlineStr">
        <is>
          <t>Documento oficial firmado, autorizacion FJZ, revision/WO de alcance, confirmacion BOM y evidencia de implementacion si aplica.</t>
        </is>
      </c>
      <c r="V144" s="43" t="n"/>
      <c r="W144" s="43" t="n"/>
      <c r="X144" s="43" t="inlineStr">
        <is>
          <t>INFO</t>
        </is>
      </c>
      <c r="Y144" s="43" t="n"/>
      <c r="Z144" s="43" t="inlineStr">
        <is>
          <t>Pending Review</t>
        </is>
      </c>
      <c r="AA144" s="43" t="inlineStr">
        <is>
          <t>N</t>
        </is>
      </c>
      <c r="AB144" s="43" t="n"/>
      <c r="AC144" s="33" t="inlineStr">
        <is>
          <t xml:space="preserve">FUENTE: Deviation.csv filas 33; Item Number original=73-102435-04 (prefijo 73- es CANDIDATO de PCBA, no confirmacion en Common DB); Workflow de origen=Expired; FJZ no validado, revision PCBA/WO no informadas. </t>
        </is>
      </c>
    </row>
    <row r="145">
      <c r="A145" s="43" t="inlineStr">
        <is>
          <t>DA-CTANJZ04904-STBU-73-102435-05</t>
        </is>
      </c>
      <c r="B145" s="43" t="n"/>
      <c r="C145" s="43" t="n"/>
      <c r="D145" s="43" t="inlineStr">
        <is>
          <t>73-102435-05</t>
        </is>
      </c>
      <c r="E145" s="43" t="inlineStr">
        <is>
          <t>DEV-CTANJZ04904</t>
        </is>
      </c>
      <c r="F145" s="43" t="n"/>
      <c r="G145" s="43" t="inlineStr">
        <is>
          <t>STBU</t>
        </is>
      </c>
      <c r="H145" s="43" t="n"/>
      <c r="I145" s="43" t="n"/>
      <c r="J145" s="43" t="n"/>
      <c r="K145" s="43" t="n"/>
      <c r="L145" s="43" t="n"/>
      <c r="M145" s="43" t="n"/>
      <c r="N145" s="43" t="n"/>
      <c r="O145" s="43" t="n"/>
      <c r="P145" s="43" t="n"/>
      <c r="Q145" s="43" t="inlineStr">
        <is>
          <t>BOARD</t>
        </is>
      </c>
      <c r="R145" s="33" t="inlineStr">
        <is>
          <t>REVISAR D606915: verificar accion documentada, PN/revision y vigencia para la corrida. No autoriza sustitucion ni uso de material.</t>
        </is>
      </c>
      <c r="S145" s="43" t="inlineStr">
        <is>
          <t>INFO</t>
        </is>
      </c>
      <c r="T145" s="33" t="inlineStr">
        <is>
          <t>Validar desviacion aprobada y estado; contrastar PN exacto y revision con Common DB, BOM/AVL, WO y fecha de corrida.</t>
        </is>
      </c>
      <c r="U145" s="33" t="inlineStr">
        <is>
          <t>Documento oficial firmado, autorizacion FJZ, revision/WO de alcance, confirmacion BOM y evidencia de implementacion si aplica.</t>
        </is>
      </c>
      <c r="V145" s="43" t="n"/>
      <c r="W145" s="43" t="n"/>
      <c r="X145" s="43" t="inlineStr">
        <is>
          <t>INFO</t>
        </is>
      </c>
      <c r="Y145" s="43" t="n"/>
      <c r="Z145" s="43" t="inlineStr">
        <is>
          <t>Pending Review</t>
        </is>
      </c>
      <c r="AA145" s="43" t="inlineStr">
        <is>
          <t>N</t>
        </is>
      </c>
      <c r="AB145" s="43" t="n"/>
      <c r="AC145" s="33" t="inlineStr">
        <is>
          <t xml:space="preserve">FUENTE: Deviation.csv filas 34; Item Number original=73-102435-05 (prefijo 73- es CANDIDATO de PCBA, no confirmacion en Common DB); Workflow de origen=Expired; FJZ no validado, revision PCBA/WO no informadas. </t>
        </is>
      </c>
    </row>
    <row r="146">
      <c r="A146" s="43" t="inlineStr">
        <is>
          <t>DA-CTANJZ04914-STBU-73-103559-04</t>
        </is>
      </c>
      <c r="B146" s="43" t="n"/>
      <c r="C146" s="43" t="n"/>
      <c r="D146" s="43" t="inlineStr">
        <is>
          <t>73-103559-04</t>
        </is>
      </c>
      <c r="E146" s="43" t="inlineStr">
        <is>
          <t>DEV-CTANJZ04914</t>
        </is>
      </c>
      <c r="F146" s="43" t="n"/>
      <c r="G146" s="43" t="inlineStr">
        <is>
          <t>STBU</t>
        </is>
      </c>
      <c r="H146" s="43" t="n"/>
      <c r="I146" s="43" t="n"/>
      <c r="J146" s="43" t="n"/>
      <c r="K146" s="43" t="n"/>
      <c r="L146" s="43" t="n"/>
      <c r="M146" s="43" t="n"/>
      <c r="N146" s="43" t="n"/>
      <c r="O146" s="43" t="n"/>
      <c r="P146" s="43" t="n"/>
      <c r="Q146" s="43" t="inlineStr">
        <is>
          <t>BOARD</t>
        </is>
      </c>
      <c r="R146" s="33" t="inlineStr">
        <is>
          <t>REVISAR D606941: verificar accion documentada, PN/revision y vigencia para la corrida. No autoriza sustitucion ni uso de material.</t>
        </is>
      </c>
      <c r="S146" s="43" t="inlineStr">
        <is>
          <t>INFO</t>
        </is>
      </c>
      <c r="T146" s="33" t="inlineStr">
        <is>
          <t>Validar desviacion aprobada y estado; contrastar PN exacto y revision con Common DB, BOM/AVL, WO y fecha de corrida.</t>
        </is>
      </c>
      <c r="U146" s="33" t="inlineStr">
        <is>
          <t>Documento oficial firmado, autorizacion FJZ, revision/WO de alcance, confirmacion BOM y evidencia de implementacion si aplica.</t>
        </is>
      </c>
      <c r="V146" s="43" t="n"/>
      <c r="W146" s="43" t="n"/>
      <c r="X146" s="43" t="inlineStr">
        <is>
          <t>INFO</t>
        </is>
      </c>
      <c r="Y146" s="43" t="n"/>
      <c r="Z146" s="43" t="inlineStr">
        <is>
          <t>Pending Review</t>
        </is>
      </c>
      <c r="AA146" s="43" t="inlineStr">
        <is>
          <t>N</t>
        </is>
      </c>
      <c r="AB146" s="43" t="n"/>
      <c r="AC146" s="33" t="inlineStr">
        <is>
          <t xml:space="preserve">FUENTE: Deviation.csv filas 1631; Item Number original=73-103559-04 (prefijo 73- es CANDIDATO de PCBA, no confirmacion en Common DB); Workflow de origen=Expired; FJZ no validado, revision PCBA/WO no informadas. </t>
        </is>
      </c>
    </row>
    <row r="147">
      <c r="A147" s="43" t="inlineStr">
        <is>
          <t>DA-CTANJZ04914-STBU-73-103648-04</t>
        </is>
      </c>
      <c r="B147" s="43" t="n"/>
      <c r="C147" s="43" t="n"/>
      <c r="D147" s="43" t="inlineStr">
        <is>
          <t>73-103648-04</t>
        </is>
      </c>
      <c r="E147" s="43" t="inlineStr">
        <is>
          <t>DEV-CTANJZ04914</t>
        </is>
      </c>
      <c r="F147" s="43" t="n"/>
      <c r="G147" s="43" t="inlineStr">
        <is>
          <t>STBU</t>
        </is>
      </c>
      <c r="H147" s="43" t="n"/>
      <c r="I147" s="43" t="n"/>
      <c r="J147" s="43" t="n"/>
      <c r="K147" s="43" t="n"/>
      <c r="L147" s="43" t="n"/>
      <c r="M147" s="43" t="n"/>
      <c r="N147" s="43" t="n"/>
      <c r="O147" s="43" t="n"/>
      <c r="P147" s="43" t="n"/>
      <c r="Q147" s="43" t="inlineStr">
        <is>
          <t>BOARD</t>
        </is>
      </c>
      <c r="R147" s="33" t="inlineStr">
        <is>
          <t>REVISAR D606941: verificar accion documentada, PN/revision y vigencia para la corrida. No autoriza sustitucion ni uso de material.</t>
        </is>
      </c>
      <c r="S147" s="43" t="inlineStr">
        <is>
          <t>INFO</t>
        </is>
      </c>
      <c r="T147" s="33" t="inlineStr">
        <is>
          <t>Validar desviacion aprobada y estado; contrastar PN exacto y revision con Common DB, BOM/AVL, WO y fecha de corrida.</t>
        </is>
      </c>
      <c r="U147" s="33" t="inlineStr">
        <is>
          <t>Documento oficial firmado, autorizacion FJZ, revision/WO de alcance, confirmacion BOM y evidencia de implementacion si aplica.</t>
        </is>
      </c>
      <c r="V147" s="43" t="n"/>
      <c r="W147" s="43" t="n"/>
      <c r="X147" s="43" t="inlineStr">
        <is>
          <t>INFO</t>
        </is>
      </c>
      <c r="Y147" s="43" t="n"/>
      <c r="Z147" s="43" t="inlineStr">
        <is>
          <t>Pending Review</t>
        </is>
      </c>
      <c r="AA147" s="43" t="inlineStr">
        <is>
          <t>N</t>
        </is>
      </c>
      <c r="AB147" s="43" t="n"/>
      <c r="AC147" s="33" t="inlineStr">
        <is>
          <t xml:space="preserve">FUENTE: Deviation.csv filas 1632; Item Number original=73-103648-04 (prefijo 73- es CANDIDATO de PCBA, no confirmacion en Common DB); Workflow de origen=Expired; FJZ no validado, revision PCBA/WO no informadas. </t>
        </is>
      </c>
    </row>
    <row r="148">
      <c r="A148" s="43" t="inlineStr">
        <is>
          <t>DA-CTANJZ04960-STBU-73-103648-03</t>
        </is>
      </c>
      <c r="B148" s="43" t="n"/>
      <c r="C148" s="43" t="n"/>
      <c r="D148" s="43" t="inlineStr">
        <is>
          <t>73-103648-03</t>
        </is>
      </c>
      <c r="E148" s="43" t="inlineStr">
        <is>
          <t>DEV-CTANJZ04960</t>
        </is>
      </c>
      <c r="F148" s="43" t="n"/>
      <c r="G148" s="43" t="inlineStr">
        <is>
          <t>STBU</t>
        </is>
      </c>
      <c r="H148" s="43" t="n"/>
      <c r="I148" s="43" t="n"/>
      <c r="J148" s="43" t="n"/>
      <c r="K148" s="43" t="n"/>
      <c r="L148" s="43" t="n"/>
      <c r="M148" s="43" t="n"/>
      <c r="N148" s="43" t="n"/>
      <c r="O148" s="43" t="n"/>
      <c r="P148" s="43" t="n"/>
      <c r="Q148" s="43" t="inlineStr">
        <is>
          <t>BOARD</t>
        </is>
      </c>
      <c r="R148" s="33" t="inlineStr">
        <is>
          <t>REVISAR DP524662: verificar accion documentada, PN/revision y vigencia para la corrida. No autoriza sustitucion ni uso de material.</t>
        </is>
      </c>
      <c r="S148" s="43" t="inlineStr">
        <is>
          <t>INFO</t>
        </is>
      </c>
      <c r="T148" s="33" t="inlineStr">
        <is>
          <t>Validar desviacion aprobada y estado; contrastar PN exacto y revision con Common DB, BOM/AVL, WO y fecha de corrida.</t>
        </is>
      </c>
      <c r="U148" s="33" t="inlineStr">
        <is>
          <t>Documento oficial firmado, autorizacion FJZ, revision/WO de alcance, confirmacion BOM y evidencia de implementacion si aplica.</t>
        </is>
      </c>
      <c r="V148" s="43" t="n"/>
      <c r="W148" s="43" t="n"/>
      <c r="X148" s="43" t="inlineStr">
        <is>
          <t>INFO</t>
        </is>
      </c>
      <c r="Y148" s="43" t="n"/>
      <c r="Z148" s="43" t="inlineStr">
        <is>
          <t>Pending Review</t>
        </is>
      </c>
      <c r="AA148" s="43" t="inlineStr">
        <is>
          <t>N</t>
        </is>
      </c>
      <c r="AB148" s="43" t="n"/>
      <c r="AC148" s="33" t="inlineStr">
        <is>
          <t xml:space="preserve">FUENTE: Deviation.csv filas 451; Item Number original=73-103648-03 (prefijo 73- es CANDIDATO de PCBA, no confirmacion en Common DB); Workflow de origen=Expired; FJZ no validado, revision PCBA/WO no informadas. </t>
        </is>
      </c>
    </row>
    <row r="149">
      <c r="A149" s="43" t="inlineStr">
        <is>
          <t>DA-CTANJZ04962-IOTBU-73-101441-05</t>
        </is>
      </c>
      <c r="B149" s="43" t="n"/>
      <c r="C149" s="43" t="n"/>
      <c r="D149" s="43" t="inlineStr">
        <is>
          <t>73-101441-05</t>
        </is>
      </c>
      <c r="E149" s="43" t="inlineStr">
        <is>
          <t>DEV-CTANJZ04962</t>
        </is>
      </c>
      <c r="F149" s="43" t="n"/>
      <c r="G149" s="43" t="inlineStr">
        <is>
          <t>IOTBU</t>
        </is>
      </c>
      <c r="H149" s="43" t="n"/>
      <c r="I149" s="43" t="n"/>
      <c r="J149" s="43" t="n"/>
      <c r="K149" s="43" t="n"/>
      <c r="L149" s="43" t="n"/>
      <c r="M149" s="43" t="n"/>
      <c r="N149" s="43" t="n"/>
      <c r="O149" s="43" t="n"/>
      <c r="P149" s="43" t="n"/>
      <c r="Q149" s="43" t="inlineStr">
        <is>
          <t>BOARD</t>
        </is>
      </c>
      <c r="R149" s="33" t="inlineStr">
        <is>
          <t>REVISAR DP525527: verificar accion documentada, PN/revision y vigencia para la corrida. No autoriza sustitucion ni uso de material.</t>
        </is>
      </c>
      <c r="S149" s="43" t="inlineStr">
        <is>
          <t>INFO</t>
        </is>
      </c>
      <c r="T149" s="33" t="inlineStr">
        <is>
          <t>Validar desviacion aprobada y estado; contrastar PN exacto y revision con Common DB, BOM/AVL, WO y fecha de corrida.</t>
        </is>
      </c>
      <c r="U149" s="33" t="inlineStr">
        <is>
          <t>Documento oficial firmado, autorizacion FJZ, revision/WO de alcance, confirmacion BOM y evidencia de implementacion si aplica.</t>
        </is>
      </c>
      <c r="V149" s="43" t="n"/>
      <c r="W149" s="43" t="n"/>
      <c r="X149" s="43" t="inlineStr">
        <is>
          <t>INFO</t>
        </is>
      </c>
      <c r="Y149" s="43" t="n"/>
      <c r="Z149" s="43" t="inlineStr">
        <is>
          <t>Pending Review</t>
        </is>
      </c>
      <c r="AA149" s="43" t="inlineStr">
        <is>
          <t>N</t>
        </is>
      </c>
      <c r="AB149" s="43" t="n"/>
      <c r="AC149" s="33" t="inlineStr">
        <is>
          <t xml:space="preserve">FUENTE: Deviation.csv filas 954; Item Number original=73-101441-05 (prefijo 73- es CANDIDATO de PCBA, no confirmacion en Common DB); Workflow de origen=Expired; FJZ no validado, revision PCBA/WO no informadas. </t>
        </is>
      </c>
    </row>
    <row r="150">
      <c r="A150" s="43" t="inlineStr">
        <is>
          <t>DA-CTANJZ04967-STBU-73-103558-04</t>
        </is>
      </c>
      <c r="B150" s="43" t="n"/>
      <c r="C150" s="43" t="n"/>
      <c r="D150" s="43" t="inlineStr">
        <is>
          <t>73-103558-04</t>
        </is>
      </c>
      <c r="E150" s="43" t="inlineStr">
        <is>
          <t>DEV-CTANJZ04967</t>
        </is>
      </c>
      <c r="F150" s="43" t="n"/>
      <c r="G150" s="43" t="inlineStr">
        <is>
          <t>STBU</t>
        </is>
      </c>
      <c r="H150" s="43" t="n"/>
      <c r="I150" s="43" t="n"/>
      <c r="J150" s="43" t="n"/>
      <c r="K150" s="43" t="n"/>
      <c r="L150" s="43" t="n"/>
      <c r="M150" s="43" t="n"/>
      <c r="N150" s="43" t="n"/>
      <c r="O150" s="43" t="n"/>
      <c r="P150" s="43" t="n"/>
      <c r="Q150" s="43" t="inlineStr">
        <is>
          <t>BOARD</t>
        </is>
      </c>
      <c r="R150" s="33" t="inlineStr">
        <is>
          <t>REVISAR D607705: verificar accion documentada, PN/revision y vigencia para la corrida. No autoriza sustitucion ni uso de material.</t>
        </is>
      </c>
      <c r="S150" s="43" t="inlineStr">
        <is>
          <t>INFO</t>
        </is>
      </c>
      <c r="T150" s="33" t="inlineStr">
        <is>
          <t>Validar desviacion aprobada y estado; contrastar PN exacto y revision con Common DB, BOM/AVL, WO y fecha de corrida.</t>
        </is>
      </c>
      <c r="U150" s="33" t="inlineStr">
        <is>
          <t>Documento oficial firmado, autorizacion FJZ, revision/WO de alcance, confirmacion BOM y evidencia de implementacion si aplica.</t>
        </is>
      </c>
      <c r="V150" s="43" t="n"/>
      <c r="W150" s="43" t="n"/>
      <c r="X150" s="43" t="inlineStr">
        <is>
          <t>INFO</t>
        </is>
      </c>
      <c r="Y150" s="43" t="n"/>
      <c r="Z150" s="43" t="inlineStr">
        <is>
          <t>Pending Review</t>
        </is>
      </c>
      <c r="AA150" s="43" t="inlineStr">
        <is>
          <t>N</t>
        </is>
      </c>
      <c r="AB150" s="43" t="n"/>
      <c r="AC150" s="33" t="inlineStr">
        <is>
          <t xml:space="preserve">FUENTE: Deviation.csv filas 153; Item Number original=73-103558-04 (prefijo 73- es CANDIDATO de PCBA, no confirmacion en Common DB); Workflow de origen=Expired; FJZ no validado, revision PCBA/WO no informadas. </t>
        </is>
      </c>
    </row>
    <row r="151">
      <c r="A151" s="43" t="inlineStr">
        <is>
          <t>DA-CTANJZ04967-STBU-73-103633-04</t>
        </is>
      </c>
      <c r="B151" s="43" t="n"/>
      <c r="C151" s="43" t="n"/>
      <c r="D151" s="43" t="inlineStr">
        <is>
          <t>73-103633-04</t>
        </is>
      </c>
      <c r="E151" s="43" t="inlineStr">
        <is>
          <t>DEV-CTANJZ04967</t>
        </is>
      </c>
      <c r="F151" s="43" t="n"/>
      <c r="G151" s="43" t="inlineStr">
        <is>
          <t>STBU</t>
        </is>
      </c>
      <c r="H151" s="43" t="n"/>
      <c r="I151" s="43" t="n"/>
      <c r="J151" s="43" t="n"/>
      <c r="K151" s="43" t="n"/>
      <c r="L151" s="43" t="n"/>
      <c r="M151" s="43" t="n"/>
      <c r="N151" s="43" t="n"/>
      <c r="O151" s="43" t="n"/>
      <c r="P151" s="43" t="n"/>
      <c r="Q151" s="43" t="inlineStr">
        <is>
          <t>BOARD</t>
        </is>
      </c>
      <c r="R151" s="33" t="inlineStr">
        <is>
          <t>REVISAR D607705: verificar accion documentada, PN/revision y vigencia para la corrida. No autoriza sustitucion ni uso de material.</t>
        </is>
      </c>
      <c r="S151" s="43" t="inlineStr">
        <is>
          <t>INFO</t>
        </is>
      </c>
      <c r="T151" s="33" t="inlineStr">
        <is>
          <t>Validar desviacion aprobada y estado; contrastar PN exacto y revision con Common DB, BOM/AVL, WO y fecha de corrida.</t>
        </is>
      </c>
      <c r="U151" s="33" t="inlineStr">
        <is>
          <t>Documento oficial firmado, autorizacion FJZ, revision/WO de alcance, confirmacion BOM y evidencia de implementacion si aplica.</t>
        </is>
      </c>
      <c r="V151" s="43" t="n"/>
      <c r="W151" s="43" t="n"/>
      <c r="X151" s="43" t="inlineStr">
        <is>
          <t>INFO</t>
        </is>
      </c>
      <c r="Y151" s="43" t="n"/>
      <c r="Z151" s="43" t="inlineStr">
        <is>
          <t>Pending Review</t>
        </is>
      </c>
      <c r="AA151" s="43" t="inlineStr">
        <is>
          <t>N</t>
        </is>
      </c>
      <c r="AB151" s="43" t="n"/>
      <c r="AC151" s="33" t="inlineStr">
        <is>
          <t xml:space="preserve">FUENTE: Deviation.csv filas 154; Item Number original=73-103633-04 (prefijo 73- es CANDIDATO de PCBA, no confirmacion en Common DB); Workflow de origen=Expired; FJZ no validado, revision PCBA/WO no informadas. </t>
        </is>
      </c>
    </row>
    <row r="152">
      <c r="A152" s="43" t="inlineStr">
        <is>
          <t>DA-CTANJZ04981-STBU-73-102433-05</t>
        </is>
      </c>
      <c r="B152" s="43" t="n"/>
      <c r="C152" s="43" t="n"/>
      <c r="D152" s="43" t="inlineStr">
        <is>
          <t>73-102433-05</t>
        </is>
      </c>
      <c r="E152" s="43" t="inlineStr">
        <is>
          <t>DEV-CTANJZ04981</t>
        </is>
      </c>
      <c r="F152" s="43" t="n"/>
      <c r="G152" s="43" t="inlineStr">
        <is>
          <t>STBU</t>
        </is>
      </c>
      <c r="H152" s="43" t="n"/>
      <c r="I152" s="43" t="n"/>
      <c r="J152" s="43" t="n"/>
      <c r="K152" s="43" t="n"/>
      <c r="L152" s="43" t="n"/>
      <c r="M152" s="43" t="n"/>
      <c r="N152" s="43" t="n"/>
      <c r="O152" s="43" t="n"/>
      <c r="P152" s="43" t="n"/>
      <c r="Q152" s="43" t="inlineStr">
        <is>
          <t>BOARD</t>
        </is>
      </c>
      <c r="R152" s="33" t="inlineStr">
        <is>
          <t>REVISAR D607861: verificar accion documentada, PN/revision y vigencia para la corrida. No autoriza sustitucion ni uso de material.</t>
        </is>
      </c>
      <c r="S152" s="43" t="inlineStr">
        <is>
          <t>INFO</t>
        </is>
      </c>
      <c r="T152" s="33" t="inlineStr">
        <is>
          <t>Validar desviacion aprobada y estado; contrastar PN exacto y revision con Common DB, BOM/AVL, WO y fecha de corrida.</t>
        </is>
      </c>
      <c r="U152" s="33" t="inlineStr">
        <is>
          <t>Documento oficial firmado, autorizacion FJZ, revision/WO de alcance, confirmacion BOM y evidencia de implementacion si aplica.</t>
        </is>
      </c>
      <c r="V152" s="43" t="n"/>
      <c r="W152" s="43" t="n"/>
      <c r="X152" s="43" t="inlineStr">
        <is>
          <t>INFO</t>
        </is>
      </c>
      <c r="Y152" s="43" t="n"/>
      <c r="Z152" s="43" t="inlineStr">
        <is>
          <t>Pending Review</t>
        </is>
      </c>
      <c r="AA152" s="43" t="inlineStr">
        <is>
          <t>N</t>
        </is>
      </c>
      <c r="AB152" s="43" t="n"/>
      <c r="AC152" s="33" t="inlineStr">
        <is>
          <t xml:space="preserve">FUENTE: Deviation.csv filas 924; Item Number original=73-102433-05 (prefijo 73- es CANDIDATO de PCBA, no confirmacion en Common DB); Workflow de origen=Expired; FJZ no validado, revision PCBA/WO no informadas. </t>
        </is>
      </c>
    </row>
    <row r="153">
      <c r="A153" s="43" t="inlineStr">
        <is>
          <t>DA-CTANJZ04981-STBU-73-20249-06</t>
        </is>
      </c>
      <c r="B153" s="43" t="inlineStr">
        <is>
          <t>TUFNELL PARK</t>
        </is>
      </c>
      <c r="C153" s="43" t="n"/>
      <c r="D153" s="43" t="inlineStr">
        <is>
          <t>73-20249-06</t>
        </is>
      </c>
      <c r="E153" s="43" t="inlineStr">
        <is>
          <t>DEV-CTANJZ04981</t>
        </is>
      </c>
      <c r="F153" s="43" t="n"/>
      <c r="G153" s="43" t="inlineStr">
        <is>
          <t>STBU</t>
        </is>
      </c>
      <c r="H153" s="43" t="n"/>
      <c r="I153" s="43" t="n"/>
      <c r="J153" s="43" t="n"/>
      <c r="K153" s="43" t="n"/>
      <c r="L153" s="43" t="n"/>
      <c r="M153" s="43" t="n"/>
      <c r="N153" s="43" t="n"/>
      <c r="O153" s="43" t="n"/>
      <c r="P153" s="43" t="n"/>
      <c r="Q153" s="43" t="inlineStr">
        <is>
          <t>BOARD</t>
        </is>
      </c>
      <c r="R153" s="33" t="inlineStr">
        <is>
          <t>REVISAR D607861: verificar accion documentada, PN/revision y vigencia para la corrida. No autoriza sustitucion ni uso de material.</t>
        </is>
      </c>
      <c r="S153" s="43" t="inlineStr">
        <is>
          <t>INFO</t>
        </is>
      </c>
      <c r="T153" s="33" t="inlineStr">
        <is>
          <t>Validar desviacion aprobada y estado; contrastar PN exacto y revision con Common DB, BOM/AVL, WO y fecha de corrida.</t>
        </is>
      </c>
      <c r="U153" s="33" t="inlineStr">
        <is>
          <t>Documento oficial firmado, autorizacion FJZ, revision/WO de alcance, confirmacion BOM y evidencia de implementacion si aplica.</t>
        </is>
      </c>
      <c r="V153" s="43" t="n"/>
      <c r="W153" s="43" t="n"/>
      <c r="X153" s="43" t="inlineStr">
        <is>
          <t>INFO</t>
        </is>
      </c>
      <c r="Y153" s="43" t="n"/>
      <c r="Z153" s="43" t="inlineStr">
        <is>
          <t>Pending Review</t>
        </is>
      </c>
      <c r="AA153" s="43" t="inlineStr">
        <is>
          <t>N</t>
        </is>
      </c>
      <c r="AB153" s="43" t="n"/>
      <c r="AC153" s="33" t="inlineStr">
        <is>
          <t xml:space="preserve">FUENTE: Deviation.csv filas 986; Item Number original=73-20249-06 (prefijo 73- es CANDIDATO de PCBA, no confirmacion en Common DB); Workflow de origen=Expired; FJZ no validado, revision PCBA/WO no informadas. </t>
        </is>
      </c>
    </row>
    <row r="154">
      <c r="A154" s="43" t="inlineStr">
        <is>
          <t>DA-CTANJZ04990-SRGBU-73-21204-06</t>
        </is>
      </c>
      <c r="B154" s="43" t="n"/>
      <c r="C154" s="43" t="n"/>
      <c r="D154" s="43" t="inlineStr">
        <is>
          <t>73-21204-06</t>
        </is>
      </c>
      <c r="E154" s="43" t="inlineStr">
        <is>
          <t>DEV-CTANJZ04990</t>
        </is>
      </c>
      <c r="F154" s="43" t="n"/>
      <c r="G154" s="43" t="inlineStr">
        <is>
          <t>SRGBU</t>
        </is>
      </c>
      <c r="H154" s="43" t="n"/>
      <c r="I154" s="43" t="n"/>
      <c r="J154" s="43" t="n"/>
      <c r="K154" s="43" t="n"/>
      <c r="L154" s="43" t="n"/>
      <c r="M154" s="43" t="n"/>
      <c r="N154" s="43" t="n"/>
      <c r="O154" s="43" t="n"/>
      <c r="P154" s="43" t="n"/>
      <c r="Q154" s="43" t="inlineStr">
        <is>
          <t>BOARD</t>
        </is>
      </c>
      <c r="R154" s="33" t="inlineStr">
        <is>
          <t>REVISAR D607247: verificar accion documentada, PN/revision y vigencia para la corrida. No autoriza sustitucion ni uso de material.</t>
        </is>
      </c>
      <c r="S154" s="43" t="inlineStr">
        <is>
          <t>INFO</t>
        </is>
      </c>
      <c r="T154" s="33" t="inlineStr">
        <is>
          <t>Validar desviacion aprobada y estado; contrastar PN exacto y revision con Common DB, BOM/AVL, WO y fecha de corrida.</t>
        </is>
      </c>
      <c r="U154" s="33" t="inlineStr">
        <is>
          <t>Documento oficial firmado, autorizacion FJZ, revision/WO de alcance, confirmacion BOM y evidencia de implementacion si aplica.</t>
        </is>
      </c>
      <c r="V154" s="43" t="n"/>
      <c r="W154" s="43" t="n"/>
      <c r="X154" s="43" t="inlineStr">
        <is>
          <t>INFO</t>
        </is>
      </c>
      <c r="Y154" s="43" t="n"/>
      <c r="Z154" s="43" t="inlineStr">
        <is>
          <t>Pending Review</t>
        </is>
      </c>
      <c r="AA154" s="43" t="inlineStr">
        <is>
          <t>N</t>
        </is>
      </c>
      <c r="AB154" s="43" t="n"/>
      <c r="AC154" s="33" t="inlineStr">
        <is>
          <t xml:space="preserve">FUENTE: Deviation.csv filas 988; Item Number original=73-21204-06 (prefijo 73- es CANDIDATO de PCBA, no confirmacion en Common DB); Workflow de origen=Expired; FJZ no validado, revision PCBA/WO no informadas. </t>
        </is>
      </c>
    </row>
    <row r="155">
      <c r="A155" s="43" t="inlineStr">
        <is>
          <t>DA-CTANJZ04990-SRGBU-73-21231-05</t>
        </is>
      </c>
      <c r="B155" s="43" t="inlineStr">
        <is>
          <t>CHARON</t>
        </is>
      </c>
      <c r="C155" s="43" t="n"/>
      <c r="D155" s="43" t="inlineStr">
        <is>
          <t>73-21231-05</t>
        </is>
      </c>
      <c r="E155" s="43" t="inlineStr">
        <is>
          <t>DEV-CTANJZ04990</t>
        </is>
      </c>
      <c r="F155" s="43" t="n"/>
      <c r="G155" s="43" t="inlineStr">
        <is>
          <t>SRGBU</t>
        </is>
      </c>
      <c r="H155" s="43" t="n"/>
      <c r="I155" s="43" t="n"/>
      <c r="J155" s="43" t="n"/>
      <c r="K155" s="43" t="n"/>
      <c r="L155" s="43" t="n"/>
      <c r="M155" s="43" t="n"/>
      <c r="N155" s="43" t="n"/>
      <c r="O155" s="43" t="n"/>
      <c r="P155" s="43" t="n"/>
      <c r="Q155" s="43" t="inlineStr">
        <is>
          <t>BOARD</t>
        </is>
      </c>
      <c r="R155" s="33" t="inlineStr">
        <is>
          <t>REVISAR D607247: verificar accion documentada, PN/revision y vigencia para la corrida. No autoriza sustitucion ni uso de material.</t>
        </is>
      </c>
      <c r="S155" s="43" t="inlineStr">
        <is>
          <t>INFO</t>
        </is>
      </c>
      <c r="T155" s="33" t="inlineStr">
        <is>
          <t>Validar desviacion aprobada y estado; contrastar PN exacto y revision con Common DB, BOM/AVL, WO y fecha de corrida.</t>
        </is>
      </c>
      <c r="U155" s="33" t="inlineStr">
        <is>
          <t>Documento oficial firmado, autorizacion FJZ, revision/WO de alcance, confirmacion BOM y evidencia de implementacion si aplica.</t>
        </is>
      </c>
      <c r="V155" s="43" t="n"/>
      <c r="W155" s="43" t="n"/>
      <c r="X155" s="43" t="inlineStr">
        <is>
          <t>INFO</t>
        </is>
      </c>
      <c r="Y155" s="43" t="n"/>
      <c r="Z155" s="43" t="inlineStr">
        <is>
          <t>Pending Review</t>
        </is>
      </c>
      <c r="AA155" s="43" t="inlineStr">
        <is>
          <t>N</t>
        </is>
      </c>
      <c r="AB155" s="43" t="n"/>
      <c r="AC155" s="33" t="inlineStr">
        <is>
          <t xml:space="preserve">FUENTE: Deviation.csv filas 989; Item Number original=73-21231-05 (prefijo 73- es CANDIDATO de PCBA, no confirmacion en Common DB); Workflow de origen=Expired; FJZ no validado, revision PCBA/WO no informadas. </t>
        </is>
      </c>
    </row>
    <row r="156">
      <c r="A156" s="43" t="inlineStr">
        <is>
          <t>DA-CTANJZ04990-SRGBU-73-21417-05</t>
        </is>
      </c>
      <c r="B156" s="43" t="n"/>
      <c r="C156" s="43" t="n"/>
      <c r="D156" s="43" t="inlineStr">
        <is>
          <t>73-21417-05</t>
        </is>
      </c>
      <c r="E156" s="43" t="inlineStr">
        <is>
          <t>DEV-CTANJZ04990</t>
        </is>
      </c>
      <c r="F156" s="43" t="n"/>
      <c r="G156" s="43" t="inlineStr">
        <is>
          <t>SRGBU</t>
        </is>
      </c>
      <c r="H156" s="43" t="n"/>
      <c r="I156" s="43" t="n"/>
      <c r="J156" s="43" t="n"/>
      <c r="K156" s="43" t="n"/>
      <c r="L156" s="43" t="n"/>
      <c r="M156" s="43" t="n"/>
      <c r="N156" s="43" t="n"/>
      <c r="O156" s="43" t="n"/>
      <c r="P156" s="43" t="n"/>
      <c r="Q156" s="43" t="inlineStr">
        <is>
          <t>BOARD</t>
        </is>
      </c>
      <c r="R156" s="33" t="inlineStr">
        <is>
          <t>REVISAR D607247: verificar accion documentada, PN/revision y vigencia para la corrida. No autoriza sustitucion ni uso de material.</t>
        </is>
      </c>
      <c r="S156" s="43" t="inlineStr">
        <is>
          <t>INFO</t>
        </is>
      </c>
      <c r="T156" s="33" t="inlineStr">
        <is>
          <t>Validar desviacion aprobada y estado; contrastar PN exacto y revision con Common DB, BOM/AVL, WO y fecha de corrida.</t>
        </is>
      </c>
      <c r="U156" s="33" t="inlineStr">
        <is>
          <t>Documento oficial firmado, autorizacion FJZ, revision/WO de alcance, confirmacion BOM y evidencia de implementacion si aplica.</t>
        </is>
      </c>
      <c r="V156" s="43" t="n"/>
      <c r="W156" s="43" t="n"/>
      <c r="X156" s="43" t="inlineStr">
        <is>
          <t>INFO</t>
        </is>
      </c>
      <c r="Y156" s="43" t="n"/>
      <c r="Z156" s="43" t="inlineStr">
        <is>
          <t>Pending Review</t>
        </is>
      </c>
      <c r="AA156" s="43" t="inlineStr">
        <is>
          <t>N</t>
        </is>
      </c>
      <c r="AB156" s="43" t="n"/>
      <c r="AC156" s="33" t="inlineStr">
        <is>
          <t xml:space="preserve">FUENTE: Deviation.csv filas 990; Item Number original=73-21417-05 (prefijo 73- es CANDIDATO de PCBA, no confirmacion en Common DB); Workflow de origen=Expired; FJZ no validado, revision PCBA/WO no informadas. </t>
        </is>
      </c>
    </row>
    <row r="157">
      <c r="A157" s="43" t="inlineStr">
        <is>
          <t>DA-CTANJZ04997-STBU-73-103559-04</t>
        </is>
      </c>
      <c r="B157" s="43" t="n"/>
      <c r="C157" s="43" t="n"/>
      <c r="D157" s="43" t="inlineStr">
        <is>
          <t>73-103559-04</t>
        </is>
      </c>
      <c r="E157" s="43" t="inlineStr">
        <is>
          <t>DEV-CTANJZ04997</t>
        </is>
      </c>
      <c r="F157" s="43" t="n"/>
      <c r="G157" s="43" t="inlineStr">
        <is>
          <t>STBU</t>
        </is>
      </c>
      <c r="H157" s="43" t="n"/>
      <c r="I157" s="43" t="n"/>
      <c r="J157" s="43" t="n"/>
      <c r="K157" s="43" t="n"/>
      <c r="L157" s="43" t="n"/>
      <c r="M157" s="43" t="n"/>
      <c r="N157" s="43" t="n"/>
      <c r="O157" s="43" t="n"/>
      <c r="P157" s="43" t="n"/>
      <c r="Q157" s="43" t="inlineStr">
        <is>
          <t>BOARD</t>
        </is>
      </c>
      <c r="R157" s="33" t="inlineStr">
        <is>
          <t>REVISAR D608035: verificar accion documentada, PN/revision y vigencia para la corrida. No autoriza sustitucion ni uso de material.</t>
        </is>
      </c>
      <c r="S157" s="43" t="inlineStr">
        <is>
          <t>INFO</t>
        </is>
      </c>
      <c r="T157" s="33" t="inlineStr">
        <is>
          <t>Validar desviacion aprobada y estado; contrastar PN exacto y revision con Common DB, BOM/AVL, WO y fecha de corrida.</t>
        </is>
      </c>
      <c r="U157" s="33" t="inlineStr">
        <is>
          <t>Documento oficial firmado, autorizacion FJZ, revision/WO de alcance, confirmacion BOM y evidencia de implementacion si aplica.</t>
        </is>
      </c>
      <c r="V157" s="43" t="n"/>
      <c r="W157" s="43" t="n"/>
      <c r="X157" s="43" t="inlineStr">
        <is>
          <t>INFO</t>
        </is>
      </c>
      <c r="Y157" s="43" t="n"/>
      <c r="Z157" s="43" t="inlineStr">
        <is>
          <t>Pending Review</t>
        </is>
      </c>
      <c r="AA157" s="43" t="inlineStr">
        <is>
          <t>N</t>
        </is>
      </c>
      <c r="AB157" s="43" t="n"/>
      <c r="AC157" s="33" t="inlineStr">
        <is>
          <t xml:space="preserve">FUENTE: Deviation.csv filas 991; Item Number original=73-103559-04 (prefijo 73- es CANDIDATO de PCBA, no confirmacion en Common DB); Workflow de origen=Expired; FJZ no validado, revision PCBA/WO no informadas. </t>
        </is>
      </c>
    </row>
    <row r="158">
      <c r="A158" s="43" t="inlineStr">
        <is>
          <t>DA-CTANJZ04997-STBU-73-103633-04</t>
        </is>
      </c>
      <c r="B158" s="43" t="n"/>
      <c r="C158" s="43" t="n"/>
      <c r="D158" s="43" t="inlineStr">
        <is>
          <t>73-103633-04</t>
        </is>
      </c>
      <c r="E158" s="43" t="inlineStr">
        <is>
          <t>DEV-CTANJZ04997</t>
        </is>
      </c>
      <c r="F158" s="43" t="n"/>
      <c r="G158" s="43" t="inlineStr">
        <is>
          <t>STBU</t>
        </is>
      </c>
      <c r="H158" s="43" t="n"/>
      <c r="I158" s="43" t="n"/>
      <c r="J158" s="43" t="n"/>
      <c r="K158" s="43" t="n"/>
      <c r="L158" s="43" t="n"/>
      <c r="M158" s="43" t="n"/>
      <c r="N158" s="43" t="n"/>
      <c r="O158" s="43" t="n"/>
      <c r="P158" s="43" t="n"/>
      <c r="Q158" s="43" t="inlineStr">
        <is>
          <t>BOARD</t>
        </is>
      </c>
      <c r="R158" s="33" t="inlineStr">
        <is>
          <t>REVISAR D608035: verificar accion documentada, PN/revision y vigencia para la corrida. No autoriza sustitucion ni uso de material.</t>
        </is>
      </c>
      <c r="S158" s="43" t="inlineStr">
        <is>
          <t>INFO</t>
        </is>
      </c>
      <c r="T158" s="33" t="inlineStr">
        <is>
          <t>Validar desviacion aprobada y estado; contrastar PN exacto y revision con Common DB, BOM/AVL, WO y fecha de corrida.</t>
        </is>
      </c>
      <c r="U158" s="33" t="inlineStr">
        <is>
          <t>Documento oficial firmado, autorizacion FJZ, revision/WO de alcance, confirmacion BOM y evidencia de implementacion si aplica.</t>
        </is>
      </c>
      <c r="V158" s="43" t="n"/>
      <c r="W158" s="43" t="n"/>
      <c r="X158" s="43" t="inlineStr">
        <is>
          <t>INFO</t>
        </is>
      </c>
      <c r="Y158" s="43" t="n"/>
      <c r="Z158" s="43" t="inlineStr">
        <is>
          <t>Pending Review</t>
        </is>
      </c>
      <c r="AA158" s="43" t="inlineStr">
        <is>
          <t>N</t>
        </is>
      </c>
      <c r="AB158" s="43" t="n"/>
      <c r="AC158" s="33" t="inlineStr">
        <is>
          <t xml:space="preserve">FUENTE: Deviation.csv filas 992; Item Number original=73-103633-04 (prefijo 73- es CANDIDATO de PCBA, no confirmacion en Common DB); Workflow de origen=Expired; FJZ no validado, revision PCBA/WO no informadas. </t>
        </is>
      </c>
    </row>
    <row r="159">
      <c r="A159" s="43" t="inlineStr">
        <is>
          <t>DA-CTANJZ04997-STBU-73-103648-04</t>
        </is>
      </c>
      <c r="B159" s="43" t="n"/>
      <c r="C159" s="43" t="n"/>
      <c r="D159" s="43" t="inlineStr">
        <is>
          <t>73-103648-04</t>
        </is>
      </c>
      <c r="E159" s="43" t="inlineStr">
        <is>
          <t>DEV-CTANJZ04997</t>
        </is>
      </c>
      <c r="F159" s="43" t="n"/>
      <c r="G159" s="43" t="inlineStr">
        <is>
          <t>STBU</t>
        </is>
      </c>
      <c r="H159" s="43" t="n"/>
      <c r="I159" s="43" t="n"/>
      <c r="J159" s="43" t="n"/>
      <c r="K159" s="43" t="n"/>
      <c r="L159" s="43" t="n"/>
      <c r="M159" s="43" t="n"/>
      <c r="N159" s="43" t="n"/>
      <c r="O159" s="43" t="n"/>
      <c r="P159" s="43" t="n"/>
      <c r="Q159" s="43" t="inlineStr">
        <is>
          <t>BOARD</t>
        </is>
      </c>
      <c r="R159" s="33" t="inlineStr">
        <is>
          <t>REVISAR D608035: verificar accion documentada, PN/revision y vigencia para la corrida. No autoriza sustitucion ni uso de material.</t>
        </is>
      </c>
      <c r="S159" s="43" t="inlineStr">
        <is>
          <t>INFO</t>
        </is>
      </c>
      <c r="T159" s="33" t="inlineStr">
        <is>
          <t>Validar desviacion aprobada y estado; contrastar PN exacto y revision con Common DB, BOM/AVL, WO y fecha de corrida.</t>
        </is>
      </c>
      <c r="U159" s="33" t="inlineStr">
        <is>
          <t>Documento oficial firmado, autorizacion FJZ, revision/WO de alcance, confirmacion BOM y evidencia de implementacion si aplica.</t>
        </is>
      </c>
      <c r="V159" s="43" t="n"/>
      <c r="W159" s="43" t="n"/>
      <c r="X159" s="43" t="inlineStr">
        <is>
          <t>INFO</t>
        </is>
      </c>
      <c r="Y159" s="43" t="n"/>
      <c r="Z159" s="43" t="inlineStr">
        <is>
          <t>Pending Review</t>
        </is>
      </c>
      <c r="AA159" s="43" t="inlineStr">
        <is>
          <t>N</t>
        </is>
      </c>
      <c r="AB159" s="43" t="n"/>
      <c r="AC159" s="33" t="inlineStr">
        <is>
          <t xml:space="preserve">FUENTE: Deviation.csv filas 993; Item Number original=73-103648-04 (prefijo 73- es CANDIDATO de PCBA, no confirmacion en Common DB); Workflow de origen=Expired; FJZ no validado, revision PCBA/WO no informadas. </t>
        </is>
      </c>
    </row>
    <row r="160">
      <c r="A160" s="43" t="inlineStr">
        <is>
          <t>DA-CTANJZ05000-STBU-73-18490-09</t>
        </is>
      </c>
      <c r="B160" s="43" t="n"/>
      <c r="C160" s="43" t="n"/>
      <c r="D160" s="43" t="inlineStr">
        <is>
          <t>73-18490-09</t>
        </is>
      </c>
      <c r="E160" s="43" t="inlineStr">
        <is>
          <t>DEV-CTANJZ05000</t>
        </is>
      </c>
      <c r="F160" s="43" t="n"/>
      <c r="G160" s="43" t="inlineStr">
        <is>
          <t>STBU</t>
        </is>
      </c>
      <c r="H160" s="43" t="n"/>
      <c r="I160" s="43" t="n"/>
      <c r="J160" s="43" t="n"/>
      <c r="K160" s="43" t="n"/>
      <c r="L160" s="43" t="n"/>
      <c r="M160" s="43" t="n"/>
      <c r="N160" s="43" t="n"/>
      <c r="O160" s="43" t="n"/>
      <c r="P160" s="43" t="n"/>
      <c r="Q160" s="43" t="inlineStr">
        <is>
          <t>BOARD</t>
        </is>
      </c>
      <c r="R160" s="33" t="inlineStr">
        <is>
          <t>REVISAR D607991: verificar accion documentada, PN/revision y vigencia para la corrida. No autoriza sustitucion ni uso de material.</t>
        </is>
      </c>
      <c r="S160" s="43" t="inlineStr">
        <is>
          <t>INFO</t>
        </is>
      </c>
      <c r="T160" s="33" t="inlineStr">
        <is>
          <t>Validar desviacion aprobada y estado; contrastar PN exacto y revision con Common DB, BOM/AVL, WO y fecha de corrida.</t>
        </is>
      </c>
      <c r="U160" s="33" t="inlineStr">
        <is>
          <t>Documento oficial firmado, autorizacion FJZ, revision/WO de alcance, confirmacion BOM y evidencia de implementacion si aplica.</t>
        </is>
      </c>
      <c r="V160" s="43" t="n"/>
      <c r="W160" s="43" t="n"/>
      <c r="X160" s="43" t="inlineStr">
        <is>
          <t>INFO</t>
        </is>
      </c>
      <c r="Y160" s="43" t="n"/>
      <c r="Z160" s="43" t="inlineStr">
        <is>
          <t>Pending Review</t>
        </is>
      </c>
      <c r="AA160" s="43" t="inlineStr">
        <is>
          <t>N</t>
        </is>
      </c>
      <c r="AB160" s="43" t="n"/>
      <c r="AC160" s="33" t="inlineStr">
        <is>
          <t xml:space="preserve">FUENTE: Deviation.csv filas 1758; Item Number original=73-18490-09 (prefijo 73- es CANDIDATO de PCBA, no confirmacion en Common DB); Workflow de origen=Expired; FJZ no validado, revision PCBA/WO no informadas. </t>
        </is>
      </c>
    </row>
    <row r="161">
      <c r="A161" s="43" t="inlineStr">
        <is>
          <t>DA-CTANJZ05000-STBU-73-18490-10</t>
        </is>
      </c>
      <c r="B161" s="43" t="n"/>
      <c r="C161" s="43" t="n"/>
      <c r="D161" s="43" t="inlineStr">
        <is>
          <t>73-18490-10</t>
        </is>
      </c>
      <c r="E161" s="43" t="inlineStr">
        <is>
          <t>DEV-CTANJZ05000</t>
        </is>
      </c>
      <c r="F161" s="43" t="n"/>
      <c r="G161" s="43" t="inlineStr">
        <is>
          <t>STBU</t>
        </is>
      </c>
      <c r="H161" s="43" t="n"/>
      <c r="I161" s="43" t="n"/>
      <c r="J161" s="43" t="n"/>
      <c r="K161" s="43" t="n"/>
      <c r="L161" s="43" t="n"/>
      <c r="M161" s="43" t="n"/>
      <c r="N161" s="43" t="n"/>
      <c r="O161" s="43" t="n"/>
      <c r="P161" s="43" t="n"/>
      <c r="Q161" s="43" t="inlineStr">
        <is>
          <t>BOARD</t>
        </is>
      </c>
      <c r="R161" s="33" t="inlineStr">
        <is>
          <t>REVISAR D607991: verificar accion documentada, PN/revision y vigencia para la corrida. No autoriza sustitucion ni uso de material.</t>
        </is>
      </c>
      <c r="S161" s="43" t="inlineStr">
        <is>
          <t>INFO</t>
        </is>
      </c>
      <c r="T161" s="33" t="inlineStr">
        <is>
          <t>Validar desviacion aprobada y estado; contrastar PN exacto y revision con Common DB, BOM/AVL, WO y fecha de corrida.</t>
        </is>
      </c>
      <c r="U161" s="33" t="inlineStr">
        <is>
          <t>Documento oficial firmado, autorizacion FJZ, revision/WO de alcance, confirmacion BOM y evidencia de implementacion si aplica.</t>
        </is>
      </c>
      <c r="V161" s="43" t="n"/>
      <c r="W161" s="43" t="n"/>
      <c r="X161" s="43" t="inlineStr">
        <is>
          <t>INFO</t>
        </is>
      </c>
      <c r="Y161" s="43" t="n"/>
      <c r="Z161" s="43" t="inlineStr">
        <is>
          <t>Pending Review</t>
        </is>
      </c>
      <c r="AA161" s="43" t="inlineStr">
        <is>
          <t>N</t>
        </is>
      </c>
      <c r="AB161" s="43" t="n"/>
      <c r="AC161" s="33" t="inlineStr">
        <is>
          <t xml:space="preserve">FUENTE: Deviation.csv filas 1759; Item Number original=73-18490-10 (prefijo 73- es CANDIDATO de PCBA, no confirmacion en Common DB); Workflow de origen=Expired; FJZ no validado, revision PCBA/WO no informadas. </t>
        </is>
      </c>
    </row>
    <row r="162">
      <c r="A162" s="43" t="inlineStr">
        <is>
          <t>DA-CTANJZ05000-STBU-73-21007-02</t>
        </is>
      </c>
      <c r="B162" s="43" t="n"/>
      <c r="C162" s="43" t="n"/>
      <c r="D162" s="43" t="inlineStr">
        <is>
          <t>73-21007-02</t>
        </is>
      </c>
      <c r="E162" s="43" t="inlineStr">
        <is>
          <t>DEV-CTANJZ05000</t>
        </is>
      </c>
      <c r="F162" s="43" t="n"/>
      <c r="G162" s="43" t="inlineStr">
        <is>
          <t>STBU</t>
        </is>
      </c>
      <c r="H162" s="43" t="n"/>
      <c r="I162" s="43" t="n"/>
      <c r="J162" s="43" t="n"/>
      <c r="K162" s="43" t="n"/>
      <c r="L162" s="43" t="n"/>
      <c r="M162" s="43" t="n"/>
      <c r="N162" s="43" t="n"/>
      <c r="O162" s="43" t="n"/>
      <c r="P162" s="43" t="n"/>
      <c r="Q162" s="43" t="inlineStr">
        <is>
          <t>BOARD</t>
        </is>
      </c>
      <c r="R162" s="33" t="inlineStr">
        <is>
          <t>REVISAR D607991: verificar accion documentada, PN/revision y vigencia para la corrida. No autoriza sustitucion ni uso de material.</t>
        </is>
      </c>
      <c r="S162" s="43" t="inlineStr">
        <is>
          <t>INFO</t>
        </is>
      </c>
      <c r="T162" s="33" t="inlineStr">
        <is>
          <t>Validar desviacion aprobada y estado; contrastar PN exacto y revision con Common DB, BOM/AVL, WO y fecha de corrida.</t>
        </is>
      </c>
      <c r="U162" s="33" t="inlineStr">
        <is>
          <t>Documento oficial firmado, autorizacion FJZ, revision/WO de alcance, confirmacion BOM y evidencia de implementacion si aplica.</t>
        </is>
      </c>
      <c r="V162" s="43" t="n"/>
      <c r="W162" s="43" t="n"/>
      <c r="X162" s="43" t="inlineStr">
        <is>
          <t>INFO</t>
        </is>
      </c>
      <c r="Y162" s="43" t="n"/>
      <c r="Z162" s="43" t="inlineStr">
        <is>
          <t>Pending Review</t>
        </is>
      </c>
      <c r="AA162" s="43" t="inlineStr">
        <is>
          <t>N</t>
        </is>
      </c>
      <c r="AB162" s="43" t="n"/>
      <c r="AC162" s="33" t="inlineStr">
        <is>
          <t xml:space="preserve">FUENTE: Deviation.csv filas 1760; Item Number original=73-21007-02 (prefijo 73- es CANDIDATO de PCBA, no confirmacion en Common DB); Workflow de origen=Expired; FJZ no validado, revision PCBA/WO no informadas. </t>
        </is>
      </c>
    </row>
    <row r="163">
      <c r="A163" s="43" t="inlineStr">
        <is>
          <t>DA-CTANJZ05000-STBU-73-21007-03</t>
        </is>
      </c>
      <c r="B163" s="43" t="n"/>
      <c r="C163" s="43" t="n"/>
      <c r="D163" s="43" t="inlineStr">
        <is>
          <t>73-21007-03</t>
        </is>
      </c>
      <c r="E163" s="43" t="inlineStr">
        <is>
          <t>DEV-CTANJZ05000</t>
        </is>
      </c>
      <c r="F163" s="43" t="n"/>
      <c r="G163" s="43" t="inlineStr">
        <is>
          <t>STBU</t>
        </is>
      </c>
      <c r="H163" s="43" t="n"/>
      <c r="I163" s="43" t="n"/>
      <c r="J163" s="43" t="n"/>
      <c r="K163" s="43" t="n"/>
      <c r="L163" s="43" t="n"/>
      <c r="M163" s="43" t="n"/>
      <c r="N163" s="43" t="n"/>
      <c r="O163" s="43" t="n"/>
      <c r="P163" s="43" t="n"/>
      <c r="Q163" s="43" t="inlineStr">
        <is>
          <t>BOARD</t>
        </is>
      </c>
      <c r="R163" s="33" t="inlineStr">
        <is>
          <t>REVISAR D607991: verificar accion documentada, PN/revision y vigencia para la corrida. No autoriza sustitucion ni uso de material.</t>
        </is>
      </c>
      <c r="S163" s="43" t="inlineStr">
        <is>
          <t>INFO</t>
        </is>
      </c>
      <c r="T163" s="33" t="inlineStr">
        <is>
          <t>Validar desviacion aprobada y estado; contrastar PN exacto y revision con Common DB, BOM/AVL, WO y fecha de corrida.</t>
        </is>
      </c>
      <c r="U163" s="33" t="inlineStr">
        <is>
          <t>Documento oficial firmado, autorizacion FJZ, revision/WO de alcance, confirmacion BOM y evidencia de implementacion si aplica.</t>
        </is>
      </c>
      <c r="V163" s="43" t="n"/>
      <c r="W163" s="43" t="n"/>
      <c r="X163" s="43" t="inlineStr">
        <is>
          <t>INFO</t>
        </is>
      </c>
      <c r="Y163" s="43" t="n"/>
      <c r="Z163" s="43" t="inlineStr">
        <is>
          <t>Pending Review</t>
        </is>
      </c>
      <c r="AA163" s="43" t="inlineStr">
        <is>
          <t>N</t>
        </is>
      </c>
      <c r="AB163" s="43" t="n"/>
      <c r="AC163" s="33" t="inlineStr">
        <is>
          <t xml:space="preserve">FUENTE: Deviation.csv filas 1761; Item Number original=73-21007-03 (prefijo 73- es CANDIDATO de PCBA, no confirmacion en Common DB); Workflow de origen=Expired; FJZ no validado, revision PCBA/WO no informadas. </t>
        </is>
      </c>
    </row>
    <row r="164">
      <c r="A164" s="43" t="inlineStr">
        <is>
          <t>DA-CTANJZ05001-STBU-73-20249-06</t>
        </is>
      </c>
      <c r="B164" s="43" t="inlineStr">
        <is>
          <t>TUFNELL PARK</t>
        </is>
      </c>
      <c r="C164" s="43" t="n"/>
      <c r="D164" s="43" t="inlineStr">
        <is>
          <t>73-20249-06</t>
        </is>
      </c>
      <c r="E164" s="43" t="inlineStr">
        <is>
          <t>DEV-CTANJZ05001</t>
        </is>
      </c>
      <c r="F164" s="43" t="n"/>
      <c r="G164" s="43" t="inlineStr">
        <is>
          <t>STBU</t>
        </is>
      </c>
      <c r="H164" s="43" t="n"/>
      <c r="I164" s="43" t="n"/>
      <c r="J164" s="43" t="n"/>
      <c r="K164" s="43" t="n"/>
      <c r="L164" s="43" t="n"/>
      <c r="M164" s="43" t="n"/>
      <c r="N164" s="43" t="n"/>
      <c r="O164" s="43" t="n"/>
      <c r="P164" s="43" t="n"/>
      <c r="Q164" s="43" t="inlineStr">
        <is>
          <t>BOARD</t>
        </is>
      </c>
      <c r="R164" s="33" t="inlineStr">
        <is>
          <t>REVISAR D607678: verificar accion documentada, PN/revision y vigencia para la corrida. No autoriza sustitucion ni uso de material.</t>
        </is>
      </c>
      <c r="S164" s="43" t="inlineStr">
        <is>
          <t>INFO</t>
        </is>
      </c>
      <c r="T164" s="33" t="inlineStr">
        <is>
          <t>Validar desviacion aprobada y estado; contrastar PN exacto y revision con Common DB, BOM/AVL, WO y fecha de corrida.</t>
        </is>
      </c>
      <c r="U164" s="33" t="inlineStr">
        <is>
          <t>Documento oficial firmado, autorizacion FJZ, revision/WO de alcance, confirmacion BOM y evidencia de implementacion si aplica.</t>
        </is>
      </c>
      <c r="V164" s="43" t="n"/>
      <c r="W164" s="43" t="n"/>
      <c r="X164" s="43" t="inlineStr">
        <is>
          <t>INFO</t>
        </is>
      </c>
      <c r="Y164" s="43" t="n"/>
      <c r="Z164" s="43" t="inlineStr">
        <is>
          <t>Pending Review</t>
        </is>
      </c>
      <c r="AA164" s="43" t="inlineStr">
        <is>
          <t>N</t>
        </is>
      </c>
      <c r="AB164" s="43" t="n"/>
      <c r="AC164" s="33" t="inlineStr">
        <is>
          <t xml:space="preserve">FUENTE: Deviation.csv filas 1443; Item Number original=73-20249-06 (prefijo 73- es CANDIDATO de PCBA, no confirmacion en Common DB); Workflow de origen=Expired; FJZ no validado, revision PCBA/WO no informadas. </t>
        </is>
      </c>
    </row>
    <row r="165">
      <c r="A165" s="43" t="inlineStr">
        <is>
          <t>DA-CTANJZ05004-CVEBU-73-102121-01</t>
        </is>
      </c>
      <c r="B165" s="43" t="n"/>
      <c r="C165" s="43" t="n"/>
      <c r="D165" s="43" t="inlineStr">
        <is>
          <t>73-102121-01</t>
        </is>
      </c>
      <c r="E165" s="43" t="inlineStr">
        <is>
          <t>DEV-CTANJZ05004</t>
        </is>
      </c>
      <c r="F165" s="43" t="n"/>
      <c r="G165" s="43" t="inlineStr">
        <is>
          <t>CVEBU</t>
        </is>
      </c>
      <c r="H165" s="43" t="n"/>
      <c r="I165" s="43" t="n"/>
      <c r="J165" s="43" t="n"/>
      <c r="K165" s="43" t="n"/>
      <c r="L165" s="43" t="n"/>
      <c r="M165" s="43" t="n"/>
      <c r="N165" s="43" t="n"/>
      <c r="O165" s="43" t="n"/>
      <c r="P165" s="43" t="n"/>
      <c r="Q165" s="43" t="inlineStr">
        <is>
          <t>BOARD</t>
        </is>
      </c>
      <c r="R165" s="33" t="inlineStr">
        <is>
          <t>REVISAR D607851: verificar accion documentada, PN/revision y vigencia para la corrida. No autoriza sustitucion ni uso de material.</t>
        </is>
      </c>
      <c r="S165" s="43" t="inlineStr">
        <is>
          <t>INFO</t>
        </is>
      </c>
      <c r="T165" s="33" t="inlineStr">
        <is>
          <t>Validar desviacion aprobada y estado; contrastar PN exacto y revision con Common DB, BOM/AVL, WO y fecha de corrida.</t>
        </is>
      </c>
      <c r="U165" s="33" t="inlineStr">
        <is>
          <t>Documento oficial firmado, autorizacion FJZ, revision/WO de alcance, confirmacion BOM y evidencia de implementacion si aplica.</t>
        </is>
      </c>
      <c r="V165" s="43" t="n"/>
      <c r="W165" s="43" t="n"/>
      <c r="X165" s="43" t="inlineStr">
        <is>
          <t>INFO</t>
        </is>
      </c>
      <c r="Y165" s="43" t="n"/>
      <c r="Z165" s="43" t="inlineStr">
        <is>
          <t>Pending Review</t>
        </is>
      </c>
      <c r="AA165" s="43" t="inlineStr">
        <is>
          <t>N</t>
        </is>
      </c>
      <c r="AB165" s="43" t="n"/>
      <c r="AC165" s="33" t="inlineStr">
        <is>
          <t xml:space="preserve">FUENTE: Deviation.csv filas 125; Item Number original=73-102121-01 (prefijo 73- es CANDIDATO de PCBA, no confirmacion en Common DB); Workflow de origen=Expired; FJZ no validado, revision PCBA/WO no informadas. </t>
        </is>
      </c>
    </row>
    <row r="166">
      <c r="A166" s="43" t="inlineStr">
        <is>
          <t>DA-CTANJZ05009-CVEBU-73-102365-01</t>
        </is>
      </c>
      <c r="B166" s="43" t="n"/>
      <c r="C166" s="43" t="n"/>
      <c r="D166" s="43" t="inlineStr">
        <is>
          <t>73-102365-01</t>
        </is>
      </c>
      <c r="E166" s="43" t="inlineStr">
        <is>
          <t>DEV-CTANJZ05009</t>
        </is>
      </c>
      <c r="F166" s="43" t="n"/>
      <c r="G166" s="43" t="inlineStr">
        <is>
          <t>CVEBU</t>
        </is>
      </c>
      <c r="H166" s="43" t="n"/>
      <c r="I166" s="43" t="n"/>
      <c r="J166" s="43" t="n"/>
      <c r="K166" s="43" t="n"/>
      <c r="L166" s="43" t="n"/>
      <c r="M166" s="43" t="n"/>
      <c r="N166" s="43" t="n"/>
      <c r="O166" s="43" t="n"/>
      <c r="P166" s="43" t="n"/>
      <c r="Q166" s="43" t="inlineStr">
        <is>
          <t>BOARD</t>
        </is>
      </c>
      <c r="R166" s="33" t="inlineStr">
        <is>
          <t>REVISAR D607538: verificar accion documentada, PN/revision y vigencia para la corrida. No autoriza sustitucion ni uso de material.</t>
        </is>
      </c>
      <c r="S166" s="43" t="inlineStr">
        <is>
          <t>INFO</t>
        </is>
      </c>
      <c r="T166" s="33" t="inlineStr">
        <is>
          <t>Validar desviacion aprobada y estado; contrastar PN exacto y revision con Common DB, BOM/AVL, WO y fecha de corrida.</t>
        </is>
      </c>
      <c r="U166" s="33" t="inlineStr">
        <is>
          <t>Documento oficial firmado, autorizacion FJZ, revision/WO de alcance, confirmacion BOM y evidencia de implementacion si aplica.</t>
        </is>
      </c>
      <c r="V166" s="43" t="n"/>
      <c r="W166" s="43" t="n"/>
      <c r="X166" s="43" t="inlineStr">
        <is>
          <t>INFO</t>
        </is>
      </c>
      <c r="Y166" s="43" t="n"/>
      <c r="Z166" s="43" t="inlineStr">
        <is>
          <t>Pending Review</t>
        </is>
      </c>
      <c r="AA166" s="43" t="inlineStr">
        <is>
          <t>N</t>
        </is>
      </c>
      <c r="AB166" s="43" t="n"/>
      <c r="AC166" s="33" t="inlineStr">
        <is>
          <t xml:space="preserve">FUENTE: Deviation.csv filas 165; Item Number original=73-102365-01 (prefijo 73- es CANDIDATO de PCBA, no confirmacion en Common DB); Workflow de origen=Expired; FJZ no validado, revision PCBA/WO no informadas. </t>
        </is>
      </c>
    </row>
    <row r="167">
      <c r="A167" s="43" t="inlineStr">
        <is>
          <t>DA-CTANJZ05011-CVEBU-73-103459-02</t>
        </is>
      </c>
      <c r="B167" s="43" t="inlineStr">
        <is>
          <t>HEIMDALL</t>
        </is>
      </c>
      <c r="C167" s="43" t="n"/>
      <c r="D167" s="43" t="inlineStr">
        <is>
          <t>73-103459-02</t>
        </is>
      </c>
      <c r="E167" s="43" t="inlineStr">
        <is>
          <t>DEV-CTANJZ05011</t>
        </is>
      </c>
      <c r="F167" s="43" t="n"/>
      <c r="G167" s="43" t="inlineStr">
        <is>
          <t>CVEBU</t>
        </is>
      </c>
      <c r="H167" s="43" t="n"/>
      <c r="I167" s="43" t="n"/>
      <c r="J167" s="43" t="n"/>
      <c r="K167" s="43" t="n"/>
      <c r="L167" s="43" t="n"/>
      <c r="M167" s="43" t="n"/>
      <c r="N167" s="43" t="n"/>
      <c r="O167" s="43" t="n"/>
      <c r="P167" s="43" t="n"/>
      <c r="Q167" s="43" t="inlineStr">
        <is>
          <t>BOARD</t>
        </is>
      </c>
      <c r="R167" s="33" t="inlineStr">
        <is>
          <t>REVISAR D607854: verificar accion documentada, PN/revision y vigencia para la corrida. No autoriza sustitucion ni uso de material.</t>
        </is>
      </c>
      <c r="S167" s="43" t="inlineStr">
        <is>
          <t>INFO</t>
        </is>
      </c>
      <c r="T167" s="33" t="inlineStr">
        <is>
          <t>Validar desviacion aprobada y estado; contrastar PN exacto y revision con Common DB, BOM/AVL, WO y fecha de corrida.</t>
        </is>
      </c>
      <c r="U167" s="33" t="inlineStr">
        <is>
          <t>Documento oficial firmado, autorizacion FJZ, revision/WO de alcance, confirmacion BOM y evidencia de implementacion si aplica.</t>
        </is>
      </c>
      <c r="V167" s="43" t="n"/>
      <c r="W167" s="43" t="n"/>
      <c r="X167" s="43" t="inlineStr">
        <is>
          <t>INFO</t>
        </is>
      </c>
      <c r="Y167" s="43" t="n"/>
      <c r="Z167" s="43" t="inlineStr">
        <is>
          <t>Pending Review</t>
        </is>
      </c>
      <c r="AA167" s="43" t="inlineStr">
        <is>
          <t>N</t>
        </is>
      </c>
      <c r="AB167" s="43" t="n"/>
      <c r="AC167" s="33" t="inlineStr">
        <is>
          <t xml:space="preserve">FUENTE: Deviation.csv filas 127; Item Number original=73-103459-02 (prefijo 73- es CANDIDATO de PCBA, no confirmacion en Common DB); Workflow de origen=Expired; FJZ no validado, revision PCBA/WO no informadas. </t>
        </is>
      </c>
    </row>
    <row r="168">
      <c r="A168" s="43" t="inlineStr">
        <is>
          <t>DA-CTANJZ05014-STBU-73-102435-05</t>
        </is>
      </c>
      <c r="B168" s="43" t="n"/>
      <c r="C168" s="43" t="n"/>
      <c r="D168" s="43" t="inlineStr">
        <is>
          <t>73-102435-05</t>
        </is>
      </c>
      <c r="E168" s="43" t="inlineStr">
        <is>
          <t>DEV-CTANJZ05014</t>
        </is>
      </c>
      <c r="F168" s="43" t="n"/>
      <c r="G168" s="43" t="inlineStr">
        <is>
          <t>STBU</t>
        </is>
      </c>
      <c r="H168" s="43" t="n"/>
      <c r="I168" s="43" t="n"/>
      <c r="J168" s="43" t="n"/>
      <c r="K168" s="43" t="n"/>
      <c r="L168" s="43" t="n"/>
      <c r="M168" s="43" t="n"/>
      <c r="N168" s="43" t="n"/>
      <c r="O168" s="43" t="n"/>
      <c r="P168" s="43" t="n"/>
      <c r="Q168" s="43" t="inlineStr">
        <is>
          <t>BOARD</t>
        </is>
      </c>
      <c r="R168" s="33" t="inlineStr">
        <is>
          <t>REVISAR D608072: verificar accion documentada, PN/revision y vigencia para la corrida. No autoriza sustitucion ni uso de material.</t>
        </is>
      </c>
      <c r="S168" s="43" t="inlineStr">
        <is>
          <t>INFO</t>
        </is>
      </c>
      <c r="T168" s="33" t="inlineStr">
        <is>
          <t>Validar desviacion aprobada y estado; contrastar PN exacto y revision con Common DB, BOM/AVL, WO y fecha de corrida.</t>
        </is>
      </c>
      <c r="U168" s="33" t="inlineStr">
        <is>
          <t>Documento oficial firmado, autorizacion FJZ, revision/WO de alcance, confirmacion BOM y evidencia de implementacion si aplica.</t>
        </is>
      </c>
      <c r="V168" s="43" t="n"/>
      <c r="W168" s="43" t="n"/>
      <c r="X168" s="43" t="inlineStr">
        <is>
          <t>INFO</t>
        </is>
      </c>
      <c r="Y168" s="43" t="n"/>
      <c r="Z168" s="43" t="inlineStr">
        <is>
          <t>Pending Review</t>
        </is>
      </c>
      <c r="AA168" s="43" t="inlineStr">
        <is>
          <t>N</t>
        </is>
      </c>
      <c r="AB168" s="43" t="n"/>
      <c r="AC168" s="33" t="inlineStr">
        <is>
          <t xml:space="preserve">FUENTE: Deviation.csv filas 1448; Item Number original=73-102435-05 (prefijo 73- es CANDIDATO de PCBA, no confirmacion en Common DB); Workflow de origen=Expired; FJZ no validado, revision PCBA/WO no informadas. </t>
        </is>
      </c>
    </row>
    <row r="169">
      <c r="A169" s="43" t="inlineStr">
        <is>
          <t>DA-CTANJZ05022-STBU-73-18489-08</t>
        </is>
      </c>
      <c r="B169" s="43" t="n"/>
      <c r="C169" s="43" t="n"/>
      <c r="D169" s="43" t="inlineStr">
        <is>
          <t>73-18489-08</t>
        </is>
      </c>
      <c r="E169" s="43" t="inlineStr">
        <is>
          <t>DEV-CTANJZ05022</t>
        </is>
      </c>
      <c r="F169" s="43" t="n"/>
      <c r="G169" s="43" t="inlineStr">
        <is>
          <t>STBU</t>
        </is>
      </c>
      <c r="H169" s="43" t="n"/>
      <c r="I169" s="43" t="n"/>
      <c r="J169" s="43" t="n"/>
      <c r="K169" s="43" t="n"/>
      <c r="L169" s="43" t="n"/>
      <c r="M169" s="43" t="n"/>
      <c r="N169" s="43" t="n"/>
      <c r="O169" s="43" t="n"/>
      <c r="P169" s="43" t="n"/>
      <c r="Q169" s="43" t="inlineStr">
        <is>
          <t>BOARD</t>
        </is>
      </c>
      <c r="R169" s="33" t="inlineStr">
        <is>
          <t>REVISAR D607604: verificar accion documentada, PN/revision y vigencia para la corrida. No autoriza sustitucion ni uso de material.</t>
        </is>
      </c>
      <c r="S169" s="43" t="inlineStr">
        <is>
          <t>INFO</t>
        </is>
      </c>
      <c r="T169" s="33" t="inlineStr">
        <is>
          <t>Validar desviacion aprobada y estado; contrastar PN exacto y revision con Common DB, BOM/AVL, WO y fecha de corrida.</t>
        </is>
      </c>
      <c r="U169" s="33" t="inlineStr">
        <is>
          <t>Documento oficial firmado, autorizacion FJZ, revision/WO de alcance, confirmacion BOM y evidencia de implementacion si aplica.</t>
        </is>
      </c>
      <c r="V169" s="43" t="n"/>
      <c r="W169" s="43" t="n"/>
      <c r="X169" s="43" t="inlineStr">
        <is>
          <t>INFO</t>
        </is>
      </c>
      <c r="Y169" s="43" t="n"/>
      <c r="Z169" s="43" t="inlineStr">
        <is>
          <t>Pending Review</t>
        </is>
      </c>
      <c r="AA169" s="43" t="inlineStr">
        <is>
          <t>N</t>
        </is>
      </c>
      <c r="AB169" s="43" t="n"/>
      <c r="AC169" s="33" t="inlineStr">
        <is>
          <t xml:space="preserve">FUENTE: Deviation.csv filas 1557; Item Number original=73-18489-08 (prefijo 73- es CANDIDATO de PCBA, no confirmacion en Common DB); Workflow de origen=Expired; FJZ no validado, revision PCBA/WO no informadas. </t>
        </is>
      </c>
    </row>
    <row r="170">
      <c r="A170" s="43" t="inlineStr">
        <is>
          <t>DA-CTANJZ05026-IOTBU-73-101439-04</t>
        </is>
      </c>
      <c r="B170" s="43" t="n"/>
      <c r="C170" s="43" t="n"/>
      <c r="D170" s="43" t="inlineStr">
        <is>
          <t>73-101439-04</t>
        </is>
      </c>
      <c r="E170" s="43" t="inlineStr">
        <is>
          <t>DEV-CTANJZ05026</t>
        </is>
      </c>
      <c r="F170" s="43" t="n"/>
      <c r="G170" s="43" t="inlineStr">
        <is>
          <t>IOTBU</t>
        </is>
      </c>
      <c r="H170" s="43" t="n"/>
      <c r="I170" s="43" t="n"/>
      <c r="J170" s="43" t="n"/>
      <c r="K170" s="43" t="n"/>
      <c r="L170" s="43" t="n"/>
      <c r="M170" s="43" t="n"/>
      <c r="N170" s="43" t="n"/>
      <c r="O170" s="43" t="n"/>
      <c r="P170" s="43" t="n"/>
      <c r="Q170" s="43" t="inlineStr">
        <is>
          <t>BOARD</t>
        </is>
      </c>
      <c r="R170" s="33" t="inlineStr">
        <is>
          <t>REVISAR D608324: verificar accion documentada, PN/revision y vigencia para la corrida. No autoriza sustitucion ni uso de material.</t>
        </is>
      </c>
      <c r="S170" s="43" t="inlineStr">
        <is>
          <t>INFO</t>
        </is>
      </c>
      <c r="T170" s="33" t="inlineStr">
        <is>
          <t>Validar desviacion aprobada y estado; contrastar PN exacto y revision con Common DB, BOM/AVL, WO y fecha de corrida.</t>
        </is>
      </c>
      <c r="U170" s="33" t="inlineStr">
        <is>
          <t>Documento oficial firmado, autorizacion FJZ, revision/WO de alcance, confirmacion BOM y evidencia de implementacion si aplica.</t>
        </is>
      </c>
      <c r="V170" s="43" t="n"/>
      <c r="W170" s="43" t="n"/>
      <c r="X170" s="43" t="inlineStr">
        <is>
          <t>INFO</t>
        </is>
      </c>
      <c r="Y170" s="43" t="n"/>
      <c r="Z170" s="43" t="inlineStr">
        <is>
          <t>Pending Review</t>
        </is>
      </c>
      <c r="AA170" s="43" t="inlineStr">
        <is>
          <t>N</t>
        </is>
      </c>
      <c r="AB170" s="43" t="n"/>
      <c r="AC170" s="33" t="inlineStr">
        <is>
          <t xml:space="preserve">FUENTE: Deviation.csv filas 1042; Item Number original=73-101439-04 (prefijo 73- es CANDIDATO de PCBA, no confirmacion en Common DB); Workflow de origen=Expired; FJZ no validado, revision PCBA/WO no informadas. </t>
        </is>
      </c>
    </row>
    <row r="171">
      <c r="A171" s="43" t="inlineStr">
        <is>
          <t>DA-CTANJZ05026-IOTBU-73-102239-04</t>
        </is>
      </c>
      <c r="B171" s="43" t="n"/>
      <c r="C171" s="43" t="n"/>
      <c r="D171" s="43" t="inlineStr">
        <is>
          <t>73-102239-04</t>
        </is>
      </c>
      <c r="E171" s="43" t="inlineStr">
        <is>
          <t>DEV-CTANJZ05026</t>
        </is>
      </c>
      <c r="F171" s="43" t="n"/>
      <c r="G171" s="43" t="inlineStr">
        <is>
          <t>IOTBU</t>
        </is>
      </c>
      <c r="H171" s="43" t="n"/>
      <c r="I171" s="43" t="n"/>
      <c r="J171" s="43" t="n"/>
      <c r="K171" s="43" t="n"/>
      <c r="L171" s="43" t="n"/>
      <c r="M171" s="43" t="n"/>
      <c r="N171" s="43" t="n"/>
      <c r="O171" s="43" t="n"/>
      <c r="P171" s="43" t="n"/>
      <c r="Q171" s="43" t="inlineStr">
        <is>
          <t>BOARD</t>
        </is>
      </c>
      <c r="R171" s="33" t="inlineStr">
        <is>
          <t>REVISAR D608324: verificar accion documentada, PN/revision y vigencia para la corrida. No autoriza sustitucion ni uso de material.</t>
        </is>
      </c>
      <c r="S171" s="43" t="inlineStr">
        <is>
          <t>INFO</t>
        </is>
      </c>
      <c r="T171" s="33" t="inlineStr">
        <is>
          <t>Validar desviacion aprobada y estado; contrastar PN exacto y revision con Common DB, BOM/AVL, WO y fecha de corrida.</t>
        </is>
      </c>
      <c r="U171" s="33" t="inlineStr">
        <is>
          <t>Documento oficial firmado, autorizacion FJZ, revision/WO de alcance, confirmacion BOM y evidencia de implementacion si aplica.</t>
        </is>
      </c>
      <c r="V171" s="43" t="n"/>
      <c r="W171" s="43" t="n"/>
      <c r="X171" s="43" t="inlineStr">
        <is>
          <t>INFO</t>
        </is>
      </c>
      <c r="Y171" s="43" t="n"/>
      <c r="Z171" s="43" t="inlineStr">
        <is>
          <t>Pending Review</t>
        </is>
      </c>
      <c r="AA171" s="43" t="inlineStr">
        <is>
          <t>N</t>
        </is>
      </c>
      <c r="AB171" s="43" t="n"/>
      <c r="AC171" s="33" t="inlineStr">
        <is>
          <t xml:space="preserve">FUENTE: Deviation.csv filas 1043; Item Number original=73-102239-04 (prefijo 73- es CANDIDATO de PCBA, no confirmacion en Common DB); Workflow de origen=Expired; FJZ no validado, revision PCBA/WO no informadas. </t>
        </is>
      </c>
    </row>
    <row r="172">
      <c r="A172" s="43" t="inlineStr">
        <is>
          <t>DA-CTANJZ05026-IOTBU-73-103098-03</t>
        </is>
      </c>
      <c r="B172" s="43" t="n"/>
      <c r="C172" s="43" t="n"/>
      <c r="D172" s="43" t="inlineStr">
        <is>
          <t>73-103098-03</t>
        </is>
      </c>
      <c r="E172" s="43" t="inlineStr">
        <is>
          <t>DEV-CTANJZ05026</t>
        </is>
      </c>
      <c r="F172" s="43" t="n"/>
      <c r="G172" s="43" t="inlineStr">
        <is>
          <t>IOTBU</t>
        </is>
      </c>
      <c r="H172" s="43" t="n"/>
      <c r="I172" s="43" t="n"/>
      <c r="J172" s="43" t="n"/>
      <c r="K172" s="43" t="n"/>
      <c r="L172" s="43" t="n"/>
      <c r="M172" s="43" t="n"/>
      <c r="N172" s="43" t="n"/>
      <c r="O172" s="43" t="n"/>
      <c r="P172" s="43" t="n"/>
      <c r="Q172" s="43" t="inlineStr">
        <is>
          <t>BOARD</t>
        </is>
      </c>
      <c r="R172" s="33" t="inlineStr">
        <is>
          <t>REVISAR D608324: verificar accion documentada, PN/revision y vigencia para la corrida. No autoriza sustitucion ni uso de material.</t>
        </is>
      </c>
      <c r="S172" s="43" t="inlineStr">
        <is>
          <t>INFO</t>
        </is>
      </c>
      <c r="T172" s="33" t="inlineStr">
        <is>
          <t>Validar desviacion aprobada y estado; contrastar PN exacto y revision con Common DB, BOM/AVL, WO y fecha de corrida.</t>
        </is>
      </c>
      <c r="U172" s="33" t="inlineStr">
        <is>
          <t>Documento oficial firmado, autorizacion FJZ, revision/WO de alcance, confirmacion BOM y evidencia de implementacion si aplica.</t>
        </is>
      </c>
      <c r="V172" s="43" t="n"/>
      <c r="W172" s="43" t="n"/>
      <c r="X172" s="43" t="inlineStr">
        <is>
          <t>INFO</t>
        </is>
      </c>
      <c r="Y172" s="43" t="n"/>
      <c r="Z172" s="43" t="inlineStr">
        <is>
          <t>Pending Review</t>
        </is>
      </c>
      <c r="AA172" s="43" t="inlineStr">
        <is>
          <t>N</t>
        </is>
      </c>
      <c r="AB172" s="43" t="n"/>
      <c r="AC172" s="33" t="inlineStr">
        <is>
          <t xml:space="preserve">FUENTE: Deviation.csv filas 1044; Item Number original=73-103098-03 (prefijo 73- es CANDIDATO de PCBA, no confirmacion en Common DB); Workflow de origen=Expired; FJZ no validado, revision PCBA/WO no informadas. </t>
        </is>
      </c>
    </row>
    <row r="173">
      <c r="A173" s="43" t="inlineStr">
        <is>
          <t>DA-CTANJZ05029-STBU-73-103633-04</t>
        </is>
      </c>
      <c r="B173" s="43" t="n"/>
      <c r="C173" s="43" t="n"/>
      <c r="D173" s="43" t="inlineStr">
        <is>
          <t>73-103633-04</t>
        </is>
      </c>
      <c r="E173" s="43" t="inlineStr">
        <is>
          <t>DEV-CTANJZ05029</t>
        </is>
      </c>
      <c r="F173" s="43" t="n"/>
      <c r="G173" s="43" t="inlineStr">
        <is>
          <t>STBU</t>
        </is>
      </c>
      <c r="H173" s="43" t="n"/>
      <c r="I173" s="43" t="n"/>
      <c r="J173" s="43" t="n"/>
      <c r="K173" s="43" t="n"/>
      <c r="L173" s="43" t="n"/>
      <c r="M173" s="43" t="n"/>
      <c r="N173" s="43" t="n"/>
      <c r="O173" s="43" t="n"/>
      <c r="P173" s="43" t="n"/>
      <c r="Q173" s="43" t="inlineStr">
        <is>
          <t>BOARD</t>
        </is>
      </c>
      <c r="R173" s="33" t="inlineStr">
        <is>
          <t>REVISAR D608309: verificar accion documentada, PN/revision y vigencia para la corrida. No autoriza sustitucion ni uso de material.</t>
        </is>
      </c>
      <c r="S173" s="43" t="inlineStr">
        <is>
          <t>INFO</t>
        </is>
      </c>
      <c r="T173" s="33" t="inlineStr">
        <is>
          <t>Validar desviacion aprobada y estado; contrastar PN exacto y revision con Common DB, BOM/AVL, WO y fecha de corrida.</t>
        </is>
      </c>
      <c r="U173" s="33" t="inlineStr">
        <is>
          <t>Documento oficial firmado, autorizacion FJZ, revision/WO de alcance, confirmacion BOM y evidencia de implementacion si aplica.</t>
        </is>
      </c>
      <c r="V173" s="43" t="n"/>
      <c r="W173" s="43" t="n"/>
      <c r="X173" s="43" t="inlineStr">
        <is>
          <t>INFO</t>
        </is>
      </c>
      <c r="Y173" s="43" t="n"/>
      <c r="Z173" s="43" t="inlineStr">
        <is>
          <t>Pending Review</t>
        </is>
      </c>
      <c r="AA173" s="43" t="inlineStr">
        <is>
          <t>N</t>
        </is>
      </c>
      <c r="AB173" s="43" t="n"/>
      <c r="AC173" s="33" t="inlineStr">
        <is>
          <t xml:space="preserve">FUENTE: Deviation.csv filas 965; Item Number original=73-103633-04 (prefijo 73- es CANDIDATO de PCBA, no confirmacion en Common DB); Workflow de origen=Expired; FJZ no validado, revision PCBA/WO no informadas. </t>
        </is>
      </c>
    </row>
    <row r="174">
      <c r="A174" s="43" t="inlineStr">
        <is>
          <t>DA-CTANJZ05041-CVEBU-73-103826-04</t>
        </is>
      </c>
      <c r="B174" s="43" t="n"/>
      <c r="C174" s="43" t="n"/>
      <c r="D174" s="43" t="inlineStr">
        <is>
          <t>73-103826-04</t>
        </is>
      </c>
      <c r="E174" s="43" t="inlineStr">
        <is>
          <t>DEV-CTANJZ05041</t>
        </is>
      </c>
      <c r="F174" s="43" t="n"/>
      <c r="G174" s="43" t="inlineStr">
        <is>
          <t>CVEBU</t>
        </is>
      </c>
      <c r="H174" s="43" t="n"/>
      <c r="I174" s="43" t="n"/>
      <c r="J174" s="43" t="n"/>
      <c r="K174" s="43" t="n"/>
      <c r="L174" s="43" t="n"/>
      <c r="M174" s="43" t="n"/>
      <c r="N174" s="43" t="n"/>
      <c r="O174" s="43" t="n"/>
      <c r="P174" s="43" t="n"/>
      <c r="Q174" s="43" t="inlineStr">
        <is>
          <t>BOARD</t>
        </is>
      </c>
      <c r="R174" s="33" t="inlineStr">
        <is>
          <t>REVISAR DP525661: verificar accion documentada, PN/revision y vigencia para la corrida. No autoriza sustitucion ni uso de material.</t>
        </is>
      </c>
      <c r="S174" s="43" t="inlineStr">
        <is>
          <t>INFO</t>
        </is>
      </c>
      <c r="T174" s="33" t="inlineStr">
        <is>
          <t>Validar desviacion aprobada y estado; contrastar PN exacto y revision con Common DB, BOM/AVL, WO y fecha de corrida.</t>
        </is>
      </c>
      <c r="U174" s="33" t="inlineStr">
        <is>
          <t>Documento oficial firmado, autorizacion FJZ, revision/WO de alcance, confirmacion BOM y evidencia de implementacion si aplica.</t>
        </is>
      </c>
      <c r="V174" s="43" t="n"/>
      <c r="W174" s="43" t="n"/>
      <c r="X174" s="43" t="inlineStr">
        <is>
          <t>INFO</t>
        </is>
      </c>
      <c r="Y174" s="43" t="n"/>
      <c r="Z174" s="43" t="inlineStr">
        <is>
          <t>Pending Review</t>
        </is>
      </c>
      <c r="AA174" s="43" t="inlineStr">
        <is>
          <t>N</t>
        </is>
      </c>
      <c r="AB174" s="43" t="n"/>
      <c r="AC174" s="33" t="inlineStr">
        <is>
          <t xml:space="preserve">FUENTE: Deviation.csv filas 155; Item Number original=73-103826-04 (prefijo 73- es CANDIDATO de PCBA, no confirmacion en Common DB); Workflow de origen=Expired; FJZ no validado, revision PCBA/WO no informadas. </t>
        </is>
      </c>
    </row>
    <row r="175">
      <c r="A175" s="43" t="inlineStr">
        <is>
          <t>DA-CTANJZ05042-STBU-73-102433-05</t>
        </is>
      </c>
      <c r="B175" s="43" t="n"/>
      <c r="C175" s="43" t="n"/>
      <c r="D175" s="43" t="inlineStr">
        <is>
          <t>73-102433-05</t>
        </is>
      </c>
      <c r="E175" s="43" t="inlineStr">
        <is>
          <t>DEV-CTANJZ05042</t>
        </is>
      </c>
      <c r="F175" s="43" t="n"/>
      <c r="G175" s="43" t="inlineStr">
        <is>
          <t>STBU</t>
        </is>
      </c>
      <c r="H175" s="43" t="n"/>
      <c r="I175" s="43" t="n"/>
      <c r="J175" s="43" t="n"/>
      <c r="K175" s="43" t="n"/>
      <c r="L175" s="43" t="n"/>
      <c r="M175" s="43" t="n"/>
      <c r="N175" s="43" t="n"/>
      <c r="O175" s="43" t="n"/>
      <c r="P175" s="43" t="n"/>
      <c r="Q175" s="43" t="inlineStr">
        <is>
          <t>BOARD</t>
        </is>
      </c>
      <c r="R175" s="33" t="inlineStr">
        <is>
          <t>REVISAR D608554: verificar accion documentada, PN/revision y vigencia para la corrida. No autoriza sustitucion ni uso de material.</t>
        </is>
      </c>
      <c r="S175" s="43" t="inlineStr">
        <is>
          <t>INFO</t>
        </is>
      </c>
      <c r="T175" s="33" t="inlineStr">
        <is>
          <t>Validar desviacion aprobada y estado; contrastar PN exacto y revision con Common DB, BOM/AVL, WO y fecha de corrida.</t>
        </is>
      </c>
      <c r="U175" s="33" t="inlineStr">
        <is>
          <t>Documento oficial firmado, autorizacion FJZ, revision/WO de alcance, confirmacion BOM y evidencia de implementacion si aplica.</t>
        </is>
      </c>
      <c r="V175" s="43" t="n"/>
      <c r="W175" s="43" t="n"/>
      <c r="X175" s="43" t="inlineStr">
        <is>
          <t>INFO</t>
        </is>
      </c>
      <c r="Y175" s="43" t="n"/>
      <c r="Z175" s="43" t="inlineStr">
        <is>
          <t>Pending Review</t>
        </is>
      </c>
      <c r="AA175" s="43" t="inlineStr">
        <is>
          <t>N</t>
        </is>
      </c>
      <c r="AB175" s="43" t="n"/>
      <c r="AC175" s="33" t="inlineStr">
        <is>
          <t xml:space="preserve">FUENTE: Deviation.csv filas 1630; Item Number original=73-102433-05 (prefijo 73- es CANDIDATO de PCBA, no confirmacion en Common DB); Workflow de origen=Expired; FJZ no validado, revision PCBA/WO no informadas. </t>
        </is>
      </c>
    </row>
    <row r="176">
      <c r="A176" s="43" t="inlineStr">
        <is>
          <t>DA-CTANJZ05042-STBU-73-102434-05</t>
        </is>
      </c>
      <c r="B176" s="43" t="n"/>
      <c r="C176" s="43" t="n"/>
      <c r="D176" s="43" t="inlineStr">
        <is>
          <t>73-102434-05</t>
        </is>
      </c>
      <c r="E176" s="43" t="inlineStr">
        <is>
          <t>DEV-CTANJZ05042</t>
        </is>
      </c>
      <c r="F176" s="43" t="n"/>
      <c r="G176" s="43" t="inlineStr">
        <is>
          <t>STBU</t>
        </is>
      </c>
      <c r="H176" s="43" t="n"/>
      <c r="I176" s="43" t="n"/>
      <c r="J176" s="43" t="n"/>
      <c r="K176" s="43" t="n"/>
      <c r="L176" s="43" t="n"/>
      <c r="M176" s="43" t="n"/>
      <c r="N176" s="43" t="n"/>
      <c r="O176" s="43" t="n"/>
      <c r="P176" s="43" t="n"/>
      <c r="Q176" s="43" t="inlineStr">
        <is>
          <t>BOARD</t>
        </is>
      </c>
      <c r="R176" s="33" t="inlineStr">
        <is>
          <t>REVISAR D608554: verificar accion documentada, PN/revision y vigencia para la corrida. No autoriza sustitucion ni uso de material.</t>
        </is>
      </c>
      <c r="S176" s="43" t="inlineStr">
        <is>
          <t>INFO</t>
        </is>
      </c>
      <c r="T176" s="33" t="inlineStr">
        <is>
          <t>Validar desviacion aprobada y estado; contrastar PN exacto y revision con Common DB, BOM/AVL, WO y fecha de corrida.</t>
        </is>
      </c>
      <c r="U176" s="33" t="inlineStr">
        <is>
          <t>Documento oficial firmado, autorizacion FJZ, revision/WO de alcance, confirmacion BOM y evidencia de implementacion si aplica.</t>
        </is>
      </c>
      <c r="V176" s="43" t="n"/>
      <c r="W176" s="43" t="n"/>
      <c r="X176" s="43" t="inlineStr">
        <is>
          <t>INFO</t>
        </is>
      </c>
      <c r="Y176" s="43" t="n"/>
      <c r="Z176" s="43" t="inlineStr">
        <is>
          <t>Pending Review</t>
        </is>
      </c>
      <c r="AA176" s="43" t="inlineStr">
        <is>
          <t>N</t>
        </is>
      </c>
      <c r="AB176" s="43" t="n"/>
      <c r="AC176" s="33" t="inlineStr">
        <is>
          <t xml:space="preserve">FUENTE: Deviation.csv filas 1658; Item Number original=73-102434-05 (prefijo 73- es CANDIDATO de PCBA, no confirmacion en Common DB); Workflow de origen=Expired; FJZ no validado, revision PCBA/WO no informadas. </t>
        </is>
      </c>
    </row>
    <row r="177">
      <c r="A177" s="43" t="inlineStr">
        <is>
          <t>DA-CTANJZ05042-STBU-73-102435-05</t>
        </is>
      </c>
      <c r="B177" s="43" t="n"/>
      <c r="C177" s="43" t="n"/>
      <c r="D177" s="43" t="inlineStr">
        <is>
          <t>73-102435-05</t>
        </is>
      </c>
      <c r="E177" s="43" t="inlineStr">
        <is>
          <t>DEV-CTANJZ05042</t>
        </is>
      </c>
      <c r="F177" s="43" t="n"/>
      <c r="G177" s="43" t="inlineStr">
        <is>
          <t>STBU</t>
        </is>
      </c>
      <c r="H177" s="43" t="n"/>
      <c r="I177" s="43" t="n"/>
      <c r="J177" s="43" t="n"/>
      <c r="K177" s="43" t="n"/>
      <c r="L177" s="43" t="n"/>
      <c r="M177" s="43" t="n"/>
      <c r="N177" s="43" t="n"/>
      <c r="O177" s="43" t="n"/>
      <c r="P177" s="43" t="n"/>
      <c r="Q177" s="43" t="inlineStr">
        <is>
          <t>BOARD</t>
        </is>
      </c>
      <c r="R177" s="33" t="inlineStr">
        <is>
          <t>REVISAR D608554: verificar accion documentada, PN/revision y vigencia para la corrida. No autoriza sustitucion ni uso de material.</t>
        </is>
      </c>
      <c r="S177" s="43" t="inlineStr">
        <is>
          <t>INFO</t>
        </is>
      </c>
      <c r="T177" s="33" t="inlineStr">
        <is>
          <t>Validar desviacion aprobada y estado; contrastar PN exacto y revision con Common DB, BOM/AVL, WO y fecha de corrida.</t>
        </is>
      </c>
      <c r="U177" s="33" t="inlineStr">
        <is>
          <t>Documento oficial firmado, autorizacion FJZ, revision/WO de alcance, confirmacion BOM y evidencia de implementacion si aplica.</t>
        </is>
      </c>
      <c r="V177" s="43" t="n"/>
      <c r="W177" s="43" t="n"/>
      <c r="X177" s="43" t="inlineStr">
        <is>
          <t>INFO</t>
        </is>
      </c>
      <c r="Y177" s="43" t="n"/>
      <c r="Z177" s="43" t="inlineStr">
        <is>
          <t>Pending Review</t>
        </is>
      </c>
      <c r="AA177" s="43" t="inlineStr">
        <is>
          <t>N</t>
        </is>
      </c>
      <c r="AB177" s="43" t="n"/>
      <c r="AC177" s="33" t="inlineStr">
        <is>
          <t xml:space="preserve">FUENTE: Deviation.csv filas 1659; Item Number original=73-102435-05 (prefijo 73- es CANDIDATO de PCBA, no confirmacion en Common DB); Workflow de origen=Expired; FJZ no validado, revision PCBA/WO no informadas. </t>
        </is>
      </c>
    </row>
    <row r="178">
      <c r="A178" s="43" t="inlineStr">
        <is>
          <t>DA-CTANJZ05048-STBU-73-21007-02</t>
        </is>
      </c>
      <c r="B178" s="43" t="n"/>
      <c r="C178" s="43" t="n"/>
      <c r="D178" s="43" t="inlineStr">
        <is>
          <t>73-21007-02</t>
        </is>
      </c>
      <c r="E178" s="43" t="inlineStr">
        <is>
          <t>DEV-CTANJZ05048</t>
        </is>
      </c>
      <c r="F178" s="43" t="n"/>
      <c r="G178" s="43" t="inlineStr">
        <is>
          <t>STBU</t>
        </is>
      </c>
      <c r="H178" s="43" t="n"/>
      <c r="I178" s="43" t="n"/>
      <c r="J178" s="43" t="n"/>
      <c r="K178" s="43" t="n"/>
      <c r="L178" s="43" t="n"/>
      <c r="M178" s="43" t="n"/>
      <c r="N178" s="43" t="n"/>
      <c r="O178" s="43" t="n"/>
      <c r="P178" s="43" t="n"/>
      <c r="Q178" s="43" t="inlineStr">
        <is>
          <t>BOARD</t>
        </is>
      </c>
      <c r="R178" s="33" t="inlineStr">
        <is>
          <t>REVISAR D608514: verificar accion documentada, PN/revision y vigencia para la corrida. No autoriza sustitucion ni uso de material.</t>
        </is>
      </c>
      <c r="S178" s="43" t="inlineStr">
        <is>
          <t>INFO</t>
        </is>
      </c>
      <c r="T178" s="33" t="inlineStr">
        <is>
          <t>Validar desviacion aprobada y estado; contrastar PN exacto y revision con Common DB, BOM/AVL, WO y fecha de corrida.</t>
        </is>
      </c>
      <c r="U178" s="33" t="inlineStr">
        <is>
          <t>Documento oficial firmado, autorizacion FJZ, revision/WO de alcance, confirmacion BOM y evidencia de implementacion si aplica.</t>
        </is>
      </c>
      <c r="V178" s="43" t="n"/>
      <c r="W178" s="43" t="n"/>
      <c r="X178" s="43" t="inlineStr">
        <is>
          <t>INFO</t>
        </is>
      </c>
      <c r="Y178" s="43" t="n"/>
      <c r="Z178" s="43" t="inlineStr">
        <is>
          <t>Pending Review</t>
        </is>
      </c>
      <c r="AA178" s="43" t="inlineStr">
        <is>
          <t>N</t>
        </is>
      </c>
      <c r="AB178" s="43" t="n"/>
      <c r="AC178" s="33" t="inlineStr">
        <is>
          <t xml:space="preserve">FUENTE: Deviation.csv filas 1762; Item Number original=73-21007-02 (prefijo 73- es CANDIDATO de PCBA, no confirmacion en Common DB); Workflow de origen=Expired; FJZ no validado, revision PCBA/WO no informadas. </t>
        </is>
      </c>
    </row>
    <row r="179">
      <c r="A179" s="43" t="inlineStr">
        <is>
          <t>DA-CTANJZ05061-CVEBU-73-103720-04</t>
        </is>
      </c>
      <c r="B179" s="43" t="n"/>
      <c r="C179" s="43" t="n"/>
      <c r="D179" s="43" t="inlineStr">
        <is>
          <t>73-103720-04</t>
        </is>
      </c>
      <c r="E179" s="43" t="inlineStr">
        <is>
          <t>DEV-CTANJZ05061</t>
        </is>
      </c>
      <c r="F179" s="43" t="n"/>
      <c r="G179" s="43" t="inlineStr">
        <is>
          <t>CVEBU</t>
        </is>
      </c>
      <c r="H179" s="43" t="n"/>
      <c r="I179" s="43" t="n"/>
      <c r="J179" s="43" t="n"/>
      <c r="K179" s="43" t="n"/>
      <c r="L179" s="43" t="n"/>
      <c r="M179" s="43" t="n"/>
      <c r="N179" s="43" t="n"/>
      <c r="O179" s="43" t="n"/>
      <c r="P179" s="43" t="n"/>
      <c r="Q179" s="43" t="inlineStr">
        <is>
          <t>BOARD</t>
        </is>
      </c>
      <c r="R179" s="33" t="inlineStr">
        <is>
          <t>REVISAR D608308: verificar accion documentada, PN/revision y vigencia para la corrida. No autoriza sustitucion ni uso de material.</t>
        </is>
      </c>
      <c r="S179" s="43" t="inlineStr">
        <is>
          <t>INFO</t>
        </is>
      </c>
      <c r="T179" s="33" t="inlineStr">
        <is>
          <t>Validar desviacion aprobada y estado; contrastar PN exacto y revision con Common DB, BOM/AVL, WO y fecha de corrida.</t>
        </is>
      </c>
      <c r="U179" s="33" t="inlineStr">
        <is>
          <t>Documento oficial firmado, autorizacion FJZ, revision/WO de alcance, confirmacion BOM y evidencia de implementacion si aplica.</t>
        </is>
      </c>
      <c r="V179" s="43" t="n"/>
      <c r="W179" s="43" t="n"/>
      <c r="X179" s="43" t="inlineStr">
        <is>
          <t>INFO</t>
        </is>
      </c>
      <c r="Y179" s="43" t="n"/>
      <c r="Z179" s="43" t="inlineStr">
        <is>
          <t>Pending Review</t>
        </is>
      </c>
      <c r="AA179" s="43" t="inlineStr">
        <is>
          <t>N</t>
        </is>
      </c>
      <c r="AB179" s="43" t="n"/>
      <c r="AC179" s="33" t="inlineStr">
        <is>
          <t xml:space="preserve">FUENTE: Deviation.csv filas 1641; Item Number original=73-103720-04 (prefijo 73- es CANDIDATO de PCBA, no confirmacion en Common DB); Workflow de origen=Expired; FJZ no validado, revision PCBA/WO no informadas. </t>
        </is>
      </c>
    </row>
    <row r="180">
      <c r="A180" s="43" t="inlineStr">
        <is>
          <t>DA-CTANJZ05064-STBU-73-102435-05</t>
        </is>
      </c>
      <c r="B180" s="43" t="n"/>
      <c r="C180" s="43" t="n"/>
      <c r="D180" s="43" t="inlineStr">
        <is>
          <t>73-102435-05</t>
        </is>
      </c>
      <c r="E180" s="43" t="inlineStr">
        <is>
          <t>DEV-CTANJZ05064</t>
        </is>
      </c>
      <c r="F180" s="43" t="n"/>
      <c r="G180" s="43" t="inlineStr">
        <is>
          <t>STBU</t>
        </is>
      </c>
      <c r="H180" s="43" t="n"/>
      <c r="I180" s="43" t="n"/>
      <c r="J180" s="43" t="n"/>
      <c r="K180" s="43" t="n"/>
      <c r="L180" s="43" t="n"/>
      <c r="M180" s="43" t="n"/>
      <c r="N180" s="43" t="n"/>
      <c r="O180" s="43" t="n"/>
      <c r="P180" s="43" t="n"/>
      <c r="Q180" s="43" t="inlineStr">
        <is>
          <t>BOARD</t>
        </is>
      </c>
      <c r="R180" s="33" t="inlineStr">
        <is>
          <t>REVISAR D608788: verificar accion documentada, PN/revision y vigencia para la corrida. No autoriza sustitucion ni uso de material.</t>
        </is>
      </c>
      <c r="S180" s="43" t="inlineStr">
        <is>
          <t>INFO</t>
        </is>
      </c>
      <c r="T180" s="33" t="inlineStr">
        <is>
          <t>Validar desviacion aprobada y estado; contrastar PN exacto y revision con Common DB, BOM/AVL, WO y fecha de corrida.</t>
        </is>
      </c>
      <c r="U180" s="33" t="inlineStr">
        <is>
          <t>Documento oficial firmado, autorizacion FJZ, revision/WO de alcance, confirmacion BOM y evidencia de implementacion si aplica.</t>
        </is>
      </c>
      <c r="V180" s="43" t="n"/>
      <c r="W180" s="43" t="n"/>
      <c r="X180" s="43" t="inlineStr">
        <is>
          <t>INFO</t>
        </is>
      </c>
      <c r="Y180" s="43" t="n"/>
      <c r="Z180" s="43" t="inlineStr">
        <is>
          <t>Pending Review</t>
        </is>
      </c>
      <c r="AA180" s="43" t="inlineStr">
        <is>
          <t>N</t>
        </is>
      </c>
      <c r="AB180" s="43" t="n"/>
      <c r="AC180" s="33" t="inlineStr">
        <is>
          <t xml:space="preserve">FUENTE: Deviation.csv filas 1445; Item Number original=73-102435-05 (prefijo 73- es CANDIDATO de PCBA, no confirmacion en Common DB); Workflow de origen=Expired; FJZ no validado, revision PCBA/WO no informadas. </t>
        </is>
      </c>
    </row>
    <row r="181">
      <c r="A181" s="43" t="inlineStr">
        <is>
          <t>DA-CTANJZ05068-CVEBU-73-103820-04</t>
        </is>
      </c>
      <c r="B181" s="43" t="n"/>
      <c r="C181" s="43" t="n"/>
      <c r="D181" s="43" t="inlineStr">
        <is>
          <t>73-103820-04</t>
        </is>
      </c>
      <c r="E181" s="43" t="inlineStr">
        <is>
          <t>DEV-CTANJZ05068</t>
        </is>
      </c>
      <c r="F181" s="43" t="n"/>
      <c r="G181" s="43" t="inlineStr">
        <is>
          <t>CVEBU</t>
        </is>
      </c>
      <c r="H181" s="43" t="n"/>
      <c r="I181" s="43" t="n"/>
      <c r="J181" s="43" t="n"/>
      <c r="K181" s="43" t="n"/>
      <c r="L181" s="43" t="n"/>
      <c r="M181" s="43" t="n"/>
      <c r="N181" s="43" t="n"/>
      <c r="O181" s="43" t="n"/>
      <c r="P181" s="43" t="n"/>
      <c r="Q181" s="43" t="inlineStr">
        <is>
          <t>BOARD</t>
        </is>
      </c>
      <c r="R181" s="33" t="inlineStr">
        <is>
          <t>REVISAR D609010: verificar accion documentada, PN/revision y vigencia para la corrida. No autoriza sustitucion ni uso de material.</t>
        </is>
      </c>
      <c r="S181" s="43" t="inlineStr">
        <is>
          <t>INFO</t>
        </is>
      </c>
      <c r="T181" s="33" t="inlineStr">
        <is>
          <t>Validar desviacion aprobada y estado; contrastar PN exacto y revision con Common DB, BOM/AVL, WO y fecha de corrida.</t>
        </is>
      </c>
      <c r="U181" s="33" t="inlineStr">
        <is>
          <t>Documento oficial firmado, autorizacion FJZ, revision/WO de alcance, confirmacion BOM y evidencia de implementacion si aplica.</t>
        </is>
      </c>
      <c r="V181" s="43" t="n"/>
      <c r="W181" s="43" t="n"/>
      <c r="X181" s="43" t="inlineStr">
        <is>
          <t>INFO</t>
        </is>
      </c>
      <c r="Y181" s="43" t="n"/>
      <c r="Z181" s="43" t="inlineStr">
        <is>
          <t>Pending Review</t>
        </is>
      </c>
      <c r="AA181" s="43" t="inlineStr">
        <is>
          <t>N</t>
        </is>
      </c>
      <c r="AB181" s="43" t="n"/>
      <c r="AC181" s="33" t="inlineStr">
        <is>
          <t xml:space="preserve">FUENTE: Deviation.csv filas 1634; Item Number original=73-103820-04 (prefijo 73- es CANDIDATO de PCBA, no confirmacion en Common DB); Workflow de origen=Expired; FJZ no validado, revision PCBA/WO no informadas. </t>
        </is>
      </c>
    </row>
    <row r="182">
      <c r="A182" s="43" t="inlineStr">
        <is>
          <t>DA-CTANJZ05073-STBU-73-103125-02</t>
        </is>
      </c>
      <c r="B182" s="43" t="n"/>
      <c r="C182" s="43" t="n"/>
      <c r="D182" s="43" t="inlineStr">
        <is>
          <t>73-103125-02</t>
        </is>
      </c>
      <c r="E182" s="43" t="inlineStr">
        <is>
          <t>DEV-CTANJZ05073</t>
        </is>
      </c>
      <c r="F182" s="43" t="n"/>
      <c r="G182" s="43" t="inlineStr">
        <is>
          <t>STBU</t>
        </is>
      </c>
      <c r="H182" s="43" t="n"/>
      <c r="I182" s="43" t="n"/>
      <c r="J182" s="43" t="n"/>
      <c r="K182" s="43" t="n"/>
      <c r="L182" s="43" t="n"/>
      <c r="M182" s="43" t="n"/>
      <c r="N182" s="43" t="n"/>
      <c r="O182" s="43" t="n"/>
      <c r="P182" s="43" t="n"/>
      <c r="Q182" s="43" t="inlineStr">
        <is>
          <t>BOARD</t>
        </is>
      </c>
      <c r="R182" s="33" t="inlineStr">
        <is>
          <t>REVISAR D609045: verificar accion documentada, PN/revision y vigencia para la corrida. No autoriza sustitucion ni uso de material.</t>
        </is>
      </c>
      <c r="S182" s="43" t="inlineStr">
        <is>
          <t>INFO</t>
        </is>
      </c>
      <c r="T182" s="33" t="inlineStr">
        <is>
          <t>Validar desviacion aprobada y estado; contrastar PN exacto y revision con Common DB, BOM/AVL, WO y fecha de corrida.</t>
        </is>
      </c>
      <c r="U182" s="33" t="inlineStr">
        <is>
          <t>Documento oficial firmado, autorizacion FJZ, revision/WO de alcance, confirmacion BOM y evidencia de implementacion si aplica.</t>
        </is>
      </c>
      <c r="V182" s="43" t="n"/>
      <c r="W182" s="43" t="n"/>
      <c r="X182" s="43" t="inlineStr">
        <is>
          <t>INFO</t>
        </is>
      </c>
      <c r="Y182" s="43" t="n"/>
      <c r="Z182" s="43" t="inlineStr">
        <is>
          <t>Pending Review</t>
        </is>
      </c>
      <c r="AA182" s="43" t="inlineStr">
        <is>
          <t>N</t>
        </is>
      </c>
      <c r="AB182" s="43" t="n"/>
      <c r="AC182" s="33" t="inlineStr">
        <is>
          <t xml:space="preserve">FUENTE: Deviation.csv filas 1015; Item Number original=73-103125-02 (prefijo 73- es CANDIDATO de PCBA, no confirmacion en Common DB); Workflow de origen=Expired; FJZ no validado, revision PCBA/WO no informadas. </t>
        </is>
      </c>
    </row>
    <row r="183">
      <c r="A183" s="43" t="inlineStr">
        <is>
          <t>DA-CTANJZ05086-CVEBU-73-102022-02</t>
        </is>
      </c>
      <c r="B183" s="43" t="inlineStr">
        <is>
          <t>BROOKLYN</t>
        </is>
      </c>
      <c r="C183" s="43" t="n"/>
      <c r="D183" s="43" t="inlineStr">
        <is>
          <t>73-102022-02</t>
        </is>
      </c>
      <c r="E183" s="43" t="inlineStr">
        <is>
          <t>DEV-CTANJZ05086</t>
        </is>
      </c>
      <c r="F183" s="43" t="n"/>
      <c r="G183" s="43" t="inlineStr">
        <is>
          <t>CVEBU</t>
        </is>
      </c>
      <c r="H183" s="43" t="n"/>
      <c r="I183" s="43" t="n"/>
      <c r="J183" s="43" t="n"/>
      <c r="K183" s="43" t="n"/>
      <c r="L183" s="43" t="n"/>
      <c r="M183" s="43" t="n"/>
      <c r="N183" s="43" t="n"/>
      <c r="O183" s="43" t="n"/>
      <c r="P183" s="43" t="n"/>
      <c r="Q183" s="43" t="inlineStr">
        <is>
          <t>BOARD</t>
        </is>
      </c>
      <c r="R183" s="33" t="inlineStr">
        <is>
          <t>REVISAR D609139: verificar accion documentada, PN/revision y vigencia para la corrida. No autoriza sustitucion ni uso de material.</t>
        </is>
      </c>
      <c r="S183" s="43" t="inlineStr">
        <is>
          <t>INFO</t>
        </is>
      </c>
      <c r="T183" s="33" t="inlineStr">
        <is>
          <t>Validar desviacion aprobada y estado; contrastar PN exacto y revision con Common DB, BOM/AVL, WO y fecha de corrida.</t>
        </is>
      </c>
      <c r="U183" s="33" t="inlineStr">
        <is>
          <t>Documento oficial firmado, autorizacion FJZ, revision/WO de alcance, confirmacion BOM y evidencia de implementacion si aplica.</t>
        </is>
      </c>
      <c r="V183" s="43" t="n"/>
      <c r="W183" s="43" t="n"/>
      <c r="X183" s="43" t="inlineStr">
        <is>
          <t>INFO</t>
        </is>
      </c>
      <c r="Y183" s="43" t="n"/>
      <c r="Z183" s="43" t="inlineStr">
        <is>
          <t>Pending Review</t>
        </is>
      </c>
      <c r="AA183" s="43" t="inlineStr">
        <is>
          <t>N</t>
        </is>
      </c>
      <c r="AB183" s="43" t="n"/>
      <c r="AC183" s="33" t="inlineStr">
        <is>
          <t xml:space="preserve">FUENTE: Deviation.csv filas 461; Item Number original=73-102022-02 (prefijo 73- es CANDIDATO de PCBA, no confirmacion en Common DB); Workflow de origen=Expired; FJZ no validado, revision PCBA/WO no informadas. </t>
        </is>
      </c>
    </row>
    <row r="184">
      <c r="A184" s="43" t="inlineStr">
        <is>
          <t>DA-CTANJZ05086-CVEBU-73-102197-02</t>
        </is>
      </c>
      <c r="B184" s="43" t="n"/>
      <c r="C184" s="43" t="n"/>
      <c r="D184" s="43" t="inlineStr">
        <is>
          <t>73-102197-02</t>
        </is>
      </c>
      <c r="E184" s="43" t="inlineStr">
        <is>
          <t>DEV-CTANJZ05086</t>
        </is>
      </c>
      <c r="F184" s="43" t="n"/>
      <c r="G184" s="43" t="inlineStr">
        <is>
          <t>CVEBU</t>
        </is>
      </c>
      <c r="H184" s="43" t="n"/>
      <c r="I184" s="43" t="n"/>
      <c r="J184" s="43" t="n"/>
      <c r="K184" s="43" t="n"/>
      <c r="L184" s="43" t="n"/>
      <c r="M184" s="43" t="n"/>
      <c r="N184" s="43" t="n"/>
      <c r="O184" s="43" t="n"/>
      <c r="P184" s="43" t="n"/>
      <c r="Q184" s="43" t="inlineStr">
        <is>
          <t>BOARD</t>
        </is>
      </c>
      <c r="R184" s="33" t="inlineStr">
        <is>
          <t>REVISAR D609139: verificar accion documentada, PN/revision y vigencia para la corrida. No autoriza sustitucion ni uso de material.</t>
        </is>
      </c>
      <c r="S184" s="43" t="inlineStr">
        <is>
          <t>INFO</t>
        </is>
      </c>
      <c r="T184" s="33" t="inlineStr">
        <is>
          <t>Validar desviacion aprobada y estado; contrastar PN exacto y revision con Common DB, BOM/AVL, WO y fecha de corrida.</t>
        </is>
      </c>
      <c r="U184" s="33" t="inlineStr">
        <is>
          <t>Documento oficial firmado, autorizacion FJZ, revision/WO de alcance, confirmacion BOM y evidencia de implementacion si aplica.</t>
        </is>
      </c>
      <c r="V184" s="43" t="n"/>
      <c r="W184" s="43" t="n"/>
      <c r="X184" s="43" t="inlineStr">
        <is>
          <t>INFO</t>
        </is>
      </c>
      <c r="Y184" s="43" t="n"/>
      <c r="Z184" s="43" t="inlineStr">
        <is>
          <t>Pending Review</t>
        </is>
      </c>
      <c r="AA184" s="43" t="inlineStr">
        <is>
          <t>N</t>
        </is>
      </c>
      <c r="AB184" s="43" t="n"/>
      <c r="AC184" s="33" t="inlineStr">
        <is>
          <t xml:space="preserve">FUENTE: Deviation.csv filas 462; Item Number original=73-102197-02 (prefijo 73- es CANDIDATO de PCBA, no confirmacion en Common DB); Workflow de origen=Expired; FJZ no validado, revision PCBA/WO no informadas. </t>
        </is>
      </c>
    </row>
    <row r="185">
      <c r="A185" s="43" t="inlineStr">
        <is>
          <t>DA-CTANJZ05086-CVEBU-73-102226-06</t>
        </is>
      </c>
      <c r="B185" s="43" t="inlineStr">
        <is>
          <t>MILLENIUM</t>
        </is>
      </c>
      <c r="C185" s="43" t="n"/>
      <c r="D185" s="43" t="inlineStr">
        <is>
          <t>73-102226-06</t>
        </is>
      </c>
      <c r="E185" s="43" t="inlineStr">
        <is>
          <t>DEV-CTANJZ05086</t>
        </is>
      </c>
      <c r="F185" s="43" t="n"/>
      <c r="G185" s="43" t="inlineStr">
        <is>
          <t>CVEBU</t>
        </is>
      </c>
      <c r="H185" s="43" t="n"/>
      <c r="I185" s="43" t="n"/>
      <c r="J185" s="43" t="n"/>
      <c r="K185" s="43" t="n"/>
      <c r="L185" s="43" t="n"/>
      <c r="M185" s="43" t="n"/>
      <c r="N185" s="43" t="n"/>
      <c r="O185" s="43" t="n"/>
      <c r="P185" s="43" t="n"/>
      <c r="Q185" s="43" t="inlineStr">
        <is>
          <t>BOARD</t>
        </is>
      </c>
      <c r="R185" s="33" t="inlineStr">
        <is>
          <t>REVISAR D609139: verificar accion documentada, PN/revision y vigencia para la corrida. No autoriza sustitucion ni uso de material.</t>
        </is>
      </c>
      <c r="S185" s="43" t="inlineStr">
        <is>
          <t>INFO</t>
        </is>
      </c>
      <c r="T185" s="33" t="inlineStr">
        <is>
          <t>Validar desviacion aprobada y estado; contrastar PN exacto y revision con Common DB, BOM/AVL, WO y fecha de corrida.</t>
        </is>
      </c>
      <c r="U185" s="33" t="inlineStr">
        <is>
          <t>Documento oficial firmado, autorizacion FJZ, revision/WO de alcance, confirmacion BOM y evidencia de implementacion si aplica.</t>
        </is>
      </c>
      <c r="V185" s="43" t="n"/>
      <c r="W185" s="43" t="n"/>
      <c r="X185" s="43" t="inlineStr">
        <is>
          <t>INFO</t>
        </is>
      </c>
      <c r="Y185" s="43" t="n"/>
      <c r="Z185" s="43" t="inlineStr">
        <is>
          <t>Pending Review</t>
        </is>
      </c>
      <c r="AA185" s="43" t="inlineStr">
        <is>
          <t>N</t>
        </is>
      </c>
      <c r="AB185" s="43" t="n"/>
      <c r="AC185" s="33" t="inlineStr">
        <is>
          <t xml:space="preserve">FUENTE: Deviation.csv filas 463; Item Number original=73-102226-06 (prefijo 73- es CANDIDATO de PCBA, no confirmacion en Common DB); Workflow de origen=Expired; FJZ no validado, revision PCBA/WO no informadas. </t>
        </is>
      </c>
    </row>
    <row r="186">
      <c r="A186" s="43" t="inlineStr">
        <is>
          <t>DA-CTANJZ05086-CVEBU-73-102797-02</t>
        </is>
      </c>
      <c r="B186" s="43" t="inlineStr">
        <is>
          <t>DAVINCI</t>
        </is>
      </c>
      <c r="C186" s="43" t="n"/>
      <c r="D186" s="43" t="inlineStr">
        <is>
          <t>73-102797-02</t>
        </is>
      </c>
      <c r="E186" s="43" t="inlineStr">
        <is>
          <t>DEV-CTANJZ05086</t>
        </is>
      </c>
      <c r="F186" s="43" t="n"/>
      <c r="G186" s="43" t="inlineStr">
        <is>
          <t>CVEBU</t>
        </is>
      </c>
      <c r="H186" s="43" t="n"/>
      <c r="I186" s="43" t="n"/>
      <c r="J186" s="43" t="n"/>
      <c r="K186" s="43" t="n"/>
      <c r="L186" s="43" t="n"/>
      <c r="M186" s="43" t="n"/>
      <c r="N186" s="43" t="n"/>
      <c r="O186" s="43" t="n"/>
      <c r="P186" s="43" t="n"/>
      <c r="Q186" s="43" t="inlineStr">
        <is>
          <t>BOARD</t>
        </is>
      </c>
      <c r="R186" s="33" t="inlineStr">
        <is>
          <t>REVISAR D609139: verificar accion documentada, PN/revision y vigencia para la corrida. No autoriza sustitucion ni uso de material.</t>
        </is>
      </c>
      <c r="S186" s="43" t="inlineStr">
        <is>
          <t>INFO</t>
        </is>
      </c>
      <c r="T186" s="33" t="inlineStr">
        <is>
          <t>Validar desviacion aprobada y estado; contrastar PN exacto y revision con Common DB, BOM/AVL, WO y fecha de corrida.</t>
        </is>
      </c>
      <c r="U186" s="33" t="inlineStr">
        <is>
          <t>Documento oficial firmado, autorizacion FJZ, revision/WO de alcance, confirmacion BOM y evidencia de implementacion si aplica.</t>
        </is>
      </c>
      <c r="V186" s="43" t="n"/>
      <c r="W186" s="43" t="n"/>
      <c r="X186" s="43" t="inlineStr">
        <is>
          <t>INFO</t>
        </is>
      </c>
      <c r="Y186" s="43" t="n"/>
      <c r="Z186" s="43" t="inlineStr">
        <is>
          <t>Pending Review</t>
        </is>
      </c>
      <c r="AA186" s="43" t="inlineStr">
        <is>
          <t>N</t>
        </is>
      </c>
      <c r="AB186" s="43" t="n"/>
      <c r="AC186" s="33" t="inlineStr">
        <is>
          <t xml:space="preserve">FUENTE: Deviation.csv filas 464; Item Number original=73-102797-02 (prefijo 73- es CANDIDATO de PCBA, no confirmacion en Common DB); Workflow de origen=Expired; FJZ no validado, revision PCBA/WO no informadas. </t>
        </is>
      </c>
    </row>
    <row r="187">
      <c r="A187" s="43" t="inlineStr">
        <is>
          <t>DA-CTANJZ05086-CVEBU-73-103226-06</t>
        </is>
      </c>
      <c r="B187" s="43" t="n"/>
      <c r="C187" s="43" t="n"/>
      <c r="D187" s="43" t="inlineStr">
        <is>
          <t>73-103226-06</t>
        </is>
      </c>
      <c r="E187" s="43" t="inlineStr">
        <is>
          <t>DEV-CTANJZ05086</t>
        </is>
      </c>
      <c r="F187" s="43" t="n"/>
      <c r="G187" s="43" t="inlineStr">
        <is>
          <t>CVEBU</t>
        </is>
      </c>
      <c r="H187" s="43" t="n"/>
      <c r="I187" s="43" t="n"/>
      <c r="J187" s="43" t="n"/>
      <c r="K187" s="43" t="n"/>
      <c r="L187" s="43" t="n"/>
      <c r="M187" s="43" t="n"/>
      <c r="N187" s="43" t="n"/>
      <c r="O187" s="43" t="n"/>
      <c r="P187" s="43" t="n"/>
      <c r="Q187" s="43" t="inlineStr">
        <is>
          <t>BOARD</t>
        </is>
      </c>
      <c r="R187" s="33" t="inlineStr">
        <is>
          <t>REVISAR D609139: verificar accion documentada, PN/revision y vigencia para la corrida. No autoriza sustitucion ni uso de material.</t>
        </is>
      </c>
      <c r="S187" s="43" t="inlineStr">
        <is>
          <t>INFO</t>
        </is>
      </c>
      <c r="T187" s="33" t="inlineStr">
        <is>
          <t>Validar desviacion aprobada y estado; contrastar PN exacto y revision con Common DB, BOM/AVL, WO y fecha de corrida.</t>
        </is>
      </c>
      <c r="U187" s="33" t="inlineStr">
        <is>
          <t>Documento oficial firmado, autorizacion FJZ, revision/WO de alcance, confirmacion BOM y evidencia de implementacion si aplica.</t>
        </is>
      </c>
      <c r="V187" s="43" t="n"/>
      <c r="W187" s="43" t="n"/>
      <c r="X187" s="43" t="inlineStr">
        <is>
          <t>INFO</t>
        </is>
      </c>
      <c r="Y187" s="43" t="n"/>
      <c r="Z187" s="43" t="inlineStr">
        <is>
          <t>Pending Review</t>
        </is>
      </c>
      <c r="AA187" s="43" t="inlineStr">
        <is>
          <t>N</t>
        </is>
      </c>
      <c r="AB187" s="43" t="n"/>
      <c r="AC187" s="33" t="inlineStr">
        <is>
          <t xml:space="preserve">FUENTE: Deviation.csv filas 465; Item Number original=73-103226-06 (prefijo 73- es CANDIDATO de PCBA, no confirmacion en Common DB); Workflow de origen=Expired; FJZ no validado, revision PCBA/WO no informadas. </t>
        </is>
      </c>
    </row>
    <row r="188">
      <c r="A188" s="43" t="inlineStr">
        <is>
          <t>DA-CTANJZ05086-CVEBU-73-103698-06</t>
        </is>
      </c>
      <c r="B188" s="43" t="n"/>
      <c r="C188" s="43" t="n"/>
      <c r="D188" s="43" t="inlineStr">
        <is>
          <t>73-103698-06</t>
        </is>
      </c>
      <c r="E188" s="43" t="inlineStr">
        <is>
          <t>DEV-CTANJZ05086</t>
        </is>
      </c>
      <c r="F188" s="43" t="n"/>
      <c r="G188" s="43" t="inlineStr">
        <is>
          <t>CVEBU</t>
        </is>
      </c>
      <c r="H188" s="43" t="n"/>
      <c r="I188" s="43" t="n"/>
      <c r="J188" s="43" t="n"/>
      <c r="K188" s="43" t="n"/>
      <c r="L188" s="43" t="n"/>
      <c r="M188" s="43" t="n"/>
      <c r="N188" s="43" t="n"/>
      <c r="O188" s="43" t="n"/>
      <c r="P188" s="43" t="n"/>
      <c r="Q188" s="43" t="inlineStr">
        <is>
          <t>BOARD</t>
        </is>
      </c>
      <c r="R188" s="33" t="inlineStr">
        <is>
          <t>REVISAR D609139: verificar accion documentada, PN/revision y vigencia para la corrida. No autoriza sustitucion ni uso de material.</t>
        </is>
      </c>
      <c r="S188" s="43" t="inlineStr">
        <is>
          <t>INFO</t>
        </is>
      </c>
      <c r="T188" s="33" t="inlineStr">
        <is>
          <t>Validar desviacion aprobada y estado; contrastar PN exacto y revision con Common DB, BOM/AVL, WO y fecha de corrida.</t>
        </is>
      </c>
      <c r="U188" s="33" t="inlineStr">
        <is>
          <t>Documento oficial firmado, autorizacion FJZ, revision/WO de alcance, confirmacion BOM y evidencia de implementacion si aplica.</t>
        </is>
      </c>
      <c r="V188" s="43" t="n"/>
      <c r="W188" s="43" t="n"/>
      <c r="X188" s="43" t="inlineStr">
        <is>
          <t>INFO</t>
        </is>
      </c>
      <c r="Y188" s="43" t="n"/>
      <c r="Z188" s="43" t="inlineStr">
        <is>
          <t>Pending Review</t>
        </is>
      </c>
      <c r="AA188" s="43" t="inlineStr">
        <is>
          <t>N</t>
        </is>
      </c>
      <c r="AB188" s="43" t="n"/>
      <c r="AC188" s="33" t="inlineStr">
        <is>
          <t xml:space="preserve">FUENTE: Deviation.csv filas 466; Item Number original=73-103698-06 (prefijo 73- es CANDIDATO de PCBA, no confirmacion en Common DB); Workflow de origen=Expired; FJZ no validado, revision PCBA/WO no informadas. </t>
        </is>
      </c>
    </row>
    <row r="189">
      <c r="A189" s="43" t="inlineStr">
        <is>
          <t>DA-CTANJZ05086-CVEBU-73-103826-05</t>
        </is>
      </c>
      <c r="B189" s="43" t="inlineStr">
        <is>
          <t>BAYFRONT</t>
        </is>
      </c>
      <c r="C189" s="43" t="n"/>
      <c r="D189" s="43" t="inlineStr">
        <is>
          <t>73-103826-05</t>
        </is>
      </c>
      <c r="E189" s="43" t="inlineStr">
        <is>
          <t>DEV-CTANJZ05086</t>
        </is>
      </c>
      <c r="F189" s="43" t="n"/>
      <c r="G189" s="43" t="inlineStr">
        <is>
          <t>CVEBU</t>
        </is>
      </c>
      <c r="H189" s="43" t="n"/>
      <c r="I189" s="43" t="n"/>
      <c r="J189" s="43" t="n"/>
      <c r="K189" s="43" t="n"/>
      <c r="L189" s="43" t="n"/>
      <c r="M189" s="43" t="n"/>
      <c r="N189" s="43" t="n"/>
      <c r="O189" s="43" t="n"/>
      <c r="P189" s="43" t="n"/>
      <c r="Q189" s="43" t="inlineStr">
        <is>
          <t>BOARD</t>
        </is>
      </c>
      <c r="R189" s="33" t="inlineStr">
        <is>
          <t>REVISAR D609139: verificar accion documentada, PN/revision y vigencia para la corrida. No autoriza sustitucion ni uso de material.</t>
        </is>
      </c>
      <c r="S189" s="43" t="inlineStr">
        <is>
          <t>INFO</t>
        </is>
      </c>
      <c r="T189" s="33" t="inlineStr">
        <is>
          <t>Validar desviacion aprobada y estado; contrastar PN exacto y revision con Common DB, BOM/AVL, WO y fecha de corrida.</t>
        </is>
      </c>
      <c r="U189" s="33" t="inlineStr">
        <is>
          <t>Documento oficial firmado, autorizacion FJZ, revision/WO de alcance, confirmacion BOM y evidencia de implementacion si aplica.</t>
        </is>
      </c>
      <c r="V189" s="43" t="n"/>
      <c r="W189" s="43" t="n"/>
      <c r="X189" s="43" t="inlineStr">
        <is>
          <t>INFO</t>
        </is>
      </c>
      <c r="Y189" s="43" t="n"/>
      <c r="Z189" s="43" t="inlineStr">
        <is>
          <t>Pending Review</t>
        </is>
      </c>
      <c r="AA189" s="43" t="inlineStr">
        <is>
          <t>N</t>
        </is>
      </c>
      <c r="AB189" s="43" t="n"/>
      <c r="AC189" s="33" t="inlineStr">
        <is>
          <t xml:space="preserve">FUENTE: Deviation.csv filas 467; Item Number original=73-103826-05 (prefijo 73- es CANDIDATO de PCBA, no confirmacion en Common DB); Workflow de origen=Expired; FJZ no validado, revision PCBA/WO no informadas. </t>
        </is>
      </c>
    </row>
    <row r="190">
      <c r="A190" s="43" t="inlineStr">
        <is>
          <t>DA-CTANJZ05086-CVEBU-73-103940-06</t>
        </is>
      </c>
      <c r="B190" s="43" t="n"/>
      <c r="C190" s="43" t="n"/>
      <c r="D190" s="43" t="inlineStr">
        <is>
          <t>73-103940-06</t>
        </is>
      </c>
      <c r="E190" s="43" t="inlineStr">
        <is>
          <t>DEV-CTANJZ05086</t>
        </is>
      </c>
      <c r="F190" s="43" t="n"/>
      <c r="G190" s="43" t="inlineStr">
        <is>
          <t>CVEBU</t>
        </is>
      </c>
      <c r="H190" s="43" t="n"/>
      <c r="I190" s="43" t="n"/>
      <c r="J190" s="43" t="n"/>
      <c r="K190" s="43" t="n"/>
      <c r="L190" s="43" t="n"/>
      <c r="M190" s="43" t="n"/>
      <c r="N190" s="43" t="n"/>
      <c r="O190" s="43" t="n"/>
      <c r="P190" s="43" t="n"/>
      <c r="Q190" s="43" t="inlineStr">
        <is>
          <t>BOARD</t>
        </is>
      </c>
      <c r="R190" s="33" t="inlineStr">
        <is>
          <t>REVISAR D609139: verificar accion documentada, PN/revision y vigencia para la corrida. No autoriza sustitucion ni uso de material.</t>
        </is>
      </c>
      <c r="S190" s="43" t="inlineStr">
        <is>
          <t>INFO</t>
        </is>
      </c>
      <c r="T190" s="33" t="inlineStr">
        <is>
          <t>Validar desviacion aprobada y estado; contrastar PN exacto y revision con Common DB, BOM/AVL, WO y fecha de corrida.</t>
        </is>
      </c>
      <c r="U190" s="33" t="inlineStr">
        <is>
          <t>Documento oficial firmado, autorizacion FJZ, revision/WO de alcance, confirmacion BOM y evidencia de implementacion si aplica.</t>
        </is>
      </c>
      <c r="V190" s="43" t="n"/>
      <c r="W190" s="43" t="n"/>
      <c r="X190" s="43" t="inlineStr">
        <is>
          <t>INFO</t>
        </is>
      </c>
      <c r="Y190" s="43" t="n"/>
      <c r="Z190" s="43" t="inlineStr">
        <is>
          <t>Pending Review</t>
        </is>
      </c>
      <c r="AA190" s="43" t="inlineStr">
        <is>
          <t>N</t>
        </is>
      </c>
      <c r="AB190" s="43" t="n"/>
      <c r="AC190" s="33" t="inlineStr">
        <is>
          <t xml:space="preserve">FUENTE: Deviation.csv filas 468; Item Number original=73-103940-06 (prefijo 73- es CANDIDATO de PCBA, no confirmacion en Common DB); Workflow de origen=Expired; FJZ no validado, revision PCBA/WO no informadas. </t>
        </is>
      </c>
    </row>
    <row r="191">
      <c r="A191" s="43" t="inlineStr">
        <is>
          <t>DA-CTANJZ05086-CVEBU-73-103950-01</t>
        </is>
      </c>
      <c r="B191" s="43" t="n"/>
      <c r="C191" s="43" t="n"/>
      <c r="D191" s="43" t="inlineStr">
        <is>
          <t>73-103950-01</t>
        </is>
      </c>
      <c r="E191" s="43" t="inlineStr">
        <is>
          <t>DEV-CTANJZ05086</t>
        </is>
      </c>
      <c r="F191" s="43" t="n"/>
      <c r="G191" s="43" t="inlineStr">
        <is>
          <t>CVEBU</t>
        </is>
      </c>
      <c r="H191" s="43" t="n"/>
      <c r="I191" s="43" t="n"/>
      <c r="J191" s="43" t="n"/>
      <c r="K191" s="43" t="n"/>
      <c r="L191" s="43" t="n"/>
      <c r="M191" s="43" t="n"/>
      <c r="N191" s="43" t="n"/>
      <c r="O191" s="43" t="n"/>
      <c r="P191" s="43" t="n"/>
      <c r="Q191" s="43" t="inlineStr">
        <is>
          <t>BOARD</t>
        </is>
      </c>
      <c r="R191" s="33" t="inlineStr">
        <is>
          <t>REVISAR D609139: verificar accion documentada, PN/revision y vigencia para la corrida. No autoriza sustitucion ni uso de material.</t>
        </is>
      </c>
      <c r="S191" s="43" t="inlineStr">
        <is>
          <t>INFO</t>
        </is>
      </c>
      <c r="T191" s="33" t="inlineStr">
        <is>
          <t>Validar desviacion aprobada y estado; contrastar PN exacto y revision con Common DB, BOM/AVL, WO y fecha de corrida.</t>
        </is>
      </c>
      <c r="U191" s="33" t="inlineStr">
        <is>
          <t>Documento oficial firmado, autorizacion FJZ, revision/WO de alcance, confirmacion BOM y evidencia de implementacion si aplica.</t>
        </is>
      </c>
      <c r="V191" s="43" t="n"/>
      <c r="W191" s="43" t="n"/>
      <c r="X191" s="43" t="inlineStr">
        <is>
          <t>INFO</t>
        </is>
      </c>
      <c r="Y191" s="43" t="n"/>
      <c r="Z191" s="43" t="inlineStr">
        <is>
          <t>Pending Review</t>
        </is>
      </c>
      <c r="AA191" s="43" t="inlineStr">
        <is>
          <t>N</t>
        </is>
      </c>
      <c r="AB191" s="43" t="n"/>
      <c r="AC191" s="33" t="inlineStr">
        <is>
          <t xml:space="preserve">FUENTE: Deviation.csv filas 469; Item Number original=73-103950-01 (prefijo 73- es CANDIDATO de PCBA, no confirmacion en Common DB); Workflow de origen=Expired; FJZ no validado, revision PCBA/WO no informadas. </t>
        </is>
      </c>
    </row>
    <row r="192">
      <c r="A192" s="43" t="inlineStr">
        <is>
          <t>DA-CTANJZ05086-CVEBU-73-103951-01</t>
        </is>
      </c>
      <c r="B192" s="43" t="n"/>
      <c r="C192" s="43" t="n"/>
      <c r="D192" s="43" t="inlineStr">
        <is>
          <t>73-103951-01</t>
        </is>
      </c>
      <c r="E192" s="43" t="inlineStr">
        <is>
          <t>DEV-CTANJZ05086</t>
        </is>
      </c>
      <c r="F192" s="43" t="n"/>
      <c r="G192" s="43" t="inlineStr">
        <is>
          <t>CVEBU</t>
        </is>
      </c>
      <c r="H192" s="43" t="n"/>
      <c r="I192" s="43" t="n"/>
      <c r="J192" s="43" t="n"/>
      <c r="K192" s="43" t="n"/>
      <c r="L192" s="43" t="n"/>
      <c r="M192" s="43" t="n"/>
      <c r="N192" s="43" t="n"/>
      <c r="O192" s="43" t="n"/>
      <c r="P192" s="43" t="n"/>
      <c r="Q192" s="43" t="inlineStr">
        <is>
          <t>BOARD</t>
        </is>
      </c>
      <c r="R192" s="33" t="inlineStr">
        <is>
          <t>REVISAR D609139: verificar accion documentada, PN/revision y vigencia para la corrida. No autoriza sustitucion ni uso de material.</t>
        </is>
      </c>
      <c r="S192" s="43" t="inlineStr">
        <is>
          <t>INFO</t>
        </is>
      </c>
      <c r="T192" s="33" t="inlineStr">
        <is>
          <t>Validar desviacion aprobada y estado; contrastar PN exacto y revision con Common DB, BOM/AVL, WO y fecha de corrida.</t>
        </is>
      </c>
      <c r="U192" s="33" t="inlineStr">
        <is>
          <t>Documento oficial firmado, autorizacion FJZ, revision/WO de alcance, confirmacion BOM y evidencia de implementacion si aplica.</t>
        </is>
      </c>
      <c r="V192" s="43" t="n"/>
      <c r="W192" s="43" t="n"/>
      <c r="X192" s="43" t="inlineStr">
        <is>
          <t>INFO</t>
        </is>
      </c>
      <c r="Y192" s="43" t="n"/>
      <c r="Z192" s="43" t="inlineStr">
        <is>
          <t>Pending Review</t>
        </is>
      </c>
      <c r="AA192" s="43" t="inlineStr">
        <is>
          <t>N</t>
        </is>
      </c>
      <c r="AB192" s="43" t="n"/>
      <c r="AC192" s="33" t="inlineStr">
        <is>
          <t xml:space="preserve">FUENTE: Deviation.csv filas 470; Item Number original=73-103951-01 (prefijo 73- es CANDIDATO de PCBA, no confirmacion en Common DB); Workflow de origen=Expired; FJZ no validado, revision PCBA/WO no informadas. </t>
        </is>
      </c>
    </row>
    <row r="193">
      <c r="A193" s="43" t="inlineStr">
        <is>
          <t>DA-CTANJZ05086-CVEBU-73-104022-01</t>
        </is>
      </c>
      <c r="B193" s="43" t="n"/>
      <c r="C193" s="43" t="n"/>
      <c r="D193" s="43" t="inlineStr">
        <is>
          <t>73-104022-01</t>
        </is>
      </c>
      <c r="E193" s="43" t="inlineStr">
        <is>
          <t>DEV-CTANJZ05086</t>
        </is>
      </c>
      <c r="F193" s="43" t="n"/>
      <c r="G193" s="43" t="inlineStr">
        <is>
          <t>CVEBU</t>
        </is>
      </c>
      <c r="H193" s="43" t="n"/>
      <c r="I193" s="43" t="n"/>
      <c r="J193" s="43" t="n"/>
      <c r="K193" s="43" t="n"/>
      <c r="L193" s="43" t="n"/>
      <c r="M193" s="43" t="n"/>
      <c r="N193" s="43" t="n"/>
      <c r="O193" s="43" t="n"/>
      <c r="P193" s="43" t="n"/>
      <c r="Q193" s="43" t="inlineStr">
        <is>
          <t>BOARD</t>
        </is>
      </c>
      <c r="R193" s="33" t="inlineStr">
        <is>
          <t>REVISAR D609139: verificar accion documentada, PN/revision y vigencia para la corrida. No autoriza sustitucion ni uso de material.</t>
        </is>
      </c>
      <c r="S193" s="43" t="inlineStr">
        <is>
          <t>INFO</t>
        </is>
      </c>
      <c r="T193" s="33" t="inlineStr">
        <is>
          <t>Validar desviacion aprobada y estado; contrastar PN exacto y revision con Common DB, BOM/AVL, WO y fecha de corrida.</t>
        </is>
      </c>
      <c r="U193" s="33" t="inlineStr">
        <is>
          <t>Documento oficial firmado, autorizacion FJZ, revision/WO de alcance, confirmacion BOM y evidencia de implementacion si aplica.</t>
        </is>
      </c>
      <c r="V193" s="43" t="n"/>
      <c r="W193" s="43" t="n"/>
      <c r="X193" s="43" t="inlineStr">
        <is>
          <t>INFO</t>
        </is>
      </c>
      <c r="Y193" s="43" t="n"/>
      <c r="Z193" s="43" t="inlineStr">
        <is>
          <t>Pending Review</t>
        </is>
      </c>
      <c r="AA193" s="43" t="inlineStr">
        <is>
          <t>N</t>
        </is>
      </c>
      <c r="AB193" s="43" t="n"/>
      <c r="AC193" s="33" t="inlineStr">
        <is>
          <t xml:space="preserve">FUENTE: Deviation.csv filas 510; Item Number original=73-104022-01 (prefijo 73- es CANDIDATO de PCBA, no confirmacion en Common DB); Workflow de origen=Expired; FJZ no validado, revision PCBA/WO no informadas. </t>
        </is>
      </c>
    </row>
    <row r="194">
      <c r="A194" s="43" t="inlineStr">
        <is>
          <t>DA-CTANJZ05087-CVEBU-73-102022-02</t>
        </is>
      </c>
      <c r="B194" s="43" t="inlineStr">
        <is>
          <t>BROOKLYN</t>
        </is>
      </c>
      <c r="C194" s="43" t="n"/>
      <c r="D194" s="43" t="inlineStr">
        <is>
          <t>73-102022-02</t>
        </is>
      </c>
      <c r="E194" s="43" t="inlineStr">
        <is>
          <t>DEV-CTANJZ05087</t>
        </is>
      </c>
      <c r="F194" s="43" t="n"/>
      <c r="G194" s="43" t="inlineStr">
        <is>
          <t>CVEBU</t>
        </is>
      </c>
      <c r="H194" s="43" t="n"/>
      <c r="I194" s="43" t="n"/>
      <c r="J194" s="43" t="n"/>
      <c r="K194" s="43" t="n"/>
      <c r="L194" s="43" t="n"/>
      <c r="M194" s="43" t="n"/>
      <c r="N194" s="43" t="n"/>
      <c r="O194" s="43" t="n"/>
      <c r="P194" s="43" t="n"/>
      <c r="Q194" s="43" t="inlineStr">
        <is>
          <t>BOARD</t>
        </is>
      </c>
      <c r="R194" s="33" t="inlineStr">
        <is>
          <t>REVISAR D609115: verificar accion documentada, PN/revision y vigencia para la corrida. No autoriza sustitucion ni uso de material.</t>
        </is>
      </c>
      <c r="S194" s="43" t="inlineStr">
        <is>
          <t>INFO</t>
        </is>
      </c>
      <c r="T194" s="33" t="inlineStr">
        <is>
          <t>Validar desviacion aprobada y estado; contrastar PN exacto y revision con Common DB, BOM/AVL, WO y fecha de corrida.</t>
        </is>
      </c>
      <c r="U194" s="33" t="inlineStr">
        <is>
          <t>Documento oficial firmado, autorizacion FJZ, revision/WO de alcance, confirmacion BOM y evidencia de implementacion si aplica.</t>
        </is>
      </c>
      <c r="V194" s="43" t="n"/>
      <c r="W194" s="43" t="n"/>
      <c r="X194" s="43" t="inlineStr">
        <is>
          <t>INFO</t>
        </is>
      </c>
      <c r="Y194" s="43" t="n"/>
      <c r="Z194" s="43" t="inlineStr">
        <is>
          <t>Pending Review</t>
        </is>
      </c>
      <c r="AA194" s="43" t="inlineStr">
        <is>
          <t>N</t>
        </is>
      </c>
      <c r="AB194" s="43" t="n"/>
      <c r="AC194" s="33" t="inlineStr">
        <is>
          <t xml:space="preserve">FUENTE: Deviation.csv filas 478; Item Number original=73-102022-02 (prefijo 73- es CANDIDATO de PCBA, no confirmacion en Common DB); Workflow de origen=Expired; FJZ no validado, revision PCBA/WO no informadas. </t>
        </is>
      </c>
    </row>
    <row r="195">
      <c r="A195" s="43" t="inlineStr">
        <is>
          <t>DA-CTANJZ05087-CVEBU-73-102197-02</t>
        </is>
      </c>
      <c r="B195" s="43" t="n"/>
      <c r="C195" s="43" t="n"/>
      <c r="D195" s="43" t="inlineStr">
        <is>
          <t>73-102197-02</t>
        </is>
      </c>
      <c r="E195" s="43" t="inlineStr">
        <is>
          <t>DEV-CTANJZ05087</t>
        </is>
      </c>
      <c r="F195" s="43" t="n"/>
      <c r="G195" s="43" t="inlineStr">
        <is>
          <t>CVEBU</t>
        </is>
      </c>
      <c r="H195" s="43" t="n"/>
      <c r="I195" s="43" t="n"/>
      <c r="J195" s="43" t="n"/>
      <c r="K195" s="43" t="n"/>
      <c r="L195" s="43" t="n"/>
      <c r="M195" s="43" t="n"/>
      <c r="N195" s="43" t="n"/>
      <c r="O195" s="43" t="n"/>
      <c r="P195" s="43" t="n"/>
      <c r="Q195" s="43" t="inlineStr">
        <is>
          <t>BOARD</t>
        </is>
      </c>
      <c r="R195" s="33" t="inlineStr">
        <is>
          <t>REVISAR D609115: verificar accion documentada, PN/revision y vigencia para la corrida. No autoriza sustitucion ni uso de material.</t>
        </is>
      </c>
      <c r="S195" s="43" t="inlineStr">
        <is>
          <t>INFO</t>
        </is>
      </c>
      <c r="T195" s="33" t="inlineStr">
        <is>
          <t>Validar desviacion aprobada y estado; contrastar PN exacto y revision con Common DB, BOM/AVL, WO y fecha de corrida.</t>
        </is>
      </c>
      <c r="U195" s="33" t="inlineStr">
        <is>
          <t>Documento oficial firmado, autorizacion FJZ, revision/WO de alcance, confirmacion BOM y evidencia de implementacion si aplica.</t>
        </is>
      </c>
      <c r="V195" s="43" t="n"/>
      <c r="W195" s="43" t="n"/>
      <c r="X195" s="43" t="inlineStr">
        <is>
          <t>INFO</t>
        </is>
      </c>
      <c r="Y195" s="43" t="n"/>
      <c r="Z195" s="43" t="inlineStr">
        <is>
          <t>Pending Review</t>
        </is>
      </c>
      <c r="AA195" s="43" t="inlineStr">
        <is>
          <t>N</t>
        </is>
      </c>
      <c r="AB195" s="43" t="n"/>
      <c r="AC195" s="33" t="inlineStr">
        <is>
          <t xml:space="preserve">FUENTE: Deviation.csv filas 479; Item Number original=73-102197-02 (prefijo 73- es CANDIDATO de PCBA, no confirmacion en Common DB); Workflow de origen=Expired; FJZ no validado, revision PCBA/WO no informadas. </t>
        </is>
      </c>
    </row>
    <row r="196">
      <c r="A196" s="43" t="inlineStr">
        <is>
          <t>DA-CTANJZ05087-CVEBU-73-102226-06</t>
        </is>
      </c>
      <c r="B196" s="43" t="inlineStr">
        <is>
          <t>MILLENIUM</t>
        </is>
      </c>
      <c r="C196" s="43" t="n"/>
      <c r="D196" s="43" t="inlineStr">
        <is>
          <t>73-102226-06</t>
        </is>
      </c>
      <c r="E196" s="43" t="inlineStr">
        <is>
          <t>DEV-CTANJZ05087</t>
        </is>
      </c>
      <c r="F196" s="43" t="n"/>
      <c r="G196" s="43" t="inlineStr">
        <is>
          <t>CVEBU</t>
        </is>
      </c>
      <c r="H196" s="43" t="n"/>
      <c r="I196" s="43" t="n"/>
      <c r="J196" s="43" t="n"/>
      <c r="K196" s="43" t="n"/>
      <c r="L196" s="43" t="n"/>
      <c r="M196" s="43" t="n"/>
      <c r="N196" s="43" t="n"/>
      <c r="O196" s="43" t="n"/>
      <c r="P196" s="43" t="n"/>
      <c r="Q196" s="43" t="inlineStr">
        <is>
          <t>BOARD</t>
        </is>
      </c>
      <c r="R196" s="33" t="inlineStr">
        <is>
          <t>REVISAR D609115: verificar accion documentada, PN/revision y vigencia para la corrida. No autoriza sustitucion ni uso de material.</t>
        </is>
      </c>
      <c r="S196" s="43" t="inlineStr">
        <is>
          <t>INFO</t>
        </is>
      </c>
      <c r="T196" s="33" t="inlineStr">
        <is>
          <t>Validar desviacion aprobada y estado; contrastar PN exacto y revision con Common DB, BOM/AVL, WO y fecha de corrida.</t>
        </is>
      </c>
      <c r="U196" s="33" t="inlineStr">
        <is>
          <t>Documento oficial firmado, autorizacion FJZ, revision/WO de alcance, confirmacion BOM y evidencia de implementacion si aplica.</t>
        </is>
      </c>
      <c r="V196" s="43" t="n"/>
      <c r="W196" s="43" t="n"/>
      <c r="X196" s="43" t="inlineStr">
        <is>
          <t>INFO</t>
        </is>
      </c>
      <c r="Y196" s="43" t="n"/>
      <c r="Z196" s="43" t="inlineStr">
        <is>
          <t>Pending Review</t>
        </is>
      </c>
      <c r="AA196" s="43" t="inlineStr">
        <is>
          <t>N</t>
        </is>
      </c>
      <c r="AB196" s="43" t="n"/>
      <c r="AC196" s="33" t="inlineStr">
        <is>
          <t xml:space="preserve">FUENTE: Deviation.csv filas 480; Item Number original=73-102226-06 (prefijo 73- es CANDIDATO de PCBA, no confirmacion en Common DB); Workflow de origen=Expired; FJZ no validado, revision PCBA/WO no informadas. </t>
        </is>
      </c>
    </row>
    <row r="197">
      <c r="A197" s="43" t="inlineStr">
        <is>
          <t>DA-CTANJZ05087-CVEBU-73-102797-02</t>
        </is>
      </c>
      <c r="B197" s="43" t="inlineStr">
        <is>
          <t>DAVINCI</t>
        </is>
      </c>
      <c r="C197" s="43" t="n"/>
      <c r="D197" s="43" t="inlineStr">
        <is>
          <t>73-102797-02</t>
        </is>
      </c>
      <c r="E197" s="43" t="inlineStr">
        <is>
          <t>DEV-CTANJZ05087</t>
        </is>
      </c>
      <c r="F197" s="43" t="n"/>
      <c r="G197" s="43" t="inlineStr">
        <is>
          <t>CVEBU</t>
        </is>
      </c>
      <c r="H197" s="43" t="n"/>
      <c r="I197" s="43" t="n"/>
      <c r="J197" s="43" t="n"/>
      <c r="K197" s="43" t="n"/>
      <c r="L197" s="43" t="n"/>
      <c r="M197" s="43" t="n"/>
      <c r="N197" s="43" t="n"/>
      <c r="O197" s="43" t="n"/>
      <c r="P197" s="43" t="n"/>
      <c r="Q197" s="43" t="inlineStr">
        <is>
          <t>BOARD</t>
        </is>
      </c>
      <c r="R197" s="33" t="inlineStr">
        <is>
          <t>REVISAR D609115: verificar accion documentada, PN/revision y vigencia para la corrida. No autoriza sustitucion ni uso de material.</t>
        </is>
      </c>
      <c r="S197" s="43" t="inlineStr">
        <is>
          <t>INFO</t>
        </is>
      </c>
      <c r="T197" s="33" t="inlineStr">
        <is>
          <t>Validar desviacion aprobada y estado; contrastar PN exacto y revision con Common DB, BOM/AVL, WO y fecha de corrida.</t>
        </is>
      </c>
      <c r="U197" s="33" t="inlineStr">
        <is>
          <t>Documento oficial firmado, autorizacion FJZ, revision/WO de alcance, confirmacion BOM y evidencia de implementacion si aplica.</t>
        </is>
      </c>
      <c r="V197" s="43" t="n"/>
      <c r="W197" s="43" t="n"/>
      <c r="X197" s="43" t="inlineStr">
        <is>
          <t>INFO</t>
        </is>
      </c>
      <c r="Y197" s="43" t="n"/>
      <c r="Z197" s="43" t="inlineStr">
        <is>
          <t>Pending Review</t>
        </is>
      </c>
      <c r="AA197" s="43" t="inlineStr">
        <is>
          <t>N</t>
        </is>
      </c>
      <c r="AB197" s="43" t="n"/>
      <c r="AC197" s="33" t="inlineStr">
        <is>
          <t xml:space="preserve">FUENTE: Deviation.csv filas 481; Item Number original=73-102797-02 (prefijo 73- es CANDIDATO de PCBA, no confirmacion en Common DB); Workflow de origen=Expired; FJZ no validado, revision PCBA/WO no informadas. </t>
        </is>
      </c>
    </row>
    <row r="198">
      <c r="A198" s="43" t="inlineStr">
        <is>
          <t>DA-CTANJZ05087-CVEBU-73-103226-06</t>
        </is>
      </c>
      <c r="B198" s="43" t="n"/>
      <c r="C198" s="43" t="n"/>
      <c r="D198" s="43" t="inlineStr">
        <is>
          <t>73-103226-06</t>
        </is>
      </c>
      <c r="E198" s="43" t="inlineStr">
        <is>
          <t>DEV-CTANJZ05087</t>
        </is>
      </c>
      <c r="F198" s="43" t="n"/>
      <c r="G198" s="43" t="inlineStr">
        <is>
          <t>CVEBU</t>
        </is>
      </c>
      <c r="H198" s="43" t="n"/>
      <c r="I198" s="43" t="n"/>
      <c r="J198" s="43" t="n"/>
      <c r="K198" s="43" t="n"/>
      <c r="L198" s="43" t="n"/>
      <c r="M198" s="43" t="n"/>
      <c r="N198" s="43" t="n"/>
      <c r="O198" s="43" t="n"/>
      <c r="P198" s="43" t="n"/>
      <c r="Q198" s="43" t="inlineStr">
        <is>
          <t>BOARD</t>
        </is>
      </c>
      <c r="R198" s="33" t="inlineStr">
        <is>
          <t>REVISAR D609115: verificar accion documentada, PN/revision y vigencia para la corrida. No autoriza sustitucion ni uso de material.</t>
        </is>
      </c>
      <c r="S198" s="43" t="inlineStr">
        <is>
          <t>INFO</t>
        </is>
      </c>
      <c r="T198" s="33" t="inlineStr">
        <is>
          <t>Validar desviacion aprobada y estado; contrastar PN exacto y revision con Common DB, BOM/AVL, WO y fecha de corrida.</t>
        </is>
      </c>
      <c r="U198" s="33" t="inlineStr">
        <is>
          <t>Documento oficial firmado, autorizacion FJZ, revision/WO de alcance, confirmacion BOM y evidencia de implementacion si aplica.</t>
        </is>
      </c>
      <c r="V198" s="43" t="n"/>
      <c r="W198" s="43" t="n"/>
      <c r="X198" s="43" t="inlineStr">
        <is>
          <t>INFO</t>
        </is>
      </c>
      <c r="Y198" s="43" t="n"/>
      <c r="Z198" s="43" t="inlineStr">
        <is>
          <t>Pending Review</t>
        </is>
      </c>
      <c r="AA198" s="43" t="inlineStr">
        <is>
          <t>N</t>
        </is>
      </c>
      <c r="AB198" s="43" t="n"/>
      <c r="AC198" s="33" t="inlineStr">
        <is>
          <t xml:space="preserve">FUENTE: Deviation.csv filas 482; Item Number original=73-103226-06 (prefijo 73- es CANDIDATO de PCBA, no confirmacion en Common DB); Workflow de origen=Expired; FJZ no validado, revision PCBA/WO no informadas. </t>
        </is>
      </c>
    </row>
    <row r="199">
      <c r="A199" s="43" t="inlineStr">
        <is>
          <t>DA-CTANJZ05087-CVEBU-73-104022-01</t>
        </is>
      </c>
      <c r="B199" s="43" t="n"/>
      <c r="C199" s="43" t="n"/>
      <c r="D199" s="43" t="inlineStr">
        <is>
          <t>73-104022-01</t>
        </is>
      </c>
      <c r="E199" s="43" t="inlineStr">
        <is>
          <t>DEV-CTANJZ05087</t>
        </is>
      </c>
      <c r="F199" s="43" t="n"/>
      <c r="G199" s="43" t="inlineStr">
        <is>
          <t>CVEBU</t>
        </is>
      </c>
      <c r="H199" s="43" t="n"/>
      <c r="I199" s="43" t="n"/>
      <c r="J199" s="43" t="n"/>
      <c r="K199" s="43" t="n"/>
      <c r="L199" s="43" t="n"/>
      <c r="M199" s="43" t="n"/>
      <c r="N199" s="43" t="n"/>
      <c r="O199" s="43" t="n"/>
      <c r="P199" s="43" t="n"/>
      <c r="Q199" s="43" t="inlineStr">
        <is>
          <t>BOARD</t>
        </is>
      </c>
      <c r="R199" s="33" t="inlineStr">
        <is>
          <t>REVISAR D609115: verificar accion documentada, PN/revision y vigencia para la corrida. No autoriza sustitucion ni uso de material.</t>
        </is>
      </c>
      <c r="S199" s="43" t="inlineStr">
        <is>
          <t>INFO</t>
        </is>
      </c>
      <c r="T199" s="33" t="inlineStr">
        <is>
          <t>Validar desviacion aprobada y estado; contrastar PN exacto y revision con Common DB, BOM/AVL, WO y fecha de corrida.</t>
        </is>
      </c>
      <c r="U199" s="33" t="inlineStr">
        <is>
          <t>Documento oficial firmado, autorizacion FJZ, revision/WO de alcance, confirmacion BOM y evidencia de implementacion si aplica.</t>
        </is>
      </c>
      <c r="V199" s="43" t="n"/>
      <c r="W199" s="43" t="n"/>
      <c r="X199" s="43" t="inlineStr">
        <is>
          <t>INFO</t>
        </is>
      </c>
      <c r="Y199" s="43" t="n"/>
      <c r="Z199" s="43" t="inlineStr">
        <is>
          <t>Pending Review</t>
        </is>
      </c>
      <c r="AA199" s="43" t="inlineStr">
        <is>
          <t>N</t>
        </is>
      </c>
      <c r="AB199" s="43" t="n"/>
      <c r="AC199" s="33" t="inlineStr">
        <is>
          <t xml:space="preserve">FUENTE: Deviation.csv filas 564; Item Number original=73-104022-01 (prefijo 73- es CANDIDATO de PCBA, no confirmacion en Common DB); Workflow de origen=Expired; FJZ no validado, revision PCBA/WO no informadas. </t>
        </is>
      </c>
    </row>
    <row r="200">
      <c r="A200" s="43" t="inlineStr">
        <is>
          <t>DA-CTANJZ05090-STBU-73-18488-07</t>
        </is>
      </c>
      <c r="B200" s="43" t="n"/>
      <c r="C200" s="43" t="n"/>
      <c r="D200" s="43" t="inlineStr">
        <is>
          <t>73-18488-07</t>
        </is>
      </c>
      <c r="E200" s="43" t="inlineStr">
        <is>
          <t>DEV-CTANJZ05090</t>
        </is>
      </c>
      <c r="F200" s="43" t="n"/>
      <c r="G200" s="43" t="inlineStr">
        <is>
          <t>STBU</t>
        </is>
      </c>
      <c r="H200" s="43" t="n"/>
      <c r="I200" s="43" t="n"/>
      <c r="J200" s="43" t="n"/>
      <c r="K200" s="43" t="n"/>
      <c r="L200" s="43" t="n"/>
      <c r="M200" s="43" t="n"/>
      <c r="N200" s="43" t="n"/>
      <c r="O200" s="43" t="n"/>
      <c r="P200" s="43" t="n"/>
      <c r="Q200" s="43" t="inlineStr">
        <is>
          <t>BOARD</t>
        </is>
      </c>
      <c r="R200" s="33" t="inlineStr">
        <is>
          <t>REVISAR D608351: verificar accion documentada, PN/revision y vigencia para la corrida. No autoriza sustitucion ni uso de material.</t>
        </is>
      </c>
      <c r="S200" s="43" t="inlineStr">
        <is>
          <t>INFO</t>
        </is>
      </c>
      <c r="T200" s="33" t="inlineStr">
        <is>
          <t>Validar desviacion aprobada y estado; contrastar PN exacto y revision con Common DB, BOM/AVL, WO y fecha de corrida.</t>
        </is>
      </c>
      <c r="U200" s="33" t="inlineStr">
        <is>
          <t>Documento oficial firmado, autorizacion FJZ, revision/WO de alcance, confirmacion BOM y evidencia de implementacion si aplica.</t>
        </is>
      </c>
      <c r="V200" s="43" t="n"/>
      <c r="W200" s="43" t="n"/>
      <c r="X200" s="43" t="inlineStr">
        <is>
          <t>INFO</t>
        </is>
      </c>
      <c r="Y200" s="43" t="n"/>
      <c r="Z200" s="43" t="inlineStr">
        <is>
          <t>Pending Review</t>
        </is>
      </c>
      <c r="AA200" s="43" t="inlineStr">
        <is>
          <t>N</t>
        </is>
      </c>
      <c r="AB200" s="43" t="n"/>
      <c r="AC200" s="33" t="inlineStr">
        <is>
          <t xml:space="preserve">FUENTE: Deviation.csv filas 1026; Item Number original=73-18488-07 (prefijo 73- es CANDIDATO de PCBA, no confirmacion en Common DB); Workflow de origen=Expired; FJZ no validado, revision PCBA/WO no informadas. </t>
        </is>
      </c>
    </row>
    <row r="201">
      <c r="A201" s="43" t="inlineStr">
        <is>
          <t>DA-CTANJZ05090-STBU-73-18489-07</t>
        </is>
      </c>
      <c r="B201" s="43" t="n"/>
      <c r="C201" s="43" t="n"/>
      <c r="D201" s="43" t="inlineStr">
        <is>
          <t>73-18489-07</t>
        </is>
      </c>
      <c r="E201" s="43" t="inlineStr">
        <is>
          <t>DEV-CTANJZ05090</t>
        </is>
      </c>
      <c r="F201" s="43" t="n"/>
      <c r="G201" s="43" t="inlineStr">
        <is>
          <t>STBU</t>
        </is>
      </c>
      <c r="H201" s="43" t="n"/>
      <c r="I201" s="43" t="n"/>
      <c r="J201" s="43" t="n"/>
      <c r="K201" s="43" t="n"/>
      <c r="L201" s="43" t="n"/>
      <c r="M201" s="43" t="n"/>
      <c r="N201" s="43" t="n"/>
      <c r="O201" s="43" t="n"/>
      <c r="P201" s="43" t="n"/>
      <c r="Q201" s="43" t="inlineStr">
        <is>
          <t>BOARD</t>
        </is>
      </c>
      <c r="R201" s="33" t="inlineStr">
        <is>
          <t>REVISAR D608351: verificar accion documentada, PN/revision y vigencia para la corrida. No autoriza sustitucion ni uso de material.</t>
        </is>
      </c>
      <c r="S201" s="43" t="inlineStr">
        <is>
          <t>INFO</t>
        </is>
      </c>
      <c r="T201" s="33" t="inlineStr">
        <is>
          <t>Validar desviacion aprobada y estado; contrastar PN exacto y revision con Common DB, BOM/AVL, WO y fecha de corrida.</t>
        </is>
      </c>
      <c r="U201" s="33" t="inlineStr">
        <is>
          <t>Documento oficial firmado, autorizacion FJZ, revision/WO de alcance, confirmacion BOM y evidencia de implementacion si aplica.</t>
        </is>
      </c>
      <c r="V201" s="43" t="n"/>
      <c r="W201" s="43" t="n"/>
      <c r="X201" s="43" t="inlineStr">
        <is>
          <t>INFO</t>
        </is>
      </c>
      <c r="Y201" s="43" t="n"/>
      <c r="Z201" s="43" t="inlineStr">
        <is>
          <t>Pending Review</t>
        </is>
      </c>
      <c r="AA201" s="43" t="inlineStr">
        <is>
          <t>N</t>
        </is>
      </c>
      <c r="AB201" s="43" t="n"/>
      <c r="AC201" s="33" t="inlineStr">
        <is>
          <t xml:space="preserve">FUENTE: Deviation.csv filas 1027; Item Number original=73-18489-07 (prefijo 73- es CANDIDATO de PCBA, no confirmacion en Common DB); Workflow de origen=Expired; FJZ no validado, revision PCBA/WO no informadas. </t>
        </is>
      </c>
    </row>
    <row r="202">
      <c r="A202" s="43" t="inlineStr">
        <is>
          <t>DA-CTANJZ05090-STBU-73-18490-09</t>
        </is>
      </c>
      <c r="B202" s="43" t="n"/>
      <c r="C202" s="43" t="n"/>
      <c r="D202" s="43" t="inlineStr">
        <is>
          <t>73-18490-09</t>
        </is>
      </c>
      <c r="E202" s="43" t="inlineStr">
        <is>
          <t>DEV-CTANJZ05090</t>
        </is>
      </c>
      <c r="F202" s="43" t="n"/>
      <c r="G202" s="43" t="inlineStr">
        <is>
          <t>STBU</t>
        </is>
      </c>
      <c r="H202" s="43" t="n"/>
      <c r="I202" s="43" t="n"/>
      <c r="J202" s="43" t="n"/>
      <c r="K202" s="43" t="n"/>
      <c r="L202" s="43" t="n"/>
      <c r="M202" s="43" t="n"/>
      <c r="N202" s="43" t="n"/>
      <c r="O202" s="43" t="n"/>
      <c r="P202" s="43" t="n"/>
      <c r="Q202" s="43" t="inlineStr">
        <is>
          <t>BOARD</t>
        </is>
      </c>
      <c r="R202" s="33" t="inlineStr">
        <is>
          <t>REVISAR D608351: verificar accion documentada, PN/revision y vigencia para la corrida. No autoriza sustitucion ni uso de material.</t>
        </is>
      </c>
      <c r="S202" s="43" t="inlineStr">
        <is>
          <t>INFO</t>
        </is>
      </c>
      <c r="T202" s="33" t="inlineStr">
        <is>
          <t>Validar desviacion aprobada y estado; contrastar PN exacto y revision con Common DB, BOM/AVL, WO y fecha de corrida.</t>
        </is>
      </c>
      <c r="U202" s="33" t="inlineStr">
        <is>
          <t>Documento oficial firmado, autorizacion FJZ, revision/WO de alcance, confirmacion BOM y evidencia de implementacion si aplica.</t>
        </is>
      </c>
      <c r="V202" s="43" t="n"/>
      <c r="W202" s="43" t="n"/>
      <c r="X202" s="43" t="inlineStr">
        <is>
          <t>INFO</t>
        </is>
      </c>
      <c r="Y202" s="43" t="n"/>
      <c r="Z202" s="43" t="inlineStr">
        <is>
          <t>Pending Review</t>
        </is>
      </c>
      <c r="AA202" s="43" t="inlineStr">
        <is>
          <t>N</t>
        </is>
      </c>
      <c r="AB202" s="43" t="n"/>
      <c r="AC202" s="33" t="inlineStr">
        <is>
          <t xml:space="preserve">FUENTE: Deviation.csv filas 1028; Item Number original=73-18490-09 (prefijo 73- es CANDIDATO de PCBA, no confirmacion en Common DB); Workflow de origen=Expired; FJZ no validado, revision PCBA/WO no informadas. </t>
        </is>
      </c>
    </row>
    <row r="203">
      <c r="A203" s="43" t="inlineStr">
        <is>
          <t>DA-CTANJZ05090-STBU-73-21007-02</t>
        </is>
      </c>
      <c r="B203" s="43" t="n"/>
      <c r="C203" s="43" t="n"/>
      <c r="D203" s="43" t="inlineStr">
        <is>
          <t>73-21007-02</t>
        </is>
      </c>
      <c r="E203" s="43" t="inlineStr">
        <is>
          <t>DEV-CTANJZ05090</t>
        </is>
      </c>
      <c r="F203" s="43" t="n"/>
      <c r="G203" s="43" t="inlineStr">
        <is>
          <t>STBU</t>
        </is>
      </c>
      <c r="H203" s="43" t="n"/>
      <c r="I203" s="43" t="n"/>
      <c r="J203" s="43" t="n"/>
      <c r="K203" s="43" t="n"/>
      <c r="L203" s="43" t="n"/>
      <c r="M203" s="43" t="n"/>
      <c r="N203" s="43" t="n"/>
      <c r="O203" s="43" t="n"/>
      <c r="P203" s="43" t="n"/>
      <c r="Q203" s="43" t="inlineStr">
        <is>
          <t>BOARD</t>
        </is>
      </c>
      <c r="R203" s="33" t="inlineStr">
        <is>
          <t>REVISAR D608351: verificar accion documentada, PN/revision y vigencia para la corrida. No autoriza sustitucion ni uso de material.</t>
        </is>
      </c>
      <c r="S203" s="43" t="inlineStr">
        <is>
          <t>INFO</t>
        </is>
      </c>
      <c r="T203" s="33" t="inlineStr">
        <is>
          <t>Validar desviacion aprobada y estado; contrastar PN exacto y revision con Common DB, BOM/AVL, WO y fecha de corrida.</t>
        </is>
      </c>
      <c r="U203" s="33" t="inlineStr">
        <is>
          <t>Documento oficial firmado, autorizacion FJZ, revision/WO de alcance, confirmacion BOM y evidencia de implementacion si aplica.</t>
        </is>
      </c>
      <c r="V203" s="43" t="n"/>
      <c r="W203" s="43" t="n"/>
      <c r="X203" s="43" t="inlineStr">
        <is>
          <t>INFO</t>
        </is>
      </c>
      <c r="Y203" s="43" t="n"/>
      <c r="Z203" s="43" t="inlineStr">
        <is>
          <t>Pending Review</t>
        </is>
      </c>
      <c r="AA203" s="43" t="inlineStr">
        <is>
          <t>N</t>
        </is>
      </c>
      <c r="AB203" s="43" t="n"/>
      <c r="AC203" s="33" t="inlineStr">
        <is>
          <t xml:space="preserve">FUENTE: Deviation.csv filas 1029; Item Number original=73-21007-02 (prefijo 73- es CANDIDATO de PCBA, no confirmacion en Common DB); Workflow de origen=Expired; FJZ no validado, revision PCBA/WO no informadas. </t>
        </is>
      </c>
    </row>
    <row r="204">
      <c r="A204" s="43" t="inlineStr">
        <is>
          <t>DA-CTANJZ05091-CVEBU-73-103922-04</t>
        </is>
      </c>
      <c r="B204" s="43" t="n"/>
      <c r="C204" s="43" t="n"/>
      <c r="D204" s="43" t="inlineStr">
        <is>
          <t>73-103922-04</t>
        </is>
      </c>
      <c r="E204" s="43" t="inlineStr">
        <is>
          <t>DEV-CTANJZ05091</t>
        </is>
      </c>
      <c r="F204" s="43" t="n"/>
      <c r="G204" s="43" t="inlineStr">
        <is>
          <t>CVEBU</t>
        </is>
      </c>
      <c r="H204" s="43" t="n"/>
      <c r="I204" s="43" t="n"/>
      <c r="J204" s="43" t="n"/>
      <c r="K204" s="43" t="n"/>
      <c r="L204" s="43" t="n"/>
      <c r="M204" s="43" t="n"/>
      <c r="N204" s="43" t="n"/>
      <c r="O204" s="43" t="n"/>
      <c r="P204" s="43" t="n"/>
      <c r="Q204" s="43" t="inlineStr">
        <is>
          <t>BOARD</t>
        </is>
      </c>
      <c r="R204" s="33" t="inlineStr">
        <is>
          <t>REVISAR D609188: verificar accion documentada, PN/revision y vigencia para la corrida. No autoriza sustitucion ni uso de material.</t>
        </is>
      </c>
      <c r="S204" s="43" t="inlineStr">
        <is>
          <t>INFO</t>
        </is>
      </c>
      <c r="T204" s="33" t="inlineStr">
        <is>
          <t>Validar desviacion aprobada y estado; contrastar PN exacto y revision con Common DB, BOM/AVL, WO y fecha de corrida.</t>
        </is>
      </c>
      <c r="U204" s="33" t="inlineStr">
        <is>
          <t>Documento oficial firmado, autorizacion FJZ, revision/WO de alcance, confirmacion BOM y evidencia de implementacion si aplica.</t>
        </is>
      </c>
      <c r="V204" s="43" t="n"/>
      <c r="W204" s="43" t="n"/>
      <c r="X204" s="43" t="inlineStr">
        <is>
          <t>INFO</t>
        </is>
      </c>
      <c r="Y204" s="43" t="n"/>
      <c r="Z204" s="43" t="inlineStr">
        <is>
          <t>Pending Review</t>
        </is>
      </c>
      <c r="AA204" s="43" t="inlineStr">
        <is>
          <t>N</t>
        </is>
      </c>
      <c r="AB204" s="43" t="n"/>
      <c r="AC204" s="33" t="inlineStr">
        <is>
          <t xml:space="preserve">FUENTE: Deviation.csv filas 322; Item Number original=73-103922-04 (prefijo 73- es CANDIDATO de PCBA, no confirmacion en Common DB); Workflow de origen=Re-Extended; FJZ no validado, revision PCBA/WO no informadas. </t>
        </is>
      </c>
    </row>
    <row r="205">
      <c r="A205" s="43" t="inlineStr">
        <is>
          <t>DA-CTANJZ05094-STBU-73-18488-08</t>
        </is>
      </c>
      <c r="B205" s="43" t="n"/>
      <c r="C205" s="43" t="n"/>
      <c r="D205" s="43" t="inlineStr">
        <is>
          <t>73-18488-08</t>
        </is>
      </c>
      <c r="E205" s="43" t="inlineStr">
        <is>
          <t>DEV-CTANJZ05094</t>
        </is>
      </c>
      <c r="F205" s="43" t="n"/>
      <c r="G205" s="43" t="inlineStr">
        <is>
          <t>STBU</t>
        </is>
      </c>
      <c r="H205" s="43" t="n"/>
      <c r="I205" s="43" t="n"/>
      <c r="J205" s="43" t="n"/>
      <c r="K205" s="43" t="n"/>
      <c r="L205" s="43" t="n"/>
      <c r="M205" s="43" t="n"/>
      <c r="N205" s="43" t="n"/>
      <c r="O205" s="43" t="n"/>
      <c r="P205" s="43" t="n"/>
      <c r="Q205" s="43" t="inlineStr">
        <is>
          <t>BOARD</t>
        </is>
      </c>
      <c r="R205" s="33" t="inlineStr">
        <is>
          <t>REVISAR D609408: verificar accion documentada, PN/revision y vigencia para la corrida. No autoriza sustitucion ni uso de material.</t>
        </is>
      </c>
      <c r="S205" s="43" t="inlineStr">
        <is>
          <t>INFO</t>
        </is>
      </c>
      <c r="T205" s="33" t="inlineStr">
        <is>
          <t>Validar desviacion aprobada y estado; contrastar PN exacto y revision con Common DB, BOM/AVL, WO y fecha de corrida.</t>
        </is>
      </c>
      <c r="U205" s="33" t="inlineStr">
        <is>
          <t>Documento oficial firmado, autorizacion FJZ, revision/WO de alcance, confirmacion BOM y evidencia de implementacion si aplica.</t>
        </is>
      </c>
      <c r="V205" s="43" t="n"/>
      <c r="W205" s="43" t="n"/>
      <c r="X205" s="43" t="inlineStr">
        <is>
          <t>INFO</t>
        </is>
      </c>
      <c r="Y205" s="43" t="n"/>
      <c r="Z205" s="43" t="inlineStr">
        <is>
          <t>Pending Review</t>
        </is>
      </c>
      <c r="AA205" s="43" t="inlineStr">
        <is>
          <t>N</t>
        </is>
      </c>
      <c r="AB205" s="43" t="n"/>
      <c r="AC205" s="33" t="inlineStr">
        <is>
          <t xml:space="preserve">FUENTE: Deviation.csv filas 1807; Item Number original=73-18488-08 (prefijo 73- es CANDIDATO de PCBA, no confirmacion en Common DB); Workflow de origen=Expired; FJZ no validado, revision PCBA/WO no informadas. </t>
        </is>
      </c>
    </row>
    <row r="206">
      <c r="A206" s="43" t="inlineStr">
        <is>
          <t>DA-CTANJZ05094-STBU-73-18489-08</t>
        </is>
      </c>
      <c r="B206" s="43" t="n"/>
      <c r="C206" s="43" t="n"/>
      <c r="D206" s="43" t="inlineStr">
        <is>
          <t>73-18489-08</t>
        </is>
      </c>
      <c r="E206" s="43" t="inlineStr">
        <is>
          <t>DEV-CTANJZ05094</t>
        </is>
      </c>
      <c r="F206" s="43" t="n"/>
      <c r="G206" s="43" t="inlineStr">
        <is>
          <t>STBU</t>
        </is>
      </c>
      <c r="H206" s="43" t="n"/>
      <c r="I206" s="43" t="n"/>
      <c r="J206" s="43" t="n"/>
      <c r="K206" s="43" t="n"/>
      <c r="L206" s="43" t="n"/>
      <c r="M206" s="43" t="n"/>
      <c r="N206" s="43" t="n"/>
      <c r="O206" s="43" t="n"/>
      <c r="P206" s="43" t="n"/>
      <c r="Q206" s="43" t="inlineStr">
        <is>
          <t>BOARD</t>
        </is>
      </c>
      <c r="R206" s="33" t="inlineStr">
        <is>
          <t>REVISAR D609408: verificar accion documentada, PN/revision y vigencia para la corrida. No autoriza sustitucion ni uso de material.</t>
        </is>
      </c>
      <c r="S206" s="43" t="inlineStr">
        <is>
          <t>INFO</t>
        </is>
      </c>
      <c r="T206" s="33" t="inlineStr">
        <is>
          <t>Validar desviacion aprobada y estado; contrastar PN exacto y revision con Common DB, BOM/AVL, WO y fecha de corrida.</t>
        </is>
      </c>
      <c r="U206" s="33" t="inlineStr">
        <is>
          <t>Documento oficial firmado, autorizacion FJZ, revision/WO de alcance, confirmacion BOM y evidencia de implementacion si aplica.</t>
        </is>
      </c>
      <c r="V206" s="43" t="n"/>
      <c r="W206" s="43" t="n"/>
      <c r="X206" s="43" t="inlineStr">
        <is>
          <t>INFO</t>
        </is>
      </c>
      <c r="Y206" s="43" t="n"/>
      <c r="Z206" s="43" t="inlineStr">
        <is>
          <t>Pending Review</t>
        </is>
      </c>
      <c r="AA206" s="43" t="inlineStr">
        <is>
          <t>N</t>
        </is>
      </c>
      <c r="AB206" s="43" t="n"/>
      <c r="AC206" s="33" t="inlineStr">
        <is>
          <t xml:space="preserve">FUENTE: Deviation.csv filas 1808; Item Number original=73-18489-08 (prefijo 73- es CANDIDATO de PCBA, no confirmacion en Common DB); Workflow de origen=Expired; FJZ no validado, revision PCBA/WO no informadas. </t>
        </is>
      </c>
    </row>
    <row r="207">
      <c r="A207" s="43" t="inlineStr">
        <is>
          <t>DA-CTANJZ05094-STBU-73-18490-10</t>
        </is>
      </c>
      <c r="B207" s="43" t="n"/>
      <c r="C207" s="43" t="n"/>
      <c r="D207" s="43" t="inlineStr">
        <is>
          <t>73-18490-10</t>
        </is>
      </c>
      <c r="E207" s="43" t="inlineStr">
        <is>
          <t>DEV-CTANJZ05094</t>
        </is>
      </c>
      <c r="F207" s="43" t="n"/>
      <c r="G207" s="43" t="inlineStr">
        <is>
          <t>STBU</t>
        </is>
      </c>
      <c r="H207" s="43" t="n"/>
      <c r="I207" s="43" t="n"/>
      <c r="J207" s="43" t="n"/>
      <c r="K207" s="43" t="n"/>
      <c r="L207" s="43" t="n"/>
      <c r="M207" s="43" t="n"/>
      <c r="N207" s="43" t="n"/>
      <c r="O207" s="43" t="n"/>
      <c r="P207" s="43" t="n"/>
      <c r="Q207" s="43" t="inlineStr">
        <is>
          <t>BOARD</t>
        </is>
      </c>
      <c r="R207" s="33" t="inlineStr">
        <is>
          <t>REVISAR D609408: verificar accion documentada, PN/revision y vigencia para la corrida. No autoriza sustitucion ni uso de material.</t>
        </is>
      </c>
      <c r="S207" s="43" t="inlineStr">
        <is>
          <t>INFO</t>
        </is>
      </c>
      <c r="T207" s="33" t="inlineStr">
        <is>
          <t>Validar desviacion aprobada y estado; contrastar PN exacto y revision con Common DB, BOM/AVL, WO y fecha de corrida.</t>
        </is>
      </c>
      <c r="U207" s="33" t="inlineStr">
        <is>
          <t>Documento oficial firmado, autorizacion FJZ, revision/WO de alcance, confirmacion BOM y evidencia de implementacion si aplica.</t>
        </is>
      </c>
      <c r="V207" s="43" t="n"/>
      <c r="W207" s="43" t="n"/>
      <c r="X207" s="43" t="inlineStr">
        <is>
          <t>INFO</t>
        </is>
      </c>
      <c r="Y207" s="43" t="n"/>
      <c r="Z207" s="43" t="inlineStr">
        <is>
          <t>Pending Review</t>
        </is>
      </c>
      <c r="AA207" s="43" t="inlineStr">
        <is>
          <t>N</t>
        </is>
      </c>
      <c r="AB207" s="43" t="n"/>
      <c r="AC207" s="33" t="inlineStr">
        <is>
          <t xml:space="preserve">FUENTE: Deviation.csv filas 1809; Item Number original=73-18490-10 (prefijo 73- es CANDIDATO de PCBA, no confirmacion en Common DB); Workflow de origen=Expired; FJZ no validado, revision PCBA/WO no informadas. </t>
        </is>
      </c>
    </row>
    <row r="208">
      <c r="A208" s="43" t="inlineStr">
        <is>
          <t>DA-CTANJZ05094-STBU-73-21007-03</t>
        </is>
      </c>
      <c r="B208" s="43" t="n"/>
      <c r="C208" s="43" t="n"/>
      <c r="D208" s="43" t="inlineStr">
        <is>
          <t>73-21007-03</t>
        </is>
      </c>
      <c r="E208" s="43" t="inlineStr">
        <is>
          <t>DEV-CTANJZ05094</t>
        </is>
      </c>
      <c r="F208" s="43" t="n"/>
      <c r="G208" s="43" t="inlineStr">
        <is>
          <t>STBU</t>
        </is>
      </c>
      <c r="H208" s="43" t="n"/>
      <c r="I208" s="43" t="n"/>
      <c r="J208" s="43" t="n"/>
      <c r="K208" s="43" t="n"/>
      <c r="L208" s="43" t="n"/>
      <c r="M208" s="43" t="n"/>
      <c r="N208" s="43" t="n"/>
      <c r="O208" s="43" t="n"/>
      <c r="P208" s="43" t="n"/>
      <c r="Q208" s="43" t="inlineStr">
        <is>
          <t>BOARD</t>
        </is>
      </c>
      <c r="R208" s="33" t="inlineStr">
        <is>
          <t>REVISAR D609408: verificar accion documentada, PN/revision y vigencia para la corrida. No autoriza sustitucion ni uso de material.</t>
        </is>
      </c>
      <c r="S208" s="43" t="inlineStr">
        <is>
          <t>INFO</t>
        </is>
      </c>
      <c r="T208" s="33" t="inlineStr">
        <is>
          <t>Validar desviacion aprobada y estado; contrastar PN exacto y revision con Common DB, BOM/AVL, WO y fecha de corrida.</t>
        </is>
      </c>
      <c r="U208" s="33" t="inlineStr">
        <is>
          <t>Documento oficial firmado, autorizacion FJZ, revision/WO de alcance, confirmacion BOM y evidencia de implementacion si aplica.</t>
        </is>
      </c>
      <c r="V208" s="43" t="n"/>
      <c r="W208" s="43" t="n"/>
      <c r="X208" s="43" t="inlineStr">
        <is>
          <t>INFO</t>
        </is>
      </c>
      <c r="Y208" s="43" t="n"/>
      <c r="Z208" s="43" t="inlineStr">
        <is>
          <t>Pending Review</t>
        </is>
      </c>
      <c r="AA208" s="43" t="inlineStr">
        <is>
          <t>N</t>
        </is>
      </c>
      <c r="AB208" s="43" t="n"/>
      <c r="AC208" s="33" t="inlineStr">
        <is>
          <t xml:space="preserve">FUENTE: Deviation.csv filas 1810; Item Number original=73-21007-03 (prefijo 73- es CANDIDATO de PCBA, no confirmacion en Common DB); Workflow de origen=Expired; FJZ no validado, revision PCBA/WO no informadas. </t>
        </is>
      </c>
    </row>
    <row r="209">
      <c r="A209" s="43" t="inlineStr">
        <is>
          <t>DA-CTANJZ05105-CRBU-73-21144-06</t>
        </is>
      </c>
      <c r="B209" s="43" t="n"/>
      <c r="C209" s="43" t="n"/>
      <c r="D209" s="43" t="inlineStr">
        <is>
          <t>73-21144-06</t>
        </is>
      </c>
      <c r="E209" s="43" t="inlineStr">
        <is>
          <t>DEV-CTANJZ05105</t>
        </is>
      </c>
      <c r="F209" s="43" t="n"/>
      <c r="G209" s="43" t="inlineStr">
        <is>
          <t>CRBU</t>
        </is>
      </c>
      <c r="H209" s="43" t="n"/>
      <c r="I209" s="43" t="n"/>
      <c r="J209" s="43" t="n"/>
      <c r="K209" s="43" t="n"/>
      <c r="L209" s="43" t="n"/>
      <c r="M209" s="43" t="n"/>
      <c r="N209" s="43" t="n"/>
      <c r="O209" s="43" t="n"/>
      <c r="P209" s="43" t="n"/>
      <c r="Q209" s="43" t="inlineStr">
        <is>
          <t>BOARD</t>
        </is>
      </c>
      <c r="R209" s="33" t="inlineStr">
        <is>
          <t>REVISAR D609558: verificar accion documentada, PN/revision y vigencia para la corrida. No autoriza sustitucion ni uso de material.</t>
        </is>
      </c>
      <c r="S209" s="43" t="inlineStr">
        <is>
          <t>INFO</t>
        </is>
      </c>
      <c r="T209" s="33" t="inlineStr">
        <is>
          <t>Validar desviacion aprobada y estado; contrastar PN exacto y revision con Common DB, BOM/AVL, WO y fecha de corrida.</t>
        </is>
      </c>
      <c r="U209" s="33" t="inlineStr">
        <is>
          <t>Documento oficial firmado, autorizacion FJZ, revision/WO de alcance, confirmacion BOM y evidencia de implementacion si aplica.</t>
        </is>
      </c>
      <c r="V209" s="43" t="n"/>
      <c r="W209" s="43" t="n"/>
      <c r="X209" s="43" t="inlineStr">
        <is>
          <t>INFO</t>
        </is>
      </c>
      <c r="Y209" s="43" t="n"/>
      <c r="Z209" s="43" t="inlineStr">
        <is>
          <t>Pending Review</t>
        </is>
      </c>
      <c r="AA209" s="43" t="inlineStr">
        <is>
          <t>N</t>
        </is>
      </c>
      <c r="AB209" s="43" t="n"/>
      <c r="AC209" s="33" t="inlineStr">
        <is>
          <t xml:space="preserve">FUENTE: Deviation.csv filas 1011; Item Number original=73-21144-06 (prefijo 73- es CANDIDATO de PCBA, no confirmacion en Common DB); Workflow de origen=Expired; FJZ no validado, revision PCBA/WO no informadas. </t>
        </is>
      </c>
    </row>
    <row r="210">
      <c r="A210" s="43" t="inlineStr">
        <is>
          <t>DA-CTANJZ05105-CRBU-73-21146-05</t>
        </is>
      </c>
      <c r="B210" s="43" t="n"/>
      <c r="C210" s="43" t="n"/>
      <c r="D210" s="43" t="inlineStr">
        <is>
          <t>73-21146-05</t>
        </is>
      </c>
      <c r="E210" s="43" t="inlineStr">
        <is>
          <t>DEV-CTANJZ05105</t>
        </is>
      </c>
      <c r="F210" s="43" t="n"/>
      <c r="G210" s="43" t="inlineStr">
        <is>
          <t>CRBU</t>
        </is>
      </c>
      <c r="H210" s="43" t="n"/>
      <c r="I210" s="43" t="n"/>
      <c r="J210" s="43" t="n"/>
      <c r="K210" s="43" t="n"/>
      <c r="L210" s="43" t="n"/>
      <c r="M210" s="43" t="n"/>
      <c r="N210" s="43" t="n"/>
      <c r="O210" s="43" t="n"/>
      <c r="P210" s="43" t="n"/>
      <c r="Q210" s="43" t="inlineStr">
        <is>
          <t>BOARD</t>
        </is>
      </c>
      <c r="R210" s="33" t="inlineStr">
        <is>
          <t>REVISAR D609558: verificar accion documentada, PN/revision y vigencia para la corrida. No autoriza sustitucion ni uso de material.</t>
        </is>
      </c>
      <c r="S210" s="43" t="inlineStr">
        <is>
          <t>INFO</t>
        </is>
      </c>
      <c r="T210" s="33" t="inlineStr">
        <is>
          <t>Validar desviacion aprobada y estado; contrastar PN exacto y revision con Common DB, BOM/AVL, WO y fecha de corrida.</t>
        </is>
      </c>
      <c r="U210" s="33" t="inlineStr">
        <is>
          <t>Documento oficial firmado, autorizacion FJZ, revision/WO de alcance, confirmacion BOM y evidencia de implementacion si aplica.</t>
        </is>
      </c>
      <c r="V210" s="43" t="n"/>
      <c r="W210" s="43" t="n"/>
      <c r="X210" s="43" t="inlineStr">
        <is>
          <t>INFO</t>
        </is>
      </c>
      <c r="Y210" s="43" t="n"/>
      <c r="Z210" s="43" t="inlineStr">
        <is>
          <t>Pending Review</t>
        </is>
      </c>
      <c r="AA210" s="43" t="inlineStr">
        <is>
          <t>N</t>
        </is>
      </c>
      <c r="AB210" s="43" t="n"/>
      <c r="AC210" s="33" t="inlineStr">
        <is>
          <t xml:space="preserve">FUENTE: Deviation.csv filas 1012; Item Number original=73-21146-05 (prefijo 73- es CANDIDATO de PCBA, no confirmacion en Common DB); Workflow de origen=Expired; FJZ no validado, revision PCBA/WO no informadas. </t>
        </is>
      </c>
    </row>
    <row r="211">
      <c r="A211" s="43" t="inlineStr">
        <is>
          <t>DA-CTANJZ05105-CRBU-73-21146-12</t>
        </is>
      </c>
      <c r="B211" s="43" t="n"/>
      <c r="C211" s="43" t="n"/>
      <c r="D211" s="43" t="inlineStr">
        <is>
          <t>73-21146-12</t>
        </is>
      </c>
      <c r="E211" s="43" t="inlineStr">
        <is>
          <t>DEV-CTANJZ05105</t>
        </is>
      </c>
      <c r="F211" s="43" t="n"/>
      <c r="G211" s="43" t="inlineStr">
        <is>
          <t>CRBU</t>
        </is>
      </c>
      <c r="H211" s="43" t="n"/>
      <c r="I211" s="43" t="n"/>
      <c r="J211" s="43" t="n"/>
      <c r="K211" s="43" t="n"/>
      <c r="L211" s="43" t="n"/>
      <c r="M211" s="43" t="n"/>
      <c r="N211" s="43" t="n"/>
      <c r="O211" s="43" t="n"/>
      <c r="P211" s="43" t="n"/>
      <c r="Q211" s="43" t="inlineStr">
        <is>
          <t>BOARD</t>
        </is>
      </c>
      <c r="R211" s="33" t="inlineStr">
        <is>
          <t>REVISAR D609558: verificar accion documentada, PN/revision y vigencia para la corrida. No autoriza sustitucion ni uso de material.</t>
        </is>
      </c>
      <c r="S211" s="43" t="inlineStr">
        <is>
          <t>INFO</t>
        </is>
      </c>
      <c r="T211" s="33" t="inlineStr">
        <is>
          <t>Validar desviacion aprobada y estado; contrastar PN exacto y revision con Common DB, BOM/AVL, WO y fecha de corrida.</t>
        </is>
      </c>
      <c r="U211" s="33" t="inlineStr">
        <is>
          <t>Documento oficial firmado, autorizacion FJZ, revision/WO de alcance, confirmacion BOM y evidencia de implementacion si aplica.</t>
        </is>
      </c>
      <c r="V211" s="43" t="n"/>
      <c r="W211" s="43" t="n"/>
      <c r="X211" s="43" t="inlineStr">
        <is>
          <t>INFO</t>
        </is>
      </c>
      <c r="Y211" s="43" t="n"/>
      <c r="Z211" s="43" t="inlineStr">
        <is>
          <t>Pending Review</t>
        </is>
      </c>
      <c r="AA211" s="43" t="inlineStr">
        <is>
          <t>N</t>
        </is>
      </c>
      <c r="AB211" s="43" t="n"/>
      <c r="AC211" s="33" t="inlineStr">
        <is>
          <t xml:space="preserve">FUENTE: Deviation.csv filas 1013; Item Number original=73-21146-12 (prefijo 73- es CANDIDATO de PCBA, no confirmacion en Common DB); Workflow de origen=Expired; FJZ no validado, revision PCBA/WO no informadas. </t>
        </is>
      </c>
    </row>
    <row r="212">
      <c r="A212" s="43" t="inlineStr">
        <is>
          <t>DA-CTANJZ05107-STBU-73-103557-04</t>
        </is>
      </c>
      <c r="B212" s="43" t="n"/>
      <c r="C212" s="43" t="n"/>
      <c r="D212" s="43" t="inlineStr">
        <is>
          <t>73-103557-04</t>
        </is>
      </c>
      <c r="E212" s="43" t="inlineStr">
        <is>
          <t>DEV-CTANJZ05107</t>
        </is>
      </c>
      <c r="F212" s="43" t="n"/>
      <c r="G212" s="43" t="inlineStr">
        <is>
          <t>STBU</t>
        </is>
      </c>
      <c r="H212" s="43" t="n"/>
      <c r="I212" s="43" t="n"/>
      <c r="J212" s="43" t="n"/>
      <c r="K212" s="43" t="n"/>
      <c r="L212" s="43" t="n"/>
      <c r="M212" s="43" t="n"/>
      <c r="N212" s="43" t="n"/>
      <c r="O212" s="43" t="n"/>
      <c r="P212" s="43" t="n"/>
      <c r="Q212" s="43" t="inlineStr">
        <is>
          <t>BOARD</t>
        </is>
      </c>
      <c r="R212" s="33" t="inlineStr">
        <is>
          <t>REVISAR DP525818: verificar accion documentada, PN/revision y vigencia para la corrida. No autoriza sustitucion ni uso de material.</t>
        </is>
      </c>
      <c r="S212" s="43" t="inlineStr">
        <is>
          <t>INFO</t>
        </is>
      </c>
      <c r="T212" s="33" t="inlineStr">
        <is>
          <t>Validar desviacion aprobada y estado; contrastar PN exacto y revision con Common DB, BOM/AVL, WO y fecha de corrida.</t>
        </is>
      </c>
      <c r="U212" s="33" t="inlineStr">
        <is>
          <t>Documento oficial firmado, autorizacion FJZ, revision/WO de alcance, confirmacion BOM y evidencia de implementacion si aplica.</t>
        </is>
      </c>
      <c r="V212" s="43" t="n"/>
      <c r="W212" s="43" t="n"/>
      <c r="X212" s="43" t="inlineStr">
        <is>
          <t>INFO</t>
        </is>
      </c>
      <c r="Y212" s="43" t="n"/>
      <c r="Z212" s="43" t="inlineStr">
        <is>
          <t>Pending Review</t>
        </is>
      </c>
      <c r="AA212" s="43" t="inlineStr">
        <is>
          <t>N</t>
        </is>
      </c>
      <c r="AB212" s="43" t="n"/>
      <c r="AC212" s="33" t="inlineStr">
        <is>
          <t xml:space="preserve">FUENTE: Deviation.csv filas 971; Item Number original=73-103557-04 (prefijo 73- es CANDIDATO de PCBA, no confirmacion en Common DB); Workflow de origen=Expired; FJZ no validado, revision PCBA/WO no informadas. </t>
        </is>
      </c>
    </row>
    <row r="213">
      <c r="A213" s="43" t="inlineStr">
        <is>
          <t>DA-CTANJZ05108-CVEBU-73-103698-06</t>
        </is>
      </c>
      <c r="B213" s="43" t="n"/>
      <c r="C213" s="43" t="n"/>
      <c r="D213" s="43" t="inlineStr">
        <is>
          <t>73-103698-06</t>
        </is>
      </c>
      <c r="E213" s="43" t="inlineStr">
        <is>
          <t>DEV-CTANJZ05108</t>
        </is>
      </c>
      <c r="F213" s="43" t="n"/>
      <c r="G213" s="43" t="inlineStr">
        <is>
          <t>CVEBU</t>
        </is>
      </c>
      <c r="H213" s="43" t="n"/>
      <c r="I213" s="43" t="n"/>
      <c r="J213" s="43" t="n"/>
      <c r="K213" s="43" t="n"/>
      <c r="L213" s="43" t="n"/>
      <c r="M213" s="43" t="n"/>
      <c r="N213" s="43" t="n"/>
      <c r="O213" s="43" t="n"/>
      <c r="P213" s="43" t="n"/>
      <c r="Q213" s="43" t="inlineStr">
        <is>
          <t>BOARD</t>
        </is>
      </c>
      <c r="R213" s="33" t="inlineStr">
        <is>
          <t>REVISAR D609649: verificar accion documentada, PN/revision y vigencia para la corrida. No autoriza sustitucion ni uso de material.</t>
        </is>
      </c>
      <c r="S213" s="43" t="inlineStr">
        <is>
          <t>INFO</t>
        </is>
      </c>
      <c r="T213" s="33" t="inlineStr">
        <is>
          <t>Validar desviacion aprobada y estado; contrastar PN exacto y revision con Common DB, BOM/AVL, WO y fecha de corrida.</t>
        </is>
      </c>
      <c r="U213" s="33" t="inlineStr">
        <is>
          <t>Documento oficial firmado, autorizacion FJZ, revision/WO de alcance, confirmacion BOM y evidencia de implementacion si aplica.</t>
        </is>
      </c>
      <c r="V213" s="43" t="n"/>
      <c r="W213" s="43" t="n"/>
      <c r="X213" s="43" t="inlineStr">
        <is>
          <t>INFO</t>
        </is>
      </c>
      <c r="Y213" s="43" t="n"/>
      <c r="Z213" s="43" t="inlineStr">
        <is>
          <t>Pending Review</t>
        </is>
      </c>
      <c r="AA213" s="43" t="inlineStr">
        <is>
          <t>N</t>
        </is>
      </c>
      <c r="AB213" s="43" t="n"/>
      <c r="AC213" s="33" t="inlineStr">
        <is>
          <t xml:space="preserve">FUENTE: Deviation.csv filas 507; Item Number original=73-103698-06 (prefijo 73- es CANDIDATO de PCBA, no confirmacion en Common DB); Workflow de origen=Expired; FJZ no validado, revision PCBA/WO no informadas. </t>
        </is>
      </c>
    </row>
    <row r="214">
      <c r="A214" s="43" t="inlineStr">
        <is>
          <t>DA-CTANJZ05108-CVEBU-73-103940-06</t>
        </is>
      </c>
      <c r="B214" s="43" t="n"/>
      <c r="C214" s="43" t="n"/>
      <c r="D214" s="43" t="inlineStr">
        <is>
          <t>73-103940-06</t>
        </is>
      </c>
      <c r="E214" s="43" t="inlineStr">
        <is>
          <t>DEV-CTANJZ05108</t>
        </is>
      </c>
      <c r="F214" s="43" t="n"/>
      <c r="G214" s="43" t="inlineStr">
        <is>
          <t>CVEBU</t>
        </is>
      </c>
      <c r="H214" s="43" t="n"/>
      <c r="I214" s="43" t="n"/>
      <c r="J214" s="43" t="n"/>
      <c r="K214" s="43" t="n"/>
      <c r="L214" s="43" t="n"/>
      <c r="M214" s="43" t="n"/>
      <c r="N214" s="43" t="n"/>
      <c r="O214" s="43" t="n"/>
      <c r="P214" s="43" t="n"/>
      <c r="Q214" s="43" t="inlineStr">
        <is>
          <t>BOARD</t>
        </is>
      </c>
      <c r="R214" s="33" t="inlineStr">
        <is>
          <t>REVISAR D609649: verificar accion documentada, PN/revision y vigencia para la corrida. No autoriza sustitucion ni uso de material.</t>
        </is>
      </c>
      <c r="S214" s="43" t="inlineStr">
        <is>
          <t>INFO</t>
        </is>
      </c>
      <c r="T214" s="33" t="inlineStr">
        <is>
          <t>Validar desviacion aprobada y estado; contrastar PN exacto y revision con Common DB, BOM/AVL, WO y fecha de corrida.</t>
        </is>
      </c>
      <c r="U214" s="33" t="inlineStr">
        <is>
          <t>Documento oficial firmado, autorizacion FJZ, revision/WO de alcance, confirmacion BOM y evidencia de implementacion si aplica.</t>
        </is>
      </c>
      <c r="V214" s="43" t="n"/>
      <c r="W214" s="43" t="n"/>
      <c r="X214" s="43" t="inlineStr">
        <is>
          <t>INFO</t>
        </is>
      </c>
      <c r="Y214" s="43" t="n"/>
      <c r="Z214" s="43" t="inlineStr">
        <is>
          <t>Pending Review</t>
        </is>
      </c>
      <c r="AA214" s="43" t="inlineStr">
        <is>
          <t>N</t>
        </is>
      </c>
      <c r="AB214" s="43" t="n"/>
      <c r="AC214" s="33" t="inlineStr">
        <is>
          <t xml:space="preserve">FUENTE: Deviation.csv filas 508; Item Number original=73-103940-06 (prefijo 73- es CANDIDATO de PCBA, no confirmacion en Common DB); Workflow de origen=Expired; FJZ no validado, revision PCBA/WO no informadas. </t>
        </is>
      </c>
    </row>
    <row r="215">
      <c r="A215" s="43" t="inlineStr">
        <is>
          <t>DA-CTANJZ05114-CVEBU-73-103698-06</t>
        </is>
      </c>
      <c r="B215" s="43" t="n"/>
      <c r="C215" s="43" t="n"/>
      <c r="D215" s="43" t="inlineStr">
        <is>
          <t>73-103698-06</t>
        </is>
      </c>
      <c r="E215" s="43" t="inlineStr">
        <is>
          <t>DEV-CTANJZ05114</t>
        </is>
      </c>
      <c r="F215" s="43" t="n"/>
      <c r="G215" s="43" t="inlineStr">
        <is>
          <t>CVEBU</t>
        </is>
      </c>
      <c r="H215" s="43" t="n"/>
      <c r="I215" s="43" t="n"/>
      <c r="J215" s="43" t="n"/>
      <c r="K215" s="43" t="n"/>
      <c r="L215" s="43" t="n"/>
      <c r="M215" s="43" t="n"/>
      <c r="N215" s="43" t="n"/>
      <c r="O215" s="43" t="n"/>
      <c r="P215" s="43" t="n"/>
      <c r="Q215" s="43" t="inlineStr">
        <is>
          <t>BOARD</t>
        </is>
      </c>
      <c r="R215" s="33" t="inlineStr">
        <is>
          <t>REVISAR D609653: verificar accion documentada, PN/revision y vigencia para la corrida. No autoriza sustitucion ni uso de material.</t>
        </is>
      </c>
      <c r="S215" s="43" t="inlineStr">
        <is>
          <t>INFO</t>
        </is>
      </c>
      <c r="T215" s="33" t="inlineStr">
        <is>
          <t>Validar desviacion aprobada y estado; contrastar PN exacto y revision con Common DB, BOM/AVL, WO y fecha de corrida.</t>
        </is>
      </c>
      <c r="U215" s="33" t="inlineStr">
        <is>
          <t>Documento oficial firmado, autorizacion FJZ, revision/WO de alcance, confirmacion BOM y evidencia de implementacion si aplica.</t>
        </is>
      </c>
      <c r="V215" s="43" t="n"/>
      <c r="W215" s="43" t="n"/>
      <c r="X215" s="43" t="inlineStr">
        <is>
          <t>INFO</t>
        </is>
      </c>
      <c r="Y215" s="43" t="n"/>
      <c r="Z215" s="43" t="inlineStr">
        <is>
          <t>Pending Review</t>
        </is>
      </c>
      <c r="AA215" s="43" t="inlineStr">
        <is>
          <t>N</t>
        </is>
      </c>
      <c r="AB215" s="43" t="n"/>
      <c r="AC215" s="33" t="inlineStr">
        <is>
          <t xml:space="preserve">FUENTE: Deviation.csv filas 490; Item Number original=73-103698-06 (prefijo 73- es CANDIDATO de PCBA, no confirmacion en Common DB); Workflow de origen=Expired; FJZ no validado, revision PCBA/WO no informadas. </t>
        </is>
      </c>
    </row>
    <row r="216">
      <c r="A216" s="43" t="inlineStr">
        <is>
          <t>DA-CTANJZ05114-CVEBU-73-103940-06</t>
        </is>
      </c>
      <c r="B216" s="43" t="n"/>
      <c r="C216" s="43" t="n"/>
      <c r="D216" s="43" t="inlineStr">
        <is>
          <t>73-103940-06</t>
        </is>
      </c>
      <c r="E216" s="43" t="inlineStr">
        <is>
          <t>DEV-CTANJZ05114</t>
        </is>
      </c>
      <c r="F216" s="43" t="n"/>
      <c r="G216" s="43" t="inlineStr">
        <is>
          <t>CVEBU</t>
        </is>
      </c>
      <c r="H216" s="43" t="n"/>
      <c r="I216" s="43" t="n"/>
      <c r="J216" s="43" t="n"/>
      <c r="K216" s="43" t="n"/>
      <c r="L216" s="43" t="n"/>
      <c r="M216" s="43" t="n"/>
      <c r="N216" s="43" t="n"/>
      <c r="O216" s="43" t="n"/>
      <c r="P216" s="43" t="n"/>
      <c r="Q216" s="43" t="inlineStr">
        <is>
          <t>BOARD</t>
        </is>
      </c>
      <c r="R216" s="33" t="inlineStr">
        <is>
          <t>REVISAR D609653: verificar accion documentada, PN/revision y vigencia para la corrida. No autoriza sustitucion ni uso de material.</t>
        </is>
      </c>
      <c r="S216" s="43" t="inlineStr">
        <is>
          <t>INFO</t>
        </is>
      </c>
      <c r="T216" s="33" t="inlineStr">
        <is>
          <t>Validar desviacion aprobada y estado; contrastar PN exacto y revision con Common DB, BOM/AVL, WO y fecha de corrida.</t>
        </is>
      </c>
      <c r="U216" s="33" t="inlineStr">
        <is>
          <t>Documento oficial firmado, autorizacion FJZ, revision/WO de alcance, confirmacion BOM y evidencia de implementacion si aplica.</t>
        </is>
      </c>
      <c r="V216" s="43" t="n"/>
      <c r="W216" s="43" t="n"/>
      <c r="X216" s="43" t="inlineStr">
        <is>
          <t>INFO</t>
        </is>
      </c>
      <c r="Y216" s="43" t="n"/>
      <c r="Z216" s="43" t="inlineStr">
        <is>
          <t>Pending Review</t>
        </is>
      </c>
      <c r="AA216" s="43" t="inlineStr">
        <is>
          <t>N</t>
        </is>
      </c>
      <c r="AB216" s="43" t="n"/>
      <c r="AC216" s="33" t="inlineStr">
        <is>
          <t xml:space="preserve">FUENTE: Deviation.csv filas 491; Item Number original=73-103940-06 (prefijo 73- es CANDIDATO de PCBA, no confirmacion en Common DB); Workflow de origen=Expired; FJZ no validado, revision PCBA/WO no informadas. </t>
        </is>
      </c>
    </row>
    <row r="217">
      <c r="A217" s="43" t="inlineStr">
        <is>
          <t>DA-CTANJZ05129-IOTBU-73-101439-04</t>
        </is>
      </c>
      <c r="B217" s="43" t="n"/>
      <c r="C217" s="43" t="n"/>
      <c r="D217" s="43" t="inlineStr">
        <is>
          <t>73-101439-04</t>
        </is>
      </c>
      <c r="E217" s="43" t="inlineStr">
        <is>
          <t>DEV-CTANJZ05129</t>
        </is>
      </c>
      <c r="F217" s="43" t="n"/>
      <c r="G217" s="43" t="inlineStr">
        <is>
          <t>IOTBU</t>
        </is>
      </c>
      <c r="H217" s="43" t="n"/>
      <c r="I217" s="43" t="n"/>
      <c r="J217" s="43" t="n"/>
      <c r="K217" s="43" t="n"/>
      <c r="L217" s="43" t="n"/>
      <c r="M217" s="43" t="n"/>
      <c r="N217" s="43" t="n"/>
      <c r="O217" s="43" t="n"/>
      <c r="P217" s="43" t="n"/>
      <c r="Q217" s="43" t="inlineStr">
        <is>
          <t>BOARD</t>
        </is>
      </c>
      <c r="R217" s="33" t="inlineStr">
        <is>
          <t>REVISAR D609917: verificar accion documentada, PN/revision y vigencia para la corrida. No autoriza sustitucion ni uso de material.</t>
        </is>
      </c>
      <c r="S217" s="43" t="inlineStr">
        <is>
          <t>INFO</t>
        </is>
      </c>
      <c r="T217" s="33" t="inlineStr">
        <is>
          <t>Validar desviacion aprobada y estado; contrastar PN exacto y revision con Common DB, BOM/AVL, WO y fecha de corrida.</t>
        </is>
      </c>
      <c r="U217" s="33" t="inlineStr">
        <is>
          <t>Documento oficial firmado, autorizacion FJZ, revision/WO de alcance, confirmacion BOM y evidencia de implementacion si aplica.</t>
        </is>
      </c>
      <c r="V217" s="43" t="n"/>
      <c r="W217" s="43" t="n"/>
      <c r="X217" s="43" t="inlineStr">
        <is>
          <t>INFO</t>
        </is>
      </c>
      <c r="Y217" s="43" t="n"/>
      <c r="Z217" s="43" t="inlineStr">
        <is>
          <t>Pending Review</t>
        </is>
      </c>
      <c r="AA217" s="43" t="inlineStr">
        <is>
          <t>N</t>
        </is>
      </c>
      <c r="AB217" s="43" t="n"/>
      <c r="AC217" s="33" t="inlineStr">
        <is>
          <t xml:space="preserve">FUENTE: Deviation.csv filas 1147; Item Number original=73-101439-04 (prefijo 73- es CANDIDATO de PCBA, no confirmacion en Common DB); Workflow de origen=Expired; FJZ no validado, revision PCBA/WO no informadas. </t>
        </is>
      </c>
    </row>
    <row r="218">
      <c r="A218" s="43" t="inlineStr">
        <is>
          <t>DA-CTANJZ05129-IOTBU-73-102239-04</t>
        </is>
      </c>
      <c r="B218" s="43" t="n"/>
      <c r="C218" s="43" t="n"/>
      <c r="D218" s="43" t="inlineStr">
        <is>
          <t>73-102239-04</t>
        </is>
      </c>
      <c r="E218" s="43" t="inlineStr">
        <is>
          <t>DEV-CTANJZ05129</t>
        </is>
      </c>
      <c r="F218" s="43" t="n"/>
      <c r="G218" s="43" t="inlineStr">
        <is>
          <t>IOTBU</t>
        </is>
      </c>
      <c r="H218" s="43" t="n"/>
      <c r="I218" s="43" t="n"/>
      <c r="J218" s="43" t="n"/>
      <c r="K218" s="43" t="n"/>
      <c r="L218" s="43" t="n"/>
      <c r="M218" s="43" t="n"/>
      <c r="N218" s="43" t="n"/>
      <c r="O218" s="43" t="n"/>
      <c r="P218" s="43" t="n"/>
      <c r="Q218" s="43" t="inlineStr">
        <is>
          <t>BOARD</t>
        </is>
      </c>
      <c r="R218" s="33" t="inlineStr">
        <is>
          <t>REVISAR D609917: verificar accion documentada, PN/revision y vigencia para la corrida. No autoriza sustitucion ni uso de material.</t>
        </is>
      </c>
      <c r="S218" s="43" t="inlineStr">
        <is>
          <t>INFO</t>
        </is>
      </c>
      <c r="T218" s="33" t="inlineStr">
        <is>
          <t>Validar desviacion aprobada y estado; contrastar PN exacto y revision con Common DB, BOM/AVL, WO y fecha de corrida.</t>
        </is>
      </c>
      <c r="U218" s="33" t="inlineStr">
        <is>
          <t>Documento oficial firmado, autorizacion FJZ, revision/WO de alcance, confirmacion BOM y evidencia de implementacion si aplica.</t>
        </is>
      </c>
      <c r="V218" s="43" t="n"/>
      <c r="W218" s="43" t="n"/>
      <c r="X218" s="43" t="inlineStr">
        <is>
          <t>INFO</t>
        </is>
      </c>
      <c r="Y218" s="43" t="n"/>
      <c r="Z218" s="43" t="inlineStr">
        <is>
          <t>Pending Review</t>
        </is>
      </c>
      <c r="AA218" s="43" t="inlineStr">
        <is>
          <t>N</t>
        </is>
      </c>
      <c r="AB218" s="43" t="n"/>
      <c r="AC218" s="33" t="inlineStr">
        <is>
          <t xml:space="preserve">FUENTE: Deviation.csv filas 1148; Item Number original=73-102239-04 (prefijo 73- es CANDIDATO de PCBA, no confirmacion en Common DB); Workflow de origen=Expired; FJZ no validado, revision PCBA/WO no informadas. </t>
        </is>
      </c>
    </row>
    <row r="219">
      <c r="A219" s="43" t="inlineStr">
        <is>
          <t>DA-CTANJZ05129-IOTBU-73-103098-03</t>
        </is>
      </c>
      <c r="B219" s="43" t="n"/>
      <c r="C219" s="43" t="n"/>
      <c r="D219" s="43" t="inlineStr">
        <is>
          <t>73-103098-03</t>
        </is>
      </c>
      <c r="E219" s="43" t="inlineStr">
        <is>
          <t>DEV-CTANJZ05129</t>
        </is>
      </c>
      <c r="F219" s="43" t="n"/>
      <c r="G219" s="43" t="inlineStr">
        <is>
          <t>IOTBU</t>
        </is>
      </c>
      <c r="H219" s="43" t="n"/>
      <c r="I219" s="43" t="n"/>
      <c r="J219" s="43" t="n"/>
      <c r="K219" s="43" t="n"/>
      <c r="L219" s="43" t="n"/>
      <c r="M219" s="43" t="n"/>
      <c r="N219" s="43" t="n"/>
      <c r="O219" s="43" t="n"/>
      <c r="P219" s="43" t="n"/>
      <c r="Q219" s="43" t="inlineStr">
        <is>
          <t>BOARD</t>
        </is>
      </c>
      <c r="R219" s="33" t="inlineStr">
        <is>
          <t>REVISAR D609917: verificar accion documentada, PN/revision y vigencia para la corrida. No autoriza sustitucion ni uso de material.</t>
        </is>
      </c>
      <c r="S219" s="43" t="inlineStr">
        <is>
          <t>INFO</t>
        </is>
      </c>
      <c r="T219" s="33" t="inlineStr">
        <is>
          <t>Validar desviacion aprobada y estado; contrastar PN exacto y revision con Common DB, BOM/AVL, WO y fecha de corrida.</t>
        </is>
      </c>
      <c r="U219" s="33" t="inlineStr">
        <is>
          <t>Documento oficial firmado, autorizacion FJZ, revision/WO de alcance, confirmacion BOM y evidencia de implementacion si aplica.</t>
        </is>
      </c>
      <c r="V219" s="43" t="n"/>
      <c r="W219" s="43" t="n"/>
      <c r="X219" s="43" t="inlineStr">
        <is>
          <t>INFO</t>
        </is>
      </c>
      <c r="Y219" s="43" t="n"/>
      <c r="Z219" s="43" t="inlineStr">
        <is>
          <t>Pending Review</t>
        </is>
      </c>
      <c r="AA219" s="43" t="inlineStr">
        <is>
          <t>N</t>
        </is>
      </c>
      <c r="AB219" s="43" t="n"/>
      <c r="AC219" s="33" t="inlineStr">
        <is>
          <t xml:space="preserve">FUENTE: Deviation.csv filas 1149; Item Number original=73-103098-03 (prefijo 73- es CANDIDATO de PCBA, no confirmacion en Common DB); Workflow de origen=Expired; FJZ no validado, revision PCBA/WO no informadas. </t>
        </is>
      </c>
    </row>
    <row r="220">
      <c r="A220" s="43" t="inlineStr">
        <is>
          <t>DA-CTANJZ05134-STBU-73-18490-10</t>
        </is>
      </c>
      <c r="B220" s="43" t="n"/>
      <c r="C220" s="43" t="n"/>
      <c r="D220" s="43" t="inlineStr">
        <is>
          <t>73-18490-10</t>
        </is>
      </c>
      <c r="E220" s="43" t="inlineStr">
        <is>
          <t>DEV-CTANJZ05134</t>
        </is>
      </c>
      <c r="F220" s="43" t="n"/>
      <c r="G220" s="43" t="inlineStr">
        <is>
          <t>STBU</t>
        </is>
      </c>
      <c r="H220" s="43" t="n"/>
      <c r="I220" s="43" t="n"/>
      <c r="J220" s="43" t="n"/>
      <c r="K220" s="43" t="n"/>
      <c r="L220" s="43" t="n"/>
      <c r="M220" s="43" t="n"/>
      <c r="N220" s="43" t="n"/>
      <c r="O220" s="43" t="n"/>
      <c r="P220" s="43" t="n"/>
      <c r="Q220" s="43" t="inlineStr">
        <is>
          <t>BOARD</t>
        </is>
      </c>
      <c r="R220" s="33" t="inlineStr">
        <is>
          <t>REVISAR D609794: verificar accion documentada, PN/revision y vigencia para la corrida. No autoriza sustitucion ni uso de material.</t>
        </is>
      </c>
      <c r="S220" s="43" t="inlineStr">
        <is>
          <t>INFO</t>
        </is>
      </c>
      <c r="T220" s="33" t="inlineStr">
        <is>
          <t>Validar desviacion aprobada y estado; contrastar PN exacto y revision con Common DB, BOM/AVL, WO y fecha de corrida.</t>
        </is>
      </c>
      <c r="U220" s="33" t="inlineStr">
        <is>
          <t>Documento oficial firmado, autorizacion FJZ, revision/WO de alcance, confirmacion BOM y evidencia de implementacion si aplica.</t>
        </is>
      </c>
      <c r="V220" s="43" t="n"/>
      <c r="W220" s="43" t="n"/>
      <c r="X220" s="43" t="inlineStr">
        <is>
          <t>INFO</t>
        </is>
      </c>
      <c r="Y220" s="43" t="n"/>
      <c r="Z220" s="43" t="inlineStr">
        <is>
          <t>Pending Review</t>
        </is>
      </c>
      <c r="AA220" s="43" t="inlineStr">
        <is>
          <t>N</t>
        </is>
      </c>
      <c r="AB220" s="43" t="n"/>
      <c r="AC220" s="33" t="inlineStr">
        <is>
          <t xml:space="preserve">FUENTE: Deviation.csv filas 1585; Item Number original=73-18490-10 (prefijo 73- es CANDIDATO de PCBA, no confirmacion en Common DB); Workflow de origen=Expired; FJZ no validado, revision PCBA/WO no informadas. </t>
        </is>
      </c>
    </row>
    <row r="221">
      <c r="A221" s="43" t="inlineStr">
        <is>
          <t>DA-CTANJZ05138-CVEBU-73-102226-06</t>
        </is>
      </c>
      <c r="B221" s="43" t="inlineStr">
        <is>
          <t>MILLENIUM</t>
        </is>
      </c>
      <c r="C221" s="43" t="n"/>
      <c r="D221" s="43" t="inlineStr">
        <is>
          <t>73-102226-06</t>
        </is>
      </c>
      <c r="E221" s="43" t="inlineStr">
        <is>
          <t>DEV-CTANJZ05138</t>
        </is>
      </c>
      <c r="F221" s="43" t="n"/>
      <c r="G221" s="43" t="inlineStr">
        <is>
          <t>CVEBU</t>
        </is>
      </c>
      <c r="H221" s="43" t="n"/>
      <c r="I221" s="43" t="n"/>
      <c r="J221" s="43" t="n"/>
      <c r="K221" s="43" t="n"/>
      <c r="L221" s="43" t="n"/>
      <c r="M221" s="43" t="n"/>
      <c r="N221" s="43" t="n"/>
      <c r="O221" s="43" t="n"/>
      <c r="P221" s="43" t="n"/>
      <c r="Q221" s="43" t="inlineStr">
        <is>
          <t>BOARD</t>
        </is>
      </c>
      <c r="R221" s="33" t="inlineStr">
        <is>
          <t>REVISAR D609929: verificar accion documentada, PN/revision y vigencia para la corrida. No autoriza sustitucion ni uso de material.</t>
        </is>
      </c>
      <c r="S221" s="43" t="inlineStr">
        <is>
          <t>INFO</t>
        </is>
      </c>
      <c r="T221" s="33" t="inlineStr">
        <is>
          <t>Validar desviacion aprobada y estado; contrastar PN exacto y revision con Common DB, BOM/AVL, WO y fecha de corrida.</t>
        </is>
      </c>
      <c r="U221" s="33" t="inlineStr">
        <is>
          <t>Documento oficial firmado, autorizacion FJZ, revision/WO de alcance, confirmacion BOM y evidencia de implementacion si aplica.</t>
        </is>
      </c>
      <c r="V221" s="43" t="n"/>
      <c r="W221" s="43" t="n"/>
      <c r="X221" s="43" t="inlineStr">
        <is>
          <t>INFO</t>
        </is>
      </c>
      <c r="Y221" s="43" t="n"/>
      <c r="Z221" s="43" t="inlineStr">
        <is>
          <t>Pending Review</t>
        </is>
      </c>
      <c r="AA221" s="43" t="inlineStr">
        <is>
          <t>N</t>
        </is>
      </c>
      <c r="AB221" s="43" t="n"/>
      <c r="AC221" s="33" t="inlineStr">
        <is>
          <t xml:space="preserve">FUENTE: Deviation.csv filas 512; Item Number original=73-102226-06 (prefijo 73- es CANDIDATO de PCBA, no confirmacion en Common DB); Workflow de origen=Expired; FJZ no validado, revision PCBA/WO no informadas. </t>
        </is>
      </c>
    </row>
    <row r="222">
      <c r="A222" s="43" t="inlineStr">
        <is>
          <t>DA-CTANJZ05138-CVEBU-73-103226-06</t>
        </is>
      </c>
      <c r="B222" s="43" t="n"/>
      <c r="C222" s="43" t="n"/>
      <c r="D222" s="43" t="inlineStr">
        <is>
          <t>73-103226-06</t>
        </is>
      </c>
      <c r="E222" s="43" t="inlineStr">
        <is>
          <t>DEV-CTANJZ05138</t>
        </is>
      </c>
      <c r="F222" s="43" t="n"/>
      <c r="G222" s="43" t="inlineStr">
        <is>
          <t>CVEBU</t>
        </is>
      </c>
      <c r="H222" s="43" t="n"/>
      <c r="I222" s="43" t="n"/>
      <c r="J222" s="43" t="n"/>
      <c r="K222" s="43" t="n"/>
      <c r="L222" s="43" t="n"/>
      <c r="M222" s="43" t="n"/>
      <c r="N222" s="43" t="n"/>
      <c r="O222" s="43" t="n"/>
      <c r="P222" s="43" t="n"/>
      <c r="Q222" s="43" t="inlineStr">
        <is>
          <t>BOARD</t>
        </is>
      </c>
      <c r="R222" s="33" t="inlineStr">
        <is>
          <t>REVISAR D609929: verificar accion documentada, PN/revision y vigencia para la corrida. No autoriza sustitucion ni uso de material.</t>
        </is>
      </c>
      <c r="S222" s="43" t="inlineStr">
        <is>
          <t>INFO</t>
        </is>
      </c>
      <c r="T222" s="33" t="inlineStr">
        <is>
          <t>Validar desviacion aprobada y estado; contrastar PN exacto y revision con Common DB, BOM/AVL, WO y fecha de corrida.</t>
        </is>
      </c>
      <c r="U222" s="33" t="inlineStr">
        <is>
          <t>Documento oficial firmado, autorizacion FJZ, revision/WO de alcance, confirmacion BOM y evidencia de implementacion si aplica.</t>
        </is>
      </c>
      <c r="V222" s="43" t="n"/>
      <c r="W222" s="43" t="n"/>
      <c r="X222" s="43" t="inlineStr">
        <is>
          <t>INFO</t>
        </is>
      </c>
      <c r="Y222" s="43" t="n"/>
      <c r="Z222" s="43" t="inlineStr">
        <is>
          <t>Pending Review</t>
        </is>
      </c>
      <c r="AA222" s="43" t="inlineStr">
        <is>
          <t>N</t>
        </is>
      </c>
      <c r="AB222" s="43" t="n"/>
      <c r="AC222" s="33" t="inlineStr">
        <is>
          <t xml:space="preserve">FUENTE: Deviation.csv filas 513; Item Number original=73-103226-06 (prefijo 73- es CANDIDATO de PCBA, no confirmacion en Common DB); Workflow de origen=Expired; FJZ no validado, revision PCBA/WO no informadas. </t>
        </is>
      </c>
    </row>
    <row r="223">
      <c r="A223" s="43" t="inlineStr">
        <is>
          <t>DA-CTANJZ05138-CVEBU-73-103698-06</t>
        </is>
      </c>
      <c r="B223" s="43" t="n"/>
      <c r="C223" s="43" t="n"/>
      <c r="D223" s="43" t="inlineStr">
        <is>
          <t>73-103698-06</t>
        </is>
      </c>
      <c r="E223" s="43" t="inlineStr">
        <is>
          <t>DEV-CTANJZ05138</t>
        </is>
      </c>
      <c r="F223" s="43" t="n"/>
      <c r="G223" s="43" t="inlineStr">
        <is>
          <t>CVEBU</t>
        </is>
      </c>
      <c r="H223" s="43" t="n"/>
      <c r="I223" s="43" t="n"/>
      <c r="J223" s="43" t="n"/>
      <c r="K223" s="43" t="n"/>
      <c r="L223" s="43" t="n"/>
      <c r="M223" s="43" t="n"/>
      <c r="N223" s="43" t="n"/>
      <c r="O223" s="43" t="n"/>
      <c r="P223" s="43" t="n"/>
      <c r="Q223" s="43" t="inlineStr">
        <is>
          <t>BOARD</t>
        </is>
      </c>
      <c r="R223" s="33" t="inlineStr">
        <is>
          <t>REVISAR D609929: verificar accion documentada, PN/revision y vigencia para la corrida. No autoriza sustitucion ni uso de material.</t>
        </is>
      </c>
      <c r="S223" s="43" t="inlineStr">
        <is>
          <t>INFO</t>
        </is>
      </c>
      <c r="T223" s="33" t="inlineStr">
        <is>
          <t>Validar desviacion aprobada y estado; contrastar PN exacto y revision con Common DB, BOM/AVL, WO y fecha de corrida.</t>
        </is>
      </c>
      <c r="U223" s="33" t="inlineStr">
        <is>
          <t>Documento oficial firmado, autorizacion FJZ, revision/WO de alcance, confirmacion BOM y evidencia de implementacion si aplica.</t>
        </is>
      </c>
      <c r="V223" s="43" t="n"/>
      <c r="W223" s="43" t="n"/>
      <c r="X223" s="43" t="inlineStr">
        <is>
          <t>INFO</t>
        </is>
      </c>
      <c r="Y223" s="43" t="n"/>
      <c r="Z223" s="43" t="inlineStr">
        <is>
          <t>Pending Review</t>
        </is>
      </c>
      <c r="AA223" s="43" t="inlineStr">
        <is>
          <t>N</t>
        </is>
      </c>
      <c r="AB223" s="43" t="n"/>
      <c r="AC223" s="33" t="inlineStr">
        <is>
          <t xml:space="preserve">FUENTE: Deviation.csv filas 514; Item Number original=73-103698-06 (prefijo 73- es CANDIDATO de PCBA, no confirmacion en Common DB); Workflow de origen=Expired; FJZ no validado, revision PCBA/WO no informadas. </t>
        </is>
      </c>
    </row>
    <row r="224">
      <c r="A224" s="43" t="inlineStr">
        <is>
          <t>DA-CTANJZ05138-CVEBU-73-103940-06</t>
        </is>
      </c>
      <c r="B224" s="43" t="n"/>
      <c r="C224" s="43" t="n"/>
      <c r="D224" s="43" t="inlineStr">
        <is>
          <t>73-103940-06</t>
        </is>
      </c>
      <c r="E224" s="43" t="inlineStr">
        <is>
          <t>DEV-CTANJZ05138</t>
        </is>
      </c>
      <c r="F224" s="43" t="n"/>
      <c r="G224" s="43" t="inlineStr">
        <is>
          <t>CVEBU</t>
        </is>
      </c>
      <c r="H224" s="43" t="n"/>
      <c r="I224" s="43" t="n"/>
      <c r="J224" s="43" t="n"/>
      <c r="K224" s="43" t="n"/>
      <c r="L224" s="43" t="n"/>
      <c r="M224" s="43" t="n"/>
      <c r="N224" s="43" t="n"/>
      <c r="O224" s="43" t="n"/>
      <c r="P224" s="43" t="n"/>
      <c r="Q224" s="43" t="inlineStr">
        <is>
          <t>BOARD</t>
        </is>
      </c>
      <c r="R224" s="33" t="inlineStr">
        <is>
          <t>REVISAR D609929: verificar accion documentada, PN/revision y vigencia para la corrida. No autoriza sustitucion ni uso de material.</t>
        </is>
      </c>
      <c r="S224" s="43" t="inlineStr">
        <is>
          <t>INFO</t>
        </is>
      </c>
      <c r="T224" s="33" t="inlineStr">
        <is>
          <t>Validar desviacion aprobada y estado; contrastar PN exacto y revision con Common DB, BOM/AVL, WO y fecha de corrida.</t>
        </is>
      </c>
      <c r="U224" s="33" t="inlineStr">
        <is>
          <t>Documento oficial firmado, autorizacion FJZ, revision/WO de alcance, confirmacion BOM y evidencia de implementacion si aplica.</t>
        </is>
      </c>
      <c r="V224" s="43" t="n"/>
      <c r="W224" s="43" t="n"/>
      <c r="X224" s="43" t="inlineStr">
        <is>
          <t>INFO</t>
        </is>
      </c>
      <c r="Y224" s="43" t="n"/>
      <c r="Z224" s="43" t="inlineStr">
        <is>
          <t>Pending Review</t>
        </is>
      </c>
      <c r="AA224" s="43" t="inlineStr">
        <is>
          <t>N</t>
        </is>
      </c>
      <c r="AB224" s="43" t="n"/>
      <c r="AC224" s="33" t="inlineStr">
        <is>
          <t xml:space="preserve">FUENTE: Deviation.csv filas 515; Item Number original=73-103940-06 (prefijo 73- es CANDIDATO de PCBA, no confirmacion en Common DB); Workflow de origen=Expired; FJZ no validado, revision PCBA/WO no informadas. </t>
        </is>
      </c>
    </row>
    <row r="225">
      <c r="A225" s="43" t="inlineStr">
        <is>
          <t>DA-CTANJZ05139-STBU-73-18489-08</t>
        </is>
      </c>
      <c r="B225" s="43" t="n"/>
      <c r="C225" s="43" t="n"/>
      <c r="D225" s="43" t="inlineStr">
        <is>
          <t>73-18489-08</t>
        </is>
      </c>
      <c r="E225" s="43" t="inlineStr">
        <is>
          <t>DEV-CTANJZ05139</t>
        </is>
      </c>
      <c r="F225" s="43" t="n"/>
      <c r="G225" s="43" t="inlineStr">
        <is>
          <t>STBU</t>
        </is>
      </c>
      <c r="H225" s="43" t="n"/>
      <c r="I225" s="43" t="n"/>
      <c r="J225" s="43" t="n"/>
      <c r="K225" s="43" t="n"/>
      <c r="L225" s="43" t="n"/>
      <c r="M225" s="43" t="n"/>
      <c r="N225" s="43" t="n"/>
      <c r="O225" s="43" t="n"/>
      <c r="P225" s="43" t="n"/>
      <c r="Q225" s="43" t="inlineStr">
        <is>
          <t>BOARD</t>
        </is>
      </c>
      <c r="R225" s="33" t="inlineStr">
        <is>
          <t>REVISAR D609791: verificar accion documentada, PN/revision y vigencia para la corrida. No autoriza sustitucion ni uso de material.</t>
        </is>
      </c>
      <c r="S225" s="43" t="inlineStr">
        <is>
          <t>INFO</t>
        </is>
      </c>
      <c r="T225" s="33" t="inlineStr">
        <is>
          <t>Validar desviacion aprobada y estado; contrastar PN exacto y revision con Common DB, BOM/AVL, WO y fecha de corrida.</t>
        </is>
      </c>
      <c r="U225" s="33" t="inlineStr">
        <is>
          <t>Documento oficial firmado, autorizacion FJZ, revision/WO de alcance, confirmacion BOM y evidencia de implementacion si aplica.</t>
        </is>
      </c>
      <c r="V225" s="43" t="n"/>
      <c r="W225" s="43" t="n"/>
      <c r="X225" s="43" t="inlineStr">
        <is>
          <t>INFO</t>
        </is>
      </c>
      <c r="Y225" s="43" t="n"/>
      <c r="Z225" s="43" t="inlineStr">
        <is>
          <t>Pending Review</t>
        </is>
      </c>
      <c r="AA225" s="43" t="inlineStr">
        <is>
          <t>N</t>
        </is>
      </c>
      <c r="AB225" s="43" t="n"/>
      <c r="AC225" s="33" t="inlineStr">
        <is>
          <t xml:space="preserve">FUENTE: Deviation.csv filas 167,1447; Item Number original=73-18489-08 (prefijo 73- es CANDIDATO de PCBA, no confirmacion en Common DB); Workflow de origen=Expired; FJZ no validado, revision PCBA/WO no informadas. </t>
        </is>
      </c>
    </row>
    <row r="226">
      <c r="A226" s="43" t="inlineStr">
        <is>
          <t>DA-CTANJZ05140-STBU-73-18489-08</t>
        </is>
      </c>
      <c r="B226" s="43" t="n"/>
      <c r="C226" s="43" t="n"/>
      <c r="D226" s="43" t="inlineStr">
        <is>
          <t>73-18489-08</t>
        </is>
      </c>
      <c r="E226" s="43" t="inlineStr">
        <is>
          <t>DEV-CTANJZ05140</t>
        </is>
      </c>
      <c r="F226" s="43" t="n"/>
      <c r="G226" s="43" t="inlineStr">
        <is>
          <t>STBU</t>
        </is>
      </c>
      <c r="H226" s="43" t="n"/>
      <c r="I226" s="43" t="n"/>
      <c r="J226" s="43" t="n"/>
      <c r="K226" s="43" t="n"/>
      <c r="L226" s="43" t="n"/>
      <c r="M226" s="43" t="n"/>
      <c r="N226" s="43" t="n"/>
      <c r="O226" s="43" t="n"/>
      <c r="P226" s="43" t="n"/>
      <c r="Q226" s="43" t="inlineStr">
        <is>
          <t>BOARD</t>
        </is>
      </c>
      <c r="R226" s="33" t="inlineStr">
        <is>
          <t>REVISAR D609792: verificar accion documentada, PN/revision y vigencia para la corrida. No autoriza sustitucion ni uso de material.</t>
        </is>
      </c>
      <c r="S226" s="43" t="inlineStr">
        <is>
          <t>INFO</t>
        </is>
      </c>
      <c r="T226" s="33" t="inlineStr">
        <is>
          <t>Validar desviacion aprobada y estado; contrastar PN exacto y revision con Common DB, BOM/AVL, WO y fecha de corrida.</t>
        </is>
      </c>
      <c r="U226" s="33" t="inlineStr">
        <is>
          <t>Documento oficial firmado, autorizacion FJZ, revision/WO de alcance, confirmacion BOM y evidencia de implementacion si aplica.</t>
        </is>
      </c>
      <c r="V226" s="43" t="n"/>
      <c r="W226" s="43" t="n"/>
      <c r="X226" s="43" t="inlineStr">
        <is>
          <t>INFO</t>
        </is>
      </c>
      <c r="Y226" s="43" t="n"/>
      <c r="Z226" s="43" t="inlineStr">
        <is>
          <t>Pending Review</t>
        </is>
      </c>
      <c r="AA226" s="43" t="inlineStr">
        <is>
          <t>N</t>
        </is>
      </c>
      <c r="AB226" s="43" t="n"/>
      <c r="AC226" s="33" t="inlineStr">
        <is>
          <t xml:space="preserve">FUENTE: Deviation.csv filas 169,1449; Item Number original=73-18489-08 (prefijo 73- es CANDIDATO de PCBA, no confirmacion en Common DB); Workflow de origen=Expired; FJZ no validado, revision PCBA/WO no informadas. </t>
        </is>
      </c>
    </row>
    <row r="227">
      <c r="A227" s="43" t="inlineStr">
        <is>
          <t>DA-CTANJZ05141-STBU-73-18489-08</t>
        </is>
      </c>
      <c r="B227" s="43" t="n"/>
      <c r="C227" s="43" t="n"/>
      <c r="D227" s="43" t="inlineStr">
        <is>
          <t>73-18489-08</t>
        </is>
      </c>
      <c r="E227" s="43" t="inlineStr">
        <is>
          <t>DEV-CTANJZ05141</t>
        </is>
      </c>
      <c r="F227" s="43" t="n"/>
      <c r="G227" s="43" t="inlineStr">
        <is>
          <t>STBU</t>
        </is>
      </c>
      <c r="H227" s="43" t="n"/>
      <c r="I227" s="43" t="n"/>
      <c r="J227" s="43" t="n"/>
      <c r="K227" s="43" t="n"/>
      <c r="L227" s="43" t="n"/>
      <c r="M227" s="43" t="n"/>
      <c r="N227" s="43" t="n"/>
      <c r="O227" s="43" t="n"/>
      <c r="P227" s="43" t="n"/>
      <c r="Q227" s="43" t="inlineStr">
        <is>
          <t>BOARD</t>
        </is>
      </c>
      <c r="R227" s="33" t="inlineStr">
        <is>
          <t>REVISAR D609793: verificar accion documentada, PN/revision y vigencia para la corrida. No autoriza sustitucion ni uso de material.</t>
        </is>
      </c>
      <c r="S227" s="43" t="inlineStr">
        <is>
          <t>INFO</t>
        </is>
      </c>
      <c r="T227" s="33" t="inlineStr">
        <is>
          <t>Validar desviacion aprobada y estado; contrastar PN exacto y revision con Common DB, BOM/AVL, WO y fecha de corrida.</t>
        </is>
      </c>
      <c r="U227" s="33" t="inlineStr">
        <is>
          <t>Documento oficial firmado, autorizacion FJZ, revision/WO de alcance, confirmacion BOM y evidencia de implementacion si aplica.</t>
        </is>
      </c>
      <c r="V227" s="43" t="n"/>
      <c r="W227" s="43" t="n"/>
      <c r="X227" s="43" t="inlineStr">
        <is>
          <t>INFO</t>
        </is>
      </c>
      <c r="Y227" s="43" t="n"/>
      <c r="Z227" s="43" t="inlineStr">
        <is>
          <t>Pending Review</t>
        </is>
      </c>
      <c r="AA227" s="43" t="inlineStr">
        <is>
          <t>N</t>
        </is>
      </c>
      <c r="AB227" s="43" t="n"/>
      <c r="AC227" s="33" t="inlineStr">
        <is>
          <t xml:space="preserve">FUENTE: Deviation.csv filas 317,1451; Item Number original=73-18489-08 (prefijo 73- es CANDIDATO de PCBA, no confirmacion en Common DB); Workflow de origen=Expired; FJZ no validado, revision PCBA/WO no informadas. </t>
        </is>
      </c>
    </row>
    <row r="228">
      <c r="A228" s="43" t="inlineStr">
        <is>
          <t>DA-CTANJZ05144-CVEBU-73-103826-05</t>
        </is>
      </c>
      <c r="B228" s="43" t="inlineStr">
        <is>
          <t>BAYFRONT</t>
        </is>
      </c>
      <c r="C228" s="43" t="n"/>
      <c r="D228" s="43" t="inlineStr">
        <is>
          <t>73-103826-05</t>
        </is>
      </c>
      <c r="E228" s="43" t="inlineStr">
        <is>
          <t>DEV-CTANJZ05144</t>
        </is>
      </c>
      <c r="F228" s="43" t="n"/>
      <c r="G228" s="43" t="inlineStr">
        <is>
          <t>CVEBU</t>
        </is>
      </c>
      <c r="H228" s="43" t="n"/>
      <c r="I228" s="43" t="n"/>
      <c r="J228" s="43" t="n"/>
      <c r="K228" s="43" t="n"/>
      <c r="L228" s="43" t="n"/>
      <c r="M228" s="43" t="n"/>
      <c r="N228" s="43" t="n"/>
      <c r="O228" s="43" t="n"/>
      <c r="P228" s="43" t="n"/>
      <c r="Q228" s="43" t="inlineStr">
        <is>
          <t>BOARD</t>
        </is>
      </c>
      <c r="R228" s="33" t="inlineStr">
        <is>
          <t>REVISAR D610061: verificar accion documentada, PN/revision y vigencia para la corrida. No autoriza sustitucion ni uso de material.</t>
        </is>
      </c>
      <c r="S228" s="43" t="inlineStr">
        <is>
          <t>INFO</t>
        </is>
      </c>
      <c r="T228" s="33" t="inlineStr">
        <is>
          <t>Validar desviacion aprobada y estado; contrastar PN exacto y revision con Common DB, BOM/AVL, WO y fecha de corrida.</t>
        </is>
      </c>
      <c r="U228" s="33" t="inlineStr">
        <is>
          <t>Documento oficial firmado, autorizacion FJZ, revision/WO de alcance, confirmacion BOM y evidencia de implementacion si aplica.</t>
        </is>
      </c>
      <c r="V228" s="43" t="n"/>
      <c r="W228" s="43" t="n"/>
      <c r="X228" s="43" t="inlineStr">
        <is>
          <t>INFO</t>
        </is>
      </c>
      <c r="Y228" s="43" t="n"/>
      <c r="Z228" s="43" t="inlineStr">
        <is>
          <t>Pending Review</t>
        </is>
      </c>
      <c r="AA228" s="43" t="inlineStr">
        <is>
          <t>N</t>
        </is>
      </c>
      <c r="AB228" s="43" t="n"/>
      <c r="AC228" s="33" t="inlineStr">
        <is>
          <t xml:space="preserve">FUENTE: Deviation.csv filas 1191; Item Number original=73-103826-05 (prefijo 73- es CANDIDATO de PCBA, no confirmacion en Common DB); Workflow de origen=Expired; FJZ no validado, revision PCBA/WO no informadas. </t>
        </is>
      </c>
    </row>
    <row r="229">
      <c r="A229" s="43" t="inlineStr">
        <is>
          <t>DA-CTANJZ05154-STBU-73-20247-06</t>
        </is>
      </c>
      <c r="B229" s="43" t="inlineStr">
        <is>
          <t>TUFNELL PARK</t>
        </is>
      </c>
      <c r="C229" s="43" t="n"/>
      <c r="D229" s="43" t="inlineStr">
        <is>
          <t>73-20247-06</t>
        </is>
      </c>
      <c r="E229" s="43" t="inlineStr">
        <is>
          <t>DEV-CTANJZ05154</t>
        </is>
      </c>
      <c r="F229" s="43" t="n"/>
      <c r="G229" s="43" t="inlineStr">
        <is>
          <t>STBU</t>
        </is>
      </c>
      <c r="H229" s="43" t="n"/>
      <c r="I229" s="43" t="n"/>
      <c r="J229" s="43" t="n"/>
      <c r="K229" s="43" t="n"/>
      <c r="L229" s="43" t="n"/>
      <c r="M229" s="43" t="n"/>
      <c r="N229" s="43" t="n"/>
      <c r="O229" s="43" t="n"/>
      <c r="P229" s="43" t="n"/>
      <c r="Q229" s="43" t="inlineStr">
        <is>
          <t>BOARD</t>
        </is>
      </c>
      <c r="R229" s="33" t="inlineStr">
        <is>
          <t>REVISAR D610130: verificar accion documentada, PN/revision y vigencia para la corrida. No autoriza sustitucion ni uso de material.</t>
        </is>
      </c>
      <c r="S229" s="43" t="inlineStr">
        <is>
          <t>INFO</t>
        </is>
      </c>
      <c r="T229" s="33" t="inlineStr">
        <is>
          <t>Validar desviacion aprobada y estado; contrastar PN exacto y revision con Common DB, BOM/AVL, WO y fecha de corrida.</t>
        </is>
      </c>
      <c r="U229" s="33" t="inlineStr">
        <is>
          <t>Documento oficial firmado, autorizacion FJZ, revision/WO de alcance, confirmacion BOM y evidencia de implementacion si aplica.</t>
        </is>
      </c>
      <c r="V229" s="43" t="n"/>
      <c r="W229" s="43" t="n"/>
      <c r="X229" s="43" t="inlineStr">
        <is>
          <t>INFO</t>
        </is>
      </c>
      <c r="Y229" s="43" t="n"/>
      <c r="Z229" s="43" t="inlineStr">
        <is>
          <t>Pending Review</t>
        </is>
      </c>
      <c r="AA229" s="43" t="inlineStr">
        <is>
          <t>N</t>
        </is>
      </c>
      <c r="AB229" s="43" t="n"/>
      <c r="AC229" s="33" t="inlineStr">
        <is>
          <t xml:space="preserve">FUENTE: Deviation.csv filas 1051; Item Number original=73-20247-06 (prefijo 73- es CANDIDATO de PCBA, no confirmacion en Common DB); Workflow de origen=Expired; FJZ no validado, revision PCBA/WO no informadas. </t>
        </is>
      </c>
    </row>
    <row r="230">
      <c r="A230" s="43" t="inlineStr">
        <is>
          <t>DA-CTANJZ05154-STBU-73-20249-06</t>
        </is>
      </c>
      <c r="B230" s="43" t="inlineStr">
        <is>
          <t>TUFNELL PARK</t>
        </is>
      </c>
      <c r="C230" s="43" t="n"/>
      <c r="D230" s="43" t="inlineStr">
        <is>
          <t>73-20249-06</t>
        </is>
      </c>
      <c r="E230" s="43" t="inlineStr">
        <is>
          <t>DEV-CTANJZ05154</t>
        </is>
      </c>
      <c r="F230" s="43" t="n"/>
      <c r="G230" s="43" t="inlineStr">
        <is>
          <t>STBU</t>
        </is>
      </c>
      <c r="H230" s="43" t="n"/>
      <c r="I230" s="43" t="n"/>
      <c r="J230" s="43" t="n"/>
      <c r="K230" s="43" t="n"/>
      <c r="L230" s="43" t="n"/>
      <c r="M230" s="43" t="n"/>
      <c r="N230" s="43" t="n"/>
      <c r="O230" s="43" t="n"/>
      <c r="P230" s="43" t="n"/>
      <c r="Q230" s="43" t="inlineStr">
        <is>
          <t>BOARD</t>
        </is>
      </c>
      <c r="R230" s="33" t="inlineStr">
        <is>
          <t>REVISAR D610130: verificar accion documentada, PN/revision y vigencia para la corrida. No autoriza sustitucion ni uso de material.</t>
        </is>
      </c>
      <c r="S230" s="43" t="inlineStr">
        <is>
          <t>INFO</t>
        </is>
      </c>
      <c r="T230" s="33" t="inlineStr">
        <is>
          <t>Validar desviacion aprobada y estado; contrastar PN exacto y revision con Common DB, BOM/AVL, WO y fecha de corrida.</t>
        </is>
      </c>
      <c r="U230" s="33" t="inlineStr">
        <is>
          <t>Documento oficial firmado, autorizacion FJZ, revision/WO de alcance, confirmacion BOM y evidencia de implementacion si aplica.</t>
        </is>
      </c>
      <c r="V230" s="43" t="n"/>
      <c r="W230" s="43" t="n"/>
      <c r="X230" s="43" t="inlineStr">
        <is>
          <t>INFO</t>
        </is>
      </c>
      <c r="Y230" s="43" t="n"/>
      <c r="Z230" s="43" t="inlineStr">
        <is>
          <t>Pending Review</t>
        </is>
      </c>
      <c r="AA230" s="43" t="inlineStr">
        <is>
          <t>N</t>
        </is>
      </c>
      <c r="AB230" s="43" t="n"/>
      <c r="AC230" s="33" t="inlineStr">
        <is>
          <t xml:space="preserve">FUENTE: Deviation.csv filas 1052; Item Number original=73-20249-06 (prefijo 73- es CANDIDATO de PCBA, no confirmacion en Common DB); Workflow de origen=Expired; FJZ no validado, revision PCBA/WO no informadas. </t>
        </is>
      </c>
    </row>
    <row r="231">
      <c r="A231" s="43" t="inlineStr">
        <is>
          <t>DA-CTANJZ05157-CVEBU-73-103103-05</t>
        </is>
      </c>
      <c r="B231" s="43" t="n"/>
      <c r="C231" s="43" t="n"/>
      <c r="D231" s="43" t="inlineStr">
        <is>
          <t>73-103103-05</t>
        </is>
      </c>
      <c r="E231" s="43" t="inlineStr">
        <is>
          <t>DEV-CTANJZ05157</t>
        </is>
      </c>
      <c r="F231" s="43" t="n"/>
      <c r="G231" s="43" t="inlineStr">
        <is>
          <t>CVEBU</t>
        </is>
      </c>
      <c r="H231" s="43" t="n"/>
      <c r="I231" s="43" t="n"/>
      <c r="J231" s="43" t="n"/>
      <c r="K231" s="43" t="n"/>
      <c r="L231" s="43" t="n"/>
      <c r="M231" s="43" t="n"/>
      <c r="N231" s="43" t="n"/>
      <c r="O231" s="43" t="n"/>
      <c r="P231" s="43" t="n"/>
      <c r="Q231" s="43" t="inlineStr">
        <is>
          <t>BOARD</t>
        </is>
      </c>
      <c r="R231" s="33" t="inlineStr">
        <is>
          <t>REVISAR D610246: verificar accion documentada, PN/revision y vigencia para la corrida. No autoriza sustitucion ni uso de material.</t>
        </is>
      </c>
      <c r="S231" s="43" t="inlineStr">
        <is>
          <t>INFO</t>
        </is>
      </c>
      <c r="T231" s="33" t="inlineStr">
        <is>
          <t>Validar desviacion aprobada y estado; contrastar PN exacto y revision con Common DB, BOM/AVL, WO y fecha de corrida.</t>
        </is>
      </c>
      <c r="U231" s="33" t="inlineStr">
        <is>
          <t>Documento oficial firmado, autorizacion FJZ, revision/WO de alcance, confirmacion BOM y evidencia de implementacion si aplica.</t>
        </is>
      </c>
      <c r="V231" s="43" t="n"/>
      <c r="W231" s="43" t="n"/>
      <c r="X231" s="43" t="inlineStr">
        <is>
          <t>INFO</t>
        </is>
      </c>
      <c r="Y231" s="43" t="n"/>
      <c r="Z231" s="43" t="inlineStr">
        <is>
          <t>Pending Review</t>
        </is>
      </c>
      <c r="AA231" s="43" t="inlineStr">
        <is>
          <t>N</t>
        </is>
      </c>
      <c r="AB231" s="43" t="n"/>
      <c r="AC231" s="33" t="inlineStr">
        <is>
          <t xml:space="preserve">FUENTE: Deviation.csv filas 1836; Item Number original=73-103103-05 (prefijo 73- es CANDIDATO de PCBA, no confirmacion en Common DB); Workflow de origen=Expired; FJZ no validado, revision PCBA/WO no informadas. </t>
        </is>
      </c>
    </row>
    <row r="232">
      <c r="A232" s="43" t="inlineStr">
        <is>
          <t>DA-CTANJZ05157-CVEBU-73-103603-05</t>
        </is>
      </c>
      <c r="B232" s="43" t="inlineStr">
        <is>
          <t>PICTORIS</t>
        </is>
      </c>
      <c r="C232" s="43" t="n"/>
      <c r="D232" s="43" t="inlineStr">
        <is>
          <t>73-103603-05</t>
        </is>
      </c>
      <c r="E232" s="43" t="inlineStr">
        <is>
          <t>DEV-CTANJZ05157</t>
        </is>
      </c>
      <c r="F232" s="43" t="n"/>
      <c r="G232" s="43" t="inlineStr">
        <is>
          <t>CVEBU</t>
        </is>
      </c>
      <c r="H232" s="43" t="n"/>
      <c r="I232" s="43" t="n"/>
      <c r="J232" s="43" t="n"/>
      <c r="K232" s="43" t="n"/>
      <c r="L232" s="43" t="n"/>
      <c r="M232" s="43" t="n"/>
      <c r="N232" s="43" t="n"/>
      <c r="O232" s="43" t="n"/>
      <c r="P232" s="43" t="n"/>
      <c r="Q232" s="43" t="inlineStr">
        <is>
          <t>BOARD</t>
        </is>
      </c>
      <c r="R232" s="33" t="inlineStr">
        <is>
          <t>REVISAR D610246: verificar accion documentada, PN/revision y vigencia para la corrida. No autoriza sustitucion ni uso de material.</t>
        </is>
      </c>
      <c r="S232" s="43" t="inlineStr">
        <is>
          <t>INFO</t>
        </is>
      </c>
      <c r="T232" s="33" t="inlineStr">
        <is>
          <t>Validar desviacion aprobada y estado; contrastar PN exacto y revision con Common DB, BOM/AVL, WO y fecha de corrida.</t>
        </is>
      </c>
      <c r="U232" s="33" t="inlineStr">
        <is>
          <t>Documento oficial firmado, autorizacion FJZ, revision/WO de alcance, confirmacion BOM y evidencia de implementacion si aplica.</t>
        </is>
      </c>
      <c r="V232" s="43" t="n"/>
      <c r="W232" s="43" t="n"/>
      <c r="X232" s="43" t="inlineStr">
        <is>
          <t>INFO</t>
        </is>
      </c>
      <c r="Y232" s="43" t="n"/>
      <c r="Z232" s="43" t="inlineStr">
        <is>
          <t>Pending Review</t>
        </is>
      </c>
      <c r="AA232" s="43" t="inlineStr">
        <is>
          <t>N</t>
        </is>
      </c>
      <c r="AB232" s="43" t="n"/>
      <c r="AC232" s="33" t="inlineStr">
        <is>
          <t xml:space="preserve">FUENTE: Deviation.csv filas 1837; Item Number original=73-103603-05 (prefijo 73- es CANDIDATO de PCBA, no confirmacion en Common DB); Workflow de origen=Expired; FJZ no validado, revision PCBA/WO no informadas. </t>
        </is>
      </c>
    </row>
    <row r="233">
      <c r="A233" s="43" t="inlineStr">
        <is>
          <t>DA-CTANJZ05160-STBU-73-102433-05</t>
        </is>
      </c>
      <c r="B233" s="43" t="n"/>
      <c r="C233" s="43" t="n"/>
      <c r="D233" s="43" t="inlineStr">
        <is>
          <t>73-102433-05</t>
        </is>
      </c>
      <c r="E233" s="43" t="inlineStr">
        <is>
          <t>DEV-CTANJZ05160</t>
        </is>
      </c>
      <c r="F233" s="43" t="n"/>
      <c r="G233" s="43" t="inlineStr">
        <is>
          <t>STBU</t>
        </is>
      </c>
      <c r="H233" s="43" t="n"/>
      <c r="I233" s="43" t="n"/>
      <c r="J233" s="43" t="n"/>
      <c r="K233" s="43" t="n"/>
      <c r="L233" s="43" t="n"/>
      <c r="M233" s="43" t="n"/>
      <c r="N233" s="43" t="n"/>
      <c r="O233" s="43" t="n"/>
      <c r="P233" s="43" t="n"/>
      <c r="Q233" s="43" t="inlineStr">
        <is>
          <t>BOARD</t>
        </is>
      </c>
      <c r="R233" s="33" t="inlineStr">
        <is>
          <t>REVISAR D610237: verificar accion documentada, PN/revision y vigencia para la corrida. No autoriza sustitucion ni uso de material.</t>
        </is>
      </c>
      <c r="S233" s="43" t="inlineStr">
        <is>
          <t>INFO</t>
        </is>
      </c>
      <c r="T233" s="33" t="inlineStr">
        <is>
          <t>Validar desviacion aprobada y estado; contrastar PN exacto y revision con Common DB, BOM/AVL, WO y fecha de corrida.</t>
        </is>
      </c>
      <c r="U233" s="33" t="inlineStr">
        <is>
          <t>Documento oficial firmado, autorizacion FJZ, revision/WO de alcance, confirmacion BOM y evidencia de implementacion si aplica.</t>
        </is>
      </c>
      <c r="V233" s="43" t="n"/>
      <c r="W233" s="43" t="n"/>
      <c r="X233" s="43" t="inlineStr">
        <is>
          <t>INFO</t>
        </is>
      </c>
      <c r="Y233" s="43" t="n"/>
      <c r="Z233" s="43" t="inlineStr">
        <is>
          <t>Pending Review</t>
        </is>
      </c>
      <c r="AA233" s="43" t="inlineStr">
        <is>
          <t>N</t>
        </is>
      </c>
      <c r="AB233" s="43" t="n"/>
      <c r="AC233" s="33" t="inlineStr">
        <is>
          <t xml:space="preserve">FUENTE: Deviation.csv filas 1126; Item Number original=73-102433-05 (prefijo 73- es CANDIDATO de PCBA, no confirmacion en Common DB); Workflow de origen=Expired; FJZ no validado, revision PCBA/WO no informadas. </t>
        </is>
      </c>
    </row>
    <row r="234">
      <c r="A234" s="43" t="inlineStr">
        <is>
          <t>DA-CTANJZ05160-STBU-73-102434-05</t>
        </is>
      </c>
      <c r="B234" s="43" t="n"/>
      <c r="C234" s="43" t="n"/>
      <c r="D234" s="43" t="inlineStr">
        <is>
          <t>73-102434-05</t>
        </is>
      </c>
      <c r="E234" s="43" t="inlineStr">
        <is>
          <t>DEV-CTANJZ05160</t>
        </is>
      </c>
      <c r="F234" s="43" t="n"/>
      <c r="G234" s="43" t="inlineStr">
        <is>
          <t>STBU</t>
        </is>
      </c>
      <c r="H234" s="43" t="n"/>
      <c r="I234" s="43" t="n"/>
      <c r="J234" s="43" t="n"/>
      <c r="K234" s="43" t="n"/>
      <c r="L234" s="43" t="n"/>
      <c r="M234" s="43" t="n"/>
      <c r="N234" s="43" t="n"/>
      <c r="O234" s="43" t="n"/>
      <c r="P234" s="43" t="n"/>
      <c r="Q234" s="43" t="inlineStr">
        <is>
          <t>BOARD</t>
        </is>
      </c>
      <c r="R234" s="33" t="inlineStr">
        <is>
          <t>REVISAR D610237: verificar accion documentada, PN/revision y vigencia para la corrida. No autoriza sustitucion ni uso de material.</t>
        </is>
      </c>
      <c r="S234" s="43" t="inlineStr">
        <is>
          <t>INFO</t>
        </is>
      </c>
      <c r="T234" s="33" t="inlineStr">
        <is>
          <t>Validar desviacion aprobada y estado; contrastar PN exacto y revision con Common DB, BOM/AVL, WO y fecha de corrida.</t>
        </is>
      </c>
      <c r="U234" s="33" t="inlineStr">
        <is>
          <t>Documento oficial firmado, autorizacion FJZ, revision/WO de alcance, confirmacion BOM y evidencia de implementacion si aplica.</t>
        </is>
      </c>
      <c r="V234" s="43" t="n"/>
      <c r="W234" s="43" t="n"/>
      <c r="X234" s="43" t="inlineStr">
        <is>
          <t>INFO</t>
        </is>
      </c>
      <c r="Y234" s="43" t="n"/>
      <c r="Z234" s="43" t="inlineStr">
        <is>
          <t>Pending Review</t>
        </is>
      </c>
      <c r="AA234" s="43" t="inlineStr">
        <is>
          <t>N</t>
        </is>
      </c>
      <c r="AB234" s="43" t="n"/>
      <c r="AC234" s="33" t="inlineStr">
        <is>
          <t xml:space="preserve">FUENTE: Deviation.csv filas 1127; Item Number original=73-102434-05 (prefijo 73- es CANDIDATO de PCBA, no confirmacion en Common DB); Workflow de origen=Expired; FJZ no validado, revision PCBA/WO no informadas. </t>
        </is>
      </c>
    </row>
    <row r="235">
      <c r="A235" s="43" t="inlineStr">
        <is>
          <t>DA-CTANJZ05160-STBU-73-102435-05</t>
        </is>
      </c>
      <c r="B235" s="43" t="n"/>
      <c r="C235" s="43" t="n"/>
      <c r="D235" s="43" t="inlineStr">
        <is>
          <t>73-102435-05</t>
        </is>
      </c>
      <c r="E235" s="43" t="inlineStr">
        <is>
          <t>DEV-CTANJZ05160</t>
        </is>
      </c>
      <c r="F235" s="43" t="n"/>
      <c r="G235" s="43" t="inlineStr">
        <is>
          <t>STBU</t>
        </is>
      </c>
      <c r="H235" s="43" t="n"/>
      <c r="I235" s="43" t="n"/>
      <c r="J235" s="43" t="n"/>
      <c r="K235" s="43" t="n"/>
      <c r="L235" s="43" t="n"/>
      <c r="M235" s="43" t="n"/>
      <c r="N235" s="43" t="n"/>
      <c r="O235" s="43" t="n"/>
      <c r="P235" s="43" t="n"/>
      <c r="Q235" s="43" t="inlineStr">
        <is>
          <t>BOARD</t>
        </is>
      </c>
      <c r="R235" s="33" t="inlineStr">
        <is>
          <t>REVISAR D610237: verificar accion documentada, PN/revision y vigencia para la corrida. No autoriza sustitucion ni uso de material.</t>
        </is>
      </c>
      <c r="S235" s="43" t="inlineStr">
        <is>
          <t>INFO</t>
        </is>
      </c>
      <c r="T235" s="33" t="inlineStr">
        <is>
          <t>Validar desviacion aprobada y estado; contrastar PN exacto y revision con Common DB, BOM/AVL, WO y fecha de corrida.</t>
        </is>
      </c>
      <c r="U235" s="33" t="inlineStr">
        <is>
          <t>Documento oficial firmado, autorizacion FJZ, revision/WO de alcance, confirmacion BOM y evidencia de implementacion si aplica.</t>
        </is>
      </c>
      <c r="V235" s="43" t="n"/>
      <c r="W235" s="43" t="n"/>
      <c r="X235" s="43" t="inlineStr">
        <is>
          <t>INFO</t>
        </is>
      </c>
      <c r="Y235" s="43" t="n"/>
      <c r="Z235" s="43" t="inlineStr">
        <is>
          <t>Pending Review</t>
        </is>
      </c>
      <c r="AA235" s="43" t="inlineStr">
        <is>
          <t>N</t>
        </is>
      </c>
      <c r="AB235" s="43" t="n"/>
      <c r="AC235" s="33" t="inlineStr">
        <is>
          <t xml:space="preserve">FUENTE: Deviation.csv filas 1128; Item Number original=73-102435-05 (prefijo 73- es CANDIDATO de PCBA, no confirmacion en Common DB); Workflow de origen=Expired; FJZ no validado, revision PCBA/WO no informadas. </t>
        </is>
      </c>
    </row>
    <row r="236">
      <c r="A236" s="43" t="inlineStr">
        <is>
          <t>DA-CTANJZ05167-CVEBU-73-103698-06</t>
        </is>
      </c>
      <c r="B236" s="43" t="n"/>
      <c r="C236" s="43" t="n"/>
      <c r="D236" s="43" t="inlineStr">
        <is>
          <t>73-103698-06</t>
        </is>
      </c>
      <c r="E236" s="43" t="inlineStr">
        <is>
          <t>DEV-CTANJZ05167</t>
        </is>
      </c>
      <c r="F236" s="43" t="n"/>
      <c r="G236" s="43" t="inlineStr">
        <is>
          <t>CVEBU</t>
        </is>
      </c>
      <c r="H236" s="43" t="n"/>
      <c r="I236" s="43" t="n"/>
      <c r="J236" s="43" t="n"/>
      <c r="K236" s="43" t="n"/>
      <c r="L236" s="43" t="n"/>
      <c r="M236" s="43" t="n"/>
      <c r="N236" s="43" t="n"/>
      <c r="O236" s="43" t="n"/>
      <c r="P236" s="43" t="n"/>
      <c r="Q236" s="43" t="inlineStr">
        <is>
          <t>BOARD</t>
        </is>
      </c>
      <c r="R236" s="33" t="inlineStr">
        <is>
          <t>REVISAR D610433: verificar accion documentada, PN/revision y vigencia para la corrida. No autoriza sustitucion ni uso de material.</t>
        </is>
      </c>
      <c r="S236" s="43" t="inlineStr">
        <is>
          <t>INFO</t>
        </is>
      </c>
      <c r="T236" s="33" t="inlineStr">
        <is>
          <t>Validar desviacion aprobada y estado; contrastar PN exacto y revision con Common DB, BOM/AVL, WO y fecha de corrida.</t>
        </is>
      </c>
      <c r="U236" s="33" t="inlineStr">
        <is>
          <t>Documento oficial firmado, autorizacion FJZ, revision/WO de alcance, confirmacion BOM y evidencia de implementacion si aplica.</t>
        </is>
      </c>
      <c r="V236" s="43" t="n"/>
      <c r="W236" s="43" t="n"/>
      <c r="X236" s="43" t="inlineStr">
        <is>
          <t>INFO</t>
        </is>
      </c>
      <c r="Y236" s="43" t="n"/>
      <c r="Z236" s="43" t="inlineStr">
        <is>
          <t>Pending Review</t>
        </is>
      </c>
      <c r="AA236" s="43" t="inlineStr">
        <is>
          <t>N</t>
        </is>
      </c>
      <c r="AB236" s="43" t="n"/>
      <c r="AC236" s="33" t="inlineStr">
        <is>
          <t xml:space="preserve">FUENTE: Deviation.csv filas 533; Item Number original=73-103698-06 (prefijo 73- es CANDIDATO de PCBA, no confirmacion en Common DB); Workflow de origen=Expired; FJZ no validado, revision PCBA/WO no informadas. </t>
        </is>
      </c>
    </row>
    <row r="237">
      <c r="A237" s="43" t="inlineStr">
        <is>
          <t>DA-CTANJZ05167-CVEBU-73-103940-06</t>
        </is>
      </c>
      <c r="B237" s="43" t="n"/>
      <c r="C237" s="43" t="n"/>
      <c r="D237" s="43" t="inlineStr">
        <is>
          <t>73-103940-06</t>
        </is>
      </c>
      <c r="E237" s="43" t="inlineStr">
        <is>
          <t>DEV-CTANJZ05167</t>
        </is>
      </c>
      <c r="F237" s="43" t="n"/>
      <c r="G237" s="43" t="inlineStr">
        <is>
          <t>CVEBU</t>
        </is>
      </c>
      <c r="H237" s="43" t="n"/>
      <c r="I237" s="43" t="n"/>
      <c r="J237" s="43" t="n"/>
      <c r="K237" s="43" t="n"/>
      <c r="L237" s="43" t="n"/>
      <c r="M237" s="43" t="n"/>
      <c r="N237" s="43" t="n"/>
      <c r="O237" s="43" t="n"/>
      <c r="P237" s="43" t="n"/>
      <c r="Q237" s="43" t="inlineStr">
        <is>
          <t>BOARD</t>
        </is>
      </c>
      <c r="R237" s="33" t="inlineStr">
        <is>
          <t>REVISAR D610433: verificar accion documentada, PN/revision y vigencia para la corrida. No autoriza sustitucion ni uso de material.</t>
        </is>
      </c>
      <c r="S237" s="43" t="inlineStr">
        <is>
          <t>INFO</t>
        </is>
      </c>
      <c r="T237" s="33" t="inlineStr">
        <is>
          <t>Validar desviacion aprobada y estado; contrastar PN exacto y revision con Common DB, BOM/AVL, WO y fecha de corrida.</t>
        </is>
      </c>
      <c r="U237" s="33" t="inlineStr">
        <is>
          <t>Documento oficial firmado, autorizacion FJZ, revision/WO de alcance, confirmacion BOM y evidencia de implementacion si aplica.</t>
        </is>
      </c>
      <c r="V237" s="43" t="n"/>
      <c r="W237" s="43" t="n"/>
      <c r="X237" s="43" t="inlineStr">
        <is>
          <t>INFO</t>
        </is>
      </c>
      <c r="Y237" s="43" t="n"/>
      <c r="Z237" s="43" t="inlineStr">
        <is>
          <t>Pending Review</t>
        </is>
      </c>
      <c r="AA237" s="43" t="inlineStr">
        <is>
          <t>N</t>
        </is>
      </c>
      <c r="AB237" s="43" t="n"/>
      <c r="AC237" s="33" t="inlineStr">
        <is>
          <t xml:space="preserve">FUENTE: Deviation.csv filas 534; Item Number original=73-103940-06 (prefijo 73- es CANDIDATO de PCBA, no confirmacion en Common DB); Workflow de origen=Expired; FJZ no validado, revision PCBA/WO no informadas. </t>
        </is>
      </c>
    </row>
    <row r="238">
      <c r="A238" s="43" t="inlineStr">
        <is>
          <t>DA-CTANJZ05169-STBU-73-102435-05</t>
        </is>
      </c>
      <c r="B238" s="43" t="n"/>
      <c r="C238" s="43" t="n"/>
      <c r="D238" s="43" t="inlineStr">
        <is>
          <t>73-102435-05</t>
        </is>
      </c>
      <c r="E238" s="43" t="inlineStr">
        <is>
          <t>DEV-CTANJZ05169</t>
        </is>
      </c>
      <c r="F238" s="43" t="n"/>
      <c r="G238" s="43" t="inlineStr">
        <is>
          <t>STBU</t>
        </is>
      </c>
      <c r="H238" s="43" t="n"/>
      <c r="I238" s="43" t="n"/>
      <c r="J238" s="43" t="n"/>
      <c r="K238" s="43" t="n"/>
      <c r="L238" s="43" t="n"/>
      <c r="M238" s="43" t="n"/>
      <c r="N238" s="43" t="n"/>
      <c r="O238" s="43" t="n"/>
      <c r="P238" s="43" t="n"/>
      <c r="Q238" s="43" t="inlineStr">
        <is>
          <t>BOARD</t>
        </is>
      </c>
      <c r="R238" s="33" t="inlineStr">
        <is>
          <t>REVISAR D610106: verificar accion documentada, PN/revision y vigencia para la corrida. No autoriza sustitucion ni uso de material.</t>
        </is>
      </c>
      <c r="S238" s="43" t="inlineStr">
        <is>
          <t>INFO</t>
        </is>
      </c>
      <c r="T238" s="33" t="inlineStr">
        <is>
          <t>Validar desviacion aprobada y estado; contrastar PN exacto y revision con Common DB, BOM/AVL, WO y fecha de corrida.</t>
        </is>
      </c>
      <c r="U238" s="33" t="inlineStr">
        <is>
          <t>Documento oficial firmado, autorizacion FJZ, revision/WO de alcance, confirmacion BOM y evidencia de implementacion si aplica.</t>
        </is>
      </c>
      <c r="V238" s="43" t="n"/>
      <c r="W238" s="43" t="n"/>
      <c r="X238" s="43" t="inlineStr">
        <is>
          <t>INFO</t>
        </is>
      </c>
      <c r="Y238" s="43" t="n"/>
      <c r="Z238" s="43" t="inlineStr">
        <is>
          <t>Pending Review</t>
        </is>
      </c>
      <c r="AA238" s="43" t="inlineStr">
        <is>
          <t>N</t>
        </is>
      </c>
      <c r="AB238" s="43" t="n"/>
      <c r="AC238" s="33" t="inlineStr">
        <is>
          <t xml:space="preserve">FUENTE: Deviation.csv filas 172,1506; Item Number original=73-102435-05 (prefijo 73- es CANDIDATO de PCBA, no confirmacion en Common DB); Workflow de origen=Expired; FJZ no validado, revision PCBA/WO no informadas. </t>
        </is>
      </c>
    </row>
    <row r="239">
      <c r="A239" s="43" t="inlineStr">
        <is>
          <t>DA-CTANJZ05173-STBU-73-18490-10</t>
        </is>
      </c>
      <c r="B239" s="43" t="n"/>
      <c r="C239" s="43" t="n"/>
      <c r="D239" s="43" t="inlineStr">
        <is>
          <t>73-18490-10</t>
        </is>
      </c>
      <c r="E239" s="43" t="inlineStr">
        <is>
          <t>DEV-CTANJZ05173</t>
        </is>
      </c>
      <c r="F239" s="43" t="n"/>
      <c r="G239" s="43" t="inlineStr">
        <is>
          <t>STBU</t>
        </is>
      </c>
      <c r="H239" s="43" t="n"/>
      <c r="I239" s="43" t="n"/>
      <c r="J239" s="43" t="n"/>
      <c r="K239" s="43" t="n"/>
      <c r="L239" s="43" t="n"/>
      <c r="M239" s="43" t="n"/>
      <c r="N239" s="43" t="n"/>
      <c r="O239" s="43" t="n"/>
      <c r="P239" s="43" t="n"/>
      <c r="Q239" s="43" t="inlineStr">
        <is>
          <t>BOARD</t>
        </is>
      </c>
      <c r="R239" s="33" t="inlineStr">
        <is>
          <t>REVISAR D609995: verificar accion documentada, PN/revision y vigencia para la corrida. No autoriza sustitucion ni uso de material.</t>
        </is>
      </c>
      <c r="S239" s="43" t="inlineStr">
        <is>
          <t>INFO</t>
        </is>
      </c>
      <c r="T239" s="33" t="inlineStr">
        <is>
          <t>Validar desviacion aprobada y estado; contrastar PN exacto y revision con Common DB, BOM/AVL, WO y fecha de corrida.</t>
        </is>
      </c>
      <c r="U239" s="33" t="inlineStr">
        <is>
          <t>Documento oficial firmado, autorizacion FJZ, revision/WO de alcance, confirmacion BOM y evidencia de implementacion si aplica.</t>
        </is>
      </c>
      <c r="V239" s="43" t="n"/>
      <c r="W239" s="43" t="n"/>
      <c r="X239" s="43" t="inlineStr">
        <is>
          <t>INFO</t>
        </is>
      </c>
      <c r="Y239" s="43" t="n"/>
      <c r="Z239" s="43" t="inlineStr">
        <is>
          <t>Pending Review</t>
        </is>
      </c>
      <c r="AA239" s="43" t="inlineStr">
        <is>
          <t>N</t>
        </is>
      </c>
      <c r="AB239" s="43" t="n"/>
      <c r="AC239" s="33" t="inlineStr">
        <is>
          <t xml:space="preserve">FUENTE: Deviation.csv filas 1826; Item Number original=73-18490-10 (prefijo 73- es CANDIDATO de PCBA, no confirmacion en Common DB); Workflow de origen=Expired; FJZ no validado, revision PCBA/WO no informadas. </t>
        </is>
      </c>
    </row>
    <row r="240">
      <c r="A240" s="43" t="inlineStr">
        <is>
          <t>DA-CTANJZ05173-STBU-73-21007-03</t>
        </is>
      </c>
      <c r="B240" s="43" t="n"/>
      <c r="C240" s="43" t="n"/>
      <c r="D240" s="43" t="inlineStr">
        <is>
          <t>73-21007-03</t>
        </is>
      </c>
      <c r="E240" s="43" t="inlineStr">
        <is>
          <t>DEV-CTANJZ05173</t>
        </is>
      </c>
      <c r="F240" s="43" t="n"/>
      <c r="G240" s="43" t="inlineStr">
        <is>
          <t>STBU</t>
        </is>
      </c>
      <c r="H240" s="43" t="n"/>
      <c r="I240" s="43" t="n"/>
      <c r="J240" s="43" t="n"/>
      <c r="K240" s="43" t="n"/>
      <c r="L240" s="43" t="n"/>
      <c r="M240" s="43" t="n"/>
      <c r="N240" s="43" t="n"/>
      <c r="O240" s="43" t="n"/>
      <c r="P240" s="43" t="n"/>
      <c r="Q240" s="43" t="inlineStr">
        <is>
          <t>BOARD</t>
        </is>
      </c>
      <c r="R240" s="33" t="inlineStr">
        <is>
          <t>REVISAR D609995: verificar accion documentada, PN/revision y vigencia para la corrida. No autoriza sustitucion ni uso de material.</t>
        </is>
      </c>
      <c r="S240" s="43" t="inlineStr">
        <is>
          <t>INFO</t>
        </is>
      </c>
      <c r="T240" s="33" t="inlineStr">
        <is>
          <t>Validar desviacion aprobada y estado; contrastar PN exacto y revision con Common DB, BOM/AVL, WO y fecha de corrida.</t>
        </is>
      </c>
      <c r="U240" s="33" t="inlineStr">
        <is>
          <t>Documento oficial firmado, autorizacion FJZ, revision/WO de alcance, confirmacion BOM y evidencia de implementacion si aplica.</t>
        </is>
      </c>
      <c r="V240" s="43" t="n"/>
      <c r="W240" s="43" t="n"/>
      <c r="X240" s="43" t="inlineStr">
        <is>
          <t>INFO</t>
        </is>
      </c>
      <c r="Y240" s="43" t="n"/>
      <c r="Z240" s="43" t="inlineStr">
        <is>
          <t>Pending Review</t>
        </is>
      </c>
      <c r="AA240" s="43" t="inlineStr">
        <is>
          <t>N</t>
        </is>
      </c>
      <c r="AB240" s="43" t="n"/>
      <c r="AC240" s="33" t="inlineStr">
        <is>
          <t xml:space="preserve">FUENTE: Deviation.csv filas 1827; Item Number original=73-21007-03 (prefijo 73- es CANDIDATO de PCBA, no confirmacion en Common DB); Workflow de origen=Expired; FJZ no validado, revision PCBA/WO no informadas. </t>
        </is>
      </c>
    </row>
    <row r="241">
      <c r="A241" s="43" t="inlineStr">
        <is>
          <t>DA-CTANJZ05175-CRBU-73-20193-09</t>
        </is>
      </c>
      <c r="B241" s="43" t="n"/>
      <c r="C241" s="43" t="n"/>
      <c r="D241" s="43" t="inlineStr">
        <is>
          <t>73-20193-09</t>
        </is>
      </c>
      <c r="E241" s="43" t="inlineStr">
        <is>
          <t>DEV-CTANJZ05175</t>
        </is>
      </c>
      <c r="F241" s="43" t="n"/>
      <c r="G241" s="43" t="inlineStr">
        <is>
          <t>CRBU</t>
        </is>
      </c>
      <c r="H241" s="43" t="n"/>
      <c r="I241" s="43" t="n"/>
      <c r="J241" s="43" t="n"/>
      <c r="K241" s="43" t="n"/>
      <c r="L241" s="43" t="n"/>
      <c r="M241" s="43" t="n"/>
      <c r="N241" s="43" t="n"/>
      <c r="O241" s="43" t="n"/>
      <c r="P241" s="43" t="n"/>
      <c r="Q241" s="43" t="inlineStr">
        <is>
          <t>BOARD</t>
        </is>
      </c>
      <c r="R241" s="33" t="inlineStr">
        <is>
          <t>REVISAR D610401: verificar accion documentada, PN/revision y vigencia para la corrida. No autoriza sustitucion ni uso de material.</t>
        </is>
      </c>
      <c r="S241" s="43" t="inlineStr">
        <is>
          <t>INFO</t>
        </is>
      </c>
      <c r="T241" s="33" t="inlineStr">
        <is>
          <t>Validar desviacion aprobada y estado; contrastar PN exacto y revision con Common DB, BOM/AVL, WO y fecha de corrida.</t>
        </is>
      </c>
      <c r="U241" s="33" t="inlineStr">
        <is>
          <t>Documento oficial firmado, autorizacion FJZ, revision/WO de alcance, confirmacion BOM y evidencia de implementacion si aplica.</t>
        </is>
      </c>
      <c r="V241" s="43" t="n"/>
      <c r="W241" s="43" t="n"/>
      <c r="X241" s="43" t="inlineStr">
        <is>
          <t>INFO</t>
        </is>
      </c>
      <c r="Y241" s="43" t="n"/>
      <c r="Z241" s="43" t="inlineStr">
        <is>
          <t>Pending Review</t>
        </is>
      </c>
      <c r="AA241" s="43" t="inlineStr">
        <is>
          <t>N</t>
        </is>
      </c>
      <c r="AB241" s="43" t="n"/>
      <c r="AC241" s="33" t="inlineStr">
        <is>
          <t xml:space="preserve">FUENTE: Deviation.csv filas 1118; Item Number original=73-20193-09 (prefijo 73- es CANDIDATO de PCBA, no confirmacion en Common DB); Workflow de origen=Expired; FJZ no validado, revision PCBA/WO no informadas. </t>
        </is>
      </c>
    </row>
    <row r="242">
      <c r="A242" s="43" t="inlineStr">
        <is>
          <t>DA-CTANJZ05176-STBU-73-20247-06</t>
        </is>
      </c>
      <c r="B242" s="43" t="inlineStr">
        <is>
          <t>TUFNELL PARK</t>
        </is>
      </c>
      <c r="C242" s="43" t="n"/>
      <c r="D242" s="43" t="inlineStr">
        <is>
          <t>73-20247-06</t>
        </is>
      </c>
      <c r="E242" s="43" t="inlineStr">
        <is>
          <t>DEV-CTANJZ05176</t>
        </is>
      </c>
      <c r="F242" s="43" t="n"/>
      <c r="G242" s="43" t="inlineStr">
        <is>
          <t>STBU</t>
        </is>
      </c>
      <c r="H242" s="43" t="n"/>
      <c r="I242" s="43" t="n"/>
      <c r="J242" s="43" t="n"/>
      <c r="K242" s="43" t="n"/>
      <c r="L242" s="43" t="n"/>
      <c r="M242" s="43" t="n"/>
      <c r="N242" s="43" t="n"/>
      <c r="O242" s="43" t="n"/>
      <c r="P242" s="43" t="n"/>
      <c r="Q242" s="43" t="inlineStr">
        <is>
          <t>BOARD</t>
        </is>
      </c>
      <c r="R242" s="33" t="inlineStr">
        <is>
          <t>REVISAR D610506: verificar accion documentada, PN/revision y vigencia para la corrida. No autoriza sustitucion ni uso de material.</t>
        </is>
      </c>
      <c r="S242" s="43" t="inlineStr">
        <is>
          <t>INFO</t>
        </is>
      </c>
      <c r="T242" s="33" t="inlineStr">
        <is>
          <t>Validar desviacion aprobada y estado; contrastar PN exacto y revision con Common DB, BOM/AVL, WO y fecha de corrida.</t>
        </is>
      </c>
      <c r="U242" s="33" t="inlineStr">
        <is>
          <t>Documento oficial firmado, autorizacion FJZ, revision/WO de alcance, confirmacion BOM y evidencia de implementacion si aplica.</t>
        </is>
      </c>
      <c r="V242" s="43" t="n"/>
      <c r="W242" s="43" t="n"/>
      <c r="X242" s="43" t="inlineStr">
        <is>
          <t>INFO</t>
        </is>
      </c>
      <c r="Y242" s="43" t="n"/>
      <c r="Z242" s="43" t="inlineStr">
        <is>
          <t>Pending Review</t>
        </is>
      </c>
      <c r="AA242" s="43" t="inlineStr">
        <is>
          <t>N</t>
        </is>
      </c>
      <c r="AB242" s="43" t="n"/>
      <c r="AC242" s="33" t="inlineStr">
        <is>
          <t xml:space="preserve">FUENTE: Deviation.csv filas 1120; Item Number original=73-20247-06 (prefijo 73- es CANDIDATO de PCBA, no confirmacion en Common DB); Workflow de origen=Expired; FJZ no validado, revision PCBA/WO no informadas. </t>
        </is>
      </c>
    </row>
    <row r="243">
      <c r="A243" s="43" t="inlineStr">
        <is>
          <t>DA-CTANJZ05176-STBU-73-20249-06</t>
        </is>
      </c>
      <c r="B243" s="43" t="inlineStr">
        <is>
          <t>TUFNELL PARK</t>
        </is>
      </c>
      <c r="C243" s="43" t="n"/>
      <c r="D243" s="43" t="inlineStr">
        <is>
          <t>73-20249-06</t>
        </is>
      </c>
      <c r="E243" s="43" t="inlineStr">
        <is>
          <t>DEV-CTANJZ05176</t>
        </is>
      </c>
      <c r="F243" s="43" t="n"/>
      <c r="G243" s="43" t="inlineStr">
        <is>
          <t>STBU</t>
        </is>
      </c>
      <c r="H243" s="43" t="n"/>
      <c r="I243" s="43" t="n"/>
      <c r="J243" s="43" t="n"/>
      <c r="K243" s="43" t="n"/>
      <c r="L243" s="43" t="n"/>
      <c r="M243" s="43" t="n"/>
      <c r="N243" s="43" t="n"/>
      <c r="O243" s="43" t="n"/>
      <c r="P243" s="43" t="n"/>
      <c r="Q243" s="43" t="inlineStr">
        <is>
          <t>BOARD</t>
        </is>
      </c>
      <c r="R243" s="33" t="inlineStr">
        <is>
          <t>REVISAR D610506: verificar accion documentada, PN/revision y vigencia para la corrida. No autoriza sustitucion ni uso de material.</t>
        </is>
      </c>
      <c r="S243" s="43" t="inlineStr">
        <is>
          <t>INFO</t>
        </is>
      </c>
      <c r="T243" s="33" t="inlineStr">
        <is>
          <t>Validar desviacion aprobada y estado; contrastar PN exacto y revision con Common DB, BOM/AVL, WO y fecha de corrida.</t>
        </is>
      </c>
      <c r="U243" s="33" t="inlineStr">
        <is>
          <t>Documento oficial firmado, autorizacion FJZ, revision/WO de alcance, confirmacion BOM y evidencia de implementacion si aplica.</t>
        </is>
      </c>
      <c r="V243" s="43" t="n"/>
      <c r="W243" s="43" t="n"/>
      <c r="X243" s="43" t="inlineStr">
        <is>
          <t>INFO</t>
        </is>
      </c>
      <c r="Y243" s="43" t="n"/>
      <c r="Z243" s="43" t="inlineStr">
        <is>
          <t>Pending Review</t>
        </is>
      </c>
      <c r="AA243" s="43" t="inlineStr">
        <is>
          <t>N</t>
        </is>
      </c>
      <c r="AB243" s="43" t="n"/>
      <c r="AC243" s="33" t="inlineStr">
        <is>
          <t xml:space="preserve">FUENTE: Deviation.csv filas 1121; Item Number original=73-20249-06 (prefijo 73- es CANDIDATO de PCBA, no confirmacion en Common DB); Workflow de origen=Expired; FJZ no validado, revision PCBA/WO no informadas. </t>
        </is>
      </c>
    </row>
    <row r="244">
      <c r="A244" s="43" t="inlineStr">
        <is>
          <t>DA-CTANJZ05181-IOTBU-73-101439-04</t>
        </is>
      </c>
      <c r="B244" s="43" t="n"/>
      <c r="C244" s="43" t="n"/>
      <c r="D244" s="43" t="inlineStr">
        <is>
          <t>73-101439-04</t>
        </is>
      </c>
      <c r="E244" s="43" t="inlineStr">
        <is>
          <t>DEV-CTANJZ05181</t>
        </is>
      </c>
      <c r="F244" s="43" t="n"/>
      <c r="G244" s="43" t="inlineStr">
        <is>
          <t>IOTBU</t>
        </is>
      </c>
      <c r="H244" s="43" t="n"/>
      <c r="I244" s="43" t="n"/>
      <c r="J244" s="43" t="n"/>
      <c r="K244" s="43" t="n"/>
      <c r="L244" s="43" t="n"/>
      <c r="M244" s="43" t="n"/>
      <c r="N244" s="43" t="n"/>
      <c r="O244" s="43" t="n"/>
      <c r="P244" s="43" t="n"/>
      <c r="Q244" s="43" t="inlineStr">
        <is>
          <t>BOARD</t>
        </is>
      </c>
      <c r="R244" s="33" t="inlineStr">
        <is>
          <t>REVISAR D609526: verificar accion documentada, PN/revision y vigencia para la corrida. No autoriza sustitucion ni uso de material.</t>
        </is>
      </c>
      <c r="S244" s="43" t="inlineStr">
        <is>
          <t>INFO</t>
        </is>
      </c>
      <c r="T244" s="33" t="inlineStr">
        <is>
          <t>Validar desviacion aprobada y estado; contrastar PN exacto y revision con Common DB, BOM/AVL, WO y fecha de corrida.</t>
        </is>
      </c>
      <c r="U244" s="33" t="inlineStr">
        <is>
          <t>Documento oficial firmado, autorizacion FJZ, revision/WO de alcance, confirmacion BOM y evidencia de implementacion si aplica.</t>
        </is>
      </c>
      <c r="V244" s="43" t="n"/>
      <c r="W244" s="43" t="n"/>
      <c r="X244" s="43" t="inlineStr">
        <is>
          <t>INFO</t>
        </is>
      </c>
      <c r="Y244" s="43" t="n"/>
      <c r="Z244" s="43" t="inlineStr">
        <is>
          <t>Pending Review</t>
        </is>
      </c>
      <c r="AA244" s="43" t="inlineStr">
        <is>
          <t>N</t>
        </is>
      </c>
      <c r="AB244" s="43" t="n"/>
      <c r="AC244" s="33" t="inlineStr">
        <is>
          <t xml:space="preserve">FUENTE: Deviation.csv filas 134; Item Number original=73-101439-04 (prefijo 73- es CANDIDATO de PCBA, no confirmacion en Common DB); Workflow de origen=Expired; FJZ no validado, revision PCBA/WO no informadas. </t>
        </is>
      </c>
    </row>
    <row r="245">
      <c r="A245" s="43" t="inlineStr">
        <is>
          <t>DA-CTANJZ05182-IOTBU-73-103098-03</t>
        </is>
      </c>
      <c r="B245" s="43" t="n"/>
      <c r="C245" s="43" t="n"/>
      <c r="D245" s="43" t="inlineStr">
        <is>
          <t>73-103098-03</t>
        </is>
      </c>
      <c r="E245" s="43" t="inlineStr">
        <is>
          <t>DEV-CTANJZ05182</t>
        </is>
      </c>
      <c r="F245" s="43" t="n"/>
      <c r="G245" s="43" t="inlineStr">
        <is>
          <t>IOTBU</t>
        </is>
      </c>
      <c r="H245" s="43" t="n"/>
      <c r="I245" s="43" t="n"/>
      <c r="J245" s="43" t="n"/>
      <c r="K245" s="43" t="n"/>
      <c r="L245" s="43" t="n"/>
      <c r="M245" s="43" t="n"/>
      <c r="N245" s="43" t="n"/>
      <c r="O245" s="43" t="n"/>
      <c r="P245" s="43" t="n"/>
      <c r="Q245" s="43" t="inlineStr">
        <is>
          <t>BOARD</t>
        </is>
      </c>
      <c r="R245" s="33" t="inlineStr">
        <is>
          <t>REVISAR D609527: verificar accion documentada, PN/revision y vigencia para la corrida. No autoriza sustitucion ni uso de material.</t>
        </is>
      </c>
      <c r="S245" s="43" t="inlineStr">
        <is>
          <t>INFO</t>
        </is>
      </c>
      <c r="T245" s="33" t="inlineStr">
        <is>
          <t>Validar desviacion aprobada y estado; contrastar PN exacto y revision con Common DB, BOM/AVL, WO y fecha de corrida.</t>
        </is>
      </c>
      <c r="U245" s="33" t="inlineStr">
        <is>
          <t>Documento oficial firmado, autorizacion FJZ, revision/WO de alcance, confirmacion BOM y evidencia de implementacion si aplica.</t>
        </is>
      </c>
      <c r="V245" s="43" t="n"/>
      <c r="W245" s="43" t="n"/>
      <c r="X245" s="43" t="inlineStr">
        <is>
          <t>INFO</t>
        </is>
      </c>
      <c r="Y245" s="43" t="n"/>
      <c r="Z245" s="43" t="inlineStr">
        <is>
          <t>Pending Review</t>
        </is>
      </c>
      <c r="AA245" s="43" t="inlineStr">
        <is>
          <t>N</t>
        </is>
      </c>
      <c r="AB245" s="43" t="n"/>
      <c r="AC245" s="33" t="inlineStr">
        <is>
          <t xml:space="preserve">FUENTE: Deviation.csv filas 58; Item Number original=73-103098-03 (prefijo 73- es CANDIDATO de PCBA, no confirmacion en Common DB); Workflow de origen=Expired; FJZ no validado, revision PCBA/WO no informadas. </t>
        </is>
      </c>
    </row>
    <row r="246">
      <c r="A246" s="43" t="inlineStr">
        <is>
          <t>DA-CTANJZ05183-STBU-73-103633-05</t>
        </is>
      </c>
      <c r="B246" s="43" t="n"/>
      <c r="C246" s="43" t="n"/>
      <c r="D246" s="43" t="inlineStr">
        <is>
          <t>73-103633-05</t>
        </is>
      </c>
      <c r="E246" s="43" t="inlineStr">
        <is>
          <t>DEV-CTANJZ05183</t>
        </is>
      </c>
      <c r="F246" s="43" t="n"/>
      <c r="G246" s="43" t="inlineStr">
        <is>
          <t>STBU</t>
        </is>
      </c>
      <c r="H246" s="43" t="n"/>
      <c r="I246" s="43" t="n"/>
      <c r="J246" s="43" t="n"/>
      <c r="K246" s="43" t="n"/>
      <c r="L246" s="43" t="n"/>
      <c r="M246" s="43" t="n"/>
      <c r="N246" s="43" t="n"/>
      <c r="O246" s="43" t="n"/>
      <c r="P246" s="43" t="n"/>
      <c r="Q246" s="43" t="inlineStr">
        <is>
          <t>BOARD</t>
        </is>
      </c>
      <c r="R246" s="33" t="inlineStr">
        <is>
          <t>REVISAR DP525974: verificar accion documentada, PN/revision y vigencia para la corrida. No autoriza sustitucion ni uso de material.</t>
        </is>
      </c>
      <c r="S246" s="43" t="inlineStr">
        <is>
          <t>INFO</t>
        </is>
      </c>
      <c r="T246" s="33" t="inlineStr">
        <is>
          <t>Validar desviacion aprobada y estado; contrastar PN exacto y revision con Common DB, BOM/AVL, WO y fecha de corrida.</t>
        </is>
      </c>
      <c r="U246" s="33" t="inlineStr">
        <is>
          <t>Documento oficial firmado, autorizacion FJZ, revision/WO de alcance, confirmacion BOM y evidencia de implementacion si aplica.</t>
        </is>
      </c>
      <c r="V246" s="43" t="n"/>
      <c r="W246" s="43" t="n"/>
      <c r="X246" s="43" t="inlineStr">
        <is>
          <t>INFO</t>
        </is>
      </c>
      <c r="Y246" s="43" t="n"/>
      <c r="Z246" s="43" t="inlineStr">
        <is>
          <t>Pending Review</t>
        </is>
      </c>
      <c r="AA246" s="43" t="inlineStr">
        <is>
          <t>N</t>
        </is>
      </c>
      <c r="AB246" s="43" t="n"/>
      <c r="AC246" s="33" t="inlineStr">
        <is>
          <t xml:space="preserve">FUENTE: Deviation.csv filas 652; Item Number original=73-103633-05 (prefijo 73- es CANDIDATO de PCBA, no confirmacion en Common DB); Workflow de origen=Expired; FJZ no validado, revision PCBA/WO no informadas. </t>
        </is>
      </c>
    </row>
    <row r="247">
      <c r="A247" s="43" t="inlineStr">
        <is>
          <t>DA-CTANJZ05184-STBU-73-18850-01</t>
        </is>
      </c>
      <c r="B247" s="43" t="n"/>
      <c r="C247" s="43" t="n"/>
      <c r="D247" s="43" t="inlineStr">
        <is>
          <t>73-18850-01</t>
        </is>
      </c>
      <c r="E247" s="43" t="inlineStr">
        <is>
          <t>DEV-CTANJZ05184</t>
        </is>
      </c>
      <c r="F247" s="43" t="n"/>
      <c r="G247" s="43" t="inlineStr">
        <is>
          <t>STBU</t>
        </is>
      </c>
      <c r="H247" s="43" t="n"/>
      <c r="I247" s="43" t="n"/>
      <c r="J247" s="43" t="n"/>
      <c r="K247" s="43" t="n"/>
      <c r="L247" s="43" t="n"/>
      <c r="M247" s="43" t="n"/>
      <c r="N247" s="43" t="n"/>
      <c r="O247" s="43" t="n"/>
      <c r="P247" s="43" t="n"/>
      <c r="Q247" s="43" t="inlineStr">
        <is>
          <t>BOARD</t>
        </is>
      </c>
      <c r="R247" s="33" t="inlineStr">
        <is>
          <t>REVISAR D610411: verificar accion documentada, PN/revision y vigencia para la corrida. No autoriza sustitucion ni uso de material.</t>
        </is>
      </c>
      <c r="S247" s="43" t="inlineStr">
        <is>
          <t>INFO</t>
        </is>
      </c>
      <c r="T247" s="33" t="inlineStr">
        <is>
          <t>Validar desviacion aprobada y estado; contrastar PN exacto y revision con Common DB, BOM/AVL, WO y fecha de corrida.</t>
        </is>
      </c>
      <c r="U247" s="33" t="inlineStr">
        <is>
          <t>Documento oficial firmado, autorizacion FJZ, revision/WO de alcance, confirmacion BOM y evidencia de implementacion si aplica.</t>
        </is>
      </c>
      <c r="V247" s="43" t="n"/>
      <c r="W247" s="43" t="n"/>
      <c r="X247" s="43" t="inlineStr">
        <is>
          <t>INFO</t>
        </is>
      </c>
      <c r="Y247" s="43" t="n"/>
      <c r="Z247" s="43" t="inlineStr">
        <is>
          <t>Pending Review</t>
        </is>
      </c>
      <c r="AA247" s="43" t="inlineStr">
        <is>
          <t>N</t>
        </is>
      </c>
      <c r="AB247" s="43" t="n"/>
      <c r="AC247" s="33" t="inlineStr">
        <is>
          <t xml:space="preserve">FUENTE: Deviation.csv filas 1123; Item Number original=73-18850-01 (prefijo 73- es CANDIDATO de PCBA, no confirmacion en Common DB); Workflow de origen=Expired; FJZ no validado, revision PCBA/WO no informadas. </t>
        </is>
      </c>
    </row>
    <row r="248">
      <c r="A248" s="43" t="inlineStr">
        <is>
          <t>DA-CTANJZ05184-STBU-73-19232-01</t>
        </is>
      </c>
      <c r="B248" s="43" t="n"/>
      <c r="C248" s="43" t="n"/>
      <c r="D248" s="43" t="inlineStr">
        <is>
          <t>73-19232-01</t>
        </is>
      </c>
      <c r="E248" s="43" t="inlineStr">
        <is>
          <t>DEV-CTANJZ05184</t>
        </is>
      </c>
      <c r="F248" s="43" t="n"/>
      <c r="G248" s="43" t="inlineStr">
        <is>
          <t>STBU</t>
        </is>
      </c>
      <c r="H248" s="43" t="n"/>
      <c r="I248" s="43" t="n"/>
      <c r="J248" s="43" t="n"/>
      <c r="K248" s="43" t="n"/>
      <c r="L248" s="43" t="n"/>
      <c r="M248" s="43" t="n"/>
      <c r="N248" s="43" t="n"/>
      <c r="O248" s="43" t="n"/>
      <c r="P248" s="43" t="n"/>
      <c r="Q248" s="43" t="inlineStr">
        <is>
          <t>BOARD</t>
        </is>
      </c>
      <c r="R248" s="33" t="inlineStr">
        <is>
          <t>REVISAR D610411: verificar accion documentada, PN/revision y vigencia para la corrida. No autoriza sustitucion ni uso de material.</t>
        </is>
      </c>
      <c r="S248" s="43" t="inlineStr">
        <is>
          <t>INFO</t>
        </is>
      </c>
      <c r="T248" s="33" t="inlineStr">
        <is>
          <t>Validar desviacion aprobada y estado; contrastar PN exacto y revision con Common DB, BOM/AVL, WO y fecha de corrida.</t>
        </is>
      </c>
      <c r="U248" s="33" t="inlineStr">
        <is>
          <t>Documento oficial firmado, autorizacion FJZ, revision/WO de alcance, confirmacion BOM y evidencia de implementacion si aplica.</t>
        </is>
      </c>
      <c r="V248" s="43" t="n"/>
      <c r="W248" s="43" t="n"/>
      <c r="X248" s="43" t="inlineStr">
        <is>
          <t>INFO</t>
        </is>
      </c>
      <c r="Y248" s="43" t="n"/>
      <c r="Z248" s="43" t="inlineStr">
        <is>
          <t>Pending Review</t>
        </is>
      </c>
      <c r="AA248" s="43" t="inlineStr">
        <is>
          <t>N</t>
        </is>
      </c>
      <c r="AB248" s="43" t="n"/>
      <c r="AC248" s="33" t="inlineStr">
        <is>
          <t xml:space="preserve">FUENTE: Deviation.csv filas 1219; Item Number original=73-19232-01 (prefijo 73- es CANDIDATO de PCBA, no confirmacion en Common DB); Workflow de origen=Expired; FJZ no validado, revision PCBA/WO no informadas. </t>
        </is>
      </c>
    </row>
    <row r="249">
      <c r="A249" s="43" t="inlineStr">
        <is>
          <t>DA-CTANJZ05184-STBU-73-19233-01</t>
        </is>
      </c>
      <c r="B249" s="43" t="n"/>
      <c r="C249" s="43" t="n"/>
      <c r="D249" s="43" t="inlineStr">
        <is>
          <t>73-19233-01</t>
        </is>
      </c>
      <c r="E249" s="43" t="inlineStr">
        <is>
          <t>DEV-CTANJZ05184</t>
        </is>
      </c>
      <c r="F249" s="43" t="n"/>
      <c r="G249" s="43" t="inlineStr">
        <is>
          <t>STBU</t>
        </is>
      </c>
      <c r="H249" s="43" t="n"/>
      <c r="I249" s="43" t="n"/>
      <c r="J249" s="43" t="n"/>
      <c r="K249" s="43" t="n"/>
      <c r="L249" s="43" t="n"/>
      <c r="M249" s="43" t="n"/>
      <c r="N249" s="43" t="n"/>
      <c r="O249" s="43" t="n"/>
      <c r="P249" s="43" t="n"/>
      <c r="Q249" s="43" t="inlineStr">
        <is>
          <t>BOARD</t>
        </is>
      </c>
      <c r="R249" s="33" t="inlineStr">
        <is>
          <t>REVISAR D610411: verificar accion documentada, PN/revision y vigencia para la corrida. No autoriza sustitucion ni uso de material.</t>
        </is>
      </c>
      <c r="S249" s="43" t="inlineStr">
        <is>
          <t>INFO</t>
        </is>
      </c>
      <c r="T249" s="33" t="inlineStr">
        <is>
          <t>Validar desviacion aprobada y estado; contrastar PN exacto y revision con Common DB, BOM/AVL, WO y fecha de corrida.</t>
        </is>
      </c>
      <c r="U249" s="33" t="inlineStr">
        <is>
          <t>Documento oficial firmado, autorizacion FJZ, revision/WO de alcance, confirmacion BOM y evidencia de implementacion si aplica.</t>
        </is>
      </c>
      <c r="V249" s="43" t="n"/>
      <c r="W249" s="43" t="n"/>
      <c r="X249" s="43" t="inlineStr">
        <is>
          <t>INFO</t>
        </is>
      </c>
      <c r="Y249" s="43" t="n"/>
      <c r="Z249" s="43" t="inlineStr">
        <is>
          <t>Pending Review</t>
        </is>
      </c>
      <c r="AA249" s="43" t="inlineStr">
        <is>
          <t>N</t>
        </is>
      </c>
      <c r="AB249" s="43" t="n"/>
      <c r="AC249" s="33" t="inlineStr">
        <is>
          <t xml:space="preserve">FUENTE: Deviation.csv filas 1220; Item Number original=73-19233-01 (prefijo 73- es CANDIDATO de PCBA, no confirmacion en Common DB); Workflow de origen=Expired; FJZ no validado, revision PCBA/WO no informadas. </t>
        </is>
      </c>
    </row>
    <row r="250">
      <c r="A250" s="43" t="inlineStr">
        <is>
          <t>DA-CTANJZ05187-STBU-73-17757-01</t>
        </is>
      </c>
      <c r="B250" s="43" t="n"/>
      <c r="C250" s="43" t="n"/>
      <c r="D250" s="43" t="inlineStr">
        <is>
          <t>73-17757-01</t>
        </is>
      </c>
      <c r="E250" s="43" t="inlineStr">
        <is>
          <t>DEV-CTANJZ05187</t>
        </is>
      </c>
      <c r="F250" s="43" t="n"/>
      <c r="G250" s="43" t="inlineStr">
        <is>
          <t>STBU</t>
        </is>
      </c>
      <c r="H250" s="43" t="n"/>
      <c r="I250" s="43" t="n"/>
      <c r="J250" s="43" t="n"/>
      <c r="K250" s="43" t="n"/>
      <c r="L250" s="43" t="n"/>
      <c r="M250" s="43" t="n"/>
      <c r="N250" s="43" t="n"/>
      <c r="O250" s="43" t="n"/>
      <c r="P250" s="43" t="n"/>
      <c r="Q250" s="43" t="inlineStr">
        <is>
          <t>BOARD</t>
        </is>
      </c>
      <c r="R250" s="33" t="inlineStr">
        <is>
          <t>REVISAR D610412: verificar accion documentada, PN/revision y vigencia para la corrida. No autoriza sustitucion ni uso de material.</t>
        </is>
      </c>
      <c r="S250" s="43" t="inlineStr">
        <is>
          <t>INFO</t>
        </is>
      </c>
      <c r="T250" s="33" t="inlineStr">
        <is>
          <t>Validar desviacion aprobada y estado; contrastar PN exacto y revision con Common DB, BOM/AVL, WO y fecha de corrida.</t>
        </is>
      </c>
      <c r="U250" s="33" t="inlineStr">
        <is>
          <t>Documento oficial firmado, autorizacion FJZ, revision/WO de alcance, confirmacion BOM y evidencia de implementacion si aplica.</t>
        </is>
      </c>
      <c r="V250" s="43" t="n"/>
      <c r="W250" s="43" t="n"/>
      <c r="X250" s="43" t="inlineStr">
        <is>
          <t>INFO</t>
        </is>
      </c>
      <c r="Y250" s="43" t="n"/>
      <c r="Z250" s="43" t="inlineStr">
        <is>
          <t>Pending Review</t>
        </is>
      </c>
      <c r="AA250" s="43" t="inlineStr">
        <is>
          <t>N</t>
        </is>
      </c>
      <c r="AB250" s="43" t="n"/>
      <c r="AC250" s="33" t="inlineStr">
        <is>
          <t xml:space="preserve">FUENTE: Deviation.csv filas 589; Item Number original=73-17757-01 (prefijo 73- es CANDIDATO de PCBA, no confirmacion en Common DB); Workflow de origen=Expired; FJZ no validado, revision PCBA/WO no informadas. </t>
        </is>
      </c>
    </row>
    <row r="251">
      <c r="A251" s="43" t="inlineStr">
        <is>
          <t>DA-CTANJZ05190-CRBU-73-20176-08</t>
        </is>
      </c>
      <c r="B251" s="43" t="n"/>
      <c r="C251" s="43" t="n"/>
      <c r="D251" s="43" t="inlineStr">
        <is>
          <t>73-20176-08</t>
        </is>
      </c>
      <c r="E251" s="43" t="inlineStr">
        <is>
          <t>DEV-CTANJZ05190</t>
        </is>
      </c>
      <c r="F251" s="43" t="n"/>
      <c r="G251" s="43" t="inlineStr">
        <is>
          <t>CRBU</t>
        </is>
      </c>
      <c r="H251" s="43" t="n"/>
      <c r="I251" s="43" t="n"/>
      <c r="J251" s="43" t="n"/>
      <c r="K251" s="43" t="n"/>
      <c r="L251" s="43" t="n"/>
      <c r="M251" s="43" t="n"/>
      <c r="N251" s="43" t="n"/>
      <c r="O251" s="43" t="n"/>
      <c r="P251" s="43" t="n"/>
      <c r="Q251" s="43" t="inlineStr">
        <is>
          <t>BOARD</t>
        </is>
      </c>
      <c r="R251" s="33" t="inlineStr">
        <is>
          <t>REVISAR D610571: verificar accion documentada, PN/revision y vigencia para la corrida. No autoriza sustitucion ni uso de material.</t>
        </is>
      </c>
      <c r="S251" s="43" t="inlineStr">
        <is>
          <t>INFO</t>
        </is>
      </c>
      <c r="T251" s="33" t="inlineStr">
        <is>
          <t>Validar desviacion aprobada y estado; contrastar PN exacto y revision con Common DB, BOM/AVL, WO y fecha de corrida.</t>
        </is>
      </c>
      <c r="U251" s="33" t="inlineStr">
        <is>
          <t>Documento oficial firmado, autorizacion FJZ, revision/WO de alcance, confirmacion BOM y evidencia de implementacion si aplica.</t>
        </is>
      </c>
      <c r="V251" s="43" t="n"/>
      <c r="W251" s="43" t="n"/>
      <c r="X251" s="43" t="inlineStr">
        <is>
          <t>INFO</t>
        </is>
      </c>
      <c r="Y251" s="43" t="n"/>
      <c r="Z251" s="43" t="inlineStr">
        <is>
          <t>Pending Review</t>
        </is>
      </c>
      <c r="AA251" s="43" t="inlineStr">
        <is>
          <t>N</t>
        </is>
      </c>
      <c r="AB251" s="43" t="n"/>
      <c r="AC251" s="33" t="inlineStr">
        <is>
          <t xml:space="preserve">FUENTE: Deviation.csv filas 1463; Item Number original=73-20176-08 (prefijo 73- es CANDIDATO de PCBA, no confirmacion en Common DB); Workflow de origen=Expired; FJZ no validado, revision PCBA/WO no informadas. </t>
        </is>
      </c>
    </row>
    <row r="252">
      <c r="A252" s="43" t="inlineStr">
        <is>
          <t>DA-CTANJZ05190-CRBU-73-20513-08</t>
        </is>
      </c>
      <c r="B252" s="43" t="n"/>
      <c r="C252" s="43" t="n"/>
      <c r="D252" s="43" t="inlineStr">
        <is>
          <t>73-20513-08</t>
        </is>
      </c>
      <c r="E252" s="43" t="inlineStr">
        <is>
          <t>DEV-CTANJZ05190</t>
        </is>
      </c>
      <c r="F252" s="43" t="n"/>
      <c r="G252" s="43" t="inlineStr">
        <is>
          <t>CRBU</t>
        </is>
      </c>
      <c r="H252" s="43" t="n"/>
      <c r="I252" s="43" t="n"/>
      <c r="J252" s="43" t="n"/>
      <c r="K252" s="43" t="n"/>
      <c r="L252" s="43" t="n"/>
      <c r="M252" s="43" t="n"/>
      <c r="N252" s="43" t="n"/>
      <c r="O252" s="43" t="n"/>
      <c r="P252" s="43" t="n"/>
      <c r="Q252" s="43" t="inlineStr">
        <is>
          <t>BOARD</t>
        </is>
      </c>
      <c r="R252" s="33" t="inlineStr">
        <is>
          <t>REVISAR D610571: verificar accion documentada, PN/revision y vigencia para la corrida. No autoriza sustitucion ni uso de material.</t>
        </is>
      </c>
      <c r="S252" s="43" t="inlineStr">
        <is>
          <t>INFO</t>
        </is>
      </c>
      <c r="T252" s="33" t="inlineStr">
        <is>
          <t>Validar desviacion aprobada y estado; contrastar PN exacto y revision con Common DB, BOM/AVL, WO y fecha de corrida.</t>
        </is>
      </c>
      <c r="U252" s="33" t="inlineStr">
        <is>
          <t>Documento oficial firmado, autorizacion FJZ, revision/WO de alcance, confirmacion BOM y evidencia de implementacion si aplica.</t>
        </is>
      </c>
      <c r="V252" s="43" t="n"/>
      <c r="W252" s="43" t="n"/>
      <c r="X252" s="43" t="inlineStr">
        <is>
          <t>INFO</t>
        </is>
      </c>
      <c r="Y252" s="43" t="n"/>
      <c r="Z252" s="43" t="inlineStr">
        <is>
          <t>Pending Review</t>
        </is>
      </c>
      <c r="AA252" s="43" t="inlineStr">
        <is>
          <t>N</t>
        </is>
      </c>
      <c r="AB252" s="43" t="n"/>
      <c r="AC252" s="33" t="inlineStr">
        <is>
          <t xml:space="preserve">FUENTE: Deviation.csv filas 1464; Item Number original=73-20513-08 (prefijo 73- es CANDIDATO de PCBA, no confirmacion en Common DB); Workflow de origen=Expired; FJZ no validado, revision PCBA/WO no informadas. </t>
        </is>
      </c>
    </row>
    <row r="253">
      <c r="A253" s="43" t="inlineStr">
        <is>
          <t>DA-CTANJZ05200-STBU-73-18850-01</t>
        </is>
      </c>
      <c r="B253" s="43" t="n"/>
      <c r="C253" s="43" t="n"/>
      <c r="D253" s="43" t="inlineStr">
        <is>
          <t>73-18850-01</t>
        </is>
      </c>
      <c r="E253" s="43" t="inlineStr">
        <is>
          <t>DEV-CTANJZ05200</t>
        </is>
      </c>
      <c r="F253" s="43" t="n"/>
      <c r="G253" s="43" t="inlineStr">
        <is>
          <t>STBU</t>
        </is>
      </c>
      <c r="H253" s="43" t="n"/>
      <c r="I253" s="43" t="n"/>
      <c r="J253" s="43" t="n"/>
      <c r="K253" s="43" t="n"/>
      <c r="L253" s="43" t="n"/>
      <c r="M253" s="43" t="n"/>
      <c r="N253" s="43" t="n"/>
      <c r="O253" s="43" t="n"/>
      <c r="P253" s="43" t="n"/>
      <c r="Q253" s="43" t="inlineStr">
        <is>
          <t>BOARD</t>
        </is>
      </c>
      <c r="R253" s="33" t="inlineStr">
        <is>
          <t>REVISAR D610511: verificar accion documentada, PN/revision y vigencia para la corrida. No autoriza sustitucion ni uso de material.</t>
        </is>
      </c>
      <c r="S253" s="43" t="inlineStr">
        <is>
          <t>INFO</t>
        </is>
      </c>
      <c r="T253" s="33" t="inlineStr">
        <is>
          <t>Validar desviacion aprobada y estado; contrastar PN exacto y revision con Common DB, BOM/AVL, WO y fecha de corrida.</t>
        </is>
      </c>
      <c r="U253" s="33" t="inlineStr">
        <is>
          <t>Documento oficial firmado, autorizacion FJZ, revision/WO de alcance, confirmacion BOM y evidencia de implementacion si aplica.</t>
        </is>
      </c>
      <c r="V253" s="43" t="n"/>
      <c r="W253" s="43" t="n"/>
      <c r="X253" s="43" t="inlineStr">
        <is>
          <t>INFO</t>
        </is>
      </c>
      <c r="Y253" s="43" t="n"/>
      <c r="Z253" s="43" t="inlineStr">
        <is>
          <t>Pending Review</t>
        </is>
      </c>
      <c r="AA253" s="43" t="inlineStr">
        <is>
          <t>N</t>
        </is>
      </c>
      <c r="AB253" s="43" t="n"/>
      <c r="AC253" s="33" t="inlineStr">
        <is>
          <t xml:space="preserve">FUENTE: Deviation.csv filas 1089; Item Number original=73-18850-01 (prefijo 73- es CANDIDATO de PCBA, no confirmacion en Common DB); Workflow de origen=Expired; FJZ no validado, revision PCBA/WO no informadas. </t>
        </is>
      </c>
    </row>
    <row r="254">
      <c r="A254" s="43" t="inlineStr">
        <is>
          <t>DA-CTANJZ05200-STBU-73-19232-01</t>
        </is>
      </c>
      <c r="B254" s="43" t="n"/>
      <c r="C254" s="43" t="n"/>
      <c r="D254" s="43" t="inlineStr">
        <is>
          <t>73-19232-01</t>
        </is>
      </c>
      <c r="E254" s="43" t="inlineStr">
        <is>
          <t>DEV-CTANJZ05200</t>
        </is>
      </c>
      <c r="F254" s="43" t="n"/>
      <c r="G254" s="43" t="inlineStr">
        <is>
          <t>STBU</t>
        </is>
      </c>
      <c r="H254" s="43" t="n"/>
      <c r="I254" s="43" t="n"/>
      <c r="J254" s="43" t="n"/>
      <c r="K254" s="43" t="n"/>
      <c r="L254" s="43" t="n"/>
      <c r="M254" s="43" t="n"/>
      <c r="N254" s="43" t="n"/>
      <c r="O254" s="43" t="n"/>
      <c r="P254" s="43" t="n"/>
      <c r="Q254" s="43" t="inlineStr">
        <is>
          <t>BOARD</t>
        </is>
      </c>
      <c r="R254" s="33" t="inlineStr">
        <is>
          <t>REVISAR D610511: verificar accion documentada, PN/revision y vigencia para la corrida. No autoriza sustitucion ni uso de material.</t>
        </is>
      </c>
      <c r="S254" s="43" t="inlineStr">
        <is>
          <t>INFO</t>
        </is>
      </c>
      <c r="T254" s="33" t="inlineStr">
        <is>
          <t>Validar desviacion aprobada y estado; contrastar PN exacto y revision con Common DB, BOM/AVL, WO y fecha de corrida.</t>
        </is>
      </c>
      <c r="U254" s="33" t="inlineStr">
        <is>
          <t>Documento oficial firmado, autorizacion FJZ, revision/WO de alcance, confirmacion BOM y evidencia de implementacion si aplica.</t>
        </is>
      </c>
      <c r="V254" s="43" t="n"/>
      <c r="W254" s="43" t="n"/>
      <c r="X254" s="43" t="inlineStr">
        <is>
          <t>INFO</t>
        </is>
      </c>
      <c r="Y254" s="43" t="n"/>
      <c r="Z254" s="43" t="inlineStr">
        <is>
          <t>Pending Review</t>
        </is>
      </c>
      <c r="AA254" s="43" t="inlineStr">
        <is>
          <t>N</t>
        </is>
      </c>
      <c r="AB254" s="43" t="n"/>
      <c r="AC254" s="33" t="inlineStr">
        <is>
          <t xml:space="preserve">FUENTE: Deviation.csv filas 1108; Item Number original=73-19232-01 (prefijo 73- es CANDIDATO de PCBA, no confirmacion en Common DB); Workflow de origen=Expired; FJZ no validado, revision PCBA/WO no informadas. </t>
        </is>
      </c>
    </row>
    <row r="255">
      <c r="A255" s="43" t="inlineStr">
        <is>
          <t>DA-CTANJZ05200-STBU-73-19233-01</t>
        </is>
      </c>
      <c r="B255" s="43" t="n"/>
      <c r="C255" s="43" t="n"/>
      <c r="D255" s="43" t="inlineStr">
        <is>
          <t>73-19233-01</t>
        </is>
      </c>
      <c r="E255" s="43" t="inlineStr">
        <is>
          <t>DEV-CTANJZ05200</t>
        </is>
      </c>
      <c r="F255" s="43" t="n"/>
      <c r="G255" s="43" t="inlineStr">
        <is>
          <t>STBU</t>
        </is>
      </c>
      <c r="H255" s="43" t="n"/>
      <c r="I255" s="43" t="n"/>
      <c r="J255" s="43" t="n"/>
      <c r="K255" s="43" t="n"/>
      <c r="L255" s="43" t="n"/>
      <c r="M255" s="43" t="n"/>
      <c r="N255" s="43" t="n"/>
      <c r="O255" s="43" t="n"/>
      <c r="P255" s="43" t="n"/>
      <c r="Q255" s="43" t="inlineStr">
        <is>
          <t>BOARD</t>
        </is>
      </c>
      <c r="R255" s="33" t="inlineStr">
        <is>
          <t>REVISAR D610511: verificar accion documentada, PN/revision y vigencia para la corrida. No autoriza sustitucion ni uso de material.</t>
        </is>
      </c>
      <c r="S255" s="43" t="inlineStr">
        <is>
          <t>INFO</t>
        </is>
      </c>
      <c r="T255" s="33" t="inlineStr">
        <is>
          <t>Validar desviacion aprobada y estado; contrastar PN exacto y revision con Common DB, BOM/AVL, WO y fecha de corrida.</t>
        </is>
      </c>
      <c r="U255" s="33" t="inlineStr">
        <is>
          <t>Documento oficial firmado, autorizacion FJZ, revision/WO de alcance, confirmacion BOM y evidencia de implementacion si aplica.</t>
        </is>
      </c>
      <c r="V255" s="43" t="n"/>
      <c r="W255" s="43" t="n"/>
      <c r="X255" s="43" t="inlineStr">
        <is>
          <t>INFO</t>
        </is>
      </c>
      <c r="Y255" s="43" t="n"/>
      <c r="Z255" s="43" t="inlineStr">
        <is>
          <t>Pending Review</t>
        </is>
      </c>
      <c r="AA255" s="43" t="inlineStr">
        <is>
          <t>N</t>
        </is>
      </c>
      <c r="AB255" s="43" t="n"/>
      <c r="AC255" s="33" t="inlineStr">
        <is>
          <t xml:space="preserve">FUENTE: Deviation.csv filas 1109; Item Number original=73-19233-01 (prefijo 73- es CANDIDATO de PCBA, no confirmacion en Common DB); Workflow de origen=Expired; FJZ no validado, revision PCBA/WO no informadas. </t>
        </is>
      </c>
    </row>
    <row r="256">
      <c r="A256" s="43" t="inlineStr">
        <is>
          <t>DA-CTANJZ05204-CRBU-73-18706-04</t>
        </is>
      </c>
      <c r="B256" s="43" t="n"/>
      <c r="C256" s="43" t="n"/>
      <c r="D256" s="43" t="inlineStr">
        <is>
          <t>73-18706-04</t>
        </is>
      </c>
      <c r="E256" s="43" t="inlineStr">
        <is>
          <t>DEV-CTANJZ05204</t>
        </is>
      </c>
      <c r="F256" s="43" t="n"/>
      <c r="G256" s="43" t="inlineStr">
        <is>
          <t>CRBU</t>
        </is>
      </c>
      <c r="H256" s="43" t="n"/>
      <c r="I256" s="43" t="n"/>
      <c r="J256" s="43" t="n"/>
      <c r="K256" s="43" t="n"/>
      <c r="L256" s="43" t="n"/>
      <c r="M256" s="43" t="n"/>
      <c r="N256" s="43" t="n"/>
      <c r="O256" s="43" t="n"/>
      <c r="P256" s="43" t="n"/>
      <c r="Q256" s="43" t="inlineStr">
        <is>
          <t>BOARD</t>
        </is>
      </c>
      <c r="R256" s="33" t="inlineStr">
        <is>
          <t>REVISAR D610600: verificar accion documentada, PN/revision y vigencia para la corrida. No autoriza sustitucion ni uso de material.</t>
        </is>
      </c>
      <c r="S256" s="43" t="inlineStr">
        <is>
          <t>INFO</t>
        </is>
      </c>
      <c r="T256" s="33" t="inlineStr">
        <is>
          <t>Validar desviacion aprobada y estado; contrastar PN exacto y revision con Common DB, BOM/AVL, WO y fecha de corrida.</t>
        </is>
      </c>
      <c r="U256" s="33" t="inlineStr">
        <is>
          <t>Documento oficial firmado, autorizacion FJZ, revision/WO de alcance, confirmacion BOM y evidencia de implementacion si aplica.</t>
        </is>
      </c>
      <c r="V256" s="43" t="n"/>
      <c r="W256" s="43" t="n"/>
      <c r="X256" s="43" t="inlineStr">
        <is>
          <t>INFO</t>
        </is>
      </c>
      <c r="Y256" s="43" t="n"/>
      <c r="Z256" s="43" t="inlineStr">
        <is>
          <t>Pending Review</t>
        </is>
      </c>
      <c r="AA256" s="43" t="inlineStr">
        <is>
          <t>N</t>
        </is>
      </c>
      <c r="AB256" s="43" t="n"/>
      <c r="AC256" s="33" t="inlineStr">
        <is>
          <t xml:space="preserve">FUENTE: Deviation.csv filas 1113; Item Number original=73-18706-04 (prefijo 73- es CANDIDATO de PCBA, no confirmacion en Common DB); Workflow de origen=Expired; FJZ no validado, revision PCBA/WO no informadas. </t>
        </is>
      </c>
    </row>
    <row r="257">
      <c r="A257" s="43" t="inlineStr">
        <is>
          <t>DA-CTANJZ05210-CVEBU-73-104175-02</t>
        </is>
      </c>
      <c r="B257" s="43" t="n"/>
      <c r="C257" s="43" t="n"/>
      <c r="D257" s="43" t="inlineStr">
        <is>
          <t>73-104175-02</t>
        </is>
      </c>
      <c r="E257" s="43" t="inlineStr">
        <is>
          <t>DEV-CTANJZ05210</t>
        </is>
      </c>
      <c r="F257" s="43" t="n"/>
      <c r="G257" s="43" t="inlineStr">
        <is>
          <t>CVEBU</t>
        </is>
      </c>
      <c r="H257" s="43" t="n"/>
      <c r="I257" s="43" t="n"/>
      <c r="J257" s="43" t="n"/>
      <c r="K257" s="43" t="n"/>
      <c r="L257" s="43" t="n"/>
      <c r="M257" s="43" t="n"/>
      <c r="N257" s="43" t="n"/>
      <c r="O257" s="43" t="n"/>
      <c r="P257" s="43" t="n"/>
      <c r="Q257" s="43" t="inlineStr">
        <is>
          <t>BOARD</t>
        </is>
      </c>
      <c r="R257" s="33" t="inlineStr">
        <is>
          <t>REVISAR DP526044: verificar accion documentada, PN/revision y vigencia para la corrida. No autoriza sustitucion ni uso de material.</t>
        </is>
      </c>
      <c r="S257" s="43" t="inlineStr">
        <is>
          <t>INFO</t>
        </is>
      </c>
      <c r="T257" s="33" t="inlineStr">
        <is>
          <t>Validar desviacion aprobada y estado; contrastar PN exacto y revision con Common DB, BOM/AVL, WO y fecha de corrida.</t>
        </is>
      </c>
      <c r="U257" s="33" t="inlineStr">
        <is>
          <t>Documento oficial firmado, autorizacion FJZ, revision/WO de alcance, confirmacion BOM y evidencia de implementacion si aplica.</t>
        </is>
      </c>
      <c r="V257" s="43" t="n"/>
      <c r="W257" s="43" t="n"/>
      <c r="X257" s="43" t="inlineStr">
        <is>
          <t>INFO</t>
        </is>
      </c>
      <c r="Y257" s="43" t="n"/>
      <c r="Z257" s="43" t="inlineStr">
        <is>
          <t>Pending Review</t>
        </is>
      </c>
      <c r="AA257" s="43" t="inlineStr">
        <is>
          <t>N</t>
        </is>
      </c>
      <c r="AB257" s="43" t="n"/>
      <c r="AC257" s="33" t="inlineStr">
        <is>
          <t xml:space="preserve">FUENTE: Deviation.csv filas 213,1884; Item Number original=73-104175-02 (prefijo 73- es CANDIDATO de PCBA, no confirmacion en Common DB); Workflow de origen=Expired; CONFLICTOS: Descrition of Change; FJZ no validado, revision PCBA/WO no informadas. </t>
        </is>
      </c>
    </row>
    <row r="258">
      <c r="A258" s="43" t="inlineStr">
        <is>
          <t>DA-CTANJZ05214-CVEBU-73-103698-06</t>
        </is>
      </c>
      <c r="B258" s="43" t="n"/>
      <c r="C258" s="43" t="n"/>
      <c r="D258" s="43" t="inlineStr">
        <is>
          <t>73-103698-06</t>
        </is>
      </c>
      <c r="E258" s="43" t="inlineStr">
        <is>
          <t>DEV-CTANJZ05214</t>
        </is>
      </c>
      <c r="F258" s="43" t="n"/>
      <c r="G258" s="43" t="inlineStr">
        <is>
          <t>CVEBU</t>
        </is>
      </c>
      <c r="H258" s="43" t="n"/>
      <c r="I258" s="43" t="n"/>
      <c r="J258" s="43" t="n"/>
      <c r="K258" s="43" t="n"/>
      <c r="L258" s="43" t="n"/>
      <c r="M258" s="43" t="n"/>
      <c r="N258" s="43" t="n"/>
      <c r="O258" s="43" t="n"/>
      <c r="P258" s="43" t="n"/>
      <c r="Q258" s="43" t="inlineStr">
        <is>
          <t>BOARD</t>
        </is>
      </c>
      <c r="R258" s="33" t="inlineStr">
        <is>
          <t>REVISAR D610907: verificar accion documentada, PN/revision y vigencia para la corrida. No autoriza sustitucion ni uso de material.</t>
        </is>
      </c>
      <c r="S258" s="43" t="inlineStr">
        <is>
          <t>INFO</t>
        </is>
      </c>
      <c r="T258" s="33" t="inlineStr">
        <is>
          <t>Validar desviacion aprobada y estado; contrastar PN exacto y revision con Common DB, BOM/AVL, WO y fecha de corrida.</t>
        </is>
      </c>
      <c r="U258" s="33" t="inlineStr">
        <is>
          <t>Documento oficial firmado, autorizacion FJZ, revision/WO de alcance, confirmacion BOM y evidencia de implementacion si aplica.</t>
        </is>
      </c>
      <c r="V258" s="43" t="n"/>
      <c r="W258" s="43" t="n"/>
      <c r="X258" s="43" t="inlineStr">
        <is>
          <t>INFO</t>
        </is>
      </c>
      <c r="Y258" s="43" t="n"/>
      <c r="Z258" s="43" t="inlineStr">
        <is>
          <t>Pending Review</t>
        </is>
      </c>
      <c r="AA258" s="43" t="inlineStr">
        <is>
          <t>N</t>
        </is>
      </c>
      <c r="AB258" s="43" t="n"/>
      <c r="AC258" s="33" t="inlineStr">
        <is>
          <t xml:space="preserve">FUENTE: Deviation.csv filas 1795; Item Number original=73-103698-06 (prefijo 73- es CANDIDATO de PCBA, no confirmacion en Common DB); Workflow de origen=Expired; FJZ no validado, revision PCBA/WO no informadas. </t>
        </is>
      </c>
    </row>
    <row r="259">
      <c r="A259" s="43" t="inlineStr">
        <is>
          <t>DA-CTANJZ05214-CVEBU-73-103940-06</t>
        </is>
      </c>
      <c r="B259" s="43" t="n"/>
      <c r="C259" s="43" t="n"/>
      <c r="D259" s="43" t="inlineStr">
        <is>
          <t>73-103940-06</t>
        </is>
      </c>
      <c r="E259" s="43" t="inlineStr">
        <is>
          <t>DEV-CTANJZ05214</t>
        </is>
      </c>
      <c r="F259" s="43" t="n"/>
      <c r="G259" s="43" t="inlineStr">
        <is>
          <t>CVEBU</t>
        </is>
      </c>
      <c r="H259" s="43" t="n"/>
      <c r="I259" s="43" t="n"/>
      <c r="J259" s="43" t="n"/>
      <c r="K259" s="43" t="n"/>
      <c r="L259" s="43" t="n"/>
      <c r="M259" s="43" t="n"/>
      <c r="N259" s="43" t="n"/>
      <c r="O259" s="43" t="n"/>
      <c r="P259" s="43" t="n"/>
      <c r="Q259" s="43" t="inlineStr">
        <is>
          <t>BOARD</t>
        </is>
      </c>
      <c r="R259" s="33" t="inlineStr">
        <is>
          <t>REVISAR D610907: verificar accion documentada, PN/revision y vigencia para la corrida. No autoriza sustitucion ni uso de material.</t>
        </is>
      </c>
      <c r="S259" s="43" t="inlineStr">
        <is>
          <t>INFO</t>
        </is>
      </c>
      <c r="T259" s="33" t="inlineStr">
        <is>
          <t>Validar desviacion aprobada y estado; contrastar PN exacto y revision con Common DB, BOM/AVL, WO y fecha de corrida.</t>
        </is>
      </c>
      <c r="U259" s="33" t="inlineStr">
        <is>
          <t>Documento oficial firmado, autorizacion FJZ, revision/WO de alcance, confirmacion BOM y evidencia de implementacion si aplica.</t>
        </is>
      </c>
      <c r="V259" s="43" t="n"/>
      <c r="W259" s="43" t="n"/>
      <c r="X259" s="43" t="inlineStr">
        <is>
          <t>INFO</t>
        </is>
      </c>
      <c r="Y259" s="43" t="n"/>
      <c r="Z259" s="43" t="inlineStr">
        <is>
          <t>Pending Review</t>
        </is>
      </c>
      <c r="AA259" s="43" t="inlineStr">
        <is>
          <t>N</t>
        </is>
      </c>
      <c r="AB259" s="43" t="n"/>
      <c r="AC259" s="33" t="inlineStr">
        <is>
          <t xml:space="preserve">FUENTE: Deviation.csv filas 1796; Item Number original=73-103940-06 (prefijo 73- es CANDIDATO de PCBA, no confirmacion en Common DB); Workflow de origen=Expired; FJZ no validado, revision PCBA/WO no informadas. </t>
        </is>
      </c>
    </row>
    <row r="260">
      <c r="A260" s="43" t="inlineStr">
        <is>
          <t>DA-CTANJZ05218-STBU-73-17499-07</t>
        </is>
      </c>
      <c r="B260" s="43" t="n"/>
      <c r="C260" s="43" t="n"/>
      <c r="D260" s="43" t="inlineStr">
        <is>
          <t>73-17499-07</t>
        </is>
      </c>
      <c r="E260" s="43" t="inlineStr">
        <is>
          <t>DEV-CTANJZ05218</t>
        </is>
      </c>
      <c r="F260" s="43" t="n"/>
      <c r="G260" s="43" t="inlineStr">
        <is>
          <t>STBU</t>
        </is>
      </c>
      <c r="H260" s="43" t="n"/>
      <c r="I260" s="43" t="n"/>
      <c r="J260" s="43" t="n"/>
      <c r="K260" s="43" t="n"/>
      <c r="L260" s="43" t="n"/>
      <c r="M260" s="43" t="n"/>
      <c r="N260" s="43" t="n"/>
      <c r="O260" s="43" t="n"/>
      <c r="P260" s="43" t="n"/>
      <c r="Q260" s="43" t="inlineStr">
        <is>
          <t>BOARD</t>
        </is>
      </c>
      <c r="R260" s="33" t="inlineStr">
        <is>
          <t>REVISAR D610760: verificar accion documentada, PN/revision y vigencia para la corrida. No autoriza sustitucion ni uso de material.</t>
        </is>
      </c>
      <c r="S260" s="43" t="inlineStr">
        <is>
          <t>INFO</t>
        </is>
      </c>
      <c r="T260" s="33" t="inlineStr">
        <is>
          <t>Validar desviacion aprobada y estado; contrastar PN exacto y revision con Common DB, BOM/AVL, WO y fecha de corrida.</t>
        </is>
      </c>
      <c r="U260" s="33" t="inlineStr">
        <is>
          <t>Documento oficial firmado, autorizacion FJZ, revision/WO de alcance, confirmacion BOM y evidencia de implementacion si aplica.</t>
        </is>
      </c>
      <c r="V260" s="43" t="n"/>
      <c r="W260" s="43" t="n"/>
      <c r="X260" s="43" t="inlineStr">
        <is>
          <t>INFO</t>
        </is>
      </c>
      <c r="Y260" s="43" t="n"/>
      <c r="Z260" s="43" t="inlineStr">
        <is>
          <t>Pending Review</t>
        </is>
      </c>
      <c r="AA260" s="43" t="inlineStr">
        <is>
          <t>N</t>
        </is>
      </c>
      <c r="AB260" s="43" t="n"/>
      <c r="AC260" s="33" t="inlineStr">
        <is>
          <t xml:space="preserve">FUENTE: Deviation.csv filas 1104; Item Number original=73-17499-07 (prefijo 73- es CANDIDATO de PCBA, no confirmacion en Common DB); Workflow de origen=Expired; FJZ no validado, revision PCBA/WO no informadas. </t>
        </is>
      </c>
    </row>
    <row r="261">
      <c r="A261" s="43" t="inlineStr">
        <is>
          <t>DA-CTANJZ05219-CVEBU-73-103698-06</t>
        </is>
      </c>
      <c r="B261" s="43" t="n"/>
      <c r="C261" s="43" t="n"/>
      <c r="D261" s="43" t="inlineStr">
        <is>
          <t>73-103698-06</t>
        </is>
      </c>
      <c r="E261" s="43" t="inlineStr">
        <is>
          <t>DEV-CTANJZ05219</t>
        </is>
      </c>
      <c r="F261" s="43" t="n"/>
      <c r="G261" s="43" t="inlineStr">
        <is>
          <t>CVEBU</t>
        </is>
      </c>
      <c r="H261" s="43" t="n"/>
      <c r="I261" s="43" t="n"/>
      <c r="J261" s="43" t="n"/>
      <c r="K261" s="43" t="n"/>
      <c r="L261" s="43" t="n"/>
      <c r="M261" s="43" t="n"/>
      <c r="N261" s="43" t="n"/>
      <c r="O261" s="43" t="n"/>
      <c r="P261" s="43" t="n"/>
      <c r="Q261" s="43" t="inlineStr">
        <is>
          <t>BOARD</t>
        </is>
      </c>
      <c r="R261" s="33" t="inlineStr">
        <is>
          <t>REVISAR D610973: verificar accion documentada, PN/revision y vigencia para la corrida. No autoriza sustitucion ni uso de material.</t>
        </is>
      </c>
      <c r="S261" s="43" t="inlineStr">
        <is>
          <t>INFO</t>
        </is>
      </c>
      <c r="T261" s="33" t="inlineStr">
        <is>
          <t>Validar desviacion aprobada y estado; contrastar PN exacto y revision con Common DB, BOM/AVL, WO y fecha de corrida.</t>
        </is>
      </c>
      <c r="U261" s="33" t="inlineStr">
        <is>
          <t>Documento oficial firmado, autorizacion FJZ, revision/WO de alcance, confirmacion BOM y evidencia de implementacion si aplica.</t>
        </is>
      </c>
      <c r="V261" s="43" t="n"/>
      <c r="W261" s="43" t="n"/>
      <c r="X261" s="43" t="inlineStr">
        <is>
          <t>INFO</t>
        </is>
      </c>
      <c r="Y261" s="43" t="n"/>
      <c r="Z261" s="43" t="inlineStr">
        <is>
          <t>Pending Review</t>
        </is>
      </c>
      <c r="AA261" s="43" t="inlineStr">
        <is>
          <t>N</t>
        </is>
      </c>
      <c r="AB261" s="43" t="n"/>
      <c r="AC261" s="33" t="inlineStr">
        <is>
          <t xml:space="preserve">FUENTE: Deviation.csv filas 180; Item Number original=73-103698-06 (prefijo 73- es CANDIDATO de PCBA, no confirmacion en Common DB); Workflow de origen=Expired; FJZ no validado, revision PCBA/WO no informadas. </t>
        </is>
      </c>
    </row>
    <row r="262">
      <c r="A262" s="43" t="inlineStr">
        <is>
          <t>DA-CTANJZ05219-CVEBU-73-103758-04</t>
        </is>
      </c>
      <c r="B262" s="43" t="n"/>
      <c r="C262" s="43" t="n"/>
      <c r="D262" s="43" t="inlineStr">
        <is>
          <t>73-103758-04</t>
        </is>
      </c>
      <c r="E262" s="43" t="inlineStr">
        <is>
          <t>DEV-CTANJZ05219</t>
        </is>
      </c>
      <c r="F262" s="43" t="n"/>
      <c r="G262" s="43" t="inlineStr">
        <is>
          <t>CVEBU</t>
        </is>
      </c>
      <c r="H262" s="43" t="n"/>
      <c r="I262" s="43" t="n"/>
      <c r="J262" s="43" t="n"/>
      <c r="K262" s="43" t="n"/>
      <c r="L262" s="43" t="n"/>
      <c r="M262" s="43" t="n"/>
      <c r="N262" s="43" t="n"/>
      <c r="O262" s="43" t="n"/>
      <c r="P262" s="43" t="n"/>
      <c r="Q262" s="43" t="inlineStr">
        <is>
          <t>BOARD</t>
        </is>
      </c>
      <c r="R262" s="33" t="inlineStr">
        <is>
          <t>REVISAR D610973: verificar accion documentada, PN/revision y vigencia para la corrida. No autoriza sustitucion ni uso de material.</t>
        </is>
      </c>
      <c r="S262" s="43" t="inlineStr">
        <is>
          <t>INFO</t>
        </is>
      </c>
      <c r="T262" s="33" t="inlineStr">
        <is>
          <t>Validar desviacion aprobada y estado; contrastar PN exacto y revision con Common DB, BOM/AVL, WO y fecha de corrida.</t>
        </is>
      </c>
      <c r="U262" s="33" t="inlineStr">
        <is>
          <t>Documento oficial firmado, autorizacion FJZ, revision/WO de alcance, confirmacion BOM y evidencia de implementacion si aplica.</t>
        </is>
      </c>
      <c r="V262" s="43" t="n"/>
      <c r="W262" s="43" t="n"/>
      <c r="X262" s="43" t="inlineStr">
        <is>
          <t>INFO</t>
        </is>
      </c>
      <c r="Y262" s="43" t="n"/>
      <c r="Z262" s="43" t="inlineStr">
        <is>
          <t>Pending Review</t>
        </is>
      </c>
      <c r="AA262" s="43" t="inlineStr">
        <is>
          <t>N</t>
        </is>
      </c>
      <c r="AB262" s="43" t="n"/>
      <c r="AC262" s="33" t="inlineStr">
        <is>
          <t xml:space="preserve">FUENTE: Deviation.csv filas 181; Item Number original=73-103758-04 (prefijo 73- es CANDIDATO de PCBA, no confirmacion en Common DB); Workflow de origen=Expired; FJZ no validado, revision PCBA/WO no informadas. </t>
        </is>
      </c>
    </row>
    <row r="263">
      <c r="A263" s="43" t="inlineStr">
        <is>
          <t>DA-CTANJZ05233-STBU-73-20249-06</t>
        </is>
      </c>
      <c r="B263" s="43" t="inlineStr">
        <is>
          <t>TUFNELL PARK</t>
        </is>
      </c>
      <c r="C263" s="43" t="n"/>
      <c r="D263" s="43" t="inlineStr">
        <is>
          <t>73-20249-06</t>
        </is>
      </c>
      <c r="E263" s="43" t="inlineStr">
        <is>
          <t>DEV-CTANJZ05233</t>
        </is>
      </c>
      <c r="F263" s="43" t="n"/>
      <c r="G263" s="43" t="inlineStr">
        <is>
          <t>STBU</t>
        </is>
      </c>
      <c r="H263" s="43" t="n"/>
      <c r="I263" s="43" t="n"/>
      <c r="J263" s="43" t="n"/>
      <c r="K263" s="43" t="n"/>
      <c r="L263" s="43" t="n"/>
      <c r="M263" s="43" t="n"/>
      <c r="N263" s="43" t="n"/>
      <c r="O263" s="43" t="n"/>
      <c r="P263" s="43" t="n"/>
      <c r="Q263" s="43" t="inlineStr">
        <is>
          <t>BOARD</t>
        </is>
      </c>
      <c r="R263" s="33" t="inlineStr">
        <is>
          <t>REVISAR D611098: verificar accion documentada, PN/revision y vigencia para la corrida. No autoriza sustitucion ni uso de material.</t>
        </is>
      </c>
      <c r="S263" s="43" t="inlineStr">
        <is>
          <t>INFO</t>
        </is>
      </c>
      <c r="T263" s="33" t="inlineStr">
        <is>
          <t>Validar desviacion aprobada y estado; contrastar PN exacto y revision con Common DB, BOM/AVL, WO y fecha de corrida.</t>
        </is>
      </c>
      <c r="U263" s="33" t="inlineStr">
        <is>
          <t>Documento oficial firmado, autorizacion FJZ, revision/WO de alcance, confirmacion BOM y evidencia de implementacion si aplica.</t>
        </is>
      </c>
      <c r="V263" s="43" t="n"/>
      <c r="W263" s="43" t="n"/>
      <c r="X263" s="43" t="inlineStr">
        <is>
          <t>INFO</t>
        </is>
      </c>
      <c r="Y263" s="43" t="n"/>
      <c r="Z263" s="43" t="inlineStr">
        <is>
          <t>Pending Review</t>
        </is>
      </c>
      <c r="AA263" s="43" t="inlineStr">
        <is>
          <t>N</t>
        </is>
      </c>
      <c r="AB263" s="43" t="n"/>
      <c r="AC263" s="33" t="inlineStr">
        <is>
          <t xml:space="preserve">FUENTE: Deviation.csv filas 195,1474; Item Number original=73-20249-06 (prefijo 73- es CANDIDATO de PCBA, no confirmacion en Common DB); Workflow de origen=Expired; FJZ no validado, revision PCBA/WO no informadas. </t>
        </is>
      </c>
    </row>
    <row r="264">
      <c r="A264" s="43" t="inlineStr">
        <is>
          <t>DA-CTANJZ05234-CVEBU-73-103720-04</t>
        </is>
      </c>
      <c r="B264" s="43" t="n"/>
      <c r="C264" s="43" t="n"/>
      <c r="D264" s="43" t="inlineStr">
        <is>
          <t>73-103720-04</t>
        </is>
      </c>
      <c r="E264" s="43" t="inlineStr">
        <is>
          <t>DEV-CTANJZ05234</t>
        </is>
      </c>
      <c r="F264" s="43" t="n"/>
      <c r="G264" s="43" t="inlineStr">
        <is>
          <t>CVEBU</t>
        </is>
      </c>
      <c r="H264" s="43" t="n"/>
      <c r="I264" s="43" t="n"/>
      <c r="J264" s="43" t="n"/>
      <c r="K264" s="43" t="n"/>
      <c r="L264" s="43" t="n"/>
      <c r="M264" s="43" t="n"/>
      <c r="N264" s="43" t="n"/>
      <c r="O264" s="43" t="n"/>
      <c r="P264" s="43" t="n"/>
      <c r="Q264" s="43" t="inlineStr">
        <is>
          <t>BOARD</t>
        </is>
      </c>
      <c r="R264" s="33" t="inlineStr">
        <is>
          <t>REVISAR D611192: verificar accion documentada, PN/revision y vigencia para la corrida. No autoriza sustitucion ni uso de material.</t>
        </is>
      </c>
      <c r="S264" s="43" t="inlineStr">
        <is>
          <t>INFO</t>
        </is>
      </c>
      <c r="T264" s="33" t="inlineStr">
        <is>
          <t>Validar desviacion aprobada y estado; contrastar PN exacto y revision con Common DB, BOM/AVL, WO y fecha de corrida.</t>
        </is>
      </c>
      <c r="U264" s="33" t="inlineStr">
        <is>
          <t>Documento oficial firmado, autorizacion FJZ, revision/WO de alcance, confirmacion BOM y evidencia de implementacion si aplica.</t>
        </is>
      </c>
      <c r="V264" s="43" t="n"/>
      <c r="W264" s="43" t="n"/>
      <c r="X264" s="43" t="inlineStr">
        <is>
          <t>INFO</t>
        </is>
      </c>
      <c r="Y264" s="43" t="n"/>
      <c r="Z264" s="43" t="inlineStr">
        <is>
          <t>Pending Review</t>
        </is>
      </c>
      <c r="AA264" s="43" t="inlineStr">
        <is>
          <t>N</t>
        </is>
      </c>
      <c r="AB264" s="43" t="n"/>
      <c r="AC264" s="33" t="inlineStr">
        <is>
          <t xml:space="preserve">FUENTE: Deviation.csv filas 539; Item Number original=73-103720-04 (prefijo 73- es CANDIDATO de PCBA, no confirmacion en Common DB); Workflow de origen=Expired; FJZ no validado, revision PCBA/WO no informadas. </t>
        </is>
      </c>
    </row>
    <row r="265">
      <c r="A265" s="43" t="inlineStr">
        <is>
          <t>DA-CTANJZ05234-CVEBU-73-103920-04</t>
        </is>
      </c>
      <c r="B265" s="43" t="n"/>
      <c r="C265" s="43" t="n"/>
      <c r="D265" s="43" t="inlineStr">
        <is>
          <t>73-103920-04</t>
        </is>
      </c>
      <c r="E265" s="43" t="inlineStr">
        <is>
          <t>DEV-CTANJZ05234</t>
        </is>
      </c>
      <c r="F265" s="43" t="n"/>
      <c r="G265" s="43" t="inlineStr">
        <is>
          <t>CVEBU</t>
        </is>
      </c>
      <c r="H265" s="43" t="n"/>
      <c r="I265" s="43" t="n"/>
      <c r="J265" s="43" t="n"/>
      <c r="K265" s="43" t="n"/>
      <c r="L265" s="43" t="n"/>
      <c r="M265" s="43" t="n"/>
      <c r="N265" s="43" t="n"/>
      <c r="O265" s="43" t="n"/>
      <c r="P265" s="43" t="n"/>
      <c r="Q265" s="43" t="inlineStr">
        <is>
          <t>BOARD</t>
        </is>
      </c>
      <c r="R265" s="33" t="inlineStr">
        <is>
          <t>REVISAR D611192: verificar accion documentada, PN/revision y vigencia para la corrida. No autoriza sustitucion ni uso de material.</t>
        </is>
      </c>
      <c r="S265" s="43" t="inlineStr">
        <is>
          <t>INFO</t>
        </is>
      </c>
      <c r="T265" s="33" t="inlineStr">
        <is>
          <t>Validar desviacion aprobada y estado; contrastar PN exacto y revision con Common DB, BOM/AVL, WO y fecha de corrida.</t>
        </is>
      </c>
      <c r="U265" s="33" t="inlineStr">
        <is>
          <t>Documento oficial firmado, autorizacion FJZ, revision/WO de alcance, confirmacion BOM y evidencia de implementacion si aplica.</t>
        </is>
      </c>
      <c r="V265" s="43" t="n"/>
      <c r="W265" s="43" t="n"/>
      <c r="X265" s="43" t="inlineStr">
        <is>
          <t>INFO</t>
        </is>
      </c>
      <c r="Y265" s="43" t="n"/>
      <c r="Z265" s="43" t="inlineStr">
        <is>
          <t>Pending Review</t>
        </is>
      </c>
      <c r="AA265" s="43" t="inlineStr">
        <is>
          <t>N</t>
        </is>
      </c>
      <c r="AB265" s="43" t="n"/>
      <c r="AC265" s="33" t="inlineStr">
        <is>
          <t xml:space="preserve">FUENTE: Deviation.csv filas 540; Item Number original=73-103920-04 (prefijo 73- es CANDIDATO de PCBA, no confirmacion en Common DB); Workflow de origen=Expired; FJZ no validado, revision PCBA/WO no informadas. </t>
        </is>
      </c>
    </row>
    <row r="266">
      <c r="A266" s="43" t="inlineStr">
        <is>
          <t>DA-CTANJZ05235-SRGBU-73-20988-05</t>
        </is>
      </c>
      <c r="B266" s="43" t="n"/>
      <c r="C266" s="43" t="n"/>
      <c r="D266" s="43" t="inlineStr">
        <is>
          <t>73-20988-05</t>
        </is>
      </c>
      <c r="E266" s="43" t="inlineStr">
        <is>
          <t>DEV-CTANJZ05235</t>
        </is>
      </c>
      <c r="F266" s="43" t="n"/>
      <c r="G266" s="43" t="inlineStr">
        <is>
          <t>SRGBU</t>
        </is>
      </c>
      <c r="H266" s="43" t="n"/>
      <c r="I266" s="43" t="n"/>
      <c r="J266" s="43" t="n"/>
      <c r="K266" s="43" t="n"/>
      <c r="L266" s="43" t="n"/>
      <c r="M266" s="43" t="n"/>
      <c r="N266" s="43" t="n"/>
      <c r="O266" s="43" t="n"/>
      <c r="P266" s="43" t="n"/>
      <c r="Q266" s="43" t="inlineStr">
        <is>
          <t>BOARD</t>
        </is>
      </c>
      <c r="R266" s="33" t="inlineStr">
        <is>
          <t>REVISAR D610818: verificar accion documentada, PN/revision y vigencia para la corrida. No autoriza sustitucion ni uso de material.</t>
        </is>
      </c>
      <c r="S266" s="43" t="inlineStr">
        <is>
          <t>INFO</t>
        </is>
      </c>
      <c r="T266" s="33" t="inlineStr">
        <is>
          <t>Validar desviacion aprobada y estado; contrastar PN exacto y revision con Common DB, BOM/AVL, WO y fecha de corrida.</t>
        </is>
      </c>
      <c r="U266" s="33" t="inlineStr">
        <is>
          <t>Documento oficial firmado, autorizacion FJZ, revision/WO de alcance, confirmacion BOM y evidencia de implementacion si aplica.</t>
        </is>
      </c>
      <c r="V266" s="43" t="n"/>
      <c r="W266" s="43" t="n"/>
      <c r="X266" s="43" t="inlineStr">
        <is>
          <t>INFO</t>
        </is>
      </c>
      <c r="Y266" s="43" t="n"/>
      <c r="Z266" s="43" t="inlineStr">
        <is>
          <t>Pending Review</t>
        </is>
      </c>
      <c r="AA266" s="43" t="inlineStr">
        <is>
          <t>N</t>
        </is>
      </c>
      <c r="AB266" s="43" t="n"/>
      <c r="AC266" s="33" t="inlineStr">
        <is>
          <t xml:space="preserve">FUENTE: Deviation.csv filas 97,320; Item Number original=73-20988-05 (prefijo 73- es CANDIDATO de PCBA, no confirmacion en Common DB); Workflow de origen=Expired; FJZ no validado, revision PCBA/WO no informadas. </t>
        </is>
      </c>
    </row>
    <row r="267">
      <c r="A267" s="43" t="inlineStr">
        <is>
          <t>DA-CTANJZ05236-CVEBU-73-103826-05</t>
        </is>
      </c>
      <c r="B267" s="43" t="inlineStr">
        <is>
          <t>BAYFRONT</t>
        </is>
      </c>
      <c r="C267" s="43" t="n"/>
      <c r="D267" s="43" t="inlineStr">
        <is>
          <t>73-103826-05</t>
        </is>
      </c>
      <c r="E267" s="43" t="inlineStr">
        <is>
          <t>DEV-CTANJZ05236</t>
        </is>
      </c>
      <c r="F267" s="43" t="n"/>
      <c r="G267" s="43" t="inlineStr">
        <is>
          <t>CVEBU</t>
        </is>
      </c>
      <c r="H267" s="43" t="n"/>
      <c r="I267" s="43" t="n"/>
      <c r="J267" s="43" t="n"/>
      <c r="K267" s="43" t="n"/>
      <c r="L267" s="43" t="n"/>
      <c r="M267" s="43" t="n"/>
      <c r="N267" s="43" t="n"/>
      <c r="O267" s="43" t="n"/>
      <c r="P267" s="43" t="n"/>
      <c r="Q267" s="43" t="inlineStr">
        <is>
          <t>BOARD</t>
        </is>
      </c>
      <c r="R267" s="33" t="inlineStr">
        <is>
          <t>REVISAR D610747: verificar accion documentada, PN/revision y vigencia para la corrida. No autoriza sustitucion ni uso de material.</t>
        </is>
      </c>
      <c r="S267" s="43" t="inlineStr">
        <is>
          <t>INFO</t>
        </is>
      </c>
      <c r="T267" s="33" t="inlineStr">
        <is>
          <t>Validar desviacion aprobada y estado; contrastar PN exacto y revision con Common DB, BOM/AVL, WO y fecha de corrida.</t>
        </is>
      </c>
      <c r="U267" s="33" t="inlineStr">
        <is>
          <t>Documento oficial firmado, autorizacion FJZ, revision/WO de alcance, confirmacion BOM y evidencia de implementacion si aplica.</t>
        </is>
      </c>
      <c r="V267" s="43" t="n"/>
      <c r="W267" s="43" t="n"/>
      <c r="X267" s="43" t="inlineStr">
        <is>
          <t>INFO</t>
        </is>
      </c>
      <c r="Y267" s="43" t="n"/>
      <c r="Z267" s="43" t="inlineStr">
        <is>
          <t>Pending Review</t>
        </is>
      </c>
      <c r="AA267" s="43" t="inlineStr">
        <is>
          <t>N</t>
        </is>
      </c>
      <c r="AB267" s="43" t="n"/>
      <c r="AC267" s="33" t="inlineStr">
        <is>
          <t xml:space="preserve">FUENTE: Deviation.csv filas 1159; Item Number original=73-103826-05 (prefijo 73- es CANDIDATO de PCBA, no confirmacion en Common DB); Workflow de origen=Expired; FJZ no validado, revision PCBA/WO no informadas. </t>
        </is>
      </c>
    </row>
    <row r="268">
      <c r="A268" s="43" t="inlineStr">
        <is>
          <t>DA-CTANJZ05236-CVEBU-73-103880-05</t>
        </is>
      </c>
      <c r="B268" s="43" t="n"/>
      <c r="C268" s="43" t="n"/>
      <c r="D268" s="43" t="inlineStr">
        <is>
          <t>73-103880-05</t>
        </is>
      </c>
      <c r="E268" s="43" t="inlineStr">
        <is>
          <t>DEV-CTANJZ05236</t>
        </is>
      </c>
      <c r="F268" s="43" t="n"/>
      <c r="G268" s="43" t="inlineStr">
        <is>
          <t>CVEBU</t>
        </is>
      </c>
      <c r="H268" s="43" t="n"/>
      <c r="I268" s="43" t="n"/>
      <c r="J268" s="43" t="n"/>
      <c r="K268" s="43" t="n"/>
      <c r="L268" s="43" t="n"/>
      <c r="M268" s="43" t="n"/>
      <c r="N268" s="43" t="n"/>
      <c r="O268" s="43" t="n"/>
      <c r="P268" s="43" t="n"/>
      <c r="Q268" s="43" t="inlineStr">
        <is>
          <t>BOARD</t>
        </is>
      </c>
      <c r="R268" s="33" t="inlineStr">
        <is>
          <t>REVISAR D610747: verificar accion documentada, PN/revision y vigencia para la corrida. No autoriza sustitucion ni uso de material.</t>
        </is>
      </c>
      <c r="S268" s="43" t="inlineStr">
        <is>
          <t>INFO</t>
        </is>
      </c>
      <c r="T268" s="33" t="inlineStr">
        <is>
          <t>Validar desviacion aprobada y estado; contrastar PN exacto y revision con Common DB, BOM/AVL, WO y fecha de corrida.</t>
        </is>
      </c>
      <c r="U268" s="33" t="inlineStr">
        <is>
          <t>Documento oficial firmado, autorizacion FJZ, revision/WO de alcance, confirmacion BOM y evidencia de implementacion si aplica.</t>
        </is>
      </c>
      <c r="V268" s="43" t="n"/>
      <c r="W268" s="43" t="n"/>
      <c r="X268" s="43" t="inlineStr">
        <is>
          <t>INFO</t>
        </is>
      </c>
      <c r="Y268" s="43" t="n"/>
      <c r="Z268" s="43" t="inlineStr">
        <is>
          <t>Pending Review</t>
        </is>
      </c>
      <c r="AA268" s="43" t="inlineStr">
        <is>
          <t>N</t>
        </is>
      </c>
      <c r="AB268" s="43" t="n"/>
      <c r="AC268" s="33" t="inlineStr">
        <is>
          <t xml:space="preserve">FUENTE: Deviation.csv filas 1160; Item Number original=73-103880-05 (prefijo 73- es CANDIDATO de PCBA, no confirmacion en Common DB); Workflow de origen=Expired; FJZ no validado, revision PCBA/WO no informadas. </t>
        </is>
      </c>
    </row>
    <row r="269">
      <c r="A269" s="43" t="inlineStr">
        <is>
          <t>DA-CTANJZ05237-CVEBU-73-102022-02</t>
        </is>
      </c>
      <c r="B269" s="43" t="inlineStr">
        <is>
          <t>BROOKLYN</t>
        </is>
      </c>
      <c r="C269" s="43" t="n"/>
      <c r="D269" s="43" t="inlineStr">
        <is>
          <t>73-102022-02</t>
        </is>
      </c>
      <c r="E269" s="43" t="inlineStr">
        <is>
          <t>DEV-CTANJZ05237</t>
        </is>
      </c>
      <c r="F269" s="43" t="n"/>
      <c r="G269" s="43" t="inlineStr">
        <is>
          <t>CVEBU</t>
        </is>
      </c>
      <c r="H269" s="43" t="n"/>
      <c r="I269" s="43" t="n"/>
      <c r="J269" s="43" t="n"/>
      <c r="K269" s="43" t="n"/>
      <c r="L269" s="43" t="n"/>
      <c r="M269" s="43" t="n"/>
      <c r="N269" s="43" t="n"/>
      <c r="O269" s="43" t="n"/>
      <c r="P269" s="43" t="n"/>
      <c r="Q269" s="43" t="inlineStr">
        <is>
          <t>BOARD</t>
        </is>
      </c>
      <c r="R269" s="33" t="inlineStr">
        <is>
          <t>REVISAR D611227: verificar accion documentada, PN/revision y vigencia para la corrida. No autoriza sustitucion ni uso de material.</t>
        </is>
      </c>
      <c r="S269" s="43" t="inlineStr">
        <is>
          <t>INFO</t>
        </is>
      </c>
      <c r="T269" s="33" t="inlineStr">
        <is>
          <t>Validar desviacion aprobada y estado; contrastar PN exacto y revision con Common DB, BOM/AVL, WO y fecha de corrida.</t>
        </is>
      </c>
      <c r="U269" s="33" t="inlineStr">
        <is>
          <t>Documento oficial firmado, autorizacion FJZ, revision/WO de alcance, confirmacion BOM y evidencia de implementacion si aplica.</t>
        </is>
      </c>
      <c r="V269" s="43" t="n"/>
      <c r="W269" s="43" t="n"/>
      <c r="X269" s="43" t="inlineStr">
        <is>
          <t>INFO</t>
        </is>
      </c>
      <c r="Y269" s="43" t="n"/>
      <c r="Z269" s="43" t="inlineStr">
        <is>
          <t>Pending Review</t>
        </is>
      </c>
      <c r="AA269" s="43" t="inlineStr">
        <is>
          <t>N</t>
        </is>
      </c>
      <c r="AB269" s="43" t="n"/>
      <c r="AC269" s="33" t="inlineStr">
        <is>
          <t xml:space="preserve">FUENTE: Deviation.csv filas 542; Item Number original=73-102022-02 (prefijo 73- es CANDIDATO de PCBA, no confirmacion en Common DB); Workflow de origen=Expired; FJZ no validado, revision PCBA/WO no informadas. </t>
        </is>
      </c>
    </row>
    <row r="270">
      <c r="A270" s="43" t="inlineStr">
        <is>
          <t>DA-CTANJZ05237-CVEBU-73-102197-02</t>
        </is>
      </c>
      <c r="B270" s="43" t="n"/>
      <c r="C270" s="43" t="n"/>
      <c r="D270" s="43" t="inlineStr">
        <is>
          <t>73-102197-02</t>
        </is>
      </c>
      <c r="E270" s="43" t="inlineStr">
        <is>
          <t>DEV-CTANJZ05237</t>
        </is>
      </c>
      <c r="F270" s="43" t="n"/>
      <c r="G270" s="43" t="inlineStr">
        <is>
          <t>CVEBU</t>
        </is>
      </c>
      <c r="H270" s="43" t="n"/>
      <c r="I270" s="43" t="n"/>
      <c r="J270" s="43" t="n"/>
      <c r="K270" s="43" t="n"/>
      <c r="L270" s="43" t="n"/>
      <c r="M270" s="43" t="n"/>
      <c r="N270" s="43" t="n"/>
      <c r="O270" s="43" t="n"/>
      <c r="P270" s="43" t="n"/>
      <c r="Q270" s="43" t="inlineStr">
        <is>
          <t>BOARD</t>
        </is>
      </c>
      <c r="R270" s="33" t="inlineStr">
        <is>
          <t>REVISAR D611227: verificar accion documentada, PN/revision y vigencia para la corrida. No autoriza sustitucion ni uso de material.</t>
        </is>
      </c>
      <c r="S270" s="43" t="inlineStr">
        <is>
          <t>INFO</t>
        </is>
      </c>
      <c r="T270" s="33" t="inlineStr">
        <is>
          <t>Validar desviacion aprobada y estado; contrastar PN exacto y revision con Common DB, BOM/AVL, WO y fecha de corrida.</t>
        </is>
      </c>
      <c r="U270" s="33" t="inlineStr">
        <is>
          <t>Documento oficial firmado, autorizacion FJZ, revision/WO de alcance, confirmacion BOM y evidencia de implementacion si aplica.</t>
        </is>
      </c>
      <c r="V270" s="43" t="n"/>
      <c r="W270" s="43" t="n"/>
      <c r="X270" s="43" t="inlineStr">
        <is>
          <t>INFO</t>
        </is>
      </c>
      <c r="Y270" s="43" t="n"/>
      <c r="Z270" s="43" t="inlineStr">
        <is>
          <t>Pending Review</t>
        </is>
      </c>
      <c r="AA270" s="43" t="inlineStr">
        <is>
          <t>N</t>
        </is>
      </c>
      <c r="AB270" s="43" t="n"/>
      <c r="AC270" s="33" t="inlineStr">
        <is>
          <t xml:space="preserve">FUENTE: Deviation.csv filas 543; Item Number original=73-102197-02 (prefijo 73- es CANDIDATO de PCBA, no confirmacion en Common DB); Workflow de origen=Expired; FJZ no validado, revision PCBA/WO no informadas. </t>
        </is>
      </c>
    </row>
    <row r="271">
      <c r="A271" s="43" t="inlineStr">
        <is>
          <t>DA-CTANJZ05237-CVEBU-73-102226-06</t>
        </is>
      </c>
      <c r="B271" s="43" t="inlineStr">
        <is>
          <t>MILLENIUM</t>
        </is>
      </c>
      <c r="C271" s="43" t="n"/>
      <c r="D271" s="43" t="inlineStr">
        <is>
          <t>73-102226-06</t>
        </is>
      </c>
      <c r="E271" s="43" t="inlineStr">
        <is>
          <t>DEV-CTANJZ05237</t>
        </is>
      </c>
      <c r="F271" s="43" t="n"/>
      <c r="G271" s="43" t="inlineStr">
        <is>
          <t>CVEBU</t>
        </is>
      </c>
      <c r="H271" s="43" t="n"/>
      <c r="I271" s="43" t="n"/>
      <c r="J271" s="43" t="n"/>
      <c r="K271" s="43" t="n"/>
      <c r="L271" s="43" t="n"/>
      <c r="M271" s="43" t="n"/>
      <c r="N271" s="43" t="n"/>
      <c r="O271" s="43" t="n"/>
      <c r="P271" s="43" t="n"/>
      <c r="Q271" s="43" t="inlineStr">
        <is>
          <t>BOARD</t>
        </is>
      </c>
      <c r="R271" s="33" t="inlineStr">
        <is>
          <t>REVISAR D611227: verificar accion documentada, PN/revision y vigencia para la corrida. No autoriza sustitucion ni uso de material.</t>
        </is>
      </c>
      <c r="S271" s="43" t="inlineStr">
        <is>
          <t>INFO</t>
        </is>
      </c>
      <c r="T271" s="33" t="inlineStr">
        <is>
          <t>Validar desviacion aprobada y estado; contrastar PN exacto y revision con Common DB, BOM/AVL, WO y fecha de corrida.</t>
        </is>
      </c>
      <c r="U271" s="33" t="inlineStr">
        <is>
          <t>Documento oficial firmado, autorizacion FJZ, revision/WO de alcance, confirmacion BOM y evidencia de implementacion si aplica.</t>
        </is>
      </c>
      <c r="V271" s="43" t="n"/>
      <c r="W271" s="43" t="n"/>
      <c r="X271" s="43" t="inlineStr">
        <is>
          <t>INFO</t>
        </is>
      </c>
      <c r="Y271" s="43" t="n"/>
      <c r="Z271" s="43" t="inlineStr">
        <is>
          <t>Pending Review</t>
        </is>
      </c>
      <c r="AA271" s="43" t="inlineStr">
        <is>
          <t>N</t>
        </is>
      </c>
      <c r="AB271" s="43" t="n"/>
      <c r="AC271" s="33" t="inlineStr">
        <is>
          <t xml:space="preserve">FUENTE: Deviation.csv filas 544; Item Number original=73-102226-06 (prefijo 73- es CANDIDATO de PCBA, no confirmacion en Common DB); Workflow de origen=Expired; FJZ no validado, revision PCBA/WO no informadas. </t>
        </is>
      </c>
    </row>
    <row r="272">
      <c r="A272" s="43" t="inlineStr">
        <is>
          <t>DA-CTANJZ05237-CVEBU-73-102797-02</t>
        </is>
      </c>
      <c r="B272" s="43" t="inlineStr">
        <is>
          <t>DAVINCI</t>
        </is>
      </c>
      <c r="C272" s="43" t="n"/>
      <c r="D272" s="43" t="inlineStr">
        <is>
          <t>73-102797-02</t>
        </is>
      </c>
      <c r="E272" s="43" t="inlineStr">
        <is>
          <t>DEV-CTANJZ05237</t>
        </is>
      </c>
      <c r="F272" s="43" t="n"/>
      <c r="G272" s="43" t="inlineStr">
        <is>
          <t>CVEBU</t>
        </is>
      </c>
      <c r="H272" s="43" t="n"/>
      <c r="I272" s="43" t="n"/>
      <c r="J272" s="43" t="n"/>
      <c r="K272" s="43" t="n"/>
      <c r="L272" s="43" t="n"/>
      <c r="M272" s="43" t="n"/>
      <c r="N272" s="43" t="n"/>
      <c r="O272" s="43" t="n"/>
      <c r="P272" s="43" t="n"/>
      <c r="Q272" s="43" t="inlineStr">
        <is>
          <t>BOARD</t>
        </is>
      </c>
      <c r="R272" s="33" t="inlineStr">
        <is>
          <t>REVISAR D611227: verificar accion documentada, PN/revision y vigencia para la corrida. No autoriza sustitucion ni uso de material.</t>
        </is>
      </c>
      <c r="S272" s="43" t="inlineStr">
        <is>
          <t>INFO</t>
        </is>
      </c>
      <c r="T272" s="33" t="inlineStr">
        <is>
          <t>Validar desviacion aprobada y estado; contrastar PN exacto y revision con Common DB, BOM/AVL, WO y fecha de corrida.</t>
        </is>
      </c>
      <c r="U272" s="33" t="inlineStr">
        <is>
          <t>Documento oficial firmado, autorizacion FJZ, revision/WO de alcance, confirmacion BOM y evidencia de implementacion si aplica.</t>
        </is>
      </c>
      <c r="V272" s="43" t="n"/>
      <c r="W272" s="43" t="n"/>
      <c r="X272" s="43" t="inlineStr">
        <is>
          <t>INFO</t>
        </is>
      </c>
      <c r="Y272" s="43" t="n"/>
      <c r="Z272" s="43" t="inlineStr">
        <is>
          <t>Pending Review</t>
        </is>
      </c>
      <c r="AA272" s="43" t="inlineStr">
        <is>
          <t>N</t>
        </is>
      </c>
      <c r="AB272" s="43" t="n"/>
      <c r="AC272" s="33" t="inlineStr">
        <is>
          <t xml:space="preserve">FUENTE: Deviation.csv filas 545; Item Number original=73-102797-02 (prefijo 73- es CANDIDATO de PCBA, no confirmacion en Common DB); Workflow de origen=Expired; FJZ no validado, revision PCBA/WO no informadas. </t>
        </is>
      </c>
    </row>
    <row r="273">
      <c r="A273" s="43" t="inlineStr">
        <is>
          <t>DA-CTANJZ05237-CVEBU-73-103226-06</t>
        </is>
      </c>
      <c r="B273" s="43" t="n"/>
      <c r="C273" s="43" t="n"/>
      <c r="D273" s="43" t="inlineStr">
        <is>
          <t>73-103226-06</t>
        </is>
      </c>
      <c r="E273" s="43" t="inlineStr">
        <is>
          <t>DEV-CTANJZ05237</t>
        </is>
      </c>
      <c r="F273" s="43" t="n"/>
      <c r="G273" s="43" t="inlineStr">
        <is>
          <t>CVEBU</t>
        </is>
      </c>
      <c r="H273" s="43" t="n"/>
      <c r="I273" s="43" t="n"/>
      <c r="J273" s="43" t="n"/>
      <c r="K273" s="43" t="n"/>
      <c r="L273" s="43" t="n"/>
      <c r="M273" s="43" t="n"/>
      <c r="N273" s="43" t="n"/>
      <c r="O273" s="43" t="n"/>
      <c r="P273" s="43" t="n"/>
      <c r="Q273" s="43" t="inlineStr">
        <is>
          <t>BOARD</t>
        </is>
      </c>
      <c r="R273" s="33" t="inlineStr">
        <is>
          <t>REVISAR D611227: verificar accion documentada, PN/revision y vigencia para la corrida. No autoriza sustitucion ni uso de material.</t>
        </is>
      </c>
      <c r="S273" s="43" t="inlineStr">
        <is>
          <t>INFO</t>
        </is>
      </c>
      <c r="T273" s="33" t="inlineStr">
        <is>
          <t>Validar desviacion aprobada y estado; contrastar PN exacto y revision con Common DB, BOM/AVL, WO y fecha de corrida.</t>
        </is>
      </c>
      <c r="U273" s="33" t="inlineStr">
        <is>
          <t>Documento oficial firmado, autorizacion FJZ, revision/WO de alcance, confirmacion BOM y evidencia de implementacion si aplica.</t>
        </is>
      </c>
      <c r="V273" s="43" t="n"/>
      <c r="W273" s="43" t="n"/>
      <c r="X273" s="43" t="inlineStr">
        <is>
          <t>INFO</t>
        </is>
      </c>
      <c r="Y273" s="43" t="n"/>
      <c r="Z273" s="43" t="inlineStr">
        <is>
          <t>Pending Review</t>
        </is>
      </c>
      <c r="AA273" s="43" t="inlineStr">
        <is>
          <t>N</t>
        </is>
      </c>
      <c r="AB273" s="43" t="n"/>
      <c r="AC273" s="33" t="inlineStr">
        <is>
          <t xml:space="preserve">FUENTE: Deviation.csv filas 546; Item Number original=73-103226-06 (prefijo 73- es CANDIDATO de PCBA, no confirmacion en Common DB); Workflow de origen=Expired; FJZ no validado, revision PCBA/WO no informadas. </t>
        </is>
      </c>
    </row>
    <row r="274">
      <c r="A274" s="43" t="inlineStr">
        <is>
          <t>DA-CTANJZ05237-CVEBU-73-104022-01</t>
        </is>
      </c>
      <c r="B274" s="43" t="n"/>
      <c r="C274" s="43" t="n"/>
      <c r="D274" s="43" t="inlineStr">
        <is>
          <t>73-104022-01</t>
        </is>
      </c>
      <c r="E274" s="43" t="inlineStr">
        <is>
          <t>DEV-CTANJZ05237</t>
        </is>
      </c>
      <c r="F274" s="43" t="n"/>
      <c r="G274" s="43" t="inlineStr">
        <is>
          <t>CVEBU</t>
        </is>
      </c>
      <c r="H274" s="43" t="n"/>
      <c r="I274" s="43" t="n"/>
      <c r="J274" s="43" t="n"/>
      <c r="K274" s="43" t="n"/>
      <c r="L274" s="43" t="n"/>
      <c r="M274" s="43" t="n"/>
      <c r="N274" s="43" t="n"/>
      <c r="O274" s="43" t="n"/>
      <c r="P274" s="43" t="n"/>
      <c r="Q274" s="43" t="inlineStr">
        <is>
          <t>BOARD</t>
        </is>
      </c>
      <c r="R274" s="33" t="inlineStr">
        <is>
          <t>REVISAR D611227: verificar accion documentada, PN/revision y vigencia para la corrida. No autoriza sustitucion ni uso de material.</t>
        </is>
      </c>
      <c r="S274" s="43" t="inlineStr">
        <is>
          <t>INFO</t>
        </is>
      </c>
      <c r="T274" s="33" t="inlineStr">
        <is>
          <t>Validar desviacion aprobada y estado; contrastar PN exacto y revision con Common DB, BOM/AVL, WO y fecha de corrida.</t>
        </is>
      </c>
      <c r="U274" s="33" t="inlineStr">
        <is>
          <t>Documento oficial firmado, autorizacion FJZ, revision/WO de alcance, confirmacion BOM y evidencia de implementacion si aplica.</t>
        </is>
      </c>
      <c r="V274" s="43" t="n"/>
      <c r="W274" s="43" t="n"/>
      <c r="X274" s="43" t="inlineStr">
        <is>
          <t>INFO</t>
        </is>
      </c>
      <c r="Y274" s="43" t="n"/>
      <c r="Z274" s="43" t="inlineStr">
        <is>
          <t>Pending Review</t>
        </is>
      </c>
      <c r="AA274" s="43" t="inlineStr">
        <is>
          <t>N</t>
        </is>
      </c>
      <c r="AB274" s="43" t="n"/>
      <c r="AC274" s="33" t="inlineStr">
        <is>
          <t xml:space="preserve">FUENTE: Deviation.csv filas 547; Item Number original=73-104022-01 (prefijo 73- es CANDIDATO de PCBA, no confirmacion en Common DB); Workflow de origen=Expired; FJZ no validado, revision PCBA/WO no informadas. </t>
        </is>
      </c>
    </row>
    <row r="275">
      <c r="A275" s="43" t="inlineStr">
        <is>
          <t>DA-CTANJZ05242-STBU-73-18488-08</t>
        </is>
      </c>
      <c r="B275" s="43" t="n"/>
      <c r="C275" s="43" t="n"/>
      <c r="D275" s="43" t="inlineStr">
        <is>
          <t>73-18488-08</t>
        </is>
      </c>
      <c r="E275" s="43" t="inlineStr">
        <is>
          <t>DEV-CTANJZ05242</t>
        </is>
      </c>
      <c r="F275" s="43" t="n"/>
      <c r="G275" s="43" t="inlineStr">
        <is>
          <t>STBU</t>
        </is>
      </c>
      <c r="H275" s="43" t="n"/>
      <c r="I275" s="43" t="n"/>
      <c r="J275" s="43" t="n"/>
      <c r="K275" s="43" t="n"/>
      <c r="L275" s="43" t="n"/>
      <c r="M275" s="43" t="n"/>
      <c r="N275" s="43" t="n"/>
      <c r="O275" s="43" t="n"/>
      <c r="P275" s="43" t="n"/>
      <c r="Q275" s="43" t="inlineStr">
        <is>
          <t>BOARD</t>
        </is>
      </c>
      <c r="R275" s="33" t="inlineStr">
        <is>
          <t>REVISAR D611127: verificar accion documentada, PN/revision y vigencia para la corrida. No autoriza sustitucion ni uso de material.</t>
        </is>
      </c>
      <c r="S275" s="43" t="inlineStr">
        <is>
          <t>INFO</t>
        </is>
      </c>
      <c r="T275" s="33" t="inlineStr">
        <is>
          <t>Validar desviacion aprobada y estado; contrastar PN exacto y revision con Common DB, BOM/AVL, WO y fecha de corrida.</t>
        </is>
      </c>
      <c r="U275" s="33" t="inlineStr">
        <is>
          <t>Documento oficial firmado, autorizacion FJZ, revision/WO de alcance, confirmacion BOM y evidencia de implementacion si aplica.</t>
        </is>
      </c>
      <c r="V275" s="43" t="n"/>
      <c r="W275" s="43" t="n"/>
      <c r="X275" s="43" t="inlineStr">
        <is>
          <t>INFO</t>
        </is>
      </c>
      <c r="Y275" s="43" t="n"/>
      <c r="Z275" s="43" t="inlineStr">
        <is>
          <t>Pending Review</t>
        </is>
      </c>
      <c r="AA275" s="43" t="inlineStr">
        <is>
          <t>N</t>
        </is>
      </c>
      <c r="AB275" s="43" t="n"/>
      <c r="AC275" s="33" t="inlineStr">
        <is>
          <t xml:space="preserve">FUENTE: Deviation.csv filas 1604; Item Number original=73-18488-08 (prefijo 73- es CANDIDATO de PCBA, no confirmacion en Common DB); Workflow de origen=Expired; FJZ no validado, revision PCBA/WO no informadas. </t>
        </is>
      </c>
    </row>
    <row r="276">
      <c r="A276" s="43" t="inlineStr">
        <is>
          <t>DA-CTANJZ05242-STBU-73-18489-08</t>
        </is>
      </c>
      <c r="B276" s="43" t="n"/>
      <c r="C276" s="43" t="n"/>
      <c r="D276" s="43" t="inlineStr">
        <is>
          <t>73-18489-08</t>
        </is>
      </c>
      <c r="E276" s="43" t="inlineStr">
        <is>
          <t>DEV-CTANJZ05242</t>
        </is>
      </c>
      <c r="F276" s="43" t="n"/>
      <c r="G276" s="43" t="inlineStr">
        <is>
          <t>STBU</t>
        </is>
      </c>
      <c r="H276" s="43" t="n"/>
      <c r="I276" s="43" t="n"/>
      <c r="J276" s="43" t="n"/>
      <c r="K276" s="43" t="n"/>
      <c r="L276" s="43" t="n"/>
      <c r="M276" s="43" t="n"/>
      <c r="N276" s="43" t="n"/>
      <c r="O276" s="43" t="n"/>
      <c r="P276" s="43" t="n"/>
      <c r="Q276" s="43" t="inlineStr">
        <is>
          <t>BOARD</t>
        </is>
      </c>
      <c r="R276" s="33" t="inlineStr">
        <is>
          <t>REVISAR D611127: verificar accion documentada, PN/revision y vigencia para la corrida. No autoriza sustitucion ni uso de material.</t>
        </is>
      </c>
      <c r="S276" s="43" t="inlineStr">
        <is>
          <t>INFO</t>
        </is>
      </c>
      <c r="T276" s="33" t="inlineStr">
        <is>
          <t>Validar desviacion aprobada y estado; contrastar PN exacto y revision con Common DB, BOM/AVL, WO y fecha de corrida.</t>
        </is>
      </c>
      <c r="U276" s="33" t="inlineStr">
        <is>
          <t>Documento oficial firmado, autorizacion FJZ, revision/WO de alcance, confirmacion BOM y evidencia de implementacion si aplica.</t>
        </is>
      </c>
      <c r="V276" s="43" t="n"/>
      <c r="W276" s="43" t="n"/>
      <c r="X276" s="43" t="inlineStr">
        <is>
          <t>INFO</t>
        </is>
      </c>
      <c r="Y276" s="43" t="n"/>
      <c r="Z276" s="43" t="inlineStr">
        <is>
          <t>Pending Review</t>
        </is>
      </c>
      <c r="AA276" s="43" t="inlineStr">
        <is>
          <t>N</t>
        </is>
      </c>
      <c r="AB276" s="43" t="n"/>
      <c r="AC276" s="33" t="inlineStr">
        <is>
          <t xml:space="preserve">FUENTE: Deviation.csv filas 1605; Item Number original=73-18489-08 (prefijo 73- es CANDIDATO de PCBA, no confirmacion en Common DB); Workflow de origen=Expired; FJZ no validado, revision PCBA/WO no informadas. </t>
        </is>
      </c>
    </row>
    <row r="277">
      <c r="A277" s="43" t="inlineStr">
        <is>
          <t>DA-CTANJZ05242-STBU-73-18490-10</t>
        </is>
      </c>
      <c r="B277" s="43" t="n"/>
      <c r="C277" s="43" t="n"/>
      <c r="D277" s="43" t="inlineStr">
        <is>
          <t>73-18490-10</t>
        </is>
      </c>
      <c r="E277" s="43" t="inlineStr">
        <is>
          <t>DEV-CTANJZ05242</t>
        </is>
      </c>
      <c r="F277" s="43" t="n"/>
      <c r="G277" s="43" t="inlineStr">
        <is>
          <t>STBU</t>
        </is>
      </c>
      <c r="H277" s="43" t="n"/>
      <c r="I277" s="43" t="n"/>
      <c r="J277" s="43" t="n"/>
      <c r="K277" s="43" t="n"/>
      <c r="L277" s="43" t="n"/>
      <c r="M277" s="43" t="n"/>
      <c r="N277" s="43" t="n"/>
      <c r="O277" s="43" t="n"/>
      <c r="P277" s="43" t="n"/>
      <c r="Q277" s="43" t="inlineStr">
        <is>
          <t>BOARD</t>
        </is>
      </c>
      <c r="R277" s="33" t="inlineStr">
        <is>
          <t>REVISAR D611127: verificar accion documentada, PN/revision y vigencia para la corrida. No autoriza sustitucion ni uso de material.</t>
        </is>
      </c>
      <c r="S277" s="43" t="inlineStr">
        <is>
          <t>INFO</t>
        </is>
      </c>
      <c r="T277" s="33" t="inlineStr">
        <is>
          <t>Validar desviacion aprobada y estado; contrastar PN exacto y revision con Common DB, BOM/AVL, WO y fecha de corrida.</t>
        </is>
      </c>
      <c r="U277" s="33" t="inlineStr">
        <is>
          <t>Documento oficial firmado, autorizacion FJZ, revision/WO de alcance, confirmacion BOM y evidencia de implementacion si aplica.</t>
        </is>
      </c>
      <c r="V277" s="43" t="n"/>
      <c r="W277" s="43" t="n"/>
      <c r="X277" s="43" t="inlineStr">
        <is>
          <t>INFO</t>
        </is>
      </c>
      <c r="Y277" s="43" t="n"/>
      <c r="Z277" s="43" t="inlineStr">
        <is>
          <t>Pending Review</t>
        </is>
      </c>
      <c r="AA277" s="43" t="inlineStr">
        <is>
          <t>N</t>
        </is>
      </c>
      <c r="AB277" s="43" t="n"/>
      <c r="AC277" s="33" t="inlineStr">
        <is>
          <t xml:space="preserve">FUENTE: Deviation.csv filas 1606; Item Number original=73-18490-10 (prefijo 73- es CANDIDATO de PCBA, no confirmacion en Common DB); Workflow de origen=Expired; FJZ no validado, revision PCBA/WO no informadas. </t>
        </is>
      </c>
    </row>
    <row r="278">
      <c r="A278" s="43" t="inlineStr">
        <is>
          <t>DA-CTANJZ05242-STBU-73-21007-03</t>
        </is>
      </c>
      <c r="B278" s="43" t="n"/>
      <c r="C278" s="43" t="n"/>
      <c r="D278" s="43" t="inlineStr">
        <is>
          <t>73-21007-03</t>
        </is>
      </c>
      <c r="E278" s="43" t="inlineStr">
        <is>
          <t>DEV-CTANJZ05242</t>
        </is>
      </c>
      <c r="F278" s="43" t="n"/>
      <c r="G278" s="43" t="inlineStr">
        <is>
          <t>STBU</t>
        </is>
      </c>
      <c r="H278" s="43" t="n"/>
      <c r="I278" s="43" t="n"/>
      <c r="J278" s="43" t="n"/>
      <c r="K278" s="43" t="n"/>
      <c r="L278" s="43" t="n"/>
      <c r="M278" s="43" t="n"/>
      <c r="N278" s="43" t="n"/>
      <c r="O278" s="43" t="n"/>
      <c r="P278" s="43" t="n"/>
      <c r="Q278" s="43" t="inlineStr">
        <is>
          <t>BOARD</t>
        </is>
      </c>
      <c r="R278" s="33" t="inlineStr">
        <is>
          <t>REVISAR D611127: verificar accion documentada, PN/revision y vigencia para la corrida. No autoriza sustitucion ni uso de material.</t>
        </is>
      </c>
      <c r="S278" s="43" t="inlineStr">
        <is>
          <t>INFO</t>
        </is>
      </c>
      <c r="T278" s="33" t="inlineStr">
        <is>
          <t>Validar desviacion aprobada y estado; contrastar PN exacto y revision con Common DB, BOM/AVL, WO y fecha de corrida.</t>
        </is>
      </c>
      <c r="U278" s="33" t="inlineStr">
        <is>
          <t>Documento oficial firmado, autorizacion FJZ, revision/WO de alcance, confirmacion BOM y evidencia de implementacion si aplica.</t>
        </is>
      </c>
      <c r="V278" s="43" t="n"/>
      <c r="W278" s="43" t="n"/>
      <c r="X278" s="43" t="inlineStr">
        <is>
          <t>INFO</t>
        </is>
      </c>
      <c r="Y278" s="43" t="n"/>
      <c r="Z278" s="43" t="inlineStr">
        <is>
          <t>Pending Review</t>
        </is>
      </c>
      <c r="AA278" s="43" t="inlineStr">
        <is>
          <t>N</t>
        </is>
      </c>
      <c r="AB278" s="43" t="n"/>
      <c r="AC278" s="33" t="inlineStr">
        <is>
          <t xml:space="preserve">FUENTE: Deviation.csv filas 1607; Item Number original=73-21007-03 (prefijo 73- es CANDIDATO de PCBA, no confirmacion en Common DB); Workflow de origen=Expired; FJZ no validado, revision PCBA/WO no informadas. </t>
        </is>
      </c>
    </row>
    <row r="279">
      <c r="A279" s="43" t="inlineStr">
        <is>
          <t>DA-CTANJZ05250-STBU-73-101944-03</t>
        </is>
      </c>
      <c r="B279" s="43" t="n"/>
      <c r="C279" s="43" t="n"/>
      <c r="D279" s="43" t="inlineStr">
        <is>
          <t>73-101944-03</t>
        </is>
      </c>
      <c r="E279" s="43" t="inlineStr">
        <is>
          <t>DEV-CTANJZ05250</t>
        </is>
      </c>
      <c r="F279" s="43" t="n"/>
      <c r="G279" s="43" t="inlineStr">
        <is>
          <t>STBU</t>
        </is>
      </c>
      <c r="H279" s="43" t="n"/>
      <c r="I279" s="43" t="n"/>
      <c r="J279" s="43" t="n"/>
      <c r="K279" s="43" t="n"/>
      <c r="L279" s="43" t="n"/>
      <c r="M279" s="43" t="n"/>
      <c r="N279" s="43" t="n"/>
      <c r="O279" s="43" t="n"/>
      <c r="P279" s="43" t="n"/>
      <c r="Q279" s="43" t="inlineStr">
        <is>
          <t>BOARD</t>
        </is>
      </c>
      <c r="R279" s="33" t="inlineStr">
        <is>
          <t>REVISAR D611256: verificar accion documentada, PN/revision y vigencia para la corrida. No autoriza sustitucion ni uso de material.</t>
        </is>
      </c>
      <c r="S279" s="43" t="inlineStr">
        <is>
          <t>INFO</t>
        </is>
      </c>
      <c r="T279" s="33" t="inlineStr">
        <is>
          <t>Validar desviacion aprobada y estado; contrastar PN exacto y revision con Common DB, BOM/AVL, WO y fecha de corrida.</t>
        </is>
      </c>
      <c r="U279" s="33" t="inlineStr">
        <is>
          <t>Documento oficial firmado, autorizacion FJZ, revision/WO de alcance, confirmacion BOM y evidencia de implementacion si aplica.</t>
        </is>
      </c>
      <c r="V279" s="43" t="n"/>
      <c r="W279" s="43" t="n"/>
      <c r="X279" s="43" t="inlineStr">
        <is>
          <t>INFO</t>
        </is>
      </c>
      <c r="Y279" s="43" t="n"/>
      <c r="Z279" s="43" t="inlineStr">
        <is>
          <t>Pending Review</t>
        </is>
      </c>
      <c r="AA279" s="43" t="inlineStr">
        <is>
          <t>N</t>
        </is>
      </c>
      <c r="AB279" s="43" t="n"/>
      <c r="AC279" s="33" t="inlineStr">
        <is>
          <t xml:space="preserve">FUENTE: Deviation.csv filas 1494; Item Number original=73-101944-03 (prefijo 73- es CANDIDATO de PCBA, no confirmacion en Common DB); Workflow de origen=Expired; FJZ no validado, revision PCBA/WO no informadas. </t>
        </is>
      </c>
    </row>
    <row r="280">
      <c r="A280" s="43" t="inlineStr">
        <is>
          <t>DA-CTANJZ05250-STBU-73-101945-03</t>
        </is>
      </c>
      <c r="B280" s="43" t="n"/>
      <c r="C280" s="43" t="n"/>
      <c r="D280" s="43" t="inlineStr">
        <is>
          <t>73-101945-03</t>
        </is>
      </c>
      <c r="E280" s="43" t="inlineStr">
        <is>
          <t>DEV-CTANJZ05250</t>
        </is>
      </c>
      <c r="F280" s="43" t="n"/>
      <c r="G280" s="43" t="inlineStr">
        <is>
          <t>STBU</t>
        </is>
      </c>
      <c r="H280" s="43" t="n"/>
      <c r="I280" s="43" t="n"/>
      <c r="J280" s="43" t="n"/>
      <c r="K280" s="43" t="n"/>
      <c r="L280" s="43" t="n"/>
      <c r="M280" s="43" t="n"/>
      <c r="N280" s="43" t="n"/>
      <c r="O280" s="43" t="n"/>
      <c r="P280" s="43" t="n"/>
      <c r="Q280" s="43" t="inlineStr">
        <is>
          <t>BOARD</t>
        </is>
      </c>
      <c r="R280" s="33" t="inlineStr">
        <is>
          <t>REVISAR D611256: verificar accion documentada, PN/revision y vigencia para la corrida. No autoriza sustitucion ni uso de material.</t>
        </is>
      </c>
      <c r="S280" s="43" t="inlineStr">
        <is>
          <t>INFO</t>
        </is>
      </c>
      <c r="T280" s="33" t="inlineStr">
        <is>
          <t>Validar desviacion aprobada y estado; contrastar PN exacto y revision con Common DB, BOM/AVL, WO y fecha de corrida.</t>
        </is>
      </c>
      <c r="U280" s="33" t="inlineStr">
        <is>
          <t>Documento oficial firmado, autorizacion FJZ, revision/WO de alcance, confirmacion BOM y evidencia de implementacion si aplica.</t>
        </is>
      </c>
      <c r="V280" s="43" t="n"/>
      <c r="W280" s="43" t="n"/>
      <c r="X280" s="43" t="inlineStr">
        <is>
          <t>INFO</t>
        </is>
      </c>
      <c r="Y280" s="43" t="n"/>
      <c r="Z280" s="43" t="inlineStr">
        <is>
          <t>Pending Review</t>
        </is>
      </c>
      <c r="AA280" s="43" t="inlineStr">
        <is>
          <t>N</t>
        </is>
      </c>
      <c r="AB280" s="43" t="n"/>
      <c r="AC280" s="33" t="inlineStr">
        <is>
          <t xml:space="preserve">FUENTE: Deviation.csv filas 1495; Item Number original=73-101945-03 (prefijo 73- es CANDIDATO de PCBA, no confirmacion en Common DB); Workflow de origen=Expired; FJZ no validado, revision PCBA/WO no informadas. </t>
        </is>
      </c>
    </row>
    <row r="281">
      <c r="A281" s="43" t="inlineStr">
        <is>
          <t>DA-CTANJZ05250-STBU-73-102418-04</t>
        </is>
      </c>
      <c r="B281" s="43" t="n"/>
      <c r="C281" s="43" t="n"/>
      <c r="D281" s="43" t="inlineStr">
        <is>
          <t>73-102418-04</t>
        </is>
      </c>
      <c r="E281" s="43" t="inlineStr">
        <is>
          <t>DEV-CTANJZ05250</t>
        </is>
      </c>
      <c r="F281" s="43" t="n"/>
      <c r="G281" s="43" t="inlineStr">
        <is>
          <t>STBU</t>
        </is>
      </c>
      <c r="H281" s="43" t="n"/>
      <c r="I281" s="43" t="n"/>
      <c r="J281" s="43" t="n"/>
      <c r="K281" s="43" t="n"/>
      <c r="L281" s="43" t="n"/>
      <c r="M281" s="43" t="n"/>
      <c r="N281" s="43" t="n"/>
      <c r="O281" s="43" t="n"/>
      <c r="P281" s="43" t="n"/>
      <c r="Q281" s="43" t="inlineStr">
        <is>
          <t>BOARD</t>
        </is>
      </c>
      <c r="R281" s="33" t="inlineStr">
        <is>
          <t>REVISAR D611256: verificar accion documentada, PN/revision y vigencia para la corrida. No autoriza sustitucion ni uso de material.</t>
        </is>
      </c>
      <c r="S281" s="43" t="inlineStr">
        <is>
          <t>INFO</t>
        </is>
      </c>
      <c r="T281" s="33" t="inlineStr">
        <is>
          <t>Validar desviacion aprobada y estado; contrastar PN exacto y revision con Common DB, BOM/AVL, WO y fecha de corrida.</t>
        </is>
      </c>
      <c r="U281" s="33" t="inlineStr">
        <is>
          <t>Documento oficial firmado, autorizacion FJZ, revision/WO de alcance, confirmacion BOM y evidencia de implementacion si aplica.</t>
        </is>
      </c>
      <c r="V281" s="43" t="n"/>
      <c r="W281" s="43" t="n"/>
      <c r="X281" s="43" t="inlineStr">
        <is>
          <t>INFO</t>
        </is>
      </c>
      <c r="Y281" s="43" t="n"/>
      <c r="Z281" s="43" t="inlineStr">
        <is>
          <t>Pending Review</t>
        </is>
      </c>
      <c r="AA281" s="43" t="inlineStr">
        <is>
          <t>N</t>
        </is>
      </c>
      <c r="AB281" s="43" t="n"/>
      <c r="AC281" s="33" t="inlineStr">
        <is>
          <t xml:space="preserve">FUENTE: Deviation.csv filas 1496; Item Number original=73-102418-04 (prefijo 73- es CANDIDATO de PCBA, no confirmacion en Common DB); Workflow de origen=Expired; FJZ no validado, revision PCBA/WO no informadas. </t>
        </is>
      </c>
    </row>
    <row r="282">
      <c r="A282" s="43" t="inlineStr">
        <is>
          <t>DA-CTANJZ05250-STBU-73-102419-03</t>
        </is>
      </c>
      <c r="B282" s="43" t="n"/>
      <c r="C282" s="43" t="n"/>
      <c r="D282" s="43" t="inlineStr">
        <is>
          <t>73-102419-03</t>
        </is>
      </c>
      <c r="E282" s="43" t="inlineStr">
        <is>
          <t>DEV-CTANJZ05250</t>
        </is>
      </c>
      <c r="F282" s="43" t="n"/>
      <c r="G282" s="43" t="inlineStr">
        <is>
          <t>STBU</t>
        </is>
      </c>
      <c r="H282" s="43" t="n"/>
      <c r="I282" s="43" t="n"/>
      <c r="J282" s="43" t="n"/>
      <c r="K282" s="43" t="n"/>
      <c r="L282" s="43" t="n"/>
      <c r="M282" s="43" t="n"/>
      <c r="N282" s="43" t="n"/>
      <c r="O282" s="43" t="n"/>
      <c r="P282" s="43" t="n"/>
      <c r="Q282" s="43" t="inlineStr">
        <is>
          <t>BOARD</t>
        </is>
      </c>
      <c r="R282" s="33" t="inlineStr">
        <is>
          <t>REVISAR D611256: verificar accion documentada, PN/revision y vigencia para la corrida. No autoriza sustitucion ni uso de material.</t>
        </is>
      </c>
      <c r="S282" s="43" t="inlineStr">
        <is>
          <t>INFO</t>
        </is>
      </c>
      <c r="T282" s="33" t="inlineStr">
        <is>
          <t>Validar desviacion aprobada y estado; contrastar PN exacto y revision con Common DB, BOM/AVL, WO y fecha de corrida.</t>
        </is>
      </c>
      <c r="U282" s="33" t="inlineStr">
        <is>
          <t>Documento oficial firmado, autorizacion FJZ, revision/WO de alcance, confirmacion BOM y evidencia de implementacion si aplica.</t>
        </is>
      </c>
      <c r="V282" s="43" t="n"/>
      <c r="W282" s="43" t="n"/>
      <c r="X282" s="43" t="inlineStr">
        <is>
          <t>INFO</t>
        </is>
      </c>
      <c r="Y282" s="43" t="n"/>
      <c r="Z282" s="43" t="inlineStr">
        <is>
          <t>Pending Review</t>
        </is>
      </c>
      <c r="AA282" s="43" t="inlineStr">
        <is>
          <t>N</t>
        </is>
      </c>
      <c r="AB282" s="43" t="n"/>
      <c r="AC282" s="33" t="inlineStr">
        <is>
          <t xml:space="preserve">FUENTE: Deviation.csv filas 1497; Item Number original=73-102419-03 (prefijo 73- es CANDIDATO de PCBA, no confirmacion en Common DB); Workflow de origen=Expired; FJZ no validado, revision PCBA/WO no informadas. </t>
        </is>
      </c>
    </row>
    <row r="283">
      <c r="A283" s="43" t="inlineStr">
        <is>
          <t>DA-CTANJZ05250-STBU-73-102888-01</t>
        </is>
      </c>
      <c r="B283" s="43" t="n"/>
      <c r="C283" s="43" t="n"/>
      <c r="D283" s="43" t="inlineStr">
        <is>
          <t>73-102888-01</t>
        </is>
      </c>
      <c r="E283" s="43" t="inlineStr">
        <is>
          <t>DEV-CTANJZ05250</t>
        </is>
      </c>
      <c r="F283" s="43" t="n"/>
      <c r="G283" s="43" t="inlineStr">
        <is>
          <t>STBU</t>
        </is>
      </c>
      <c r="H283" s="43" t="n"/>
      <c r="I283" s="43" t="n"/>
      <c r="J283" s="43" t="n"/>
      <c r="K283" s="43" t="n"/>
      <c r="L283" s="43" t="n"/>
      <c r="M283" s="43" t="n"/>
      <c r="N283" s="43" t="n"/>
      <c r="O283" s="43" t="n"/>
      <c r="P283" s="43" t="n"/>
      <c r="Q283" s="43" t="inlineStr">
        <is>
          <t>BOARD</t>
        </is>
      </c>
      <c r="R283" s="33" t="inlineStr">
        <is>
          <t>REVISAR D611256: verificar accion documentada, PN/revision y vigencia para la corrida. No autoriza sustitucion ni uso de material.</t>
        </is>
      </c>
      <c r="S283" s="43" t="inlineStr">
        <is>
          <t>INFO</t>
        </is>
      </c>
      <c r="T283" s="33" t="inlineStr">
        <is>
          <t>Validar desviacion aprobada y estado; contrastar PN exacto y revision con Common DB, BOM/AVL, WO y fecha de corrida.</t>
        </is>
      </c>
      <c r="U283" s="33" t="inlineStr">
        <is>
          <t>Documento oficial firmado, autorizacion FJZ, revision/WO de alcance, confirmacion BOM y evidencia de implementacion si aplica.</t>
        </is>
      </c>
      <c r="V283" s="43" t="n"/>
      <c r="W283" s="43" t="n"/>
      <c r="X283" s="43" t="inlineStr">
        <is>
          <t>INFO</t>
        </is>
      </c>
      <c r="Y283" s="43" t="n"/>
      <c r="Z283" s="43" t="inlineStr">
        <is>
          <t>Pending Review</t>
        </is>
      </c>
      <c r="AA283" s="43" t="inlineStr">
        <is>
          <t>N</t>
        </is>
      </c>
      <c r="AB283" s="43" t="n"/>
      <c r="AC283" s="33" t="inlineStr">
        <is>
          <t xml:space="preserve">FUENTE: Deviation.csv filas 1498; Item Number original=73-102888-01 (prefijo 73- es CANDIDATO de PCBA, no confirmacion en Common DB); Workflow de origen=Expired; FJZ no validado, revision PCBA/WO no informadas. </t>
        </is>
      </c>
    </row>
    <row r="284">
      <c r="A284" s="43" t="inlineStr">
        <is>
          <t>DA-CTANJZ05250-STBU-73-20247-06</t>
        </is>
      </c>
      <c r="B284" s="43" t="inlineStr">
        <is>
          <t>TUFNELL PARK</t>
        </is>
      </c>
      <c r="C284" s="43" t="n"/>
      <c r="D284" s="43" t="inlineStr">
        <is>
          <t>73-20247-06</t>
        </is>
      </c>
      <c r="E284" s="43" t="inlineStr">
        <is>
          <t>DEV-CTANJZ05250</t>
        </is>
      </c>
      <c r="F284" s="43" t="n"/>
      <c r="G284" s="43" t="inlineStr">
        <is>
          <t>STBU</t>
        </is>
      </c>
      <c r="H284" s="43" t="n"/>
      <c r="I284" s="43" t="n"/>
      <c r="J284" s="43" t="n"/>
      <c r="K284" s="43" t="n"/>
      <c r="L284" s="43" t="n"/>
      <c r="M284" s="43" t="n"/>
      <c r="N284" s="43" t="n"/>
      <c r="O284" s="43" t="n"/>
      <c r="P284" s="43" t="n"/>
      <c r="Q284" s="43" t="inlineStr">
        <is>
          <t>BOARD</t>
        </is>
      </c>
      <c r="R284" s="33" t="inlineStr">
        <is>
          <t>REVISAR D611256: verificar accion documentada, PN/revision y vigencia para la corrida. No autoriza sustitucion ni uso de material.</t>
        </is>
      </c>
      <c r="S284" s="43" t="inlineStr">
        <is>
          <t>INFO</t>
        </is>
      </c>
      <c r="T284" s="33" t="inlineStr">
        <is>
          <t>Validar desviacion aprobada y estado; contrastar PN exacto y revision con Common DB, BOM/AVL, WO y fecha de corrida.</t>
        </is>
      </c>
      <c r="U284" s="33" t="inlineStr">
        <is>
          <t>Documento oficial firmado, autorizacion FJZ, revision/WO de alcance, confirmacion BOM y evidencia de implementacion si aplica.</t>
        </is>
      </c>
      <c r="V284" s="43" t="n"/>
      <c r="W284" s="43" t="n"/>
      <c r="X284" s="43" t="inlineStr">
        <is>
          <t>INFO</t>
        </is>
      </c>
      <c r="Y284" s="43" t="n"/>
      <c r="Z284" s="43" t="inlineStr">
        <is>
          <t>Pending Review</t>
        </is>
      </c>
      <c r="AA284" s="43" t="inlineStr">
        <is>
          <t>N</t>
        </is>
      </c>
      <c r="AB284" s="43" t="n"/>
      <c r="AC284" s="33" t="inlineStr">
        <is>
          <t xml:space="preserve">FUENTE: Deviation.csv filas 1499; Item Number original=73-20247-06 (prefijo 73- es CANDIDATO de PCBA, no confirmacion en Common DB); Workflow de origen=Expired; FJZ no validado, revision PCBA/WO no informadas. </t>
        </is>
      </c>
    </row>
    <row r="285">
      <c r="A285" s="43" t="inlineStr">
        <is>
          <t>DA-CTANJZ05250-STBU-73-20249-06</t>
        </is>
      </c>
      <c r="B285" s="43" t="inlineStr">
        <is>
          <t>TUFNELL PARK</t>
        </is>
      </c>
      <c r="C285" s="43" t="n"/>
      <c r="D285" s="43" t="inlineStr">
        <is>
          <t>73-20249-06</t>
        </is>
      </c>
      <c r="E285" s="43" t="inlineStr">
        <is>
          <t>DEV-CTANJZ05250</t>
        </is>
      </c>
      <c r="F285" s="43" t="n"/>
      <c r="G285" s="43" t="inlineStr">
        <is>
          <t>STBU</t>
        </is>
      </c>
      <c r="H285" s="43" t="n"/>
      <c r="I285" s="43" t="n"/>
      <c r="J285" s="43" t="n"/>
      <c r="K285" s="43" t="n"/>
      <c r="L285" s="43" t="n"/>
      <c r="M285" s="43" t="n"/>
      <c r="N285" s="43" t="n"/>
      <c r="O285" s="43" t="n"/>
      <c r="P285" s="43" t="n"/>
      <c r="Q285" s="43" t="inlineStr">
        <is>
          <t>BOARD</t>
        </is>
      </c>
      <c r="R285" s="33" t="inlineStr">
        <is>
          <t>REVISAR D611256: verificar accion documentada, PN/revision y vigencia para la corrida. No autoriza sustitucion ni uso de material.</t>
        </is>
      </c>
      <c r="S285" s="43" t="inlineStr">
        <is>
          <t>INFO</t>
        </is>
      </c>
      <c r="T285" s="33" t="inlineStr">
        <is>
          <t>Validar desviacion aprobada y estado; contrastar PN exacto y revision con Common DB, BOM/AVL, WO y fecha de corrida.</t>
        </is>
      </c>
      <c r="U285" s="33" t="inlineStr">
        <is>
          <t>Documento oficial firmado, autorizacion FJZ, revision/WO de alcance, confirmacion BOM y evidencia de implementacion si aplica.</t>
        </is>
      </c>
      <c r="V285" s="43" t="n"/>
      <c r="W285" s="43" t="n"/>
      <c r="X285" s="43" t="inlineStr">
        <is>
          <t>INFO</t>
        </is>
      </c>
      <c r="Y285" s="43" t="n"/>
      <c r="Z285" s="43" t="inlineStr">
        <is>
          <t>Pending Review</t>
        </is>
      </c>
      <c r="AA285" s="43" t="inlineStr">
        <is>
          <t>N</t>
        </is>
      </c>
      <c r="AB285" s="43" t="n"/>
      <c r="AC285" s="33" t="inlineStr">
        <is>
          <t xml:space="preserve">FUENTE: Deviation.csv filas 1608; Item Number original=73-20249-06 (prefijo 73- es CANDIDATO de PCBA, no confirmacion en Common DB); Workflow de origen=Expired; FJZ no validado, revision PCBA/WO no informadas. </t>
        </is>
      </c>
    </row>
    <row r="286">
      <c r="A286" s="43" t="inlineStr">
        <is>
          <t>DA-CTANJZ05252-STBU-73-16681-10</t>
        </is>
      </c>
      <c r="B286" s="43" t="n"/>
      <c r="C286" s="43" t="n"/>
      <c r="D286" s="43" t="inlineStr">
        <is>
          <t>73-16681-10</t>
        </is>
      </c>
      <c r="E286" s="43" t="inlineStr">
        <is>
          <t>DEV-CTANJZ05252</t>
        </is>
      </c>
      <c r="F286" s="43" t="n"/>
      <c r="G286" s="43" t="inlineStr">
        <is>
          <t>STBU</t>
        </is>
      </c>
      <c r="H286" s="43" t="n"/>
      <c r="I286" s="43" t="n"/>
      <c r="J286" s="43" t="n"/>
      <c r="K286" s="43" t="n"/>
      <c r="L286" s="43" t="n"/>
      <c r="M286" s="43" t="n"/>
      <c r="N286" s="43" t="n"/>
      <c r="O286" s="43" t="n"/>
      <c r="P286" s="43" t="n"/>
      <c r="Q286" s="43" t="inlineStr">
        <is>
          <t>BOARD</t>
        </is>
      </c>
      <c r="R286" s="33" t="inlineStr">
        <is>
          <t>REVISAR D611133: verificar accion documentada, PN/revision y vigencia para la corrida. No autoriza sustitucion ni uso de material.</t>
        </is>
      </c>
      <c r="S286" s="43" t="inlineStr">
        <is>
          <t>INFO</t>
        </is>
      </c>
      <c r="T286" s="33" t="inlineStr">
        <is>
          <t>Validar desviacion aprobada y estado; contrastar PN exacto y revision con Common DB, BOM/AVL, WO y fecha de corrida.</t>
        </is>
      </c>
      <c r="U286" s="33" t="inlineStr">
        <is>
          <t>Documento oficial firmado, autorizacion FJZ, revision/WO de alcance, confirmacion BOM y evidencia de implementacion si aplica.</t>
        </is>
      </c>
      <c r="V286" s="43" t="n"/>
      <c r="W286" s="43" t="n"/>
      <c r="X286" s="43" t="inlineStr">
        <is>
          <t>INFO</t>
        </is>
      </c>
      <c r="Y286" s="43" t="n"/>
      <c r="Z286" s="43" t="inlineStr">
        <is>
          <t>Pending Review</t>
        </is>
      </c>
      <c r="AA286" s="43" t="inlineStr">
        <is>
          <t>N</t>
        </is>
      </c>
      <c r="AB286" s="43" t="n"/>
      <c r="AC286" s="33" t="inlineStr">
        <is>
          <t xml:space="preserve">FUENTE: Deviation.csv filas 1205; Item Number original=73-16681-10 (prefijo 73- es CANDIDATO de PCBA, no confirmacion en Common DB); Workflow de origen=Expired; FJZ no validado, revision PCBA/WO no informadas. </t>
        </is>
      </c>
    </row>
    <row r="287">
      <c r="A287" s="43" t="inlineStr">
        <is>
          <t>DA-CTANJZ05252-STBU-73-17497-04</t>
        </is>
      </c>
      <c r="B287" s="43" t="n"/>
      <c r="C287" s="43" t="n"/>
      <c r="D287" s="43" t="inlineStr">
        <is>
          <t>73-17497-04</t>
        </is>
      </c>
      <c r="E287" s="43" t="inlineStr">
        <is>
          <t>DEV-CTANJZ05252</t>
        </is>
      </c>
      <c r="F287" s="43" t="n"/>
      <c r="G287" s="43" t="inlineStr">
        <is>
          <t>STBU</t>
        </is>
      </c>
      <c r="H287" s="43" t="n"/>
      <c r="I287" s="43" t="n"/>
      <c r="J287" s="43" t="n"/>
      <c r="K287" s="43" t="n"/>
      <c r="L287" s="43" t="n"/>
      <c r="M287" s="43" t="n"/>
      <c r="N287" s="43" t="n"/>
      <c r="O287" s="43" t="n"/>
      <c r="P287" s="43" t="n"/>
      <c r="Q287" s="43" t="inlineStr">
        <is>
          <t>BOARD</t>
        </is>
      </c>
      <c r="R287" s="33" t="inlineStr">
        <is>
          <t>REVISAR D611133: verificar accion documentada, PN/revision y vigencia para la corrida. No autoriza sustitucion ni uso de material.</t>
        </is>
      </c>
      <c r="S287" s="43" t="inlineStr">
        <is>
          <t>INFO</t>
        </is>
      </c>
      <c r="T287" s="33" t="inlineStr">
        <is>
          <t>Validar desviacion aprobada y estado; contrastar PN exacto y revision con Common DB, BOM/AVL, WO y fecha de corrida.</t>
        </is>
      </c>
      <c r="U287" s="33" t="inlineStr">
        <is>
          <t>Documento oficial firmado, autorizacion FJZ, revision/WO de alcance, confirmacion BOM y evidencia de implementacion si aplica.</t>
        </is>
      </c>
      <c r="V287" s="43" t="n"/>
      <c r="W287" s="43" t="n"/>
      <c r="X287" s="43" t="inlineStr">
        <is>
          <t>INFO</t>
        </is>
      </c>
      <c r="Y287" s="43" t="n"/>
      <c r="Z287" s="43" t="inlineStr">
        <is>
          <t>Pending Review</t>
        </is>
      </c>
      <c r="AA287" s="43" t="inlineStr">
        <is>
          <t>N</t>
        </is>
      </c>
      <c r="AB287" s="43" t="n"/>
      <c r="AC287" s="33" t="inlineStr">
        <is>
          <t xml:space="preserve">FUENTE: Deviation.csv filas 1206; Item Number original=73-17497-04 (prefijo 73- es CANDIDATO de PCBA, no confirmacion en Common DB); Workflow de origen=Expired; FJZ no validado, revision PCBA/WO no informadas. </t>
        </is>
      </c>
    </row>
    <row r="288">
      <c r="A288" s="43" t="inlineStr">
        <is>
          <t>DA-CTANJZ05252-STBU-73-17498-04</t>
        </is>
      </c>
      <c r="B288" s="43" t="n"/>
      <c r="C288" s="43" t="n"/>
      <c r="D288" s="43" t="inlineStr">
        <is>
          <t>73-17498-04</t>
        </is>
      </c>
      <c r="E288" s="43" t="inlineStr">
        <is>
          <t>DEV-CTANJZ05252</t>
        </is>
      </c>
      <c r="F288" s="43" t="n"/>
      <c r="G288" s="43" t="inlineStr">
        <is>
          <t>STBU</t>
        </is>
      </c>
      <c r="H288" s="43" t="n"/>
      <c r="I288" s="43" t="n"/>
      <c r="J288" s="43" t="n"/>
      <c r="K288" s="43" t="n"/>
      <c r="L288" s="43" t="n"/>
      <c r="M288" s="43" t="n"/>
      <c r="N288" s="43" t="n"/>
      <c r="O288" s="43" t="n"/>
      <c r="P288" s="43" t="n"/>
      <c r="Q288" s="43" t="inlineStr">
        <is>
          <t>BOARD</t>
        </is>
      </c>
      <c r="R288" s="33" t="inlineStr">
        <is>
          <t>REVISAR D611133: verificar accion documentada, PN/revision y vigencia para la corrida. No autoriza sustitucion ni uso de material.</t>
        </is>
      </c>
      <c r="S288" s="43" t="inlineStr">
        <is>
          <t>INFO</t>
        </is>
      </c>
      <c r="T288" s="33" t="inlineStr">
        <is>
          <t>Validar desviacion aprobada y estado; contrastar PN exacto y revision con Common DB, BOM/AVL, WO y fecha de corrida.</t>
        </is>
      </c>
      <c r="U288" s="33" t="inlineStr">
        <is>
          <t>Documento oficial firmado, autorizacion FJZ, revision/WO de alcance, confirmacion BOM y evidencia de implementacion si aplica.</t>
        </is>
      </c>
      <c r="V288" s="43" t="n"/>
      <c r="W288" s="43" t="n"/>
      <c r="X288" s="43" t="inlineStr">
        <is>
          <t>INFO</t>
        </is>
      </c>
      <c r="Y288" s="43" t="n"/>
      <c r="Z288" s="43" t="inlineStr">
        <is>
          <t>Pending Review</t>
        </is>
      </c>
      <c r="AA288" s="43" t="inlineStr">
        <is>
          <t>N</t>
        </is>
      </c>
      <c r="AB288" s="43" t="n"/>
      <c r="AC288" s="33" t="inlineStr">
        <is>
          <t xml:space="preserve">FUENTE: Deviation.csv filas 1207; Item Number original=73-17498-04 (prefijo 73- es CANDIDATO de PCBA, no confirmacion en Common DB); Workflow de origen=Expired; FJZ no validado, revision PCBA/WO no informadas. </t>
        </is>
      </c>
    </row>
    <row r="289">
      <c r="A289" s="43" t="inlineStr">
        <is>
          <t>DA-CTANJZ05252-STBU-73-17499-07</t>
        </is>
      </c>
      <c r="B289" s="43" t="n"/>
      <c r="C289" s="43" t="n"/>
      <c r="D289" s="43" t="inlineStr">
        <is>
          <t>73-17499-07</t>
        </is>
      </c>
      <c r="E289" s="43" t="inlineStr">
        <is>
          <t>DEV-CTANJZ05252</t>
        </is>
      </c>
      <c r="F289" s="43" t="n"/>
      <c r="G289" s="43" t="inlineStr">
        <is>
          <t>STBU</t>
        </is>
      </c>
      <c r="H289" s="43" t="n"/>
      <c r="I289" s="43" t="n"/>
      <c r="J289" s="43" t="n"/>
      <c r="K289" s="43" t="n"/>
      <c r="L289" s="43" t="n"/>
      <c r="M289" s="43" t="n"/>
      <c r="N289" s="43" t="n"/>
      <c r="O289" s="43" t="n"/>
      <c r="P289" s="43" t="n"/>
      <c r="Q289" s="43" t="inlineStr">
        <is>
          <t>BOARD</t>
        </is>
      </c>
      <c r="R289" s="33" t="inlineStr">
        <is>
          <t>REVISAR D611133: verificar accion documentada, PN/revision y vigencia para la corrida. No autoriza sustitucion ni uso de material.</t>
        </is>
      </c>
      <c r="S289" s="43" t="inlineStr">
        <is>
          <t>INFO</t>
        </is>
      </c>
      <c r="T289" s="33" t="inlineStr">
        <is>
          <t>Validar desviacion aprobada y estado; contrastar PN exacto y revision con Common DB, BOM/AVL, WO y fecha de corrida.</t>
        </is>
      </c>
      <c r="U289" s="33" t="inlineStr">
        <is>
          <t>Documento oficial firmado, autorizacion FJZ, revision/WO de alcance, confirmacion BOM y evidencia de implementacion si aplica.</t>
        </is>
      </c>
      <c r="V289" s="43" t="n"/>
      <c r="W289" s="43" t="n"/>
      <c r="X289" s="43" t="inlineStr">
        <is>
          <t>INFO</t>
        </is>
      </c>
      <c r="Y289" s="43" t="n"/>
      <c r="Z289" s="43" t="inlineStr">
        <is>
          <t>Pending Review</t>
        </is>
      </c>
      <c r="AA289" s="43" t="inlineStr">
        <is>
          <t>N</t>
        </is>
      </c>
      <c r="AB289" s="43" t="n"/>
      <c r="AC289" s="33" t="inlineStr">
        <is>
          <t xml:space="preserve">FUENTE: Deviation.csv filas 1227; Item Number original=73-17499-07 (prefijo 73- es CANDIDATO de PCBA, no confirmacion en Common DB); Workflow de origen=Expired; FJZ no validado, revision PCBA/WO no informadas. </t>
        </is>
      </c>
    </row>
    <row r="290">
      <c r="A290" s="43" t="inlineStr">
        <is>
          <t>DA-CTANJZ05252-STBU-73-17530-02</t>
        </is>
      </c>
      <c r="B290" s="43" t="n"/>
      <c r="C290" s="43" t="n"/>
      <c r="D290" s="43" t="inlineStr">
        <is>
          <t>73-17530-02</t>
        </is>
      </c>
      <c r="E290" s="43" t="inlineStr">
        <is>
          <t>DEV-CTANJZ05252</t>
        </is>
      </c>
      <c r="F290" s="43" t="n"/>
      <c r="G290" s="43" t="inlineStr">
        <is>
          <t>STBU</t>
        </is>
      </c>
      <c r="H290" s="43" t="n"/>
      <c r="I290" s="43" t="n"/>
      <c r="J290" s="43" t="n"/>
      <c r="K290" s="43" t="n"/>
      <c r="L290" s="43" t="n"/>
      <c r="M290" s="43" t="n"/>
      <c r="N290" s="43" t="n"/>
      <c r="O290" s="43" t="n"/>
      <c r="P290" s="43" t="n"/>
      <c r="Q290" s="43" t="inlineStr">
        <is>
          <t>BOARD</t>
        </is>
      </c>
      <c r="R290" s="33" t="inlineStr">
        <is>
          <t>REVISAR D611133: verificar accion documentada, PN/revision y vigencia para la corrida. No autoriza sustitucion ni uso de material.</t>
        </is>
      </c>
      <c r="S290" s="43" t="inlineStr">
        <is>
          <t>INFO</t>
        </is>
      </c>
      <c r="T290" s="33" t="inlineStr">
        <is>
          <t>Validar desviacion aprobada y estado; contrastar PN exacto y revision con Common DB, BOM/AVL, WO y fecha de corrida.</t>
        </is>
      </c>
      <c r="U290" s="33" t="inlineStr">
        <is>
          <t>Documento oficial firmado, autorizacion FJZ, revision/WO de alcance, confirmacion BOM y evidencia de implementacion si aplica.</t>
        </is>
      </c>
      <c r="V290" s="43" t="n"/>
      <c r="W290" s="43" t="n"/>
      <c r="X290" s="43" t="inlineStr">
        <is>
          <t>INFO</t>
        </is>
      </c>
      <c r="Y290" s="43" t="n"/>
      <c r="Z290" s="43" t="inlineStr">
        <is>
          <t>Pending Review</t>
        </is>
      </c>
      <c r="AA290" s="43" t="inlineStr">
        <is>
          <t>N</t>
        </is>
      </c>
      <c r="AB290" s="43" t="n"/>
      <c r="AC290" s="33" t="inlineStr">
        <is>
          <t xml:space="preserve">FUENTE: Deviation.csv filas 1228; Item Number original=73-17530-02 (prefijo 73- es CANDIDATO de PCBA, no confirmacion en Common DB); Workflow de origen=Expired; FJZ no validado, revision PCBA/WO no informadas. </t>
        </is>
      </c>
    </row>
    <row r="291">
      <c r="A291" s="43" t="inlineStr">
        <is>
          <t>DA-CTANJZ05252-STBU-73-17757-01</t>
        </is>
      </c>
      <c r="B291" s="43" t="n"/>
      <c r="C291" s="43" t="n"/>
      <c r="D291" s="43" t="inlineStr">
        <is>
          <t>73-17757-01</t>
        </is>
      </c>
      <c r="E291" s="43" t="inlineStr">
        <is>
          <t>DEV-CTANJZ05252</t>
        </is>
      </c>
      <c r="F291" s="43" t="n"/>
      <c r="G291" s="43" t="inlineStr">
        <is>
          <t>STBU</t>
        </is>
      </c>
      <c r="H291" s="43" t="n"/>
      <c r="I291" s="43" t="n"/>
      <c r="J291" s="43" t="n"/>
      <c r="K291" s="43" t="n"/>
      <c r="L291" s="43" t="n"/>
      <c r="M291" s="43" t="n"/>
      <c r="N291" s="43" t="n"/>
      <c r="O291" s="43" t="n"/>
      <c r="P291" s="43" t="n"/>
      <c r="Q291" s="43" t="inlineStr">
        <is>
          <t>BOARD</t>
        </is>
      </c>
      <c r="R291" s="33" t="inlineStr">
        <is>
          <t>REVISAR D611133: verificar accion documentada, PN/revision y vigencia para la corrida. No autoriza sustitucion ni uso de material.</t>
        </is>
      </c>
      <c r="S291" s="43" t="inlineStr">
        <is>
          <t>INFO</t>
        </is>
      </c>
      <c r="T291" s="33" t="inlineStr">
        <is>
          <t>Validar desviacion aprobada y estado; contrastar PN exacto y revision con Common DB, BOM/AVL, WO y fecha de corrida.</t>
        </is>
      </c>
      <c r="U291" s="33" t="inlineStr">
        <is>
          <t>Documento oficial firmado, autorizacion FJZ, revision/WO de alcance, confirmacion BOM y evidencia de implementacion si aplica.</t>
        </is>
      </c>
      <c r="V291" s="43" t="n"/>
      <c r="W291" s="43" t="n"/>
      <c r="X291" s="43" t="inlineStr">
        <is>
          <t>INFO</t>
        </is>
      </c>
      <c r="Y291" s="43" t="n"/>
      <c r="Z291" s="43" t="inlineStr">
        <is>
          <t>Pending Review</t>
        </is>
      </c>
      <c r="AA291" s="43" t="inlineStr">
        <is>
          <t>N</t>
        </is>
      </c>
      <c r="AB291" s="43" t="n"/>
      <c r="AC291" s="33" t="inlineStr">
        <is>
          <t xml:space="preserve">FUENTE: Deviation.csv filas 1229; Item Number original=73-17757-01 (prefijo 73- es CANDIDATO de PCBA, no confirmacion en Common DB); Workflow de origen=Expired; FJZ no validado, revision PCBA/WO no informadas. </t>
        </is>
      </c>
    </row>
    <row r="292">
      <c r="A292" s="43" t="inlineStr">
        <is>
          <t>DA-CTANJZ05252-STBU-73-18488-06</t>
        </is>
      </c>
      <c r="B292" s="43" t="n"/>
      <c r="C292" s="43" t="n"/>
      <c r="D292" s="43" t="inlineStr">
        <is>
          <t>73-18488-06</t>
        </is>
      </c>
      <c r="E292" s="43" t="inlineStr">
        <is>
          <t>DEV-CTANJZ05252</t>
        </is>
      </c>
      <c r="F292" s="43" t="n"/>
      <c r="G292" s="43" t="inlineStr">
        <is>
          <t>STBU</t>
        </is>
      </c>
      <c r="H292" s="43" t="n"/>
      <c r="I292" s="43" t="n"/>
      <c r="J292" s="43" t="n"/>
      <c r="K292" s="43" t="n"/>
      <c r="L292" s="43" t="n"/>
      <c r="M292" s="43" t="n"/>
      <c r="N292" s="43" t="n"/>
      <c r="O292" s="43" t="n"/>
      <c r="P292" s="43" t="n"/>
      <c r="Q292" s="43" t="inlineStr">
        <is>
          <t>BOARD</t>
        </is>
      </c>
      <c r="R292" s="33" t="inlineStr">
        <is>
          <t>REVISAR D611133: verificar accion documentada, PN/revision y vigencia para la corrida. No autoriza sustitucion ni uso de material.</t>
        </is>
      </c>
      <c r="S292" s="43" t="inlineStr">
        <is>
          <t>INFO</t>
        </is>
      </c>
      <c r="T292" s="33" t="inlineStr">
        <is>
          <t>Validar desviacion aprobada y estado; contrastar PN exacto y revision con Common DB, BOM/AVL, WO y fecha de corrida.</t>
        </is>
      </c>
      <c r="U292" s="33" t="inlineStr">
        <is>
          <t>Documento oficial firmado, autorizacion FJZ, revision/WO de alcance, confirmacion BOM y evidencia de implementacion si aplica.</t>
        </is>
      </c>
      <c r="V292" s="43" t="n"/>
      <c r="W292" s="43" t="n"/>
      <c r="X292" s="43" t="inlineStr">
        <is>
          <t>INFO</t>
        </is>
      </c>
      <c r="Y292" s="43" t="n"/>
      <c r="Z292" s="43" t="inlineStr">
        <is>
          <t>Pending Review</t>
        </is>
      </c>
      <c r="AA292" s="43" t="inlineStr">
        <is>
          <t>N</t>
        </is>
      </c>
      <c r="AB292" s="43" t="n"/>
      <c r="AC292" s="33" t="inlineStr">
        <is>
          <t xml:space="preserve">FUENTE: Deviation.csv filas 1230; Item Number original=73-18488-06 (prefijo 73- es CANDIDATO de PCBA, no confirmacion en Common DB); Workflow de origen=Expired; FJZ no validado, revision PCBA/WO no informadas. </t>
        </is>
      </c>
    </row>
    <row r="293">
      <c r="A293" s="43" t="inlineStr">
        <is>
          <t>DA-CTANJZ05252-STBU-73-18488-07</t>
        </is>
      </c>
      <c r="B293" s="43" t="n"/>
      <c r="C293" s="43" t="n"/>
      <c r="D293" s="43" t="inlineStr">
        <is>
          <t>73-18488-07</t>
        </is>
      </c>
      <c r="E293" s="43" t="inlineStr">
        <is>
          <t>DEV-CTANJZ05252</t>
        </is>
      </c>
      <c r="F293" s="43" t="n"/>
      <c r="G293" s="43" t="inlineStr">
        <is>
          <t>STBU</t>
        </is>
      </c>
      <c r="H293" s="43" t="n"/>
      <c r="I293" s="43" t="n"/>
      <c r="J293" s="43" t="n"/>
      <c r="K293" s="43" t="n"/>
      <c r="L293" s="43" t="n"/>
      <c r="M293" s="43" t="n"/>
      <c r="N293" s="43" t="n"/>
      <c r="O293" s="43" t="n"/>
      <c r="P293" s="43" t="n"/>
      <c r="Q293" s="43" t="inlineStr">
        <is>
          <t>BOARD</t>
        </is>
      </c>
      <c r="R293" s="33" t="inlineStr">
        <is>
          <t>REVISAR D611133: verificar accion documentada, PN/revision y vigencia para la corrida. No autoriza sustitucion ni uso de material.</t>
        </is>
      </c>
      <c r="S293" s="43" t="inlineStr">
        <is>
          <t>INFO</t>
        </is>
      </c>
      <c r="T293" s="33" t="inlineStr">
        <is>
          <t>Validar desviacion aprobada y estado; contrastar PN exacto y revision con Common DB, BOM/AVL, WO y fecha de corrida.</t>
        </is>
      </c>
      <c r="U293" s="33" t="inlineStr">
        <is>
          <t>Documento oficial firmado, autorizacion FJZ, revision/WO de alcance, confirmacion BOM y evidencia de implementacion si aplica.</t>
        </is>
      </c>
      <c r="V293" s="43" t="n"/>
      <c r="W293" s="43" t="n"/>
      <c r="X293" s="43" t="inlineStr">
        <is>
          <t>INFO</t>
        </is>
      </c>
      <c r="Y293" s="43" t="n"/>
      <c r="Z293" s="43" t="inlineStr">
        <is>
          <t>Pending Review</t>
        </is>
      </c>
      <c r="AA293" s="43" t="inlineStr">
        <is>
          <t>N</t>
        </is>
      </c>
      <c r="AB293" s="43" t="n"/>
      <c r="AC293" s="33" t="inlineStr">
        <is>
          <t xml:space="preserve">FUENTE: Deviation.csv filas 1231; Item Number original=73-18488-07 (prefijo 73- es CANDIDATO de PCBA, no confirmacion en Common DB); Workflow de origen=Expired; FJZ no validado, revision PCBA/WO no informadas. </t>
        </is>
      </c>
    </row>
    <row r="294">
      <c r="A294" s="43" t="inlineStr">
        <is>
          <t>DA-CTANJZ05252-STBU-73-18489-06</t>
        </is>
      </c>
      <c r="B294" s="43" t="n"/>
      <c r="C294" s="43" t="n"/>
      <c r="D294" s="43" t="inlineStr">
        <is>
          <t>73-18489-06</t>
        </is>
      </c>
      <c r="E294" s="43" t="inlineStr">
        <is>
          <t>DEV-CTANJZ05252</t>
        </is>
      </c>
      <c r="F294" s="43" t="n"/>
      <c r="G294" s="43" t="inlineStr">
        <is>
          <t>STBU</t>
        </is>
      </c>
      <c r="H294" s="43" t="n"/>
      <c r="I294" s="43" t="n"/>
      <c r="J294" s="43" t="n"/>
      <c r="K294" s="43" t="n"/>
      <c r="L294" s="43" t="n"/>
      <c r="M294" s="43" t="n"/>
      <c r="N294" s="43" t="n"/>
      <c r="O294" s="43" t="n"/>
      <c r="P294" s="43" t="n"/>
      <c r="Q294" s="43" t="inlineStr">
        <is>
          <t>BOARD</t>
        </is>
      </c>
      <c r="R294" s="33" t="inlineStr">
        <is>
          <t>REVISAR D611133: verificar accion documentada, PN/revision y vigencia para la corrida. No autoriza sustitucion ni uso de material.</t>
        </is>
      </c>
      <c r="S294" s="43" t="inlineStr">
        <is>
          <t>INFO</t>
        </is>
      </c>
      <c r="T294" s="33" t="inlineStr">
        <is>
          <t>Validar desviacion aprobada y estado; contrastar PN exacto y revision con Common DB, BOM/AVL, WO y fecha de corrida.</t>
        </is>
      </c>
      <c r="U294" s="33" t="inlineStr">
        <is>
          <t>Documento oficial firmado, autorizacion FJZ, revision/WO de alcance, confirmacion BOM y evidencia de implementacion si aplica.</t>
        </is>
      </c>
      <c r="V294" s="43" t="n"/>
      <c r="W294" s="43" t="n"/>
      <c r="X294" s="43" t="inlineStr">
        <is>
          <t>INFO</t>
        </is>
      </c>
      <c r="Y294" s="43" t="n"/>
      <c r="Z294" s="43" t="inlineStr">
        <is>
          <t>Pending Review</t>
        </is>
      </c>
      <c r="AA294" s="43" t="inlineStr">
        <is>
          <t>N</t>
        </is>
      </c>
      <c r="AB294" s="43" t="n"/>
      <c r="AC294" s="33" t="inlineStr">
        <is>
          <t xml:space="preserve">FUENTE: Deviation.csv filas 1232; Item Number original=73-18489-06 (prefijo 73- es CANDIDATO de PCBA, no confirmacion en Common DB); Workflow de origen=Expired; FJZ no validado, revision PCBA/WO no informadas. </t>
        </is>
      </c>
    </row>
    <row r="295">
      <c r="A295" s="43" t="inlineStr">
        <is>
          <t>DA-CTANJZ05252-STBU-73-18489-07</t>
        </is>
      </c>
      <c r="B295" s="43" t="n"/>
      <c r="C295" s="43" t="n"/>
      <c r="D295" s="43" t="inlineStr">
        <is>
          <t>73-18489-07</t>
        </is>
      </c>
      <c r="E295" s="43" t="inlineStr">
        <is>
          <t>DEV-CTANJZ05252</t>
        </is>
      </c>
      <c r="F295" s="43" t="n"/>
      <c r="G295" s="43" t="inlineStr">
        <is>
          <t>STBU</t>
        </is>
      </c>
      <c r="H295" s="43" t="n"/>
      <c r="I295" s="43" t="n"/>
      <c r="J295" s="43" t="n"/>
      <c r="K295" s="43" t="n"/>
      <c r="L295" s="43" t="n"/>
      <c r="M295" s="43" t="n"/>
      <c r="N295" s="43" t="n"/>
      <c r="O295" s="43" t="n"/>
      <c r="P295" s="43" t="n"/>
      <c r="Q295" s="43" t="inlineStr">
        <is>
          <t>BOARD</t>
        </is>
      </c>
      <c r="R295" s="33" t="inlineStr">
        <is>
          <t>REVISAR D611133: verificar accion documentada, PN/revision y vigencia para la corrida. No autoriza sustitucion ni uso de material.</t>
        </is>
      </c>
      <c r="S295" s="43" t="inlineStr">
        <is>
          <t>INFO</t>
        </is>
      </c>
      <c r="T295" s="33" t="inlineStr">
        <is>
          <t>Validar desviacion aprobada y estado; contrastar PN exacto y revision con Common DB, BOM/AVL, WO y fecha de corrida.</t>
        </is>
      </c>
      <c r="U295" s="33" t="inlineStr">
        <is>
          <t>Documento oficial firmado, autorizacion FJZ, revision/WO de alcance, confirmacion BOM y evidencia de implementacion si aplica.</t>
        </is>
      </c>
      <c r="V295" s="43" t="n"/>
      <c r="W295" s="43" t="n"/>
      <c r="X295" s="43" t="inlineStr">
        <is>
          <t>INFO</t>
        </is>
      </c>
      <c r="Y295" s="43" t="n"/>
      <c r="Z295" s="43" t="inlineStr">
        <is>
          <t>Pending Review</t>
        </is>
      </c>
      <c r="AA295" s="43" t="inlineStr">
        <is>
          <t>N</t>
        </is>
      </c>
      <c r="AB295" s="43" t="n"/>
      <c r="AC295" s="33" t="inlineStr">
        <is>
          <t xml:space="preserve">FUENTE: Deviation.csv filas 1233; Item Number original=73-18489-07 (prefijo 73- es CANDIDATO de PCBA, no confirmacion en Common DB); Workflow de origen=Expired; FJZ no validado, revision PCBA/WO no informadas. </t>
        </is>
      </c>
    </row>
    <row r="296">
      <c r="A296" s="43" t="inlineStr">
        <is>
          <t>DA-CTANJZ05252-STBU-73-18490-08</t>
        </is>
      </c>
      <c r="B296" s="43" t="n"/>
      <c r="C296" s="43" t="n"/>
      <c r="D296" s="43" t="inlineStr">
        <is>
          <t>73-18490-08</t>
        </is>
      </c>
      <c r="E296" s="43" t="inlineStr">
        <is>
          <t>DEV-CTANJZ05252</t>
        </is>
      </c>
      <c r="F296" s="43" t="n"/>
      <c r="G296" s="43" t="inlineStr">
        <is>
          <t>STBU</t>
        </is>
      </c>
      <c r="H296" s="43" t="n"/>
      <c r="I296" s="43" t="n"/>
      <c r="J296" s="43" t="n"/>
      <c r="K296" s="43" t="n"/>
      <c r="L296" s="43" t="n"/>
      <c r="M296" s="43" t="n"/>
      <c r="N296" s="43" t="n"/>
      <c r="O296" s="43" t="n"/>
      <c r="P296" s="43" t="n"/>
      <c r="Q296" s="43" t="inlineStr">
        <is>
          <t>BOARD</t>
        </is>
      </c>
      <c r="R296" s="33" t="inlineStr">
        <is>
          <t>REVISAR D611133: verificar accion documentada, PN/revision y vigencia para la corrida. No autoriza sustitucion ni uso de material.</t>
        </is>
      </c>
      <c r="S296" s="43" t="inlineStr">
        <is>
          <t>INFO</t>
        </is>
      </c>
      <c r="T296" s="33" t="inlineStr">
        <is>
          <t>Validar desviacion aprobada y estado; contrastar PN exacto y revision con Common DB, BOM/AVL, WO y fecha de corrida.</t>
        </is>
      </c>
      <c r="U296" s="33" t="inlineStr">
        <is>
          <t>Documento oficial firmado, autorizacion FJZ, revision/WO de alcance, confirmacion BOM y evidencia de implementacion si aplica.</t>
        </is>
      </c>
      <c r="V296" s="43" t="n"/>
      <c r="W296" s="43" t="n"/>
      <c r="X296" s="43" t="inlineStr">
        <is>
          <t>INFO</t>
        </is>
      </c>
      <c r="Y296" s="43" t="n"/>
      <c r="Z296" s="43" t="inlineStr">
        <is>
          <t>Pending Review</t>
        </is>
      </c>
      <c r="AA296" s="43" t="inlineStr">
        <is>
          <t>N</t>
        </is>
      </c>
      <c r="AB296" s="43" t="n"/>
      <c r="AC296" s="33" t="inlineStr">
        <is>
          <t xml:space="preserve">FUENTE: Deviation.csv filas 1234; Item Number original=73-18490-08 (prefijo 73- es CANDIDATO de PCBA, no confirmacion en Common DB); Workflow de origen=Expired; FJZ no validado, revision PCBA/WO no informadas. </t>
        </is>
      </c>
    </row>
    <row r="297">
      <c r="A297" s="43" t="inlineStr">
        <is>
          <t>DA-CTANJZ05252-STBU-73-18490-09</t>
        </is>
      </c>
      <c r="B297" s="43" t="n"/>
      <c r="C297" s="43" t="n"/>
      <c r="D297" s="43" t="inlineStr">
        <is>
          <t>73-18490-09</t>
        </is>
      </c>
      <c r="E297" s="43" t="inlineStr">
        <is>
          <t>DEV-CTANJZ05252</t>
        </is>
      </c>
      <c r="F297" s="43" t="n"/>
      <c r="G297" s="43" t="inlineStr">
        <is>
          <t>STBU</t>
        </is>
      </c>
      <c r="H297" s="43" t="n"/>
      <c r="I297" s="43" t="n"/>
      <c r="J297" s="43" t="n"/>
      <c r="K297" s="43" t="n"/>
      <c r="L297" s="43" t="n"/>
      <c r="M297" s="43" t="n"/>
      <c r="N297" s="43" t="n"/>
      <c r="O297" s="43" t="n"/>
      <c r="P297" s="43" t="n"/>
      <c r="Q297" s="43" t="inlineStr">
        <is>
          <t>BOARD</t>
        </is>
      </c>
      <c r="R297" s="33" t="inlineStr">
        <is>
          <t>REVISAR D611133: verificar accion documentada, PN/revision y vigencia para la corrida. No autoriza sustitucion ni uso de material.</t>
        </is>
      </c>
      <c r="S297" s="43" t="inlineStr">
        <is>
          <t>INFO</t>
        </is>
      </c>
      <c r="T297" s="33" t="inlineStr">
        <is>
          <t>Validar desviacion aprobada y estado; contrastar PN exacto y revision con Common DB, BOM/AVL, WO y fecha de corrida.</t>
        </is>
      </c>
      <c r="U297" s="33" t="inlineStr">
        <is>
          <t>Documento oficial firmado, autorizacion FJZ, revision/WO de alcance, confirmacion BOM y evidencia de implementacion si aplica.</t>
        </is>
      </c>
      <c r="V297" s="43" t="n"/>
      <c r="W297" s="43" t="n"/>
      <c r="X297" s="43" t="inlineStr">
        <is>
          <t>INFO</t>
        </is>
      </c>
      <c r="Y297" s="43" t="n"/>
      <c r="Z297" s="43" t="inlineStr">
        <is>
          <t>Pending Review</t>
        </is>
      </c>
      <c r="AA297" s="43" t="inlineStr">
        <is>
          <t>N</t>
        </is>
      </c>
      <c r="AB297" s="43" t="n"/>
      <c r="AC297" s="33" t="inlineStr">
        <is>
          <t xml:space="preserve">FUENTE: Deviation.csv filas 1235; Item Number original=73-18490-09 (prefijo 73- es CANDIDATO de PCBA, no confirmacion en Common DB); Workflow de origen=Expired; FJZ no validado, revision PCBA/WO no informadas. </t>
        </is>
      </c>
    </row>
    <row r="298">
      <c r="A298" s="43" t="inlineStr">
        <is>
          <t>DA-CTANJZ05252-STBU-73-18626-04</t>
        </is>
      </c>
      <c r="B298" s="43" t="n"/>
      <c r="C298" s="43" t="n"/>
      <c r="D298" s="43" t="inlineStr">
        <is>
          <t>73-18626-04</t>
        </is>
      </c>
      <c r="E298" s="43" t="inlineStr">
        <is>
          <t>DEV-CTANJZ05252</t>
        </is>
      </c>
      <c r="F298" s="43" t="n"/>
      <c r="G298" s="43" t="inlineStr">
        <is>
          <t>STBU</t>
        </is>
      </c>
      <c r="H298" s="43" t="n"/>
      <c r="I298" s="43" t="n"/>
      <c r="J298" s="43" t="n"/>
      <c r="K298" s="43" t="n"/>
      <c r="L298" s="43" t="n"/>
      <c r="M298" s="43" t="n"/>
      <c r="N298" s="43" t="n"/>
      <c r="O298" s="43" t="n"/>
      <c r="P298" s="43" t="n"/>
      <c r="Q298" s="43" t="inlineStr">
        <is>
          <t>BOARD</t>
        </is>
      </c>
      <c r="R298" s="33" t="inlineStr">
        <is>
          <t>REVISAR D611133: verificar accion documentada, PN/revision y vigencia para la corrida. No autoriza sustitucion ni uso de material.</t>
        </is>
      </c>
      <c r="S298" s="43" t="inlineStr">
        <is>
          <t>INFO</t>
        </is>
      </c>
      <c r="T298" s="33" t="inlineStr">
        <is>
          <t>Validar desviacion aprobada y estado; contrastar PN exacto y revision con Common DB, BOM/AVL, WO y fecha de corrida.</t>
        </is>
      </c>
      <c r="U298" s="33" t="inlineStr">
        <is>
          <t>Documento oficial firmado, autorizacion FJZ, revision/WO de alcance, confirmacion BOM y evidencia de implementacion si aplica.</t>
        </is>
      </c>
      <c r="V298" s="43" t="n"/>
      <c r="W298" s="43" t="n"/>
      <c r="X298" s="43" t="inlineStr">
        <is>
          <t>INFO</t>
        </is>
      </c>
      <c r="Y298" s="43" t="n"/>
      <c r="Z298" s="43" t="inlineStr">
        <is>
          <t>Pending Review</t>
        </is>
      </c>
      <c r="AA298" s="43" t="inlineStr">
        <is>
          <t>N</t>
        </is>
      </c>
      <c r="AB298" s="43" t="n"/>
      <c r="AC298" s="33" t="inlineStr">
        <is>
          <t xml:space="preserve">FUENTE: Deviation.csv filas 1236; Item Number original=73-18626-04 (prefijo 73- es CANDIDATO de PCBA, no confirmacion en Common DB); Workflow de origen=Expired; FJZ no validado, revision PCBA/WO no informadas. </t>
        </is>
      </c>
    </row>
    <row r="299">
      <c r="A299" s="43" t="inlineStr">
        <is>
          <t>DA-CTANJZ05252-STBU-73-21007-01</t>
        </is>
      </c>
      <c r="B299" s="43" t="n"/>
      <c r="C299" s="43" t="n"/>
      <c r="D299" s="43" t="inlineStr">
        <is>
          <t>73-21007-01</t>
        </is>
      </c>
      <c r="E299" s="43" t="inlineStr">
        <is>
          <t>DEV-CTANJZ05252</t>
        </is>
      </c>
      <c r="F299" s="43" t="n"/>
      <c r="G299" s="43" t="inlineStr">
        <is>
          <t>STBU</t>
        </is>
      </c>
      <c r="H299" s="43" t="n"/>
      <c r="I299" s="43" t="n"/>
      <c r="J299" s="43" t="n"/>
      <c r="K299" s="43" t="n"/>
      <c r="L299" s="43" t="n"/>
      <c r="M299" s="43" t="n"/>
      <c r="N299" s="43" t="n"/>
      <c r="O299" s="43" t="n"/>
      <c r="P299" s="43" t="n"/>
      <c r="Q299" s="43" t="inlineStr">
        <is>
          <t>BOARD</t>
        </is>
      </c>
      <c r="R299" s="33" t="inlineStr">
        <is>
          <t>REVISAR D611133: verificar accion documentada, PN/revision y vigencia para la corrida. No autoriza sustitucion ni uso de material.</t>
        </is>
      </c>
      <c r="S299" s="43" t="inlineStr">
        <is>
          <t>INFO</t>
        </is>
      </c>
      <c r="T299" s="33" t="inlineStr">
        <is>
          <t>Validar desviacion aprobada y estado; contrastar PN exacto y revision con Common DB, BOM/AVL, WO y fecha de corrida.</t>
        </is>
      </c>
      <c r="U299" s="33" t="inlineStr">
        <is>
          <t>Documento oficial firmado, autorizacion FJZ, revision/WO de alcance, confirmacion BOM y evidencia de implementacion si aplica.</t>
        </is>
      </c>
      <c r="V299" s="43" t="n"/>
      <c r="W299" s="43" t="n"/>
      <c r="X299" s="43" t="inlineStr">
        <is>
          <t>INFO</t>
        </is>
      </c>
      <c r="Y299" s="43" t="n"/>
      <c r="Z299" s="43" t="inlineStr">
        <is>
          <t>Pending Review</t>
        </is>
      </c>
      <c r="AA299" s="43" t="inlineStr">
        <is>
          <t>N</t>
        </is>
      </c>
      <c r="AB299" s="43" t="n"/>
      <c r="AC299" s="33" t="inlineStr">
        <is>
          <t xml:space="preserve">FUENTE: Deviation.csv filas 1237; Item Number original=73-21007-01 (prefijo 73- es CANDIDATO de PCBA, no confirmacion en Common DB); Workflow de origen=Expired; FJZ no validado, revision PCBA/WO no informadas. </t>
        </is>
      </c>
    </row>
    <row r="300">
      <c r="A300" s="43" t="inlineStr">
        <is>
          <t>DA-CTANJZ05252-STBU-73-21007-02</t>
        </is>
      </c>
      <c r="B300" s="43" t="n"/>
      <c r="C300" s="43" t="n"/>
      <c r="D300" s="43" t="inlineStr">
        <is>
          <t>73-21007-02</t>
        </is>
      </c>
      <c r="E300" s="43" t="inlineStr">
        <is>
          <t>DEV-CTANJZ05252</t>
        </is>
      </c>
      <c r="F300" s="43" t="n"/>
      <c r="G300" s="43" t="inlineStr">
        <is>
          <t>STBU</t>
        </is>
      </c>
      <c r="H300" s="43" t="n"/>
      <c r="I300" s="43" t="n"/>
      <c r="J300" s="43" t="n"/>
      <c r="K300" s="43" t="n"/>
      <c r="L300" s="43" t="n"/>
      <c r="M300" s="43" t="n"/>
      <c r="N300" s="43" t="n"/>
      <c r="O300" s="43" t="n"/>
      <c r="P300" s="43" t="n"/>
      <c r="Q300" s="43" t="inlineStr">
        <is>
          <t>BOARD</t>
        </is>
      </c>
      <c r="R300" s="33" t="inlineStr">
        <is>
          <t>REVISAR D611133: verificar accion documentada, PN/revision y vigencia para la corrida. No autoriza sustitucion ni uso de material.</t>
        </is>
      </c>
      <c r="S300" s="43" t="inlineStr">
        <is>
          <t>INFO</t>
        </is>
      </c>
      <c r="T300" s="33" t="inlineStr">
        <is>
          <t>Validar desviacion aprobada y estado; contrastar PN exacto y revision con Common DB, BOM/AVL, WO y fecha de corrida.</t>
        </is>
      </c>
      <c r="U300" s="33" t="inlineStr">
        <is>
          <t>Documento oficial firmado, autorizacion FJZ, revision/WO de alcance, confirmacion BOM y evidencia de implementacion si aplica.</t>
        </is>
      </c>
      <c r="V300" s="43" t="n"/>
      <c r="W300" s="43" t="n"/>
      <c r="X300" s="43" t="inlineStr">
        <is>
          <t>INFO</t>
        </is>
      </c>
      <c r="Y300" s="43" t="n"/>
      <c r="Z300" s="43" t="inlineStr">
        <is>
          <t>Pending Review</t>
        </is>
      </c>
      <c r="AA300" s="43" t="inlineStr">
        <is>
          <t>N</t>
        </is>
      </c>
      <c r="AB300" s="43" t="n"/>
      <c r="AC300" s="33" t="inlineStr">
        <is>
          <t xml:space="preserve">FUENTE: Deviation.csv filas 1238; Item Number original=73-21007-02 (prefijo 73- es CANDIDATO de PCBA, no confirmacion en Common DB); Workflow de origen=Expired; FJZ no validado, revision PCBA/WO no informadas. </t>
        </is>
      </c>
    </row>
    <row r="301">
      <c r="A301" s="43" t="inlineStr">
        <is>
          <t>DA-CTANJZ05254-STBU-73-103558-04</t>
        </is>
      </c>
      <c r="B301" s="43" t="n"/>
      <c r="C301" s="43" t="n"/>
      <c r="D301" s="43" t="inlineStr">
        <is>
          <t>73-103558-04</t>
        </is>
      </c>
      <c r="E301" s="43" t="inlineStr">
        <is>
          <t>DEV-CTANJZ05254</t>
        </is>
      </c>
      <c r="F301" s="43" t="n"/>
      <c r="G301" s="43" t="inlineStr">
        <is>
          <t>STBU</t>
        </is>
      </c>
      <c r="H301" s="43" t="n"/>
      <c r="I301" s="43" t="n"/>
      <c r="J301" s="43" t="n"/>
      <c r="K301" s="43" t="n"/>
      <c r="L301" s="43" t="n"/>
      <c r="M301" s="43" t="n"/>
      <c r="N301" s="43" t="n"/>
      <c r="O301" s="43" t="n"/>
      <c r="P301" s="43" t="n"/>
      <c r="Q301" s="43" t="inlineStr">
        <is>
          <t>BOARD</t>
        </is>
      </c>
      <c r="R301" s="33" t="inlineStr">
        <is>
          <t>REVISAR D611204: verificar accion documentada, PN/revision y vigencia para la corrida. No autoriza sustitucion ni uso de material.</t>
        </is>
      </c>
      <c r="S301" s="43" t="inlineStr">
        <is>
          <t>INFO</t>
        </is>
      </c>
      <c r="T301" s="33" t="inlineStr">
        <is>
          <t>Validar desviacion aprobada y estado; contrastar PN exacto y revision con Common DB, BOM/AVL, WO y fecha de corrida.</t>
        </is>
      </c>
      <c r="U301" s="33" t="inlineStr">
        <is>
          <t>Documento oficial firmado, autorizacion FJZ, revision/WO de alcance, confirmacion BOM y evidencia de implementacion si aplica.</t>
        </is>
      </c>
      <c r="V301" s="43" t="n"/>
      <c r="W301" s="43" t="n"/>
      <c r="X301" s="43" t="inlineStr">
        <is>
          <t>INFO</t>
        </is>
      </c>
      <c r="Y301" s="43" t="n"/>
      <c r="Z301" s="43" t="inlineStr">
        <is>
          <t>Pending Review</t>
        </is>
      </c>
      <c r="AA301" s="43" t="inlineStr">
        <is>
          <t>N</t>
        </is>
      </c>
      <c r="AB301" s="43" t="n"/>
      <c r="AC301" s="33" t="inlineStr">
        <is>
          <t xml:space="preserve">FUENTE: Deviation.csv filas 1618; Item Number original=73-103558-04 (prefijo 73- es CANDIDATO de PCBA, no confirmacion en Common DB); Workflow de origen=Expired; FJZ no validado, revision PCBA/WO no informadas. </t>
        </is>
      </c>
    </row>
    <row r="302">
      <c r="A302" s="43" t="inlineStr">
        <is>
          <t>DA-CTANJZ05254-STBU-73-103559-04</t>
        </is>
      </c>
      <c r="B302" s="43" t="n"/>
      <c r="C302" s="43" t="n"/>
      <c r="D302" s="43" t="inlineStr">
        <is>
          <t>73-103559-04</t>
        </is>
      </c>
      <c r="E302" s="43" t="inlineStr">
        <is>
          <t>DEV-CTANJZ05254</t>
        </is>
      </c>
      <c r="F302" s="43" t="n"/>
      <c r="G302" s="43" t="inlineStr">
        <is>
          <t>STBU</t>
        </is>
      </c>
      <c r="H302" s="43" t="n"/>
      <c r="I302" s="43" t="n"/>
      <c r="J302" s="43" t="n"/>
      <c r="K302" s="43" t="n"/>
      <c r="L302" s="43" t="n"/>
      <c r="M302" s="43" t="n"/>
      <c r="N302" s="43" t="n"/>
      <c r="O302" s="43" t="n"/>
      <c r="P302" s="43" t="n"/>
      <c r="Q302" s="43" t="inlineStr">
        <is>
          <t>BOARD</t>
        </is>
      </c>
      <c r="R302" s="33" t="inlineStr">
        <is>
          <t>REVISAR D611204: verificar accion documentada, PN/revision y vigencia para la corrida. No autoriza sustitucion ni uso de material.</t>
        </is>
      </c>
      <c r="S302" s="43" t="inlineStr">
        <is>
          <t>INFO</t>
        </is>
      </c>
      <c r="T302" s="33" t="inlineStr">
        <is>
          <t>Validar desviacion aprobada y estado; contrastar PN exacto y revision con Common DB, BOM/AVL, WO y fecha de corrida.</t>
        </is>
      </c>
      <c r="U302" s="33" t="inlineStr">
        <is>
          <t>Documento oficial firmado, autorizacion FJZ, revision/WO de alcance, confirmacion BOM y evidencia de implementacion si aplica.</t>
        </is>
      </c>
      <c r="V302" s="43" t="n"/>
      <c r="W302" s="43" t="n"/>
      <c r="X302" s="43" t="inlineStr">
        <is>
          <t>INFO</t>
        </is>
      </c>
      <c r="Y302" s="43" t="n"/>
      <c r="Z302" s="43" t="inlineStr">
        <is>
          <t>Pending Review</t>
        </is>
      </c>
      <c r="AA302" s="43" t="inlineStr">
        <is>
          <t>N</t>
        </is>
      </c>
      <c r="AB302" s="43" t="n"/>
      <c r="AC302" s="33" t="inlineStr">
        <is>
          <t xml:space="preserve">FUENTE: Deviation.csv filas 1619; Item Number original=73-103559-04 (prefijo 73- es CANDIDATO de PCBA, no confirmacion en Common DB); Workflow de origen=Expired; FJZ no validado, revision PCBA/WO no informadas. </t>
        </is>
      </c>
    </row>
    <row r="303">
      <c r="A303" s="43" t="inlineStr">
        <is>
          <t>DA-CTANJZ05254-STBU-73-103563-02</t>
        </is>
      </c>
      <c r="B303" s="43" t="n"/>
      <c r="C303" s="43" t="n"/>
      <c r="D303" s="43" t="inlineStr">
        <is>
          <t>73-103563-02</t>
        </is>
      </c>
      <c r="E303" s="43" t="inlineStr">
        <is>
          <t>DEV-CTANJZ05254</t>
        </is>
      </c>
      <c r="F303" s="43" t="n"/>
      <c r="G303" s="43" t="inlineStr">
        <is>
          <t>STBU</t>
        </is>
      </c>
      <c r="H303" s="43" t="n"/>
      <c r="I303" s="43" t="n"/>
      <c r="J303" s="43" t="n"/>
      <c r="K303" s="43" t="n"/>
      <c r="L303" s="43" t="n"/>
      <c r="M303" s="43" t="n"/>
      <c r="N303" s="43" t="n"/>
      <c r="O303" s="43" t="n"/>
      <c r="P303" s="43" t="n"/>
      <c r="Q303" s="43" t="inlineStr">
        <is>
          <t>BOARD</t>
        </is>
      </c>
      <c r="R303" s="33" t="inlineStr">
        <is>
          <t>REVISAR D611204: verificar accion documentada, PN/revision y vigencia para la corrida. No autoriza sustitucion ni uso de material.</t>
        </is>
      </c>
      <c r="S303" s="43" t="inlineStr">
        <is>
          <t>INFO</t>
        </is>
      </c>
      <c r="T303" s="33" t="inlineStr">
        <is>
          <t>Validar desviacion aprobada y estado; contrastar PN exacto y revision con Common DB, BOM/AVL, WO y fecha de corrida.</t>
        </is>
      </c>
      <c r="U303" s="33" t="inlineStr">
        <is>
          <t>Documento oficial firmado, autorizacion FJZ, revision/WO de alcance, confirmacion BOM y evidencia de implementacion si aplica.</t>
        </is>
      </c>
      <c r="V303" s="43" t="n"/>
      <c r="W303" s="43" t="n"/>
      <c r="X303" s="43" t="inlineStr">
        <is>
          <t>INFO</t>
        </is>
      </c>
      <c r="Y303" s="43" t="n"/>
      <c r="Z303" s="43" t="inlineStr">
        <is>
          <t>Pending Review</t>
        </is>
      </c>
      <c r="AA303" s="43" t="inlineStr">
        <is>
          <t>N</t>
        </is>
      </c>
      <c r="AB303" s="43" t="n"/>
      <c r="AC303" s="33" t="inlineStr">
        <is>
          <t xml:space="preserve">FUENTE: Deviation.csv filas 1620; Item Number original=73-103563-02 (prefijo 73- es CANDIDATO de PCBA, no confirmacion en Common DB); Workflow de origen=Expired; FJZ no validado, revision PCBA/WO no informadas. </t>
        </is>
      </c>
    </row>
    <row r="304">
      <c r="A304" s="43" t="inlineStr">
        <is>
          <t>DA-CTANJZ05254-STBU-73-103622-02</t>
        </is>
      </c>
      <c r="B304" s="43" t="n"/>
      <c r="C304" s="43" t="n"/>
      <c r="D304" s="43" t="inlineStr">
        <is>
          <t>73-103622-02</t>
        </is>
      </c>
      <c r="E304" s="43" t="inlineStr">
        <is>
          <t>DEV-CTANJZ05254</t>
        </is>
      </c>
      <c r="F304" s="43" t="n"/>
      <c r="G304" s="43" t="inlineStr">
        <is>
          <t>STBU</t>
        </is>
      </c>
      <c r="H304" s="43" t="n"/>
      <c r="I304" s="43" t="n"/>
      <c r="J304" s="43" t="n"/>
      <c r="K304" s="43" t="n"/>
      <c r="L304" s="43" t="n"/>
      <c r="M304" s="43" t="n"/>
      <c r="N304" s="43" t="n"/>
      <c r="O304" s="43" t="n"/>
      <c r="P304" s="43" t="n"/>
      <c r="Q304" s="43" t="inlineStr">
        <is>
          <t>BOARD</t>
        </is>
      </c>
      <c r="R304" s="33" t="inlineStr">
        <is>
          <t>REVISAR D611204: verificar accion documentada, PN/revision y vigencia para la corrida. No autoriza sustitucion ni uso de material.</t>
        </is>
      </c>
      <c r="S304" s="43" t="inlineStr">
        <is>
          <t>INFO</t>
        </is>
      </c>
      <c r="T304" s="33" t="inlineStr">
        <is>
          <t>Validar desviacion aprobada y estado; contrastar PN exacto y revision con Common DB, BOM/AVL, WO y fecha de corrida.</t>
        </is>
      </c>
      <c r="U304" s="33" t="inlineStr">
        <is>
          <t>Documento oficial firmado, autorizacion FJZ, revision/WO de alcance, confirmacion BOM y evidencia de implementacion si aplica.</t>
        </is>
      </c>
      <c r="V304" s="43" t="n"/>
      <c r="W304" s="43" t="n"/>
      <c r="X304" s="43" t="inlineStr">
        <is>
          <t>INFO</t>
        </is>
      </c>
      <c r="Y304" s="43" t="n"/>
      <c r="Z304" s="43" t="inlineStr">
        <is>
          <t>Pending Review</t>
        </is>
      </c>
      <c r="AA304" s="43" t="inlineStr">
        <is>
          <t>N</t>
        </is>
      </c>
      <c r="AB304" s="43" t="n"/>
      <c r="AC304" s="33" t="inlineStr">
        <is>
          <t xml:space="preserve">FUENTE: Deviation.csv filas 1621; Item Number original=73-103622-02 (prefijo 73- es CANDIDATO de PCBA, no confirmacion en Common DB); Workflow de origen=Expired; FJZ no validado, revision PCBA/WO no informadas. </t>
        </is>
      </c>
    </row>
    <row r="305">
      <c r="A305" s="43" t="inlineStr">
        <is>
          <t>DA-CTANJZ05254-STBU-73-103633-04</t>
        </is>
      </c>
      <c r="B305" s="43" t="n"/>
      <c r="C305" s="43" t="n"/>
      <c r="D305" s="43" t="inlineStr">
        <is>
          <t>73-103633-04</t>
        </is>
      </c>
      <c r="E305" s="43" t="inlineStr">
        <is>
          <t>DEV-CTANJZ05254</t>
        </is>
      </c>
      <c r="F305" s="43" t="n"/>
      <c r="G305" s="43" t="inlineStr">
        <is>
          <t>STBU</t>
        </is>
      </c>
      <c r="H305" s="43" t="n"/>
      <c r="I305" s="43" t="n"/>
      <c r="J305" s="43" t="n"/>
      <c r="K305" s="43" t="n"/>
      <c r="L305" s="43" t="n"/>
      <c r="M305" s="43" t="n"/>
      <c r="N305" s="43" t="n"/>
      <c r="O305" s="43" t="n"/>
      <c r="P305" s="43" t="n"/>
      <c r="Q305" s="43" t="inlineStr">
        <is>
          <t>BOARD</t>
        </is>
      </c>
      <c r="R305" s="33" t="inlineStr">
        <is>
          <t>REVISAR D611204: verificar accion documentada, PN/revision y vigencia para la corrida. No autoriza sustitucion ni uso de material.</t>
        </is>
      </c>
      <c r="S305" s="43" t="inlineStr">
        <is>
          <t>INFO</t>
        </is>
      </c>
      <c r="T305" s="33" t="inlineStr">
        <is>
          <t>Validar desviacion aprobada y estado; contrastar PN exacto y revision con Common DB, BOM/AVL, WO y fecha de corrida.</t>
        </is>
      </c>
      <c r="U305" s="33" t="inlineStr">
        <is>
          <t>Documento oficial firmado, autorizacion FJZ, revision/WO de alcance, confirmacion BOM y evidencia de implementacion si aplica.</t>
        </is>
      </c>
      <c r="V305" s="43" t="n"/>
      <c r="W305" s="43" t="n"/>
      <c r="X305" s="43" t="inlineStr">
        <is>
          <t>INFO</t>
        </is>
      </c>
      <c r="Y305" s="43" t="n"/>
      <c r="Z305" s="43" t="inlineStr">
        <is>
          <t>Pending Review</t>
        </is>
      </c>
      <c r="AA305" s="43" t="inlineStr">
        <is>
          <t>N</t>
        </is>
      </c>
      <c r="AB305" s="43" t="n"/>
      <c r="AC305" s="33" t="inlineStr">
        <is>
          <t xml:space="preserve">FUENTE: Deviation.csv filas 1622; Item Number original=73-103633-04 (prefijo 73- es CANDIDATO de PCBA, no confirmacion en Common DB); Workflow de origen=Expired; FJZ no validado, revision PCBA/WO no informadas. </t>
        </is>
      </c>
    </row>
    <row r="306">
      <c r="A306" s="43" t="inlineStr">
        <is>
          <t>DA-CTANJZ05255-STBU-73-101944-03</t>
        </is>
      </c>
      <c r="B306" s="43" t="n"/>
      <c r="C306" s="43" t="n"/>
      <c r="D306" s="43" t="inlineStr">
        <is>
          <t>73-101944-03</t>
        </is>
      </c>
      <c r="E306" s="43" t="inlineStr">
        <is>
          <t>DEV-CTANJZ05255</t>
        </is>
      </c>
      <c r="F306" s="43" t="n"/>
      <c r="G306" s="43" t="inlineStr">
        <is>
          <t>STBU</t>
        </is>
      </c>
      <c r="H306" s="43" t="n"/>
      <c r="I306" s="43" t="n"/>
      <c r="J306" s="43" t="n"/>
      <c r="K306" s="43" t="n"/>
      <c r="L306" s="43" t="n"/>
      <c r="M306" s="43" t="n"/>
      <c r="N306" s="43" t="n"/>
      <c r="O306" s="43" t="n"/>
      <c r="P306" s="43" t="n"/>
      <c r="Q306" s="43" t="inlineStr">
        <is>
          <t>BOARD</t>
        </is>
      </c>
      <c r="R306" s="33" t="inlineStr">
        <is>
          <t>REVISAR D611205: verificar accion documentada, PN/revision y vigencia para la corrida. No autoriza sustitucion ni uso de material.</t>
        </is>
      </c>
      <c r="S306" s="43" t="inlineStr">
        <is>
          <t>INFO</t>
        </is>
      </c>
      <c r="T306" s="33" t="inlineStr">
        <is>
          <t>Validar desviacion aprobada y estado; contrastar PN exacto y revision con Common DB, BOM/AVL, WO y fecha de corrida.</t>
        </is>
      </c>
      <c r="U306" s="33" t="inlineStr">
        <is>
          <t>Documento oficial firmado, autorizacion FJZ, revision/WO de alcance, confirmacion BOM y evidencia de implementacion si aplica.</t>
        </is>
      </c>
      <c r="V306" s="43" t="n"/>
      <c r="W306" s="43" t="n"/>
      <c r="X306" s="43" t="inlineStr">
        <is>
          <t>INFO</t>
        </is>
      </c>
      <c r="Y306" s="43" t="n"/>
      <c r="Z306" s="43" t="inlineStr">
        <is>
          <t>Pending Review</t>
        </is>
      </c>
      <c r="AA306" s="43" t="inlineStr">
        <is>
          <t>N</t>
        </is>
      </c>
      <c r="AB306" s="43" t="n"/>
      <c r="AC306" s="33" t="inlineStr">
        <is>
          <t xml:space="preserve">FUENTE: Deviation.csv filas 1480; Item Number original=73-101944-03 (prefijo 73- es CANDIDATO de PCBA, no confirmacion en Common DB); Workflow de origen=Expired; FJZ no validado, revision PCBA/WO no informadas. </t>
        </is>
      </c>
    </row>
    <row r="307">
      <c r="A307" s="43" t="inlineStr">
        <is>
          <t>DA-CTANJZ05255-STBU-73-101945-03</t>
        </is>
      </c>
      <c r="B307" s="43" t="n"/>
      <c r="C307" s="43" t="n"/>
      <c r="D307" s="43" t="inlineStr">
        <is>
          <t>73-101945-03</t>
        </is>
      </c>
      <c r="E307" s="43" t="inlineStr">
        <is>
          <t>DEV-CTANJZ05255</t>
        </is>
      </c>
      <c r="F307" s="43" t="n"/>
      <c r="G307" s="43" t="inlineStr">
        <is>
          <t>STBU</t>
        </is>
      </c>
      <c r="H307" s="43" t="n"/>
      <c r="I307" s="43" t="n"/>
      <c r="J307" s="43" t="n"/>
      <c r="K307" s="43" t="n"/>
      <c r="L307" s="43" t="n"/>
      <c r="M307" s="43" t="n"/>
      <c r="N307" s="43" t="n"/>
      <c r="O307" s="43" t="n"/>
      <c r="P307" s="43" t="n"/>
      <c r="Q307" s="43" t="inlineStr">
        <is>
          <t>BOARD</t>
        </is>
      </c>
      <c r="R307" s="33" t="inlineStr">
        <is>
          <t>REVISAR D611205: verificar accion documentada, PN/revision y vigencia para la corrida. No autoriza sustitucion ni uso de material.</t>
        </is>
      </c>
      <c r="S307" s="43" t="inlineStr">
        <is>
          <t>INFO</t>
        </is>
      </c>
      <c r="T307" s="33" t="inlineStr">
        <is>
          <t>Validar desviacion aprobada y estado; contrastar PN exacto y revision con Common DB, BOM/AVL, WO y fecha de corrida.</t>
        </is>
      </c>
      <c r="U307" s="33" t="inlineStr">
        <is>
          <t>Documento oficial firmado, autorizacion FJZ, revision/WO de alcance, confirmacion BOM y evidencia de implementacion si aplica.</t>
        </is>
      </c>
      <c r="V307" s="43" t="n"/>
      <c r="W307" s="43" t="n"/>
      <c r="X307" s="43" t="inlineStr">
        <is>
          <t>INFO</t>
        </is>
      </c>
      <c r="Y307" s="43" t="n"/>
      <c r="Z307" s="43" t="inlineStr">
        <is>
          <t>Pending Review</t>
        </is>
      </c>
      <c r="AA307" s="43" t="inlineStr">
        <is>
          <t>N</t>
        </is>
      </c>
      <c r="AB307" s="43" t="n"/>
      <c r="AC307" s="33" t="inlineStr">
        <is>
          <t xml:space="preserve">FUENTE: Deviation.csv filas 1481; Item Number original=73-101945-03 (prefijo 73- es CANDIDATO de PCBA, no confirmacion en Common DB); Workflow de origen=Expired; FJZ no validado, revision PCBA/WO no informadas. </t>
        </is>
      </c>
    </row>
    <row r="308">
      <c r="A308" s="43" t="inlineStr">
        <is>
          <t>DA-CTANJZ05255-STBU-73-102433-06</t>
        </is>
      </c>
      <c r="B308" s="43" t="n"/>
      <c r="C308" s="43" t="n"/>
      <c r="D308" s="43" t="inlineStr">
        <is>
          <t>73-102433-06</t>
        </is>
      </c>
      <c r="E308" s="43" t="inlineStr">
        <is>
          <t>DEV-CTANJZ05255</t>
        </is>
      </c>
      <c r="F308" s="43" t="n"/>
      <c r="G308" s="43" t="inlineStr">
        <is>
          <t>STBU</t>
        </is>
      </c>
      <c r="H308" s="43" t="n"/>
      <c r="I308" s="43" t="n"/>
      <c r="J308" s="43" t="n"/>
      <c r="K308" s="43" t="n"/>
      <c r="L308" s="43" t="n"/>
      <c r="M308" s="43" t="n"/>
      <c r="N308" s="43" t="n"/>
      <c r="O308" s="43" t="n"/>
      <c r="P308" s="43" t="n"/>
      <c r="Q308" s="43" t="inlineStr">
        <is>
          <t>BOARD</t>
        </is>
      </c>
      <c r="R308" s="33" t="inlineStr">
        <is>
          <t>REVISAR D611205: verificar accion documentada, PN/revision y vigencia para la corrida. No autoriza sustitucion ni uso de material.</t>
        </is>
      </c>
      <c r="S308" s="43" t="inlineStr">
        <is>
          <t>INFO</t>
        </is>
      </c>
      <c r="T308" s="33" t="inlineStr">
        <is>
          <t>Validar desviacion aprobada y estado; contrastar PN exacto y revision con Common DB, BOM/AVL, WO y fecha de corrida.</t>
        </is>
      </c>
      <c r="U308" s="33" t="inlineStr">
        <is>
          <t>Documento oficial firmado, autorizacion FJZ, revision/WO de alcance, confirmacion BOM y evidencia de implementacion si aplica.</t>
        </is>
      </c>
      <c r="V308" s="43" t="n"/>
      <c r="W308" s="43" t="n"/>
      <c r="X308" s="43" t="inlineStr">
        <is>
          <t>INFO</t>
        </is>
      </c>
      <c r="Y308" s="43" t="n"/>
      <c r="Z308" s="43" t="inlineStr">
        <is>
          <t>Pending Review</t>
        </is>
      </c>
      <c r="AA308" s="43" t="inlineStr">
        <is>
          <t>N</t>
        </is>
      </c>
      <c r="AB308" s="43" t="n"/>
      <c r="AC308" s="33" t="inlineStr">
        <is>
          <t xml:space="preserve">FUENTE: Deviation.csv filas 1482; Item Number original=73-102433-06 (prefijo 73- es CANDIDATO de PCBA, no confirmacion en Common DB); Workflow de origen=Expired; FJZ no validado, revision PCBA/WO no informadas. </t>
        </is>
      </c>
    </row>
    <row r="309">
      <c r="A309" s="43" t="inlineStr">
        <is>
          <t>DA-CTANJZ05255-STBU-73-102434-06</t>
        </is>
      </c>
      <c r="B309" s="43" t="n"/>
      <c r="C309" s="43" t="n"/>
      <c r="D309" s="43" t="inlineStr">
        <is>
          <t>73-102434-06</t>
        </is>
      </c>
      <c r="E309" s="43" t="inlineStr">
        <is>
          <t>DEV-CTANJZ05255</t>
        </is>
      </c>
      <c r="F309" s="43" t="n"/>
      <c r="G309" s="43" t="inlineStr">
        <is>
          <t>STBU</t>
        </is>
      </c>
      <c r="H309" s="43" t="n"/>
      <c r="I309" s="43" t="n"/>
      <c r="J309" s="43" t="n"/>
      <c r="K309" s="43" t="n"/>
      <c r="L309" s="43" t="n"/>
      <c r="M309" s="43" t="n"/>
      <c r="N309" s="43" t="n"/>
      <c r="O309" s="43" t="n"/>
      <c r="P309" s="43" t="n"/>
      <c r="Q309" s="43" t="inlineStr">
        <is>
          <t>BOARD</t>
        </is>
      </c>
      <c r="R309" s="33" t="inlineStr">
        <is>
          <t>REVISAR D611205: verificar accion documentada, PN/revision y vigencia para la corrida. No autoriza sustitucion ni uso de material.</t>
        </is>
      </c>
      <c r="S309" s="43" t="inlineStr">
        <is>
          <t>INFO</t>
        </is>
      </c>
      <c r="T309" s="33" t="inlineStr">
        <is>
          <t>Validar desviacion aprobada y estado; contrastar PN exacto y revision con Common DB, BOM/AVL, WO y fecha de corrida.</t>
        </is>
      </c>
      <c r="U309" s="33" t="inlineStr">
        <is>
          <t>Documento oficial firmado, autorizacion FJZ, revision/WO de alcance, confirmacion BOM y evidencia de implementacion si aplica.</t>
        </is>
      </c>
      <c r="V309" s="43" t="n"/>
      <c r="W309" s="43" t="n"/>
      <c r="X309" s="43" t="inlineStr">
        <is>
          <t>INFO</t>
        </is>
      </c>
      <c r="Y309" s="43" t="n"/>
      <c r="Z309" s="43" t="inlineStr">
        <is>
          <t>Pending Review</t>
        </is>
      </c>
      <c r="AA309" s="43" t="inlineStr">
        <is>
          <t>N</t>
        </is>
      </c>
      <c r="AB309" s="43" t="n"/>
      <c r="AC309" s="33" t="inlineStr">
        <is>
          <t xml:space="preserve">FUENTE: Deviation.csv filas 1483; Item Number original=73-102434-06 (prefijo 73- es CANDIDATO de PCBA, no confirmacion en Common DB); Workflow de origen=Expired; FJZ no validado, revision PCBA/WO no informadas. </t>
        </is>
      </c>
    </row>
    <row r="310">
      <c r="A310" s="43" t="inlineStr">
        <is>
          <t>DA-CTANJZ05255-STBU-73-102435-06</t>
        </is>
      </c>
      <c r="B310" s="43" t="n"/>
      <c r="C310" s="43" t="n"/>
      <c r="D310" s="43" t="inlineStr">
        <is>
          <t>73-102435-06</t>
        </is>
      </c>
      <c r="E310" s="43" t="inlineStr">
        <is>
          <t>DEV-CTANJZ05255</t>
        </is>
      </c>
      <c r="F310" s="43" t="n"/>
      <c r="G310" s="43" t="inlineStr">
        <is>
          <t>STBU</t>
        </is>
      </c>
      <c r="H310" s="43" t="n"/>
      <c r="I310" s="43" t="n"/>
      <c r="J310" s="43" t="n"/>
      <c r="K310" s="43" t="n"/>
      <c r="L310" s="43" t="n"/>
      <c r="M310" s="43" t="n"/>
      <c r="N310" s="43" t="n"/>
      <c r="O310" s="43" t="n"/>
      <c r="P310" s="43" t="n"/>
      <c r="Q310" s="43" t="inlineStr">
        <is>
          <t>BOARD</t>
        </is>
      </c>
      <c r="R310" s="33" t="inlineStr">
        <is>
          <t>REVISAR D611205: verificar accion documentada, PN/revision y vigencia para la corrida. No autoriza sustitucion ni uso de material.</t>
        </is>
      </c>
      <c r="S310" s="43" t="inlineStr">
        <is>
          <t>INFO</t>
        </is>
      </c>
      <c r="T310" s="33" t="inlineStr">
        <is>
          <t>Validar desviacion aprobada y estado; contrastar PN exacto y revision con Common DB, BOM/AVL, WO y fecha de corrida.</t>
        </is>
      </c>
      <c r="U310" s="33" t="inlineStr">
        <is>
          <t>Documento oficial firmado, autorizacion FJZ, revision/WO de alcance, confirmacion BOM y evidencia de implementacion si aplica.</t>
        </is>
      </c>
      <c r="V310" s="43" t="n"/>
      <c r="W310" s="43" t="n"/>
      <c r="X310" s="43" t="inlineStr">
        <is>
          <t>INFO</t>
        </is>
      </c>
      <c r="Y310" s="43" t="n"/>
      <c r="Z310" s="43" t="inlineStr">
        <is>
          <t>Pending Review</t>
        </is>
      </c>
      <c r="AA310" s="43" t="inlineStr">
        <is>
          <t>N</t>
        </is>
      </c>
      <c r="AB310" s="43" t="n"/>
      <c r="AC310" s="33" t="inlineStr">
        <is>
          <t xml:space="preserve">FUENTE: Deviation.csv filas 1484; Item Number original=73-102435-06 (prefijo 73- es CANDIDATO de PCBA, no confirmacion en Common DB); Workflow de origen=Expired; FJZ no validado, revision PCBA/WO no informadas. </t>
        </is>
      </c>
    </row>
    <row r="311">
      <c r="A311" s="43" t="inlineStr">
        <is>
          <t>DA-CTANJZ05255-STBU-73-103122-01</t>
        </is>
      </c>
      <c r="B311" s="43" t="n"/>
      <c r="C311" s="43" t="n"/>
      <c r="D311" s="43" t="inlineStr">
        <is>
          <t>73-103122-01</t>
        </is>
      </c>
      <c r="E311" s="43" t="inlineStr">
        <is>
          <t>DEV-CTANJZ05255</t>
        </is>
      </c>
      <c r="F311" s="43" t="n"/>
      <c r="G311" s="43" t="inlineStr">
        <is>
          <t>STBU</t>
        </is>
      </c>
      <c r="H311" s="43" t="n"/>
      <c r="I311" s="43" t="n"/>
      <c r="J311" s="43" t="n"/>
      <c r="K311" s="43" t="n"/>
      <c r="L311" s="43" t="n"/>
      <c r="M311" s="43" t="n"/>
      <c r="N311" s="43" t="n"/>
      <c r="O311" s="43" t="n"/>
      <c r="P311" s="43" t="n"/>
      <c r="Q311" s="43" t="inlineStr">
        <is>
          <t>BOARD</t>
        </is>
      </c>
      <c r="R311" s="33" t="inlineStr">
        <is>
          <t>REVISAR D611205: verificar accion documentada, PN/revision y vigencia para la corrida. No autoriza sustitucion ni uso de material.</t>
        </is>
      </c>
      <c r="S311" s="43" t="inlineStr">
        <is>
          <t>INFO</t>
        </is>
      </c>
      <c r="T311" s="33" t="inlineStr">
        <is>
          <t>Validar desviacion aprobada y estado; contrastar PN exacto y revision con Common DB, BOM/AVL, WO y fecha de corrida.</t>
        </is>
      </c>
      <c r="U311" s="33" t="inlineStr">
        <is>
          <t>Documento oficial firmado, autorizacion FJZ, revision/WO de alcance, confirmacion BOM y evidencia de implementacion si aplica.</t>
        </is>
      </c>
      <c r="V311" s="43" t="n"/>
      <c r="W311" s="43" t="n"/>
      <c r="X311" s="43" t="inlineStr">
        <is>
          <t>INFO</t>
        </is>
      </c>
      <c r="Y311" s="43" t="n"/>
      <c r="Z311" s="43" t="inlineStr">
        <is>
          <t>Pending Review</t>
        </is>
      </c>
      <c r="AA311" s="43" t="inlineStr">
        <is>
          <t>N</t>
        </is>
      </c>
      <c r="AB311" s="43" t="n"/>
      <c r="AC311" s="33" t="inlineStr">
        <is>
          <t xml:space="preserve">FUENTE: Deviation.csv filas 1485; Item Number original=73-103122-01 (prefijo 73- es CANDIDATO de PCBA, no confirmacion en Common DB); Workflow de origen=Expired; FJZ no validado, revision PCBA/WO no informadas. </t>
        </is>
      </c>
    </row>
    <row r="312">
      <c r="A312" s="43" t="inlineStr">
        <is>
          <t>DA-CTANJZ05255-STBU-73-103125-02</t>
        </is>
      </c>
      <c r="B312" s="43" t="n"/>
      <c r="C312" s="43" t="n"/>
      <c r="D312" s="43" t="inlineStr">
        <is>
          <t>73-103125-02</t>
        </is>
      </c>
      <c r="E312" s="43" t="inlineStr">
        <is>
          <t>DEV-CTANJZ05255</t>
        </is>
      </c>
      <c r="F312" s="43" t="n"/>
      <c r="G312" s="43" t="inlineStr">
        <is>
          <t>STBU</t>
        </is>
      </c>
      <c r="H312" s="43" t="n"/>
      <c r="I312" s="43" t="n"/>
      <c r="J312" s="43" t="n"/>
      <c r="K312" s="43" t="n"/>
      <c r="L312" s="43" t="n"/>
      <c r="M312" s="43" t="n"/>
      <c r="N312" s="43" t="n"/>
      <c r="O312" s="43" t="n"/>
      <c r="P312" s="43" t="n"/>
      <c r="Q312" s="43" t="inlineStr">
        <is>
          <t>BOARD</t>
        </is>
      </c>
      <c r="R312" s="33" t="inlineStr">
        <is>
          <t>REVISAR D611205: verificar accion documentada, PN/revision y vigencia para la corrida. No autoriza sustitucion ni uso de material.</t>
        </is>
      </c>
      <c r="S312" s="43" t="inlineStr">
        <is>
          <t>INFO</t>
        </is>
      </c>
      <c r="T312" s="33" t="inlineStr">
        <is>
          <t>Validar desviacion aprobada y estado; contrastar PN exacto y revision con Common DB, BOM/AVL, WO y fecha de corrida.</t>
        </is>
      </c>
      <c r="U312" s="33" t="inlineStr">
        <is>
          <t>Documento oficial firmado, autorizacion FJZ, revision/WO de alcance, confirmacion BOM y evidencia de implementacion si aplica.</t>
        </is>
      </c>
      <c r="V312" s="43" t="n"/>
      <c r="W312" s="43" t="n"/>
      <c r="X312" s="43" t="inlineStr">
        <is>
          <t>INFO</t>
        </is>
      </c>
      <c r="Y312" s="43" t="n"/>
      <c r="Z312" s="43" t="inlineStr">
        <is>
          <t>Pending Review</t>
        </is>
      </c>
      <c r="AA312" s="43" t="inlineStr">
        <is>
          <t>N</t>
        </is>
      </c>
      <c r="AB312" s="43" t="n"/>
      <c r="AC312" s="33" t="inlineStr">
        <is>
          <t xml:space="preserve">FUENTE: Deviation.csv filas 1486; Item Number original=73-103125-02 (prefijo 73- es CANDIDATO de PCBA, no confirmacion en Common DB); Workflow de origen=Expired; FJZ no validado, revision PCBA/WO no informadas. </t>
        </is>
      </c>
    </row>
    <row r="313">
      <c r="A313" s="43" t="inlineStr">
        <is>
          <t>DA-CTANJZ05258-CVEBU-73-103698-06</t>
        </is>
      </c>
      <c r="B313" s="43" t="n"/>
      <c r="C313" s="43" t="n"/>
      <c r="D313" s="43" t="inlineStr">
        <is>
          <t>73-103698-06</t>
        </is>
      </c>
      <c r="E313" s="43" t="inlineStr">
        <is>
          <t>DEV-CTANJZ05258</t>
        </is>
      </c>
      <c r="F313" s="43" t="n"/>
      <c r="G313" s="43" t="inlineStr">
        <is>
          <t>CVEBU</t>
        </is>
      </c>
      <c r="H313" s="43" t="n"/>
      <c r="I313" s="43" t="n"/>
      <c r="J313" s="43" t="n"/>
      <c r="K313" s="43" t="n"/>
      <c r="L313" s="43" t="n"/>
      <c r="M313" s="43" t="n"/>
      <c r="N313" s="43" t="n"/>
      <c r="O313" s="43" t="n"/>
      <c r="P313" s="43" t="n"/>
      <c r="Q313" s="43" t="inlineStr">
        <is>
          <t>BOARD</t>
        </is>
      </c>
      <c r="R313" s="33" t="inlineStr">
        <is>
          <t>REVISAR D611479: verificar accion documentada, PN/revision y vigencia para la corrida. No autoriza sustitucion ni uso de material.</t>
        </is>
      </c>
      <c r="S313" s="43" t="inlineStr">
        <is>
          <t>INFO</t>
        </is>
      </c>
      <c r="T313" s="33" t="inlineStr">
        <is>
          <t>Validar desviacion aprobada y estado; contrastar PN exacto y revision con Common DB, BOM/AVL, WO y fecha de corrida.</t>
        </is>
      </c>
      <c r="U313" s="33" t="inlineStr">
        <is>
          <t>Documento oficial firmado, autorizacion FJZ, revision/WO de alcance, confirmacion BOM y evidencia de implementacion si aplica.</t>
        </is>
      </c>
      <c r="V313" s="43" t="n"/>
      <c r="W313" s="43" t="n"/>
      <c r="X313" s="43" t="inlineStr">
        <is>
          <t>INFO</t>
        </is>
      </c>
      <c r="Y313" s="43" t="n"/>
      <c r="Z313" s="43" t="inlineStr">
        <is>
          <t>Pending Review</t>
        </is>
      </c>
      <c r="AA313" s="43" t="inlineStr">
        <is>
          <t>N</t>
        </is>
      </c>
      <c r="AB313" s="43" t="n"/>
      <c r="AC313" s="33" t="inlineStr">
        <is>
          <t xml:space="preserve">FUENTE: Deviation.csv filas 223; Item Number original=73-103698-06 (prefijo 73- es CANDIDATO de PCBA, no confirmacion en Common DB); Workflow de origen=Extended; FJZ no validado, revision PCBA/WO no informadas. </t>
        </is>
      </c>
    </row>
    <row r="314">
      <c r="A314" s="43" t="inlineStr">
        <is>
          <t>DA-CTANJZ05258-CVEBU-73-103758-04</t>
        </is>
      </c>
      <c r="B314" s="43" t="n"/>
      <c r="C314" s="43" t="n"/>
      <c r="D314" s="43" t="inlineStr">
        <is>
          <t>73-103758-04</t>
        </is>
      </c>
      <c r="E314" s="43" t="inlineStr">
        <is>
          <t>DEV-CTANJZ05258</t>
        </is>
      </c>
      <c r="F314" s="43" t="n"/>
      <c r="G314" s="43" t="inlineStr">
        <is>
          <t>CVEBU</t>
        </is>
      </c>
      <c r="H314" s="43" t="n"/>
      <c r="I314" s="43" t="n"/>
      <c r="J314" s="43" t="n"/>
      <c r="K314" s="43" t="n"/>
      <c r="L314" s="43" t="n"/>
      <c r="M314" s="43" t="n"/>
      <c r="N314" s="43" t="n"/>
      <c r="O314" s="43" t="n"/>
      <c r="P314" s="43" t="n"/>
      <c r="Q314" s="43" t="inlineStr">
        <is>
          <t>BOARD</t>
        </is>
      </c>
      <c r="R314" s="33" t="inlineStr">
        <is>
          <t>REVISAR D611479: verificar accion documentada, PN/revision y vigencia para la corrida. No autoriza sustitucion ni uso de material.</t>
        </is>
      </c>
      <c r="S314" s="43" t="inlineStr">
        <is>
          <t>INFO</t>
        </is>
      </c>
      <c r="T314" s="33" t="inlineStr">
        <is>
          <t>Validar desviacion aprobada y estado; contrastar PN exacto y revision con Common DB, BOM/AVL, WO y fecha de corrida.</t>
        </is>
      </c>
      <c r="U314" s="33" t="inlineStr">
        <is>
          <t>Documento oficial firmado, autorizacion FJZ, revision/WO de alcance, confirmacion BOM y evidencia de implementacion si aplica.</t>
        </is>
      </c>
      <c r="V314" s="43" t="n"/>
      <c r="W314" s="43" t="n"/>
      <c r="X314" s="43" t="inlineStr">
        <is>
          <t>INFO</t>
        </is>
      </c>
      <c r="Y314" s="43" t="n"/>
      <c r="Z314" s="43" t="inlineStr">
        <is>
          <t>Pending Review</t>
        </is>
      </c>
      <c r="AA314" s="43" t="inlineStr">
        <is>
          <t>N</t>
        </is>
      </c>
      <c r="AB314" s="43" t="n"/>
      <c r="AC314" s="33" t="inlineStr">
        <is>
          <t xml:space="preserve">FUENTE: Deviation.csv filas 224; Item Number original=73-103758-04 (prefijo 73- es CANDIDATO de PCBA, no confirmacion en Common DB); Workflow de origen=Extended; FJZ no validado, revision PCBA/WO no informadas. </t>
        </is>
      </c>
    </row>
    <row r="315">
      <c r="A315" s="43" t="inlineStr">
        <is>
          <t>DA-CTANJZ05259-STBU-73-16681-10</t>
        </is>
      </c>
      <c r="B315" s="43" t="n"/>
      <c r="C315" s="43" t="n"/>
      <c r="D315" s="43" t="inlineStr">
        <is>
          <t>73-16681-10</t>
        </is>
      </c>
      <c r="E315" s="43" t="inlineStr">
        <is>
          <t>DEV-CTANJZ05259</t>
        </is>
      </c>
      <c r="F315" s="43" t="n"/>
      <c r="G315" s="43" t="inlineStr">
        <is>
          <t>STBU</t>
        </is>
      </c>
      <c r="H315" s="43" t="n"/>
      <c r="I315" s="43" t="n"/>
      <c r="J315" s="43" t="n"/>
      <c r="K315" s="43" t="n"/>
      <c r="L315" s="43" t="n"/>
      <c r="M315" s="43" t="n"/>
      <c r="N315" s="43" t="n"/>
      <c r="O315" s="43" t="n"/>
      <c r="P315" s="43" t="n"/>
      <c r="Q315" s="43" t="inlineStr">
        <is>
          <t>BOARD</t>
        </is>
      </c>
      <c r="R315" s="33" t="inlineStr">
        <is>
          <t>REVISAR D611312: verificar accion documentada, PN/revision y vigencia para la corrida. No autoriza sustitucion ni uso de material.</t>
        </is>
      </c>
      <c r="S315" s="43" t="inlineStr">
        <is>
          <t>INFO</t>
        </is>
      </c>
      <c r="T315" s="33" t="inlineStr">
        <is>
          <t>Validar desviacion aprobada y estado; contrastar PN exacto y revision con Common DB, BOM/AVL, WO y fecha de corrida.</t>
        </is>
      </c>
      <c r="U315" s="33" t="inlineStr">
        <is>
          <t>Documento oficial firmado, autorizacion FJZ, revision/WO de alcance, confirmacion BOM y evidencia de implementacion si aplica.</t>
        </is>
      </c>
      <c r="V315" s="43" t="n"/>
      <c r="W315" s="43" t="n"/>
      <c r="X315" s="43" t="inlineStr">
        <is>
          <t>INFO</t>
        </is>
      </c>
      <c r="Y315" s="43" t="n"/>
      <c r="Z315" s="43" t="inlineStr">
        <is>
          <t>Pending Review</t>
        </is>
      </c>
      <c r="AA315" s="43" t="inlineStr">
        <is>
          <t>N</t>
        </is>
      </c>
      <c r="AB315" s="43" t="n"/>
      <c r="AC315" s="33" t="inlineStr">
        <is>
          <t xml:space="preserve">FUENTE: Deviation.csv filas 1285; Item Number original=73-16681-10 (prefijo 73- es CANDIDATO de PCBA, no confirmacion en Common DB); Workflow de origen=Expired; FJZ no validado, revision PCBA/WO no informadas. </t>
        </is>
      </c>
    </row>
    <row r="316">
      <c r="A316" s="43" t="inlineStr">
        <is>
          <t>DA-CTANJZ05259-STBU-73-16682-05</t>
        </is>
      </c>
      <c r="B316" s="43" t="n"/>
      <c r="C316" s="43" t="n"/>
      <c r="D316" s="43" t="inlineStr">
        <is>
          <t>73-16682-05</t>
        </is>
      </c>
      <c r="E316" s="43" t="inlineStr">
        <is>
          <t>DEV-CTANJZ05259</t>
        </is>
      </c>
      <c r="F316" s="43" t="n"/>
      <c r="G316" s="43" t="inlineStr">
        <is>
          <t>STBU</t>
        </is>
      </c>
      <c r="H316" s="43" t="n"/>
      <c r="I316" s="43" t="n"/>
      <c r="J316" s="43" t="n"/>
      <c r="K316" s="43" t="n"/>
      <c r="L316" s="43" t="n"/>
      <c r="M316" s="43" t="n"/>
      <c r="N316" s="43" t="n"/>
      <c r="O316" s="43" t="n"/>
      <c r="P316" s="43" t="n"/>
      <c r="Q316" s="43" t="inlineStr">
        <is>
          <t>BOARD</t>
        </is>
      </c>
      <c r="R316" s="33" t="inlineStr">
        <is>
          <t>REVISAR D611312: verificar accion documentada, PN/revision y vigencia para la corrida. No autoriza sustitucion ni uso de material.</t>
        </is>
      </c>
      <c r="S316" s="43" t="inlineStr">
        <is>
          <t>INFO</t>
        </is>
      </c>
      <c r="T316" s="33" t="inlineStr">
        <is>
          <t>Validar desviacion aprobada y estado; contrastar PN exacto y revision con Common DB, BOM/AVL, WO y fecha de corrida.</t>
        </is>
      </c>
      <c r="U316" s="33" t="inlineStr">
        <is>
          <t>Documento oficial firmado, autorizacion FJZ, revision/WO de alcance, confirmacion BOM y evidencia de implementacion si aplica.</t>
        </is>
      </c>
      <c r="V316" s="43" t="n"/>
      <c r="W316" s="43" t="n"/>
      <c r="X316" s="43" t="inlineStr">
        <is>
          <t>INFO</t>
        </is>
      </c>
      <c r="Y316" s="43" t="n"/>
      <c r="Z316" s="43" t="inlineStr">
        <is>
          <t>Pending Review</t>
        </is>
      </c>
      <c r="AA316" s="43" t="inlineStr">
        <is>
          <t>N</t>
        </is>
      </c>
      <c r="AB316" s="43" t="n"/>
      <c r="AC316" s="33" t="inlineStr">
        <is>
          <t xml:space="preserve">FUENTE: Deviation.csv filas 1286; Item Number original=73-16682-05 (prefijo 73- es CANDIDATO de PCBA, no confirmacion en Common DB); Workflow de origen=Expired; FJZ no validado, revision PCBA/WO no informadas. </t>
        </is>
      </c>
    </row>
    <row r="317">
      <c r="A317" s="43" t="inlineStr">
        <is>
          <t>DA-CTANJZ05259-STBU-73-16685-04</t>
        </is>
      </c>
      <c r="B317" s="43" t="n"/>
      <c r="C317" s="43" t="n"/>
      <c r="D317" s="43" t="inlineStr">
        <is>
          <t>73-16685-04</t>
        </is>
      </c>
      <c r="E317" s="43" t="inlineStr">
        <is>
          <t>DEV-CTANJZ05259</t>
        </is>
      </c>
      <c r="F317" s="43" t="n"/>
      <c r="G317" s="43" t="inlineStr">
        <is>
          <t>STBU</t>
        </is>
      </c>
      <c r="H317" s="43" t="n"/>
      <c r="I317" s="43" t="n"/>
      <c r="J317" s="43" t="n"/>
      <c r="K317" s="43" t="n"/>
      <c r="L317" s="43" t="n"/>
      <c r="M317" s="43" t="n"/>
      <c r="N317" s="43" t="n"/>
      <c r="O317" s="43" t="n"/>
      <c r="P317" s="43" t="n"/>
      <c r="Q317" s="43" t="inlineStr">
        <is>
          <t>BOARD</t>
        </is>
      </c>
      <c r="R317" s="33" t="inlineStr">
        <is>
          <t>REVISAR D611312: verificar accion documentada, PN/revision y vigencia para la corrida. No autoriza sustitucion ni uso de material.</t>
        </is>
      </c>
      <c r="S317" s="43" t="inlineStr">
        <is>
          <t>INFO</t>
        </is>
      </c>
      <c r="T317" s="33" t="inlineStr">
        <is>
          <t>Validar desviacion aprobada y estado; contrastar PN exacto y revision con Common DB, BOM/AVL, WO y fecha de corrida.</t>
        </is>
      </c>
      <c r="U317" s="33" t="inlineStr">
        <is>
          <t>Documento oficial firmado, autorizacion FJZ, revision/WO de alcance, confirmacion BOM y evidencia de implementacion si aplica.</t>
        </is>
      </c>
      <c r="V317" s="43" t="n"/>
      <c r="W317" s="43" t="n"/>
      <c r="X317" s="43" t="inlineStr">
        <is>
          <t>INFO</t>
        </is>
      </c>
      <c r="Y317" s="43" t="n"/>
      <c r="Z317" s="43" t="inlineStr">
        <is>
          <t>Pending Review</t>
        </is>
      </c>
      <c r="AA317" s="43" t="inlineStr">
        <is>
          <t>N</t>
        </is>
      </c>
      <c r="AB317" s="43" t="n"/>
      <c r="AC317" s="33" t="inlineStr">
        <is>
          <t xml:space="preserve">FUENTE: Deviation.csv filas 1287; Item Number original=73-16685-04 (prefijo 73- es CANDIDATO de PCBA, no confirmacion en Common DB); Workflow de origen=Expired; FJZ no validado, revision PCBA/WO no informadas. </t>
        </is>
      </c>
    </row>
    <row r="318">
      <c r="A318" s="43" t="inlineStr">
        <is>
          <t>DA-CTANJZ05259-STBU-73-16828-04</t>
        </is>
      </c>
      <c r="B318" s="43" t="n"/>
      <c r="C318" s="43" t="n"/>
      <c r="D318" s="43" t="inlineStr">
        <is>
          <t>73-16828-04</t>
        </is>
      </c>
      <c r="E318" s="43" t="inlineStr">
        <is>
          <t>DEV-CTANJZ05259</t>
        </is>
      </c>
      <c r="F318" s="43" t="n"/>
      <c r="G318" s="43" t="inlineStr">
        <is>
          <t>STBU</t>
        </is>
      </c>
      <c r="H318" s="43" t="n"/>
      <c r="I318" s="43" t="n"/>
      <c r="J318" s="43" t="n"/>
      <c r="K318" s="43" t="n"/>
      <c r="L318" s="43" t="n"/>
      <c r="M318" s="43" t="n"/>
      <c r="N318" s="43" t="n"/>
      <c r="O318" s="43" t="n"/>
      <c r="P318" s="43" t="n"/>
      <c r="Q318" s="43" t="inlineStr">
        <is>
          <t>BOARD</t>
        </is>
      </c>
      <c r="R318" s="33" t="inlineStr">
        <is>
          <t>REVISAR D611312: verificar accion documentada, PN/revision y vigencia para la corrida. No autoriza sustitucion ni uso de material.</t>
        </is>
      </c>
      <c r="S318" s="43" t="inlineStr">
        <is>
          <t>INFO</t>
        </is>
      </c>
      <c r="T318" s="33" t="inlineStr">
        <is>
          <t>Validar desviacion aprobada y estado; contrastar PN exacto y revision con Common DB, BOM/AVL, WO y fecha de corrida.</t>
        </is>
      </c>
      <c r="U318" s="33" t="inlineStr">
        <is>
          <t>Documento oficial firmado, autorizacion FJZ, revision/WO de alcance, confirmacion BOM y evidencia de implementacion si aplica.</t>
        </is>
      </c>
      <c r="V318" s="43" t="n"/>
      <c r="W318" s="43" t="n"/>
      <c r="X318" s="43" t="inlineStr">
        <is>
          <t>INFO</t>
        </is>
      </c>
      <c r="Y318" s="43" t="n"/>
      <c r="Z318" s="43" t="inlineStr">
        <is>
          <t>Pending Review</t>
        </is>
      </c>
      <c r="AA318" s="43" t="inlineStr">
        <is>
          <t>N</t>
        </is>
      </c>
      <c r="AB318" s="43" t="n"/>
      <c r="AC318" s="33" t="inlineStr">
        <is>
          <t xml:space="preserve">FUENTE: Deviation.csv filas 1288; Item Number original=73-16828-04 (prefijo 73- es CANDIDATO de PCBA, no confirmacion en Common DB); Workflow de origen=Expired; FJZ no validado, revision PCBA/WO no informadas. </t>
        </is>
      </c>
    </row>
    <row r="319">
      <c r="A319" s="43" t="inlineStr">
        <is>
          <t>DA-CTANJZ05259-STBU-73-17923-02</t>
        </is>
      </c>
      <c r="B319" s="43" t="n"/>
      <c r="C319" s="43" t="n"/>
      <c r="D319" s="43" t="inlineStr">
        <is>
          <t>73-17923-02</t>
        </is>
      </c>
      <c r="E319" s="43" t="inlineStr">
        <is>
          <t>DEV-CTANJZ05259</t>
        </is>
      </c>
      <c r="F319" s="43" t="n"/>
      <c r="G319" s="43" t="inlineStr">
        <is>
          <t>STBU</t>
        </is>
      </c>
      <c r="H319" s="43" t="n"/>
      <c r="I319" s="43" t="n"/>
      <c r="J319" s="43" t="n"/>
      <c r="K319" s="43" t="n"/>
      <c r="L319" s="43" t="n"/>
      <c r="M319" s="43" t="n"/>
      <c r="N319" s="43" t="n"/>
      <c r="O319" s="43" t="n"/>
      <c r="P319" s="43" t="n"/>
      <c r="Q319" s="43" t="inlineStr">
        <is>
          <t>BOARD</t>
        </is>
      </c>
      <c r="R319" s="33" t="inlineStr">
        <is>
          <t>REVISAR D611312: verificar accion documentada, PN/revision y vigencia para la corrida. No autoriza sustitucion ni uso de material.</t>
        </is>
      </c>
      <c r="S319" s="43" t="inlineStr">
        <is>
          <t>INFO</t>
        </is>
      </c>
      <c r="T319" s="33" t="inlineStr">
        <is>
          <t>Validar desviacion aprobada y estado; contrastar PN exacto y revision con Common DB, BOM/AVL, WO y fecha de corrida.</t>
        </is>
      </c>
      <c r="U319" s="33" t="inlineStr">
        <is>
          <t>Documento oficial firmado, autorizacion FJZ, revision/WO de alcance, confirmacion BOM y evidencia de implementacion si aplica.</t>
        </is>
      </c>
      <c r="V319" s="43" t="n"/>
      <c r="W319" s="43" t="n"/>
      <c r="X319" s="43" t="inlineStr">
        <is>
          <t>INFO</t>
        </is>
      </c>
      <c r="Y319" s="43" t="n"/>
      <c r="Z319" s="43" t="inlineStr">
        <is>
          <t>Pending Review</t>
        </is>
      </c>
      <c r="AA319" s="43" t="inlineStr">
        <is>
          <t>N</t>
        </is>
      </c>
      <c r="AB319" s="43" t="n"/>
      <c r="AC319" s="33" t="inlineStr">
        <is>
          <t xml:space="preserve">FUENTE: Deviation.csv filas 1296; Item Number original=73-17923-02 (prefijo 73- es CANDIDATO de PCBA, no confirmacion en Common DB); Workflow de origen=Expired; FJZ no validado, revision PCBA/WO no informadas. </t>
        </is>
      </c>
    </row>
    <row r="320">
      <c r="A320" s="43" t="inlineStr">
        <is>
          <t>DA-CTANJZ05259-STBU-73-18632-03</t>
        </is>
      </c>
      <c r="B320" s="43" t="n"/>
      <c r="C320" s="43" t="n"/>
      <c r="D320" s="43" t="inlineStr">
        <is>
          <t>73-18632-03</t>
        </is>
      </c>
      <c r="E320" s="43" t="inlineStr">
        <is>
          <t>DEV-CTANJZ05259</t>
        </is>
      </c>
      <c r="F320" s="43" t="n"/>
      <c r="G320" s="43" t="inlineStr">
        <is>
          <t>STBU</t>
        </is>
      </c>
      <c r="H320" s="43" t="n"/>
      <c r="I320" s="43" t="n"/>
      <c r="J320" s="43" t="n"/>
      <c r="K320" s="43" t="n"/>
      <c r="L320" s="43" t="n"/>
      <c r="M320" s="43" t="n"/>
      <c r="N320" s="43" t="n"/>
      <c r="O320" s="43" t="n"/>
      <c r="P320" s="43" t="n"/>
      <c r="Q320" s="43" t="inlineStr">
        <is>
          <t>BOARD</t>
        </is>
      </c>
      <c r="R320" s="33" t="inlineStr">
        <is>
          <t>REVISAR D611312: verificar accion documentada, PN/revision y vigencia para la corrida. No autoriza sustitucion ni uso de material.</t>
        </is>
      </c>
      <c r="S320" s="43" t="inlineStr">
        <is>
          <t>INFO</t>
        </is>
      </c>
      <c r="T320" s="33" t="inlineStr">
        <is>
          <t>Validar desviacion aprobada y estado; contrastar PN exacto y revision con Common DB, BOM/AVL, WO y fecha de corrida.</t>
        </is>
      </c>
      <c r="U320" s="33" t="inlineStr">
        <is>
          <t>Documento oficial firmado, autorizacion FJZ, revision/WO de alcance, confirmacion BOM y evidencia de implementacion si aplica.</t>
        </is>
      </c>
      <c r="V320" s="43" t="n"/>
      <c r="W320" s="43" t="n"/>
      <c r="X320" s="43" t="inlineStr">
        <is>
          <t>INFO</t>
        </is>
      </c>
      <c r="Y320" s="43" t="n"/>
      <c r="Z320" s="43" t="inlineStr">
        <is>
          <t>Pending Review</t>
        </is>
      </c>
      <c r="AA320" s="43" t="inlineStr">
        <is>
          <t>N</t>
        </is>
      </c>
      <c r="AB320" s="43" t="n"/>
      <c r="AC320" s="33" t="inlineStr">
        <is>
          <t xml:space="preserve">FUENTE: Deviation.csv filas 1297; Item Number original=73-18632-03 (prefijo 73- es CANDIDATO de PCBA, no confirmacion en Common DB); Workflow de origen=Expired; FJZ no validado, revision PCBA/WO no informadas. </t>
        </is>
      </c>
    </row>
    <row r="321">
      <c r="A321" s="43" t="inlineStr">
        <is>
          <t>DA-CTANJZ05263-CVEBU-73-103922-04</t>
        </is>
      </c>
      <c r="B321" s="43" t="n"/>
      <c r="C321" s="43" t="n"/>
      <c r="D321" s="43" t="inlineStr">
        <is>
          <t>73-103922-04</t>
        </is>
      </c>
      <c r="E321" s="43" t="inlineStr">
        <is>
          <t>DEV-CTANJZ05263</t>
        </is>
      </c>
      <c r="F321" s="43" t="n"/>
      <c r="G321" s="43" t="inlineStr">
        <is>
          <t>CVEBU</t>
        </is>
      </c>
      <c r="H321" s="43" t="n"/>
      <c r="I321" s="43" t="n"/>
      <c r="J321" s="43" t="n"/>
      <c r="K321" s="43" t="n"/>
      <c r="L321" s="43" t="n"/>
      <c r="M321" s="43" t="n"/>
      <c r="N321" s="43" t="n"/>
      <c r="O321" s="43" t="n"/>
      <c r="P321" s="43" t="n"/>
      <c r="Q321" s="43" t="inlineStr">
        <is>
          <t>BOARD</t>
        </is>
      </c>
      <c r="R321" s="33" t="inlineStr">
        <is>
          <t>REVISAR D611492: verificar accion documentada, PN/revision y vigencia para la corrida. No autoriza sustitucion ni uso de material.</t>
        </is>
      </c>
      <c r="S321" s="43" t="inlineStr">
        <is>
          <t>INFO</t>
        </is>
      </c>
      <c r="T321" s="33" t="inlineStr">
        <is>
          <t>Validar desviacion aprobada y estado; contrastar PN exacto y revision con Common DB, BOM/AVL, WO y fecha de corrida.</t>
        </is>
      </c>
      <c r="U321" s="33" t="inlineStr">
        <is>
          <t>Documento oficial firmado, autorizacion FJZ, revision/WO de alcance, confirmacion BOM y evidencia de implementacion si aplica.</t>
        </is>
      </c>
      <c r="V321" s="43" t="n"/>
      <c r="W321" s="43" t="n"/>
      <c r="X321" s="43" t="inlineStr">
        <is>
          <t>INFO</t>
        </is>
      </c>
      <c r="Y321" s="43" t="n"/>
      <c r="Z321" s="43" t="inlineStr">
        <is>
          <t>Pending Review</t>
        </is>
      </c>
      <c r="AA321" s="43" t="inlineStr">
        <is>
          <t>N</t>
        </is>
      </c>
      <c r="AB321" s="43" t="n"/>
      <c r="AC321" s="33" t="inlineStr">
        <is>
          <t xml:space="preserve">FUENTE: Deviation.csv filas 294; Item Number original=73-103922-04 (prefijo 73- es CANDIDATO de PCBA, no confirmacion en Common DB); Workflow de origen=Expired; FJZ no validado, revision PCBA/WO no informadas. </t>
        </is>
      </c>
    </row>
    <row r="322">
      <c r="A322" s="43" t="inlineStr">
        <is>
          <t>DA-CTANJZ05266-STBU-73-20247-06</t>
        </is>
      </c>
      <c r="B322" s="43" t="inlineStr">
        <is>
          <t>TUFNELL PARK</t>
        </is>
      </c>
      <c r="C322" s="43" t="n"/>
      <c r="D322" s="43" t="inlineStr">
        <is>
          <t>73-20247-06</t>
        </is>
      </c>
      <c r="E322" s="43" t="inlineStr">
        <is>
          <t>DEV-CTANJZ05266</t>
        </is>
      </c>
      <c r="F322" s="43" t="n"/>
      <c r="G322" s="43" t="inlineStr">
        <is>
          <t>STBU</t>
        </is>
      </c>
      <c r="H322" s="43" t="n"/>
      <c r="I322" s="43" t="n"/>
      <c r="J322" s="43" t="n"/>
      <c r="K322" s="43" t="n"/>
      <c r="L322" s="43" t="n"/>
      <c r="M322" s="43" t="n"/>
      <c r="N322" s="43" t="n"/>
      <c r="O322" s="43" t="n"/>
      <c r="P322" s="43" t="n"/>
      <c r="Q322" s="43" t="inlineStr">
        <is>
          <t>BOARD</t>
        </is>
      </c>
      <c r="R322" s="33" t="inlineStr">
        <is>
          <t>REVISAR D611591: verificar accion documentada, PN/revision y vigencia para la corrida. No autoriza sustitucion ni uso de material.</t>
        </is>
      </c>
      <c r="S322" s="43" t="inlineStr">
        <is>
          <t>INFO</t>
        </is>
      </c>
      <c r="T322" s="33" t="inlineStr">
        <is>
          <t>Validar desviacion aprobada y estado; contrastar PN exacto y revision con Common DB, BOM/AVL, WO y fecha de corrida.</t>
        </is>
      </c>
      <c r="U322" s="33" t="inlineStr">
        <is>
          <t>Documento oficial firmado, autorizacion FJZ, revision/WO de alcance, confirmacion BOM y evidencia de implementacion si aplica.</t>
        </is>
      </c>
      <c r="V322" s="43" t="n"/>
      <c r="W322" s="43" t="n"/>
      <c r="X322" s="43" t="inlineStr">
        <is>
          <t>INFO</t>
        </is>
      </c>
      <c r="Y322" s="43" t="n"/>
      <c r="Z322" s="43" t="inlineStr">
        <is>
          <t>Pending Review</t>
        </is>
      </c>
      <c r="AA322" s="43" t="inlineStr">
        <is>
          <t>N</t>
        </is>
      </c>
      <c r="AB322" s="43" t="n"/>
      <c r="AC322" s="33" t="inlineStr">
        <is>
          <t xml:space="preserve">FUENTE: Deviation.csv filas 1156; Item Number original=73-20247-06 (prefijo 73- es CANDIDATO de PCBA, no confirmacion en Common DB); Workflow de origen=Expired; FJZ no validado, revision PCBA/WO no informadas. </t>
        </is>
      </c>
    </row>
    <row r="323">
      <c r="A323" s="43" t="inlineStr">
        <is>
          <t>DA-CTANJZ05266-STBU-73-20249-06</t>
        </is>
      </c>
      <c r="B323" s="43" t="inlineStr">
        <is>
          <t>TUFNELL PARK</t>
        </is>
      </c>
      <c r="C323" s="43" t="n"/>
      <c r="D323" s="43" t="inlineStr">
        <is>
          <t>73-20249-06</t>
        </is>
      </c>
      <c r="E323" s="43" t="inlineStr">
        <is>
          <t>DEV-CTANJZ05266</t>
        </is>
      </c>
      <c r="F323" s="43" t="n"/>
      <c r="G323" s="43" t="inlineStr">
        <is>
          <t>STBU</t>
        </is>
      </c>
      <c r="H323" s="43" t="n"/>
      <c r="I323" s="43" t="n"/>
      <c r="J323" s="43" t="n"/>
      <c r="K323" s="43" t="n"/>
      <c r="L323" s="43" t="n"/>
      <c r="M323" s="43" t="n"/>
      <c r="N323" s="43" t="n"/>
      <c r="O323" s="43" t="n"/>
      <c r="P323" s="43" t="n"/>
      <c r="Q323" s="43" t="inlineStr">
        <is>
          <t>BOARD</t>
        </is>
      </c>
      <c r="R323" s="33" t="inlineStr">
        <is>
          <t>REVISAR D611591: verificar accion documentada, PN/revision y vigencia para la corrida. No autoriza sustitucion ni uso de material.</t>
        </is>
      </c>
      <c r="S323" s="43" t="inlineStr">
        <is>
          <t>INFO</t>
        </is>
      </c>
      <c r="T323" s="33" t="inlineStr">
        <is>
          <t>Validar desviacion aprobada y estado; contrastar PN exacto y revision con Common DB, BOM/AVL, WO y fecha de corrida.</t>
        </is>
      </c>
      <c r="U323" s="33" t="inlineStr">
        <is>
          <t>Documento oficial firmado, autorizacion FJZ, revision/WO de alcance, confirmacion BOM y evidencia de implementacion si aplica.</t>
        </is>
      </c>
      <c r="V323" s="43" t="n"/>
      <c r="W323" s="43" t="n"/>
      <c r="X323" s="43" t="inlineStr">
        <is>
          <t>INFO</t>
        </is>
      </c>
      <c r="Y323" s="43" t="n"/>
      <c r="Z323" s="43" t="inlineStr">
        <is>
          <t>Pending Review</t>
        </is>
      </c>
      <c r="AA323" s="43" t="inlineStr">
        <is>
          <t>N</t>
        </is>
      </c>
      <c r="AB323" s="43" t="n"/>
      <c r="AC323" s="33" t="inlineStr">
        <is>
          <t xml:space="preserve">FUENTE: Deviation.csv filas 1157; Item Number original=73-20249-06 (prefijo 73- es CANDIDATO de PCBA, no confirmacion en Common DB); Workflow de origen=Expired; FJZ no validado, revision PCBA/WO no informadas. </t>
        </is>
      </c>
    </row>
    <row r="324">
      <c r="A324" s="43" t="inlineStr">
        <is>
          <t>DA-CTANJZ05273-CRBU-73-21146-12</t>
        </is>
      </c>
      <c r="B324" s="43" t="n"/>
      <c r="C324" s="43" t="n"/>
      <c r="D324" s="43" t="inlineStr">
        <is>
          <t>73-21146-12</t>
        </is>
      </c>
      <c r="E324" s="43" t="inlineStr">
        <is>
          <t>DEV-CTANJZ05273</t>
        </is>
      </c>
      <c r="F324" s="43" t="n"/>
      <c r="G324" s="43" t="inlineStr">
        <is>
          <t>CRBU</t>
        </is>
      </c>
      <c r="H324" s="43" t="n"/>
      <c r="I324" s="43" t="n"/>
      <c r="J324" s="43" t="n"/>
      <c r="K324" s="43" t="n"/>
      <c r="L324" s="43" t="n"/>
      <c r="M324" s="43" t="n"/>
      <c r="N324" s="43" t="n"/>
      <c r="O324" s="43" t="n"/>
      <c r="P324" s="43" t="n"/>
      <c r="Q324" s="43" t="inlineStr">
        <is>
          <t>BOARD</t>
        </is>
      </c>
      <c r="R324" s="33" t="inlineStr">
        <is>
          <t>REVISAR D611453: verificar accion documentada, PN/revision y vigencia para la corrida. No autoriza sustitucion ni uso de material.</t>
        </is>
      </c>
      <c r="S324" s="43" t="inlineStr">
        <is>
          <t>INFO</t>
        </is>
      </c>
      <c r="T324" s="33" t="inlineStr">
        <is>
          <t>Validar desviacion aprobada y estado; contrastar PN exacto y revision con Common DB, BOM/AVL, WO y fecha de corrida.</t>
        </is>
      </c>
      <c r="U324" s="33" t="inlineStr">
        <is>
          <t>Documento oficial firmado, autorizacion FJZ, revision/WO de alcance, confirmacion BOM y evidencia de implementacion si aplica.</t>
        </is>
      </c>
      <c r="V324" s="43" t="n"/>
      <c r="W324" s="43" t="n"/>
      <c r="X324" s="43" t="inlineStr">
        <is>
          <t>INFO</t>
        </is>
      </c>
      <c r="Y324" s="43" t="n"/>
      <c r="Z324" s="43" t="inlineStr">
        <is>
          <t>Pending Review</t>
        </is>
      </c>
      <c r="AA324" s="43" t="inlineStr">
        <is>
          <t>N</t>
        </is>
      </c>
      <c r="AB324" s="43" t="n"/>
      <c r="AC324" s="33" t="inlineStr">
        <is>
          <t xml:space="preserve">FUENTE: Deviation.csv filas 121,216; Item Number original=73-21146-12 (prefijo 73- es CANDIDATO de PCBA, no confirmacion en Common DB); Workflow de origen=Expired; FJZ no validado, revision PCBA/WO no informadas. </t>
        </is>
      </c>
    </row>
    <row r="325">
      <c r="A325" s="43" t="inlineStr">
        <is>
          <t>DA-CTANJZ05279-CRBU-73-21146-12</t>
        </is>
      </c>
      <c r="B325" s="43" t="n"/>
      <c r="C325" s="43" t="n"/>
      <c r="D325" s="43" t="inlineStr">
        <is>
          <t>73-21146-12</t>
        </is>
      </c>
      <c r="E325" s="43" t="inlineStr">
        <is>
          <t>DEV-CTANJZ05279</t>
        </is>
      </c>
      <c r="F325" s="43" t="n"/>
      <c r="G325" s="43" t="inlineStr">
        <is>
          <t>CRBU</t>
        </is>
      </c>
      <c r="H325" s="43" t="n"/>
      <c r="I325" s="43" t="n"/>
      <c r="J325" s="43" t="n"/>
      <c r="K325" s="43" t="n"/>
      <c r="L325" s="43" t="n"/>
      <c r="M325" s="43" t="n"/>
      <c r="N325" s="43" t="n"/>
      <c r="O325" s="43" t="n"/>
      <c r="P325" s="43" t="n"/>
      <c r="Q325" s="43" t="inlineStr">
        <is>
          <t>BOARD</t>
        </is>
      </c>
      <c r="R325" s="33" t="inlineStr">
        <is>
          <t>REVISAR D611450: verificar accion documentada, PN/revision y vigencia para la corrida. No autoriza sustitucion ni uso de material.</t>
        </is>
      </c>
      <c r="S325" s="43" t="inlineStr">
        <is>
          <t>INFO</t>
        </is>
      </c>
      <c r="T325" s="33" t="inlineStr">
        <is>
          <t>Validar desviacion aprobada y estado; contrastar PN exacto y revision con Common DB, BOM/AVL, WO y fecha de corrida.</t>
        </is>
      </c>
      <c r="U325" s="33" t="inlineStr">
        <is>
          <t>Documento oficial firmado, autorizacion FJZ, revision/WO de alcance, confirmacion BOM y evidencia de implementacion si aplica.</t>
        </is>
      </c>
      <c r="V325" s="43" t="n"/>
      <c r="W325" s="43" t="n"/>
      <c r="X325" s="43" t="inlineStr">
        <is>
          <t>INFO</t>
        </is>
      </c>
      <c r="Y325" s="43" t="n"/>
      <c r="Z325" s="43" t="inlineStr">
        <is>
          <t>Pending Review</t>
        </is>
      </c>
      <c r="AA325" s="43" t="inlineStr">
        <is>
          <t>N</t>
        </is>
      </c>
      <c r="AB325" s="43" t="n"/>
      <c r="AC325" s="33" t="inlineStr">
        <is>
          <t xml:space="preserve">FUENTE: Deviation.csv filas 123,218; Item Number original=73-21146-12 (prefijo 73- es CANDIDATO de PCBA, no confirmacion en Common DB); Workflow de origen=Expired; FJZ no validado, revision PCBA/WO no informadas. </t>
        </is>
      </c>
    </row>
    <row r="326">
      <c r="A326" s="43" t="inlineStr">
        <is>
          <t>DA-CTANJZ05281-IOTBU-73-101439-04</t>
        </is>
      </c>
      <c r="B326" s="43" t="n"/>
      <c r="C326" s="43" t="n"/>
      <c r="D326" s="43" t="inlineStr">
        <is>
          <t>73-101439-04</t>
        </is>
      </c>
      <c r="E326" s="43" t="inlineStr">
        <is>
          <t>DEV-CTANJZ05281</t>
        </is>
      </c>
      <c r="F326" s="43" t="n"/>
      <c r="G326" s="43" t="inlineStr">
        <is>
          <t>IOTBU</t>
        </is>
      </c>
      <c r="H326" s="43" t="n"/>
      <c r="I326" s="43" t="n"/>
      <c r="J326" s="43" t="n"/>
      <c r="K326" s="43" t="n"/>
      <c r="L326" s="43" t="n"/>
      <c r="M326" s="43" t="n"/>
      <c r="N326" s="43" t="n"/>
      <c r="O326" s="43" t="n"/>
      <c r="P326" s="43" t="n"/>
      <c r="Q326" s="43" t="inlineStr">
        <is>
          <t>BOARD</t>
        </is>
      </c>
      <c r="R326" s="33" t="inlineStr">
        <is>
          <t>REVISAR D611764: verificar accion documentada, PN/revision y vigencia para la corrida. No autoriza sustitucion ni uso de material.</t>
        </is>
      </c>
      <c r="S326" s="43" t="inlineStr">
        <is>
          <t>INFO</t>
        </is>
      </c>
      <c r="T326" s="33" t="inlineStr">
        <is>
          <t>Validar desviacion aprobada y estado; contrastar PN exacto y revision con Common DB, BOM/AVL, WO y fecha de corrida.</t>
        </is>
      </c>
      <c r="U326" s="33" t="inlineStr">
        <is>
          <t>Documento oficial firmado, autorizacion FJZ, revision/WO de alcance, confirmacion BOM y evidencia de implementacion si aplica.</t>
        </is>
      </c>
      <c r="V326" s="43" t="n"/>
      <c r="W326" s="43" t="n"/>
      <c r="X326" s="43" t="inlineStr">
        <is>
          <t>INFO</t>
        </is>
      </c>
      <c r="Y326" s="43" t="n"/>
      <c r="Z326" s="43" t="inlineStr">
        <is>
          <t>Pending Review</t>
        </is>
      </c>
      <c r="AA326" s="43" t="inlineStr">
        <is>
          <t>N</t>
        </is>
      </c>
      <c r="AB326" s="43" t="n"/>
      <c r="AC326" s="33" t="inlineStr">
        <is>
          <t xml:space="preserve">FUENTE: Deviation.csv filas 1209; Item Number original=73-101439-04 (prefijo 73- es CANDIDATO de PCBA, no confirmacion en Common DB); Workflow de origen=Expired; FJZ no validado, revision PCBA/WO no informadas. </t>
        </is>
      </c>
    </row>
    <row r="327">
      <c r="A327" s="43" t="inlineStr">
        <is>
          <t>DA-CTANJZ05281-IOTBU-73-102239-04</t>
        </is>
      </c>
      <c r="B327" s="43" t="n"/>
      <c r="C327" s="43" t="n"/>
      <c r="D327" s="43" t="inlineStr">
        <is>
          <t>73-102239-04</t>
        </is>
      </c>
      <c r="E327" s="43" t="inlineStr">
        <is>
          <t>DEV-CTANJZ05281</t>
        </is>
      </c>
      <c r="F327" s="43" t="n"/>
      <c r="G327" s="43" t="inlineStr">
        <is>
          <t>IOTBU</t>
        </is>
      </c>
      <c r="H327" s="43" t="n"/>
      <c r="I327" s="43" t="n"/>
      <c r="J327" s="43" t="n"/>
      <c r="K327" s="43" t="n"/>
      <c r="L327" s="43" t="n"/>
      <c r="M327" s="43" t="n"/>
      <c r="N327" s="43" t="n"/>
      <c r="O327" s="43" t="n"/>
      <c r="P327" s="43" t="n"/>
      <c r="Q327" s="43" t="inlineStr">
        <is>
          <t>BOARD</t>
        </is>
      </c>
      <c r="R327" s="33" t="inlineStr">
        <is>
          <t>REVISAR D611764: verificar accion documentada, PN/revision y vigencia para la corrida. No autoriza sustitucion ni uso de material.</t>
        </is>
      </c>
      <c r="S327" s="43" t="inlineStr">
        <is>
          <t>INFO</t>
        </is>
      </c>
      <c r="T327" s="33" t="inlineStr">
        <is>
          <t>Validar desviacion aprobada y estado; contrastar PN exacto y revision con Common DB, BOM/AVL, WO y fecha de corrida.</t>
        </is>
      </c>
      <c r="U327" s="33" t="inlineStr">
        <is>
          <t>Documento oficial firmado, autorizacion FJZ, revision/WO de alcance, confirmacion BOM y evidencia de implementacion si aplica.</t>
        </is>
      </c>
      <c r="V327" s="43" t="n"/>
      <c r="W327" s="43" t="n"/>
      <c r="X327" s="43" t="inlineStr">
        <is>
          <t>INFO</t>
        </is>
      </c>
      <c r="Y327" s="43" t="n"/>
      <c r="Z327" s="43" t="inlineStr">
        <is>
          <t>Pending Review</t>
        </is>
      </c>
      <c r="AA327" s="43" t="inlineStr">
        <is>
          <t>N</t>
        </is>
      </c>
      <c r="AB327" s="43" t="n"/>
      <c r="AC327" s="33" t="inlineStr">
        <is>
          <t xml:space="preserve">FUENTE: Deviation.csv filas 1210; Item Number original=73-102239-04 (prefijo 73- es CANDIDATO de PCBA, no confirmacion en Common DB); Workflow de origen=Expired; FJZ no validado, revision PCBA/WO no informadas. </t>
        </is>
      </c>
    </row>
    <row r="328">
      <c r="A328" s="43" t="inlineStr">
        <is>
          <t>DA-CTANJZ05281-IOTBU-73-103098-03</t>
        </is>
      </c>
      <c r="B328" s="43" t="n"/>
      <c r="C328" s="43" t="n"/>
      <c r="D328" s="43" t="inlineStr">
        <is>
          <t>73-103098-03</t>
        </is>
      </c>
      <c r="E328" s="43" t="inlineStr">
        <is>
          <t>DEV-CTANJZ05281</t>
        </is>
      </c>
      <c r="F328" s="43" t="n"/>
      <c r="G328" s="43" t="inlineStr">
        <is>
          <t>IOTBU</t>
        </is>
      </c>
      <c r="H328" s="43" t="n"/>
      <c r="I328" s="43" t="n"/>
      <c r="J328" s="43" t="n"/>
      <c r="K328" s="43" t="n"/>
      <c r="L328" s="43" t="n"/>
      <c r="M328" s="43" t="n"/>
      <c r="N328" s="43" t="n"/>
      <c r="O328" s="43" t="n"/>
      <c r="P328" s="43" t="n"/>
      <c r="Q328" s="43" t="inlineStr">
        <is>
          <t>BOARD</t>
        </is>
      </c>
      <c r="R328" s="33" t="inlineStr">
        <is>
          <t>REVISAR D611764: verificar accion documentada, PN/revision y vigencia para la corrida. No autoriza sustitucion ni uso de material.</t>
        </is>
      </c>
      <c r="S328" s="43" t="inlineStr">
        <is>
          <t>INFO</t>
        </is>
      </c>
      <c r="T328" s="33" t="inlineStr">
        <is>
          <t>Validar desviacion aprobada y estado; contrastar PN exacto y revision con Common DB, BOM/AVL, WO y fecha de corrida.</t>
        </is>
      </c>
      <c r="U328" s="33" t="inlineStr">
        <is>
          <t>Documento oficial firmado, autorizacion FJZ, revision/WO de alcance, confirmacion BOM y evidencia de implementacion si aplica.</t>
        </is>
      </c>
      <c r="V328" s="43" t="n"/>
      <c r="W328" s="43" t="n"/>
      <c r="X328" s="43" t="inlineStr">
        <is>
          <t>INFO</t>
        </is>
      </c>
      <c r="Y328" s="43" t="n"/>
      <c r="Z328" s="43" t="inlineStr">
        <is>
          <t>Pending Review</t>
        </is>
      </c>
      <c r="AA328" s="43" t="inlineStr">
        <is>
          <t>N</t>
        </is>
      </c>
      <c r="AB328" s="43" t="n"/>
      <c r="AC328" s="33" t="inlineStr">
        <is>
          <t xml:space="preserve">FUENTE: Deviation.csv filas 1211; Item Number original=73-103098-03 (prefijo 73- es CANDIDATO de PCBA, no confirmacion en Common DB); Workflow de origen=Expired; FJZ no validado, revision PCBA/WO no informadas. </t>
        </is>
      </c>
    </row>
    <row r="329">
      <c r="A329" s="43" t="inlineStr">
        <is>
          <t>DA-CTANJZ05284-CRBU-73-21146-12</t>
        </is>
      </c>
      <c r="B329" s="43" t="n"/>
      <c r="C329" s="43" t="n"/>
      <c r="D329" s="43" t="inlineStr">
        <is>
          <t>73-21146-12</t>
        </is>
      </c>
      <c r="E329" s="43" t="inlineStr">
        <is>
          <t>DEV-CTANJZ05284</t>
        </is>
      </c>
      <c r="F329" s="43" t="n"/>
      <c r="G329" s="43" t="inlineStr">
        <is>
          <t>CRBU</t>
        </is>
      </c>
      <c r="H329" s="43" t="n"/>
      <c r="I329" s="43" t="n"/>
      <c r="J329" s="43" t="n"/>
      <c r="K329" s="43" t="n"/>
      <c r="L329" s="43" t="n"/>
      <c r="M329" s="43" t="n"/>
      <c r="N329" s="43" t="n"/>
      <c r="O329" s="43" t="n"/>
      <c r="P329" s="43" t="n"/>
      <c r="Q329" s="43" t="inlineStr">
        <is>
          <t>BOARD</t>
        </is>
      </c>
      <c r="R329" s="33" t="inlineStr">
        <is>
          <t>REVISAR D611785: verificar accion documentada, PN/revision y vigencia para la corrida. No autoriza sustitucion ni uso de material.</t>
        </is>
      </c>
      <c r="S329" s="43" t="inlineStr">
        <is>
          <t>INFO</t>
        </is>
      </c>
      <c r="T329" s="33" t="inlineStr">
        <is>
          <t>Validar desviacion aprobada y estado; contrastar PN exacto y revision con Common DB, BOM/AVL, WO y fecha de corrida.</t>
        </is>
      </c>
      <c r="U329" s="33" t="inlineStr">
        <is>
          <t>Documento oficial firmado, autorizacion FJZ, revision/WO de alcance, confirmacion BOM y evidencia de implementacion si aplica.</t>
        </is>
      </c>
      <c r="V329" s="43" t="n"/>
      <c r="W329" s="43" t="n"/>
      <c r="X329" s="43" t="inlineStr">
        <is>
          <t>INFO</t>
        </is>
      </c>
      <c r="Y329" s="43" t="n"/>
      <c r="Z329" s="43" t="inlineStr">
        <is>
          <t>Pending Review</t>
        </is>
      </c>
      <c r="AA329" s="43" t="inlineStr">
        <is>
          <t>N</t>
        </is>
      </c>
      <c r="AB329" s="43" t="n"/>
      <c r="AC329" s="33" t="inlineStr">
        <is>
          <t xml:space="preserve">FUENTE: Deviation.csv filas 145,331; Item Number original=73-21146-12 (prefijo 73- es CANDIDATO de PCBA, no confirmacion en Common DB); Workflow de origen=Extended; FJZ no validado, revision PCBA/WO no informadas. </t>
        </is>
      </c>
    </row>
    <row r="330">
      <c r="A330" s="43" t="inlineStr">
        <is>
          <t>DA-CTANJZ05285-CRBU-73-19875-07</t>
        </is>
      </c>
      <c r="B330" s="43" t="n"/>
      <c r="C330" s="43" t="n"/>
      <c r="D330" s="43" t="inlineStr">
        <is>
          <t>73-19875-07</t>
        </is>
      </c>
      <c r="E330" s="43" t="inlineStr">
        <is>
          <t>DEV-CTANJZ05285</t>
        </is>
      </c>
      <c r="F330" s="43" t="n"/>
      <c r="G330" s="43" t="inlineStr">
        <is>
          <t>CRBU</t>
        </is>
      </c>
      <c r="H330" s="43" t="n"/>
      <c r="I330" s="43" t="n"/>
      <c r="J330" s="43" t="n"/>
      <c r="K330" s="43" t="n"/>
      <c r="L330" s="43" t="n"/>
      <c r="M330" s="43" t="n"/>
      <c r="N330" s="43" t="n"/>
      <c r="O330" s="43" t="n"/>
      <c r="P330" s="43" t="n"/>
      <c r="Q330" s="43" t="inlineStr">
        <is>
          <t>BOARD</t>
        </is>
      </c>
      <c r="R330" s="33" t="inlineStr">
        <is>
          <t>REVISAR D611828: verificar accion documentada, PN/revision y vigencia para la corrida. No autoriza sustitucion ni uso de material.</t>
        </is>
      </c>
      <c r="S330" s="43" t="inlineStr">
        <is>
          <t>INFO</t>
        </is>
      </c>
      <c r="T330" s="33" t="inlineStr">
        <is>
          <t>Validar desviacion aprobada y estado; contrastar PN exacto y revision con Common DB, BOM/AVL, WO y fecha de corrida.</t>
        </is>
      </c>
      <c r="U330" s="33" t="inlineStr">
        <is>
          <t>Documento oficial firmado, autorizacion FJZ, revision/WO de alcance, confirmacion BOM y evidencia de implementacion si aplica.</t>
        </is>
      </c>
      <c r="V330" s="43" t="n"/>
      <c r="W330" s="43" t="n"/>
      <c r="X330" s="43" t="inlineStr">
        <is>
          <t>INFO</t>
        </is>
      </c>
      <c r="Y330" s="43" t="n"/>
      <c r="Z330" s="43" t="inlineStr">
        <is>
          <t>Pending Review</t>
        </is>
      </c>
      <c r="AA330" s="43" t="inlineStr">
        <is>
          <t>N</t>
        </is>
      </c>
      <c r="AB330" s="43" t="n"/>
      <c r="AC330" s="33" t="inlineStr">
        <is>
          <t xml:space="preserve">FUENTE: Deviation.csv filas 1503; Item Number original=73-19875-07 (prefijo 73- es CANDIDATO de PCBA, no confirmacion en Common DB); Workflow de origen=Expired; FJZ no validado, revision PCBA/WO no informadas. </t>
        </is>
      </c>
    </row>
    <row r="331">
      <c r="A331" s="43" t="inlineStr">
        <is>
          <t>DA-CTANJZ05285-CRBU-73-19875-08</t>
        </is>
      </c>
      <c r="B331" s="43" t="n"/>
      <c r="C331" s="43" t="n"/>
      <c r="D331" s="43" t="inlineStr">
        <is>
          <t>73-19875-08</t>
        </is>
      </c>
      <c r="E331" s="43" t="inlineStr">
        <is>
          <t>DEV-CTANJZ05285</t>
        </is>
      </c>
      <c r="F331" s="43" t="n"/>
      <c r="G331" s="43" t="inlineStr">
        <is>
          <t>CRBU</t>
        </is>
      </c>
      <c r="H331" s="43" t="n"/>
      <c r="I331" s="43" t="n"/>
      <c r="J331" s="43" t="n"/>
      <c r="K331" s="43" t="n"/>
      <c r="L331" s="43" t="n"/>
      <c r="M331" s="43" t="n"/>
      <c r="N331" s="43" t="n"/>
      <c r="O331" s="43" t="n"/>
      <c r="P331" s="43" t="n"/>
      <c r="Q331" s="43" t="inlineStr">
        <is>
          <t>BOARD</t>
        </is>
      </c>
      <c r="R331" s="33" t="inlineStr">
        <is>
          <t>REVISAR D611828: verificar accion documentada, PN/revision y vigencia para la corrida. No autoriza sustitucion ni uso de material.</t>
        </is>
      </c>
      <c r="S331" s="43" t="inlineStr">
        <is>
          <t>INFO</t>
        </is>
      </c>
      <c r="T331" s="33" t="inlineStr">
        <is>
          <t>Validar desviacion aprobada y estado; contrastar PN exacto y revision con Common DB, BOM/AVL, WO y fecha de corrida.</t>
        </is>
      </c>
      <c r="U331" s="33" t="inlineStr">
        <is>
          <t>Documento oficial firmado, autorizacion FJZ, revision/WO de alcance, confirmacion BOM y evidencia de implementacion si aplica.</t>
        </is>
      </c>
      <c r="V331" s="43" t="n"/>
      <c r="W331" s="43" t="n"/>
      <c r="X331" s="43" t="inlineStr">
        <is>
          <t>INFO</t>
        </is>
      </c>
      <c r="Y331" s="43" t="n"/>
      <c r="Z331" s="43" t="inlineStr">
        <is>
          <t>Pending Review</t>
        </is>
      </c>
      <c r="AA331" s="43" t="inlineStr">
        <is>
          <t>N</t>
        </is>
      </c>
      <c r="AB331" s="43" t="n"/>
      <c r="AC331" s="33" t="inlineStr">
        <is>
          <t xml:space="preserve">FUENTE: Deviation.csv filas 1526; Item Number original=73-19875-08 (prefijo 73- es CANDIDATO de PCBA, no confirmacion en Common DB); Workflow de origen=Expired; FJZ no validado, revision PCBA/WO no informadas. </t>
        </is>
      </c>
    </row>
    <row r="332">
      <c r="A332" s="43" t="inlineStr">
        <is>
          <t>DA-CTANJZ05285-CRBU-73-20176-08</t>
        </is>
      </c>
      <c r="B332" s="43" t="n"/>
      <c r="C332" s="43" t="n"/>
      <c r="D332" s="43" t="inlineStr">
        <is>
          <t>73-20176-08</t>
        </is>
      </c>
      <c r="E332" s="43" t="inlineStr">
        <is>
          <t>DEV-CTANJZ05285</t>
        </is>
      </c>
      <c r="F332" s="43" t="n"/>
      <c r="G332" s="43" t="inlineStr">
        <is>
          <t>CRBU</t>
        </is>
      </c>
      <c r="H332" s="43" t="n"/>
      <c r="I332" s="43" t="n"/>
      <c r="J332" s="43" t="n"/>
      <c r="K332" s="43" t="n"/>
      <c r="L332" s="43" t="n"/>
      <c r="M332" s="43" t="n"/>
      <c r="N332" s="43" t="n"/>
      <c r="O332" s="43" t="n"/>
      <c r="P332" s="43" t="n"/>
      <c r="Q332" s="43" t="inlineStr">
        <is>
          <t>BOARD</t>
        </is>
      </c>
      <c r="R332" s="33" t="inlineStr">
        <is>
          <t>REVISAR D611828: verificar accion documentada, PN/revision y vigencia para la corrida. No autoriza sustitucion ni uso de material.</t>
        </is>
      </c>
      <c r="S332" s="43" t="inlineStr">
        <is>
          <t>INFO</t>
        </is>
      </c>
      <c r="T332" s="33" t="inlineStr">
        <is>
          <t>Validar desviacion aprobada y estado; contrastar PN exacto y revision con Common DB, BOM/AVL, WO y fecha de corrida.</t>
        </is>
      </c>
      <c r="U332" s="33" t="inlineStr">
        <is>
          <t>Documento oficial firmado, autorizacion FJZ, revision/WO de alcance, confirmacion BOM y evidencia de implementacion si aplica.</t>
        </is>
      </c>
      <c r="V332" s="43" t="n"/>
      <c r="W332" s="43" t="n"/>
      <c r="X332" s="43" t="inlineStr">
        <is>
          <t>INFO</t>
        </is>
      </c>
      <c r="Y332" s="43" t="n"/>
      <c r="Z332" s="43" t="inlineStr">
        <is>
          <t>Pending Review</t>
        </is>
      </c>
      <c r="AA332" s="43" t="inlineStr">
        <is>
          <t>N</t>
        </is>
      </c>
      <c r="AB332" s="43" t="n"/>
      <c r="AC332" s="33" t="inlineStr">
        <is>
          <t xml:space="preserve">FUENTE: Deviation.csv filas 1527; Item Number original=73-20176-08 (prefijo 73- es CANDIDATO de PCBA, no confirmacion en Common DB); Workflow de origen=Expired; FJZ no validado, revision PCBA/WO no informadas. </t>
        </is>
      </c>
    </row>
    <row r="333">
      <c r="A333" s="43" t="inlineStr">
        <is>
          <t>DA-CTANJZ05285-CRBU-73-20176-09</t>
        </is>
      </c>
      <c r="B333" s="43" t="n"/>
      <c r="C333" s="43" t="n"/>
      <c r="D333" s="43" t="inlineStr">
        <is>
          <t>73-20176-09</t>
        </is>
      </c>
      <c r="E333" s="43" t="inlineStr">
        <is>
          <t>DEV-CTANJZ05285</t>
        </is>
      </c>
      <c r="F333" s="43" t="n"/>
      <c r="G333" s="43" t="inlineStr">
        <is>
          <t>CRBU</t>
        </is>
      </c>
      <c r="H333" s="43" t="n"/>
      <c r="I333" s="43" t="n"/>
      <c r="J333" s="43" t="n"/>
      <c r="K333" s="43" t="n"/>
      <c r="L333" s="43" t="n"/>
      <c r="M333" s="43" t="n"/>
      <c r="N333" s="43" t="n"/>
      <c r="O333" s="43" t="n"/>
      <c r="P333" s="43" t="n"/>
      <c r="Q333" s="43" t="inlineStr">
        <is>
          <t>BOARD</t>
        </is>
      </c>
      <c r="R333" s="33" t="inlineStr">
        <is>
          <t>REVISAR D611828: verificar accion documentada, PN/revision y vigencia para la corrida. No autoriza sustitucion ni uso de material.</t>
        </is>
      </c>
      <c r="S333" s="43" t="inlineStr">
        <is>
          <t>INFO</t>
        </is>
      </c>
      <c r="T333" s="33" t="inlineStr">
        <is>
          <t>Validar desviacion aprobada y estado; contrastar PN exacto y revision con Common DB, BOM/AVL, WO y fecha de corrida.</t>
        </is>
      </c>
      <c r="U333" s="33" t="inlineStr">
        <is>
          <t>Documento oficial firmado, autorizacion FJZ, revision/WO de alcance, confirmacion BOM y evidencia de implementacion si aplica.</t>
        </is>
      </c>
      <c r="V333" s="43" t="n"/>
      <c r="W333" s="43" t="n"/>
      <c r="X333" s="43" t="inlineStr">
        <is>
          <t>INFO</t>
        </is>
      </c>
      <c r="Y333" s="43" t="n"/>
      <c r="Z333" s="43" t="inlineStr">
        <is>
          <t>Pending Review</t>
        </is>
      </c>
      <c r="AA333" s="43" t="inlineStr">
        <is>
          <t>N</t>
        </is>
      </c>
      <c r="AB333" s="43" t="n"/>
      <c r="AC333" s="33" t="inlineStr">
        <is>
          <t xml:space="preserve">FUENTE: Deviation.csv filas 1528; Item Number original=73-20176-09 (prefijo 73- es CANDIDATO de PCBA, no confirmacion en Common DB); Workflow de origen=Expired; FJZ no validado, revision PCBA/WO no informadas. </t>
        </is>
      </c>
    </row>
    <row r="334">
      <c r="A334" s="43" t="inlineStr">
        <is>
          <t>DA-CTANJZ05285-CRBU-73-20513-09</t>
        </is>
      </c>
      <c r="B334" s="43" t="n"/>
      <c r="C334" s="43" t="n"/>
      <c r="D334" s="43" t="inlineStr">
        <is>
          <t>73-20513-09</t>
        </is>
      </c>
      <c r="E334" s="43" t="inlineStr">
        <is>
          <t>DEV-CTANJZ05285</t>
        </is>
      </c>
      <c r="F334" s="43" t="n"/>
      <c r="G334" s="43" t="inlineStr">
        <is>
          <t>CRBU</t>
        </is>
      </c>
      <c r="H334" s="43" t="n"/>
      <c r="I334" s="43" t="n"/>
      <c r="J334" s="43" t="n"/>
      <c r="K334" s="43" t="n"/>
      <c r="L334" s="43" t="n"/>
      <c r="M334" s="43" t="n"/>
      <c r="N334" s="43" t="n"/>
      <c r="O334" s="43" t="n"/>
      <c r="P334" s="43" t="n"/>
      <c r="Q334" s="43" t="inlineStr">
        <is>
          <t>BOARD</t>
        </is>
      </c>
      <c r="R334" s="33" t="inlineStr">
        <is>
          <t>REVISAR D611828: verificar accion documentada, PN/revision y vigencia para la corrida. No autoriza sustitucion ni uso de material.</t>
        </is>
      </c>
      <c r="S334" s="43" t="inlineStr">
        <is>
          <t>INFO</t>
        </is>
      </c>
      <c r="T334" s="33" t="inlineStr">
        <is>
          <t>Validar desviacion aprobada y estado; contrastar PN exacto y revision con Common DB, BOM/AVL, WO y fecha de corrida.</t>
        </is>
      </c>
      <c r="U334" s="33" t="inlineStr">
        <is>
          <t>Documento oficial firmado, autorizacion FJZ, revision/WO de alcance, confirmacion BOM y evidencia de implementacion si aplica.</t>
        </is>
      </c>
      <c r="V334" s="43" t="n"/>
      <c r="W334" s="43" t="n"/>
      <c r="X334" s="43" t="inlineStr">
        <is>
          <t>INFO</t>
        </is>
      </c>
      <c r="Y334" s="43" t="n"/>
      <c r="Z334" s="43" t="inlineStr">
        <is>
          <t>Pending Review</t>
        </is>
      </c>
      <c r="AA334" s="43" t="inlineStr">
        <is>
          <t>N</t>
        </is>
      </c>
      <c r="AB334" s="43" t="n"/>
      <c r="AC334" s="33" t="inlineStr">
        <is>
          <t xml:space="preserve">FUENTE: Deviation.csv filas 1529; Item Number original=73-20513-09 (prefijo 73- es CANDIDATO de PCBA, no confirmacion en Common DB); Workflow de origen=Expired; FJZ no validado, revision PCBA/WO no informadas. </t>
        </is>
      </c>
    </row>
    <row r="335">
      <c r="A335" s="43" t="inlineStr">
        <is>
          <t>DA-CTANJZ05291-CRBU-73-102363-05</t>
        </is>
      </c>
      <c r="B335" s="43" t="n"/>
      <c r="C335" s="43" t="n"/>
      <c r="D335" s="43" t="inlineStr">
        <is>
          <t>73-102363-05</t>
        </is>
      </c>
      <c r="E335" s="43" t="inlineStr">
        <is>
          <t>DEV-CTANJZ05291</t>
        </is>
      </c>
      <c r="F335" s="43" t="n"/>
      <c r="G335" s="43" t="inlineStr">
        <is>
          <t>CRBU</t>
        </is>
      </c>
      <c r="H335" s="43" t="n"/>
      <c r="I335" s="43" t="n"/>
      <c r="J335" s="43" t="n"/>
      <c r="K335" s="43" t="n"/>
      <c r="L335" s="43" t="n"/>
      <c r="M335" s="43" t="n"/>
      <c r="N335" s="43" t="n"/>
      <c r="O335" s="43" t="n"/>
      <c r="P335" s="43" t="n"/>
      <c r="Q335" s="43" t="inlineStr">
        <is>
          <t>BOARD</t>
        </is>
      </c>
      <c r="R335" s="33" t="inlineStr">
        <is>
          <t>REVISAR D611588: verificar accion documentada, PN/revision y vigencia para la corrida. No autoriza sustitucion ni uso de material.</t>
        </is>
      </c>
      <c r="S335" s="43" t="inlineStr">
        <is>
          <t>INFO</t>
        </is>
      </c>
      <c r="T335" s="33" t="inlineStr">
        <is>
          <t>Validar desviacion aprobada y estado; contrastar PN exacto y revision con Common DB, BOM/AVL, WO y fecha de corrida.</t>
        </is>
      </c>
      <c r="U335" s="33" t="inlineStr">
        <is>
          <t>Documento oficial firmado, autorizacion FJZ, revision/WO de alcance, confirmacion BOM y evidencia de implementacion si aplica.</t>
        </is>
      </c>
      <c r="V335" s="43" t="n"/>
      <c r="W335" s="43" t="n"/>
      <c r="X335" s="43" t="inlineStr">
        <is>
          <t>INFO</t>
        </is>
      </c>
      <c r="Y335" s="43" t="n"/>
      <c r="Z335" s="43" t="inlineStr">
        <is>
          <t>Pending Review</t>
        </is>
      </c>
      <c r="AA335" s="43" t="inlineStr">
        <is>
          <t>N</t>
        </is>
      </c>
      <c r="AB335" s="43" t="n"/>
      <c r="AC335" s="33" t="inlineStr">
        <is>
          <t xml:space="preserve">FUENTE: Deviation.csv filas 1344; Item Number original=73-102363-05 (prefijo 73- es CANDIDATO de PCBA, no confirmacion en Common DB); Workflow de origen=Expired; FJZ no validado, revision PCBA/WO no informadas. </t>
        </is>
      </c>
    </row>
    <row r="336">
      <c r="A336" s="43" t="inlineStr">
        <is>
          <t>DA-CTANJZ05292-CRBU-73-102362-05</t>
        </is>
      </c>
      <c r="B336" s="43" t="n"/>
      <c r="C336" s="43" t="n"/>
      <c r="D336" s="43" t="inlineStr">
        <is>
          <t>73-102362-05</t>
        </is>
      </c>
      <c r="E336" s="43" t="inlineStr">
        <is>
          <t>DEV-CTANJZ05292</t>
        </is>
      </c>
      <c r="F336" s="43" t="n"/>
      <c r="G336" s="43" t="inlineStr">
        <is>
          <t>CRBU</t>
        </is>
      </c>
      <c r="H336" s="43" t="n"/>
      <c r="I336" s="43" t="n"/>
      <c r="J336" s="43" t="n"/>
      <c r="K336" s="43" t="n"/>
      <c r="L336" s="43" t="n"/>
      <c r="M336" s="43" t="n"/>
      <c r="N336" s="43" t="n"/>
      <c r="O336" s="43" t="n"/>
      <c r="P336" s="43" t="n"/>
      <c r="Q336" s="43" t="inlineStr">
        <is>
          <t>BOARD</t>
        </is>
      </c>
      <c r="R336" s="33" t="inlineStr">
        <is>
          <t>REVISAR D612032: verificar accion documentada, PN/revision y vigencia para la corrida. No autoriza sustitucion ni uso de material.</t>
        </is>
      </c>
      <c r="S336" s="43" t="inlineStr">
        <is>
          <t>INFO</t>
        </is>
      </c>
      <c r="T336" s="33" t="inlineStr">
        <is>
          <t>Validar desviacion aprobada y estado; contrastar PN exacto y revision con Common DB, BOM/AVL, WO y fecha de corrida.</t>
        </is>
      </c>
      <c r="U336" s="33" t="inlineStr">
        <is>
          <t>Documento oficial firmado, autorizacion FJZ, revision/WO de alcance, confirmacion BOM y evidencia de implementacion si aplica.</t>
        </is>
      </c>
      <c r="V336" s="43" t="n"/>
      <c r="W336" s="43" t="n"/>
      <c r="X336" s="43" t="inlineStr">
        <is>
          <t>INFO</t>
        </is>
      </c>
      <c r="Y336" s="43" t="n"/>
      <c r="Z336" s="43" t="inlineStr">
        <is>
          <t>Pending Review</t>
        </is>
      </c>
      <c r="AA336" s="43" t="inlineStr">
        <is>
          <t>N</t>
        </is>
      </c>
      <c r="AB336" s="43" t="n"/>
      <c r="AC336" s="33" t="inlineStr">
        <is>
          <t xml:space="preserve">FUENTE: Deviation.csv filas 336; Item Number original=73-102362-05 (prefijo 73- es CANDIDATO de PCBA, no confirmacion en Common DB); Workflow de origen=Extended; FJZ no validado, revision PCBA/WO no informadas. </t>
        </is>
      </c>
    </row>
    <row r="337">
      <c r="A337" s="43" t="inlineStr">
        <is>
          <t>DA-CTANJZ05292-CRBU-73-102363-05</t>
        </is>
      </c>
      <c r="B337" s="43" t="n"/>
      <c r="C337" s="43" t="n"/>
      <c r="D337" s="43" t="inlineStr">
        <is>
          <t>73-102363-05</t>
        </is>
      </c>
      <c r="E337" s="43" t="inlineStr">
        <is>
          <t>DEV-CTANJZ05292</t>
        </is>
      </c>
      <c r="F337" s="43" t="n"/>
      <c r="G337" s="43" t="inlineStr">
        <is>
          <t>CRBU</t>
        </is>
      </c>
      <c r="H337" s="43" t="n"/>
      <c r="I337" s="43" t="n"/>
      <c r="J337" s="43" t="n"/>
      <c r="K337" s="43" t="n"/>
      <c r="L337" s="43" t="n"/>
      <c r="M337" s="43" t="n"/>
      <c r="N337" s="43" t="n"/>
      <c r="O337" s="43" t="n"/>
      <c r="P337" s="43" t="n"/>
      <c r="Q337" s="43" t="inlineStr">
        <is>
          <t>BOARD</t>
        </is>
      </c>
      <c r="R337" s="33" t="inlineStr">
        <is>
          <t>REVISAR D612032: verificar accion documentada, PN/revision y vigencia para la corrida. No autoriza sustitucion ni uso de material.</t>
        </is>
      </c>
      <c r="S337" s="43" t="inlineStr">
        <is>
          <t>INFO</t>
        </is>
      </c>
      <c r="T337" s="33" t="inlineStr">
        <is>
          <t>Validar desviacion aprobada y estado; contrastar PN exacto y revision con Common DB, BOM/AVL, WO y fecha de corrida.</t>
        </is>
      </c>
      <c r="U337" s="33" t="inlineStr">
        <is>
          <t>Documento oficial firmado, autorizacion FJZ, revision/WO de alcance, confirmacion BOM y evidencia de implementacion si aplica.</t>
        </is>
      </c>
      <c r="V337" s="43" t="n"/>
      <c r="W337" s="43" t="n"/>
      <c r="X337" s="43" t="inlineStr">
        <is>
          <t>INFO</t>
        </is>
      </c>
      <c r="Y337" s="43" t="n"/>
      <c r="Z337" s="43" t="inlineStr">
        <is>
          <t>Pending Review</t>
        </is>
      </c>
      <c r="AA337" s="43" t="inlineStr">
        <is>
          <t>N</t>
        </is>
      </c>
      <c r="AB337" s="43" t="n"/>
      <c r="AC337" s="33" t="inlineStr">
        <is>
          <t xml:space="preserve">FUENTE: Deviation.csv filas 337; Item Number original=73-102363-05 (prefijo 73- es CANDIDATO de PCBA, no confirmacion en Common DB); Workflow de origen=Extended; FJZ no validado, revision PCBA/WO no informadas. </t>
        </is>
      </c>
    </row>
    <row r="338">
      <c r="A338" s="43" t="inlineStr">
        <is>
          <t>DA-CTANJZ05292-CRBU-73-20922-04</t>
        </is>
      </c>
      <c r="B338" s="43" t="n"/>
      <c r="C338" s="43" t="n"/>
      <c r="D338" s="43" t="inlineStr">
        <is>
          <t>73-20922-04</t>
        </is>
      </c>
      <c r="E338" s="43" t="inlineStr">
        <is>
          <t>DEV-CTANJZ05292</t>
        </is>
      </c>
      <c r="F338" s="43" t="n"/>
      <c r="G338" s="43" t="inlineStr">
        <is>
          <t>CRBU</t>
        </is>
      </c>
      <c r="H338" s="43" t="n"/>
      <c r="I338" s="43" t="n"/>
      <c r="J338" s="43" t="n"/>
      <c r="K338" s="43" t="n"/>
      <c r="L338" s="43" t="n"/>
      <c r="M338" s="43" t="n"/>
      <c r="N338" s="43" t="n"/>
      <c r="O338" s="43" t="n"/>
      <c r="P338" s="43" t="n"/>
      <c r="Q338" s="43" t="inlineStr">
        <is>
          <t>BOARD</t>
        </is>
      </c>
      <c r="R338" s="33" t="inlineStr">
        <is>
          <t>REVISAR D612032: verificar accion documentada, PN/revision y vigencia para la corrida. No autoriza sustitucion ni uso de material.</t>
        </is>
      </c>
      <c r="S338" s="43" t="inlineStr">
        <is>
          <t>INFO</t>
        </is>
      </c>
      <c r="T338" s="33" t="inlineStr">
        <is>
          <t>Validar desviacion aprobada y estado; contrastar PN exacto y revision con Common DB, BOM/AVL, WO y fecha de corrida.</t>
        </is>
      </c>
      <c r="U338" s="33" t="inlineStr">
        <is>
          <t>Documento oficial firmado, autorizacion FJZ, revision/WO de alcance, confirmacion BOM y evidencia de implementacion si aplica.</t>
        </is>
      </c>
      <c r="V338" s="43" t="n"/>
      <c r="W338" s="43" t="n"/>
      <c r="X338" s="43" t="inlineStr">
        <is>
          <t>INFO</t>
        </is>
      </c>
      <c r="Y338" s="43" t="n"/>
      <c r="Z338" s="43" t="inlineStr">
        <is>
          <t>Pending Review</t>
        </is>
      </c>
      <c r="AA338" s="43" t="inlineStr">
        <is>
          <t>N</t>
        </is>
      </c>
      <c r="AB338" s="43" t="n"/>
      <c r="AC338" s="33" t="inlineStr">
        <is>
          <t xml:space="preserve">FUENTE: Deviation.csv filas 189; Item Number original=73-20922-04 (prefijo 73- es CANDIDATO de PCBA, no confirmacion en Common DB); Workflow de origen=Expired; FJZ no validado, revision PCBA/WO no informadas. </t>
        </is>
      </c>
    </row>
    <row r="339">
      <c r="A339" s="43" t="inlineStr">
        <is>
          <t>DA-CTANJZ05298-CRBU-73-20516-05</t>
        </is>
      </c>
      <c r="B339" s="43" t="n"/>
      <c r="C339" s="43" t="n"/>
      <c r="D339" s="43" t="inlineStr">
        <is>
          <t>73-20516-05</t>
        </is>
      </c>
      <c r="E339" s="43" t="inlineStr">
        <is>
          <t>DEV-CTANJZ05298</t>
        </is>
      </c>
      <c r="F339" s="43" t="n"/>
      <c r="G339" s="43" t="inlineStr">
        <is>
          <t>CRBU</t>
        </is>
      </c>
      <c r="H339" s="43" t="n"/>
      <c r="I339" s="43" t="n"/>
      <c r="J339" s="43" t="n"/>
      <c r="K339" s="43" t="n"/>
      <c r="L339" s="43" t="n"/>
      <c r="M339" s="43" t="n"/>
      <c r="N339" s="43" t="n"/>
      <c r="O339" s="43" t="n"/>
      <c r="P339" s="43" t="n"/>
      <c r="Q339" s="43" t="inlineStr">
        <is>
          <t>BOARD</t>
        </is>
      </c>
      <c r="R339" s="33" t="inlineStr">
        <is>
          <t>REVISAR D612004: verificar accion documentada, PN/revision y vigencia para la corrida. No autoriza sustitucion ni uso de material.</t>
        </is>
      </c>
      <c r="S339" s="43" t="inlineStr">
        <is>
          <t>INFO</t>
        </is>
      </c>
      <c r="T339" s="33" t="inlineStr">
        <is>
          <t>Validar desviacion aprobada y estado; contrastar PN exacto y revision con Common DB, BOM/AVL, WO y fecha de corrida.</t>
        </is>
      </c>
      <c r="U339" s="33" t="inlineStr">
        <is>
          <t>Documento oficial firmado, autorizacion FJZ, revision/WO de alcance, confirmacion BOM y evidencia de implementacion si aplica.</t>
        </is>
      </c>
      <c r="V339" s="43" t="n"/>
      <c r="W339" s="43" t="n"/>
      <c r="X339" s="43" t="inlineStr">
        <is>
          <t>INFO</t>
        </is>
      </c>
      <c r="Y339" s="43" t="n"/>
      <c r="Z339" s="43" t="inlineStr">
        <is>
          <t>Pending Review</t>
        </is>
      </c>
      <c r="AA339" s="43" t="inlineStr">
        <is>
          <t>N</t>
        </is>
      </c>
      <c r="AB339" s="43" t="n"/>
      <c r="AC339" s="33" t="inlineStr">
        <is>
          <t xml:space="preserve">FUENTE: Deviation.csv filas 1332; Item Number original=73-20516-05 (prefijo 73- es CANDIDATO de PCBA, no confirmacion en Common DB); Workflow de origen=Expired; FJZ no validado, revision PCBA/WO no informadas. </t>
        </is>
      </c>
    </row>
    <row r="340">
      <c r="A340" s="43" t="inlineStr">
        <is>
          <t>DA-CTANJZ05301-CRBU-73-101492-04</t>
        </is>
      </c>
      <c r="B340" s="43" t="n"/>
      <c r="C340" s="43" t="n"/>
      <c r="D340" s="43" t="inlineStr">
        <is>
          <t>73-101492-04</t>
        </is>
      </c>
      <c r="E340" s="43" t="inlineStr">
        <is>
          <t>DEV-CTANJZ05301</t>
        </is>
      </c>
      <c r="F340" s="43" t="n"/>
      <c r="G340" s="43" t="inlineStr">
        <is>
          <t>CRBU</t>
        </is>
      </c>
      <c r="H340" s="43" t="n"/>
      <c r="I340" s="43" t="n"/>
      <c r="J340" s="43" t="n"/>
      <c r="K340" s="43" t="n"/>
      <c r="L340" s="43" t="n"/>
      <c r="M340" s="43" t="n"/>
      <c r="N340" s="43" t="n"/>
      <c r="O340" s="43" t="n"/>
      <c r="P340" s="43" t="n"/>
      <c r="Q340" s="43" t="inlineStr">
        <is>
          <t>BOARD</t>
        </is>
      </c>
      <c r="R340" s="33" t="inlineStr">
        <is>
          <t>REVISAR D611612: verificar accion documentada, PN/revision y vigencia para la corrida. No autoriza sustitucion ni uso de material.</t>
        </is>
      </c>
      <c r="S340" s="43" t="inlineStr">
        <is>
          <t>INFO</t>
        </is>
      </c>
      <c r="T340" s="33" t="inlineStr">
        <is>
          <t>Validar desviacion aprobada y estado; contrastar PN exacto y revision con Common DB, BOM/AVL, WO y fecha de corrida.</t>
        </is>
      </c>
      <c r="U340" s="33" t="inlineStr">
        <is>
          <t>Documento oficial firmado, autorizacion FJZ, revision/WO de alcance, confirmacion BOM y evidencia de implementacion si aplica.</t>
        </is>
      </c>
      <c r="V340" s="43" t="n"/>
      <c r="W340" s="43" t="n"/>
      <c r="X340" s="43" t="inlineStr">
        <is>
          <t>INFO</t>
        </is>
      </c>
      <c r="Y340" s="43" t="n"/>
      <c r="Z340" s="43" t="inlineStr">
        <is>
          <t>Pending Review</t>
        </is>
      </c>
      <c r="AA340" s="43" t="inlineStr">
        <is>
          <t>N</t>
        </is>
      </c>
      <c r="AB340" s="43" t="n"/>
      <c r="AC340" s="33" t="inlineStr">
        <is>
          <t xml:space="preserve">FUENTE: Deviation.csv filas 1130; Item Number original=73-101492-04 (prefijo 73- es CANDIDATO de PCBA, no confirmacion en Common DB); Workflow de origen=Expired; FJZ no validado, revision PCBA/WO no informadas. </t>
        </is>
      </c>
    </row>
    <row r="341">
      <c r="A341" s="43" t="inlineStr">
        <is>
          <t>DA-CTANJZ05301-CRBU-73-101882-03</t>
        </is>
      </c>
      <c r="B341" s="43" t="n"/>
      <c r="C341" s="43" t="n"/>
      <c r="D341" s="43" t="inlineStr">
        <is>
          <t>73-101882-03</t>
        </is>
      </c>
      <c r="E341" s="43" t="inlineStr">
        <is>
          <t>DEV-CTANJZ05301</t>
        </is>
      </c>
      <c r="F341" s="43" t="n"/>
      <c r="G341" s="43" t="inlineStr">
        <is>
          <t>CRBU</t>
        </is>
      </c>
      <c r="H341" s="43" t="n"/>
      <c r="I341" s="43" t="n"/>
      <c r="J341" s="43" t="n"/>
      <c r="K341" s="43" t="n"/>
      <c r="L341" s="43" t="n"/>
      <c r="M341" s="43" t="n"/>
      <c r="N341" s="43" t="n"/>
      <c r="O341" s="43" t="n"/>
      <c r="P341" s="43" t="n"/>
      <c r="Q341" s="43" t="inlineStr">
        <is>
          <t>BOARD</t>
        </is>
      </c>
      <c r="R341" s="33" t="inlineStr">
        <is>
          <t>REVISAR D611612: verificar accion documentada, PN/revision y vigencia para la corrida. No autoriza sustitucion ni uso de material.</t>
        </is>
      </c>
      <c r="S341" s="43" t="inlineStr">
        <is>
          <t>INFO</t>
        </is>
      </c>
      <c r="T341" s="33" t="inlineStr">
        <is>
          <t>Validar desviacion aprobada y estado; contrastar PN exacto y revision con Common DB, BOM/AVL, WO y fecha de corrida.</t>
        </is>
      </c>
      <c r="U341" s="33" t="inlineStr">
        <is>
          <t>Documento oficial firmado, autorizacion FJZ, revision/WO de alcance, confirmacion BOM y evidencia de implementacion si aplica.</t>
        </is>
      </c>
      <c r="V341" s="43" t="n"/>
      <c r="W341" s="43" t="n"/>
      <c r="X341" s="43" t="inlineStr">
        <is>
          <t>INFO</t>
        </is>
      </c>
      <c r="Y341" s="43" t="n"/>
      <c r="Z341" s="43" t="inlineStr">
        <is>
          <t>Pending Review</t>
        </is>
      </c>
      <c r="AA341" s="43" t="inlineStr">
        <is>
          <t>N</t>
        </is>
      </c>
      <c r="AB341" s="43" t="n"/>
      <c r="AC341" s="33" t="inlineStr">
        <is>
          <t xml:space="preserve">FUENTE: Deviation.csv filas 1131; Item Number original=73-101882-03 (prefijo 73- es CANDIDATO de PCBA, no confirmacion en Common DB); Workflow de origen=Expired; FJZ no validado, revision PCBA/WO no informadas. </t>
        </is>
      </c>
    </row>
    <row r="342">
      <c r="A342" s="43" t="inlineStr">
        <is>
          <t>DA-CTANJZ05301-CRBU-73-101883-03</t>
        </is>
      </c>
      <c r="B342" s="43" t="n"/>
      <c r="C342" s="43" t="n"/>
      <c r="D342" s="43" t="inlineStr">
        <is>
          <t>73-101883-03</t>
        </is>
      </c>
      <c r="E342" s="43" t="inlineStr">
        <is>
          <t>DEV-CTANJZ05301</t>
        </is>
      </c>
      <c r="F342" s="43" t="n"/>
      <c r="G342" s="43" t="inlineStr">
        <is>
          <t>CRBU</t>
        </is>
      </c>
      <c r="H342" s="43" t="n"/>
      <c r="I342" s="43" t="n"/>
      <c r="J342" s="43" t="n"/>
      <c r="K342" s="43" t="n"/>
      <c r="L342" s="43" t="n"/>
      <c r="M342" s="43" t="n"/>
      <c r="N342" s="43" t="n"/>
      <c r="O342" s="43" t="n"/>
      <c r="P342" s="43" t="n"/>
      <c r="Q342" s="43" t="inlineStr">
        <is>
          <t>BOARD</t>
        </is>
      </c>
      <c r="R342" s="33" t="inlineStr">
        <is>
          <t>REVISAR D611612: verificar accion documentada, PN/revision y vigencia para la corrida. No autoriza sustitucion ni uso de material.</t>
        </is>
      </c>
      <c r="S342" s="43" t="inlineStr">
        <is>
          <t>INFO</t>
        </is>
      </c>
      <c r="T342" s="33" t="inlineStr">
        <is>
          <t>Validar desviacion aprobada y estado; contrastar PN exacto y revision con Common DB, BOM/AVL, WO y fecha de corrida.</t>
        </is>
      </c>
      <c r="U342" s="33" t="inlineStr">
        <is>
          <t>Documento oficial firmado, autorizacion FJZ, revision/WO de alcance, confirmacion BOM y evidencia de implementacion si aplica.</t>
        </is>
      </c>
      <c r="V342" s="43" t="n"/>
      <c r="W342" s="43" t="n"/>
      <c r="X342" s="43" t="inlineStr">
        <is>
          <t>INFO</t>
        </is>
      </c>
      <c r="Y342" s="43" t="n"/>
      <c r="Z342" s="43" t="inlineStr">
        <is>
          <t>Pending Review</t>
        </is>
      </c>
      <c r="AA342" s="43" t="inlineStr">
        <is>
          <t>N</t>
        </is>
      </c>
      <c r="AB342" s="43" t="n"/>
      <c r="AC342" s="33" t="inlineStr">
        <is>
          <t xml:space="preserve">FUENTE: Deviation.csv filas 1132; Item Number original=73-101883-03 (prefijo 73- es CANDIDATO de PCBA, no confirmacion en Common DB); Workflow de origen=Expired; FJZ no validado, revision PCBA/WO no informadas. </t>
        </is>
      </c>
    </row>
    <row r="343">
      <c r="A343" s="43" t="inlineStr">
        <is>
          <t>DA-CTANJZ05301-CRBU-73-19985-06</t>
        </is>
      </c>
      <c r="B343" s="43" t="n"/>
      <c r="C343" s="43" t="n"/>
      <c r="D343" s="43" t="inlineStr">
        <is>
          <t>73-19985-06</t>
        </is>
      </c>
      <c r="E343" s="43" t="inlineStr">
        <is>
          <t>DEV-CTANJZ05301</t>
        </is>
      </c>
      <c r="F343" s="43" t="n"/>
      <c r="G343" s="43" t="inlineStr">
        <is>
          <t>CRBU</t>
        </is>
      </c>
      <c r="H343" s="43" t="n"/>
      <c r="I343" s="43" t="n"/>
      <c r="J343" s="43" t="n"/>
      <c r="K343" s="43" t="n"/>
      <c r="L343" s="43" t="n"/>
      <c r="M343" s="43" t="n"/>
      <c r="N343" s="43" t="n"/>
      <c r="O343" s="43" t="n"/>
      <c r="P343" s="43" t="n"/>
      <c r="Q343" s="43" t="inlineStr">
        <is>
          <t>BOARD</t>
        </is>
      </c>
      <c r="R343" s="33" t="inlineStr">
        <is>
          <t>REVISAR D611612: verificar accion documentada, PN/revision y vigencia para la corrida. No autoriza sustitucion ni uso de material.</t>
        </is>
      </c>
      <c r="S343" s="43" t="inlineStr">
        <is>
          <t>INFO</t>
        </is>
      </c>
      <c r="T343" s="33" t="inlineStr">
        <is>
          <t>Validar desviacion aprobada y estado; contrastar PN exacto y revision con Common DB, BOM/AVL, WO y fecha de corrida.</t>
        </is>
      </c>
      <c r="U343" s="33" t="inlineStr">
        <is>
          <t>Documento oficial firmado, autorizacion FJZ, revision/WO de alcance, confirmacion BOM y evidencia de implementacion si aplica.</t>
        </is>
      </c>
      <c r="V343" s="43" t="n"/>
      <c r="W343" s="43" t="n"/>
      <c r="X343" s="43" t="inlineStr">
        <is>
          <t>INFO</t>
        </is>
      </c>
      <c r="Y343" s="43" t="n"/>
      <c r="Z343" s="43" t="inlineStr">
        <is>
          <t>Pending Review</t>
        </is>
      </c>
      <c r="AA343" s="43" t="inlineStr">
        <is>
          <t>N</t>
        </is>
      </c>
      <c r="AB343" s="43" t="n"/>
      <c r="AC343" s="33" t="inlineStr">
        <is>
          <t xml:space="preserve">FUENTE: Deviation.csv filas 1133; Item Number original=73-19985-06 (prefijo 73- es CANDIDATO de PCBA, no confirmacion en Common DB); Workflow de origen=Expired; FJZ no validado, revision PCBA/WO no informadas. </t>
        </is>
      </c>
    </row>
    <row r="344">
      <c r="A344" s="43" t="inlineStr">
        <is>
          <t>DA-CTANJZ05301-CRBU-73-19986-06</t>
        </is>
      </c>
      <c r="B344" s="43" t="n"/>
      <c r="C344" s="43" t="n"/>
      <c r="D344" s="43" t="inlineStr">
        <is>
          <t>73-19986-06</t>
        </is>
      </c>
      <c r="E344" s="43" t="inlineStr">
        <is>
          <t>DEV-CTANJZ05301</t>
        </is>
      </c>
      <c r="F344" s="43" t="n"/>
      <c r="G344" s="43" t="inlineStr">
        <is>
          <t>CRBU</t>
        </is>
      </c>
      <c r="H344" s="43" t="n"/>
      <c r="I344" s="43" t="n"/>
      <c r="J344" s="43" t="n"/>
      <c r="K344" s="43" t="n"/>
      <c r="L344" s="43" t="n"/>
      <c r="M344" s="43" t="n"/>
      <c r="N344" s="43" t="n"/>
      <c r="O344" s="43" t="n"/>
      <c r="P344" s="43" t="n"/>
      <c r="Q344" s="43" t="inlineStr">
        <is>
          <t>BOARD</t>
        </is>
      </c>
      <c r="R344" s="33" t="inlineStr">
        <is>
          <t>REVISAR D611612: verificar accion documentada, PN/revision y vigencia para la corrida. No autoriza sustitucion ni uso de material.</t>
        </is>
      </c>
      <c r="S344" s="43" t="inlineStr">
        <is>
          <t>INFO</t>
        </is>
      </c>
      <c r="T344" s="33" t="inlineStr">
        <is>
          <t>Validar desviacion aprobada y estado; contrastar PN exacto y revision con Common DB, BOM/AVL, WO y fecha de corrida.</t>
        </is>
      </c>
      <c r="U344" s="33" t="inlineStr">
        <is>
          <t>Documento oficial firmado, autorizacion FJZ, revision/WO de alcance, confirmacion BOM y evidencia de implementacion si aplica.</t>
        </is>
      </c>
      <c r="V344" s="43" t="n"/>
      <c r="W344" s="43" t="n"/>
      <c r="X344" s="43" t="inlineStr">
        <is>
          <t>INFO</t>
        </is>
      </c>
      <c r="Y344" s="43" t="n"/>
      <c r="Z344" s="43" t="inlineStr">
        <is>
          <t>Pending Review</t>
        </is>
      </c>
      <c r="AA344" s="43" t="inlineStr">
        <is>
          <t>N</t>
        </is>
      </c>
      <c r="AB344" s="43" t="n"/>
      <c r="AC344" s="33" t="inlineStr">
        <is>
          <t xml:space="preserve">FUENTE: Deviation.csv filas 1134; Item Number original=73-19986-06 (prefijo 73- es CANDIDATO de PCBA, no confirmacion en Common DB); Workflow de origen=Expired; FJZ no validado, revision PCBA/WO no informadas. </t>
        </is>
      </c>
    </row>
    <row r="345">
      <c r="A345" s="43" t="inlineStr">
        <is>
          <t>DA-CTANJZ05301-CRBU-73-20327-06</t>
        </is>
      </c>
      <c r="B345" s="43" t="n"/>
      <c r="C345" s="43" t="n"/>
      <c r="D345" s="43" t="inlineStr">
        <is>
          <t>73-20327-06</t>
        </is>
      </c>
      <c r="E345" s="43" t="inlineStr">
        <is>
          <t>DEV-CTANJZ05301</t>
        </is>
      </c>
      <c r="F345" s="43" t="n"/>
      <c r="G345" s="43" t="inlineStr">
        <is>
          <t>CRBU</t>
        </is>
      </c>
      <c r="H345" s="43" t="n"/>
      <c r="I345" s="43" t="n"/>
      <c r="J345" s="43" t="n"/>
      <c r="K345" s="43" t="n"/>
      <c r="L345" s="43" t="n"/>
      <c r="M345" s="43" t="n"/>
      <c r="N345" s="43" t="n"/>
      <c r="O345" s="43" t="n"/>
      <c r="P345" s="43" t="n"/>
      <c r="Q345" s="43" t="inlineStr">
        <is>
          <t>BOARD</t>
        </is>
      </c>
      <c r="R345" s="33" t="inlineStr">
        <is>
          <t>REVISAR D611612: verificar accion documentada, PN/revision y vigencia para la corrida. No autoriza sustitucion ni uso de material.</t>
        </is>
      </c>
      <c r="S345" s="43" t="inlineStr">
        <is>
          <t>INFO</t>
        </is>
      </c>
      <c r="T345" s="33" t="inlineStr">
        <is>
          <t>Validar desviacion aprobada y estado; contrastar PN exacto y revision con Common DB, BOM/AVL, WO y fecha de corrida.</t>
        </is>
      </c>
      <c r="U345" s="33" t="inlineStr">
        <is>
          <t>Documento oficial firmado, autorizacion FJZ, revision/WO de alcance, confirmacion BOM y evidencia de implementacion si aplica.</t>
        </is>
      </c>
      <c r="V345" s="43" t="n"/>
      <c r="W345" s="43" t="n"/>
      <c r="X345" s="43" t="inlineStr">
        <is>
          <t>INFO</t>
        </is>
      </c>
      <c r="Y345" s="43" t="n"/>
      <c r="Z345" s="43" t="inlineStr">
        <is>
          <t>Pending Review</t>
        </is>
      </c>
      <c r="AA345" s="43" t="inlineStr">
        <is>
          <t>N</t>
        </is>
      </c>
      <c r="AB345" s="43" t="n"/>
      <c r="AC345" s="33" t="inlineStr">
        <is>
          <t xml:space="preserve">FUENTE: Deviation.csv filas 1135; Item Number original=73-20327-06 (prefijo 73- es CANDIDATO de PCBA, no confirmacion en Common DB); Workflow de origen=Expired; FJZ no validado, revision PCBA/WO no informadas. </t>
        </is>
      </c>
    </row>
    <row r="346">
      <c r="A346" s="43" t="inlineStr">
        <is>
          <t>DA-CTANJZ05301-CRBU-73-20664-04</t>
        </is>
      </c>
      <c r="B346" s="43" t="n"/>
      <c r="C346" s="43" t="n"/>
      <c r="D346" s="43" t="inlineStr">
        <is>
          <t>73-20664-04</t>
        </is>
      </c>
      <c r="E346" s="43" t="inlineStr">
        <is>
          <t>DEV-CTANJZ05301</t>
        </is>
      </c>
      <c r="F346" s="43" t="n"/>
      <c r="G346" s="43" t="inlineStr">
        <is>
          <t>CRBU</t>
        </is>
      </c>
      <c r="H346" s="43" t="n"/>
      <c r="I346" s="43" t="n"/>
      <c r="J346" s="43" t="n"/>
      <c r="K346" s="43" t="n"/>
      <c r="L346" s="43" t="n"/>
      <c r="M346" s="43" t="n"/>
      <c r="N346" s="43" t="n"/>
      <c r="O346" s="43" t="n"/>
      <c r="P346" s="43" t="n"/>
      <c r="Q346" s="43" t="inlineStr">
        <is>
          <t>BOARD</t>
        </is>
      </c>
      <c r="R346" s="33" t="inlineStr">
        <is>
          <t>REVISAR D611612: verificar accion documentada, PN/revision y vigencia para la corrida. No autoriza sustitucion ni uso de material.</t>
        </is>
      </c>
      <c r="S346" s="43" t="inlineStr">
        <is>
          <t>INFO</t>
        </is>
      </c>
      <c r="T346" s="33" t="inlineStr">
        <is>
          <t>Validar desviacion aprobada y estado; contrastar PN exacto y revision con Common DB, BOM/AVL, WO y fecha de corrida.</t>
        </is>
      </c>
      <c r="U346" s="33" t="inlineStr">
        <is>
          <t>Documento oficial firmado, autorizacion FJZ, revision/WO de alcance, confirmacion BOM y evidencia de implementacion si aplica.</t>
        </is>
      </c>
      <c r="V346" s="43" t="n"/>
      <c r="W346" s="43" t="n"/>
      <c r="X346" s="43" t="inlineStr">
        <is>
          <t>INFO</t>
        </is>
      </c>
      <c r="Y346" s="43" t="n"/>
      <c r="Z346" s="43" t="inlineStr">
        <is>
          <t>Pending Review</t>
        </is>
      </c>
      <c r="AA346" s="43" t="inlineStr">
        <is>
          <t>N</t>
        </is>
      </c>
      <c r="AB346" s="43" t="n"/>
      <c r="AC346" s="33" t="inlineStr">
        <is>
          <t xml:space="preserve">FUENTE: Deviation.csv filas 1136; Item Number original=73-20664-04 (prefijo 73- es CANDIDATO de PCBA, no confirmacion en Common DB); Workflow de origen=Expired; FJZ no validado, revision PCBA/WO no informadas. </t>
        </is>
      </c>
    </row>
    <row r="347">
      <c r="A347" s="43" t="inlineStr">
        <is>
          <t>DA-CTANJZ05301-CRBU-73-20816-03</t>
        </is>
      </c>
      <c r="B347" s="43" t="n"/>
      <c r="C347" s="43" t="n"/>
      <c r="D347" s="43" t="inlineStr">
        <is>
          <t>73-20816-03</t>
        </is>
      </c>
      <c r="E347" s="43" t="inlineStr">
        <is>
          <t>DEV-CTANJZ05301</t>
        </is>
      </c>
      <c r="F347" s="43" t="n"/>
      <c r="G347" s="43" t="inlineStr">
        <is>
          <t>CRBU</t>
        </is>
      </c>
      <c r="H347" s="43" t="n"/>
      <c r="I347" s="43" t="n"/>
      <c r="J347" s="43" t="n"/>
      <c r="K347" s="43" t="n"/>
      <c r="L347" s="43" t="n"/>
      <c r="M347" s="43" t="n"/>
      <c r="N347" s="43" t="n"/>
      <c r="O347" s="43" t="n"/>
      <c r="P347" s="43" t="n"/>
      <c r="Q347" s="43" t="inlineStr">
        <is>
          <t>BOARD</t>
        </is>
      </c>
      <c r="R347" s="33" t="inlineStr">
        <is>
          <t>REVISAR D611612: verificar accion documentada, PN/revision y vigencia para la corrida. No autoriza sustitucion ni uso de material.</t>
        </is>
      </c>
      <c r="S347" s="43" t="inlineStr">
        <is>
          <t>INFO</t>
        </is>
      </c>
      <c r="T347" s="33" t="inlineStr">
        <is>
          <t>Validar desviacion aprobada y estado; contrastar PN exacto y revision con Common DB, BOM/AVL, WO y fecha de corrida.</t>
        </is>
      </c>
      <c r="U347" s="33" t="inlineStr">
        <is>
          <t>Documento oficial firmado, autorizacion FJZ, revision/WO de alcance, confirmacion BOM y evidencia de implementacion si aplica.</t>
        </is>
      </c>
      <c r="V347" s="43" t="n"/>
      <c r="W347" s="43" t="n"/>
      <c r="X347" s="43" t="inlineStr">
        <is>
          <t>INFO</t>
        </is>
      </c>
      <c r="Y347" s="43" t="n"/>
      <c r="Z347" s="43" t="inlineStr">
        <is>
          <t>Pending Review</t>
        </is>
      </c>
      <c r="AA347" s="43" t="inlineStr">
        <is>
          <t>N</t>
        </is>
      </c>
      <c r="AB347" s="43" t="n"/>
      <c r="AC347" s="33" t="inlineStr">
        <is>
          <t xml:space="preserve">FUENTE: Deviation.csv filas 1256; Item Number original=73-20816-03 (prefijo 73- es CANDIDATO de PCBA, no confirmacion en Common DB); Workflow de origen=Expired; FJZ no validado, revision PCBA/WO no informadas. </t>
        </is>
      </c>
    </row>
    <row r="348">
      <c r="A348" s="43" t="inlineStr">
        <is>
          <t>DA-CTANJZ05301-CRBU-73-21577-01</t>
        </is>
      </c>
      <c r="B348" s="43" t="n"/>
      <c r="C348" s="43" t="n"/>
      <c r="D348" s="43" t="inlineStr">
        <is>
          <t>73-21577-01</t>
        </is>
      </c>
      <c r="E348" s="43" t="inlineStr">
        <is>
          <t>DEV-CTANJZ05301</t>
        </is>
      </c>
      <c r="F348" s="43" t="n"/>
      <c r="G348" s="43" t="inlineStr">
        <is>
          <t>CRBU</t>
        </is>
      </c>
      <c r="H348" s="43" t="n"/>
      <c r="I348" s="43" t="n"/>
      <c r="J348" s="43" t="n"/>
      <c r="K348" s="43" t="n"/>
      <c r="L348" s="43" t="n"/>
      <c r="M348" s="43" t="n"/>
      <c r="N348" s="43" t="n"/>
      <c r="O348" s="43" t="n"/>
      <c r="P348" s="43" t="n"/>
      <c r="Q348" s="43" t="inlineStr">
        <is>
          <t>BOARD</t>
        </is>
      </c>
      <c r="R348" s="33" t="inlineStr">
        <is>
          <t>REVISAR D611612: verificar accion documentada, PN/revision y vigencia para la corrida. No autoriza sustitucion ni uso de material.</t>
        </is>
      </c>
      <c r="S348" s="43" t="inlineStr">
        <is>
          <t>INFO</t>
        </is>
      </c>
      <c r="T348" s="33" t="inlineStr">
        <is>
          <t>Validar desviacion aprobada y estado; contrastar PN exacto y revision con Common DB, BOM/AVL, WO y fecha de corrida.</t>
        </is>
      </c>
      <c r="U348" s="33" t="inlineStr">
        <is>
          <t>Documento oficial firmado, autorizacion FJZ, revision/WO de alcance, confirmacion BOM y evidencia de implementacion si aplica.</t>
        </is>
      </c>
      <c r="V348" s="43" t="n"/>
      <c r="W348" s="43" t="n"/>
      <c r="X348" s="43" t="inlineStr">
        <is>
          <t>INFO</t>
        </is>
      </c>
      <c r="Y348" s="43" t="n"/>
      <c r="Z348" s="43" t="inlineStr">
        <is>
          <t>Pending Review</t>
        </is>
      </c>
      <c r="AA348" s="43" t="inlineStr">
        <is>
          <t>N</t>
        </is>
      </c>
      <c r="AB348" s="43" t="n"/>
      <c r="AC348" s="33" t="inlineStr">
        <is>
          <t xml:space="preserve">FUENTE: Deviation.csv filas 1257; Item Number original=73-21577-01 (prefijo 73- es CANDIDATO de PCBA, no confirmacion en Common DB); Workflow de origen=Expired; FJZ no validado, revision PCBA/WO no informadas. </t>
        </is>
      </c>
    </row>
    <row r="349">
      <c r="A349" s="43" t="inlineStr">
        <is>
          <t>DA-CTANJZ05302-CVEBU-73-102022-02</t>
        </is>
      </c>
      <c r="B349" s="43" t="inlineStr">
        <is>
          <t>BROOKLYN</t>
        </is>
      </c>
      <c r="C349" s="43" t="n"/>
      <c r="D349" s="43" t="inlineStr">
        <is>
          <t>73-102022-02</t>
        </is>
      </c>
      <c r="E349" s="43" t="inlineStr">
        <is>
          <t>DEV-CTANJZ05302</t>
        </is>
      </c>
      <c r="F349" s="43" t="n"/>
      <c r="G349" s="43" t="inlineStr">
        <is>
          <t>CVEBU</t>
        </is>
      </c>
      <c r="H349" s="43" t="n"/>
      <c r="I349" s="43" t="n"/>
      <c r="J349" s="43" t="n"/>
      <c r="K349" s="43" t="n"/>
      <c r="L349" s="43" t="n"/>
      <c r="M349" s="43" t="n"/>
      <c r="N349" s="43" t="n"/>
      <c r="O349" s="43" t="n"/>
      <c r="P349" s="43" t="n"/>
      <c r="Q349" s="43" t="inlineStr">
        <is>
          <t>BOARD</t>
        </is>
      </c>
      <c r="R349" s="33" t="inlineStr">
        <is>
          <t>REVISAR D611944: verificar accion documentada, PN/revision y vigencia para la corrida. No autoriza sustitucion ni uso de material.</t>
        </is>
      </c>
      <c r="S349" s="43" t="inlineStr">
        <is>
          <t>INFO</t>
        </is>
      </c>
      <c r="T349" s="33" t="inlineStr">
        <is>
          <t>Validar desviacion aprobada y estado; contrastar PN exacto y revision con Common DB, BOM/AVL, WO y fecha de corrida.</t>
        </is>
      </c>
      <c r="U349" s="33" t="inlineStr">
        <is>
          <t>Documento oficial firmado, autorizacion FJZ, revision/WO de alcance, confirmacion BOM y evidencia de implementacion si aplica.</t>
        </is>
      </c>
      <c r="V349" s="43" t="n"/>
      <c r="W349" s="43" t="n"/>
      <c r="X349" s="43" t="inlineStr">
        <is>
          <t>INFO</t>
        </is>
      </c>
      <c r="Y349" s="43" t="n"/>
      <c r="Z349" s="43" t="inlineStr">
        <is>
          <t>Pending Review</t>
        </is>
      </c>
      <c r="AA349" s="43" t="inlineStr">
        <is>
          <t>N</t>
        </is>
      </c>
      <c r="AB349" s="43" t="n"/>
      <c r="AC349" s="33" t="inlineStr">
        <is>
          <t xml:space="preserve">FUENTE: Deviation.csv filas 549; Item Number original=73-102022-02 (prefijo 73- es CANDIDATO de PCBA, no confirmacion en Common DB); Workflow de origen=Expired; FJZ no validado, revision PCBA/WO no informadas. </t>
        </is>
      </c>
    </row>
    <row r="350">
      <c r="A350" s="43" t="inlineStr">
        <is>
          <t>DA-CTANJZ05302-CVEBU-73-102038-03</t>
        </is>
      </c>
      <c r="B350" s="43" t="n"/>
      <c r="C350" s="43" t="n"/>
      <c r="D350" s="43" t="inlineStr">
        <is>
          <t>73-102038-03</t>
        </is>
      </c>
      <c r="E350" s="43" t="inlineStr">
        <is>
          <t>DEV-CTANJZ05302</t>
        </is>
      </c>
      <c r="F350" s="43" t="n"/>
      <c r="G350" s="43" t="inlineStr">
        <is>
          <t>CVEBU</t>
        </is>
      </c>
      <c r="H350" s="43" t="n"/>
      <c r="I350" s="43" t="n"/>
      <c r="J350" s="43" t="n"/>
      <c r="K350" s="43" t="n"/>
      <c r="L350" s="43" t="n"/>
      <c r="M350" s="43" t="n"/>
      <c r="N350" s="43" t="n"/>
      <c r="O350" s="43" t="n"/>
      <c r="P350" s="43" t="n"/>
      <c r="Q350" s="43" t="inlineStr">
        <is>
          <t>BOARD</t>
        </is>
      </c>
      <c r="R350" s="33" t="inlineStr">
        <is>
          <t>REVISAR D611944: verificar accion documentada, PN/revision y vigencia para la corrida. No autoriza sustitucion ni uso de material.</t>
        </is>
      </c>
      <c r="S350" s="43" t="inlineStr">
        <is>
          <t>INFO</t>
        </is>
      </c>
      <c r="T350" s="33" t="inlineStr">
        <is>
          <t>Validar desviacion aprobada y estado; contrastar PN exacto y revision con Common DB, BOM/AVL, WO y fecha de corrida.</t>
        </is>
      </c>
      <c r="U350" s="33" t="inlineStr">
        <is>
          <t>Documento oficial firmado, autorizacion FJZ, revision/WO de alcance, confirmacion BOM y evidencia de implementacion si aplica.</t>
        </is>
      </c>
      <c r="V350" s="43" t="n"/>
      <c r="W350" s="43" t="n"/>
      <c r="X350" s="43" t="inlineStr">
        <is>
          <t>INFO</t>
        </is>
      </c>
      <c r="Y350" s="43" t="n"/>
      <c r="Z350" s="43" t="inlineStr">
        <is>
          <t>Pending Review</t>
        </is>
      </c>
      <c r="AA350" s="43" t="inlineStr">
        <is>
          <t>N</t>
        </is>
      </c>
      <c r="AB350" s="43" t="n"/>
      <c r="AC350" s="33" t="inlineStr">
        <is>
          <t xml:space="preserve">FUENTE: Deviation.csv filas 528; Item Number original=73-102038-03 (prefijo 73- es CANDIDATO de PCBA, no confirmacion en Common DB); Workflow de origen=Expired; FJZ no validado, revision PCBA/WO no informadas. </t>
        </is>
      </c>
    </row>
    <row r="351">
      <c r="A351" s="43" t="inlineStr">
        <is>
          <t>DA-CTANJZ05302-CVEBU-73-102121-01</t>
        </is>
      </c>
      <c r="B351" s="43" t="n"/>
      <c r="C351" s="43" t="n"/>
      <c r="D351" s="43" t="inlineStr">
        <is>
          <t>73-102121-01</t>
        </is>
      </c>
      <c r="E351" s="43" t="inlineStr">
        <is>
          <t>DEV-CTANJZ05302</t>
        </is>
      </c>
      <c r="F351" s="43" t="n"/>
      <c r="G351" s="43" t="inlineStr">
        <is>
          <t>CVEBU</t>
        </is>
      </c>
      <c r="H351" s="43" t="n"/>
      <c r="I351" s="43" t="n"/>
      <c r="J351" s="43" t="n"/>
      <c r="K351" s="43" t="n"/>
      <c r="L351" s="43" t="n"/>
      <c r="M351" s="43" t="n"/>
      <c r="N351" s="43" t="n"/>
      <c r="O351" s="43" t="n"/>
      <c r="P351" s="43" t="n"/>
      <c r="Q351" s="43" t="inlineStr">
        <is>
          <t>BOARD</t>
        </is>
      </c>
      <c r="R351" s="33" t="inlineStr">
        <is>
          <t>REVISAR D611944: verificar accion documentada, PN/revision y vigencia para la corrida. No autoriza sustitucion ni uso de material.</t>
        </is>
      </c>
      <c r="S351" s="43" t="inlineStr">
        <is>
          <t>INFO</t>
        </is>
      </c>
      <c r="T351" s="33" t="inlineStr">
        <is>
          <t>Validar desviacion aprobada y estado; contrastar PN exacto y revision con Common DB, BOM/AVL, WO y fecha de corrida.</t>
        </is>
      </c>
      <c r="U351" s="33" t="inlineStr">
        <is>
          <t>Documento oficial firmado, autorizacion FJZ, revision/WO de alcance, confirmacion BOM y evidencia de implementacion si aplica.</t>
        </is>
      </c>
      <c r="V351" s="43" t="n"/>
      <c r="W351" s="43" t="n"/>
      <c r="X351" s="43" t="inlineStr">
        <is>
          <t>INFO</t>
        </is>
      </c>
      <c r="Y351" s="43" t="n"/>
      <c r="Z351" s="43" t="inlineStr">
        <is>
          <t>Pending Review</t>
        </is>
      </c>
      <c r="AA351" s="43" t="inlineStr">
        <is>
          <t>N</t>
        </is>
      </c>
      <c r="AB351" s="43" t="n"/>
      <c r="AC351" s="33" t="inlineStr">
        <is>
          <t xml:space="preserve">FUENTE: Deviation.csv filas 550; Item Number original=73-102121-01 (prefijo 73- es CANDIDATO de PCBA, no confirmacion en Common DB); Workflow de origen=Expired; FJZ no validado, revision PCBA/WO no informadas. </t>
        </is>
      </c>
    </row>
    <row r="352">
      <c r="A352" s="43" t="inlineStr">
        <is>
          <t>DA-CTANJZ05302-CVEBU-73-102197-02</t>
        </is>
      </c>
      <c r="B352" s="43" t="n"/>
      <c r="C352" s="43" t="n"/>
      <c r="D352" s="43" t="inlineStr">
        <is>
          <t>73-102197-02</t>
        </is>
      </c>
      <c r="E352" s="43" t="inlineStr">
        <is>
          <t>DEV-CTANJZ05302</t>
        </is>
      </c>
      <c r="F352" s="43" t="n"/>
      <c r="G352" s="43" t="inlineStr">
        <is>
          <t>CVEBU</t>
        </is>
      </c>
      <c r="H352" s="43" t="n"/>
      <c r="I352" s="43" t="n"/>
      <c r="J352" s="43" t="n"/>
      <c r="K352" s="43" t="n"/>
      <c r="L352" s="43" t="n"/>
      <c r="M352" s="43" t="n"/>
      <c r="N352" s="43" t="n"/>
      <c r="O352" s="43" t="n"/>
      <c r="P352" s="43" t="n"/>
      <c r="Q352" s="43" t="inlineStr">
        <is>
          <t>BOARD</t>
        </is>
      </c>
      <c r="R352" s="33" t="inlineStr">
        <is>
          <t>REVISAR D611944: verificar accion documentada, PN/revision y vigencia para la corrida. No autoriza sustitucion ni uso de material.</t>
        </is>
      </c>
      <c r="S352" s="43" t="inlineStr">
        <is>
          <t>INFO</t>
        </is>
      </c>
      <c r="T352" s="33" t="inlineStr">
        <is>
          <t>Validar desviacion aprobada y estado; contrastar PN exacto y revision con Common DB, BOM/AVL, WO y fecha de corrida.</t>
        </is>
      </c>
      <c r="U352" s="33" t="inlineStr">
        <is>
          <t>Documento oficial firmado, autorizacion FJZ, revision/WO de alcance, confirmacion BOM y evidencia de implementacion si aplica.</t>
        </is>
      </c>
      <c r="V352" s="43" t="n"/>
      <c r="W352" s="43" t="n"/>
      <c r="X352" s="43" t="inlineStr">
        <is>
          <t>INFO</t>
        </is>
      </c>
      <c r="Y352" s="43" t="n"/>
      <c r="Z352" s="43" t="inlineStr">
        <is>
          <t>Pending Review</t>
        </is>
      </c>
      <c r="AA352" s="43" t="inlineStr">
        <is>
          <t>N</t>
        </is>
      </c>
      <c r="AB352" s="43" t="n"/>
      <c r="AC352" s="33" t="inlineStr">
        <is>
          <t xml:space="preserve">FUENTE: Deviation.csv filas 551; Item Number original=73-102197-02 (prefijo 73- es CANDIDATO de PCBA, no confirmacion en Common DB); Workflow de origen=Expired; FJZ no validado, revision PCBA/WO no informadas. </t>
        </is>
      </c>
    </row>
    <row r="353">
      <c r="A353" s="43" t="inlineStr">
        <is>
          <t>DA-CTANJZ05302-CVEBU-73-102226-06</t>
        </is>
      </c>
      <c r="B353" s="43" t="inlineStr">
        <is>
          <t>MILLENIUM</t>
        </is>
      </c>
      <c r="C353" s="43" t="n"/>
      <c r="D353" s="43" t="inlineStr">
        <is>
          <t>73-102226-06</t>
        </is>
      </c>
      <c r="E353" s="43" t="inlineStr">
        <is>
          <t>DEV-CTANJZ05302</t>
        </is>
      </c>
      <c r="F353" s="43" t="n"/>
      <c r="G353" s="43" t="inlineStr">
        <is>
          <t>CVEBU</t>
        </is>
      </c>
      <c r="H353" s="43" t="n"/>
      <c r="I353" s="43" t="n"/>
      <c r="J353" s="43" t="n"/>
      <c r="K353" s="43" t="n"/>
      <c r="L353" s="43" t="n"/>
      <c r="M353" s="43" t="n"/>
      <c r="N353" s="43" t="n"/>
      <c r="O353" s="43" t="n"/>
      <c r="P353" s="43" t="n"/>
      <c r="Q353" s="43" t="inlineStr">
        <is>
          <t>BOARD</t>
        </is>
      </c>
      <c r="R353" s="33" t="inlineStr">
        <is>
          <t>REVISAR D611944: verificar accion documentada, PN/revision y vigencia para la corrida. No autoriza sustitucion ni uso de material.</t>
        </is>
      </c>
      <c r="S353" s="43" t="inlineStr">
        <is>
          <t>INFO</t>
        </is>
      </c>
      <c r="T353" s="33" t="inlineStr">
        <is>
          <t>Validar desviacion aprobada y estado; contrastar PN exacto y revision con Common DB, BOM/AVL, WO y fecha de corrida.</t>
        </is>
      </c>
      <c r="U353" s="33" t="inlineStr">
        <is>
          <t>Documento oficial firmado, autorizacion FJZ, revision/WO de alcance, confirmacion BOM y evidencia de implementacion si aplica.</t>
        </is>
      </c>
      <c r="V353" s="43" t="n"/>
      <c r="W353" s="43" t="n"/>
      <c r="X353" s="43" t="inlineStr">
        <is>
          <t>INFO</t>
        </is>
      </c>
      <c r="Y353" s="43" t="n"/>
      <c r="Z353" s="43" t="inlineStr">
        <is>
          <t>Pending Review</t>
        </is>
      </c>
      <c r="AA353" s="43" t="inlineStr">
        <is>
          <t>N</t>
        </is>
      </c>
      <c r="AB353" s="43" t="n"/>
      <c r="AC353" s="33" t="inlineStr">
        <is>
          <t xml:space="preserve">FUENTE: Deviation.csv filas 552; Item Number original=73-102226-06 (prefijo 73- es CANDIDATO de PCBA, no confirmacion en Common DB); Workflow de origen=Expired; FJZ no validado, revision PCBA/WO no informadas. </t>
        </is>
      </c>
    </row>
    <row r="354">
      <c r="A354" s="43" t="inlineStr">
        <is>
          <t>DA-CTANJZ05302-CVEBU-73-102797-02</t>
        </is>
      </c>
      <c r="B354" s="43" t="inlineStr">
        <is>
          <t>DAVINCI</t>
        </is>
      </c>
      <c r="C354" s="43" t="n"/>
      <c r="D354" s="43" t="inlineStr">
        <is>
          <t>73-102797-02</t>
        </is>
      </c>
      <c r="E354" s="43" t="inlineStr">
        <is>
          <t>DEV-CTANJZ05302</t>
        </is>
      </c>
      <c r="F354" s="43" t="n"/>
      <c r="G354" s="43" t="inlineStr">
        <is>
          <t>CVEBU</t>
        </is>
      </c>
      <c r="H354" s="43" t="n"/>
      <c r="I354" s="43" t="n"/>
      <c r="J354" s="43" t="n"/>
      <c r="K354" s="43" t="n"/>
      <c r="L354" s="43" t="n"/>
      <c r="M354" s="43" t="n"/>
      <c r="N354" s="43" t="n"/>
      <c r="O354" s="43" t="n"/>
      <c r="P354" s="43" t="n"/>
      <c r="Q354" s="43" t="inlineStr">
        <is>
          <t>BOARD</t>
        </is>
      </c>
      <c r="R354" s="33" t="inlineStr">
        <is>
          <t>REVISAR D611944: verificar accion documentada, PN/revision y vigencia para la corrida. No autoriza sustitucion ni uso de material.</t>
        </is>
      </c>
      <c r="S354" s="43" t="inlineStr">
        <is>
          <t>INFO</t>
        </is>
      </c>
      <c r="T354" s="33" t="inlineStr">
        <is>
          <t>Validar desviacion aprobada y estado; contrastar PN exacto y revision con Common DB, BOM/AVL, WO y fecha de corrida.</t>
        </is>
      </c>
      <c r="U354" s="33" t="inlineStr">
        <is>
          <t>Documento oficial firmado, autorizacion FJZ, revision/WO de alcance, confirmacion BOM y evidencia de implementacion si aplica.</t>
        </is>
      </c>
      <c r="V354" s="43" t="n"/>
      <c r="W354" s="43" t="n"/>
      <c r="X354" s="43" t="inlineStr">
        <is>
          <t>INFO</t>
        </is>
      </c>
      <c r="Y354" s="43" t="n"/>
      <c r="Z354" s="43" t="inlineStr">
        <is>
          <t>Pending Review</t>
        </is>
      </c>
      <c r="AA354" s="43" t="inlineStr">
        <is>
          <t>N</t>
        </is>
      </c>
      <c r="AB354" s="43" t="n"/>
      <c r="AC354" s="33" t="inlineStr">
        <is>
          <t xml:space="preserve">FUENTE: Deviation.csv filas 553; Item Number original=73-102797-02 (prefijo 73- es CANDIDATO de PCBA, no confirmacion en Common DB); Workflow de origen=Expired; FJZ no validado, revision PCBA/WO no informadas. </t>
        </is>
      </c>
    </row>
    <row r="355">
      <c r="A355" s="43" t="inlineStr">
        <is>
          <t>DA-CTANJZ05302-CVEBU-73-103103-06</t>
        </is>
      </c>
      <c r="B355" s="43" t="n"/>
      <c r="C355" s="43" t="n"/>
      <c r="D355" s="43" t="inlineStr">
        <is>
          <t>73-103103-06</t>
        </is>
      </c>
      <c r="E355" s="43" t="inlineStr">
        <is>
          <t>DEV-CTANJZ05302</t>
        </is>
      </c>
      <c r="F355" s="43" t="n"/>
      <c r="G355" s="43" t="inlineStr">
        <is>
          <t>CVEBU</t>
        </is>
      </c>
      <c r="H355" s="43" t="n"/>
      <c r="I355" s="43" t="n"/>
      <c r="J355" s="43" t="n"/>
      <c r="K355" s="43" t="n"/>
      <c r="L355" s="43" t="n"/>
      <c r="M355" s="43" t="n"/>
      <c r="N355" s="43" t="n"/>
      <c r="O355" s="43" t="n"/>
      <c r="P355" s="43" t="n"/>
      <c r="Q355" s="43" t="inlineStr">
        <is>
          <t>BOARD</t>
        </is>
      </c>
      <c r="R355" s="33" t="inlineStr">
        <is>
          <t>REVISAR D611944: verificar accion documentada, PN/revision y vigencia para la corrida. No autoriza sustitucion ni uso de material.</t>
        </is>
      </c>
      <c r="S355" s="43" t="inlineStr">
        <is>
          <t>INFO</t>
        </is>
      </c>
      <c r="T355" s="33" t="inlineStr">
        <is>
          <t>Validar desviacion aprobada y estado; contrastar PN exacto y revision con Common DB, BOM/AVL, WO y fecha de corrida.</t>
        </is>
      </c>
      <c r="U355" s="33" t="inlineStr">
        <is>
          <t>Documento oficial firmado, autorizacion FJZ, revision/WO de alcance, confirmacion BOM y evidencia de implementacion si aplica.</t>
        </is>
      </c>
      <c r="V355" s="43" t="n"/>
      <c r="W355" s="43" t="n"/>
      <c r="X355" s="43" t="inlineStr">
        <is>
          <t>INFO</t>
        </is>
      </c>
      <c r="Y355" s="43" t="n"/>
      <c r="Z355" s="43" t="inlineStr">
        <is>
          <t>Pending Review</t>
        </is>
      </c>
      <c r="AA355" s="43" t="inlineStr">
        <is>
          <t>N</t>
        </is>
      </c>
      <c r="AB355" s="43" t="n"/>
      <c r="AC355" s="33" t="inlineStr">
        <is>
          <t xml:space="preserve">FUENTE: Deviation.csv filas 554; Item Number original=73-103103-06 (prefijo 73- es CANDIDATO de PCBA, no confirmacion en Common DB); Workflow de origen=Expired; FJZ no validado, revision PCBA/WO no informadas. </t>
        </is>
      </c>
    </row>
    <row r="356">
      <c r="A356" s="43" t="inlineStr">
        <is>
          <t>DA-CTANJZ05302-CVEBU-73-103226-06</t>
        </is>
      </c>
      <c r="B356" s="43" t="n"/>
      <c r="C356" s="43" t="n"/>
      <c r="D356" s="43" t="inlineStr">
        <is>
          <t>73-103226-06</t>
        </is>
      </c>
      <c r="E356" s="43" t="inlineStr">
        <is>
          <t>DEV-CTANJZ05302</t>
        </is>
      </c>
      <c r="F356" s="43" t="n"/>
      <c r="G356" s="43" t="inlineStr">
        <is>
          <t>CVEBU</t>
        </is>
      </c>
      <c r="H356" s="43" t="n"/>
      <c r="I356" s="43" t="n"/>
      <c r="J356" s="43" t="n"/>
      <c r="K356" s="43" t="n"/>
      <c r="L356" s="43" t="n"/>
      <c r="M356" s="43" t="n"/>
      <c r="N356" s="43" t="n"/>
      <c r="O356" s="43" t="n"/>
      <c r="P356" s="43" t="n"/>
      <c r="Q356" s="43" t="inlineStr">
        <is>
          <t>BOARD</t>
        </is>
      </c>
      <c r="R356" s="33" t="inlineStr">
        <is>
          <t>REVISAR D611944: verificar accion documentada, PN/revision y vigencia para la corrida. No autoriza sustitucion ni uso de material.</t>
        </is>
      </c>
      <c r="S356" s="43" t="inlineStr">
        <is>
          <t>INFO</t>
        </is>
      </c>
      <c r="T356" s="33" t="inlineStr">
        <is>
          <t>Validar desviacion aprobada y estado; contrastar PN exacto y revision con Common DB, BOM/AVL, WO y fecha de corrida.</t>
        </is>
      </c>
      <c r="U356" s="33" t="inlineStr">
        <is>
          <t>Documento oficial firmado, autorizacion FJZ, revision/WO de alcance, confirmacion BOM y evidencia de implementacion si aplica.</t>
        </is>
      </c>
      <c r="V356" s="43" t="n"/>
      <c r="W356" s="43" t="n"/>
      <c r="X356" s="43" t="inlineStr">
        <is>
          <t>INFO</t>
        </is>
      </c>
      <c r="Y356" s="43" t="n"/>
      <c r="Z356" s="43" t="inlineStr">
        <is>
          <t>Pending Review</t>
        </is>
      </c>
      <c r="AA356" s="43" t="inlineStr">
        <is>
          <t>N</t>
        </is>
      </c>
      <c r="AB356" s="43" t="n"/>
      <c r="AC356" s="33" t="inlineStr">
        <is>
          <t xml:space="preserve">FUENTE: Deviation.csv filas 555; Item Number original=73-103226-06 (prefijo 73- es CANDIDATO de PCBA, no confirmacion en Common DB); Workflow de origen=Expired; FJZ no validado, revision PCBA/WO no informadas. </t>
        </is>
      </c>
    </row>
    <row r="357">
      <c r="A357" s="43" t="inlineStr">
        <is>
          <t>DA-CTANJZ05302-CVEBU-73-103450-01</t>
        </is>
      </c>
      <c r="B357" s="43" t="n"/>
      <c r="C357" s="43" t="n"/>
      <c r="D357" s="43" t="inlineStr">
        <is>
          <t>73-103450-01</t>
        </is>
      </c>
      <c r="E357" s="43" t="inlineStr">
        <is>
          <t>DEV-CTANJZ05302</t>
        </is>
      </c>
      <c r="F357" s="43" t="n"/>
      <c r="G357" s="43" t="inlineStr">
        <is>
          <t>CVEBU</t>
        </is>
      </c>
      <c r="H357" s="43" t="n"/>
      <c r="I357" s="43" t="n"/>
      <c r="J357" s="43" t="n"/>
      <c r="K357" s="43" t="n"/>
      <c r="L357" s="43" t="n"/>
      <c r="M357" s="43" t="n"/>
      <c r="N357" s="43" t="n"/>
      <c r="O357" s="43" t="n"/>
      <c r="P357" s="43" t="n"/>
      <c r="Q357" s="43" t="inlineStr">
        <is>
          <t>BOARD</t>
        </is>
      </c>
      <c r="R357" s="33" t="inlineStr">
        <is>
          <t>REVISAR D611944: verificar accion documentada, PN/revision y vigencia para la corrida. No autoriza sustitucion ni uso de material.</t>
        </is>
      </c>
      <c r="S357" s="43" t="inlineStr">
        <is>
          <t>INFO</t>
        </is>
      </c>
      <c r="T357" s="33" t="inlineStr">
        <is>
          <t>Validar desviacion aprobada y estado; contrastar PN exacto y revision con Common DB, BOM/AVL, WO y fecha de corrida.</t>
        </is>
      </c>
      <c r="U357" s="33" t="inlineStr">
        <is>
          <t>Documento oficial firmado, autorizacion FJZ, revision/WO de alcance, confirmacion BOM y evidencia de implementacion si aplica.</t>
        </is>
      </c>
      <c r="V357" s="43" t="n"/>
      <c r="W357" s="43" t="n"/>
      <c r="X357" s="43" t="inlineStr">
        <is>
          <t>INFO</t>
        </is>
      </c>
      <c r="Y357" s="43" t="n"/>
      <c r="Z357" s="43" t="inlineStr">
        <is>
          <t>Pending Review</t>
        </is>
      </c>
      <c r="AA357" s="43" t="inlineStr">
        <is>
          <t>N</t>
        </is>
      </c>
      <c r="AB357" s="43" t="n"/>
      <c r="AC357" s="33" t="inlineStr">
        <is>
          <t xml:space="preserve">FUENTE: Deviation.csv filas 556; Item Number original=73-103450-01 (prefijo 73- es CANDIDATO de PCBA, no confirmacion en Common DB); Workflow de origen=Expired; FJZ no validado, revision PCBA/WO no informadas. </t>
        </is>
      </c>
    </row>
    <row r="358">
      <c r="A358" s="43" t="inlineStr">
        <is>
          <t>DA-CTANJZ05302-CVEBU-73-103603-06</t>
        </is>
      </c>
      <c r="B358" s="43" t="n"/>
      <c r="C358" s="43" t="n"/>
      <c r="D358" s="43" t="inlineStr">
        <is>
          <t>73-103603-06</t>
        </is>
      </c>
      <c r="E358" s="43" t="inlineStr">
        <is>
          <t>DEV-CTANJZ05302</t>
        </is>
      </c>
      <c r="F358" s="43" t="n"/>
      <c r="G358" s="43" t="inlineStr">
        <is>
          <t>CVEBU</t>
        </is>
      </c>
      <c r="H358" s="43" t="n"/>
      <c r="I358" s="43" t="n"/>
      <c r="J358" s="43" t="n"/>
      <c r="K358" s="43" t="n"/>
      <c r="L358" s="43" t="n"/>
      <c r="M358" s="43" t="n"/>
      <c r="N358" s="43" t="n"/>
      <c r="O358" s="43" t="n"/>
      <c r="P358" s="43" t="n"/>
      <c r="Q358" s="43" t="inlineStr">
        <is>
          <t>BOARD</t>
        </is>
      </c>
      <c r="R358" s="33" t="inlineStr">
        <is>
          <t>REVISAR D611944: verificar accion documentada, PN/revision y vigencia para la corrida. No autoriza sustitucion ni uso de material.</t>
        </is>
      </c>
      <c r="S358" s="43" t="inlineStr">
        <is>
          <t>INFO</t>
        </is>
      </c>
      <c r="T358" s="33" t="inlineStr">
        <is>
          <t>Validar desviacion aprobada y estado; contrastar PN exacto y revision con Common DB, BOM/AVL, WO y fecha de corrida.</t>
        </is>
      </c>
      <c r="U358" s="33" t="inlineStr">
        <is>
          <t>Documento oficial firmado, autorizacion FJZ, revision/WO de alcance, confirmacion BOM y evidencia de implementacion si aplica.</t>
        </is>
      </c>
      <c r="V358" s="43" t="n"/>
      <c r="W358" s="43" t="n"/>
      <c r="X358" s="43" t="inlineStr">
        <is>
          <t>INFO</t>
        </is>
      </c>
      <c r="Y358" s="43" t="n"/>
      <c r="Z358" s="43" t="inlineStr">
        <is>
          <t>Pending Review</t>
        </is>
      </c>
      <c r="AA358" s="43" t="inlineStr">
        <is>
          <t>N</t>
        </is>
      </c>
      <c r="AB358" s="43" t="n"/>
      <c r="AC358" s="33" t="inlineStr">
        <is>
          <t xml:space="preserve">FUENTE: Deviation.csv filas 557; Item Number original=73-103603-06 (prefijo 73- es CANDIDATO de PCBA, no confirmacion en Common DB); Workflow de origen=Expired; FJZ no validado, revision PCBA/WO no informadas. </t>
        </is>
      </c>
    </row>
    <row r="359">
      <c r="A359" s="43" t="inlineStr">
        <is>
          <t>DA-CTANJZ05302-CVEBU-73-103698-06</t>
        </is>
      </c>
      <c r="B359" s="43" t="n"/>
      <c r="C359" s="43" t="n"/>
      <c r="D359" s="43" t="inlineStr">
        <is>
          <t>73-103698-06</t>
        </is>
      </c>
      <c r="E359" s="43" t="inlineStr">
        <is>
          <t>DEV-CTANJZ05302</t>
        </is>
      </c>
      <c r="F359" s="43" t="n"/>
      <c r="G359" s="43" t="inlineStr">
        <is>
          <t>CVEBU</t>
        </is>
      </c>
      <c r="H359" s="43" t="n"/>
      <c r="I359" s="43" t="n"/>
      <c r="J359" s="43" t="n"/>
      <c r="K359" s="43" t="n"/>
      <c r="L359" s="43" t="n"/>
      <c r="M359" s="43" t="n"/>
      <c r="N359" s="43" t="n"/>
      <c r="O359" s="43" t="n"/>
      <c r="P359" s="43" t="n"/>
      <c r="Q359" s="43" t="inlineStr">
        <is>
          <t>BOARD</t>
        </is>
      </c>
      <c r="R359" s="33" t="inlineStr">
        <is>
          <t>REVISAR D611944: verificar accion documentada, PN/revision y vigencia para la corrida. No autoriza sustitucion ni uso de material.</t>
        </is>
      </c>
      <c r="S359" s="43" t="inlineStr">
        <is>
          <t>INFO</t>
        </is>
      </c>
      <c r="T359" s="33" t="inlineStr">
        <is>
          <t>Validar desviacion aprobada y estado; contrastar PN exacto y revision con Common DB, BOM/AVL, WO y fecha de corrida.</t>
        </is>
      </c>
      <c r="U359" s="33" t="inlineStr">
        <is>
          <t>Documento oficial firmado, autorizacion FJZ, revision/WO de alcance, confirmacion BOM y evidencia de implementacion si aplica.</t>
        </is>
      </c>
      <c r="V359" s="43" t="n"/>
      <c r="W359" s="43" t="n"/>
      <c r="X359" s="43" t="inlineStr">
        <is>
          <t>INFO</t>
        </is>
      </c>
      <c r="Y359" s="43" t="n"/>
      <c r="Z359" s="43" t="inlineStr">
        <is>
          <t>Pending Review</t>
        </is>
      </c>
      <c r="AA359" s="43" t="inlineStr">
        <is>
          <t>N</t>
        </is>
      </c>
      <c r="AB359" s="43" t="n"/>
      <c r="AC359" s="33" t="inlineStr">
        <is>
          <t xml:space="preserve">FUENTE: Deviation.csv filas 558; Item Number original=73-103698-06 (prefijo 73- es CANDIDATO de PCBA, no confirmacion en Common DB); Workflow de origen=Expired; FJZ no validado, revision PCBA/WO no informadas. </t>
        </is>
      </c>
    </row>
    <row r="360">
      <c r="A360" s="43" t="inlineStr">
        <is>
          <t>DA-CTANJZ05302-CVEBU-73-103826-05</t>
        </is>
      </c>
      <c r="B360" s="43" t="inlineStr">
        <is>
          <t>BAYFRONT</t>
        </is>
      </c>
      <c r="C360" s="43" t="n"/>
      <c r="D360" s="43" t="inlineStr">
        <is>
          <t>73-103826-05</t>
        </is>
      </c>
      <c r="E360" s="43" t="inlineStr">
        <is>
          <t>DEV-CTANJZ05302</t>
        </is>
      </c>
      <c r="F360" s="43" t="n"/>
      <c r="G360" s="43" t="inlineStr">
        <is>
          <t>CVEBU</t>
        </is>
      </c>
      <c r="H360" s="43" t="n"/>
      <c r="I360" s="43" t="n"/>
      <c r="J360" s="43" t="n"/>
      <c r="K360" s="43" t="n"/>
      <c r="L360" s="43" t="n"/>
      <c r="M360" s="43" t="n"/>
      <c r="N360" s="43" t="n"/>
      <c r="O360" s="43" t="n"/>
      <c r="P360" s="43" t="n"/>
      <c r="Q360" s="43" t="inlineStr">
        <is>
          <t>BOARD</t>
        </is>
      </c>
      <c r="R360" s="33" t="inlineStr">
        <is>
          <t>REVISAR D611944: verificar accion documentada, PN/revision y vigencia para la corrida. No autoriza sustitucion ni uso de material.</t>
        </is>
      </c>
      <c r="S360" s="43" t="inlineStr">
        <is>
          <t>INFO</t>
        </is>
      </c>
      <c r="T360" s="33" t="inlineStr">
        <is>
          <t>Validar desviacion aprobada y estado; contrastar PN exacto y revision con Common DB, BOM/AVL, WO y fecha de corrida.</t>
        </is>
      </c>
      <c r="U360" s="33" t="inlineStr">
        <is>
          <t>Documento oficial firmado, autorizacion FJZ, revision/WO de alcance, confirmacion BOM y evidencia de implementacion si aplica.</t>
        </is>
      </c>
      <c r="V360" s="43" t="n"/>
      <c r="W360" s="43" t="n"/>
      <c r="X360" s="43" t="inlineStr">
        <is>
          <t>INFO</t>
        </is>
      </c>
      <c r="Y360" s="43" t="n"/>
      <c r="Z360" s="43" t="inlineStr">
        <is>
          <t>Pending Review</t>
        </is>
      </c>
      <c r="AA360" s="43" t="inlineStr">
        <is>
          <t>N</t>
        </is>
      </c>
      <c r="AB360" s="43" t="n"/>
      <c r="AC360" s="33" t="inlineStr">
        <is>
          <t xml:space="preserve">FUENTE: Deviation.csv filas 559; Item Number original=73-103826-05 (prefijo 73- es CANDIDATO de PCBA, no confirmacion en Common DB); Workflow de origen=Expired; FJZ no validado, revision PCBA/WO no informadas. </t>
        </is>
      </c>
    </row>
    <row r="361">
      <c r="A361" s="43" t="inlineStr">
        <is>
          <t>DA-CTANJZ05302-CVEBU-73-103880-05</t>
        </is>
      </c>
      <c r="B361" s="43" t="n"/>
      <c r="C361" s="43" t="n"/>
      <c r="D361" s="43" t="inlineStr">
        <is>
          <t>73-103880-05</t>
        </is>
      </c>
      <c r="E361" s="43" t="inlineStr">
        <is>
          <t>DEV-CTANJZ05302</t>
        </is>
      </c>
      <c r="F361" s="43" t="n"/>
      <c r="G361" s="43" t="inlineStr">
        <is>
          <t>CVEBU</t>
        </is>
      </c>
      <c r="H361" s="43" t="n"/>
      <c r="I361" s="43" t="n"/>
      <c r="J361" s="43" t="n"/>
      <c r="K361" s="43" t="n"/>
      <c r="L361" s="43" t="n"/>
      <c r="M361" s="43" t="n"/>
      <c r="N361" s="43" t="n"/>
      <c r="O361" s="43" t="n"/>
      <c r="P361" s="43" t="n"/>
      <c r="Q361" s="43" t="inlineStr">
        <is>
          <t>BOARD</t>
        </is>
      </c>
      <c r="R361" s="33" t="inlineStr">
        <is>
          <t>REVISAR D611944: verificar accion documentada, PN/revision y vigencia para la corrida. No autoriza sustitucion ni uso de material.</t>
        </is>
      </c>
      <c r="S361" s="43" t="inlineStr">
        <is>
          <t>INFO</t>
        </is>
      </c>
      <c r="T361" s="33" t="inlineStr">
        <is>
          <t>Validar desviacion aprobada y estado; contrastar PN exacto y revision con Common DB, BOM/AVL, WO y fecha de corrida.</t>
        </is>
      </c>
      <c r="U361" s="33" t="inlineStr">
        <is>
          <t>Documento oficial firmado, autorizacion FJZ, revision/WO de alcance, confirmacion BOM y evidencia de implementacion si aplica.</t>
        </is>
      </c>
      <c r="V361" s="43" t="n"/>
      <c r="W361" s="43" t="n"/>
      <c r="X361" s="43" t="inlineStr">
        <is>
          <t>INFO</t>
        </is>
      </c>
      <c r="Y361" s="43" t="n"/>
      <c r="Z361" s="43" t="inlineStr">
        <is>
          <t>Pending Review</t>
        </is>
      </c>
      <c r="AA361" s="43" t="inlineStr">
        <is>
          <t>N</t>
        </is>
      </c>
      <c r="AB361" s="43" t="n"/>
      <c r="AC361" s="33" t="inlineStr">
        <is>
          <t xml:space="preserve">FUENTE: Deviation.csv filas 560; Item Number original=73-103880-05 (prefijo 73- es CANDIDATO de PCBA, no confirmacion en Common DB); Workflow de origen=Expired; FJZ no validado, revision PCBA/WO no informadas. </t>
        </is>
      </c>
    </row>
    <row r="362">
      <c r="A362" s="43" t="inlineStr">
        <is>
          <t>DA-CTANJZ05302-CVEBU-73-103940-06</t>
        </is>
      </c>
      <c r="B362" s="43" t="n"/>
      <c r="C362" s="43" t="n"/>
      <c r="D362" s="43" t="inlineStr">
        <is>
          <t>73-103940-06</t>
        </is>
      </c>
      <c r="E362" s="43" t="inlineStr">
        <is>
          <t>DEV-CTANJZ05302</t>
        </is>
      </c>
      <c r="F362" s="43" t="n"/>
      <c r="G362" s="43" t="inlineStr">
        <is>
          <t>CVEBU</t>
        </is>
      </c>
      <c r="H362" s="43" t="n"/>
      <c r="I362" s="43" t="n"/>
      <c r="J362" s="43" t="n"/>
      <c r="K362" s="43" t="n"/>
      <c r="L362" s="43" t="n"/>
      <c r="M362" s="43" t="n"/>
      <c r="N362" s="43" t="n"/>
      <c r="O362" s="43" t="n"/>
      <c r="P362" s="43" t="n"/>
      <c r="Q362" s="43" t="inlineStr">
        <is>
          <t>BOARD</t>
        </is>
      </c>
      <c r="R362" s="33" t="inlineStr">
        <is>
          <t>REVISAR D611944: verificar accion documentada, PN/revision y vigencia para la corrida. No autoriza sustitucion ni uso de material.</t>
        </is>
      </c>
      <c r="S362" s="43" t="inlineStr">
        <is>
          <t>INFO</t>
        </is>
      </c>
      <c r="T362" s="33" t="inlineStr">
        <is>
          <t>Validar desviacion aprobada y estado; contrastar PN exacto y revision con Common DB, BOM/AVL, WO y fecha de corrida.</t>
        </is>
      </c>
      <c r="U362" s="33" t="inlineStr">
        <is>
          <t>Documento oficial firmado, autorizacion FJZ, revision/WO de alcance, confirmacion BOM y evidencia de implementacion si aplica.</t>
        </is>
      </c>
      <c r="V362" s="43" t="n"/>
      <c r="W362" s="43" t="n"/>
      <c r="X362" s="43" t="inlineStr">
        <is>
          <t>INFO</t>
        </is>
      </c>
      <c r="Y362" s="43" t="n"/>
      <c r="Z362" s="43" t="inlineStr">
        <is>
          <t>Pending Review</t>
        </is>
      </c>
      <c r="AA362" s="43" t="inlineStr">
        <is>
          <t>N</t>
        </is>
      </c>
      <c r="AB362" s="43" t="n"/>
      <c r="AC362" s="33" t="inlineStr">
        <is>
          <t xml:space="preserve">FUENTE: Deviation.csv filas 561; Item Number original=73-103940-06 (prefijo 73- es CANDIDATO de PCBA, no confirmacion en Common DB); Workflow de origen=Expired; FJZ no validado, revision PCBA/WO no informadas. </t>
        </is>
      </c>
    </row>
    <row r="363">
      <c r="A363" s="43" t="inlineStr">
        <is>
          <t>DA-CTANJZ05302-CVEBU-73-103951-01</t>
        </is>
      </c>
      <c r="B363" s="43" t="n"/>
      <c r="C363" s="43" t="n"/>
      <c r="D363" s="43" t="inlineStr">
        <is>
          <t>73-103951-01</t>
        </is>
      </c>
      <c r="E363" s="43" t="inlineStr">
        <is>
          <t>DEV-CTANJZ05302</t>
        </is>
      </c>
      <c r="F363" s="43" t="n"/>
      <c r="G363" s="43" t="inlineStr">
        <is>
          <t>CVEBU</t>
        </is>
      </c>
      <c r="H363" s="43" t="n"/>
      <c r="I363" s="43" t="n"/>
      <c r="J363" s="43" t="n"/>
      <c r="K363" s="43" t="n"/>
      <c r="L363" s="43" t="n"/>
      <c r="M363" s="43" t="n"/>
      <c r="N363" s="43" t="n"/>
      <c r="O363" s="43" t="n"/>
      <c r="P363" s="43" t="n"/>
      <c r="Q363" s="43" t="inlineStr">
        <is>
          <t>BOARD</t>
        </is>
      </c>
      <c r="R363" s="33" t="inlineStr">
        <is>
          <t>REVISAR D611944: verificar accion documentada, PN/revision y vigencia para la corrida. No autoriza sustitucion ni uso de material.</t>
        </is>
      </c>
      <c r="S363" s="43" t="inlineStr">
        <is>
          <t>INFO</t>
        </is>
      </c>
      <c r="T363" s="33" t="inlineStr">
        <is>
          <t>Validar desviacion aprobada y estado; contrastar PN exacto y revision con Common DB, BOM/AVL, WO y fecha de corrida.</t>
        </is>
      </c>
      <c r="U363" s="33" t="inlineStr">
        <is>
          <t>Documento oficial firmado, autorizacion FJZ, revision/WO de alcance, confirmacion BOM y evidencia de implementacion si aplica.</t>
        </is>
      </c>
      <c r="V363" s="43" t="n"/>
      <c r="W363" s="43" t="n"/>
      <c r="X363" s="43" t="inlineStr">
        <is>
          <t>INFO</t>
        </is>
      </c>
      <c r="Y363" s="43" t="n"/>
      <c r="Z363" s="43" t="inlineStr">
        <is>
          <t>Pending Review</t>
        </is>
      </c>
      <c r="AA363" s="43" t="inlineStr">
        <is>
          <t>N</t>
        </is>
      </c>
      <c r="AB363" s="43" t="n"/>
      <c r="AC363" s="33" t="inlineStr">
        <is>
          <t xml:space="preserve">FUENTE: Deviation.csv filas 562; Item Number original=73-103951-01 (prefijo 73- es CANDIDATO de PCBA, no confirmacion en Common DB); Workflow de origen=Expired; FJZ no validado, revision PCBA/WO no informadas. </t>
        </is>
      </c>
    </row>
    <row r="364">
      <c r="A364" s="43" t="inlineStr">
        <is>
          <t>DA-CTANJZ05302-CVEBU-73-104022-01</t>
        </is>
      </c>
      <c r="B364" s="43" t="n"/>
      <c r="C364" s="43" t="n"/>
      <c r="D364" s="43" t="inlineStr">
        <is>
          <t>73-104022-01</t>
        </is>
      </c>
      <c r="E364" s="43" t="inlineStr">
        <is>
          <t>DEV-CTANJZ05302</t>
        </is>
      </c>
      <c r="F364" s="43" t="n"/>
      <c r="G364" s="43" t="inlineStr">
        <is>
          <t>CVEBU</t>
        </is>
      </c>
      <c r="H364" s="43" t="n"/>
      <c r="I364" s="43" t="n"/>
      <c r="J364" s="43" t="n"/>
      <c r="K364" s="43" t="n"/>
      <c r="L364" s="43" t="n"/>
      <c r="M364" s="43" t="n"/>
      <c r="N364" s="43" t="n"/>
      <c r="O364" s="43" t="n"/>
      <c r="P364" s="43" t="n"/>
      <c r="Q364" s="43" t="inlineStr">
        <is>
          <t>BOARD</t>
        </is>
      </c>
      <c r="R364" s="33" t="inlineStr">
        <is>
          <t>REVISAR D611944: verificar accion documentada, PN/revision y vigencia para la corrida. No autoriza sustitucion ni uso de material.</t>
        </is>
      </c>
      <c r="S364" s="43" t="inlineStr">
        <is>
          <t>INFO</t>
        </is>
      </c>
      <c r="T364" s="33" t="inlineStr">
        <is>
          <t>Validar desviacion aprobada y estado; contrastar PN exacto y revision con Common DB, BOM/AVL, WO y fecha de corrida.</t>
        </is>
      </c>
      <c r="U364" s="33" t="inlineStr">
        <is>
          <t>Documento oficial firmado, autorizacion FJZ, revision/WO de alcance, confirmacion BOM y evidencia de implementacion si aplica.</t>
        </is>
      </c>
      <c r="V364" s="43" t="n"/>
      <c r="W364" s="43" t="n"/>
      <c r="X364" s="43" t="inlineStr">
        <is>
          <t>INFO</t>
        </is>
      </c>
      <c r="Y364" s="43" t="n"/>
      <c r="Z364" s="43" t="inlineStr">
        <is>
          <t>Pending Review</t>
        </is>
      </c>
      <c r="AA364" s="43" t="inlineStr">
        <is>
          <t>N</t>
        </is>
      </c>
      <c r="AB364" s="43" t="n"/>
      <c r="AC364" s="33" t="inlineStr">
        <is>
          <t xml:space="preserve">FUENTE: Deviation.csv filas 563; Item Number original=73-104022-01 (prefijo 73- es CANDIDATO de PCBA, no confirmacion en Common DB); Workflow de origen=Expired; FJZ no validado, revision PCBA/WO no informadas. </t>
        </is>
      </c>
    </row>
    <row r="365">
      <c r="A365" s="43" t="inlineStr">
        <is>
          <t>DA-CTANJZ05304-STBU-73-20247-06</t>
        </is>
      </c>
      <c r="B365" s="43" t="inlineStr">
        <is>
          <t>TUFNELL PARK</t>
        </is>
      </c>
      <c r="C365" s="43" t="n"/>
      <c r="D365" s="43" t="inlineStr">
        <is>
          <t>73-20247-06</t>
        </is>
      </c>
      <c r="E365" s="43" t="inlineStr">
        <is>
          <t>DEV-CTANJZ05304</t>
        </is>
      </c>
      <c r="F365" s="43" t="n"/>
      <c r="G365" s="43" t="inlineStr">
        <is>
          <t>STBU</t>
        </is>
      </c>
      <c r="H365" s="43" t="n"/>
      <c r="I365" s="43" t="n"/>
      <c r="J365" s="43" t="n"/>
      <c r="K365" s="43" t="n"/>
      <c r="L365" s="43" t="n"/>
      <c r="M365" s="43" t="n"/>
      <c r="N365" s="43" t="n"/>
      <c r="O365" s="43" t="n"/>
      <c r="P365" s="43" t="n"/>
      <c r="Q365" s="43" t="inlineStr">
        <is>
          <t>BOARD</t>
        </is>
      </c>
      <c r="R365" s="33" t="inlineStr">
        <is>
          <t>REVISAR D611712: verificar accion documentada, PN/revision y vigencia para la corrida. No autoriza sustitucion ni uso de material.</t>
        </is>
      </c>
      <c r="S365" s="43" t="inlineStr">
        <is>
          <t>INFO</t>
        </is>
      </c>
      <c r="T365" s="33" t="inlineStr">
        <is>
          <t>Validar desviacion aprobada y estado; contrastar PN exacto y revision con Common DB, BOM/AVL, WO y fecha de corrida.</t>
        </is>
      </c>
      <c r="U365" s="33" t="inlineStr">
        <is>
          <t>Documento oficial firmado, autorizacion FJZ, revision/WO de alcance, confirmacion BOM y evidencia de implementacion si aplica.</t>
        </is>
      </c>
      <c r="V365" s="43" t="n"/>
      <c r="W365" s="43" t="n"/>
      <c r="X365" s="43" t="inlineStr">
        <is>
          <t>INFO</t>
        </is>
      </c>
      <c r="Y365" s="43" t="n"/>
      <c r="Z365" s="43" t="inlineStr">
        <is>
          <t>Pending Review</t>
        </is>
      </c>
      <c r="AA365" s="43" t="inlineStr">
        <is>
          <t>N</t>
        </is>
      </c>
      <c r="AB365" s="43" t="n"/>
      <c r="AC365" s="33" t="inlineStr">
        <is>
          <t xml:space="preserve">FUENTE: Deviation.csv filas 1214; Item Number original=73-20247-06 (prefijo 73- es CANDIDATO de PCBA, no confirmacion en Common DB); Workflow de origen=Expired; FJZ no validado, revision PCBA/WO no informadas. </t>
        </is>
      </c>
    </row>
    <row r="366">
      <c r="A366" s="43" t="inlineStr">
        <is>
          <t>DA-CTANJZ05304-STBU-73-20249-06</t>
        </is>
      </c>
      <c r="B366" s="43" t="inlineStr">
        <is>
          <t>TUFNELL PARK</t>
        </is>
      </c>
      <c r="C366" s="43" t="n"/>
      <c r="D366" s="43" t="inlineStr">
        <is>
          <t>73-20249-06</t>
        </is>
      </c>
      <c r="E366" s="43" t="inlineStr">
        <is>
          <t>DEV-CTANJZ05304</t>
        </is>
      </c>
      <c r="F366" s="43" t="n"/>
      <c r="G366" s="43" t="inlineStr">
        <is>
          <t>STBU</t>
        </is>
      </c>
      <c r="H366" s="43" t="n"/>
      <c r="I366" s="43" t="n"/>
      <c r="J366" s="43" t="n"/>
      <c r="K366" s="43" t="n"/>
      <c r="L366" s="43" t="n"/>
      <c r="M366" s="43" t="n"/>
      <c r="N366" s="43" t="n"/>
      <c r="O366" s="43" t="n"/>
      <c r="P366" s="43" t="n"/>
      <c r="Q366" s="43" t="inlineStr">
        <is>
          <t>BOARD</t>
        </is>
      </c>
      <c r="R366" s="33" t="inlineStr">
        <is>
          <t>REVISAR D611712: verificar accion documentada, PN/revision y vigencia para la corrida. No autoriza sustitucion ni uso de material.</t>
        </is>
      </c>
      <c r="S366" s="43" t="inlineStr">
        <is>
          <t>INFO</t>
        </is>
      </c>
      <c r="T366" s="33" t="inlineStr">
        <is>
          <t>Validar desviacion aprobada y estado; contrastar PN exacto y revision con Common DB, BOM/AVL, WO y fecha de corrida.</t>
        </is>
      </c>
      <c r="U366" s="33" t="inlineStr">
        <is>
          <t>Documento oficial firmado, autorizacion FJZ, revision/WO de alcance, confirmacion BOM y evidencia de implementacion si aplica.</t>
        </is>
      </c>
      <c r="V366" s="43" t="n"/>
      <c r="W366" s="43" t="n"/>
      <c r="X366" s="43" t="inlineStr">
        <is>
          <t>INFO</t>
        </is>
      </c>
      <c r="Y366" s="43" t="n"/>
      <c r="Z366" s="43" t="inlineStr">
        <is>
          <t>Pending Review</t>
        </is>
      </c>
      <c r="AA366" s="43" t="inlineStr">
        <is>
          <t>N</t>
        </is>
      </c>
      <c r="AB366" s="43" t="n"/>
      <c r="AC366" s="33" t="inlineStr">
        <is>
          <t xml:space="preserve">FUENTE: Deviation.csv filas 1215; Item Number original=73-20249-06 (prefijo 73- es CANDIDATO de PCBA, no confirmacion en Common DB); Workflow de origen=Expired; FJZ no validado, revision PCBA/WO no informadas. </t>
        </is>
      </c>
    </row>
    <row r="367">
      <c r="A367" s="43" t="inlineStr">
        <is>
          <t>DA-CTANJZ05311-CVEBU-73-103698-06</t>
        </is>
      </c>
      <c r="B367" s="43" t="n"/>
      <c r="C367" s="43" t="n"/>
      <c r="D367" s="43" t="inlineStr">
        <is>
          <t>73-103698-06</t>
        </is>
      </c>
      <c r="E367" s="43" t="inlineStr">
        <is>
          <t>DEV-CTANJZ05311</t>
        </is>
      </c>
      <c r="F367" s="43" t="n"/>
      <c r="G367" s="43" t="inlineStr">
        <is>
          <t>CVEBU</t>
        </is>
      </c>
      <c r="H367" s="43" t="n"/>
      <c r="I367" s="43" t="n"/>
      <c r="J367" s="43" t="n"/>
      <c r="K367" s="43" t="n"/>
      <c r="L367" s="43" t="n"/>
      <c r="M367" s="43" t="n"/>
      <c r="N367" s="43" t="n"/>
      <c r="O367" s="43" t="n"/>
      <c r="P367" s="43" t="n"/>
      <c r="Q367" s="43" t="inlineStr">
        <is>
          <t>BOARD</t>
        </is>
      </c>
      <c r="R367" s="33" t="inlineStr">
        <is>
          <t>REVISAR D612169: verificar accion documentada, PN/revision y vigencia para la corrida. No autoriza sustitucion ni uso de material.</t>
        </is>
      </c>
      <c r="S367" s="43" t="inlineStr">
        <is>
          <t>INFO</t>
        </is>
      </c>
      <c r="T367" s="33" t="inlineStr">
        <is>
          <t>Validar desviacion aprobada y estado; contrastar PN exacto y revision con Common DB, BOM/AVL, WO y fecha de corrida.</t>
        </is>
      </c>
      <c r="U367" s="33" t="inlineStr">
        <is>
          <t>Documento oficial firmado, autorizacion FJZ, revision/WO de alcance, confirmacion BOM y evidencia de implementacion si aplica.</t>
        </is>
      </c>
      <c r="V367" s="43" t="n"/>
      <c r="W367" s="43" t="n"/>
      <c r="X367" s="43" t="inlineStr">
        <is>
          <t>INFO</t>
        </is>
      </c>
      <c r="Y367" s="43" t="n"/>
      <c r="Z367" s="43" t="inlineStr">
        <is>
          <t>Pending Review</t>
        </is>
      </c>
      <c r="AA367" s="43" t="inlineStr">
        <is>
          <t>N</t>
        </is>
      </c>
      <c r="AB367" s="43" t="n"/>
      <c r="AC367" s="33" t="inlineStr">
        <is>
          <t xml:space="preserve">FUENTE: Deviation.csv filas 570; Item Number original=73-103698-06 (prefijo 73- es CANDIDATO de PCBA, no confirmacion en Common DB); Workflow de origen=Expired; FJZ no validado, revision PCBA/WO no informadas. </t>
        </is>
      </c>
    </row>
    <row r="368">
      <c r="A368" s="43" t="inlineStr">
        <is>
          <t>DA-CTANJZ05311-CVEBU-73-103940-06</t>
        </is>
      </c>
      <c r="B368" s="43" t="n"/>
      <c r="C368" s="43" t="n"/>
      <c r="D368" s="43" t="inlineStr">
        <is>
          <t>73-103940-06</t>
        </is>
      </c>
      <c r="E368" s="43" t="inlineStr">
        <is>
          <t>DEV-CTANJZ05311</t>
        </is>
      </c>
      <c r="F368" s="43" t="n"/>
      <c r="G368" s="43" t="inlineStr">
        <is>
          <t>CVEBU</t>
        </is>
      </c>
      <c r="H368" s="43" t="n"/>
      <c r="I368" s="43" t="n"/>
      <c r="J368" s="43" t="n"/>
      <c r="K368" s="43" t="n"/>
      <c r="L368" s="43" t="n"/>
      <c r="M368" s="43" t="n"/>
      <c r="N368" s="43" t="n"/>
      <c r="O368" s="43" t="n"/>
      <c r="P368" s="43" t="n"/>
      <c r="Q368" s="43" t="inlineStr">
        <is>
          <t>BOARD</t>
        </is>
      </c>
      <c r="R368" s="33" t="inlineStr">
        <is>
          <t>REVISAR D612169: verificar accion documentada, PN/revision y vigencia para la corrida. No autoriza sustitucion ni uso de material.</t>
        </is>
      </c>
      <c r="S368" s="43" t="inlineStr">
        <is>
          <t>INFO</t>
        </is>
      </c>
      <c r="T368" s="33" t="inlineStr">
        <is>
          <t>Validar desviacion aprobada y estado; contrastar PN exacto y revision con Common DB, BOM/AVL, WO y fecha de corrida.</t>
        </is>
      </c>
      <c r="U368" s="33" t="inlineStr">
        <is>
          <t>Documento oficial firmado, autorizacion FJZ, revision/WO de alcance, confirmacion BOM y evidencia de implementacion si aplica.</t>
        </is>
      </c>
      <c r="V368" s="43" t="n"/>
      <c r="W368" s="43" t="n"/>
      <c r="X368" s="43" t="inlineStr">
        <is>
          <t>INFO</t>
        </is>
      </c>
      <c r="Y368" s="43" t="n"/>
      <c r="Z368" s="43" t="inlineStr">
        <is>
          <t>Pending Review</t>
        </is>
      </c>
      <c r="AA368" s="43" t="inlineStr">
        <is>
          <t>N</t>
        </is>
      </c>
      <c r="AB368" s="43" t="n"/>
      <c r="AC368" s="33" t="inlineStr">
        <is>
          <t xml:space="preserve">FUENTE: Deviation.csv filas 571; Item Number original=73-103940-06 (prefijo 73- es CANDIDATO de PCBA, no confirmacion en Common DB); Workflow de origen=Expired; FJZ no validado, revision PCBA/WO no informadas. </t>
        </is>
      </c>
    </row>
    <row r="369">
      <c r="A369" s="43" t="inlineStr">
        <is>
          <t>DA-CTANJZ05314-CRBU-73-20922-04</t>
        </is>
      </c>
      <c r="B369" s="43" t="n"/>
      <c r="C369" s="43" t="n"/>
      <c r="D369" s="43" t="inlineStr">
        <is>
          <t>73-20922-04</t>
        </is>
      </c>
      <c r="E369" s="43" t="inlineStr">
        <is>
          <t>DEV-CTANJZ05314</t>
        </is>
      </c>
      <c r="F369" s="43" t="n"/>
      <c r="G369" s="43" t="inlineStr">
        <is>
          <t>CRBU</t>
        </is>
      </c>
      <c r="H369" s="43" t="n"/>
      <c r="I369" s="43" t="n"/>
      <c r="J369" s="43" t="n"/>
      <c r="K369" s="43" t="n"/>
      <c r="L369" s="43" t="n"/>
      <c r="M369" s="43" t="n"/>
      <c r="N369" s="43" t="n"/>
      <c r="O369" s="43" t="n"/>
      <c r="P369" s="43" t="n"/>
      <c r="Q369" s="43" t="inlineStr">
        <is>
          <t>BOARD</t>
        </is>
      </c>
      <c r="R369" s="33" t="inlineStr">
        <is>
          <t>REVISAR D612107: verificar accion documentada, PN/revision y vigencia para la corrida. No autoriza sustitucion ni uso de material.</t>
        </is>
      </c>
      <c r="S369" s="43" t="inlineStr">
        <is>
          <t>INFO</t>
        </is>
      </c>
      <c r="T369" s="33" t="inlineStr">
        <is>
          <t>Validar desviacion aprobada y estado; contrastar PN exacto y revision con Common DB, BOM/AVL, WO y fecha de corrida.</t>
        </is>
      </c>
      <c r="U369" s="33" t="inlineStr">
        <is>
          <t>Documento oficial firmado, autorizacion FJZ, revision/WO de alcance, confirmacion BOM y evidencia de implementacion si aplica.</t>
        </is>
      </c>
      <c r="V369" s="43" t="n"/>
      <c r="W369" s="43" t="n"/>
      <c r="X369" s="43" t="inlineStr">
        <is>
          <t>INFO</t>
        </is>
      </c>
      <c r="Y369" s="43" t="n"/>
      <c r="Z369" s="43" t="inlineStr">
        <is>
          <t>Pending Review</t>
        </is>
      </c>
      <c r="AA369" s="43" t="inlineStr">
        <is>
          <t>N</t>
        </is>
      </c>
      <c r="AB369" s="43" t="n"/>
      <c r="AC369" s="33" t="inlineStr">
        <is>
          <t xml:space="preserve">FUENTE: Deviation.csv filas 55,175; Item Number original=73-20922-04 (prefijo 73- es CANDIDATO de PCBA, no confirmacion en Common DB); Workflow de origen=Expired; FJZ no validado, revision PCBA/WO no informadas. </t>
        </is>
      </c>
    </row>
    <row r="370">
      <c r="A370" s="43" t="inlineStr">
        <is>
          <t>DA-CTANJZ05320-STBU-73-102433-05</t>
        </is>
      </c>
      <c r="B370" s="43" t="n"/>
      <c r="C370" s="43" t="n"/>
      <c r="D370" s="43" t="inlineStr">
        <is>
          <t>73-102433-05</t>
        </is>
      </c>
      <c r="E370" s="43" t="inlineStr">
        <is>
          <t>DEV-CTANJZ05320</t>
        </is>
      </c>
      <c r="F370" s="43" t="n"/>
      <c r="G370" s="43" t="inlineStr">
        <is>
          <t>STBU</t>
        </is>
      </c>
      <c r="H370" s="43" t="n"/>
      <c r="I370" s="43" t="n"/>
      <c r="J370" s="43" t="n"/>
      <c r="K370" s="43" t="n"/>
      <c r="L370" s="43" t="n"/>
      <c r="M370" s="43" t="n"/>
      <c r="N370" s="43" t="n"/>
      <c r="O370" s="43" t="n"/>
      <c r="P370" s="43" t="n"/>
      <c r="Q370" s="43" t="inlineStr">
        <is>
          <t>BOARD</t>
        </is>
      </c>
      <c r="R370" s="33" t="inlineStr">
        <is>
          <t>REVISAR D612244: verificar accion documentada, PN/revision y vigencia para la corrida. No autoriza sustitucion ni uso de material.</t>
        </is>
      </c>
      <c r="S370" s="43" t="inlineStr">
        <is>
          <t>INFO</t>
        </is>
      </c>
      <c r="T370" s="33" t="inlineStr">
        <is>
          <t>Validar desviacion aprobada y estado; contrastar PN exacto y revision con Common DB, BOM/AVL, WO y fecha de corrida.</t>
        </is>
      </c>
      <c r="U370" s="33" t="inlineStr">
        <is>
          <t>Documento oficial firmado, autorizacion FJZ, revision/WO de alcance, confirmacion BOM y evidencia de implementacion si aplica.</t>
        </is>
      </c>
      <c r="V370" s="43" t="n"/>
      <c r="W370" s="43" t="n"/>
      <c r="X370" s="43" t="inlineStr">
        <is>
          <t>INFO</t>
        </is>
      </c>
      <c r="Y370" s="43" t="n"/>
      <c r="Z370" s="43" t="inlineStr">
        <is>
          <t>Pending Review</t>
        </is>
      </c>
      <c r="AA370" s="43" t="inlineStr">
        <is>
          <t>N</t>
        </is>
      </c>
      <c r="AB370" s="43" t="n"/>
      <c r="AC370" s="33" t="inlineStr">
        <is>
          <t xml:space="preserve">FUENTE: Deviation.csv filas 1260; Item Number original=73-102433-05 (prefijo 73- es CANDIDATO de PCBA, no confirmacion en Common DB); Workflow de origen=Expired; FJZ no validado, revision PCBA/WO no informadas. </t>
        </is>
      </c>
    </row>
    <row r="371">
      <c r="A371" s="43" t="inlineStr">
        <is>
          <t>DA-CTANJZ05320-STBU-73-102434-05</t>
        </is>
      </c>
      <c r="B371" s="43" t="n"/>
      <c r="C371" s="43" t="n"/>
      <c r="D371" s="43" t="inlineStr">
        <is>
          <t>73-102434-05</t>
        </is>
      </c>
      <c r="E371" s="43" t="inlineStr">
        <is>
          <t>DEV-CTANJZ05320</t>
        </is>
      </c>
      <c r="F371" s="43" t="n"/>
      <c r="G371" s="43" t="inlineStr">
        <is>
          <t>STBU</t>
        </is>
      </c>
      <c r="H371" s="43" t="n"/>
      <c r="I371" s="43" t="n"/>
      <c r="J371" s="43" t="n"/>
      <c r="K371" s="43" t="n"/>
      <c r="L371" s="43" t="n"/>
      <c r="M371" s="43" t="n"/>
      <c r="N371" s="43" t="n"/>
      <c r="O371" s="43" t="n"/>
      <c r="P371" s="43" t="n"/>
      <c r="Q371" s="43" t="inlineStr">
        <is>
          <t>BOARD</t>
        </is>
      </c>
      <c r="R371" s="33" t="inlineStr">
        <is>
          <t>REVISAR D612244: verificar accion documentada, PN/revision y vigencia para la corrida. No autoriza sustitucion ni uso de material.</t>
        </is>
      </c>
      <c r="S371" s="43" t="inlineStr">
        <is>
          <t>INFO</t>
        </is>
      </c>
      <c r="T371" s="33" t="inlineStr">
        <is>
          <t>Validar desviacion aprobada y estado; contrastar PN exacto y revision con Common DB, BOM/AVL, WO y fecha de corrida.</t>
        </is>
      </c>
      <c r="U371" s="33" t="inlineStr">
        <is>
          <t>Documento oficial firmado, autorizacion FJZ, revision/WO de alcance, confirmacion BOM y evidencia de implementacion si aplica.</t>
        </is>
      </c>
      <c r="V371" s="43" t="n"/>
      <c r="W371" s="43" t="n"/>
      <c r="X371" s="43" t="inlineStr">
        <is>
          <t>INFO</t>
        </is>
      </c>
      <c r="Y371" s="43" t="n"/>
      <c r="Z371" s="43" t="inlineStr">
        <is>
          <t>Pending Review</t>
        </is>
      </c>
      <c r="AA371" s="43" t="inlineStr">
        <is>
          <t>N</t>
        </is>
      </c>
      <c r="AB371" s="43" t="n"/>
      <c r="AC371" s="33" t="inlineStr">
        <is>
          <t xml:space="preserve">FUENTE: Deviation.csv filas 1261; Item Number original=73-102434-05 (prefijo 73- es CANDIDATO de PCBA, no confirmacion en Common DB); Workflow de origen=Expired; FJZ no validado, revision PCBA/WO no informadas. </t>
        </is>
      </c>
    </row>
    <row r="372">
      <c r="A372" s="43" t="inlineStr">
        <is>
          <t>DA-CTANJZ05320-STBU-73-102435-05</t>
        </is>
      </c>
      <c r="B372" s="43" t="n"/>
      <c r="C372" s="43" t="n"/>
      <c r="D372" s="43" t="inlineStr">
        <is>
          <t>73-102435-05</t>
        </is>
      </c>
      <c r="E372" s="43" t="inlineStr">
        <is>
          <t>DEV-CTANJZ05320</t>
        </is>
      </c>
      <c r="F372" s="43" t="n"/>
      <c r="G372" s="43" t="inlineStr">
        <is>
          <t>STBU</t>
        </is>
      </c>
      <c r="H372" s="43" t="n"/>
      <c r="I372" s="43" t="n"/>
      <c r="J372" s="43" t="n"/>
      <c r="K372" s="43" t="n"/>
      <c r="L372" s="43" t="n"/>
      <c r="M372" s="43" t="n"/>
      <c r="N372" s="43" t="n"/>
      <c r="O372" s="43" t="n"/>
      <c r="P372" s="43" t="n"/>
      <c r="Q372" s="43" t="inlineStr">
        <is>
          <t>BOARD</t>
        </is>
      </c>
      <c r="R372" s="33" t="inlineStr">
        <is>
          <t>REVISAR D612244: verificar accion documentada, PN/revision y vigencia para la corrida. No autoriza sustitucion ni uso de material.</t>
        </is>
      </c>
      <c r="S372" s="43" t="inlineStr">
        <is>
          <t>INFO</t>
        </is>
      </c>
      <c r="T372" s="33" t="inlineStr">
        <is>
          <t>Validar desviacion aprobada y estado; contrastar PN exacto y revision con Common DB, BOM/AVL, WO y fecha de corrida.</t>
        </is>
      </c>
      <c r="U372" s="33" t="inlineStr">
        <is>
          <t>Documento oficial firmado, autorizacion FJZ, revision/WO de alcance, confirmacion BOM y evidencia de implementacion si aplica.</t>
        </is>
      </c>
      <c r="V372" s="43" t="n"/>
      <c r="W372" s="43" t="n"/>
      <c r="X372" s="43" t="inlineStr">
        <is>
          <t>INFO</t>
        </is>
      </c>
      <c r="Y372" s="43" t="n"/>
      <c r="Z372" s="43" t="inlineStr">
        <is>
          <t>Pending Review</t>
        </is>
      </c>
      <c r="AA372" s="43" t="inlineStr">
        <is>
          <t>N</t>
        </is>
      </c>
      <c r="AB372" s="43" t="n"/>
      <c r="AC372" s="33" t="inlineStr">
        <is>
          <t xml:space="preserve">FUENTE: Deviation.csv filas 1262; Item Number original=73-102435-05 (prefijo 73- es CANDIDATO de PCBA, no confirmacion en Common DB); Workflow de origen=Expired; FJZ no validado, revision PCBA/WO no informadas. </t>
        </is>
      </c>
    </row>
    <row r="373">
      <c r="A373" s="43" t="inlineStr">
        <is>
          <t>DA-CTANJZ05322-CRBU-73-102363-05</t>
        </is>
      </c>
      <c r="B373" s="43" t="n"/>
      <c r="C373" s="43" t="n"/>
      <c r="D373" s="43" t="inlineStr">
        <is>
          <t>73-102363-05</t>
        </is>
      </c>
      <c r="E373" s="43" t="inlineStr">
        <is>
          <t>DEV-CTANJZ05322</t>
        </is>
      </c>
      <c r="F373" s="43" t="n"/>
      <c r="G373" s="43" t="inlineStr">
        <is>
          <t>CRBU</t>
        </is>
      </c>
      <c r="H373" s="43" t="n"/>
      <c r="I373" s="43" t="n"/>
      <c r="J373" s="43" t="n"/>
      <c r="K373" s="43" t="n"/>
      <c r="L373" s="43" t="n"/>
      <c r="M373" s="43" t="n"/>
      <c r="N373" s="43" t="n"/>
      <c r="O373" s="43" t="n"/>
      <c r="P373" s="43" t="n"/>
      <c r="Q373" s="43" t="inlineStr">
        <is>
          <t>BOARD</t>
        </is>
      </c>
      <c r="R373" s="33" t="inlineStr">
        <is>
          <t>REVISAR D612106: verificar accion documentada, PN/revision y vigencia para la corrida. No autoriza sustitucion ni uso de material.</t>
        </is>
      </c>
      <c r="S373" s="43" t="inlineStr">
        <is>
          <t>INFO</t>
        </is>
      </c>
      <c r="T373" s="33" t="inlineStr">
        <is>
          <t>Validar desviacion aprobada y estado; contrastar PN exacto y revision con Common DB, BOM/AVL, WO y fecha de corrida.</t>
        </is>
      </c>
      <c r="U373" s="33" t="inlineStr">
        <is>
          <t>Documento oficial firmado, autorizacion FJZ, revision/WO de alcance, confirmacion BOM y evidencia de implementacion si aplica.</t>
        </is>
      </c>
      <c r="V373" s="43" t="n"/>
      <c r="W373" s="43" t="n"/>
      <c r="X373" s="43" t="inlineStr">
        <is>
          <t>INFO</t>
        </is>
      </c>
      <c r="Y373" s="43" t="n"/>
      <c r="Z373" s="43" t="inlineStr">
        <is>
          <t>Pending Review</t>
        </is>
      </c>
      <c r="AA373" s="43" t="inlineStr">
        <is>
          <t>N</t>
        </is>
      </c>
      <c r="AB373" s="43" t="n"/>
      <c r="AC373" s="33" t="inlineStr">
        <is>
          <t xml:space="preserve">FUENTE: Deviation.csv filas 89,268; Item Number original=73-102363-05 (prefijo 73- es CANDIDATO de PCBA, no confirmacion en Common DB); Workflow de origen=Extended; FJZ no validado, revision PCBA/WO no informadas. </t>
        </is>
      </c>
    </row>
    <row r="374">
      <c r="A374" s="43" t="inlineStr">
        <is>
          <t>DA-CTANJZ05325-CVEBU-73-103826-05</t>
        </is>
      </c>
      <c r="B374" s="43" t="inlineStr">
        <is>
          <t>BAYFRONT</t>
        </is>
      </c>
      <c r="C374" s="43" t="n"/>
      <c r="D374" s="43" t="inlineStr">
        <is>
          <t>73-103826-05</t>
        </is>
      </c>
      <c r="E374" s="43" t="inlineStr">
        <is>
          <t>DEV-CTANJZ05325</t>
        </is>
      </c>
      <c r="F374" s="43" t="n"/>
      <c r="G374" s="43" t="inlineStr">
        <is>
          <t>CVEBU</t>
        </is>
      </c>
      <c r="H374" s="43" t="n"/>
      <c r="I374" s="43" t="n"/>
      <c r="J374" s="43" t="n"/>
      <c r="K374" s="43" t="n"/>
      <c r="L374" s="43" t="n"/>
      <c r="M374" s="43" t="n"/>
      <c r="N374" s="43" t="n"/>
      <c r="O374" s="43" t="n"/>
      <c r="P374" s="43" t="n"/>
      <c r="Q374" s="43" t="inlineStr">
        <is>
          <t>BOARD</t>
        </is>
      </c>
      <c r="R374" s="33" t="inlineStr">
        <is>
          <t>REVISAR D611994: verificar accion documentada, PN/revision y vigencia para la corrida. No autoriza sustitucion ni uso de material.</t>
        </is>
      </c>
      <c r="S374" s="43" t="inlineStr">
        <is>
          <t>INFO</t>
        </is>
      </c>
      <c r="T374" s="33" t="inlineStr">
        <is>
          <t>Validar desviacion aprobada y estado; contrastar PN exacto y revision con Common DB, BOM/AVL, WO y fecha de corrida.</t>
        </is>
      </c>
      <c r="U374" s="33" t="inlineStr">
        <is>
          <t>Documento oficial firmado, autorizacion FJZ, revision/WO de alcance, confirmacion BOM y evidencia de implementacion si aplica.</t>
        </is>
      </c>
      <c r="V374" s="43" t="n"/>
      <c r="W374" s="43" t="n"/>
      <c r="X374" s="43" t="inlineStr">
        <is>
          <t>INFO</t>
        </is>
      </c>
      <c r="Y374" s="43" t="n"/>
      <c r="Z374" s="43" t="inlineStr">
        <is>
          <t>Pending Review</t>
        </is>
      </c>
      <c r="AA374" s="43" t="inlineStr">
        <is>
          <t>N</t>
        </is>
      </c>
      <c r="AB374" s="43" t="n"/>
      <c r="AC374" s="33" t="inlineStr">
        <is>
          <t xml:space="preserve">FUENTE: Deviation.csv filas 1352; Item Number original=73-103826-05 (prefijo 73- es CANDIDATO de PCBA, no confirmacion en Common DB); Workflow de origen=Expired; FJZ no validado, revision PCBA/WO no informadas. </t>
        </is>
      </c>
    </row>
    <row r="375">
      <c r="A375" s="43" t="inlineStr">
        <is>
          <t>DA-CTANJZ05325-CVEBU-73-103880-05</t>
        </is>
      </c>
      <c r="B375" s="43" t="n"/>
      <c r="C375" s="43" t="n"/>
      <c r="D375" s="43" t="inlineStr">
        <is>
          <t>73-103880-05</t>
        </is>
      </c>
      <c r="E375" s="43" t="inlineStr">
        <is>
          <t>DEV-CTANJZ05325</t>
        </is>
      </c>
      <c r="F375" s="43" t="n"/>
      <c r="G375" s="43" t="inlineStr">
        <is>
          <t>CVEBU</t>
        </is>
      </c>
      <c r="H375" s="43" t="n"/>
      <c r="I375" s="43" t="n"/>
      <c r="J375" s="43" t="n"/>
      <c r="K375" s="43" t="n"/>
      <c r="L375" s="43" t="n"/>
      <c r="M375" s="43" t="n"/>
      <c r="N375" s="43" t="n"/>
      <c r="O375" s="43" t="n"/>
      <c r="P375" s="43" t="n"/>
      <c r="Q375" s="43" t="inlineStr">
        <is>
          <t>BOARD</t>
        </is>
      </c>
      <c r="R375" s="33" t="inlineStr">
        <is>
          <t>REVISAR D611994: verificar accion documentada, PN/revision y vigencia para la corrida. No autoriza sustitucion ni uso de material.</t>
        </is>
      </c>
      <c r="S375" s="43" t="inlineStr">
        <is>
          <t>INFO</t>
        </is>
      </c>
      <c r="T375" s="33" t="inlineStr">
        <is>
          <t>Validar desviacion aprobada y estado; contrastar PN exacto y revision con Common DB, BOM/AVL, WO y fecha de corrida.</t>
        </is>
      </c>
      <c r="U375" s="33" t="inlineStr">
        <is>
          <t>Documento oficial firmado, autorizacion FJZ, revision/WO de alcance, confirmacion BOM y evidencia de implementacion si aplica.</t>
        </is>
      </c>
      <c r="V375" s="43" t="n"/>
      <c r="W375" s="43" t="n"/>
      <c r="X375" s="43" t="inlineStr">
        <is>
          <t>INFO</t>
        </is>
      </c>
      <c r="Y375" s="43" t="n"/>
      <c r="Z375" s="43" t="inlineStr">
        <is>
          <t>Pending Review</t>
        </is>
      </c>
      <c r="AA375" s="43" t="inlineStr">
        <is>
          <t>N</t>
        </is>
      </c>
      <c r="AB375" s="43" t="n"/>
      <c r="AC375" s="33" t="inlineStr">
        <is>
          <t xml:space="preserve">FUENTE: Deviation.csv filas 1353; Item Number original=73-103880-05 (prefijo 73- es CANDIDATO de PCBA, no confirmacion en Common DB); Workflow de origen=Expired; FJZ no validado, revision PCBA/WO no informadas. </t>
        </is>
      </c>
    </row>
    <row r="376">
      <c r="A376" s="43" t="inlineStr">
        <is>
          <t>DA-CTANJZ05327-STBU-73-102418-04</t>
        </is>
      </c>
      <c r="B376" s="43" t="n"/>
      <c r="C376" s="43" t="n"/>
      <c r="D376" s="43" t="inlineStr">
        <is>
          <t>73-102418-04</t>
        </is>
      </c>
      <c r="E376" s="43" t="inlineStr">
        <is>
          <t>DEV-CTANJZ05327</t>
        </is>
      </c>
      <c r="F376" s="43" t="n"/>
      <c r="G376" s="43" t="inlineStr">
        <is>
          <t>STBU</t>
        </is>
      </c>
      <c r="H376" s="43" t="n"/>
      <c r="I376" s="43" t="n"/>
      <c r="J376" s="43" t="n"/>
      <c r="K376" s="43" t="n"/>
      <c r="L376" s="43" t="n"/>
      <c r="M376" s="43" t="n"/>
      <c r="N376" s="43" t="n"/>
      <c r="O376" s="43" t="n"/>
      <c r="P376" s="43" t="n"/>
      <c r="Q376" s="43" t="inlineStr">
        <is>
          <t>BOARD</t>
        </is>
      </c>
      <c r="R376" s="33" t="inlineStr">
        <is>
          <t>REVISAR D612196: verificar accion documentada, PN/revision y vigencia para la corrida. No autoriza sustitucion ni uso de material.</t>
        </is>
      </c>
      <c r="S376" s="43" t="inlineStr">
        <is>
          <t>INFO</t>
        </is>
      </c>
      <c r="T376" s="33" t="inlineStr">
        <is>
          <t>Validar desviacion aprobada y estado; contrastar PN exacto y revision con Common DB, BOM/AVL, WO y fecha de corrida.</t>
        </is>
      </c>
      <c r="U376" s="33" t="inlineStr">
        <is>
          <t>Documento oficial firmado, autorizacion FJZ, revision/WO de alcance, confirmacion BOM y evidencia de implementacion si aplica.</t>
        </is>
      </c>
      <c r="V376" s="43" t="n"/>
      <c r="W376" s="43" t="n"/>
      <c r="X376" s="43" t="inlineStr">
        <is>
          <t>INFO</t>
        </is>
      </c>
      <c r="Y376" s="43" t="n"/>
      <c r="Z376" s="43" t="inlineStr">
        <is>
          <t>Pending Review</t>
        </is>
      </c>
      <c r="AA376" s="43" t="inlineStr">
        <is>
          <t>N</t>
        </is>
      </c>
      <c r="AB376" s="43" t="n"/>
      <c r="AC376" s="33" t="inlineStr">
        <is>
          <t xml:space="preserve">FUENTE: Deviation.csv filas 1806; Item Number original=73-102418-04 (prefijo 73- es CANDIDATO de PCBA, no confirmacion en Common DB); Workflow de origen=Expired; FJZ no validado, revision PCBA/WO no informadas. </t>
        </is>
      </c>
    </row>
    <row r="377">
      <c r="A377" s="43" t="inlineStr">
        <is>
          <t>DA-CTANJZ05327-STBU-73-102483-02</t>
        </is>
      </c>
      <c r="B377" s="43" t="n"/>
      <c r="C377" s="43" t="n"/>
      <c r="D377" s="43" t="inlineStr">
        <is>
          <t>73-102483-02</t>
        </is>
      </c>
      <c r="E377" s="43" t="inlineStr">
        <is>
          <t>DEV-CTANJZ05327</t>
        </is>
      </c>
      <c r="F377" s="43" t="n"/>
      <c r="G377" s="43" t="inlineStr">
        <is>
          <t>STBU</t>
        </is>
      </c>
      <c r="H377" s="43" t="n"/>
      <c r="I377" s="43" t="n"/>
      <c r="J377" s="43" t="n"/>
      <c r="K377" s="43" t="n"/>
      <c r="L377" s="43" t="n"/>
      <c r="M377" s="43" t="n"/>
      <c r="N377" s="43" t="n"/>
      <c r="O377" s="43" t="n"/>
      <c r="P377" s="43" t="n"/>
      <c r="Q377" s="43" t="inlineStr">
        <is>
          <t>BOARD</t>
        </is>
      </c>
      <c r="R377" s="33" t="inlineStr">
        <is>
          <t>REVISAR D612196: verificar accion documentada, PN/revision y vigencia para la corrida. No autoriza sustitucion ni uso de material.</t>
        </is>
      </c>
      <c r="S377" s="43" t="inlineStr">
        <is>
          <t>INFO</t>
        </is>
      </c>
      <c r="T377" s="33" t="inlineStr">
        <is>
          <t>Validar desviacion aprobada y estado; contrastar PN exacto y revision con Common DB, BOM/AVL, WO y fecha de corrida.</t>
        </is>
      </c>
      <c r="U377" s="33" t="inlineStr">
        <is>
          <t>Documento oficial firmado, autorizacion FJZ, revision/WO de alcance, confirmacion BOM y evidencia de implementacion si aplica.</t>
        </is>
      </c>
      <c r="V377" s="43" t="n"/>
      <c r="W377" s="43" t="n"/>
      <c r="X377" s="43" t="inlineStr">
        <is>
          <t>INFO</t>
        </is>
      </c>
      <c r="Y377" s="43" t="n"/>
      <c r="Z377" s="43" t="inlineStr">
        <is>
          <t>Pending Review</t>
        </is>
      </c>
      <c r="AA377" s="43" t="inlineStr">
        <is>
          <t>N</t>
        </is>
      </c>
      <c r="AB377" s="43" t="n"/>
      <c r="AC377" s="33" t="inlineStr">
        <is>
          <t xml:space="preserve">FUENTE: Deviation.csv filas 1845; Item Number original=73-102483-02 (prefijo 73- es CANDIDATO de PCBA, no confirmacion en Common DB); Workflow de origen=Expired; FJZ no validado, revision PCBA/WO no informadas. </t>
        </is>
      </c>
    </row>
    <row r="378">
      <c r="A378" s="43" t="inlineStr">
        <is>
          <t>DA-CTANJZ05327-STBU-73-103633-04</t>
        </is>
      </c>
      <c r="B378" s="43" t="n"/>
      <c r="C378" s="43" t="n"/>
      <c r="D378" s="43" t="inlineStr">
        <is>
          <t>73-103633-04</t>
        </is>
      </c>
      <c r="E378" s="43" t="inlineStr">
        <is>
          <t>DEV-CTANJZ05327</t>
        </is>
      </c>
      <c r="F378" s="43" t="n"/>
      <c r="G378" s="43" t="inlineStr">
        <is>
          <t>STBU</t>
        </is>
      </c>
      <c r="H378" s="43" t="n"/>
      <c r="I378" s="43" t="n"/>
      <c r="J378" s="43" t="n"/>
      <c r="K378" s="43" t="n"/>
      <c r="L378" s="43" t="n"/>
      <c r="M378" s="43" t="n"/>
      <c r="N378" s="43" t="n"/>
      <c r="O378" s="43" t="n"/>
      <c r="P378" s="43" t="n"/>
      <c r="Q378" s="43" t="inlineStr">
        <is>
          <t>BOARD</t>
        </is>
      </c>
      <c r="R378" s="33" t="inlineStr">
        <is>
          <t>REVISAR D612196: verificar accion documentada, PN/revision y vigencia para la corrida. No autoriza sustitucion ni uso de material.</t>
        </is>
      </c>
      <c r="S378" s="43" t="inlineStr">
        <is>
          <t>INFO</t>
        </is>
      </c>
      <c r="T378" s="33" t="inlineStr">
        <is>
          <t>Validar desviacion aprobada y estado; contrastar PN exacto y revision con Common DB, BOM/AVL, WO y fecha de corrida.</t>
        </is>
      </c>
      <c r="U378" s="33" t="inlineStr">
        <is>
          <t>Documento oficial firmado, autorizacion FJZ, revision/WO de alcance, confirmacion BOM y evidencia de implementacion si aplica.</t>
        </is>
      </c>
      <c r="V378" s="43" t="n"/>
      <c r="W378" s="43" t="n"/>
      <c r="X378" s="43" t="inlineStr">
        <is>
          <t>INFO</t>
        </is>
      </c>
      <c r="Y378" s="43" t="n"/>
      <c r="Z378" s="43" t="inlineStr">
        <is>
          <t>Pending Review</t>
        </is>
      </c>
      <c r="AA378" s="43" t="inlineStr">
        <is>
          <t>N</t>
        </is>
      </c>
      <c r="AB378" s="43" t="n"/>
      <c r="AC378" s="33" t="inlineStr">
        <is>
          <t xml:space="preserve">FUENTE: Deviation.csv filas 1846; Item Number original=73-103633-04 (prefijo 73- es CANDIDATO de PCBA, no confirmacion en Common DB); Workflow de origen=Expired; FJZ no validado, revision PCBA/WO no informadas. </t>
        </is>
      </c>
    </row>
    <row r="379">
      <c r="A379" s="43" t="inlineStr">
        <is>
          <t>DA-CTANJZ05327-STBU-73-103788-04</t>
        </is>
      </c>
      <c r="B379" s="43" t="n"/>
      <c r="C379" s="43" t="n"/>
      <c r="D379" s="43" t="inlineStr">
        <is>
          <t>73-103788-04</t>
        </is>
      </c>
      <c r="E379" s="43" t="inlineStr">
        <is>
          <t>DEV-CTANJZ05327</t>
        </is>
      </c>
      <c r="F379" s="43" t="n"/>
      <c r="G379" s="43" t="inlineStr">
        <is>
          <t>STBU</t>
        </is>
      </c>
      <c r="H379" s="43" t="n"/>
      <c r="I379" s="43" t="n"/>
      <c r="J379" s="43" t="n"/>
      <c r="K379" s="43" t="n"/>
      <c r="L379" s="43" t="n"/>
      <c r="M379" s="43" t="n"/>
      <c r="N379" s="43" t="n"/>
      <c r="O379" s="43" t="n"/>
      <c r="P379" s="43" t="n"/>
      <c r="Q379" s="43" t="inlineStr">
        <is>
          <t>BOARD</t>
        </is>
      </c>
      <c r="R379" s="33" t="inlineStr">
        <is>
          <t>REVISAR D612196: verificar accion documentada, PN/revision y vigencia para la corrida. No autoriza sustitucion ni uso de material.</t>
        </is>
      </c>
      <c r="S379" s="43" t="inlineStr">
        <is>
          <t>INFO</t>
        </is>
      </c>
      <c r="T379" s="33" t="inlineStr">
        <is>
          <t>Validar desviacion aprobada y estado; contrastar PN exacto y revision con Common DB, BOM/AVL, WO y fecha de corrida.</t>
        </is>
      </c>
      <c r="U379" s="33" t="inlineStr">
        <is>
          <t>Documento oficial firmado, autorizacion FJZ, revision/WO de alcance, confirmacion BOM y evidencia de implementacion si aplica.</t>
        </is>
      </c>
      <c r="V379" s="43" t="n"/>
      <c r="W379" s="43" t="n"/>
      <c r="X379" s="43" t="inlineStr">
        <is>
          <t>INFO</t>
        </is>
      </c>
      <c r="Y379" s="43" t="n"/>
      <c r="Z379" s="43" t="inlineStr">
        <is>
          <t>Pending Review</t>
        </is>
      </c>
      <c r="AA379" s="43" t="inlineStr">
        <is>
          <t>N</t>
        </is>
      </c>
      <c r="AB379" s="43" t="n"/>
      <c r="AC379" s="33" t="inlineStr">
        <is>
          <t xml:space="preserve">FUENTE: Deviation.csv filas 1847; Item Number original=73-103788-04 (prefijo 73- es CANDIDATO de PCBA, no confirmacion en Common DB); Workflow de origen=Expired; FJZ no validado, revision PCBA/WO no informadas. </t>
        </is>
      </c>
    </row>
    <row r="380">
      <c r="A380" s="43" t="inlineStr">
        <is>
          <t>DA-CTANJZ05327-STBU-73-20247-06</t>
        </is>
      </c>
      <c r="B380" s="43" t="inlineStr">
        <is>
          <t>TUFNELL PARK</t>
        </is>
      </c>
      <c r="C380" s="43" t="n"/>
      <c r="D380" s="43" t="inlineStr">
        <is>
          <t>73-20247-06</t>
        </is>
      </c>
      <c r="E380" s="43" t="inlineStr">
        <is>
          <t>DEV-CTANJZ05327</t>
        </is>
      </c>
      <c r="F380" s="43" t="n"/>
      <c r="G380" s="43" t="inlineStr">
        <is>
          <t>STBU</t>
        </is>
      </c>
      <c r="H380" s="43" t="n"/>
      <c r="I380" s="43" t="n"/>
      <c r="J380" s="43" t="n"/>
      <c r="K380" s="43" t="n"/>
      <c r="L380" s="43" t="n"/>
      <c r="M380" s="43" t="n"/>
      <c r="N380" s="43" t="n"/>
      <c r="O380" s="43" t="n"/>
      <c r="P380" s="43" t="n"/>
      <c r="Q380" s="43" t="inlineStr">
        <is>
          <t>BOARD</t>
        </is>
      </c>
      <c r="R380" s="33" t="inlineStr">
        <is>
          <t>REVISAR D612196: verificar accion documentada, PN/revision y vigencia para la corrida. No autoriza sustitucion ni uso de material.</t>
        </is>
      </c>
      <c r="S380" s="43" t="inlineStr">
        <is>
          <t>INFO</t>
        </is>
      </c>
      <c r="T380" s="33" t="inlineStr">
        <is>
          <t>Validar desviacion aprobada y estado; contrastar PN exacto y revision con Common DB, BOM/AVL, WO y fecha de corrida.</t>
        </is>
      </c>
      <c r="U380" s="33" t="inlineStr">
        <is>
          <t>Documento oficial firmado, autorizacion FJZ, revision/WO de alcance, confirmacion BOM y evidencia de implementacion si aplica.</t>
        </is>
      </c>
      <c r="V380" s="43" t="n"/>
      <c r="W380" s="43" t="n"/>
      <c r="X380" s="43" t="inlineStr">
        <is>
          <t>INFO</t>
        </is>
      </c>
      <c r="Y380" s="43" t="n"/>
      <c r="Z380" s="43" t="inlineStr">
        <is>
          <t>Pending Review</t>
        </is>
      </c>
      <c r="AA380" s="43" t="inlineStr">
        <is>
          <t>N</t>
        </is>
      </c>
      <c r="AB380" s="43" t="n"/>
      <c r="AC380" s="33" t="inlineStr">
        <is>
          <t xml:space="preserve">FUENTE: Deviation.csv filas 1848; Item Number original=73-20247-06 (prefijo 73- es CANDIDATO de PCBA, no confirmacion en Common DB); Workflow de origen=Expired; FJZ no validado, revision PCBA/WO no informadas. </t>
        </is>
      </c>
    </row>
    <row r="381">
      <c r="A381" s="43" t="inlineStr">
        <is>
          <t>DA-CTANJZ05327-STBU-73-20249-06</t>
        </is>
      </c>
      <c r="B381" s="43" t="inlineStr">
        <is>
          <t>TUFNELL PARK</t>
        </is>
      </c>
      <c r="C381" s="43" t="n"/>
      <c r="D381" s="43" t="inlineStr">
        <is>
          <t>73-20249-06</t>
        </is>
      </c>
      <c r="E381" s="43" t="inlineStr">
        <is>
          <t>DEV-CTANJZ05327</t>
        </is>
      </c>
      <c r="F381" s="43" t="n"/>
      <c r="G381" s="43" t="inlineStr">
        <is>
          <t>STBU</t>
        </is>
      </c>
      <c r="H381" s="43" t="n"/>
      <c r="I381" s="43" t="n"/>
      <c r="J381" s="43" t="n"/>
      <c r="K381" s="43" t="n"/>
      <c r="L381" s="43" t="n"/>
      <c r="M381" s="43" t="n"/>
      <c r="N381" s="43" t="n"/>
      <c r="O381" s="43" t="n"/>
      <c r="P381" s="43" t="n"/>
      <c r="Q381" s="43" t="inlineStr">
        <is>
          <t>BOARD</t>
        </is>
      </c>
      <c r="R381" s="33" t="inlineStr">
        <is>
          <t>REVISAR D612196: verificar accion documentada, PN/revision y vigencia para la corrida. No autoriza sustitucion ni uso de material.</t>
        </is>
      </c>
      <c r="S381" s="43" t="inlineStr">
        <is>
          <t>INFO</t>
        </is>
      </c>
      <c r="T381" s="33" t="inlineStr">
        <is>
          <t>Validar desviacion aprobada y estado; contrastar PN exacto y revision con Common DB, BOM/AVL, WO y fecha de corrida.</t>
        </is>
      </c>
      <c r="U381" s="33" t="inlineStr">
        <is>
          <t>Documento oficial firmado, autorizacion FJZ, revision/WO de alcance, confirmacion BOM y evidencia de implementacion si aplica.</t>
        </is>
      </c>
      <c r="V381" s="43" t="n"/>
      <c r="W381" s="43" t="n"/>
      <c r="X381" s="43" t="inlineStr">
        <is>
          <t>INFO</t>
        </is>
      </c>
      <c r="Y381" s="43" t="n"/>
      <c r="Z381" s="43" t="inlineStr">
        <is>
          <t>Pending Review</t>
        </is>
      </c>
      <c r="AA381" s="43" t="inlineStr">
        <is>
          <t>N</t>
        </is>
      </c>
      <c r="AB381" s="43" t="n"/>
      <c r="AC381" s="33" t="inlineStr">
        <is>
          <t xml:space="preserve">FUENTE: Deviation.csv filas 1849; Item Number original=73-20249-06 (prefijo 73- es CANDIDATO de PCBA, no confirmacion en Common DB); Workflow de origen=Expired; FJZ no validado, revision PCBA/WO no informadas. </t>
        </is>
      </c>
    </row>
    <row r="382">
      <c r="A382" s="43" t="inlineStr">
        <is>
          <t>DA-CTANJZ05328-CRBU-73-19875-07</t>
        </is>
      </c>
      <c r="B382" s="43" t="n"/>
      <c r="C382" s="43" t="n"/>
      <c r="D382" s="43" t="inlineStr">
        <is>
          <t>73-19875-07</t>
        </is>
      </c>
      <c r="E382" s="43" t="inlineStr">
        <is>
          <t>DEV-CTANJZ05328</t>
        </is>
      </c>
      <c r="F382" s="43" t="n"/>
      <c r="G382" s="43" t="inlineStr">
        <is>
          <t>CRBU</t>
        </is>
      </c>
      <c r="H382" s="43" t="n"/>
      <c r="I382" s="43" t="n"/>
      <c r="J382" s="43" t="n"/>
      <c r="K382" s="43" t="n"/>
      <c r="L382" s="43" t="n"/>
      <c r="M382" s="43" t="n"/>
      <c r="N382" s="43" t="n"/>
      <c r="O382" s="43" t="n"/>
      <c r="P382" s="43" t="n"/>
      <c r="Q382" s="43" t="inlineStr">
        <is>
          <t>BOARD</t>
        </is>
      </c>
      <c r="R382" s="33" t="inlineStr">
        <is>
          <t>REVISAR D611690: verificar accion documentada, PN/revision y vigencia para la corrida. No autoriza sustitucion ni uso de material.</t>
        </is>
      </c>
      <c r="S382" s="43" t="inlineStr">
        <is>
          <t>INFO</t>
        </is>
      </c>
      <c r="T382" s="33" t="inlineStr">
        <is>
          <t>Validar desviacion aprobada y estado; contrastar PN exacto y revision con Common DB, BOM/AVL, WO y fecha de corrida.</t>
        </is>
      </c>
      <c r="U382" s="33" t="inlineStr">
        <is>
          <t>Documento oficial firmado, autorizacion FJZ, revision/WO de alcance, confirmacion BOM y evidencia de implementacion si aplica.</t>
        </is>
      </c>
      <c r="V382" s="43" t="n"/>
      <c r="W382" s="43" t="n"/>
      <c r="X382" s="43" t="inlineStr">
        <is>
          <t>INFO</t>
        </is>
      </c>
      <c r="Y382" s="43" t="n"/>
      <c r="Z382" s="43" t="inlineStr">
        <is>
          <t>Pending Review</t>
        </is>
      </c>
      <c r="AA382" s="43" t="inlineStr">
        <is>
          <t>N</t>
        </is>
      </c>
      <c r="AB382" s="43" t="n"/>
      <c r="AC382" s="33" t="inlineStr">
        <is>
          <t xml:space="preserve">FUENTE: Deviation.csv filas 1354; Item Number original=73-19875-07 (prefijo 73- es CANDIDATO de PCBA, no confirmacion en Common DB); Workflow de origen=Expired; FJZ no validado, revision PCBA/WO no informadas. </t>
        </is>
      </c>
    </row>
    <row r="383">
      <c r="A383" s="43" t="inlineStr">
        <is>
          <t>DA-CTANJZ05330-CVEBU-73-103820-04</t>
        </is>
      </c>
      <c r="B383" s="43" t="n"/>
      <c r="C383" s="43" t="n"/>
      <c r="D383" s="43" t="inlineStr">
        <is>
          <t>73-103820-04</t>
        </is>
      </c>
      <c r="E383" s="43" t="inlineStr">
        <is>
          <t>DEV-CTANJZ05330</t>
        </is>
      </c>
      <c r="F383" s="43" t="n"/>
      <c r="G383" s="43" t="inlineStr">
        <is>
          <t>CVEBU</t>
        </is>
      </c>
      <c r="H383" s="43" t="n"/>
      <c r="I383" s="43" t="n"/>
      <c r="J383" s="43" t="n"/>
      <c r="K383" s="43" t="n"/>
      <c r="L383" s="43" t="n"/>
      <c r="M383" s="43" t="n"/>
      <c r="N383" s="43" t="n"/>
      <c r="O383" s="43" t="n"/>
      <c r="P383" s="43" t="n"/>
      <c r="Q383" s="43" t="inlineStr">
        <is>
          <t>BOARD</t>
        </is>
      </c>
      <c r="R383" s="33" t="inlineStr">
        <is>
          <t>REVISAR D612291: verificar accion documentada, PN/revision y vigencia para la corrida. No autoriza sustitucion ni uso de material.</t>
        </is>
      </c>
      <c r="S383" s="43" t="inlineStr">
        <is>
          <t>INFO</t>
        </is>
      </c>
      <c r="T383" s="33" t="inlineStr">
        <is>
          <t>Validar desviacion aprobada y estado; contrastar PN exacto y revision con Common DB, BOM/AVL, WO y fecha de corrida.</t>
        </is>
      </c>
      <c r="U383" s="33" t="inlineStr">
        <is>
          <t>Documento oficial firmado, autorizacion FJZ, revision/WO de alcance, confirmacion BOM y evidencia de implementacion si aplica.</t>
        </is>
      </c>
      <c r="V383" s="43" t="n"/>
      <c r="W383" s="43" t="n"/>
      <c r="X383" s="43" t="inlineStr">
        <is>
          <t>INFO</t>
        </is>
      </c>
      <c r="Y383" s="43" t="n"/>
      <c r="Z383" s="43" t="inlineStr">
        <is>
          <t>Pending Review</t>
        </is>
      </c>
      <c r="AA383" s="43" t="inlineStr">
        <is>
          <t>N</t>
        </is>
      </c>
      <c r="AB383" s="43" t="n"/>
      <c r="AC383" s="33" t="inlineStr">
        <is>
          <t xml:space="preserve">FUENTE: Deviation.csv filas 650; Item Number original=73-103820-04 (prefijo 73- es CANDIDATO de PCBA, no confirmacion en Common DB); Workflow de origen=Expired; FJZ no validado, revision PCBA/WO no informadas. </t>
        </is>
      </c>
    </row>
    <row r="384">
      <c r="A384" s="43" t="inlineStr">
        <is>
          <t>DA-CTANJZ05330-CVEBU-73-103922-04</t>
        </is>
      </c>
      <c r="B384" s="43" t="n"/>
      <c r="C384" s="43" t="n"/>
      <c r="D384" s="43" t="inlineStr">
        <is>
          <t>73-103922-04</t>
        </is>
      </c>
      <c r="E384" s="43" t="inlineStr">
        <is>
          <t>DEV-CTANJZ05330</t>
        </is>
      </c>
      <c r="F384" s="43" t="n"/>
      <c r="G384" s="43" t="inlineStr">
        <is>
          <t>CVEBU</t>
        </is>
      </c>
      <c r="H384" s="43" t="n"/>
      <c r="I384" s="43" t="n"/>
      <c r="J384" s="43" t="n"/>
      <c r="K384" s="43" t="n"/>
      <c r="L384" s="43" t="n"/>
      <c r="M384" s="43" t="n"/>
      <c r="N384" s="43" t="n"/>
      <c r="O384" s="43" t="n"/>
      <c r="P384" s="43" t="n"/>
      <c r="Q384" s="43" t="inlineStr">
        <is>
          <t>BOARD</t>
        </is>
      </c>
      <c r="R384" s="33" t="inlineStr">
        <is>
          <t>REVISAR D612291: verificar accion documentada, PN/revision y vigencia para la corrida. No autoriza sustitucion ni uso de material.</t>
        </is>
      </c>
      <c r="S384" s="43" t="inlineStr">
        <is>
          <t>INFO</t>
        </is>
      </c>
      <c r="T384" s="33" t="inlineStr">
        <is>
          <t>Validar desviacion aprobada y estado; contrastar PN exacto y revision con Common DB, BOM/AVL, WO y fecha de corrida.</t>
        </is>
      </c>
      <c r="U384" s="33" t="inlineStr">
        <is>
          <t>Documento oficial firmado, autorizacion FJZ, revision/WO de alcance, confirmacion BOM y evidencia de implementacion si aplica.</t>
        </is>
      </c>
      <c r="V384" s="43" t="n"/>
      <c r="W384" s="43" t="n"/>
      <c r="X384" s="43" t="inlineStr">
        <is>
          <t>INFO</t>
        </is>
      </c>
      <c r="Y384" s="43" t="n"/>
      <c r="Z384" s="43" t="inlineStr">
        <is>
          <t>Pending Review</t>
        </is>
      </c>
      <c r="AA384" s="43" t="inlineStr">
        <is>
          <t>N</t>
        </is>
      </c>
      <c r="AB384" s="43" t="n"/>
      <c r="AC384" s="33" t="inlineStr">
        <is>
          <t xml:space="preserve">FUENTE: Deviation.csv filas 651; Item Number original=73-103922-04 (prefijo 73- es CANDIDATO de PCBA, no confirmacion en Common DB); Workflow de origen=Expired; FJZ no validado, revision PCBA/WO no informadas. </t>
        </is>
      </c>
    </row>
    <row r="385">
      <c r="A385" s="43" t="inlineStr">
        <is>
          <t>DA-CTANJZ05333-CRBU-73-20922-04</t>
        </is>
      </c>
      <c r="B385" s="43" t="n"/>
      <c r="C385" s="43" t="n"/>
      <c r="D385" s="43" t="inlineStr">
        <is>
          <t>73-20922-04</t>
        </is>
      </c>
      <c r="E385" s="43" t="inlineStr">
        <is>
          <t>DEV-CTANJZ05333</t>
        </is>
      </c>
      <c r="F385" s="43" t="n"/>
      <c r="G385" s="43" t="inlineStr">
        <is>
          <t>CRBU</t>
        </is>
      </c>
      <c r="H385" s="43" t="n"/>
      <c r="I385" s="43" t="n"/>
      <c r="J385" s="43" t="n"/>
      <c r="K385" s="43" t="n"/>
      <c r="L385" s="43" t="n"/>
      <c r="M385" s="43" t="n"/>
      <c r="N385" s="43" t="n"/>
      <c r="O385" s="43" t="n"/>
      <c r="P385" s="43" t="n"/>
      <c r="Q385" s="43" t="inlineStr">
        <is>
          <t>BOARD</t>
        </is>
      </c>
      <c r="R385" s="33" t="inlineStr">
        <is>
          <t>REVISAR D611891: verificar accion documentada, PN/revision y vigencia para la corrida. No autoriza sustitucion ni uso de material.</t>
        </is>
      </c>
      <c r="S385" s="43" t="inlineStr">
        <is>
          <t>INFO</t>
        </is>
      </c>
      <c r="T385" s="33" t="inlineStr">
        <is>
          <t>Validar desviacion aprobada y estado; contrastar PN exacto y revision con Common DB, BOM/AVL, WO y fecha de corrida.</t>
        </is>
      </c>
      <c r="U385" s="33" t="inlineStr">
        <is>
          <t>Documento oficial firmado, autorizacion FJZ, revision/WO de alcance, confirmacion BOM y evidencia de implementacion si aplica.</t>
        </is>
      </c>
      <c r="V385" s="43" t="n"/>
      <c r="W385" s="43" t="n"/>
      <c r="X385" s="43" t="inlineStr">
        <is>
          <t>INFO</t>
        </is>
      </c>
      <c r="Y385" s="43" t="n"/>
      <c r="Z385" s="43" t="inlineStr">
        <is>
          <t>Pending Review</t>
        </is>
      </c>
      <c r="AA385" s="43" t="inlineStr">
        <is>
          <t>N</t>
        </is>
      </c>
      <c r="AB385" s="43" t="n"/>
      <c r="AC385" s="33" t="inlineStr">
        <is>
          <t xml:space="preserve">FUENTE: Deviation.csv filas 114,248; Item Number original=73-20922-04 (prefijo 73- es CANDIDATO de PCBA, no confirmacion en Common DB); Workflow de origen=Expired; FJZ no validado, revision PCBA/WO no informadas. </t>
        </is>
      </c>
    </row>
    <row r="386">
      <c r="A386" s="43" t="inlineStr">
        <is>
          <t>DA-CTANJZ05335-STBU-73-101944-03</t>
        </is>
      </c>
      <c r="B386" s="43" t="n"/>
      <c r="C386" s="43" t="n"/>
      <c r="D386" s="43" t="inlineStr">
        <is>
          <t>73-101944-03</t>
        </is>
      </c>
      <c r="E386" s="43" t="inlineStr">
        <is>
          <t>DEV-CTANJZ05335</t>
        </is>
      </c>
      <c r="F386" s="43" t="n"/>
      <c r="G386" s="43" t="inlineStr">
        <is>
          <t>STBU</t>
        </is>
      </c>
      <c r="H386" s="43" t="n"/>
      <c r="I386" s="43" t="n"/>
      <c r="J386" s="43" t="n"/>
      <c r="K386" s="43" t="n"/>
      <c r="L386" s="43" t="n"/>
      <c r="M386" s="43" t="n"/>
      <c r="N386" s="43" t="n"/>
      <c r="O386" s="43" t="n"/>
      <c r="P386" s="43" t="n"/>
      <c r="Q386" s="43" t="inlineStr">
        <is>
          <t>BOARD</t>
        </is>
      </c>
      <c r="R386" s="33" t="inlineStr">
        <is>
          <t>REVISAR D612467: verificar accion documentada, PN/revision y vigencia para la corrida. No autoriza sustitucion ni uso de material.</t>
        </is>
      </c>
      <c r="S386" s="43" t="inlineStr">
        <is>
          <t>INFO</t>
        </is>
      </c>
      <c r="T386" s="33" t="inlineStr">
        <is>
          <t>Validar desviacion aprobada y estado; contrastar PN exacto y revision con Common DB, BOM/AVL, WO y fecha de corrida.</t>
        </is>
      </c>
      <c r="U386" s="33" t="inlineStr">
        <is>
          <t>Documento oficial firmado, autorizacion FJZ, revision/WO de alcance, confirmacion BOM y evidencia de implementacion si aplica.</t>
        </is>
      </c>
      <c r="V386" s="43" t="n"/>
      <c r="W386" s="43" t="n"/>
      <c r="X386" s="43" t="inlineStr">
        <is>
          <t>INFO</t>
        </is>
      </c>
      <c r="Y386" s="43" t="n"/>
      <c r="Z386" s="43" t="inlineStr">
        <is>
          <t>Pending Review</t>
        </is>
      </c>
      <c r="AA386" s="43" t="inlineStr">
        <is>
          <t>N</t>
        </is>
      </c>
      <c r="AB386" s="43" t="n"/>
      <c r="AC386" s="33" t="inlineStr">
        <is>
          <t xml:space="preserve">FUENTE: Deviation.csv filas 1587; Item Number original=73-101944-03 (prefijo 73- es CANDIDATO de PCBA, no confirmacion en Common DB); Workflow de origen=Expired; FJZ no validado, revision PCBA/WO no informadas. </t>
        </is>
      </c>
    </row>
    <row r="387">
      <c r="A387" s="43" t="inlineStr">
        <is>
          <t>DA-CTANJZ05335-STBU-73-101945-03</t>
        </is>
      </c>
      <c r="B387" s="43" t="n"/>
      <c r="C387" s="43" t="n"/>
      <c r="D387" s="43" t="inlineStr">
        <is>
          <t>73-101945-03</t>
        </is>
      </c>
      <c r="E387" s="43" t="inlineStr">
        <is>
          <t>DEV-CTANJZ05335</t>
        </is>
      </c>
      <c r="F387" s="43" t="n"/>
      <c r="G387" s="43" t="inlineStr">
        <is>
          <t>STBU</t>
        </is>
      </c>
      <c r="H387" s="43" t="n"/>
      <c r="I387" s="43" t="n"/>
      <c r="J387" s="43" t="n"/>
      <c r="K387" s="43" t="n"/>
      <c r="L387" s="43" t="n"/>
      <c r="M387" s="43" t="n"/>
      <c r="N387" s="43" t="n"/>
      <c r="O387" s="43" t="n"/>
      <c r="P387" s="43" t="n"/>
      <c r="Q387" s="43" t="inlineStr">
        <is>
          <t>BOARD</t>
        </is>
      </c>
      <c r="R387" s="33" t="inlineStr">
        <is>
          <t>REVISAR D612467: verificar accion documentada, PN/revision y vigencia para la corrida. No autoriza sustitucion ni uso de material.</t>
        </is>
      </c>
      <c r="S387" s="43" t="inlineStr">
        <is>
          <t>INFO</t>
        </is>
      </c>
      <c r="T387" s="33" t="inlineStr">
        <is>
          <t>Validar desviacion aprobada y estado; contrastar PN exacto y revision con Common DB, BOM/AVL, WO y fecha de corrida.</t>
        </is>
      </c>
      <c r="U387" s="33" t="inlineStr">
        <is>
          <t>Documento oficial firmado, autorizacion FJZ, revision/WO de alcance, confirmacion BOM y evidencia de implementacion si aplica.</t>
        </is>
      </c>
      <c r="V387" s="43" t="n"/>
      <c r="W387" s="43" t="n"/>
      <c r="X387" s="43" t="inlineStr">
        <is>
          <t>INFO</t>
        </is>
      </c>
      <c r="Y387" s="43" t="n"/>
      <c r="Z387" s="43" t="inlineStr">
        <is>
          <t>Pending Review</t>
        </is>
      </c>
      <c r="AA387" s="43" t="inlineStr">
        <is>
          <t>N</t>
        </is>
      </c>
      <c r="AB387" s="43" t="n"/>
      <c r="AC387" s="33" t="inlineStr">
        <is>
          <t xml:space="preserve">FUENTE: Deviation.csv filas 1588; Item Number original=73-101945-03 (prefijo 73- es CANDIDATO de PCBA, no confirmacion en Common DB); Workflow de origen=Expired; FJZ no validado, revision PCBA/WO no informadas. </t>
        </is>
      </c>
    </row>
    <row r="388">
      <c r="A388" s="43" t="inlineStr">
        <is>
          <t>DA-CTANJZ05335-STBU-73-102418-04</t>
        </is>
      </c>
      <c r="B388" s="43" t="n"/>
      <c r="C388" s="43" t="n"/>
      <c r="D388" s="43" t="inlineStr">
        <is>
          <t>73-102418-04</t>
        </is>
      </c>
      <c r="E388" s="43" t="inlineStr">
        <is>
          <t>DEV-CTANJZ05335</t>
        </is>
      </c>
      <c r="F388" s="43" t="n"/>
      <c r="G388" s="43" t="inlineStr">
        <is>
          <t>STBU</t>
        </is>
      </c>
      <c r="H388" s="43" t="n"/>
      <c r="I388" s="43" t="n"/>
      <c r="J388" s="43" t="n"/>
      <c r="K388" s="43" t="n"/>
      <c r="L388" s="43" t="n"/>
      <c r="M388" s="43" t="n"/>
      <c r="N388" s="43" t="n"/>
      <c r="O388" s="43" t="n"/>
      <c r="P388" s="43" t="n"/>
      <c r="Q388" s="43" t="inlineStr">
        <is>
          <t>BOARD</t>
        </is>
      </c>
      <c r="R388" s="33" t="inlineStr">
        <is>
          <t>REVISAR D612467: verificar accion documentada, PN/revision y vigencia para la corrida. No autoriza sustitucion ni uso de material.</t>
        </is>
      </c>
      <c r="S388" s="43" t="inlineStr">
        <is>
          <t>INFO</t>
        </is>
      </c>
      <c r="T388" s="33" t="inlineStr">
        <is>
          <t>Validar desviacion aprobada y estado; contrastar PN exacto y revision con Common DB, BOM/AVL, WO y fecha de corrida.</t>
        </is>
      </c>
      <c r="U388" s="33" t="inlineStr">
        <is>
          <t>Documento oficial firmado, autorizacion FJZ, revision/WO de alcance, confirmacion BOM y evidencia de implementacion si aplica.</t>
        </is>
      </c>
      <c r="V388" s="43" t="n"/>
      <c r="W388" s="43" t="n"/>
      <c r="X388" s="43" t="inlineStr">
        <is>
          <t>INFO</t>
        </is>
      </c>
      <c r="Y388" s="43" t="n"/>
      <c r="Z388" s="43" t="inlineStr">
        <is>
          <t>Pending Review</t>
        </is>
      </c>
      <c r="AA388" s="43" t="inlineStr">
        <is>
          <t>N</t>
        </is>
      </c>
      <c r="AB388" s="43" t="n"/>
      <c r="AC388" s="33" t="inlineStr">
        <is>
          <t xml:space="preserve">FUENTE: Deviation.csv filas 1589; Item Number original=73-102418-04 (prefijo 73- es CANDIDATO de PCBA, no confirmacion en Common DB); Workflow de origen=Expired; FJZ no validado, revision PCBA/WO no informadas. </t>
        </is>
      </c>
    </row>
    <row r="389">
      <c r="A389" s="43" t="inlineStr">
        <is>
          <t>DA-CTANJZ05335-STBU-73-102419-03</t>
        </is>
      </c>
      <c r="B389" s="43" t="n"/>
      <c r="C389" s="43" t="n"/>
      <c r="D389" s="43" t="inlineStr">
        <is>
          <t>73-102419-03</t>
        </is>
      </c>
      <c r="E389" s="43" t="inlineStr">
        <is>
          <t>DEV-CTANJZ05335</t>
        </is>
      </c>
      <c r="F389" s="43" t="n"/>
      <c r="G389" s="43" t="inlineStr">
        <is>
          <t>STBU</t>
        </is>
      </c>
      <c r="H389" s="43" t="n"/>
      <c r="I389" s="43" t="n"/>
      <c r="J389" s="43" t="n"/>
      <c r="K389" s="43" t="n"/>
      <c r="L389" s="43" t="n"/>
      <c r="M389" s="43" t="n"/>
      <c r="N389" s="43" t="n"/>
      <c r="O389" s="43" t="n"/>
      <c r="P389" s="43" t="n"/>
      <c r="Q389" s="43" t="inlineStr">
        <is>
          <t>BOARD</t>
        </is>
      </c>
      <c r="R389" s="33" t="inlineStr">
        <is>
          <t>REVISAR D612467: verificar accion documentada, PN/revision y vigencia para la corrida. No autoriza sustitucion ni uso de material.</t>
        </is>
      </c>
      <c r="S389" s="43" t="inlineStr">
        <is>
          <t>INFO</t>
        </is>
      </c>
      <c r="T389" s="33" t="inlineStr">
        <is>
          <t>Validar desviacion aprobada y estado; contrastar PN exacto y revision con Common DB, BOM/AVL, WO y fecha de corrida.</t>
        </is>
      </c>
      <c r="U389" s="33" t="inlineStr">
        <is>
          <t>Documento oficial firmado, autorizacion FJZ, revision/WO de alcance, confirmacion BOM y evidencia de implementacion si aplica.</t>
        </is>
      </c>
      <c r="V389" s="43" t="n"/>
      <c r="W389" s="43" t="n"/>
      <c r="X389" s="43" t="inlineStr">
        <is>
          <t>INFO</t>
        </is>
      </c>
      <c r="Y389" s="43" t="n"/>
      <c r="Z389" s="43" t="inlineStr">
        <is>
          <t>Pending Review</t>
        </is>
      </c>
      <c r="AA389" s="43" t="inlineStr">
        <is>
          <t>N</t>
        </is>
      </c>
      <c r="AB389" s="43" t="n"/>
      <c r="AC389" s="33" t="inlineStr">
        <is>
          <t xml:space="preserve">FUENTE: Deviation.csv filas 1590; Item Number original=73-102419-03 (prefijo 73- es CANDIDATO de PCBA, no confirmacion en Common DB); Workflow de origen=Expired; FJZ no validado, revision PCBA/WO no informadas. </t>
        </is>
      </c>
    </row>
    <row r="390">
      <c r="A390" s="43" t="inlineStr">
        <is>
          <t>DA-CTANJZ05335-STBU-73-20247-06</t>
        </is>
      </c>
      <c r="B390" s="43" t="inlineStr">
        <is>
          <t>TUFNELL PARK</t>
        </is>
      </c>
      <c r="C390" s="43" t="n"/>
      <c r="D390" s="43" t="inlineStr">
        <is>
          <t>73-20247-06</t>
        </is>
      </c>
      <c r="E390" s="43" t="inlineStr">
        <is>
          <t>DEV-CTANJZ05335</t>
        </is>
      </c>
      <c r="F390" s="43" t="n"/>
      <c r="G390" s="43" t="inlineStr">
        <is>
          <t>STBU</t>
        </is>
      </c>
      <c r="H390" s="43" t="n"/>
      <c r="I390" s="43" t="n"/>
      <c r="J390" s="43" t="n"/>
      <c r="K390" s="43" t="n"/>
      <c r="L390" s="43" t="n"/>
      <c r="M390" s="43" t="n"/>
      <c r="N390" s="43" t="n"/>
      <c r="O390" s="43" t="n"/>
      <c r="P390" s="43" t="n"/>
      <c r="Q390" s="43" t="inlineStr">
        <is>
          <t>BOARD</t>
        </is>
      </c>
      <c r="R390" s="33" t="inlineStr">
        <is>
          <t>REVISAR D612467: verificar accion documentada, PN/revision y vigencia para la corrida. No autoriza sustitucion ni uso de material.</t>
        </is>
      </c>
      <c r="S390" s="43" t="inlineStr">
        <is>
          <t>INFO</t>
        </is>
      </c>
      <c r="T390" s="33" t="inlineStr">
        <is>
          <t>Validar desviacion aprobada y estado; contrastar PN exacto y revision con Common DB, BOM/AVL, WO y fecha de corrida.</t>
        </is>
      </c>
      <c r="U390" s="33" t="inlineStr">
        <is>
          <t>Documento oficial firmado, autorizacion FJZ, revision/WO de alcance, confirmacion BOM y evidencia de implementacion si aplica.</t>
        </is>
      </c>
      <c r="V390" s="43" t="n"/>
      <c r="W390" s="43" t="n"/>
      <c r="X390" s="43" t="inlineStr">
        <is>
          <t>INFO</t>
        </is>
      </c>
      <c r="Y390" s="43" t="n"/>
      <c r="Z390" s="43" t="inlineStr">
        <is>
          <t>Pending Review</t>
        </is>
      </c>
      <c r="AA390" s="43" t="inlineStr">
        <is>
          <t>N</t>
        </is>
      </c>
      <c r="AB390" s="43" t="n"/>
      <c r="AC390" s="33" t="inlineStr">
        <is>
          <t xml:space="preserve">FUENTE: Deviation.csv filas 1591; Item Number original=73-20247-06 (prefijo 73- es CANDIDATO de PCBA, no confirmacion en Common DB); Workflow de origen=Expired; FJZ no validado, revision PCBA/WO no informadas. </t>
        </is>
      </c>
    </row>
    <row r="391">
      <c r="A391" s="43" t="inlineStr">
        <is>
          <t>DA-CTANJZ05335-STBU-73-20249-06</t>
        </is>
      </c>
      <c r="B391" s="43" t="inlineStr">
        <is>
          <t>TUFNELL PARK</t>
        </is>
      </c>
      <c r="C391" s="43" t="n"/>
      <c r="D391" s="43" t="inlineStr">
        <is>
          <t>73-20249-06</t>
        </is>
      </c>
      <c r="E391" s="43" t="inlineStr">
        <is>
          <t>DEV-CTANJZ05335</t>
        </is>
      </c>
      <c r="F391" s="43" t="n"/>
      <c r="G391" s="43" t="inlineStr">
        <is>
          <t>STBU</t>
        </is>
      </c>
      <c r="H391" s="43" t="n"/>
      <c r="I391" s="43" t="n"/>
      <c r="J391" s="43" t="n"/>
      <c r="K391" s="43" t="n"/>
      <c r="L391" s="43" t="n"/>
      <c r="M391" s="43" t="n"/>
      <c r="N391" s="43" t="n"/>
      <c r="O391" s="43" t="n"/>
      <c r="P391" s="43" t="n"/>
      <c r="Q391" s="43" t="inlineStr">
        <is>
          <t>BOARD</t>
        </is>
      </c>
      <c r="R391" s="33" t="inlineStr">
        <is>
          <t>REVISAR D612467: verificar accion documentada, PN/revision y vigencia para la corrida. No autoriza sustitucion ni uso de material.</t>
        </is>
      </c>
      <c r="S391" s="43" t="inlineStr">
        <is>
          <t>INFO</t>
        </is>
      </c>
      <c r="T391" s="33" t="inlineStr">
        <is>
          <t>Validar desviacion aprobada y estado; contrastar PN exacto y revision con Common DB, BOM/AVL, WO y fecha de corrida.</t>
        </is>
      </c>
      <c r="U391" s="33" t="inlineStr">
        <is>
          <t>Documento oficial firmado, autorizacion FJZ, revision/WO de alcance, confirmacion BOM y evidencia de implementacion si aplica.</t>
        </is>
      </c>
      <c r="V391" s="43" t="n"/>
      <c r="W391" s="43" t="n"/>
      <c r="X391" s="43" t="inlineStr">
        <is>
          <t>INFO</t>
        </is>
      </c>
      <c r="Y391" s="43" t="n"/>
      <c r="Z391" s="43" t="inlineStr">
        <is>
          <t>Pending Review</t>
        </is>
      </c>
      <c r="AA391" s="43" t="inlineStr">
        <is>
          <t>N</t>
        </is>
      </c>
      <c r="AB391" s="43" t="n"/>
      <c r="AC391" s="33" t="inlineStr">
        <is>
          <t xml:space="preserve">FUENTE: Deviation.csv filas 1592; Item Number original=73-20249-06 (prefijo 73- es CANDIDATO de PCBA, no confirmacion en Common DB); Workflow de origen=Expired; FJZ no validado, revision PCBA/WO no informadas. </t>
        </is>
      </c>
    </row>
    <row r="392">
      <c r="A392" s="43" t="inlineStr">
        <is>
          <t>DA-CTANJZ05336-CRBU-73-102363-05</t>
        </is>
      </c>
      <c r="B392" s="43" t="n"/>
      <c r="C392" s="43" t="n"/>
      <c r="D392" s="43" t="inlineStr">
        <is>
          <t>73-102363-05</t>
        </is>
      </c>
      <c r="E392" s="43" t="inlineStr">
        <is>
          <t>DEV-CTANJZ05336</t>
        </is>
      </c>
      <c r="F392" s="43" t="n"/>
      <c r="G392" s="43" t="inlineStr">
        <is>
          <t>CRBU</t>
        </is>
      </c>
      <c r="H392" s="43" t="n"/>
      <c r="I392" s="43" t="n"/>
      <c r="J392" s="43" t="n"/>
      <c r="K392" s="43" t="n"/>
      <c r="L392" s="43" t="n"/>
      <c r="M392" s="43" t="n"/>
      <c r="N392" s="43" t="n"/>
      <c r="O392" s="43" t="n"/>
      <c r="P392" s="43" t="n"/>
      <c r="Q392" s="43" t="inlineStr">
        <is>
          <t>BOARD</t>
        </is>
      </c>
      <c r="R392" s="33" t="inlineStr">
        <is>
          <t>REVISAR D612122: verificar accion documentada, PN/revision y vigencia para la corrida. No autoriza sustitucion ni uso de material.</t>
        </is>
      </c>
      <c r="S392" s="43" t="inlineStr">
        <is>
          <t>INFO</t>
        </is>
      </c>
      <c r="T392" s="33" t="inlineStr">
        <is>
          <t>Validar desviacion aprobada y estado; contrastar PN exacto y revision con Common DB, BOM/AVL, WO y fecha de corrida.</t>
        </is>
      </c>
      <c r="U392" s="33" t="inlineStr">
        <is>
          <t>Documento oficial firmado, autorizacion FJZ, revision/WO de alcance, confirmacion BOM y evidencia de implementacion si aplica.</t>
        </is>
      </c>
      <c r="V392" s="43" t="n"/>
      <c r="W392" s="43" t="n"/>
      <c r="X392" s="43" t="inlineStr">
        <is>
          <t>INFO</t>
        </is>
      </c>
      <c r="Y392" s="43" t="n"/>
      <c r="Z392" s="43" t="inlineStr">
        <is>
          <t>Pending Review</t>
        </is>
      </c>
      <c r="AA392" s="43" t="inlineStr">
        <is>
          <t>N</t>
        </is>
      </c>
      <c r="AB392" s="43" t="n"/>
      <c r="AC392" s="33" t="inlineStr">
        <is>
          <t xml:space="preserve">FUENTE: Deviation.csv filas 77,241; Item Number original=73-102363-05 (prefijo 73- es CANDIDATO de PCBA, no confirmacion en Common DB); Workflow de origen=Extended; FJZ no validado, revision PCBA/WO no informadas. </t>
        </is>
      </c>
    </row>
    <row r="393">
      <c r="A393" s="43" t="inlineStr">
        <is>
          <t>DA-CTANJZ05337-STBU-73-101944-03</t>
        </is>
      </c>
      <c r="B393" s="43" t="n"/>
      <c r="C393" s="43" t="n"/>
      <c r="D393" s="43" t="inlineStr">
        <is>
          <t>73-101944-03</t>
        </is>
      </c>
      <c r="E393" s="43" t="inlineStr">
        <is>
          <t>DEV-CTANJZ05337</t>
        </is>
      </c>
      <c r="F393" s="43" t="n"/>
      <c r="G393" s="43" t="inlineStr">
        <is>
          <t>STBU</t>
        </is>
      </c>
      <c r="H393" s="43" t="n"/>
      <c r="I393" s="43" t="n"/>
      <c r="J393" s="43" t="n"/>
      <c r="K393" s="43" t="n"/>
      <c r="L393" s="43" t="n"/>
      <c r="M393" s="43" t="n"/>
      <c r="N393" s="43" t="n"/>
      <c r="O393" s="43" t="n"/>
      <c r="P393" s="43" t="n"/>
      <c r="Q393" s="43" t="inlineStr">
        <is>
          <t>BOARD</t>
        </is>
      </c>
      <c r="R393" s="33" t="inlineStr">
        <is>
          <t>REVISAR D612448: verificar accion documentada, PN/revision y vigencia para la corrida. No autoriza sustitucion ni uso de material.</t>
        </is>
      </c>
      <c r="S393" s="43" t="inlineStr">
        <is>
          <t>INFO</t>
        </is>
      </c>
      <c r="T393" s="33" t="inlineStr">
        <is>
          <t>Validar desviacion aprobada y estado; contrastar PN exacto y revision con Common DB, BOM/AVL, WO y fecha de corrida.</t>
        </is>
      </c>
      <c r="U393" s="33" t="inlineStr">
        <is>
          <t>Documento oficial firmado, autorizacion FJZ, revision/WO de alcance, confirmacion BOM y evidencia de implementacion si aplica.</t>
        </is>
      </c>
      <c r="V393" s="43" t="n"/>
      <c r="W393" s="43" t="n"/>
      <c r="X393" s="43" t="inlineStr">
        <is>
          <t>INFO</t>
        </is>
      </c>
      <c r="Y393" s="43" t="n"/>
      <c r="Z393" s="43" t="inlineStr">
        <is>
          <t>Pending Review</t>
        </is>
      </c>
      <c r="AA393" s="43" t="inlineStr">
        <is>
          <t>N</t>
        </is>
      </c>
      <c r="AB393" s="43" t="n"/>
      <c r="AC393" s="33" t="inlineStr">
        <is>
          <t xml:space="preserve">FUENTE: Deviation.csv filas 1523; Item Number original=73-101944-03 (prefijo 73- es CANDIDATO de PCBA, no confirmacion en Common DB); Workflow de origen=Expired; FJZ no validado, revision PCBA/WO no informadas. </t>
        </is>
      </c>
    </row>
    <row r="394">
      <c r="A394" s="43" t="inlineStr">
        <is>
          <t>DA-CTANJZ05337-STBU-73-101945-03</t>
        </is>
      </c>
      <c r="B394" s="43" t="n"/>
      <c r="C394" s="43" t="n"/>
      <c r="D394" s="43" t="inlineStr">
        <is>
          <t>73-101945-03</t>
        </is>
      </c>
      <c r="E394" s="43" t="inlineStr">
        <is>
          <t>DEV-CTANJZ05337</t>
        </is>
      </c>
      <c r="F394" s="43" t="n"/>
      <c r="G394" s="43" t="inlineStr">
        <is>
          <t>STBU</t>
        </is>
      </c>
      <c r="H394" s="43" t="n"/>
      <c r="I394" s="43" t="n"/>
      <c r="J394" s="43" t="n"/>
      <c r="K394" s="43" t="n"/>
      <c r="L394" s="43" t="n"/>
      <c r="M394" s="43" t="n"/>
      <c r="N394" s="43" t="n"/>
      <c r="O394" s="43" t="n"/>
      <c r="P394" s="43" t="n"/>
      <c r="Q394" s="43" t="inlineStr">
        <is>
          <t>BOARD</t>
        </is>
      </c>
      <c r="R394" s="33" t="inlineStr">
        <is>
          <t>REVISAR D612448: verificar accion documentada, PN/revision y vigencia para la corrida. No autoriza sustitucion ni uso de material.</t>
        </is>
      </c>
      <c r="S394" s="43" t="inlineStr">
        <is>
          <t>INFO</t>
        </is>
      </c>
      <c r="T394" s="33" t="inlineStr">
        <is>
          <t>Validar desviacion aprobada y estado; contrastar PN exacto y revision con Common DB, BOM/AVL, WO y fecha de corrida.</t>
        </is>
      </c>
      <c r="U394" s="33" t="inlineStr">
        <is>
          <t>Documento oficial firmado, autorizacion FJZ, revision/WO de alcance, confirmacion BOM y evidencia de implementacion si aplica.</t>
        </is>
      </c>
      <c r="V394" s="43" t="n"/>
      <c r="W394" s="43" t="n"/>
      <c r="X394" s="43" t="inlineStr">
        <is>
          <t>INFO</t>
        </is>
      </c>
      <c r="Y394" s="43" t="n"/>
      <c r="Z394" s="43" t="inlineStr">
        <is>
          <t>Pending Review</t>
        </is>
      </c>
      <c r="AA394" s="43" t="inlineStr">
        <is>
          <t>N</t>
        </is>
      </c>
      <c r="AB394" s="43" t="n"/>
      <c r="AC394" s="33" t="inlineStr">
        <is>
          <t xml:space="preserve">FUENTE: Deviation.csv filas 1524; Item Number original=73-101945-03 (prefijo 73- es CANDIDATO de PCBA, no confirmacion en Common DB); Workflow de origen=Expired; FJZ no validado, revision PCBA/WO no informadas. </t>
        </is>
      </c>
    </row>
    <row r="395">
      <c r="A395" s="43" t="inlineStr">
        <is>
          <t>DA-CTANJZ05337-STBU-73-102433-06</t>
        </is>
      </c>
      <c r="B395" s="43" t="n"/>
      <c r="C395" s="43" t="n"/>
      <c r="D395" s="43" t="inlineStr">
        <is>
          <t>73-102433-06</t>
        </is>
      </c>
      <c r="E395" s="43" t="inlineStr">
        <is>
          <t>DEV-CTANJZ05337</t>
        </is>
      </c>
      <c r="F395" s="43" t="n"/>
      <c r="G395" s="43" t="inlineStr">
        <is>
          <t>STBU</t>
        </is>
      </c>
      <c r="H395" s="43" t="n"/>
      <c r="I395" s="43" t="n"/>
      <c r="J395" s="43" t="n"/>
      <c r="K395" s="43" t="n"/>
      <c r="L395" s="43" t="n"/>
      <c r="M395" s="43" t="n"/>
      <c r="N395" s="43" t="n"/>
      <c r="O395" s="43" t="n"/>
      <c r="P395" s="43" t="n"/>
      <c r="Q395" s="43" t="inlineStr">
        <is>
          <t>BOARD</t>
        </is>
      </c>
      <c r="R395" s="33" t="inlineStr">
        <is>
          <t>REVISAR D612448: verificar accion documentada, PN/revision y vigencia para la corrida. No autoriza sustitucion ni uso de material.</t>
        </is>
      </c>
      <c r="S395" s="43" t="inlineStr">
        <is>
          <t>INFO</t>
        </is>
      </c>
      <c r="T395" s="33" t="inlineStr">
        <is>
          <t>Validar desviacion aprobada y estado; contrastar PN exacto y revision con Common DB, BOM/AVL, WO y fecha de corrida.</t>
        </is>
      </c>
      <c r="U395" s="33" t="inlineStr">
        <is>
          <t>Documento oficial firmado, autorizacion FJZ, revision/WO de alcance, confirmacion BOM y evidencia de implementacion si aplica.</t>
        </is>
      </c>
      <c r="V395" s="43" t="n"/>
      <c r="W395" s="43" t="n"/>
      <c r="X395" s="43" t="inlineStr">
        <is>
          <t>INFO</t>
        </is>
      </c>
      <c r="Y395" s="43" t="n"/>
      <c r="Z395" s="43" t="inlineStr">
        <is>
          <t>Pending Review</t>
        </is>
      </c>
      <c r="AA395" s="43" t="inlineStr">
        <is>
          <t>N</t>
        </is>
      </c>
      <c r="AB395" s="43" t="n"/>
      <c r="AC395" s="33" t="inlineStr">
        <is>
          <t xml:space="preserve">FUENTE: Deviation.csv filas 1525; Item Number original=73-102433-06 (prefijo 73- es CANDIDATO de PCBA, no confirmacion en Common DB); Workflow de origen=Expired; FJZ no validado, revision PCBA/WO no informadas. </t>
        </is>
      </c>
    </row>
    <row r="396">
      <c r="A396" s="43" t="inlineStr">
        <is>
          <t>DA-CTANJZ05337-STBU-73-102434-06</t>
        </is>
      </c>
      <c r="B396" s="43" t="n"/>
      <c r="C396" s="43" t="n"/>
      <c r="D396" s="43" t="inlineStr">
        <is>
          <t>73-102434-06</t>
        </is>
      </c>
      <c r="E396" s="43" t="inlineStr">
        <is>
          <t>DEV-CTANJZ05337</t>
        </is>
      </c>
      <c r="F396" s="43" t="n"/>
      <c r="G396" s="43" t="inlineStr">
        <is>
          <t>STBU</t>
        </is>
      </c>
      <c r="H396" s="43" t="n"/>
      <c r="I396" s="43" t="n"/>
      <c r="J396" s="43" t="n"/>
      <c r="K396" s="43" t="n"/>
      <c r="L396" s="43" t="n"/>
      <c r="M396" s="43" t="n"/>
      <c r="N396" s="43" t="n"/>
      <c r="O396" s="43" t="n"/>
      <c r="P396" s="43" t="n"/>
      <c r="Q396" s="43" t="inlineStr">
        <is>
          <t>BOARD</t>
        </is>
      </c>
      <c r="R396" s="33" t="inlineStr">
        <is>
          <t>REVISAR D612448: verificar accion documentada, PN/revision y vigencia para la corrida. No autoriza sustitucion ni uso de material.</t>
        </is>
      </c>
      <c r="S396" s="43" t="inlineStr">
        <is>
          <t>INFO</t>
        </is>
      </c>
      <c r="T396" s="33" t="inlineStr">
        <is>
          <t>Validar desviacion aprobada y estado; contrastar PN exacto y revision con Common DB, BOM/AVL, WO y fecha de corrida.</t>
        </is>
      </c>
      <c r="U396" s="33" t="inlineStr">
        <is>
          <t>Documento oficial firmado, autorizacion FJZ, revision/WO de alcance, confirmacion BOM y evidencia de implementacion si aplica.</t>
        </is>
      </c>
      <c r="V396" s="43" t="n"/>
      <c r="W396" s="43" t="n"/>
      <c r="X396" s="43" t="inlineStr">
        <is>
          <t>INFO</t>
        </is>
      </c>
      <c r="Y396" s="43" t="n"/>
      <c r="Z396" s="43" t="inlineStr">
        <is>
          <t>Pending Review</t>
        </is>
      </c>
      <c r="AA396" s="43" t="inlineStr">
        <is>
          <t>N</t>
        </is>
      </c>
      <c r="AB396" s="43" t="n"/>
      <c r="AC396" s="33" t="inlineStr">
        <is>
          <t xml:space="preserve">FUENTE: Deviation.csv filas 1534; Item Number original=73-102434-06 (prefijo 73- es CANDIDATO de PCBA, no confirmacion en Common DB); Workflow de origen=Expired; FJZ no validado, revision PCBA/WO no informadas. </t>
        </is>
      </c>
    </row>
    <row r="397">
      <c r="A397" s="43" t="inlineStr">
        <is>
          <t>DA-CTANJZ05337-STBU-73-102435-06</t>
        </is>
      </c>
      <c r="B397" s="43" t="n"/>
      <c r="C397" s="43" t="n"/>
      <c r="D397" s="43" t="inlineStr">
        <is>
          <t>73-102435-06</t>
        </is>
      </c>
      <c r="E397" s="43" t="inlineStr">
        <is>
          <t>DEV-CTANJZ05337</t>
        </is>
      </c>
      <c r="F397" s="43" t="n"/>
      <c r="G397" s="43" t="inlineStr">
        <is>
          <t>STBU</t>
        </is>
      </c>
      <c r="H397" s="43" t="n"/>
      <c r="I397" s="43" t="n"/>
      <c r="J397" s="43" t="n"/>
      <c r="K397" s="43" t="n"/>
      <c r="L397" s="43" t="n"/>
      <c r="M397" s="43" t="n"/>
      <c r="N397" s="43" t="n"/>
      <c r="O397" s="43" t="n"/>
      <c r="P397" s="43" t="n"/>
      <c r="Q397" s="43" t="inlineStr">
        <is>
          <t>BOARD</t>
        </is>
      </c>
      <c r="R397" s="33" t="inlineStr">
        <is>
          <t>REVISAR D612448: verificar accion documentada, PN/revision y vigencia para la corrida. No autoriza sustitucion ni uso de material.</t>
        </is>
      </c>
      <c r="S397" s="43" t="inlineStr">
        <is>
          <t>INFO</t>
        </is>
      </c>
      <c r="T397" s="33" t="inlineStr">
        <is>
          <t>Validar desviacion aprobada y estado; contrastar PN exacto y revision con Common DB, BOM/AVL, WO y fecha de corrida.</t>
        </is>
      </c>
      <c r="U397" s="33" t="inlineStr">
        <is>
          <t>Documento oficial firmado, autorizacion FJZ, revision/WO de alcance, confirmacion BOM y evidencia de implementacion si aplica.</t>
        </is>
      </c>
      <c r="V397" s="43" t="n"/>
      <c r="W397" s="43" t="n"/>
      <c r="X397" s="43" t="inlineStr">
        <is>
          <t>INFO</t>
        </is>
      </c>
      <c r="Y397" s="43" t="n"/>
      <c r="Z397" s="43" t="inlineStr">
        <is>
          <t>Pending Review</t>
        </is>
      </c>
      <c r="AA397" s="43" t="inlineStr">
        <is>
          <t>N</t>
        </is>
      </c>
      <c r="AB397" s="43" t="n"/>
      <c r="AC397" s="33" t="inlineStr">
        <is>
          <t xml:space="preserve">FUENTE: Deviation.csv filas 1535; Item Number original=73-102435-06 (prefijo 73- es CANDIDATO de PCBA, no confirmacion en Common DB); Workflow de origen=Expired; FJZ no validado, revision PCBA/WO no informadas. </t>
        </is>
      </c>
    </row>
    <row r="398">
      <c r="A398" s="43" t="inlineStr">
        <is>
          <t>DA-CTANJZ05337-STBU-73-103122-01</t>
        </is>
      </c>
      <c r="B398" s="43" t="n"/>
      <c r="C398" s="43" t="n"/>
      <c r="D398" s="43" t="inlineStr">
        <is>
          <t>73-103122-01</t>
        </is>
      </c>
      <c r="E398" s="43" t="inlineStr">
        <is>
          <t>DEV-CTANJZ05337</t>
        </is>
      </c>
      <c r="F398" s="43" t="n"/>
      <c r="G398" s="43" t="inlineStr">
        <is>
          <t>STBU</t>
        </is>
      </c>
      <c r="H398" s="43" t="n"/>
      <c r="I398" s="43" t="n"/>
      <c r="J398" s="43" t="n"/>
      <c r="K398" s="43" t="n"/>
      <c r="L398" s="43" t="n"/>
      <c r="M398" s="43" t="n"/>
      <c r="N398" s="43" t="n"/>
      <c r="O398" s="43" t="n"/>
      <c r="P398" s="43" t="n"/>
      <c r="Q398" s="43" t="inlineStr">
        <is>
          <t>BOARD</t>
        </is>
      </c>
      <c r="R398" s="33" t="inlineStr">
        <is>
          <t>REVISAR D612448: verificar accion documentada, PN/revision y vigencia para la corrida. No autoriza sustitucion ni uso de material.</t>
        </is>
      </c>
      <c r="S398" s="43" t="inlineStr">
        <is>
          <t>INFO</t>
        </is>
      </c>
      <c r="T398" s="33" t="inlineStr">
        <is>
          <t>Validar desviacion aprobada y estado; contrastar PN exacto y revision con Common DB, BOM/AVL, WO y fecha de corrida.</t>
        </is>
      </c>
      <c r="U398" s="33" t="inlineStr">
        <is>
          <t>Documento oficial firmado, autorizacion FJZ, revision/WO de alcance, confirmacion BOM y evidencia de implementacion si aplica.</t>
        </is>
      </c>
      <c r="V398" s="43" t="n"/>
      <c r="W398" s="43" t="n"/>
      <c r="X398" s="43" t="inlineStr">
        <is>
          <t>INFO</t>
        </is>
      </c>
      <c r="Y398" s="43" t="n"/>
      <c r="Z398" s="43" t="inlineStr">
        <is>
          <t>Pending Review</t>
        </is>
      </c>
      <c r="AA398" s="43" t="inlineStr">
        <is>
          <t>N</t>
        </is>
      </c>
      <c r="AB398" s="43" t="n"/>
      <c r="AC398" s="33" t="inlineStr">
        <is>
          <t xml:space="preserve">FUENTE: Deviation.csv filas 1536; Item Number original=73-103122-01 (prefijo 73- es CANDIDATO de PCBA, no confirmacion en Common DB); Workflow de origen=Expired; FJZ no validado, revision PCBA/WO no informadas. </t>
        </is>
      </c>
    </row>
    <row r="399">
      <c r="A399" s="43" t="inlineStr">
        <is>
          <t>DA-CTANJZ05337-STBU-73-103125-02</t>
        </is>
      </c>
      <c r="B399" s="43" t="n"/>
      <c r="C399" s="43" t="n"/>
      <c r="D399" s="43" t="inlineStr">
        <is>
          <t>73-103125-02</t>
        </is>
      </c>
      <c r="E399" s="43" t="inlineStr">
        <is>
          <t>DEV-CTANJZ05337</t>
        </is>
      </c>
      <c r="F399" s="43" t="n"/>
      <c r="G399" s="43" t="inlineStr">
        <is>
          <t>STBU</t>
        </is>
      </c>
      <c r="H399" s="43" t="n"/>
      <c r="I399" s="43" t="n"/>
      <c r="J399" s="43" t="n"/>
      <c r="K399" s="43" t="n"/>
      <c r="L399" s="43" t="n"/>
      <c r="M399" s="43" t="n"/>
      <c r="N399" s="43" t="n"/>
      <c r="O399" s="43" t="n"/>
      <c r="P399" s="43" t="n"/>
      <c r="Q399" s="43" t="inlineStr">
        <is>
          <t>BOARD</t>
        </is>
      </c>
      <c r="R399" s="33" t="inlineStr">
        <is>
          <t>REVISAR D612448: verificar accion documentada, PN/revision y vigencia para la corrida. No autoriza sustitucion ni uso de material.</t>
        </is>
      </c>
      <c r="S399" s="43" t="inlineStr">
        <is>
          <t>INFO</t>
        </is>
      </c>
      <c r="T399" s="33" t="inlineStr">
        <is>
          <t>Validar desviacion aprobada y estado; contrastar PN exacto y revision con Common DB, BOM/AVL, WO y fecha de corrida.</t>
        </is>
      </c>
      <c r="U399" s="33" t="inlineStr">
        <is>
          <t>Documento oficial firmado, autorizacion FJZ, revision/WO de alcance, confirmacion BOM y evidencia de implementacion si aplica.</t>
        </is>
      </c>
      <c r="V399" s="43" t="n"/>
      <c r="W399" s="43" t="n"/>
      <c r="X399" s="43" t="inlineStr">
        <is>
          <t>INFO</t>
        </is>
      </c>
      <c r="Y399" s="43" t="n"/>
      <c r="Z399" s="43" t="inlineStr">
        <is>
          <t>Pending Review</t>
        </is>
      </c>
      <c r="AA399" s="43" t="inlineStr">
        <is>
          <t>N</t>
        </is>
      </c>
      <c r="AB399" s="43" t="n"/>
      <c r="AC399" s="33" t="inlineStr">
        <is>
          <t xml:space="preserve">FUENTE: Deviation.csv filas 1537; Item Number original=73-103125-02 (prefijo 73- es CANDIDATO de PCBA, no confirmacion en Common DB); Workflow de origen=Expired; FJZ no validado, revision PCBA/WO no informadas. </t>
        </is>
      </c>
    </row>
    <row r="400">
      <c r="A400" s="43" t="inlineStr">
        <is>
          <t>DA-CTANJZ05338-STBU-73-103558-04</t>
        </is>
      </c>
      <c r="B400" s="43" t="n"/>
      <c r="C400" s="43" t="n"/>
      <c r="D400" s="43" t="inlineStr">
        <is>
          <t>73-103558-04</t>
        </is>
      </c>
      <c r="E400" s="43" t="inlineStr">
        <is>
          <t>DEV-CTANJZ05338</t>
        </is>
      </c>
      <c r="F400" s="43" t="n"/>
      <c r="G400" s="43" t="inlineStr">
        <is>
          <t>STBU</t>
        </is>
      </c>
      <c r="H400" s="43" t="n"/>
      <c r="I400" s="43" t="n"/>
      <c r="J400" s="43" t="n"/>
      <c r="K400" s="43" t="n"/>
      <c r="L400" s="43" t="n"/>
      <c r="M400" s="43" t="n"/>
      <c r="N400" s="43" t="n"/>
      <c r="O400" s="43" t="n"/>
      <c r="P400" s="43" t="n"/>
      <c r="Q400" s="43" t="inlineStr">
        <is>
          <t>BOARD</t>
        </is>
      </c>
      <c r="R400" s="33" t="inlineStr">
        <is>
          <t>REVISAR D612446: verificar accion documentada, PN/revision y vigencia para la corrida. No autoriza sustitucion ni uso de material.</t>
        </is>
      </c>
      <c r="S400" s="43" t="inlineStr">
        <is>
          <t>INFO</t>
        </is>
      </c>
      <c r="T400" s="33" t="inlineStr">
        <is>
          <t>Validar desviacion aprobada y estado; contrastar PN exacto y revision con Common DB, BOM/AVL, WO y fecha de corrida.</t>
        </is>
      </c>
      <c r="U400" s="33" t="inlineStr">
        <is>
          <t>Documento oficial firmado, autorizacion FJZ, revision/WO de alcance, confirmacion BOM y evidencia de implementacion si aplica.</t>
        </is>
      </c>
      <c r="V400" s="43" t="n"/>
      <c r="W400" s="43" t="n"/>
      <c r="X400" s="43" t="inlineStr">
        <is>
          <t>INFO</t>
        </is>
      </c>
      <c r="Y400" s="43" t="n"/>
      <c r="Z400" s="43" t="inlineStr">
        <is>
          <t>Pending Review</t>
        </is>
      </c>
      <c r="AA400" s="43" t="inlineStr">
        <is>
          <t>N</t>
        </is>
      </c>
      <c r="AB400" s="43" t="n"/>
      <c r="AC400" s="33" t="inlineStr">
        <is>
          <t xml:space="preserve">FUENTE: Deviation.csv filas 1544; Item Number original=73-103558-04 (prefijo 73- es CANDIDATO de PCBA, no confirmacion en Common DB); Workflow de origen=Expired; FJZ no validado, revision PCBA/WO no informadas. </t>
        </is>
      </c>
    </row>
    <row r="401">
      <c r="A401" s="43" t="inlineStr">
        <is>
          <t>DA-CTANJZ05338-STBU-73-103559-04</t>
        </is>
      </c>
      <c r="B401" s="43" t="n"/>
      <c r="C401" s="43" t="n"/>
      <c r="D401" s="43" t="inlineStr">
        <is>
          <t>73-103559-04</t>
        </is>
      </c>
      <c r="E401" s="43" t="inlineStr">
        <is>
          <t>DEV-CTANJZ05338</t>
        </is>
      </c>
      <c r="F401" s="43" t="n"/>
      <c r="G401" s="43" t="inlineStr">
        <is>
          <t>STBU</t>
        </is>
      </c>
      <c r="H401" s="43" t="n"/>
      <c r="I401" s="43" t="n"/>
      <c r="J401" s="43" t="n"/>
      <c r="K401" s="43" t="n"/>
      <c r="L401" s="43" t="n"/>
      <c r="M401" s="43" t="n"/>
      <c r="N401" s="43" t="n"/>
      <c r="O401" s="43" t="n"/>
      <c r="P401" s="43" t="n"/>
      <c r="Q401" s="43" t="inlineStr">
        <is>
          <t>BOARD</t>
        </is>
      </c>
      <c r="R401" s="33" t="inlineStr">
        <is>
          <t>REVISAR D612446: verificar accion documentada, PN/revision y vigencia para la corrida. No autoriza sustitucion ni uso de material.</t>
        </is>
      </c>
      <c r="S401" s="43" t="inlineStr">
        <is>
          <t>INFO</t>
        </is>
      </c>
      <c r="T401" s="33" t="inlineStr">
        <is>
          <t>Validar desviacion aprobada y estado; contrastar PN exacto y revision con Common DB, BOM/AVL, WO y fecha de corrida.</t>
        </is>
      </c>
      <c r="U401" s="33" t="inlineStr">
        <is>
          <t>Documento oficial firmado, autorizacion FJZ, revision/WO de alcance, confirmacion BOM y evidencia de implementacion si aplica.</t>
        </is>
      </c>
      <c r="V401" s="43" t="n"/>
      <c r="W401" s="43" t="n"/>
      <c r="X401" s="43" t="inlineStr">
        <is>
          <t>INFO</t>
        </is>
      </c>
      <c r="Y401" s="43" t="n"/>
      <c r="Z401" s="43" t="inlineStr">
        <is>
          <t>Pending Review</t>
        </is>
      </c>
      <c r="AA401" s="43" t="inlineStr">
        <is>
          <t>N</t>
        </is>
      </c>
      <c r="AB401" s="43" t="n"/>
      <c r="AC401" s="33" t="inlineStr">
        <is>
          <t xml:space="preserve">FUENTE: Deviation.csv filas 1545; Item Number original=73-103559-04 (prefijo 73- es CANDIDATO de PCBA, no confirmacion en Common DB); Workflow de origen=Expired; FJZ no validado, revision PCBA/WO no informadas. </t>
        </is>
      </c>
    </row>
    <row r="402">
      <c r="A402" s="43" t="inlineStr">
        <is>
          <t>DA-CTANJZ05338-STBU-73-103563-02</t>
        </is>
      </c>
      <c r="B402" s="43" t="n"/>
      <c r="C402" s="43" t="n"/>
      <c r="D402" s="43" t="inlineStr">
        <is>
          <t>73-103563-02</t>
        </is>
      </c>
      <c r="E402" s="43" t="inlineStr">
        <is>
          <t>DEV-CTANJZ05338</t>
        </is>
      </c>
      <c r="F402" s="43" t="n"/>
      <c r="G402" s="43" t="inlineStr">
        <is>
          <t>STBU</t>
        </is>
      </c>
      <c r="H402" s="43" t="n"/>
      <c r="I402" s="43" t="n"/>
      <c r="J402" s="43" t="n"/>
      <c r="K402" s="43" t="n"/>
      <c r="L402" s="43" t="n"/>
      <c r="M402" s="43" t="n"/>
      <c r="N402" s="43" t="n"/>
      <c r="O402" s="43" t="n"/>
      <c r="P402" s="43" t="n"/>
      <c r="Q402" s="43" t="inlineStr">
        <is>
          <t>BOARD</t>
        </is>
      </c>
      <c r="R402" s="33" t="inlineStr">
        <is>
          <t>REVISAR D612446: verificar accion documentada, PN/revision y vigencia para la corrida. No autoriza sustitucion ni uso de material.</t>
        </is>
      </c>
      <c r="S402" s="43" t="inlineStr">
        <is>
          <t>INFO</t>
        </is>
      </c>
      <c r="T402" s="33" t="inlineStr">
        <is>
          <t>Validar desviacion aprobada y estado; contrastar PN exacto y revision con Common DB, BOM/AVL, WO y fecha de corrida.</t>
        </is>
      </c>
      <c r="U402" s="33" t="inlineStr">
        <is>
          <t>Documento oficial firmado, autorizacion FJZ, revision/WO de alcance, confirmacion BOM y evidencia de implementacion si aplica.</t>
        </is>
      </c>
      <c r="V402" s="43" t="n"/>
      <c r="W402" s="43" t="n"/>
      <c r="X402" s="43" t="inlineStr">
        <is>
          <t>INFO</t>
        </is>
      </c>
      <c r="Y402" s="43" t="n"/>
      <c r="Z402" s="43" t="inlineStr">
        <is>
          <t>Pending Review</t>
        </is>
      </c>
      <c r="AA402" s="43" t="inlineStr">
        <is>
          <t>N</t>
        </is>
      </c>
      <c r="AB402" s="43" t="n"/>
      <c r="AC402" s="33" t="inlineStr">
        <is>
          <t xml:space="preserve">FUENTE: Deviation.csv filas 1546; Item Number original=73-103563-02 (prefijo 73- es CANDIDATO de PCBA, no confirmacion en Common DB); Workflow de origen=Expired; FJZ no validado, revision PCBA/WO no informadas. </t>
        </is>
      </c>
    </row>
    <row r="403">
      <c r="A403" s="43" t="inlineStr">
        <is>
          <t>DA-CTANJZ05338-STBU-73-103622-02</t>
        </is>
      </c>
      <c r="B403" s="43" t="n"/>
      <c r="C403" s="43" t="n"/>
      <c r="D403" s="43" t="inlineStr">
        <is>
          <t>73-103622-02</t>
        </is>
      </c>
      <c r="E403" s="43" t="inlineStr">
        <is>
          <t>DEV-CTANJZ05338</t>
        </is>
      </c>
      <c r="F403" s="43" t="n"/>
      <c r="G403" s="43" t="inlineStr">
        <is>
          <t>STBU</t>
        </is>
      </c>
      <c r="H403" s="43" t="n"/>
      <c r="I403" s="43" t="n"/>
      <c r="J403" s="43" t="n"/>
      <c r="K403" s="43" t="n"/>
      <c r="L403" s="43" t="n"/>
      <c r="M403" s="43" t="n"/>
      <c r="N403" s="43" t="n"/>
      <c r="O403" s="43" t="n"/>
      <c r="P403" s="43" t="n"/>
      <c r="Q403" s="43" t="inlineStr">
        <is>
          <t>BOARD</t>
        </is>
      </c>
      <c r="R403" s="33" t="inlineStr">
        <is>
          <t>REVISAR D612446: verificar accion documentada, PN/revision y vigencia para la corrida. No autoriza sustitucion ni uso de material.</t>
        </is>
      </c>
      <c r="S403" s="43" t="inlineStr">
        <is>
          <t>INFO</t>
        </is>
      </c>
      <c r="T403" s="33" t="inlineStr">
        <is>
          <t>Validar desviacion aprobada y estado; contrastar PN exacto y revision con Common DB, BOM/AVL, WO y fecha de corrida.</t>
        </is>
      </c>
      <c r="U403" s="33" t="inlineStr">
        <is>
          <t>Documento oficial firmado, autorizacion FJZ, revision/WO de alcance, confirmacion BOM y evidencia de implementacion si aplica.</t>
        </is>
      </c>
      <c r="V403" s="43" t="n"/>
      <c r="W403" s="43" t="n"/>
      <c r="X403" s="43" t="inlineStr">
        <is>
          <t>INFO</t>
        </is>
      </c>
      <c r="Y403" s="43" t="n"/>
      <c r="Z403" s="43" t="inlineStr">
        <is>
          <t>Pending Review</t>
        </is>
      </c>
      <c r="AA403" s="43" t="inlineStr">
        <is>
          <t>N</t>
        </is>
      </c>
      <c r="AB403" s="43" t="n"/>
      <c r="AC403" s="33" t="inlineStr">
        <is>
          <t xml:space="preserve">FUENTE: Deviation.csv filas 1623; Item Number original=73-103622-02 (prefijo 73- es CANDIDATO de PCBA, no confirmacion en Common DB); Workflow de origen=Expired; FJZ no validado, revision PCBA/WO no informadas. </t>
        </is>
      </c>
    </row>
    <row r="404">
      <c r="A404" s="43" t="inlineStr">
        <is>
          <t>DA-CTANJZ05338-STBU-73-103633-04</t>
        </is>
      </c>
      <c r="B404" s="43" t="n"/>
      <c r="C404" s="43" t="n"/>
      <c r="D404" s="43" t="inlineStr">
        <is>
          <t>73-103633-04</t>
        </is>
      </c>
      <c r="E404" s="43" t="inlineStr">
        <is>
          <t>DEV-CTANJZ05338</t>
        </is>
      </c>
      <c r="F404" s="43" t="n"/>
      <c r="G404" s="43" t="inlineStr">
        <is>
          <t>STBU</t>
        </is>
      </c>
      <c r="H404" s="43" t="n"/>
      <c r="I404" s="43" t="n"/>
      <c r="J404" s="43" t="n"/>
      <c r="K404" s="43" t="n"/>
      <c r="L404" s="43" t="n"/>
      <c r="M404" s="43" t="n"/>
      <c r="N404" s="43" t="n"/>
      <c r="O404" s="43" t="n"/>
      <c r="P404" s="43" t="n"/>
      <c r="Q404" s="43" t="inlineStr">
        <is>
          <t>BOARD</t>
        </is>
      </c>
      <c r="R404" s="33" t="inlineStr">
        <is>
          <t>REVISAR D612446: verificar accion documentada, PN/revision y vigencia para la corrida. No autoriza sustitucion ni uso de material.</t>
        </is>
      </c>
      <c r="S404" s="43" t="inlineStr">
        <is>
          <t>INFO</t>
        </is>
      </c>
      <c r="T404" s="33" t="inlineStr">
        <is>
          <t>Validar desviacion aprobada y estado; contrastar PN exacto y revision con Common DB, BOM/AVL, WO y fecha de corrida.</t>
        </is>
      </c>
      <c r="U404" s="33" t="inlineStr">
        <is>
          <t>Documento oficial firmado, autorizacion FJZ, revision/WO de alcance, confirmacion BOM y evidencia de implementacion si aplica.</t>
        </is>
      </c>
      <c r="V404" s="43" t="n"/>
      <c r="W404" s="43" t="n"/>
      <c r="X404" s="43" t="inlineStr">
        <is>
          <t>INFO</t>
        </is>
      </c>
      <c r="Y404" s="43" t="n"/>
      <c r="Z404" s="43" t="inlineStr">
        <is>
          <t>Pending Review</t>
        </is>
      </c>
      <c r="AA404" s="43" t="inlineStr">
        <is>
          <t>N</t>
        </is>
      </c>
      <c r="AB404" s="43" t="n"/>
      <c r="AC404" s="33" t="inlineStr">
        <is>
          <t xml:space="preserve">FUENTE: Deviation.csv filas 1624; Item Number original=73-103633-04 (prefijo 73- es CANDIDATO de PCBA, no confirmacion en Common DB); Workflow de origen=Expired; FJZ no validado, revision PCBA/WO no informadas. </t>
        </is>
      </c>
    </row>
    <row r="405">
      <c r="A405" s="43" t="inlineStr">
        <is>
          <t>DA-CTANJZ05338-STBU-73-103788-04</t>
        </is>
      </c>
      <c r="B405" s="43" t="n"/>
      <c r="C405" s="43" t="n"/>
      <c r="D405" s="43" t="inlineStr">
        <is>
          <t>73-103788-04</t>
        </is>
      </c>
      <c r="E405" s="43" t="inlineStr">
        <is>
          <t>DEV-CTANJZ05338</t>
        </is>
      </c>
      <c r="F405" s="43" t="n"/>
      <c r="G405" s="43" t="inlineStr">
        <is>
          <t>STBU</t>
        </is>
      </c>
      <c r="H405" s="43" t="n"/>
      <c r="I405" s="43" t="n"/>
      <c r="J405" s="43" t="n"/>
      <c r="K405" s="43" t="n"/>
      <c r="L405" s="43" t="n"/>
      <c r="M405" s="43" t="n"/>
      <c r="N405" s="43" t="n"/>
      <c r="O405" s="43" t="n"/>
      <c r="P405" s="43" t="n"/>
      <c r="Q405" s="43" t="inlineStr">
        <is>
          <t>BOARD</t>
        </is>
      </c>
      <c r="R405" s="33" t="inlineStr">
        <is>
          <t>REVISAR D612446: verificar accion documentada, PN/revision y vigencia para la corrida. No autoriza sustitucion ni uso de material.</t>
        </is>
      </c>
      <c r="S405" s="43" t="inlineStr">
        <is>
          <t>INFO</t>
        </is>
      </c>
      <c r="T405" s="33" t="inlineStr">
        <is>
          <t>Validar desviacion aprobada y estado; contrastar PN exacto y revision con Common DB, BOM/AVL, WO y fecha de corrida.</t>
        </is>
      </c>
      <c r="U405" s="33" t="inlineStr">
        <is>
          <t>Documento oficial firmado, autorizacion FJZ, revision/WO de alcance, confirmacion BOM y evidencia de implementacion si aplica.</t>
        </is>
      </c>
      <c r="V405" s="43" t="n"/>
      <c r="W405" s="43" t="n"/>
      <c r="X405" s="43" t="inlineStr">
        <is>
          <t>INFO</t>
        </is>
      </c>
      <c r="Y405" s="43" t="n"/>
      <c r="Z405" s="43" t="inlineStr">
        <is>
          <t>Pending Review</t>
        </is>
      </c>
      <c r="AA405" s="43" t="inlineStr">
        <is>
          <t>N</t>
        </is>
      </c>
      <c r="AB405" s="43" t="n"/>
      <c r="AC405" s="33" t="inlineStr">
        <is>
          <t xml:space="preserve">FUENTE: Deviation.csv filas 1625; Item Number original=73-103788-04 (prefijo 73- es CANDIDATO de PCBA, no confirmacion en Common DB); Workflow de origen=Expired; FJZ no validado, revision PCBA/WO no informadas. </t>
        </is>
      </c>
    </row>
    <row r="406">
      <c r="A406" s="43" t="inlineStr">
        <is>
          <t>DA-CTANJZ05344-SRGBU-73-21204-06</t>
        </is>
      </c>
      <c r="B406" s="43" t="n"/>
      <c r="C406" s="43" t="n"/>
      <c r="D406" s="43" t="inlineStr">
        <is>
          <t>73-21204-06</t>
        </is>
      </c>
      <c r="E406" s="43" t="inlineStr">
        <is>
          <t>DEV-CTANJZ05344</t>
        </is>
      </c>
      <c r="F406" s="43" t="n"/>
      <c r="G406" s="43" t="inlineStr">
        <is>
          <t>SRGBU</t>
        </is>
      </c>
      <c r="H406" s="43" t="n"/>
      <c r="I406" s="43" t="n"/>
      <c r="J406" s="43" t="n"/>
      <c r="K406" s="43" t="n"/>
      <c r="L406" s="43" t="n"/>
      <c r="M406" s="43" t="n"/>
      <c r="N406" s="43" t="n"/>
      <c r="O406" s="43" t="n"/>
      <c r="P406" s="43" t="n"/>
      <c r="Q406" s="43" t="inlineStr">
        <is>
          <t>BOARD</t>
        </is>
      </c>
      <c r="R406" s="33" t="inlineStr">
        <is>
          <t>REVISAR D612031: verificar accion documentada, PN/revision y vigencia para la corrida. No autoriza sustitucion ni uso de material.</t>
        </is>
      </c>
      <c r="S406" s="43" t="inlineStr">
        <is>
          <t>INFO</t>
        </is>
      </c>
      <c r="T406" s="33" t="inlineStr">
        <is>
          <t>Validar desviacion aprobada y estado; contrastar PN exacto y revision con Common DB, BOM/AVL, WO y fecha de corrida.</t>
        </is>
      </c>
      <c r="U406" s="33" t="inlineStr">
        <is>
          <t>Documento oficial firmado, autorizacion FJZ, revision/WO de alcance, confirmacion BOM y evidencia de implementacion si aplica.</t>
        </is>
      </c>
      <c r="V406" s="43" t="n"/>
      <c r="W406" s="43" t="n"/>
      <c r="X406" s="43" t="inlineStr">
        <is>
          <t>INFO</t>
        </is>
      </c>
      <c r="Y406" s="43" t="n"/>
      <c r="Z406" s="43" t="inlineStr">
        <is>
          <t>Pending Review</t>
        </is>
      </c>
      <c r="AA406" s="43" t="inlineStr">
        <is>
          <t>N</t>
        </is>
      </c>
      <c r="AB406" s="43" t="n"/>
      <c r="AC406" s="33" t="inlineStr">
        <is>
          <t xml:space="preserve">FUENTE: Deviation.csv filas 1277; Item Number original=73-21204-06 (prefijo 73- es CANDIDATO de PCBA, no confirmacion en Common DB); Workflow de origen=Expired; FJZ no validado, revision PCBA/WO no informadas. </t>
        </is>
      </c>
    </row>
    <row r="407">
      <c r="A407" s="43" t="inlineStr">
        <is>
          <t>DA-CTANJZ05344-SRGBU-73-21231-05</t>
        </is>
      </c>
      <c r="B407" s="43" t="inlineStr">
        <is>
          <t>CHARON</t>
        </is>
      </c>
      <c r="C407" s="43" t="n"/>
      <c r="D407" s="43" t="inlineStr">
        <is>
          <t>73-21231-05</t>
        </is>
      </c>
      <c r="E407" s="43" t="inlineStr">
        <is>
          <t>DEV-CTANJZ05344</t>
        </is>
      </c>
      <c r="F407" s="43" t="n"/>
      <c r="G407" s="43" t="inlineStr">
        <is>
          <t>SRGBU</t>
        </is>
      </c>
      <c r="H407" s="43" t="n"/>
      <c r="I407" s="43" t="n"/>
      <c r="J407" s="43" t="n"/>
      <c r="K407" s="43" t="n"/>
      <c r="L407" s="43" t="n"/>
      <c r="M407" s="43" t="n"/>
      <c r="N407" s="43" t="n"/>
      <c r="O407" s="43" t="n"/>
      <c r="P407" s="43" t="n"/>
      <c r="Q407" s="43" t="inlineStr">
        <is>
          <t>BOARD</t>
        </is>
      </c>
      <c r="R407" s="33" t="inlineStr">
        <is>
          <t>REVISAR D612031: verificar accion documentada, PN/revision y vigencia para la corrida. No autoriza sustitucion ni uso de material.</t>
        </is>
      </c>
      <c r="S407" s="43" t="inlineStr">
        <is>
          <t>INFO</t>
        </is>
      </c>
      <c r="T407" s="33" t="inlineStr">
        <is>
          <t>Validar desviacion aprobada y estado; contrastar PN exacto y revision con Common DB, BOM/AVL, WO y fecha de corrida.</t>
        </is>
      </c>
      <c r="U407" s="33" t="inlineStr">
        <is>
          <t>Documento oficial firmado, autorizacion FJZ, revision/WO de alcance, confirmacion BOM y evidencia de implementacion si aplica.</t>
        </is>
      </c>
      <c r="V407" s="43" t="n"/>
      <c r="W407" s="43" t="n"/>
      <c r="X407" s="43" t="inlineStr">
        <is>
          <t>INFO</t>
        </is>
      </c>
      <c r="Y407" s="43" t="n"/>
      <c r="Z407" s="43" t="inlineStr">
        <is>
          <t>Pending Review</t>
        </is>
      </c>
      <c r="AA407" s="43" t="inlineStr">
        <is>
          <t>N</t>
        </is>
      </c>
      <c r="AB407" s="43" t="n"/>
      <c r="AC407" s="33" t="inlineStr">
        <is>
          <t xml:space="preserve">FUENTE: Deviation.csv filas 1278; Item Number original=73-21231-05 (prefijo 73- es CANDIDATO de PCBA, no confirmacion en Common DB); Workflow de origen=Expired; FJZ no validado, revision PCBA/WO no informadas. </t>
        </is>
      </c>
    </row>
    <row r="408">
      <c r="A408" s="43" t="inlineStr">
        <is>
          <t>DA-CTANJZ05344-SRGBU-73-21417-05</t>
        </is>
      </c>
      <c r="B408" s="43" t="n"/>
      <c r="C408" s="43" t="n"/>
      <c r="D408" s="43" t="inlineStr">
        <is>
          <t>73-21417-05</t>
        </is>
      </c>
      <c r="E408" s="43" t="inlineStr">
        <is>
          <t>DEV-CTANJZ05344</t>
        </is>
      </c>
      <c r="F408" s="43" t="n"/>
      <c r="G408" s="43" t="inlineStr">
        <is>
          <t>SRGBU</t>
        </is>
      </c>
      <c r="H408" s="43" t="n"/>
      <c r="I408" s="43" t="n"/>
      <c r="J408" s="43" t="n"/>
      <c r="K408" s="43" t="n"/>
      <c r="L408" s="43" t="n"/>
      <c r="M408" s="43" t="n"/>
      <c r="N408" s="43" t="n"/>
      <c r="O408" s="43" t="n"/>
      <c r="P408" s="43" t="n"/>
      <c r="Q408" s="43" t="inlineStr">
        <is>
          <t>BOARD</t>
        </is>
      </c>
      <c r="R408" s="33" t="inlineStr">
        <is>
          <t>REVISAR D612031: verificar accion documentada, PN/revision y vigencia para la corrida. No autoriza sustitucion ni uso de material.</t>
        </is>
      </c>
      <c r="S408" s="43" t="inlineStr">
        <is>
          <t>INFO</t>
        </is>
      </c>
      <c r="T408" s="33" t="inlineStr">
        <is>
          <t>Validar desviacion aprobada y estado; contrastar PN exacto y revision con Common DB, BOM/AVL, WO y fecha de corrida.</t>
        </is>
      </c>
      <c r="U408" s="33" t="inlineStr">
        <is>
          <t>Documento oficial firmado, autorizacion FJZ, revision/WO de alcance, confirmacion BOM y evidencia de implementacion si aplica.</t>
        </is>
      </c>
      <c r="V408" s="43" t="n"/>
      <c r="W408" s="43" t="n"/>
      <c r="X408" s="43" t="inlineStr">
        <is>
          <t>INFO</t>
        </is>
      </c>
      <c r="Y408" s="43" t="n"/>
      <c r="Z408" s="43" t="inlineStr">
        <is>
          <t>Pending Review</t>
        </is>
      </c>
      <c r="AA408" s="43" t="inlineStr">
        <is>
          <t>N</t>
        </is>
      </c>
      <c r="AB408" s="43" t="n"/>
      <c r="AC408" s="33" t="inlineStr">
        <is>
          <t xml:space="preserve">FUENTE: Deviation.csv filas 1279; Item Number original=73-21417-05 (prefijo 73- es CANDIDATO de PCBA, no confirmacion en Common DB); Workflow de origen=Expired; FJZ no validado, revision PCBA/WO no informadas. </t>
        </is>
      </c>
    </row>
    <row r="409">
      <c r="A409" s="43" t="inlineStr">
        <is>
          <t>DA-CTANJZ05347-CRBU-73-102363-05</t>
        </is>
      </c>
      <c r="B409" s="43" t="n"/>
      <c r="C409" s="43" t="n"/>
      <c r="D409" s="43" t="inlineStr">
        <is>
          <t>73-102363-05</t>
        </is>
      </c>
      <c r="E409" s="43" t="inlineStr">
        <is>
          <t>DEV-CTANJZ05347</t>
        </is>
      </c>
      <c r="F409" s="43" t="n"/>
      <c r="G409" s="43" t="inlineStr">
        <is>
          <t>CRBU</t>
        </is>
      </c>
      <c r="H409" s="43" t="n"/>
      <c r="I409" s="43" t="n"/>
      <c r="J409" s="43" t="n"/>
      <c r="K409" s="43" t="n"/>
      <c r="L409" s="43" t="n"/>
      <c r="M409" s="43" t="n"/>
      <c r="N409" s="43" t="n"/>
      <c r="O409" s="43" t="n"/>
      <c r="P409" s="43" t="n"/>
      <c r="Q409" s="43" t="inlineStr">
        <is>
          <t>BOARD</t>
        </is>
      </c>
      <c r="R409" s="33" t="inlineStr">
        <is>
          <t>REVISAR D611853: verificar accion documentada, PN/revision y vigencia para la corrida. No autoriza sustitucion ni uso de material.</t>
        </is>
      </c>
      <c r="S409" s="43" t="inlineStr">
        <is>
          <t>INFO</t>
        </is>
      </c>
      <c r="T409" s="33" t="inlineStr">
        <is>
          <t>Validar desviacion aprobada y estado; contrastar PN exacto y revision con Common DB, BOM/AVL, WO y fecha de corrida.</t>
        </is>
      </c>
      <c r="U409" s="33" t="inlineStr">
        <is>
          <t>Documento oficial firmado, autorizacion FJZ, revision/WO de alcance, confirmacion BOM y evidencia de implementacion si aplica.</t>
        </is>
      </c>
      <c r="V409" s="43" t="n"/>
      <c r="W409" s="43" t="n"/>
      <c r="X409" s="43" t="inlineStr">
        <is>
          <t>INFO</t>
        </is>
      </c>
      <c r="Y409" s="43" t="n"/>
      <c r="Z409" s="43" t="inlineStr">
        <is>
          <t>Pending Review</t>
        </is>
      </c>
      <c r="AA409" s="43" t="inlineStr">
        <is>
          <t>N</t>
        </is>
      </c>
      <c r="AB409" s="43" t="n"/>
      <c r="AC409" s="33" t="inlineStr">
        <is>
          <t xml:space="preserve">FUENTE: Deviation.csv filas 99,203; Item Number original=73-102363-05 (prefijo 73- es CANDIDATO de PCBA, no confirmacion en Common DB); Workflow de origen=Expired; FJZ no validado, revision PCBA/WO no informadas. </t>
        </is>
      </c>
    </row>
    <row r="410">
      <c r="A410" s="43" t="inlineStr">
        <is>
          <t>DA-CTANJZ05348-STBU-73-20249-06</t>
        </is>
      </c>
      <c r="B410" s="43" t="inlineStr">
        <is>
          <t>TUFNELL PARK</t>
        </is>
      </c>
      <c r="C410" s="43" t="n"/>
      <c r="D410" s="43" t="inlineStr">
        <is>
          <t>73-20249-06</t>
        </is>
      </c>
      <c r="E410" s="43" t="inlineStr">
        <is>
          <t>DEV-CTANJZ05348</t>
        </is>
      </c>
      <c r="F410" s="43" t="n"/>
      <c r="G410" s="43" t="inlineStr">
        <is>
          <t>STBU</t>
        </is>
      </c>
      <c r="H410" s="43" t="n"/>
      <c r="I410" s="43" t="n"/>
      <c r="J410" s="43" t="n"/>
      <c r="K410" s="43" t="n"/>
      <c r="L410" s="43" t="n"/>
      <c r="M410" s="43" t="n"/>
      <c r="N410" s="43" t="n"/>
      <c r="O410" s="43" t="n"/>
      <c r="P410" s="43" t="n"/>
      <c r="Q410" s="43" t="inlineStr">
        <is>
          <t>BOARD</t>
        </is>
      </c>
      <c r="R410" s="33" t="inlineStr">
        <is>
          <t>REVISAR D612482: verificar accion documentada, PN/revision y vigencia para la corrida. No autoriza sustitucion ni uso de material.</t>
        </is>
      </c>
      <c r="S410" s="43" t="inlineStr">
        <is>
          <t>INFO</t>
        </is>
      </c>
      <c r="T410" s="33" t="inlineStr">
        <is>
          <t>Validar desviacion aprobada y estado; contrastar PN exacto y revision con Common DB, BOM/AVL, WO y fecha de corrida.</t>
        </is>
      </c>
      <c r="U410" s="33" t="inlineStr">
        <is>
          <t>Documento oficial firmado, autorizacion FJZ, revision/WO de alcance, confirmacion BOM y evidencia de implementacion si aplica.</t>
        </is>
      </c>
      <c r="V410" s="43" t="n"/>
      <c r="W410" s="43" t="n"/>
      <c r="X410" s="43" t="inlineStr">
        <is>
          <t>INFO</t>
        </is>
      </c>
      <c r="Y410" s="43" t="n"/>
      <c r="Z410" s="43" t="inlineStr">
        <is>
          <t>Pending Review</t>
        </is>
      </c>
      <c r="AA410" s="43" t="inlineStr">
        <is>
          <t>N</t>
        </is>
      </c>
      <c r="AB410" s="43" t="n"/>
      <c r="AC410" s="33" t="inlineStr">
        <is>
          <t xml:space="preserve">FUENTE: Deviation.csv filas 204,1531; Item Number original=73-20249-06 (prefijo 73- es CANDIDATO de PCBA, no confirmacion en Common DB); Workflow de origen=Expired; FJZ no validado, revision PCBA/WO no informadas. </t>
        </is>
      </c>
    </row>
    <row r="411">
      <c r="A411" s="43" t="inlineStr">
        <is>
          <t>DA-CTANJZ05349-STBU-73-18489-08</t>
        </is>
      </c>
      <c r="B411" s="43" t="n"/>
      <c r="C411" s="43" t="n"/>
      <c r="D411" s="43" t="inlineStr">
        <is>
          <t>73-18489-08</t>
        </is>
      </c>
      <c r="E411" s="43" t="inlineStr">
        <is>
          <t>DEV-CTANJZ05349</t>
        </is>
      </c>
      <c r="F411" s="43" t="n"/>
      <c r="G411" s="43" t="inlineStr">
        <is>
          <t>STBU</t>
        </is>
      </c>
      <c r="H411" s="43" t="n"/>
      <c r="I411" s="43" t="n"/>
      <c r="J411" s="43" t="n"/>
      <c r="K411" s="43" t="n"/>
      <c r="L411" s="43" t="n"/>
      <c r="M411" s="43" t="n"/>
      <c r="N411" s="43" t="n"/>
      <c r="O411" s="43" t="n"/>
      <c r="P411" s="43" t="n"/>
      <c r="Q411" s="43" t="inlineStr">
        <is>
          <t>BOARD</t>
        </is>
      </c>
      <c r="R411" s="33" t="inlineStr">
        <is>
          <t>REVISAR D612481: verificar accion documentada, PN/revision y vigencia para la corrida. No autoriza sustitucion ni uso de material.</t>
        </is>
      </c>
      <c r="S411" s="43" t="inlineStr">
        <is>
          <t>INFO</t>
        </is>
      </c>
      <c r="T411" s="33" t="inlineStr">
        <is>
          <t>Validar desviacion aprobada y estado; contrastar PN exacto y revision con Common DB, BOM/AVL, WO y fecha de corrida.</t>
        </is>
      </c>
      <c r="U411" s="33" t="inlineStr">
        <is>
          <t>Documento oficial firmado, autorizacion FJZ, revision/WO de alcance, confirmacion BOM y evidencia de implementacion si aplica.</t>
        </is>
      </c>
      <c r="V411" s="43" t="n"/>
      <c r="W411" s="43" t="n"/>
      <c r="X411" s="43" t="inlineStr">
        <is>
          <t>INFO</t>
        </is>
      </c>
      <c r="Y411" s="43" t="n"/>
      <c r="Z411" s="43" t="inlineStr">
        <is>
          <t>Pending Review</t>
        </is>
      </c>
      <c r="AA411" s="43" t="inlineStr">
        <is>
          <t>N</t>
        </is>
      </c>
      <c r="AB411" s="43" t="n"/>
      <c r="AC411" s="33" t="inlineStr">
        <is>
          <t xml:space="preserve">FUENTE: Deviation.csv filas 206,1533; Item Number original=73-18489-08 (prefijo 73- es CANDIDATO de PCBA, no confirmacion en Common DB); Workflow de origen=Expired; FJZ no validado, revision PCBA/WO no informadas. </t>
        </is>
      </c>
    </row>
    <row r="412">
      <c r="A412" s="43" t="inlineStr">
        <is>
          <t>DA-CTANJZ05350-STBU-73-20249-06</t>
        </is>
      </c>
      <c r="B412" s="43" t="inlineStr">
        <is>
          <t>TUFNELL PARK</t>
        </is>
      </c>
      <c r="C412" s="43" t="n"/>
      <c r="D412" s="43" t="inlineStr">
        <is>
          <t>73-20249-06</t>
        </is>
      </c>
      <c r="E412" s="43" t="inlineStr">
        <is>
          <t>DEV-CTANJZ05350</t>
        </is>
      </c>
      <c r="F412" s="43" t="n"/>
      <c r="G412" s="43" t="inlineStr">
        <is>
          <t>STBU</t>
        </is>
      </c>
      <c r="H412" s="43" t="n"/>
      <c r="I412" s="43" t="n"/>
      <c r="J412" s="43" t="n"/>
      <c r="K412" s="43" t="n"/>
      <c r="L412" s="43" t="n"/>
      <c r="M412" s="43" t="n"/>
      <c r="N412" s="43" t="n"/>
      <c r="O412" s="43" t="n"/>
      <c r="P412" s="43" t="n"/>
      <c r="Q412" s="43" t="inlineStr">
        <is>
          <t>BOARD</t>
        </is>
      </c>
      <c r="R412" s="33" t="inlineStr">
        <is>
          <t>REVISAR D612480: verificar accion documentada, PN/revision y vigencia para la corrida. No autoriza sustitucion ni uso de material.</t>
        </is>
      </c>
      <c r="S412" s="43" t="inlineStr">
        <is>
          <t>INFO</t>
        </is>
      </c>
      <c r="T412" s="33" t="inlineStr">
        <is>
          <t>Validar desviacion aprobada y estado; contrastar PN exacto y revision con Common DB, BOM/AVL, WO y fecha de corrida.</t>
        </is>
      </c>
      <c r="U412" s="33" t="inlineStr">
        <is>
          <t>Documento oficial firmado, autorizacion FJZ, revision/WO de alcance, confirmacion BOM y evidencia de implementacion si aplica.</t>
        </is>
      </c>
      <c r="V412" s="43" t="n"/>
      <c r="W412" s="43" t="n"/>
      <c r="X412" s="43" t="inlineStr">
        <is>
          <t>INFO</t>
        </is>
      </c>
      <c r="Y412" s="43" t="n"/>
      <c r="Z412" s="43" t="inlineStr">
        <is>
          <t>Pending Review</t>
        </is>
      </c>
      <c r="AA412" s="43" t="inlineStr">
        <is>
          <t>N</t>
        </is>
      </c>
      <c r="AB412" s="43" t="n"/>
      <c r="AC412" s="33" t="inlineStr">
        <is>
          <t xml:space="preserve">FUENTE: Deviation.csv filas 210,1578; Item Number original=73-20249-06 (prefijo 73- es CANDIDATO de PCBA, no confirmacion en Common DB); Workflow de origen=Expired; FJZ no validado, revision PCBA/WO no informadas. </t>
        </is>
      </c>
    </row>
    <row r="413">
      <c r="A413" s="43" t="inlineStr">
        <is>
          <t>DA-CTANJZ05351-CRBU-73-102363-05</t>
        </is>
      </c>
      <c r="B413" s="43" t="n"/>
      <c r="C413" s="43" t="n"/>
      <c r="D413" s="43" t="inlineStr">
        <is>
          <t>73-102363-05</t>
        </is>
      </c>
      <c r="E413" s="43" t="inlineStr">
        <is>
          <t>DEV-CTANJZ05351</t>
        </is>
      </c>
      <c r="F413" s="43" t="n"/>
      <c r="G413" s="43" t="inlineStr">
        <is>
          <t>CRBU</t>
        </is>
      </c>
      <c r="H413" s="43" t="n"/>
      <c r="I413" s="43" t="n"/>
      <c r="J413" s="43" t="n"/>
      <c r="K413" s="43" t="n"/>
      <c r="L413" s="43" t="n"/>
      <c r="M413" s="43" t="n"/>
      <c r="N413" s="43" t="n"/>
      <c r="O413" s="43" t="n"/>
      <c r="P413" s="43" t="n"/>
      <c r="Q413" s="43" t="inlineStr">
        <is>
          <t>BOARD</t>
        </is>
      </c>
      <c r="R413" s="33" t="inlineStr">
        <is>
          <t>REVISAR D612083: verificar accion documentada, PN/revision y vigencia para la corrida. No autoriza sustitucion ni uso de material.</t>
        </is>
      </c>
      <c r="S413" s="43" t="inlineStr">
        <is>
          <t>INFO</t>
        </is>
      </c>
      <c r="T413" s="33" t="inlineStr">
        <is>
          <t>Validar desviacion aprobada y estado; contrastar PN exacto y revision con Common DB, BOM/AVL, WO y fecha de corrida.</t>
        </is>
      </c>
      <c r="U413" s="33" t="inlineStr">
        <is>
          <t>Documento oficial firmado, autorizacion FJZ, revision/WO de alcance, confirmacion BOM y evidencia de implementacion si aplica.</t>
        </is>
      </c>
      <c r="V413" s="43" t="n"/>
      <c r="W413" s="43" t="n"/>
      <c r="X413" s="43" t="inlineStr">
        <is>
          <t>INFO</t>
        </is>
      </c>
      <c r="Y413" s="43" t="n"/>
      <c r="Z413" s="43" t="inlineStr">
        <is>
          <t>Pending Review</t>
        </is>
      </c>
      <c r="AA413" s="43" t="inlineStr">
        <is>
          <t>N</t>
        </is>
      </c>
      <c r="AB413" s="43" t="n"/>
      <c r="AC413" s="33" t="inlineStr">
        <is>
          <t xml:space="preserve">FUENTE: Deviation.csv filas 81,255; Item Number original=73-102363-05 (prefijo 73- es CANDIDATO de PCBA, no confirmacion en Common DB); Workflow de origen=Extended; FJZ no validado, revision PCBA/WO no informadas. </t>
        </is>
      </c>
    </row>
    <row r="414">
      <c r="A414" s="43" t="inlineStr">
        <is>
          <t>DA-CTANJZ05352-CRBU-73-102363-05</t>
        </is>
      </c>
      <c r="B414" s="43" t="n"/>
      <c r="C414" s="43" t="n"/>
      <c r="D414" s="43" t="inlineStr">
        <is>
          <t>73-102363-05</t>
        </is>
      </c>
      <c r="E414" s="43" t="inlineStr">
        <is>
          <t>DEV-CTANJZ05352</t>
        </is>
      </c>
      <c r="F414" s="43" t="n"/>
      <c r="G414" s="43" t="inlineStr">
        <is>
          <t>CRBU</t>
        </is>
      </c>
      <c r="H414" s="43" t="n"/>
      <c r="I414" s="43" t="n"/>
      <c r="J414" s="43" t="n"/>
      <c r="K414" s="43" t="n"/>
      <c r="L414" s="43" t="n"/>
      <c r="M414" s="43" t="n"/>
      <c r="N414" s="43" t="n"/>
      <c r="O414" s="43" t="n"/>
      <c r="P414" s="43" t="n"/>
      <c r="Q414" s="43" t="inlineStr">
        <is>
          <t>BOARD</t>
        </is>
      </c>
      <c r="R414" s="33" t="inlineStr">
        <is>
          <t>REVISAR D611822: verificar accion documentada, PN/revision y vigencia para la corrida. No autoriza sustitucion ni uso de material.</t>
        </is>
      </c>
      <c r="S414" s="43" t="inlineStr">
        <is>
          <t>INFO</t>
        </is>
      </c>
      <c r="T414" s="33" t="inlineStr">
        <is>
          <t>Validar desviacion aprobada y estado; contrastar PN exacto y revision con Common DB, BOM/AVL, WO y fecha de corrida.</t>
        </is>
      </c>
      <c r="U414" s="33" t="inlineStr">
        <is>
          <t>Documento oficial firmado, autorizacion FJZ, revision/WO de alcance, confirmacion BOM y evidencia de implementacion si aplica.</t>
        </is>
      </c>
      <c r="V414" s="43" t="n"/>
      <c r="W414" s="43" t="n"/>
      <c r="X414" s="43" t="inlineStr">
        <is>
          <t>INFO</t>
        </is>
      </c>
      <c r="Y414" s="43" t="n"/>
      <c r="Z414" s="43" t="inlineStr">
        <is>
          <t>Pending Review</t>
        </is>
      </c>
      <c r="AA414" s="43" t="inlineStr">
        <is>
          <t>N</t>
        </is>
      </c>
      <c r="AB414" s="43" t="n"/>
      <c r="AC414" s="33" t="inlineStr">
        <is>
          <t xml:space="preserve">FUENTE: Deviation.csv filas 83,257; Item Number original=73-102363-05 (prefijo 73- es CANDIDATO de PCBA, no confirmacion en Common DB); Workflow de origen=Extended; FJZ no validado, revision PCBA/WO no informadas. </t>
        </is>
      </c>
    </row>
    <row r="415">
      <c r="A415" s="43" t="inlineStr">
        <is>
          <t>DA-CTANJZ05353-STBU-73-18489-08</t>
        </is>
      </c>
      <c r="B415" s="43" t="n"/>
      <c r="C415" s="43" t="n"/>
      <c r="D415" s="43" t="inlineStr">
        <is>
          <t>73-18489-08</t>
        </is>
      </c>
      <c r="E415" s="43" t="inlineStr">
        <is>
          <t>DEV-CTANJZ05353</t>
        </is>
      </c>
      <c r="F415" s="43" t="n"/>
      <c r="G415" s="43" t="inlineStr">
        <is>
          <t>STBU</t>
        </is>
      </c>
      <c r="H415" s="43" t="n"/>
      <c r="I415" s="43" t="n"/>
      <c r="J415" s="43" t="n"/>
      <c r="K415" s="43" t="n"/>
      <c r="L415" s="43" t="n"/>
      <c r="M415" s="43" t="n"/>
      <c r="N415" s="43" t="n"/>
      <c r="O415" s="43" t="n"/>
      <c r="P415" s="43" t="n"/>
      <c r="Q415" s="43" t="inlineStr">
        <is>
          <t>BOARD</t>
        </is>
      </c>
      <c r="R415" s="33" t="inlineStr">
        <is>
          <t>REVISAR D612478: verificar accion documentada, PN/revision y vigencia para la corrida. No autoriza sustitucion ni uso de material.</t>
        </is>
      </c>
      <c r="S415" s="43" t="inlineStr">
        <is>
          <t>INFO</t>
        </is>
      </c>
      <c r="T415" s="33" t="inlineStr">
        <is>
          <t>Validar desviacion aprobada y estado; contrastar PN exacto y revision con Common DB, BOM/AVL, WO y fecha de corrida.</t>
        </is>
      </c>
      <c r="U415" s="33" t="inlineStr">
        <is>
          <t>Documento oficial firmado, autorizacion FJZ, revision/WO de alcance, confirmacion BOM y evidencia de implementacion si aplica.</t>
        </is>
      </c>
      <c r="V415" s="43" t="n"/>
      <c r="W415" s="43" t="n"/>
      <c r="X415" s="43" t="inlineStr">
        <is>
          <t>INFO</t>
        </is>
      </c>
      <c r="Y415" s="43" t="n"/>
      <c r="Z415" s="43" t="inlineStr">
        <is>
          <t>Pending Review</t>
        </is>
      </c>
      <c r="AA415" s="43" t="inlineStr">
        <is>
          <t>N</t>
        </is>
      </c>
      <c r="AB415" s="43" t="n"/>
      <c r="AC415" s="33" t="inlineStr">
        <is>
          <t xml:space="preserve">FUENTE: Deviation.csv filas 208,1548; Item Number original=73-18489-08 (prefijo 73- es CANDIDATO de PCBA, no confirmacion en Common DB); Workflow de origen=Expired; FJZ no validado, revision PCBA/WO no informadas. </t>
        </is>
      </c>
    </row>
    <row r="416">
      <c r="A416" s="43" t="inlineStr">
        <is>
          <t>DA-CTANJZ05396-CRBU-73-20176-08</t>
        </is>
      </c>
      <c r="B416" s="43" t="n"/>
      <c r="C416" s="43" t="n"/>
      <c r="D416" s="43" t="inlineStr">
        <is>
          <t>73-20176-08</t>
        </is>
      </c>
      <c r="E416" s="43" t="inlineStr">
        <is>
          <t>DEV-CTANJZ05396</t>
        </is>
      </c>
      <c r="F416" s="43" t="n"/>
      <c r="G416" s="43" t="inlineStr">
        <is>
          <t>CRBU</t>
        </is>
      </c>
      <c r="H416" s="43" t="n"/>
      <c r="I416" s="43" t="n"/>
      <c r="J416" s="43" t="n"/>
      <c r="K416" s="43" t="n"/>
      <c r="L416" s="43" t="n"/>
      <c r="M416" s="43" t="n"/>
      <c r="N416" s="43" t="n"/>
      <c r="O416" s="43" t="n"/>
      <c r="P416" s="43" t="n"/>
      <c r="Q416" s="43" t="inlineStr">
        <is>
          <t>BOARD</t>
        </is>
      </c>
      <c r="R416" s="33" t="inlineStr">
        <is>
          <t>REVISAR D612685: verificar accion documentada, PN/revision y vigencia para la corrida. No autoriza sustitucion ni uso de material.</t>
        </is>
      </c>
      <c r="S416" s="43" t="inlineStr">
        <is>
          <t>INFO</t>
        </is>
      </c>
      <c r="T416" s="33" t="inlineStr">
        <is>
          <t>Validar desviacion aprobada y estado; contrastar PN exacto y revision con Common DB, BOM/AVL, WO y fecha de corrida.</t>
        </is>
      </c>
      <c r="U416" s="33" t="inlineStr">
        <is>
          <t>Documento oficial firmado, autorizacion FJZ, revision/WO de alcance, confirmacion BOM y evidencia de implementacion si aplica.</t>
        </is>
      </c>
      <c r="V416" s="43" t="n"/>
      <c r="W416" s="43" t="n"/>
      <c r="X416" s="43" t="inlineStr">
        <is>
          <t>INFO</t>
        </is>
      </c>
      <c r="Y416" s="43" t="n"/>
      <c r="Z416" s="43" t="inlineStr">
        <is>
          <t>Pending Review</t>
        </is>
      </c>
      <c r="AA416" s="43" t="inlineStr">
        <is>
          <t>N</t>
        </is>
      </c>
      <c r="AB416" s="43" t="n"/>
      <c r="AC416" s="33" t="inlineStr">
        <is>
          <t xml:space="preserve">FUENTE: Deviation.csv filas 1853; Item Number original=73-20176-08 (prefijo 73- es CANDIDATO de PCBA, no confirmacion en Common DB); Workflow de origen=Expired; FJZ no validado, revision PCBA/WO no informadas. </t>
        </is>
      </c>
    </row>
    <row r="417">
      <c r="A417" s="43" t="inlineStr">
        <is>
          <t>DA-CTANJZ05396-CRBU-73-20516-05</t>
        </is>
      </c>
      <c r="B417" s="43" t="n"/>
      <c r="C417" s="43" t="n"/>
      <c r="D417" s="43" t="inlineStr">
        <is>
          <t>73-20516-05</t>
        </is>
      </c>
      <c r="E417" s="43" t="inlineStr">
        <is>
          <t>DEV-CTANJZ05396</t>
        </is>
      </c>
      <c r="F417" s="43" t="n"/>
      <c r="G417" s="43" t="inlineStr">
        <is>
          <t>CRBU</t>
        </is>
      </c>
      <c r="H417" s="43" t="n"/>
      <c r="I417" s="43" t="n"/>
      <c r="J417" s="43" t="n"/>
      <c r="K417" s="43" t="n"/>
      <c r="L417" s="43" t="n"/>
      <c r="M417" s="43" t="n"/>
      <c r="N417" s="43" t="n"/>
      <c r="O417" s="43" t="n"/>
      <c r="P417" s="43" t="n"/>
      <c r="Q417" s="43" t="inlineStr">
        <is>
          <t>BOARD</t>
        </is>
      </c>
      <c r="R417" s="33" t="inlineStr">
        <is>
          <t>REVISAR D612685: verificar accion documentada, PN/revision y vigencia para la corrida. No autoriza sustitucion ni uso de material.</t>
        </is>
      </c>
      <c r="S417" s="43" t="inlineStr">
        <is>
          <t>INFO</t>
        </is>
      </c>
      <c r="T417" s="33" t="inlineStr">
        <is>
          <t>Validar desviacion aprobada y estado; contrastar PN exacto y revision con Common DB, BOM/AVL, WO y fecha de corrida.</t>
        </is>
      </c>
      <c r="U417" s="33" t="inlineStr">
        <is>
          <t>Documento oficial firmado, autorizacion FJZ, revision/WO de alcance, confirmacion BOM y evidencia de implementacion si aplica.</t>
        </is>
      </c>
      <c r="V417" s="43" t="n"/>
      <c r="W417" s="43" t="n"/>
      <c r="X417" s="43" t="inlineStr">
        <is>
          <t>INFO</t>
        </is>
      </c>
      <c r="Y417" s="43" t="n"/>
      <c r="Z417" s="43" t="inlineStr">
        <is>
          <t>Pending Review</t>
        </is>
      </c>
      <c r="AA417" s="43" t="inlineStr">
        <is>
          <t>N</t>
        </is>
      </c>
      <c r="AB417" s="43" t="n"/>
      <c r="AC417" s="33" t="inlineStr">
        <is>
          <t xml:space="preserve">FUENTE: Deviation.csv filas 1854; Item Number original=73-20516-05 (prefijo 73- es CANDIDATO de PCBA, no confirmacion en Common DB); Workflow de origen=Expired; FJZ no validado, revision PCBA/WO no informadas. </t>
        </is>
      </c>
    </row>
    <row r="418">
      <c r="A418" s="43" t="inlineStr">
        <is>
          <t>DA-CTANJZ05398-STBU-73-20247-06</t>
        </is>
      </c>
      <c r="B418" s="43" t="inlineStr">
        <is>
          <t>TUFNELL PARK</t>
        </is>
      </c>
      <c r="C418" s="43" t="n"/>
      <c r="D418" s="43" t="inlineStr">
        <is>
          <t>73-20247-06</t>
        </is>
      </c>
      <c r="E418" s="43" t="inlineStr">
        <is>
          <t>DEV-CTANJZ05398</t>
        </is>
      </c>
      <c r="F418" s="43" t="n"/>
      <c r="G418" s="43" t="inlineStr">
        <is>
          <t>STBU</t>
        </is>
      </c>
      <c r="H418" s="43" t="n"/>
      <c r="I418" s="43" t="n"/>
      <c r="J418" s="43" t="n"/>
      <c r="K418" s="43" t="n"/>
      <c r="L418" s="43" t="n"/>
      <c r="M418" s="43" t="n"/>
      <c r="N418" s="43" t="n"/>
      <c r="O418" s="43" t="n"/>
      <c r="P418" s="43" t="n"/>
      <c r="Q418" s="43" t="inlineStr">
        <is>
          <t>BOARD</t>
        </is>
      </c>
      <c r="R418" s="33" t="inlineStr">
        <is>
          <t>REVISAR D612843: verificar accion documentada, PN/revision y vigencia para la corrida. No autoriza sustitucion ni uso de material.</t>
        </is>
      </c>
      <c r="S418" s="43" t="inlineStr">
        <is>
          <t>INFO</t>
        </is>
      </c>
      <c r="T418" s="33" t="inlineStr">
        <is>
          <t>Validar desviacion aprobada y estado; contrastar PN exacto y revision con Common DB, BOM/AVL, WO y fecha de corrida.</t>
        </is>
      </c>
      <c r="U418" s="33" t="inlineStr">
        <is>
          <t>Documento oficial firmado, autorizacion FJZ, revision/WO de alcance, confirmacion BOM y evidencia de implementacion si aplica.</t>
        </is>
      </c>
      <c r="V418" s="43" t="n"/>
      <c r="W418" s="43" t="n"/>
      <c r="X418" s="43" t="inlineStr">
        <is>
          <t>INFO</t>
        </is>
      </c>
      <c r="Y418" s="43" t="n"/>
      <c r="Z418" s="43" t="inlineStr">
        <is>
          <t>Pending Review</t>
        </is>
      </c>
      <c r="AA418" s="43" t="inlineStr">
        <is>
          <t>N</t>
        </is>
      </c>
      <c r="AB418" s="43" t="n"/>
      <c r="AC418" s="33" t="inlineStr">
        <is>
          <t xml:space="preserve">FUENTE: Deviation.csv filas 229,1562; Item Number original=73-20247-06 (prefijo 73- es CANDIDATO de PCBA, no confirmacion en Common DB); Workflow de origen=FAI Status; FJZ no validado, revision PCBA/WO no informadas. </t>
        </is>
      </c>
    </row>
    <row r="419">
      <c r="A419" s="43" t="inlineStr">
        <is>
          <t>DA-CTANJZ05400-STBU-73-102433-06</t>
        </is>
      </c>
      <c r="B419" s="43" t="n"/>
      <c r="C419" s="43" t="n"/>
      <c r="D419" s="43" t="inlineStr">
        <is>
          <t>73-102433-06</t>
        </is>
      </c>
      <c r="E419" s="43" t="inlineStr">
        <is>
          <t>DEV-CTANJZ05400</t>
        </is>
      </c>
      <c r="F419" s="43" t="n"/>
      <c r="G419" s="43" t="inlineStr">
        <is>
          <t>STBU</t>
        </is>
      </c>
      <c r="H419" s="43" t="n"/>
      <c r="I419" s="43" t="n"/>
      <c r="J419" s="43" t="n"/>
      <c r="K419" s="43" t="n"/>
      <c r="L419" s="43" t="n"/>
      <c r="M419" s="43" t="n"/>
      <c r="N419" s="43" t="n"/>
      <c r="O419" s="43" t="n"/>
      <c r="P419" s="43" t="n"/>
      <c r="Q419" s="43" t="inlineStr">
        <is>
          <t>BOARD</t>
        </is>
      </c>
      <c r="R419" s="33" t="inlineStr">
        <is>
          <t>REVISAR D612658: verificar accion documentada, PN/revision y vigencia para la corrida. No autoriza sustitucion ni uso de material.</t>
        </is>
      </c>
      <c r="S419" s="43" t="inlineStr">
        <is>
          <t>INFO</t>
        </is>
      </c>
      <c r="T419" s="33" t="inlineStr">
        <is>
          <t>Validar desviacion aprobada y estado; contrastar PN exacto y revision con Common DB, BOM/AVL, WO y fecha de corrida.</t>
        </is>
      </c>
      <c r="U419" s="33" t="inlineStr">
        <is>
          <t>Documento oficial firmado, autorizacion FJZ, revision/WO de alcance, confirmacion BOM y evidencia de implementacion si aplica.</t>
        </is>
      </c>
      <c r="V419" s="43" t="n"/>
      <c r="W419" s="43" t="n"/>
      <c r="X419" s="43" t="inlineStr">
        <is>
          <t>INFO</t>
        </is>
      </c>
      <c r="Y419" s="43" t="n"/>
      <c r="Z419" s="43" t="inlineStr">
        <is>
          <t>Pending Review</t>
        </is>
      </c>
      <c r="AA419" s="43" t="inlineStr">
        <is>
          <t>N</t>
        </is>
      </c>
      <c r="AB419" s="43" t="n"/>
      <c r="AC419" s="33" t="inlineStr">
        <is>
          <t xml:space="preserve">FUENTE: Deviation.csv filas 1385; Item Number original=73-102433-06 (prefijo 73- es CANDIDATO de PCBA, no confirmacion en Common DB); Workflow de origen=FAI Status; FJZ no validado, revision PCBA/WO no informadas. </t>
        </is>
      </c>
    </row>
    <row r="420">
      <c r="A420" s="43" t="inlineStr">
        <is>
          <t>DA-CTANJZ05400-STBU-73-102434-06</t>
        </is>
      </c>
      <c r="B420" s="43" t="n"/>
      <c r="C420" s="43" t="n"/>
      <c r="D420" s="43" t="inlineStr">
        <is>
          <t>73-102434-06</t>
        </is>
      </c>
      <c r="E420" s="43" t="inlineStr">
        <is>
          <t>DEV-CTANJZ05400</t>
        </is>
      </c>
      <c r="F420" s="43" t="n"/>
      <c r="G420" s="43" t="inlineStr">
        <is>
          <t>STBU</t>
        </is>
      </c>
      <c r="H420" s="43" t="n"/>
      <c r="I420" s="43" t="n"/>
      <c r="J420" s="43" t="n"/>
      <c r="K420" s="43" t="n"/>
      <c r="L420" s="43" t="n"/>
      <c r="M420" s="43" t="n"/>
      <c r="N420" s="43" t="n"/>
      <c r="O420" s="43" t="n"/>
      <c r="P420" s="43" t="n"/>
      <c r="Q420" s="43" t="inlineStr">
        <is>
          <t>BOARD</t>
        </is>
      </c>
      <c r="R420" s="33" t="inlineStr">
        <is>
          <t>REVISAR D612658: verificar accion documentada, PN/revision y vigencia para la corrida. No autoriza sustitucion ni uso de material.</t>
        </is>
      </c>
      <c r="S420" s="43" t="inlineStr">
        <is>
          <t>INFO</t>
        </is>
      </c>
      <c r="T420" s="33" t="inlineStr">
        <is>
          <t>Validar desviacion aprobada y estado; contrastar PN exacto y revision con Common DB, BOM/AVL, WO y fecha de corrida.</t>
        </is>
      </c>
      <c r="U420" s="33" t="inlineStr">
        <is>
          <t>Documento oficial firmado, autorizacion FJZ, revision/WO de alcance, confirmacion BOM y evidencia de implementacion si aplica.</t>
        </is>
      </c>
      <c r="V420" s="43" t="n"/>
      <c r="W420" s="43" t="n"/>
      <c r="X420" s="43" t="inlineStr">
        <is>
          <t>INFO</t>
        </is>
      </c>
      <c r="Y420" s="43" t="n"/>
      <c r="Z420" s="43" t="inlineStr">
        <is>
          <t>Pending Review</t>
        </is>
      </c>
      <c r="AA420" s="43" t="inlineStr">
        <is>
          <t>N</t>
        </is>
      </c>
      <c r="AB420" s="43" t="n"/>
      <c r="AC420" s="33" t="inlineStr">
        <is>
          <t xml:space="preserve">FUENTE: Deviation.csv filas 1386; Item Number original=73-102434-06 (prefijo 73- es CANDIDATO de PCBA, no confirmacion en Common DB); Workflow de origen=FAI Status; FJZ no validado, revision PCBA/WO no informadas. </t>
        </is>
      </c>
    </row>
    <row r="421">
      <c r="A421" s="43" t="inlineStr">
        <is>
          <t>DA-CTANJZ05400-STBU-73-102435-06</t>
        </is>
      </c>
      <c r="B421" s="43" t="n"/>
      <c r="C421" s="43" t="n"/>
      <c r="D421" s="43" t="inlineStr">
        <is>
          <t>73-102435-06</t>
        </is>
      </c>
      <c r="E421" s="43" t="inlineStr">
        <is>
          <t>DEV-CTANJZ05400</t>
        </is>
      </c>
      <c r="F421" s="43" t="n"/>
      <c r="G421" s="43" t="inlineStr">
        <is>
          <t>STBU</t>
        </is>
      </c>
      <c r="H421" s="43" t="n"/>
      <c r="I421" s="43" t="n"/>
      <c r="J421" s="43" t="n"/>
      <c r="K421" s="43" t="n"/>
      <c r="L421" s="43" t="n"/>
      <c r="M421" s="43" t="n"/>
      <c r="N421" s="43" t="n"/>
      <c r="O421" s="43" t="n"/>
      <c r="P421" s="43" t="n"/>
      <c r="Q421" s="43" t="inlineStr">
        <is>
          <t>BOARD</t>
        </is>
      </c>
      <c r="R421" s="33" t="inlineStr">
        <is>
          <t>REVISAR D612658: verificar accion documentada, PN/revision y vigencia para la corrida. No autoriza sustitucion ni uso de material.</t>
        </is>
      </c>
      <c r="S421" s="43" t="inlineStr">
        <is>
          <t>INFO</t>
        </is>
      </c>
      <c r="T421" s="33" t="inlineStr">
        <is>
          <t>Validar desviacion aprobada y estado; contrastar PN exacto y revision con Common DB, BOM/AVL, WO y fecha de corrida.</t>
        </is>
      </c>
      <c r="U421" s="33" t="inlineStr">
        <is>
          <t>Documento oficial firmado, autorizacion FJZ, revision/WO de alcance, confirmacion BOM y evidencia de implementacion si aplica.</t>
        </is>
      </c>
      <c r="V421" s="43" t="n"/>
      <c r="W421" s="43" t="n"/>
      <c r="X421" s="43" t="inlineStr">
        <is>
          <t>INFO</t>
        </is>
      </c>
      <c r="Y421" s="43" t="n"/>
      <c r="Z421" s="43" t="inlineStr">
        <is>
          <t>Pending Review</t>
        </is>
      </c>
      <c r="AA421" s="43" t="inlineStr">
        <is>
          <t>N</t>
        </is>
      </c>
      <c r="AB421" s="43" t="n"/>
      <c r="AC421" s="33" t="inlineStr">
        <is>
          <t xml:space="preserve">FUENTE: Deviation.csv filas 1387; Item Number original=73-102435-06 (prefijo 73- es CANDIDATO de PCBA, no confirmacion en Common DB); Workflow de origen=FAI Status; FJZ no validado, revision PCBA/WO no informadas. </t>
        </is>
      </c>
    </row>
    <row r="422">
      <c r="A422" s="43" t="inlineStr">
        <is>
          <t>DA-CTANJZ05400-STBU-73-103633-04</t>
        </is>
      </c>
      <c r="B422" s="43" t="n"/>
      <c r="C422" s="43" t="n"/>
      <c r="D422" s="43" t="inlineStr">
        <is>
          <t>73-103633-04</t>
        </is>
      </c>
      <c r="E422" s="43" t="inlineStr">
        <is>
          <t>DEV-CTANJZ05400</t>
        </is>
      </c>
      <c r="F422" s="43" t="n"/>
      <c r="G422" s="43" t="inlineStr">
        <is>
          <t>STBU</t>
        </is>
      </c>
      <c r="H422" s="43" t="n"/>
      <c r="I422" s="43" t="n"/>
      <c r="J422" s="43" t="n"/>
      <c r="K422" s="43" t="n"/>
      <c r="L422" s="43" t="n"/>
      <c r="M422" s="43" t="n"/>
      <c r="N422" s="43" t="n"/>
      <c r="O422" s="43" t="n"/>
      <c r="P422" s="43" t="n"/>
      <c r="Q422" s="43" t="inlineStr">
        <is>
          <t>BOARD</t>
        </is>
      </c>
      <c r="R422" s="33" t="inlineStr">
        <is>
          <t>REVISAR D612658: verificar accion documentada, PN/revision y vigencia para la corrida. No autoriza sustitucion ni uso de material.</t>
        </is>
      </c>
      <c r="S422" s="43" t="inlineStr">
        <is>
          <t>INFO</t>
        </is>
      </c>
      <c r="T422" s="33" t="inlineStr">
        <is>
          <t>Validar desviacion aprobada y estado; contrastar PN exacto y revision con Common DB, BOM/AVL, WO y fecha de corrida.</t>
        </is>
      </c>
      <c r="U422" s="33" t="inlineStr">
        <is>
          <t>Documento oficial firmado, autorizacion FJZ, revision/WO de alcance, confirmacion BOM y evidencia de implementacion si aplica.</t>
        </is>
      </c>
      <c r="V422" s="43" t="n"/>
      <c r="W422" s="43" t="n"/>
      <c r="X422" s="43" t="inlineStr">
        <is>
          <t>INFO</t>
        </is>
      </c>
      <c r="Y422" s="43" t="n"/>
      <c r="Z422" s="43" t="inlineStr">
        <is>
          <t>Pending Review</t>
        </is>
      </c>
      <c r="AA422" s="43" t="inlineStr">
        <is>
          <t>N</t>
        </is>
      </c>
      <c r="AB422" s="43" t="n"/>
      <c r="AC422" s="33" t="inlineStr">
        <is>
          <t xml:space="preserve">FUENTE: Deviation.csv filas 1388; Item Number original=73-103633-04 (prefijo 73- es CANDIDATO de PCBA, no confirmacion en Common DB); Workflow de origen=FAI Status; FJZ no validado, revision PCBA/WO no informadas. </t>
        </is>
      </c>
    </row>
    <row r="423">
      <c r="A423" s="43" t="inlineStr">
        <is>
          <t>DA-CTANJZ05403-STBU-73-20247-06</t>
        </is>
      </c>
      <c r="B423" s="43" t="inlineStr">
        <is>
          <t>TUFNELL PARK</t>
        </is>
      </c>
      <c r="C423" s="43" t="n"/>
      <c r="D423" s="43" t="inlineStr">
        <is>
          <t>73-20247-06</t>
        </is>
      </c>
      <c r="E423" s="43" t="inlineStr">
        <is>
          <t>DEV-CTANJZ05403</t>
        </is>
      </c>
      <c r="F423" s="43" t="n"/>
      <c r="G423" s="43" t="inlineStr">
        <is>
          <t>STBU</t>
        </is>
      </c>
      <c r="H423" s="43" t="n"/>
      <c r="I423" s="43" t="n"/>
      <c r="J423" s="43" t="n"/>
      <c r="K423" s="43" t="n"/>
      <c r="L423" s="43" t="n"/>
      <c r="M423" s="43" t="n"/>
      <c r="N423" s="43" t="n"/>
      <c r="O423" s="43" t="n"/>
      <c r="P423" s="43" t="n"/>
      <c r="Q423" s="43" t="inlineStr">
        <is>
          <t>BOARD</t>
        </is>
      </c>
      <c r="R423" s="33" t="inlineStr">
        <is>
          <t>REVISAR D612842: verificar accion documentada, PN/revision y vigencia para la corrida. No autoriza sustitucion ni uso de material.</t>
        </is>
      </c>
      <c r="S423" s="43" t="inlineStr">
        <is>
          <t>INFO</t>
        </is>
      </c>
      <c r="T423" s="33" t="inlineStr">
        <is>
          <t>Validar desviacion aprobada y estado; contrastar PN exacto y revision con Common DB, BOM/AVL, WO y fecha de corrida.</t>
        </is>
      </c>
      <c r="U423" s="33" t="inlineStr">
        <is>
          <t>Documento oficial firmado, autorizacion FJZ, revision/WO de alcance, confirmacion BOM y evidencia de implementacion si aplica.</t>
        </is>
      </c>
      <c r="V423" s="43" t="n"/>
      <c r="W423" s="43" t="n"/>
      <c r="X423" s="43" t="inlineStr">
        <is>
          <t>INFO</t>
        </is>
      </c>
      <c r="Y423" s="43" t="n"/>
      <c r="Z423" s="43" t="inlineStr">
        <is>
          <t>Pending Review</t>
        </is>
      </c>
      <c r="AA423" s="43" t="inlineStr">
        <is>
          <t>N</t>
        </is>
      </c>
      <c r="AB423" s="43" t="n"/>
      <c r="AC423" s="33" t="inlineStr">
        <is>
          <t xml:space="preserve">FUENTE: Deviation.csv filas 308,1579; Item Number original=73-20247-06 (prefijo 73- es CANDIDATO de PCBA, no confirmacion en Common DB); Workflow de origen=FAI Status; FJZ no validado, revision PCBA/WO no informadas. </t>
        </is>
      </c>
    </row>
    <row r="424">
      <c r="A424" s="43" t="inlineStr">
        <is>
          <t>DA-CTANJZ05406-SRGBU-73-14506-08</t>
        </is>
      </c>
      <c r="B424" s="43" t="n"/>
      <c r="C424" s="43" t="n"/>
      <c r="D424" s="43" t="inlineStr">
        <is>
          <t>73-14506-08</t>
        </is>
      </c>
      <c r="E424" s="43" t="inlineStr">
        <is>
          <t>DEV-CTANJZ05406</t>
        </is>
      </c>
      <c r="F424" s="43" t="n"/>
      <c r="G424" s="43" t="inlineStr">
        <is>
          <t>SRGBU</t>
        </is>
      </c>
      <c r="H424" s="43" t="n"/>
      <c r="I424" s="43" t="n"/>
      <c r="J424" s="43" t="n"/>
      <c r="K424" s="43" t="n"/>
      <c r="L424" s="43" t="n"/>
      <c r="M424" s="43" t="n"/>
      <c r="N424" s="43" t="n"/>
      <c r="O424" s="43" t="n"/>
      <c r="P424" s="43" t="n"/>
      <c r="Q424" s="43" t="inlineStr">
        <is>
          <t>BOARD</t>
        </is>
      </c>
      <c r="R424" s="33" t="inlineStr">
        <is>
          <t>REVISAR D612801: verificar accion documentada, PN/revision y vigencia para la corrida. No autoriza sustitucion ni uso de material.</t>
        </is>
      </c>
      <c r="S424" s="43" t="inlineStr">
        <is>
          <t>INFO</t>
        </is>
      </c>
      <c r="T424" s="33" t="inlineStr">
        <is>
          <t>Validar desviacion aprobada y estado; contrastar PN exacto y revision con Common DB, BOM/AVL, WO y fecha de corrida.</t>
        </is>
      </c>
      <c r="U424" s="33" t="inlineStr">
        <is>
          <t>Documento oficial firmado, autorizacion FJZ, revision/WO de alcance, confirmacion BOM y evidencia de implementacion si aplica.</t>
        </is>
      </c>
      <c r="V424" s="43" t="n"/>
      <c r="W424" s="43" t="n"/>
      <c r="X424" s="43" t="inlineStr">
        <is>
          <t>INFO</t>
        </is>
      </c>
      <c r="Y424" s="43" t="n"/>
      <c r="Z424" s="43" t="inlineStr">
        <is>
          <t>Pending Review</t>
        </is>
      </c>
      <c r="AA424" s="43" t="inlineStr">
        <is>
          <t>N</t>
        </is>
      </c>
      <c r="AB424" s="43" t="n"/>
      <c r="AC424" s="33" t="inlineStr">
        <is>
          <t xml:space="preserve">FUENTE: Deviation.csv filas 1377; Item Number original=73-14506-08 (prefijo 73- es CANDIDATO de PCBA, no confirmacion en Common DB); Workflow de origen=FAI Status; FJZ no validado, revision PCBA/WO no informadas. </t>
        </is>
      </c>
    </row>
    <row r="425">
      <c r="A425" s="43" t="inlineStr">
        <is>
          <t>DA-CTANJZ05408-CVEBU-73-103720-04</t>
        </is>
      </c>
      <c r="B425" s="43" t="n"/>
      <c r="C425" s="43" t="n"/>
      <c r="D425" s="43" t="inlineStr">
        <is>
          <t>73-103720-04</t>
        </is>
      </c>
      <c r="E425" s="43" t="inlineStr">
        <is>
          <t>DEV-CTANJZ05408</t>
        </is>
      </c>
      <c r="F425" s="43" t="n"/>
      <c r="G425" s="43" t="inlineStr">
        <is>
          <t>CVEBU</t>
        </is>
      </c>
      <c r="H425" s="43" t="n"/>
      <c r="I425" s="43" t="n"/>
      <c r="J425" s="43" t="n"/>
      <c r="K425" s="43" t="n"/>
      <c r="L425" s="43" t="n"/>
      <c r="M425" s="43" t="n"/>
      <c r="N425" s="43" t="n"/>
      <c r="O425" s="43" t="n"/>
      <c r="P425" s="43" t="n"/>
      <c r="Q425" s="43" t="inlineStr">
        <is>
          <t>BOARD</t>
        </is>
      </c>
      <c r="R425" s="33" t="inlineStr">
        <is>
          <t>D613038: validar sustitucion al NIVEL MODULO 800-117978-03 &gt; 800-118978-03 en ensambles 68-104853-01/68-104854-01. NO sustituir 15-110522-01 por 15-110522-02 individualmente.</t>
        </is>
      </c>
      <c r="S425" s="43" t="inlineStr">
        <is>
          <t>INFO</t>
        </is>
      </c>
      <c r="T425" s="33" t="inlineStr">
        <is>
          <t>Verificar ensamblaje/modulo completo, BOM y memoria LPDDR5 en sus PN especificos; confirmar documento firmado y WO.</t>
        </is>
      </c>
      <c r="U425" s="33" t="inlineStr">
        <is>
          <t>Documento oficial firmado, autorizacion FJZ, revision/WO de alcance, confirmacion BOM y evidencia de implementacion si aplica.</t>
        </is>
      </c>
      <c r="V425" s="43" t="n"/>
      <c r="W425" s="43" t="n"/>
      <c r="X425" s="43" t="inlineStr">
        <is>
          <t>INFO</t>
        </is>
      </c>
      <c r="Y425" s="43" t="n"/>
      <c r="Z425" s="43" t="inlineStr">
        <is>
          <t>Pending Review</t>
        </is>
      </c>
      <c r="AA425" s="43" t="inlineStr">
        <is>
          <t>N</t>
        </is>
      </c>
      <c r="AB425" s="43" t="n"/>
      <c r="AC425" s="33" t="inlineStr">
        <is>
          <t xml:space="preserve">FUENTE: Deviation.csv filas 1365; Item Number original=73-103720-04 (prefijo 73- es CANDIDATO de PCBA, no confirmacion en Common DB); Workflow de origen=FAI Status; FJZ no validado, revision PCBA/WO no informadas. </t>
        </is>
      </c>
    </row>
    <row r="426">
      <c r="A426" s="43" t="inlineStr">
        <is>
          <t>DA-CTANJZ05408-CVEBU-73-103820-04</t>
        </is>
      </c>
      <c r="B426" s="43" t="n"/>
      <c r="C426" s="43" t="n"/>
      <c r="D426" s="43" t="inlineStr">
        <is>
          <t>73-103820-04</t>
        </is>
      </c>
      <c r="E426" s="43" t="inlineStr">
        <is>
          <t>DEV-CTANJZ05408</t>
        </is>
      </c>
      <c r="F426" s="43" t="n"/>
      <c r="G426" s="43" t="inlineStr">
        <is>
          <t>CVEBU</t>
        </is>
      </c>
      <c r="H426" s="43" t="n"/>
      <c r="I426" s="43" t="n"/>
      <c r="J426" s="43" t="n"/>
      <c r="K426" s="43" t="n"/>
      <c r="L426" s="43" t="n"/>
      <c r="M426" s="43" t="n"/>
      <c r="N426" s="43" t="n"/>
      <c r="O426" s="43" t="n"/>
      <c r="P426" s="43" t="n"/>
      <c r="Q426" s="43" t="inlineStr">
        <is>
          <t>BOARD</t>
        </is>
      </c>
      <c r="R426" s="33" t="inlineStr">
        <is>
          <t>D613038: validar sustitucion al NIVEL MODULO 800-117978-03 &gt; 800-118978-03 en ensambles 68-104853-01/68-104854-01. NO sustituir 15-110522-01 por 15-110522-02 individualmente.</t>
        </is>
      </c>
      <c r="S426" s="43" t="inlineStr">
        <is>
          <t>INFO</t>
        </is>
      </c>
      <c r="T426" s="33" t="inlineStr">
        <is>
          <t>Verificar ensamblaje/modulo completo, BOM y memoria LPDDR5 en sus PN especificos; confirmar documento firmado y WO.</t>
        </is>
      </c>
      <c r="U426" s="33" t="inlineStr">
        <is>
          <t>Documento oficial firmado, autorizacion FJZ, revision/WO de alcance, confirmacion BOM y evidencia de implementacion si aplica.</t>
        </is>
      </c>
      <c r="V426" s="43" t="n"/>
      <c r="W426" s="43" t="n"/>
      <c r="X426" s="43" t="inlineStr">
        <is>
          <t>INFO</t>
        </is>
      </c>
      <c r="Y426" s="43" t="n"/>
      <c r="Z426" s="43" t="inlineStr">
        <is>
          <t>Pending Review</t>
        </is>
      </c>
      <c r="AA426" s="43" t="inlineStr">
        <is>
          <t>N</t>
        </is>
      </c>
      <c r="AB426" s="43" t="n"/>
      <c r="AC426" s="33" t="inlineStr">
        <is>
          <t xml:space="preserve">FUENTE: Deviation.csv filas 1366; Item Number original=73-103820-04 (prefijo 73- es CANDIDATO de PCBA, no confirmacion en Common DB); Workflow de origen=FAI Status; FJZ no validado, revision PCBA/WO no informadas. </t>
        </is>
      </c>
    </row>
    <row r="427">
      <c r="A427" s="43" t="inlineStr">
        <is>
          <t>DA-CTANJZ05409-CVEBU-73-103698-06</t>
        </is>
      </c>
      <c r="B427" s="43" t="n"/>
      <c r="C427" s="43" t="n"/>
      <c r="D427" s="43" t="inlineStr">
        <is>
          <t>73-103698-06</t>
        </is>
      </c>
      <c r="E427" s="43" t="inlineStr">
        <is>
          <t>DEV-CTANJZ05409</t>
        </is>
      </c>
      <c r="F427" s="43" t="n"/>
      <c r="G427" s="43" t="inlineStr">
        <is>
          <t>CVEBU</t>
        </is>
      </c>
      <c r="H427" s="43" t="n"/>
      <c r="I427" s="43" t="n"/>
      <c r="J427" s="43" t="n"/>
      <c r="K427" s="43" t="n"/>
      <c r="L427" s="43" t="n"/>
      <c r="M427" s="43" t="n"/>
      <c r="N427" s="43" t="n"/>
      <c r="O427" s="43" t="n"/>
      <c r="P427" s="43" t="n"/>
      <c r="Q427" s="43" t="inlineStr">
        <is>
          <t>BOARD</t>
        </is>
      </c>
      <c r="R427" s="33" t="inlineStr">
        <is>
          <t>REVISAR D613059: verificar accion documentada, PN/revision y vigencia para la corrida. No autoriza sustitucion ni uso de material.</t>
        </is>
      </c>
      <c r="S427" s="43" t="inlineStr">
        <is>
          <t>INFO</t>
        </is>
      </c>
      <c r="T427" s="33" t="inlineStr">
        <is>
          <t>Validar desviacion aprobada y estado; contrastar PN exacto y revision con Common DB, BOM/AVL, WO y fecha de corrida.</t>
        </is>
      </c>
      <c r="U427" s="33" t="inlineStr">
        <is>
          <t>Documento oficial firmado, autorizacion FJZ, revision/WO de alcance, confirmacion BOM y evidencia de implementacion si aplica.</t>
        </is>
      </c>
      <c r="V427" s="43" t="n"/>
      <c r="W427" s="43" t="n"/>
      <c r="X427" s="43" t="inlineStr">
        <is>
          <t>INFO</t>
        </is>
      </c>
      <c r="Y427" s="43" t="n"/>
      <c r="Z427" s="43" t="inlineStr">
        <is>
          <t>Pending Review</t>
        </is>
      </c>
      <c r="AA427" s="43" t="inlineStr">
        <is>
          <t>N</t>
        </is>
      </c>
      <c r="AB427" s="43" t="n"/>
      <c r="AC427" s="33" t="inlineStr">
        <is>
          <t xml:space="preserve">FUENTE: Deviation.csv filas 636; Item Number original=73-103698-06 (prefijo 73- es CANDIDATO de PCBA, no confirmacion en Common DB); Workflow de origen=FAI Status; FJZ no validado, revision PCBA/WO no informadas. </t>
        </is>
      </c>
    </row>
    <row r="428">
      <c r="A428" s="43" t="inlineStr">
        <is>
          <t>DA-CTANJZ05409-CVEBU-73-103940-06</t>
        </is>
      </c>
      <c r="B428" s="43" t="n"/>
      <c r="C428" s="43" t="n"/>
      <c r="D428" s="43" t="inlineStr">
        <is>
          <t>73-103940-06</t>
        </is>
      </c>
      <c r="E428" s="43" t="inlineStr">
        <is>
          <t>DEV-CTANJZ05409</t>
        </is>
      </c>
      <c r="F428" s="43" t="n"/>
      <c r="G428" s="43" t="inlineStr">
        <is>
          <t>CVEBU</t>
        </is>
      </c>
      <c r="H428" s="43" t="n"/>
      <c r="I428" s="43" t="n"/>
      <c r="J428" s="43" t="n"/>
      <c r="K428" s="43" t="n"/>
      <c r="L428" s="43" t="n"/>
      <c r="M428" s="43" t="n"/>
      <c r="N428" s="43" t="n"/>
      <c r="O428" s="43" t="n"/>
      <c r="P428" s="43" t="n"/>
      <c r="Q428" s="43" t="inlineStr">
        <is>
          <t>BOARD</t>
        </is>
      </c>
      <c r="R428" s="33" t="inlineStr">
        <is>
          <t>REVISAR D613059: verificar accion documentada, PN/revision y vigencia para la corrida. No autoriza sustitucion ni uso de material.</t>
        </is>
      </c>
      <c r="S428" s="43" t="inlineStr">
        <is>
          <t>INFO</t>
        </is>
      </c>
      <c r="T428" s="33" t="inlineStr">
        <is>
          <t>Validar desviacion aprobada y estado; contrastar PN exacto y revision con Common DB, BOM/AVL, WO y fecha de corrida.</t>
        </is>
      </c>
      <c r="U428" s="33" t="inlineStr">
        <is>
          <t>Documento oficial firmado, autorizacion FJZ, revision/WO de alcance, confirmacion BOM y evidencia de implementacion si aplica.</t>
        </is>
      </c>
      <c r="V428" s="43" t="n"/>
      <c r="W428" s="43" t="n"/>
      <c r="X428" s="43" t="inlineStr">
        <is>
          <t>INFO</t>
        </is>
      </c>
      <c r="Y428" s="43" t="n"/>
      <c r="Z428" s="43" t="inlineStr">
        <is>
          <t>Pending Review</t>
        </is>
      </c>
      <c r="AA428" s="43" t="inlineStr">
        <is>
          <t>N</t>
        </is>
      </c>
      <c r="AB428" s="43" t="n"/>
      <c r="AC428" s="33" t="inlineStr">
        <is>
          <t xml:space="preserve">FUENTE: Deviation.csv filas 637; Item Number original=73-103940-06 (prefijo 73- es CANDIDATO de PCBA, no confirmacion en Common DB); Workflow de origen=FAI Status; FJZ no validado, revision PCBA/WO no informadas. </t>
        </is>
      </c>
    </row>
    <row r="429">
      <c r="A429" s="43" t="inlineStr">
        <is>
          <t>DA-CTANJZ05410-STBU-73-20247-06</t>
        </is>
      </c>
      <c r="B429" s="43" t="inlineStr">
        <is>
          <t>TUFNELL PARK</t>
        </is>
      </c>
      <c r="C429" s="43" t="n"/>
      <c r="D429" s="43" t="inlineStr">
        <is>
          <t>73-20247-06</t>
        </is>
      </c>
      <c r="E429" s="43" t="inlineStr">
        <is>
          <t>DEV-CTANJZ05410</t>
        </is>
      </c>
      <c r="F429" s="43" t="n"/>
      <c r="G429" s="43" t="inlineStr">
        <is>
          <t>STBU</t>
        </is>
      </c>
      <c r="H429" s="43" t="n"/>
      <c r="I429" s="43" t="n"/>
      <c r="J429" s="43" t="n"/>
      <c r="K429" s="43" t="n"/>
      <c r="L429" s="43" t="n"/>
      <c r="M429" s="43" t="n"/>
      <c r="N429" s="43" t="n"/>
      <c r="O429" s="43" t="n"/>
      <c r="P429" s="43" t="n"/>
      <c r="Q429" s="43" t="inlineStr">
        <is>
          <t>BOARD</t>
        </is>
      </c>
      <c r="R429" s="33" t="inlineStr">
        <is>
          <t>REVISAR D612424: verificar accion documentada, PN/revision y vigencia para la corrida. No autoriza sustitucion ni uso de material.</t>
        </is>
      </c>
      <c r="S429" s="43" t="inlineStr">
        <is>
          <t>INFO</t>
        </is>
      </c>
      <c r="T429" s="33" t="inlineStr">
        <is>
          <t>Validar desviacion aprobada y estado; contrastar PN exacto y revision con Common DB, BOM/AVL, WO y fecha de corrida.</t>
        </is>
      </c>
      <c r="U429" s="33" t="inlineStr">
        <is>
          <t>Documento oficial firmado, autorizacion FJZ, revision/WO de alcance, confirmacion BOM y evidencia de implementacion si aplica.</t>
        </is>
      </c>
      <c r="V429" s="43" t="n"/>
      <c r="W429" s="43" t="n"/>
      <c r="X429" s="43" t="inlineStr">
        <is>
          <t>INFO</t>
        </is>
      </c>
      <c r="Y429" s="43" t="n"/>
      <c r="Z429" s="43" t="inlineStr">
        <is>
          <t>Pending Review</t>
        </is>
      </c>
      <c r="AA429" s="43" t="inlineStr">
        <is>
          <t>N</t>
        </is>
      </c>
      <c r="AB429" s="43" t="n"/>
      <c r="AC429" s="33" t="inlineStr">
        <is>
          <t xml:space="preserve">FUENTE: Deviation.csv filas 298; Item Number original=73-20247-06 (prefijo 73- es CANDIDATO de PCBA, no confirmacion en Common DB); Workflow de origen=FAI Status; FJZ no validado, revision PCBA/WO no informadas. </t>
        </is>
      </c>
    </row>
    <row r="430">
      <c r="A430" s="43" t="inlineStr">
        <is>
          <t>DA-CTANJZ05413-CRBU-73-20176-06</t>
        </is>
      </c>
      <c r="B430" s="43" t="n"/>
      <c r="C430" s="43" t="n"/>
      <c r="D430" s="43" t="inlineStr">
        <is>
          <t>73-20176-06</t>
        </is>
      </c>
      <c r="E430" s="43" t="inlineStr">
        <is>
          <t>DEV-CTANJZ05413</t>
        </is>
      </c>
      <c r="F430" s="43" t="n"/>
      <c r="G430" s="43" t="inlineStr">
        <is>
          <t>CRBU</t>
        </is>
      </c>
      <c r="H430" s="43" t="n"/>
      <c r="I430" s="43" t="n"/>
      <c r="J430" s="43" t="n"/>
      <c r="K430" s="43" t="n"/>
      <c r="L430" s="43" t="n"/>
      <c r="M430" s="43" t="n"/>
      <c r="N430" s="43" t="n"/>
      <c r="O430" s="43" t="n"/>
      <c r="P430" s="43" t="n"/>
      <c r="Q430" s="43" t="inlineStr">
        <is>
          <t>BOARD</t>
        </is>
      </c>
      <c r="R430" s="33" t="inlineStr">
        <is>
          <t>REVISAR D613063: verificar accion documentada, PN/revision y vigencia para la corrida. No autoriza sustitucion ni uso de material.</t>
        </is>
      </c>
      <c r="S430" s="43" t="inlineStr">
        <is>
          <t>INFO</t>
        </is>
      </c>
      <c r="T430" s="33" t="inlineStr">
        <is>
          <t>Validar desviacion aprobada y estado; contrastar PN exacto y revision con Common DB, BOM/AVL, WO y fecha de corrida.</t>
        </is>
      </c>
      <c r="U430" s="33" t="inlineStr">
        <is>
          <t>Documento oficial firmado, autorizacion FJZ, revision/WO de alcance, confirmacion BOM y evidencia de implementacion si aplica.</t>
        </is>
      </c>
      <c r="V430" s="43" t="n"/>
      <c r="W430" s="43" t="n"/>
      <c r="X430" s="43" t="inlineStr">
        <is>
          <t>INFO</t>
        </is>
      </c>
      <c r="Y430" s="43" t="n"/>
      <c r="Z430" s="43" t="inlineStr">
        <is>
          <t>Pending Review</t>
        </is>
      </c>
      <c r="AA430" s="43" t="inlineStr">
        <is>
          <t>N</t>
        </is>
      </c>
      <c r="AB430" s="43" t="n"/>
      <c r="AC430" s="33" t="inlineStr">
        <is>
          <t xml:space="preserve">FUENTE: Deviation.csv filas 625; Item Number original=73-20176-06 (prefijo 73- es CANDIDATO de PCBA, no confirmacion en Common DB); Workflow de origen=FAI Status; FJZ no validado, revision PCBA/WO no informadas. </t>
        </is>
      </c>
    </row>
    <row r="431">
      <c r="A431" s="43" t="inlineStr">
        <is>
          <t>DA-CTANJZ05413-CRBU-73-20193-09</t>
        </is>
      </c>
      <c r="B431" s="43" t="n"/>
      <c r="C431" s="43" t="n"/>
      <c r="D431" s="43" t="inlineStr">
        <is>
          <t>73-20193-09</t>
        </is>
      </c>
      <c r="E431" s="43" t="inlineStr">
        <is>
          <t>DEV-CTANJZ05413</t>
        </is>
      </c>
      <c r="F431" s="43" t="n"/>
      <c r="G431" s="43" t="inlineStr">
        <is>
          <t>CRBU</t>
        </is>
      </c>
      <c r="H431" s="43" t="n"/>
      <c r="I431" s="43" t="n"/>
      <c r="J431" s="43" t="n"/>
      <c r="K431" s="43" t="n"/>
      <c r="L431" s="43" t="n"/>
      <c r="M431" s="43" t="n"/>
      <c r="N431" s="43" t="n"/>
      <c r="O431" s="43" t="n"/>
      <c r="P431" s="43" t="n"/>
      <c r="Q431" s="43" t="inlineStr">
        <is>
          <t>BOARD</t>
        </is>
      </c>
      <c r="R431" s="33" t="inlineStr">
        <is>
          <t>REVISAR D613063: verificar accion documentada, PN/revision y vigencia para la corrida. No autoriza sustitucion ni uso de material.</t>
        </is>
      </c>
      <c r="S431" s="43" t="inlineStr">
        <is>
          <t>INFO</t>
        </is>
      </c>
      <c r="T431" s="33" t="inlineStr">
        <is>
          <t>Validar desviacion aprobada y estado; contrastar PN exacto y revision con Common DB, BOM/AVL, WO y fecha de corrida.</t>
        </is>
      </c>
      <c r="U431" s="33" t="inlineStr">
        <is>
          <t>Documento oficial firmado, autorizacion FJZ, revision/WO de alcance, confirmacion BOM y evidencia de implementacion si aplica.</t>
        </is>
      </c>
      <c r="V431" s="43" t="n"/>
      <c r="W431" s="43" t="n"/>
      <c r="X431" s="43" t="inlineStr">
        <is>
          <t>INFO</t>
        </is>
      </c>
      <c r="Y431" s="43" t="n"/>
      <c r="Z431" s="43" t="inlineStr">
        <is>
          <t>Pending Review</t>
        </is>
      </c>
      <c r="AA431" s="43" t="inlineStr">
        <is>
          <t>N</t>
        </is>
      </c>
      <c r="AB431" s="43" t="n"/>
      <c r="AC431" s="33" t="inlineStr">
        <is>
          <t xml:space="preserve">FUENTE: Deviation.csv filas 626; Item Number original=73-20193-09 (prefijo 73- es CANDIDATO de PCBA, no confirmacion en Common DB); Workflow de origen=FAI Status; FJZ no validado, revision PCBA/WO no informadas. </t>
        </is>
      </c>
    </row>
    <row r="432">
      <c r="A432" s="43" t="inlineStr">
        <is>
          <t>DA-CTANJZ05413-CRBU-73-20513-06</t>
        </is>
      </c>
      <c r="B432" s="43" t="n"/>
      <c r="C432" s="43" t="n"/>
      <c r="D432" s="43" t="inlineStr">
        <is>
          <t>73-20513-06</t>
        </is>
      </c>
      <c r="E432" s="43" t="inlineStr">
        <is>
          <t>DEV-CTANJZ05413</t>
        </is>
      </c>
      <c r="F432" s="43" t="n"/>
      <c r="G432" s="43" t="inlineStr">
        <is>
          <t>CRBU</t>
        </is>
      </c>
      <c r="H432" s="43" t="n"/>
      <c r="I432" s="43" t="n"/>
      <c r="J432" s="43" t="n"/>
      <c r="K432" s="43" t="n"/>
      <c r="L432" s="43" t="n"/>
      <c r="M432" s="43" t="n"/>
      <c r="N432" s="43" t="n"/>
      <c r="O432" s="43" t="n"/>
      <c r="P432" s="43" t="n"/>
      <c r="Q432" s="43" t="inlineStr">
        <is>
          <t>BOARD</t>
        </is>
      </c>
      <c r="R432" s="33" t="inlineStr">
        <is>
          <t>REVISAR D613063: verificar accion documentada, PN/revision y vigencia para la corrida. No autoriza sustitucion ni uso de material.</t>
        </is>
      </c>
      <c r="S432" s="43" t="inlineStr">
        <is>
          <t>INFO</t>
        </is>
      </c>
      <c r="T432" s="33" t="inlineStr">
        <is>
          <t>Validar desviacion aprobada y estado; contrastar PN exacto y revision con Common DB, BOM/AVL, WO y fecha de corrida.</t>
        </is>
      </c>
      <c r="U432" s="33" t="inlineStr">
        <is>
          <t>Documento oficial firmado, autorizacion FJZ, revision/WO de alcance, confirmacion BOM y evidencia de implementacion si aplica.</t>
        </is>
      </c>
      <c r="V432" s="43" t="n"/>
      <c r="W432" s="43" t="n"/>
      <c r="X432" s="43" t="inlineStr">
        <is>
          <t>INFO</t>
        </is>
      </c>
      <c r="Y432" s="43" t="n"/>
      <c r="Z432" s="43" t="inlineStr">
        <is>
          <t>Pending Review</t>
        </is>
      </c>
      <c r="AA432" s="43" t="inlineStr">
        <is>
          <t>N</t>
        </is>
      </c>
      <c r="AB432" s="43" t="n"/>
      <c r="AC432" s="33" t="inlineStr">
        <is>
          <t xml:space="preserve">FUENTE: Deviation.csv filas 627; Item Number original=73-20513-06 (prefijo 73- es CANDIDATO de PCBA, no confirmacion en Common DB); Workflow de origen=FAI Status; FJZ no validado, revision PCBA/WO no informadas. </t>
        </is>
      </c>
    </row>
    <row r="433">
      <c r="A433" s="43" t="inlineStr">
        <is>
          <t>DA-CTANJZ05413-CRBU-73-21144-07</t>
        </is>
      </c>
      <c r="B433" s="43" t="n"/>
      <c r="C433" s="43" t="n"/>
      <c r="D433" s="43" t="inlineStr">
        <is>
          <t>73-21144-07</t>
        </is>
      </c>
      <c r="E433" s="43" t="inlineStr">
        <is>
          <t>DEV-CTANJZ05413</t>
        </is>
      </c>
      <c r="F433" s="43" t="n"/>
      <c r="G433" s="43" t="inlineStr">
        <is>
          <t>CRBU</t>
        </is>
      </c>
      <c r="H433" s="43" t="n"/>
      <c r="I433" s="43" t="n"/>
      <c r="J433" s="43" t="n"/>
      <c r="K433" s="43" t="n"/>
      <c r="L433" s="43" t="n"/>
      <c r="M433" s="43" t="n"/>
      <c r="N433" s="43" t="n"/>
      <c r="O433" s="43" t="n"/>
      <c r="P433" s="43" t="n"/>
      <c r="Q433" s="43" t="inlineStr">
        <is>
          <t>BOARD</t>
        </is>
      </c>
      <c r="R433" s="33" t="inlineStr">
        <is>
          <t>REVISAR D613063: verificar accion documentada, PN/revision y vigencia para la corrida. No autoriza sustitucion ni uso de material.</t>
        </is>
      </c>
      <c r="S433" s="43" t="inlineStr">
        <is>
          <t>INFO</t>
        </is>
      </c>
      <c r="T433" s="33" t="inlineStr">
        <is>
          <t>Validar desviacion aprobada y estado; contrastar PN exacto y revision con Common DB, BOM/AVL, WO y fecha de corrida.</t>
        </is>
      </c>
      <c r="U433" s="33" t="inlineStr">
        <is>
          <t>Documento oficial firmado, autorizacion FJZ, revision/WO de alcance, confirmacion BOM y evidencia de implementacion si aplica.</t>
        </is>
      </c>
      <c r="V433" s="43" t="n"/>
      <c r="W433" s="43" t="n"/>
      <c r="X433" s="43" t="inlineStr">
        <is>
          <t>INFO</t>
        </is>
      </c>
      <c r="Y433" s="43" t="n"/>
      <c r="Z433" s="43" t="inlineStr">
        <is>
          <t>Pending Review</t>
        </is>
      </c>
      <c r="AA433" s="43" t="inlineStr">
        <is>
          <t>N</t>
        </is>
      </c>
      <c r="AB433" s="43" t="n"/>
      <c r="AC433" s="33" t="inlineStr">
        <is>
          <t xml:space="preserve">FUENTE: Deviation.csv filas 628; Item Number original=73-21144-07 (prefijo 73- es CANDIDATO de PCBA, no confirmacion en Common DB); Workflow de origen=FAI Status; FJZ no validado, revision PCBA/WO no informadas. </t>
        </is>
      </c>
    </row>
    <row r="434">
      <c r="A434" s="43" t="inlineStr">
        <is>
          <t>DA-CTANJZ05413-CRBU-73-21146-12</t>
        </is>
      </c>
      <c r="B434" s="43" t="n"/>
      <c r="C434" s="43" t="n"/>
      <c r="D434" s="43" t="inlineStr">
        <is>
          <t>73-21146-12</t>
        </is>
      </c>
      <c r="E434" s="43" t="inlineStr">
        <is>
          <t>DEV-CTANJZ05413</t>
        </is>
      </c>
      <c r="F434" s="43" t="n"/>
      <c r="G434" s="43" t="inlineStr">
        <is>
          <t>CRBU</t>
        </is>
      </c>
      <c r="H434" s="43" t="n"/>
      <c r="I434" s="43" t="n"/>
      <c r="J434" s="43" t="n"/>
      <c r="K434" s="43" t="n"/>
      <c r="L434" s="43" t="n"/>
      <c r="M434" s="43" t="n"/>
      <c r="N434" s="43" t="n"/>
      <c r="O434" s="43" t="n"/>
      <c r="P434" s="43" t="n"/>
      <c r="Q434" s="43" t="inlineStr">
        <is>
          <t>BOARD</t>
        </is>
      </c>
      <c r="R434" s="33" t="inlineStr">
        <is>
          <t>REVISAR D613063: verificar accion documentada, PN/revision y vigencia para la corrida. No autoriza sustitucion ni uso de material.</t>
        </is>
      </c>
      <c r="S434" s="43" t="inlineStr">
        <is>
          <t>INFO</t>
        </is>
      </c>
      <c r="T434" s="33" t="inlineStr">
        <is>
          <t>Validar desviacion aprobada y estado; contrastar PN exacto y revision con Common DB, BOM/AVL, WO y fecha de corrida.</t>
        </is>
      </c>
      <c r="U434" s="33" t="inlineStr">
        <is>
          <t>Documento oficial firmado, autorizacion FJZ, revision/WO de alcance, confirmacion BOM y evidencia de implementacion si aplica.</t>
        </is>
      </c>
      <c r="V434" s="43" t="n"/>
      <c r="W434" s="43" t="n"/>
      <c r="X434" s="43" t="inlineStr">
        <is>
          <t>INFO</t>
        </is>
      </c>
      <c r="Y434" s="43" t="n"/>
      <c r="Z434" s="43" t="inlineStr">
        <is>
          <t>Pending Review</t>
        </is>
      </c>
      <c r="AA434" s="43" t="inlineStr">
        <is>
          <t>N</t>
        </is>
      </c>
      <c r="AB434" s="43" t="n"/>
      <c r="AC434" s="33" t="inlineStr">
        <is>
          <t xml:space="preserve">FUENTE: Deviation.csv filas 629; Item Number original=73-21146-12 (prefijo 73- es CANDIDATO de PCBA, no confirmacion en Common DB); Workflow de origen=FAI Status; FJZ no validado, revision PCBA/WO no informadas. </t>
        </is>
      </c>
    </row>
    <row r="435">
      <c r="A435" s="43" t="inlineStr">
        <is>
          <t>DA-CTANJZ05414-CVEBU-73-103459-02</t>
        </is>
      </c>
      <c r="B435" s="43" t="inlineStr">
        <is>
          <t>HEIMDALL</t>
        </is>
      </c>
      <c r="C435" s="43" t="n"/>
      <c r="D435" s="43" t="inlineStr">
        <is>
          <t>73-103459-02</t>
        </is>
      </c>
      <c r="E435" s="43" t="inlineStr">
        <is>
          <t>DEV-CTANJZ05414</t>
        </is>
      </c>
      <c r="F435" s="43" t="n"/>
      <c r="G435" s="43" t="inlineStr">
        <is>
          <t>CVEBU</t>
        </is>
      </c>
      <c r="H435" s="43" t="n"/>
      <c r="I435" s="43" t="n"/>
      <c r="J435" s="43" t="n"/>
      <c r="K435" s="43" t="n"/>
      <c r="L435" s="43" t="inlineStr">
        <is>
          <t>U65; U66; R149; R151</t>
        </is>
      </c>
      <c r="M435" s="43" t="n"/>
      <c r="N435" s="43" t="n"/>
      <c r="O435" s="43" t="n"/>
      <c r="P435" s="43" t="n"/>
      <c r="Q435" s="43" t="inlineStr">
        <is>
          <t>BOARD</t>
        </is>
      </c>
      <c r="R435" s="33" t="inlineStr">
        <is>
          <t>D613039 (REVISAR): retirar U65/15-109506-01; agregar U66/15-109628-01; R149: 12-4443-01 &gt; 12-2567-02; R151: 12-100278-01 &gt; 12-4978-01. Confirmar si se implemento en WO.</t>
        </is>
      </c>
      <c r="S435" s="43" t="inlineStr">
        <is>
          <t>INFO</t>
        </is>
      </c>
      <c r="T435" s="33" t="inlineStr">
        <is>
          <t>Comparar BOM/liberacion de WO con U65, U66, R149, R151; confirmar material cargado, ICT y alcance de desviacion.</t>
        </is>
      </c>
      <c r="U435" s="33" t="inlineStr">
        <is>
          <t>Documento oficial firmado, autorizacion FJZ, revision/WO de alcance, confirmacion BOM y evidencia de implementacion si aplica.</t>
        </is>
      </c>
      <c r="V435" s="43" t="n"/>
      <c r="W435" s="43" t="n"/>
      <c r="X435" s="43" t="inlineStr">
        <is>
          <t>INFO</t>
        </is>
      </c>
      <c r="Y435" s="43" t="n"/>
      <c r="Z435" s="43" t="inlineStr">
        <is>
          <t>Pending Review</t>
        </is>
      </c>
      <c r="AA435" s="43" t="inlineStr">
        <is>
          <t>N</t>
        </is>
      </c>
      <c r="AB435" s="43" t="n"/>
      <c r="AC435" s="33" t="inlineStr">
        <is>
          <t xml:space="preserve">FUENTE: Deviation.csv filas 1272; Item Number original=73-103459-02 (prefijo 73- es CANDIDATO de PCBA, no confirmacion en Common DB); Workflow de origen=FAI Status; FJZ no validado, revision PCBA/WO no informadas. </t>
        </is>
      </c>
    </row>
    <row r="436">
      <c r="A436" s="43" t="inlineStr">
        <is>
          <t>DA-CTANJZ05414-CVEBU-73-103758-04</t>
        </is>
      </c>
      <c r="B436" s="43" t="n"/>
      <c r="C436" s="43" t="n"/>
      <c r="D436" s="43" t="inlineStr">
        <is>
          <t>73-103758-04</t>
        </is>
      </c>
      <c r="E436" s="43" t="inlineStr">
        <is>
          <t>DEV-CTANJZ05414</t>
        </is>
      </c>
      <c r="F436" s="43" t="n"/>
      <c r="G436" s="43" t="inlineStr">
        <is>
          <t>CVEBU</t>
        </is>
      </c>
      <c r="H436" s="43" t="n"/>
      <c r="I436" s="43" t="n"/>
      <c r="J436" s="43" t="n"/>
      <c r="K436" s="43" t="n"/>
      <c r="L436" s="43" t="n"/>
      <c r="M436" s="43" t="n"/>
      <c r="N436" s="43" t="n"/>
      <c r="O436" s="43" t="n"/>
      <c r="P436" s="43" t="n"/>
      <c r="Q436" s="43" t="inlineStr">
        <is>
          <t>BOARD</t>
        </is>
      </c>
      <c r="R436" s="33" t="inlineStr">
        <is>
          <t>REVISAR D613039: verificar accion documentada, PN/revision y vigencia para la corrida. No autoriza sustitucion ni uso de material.</t>
        </is>
      </c>
      <c r="S436" s="43" t="inlineStr">
        <is>
          <t>INFO</t>
        </is>
      </c>
      <c r="T436" s="33" t="inlineStr">
        <is>
          <t>Validar desviacion aprobada y estado; contrastar PN exacto y revision con Common DB, BOM/AVL, WO y fecha de corrida.</t>
        </is>
      </c>
      <c r="U436" s="33" t="inlineStr">
        <is>
          <t>Documento oficial firmado, autorizacion FJZ, revision/WO de alcance, confirmacion BOM y evidencia de implementacion si aplica.</t>
        </is>
      </c>
      <c r="V436" s="43" t="n"/>
      <c r="W436" s="43" t="n"/>
      <c r="X436" s="43" t="inlineStr">
        <is>
          <t>INFO</t>
        </is>
      </c>
      <c r="Y436" s="43" t="n"/>
      <c r="Z436" s="43" t="inlineStr">
        <is>
          <t>Pending Review</t>
        </is>
      </c>
      <c r="AA436" s="43" t="inlineStr">
        <is>
          <t>N</t>
        </is>
      </c>
      <c r="AB436" s="43" t="n"/>
      <c r="AC436" s="33" t="inlineStr">
        <is>
          <t xml:space="preserve">FUENTE: Deviation.csv filas 1289; Item Number original=73-103758-04 (prefijo 73- es CANDIDATO de PCBA, no confirmacion en Common DB); Workflow de origen=FAI Status; FJZ no validado, revision PCBA/WO no informadas. </t>
        </is>
      </c>
    </row>
    <row r="437">
      <c r="A437" s="43" t="inlineStr">
        <is>
          <t>DA-CTANJZ05417-CRBU-73-102363-05</t>
        </is>
      </c>
      <c r="B437" s="43" t="n"/>
      <c r="C437" s="43" t="n"/>
      <c r="D437" s="43" t="inlineStr">
        <is>
          <t>73-102363-05</t>
        </is>
      </c>
      <c r="E437" s="43" t="inlineStr">
        <is>
          <t>DEV-CTANJZ05417</t>
        </is>
      </c>
      <c r="F437" s="43" t="n"/>
      <c r="G437" s="43" t="inlineStr">
        <is>
          <t>CRBU</t>
        </is>
      </c>
      <c r="H437" s="43" t="n"/>
      <c r="I437" s="43" t="n"/>
      <c r="J437" s="43" t="n"/>
      <c r="K437" s="43" t="n"/>
      <c r="L437" s="43" t="n"/>
      <c r="M437" s="43" t="n"/>
      <c r="N437" s="43" t="n"/>
      <c r="O437" s="43" t="n"/>
      <c r="P437" s="43" t="n"/>
      <c r="Q437" s="43" t="inlineStr">
        <is>
          <t>BOARD</t>
        </is>
      </c>
      <c r="R437" s="33" t="inlineStr">
        <is>
          <t>REVISAR D611851: verificar accion documentada, PN/revision y vigencia para la corrida. No autoriza sustitucion ni uso de material.</t>
        </is>
      </c>
      <c r="S437" s="43" t="inlineStr">
        <is>
          <t>INFO</t>
        </is>
      </c>
      <c r="T437" s="33" t="inlineStr">
        <is>
          <t>Validar desviacion aprobada y estado; contrastar PN exacto y revision con Common DB, BOM/AVL, WO y fecha de corrida.</t>
        </is>
      </c>
      <c r="U437" s="33" t="inlineStr">
        <is>
          <t>Documento oficial firmado, autorizacion FJZ, revision/WO de alcance, confirmacion BOM y evidencia de implementacion si aplica.</t>
        </is>
      </c>
      <c r="V437" s="43" t="n"/>
      <c r="W437" s="43" t="n"/>
      <c r="X437" s="43" t="inlineStr">
        <is>
          <t>INFO</t>
        </is>
      </c>
      <c r="Y437" s="43" t="n"/>
      <c r="Z437" s="43" t="inlineStr">
        <is>
          <t>Pending Review</t>
        </is>
      </c>
      <c r="AA437" s="43" t="inlineStr">
        <is>
          <t>N</t>
        </is>
      </c>
      <c r="AB437" s="43" t="n"/>
      <c r="AC437" s="33" t="inlineStr">
        <is>
          <t xml:space="preserve">FUENTE: Deviation.csv filas 93,279; Item Number original=73-102363-05 (prefijo 73- es CANDIDATO de PCBA, no confirmacion en Common DB); Workflow de origen=Extended; FJZ no validado, revision PCBA/WO no informadas. </t>
        </is>
      </c>
    </row>
    <row r="438">
      <c r="A438" s="43" t="inlineStr">
        <is>
          <t>DA-CTANJZ05419-STBU-73-102433-06</t>
        </is>
      </c>
      <c r="B438" s="43" t="n"/>
      <c r="C438" s="43" t="n"/>
      <c r="D438" s="43" t="inlineStr">
        <is>
          <t>73-102433-06</t>
        </is>
      </c>
      <c r="E438" s="43" t="inlineStr">
        <is>
          <t>DEV-CTANJZ05419</t>
        </is>
      </c>
      <c r="F438" s="43" t="n"/>
      <c r="G438" s="43" t="inlineStr">
        <is>
          <t>STBU</t>
        </is>
      </c>
      <c r="H438" s="43" t="n"/>
      <c r="I438" s="43" t="n"/>
      <c r="J438" s="43" t="n"/>
      <c r="K438" s="43" t="n"/>
      <c r="L438" s="43" t="n"/>
      <c r="M438" s="43" t="n"/>
      <c r="N438" s="43" t="n"/>
      <c r="O438" s="43" t="n"/>
      <c r="P438" s="43" t="n"/>
      <c r="Q438" s="43" t="inlineStr">
        <is>
          <t>BOARD</t>
        </is>
      </c>
      <c r="R438" s="33" t="inlineStr">
        <is>
          <t>REVISAR D612975: verificar accion documentada, PN/revision y vigencia para la corrida. No autoriza sustitucion ni uso de material.</t>
        </is>
      </c>
      <c r="S438" s="43" t="inlineStr">
        <is>
          <t>INFO</t>
        </is>
      </c>
      <c r="T438" s="33" t="inlineStr">
        <is>
          <t>Validar desviacion aprobada y estado; contrastar PN exacto y revision con Common DB, BOM/AVL, WO y fecha de corrida.</t>
        </is>
      </c>
      <c r="U438" s="33" t="inlineStr">
        <is>
          <t>Documento oficial firmado, autorizacion FJZ, revision/WO de alcance, confirmacion BOM y evidencia de implementacion si aplica.</t>
        </is>
      </c>
      <c r="V438" s="43" t="n"/>
      <c r="W438" s="43" t="n"/>
      <c r="X438" s="43" t="inlineStr">
        <is>
          <t>INFO</t>
        </is>
      </c>
      <c r="Y438" s="43" t="n"/>
      <c r="Z438" s="43" t="inlineStr">
        <is>
          <t>Pending Review</t>
        </is>
      </c>
      <c r="AA438" s="43" t="inlineStr">
        <is>
          <t>N</t>
        </is>
      </c>
      <c r="AB438" s="43" t="n"/>
      <c r="AC438" s="33" t="inlineStr">
        <is>
          <t xml:space="preserve">FUENTE: Deviation.csv filas 1865; Item Number original=73-102433-06 (prefijo 73- es CANDIDATO de PCBA, no confirmacion en Common DB); Workflow de origen=FAI Status; FJZ no validado, revision PCBA/WO no informadas. </t>
        </is>
      </c>
    </row>
    <row r="439">
      <c r="A439" s="43" t="inlineStr">
        <is>
          <t>DA-CTANJZ05419-STBU-73-102434-06</t>
        </is>
      </c>
      <c r="B439" s="43" t="n"/>
      <c r="C439" s="43" t="n"/>
      <c r="D439" s="43" t="inlineStr">
        <is>
          <t>73-102434-06</t>
        </is>
      </c>
      <c r="E439" s="43" t="inlineStr">
        <is>
          <t>DEV-CTANJZ05419</t>
        </is>
      </c>
      <c r="F439" s="43" t="n"/>
      <c r="G439" s="43" t="inlineStr">
        <is>
          <t>STBU</t>
        </is>
      </c>
      <c r="H439" s="43" t="n"/>
      <c r="I439" s="43" t="n"/>
      <c r="J439" s="43" t="n"/>
      <c r="K439" s="43" t="n"/>
      <c r="L439" s="43" t="n"/>
      <c r="M439" s="43" t="n"/>
      <c r="N439" s="43" t="n"/>
      <c r="O439" s="43" t="n"/>
      <c r="P439" s="43" t="n"/>
      <c r="Q439" s="43" t="inlineStr">
        <is>
          <t>BOARD</t>
        </is>
      </c>
      <c r="R439" s="33" t="inlineStr">
        <is>
          <t>REVISAR D612975: verificar accion documentada, PN/revision y vigencia para la corrida. No autoriza sustitucion ni uso de material.</t>
        </is>
      </c>
      <c r="S439" s="43" t="inlineStr">
        <is>
          <t>INFO</t>
        </is>
      </c>
      <c r="T439" s="33" t="inlineStr">
        <is>
          <t>Validar desviacion aprobada y estado; contrastar PN exacto y revision con Common DB, BOM/AVL, WO y fecha de corrida.</t>
        </is>
      </c>
      <c r="U439" s="33" t="inlineStr">
        <is>
          <t>Documento oficial firmado, autorizacion FJZ, revision/WO de alcance, confirmacion BOM y evidencia de implementacion si aplica.</t>
        </is>
      </c>
      <c r="V439" s="43" t="n"/>
      <c r="W439" s="43" t="n"/>
      <c r="X439" s="43" t="inlineStr">
        <is>
          <t>INFO</t>
        </is>
      </c>
      <c r="Y439" s="43" t="n"/>
      <c r="Z439" s="43" t="inlineStr">
        <is>
          <t>Pending Review</t>
        </is>
      </c>
      <c r="AA439" s="43" t="inlineStr">
        <is>
          <t>N</t>
        </is>
      </c>
      <c r="AB439" s="43" t="n"/>
      <c r="AC439" s="33" t="inlineStr">
        <is>
          <t xml:space="preserve">FUENTE: Deviation.csv filas 1866; Item Number original=73-102434-06 (prefijo 73- es CANDIDATO de PCBA, no confirmacion en Common DB); Workflow de origen=FAI Status; FJZ no validado, revision PCBA/WO no informadas. </t>
        </is>
      </c>
    </row>
    <row r="440">
      <c r="A440" s="43" t="inlineStr">
        <is>
          <t>DA-CTANJZ05419-STBU-73-102435-06</t>
        </is>
      </c>
      <c r="B440" s="43" t="n"/>
      <c r="C440" s="43" t="n"/>
      <c r="D440" s="43" t="inlineStr">
        <is>
          <t>73-102435-06</t>
        </is>
      </c>
      <c r="E440" s="43" t="inlineStr">
        <is>
          <t>DEV-CTANJZ05419</t>
        </is>
      </c>
      <c r="F440" s="43" t="n"/>
      <c r="G440" s="43" t="inlineStr">
        <is>
          <t>STBU</t>
        </is>
      </c>
      <c r="H440" s="43" t="n"/>
      <c r="I440" s="43" t="n"/>
      <c r="J440" s="43" t="n"/>
      <c r="K440" s="43" t="n"/>
      <c r="L440" s="43" t="n"/>
      <c r="M440" s="43" t="n"/>
      <c r="N440" s="43" t="n"/>
      <c r="O440" s="43" t="n"/>
      <c r="P440" s="43" t="n"/>
      <c r="Q440" s="43" t="inlineStr">
        <is>
          <t>BOARD</t>
        </is>
      </c>
      <c r="R440" s="33" t="inlineStr">
        <is>
          <t>REVISAR D612975: verificar accion documentada, PN/revision y vigencia para la corrida. No autoriza sustitucion ni uso de material.</t>
        </is>
      </c>
      <c r="S440" s="43" t="inlineStr">
        <is>
          <t>INFO</t>
        </is>
      </c>
      <c r="T440" s="33" t="inlineStr">
        <is>
          <t>Validar desviacion aprobada y estado; contrastar PN exacto y revision con Common DB, BOM/AVL, WO y fecha de corrida.</t>
        </is>
      </c>
      <c r="U440" s="33" t="inlineStr">
        <is>
          <t>Documento oficial firmado, autorizacion FJZ, revision/WO de alcance, confirmacion BOM y evidencia de implementacion si aplica.</t>
        </is>
      </c>
      <c r="V440" s="43" t="n"/>
      <c r="W440" s="43" t="n"/>
      <c r="X440" s="43" t="inlineStr">
        <is>
          <t>INFO</t>
        </is>
      </c>
      <c r="Y440" s="43" t="n"/>
      <c r="Z440" s="43" t="inlineStr">
        <is>
          <t>Pending Review</t>
        </is>
      </c>
      <c r="AA440" s="43" t="inlineStr">
        <is>
          <t>N</t>
        </is>
      </c>
      <c r="AB440" s="43" t="n"/>
      <c r="AC440" s="33" t="inlineStr">
        <is>
          <t xml:space="preserve">FUENTE: Deviation.csv filas 1867; Item Number original=73-102435-06 (prefijo 73- es CANDIDATO de PCBA, no confirmacion en Common DB); Workflow de origen=FAI Status; FJZ no validado, revision PCBA/WO no informadas. </t>
        </is>
      </c>
    </row>
    <row r="441">
      <c r="A441" s="43" t="inlineStr">
        <is>
          <t>DA-CTANJZ05424-CVEBU-73-102226-06</t>
        </is>
      </c>
      <c r="B441" s="43" t="inlineStr">
        <is>
          <t>MILLENIUM</t>
        </is>
      </c>
      <c r="C441" s="43" t="n"/>
      <c r="D441" s="43" t="inlineStr">
        <is>
          <t>73-102226-06</t>
        </is>
      </c>
      <c r="E441" s="43" t="inlineStr">
        <is>
          <t>DEV-CTANJZ05424</t>
        </is>
      </c>
      <c r="F441" s="43" t="n"/>
      <c r="G441" s="43" t="inlineStr">
        <is>
          <t>CVEBU</t>
        </is>
      </c>
      <c r="H441" s="43" t="n"/>
      <c r="I441" s="43" t="n"/>
      <c r="J441" s="43" t="n"/>
      <c r="K441" s="43" t="n"/>
      <c r="L441" s="43" t="n"/>
      <c r="M441" s="43" t="n"/>
      <c r="N441" s="43" t="n"/>
      <c r="O441" s="43" t="n"/>
      <c r="P441" s="43" t="n"/>
      <c r="Q441" s="43" t="inlineStr">
        <is>
          <t>BOARD</t>
        </is>
      </c>
      <c r="R441" s="33" t="inlineStr">
        <is>
          <t>REVISAR D613355: verificar accion documentada, PN/revision y vigencia para la corrida. No autoriza sustitucion ni uso de material.</t>
        </is>
      </c>
      <c r="S441" s="43" t="inlineStr">
        <is>
          <t>INFO</t>
        </is>
      </c>
      <c r="T441" s="33" t="inlineStr">
        <is>
          <t>Validar desviacion aprobada y estado; contrastar PN exacto y revision con Common DB, BOM/AVL, WO y fecha de corrida.</t>
        </is>
      </c>
      <c r="U441" s="33" t="inlineStr">
        <is>
          <t>Documento oficial firmado, autorizacion FJZ, revision/WO de alcance, confirmacion BOM y evidencia de implementacion si aplica.</t>
        </is>
      </c>
      <c r="V441" s="43" t="n"/>
      <c r="W441" s="43" t="n"/>
      <c r="X441" s="43" t="inlineStr">
        <is>
          <t>INFO</t>
        </is>
      </c>
      <c r="Y441" s="43" t="n"/>
      <c r="Z441" s="43" t="inlineStr">
        <is>
          <t>Pending Review</t>
        </is>
      </c>
      <c r="AA441" s="43" t="inlineStr">
        <is>
          <t>N</t>
        </is>
      </c>
      <c r="AB441" s="43" t="n"/>
      <c r="AC441" s="33" t="inlineStr">
        <is>
          <t xml:space="preserve">FUENTE: Deviation.csv filas 1290; Item Number original=73-102226-06 (prefijo 73- es CANDIDATO de PCBA, no confirmacion en Common DB); Workflow de origen=FAI Status; FJZ no validado, revision PCBA/WO no informadas. </t>
        </is>
      </c>
    </row>
    <row r="442">
      <c r="A442" s="43" t="inlineStr">
        <is>
          <t>DA-CTANJZ05424-CVEBU-73-103226-06</t>
        </is>
      </c>
      <c r="B442" s="43" t="n"/>
      <c r="C442" s="43" t="n"/>
      <c r="D442" s="43" t="inlineStr">
        <is>
          <t>73-103226-06</t>
        </is>
      </c>
      <c r="E442" s="43" t="inlineStr">
        <is>
          <t>DEV-CTANJZ05424</t>
        </is>
      </c>
      <c r="F442" s="43" t="n"/>
      <c r="G442" s="43" t="inlineStr">
        <is>
          <t>CVEBU</t>
        </is>
      </c>
      <c r="H442" s="43" t="n"/>
      <c r="I442" s="43" t="n"/>
      <c r="J442" s="43" t="n"/>
      <c r="K442" s="43" t="n"/>
      <c r="L442" s="43" t="n"/>
      <c r="M442" s="43" t="n"/>
      <c r="N442" s="43" t="n"/>
      <c r="O442" s="43" t="n"/>
      <c r="P442" s="43" t="n"/>
      <c r="Q442" s="43" t="inlineStr">
        <is>
          <t>BOARD</t>
        </is>
      </c>
      <c r="R442" s="33" t="inlineStr">
        <is>
          <t>REVISAR D613355: verificar accion documentada, PN/revision y vigencia para la corrida. No autoriza sustitucion ni uso de material.</t>
        </is>
      </c>
      <c r="S442" s="43" t="inlineStr">
        <is>
          <t>INFO</t>
        </is>
      </c>
      <c r="T442" s="33" t="inlineStr">
        <is>
          <t>Validar desviacion aprobada y estado; contrastar PN exacto y revision con Common DB, BOM/AVL, WO y fecha de corrida.</t>
        </is>
      </c>
      <c r="U442" s="33" t="inlineStr">
        <is>
          <t>Documento oficial firmado, autorizacion FJZ, revision/WO de alcance, confirmacion BOM y evidencia de implementacion si aplica.</t>
        </is>
      </c>
      <c r="V442" s="43" t="n"/>
      <c r="W442" s="43" t="n"/>
      <c r="X442" s="43" t="inlineStr">
        <is>
          <t>INFO</t>
        </is>
      </c>
      <c r="Y442" s="43" t="n"/>
      <c r="Z442" s="43" t="inlineStr">
        <is>
          <t>Pending Review</t>
        </is>
      </c>
      <c r="AA442" s="43" t="inlineStr">
        <is>
          <t>N</t>
        </is>
      </c>
      <c r="AB442" s="43" t="n"/>
      <c r="AC442" s="33" t="inlineStr">
        <is>
          <t xml:space="preserve">FUENTE: Deviation.csv filas 1291; Item Number original=73-103226-06 (prefijo 73- es CANDIDATO de PCBA, no confirmacion en Common DB); Workflow de origen=FAI Status; FJZ no validado, revision PCBA/WO no informadas. </t>
        </is>
      </c>
    </row>
    <row r="443">
      <c r="A443" s="43" t="inlineStr">
        <is>
          <t>DA-CTANJZ05432-STBU-73-18488-08</t>
        </is>
      </c>
      <c r="B443" s="43" t="n"/>
      <c r="C443" s="43" t="n"/>
      <c r="D443" s="43" t="inlineStr">
        <is>
          <t>73-18488-08</t>
        </is>
      </c>
      <c r="E443" s="43" t="inlineStr">
        <is>
          <t>DEV-CTANJZ05432</t>
        </is>
      </c>
      <c r="F443" s="43" t="n"/>
      <c r="G443" s="43" t="inlineStr">
        <is>
          <t>STBU</t>
        </is>
      </c>
      <c r="H443" s="43" t="n"/>
      <c r="I443" s="43" t="n"/>
      <c r="J443" s="43" t="n"/>
      <c r="K443" s="43" t="n"/>
      <c r="L443" s="43" t="n"/>
      <c r="M443" s="43" t="n"/>
      <c r="N443" s="43" t="n"/>
      <c r="O443" s="43" t="n"/>
      <c r="P443" s="43" t="n"/>
      <c r="Q443" s="43" t="inlineStr">
        <is>
          <t>BOARD</t>
        </is>
      </c>
      <c r="R443" s="33" t="inlineStr">
        <is>
          <t>REVISAR D613436: verificar accion documentada, PN/revision y vigencia para la corrida. No autoriza sustitucion ni uso de material.</t>
        </is>
      </c>
      <c r="S443" s="43" t="inlineStr">
        <is>
          <t>INFO</t>
        </is>
      </c>
      <c r="T443" s="33" t="inlineStr">
        <is>
          <t>Validar desviacion aprobada y estado; contrastar PN exacto y revision con Common DB, BOM/AVL, WO y fecha de corrida.</t>
        </is>
      </c>
      <c r="U443" s="33" t="inlineStr">
        <is>
          <t>Documento oficial firmado, autorizacion FJZ, revision/WO de alcance, confirmacion BOM y evidencia de implementacion si aplica.</t>
        </is>
      </c>
      <c r="V443" s="43" t="n"/>
      <c r="W443" s="43" t="n"/>
      <c r="X443" s="43" t="inlineStr">
        <is>
          <t>INFO</t>
        </is>
      </c>
      <c r="Y443" s="43" t="n"/>
      <c r="Z443" s="43" t="inlineStr">
        <is>
          <t>Pending Review</t>
        </is>
      </c>
      <c r="AA443" s="43" t="inlineStr">
        <is>
          <t>N</t>
        </is>
      </c>
      <c r="AB443" s="43" t="n"/>
      <c r="AC443" s="33" t="inlineStr">
        <is>
          <t xml:space="preserve">FUENTE: Deviation.csv filas 1264; Item Number original=73-18488-08 (prefijo 73- es CANDIDATO de PCBA, no confirmacion en Common DB); Workflow de origen=Implementation; FJZ no validado, revision PCBA/WO no informadas. </t>
        </is>
      </c>
    </row>
    <row r="444">
      <c r="A444" s="43" t="inlineStr">
        <is>
          <t>DA-CTANJZ05432-STBU-73-18489-08</t>
        </is>
      </c>
      <c r="B444" s="43" t="n"/>
      <c r="C444" s="43" t="n"/>
      <c r="D444" s="43" t="inlineStr">
        <is>
          <t>73-18489-08</t>
        </is>
      </c>
      <c r="E444" s="43" t="inlineStr">
        <is>
          <t>DEV-CTANJZ05432</t>
        </is>
      </c>
      <c r="F444" s="43" t="n"/>
      <c r="G444" s="43" t="inlineStr">
        <is>
          <t>STBU</t>
        </is>
      </c>
      <c r="H444" s="43" t="n"/>
      <c r="I444" s="43" t="n"/>
      <c r="J444" s="43" t="n"/>
      <c r="K444" s="43" t="n"/>
      <c r="L444" s="43" t="n"/>
      <c r="M444" s="43" t="n"/>
      <c r="N444" s="43" t="n"/>
      <c r="O444" s="43" t="n"/>
      <c r="P444" s="43" t="n"/>
      <c r="Q444" s="43" t="inlineStr">
        <is>
          <t>BOARD</t>
        </is>
      </c>
      <c r="R444" s="33" t="inlineStr">
        <is>
          <t>REVISAR D613436: verificar accion documentada, PN/revision y vigencia para la corrida. No autoriza sustitucion ni uso de material.</t>
        </is>
      </c>
      <c r="S444" s="43" t="inlineStr">
        <is>
          <t>INFO</t>
        </is>
      </c>
      <c r="T444" s="33" t="inlineStr">
        <is>
          <t>Validar desviacion aprobada y estado; contrastar PN exacto y revision con Common DB, BOM/AVL, WO y fecha de corrida.</t>
        </is>
      </c>
      <c r="U444" s="33" t="inlineStr">
        <is>
          <t>Documento oficial firmado, autorizacion FJZ, revision/WO de alcance, confirmacion BOM y evidencia de implementacion si aplica.</t>
        </is>
      </c>
      <c r="V444" s="43" t="n"/>
      <c r="W444" s="43" t="n"/>
      <c r="X444" s="43" t="inlineStr">
        <is>
          <t>INFO</t>
        </is>
      </c>
      <c r="Y444" s="43" t="n"/>
      <c r="Z444" s="43" t="inlineStr">
        <is>
          <t>Pending Review</t>
        </is>
      </c>
      <c r="AA444" s="43" t="inlineStr">
        <is>
          <t>N</t>
        </is>
      </c>
      <c r="AB444" s="43" t="n"/>
      <c r="AC444" s="33" t="inlineStr">
        <is>
          <t xml:space="preserve">FUENTE: Deviation.csv filas 1265; Item Number original=73-18489-08 (prefijo 73- es CANDIDATO de PCBA, no confirmacion en Common DB); Workflow de origen=Implementation; FJZ no validado, revision PCBA/WO no informadas. </t>
        </is>
      </c>
    </row>
    <row r="445">
      <c r="A445" s="43" t="inlineStr">
        <is>
          <t>DA-CTANJZ05434-CRBU-73-21144-07</t>
        </is>
      </c>
      <c r="B445" s="43" t="n"/>
      <c r="C445" s="43" t="n"/>
      <c r="D445" s="43" t="inlineStr">
        <is>
          <t>73-21144-07</t>
        </is>
      </c>
      <c r="E445" s="43" t="inlineStr">
        <is>
          <t>DEV-CTANJZ05434</t>
        </is>
      </c>
      <c r="F445" s="43" t="n"/>
      <c r="G445" s="43" t="inlineStr">
        <is>
          <t>CRBU</t>
        </is>
      </c>
      <c r="H445" s="43" t="n"/>
      <c r="I445" s="43" t="n"/>
      <c r="J445" s="43" t="n"/>
      <c r="K445" s="43" t="n"/>
      <c r="L445" s="43" t="n"/>
      <c r="M445" s="43" t="n"/>
      <c r="N445" s="43" t="n"/>
      <c r="O445" s="43" t="n"/>
      <c r="P445" s="43" t="n"/>
      <c r="Q445" s="43" t="inlineStr">
        <is>
          <t>BOARD</t>
        </is>
      </c>
      <c r="R445" s="33" t="inlineStr">
        <is>
          <t>REVISAR D613624: verificar accion documentada, PN/revision y vigencia para la corrida. No autoriza sustitucion ni uso de material.</t>
        </is>
      </c>
      <c r="S445" s="43" t="inlineStr">
        <is>
          <t>INFO</t>
        </is>
      </c>
      <c r="T445" s="33" t="inlineStr">
        <is>
          <t>Validar desviacion aprobada y estado; contrastar PN exacto y revision con Common DB, BOM/AVL, WO y fecha de corrida.</t>
        </is>
      </c>
      <c r="U445" s="33" t="inlineStr">
        <is>
          <t>Documento oficial firmado, autorizacion FJZ, revision/WO de alcance, confirmacion BOM y evidencia de implementacion si aplica.</t>
        </is>
      </c>
      <c r="V445" s="43" t="n"/>
      <c r="W445" s="43" t="n"/>
      <c r="X445" s="43" t="inlineStr">
        <is>
          <t>INFO</t>
        </is>
      </c>
      <c r="Y445" s="43" t="n"/>
      <c r="Z445" s="43" t="inlineStr">
        <is>
          <t>Pending Review</t>
        </is>
      </c>
      <c r="AA445" s="43" t="inlineStr">
        <is>
          <t>N</t>
        </is>
      </c>
      <c r="AB445" s="43" t="n"/>
      <c r="AC445" s="33" t="inlineStr">
        <is>
          <t xml:space="preserve">FUENTE: Deviation.csv filas 263; Item Number original=73-21144-07 (prefijo 73- es CANDIDATO de PCBA, no confirmacion en Common DB); Workflow de origen=FAI Status; FJZ no validado, revision PCBA/WO no informadas. </t>
        </is>
      </c>
    </row>
    <row r="446">
      <c r="A446" s="43" t="inlineStr">
        <is>
          <t>DA-CTANJZ05434-CRBU-73-21146-10</t>
        </is>
      </c>
      <c r="B446" s="43" t="n"/>
      <c r="C446" s="43" t="n"/>
      <c r="D446" s="43" t="inlineStr">
        <is>
          <t>73-21146-10</t>
        </is>
      </c>
      <c r="E446" s="43" t="inlineStr">
        <is>
          <t>DEV-CTANJZ05434</t>
        </is>
      </c>
      <c r="F446" s="43" t="n"/>
      <c r="G446" s="43" t="inlineStr">
        <is>
          <t>CRBU</t>
        </is>
      </c>
      <c r="H446" s="43" t="n"/>
      <c r="I446" s="43" t="n"/>
      <c r="J446" s="43" t="n"/>
      <c r="K446" s="43" t="n"/>
      <c r="L446" s="43" t="n"/>
      <c r="M446" s="43" t="n"/>
      <c r="N446" s="43" t="n"/>
      <c r="O446" s="43" t="n"/>
      <c r="P446" s="43" t="n"/>
      <c r="Q446" s="43" t="inlineStr">
        <is>
          <t>BOARD</t>
        </is>
      </c>
      <c r="R446" s="33" t="inlineStr">
        <is>
          <t>REVISAR D613624: verificar accion documentada, PN/revision y vigencia para la corrida. No autoriza sustitucion ni uso de material.</t>
        </is>
      </c>
      <c r="S446" s="43" t="inlineStr">
        <is>
          <t>INFO</t>
        </is>
      </c>
      <c r="T446" s="33" t="inlineStr">
        <is>
          <t>Validar desviacion aprobada y estado; contrastar PN exacto y revision con Common DB, BOM/AVL, WO y fecha de corrida.</t>
        </is>
      </c>
      <c r="U446" s="33" t="inlineStr">
        <is>
          <t>Documento oficial firmado, autorizacion FJZ, revision/WO de alcance, confirmacion BOM y evidencia de implementacion si aplica.</t>
        </is>
      </c>
      <c r="V446" s="43" t="n"/>
      <c r="W446" s="43" t="n"/>
      <c r="X446" s="43" t="inlineStr">
        <is>
          <t>INFO</t>
        </is>
      </c>
      <c r="Y446" s="43" t="n"/>
      <c r="Z446" s="43" t="inlineStr">
        <is>
          <t>Pending Review</t>
        </is>
      </c>
      <c r="AA446" s="43" t="inlineStr">
        <is>
          <t>N</t>
        </is>
      </c>
      <c r="AB446" s="43" t="n"/>
      <c r="AC446" s="33" t="inlineStr">
        <is>
          <t xml:space="preserve">FUENTE: Deviation.csv filas 264; Item Number original=73-21146-10 (prefijo 73- es CANDIDATO de PCBA, no confirmacion en Common DB); Workflow de origen=FAI Status; FJZ no validado, revision PCBA/WO no informadas. </t>
        </is>
      </c>
    </row>
    <row r="447">
      <c r="A447" s="43" t="inlineStr">
        <is>
          <t>DA-CTANJZ05436-STBU-73-17497-04</t>
        </is>
      </c>
      <c r="B447" s="43" t="n"/>
      <c r="C447" s="43" t="n"/>
      <c r="D447" s="43" t="inlineStr">
        <is>
          <t>73-17497-04</t>
        </is>
      </c>
      <c r="E447" s="43" t="inlineStr">
        <is>
          <t>DEV-CTANJZ05436</t>
        </is>
      </c>
      <c r="F447" s="43" t="n"/>
      <c r="G447" s="43" t="inlineStr">
        <is>
          <t>STBU</t>
        </is>
      </c>
      <c r="H447" s="43" t="n"/>
      <c r="I447" s="43" t="n"/>
      <c r="J447" s="43" t="n"/>
      <c r="K447" s="43" t="n"/>
      <c r="L447" s="43" t="n"/>
      <c r="M447" s="43" t="n"/>
      <c r="N447" s="43" t="n"/>
      <c r="O447" s="43" t="n"/>
      <c r="P447" s="43" t="n"/>
      <c r="Q447" s="43" t="inlineStr">
        <is>
          <t>BOARD</t>
        </is>
      </c>
      <c r="R447" s="33" t="inlineStr">
        <is>
          <t>REVISAR D613521: verificar accion documentada, PN/revision y vigencia para la corrida. No autoriza sustitucion ni uso de material.</t>
        </is>
      </c>
      <c r="S447" s="43" t="inlineStr">
        <is>
          <t>INFO</t>
        </is>
      </c>
      <c r="T447" s="33" t="inlineStr">
        <is>
          <t>Validar desviacion aprobada y estado; contrastar PN exacto y revision con Common DB, BOM/AVL, WO y fecha de corrida.</t>
        </is>
      </c>
      <c r="U447" s="33" t="inlineStr">
        <is>
          <t>Documento oficial firmado, autorizacion FJZ, revision/WO de alcance, confirmacion BOM y evidencia de implementacion si aplica.</t>
        </is>
      </c>
      <c r="V447" s="43" t="n"/>
      <c r="W447" s="43" t="n"/>
      <c r="X447" s="43" t="inlineStr">
        <is>
          <t>INFO</t>
        </is>
      </c>
      <c r="Y447" s="43" t="n"/>
      <c r="Z447" s="43" t="inlineStr">
        <is>
          <t>Pending Review</t>
        </is>
      </c>
      <c r="AA447" s="43" t="inlineStr">
        <is>
          <t>N</t>
        </is>
      </c>
      <c r="AB447" s="43" t="n"/>
      <c r="AC447" s="33" t="inlineStr">
        <is>
          <t xml:space="preserve">FUENTE: Deviation.csv filas 1661; Item Number original=73-17497-04 (prefijo 73- es CANDIDATO de PCBA, no confirmacion en Common DB); Workflow de origen=FAI Status; FJZ no validado, revision PCBA/WO no informadas. </t>
        </is>
      </c>
    </row>
    <row r="448">
      <c r="A448" s="43" t="inlineStr">
        <is>
          <t>DA-CTANJZ05436-STBU-73-17498-04</t>
        </is>
      </c>
      <c r="B448" s="43" t="n"/>
      <c r="C448" s="43" t="n"/>
      <c r="D448" s="43" t="inlineStr">
        <is>
          <t>73-17498-04</t>
        </is>
      </c>
      <c r="E448" s="43" t="inlineStr">
        <is>
          <t>DEV-CTANJZ05436</t>
        </is>
      </c>
      <c r="F448" s="43" t="n"/>
      <c r="G448" s="43" t="inlineStr">
        <is>
          <t>STBU</t>
        </is>
      </c>
      <c r="H448" s="43" t="n"/>
      <c r="I448" s="43" t="n"/>
      <c r="J448" s="43" t="n"/>
      <c r="K448" s="43" t="n"/>
      <c r="L448" s="43" t="n"/>
      <c r="M448" s="43" t="n"/>
      <c r="N448" s="43" t="n"/>
      <c r="O448" s="43" t="n"/>
      <c r="P448" s="43" t="n"/>
      <c r="Q448" s="43" t="inlineStr">
        <is>
          <t>BOARD</t>
        </is>
      </c>
      <c r="R448" s="33" t="inlineStr">
        <is>
          <t>REVISAR D613521: verificar accion documentada, PN/revision y vigencia para la corrida. No autoriza sustitucion ni uso de material.</t>
        </is>
      </c>
      <c r="S448" s="43" t="inlineStr">
        <is>
          <t>INFO</t>
        </is>
      </c>
      <c r="T448" s="33" t="inlineStr">
        <is>
          <t>Validar desviacion aprobada y estado; contrastar PN exacto y revision con Common DB, BOM/AVL, WO y fecha de corrida.</t>
        </is>
      </c>
      <c r="U448" s="33" t="inlineStr">
        <is>
          <t>Documento oficial firmado, autorizacion FJZ, revision/WO de alcance, confirmacion BOM y evidencia de implementacion si aplica.</t>
        </is>
      </c>
      <c r="V448" s="43" t="n"/>
      <c r="W448" s="43" t="n"/>
      <c r="X448" s="43" t="inlineStr">
        <is>
          <t>INFO</t>
        </is>
      </c>
      <c r="Y448" s="43" t="n"/>
      <c r="Z448" s="43" t="inlineStr">
        <is>
          <t>Pending Review</t>
        </is>
      </c>
      <c r="AA448" s="43" t="inlineStr">
        <is>
          <t>N</t>
        </is>
      </c>
      <c r="AB448" s="43" t="n"/>
      <c r="AC448" s="33" t="inlineStr">
        <is>
          <t xml:space="preserve">FUENTE: Deviation.csv filas 1662; Item Number original=73-17498-04 (prefijo 73- es CANDIDATO de PCBA, no confirmacion en Common DB); Workflow de origen=FAI Status; FJZ no validado, revision PCBA/WO no informadas. </t>
        </is>
      </c>
    </row>
    <row r="449">
      <c r="A449" s="43" t="inlineStr">
        <is>
          <t>DA-CTANJZ05436-STBU-73-17499-07</t>
        </is>
      </c>
      <c r="B449" s="43" t="n"/>
      <c r="C449" s="43" t="n"/>
      <c r="D449" s="43" t="inlineStr">
        <is>
          <t>73-17499-07</t>
        </is>
      </c>
      <c r="E449" s="43" t="inlineStr">
        <is>
          <t>DEV-CTANJZ05436</t>
        </is>
      </c>
      <c r="F449" s="43" t="n"/>
      <c r="G449" s="43" t="inlineStr">
        <is>
          <t>STBU</t>
        </is>
      </c>
      <c r="H449" s="43" t="n"/>
      <c r="I449" s="43" t="n"/>
      <c r="J449" s="43" t="n"/>
      <c r="K449" s="43" t="n"/>
      <c r="L449" s="43" t="n"/>
      <c r="M449" s="43" t="n"/>
      <c r="N449" s="43" t="n"/>
      <c r="O449" s="43" t="n"/>
      <c r="P449" s="43" t="n"/>
      <c r="Q449" s="43" t="inlineStr">
        <is>
          <t>BOARD</t>
        </is>
      </c>
      <c r="R449" s="33" t="inlineStr">
        <is>
          <t>REVISAR D613521: verificar accion documentada, PN/revision y vigencia para la corrida. No autoriza sustitucion ni uso de material.</t>
        </is>
      </c>
      <c r="S449" s="43" t="inlineStr">
        <is>
          <t>INFO</t>
        </is>
      </c>
      <c r="T449" s="33" t="inlineStr">
        <is>
          <t>Validar desviacion aprobada y estado; contrastar PN exacto y revision con Common DB, BOM/AVL, WO y fecha de corrida.</t>
        </is>
      </c>
      <c r="U449" s="33" t="inlineStr">
        <is>
          <t>Documento oficial firmado, autorizacion FJZ, revision/WO de alcance, confirmacion BOM y evidencia de implementacion si aplica.</t>
        </is>
      </c>
      <c r="V449" s="43" t="n"/>
      <c r="W449" s="43" t="n"/>
      <c r="X449" s="43" t="inlineStr">
        <is>
          <t>INFO</t>
        </is>
      </c>
      <c r="Y449" s="43" t="n"/>
      <c r="Z449" s="43" t="inlineStr">
        <is>
          <t>Pending Review</t>
        </is>
      </c>
      <c r="AA449" s="43" t="inlineStr">
        <is>
          <t>N</t>
        </is>
      </c>
      <c r="AB449" s="43" t="n"/>
      <c r="AC449" s="33" t="inlineStr">
        <is>
          <t xml:space="preserve">FUENTE: Deviation.csv filas 1663; Item Number original=73-17499-07 (prefijo 73- es CANDIDATO de PCBA, no confirmacion en Common DB); Workflow de origen=FAI Status; FJZ no validado, revision PCBA/WO no informadas. </t>
        </is>
      </c>
    </row>
    <row r="450">
      <c r="A450" s="43" t="inlineStr">
        <is>
          <t>DA-CTANJZ05436-STBU-73-17510-02</t>
        </is>
      </c>
      <c r="B450" s="43" t="n"/>
      <c r="C450" s="43" t="n"/>
      <c r="D450" s="43" t="inlineStr">
        <is>
          <t>73-17510-02</t>
        </is>
      </c>
      <c r="E450" s="43" t="inlineStr">
        <is>
          <t>DEV-CTANJZ05436</t>
        </is>
      </c>
      <c r="F450" s="43" t="n"/>
      <c r="G450" s="43" t="inlineStr">
        <is>
          <t>STBU</t>
        </is>
      </c>
      <c r="H450" s="43" t="n"/>
      <c r="I450" s="43" t="n"/>
      <c r="J450" s="43" t="n"/>
      <c r="K450" s="43" t="n"/>
      <c r="L450" s="43" t="n"/>
      <c r="M450" s="43" t="n"/>
      <c r="N450" s="43" t="n"/>
      <c r="O450" s="43" t="n"/>
      <c r="P450" s="43" t="n"/>
      <c r="Q450" s="43" t="inlineStr">
        <is>
          <t>BOARD</t>
        </is>
      </c>
      <c r="R450" s="33" t="inlineStr">
        <is>
          <t>REVISAR D613521: verificar accion documentada, PN/revision y vigencia para la corrida. No autoriza sustitucion ni uso de material.</t>
        </is>
      </c>
      <c r="S450" s="43" t="inlineStr">
        <is>
          <t>INFO</t>
        </is>
      </c>
      <c r="T450" s="33" t="inlineStr">
        <is>
          <t>Validar desviacion aprobada y estado; contrastar PN exacto y revision con Common DB, BOM/AVL, WO y fecha de corrida.</t>
        </is>
      </c>
      <c r="U450" s="33" t="inlineStr">
        <is>
          <t>Documento oficial firmado, autorizacion FJZ, revision/WO de alcance, confirmacion BOM y evidencia de implementacion si aplica.</t>
        </is>
      </c>
      <c r="V450" s="43" t="n"/>
      <c r="W450" s="43" t="n"/>
      <c r="X450" s="43" t="inlineStr">
        <is>
          <t>INFO</t>
        </is>
      </c>
      <c r="Y450" s="43" t="n"/>
      <c r="Z450" s="43" t="inlineStr">
        <is>
          <t>Pending Review</t>
        </is>
      </c>
      <c r="AA450" s="43" t="inlineStr">
        <is>
          <t>N</t>
        </is>
      </c>
      <c r="AB450" s="43" t="n"/>
      <c r="AC450" s="33" t="inlineStr">
        <is>
          <t xml:space="preserve">FUENTE: Deviation.csv filas 1664; Item Number original=73-17510-02 (prefijo 73- es CANDIDATO de PCBA, no confirmacion en Common DB); Workflow de origen=FAI Status; FJZ no validado, revision PCBA/WO no informadas. </t>
        </is>
      </c>
    </row>
    <row r="451">
      <c r="A451" s="43" t="inlineStr">
        <is>
          <t>DA-CTANJZ05436-STBU-73-17514-02</t>
        </is>
      </c>
      <c r="B451" s="43" t="n"/>
      <c r="C451" s="43" t="n"/>
      <c r="D451" s="43" t="inlineStr">
        <is>
          <t>73-17514-02</t>
        </is>
      </c>
      <c r="E451" s="43" t="inlineStr">
        <is>
          <t>DEV-CTANJZ05436</t>
        </is>
      </c>
      <c r="F451" s="43" t="n"/>
      <c r="G451" s="43" t="inlineStr">
        <is>
          <t>STBU</t>
        </is>
      </c>
      <c r="H451" s="43" t="n"/>
      <c r="I451" s="43" t="n"/>
      <c r="J451" s="43" t="n"/>
      <c r="K451" s="43" t="n"/>
      <c r="L451" s="43" t="n"/>
      <c r="M451" s="43" t="n"/>
      <c r="N451" s="43" t="n"/>
      <c r="O451" s="43" t="n"/>
      <c r="P451" s="43" t="n"/>
      <c r="Q451" s="43" t="inlineStr">
        <is>
          <t>BOARD</t>
        </is>
      </c>
      <c r="R451" s="33" t="inlineStr">
        <is>
          <t>REVISAR D613521: verificar accion documentada, PN/revision y vigencia para la corrida. No autoriza sustitucion ni uso de material.</t>
        </is>
      </c>
      <c r="S451" s="43" t="inlineStr">
        <is>
          <t>INFO</t>
        </is>
      </c>
      <c r="T451" s="33" t="inlineStr">
        <is>
          <t>Validar desviacion aprobada y estado; contrastar PN exacto y revision con Common DB, BOM/AVL, WO y fecha de corrida.</t>
        </is>
      </c>
      <c r="U451" s="33" t="inlineStr">
        <is>
          <t>Documento oficial firmado, autorizacion FJZ, revision/WO de alcance, confirmacion BOM y evidencia de implementacion si aplica.</t>
        </is>
      </c>
      <c r="V451" s="43" t="n"/>
      <c r="W451" s="43" t="n"/>
      <c r="X451" s="43" t="inlineStr">
        <is>
          <t>INFO</t>
        </is>
      </c>
      <c r="Y451" s="43" t="n"/>
      <c r="Z451" s="43" t="inlineStr">
        <is>
          <t>Pending Review</t>
        </is>
      </c>
      <c r="AA451" s="43" t="inlineStr">
        <is>
          <t>N</t>
        </is>
      </c>
      <c r="AB451" s="43" t="n"/>
      <c r="AC451" s="33" t="inlineStr">
        <is>
          <t xml:space="preserve">FUENTE: Deviation.csv filas 1699; Item Number original=73-17514-02 (prefijo 73- es CANDIDATO de PCBA, no confirmacion en Common DB); Workflow de origen=FAI Status; FJZ no validado, revision PCBA/WO no informadas. </t>
        </is>
      </c>
    </row>
    <row r="452">
      <c r="A452" s="43" t="inlineStr">
        <is>
          <t>DA-CTANJZ05436-STBU-73-17530-02</t>
        </is>
      </c>
      <c r="B452" s="43" t="n"/>
      <c r="C452" s="43" t="n"/>
      <c r="D452" s="43" t="inlineStr">
        <is>
          <t>73-17530-02</t>
        </is>
      </c>
      <c r="E452" s="43" t="inlineStr">
        <is>
          <t>DEV-CTANJZ05436</t>
        </is>
      </c>
      <c r="F452" s="43" t="n"/>
      <c r="G452" s="43" t="inlineStr">
        <is>
          <t>STBU</t>
        </is>
      </c>
      <c r="H452" s="43" t="n"/>
      <c r="I452" s="43" t="n"/>
      <c r="J452" s="43" t="n"/>
      <c r="K452" s="43" t="n"/>
      <c r="L452" s="43" t="n"/>
      <c r="M452" s="43" t="n"/>
      <c r="N452" s="43" t="n"/>
      <c r="O452" s="43" t="n"/>
      <c r="P452" s="43" t="n"/>
      <c r="Q452" s="43" t="inlineStr">
        <is>
          <t>BOARD</t>
        </is>
      </c>
      <c r="R452" s="33" t="inlineStr">
        <is>
          <t>REVISAR D613521: verificar accion documentada, PN/revision y vigencia para la corrida. No autoriza sustitucion ni uso de material.</t>
        </is>
      </c>
      <c r="S452" s="43" t="inlineStr">
        <is>
          <t>INFO</t>
        </is>
      </c>
      <c r="T452" s="33" t="inlineStr">
        <is>
          <t>Validar desviacion aprobada y estado; contrastar PN exacto y revision con Common DB, BOM/AVL, WO y fecha de corrida.</t>
        </is>
      </c>
      <c r="U452" s="33" t="inlineStr">
        <is>
          <t>Documento oficial firmado, autorizacion FJZ, revision/WO de alcance, confirmacion BOM y evidencia de implementacion si aplica.</t>
        </is>
      </c>
      <c r="V452" s="43" t="n"/>
      <c r="W452" s="43" t="n"/>
      <c r="X452" s="43" t="inlineStr">
        <is>
          <t>INFO</t>
        </is>
      </c>
      <c r="Y452" s="43" t="n"/>
      <c r="Z452" s="43" t="inlineStr">
        <is>
          <t>Pending Review</t>
        </is>
      </c>
      <c r="AA452" s="43" t="inlineStr">
        <is>
          <t>N</t>
        </is>
      </c>
      <c r="AB452" s="43" t="n"/>
      <c r="AC452" s="33" t="inlineStr">
        <is>
          <t xml:space="preserve">FUENTE: Deviation.csv filas 1700; Item Number original=73-17530-02 (prefijo 73- es CANDIDATO de PCBA, no confirmacion en Common DB); Workflow de origen=FAI Status; FJZ no validado, revision PCBA/WO no informadas. </t>
        </is>
      </c>
    </row>
    <row r="453">
      <c r="A453" s="43" t="inlineStr">
        <is>
          <t>DA-CTANJZ05436-STBU-73-18626-04</t>
        </is>
      </c>
      <c r="B453" s="43" t="n"/>
      <c r="C453" s="43" t="n"/>
      <c r="D453" s="43" t="inlineStr">
        <is>
          <t>73-18626-04</t>
        </is>
      </c>
      <c r="E453" s="43" t="inlineStr">
        <is>
          <t>DEV-CTANJZ05436</t>
        </is>
      </c>
      <c r="F453" s="43" t="n"/>
      <c r="G453" s="43" t="inlineStr">
        <is>
          <t>STBU</t>
        </is>
      </c>
      <c r="H453" s="43" t="n"/>
      <c r="I453" s="43" t="n"/>
      <c r="J453" s="43" t="n"/>
      <c r="K453" s="43" t="n"/>
      <c r="L453" s="43" t="n"/>
      <c r="M453" s="43" t="n"/>
      <c r="N453" s="43" t="n"/>
      <c r="O453" s="43" t="n"/>
      <c r="P453" s="43" t="n"/>
      <c r="Q453" s="43" t="inlineStr">
        <is>
          <t>BOARD</t>
        </is>
      </c>
      <c r="R453" s="33" t="inlineStr">
        <is>
          <t>REVISAR D613521: verificar accion documentada, PN/revision y vigencia para la corrida. No autoriza sustitucion ni uso de material.</t>
        </is>
      </c>
      <c r="S453" s="43" t="inlineStr">
        <is>
          <t>INFO</t>
        </is>
      </c>
      <c r="T453" s="33" t="inlineStr">
        <is>
          <t>Validar desviacion aprobada y estado; contrastar PN exacto y revision con Common DB, BOM/AVL, WO y fecha de corrida.</t>
        </is>
      </c>
      <c r="U453" s="33" t="inlineStr">
        <is>
          <t>Documento oficial firmado, autorizacion FJZ, revision/WO de alcance, confirmacion BOM y evidencia de implementacion si aplica.</t>
        </is>
      </c>
      <c r="V453" s="43" t="n"/>
      <c r="W453" s="43" t="n"/>
      <c r="X453" s="43" t="inlineStr">
        <is>
          <t>INFO</t>
        </is>
      </c>
      <c r="Y453" s="43" t="n"/>
      <c r="Z453" s="43" t="inlineStr">
        <is>
          <t>Pending Review</t>
        </is>
      </c>
      <c r="AA453" s="43" t="inlineStr">
        <is>
          <t>N</t>
        </is>
      </c>
      <c r="AB453" s="43" t="n"/>
      <c r="AC453" s="33" t="inlineStr">
        <is>
          <t xml:space="preserve">FUENTE: Deviation.csv filas 1665; Item Number original=73-18626-04 (prefijo 73- es CANDIDATO de PCBA, no confirmacion en Common DB); Workflow de origen=FAI Status; FJZ no validado, revision PCBA/WO no informadas. </t>
        </is>
      </c>
    </row>
    <row r="454">
      <c r="A454" s="43" t="inlineStr">
        <is>
          <t>DA-CTANJZ05436-STBU-73-19332-01</t>
        </is>
      </c>
      <c r="B454" s="43" t="n"/>
      <c r="C454" s="43" t="n"/>
      <c r="D454" s="43" t="inlineStr">
        <is>
          <t>73-19332-01</t>
        </is>
      </c>
      <c r="E454" s="43" t="inlineStr">
        <is>
          <t>DEV-CTANJZ05436</t>
        </is>
      </c>
      <c r="F454" s="43" t="n"/>
      <c r="G454" s="43" t="inlineStr">
        <is>
          <t>STBU</t>
        </is>
      </c>
      <c r="H454" s="43" t="n"/>
      <c r="I454" s="43" t="n"/>
      <c r="J454" s="43" t="n"/>
      <c r="K454" s="43" t="n"/>
      <c r="L454" s="43" t="n"/>
      <c r="M454" s="43" t="n"/>
      <c r="N454" s="43" t="n"/>
      <c r="O454" s="43" t="n"/>
      <c r="P454" s="43" t="n"/>
      <c r="Q454" s="43" t="inlineStr">
        <is>
          <t>BOARD</t>
        </is>
      </c>
      <c r="R454" s="33" t="inlineStr">
        <is>
          <t>REVISAR D613521: verificar accion documentada, PN/revision y vigencia para la corrida. No autoriza sustitucion ni uso de material.</t>
        </is>
      </c>
      <c r="S454" s="43" t="inlineStr">
        <is>
          <t>INFO</t>
        </is>
      </c>
      <c r="T454" s="33" t="inlineStr">
        <is>
          <t>Validar desviacion aprobada y estado; contrastar PN exacto y revision con Common DB, BOM/AVL, WO y fecha de corrida.</t>
        </is>
      </c>
      <c r="U454" s="33" t="inlineStr">
        <is>
          <t>Documento oficial firmado, autorizacion FJZ, revision/WO de alcance, confirmacion BOM y evidencia de implementacion si aplica.</t>
        </is>
      </c>
      <c r="V454" s="43" t="n"/>
      <c r="W454" s="43" t="n"/>
      <c r="X454" s="43" t="inlineStr">
        <is>
          <t>INFO</t>
        </is>
      </c>
      <c r="Y454" s="43" t="n"/>
      <c r="Z454" s="43" t="inlineStr">
        <is>
          <t>Pending Review</t>
        </is>
      </c>
      <c r="AA454" s="43" t="inlineStr">
        <is>
          <t>N</t>
        </is>
      </c>
      <c r="AB454" s="43" t="n"/>
      <c r="AC454" s="33" t="inlineStr">
        <is>
          <t xml:space="preserve">FUENTE: Deviation.csv filas 1666; Item Number original=73-19332-01 (prefijo 73- es CANDIDATO de PCBA, no confirmacion en Common DB); Workflow de origen=FAI Status; FJZ no validado, revision PCBA/WO no informadas. </t>
        </is>
      </c>
    </row>
    <row r="455">
      <c r="A455" s="43" t="inlineStr">
        <is>
          <t>DA-CTANJZ05436-STBU-73-19337-01</t>
        </is>
      </c>
      <c r="B455" s="43" t="n"/>
      <c r="C455" s="43" t="n"/>
      <c r="D455" s="43" t="inlineStr">
        <is>
          <t>73-19337-01</t>
        </is>
      </c>
      <c r="E455" s="43" t="inlineStr">
        <is>
          <t>DEV-CTANJZ05436</t>
        </is>
      </c>
      <c r="F455" s="43" t="n"/>
      <c r="G455" s="43" t="inlineStr">
        <is>
          <t>STBU</t>
        </is>
      </c>
      <c r="H455" s="43" t="n"/>
      <c r="I455" s="43" t="n"/>
      <c r="J455" s="43" t="n"/>
      <c r="K455" s="43" t="n"/>
      <c r="L455" s="43" t="n"/>
      <c r="M455" s="43" t="n"/>
      <c r="N455" s="43" t="n"/>
      <c r="O455" s="43" t="n"/>
      <c r="P455" s="43" t="n"/>
      <c r="Q455" s="43" t="inlineStr">
        <is>
          <t>BOARD</t>
        </is>
      </c>
      <c r="R455" s="33" t="inlineStr">
        <is>
          <t>REVISAR D613521: verificar accion documentada, PN/revision y vigencia para la corrida. No autoriza sustitucion ni uso de material.</t>
        </is>
      </c>
      <c r="S455" s="43" t="inlineStr">
        <is>
          <t>INFO</t>
        </is>
      </c>
      <c r="T455" s="33" t="inlineStr">
        <is>
          <t>Validar desviacion aprobada y estado; contrastar PN exacto y revision con Common DB, BOM/AVL, WO y fecha de corrida.</t>
        </is>
      </c>
      <c r="U455" s="33" t="inlineStr">
        <is>
          <t>Documento oficial firmado, autorizacion FJZ, revision/WO de alcance, confirmacion BOM y evidencia de implementacion si aplica.</t>
        </is>
      </c>
      <c r="V455" s="43" t="n"/>
      <c r="W455" s="43" t="n"/>
      <c r="X455" s="43" t="inlineStr">
        <is>
          <t>INFO</t>
        </is>
      </c>
      <c r="Y455" s="43" t="n"/>
      <c r="Z455" s="43" t="inlineStr">
        <is>
          <t>Pending Review</t>
        </is>
      </c>
      <c r="AA455" s="43" t="inlineStr">
        <is>
          <t>N</t>
        </is>
      </c>
      <c r="AB455" s="43" t="n"/>
      <c r="AC455" s="33" t="inlineStr">
        <is>
          <t xml:space="preserve">FUENTE: Deviation.csv filas 1667; Item Number original=73-19337-01 (prefijo 73- es CANDIDATO de PCBA, no confirmacion en Common DB); Workflow de origen=FAI Status; FJZ no validado, revision PCBA/WO no informadas. </t>
        </is>
      </c>
    </row>
    <row r="456">
      <c r="A456" s="43" t="inlineStr">
        <is>
          <t>DA-CTANJZ05436-STBU-73-19361-01</t>
        </is>
      </c>
      <c r="B456" s="43" t="n"/>
      <c r="C456" s="43" t="n"/>
      <c r="D456" s="43" t="inlineStr">
        <is>
          <t>73-19361-01</t>
        </is>
      </c>
      <c r="E456" s="43" t="inlineStr">
        <is>
          <t>DEV-CTANJZ05436</t>
        </is>
      </c>
      <c r="F456" s="43" t="n"/>
      <c r="G456" s="43" t="inlineStr">
        <is>
          <t>STBU</t>
        </is>
      </c>
      <c r="H456" s="43" t="n"/>
      <c r="I456" s="43" t="n"/>
      <c r="J456" s="43" t="n"/>
      <c r="K456" s="43" t="n"/>
      <c r="L456" s="43" t="n"/>
      <c r="M456" s="43" t="n"/>
      <c r="N456" s="43" t="n"/>
      <c r="O456" s="43" t="n"/>
      <c r="P456" s="43" t="n"/>
      <c r="Q456" s="43" t="inlineStr">
        <is>
          <t>BOARD</t>
        </is>
      </c>
      <c r="R456" s="33" t="inlineStr">
        <is>
          <t>REVISAR D613521: verificar accion documentada, PN/revision y vigencia para la corrida. No autoriza sustitucion ni uso de material.</t>
        </is>
      </c>
      <c r="S456" s="43" t="inlineStr">
        <is>
          <t>INFO</t>
        </is>
      </c>
      <c r="T456" s="33" t="inlineStr">
        <is>
          <t>Validar desviacion aprobada y estado; contrastar PN exacto y revision con Common DB, BOM/AVL, WO y fecha de corrida.</t>
        </is>
      </c>
      <c r="U456" s="33" t="inlineStr">
        <is>
          <t>Documento oficial firmado, autorizacion FJZ, revision/WO de alcance, confirmacion BOM y evidencia de implementacion si aplica.</t>
        </is>
      </c>
      <c r="V456" s="43" t="n"/>
      <c r="W456" s="43" t="n"/>
      <c r="X456" s="43" t="inlineStr">
        <is>
          <t>INFO</t>
        </is>
      </c>
      <c r="Y456" s="43" t="n"/>
      <c r="Z456" s="43" t="inlineStr">
        <is>
          <t>Pending Review</t>
        </is>
      </c>
      <c r="AA456" s="43" t="inlineStr">
        <is>
          <t>N</t>
        </is>
      </c>
      <c r="AB456" s="43" t="n"/>
      <c r="AC456" s="33" t="inlineStr">
        <is>
          <t xml:space="preserve">FUENTE: Deviation.csv filas 1668; Item Number original=73-19361-01 (prefijo 73- es CANDIDATO de PCBA, no confirmacion en Common DB); Workflow de origen=FAI Status; FJZ no validado, revision PCBA/WO no informadas. </t>
        </is>
      </c>
    </row>
    <row r="457">
      <c r="A457" s="43" t="inlineStr">
        <is>
          <t>DA-CTANJZ05436-STBU-73-20007-01</t>
        </is>
      </c>
      <c r="B457" s="43" t="n"/>
      <c r="C457" s="43" t="n"/>
      <c r="D457" s="43" t="inlineStr">
        <is>
          <t>73-20007-01</t>
        </is>
      </c>
      <c r="E457" s="43" t="inlineStr">
        <is>
          <t>DEV-CTANJZ05436</t>
        </is>
      </c>
      <c r="F457" s="43" t="n"/>
      <c r="G457" s="43" t="inlineStr">
        <is>
          <t>STBU</t>
        </is>
      </c>
      <c r="H457" s="43" t="n"/>
      <c r="I457" s="43" t="n"/>
      <c r="J457" s="43" t="n"/>
      <c r="K457" s="43" t="n"/>
      <c r="L457" s="43" t="n"/>
      <c r="M457" s="43" t="n"/>
      <c r="N457" s="43" t="n"/>
      <c r="O457" s="43" t="n"/>
      <c r="P457" s="43" t="n"/>
      <c r="Q457" s="43" t="inlineStr">
        <is>
          <t>BOARD</t>
        </is>
      </c>
      <c r="R457" s="33" t="inlineStr">
        <is>
          <t>REVISAR D613521: verificar accion documentada, PN/revision y vigencia para la corrida. No autoriza sustitucion ni uso de material.</t>
        </is>
      </c>
      <c r="S457" s="43" t="inlineStr">
        <is>
          <t>INFO</t>
        </is>
      </c>
      <c r="T457" s="33" t="inlineStr">
        <is>
          <t>Validar desviacion aprobada y estado; contrastar PN exacto y revision con Common DB, BOM/AVL, WO y fecha de corrida.</t>
        </is>
      </c>
      <c r="U457" s="33" t="inlineStr">
        <is>
          <t>Documento oficial firmado, autorizacion FJZ, revision/WO de alcance, confirmacion BOM y evidencia de implementacion si aplica.</t>
        </is>
      </c>
      <c r="V457" s="43" t="n"/>
      <c r="W457" s="43" t="n"/>
      <c r="X457" s="43" t="inlineStr">
        <is>
          <t>INFO</t>
        </is>
      </c>
      <c r="Y457" s="43" t="n"/>
      <c r="Z457" s="43" t="inlineStr">
        <is>
          <t>Pending Review</t>
        </is>
      </c>
      <c r="AA457" s="43" t="inlineStr">
        <is>
          <t>N</t>
        </is>
      </c>
      <c r="AB457" s="43" t="n"/>
      <c r="AC457" s="33" t="inlineStr">
        <is>
          <t xml:space="preserve">FUENTE: Deviation.csv filas 1669; Item Number original=73-20007-01 (prefijo 73- es CANDIDATO de PCBA, no confirmacion en Common DB); Workflow de origen=FAI Status; FJZ no validado, revision PCBA/WO no informadas. </t>
        </is>
      </c>
    </row>
    <row r="458">
      <c r="A458" s="43" t="inlineStr">
        <is>
          <t>DA-CTANJZ05439-STBU-73-18489-08</t>
        </is>
      </c>
      <c r="B458" s="43" t="n"/>
      <c r="C458" s="43" t="n"/>
      <c r="D458" s="43" t="inlineStr">
        <is>
          <t>73-18489-08</t>
        </is>
      </c>
      <c r="E458" s="43" t="inlineStr">
        <is>
          <t>DEV-CTANJZ05439</t>
        </is>
      </c>
      <c r="F458" s="43" t="n"/>
      <c r="G458" s="43" t="inlineStr">
        <is>
          <t>STBU</t>
        </is>
      </c>
      <c r="H458" s="43" t="n"/>
      <c r="I458" s="43" t="n"/>
      <c r="J458" s="43" t="n"/>
      <c r="K458" s="43" t="n"/>
      <c r="L458" s="43" t="n"/>
      <c r="M458" s="43" t="n"/>
      <c r="N458" s="43" t="n"/>
      <c r="O458" s="43" t="n"/>
      <c r="P458" s="43" t="n"/>
      <c r="Q458" s="43" t="inlineStr">
        <is>
          <t>BOARD</t>
        </is>
      </c>
      <c r="R458" s="33" t="inlineStr">
        <is>
          <t>REVISAR D613561: verificar accion documentada, PN/revision y vigencia para la corrida. No autoriza sustitucion ni uso de material.</t>
        </is>
      </c>
      <c r="S458" s="43" t="inlineStr">
        <is>
          <t>INFO</t>
        </is>
      </c>
      <c r="T458" s="33" t="inlineStr">
        <is>
          <t>Validar desviacion aprobada y estado; contrastar PN exacto y revision con Common DB, BOM/AVL, WO y fecha de corrida.</t>
        </is>
      </c>
      <c r="U458" s="33" t="inlineStr">
        <is>
          <t>Documento oficial firmado, autorizacion FJZ, revision/WO de alcance, confirmacion BOM y evidencia de implementacion si aplica.</t>
        </is>
      </c>
      <c r="V458" s="43" t="n"/>
      <c r="W458" s="43" t="n"/>
      <c r="X458" s="43" t="inlineStr">
        <is>
          <t>INFO</t>
        </is>
      </c>
      <c r="Y458" s="43" t="n"/>
      <c r="Z458" s="43" t="inlineStr">
        <is>
          <t>Pending Review</t>
        </is>
      </c>
      <c r="AA458" s="43" t="inlineStr">
        <is>
          <t>N</t>
        </is>
      </c>
      <c r="AB458" s="43" t="n"/>
      <c r="AC458" s="33" t="inlineStr">
        <is>
          <t xml:space="preserve">FUENTE: Deviation.csv filas 261,1610; Item Number original=73-18489-08 (prefijo 73- es CANDIDATO de PCBA, no confirmacion en Common DB); Workflow de origen=Implementation; FJZ no validado, revision PCBA/WO no informadas. </t>
        </is>
      </c>
    </row>
    <row r="459">
      <c r="A459" s="43" t="inlineStr">
        <is>
          <t>DA-CTANJZ05442-STBU-73-16681-10</t>
        </is>
      </c>
      <c r="B459" s="43" t="n"/>
      <c r="C459" s="43" t="n"/>
      <c r="D459" s="43" t="inlineStr">
        <is>
          <t>73-16681-10</t>
        </is>
      </c>
      <c r="E459" s="43" t="inlineStr">
        <is>
          <t>DEV-CTANJZ05442</t>
        </is>
      </c>
      <c r="F459" s="43" t="n"/>
      <c r="G459" s="43" t="inlineStr">
        <is>
          <t>STBU</t>
        </is>
      </c>
      <c r="H459" s="43" t="n"/>
      <c r="I459" s="43" t="n"/>
      <c r="J459" s="43" t="n"/>
      <c r="K459" s="43" t="n"/>
      <c r="L459" s="43" t="n"/>
      <c r="M459" s="43" t="n"/>
      <c r="N459" s="43" t="n"/>
      <c r="O459" s="43" t="n"/>
      <c r="P459" s="43" t="n"/>
      <c r="Q459" s="43" t="inlineStr">
        <is>
          <t>BOARD</t>
        </is>
      </c>
      <c r="R459" s="33" t="inlineStr">
        <is>
          <t>REVISAR D613519: verificar accion documentada, PN/revision y vigencia para la corrida. No autoriza sustitucion ni uso de material.</t>
        </is>
      </c>
      <c r="S459" s="43" t="inlineStr">
        <is>
          <t>INFO</t>
        </is>
      </c>
      <c r="T459" s="33" t="inlineStr">
        <is>
          <t>Validar desviacion aprobada y estado; contrastar PN exacto y revision con Common DB, BOM/AVL, WO y fecha de corrida.</t>
        </is>
      </c>
      <c r="U459" s="33" t="inlineStr">
        <is>
          <t>Documento oficial firmado, autorizacion FJZ, revision/WO de alcance, confirmacion BOM y evidencia de implementacion si aplica.</t>
        </is>
      </c>
      <c r="V459" s="43" t="n"/>
      <c r="W459" s="43" t="n"/>
      <c r="X459" s="43" t="inlineStr">
        <is>
          <t>INFO</t>
        </is>
      </c>
      <c r="Y459" s="43" t="n"/>
      <c r="Z459" s="43" t="inlineStr">
        <is>
          <t>Pending Review</t>
        </is>
      </c>
      <c r="AA459" s="43" t="inlineStr">
        <is>
          <t>N</t>
        </is>
      </c>
      <c r="AB459" s="43" t="n"/>
      <c r="AC459" s="33" t="inlineStr">
        <is>
          <t xml:space="preserve">FUENTE: Deviation.csv filas 617; Item Number original=73-16681-10 (prefijo 73- es CANDIDATO de PCBA, no confirmacion en Common DB); Workflow de origen=FAI Status; FJZ no validado, revision PCBA/WO no informadas. </t>
        </is>
      </c>
    </row>
    <row r="460">
      <c r="A460" s="43" t="inlineStr">
        <is>
          <t>DA-CTANJZ05442-STBU-73-16682-05</t>
        </is>
      </c>
      <c r="B460" s="43" t="n"/>
      <c r="C460" s="43" t="n"/>
      <c r="D460" s="43" t="inlineStr">
        <is>
          <t>73-16682-05</t>
        </is>
      </c>
      <c r="E460" s="43" t="inlineStr">
        <is>
          <t>DEV-CTANJZ05442</t>
        </is>
      </c>
      <c r="F460" s="43" t="n"/>
      <c r="G460" s="43" t="inlineStr">
        <is>
          <t>STBU</t>
        </is>
      </c>
      <c r="H460" s="43" t="n"/>
      <c r="I460" s="43" t="n"/>
      <c r="J460" s="43" t="n"/>
      <c r="K460" s="43" t="n"/>
      <c r="L460" s="43" t="n"/>
      <c r="M460" s="43" t="n"/>
      <c r="N460" s="43" t="n"/>
      <c r="O460" s="43" t="n"/>
      <c r="P460" s="43" t="n"/>
      <c r="Q460" s="43" t="inlineStr">
        <is>
          <t>BOARD</t>
        </is>
      </c>
      <c r="R460" s="33" t="inlineStr">
        <is>
          <t>REVISAR D613519: verificar accion documentada, PN/revision y vigencia para la corrida. No autoriza sustitucion ni uso de material.</t>
        </is>
      </c>
      <c r="S460" s="43" t="inlineStr">
        <is>
          <t>INFO</t>
        </is>
      </c>
      <c r="T460" s="33" t="inlineStr">
        <is>
          <t>Validar desviacion aprobada y estado; contrastar PN exacto y revision con Common DB, BOM/AVL, WO y fecha de corrida.</t>
        </is>
      </c>
      <c r="U460" s="33" t="inlineStr">
        <is>
          <t>Documento oficial firmado, autorizacion FJZ, revision/WO de alcance, confirmacion BOM y evidencia de implementacion si aplica.</t>
        </is>
      </c>
      <c r="V460" s="43" t="n"/>
      <c r="W460" s="43" t="n"/>
      <c r="X460" s="43" t="inlineStr">
        <is>
          <t>INFO</t>
        </is>
      </c>
      <c r="Y460" s="43" t="n"/>
      <c r="Z460" s="43" t="inlineStr">
        <is>
          <t>Pending Review</t>
        </is>
      </c>
      <c r="AA460" s="43" t="inlineStr">
        <is>
          <t>N</t>
        </is>
      </c>
      <c r="AB460" s="43" t="n"/>
      <c r="AC460" s="33" t="inlineStr">
        <is>
          <t xml:space="preserve">FUENTE: Deviation.csv filas 618; Item Number original=73-16682-05 (prefijo 73- es CANDIDATO de PCBA, no confirmacion en Common DB); Workflow de origen=FAI Status; FJZ no validado, revision PCBA/WO no informadas. </t>
        </is>
      </c>
    </row>
    <row r="461">
      <c r="A461" s="43" t="inlineStr">
        <is>
          <t>DA-CTANJZ05446-CRBU-73-19152-02</t>
        </is>
      </c>
      <c r="B461" s="43" t="n"/>
      <c r="C461" s="43" t="n"/>
      <c r="D461" s="43" t="inlineStr">
        <is>
          <t>73-19152-02</t>
        </is>
      </c>
      <c r="E461" s="43" t="inlineStr">
        <is>
          <t>DEV-CTANJZ05446</t>
        </is>
      </c>
      <c r="F461" s="43" t="n"/>
      <c r="G461" s="43" t="inlineStr">
        <is>
          <t>CRBU</t>
        </is>
      </c>
      <c r="H461" s="43" t="n"/>
      <c r="I461" s="43" t="n"/>
      <c r="J461" s="43" t="n"/>
      <c r="K461" s="43" t="n"/>
      <c r="L461" s="43" t="n"/>
      <c r="M461" s="43" t="n"/>
      <c r="N461" s="43" t="n"/>
      <c r="O461" s="43" t="n"/>
      <c r="P461" s="43" t="n"/>
      <c r="Q461" s="43" t="inlineStr">
        <is>
          <t>BOARD</t>
        </is>
      </c>
      <c r="R461" s="33" t="inlineStr">
        <is>
          <t>REVISAR D613569: verificar accion documentada, PN/revision y vigencia para la corrida. No autoriza sustitucion ni uso de material.</t>
        </is>
      </c>
      <c r="S461" s="43" t="inlineStr">
        <is>
          <t>INFO</t>
        </is>
      </c>
      <c r="T461" s="33" t="inlineStr">
        <is>
          <t>Validar desviacion aprobada y estado; contrastar PN exacto y revision con Common DB, BOM/AVL, WO y fecha de corrida.</t>
        </is>
      </c>
      <c r="U461" s="33" t="inlineStr">
        <is>
          <t>Documento oficial firmado, autorizacion FJZ, revision/WO de alcance, confirmacion BOM y evidencia de implementacion si aplica.</t>
        </is>
      </c>
      <c r="V461" s="43" t="n"/>
      <c r="W461" s="43" t="n"/>
      <c r="X461" s="43" t="inlineStr">
        <is>
          <t>INFO</t>
        </is>
      </c>
      <c r="Y461" s="43" t="n"/>
      <c r="Z461" s="39" t="inlineStr">
        <is>
          <t>Rejected</t>
        </is>
      </c>
      <c r="AA461" s="43" t="inlineStr">
        <is>
          <t>N</t>
        </is>
      </c>
      <c r="AB461" s="43" t="n"/>
      <c r="AC461" s="33" t="inlineStr">
        <is>
          <t>FUENTE: Deviation.csv filas 87,266; Item Number original=73-19152-02 (prefijo 73- es CANDIDATO de PCBA, no confirmacion en Common DB); Workflow de origen=FAI Status; FJZ no validado, revision PCBA/WO no informadas. PN fuera de FJZ segun alcance historico; requiere asignacion explicita.</t>
        </is>
      </c>
    </row>
    <row r="462">
      <c r="A462" s="43" t="inlineStr">
        <is>
          <t>DA-CTANJZ05462-STBU-73-103633-04</t>
        </is>
      </c>
      <c r="B462" s="43" t="n"/>
      <c r="C462" s="43" t="n"/>
      <c r="D462" s="43" t="inlineStr">
        <is>
          <t>73-103633-04</t>
        </is>
      </c>
      <c r="E462" s="43" t="inlineStr">
        <is>
          <t>DEV-CTANJZ05462</t>
        </is>
      </c>
      <c r="F462" s="43" t="n"/>
      <c r="G462" s="43" t="inlineStr">
        <is>
          <t>STBU</t>
        </is>
      </c>
      <c r="H462" s="43" t="n"/>
      <c r="I462" s="43" t="n"/>
      <c r="J462" s="43" t="n"/>
      <c r="K462" s="43" t="n"/>
      <c r="L462" s="43" t="n"/>
      <c r="M462" s="43" t="n"/>
      <c r="N462" s="43" t="n"/>
      <c r="O462" s="43" t="n"/>
      <c r="P462" s="43" t="n"/>
      <c r="Q462" s="43" t="inlineStr">
        <is>
          <t>BOARD</t>
        </is>
      </c>
      <c r="R462" s="33" t="inlineStr">
        <is>
          <t>REVISAR D613679: verificar accion documentada, PN/revision y vigencia para la corrida. No autoriza sustitucion ni uso de material.</t>
        </is>
      </c>
      <c r="S462" s="43" t="inlineStr">
        <is>
          <t>INFO</t>
        </is>
      </c>
      <c r="T462" s="33" t="inlineStr">
        <is>
          <t>Validar desviacion aprobada y estado; contrastar PN exacto y revision con Common DB, BOM/AVL, WO y fecha de corrida.</t>
        </is>
      </c>
      <c r="U462" s="33" t="inlineStr">
        <is>
          <t>Documento oficial firmado, autorizacion FJZ, revision/WO de alcance, confirmacion BOM y evidencia de implementacion si aplica.</t>
        </is>
      </c>
      <c r="V462" s="43" t="n"/>
      <c r="W462" s="43" t="n"/>
      <c r="X462" s="43" t="inlineStr">
        <is>
          <t>INFO</t>
        </is>
      </c>
      <c r="Y462" s="43" t="n"/>
      <c r="Z462" s="43" t="inlineStr">
        <is>
          <t>Pending Review</t>
        </is>
      </c>
      <c r="AA462" s="43" t="inlineStr">
        <is>
          <t>N</t>
        </is>
      </c>
      <c r="AB462" s="43" t="n"/>
      <c r="AC462" s="33" t="inlineStr">
        <is>
          <t xml:space="preserve">FUENTE: Deviation.csv filas 1858; Item Number original=73-103633-04 (prefijo 73- es CANDIDATO de PCBA, no confirmacion en Common DB); Workflow de origen=FAI Status; FJZ no validado, revision PCBA/WO no informadas. </t>
        </is>
      </c>
    </row>
    <row r="463">
      <c r="A463" s="43" t="inlineStr">
        <is>
          <t>DA-CTANJZ05466-CVEBU-73-103698-06</t>
        </is>
      </c>
      <c r="B463" s="43" t="n"/>
      <c r="C463" s="43" t="n"/>
      <c r="D463" s="43" t="inlineStr">
        <is>
          <t>73-103698-06</t>
        </is>
      </c>
      <c r="E463" s="43" t="inlineStr">
        <is>
          <t>DEV-CTANJZ05466</t>
        </is>
      </c>
      <c r="F463" s="43" t="n"/>
      <c r="G463" s="43" t="inlineStr">
        <is>
          <t>CVEBU</t>
        </is>
      </c>
      <c r="H463" s="43" t="n"/>
      <c r="I463" s="43" t="n"/>
      <c r="J463" s="43" t="n"/>
      <c r="K463" s="43" t="n"/>
      <c r="L463" s="43" t="n"/>
      <c r="M463" s="43" t="n"/>
      <c r="N463" s="43" t="n"/>
      <c r="O463" s="43" t="n"/>
      <c r="P463" s="43" t="n"/>
      <c r="Q463" s="43" t="inlineStr">
        <is>
          <t>BOARD</t>
        </is>
      </c>
      <c r="R463" s="33" t="inlineStr">
        <is>
          <t>REVISAR D613946: verificar accion documentada, PN/revision y vigencia para la corrida. No autoriza sustitucion ni uso de material.</t>
        </is>
      </c>
      <c r="S463" s="43" t="inlineStr">
        <is>
          <t>INFO</t>
        </is>
      </c>
      <c r="T463" s="33" t="inlineStr">
        <is>
          <t>Validar desviacion aprobada y estado; contrastar PN exacto y revision con Common DB, BOM/AVL, WO y fecha de corrida.</t>
        </is>
      </c>
      <c r="U463" s="33" t="inlineStr">
        <is>
          <t>Documento oficial firmado, autorizacion FJZ, revision/WO de alcance, confirmacion BOM y evidencia de implementacion si aplica.</t>
        </is>
      </c>
      <c r="V463" s="43" t="n"/>
      <c r="W463" s="43" t="n"/>
      <c r="X463" s="43" t="inlineStr">
        <is>
          <t>INFO</t>
        </is>
      </c>
      <c r="Y463" s="43" t="n"/>
      <c r="Z463" s="43" t="inlineStr">
        <is>
          <t>Pending Review</t>
        </is>
      </c>
      <c r="AA463" s="43" t="inlineStr">
        <is>
          <t>N</t>
        </is>
      </c>
      <c r="AB463" s="43" t="n"/>
      <c r="AC463" s="33" t="inlineStr">
        <is>
          <t xml:space="preserve">FUENTE: Deviation.csv filas 611; Item Number original=73-103698-06 (prefijo 73- es CANDIDATO de PCBA, no confirmacion en Common DB); Workflow de origen=FAI Status; FJZ no validado, revision PCBA/WO no informadas. </t>
        </is>
      </c>
    </row>
    <row r="464">
      <c r="A464" s="43" t="inlineStr">
        <is>
          <t>DA-CTANJZ05466-CVEBU-73-103940-06</t>
        </is>
      </c>
      <c r="B464" s="43" t="n"/>
      <c r="C464" s="43" t="n"/>
      <c r="D464" s="43" t="inlineStr">
        <is>
          <t>73-103940-06</t>
        </is>
      </c>
      <c r="E464" s="43" t="inlineStr">
        <is>
          <t>DEV-CTANJZ05466</t>
        </is>
      </c>
      <c r="F464" s="43" t="n"/>
      <c r="G464" s="43" t="inlineStr">
        <is>
          <t>CVEBU</t>
        </is>
      </c>
      <c r="H464" s="43" t="n"/>
      <c r="I464" s="43" t="n"/>
      <c r="J464" s="43" t="n"/>
      <c r="K464" s="43" t="n"/>
      <c r="L464" s="43" t="n"/>
      <c r="M464" s="43" t="n"/>
      <c r="N464" s="43" t="n"/>
      <c r="O464" s="43" t="n"/>
      <c r="P464" s="43" t="n"/>
      <c r="Q464" s="43" t="inlineStr">
        <is>
          <t>BOARD</t>
        </is>
      </c>
      <c r="R464" s="33" t="inlineStr">
        <is>
          <t>REVISAR D613946: verificar accion documentada, PN/revision y vigencia para la corrida. No autoriza sustitucion ni uso de material.</t>
        </is>
      </c>
      <c r="S464" s="43" t="inlineStr">
        <is>
          <t>INFO</t>
        </is>
      </c>
      <c r="T464" s="33" t="inlineStr">
        <is>
          <t>Validar desviacion aprobada y estado; contrastar PN exacto y revision con Common DB, BOM/AVL, WO y fecha de corrida.</t>
        </is>
      </c>
      <c r="U464" s="33" t="inlineStr">
        <is>
          <t>Documento oficial firmado, autorizacion FJZ, revision/WO de alcance, confirmacion BOM y evidencia de implementacion si aplica.</t>
        </is>
      </c>
      <c r="V464" s="43" t="n"/>
      <c r="W464" s="43" t="n"/>
      <c r="X464" s="43" t="inlineStr">
        <is>
          <t>INFO</t>
        </is>
      </c>
      <c r="Y464" s="43" t="n"/>
      <c r="Z464" s="43" t="inlineStr">
        <is>
          <t>Pending Review</t>
        </is>
      </c>
      <c r="AA464" s="43" t="inlineStr">
        <is>
          <t>N</t>
        </is>
      </c>
      <c r="AB464" s="43" t="n"/>
      <c r="AC464" s="33" t="inlineStr">
        <is>
          <t xml:space="preserve">FUENTE: Deviation.csv filas 612; Item Number original=73-103940-06 (prefijo 73- es CANDIDATO de PCBA, no confirmacion en Common DB); Workflow de origen=FAI Status; FJZ no validado, revision PCBA/WO no informadas. </t>
        </is>
      </c>
    </row>
    <row r="465">
      <c r="A465" s="43" t="inlineStr">
        <is>
          <t>DA-CTANJZ05468-STBU-73-102418-04</t>
        </is>
      </c>
      <c r="B465" s="43" t="n"/>
      <c r="C465" s="43" t="n"/>
      <c r="D465" s="43" t="inlineStr">
        <is>
          <t>73-102418-04</t>
        </is>
      </c>
      <c r="E465" s="43" t="inlineStr">
        <is>
          <t>DEV-CTANJZ05468</t>
        </is>
      </c>
      <c r="F465" s="43" t="n"/>
      <c r="G465" s="43" t="inlineStr">
        <is>
          <t>STBU</t>
        </is>
      </c>
      <c r="H465" s="43" t="n"/>
      <c r="I465" s="43" t="n"/>
      <c r="J465" s="43" t="n"/>
      <c r="K465" s="43" t="n"/>
      <c r="L465" s="43" t="n"/>
      <c r="M465" s="43" t="n"/>
      <c r="N465" s="43" t="n"/>
      <c r="O465" s="43" t="n"/>
      <c r="P465" s="43" t="n"/>
      <c r="Q465" s="43" t="inlineStr">
        <is>
          <t>BOARD</t>
        </is>
      </c>
      <c r="R465" s="33" t="inlineStr">
        <is>
          <t>REVISAR D613858: verificar accion documentada, PN/revision y vigencia para la corrida. No autoriza sustitucion ni uso de material.</t>
        </is>
      </c>
      <c r="S465" s="43" t="inlineStr">
        <is>
          <t>INFO</t>
        </is>
      </c>
      <c r="T465" s="33" t="inlineStr">
        <is>
          <t>Validar desviacion aprobada y estado; contrastar PN exacto y revision con Common DB, BOM/AVL, WO y fecha de corrida.</t>
        </is>
      </c>
      <c r="U465" s="33" t="inlineStr">
        <is>
          <t>Documento oficial firmado, autorizacion FJZ, revision/WO de alcance, confirmacion BOM y evidencia de implementacion si aplica.</t>
        </is>
      </c>
      <c r="V465" s="43" t="n"/>
      <c r="W465" s="43" t="n"/>
      <c r="X465" s="43" t="inlineStr">
        <is>
          <t>INFO</t>
        </is>
      </c>
      <c r="Y465" s="43" t="n"/>
      <c r="Z465" s="43" t="inlineStr">
        <is>
          <t>Pending Review</t>
        </is>
      </c>
      <c r="AA465" s="43" t="inlineStr">
        <is>
          <t>N</t>
        </is>
      </c>
      <c r="AB465" s="43" t="n"/>
      <c r="AC465" s="33" t="inlineStr">
        <is>
          <t xml:space="preserve">FUENTE: Deviation.csv filas 245,1566; Item Number original=73-102418-04 (prefijo 73- es CANDIDATO de PCBA, no confirmacion en Common DB); Workflow de origen=Implementation; FJZ no validado, revision PCBA/WO no informadas. </t>
        </is>
      </c>
    </row>
    <row r="466">
      <c r="A466" s="43" t="inlineStr">
        <is>
          <t>DA-CTANJZ05470-STBU-73-102482-02</t>
        </is>
      </c>
      <c r="B466" s="43" t="n"/>
      <c r="C466" s="43" t="n"/>
      <c r="D466" s="43" t="inlineStr">
        <is>
          <t>73-102482-02</t>
        </is>
      </c>
      <c r="E466" s="43" t="inlineStr">
        <is>
          <t>DEV-CTANJZ05470</t>
        </is>
      </c>
      <c r="F466" s="43" t="n"/>
      <c r="G466" s="43" t="inlineStr">
        <is>
          <t>STBU</t>
        </is>
      </c>
      <c r="H466" s="43" t="n"/>
      <c r="I466" s="43" t="n"/>
      <c r="J466" s="43" t="n"/>
      <c r="K466" s="43" t="n"/>
      <c r="L466" s="43" t="n"/>
      <c r="M466" s="43" t="n"/>
      <c r="N466" s="43" t="n"/>
      <c r="O466" s="43" t="n"/>
      <c r="P466" s="43" t="n"/>
      <c r="Q466" s="43" t="inlineStr">
        <is>
          <t>BOARD</t>
        </is>
      </c>
      <c r="R466" s="33" t="inlineStr">
        <is>
          <t>REVISAR D613859: verificar accion documentada, PN/revision y vigencia para la corrida. No autoriza sustitucion ni uso de material.</t>
        </is>
      </c>
      <c r="S466" s="43" t="inlineStr">
        <is>
          <t>INFO</t>
        </is>
      </c>
      <c r="T466" s="33" t="inlineStr">
        <is>
          <t>Validar desviacion aprobada y estado; contrastar PN exacto y revision con Common DB, BOM/AVL, WO y fecha de corrida.</t>
        </is>
      </c>
      <c r="U466" s="33" t="inlineStr">
        <is>
          <t>Documento oficial firmado, autorizacion FJZ, revision/WO de alcance, confirmacion BOM y evidencia de implementacion si aplica.</t>
        </is>
      </c>
      <c r="V466" s="43" t="n"/>
      <c r="W466" s="43" t="n"/>
      <c r="X466" s="43" t="inlineStr">
        <is>
          <t>INFO</t>
        </is>
      </c>
      <c r="Y466" s="43" t="n"/>
      <c r="Z466" s="43" t="inlineStr">
        <is>
          <t>Pending Review</t>
        </is>
      </c>
      <c r="AA466" s="43" t="inlineStr">
        <is>
          <t>N</t>
        </is>
      </c>
      <c r="AB466" s="43" t="n"/>
      <c r="AC466" s="33" t="inlineStr">
        <is>
          <t xml:space="preserve">FUENTE: Deviation.csv filas 259,1568; Item Number original=73-102482-02 (prefijo 73- es CANDIDATO de PCBA, no confirmacion en Common DB); Workflow de origen=Implementation; FJZ no validado, revision PCBA/WO no informadas. </t>
        </is>
      </c>
    </row>
    <row r="467">
      <c r="A467" s="43" t="inlineStr">
        <is>
          <t>DA-CTANJZ05476-CVEBU-73-103720-04</t>
        </is>
      </c>
      <c r="B467" s="43" t="n"/>
      <c r="C467" s="43" t="n"/>
      <c r="D467" s="43" t="inlineStr">
        <is>
          <t>73-103720-04</t>
        </is>
      </c>
      <c r="E467" s="43" t="inlineStr">
        <is>
          <t>DEV-CTANJZ05476</t>
        </is>
      </c>
      <c r="F467" s="43" t="n"/>
      <c r="G467" s="43" t="inlineStr">
        <is>
          <t>CVEBU</t>
        </is>
      </c>
      <c r="H467" s="43" t="n"/>
      <c r="I467" s="43" t="n"/>
      <c r="J467" s="43" t="n"/>
      <c r="K467" s="43" t="n"/>
      <c r="L467" s="43" t="n"/>
      <c r="M467" s="43" t="n"/>
      <c r="N467" s="43" t="n"/>
      <c r="O467" s="43" t="n"/>
      <c r="P467" s="43" t="n"/>
      <c r="Q467" s="43" t="inlineStr">
        <is>
          <t>BOARD</t>
        </is>
      </c>
      <c r="R467" s="33" t="inlineStr">
        <is>
          <t>REVISAR D614007: verificar accion documentada, PN/revision y vigencia para la corrida. No autoriza sustitucion ni uso de material.</t>
        </is>
      </c>
      <c r="S467" s="43" t="inlineStr">
        <is>
          <t>INFO</t>
        </is>
      </c>
      <c r="T467" s="33" t="inlineStr">
        <is>
          <t>Validar desviacion aprobada y estado; contrastar PN exacto y revision con Common DB, BOM/AVL, WO y fecha de corrida.</t>
        </is>
      </c>
      <c r="U467" s="33" t="inlineStr">
        <is>
          <t>Documento oficial firmado, autorizacion FJZ, revision/WO de alcance, confirmacion BOM y evidencia de implementacion si aplica.</t>
        </is>
      </c>
      <c r="V467" s="43" t="n"/>
      <c r="W467" s="43" t="n"/>
      <c r="X467" s="43" t="inlineStr">
        <is>
          <t>INFO</t>
        </is>
      </c>
      <c r="Y467" s="43" t="n"/>
      <c r="Z467" s="43" t="inlineStr">
        <is>
          <t>Pending Review</t>
        </is>
      </c>
      <c r="AA467" s="43" t="inlineStr">
        <is>
          <t>N</t>
        </is>
      </c>
      <c r="AB467" s="43" t="n"/>
      <c r="AC467" s="33" t="inlineStr">
        <is>
          <t xml:space="preserve">FUENTE: Deviation.csv filas 593; Item Number original=73-103720-04 (prefijo 73- es CANDIDATO de PCBA, no confirmacion en Common DB); Workflow de origen=FAI Status; FJZ no validado, revision PCBA/WO no informadas. </t>
        </is>
      </c>
    </row>
    <row r="468">
      <c r="A468" s="43" t="inlineStr">
        <is>
          <t>DA-CTANJZ05476-CVEBU-73-103920-04</t>
        </is>
      </c>
      <c r="B468" s="43" t="n"/>
      <c r="C468" s="43" t="n"/>
      <c r="D468" s="43" t="inlineStr">
        <is>
          <t>73-103920-04</t>
        </is>
      </c>
      <c r="E468" s="43" t="inlineStr">
        <is>
          <t>DEV-CTANJZ05476</t>
        </is>
      </c>
      <c r="F468" s="43" t="n"/>
      <c r="G468" s="43" t="inlineStr">
        <is>
          <t>CVEBU</t>
        </is>
      </c>
      <c r="H468" s="43" t="n"/>
      <c r="I468" s="43" t="n"/>
      <c r="J468" s="43" t="n"/>
      <c r="K468" s="43" t="n"/>
      <c r="L468" s="43" t="n"/>
      <c r="M468" s="43" t="n"/>
      <c r="N468" s="43" t="n"/>
      <c r="O468" s="43" t="n"/>
      <c r="P468" s="43" t="n"/>
      <c r="Q468" s="43" t="inlineStr">
        <is>
          <t>BOARD</t>
        </is>
      </c>
      <c r="R468" s="33" t="inlineStr">
        <is>
          <t>REVISAR D614007: verificar accion documentada, PN/revision y vigencia para la corrida. No autoriza sustitucion ni uso de material.</t>
        </is>
      </c>
      <c r="S468" s="43" t="inlineStr">
        <is>
          <t>INFO</t>
        </is>
      </c>
      <c r="T468" s="33" t="inlineStr">
        <is>
          <t>Validar desviacion aprobada y estado; contrastar PN exacto y revision con Common DB, BOM/AVL, WO y fecha de corrida.</t>
        </is>
      </c>
      <c r="U468" s="33" t="inlineStr">
        <is>
          <t>Documento oficial firmado, autorizacion FJZ, revision/WO de alcance, confirmacion BOM y evidencia de implementacion si aplica.</t>
        </is>
      </c>
      <c r="V468" s="43" t="n"/>
      <c r="W468" s="43" t="n"/>
      <c r="X468" s="43" t="inlineStr">
        <is>
          <t>INFO</t>
        </is>
      </c>
      <c r="Y468" s="43" t="n"/>
      <c r="Z468" s="43" t="inlineStr">
        <is>
          <t>Pending Review</t>
        </is>
      </c>
      <c r="AA468" s="43" t="inlineStr">
        <is>
          <t>N</t>
        </is>
      </c>
      <c r="AB468" s="43" t="n"/>
      <c r="AC468" s="33" t="inlineStr">
        <is>
          <t xml:space="preserve">FUENTE: Deviation.csv filas 594; Item Number original=73-103920-04 (prefijo 73- es CANDIDATO de PCBA, no confirmacion en Common DB); Workflow de origen=FAI Status; FJZ no validado, revision PCBA/WO no informadas. </t>
        </is>
      </c>
    </row>
    <row r="469">
      <c r="A469" s="43" t="inlineStr">
        <is>
          <t>DA-CTANJZ05483-STBU-73-17497-04</t>
        </is>
      </c>
      <c r="B469" s="43" t="n"/>
      <c r="C469" s="43" t="n"/>
      <c r="D469" s="43" t="inlineStr">
        <is>
          <t>73-17497-04</t>
        </is>
      </c>
      <c r="E469" s="43" t="inlineStr">
        <is>
          <t>DEV-CTANJZ05483</t>
        </is>
      </c>
      <c r="F469" s="43" t="n"/>
      <c r="G469" s="43" t="inlineStr">
        <is>
          <t>STBU</t>
        </is>
      </c>
      <c r="H469" s="43" t="n"/>
      <c r="I469" s="43" t="n"/>
      <c r="J469" s="43" t="n"/>
      <c r="K469" s="43" t="n"/>
      <c r="L469" s="43" t="n"/>
      <c r="M469" s="43" t="n"/>
      <c r="N469" s="43" t="n"/>
      <c r="O469" s="43" t="n"/>
      <c r="P469" s="43" t="n"/>
      <c r="Q469" s="43" t="inlineStr">
        <is>
          <t>BOARD</t>
        </is>
      </c>
      <c r="R469" s="33" t="inlineStr">
        <is>
          <t>REVISAR D613884: verificar accion documentada, PN/revision y vigencia para la corrida. No autoriza sustitucion ni uso de material.</t>
        </is>
      </c>
      <c r="S469" s="43" t="inlineStr">
        <is>
          <t>INFO</t>
        </is>
      </c>
      <c r="T469" s="33" t="inlineStr">
        <is>
          <t>Validar desviacion aprobada y estado; contrastar PN exacto y revision con Common DB, BOM/AVL, WO y fecha de corrida.</t>
        </is>
      </c>
      <c r="U469" s="33" t="inlineStr">
        <is>
          <t>Documento oficial firmado, autorizacion FJZ, revision/WO de alcance, confirmacion BOM y evidencia de implementacion si aplica.</t>
        </is>
      </c>
      <c r="V469" s="43" t="n"/>
      <c r="W469" s="43" t="n"/>
      <c r="X469" s="43" t="inlineStr">
        <is>
          <t>INFO</t>
        </is>
      </c>
      <c r="Y469" s="43" t="n"/>
      <c r="Z469" s="43" t="inlineStr">
        <is>
          <t>Pending Review</t>
        </is>
      </c>
      <c r="AA469" s="43" t="inlineStr">
        <is>
          <t>N</t>
        </is>
      </c>
      <c r="AB469" s="43" t="n"/>
      <c r="AC469" s="33" t="inlineStr">
        <is>
          <t xml:space="preserve">FUENTE: Deviation.csv filas 1642; Item Number original=73-17497-04 (prefijo 73- es CANDIDATO de PCBA, no confirmacion en Common DB); Workflow de origen=Implementation; FJZ no validado, revision PCBA/WO no informadas. </t>
        </is>
      </c>
    </row>
    <row r="470">
      <c r="A470" s="43" t="inlineStr">
        <is>
          <t>DA-CTANJZ05483-STBU-73-17498-04</t>
        </is>
      </c>
      <c r="B470" s="43" t="n"/>
      <c r="C470" s="43" t="n"/>
      <c r="D470" s="43" t="inlineStr">
        <is>
          <t>73-17498-04</t>
        </is>
      </c>
      <c r="E470" s="43" t="inlineStr">
        <is>
          <t>DEV-CTANJZ05483</t>
        </is>
      </c>
      <c r="F470" s="43" t="n"/>
      <c r="G470" s="43" t="inlineStr">
        <is>
          <t>STBU</t>
        </is>
      </c>
      <c r="H470" s="43" t="n"/>
      <c r="I470" s="43" t="n"/>
      <c r="J470" s="43" t="n"/>
      <c r="K470" s="43" t="n"/>
      <c r="L470" s="43" t="n"/>
      <c r="M470" s="43" t="n"/>
      <c r="N470" s="43" t="n"/>
      <c r="O470" s="43" t="n"/>
      <c r="P470" s="43" t="n"/>
      <c r="Q470" s="43" t="inlineStr">
        <is>
          <t>BOARD</t>
        </is>
      </c>
      <c r="R470" s="33" t="inlineStr">
        <is>
          <t>REVISAR D613884: verificar accion documentada, PN/revision y vigencia para la corrida. No autoriza sustitucion ni uso de material.</t>
        </is>
      </c>
      <c r="S470" s="43" t="inlineStr">
        <is>
          <t>INFO</t>
        </is>
      </c>
      <c r="T470" s="33" t="inlineStr">
        <is>
          <t>Validar desviacion aprobada y estado; contrastar PN exacto y revision con Common DB, BOM/AVL, WO y fecha de corrida.</t>
        </is>
      </c>
      <c r="U470" s="33" t="inlineStr">
        <is>
          <t>Documento oficial firmado, autorizacion FJZ, revision/WO de alcance, confirmacion BOM y evidencia de implementacion si aplica.</t>
        </is>
      </c>
      <c r="V470" s="43" t="n"/>
      <c r="W470" s="43" t="n"/>
      <c r="X470" s="43" t="inlineStr">
        <is>
          <t>INFO</t>
        </is>
      </c>
      <c r="Y470" s="43" t="n"/>
      <c r="Z470" s="43" t="inlineStr">
        <is>
          <t>Pending Review</t>
        </is>
      </c>
      <c r="AA470" s="43" t="inlineStr">
        <is>
          <t>N</t>
        </is>
      </c>
      <c r="AB470" s="43" t="n"/>
      <c r="AC470" s="33" t="inlineStr">
        <is>
          <t xml:space="preserve">FUENTE: Deviation.csv filas 1643; Item Number original=73-17498-04 (prefijo 73- es CANDIDATO de PCBA, no confirmacion en Common DB); Workflow de origen=Implementation; FJZ no validado, revision PCBA/WO no informadas. </t>
        </is>
      </c>
    </row>
    <row r="471">
      <c r="A471" s="43" t="inlineStr">
        <is>
          <t>DA-CTANJZ05483-STBU-73-17499-07</t>
        </is>
      </c>
      <c r="B471" s="43" t="n"/>
      <c r="C471" s="43" t="n"/>
      <c r="D471" s="43" t="inlineStr">
        <is>
          <t>73-17499-07</t>
        </is>
      </c>
      <c r="E471" s="43" t="inlineStr">
        <is>
          <t>DEV-CTANJZ05483</t>
        </is>
      </c>
      <c r="F471" s="43" t="n"/>
      <c r="G471" s="43" t="inlineStr">
        <is>
          <t>STBU</t>
        </is>
      </c>
      <c r="H471" s="43" t="n"/>
      <c r="I471" s="43" t="n"/>
      <c r="J471" s="43" t="n"/>
      <c r="K471" s="43" t="n"/>
      <c r="L471" s="43" t="n"/>
      <c r="M471" s="43" t="n"/>
      <c r="N471" s="43" t="n"/>
      <c r="O471" s="43" t="n"/>
      <c r="P471" s="43" t="n"/>
      <c r="Q471" s="43" t="inlineStr">
        <is>
          <t>BOARD</t>
        </is>
      </c>
      <c r="R471" s="33" t="inlineStr">
        <is>
          <t>REVISAR D613884: verificar accion documentada, PN/revision y vigencia para la corrida. No autoriza sustitucion ni uso de material.</t>
        </is>
      </c>
      <c r="S471" s="43" t="inlineStr">
        <is>
          <t>INFO</t>
        </is>
      </c>
      <c r="T471" s="33" t="inlineStr">
        <is>
          <t>Validar desviacion aprobada y estado; contrastar PN exacto y revision con Common DB, BOM/AVL, WO y fecha de corrida.</t>
        </is>
      </c>
      <c r="U471" s="33" t="inlineStr">
        <is>
          <t>Documento oficial firmado, autorizacion FJZ, revision/WO de alcance, confirmacion BOM y evidencia de implementacion si aplica.</t>
        </is>
      </c>
      <c r="V471" s="43" t="n"/>
      <c r="W471" s="43" t="n"/>
      <c r="X471" s="43" t="inlineStr">
        <is>
          <t>INFO</t>
        </is>
      </c>
      <c r="Y471" s="43" t="n"/>
      <c r="Z471" s="43" t="inlineStr">
        <is>
          <t>Pending Review</t>
        </is>
      </c>
      <c r="AA471" s="43" t="inlineStr">
        <is>
          <t>N</t>
        </is>
      </c>
      <c r="AB471" s="43" t="n"/>
      <c r="AC471" s="33" t="inlineStr">
        <is>
          <t xml:space="preserve">FUENTE: Deviation.csv filas 1644; Item Number original=73-17499-07 (prefijo 73- es CANDIDATO de PCBA, no confirmacion en Common DB); Workflow de origen=Implementation; FJZ no validado, revision PCBA/WO no informadas. </t>
        </is>
      </c>
    </row>
    <row r="472">
      <c r="A472" s="43" t="inlineStr">
        <is>
          <t>DA-CTANJZ05483-STBU-73-17510-02</t>
        </is>
      </c>
      <c r="B472" s="43" t="n"/>
      <c r="C472" s="43" t="n"/>
      <c r="D472" s="43" t="inlineStr">
        <is>
          <t>73-17510-02</t>
        </is>
      </c>
      <c r="E472" s="43" t="inlineStr">
        <is>
          <t>DEV-CTANJZ05483</t>
        </is>
      </c>
      <c r="F472" s="43" t="n"/>
      <c r="G472" s="43" t="inlineStr">
        <is>
          <t>STBU</t>
        </is>
      </c>
      <c r="H472" s="43" t="n"/>
      <c r="I472" s="43" t="n"/>
      <c r="J472" s="43" t="n"/>
      <c r="K472" s="43" t="n"/>
      <c r="L472" s="43" t="n"/>
      <c r="M472" s="43" t="n"/>
      <c r="N472" s="43" t="n"/>
      <c r="O472" s="43" t="n"/>
      <c r="P472" s="43" t="n"/>
      <c r="Q472" s="43" t="inlineStr">
        <is>
          <t>BOARD</t>
        </is>
      </c>
      <c r="R472" s="33" t="inlineStr">
        <is>
          <t>REVISAR D613884: verificar accion documentada, PN/revision y vigencia para la corrida. No autoriza sustitucion ni uso de material.</t>
        </is>
      </c>
      <c r="S472" s="43" t="inlineStr">
        <is>
          <t>INFO</t>
        </is>
      </c>
      <c r="T472" s="33" t="inlineStr">
        <is>
          <t>Validar desviacion aprobada y estado; contrastar PN exacto y revision con Common DB, BOM/AVL, WO y fecha de corrida.</t>
        </is>
      </c>
      <c r="U472" s="33" t="inlineStr">
        <is>
          <t>Documento oficial firmado, autorizacion FJZ, revision/WO de alcance, confirmacion BOM y evidencia de implementacion si aplica.</t>
        </is>
      </c>
      <c r="V472" s="43" t="n"/>
      <c r="W472" s="43" t="n"/>
      <c r="X472" s="43" t="inlineStr">
        <is>
          <t>INFO</t>
        </is>
      </c>
      <c r="Y472" s="43" t="n"/>
      <c r="Z472" s="43" t="inlineStr">
        <is>
          <t>Pending Review</t>
        </is>
      </c>
      <c r="AA472" s="43" t="inlineStr">
        <is>
          <t>N</t>
        </is>
      </c>
      <c r="AB472" s="43" t="n"/>
      <c r="AC472" s="33" t="inlineStr">
        <is>
          <t xml:space="preserve">FUENTE: Deviation.csv filas 1645; Item Number original=73-17510-02 (prefijo 73- es CANDIDATO de PCBA, no confirmacion en Common DB); Workflow de origen=Implementation; FJZ no validado, revision PCBA/WO no informadas. </t>
        </is>
      </c>
    </row>
    <row r="473">
      <c r="A473" s="43" t="inlineStr">
        <is>
          <t>DA-CTANJZ05483-STBU-73-17514-02</t>
        </is>
      </c>
      <c r="B473" s="43" t="n"/>
      <c r="C473" s="43" t="n"/>
      <c r="D473" s="43" t="inlineStr">
        <is>
          <t>73-17514-02</t>
        </is>
      </c>
      <c r="E473" s="43" t="inlineStr">
        <is>
          <t>DEV-CTANJZ05483</t>
        </is>
      </c>
      <c r="F473" s="43" t="n"/>
      <c r="G473" s="43" t="inlineStr">
        <is>
          <t>STBU</t>
        </is>
      </c>
      <c r="H473" s="43" t="n"/>
      <c r="I473" s="43" t="n"/>
      <c r="J473" s="43" t="n"/>
      <c r="K473" s="43" t="n"/>
      <c r="L473" s="43" t="n"/>
      <c r="M473" s="43" t="n"/>
      <c r="N473" s="43" t="n"/>
      <c r="O473" s="43" t="n"/>
      <c r="P473" s="43" t="n"/>
      <c r="Q473" s="43" t="inlineStr">
        <is>
          <t>BOARD</t>
        </is>
      </c>
      <c r="R473" s="33" t="inlineStr">
        <is>
          <t>REVISAR D613884: verificar accion documentada, PN/revision y vigencia para la corrida. No autoriza sustitucion ni uso de material.</t>
        </is>
      </c>
      <c r="S473" s="43" t="inlineStr">
        <is>
          <t>INFO</t>
        </is>
      </c>
      <c r="T473" s="33" t="inlineStr">
        <is>
          <t>Validar desviacion aprobada y estado; contrastar PN exacto y revision con Common DB, BOM/AVL, WO y fecha de corrida.</t>
        </is>
      </c>
      <c r="U473" s="33" t="inlineStr">
        <is>
          <t>Documento oficial firmado, autorizacion FJZ, revision/WO de alcance, confirmacion BOM y evidencia de implementacion si aplica.</t>
        </is>
      </c>
      <c r="V473" s="43" t="n"/>
      <c r="W473" s="43" t="n"/>
      <c r="X473" s="43" t="inlineStr">
        <is>
          <t>INFO</t>
        </is>
      </c>
      <c r="Y473" s="43" t="n"/>
      <c r="Z473" s="43" t="inlineStr">
        <is>
          <t>Pending Review</t>
        </is>
      </c>
      <c r="AA473" s="43" t="inlineStr">
        <is>
          <t>N</t>
        </is>
      </c>
      <c r="AB473" s="43" t="n"/>
      <c r="AC473" s="33" t="inlineStr">
        <is>
          <t xml:space="preserve">FUENTE: Deviation.csv filas 1689; Item Number original=73-17514-02 (prefijo 73- es CANDIDATO de PCBA, no confirmacion en Common DB); Workflow de origen=Implementation; FJZ no validado, revision PCBA/WO no informadas. </t>
        </is>
      </c>
    </row>
    <row r="474">
      <c r="A474" s="43" t="inlineStr">
        <is>
          <t>DA-CTANJZ05483-STBU-73-17530-02</t>
        </is>
      </c>
      <c r="B474" s="43" t="n"/>
      <c r="C474" s="43" t="n"/>
      <c r="D474" s="43" t="inlineStr">
        <is>
          <t>73-17530-02</t>
        </is>
      </c>
      <c r="E474" s="43" t="inlineStr">
        <is>
          <t>DEV-CTANJZ05483</t>
        </is>
      </c>
      <c r="F474" s="43" t="n"/>
      <c r="G474" s="43" t="inlineStr">
        <is>
          <t>STBU</t>
        </is>
      </c>
      <c r="H474" s="43" t="n"/>
      <c r="I474" s="43" t="n"/>
      <c r="J474" s="43" t="n"/>
      <c r="K474" s="43" t="n"/>
      <c r="L474" s="43" t="n"/>
      <c r="M474" s="43" t="n"/>
      <c r="N474" s="43" t="n"/>
      <c r="O474" s="43" t="n"/>
      <c r="P474" s="43" t="n"/>
      <c r="Q474" s="43" t="inlineStr">
        <is>
          <t>BOARD</t>
        </is>
      </c>
      <c r="R474" s="33" t="inlineStr">
        <is>
          <t>REVISAR D613884: verificar accion documentada, PN/revision y vigencia para la corrida. No autoriza sustitucion ni uso de material.</t>
        </is>
      </c>
      <c r="S474" s="43" t="inlineStr">
        <is>
          <t>INFO</t>
        </is>
      </c>
      <c r="T474" s="33" t="inlineStr">
        <is>
          <t>Validar desviacion aprobada y estado; contrastar PN exacto y revision con Common DB, BOM/AVL, WO y fecha de corrida.</t>
        </is>
      </c>
      <c r="U474" s="33" t="inlineStr">
        <is>
          <t>Documento oficial firmado, autorizacion FJZ, revision/WO de alcance, confirmacion BOM y evidencia de implementacion si aplica.</t>
        </is>
      </c>
      <c r="V474" s="43" t="n"/>
      <c r="W474" s="43" t="n"/>
      <c r="X474" s="43" t="inlineStr">
        <is>
          <t>INFO</t>
        </is>
      </c>
      <c r="Y474" s="43" t="n"/>
      <c r="Z474" s="43" t="inlineStr">
        <is>
          <t>Pending Review</t>
        </is>
      </c>
      <c r="AA474" s="43" t="inlineStr">
        <is>
          <t>N</t>
        </is>
      </c>
      <c r="AB474" s="43" t="n"/>
      <c r="AC474" s="33" t="inlineStr">
        <is>
          <t xml:space="preserve">FUENTE: Deviation.csv filas 1649; Item Number original=73-17530-02 (prefijo 73- es CANDIDATO de PCBA, no confirmacion en Common DB); Workflow de origen=Implementation; FJZ no validado, revision PCBA/WO no informadas. </t>
        </is>
      </c>
    </row>
    <row r="475">
      <c r="A475" s="43" t="inlineStr">
        <is>
          <t>DA-CTANJZ05483-STBU-73-18626-04</t>
        </is>
      </c>
      <c r="B475" s="43" t="n"/>
      <c r="C475" s="43" t="n"/>
      <c r="D475" s="43" t="inlineStr">
        <is>
          <t>73-18626-04</t>
        </is>
      </c>
      <c r="E475" s="43" t="inlineStr">
        <is>
          <t>DEV-CTANJZ05483</t>
        </is>
      </c>
      <c r="F475" s="43" t="n"/>
      <c r="G475" s="43" t="inlineStr">
        <is>
          <t>STBU</t>
        </is>
      </c>
      <c r="H475" s="43" t="n"/>
      <c r="I475" s="43" t="n"/>
      <c r="J475" s="43" t="n"/>
      <c r="K475" s="43" t="n"/>
      <c r="L475" s="43" t="n"/>
      <c r="M475" s="43" t="n"/>
      <c r="N475" s="43" t="n"/>
      <c r="O475" s="43" t="n"/>
      <c r="P475" s="43" t="n"/>
      <c r="Q475" s="43" t="inlineStr">
        <is>
          <t>BOARD</t>
        </is>
      </c>
      <c r="R475" s="33" t="inlineStr">
        <is>
          <t>REVISAR D613884: verificar accion documentada, PN/revision y vigencia para la corrida. No autoriza sustitucion ni uso de material.</t>
        </is>
      </c>
      <c r="S475" s="43" t="inlineStr">
        <is>
          <t>INFO</t>
        </is>
      </c>
      <c r="T475" s="33" t="inlineStr">
        <is>
          <t>Validar desviacion aprobada y estado; contrastar PN exacto y revision con Common DB, BOM/AVL, WO y fecha de corrida.</t>
        </is>
      </c>
      <c r="U475" s="33" t="inlineStr">
        <is>
          <t>Documento oficial firmado, autorizacion FJZ, revision/WO de alcance, confirmacion BOM y evidencia de implementacion si aplica.</t>
        </is>
      </c>
      <c r="V475" s="43" t="n"/>
      <c r="W475" s="43" t="n"/>
      <c r="X475" s="43" t="inlineStr">
        <is>
          <t>INFO</t>
        </is>
      </c>
      <c r="Y475" s="43" t="n"/>
      <c r="Z475" s="43" t="inlineStr">
        <is>
          <t>Pending Review</t>
        </is>
      </c>
      <c r="AA475" s="43" t="inlineStr">
        <is>
          <t>N</t>
        </is>
      </c>
      <c r="AB475" s="43" t="n"/>
      <c r="AC475" s="33" t="inlineStr">
        <is>
          <t xml:space="preserve">FUENTE: Deviation.csv filas 1650; Item Number original=73-18626-04 (prefijo 73- es CANDIDATO de PCBA, no confirmacion en Common DB); Workflow de origen=Implementation; FJZ no validado, revision PCBA/WO no informadas. </t>
        </is>
      </c>
    </row>
    <row r="476">
      <c r="A476" s="43" t="inlineStr">
        <is>
          <t>DA-CTANJZ05483-STBU-73-19332-01</t>
        </is>
      </c>
      <c r="B476" s="43" t="n"/>
      <c r="C476" s="43" t="n"/>
      <c r="D476" s="43" t="inlineStr">
        <is>
          <t>73-19332-01</t>
        </is>
      </c>
      <c r="E476" s="43" t="inlineStr">
        <is>
          <t>DEV-CTANJZ05483</t>
        </is>
      </c>
      <c r="F476" s="43" t="n"/>
      <c r="G476" s="43" t="inlineStr">
        <is>
          <t>STBU</t>
        </is>
      </c>
      <c r="H476" s="43" t="n"/>
      <c r="I476" s="43" t="n"/>
      <c r="J476" s="43" t="n"/>
      <c r="K476" s="43" t="n"/>
      <c r="L476" s="43" t="n"/>
      <c r="M476" s="43" t="n"/>
      <c r="N476" s="43" t="n"/>
      <c r="O476" s="43" t="n"/>
      <c r="P476" s="43" t="n"/>
      <c r="Q476" s="43" t="inlineStr">
        <is>
          <t>BOARD</t>
        </is>
      </c>
      <c r="R476" s="33" t="inlineStr">
        <is>
          <t>REVISAR D613884: verificar accion documentada, PN/revision y vigencia para la corrida. No autoriza sustitucion ni uso de material.</t>
        </is>
      </c>
      <c r="S476" s="43" t="inlineStr">
        <is>
          <t>INFO</t>
        </is>
      </c>
      <c r="T476" s="33" t="inlineStr">
        <is>
          <t>Validar desviacion aprobada y estado; contrastar PN exacto y revision con Common DB, BOM/AVL, WO y fecha de corrida.</t>
        </is>
      </c>
      <c r="U476" s="33" t="inlineStr">
        <is>
          <t>Documento oficial firmado, autorizacion FJZ, revision/WO de alcance, confirmacion BOM y evidencia de implementacion si aplica.</t>
        </is>
      </c>
      <c r="V476" s="43" t="n"/>
      <c r="W476" s="43" t="n"/>
      <c r="X476" s="43" t="inlineStr">
        <is>
          <t>INFO</t>
        </is>
      </c>
      <c r="Y476" s="43" t="n"/>
      <c r="Z476" s="43" t="inlineStr">
        <is>
          <t>Pending Review</t>
        </is>
      </c>
      <c r="AA476" s="43" t="inlineStr">
        <is>
          <t>N</t>
        </is>
      </c>
      <c r="AB476" s="43" t="n"/>
      <c r="AC476" s="33" t="inlineStr">
        <is>
          <t xml:space="preserve">FUENTE: Deviation.csv filas 1651; Item Number original=73-19332-01 (prefijo 73- es CANDIDATO de PCBA, no confirmacion en Common DB); Workflow de origen=Implementation; FJZ no validado, revision PCBA/WO no informadas. </t>
        </is>
      </c>
    </row>
    <row r="477">
      <c r="A477" s="43" t="inlineStr">
        <is>
          <t>DA-CTANJZ05483-STBU-73-19337-01</t>
        </is>
      </c>
      <c r="B477" s="43" t="n"/>
      <c r="C477" s="43" t="n"/>
      <c r="D477" s="43" t="inlineStr">
        <is>
          <t>73-19337-01</t>
        </is>
      </c>
      <c r="E477" s="43" t="inlineStr">
        <is>
          <t>DEV-CTANJZ05483</t>
        </is>
      </c>
      <c r="F477" s="43" t="n"/>
      <c r="G477" s="43" t="inlineStr">
        <is>
          <t>STBU</t>
        </is>
      </c>
      <c r="H477" s="43" t="n"/>
      <c r="I477" s="43" t="n"/>
      <c r="J477" s="43" t="n"/>
      <c r="K477" s="43" t="n"/>
      <c r="L477" s="43" t="n"/>
      <c r="M477" s="43" t="n"/>
      <c r="N477" s="43" t="n"/>
      <c r="O477" s="43" t="n"/>
      <c r="P477" s="43" t="n"/>
      <c r="Q477" s="43" t="inlineStr">
        <is>
          <t>BOARD</t>
        </is>
      </c>
      <c r="R477" s="33" t="inlineStr">
        <is>
          <t>REVISAR D613884: verificar accion documentada, PN/revision y vigencia para la corrida. No autoriza sustitucion ni uso de material.</t>
        </is>
      </c>
      <c r="S477" s="43" t="inlineStr">
        <is>
          <t>INFO</t>
        </is>
      </c>
      <c r="T477" s="33" t="inlineStr">
        <is>
          <t>Validar desviacion aprobada y estado; contrastar PN exacto y revision con Common DB, BOM/AVL, WO y fecha de corrida.</t>
        </is>
      </c>
      <c r="U477" s="33" t="inlineStr">
        <is>
          <t>Documento oficial firmado, autorizacion FJZ, revision/WO de alcance, confirmacion BOM y evidencia de implementacion si aplica.</t>
        </is>
      </c>
      <c r="V477" s="43" t="n"/>
      <c r="W477" s="43" t="n"/>
      <c r="X477" s="43" t="inlineStr">
        <is>
          <t>INFO</t>
        </is>
      </c>
      <c r="Y477" s="43" t="n"/>
      <c r="Z477" s="43" t="inlineStr">
        <is>
          <t>Pending Review</t>
        </is>
      </c>
      <c r="AA477" s="43" t="inlineStr">
        <is>
          <t>N</t>
        </is>
      </c>
      <c r="AB477" s="43" t="n"/>
      <c r="AC477" s="33" t="inlineStr">
        <is>
          <t xml:space="preserve">FUENTE: Deviation.csv filas 1695; Item Number original=73-19337-01 (prefijo 73- es CANDIDATO de PCBA, no confirmacion en Common DB); Workflow de origen=Implementation; FJZ no validado, revision PCBA/WO no informadas. </t>
        </is>
      </c>
    </row>
    <row r="478">
      <c r="A478" s="43" t="inlineStr">
        <is>
          <t>DA-CTANJZ05483-STBU-73-19361-01</t>
        </is>
      </c>
      <c r="B478" s="43" t="n"/>
      <c r="C478" s="43" t="n"/>
      <c r="D478" s="43" t="inlineStr">
        <is>
          <t>73-19361-01</t>
        </is>
      </c>
      <c r="E478" s="43" t="inlineStr">
        <is>
          <t>DEV-CTANJZ05483</t>
        </is>
      </c>
      <c r="F478" s="43" t="n"/>
      <c r="G478" s="43" t="inlineStr">
        <is>
          <t>STBU</t>
        </is>
      </c>
      <c r="H478" s="43" t="n"/>
      <c r="I478" s="43" t="n"/>
      <c r="J478" s="43" t="n"/>
      <c r="K478" s="43" t="n"/>
      <c r="L478" s="43" t="n"/>
      <c r="M478" s="43" t="n"/>
      <c r="N478" s="43" t="n"/>
      <c r="O478" s="43" t="n"/>
      <c r="P478" s="43" t="n"/>
      <c r="Q478" s="43" t="inlineStr">
        <is>
          <t>BOARD</t>
        </is>
      </c>
      <c r="R478" s="33" t="inlineStr">
        <is>
          <t>REVISAR D613884: verificar accion documentada, PN/revision y vigencia para la corrida. No autoriza sustitucion ni uso de material.</t>
        </is>
      </c>
      <c r="S478" s="43" t="inlineStr">
        <is>
          <t>INFO</t>
        </is>
      </c>
      <c r="T478" s="33" t="inlineStr">
        <is>
          <t>Validar desviacion aprobada y estado; contrastar PN exacto y revision con Common DB, BOM/AVL, WO y fecha de corrida.</t>
        </is>
      </c>
      <c r="U478" s="33" t="inlineStr">
        <is>
          <t>Documento oficial firmado, autorizacion FJZ, revision/WO de alcance, confirmacion BOM y evidencia de implementacion si aplica.</t>
        </is>
      </c>
      <c r="V478" s="43" t="n"/>
      <c r="W478" s="43" t="n"/>
      <c r="X478" s="43" t="inlineStr">
        <is>
          <t>INFO</t>
        </is>
      </c>
      <c r="Y478" s="43" t="n"/>
      <c r="Z478" s="43" t="inlineStr">
        <is>
          <t>Pending Review</t>
        </is>
      </c>
      <c r="AA478" s="43" t="inlineStr">
        <is>
          <t>N</t>
        </is>
      </c>
      <c r="AB478" s="43" t="n"/>
      <c r="AC478" s="33" t="inlineStr">
        <is>
          <t xml:space="preserve">FUENTE: Deviation.csv filas 1696; Item Number original=73-19361-01 (prefijo 73- es CANDIDATO de PCBA, no confirmacion en Common DB); Workflow de origen=Implementation; FJZ no validado, revision PCBA/WO no informadas. </t>
        </is>
      </c>
    </row>
    <row r="479">
      <c r="A479" s="43" t="inlineStr">
        <is>
          <t>DA-CTANJZ05483-STBU-73-20007-01</t>
        </is>
      </c>
      <c r="B479" s="43" t="n"/>
      <c r="C479" s="43" t="n"/>
      <c r="D479" s="43" t="inlineStr">
        <is>
          <t>73-20007-01</t>
        </is>
      </c>
      <c r="E479" s="43" t="inlineStr">
        <is>
          <t>DEV-CTANJZ05483</t>
        </is>
      </c>
      <c r="F479" s="43" t="n"/>
      <c r="G479" s="43" t="inlineStr">
        <is>
          <t>STBU</t>
        </is>
      </c>
      <c r="H479" s="43" t="n"/>
      <c r="I479" s="43" t="n"/>
      <c r="J479" s="43" t="n"/>
      <c r="K479" s="43" t="n"/>
      <c r="L479" s="43" t="n"/>
      <c r="M479" s="43" t="n"/>
      <c r="N479" s="43" t="n"/>
      <c r="O479" s="43" t="n"/>
      <c r="P479" s="43" t="n"/>
      <c r="Q479" s="43" t="inlineStr">
        <is>
          <t>BOARD</t>
        </is>
      </c>
      <c r="R479" s="33" t="inlineStr">
        <is>
          <t>REVISAR D613884: verificar accion documentada, PN/revision y vigencia para la corrida. No autoriza sustitucion ni uso de material.</t>
        </is>
      </c>
      <c r="S479" s="43" t="inlineStr">
        <is>
          <t>INFO</t>
        </is>
      </c>
      <c r="T479" s="33" t="inlineStr">
        <is>
          <t>Validar desviacion aprobada y estado; contrastar PN exacto y revision con Common DB, BOM/AVL, WO y fecha de corrida.</t>
        </is>
      </c>
      <c r="U479" s="33" t="inlineStr">
        <is>
          <t>Documento oficial firmado, autorizacion FJZ, revision/WO de alcance, confirmacion BOM y evidencia de implementacion si aplica.</t>
        </is>
      </c>
      <c r="V479" s="43" t="n"/>
      <c r="W479" s="43" t="n"/>
      <c r="X479" s="43" t="inlineStr">
        <is>
          <t>INFO</t>
        </is>
      </c>
      <c r="Y479" s="43" t="n"/>
      <c r="Z479" s="43" t="inlineStr">
        <is>
          <t>Pending Review</t>
        </is>
      </c>
      <c r="AA479" s="43" t="inlineStr">
        <is>
          <t>N</t>
        </is>
      </c>
      <c r="AB479" s="43" t="n"/>
      <c r="AC479" s="33" t="inlineStr">
        <is>
          <t xml:space="preserve">FUENTE: Deviation.csv filas 1697; Item Number original=73-20007-01 (prefijo 73- es CANDIDATO de PCBA, no confirmacion en Common DB); Workflow de origen=Implementation; FJZ no validado, revision PCBA/WO no informadas. </t>
        </is>
      </c>
    </row>
    <row r="480">
      <c r="A480" s="43" t="inlineStr">
        <is>
          <t>DA-CTANJZ05484-CVEBU-73-103826-05</t>
        </is>
      </c>
      <c r="B480" s="43" t="inlineStr">
        <is>
          <t>BAYFRONT</t>
        </is>
      </c>
      <c r="C480" s="43" t="n"/>
      <c r="D480" s="43" t="inlineStr">
        <is>
          <t>73-103826-05</t>
        </is>
      </c>
      <c r="E480" s="43" t="inlineStr">
        <is>
          <t>DEV-CTANJZ05484</t>
        </is>
      </c>
      <c r="F480" s="43" t="n"/>
      <c r="G480" s="43" t="inlineStr">
        <is>
          <t>CVEBU</t>
        </is>
      </c>
      <c r="H480" s="43" t="n"/>
      <c r="I480" s="43" t="n"/>
      <c r="J480" s="43" t="n"/>
      <c r="K480" s="43" t="n"/>
      <c r="L480" s="43" t="n"/>
      <c r="M480" s="43" t="n"/>
      <c r="N480" s="43" t="n"/>
      <c r="O480" s="43" t="n"/>
      <c r="P480" s="43" t="n"/>
      <c r="Q480" s="43" t="inlineStr">
        <is>
          <t>BOARD</t>
        </is>
      </c>
      <c r="R480" s="33" t="inlineStr">
        <is>
          <t>REVISAR D614019: verificar accion documentada, PN/revision y vigencia para la corrida. No autoriza sustitucion ni uso de material.</t>
        </is>
      </c>
      <c r="S480" s="43" t="inlineStr">
        <is>
          <t>INFO</t>
        </is>
      </c>
      <c r="T480" s="33" t="inlineStr">
        <is>
          <t>Validar desviacion aprobada y estado; contrastar PN exacto y revision con Common DB, BOM/AVL, WO y fecha de corrida.</t>
        </is>
      </c>
      <c r="U480" s="33" t="inlineStr">
        <is>
          <t>Documento oficial firmado, autorizacion FJZ, revision/WO de alcance, confirmacion BOM y evidencia de implementacion si aplica.</t>
        </is>
      </c>
      <c r="V480" s="43" t="n"/>
      <c r="W480" s="43" t="n"/>
      <c r="X480" s="43" t="inlineStr">
        <is>
          <t>INFO</t>
        </is>
      </c>
      <c r="Y480" s="43" t="n"/>
      <c r="Z480" s="43" t="inlineStr">
        <is>
          <t>Pending Review</t>
        </is>
      </c>
      <c r="AA480" s="43" t="inlineStr">
        <is>
          <t>N</t>
        </is>
      </c>
      <c r="AB480" s="43" t="n"/>
      <c r="AC480" s="33" t="inlineStr">
        <is>
          <t xml:space="preserve">FUENTE: Deviation.csv filas 1226; Item Number original=73-103826-05 (prefijo 73- es CANDIDATO de PCBA, no confirmacion en Common DB); Workflow de origen=FAI Status; FJZ no validado, revision PCBA/WO no informadas. </t>
        </is>
      </c>
    </row>
    <row r="481">
      <c r="A481" s="43" t="inlineStr">
        <is>
          <t>DA-CTANJZ05484-CVEBU-73-103880-05</t>
        </is>
      </c>
      <c r="B481" s="43" t="n"/>
      <c r="C481" s="43" t="n"/>
      <c r="D481" s="43" t="inlineStr">
        <is>
          <t>73-103880-05</t>
        </is>
      </c>
      <c r="E481" s="43" t="inlineStr">
        <is>
          <t>DEV-CTANJZ05484</t>
        </is>
      </c>
      <c r="F481" s="43" t="n"/>
      <c r="G481" s="43" t="inlineStr">
        <is>
          <t>CVEBU</t>
        </is>
      </c>
      <c r="H481" s="43" t="n"/>
      <c r="I481" s="43" t="n"/>
      <c r="J481" s="43" t="n"/>
      <c r="K481" s="43" t="n"/>
      <c r="L481" s="43" t="n"/>
      <c r="M481" s="43" t="n"/>
      <c r="N481" s="43" t="n"/>
      <c r="O481" s="43" t="n"/>
      <c r="P481" s="43" t="n"/>
      <c r="Q481" s="43" t="inlineStr">
        <is>
          <t>BOARD</t>
        </is>
      </c>
      <c r="R481" s="33" t="inlineStr">
        <is>
          <t>REVISAR D614019: verificar accion documentada, PN/revision y vigencia para la corrida. No autoriza sustitucion ni uso de material.</t>
        </is>
      </c>
      <c r="S481" s="43" t="inlineStr">
        <is>
          <t>INFO</t>
        </is>
      </c>
      <c r="T481" s="33" t="inlineStr">
        <is>
          <t>Validar desviacion aprobada y estado; contrastar PN exacto y revision con Common DB, BOM/AVL, WO y fecha de corrida.</t>
        </is>
      </c>
      <c r="U481" s="33" t="inlineStr">
        <is>
          <t>Documento oficial firmado, autorizacion FJZ, revision/WO de alcance, confirmacion BOM y evidencia de implementacion si aplica.</t>
        </is>
      </c>
      <c r="V481" s="43" t="n"/>
      <c r="W481" s="43" t="n"/>
      <c r="X481" s="43" t="inlineStr">
        <is>
          <t>INFO</t>
        </is>
      </c>
      <c r="Y481" s="43" t="n"/>
      <c r="Z481" s="43" t="inlineStr">
        <is>
          <t>Pending Review</t>
        </is>
      </c>
      <c r="AA481" s="43" t="inlineStr">
        <is>
          <t>N</t>
        </is>
      </c>
      <c r="AB481" s="43" t="n"/>
      <c r="AC481" s="33" t="inlineStr">
        <is>
          <t xml:space="preserve">FUENTE: Deviation.csv filas 1244; Item Number original=73-103880-05 (prefijo 73- es CANDIDATO de PCBA, no confirmacion en Common DB); Workflow de origen=FAI Status; FJZ no validado, revision PCBA/WO no informadas. </t>
        </is>
      </c>
    </row>
    <row r="482">
      <c r="A482" s="43" t="inlineStr">
        <is>
          <t>DA-CTANJZ05485-STBU-73-102483-02</t>
        </is>
      </c>
      <c r="B482" s="43" t="n"/>
      <c r="C482" s="43" t="n"/>
      <c r="D482" s="43" t="inlineStr">
        <is>
          <t>73-102483-02</t>
        </is>
      </c>
      <c r="E482" s="43" t="inlineStr">
        <is>
          <t>DEV-CTANJZ05485</t>
        </is>
      </c>
      <c r="F482" s="43" t="n"/>
      <c r="G482" s="43" t="inlineStr">
        <is>
          <t>STBU</t>
        </is>
      </c>
      <c r="H482" s="43" t="n"/>
      <c r="I482" s="43" t="n"/>
      <c r="J482" s="43" t="n"/>
      <c r="K482" s="43" t="n"/>
      <c r="L482" s="43" t="n"/>
      <c r="M482" s="43" t="n"/>
      <c r="N482" s="43" t="n"/>
      <c r="O482" s="43" t="n"/>
      <c r="P482" s="43" t="n"/>
      <c r="Q482" s="43" t="inlineStr">
        <is>
          <t>BOARD</t>
        </is>
      </c>
      <c r="R482" s="33" t="inlineStr">
        <is>
          <t>REVISAR D613992: verificar accion documentada, PN/revision y vigencia para la corrida. No autoriza sustitucion ni uso de material.</t>
        </is>
      </c>
      <c r="S482" s="43" t="inlineStr">
        <is>
          <t>INFO</t>
        </is>
      </c>
      <c r="T482" s="33" t="inlineStr">
        <is>
          <t>Validar desviacion aprobada y estado; contrastar PN exacto y revision con Common DB, BOM/AVL, WO y fecha de corrida.</t>
        </is>
      </c>
      <c r="U482" s="33" t="inlineStr">
        <is>
          <t>Documento oficial firmado, autorizacion FJZ, revision/WO de alcance, confirmacion BOM y evidencia de implementacion si aplica.</t>
        </is>
      </c>
      <c r="V482" s="43" t="n"/>
      <c r="W482" s="43" t="n"/>
      <c r="X482" s="43" t="inlineStr">
        <is>
          <t>INFO</t>
        </is>
      </c>
      <c r="Y482" s="43" t="n"/>
      <c r="Z482" s="43" t="inlineStr">
        <is>
          <t>Pending Review</t>
        </is>
      </c>
      <c r="AA482" s="43" t="inlineStr">
        <is>
          <t>N</t>
        </is>
      </c>
      <c r="AB482" s="43" t="n"/>
      <c r="AC482" s="33" t="inlineStr">
        <is>
          <t xml:space="preserve">FUENTE: Deviation.csv filas 233,1564; Item Number original=73-102483-02 (prefijo 73- es CANDIDATO de PCBA, no confirmacion en Common DB); Workflow de origen=Implementation; FJZ no validado, revision PCBA/WO no informadas. </t>
        </is>
      </c>
    </row>
    <row r="483">
      <c r="A483" s="43" t="inlineStr">
        <is>
          <t>DA-CTANJZ05499-CRBU-73-102363-05</t>
        </is>
      </c>
      <c r="B483" s="43" t="n"/>
      <c r="C483" s="43" t="n"/>
      <c r="D483" s="43" t="inlineStr">
        <is>
          <t>73-102363-05</t>
        </is>
      </c>
      <c r="E483" s="43" t="inlineStr">
        <is>
          <t>DEV-CTANJZ05499</t>
        </is>
      </c>
      <c r="F483" s="43" t="n"/>
      <c r="G483" s="43" t="inlineStr">
        <is>
          <t>CRBU</t>
        </is>
      </c>
      <c r="H483" s="43" t="n"/>
      <c r="I483" s="43" t="n"/>
      <c r="J483" s="43" t="n"/>
      <c r="K483" s="43" t="n"/>
      <c r="L483" s="43" t="n"/>
      <c r="M483" s="43" t="n"/>
      <c r="N483" s="43" t="n"/>
      <c r="O483" s="43" t="n"/>
      <c r="P483" s="43" t="n"/>
      <c r="Q483" s="43" t="inlineStr">
        <is>
          <t>BOARD</t>
        </is>
      </c>
      <c r="R483" s="33" t="inlineStr">
        <is>
          <t>REVISAR D612994: verificar accion documentada, PN/revision y vigencia para la corrida. No autoriza sustitucion ni uso de material.</t>
        </is>
      </c>
      <c r="S483" s="43" t="inlineStr">
        <is>
          <t>INFO</t>
        </is>
      </c>
      <c r="T483" s="33" t="inlineStr">
        <is>
          <t>Validar desviacion aprobada y estado; contrastar PN exacto y revision con Common DB, BOM/AVL, WO y fecha de corrida.</t>
        </is>
      </c>
      <c r="U483" s="33" t="inlineStr">
        <is>
          <t>Documento oficial firmado, autorizacion FJZ, revision/WO de alcance, confirmacion BOM y evidencia de implementacion si aplica.</t>
        </is>
      </c>
      <c r="V483" s="43" t="n"/>
      <c r="W483" s="43" t="n"/>
      <c r="X483" s="43" t="inlineStr">
        <is>
          <t>INFO</t>
        </is>
      </c>
      <c r="Y483" s="43" t="n"/>
      <c r="Z483" s="43" t="inlineStr">
        <is>
          <t>Pending Review</t>
        </is>
      </c>
      <c r="AA483" s="43" t="inlineStr">
        <is>
          <t>N</t>
        </is>
      </c>
      <c r="AB483" s="43" t="n"/>
      <c r="AC483" s="33" t="inlineStr">
        <is>
          <t xml:space="preserve">FUENTE: Deviation.csv filas 67,227; Item Number original=73-102363-05 (prefijo 73- es CANDIDATO de PCBA, no confirmacion en Common DB); Workflow de origen=Implementation; FJZ no validado, revision PCBA/WO no informadas. </t>
        </is>
      </c>
    </row>
    <row r="484">
      <c r="A484" s="43" t="inlineStr">
        <is>
          <t>DA-CTANJZ05500-CRBU-73-102362-07</t>
        </is>
      </c>
      <c r="B484" s="43" t="n"/>
      <c r="C484" s="43" t="n"/>
      <c r="D484" s="43" t="inlineStr">
        <is>
          <t>73-102362-07</t>
        </is>
      </c>
      <c r="E484" s="43" t="inlineStr">
        <is>
          <t>DEV-CTANJZ05500</t>
        </is>
      </c>
      <c r="F484" s="43" t="n"/>
      <c r="G484" s="43" t="inlineStr">
        <is>
          <t>CRBU</t>
        </is>
      </c>
      <c r="H484" s="43" t="n"/>
      <c r="I484" s="43" t="n"/>
      <c r="J484" s="43" t="n"/>
      <c r="K484" s="43" t="n"/>
      <c r="L484" s="43" t="n"/>
      <c r="M484" s="43" t="n"/>
      <c r="N484" s="43" t="n"/>
      <c r="O484" s="43" t="n"/>
      <c r="P484" s="43" t="n"/>
      <c r="Q484" s="43" t="inlineStr">
        <is>
          <t>BOARD</t>
        </is>
      </c>
      <c r="R484" s="33" t="inlineStr">
        <is>
          <t>REVISAR D612993: verificar accion documentada, PN/revision y vigencia para la corrida. No autoriza sustitucion ni uso de material.</t>
        </is>
      </c>
      <c r="S484" s="43" t="inlineStr">
        <is>
          <t>INFO</t>
        </is>
      </c>
      <c r="T484" s="33" t="inlineStr">
        <is>
          <t>Validar desviacion aprobada y estado; contrastar PN exacto y revision con Common DB, BOM/AVL, WO y fecha de corrida.</t>
        </is>
      </c>
      <c r="U484" s="33" t="inlineStr">
        <is>
          <t>Documento oficial firmado, autorizacion FJZ, revision/WO de alcance, confirmacion BOM y evidencia de implementacion si aplica.</t>
        </is>
      </c>
      <c r="V484" s="43" t="n"/>
      <c r="W484" s="43" t="n"/>
      <c r="X484" s="43" t="inlineStr">
        <is>
          <t>INFO</t>
        </is>
      </c>
      <c r="Y484" s="43" t="n"/>
      <c r="Z484" s="43" t="inlineStr">
        <is>
          <t>Pending Review</t>
        </is>
      </c>
      <c r="AA484" s="43" t="inlineStr">
        <is>
          <t>N</t>
        </is>
      </c>
      <c r="AB484" s="43" t="n"/>
      <c r="AC484" s="33" t="inlineStr">
        <is>
          <t xml:space="preserve">FUENTE: Deviation.csv filas 130,253; Item Number original=73-102362-07 (prefijo 73- es CANDIDATO de PCBA, no confirmacion en Common DB); Workflow de origen=Pending; FJZ no validado, revision PCBA/WO no informadas. </t>
        </is>
      </c>
    </row>
    <row r="485">
      <c r="A485" s="43" t="inlineStr">
        <is>
          <t>DA-CTANJZ05501-STBU-73-104531-01</t>
        </is>
      </c>
      <c r="B485" s="43" t="n"/>
      <c r="C485" s="43" t="n"/>
      <c r="D485" s="43" t="inlineStr">
        <is>
          <t>73-104531-01</t>
        </is>
      </c>
      <c r="E485" s="43" t="inlineStr">
        <is>
          <t>DEV-CTANJZ05501</t>
        </is>
      </c>
      <c r="F485" s="43" t="n"/>
      <c r="G485" s="43" t="inlineStr">
        <is>
          <t>STBU</t>
        </is>
      </c>
      <c r="H485" s="43" t="n"/>
      <c r="I485" s="43" t="n"/>
      <c r="J485" s="43" t="n"/>
      <c r="K485" s="43" t="n"/>
      <c r="L485" s="43" t="n"/>
      <c r="M485" s="43" t="n"/>
      <c r="N485" s="43" t="n"/>
      <c r="O485" s="43" t="n"/>
      <c r="P485" s="43" t="n"/>
      <c r="Q485" s="43" t="inlineStr">
        <is>
          <t>BOARD</t>
        </is>
      </c>
      <c r="R485" s="33" t="inlineStr">
        <is>
          <t>REVISAR DP526639: verificar accion documentada, PN/revision y vigencia para la corrida. No autoriza sustitucion ni uso de material.</t>
        </is>
      </c>
      <c r="S485" s="43" t="inlineStr">
        <is>
          <t>INFO</t>
        </is>
      </c>
      <c r="T485" s="33" t="inlineStr">
        <is>
          <t>Validar desviacion aprobada y estado; contrastar PN exacto y revision con Common DB, BOM/AVL, WO y fecha de corrida.</t>
        </is>
      </c>
      <c r="U485" s="33" t="inlineStr">
        <is>
          <t>Documento oficial firmado, autorizacion FJZ, revision/WO de alcance, confirmacion BOM y evidencia de implementacion si aplica.</t>
        </is>
      </c>
      <c r="V485" s="43" t="n"/>
      <c r="W485" s="43" t="n"/>
      <c r="X485" s="43" t="inlineStr">
        <is>
          <t>INFO</t>
        </is>
      </c>
      <c r="Y485" s="43" t="n"/>
      <c r="Z485" s="43" t="inlineStr">
        <is>
          <t>Pending Review</t>
        </is>
      </c>
      <c r="AA485" s="43" t="inlineStr">
        <is>
          <t>N</t>
        </is>
      </c>
      <c r="AB485" s="43" t="n"/>
      <c r="AC485" s="33" t="inlineStr">
        <is>
          <t xml:space="preserve">FUENTE: Deviation.csv filas 1888; Item Number original=73-104531-01 (prefijo 73- es CANDIDATO de PCBA, no confirmacion en Common DB); Workflow de origen=CCB; FJZ no validado, revision PCBA/WO no informadas. </t>
        </is>
      </c>
    </row>
    <row r="486">
      <c r="A486" s="43" t="inlineStr">
        <is>
          <t>DA-CTANJZ05501-STBU-73-104532-01</t>
        </is>
      </c>
      <c r="B486" s="43" t="inlineStr">
        <is>
          <t>GREENFORD</t>
        </is>
      </c>
      <c r="C486" s="43" t="n"/>
      <c r="D486" s="43" t="inlineStr">
        <is>
          <t>73-104532-01</t>
        </is>
      </c>
      <c r="E486" s="43" t="inlineStr">
        <is>
          <t>DEV-CTANJZ05501</t>
        </is>
      </c>
      <c r="F486" s="43" t="n"/>
      <c r="G486" s="43" t="inlineStr">
        <is>
          <t>STBU</t>
        </is>
      </c>
      <c r="H486" s="43" t="n"/>
      <c r="I486" s="43" t="n"/>
      <c r="J486" s="43" t="n"/>
      <c r="K486" s="43" t="n"/>
      <c r="L486" s="43" t="n"/>
      <c r="M486" s="43" t="n"/>
      <c r="N486" s="43" t="n"/>
      <c r="O486" s="43" t="n"/>
      <c r="P486" s="43" t="n"/>
      <c r="Q486" s="43" t="inlineStr">
        <is>
          <t>BOARD</t>
        </is>
      </c>
      <c r="R486" s="33" t="inlineStr">
        <is>
          <t>REVISAR DP526639: verificar accion documentada, PN/revision y vigencia para la corrida. No autoriza sustitucion ni uso de material.</t>
        </is>
      </c>
      <c r="S486" s="43" t="inlineStr">
        <is>
          <t>INFO</t>
        </is>
      </c>
      <c r="T486" s="33" t="inlineStr">
        <is>
          <t>Validar desviacion aprobada y estado; contrastar PN exacto y revision con Common DB, BOM/AVL, WO y fecha de corrida.</t>
        </is>
      </c>
      <c r="U486" s="33" t="inlineStr">
        <is>
          <t>Documento oficial firmado, autorizacion FJZ, revision/WO de alcance, confirmacion BOM y evidencia de implementacion si aplica.</t>
        </is>
      </c>
      <c r="V486" s="43" t="n"/>
      <c r="W486" s="43" t="n"/>
      <c r="X486" s="43" t="inlineStr">
        <is>
          <t>INFO</t>
        </is>
      </c>
      <c r="Y486" s="43" t="n"/>
      <c r="Z486" s="43" t="inlineStr">
        <is>
          <t>Pending Review</t>
        </is>
      </c>
      <c r="AA486" s="43" t="inlineStr">
        <is>
          <t>N</t>
        </is>
      </c>
      <c r="AB486" s="43" t="n"/>
      <c r="AC486" s="33" t="inlineStr">
        <is>
          <t xml:space="preserve">FUENTE: Deviation.csv filas 1889; Item Number original=73-104532-01 (prefijo 73- es CANDIDATO de PCBA, no confirmacion en Common DB); Workflow de origen=CCB; FJZ no validado, revision PCBA/WO no informadas. </t>
        </is>
      </c>
    </row>
    <row r="487">
      <c r="A487" s="43" t="inlineStr">
        <is>
          <t>DA-CTANJZ05501-STBU-73-104533-01</t>
        </is>
      </c>
      <c r="B487" s="43" t="n"/>
      <c r="C487" s="43" t="n"/>
      <c r="D487" s="43" t="inlineStr">
        <is>
          <t>73-104533-01</t>
        </is>
      </c>
      <c r="E487" s="43" t="inlineStr">
        <is>
          <t>DEV-CTANJZ05501</t>
        </is>
      </c>
      <c r="F487" s="43" t="n"/>
      <c r="G487" s="43" t="inlineStr">
        <is>
          <t>STBU</t>
        </is>
      </c>
      <c r="H487" s="43" t="n"/>
      <c r="I487" s="43" t="n"/>
      <c r="J487" s="43" t="n"/>
      <c r="K487" s="43" t="n"/>
      <c r="L487" s="43" t="n"/>
      <c r="M487" s="43" t="n"/>
      <c r="N487" s="43" t="n"/>
      <c r="O487" s="43" t="n"/>
      <c r="P487" s="43" t="n"/>
      <c r="Q487" s="43" t="inlineStr">
        <is>
          <t>BOARD</t>
        </is>
      </c>
      <c r="R487" s="33" t="inlineStr">
        <is>
          <t>REVISAR DP526639: verificar accion documentada, PN/revision y vigencia para la corrida. No autoriza sustitucion ni uso de material.</t>
        </is>
      </c>
      <c r="S487" s="43" t="inlineStr">
        <is>
          <t>INFO</t>
        </is>
      </c>
      <c r="T487" s="33" t="inlineStr">
        <is>
          <t>Validar desviacion aprobada y estado; contrastar PN exacto y revision con Common DB, BOM/AVL, WO y fecha de corrida.</t>
        </is>
      </c>
      <c r="U487" s="33" t="inlineStr">
        <is>
          <t>Documento oficial firmado, autorizacion FJZ, revision/WO de alcance, confirmacion BOM y evidencia de implementacion si aplica.</t>
        </is>
      </c>
      <c r="V487" s="43" t="n"/>
      <c r="W487" s="43" t="n"/>
      <c r="X487" s="43" t="inlineStr">
        <is>
          <t>INFO</t>
        </is>
      </c>
      <c r="Y487" s="43" t="n"/>
      <c r="Z487" s="43" t="inlineStr">
        <is>
          <t>Pending Review</t>
        </is>
      </c>
      <c r="AA487" s="43" t="inlineStr">
        <is>
          <t>N</t>
        </is>
      </c>
      <c r="AB487" s="43" t="n"/>
      <c r="AC487" s="33" t="inlineStr">
        <is>
          <t xml:space="preserve">FUENTE: Deviation.csv filas 1890; Item Number original=73-104533-01 (prefijo 73- es CANDIDATO de PCBA, no confirmacion en Common DB); Workflow de origen=CCB; FJZ no validado, revision PCBA/WO no informadas. </t>
        </is>
      </c>
    </row>
    <row r="488">
      <c r="A488" s="43" t="inlineStr">
        <is>
          <t>DA-CTANJZ05502-CRBU-73-21335-01</t>
        </is>
      </c>
      <c r="B488" s="43" t="n"/>
      <c r="C488" s="43" t="n"/>
      <c r="D488" s="43" t="inlineStr">
        <is>
          <t>73-21335-01</t>
        </is>
      </c>
      <c r="E488" s="43" t="inlineStr">
        <is>
          <t>DEV-CTANJZ05502</t>
        </is>
      </c>
      <c r="F488" s="43" t="n"/>
      <c r="G488" s="43" t="inlineStr">
        <is>
          <t>CRBU</t>
        </is>
      </c>
      <c r="H488" s="43" t="n"/>
      <c r="I488" s="43" t="n"/>
      <c r="J488" s="43" t="n"/>
      <c r="K488" s="43" t="n"/>
      <c r="L488" s="43" t="n"/>
      <c r="M488" s="43" t="n"/>
      <c r="N488" s="43" t="n"/>
      <c r="O488" s="43" t="n"/>
      <c r="P488" s="43" t="n"/>
      <c r="Q488" s="43" t="inlineStr">
        <is>
          <t>BOARD</t>
        </is>
      </c>
      <c r="R488" s="33" t="inlineStr">
        <is>
          <t>REVISAR D613744: verificar accion documentada, PN/revision y vigencia para la corrida. No autoriza sustitucion ni uso de material.</t>
        </is>
      </c>
      <c r="S488" s="43" t="inlineStr">
        <is>
          <t>INFO</t>
        </is>
      </c>
      <c r="T488" s="33" t="inlineStr">
        <is>
          <t>Validar desviacion aprobada y estado; contrastar PN exacto y revision con Common DB, BOM/AVL, WO y fecha de corrida.</t>
        </is>
      </c>
      <c r="U488" s="33" t="inlineStr">
        <is>
          <t>Documento oficial firmado, autorizacion FJZ, revision/WO de alcance, confirmacion BOM y evidencia de implementacion si aplica.</t>
        </is>
      </c>
      <c r="V488" s="43" t="n"/>
      <c r="W488" s="43" t="n"/>
      <c r="X488" s="43" t="inlineStr">
        <is>
          <t>INFO</t>
        </is>
      </c>
      <c r="Y488" s="43" t="n"/>
      <c r="Z488" s="43" t="inlineStr">
        <is>
          <t>Pending Review</t>
        </is>
      </c>
      <c r="AA488" s="43" t="inlineStr">
        <is>
          <t>N</t>
        </is>
      </c>
      <c r="AB488" s="43" t="n"/>
      <c r="AC488" s="33" t="inlineStr">
        <is>
          <t xml:space="preserve">FUENTE: Deviation.csv filas 129,252; Item Number original=73-21335-01 (prefijo 73- es CANDIDATO de PCBA, no confirmacion en Common DB); Workflow de origen=Pending; FJZ no validado, revision PCBA/WO no informadas. </t>
        </is>
      </c>
    </row>
    <row r="489">
      <c r="A489" s="43" t="inlineStr">
        <is>
          <t>DA-CTANJZ05503-CRBU-73-20922-04</t>
        </is>
      </c>
      <c r="B489" s="43" t="n"/>
      <c r="C489" s="43" t="n"/>
      <c r="D489" s="43" t="inlineStr">
        <is>
          <t>73-20922-04</t>
        </is>
      </c>
      <c r="E489" s="43" t="inlineStr">
        <is>
          <t>DEV-CTANJZ05503</t>
        </is>
      </c>
      <c r="F489" s="43" t="n"/>
      <c r="G489" s="43" t="inlineStr">
        <is>
          <t>CRBU</t>
        </is>
      </c>
      <c r="H489" s="43" t="n"/>
      <c r="I489" s="43" t="n"/>
      <c r="J489" s="43" t="n"/>
      <c r="K489" s="43" t="n"/>
      <c r="L489" s="43" t="n"/>
      <c r="M489" s="43" t="n"/>
      <c r="N489" s="43" t="n"/>
      <c r="O489" s="43" t="n"/>
      <c r="P489" s="43" t="n"/>
      <c r="Q489" s="43" t="inlineStr">
        <is>
          <t>BOARD</t>
        </is>
      </c>
      <c r="R489" s="33" t="inlineStr">
        <is>
          <t>REVISAR D612992: verificar accion documentada, PN/revision y vigencia para la corrida. No autoriza sustitucion ni uso de material.</t>
        </is>
      </c>
      <c r="S489" s="43" t="inlineStr">
        <is>
          <t>INFO</t>
        </is>
      </c>
      <c r="T489" s="33" t="inlineStr">
        <is>
          <t>Validar desviacion aprobada y estado; contrastar PN exacto y revision con Common DB, BOM/AVL, WO y fecha de corrida.</t>
        </is>
      </c>
      <c r="U489" s="33" t="inlineStr">
        <is>
          <t>Documento oficial firmado, autorizacion FJZ, revision/WO de alcance, confirmacion BOM y evidencia de implementacion si aplica.</t>
        </is>
      </c>
      <c r="V489" s="43" t="n"/>
      <c r="W489" s="43" t="n"/>
      <c r="X489" s="43" t="inlineStr">
        <is>
          <t>INFO</t>
        </is>
      </c>
      <c r="Y489" s="43" t="n"/>
      <c r="Z489" s="43" t="inlineStr">
        <is>
          <t>Pending Review</t>
        </is>
      </c>
      <c r="AA489" s="43" t="inlineStr">
        <is>
          <t>N</t>
        </is>
      </c>
      <c r="AB489" s="43" t="n"/>
      <c r="AC489" s="33" t="inlineStr">
        <is>
          <t xml:space="preserve">FUENTE: Deviation.csv filas 135,197; Item Number original=73-20922-04 (prefijo 73- es CANDIDATO de PCBA, no confirmacion en Common DB); Workflow de origen=Pending; FJZ no validado, revision PCBA/WO no informadas. </t>
        </is>
      </c>
    </row>
    <row r="490">
      <c r="A490" s="43" t="inlineStr">
        <is>
          <t>DA-CTANJZ05504-CRBU-73-19911-07</t>
        </is>
      </c>
      <c r="B490" s="43" t="n"/>
      <c r="C490" s="43" t="n"/>
      <c r="D490" s="43" t="inlineStr">
        <is>
          <t>73-19911-07</t>
        </is>
      </c>
      <c r="E490" s="43" t="inlineStr">
        <is>
          <t>DEV-CTANJZ05504</t>
        </is>
      </c>
      <c r="F490" s="43" t="n"/>
      <c r="G490" s="43" t="inlineStr">
        <is>
          <t>CRBU</t>
        </is>
      </c>
      <c r="H490" s="43" t="n"/>
      <c r="I490" s="43" t="n"/>
      <c r="J490" s="43" t="n"/>
      <c r="K490" s="43" t="n"/>
      <c r="L490" s="43" t="n"/>
      <c r="M490" s="43" t="n"/>
      <c r="N490" s="43" t="n"/>
      <c r="O490" s="43" t="n"/>
      <c r="P490" s="43" t="n"/>
      <c r="Q490" s="43" t="inlineStr">
        <is>
          <t>BOARD</t>
        </is>
      </c>
      <c r="R490" s="33" t="inlineStr">
        <is>
          <t>REVISAR D611865: verificar accion documentada, PN/revision y vigencia para la corrida. No autoriza sustitucion ni uso de material.</t>
        </is>
      </c>
      <c r="S490" s="43" t="inlineStr">
        <is>
          <t>INFO</t>
        </is>
      </c>
      <c r="T490" s="33" t="inlineStr">
        <is>
          <t>Validar desviacion aprobada y estado; contrastar PN exacto y revision con Common DB, BOM/AVL, WO y fecha de corrida.</t>
        </is>
      </c>
      <c r="U490" s="33" t="inlineStr">
        <is>
          <t>Documento oficial firmado, autorizacion FJZ, revision/WO de alcance, confirmacion BOM y evidencia de implementacion si aplica.</t>
        </is>
      </c>
      <c r="V490" s="43" t="n"/>
      <c r="W490" s="43" t="n"/>
      <c r="X490" s="43" t="inlineStr">
        <is>
          <t>INFO</t>
        </is>
      </c>
      <c r="Y490" s="43" t="n"/>
      <c r="Z490" s="43" t="inlineStr">
        <is>
          <t>Pending Review</t>
        </is>
      </c>
      <c r="AA490" s="43" t="inlineStr">
        <is>
          <t>N</t>
        </is>
      </c>
      <c r="AB490" s="43" t="n"/>
      <c r="AC490" s="33" t="inlineStr">
        <is>
          <t xml:space="preserve">FUENTE: Deviation.csv filas 584; Item Number original=73-19911-07 (prefijo 73- es CANDIDATO de PCBA, no confirmacion en Common DB); Workflow de origen=CCB; FJZ no validado, revision PCBA/WO no informadas. </t>
        </is>
      </c>
    </row>
    <row r="491">
      <c r="A491" s="43" t="inlineStr">
        <is>
          <t>DA-CTANJZ05506-CRBU-73-102363-05</t>
        </is>
      </c>
      <c r="B491" s="43" t="n"/>
      <c r="C491" s="43" t="n"/>
      <c r="D491" s="43" t="inlineStr">
        <is>
          <t>73-102363-05</t>
        </is>
      </c>
      <c r="E491" s="43" t="inlineStr">
        <is>
          <t>DEV-CTANJZ05506</t>
        </is>
      </c>
      <c r="F491" s="43" t="n"/>
      <c r="G491" s="43" t="inlineStr">
        <is>
          <t>CRBU</t>
        </is>
      </c>
      <c r="H491" s="43" t="n"/>
      <c r="I491" s="43" t="n"/>
      <c r="J491" s="43" t="n"/>
      <c r="K491" s="43" t="n"/>
      <c r="L491" s="43" t="n"/>
      <c r="M491" s="43" t="n"/>
      <c r="N491" s="43" t="n"/>
      <c r="O491" s="43" t="n"/>
      <c r="P491" s="43" t="n"/>
      <c r="Q491" s="43" t="inlineStr">
        <is>
          <t>BOARD</t>
        </is>
      </c>
      <c r="R491" s="33" t="inlineStr">
        <is>
          <t>REVISAR D613418: verificar accion documentada, PN/revision y vigencia para la corrida. No autoriza sustitucion ni uso de material.</t>
        </is>
      </c>
      <c r="S491" s="43" t="inlineStr">
        <is>
          <t>INFO</t>
        </is>
      </c>
      <c r="T491" s="33" t="inlineStr">
        <is>
          <t>Validar desviacion aprobada y estado; contrastar PN exacto y revision con Common DB, BOM/AVL, WO y fecha de corrida.</t>
        </is>
      </c>
      <c r="U491" s="33" t="inlineStr">
        <is>
          <t>Documento oficial firmado, autorizacion FJZ, revision/WO de alcance, confirmacion BOM y evidencia de implementacion si aplica.</t>
        </is>
      </c>
      <c r="V491" s="43" t="n"/>
      <c r="W491" s="43" t="n"/>
      <c r="X491" s="43" t="inlineStr">
        <is>
          <t>INFO</t>
        </is>
      </c>
      <c r="Y491" s="43" t="n"/>
      <c r="Z491" s="43" t="inlineStr">
        <is>
          <t>Pending Review</t>
        </is>
      </c>
      <c r="AA491" s="43" t="inlineStr">
        <is>
          <t>N</t>
        </is>
      </c>
      <c r="AB491" s="43" t="n"/>
      <c r="AC491" s="33" t="inlineStr">
        <is>
          <t xml:space="preserve">FUENTE: Deviation.csv filas 138,324; Item Number original=73-102363-05 (prefijo 73- es CANDIDATO de PCBA, no confirmacion en Common DB); Workflow de origen=Implementation; FJZ no validado, revision PCBA/WO no informadas. </t>
        </is>
      </c>
    </row>
    <row r="492">
      <c r="A492" s="43" t="inlineStr">
        <is>
          <t>DA-CTANJZ05507-CRBU-73-102363-05</t>
        </is>
      </c>
      <c r="B492" s="43" t="n"/>
      <c r="C492" s="43" t="n"/>
      <c r="D492" s="43" t="inlineStr">
        <is>
          <t>73-102363-05</t>
        </is>
      </c>
      <c r="E492" s="43" t="inlineStr">
        <is>
          <t>DEV-CTANJZ05507</t>
        </is>
      </c>
      <c r="F492" s="43" t="n"/>
      <c r="G492" s="43" t="inlineStr">
        <is>
          <t>CRBU</t>
        </is>
      </c>
      <c r="H492" s="43" t="n"/>
      <c r="I492" s="43" t="n"/>
      <c r="J492" s="43" t="n"/>
      <c r="K492" s="43" t="n"/>
      <c r="L492" s="43" t="n"/>
      <c r="M492" s="43" t="n"/>
      <c r="N492" s="43" t="n"/>
      <c r="O492" s="43" t="n"/>
      <c r="P492" s="43" t="n"/>
      <c r="Q492" s="43" t="inlineStr">
        <is>
          <t>BOARD</t>
        </is>
      </c>
      <c r="R492" s="33" t="inlineStr">
        <is>
          <t>REVISAR D613427: verificar accion documentada, PN/revision y vigencia para la corrida. No autoriza sustitucion ni uso de material.</t>
        </is>
      </c>
      <c r="S492" s="43" t="inlineStr">
        <is>
          <t>INFO</t>
        </is>
      </c>
      <c r="T492" s="33" t="inlineStr">
        <is>
          <t>Validar desviacion aprobada y estado; contrastar PN exacto y revision con Common DB, BOM/AVL, WO y fecha de corrida.</t>
        </is>
      </c>
      <c r="U492" s="33" t="inlineStr">
        <is>
          <t>Documento oficial firmado, autorizacion FJZ, revision/WO de alcance, confirmacion BOM y evidencia de implementacion si aplica.</t>
        </is>
      </c>
      <c r="V492" s="43" t="n"/>
      <c r="W492" s="43" t="n"/>
      <c r="X492" s="43" t="inlineStr">
        <is>
          <t>INFO</t>
        </is>
      </c>
      <c r="Y492" s="43" t="n"/>
      <c r="Z492" s="43" t="inlineStr">
        <is>
          <t>Pending Review</t>
        </is>
      </c>
      <c r="AA492" s="43" t="inlineStr">
        <is>
          <t>N</t>
        </is>
      </c>
      <c r="AB492" s="43" t="n"/>
      <c r="AC492" s="33" t="inlineStr">
        <is>
          <t xml:space="preserve">FUENTE: Deviation.csv filas 140,326; Item Number original=73-102363-05 (prefijo 73- es CANDIDATO de PCBA, no confirmacion en Common DB); Workflow de origen=Implementation; FJZ no validado, revision PCBA/WO no informadas. </t>
        </is>
      </c>
    </row>
    <row r="493">
      <c r="A493" s="43" t="inlineStr">
        <is>
          <t>DA-CTANJZ05510-STBU-73-16685-04</t>
        </is>
      </c>
      <c r="B493" s="43" t="n"/>
      <c r="C493" s="43" t="n"/>
      <c r="D493" s="43" t="inlineStr">
        <is>
          <t>73-16685-04</t>
        </is>
      </c>
      <c r="E493" s="43" t="inlineStr">
        <is>
          <t>DEV-CTANJZ05510</t>
        </is>
      </c>
      <c r="F493" s="43" t="n"/>
      <c r="G493" s="43" t="inlineStr">
        <is>
          <t>STBU</t>
        </is>
      </c>
      <c r="H493" s="43" t="n"/>
      <c r="I493" s="43" t="n"/>
      <c r="J493" s="43" t="n"/>
      <c r="K493" s="43" t="n"/>
      <c r="L493" s="43" t="n"/>
      <c r="M493" s="43" t="n"/>
      <c r="N493" s="43" t="n"/>
      <c r="O493" s="43" t="n"/>
      <c r="P493" s="43" t="n"/>
      <c r="Q493" s="43" t="inlineStr">
        <is>
          <t>BOARD</t>
        </is>
      </c>
      <c r="R493" s="33" t="inlineStr">
        <is>
          <t>REVISAR D614346: verificar accion documentada, PN/revision y vigencia para la corrida. No autoriza sustitucion ni uso de material.</t>
        </is>
      </c>
      <c r="S493" s="43" t="inlineStr">
        <is>
          <t>INFO</t>
        </is>
      </c>
      <c r="T493" s="33" t="inlineStr">
        <is>
          <t>Validar desviacion aprobada y estado; contrastar PN exacto y revision con Common DB, BOM/AVL, WO y fecha de corrida.</t>
        </is>
      </c>
      <c r="U493" s="33" t="inlineStr">
        <is>
          <t>Documento oficial firmado, autorizacion FJZ, revision/WO de alcance, confirmacion BOM y evidencia de implementacion si aplica.</t>
        </is>
      </c>
      <c r="V493" s="43" t="n"/>
      <c r="W493" s="43" t="n"/>
      <c r="X493" s="43" t="inlineStr">
        <is>
          <t>INFO</t>
        </is>
      </c>
      <c r="Y493" s="43" t="n"/>
      <c r="Z493" s="43" t="inlineStr">
        <is>
          <t>Pending Review</t>
        </is>
      </c>
      <c r="AA493" s="43" t="inlineStr">
        <is>
          <t>N</t>
        </is>
      </c>
      <c r="AB493" s="43" t="n"/>
      <c r="AC493" s="33" t="inlineStr">
        <is>
          <t xml:space="preserve">FUENTE: Deviation.csv filas 1702; Item Number original=73-16685-04 (prefijo 73- es CANDIDATO de PCBA, no confirmacion en Common DB); Workflow de origen=CCB; FJZ no validado, revision PCBA/WO no informadas. </t>
        </is>
      </c>
    </row>
    <row r="494">
      <c r="A494" s="43" t="inlineStr">
        <is>
          <t>DA-CTANJZ05510-STBU-73-16828-04</t>
        </is>
      </c>
      <c r="B494" s="43" t="n"/>
      <c r="C494" s="43" t="n"/>
      <c r="D494" s="43" t="inlineStr">
        <is>
          <t>73-16828-04</t>
        </is>
      </c>
      <c r="E494" s="43" t="inlineStr">
        <is>
          <t>DEV-CTANJZ05510</t>
        </is>
      </c>
      <c r="F494" s="43" t="n"/>
      <c r="G494" s="43" t="inlineStr">
        <is>
          <t>STBU</t>
        </is>
      </c>
      <c r="H494" s="43" t="n"/>
      <c r="I494" s="43" t="n"/>
      <c r="J494" s="43" t="n"/>
      <c r="K494" s="43" t="n"/>
      <c r="L494" s="43" t="n"/>
      <c r="M494" s="43" t="n"/>
      <c r="N494" s="43" t="n"/>
      <c r="O494" s="43" t="n"/>
      <c r="P494" s="43" t="n"/>
      <c r="Q494" s="43" t="inlineStr">
        <is>
          <t>BOARD</t>
        </is>
      </c>
      <c r="R494" s="33" t="inlineStr">
        <is>
          <t>REVISAR D614346: verificar accion documentada, PN/revision y vigencia para la corrida. No autoriza sustitucion ni uso de material.</t>
        </is>
      </c>
      <c r="S494" s="43" t="inlineStr">
        <is>
          <t>INFO</t>
        </is>
      </c>
      <c r="T494" s="33" t="inlineStr">
        <is>
          <t>Validar desviacion aprobada y estado; contrastar PN exacto y revision con Common DB, BOM/AVL, WO y fecha de corrida.</t>
        </is>
      </c>
      <c r="U494" s="33" t="inlineStr">
        <is>
          <t>Documento oficial firmado, autorizacion FJZ, revision/WO de alcance, confirmacion BOM y evidencia de implementacion si aplica.</t>
        </is>
      </c>
      <c r="V494" s="43" t="n"/>
      <c r="W494" s="43" t="n"/>
      <c r="X494" s="43" t="inlineStr">
        <is>
          <t>INFO</t>
        </is>
      </c>
      <c r="Y494" s="43" t="n"/>
      <c r="Z494" s="43" t="inlineStr">
        <is>
          <t>Pending Review</t>
        </is>
      </c>
      <c r="AA494" s="43" t="inlineStr">
        <is>
          <t>N</t>
        </is>
      </c>
      <c r="AB494" s="43" t="n"/>
      <c r="AC494" s="33" t="inlineStr">
        <is>
          <t xml:space="preserve">FUENTE: Deviation.csv filas 1677; Item Number original=73-16828-04 (prefijo 73- es CANDIDATO de PCBA, no confirmacion en Common DB); Workflow de origen=CCB; FJZ no validado, revision PCBA/WO no informadas. </t>
        </is>
      </c>
    </row>
    <row r="495">
      <c r="A495" s="43" t="inlineStr">
        <is>
          <t>DA-CTANJZ05510-STBU-73-16835-02</t>
        </is>
      </c>
      <c r="B495" s="43" t="n"/>
      <c r="C495" s="43" t="n"/>
      <c r="D495" s="43" t="inlineStr">
        <is>
          <t>73-16835-02</t>
        </is>
      </c>
      <c r="E495" s="43" t="inlineStr">
        <is>
          <t>DEV-CTANJZ05510</t>
        </is>
      </c>
      <c r="F495" s="43" t="n"/>
      <c r="G495" s="43" t="inlineStr">
        <is>
          <t>STBU</t>
        </is>
      </c>
      <c r="H495" s="43" t="n"/>
      <c r="I495" s="43" t="n"/>
      <c r="J495" s="43" t="n"/>
      <c r="K495" s="43" t="n"/>
      <c r="L495" s="43" t="n"/>
      <c r="M495" s="43" t="n"/>
      <c r="N495" s="43" t="n"/>
      <c r="O495" s="43" t="n"/>
      <c r="P495" s="43" t="n"/>
      <c r="Q495" s="43" t="inlineStr">
        <is>
          <t>BOARD</t>
        </is>
      </c>
      <c r="R495" s="33" t="inlineStr">
        <is>
          <t>REVISAR D614346: verificar accion documentada, PN/revision y vigencia para la corrida. No autoriza sustitucion ni uso de material.</t>
        </is>
      </c>
      <c r="S495" s="43" t="inlineStr">
        <is>
          <t>INFO</t>
        </is>
      </c>
      <c r="T495" s="33" t="inlineStr">
        <is>
          <t>Validar desviacion aprobada y estado; contrastar PN exacto y revision con Common DB, BOM/AVL, WO y fecha de corrida.</t>
        </is>
      </c>
      <c r="U495" s="33" t="inlineStr">
        <is>
          <t>Documento oficial firmado, autorizacion FJZ, revision/WO de alcance, confirmacion BOM y evidencia de implementacion si aplica.</t>
        </is>
      </c>
      <c r="V495" s="43" t="n"/>
      <c r="W495" s="43" t="n"/>
      <c r="X495" s="43" t="inlineStr">
        <is>
          <t>INFO</t>
        </is>
      </c>
      <c r="Y495" s="43" t="n"/>
      <c r="Z495" s="43" t="inlineStr">
        <is>
          <t>Pending Review</t>
        </is>
      </c>
      <c r="AA495" s="43" t="inlineStr">
        <is>
          <t>N</t>
        </is>
      </c>
      <c r="AB495" s="43" t="n"/>
      <c r="AC495" s="33" t="inlineStr">
        <is>
          <t xml:space="preserve">FUENTE: Deviation.csv filas 1678; Item Number original=73-16835-02 (prefijo 73- es CANDIDATO de PCBA, no confirmacion en Common DB); Workflow de origen=CCB; FJZ no validado, revision PCBA/WO no informadas. </t>
        </is>
      </c>
    </row>
    <row r="496">
      <c r="A496" s="43" t="inlineStr">
        <is>
          <t>DA-CTANJZ05510-STBU-73-17497-04</t>
        </is>
      </c>
      <c r="B496" s="43" t="n"/>
      <c r="C496" s="43" t="n"/>
      <c r="D496" s="43" t="inlineStr">
        <is>
          <t>73-17497-04</t>
        </is>
      </c>
      <c r="E496" s="43" t="inlineStr">
        <is>
          <t>DEV-CTANJZ05510</t>
        </is>
      </c>
      <c r="F496" s="43" t="n"/>
      <c r="G496" s="43" t="inlineStr">
        <is>
          <t>STBU</t>
        </is>
      </c>
      <c r="H496" s="43" t="n"/>
      <c r="I496" s="43" t="n"/>
      <c r="J496" s="43" t="n"/>
      <c r="K496" s="43" t="n"/>
      <c r="L496" s="43" t="n"/>
      <c r="M496" s="43" t="n"/>
      <c r="N496" s="43" t="n"/>
      <c r="O496" s="43" t="n"/>
      <c r="P496" s="43" t="n"/>
      <c r="Q496" s="43" t="inlineStr">
        <is>
          <t>BOARD</t>
        </is>
      </c>
      <c r="R496" s="33" t="inlineStr">
        <is>
          <t>REVISAR D614346: verificar accion documentada, PN/revision y vigencia para la corrida. No autoriza sustitucion ni uso de material.</t>
        </is>
      </c>
      <c r="S496" s="43" t="inlineStr">
        <is>
          <t>INFO</t>
        </is>
      </c>
      <c r="T496" s="33" t="inlineStr">
        <is>
          <t>Validar desviacion aprobada y estado; contrastar PN exacto y revision con Common DB, BOM/AVL, WO y fecha de corrida.</t>
        </is>
      </c>
      <c r="U496" s="33" t="inlineStr">
        <is>
          <t>Documento oficial firmado, autorizacion FJZ, revision/WO de alcance, confirmacion BOM y evidencia de implementacion si aplica.</t>
        </is>
      </c>
      <c r="V496" s="43" t="n"/>
      <c r="W496" s="43" t="n"/>
      <c r="X496" s="43" t="inlineStr">
        <is>
          <t>INFO</t>
        </is>
      </c>
      <c r="Y496" s="43" t="n"/>
      <c r="Z496" s="43" t="inlineStr">
        <is>
          <t>Pending Review</t>
        </is>
      </c>
      <c r="AA496" s="43" t="inlineStr">
        <is>
          <t>N</t>
        </is>
      </c>
      <c r="AB496" s="43" t="n"/>
      <c r="AC496" s="33" t="inlineStr">
        <is>
          <t xml:space="preserve">FUENTE: Deviation.csv filas 1679; Item Number original=73-17497-04 (prefijo 73- es CANDIDATO de PCBA, no confirmacion en Common DB); Workflow de origen=CCB; FJZ no validado, revision PCBA/WO no informadas. </t>
        </is>
      </c>
    </row>
    <row r="497">
      <c r="A497" s="43" t="inlineStr">
        <is>
          <t>DA-CTANJZ05510-STBU-73-17498-04</t>
        </is>
      </c>
      <c r="B497" s="43" t="n"/>
      <c r="C497" s="43" t="n"/>
      <c r="D497" s="43" t="inlineStr">
        <is>
          <t>73-17498-04</t>
        </is>
      </c>
      <c r="E497" s="43" t="inlineStr">
        <is>
          <t>DEV-CTANJZ05510</t>
        </is>
      </c>
      <c r="F497" s="43" t="n"/>
      <c r="G497" s="43" t="inlineStr">
        <is>
          <t>STBU</t>
        </is>
      </c>
      <c r="H497" s="43" t="n"/>
      <c r="I497" s="43" t="n"/>
      <c r="J497" s="43" t="n"/>
      <c r="K497" s="43" t="n"/>
      <c r="L497" s="43" t="n"/>
      <c r="M497" s="43" t="n"/>
      <c r="N497" s="43" t="n"/>
      <c r="O497" s="43" t="n"/>
      <c r="P497" s="43" t="n"/>
      <c r="Q497" s="43" t="inlineStr">
        <is>
          <t>BOARD</t>
        </is>
      </c>
      <c r="R497" s="33" t="inlineStr">
        <is>
          <t>REVISAR D614346: verificar accion documentada, PN/revision y vigencia para la corrida. No autoriza sustitucion ni uso de material.</t>
        </is>
      </c>
      <c r="S497" s="43" t="inlineStr">
        <is>
          <t>INFO</t>
        </is>
      </c>
      <c r="T497" s="33" t="inlineStr">
        <is>
          <t>Validar desviacion aprobada y estado; contrastar PN exacto y revision con Common DB, BOM/AVL, WO y fecha de corrida.</t>
        </is>
      </c>
      <c r="U497" s="33" t="inlineStr">
        <is>
          <t>Documento oficial firmado, autorizacion FJZ, revision/WO de alcance, confirmacion BOM y evidencia de implementacion si aplica.</t>
        </is>
      </c>
      <c r="V497" s="43" t="n"/>
      <c r="W497" s="43" t="n"/>
      <c r="X497" s="43" t="inlineStr">
        <is>
          <t>INFO</t>
        </is>
      </c>
      <c r="Y497" s="43" t="n"/>
      <c r="Z497" s="43" t="inlineStr">
        <is>
          <t>Pending Review</t>
        </is>
      </c>
      <c r="AA497" s="43" t="inlineStr">
        <is>
          <t>N</t>
        </is>
      </c>
      <c r="AB497" s="43" t="n"/>
      <c r="AC497" s="33" t="inlineStr">
        <is>
          <t xml:space="preserve">FUENTE: Deviation.csv filas 1680; Item Number original=73-17498-04 (prefijo 73- es CANDIDATO de PCBA, no confirmacion en Common DB); Workflow de origen=CCB; FJZ no validado, revision PCBA/WO no informadas. </t>
        </is>
      </c>
    </row>
    <row r="498">
      <c r="A498" s="43" t="inlineStr">
        <is>
          <t>DA-CTANJZ05510-STBU-73-17499-07</t>
        </is>
      </c>
      <c r="B498" s="43" t="n"/>
      <c r="C498" s="43" t="n"/>
      <c r="D498" s="43" t="inlineStr">
        <is>
          <t>73-17499-07</t>
        </is>
      </c>
      <c r="E498" s="43" t="inlineStr">
        <is>
          <t>DEV-CTANJZ05510</t>
        </is>
      </c>
      <c r="F498" s="43" t="n"/>
      <c r="G498" s="43" t="inlineStr">
        <is>
          <t>STBU</t>
        </is>
      </c>
      <c r="H498" s="43" t="n"/>
      <c r="I498" s="43" t="n"/>
      <c r="J498" s="43" t="n"/>
      <c r="K498" s="43" t="n"/>
      <c r="L498" s="43" t="n"/>
      <c r="M498" s="43" t="n"/>
      <c r="N498" s="43" t="n"/>
      <c r="O498" s="43" t="n"/>
      <c r="P498" s="43" t="n"/>
      <c r="Q498" s="43" t="inlineStr">
        <is>
          <t>BOARD</t>
        </is>
      </c>
      <c r="R498" s="33" t="inlineStr">
        <is>
          <t>REVISAR D614346: verificar accion documentada, PN/revision y vigencia para la corrida. No autoriza sustitucion ni uso de material.</t>
        </is>
      </c>
      <c r="S498" s="43" t="inlineStr">
        <is>
          <t>INFO</t>
        </is>
      </c>
      <c r="T498" s="33" t="inlineStr">
        <is>
          <t>Validar desviacion aprobada y estado; contrastar PN exacto y revision con Common DB, BOM/AVL, WO y fecha de corrida.</t>
        </is>
      </c>
      <c r="U498" s="33" t="inlineStr">
        <is>
          <t>Documento oficial firmado, autorizacion FJZ, revision/WO de alcance, confirmacion BOM y evidencia de implementacion si aplica.</t>
        </is>
      </c>
      <c r="V498" s="43" t="n"/>
      <c r="W498" s="43" t="n"/>
      <c r="X498" s="43" t="inlineStr">
        <is>
          <t>INFO</t>
        </is>
      </c>
      <c r="Y498" s="43" t="n"/>
      <c r="Z498" s="43" t="inlineStr">
        <is>
          <t>Pending Review</t>
        </is>
      </c>
      <c r="AA498" s="43" t="inlineStr">
        <is>
          <t>N</t>
        </is>
      </c>
      <c r="AB498" s="43" t="n"/>
      <c r="AC498" s="33" t="inlineStr">
        <is>
          <t xml:space="preserve">FUENTE: Deviation.csv filas 1681; Item Number original=73-17499-07 (prefijo 73- es CANDIDATO de PCBA, no confirmacion en Common DB); Workflow de origen=CCB; FJZ no validado, revision PCBA/WO no informadas. </t>
        </is>
      </c>
    </row>
    <row r="499">
      <c r="A499" s="43" t="inlineStr">
        <is>
          <t>DA-CTANJZ05510-STBU-73-17510-02</t>
        </is>
      </c>
      <c r="B499" s="43" t="n"/>
      <c r="C499" s="43" t="n"/>
      <c r="D499" s="43" t="inlineStr">
        <is>
          <t>73-17510-02</t>
        </is>
      </c>
      <c r="E499" s="43" t="inlineStr">
        <is>
          <t>DEV-CTANJZ05510</t>
        </is>
      </c>
      <c r="F499" s="43" t="n"/>
      <c r="G499" s="43" t="inlineStr">
        <is>
          <t>STBU</t>
        </is>
      </c>
      <c r="H499" s="43" t="n"/>
      <c r="I499" s="43" t="n"/>
      <c r="J499" s="43" t="n"/>
      <c r="K499" s="43" t="n"/>
      <c r="L499" s="43" t="n"/>
      <c r="M499" s="43" t="n"/>
      <c r="N499" s="43" t="n"/>
      <c r="O499" s="43" t="n"/>
      <c r="P499" s="43" t="n"/>
      <c r="Q499" s="43" t="inlineStr">
        <is>
          <t>BOARD</t>
        </is>
      </c>
      <c r="R499" s="33" t="inlineStr">
        <is>
          <t>REVISAR D614346: verificar accion documentada, PN/revision y vigencia para la corrida. No autoriza sustitucion ni uso de material.</t>
        </is>
      </c>
      <c r="S499" s="43" t="inlineStr">
        <is>
          <t>INFO</t>
        </is>
      </c>
      <c r="T499" s="33" t="inlineStr">
        <is>
          <t>Validar desviacion aprobada y estado; contrastar PN exacto y revision con Common DB, BOM/AVL, WO y fecha de corrida.</t>
        </is>
      </c>
      <c r="U499" s="33" t="inlineStr">
        <is>
          <t>Documento oficial firmado, autorizacion FJZ, revision/WO de alcance, confirmacion BOM y evidencia de implementacion si aplica.</t>
        </is>
      </c>
      <c r="V499" s="43" t="n"/>
      <c r="W499" s="43" t="n"/>
      <c r="X499" s="43" t="inlineStr">
        <is>
          <t>INFO</t>
        </is>
      </c>
      <c r="Y499" s="43" t="n"/>
      <c r="Z499" s="43" t="inlineStr">
        <is>
          <t>Pending Review</t>
        </is>
      </c>
      <c r="AA499" s="43" t="inlineStr">
        <is>
          <t>N</t>
        </is>
      </c>
      <c r="AB499" s="43" t="n"/>
      <c r="AC499" s="33" t="inlineStr">
        <is>
          <t xml:space="preserve">FUENTE: Deviation.csv filas 1682; Item Number original=73-17510-02 (prefijo 73- es CANDIDATO de PCBA, no confirmacion en Common DB); Workflow de origen=CCB; FJZ no validado, revision PCBA/WO no informadas. </t>
        </is>
      </c>
    </row>
    <row r="500">
      <c r="A500" s="43" t="inlineStr">
        <is>
          <t>DA-CTANJZ05510-STBU-73-17514-02</t>
        </is>
      </c>
      <c r="B500" s="43" t="n"/>
      <c r="C500" s="43" t="n"/>
      <c r="D500" s="43" t="inlineStr">
        <is>
          <t>73-17514-02</t>
        </is>
      </c>
      <c r="E500" s="43" t="inlineStr">
        <is>
          <t>DEV-CTANJZ05510</t>
        </is>
      </c>
      <c r="F500" s="43" t="n"/>
      <c r="G500" s="43" t="inlineStr">
        <is>
          <t>STBU</t>
        </is>
      </c>
      <c r="H500" s="43" t="n"/>
      <c r="I500" s="43" t="n"/>
      <c r="J500" s="43" t="n"/>
      <c r="K500" s="43" t="n"/>
      <c r="L500" s="43" t="n"/>
      <c r="M500" s="43" t="n"/>
      <c r="N500" s="43" t="n"/>
      <c r="O500" s="43" t="n"/>
      <c r="P500" s="43" t="n"/>
      <c r="Q500" s="43" t="inlineStr">
        <is>
          <t>BOARD</t>
        </is>
      </c>
      <c r="R500" s="33" t="inlineStr">
        <is>
          <t>REVISAR D614346: verificar accion documentada, PN/revision y vigencia para la corrida. No autoriza sustitucion ni uso de material.</t>
        </is>
      </c>
      <c r="S500" s="43" t="inlineStr">
        <is>
          <t>INFO</t>
        </is>
      </c>
      <c r="T500" s="33" t="inlineStr">
        <is>
          <t>Validar desviacion aprobada y estado; contrastar PN exacto y revision con Common DB, BOM/AVL, WO y fecha de corrida.</t>
        </is>
      </c>
      <c r="U500" s="33" t="inlineStr">
        <is>
          <t>Documento oficial firmado, autorizacion FJZ, revision/WO de alcance, confirmacion BOM y evidencia de implementacion si aplica.</t>
        </is>
      </c>
      <c r="V500" s="43" t="n"/>
      <c r="W500" s="43" t="n"/>
      <c r="X500" s="43" t="inlineStr">
        <is>
          <t>INFO</t>
        </is>
      </c>
      <c r="Y500" s="43" t="n"/>
      <c r="Z500" s="43" t="inlineStr">
        <is>
          <t>Pending Review</t>
        </is>
      </c>
      <c r="AA500" s="43" t="inlineStr">
        <is>
          <t>N</t>
        </is>
      </c>
      <c r="AB500" s="43" t="n"/>
      <c r="AC500" s="33" t="inlineStr">
        <is>
          <t xml:space="preserve">FUENTE: Deviation.csv filas 1686; Item Number original=73-17514-02 (prefijo 73- es CANDIDATO de PCBA, no confirmacion en Common DB); Workflow de origen=CCB; FJZ no validado, revision PCBA/WO no informadas. </t>
        </is>
      </c>
    </row>
    <row r="501">
      <c r="A501" s="43" t="inlineStr">
        <is>
          <t>DA-CTANJZ05510-STBU-73-17530-02</t>
        </is>
      </c>
      <c r="B501" s="43" t="n"/>
      <c r="C501" s="43" t="n"/>
      <c r="D501" s="43" t="inlineStr">
        <is>
          <t>73-17530-02</t>
        </is>
      </c>
      <c r="E501" s="43" t="inlineStr">
        <is>
          <t>DEV-CTANJZ05510</t>
        </is>
      </c>
      <c r="F501" s="43" t="n"/>
      <c r="G501" s="43" t="inlineStr">
        <is>
          <t>STBU</t>
        </is>
      </c>
      <c r="H501" s="43" t="n"/>
      <c r="I501" s="43" t="n"/>
      <c r="J501" s="43" t="n"/>
      <c r="K501" s="43" t="n"/>
      <c r="L501" s="43" t="n"/>
      <c r="M501" s="43" t="n"/>
      <c r="N501" s="43" t="n"/>
      <c r="O501" s="43" t="n"/>
      <c r="P501" s="43" t="n"/>
      <c r="Q501" s="43" t="inlineStr">
        <is>
          <t>BOARD</t>
        </is>
      </c>
      <c r="R501" s="33" t="inlineStr">
        <is>
          <t>REVISAR D614346: verificar accion documentada, PN/revision y vigencia para la corrida. No autoriza sustitucion ni uso de material.</t>
        </is>
      </c>
      <c r="S501" s="43" t="inlineStr">
        <is>
          <t>INFO</t>
        </is>
      </c>
      <c r="T501" s="33" t="inlineStr">
        <is>
          <t>Validar desviacion aprobada y estado; contrastar PN exacto y revision con Common DB, BOM/AVL, WO y fecha de corrida.</t>
        </is>
      </c>
      <c r="U501" s="33" t="inlineStr">
        <is>
          <t>Documento oficial firmado, autorizacion FJZ, revision/WO de alcance, confirmacion BOM y evidencia de implementacion si aplica.</t>
        </is>
      </c>
      <c r="V501" s="43" t="n"/>
      <c r="W501" s="43" t="n"/>
      <c r="X501" s="43" t="inlineStr">
        <is>
          <t>INFO</t>
        </is>
      </c>
      <c r="Y501" s="43" t="n"/>
      <c r="Z501" s="43" t="inlineStr">
        <is>
          <t>Pending Review</t>
        </is>
      </c>
      <c r="AA501" s="43" t="inlineStr">
        <is>
          <t>N</t>
        </is>
      </c>
      <c r="AB501" s="43" t="n"/>
      <c r="AC501" s="33" t="inlineStr">
        <is>
          <t xml:space="preserve">FUENTE: Deviation.csv filas 1687; Item Number original=73-17530-02 (prefijo 73- es CANDIDATO de PCBA, no confirmacion en Common DB); Workflow de origen=CCB; FJZ no validado, revision PCBA/WO no informadas. </t>
        </is>
      </c>
    </row>
    <row r="502">
      <c r="A502" s="43" t="inlineStr">
        <is>
          <t>DA-CTANJZ05510-STBU-73-17923-02</t>
        </is>
      </c>
      <c r="B502" s="43" t="n"/>
      <c r="C502" s="43" t="n"/>
      <c r="D502" s="43" t="inlineStr">
        <is>
          <t>73-17923-02</t>
        </is>
      </c>
      <c r="E502" s="43" t="inlineStr">
        <is>
          <t>DEV-CTANJZ05510</t>
        </is>
      </c>
      <c r="F502" s="43" t="n"/>
      <c r="G502" s="43" t="inlineStr">
        <is>
          <t>STBU</t>
        </is>
      </c>
      <c r="H502" s="43" t="n"/>
      <c r="I502" s="43" t="n"/>
      <c r="J502" s="43" t="n"/>
      <c r="K502" s="43" t="n"/>
      <c r="L502" s="43" t="n"/>
      <c r="M502" s="43" t="n"/>
      <c r="N502" s="43" t="n"/>
      <c r="O502" s="43" t="n"/>
      <c r="P502" s="43" t="n"/>
      <c r="Q502" s="43" t="inlineStr">
        <is>
          <t>BOARD</t>
        </is>
      </c>
      <c r="R502" s="33" t="inlineStr">
        <is>
          <t>REVISAR D614346: verificar accion documentada, PN/revision y vigencia para la corrida. No autoriza sustitucion ni uso de material.</t>
        </is>
      </c>
      <c r="S502" s="43" t="inlineStr">
        <is>
          <t>INFO</t>
        </is>
      </c>
      <c r="T502" s="33" t="inlineStr">
        <is>
          <t>Validar desviacion aprobada y estado; contrastar PN exacto y revision con Common DB, BOM/AVL, WO y fecha de corrida.</t>
        </is>
      </c>
      <c r="U502" s="33" t="inlineStr">
        <is>
          <t>Documento oficial firmado, autorizacion FJZ, revision/WO de alcance, confirmacion BOM y evidencia de implementacion si aplica.</t>
        </is>
      </c>
      <c r="V502" s="43" t="n"/>
      <c r="W502" s="43" t="n"/>
      <c r="X502" s="43" t="inlineStr">
        <is>
          <t>INFO</t>
        </is>
      </c>
      <c r="Y502" s="43" t="n"/>
      <c r="Z502" s="43" t="inlineStr">
        <is>
          <t>Pending Review</t>
        </is>
      </c>
      <c r="AA502" s="43" t="inlineStr">
        <is>
          <t>N</t>
        </is>
      </c>
      <c r="AB502" s="43" t="n"/>
      <c r="AC502" s="33" t="inlineStr">
        <is>
          <t xml:space="preserve">FUENTE: Deviation.csv filas 1688; Item Number original=73-17923-02 (prefijo 73- es CANDIDATO de PCBA, no confirmacion en Common DB); Workflow de origen=CCB; FJZ no validado, revision PCBA/WO no informadas. </t>
        </is>
      </c>
    </row>
    <row r="503">
      <c r="A503" s="43" t="inlineStr">
        <is>
          <t>DA-CTANJZ05510-STBU-73-18626-04</t>
        </is>
      </c>
      <c r="B503" s="43" t="n"/>
      <c r="C503" s="43" t="n"/>
      <c r="D503" s="43" t="inlineStr">
        <is>
          <t>73-18626-04</t>
        </is>
      </c>
      <c r="E503" s="43" t="inlineStr">
        <is>
          <t>DEV-CTANJZ05510</t>
        </is>
      </c>
      <c r="F503" s="43" t="n"/>
      <c r="G503" s="43" t="inlineStr">
        <is>
          <t>STBU</t>
        </is>
      </c>
      <c r="H503" s="43" t="n"/>
      <c r="I503" s="43" t="n"/>
      <c r="J503" s="43" t="n"/>
      <c r="K503" s="43" t="n"/>
      <c r="L503" s="43" t="n"/>
      <c r="M503" s="43" t="n"/>
      <c r="N503" s="43" t="n"/>
      <c r="O503" s="43" t="n"/>
      <c r="P503" s="43" t="n"/>
      <c r="Q503" s="43" t="inlineStr">
        <is>
          <t>BOARD</t>
        </is>
      </c>
      <c r="R503" s="33" t="inlineStr">
        <is>
          <t>REVISAR D614346: verificar accion documentada, PN/revision y vigencia para la corrida. No autoriza sustitucion ni uso de material.</t>
        </is>
      </c>
      <c r="S503" s="43" t="inlineStr">
        <is>
          <t>INFO</t>
        </is>
      </c>
      <c r="T503" s="33" t="inlineStr">
        <is>
          <t>Validar desviacion aprobada y estado; contrastar PN exacto y revision con Common DB, BOM/AVL, WO y fecha de corrida.</t>
        </is>
      </c>
      <c r="U503" s="33" t="inlineStr">
        <is>
          <t>Documento oficial firmado, autorizacion FJZ, revision/WO de alcance, confirmacion BOM y evidencia de implementacion si aplica.</t>
        </is>
      </c>
      <c r="V503" s="43" t="n"/>
      <c r="W503" s="43" t="n"/>
      <c r="X503" s="43" t="inlineStr">
        <is>
          <t>INFO</t>
        </is>
      </c>
      <c r="Y503" s="43" t="n"/>
      <c r="Z503" s="43" t="inlineStr">
        <is>
          <t>Pending Review</t>
        </is>
      </c>
      <c r="AA503" s="43" t="inlineStr">
        <is>
          <t>N</t>
        </is>
      </c>
      <c r="AB503" s="43" t="n"/>
      <c r="AC503" s="33" t="inlineStr">
        <is>
          <t xml:space="preserve">FUENTE: Deviation.csv filas 1703; Item Number original=73-18626-04 (prefijo 73- es CANDIDATO de PCBA, no confirmacion en Common DB); Workflow de origen=CCB; FJZ no validado, revision PCBA/WO no informadas. </t>
        </is>
      </c>
    </row>
    <row r="504">
      <c r="A504" s="43" t="inlineStr">
        <is>
          <t>DA-CTANJZ05510-STBU-73-18632-03</t>
        </is>
      </c>
      <c r="B504" s="43" t="n"/>
      <c r="C504" s="43" t="n"/>
      <c r="D504" s="43" t="inlineStr">
        <is>
          <t>73-18632-03</t>
        </is>
      </c>
      <c r="E504" s="43" t="inlineStr">
        <is>
          <t>DEV-CTANJZ05510</t>
        </is>
      </c>
      <c r="F504" s="43" t="n"/>
      <c r="G504" s="43" t="inlineStr">
        <is>
          <t>STBU</t>
        </is>
      </c>
      <c r="H504" s="43" t="n"/>
      <c r="I504" s="43" t="n"/>
      <c r="J504" s="43" t="n"/>
      <c r="K504" s="43" t="n"/>
      <c r="L504" s="43" t="n"/>
      <c r="M504" s="43" t="n"/>
      <c r="N504" s="43" t="n"/>
      <c r="O504" s="43" t="n"/>
      <c r="P504" s="43" t="n"/>
      <c r="Q504" s="43" t="inlineStr">
        <is>
          <t>BOARD</t>
        </is>
      </c>
      <c r="R504" s="33" t="inlineStr">
        <is>
          <t>REVISAR D614346: verificar accion documentada, PN/revision y vigencia para la corrida. No autoriza sustitucion ni uso de material.</t>
        </is>
      </c>
      <c r="S504" s="43" t="inlineStr">
        <is>
          <t>INFO</t>
        </is>
      </c>
      <c r="T504" s="33" t="inlineStr">
        <is>
          <t>Validar desviacion aprobada y estado; contrastar PN exacto y revision con Common DB, BOM/AVL, WO y fecha de corrida.</t>
        </is>
      </c>
      <c r="U504" s="33" t="inlineStr">
        <is>
          <t>Documento oficial firmado, autorizacion FJZ, revision/WO de alcance, confirmacion BOM y evidencia de implementacion si aplica.</t>
        </is>
      </c>
      <c r="V504" s="43" t="n"/>
      <c r="W504" s="43" t="n"/>
      <c r="X504" s="43" t="inlineStr">
        <is>
          <t>INFO</t>
        </is>
      </c>
      <c r="Y504" s="43" t="n"/>
      <c r="Z504" s="43" t="inlineStr">
        <is>
          <t>Pending Review</t>
        </is>
      </c>
      <c r="AA504" s="43" t="inlineStr">
        <is>
          <t>N</t>
        </is>
      </c>
      <c r="AB504" s="43" t="n"/>
      <c r="AC504" s="33" t="inlineStr">
        <is>
          <t xml:space="preserve">FUENTE: Deviation.csv filas 1704; Item Number original=73-18632-03 (prefijo 73- es CANDIDATO de PCBA, no confirmacion en Common DB); Workflow de origen=CCB; FJZ no validado, revision PCBA/WO no informadas. </t>
        </is>
      </c>
    </row>
    <row r="505">
      <c r="A505" s="43" t="inlineStr">
        <is>
          <t>DA-CTANJZ05510-STBU-73-19332-01</t>
        </is>
      </c>
      <c r="B505" s="43" t="n"/>
      <c r="C505" s="43" t="n"/>
      <c r="D505" s="43" t="inlineStr">
        <is>
          <t>73-19332-01</t>
        </is>
      </c>
      <c r="E505" s="43" t="inlineStr">
        <is>
          <t>DEV-CTANJZ05510</t>
        </is>
      </c>
      <c r="F505" s="43" t="n"/>
      <c r="G505" s="43" t="inlineStr">
        <is>
          <t>STBU</t>
        </is>
      </c>
      <c r="H505" s="43" t="n"/>
      <c r="I505" s="43" t="n"/>
      <c r="J505" s="43" t="n"/>
      <c r="K505" s="43" t="n"/>
      <c r="L505" s="43" t="n"/>
      <c r="M505" s="43" t="n"/>
      <c r="N505" s="43" t="n"/>
      <c r="O505" s="43" t="n"/>
      <c r="P505" s="43" t="n"/>
      <c r="Q505" s="43" t="inlineStr">
        <is>
          <t>BOARD</t>
        </is>
      </c>
      <c r="R505" s="33" t="inlineStr">
        <is>
          <t>REVISAR D614346: verificar accion documentada, PN/revision y vigencia para la corrida. No autoriza sustitucion ni uso de material.</t>
        </is>
      </c>
      <c r="S505" s="43" t="inlineStr">
        <is>
          <t>INFO</t>
        </is>
      </c>
      <c r="T505" s="33" t="inlineStr">
        <is>
          <t>Validar desviacion aprobada y estado; contrastar PN exacto y revision con Common DB, BOM/AVL, WO y fecha de corrida.</t>
        </is>
      </c>
      <c r="U505" s="33" t="inlineStr">
        <is>
          <t>Documento oficial firmado, autorizacion FJZ, revision/WO de alcance, confirmacion BOM y evidencia de implementacion si aplica.</t>
        </is>
      </c>
      <c r="V505" s="43" t="n"/>
      <c r="W505" s="43" t="n"/>
      <c r="X505" s="43" t="inlineStr">
        <is>
          <t>INFO</t>
        </is>
      </c>
      <c r="Y505" s="43" t="n"/>
      <c r="Z505" s="43" t="inlineStr">
        <is>
          <t>Pending Review</t>
        </is>
      </c>
      <c r="AA505" s="43" t="inlineStr">
        <is>
          <t>N</t>
        </is>
      </c>
      <c r="AB505" s="43" t="n"/>
      <c r="AC505" s="33" t="inlineStr">
        <is>
          <t xml:space="preserve">FUENTE: Deviation.csv filas 1705; Item Number original=73-19332-01 (prefijo 73- es CANDIDATO de PCBA, no confirmacion en Common DB); Workflow de origen=CCB; FJZ no validado, revision PCBA/WO no informadas. </t>
        </is>
      </c>
    </row>
    <row r="506">
      <c r="A506" s="43" t="inlineStr">
        <is>
          <t>DA-CTANJZ05510-STBU-73-19337-01</t>
        </is>
      </c>
      <c r="B506" s="43" t="n"/>
      <c r="C506" s="43" t="n"/>
      <c r="D506" s="43" t="inlineStr">
        <is>
          <t>73-19337-01</t>
        </is>
      </c>
      <c r="E506" s="43" t="inlineStr">
        <is>
          <t>DEV-CTANJZ05510</t>
        </is>
      </c>
      <c r="F506" s="43" t="n"/>
      <c r="G506" s="43" t="inlineStr">
        <is>
          <t>STBU</t>
        </is>
      </c>
      <c r="H506" s="43" t="n"/>
      <c r="I506" s="43" t="n"/>
      <c r="J506" s="43" t="n"/>
      <c r="K506" s="43" t="n"/>
      <c r="L506" s="43" t="n"/>
      <c r="M506" s="43" t="n"/>
      <c r="N506" s="43" t="n"/>
      <c r="O506" s="43" t="n"/>
      <c r="P506" s="43" t="n"/>
      <c r="Q506" s="43" t="inlineStr">
        <is>
          <t>BOARD</t>
        </is>
      </c>
      <c r="R506" s="33" t="inlineStr">
        <is>
          <t>REVISAR D614346: verificar accion documentada, PN/revision y vigencia para la corrida. No autoriza sustitucion ni uso de material.</t>
        </is>
      </c>
      <c r="S506" s="43" t="inlineStr">
        <is>
          <t>INFO</t>
        </is>
      </c>
      <c r="T506" s="33" t="inlineStr">
        <is>
          <t>Validar desviacion aprobada y estado; contrastar PN exacto y revision con Common DB, BOM/AVL, WO y fecha de corrida.</t>
        </is>
      </c>
      <c r="U506" s="33" t="inlineStr">
        <is>
          <t>Documento oficial firmado, autorizacion FJZ, revision/WO de alcance, confirmacion BOM y evidencia de implementacion si aplica.</t>
        </is>
      </c>
      <c r="V506" s="43" t="n"/>
      <c r="W506" s="43" t="n"/>
      <c r="X506" s="43" t="inlineStr">
        <is>
          <t>INFO</t>
        </is>
      </c>
      <c r="Y506" s="43" t="n"/>
      <c r="Z506" s="43" t="inlineStr">
        <is>
          <t>Pending Review</t>
        </is>
      </c>
      <c r="AA506" s="43" t="inlineStr">
        <is>
          <t>N</t>
        </is>
      </c>
      <c r="AB506" s="43" t="n"/>
      <c r="AC506" s="33" t="inlineStr">
        <is>
          <t xml:space="preserve">FUENTE: Deviation.csv filas 1690; Item Number original=73-19337-01 (prefijo 73- es CANDIDATO de PCBA, no confirmacion en Common DB); Workflow de origen=CCB; FJZ no validado, revision PCBA/WO no informadas. </t>
        </is>
      </c>
    </row>
    <row r="507">
      <c r="A507" s="43" t="inlineStr">
        <is>
          <t>DA-CTANJZ05510-STBU-73-19361-01</t>
        </is>
      </c>
      <c r="B507" s="43" t="n"/>
      <c r="C507" s="43" t="n"/>
      <c r="D507" s="43" t="inlineStr">
        <is>
          <t>73-19361-01</t>
        </is>
      </c>
      <c r="E507" s="43" t="inlineStr">
        <is>
          <t>DEV-CTANJZ05510</t>
        </is>
      </c>
      <c r="F507" s="43" t="n"/>
      <c r="G507" s="43" t="inlineStr">
        <is>
          <t>STBU</t>
        </is>
      </c>
      <c r="H507" s="43" t="n"/>
      <c r="I507" s="43" t="n"/>
      <c r="J507" s="43" t="n"/>
      <c r="K507" s="43" t="n"/>
      <c r="L507" s="43" t="n"/>
      <c r="M507" s="43" t="n"/>
      <c r="N507" s="43" t="n"/>
      <c r="O507" s="43" t="n"/>
      <c r="P507" s="43" t="n"/>
      <c r="Q507" s="43" t="inlineStr">
        <is>
          <t>BOARD</t>
        </is>
      </c>
      <c r="R507" s="33" t="inlineStr">
        <is>
          <t>REVISAR D614346: verificar accion documentada, PN/revision y vigencia para la corrida. No autoriza sustitucion ni uso de material.</t>
        </is>
      </c>
      <c r="S507" s="43" t="inlineStr">
        <is>
          <t>INFO</t>
        </is>
      </c>
      <c r="T507" s="33" t="inlineStr">
        <is>
          <t>Validar desviacion aprobada y estado; contrastar PN exacto y revision con Common DB, BOM/AVL, WO y fecha de corrida.</t>
        </is>
      </c>
      <c r="U507" s="33" t="inlineStr">
        <is>
          <t>Documento oficial firmado, autorizacion FJZ, revision/WO de alcance, confirmacion BOM y evidencia de implementacion si aplica.</t>
        </is>
      </c>
      <c r="V507" s="43" t="n"/>
      <c r="W507" s="43" t="n"/>
      <c r="X507" s="43" t="inlineStr">
        <is>
          <t>INFO</t>
        </is>
      </c>
      <c r="Y507" s="43" t="n"/>
      <c r="Z507" s="43" t="inlineStr">
        <is>
          <t>Pending Review</t>
        </is>
      </c>
      <c r="AA507" s="43" t="inlineStr">
        <is>
          <t>N</t>
        </is>
      </c>
      <c r="AB507" s="43" t="n"/>
      <c r="AC507" s="33" t="inlineStr">
        <is>
          <t xml:space="preserve">FUENTE: Deviation.csv filas 1691; Item Number original=73-19361-01 (prefijo 73- es CANDIDATO de PCBA, no confirmacion en Common DB); Workflow de origen=CCB; FJZ no validado, revision PCBA/WO no informadas. </t>
        </is>
      </c>
    </row>
    <row r="508">
      <c r="A508" s="43" t="inlineStr">
        <is>
          <t>DA-CTANJZ05510-STBU-73-20007-01</t>
        </is>
      </c>
      <c r="B508" s="43" t="n"/>
      <c r="C508" s="43" t="n"/>
      <c r="D508" s="43" t="inlineStr">
        <is>
          <t>73-20007-01</t>
        </is>
      </c>
      <c r="E508" s="43" t="inlineStr">
        <is>
          <t>DEV-CTANJZ05510</t>
        </is>
      </c>
      <c r="F508" s="43" t="n"/>
      <c r="G508" s="43" t="inlineStr">
        <is>
          <t>STBU</t>
        </is>
      </c>
      <c r="H508" s="43" t="n"/>
      <c r="I508" s="43" t="n"/>
      <c r="J508" s="43" t="n"/>
      <c r="K508" s="43" t="n"/>
      <c r="L508" s="43" t="n"/>
      <c r="M508" s="43" t="n"/>
      <c r="N508" s="43" t="n"/>
      <c r="O508" s="43" t="n"/>
      <c r="P508" s="43" t="n"/>
      <c r="Q508" s="43" t="inlineStr">
        <is>
          <t>BOARD</t>
        </is>
      </c>
      <c r="R508" s="33" t="inlineStr">
        <is>
          <t>REVISAR D614346: verificar accion documentada, PN/revision y vigencia para la corrida. No autoriza sustitucion ni uso de material.</t>
        </is>
      </c>
      <c r="S508" s="43" t="inlineStr">
        <is>
          <t>INFO</t>
        </is>
      </c>
      <c r="T508" s="33" t="inlineStr">
        <is>
          <t>Validar desviacion aprobada y estado; contrastar PN exacto y revision con Common DB, BOM/AVL, WO y fecha de corrida.</t>
        </is>
      </c>
      <c r="U508" s="33" t="inlineStr">
        <is>
          <t>Documento oficial firmado, autorizacion FJZ, revision/WO de alcance, confirmacion BOM y evidencia de implementacion si aplica.</t>
        </is>
      </c>
      <c r="V508" s="43" t="n"/>
      <c r="W508" s="43" t="n"/>
      <c r="X508" s="43" t="inlineStr">
        <is>
          <t>INFO</t>
        </is>
      </c>
      <c r="Y508" s="43" t="n"/>
      <c r="Z508" s="43" t="inlineStr">
        <is>
          <t>Pending Review</t>
        </is>
      </c>
      <c r="AA508" s="43" t="inlineStr">
        <is>
          <t>N</t>
        </is>
      </c>
      <c r="AB508" s="43" t="n"/>
      <c r="AC508" s="33" t="inlineStr">
        <is>
          <t xml:space="preserve">FUENTE: Deviation.csv filas 1692; Item Number original=73-20007-01 (prefijo 73- es CANDIDATO de PCBA, no confirmacion en Common DB); Workflow de origen=CCB; FJZ no validado, revision PCBA/WO no informadas. </t>
        </is>
      </c>
    </row>
    <row r="509">
      <c r="A509" s="43" t="inlineStr">
        <is>
          <t>DA-CTANJZ05513-CVEBU-73-103698-06</t>
        </is>
      </c>
      <c r="B509" s="43" t="n"/>
      <c r="C509" s="43" t="n"/>
      <c r="D509" s="43" t="inlineStr">
        <is>
          <t>73-103698-06</t>
        </is>
      </c>
      <c r="E509" s="43" t="inlineStr">
        <is>
          <t>DEV-CTANJZ05513</t>
        </is>
      </c>
      <c r="F509" s="43" t="n"/>
      <c r="G509" s="43" t="inlineStr">
        <is>
          <t>CVEBU</t>
        </is>
      </c>
      <c r="H509" s="43" t="n"/>
      <c r="I509" s="43" t="n"/>
      <c r="J509" s="43" t="n"/>
      <c r="K509" s="43" t="n"/>
      <c r="L509" s="43" t="n"/>
      <c r="M509" s="43" t="n"/>
      <c r="N509" s="43" t="n"/>
      <c r="O509" s="43" t="n"/>
      <c r="P509" s="43" t="n"/>
      <c r="Q509" s="43" t="inlineStr">
        <is>
          <t>BOARD</t>
        </is>
      </c>
      <c r="R509" s="33" t="inlineStr">
        <is>
          <t>REVISAR D614398: verificar accion documentada, PN/revision y vigencia para la corrida. No autoriza sustitucion ni uso de material.</t>
        </is>
      </c>
      <c r="S509" s="43" t="inlineStr">
        <is>
          <t>INFO</t>
        </is>
      </c>
      <c r="T509" s="33" t="inlineStr">
        <is>
          <t>Validar desviacion aprobada y estado; contrastar PN exacto y revision con Common DB, BOM/AVL, WO y fecha de corrida.</t>
        </is>
      </c>
      <c r="U509" s="33" t="inlineStr">
        <is>
          <t>Documento oficial firmado, autorizacion FJZ, revision/WO de alcance, confirmacion BOM y evidencia de implementacion si aplica.</t>
        </is>
      </c>
      <c r="V509" s="43" t="n"/>
      <c r="W509" s="43" t="n"/>
      <c r="X509" s="43" t="inlineStr">
        <is>
          <t>INFO</t>
        </is>
      </c>
      <c r="Y509" s="43" t="n"/>
      <c r="Z509" s="43" t="inlineStr">
        <is>
          <t>Pending Review</t>
        </is>
      </c>
      <c r="AA509" s="43" t="inlineStr">
        <is>
          <t>N</t>
        </is>
      </c>
      <c r="AB509" s="43" t="n"/>
      <c r="AC509" s="33" t="inlineStr">
        <is>
          <t xml:space="preserve">FUENTE: Deviation.csv filas 1357; Item Number original=73-103698-06 (prefijo 73- es CANDIDATO de PCBA, no confirmacion en Common DB); Workflow de origen=Implementation; FJZ no validado, revision PCBA/WO no informadas. </t>
        </is>
      </c>
    </row>
    <row r="510">
      <c r="A510" s="43" t="inlineStr">
        <is>
          <t>DA-CTANJZ05513-CVEBU-73-103940-06</t>
        </is>
      </c>
      <c r="B510" s="43" t="n"/>
      <c r="C510" s="43" t="n"/>
      <c r="D510" s="43" t="inlineStr">
        <is>
          <t>73-103940-06</t>
        </is>
      </c>
      <c r="E510" s="43" t="inlineStr">
        <is>
          <t>DEV-CTANJZ05513</t>
        </is>
      </c>
      <c r="F510" s="43" t="n"/>
      <c r="G510" s="43" t="inlineStr">
        <is>
          <t>CVEBU</t>
        </is>
      </c>
      <c r="H510" s="43" t="n"/>
      <c r="I510" s="43" t="n"/>
      <c r="J510" s="43" t="n"/>
      <c r="K510" s="43" t="n"/>
      <c r="L510" s="43" t="n"/>
      <c r="M510" s="43" t="n"/>
      <c r="N510" s="43" t="n"/>
      <c r="O510" s="43" t="n"/>
      <c r="P510" s="43" t="n"/>
      <c r="Q510" s="43" t="inlineStr">
        <is>
          <t>BOARD</t>
        </is>
      </c>
      <c r="R510" s="33" t="inlineStr">
        <is>
          <t>REVISAR D614398: verificar accion documentada, PN/revision y vigencia para la corrida. No autoriza sustitucion ni uso de material.</t>
        </is>
      </c>
      <c r="S510" s="43" t="inlineStr">
        <is>
          <t>INFO</t>
        </is>
      </c>
      <c r="T510" s="33" t="inlineStr">
        <is>
          <t>Validar desviacion aprobada y estado; contrastar PN exacto y revision con Common DB, BOM/AVL, WO y fecha de corrida.</t>
        </is>
      </c>
      <c r="U510" s="33" t="inlineStr">
        <is>
          <t>Documento oficial firmado, autorizacion FJZ, revision/WO de alcance, confirmacion BOM y evidencia de implementacion si aplica.</t>
        </is>
      </c>
      <c r="V510" s="43" t="n"/>
      <c r="W510" s="43" t="n"/>
      <c r="X510" s="43" t="inlineStr">
        <is>
          <t>INFO</t>
        </is>
      </c>
      <c r="Y510" s="43" t="n"/>
      <c r="Z510" s="43" t="inlineStr">
        <is>
          <t>Pending Review</t>
        </is>
      </c>
      <c r="AA510" s="43" t="inlineStr">
        <is>
          <t>N</t>
        </is>
      </c>
      <c r="AB510" s="43" t="n"/>
      <c r="AC510" s="33" t="inlineStr">
        <is>
          <t xml:space="preserve">FUENTE: Deviation.csv filas 1358; Item Number original=73-103940-06 (prefijo 73- es CANDIDATO de PCBA, no confirmacion en Common DB); Workflow de origen=Implementation; FJZ no validado, revision PCBA/WO no informadas. </t>
        </is>
      </c>
    </row>
    <row r="511">
      <c r="A511" s="43" t="inlineStr">
        <is>
          <t>DA-CTANJZ05514-STBU-73-20247-06</t>
        </is>
      </c>
      <c r="B511" s="43" t="inlineStr">
        <is>
          <t>TUFNELL PARK</t>
        </is>
      </c>
      <c r="C511" s="43" t="n"/>
      <c r="D511" s="43" t="inlineStr">
        <is>
          <t>73-20247-06</t>
        </is>
      </c>
      <c r="E511" s="43" t="inlineStr">
        <is>
          <t>DEV-CTANJZ05514</t>
        </is>
      </c>
      <c r="F511" s="43" t="n"/>
      <c r="G511" s="43" t="inlineStr">
        <is>
          <t>STBU</t>
        </is>
      </c>
      <c r="H511" s="43" t="n"/>
      <c r="I511" s="43" t="n"/>
      <c r="J511" s="43" t="n"/>
      <c r="K511" s="43" t="n"/>
      <c r="L511" s="43" t="n"/>
      <c r="M511" s="43" t="n"/>
      <c r="N511" s="43" t="n"/>
      <c r="O511" s="43" t="n"/>
      <c r="P511" s="43" t="n"/>
      <c r="Q511" s="43" t="inlineStr">
        <is>
          <t>BOARD</t>
        </is>
      </c>
      <c r="R511" s="33" t="inlineStr">
        <is>
          <t>REVISAR D613278: verificar accion documentada, PN/revision y vigencia para la corrida. No autoriza sustitucion ni uso de material.</t>
        </is>
      </c>
      <c r="S511" s="43" t="inlineStr">
        <is>
          <t>INFO</t>
        </is>
      </c>
      <c r="T511" s="33" t="inlineStr">
        <is>
          <t>Validar desviacion aprobada y estado; contrastar PN exacto y revision con Common DB, BOM/AVL, WO y fecha de corrida.</t>
        </is>
      </c>
      <c r="U511" s="33" t="inlineStr">
        <is>
          <t>Documento oficial firmado, autorizacion FJZ, revision/WO de alcance, confirmacion BOM y evidencia de implementacion si aplica.</t>
        </is>
      </c>
      <c r="V511" s="43" t="n"/>
      <c r="W511" s="43" t="n"/>
      <c r="X511" s="43" t="inlineStr">
        <is>
          <t>INFO</t>
        </is>
      </c>
      <c r="Y511" s="43" t="n"/>
      <c r="Z511" s="43" t="inlineStr">
        <is>
          <t>Pending Review</t>
        </is>
      </c>
      <c r="AA511" s="43" t="inlineStr">
        <is>
          <t>N</t>
        </is>
      </c>
      <c r="AB511" s="43" t="n"/>
      <c r="AC511" s="33" t="inlineStr">
        <is>
          <t xml:space="preserve">FUENTE: Deviation.csv filas 1881; Item Number original=73-20247-06 (prefijo 73- es CANDIDATO de PCBA, no confirmacion en Common DB); Workflow de origen=CCB; FJZ no validado, revision PCBA/WO no informadas. </t>
        </is>
      </c>
    </row>
    <row r="512">
      <c r="A512" s="43" t="inlineStr">
        <is>
          <t>DA-CTANJZ05514-STBU-73-20249-06</t>
        </is>
      </c>
      <c r="B512" s="43" t="inlineStr">
        <is>
          <t>TUFNELL PARK</t>
        </is>
      </c>
      <c r="C512" s="43" t="n"/>
      <c r="D512" s="43" t="inlineStr">
        <is>
          <t>73-20249-06</t>
        </is>
      </c>
      <c r="E512" s="43" t="inlineStr">
        <is>
          <t>DEV-CTANJZ05514</t>
        </is>
      </c>
      <c r="F512" s="43" t="n"/>
      <c r="G512" s="43" t="inlineStr">
        <is>
          <t>STBU</t>
        </is>
      </c>
      <c r="H512" s="43" t="n"/>
      <c r="I512" s="43" t="n"/>
      <c r="J512" s="43" t="n"/>
      <c r="K512" s="43" t="n"/>
      <c r="L512" s="43" t="n"/>
      <c r="M512" s="43" t="n"/>
      <c r="N512" s="43" t="n"/>
      <c r="O512" s="43" t="n"/>
      <c r="P512" s="43" t="n"/>
      <c r="Q512" s="43" t="inlineStr">
        <is>
          <t>BOARD</t>
        </is>
      </c>
      <c r="R512" s="33" t="inlineStr">
        <is>
          <t>REVISAR D613278: verificar accion documentada, PN/revision y vigencia para la corrida. No autoriza sustitucion ni uso de material.</t>
        </is>
      </c>
      <c r="S512" s="43" t="inlineStr">
        <is>
          <t>INFO</t>
        </is>
      </c>
      <c r="T512" s="33" t="inlineStr">
        <is>
          <t>Validar desviacion aprobada y estado; contrastar PN exacto y revision con Common DB, BOM/AVL, WO y fecha de corrida.</t>
        </is>
      </c>
      <c r="U512" s="33" t="inlineStr">
        <is>
          <t>Documento oficial firmado, autorizacion FJZ, revision/WO de alcance, confirmacion BOM y evidencia de implementacion si aplica.</t>
        </is>
      </c>
      <c r="V512" s="43" t="n"/>
      <c r="W512" s="43" t="n"/>
      <c r="X512" s="43" t="inlineStr">
        <is>
          <t>INFO</t>
        </is>
      </c>
      <c r="Y512" s="43" t="n"/>
      <c r="Z512" s="43" t="inlineStr">
        <is>
          <t>Pending Review</t>
        </is>
      </c>
      <c r="AA512" s="43" t="inlineStr">
        <is>
          <t>N</t>
        </is>
      </c>
      <c r="AB512" s="43" t="n"/>
      <c r="AC512" s="33" t="inlineStr">
        <is>
          <t xml:space="preserve">FUENTE: Deviation.csv filas 1882; Item Number original=73-20249-06 (prefijo 73- es CANDIDATO de PCBA, no confirmacion en Common DB); Workflow de origen=CCB; FJZ no validado, revision PCBA/WO no informadas. </t>
        </is>
      </c>
    </row>
    <row r="513">
      <c r="A513" s="43" t="inlineStr">
        <is>
          <t>DA-CTANJZ05515-STBU-73-102433-05</t>
        </is>
      </c>
      <c r="B513" s="43" t="n"/>
      <c r="C513" s="43" t="n"/>
      <c r="D513" s="43" t="inlineStr">
        <is>
          <t>73-102433-05</t>
        </is>
      </c>
      <c r="E513" s="43" t="inlineStr">
        <is>
          <t>DEV-CTANJZ05515</t>
        </is>
      </c>
      <c r="F513" s="43" t="n"/>
      <c r="G513" s="43" t="inlineStr">
        <is>
          <t>STBU</t>
        </is>
      </c>
      <c r="H513" s="43" t="n"/>
      <c r="I513" s="43" t="n"/>
      <c r="J513" s="43" t="n"/>
      <c r="K513" s="43" t="n"/>
      <c r="L513" s="43" t="n"/>
      <c r="M513" s="43" t="n"/>
      <c r="N513" s="43" t="n"/>
      <c r="O513" s="43" t="n"/>
      <c r="P513" s="43" t="n"/>
      <c r="Q513" s="43" t="inlineStr">
        <is>
          <t>BOARD</t>
        </is>
      </c>
      <c r="R513" s="33" t="inlineStr">
        <is>
          <t>REVISAR D614056: verificar accion documentada, PN/revision y vigencia para la corrida. No autoriza sustitucion ni uso de material.</t>
        </is>
      </c>
      <c r="S513" s="43" t="inlineStr">
        <is>
          <t>INFO</t>
        </is>
      </c>
      <c r="T513" s="33" t="inlineStr">
        <is>
          <t>Validar desviacion aprobada y estado; contrastar PN exacto y revision con Common DB, BOM/AVL, WO y fecha de corrida.</t>
        </is>
      </c>
      <c r="U513" s="33" t="inlineStr">
        <is>
          <t>Documento oficial firmado, autorizacion FJZ, revision/WO de alcance, confirmacion BOM y evidencia de implementacion si aplica.</t>
        </is>
      </c>
      <c r="V513" s="43" t="n"/>
      <c r="W513" s="43" t="n"/>
      <c r="X513" s="43" t="inlineStr">
        <is>
          <t>INFO</t>
        </is>
      </c>
      <c r="Y513" s="43" t="n"/>
      <c r="Z513" s="43" t="inlineStr">
        <is>
          <t>Pending Review</t>
        </is>
      </c>
      <c r="AA513" s="43" t="inlineStr">
        <is>
          <t>N</t>
        </is>
      </c>
      <c r="AB513" s="43" t="n"/>
      <c r="AC513" s="33" t="inlineStr">
        <is>
          <t xml:space="preserve">FUENTE: Deviation.csv filas 1338; Item Number original=73-102433-05 (prefijo 73- es CANDIDATO de PCBA, no confirmacion en Common DB); Workflow de origen=CCB; FJZ no validado, revision PCBA/WO no informadas. </t>
        </is>
      </c>
    </row>
    <row r="514">
      <c r="A514" s="43" t="inlineStr">
        <is>
          <t>DA-CTANJZ05515-STBU-73-102434-05</t>
        </is>
      </c>
      <c r="B514" s="43" t="n"/>
      <c r="C514" s="43" t="n"/>
      <c r="D514" s="43" t="inlineStr">
        <is>
          <t>73-102434-05</t>
        </is>
      </c>
      <c r="E514" s="43" t="inlineStr">
        <is>
          <t>DEV-CTANJZ05515</t>
        </is>
      </c>
      <c r="F514" s="43" t="n"/>
      <c r="G514" s="43" t="inlineStr">
        <is>
          <t>STBU</t>
        </is>
      </c>
      <c r="H514" s="43" t="n"/>
      <c r="I514" s="43" t="n"/>
      <c r="J514" s="43" t="n"/>
      <c r="K514" s="43" t="n"/>
      <c r="L514" s="43" t="n"/>
      <c r="M514" s="43" t="n"/>
      <c r="N514" s="43" t="n"/>
      <c r="O514" s="43" t="n"/>
      <c r="P514" s="43" t="n"/>
      <c r="Q514" s="43" t="inlineStr">
        <is>
          <t>BOARD</t>
        </is>
      </c>
      <c r="R514" s="33" t="inlineStr">
        <is>
          <t>REVISAR D614056: verificar accion documentada, PN/revision y vigencia para la corrida. No autoriza sustitucion ni uso de material.</t>
        </is>
      </c>
      <c r="S514" s="43" t="inlineStr">
        <is>
          <t>INFO</t>
        </is>
      </c>
      <c r="T514" s="33" t="inlineStr">
        <is>
          <t>Validar desviacion aprobada y estado; contrastar PN exacto y revision con Common DB, BOM/AVL, WO y fecha de corrida.</t>
        </is>
      </c>
      <c r="U514" s="33" t="inlineStr">
        <is>
          <t>Documento oficial firmado, autorizacion FJZ, revision/WO de alcance, confirmacion BOM y evidencia de implementacion si aplica.</t>
        </is>
      </c>
      <c r="V514" s="43" t="n"/>
      <c r="W514" s="43" t="n"/>
      <c r="X514" s="43" t="inlineStr">
        <is>
          <t>INFO</t>
        </is>
      </c>
      <c r="Y514" s="43" t="n"/>
      <c r="Z514" s="43" t="inlineStr">
        <is>
          <t>Pending Review</t>
        </is>
      </c>
      <c r="AA514" s="43" t="inlineStr">
        <is>
          <t>N</t>
        </is>
      </c>
      <c r="AB514" s="43" t="n"/>
      <c r="AC514" s="33" t="inlineStr">
        <is>
          <t xml:space="preserve">FUENTE: Deviation.csv filas 1339; Item Number original=73-102434-05 (prefijo 73- es CANDIDATO de PCBA, no confirmacion en Common DB); Workflow de origen=CCB; FJZ no validado, revision PCBA/WO no informadas. </t>
        </is>
      </c>
    </row>
    <row r="515">
      <c r="A515" s="43" t="inlineStr">
        <is>
          <t>DA-CTANJZ05515-STBU-73-102435-05</t>
        </is>
      </c>
      <c r="B515" s="43" t="n"/>
      <c r="C515" s="43" t="n"/>
      <c r="D515" s="43" t="inlineStr">
        <is>
          <t>73-102435-05</t>
        </is>
      </c>
      <c r="E515" s="43" t="inlineStr">
        <is>
          <t>DEV-CTANJZ05515</t>
        </is>
      </c>
      <c r="F515" s="43" t="n"/>
      <c r="G515" s="43" t="inlineStr">
        <is>
          <t>STBU</t>
        </is>
      </c>
      <c r="H515" s="43" t="n"/>
      <c r="I515" s="43" t="n"/>
      <c r="J515" s="43" t="n"/>
      <c r="K515" s="43" t="n"/>
      <c r="L515" s="43" t="n"/>
      <c r="M515" s="43" t="n"/>
      <c r="N515" s="43" t="n"/>
      <c r="O515" s="43" t="n"/>
      <c r="P515" s="43" t="n"/>
      <c r="Q515" s="43" t="inlineStr">
        <is>
          <t>BOARD</t>
        </is>
      </c>
      <c r="R515" s="33" t="inlineStr">
        <is>
          <t>REVISAR D614056: verificar accion documentada, PN/revision y vigencia para la corrida. No autoriza sustitucion ni uso de material.</t>
        </is>
      </c>
      <c r="S515" s="43" t="inlineStr">
        <is>
          <t>INFO</t>
        </is>
      </c>
      <c r="T515" s="33" t="inlineStr">
        <is>
          <t>Validar desviacion aprobada y estado; contrastar PN exacto y revision con Common DB, BOM/AVL, WO y fecha de corrida.</t>
        </is>
      </c>
      <c r="U515" s="33" t="inlineStr">
        <is>
          <t>Documento oficial firmado, autorizacion FJZ, revision/WO de alcance, confirmacion BOM y evidencia de implementacion si aplica.</t>
        </is>
      </c>
      <c r="V515" s="43" t="n"/>
      <c r="W515" s="43" t="n"/>
      <c r="X515" s="43" t="inlineStr">
        <is>
          <t>INFO</t>
        </is>
      </c>
      <c r="Y515" s="43" t="n"/>
      <c r="Z515" s="43" t="inlineStr">
        <is>
          <t>Pending Review</t>
        </is>
      </c>
      <c r="AA515" s="43" t="inlineStr">
        <is>
          <t>N</t>
        </is>
      </c>
      <c r="AB515" s="43" t="n"/>
      <c r="AC515" s="33" t="inlineStr">
        <is>
          <t xml:space="preserve">FUENTE: Deviation.csv filas 1340; Item Number original=73-102435-05 (prefijo 73- es CANDIDATO de PCBA, no confirmacion en Common DB); Workflow de origen=CCB; FJZ no validado, revision PCBA/WO no informadas. </t>
        </is>
      </c>
    </row>
    <row r="516">
      <c r="A516" s="43" t="inlineStr">
        <is>
          <t>DA-CTANJZ05515-STBU-73-103557-04</t>
        </is>
      </c>
      <c r="B516" s="43" t="n"/>
      <c r="C516" s="43" t="n"/>
      <c r="D516" s="43" t="inlineStr">
        <is>
          <t>73-103557-04</t>
        </is>
      </c>
      <c r="E516" s="43" t="inlineStr">
        <is>
          <t>DEV-CTANJZ05515</t>
        </is>
      </c>
      <c r="F516" s="43" t="n"/>
      <c r="G516" s="43" t="inlineStr">
        <is>
          <t>STBU</t>
        </is>
      </c>
      <c r="H516" s="43" t="n"/>
      <c r="I516" s="43" t="n"/>
      <c r="J516" s="43" t="n"/>
      <c r="K516" s="43" t="n"/>
      <c r="L516" s="43" t="n"/>
      <c r="M516" s="43" t="n"/>
      <c r="N516" s="43" t="n"/>
      <c r="O516" s="43" t="n"/>
      <c r="P516" s="43" t="n"/>
      <c r="Q516" s="43" t="inlineStr">
        <is>
          <t>BOARD</t>
        </is>
      </c>
      <c r="R516" s="33" t="inlineStr">
        <is>
          <t>REVISAR D614056: verificar accion documentada, PN/revision y vigencia para la corrida. No autoriza sustitucion ni uso de material.</t>
        </is>
      </c>
      <c r="S516" s="43" t="inlineStr">
        <is>
          <t>INFO</t>
        </is>
      </c>
      <c r="T516" s="33" t="inlineStr">
        <is>
          <t>Validar desviacion aprobada y estado; contrastar PN exacto y revision con Common DB, BOM/AVL, WO y fecha de corrida.</t>
        </is>
      </c>
      <c r="U516" s="33" t="inlineStr">
        <is>
          <t>Documento oficial firmado, autorizacion FJZ, revision/WO de alcance, confirmacion BOM y evidencia de implementacion si aplica.</t>
        </is>
      </c>
      <c r="V516" s="43" t="n"/>
      <c r="W516" s="43" t="n"/>
      <c r="X516" s="43" t="inlineStr">
        <is>
          <t>INFO</t>
        </is>
      </c>
      <c r="Y516" s="43" t="n"/>
      <c r="Z516" s="43" t="inlineStr">
        <is>
          <t>Pending Review</t>
        </is>
      </c>
      <c r="AA516" s="43" t="inlineStr">
        <is>
          <t>N</t>
        </is>
      </c>
      <c r="AB516" s="43" t="n"/>
      <c r="AC516" s="33" t="inlineStr">
        <is>
          <t xml:space="preserve">FUENTE: Deviation.csv filas 1341; Item Number original=73-103557-04 (prefijo 73- es CANDIDATO de PCBA, no confirmacion en Common DB); Workflow de origen=CCB; FJZ no validado, revision PCBA/WO no informadas. </t>
        </is>
      </c>
    </row>
    <row r="517">
      <c r="A517" s="43" t="inlineStr">
        <is>
          <t>DA-CTANJZ05515-STBU-73-103633-04</t>
        </is>
      </c>
      <c r="B517" s="43" t="n"/>
      <c r="C517" s="43" t="n"/>
      <c r="D517" s="43" t="inlineStr">
        <is>
          <t>73-103633-04</t>
        </is>
      </c>
      <c r="E517" s="43" t="inlineStr">
        <is>
          <t>DEV-CTANJZ05515</t>
        </is>
      </c>
      <c r="F517" s="43" t="n"/>
      <c r="G517" s="43" t="inlineStr">
        <is>
          <t>STBU</t>
        </is>
      </c>
      <c r="H517" s="43" t="n"/>
      <c r="I517" s="43" t="n"/>
      <c r="J517" s="43" t="n"/>
      <c r="K517" s="43" t="n"/>
      <c r="L517" s="43" t="n"/>
      <c r="M517" s="43" t="n"/>
      <c r="N517" s="43" t="n"/>
      <c r="O517" s="43" t="n"/>
      <c r="P517" s="43" t="n"/>
      <c r="Q517" s="43" t="inlineStr">
        <is>
          <t>BOARD</t>
        </is>
      </c>
      <c r="R517" s="33" t="inlineStr">
        <is>
          <t>REVISAR D614056: verificar accion documentada, PN/revision y vigencia para la corrida. No autoriza sustitucion ni uso de material.</t>
        </is>
      </c>
      <c r="S517" s="43" t="inlineStr">
        <is>
          <t>INFO</t>
        </is>
      </c>
      <c r="T517" s="33" t="inlineStr">
        <is>
          <t>Validar desviacion aprobada y estado; contrastar PN exacto y revision con Common DB, BOM/AVL, WO y fecha de corrida.</t>
        </is>
      </c>
      <c r="U517" s="33" t="inlineStr">
        <is>
          <t>Documento oficial firmado, autorizacion FJZ, revision/WO de alcance, confirmacion BOM y evidencia de implementacion si aplica.</t>
        </is>
      </c>
      <c r="V517" s="43" t="n"/>
      <c r="W517" s="43" t="n"/>
      <c r="X517" s="43" t="inlineStr">
        <is>
          <t>INFO</t>
        </is>
      </c>
      <c r="Y517" s="43" t="n"/>
      <c r="Z517" s="43" t="inlineStr">
        <is>
          <t>Pending Review</t>
        </is>
      </c>
      <c r="AA517" s="43" t="inlineStr">
        <is>
          <t>N</t>
        </is>
      </c>
      <c r="AB517" s="43" t="n"/>
      <c r="AC517" s="33" t="inlineStr">
        <is>
          <t xml:space="preserve">FUENTE: Deviation.csv filas 1345; Item Number original=73-103633-04 (prefijo 73- es CANDIDATO de PCBA, no confirmacion en Common DB); Workflow de origen=CCB; FJZ no validado, revision PCBA/WO no informadas. </t>
        </is>
      </c>
    </row>
    <row r="518">
      <c r="A518" s="43" t="inlineStr">
        <is>
          <t>DA-CTANJZ05515-STBU-73-103633-05</t>
        </is>
      </c>
      <c r="B518" s="43" t="n"/>
      <c r="C518" s="43" t="n"/>
      <c r="D518" s="43" t="inlineStr">
        <is>
          <t>73-103633-05</t>
        </is>
      </c>
      <c r="E518" s="43" t="inlineStr">
        <is>
          <t>DEV-CTANJZ05515</t>
        </is>
      </c>
      <c r="F518" s="43" t="n"/>
      <c r="G518" s="43" t="inlineStr">
        <is>
          <t>STBU</t>
        </is>
      </c>
      <c r="H518" s="43" t="n"/>
      <c r="I518" s="43" t="n"/>
      <c r="J518" s="43" t="n"/>
      <c r="K518" s="43" t="n"/>
      <c r="L518" s="43" t="n"/>
      <c r="M518" s="43" t="n"/>
      <c r="N518" s="43" t="n"/>
      <c r="O518" s="43" t="n"/>
      <c r="P518" s="43" t="n"/>
      <c r="Q518" s="43" t="inlineStr">
        <is>
          <t>BOARD</t>
        </is>
      </c>
      <c r="R518" s="33" t="inlineStr">
        <is>
          <t>REVISAR D614056: verificar accion documentada, PN/revision y vigencia para la corrida. No autoriza sustitucion ni uso de material.</t>
        </is>
      </c>
      <c r="S518" s="43" t="inlineStr">
        <is>
          <t>INFO</t>
        </is>
      </c>
      <c r="T518" s="33" t="inlineStr">
        <is>
          <t>Validar desviacion aprobada y estado; contrastar PN exacto y revision con Common DB, BOM/AVL, WO y fecha de corrida.</t>
        </is>
      </c>
      <c r="U518" s="33" t="inlineStr">
        <is>
          <t>Documento oficial firmado, autorizacion FJZ, revision/WO de alcance, confirmacion BOM y evidencia de implementacion si aplica.</t>
        </is>
      </c>
      <c r="V518" s="43" t="n"/>
      <c r="W518" s="43" t="n"/>
      <c r="X518" s="43" t="inlineStr">
        <is>
          <t>INFO</t>
        </is>
      </c>
      <c r="Y518" s="43" t="n"/>
      <c r="Z518" s="43" t="inlineStr">
        <is>
          <t>Pending Review</t>
        </is>
      </c>
      <c r="AA518" s="43" t="inlineStr">
        <is>
          <t>N</t>
        </is>
      </c>
      <c r="AB518" s="43" t="n"/>
      <c r="AC518" s="33" t="inlineStr">
        <is>
          <t xml:space="preserve">FUENTE: Deviation.csv filas 1346; Item Number original=73-103633-05 (prefijo 73- es CANDIDATO de PCBA, no confirmacion en Common DB); Workflow de origen=CCB; FJZ no validado, revision PCBA/WO no informadas. </t>
        </is>
      </c>
    </row>
    <row r="519">
      <c r="A519" s="43" t="inlineStr">
        <is>
          <t>DA-CTANJZ05515-STBU-73-104531-01</t>
        </is>
      </c>
      <c r="B519" s="43" t="n"/>
      <c r="C519" s="43" t="n"/>
      <c r="D519" s="43" t="inlineStr">
        <is>
          <t>73-104531-01</t>
        </is>
      </c>
      <c r="E519" s="43" t="inlineStr">
        <is>
          <t>DEV-CTANJZ05515</t>
        </is>
      </c>
      <c r="F519" s="43" t="n"/>
      <c r="G519" s="43" t="inlineStr">
        <is>
          <t>STBU</t>
        </is>
      </c>
      <c r="H519" s="43" t="n"/>
      <c r="I519" s="43" t="n"/>
      <c r="J519" s="43" t="n"/>
      <c r="K519" s="43" t="n"/>
      <c r="L519" s="43" t="n"/>
      <c r="M519" s="43" t="n"/>
      <c r="N519" s="43" t="n"/>
      <c r="O519" s="43" t="n"/>
      <c r="P519" s="43" t="n"/>
      <c r="Q519" s="43" t="inlineStr">
        <is>
          <t>BOARD</t>
        </is>
      </c>
      <c r="R519" s="33" t="inlineStr">
        <is>
          <t>REVISAR D614056: verificar accion documentada, PN/revision y vigencia para la corrida. No autoriza sustitucion ni uso de material.</t>
        </is>
      </c>
      <c r="S519" s="43" t="inlineStr">
        <is>
          <t>INFO</t>
        </is>
      </c>
      <c r="T519" s="33" t="inlineStr">
        <is>
          <t>Validar desviacion aprobada y estado; contrastar PN exacto y revision con Common DB, BOM/AVL, WO y fecha de corrida.</t>
        </is>
      </c>
      <c r="U519" s="33" t="inlineStr">
        <is>
          <t>Documento oficial firmado, autorizacion FJZ, revision/WO de alcance, confirmacion BOM y evidencia de implementacion si aplica.</t>
        </is>
      </c>
      <c r="V519" s="43" t="n"/>
      <c r="W519" s="43" t="n"/>
      <c r="X519" s="43" t="inlineStr">
        <is>
          <t>INFO</t>
        </is>
      </c>
      <c r="Y519" s="43" t="n"/>
      <c r="Z519" s="43" t="inlineStr">
        <is>
          <t>Pending Review</t>
        </is>
      </c>
      <c r="AA519" s="43" t="inlineStr">
        <is>
          <t>N</t>
        </is>
      </c>
      <c r="AB519" s="43" t="n"/>
      <c r="AC519" s="33" t="inlineStr">
        <is>
          <t xml:space="preserve">FUENTE: Deviation.csv filas 1347; Item Number original=73-104531-01 (prefijo 73- es CANDIDATO de PCBA, no confirmacion en Common DB); Workflow de origen=CCB; FJZ no validado, revision PCBA/WO no informadas. </t>
        </is>
      </c>
    </row>
    <row r="520">
      <c r="A520" s="43" t="inlineStr">
        <is>
          <t>DA-CTANJZ05515-STBU-73-104533-01</t>
        </is>
      </c>
      <c r="B520" s="43" t="n"/>
      <c r="C520" s="43" t="n"/>
      <c r="D520" s="43" t="inlineStr">
        <is>
          <t>73-104533-01</t>
        </is>
      </c>
      <c r="E520" s="43" t="inlineStr">
        <is>
          <t>DEV-CTANJZ05515</t>
        </is>
      </c>
      <c r="F520" s="43" t="n"/>
      <c r="G520" s="43" t="inlineStr">
        <is>
          <t>STBU</t>
        </is>
      </c>
      <c r="H520" s="43" t="n"/>
      <c r="I520" s="43" t="n"/>
      <c r="J520" s="43" t="n"/>
      <c r="K520" s="43" t="n"/>
      <c r="L520" s="43" t="n"/>
      <c r="M520" s="43" t="n"/>
      <c r="N520" s="43" t="n"/>
      <c r="O520" s="43" t="n"/>
      <c r="P520" s="43" t="n"/>
      <c r="Q520" s="43" t="inlineStr">
        <is>
          <t>BOARD</t>
        </is>
      </c>
      <c r="R520" s="33" t="inlineStr">
        <is>
          <t>REVISAR D614056: verificar accion documentada, PN/revision y vigencia para la corrida. No autoriza sustitucion ni uso de material.</t>
        </is>
      </c>
      <c r="S520" s="43" t="inlineStr">
        <is>
          <t>INFO</t>
        </is>
      </c>
      <c r="T520" s="33" t="inlineStr">
        <is>
          <t>Validar desviacion aprobada y estado; contrastar PN exacto y revision con Common DB, BOM/AVL, WO y fecha de corrida.</t>
        </is>
      </c>
      <c r="U520" s="33" t="inlineStr">
        <is>
          <t>Documento oficial firmado, autorizacion FJZ, revision/WO de alcance, confirmacion BOM y evidencia de implementacion si aplica.</t>
        </is>
      </c>
      <c r="V520" s="43" t="n"/>
      <c r="W520" s="43" t="n"/>
      <c r="X520" s="43" t="inlineStr">
        <is>
          <t>INFO</t>
        </is>
      </c>
      <c r="Y520" s="43" t="n"/>
      <c r="Z520" s="43" t="inlineStr">
        <is>
          <t>Pending Review</t>
        </is>
      </c>
      <c r="AA520" s="43" t="inlineStr">
        <is>
          <t>N</t>
        </is>
      </c>
      <c r="AB520" s="43" t="n"/>
      <c r="AC520" s="33" t="inlineStr">
        <is>
          <t xml:space="preserve">FUENTE: Deviation.csv filas 1348; Item Number original=73-104533-01 (prefijo 73- es CANDIDATO de PCBA, no confirmacion en Common DB); Workflow de origen=CCB; FJZ no validado, revision PCBA/WO no informadas. </t>
        </is>
      </c>
    </row>
    <row r="521">
      <c r="A521" s="43" t="inlineStr">
        <is>
          <t>DA-CTANJZ05515-STBU-73-104536-01</t>
        </is>
      </c>
      <c r="B521" s="43" t="n"/>
      <c r="C521" s="43" t="n"/>
      <c r="D521" s="43" t="inlineStr">
        <is>
          <t>73-104536-01</t>
        </is>
      </c>
      <c r="E521" s="43" t="inlineStr">
        <is>
          <t>DEV-CTANJZ05515</t>
        </is>
      </c>
      <c r="F521" s="43" t="n"/>
      <c r="G521" s="43" t="inlineStr">
        <is>
          <t>STBU</t>
        </is>
      </c>
      <c r="H521" s="43" t="n"/>
      <c r="I521" s="43" t="n"/>
      <c r="J521" s="43" t="n"/>
      <c r="K521" s="43" t="n"/>
      <c r="L521" s="43" t="n"/>
      <c r="M521" s="43" t="n"/>
      <c r="N521" s="43" t="n"/>
      <c r="O521" s="43" t="n"/>
      <c r="P521" s="43" t="n"/>
      <c r="Q521" s="43" t="inlineStr">
        <is>
          <t>BOARD</t>
        </is>
      </c>
      <c r="R521" s="33" t="inlineStr">
        <is>
          <t>REVISAR D614056: verificar accion documentada, PN/revision y vigencia para la corrida. No autoriza sustitucion ni uso de material.</t>
        </is>
      </c>
      <c r="S521" s="43" t="inlineStr">
        <is>
          <t>INFO</t>
        </is>
      </c>
      <c r="T521" s="33" t="inlineStr">
        <is>
          <t>Validar desviacion aprobada y estado; contrastar PN exacto y revision con Common DB, BOM/AVL, WO y fecha de corrida.</t>
        </is>
      </c>
      <c r="U521" s="33" t="inlineStr">
        <is>
          <t>Documento oficial firmado, autorizacion FJZ, revision/WO de alcance, confirmacion BOM y evidencia de implementacion si aplica.</t>
        </is>
      </c>
      <c r="V521" s="43" t="n"/>
      <c r="W521" s="43" t="n"/>
      <c r="X521" s="43" t="inlineStr">
        <is>
          <t>INFO</t>
        </is>
      </c>
      <c r="Y521" s="43" t="n"/>
      <c r="Z521" s="43" t="inlineStr">
        <is>
          <t>Pending Review</t>
        </is>
      </c>
      <c r="AA521" s="43" t="inlineStr">
        <is>
          <t>N</t>
        </is>
      </c>
      <c r="AB521" s="43" t="n"/>
      <c r="AC521" s="33" t="inlineStr">
        <is>
          <t xml:space="preserve">FUENTE: Deviation.csv filas 1349; Item Number original=73-104536-01 (prefijo 73- es CANDIDATO de PCBA, no confirmacion en Common DB); Workflow de origen=CCB; FJZ no validado, revision PCBA/WO no informadas. </t>
        </is>
      </c>
    </row>
    <row r="522">
      <c r="A522" s="43" t="inlineStr">
        <is>
          <t>DA-CTANJZ05515-STBU-73-104537-01</t>
        </is>
      </c>
      <c r="B522" s="43" t="n"/>
      <c r="C522" s="43" t="n"/>
      <c r="D522" s="43" t="inlineStr">
        <is>
          <t>73-104537-01</t>
        </is>
      </c>
      <c r="E522" s="43" t="inlineStr">
        <is>
          <t>DEV-CTANJZ05515</t>
        </is>
      </c>
      <c r="F522" s="43" t="n"/>
      <c r="G522" s="43" t="inlineStr">
        <is>
          <t>STBU</t>
        </is>
      </c>
      <c r="H522" s="43" t="n"/>
      <c r="I522" s="43" t="n"/>
      <c r="J522" s="43" t="n"/>
      <c r="K522" s="43" t="n"/>
      <c r="L522" s="43" t="n"/>
      <c r="M522" s="43" t="n"/>
      <c r="N522" s="43" t="n"/>
      <c r="O522" s="43" t="n"/>
      <c r="P522" s="43" t="n"/>
      <c r="Q522" s="43" t="inlineStr">
        <is>
          <t>BOARD</t>
        </is>
      </c>
      <c r="R522" s="33" t="inlineStr">
        <is>
          <t>REVISAR D614056: verificar accion documentada, PN/revision y vigencia para la corrida. No autoriza sustitucion ni uso de material.</t>
        </is>
      </c>
      <c r="S522" s="43" t="inlineStr">
        <is>
          <t>INFO</t>
        </is>
      </c>
      <c r="T522" s="33" t="inlineStr">
        <is>
          <t>Validar desviacion aprobada y estado; contrastar PN exacto y revision con Common DB, BOM/AVL, WO y fecha de corrida.</t>
        </is>
      </c>
      <c r="U522" s="33" t="inlineStr">
        <is>
          <t>Documento oficial firmado, autorizacion FJZ, revision/WO de alcance, confirmacion BOM y evidencia de implementacion si aplica.</t>
        </is>
      </c>
      <c r="V522" s="43" t="n"/>
      <c r="W522" s="43" t="n"/>
      <c r="X522" s="43" t="inlineStr">
        <is>
          <t>INFO</t>
        </is>
      </c>
      <c r="Y522" s="43" t="n"/>
      <c r="Z522" s="43" t="inlineStr">
        <is>
          <t>Pending Review</t>
        </is>
      </c>
      <c r="AA522" s="43" t="inlineStr">
        <is>
          <t>N</t>
        </is>
      </c>
      <c r="AB522" s="43" t="n"/>
      <c r="AC522" s="33" t="inlineStr">
        <is>
          <t xml:space="preserve">FUENTE: Deviation.csv filas 1350; Item Number original=73-104537-01 (prefijo 73- es CANDIDATO de PCBA, no confirmacion en Common DB); Workflow de origen=CCB; FJZ no validado, revision PCBA/WO no informadas. </t>
        </is>
      </c>
    </row>
    <row r="523">
      <c r="A523" s="43" t="inlineStr">
        <is>
          <t>DA-CTANJZ05515-STBU-73-20247-06</t>
        </is>
      </c>
      <c r="B523" s="43" t="inlineStr">
        <is>
          <t>TUFNELL PARK</t>
        </is>
      </c>
      <c r="C523" s="43" t="n"/>
      <c r="D523" s="43" t="inlineStr">
        <is>
          <t>73-20247-06</t>
        </is>
      </c>
      <c r="E523" s="43" t="inlineStr">
        <is>
          <t>DEV-CTANJZ05515</t>
        </is>
      </c>
      <c r="F523" s="43" t="n"/>
      <c r="G523" s="43" t="inlineStr">
        <is>
          <t>STBU</t>
        </is>
      </c>
      <c r="H523" s="43" t="n"/>
      <c r="I523" s="43" t="n"/>
      <c r="J523" s="43" t="n"/>
      <c r="K523" s="43" t="n"/>
      <c r="L523" s="43" t="n"/>
      <c r="M523" s="43" t="n"/>
      <c r="N523" s="43" t="n"/>
      <c r="O523" s="43" t="n"/>
      <c r="P523" s="43" t="n"/>
      <c r="Q523" s="43" t="inlineStr">
        <is>
          <t>BOARD</t>
        </is>
      </c>
      <c r="R523" s="33" t="inlineStr">
        <is>
          <t>REVISAR D614056: verificar accion documentada, PN/revision y vigencia para la corrida. No autoriza sustitucion ni uso de material.</t>
        </is>
      </c>
      <c r="S523" s="43" t="inlineStr">
        <is>
          <t>INFO</t>
        </is>
      </c>
      <c r="T523" s="33" t="inlineStr">
        <is>
          <t>Validar desviacion aprobada y estado; contrastar PN exacto y revision con Common DB, BOM/AVL, WO y fecha de corrida.</t>
        </is>
      </c>
      <c r="U523" s="33" t="inlineStr">
        <is>
          <t>Documento oficial firmado, autorizacion FJZ, revision/WO de alcance, confirmacion BOM y evidencia de implementacion si aplica.</t>
        </is>
      </c>
      <c r="V523" s="43" t="n"/>
      <c r="W523" s="43" t="n"/>
      <c r="X523" s="43" t="inlineStr">
        <is>
          <t>INFO</t>
        </is>
      </c>
      <c r="Y523" s="43" t="n"/>
      <c r="Z523" s="43" t="inlineStr">
        <is>
          <t>Pending Review</t>
        </is>
      </c>
      <c r="AA523" s="43" t="inlineStr">
        <is>
          <t>N</t>
        </is>
      </c>
      <c r="AB523" s="43" t="n"/>
      <c r="AC523" s="33" t="inlineStr">
        <is>
          <t xml:space="preserve">FUENTE: Deviation.csv filas 1351; Item Number original=73-20247-06 (prefijo 73- es CANDIDATO de PCBA, no confirmacion en Common DB); Workflow de origen=CCB; FJZ no validado, revision PCBA/WO no informadas. </t>
        </is>
      </c>
    </row>
    <row r="524">
      <c r="A524" s="43" t="inlineStr">
        <is>
          <t>DA-CTANJZ05515-STBU-73-20249-06</t>
        </is>
      </c>
      <c r="B524" s="43" t="inlineStr">
        <is>
          <t>TUFNELL PARK</t>
        </is>
      </c>
      <c r="C524" s="43" t="n"/>
      <c r="D524" s="43" t="inlineStr">
        <is>
          <t>73-20249-06</t>
        </is>
      </c>
      <c r="E524" s="43" t="inlineStr">
        <is>
          <t>DEV-CTANJZ05515</t>
        </is>
      </c>
      <c r="F524" s="43" t="n"/>
      <c r="G524" s="43" t="inlineStr">
        <is>
          <t>STBU</t>
        </is>
      </c>
      <c r="H524" s="43" t="n"/>
      <c r="I524" s="43" t="n"/>
      <c r="J524" s="43" t="n"/>
      <c r="K524" s="43" t="n"/>
      <c r="L524" s="43" t="n"/>
      <c r="M524" s="43" t="n"/>
      <c r="N524" s="43" t="n"/>
      <c r="O524" s="43" t="n"/>
      <c r="P524" s="43" t="n"/>
      <c r="Q524" s="43" t="inlineStr">
        <is>
          <t>BOARD</t>
        </is>
      </c>
      <c r="R524" s="33" t="inlineStr">
        <is>
          <t>REVISAR D614056: verificar accion documentada, PN/revision y vigencia para la corrida. No autoriza sustitucion ni uso de material.</t>
        </is>
      </c>
      <c r="S524" s="43" t="inlineStr">
        <is>
          <t>INFO</t>
        </is>
      </c>
      <c r="T524" s="33" t="inlineStr">
        <is>
          <t>Validar desviacion aprobada y estado; contrastar PN exacto y revision con Common DB, BOM/AVL, WO y fecha de corrida.</t>
        </is>
      </c>
      <c r="U524" s="33" t="inlineStr">
        <is>
          <t>Documento oficial firmado, autorizacion FJZ, revision/WO de alcance, confirmacion BOM y evidencia de implementacion si aplica.</t>
        </is>
      </c>
      <c r="V524" s="43" t="n"/>
      <c r="W524" s="43" t="n"/>
      <c r="X524" s="43" t="inlineStr">
        <is>
          <t>INFO</t>
        </is>
      </c>
      <c r="Y524" s="43" t="n"/>
      <c r="Z524" s="43" t="inlineStr">
        <is>
          <t>Pending Review</t>
        </is>
      </c>
      <c r="AA524" s="43" t="inlineStr">
        <is>
          <t>N</t>
        </is>
      </c>
      <c r="AB524" s="43" t="n"/>
      <c r="AC524" s="33" t="inlineStr">
        <is>
          <t xml:space="preserve">FUENTE: Deviation.csv filas 1355; Item Number original=73-20249-06 (prefijo 73- es CANDIDATO de PCBA, no confirmacion en Common DB); Workflow de origen=CCB; FJZ no validado, revision PCBA/WO no informadas. </t>
        </is>
      </c>
    </row>
    <row r="525">
      <c r="A525" s="43" t="inlineStr">
        <is>
          <t>DA-CTANJZ05517-STBU-73-20247-06</t>
        </is>
      </c>
      <c r="B525" s="43" t="inlineStr">
        <is>
          <t>TUFNELL PARK</t>
        </is>
      </c>
      <c r="C525" s="43" t="n"/>
      <c r="D525" s="43" t="inlineStr">
        <is>
          <t>73-20247-06</t>
        </is>
      </c>
      <c r="E525" s="43" t="inlineStr">
        <is>
          <t>DEV-CTANJZ05517</t>
        </is>
      </c>
      <c r="F525" s="43" t="n"/>
      <c r="G525" s="43" t="inlineStr">
        <is>
          <t>STBU</t>
        </is>
      </c>
      <c r="H525" s="43" t="n"/>
      <c r="I525" s="43" t="n"/>
      <c r="J525" s="43" t="n"/>
      <c r="K525" s="43" t="n"/>
      <c r="L525" s="43" t="n"/>
      <c r="M525" s="43" t="n"/>
      <c r="N525" s="43" t="n"/>
      <c r="O525" s="43" t="n"/>
      <c r="P525" s="43" t="n"/>
      <c r="Q525" s="43" t="inlineStr">
        <is>
          <t>BOARD</t>
        </is>
      </c>
      <c r="R525" s="33" t="inlineStr">
        <is>
          <t>REVISAR D613872: verificar accion documentada, PN/revision y vigencia para la corrida. No autoriza sustitucion ni uso de material.</t>
        </is>
      </c>
      <c r="S525" s="43" t="inlineStr">
        <is>
          <t>INFO</t>
        </is>
      </c>
      <c r="T525" s="33" t="inlineStr">
        <is>
          <t>Validar desviacion aprobada y estado; contrastar PN exacto y revision con Common DB, BOM/AVL, WO y fecha de corrida.</t>
        </is>
      </c>
      <c r="U525" s="33" t="inlineStr">
        <is>
          <t>Documento oficial firmado, autorizacion FJZ, revision/WO de alcance, confirmacion BOM y evidencia de implementacion si aplica.</t>
        </is>
      </c>
      <c r="V525" s="43" t="n"/>
      <c r="W525" s="43" t="n"/>
      <c r="X525" s="43" t="inlineStr">
        <is>
          <t>INFO</t>
        </is>
      </c>
      <c r="Y525" s="43" t="n"/>
      <c r="Z525" s="43" t="inlineStr">
        <is>
          <t>Pending Review</t>
        </is>
      </c>
      <c r="AA525" s="43" t="inlineStr">
        <is>
          <t>N</t>
        </is>
      </c>
      <c r="AB525" s="43" t="n"/>
      <c r="AC525" s="33" t="inlineStr">
        <is>
          <t xml:space="preserve">FUENTE: Deviation.csv filas 1311; Item Number original=73-20247-06 (prefijo 73- es CANDIDATO de PCBA, no confirmacion en Common DB); Workflow de origen=CCB; FJZ no validado, revision PCBA/WO no informadas. </t>
        </is>
      </c>
    </row>
    <row r="526">
      <c r="A526" s="43" t="inlineStr">
        <is>
          <t>DA-CTANJZ05517-STBU-73-20249-06</t>
        </is>
      </c>
      <c r="B526" s="43" t="inlineStr">
        <is>
          <t>TUFNELL PARK</t>
        </is>
      </c>
      <c r="C526" s="43" t="n"/>
      <c r="D526" s="43" t="inlineStr">
        <is>
          <t>73-20249-06</t>
        </is>
      </c>
      <c r="E526" s="43" t="inlineStr">
        <is>
          <t>DEV-CTANJZ05517</t>
        </is>
      </c>
      <c r="F526" s="43" t="n"/>
      <c r="G526" s="43" t="inlineStr">
        <is>
          <t>STBU</t>
        </is>
      </c>
      <c r="H526" s="43" t="n"/>
      <c r="I526" s="43" t="n"/>
      <c r="J526" s="43" t="n"/>
      <c r="K526" s="43" t="n"/>
      <c r="L526" s="43" t="n"/>
      <c r="M526" s="43" t="n"/>
      <c r="N526" s="43" t="n"/>
      <c r="O526" s="43" t="n"/>
      <c r="P526" s="43" t="n"/>
      <c r="Q526" s="43" t="inlineStr">
        <is>
          <t>BOARD</t>
        </is>
      </c>
      <c r="R526" s="33" t="inlineStr">
        <is>
          <t>REVISAR D613872: verificar accion documentada, PN/revision y vigencia para la corrida. No autoriza sustitucion ni uso de material.</t>
        </is>
      </c>
      <c r="S526" s="43" t="inlineStr">
        <is>
          <t>INFO</t>
        </is>
      </c>
      <c r="T526" s="33" t="inlineStr">
        <is>
          <t>Validar desviacion aprobada y estado; contrastar PN exacto y revision con Common DB, BOM/AVL, WO y fecha de corrida.</t>
        </is>
      </c>
      <c r="U526" s="33" t="inlineStr">
        <is>
          <t>Documento oficial firmado, autorizacion FJZ, revision/WO de alcance, confirmacion BOM y evidencia de implementacion si aplica.</t>
        </is>
      </c>
      <c r="V526" s="43" t="n"/>
      <c r="W526" s="43" t="n"/>
      <c r="X526" s="43" t="inlineStr">
        <is>
          <t>INFO</t>
        </is>
      </c>
      <c r="Y526" s="43" t="n"/>
      <c r="Z526" s="43" t="inlineStr">
        <is>
          <t>Pending Review</t>
        </is>
      </c>
      <c r="AA526" s="43" t="inlineStr">
        <is>
          <t>N</t>
        </is>
      </c>
      <c r="AB526" s="43" t="n"/>
      <c r="AC526" s="33" t="inlineStr">
        <is>
          <t xml:space="preserve">FUENTE: Deviation.csv filas 1312; Item Number original=73-20249-06 (prefijo 73- es CANDIDATO de PCBA, no confirmacion en Common DB); Workflow de origen=CCB; FJZ no validado, revision PCBA/WO no informadas. </t>
        </is>
      </c>
    </row>
    <row r="527">
      <c r="A527" s="43" t="inlineStr">
        <is>
          <t>DA-CTANJZ05519-CVEBU-73-103103-05</t>
        </is>
      </c>
      <c r="B527" s="43" t="n"/>
      <c r="C527" s="43" t="n"/>
      <c r="D527" s="43" t="inlineStr">
        <is>
          <t>73-103103-05</t>
        </is>
      </c>
      <c r="E527" s="43" t="inlineStr">
        <is>
          <t>DEV-CTANJZ05519</t>
        </is>
      </c>
      <c r="F527" s="43" t="n"/>
      <c r="G527" s="43" t="inlineStr">
        <is>
          <t>CVEBU</t>
        </is>
      </c>
      <c r="H527" s="43" t="n"/>
      <c r="I527" s="43" t="n"/>
      <c r="J527" s="43" t="n"/>
      <c r="K527" s="43" t="n"/>
      <c r="L527" s="43" t="inlineStr">
        <is>
          <t>U417</t>
        </is>
      </c>
      <c r="M527" s="43" t="inlineStr">
        <is>
          <t>15-108939-01</t>
        </is>
      </c>
      <c r="N527" s="43" t="inlineStr">
        <is>
          <t>15-108939-03</t>
        </is>
      </c>
      <c r="O527" s="43" t="n"/>
      <c r="P527" s="43" t="n"/>
      <c r="Q527" s="43" t="inlineStr">
        <is>
          <t>BOARD</t>
        </is>
      </c>
      <c r="R527" s="33" t="inlineStr">
        <is>
          <t>D614380 EN CCB (NO AUTORIZADA): revisar propuesta de cambiar U417/15-108939-01 por 15-108939-03; no aplicar hasta liberacion documental.</t>
        </is>
      </c>
      <c r="S527" s="43" t="inlineStr">
        <is>
          <t>INFO</t>
        </is>
      </c>
      <c r="T527" s="33" t="inlineStr">
        <is>
          <t>Validar desviacion aprobada y estado; contrastar PN exacto y revision con Common DB, BOM/AVL, WO y fecha de corrida.</t>
        </is>
      </c>
      <c r="U527" s="33" t="inlineStr">
        <is>
          <t>Documento oficial firmado, autorizacion FJZ, revision/WO de alcance, confirmacion BOM y evidencia de implementacion si aplica.</t>
        </is>
      </c>
      <c r="V527" s="43" t="n"/>
      <c r="W527" s="43" t="n"/>
      <c r="X527" s="43" t="inlineStr">
        <is>
          <t>INFO</t>
        </is>
      </c>
      <c r="Y527" s="43" t="n"/>
      <c r="Z527" s="43" t="inlineStr">
        <is>
          <t>Pending Review</t>
        </is>
      </c>
      <c r="AA527" s="43" t="inlineStr">
        <is>
          <t>N</t>
        </is>
      </c>
      <c r="AB527" s="43" t="n"/>
      <c r="AC527" s="33" t="inlineStr">
        <is>
          <t xml:space="preserve">FUENTE: Deviation.csv filas 633; Item Number original=73-103103-05 (prefijo 73- es CANDIDATO de PCBA, no confirmacion en Common DB); Workflow de origen=CCB; FJZ no validado, revision PCBA/WO no informadas. </t>
        </is>
      </c>
    </row>
    <row r="528">
      <c r="A528" s="43" t="inlineStr">
        <is>
          <t>DA-CTANJZ05519-CVEBU-73-103603-05</t>
        </is>
      </c>
      <c r="B528" s="43" t="inlineStr">
        <is>
          <t>PICTORIS</t>
        </is>
      </c>
      <c r="C528" s="43" t="n"/>
      <c r="D528" s="43" t="inlineStr">
        <is>
          <t>73-103603-05</t>
        </is>
      </c>
      <c r="E528" s="43" t="inlineStr">
        <is>
          <t>DEV-CTANJZ05519</t>
        </is>
      </c>
      <c r="F528" s="43" t="n"/>
      <c r="G528" s="43" t="inlineStr">
        <is>
          <t>CVEBU</t>
        </is>
      </c>
      <c r="H528" s="43" t="n"/>
      <c r="I528" s="43" t="n"/>
      <c r="J528" s="43" t="n"/>
      <c r="K528" s="43" t="n"/>
      <c r="L528" s="43" t="inlineStr">
        <is>
          <t>U417</t>
        </is>
      </c>
      <c r="M528" s="43" t="inlineStr">
        <is>
          <t>15-108939-01</t>
        </is>
      </c>
      <c r="N528" s="43" t="inlineStr">
        <is>
          <t>15-108939-03</t>
        </is>
      </c>
      <c r="O528" s="43" t="n"/>
      <c r="P528" s="43" t="n"/>
      <c r="Q528" s="43" t="inlineStr">
        <is>
          <t>BOARD</t>
        </is>
      </c>
      <c r="R528" s="33" t="inlineStr">
        <is>
          <t>D614380 EN CCB (NO AUTORIZADA): revisar propuesta de cambiar U417/15-108939-01 por 15-108939-03; no aplicar hasta liberacion documental.</t>
        </is>
      </c>
      <c r="S528" s="43" t="inlineStr">
        <is>
          <t>INFO</t>
        </is>
      </c>
      <c r="T528" s="33" t="inlineStr">
        <is>
          <t>Validar desviacion aprobada y estado; contrastar PN exacto y revision con Common DB, BOM/AVL, WO y fecha de corrida.</t>
        </is>
      </c>
      <c r="U528" s="33" t="inlineStr">
        <is>
          <t>Documento oficial firmado, autorizacion FJZ, revision/WO de alcance, confirmacion BOM y evidencia de implementacion si aplica.</t>
        </is>
      </c>
      <c r="V528" s="43" t="n"/>
      <c r="W528" s="43" t="n"/>
      <c r="X528" s="43" t="inlineStr">
        <is>
          <t>INFO</t>
        </is>
      </c>
      <c r="Y528" s="43" t="n"/>
      <c r="Z528" s="43" t="inlineStr">
        <is>
          <t>Pending Review</t>
        </is>
      </c>
      <c r="AA528" s="43" t="inlineStr">
        <is>
          <t>N</t>
        </is>
      </c>
      <c r="AB528" s="43" t="n"/>
      <c r="AC528" s="33" t="inlineStr">
        <is>
          <t xml:space="preserve">FUENTE: Deviation.csv filas 634; Item Number original=73-103603-05 (prefijo 73- es CANDIDATO de PCBA, no confirmacion en Common DB); Workflow de origen=CCB; FJZ no validado, revision PCBA/WO no informadas. </t>
        </is>
      </c>
    </row>
    <row r="529">
      <c r="A529" s="43" t="inlineStr">
        <is>
          <t>DA-CTANJZ05520-CVEBU-73-102226-06</t>
        </is>
      </c>
      <c r="B529" s="43" t="inlineStr">
        <is>
          <t>MILLENIUM</t>
        </is>
      </c>
      <c r="C529" s="43" t="n"/>
      <c r="D529" s="43" t="inlineStr">
        <is>
          <t>73-102226-06</t>
        </is>
      </c>
      <c r="E529" s="43" t="inlineStr">
        <is>
          <t>DEV-CTANJZ05520</t>
        </is>
      </c>
      <c r="F529" s="43" t="n"/>
      <c r="G529" s="43" t="inlineStr">
        <is>
          <t>CVEBU</t>
        </is>
      </c>
      <c r="H529" s="43" t="n"/>
      <c r="I529" s="43" t="n"/>
      <c r="J529" s="43" t="n"/>
      <c r="K529" s="43" t="n"/>
      <c r="L529" s="43" t="n"/>
      <c r="M529" s="43" t="n"/>
      <c r="N529" s="43" t="n"/>
      <c r="O529" s="43" t="n"/>
      <c r="P529" s="43" t="n"/>
      <c r="Q529" s="43" t="inlineStr">
        <is>
          <t>BOARD</t>
        </is>
      </c>
      <c r="R529" s="33" t="inlineStr">
        <is>
          <t>REVISAR D614397: verificar accion documentada, PN/revision y vigencia para la corrida. No autoriza sustitucion ni uso de material.</t>
        </is>
      </c>
      <c r="S529" s="43" t="inlineStr">
        <is>
          <t>INFO</t>
        </is>
      </c>
      <c r="T529" s="33" t="inlineStr">
        <is>
          <t>Validar desviacion aprobada y estado; contrastar PN exacto y revision con Common DB, BOM/AVL, WO y fecha de corrida.</t>
        </is>
      </c>
      <c r="U529" s="33" t="inlineStr">
        <is>
          <t>Documento oficial firmado, autorizacion FJZ, revision/WO de alcance, confirmacion BOM y evidencia de implementacion si aplica.</t>
        </is>
      </c>
      <c r="V529" s="43" t="n"/>
      <c r="W529" s="43" t="n"/>
      <c r="X529" s="43" t="inlineStr">
        <is>
          <t>INFO</t>
        </is>
      </c>
      <c r="Y529" s="43" t="n"/>
      <c r="Z529" s="43" t="inlineStr">
        <is>
          <t>Pending Review</t>
        </is>
      </c>
      <c r="AA529" s="43" t="inlineStr">
        <is>
          <t>N</t>
        </is>
      </c>
      <c r="AB529" s="43" t="n"/>
      <c r="AC529" s="33" t="inlineStr">
        <is>
          <t xml:space="preserve">FUENTE: Deviation.csv filas 1379; Item Number original=73-102226-06 (prefijo 73- es CANDIDATO de PCBA, no confirmacion en Common DB); Workflow de origen=CCB; FJZ no validado, revision PCBA/WO no informadas. </t>
        </is>
      </c>
    </row>
    <row r="530">
      <c r="A530" s="43" t="inlineStr">
        <is>
          <t>DA-CTANJZ05520-CVEBU-73-103226-06</t>
        </is>
      </c>
      <c r="B530" s="43" t="n"/>
      <c r="C530" s="43" t="n"/>
      <c r="D530" s="43" t="inlineStr">
        <is>
          <t>73-103226-06</t>
        </is>
      </c>
      <c r="E530" s="43" t="inlineStr">
        <is>
          <t>DEV-CTANJZ05520</t>
        </is>
      </c>
      <c r="F530" s="43" t="n"/>
      <c r="G530" s="43" t="inlineStr">
        <is>
          <t>CVEBU</t>
        </is>
      </c>
      <c r="H530" s="43" t="n"/>
      <c r="I530" s="43" t="n"/>
      <c r="J530" s="43" t="n"/>
      <c r="K530" s="43" t="n"/>
      <c r="L530" s="43" t="n"/>
      <c r="M530" s="43" t="n"/>
      <c r="N530" s="43" t="n"/>
      <c r="O530" s="43" t="n"/>
      <c r="P530" s="43" t="n"/>
      <c r="Q530" s="43" t="inlineStr">
        <is>
          <t>BOARD</t>
        </is>
      </c>
      <c r="R530" s="33" t="inlineStr">
        <is>
          <t>REVISAR D614397: verificar accion documentada, PN/revision y vigencia para la corrida. No autoriza sustitucion ni uso de material.</t>
        </is>
      </c>
      <c r="S530" s="43" t="inlineStr">
        <is>
          <t>INFO</t>
        </is>
      </c>
      <c r="T530" s="33" t="inlineStr">
        <is>
          <t>Validar desviacion aprobada y estado; contrastar PN exacto y revision con Common DB, BOM/AVL, WO y fecha de corrida.</t>
        </is>
      </c>
      <c r="U530" s="33" t="inlineStr">
        <is>
          <t>Documento oficial firmado, autorizacion FJZ, revision/WO de alcance, confirmacion BOM y evidencia de implementacion si aplica.</t>
        </is>
      </c>
      <c r="V530" s="43" t="n"/>
      <c r="W530" s="43" t="n"/>
      <c r="X530" s="43" t="inlineStr">
        <is>
          <t>INFO</t>
        </is>
      </c>
      <c r="Y530" s="43" t="n"/>
      <c r="Z530" s="43" t="inlineStr">
        <is>
          <t>Pending Review</t>
        </is>
      </c>
      <c r="AA530" s="43" t="inlineStr">
        <is>
          <t>N</t>
        </is>
      </c>
      <c r="AB530" s="43" t="n"/>
      <c r="AC530" s="33" t="inlineStr">
        <is>
          <t xml:space="preserve">FUENTE: Deviation.csv filas 1380; Item Number original=73-103226-06 (prefijo 73- es CANDIDATO de PCBA, no confirmacion en Common DB); Workflow de origen=CCB; FJZ no validado, revision PCBA/WO no informadas. </t>
        </is>
      </c>
    </row>
    <row r="531">
      <c r="A531" s="43" t="inlineStr">
        <is>
          <t>DA-CTANJZ05522-CVEBU-73-103698-06</t>
        </is>
      </c>
      <c r="B531" s="43" t="n"/>
      <c r="C531" s="43" t="n"/>
      <c r="D531" s="43" t="inlineStr">
        <is>
          <t>73-103698-06</t>
        </is>
      </c>
      <c r="E531" s="43" t="inlineStr">
        <is>
          <t>DEV-CTANJZ05522</t>
        </is>
      </c>
      <c r="F531" s="43" t="n"/>
      <c r="G531" s="43" t="inlineStr">
        <is>
          <t>CVEBU</t>
        </is>
      </c>
      <c r="H531" s="43" t="n"/>
      <c r="I531" s="43" t="n"/>
      <c r="J531" s="43" t="n"/>
      <c r="K531" s="43" t="n"/>
      <c r="L531" s="43" t="n"/>
      <c r="M531" s="43" t="n"/>
      <c r="N531" s="43" t="n"/>
      <c r="O531" s="43" t="n"/>
      <c r="P531" s="43" t="n"/>
      <c r="Q531" s="43" t="inlineStr">
        <is>
          <t>BOARD</t>
        </is>
      </c>
      <c r="R531" s="33" t="inlineStr">
        <is>
          <t>REVISAR D614467: verificar accion documentada, PN/revision y vigencia para la corrida. No autoriza sustitucion ni uso de material.</t>
        </is>
      </c>
      <c r="S531" s="43" t="inlineStr">
        <is>
          <t>INFO</t>
        </is>
      </c>
      <c r="T531" s="33" t="inlineStr">
        <is>
          <t>Validar desviacion aprobada y estado; contrastar PN exacto y revision con Common DB, BOM/AVL, WO y fecha de corrida.</t>
        </is>
      </c>
      <c r="U531" s="33" t="inlineStr">
        <is>
          <t>Documento oficial firmado, autorizacion FJZ, revision/WO de alcance, confirmacion BOM y evidencia de implementacion si aplica.</t>
        </is>
      </c>
      <c r="V531" s="43" t="n"/>
      <c r="W531" s="43" t="n"/>
      <c r="X531" s="43" t="inlineStr">
        <is>
          <t>INFO</t>
        </is>
      </c>
      <c r="Y531" s="43" t="n"/>
      <c r="Z531" s="43" t="inlineStr">
        <is>
          <t>Pending Review</t>
        </is>
      </c>
      <c r="AA531" s="43" t="inlineStr">
        <is>
          <t>N</t>
        </is>
      </c>
      <c r="AB531" s="43" t="n"/>
      <c r="AC531" s="33" t="inlineStr">
        <is>
          <t xml:space="preserve">FUENTE: Deviation.csv filas 314; Item Number original=73-103698-06 (prefijo 73- es CANDIDATO de PCBA, no confirmacion en Common DB); Workflow de origen=CCB; FJZ no validado, revision PCBA/WO no informadas. </t>
        </is>
      </c>
    </row>
    <row r="532">
      <c r="A532" s="43" t="inlineStr">
        <is>
          <t>DA-CTANJZ05524-STBU-73-104531-01</t>
        </is>
      </c>
      <c r="B532" s="43" t="n"/>
      <c r="C532" s="43" t="n"/>
      <c r="D532" s="43" t="inlineStr">
        <is>
          <t>73-104531-01</t>
        </is>
      </c>
      <c r="E532" s="43" t="inlineStr">
        <is>
          <t>DEV-CTANJZ05524</t>
        </is>
      </c>
      <c r="F532" s="43" t="n"/>
      <c r="G532" s="43" t="inlineStr">
        <is>
          <t>STBU</t>
        </is>
      </c>
      <c r="H532" s="43" t="n"/>
      <c r="I532" s="43" t="n"/>
      <c r="J532" s="43" t="n"/>
      <c r="K532" s="43" t="n"/>
      <c r="L532" s="43" t="n"/>
      <c r="M532" s="43" t="n"/>
      <c r="N532" s="43" t="n"/>
      <c r="O532" s="43" t="n"/>
      <c r="P532" s="43" t="n"/>
      <c r="Q532" s="43" t="inlineStr">
        <is>
          <t>BOARD</t>
        </is>
      </c>
      <c r="R532" s="33" t="inlineStr">
        <is>
          <t>REVISAR DP526706: verificar accion documentada, PN/revision y vigencia para la corrida. No autoriza sustitucion ni uso de material.</t>
        </is>
      </c>
      <c r="S532" s="43" t="inlineStr">
        <is>
          <t>INFO</t>
        </is>
      </c>
      <c r="T532" s="33" t="inlineStr">
        <is>
          <t>Validar desviacion aprobada y estado; contrastar PN exacto y revision con Common DB, BOM/AVL, WO y fecha de corrida.</t>
        </is>
      </c>
      <c r="U532" s="33" t="inlineStr">
        <is>
          <t>Documento oficial firmado, autorizacion FJZ, revision/WO de alcance, confirmacion BOM y evidencia de implementacion si aplica.</t>
        </is>
      </c>
      <c r="V532" s="43" t="n"/>
      <c r="W532" s="43" t="n"/>
      <c r="X532" s="43" t="inlineStr">
        <is>
          <t>INFO</t>
        </is>
      </c>
      <c r="Y532" s="43" t="n"/>
      <c r="Z532" s="43" t="inlineStr">
        <is>
          <t>Pending Review</t>
        </is>
      </c>
      <c r="AA532" s="43" t="inlineStr">
        <is>
          <t>N</t>
        </is>
      </c>
      <c r="AB532" s="43" t="n"/>
      <c r="AC532" s="33" t="inlineStr">
        <is>
          <t xml:space="preserve">FUENTE: Deviation.csv filas 1715; Item Number original=73-104531-01 (prefijo 73- es CANDIDATO de PCBA, no confirmacion en Common DB); Workflow de origen=CCB; FJZ no validado, revision PCBA/WO no informadas. </t>
        </is>
      </c>
    </row>
    <row r="533">
      <c r="A533" s="43" t="inlineStr">
        <is>
          <t>DA-CTANJZ05524-STBU-73-104532-01</t>
        </is>
      </c>
      <c r="B533" s="43" t="inlineStr">
        <is>
          <t>GREENFORD</t>
        </is>
      </c>
      <c r="C533" s="43" t="n"/>
      <c r="D533" s="43" t="inlineStr">
        <is>
          <t>73-104532-01</t>
        </is>
      </c>
      <c r="E533" s="43" t="inlineStr">
        <is>
          <t>DEV-CTANJZ05524</t>
        </is>
      </c>
      <c r="F533" s="43" t="n"/>
      <c r="G533" s="43" t="inlineStr">
        <is>
          <t>STBU</t>
        </is>
      </c>
      <c r="H533" s="43" t="n"/>
      <c r="I533" s="43" t="n"/>
      <c r="J533" s="43" t="n"/>
      <c r="K533" s="43" t="n"/>
      <c r="L533" s="43" t="n"/>
      <c r="M533" s="43" t="n"/>
      <c r="N533" s="43" t="n"/>
      <c r="O533" s="43" t="n"/>
      <c r="P533" s="43" t="n"/>
      <c r="Q533" s="43" t="inlineStr">
        <is>
          <t>BOARD</t>
        </is>
      </c>
      <c r="R533" s="33" t="inlineStr">
        <is>
          <t>REVISAR DP526706: verificar accion documentada, PN/revision y vigencia para la corrida. No autoriza sustitucion ni uso de material.</t>
        </is>
      </c>
      <c r="S533" s="43" t="inlineStr">
        <is>
          <t>INFO</t>
        </is>
      </c>
      <c r="T533" s="33" t="inlineStr">
        <is>
          <t>Validar desviacion aprobada y estado; contrastar PN exacto y revision con Common DB, BOM/AVL, WO y fecha de corrida.</t>
        </is>
      </c>
      <c r="U533" s="33" t="inlineStr">
        <is>
          <t>Documento oficial firmado, autorizacion FJZ, revision/WO de alcance, confirmacion BOM y evidencia de implementacion si aplica.</t>
        </is>
      </c>
      <c r="V533" s="43" t="n"/>
      <c r="W533" s="43" t="n"/>
      <c r="X533" s="43" t="inlineStr">
        <is>
          <t>INFO</t>
        </is>
      </c>
      <c r="Y533" s="43" t="n"/>
      <c r="Z533" s="43" t="inlineStr">
        <is>
          <t>Pending Review</t>
        </is>
      </c>
      <c r="AA533" s="43" t="inlineStr">
        <is>
          <t>N</t>
        </is>
      </c>
      <c r="AB533" s="43" t="n"/>
      <c r="AC533" s="33" t="inlineStr">
        <is>
          <t xml:space="preserve">FUENTE: Deviation.csv filas 1716; Item Number original=73-104532-01 (prefijo 73- es CANDIDATO de PCBA, no confirmacion en Common DB); Workflow de origen=CCB; FJZ no validado, revision PCBA/WO no informadas. </t>
        </is>
      </c>
    </row>
    <row r="534">
      <c r="A534" s="43" t="inlineStr">
        <is>
          <t>DA-CTANJZ05524-STBU-73-104533-01</t>
        </is>
      </c>
      <c r="B534" s="43" t="n"/>
      <c r="C534" s="43" t="n"/>
      <c r="D534" s="43" t="inlineStr">
        <is>
          <t>73-104533-01</t>
        </is>
      </c>
      <c r="E534" s="43" t="inlineStr">
        <is>
          <t>DEV-CTANJZ05524</t>
        </is>
      </c>
      <c r="F534" s="43" t="n"/>
      <c r="G534" s="43" t="inlineStr">
        <is>
          <t>STBU</t>
        </is>
      </c>
      <c r="H534" s="43" t="n"/>
      <c r="I534" s="43" t="n"/>
      <c r="J534" s="43" t="n"/>
      <c r="K534" s="43" t="n"/>
      <c r="L534" s="43" t="n"/>
      <c r="M534" s="43" t="n"/>
      <c r="N534" s="43" t="n"/>
      <c r="O534" s="43" t="n"/>
      <c r="P534" s="43" t="n"/>
      <c r="Q534" s="43" t="inlineStr">
        <is>
          <t>BOARD</t>
        </is>
      </c>
      <c r="R534" s="33" t="inlineStr">
        <is>
          <t>REVISAR DP526706: verificar accion documentada, PN/revision y vigencia para la corrida. No autoriza sustitucion ni uso de material.</t>
        </is>
      </c>
      <c r="S534" s="43" t="inlineStr">
        <is>
          <t>INFO</t>
        </is>
      </c>
      <c r="T534" s="33" t="inlineStr">
        <is>
          <t>Validar desviacion aprobada y estado; contrastar PN exacto y revision con Common DB, BOM/AVL, WO y fecha de corrida.</t>
        </is>
      </c>
      <c r="U534" s="33" t="inlineStr">
        <is>
          <t>Documento oficial firmado, autorizacion FJZ, revision/WO de alcance, confirmacion BOM y evidencia de implementacion si aplica.</t>
        </is>
      </c>
      <c r="V534" s="43" t="n"/>
      <c r="W534" s="43" t="n"/>
      <c r="X534" s="43" t="inlineStr">
        <is>
          <t>INFO</t>
        </is>
      </c>
      <c r="Y534" s="43" t="n"/>
      <c r="Z534" s="43" t="inlineStr">
        <is>
          <t>Pending Review</t>
        </is>
      </c>
      <c r="AA534" s="43" t="inlineStr">
        <is>
          <t>N</t>
        </is>
      </c>
      <c r="AB534" s="43" t="n"/>
      <c r="AC534" s="33" t="inlineStr">
        <is>
          <t xml:space="preserve">FUENTE: Deviation.csv filas 1717; Item Number original=73-104533-01 (prefijo 73- es CANDIDATO de PCBA, no confirmacion en Common DB); Workflow de origen=CCB; FJZ no validado, revision PCBA/WO no informadas. </t>
        </is>
      </c>
    </row>
    <row r="535">
      <c r="A535" s="43" t="inlineStr">
        <is>
          <t>DA-CTANJZ05525-CVEBU-73-102121-01</t>
        </is>
      </c>
      <c r="B535" s="43" t="n"/>
      <c r="C535" s="43" t="n"/>
      <c r="D535" s="43" t="inlineStr">
        <is>
          <t>73-102121-01</t>
        </is>
      </c>
      <c r="E535" s="43" t="inlineStr">
        <is>
          <t>DEV-CTANJZ05525</t>
        </is>
      </c>
      <c r="F535" s="43" t="n"/>
      <c r="G535" s="43" t="inlineStr">
        <is>
          <t>CVEBU</t>
        </is>
      </c>
      <c r="H535" s="43" t="n"/>
      <c r="I535" s="43" t="n"/>
      <c r="J535" s="43" t="n"/>
      <c r="K535" s="43" t="n"/>
      <c r="L535" s="43" t="n"/>
      <c r="M535" s="43" t="n"/>
      <c r="N535" s="43" t="n"/>
      <c r="O535" s="43" t="n"/>
      <c r="P535" s="43" t="n"/>
      <c r="Q535" s="43" t="inlineStr">
        <is>
          <t>BOARD</t>
        </is>
      </c>
      <c r="R535" s="33" t="inlineStr">
        <is>
          <t>REVISAR D614478: verificar accion documentada, PN/revision y vigencia para la corrida. No autoriza sustitucion ni uso de material.</t>
        </is>
      </c>
      <c r="S535" s="43" t="inlineStr">
        <is>
          <t>INFO</t>
        </is>
      </c>
      <c r="T535" s="33" t="inlineStr">
        <is>
          <t>Validar desviacion aprobada y estado; contrastar PN exacto y revision con Common DB, BOM/AVL, WO y fecha de corrida.</t>
        </is>
      </c>
      <c r="U535" s="33" t="inlineStr">
        <is>
          <t>Documento oficial firmado, autorizacion FJZ, revision/WO de alcance, confirmacion BOM y evidencia de implementacion si aplica.</t>
        </is>
      </c>
      <c r="V535" s="43" t="n"/>
      <c r="W535" s="43" t="n"/>
      <c r="X535" s="43" t="inlineStr">
        <is>
          <t>INFO</t>
        </is>
      </c>
      <c r="Y535" s="43" t="n"/>
      <c r="Z535" s="43" t="inlineStr">
        <is>
          <t>Pending Review</t>
        </is>
      </c>
      <c r="AA535" s="43" t="inlineStr">
        <is>
          <t>N</t>
        </is>
      </c>
      <c r="AB535" s="43" t="n"/>
      <c r="AC535" s="33" t="inlineStr">
        <is>
          <t xml:space="preserve">FUENTE: Deviation.csv filas 312; Item Number original=73-102121-01 (prefijo 73- es CANDIDATO de PCBA, no confirmacion en Common DB); Workflow de origen=CCB; FJZ no validado, revision PCBA/WO no informadas. </t>
        </is>
      </c>
    </row>
    <row r="536">
      <c r="A536" s="43" t="inlineStr">
        <is>
          <t>DA-CTANJZ05526-STBU-73-102433-05</t>
        </is>
      </c>
      <c r="B536" s="43" t="n"/>
      <c r="C536" s="43" t="n"/>
      <c r="D536" s="43" t="inlineStr">
        <is>
          <t>73-102433-05</t>
        </is>
      </c>
      <c r="E536" s="43" t="inlineStr">
        <is>
          <t>DEV-CTANJZ05526</t>
        </is>
      </c>
      <c r="F536" s="43" t="n"/>
      <c r="G536" s="43" t="inlineStr">
        <is>
          <t>STBU</t>
        </is>
      </c>
      <c r="H536" s="43" t="n"/>
      <c r="I536" s="43" t="n"/>
      <c r="J536" s="43" t="n"/>
      <c r="K536" s="43" t="n"/>
      <c r="L536" s="43" t="n"/>
      <c r="M536" s="43" t="n"/>
      <c r="N536" s="43" t="n"/>
      <c r="O536" s="43" t="n"/>
      <c r="P536" s="43" t="n"/>
      <c r="Q536" s="43" t="inlineStr">
        <is>
          <t>BOARD</t>
        </is>
      </c>
      <c r="R536" s="33" t="inlineStr">
        <is>
          <t>REVISAR D614537: verificar accion documentada, PN/revision y vigencia para la corrida. No autoriza sustitucion ni uso de material.</t>
        </is>
      </c>
      <c r="S536" s="43" t="inlineStr">
        <is>
          <t>INFO</t>
        </is>
      </c>
      <c r="T536" s="33" t="inlineStr">
        <is>
          <t>Validar desviacion aprobada y estado; contrastar PN exacto y revision con Common DB, BOM/AVL, WO y fecha de corrida.</t>
        </is>
      </c>
      <c r="U536" s="33" t="inlineStr">
        <is>
          <t>Documento oficial firmado, autorizacion FJZ, revision/WO de alcance, confirmacion BOM y evidencia de implementacion si aplica.</t>
        </is>
      </c>
      <c r="V536" s="43" t="n"/>
      <c r="W536" s="43" t="n"/>
      <c r="X536" s="43" t="inlineStr">
        <is>
          <t>INFO</t>
        </is>
      </c>
      <c r="Y536" s="43" t="n"/>
      <c r="Z536" s="43" t="inlineStr">
        <is>
          <t>Pending Review</t>
        </is>
      </c>
      <c r="AA536" s="43" t="inlineStr">
        <is>
          <t>N</t>
        </is>
      </c>
      <c r="AB536" s="43" t="n"/>
      <c r="AC536" s="33" t="inlineStr">
        <is>
          <t xml:space="preserve">FUENTE: Deviation.csv filas 1709; Item Number original=73-102433-05 (prefijo 73- es CANDIDATO de PCBA, no confirmacion en Common DB); Workflow de origen=CCB; FJZ no validado, revision PCBA/WO no informadas. </t>
        </is>
      </c>
    </row>
    <row r="537">
      <c r="A537" s="43" t="inlineStr">
        <is>
          <t>DA-CTANJZ05526-STBU-73-102433-06</t>
        </is>
      </c>
      <c r="B537" s="43" t="n"/>
      <c r="C537" s="43" t="n"/>
      <c r="D537" s="43" t="inlineStr">
        <is>
          <t>73-102433-06</t>
        </is>
      </c>
      <c r="E537" s="43" t="inlineStr">
        <is>
          <t>DEV-CTANJZ05526</t>
        </is>
      </c>
      <c r="F537" s="43" t="n"/>
      <c r="G537" s="43" t="inlineStr">
        <is>
          <t>STBU</t>
        </is>
      </c>
      <c r="H537" s="43" t="n"/>
      <c r="I537" s="43" t="n"/>
      <c r="J537" s="43" t="n"/>
      <c r="K537" s="43" t="n"/>
      <c r="L537" s="43" t="n"/>
      <c r="M537" s="43" t="n"/>
      <c r="N537" s="43" t="n"/>
      <c r="O537" s="43" t="n"/>
      <c r="P537" s="43" t="n"/>
      <c r="Q537" s="43" t="inlineStr">
        <is>
          <t>BOARD</t>
        </is>
      </c>
      <c r="R537" s="33" t="inlineStr">
        <is>
          <t>REVISAR D614537: verificar accion documentada, PN/revision y vigencia para la corrida. No autoriza sustitucion ni uso de material.</t>
        </is>
      </c>
      <c r="S537" s="43" t="inlineStr">
        <is>
          <t>INFO</t>
        </is>
      </c>
      <c r="T537" s="33" t="inlineStr">
        <is>
          <t>Validar desviacion aprobada y estado; contrastar PN exacto y revision con Common DB, BOM/AVL, WO y fecha de corrida.</t>
        </is>
      </c>
      <c r="U537" s="33" t="inlineStr">
        <is>
          <t>Documento oficial firmado, autorizacion FJZ, revision/WO de alcance, confirmacion BOM y evidencia de implementacion si aplica.</t>
        </is>
      </c>
      <c r="V537" s="43" t="n"/>
      <c r="W537" s="43" t="n"/>
      <c r="X537" s="43" t="inlineStr">
        <is>
          <t>INFO</t>
        </is>
      </c>
      <c r="Y537" s="43" t="n"/>
      <c r="Z537" s="43" t="inlineStr">
        <is>
          <t>Pending Review</t>
        </is>
      </c>
      <c r="AA537" s="43" t="inlineStr">
        <is>
          <t>N</t>
        </is>
      </c>
      <c r="AB537" s="43" t="n"/>
      <c r="AC537" s="33" t="inlineStr">
        <is>
          <t xml:space="preserve">FUENTE: Deviation.csv filas 1710; Item Number original=73-102433-06 (prefijo 73- es CANDIDATO de PCBA, no confirmacion en Common DB); Workflow de origen=CCB; FJZ no validado, revision PCBA/WO no informadas. </t>
        </is>
      </c>
    </row>
    <row r="538">
      <c r="A538" s="43" t="inlineStr">
        <is>
          <t>DA-CTANJZ05526-STBU-73-102434-05</t>
        </is>
      </c>
      <c r="B538" s="43" t="n"/>
      <c r="C538" s="43" t="n"/>
      <c r="D538" s="43" t="inlineStr">
        <is>
          <t>73-102434-05</t>
        </is>
      </c>
      <c r="E538" s="43" t="inlineStr">
        <is>
          <t>DEV-CTANJZ05526</t>
        </is>
      </c>
      <c r="F538" s="43" t="n"/>
      <c r="G538" s="43" t="inlineStr">
        <is>
          <t>STBU</t>
        </is>
      </c>
      <c r="H538" s="43" t="n"/>
      <c r="I538" s="43" t="n"/>
      <c r="J538" s="43" t="n"/>
      <c r="K538" s="43" t="n"/>
      <c r="L538" s="43" t="n"/>
      <c r="M538" s="43" t="n"/>
      <c r="N538" s="43" t="n"/>
      <c r="O538" s="43" t="n"/>
      <c r="P538" s="43" t="n"/>
      <c r="Q538" s="43" t="inlineStr">
        <is>
          <t>BOARD</t>
        </is>
      </c>
      <c r="R538" s="33" t="inlineStr">
        <is>
          <t>REVISAR D614537: verificar accion documentada, PN/revision y vigencia para la corrida. No autoriza sustitucion ni uso de material.</t>
        </is>
      </c>
      <c r="S538" s="43" t="inlineStr">
        <is>
          <t>INFO</t>
        </is>
      </c>
      <c r="T538" s="33" t="inlineStr">
        <is>
          <t>Validar desviacion aprobada y estado; contrastar PN exacto y revision con Common DB, BOM/AVL, WO y fecha de corrida.</t>
        </is>
      </c>
      <c r="U538" s="33" t="inlineStr">
        <is>
          <t>Documento oficial firmado, autorizacion FJZ, revision/WO de alcance, confirmacion BOM y evidencia de implementacion si aplica.</t>
        </is>
      </c>
      <c r="V538" s="43" t="n"/>
      <c r="W538" s="43" t="n"/>
      <c r="X538" s="43" t="inlineStr">
        <is>
          <t>INFO</t>
        </is>
      </c>
      <c r="Y538" s="43" t="n"/>
      <c r="Z538" s="43" t="inlineStr">
        <is>
          <t>Pending Review</t>
        </is>
      </c>
      <c r="AA538" s="43" t="inlineStr">
        <is>
          <t>N</t>
        </is>
      </c>
      <c r="AB538" s="43" t="n"/>
      <c r="AC538" s="33" t="inlineStr">
        <is>
          <t xml:space="preserve">FUENTE: Deviation.csv filas 1711; Item Number original=73-102434-05 (prefijo 73- es CANDIDATO de PCBA, no confirmacion en Common DB); Workflow de origen=CCB; FJZ no validado, revision PCBA/WO no informadas. </t>
        </is>
      </c>
    </row>
    <row r="539">
      <c r="A539" s="43" t="inlineStr">
        <is>
          <t>DA-CTANJZ05526-STBU-73-102434-06</t>
        </is>
      </c>
      <c r="B539" s="43" t="n"/>
      <c r="C539" s="43" t="n"/>
      <c r="D539" s="43" t="inlineStr">
        <is>
          <t>73-102434-06</t>
        </is>
      </c>
      <c r="E539" s="43" t="inlineStr">
        <is>
          <t>DEV-CTANJZ05526</t>
        </is>
      </c>
      <c r="F539" s="43" t="n"/>
      <c r="G539" s="43" t="inlineStr">
        <is>
          <t>STBU</t>
        </is>
      </c>
      <c r="H539" s="43" t="n"/>
      <c r="I539" s="43" t="n"/>
      <c r="J539" s="43" t="n"/>
      <c r="K539" s="43" t="n"/>
      <c r="L539" s="43" t="n"/>
      <c r="M539" s="43" t="n"/>
      <c r="N539" s="43" t="n"/>
      <c r="O539" s="43" t="n"/>
      <c r="P539" s="43" t="n"/>
      <c r="Q539" s="43" t="inlineStr">
        <is>
          <t>BOARD</t>
        </is>
      </c>
      <c r="R539" s="33" t="inlineStr">
        <is>
          <t>REVISAR D614537: verificar accion documentada, PN/revision y vigencia para la corrida. No autoriza sustitucion ni uso de material.</t>
        </is>
      </c>
      <c r="S539" s="43" t="inlineStr">
        <is>
          <t>INFO</t>
        </is>
      </c>
      <c r="T539" s="33" t="inlineStr">
        <is>
          <t>Validar desviacion aprobada y estado; contrastar PN exacto y revision con Common DB, BOM/AVL, WO y fecha de corrida.</t>
        </is>
      </c>
      <c r="U539" s="33" t="inlineStr">
        <is>
          <t>Documento oficial firmado, autorizacion FJZ, revision/WO de alcance, confirmacion BOM y evidencia de implementacion si aplica.</t>
        </is>
      </c>
      <c r="V539" s="43" t="n"/>
      <c r="W539" s="43" t="n"/>
      <c r="X539" s="43" t="inlineStr">
        <is>
          <t>INFO</t>
        </is>
      </c>
      <c r="Y539" s="43" t="n"/>
      <c r="Z539" s="43" t="inlineStr">
        <is>
          <t>Pending Review</t>
        </is>
      </c>
      <c r="AA539" s="43" t="inlineStr">
        <is>
          <t>N</t>
        </is>
      </c>
      <c r="AB539" s="43" t="n"/>
      <c r="AC539" s="33" t="inlineStr">
        <is>
          <t xml:space="preserve">FUENTE: Deviation.csv filas 1712; Item Number original=73-102434-06 (prefijo 73- es CANDIDATO de PCBA, no confirmacion en Common DB); Workflow de origen=CCB; FJZ no validado, revision PCBA/WO no informadas. </t>
        </is>
      </c>
    </row>
    <row r="540">
      <c r="A540" s="43" t="inlineStr">
        <is>
          <t>DA-CTANJZ05526-STBU-73-102435-05</t>
        </is>
      </c>
      <c r="B540" s="43" t="n"/>
      <c r="C540" s="43" t="n"/>
      <c r="D540" s="43" t="inlineStr">
        <is>
          <t>73-102435-05</t>
        </is>
      </c>
      <c r="E540" s="43" t="inlineStr">
        <is>
          <t>DEV-CTANJZ05526</t>
        </is>
      </c>
      <c r="F540" s="43" t="n"/>
      <c r="G540" s="43" t="inlineStr">
        <is>
          <t>STBU</t>
        </is>
      </c>
      <c r="H540" s="43" t="n"/>
      <c r="I540" s="43" t="n"/>
      <c r="J540" s="43" t="n"/>
      <c r="K540" s="43" t="n"/>
      <c r="L540" s="43" t="n"/>
      <c r="M540" s="43" t="n"/>
      <c r="N540" s="43" t="n"/>
      <c r="O540" s="43" t="n"/>
      <c r="P540" s="43" t="n"/>
      <c r="Q540" s="43" t="inlineStr">
        <is>
          <t>BOARD</t>
        </is>
      </c>
      <c r="R540" s="33" t="inlineStr">
        <is>
          <t>REVISAR D614537: verificar accion documentada, PN/revision y vigencia para la corrida. No autoriza sustitucion ni uso de material.</t>
        </is>
      </c>
      <c r="S540" s="43" t="inlineStr">
        <is>
          <t>INFO</t>
        </is>
      </c>
      <c r="T540" s="33" t="inlineStr">
        <is>
          <t>Validar desviacion aprobada y estado; contrastar PN exacto y revision con Common DB, BOM/AVL, WO y fecha de corrida.</t>
        </is>
      </c>
      <c r="U540" s="33" t="inlineStr">
        <is>
          <t>Documento oficial firmado, autorizacion FJZ, revision/WO de alcance, confirmacion BOM y evidencia de implementacion si aplica.</t>
        </is>
      </c>
      <c r="V540" s="43" t="n"/>
      <c r="W540" s="43" t="n"/>
      <c r="X540" s="43" t="inlineStr">
        <is>
          <t>INFO</t>
        </is>
      </c>
      <c r="Y540" s="43" t="n"/>
      <c r="Z540" s="43" t="inlineStr">
        <is>
          <t>Pending Review</t>
        </is>
      </c>
      <c r="AA540" s="43" t="inlineStr">
        <is>
          <t>N</t>
        </is>
      </c>
      <c r="AB540" s="43" t="n"/>
      <c r="AC540" s="33" t="inlineStr">
        <is>
          <t xml:space="preserve">FUENTE: Deviation.csv filas 1713; Item Number original=73-102435-05 (prefijo 73- es CANDIDATO de PCBA, no confirmacion en Common DB); Workflow de origen=CCB; FJZ no validado, revision PCBA/WO no informadas. </t>
        </is>
      </c>
    </row>
    <row r="541">
      <c r="A541" s="43" t="inlineStr">
        <is>
          <t>DA-CTANJZ05526-STBU-73-102435-06</t>
        </is>
      </c>
      <c r="B541" s="43" t="n"/>
      <c r="C541" s="43" t="n"/>
      <c r="D541" s="43" t="inlineStr">
        <is>
          <t>73-102435-06</t>
        </is>
      </c>
      <c r="E541" s="43" t="inlineStr">
        <is>
          <t>DEV-CTANJZ05526</t>
        </is>
      </c>
      <c r="F541" s="43" t="n"/>
      <c r="G541" s="43" t="inlineStr">
        <is>
          <t>STBU</t>
        </is>
      </c>
      <c r="H541" s="43" t="n"/>
      <c r="I541" s="43" t="n"/>
      <c r="J541" s="43" t="n"/>
      <c r="K541" s="43" t="n"/>
      <c r="L541" s="43" t="n"/>
      <c r="M541" s="43" t="n"/>
      <c r="N541" s="43" t="n"/>
      <c r="O541" s="43" t="n"/>
      <c r="P541" s="43" t="n"/>
      <c r="Q541" s="43" t="inlineStr">
        <is>
          <t>BOARD</t>
        </is>
      </c>
      <c r="R541" s="33" t="inlineStr">
        <is>
          <t>REVISAR D614537: verificar accion documentada, PN/revision y vigencia para la corrida. No autoriza sustitucion ni uso de material.</t>
        </is>
      </c>
      <c r="S541" s="43" t="inlineStr">
        <is>
          <t>INFO</t>
        </is>
      </c>
      <c r="T541" s="33" t="inlineStr">
        <is>
          <t>Validar desviacion aprobada y estado; contrastar PN exacto y revision con Common DB, BOM/AVL, WO y fecha de corrida.</t>
        </is>
      </c>
      <c r="U541" s="33" t="inlineStr">
        <is>
          <t>Documento oficial firmado, autorizacion FJZ, revision/WO de alcance, confirmacion BOM y evidencia de implementacion si aplica.</t>
        </is>
      </c>
      <c r="V541" s="43" t="n"/>
      <c r="W541" s="43" t="n"/>
      <c r="X541" s="43" t="inlineStr">
        <is>
          <t>INFO</t>
        </is>
      </c>
      <c r="Y541" s="43" t="n"/>
      <c r="Z541" s="43" t="inlineStr">
        <is>
          <t>Pending Review</t>
        </is>
      </c>
      <c r="AA541" s="43" t="inlineStr">
        <is>
          <t>N</t>
        </is>
      </c>
      <c r="AB541" s="43" t="n"/>
      <c r="AC541" s="33" t="inlineStr">
        <is>
          <t xml:space="preserve">FUENTE: Deviation.csv filas 1714; Item Number original=73-102435-06 (prefijo 73- es CANDIDATO de PCBA, no confirmacion en Common DB); Workflow de origen=CCB; FJZ no validado, revision PCBA/WO no informadas. </t>
        </is>
      </c>
    </row>
    <row r="542">
      <c r="A542" s="43" t="inlineStr">
        <is>
          <t>DA-CTANJZ05531-STBU-73-102433-06</t>
        </is>
      </c>
      <c r="B542" s="43" t="n"/>
      <c r="C542" s="43" t="n"/>
      <c r="D542" s="43" t="inlineStr">
        <is>
          <t>73-102433-06</t>
        </is>
      </c>
      <c r="E542" s="43" t="inlineStr">
        <is>
          <t>DEV-CTANJZ05531</t>
        </is>
      </c>
      <c r="F542" s="43" t="n"/>
      <c r="G542" s="43" t="inlineStr">
        <is>
          <t>STBU</t>
        </is>
      </c>
      <c r="H542" s="43" t="n"/>
      <c r="I542" s="43" t="n"/>
      <c r="J542" s="43" t="n"/>
      <c r="K542" s="43" t="n"/>
      <c r="L542" s="43" t="n"/>
      <c r="M542" s="43" t="n"/>
      <c r="N542" s="43" t="n"/>
      <c r="O542" s="43" t="n"/>
      <c r="P542" s="43" t="n"/>
      <c r="Q542" s="43" t="inlineStr">
        <is>
          <t>BOARD</t>
        </is>
      </c>
      <c r="R542" s="33" t="inlineStr">
        <is>
          <t>REVISAR D614405: verificar accion documentada, PN/revision y vigencia para la corrida. No autoriza sustitucion ni uso de material.</t>
        </is>
      </c>
      <c r="S542" s="43" t="inlineStr">
        <is>
          <t>INFO</t>
        </is>
      </c>
      <c r="T542" s="33" t="inlineStr">
        <is>
          <t>Validar desviacion aprobada y estado; contrastar PN exacto y revision con Common DB, BOM/AVL, WO y fecha de corrida.</t>
        </is>
      </c>
      <c r="U542" s="33" t="inlineStr">
        <is>
          <t>Documento oficial firmado, autorizacion FJZ, revision/WO de alcance, confirmacion BOM y evidencia de implementacion si aplica.</t>
        </is>
      </c>
      <c r="V542" s="43" t="n"/>
      <c r="W542" s="43" t="n"/>
      <c r="X542" s="43" t="inlineStr">
        <is>
          <t>INFO</t>
        </is>
      </c>
      <c r="Y542" s="43" t="n"/>
      <c r="Z542" s="43" t="inlineStr">
        <is>
          <t>Pending Review</t>
        </is>
      </c>
      <c r="AA542" s="43" t="inlineStr">
        <is>
          <t>N</t>
        </is>
      </c>
      <c r="AB542" s="43" t="n"/>
      <c r="AC542" s="33" t="inlineStr">
        <is>
          <t xml:space="preserve">FUENTE: Deviation.csv filas 1872; Item Number original=73-102433-06 (prefijo 73- es CANDIDATO de PCBA, no confirmacion en Common DB); Workflow de origen=CCB; FJZ no validado, revision PCBA/WO no informadas. </t>
        </is>
      </c>
    </row>
    <row r="543">
      <c r="A543" s="43" t="inlineStr">
        <is>
          <t>DA-CTANJZ05532-STBU-73-102434-06</t>
        </is>
      </c>
      <c r="B543" s="43" t="n"/>
      <c r="C543" s="43" t="n"/>
      <c r="D543" s="43" t="inlineStr">
        <is>
          <t>73-102434-06</t>
        </is>
      </c>
      <c r="E543" s="43" t="inlineStr">
        <is>
          <t>DEV-CTANJZ05532</t>
        </is>
      </c>
      <c r="F543" s="43" t="n"/>
      <c r="G543" s="43" t="inlineStr">
        <is>
          <t>STBU</t>
        </is>
      </c>
      <c r="H543" s="43" t="n"/>
      <c r="I543" s="43" t="n"/>
      <c r="J543" s="43" t="n"/>
      <c r="K543" s="43" t="n"/>
      <c r="L543" s="43" t="n"/>
      <c r="M543" s="43" t="n"/>
      <c r="N543" s="43" t="n"/>
      <c r="O543" s="43" t="n"/>
      <c r="P543" s="43" t="n"/>
      <c r="Q543" s="43" t="inlineStr">
        <is>
          <t>BOARD</t>
        </is>
      </c>
      <c r="R543" s="33" t="inlineStr">
        <is>
          <t>REVISAR D614414: verificar accion documentada, PN/revision y vigencia para la corrida. No autoriza sustitucion ni uso de material.</t>
        </is>
      </c>
      <c r="S543" s="43" t="inlineStr">
        <is>
          <t>INFO</t>
        </is>
      </c>
      <c r="T543" s="33" t="inlineStr">
        <is>
          <t>Validar desviacion aprobada y estado; contrastar PN exacto y revision con Common DB, BOM/AVL, WO y fecha de corrida.</t>
        </is>
      </c>
      <c r="U543" s="33" t="inlineStr">
        <is>
          <t>Documento oficial firmado, autorizacion FJZ, revision/WO de alcance, confirmacion BOM y evidencia de implementacion si aplica.</t>
        </is>
      </c>
      <c r="V543" s="43" t="n"/>
      <c r="W543" s="43" t="n"/>
      <c r="X543" s="43" t="inlineStr">
        <is>
          <t>INFO</t>
        </is>
      </c>
      <c r="Y543" s="43" t="n"/>
      <c r="Z543" s="43" t="inlineStr">
        <is>
          <t>Pending Review</t>
        </is>
      </c>
      <c r="AA543" s="43" t="inlineStr">
        <is>
          <t>N</t>
        </is>
      </c>
      <c r="AB543" s="43" t="n"/>
      <c r="AC543" s="33" t="inlineStr">
        <is>
          <t xml:space="preserve">FUENTE: Deviation.csv filas 303,1576; Item Number original=73-102434-06 (prefijo 73- es CANDIDATO de PCBA, no confirmacion en Common DB); Workflow de origen=CCB; FJZ no validado, revision PCBA/WO no informadas. </t>
        </is>
      </c>
    </row>
    <row r="544">
      <c r="A544" s="43" t="inlineStr">
        <is>
          <t>DA-CTANJZ05533-STBU-73-102434-06</t>
        </is>
      </c>
      <c r="B544" s="43" t="n"/>
      <c r="C544" s="43" t="n"/>
      <c r="D544" s="43" t="inlineStr">
        <is>
          <t>73-102434-06</t>
        </is>
      </c>
      <c r="E544" s="43" t="inlineStr">
        <is>
          <t>DEV-CTANJZ05533</t>
        </is>
      </c>
      <c r="F544" s="43" t="n"/>
      <c r="G544" s="43" t="inlineStr">
        <is>
          <t>STBU</t>
        </is>
      </c>
      <c r="H544" s="43" t="n"/>
      <c r="I544" s="43" t="n"/>
      <c r="J544" s="43" t="n"/>
      <c r="K544" s="43" t="n"/>
      <c r="L544" s="43" t="n"/>
      <c r="M544" s="43" t="n"/>
      <c r="N544" s="43" t="n"/>
      <c r="O544" s="43" t="n"/>
      <c r="P544" s="43" t="n"/>
      <c r="Q544" s="43" t="inlineStr">
        <is>
          <t>BOARD</t>
        </is>
      </c>
      <c r="R544" s="33" t="inlineStr">
        <is>
          <t>REVISAR D614415: verificar accion documentada, PN/revision y vigencia para la corrida. No autoriza sustitucion ni uso de material.</t>
        </is>
      </c>
      <c r="S544" s="43" t="inlineStr">
        <is>
          <t>INFO</t>
        </is>
      </c>
      <c r="T544" s="33" t="inlineStr">
        <is>
          <t>Validar desviacion aprobada y estado; contrastar PN exacto y revision con Common DB, BOM/AVL, WO y fecha de corrida.</t>
        </is>
      </c>
      <c r="U544" s="33" t="inlineStr">
        <is>
          <t>Documento oficial firmado, autorizacion FJZ, revision/WO de alcance, confirmacion BOM y evidencia de implementacion si aplica.</t>
        </is>
      </c>
      <c r="V544" s="43" t="n"/>
      <c r="W544" s="43" t="n"/>
      <c r="X544" s="43" t="inlineStr">
        <is>
          <t>INFO</t>
        </is>
      </c>
      <c r="Y544" s="43" t="n"/>
      <c r="Z544" s="43" t="inlineStr">
        <is>
          <t>Pending Review</t>
        </is>
      </c>
      <c r="AA544" s="43" t="inlineStr">
        <is>
          <t>N</t>
        </is>
      </c>
      <c r="AB544" s="43" t="n"/>
      <c r="AC544" s="33" t="inlineStr">
        <is>
          <t xml:space="preserve">FUENTE: Deviation.csv filas 284,1572; Item Number original=73-102434-06 (prefijo 73- es CANDIDATO de PCBA, no confirmacion en Common DB); Workflow de origen=CCB; FJZ no validado, revision PCBA/WO no informadas. </t>
        </is>
      </c>
    </row>
    <row r="545">
      <c r="A545" s="43" t="inlineStr">
        <is>
          <t>DA-CTANJZ05533-CRBU-73-102434-06</t>
        </is>
      </c>
      <c r="B545" s="43" t="n"/>
      <c r="C545" s="43" t="n"/>
      <c r="D545" s="43" t="inlineStr">
        <is>
          <t>73-102434-06</t>
        </is>
      </c>
      <c r="E545" s="43" t="inlineStr">
        <is>
          <t>DEV-CTANJZ05533</t>
        </is>
      </c>
      <c r="F545" s="43" t="n"/>
      <c r="G545" s="43" t="inlineStr">
        <is>
          <t>CRBU</t>
        </is>
      </c>
      <c r="H545" s="43" t="n"/>
      <c r="I545" s="43" t="n"/>
      <c r="J545" s="43" t="n"/>
      <c r="K545" s="43" t="n"/>
      <c r="L545" s="43" t="n"/>
      <c r="M545" s="43" t="n"/>
      <c r="N545" s="43" t="n"/>
      <c r="O545" s="43" t="n"/>
      <c r="P545" s="43" t="n"/>
      <c r="Q545" s="43" t="inlineStr">
        <is>
          <t>BOARD</t>
        </is>
      </c>
      <c r="R545" s="33" t="inlineStr">
        <is>
          <t>REVISAR D614415: verificar accion documentada, PN/revision y vigencia para la corrida. No autoriza sustitucion ni uso de material.</t>
        </is>
      </c>
      <c r="S545" s="43" t="inlineStr">
        <is>
          <t>INFO</t>
        </is>
      </c>
      <c r="T545" s="33" t="inlineStr">
        <is>
          <t>Validar desviacion aprobada y estado; contrastar PN exacto y revision con Common DB, BOM/AVL, WO y fecha de corrida.</t>
        </is>
      </c>
      <c r="U545" s="33" t="inlineStr">
        <is>
          <t>Documento oficial firmado, autorizacion FJZ, revision/WO de alcance, confirmacion BOM y evidencia de implementacion si aplica.</t>
        </is>
      </c>
      <c r="V545" s="43" t="n"/>
      <c r="W545" s="43" t="n"/>
      <c r="X545" s="43" t="inlineStr">
        <is>
          <t>INFO</t>
        </is>
      </c>
      <c r="Y545" s="43" t="n"/>
      <c r="Z545" s="43" t="inlineStr">
        <is>
          <t>Pending Review</t>
        </is>
      </c>
      <c r="AA545" s="43" t="inlineStr">
        <is>
          <t>N</t>
        </is>
      </c>
      <c r="AB545" s="43" t="n"/>
      <c r="AC545" s="33" t="inlineStr">
        <is>
          <t xml:space="preserve">FUENTE: Deviation.csv filas 291,1586; Item Number original=73-102434-06 (prefijo 73- es CANDIDATO de PCBA, no confirmacion en Common DB); Workflow de origen=Pending; FJZ no validado, revision PCBA/WO no informadas. </t>
        </is>
      </c>
    </row>
    <row r="546">
      <c r="A546" s="43" t="inlineStr">
        <is>
          <t>DA-CTANJZ05534-STBU-73-20247-06</t>
        </is>
      </c>
      <c r="B546" s="43" t="inlineStr">
        <is>
          <t>TUFNELL PARK</t>
        </is>
      </c>
      <c r="C546" s="43" t="n"/>
      <c r="D546" s="43" t="inlineStr">
        <is>
          <t>73-20247-06</t>
        </is>
      </c>
      <c r="E546" s="43" t="inlineStr">
        <is>
          <t>DEV-CTANJZ05534</t>
        </is>
      </c>
      <c r="F546" s="43" t="n"/>
      <c r="G546" s="43" t="inlineStr">
        <is>
          <t>STBU</t>
        </is>
      </c>
      <c r="H546" s="43" t="n"/>
      <c r="I546" s="43" t="n"/>
      <c r="J546" s="43" t="n"/>
      <c r="K546" s="43" t="n"/>
      <c r="L546" s="43" t="n"/>
      <c r="M546" s="43" t="n"/>
      <c r="N546" s="43" t="n"/>
      <c r="O546" s="43" t="n"/>
      <c r="P546" s="43" t="n"/>
      <c r="Q546" s="43" t="inlineStr">
        <is>
          <t>BOARD</t>
        </is>
      </c>
      <c r="R546" s="33" t="inlineStr">
        <is>
          <t>REVISAR D614416: verificar accion documentada, PN/revision y vigencia para la corrida. No autoriza sustitucion ni uso de material.</t>
        </is>
      </c>
      <c r="S546" s="43" t="inlineStr">
        <is>
          <t>INFO</t>
        </is>
      </c>
      <c r="T546" s="33" t="inlineStr">
        <is>
          <t>Validar desviacion aprobada y estado; contrastar PN exacto y revision con Common DB, BOM/AVL, WO y fecha de corrida.</t>
        </is>
      </c>
      <c r="U546" s="33" t="inlineStr">
        <is>
          <t>Documento oficial firmado, autorizacion FJZ, revision/WO de alcance, confirmacion BOM y evidencia de implementacion si aplica.</t>
        </is>
      </c>
      <c r="V546" s="43" t="n"/>
      <c r="W546" s="43" t="n"/>
      <c r="X546" s="43" t="inlineStr">
        <is>
          <t>INFO</t>
        </is>
      </c>
      <c r="Y546" s="43" t="n"/>
      <c r="Z546" s="43" t="inlineStr">
        <is>
          <t>Pending Review</t>
        </is>
      </c>
      <c r="AA546" s="43" t="inlineStr">
        <is>
          <t>N</t>
        </is>
      </c>
      <c r="AB546" s="43" t="n"/>
      <c r="AC546" s="33" t="inlineStr">
        <is>
          <t xml:space="preserve">FUENTE: Deviation.csv filas 286,1574; Item Number original=73-20247-06 (prefijo 73- es CANDIDATO de PCBA, no confirmacion en Common DB); Workflow de origen=CCB; FJZ no validado, revision PCBA/WO no informadas. </t>
        </is>
      </c>
    </row>
    <row r="547">
      <c r="A547" s="43" t="inlineStr">
        <is>
          <t>DA-CTANJZ05535-STBU-73-18490-10</t>
        </is>
      </c>
      <c r="B547" s="43" t="n"/>
      <c r="C547" s="43" t="n"/>
      <c r="D547" s="43" t="inlineStr">
        <is>
          <t>73-18490-10</t>
        </is>
      </c>
      <c r="E547" s="43" t="inlineStr">
        <is>
          <t>DEV-CTANJZ05535</t>
        </is>
      </c>
      <c r="F547" s="43" t="n"/>
      <c r="G547" s="43" t="inlineStr">
        <is>
          <t>STBU</t>
        </is>
      </c>
      <c r="H547" s="43" t="n"/>
      <c r="I547" s="43" t="n"/>
      <c r="J547" s="43" t="n"/>
      <c r="K547" s="43" t="n"/>
      <c r="L547" s="43" t="n"/>
      <c r="M547" s="43" t="n"/>
      <c r="N547" s="43" t="n"/>
      <c r="O547" s="43" t="n"/>
      <c r="P547" s="43" t="n"/>
      <c r="Q547" s="43" t="inlineStr">
        <is>
          <t>BOARD</t>
        </is>
      </c>
      <c r="R547" s="33" t="inlineStr">
        <is>
          <t>REVISAR D614316: verificar accion documentada, PN/revision y vigencia para la corrida. No autoriza sustitucion ni uso de material.</t>
        </is>
      </c>
      <c r="S547" s="43" t="inlineStr">
        <is>
          <t>INFO</t>
        </is>
      </c>
      <c r="T547" s="33" t="inlineStr">
        <is>
          <t>Validar desviacion aprobada y estado; contrastar PN exacto y revision con Common DB, BOM/AVL, WO y fecha de corrida.</t>
        </is>
      </c>
      <c r="U547" s="33" t="inlineStr">
        <is>
          <t>Documento oficial firmado, autorizacion FJZ, revision/WO de alcance, confirmacion BOM y evidencia de implementacion si aplica.</t>
        </is>
      </c>
      <c r="V547" s="43" t="n"/>
      <c r="W547" s="43" t="n"/>
      <c r="X547" s="43" t="inlineStr">
        <is>
          <t>INFO</t>
        </is>
      </c>
      <c r="Y547" s="43" t="n"/>
      <c r="Z547" s="43" t="inlineStr">
        <is>
          <t>Pending Review</t>
        </is>
      </c>
      <c r="AA547" s="43" t="inlineStr">
        <is>
          <t>N</t>
        </is>
      </c>
      <c r="AB547" s="43" t="n"/>
      <c r="AC547" s="33" t="inlineStr">
        <is>
          <t xml:space="preserve">FUENTE: Deviation.csv filas 281,1570; Item Number original=73-18490-10 (prefijo 73- es CANDIDATO de PCBA, no confirmacion en Common DB); Workflow de origen=CCB; FJZ no validado, revision PCBA/WO no informadas. </t>
        </is>
      </c>
    </row>
    <row r="548">
      <c r="A548" s="43" t="inlineStr">
        <is>
          <t>DA-CTANJZ05536-SRGBU-73-20198-10</t>
        </is>
      </c>
      <c r="B548" s="43" t="n"/>
      <c r="C548" s="43" t="n"/>
      <c r="D548" s="43" t="inlineStr">
        <is>
          <t>73-20198-10</t>
        </is>
      </c>
      <c r="E548" s="43" t="inlineStr">
        <is>
          <t>DEV-CTANJZ05536</t>
        </is>
      </c>
      <c r="F548" s="43" t="n"/>
      <c r="G548" s="43" t="inlineStr">
        <is>
          <t>SRGBU</t>
        </is>
      </c>
      <c r="H548" s="43" t="n"/>
      <c r="I548" s="43" t="n"/>
      <c r="J548" s="43" t="n"/>
      <c r="K548" s="43" t="n"/>
      <c r="L548" s="43" t="n"/>
      <c r="M548" s="43" t="n"/>
      <c r="N548" s="43" t="n"/>
      <c r="O548" s="43" t="n"/>
      <c r="P548" s="43" t="n"/>
      <c r="Q548" s="43" t="inlineStr">
        <is>
          <t>BOARD</t>
        </is>
      </c>
      <c r="R548" s="33" t="inlineStr">
        <is>
          <t>REVISAR D614239: verificar accion documentada, PN/revision y vigencia para la corrida. No autoriza sustitucion ni uso de material.</t>
        </is>
      </c>
      <c r="S548" s="43" t="inlineStr">
        <is>
          <t>INFO</t>
        </is>
      </c>
      <c r="T548" s="33" t="inlineStr">
        <is>
          <t>Validar desviacion aprobada y estado; contrastar PN exacto y revision con Common DB, BOM/AVL, WO y fecha de corrida.</t>
        </is>
      </c>
      <c r="U548" s="33" t="inlineStr">
        <is>
          <t>Documento oficial firmado, autorizacion FJZ, revision/WO de alcance, confirmacion BOM y evidencia de implementacion si aplica.</t>
        </is>
      </c>
      <c r="V548" s="43" t="n"/>
      <c r="W548" s="43" t="n"/>
      <c r="X548" s="43" t="inlineStr">
        <is>
          <t>INFO</t>
        </is>
      </c>
      <c r="Y548" s="43" t="n"/>
      <c r="Z548" s="43" t="inlineStr">
        <is>
          <t>Pending Review</t>
        </is>
      </c>
      <c r="AA548" s="43" t="inlineStr">
        <is>
          <t>N</t>
        </is>
      </c>
      <c r="AB548" s="43" t="n"/>
      <c r="AC548" s="33" t="inlineStr">
        <is>
          <t xml:space="preserve">FUENTE: Deviation.csv filas 116,289; Item Number original=73-20198-10 (prefijo 73- es CANDIDATO de PCBA, no confirmacion en Common DB); Workflow de origen=Pending; FJZ no validado, revision PCBA/WO no informadas. </t>
        </is>
      </c>
    </row>
  </sheetData>
  <conditionalFormatting sqref="X2:X3000">
    <cfRule type="expression" priority="1" dxfId="1">
      <formula>X2="BLOCK"</formula>
    </cfRule>
  </conditionalFormatting>
  <conditionalFormatting sqref="Z2:Z3000">
    <cfRule type="expression" priority="2" dxfId="0">
      <formula>Z2="Pending Review"</formula>
    </cfRule>
  </conditionalFormatting>
  <dataValidations count="6">
    <dataValidation sqref="F2:F3000" showDropDown="0" showInputMessage="1" showErrorMessage="1" allowBlank="1" errorTitle="Valor inválido" error="Selecciona un valor permitido." prompt="Selecciona un valor de la lista." type="list" errorStyle="stop">
      <formula1>"FJZ,FVN,GLOBAL_AVL,MULTI_SITE,OTHER_SITE"</formula1>
    </dataValidation>
    <dataValidation sqref="Q2:Q3000" showDropDown="0" showInputMessage="1" showErrorMessage="1" allowBlank="1" errorTitle="Valor inválido" error="Selecciona un valor permitido." prompt="Selecciona un valor de la lista." type="list" errorStyle="stop">
      <formula1>"BOARD,SKU_FAMILY,COMPONENT_BOM,WO_SPECIFIC"</formula1>
    </dataValidation>
    <dataValidation sqref="S2:S3000" showDropDown="0" showInputMessage="1" showErrorMessage="1" allowBlank="1" errorTitle="Valor inválido" error="Selecciona un valor permitido." prompt="Selecciona un valor de la lista." type="list" errorStyle="stop">
      <formula1>"PRE_WO,MATERIAL_LOAD,FIRST_ARTICLE,PRE_RELEASE,REQUALIFICATION,INFO"</formula1>
    </dataValidation>
    <dataValidation sqref="X2:X3000" showDropDown="0" showInputMessage="1" showErrorMessage="1" allowBlank="1" errorTitle="Valor inválido" error="Selecciona un valor permitido." prompt="Selecciona un valor de la lista." type="list" errorStyle="stop">
      <formula1>"BLOCK,VALIDATE,INFO"</formula1>
    </dataValidation>
    <dataValidation sqref="Z2:Z3000" showDropDown="0" showInputMessage="1" showErrorMessage="1" allowBlank="1" errorTitle="Valor inválido" error="Selecciona un valor permitido." prompt="Selecciona un valor de la lista." type="list" errorStyle="stop">
      <formula1>"Pending Review,Verified,Rejected"</formula1>
    </dataValidation>
    <dataValidation sqref="AA2:AA3000" showDropDown="0" showInputMessage="1" showErrorMessage="1" allowBlank="1" errorTitle="Valor inválido" error="Selecciona un valor permitido." prompt="Selecciona un valor de la lista." type="list" errorStyle="stop">
      <formula1>"Y,N"</formula1>
    </dataValidation>
  </dataValidations>
  <printOptions horizontalCentered="0"/>
  <pageMargins left="0.75" right="0.75" top="1" bottom="1" header="0.5" footer="0.5"/>
  <pageSetup fitToWidth="1"/>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8F6C56"/>
    <outlinePr summaryBelow="1" summaryRight="1"/>
    <pageSetUpPr/>
  </sheetPr>
  <dimension ref="A1:B38"/>
  <sheetViews>
    <sheetView showGridLines="0" zoomScale="9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118" customWidth="1" min="2" max="2"/>
  </cols>
  <sheetData>
    <row r="1" ht="29" customHeight="1">
      <c r="A1" s="17" t="inlineStr">
        <is>
          <t>Control</t>
        </is>
      </c>
      <c r="B1" s="17" t="inlineStr">
        <is>
          <t>Regla / Contrato de importación</t>
        </is>
      </c>
    </row>
    <row r="2" ht="43" customHeight="1">
      <c r="A2" s="18" t="inlineStr">
        <is>
          <t>00 | Propósito</t>
        </is>
      </c>
      <c r="B2" s="19" t="inlineStr">
        <is>
          <t>Detectar corridas potencialmente afectadas por ECN/ECO/desviaciones y desplegar validación de configuración antes de liberar. Este libro almacena conocimiento, no órdenes ni series.</t>
        </is>
      </c>
    </row>
    <row r="3" ht="43" customHeight="1">
      <c r="A3" s="18" t="inlineStr">
        <is>
          <t>01 | Tablas</t>
        </is>
      </c>
      <c r="B3" s="19" t="inlineStr">
        <is>
          <t>Change Register = un documento/revisión por fila; Change Applicability = una o más reglas por documento x SKU/PCBA/revisión/WO/componente. Relación Change ID 1:N.</t>
        </is>
      </c>
    </row>
    <row r="4" ht="30" customHeight="1">
      <c r="A4" s="18" t="inlineStr">
        <is>
          <t>02 | Claves</t>
        </is>
      </c>
      <c r="B4" s="19" t="inlineStr">
        <is>
          <t>Change ID único y estable (p. ej., ID interno derivado del documento y rev). Applicability ID único. No reutilizar IDs para documentos distintos.</t>
        </is>
      </c>
    </row>
    <row r="5" ht="30" customHeight="1">
      <c r="A5" s="18" t="inlineStr">
        <is>
          <t>03 | Identidad de corrida</t>
        </is>
      </c>
      <c r="B5" s="19" t="inlineStr">
        <is>
          <t>Leer SKU + PCBA Rev + PCBA Part Number + WO + Línea + BU + Plant desde Common DB/Handoff; no inferir PCBA Rev del nombre comercial.</t>
        </is>
      </c>
    </row>
    <row r="6" ht="43" customHeight="1">
      <c r="A6" s="18" t="inlineStr">
        <is>
          <t>04 | Validación de aplicabilidad</t>
        </is>
      </c>
      <c r="B6" s="19" t="inlineStr">
        <is>
          <t>Cruzar SKU y/o PCBA Part Number con igualdad exacta; si se define revision, exigir coincidencia exacta. ANY únicamente cuando el documento sustenta todas las revisiones. No tratar celda vacía como comodín.</t>
        </is>
      </c>
    </row>
    <row r="7" ht="43" customHeight="1">
      <c r="A7" s="18" t="inlineStr">
        <is>
          <t>05 | Aplicabilidad por familia</t>
        </is>
      </c>
      <c r="B7" s="19" t="inlineStr">
        <is>
          <t>PCBA Part Number = ALL_IN_SKU solo si el maestro documenta que aplica a toda la familia; Curation Status = Verified. Evitar que un cambio de una sola tablilla contamine toda la familia.</t>
        </is>
      </c>
    </row>
    <row r="8" ht="43" customHeight="1">
      <c r="A8" s="18" t="inlineStr">
        <is>
          <t>06 | Alcance componente</t>
        </is>
      </c>
      <c r="B8" s="19" t="inlineStr">
        <is>
          <t>Para COMPONENT_BOM exigir Component CPN en BOM liberada o programa/traceabilidad confirmados para la corrida. El mismo CPN en otro producto no demuestra por sí solo la aplicabilidad documental.</t>
        </is>
      </c>
    </row>
    <row r="9" ht="43" customHeight="1">
      <c r="A9" s="18" t="inlineStr">
        <is>
          <t>07 | Sitio / BU</t>
        </is>
      </c>
      <c r="B9" s="19" t="inlineStr">
        <is>
          <t>Plant = FJZ o un alcance global explícito con evidencia. NO aplicar FVN u otra planta automáticamente. Para GLOBAL_AVL validar que el CPN/MPN pertenezca a la BOM/AVL del SKU.</t>
        </is>
      </c>
    </row>
    <row r="10" ht="43" customHeight="1">
      <c r="A10" s="18" t="inlineStr">
        <is>
          <t>08 | FJZ regla exacta</t>
        </is>
      </c>
      <c r="B10" s="19" t="inlineStr">
        <is>
          <t>Confrontar PN exacto con Common DB para validar existencia en FJZ; los PN base/familia requieren contraste con revisiones permitidas. 73-19152-02 y 17-15768-01 NO son FJZ por defecto.</t>
        </is>
      </c>
    </row>
    <row r="11" ht="43" customHeight="1">
      <c r="A11" s="18" t="inlineStr">
        <is>
          <t>09 | AVL global</t>
        </is>
      </c>
      <c r="B11" s="19" t="inlineStr">
        <is>
          <t>Un cambio de calificación MPN bajo CPN es global en AVL, aunque su ensayo haya usado una tablilla de otra planta. Alertar en FJZ solamente si el CPN aplica a ese producto y condición.</t>
        </is>
      </c>
    </row>
    <row r="12" ht="43" customHeight="1">
      <c r="A12" s="18" t="inlineStr">
        <is>
          <t>10 | Documentos vigentes</t>
        </is>
      </c>
      <c r="B12" s="19" t="inlineStr">
        <is>
          <t>Active=Y publica a la base; NO equivale a vigencia. Exigir Approval Status=Approved y documentar efecto por fecha/WO y estado. No denominar desviación ACTIVA sin vigencia confirmada.</t>
        </is>
      </c>
    </row>
    <row r="13" ht="43" customHeight="1">
      <c r="A13" s="18" t="inlineStr">
        <is>
          <t>11 | Desviaciones</t>
        </is>
      </c>
      <c r="B13" s="19" t="inlineStr">
        <is>
          <t>Para DEVIATION exigir documento aprobado y condición de efectividad: fechas o WO/lote documentados. Con vigencia incompleta: ALERTA DE REVISIÓN, nunca autorización de uso.</t>
        </is>
      </c>
    </row>
    <row r="14" ht="43" customHeight="1">
      <c r="A14" s="18" t="inlineStr">
        <is>
          <t>12 | Efectividad</t>
        </is>
      </c>
      <c r="B14" s="19" t="inlineStr">
        <is>
          <t>Evaluar Scope Effective From/Until primero si están llenos; en otro caso Effective From/Until del documento. Evaluar WO Exact, WO From/Until y WO efectivos del documento.</t>
        </is>
      </c>
    </row>
    <row r="15" ht="30" customHeight="1">
      <c r="A15" s="18" t="inlineStr">
        <is>
          <t>13 | Faltan datos</t>
        </is>
      </c>
      <c r="B15" s="19" t="inlineStr">
        <is>
          <t>Si la regla exige WO, revisión, fecha, CPN/MPN o un documento oficial y la corrida no los proporciona: estado NEEDS_REVIEW; no declarar que no aplica.</t>
        </is>
      </c>
    </row>
    <row r="16" ht="43" customHeight="1">
      <c r="A16" s="18" t="inlineStr">
        <is>
          <t>14 | Prioridades</t>
        </is>
      </c>
      <c r="B16" s="19" t="inlineStr">
        <is>
          <t>BLOCK = impedir liberación hasta aprobación documental; VALIDATE = evidencia/FAI obligatoria; INFO = cambio comunicado sin bloqueo. Priorizar BLOCK &gt; VALIDATE &gt; INFO.</t>
        </is>
      </c>
    </row>
    <row r="17" ht="30" customHeight="1">
      <c r="A17" s="18" t="inlineStr">
        <is>
          <t>15 | Momento de alerta</t>
        </is>
      </c>
      <c r="B17" s="19" t="inlineStr">
        <is>
          <t>Disparar con corrida nueva, carga de WO, cambio de línea, modificación BOM/programa, primera pieza y requalification; no solo en reportes históricos.</t>
        </is>
      </c>
    </row>
    <row r="18" ht="30" customHeight="1">
      <c r="A18" s="18" t="inlineStr">
        <is>
          <t>16 | Validaciones</t>
        </is>
      </c>
      <c r="B18" s="19" t="inlineStr">
        <is>
          <t>Mostrar detalle por Change ID: documento, tipo, producto, PCBA Rev, PCBA PN, RefDes, CPN previo/permitido, regla de cambio, validación, evidencia y owner.</t>
        </is>
      </c>
    </row>
    <row r="19" ht="30" customHeight="1">
      <c r="A19" s="18" t="inlineStr">
        <is>
          <t>17 | No aprobar automáticamente</t>
        </is>
      </c>
      <c r="B19" s="19" t="inlineStr">
        <is>
          <t>Un match de documento no comprueba implementación. Cruzar BOM aprobada vs load list/P&amp;P/material cargado, y evidencias FAI/AOI/ICT que correspondan.</t>
        </is>
      </c>
    </row>
    <row r="20" ht="30" customHeight="1">
      <c r="A20" s="18" t="inlineStr">
        <is>
          <t>18 | ECO / ECN relacionados</t>
        </is>
      </c>
      <c r="B20" s="19" t="inlineStr">
        <is>
          <t>El ECO puede autorizar/liberar un ECN; relacionar con Related Document, no asumir que son independientes ni deduplicar dos obligaciones diferentes.</t>
        </is>
      </c>
    </row>
    <row r="21" ht="43" customHeight="1">
      <c r="A21" s="18" t="inlineStr">
        <is>
          <t>19 | Vigencias superpuestas</t>
        </is>
      </c>
      <c r="B21" s="19" t="inlineStr">
        <is>
          <t>Si conviven dos desviaciones o revisión de cambio, revisar relaciones/supersedencia y prevalencia documental. Ante conflicto, poner HOLD; no elegir silenciosamente el registro más reciente.</t>
        </is>
      </c>
    </row>
    <row r="22" ht="30" customHeight="1">
      <c r="A22" s="18" t="inlineStr">
        <is>
          <t>20 | Estado histórico</t>
        </is>
      </c>
      <c r="B22" s="19" t="inlineStr">
        <is>
          <t>Al vencer una desviación, conservar el documento en Knowledge, pero excluirla de lista ACTIVA. Puede verse como Expired / Historical sin borrar trazabilidad.</t>
        </is>
      </c>
    </row>
    <row r="23" ht="30" customHeight="1">
      <c r="A23" s="18" t="inlineStr">
        <is>
          <t>21 | Criterio de publicación</t>
        </is>
      </c>
      <c r="B23" s="19" t="inlineStr">
        <is>
          <t>Change Applicability: publicar sólo si Curation Status=Verified, Active=Y, y su Change ID existe en Register con Active=Y y fuente oficial validada.</t>
        </is>
      </c>
    </row>
    <row r="24" ht="30" customHeight="1">
      <c r="A24" s="18" t="inlineStr">
        <is>
          <t>22 | Confianza</t>
        </is>
      </c>
      <c r="B24" s="19" t="inlineStr">
        <is>
          <t>Si Curation Status=Pending Review, nunca publicar una obligación como validada. Mostrar en bandeja de curación, no en gate de liberación automático.</t>
        </is>
      </c>
    </row>
    <row r="25" ht="43" customHeight="1">
      <c r="A25" s="18" t="inlineStr">
        <is>
          <t>23 | Relación con Actions</t>
        </is>
      </c>
      <c r="B25" s="19" t="inlineStr">
        <is>
          <t>Un cambio puede proponer acciones; solo crear/vincular Actions cuando se documenten responsables, estatus y evidencias reales. No duplicar la base de Referencias críticas del Action Tracker.</t>
        </is>
      </c>
    </row>
    <row r="26" ht="30" customHeight="1">
      <c r="A26" s="18" t="inlineStr">
        <is>
          <t>24 | Datos maestros pendientes</t>
        </is>
      </c>
      <c r="B26" s="19" t="inlineStr">
        <is>
          <t>Este archivo añade la estructura sin inventar ECNs, ECOs, desviaciones, números de parte ni fechas. Llenar desde maestro firmado o source autorizado.</t>
        </is>
      </c>
    </row>
    <row r="27" ht="43" customHeight="1">
      <c r="A27" s="18" t="inlineStr">
        <is>
          <t>25 | Contrato de alertas</t>
        </is>
      </c>
      <c r="B27" s="19" t="inlineStr">
        <is>
          <t>Objeto por match: sku, pcbaRev, pcbaPn, wo, line, changeId, documentType, documentNumber, refdes, oldCpn, newCpn, approvalStatus, effectiveStatus, priority, validationMethod, evidenceRequired, owner, sourceUrl.</t>
        </is>
      </c>
    </row>
    <row r="28" ht="43" customHeight="1">
      <c r="A28" s="18" t="inlineStr">
        <is>
          <t>26 | Alcance de integración</t>
        </is>
      </c>
      <c r="B28" s="19" t="inlineStr">
        <is>
          <t>El XLSX es el contrato de datos. Para recibir alertas en pantalla se debe conectar el motor de corridas del index de SMTinel con estas dos tablas; el XLSX solo no lanza alertas.</t>
        </is>
      </c>
    </row>
    <row r="29" ht="43" customHeight="1">
      <c r="A29" s="40" t="inlineStr">
        <is>
          <t>27 | Importacion Deviations CSV</t>
        </is>
      </c>
      <c r="B29" s="40" t="inlineStr">
        <is>
          <t>Deviation.csv registra CTANJZ + Customer Deviation#; fuente del workflow, no el PDF firmado. Document Number usa numero D y Related Document usa CTANJZ.</t>
        </is>
      </c>
    </row>
    <row r="30" ht="43" customHeight="1">
      <c r="A30" s="40" t="inlineStr">
        <is>
          <t>28 | Multiples Items por documento</t>
        </is>
      </c>
      <c r="B30" s="40" t="inlineStr">
        <is>
          <t>Una desviacion puede incluir diferentes items, no todos PCBA. Deviation Items es la tabla de alcance de PN; solo prefijo 73- se copia como PCBA PN CANDIDATE en Applicability.</t>
        </is>
      </c>
    </row>
    <row r="31" ht="43" customHeight="1">
      <c r="A31" s="40" t="inlineStr">
        <is>
          <t>29 | Duplicados y estatus mixtos</t>
        </is>
      </c>
      <c r="B31" s="40" t="inlineStr">
        <is>
          <t>Dejar trazabilidad en Deviation Raw. Agrupar Register por CTANJZ y Items por CTANJZ+BU+Item Number; estatus contradictorios quedan en Radar para resolucion.</t>
        </is>
      </c>
    </row>
    <row r="32" ht="43" customHeight="1">
      <c r="A32" s="40" t="inlineStr">
        <is>
          <t>30 | Proteccion de alertas</t>
        </is>
      </c>
      <c r="B32" s="40" t="inlineStr">
        <is>
          <t>Todas las reglas importadas inician Pending Review / Active=N, sin usar Approved, ni inferir vigencia con Effective To aislado. Sin firma no se permite liberar.</t>
        </is>
      </c>
    </row>
    <row r="33" ht="43" customHeight="1">
      <c r="A33" s="40" t="inlineStr">
        <is>
          <t>31 | FJZ vs FJZP</t>
        </is>
      </c>
      <c r="B33" s="40" t="inlineStr">
        <is>
          <t>CSV Site FJZP + Plant MCGA NO prueban una WO valida en FJZ. Verificar PCBA PN exacto en Common DB y confirmar planta en documento antes de activar.</t>
        </is>
      </c>
    </row>
    <row r="34" ht="43" customHeight="1">
      <c r="A34" s="40" t="inlineStr">
        <is>
          <t>32 | Plantas fuera de FJZ</t>
        </is>
      </c>
      <c r="B34" s="40" t="inlineStr">
        <is>
          <t>PN 73-19152-02 y 17-15768-01 requieren asignacion FJZ explicita. Se agregan como excluidos en Deviation Items; no se activa gate.</t>
        </is>
      </c>
    </row>
    <row r="35" ht="43" customHeight="1">
      <c r="A35" s="40" t="inlineStr">
        <is>
          <t>33 | Fecha de control</t>
        </is>
      </c>
      <c r="B35" s="40" t="inlineStr">
        <is>
          <t>Change Overview B5 permite cambiar la fecha de referencia para ver el radar. Esta fecha no sustituye la fecha real de inicio de la corrida.</t>
        </is>
      </c>
    </row>
    <row r="36" ht="43" customHeight="1">
      <c r="A36" s="40" t="inlineStr">
        <is>
          <t>34 | Source Revisions</t>
        </is>
      </c>
      <c r="B36" s="40" t="inlineStr">
        <is>
          <t>El sufijo del PN 73-xxxxx-yy no se interpreta como revision PCBA A0/B0; revision debe venir del maestro aprobado/WO.</t>
        </is>
      </c>
    </row>
    <row r="37" ht="43" customHeight="1">
      <c r="A37" s="40" t="inlineStr">
        <is>
          <t>35 | Fecha de liberacion</t>
        </is>
      </c>
      <c r="B37" s="40" t="inlineStr">
        <is>
          <t>Date Released del CSV no se interpreta como Approval Date ni Approved. Se conserva como fuente en Radar e Items.</t>
        </is>
      </c>
    </row>
    <row r="38" ht="40" customHeight="1">
      <c r="A38" t="inlineStr">
        <is>
          <t>36 | Instrucciones documentadas</t>
        </is>
      </c>
      <c r="B38" t="inlineStr">
        <is>
          <t>Deviation Instructions contiene solo cambios CPN explícitos de D613039, D614380 y D613038 extraídos de descripción CSV; son candidatos de revisión, no evidencia de implementación ni aprobaciones.</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B67A2C"/>
    <outlinePr summaryBelow="1" summaryRight="1"/>
    <pageSetUpPr fitToPage="1"/>
  </sheetPr>
  <dimension ref="A1:Q1787"/>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2" customWidth="1" min="2" max="2"/>
    <col width="14" customWidth="1" min="3" max="3"/>
    <col width="14" customWidth="1" min="4" max="4"/>
    <col width="15" customWidth="1" min="5" max="5"/>
    <col width="23" customWidth="1" min="6" max="6"/>
    <col width="28" customWidth="1" min="7" max="7"/>
    <col width="22" customWidth="1" min="8" max="8"/>
    <col width="20" customWidth="1" min="9" max="9"/>
    <col width="27" customWidth="1" min="10" max="10"/>
    <col width="25" customWidth="1" min="11" max="11"/>
    <col width="25" customWidth="1" min="12" max="12"/>
    <col width="17" customWidth="1" min="13" max="13"/>
    <col width="40" customWidth="1" min="14" max="14"/>
    <col width="29" customWidth="1" min="15" max="15"/>
    <col width="20" customWidth="1" min="16" max="16"/>
    <col width="67" customWidth="1" min="17" max="17"/>
  </cols>
  <sheetData>
    <row r="1" ht="36" customHeight="1">
      <c r="A1" s="30" t="inlineStr">
        <is>
          <t>Number</t>
        </is>
      </c>
      <c r="B1" s="30" t="inlineStr">
        <is>
          <t>Customer Deviation#</t>
        </is>
      </c>
      <c r="C1" s="30" t="inlineStr">
        <is>
          <t>BU</t>
        </is>
      </c>
      <c r="D1" s="30" t="inlineStr">
        <is>
          <t>Source Site</t>
        </is>
      </c>
      <c r="E1" s="30" t="inlineStr">
        <is>
          <t>Source Plant</t>
        </is>
      </c>
      <c r="F1" s="30" t="inlineStr">
        <is>
          <t>Scope Item PN</t>
        </is>
      </c>
      <c r="G1" s="30" t="inlineStr">
        <is>
          <t>Scope Item Type</t>
        </is>
      </c>
      <c r="H1" s="30" t="inlineStr">
        <is>
          <t>Known SKU (Yokoten)</t>
        </is>
      </c>
      <c r="I1" s="30" t="inlineStr">
        <is>
          <t>Source Workflow Status</t>
        </is>
      </c>
      <c r="J1" s="30" t="inlineStr">
        <is>
          <t>Effective Until (source)</t>
        </is>
      </c>
      <c r="K1" s="30" t="inlineStr">
        <is>
          <t>Date Released (source)</t>
        </is>
      </c>
      <c r="L1" s="30" t="inlineStr">
        <is>
          <t>Source Row IDs</t>
        </is>
      </c>
      <c r="M1" s="30" t="inlineStr">
        <is>
          <t>Duplicate Rows</t>
        </is>
      </c>
      <c r="N1" s="30" t="inlineStr">
        <is>
          <t>Conflicting Values</t>
        </is>
      </c>
      <c r="O1" s="30" t="inlineStr">
        <is>
          <t>FJZ Applicability</t>
        </is>
      </c>
      <c r="P1" s="30" t="inlineStr">
        <is>
          <t>Review State</t>
        </is>
      </c>
      <c r="Q1" s="30" t="inlineStr">
        <is>
          <t>Required Evidence</t>
        </is>
      </c>
    </row>
    <row r="2">
      <c r="A2" s="43" t="inlineStr">
        <is>
          <t>CTANJZ04014</t>
        </is>
      </c>
      <c r="B2" s="43" t="inlineStr">
        <is>
          <t>D598638</t>
        </is>
      </c>
      <c r="C2" s="43" t="inlineStr">
        <is>
          <t>018-SRGBU</t>
        </is>
      </c>
      <c r="D2" s="43" t="inlineStr">
        <is>
          <t>FJZP</t>
        </is>
      </c>
      <c r="E2" s="43" t="inlineStr">
        <is>
          <t>MCGA</t>
        </is>
      </c>
      <c r="F2" s="43" t="inlineStr">
        <is>
          <t>80-100592-02</t>
        </is>
      </c>
      <c r="G2" s="43" t="inlineStr">
        <is>
          <t>OTHER_SCOPE_ITEM</t>
        </is>
      </c>
      <c r="H2" s="43" t="inlineStr"/>
      <c r="I2" s="43" t="inlineStr">
        <is>
          <t>Closed</t>
        </is>
      </c>
      <c r="J2" s="32" t="n">
        <v>47790</v>
      </c>
      <c r="K2" s="32" t="n">
        <v>45514</v>
      </c>
      <c r="L2" s="43" t="inlineStr">
        <is>
          <t>1249</t>
        </is>
      </c>
      <c r="M2" s="43" t="n">
        <v>1</v>
      </c>
      <c r="N2" s="33" t="inlineStr"/>
      <c r="O2" s="43" t="inlineStr">
        <is>
          <t>UNVERIFIED</t>
        </is>
      </c>
      <c r="P2" s="43" t="inlineStr">
        <is>
          <t>Pending Review</t>
        </is>
      </c>
      <c r="Q2" s="33" t="inlineStr">
        <is>
          <t>Confirmar SKU/PCBA revision, PN exacto en Common DB, WO, BU, vigencia, planta y aprobacion firmada.</t>
        </is>
      </c>
    </row>
    <row r="3">
      <c r="A3" s="43" t="inlineStr">
        <is>
          <t>CTANJZ04427</t>
        </is>
      </c>
      <c r="B3" s="43" t="inlineStr">
        <is>
          <t>D601187</t>
        </is>
      </c>
      <c r="C3" s="43" t="inlineStr">
        <is>
          <t>037-STBU</t>
        </is>
      </c>
      <c r="D3" s="43" t="inlineStr">
        <is>
          <t>FJZP</t>
        </is>
      </c>
      <c r="E3" s="43" t="inlineStr">
        <is>
          <t>MCGA</t>
        </is>
      </c>
      <c r="F3" s="43" t="inlineStr">
        <is>
          <t>20-0645-01</t>
        </is>
      </c>
      <c r="G3" s="43" t="inlineStr">
        <is>
          <t>OTHER_SCOPE_ITEM</t>
        </is>
      </c>
      <c r="H3" s="43" t="inlineStr"/>
      <c r="I3" s="43" t="inlineStr">
        <is>
          <t>Expired</t>
        </is>
      </c>
      <c r="J3" s="32" t="n">
        <v>45775</v>
      </c>
      <c r="K3" s="32" t="n">
        <v>45713</v>
      </c>
      <c r="L3" s="43" t="inlineStr">
        <is>
          <t>1549</t>
        </is>
      </c>
      <c r="M3" s="43" t="n">
        <v>1</v>
      </c>
      <c r="N3" s="33" t="inlineStr"/>
      <c r="O3" s="43" t="inlineStr">
        <is>
          <t>UNVERIFIED</t>
        </is>
      </c>
      <c r="P3" s="43" t="inlineStr">
        <is>
          <t>Pending Review</t>
        </is>
      </c>
      <c r="Q3" s="33" t="inlineStr">
        <is>
          <t>Confirmar SKU/PCBA revision, PN exacto en Common DB, WO, BU, vigencia, planta y aprobacion firmada.</t>
        </is>
      </c>
    </row>
    <row r="4">
      <c r="A4" s="43" t="inlineStr">
        <is>
          <t>CTANJZ04427</t>
        </is>
      </c>
      <c r="B4" s="43" t="inlineStr">
        <is>
          <t>D601187</t>
        </is>
      </c>
      <c r="C4" s="43" t="inlineStr">
        <is>
          <t>037-STBU</t>
        </is>
      </c>
      <c r="D4" s="43" t="inlineStr">
        <is>
          <t>FJZP</t>
        </is>
      </c>
      <c r="E4" s="43" t="inlineStr">
        <is>
          <t>MCGA</t>
        </is>
      </c>
      <c r="F4" s="43" t="inlineStr">
        <is>
          <t>68-7253-04</t>
        </is>
      </c>
      <c r="G4" s="43" t="inlineStr">
        <is>
          <t>OTHER_SCOPE_ITEM</t>
        </is>
      </c>
      <c r="H4" s="43" t="inlineStr"/>
      <c r="I4" s="43" t="inlineStr">
        <is>
          <t>Expired</t>
        </is>
      </c>
      <c r="J4" s="32" t="n">
        <v>45775</v>
      </c>
      <c r="K4" s="32" t="n">
        <v>45713</v>
      </c>
      <c r="L4" s="43" t="inlineStr">
        <is>
          <t>1550</t>
        </is>
      </c>
      <c r="M4" s="43" t="n">
        <v>1</v>
      </c>
      <c r="N4" s="33" t="inlineStr"/>
      <c r="O4" s="43" t="inlineStr">
        <is>
          <t>UNVERIFIED</t>
        </is>
      </c>
      <c r="P4" s="43" t="inlineStr">
        <is>
          <t>Pending Review</t>
        </is>
      </c>
      <c r="Q4" s="33" t="inlineStr">
        <is>
          <t>Confirmar SKU/PCBA revision, PN exacto en Common DB, WO, BU, vigencia, planta y aprobacion firmada.</t>
        </is>
      </c>
    </row>
    <row r="5">
      <c r="A5" s="43" t="inlineStr">
        <is>
          <t>CTANJZ04427</t>
        </is>
      </c>
      <c r="B5" s="43" t="inlineStr">
        <is>
          <t>D601187</t>
        </is>
      </c>
      <c r="C5" s="43" t="inlineStr">
        <is>
          <t>037-STBU</t>
        </is>
      </c>
      <c r="D5" s="43" t="inlineStr">
        <is>
          <t>FJZP</t>
        </is>
      </c>
      <c r="E5" s="43" t="inlineStr">
        <is>
          <t>MCGA</t>
        </is>
      </c>
      <c r="F5" s="43" t="inlineStr">
        <is>
          <t>73-20249-05</t>
        </is>
      </c>
      <c r="G5" s="43" t="inlineStr">
        <is>
          <t>BOARD_PN_CANDIDATE</t>
        </is>
      </c>
      <c r="H5" s="43" t="inlineStr"/>
      <c r="I5" s="43" t="inlineStr">
        <is>
          <t>Expired</t>
        </is>
      </c>
      <c r="J5" s="32" t="n">
        <v>45775</v>
      </c>
      <c r="K5" s="32" t="n">
        <v>45713</v>
      </c>
      <c r="L5" s="43" t="inlineStr">
        <is>
          <t>1551</t>
        </is>
      </c>
      <c r="M5" s="43" t="n">
        <v>1</v>
      </c>
      <c r="N5" s="33" t="inlineStr"/>
      <c r="O5" s="43" t="inlineStr">
        <is>
          <t>UNVERIFIED</t>
        </is>
      </c>
      <c r="P5" s="43" t="inlineStr">
        <is>
          <t>Pending Review</t>
        </is>
      </c>
      <c r="Q5" s="33" t="inlineStr">
        <is>
          <t>Confirmar SKU/PCBA revision, PN exacto en Common DB, WO, BU, vigencia, planta y aprobacion firmada.</t>
        </is>
      </c>
    </row>
    <row r="6">
      <c r="A6" s="43" t="inlineStr">
        <is>
          <t>CTANJZ04430</t>
        </is>
      </c>
      <c r="B6" s="43" t="inlineStr">
        <is>
          <t>D601838</t>
        </is>
      </c>
      <c r="C6" s="43" t="inlineStr">
        <is>
          <t>037-STBU</t>
        </is>
      </c>
      <c r="D6" s="43" t="inlineStr">
        <is>
          <t>FJZP</t>
        </is>
      </c>
      <c r="E6" s="43" t="inlineStr">
        <is>
          <t>MCGA</t>
        </is>
      </c>
      <c r="F6" s="43" t="inlineStr">
        <is>
          <t>16-100670-01</t>
        </is>
      </c>
      <c r="G6" s="43" t="inlineStr">
        <is>
          <t>OTHER_SCOPE_ITEM</t>
        </is>
      </c>
      <c r="H6" s="43" t="inlineStr"/>
      <c r="I6" s="43" t="inlineStr">
        <is>
          <t>Expired</t>
        </is>
      </c>
      <c r="J6" s="32" t="n">
        <v>45783</v>
      </c>
      <c r="K6" s="32" t="n">
        <v>45709</v>
      </c>
      <c r="L6" s="43" t="inlineStr">
        <is>
          <t>471</t>
        </is>
      </c>
      <c r="M6" s="43" t="n">
        <v>1</v>
      </c>
      <c r="N6" s="33" t="inlineStr"/>
      <c r="O6" s="43" t="inlineStr">
        <is>
          <t>UNVERIFIED</t>
        </is>
      </c>
      <c r="P6" s="43" t="inlineStr">
        <is>
          <t>Pending Review</t>
        </is>
      </c>
      <c r="Q6" s="33" t="inlineStr">
        <is>
          <t>Confirmar SKU/PCBA revision, PN exacto en Common DB, WO, BU, vigencia, planta y aprobacion firmada.</t>
        </is>
      </c>
    </row>
    <row r="7">
      <c r="A7" s="43" t="inlineStr">
        <is>
          <t>CTANJZ04431</t>
        </is>
      </c>
      <c r="B7" s="43" t="inlineStr">
        <is>
          <t>D601949</t>
        </is>
      </c>
      <c r="C7" s="43" t="inlineStr">
        <is>
          <t>037-STBU</t>
        </is>
      </c>
      <c r="D7" s="43" t="inlineStr">
        <is>
          <t>FJZP</t>
        </is>
      </c>
      <c r="E7" s="43" t="inlineStr">
        <is>
          <t>MCGA</t>
        </is>
      </c>
      <c r="F7" s="43" t="inlineStr">
        <is>
          <t>17-102040-05</t>
        </is>
      </c>
      <c r="G7" s="43" t="inlineStr">
        <is>
          <t>OTHER_SCOPE_ITEM</t>
        </is>
      </c>
      <c r="H7" s="43" t="inlineStr"/>
      <c r="I7" s="43" t="inlineStr">
        <is>
          <t>Expired</t>
        </is>
      </c>
      <c r="J7" s="32" t="n">
        <v>45783</v>
      </c>
      <c r="K7" s="32" t="n">
        <v>45713</v>
      </c>
      <c r="L7" s="43" t="inlineStr">
        <is>
          <t>710</t>
        </is>
      </c>
      <c r="M7" s="43" t="n">
        <v>1</v>
      </c>
      <c r="N7" s="33" t="inlineStr"/>
      <c r="O7" s="43" t="inlineStr">
        <is>
          <t>UNVERIFIED</t>
        </is>
      </c>
      <c r="P7" s="43" t="inlineStr">
        <is>
          <t>Pending Review</t>
        </is>
      </c>
      <c r="Q7" s="33" t="inlineStr">
        <is>
          <t>Confirmar SKU/PCBA revision, PN exacto en Common DB, WO, BU, vigencia, planta y aprobacion firmada.</t>
        </is>
      </c>
    </row>
    <row r="8">
      <c r="A8" s="43" t="inlineStr">
        <is>
          <t>CTANJZ04431</t>
        </is>
      </c>
      <c r="B8" s="43" t="inlineStr">
        <is>
          <t>D601949</t>
        </is>
      </c>
      <c r="C8" s="43" t="inlineStr">
        <is>
          <t>037-STBU</t>
        </is>
      </c>
      <c r="D8" s="43" t="inlineStr">
        <is>
          <t>FJZP</t>
        </is>
      </c>
      <c r="E8" s="43" t="inlineStr">
        <is>
          <t>MCGA</t>
        </is>
      </c>
      <c r="F8" s="43" t="inlineStr">
        <is>
          <t>17-102102-02</t>
        </is>
      </c>
      <c r="G8" s="43" t="inlineStr">
        <is>
          <t>OTHER_SCOPE_ITEM</t>
        </is>
      </c>
      <c r="H8" s="43" t="inlineStr"/>
      <c r="I8" s="43" t="inlineStr">
        <is>
          <t>Expired</t>
        </is>
      </c>
      <c r="J8" s="32" t="n">
        <v>45783</v>
      </c>
      <c r="K8" s="32" t="n">
        <v>45713</v>
      </c>
      <c r="L8" s="43" t="inlineStr">
        <is>
          <t>711</t>
        </is>
      </c>
      <c r="M8" s="43" t="n">
        <v>1</v>
      </c>
      <c r="N8" s="33" t="inlineStr"/>
      <c r="O8" s="43" t="inlineStr">
        <is>
          <t>UNVERIFIED</t>
        </is>
      </c>
      <c r="P8" s="43" t="inlineStr">
        <is>
          <t>Pending Review</t>
        </is>
      </c>
      <c r="Q8" s="33" t="inlineStr">
        <is>
          <t>Confirmar SKU/PCBA revision, PN exacto en Common DB, WO, BU, vigencia, planta y aprobacion firmada.</t>
        </is>
      </c>
    </row>
    <row r="9">
      <c r="A9" s="43" t="inlineStr">
        <is>
          <t>CTANJZ04431</t>
        </is>
      </c>
      <c r="B9" s="43" t="inlineStr">
        <is>
          <t>D601949</t>
        </is>
      </c>
      <c r="C9" s="43" t="inlineStr">
        <is>
          <t>037-STBU</t>
        </is>
      </c>
      <c r="D9" s="43" t="inlineStr">
        <is>
          <t>FJZP</t>
        </is>
      </c>
      <c r="E9" s="43" t="inlineStr">
        <is>
          <t>MCGA</t>
        </is>
      </c>
      <c r="F9" s="43" t="inlineStr">
        <is>
          <t>17-16001-05</t>
        </is>
      </c>
      <c r="G9" s="43" t="inlineStr">
        <is>
          <t>OTHER_SCOPE_ITEM</t>
        </is>
      </c>
      <c r="H9" s="43" t="inlineStr"/>
      <c r="I9" s="43" t="inlineStr">
        <is>
          <t>Expired</t>
        </is>
      </c>
      <c r="J9" s="32" t="n">
        <v>45783</v>
      </c>
      <c r="K9" s="32" t="n">
        <v>45713</v>
      </c>
      <c r="L9" s="43" t="inlineStr">
        <is>
          <t>712</t>
        </is>
      </c>
      <c r="M9" s="43" t="n">
        <v>1</v>
      </c>
      <c r="N9" s="33" t="inlineStr"/>
      <c r="O9" s="43" t="inlineStr">
        <is>
          <t>UNVERIFIED</t>
        </is>
      </c>
      <c r="P9" s="43" t="inlineStr">
        <is>
          <t>Pending Review</t>
        </is>
      </c>
      <c r="Q9" s="33" t="inlineStr">
        <is>
          <t>Confirmar SKU/PCBA revision, PN exacto en Common DB, WO, BU, vigencia, planta y aprobacion firmada.</t>
        </is>
      </c>
    </row>
    <row r="10">
      <c r="A10" s="43" t="inlineStr">
        <is>
          <t>CTANJZ04431</t>
        </is>
      </c>
      <c r="B10" s="43" t="inlineStr">
        <is>
          <t>D601949</t>
        </is>
      </c>
      <c r="C10" s="43" t="inlineStr">
        <is>
          <t>037-STBU</t>
        </is>
      </c>
      <c r="D10" s="43" t="inlineStr">
        <is>
          <t>FJZP</t>
        </is>
      </c>
      <c r="E10" s="43" t="inlineStr">
        <is>
          <t>MCGA</t>
        </is>
      </c>
      <c r="F10" s="43" t="inlineStr">
        <is>
          <t>73-20247-05</t>
        </is>
      </c>
      <c r="G10" s="43" t="inlineStr">
        <is>
          <t>BOARD_PN_CANDIDATE</t>
        </is>
      </c>
      <c r="H10" s="43" t="inlineStr"/>
      <c r="I10" s="43" t="inlineStr">
        <is>
          <t>Expired</t>
        </is>
      </c>
      <c r="J10" s="32" t="n">
        <v>45783</v>
      </c>
      <c r="K10" s="32" t="n">
        <v>45713</v>
      </c>
      <c r="L10" s="43" t="inlineStr">
        <is>
          <t>713</t>
        </is>
      </c>
      <c r="M10" s="43" t="n">
        <v>1</v>
      </c>
      <c r="N10" s="33" t="inlineStr"/>
      <c r="O10" s="43" t="inlineStr">
        <is>
          <t>UNVERIFIED</t>
        </is>
      </c>
      <c r="P10" s="43" t="inlineStr">
        <is>
          <t>Pending Review</t>
        </is>
      </c>
      <c r="Q10" s="33" t="inlineStr">
        <is>
          <t>Confirmar SKU/PCBA revision, PN exacto en Common DB, WO, BU, vigencia, planta y aprobacion firmada.</t>
        </is>
      </c>
    </row>
    <row r="11">
      <c r="A11" s="43" t="inlineStr">
        <is>
          <t>CTANJZ04431</t>
        </is>
      </c>
      <c r="B11" s="43" t="inlineStr">
        <is>
          <t>D601949</t>
        </is>
      </c>
      <c r="C11" s="43" t="inlineStr">
        <is>
          <t>037-STBU</t>
        </is>
      </c>
      <c r="D11" s="43" t="inlineStr">
        <is>
          <t>FJZP</t>
        </is>
      </c>
      <c r="E11" s="43" t="inlineStr">
        <is>
          <t>MCGA</t>
        </is>
      </c>
      <c r="F11" s="43" t="inlineStr">
        <is>
          <t>73-20249-05</t>
        </is>
      </c>
      <c r="G11" s="43" t="inlineStr">
        <is>
          <t>BOARD_PN_CANDIDATE</t>
        </is>
      </c>
      <c r="H11" s="43" t="inlineStr"/>
      <c r="I11" s="43" t="inlineStr">
        <is>
          <t>Expired</t>
        </is>
      </c>
      <c r="J11" s="32" t="n">
        <v>45783</v>
      </c>
      <c r="K11" s="32" t="n">
        <v>45713</v>
      </c>
      <c r="L11" s="43" t="inlineStr">
        <is>
          <t>714</t>
        </is>
      </c>
      <c r="M11" s="43" t="n">
        <v>1</v>
      </c>
      <c r="N11" s="33" t="inlineStr"/>
      <c r="O11" s="43" t="inlineStr">
        <is>
          <t>UNVERIFIED</t>
        </is>
      </c>
      <c r="P11" s="43" t="inlineStr">
        <is>
          <t>Pending Review</t>
        </is>
      </c>
      <c r="Q11" s="33" t="inlineStr">
        <is>
          <t>Confirmar SKU/PCBA revision, PN exacto en Common DB, WO, BU, vigencia, planta y aprobacion firmada.</t>
        </is>
      </c>
    </row>
    <row r="12">
      <c r="A12" s="43" t="inlineStr">
        <is>
          <t>CTANJZ04432</t>
        </is>
      </c>
      <c r="B12" s="43" t="inlineStr">
        <is>
          <t>D601971</t>
        </is>
      </c>
      <c r="C12" s="43" t="inlineStr">
        <is>
          <t>018-SRGBU</t>
        </is>
      </c>
      <c r="D12" s="43" t="inlineStr">
        <is>
          <t>FJZP</t>
        </is>
      </c>
      <c r="E12" s="43" t="inlineStr">
        <is>
          <t>MCGA</t>
        </is>
      </c>
      <c r="F12" s="43" t="inlineStr">
        <is>
          <t>16-100775-01</t>
        </is>
      </c>
      <c r="G12" s="43" t="inlineStr">
        <is>
          <t>OTHER_SCOPE_ITEM</t>
        </is>
      </c>
      <c r="H12" s="43" t="inlineStr"/>
      <c r="I12" s="43" t="inlineStr">
        <is>
          <t>Expired</t>
        </is>
      </c>
      <c r="J12" s="32" t="n">
        <v>45783</v>
      </c>
      <c r="K12" s="32" t="n">
        <v>45709</v>
      </c>
      <c r="L12" s="43" t="inlineStr">
        <is>
          <t>472</t>
        </is>
      </c>
      <c r="M12" s="43" t="n">
        <v>1</v>
      </c>
      <c r="N12" s="33" t="inlineStr"/>
      <c r="O12" s="43" t="inlineStr">
        <is>
          <t>UNVERIFIED</t>
        </is>
      </c>
      <c r="P12" s="43" t="inlineStr">
        <is>
          <t>Pending Review</t>
        </is>
      </c>
      <c r="Q12" s="33" t="inlineStr">
        <is>
          <t>Confirmar SKU/PCBA revision, PN exacto en Common DB, WO, BU, vigencia, planta y aprobacion firmada.</t>
        </is>
      </c>
    </row>
    <row r="13">
      <c r="A13" s="43" t="inlineStr">
        <is>
          <t>CTANJZ04432</t>
        </is>
      </c>
      <c r="B13" s="43" t="inlineStr">
        <is>
          <t>D601971</t>
        </is>
      </c>
      <c r="C13" s="43" t="inlineStr">
        <is>
          <t>018-SRGBU</t>
        </is>
      </c>
      <c r="D13" s="43" t="inlineStr">
        <is>
          <t>FJZP</t>
        </is>
      </c>
      <c r="E13" s="43" t="inlineStr">
        <is>
          <t>MCGA</t>
        </is>
      </c>
      <c r="F13" s="43" t="inlineStr">
        <is>
          <t>16-100809-01</t>
        </is>
      </c>
      <c r="G13" s="43" t="inlineStr">
        <is>
          <t>OTHER_SCOPE_ITEM</t>
        </is>
      </c>
      <c r="H13" s="43" t="inlineStr"/>
      <c r="I13" s="43" t="inlineStr">
        <is>
          <t>Expired</t>
        </is>
      </c>
      <c r="J13" s="32" t="n">
        <v>45783</v>
      </c>
      <c r="K13" s="32" t="n">
        <v>45709</v>
      </c>
      <c r="L13" s="43" t="inlineStr">
        <is>
          <t>473</t>
        </is>
      </c>
      <c r="M13" s="43" t="n">
        <v>1</v>
      </c>
      <c r="N13" s="33" t="inlineStr"/>
      <c r="O13" s="43" t="inlineStr">
        <is>
          <t>UNVERIFIED</t>
        </is>
      </c>
      <c r="P13" s="43" t="inlineStr">
        <is>
          <t>Pending Review</t>
        </is>
      </c>
      <c r="Q13" s="33" t="inlineStr">
        <is>
          <t>Confirmar SKU/PCBA revision, PN exacto en Common DB, WO, BU, vigencia, planta y aprobacion firmada.</t>
        </is>
      </c>
    </row>
    <row r="14">
      <c r="A14" s="43" t="inlineStr">
        <is>
          <t>CTANJZ04435</t>
        </is>
      </c>
      <c r="B14" s="43" t="inlineStr">
        <is>
          <t>D596346</t>
        </is>
      </c>
      <c r="C14" s="43" t="inlineStr">
        <is>
          <t>037-STBU</t>
        </is>
      </c>
      <c r="D14" s="43" t="inlineStr">
        <is>
          <t>FJZP</t>
        </is>
      </c>
      <c r="E14" s="43" t="inlineStr">
        <is>
          <t>MCGA</t>
        </is>
      </c>
      <c r="F14" s="43" t="inlineStr">
        <is>
          <t>68-104010-01</t>
        </is>
      </c>
      <c r="G14" s="43" t="inlineStr">
        <is>
          <t>OTHER_SCOPE_ITEM</t>
        </is>
      </c>
      <c r="H14" s="43" t="inlineStr"/>
      <c r="I14" s="43" t="inlineStr">
        <is>
          <t>Expired</t>
        </is>
      </c>
      <c r="J14" s="32" t="n">
        <v>45783</v>
      </c>
      <c r="K14" s="32" t="n">
        <v>45709</v>
      </c>
      <c r="L14" s="43" t="inlineStr">
        <is>
          <t>1733</t>
        </is>
      </c>
      <c r="M14" s="43" t="n">
        <v>1</v>
      </c>
      <c r="N14" s="33" t="inlineStr"/>
      <c r="O14" s="43" t="inlineStr">
        <is>
          <t>UNVERIFIED</t>
        </is>
      </c>
      <c r="P14" s="43" t="inlineStr">
        <is>
          <t>Pending Review</t>
        </is>
      </c>
      <c r="Q14" s="33" t="inlineStr">
        <is>
          <t>Confirmar SKU/PCBA revision, PN exacto en Common DB, WO, BU, vigencia, planta y aprobacion firmada.</t>
        </is>
      </c>
    </row>
    <row r="15">
      <c r="A15" s="43" t="inlineStr">
        <is>
          <t>CTANJZ04441</t>
        </is>
      </c>
      <c r="B15" s="43" t="inlineStr">
        <is>
          <t>D601899</t>
        </is>
      </c>
      <c r="C15" s="43" t="inlineStr">
        <is>
          <t>018-SRGBU</t>
        </is>
      </c>
      <c r="D15" s="43" t="inlineStr">
        <is>
          <t>FJZP</t>
        </is>
      </c>
      <c r="E15" s="43" t="inlineStr">
        <is>
          <t>MCGA</t>
        </is>
      </c>
      <c r="F15" s="43" t="inlineStr">
        <is>
          <t>74-129859-01</t>
        </is>
      </c>
      <c r="G15" s="43" t="inlineStr">
        <is>
          <t>OTHER_SCOPE_ITEM</t>
        </is>
      </c>
      <c r="H15" s="43" t="inlineStr"/>
      <c r="I15" s="43" t="inlineStr">
        <is>
          <t>Expired</t>
        </is>
      </c>
      <c r="J15" s="32" t="n">
        <v>45788</v>
      </c>
      <c r="K15" s="32" t="n">
        <v>45713</v>
      </c>
      <c r="L15" s="43" t="inlineStr">
        <is>
          <t>653</t>
        </is>
      </c>
      <c r="M15" s="43" t="n">
        <v>1</v>
      </c>
      <c r="N15" s="33" t="inlineStr"/>
      <c r="O15" s="43" t="inlineStr">
        <is>
          <t>UNVERIFIED</t>
        </is>
      </c>
      <c r="P15" s="43" t="inlineStr">
        <is>
          <t>Pending Review</t>
        </is>
      </c>
      <c r="Q15" s="33" t="inlineStr">
        <is>
          <t>Confirmar SKU/PCBA revision, PN exacto en Common DB, WO, BU, vigencia, planta y aprobacion firmada.</t>
        </is>
      </c>
    </row>
    <row r="16">
      <c r="A16" s="43" t="inlineStr">
        <is>
          <t>CTANJZ04441</t>
        </is>
      </c>
      <c r="B16" s="43" t="inlineStr">
        <is>
          <t>D601899</t>
        </is>
      </c>
      <c r="C16" s="43" t="inlineStr">
        <is>
          <t>018-SRGBU</t>
        </is>
      </c>
      <c r="D16" s="43" t="inlineStr">
        <is>
          <t>FJZP</t>
        </is>
      </c>
      <c r="E16" s="43" t="inlineStr">
        <is>
          <t>MCGA</t>
        </is>
      </c>
      <c r="F16" s="43" t="inlineStr">
        <is>
          <t>74-129860-01</t>
        </is>
      </c>
      <c r="G16" s="43" t="inlineStr">
        <is>
          <t>OTHER_SCOPE_ITEM</t>
        </is>
      </c>
      <c r="H16" s="43" t="inlineStr"/>
      <c r="I16" s="43" t="inlineStr">
        <is>
          <t>Expired</t>
        </is>
      </c>
      <c r="J16" s="32" t="n">
        <v>45788</v>
      </c>
      <c r="K16" s="32" t="n">
        <v>45713</v>
      </c>
      <c r="L16" s="43" t="inlineStr">
        <is>
          <t>654</t>
        </is>
      </c>
      <c r="M16" s="43" t="n">
        <v>1</v>
      </c>
      <c r="N16" s="33" t="inlineStr"/>
      <c r="O16" s="43" t="inlineStr">
        <is>
          <t>UNVERIFIED</t>
        </is>
      </c>
      <c r="P16" s="43" t="inlineStr">
        <is>
          <t>Pending Review</t>
        </is>
      </c>
      <c r="Q16" s="33" t="inlineStr">
        <is>
          <t>Confirmar SKU/PCBA revision, PN exacto en Common DB, WO, BU, vigencia, planta y aprobacion firmada.</t>
        </is>
      </c>
    </row>
    <row r="17">
      <c r="A17" s="43" t="inlineStr">
        <is>
          <t>CTANJZ04441</t>
        </is>
      </c>
      <c r="B17" s="43" t="inlineStr">
        <is>
          <t>D601899</t>
        </is>
      </c>
      <c r="C17" s="43" t="inlineStr">
        <is>
          <t>018-SRGBU</t>
        </is>
      </c>
      <c r="D17" s="43" t="inlineStr">
        <is>
          <t>FJZP</t>
        </is>
      </c>
      <c r="E17" s="43" t="inlineStr">
        <is>
          <t>MCGA</t>
        </is>
      </c>
      <c r="F17" s="43" t="inlineStr">
        <is>
          <t>800-51476-01</t>
        </is>
      </c>
      <c r="G17" s="43" t="inlineStr">
        <is>
          <t>OTHER_SCOPE_ITEM</t>
        </is>
      </c>
      <c r="H17" s="43" t="inlineStr"/>
      <c r="I17" s="43" t="inlineStr">
        <is>
          <t>Expired</t>
        </is>
      </c>
      <c r="J17" s="32" t="n">
        <v>45788</v>
      </c>
      <c r="K17" s="32" t="n">
        <v>45713</v>
      </c>
      <c r="L17" s="43" t="inlineStr">
        <is>
          <t>655</t>
        </is>
      </c>
      <c r="M17" s="43" t="n">
        <v>1</v>
      </c>
      <c r="N17" s="33" t="inlineStr"/>
      <c r="O17" s="43" t="inlineStr">
        <is>
          <t>UNVERIFIED</t>
        </is>
      </c>
      <c r="P17" s="43" t="inlineStr">
        <is>
          <t>Pending Review</t>
        </is>
      </c>
      <c r="Q17" s="33" t="inlineStr">
        <is>
          <t>Confirmar SKU/PCBA revision, PN exacto en Common DB, WO, BU, vigencia, planta y aprobacion firmada.</t>
        </is>
      </c>
    </row>
    <row r="18">
      <c r="A18" s="43" t="inlineStr">
        <is>
          <t>CTANJZ04443</t>
        </is>
      </c>
      <c r="B18" s="43" t="inlineStr">
        <is>
          <t>D601883</t>
        </is>
      </c>
      <c r="C18" s="43" t="inlineStr">
        <is>
          <t>037-STBU</t>
        </is>
      </c>
      <c r="D18" s="43" t="inlineStr">
        <is>
          <t>FJZP</t>
        </is>
      </c>
      <c r="E18" s="43" t="inlineStr">
        <is>
          <t>MCGA</t>
        </is>
      </c>
      <c r="F18" s="43" t="inlineStr">
        <is>
          <t>501-102058-01</t>
        </is>
      </c>
      <c r="G18" s="43" t="inlineStr">
        <is>
          <t>OTHER_SCOPE_ITEM</t>
        </is>
      </c>
      <c r="H18" s="43" t="inlineStr"/>
      <c r="I18" s="43" t="inlineStr">
        <is>
          <t>Expired</t>
        </is>
      </c>
      <c r="J18" s="32" t="n">
        <v>45788</v>
      </c>
      <c r="K18" s="32" t="n">
        <v>45709</v>
      </c>
      <c r="L18" s="43" t="inlineStr">
        <is>
          <t>348</t>
        </is>
      </c>
      <c r="M18" s="43" t="n">
        <v>1</v>
      </c>
      <c r="N18" s="33" t="inlineStr"/>
      <c r="O18" s="43" t="inlineStr">
        <is>
          <t>UNVERIFIED</t>
        </is>
      </c>
      <c r="P18" s="43" t="inlineStr">
        <is>
          <t>Pending Review</t>
        </is>
      </c>
      <c r="Q18" s="33" t="inlineStr">
        <is>
          <t>Confirmar SKU/PCBA revision, PN exacto en Common DB, WO, BU, vigencia, planta y aprobacion firmada.</t>
        </is>
      </c>
    </row>
    <row r="19">
      <c r="A19" s="43" t="inlineStr">
        <is>
          <t>CTANJZ04443</t>
        </is>
      </c>
      <c r="B19" s="43" t="inlineStr">
        <is>
          <t>D601883</t>
        </is>
      </c>
      <c r="C19" s="43" t="inlineStr">
        <is>
          <t>037-STBU</t>
        </is>
      </c>
      <c r="D19" s="43" t="inlineStr">
        <is>
          <t>FJZP</t>
        </is>
      </c>
      <c r="E19" s="43" t="inlineStr">
        <is>
          <t>MCGA</t>
        </is>
      </c>
      <c r="F19" s="43" t="inlineStr">
        <is>
          <t>84-102023-01</t>
        </is>
      </c>
      <c r="G19" s="43" t="inlineStr">
        <is>
          <t>OTHER_SCOPE_ITEM</t>
        </is>
      </c>
      <c r="H19" s="43" t="inlineStr"/>
      <c r="I19" s="43" t="inlineStr">
        <is>
          <t>Expired</t>
        </is>
      </c>
      <c r="J19" s="32" t="n">
        <v>45788</v>
      </c>
      <c r="K19" s="32" t="n">
        <v>45709</v>
      </c>
      <c r="L19" s="43" t="inlineStr">
        <is>
          <t>349</t>
        </is>
      </c>
      <c r="M19" s="43" t="n">
        <v>1</v>
      </c>
      <c r="N19" s="33" t="inlineStr"/>
      <c r="O19" s="43" t="inlineStr">
        <is>
          <t>UNVERIFIED</t>
        </is>
      </c>
      <c r="P19" s="43" t="inlineStr">
        <is>
          <t>Pending Review</t>
        </is>
      </c>
      <c r="Q19" s="33" t="inlineStr">
        <is>
          <t>Confirmar SKU/PCBA revision, PN exacto en Common DB, WO, BU, vigencia, planta y aprobacion firmada.</t>
        </is>
      </c>
    </row>
    <row r="20">
      <c r="A20" s="43" t="inlineStr">
        <is>
          <t>CTANJZ04449</t>
        </is>
      </c>
      <c r="B20" s="43" t="inlineStr">
        <is>
          <t>D602143</t>
        </is>
      </c>
      <c r="C20" s="43" t="inlineStr">
        <is>
          <t>037-STBU</t>
        </is>
      </c>
      <c r="D20" s="43" t="inlineStr">
        <is>
          <t>FJZP</t>
        </is>
      </c>
      <c r="E20" s="43" t="inlineStr">
        <is>
          <t>MCGA</t>
        </is>
      </c>
      <c r="F20" s="43" t="inlineStr">
        <is>
          <t>35-0038-01</t>
        </is>
      </c>
      <c r="G20" s="43" t="inlineStr">
        <is>
          <t>OTHER_SCOPE_ITEM</t>
        </is>
      </c>
      <c r="H20" s="43" t="inlineStr"/>
      <c r="I20" s="43" t="inlineStr">
        <is>
          <t>Expired</t>
        </is>
      </c>
      <c r="J20" s="32" t="n">
        <v>45789</v>
      </c>
      <c r="K20" s="32" t="n">
        <v>45709</v>
      </c>
      <c r="L20" s="43" t="inlineStr">
        <is>
          <t>656</t>
        </is>
      </c>
      <c r="M20" s="43" t="n">
        <v>1</v>
      </c>
      <c r="N20" s="33" t="inlineStr"/>
      <c r="O20" s="43" t="inlineStr">
        <is>
          <t>UNVERIFIED</t>
        </is>
      </c>
      <c r="P20" s="43" t="inlineStr">
        <is>
          <t>Pending Review</t>
        </is>
      </c>
      <c r="Q20" s="33" t="inlineStr">
        <is>
          <t>Confirmar SKU/PCBA revision, PN exacto en Common DB, WO, BU, vigencia, planta y aprobacion firmada.</t>
        </is>
      </c>
    </row>
    <row r="21">
      <c r="A21" s="43" t="inlineStr">
        <is>
          <t>CTANJZ04449</t>
        </is>
      </c>
      <c r="B21" s="43" t="inlineStr">
        <is>
          <t>D602143</t>
        </is>
      </c>
      <c r="C21" s="43" t="inlineStr">
        <is>
          <t>037-STBU</t>
        </is>
      </c>
      <c r="D21" s="43" t="inlineStr">
        <is>
          <t>FJZP</t>
        </is>
      </c>
      <c r="E21" s="43" t="inlineStr">
        <is>
          <t>MCGA</t>
        </is>
      </c>
      <c r="F21" s="43" t="inlineStr">
        <is>
          <t>73-17567-12</t>
        </is>
      </c>
      <c r="G21" s="43" t="inlineStr">
        <is>
          <t>BOARD_PN_CANDIDATE</t>
        </is>
      </c>
      <c r="H21" s="43" t="inlineStr"/>
      <c r="I21" s="43" t="inlineStr">
        <is>
          <t>Expired</t>
        </is>
      </c>
      <c r="J21" s="32" t="n">
        <v>45789</v>
      </c>
      <c r="K21" s="32" t="n">
        <v>45709</v>
      </c>
      <c r="L21" s="43" t="inlineStr">
        <is>
          <t>657</t>
        </is>
      </c>
      <c r="M21" s="43" t="n">
        <v>1</v>
      </c>
      <c r="N21" s="33" t="inlineStr"/>
      <c r="O21" s="43" t="inlineStr">
        <is>
          <t>UNVERIFIED</t>
        </is>
      </c>
      <c r="P21" s="43" t="inlineStr">
        <is>
          <t>Pending Review</t>
        </is>
      </c>
      <c r="Q21" s="33" t="inlineStr">
        <is>
          <t>Confirmar SKU/PCBA revision, PN exacto en Common DB, WO, BU, vigencia, planta y aprobacion firmada.</t>
        </is>
      </c>
    </row>
    <row r="22">
      <c r="A22" s="43" t="inlineStr">
        <is>
          <t>CTANJZ04449</t>
        </is>
      </c>
      <c r="B22" s="43" t="inlineStr">
        <is>
          <t>D602143</t>
        </is>
      </c>
      <c r="C22" s="43" t="inlineStr">
        <is>
          <t>037-STBU</t>
        </is>
      </c>
      <c r="D22" s="43" t="inlineStr">
        <is>
          <t>FJZP</t>
        </is>
      </c>
      <c r="E22" s="43" t="inlineStr">
        <is>
          <t>MCGA</t>
        </is>
      </c>
      <c r="F22" s="43" t="inlineStr">
        <is>
          <t>73-17568-12</t>
        </is>
      </c>
      <c r="G22" s="43" t="inlineStr">
        <is>
          <t>BOARD_PN_CANDIDATE</t>
        </is>
      </c>
      <c r="H22" s="43" t="inlineStr"/>
      <c r="I22" s="43" t="inlineStr">
        <is>
          <t>Expired</t>
        </is>
      </c>
      <c r="J22" s="32" t="n">
        <v>45789</v>
      </c>
      <c r="K22" s="32" t="n">
        <v>45709</v>
      </c>
      <c r="L22" s="43" t="inlineStr">
        <is>
          <t>658</t>
        </is>
      </c>
      <c r="M22" s="43" t="n">
        <v>1</v>
      </c>
      <c r="N22" s="33" t="inlineStr"/>
      <c r="O22" s="43" t="inlineStr">
        <is>
          <t>UNVERIFIED</t>
        </is>
      </c>
      <c r="P22" s="43" t="inlineStr">
        <is>
          <t>Pending Review</t>
        </is>
      </c>
      <c r="Q22" s="33" t="inlineStr">
        <is>
          <t>Confirmar SKU/PCBA revision, PN exacto en Common DB, WO, BU, vigencia, planta y aprobacion firmada.</t>
        </is>
      </c>
    </row>
    <row r="23">
      <c r="A23" s="43" t="inlineStr">
        <is>
          <t>CTANJZ04449</t>
        </is>
      </c>
      <c r="B23" s="43" t="inlineStr">
        <is>
          <t>D602143</t>
        </is>
      </c>
      <c r="C23" s="43" t="inlineStr">
        <is>
          <t>037-STBU</t>
        </is>
      </c>
      <c r="D23" s="43" t="inlineStr">
        <is>
          <t>FJZP</t>
        </is>
      </c>
      <c r="E23" s="43" t="inlineStr">
        <is>
          <t>MCGA</t>
        </is>
      </c>
      <c r="F23" s="43" t="inlineStr">
        <is>
          <t>73-17569-10</t>
        </is>
      </c>
      <c r="G23" s="43" t="inlineStr">
        <is>
          <t>BOARD_PN_CANDIDATE</t>
        </is>
      </c>
      <c r="H23" s="43" t="inlineStr"/>
      <c r="I23" s="43" t="inlineStr">
        <is>
          <t>Expired</t>
        </is>
      </c>
      <c r="J23" s="32" t="n">
        <v>45789</v>
      </c>
      <c r="K23" s="32" t="n">
        <v>45709</v>
      </c>
      <c r="L23" s="43" t="inlineStr">
        <is>
          <t>659</t>
        </is>
      </c>
      <c r="M23" s="43" t="n">
        <v>1</v>
      </c>
      <c r="N23" s="33" t="inlineStr"/>
      <c r="O23" s="43" t="inlineStr">
        <is>
          <t>UNVERIFIED</t>
        </is>
      </c>
      <c r="P23" s="43" t="inlineStr">
        <is>
          <t>Pending Review</t>
        </is>
      </c>
      <c r="Q23" s="33" t="inlineStr">
        <is>
          <t>Confirmar SKU/PCBA revision, PN exacto en Common DB, WO, BU, vigencia, planta y aprobacion firmada.</t>
        </is>
      </c>
    </row>
    <row r="24">
      <c r="A24" s="43" t="inlineStr">
        <is>
          <t>CTANJZ04449</t>
        </is>
      </c>
      <c r="B24" s="43" t="inlineStr">
        <is>
          <t>D602143</t>
        </is>
      </c>
      <c r="C24" s="43" t="inlineStr">
        <is>
          <t>037-STBU</t>
        </is>
      </c>
      <c r="D24" s="43" t="inlineStr">
        <is>
          <t>FJZP</t>
        </is>
      </c>
      <c r="E24" s="43" t="inlineStr">
        <is>
          <t>MCGA</t>
        </is>
      </c>
      <c r="F24" s="43" t="inlineStr">
        <is>
          <t>73-17570-10</t>
        </is>
      </c>
      <c r="G24" s="43" t="inlineStr">
        <is>
          <t>BOARD_PN_CANDIDATE</t>
        </is>
      </c>
      <c r="H24" s="43" t="inlineStr"/>
      <c r="I24" s="43" t="inlineStr">
        <is>
          <t>Expired</t>
        </is>
      </c>
      <c r="J24" s="32" t="n">
        <v>45789</v>
      </c>
      <c r="K24" s="32" t="n">
        <v>45709</v>
      </c>
      <c r="L24" s="43" t="inlineStr">
        <is>
          <t>660</t>
        </is>
      </c>
      <c r="M24" s="43" t="n">
        <v>1</v>
      </c>
      <c r="N24" s="33" t="inlineStr"/>
      <c r="O24" s="43" t="inlineStr">
        <is>
          <t>UNVERIFIED</t>
        </is>
      </c>
      <c r="P24" s="43" t="inlineStr">
        <is>
          <t>Pending Review</t>
        </is>
      </c>
      <c r="Q24" s="33" t="inlineStr">
        <is>
          <t>Confirmar SKU/PCBA revision, PN exacto en Common DB, WO, BU, vigencia, planta y aprobacion firmada.</t>
        </is>
      </c>
    </row>
    <row r="25">
      <c r="A25" s="43" t="inlineStr">
        <is>
          <t>CTANJZ04449</t>
        </is>
      </c>
      <c r="B25" s="43" t="inlineStr">
        <is>
          <t>D602143</t>
        </is>
      </c>
      <c r="C25" s="43" t="inlineStr">
        <is>
          <t>037-STBU</t>
        </is>
      </c>
      <c r="D25" s="43" t="inlineStr">
        <is>
          <t>FJZP</t>
        </is>
      </c>
      <c r="E25" s="43" t="inlineStr">
        <is>
          <t>MCGA</t>
        </is>
      </c>
      <c r="F25" s="43" t="inlineStr">
        <is>
          <t>800-103842-08</t>
        </is>
      </c>
      <c r="G25" s="43" t="inlineStr">
        <is>
          <t>OTHER_SCOPE_ITEM</t>
        </is>
      </c>
      <c r="H25" s="43" t="inlineStr"/>
      <c r="I25" s="43" t="inlineStr">
        <is>
          <t>Expired</t>
        </is>
      </c>
      <c r="J25" s="32" t="n">
        <v>45789</v>
      </c>
      <c r="K25" s="32" t="n">
        <v>45709</v>
      </c>
      <c r="L25" s="43" t="inlineStr">
        <is>
          <t>661</t>
        </is>
      </c>
      <c r="M25" s="43" t="n">
        <v>1</v>
      </c>
      <c r="N25" s="33" t="inlineStr"/>
      <c r="O25" s="43" t="inlineStr">
        <is>
          <t>UNVERIFIED</t>
        </is>
      </c>
      <c r="P25" s="43" t="inlineStr">
        <is>
          <t>Pending Review</t>
        </is>
      </c>
      <c r="Q25" s="33" t="inlineStr">
        <is>
          <t>Confirmar SKU/PCBA revision, PN exacto en Common DB, WO, BU, vigencia, planta y aprobacion firmada.</t>
        </is>
      </c>
    </row>
    <row r="26">
      <c r="A26" s="43" t="inlineStr">
        <is>
          <t>CTANJZ04449</t>
        </is>
      </c>
      <c r="B26" s="43" t="inlineStr">
        <is>
          <t>D602143</t>
        </is>
      </c>
      <c r="C26" s="43" t="inlineStr">
        <is>
          <t>037-STBU</t>
        </is>
      </c>
      <c r="D26" s="43" t="inlineStr">
        <is>
          <t>FJZP</t>
        </is>
      </c>
      <c r="E26" s="43" t="inlineStr">
        <is>
          <t>MCGA</t>
        </is>
      </c>
      <c r="F26" s="43" t="inlineStr">
        <is>
          <t>800-103843-08</t>
        </is>
      </c>
      <c r="G26" s="43" t="inlineStr">
        <is>
          <t>OTHER_SCOPE_ITEM</t>
        </is>
      </c>
      <c r="H26" s="43" t="inlineStr"/>
      <c r="I26" s="43" t="inlineStr">
        <is>
          <t>Expired</t>
        </is>
      </c>
      <c r="J26" s="32" t="n">
        <v>45789</v>
      </c>
      <c r="K26" s="32" t="n">
        <v>45709</v>
      </c>
      <c r="L26" s="43" t="inlineStr">
        <is>
          <t>662</t>
        </is>
      </c>
      <c r="M26" s="43" t="n">
        <v>1</v>
      </c>
      <c r="N26" s="33" t="inlineStr"/>
      <c r="O26" s="43" t="inlineStr">
        <is>
          <t>UNVERIFIED</t>
        </is>
      </c>
      <c r="P26" s="43" t="inlineStr">
        <is>
          <t>Pending Review</t>
        </is>
      </c>
      <c r="Q26" s="33" t="inlineStr">
        <is>
          <t>Confirmar SKU/PCBA revision, PN exacto en Common DB, WO, BU, vigencia, planta y aprobacion firmada.</t>
        </is>
      </c>
    </row>
    <row r="27">
      <c r="A27" s="43" t="inlineStr">
        <is>
          <t>CTANJZ04449</t>
        </is>
      </c>
      <c r="B27" s="43" t="inlineStr">
        <is>
          <t>D602143</t>
        </is>
      </c>
      <c r="C27" s="43" t="inlineStr">
        <is>
          <t>037-STBU</t>
        </is>
      </c>
      <c r="D27" s="43" t="inlineStr">
        <is>
          <t>FJZP</t>
        </is>
      </c>
      <c r="E27" s="43" t="inlineStr">
        <is>
          <t>MCGA</t>
        </is>
      </c>
      <c r="F27" s="43" t="inlineStr">
        <is>
          <t>800-103844-08</t>
        </is>
      </c>
      <c r="G27" s="43" t="inlineStr">
        <is>
          <t>OTHER_SCOPE_ITEM</t>
        </is>
      </c>
      <c r="H27" s="43" t="inlineStr"/>
      <c r="I27" s="43" t="inlineStr">
        <is>
          <t>Expired</t>
        </is>
      </c>
      <c r="J27" s="32" t="n">
        <v>45789</v>
      </c>
      <c r="K27" s="32" t="n">
        <v>45709</v>
      </c>
      <c r="L27" s="43" t="inlineStr">
        <is>
          <t>663</t>
        </is>
      </c>
      <c r="M27" s="43" t="n">
        <v>1</v>
      </c>
      <c r="N27" s="33" t="inlineStr"/>
      <c r="O27" s="43" t="inlineStr">
        <is>
          <t>UNVERIFIED</t>
        </is>
      </c>
      <c r="P27" s="43" t="inlineStr">
        <is>
          <t>Pending Review</t>
        </is>
      </c>
      <c r="Q27" s="33" t="inlineStr">
        <is>
          <t>Confirmar SKU/PCBA revision, PN exacto en Common DB, WO, BU, vigencia, planta y aprobacion firmada.</t>
        </is>
      </c>
    </row>
    <row r="28">
      <c r="A28" s="43" t="inlineStr">
        <is>
          <t>CTANJZ04449</t>
        </is>
      </c>
      <c r="B28" s="43" t="inlineStr">
        <is>
          <t>D602143</t>
        </is>
      </c>
      <c r="C28" s="43" t="inlineStr">
        <is>
          <t>037-STBU</t>
        </is>
      </c>
      <c r="D28" s="43" t="inlineStr">
        <is>
          <t>FJZP</t>
        </is>
      </c>
      <c r="E28" s="43" t="inlineStr">
        <is>
          <t>MCGA</t>
        </is>
      </c>
      <c r="F28" s="43" t="inlineStr">
        <is>
          <t>800-103845-08</t>
        </is>
      </c>
      <c r="G28" s="43" t="inlineStr">
        <is>
          <t>OTHER_SCOPE_ITEM</t>
        </is>
      </c>
      <c r="H28" s="43" t="inlineStr"/>
      <c r="I28" s="43" t="inlineStr">
        <is>
          <t>Expired</t>
        </is>
      </c>
      <c r="J28" s="32" t="n">
        <v>45789</v>
      </c>
      <c r="K28" s="32" t="n">
        <v>45709</v>
      </c>
      <c r="L28" s="43" t="inlineStr">
        <is>
          <t>664</t>
        </is>
      </c>
      <c r="M28" s="43" t="n">
        <v>1</v>
      </c>
      <c r="N28" s="33" t="inlineStr"/>
      <c r="O28" s="43" t="inlineStr">
        <is>
          <t>UNVERIFIED</t>
        </is>
      </c>
      <c r="P28" s="43" t="inlineStr">
        <is>
          <t>Pending Review</t>
        </is>
      </c>
      <c r="Q28" s="33" t="inlineStr">
        <is>
          <t>Confirmar SKU/PCBA revision, PN exacto en Common DB, WO, BU, vigencia, planta y aprobacion firmada.</t>
        </is>
      </c>
    </row>
    <row r="29">
      <c r="A29" s="43" t="inlineStr">
        <is>
          <t>CTANJZ04450</t>
        </is>
      </c>
      <c r="B29" s="43" t="inlineStr">
        <is>
          <t>D602145</t>
        </is>
      </c>
      <c r="C29" s="43" t="inlineStr">
        <is>
          <t>037-STBU</t>
        </is>
      </c>
      <c r="D29" s="43" t="inlineStr">
        <is>
          <t>FJZP</t>
        </is>
      </c>
      <c r="E29" s="43" t="inlineStr">
        <is>
          <t>MCGA</t>
        </is>
      </c>
      <c r="F29" s="43" t="inlineStr">
        <is>
          <t>68-7253-04</t>
        </is>
      </c>
      <c r="G29" s="43" t="inlineStr">
        <is>
          <t>OTHER_SCOPE_ITEM</t>
        </is>
      </c>
      <c r="H29" s="43" t="inlineStr"/>
      <c r="I29" s="43" t="inlineStr">
        <is>
          <t>Expired</t>
        </is>
      </c>
      <c r="J29" s="32" t="n">
        <v>45789</v>
      </c>
      <c r="K29" s="32" t="n">
        <v>45713</v>
      </c>
      <c r="L29" s="43" t="inlineStr">
        <is>
          <t>679</t>
        </is>
      </c>
      <c r="M29" s="43" t="n">
        <v>1</v>
      </c>
      <c r="N29" s="33" t="inlineStr"/>
      <c r="O29" s="43" t="inlineStr">
        <is>
          <t>UNVERIFIED</t>
        </is>
      </c>
      <c r="P29" s="43" t="inlineStr">
        <is>
          <t>Pending Review</t>
        </is>
      </c>
      <c r="Q29" s="33" t="inlineStr">
        <is>
          <t>Confirmar SKU/PCBA revision, PN exacto en Common DB, WO, BU, vigencia, planta y aprobacion firmada.</t>
        </is>
      </c>
    </row>
    <row r="30">
      <c r="A30" s="43" t="inlineStr">
        <is>
          <t>CTANJZ04450</t>
        </is>
      </c>
      <c r="B30" s="43" t="inlineStr">
        <is>
          <t>D602145</t>
        </is>
      </c>
      <c r="C30" s="43" t="inlineStr">
        <is>
          <t>037-STBU</t>
        </is>
      </c>
      <c r="D30" s="43" t="inlineStr">
        <is>
          <t>FJZP</t>
        </is>
      </c>
      <c r="E30" s="43" t="inlineStr">
        <is>
          <t>MCGA</t>
        </is>
      </c>
      <c r="F30" s="43" t="inlineStr">
        <is>
          <t>68-7254-04</t>
        </is>
      </c>
      <c r="G30" s="43" t="inlineStr">
        <is>
          <t>OTHER_SCOPE_ITEM</t>
        </is>
      </c>
      <c r="H30" s="43" t="inlineStr"/>
      <c r="I30" s="43" t="inlineStr">
        <is>
          <t>Expired</t>
        </is>
      </c>
      <c r="J30" s="32" t="n">
        <v>45789</v>
      </c>
      <c r="K30" s="32" t="n">
        <v>45713</v>
      </c>
      <c r="L30" s="43" t="inlineStr">
        <is>
          <t>680</t>
        </is>
      </c>
      <c r="M30" s="43" t="n">
        <v>1</v>
      </c>
      <c r="N30" s="33" t="inlineStr"/>
      <c r="O30" s="43" t="inlineStr">
        <is>
          <t>UNVERIFIED</t>
        </is>
      </c>
      <c r="P30" s="43" t="inlineStr">
        <is>
          <t>Pending Review</t>
        </is>
      </c>
      <c r="Q30" s="33" t="inlineStr">
        <is>
          <t>Confirmar SKU/PCBA revision, PN exacto en Common DB, WO, BU, vigencia, planta y aprobacion firmada.</t>
        </is>
      </c>
    </row>
    <row r="31">
      <c r="A31" s="43" t="inlineStr">
        <is>
          <t>CTANJZ04450</t>
        </is>
      </c>
      <c r="B31" s="43" t="inlineStr">
        <is>
          <t>D602145</t>
        </is>
      </c>
      <c r="C31" s="43" t="inlineStr">
        <is>
          <t>037-STBU</t>
        </is>
      </c>
      <c r="D31" s="43" t="inlineStr">
        <is>
          <t>FJZP</t>
        </is>
      </c>
      <c r="E31" s="43" t="inlineStr">
        <is>
          <t>MCGA</t>
        </is>
      </c>
      <c r="F31" s="43" t="inlineStr">
        <is>
          <t>68-7255-04</t>
        </is>
      </c>
      <c r="G31" s="43" t="inlineStr">
        <is>
          <t>OTHER_SCOPE_ITEM</t>
        </is>
      </c>
      <c r="H31" s="43" t="inlineStr"/>
      <c r="I31" s="43" t="inlineStr">
        <is>
          <t>Expired</t>
        </is>
      </c>
      <c r="J31" s="32" t="n">
        <v>45789</v>
      </c>
      <c r="K31" s="32" t="n">
        <v>45713</v>
      </c>
      <c r="L31" s="43" t="inlineStr">
        <is>
          <t>681</t>
        </is>
      </c>
      <c r="M31" s="43" t="n">
        <v>1</v>
      </c>
      <c r="N31" s="33" t="inlineStr"/>
      <c r="O31" s="43" t="inlineStr">
        <is>
          <t>UNVERIFIED</t>
        </is>
      </c>
      <c r="P31" s="43" t="inlineStr">
        <is>
          <t>Pending Review</t>
        </is>
      </c>
      <c r="Q31" s="33" t="inlineStr">
        <is>
          <t>Confirmar SKU/PCBA revision, PN exacto en Common DB, WO, BU, vigencia, planta y aprobacion firmada.</t>
        </is>
      </c>
    </row>
    <row r="32">
      <c r="A32" s="43" t="inlineStr">
        <is>
          <t>CTANJZ04450</t>
        </is>
      </c>
      <c r="B32" s="43" t="inlineStr">
        <is>
          <t>D602145</t>
        </is>
      </c>
      <c r="C32" s="43" t="inlineStr">
        <is>
          <t>037-STBU</t>
        </is>
      </c>
      <c r="D32" s="43" t="inlineStr">
        <is>
          <t>FJZP</t>
        </is>
      </c>
      <c r="E32" s="43" t="inlineStr">
        <is>
          <t>MCGA</t>
        </is>
      </c>
      <c r="F32" s="43" t="inlineStr">
        <is>
          <t>68-7256-04</t>
        </is>
      </c>
      <c r="G32" s="43" t="inlineStr">
        <is>
          <t>OTHER_SCOPE_ITEM</t>
        </is>
      </c>
      <c r="H32" s="43" t="inlineStr"/>
      <c r="I32" s="43" t="inlineStr">
        <is>
          <t>Expired</t>
        </is>
      </c>
      <c r="J32" s="32" t="n">
        <v>45789</v>
      </c>
      <c r="K32" s="32" t="n">
        <v>45713</v>
      </c>
      <c r="L32" s="43" t="inlineStr">
        <is>
          <t>682</t>
        </is>
      </c>
      <c r="M32" s="43" t="n">
        <v>1</v>
      </c>
      <c r="N32" s="33" t="inlineStr"/>
      <c r="O32" s="43" t="inlineStr">
        <is>
          <t>UNVERIFIED</t>
        </is>
      </c>
      <c r="P32" s="43" t="inlineStr">
        <is>
          <t>Pending Review</t>
        </is>
      </c>
      <c r="Q32" s="33" t="inlineStr">
        <is>
          <t>Confirmar SKU/PCBA revision, PN exacto en Common DB, WO, BU, vigencia, planta y aprobacion firmada.</t>
        </is>
      </c>
    </row>
    <row r="33">
      <c r="A33" s="43" t="inlineStr">
        <is>
          <t>CTANJZ04450</t>
        </is>
      </c>
      <c r="B33" s="43" t="inlineStr">
        <is>
          <t>D602145</t>
        </is>
      </c>
      <c r="C33" s="43" t="inlineStr">
        <is>
          <t>037-STBU</t>
        </is>
      </c>
      <c r="D33" s="43" t="inlineStr">
        <is>
          <t>FJZP</t>
        </is>
      </c>
      <c r="E33" s="43" t="inlineStr">
        <is>
          <t>MCGA</t>
        </is>
      </c>
      <c r="F33" s="43" t="inlineStr">
        <is>
          <t>68-7638-01</t>
        </is>
      </c>
      <c r="G33" s="43" t="inlineStr">
        <is>
          <t>OTHER_SCOPE_ITEM</t>
        </is>
      </c>
      <c r="H33" s="43" t="inlineStr"/>
      <c r="I33" s="43" t="inlineStr">
        <is>
          <t>Expired</t>
        </is>
      </c>
      <c r="J33" s="32" t="n">
        <v>45789</v>
      </c>
      <c r="K33" s="32" t="n">
        <v>45713</v>
      </c>
      <c r="L33" s="43" t="inlineStr">
        <is>
          <t>683</t>
        </is>
      </c>
      <c r="M33" s="43" t="n">
        <v>1</v>
      </c>
      <c r="N33" s="33" t="inlineStr"/>
      <c r="O33" s="43" t="inlineStr">
        <is>
          <t>UNVERIFIED</t>
        </is>
      </c>
      <c r="P33" s="43" t="inlineStr">
        <is>
          <t>Pending Review</t>
        </is>
      </c>
      <c r="Q33" s="33" t="inlineStr">
        <is>
          <t>Confirmar SKU/PCBA revision, PN exacto en Common DB, WO, BU, vigencia, planta y aprobacion firmada.</t>
        </is>
      </c>
    </row>
    <row r="34">
      <c r="A34" s="43" t="inlineStr">
        <is>
          <t>CTANJZ04450</t>
        </is>
      </c>
      <c r="B34" s="43" t="inlineStr">
        <is>
          <t>D602145</t>
        </is>
      </c>
      <c r="C34" s="43" t="inlineStr">
        <is>
          <t>037-STBU</t>
        </is>
      </c>
      <c r="D34" s="43" t="inlineStr">
        <is>
          <t>FJZP</t>
        </is>
      </c>
      <c r="E34" s="43" t="inlineStr">
        <is>
          <t>MCGA</t>
        </is>
      </c>
      <c r="F34" s="43" t="inlineStr">
        <is>
          <t>74-113291-01</t>
        </is>
      </c>
      <c r="G34" s="43" t="inlineStr">
        <is>
          <t>OTHER_SCOPE_ITEM</t>
        </is>
      </c>
      <c r="H34" s="43" t="inlineStr"/>
      <c r="I34" s="43" t="inlineStr">
        <is>
          <t>Expired</t>
        </is>
      </c>
      <c r="J34" s="32" t="n">
        <v>45789</v>
      </c>
      <c r="K34" s="32" t="n">
        <v>45713</v>
      </c>
      <c r="L34" s="43" t="inlineStr">
        <is>
          <t>684</t>
        </is>
      </c>
      <c r="M34" s="43" t="n">
        <v>1</v>
      </c>
      <c r="N34" s="33" t="inlineStr"/>
      <c r="O34" s="43" t="inlineStr">
        <is>
          <t>UNVERIFIED</t>
        </is>
      </c>
      <c r="P34" s="43" t="inlineStr">
        <is>
          <t>Pending Review</t>
        </is>
      </c>
      <c r="Q34" s="33" t="inlineStr">
        <is>
          <t>Confirmar SKU/PCBA revision, PN exacto en Common DB, WO, BU, vigencia, planta y aprobacion firmada.</t>
        </is>
      </c>
    </row>
    <row r="35">
      <c r="A35" s="43" t="inlineStr">
        <is>
          <t>CTANJZ04450</t>
        </is>
      </c>
      <c r="B35" s="43" t="inlineStr">
        <is>
          <t>D602145</t>
        </is>
      </c>
      <c r="C35" s="43" t="inlineStr">
        <is>
          <t>037-STBU</t>
        </is>
      </c>
      <c r="D35" s="43" t="inlineStr">
        <is>
          <t>FJZP</t>
        </is>
      </c>
      <c r="E35" s="43" t="inlineStr">
        <is>
          <t>MCGA</t>
        </is>
      </c>
      <c r="F35" s="43" t="inlineStr">
        <is>
          <t>74-126726-01</t>
        </is>
      </c>
      <c r="G35" s="43" t="inlineStr">
        <is>
          <t>OTHER_SCOPE_ITEM</t>
        </is>
      </c>
      <c r="H35" s="43" t="inlineStr"/>
      <c r="I35" s="43" t="inlineStr">
        <is>
          <t>Expired</t>
        </is>
      </c>
      <c r="J35" s="32" t="n">
        <v>45789</v>
      </c>
      <c r="K35" s="32" t="n">
        <v>45713</v>
      </c>
      <c r="L35" s="43" t="inlineStr">
        <is>
          <t>685</t>
        </is>
      </c>
      <c r="M35" s="43" t="n">
        <v>1</v>
      </c>
      <c r="N35" s="33" t="inlineStr"/>
      <c r="O35" s="43" t="inlineStr">
        <is>
          <t>UNVERIFIED</t>
        </is>
      </c>
      <c r="P35" s="43" t="inlineStr">
        <is>
          <t>Pending Review</t>
        </is>
      </c>
      <c r="Q35" s="33" t="inlineStr">
        <is>
          <t>Confirmar SKU/PCBA revision, PN exacto en Common DB, WO, BU, vigencia, planta y aprobacion firmada.</t>
        </is>
      </c>
    </row>
    <row r="36">
      <c r="A36" s="43" t="inlineStr">
        <is>
          <t>CTANJZ04453</t>
        </is>
      </c>
      <c r="B36" s="43" t="inlineStr">
        <is>
          <t>D601097</t>
        </is>
      </c>
      <c r="C36" s="43" t="inlineStr">
        <is>
          <t>037-STBU</t>
        </is>
      </c>
      <c r="D36" s="43" t="inlineStr">
        <is>
          <t>FJZP</t>
        </is>
      </c>
      <c r="E36" s="43" t="inlineStr">
        <is>
          <t>MCGA</t>
        </is>
      </c>
      <c r="F36" s="43" t="inlineStr">
        <is>
          <t>36-0227-01</t>
        </is>
      </c>
      <c r="G36" s="43" t="inlineStr">
        <is>
          <t>OTHER_SCOPE_ITEM</t>
        </is>
      </c>
      <c r="H36" s="43" t="inlineStr"/>
      <c r="I36" s="43" t="inlineStr">
        <is>
          <t>Expired</t>
        </is>
      </c>
      <c r="J36" s="32" t="n">
        <v>45790</v>
      </c>
      <c r="K36" s="32" t="n">
        <v>45709</v>
      </c>
      <c r="L36" s="43" t="inlineStr">
        <is>
          <t>1411</t>
        </is>
      </c>
      <c r="M36" s="43" t="n">
        <v>1</v>
      </c>
      <c r="N36" s="33" t="inlineStr"/>
      <c r="O36" s="43" t="inlineStr">
        <is>
          <t>UNVERIFIED</t>
        </is>
      </c>
      <c r="P36" s="43" t="inlineStr">
        <is>
          <t>Pending Review</t>
        </is>
      </c>
      <c r="Q36" s="33" t="inlineStr">
        <is>
          <t>Confirmar SKU/PCBA revision, PN exacto en Common DB, WO, BU, vigencia, planta y aprobacion firmada.</t>
        </is>
      </c>
    </row>
    <row r="37">
      <c r="A37" s="43" t="inlineStr">
        <is>
          <t>CTANJZ04453</t>
        </is>
      </c>
      <c r="B37" s="43" t="inlineStr">
        <is>
          <t>D601097</t>
        </is>
      </c>
      <c r="C37" s="43" t="inlineStr">
        <is>
          <t>037-STBU</t>
        </is>
      </c>
      <c r="D37" s="43" t="inlineStr">
        <is>
          <t>FJZP</t>
        </is>
      </c>
      <c r="E37" s="43" t="inlineStr">
        <is>
          <t>MCGA</t>
        </is>
      </c>
      <c r="F37" s="43" t="inlineStr">
        <is>
          <t>68-6803-03</t>
        </is>
      </c>
      <c r="G37" s="43" t="inlineStr">
        <is>
          <t>OTHER_SCOPE_ITEM</t>
        </is>
      </c>
      <c r="H37" s="43" t="inlineStr"/>
      <c r="I37" s="43" t="inlineStr">
        <is>
          <t>Expired</t>
        </is>
      </c>
      <c r="J37" s="32" t="n">
        <v>45790</v>
      </c>
      <c r="K37" s="32" t="n">
        <v>45709</v>
      </c>
      <c r="L37" s="43" t="inlineStr">
        <is>
          <t>1412</t>
        </is>
      </c>
      <c r="M37" s="43" t="n">
        <v>1</v>
      </c>
      <c r="N37" s="33" t="inlineStr"/>
      <c r="O37" s="43" t="inlineStr">
        <is>
          <t>UNVERIFIED</t>
        </is>
      </c>
      <c r="P37" s="43" t="inlineStr">
        <is>
          <t>Pending Review</t>
        </is>
      </c>
      <c r="Q37" s="33" t="inlineStr">
        <is>
          <t>Confirmar SKU/PCBA revision, PN exacto en Common DB, WO, BU, vigencia, planta y aprobacion firmada.</t>
        </is>
      </c>
    </row>
    <row r="38">
      <c r="A38" s="43" t="inlineStr">
        <is>
          <t>CTANJZ04453</t>
        </is>
      </c>
      <c r="B38" s="43" t="inlineStr">
        <is>
          <t>D601097</t>
        </is>
      </c>
      <c r="C38" s="43" t="inlineStr">
        <is>
          <t>037-STBU</t>
        </is>
      </c>
      <c r="D38" s="43" t="inlineStr">
        <is>
          <t>FJZP</t>
        </is>
      </c>
      <c r="E38" s="43" t="inlineStr">
        <is>
          <t>MCGA</t>
        </is>
      </c>
      <c r="F38" s="43" t="inlineStr">
        <is>
          <t>73-17499-07</t>
        </is>
      </c>
      <c r="G38" s="43" t="inlineStr">
        <is>
          <t>BOARD_PN_CANDIDATE</t>
        </is>
      </c>
      <c r="H38" s="43" t="inlineStr"/>
      <c r="I38" s="43" t="inlineStr">
        <is>
          <t>Expired</t>
        </is>
      </c>
      <c r="J38" s="32" t="n">
        <v>45790</v>
      </c>
      <c r="K38" s="32" t="n">
        <v>45709</v>
      </c>
      <c r="L38" s="43" t="inlineStr">
        <is>
          <t>1413</t>
        </is>
      </c>
      <c r="M38" s="43" t="n">
        <v>1</v>
      </c>
      <c r="N38" s="33" t="inlineStr"/>
      <c r="O38" s="43" t="inlineStr">
        <is>
          <t>UNVERIFIED</t>
        </is>
      </c>
      <c r="P38" s="43" t="inlineStr">
        <is>
          <t>Pending Review</t>
        </is>
      </c>
      <c r="Q38" s="33" t="inlineStr">
        <is>
          <t>Confirmar SKU/PCBA revision, PN exacto en Common DB, WO, BU, vigencia, planta y aprobacion firmada.</t>
        </is>
      </c>
    </row>
    <row r="39">
      <c r="A39" s="43" t="inlineStr">
        <is>
          <t>CTANJZ04465</t>
        </is>
      </c>
      <c r="B39" s="43" t="inlineStr">
        <is>
          <t>D602184</t>
        </is>
      </c>
      <c r="C39" s="43" t="inlineStr">
        <is>
          <t>018-SRGBU</t>
        </is>
      </c>
      <c r="D39" s="43" t="inlineStr">
        <is>
          <t>FJZP</t>
        </is>
      </c>
      <c r="E39" s="43" t="inlineStr">
        <is>
          <t>MCGA</t>
        </is>
      </c>
      <c r="F39" s="43" t="inlineStr">
        <is>
          <t>74-122338-03</t>
        </is>
      </c>
      <c r="G39" s="43" t="inlineStr">
        <is>
          <t>OTHER_SCOPE_ITEM</t>
        </is>
      </c>
      <c r="H39" s="43" t="inlineStr"/>
      <c r="I39" s="43" t="inlineStr">
        <is>
          <t>Expired</t>
        </is>
      </c>
      <c r="J39" s="32" t="n">
        <v>45796</v>
      </c>
      <c r="K39" s="32" t="n">
        <v>45713</v>
      </c>
      <c r="L39" s="43" t="inlineStr">
        <is>
          <t>1734</t>
        </is>
      </c>
      <c r="M39" s="43" t="n">
        <v>1</v>
      </c>
      <c r="N39" s="33" t="inlineStr"/>
      <c r="O39" s="43" t="inlineStr">
        <is>
          <t>UNVERIFIED</t>
        </is>
      </c>
      <c r="P39" s="43" t="inlineStr">
        <is>
          <t>Pending Review</t>
        </is>
      </c>
      <c r="Q39" s="33" t="inlineStr">
        <is>
          <t>Confirmar SKU/PCBA revision, PN exacto en Common DB, WO, BU, vigencia, planta y aprobacion firmada.</t>
        </is>
      </c>
    </row>
    <row r="40">
      <c r="A40" s="43" t="inlineStr">
        <is>
          <t>CTANJZ04465</t>
        </is>
      </c>
      <c r="B40" s="43" t="inlineStr">
        <is>
          <t>D602184</t>
        </is>
      </c>
      <c r="C40" s="43" t="inlineStr">
        <is>
          <t>018-SRGBU</t>
        </is>
      </c>
      <c r="D40" s="43" t="inlineStr">
        <is>
          <t>FJZP</t>
        </is>
      </c>
      <c r="E40" s="43" t="inlineStr">
        <is>
          <t>MCGA</t>
        </is>
      </c>
      <c r="F40" s="43" t="inlineStr">
        <is>
          <t>74-122543-04</t>
        </is>
      </c>
      <c r="G40" s="43" t="inlineStr">
        <is>
          <t>OTHER_SCOPE_ITEM</t>
        </is>
      </c>
      <c r="H40" s="43" t="inlineStr"/>
      <c r="I40" s="43" t="inlineStr">
        <is>
          <t>Expired</t>
        </is>
      </c>
      <c r="J40" s="32" t="n">
        <v>45796</v>
      </c>
      <c r="K40" s="32" t="n">
        <v>45713</v>
      </c>
      <c r="L40" s="43" t="inlineStr">
        <is>
          <t>1735</t>
        </is>
      </c>
      <c r="M40" s="43" t="n">
        <v>1</v>
      </c>
      <c r="N40" s="33" t="inlineStr"/>
      <c r="O40" s="43" t="inlineStr">
        <is>
          <t>UNVERIFIED</t>
        </is>
      </c>
      <c r="P40" s="43" t="inlineStr">
        <is>
          <t>Pending Review</t>
        </is>
      </c>
      <c r="Q40" s="33" t="inlineStr">
        <is>
          <t>Confirmar SKU/PCBA revision, PN exacto en Common DB, WO, BU, vigencia, planta y aprobacion firmada.</t>
        </is>
      </c>
    </row>
    <row r="41">
      <c r="A41" s="43" t="inlineStr">
        <is>
          <t>CTANJZ04465</t>
        </is>
      </c>
      <c r="B41" s="43" t="inlineStr">
        <is>
          <t>D602184</t>
        </is>
      </c>
      <c r="C41" s="43" t="inlineStr">
        <is>
          <t>018-SRGBU</t>
        </is>
      </c>
      <c r="D41" s="43" t="inlineStr">
        <is>
          <t>FJZP</t>
        </is>
      </c>
      <c r="E41" s="43" t="inlineStr">
        <is>
          <t>MCGA</t>
        </is>
      </c>
      <c r="F41" s="43" t="inlineStr">
        <is>
          <t>74-125686-03</t>
        </is>
      </c>
      <c r="G41" s="43" t="inlineStr">
        <is>
          <t>OTHER_SCOPE_ITEM</t>
        </is>
      </c>
      <c r="H41" s="43" t="inlineStr"/>
      <c r="I41" s="43" t="inlineStr">
        <is>
          <t>Expired</t>
        </is>
      </c>
      <c r="J41" s="32" t="n">
        <v>45796</v>
      </c>
      <c r="K41" s="32" t="n">
        <v>45713</v>
      </c>
      <c r="L41" s="43" t="inlineStr">
        <is>
          <t>1736</t>
        </is>
      </c>
      <c r="M41" s="43" t="n">
        <v>1</v>
      </c>
      <c r="N41" s="33" t="inlineStr"/>
      <c r="O41" s="43" t="inlineStr">
        <is>
          <t>UNVERIFIED</t>
        </is>
      </c>
      <c r="P41" s="43" t="inlineStr">
        <is>
          <t>Pending Review</t>
        </is>
      </c>
      <c r="Q41" s="33" t="inlineStr">
        <is>
          <t>Confirmar SKU/PCBA revision, PN exacto en Common DB, WO, BU, vigencia, planta y aprobacion firmada.</t>
        </is>
      </c>
    </row>
    <row r="42">
      <c r="A42" s="43" t="inlineStr">
        <is>
          <t>CTANJZ04466</t>
        </is>
      </c>
      <c r="B42" s="43" t="inlineStr">
        <is>
          <t>D602196</t>
        </is>
      </c>
      <c r="C42" s="43" t="inlineStr">
        <is>
          <t>037-STBU</t>
        </is>
      </c>
      <c r="D42" s="43" t="inlineStr">
        <is>
          <t>FJZP</t>
        </is>
      </c>
      <c r="E42" s="43" t="inlineStr">
        <is>
          <t>MCGA</t>
        </is>
      </c>
      <c r="F42" s="43" t="inlineStr">
        <is>
          <t>51-1874-01</t>
        </is>
      </c>
      <c r="G42" s="43" t="inlineStr">
        <is>
          <t>OTHER_SCOPE_ITEM</t>
        </is>
      </c>
      <c r="H42" s="43" t="inlineStr"/>
      <c r="I42" s="43" t="inlineStr">
        <is>
          <t>Expired</t>
        </is>
      </c>
      <c r="J42" s="32" t="n">
        <v>45796</v>
      </c>
      <c r="K42" s="32" t="n">
        <v>45716</v>
      </c>
      <c r="L42" s="43" t="inlineStr">
        <is>
          <t>1595</t>
        </is>
      </c>
      <c r="M42" s="43" t="n">
        <v>1</v>
      </c>
      <c r="N42" s="33" t="inlineStr"/>
      <c r="O42" s="43" t="inlineStr">
        <is>
          <t>UNVERIFIED</t>
        </is>
      </c>
      <c r="P42" s="43" t="inlineStr">
        <is>
          <t>Pending Review</t>
        </is>
      </c>
      <c r="Q42" s="33" t="inlineStr">
        <is>
          <t>Confirmar SKU/PCBA revision, PN exacto en Common DB, WO, BU, vigencia, planta y aprobacion firmada.</t>
        </is>
      </c>
    </row>
    <row r="43">
      <c r="A43" s="43" t="inlineStr">
        <is>
          <t>CTANJZ04466</t>
        </is>
      </c>
      <c r="B43" s="43" t="inlineStr">
        <is>
          <t>D602196</t>
        </is>
      </c>
      <c r="C43" s="43" t="inlineStr">
        <is>
          <t>037-STBU</t>
        </is>
      </c>
      <c r="D43" s="43" t="inlineStr">
        <is>
          <t>FJZP</t>
        </is>
      </c>
      <c r="E43" s="43" t="inlineStr">
        <is>
          <t>MCGA</t>
        </is>
      </c>
      <c r="F43" s="43" t="inlineStr">
        <is>
          <t>73-17497-04</t>
        </is>
      </c>
      <c r="G43" s="43" t="inlineStr">
        <is>
          <t>BOARD_PN_CANDIDATE</t>
        </is>
      </c>
      <c r="H43" s="43" t="inlineStr"/>
      <c r="I43" s="43" t="inlineStr">
        <is>
          <t>Expired</t>
        </is>
      </c>
      <c r="J43" s="32" t="n">
        <v>45796</v>
      </c>
      <c r="K43" s="32" t="n">
        <v>45716</v>
      </c>
      <c r="L43" s="43" t="inlineStr">
        <is>
          <t>1596</t>
        </is>
      </c>
      <c r="M43" s="43" t="n">
        <v>1</v>
      </c>
      <c r="N43" s="33" t="inlineStr"/>
      <c r="O43" s="43" t="inlineStr">
        <is>
          <t>UNVERIFIED</t>
        </is>
      </c>
      <c r="P43" s="43" t="inlineStr">
        <is>
          <t>Pending Review</t>
        </is>
      </c>
      <c r="Q43" s="33" t="inlineStr">
        <is>
          <t>Confirmar SKU/PCBA revision, PN exacto en Common DB, WO, BU, vigencia, planta y aprobacion firmada.</t>
        </is>
      </c>
    </row>
    <row r="44">
      <c r="A44" s="43" t="inlineStr">
        <is>
          <t>CTANJZ04466</t>
        </is>
      </c>
      <c r="B44" s="43" t="inlineStr">
        <is>
          <t>D602196</t>
        </is>
      </c>
      <c r="C44" s="43" t="inlineStr">
        <is>
          <t>037-STBU</t>
        </is>
      </c>
      <c r="D44" s="43" t="inlineStr">
        <is>
          <t>FJZP</t>
        </is>
      </c>
      <c r="E44" s="43" t="inlineStr">
        <is>
          <t>MCGA</t>
        </is>
      </c>
      <c r="F44" s="43" t="inlineStr">
        <is>
          <t>73-17499-07</t>
        </is>
      </c>
      <c r="G44" s="43" t="inlineStr">
        <is>
          <t>BOARD_PN_CANDIDATE</t>
        </is>
      </c>
      <c r="H44" s="43" t="inlineStr"/>
      <c r="I44" s="43" t="inlineStr">
        <is>
          <t>Expired</t>
        </is>
      </c>
      <c r="J44" s="32" t="n">
        <v>45796</v>
      </c>
      <c r="K44" s="32" t="n">
        <v>45716</v>
      </c>
      <c r="L44" s="43" t="inlineStr">
        <is>
          <t>1597</t>
        </is>
      </c>
      <c r="M44" s="43" t="n">
        <v>1</v>
      </c>
      <c r="N44" s="33" t="inlineStr"/>
      <c r="O44" s="43" t="inlineStr">
        <is>
          <t>UNVERIFIED</t>
        </is>
      </c>
      <c r="P44" s="43" t="inlineStr">
        <is>
          <t>Pending Review</t>
        </is>
      </c>
      <c r="Q44" s="33" t="inlineStr">
        <is>
          <t>Confirmar SKU/PCBA revision, PN exacto en Common DB, WO, BU, vigencia, planta y aprobacion firmada.</t>
        </is>
      </c>
    </row>
    <row r="45">
      <c r="A45" s="43" t="inlineStr">
        <is>
          <t>CTANJZ04466</t>
        </is>
      </c>
      <c r="B45" s="43" t="inlineStr">
        <is>
          <t>D602196</t>
        </is>
      </c>
      <c r="C45" s="43" t="inlineStr">
        <is>
          <t>037-STBU</t>
        </is>
      </c>
      <c r="D45" s="43" t="inlineStr">
        <is>
          <t>FJZP</t>
        </is>
      </c>
      <c r="E45" s="43" t="inlineStr">
        <is>
          <t>MCGA</t>
        </is>
      </c>
      <c r="F45" s="43" t="inlineStr">
        <is>
          <t>73-20247-06</t>
        </is>
      </c>
      <c r="G45" s="43" t="inlineStr">
        <is>
          <t>BOARD_PN_CANDIDATE</t>
        </is>
      </c>
      <c r="H45" s="43" t="inlineStr">
        <is>
          <t>TUFNELL PARK</t>
        </is>
      </c>
      <c r="I45" s="43" t="inlineStr">
        <is>
          <t>Expired</t>
        </is>
      </c>
      <c r="J45" s="32" t="n">
        <v>45796</v>
      </c>
      <c r="K45" s="32" t="n">
        <v>45716</v>
      </c>
      <c r="L45" s="43" t="inlineStr">
        <is>
          <t>1598</t>
        </is>
      </c>
      <c r="M45" s="43" t="n">
        <v>1</v>
      </c>
      <c r="N45" s="33" t="inlineStr"/>
      <c r="O45" s="43" t="inlineStr">
        <is>
          <t>UNVERIFIED</t>
        </is>
      </c>
      <c r="P45" s="43" t="inlineStr">
        <is>
          <t>Pending Review</t>
        </is>
      </c>
      <c r="Q45" s="33" t="inlineStr">
        <is>
          <t>Confirmar SKU/PCBA revision, PN exacto en Common DB, WO, BU, vigencia, planta y aprobacion firmada.</t>
        </is>
      </c>
    </row>
    <row r="46">
      <c r="A46" s="43" t="inlineStr">
        <is>
          <t>CTANJZ04466</t>
        </is>
      </c>
      <c r="B46" s="43" t="inlineStr">
        <is>
          <t>D602196</t>
        </is>
      </c>
      <c r="C46" s="43" t="inlineStr">
        <is>
          <t>037-STBU</t>
        </is>
      </c>
      <c r="D46" s="43" t="inlineStr">
        <is>
          <t>FJZP</t>
        </is>
      </c>
      <c r="E46" s="43" t="inlineStr">
        <is>
          <t>MCGA</t>
        </is>
      </c>
      <c r="F46" s="43" t="inlineStr">
        <is>
          <t>73-20249-06</t>
        </is>
      </c>
      <c r="G46" s="43" t="inlineStr">
        <is>
          <t>BOARD_PN_CANDIDATE</t>
        </is>
      </c>
      <c r="H46" s="43" t="inlineStr">
        <is>
          <t>TUFNELL PARK</t>
        </is>
      </c>
      <c r="I46" s="43" t="inlineStr">
        <is>
          <t>Expired</t>
        </is>
      </c>
      <c r="J46" s="32" t="n">
        <v>45796</v>
      </c>
      <c r="K46" s="32" t="n">
        <v>45716</v>
      </c>
      <c r="L46" s="43" t="inlineStr">
        <is>
          <t>1599</t>
        </is>
      </c>
      <c r="M46" s="43" t="n">
        <v>1</v>
      </c>
      <c r="N46" s="33" t="inlineStr"/>
      <c r="O46" s="43" t="inlineStr">
        <is>
          <t>UNVERIFIED</t>
        </is>
      </c>
      <c r="P46" s="43" t="inlineStr">
        <is>
          <t>Pending Review</t>
        </is>
      </c>
      <c r="Q46" s="33" t="inlineStr">
        <is>
          <t>Confirmar SKU/PCBA revision, PN exacto en Common DB, WO, BU, vigencia, planta y aprobacion firmada.</t>
        </is>
      </c>
    </row>
    <row r="47">
      <c r="A47" s="43" t="inlineStr">
        <is>
          <t>CTANJZ04473</t>
        </is>
      </c>
      <c r="B47" s="43" t="inlineStr">
        <is>
          <t>D602345</t>
        </is>
      </c>
      <c r="C47" s="43" t="inlineStr">
        <is>
          <t>037-STBU</t>
        </is>
      </c>
      <c r="D47" s="43" t="inlineStr">
        <is>
          <t>FJZP</t>
        </is>
      </c>
      <c r="E47" s="43" t="inlineStr">
        <is>
          <t>MCGA</t>
        </is>
      </c>
      <c r="F47" s="43" t="inlineStr">
        <is>
          <t>17-103202-03</t>
        </is>
      </c>
      <c r="G47" s="43" t="inlineStr">
        <is>
          <t>OTHER_SCOPE_ITEM</t>
        </is>
      </c>
      <c r="H47" s="43" t="inlineStr"/>
      <c r="I47" s="43" t="inlineStr">
        <is>
          <t>Expired</t>
        </is>
      </c>
      <c r="J47" s="32" t="n">
        <v>45799</v>
      </c>
      <c r="K47" s="32" t="n">
        <v>45720</v>
      </c>
      <c r="L47" s="43" t="inlineStr">
        <is>
          <t>1737</t>
        </is>
      </c>
      <c r="M47" s="43" t="n">
        <v>1</v>
      </c>
      <c r="N47" s="33" t="inlineStr"/>
      <c r="O47" s="43" t="inlineStr">
        <is>
          <t>UNVERIFIED</t>
        </is>
      </c>
      <c r="P47" s="43" t="inlineStr">
        <is>
          <t>Pending Review</t>
        </is>
      </c>
      <c r="Q47" s="33" t="inlineStr">
        <is>
          <t>Confirmar SKU/PCBA revision, PN exacto en Common DB, WO, BU, vigencia, planta y aprobacion firmada.</t>
        </is>
      </c>
    </row>
    <row r="48">
      <c r="A48" s="43" t="inlineStr">
        <is>
          <t>CTANJZ04473</t>
        </is>
      </c>
      <c r="B48" s="43" t="inlineStr">
        <is>
          <t>D602345</t>
        </is>
      </c>
      <c r="C48" s="43" t="inlineStr">
        <is>
          <t>037-STBU</t>
        </is>
      </c>
      <c r="D48" s="43" t="inlineStr">
        <is>
          <t>FJZP</t>
        </is>
      </c>
      <c r="E48" s="43" t="inlineStr">
        <is>
          <t>MCGA</t>
        </is>
      </c>
      <c r="F48" s="43" t="inlineStr">
        <is>
          <t>74-134450-04</t>
        </is>
      </c>
      <c r="G48" s="43" t="inlineStr">
        <is>
          <t>OTHER_SCOPE_ITEM</t>
        </is>
      </c>
      <c r="H48" s="43" t="inlineStr"/>
      <c r="I48" s="43" t="inlineStr">
        <is>
          <t>Expired</t>
        </is>
      </c>
      <c r="J48" s="32" t="n">
        <v>45799</v>
      </c>
      <c r="K48" s="32" t="n">
        <v>45720</v>
      </c>
      <c r="L48" s="43" t="inlineStr">
        <is>
          <t>1738</t>
        </is>
      </c>
      <c r="M48" s="43" t="n">
        <v>1</v>
      </c>
      <c r="N48" s="33" t="inlineStr"/>
      <c r="O48" s="43" t="inlineStr">
        <is>
          <t>UNVERIFIED</t>
        </is>
      </c>
      <c r="P48" s="43" t="inlineStr">
        <is>
          <t>Pending Review</t>
        </is>
      </c>
      <c r="Q48" s="33" t="inlineStr">
        <is>
          <t>Confirmar SKU/PCBA revision, PN exacto en Common DB, WO, BU, vigencia, planta y aprobacion firmada.</t>
        </is>
      </c>
    </row>
    <row r="49">
      <c r="A49" s="43" t="inlineStr">
        <is>
          <t>CTANJZ04473</t>
        </is>
      </c>
      <c r="B49" s="43" t="inlineStr">
        <is>
          <t>D602345</t>
        </is>
      </c>
      <c r="C49" s="43" t="inlineStr">
        <is>
          <t>037-STBU</t>
        </is>
      </c>
      <c r="D49" s="43" t="inlineStr">
        <is>
          <t>FJZP</t>
        </is>
      </c>
      <c r="E49" s="43" t="inlineStr">
        <is>
          <t>MCGA</t>
        </is>
      </c>
      <c r="F49" s="43" t="inlineStr">
        <is>
          <t>74-134451-04</t>
        </is>
      </c>
      <c r="G49" s="43" t="inlineStr">
        <is>
          <t>OTHER_SCOPE_ITEM</t>
        </is>
      </c>
      <c r="H49" s="43" t="inlineStr"/>
      <c r="I49" s="43" t="inlineStr">
        <is>
          <t>Expired</t>
        </is>
      </c>
      <c r="J49" s="32" t="n">
        <v>45799</v>
      </c>
      <c r="K49" s="32" t="n">
        <v>45720</v>
      </c>
      <c r="L49" s="43" t="inlineStr">
        <is>
          <t>1739</t>
        </is>
      </c>
      <c r="M49" s="43" t="n">
        <v>1</v>
      </c>
      <c r="N49" s="33" t="inlineStr"/>
      <c r="O49" s="43" t="inlineStr">
        <is>
          <t>UNVERIFIED</t>
        </is>
      </c>
      <c r="P49" s="43" t="inlineStr">
        <is>
          <t>Pending Review</t>
        </is>
      </c>
      <c r="Q49" s="33" t="inlineStr">
        <is>
          <t>Confirmar SKU/PCBA revision, PN exacto en Common DB, WO, BU, vigencia, planta y aprobacion firmada.</t>
        </is>
      </c>
    </row>
    <row r="50">
      <c r="A50" s="43" t="inlineStr">
        <is>
          <t>CTANJZ04473</t>
        </is>
      </c>
      <c r="B50" s="43" t="inlineStr">
        <is>
          <t>D602345</t>
        </is>
      </c>
      <c r="C50" s="43" t="inlineStr">
        <is>
          <t>037-STBU</t>
        </is>
      </c>
      <c r="D50" s="43" t="inlineStr">
        <is>
          <t>FJZP</t>
        </is>
      </c>
      <c r="E50" s="43" t="inlineStr">
        <is>
          <t>MCGA</t>
        </is>
      </c>
      <c r="F50" s="43" t="inlineStr">
        <is>
          <t>74-134452-04</t>
        </is>
      </c>
      <c r="G50" s="43" t="inlineStr">
        <is>
          <t>OTHER_SCOPE_ITEM</t>
        </is>
      </c>
      <c r="H50" s="43" t="inlineStr"/>
      <c r="I50" s="43" t="inlineStr">
        <is>
          <t>Expired</t>
        </is>
      </c>
      <c r="J50" s="32" t="n">
        <v>45799</v>
      </c>
      <c r="K50" s="32" t="n">
        <v>45720</v>
      </c>
      <c r="L50" s="43" t="inlineStr">
        <is>
          <t>1740</t>
        </is>
      </c>
      <c r="M50" s="43" t="n">
        <v>1</v>
      </c>
      <c r="N50" s="33" t="inlineStr"/>
      <c r="O50" s="43" t="inlineStr">
        <is>
          <t>UNVERIFIED</t>
        </is>
      </c>
      <c r="P50" s="43" t="inlineStr">
        <is>
          <t>Pending Review</t>
        </is>
      </c>
      <c r="Q50" s="33" t="inlineStr">
        <is>
          <t>Confirmar SKU/PCBA revision, PN exacto en Common DB, WO, BU, vigencia, planta y aprobacion firmada.</t>
        </is>
      </c>
    </row>
    <row r="51">
      <c r="A51" s="43" t="inlineStr">
        <is>
          <t>CTANJZ04473</t>
        </is>
      </c>
      <c r="B51" s="43" t="inlineStr">
        <is>
          <t>D602345</t>
        </is>
      </c>
      <c r="C51" s="43" t="inlineStr">
        <is>
          <t>037-STBU</t>
        </is>
      </c>
      <c r="D51" s="43" t="inlineStr">
        <is>
          <t>FJZP</t>
        </is>
      </c>
      <c r="E51" s="43" t="inlineStr">
        <is>
          <t>MCGA</t>
        </is>
      </c>
      <c r="F51" s="43" t="inlineStr">
        <is>
          <t>74-134453-04</t>
        </is>
      </c>
      <c r="G51" s="43" t="inlineStr">
        <is>
          <t>OTHER_SCOPE_ITEM</t>
        </is>
      </c>
      <c r="H51" s="43" t="inlineStr"/>
      <c r="I51" s="43" t="inlineStr">
        <is>
          <t>Expired</t>
        </is>
      </c>
      <c r="J51" s="32" t="n">
        <v>45799</v>
      </c>
      <c r="K51" s="32" t="n">
        <v>45720</v>
      </c>
      <c r="L51" s="43" t="inlineStr">
        <is>
          <t>1741</t>
        </is>
      </c>
      <c r="M51" s="43" t="n">
        <v>1</v>
      </c>
      <c r="N51" s="33" t="inlineStr"/>
      <c r="O51" s="43" t="inlineStr">
        <is>
          <t>UNVERIFIED</t>
        </is>
      </c>
      <c r="P51" s="43" t="inlineStr">
        <is>
          <t>Pending Review</t>
        </is>
      </c>
      <c r="Q51" s="33" t="inlineStr">
        <is>
          <t>Confirmar SKU/PCBA revision, PN exacto en Common DB, WO, BU, vigencia, planta y aprobacion firmada.</t>
        </is>
      </c>
    </row>
    <row r="52">
      <c r="A52" s="43" t="inlineStr">
        <is>
          <t>CTANJZ04475</t>
        </is>
      </c>
      <c r="B52" s="43" t="inlineStr">
        <is>
          <t>D602181</t>
        </is>
      </c>
      <c r="C52" s="43" t="inlineStr">
        <is>
          <t>018-SRGBU</t>
        </is>
      </c>
      <c r="D52" s="43" t="inlineStr">
        <is>
          <t>FJZP</t>
        </is>
      </c>
      <c r="E52" s="43" t="inlineStr">
        <is>
          <t>MCGA</t>
        </is>
      </c>
      <c r="F52" s="43" t="inlineStr">
        <is>
          <t>15-10118-02</t>
        </is>
      </c>
      <c r="G52" s="43" t="inlineStr">
        <is>
          <t>OTHER_SCOPE_ITEM</t>
        </is>
      </c>
      <c r="H52" s="43" t="inlineStr"/>
      <c r="I52" s="43" t="inlineStr">
        <is>
          <t>Expired</t>
        </is>
      </c>
      <c r="J52" s="32" t="n">
        <v>45799</v>
      </c>
      <c r="K52" s="32" t="n">
        <v>45720</v>
      </c>
      <c r="L52" s="43" t="inlineStr">
        <is>
          <t>338</t>
        </is>
      </c>
      <c r="M52" s="43" t="n">
        <v>1</v>
      </c>
      <c r="N52" s="33" t="inlineStr"/>
      <c r="O52" s="43" t="inlineStr">
        <is>
          <t>UNVERIFIED</t>
        </is>
      </c>
      <c r="P52" s="43" t="inlineStr">
        <is>
          <t>Pending Review</t>
        </is>
      </c>
      <c r="Q52" s="33" t="inlineStr">
        <is>
          <t>Confirmar SKU/PCBA revision, PN exacto en Common DB, WO, BU, vigencia, planta y aprobacion firmada.</t>
        </is>
      </c>
    </row>
    <row r="53">
      <c r="A53" s="43" t="inlineStr">
        <is>
          <t>CTANJZ04475</t>
        </is>
      </c>
      <c r="B53" s="43" t="inlineStr">
        <is>
          <t>D602181</t>
        </is>
      </c>
      <c r="C53" s="43" t="inlineStr">
        <is>
          <t>018-SRGBU</t>
        </is>
      </c>
      <c r="D53" s="43" t="inlineStr">
        <is>
          <t>FJZP</t>
        </is>
      </c>
      <c r="E53" s="43" t="inlineStr">
        <is>
          <t>MCGA</t>
        </is>
      </c>
      <c r="F53" s="43" t="inlineStr">
        <is>
          <t>73-14503-08</t>
        </is>
      </c>
      <c r="G53" s="43" t="inlineStr">
        <is>
          <t>BOARD_PN_CANDIDATE</t>
        </is>
      </c>
      <c r="H53" s="43" t="inlineStr"/>
      <c r="I53" s="43" t="inlineStr">
        <is>
          <t>Expired</t>
        </is>
      </c>
      <c r="J53" s="32" t="n">
        <v>45799</v>
      </c>
      <c r="K53" s="32" t="n">
        <v>45720</v>
      </c>
      <c r="L53" s="43" t="inlineStr">
        <is>
          <t>339</t>
        </is>
      </c>
      <c r="M53" s="43" t="n">
        <v>1</v>
      </c>
      <c r="N53" s="33" t="inlineStr"/>
      <c r="O53" s="43" t="inlineStr">
        <is>
          <t>UNVERIFIED</t>
        </is>
      </c>
      <c r="P53" s="43" t="inlineStr">
        <is>
          <t>Pending Review</t>
        </is>
      </c>
      <c r="Q53" s="33" t="inlineStr">
        <is>
          <t>Confirmar SKU/PCBA revision, PN exacto en Common DB, WO, BU, vigencia, planta y aprobacion firmada.</t>
        </is>
      </c>
    </row>
    <row r="54">
      <c r="A54" s="43" t="inlineStr">
        <is>
          <t>CTANJZ04475</t>
        </is>
      </c>
      <c r="B54" s="43" t="inlineStr">
        <is>
          <t>D602181</t>
        </is>
      </c>
      <c r="C54" s="43" t="inlineStr">
        <is>
          <t>018-SRGBU</t>
        </is>
      </c>
      <c r="D54" s="43" t="inlineStr">
        <is>
          <t>FJZP</t>
        </is>
      </c>
      <c r="E54" s="43" t="inlineStr">
        <is>
          <t>MCGA</t>
        </is>
      </c>
      <c r="F54" s="43" t="inlineStr">
        <is>
          <t>73-14504-09</t>
        </is>
      </c>
      <c r="G54" s="43" t="inlineStr">
        <is>
          <t>BOARD_PN_CANDIDATE</t>
        </is>
      </c>
      <c r="H54" s="43" t="inlineStr"/>
      <c r="I54" s="43" t="inlineStr">
        <is>
          <t>Expired</t>
        </is>
      </c>
      <c r="J54" s="32" t="n">
        <v>45799</v>
      </c>
      <c r="K54" s="32" t="n">
        <v>45720</v>
      </c>
      <c r="L54" s="43" t="inlineStr">
        <is>
          <t>340</t>
        </is>
      </c>
      <c r="M54" s="43" t="n">
        <v>1</v>
      </c>
      <c r="N54" s="33" t="inlineStr"/>
      <c r="O54" s="43" t="inlineStr">
        <is>
          <t>UNVERIFIED</t>
        </is>
      </c>
      <c r="P54" s="43" t="inlineStr">
        <is>
          <t>Pending Review</t>
        </is>
      </c>
      <c r="Q54" s="33" t="inlineStr">
        <is>
          <t>Confirmar SKU/PCBA revision, PN exacto en Common DB, WO, BU, vigencia, planta y aprobacion firmada.</t>
        </is>
      </c>
    </row>
    <row r="55">
      <c r="A55" s="43" t="inlineStr">
        <is>
          <t>CTANJZ04475</t>
        </is>
      </c>
      <c r="B55" s="43" t="inlineStr">
        <is>
          <t>D602181</t>
        </is>
      </c>
      <c r="C55" s="43" t="inlineStr">
        <is>
          <t>018-SRGBU</t>
        </is>
      </c>
      <c r="D55" s="43" t="inlineStr">
        <is>
          <t>FJZP</t>
        </is>
      </c>
      <c r="E55" s="43" t="inlineStr">
        <is>
          <t>MCGA</t>
        </is>
      </c>
      <c r="F55" s="43" t="inlineStr">
        <is>
          <t>73-14505-09</t>
        </is>
      </c>
      <c r="G55" s="43" t="inlineStr">
        <is>
          <t>BOARD_PN_CANDIDATE</t>
        </is>
      </c>
      <c r="H55" s="43" t="inlineStr"/>
      <c r="I55" s="43" t="inlineStr">
        <is>
          <t>Expired</t>
        </is>
      </c>
      <c r="J55" s="32" t="n">
        <v>45799</v>
      </c>
      <c r="K55" s="32" t="n">
        <v>45720</v>
      </c>
      <c r="L55" s="43" t="inlineStr">
        <is>
          <t>341</t>
        </is>
      </c>
      <c r="M55" s="43" t="n">
        <v>1</v>
      </c>
      <c r="N55" s="33" t="inlineStr"/>
      <c r="O55" s="43" t="inlineStr">
        <is>
          <t>UNVERIFIED</t>
        </is>
      </c>
      <c r="P55" s="43" t="inlineStr">
        <is>
          <t>Pending Review</t>
        </is>
      </c>
      <c r="Q55" s="33" t="inlineStr">
        <is>
          <t>Confirmar SKU/PCBA revision, PN exacto en Common DB, WO, BU, vigencia, planta y aprobacion firmada.</t>
        </is>
      </c>
    </row>
    <row r="56">
      <c r="A56" s="43" t="inlineStr">
        <is>
          <t>CTANJZ04475</t>
        </is>
      </c>
      <c r="B56" s="43" t="inlineStr">
        <is>
          <t>D602181</t>
        </is>
      </c>
      <c r="C56" s="43" t="inlineStr">
        <is>
          <t>018-SRGBU</t>
        </is>
      </c>
      <c r="D56" s="43" t="inlineStr">
        <is>
          <t>FJZP</t>
        </is>
      </c>
      <c r="E56" s="43" t="inlineStr">
        <is>
          <t>MCGA</t>
        </is>
      </c>
      <c r="F56" s="43" t="inlineStr">
        <is>
          <t>73-14506-08</t>
        </is>
      </c>
      <c r="G56" s="43" t="inlineStr">
        <is>
          <t>BOARD_PN_CANDIDATE</t>
        </is>
      </c>
      <c r="H56" s="43" t="inlineStr"/>
      <c r="I56" s="43" t="inlineStr">
        <is>
          <t>Expired</t>
        </is>
      </c>
      <c r="J56" s="32" t="n">
        <v>45799</v>
      </c>
      <c r="K56" s="32" t="n">
        <v>45720</v>
      </c>
      <c r="L56" s="43" t="inlineStr">
        <is>
          <t>342</t>
        </is>
      </c>
      <c r="M56" s="43" t="n">
        <v>1</v>
      </c>
      <c r="N56" s="33" t="inlineStr"/>
      <c r="O56" s="43" t="inlineStr">
        <is>
          <t>UNVERIFIED</t>
        </is>
      </c>
      <c r="P56" s="43" t="inlineStr">
        <is>
          <t>Pending Review</t>
        </is>
      </c>
      <c r="Q56" s="33" t="inlineStr">
        <is>
          <t>Confirmar SKU/PCBA revision, PN exacto en Common DB, WO, BU, vigencia, planta y aprobacion firmada.</t>
        </is>
      </c>
    </row>
    <row r="57">
      <c r="A57" s="43" t="inlineStr">
        <is>
          <t>CTANJZ04475</t>
        </is>
      </c>
      <c r="B57" s="43" t="inlineStr">
        <is>
          <t>D602181</t>
        </is>
      </c>
      <c r="C57" s="43" t="inlineStr">
        <is>
          <t>018-SRGBU</t>
        </is>
      </c>
      <c r="D57" s="43" t="inlineStr">
        <is>
          <t>FJZP</t>
        </is>
      </c>
      <c r="E57" s="43" t="inlineStr">
        <is>
          <t>MCGA</t>
        </is>
      </c>
      <c r="F57" s="43" t="inlineStr">
        <is>
          <t>73-15195-05</t>
        </is>
      </c>
      <c r="G57" s="43" t="inlineStr">
        <is>
          <t>BOARD_PN_CANDIDATE</t>
        </is>
      </c>
      <c r="H57" s="43" t="inlineStr"/>
      <c r="I57" s="43" t="inlineStr">
        <is>
          <t>Expired</t>
        </is>
      </c>
      <c r="J57" s="32" t="n">
        <v>45799</v>
      </c>
      <c r="K57" s="32" t="n">
        <v>45720</v>
      </c>
      <c r="L57" s="43" t="inlineStr">
        <is>
          <t>343</t>
        </is>
      </c>
      <c r="M57" s="43" t="n">
        <v>1</v>
      </c>
      <c r="N57" s="33" t="inlineStr"/>
      <c r="O57" s="43" t="inlineStr">
        <is>
          <t>UNVERIFIED</t>
        </is>
      </c>
      <c r="P57" s="43" t="inlineStr">
        <is>
          <t>Pending Review</t>
        </is>
      </c>
      <c r="Q57" s="33" t="inlineStr">
        <is>
          <t>Confirmar SKU/PCBA revision, PN exacto en Common DB, WO, BU, vigencia, planta y aprobacion firmada.</t>
        </is>
      </c>
    </row>
    <row r="58">
      <c r="A58" s="43" t="inlineStr">
        <is>
          <t>CTANJZ04475</t>
        </is>
      </c>
      <c r="B58" s="43" t="inlineStr">
        <is>
          <t>D602181</t>
        </is>
      </c>
      <c r="C58" s="43" t="inlineStr">
        <is>
          <t>018-SRGBU</t>
        </is>
      </c>
      <c r="D58" s="43" t="inlineStr">
        <is>
          <t>FJZP</t>
        </is>
      </c>
      <c r="E58" s="43" t="inlineStr">
        <is>
          <t>MCGA</t>
        </is>
      </c>
      <c r="F58" s="43" t="inlineStr">
        <is>
          <t>73-15196-05</t>
        </is>
      </c>
      <c r="G58" s="43" t="inlineStr">
        <is>
          <t>BOARD_PN_CANDIDATE</t>
        </is>
      </c>
      <c r="H58" s="43" t="inlineStr"/>
      <c r="I58" s="43" t="inlineStr">
        <is>
          <t>Expired</t>
        </is>
      </c>
      <c r="J58" s="32" t="n">
        <v>45799</v>
      </c>
      <c r="K58" s="32" t="n">
        <v>45720</v>
      </c>
      <c r="L58" s="43" t="inlineStr">
        <is>
          <t>344</t>
        </is>
      </c>
      <c r="M58" s="43" t="n">
        <v>1</v>
      </c>
      <c r="N58" s="33" t="inlineStr"/>
      <c r="O58" s="43" t="inlineStr">
        <is>
          <t>UNVERIFIED</t>
        </is>
      </c>
      <c r="P58" s="43" t="inlineStr">
        <is>
          <t>Pending Review</t>
        </is>
      </c>
      <c r="Q58" s="33" t="inlineStr">
        <is>
          <t>Confirmar SKU/PCBA revision, PN exacto en Common DB, WO, BU, vigencia, planta y aprobacion firmada.</t>
        </is>
      </c>
    </row>
    <row r="59">
      <c r="A59" s="43" t="inlineStr">
        <is>
          <t>CTANJZ04475</t>
        </is>
      </c>
      <c r="B59" s="43" t="inlineStr">
        <is>
          <t>D602181</t>
        </is>
      </c>
      <c r="C59" s="43" t="inlineStr">
        <is>
          <t>018-SRGBU</t>
        </is>
      </c>
      <c r="D59" s="43" t="inlineStr">
        <is>
          <t>FJZP</t>
        </is>
      </c>
      <c r="E59" s="43" t="inlineStr">
        <is>
          <t>MCGA</t>
        </is>
      </c>
      <c r="F59" s="43" t="inlineStr">
        <is>
          <t>73-15197-05</t>
        </is>
      </c>
      <c r="G59" s="43" t="inlineStr">
        <is>
          <t>BOARD_PN_CANDIDATE</t>
        </is>
      </c>
      <c r="H59" s="43" t="inlineStr"/>
      <c r="I59" s="43" t="inlineStr">
        <is>
          <t>Expired</t>
        </is>
      </c>
      <c r="J59" s="32" t="n">
        <v>45799</v>
      </c>
      <c r="K59" s="32" t="n">
        <v>45720</v>
      </c>
      <c r="L59" s="43" t="inlineStr">
        <is>
          <t>345</t>
        </is>
      </c>
      <c r="M59" s="43" t="n">
        <v>1</v>
      </c>
      <c r="N59" s="33" t="inlineStr"/>
      <c r="O59" s="43" t="inlineStr">
        <is>
          <t>UNVERIFIED</t>
        </is>
      </c>
      <c r="P59" s="43" t="inlineStr">
        <is>
          <t>Pending Review</t>
        </is>
      </c>
      <c r="Q59" s="33" t="inlineStr">
        <is>
          <t>Confirmar SKU/PCBA revision, PN exacto en Common DB, WO, BU, vigencia, planta y aprobacion firmada.</t>
        </is>
      </c>
    </row>
    <row r="60">
      <c r="A60" s="43" t="inlineStr">
        <is>
          <t>CTANJZ04475</t>
        </is>
      </c>
      <c r="B60" s="43" t="inlineStr">
        <is>
          <t>D602181</t>
        </is>
      </c>
      <c r="C60" s="43" t="inlineStr">
        <is>
          <t>018-SRGBU</t>
        </is>
      </c>
      <c r="D60" s="43" t="inlineStr">
        <is>
          <t>FJZP</t>
        </is>
      </c>
      <c r="E60" s="43" t="inlineStr">
        <is>
          <t>MCGA</t>
        </is>
      </c>
      <c r="F60" s="43" t="inlineStr">
        <is>
          <t>73-16084-04</t>
        </is>
      </c>
      <c r="G60" s="43" t="inlineStr">
        <is>
          <t>BOARD_PN_CANDIDATE</t>
        </is>
      </c>
      <c r="H60" s="43" t="inlineStr"/>
      <c r="I60" s="43" t="inlineStr">
        <is>
          <t>Expired</t>
        </is>
      </c>
      <c r="J60" s="32" t="n">
        <v>45799</v>
      </c>
      <c r="K60" s="32" t="n">
        <v>45720</v>
      </c>
      <c r="L60" s="43" t="inlineStr">
        <is>
          <t>346</t>
        </is>
      </c>
      <c r="M60" s="43" t="n">
        <v>1</v>
      </c>
      <c r="N60" s="33" t="inlineStr"/>
      <c r="O60" s="43" t="inlineStr">
        <is>
          <t>UNVERIFIED</t>
        </is>
      </c>
      <c r="P60" s="43" t="inlineStr">
        <is>
          <t>Pending Review</t>
        </is>
      </c>
      <c r="Q60" s="33" t="inlineStr">
        <is>
          <t>Confirmar SKU/PCBA revision, PN exacto en Common DB, WO, BU, vigencia, planta y aprobacion firmada.</t>
        </is>
      </c>
    </row>
    <row r="61">
      <c r="A61" s="43" t="inlineStr">
        <is>
          <t>CTANJZ04475</t>
        </is>
      </c>
      <c r="B61" s="43" t="inlineStr">
        <is>
          <t>D602181</t>
        </is>
      </c>
      <c r="C61" s="43" t="inlineStr">
        <is>
          <t>018-SRGBU</t>
        </is>
      </c>
      <c r="D61" s="43" t="inlineStr">
        <is>
          <t>FJZP</t>
        </is>
      </c>
      <c r="E61" s="43" t="inlineStr">
        <is>
          <t>MCGA</t>
        </is>
      </c>
      <c r="F61" s="43" t="inlineStr">
        <is>
          <t>73-16524-03</t>
        </is>
      </c>
      <c r="G61" s="43" t="inlineStr">
        <is>
          <t>BOARD_PN_CANDIDATE</t>
        </is>
      </c>
      <c r="H61" s="43" t="inlineStr"/>
      <c r="I61" s="43" t="inlineStr">
        <is>
          <t>Expired</t>
        </is>
      </c>
      <c r="J61" s="32" t="n">
        <v>45799</v>
      </c>
      <c r="K61" s="32" t="n">
        <v>45720</v>
      </c>
      <c r="L61" s="43" t="inlineStr">
        <is>
          <t>347</t>
        </is>
      </c>
      <c r="M61" s="43" t="n">
        <v>1</v>
      </c>
      <c r="N61" s="33" t="inlineStr"/>
      <c r="O61" s="43" t="inlineStr">
        <is>
          <t>UNVERIFIED</t>
        </is>
      </c>
      <c r="P61" s="43" t="inlineStr">
        <is>
          <t>Pending Review</t>
        </is>
      </c>
      <c r="Q61" s="33" t="inlineStr">
        <is>
          <t>Confirmar SKU/PCBA revision, PN exacto en Common DB, WO, BU, vigencia, planta y aprobacion firmada.</t>
        </is>
      </c>
    </row>
    <row r="62">
      <c r="A62" s="43" t="inlineStr">
        <is>
          <t>CTANJZ04475</t>
        </is>
      </c>
      <c r="B62" s="43" t="inlineStr">
        <is>
          <t>D602181</t>
        </is>
      </c>
      <c r="C62" s="43" t="inlineStr">
        <is>
          <t>018-SRGBU</t>
        </is>
      </c>
      <c r="D62" s="43" t="inlineStr">
        <is>
          <t>FJZP</t>
        </is>
      </c>
      <c r="E62" s="43" t="inlineStr">
        <is>
          <t>MCGA</t>
        </is>
      </c>
      <c r="F62" s="43" t="inlineStr">
        <is>
          <t>73-19107-04</t>
        </is>
      </c>
      <c r="G62" s="43" t="inlineStr">
        <is>
          <t>BOARD_PN_CANDIDATE</t>
        </is>
      </c>
      <c r="H62" s="43" t="inlineStr"/>
      <c r="I62" s="43" t="inlineStr">
        <is>
          <t>Expired</t>
        </is>
      </c>
      <c r="J62" s="32" t="n">
        <v>45799</v>
      </c>
      <c r="K62" s="32" t="n">
        <v>45720</v>
      </c>
      <c r="L62" s="43" t="inlineStr">
        <is>
          <t>359</t>
        </is>
      </c>
      <c r="M62" s="43" t="n">
        <v>1</v>
      </c>
      <c r="N62" s="33" t="inlineStr"/>
      <c r="O62" s="43" t="inlineStr">
        <is>
          <t>UNVERIFIED</t>
        </is>
      </c>
      <c r="P62" s="43" t="inlineStr">
        <is>
          <t>Pending Review</t>
        </is>
      </c>
      <c r="Q62" s="33" t="inlineStr">
        <is>
          <t>Confirmar SKU/PCBA revision, PN exacto en Common DB, WO, BU, vigencia, planta y aprobacion firmada.</t>
        </is>
      </c>
    </row>
    <row r="63">
      <c r="A63" s="43" t="inlineStr">
        <is>
          <t>CTANJZ04475</t>
        </is>
      </c>
      <c r="B63" s="43" t="inlineStr">
        <is>
          <t>D602181</t>
        </is>
      </c>
      <c r="C63" s="43" t="inlineStr">
        <is>
          <t>018-SRGBU</t>
        </is>
      </c>
      <c r="D63" s="43" t="inlineStr">
        <is>
          <t>FJZP</t>
        </is>
      </c>
      <c r="E63" s="43" t="inlineStr">
        <is>
          <t>MCGA</t>
        </is>
      </c>
      <c r="F63" s="43" t="inlineStr">
        <is>
          <t>74-112300-02</t>
        </is>
      </c>
      <c r="G63" s="43" t="inlineStr">
        <is>
          <t>OTHER_SCOPE_ITEM</t>
        </is>
      </c>
      <c r="H63" s="43" t="inlineStr"/>
      <c r="I63" s="43" t="inlineStr">
        <is>
          <t>Expired</t>
        </is>
      </c>
      <c r="J63" s="32" t="n">
        <v>45799</v>
      </c>
      <c r="K63" s="32" t="n">
        <v>45720</v>
      </c>
      <c r="L63" s="43" t="inlineStr">
        <is>
          <t>360</t>
        </is>
      </c>
      <c r="M63" s="43" t="n">
        <v>1</v>
      </c>
      <c r="N63" s="33" t="inlineStr"/>
      <c r="O63" s="43" t="inlineStr">
        <is>
          <t>UNVERIFIED</t>
        </is>
      </c>
      <c r="P63" s="43" t="inlineStr">
        <is>
          <t>Pending Review</t>
        </is>
      </c>
      <c r="Q63" s="33" t="inlineStr">
        <is>
          <t>Confirmar SKU/PCBA revision, PN exacto en Common DB, WO, BU, vigencia, planta y aprobacion firmada.</t>
        </is>
      </c>
    </row>
    <row r="64">
      <c r="A64" s="43" t="inlineStr">
        <is>
          <t>CTANJZ04475</t>
        </is>
      </c>
      <c r="B64" s="43" t="inlineStr">
        <is>
          <t>D602181</t>
        </is>
      </c>
      <c r="C64" s="43" t="inlineStr">
        <is>
          <t>018-SRGBU</t>
        </is>
      </c>
      <c r="D64" s="43" t="inlineStr">
        <is>
          <t>FJZP</t>
        </is>
      </c>
      <c r="E64" s="43" t="inlineStr">
        <is>
          <t>MCGA</t>
        </is>
      </c>
      <c r="F64" s="43" t="inlineStr">
        <is>
          <t>74-112308-02</t>
        </is>
      </c>
      <c r="G64" s="43" t="inlineStr">
        <is>
          <t>OTHER_SCOPE_ITEM</t>
        </is>
      </c>
      <c r="H64" s="43" t="inlineStr"/>
      <c r="I64" s="43" t="inlineStr">
        <is>
          <t>Expired</t>
        </is>
      </c>
      <c r="J64" s="32" t="n">
        <v>45799</v>
      </c>
      <c r="K64" s="32" t="n">
        <v>45720</v>
      </c>
      <c r="L64" s="43" t="inlineStr">
        <is>
          <t>361</t>
        </is>
      </c>
      <c r="M64" s="43" t="n">
        <v>1</v>
      </c>
      <c r="N64" s="33" t="inlineStr"/>
      <c r="O64" s="43" t="inlineStr">
        <is>
          <t>UNVERIFIED</t>
        </is>
      </c>
      <c r="P64" s="43" t="inlineStr">
        <is>
          <t>Pending Review</t>
        </is>
      </c>
      <c r="Q64" s="33" t="inlineStr">
        <is>
          <t>Confirmar SKU/PCBA revision, PN exacto en Common DB, WO, BU, vigencia, planta y aprobacion firmada.</t>
        </is>
      </c>
    </row>
    <row r="65">
      <c r="A65" s="43" t="inlineStr">
        <is>
          <t>CTANJZ04475</t>
        </is>
      </c>
      <c r="B65" s="43" t="inlineStr">
        <is>
          <t>D602181</t>
        </is>
      </c>
      <c r="C65" s="43" t="inlineStr">
        <is>
          <t>018-SRGBU</t>
        </is>
      </c>
      <c r="D65" s="43" t="inlineStr">
        <is>
          <t>FJZP</t>
        </is>
      </c>
      <c r="E65" s="43" t="inlineStr">
        <is>
          <t>MCGA</t>
        </is>
      </c>
      <c r="F65" s="43" t="inlineStr">
        <is>
          <t>74-115081-02</t>
        </is>
      </c>
      <c r="G65" s="43" t="inlineStr">
        <is>
          <t>OTHER_SCOPE_ITEM</t>
        </is>
      </c>
      <c r="H65" s="43" t="inlineStr"/>
      <c r="I65" s="43" t="inlineStr">
        <is>
          <t>Expired</t>
        </is>
      </c>
      <c r="J65" s="32" t="n">
        <v>45799</v>
      </c>
      <c r="K65" s="32" t="n">
        <v>45720</v>
      </c>
      <c r="L65" s="43" t="inlineStr">
        <is>
          <t>362</t>
        </is>
      </c>
      <c r="M65" s="43" t="n">
        <v>1</v>
      </c>
      <c r="N65" s="33" t="inlineStr"/>
      <c r="O65" s="43" t="inlineStr">
        <is>
          <t>UNVERIFIED</t>
        </is>
      </c>
      <c r="P65" s="43" t="inlineStr">
        <is>
          <t>Pending Review</t>
        </is>
      </c>
      <c r="Q65" s="33" t="inlineStr">
        <is>
          <t>Confirmar SKU/PCBA revision, PN exacto en Common DB, WO, BU, vigencia, planta y aprobacion firmada.</t>
        </is>
      </c>
    </row>
    <row r="66">
      <c r="A66" s="43" t="inlineStr">
        <is>
          <t>CTANJZ04475</t>
        </is>
      </c>
      <c r="B66" s="43" t="inlineStr">
        <is>
          <t>D602181</t>
        </is>
      </c>
      <c r="C66" s="43" t="inlineStr">
        <is>
          <t>018-SRGBU</t>
        </is>
      </c>
      <c r="D66" s="43" t="inlineStr">
        <is>
          <t>FJZP</t>
        </is>
      </c>
      <c r="E66" s="43" t="inlineStr">
        <is>
          <t>MCGA</t>
        </is>
      </c>
      <c r="F66" s="43" t="inlineStr">
        <is>
          <t>74-115425-02</t>
        </is>
      </c>
      <c r="G66" s="43" t="inlineStr">
        <is>
          <t>OTHER_SCOPE_ITEM</t>
        </is>
      </c>
      <c r="H66" s="43" t="inlineStr"/>
      <c r="I66" s="43" t="inlineStr">
        <is>
          <t>Expired</t>
        </is>
      </c>
      <c r="J66" s="32" t="n">
        <v>45799</v>
      </c>
      <c r="K66" s="32" t="n">
        <v>45720</v>
      </c>
      <c r="L66" s="43" t="inlineStr">
        <is>
          <t>363</t>
        </is>
      </c>
      <c r="M66" s="43" t="n">
        <v>1</v>
      </c>
      <c r="N66" s="33" t="inlineStr"/>
      <c r="O66" s="43" t="inlineStr">
        <is>
          <t>UNVERIFIED</t>
        </is>
      </c>
      <c r="P66" s="43" t="inlineStr">
        <is>
          <t>Pending Review</t>
        </is>
      </c>
      <c r="Q66" s="33" t="inlineStr">
        <is>
          <t>Confirmar SKU/PCBA revision, PN exacto en Common DB, WO, BU, vigencia, planta y aprobacion firmada.</t>
        </is>
      </c>
    </row>
    <row r="67">
      <c r="A67" s="43" t="inlineStr">
        <is>
          <t>CTANJZ04475</t>
        </is>
      </c>
      <c r="B67" s="43" t="inlineStr">
        <is>
          <t>D602181</t>
        </is>
      </c>
      <c r="C67" s="43" t="inlineStr">
        <is>
          <t>018-SRGBU</t>
        </is>
      </c>
      <c r="D67" s="43" t="inlineStr">
        <is>
          <t>FJZP</t>
        </is>
      </c>
      <c r="E67" s="43" t="inlineStr">
        <is>
          <t>MCGA</t>
        </is>
      </c>
      <c r="F67" s="43" t="inlineStr">
        <is>
          <t>74-115426-02</t>
        </is>
      </c>
      <c r="G67" s="43" t="inlineStr">
        <is>
          <t>OTHER_SCOPE_ITEM</t>
        </is>
      </c>
      <c r="H67" s="43" t="inlineStr"/>
      <c r="I67" s="43" t="inlineStr">
        <is>
          <t>Expired</t>
        </is>
      </c>
      <c r="J67" s="32" t="n">
        <v>45799</v>
      </c>
      <c r="K67" s="32" t="n">
        <v>45720</v>
      </c>
      <c r="L67" s="43" t="inlineStr">
        <is>
          <t>364</t>
        </is>
      </c>
      <c r="M67" s="43" t="n">
        <v>1</v>
      </c>
      <c r="N67" s="33" t="inlineStr"/>
      <c r="O67" s="43" t="inlineStr">
        <is>
          <t>UNVERIFIED</t>
        </is>
      </c>
      <c r="P67" s="43" t="inlineStr">
        <is>
          <t>Pending Review</t>
        </is>
      </c>
      <c r="Q67" s="33" t="inlineStr">
        <is>
          <t>Confirmar SKU/PCBA revision, PN exacto en Common DB, WO, BU, vigencia, planta y aprobacion firmada.</t>
        </is>
      </c>
    </row>
    <row r="68">
      <c r="A68" s="43" t="inlineStr">
        <is>
          <t>CTANJZ04475</t>
        </is>
      </c>
      <c r="B68" s="43" t="inlineStr">
        <is>
          <t>D602181</t>
        </is>
      </c>
      <c r="C68" s="43" t="inlineStr">
        <is>
          <t>018-SRGBU</t>
        </is>
      </c>
      <c r="D68" s="43" t="inlineStr">
        <is>
          <t>FJZP</t>
        </is>
      </c>
      <c r="E68" s="43" t="inlineStr">
        <is>
          <t>MCGA</t>
        </is>
      </c>
      <c r="F68" s="43" t="inlineStr">
        <is>
          <t>74-115427-02</t>
        </is>
      </c>
      <c r="G68" s="43" t="inlineStr">
        <is>
          <t>OTHER_SCOPE_ITEM</t>
        </is>
      </c>
      <c r="H68" s="43" t="inlineStr"/>
      <c r="I68" s="43" t="inlineStr">
        <is>
          <t>Expired</t>
        </is>
      </c>
      <c r="J68" s="32" t="n">
        <v>45799</v>
      </c>
      <c r="K68" s="32" t="n">
        <v>45720</v>
      </c>
      <c r="L68" s="43" t="inlineStr">
        <is>
          <t>365</t>
        </is>
      </c>
      <c r="M68" s="43" t="n">
        <v>1</v>
      </c>
      <c r="N68" s="33" t="inlineStr"/>
      <c r="O68" s="43" t="inlineStr">
        <is>
          <t>UNVERIFIED</t>
        </is>
      </c>
      <c r="P68" s="43" t="inlineStr">
        <is>
          <t>Pending Review</t>
        </is>
      </c>
      <c r="Q68" s="33" t="inlineStr">
        <is>
          <t>Confirmar SKU/PCBA revision, PN exacto en Common DB, WO, BU, vigencia, planta y aprobacion firmada.</t>
        </is>
      </c>
    </row>
    <row r="69">
      <c r="A69" s="43" t="inlineStr">
        <is>
          <t>CTANJZ04478</t>
        </is>
      </c>
      <c r="B69" s="43" t="inlineStr">
        <is>
          <t>DP524571</t>
        </is>
      </c>
      <c r="C69" s="43" t="inlineStr">
        <is>
          <t>034-IOTBU</t>
        </is>
      </c>
      <c r="D69" s="43" t="inlineStr">
        <is>
          <t>FJZP</t>
        </is>
      </c>
      <c r="E69" s="43" t="inlineStr">
        <is>
          <t>MCGA</t>
        </is>
      </c>
      <c r="F69" s="43" t="inlineStr">
        <is>
          <t>68-104003-01</t>
        </is>
      </c>
      <c r="G69" s="43" t="inlineStr">
        <is>
          <t>OTHER_SCOPE_ITEM</t>
        </is>
      </c>
      <c r="H69" s="43" t="inlineStr"/>
      <c r="I69" s="43" t="inlineStr">
        <is>
          <t>Expired</t>
        </is>
      </c>
      <c r="J69" s="32" t="n">
        <v>45775</v>
      </c>
      <c r="K69" s="32" t="n">
        <v>45723</v>
      </c>
      <c r="L69" s="43" t="inlineStr">
        <is>
          <t>377</t>
        </is>
      </c>
      <c r="M69" s="43" t="n">
        <v>1</v>
      </c>
      <c r="N69" s="33" t="inlineStr"/>
      <c r="O69" s="43" t="inlineStr">
        <is>
          <t>UNVERIFIED</t>
        </is>
      </c>
      <c r="P69" s="43" t="inlineStr">
        <is>
          <t>Pending Review</t>
        </is>
      </c>
      <c r="Q69" s="33" t="inlineStr">
        <is>
          <t>Confirmar SKU/PCBA revision, PN exacto en Common DB, WO, BU, vigencia, planta y aprobacion firmada.</t>
        </is>
      </c>
    </row>
    <row r="70">
      <c r="A70" s="43" t="inlineStr">
        <is>
          <t>CTANJZ04478</t>
        </is>
      </c>
      <c r="B70" s="43" t="inlineStr">
        <is>
          <t>DP524571</t>
        </is>
      </c>
      <c r="C70" s="43" t="inlineStr">
        <is>
          <t>034-IOTBU</t>
        </is>
      </c>
      <c r="D70" s="43" t="inlineStr">
        <is>
          <t>FJZP</t>
        </is>
      </c>
      <c r="E70" s="43" t="inlineStr">
        <is>
          <t>MCGA</t>
        </is>
      </c>
      <c r="F70" s="43" t="inlineStr">
        <is>
          <t>68-104601-01</t>
        </is>
      </c>
      <c r="G70" s="43" t="inlineStr">
        <is>
          <t>OTHER_SCOPE_ITEM</t>
        </is>
      </c>
      <c r="H70" s="43" t="inlineStr"/>
      <c r="I70" s="43" t="inlineStr">
        <is>
          <t>Expired</t>
        </is>
      </c>
      <c r="J70" s="32" t="n">
        <v>45775</v>
      </c>
      <c r="K70" s="32" t="n">
        <v>45723</v>
      </c>
      <c r="L70" s="43" t="inlineStr">
        <is>
          <t>378</t>
        </is>
      </c>
      <c r="M70" s="43" t="n">
        <v>1</v>
      </c>
      <c r="N70" s="33" t="inlineStr"/>
      <c r="O70" s="43" t="inlineStr">
        <is>
          <t>UNVERIFIED</t>
        </is>
      </c>
      <c r="P70" s="43" t="inlineStr">
        <is>
          <t>Pending Review</t>
        </is>
      </c>
      <c r="Q70" s="33" t="inlineStr">
        <is>
          <t>Confirmar SKU/PCBA revision, PN exacto en Common DB, WO, BU, vigencia, planta y aprobacion firmada.</t>
        </is>
      </c>
    </row>
    <row r="71">
      <c r="A71" s="43" t="inlineStr">
        <is>
          <t>CTANJZ04478</t>
        </is>
      </c>
      <c r="B71" s="43" t="inlineStr">
        <is>
          <t>DP524571</t>
        </is>
      </c>
      <c r="C71" s="43" t="inlineStr">
        <is>
          <t>034-IOTBU</t>
        </is>
      </c>
      <c r="D71" s="43" t="inlineStr">
        <is>
          <t>FJZP</t>
        </is>
      </c>
      <c r="E71" s="43" t="inlineStr">
        <is>
          <t>MCGA</t>
        </is>
      </c>
      <c r="F71" s="43" t="inlineStr">
        <is>
          <t>73-103150-03</t>
        </is>
      </c>
      <c r="G71" s="43" t="inlineStr">
        <is>
          <t>BOARD_PN_CANDIDATE</t>
        </is>
      </c>
      <c r="H71" s="43" t="inlineStr"/>
      <c r="I71" s="43" t="inlineStr">
        <is>
          <t>Expired</t>
        </is>
      </c>
      <c r="J71" s="32" t="n">
        <v>45775</v>
      </c>
      <c r="K71" s="32" t="n">
        <v>45723</v>
      </c>
      <c r="L71" s="43" t="inlineStr">
        <is>
          <t>379</t>
        </is>
      </c>
      <c r="M71" s="43" t="n">
        <v>1</v>
      </c>
      <c r="N71" s="33" t="inlineStr"/>
      <c r="O71" s="43" t="inlineStr">
        <is>
          <t>UNVERIFIED</t>
        </is>
      </c>
      <c r="P71" s="43" t="inlineStr">
        <is>
          <t>Pending Review</t>
        </is>
      </c>
      <c r="Q71" s="33" t="inlineStr">
        <is>
          <t>Confirmar SKU/PCBA revision, PN exacto en Common DB, WO, BU, vigencia, planta y aprobacion firmada.</t>
        </is>
      </c>
    </row>
    <row r="72">
      <c r="A72" s="43" t="inlineStr">
        <is>
          <t>CTANJZ04478</t>
        </is>
      </c>
      <c r="B72" s="43" t="inlineStr">
        <is>
          <t>DP524571</t>
        </is>
      </c>
      <c r="C72" s="43" t="inlineStr">
        <is>
          <t>034-IOTBU</t>
        </is>
      </c>
      <c r="D72" s="43" t="inlineStr">
        <is>
          <t>FJZP</t>
        </is>
      </c>
      <c r="E72" s="43" t="inlineStr">
        <is>
          <t>MCGA</t>
        </is>
      </c>
      <c r="F72" s="43" t="inlineStr">
        <is>
          <t>800-111160-01</t>
        </is>
      </c>
      <c r="G72" s="43" t="inlineStr">
        <is>
          <t>OTHER_SCOPE_ITEM</t>
        </is>
      </c>
      <c r="H72" s="43" t="inlineStr"/>
      <c r="I72" s="43" t="inlineStr">
        <is>
          <t>Expired</t>
        </is>
      </c>
      <c r="J72" s="32" t="n">
        <v>45775</v>
      </c>
      <c r="K72" s="32" t="n">
        <v>45723</v>
      </c>
      <c r="L72" s="43" t="inlineStr">
        <is>
          <t>380</t>
        </is>
      </c>
      <c r="M72" s="43" t="n">
        <v>1</v>
      </c>
      <c r="N72" s="33" t="inlineStr"/>
      <c r="O72" s="43" t="inlineStr">
        <is>
          <t>UNVERIFIED</t>
        </is>
      </c>
      <c r="P72" s="43" t="inlineStr">
        <is>
          <t>Pending Review</t>
        </is>
      </c>
      <c r="Q72" s="33" t="inlineStr">
        <is>
          <t>Confirmar SKU/PCBA revision, PN exacto en Common DB, WO, BU, vigencia, planta y aprobacion firmada.</t>
        </is>
      </c>
    </row>
    <row r="73">
      <c r="A73" s="43" t="inlineStr">
        <is>
          <t>CTANJZ04478</t>
        </is>
      </c>
      <c r="B73" s="43" t="inlineStr">
        <is>
          <t>DP524571</t>
        </is>
      </c>
      <c r="C73" s="43" t="inlineStr">
        <is>
          <t>034-IOTBU</t>
        </is>
      </c>
      <c r="D73" s="43" t="inlineStr">
        <is>
          <t>FJZP</t>
        </is>
      </c>
      <c r="E73" s="43" t="inlineStr">
        <is>
          <t>MCGA</t>
        </is>
      </c>
      <c r="F73" s="43" t="inlineStr">
        <is>
          <t>800-112601-01</t>
        </is>
      </c>
      <c r="G73" s="43" t="inlineStr">
        <is>
          <t>OTHER_SCOPE_ITEM</t>
        </is>
      </c>
      <c r="H73" s="43" t="inlineStr"/>
      <c r="I73" s="43" t="inlineStr">
        <is>
          <t>Expired</t>
        </is>
      </c>
      <c r="J73" s="32" t="n">
        <v>45775</v>
      </c>
      <c r="K73" s="32" t="n">
        <v>45723</v>
      </c>
      <c r="L73" s="43" t="inlineStr">
        <is>
          <t>381</t>
        </is>
      </c>
      <c r="M73" s="43" t="n">
        <v>1</v>
      </c>
      <c r="N73" s="33" t="inlineStr"/>
      <c r="O73" s="43" t="inlineStr">
        <is>
          <t>UNVERIFIED</t>
        </is>
      </c>
      <c r="P73" s="43" t="inlineStr">
        <is>
          <t>Pending Review</t>
        </is>
      </c>
      <c r="Q73" s="33" t="inlineStr">
        <is>
          <t>Confirmar SKU/PCBA revision, PN exacto en Common DB, WO, BU, vigencia, planta y aprobacion firmada.</t>
        </is>
      </c>
    </row>
    <row r="74">
      <c r="A74" s="43" t="inlineStr">
        <is>
          <t>CTANJZ04481</t>
        </is>
      </c>
      <c r="B74" s="43" t="inlineStr">
        <is>
          <t>D600361</t>
        </is>
      </c>
      <c r="C74" s="43" t="inlineStr">
        <is>
          <t>037-STBU</t>
        </is>
      </c>
      <c r="D74" s="43" t="inlineStr">
        <is>
          <t>FJZP</t>
        </is>
      </c>
      <c r="E74" s="43" t="inlineStr">
        <is>
          <t>MCGA</t>
        </is>
      </c>
      <c r="F74" s="43" t="inlineStr">
        <is>
          <t>15-104340-03</t>
        </is>
      </c>
      <c r="G74" s="43" t="inlineStr">
        <is>
          <t>OTHER_SCOPE_ITEM</t>
        </is>
      </c>
      <c r="H74" s="43" t="inlineStr"/>
      <c r="I74" s="43" t="inlineStr">
        <is>
          <t>Expired</t>
        </is>
      </c>
      <c r="J74" s="32" t="n">
        <v>45809</v>
      </c>
      <c r="K74" s="32" t="n">
        <v>45736</v>
      </c>
      <c r="L74" s="43" t="inlineStr">
        <is>
          <t>156</t>
        </is>
      </c>
      <c r="M74" s="43" t="n">
        <v>1</v>
      </c>
      <c r="N74" s="33" t="inlineStr"/>
      <c r="O74" s="43" t="inlineStr">
        <is>
          <t>UNVERIFIED</t>
        </is>
      </c>
      <c r="P74" s="43" t="inlineStr">
        <is>
          <t>Pending Review</t>
        </is>
      </c>
      <c r="Q74" s="33" t="inlineStr">
        <is>
          <t>Confirmar SKU/PCBA revision, PN exacto en Common DB, WO, BU, vigencia, planta y aprobacion firmada.</t>
        </is>
      </c>
    </row>
    <row r="75">
      <c r="A75" s="43" t="inlineStr">
        <is>
          <t>CTANJZ04481</t>
        </is>
      </c>
      <c r="B75" s="43" t="inlineStr">
        <is>
          <t>D600361</t>
        </is>
      </c>
      <c r="C75" s="43" t="inlineStr">
        <is>
          <t>037-STBU</t>
        </is>
      </c>
      <c r="D75" s="43" t="inlineStr">
        <is>
          <t>FJZP</t>
        </is>
      </c>
      <c r="E75" s="43" t="inlineStr">
        <is>
          <t>MCGA</t>
        </is>
      </c>
      <c r="F75" s="43" t="inlineStr">
        <is>
          <t>68-6803-03</t>
        </is>
      </c>
      <c r="G75" s="43" t="inlineStr">
        <is>
          <t>OTHER_SCOPE_ITEM</t>
        </is>
      </c>
      <c r="H75" s="43" t="inlineStr"/>
      <c r="I75" s="43" t="inlineStr">
        <is>
          <t>Expired</t>
        </is>
      </c>
      <c r="J75" s="32" t="n">
        <v>45809</v>
      </c>
      <c r="K75" s="32" t="n">
        <v>45736</v>
      </c>
      <c r="L75" s="43" t="inlineStr">
        <is>
          <t>157</t>
        </is>
      </c>
      <c r="M75" s="43" t="n">
        <v>1</v>
      </c>
      <c r="N75" s="33" t="inlineStr"/>
      <c r="O75" s="43" t="inlineStr">
        <is>
          <t>UNVERIFIED</t>
        </is>
      </c>
      <c r="P75" s="43" t="inlineStr">
        <is>
          <t>Pending Review</t>
        </is>
      </c>
      <c r="Q75" s="33" t="inlineStr">
        <is>
          <t>Confirmar SKU/PCBA revision, PN exacto en Common DB, WO, BU, vigencia, planta y aprobacion firmada.</t>
        </is>
      </c>
    </row>
    <row r="76">
      <c r="A76" s="43" t="inlineStr">
        <is>
          <t>CTANJZ04481</t>
        </is>
      </c>
      <c r="B76" s="43" t="inlineStr">
        <is>
          <t>D600361</t>
        </is>
      </c>
      <c r="C76" s="43" t="inlineStr">
        <is>
          <t>037-STBU</t>
        </is>
      </c>
      <c r="D76" s="43" t="inlineStr">
        <is>
          <t>FJZP</t>
        </is>
      </c>
      <c r="E76" s="43" t="inlineStr">
        <is>
          <t>MCGA</t>
        </is>
      </c>
      <c r="F76" s="43" t="inlineStr">
        <is>
          <t>73-19332-01</t>
        </is>
      </c>
      <c r="G76" s="43" t="inlineStr">
        <is>
          <t>BOARD_PN_CANDIDATE</t>
        </is>
      </c>
      <c r="H76" s="43" t="inlineStr"/>
      <c r="I76" s="43" t="inlineStr">
        <is>
          <t>Expired</t>
        </is>
      </c>
      <c r="J76" s="32" t="n">
        <v>45809</v>
      </c>
      <c r="K76" s="32" t="n">
        <v>45736</v>
      </c>
      <c r="L76" s="43" t="inlineStr">
        <is>
          <t>158</t>
        </is>
      </c>
      <c r="M76" s="43" t="n">
        <v>1</v>
      </c>
      <c r="N76" s="33" t="inlineStr"/>
      <c r="O76" s="43" t="inlineStr">
        <is>
          <t>UNVERIFIED</t>
        </is>
      </c>
      <c r="P76" s="43" t="inlineStr">
        <is>
          <t>Pending Review</t>
        </is>
      </c>
      <c r="Q76" s="33" t="inlineStr">
        <is>
          <t>Confirmar SKU/PCBA revision, PN exacto en Common DB, WO, BU, vigencia, planta y aprobacion firmada.</t>
        </is>
      </c>
    </row>
    <row r="77">
      <c r="A77" s="43" t="inlineStr">
        <is>
          <t>CTANJZ04487</t>
        </is>
      </c>
      <c r="B77" s="43" t="inlineStr">
        <is>
          <t>D602439</t>
        </is>
      </c>
      <c r="C77" s="43" t="inlineStr">
        <is>
          <t>018-SRGBU</t>
        </is>
      </c>
      <c r="D77" s="43" t="inlineStr">
        <is>
          <t>FJZP</t>
        </is>
      </c>
      <c r="E77" s="43" t="inlineStr">
        <is>
          <t>MCGA</t>
        </is>
      </c>
      <c r="F77" s="43" t="inlineStr">
        <is>
          <t>68-7799-03</t>
        </is>
      </c>
      <c r="G77" s="43" t="inlineStr">
        <is>
          <t>OTHER_SCOPE_ITEM</t>
        </is>
      </c>
      <c r="H77" s="43" t="inlineStr"/>
      <c r="I77" s="43" t="inlineStr">
        <is>
          <t>Expired</t>
        </is>
      </c>
      <c r="J77" s="32" t="n">
        <v>45810</v>
      </c>
      <c r="K77" s="32" t="n">
        <v>45732</v>
      </c>
      <c r="L77" s="43" t="inlineStr">
        <is>
          <t>803</t>
        </is>
      </c>
      <c r="M77" s="43" t="n">
        <v>1</v>
      </c>
      <c r="N77" s="33" t="inlineStr"/>
      <c r="O77" s="43" t="inlineStr">
        <is>
          <t>UNVERIFIED</t>
        </is>
      </c>
      <c r="P77" s="43" t="inlineStr">
        <is>
          <t>Pending Review</t>
        </is>
      </c>
      <c r="Q77" s="33" t="inlineStr">
        <is>
          <t>Confirmar SKU/PCBA revision, PN exacto en Common DB, WO, BU, vigencia, planta y aprobacion firmada.</t>
        </is>
      </c>
    </row>
    <row r="78">
      <c r="A78" s="43" t="inlineStr">
        <is>
          <t>CTANJZ04493</t>
        </is>
      </c>
      <c r="B78" s="43" t="inlineStr">
        <is>
          <t>D602616</t>
        </is>
      </c>
      <c r="C78" s="43" t="inlineStr">
        <is>
          <t>037-STBU</t>
        </is>
      </c>
      <c r="D78" s="43" t="inlineStr">
        <is>
          <t>FJZP</t>
        </is>
      </c>
      <c r="E78" s="43" t="inlineStr">
        <is>
          <t>MCGA</t>
        </is>
      </c>
      <c r="F78" s="43" t="inlineStr">
        <is>
          <t>74-134451-04</t>
        </is>
      </c>
      <c r="G78" s="43" t="inlineStr">
        <is>
          <t>OTHER_SCOPE_ITEM</t>
        </is>
      </c>
      <c r="H78" s="43" t="inlineStr"/>
      <c r="I78" s="43" t="inlineStr">
        <is>
          <t>Expired</t>
        </is>
      </c>
      <c r="J78" s="32" t="n">
        <v>45817</v>
      </c>
      <c r="K78" s="32" t="n">
        <v>45742</v>
      </c>
      <c r="L78" s="43" t="inlineStr">
        <is>
          <t>1742</t>
        </is>
      </c>
      <c r="M78" s="43" t="n">
        <v>1</v>
      </c>
      <c r="N78" s="33" t="inlineStr"/>
      <c r="O78" s="43" t="inlineStr">
        <is>
          <t>UNVERIFIED</t>
        </is>
      </c>
      <c r="P78" s="43" t="inlineStr">
        <is>
          <t>Pending Review</t>
        </is>
      </c>
      <c r="Q78" s="33" t="inlineStr">
        <is>
          <t>Confirmar SKU/PCBA revision, PN exacto en Common DB, WO, BU, vigencia, planta y aprobacion firmada.</t>
        </is>
      </c>
    </row>
    <row r="79">
      <c r="A79" s="43" t="inlineStr">
        <is>
          <t>CTANJZ04493</t>
        </is>
      </c>
      <c r="B79" s="43" t="inlineStr">
        <is>
          <t>D602616</t>
        </is>
      </c>
      <c r="C79" s="43" t="inlineStr">
        <is>
          <t>037-STBU</t>
        </is>
      </c>
      <c r="D79" s="43" t="inlineStr">
        <is>
          <t>FJZP</t>
        </is>
      </c>
      <c r="E79" s="43" t="inlineStr">
        <is>
          <t>MCGA</t>
        </is>
      </c>
      <c r="F79" s="43" t="inlineStr">
        <is>
          <t>74-134452-04</t>
        </is>
      </c>
      <c r="G79" s="43" t="inlineStr">
        <is>
          <t>OTHER_SCOPE_ITEM</t>
        </is>
      </c>
      <c r="H79" s="43" t="inlineStr"/>
      <c r="I79" s="43" t="inlineStr">
        <is>
          <t>Expired</t>
        </is>
      </c>
      <c r="J79" s="32" t="n">
        <v>45817</v>
      </c>
      <c r="K79" s="32" t="n">
        <v>45742</v>
      </c>
      <c r="L79" s="43" t="inlineStr">
        <is>
          <t>1800</t>
        </is>
      </c>
      <c r="M79" s="43" t="n">
        <v>1</v>
      </c>
      <c r="N79" s="33" t="inlineStr"/>
      <c r="O79" s="43" t="inlineStr">
        <is>
          <t>UNVERIFIED</t>
        </is>
      </c>
      <c r="P79" s="43" t="inlineStr">
        <is>
          <t>Pending Review</t>
        </is>
      </c>
      <c r="Q79" s="33" t="inlineStr">
        <is>
          <t>Confirmar SKU/PCBA revision, PN exacto en Common DB, WO, BU, vigencia, planta y aprobacion firmada.</t>
        </is>
      </c>
    </row>
    <row r="80">
      <c r="A80" s="43" t="inlineStr">
        <is>
          <t>CTANJZ04493</t>
        </is>
      </c>
      <c r="B80" s="43" t="inlineStr">
        <is>
          <t>D602616</t>
        </is>
      </c>
      <c r="C80" s="43" t="inlineStr">
        <is>
          <t>037-STBU</t>
        </is>
      </c>
      <c r="D80" s="43" t="inlineStr">
        <is>
          <t>FJZP</t>
        </is>
      </c>
      <c r="E80" s="43" t="inlineStr">
        <is>
          <t>MCGA</t>
        </is>
      </c>
      <c r="F80" s="43" t="inlineStr">
        <is>
          <t>74-134453-04</t>
        </is>
      </c>
      <c r="G80" s="43" t="inlineStr">
        <is>
          <t>OTHER_SCOPE_ITEM</t>
        </is>
      </c>
      <c r="H80" s="43" t="inlineStr"/>
      <c r="I80" s="43" t="inlineStr">
        <is>
          <t>Expired</t>
        </is>
      </c>
      <c r="J80" s="32" t="n">
        <v>45817</v>
      </c>
      <c r="K80" s="32" t="n">
        <v>45742</v>
      </c>
      <c r="L80" s="43" t="inlineStr">
        <is>
          <t>1801</t>
        </is>
      </c>
      <c r="M80" s="43" t="n">
        <v>1</v>
      </c>
      <c r="N80" s="33" t="inlineStr"/>
      <c r="O80" s="43" t="inlineStr">
        <is>
          <t>UNVERIFIED</t>
        </is>
      </c>
      <c r="P80" s="43" t="inlineStr">
        <is>
          <t>Pending Review</t>
        </is>
      </c>
      <c r="Q80" s="33" t="inlineStr">
        <is>
          <t>Confirmar SKU/PCBA revision, PN exacto en Common DB, WO, BU, vigencia, planta y aprobacion firmada.</t>
        </is>
      </c>
    </row>
    <row r="81">
      <c r="A81" s="43" t="inlineStr">
        <is>
          <t>CTANJZ04493</t>
        </is>
      </c>
      <c r="B81" s="43" t="inlineStr">
        <is>
          <t>D602616</t>
        </is>
      </c>
      <c r="C81" s="43" t="inlineStr">
        <is>
          <t>037-STBU</t>
        </is>
      </c>
      <c r="D81" s="43" t="inlineStr">
        <is>
          <t>FJZP</t>
        </is>
      </c>
      <c r="E81" s="43" t="inlineStr">
        <is>
          <t>MCGA</t>
        </is>
      </c>
      <c r="F81" s="43" t="inlineStr">
        <is>
          <t>74-139980-01</t>
        </is>
      </c>
      <c r="G81" s="43" t="inlineStr">
        <is>
          <t>OTHER_SCOPE_ITEM</t>
        </is>
      </c>
      <c r="H81" s="43" t="inlineStr"/>
      <c r="I81" s="43" t="inlineStr">
        <is>
          <t>Expired</t>
        </is>
      </c>
      <c r="J81" s="32" t="n">
        <v>45817</v>
      </c>
      <c r="K81" s="32" t="n">
        <v>45742</v>
      </c>
      <c r="L81" s="43" t="inlineStr">
        <is>
          <t>1802</t>
        </is>
      </c>
      <c r="M81" s="43" t="n">
        <v>1</v>
      </c>
      <c r="N81" s="33" t="inlineStr"/>
      <c r="O81" s="43" t="inlineStr">
        <is>
          <t>UNVERIFIED</t>
        </is>
      </c>
      <c r="P81" s="43" t="inlineStr">
        <is>
          <t>Pending Review</t>
        </is>
      </c>
      <c r="Q81" s="33" t="inlineStr">
        <is>
          <t>Confirmar SKU/PCBA revision, PN exacto en Common DB, WO, BU, vigencia, planta y aprobacion firmada.</t>
        </is>
      </c>
    </row>
    <row r="82">
      <c r="A82" s="43" t="inlineStr">
        <is>
          <t>CTANJZ04493</t>
        </is>
      </c>
      <c r="B82" s="43" t="inlineStr">
        <is>
          <t>D602616</t>
        </is>
      </c>
      <c r="C82" s="43" t="inlineStr">
        <is>
          <t>037-STBU</t>
        </is>
      </c>
      <c r="D82" s="43" t="inlineStr">
        <is>
          <t>FJZP</t>
        </is>
      </c>
      <c r="E82" s="43" t="inlineStr">
        <is>
          <t>MCGA</t>
        </is>
      </c>
      <c r="F82" s="43" t="inlineStr">
        <is>
          <t>74-139981-01</t>
        </is>
      </c>
      <c r="G82" s="43" t="inlineStr">
        <is>
          <t>OTHER_SCOPE_ITEM</t>
        </is>
      </c>
      <c r="H82" s="43" t="inlineStr"/>
      <c r="I82" s="43" t="inlineStr">
        <is>
          <t>Expired</t>
        </is>
      </c>
      <c r="J82" s="32" t="n">
        <v>45817</v>
      </c>
      <c r="K82" s="32" t="n">
        <v>45742</v>
      </c>
      <c r="L82" s="43" t="inlineStr">
        <is>
          <t>1803</t>
        </is>
      </c>
      <c r="M82" s="43" t="n">
        <v>1</v>
      </c>
      <c r="N82" s="33" t="inlineStr"/>
      <c r="O82" s="43" t="inlineStr">
        <is>
          <t>UNVERIFIED</t>
        </is>
      </c>
      <c r="P82" s="43" t="inlineStr">
        <is>
          <t>Pending Review</t>
        </is>
      </c>
      <c r="Q82" s="33" t="inlineStr">
        <is>
          <t>Confirmar SKU/PCBA revision, PN exacto en Common DB, WO, BU, vigencia, planta y aprobacion firmada.</t>
        </is>
      </c>
    </row>
    <row r="83">
      <c r="A83" s="43" t="inlineStr">
        <is>
          <t>CTANJZ04493</t>
        </is>
      </c>
      <c r="B83" s="43" t="inlineStr">
        <is>
          <t>D602616</t>
        </is>
      </c>
      <c r="C83" s="43" t="inlineStr">
        <is>
          <t>037-STBU</t>
        </is>
      </c>
      <c r="D83" s="43" t="inlineStr">
        <is>
          <t>FJZP</t>
        </is>
      </c>
      <c r="E83" s="43" t="inlineStr">
        <is>
          <t>MCGA</t>
        </is>
      </c>
      <c r="F83" s="43" t="inlineStr">
        <is>
          <t>74-139982-01</t>
        </is>
      </c>
      <c r="G83" s="43" t="inlineStr">
        <is>
          <t>OTHER_SCOPE_ITEM</t>
        </is>
      </c>
      <c r="H83" s="43" t="inlineStr"/>
      <c r="I83" s="43" t="inlineStr">
        <is>
          <t>Expired</t>
        </is>
      </c>
      <c r="J83" s="32" t="n">
        <v>45817</v>
      </c>
      <c r="K83" s="32" t="n">
        <v>45742</v>
      </c>
      <c r="L83" s="43" t="inlineStr">
        <is>
          <t>1804</t>
        </is>
      </c>
      <c r="M83" s="43" t="n">
        <v>1</v>
      </c>
      <c r="N83" s="33" t="inlineStr"/>
      <c r="O83" s="43" t="inlineStr">
        <is>
          <t>UNVERIFIED</t>
        </is>
      </c>
      <c r="P83" s="43" t="inlineStr">
        <is>
          <t>Pending Review</t>
        </is>
      </c>
      <c r="Q83" s="33" t="inlineStr">
        <is>
          <t>Confirmar SKU/PCBA revision, PN exacto en Common DB, WO, BU, vigencia, planta y aprobacion firmada.</t>
        </is>
      </c>
    </row>
    <row r="84">
      <c r="A84" s="43" t="inlineStr">
        <is>
          <t>CTANJZ04503</t>
        </is>
      </c>
      <c r="B84" s="43" t="inlineStr">
        <is>
          <t>D602312</t>
        </is>
      </c>
      <c r="C84" s="43" t="inlineStr">
        <is>
          <t>037-STBU</t>
        </is>
      </c>
      <c r="D84" s="43" t="inlineStr">
        <is>
          <t>FJZP</t>
        </is>
      </c>
      <c r="E84" s="43" t="inlineStr">
        <is>
          <t>MCGA</t>
        </is>
      </c>
      <c r="F84" s="43" t="inlineStr">
        <is>
          <t>25-1209-01</t>
        </is>
      </c>
      <c r="G84" s="43" t="inlineStr">
        <is>
          <t>OTHER_SCOPE_ITEM</t>
        </is>
      </c>
      <c r="H84" s="43" t="inlineStr"/>
      <c r="I84" s="43" t="inlineStr">
        <is>
          <t>Expired</t>
        </is>
      </c>
      <c r="J84" s="32" t="n">
        <v>45824</v>
      </c>
      <c r="K84" s="32" t="n">
        <v>45748</v>
      </c>
      <c r="L84" s="43" t="inlineStr">
        <is>
          <t>1402</t>
        </is>
      </c>
      <c r="M84" s="43" t="n">
        <v>1</v>
      </c>
      <c r="N84" s="33" t="inlineStr"/>
      <c r="O84" s="43" t="inlineStr">
        <is>
          <t>UNVERIFIED</t>
        </is>
      </c>
      <c r="P84" s="43" t="inlineStr">
        <is>
          <t>Pending Review</t>
        </is>
      </c>
      <c r="Q84" s="33" t="inlineStr">
        <is>
          <t>Confirmar SKU/PCBA revision, PN exacto en Common DB, WO, BU, vigencia, planta y aprobacion firmada.</t>
        </is>
      </c>
    </row>
    <row r="85">
      <c r="A85" s="43" t="inlineStr">
        <is>
          <t>CTANJZ04503</t>
        </is>
      </c>
      <c r="B85" s="43" t="inlineStr">
        <is>
          <t>D602312</t>
        </is>
      </c>
      <c r="C85" s="43" t="inlineStr">
        <is>
          <t>037-STBU</t>
        </is>
      </c>
      <c r="D85" s="43" t="inlineStr">
        <is>
          <t>FJZP</t>
        </is>
      </c>
      <c r="E85" s="43" t="inlineStr">
        <is>
          <t>MCGA</t>
        </is>
      </c>
      <c r="F85" s="43" t="inlineStr">
        <is>
          <t>68-6432-03</t>
        </is>
      </c>
      <c r="G85" s="43" t="inlineStr">
        <is>
          <t>OTHER_SCOPE_ITEM</t>
        </is>
      </c>
      <c r="H85" s="43" t="inlineStr"/>
      <c r="I85" s="43" t="inlineStr">
        <is>
          <t>Expired</t>
        </is>
      </c>
      <c r="J85" s="32" t="n">
        <v>45824</v>
      </c>
      <c r="K85" s="32" t="n">
        <v>45748</v>
      </c>
      <c r="L85" s="43" t="inlineStr">
        <is>
          <t>1403</t>
        </is>
      </c>
      <c r="M85" s="43" t="n">
        <v>1</v>
      </c>
      <c r="N85" s="33" t="inlineStr"/>
      <c r="O85" s="43" t="inlineStr">
        <is>
          <t>UNVERIFIED</t>
        </is>
      </c>
      <c r="P85" s="43" t="inlineStr">
        <is>
          <t>Pending Review</t>
        </is>
      </c>
      <c r="Q85" s="33" t="inlineStr">
        <is>
          <t>Confirmar SKU/PCBA revision, PN exacto en Common DB, WO, BU, vigencia, planta y aprobacion firmada.</t>
        </is>
      </c>
    </row>
    <row r="86">
      <c r="A86" s="43" t="inlineStr">
        <is>
          <t>CTANJZ04503</t>
        </is>
      </c>
      <c r="B86" s="43" t="inlineStr">
        <is>
          <t>D602312</t>
        </is>
      </c>
      <c r="C86" s="43" t="inlineStr">
        <is>
          <t>037-STBU</t>
        </is>
      </c>
      <c r="D86" s="43" t="inlineStr">
        <is>
          <t>FJZP</t>
        </is>
      </c>
      <c r="E86" s="43" t="inlineStr">
        <is>
          <t>MCGA</t>
        </is>
      </c>
      <c r="F86" s="43" t="inlineStr">
        <is>
          <t>73-18489-07</t>
        </is>
      </c>
      <c r="G86" s="43" t="inlineStr">
        <is>
          <t>BOARD_PN_CANDIDATE</t>
        </is>
      </c>
      <c r="H86" s="43" t="inlineStr"/>
      <c r="I86" s="43" t="inlineStr">
        <is>
          <t>Expired</t>
        </is>
      </c>
      <c r="J86" s="32" t="n">
        <v>45824</v>
      </c>
      <c r="K86" s="32" t="n">
        <v>45748</v>
      </c>
      <c r="L86" s="43" t="inlineStr">
        <is>
          <t>1404</t>
        </is>
      </c>
      <c r="M86" s="43" t="n">
        <v>1</v>
      </c>
      <c r="N86" s="33" t="inlineStr"/>
      <c r="O86" s="43" t="inlineStr">
        <is>
          <t>UNVERIFIED</t>
        </is>
      </c>
      <c r="P86" s="43" t="inlineStr">
        <is>
          <t>Pending Review</t>
        </is>
      </c>
      <c r="Q86" s="33" t="inlineStr">
        <is>
          <t>Confirmar SKU/PCBA revision, PN exacto en Common DB, WO, BU, vigencia, planta y aprobacion firmada.</t>
        </is>
      </c>
    </row>
    <row r="87">
      <c r="A87" s="43" t="inlineStr">
        <is>
          <t>CTANJZ04504</t>
        </is>
      </c>
      <c r="B87" s="43" t="inlineStr">
        <is>
          <t>D602218</t>
        </is>
      </c>
      <c r="C87" s="43" t="inlineStr">
        <is>
          <t>037-STBU</t>
        </is>
      </c>
      <c r="D87" s="43" t="inlineStr">
        <is>
          <t>FJZP</t>
        </is>
      </c>
      <c r="E87" s="43" t="inlineStr">
        <is>
          <t>MCGA</t>
        </is>
      </c>
      <c r="F87" s="43" t="inlineStr">
        <is>
          <t>25-1209-01</t>
        </is>
      </c>
      <c r="G87" s="43" t="inlineStr">
        <is>
          <t>OTHER_SCOPE_ITEM</t>
        </is>
      </c>
      <c r="H87" s="43" t="inlineStr"/>
      <c r="I87" s="43" t="inlineStr">
        <is>
          <t>Expired</t>
        </is>
      </c>
      <c r="J87" s="32" t="n">
        <v>45824</v>
      </c>
      <c r="K87" s="32" t="n">
        <v>45748</v>
      </c>
      <c r="L87" s="43" t="inlineStr">
        <is>
          <t>1399</t>
        </is>
      </c>
      <c r="M87" s="43" t="n">
        <v>1</v>
      </c>
      <c r="N87" s="33" t="inlineStr"/>
      <c r="O87" s="43" t="inlineStr">
        <is>
          <t>UNVERIFIED</t>
        </is>
      </c>
      <c r="P87" s="43" t="inlineStr">
        <is>
          <t>Pending Review</t>
        </is>
      </c>
      <c r="Q87" s="33" t="inlineStr">
        <is>
          <t>Confirmar SKU/PCBA revision, PN exacto en Common DB, WO, BU, vigencia, planta y aprobacion firmada.</t>
        </is>
      </c>
    </row>
    <row r="88">
      <c r="A88" s="43" t="inlineStr">
        <is>
          <t>CTANJZ04504</t>
        </is>
      </c>
      <c r="B88" s="43" t="inlineStr">
        <is>
          <t>D602218</t>
        </is>
      </c>
      <c r="C88" s="43" t="inlineStr">
        <is>
          <t>037-STBU</t>
        </is>
      </c>
      <c r="D88" s="43" t="inlineStr">
        <is>
          <t>FJZP</t>
        </is>
      </c>
      <c r="E88" s="43" t="inlineStr">
        <is>
          <t>MCGA</t>
        </is>
      </c>
      <c r="F88" s="43" t="inlineStr">
        <is>
          <t>68-7007-02</t>
        </is>
      </c>
      <c r="G88" s="43" t="inlineStr">
        <is>
          <t>OTHER_SCOPE_ITEM</t>
        </is>
      </c>
      <c r="H88" s="43" t="inlineStr"/>
      <c r="I88" s="43" t="inlineStr">
        <is>
          <t>Expired</t>
        </is>
      </c>
      <c r="J88" s="32" t="n">
        <v>45824</v>
      </c>
      <c r="K88" s="32" t="n">
        <v>45748</v>
      </c>
      <c r="L88" s="43" t="inlineStr">
        <is>
          <t>1400</t>
        </is>
      </c>
      <c r="M88" s="43" t="n">
        <v>1</v>
      </c>
      <c r="N88" s="33" t="inlineStr"/>
      <c r="O88" s="43" t="inlineStr">
        <is>
          <t>UNVERIFIED</t>
        </is>
      </c>
      <c r="P88" s="43" t="inlineStr">
        <is>
          <t>Pending Review</t>
        </is>
      </c>
      <c r="Q88" s="33" t="inlineStr">
        <is>
          <t>Confirmar SKU/PCBA revision, PN exacto en Common DB, WO, BU, vigencia, planta y aprobacion firmada.</t>
        </is>
      </c>
    </row>
    <row r="89">
      <c r="A89" s="43" t="inlineStr">
        <is>
          <t>CTANJZ04504</t>
        </is>
      </c>
      <c r="B89" s="43" t="inlineStr">
        <is>
          <t>D602218</t>
        </is>
      </c>
      <c r="C89" s="43" t="inlineStr">
        <is>
          <t>037-STBU</t>
        </is>
      </c>
      <c r="D89" s="43" t="inlineStr">
        <is>
          <t>FJZP</t>
        </is>
      </c>
      <c r="E89" s="43" t="inlineStr">
        <is>
          <t>MCGA</t>
        </is>
      </c>
      <c r="F89" s="43" t="inlineStr">
        <is>
          <t>73-18489-07</t>
        </is>
      </c>
      <c r="G89" s="43" t="inlineStr">
        <is>
          <t>BOARD_PN_CANDIDATE</t>
        </is>
      </c>
      <c r="H89" s="43" t="inlineStr"/>
      <c r="I89" s="43" t="inlineStr">
        <is>
          <t>Expired</t>
        </is>
      </c>
      <c r="J89" s="32" t="n">
        <v>45824</v>
      </c>
      <c r="K89" s="32" t="n">
        <v>45748</v>
      </c>
      <c r="L89" s="43" t="inlineStr">
        <is>
          <t>1401</t>
        </is>
      </c>
      <c r="M89" s="43" t="n">
        <v>1</v>
      </c>
      <c r="N89" s="33" t="inlineStr"/>
      <c r="O89" s="43" t="inlineStr">
        <is>
          <t>UNVERIFIED</t>
        </is>
      </c>
      <c r="P89" s="43" t="inlineStr">
        <is>
          <t>Pending Review</t>
        </is>
      </c>
      <c r="Q89" s="33" t="inlineStr">
        <is>
          <t>Confirmar SKU/PCBA revision, PN exacto en Common DB, WO, BU, vigencia, planta y aprobacion firmada.</t>
        </is>
      </c>
    </row>
    <row r="90">
      <c r="A90" s="43" t="inlineStr">
        <is>
          <t>CTANJZ04506</t>
        </is>
      </c>
      <c r="B90" s="43" t="inlineStr">
        <is>
          <t>D602909</t>
        </is>
      </c>
      <c r="C90" s="43" t="inlineStr">
        <is>
          <t>018-SRGBU</t>
        </is>
      </c>
      <c r="D90" s="43" t="inlineStr">
        <is>
          <t>FJZP</t>
        </is>
      </c>
      <c r="E90" s="43" t="inlineStr">
        <is>
          <t>MCGA</t>
        </is>
      </c>
      <c r="F90" s="43" t="inlineStr">
        <is>
          <t>16-4458-01</t>
        </is>
      </c>
      <c r="G90" s="43" t="inlineStr">
        <is>
          <t>OTHER_SCOPE_ITEM</t>
        </is>
      </c>
      <c r="H90" s="43" t="inlineStr"/>
      <c r="I90" s="43" t="inlineStr">
        <is>
          <t>Expired</t>
        </is>
      </c>
      <c r="J90" s="32" t="n">
        <v>45826</v>
      </c>
      <c r="K90" s="32" t="n">
        <v>45748</v>
      </c>
      <c r="L90" s="43" t="inlineStr">
        <is>
          <t>873</t>
        </is>
      </c>
      <c r="M90" s="43" t="n">
        <v>1</v>
      </c>
      <c r="N90" s="33" t="inlineStr"/>
      <c r="O90" s="43" t="inlineStr">
        <is>
          <t>UNVERIFIED</t>
        </is>
      </c>
      <c r="P90" s="43" t="inlineStr">
        <is>
          <t>Pending Review</t>
        </is>
      </c>
      <c r="Q90" s="33" t="inlineStr">
        <is>
          <t>Confirmar SKU/PCBA revision, PN exacto en Common DB, WO, BU, vigencia, planta y aprobacion firmada.</t>
        </is>
      </c>
    </row>
    <row r="91">
      <c r="A91" s="43" t="inlineStr">
        <is>
          <t>CTANJZ04506</t>
        </is>
      </c>
      <c r="B91" s="43" t="inlineStr">
        <is>
          <t>D602909</t>
        </is>
      </c>
      <c r="C91" s="43" t="inlineStr">
        <is>
          <t>018-SRGBU</t>
        </is>
      </c>
      <c r="D91" s="43" t="inlineStr">
        <is>
          <t>FJZP</t>
        </is>
      </c>
      <c r="E91" s="43" t="inlineStr">
        <is>
          <t>MCGA</t>
        </is>
      </c>
      <c r="F91" s="43" t="inlineStr">
        <is>
          <t>74-125442-04</t>
        </is>
      </c>
      <c r="G91" s="43" t="inlineStr">
        <is>
          <t>OTHER_SCOPE_ITEM</t>
        </is>
      </c>
      <c r="H91" s="43" t="inlineStr"/>
      <c r="I91" s="43" t="inlineStr">
        <is>
          <t>Expired</t>
        </is>
      </c>
      <c r="J91" s="32" t="n">
        <v>45826</v>
      </c>
      <c r="K91" s="32" t="n">
        <v>45748</v>
      </c>
      <c r="L91" s="43" t="inlineStr">
        <is>
          <t>874</t>
        </is>
      </c>
      <c r="M91" s="43" t="n">
        <v>1</v>
      </c>
      <c r="N91" s="33" t="inlineStr"/>
      <c r="O91" s="43" t="inlineStr">
        <is>
          <t>UNVERIFIED</t>
        </is>
      </c>
      <c r="P91" s="43" t="inlineStr">
        <is>
          <t>Pending Review</t>
        </is>
      </c>
      <c r="Q91" s="33" t="inlineStr">
        <is>
          <t>Confirmar SKU/PCBA revision, PN exacto en Common DB, WO, BU, vigencia, planta y aprobacion firmada.</t>
        </is>
      </c>
    </row>
    <row r="92">
      <c r="A92" s="43" t="inlineStr">
        <is>
          <t>CTANJZ04510</t>
        </is>
      </c>
      <c r="B92" s="43" t="inlineStr">
        <is>
          <t>D601185</t>
        </is>
      </c>
      <c r="C92" s="43" t="inlineStr">
        <is>
          <t>037-STBU</t>
        </is>
      </c>
      <c r="D92" s="43" t="inlineStr">
        <is>
          <t>FJZP</t>
        </is>
      </c>
      <c r="E92" s="43" t="inlineStr">
        <is>
          <t>MCGA</t>
        </is>
      </c>
      <c r="F92" s="43" t="inlineStr">
        <is>
          <t>15-100294-01</t>
        </is>
      </c>
      <c r="G92" s="43" t="inlineStr">
        <is>
          <t>OTHER_SCOPE_ITEM</t>
        </is>
      </c>
      <c r="H92" s="43" t="inlineStr"/>
      <c r="I92" s="43" t="inlineStr">
        <is>
          <t>Expired</t>
        </is>
      </c>
      <c r="J92" s="32" t="n">
        <v>45827</v>
      </c>
      <c r="K92" s="32" t="n">
        <v>45757</v>
      </c>
      <c r="L92" s="43" t="inlineStr">
        <is>
          <t>1414</t>
        </is>
      </c>
      <c r="M92" s="43" t="n">
        <v>1</v>
      </c>
      <c r="N92" s="33" t="inlineStr"/>
      <c r="O92" s="43" t="inlineStr">
        <is>
          <t>UNVERIFIED</t>
        </is>
      </c>
      <c r="P92" s="43" t="inlineStr">
        <is>
          <t>Pending Review</t>
        </is>
      </c>
      <c r="Q92" s="33" t="inlineStr">
        <is>
          <t>Confirmar SKU/PCBA revision, PN exacto en Common DB, WO, BU, vigencia, planta y aprobacion firmada.</t>
        </is>
      </c>
    </row>
    <row r="93">
      <c r="A93" s="43" t="inlineStr">
        <is>
          <t>CTANJZ04510</t>
        </is>
      </c>
      <c r="B93" s="43" t="inlineStr">
        <is>
          <t>D601185</t>
        </is>
      </c>
      <c r="C93" s="43" t="inlineStr">
        <is>
          <t>037-STBU</t>
        </is>
      </c>
      <c r="D93" s="43" t="inlineStr">
        <is>
          <t>FJZP</t>
        </is>
      </c>
      <c r="E93" s="43" t="inlineStr">
        <is>
          <t>MCGA</t>
        </is>
      </c>
      <c r="F93" s="43" t="inlineStr">
        <is>
          <t>68-7255-04</t>
        </is>
      </c>
      <c r="G93" s="43" t="inlineStr">
        <is>
          <t>OTHER_SCOPE_ITEM</t>
        </is>
      </c>
      <c r="H93" s="43" t="inlineStr"/>
      <c r="I93" s="43" t="inlineStr">
        <is>
          <t>Expired</t>
        </is>
      </c>
      <c r="J93" s="32" t="n">
        <v>45827</v>
      </c>
      <c r="K93" s="32" t="n">
        <v>45757</v>
      </c>
      <c r="L93" s="43" t="inlineStr">
        <is>
          <t>1455</t>
        </is>
      </c>
      <c r="M93" s="43" t="n">
        <v>1</v>
      </c>
      <c r="N93" s="33" t="inlineStr"/>
      <c r="O93" s="43" t="inlineStr">
        <is>
          <t>UNVERIFIED</t>
        </is>
      </c>
      <c r="P93" s="43" t="inlineStr">
        <is>
          <t>Pending Review</t>
        </is>
      </c>
      <c r="Q93" s="33" t="inlineStr">
        <is>
          <t>Confirmar SKU/PCBA revision, PN exacto en Common DB, WO, BU, vigencia, planta y aprobacion firmada.</t>
        </is>
      </c>
    </row>
    <row r="94">
      <c r="A94" s="43" t="inlineStr">
        <is>
          <t>CTANJZ04510</t>
        </is>
      </c>
      <c r="B94" s="43" t="inlineStr">
        <is>
          <t>D601185</t>
        </is>
      </c>
      <c r="C94" s="43" t="inlineStr">
        <is>
          <t>037-STBU</t>
        </is>
      </c>
      <c r="D94" s="43" t="inlineStr">
        <is>
          <t>FJZP</t>
        </is>
      </c>
      <c r="E94" s="43" t="inlineStr">
        <is>
          <t>MCGA</t>
        </is>
      </c>
      <c r="F94" s="43" t="inlineStr">
        <is>
          <t>73-20247-05</t>
        </is>
      </c>
      <c r="G94" s="43" t="inlineStr">
        <is>
          <t>BOARD_PN_CANDIDATE</t>
        </is>
      </c>
      <c r="H94" s="43" t="inlineStr"/>
      <c r="I94" s="43" t="inlineStr">
        <is>
          <t>Expired</t>
        </is>
      </c>
      <c r="J94" s="32" t="n">
        <v>45827</v>
      </c>
      <c r="K94" s="32" t="n">
        <v>45757</v>
      </c>
      <c r="L94" s="43" t="inlineStr">
        <is>
          <t>1456</t>
        </is>
      </c>
      <c r="M94" s="43" t="n">
        <v>1</v>
      </c>
      <c r="N94" s="33" t="inlineStr"/>
      <c r="O94" s="43" t="inlineStr">
        <is>
          <t>UNVERIFIED</t>
        </is>
      </c>
      <c r="P94" s="43" t="inlineStr">
        <is>
          <t>Pending Review</t>
        </is>
      </c>
      <c r="Q94" s="33" t="inlineStr">
        <is>
          <t>Confirmar SKU/PCBA revision, PN exacto en Common DB, WO, BU, vigencia, planta y aprobacion firmada.</t>
        </is>
      </c>
    </row>
    <row r="95">
      <c r="A95" s="43" t="inlineStr">
        <is>
          <t>CTANJZ04512</t>
        </is>
      </c>
      <c r="B95" s="43" t="inlineStr">
        <is>
          <t>D602969</t>
        </is>
      </c>
      <c r="C95" s="43" t="inlineStr">
        <is>
          <t>037-STBU</t>
        </is>
      </c>
      <c r="D95" s="43" t="inlineStr">
        <is>
          <t>FJZP</t>
        </is>
      </c>
      <c r="E95" s="43" t="inlineStr">
        <is>
          <t>MCGA</t>
        </is>
      </c>
      <c r="F95" s="43" t="inlineStr">
        <is>
          <t>17-102040-05</t>
        </is>
      </c>
      <c r="G95" s="43" t="inlineStr">
        <is>
          <t>OTHER_SCOPE_ITEM</t>
        </is>
      </c>
      <c r="H95" s="43" t="inlineStr"/>
      <c r="I95" s="43" t="inlineStr">
        <is>
          <t>Expired</t>
        </is>
      </c>
      <c r="J95" s="32" t="n">
        <v>45920</v>
      </c>
      <c r="K95" s="32" t="n">
        <v>45750</v>
      </c>
      <c r="L95" s="43" t="inlineStr">
        <is>
          <t>17</t>
        </is>
      </c>
      <c r="M95" s="43" t="n">
        <v>1</v>
      </c>
      <c r="N95" s="33" t="inlineStr"/>
      <c r="O95" s="43" t="inlineStr">
        <is>
          <t>UNVERIFIED</t>
        </is>
      </c>
      <c r="P95" s="43" t="inlineStr">
        <is>
          <t>Pending Review</t>
        </is>
      </c>
      <c r="Q95" s="33" t="inlineStr">
        <is>
          <t>Confirmar SKU/PCBA revision, PN exacto en Common DB, WO, BU, vigencia, planta y aprobacion firmada.</t>
        </is>
      </c>
    </row>
    <row r="96">
      <c r="A96" s="43" t="inlineStr">
        <is>
          <t>CTANJZ04512</t>
        </is>
      </c>
      <c r="B96" s="43" t="inlineStr">
        <is>
          <t>D602969</t>
        </is>
      </c>
      <c r="C96" s="43" t="inlineStr">
        <is>
          <t>037-STBU</t>
        </is>
      </c>
      <c r="D96" s="43" t="inlineStr">
        <is>
          <t>FJZP</t>
        </is>
      </c>
      <c r="E96" s="43" t="inlineStr">
        <is>
          <t>MCGA</t>
        </is>
      </c>
      <c r="F96" s="43" t="inlineStr">
        <is>
          <t>17-102041-05</t>
        </is>
      </c>
      <c r="G96" s="43" t="inlineStr">
        <is>
          <t>OTHER_SCOPE_ITEM</t>
        </is>
      </c>
      <c r="H96" s="43" t="inlineStr"/>
      <c r="I96" s="43" t="inlineStr">
        <is>
          <t>Expired</t>
        </is>
      </c>
      <c r="J96" s="32" t="n">
        <v>45920</v>
      </c>
      <c r="K96" s="32" t="n">
        <v>45750</v>
      </c>
      <c r="L96" s="43" t="inlineStr">
        <is>
          <t>18</t>
        </is>
      </c>
      <c r="M96" s="43" t="n">
        <v>1</v>
      </c>
      <c r="N96" s="33" t="inlineStr"/>
      <c r="O96" s="43" t="inlineStr">
        <is>
          <t>UNVERIFIED</t>
        </is>
      </c>
      <c r="P96" s="43" t="inlineStr">
        <is>
          <t>Pending Review</t>
        </is>
      </c>
      <c r="Q96" s="33" t="inlineStr">
        <is>
          <t>Confirmar SKU/PCBA revision, PN exacto en Common DB, WO, BU, vigencia, planta y aprobacion firmada.</t>
        </is>
      </c>
    </row>
    <row r="97">
      <c r="A97" s="43" t="inlineStr">
        <is>
          <t>CTANJZ04512</t>
        </is>
      </c>
      <c r="B97" s="43" t="inlineStr">
        <is>
          <t>D602969</t>
        </is>
      </c>
      <c r="C97" s="43" t="inlineStr">
        <is>
          <t>037-STBU</t>
        </is>
      </c>
      <c r="D97" s="43" t="inlineStr">
        <is>
          <t>FJZP</t>
        </is>
      </c>
      <c r="E97" s="43" t="inlineStr">
        <is>
          <t>MCGA</t>
        </is>
      </c>
      <c r="F97" s="43" t="inlineStr">
        <is>
          <t>17-102043-02</t>
        </is>
      </c>
      <c r="G97" s="43" t="inlineStr">
        <is>
          <t>OTHER_SCOPE_ITEM</t>
        </is>
      </c>
      <c r="H97" s="43" t="inlineStr"/>
      <c r="I97" s="43" t="inlineStr">
        <is>
          <t>Expired</t>
        </is>
      </c>
      <c r="J97" s="32" t="n">
        <v>45920</v>
      </c>
      <c r="K97" s="32" t="n">
        <v>45750</v>
      </c>
      <c r="L97" s="43" t="inlineStr">
        <is>
          <t>19</t>
        </is>
      </c>
      <c r="M97" s="43" t="n">
        <v>1</v>
      </c>
      <c r="N97" s="33" t="inlineStr"/>
      <c r="O97" s="43" t="inlineStr">
        <is>
          <t>UNVERIFIED</t>
        </is>
      </c>
      <c r="P97" s="43" t="inlineStr">
        <is>
          <t>Pending Review</t>
        </is>
      </c>
      <c r="Q97" s="33" t="inlineStr">
        <is>
          <t>Confirmar SKU/PCBA revision, PN exacto en Common DB, WO, BU, vigencia, planta y aprobacion firmada.</t>
        </is>
      </c>
    </row>
    <row r="98">
      <c r="A98" s="43" t="inlineStr">
        <is>
          <t>CTANJZ04512</t>
        </is>
      </c>
      <c r="B98" s="43" t="inlineStr">
        <is>
          <t>D602969</t>
        </is>
      </c>
      <c r="C98" s="43" t="inlineStr">
        <is>
          <t>037-STBU</t>
        </is>
      </c>
      <c r="D98" s="43" t="inlineStr">
        <is>
          <t>FJZP</t>
        </is>
      </c>
      <c r="E98" s="43" t="inlineStr">
        <is>
          <t>MCGA</t>
        </is>
      </c>
      <c r="F98" s="43" t="inlineStr">
        <is>
          <t>17-102050-06</t>
        </is>
      </c>
      <c r="G98" s="43" t="inlineStr">
        <is>
          <t>OTHER_SCOPE_ITEM</t>
        </is>
      </c>
      <c r="H98" s="43" t="inlineStr"/>
      <c r="I98" s="43" t="inlineStr">
        <is>
          <t>Expired</t>
        </is>
      </c>
      <c r="J98" s="32" t="n">
        <v>45920</v>
      </c>
      <c r="K98" s="32" t="n">
        <v>45750</v>
      </c>
      <c r="L98" s="43" t="inlineStr">
        <is>
          <t>23</t>
        </is>
      </c>
      <c r="M98" s="43" t="n">
        <v>1</v>
      </c>
      <c r="N98" s="33" t="inlineStr"/>
      <c r="O98" s="43" t="inlineStr">
        <is>
          <t>UNVERIFIED</t>
        </is>
      </c>
      <c r="P98" s="43" t="inlineStr">
        <is>
          <t>Pending Review</t>
        </is>
      </c>
      <c r="Q98" s="33" t="inlineStr">
        <is>
          <t>Confirmar SKU/PCBA revision, PN exacto en Common DB, WO, BU, vigencia, planta y aprobacion firmada.</t>
        </is>
      </c>
    </row>
    <row r="99">
      <c r="A99" s="43" t="inlineStr">
        <is>
          <t>CTANJZ04512</t>
        </is>
      </c>
      <c r="B99" s="43" t="inlineStr">
        <is>
          <t>D602969</t>
        </is>
      </c>
      <c r="C99" s="43" t="inlineStr">
        <is>
          <t>037-STBU</t>
        </is>
      </c>
      <c r="D99" s="43" t="inlineStr">
        <is>
          <t>FJZP</t>
        </is>
      </c>
      <c r="E99" s="43" t="inlineStr">
        <is>
          <t>MCGA</t>
        </is>
      </c>
      <c r="F99" s="43" t="inlineStr">
        <is>
          <t>17-102102-02</t>
        </is>
      </c>
      <c r="G99" s="43" t="inlineStr">
        <is>
          <t>OTHER_SCOPE_ITEM</t>
        </is>
      </c>
      <c r="H99" s="43" t="inlineStr"/>
      <c r="I99" s="43" t="inlineStr">
        <is>
          <t>Expired</t>
        </is>
      </c>
      <c r="J99" s="32" t="n">
        <v>45920</v>
      </c>
      <c r="K99" s="32" t="n">
        <v>45750</v>
      </c>
      <c r="L99" s="43" t="inlineStr">
        <is>
          <t>24</t>
        </is>
      </c>
      <c r="M99" s="43" t="n">
        <v>1</v>
      </c>
      <c r="N99" s="33" t="inlineStr"/>
      <c r="O99" s="43" t="inlineStr">
        <is>
          <t>UNVERIFIED</t>
        </is>
      </c>
      <c r="P99" s="43" t="inlineStr">
        <is>
          <t>Pending Review</t>
        </is>
      </c>
      <c r="Q99" s="33" t="inlineStr">
        <is>
          <t>Confirmar SKU/PCBA revision, PN exacto en Common DB, WO, BU, vigencia, planta y aprobacion firmada.</t>
        </is>
      </c>
    </row>
    <row r="100">
      <c r="A100" s="43" t="inlineStr">
        <is>
          <t>CTANJZ04512</t>
        </is>
      </c>
      <c r="B100" s="43" t="inlineStr">
        <is>
          <t>D602969</t>
        </is>
      </c>
      <c r="C100" s="43" t="inlineStr">
        <is>
          <t>037-STBU</t>
        </is>
      </c>
      <c r="D100" s="43" t="inlineStr">
        <is>
          <t>FJZP</t>
        </is>
      </c>
      <c r="E100" s="43" t="inlineStr">
        <is>
          <t>MCGA</t>
        </is>
      </c>
      <c r="F100" s="43" t="inlineStr">
        <is>
          <t>17-16001-05</t>
        </is>
      </c>
      <c r="G100" s="43" t="inlineStr">
        <is>
          <t>OTHER_SCOPE_ITEM</t>
        </is>
      </c>
      <c r="H100" s="43" t="inlineStr"/>
      <c r="I100" s="43" t="inlineStr">
        <is>
          <t>Expired</t>
        </is>
      </c>
      <c r="J100" s="32" t="n">
        <v>45920</v>
      </c>
      <c r="K100" s="32" t="n">
        <v>45750</v>
      </c>
      <c r="L100" s="43" t="inlineStr">
        <is>
          <t>25</t>
        </is>
      </c>
      <c r="M100" s="43" t="n">
        <v>1</v>
      </c>
      <c r="N100" s="33" t="inlineStr"/>
      <c r="O100" s="43" t="inlineStr">
        <is>
          <t>UNVERIFIED</t>
        </is>
      </c>
      <c r="P100" s="43" t="inlineStr">
        <is>
          <t>Pending Review</t>
        </is>
      </c>
      <c r="Q100" s="33" t="inlineStr">
        <is>
          <t>Confirmar SKU/PCBA revision, PN exacto en Common DB, WO, BU, vigencia, planta y aprobacion firmada.</t>
        </is>
      </c>
    </row>
    <row r="101">
      <c r="A101" s="43" t="inlineStr">
        <is>
          <t>CTANJZ04512</t>
        </is>
      </c>
      <c r="B101" s="43" t="inlineStr">
        <is>
          <t>D602969</t>
        </is>
      </c>
      <c r="C101" s="43" t="inlineStr">
        <is>
          <t>037-STBU</t>
        </is>
      </c>
      <c r="D101" s="43" t="inlineStr">
        <is>
          <t>FJZP</t>
        </is>
      </c>
      <c r="E101" s="43" t="inlineStr">
        <is>
          <t>MCGA</t>
        </is>
      </c>
      <c r="F101" s="43" t="inlineStr">
        <is>
          <t>73-20247-05</t>
        </is>
      </c>
      <c r="G101" s="43" t="inlineStr">
        <is>
          <t>BOARD_PN_CANDIDATE</t>
        </is>
      </c>
      <c r="H101" s="43" t="inlineStr"/>
      <c r="I101" s="43" t="inlineStr">
        <is>
          <t>Expired</t>
        </is>
      </c>
      <c r="J101" s="32" t="n">
        <v>45920</v>
      </c>
      <c r="K101" s="32" t="n">
        <v>45750</v>
      </c>
      <c r="L101" s="43" t="inlineStr">
        <is>
          <t>26</t>
        </is>
      </c>
      <c r="M101" s="43" t="n">
        <v>1</v>
      </c>
      <c r="N101" s="33" t="inlineStr"/>
      <c r="O101" s="43" t="inlineStr">
        <is>
          <t>UNVERIFIED</t>
        </is>
      </c>
      <c r="P101" s="43" t="inlineStr">
        <is>
          <t>Pending Review</t>
        </is>
      </c>
      <c r="Q101" s="33" t="inlineStr">
        <is>
          <t>Confirmar SKU/PCBA revision, PN exacto en Common DB, WO, BU, vigencia, planta y aprobacion firmada.</t>
        </is>
      </c>
    </row>
    <row r="102">
      <c r="A102" s="43" t="inlineStr">
        <is>
          <t>CTANJZ04512</t>
        </is>
      </c>
      <c r="B102" s="43" t="inlineStr">
        <is>
          <t>D602969</t>
        </is>
      </c>
      <c r="C102" s="43" t="inlineStr">
        <is>
          <t>037-STBU</t>
        </is>
      </c>
      <c r="D102" s="43" t="inlineStr">
        <is>
          <t>FJZP</t>
        </is>
      </c>
      <c r="E102" s="43" t="inlineStr">
        <is>
          <t>MCGA</t>
        </is>
      </c>
      <c r="F102" s="43" t="inlineStr">
        <is>
          <t>73-20249-05</t>
        </is>
      </c>
      <c r="G102" s="43" t="inlineStr">
        <is>
          <t>BOARD_PN_CANDIDATE</t>
        </is>
      </c>
      <c r="H102" s="43" t="inlineStr"/>
      <c r="I102" s="43" t="inlineStr">
        <is>
          <t>Expired</t>
        </is>
      </c>
      <c r="J102" s="32" t="n">
        <v>45920</v>
      </c>
      <c r="K102" s="32" t="n">
        <v>45750</v>
      </c>
      <c r="L102" s="43" t="inlineStr">
        <is>
          <t>27</t>
        </is>
      </c>
      <c r="M102" s="43" t="n">
        <v>1</v>
      </c>
      <c r="N102" s="33" t="inlineStr"/>
      <c r="O102" s="43" t="inlineStr">
        <is>
          <t>UNVERIFIED</t>
        </is>
      </c>
      <c r="P102" s="43" t="inlineStr">
        <is>
          <t>Pending Review</t>
        </is>
      </c>
      <c r="Q102" s="33" t="inlineStr">
        <is>
          <t>Confirmar SKU/PCBA revision, PN exacto en Common DB, WO, BU, vigencia, planta y aprobacion firmada.</t>
        </is>
      </c>
    </row>
    <row r="103">
      <c r="A103" s="43" t="inlineStr">
        <is>
          <t>CTANJZ04515</t>
        </is>
      </c>
      <c r="B103" s="43" t="inlineStr">
        <is>
          <t>D602888</t>
        </is>
      </c>
      <c r="C103" s="43" t="inlineStr">
        <is>
          <t>037-STBU</t>
        </is>
      </c>
      <c r="D103" s="43" t="inlineStr">
        <is>
          <t>FJZP</t>
        </is>
      </c>
      <c r="E103" s="43" t="inlineStr">
        <is>
          <t>MCGA</t>
        </is>
      </c>
      <c r="F103" s="43" t="inlineStr">
        <is>
          <t>68-102707-04</t>
        </is>
      </c>
      <c r="G103" s="43" t="inlineStr">
        <is>
          <t>OTHER_SCOPE_ITEM</t>
        </is>
      </c>
      <c r="H103" s="43" t="inlineStr"/>
      <c r="I103" s="43" t="inlineStr">
        <is>
          <t>Expired</t>
        </is>
      </c>
      <c r="J103" s="32" t="n">
        <v>45830</v>
      </c>
      <c r="K103" s="32" t="n">
        <v>45750</v>
      </c>
      <c r="L103" s="43" t="inlineStr">
        <is>
          <t>754</t>
        </is>
      </c>
      <c r="M103" s="43" t="n">
        <v>1</v>
      </c>
      <c r="N103" s="33" t="inlineStr"/>
      <c r="O103" s="43" t="inlineStr">
        <is>
          <t>UNVERIFIED</t>
        </is>
      </c>
      <c r="P103" s="43" t="inlineStr">
        <is>
          <t>Pending Review</t>
        </is>
      </c>
      <c r="Q103" s="33" t="inlineStr">
        <is>
          <t>Confirmar SKU/PCBA revision, PN exacto en Common DB, WO, BU, vigencia, planta y aprobacion firmada.</t>
        </is>
      </c>
    </row>
    <row r="104">
      <c r="A104" s="43" t="inlineStr">
        <is>
          <t>CTANJZ04518</t>
        </is>
      </c>
      <c r="B104" s="43" t="inlineStr">
        <is>
          <t>D602944</t>
        </is>
      </c>
      <c r="C104" s="43" t="inlineStr">
        <is>
          <t>035-CVEBU</t>
        </is>
      </c>
      <c r="D104" s="43" t="inlineStr">
        <is>
          <t>FJZP</t>
        </is>
      </c>
      <c r="E104" s="43" t="inlineStr">
        <is>
          <t>MCGA</t>
        </is>
      </c>
      <c r="F104" s="43" t="inlineStr">
        <is>
          <t>74-126086-02</t>
        </is>
      </c>
      <c r="G104" s="43" t="inlineStr">
        <is>
          <t>OTHER_SCOPE_ITEM</t>
        </is>
      </c>
      <c r="H104" s="43" t="inlineStr"/>
      <c r="I104" s="43" t="inlineStr">
        <is>
          <t>Expired</t>
        </is>
      </c>
      <c r="J104" s="32" t="n">
        <v>45831</v>
      </c>
      <c r="K104" s="32" t="n">
        <v>45751</v>
      </c>
      <c r="L104" s="43" t="inlineStr">
        <is>
          <t>755</t>
        </is>
      </c>
      <c r="M104" s="43" t="n">
        <v>1</v>
      </c>
      <c r="N104" s="33" t="inlineStr"/>
      <c r="O104" s="43" t="inlineStr">
        <is>
          <t>UNVERIFIED</t>
        </is>
      </c>
      <c r="P104" s="43" t="inlineStr">
        <is>
          <t>Pending Review</t>
        </is>
      </c>
      <c r="Q104" s="33" t="inlineStr">
        <is>
          <t>Confirmar SKU/PCBA revision, PN exacto en Common DB, WO, BU, vigencia, planta y aprobacion firmada.</t>
        </is>
      </c>
    </row>
    <row r="105">
      <c r="A105" s="43" t="inlineStr">
        <is>
          <t>CTANJZ04523</t>
        </is>
      </c>
      <c r="B105" s="43" t="inlineStr">
        <is>
          <t>DP524680</t>
        </is>
      </c>
      <c r="C105" s="43" t="inlineStr">
        <is>
          <t>034-IOTBU</t>
        </is>
      </c>
      <c r="D105" s="43" t="inlineStr">
        <is>
          <t>FJZP</t>
        </is>
      </c>
      <c r="E105" s="43" t="inlineStr">
        <is>
          <t>MCGA</t>
        </is>
      </c>
      <c r="F105" s="43" t="inlineStr">
        <is>
          <t>68-104004-01</t>
        </is>
      </c>
      <c r="G105" s="43" t="inlineStr">
        <is>
          <t>OTHER_SCOPE_ITEM</t>
        </is>
      </c>
      <c r="H105" s="43" t="inlineStr"/>
      <c r="I105" s="43" t="inlineStr">
        <is>
          <t>Expired</t>
        </is>
      </c>
      <c r="J105" s="32" t="n">
        <v>45801</v>
      </c>
      <c r="K105" s="32" t="n">
        <v>45751</v>
      </c>
      <c r="L105" s="43" t="inlineStr">
        <is>
          <t>397</t>
        </is>
      </c>
      <c r="M105" s="43" t="n">
        <v>1</v>
      </c>
      <c r="N105" s="33" t="inlineStr"/>
      <c r="O105" s="43" t="inlineStr">
        <is>
          <t>UNVERIFIED</t>
        </is>
      </c>
      <c r="P105" s="43" t="inlineStr">
        <is>
          <t>Pending Review</t>
        </is>
      </c>
      <c r="Q105" s="33" t="inlineStr">
        <is>
          <t>Confirmar SKU/PCBA revision, PN exacto en Common DB, WO, BU, vigencia, planta y aprobacion firmada.</t>
        </is>
      </c>
    </row>
    <row r="106">
      <c r="A106" s="43" t="inlineStr">
        <is>
          <t>CTANJZ04523</t>
        </is>
      </c>
      <c r="B106" s="43" t="inlineStr">
        <is>
          <t>DP524680</t>
        </is>
      </c>
      <c r="C106" s="43" t="inlineStr">
        <is>
          <t>034-IOTBU</t>
        </is>
      </c>
      <c r="D106" s="43" t="inlineStr">
        <is>
          <t>FJZP</t>
        </is>
      </c>
      <c r="E106" s="43" t="inlineStr">
        <is>
          <t>MCGA</t>
        </is>
      </c>
      <c r="F106" s="43" t="inlineStr">
        <is>
          <t>73-103098-03</t>
        </is>
      </c>
      <c r="G106" s="43" t="inlineStr">
        <is>
          <t>BOARD_PN_CANDIDATE</t>
        </is>
      </c>
      <c r="H106" s="43" t="inlineStr"/>
      <c r="I106" s="43" t="inlineStr">
        <is>
          <t>Expired</t>
        </is>
      </c>
      <c r="J106" s="32" t="n">
        <v>45801</v>
      </c>
      <c r="K106" s="32" t="n">
        <v>45751</v>
      </c>
      <c r="L106" s="43" t="inlineStr">
        <is>
          <t>398</t>
        </is>
      </c>
      <c r="M106" s="43" t="n">
        <v>1</v>
      </c>
      <c r="N106" s="33" t="inlineStr"/>
      <c r="O106" s="43" t="inlineStr">
        <is>
          <t>UNVERIFIED</t>
        </is>
      </c>
      <c r="P106" s="43" t="inlineStr">
        <is>
          <t>Pending Review</t>
        </is>
      </c>
      <c r="Q106" s="33" t="inlineStr">
        <is>
          <t>Confirmar SKU/PCBA revision, PN exacto en Common DB, WO, BU, vigencia, planta y aprobacion firmada.</t>
        </is>
      </c>
    </row>
    <row r="107">
      <c r="A107" s="43" t="inlineStr">
        <is>
          <t>CTANJZ04524</t>
        </is>
      </c>
      <c r="B107" s="43" t="inlineStr">
        <is>
          <t>D603036</t>
        </is>
      </c>
      <c r="C107" s="43" t="inlineStr">
        <is>
          <t>037-STBU</t>
        </is>
      </c>
      <c r="D107" s="43" t="inlineStr">
        <is>
          <t>FJZP</t>
        </is>
      </c>
      <c r="E107" s="43" t="inlineStr">
        <is>
          <t>MCGA</t>
        </is>
      </c>
      <c r="F107" s="43" t="inlineStr">
        <is>
          <t>15-105550-01</t>
        </is>
      </c>
      <c r="G107" s="43" t="inlineStr">
        <is>
          <t>OTHER_SCOPE_ITEM</t>
        </is>
      </c>
      <c r="H107" s="43" t="inlineStr"/>
      <c r="I107" s="43" t="inlineStr">
        <is>
          <t>Expired</t>
        </is>
      </c>
      <c r="J107" s="32" t="n">
        <v>45831</v>
      </c>
      <c r="K107" s="32" t="n">
        <v>45751</v>
      </c>
      <c r="L107" s="43" t="inlineStr">
        <is>
          <t>350</t>
        </is>
      </c>
      <c r="M107" s="43" t="n">
        <v>1</v>
      </c>
      <c r="N107" s="33" t="inlineStr"/>
      <c r="O107" s="43" t="inlineStr">
        <is>
          <t>UNVERIFIED</t>
        </is>
      </c>
      <c r="P107" s="43" t="inlineStr">
        <is>
          <t>Pending Review</t>
        </is>
      </c>
      <c r="Q107" s="33" t="inlineStr">
        <is>
          <t>Confirmar SKU/PCBA revision, PN exacto en Common DB, WO, BU, vigencia, planta y aprobacion firmada.</t>
        </is>
      </c>
    </row>
    <row r="108">
      <c r="A108" s="43" t="inlineStr">
        <is>
          <t>CTANJZ04524</t>
        </is>
      </c>
      <c r="B108" s="43" t="inlineStr">
        <is>
          <t>D603036</t>
        </is>
      </c>
      <c r="C108" s="43" t="inlineStr">
        <is>
          <t>037-STBU</t>
        </is>
      </c>
      <c r="D108" s="43" t="inlineStr">
        <is>
          <t>FJZP</t>
        </is>
      </c>
      <c r="E108" s="43" t="inlineStr">
        <is>
          <t>MCGA</t>
        </is>
      </c>
      <c r="F108" s="43" t="inlineStr">
        <is>
          <t>68-6723-04</t>
        </is>
      </c>
      <c r="G108" s="43" t="inlineStr">
        <is>
          <t>OTHER_SCOPE_ITEM</t>
        </is>
      </c>
      <c r="H108" s="43" t="inlineStr"/>
      <c r="I108" s="43" t="inlineStr">
        <is>
          <t>Expired</t>
        </is>
      </c>
      <c r="J108" s="32" t="n">
        <v>45831</v>
      </c>
      <c r="K108" s="32" t="n">
        <v>45751</v>
      </c>
      <c r="L108" s="43" t="inlineStr">
        <is>
          <t>351</t>
        </is>
      </c>
      <c r="M108" s="43" t="n">
        <v>1</v>
      </c>
      <c r="N108" s="33" t="inlineStr"/>
      <c r="O108" s="43" t="inlineStr">
        <is>
          <t>UNVERIFIED</t>
        </is>
      </c>
      <c r="P108" s="43" t="inlineStr">
        <is>
          <t>Pending Review</t>
        </is>
      </c>
      <c r="Q108" s="33" t="inlineStr">
        <is>
          <t>Confirmar SKU/PCBA revision, PN exacto en Common DB, WO, BU, vigencia, planta y aprobacion firmada.</t>
        </is>
      </c>
    </row>
    <row r="109">
      <c r="A109" s="43" t="inlineStr">
        <is>
          <t>CTANJZ04526</t>
        </is>
      </c>
      <c r="B109" s="43" t="inlineStr">
        <is>
          <t>D603054</t>
        </is>
      </c>
      <c r="C109" s="43" t="inlineStr">
        <is>
          <t>037-STBU</t>
        </is>
      </c>
      <c r="D109" s="43" t="inlineStr">
        <is>
          <t>FJZP</t>
        </is>
      </c>
      <c r="E109" s="43" t="inlineStr">
        <is>
          <t>MCGA</t>
        </is>
      </c>
      <c r="F109" s="43" t="inlineStr">
        <is>
          <t>68-102608-04</t>
        </is>
      </c>
      <c r="G109" s="43" t="inlineStr">
        <is>
          <t>OTHER_SCOPE_ITEM</t>
        </is>
      </c>
      <c r="H109" s="43" t="inlineStr"/>
      <c r="I109" s="43" t="inlineStr">
        <is>
          <t>Expired</t>
        </is>
      </c>
      <c r="J109" s="32" t="n">
        <v>45832</v>
      </c>
      <c r="K109" s="32" t="n">
        <v>45752</v>
      </c>
      <c r="L109" s="43" t="inlineStr">
        <is>
          <t>756</t>
        </is>
      </c>
      <c r="M109" s="43" t="n">
        <v>1</v>
      </c>
      <c r="N109" s="33" t="inlineStr"/>
      <c r="O109" s="43" t="inlineStr">
        <is>
          <t>UNVERIFIED</t>
        </is>
      </c>
      <c r="P109" s="43" t="inlineStr">
        <is>
          <t>Pending Review</t>
        </is>
      </c>
      <c r="Q109" s="33" t="inlineStr">
        <is>
          <t>Confirmar SKU/PCBA revision, PN exacto en Common DB, WO, BU, vigencia, planta y aprobacion firmada.</t>
        </is>
      </c>
    </row>
    <row r="110">
      <c r="A110" s="43" t="inlineStr">
        <is>
          <t>CTANJZ04526</t>
        </is>
      </c>
      <c r="B110" s="43" t="inlineStr">
        <is>
          <t>D603054</t>
        </is>
      </c>
      <c r="C110" s="43" t="inlineStr">
        <is>
          <t>037-STBU</t>
        </is>
      </c>
      <c r="D110" s="43" t="inlineStr">
        <is>
          <t>FJZP</t>
        </is>
      </c>
      <c r="E110" s="43" t="inlineStr">
        <is>
          <t>MCGA</t>
        </is>
      </c>
      <c r="F110" s="43" t="inlineStr">
        <is>
          <t>68-102707-04</t>
        </is>
      </c>
      <c r="G110" s="43" t="inlineStr">
        <is>
          <t>OTHER_SCOPE_ITEM</t>
        </is>
      </c>
      <c r="H110" s="43" t="inlineStr"/>
      <c r="I110" s="43" t="inlineStr">
        <is>
          <t>Expired</t>
        </is>
      </c>
      <c r="J110" s="32" t="n">
        <v>45832</v>
      </c>
      <c r="K110" s="32" t="n">
        <v>45752</v>
      </c>
      <c r="L110" s="43" t="inlineStr">
        <is>
          <t>757</t>
        </is>
      </c>
      <c r="M110" s="43" t="n">
        <v>1</v>
      </c>
      <c r="N110" s="33" t="inlineStr"/>
      <c r="O110" s="43" t="inlineStr">
        <is>
          <t>UNVERIFIED</t>
        </is>
      </c>
      <c r="P110" s="43" t="inlineStr">
        <is>
          <t>Pending Review</t>
        </is>
      </c>
      <c r="Q110" s="33" t="inlineStr">
        <is>
          <t>Confirmar SKU/PCBA revision, PN exacto en Common DB, WO, BU, vigencia, planta y aprobacion firmada.</t>
        </is>
      </c>
    </row>
    <row r="111">
      <c r="A111" s="43" t="inlineStr">
        <is>
          <t>CTANJZ04526</t>
        </is>
      </c>
      <c r="B111" s="43" t="inlineStr">
        <is>
          <t>D603054</t>
        </is>
      </c>
      <c r="C111" s="43" t="inlineStr">
        <is>
          <t>037-STBU</t>
        </is>
      </c>
      <c r="D111" s="43" t="inlineStr">
        <is>
          <t>FJZP</t>
        </is>
      </c>
      <c r="E111" s="43" t="inlineStr">
        <is>
          <t>MCGA</t>
        </is>
      </c>
      <c r="F111" s="43" t="inlineStr">
        <is>
          <t>68-102763-04</t>
        </is>
      </c>
      <c r="G111" s="43" t="inlineStr">
        <is>
          <t>OTHER_SCOPE_ITEM</t>
        </is>
      </c>
      <c r="H111" s="43" t="inlineStr"/>
      <c r="I111" s="43" t="inlineStr">
        <is>
          <t>Expired</t>
        </is>
      </c>
      <c r="J111" s="32" t="n">
        <v>45832</v>
      </c>
      <c r="K111" s="32" t="n">
        <v>45752</v>
      </c>
      <c r="L111" s="43" t="inlineStr">
        <is>
          <t>758</t>
        </is>
      </c>
      <c r="M111" s="43" t="n">
        <v>1</v>
      </c>
      <c r="N111" s="33" t="inlineStr"/>
      <c r="O111" s="43" t="inlineStr">
        <is>
          <t>UNVERIFIED</t>
        </is>
      </c>
      <c r="P111" s="43" t="inlineStr">
        <is>
          <t>Pending Review</t>
        </is>
      </c>
      <c r="Q111" s="33" t="inlineStr">
        <is>
          <t>Confirmar SKU/PCBA revision, PN exacto en Common DB, WO, BU, vigencia, planta y aprobacion firmada.</t>
        </is>
      </c>
    </row>
    <row r="112">
      <c r="A112" s="43" t="inlineStr">
        <is>
          <t>CTANJZ04526</t>
        </is>
      </c>
      <c r="B112" s="43" t="inlineStr">
        <is>
          <t>D603054</t>
        </is>
      </c>
      <c r="C112" s="43" t="inlineStr">
        <is>
          <t>037-STBU</t>
        </is>
      </c>
      <c r="D112" s="43" t="inlineStr">
        <is>
          <t>FJZP</t>
        </is>
      </c>
      <c r="E112" s="43" t="inlineStr">
        <is>
          <t>MCGA</t>
        </is>
      </c>
      <c r="F112" s="43" t="inlineStr">
        <is>
          <t>68-103908-02</t>
        </is>
      </c>
      <c r="G112" s="43" t="inlineStr">
        <is>
          <t>OTHER_SCOPE_ITEM</t>
        </is>
      </c>
      <c r="H112" s="43" t="inlineStr"/>
      <c r="I112" s="43" t="inlineStr">
        <is>
          <t>Expired</t>
        </is>
      </c>
      <c r="J112" s="32" t="n">
        <v>45832</v>
      </c>
      <c r="K112" s="32" t="n">
        <v>45752</v>
      </c>
      <c r="L112" s="43" t="inlineStr">
        <is>
          <t>759</t>
        </is>
      </c>
      <c r="M112" s="43" t="n">
        <v>1</v>
      </c>
      <c r="N112" s="33" t="inlineStr"/>
      <c r="O112" s="43" t="inlineStr">
        <is>
          <t>UNVERIFIED</t>
        </is>
      </c>
      <c r="P112" s="43" t="inlineStr">
        <is>
          <t>Pending Review</t>
        </is>
      </c>
      <c r="Q112" s="33" t="inlineStr">
        <is>
          <t>Confirmar SKU/PCBA revision, PN exacto en Common DB, WO, BU, vigencia, planta y aprobacion firmada.</t>
        </is>
      </c>
    </row>
    <row r="113">
      <c r="A113" s="43" t="inlineStr">
        <is>
          <t>CTANJZ04532</t>
        </is>
      </c>
      <c r="B113" s="43" t="inlineStr">
        <is>
          <t>DP524725</t>
        </is>
      </c>
      <c r="C113" s="43" t="inlineStr">
        <is>
          <t>037-STBU</t>
        </is>
      </c>
      <c r="D113" s="43" t="inlineStr">
        <is>
          <t>FJZP</t>
        </is>
      </c>
      <c r="E113" s="43" t="inlineStr">
        <is>
          <t>MCGA</t>
        </is>
      </c>
      <c r="F113" s="43" t="inlineStr">
        <is>
          <t>73-103558-03</t>
        </is>
      </c>
      <c r="G113" s="43" t="inlineStr">
        <is>
          <t>BOARD_PN_CANDIDATE</t>
        </is>
      </c>
      <c r="H113" s="43" t="inlineStr"/>
      <c r="I113" s="43" t="inlineStr">
        <is>
          <t>Expired</t>
        </is>
      </c>
      <c r="J113" s="32" t="n">
        <v>45804</v>
      </c>
      <c r="K113" s="32" t="n">
        <v>45752</v>
      </c>
      <c r="L113" s="43" t="inlineStr">
        <is>
          <t>802</t>
        </is>
      </c>
      <c r="M113" s="43" t="n">
        <v>1</v>
      </c>
      <c r="N113" s="33" t="inlineStr"/>
      <c r="O113" s="43" t="inlineStr">
        <is>
          <t>UNVERIFIED</t>
        </is>
      </c>
      <c r="P113" s="43" t="inlineStr">
        <is>
          <t>Pending Review</t>
        </is>
      </c>
      <c r="Q113" s="33" t="inlineStr">
        <is>
          <t>Confirmar SKU/PCBA revision, PN exacto en Common DB, WO, BU, vigencia, planta y aprobacion firmada.</t>
        </is>
      </c>
    </row>
    <row r="114">
      <c r="A114" s="43" t="inlineStr">
        <is>
          <t>CTANJZ04537</t>
        </is>
      </c>
      <c r="B114" s="43" t="inlineStr">
        <is>
          <t>D602319</t>
        </is>
      </c>
      <c r="C114" s="43" t="inlineStr">
        <is>
          <t>037-STBU</t>
        </is>
      </c>
      <c r="D114" s="43" t="inlineStr">
        <is>
          <t>FJZP</t>
        </is>
      </c>
      <c r="E114" s="43" t="inlineStr">
        <is>
          <t>MCGA</t>
        </is>
      </c>
      <c r="F114" s="43" t="inlineStr">
        <is>
          <t>68-7253-04</t>
        </is>
      </c>
      <c r="G114" s="43" t="inlineStr">
        <is>
          <t>OTHER_SCOPE_ITEM</t>
        </is>
      </c>
      <c r="H114" s="43" t="inlineStr"/>
      <c r="I114" s="43" t="inlineStr">
        <is>
          <t>Expired</t>
        </is>
      </c>
      <c r="J114" s="32" t="n">
        <v>45837</v>
      </c>
      <c r="K114" s="32" t="n">
        <v>45762</v>
      </c>
      <c r="L114" s="43" t="inlineStr">
        <is>
          <t>665</t>
        </is>
      </c>
      <c r="M114" s="43" t="n">
        <v>1</v>
      </c>
      <c r="N114" s="33" t="inlineStr"/>
      <c r="O114" s="43" t="inlineStr">
        <is>
          <t>UNVERIFIED</t>
        </is>
      </c>
      <c r="P114" s="43" t="inlineStr">
        <is>
          <t>Pending Review</t>
        </is>
      </c>
      <c r="Q114" s="33" t="inlineStr">
        <is>
          <t>Confirmar SKU/PCBA revision, PN exacto en Common DB, WO, BU, vigencia, planta y aprobacion firmada.</t>
        </is>
      </c>
    </row>
    <row r="115">
      <c r="A115" s="43" t="inlineStr">
        <is>
          <t>CTANJZ04537</t>
        </is>
      </c>
      <c r="B115" s="43" t="inlineStr">
        <is>
          <t>D602319</t>
        </is>
      </c>
      <c r="C115" s="43" t="inlineStr">
        <is>
          <t>037-STBU</t>
        </is>
      </c>
      <c r="D115" s="43" t="inlineStr">
        <is>
          <t>FJZP</t>
        </is>
      </c>
      <c r="E115" s="43" t="inlineStr">
        <is>
          <t>MCGA</t>
        </is>
      </c>
      <c r="F115" s="43" t="inlineStr">
        <is>
          <t>68-7254-04</t>
        </is>
      </c>
      <c r="G115" s="43" t="inlineStr">
        <is>
          <t>OTHER_SCOPE_ITEM</t>
        </is>
      </c>
      <c r="H115" s="43" t="inlineStr"/>
      <c r="I115" s="43" t="inlineStr">
        <is>
          <t>Expired</t>
        </is>
      </c>
      <c r="J115" s="32" t="n">
        <v>45837</v>
      </c>
      <c r="K115" s="32" t="n">
        <v>45762</v>
      </c>
      <c r="L115" s="43" t="inlineStr">
        <is>
          <t>666</t>
        </is>
      </c>
      <c r="M115" s="43" t="n">
        <v>1</v>
      </c>
      <c r="N115" s="33" t="inlineStr"/>
      <c r="O115" s="43" t="inlineStr">
        <is>
          <t>UNVERIFIED</t>
        </is>
      </c>
      <c r="P115" s="43" t="inlineStr">
        <is>
          <t>Pending Review</t>
        </is>
      </c>
      <c r="Q115" s="33" t="inlineStr">
        <is>
          <t>Confirmar SKU/PCBA revision, PN exacto en Common DB, WO, BU, vigencia, planta y aprobacion firmada.</t>
        </is>
      </c>
    </row>
    <row r="116">
      <c r="A116" s="43" t="inlineStr">
        <is>
          <t>CTANJZ04537</t>
        </is>
      </c>
      <c r="B116" s="43" t="inlineStr">
        <is>
          <t>D602319</t>
        </is>
      </c>
      <c r="C116" s="43" t="inlineStr">
        <is>
          <t>037-STBU</t>
        </is>
      </c>
      <c r="D116" s="43" t="inlineStr">
        <is>
          <t>FJZP</t>
        </is>
      </c>
      <c r="E116" s="43" t="inlineStr">
        <is>
          <t>MCGA</t>
        </is>
      </c>
      <c r="F116" s="43" t="inlineStr">
        <is>
          <t>68-7255-04</t>
        </is>
      </c>
      <c r="G116" s="43" t="inlineStr">
        <is>
          <t>OTHER_SCOPE_ITEM</t>
        </is>
      </c>
      <c r="H116" s="43" t="inlineStr"/>
      <c r="I116" s="43" t="inlineStr">
        <is>
          <t>Expired</t>
        </is>
      </c>
      <c r="J116" s="32" t="n">
        <v>45837</v>
      </c>
      <c r="K116" s="32" t="n">
        <v>45762</v>
      </c>
      <c r="L116" s="43" t="inlineStr">
        <is>
          <t>667</t>
        </is>
      </c>
      <c r="M116" s="43" t="n">
        <v>1</v>
      </c>
      <c r="N116" s="33" t="inlineStr"/>
      <c r="O116" s="43" t="inlineStr">
        <is>
          <t>UNVERIFIED</t>
        </is>
      </c>
      <c r="P116" s="43" t="inlineStr">
        <is>
          <t>Pending Review</t>
        </is>
      </c>
      <c r="Q116" s="33" t="inlineStr">
        <is>
          <t>Confirmar SKU/PCBA revision, PN exacto en Common DB, WO, BU, vigencia, planta y aprobacion firmada.</t>
        </is>
      </c>
    </row>
    <row r="117">
      <c r="A117" s="43" t="inlineStr">
        <is>
          <t>CTANJZ04537</t>
        </is>
      </c>
      <c r="B117" s="43" t="inlineStr">
        <is>
          <t>D602319</t>
        </is>
      </c>
      <c r="C117" s="43" t="inlineStr">
        <is>
          <t>037-STBU</t>
        </is>
      </c>
      <c r="D117" s="43" t="inlineStr">
        <is>
          <t>FJZP</t>
        </is>
      </c>
      <c r="E117" s="43" t="inlineStr">
        <is>
          <t>MCGA</t>
        </is>
      </c>
      <c r="F117" s="43" t="inlineStr">
        <is>
          <t>68-7256-04</t>
        </is>
      </c>
      <c r="G117" s="43" t="inlineStr">
        <is>
          <t>OTHER_SCOPE_ITEM</t>
        </is>
      </c>
      <c r="H117" s="43" t="inlineStr"/>
      <c r="I117" s="43" t="inlineStr">
        <is>
          <t>Expired</t>
        </is>
      </c>
      <c r="J117" s="32" t="n">
        <v>45837</v>
      </c>
      <c r="K117" s="32" t="n">
        <v>45762</v>
      </c>
      <c r="L117" s="43" t="inlineStr">
        <is>
          <t>668</t>
        </is>
      </c>
      <c r="M117" s="43" t="n">
        <v>1</v>
      </c>
      <c r="N117" s="33" t="inlineStr"/>
      <c r="O117" s="43" t="inlineStr">
        <is>
          <t>UNVERIFIED</t>
        </is>
      </c>
      <c r="P117" s="43" t="inlineStr">
        <is>
          <t>Pending Review</t>
        </is>
      </c>
      <c r="Q117" s="33" t="inlineStr">
        <is>
          <t>Confirmar SKU/PCBA revision, PN exacto en Common DB, WO, BU, vigencia, planta y aprobacion firmada.</t>
        </is>
      </c>
    </row>
    <row r="118">
      <c r="A118" s="43" t="inlineStr">
        <is>
          <t>CTANJZ04537</t>
        </is>
      </c>
      <c r="B118" s="43" t="inlineStr">
        <is>
          <t>D602319</t>
        </is>
      </c>
      <c r="C118" s="43" t="inlineStr">
        <is>
          <t>037-STBU</t>
        </is>
      </c>
      <c r="D118" s="43" t="inlineStr">
        <is>
          <t>FJZP</t>
        </is>
      </c>
      <c r="E118" s="43" t="inlineStr">
        <is>
          <t>MCGA</t>
        </is>
      </c>
      <c r="F118" s="43" t="inlineStr">
        <is>
          <t>68-7638-01</t>
        </is>
      </c>
      <c r="G118" s="43" t="inlineStr">
        <is>
          <t>OTHER_SCOPE_ITEM</t>
        </is>
      </c>
      <c r="H118" s="43" t="inlineStr"/>
      <c r="I118" s="43" t="inlineStr">
        <is>
          <t>Expired</t>
        </is>
      </c>
      <c r="J118" s="32" t="n">
        <v>45837</v>
      </c>
      <c r="K118" s="32" t="n">
        <v>45762</v>
      </c>
      <c r="L118" s="43" t="inlineStr">
        <is>
          <t>669</t>
        </is>
      </c>
      <c r="M118" s="43" t="n">
        <v>1</v>
      </c>
      <c r="N118" s="33" t="inlineStr"/>
      <c r="O118" s="43" t="inlineStr">
        <is>
          <t>UNVERIFIED</t>
        </is>
      </c>
      <c r="P118" s="43" t="inlineStr">
        <is>
          <t>Pending Review</t>
        </is>
      </c>
      <c r="Q118" s="33" t="inlineStr">
        <is>
          <t>Confirmar SKU/PCBA revision, PN exacto en Common DB, WO, BU, vigencia, planta y aprobacion firmada.</t>
        </is>
      </c>
    </row>
    <row r="119">
      <c r="A119" s="43" t="inlineStr">
        <is>
          <t>CTANJZ04537</t>
        </is>
      </c>
      <c r="B119" s="43" t="inlineStr">
        <is>
          <t>D602319</t>
        </is>
      </c>
      <c r="C119" s="43" t="inlineStr">
        <is>
          <t>037-STBU</t>
        </is>
      </c>
      <c r="D119" s="43" t="inlineStr">
        <is>
          <t>FJZP</t>
        </is>
      </c>
      <c r="E119" s="43" t="inlineStr">
        <is>
          <t>MCGA</t>
        </is>
      </c>
      <c r="F119" s="43" t="inlineStr">
        <is>
          <t>73-20247-05</t>
        </is>
      </c>
      <c r="G119" s="43" t="inlineStr">
        <is>
          <t>BOARD_PN_CANDIDATE</t>
        </is>
      </c>
      <c r="H119" s="43" t="inlineStr"/>
      <c r="I119" s="43" t="inlineStr">
        <is>
          <t>Expired</t>
        </is>
      </c>
      <c r="J119" s="32" t="n">
        <v>45837</v>
      </c>
      <c r="K119" s="32" t="n">
        <v>45762</v>
      </c>
      <c r="L119" s="43" t="inlineStr">
        <is>
          <t>670</t>
        </is>
      </c>
      <c r="M119" s="43" t="n">
        <v>1</v>
      </c>
      <c r="N119" s="33" t="inlineStr"/>
      <c r="O119" s="43" t="inlineStr">
        <is>
          <t>UNVERIFIED</t>
        </is>
      </c>
      <c r="P119" s="43" t="inlineStr">
        <is>
          <t>Pending Review</t>
        </is>
      </c>
      <c r="Q119" s="33" t="inlineStr">
        <is>
          <t>Confirmar SKU/PCBA revision, PN exacto en Common DB, WO, BU, vigencia, planta y aprobacion firmada.</t>
        </is>
      </c>
    </row>
    <row r="120">
      <c r="A120" s="43" t="inlineStr">
        <is>
          <t>CTANJZ04537</t>
        </is>
      </c>
      <c r="B120" s="43" t="inlineStr">
        <is>
          <t>D602319</t>
        </is>
      </c>
      <c r="C120" s="43" t="inlineStr">
        <is>
          <t>037-STBU</t>
        </is>
      </c>
      <c r="D120" s="43" t="inlineStr">
        <is>
          <t>FJZP</t>
        </is>
      </c>
      <c r="E120" s="43" t="inlineStr">
        <is>
          <t>MCGA</t>
        </is>
      </c>
      <c r="F120" s="43" t="inlineStr">
        <is>
          <t>73-20249-05</t>
        </is>
      </c>
      <c r="G120" s="43" t="inlineStr">
        <is>
          <t>BOARD_PN_CANDIDATE</t>
        </is>
      </c>
      <c r="H120" s="43" t="inlineStr"/>
      <c r="I120" s="43" t="inlineStr">
        <is>
          <t>Expired</t>
        </is>
      </c>
      <c r="J120" s="32" t="n">
        <v>45837</v>
      </c>
      <c r="K120" s="32" t="n">
        <v>45762</v>
      </c>
      <c r="L120" s="43" t="inlineStr">
        <is>
          <t>671</t>
        </is>
      </c>
      <c r="M120" s="43" t="n">
        <v>1</v>
      </c>
      <c r="N120" s="33" t="inlineStr"/>
      <c r="O120" s="43" t="inlineStr">
        <is>
          <t>UNVERIFIED</t>
        </is>
      </c>
      <c r="P120" s="43" t="inlineStr">
        <is>
          <t>Pending Review</t>
        </is>
      </c>
      <c r="Q120" s="33" t="inlineStr">
        <is>
          <t>Confirmar SKU/PCBA revision, PN exacto en Common DB, WO, BU, vigencia, planta y aprobacion firmada.</t>
        </is>
      </c>
    </row>
    <row r="121">
      <c r="A121" s="43" t="inlineStr">
        <is>
          <t>CTANJZ04537</t>
        </is>
      </c>
      <c r="B121" s="43" t="inlineStr">
        <is>
          <t>D602319</t>
        </is>
      </c>
      <c r="C121" s="43" t="inlineStr">
        <is>
          <t>037-STBU</t>
        </is>
      </c>
      <c r="D121" s="43" t="inlineStr">
        <is>
          <t>FJZP</t>
        </is>
      </c>
      <c r="E121" s="43" t="inlineStr">
        <is>
          <t>MCGA</t>
        </is>
      </c>
      <c r="F121" s="43" t="inlineStr">
        <is>
          <t>800-108035-04</t>
        </is>
      </c>
      <c r="G121" s="43" t="inlineStr">
        <is>
          <t>OTHER_SCOPE_ITEM</t>
        </is>
      </c>
      <c r="H121" s="43" t="inlineStr"/>
      <c r="I121" s="43" t="inlineStr">
        <is>
          <t>Expired</t>
        </is>
      </c>
      <c r="J121" s="32" t="n">
        <v>45837</v>
      </c>
      <c r="K121" s="32" t="n">
        <v>45762</v>
      </c>
      <c r="L121" s="43" t="inlineStr">
        <is>
          <t>672</t>
        </is>
      </c>
      <c r="M121" s="43" t="n">
        <v>1</v>
      </c>
      <c r="N121" s="33" t="inlineStr"/>
      <c r="O121" s="43" t="inlineStr">
        <is>
          <t>UNVERIFIED</t>
        </is>
      </c>
      <c r="P121" s="43" t="inlineStr">
        <is>
          <t>Pending Review</t>
        </is>
      </c>
      <c r="Q121" s="33" t="inlineStr">
        <is>
          <t>Confirmar SKU/PCBA revision, PN exacto en Common DB, WO, BU, vigencia, planta y aprobacion firmada.</t>
        </is>
      </c>
    </row>
    <row r="122">
      <c r="A122" s="43" t="inlineStr">
        <is>
          <t>CTANJZ04537</t>
        </is>
      </c>
      <c r="B122" s="43" t="inlineStr">
        <is>
          <t>D602319</t>
        </is>
      </c>
      <c r="C122" s="43" t="inlineStr">
        <is>
          <t>037-STBU</t>
        </is>
      </c>
      <c r="D122" s="43" t="inlineStr">
        <is>
          <t>FJZP</t>
        </is>
      </c>
      <c r="E122" s="43" t="inlineStr">
        <is>
          <t>MCGA</t>
        </is>
      </c>
      <c r="F122" s="43" t="inlineStr">
        <is>
          <t>800-108036-04</t>
        </is>
      </c>
      <c r="G122" s="43" t="inlineStr">
        <is>
          <t>OTHER_SCOPE_ITEM</t>
        </is>
      </c>
      <c r="H122" s="43" t="inlineStr"/>
      <c r="I122" s="43" t="inlineStr">
        <is>
          <t>Expired</t>
        </is>
      </c>
      <c r="J122" s="32" t="n">
        <v>45837</v>
      </c>
      <c r="K122" s="32" t="n">
        <v>45762</v>
      </c>
      <c r="L122" s="43" t="inlineStr">
        <is>
          <t>673</t>
        </is>
      </c>
      <c r="M122" s="43" t="n">
        <v>1</v>
      </c>
      <c r="N122" s="33" t="inlineStr"/>
      <c r="O122" s="43" t="inlineStr">
        <is>
          <t>UNVERIFIED</t>
        </is>
      </c>
      <c r="P122" s="43" t="inlineStr">
        <is>
          <t>Pending Review</t>
        </is>
      </c>
      <c r="Q122" s="33" t="inlineStr">
        <is>
          <t>Confirmar SKU/PCBA revision, PN exacto en Common DB, WO, BU, vigencia, planta y aprobacion firmada.</t>
        </is>
      </c>
    </row>
    <row r="123">
      <c r="A123" s="43" t="inlineStr">
        <is>
          <t>CTANJZ04537</t>
        </is>
      </c>
      <c r="B123" s="43" t="inlineStr">
        <is>
          <t>D602319</t>
        </is>
      </c>
      <c r="C123" s="43" t="inlineStr">
        <is>
          <t>037-STBU</t>
        </is>
      </c>
      <c r="D123" s="43" t="inlineStr">
        <is>
          <t>FJZP</t>
        </is>
      </c>
      <c r="E123" s="43" t="inlineStr">
        <is>
          <t>MCGA</t>
        </is>
      </c>
      <c r="F123" s="43" t="inlineStr">
        <is>
          <t>800-108037-04</t>
        </is>
      </c>
      <c r="G123" s="43" t="inlineStr">
        <is>
          <t>OTHER_SCOPE_ITEM</t>
        </is>
      </c>
      <c r="H123" s="43" t="inlineStr"/>
      <c r="I123" s="43" t="inlineStr">
        <is>
          <t>Expired</t>
        </is>
      </c>
      <c r="J123" s="32" t="n">
        <v>45837</v>
      </c>
      <c r="K123" s="32" t="n">
        <v>45762</v>
      </c>
      <c r="L123" s="43" t="inlineStr">
        <is>
          <t>674</t>
        </is>
      </c>
      <c r="M123" s="43" t="n">
        <v>1</v>
      </c>
      <c r="N123" s="33" t="inlineStr"/>
      <c r="O123" s="43" t="inlineStr">
        <is>
          <t>UNVERIFIED</t>
        </is>
      </c>
      <c r="P123" s="43" t="inlineStr">
        <is>
          <t>Pending Review</t>
        </is>
      </c>
      <c r="Q123" s="33" t="inlineStr">
        <is>
          <t>Confirmar SKU/PCBA revision, PN exacto en Common DB, WO, BU, vigencia, planta y aprobacion firmada.</t>
        </is>
      </c>
    </row>
    <row r="124">
      <c r="A124" s="43" t="inlineStr">
        <is>
          <t>CTANJZ04537</t>
        </is>
      </c>
      <c r="B124" s="43" t="inlineStr">
        <is>
          <t>D602319</t>
        </is>
      </c>
      <c r="C124" s="43" t="inlineStr">
        <is>
          <t>037-STBU</t>
        </is>
      </c>
      <c r="D124" s="43" t="inlineStr">
        <is>
          <t>FJZP</t>
        </is>
      </c>
      <c r="E124" s="43" t="inlineStr">
        <is>
          <t>MCGA</t>
        </is>
      </c>
      <c r="F124" s="43" t="inlineStr">
        <is>
          <t>800-108038-04</t>
        </is>
      </c>
      <c r="G124" s="43" t="inlineStr">
        <is>
          <t>OTHER_SCOPE_ITEM</t>
        </is>
      </c>
      <c r="H124" s="43" t="inlineStr"/>
      <c r="I124" s="43" t="inlineStr">
        <is>
          <t>Expired</t>
        </is>
      </c>
      <c r="J124" s="32" t="n">
        <v>45837</v>
      </c>
      <c r="K124" s="32" t="n">
        <v>45762</v>
      </c>
      <c r="L124" s="43" t="inlineStr">
        <is>
          <t>675</t>
        </is>
      </c>
      <c r="M124" s="43" t="n">
        <v>1</v>
      </c>
      <c r="N124" s="33" t="inlineStr"/>
      <c r="O124" s="43" t="inlineStr">
        <is>
          <t>UNVERIFIED</t>
        </is>
      </c>
      <c r="P124" s="43" t="inlineStr">
        <is>
          <t>Pending Review</t>
        </is>
      </c>
      <c r="Q124" s="33" t="inlineStr">
        <is>
          <t>Confirmar SKU/PCBA revision, PN exacto en Common DB, WO, BU, vigencia, planta y aprobacion firmada.</t>
        </is>
      </c>
    </row>
    <row r="125">
      <c r="A125" s="43" t="inlineStr">
        <is>
          <t>CTANJZ04537</t>
        </is>
      </c>
      <c r="B125" s="43" t="inlineStr">
        <is>
          <t>D602319</t>
        </is>
      </c>
      <c r="C125" s="43" t="inlineStr">
        <is>
          <t>037-STBU</t>
        </is>
      </c>
      <c r="D125" s="43" t="inlineStr">
        <is>
          <t>FJZP</t>
        </is>
      </c>
      <c r="E125" s="43" t="inlineStr">
        <is>
          <t>MCGA</t>
        </is>
      </c>
      <c r="F125" s="43" t="inlineStr">
        <is>
          <t>800-110666-01</t>
        </is>
      </c>
      <c r="G125" s="43" t="inlineStr">
        <is>
          <t>OTHER_SCOPE_ITEM</t>
        </is>
      </c>
      <c r="H125" s="43" t="inlineStr"/>
      <c r="I125" s="43" t="inlineStr">
        <is>
          <t>Expired</t>
        </is>
      </c>
      <c r="J125" s="32" t="n">
        <v>45837</v>
      </c>
      <c r="K125" s="32" t="n">
        <v>45762</v>
      </c>
      <c r="L125" s="43" t="inlineStr">
        <is>
          <t>676</t>
        </is>
      </c>
      <c r="M125" s="43" t="n">
        <v>1</v>
      </c>
      <c r="N125" s="33" t="inlineStr"/>
      <c r="O125" s="43" t="inlineStr">
        <is>
          <t>UNVERIFIED</t>
        </is>
      </c>
      <c r="P125" s="43" t="inlineStr">
        <is>
          <t>Pending Review</t>
        </is>
      </c>
      <c r="Q125" s="33" t="inlineStr">
        <is>
          <t>Confirmar SKU/PCBA revision, PN exacto en Common DB, WO, BU, vigencia, planta y aprobacion firmada.</t>
        </is>
      </c>
    </row>
    <row r="126">
      <c r="A126" s="43" t="inlineStr">
        <is>
          <t>CTANJZ04545</t>
        </is>
      </c>
      <c r="B126" s="43" t="inlineStr">
        <is>
          <t>D601188</t>
        </is>
      </c>
      <c r="C126" s="43" t="inlineStr">
        <is>
          <t>037-STBU</t>
        </is>
      </c>
      <c r="D126" s="43" t="inlineStr">
        <is>
          <t>FJZP</t>
        </is>
      </c>
      <c r="E126" s="43" t="inlineStr">
        <is>
          <t>MCGA</t>
        </is>
      </c>
      <c r="F126" s="43" t="inlineStr">
        <is>
          <t>25-1209-01</t>
        </is>
      </c>
      <c r="G126" s="43" t="inlineStr">
        <is>
          <t>OTHER_SCOPE_ITEM</t>
        </is>
      </c>
      <c r="H126" s="43" t="inlineStr"/>
      <c r="I126" s="43" t="inlineStr">
        <is>
          <t>Expired</t>
        </is>
      </c>
      <c r="J126" s="32" t="n">
        <v>45840</v>
      </c>
      <c r="K126" s="32" t="n">
        <v>45769</v>
      </c>
      <c r="L126" s="43" t="inlineStr">
        <is>
          <t>1552</t>
        </is>
      </c>
      <c r="M126" s="43" t="n">
        <v>1</v>
      </c>
      <c r="N126" s="33" t="inlineStr"/>
      <c r="O126" s="43" t="inlineStr">
        <is>
          <t>UNVERIFIED</t>
        </is>
      </c>
      <c r="P126" s="43" t="inlineStr">
        <is>
          <t>Pending Review</t>
        </is>
      </c>
      <c r="Q126" s="33" t="inlineStr">
        <is>
          <t>Confirmar SKU/PCBA revision, PN exacto en Common DB, WO, BU, vigencia, planta y aprobacion firmada.</t>
        </is>
      </c>
    </row>
    <row r="127">
      <c r="A127" s="43" t="inlineStr">
        <is>
          <t>CTANJZ04545</t>
        </is>
      </c>
      <c r="B127" s="43" t="inlineStr">
        <is>
          <t>D601188</t>
        </is>
      </c>
      <c r="C127" s="43" t="inlineStr">
        <is>
          <t>037-STBU</t>
        </is>
      </c>
      <c r="D127" s="43" t="inlineStr">
        <is>
          <t>FJZP</t>
        </is>
      </c>
      <c r="E127" s="43" t="inlineStr">
        <is>
          <t>MCGA</t>
        </is>
      </c>
      <c r="F127" s="43" t="inlineStr">
        <is>
          <t>68-7028-03</t>
        </is>
      </c>
      <c r="G127" s="43" t="inlineStr">
        <is>
          <t>OTHER_SCOPE_ITEM</t>
        </is>
      </c>
      <c r="H127" s="43" t="inlineStr"/>
      <c r="I127" s="43" t="inlineStr">
        <is>
          <t>Expired</t>
        </is>
      </c>
      <c r="J127" s="32" t="n">
        <v>45840</v>
      </c>
      <c r="K127" s="32" t="n">
        <v>45769</v>
      </c>
      <c r="L127" s="43" t="inlineStr">
        <is>
          <t>1553</t>
        </is>
      </c>
      <c r="M127" s="43" t="n">
        <v>1</v>
      </c>
      <c r="N127" s="33" t="inlineStr"/>
      <c r="O127" s="43" t="inlineStr">
        <is>
          <t>UNVERIFIED</t>
        </is>
      </c>
      <c r="P127" s="43" t="inlineStr">
        <is>
          <t>Pending Review</t>
        </is>
      </c>
      <c r="Q127" s="33" t="inlineStr">
        <is>
          <t>Confirmar SKU/PCBA revision, PN exacto en Common DB, WO, BU, vigencia, planta y aprobacion firmada.</t>
        </is>
      </c>
    </row>
    <row r="128">
      <c r="A128" s="43" t="inlineStr">
        <is>
          <t>CTANJZ04545</t>
        </is>
      </c>
      <c r="B128" s="43" t="inlineStr">
        <is>
          <t>D601188</t>
        </is>
      </c>
      <c r="C128" s="43" t="inlineStr">
        <is>
          <t>037-STBU</t>
        </is>
      </c>
      <c r="D128" s="43" t="inlineStr">
        <is>
          <t>FJZP</t>
        </is>
      </c>
      <c r="E128" s="43" t="inlineStr">
        <is>
          <t>MCGA</t>
        </is>
      </c>
      <c r="F128" s="43" t="inlineStr">
        <is>
          <t>73-17498-04</t>
        </is>
      </c>
      <c r="G128" s="43" t="inlineStr">
        <is>
          <t>BOARD_PN_CANDIDATE</t>
        </is>
      </c>
      <c r="H128" s="43" t="inlineStr"/>
      <c r="I128" s="43" t="inlineStr">
        <is>
          <t>Expired</t>
        </is>
      </c>
      <c r="J128" s="32" t="n">
        <v>45840</v>
      </c>
      <c r="K128" s="32" t="n">
        <v>45769</v>
      </c>
      <c r="L128" s="43" t="inlineStr">
        <is>
          <t>1554</t>
        </is>
      </c>
      <c r="M128" s="43" t="n">
        <v>1</v>
      </c>
      <c r="N128" s="33" t="inlineStr"/>
      <c r="O128" s="43" t="inlineStr">
        <is>
          <t>UNVERIFIED</t>
        </is>
      </c>
      <c r="P128" s="43" t="inlineStr">
        <is>
          <t>Pending Review</t>
        </is>
      </c>
      <c r="Q128" s="33" t="inlineStr">
        <is>
          <t>Confirmar SKU/PCBA revision, PN exacto en Common DB, WO, BU, vigencia, planta y aprobacion firmada.</t>
        </is>
      </c>
    </row>
    <row r="129">
      <c r="A129" s="43" t="inlineStr">
        <is>
          <t>CTANJZ04552</t>
        </is>
      </c>
      <c r="B129" s="43" t="inlineStr">
        <is>
          <t>D603244</t>
        </is>
      </c>
      <c r="C129" s="43" t="inlineStr">
        <is>
          <t>037-STBU</t>
        </is>
      </c>
      <c r="D129" s="43" t="inlineStr">
        <is>
          <t>FJZP</t>
        </is>
      </c>
      <c r="E129" s="43" t="inlineStr">
        <is>
          <t>MCGA</t>
        </is>
      </c>
      <c r="F129" s="43" t="inlineStr">
        <is>
          <t>35-0038-01</t>
        </is>
      </c>
      <c r="G129" s="43" t="inlineStr">
        <is>
          <t>OTHER_SCOPE_ITEM</t>
        </is>
      </c>
      <c r="H129" s="43" t="inlineStr"/>
      <c r="I129" s="43" t="inlineStr">
        <is>
          <t>Expired</t>
        </is>
      </c>
      <c r="J129" s="32" t="n">
        <v>45845</v>
      </c>
      <c r="K129" s="32" t="n">
        <v>45771</v>
      </c>
      <c r="L129" s="43" t="inlineStr">
        <is>
          <t>677</t>
        </is>
      </c>
      <c r="M129" s="43" t="n">
        <v>1</v>
      </c>
      <c r="N129" s="33" t="inlineStr"/>
      <c r="O129" s="43" t="inlineStr">
        <is>
          <t>UNVERIFIED</t>
        </is>
      </c>
      <c r="P129" s="43" t="inlineStr">
        <is>
          <t>Pending Review</t>
        </is>
      </c>
      <c r="Q129" s="33" t="inlineStr">
        <is>
          <t>Confirmar SKU/PCBA revision, PN exacto en Common DB, WO, BU, vigencia, planta y aprobacion firmada.</t>
        </is>
      </c>
    </row>
    <row r="130">
      <c r="A130" s="43" t="inlineStr">
        <is>
          <t>CTANJZ04552</t>
        </is>
      </c>
      <c r="B130" s="43" t="inlineStr">
        <is>
          <t>D603244</t>
        </is>
      </c>
      <c r="C130" s="43" t="inlineStr">
        <is>
          <t>037-STBU</t>
        </is>
      </c>
      <c r="D130" s="43" t="inlineStr">
        <is>
          <t>FJZP</t>
        </is>
      </c>
      <c r="E130" s="43" t="inlineStr">
        <is>
          <t>MCGA</t>
        </is>
      </c>
      <c r="F130" s="43" t="inlineStr">
        <is>
          <t>73-17567-12</t>
        </is>
      </c>
      <c r="G130" s="43" t="inlineStr">
        <is>
          <t>BOARD_PN_CANDIDATE</t>
        </is>
      </c>
      <c r="H130" s="43" t="inlineStr"/>
      <c r="I130" s="43" t="inlineStr">
        <is>
          <t>Expired</t>
        </is>
      </c>
      <c r="J130" s="32" t="n">
        <v>45845</v>
      </c>
      <c r="K130" s="32" t="n">
        <v>45771</v>
      </c>
      <c r="L130" s="43" t="inlineStr">
        <is>
          <t>678</t>
        </is>
      </c>
      <c r="M130" s="43" t="n">
        <v>1</v>
      </c>
      <c r="N130" s="33" t="inlineStr"/>
      <c r="O130" s="43" t="inlineStr">
        <is>
          <t>UNVERIFIED</t>
        </is>
      </c>
      <c r="P130" s="43" t="inlineStr">
        <is>
          <t>Pending Review</t>
        </is>
      </c>
      <c r="Q130" s="33" t="inlineStr">
        <is>
          <t>Confirmar SKU/PCBA revision, PN exacto en Common DB, WO, BU, vigencia, planta y aprobacion firmada.</t>
        </is>
      </c>
    </row>
    <row r="131">
      <c r="A131" s="43" t="inlineStr">
        <is>
          <t>CTANJZ04552</t>
        </is>
      </c>
      <c r="B131" s="43" t="inlineStr">
        <is>
          <t>D603244</t>
        </is>
      </c>
      <c r="C131" s="43" t="inlineStr">
        <is>
          <t>037-STBU</t>
        </is>
      </c>
      <c r="D131" s="43" t="inlineStr">
        <is>
          <t>FJZP</t>
        </is>
      </c>
      <c r="E131" s="43" t="inlineStr">
        <is>
          <t>MCGA</t>
        </is>
      </c>
      <c r="F131" s="43" t="inlineStr">
        <is>
          <t>73-17568-12</t>
        </is>
      </c>
      <c r="G131" s="43" t="inlineStr">
        <is>
          <t>BOARD_PN_CANDIDATE</t>
        </is>
      </c>
      <c r="H131" s="43" t="inlineStr"/>
      <c r="I131" s="43" t="inlineStr">
        <is>
          <t>Expired</t>
        </is>
      </c>
      <c r="J131" s="32" t="n">
        <v>45845</v>
      </c>
      <c r="K131" s="32" t="n">
        <v>45771</v>
      </c>
      <c r="L131" s="43" t="inlineStr">
        <is>
          <t>741</t>
        </is>
      </c>
      <c r="M131" s="43" t="n">
        <v>1</v>
      </c>
      <c r="N131" s="33" t="inlineStr"/>
      <c r="O131" s="43" t="inlineStr">
        <is>
          <t>UNVERIFIED</t>
        </is>
      </c>
      <c r="P131" s="43" t="inlineStr">
        <is>
          <t>Pending Review</t>
        </is>
      </c>
      <c r="Q131" s="33" t="inlineStr">
        <is>
          <t>Confirmar SKU/PCBA revision, PN exacto en Common DB, WO, BU, vigencia, planta y aprobacion firmada.</t>
        </is>
      </c>
    </row>
    <row r="132">
      <c r="A132" s="43" t="inlineStr">
        <is>
          <t>CTANJZ04552</t>
        </is>
      </c>
      <c r="B132" s="43" t="inlineStr">
        <is>
          <t>D603244</t>
        </is>
      </c>
      <c r="C132" s="43" t="inlineStr">
        <is>
          <t>037-STBU</t>
        </is>
      </c>
      <c r="D132" s="43" t="inlineStr">
        <is>
          <t>FJZP</t>
        </is>
      </c>
      <c r="E132" s="43" t="inlineStr">
        <is>
          <t>MCGA</t>
        </is>
      </c>
      <c r="F132" s="43" t="inlineStr">
        <is>
          <t>73-17569-10</t>
        </is>
      </c>
      <c r="G132" s="43" t="inlineStr">
        <is>
          <t>BOARD_PN_CANDIDATE</t>
        </is>
      </c>
      <c r="H132" s="43" t="inlineStr"/>
      <c r="I132" s="43" t="inlineStr">
        <is>
          <t>Expired</t>
        </is>
      </c>
      <c r="J132" s="32" t="n">
        <v>45845</v>
      </c>
      <c r="K132" s="32" t="n">
        <v>45771</v>
      </c>
      <c r="L132" s="43" t="inlineStr">
        <is>
          <t>742</t>
        </is>
      </c>
      <c r="M132" s="43" t="n">
        <v>1</v>
      </c>
      <c r="N132" s="33" t="inlineStr"/>
      <c r="O132" s="43" t="inlineStr">
        <is>
          <t>UNVERIFIED</t>
        </is>
      </c>
      <c r="P132" s="43" t="inlineStr">
        <is>
          <t>Pending Review</t>
        </is>
      </c>
      <c r="Q132" s="33" t="inlineStr">
        <is>
          <t>Confirmar SKU/PCBA revision, PN exacto en Common DB, WO, BU, vigencia, planta y aprobacion firmada.</t>
        </is>
      </c>
    </row>
    <row r="133">
      <c r="A133" s="43" t="inlineStr">
        <is>
          <t>CTANJZ04552</t>
        </is>
      </c>
      <c r="B133" s="43" t="inlineStr">
        <is>
          <t>D603244</t>
        </is>
      </c>
      <c r="C133" s="43" t="inlineStr">
        <is>
          <t>037-STBU</t>
        </is>
      </c>
      <c r="D133" s="43" t="inlineStr">
        <is>
          <t>FJZP</t>
        </is>
      </c>
      <c r="E133" s="43" t="inlineStr">
        <is>
          <t>MCGA</t>
        </is>
      </c>
      <c r="F133" s="43" t="inlineStr">
        <is>
          <t>73-17570-10</t>
        </is>
      </c>
      <c r="G133" s="43" t="inlineStr">
        <is>
          <t>BOARD_PN_CANDIDATE</t>
        </is>
      </c>
      <c r="H133" s="43" t="inlineStr"/>
      <c r="I133" s="43" t="inlineStr">
        <is>
          <t>Expired</t>
        </is>
      </c>
      <c r="J133" s="32" t="n">
        <v>45845</v>
      </c>
      <c r="K133" s="32" t="n">
        <v>45771</v>
      </c>
      <c r="L133" s="43" t="inlineStr">
        <is>
          <t>743</t>
        </is>
      </c>
      <c r="M133" s="43" t="n">
        <v>1</v>
      </c>
      <c r="N133" s="33" t="inlineStr"/>
      <c r="O133" s="43" t="inlineStr">
        <is>
          <t>UNVERIFIED</t>
        </is>
      </c>
      <c r="P133" s="43" t="inlineStr">
        <is>
          <t>Pending Review</t>
        </is>
      </c>
      <c r="Q133" s="33" t="inlineStr">
        <is>
          <t>Confirmar SKU/PCBA revision, PN exacto en Common DB, WO, BU, vigencia, planta y aprobacion firmada.</t>
        </is>
      </c>
    </row>
    <row r="134">
      <c r="A134" s="43" t="inlineStr">
        <is>
          <t>CTANJZ04552</t>
        </is>
      </c>
      <c r="B134" s="43" t="inlineStr">
        <is>
          <t>D603244</t>
        </is>
      </c>
      <c r="C134" s="43" t="inlineStr">
        <is>
          <t>037-STBU</t>
        </is>
      </c>
      <c r="D134" s="43" t="inlineStr">
        <is>
          <t>FJZP</t>
        </is>
      </c>
      <c r="E134" s="43" t="inlineStr">
        <is>
          <t>MCGA</t>
        </is>
      </c>
      <c r="F134" s="43" t="inlineStr">
        <is>
          <t>800-103842-08</t>
        </is>
      </c>
      <c r="G134" s="43" t="inlineStr">
        <is>
          <t>OTHER_SCOPE_ITEM</t>
        </is>
      </c>
      <c r="H134" s="43" t="inlineStr"/>
      <c r="I134" s="43" t="inlineStr">
        <is>
          <t>Expired</t>
        </is>
      </c>
      <c r="J134" s="32" t="n">
        <v>45845</v>
      </c>
      <c r="K134" s="32" t="n">
        <v>45771</v>
      </c>
      <c r="L134" s="43" t="inlineStr">
        <is>
          <t>744</t>
        </is>
      </c>
      <c r="M134" s="43" t="n">
        <v>1</v>
      </c>
      <c r="N134" s="33" t="inlineStr"/>
      <c r="O134" s="43" t="inlineStr">
        <is>
          <t>UNVERIFIED</t>
        </is>
      </c>
      <c r="P134" s="43" t="inlineStr">
        <is>
          <t>Pending Review</t>
        </is>
      </c>
      <c r="Q134" s="33" t="inlineStr">
        <is>
          <t>Confirmar SKU/PCBA revision, PN exacto en Common DB, WO, BU, vigencia, planta y aprobacion firmada.</t>
        </is>
      </c>
    </row>
    <row r="135">
      <c r="A135" s="43" t="inlineStr">
        <is>
          <t>CTANJZ04552</t>
        </is>
      </c>
      <c r="B135" s="43" t="inlineStr">
        <is>
          <t>D603244</t>
        </is>
      </c>
      <c r="C135" s="43" t="inlineStr">
        <is>
          <t>037-STBU</t>
        </is>
      </c>
      <c r="D135" s="43" t="inlineStr">
        <is>
          <t>FJZP</t>
        </is>
      </c>
      <c r="E135" s="43" t="inlineStr">
        <is>
          <t>MCGA</t>
        </is>
      </c>
      <c r="F135" s="43" t="inlineStr">
        <is>
          <t>800-103843-08</t>
        </is>
      </c>
      <c r="G135" s="43" t="inlineStr">
        <is>
          <t>OTHER_SCOPE_ITEM</t>
        </is>
      </c>
      <c r="H135" s="43" t="inlineStr"/>
      <c r="I135" s="43" t="inlineStr">
        <is>
          <t>Expired</t>
        </is>
      </c>
      <c r="J135" s="32" t="n">
        <v>45845</v>
      </c>
      <c r="K135" s="32" t="n">
        <v>45771</v>
      </c>
      <c r="L135" s="43" t="inlineStr">
        <is>
          <t>745</t>
        </is>
      </c>
      <c r="M135" s="43" t="n">
        <v>1</v>
      </c>
      <c r="N135" s="33" t="inlineStr"/>
      <c r="O135" s="43" t="inlineStr">
        <is>
          <t>UNVERIFIED</t>
        </is>
      </c>
      <c r="P135" s="43" t="inlineStr">
        <is>
          <t>Pending Review</t>
        </is>
      </c>
      <c r="Q135" s="33" t="inlineStr">
        <is>
          <t>Confirmar SKU/PCBA revision, PN exacto en Common DB, WO, BU, vigencia, planta y aprobacion firmada.</t>
        </is>
      </c>
    </row>
    <row r="136">
      <c r="A136" s="43" t="inlineStr">
        <is>
          <t>CTANJZ04552</t>
        </is>
      </c>
      <c r="B136" s="43" t="inlineStr">
        <is>
          <t>D603244</t>
        </is>
      </c>
      <c r="C136" s="43" t="inlineStr">
        <is>
          <t>037-STBU</t>
        </is>
      </c>
      <c r="D136" s="43" t="inlineStr">
        <is>
          <t>FJZP</t>
        </is>
      </c>
      <c r="E136" s="43" t="inlineStr">
        <is>
          <t>MCGA</t>
        </is>
      </c>
      <c r="F136" s="43" t="inlineStr">
        <is>
          <t>800-103844-08</t>
        </is>
      </c>
      <c r="G136" s="43" t="inlineStr">
        <is>
          <t>OTHER_SCOPE_ITEM</t>
        </is>
      </c>
      <c r="H136" s="43" t="inlineStr"/>
      <c r="I136" s="43" t="inlineStr">
        <is>
          <t>Expired</t>
        </is>
      </c>
      <c r="J136" s="32" t="n">
        <v>45845</v>
      </c>
      <c r="K136" s="32" t="n">
        <v>45771</v>
      </c>
      <c r="L136" s="43" t="inlineStr">
        <is>
          <t>746</t>
        </is>
      </c>
      <c r="M136" s="43" t="n">
        <v>1</v>
      </c>
      <c r="N136" s="33" t="inlineStr"/>
      <c r="O136" s="43" t="inlineStr">
        <is>
          <t>UNVERIFIED</t>
        </is>
      </c>
      <c r="P136" s="43" t="inlineStr">
        <is>
          <t>Pending Review</t>
        </is>
      </c>
      <c r="Q136" s="33" t="inlineStr">
        <is>
          <t>Confirmar SKU/PCBA revision, PN exacto en Common DB, WO, BU, vigencia, planta y aprobacion firmada.</t>
        </is>
      </c>
    </row>
    <row r="137">
      <c r="A137" s="43" t="inlineStr">
        <is>
          <t>CTANJZ04552</t>
        </is>
      </c>
      <c r="B137" s="43" t="inlineStr">
        <is>
          <t>D603244</t>
        </is>
      </c>
      <c r="C137" s="43" t="inlineStr">
        <is>
          <t>037-STBU</t>
        </is>
      </c>
      <c r="D137" s="43" t="inlineStr">
        <is>
          <t>FJZP</t>
        </is>
      </c>
      <c r="E137" s="43" t="inlineStr">
        <is>
          <t>MCGA</t>
        </is>
      </c>
      <c r="F137" s="43" t="inlineStr">
        <is>
          <t>800-103845-08</t>
        </is>
      </c>
      <c r="G137" s="43" t="inlineStr">
        <is>
          <t>OTHER_SCOPE_ITEM</t>
        </is>
      </c>
      <c r="H137" s="43" t="inlineStr"/>
      <c r="I137" s="43" t="inlineStr">
        <is>
          <t>Expired</t>
        </is>
      </c>
      <c r="J137" s="32" t="n">
        <v>45845</v>
      </c>
      <c r="K137" s="32" t="n">
        <v>45771</v>
      </c>
      <c r="L137" s="43" t="inlineStr">
        <is>
          <t>747</t>
        </is>
      </c>
      <c r="M137" s="43" t="n">
        <v>1</v>
      </c>
      <c r="N137" s="33" t="inlineStr"/>
      <c r="O137" s="43" t="inlineStr">
        <is>
          <t>UNVERIFIED</t>
        </is>
      </c>
      <c r="P137" s="43" t="inlineStr">
        <is>
          <t>Pending Review</t>
        </is>
      </c>
      <c r="Q137" s="33" t="inlineStr">
        <is>
          <t>Confirmar SKU/PCBA revision, PN exacto en Common DB, WO, BU, vigencia, planta y aprobacion firmada.</t>
        </is>
      </c>
    </row>
    <row r="138">
      <c r="A138" s="43" t="inlineStr">
        <is>
          <t>CTANJZ04555</t>
        </is>
      </c>
      <c r="B138" s="43" t="inlineStr">
        <is>
          <t>D603224</t>
        </is>
      </c>
      <c r="C138" s="43" t="inlineStr">
        <is>
          <t>018-SRGBU</t>
        </is>
      </c>
      <c r="D138" s="43" t="inlineStr">
        <is>
          <t>FJZP</t>
        </is>
      </c>
      <c r="E138" s="43" t="inlineStr">
        <is>
          <t>MCGA</t>
        </is>
      </c>
      <c r="F138" s="43" t="inlineStr">
        <is>
          <t>16-102058-01</t>
        </is>
      </c>
      <c r="G138" s="43" t="inlineStr">
        <is>
          <t>OTHER_SCOPE_ITEM</t>
        </is>
      </c>
      <c r="H138" s="43" t="inlineStr"/>
      <c r="I138" s="43" t="inlineStr">
        <is>
          <t>Expired</t>
        </is>
      </c>
      <c r="J138" s="32" t="n">
        <v>45845</v>
      </c>
      <c r="K138" s="32" t="n">
        <v>45772</v>
      </c>
      <c r="L138" s="43" t="inlineStr">
        <is>
          <t>399</t>
        </is>
      </c>
      <c r="M138" s="43" t="n">
        <v>1</v>
      </c>
      <c r="N138" s="33" t="inlineStr"/>
      <c r="O138" s="43" t="inlineStr">
        <is>
          <t>UNVERIFIED</t>
        </is>
      </c>
      <c r="P138" s="43" t="inlineStr">
        <is>
          <t>Pending Review</t>
        </is>
      </c>
      <c r="Q138" s="33" t="inlineStr">
        <is>
          <t>Confirmar SKU/PCBA revision, PN exacto en Common DB, WO, BU, vigencia, planta y aprobacion firmada.</t>
        </is>
      </c>
    </row>
    <row r="139">
      <c r="A139" s="43" t="inlineStr">
        <is>
          <t>CTANJZ04555</t>
        </is>
      </c>
      <c r="B139" s="43" t="inlineStr">
        <is>
          <t>D603224</t>
        </is>
      </c>
      <c r="C139" s="43" t="inlineStr">
        <is>
          <t>018-SRGBU</t>
        </is>
      </c>
      <c r="D139" s="43" t="inlineStr">
        <is>
          <t>FJZP</t>
        </is>
      </c>
      <c r="E139" s="43" t="inlineStr">
        <is>
          <t>MCGA</t>
        </is>
      </c>
      <c r="F139" s="43" t="inlineStr">
        <is>
          <t>16-102060-01</t>
        </is>
      </c>
      <c r="G139" s="43" t="inlineStr">
        <is>
          <t>OTHER_SCOPE_ITEM</t>
        </is>
      </c>
      <c r="H139" s="43" t="inlineStr"/>
      <c r="I139" s="43" t="inlineStr">
        <is>
          <t>Expired</t>
        </is>
      </c>
      <c r="J139" s="32" t="n">
        <v>45845</v>
      </c>
      <c r="K139" s="32" t="n">
        <v>45772</v>
      </c>
      <c r="L139" s="43" t="inlineStr">
        <is>
          <t>400</t>
        </is>
      </c>
      <c r="M139" s="43" t="n">
        <v>1</v>
      </c>
      <c r="N139" s="33" t="inlineStr"/>
      <c r="O139" s="43" t="inlineStr">
        <is>
          <t>UNVERIFIED</t>
        </is>
      </c>
      <c r="P139" s="43" t="inlineStr">
        <is>
          <t>Pending Review</t>
        </is>
      </c>
      <c r="Q139" s="33" t="inlineStr">
        <is>
          <t>Confirmar SKU/PCBA revision, PN exacto en Common DB, WO, BU, vigencia, planta y aprobacion firmada.</t>
        </is>
      </c>
    </row>
    <row r="140">
      <c r="A140" s="43" t="inlineStr">
        <is>
          <t>CTANJZ04555</t>
        </is>
      </c>
      <c r="B140" s="43" t="inlineStr">
        <is>
          <t>D603224</t>
        </is>
      </c>
      <c r="C140" s="43" t="inlineStr">
        <is>
          <t>018-SRGBU</t>
        </is>
      </c>
      <c r="D140" s="43" t="inlineStr">
        <is>
          <t>FJZP</t>
        </is>
      </c>
      <c r="E140" s="43" t="inlineStr">
        <is>
          <t>MCGA</t>
        </is>
      </c>
      <c r="F140" s="43" t="inlineStr">
        <is>
          <t>800-50421-02</t>
        </is>
      </c>
      <c r="G140" s="43" t="inlineStr">
        <is>
          <t>OTHER_SCOPE_ITEM</t>
        </is>
      </c>
      <c r="H140" s="43" t="inlineStr"/>
      <c r="I140" s="43" t="inlineStr">
        <is>
          <t>Expired</t>
        </is>
      </c>
      <c r="J140" s="32" t="n">
        <v>45845</v>
      </c>
      <c r="K140" s="32" t="n">
        <v>45772</v>
      </c>
      <c r="L140" s="43" t="inlineStr">
        <is>
          <t>401</t>
        </is>
      </c>
      <c r="M140" s="43" t="n">
        <v>1</v>
      </c>
      <c r="N140" s="33" t="inlineStr"/>
      <c r="O140" s="43" t="inlineStr">
        <is>
          <t>UNVERIFIED</t>
        </is>
      </c>
      <c r="P140" s="43" t="inlineStr">
        <is>
          <t>Pending Review</t>
        </is>
      </c>
      <c r="Q140" s="33" t="inlineStr">
        <is>
          <t>Confirmar SKU/PCBA revision, PN exacto en Common DB, WO, BU, vigencia, planta y aprobacion firmada.</t>
        </is>
      </c>
    </row>
    <row r="141">
      <c r="A141" s="43" t="inlineStr">
        <is>
          <t>CTANJZ04555</t>
        </is>
      </c>
      <c r="B141" s="43" t="inlineStr">
        <is>
          <t>D603224</t>
        </is>
      </c>
      <c r="C141" s="43" t="inlineStr">
        <is>
          <t>018-SRGBU</t>
        </is>
      </c>
      <c r="D141" s="43" t="inlineStr">
        <is>
          <t>FJZP</t>
        </is>
      </c>
      <c r="E141" s="43" t="inlineStr">
        <is>
          <t>MCGA</t>
        </is>
      </c>
      <c r="F141" s="43" t="inlineStr">
        <is>
          <t>800-50422-02</t>
        </is>
      </c>
      <c r="G141" s="43" t="inlineStr">
        <is>
          <t>OTHER_SCOPE_ITEM</t>
        </is>
      </c>
      <c r="H141" s="43" t="inlineStr"/>
      <c r="I141" s="43" t="inlineStr">
        <is>
          <t>Expired</t>
        </is>
      </c>
      <c r="J141" s="32" t="n">
        <v>45845</v>
      </c>
      <c r="K141" s="32" t="n">
        <v>45772</v>
      </c>
      <c r="L141" s="43" t="inlineStr">
        <is>
          <t>402</t>
        </is>
      </c>
      <c r="M141" s="43" t="n">
        <v>1</v>
      </c>
      <c r="N141" s="33" t="inlineStr"/>
      <c r="O141" s="43" t="inlineStr">
        <is>
          <t>UNVERIFIED</t>
        </is>
      </c>
      <c r="P141" s="43" t="inlineStr">
        <is>
          <t>Pending Review</t>
        </is>
      </c>
      <c r="Q141" s="33" t="inlineStr">
        <is>
          <t>Confirmar SKU/PCBA revision, PN exacto en Common DB, WO, BU, vigencia, planta y aprobacion firmada.</t>
        </is>
      </c>
    </row>
    <row r="142">
      <c r="A142" s="43" t="inlineStr">
        <is>
          <t>CTANJZ04556</t>
        </is>
      </c>
      <c r="B142" s="43" t="inlineStr">
        <is>
          <t>D603102</t>
        </is>
      </c>
      <c r="C142" s="43" t="inlineStr">
        <is>
          <t>037-STBU</t>
        </is>
      </c>
      <c r="D142" s="43" t="inlineStr">
        <is>
          <t>FJZP</t>
        </is>
      </c>
      <c r="E142" s="43" t="inlineStr">
        <is>
          <t>MCGA</t>
        </is>
      </c>
      <c r="F142" s="43" t="inlineStr">
        <is>
          <t>17-102041-05</t>
        </is>
      </c>
      <c r="G142" s="43" t="inlineStr">
        <is>
          <t>OTHER_SCOPE_ITEM</t>
        </is>
      </c>
      <c r="H142" s="43" t="inlineStr"/>
      <c r="I142" s="43" t="inlineStr">
        <is>
          <t>Expired</t>
        </is>
      </c>
      <c r="J142" s="32" t="n">
        <v>45936</v>
      </c>
      <c r="K142" s="32" t="n">
        <v>45771</v>
      </c>
      <c r="L142" s="43" t="inlineStr">
        <is>
          <t>8</t>
        </is>
      </c>
      <c r="M142" s="43" t="n">
        <v>1</v>
      </c>
      <c r="N142" s="33" t="inlineStr"/>
      <c r="O142" s="43" t="inlineStr">
        <is>
          <t>UNVERIFIED</t>
        </is>
      </c>
      <c r="P142" s="43" t="inlineStr">
        <is>
          <t>Pending Review</t>
        </is>
      </c>
      <c r="Q142" s="33" t="inlineStr">
        <is>
          <t>Confirmar SKU/PCBA revision, PN exacto en Common DB, WO, BU, vigencia, planta y aprobacion firmada.</t>
        </is>
      </c>
    </row>
    <row r="143">
      <c r="A143" s="43" t="inlineStr">
        <is>
          <t>CTANJZ04556</t>
        </is>
      </c>
      <c r="B143" s="43" t="inlineStr">
        <is>
          <t>D603102</t>
        </is>
      </c>
      <c r="C143" s="43" t="inlineStr">
        <is>
          <t>037-STBU</t>
        </is>
      </c>
      <c r="D143" s="43" t="inlineStr">
        <is>
          <t>FJZP</t>
        </is>
      </c>
      <c r="E143" s="43" t="inlineStr">
        <is>
          <t>MCGA</t>
        </is>
      </c>
      <c r="F143" s="43" t="inlineStr">
        <is>
          <t>17-102043-02</t>
        </is>
      </c>
      <c r="G143" s="43" t="inlineStr">
        <is>
          <t>OTHER_SCOPE_ITEM</t>
        </is>
      </c>
      <c r="H143" s="43" t="inlineStr"/>
      <c r="I143" s="43" t="inlineStr">
        <is>
          <t>Expired</t>
        </is>
      </c>
      <c r="J143" s="32" t="n">
        <v>45936</v>
      </c>
      <c r="K143" s="32" t="n">
        <v>45771</v>
      </c>
      <c r="L143" s="43" t="inlineStr">
        <is>
          <t>9</t>
        </is>
      </c>
      <c r="M143" s="43" t="n">
        <v>1</v>
      </c>
      <c r="N143" s="33" t="inlineStr"/>
      <c r="O143" s="43" t="inlineStr">
        <is>
          <t>UNVERIFIED</t>
        </is>
      </c>
      <c r="P143" s="43" t="inlineStr">
        <is>
          <t>Pending Review</t>
        </is>
      </c>
      <c r="Q143" s="33" t="inlineStr">
        <is>
          <t>Confirmar SKU/PCBA revision, PN exacto en Common DB, WO, BU, vigencia, planta y aprobacion firmada.</t>
        </is>
      </c>
    </row>
    <row r="144">
      <c r="A144" s="43" t="inlineStr">
        <is>
          <t>CTANJZ04556</t>
        </is>
      </c>
      <c r="B144" s="43" t="inlineStr">
        <is>
          <t>D603102</t>
        </is>
      </c>
      <c r="C144" s="43" t="inlineStr">
        <is>
          <t>037-STBU</t>
        </is>
      </c>
      <c r="D144" s="43" t="inlineStr">
        <is>
          <t>FJZP</t>
        </is>
      </c>
      <c r="E144" s="43" t="inlineStr">
        <is>
          <t>MCGA</t>
        </is>
      </c>
      <c r="F144" s="43" t="inlineStr">
        <is>
          <t>17-102050-06</t>
        </is>
      </c>
      <c r="G144" s="43" t="inlineStr">
        <is>
          <t>OTHER_SCOPE_ITEM</t>
        </is>
      </c>
      <c r="H144" s="43" t="inlineStr"/>
      <c r="I144" s="43" t="inlineStr">
        <is>
          <t>Expired</t>
        </is>
      </c>
      <c r="J144" s="32" t="n">
        <v>45936</v>
      </c>
      <c r="K144" s="32" t="n">
        <v>45771</v>
      </c>
      <c r="L144" s="43" t="inlineStr">
        <is>
          <t>10</t>
        </is>
      </c>
      <c r="M144" s="43" t="n">
        <v>1</v>
      </c>
      <c r="N144" s="33" t="inlineStr"/>
      <c r="O144" s="43" t="inlineStr">
        <is>
          <t>UNVERIFIED</t>
        </is>
      </c>
      <c r="P144" s="43" t="inlineStr">
        <is>
          <t>Pending Review</t>
        </is>
      </c>
      <c r="Q144" s="33" t="inlineStr">
        <is>
          <t>Confirmar SKU/PCBA revision, PN exacto en Common DB, WO, BU, vigencia, planta y aprobacion firmada.</t>
        </is>
      </c>
    </row>
    <row r="145">
      <c r="A145" s="43" t="inlineStr">
        <is>
          <t>CTANJZ04556</t>
        </is>
      </c>
      <c r="B145" s="43" t="inlineStr">
        <is>
          <t>D603102</t>
        </is>
      </c>
      <c r="C145" s="43" t="inlineStr">
        <is>
          <t>037-STBU</t>
        </is>
      </c>
      <c r="D145" s="43" t="inlineStr">
        <is>
          <t>FJZP</t>
        </is>
      </c>
      <c r="E145" s="43" t="inlineStr">
        <is>
          <t>MCGA</t>
        </is>
      </c>
      <c r="F145" s="43" t="inlineStr">
        <is>
          <t>17-16001-05</t>
        </is>
      </c>
      <c r="G145" s="43" t="inlineStr">
        <is>
          <t>OTHER_SCOPE_ITEM</t>
        </is>
      </c>
      <c r="H145" s="43" t="inlineStr"/>
      <c r="I145" s="43" t="inlineStr">
        <is>
          <t>Expired</t>
        </is>
      </c>
      <c r="J145" s="32" t="n">
        <v>45936</v>
      </c>
      <c r="K145" s="32" t="n">
        <v>45771</v>
      </c>
      <c r="L145" s="43" t="inlineStr">
        <is>
          <t>20</t>
        </is>
      </c>
      <c r="M145" s="43" t="n">
        <v>1</v>
      </c>
      <c r="N145" s="33" t="inlineStr"/>
      <c r="O145" s="43" t="inlineStr">
        <is>
          <t>UNVERIFIED</t>
        </is>
      </c>
      <c r="P145" s="43" t="inlineStr">
        <is>
          <t>Pending Review</t>
        </is>
      </c>
      <c r="Q145" s="33" t="inlineStr">
        <is>
          <t>Confirmar SKU/PCBA revision, PN exacto en Common DB, WO, BU, vigencia, planta y aprobacion firmada.</t>
        </is>
      </c>
    </row>
    <row r="146">
      <c r="A146" s="43" t="inlineStr">
        <is>
          <t>CTANJZ04556</t>
        </is>
      </c>
      <c r="B146" s="43" t="inlineStr">
        <is>
          <t>D603102</t>
        </is>
      </c>
      <c r="C146" s="43" t="inlineStr">
        <is>
          <t>037-STBU</t>
        </is>
      </c>
      <c r="D146" s="43" t="inlineStr">
        <is>
          <t>FJZP</t>
        </is>
      </c>
      <c r="E146" s="43" t="inlineStr">
        <is>
          <t>MCGA</t>
        </is>
      </c>
      <c r="F146" s="43" t="inlineStr">
        <is>
          <t>73-20247-05</t>
        </is>
      </c>
      <c r="G146" s="43" t="inlineStr">
        <is>
          <t>BOARD_PN_CANDIDATE</t>
        </is>
      </c>
      <c r="H146" s="43" t="inlineStr"/>
      <c r="I146" s="43" t="inlineStr">
        <is>
          <t>Expired</t>
        </is>
      </c>
      <c r="J146" s="32" t="n">
        <v>45936</v>
      </c>
      <c r="K146" s="32" t="n">
        <v>45771</v>
      </c>
      <c r="L146" s="43" t="inlineStr">
        <is>
          <t>21</t>
        </is>
      </c>
      <c r="M146" s="43" t="n">
        <v>1</v>
      </c>
      <c r="N146" s="33" t="inlineStr"/>
      <c r="O146" s="43" t="inlineStr">
        <is>
          <t>UNVERIFIED</t>
        </is>
      </c>
      <c r="P146" s="43" t="inlineStr">
        <is>
          <t>Pending Review</t>
        </is>
      </c>
      <c r="Q146" s="33" t="inlineStr">
        <is>
          <t>Confirmar SKU/PCBA revision, PN exacto en Common DB, WO, BU, vigencia, planta y aprobacion firmada.</t>
        </is>
      </c>
    </row>
    <row r="147">
      <c r="A147" s="43" t="inlineStr">
        <is>
          <t>CTANJZ04556</t>
        </is>
      </c>
      <c r="B147" s="43" t="inlineStr">
        <is>
          <t>D603102</t>
        </is>
      </c>
      <c r="C147" s="43" t="inlineStr">
        <is>
          <t>037-STBU</t>
        </is>
      </c>
      <c r="D147" s="43" t="inlineStr">
        <is>
          <t>FJZP</t>
        </is>
      </c>
      <c r="E147" s="43" t="inlineStr">
        <is>
          <t>MCGA</t>
        </is>
      </c>
      <c r="F147" s="43" t="inlineStr">
        <is>
          <t>73-20249-05</t>
        </is>
      </c>
      <c r="G147" s="43" t="inlineStr">
        <is>
          <t>BOARD_PN_CANDIDATE</t>
        </is>
      </c>
      <c r="H147" s="43" t="inlineStr"/>
      <c r="I147" s="43" t="inlineStr">
        <is>
          <t>Expired</t>
        </is>
      </c>
      <c r="J147" s="32" t="n">
        <v>45936</v>
      </c>
      <c r="K147" s="32" t="n">
        <v>45771</v>
      </c>
      <c r="L147" s="43" t="inlineStr">
        <is>
          <t>22</t>
        </is>
      </c>
      <c r="M147" s="43" t="n">
        <v>1</v>
      </c>
      <c r="N147" s="33" t="inlineStr"/>
      <c r="O147" s="43" t="inlineStr">
        <is>
          <t>UNVERIFIED</t>
        </is>
      </c>
      <c r="P147" s="43" t="inlineStr">
        <is>
          <t>Pending Review</t>
        </is>
      </c>
      <c r="Q147" s="33" t="inlineStr">
        <is>
          <t>Confirmar SKU/PCBA revision, PN exacto en Common DB, WO, BU, vigencia, planta y aprobacion firmada.</t>
        </is>
      </c>
    </row>
    <row r="148">
      <c r="A148" s="43" t="inlineStr">
        <is>
          <t>CTANJZ04557</t>
        </is>
      </c>
      <c r="B148" s="43" t="inlineStr">
        <is>
          <t>D603243</t>
        </is>
      </c>
      <c r="C148" s="43" t="inlineStr">
        <is>
          <t>037-STBU</t>
        </is>
      </c>
      <c r="D148" s="43" t="inlineStr">
        <is>
          <t>FJZP</t>
        </is>
      </c>
      <c r="E148" s="43" t="inlineStr">
        <is>
          <t>MCGA</t>
        </is>
      </c>
      <c r="F148" s="43" t="inlineStr">
        <is>
          <t>73-18488-07</t>
        </is>
      </c>
      <c r="G148" s="43" t="inlineStr">
        <is>
          <t>BOARD_PN_CANDIDATE</t>
        </is>
      </c>
      <c r="H148" s="43" t="inlineStr"/>
      <c r="I148" s="43" t="inlineStr">
        <is>
          <t>Expired</t>
        </is>
      </c>
      <c r="J148" s="32" t="n">
        <v>45847</v>
      </c>
      <c r="K148" s="32" t="n">
        <v>45771</v>
      </c>
      <c r="L148" s="43" t="inlineStr">
        <is>
          <t>1718</t>
        </is>
      </c>
      <c r="M148" s="43" t="n">
        <v>1</v>
      </c>
      <c r="N148" s="33" t="inlineStr"/>
      <c r="O148" s="43" t="inlineStr">
        <is>
          <t>UNVERIFIED</t>
        </is>
      </c>
      <c r="P148" s="43" t="inlineStr">
        <is>
          <t>Pending Review</t>
        </is>
      </c>
      <c r="Q148" s="33" t="inlineStr">
        <is>
          <t>Confirmar SKU/PCBA revision, PN exacto en Common DB, WO, BU, vigencia, planta y aprobacion firmada.</t>
        </is>
      </c>
    </row>
    <row r="149">
      <c r="A149" s="43" t="inlineStr">
        <is>
          <t>CTANJZ04557</t>
        </is>
      </c>
      <c r="B149" s="43" t="inlineStr">
        <is>
          <t>D603243</t>
        </is>
      </c>
      <c r="C149" s="43" t="inlineStr">
        <is>
          <t>037-STBU</t>
        </is>
      </c>
      <c r="D149" s="43" t="inlineStr">
        <is>
          <t>FJZP</t>
        </is>
      </c>
      <c r="E149" s="43" t="inlineStr">
        <is>
          <t>MCGA</t>
        </is>
      </c>
      <c r="F149" s="43" t="inlineStr">
        <is>
          <t>73-18489-07</t>
        </is>
      </c>
      <c r="G149" s="43" t="inlineStr">
        <is>
          <t>BOARD_PN_CANDIDATE</t>
        </is>
      </c>
      <c r="H149" s="43" t="inlineStr"/>
      <c r="I149" s="43" t="inlineStr">
        <is>
          <t>Expired</t>
        </is>
      </c>
      <c r="J149" s="32" t="n">
        <v>45847</v>
      </c>
      <c r="K149" s="32" t="n">
        <v>45771</v>
      </c>
      <c r="L149" s="43" t="inlineStr">
        <is>
          <t>1719</t>
        </is>
      </c>
      <c r="M149" s="43" t="n">
        <v>1</v>
      </c>
      <c r="N149" s="33" t="inlineStr"/>
      <c r="O149" s="43" t="inlineStr">
        <is>
          <t>UNVERIFIED</t>
        </is>
      </c>
      <c r="P149" s="43" t="inlineStr">
        <is>
          <t>Pending Review</t>
        </is>
      </c>
      <c r="Q149" s="33" t="inlineStr">
        <is>
          <t>Confirmar SKU/PCBA revision, PN exacto en Common DB, WO, BU, vigencia, planta y aprobacion firmada.</t>
        </is>
      </c>
    </row>
    <row r="150">
      <c r="A150" s="43" t="inlineStr">
        <is>
          <t>CTANJZ04557</t>
        </is>
      </c>
      <c r="B150" s="43" t="inlineStr">
        <is>
          <t>D603243</t>
        </is>
      </c>
      <c r="C150" s="43" t="inlineStr">
        <is>
          <t>037-STBU</t>
        </is>
      </c>
      <c r="D150" s="43" t="inlineStr">
        <is>
          <t>FJZP</t>
        </is>
      </c>
      <c r="E150" s="43" t="inlineStr">
        <is>
          <t>MCGA</t>
        </is>
      </c>
      <c r="F150" s="43" t="inlineStr">
        <is>
          <t>73-18490-09</t>
        </is>
      </c>
      <c r="G150" s="43" t="inlineStr">
        <is>
          <t>BOARD_PN_CANDIDATE</t>
        </is>
      </c>
      <c r="H150" s="43" t="inlineStr"/>
      <c r="I150" s="43" t="inlineStr">
        <is>
          <t>Expired</t>
        </is>
      </c>
      <c r="J150" s="32" t="n">
        <v>45847</v>
      </c>
      <c r="K150" s="32" t="n">
        <v>45771</v>
      </c>
      <c r="L150" s="43" t="inlineStr">
        <is>
          <t>1720</t>
        </is>
      </c>
      <c r="M150" s="43" t="n">
        <v>1</v>
      </c>
      <c r="N150" s="33" t="inlineStr"/>
      <c r="O150" s="43" t="inlineStr">
        <is>
          <t>UNVERIFIED</t>
        </is>
      </c>
      <c r="P150" s="43" t="inlineStr">
        <is>
          <t>Pending Review</t>
        </is>
      </c>
      <c r="Q150" s="33" t="inlineStr">
        <is>
          <t>Confirmar SKU/PCBA revision, PN exacto en Common DB, WO, BU, vigencia, planta y aprobacion firmada.</t>
        </is>
      </c>
    </row>
    <row r="151">
      <c r="A151" s="43" t="inlineStr">
        <is>
          <t>CTANJZ04557</t>
        </is>
      </c>
      <c r="B151" s="43" t="inlineStr">
        <is>
          <t>D603243</t>
        </is>
      </c>
      <c r="C151" s="43" t="inlineStr">
        <is>
          <t>037-STBU</t>
        </is>
      </c>
      <c r="D151" s="43" t="inlineStr">
        <is>
          <t>FJZP</t>
        </is>
      </c>
      <c r="E151" s="43" t="inlineStr">
        <is>
          <t>MCGA</t>
        </is>
      </c>
      <c r="F151" s="43" t="inlineStr">
        <is>
          <t>73-21007-02</t>
        </is>
      </c>
      <c r="G151" s="43" t="inlineStr">
        <is>
          <t>BOARD_PN_CANDIDATE</t>
        </is>
      </c>
      <c r="H151" s="43" t="inlineStr"/>
      <c r="I151" s="43" t="inlineStr">
        <is>
          <t>Expired</t>
        </is>
      </c>
      <c r="J151" s="32" t="n">
        <v>45847</v>
      </c>
      <c r="K151" s="32" t="n">
        <v>45771</v>
      </c>
      <c r="L151" s="43" t="inlineStr">
        <is>
          <t>1721</t>
        </is>
      </c>
      <c r="M151" s="43" t="n">
        <v>1</v>
      </c>
      <c r="N151" s="33" t="inlineStr"/>
      <c r="O151" s="43" t="inlineStr">
        <is>
          <t>UNVERIFIED</t>
        </is>
      </c>
      <c r="P151" s="43" t="inlineStr">
        <is>
          <t>Pending Review</t>
        </is>
      </c>
      <c r="Q151" s="33" t="inlineStr">
        <is>
          <t>Confirmar SKU/PCBA revision, PN exacto en Common DB, WO, BU, vigencia, planta y aprobacion firmada.</t>
        </is>
      </c>
    </row>
    <row r="152">
      <c r="A152" s="43" t="inlineStr">
        <is>
          <t>CTANJZ04557</t>
        </is>
      </c>
      <c r="B152" s="43" t="inlineStr">
        <is>
          <t>D603243</t>
        </is>
      </c>
      <c r="C152" s="43" t="inlineStr">
        <is>
          <t>037-STBU</t>
        </is>
      </c>
      <c r="D152" s="43" t="inlineStr">
        <is>
          <t>FJZP</t>
        </is>
      </c>
      <c r="E152" s="43" t="inlineStr">
        <is>
          <t>MCGA</t>
        </is>
      </c>
      <c r="F152" s="43" t="inlineStr">
        <is>
          <t>800-104476-07</t>
        </is>
      </c>
      <c r="G152" s="43" t="inlineStr">
        <is>
          <t>OTHER_SCOPE_ITEM</t>
        </is>
      </c>
      <c r="H152" s="43" t="inlineStr"/>
      <c r="I152" s="43" t="inlineStr">
        <is>
          <t>Expired</t>
        </is>
      </c>
      <c r="J152" s="32" t="n">
        <v>45847</v>
      </c>
      <c r="K152" s="32" t="n">
        <v>45771</v>
      </c>
      <c r="L152" s="43" t="inlineStr">
        <is>
          <t>1722</t>
        </is>
      </c>
      <c r="M152" s="43" t="n">
        <v>1</v>
      </c>
      <c r="N152" s="33" t="inlineStr"/>
      <c r="O152" s="43" t="inlineStr">
        <is>
          <t>UNVERIFIED</t>
        </is>
      </c>
      <c r="P152" s="43" t="inlineStr">
        <is>
          <t>Pending Review</t>
        </is>
      </c>
      <c r="Q152" s="33" t="inlineStr">
        <is>
          <t>Confirmar SKU/PCBA revision, PN exacto en Common DB, WO, BU, vigencia, planta y aprobacion firmada.</t>
        </is>
      </c>
    </row>
    <row r="153">
      <c r="A153" s="43" t="inlineStr">
        <is>
          <t>CTANJZ04557</t>
        </is>
      </c>
      <c r="B153" s="43" t="inlineStr">
        <is>
          <t>D603243</t>
        </is>
      </c>
      <c r="C153" s="43" t="inlineStr">
        <is>
          <t>037-STBU</t>
        </is>
      </c>
      <c r="D153" s="43" t="inlineStr">
        <is>
          <t>FJZP</t>
        </is>
      </c>
      <c r="E153" s="43" t="inlineStr">
        <is>
          <t>MCGA</t>
        </is>
      </c>
      <c r="F153" s="43" t="inlineStr">
        <is>
          <t>800-104788-03</t>
        </is>
      </c>
      <c r="G153" s="43" t="inlineStr">
        <is>
          <t>OTHER_SCOPE_ITEM</t>
        </is>
      </c>
      <c r="H153" s="43" t="inlineStr"/>
      <c r="I153" s="43" t="inlineStr">
        <is>
          <t>Expired</t>
        </is>
      </c>
      <c r="J153" s="32" t="n">
        <v>45847</v>
      </c>
      <c r="K153" s="32" t="n">
        <v>45771</v>
      </c>
      <c r="L153" s="43" t="inlineStr">
        <is>
          <t>1723</t>
        </is>
      </c>
      <c r="M153" s="43" t="n">
        <v>1</v>
      </c>
      <c r="N153" s="33" t="inlineStr"/>
      <c r="O153" s="43" t="inlineStr">
        <is>
          <t>UNVERIFIED</t>
        </is>
      </c>
      <c r="P153" s="43" t="inlineStr">
        <is>
          <t>Pending Review</t>
        </is>
      </c>
      <c r="Q153" s="33" t="inlineStr">
        <is>
          <t>Confirmar SKU/PCBA revision, PN exacto en Common DB, WO, BU, vigencia, planta y aprobacion firmada.</t>
        </is>
      </c>
    </row>
    <row r="154">
      <c r="A154" s="43" t="inlineStr">
        <is>
          <t>CTANJZ04557</t>
        </is>
      </c>
      <c r="B154" s="43" t="inlineStr">
        <is>
          <t>D603243</t>
        </is>
      </c>
      <c r="C154" s="43" t="inlineStr">
        <is>
          <t>037-STBU</t>
        </is>
      </c>
      <c r="D154" s="43" t="inlineStr">
        <is>
          <t>FJZP</t>
        </is>
      </c>
      <c r="E154" s="43" t="inlineStr">
        <is>
          <t>MCGA</t>
        </is>
      </c>
      <c r="F154" s="43" t="inlineStr">
        <is>
          <t>800-104789-03</t>
        </is>
      </c>
      <c r="G154" s="43" t="inlineStr">
        <is>
          <t>OTHER_SCOPE_ITEM</t>
        </is>
      </c>
      <c r="H154" s="43" t="inlineStr"/>
      <c r="I154" s="43" t="inlineStr">
        <is>
          <t>Expired</t>
        </is>
      </c>
      <c r="J154" s="32" t="n">
        <v>45847</v>
      </c>
      <c r="K154" s="32" t="n">
        <v>45771</v>
      </c>
      <c r="L154" s="43" t="inlineStr">
        <is>
          <t>1838</t>
        </is>
      </c>
      <c r="M154" s="43" t="n">
        <v>1</v>
      </c>
      <c r="N154" s="33" t="inlineStr"/>
      <c r="O154" s="43" t="inlineStr">
        <is>
          <t>UNVERIFIED</t>
        </is>
      </c>
      <c r="P154" s="43" t="inlineStr">
        <is>
          <t>Pending Review</t>
        </is>
      </c>
      <c r="Q154" s="33" t="inlineStr">
        <is>
          <t>Confirmar SKU/PCBA revision, PN exacto en Common DB, WO, BU, vigencia, planta y aprobacion firmada.</t>
        </is>
      </c>
    </row>
    <row r="155">
      <c r="A155" s="43" t="inlineStr">
        <is>
          <t>CTANJZ04557</t>
        </is>
      </c>
      <c r="B155" s="43" t="inlineStr">
        <is>
          <t>D603243</t>
        </is>
      </c>
      <c r="C155" s="43" t="inlineStr">
        <is>
          <t>037-STBU</t>
        </is>
      </c>
      <c r="D155" s="43" t="inlineStr">
        <is>
          <t>FJZP</t>
        </is>
      </c>
      <c r="E155" s="43" t="inlineStr">
        <is>
          <t>MCGA</t>
        </is>
      </c>
      <c r="F155" s="43" t="inlineStr">
        <is>
          <t>800-106375-02</t>
        </is>
      </c>
      <c r="G155" s="43" t="inlineStr">
        <is>
          <t>OTHER_SCOPE_ITEM</t>
        </is>
      </c>
      <c r="H155" s="43" t="inlineStr"/>
      <c r="I155" s="43" t="inlineStr">
        <is>
          <t>Expired</t>
        </is>
      </c>
      <c r="J155" s="32" t="n">
        <v>45847</v>
      </c>
      <c r="K155" s="32" t="n">
        <v>45771</v>
      </c>
      <c r="L155" s="43" t="inlineStr">
        <is>
          <t>1839</t>
        </is>
      </c>
      <c r="M155" s="43" t="n">
        <v>1</v>
      </c>
      <c r="N155" s="33" t="inlineStr"/>
      <c r="O155" s="43" t="inlineStr">
        <is>
          <t>UNVERIFIED</t>
        </is>
      </c>
      <c r="P155" s="43" t="inlineStr">
        <is>
          <t>Pending Review</t>
        </is>
      </c>
      <c r="Q155" s="33" t="inlineStr">
        <is>
          <t>Confirmar SKU/PCBA revision, PN exacto en Common DB, WO, BU, vigencia, planta y aprobacion firmada.</t>
        </is>
      </c>
    </row>
    <row r="156">
      <c r="A156" s="43" t="inlineStr">
        <is>
          <t>CTANJZ04557</t>
        </is>
      </c>
      <c r="B156" s="43" t="inlineStr">
        <is>
          <t>D603243</t>
        </is>
      </c>
      <c r="C156" s="43" t="inlineStr">
        <is>
          <t>037-STBU</t>
        </is>
      </c>
      <c r="D156" s="43" t="inlineStr">
        <is>
          <t>FJZP</t>
        </is>
      </c>
      <c r="E156" s="43" t="inlineStr">
        <is>
          <t>MCGA</t>
        </is>
      </c>
      <c r="F156" s="43" t="inlineStr">
        <is>
          <t>800-111297-01</t>
        </is>
      </c>
      <c r="G156" s="43" t="inlineStr">
        <is>
          <t>OTHER_SCOPE_ITEM</t>
        </is>
      </c>
      <c r="H156" s="43" t="inlineStr"/>
      <c r="I156" s="43" t="inlineStr">
        <is>
          <t>Expired</t>
        </is>
      </c>
      <c r="J156" s="32" t="n">
        <v>45847</v>
      </c>
      <c r="K156" s="32" t="n">
        <v>45771</v>
      </c>
      <c r="L156" s="43" t="inlineStr">
        <is>
          <t>1840</t>
        </is>
      </c>
      <c r="M156" s="43" t="n">
        <v>1</v>
      </c>
      <c r="N156" s="33" t="inlineStr"/>
      <c r="O156" s="43" t="inlineStr">
        <is>
          <t>UNVERIFIED</t>
        </is>
      </c>
      <c r="P156" s="43" t="inlineStr">
        <is>
          <t>Pending Review</t>
        </is>
      </c>
      <c r="Q156" s="33" t="inlineStr">
        <is>
          <t>Confirmar SKU/PCBA revision, PN exacto en Common DB, WO, BU, vigencia, planta y aprobacion firmada.</t>
        </is>
      </c>
    </row>
    <row r="157">
      <c r="A157" s="43" t="inlineStr">
        <is>
          <t>CTANJZ04568</t>
        </is>
      </c>
      <c r="B157" s="43" t="inlineStr">
        <is>
          <t>D603037</t>
        </is>
      </c>
      <c r="C157" s="43" t="inlineStr">
        <is>
          <t>037-STBU</t>
        </is>
      </c>
      <c r="D157" s="43" t="inlineStr">
        <is>
          <t>FJZP</t>
        </is>
      </c>
      <c r="E157" s="43" t="inlineStr">
        <is>
          <t>MCGA</t>
        </is>
      </c>
      <c r="F157" s="43" t="inlineStr">
        <is>
          <t>68-100283-05</t>
        </is>
      </c>
      <c r="G157" s="43" t="inlineStr">
        <is>
          <t>OTHER_SCOPE_ITEM</t>
        </is>
      </c>
      <c r="H157" s="43" t="inlineStr"/>
      <c r="I157" s="43" t="inlineStr">
        <is>
          <t>Expired</t>
        </is>
      </c>
      <c r="J157" s="32" t="n">
        <v>45853</v>
      </c>
      <c r="K157" s="32" t="n">
        <v>45779</v>
      </c>
      <c r="L157" s="43" t="inlineStr">
        <is>
          <t>695</t>
        </is>
      </c>
      <c r="M157" s="43" t="n">
        <v>1</v>
      </c>
      <c r="N157" s="33" t="inlineStr"/>
      <c r="O157" s="43" t="inlineStr">
        <is>
          <t>UNVERIFIED</t>
        </is>
      </c>
      <c r="P157" s="43" t="inlineStr">
        <is>
          <t>Pending Review</t>
        </is>
      </c>
      <c r="Q157" s="33" t="inlineStr">
        <is>
          <t>Confirmar SKU/PCBA revision, PN exacto en Common DB, WO, BU, vigencia, planta y aprobacion firmada.</t>
        </is>
      </c>
    </row>
    <row r="158">
      <c r="A158" s="43" t="inlineStr">
        <is>
          <t>CTANJZ04568</t>
        </is>
      </c>
      <c r="B158" s="43" t="inlineStr">
        <is>
          <t>D603037</t>
        </is>
      </c>
      <c r="C158" s="43" t="inlineStr">
        <is>
          <t>037-STBU</t>
        </is>
      </c>
      <c r="D158" s="43" t="inlineStr">
        <is>
          <t>FJZP</t>
        </is>
      </c>
      <c r="E158" s="43" t="inlineStr">
        <is>
          <t>MCGA</t>
        </is>
      </c>
      <c r="F158" s="43" t="inlineStr">
        <is>
          <t>68-100284-05</t>
        </is>
      </c>
      <c r="G158" s="43" t="inlineStr">
        <is>
          <t>OTHER_SCOPE_ITEM</t>
        </is>
      </c>
      <c r="H158" s="43" t="inlineStr"/>
      <c r="I158" s="43" t="inlineStr">
        <is>
          <t>Expired</t>
        </is>
      </c>
      <c r="J158" s="32" t="n">
        <v>45853</v>
      </c>
      <c r="K158" s="32" t="n">
        <v>45779</v>
      </c>
      <c r="L158" s="43" t="inlineStr">
        <is>
          <t>696</t>
        </is>
      </c>
      <c r="M158" s="43" t="n">
        <v>1</v>
      </c>
      <c r="N158" s="33" t="inlineStr"/>
      <c r="O158" s="43" t="inlineStr">
        <is>
          <t>UNVERIFIED</t>
        </is>
      </c>
      <c r="P158" s="43" t="inlineStr">
        <is>
          <t>Pending Review</t>
        </is>
      </c>
      <c r="Q158" s="33" t="inlineStr">
        <is>
          <t>Confirmar SKU/PCBA revision, PN exacto en Common DB, WO, BU, vigencia, planta y aprobacion firmada.</t>
        </is>
      </c>
    </row>
    <row r="159">
      <c r="A159" s="43" t="inlineStr">
        <is>
          <t>CTANJZ04568</t>
        </is>
      </c>
      <c r="B159" s="43" t="inlineStr">
        <is>
          <t>D603037</t>
        </is>
      </c>
      <c r="C159" s="43" t="inlineStr">
        <is>
          <t>037-STBU</t>
        </is>
      </c>
      <c r="D159" s="43" t="inlineStr">
        <is>
          <t>FJZP</t>
        </is>
      </c>
      <c r="E159" s="43" t="inlineStr">
        <is>
          <t>MCGA</t>
        </is>
      </c>
      <c r="F159" s="43" t="inlineStr">
        <is>
          <t>68-100699-02</t>
        </is>
      </c>
      <c r="G159" s="43" t="inlineStr">
        <is>
          <t>OTHER_SCOPE_ITEM</t>
        </is>
      </c>
      <c r="H159" s="43" t="inlineStr"/>
      <c r="I159" s="43" t="inlineStr">
        <is>
          <t>Expired</t>
        </is>
      </c>
      <c r="J159" s="32" t="n">
        <v>45853</v>
      </c>
      <c r="K159" s="32" t="n">
        <v>45779</v>
      </c>
      <c r="L159" s="43" t="inlineStr">
        <is>
          <t>697</t>
        </is>
      </c>
      <c r="M159" s="43" t="n">
        <v>1</v>
      </c>
      <c r="N159" s="33" t="inlineStr"/>
      <c r="O159" s="43" t="inlineStr">
        <is>
          <t>UNVERIFIED</t>
        </is>
      </c>
      <c r="P159" s="43" t="inlineStr">
        <is>
          <t>Pending Review</t>
        </is>
      </c>
      <c r="Q159" s="33" t="inlineStr">
        <is>
          <t>Confirmar SKU/PCBA revision, PN exacto en Common DB, WO, BU, vigencia, planta y aprobacion firmada.</t>
        </is>
      </c>
    </row>
    <row r="160">
      <c r="A160" s="43" t="inlineStr">
        <is>
          <t>CTANJZ04568</t>
        </is>
      </c>
      <c r="B160" s="43" t="inlineStr">
        <is>
          <t>D603037</t>
        </is>
      </c>
      <c r="C160" s="43" t="inlineStr">
        <is>
          <t>037-STBU</t>
        </is>
      </c>
      <c r="D160" s="43" t="inlineStr">
        <is>
          <t>FJZP</t>
        </is>
      </c>
      <c r="E160" s="43" t="inlineStr">
        <is>
          <t>MCGA</t>
        </is>
      </c>
      <c r="F160" s="43" t="inlineStr">
        <is>
          <t>68-100700-02</t>
        </is>
      </c>
      <c r="G160" s="43" t="inlineStr">
        <is>
          <t>OTHER_SCOPE_ITEM</t>
        </is>
      </c>
      <c r="H160" s="43" t="inlineStr"/>
      <c r="I160" s="43" t="inlineStr">
        <is>
          <t>Expired</t>
        </is>
      </c>
      <c r="J160" s="32" t="n">
        <v>45853</v>
      </c>
      <c r="K160" s="32" t="n">
        <v>45779</v>
      </c>
      <c r="L160" s="43" t="inlineStr">
        <is>
          <t>698</t>
        </is>
      </c>
      <c r="M160" s="43" t="n">
        <v>1</v>
      </c>
      <c r="N160" s="33" t="inlineStr"/>
      <c r="O160" s="43" t="inlineStr">
        <is>
          <t>UNVERIFIED</t>
        </is>
      </c>
      <c r="P160" s="43" t="inlineStr">
        <is>
          <t>Pending Review</t>
        </is>
      </c>
      <c r="Q160" s="33" t="inlineStr">
        <is>
          <t>Confirmar SKU/PCBA revision, PN exacto en Common DB, WO, BU, vigencia, planta y aprobacion firmada.</t>
        </is>
      </c>
    </row>
    <row r="161">
      <c r="A161" s="43" t="inlineStr">
        <is>
          <t>CTANJZ04568</t>
        </is>
      </c>
      <c r="B161" s="43" t="inlineStr">
        <is>
          <t>D603037</t>
        </is>
      </c>
      <c r="C161" s="43" t="inlineStr">
        <is>
          <t>037-STBU</t>
        </is>
      </c>
      <c r="D161" s="43" t="inlineStr">
        <is>
          <t>FJZP</t>
        </is>
      </c>
      <c r="E161" s="43" t="inlineStr">
        <is>
          <t>MCGA</t>
        </is>
      </c>
      <c r="F161" s="43" t="inlineStr">
        <is>
          <t>68-100702-01</t>
        </is>
      </c>
      <c r="G161" s="43" t="inlineStr">
        <is>
          <t>OTHER_SCOPE_ITEM</t>
        </is>
      </c>
      <c r="H161" s="43" t="inlineStr"/>
      <c r="I161" s="43" t="inlineStr">
        <is>
          <t>Expired</t>
        </is>
      </c>
      <c r="J161" s="32" t="n">
        <v>45853</v>
      </c>
      <c r="K161" s="32" t="n">
        <v>45779</v>
      </c>
      <c r="L161" s="43" t="inlineStr">
        <is>
          <t>699</t>
        </is>
      </c>
      <c r="M161" s="43" t="n">
        <v>1</v>
      </c>
      <c r="N161" s="33" t="inlineStr"/>
      <c r="O161" s="43" t="inlineStr">
        <is>
          <t>UNVERIFIED</t>
        </is>
      </c>
      <c r="P161" s="43" t="inlineStr">
        <is>
          <t>Pending Review</t>
        </is>
      </c>
      <c r="Q161" s="33" t="inlineStr">
        <is>
          <t>Confirmar SKU/PCBA revision, PN exacto en Common DB, WO, BU, vigencia, planta y aprobacion firmada.</t>
        </is>
      </c>
    </row>
    <row r="162">
      <c r="A162" s="43" t="inlineStr">
        <is>
          <t>CTANJZ04568</t>
        </is>
      </c>
      <c r="B162" s="43" t="inlineStr">
        <is>
          <t>D603037</t>
        </is>
      </c>
      <c r="C162" s="43" t="inlineStr">
        <is>
          <t>037-STBU</t>
        </is>
      </c>
      <c r="D162" s="43" t="inlineStr">
        <is>
          <t>FJZP</t>
        </is>
      </c>
      <c r="E162" s="43" t="inlineStr">
        <is>
          <t>MCGA</t>
        </is>
      </c>
      <c r="F162" s="43" t="inlineStr">
        <is>
          <t>68-101218-02</t>
        </is>
      </c>
      <c r="G162" s="43" t="inlineStr">
        <is>
          <t>OTHER_SCOPE_ITEM</t>
        </is>
      </c>
      <c r="H162" s="43" t="inlineStr"/>
      <c r="I162" s="43" t="inlineStr">
        <is>
          <t>Expired</t>
        </is>
      </c>
      <c r="J162" s="32" t="n">
        <v>45853</v>
      </c>
      <c r="K162" s="32" t="n">
        <v>45779</v>
      </c>
      <c r="L162" s="43" t="inlineStr">
        <is>
          <t>700</t>
        </is>
      </c>
      <c r="M162" s="43" t="n">
        <v>1</v>
      </c>
      <c r="N162" s="33" t="inlineStr"/>
      <c r="O162" s="43" t="inlineStr">
        <is>
          <t>UNVERIFIED</t>
        </is>
      </c>
      <c r="P162" s="43" t="inlineStr">
        <is>
          <t>Pending Review</t>
        </is>
      </c>
      <c r="Q162" s="33" t="inlineStr">
        <is>
          <t>Confirmar SKU/PCBA revision, PN exacto en Common DB, WO, BU, vigencia, planta y aprobacion firmada.</t>
        </is>
      </c>
    </row>
    <row r="163">
      <c r="A163" s="43" t="inlineStr">
        <is>
          <t>CTANJZ04568</t>
        </is>
      </c>
      <c r="B163" s="43" t="inlineStr">
        <is>
          <t>D603037</t>
        </is>
      </c>
      <c r="C163" s="43" t="inlineStr">
        <is>
          <t>037-STBU</t>
        </is>
      </c>
      <c r="D163" s="43" t="inlineStr">
        <is>
          <t>FJZP</t>
        </is>
      </c>
      <c r="E163" s="43" t="inlineStr">
        <is>
          <t>MCGA</t>
        </is>
      </c>
      <c r="F163" s="43" t="inlineStr">
        <is>
          <t>68-5876-03</t>
        </is>
      </c>
      <c r="G163" s="43" t="inlineStr">
        <is>
          <t>OTHER_SCOPE_ITEM</t>
        </is>
      </c>
      <c r="H163" s="43" t="inlineStr"/>
      <c r="I163" s="43" t="inlineStr">
        <is>
          <t>Expired</t>
        </is>
      </c>
      <c r="J163" s="32" t="n">
        <v>45853</v>
      </c>
      <c r="K163" s="32" t="n">
        <v>45779</v>
      </c>
      <c r="L163" s="43" t="inlineStr">
        <is>
          <t>701</t>
        </is>
      </c>
      <c r="M163" s="43" t="n">
        <v>1</v>
      </c>
      <c r="N163" s="33" t="inlineStr"/>
      <c r="O163" s="43" t="inlineStr">
        <is>
          <t>UNVERIFIED</t>
        </is>
      </c>
      <c r="P163" s="43" t="inlineStr">
        <is>
          <t>Pending Review</t>
        </is>
      </c>
      <c r="Q163" s="33" t="inlineStr">
        <is>
          <t>Confirmar SKU/PCBA revision, PN exacto en Common DB, WO, BU, vigencia, planta y aprobacion firmada.</t>
        </is>
      </c>
    </row>
    <row r="164">
      <c r="A164" s="43" t="inlineStr">
        <is>
          <t>CTANJZ04568</t>
        </is>
      </c>
      <c r="B164" s="43" t="inlineStr">
        <is>
          <t>D603037</t>
        </is>
      </c>
      <c r="C164" s="43" t="inlineStr">
        <is>
          <t>037-STBU</t>
        </is>
      </c>
      <c r="D164" s="43" t="inlineStr">
        <is>
          <t>FJZP</t>
        </is>
      </c>
      <c r="E164" s="43" t="inlineStr">
        <is>
          <t>MCGA</t>
        </is>
      </c>
      <c r="F164" s="43" t="inlineStr">
        <is>
          <t>68-6724-03</t>
        </is>
      </c>
      <c r="G164" s="43" t="inlineStr">
        <is>
          <t>OTHER_SCOPE_ITEM</t>
        </is>
      </c>
      <c r="H164" s="43" t="inlineStr"/>
      <c r="I164" s="43" t="inlineStr">
        <is>
          <t>Expired</t>
        </is>
      </c>
      <c r="J164" s="32" t="n">
        <v>45853</v>
      </c>
      <c r="K164" s="32" t="n">
        <v>45779</v>
      </c>
      <c r="L164" s="43" t="inlineStr">
        <is>
          <t>702</t>
        </is>
      </c>
      <c r="M164" s="43" t="n">
        <v>1</v>
      </c>
      <c r="N164" s="33" t="inlineStr"/>
      <c r="O164" s="43" t="inlineStr">
        <is>
          <t>UNVERIFIED</t>
        </is>
      </c>
      <c r="P164" s="43" t="inlineStr">
        <is>
          <t>Pending Review</t>
        </is>
      </c>
      <c r="Q164" s="33" t="inlineStr">
        <is>
          <t>Confirmar SKU/PCBA revision, PN exacto en Common DB, WO, BU, vigencia, planta y aprobacion firmada.</t>
        </is>
      </c>
    </row>
    <row r="165">
      <c r="A165" s="43" t="inlineStr">
        <is>
          <t>CTANJZ04568</t>
        </is>
      </c>
      <c r="B165" s="43" t="inlineStr">
        <is>
          <t>D603037</t>
        </is>
      </c>
      <c r="C165" s="43" t="inlineStr">
        <is>
          <t>037-STBU</t>
        </is>
      </c>
      <c r="D165" s="43" t="inlineStr">
        <is>
          <t>FJZP</t>
        </is>
      </c>
      <c r="E165" s="43" t="inlineStr">
        <is>
          <t>MCGA</t>
        </is>
      </c>
      <c r="F165" s="43" t="inlineStr">
        <is>
          <t>69-100685-01</t>
        </is>
      </c>
      <c r="G165" s="43" t="inlineStr">
        <is>
          <t>OTHER_SCOPE_ITEM</t>
        </is>
      </c>
      <c r="H165" s="43" t="inlineStr"/>
      <c r="I165" s="43" t="inlineStr">
        <is>
          <t>Expired</t>
        </is>
      </c>
      <c r="J165" s="32" t="n">
        <v>45853</v>
      </c>
      <c r="K165" s="32" t="n">
        <v>45779</v>
      </c>
      <c r="L165" s="43" t="inlineStr">
        <is>
          <t>703</t>
        </is>
      </c>
      <c r="M165" s="43" t="n">
        <v>1</v>
      </c>
      <c r="N165" s="33" t="inlineStr"/>
      <c r="O165" s="43" t="inlineStr">
        <is>
          <t>UNVERIFIED</t>
        </is>
      </c>
      <c r="P165" s="43" t="inlineStr">
        <is>
          <t>Pending Review</t>
        </is>
      </c>
      <c r="Q165" s="33" t="inlineStr">
        <is>
          <t>Confirmar SKU/PCBA revision, PN exacto en Common DB, WO, BU, vigencia, planta y aprobacion firmada.</t>
        </is>
      </c>
    </row>
    <row r="166">
      <c r="A166" s="43" t="inlineStr">
        <is>
          <t>CTANJZ04568</t>
        </is>
      </c>
      <c r="B166" s="43" t="inlineStr">
        <is>
          <t>D603037</t>
        </is>
      </c>
      <c r="C166" s="43" t="inlineStr">
        <is>
          <t>037-STBU</t>
        </is>
      </c>
      <c r="D166" s="43" t="inlineStr">
        <is>
          <t>FJZP</t>
        </is>
      </c>
      <c r="E166" s="43" t="inlineStr">
        <is>
          <t>MCGA</t>
        </is>
      </c>
      <c r="F166" s="43" t="inlineStr">
        <is>
          <t>800-103842-08</t>
        </is>
      </c>
      <c r="G166" s="43" t="inlineStr">
        <is>
          <t>OTHER_SCOPE_ITEM</t>
        </is>
      </c>
      <c r="H166" s="43" t="inlineStr"/>
      <c r="I166" s="43" t="inlineStr">
        <is>
          <t>Expired</t>
        </is>
      </c>
      <c r="J166" s="32" t="n">
        <v>45853</v>
      </c>
      <c r="K166" s="32" t="n">
        <v>45779</v>
      </c>
      <c r="L166" s="43" t="inlineStr">
        <is>
          <t>704</t>
        </is>
      </c>
      <c r="M166" s="43" t="n">
        <v>1</v>
      </c>
      <c r="N166" s="33" t="inlineStr"/>
      <c r="O166" s="43" t="inlineStr">
        <is>
          <t>UNVERIFIED</t>
        </is>
      </c>
      <c r="P166" s="43" t="inlineStr">
        <is>
          <t>Pending Review</t>
        </is>
      </c>
      <c r="Q166" s="33" t="inlineStr">
        <is>
          <t>Confirmar SKU/PCBA revision, PN exacto en Common DB, WO, BU, vigencia, planta y aprobacion firmada.</t>
        </is>
      </c>
    </row>
    <row r="167">
      <c r="A167" s="43" t="inlineStr">
        <is>
          <t>CTANJZ04568</t>
        </is>
      </c>
      <c r="B167" s="43" t="inlineStr">
        <is>
          <t>D603037</t>
        </is>
      </c>
      <c r="C167" s="43" t="inlineStr">
        <is>
          <t>037-STBU</t>
        </is>
      </c>
      <c r="D167" s="43" t="inlineStr">
        <is>
          <t>FJZP</t>
        </is>
      </c>
      <c r="E167" s="43" t="inlineStr">
        <is>
          <t>MCGA</t>
        </is>
      </c>
      <c r="F167" s="43" t="inlineStr">
        <is>
          <t>800-103844-08</t>
        </is>
      </c>
      <c r="G167" s="43" t="inlineStr">
        <is>
          <t>OTHER_SCOPE_ITEM</t>
        </is>
      </c>
      <c r="H167" s="43" t="inlineStr"/>
      <c r="I167" s="43" t="inlineStr">
        <is>
          <t>Expired</t>
        </is>
      </c>
      <c r="J167" s="32" t="n">
        <v>45853</v>
      </c>
      <c r="K167" s="32" t="n">
        <v>45779</v>
      </c>
      <c r="L167" s="43" t="inlineStr">
        <is>
          <t>705</t>
        </is>
      </c>
      <c r="M167" s="43" t="n">
        <v>1</v>
      </c>
      <c r="N167" s="33" t="inlineStr"/>
      <c r="O167" s="43" t="inlineStr">
        <is>
          <t>UNVERIFIED</t>
        </is>
      </c>
      <c r="P167" s="43" t="inlineStr">
        <is>
          <t>Pending Review</t>
        </is>
      </c>
      <c r="Q167" s="33" t="inlineStr">
        <is>
          <t>Confirmar SKU/PCBA revision, PN exacto en Common DB, WO, BU, vigencia, planta y aprobacion firmada.</t>
        </is>
      </c>
    </row>
    <row r="168">
      <c r="A168" s="43" t="inlineStr">
        <is>
          <t>CTANJZ04568</t>
        </is>
      </c>
      <c r="B168" s="43" t="inlineStr">
        <is>
          <t>D603037</t>
        </is>
      </c>
      <c r="C168" s="43" t="inlineStr">
        <is>
          <t>037-STBU</t>
        </is>
      </c>
      <c r="D168" s="43" t="inlineStr">
        <is>
          <t>FJZP</t>
        </is>
      </c>
      <c r="E168" s="43" t="inlineStr">
        <is>
          <t>MCGA</t>
        </is>
      </c>
      <c r="F168" s="43" t="inlineStr">
        <is>
          <t>800-103845-08</t>
        </is>
      </c>
      <c r="G168" s="43" t="inlineStr">
        <is>
          <t>OTHER_SCOPE_ITEM</t>
        </is>
      </c>
      <c r="H168" s="43" t="inlineStr"/>
      <c r="I168" s="43" t="inlineStr">
        <is>
          <t>Expired</t>
        </is>
      </c>
      <c r="J168" s="32" t="n">
        <v>45853</v>
      </c>
      <c r="K168" s="32" t="n">
        <v>45779</v>
      </c>
      <c r="L168" s="43" t="inlineStr">
        <is>
          <t>706</t>
        </is>
      </c>
      <c r="M168" s="43" t="n">
        <v>1</v>
      </c>
      <c r="N168" s="33" t="inlineStr"/>
      <c r="O168" s="43" t="inlineStr">
        <is>
          <t>UNVERIFIED</t>
        </is>
      </c>
      <c r="P168" s="43" t="inlineStr">
        <is>
          <t>Pending Review</t>
        </is>
      </c>
      <c r="Q168" s="33" t="inlineStr">
        <is>
          <t>Confirmar SKU/PCBA revision, PN exacto en Common DB, WO, BU, vigencia, planta y aprobacion firmada.</t>
        </is>
      </c>
    </row>
    <row r="169">
      <c r="A169" s="43" t="inlineStr">
        <is>
          <t>CTANJZ04568</t>
        </is>
      </c>
      <c r="B169" s="43" t="inlineStr">
        <is>
          <t>D603037</t>
        </is>
      </c>
      <c r="C169" s="43" t="inlineStr">
        <is>
          <t>037-STBU</t>
        </is>
      </c>
      <c r="D169" s="43" t="inlineStr">
        <is>
          <t>FJZP</t>
        </is>
      </c>
      <c r="E169" s="43" t="inlineStr">
        <is>
          <t>MCGA</t>
        </is>
      </c>
      <c r="F169" s="43" t="inlineStr">
        <is>
          <t>800-104476-06</t>
        </is>
      </c>
      <c r="G169" s="43" t="inlineStr">
        <is>
          <t>OTHER_SCOPE_ITEM</t>
        </is>
      </c>
      <c r="H169" s="43" t="inlineStr"/>
      <c r="I169" s="43" t="inlineStr">
        <is>
          <t>Expired</t>
        </is>
      </c>
      <c r="J169" s="32" t="n">
        <v>45853</v>
      </c>
      <c r="K169" s="32" t="n">
        <v>45779</v>
      </c>
      <c r="L169" s="43" t="inlineStr">
        <is>
          <t>707</t>
        </is>
      </c>
      <c r="M169" s="43" t="n">
        <v>1</v>
      </c>
      <c r="N169" s="33" t="inlineStr"/>
      <c r="O169" s="43" t="inlineStr">
        <is>
          <t>UNVERIFIED</t>
        </is>
      </c>
      <c r="P169" s="43" t="inlineStr">
        <is>
          <t>Pending Review</t>
        </is>
      </c>
      <c r="Q169" s="33" t="inlineStr">
        <is>
          <t>Confirmar SKU/PCBA revision, PN exacto en Common DB, WO, BU, vigencia, planta y aprobacion firmada.</t>
        </is>
      </c>
    </row>
    <row r="170">
      <c r="A170" s="43" t="inlineStr">
        <is>
          <t>CTANJZ04568</t>
        </is>
      </c>
      <c r="B170" s="43" t="inlineStr">
        <is>
          <t>D603037</t>
        </is>
      </c>
      <c r="C170" s="43" t="inlineStr">
        <is>
          <t>037-STBU</t>
        </is>
      </c>
      <c r="D170" s="43" t="inlineStr">
        <is>
          <t>FJZP</t>
        </is>
      </c>
      <c r="E170" s="43" t="inlineStr">
        <is>
          <t>MCGA</t>
        </is>
      </c>
      <c r="F170" s="43" t="inlineStr">
        <is>
          <t>800-104788-03</t>
        </is>
      </c>
      <c r="G170" s="43" t="inlineStr">
        <is>
          <t>OTHER_SCOPE_ITEM</t>
        </is>
      </c>
      <c r="H170" s="43" t="inlineStr"/>
      <c r="I170" s="43" t="inlineStr">
        <is>
          <t>Expired</t>
        </is>
      </c>
      <c r="J170" s="32" t="n">
        <v>45853</v>
      </c>
      <c r="K170" s="32" t="n">
        <v>45779</v>
      </c>
      <c r="L170" s="43" t="inlineStr">
        <is>
          <t>708</t>
        </is>
      </c>
      <c r="M170" s="43" t="n">
        <v>1</v>
      </c>
      <c r="N170" s="33" t="inlineStr"/>
      <c r="O170" s="43" t="inlineStr">
        <is>
          <t>UNVERIFIED</t>
        </is>
      </c>
      <c r="P170" s="43" t="inlineStr">
        <is>
          <t>Pending Review</t>
        </is>
      </c>
      <c r="Q170" s="33" t="inlineStr">
        <is>
          <t>Confirmar SKU/PCBA revision, PN exacto en Common DB, WO, BU, vigencia, planta y aprobacion firmada.</t>
        </is>
      </c>
    </row>
    <row r="171">
      <c r="A171" s="43" t="inlineStr">
        <is>
          <t>CTANJZ04568</t>
        </is>
      </c>
      <c r="B171" s="43" t="inlineStr">
        <is>
          <t>D603037</t>
        </is>
      </c>
      <c r="C171" s="43" t="inlineStr">
        <is>
          <t>037-STBU</t>
        </is>
      </c>
      <c r="D171" s="43" t="inlineStr">
        <is>
          <t>FJZP</t>
        </is>
      </c>
      <c r="E171" s="43" t="inlineStr">
        <is>
          <t>MCGA</t>
        </is>
      </c>
      <c r="F171" s="43" t="inlineStr">
        <is>
          <t>800-104789-03</t>
        </is>
      </c>
      <c r="G171" s="43" t="inlineStr">
        <is>
          <t>OTHER_SCOPE_ITEM</t>
        </is>
      </c>
      <c r="H171" s="43" t="inlineStr"/>
      <c r="I171" s="43" t="inlineStr">
        <is>
          <t>Expired</t>
        </is>
      </c>
      <c r="J171" s="32" t="n">
        <v>45853</v>
      </c>
      <c r="K171" s="32" t="n">
        <v>45779</v>
      </c>
      <c r="L171" s="43" t="inlineStr">
        <is>
          <t>709</t>
        </is>
      </c>
      <c r="M171" s="43" t="n">
        <v>1</v>
      </c>
      <c r="N171" s="33" t="inlineStr"/>
      <c r="O171" s="43" t="inlineStr">
        <is>
          <t>UNVERIFIED</t>
        </is>
      </c>
      <c r="P171" s="43" t="inlineStr">
        <is>
          <t>Pending Review</t>
        </is>
      </c>
      <c r="Q171" s="33" t="inlineStr">
        <is>
          <t>Confirmar SKU/PCBA revision, PN exacto en Common DB, WO, BU, vigencia, planta y aprobacion firmada.</t>
        </is>
      </c>
    </row>
    <row r="172">
      <c r="A172" s="43" t="inlineStr">
        <is>
          <t>CTANJZ04568</t>
        </is>
      </c>
      <c r="B172" s="43" t="inlineStr">
        <is>
          <t>D603037</t>
        </is>
      </c>
      <c r="C172" s="43" t="inlineStr">
        <is>
          <t>037-STBU</t>
        </is>
      </c>
      <c r="D172" s="43" t="inlineStr">
        <is>
          <t>FJZP</t>
        </is>
      </c>
      <c r="E172" s="43" t="inlineStr">
        <is>
          <t>MCGA</t>
        </is>
      </c>
      <c r="F172" s="43" t="inlineStr">
        <is>
          <t>800-105498-03</t>
        </is>
      </c>
      <c r="G172" s="43" t="inlineStr">
        <is>
          <t>OTHER_SCOPE_ITEM</t>
        </is>
      </c>
      <c r="H172" s="43" t="inlineStr"/>
      <c r="I172" s="43" t="inlineStr">
        <is>
          <t>Expired</t>
        </is>
      </c>
      <c r="J172" s="32" t="n">
        <v>45853</v>
      </c>
      <c r="K172" s="32" t="n">
        <v>45779</v>
      </c>
      <c r="L172" s="43" t="inlineStr">
        <is>
          <t>789</t>
        </is>
      </c>
      <c r="M172" s="43" t="n">
        <v>1</v>
      </c>
      <c r="N172" s="33" t="inlineStr"/>
      <c r="O172" s="43" t="inlineStr">
        <is>
          <t>UNVERIFIED</t>
        </is>
      </c>
      <c r="P172" s="43" t="inlineStr">
        <is>
          <t>Pending Review</t>
        </is>
      </c>
      <c r="Q172" s="33" t="inlineStr">
        <is>
          <t>Confirmar SKU/PCBA revision, PN exacto en Common DB, WO, BU, vigencia, planta y aprobacion firmada.</t>
        </is>
      </c>
    </row>
    <row r="173">
      <c r="A173" s="43" t="inlineStr">
        <is>
          <t>CTANJZ04568</t>
        </is>
      </c>
      <c r="B173" s="43" t="inlineStr">
        <is>
          <t>D603037</t>
        </is>
      </c>
      <c r="C173" s="43" t="inlineStr">
        <is>
          <t>037-STBU</t>
        </is>
      </c>
      <c r="D173" s="43" t="inlineStr">
        <is>
          <t>FJZP</t>
        </is>
      </c>
      <c r="E173" s="43" t="inlineStr">
        <is>
          <t>MCGA</t>
        </is>
      </c>
      <c r="F173" s="43" t="inlineStr">
        <is>
          <t>800-105499-03</t>
        </is>
      </c>
      <c r="G173" s="43" t="inlineStr">
        <is>
          <t>OTHER_SCOPE_ITEM</t>
        </is>
      </c>
      <c r="H173" s="43" t="inlineStr"/>
      <c r="I173" s="43" t="inlineStr">
        <is>
          <t>Expired</t>
        </is>
      </c>
      <c r="J173" s="32" t="n">
        <v>45853</v>
      </c>
      <c r="K173" s="32" t="n">
        <v>45779</v>
      </c>
      <c r="L173" s="43" t="inlineStr">
        <is>
          <t>790</t>
        </is>
      </c>
      <c r="M173" s="43" t="n">
        <v>1</v>
      </c>
      <c r="N173" s="33" t="inlineStr"/>
      <c r="O173" s="43" t="inlineStr">
        <is>
          <t>UNVERIFIED</t>
        </is>
      </c>
      <c r="P173" s="43" t="inlineStr">
        <is>
          <t>Pending Review</t>
        </is>
      </c>
      <c r="Q173" s="33" t="inlineStr">
        <is>
          <t>Confirmar SKU/PCBA revision, PN exacto en Common DB, WO, BU, vigencia, planta y aprobacion firmada.</t>
        </is>
      </c>
    </row>
    <row r="174">
      <c r="A174" s="43" t="inlineStr">
        <is>
          <t>CTANJZ04568</t>
        </is>
      </c>
      <c r="B174" s="43" t="inlineStr">
        <is>
          <t>D603037</t>
        </is>
      </c>
      <c r="C174" s="43" t="inlineStr">
        <is>
          <t>037-STBU</t>
        </is>
      </c>
      <c r="D174" s="43" t="inlineStr">
        <is>
          <t>FJZP</t>
        </is>
      </c>
      <c r="E174" s="43" t="inlineStr">
        <is>
          <t>MCGA</t>
        </is>
      </c>
      <c r="F174" s="43" t="inlineStr">
        <is>
          <t>800-105500-03</t>
        </is>
      </c>
      <c r="G174" s="43" t="inlineStr">
        <is>
          <t>OTHER_SCOPE_ITEM</t>
        </is>
      </c>
      <c r="H174" s="43" t="inlineStr"/>
      <c r="I174" s="43" t="inlineStr">
        <is>
          <t>Expired</t>
        </is>
      </c>
      <c r="J174" s="32" t="n">
        <v>45853</v>
      </c>
      <c r="K174" s="32" t="n">
        <v>45779</v>
      </c>
      <c r="L174" s="43" t="inlineStr">
        <is>
          <t>791</t>
        </is>
      </c>
      <c r="M174" s="43" t="n">
        <v>1</v>
      </c>
      <c r="N174" s="33" t="inlineStr"/>
      <c r="O174" s="43" t="inlineStr">
        <is>
          <t>UNVERIFIED</t>
        </is>
      </c>
      <c r="P174" s="43" t="inlineStr">
        <is>
          <t>Pending Review</t>
        </is>
      </c>
      <c r="Q174" s="33" t="inlineStr">
        <is>
          <t>Confirmar SKU/PCBA revision, PN exacto en Common DB, WO, BU, vigencia, planta y aprobacion firmada.</t>
        </is>
      </c>
    </row>
    <row r="175">
      <c r="A175" s="43" t="inlineStr">
        <is>
          <t>CTANJZ04568</t>
        </is>
      </c>
      <c r="B175" s="43" t="inlineStr">
        <is>
          <t>D603037</t>
        </is>
      </c>
      <c r="C175" s="43" t="inlineStr">
        <is>
          <t>037-STBU</t>
        </is>
      </c>
      <c r="D175" s="43" t="inlineStr">
        <is>
          <t>FJZP</t>
        </is>
      </c>
      <c r="E175" s="43" t="inlineStr">
        <is>
          <t>MCGA</t>
        </is>
      </c>
      <c r="F175" s="43" t="inlineStr">
        <is>
          <t>800-106634-02</t>
        </is>
      </c>
      <c r="G175" s="43" t="inlineStr">
        <is>
          <t>OTHER_SCOPE_ITEM</t>
        </is>
      </c>
      <c r="H175" s="43" t="inlineStr"/>
      <c r="I175" s="43" t="inlineStr">
        <is>
          <t>Expired</t>
        </is>
      </c>
      <c r="J175" s="32" t="n">
        <v>45853</v>
      </c>
      <c r="K175" s="32" t="n">
        <v>45779</v>
      </c>
      <c r="L175" s="43" t="inlineStr">
        <is>
          <t>792</t>
        </is>
      </c>
      <c r="M175" s="43" t="n">
        <v>1</v>
      </c>
      <c r="N175" s="33" t="inlineStr"/>
      <c r="O175" s="43" t="inlineStr">
        <is>
          <t>UNVERIFIED</t>
        </is>
      </c>
      <c r="P175" s="43" t="inlineStr">
        <is>
          <t>Pending Review</t>
        </is>
      </c>
      <c r="Q175" s="33" t="inlineStr">
        <is>
          <t>Confirmar SKU/PCBA revision, PN exacto en Common DB, WO, BU, vigencia, planta y aprobacion firmada.</t>
        </is>
      </c>
    </row>
    <row r="176">
      <c r="A176" s="43" t="inlineStr">
        <is>
          <t>CTANJZ04568</t>
        </is>
      </c>
      <c r="B176" s="43" t="inlineStr">
        <is>
          <t>D603037</t>
        </is>
      </c>
      <c r="C176" s="43" t="inlineStr">
        <is>
          <t>037-STBU</t>
        </is>
      </c>
      <c r="D176" s="43" t="inlineStr">
        <is>
          <t>FJZP</t>
        </is>
      </c>
      <c r="E176" s="43" t="inlineStr">
        <is>
          <t>MCGA</t>
        </is>
      </c>
      <c r="F176" s="43" t="inlineStr">
        <is>
          <t>800-106754-02</t>
        </is>
      </c>
      <c r="G176" s="43" t="inlineStr">
        <is>
          <t>OTHER_SCOPE_ITEM</t>
        </is>
      </c>
      <c r="H176" s="43" t="inlineStr"/>
      <c r="I176" s="43" t="inlineStr">
        <is>
          <t>Expired</t>
        </is>
      </c>
      <c r="J176" s="32" t="n">
        <v>45853</v>
      </c>
      <c r="K176" s="32" t="n">
        <v>45779</v>
      </c>
      <c r="L176" s="43" t="inlineStr">
        <is>
          <t>793</t>
        </is>
      </c>
      <c r="M176" s="43" t="n">
        <v>1</v>
      </c>
      <c r="N176" s="33" t="inlineStr"/>
      <c r="O176" s="43" t="inlineStr">
        <is>
          <t>UNVERIFIED</t>
        </is>
      </c>
      <c r="P176" s="43" t="inlineStr">
        <is>
          <t>Pending Review</t>
        </is>
      </c>
      <c r="Q176" s="33" t="inlineStr">
        <is>
          <t>Confirmar SKU/PCBA revision, PN exacto en Common DB, WO, BU, vigencia, planta y aprobacion firmada.</t>
        </is>
      </c>
    </row>
    <row r="177">
      <c r="A177" s="43" t="inlineStr">
        <is>
          <t>CTANJZ04568</t>
        </is>
      </c>
      <c r="B177" s="43" t="inlineStr">
        <is>
          <t>D603037</t>
        </is>
      </c>
      <c r="C177" s="43" t="inlineStr">
        <is>
          <t>037-STBU</t>
        </is>
      </c>
      <c r="D177" s="43" t="inlineStr">
        <is>
          <t>FJZP</t>
        </is>
      </c>
      <c r="E177" s="43" t="inlineStr">
        <is>
          <t>MCGA</t>
        </is>
      </c>
      <c r="F177" s="43" t="inlineStr">
        <is>
          <t>800-106838-02</t>
        </is>
      </c>
      <c r="G177" s="43" t="inlineStr">
        <is>
          <t>OTHER_SCOPE_ITEM</t>
        </is>
      </c>
      <c r="H177" s="43" t="inlineStr"/>
      <c r="I177" s="43" t="inlineStr">
        <is>
          <t>Expired</t>
        </is>
      </c>
      <c r="J177" s="32" t="n">
        <v>45853</v>
      </c>
      <c r="K177" s="32" t="n">
        <v>45779</v>
      </c>
      <c r="L177" s="43" t="inlineStr">
        <is>
          <t>794</t>
        </is>
      </c>
      <c r="M177" s="43" t="n">
        <v>1</v>
      </c>
      <c r="N177" s="33" t="inlineStr"/>
      <c r="O177" s="43" t="inlineStr">
        <is>
          <t>UNVERIFIED</t>
        </is>
      </c>
      <c r="P177" s="43" t="inlineStr">
        <is>
          <t>Pending Review</t>
        </is>
      </c>
      <c r="Q177" s="33" t="inlineStr">
        <is>
          <t>Confirmar SKU/PCBA revision, PN exacto en Common DB, WO, BU, vigencia, planta y aprobacion firmada.</t>
        </is>
      </c>
    </row>
    <row r="178">
      <c r="A178" s="43" t="inlineStr">
        <is>
          <t>CTANJZ04568</t>
        </is>
      </c>
      <c r="B178" s="43" t="inlineStr">
        <is>
          <t>D603037</t>
        </is>
      </c>
      <c r="C178" s="43" t="inlineStr">
        <is>
          <t>037-STBU</t>
        </is>
      </c>
      <c r="D178" s="43" t="inlineStr">
        <is>
          <t>FJZP</t>
        </is>
      </c>
      <c r="E178" s="43" t="inlineStr">
        <is>
          <t>MCGA</t>
        </is>
      </c>
      <c r="F178" s="43" t="inlineStr">
        <is>
          <t>800-107605-01</t>
        </is>
      </c>
      <c r="G178" s="43" t="inlineStr">
        <is>
          <t>OTHER_SCOPE_ITEM</t>
        </is>
      </c>
      <c r="H178" s="43" t="inlineStr"/>
      <c r="I178" s="43" t="inlineStr">
        <is>
          <t>Expired</t>
        </is>
      </c>
      <c r="J178" s="32" t="n">
        <v>45853</v>
      </c>
      <c r="K178" s="32" t="n">
        <v>45779</v>
      </c>
      <c r="L178" s="43" t="inlineStr">
        <is>
          <t>795</t>
        </is>
      </c>
      <c r="M178" s="43" t="n">
        <v>1</v>
      </c>
      <c r="N178" s="33" t="inlineStr"/>
      <c r="O178" s="43" t="inlineStr">
        <is>
          <t>UNVERIFIED</t>
        </is>
      </c>
      <c r="P178" s="43" t="inlineStr">
        <is>
          <t>Pending Review</t>
        </is>
      </c>
      <c r="Q178" s="33" t="inlineStr">
        <is>
          <t>Confirmar SKU/PCBA revision, PN exacto en Common DB, WO, BU, vigencia, planta y aprobacion firmada.</t>
        </is>
      </c>
    </row>
    <row r="179">
      <c r="A179" s="43" t="inlineStr">
        <is>
          <t>CTANJZ04568</t>
        </is>
      </c>
      <c r="B179" s="43" t="inlineStr">
        <is>
          <t>D603037</t>
        </is>
      </c>
      <c r="C179" s="43" t="inlineStr">
        <is>
          <t>037-STBU</t>
        </is>
      </c>
      <c r="D179" s="43" t="inlineStr">
        <is>
          <t>FJZP</t>
        </is>
      </c>
      <c r="E179" s="43" t="inlineStr">
        <is>
          <t>MCGA</t>
        </is>
      </c>
      <c r="F179" s="43" t="inlineStr">
        <is>
          <t>800-111297-01</t>
        </is>
      </c>
      <c r="G179" s="43" t="inlineStr">
        <is>
          <t>OTHER_SCOPE_ITEM</t>
        </is>
      </c>
      <c r="H179" s="43" t="inlineStr"/>
      <c r="I179" s="43" t="inlineStr">
        <is>
          <t>Expired</t>
        </is>
      </c>
      <c r="J179" s="32" t="n">
        <v>45853</v>
      </c>
      <c r="K179" s="32" t="n">
        <v>45779</v>
      </c>
      <c r="L179" s="43" t="inlineStr">
        <is>
          <t>796</t>
        </is>
      </c>
      <c r="M179" s="43" t="n">
        <v>1</v>
      </c>
      <c r="N179" s="33" t="inlineStr"/>
      <c r="O179" s="43" t="inlineStr">
        <is>
          <t>UNVERIFIED</t>
        </is>
      </c>
      <c r="P179" s="43" t="inlineStr">
        <is>
          <t>Pending Review</t>
        </is>
      </c>
      <c r="Q179" s="33" t="inlineStr">
        <is>
          <t>Confirmar SKU/PCBA revision, PN exacto en Common DB, WO, BU, vigencia, planta y aprobacion firmada.</t>
        </is>
      </c>
    </row>
    <row r="180">
      <c r="A180" s="43" t="inlineStr">
        <is>
          <t>CTANJZ04571</t>
        </is>
      </c>
      <c r="B180" s="43" t="inlineStr">
        <is>
          <t>D603340</t>
        </is>
      </c>
      <c r="C180" s="43" t="inlineStr">
        <is>
          <t>034-IOTBU</t>
        </is>
      </c>
      <c r="D180" s="43" t="inlineStr">
        <is>
          <t>FJZP</t>
        </is>
      </c>
      <c r="E180" s="43" t="inlineStr">
        <is>
          <t>MCGA</t>
        </is>
      </c>
      <c r="F180" s="43" t="inlineStr">
        <is>
          <t>08-1171-04</t>
        </is>
      </c>
      <c r="G180" s="43" t="inlineStr">
        <is>
          <t>OTHER_SCOPE_ITEM</t>
        </is>
      </c>
      <c r="H180" s="43" t="inlineStr"/>
      <c r="I180" s="43" t="inlineStr">
        <is>
          <t>Expired</t>
        </is>
      </c>
      <c r="J180" s="32" t="n">
        <v>45855</v>
      </c>
      <c r="K180" s="32" t="n">
        <v>45773</v>
      </c>
      <c r="L180" s="43" t="inlineStr">
        <is>
          <t>797</t>
        </is>
      </c>
      <c r="M180" s="43" t="n">
        <v>1</v>
      </c>
      <c r="N180" s="33" t="inlineStr"/>
      <c r="O180" s="43" t="inlineStr">
        <is>
          <t>UNVERIFIED</t>
        </is>
      </c>
      <c r="P180" s="43" t="inlineStr">
        <is>
          <t>Pending Review</t>
        </is>
      </c>
      <c r="Q180" s="33" t="inlineStr">
        <is>
          <t>Confirmar SKU/PCBA revision, PN exacto en Common DB, WO, BU, vigencia, planta y aprobacion firmada.</t>
        </is>
      </c>
    </row>
    <row r="181">
      <c r="A181" s="43" t="inlineStr">
        <is>
          <t>CTANJZ04573</t>
        </is>
      </c>
      <c r="B181" s="43" t="inlineStr">
        <is>
          <t>D603428</t>
        </is>
      </c>
      <c r="C181" s="43" t="inlineStr">
        <is>
          <t>018-SRGBU</t>
        </is>
      </c>
      <c r="D181" s="43" t="inlineStr">
        <is>
          <t>FJZP</t>
        </is>
      </c>
      <c r="E181" s="43" t="inlineStr">
        <is>
          <t>MCGA</t>
        </is>
      </c>
      <c r="F181" s="43" t="inlineStr">
        <is>
          <t>15-107070-01</t>
        </is>
      </c>
      <c r="G181" s="43" t="inlineStr">
        <is>
          <t>OTHER_SCOPE_ITEM</t>
        </is>
      </c>
      <c r="H181" s="43" t="inlineStr"/>
      <c r="I181" s="43" t="inlineStr">
        <is>
          <t>Expired</t>
        </is>
      </c>
      <c r="J181" s="32" t="n">
        <v>45858</v>
      </c>
      <c r="K181" s="32" t="n">
        <v>45779</v>
      </c>
      <c r="L181" s="43" t="inlineStr">
        <is>
          <t>798</t>
        </is>
      </c>
      <c r="M181" s="43" t="n">
        <v>1</v>
      </c>
      <c r="N181" s="33" t="inlineStr"/>
      <c r="O181" s="43" t="inlineStr">
        <is>
          <t>UNVERIFIED</t>
        </is>
      </c>
      <c r="P181" s="43" t="inlineStr">
        <is>
          <t>Pending Review</t>
        </is>
      </c>
      <c r="Q181" s="33" t="inlineStr">
        <is>
          <t>Confirmar SKU/PCBA revision, PN exacto en Common DB, WO, BU, vigencia, planta y aprobacion firmada.</t>
        </is>
      </c>
    </row>
    <row r="182">
      <c r="A182" s="43" t="inlineStr">
        <is>
          <t>CTANJZ04575</t>
        </is>
      </c>
      <c r="B182" s="43" t="inlineStr">
        <is>
          <t>D603354</t>
        </is>
      </c>
      <c r="C182" s="43" t="inlineStr">
        <is>
          <t>018-SRGBU</t>
        </is>
      </c>
      <c r="D182" s="43" t="inlineStr">
        <is>
          <t>FJZP</t>
        </is>
      </c>
      <c r="E182" s="43" t="inlineStr">
        <is>
          <t>MCGA</t>
        </is>
      </c>
      <c r="F182" s="43" t="inlineStr">
        <is>
          <t>84-1474-01</t>
        </is>
      </c>
      <c r="G182" s="43" t="inlineStr">
        <is>
          <t>OTHER_SCOPE_ITEM</t>
        </is>
      </c>
      <c r="H182" s="43" t="inlineStr"/>
      <c r="I182" s="43" t="inlineStr">
        <is>
          <t>Expired</t>
        </is>
      </c>
      <c r="J182" s="32" t="n">
        <v>45858</v>
      </c>
      <c r="K182" s="32" t="n">
        <v>45779</v>
      </c>
      <c r="L182" s="43" t="inlineStr">
        <is>
          <t>799</t>
        </is>
      </c>
      <c r="M182" s="43" t="n">
        <v>1</v>
      </c>
      <c r="N182" s="33" t="inlineStr"/>
      <c r="O182" s="43" t="inlineStr">
        <is>
          <t>UNVERIFIED</t>
        </is>
      </c>
      <c r="P182" s="43" t="inlineStr">
        <is>
          <t>Pending Review</t>
        </is>
      </c>
      <c r="Q182" s="33" t="inlineStr">
        <is>
          <t>Confirmar SKU/PCBA revision, PN exacto en Common DB, WO, BU, vigencia, planta y aprobacion firmada.</t>
        </is>
      </c>
    </row>
    <row r="183">
      <c r="A183" s="43" t="inlineStr">
        <is>
          <t>CTANJZ04578</t>
        </is>
      </c>
      <c r="B183" s="43" t="inlineStr">
        <is>
          <t>D603342</t>
        </is>
      </c>
      <c r="C183" s="43" t="inlineStr">
        <is>
          <t>037-STBU</t>
        </is>
      </c>
      <c r="D183" s="43" t="inlineStr">
        <is>
          <t>FJZP</t>
        </is>
      </c>
      <c r="E183" s="43" t="inlineStr">
        <is>
          <t>MCGA</t>
        </is>
      </c>
      <c r="F183" s="43" t="inlineStr">
        <is>
          <t>15-100531-01</t>
        </is>
      </c>
      <c r="G183" s="43" t="inlineStr">
        <is>
          <t>OTHER_SCOPE_ITEM</t>
        </is>
      </c>
      <c r="H183" s="43" t="inlineStr"/>
      <c r="I183" s="43" t="inlineStr">
        <is>
          <t>Expired</t>
        </is>
      </c>
      <c r="J183" s="32" t="n">
        <v>45860</v>
      </c>
      <c r="K183" s="32" t="n">
        <v>45791</v>
      </c>
      <c r="L183" s="43" t="inlineStr">
        <is>
          <t>1405</t>
        </is>
      </c>
      <c r="M183" s="43" t="n">
        <v>1</v>
      </c>
      <c r="N183" s="33" t="inlineStr"/>
      <c r="O183" s="43" t="inlineStr">
        <is>
          <t>UNVERIFIED</t>
        </is>
      </c>
      <c r="P183" s="43" t="inlineStr">
        <is>
          <t>Pending Review</t>
        </is>
      </c>
      <c r="Q183" s="33" t="inlineStr">
        <is>
          <t>Confirmar SKU/PCBA revision, PN exacto en Common DB, WO, BU, vigencia, planta y aprobacion firmada.</t>
        </is>
      </c>
    </row>
    <row r="184">
      <c r="A184" s="43" t="inlineStr">
        <is>
          <t>CTANJZ04578</t>
        </is>
      </c>
      <c r="B184" s="43" t="inlineStr">
        <is>
          <t>D603342</t>
        </is>
      </c>
      <c r="C184" s="43" t="inlineStr">
        <is>
          <t>037-STBU</t>
        </is>
      </c>
      <c r="D184" s="43" t="inlineStr">
        <is>
          <t>FJZP</t>
        </is>
      </c>
      <c r="E184" s="43" t="inlineStr">
        <is>
          <t>MCGA</t>
        </is>
      </c>
      <c r="F184" s="43" t="inlineStr">
        <is>
          <t>68-103466-06</t>
        </is>
      </c>
      <c r="G184" s="43" t="inlineStr">
        <is>
          <t>OTHER_SCOPE_ITEM</t>
        </is>
      </c>
      <c r="H184" s="43" t="inlineStr"/>
      <c r="I184" s="43" t="inlineStr">
        <is>
          <t>Expired</t>
        </is>
      </c>
      <c r="J184" s="32" t="n">
        <v>45860</v>
      </c>
      <c r="K184" s="32" t="n">
        <v>45791</v>
      </c>
      <c r="L184" s="43" t="inlineStr">
        <is>
          <t>1406</t>
        </is>
      </c>
      <c r="M184" s="43" t="n">
        <v>1</v>
      </c>
      <c r="N184" s="33" t="inlineStr"/>
      <c r="O184" s="43" t="inlineStr">
        <is>
          <t>UNVERIFIED</t>
        </is>
      </c>
      <c r="P184" s="43" t="inlineStr">
        <is>
          <t>Pending Review</t>
        </is>
      </c>
      <c r="Q184" s="33" t="inlineStr">
        <is>
          <t>Confirmar SKU/PCBA revision, PN exacto en Common DB, WO, BU, vigencia, planta y aprobacion firmada.</t>
        </is>
      </c>
    </row>
    <row r="185">
      <c r="A185" s="43" t="inlineStr">
        <is>
          <t>CTANJZ04578</t>
        </is>
      </c>
      <c r="B185" s="43" t="inlineStr">
        <is>
          <t>D603342</t>
        </is>
      </c>
      <c r="C185" s="43" t="inlineStr">
        <is>
          <t>037-STBU</t>
        </is>
      </c>
      <c r="D185" s="43" t="inlineStr">
        <is>
          <t>FJZP</t>
        </is>
      </c>
      <c r="E185" s="43" t="inlineStr">
        <is>
          <t>MCGA</t>
        </is>
      </c>
      <c r="F185" s="43" t="inlineStr">
        <is>
          <t>73-102435-05</t>
        </is>
      </c>
      <c r="G185" s="43" t="inlineStr">
        <is>
          <t>BOARD_PN_CANDIDATE</t>
        </is>
      </c>
      <c r="H185" s="43" t="inlineStr"/>
      <c r="I185" s="43" t="inlineStr">
        <is>
          <t>Expired</t>
        </is>
      </c>
      <c r="J185" s="32" t="n">
        <v>45860</v>
      </c>
      <c r="K185" s="32" t="n">
        <v>45791</v>
      </c>
      <c r="L185" s="43" t="inlineStr">
        <is>
          <t>1407</t>
        </is>
      </c>
      <c r="M185" s="43" t="n">
        <v>1</v>
      </c>
      <c r="N185" s="33" t="inlineStr"/>
      <c r="O185" s="43" t="inlineStr">
        <is>
          <t>UNVERIFIED</t>
        </is>
      </c>
      <c r="P185" s="43" t="inlineStr">
        <is>
          <t>Pending Review</t>
        </is>
      </c>
      <c r="Q185" s="33" t="inlineStr">
        <is>
          <t>Confirmar SKU/PCBA revision, PN exacto en Common DB, WO, BU, vigencia, planta y aprobacion firmada.</t>
        </is>
      </c>
    </row>
    <row r="186">
      <c r="A186" s="43" t="inlineStr">
        <is>
          <t>CTANJZ04580</t>
        </is>
      </c>
      <c r="B186" s="43" t="inlineStr">
        <is>
          <t>D603575</t>
        </is>
      </c>
      <c r="C186" s="43" t="inlineStr">
        <is>
          <t>018-SRGBU</t>
        </is>
      </c>
      <c r="D186" s="43" t="inlineStr">
        <is>
          <t>FJZP</t>
        </is>
      </c>
      <c r="E186" s="43" t="inlineStr">
        <is>
          <t>MCGA</t>
        </is>
      </c>
      <c r="F186" s="43" t="inlineStr">
        <is>
          <t>15-107070-01</t>
        </is>
      </c>
      <c r="G186" s="43" t="inlineStr">
        <is>
          <t>OTHER_SCOPE_ITEM</t>
        </is>
      </c>
      <c r="H186" s="43" t="inlineStr"/>
      <c r="I186" s="43" t="inlineStr">
        <is>
          <t>Expired</t>
        </is>
      </c>
      <c r="J186" s="32" t="n">
        <v>45865</v>
      </c>
      <c r="K186" s="32" t="n">
        <v>45791</v>
      </c>
      <c r="L186" s="43" t="inlineStr">
        <is>
          <t>715</t>
        </is>
      </c>
      <c r="M186" s="43" t="n">
        <v>1</v>
      </c>
      <c r="N186" s="33" t="inlineStr"/>
      <c r="O186" s="43" t="inlineStr">
        <is>
          <t>UNVERIFIED</t>
        </is>
      </c>
      <c r="P186" s="43" t="inlineStr">
        <is>
          <t>Pending Review</t>
        </is>
      </c>
      <c r="Q186" s="33" t="inlineStr">
        <is>
          <t>Confirmar SKU/PCBA revision, PN exacto en Common DB, WO, BU, vigencia, planta y aprobacion firmada.</t>
        </is>
      </c>
    </row>
    <row r="187">
      <c r="A187" s="43" t="inlineStr">
        <is>
          <t>CTANJZ04583</t>
        </is>
      </c>
      <c r="B187" s="43" t="inlineStr">
        <is>
          <t>D602497</t>
        </is>
      </c>
      <c r="C187" s="43" t="inlineStr">
        <is>
          <t>037-STBU</t>
        </is>
      </c>
      <c r="D187" s="43" t="inlineStr">
        <is>
          <t>FJZP</t>
        </is>
      </c>
      <c r="E187" s="43" t="inlineStr">
        <is>
          <t>MCGA</t>
        </is>
      </c>
      <c r="F187" s="43" t="inlineStr">
        <is>
          <t>24-1261-01</t>
        </is>
      </c>
      <c r="G187" s="43" t="inlineStr">
        <is>
          <t>OTHER_SCOPE_ITEM</t>
        </is>
      </c>
      <c r="H187" s="43" t="inlineStr"/>
      <c r="I187" s="43" t="inlineStr">
        <is>
          <t>Expired</t>
        </is>
      </c>
      <c r="J187" s="32" t="n">
        <v>45866</v>
      </c>
      <c r="K187" s="32" t="n">
        <v>45796</v>
      </c>
      <c r="L187" s="43" t="inlineStr">
        <is>
          <t>146</t>
        </is>
      </c>
      <c r="M187" s="43" t="n">
        <v>1</v>
      </c>
      <c r="N187" s="33" t="inlineStr"/>
      <c r="O187" s="43" t="inlineStr">
        <is>
          <t>UNVERIFIED</t>
        </is>
      </c>
      <c r="P187" s="43" t="inlineStr">
        <is>
          <t>Pending Review</t>
        </is>
      </c>
      <c r="Q187" s="33" t="inlineStr">
        <is>
          <t>Confirmar SKU/PCBA revision, PN exacto en Common DB, WO, BU, vigencia, planta y aprobacion firmada.</t>
        </is>
      </c>
    </row>
    <row r="188">
      <c r="A188" s="43" t="inlineStr">
        <is>
          <t>CTANJZ04583</t>
        </is>
      </c>
      <c r="B188" s="43" t="inlineStr">
        <is>
          <t>D602497</t>
        </is>
      </c>
      <c r="C188" s="43" t="inlineStr">
        <is>
          <t>037-STBU</t>
        </is>
      </c>
      <c r="D188" s="43" t="inlineStr">
        <is>
          <t>FJZP</t>
        </is>
      </c>
      <c r="E188" s="43" t="inlineStr">
        <is>
          <t>MCGA</t>
        </is>
      </c>
      <c r="F188" s="43" t="inlineStr">
        <is>
          <t>68-6805-03</t>
        </is>
      </c>
      <c r="G188" s="43" t="inlineStr">
        <is>
          <t>OTHER_SCOPE_ITEM</t>
        </is>
      </c>
      <c r="H188" s="43" t="inlineStr"/>
      <c r="I188" s="43" t="inlineStr">
        <is>
          <t>Expired</t>
        </is>
      </c>
      <c r="J188" s="32" t="n">
        <v>45866</v>
      </c>
      <c r="K188" s="32" t="n">
        <v>45796</v>
      </c>
      <c r="L188" s="43" t="inlineStr">
        <is>
          <t>147</t>
        </is>
      </c>
      <c r="M188" s="43" t="n">
        <v>1</v>
      </c>
      <c r="N188" s="33" t="inlineStr"/>
      <c r="O188" s="43" t="inlineStr">
        <is>
          <t>UNVERIFIED</t>
        </is>
      </c>
      <c r="P188" s="43" t="inlineStr">
        <is>
          <t>Pending Review</t>
        </is>
      </c>
      <c r="Q188" s="33" t="inlineStr">
        <is>
          <t>Confirmar SKU/PCBA revision, PN exacto en Common DB, WO, BU, vigencia, planta y aprobacion firmada.</t>
        </is>
      </c>
    </row>
    <row r="189">
      <c r="A189" s="43" t="inlineStr">
        <is>
          <t>CTANJZ04583</t>
        </is>
      </c>
      <c r="B189" s="43" t="inlineStr">
        <is>
          <t>D602497</t>
        </is>
      </c>
      <c r="C189" s="43" t="inlineStr">
        <is>
          <t>037-STBU</t>
        </is>
      </c>
      <c r="D189" s="43" t="inlineStr">
        <is>
          <t>FJZP</t>
        </is>
      </c>
      <c r="E189" s="43" t="inlineStr">
        <is>
          <t>MCGA</t>
        </is>
      </c>
      <c r="F189" s="43" t="inlineStr">
        <is>
          <t>73-19337-01</t>
        </is>
      </c>
      <c r="G189" s="43" t="inlineStr">
        <is>
          <t>BOARD_PN_CANDIDATE</t>
        </is>
      </c>
      <c r="H189" s="43" t="inlineStr"/>
      <c r="I189" s="43" t="inlineStr">
        <is>
          <t>Expired</t>
        </is>
      </c>
      <c r="J189" s="32" t="n">
        <v>45866</v>
      </c>
      <c r="K189" s="32" t="n">
        <v>45796</v>
      </c>
      <c r="L189" s="43" t="inlineStr">
        <is>
          <t>148</t>
        </is>
      </c>
      <c r="M189" s="43" t="n">
        <v>1</v>
      </c>
      <c r="N189" s="33" t="inlineStr"/>
      <c r="O189" s="43" t="inlineStr">
        <is>
          <t>UNVERIFIED</t>
        </is>
      </c>
      <c r="P189" s="43" t="inlineStr">
        <is>
          <t>Pending Review</t>
        </is>
      </c>
      <c r="Q189" s="33" t="inlineStr">
        <is>
          <t>Confirmar SKU/PCBA revision, PN exacto en Common DB, WO, BU, vigencia, planta y aprobacion firmada.</t>
        </is>
      </c>
    </row>
    <row r="190">
      <c r="A190" s="43" t="inlineStr">
        <is>
          <t>CTANJZ04587</t>
        </is>
      </c>
      <c r="B190" s="43" t="inlineStr">
        <is>
          <t>D603571</t>
        </is>
      </c>
      <c r="C190" s="43" t="inlineStr">
        <is>
          <t>018-SRGBU</t>
        </is>
      </c>
      <c r="D190" s="43" t="inlineStr">
        <is>
          <t>FJZP</t>
        </is>
      </c>
      <c r="E190" s="43" t="inlineStr">
        <is>
          <t>MCGA</t>
        </is>
      </c>
      <c r="F190" s="43" t="inlineStr">
        <is>
          <t>16-100775-01</t>
        </is>
      </c>
      <c r="G190" s="43" t="inlineStr">
        <is>
          <t>OTHER_SCOPE_ITEM</t>
        </is>
      </c>
      <c r="H190" s="43" t="inlineStr"/>
      <c r="I190" s="43" t="inlineStr">
        <is>
          <t>Expired</t>
        </is>
      </c>
      <c r="J190" s="32" t="n">
        <v>45866</v>
      </c>
      <c r="K190" s="32" t="n">
        <v>45796</v>
      </c>
      <c r="L190" s="43" t="inlineStr">
        <is>
          <t>352</t>
        </is>
      </c>
      <c r="M190" s="43" t="n">
        <v>1</v>
      </c>
      <c r="N190" s="33" t="inlineStr"/>
      <c r="O190" s="43" t="inlineStr">
        <is>
          <t>UNVERIFIED</t>
        </is>
      </c>
      <c r="P190" s="43" t="inlineStr">
        <is>
          <t>Pending Review</t>
        </is>
      </c>
      <c r="Q190" s="33" t="inlineStr">
        <is>
          <t>Confirmar SKU/PCBA revision, PN exacto en Common DB, WO, BU, vigencia, planta y aprobacion firmada.</t>
        </is>
      </c>
    </row>
    <row r="191">
      <c r="A191" s="43" t="inlineStr">
        <is>
          <t>CTANJZ04587</t>
        </is>
      </c>
      <c r="B191" s="43" t="inlineStr">
        <is>
          <t>D603571</t>
        </is>
      </c>
      <c r="C191" s="43" t="inlineStr">
        <is>
          <t>018-SRGBU</t>
        </is>
      </c>
      <c r="D191" s="43" t="inlineStr">
        <is>
          <t>FJZP</t>
        </is>
      </c>
      <c r="E191" s="43" t="inlineStr">
        <is>
          <t>MCGA</t>
        </is>
      </c>
      <c r="F191" s="43" t="inlineStr">
        <is>
          <t>16-100809-01</t>
        </is>
      </c>
      <c r="G191" s="43" t="inlineStr">
        <is>
          <t>OTHER_SCOPE_ITEM</t>
        </is>
      </c>
      <c r="H191" s="43" t="inlineStr"/>
      <c r="I191" s="43" t="inlineStr">
        <is>
          <t>Expired</t>
        </is>
      </c>
      <c r="J191" s="32" t="n">
        <v>45866</v>
      </c>
      <c r="K191" s="32" t="n">
        <v>45796</v>
      </c>
      <c r="L191" s="43" t="inlineStr">
        <is>
          <t>353</t>
        </is>
      </c>
      <c r="M191" s="43" t="n">
        <v>1</v>
      </c>
      <c r="N191" s="33" t="inlineStr"/>
      <c r="O191" s="43" t="inlineStr">
        <is>
          <t>UNVERIFIED</t>
        </is>
      </c>
      <c r="P191" s="43" t="inlineStr">
        <is>
          <t>Pending Review</t>
        </is>
      </c>
      <c r="Q191" s="33" t="inlineStr">
        <is>
          <t>Confirmar SKU/PCBA revision, PN exacto en Common DB, WO, BU, vigencia, planta y aprobacion firmada.</t>
        </is>
      </c>
    </row>
    <row r="192">
      <c r="A192" s="43" t="inlineStr">
        <is>
          <t>CTANJZ04588</t>
        </is>
      </c>
      <c r="B192" s="43" t="inlineStr">
        <is>
          <t>D603105</t>
        </is>
      </c>
      <c r="C192" s="43" t="inlineStr">
        <is>
          <t>018-SRGBU</t>
        </is>
      </c>
      <c r="D192" s="43" t="inlineStr">
        <is>
          <t>FJZP</t>
        </is>
      </c>
      <c r="E192" s="43" t="inlineStr">
        <is>
          <t>MCGA</t>
        </is>
      </c>
      <c r="F192" s="43" t="inlineStr">
        <is>
          <t>47-103163-01</t>
        </is>
      </c>
      <c r="G192" s="43" t="inlineStr">
        <is>
          <t>OTHER_SCOPE_ITEM</t>
        </is>
      </c>
      <c r="H192" s="43" t="inlineStr"/>
      <c r="I192" s="43" t="inlineStr">
        <is>
          <t>Expired</t>
        </is>
      </c>
      <c r="J192" s="32" t="n">
        <v>45868</v>
      </c>
      <c r="K192" s="32" t="n">
        <v>45796</v>
      </c>
      <c r="L192" s="43" t="inlineStr">
        <is>
          <t>716</t>
        </is>
      </c>
      <c r="M192" s="43" t="n">
        <v>1</v>
      </c>
      <c r="N192" s="33" t="inlineStr"/>
      <c r="O192" s="43" t="inlineStr">
        <is>
          <t>UNVERIFIED</t>
        </is>
      </c>
      <c r="P192" s="43" t="inlineStr">
        <is>
          <t>Pending Review</t>
        </is>
      </c>
      <c r="Q192" s="33" t="inlineStr">
        <is>
          <t>Confirmar SKU/PCBA revision, PN exacto en Common DB, WO, BU, vigencia, planta y aprobacion firmada.</t>
        </is>
      </c>
    </row>
    <row r="193">
      <c r="A193" s="43" t="inlineStr">
        <is>
          <t>CTANJZ04588</t>
        </is>
      </c>
      <c r="B193" s="43" t="inlineStr">
        <is>
          <t>D603105</t>
        </is>
      </c>
      <c r="C193" s="43" t="inlineStr">
        <is>
          <t>018-SRGBU</t>
        </is>
      </c>
      <c r="D193" s="43" t="inlineStr">
        <is>
          <t>FJZP</t>
        </is>
      </c>
      <c r="E193" s="43" t="inlineStr">
        <is>
          <t>MCGA</t>
        </is>
      </c>
      <c r="F193" s="43" t="inlineStr">
        <is>
          <t>800-49798-02</t>
        </is>
      </c>
      <c r="G193" s="43" t="inlineStr">
        <is>
          <t>OTHER_SCOPE_ITEM</t>
        </is>
      </c>
      <c r="H193" s="43" t="inlineStr"/>
      <c r="I193" s="43" t="inlineStr">
        <is>
          <t>Expired</t>
        </is>
      </c>
      <c r="J193" s="32" t="n">
        <v>45868</v>
      </c>
      <c r="K193" s="32" t="n">
        <v>45796</v>
      </c>
      <c r="L193" s="43" t="inlineStr">
        <is>
          <t>717</t>
        </is>
      </c>
      <c r="M193" s="43" t="n">
        <v>1</v>
      </c>
      <c r="N193" s="33" t="inlineStr"/>
      <c r="O193" s="43" t="inlineStr">
        <is>
          <t>UNVERIFIED</t>
        </is>
      </c>
      <c r="P193" s="43" t="inlineStr">
        <is>
          <t>Pending Review</t>
        </is>
      </c>
      <c r="Q193" s="33" t="inlineStr">
        <is>
          <t>Confirmar SKU/PCBA revision, PN exacto en Common DB, WO, BU, vigencia, planta y aprobacion firmada.</t>
        </is>
      </c>
    </row>
    <row r="194">
      <c r="A194" s="43" t="inlineStr">
        <is>
          <t>CTANJZ04588</t>
        </is>
      </c>
      <c r="B194" s="43" t="inlineStr">
        <is>
          <t>D603105</t>
        </is>
      </c>
      <c r="C194" s="43" t="inlineStr">
        <is>
          <t>018-SRGBU</t>
        </is>
      </c>
      <c r="D194" s="43" t="inlineStr">
        <is>
          <t>FJZP</t>
        </is>
      </c>
      <c r="E194" s="43" t="inlineStr">
        <is>
          <t>MCGA</t>
        </is>
      </c>
      <c r="F194" s="43" t="inlineStr">
        <is>
          <t>800-49799-02</t>
        </is>
      </c>
      <c r="G194" s="43" t="inlineStr">
        <is>
          <t>OTHER_SCOPE_ITEM</t>
        </is>
      </c>
      <c r="H194" s="43" t="inlineStr"/>
      <c r="I194" s="43" t="inlineStr">
        <is>
          <t>Expired</t>
        </is>
      </c>
      <c r="J194" s="32" t="n">
        <v>45868</v>
      </c>
      <c r="K194" s="32" t="n">
        <v>45796</v>
      </c>
      <c r="L194" s="43" t="inlineStr">
        <is>
          <t>718</t>
        </is>
      </c>
      <c r="M194" s="43" t="n">
        <v>1</v>
      </c>
      <c r="N194" s="33" t="inlineStr"/>
      <c r="O194" s="43" t="inlineStr">
        <is>
          <t>UNVERIFIED</t>
        </is>
      </c>
      <c r="P194" s="43" t="inlineStr">
        <is>
          <t>Pending Review</t>
        </is>
      </c>
      <c r="Q194" s="33" t="inlineStr">
        <is>
          <t>Confirmar SKU/PCBA revision, PN exacto en Common DB, WO, BU, vigencia, planta y aprobacion firmada.</t>
        </is>
      </c>
    </row>
    <row r="195">
      <c r="A195" s="43" t="inlineStr">
        <is>
          <t>CTANJZ04588</t>
        </is>
      </c>
      <c r="B195" s="43" t="inlineStr">
        <is>
          <t>D603105</t>
        </is>
      </c>
      <c r="C195" s="43" t="inlineStr">
        <is>
          <t>018-SRGBU</t>
        </is>
      </c>
      <c r="D195" s="43" t="inlineStr">
        <is>
          <t>FJZP</t>
        </is>
      </c>
      <c r="E195" s="43" t="inlineStr">
        <is>
          <t>MCGA</t>
        </is>
      </c>
      <c r="F195" s="43" t="inlineStr">
        <is>
          <t>800-49800-02</t>
        </is>
      </c>
      <c r="G195" s="43" t="inlineStr">
        <is>
          <t>OTHER_SCOPE_ITEM</t>
        </is>
      </c>
      <c r="H195" s="43" t="inlineStr"/>
      <c r="I195" s="43" t="inlineStr">
        <is>
          <t>Expired</t>
        </is>
      </c>
      <c r="J195" s="32" t="n">
        <v>45868</v>
      </c>
      <c r="K195" s="32" t="n">
        <v>45796</v>
      </c>
      <c r="L195" s="43" t="inlineStr">
        <is>
          <t>719</t>
        </is>
      </c>
      <c r="M195" s="43" t="n">
        <v>1</v>
      </c>
      <c r="N195" s="33" t="inlineStr"/>
      <c r="O195" s="43" t="inlineStr">
        <is>
          <t>UNVERIFIED</t>
        </is>
      </c>
      <c r="P195" s="43" t="inlineStr">
        <is>
          <t>Pending Review</t>
        </is>
      </c>
      <c r="Q195" s="33" t="inlineStr">
        <is>
          <t>Confirmar SKU/PCBA revision, PN exacto en Common DB, WO, BU, vigencia, planta y aprobacion firmada.</t>
        </is>
      </c>
    </row>
    <row r="196">
      <c r="A196" s="43" t="inlineStr">
        <is>
          <t>CTANJZ04588</t>
        </is>
      </c>
      <c r="B196" s="43" t="inlineStr">
        <is>
          <t>D603105</t>
        </is>
      </c>
      <c r="C196" s="43" t="inlineStr">
        <is>
          <t>018-SRGBU</t>
        </is>
      </c>
      <c r="D196" s="43" t="inlineStr">
        <is>
          <t>FJZP</t>
        </is>
      </c>
      <c r="E196" s="43" t="inlineStr">
        <is>
          <t>MCGA</t>
        </is>
      </c>
      <c r="F196" s="43" t="inlineStr">
        <is>
          <t>800-49801-02</t>
        </is>
      </c>
      <c r="G196" s="43" t="inlineStr">
        <is>
          <t>OTHER_SCOPE_ITEM</t>
        </is>
      </c>
      <c r="H196" s="43" t="inlineStr"/>
      <c r="I196" s="43" t="inlineStr">
        <is>
          <t>Expired</t>
        </is>
      </c>
      <c r="J196" s="32" t="n">
        <v>45868</v>
      </c>
      <c r="K196" s="32" t="n">
        <v>45796</v>
      </c>
      <c r="L196" s="43" t="inlineStr">
        <is>
          <t>720</t>
        </is>
      </c>
      <c r="M196" s="43" t="n">
        <v>1</v>
      </c>
      <c r="N196" s="33" t="inlineStr"/>
      <c r="O196" s="43" t="inlineStr">
        <is>
          <t>UNVERIFIED</t>
        </is>
      </c>
      <c r="P196" s="43" t="inlineStr">
        <is>
          <t>Pending Review</t>
        </is>
      </c>
      <c r="Q196" s="33" t="inlineStr">
        <is>
          <t>Confirmar SKU/PCBA revision, PN exacto en Common DB, WO, BU, vigencia, planta y aprobacion firmada.</t>
        </is>
      </c>
    </row>
    <row r="197">
      <c r="A197" s="43" t="inlineStr">
        <is>
          <t>CTANJZ04588</t>
        </is>
      </c>
      <c r="B197" s="43" t="inlineStr">
        <is>
          <t>D603105</t>
        </is>
      </c>
      <c r="C197" s="43" t="inlineStr">
        <is>
          <t>018-SRGBU</t>
        </is>
      </c>
      <c r="D197" s="43" t="inlineStr">
        <is>
          <t>FJZP</t>
        </is>
      </c>
      <c r="E197" s="43" t="inlineStr">
        <is>
          <t>MCGA</t>
        </is>
      </c>
      <c r="F197" s="43" t="inlineStr">
        <is>
          <t>800-49802-02</t>
        </is>
      </c>
      <c r="G197" s="43" t="inlineStr">
        <is>
          <t>OTHER_SCOPE_ITEM</t>
        </is>
      </c>
      <c r="H197" s="43" t="inlineStr"/>
      <c r="I197" s="43" t="inlineStr">
        <is>
          <t>Expired</t>
        </is>
      </c>
      <c r="J197" s="32" t="n">
        <v>45868</v>
      </c>
      <c r="K197" s="32" t="n">
        <v>45796</v>
      </c>
      <c r="L197" s="43" t="inlineStr">
        <is>
          <t>721</t>
        </is>
      </c>
      <c r="M197" s="43" t="n">
        <v>1</v>
      </c>
      <c r="N197" s="33" t="inlineStr"/>
      <c r="O197" s="43" t="inlineStr">
        <is>
          <t>UNVERIFIED</t>
        </is>
      </c>
      <c r="P197" s="43" t="inlineStr">
        <is>
          <t>Pending Review</t>
        </is>
      </c>
      <c r="Q197" s="33" t="inlineStr">
        <is>
          <t>Confirmar SKU/PCBA revision, PN exacto en Common DB, WO, BU, vigencia, planta y aprobacion firmada.</t>
        </is>
      </c>
    </row>
    <row r="198">
      <c r="A198" s="43" t="inlineStr">
        <is>
          <t>CTANJZ04588</t>
        </is>
      </c>
      <c r="B198" s="43" t="inlineStr">
        <is>
          <t>D603105</t>
        </is>
      </c>
      <c r="C198" s="43" t="inlineStr">
        <is>
          <t>018-SRGBU</t>
        </is>
      </c>
      <c r="D198" s="43" t="inlineStr">
        <is>
          <t>FJZP</t>
        </is>
      </c>
      <c r="E198" s="43" t="inlineStr">
        <is>
          <t>MCGA</t>
        </is>
      </c>
      <c r="F198" s="43" t="inlineStr">
        <is>
          <t>800-49805-03</t>
        </is>
      </c>
      <c r="G198" s="43" t="inlineStr">
        <is>
          <t>OTHER_SCOPE_ITEM</t>
        </is>
      </c>
      <c r="H198" s="43" t="inlineStr"/>
      <c r="I198" s="43" t="inlineStr">
        <is>
          <t>Expired</t>
        </is>
      </c>
      <c r="J198" s="32" t="n">
        <v>45868</v>
      </c>
      <c r="K198" s="32" t="n">
        <v>45796</v>
      </c>
      <c r="L198" s="43" t="inlineStr">
        <is>
          <t>722</t>
        </is>
      </c>
      <c r="M198" s="43" t="n">
        <v>1</v>
      </c>
      <c r="N198" s="33" t="inlineStr"/>
      <c r="O198" s="43" t="inlineStr">
        <is>
          <t>UNVERIFIED</t>
        </is>
      </c>
      <c r="P198" s="43" t="inlineStr">
        <is>
          <t>Pending Review</t>
        </is>
      </c>
      <c r="Q198" s="33" t="inlineStr">
        <is>
          <t>Confirmar SKU/PCBA revision, PN exacto en Common DB, WO, BU, vigencia, planta y aprobacion firmada.</t>
        </is>
      </c>
    </row>
    <row r="199">
      <c r="A199" s="43" t="inlineStr">
        <is>
          <t>CTANJZ04588</t>
        </is>
      </c>
      <c r="B199" s="43" t="inlineStr">
        <is>
          <t>D603105</t>
        </is>
      </c>
      <c r="C199" s="43" t="inlineStr">
        <is>
          <t>018-SRGBU</t>
        </is>
      </c>
      <c r="D199" s="43" t="inlineStr">
        <is>
          <t>FJZP</t>
        </is>
      </c>
      <c r="E199" s="43" t="inlineStr">
        <is>
          <t>MCGA</t>
        </is>
      </c>
      <c r="F199" s="43" t="inlineStr">
        <is>
          <t>800-49806-03</t>
        </is>
      </c>
      <c r="G199" s="43" t="inlineStr">
        <is>
          <t>OTHER_SCOPE_ITEM</t>
        </is>
      </c>
      <c r="H199" s="43" t="inlineStr"/>
      <c r="I199" s="43" t="inlineStr">
        <is>
          <t>Expired</t>
        </is>
      </c>
      <c r="J199" s="32" t="n">
        <v>45868</v>
      </c>
      <c r="K199" s="32" t="n">
        <v>45796</v>
      </c>
      <c r="L199" s="43" t="inlineStr">
        <is>
          <t>723</t>
        </is>
      </c>
      <c r="M199" s="43" t="n">
        <v>1</v>
      </c>
      <c r="N199" s="33" t="inlineStr"/>
      <c r="O199" s="43" t="inlineStr">
        <is>
          <t>UNVERIFIED</t>
        </is>
      </c>
      <c r="P199" s="43" t="inlineStr">
        <is>
          <t>Pending Review</t>
        </is>
      </c>
      <c r="Q199" s="33" t="inlineStr">
        <is>
          <t>Confirmar SKU/PCBA revision, PN exacto en Common DB, WO, BU, vigencia, planta y aprobacion firmada.</t>
        </is>
      </c>
    </row>
    <row r="200">
      <c r="A200" s="43" t="inlineStr">
        <is>
          <t>CTANJZ04588</t>
        </is>
      </c>
      <c r="B200" s="43" t="inlineStr">
        <is>
          <t>D603105</t>
        </is>
      </c>
      <c r="C200" s="43" t="inlineStr">
        <is>
          <t>018-SRGBU</t>
        </is>
      </c>
      <c r="D200" s="43" t="inlineStr">
        <is>
          <t>FJZP</t>
        </is>
      </c>
      <c r="E200" s="43" t="inlineStr">
        <is>
          <t>MCGA</t>
        </is>
      </c>
      <c r="F200" s="43" t="inlineStr">
        <is>
          <t>800-49807-03</t>
        </is>
      </c>
      <c r="G200" s="43" t="inlineStr">
        <is>
          <t>OTHER_SCOPE_ITEM</t>
        </is>
      </c>
      <c r="H200" s="43" t="inlineStr"/>
      <c r="I200" s="43" t="inlineStr">
        <is>
          <t>Expired</t>
        </is>
      </c>
      <c r="J200" s="32" t="n">
        <v>45868</v>
      </c>
      <c r="K200" s="32" t="n">
        <v>45796</v>
      </c>
      <c r="L200" s="43" t="inlineStr">
        <is>
          <t>764</t>
        </is>
      </c>
      <c r="M200" s="43" t="n">
        <v>1</v>
      </c>
      <c r="N200" s="33" t="inlineStr"/>
      <c r="O200" s="43" t="inlineStr">
        <is>
          <t>UNVERIFIED</t>
        </is>
      </c>
      <c r="P200" s="43" t="inlineStr">
        <is>
          <t>Pending Review</t>
        </is>
      </c>
      <c r="Q200" s="33" t="inlineStr">
        <is>
          <t>Confirmar SKU/PCBA revision, PN exacto en Common DB, WO, BU, vigencia, planta y aprobacion firmada.</t>
        </is>
      </c>
    </row>
    <row r="201">
      <c r="A201" s="43" t="inlineStr">
        <is>
          <t>CTANJZ04588</t>
        </is>
      </c>
      <c r="B201" s="43" t="inlineStr">
        <is>
          <t>D603105</t>
        </is>
      </c>
      <c r="C201" s="43" t="inlineStr">
        <is>
          <t>018-SRGBU</t>
        </is>
      </c>
      <c r="D201" s="43" t="inlineStr">
        <is>
          <t>FJZP</t>
        </is>
      </c>
      <c r="E201" s="43" t="inlineStr">
        <is>
          <t>MCGA</t>
        </is>
      </c>
      <c r="F201" s="43" t="inlineStr">
        <is>
          <t>800-49808-03</t>
        </is>
      </c>
      <c r="G201" s="43" t="inlineStr">
        <is>
          <t>OTHER_SCOPE_ITEM</t>
        </is>
      </c>
      <c r="H201" s="43" t="inlineStr"/>
      <c r="I201" s="43" t="inlineStr">
        <is>
          <t>Expired</t>
        </is>
      </c>
      <c r="J201" s="32" t="n">
        <v>45868</v>
      </c>
      <c r="K201" s="32" t="n">
        <v>45796</v>
      </c>
      <c r="L201" s="43" t="inlineStr">
        <is>
          <t>765</t>
        </is>
      </c>
      <c r="M201" s="43" t="n">
        <v>1</v>
      </c>
      <c r="N201" s="33" t="inlineStr"/>
      <c r="O201" s="43" t="inlineStr">
        <is>
          <t>UNVERIFIED</t>
        </is>
      </c>
      <c r="P201" s="43" t="inlineStr">
        <is>
          <t>Pending Review</t>
        </is>
      </c>
      <c r="Q201" s="33" t="inlineStr">
        <is>
          <t>Confirmar SKU/PCBA revision, PN exacto en Common DB, WO, BU, vigencia, planta y aprobacion firmada.</t>
        </is>
      </c>
    </row>
    <row r="202">
      <c r="A202" s="43" t="inlineStr">
        <is>
          <t>CTANJZ04594</t>
        </is>
      </c>
      <c r="B202" s="43" t="inlineStr">
        <is>
          <t>D603779</t>
        </is>
      </c>
      <c r="C202" s="43" t="inlineStr">
        <is>
          <t>018-SRGBU</t>
        </is>
      </c>
      <c r="D202" s="43" t="inlineStr">
        <is>
          <t>FJZP</t>
        </is>
      </c>
      <c r="E202" s="43" t="inlineStr">
        <is>
          <t>MCGA</t>
        </is>
      </c>
      <c r="F202" s="43" t="inlineStr">
        <is>
          <t>15-104536-01</t>
        </is>
      </c>
      <c r="G202" s="43" t="inlineStr">
        <is>
          <t>OTHER_SCOPE_ITEM</t>
        </is>
      </c>
      <c r="H202" s="43" t="inlineStr"/>
      <c r="I202" s="43" t="inlineStr">
        <is>
          <t>Expired</t>
        </is>
      </c>
      <c r="J202" s="32" t="n">
        <v>45873</v>
      </c>
      <c r="K202" s="32" t="n">
        <v>45798</v>
      </c>
      <c r="L202" s="43" t="inlineStr">
        <is>
          <t>357</t>
        </is>
      </c>
      <c r="M202" s="43" t="n">
        <v>1</v>
      </c>
      <c r="N202" s="33" t="inlineStr"/>
      <c r="O202" s="43" t="inlineStr">
        <is>
          <t>UNVERIFIED</t>
        </is>
      </c>
      <c r="P202" s="43" t="inlineStr">
        <is>
          <t>Pending Review</t>
        </is>
      </c>
      <c r="Q202" s="33" t="inlineStr">
        <is>
          <t>Confirmar SKU/PCBA revision, PN exacto en Common DB, WO, BU, vigencia, planta y aprobacion firmada.</t>
        </is>
      </c>
    </row>
    <row r="203">
      <c r="A203" s="43" t="inlineStr">
        <is>
          <t>CTANJZ04594</t>
        </is>
      </c>
      <c r="B203" s="43" t="inlineStr">
        <is>
          <t>D603779</t>
        </is>
      </c>
      <c r="C203" s="43" t="inlineStr">
        <is>
          <t>018-SRGBU</t>
        </is>
      </c>
      <c r="D203" s="43" t="inlineStr">
        <is>
          <t>FJZP</t>
        </is>
      </c>
      <c r="E203" s="43" t="inlineStr">
        <is>
          <t>MCGA</t>
        </is>
      </c>
      <c r="F203" s="43" t="inlineStr">
        <is>
          <t>15-107070-01</t>
        </is>
      </c>
      <c r="G203" s="43" t="inlineStr">
        <is>
          <t>OTHER_SCOPE_ITEM</t>
        </is>
      </c>
      <c r="H203" s="43" t="inlineStr"/>
      <c r="I203" s="43" t="inlineStr">
        <is>
          <t>Expired</t>
        </is>
      </c>
      <c r="J203" s="32" t="n">
        <v>45873</v>
      </c>
      <c r="K203" s="32" t="n">
        <v>45798</v>
      </c>
      <c r="L203" s="43" t="inlineStr">
        <is>
          <t>358</t>
        </is>
      </c>
      <c r="M203" s="43" t="n">
        <v>1</v>
      </c>
      <c r="N203" s="33" t="inlineStr"/>
      <c r="O203" s="43" t="inlineStr">
        <is>
          <t>UNVERIFIED</t>
        </is>
      </c>
      <c r="P203" s="43" t="inlineStr">
        <is>
          <t>Pending Review</t>
        </is>
      </c>
      <c r="Q203" s="33" t="inlineStr">
        <is>
          <t>Confirmar SKU/PCBA revision, PN exacto en Common DB, WO, BU, vigencia, planta y aprobacion firmada.</t>
        </is>
      </c>
    </row>
    <row r="204">
      <c r="A204" s="43" t="inlineStr">
        <is>
          <t>CTANJZ04600</t>
        </is>
      </c>
      <c r="B204" s="43" t="inlineStr">
        <is>
          <t>D603808</t>
        </is>
      </c>
      <c r="C204" s="43" t="inlineStr">
        <is>
          <t>018-SRGBU</t>
        </is>
      </c>
      <c r="D204" s="43" t="inlineStr">
        <is>
          <t>FJZP</t>
        </is>
      </c>
      <c r="E204" s="43" t="inlineStr">
        <is>
          <t>MCGA</t>
        </is>
      </c>
      <c r="F204" s="43" t="inlineStr">
        <is>
          <t>15-107070-01</t>
        </is>
      </c>
      <c r="G204" s="43" t="inlineStr">
        <is>
          <t>OTHER_SCOPE_ITEM</t>
        </is>
      </c>
      <c r="H204" s="43" t="inlineStr"/>
      <c r="I204" s="43" t="inlineStr">
        <is>
          <t>Expired</t>
        </is>
      </c>
      <c r="J204" s="32" t="n">
        <v>45875</v>
      </c>
      <c r="K204" s="32" t="n">
        <v>45798</v>
      </c>
      <c r="L204" s="43" t="inlineStr">
        <is>
          <t>728</t>
        </is>
      </c>
      <c r="M204" s="43" t="n">
        <v>1</v>
      </c>
      <c r="N204" s="33" t="inlineStr"/>
      <c r="O204" s="43" t="inlineStr">
        <is>
          <t>UNVERIFIED</t>
        </is>
      </c>
      <c r="P204" s="43" t="inlineStr">
        <is>
          <t>Pending Review</t>
        </is>
      </c>
      <c r="Q204" s="33" t="inlineStr">
        <is>
          <t>Confirmar SKU/PCBA revision, PN exacto en Common DB, WO, BU, vigencia, planta y aprobacion firmada.</t>
        </is>
      </c>
    </row>
    <row r="205">
      <c r="A205" s="43" t="inlineStr">
        <is>
          <t>CTANJZ04604</t>
        </is>
      </c>
      <c r="B205" s="43" t="inlineStr">
        <is>
          <t>D603402</t>
        </is>
      </c>
      <c r="C205" s="43" t="inlineStr">
        <is>
          <t>037-STBU</t>
        </is>
      </c>
      <c r="D205" s="43" t="inlineStr">
        <is>
          <t>FJZP</t>
        </is>
      </c>
      <c r="E205" s="43" t="inlineStr">
        <is>
          <t>MCGA</t>
        </is>
      </c>
      <c r="F205" s="43" t="inlineStr">
        <is>
          <t>17-101598-10</t>
        </is>
      </c>
      <c r="G205" s="43" t="inlineStr">
        <is>
          <t>OTHER_SCOPE_ITEM</t>
        </is>
      </c>
      <c r="H205" s="43" t="inlineStr"/>
      <c r="I205" s="43" t="inlineStr">
        <is>
          <t>Expired</t>
        </is>
      </c>
      <c r="J205" s="32" t="n">
        <v>46058</v>
      </c>
      <c r="K205" s="32" t="n">
        <v>45805</v>
      </c>
      <c r="L205" s="43" t="inlineStr">
        <is>
          <t>106</t>
        </is>
      </c>
      <c r="M205" s="43" t="n">
        <v>1</v>
      </c>
      <c r="N205" s="33" t="inlineStr"/>
      <c r="O205" s="43" t="inlineStr">
        <is>
          <t>UNVERIFIED</t>
        </is>
      </c>
      <c r="P205" s="43" t="inlineStr">
        <is>
          <t>Pending Review</t>
        </is>
      </c>
      <c r="Q205" s="33" t="inlineStr">
        <is>
          <t>Confirmar SKU/PCBA revision, PN exacto en Common DB, WO, BU, vigencia, planta y aprobacion firmada.</t>
        </is>
      </c>
    </row>
    <row r="206">
      <c r="A206" s="43" t="inlineStr">
        <is>
          <t>CTANJZ04604</t>
        </is>
      </c>
      <c r="B206" s="43" t="inlineStr">
        <is>
          <t>D603402</t>
        </is>
      </c>
      <c r="C206" s="43" t="inlineStr">
        <is>
          <t>037-STBU</t>
        </is>
      </c>
      <c r="D206" s="43" t="inlineStr">
        <is>
          <t>FJZP</t>
        </is>
      </c>
      <c r="E206" s="43" t="inlineStr">
        <is>
          <t>MCGA</t>
        </is>
      </c>
      <c r="F206" s="43" t="inlineStr">
        <is>
          <t>17-102457-07</t>
        </is>
      </c>
      <c r="G206" s="43" t="inlineStr">
        <is>
          <t>OTHER_SCOPE_ITEM</t>
        </is>
      </c>
      <c r="H206" s="43" t="inlineStr"/>
      <c r="I206" s="43" t="inlineStr">
        <is>
          <t>Expired</t>
        </is>
      </c>
      <c r="J206" s="32" t="n">
        <v>46058</v>
      </c>
      <c r="K206" s="32" t="n">
        <v>45805</v>
      </c>
      <c r="L206" s="43" t="inlineStr">
        <is>
          <t>107</t>
        </is>
      </c>
      <c r="M206" s="43" t="n">
        <v>1</v>
      </c>
      <c r="N206" s="33" t="inlineStr"/>
      <c r="O206" s="43" t="inlineStr">
        <is>
          <t>UNVERIFIED</t>
        </is>
      </c>
      <c r="P206" s="43" t="inlineStr">
        <is>
          <t>Pending Review</t>
        </is>
      </c>
      <c r="Q206" s="33" t="inlineStr">
        <is>
          <t>Confirmar SKU/PCBA revision, PN exacto en Common DB, WO, BU, vigencia, planta y aprobacion firmada.</t>
        </is>
      </c>
    </row>
    <row r="207">
      <c r="A207" s="43" t="inlineStr">
        <is>
          <t>CTANJZ04604</t>
        </is>
      </c>
      <c r="B207" s="43" t="inlineStr">
        <is>
          <t>D603402</t>
        </is>
      </c>
      <c r="C207" s="43" t="inlineStr">
        <is>
          <t>037-STBU</t>
        </is>
      </c>
      <c r="D207" s="43" t="inlineStr">
        <is>
          <t>FJZP</t>
        </is>
      </c>
      <c r="E207" s="43" t="inlineStr">
        <is>
          <t>MCGA</t>
        </is>
      </c>
      <c r="F207" s="43" t="inlineStr">
        <is>
          <t>17-102460-06</t>
        </is>
      </c>
      <c r="G207" s="43" t="inlineStr">
        <is>
          <t>OTHER_SCOPE_ITEM</t>
        </is>
      </c>
      <c r="H207" s="43" t="inlineStr"/>
      <c r="I207" s="43" t="inlineStr">
        <is>
          <t>Expired</t>
        </is>
      </c>
      <c r="J207" s="32" t="n">
        <v>46058</v>
      </c>
      <c r="K207" s="32" t="n">
        <v>45805</v>
      </c>
      <c r="L207" s="43" t="inlineStr">
        <is>
          <t>108</t>
        </is>
      </c>
      <c r="M207" s="43" t="n">
        <v>1</v>
      </c>
      <c r="N207" s="33" t="inlineStr"/>
      <c r="O207" s="43" t="inlineStr">
        <is>
          <t>UNVERIFIED</t>
        </is>
      </c>
      <c r="P207" s="43" t="inlineStr">
        <is>
          <t>Pending Review</t>
        </is>
      </c>
      <c r="Q207" s="33" t="inlineStr">
        <is>
          <t>Confirmar SKU/PCBA revision, PN exacto en Common DB, WO, BU, vigencia, planta y aprobacion firmada.</t>
        </is>
      </c>
    </row>
    <row r="208">
      <c r="A208" s="43" t="inlineStr">
        <is>
          <t>CTANJZ04604</t>
        </is>
      </c>
      <c r="B208" s="43" t="inlineStr">
        <is>
          <t>D603402</t>
        </is>
      </c>
      <c r="C208" s="43" t="inlineStr">
        <is>
          <t>037-STBU</t>
        </is>
      </c>
      <c r="D208" s="43" t="inlineStr">
        <is>
          <t>FJZP</t>
        </is>
      </c>
      <c r="E208" s="43" t="inlineStr">
        <is>
          <t>MCGA</t>
        </is>
      </c>
      <c r="F208" s="43" t="inlineStr">
        <is>
          <t>17-102461-06</t>
        </is>
      </c>
      <c r="G208" s="43" t="inlineStr">
        <is>
          <t>OTHER_SCOPE_ITEM</t>
        </is>
      </c>
      <c r="H208" s="43" t="inlineStr"/>
      <c r="I208" s="43" t="inlineStr">
        <is>
          <t>Expired</t>
        </is>
      </c>
      <c r="J208" s="32" t="n">
        <v>46058</v>
      </c>
      <c r="K208" s="32" t="n">
        <v>45805</v>
      </c>
      <c r="L208" s="43" t="inlineStr">
        <is>
          <t>109</t>
        </is>
      </c>
      <c r="M208" s="43" t="n">
        <v>1</v>
      </c>
      <c r="N208" s="33" t="inlineStr"/>
      <c r="O208" s="43" t="inlineStr">
        <is>
          <t>UNVERIFIED</t>
        </is>
      </c>
      <c r="P208" s="43" t="inlineStr">
        <is>
          <t>Pending Review</t>
        </is>
      </c>
      <c r="Q208" s="33" t="inlineStr">
        <is>
          <t>Confirmar SKU/PCBA revision, PN exacto en Common DB, WO, BU, vigencia, planta y aprobacion firmada.</t>
        </is>
      </c>
    </row>
    <row r="209">
      <c r="A209" s="43" t="inlineStr">
        <is>
          <t>CTANJZ04604</t>
        </is>
      </c>
      <c r="B209" s="43" t="inlineStr">
        <is>
          <t>D603402</t>
        </is>
      </c>
      <c r="C209" s="43" t="inlineStr">
        <is>
          <t>037-STBU</t>
        </is>
      </c>
      <c r="D209" s="43" t="inlineStr">
        <is>
          <t>FJZP</t>
        </is>
      </c>
      <c r="E209" s="43" t="inlineStr">
        <is>
          <t>MCGA</t>
        </is>
      </c>
      <c r="F209" s="43" t="inlineStr">
        <is>
          <t>26-100401-01</t>
        </is>
      </c>
      <c r="G209" s="43" t="inlineStr">
        <is>
          <t>OTHER_SCOPE_ITEM</t>
        </is>
      </c>
      <c r="H209" s="43" t="inlineStr"/>
      <c r="I209" s="43" t="inlineStr">
        <is>
          <t>Expired</t>
        </is>
      </c>
      <c r="J209" s="32" t="n">
        <v>46058</v>
      </c>
      <c r="K209" s="32" t="n">
        <v>45805</v>
      </c>
      <c r="L209" s="43" t="inlineStr">
        <is>
          <t>110</t>
        </is>
      </c>
      <c r="M209" s="43" t="n">
        <v>1</v>
      </c>
      <c r="N209" s="33" t="inlineStr"/>
      <c r="O209" s="43" t="inlineStr">
        <is>
          <t>UNVERIFIED</t>
        </is>
      </c>
      <c r="P209" s="43" t="inlineStr">
        <is>
          <t>Pending Review</t>
        </is>
      </c>
      <c r="Q209" s="33" t="inlineStr">
        <is>
          <t>Confirmar SKU/PCBA revision, PN exacto en Common DB, WO, BU, vigencia, planta y aprobacion firmada.</t>
        </is>
      </c>
    </row>
    <row r="210">
      <c r="A210" s="43" t="inlineStr">
        <is>
          <t>CTANJZ04604</t>
        </is>
      </c>
      <c r="B210" s="43" t="inlineStr">
        <is>
          <t>D603402</t>
        </is>
      </c>
      <c r="C210" s="43" t="inlineStr">
        <is>
          <t>037-STBU</t>
        </is>
      </c>
      <c r="D210" s="43" t="inlineStr">
        <is>
          <t>FJZP</t>
        </is>
      </c>
      <c r="E210" s="43" t="inlineStr">
        <is>
          <t>MCGA</t>
        </is>
      </c>
      <c r="F210" s="43" t="inlineStr">
        <is>
          <t>73-102433-04</t>
        </is>
      </c>
      <c r="G210" s="43" t="inlineStr">
        <is>
          <t>BOARD_PN_CANDIDATE</t>
        </is>
      </c>
      <c r="H210" s="43" t="inlineStr"/>
      <c r="I210" s="43" t="inlineStr">
        <is>
          <t>Expired</t>
        </is>
      </c>
      <c r="J210" s="32" t="n">
        <v>46058</v>
      </c>
      <c r="K210" s="32" t="n">
        <v>45805</v>
      </c>
      <c r="L210" s="43" t="inlineStr">
        <is>
          <t>111</t>
        </is>
      </c>
      <c r="M210" s="43" t="n">
        <v>1</v>
      </c>
      <c r="N210" s="33" t="inlineStr"/>
      <c r="O210" s="43" t="inlineStr">
        <is>
          <t>UNVERIFIED</t>
        </is>
      </c>
      <c r="P210" s="43" t="inlineStr">
        <is>
          <t>Pending Review</t>
        </is>
      </c>
      <c r="Q210" s="33" t="inlineStr">
        <is>
          <t>Confirmar SKU/PCBA revision, PN exacto en Common DB, WO, BU, vigencia, planta y aprobacion firmada.</t>
        </is>
      </c>
    </row>
    <row r="211">
      <c r="A211" s="43" t="inlineStr">
        <is>
          <t>CTANJZ04604</t>
        </is>
      </c>
      <c r="B211" s="43" t="inlineStr">
        <is>
          <t>D603402</t>
        </is>
      </c>
      <c r="C211" s="43" t="inlineStr">
        <is>
          <t>037-STBU</t>
        </is>
      </c>
      <c r="D211" s="43" t="inlineStr">
        <is>
          <t>FJZP</t>
        </is>
      </c>
      <c r="E211" s="43" t="inlineStr">
        <is>
          <t>MCGA</t>
        </is>
      </c>
      <c r="F211" s="43" t="inlineStr">
        <is>
          <t>73-102434-04</t>
        </is>
      </c>
      <c r="G211" s="43" t="inlineStr">
        <is>
          <t>BOARD_PN_CANDIDATE</t>
        </is>
      </c>
      <c r="H211" s="43" t="inlineStr"/>
      <c r="I211" s="43" t="inlineStr">
        <is>
          <t>Expired</t>
        </is>
      </c>
      <c r="J211" s="32" t="n">
        <v>46058</v>
      </c>
      <c r="K211" s="32" t="n">
        <v>45805</v>
      </c>
      <c r="L211" s="43" t="inlineStr">
        <is>
          <t>112</t>
        </is>
      </c>
      <c r="M211" s="43" t="n">
        <v>1</v>
      </c>
      <c r="N211" s="33" t="inlineStr"/>
      <c r="O211" s="43" t="inlineStr">
        <is>
          <t>UNVERIFIED</t>
        </is>
      </c>
      <c r="P211" s="43" t="inlineStr">
        <is>
          <t>Pending Review</t>
        </is>
      </c>
      <c r="Q211" s="33" t="inlineStr">
        <is>
          <t>Confirmar SKU/PCBA revision, PN exacto en Common DB, WO, BU, vigencia, planta y aprobacion firmada.</t>
        </is>
      </c>
    </row>
    <row r="212">
      <c r="A212" s="43" t="inlineStr">
        <is>
          <t>CTANJZ04604</t>
        </is>
      </c>
      <c r="B212" s="43" t="inlineStr">
        <is>
          <t>D603402</t>
        </is>
      </c>
      <c r="C212" s="43" t="inlineStr">
        <is>
          <t>037-STBU</t>
        </is>
      </c>
      <c r="D212" s="43" t="inlineStr">
        <is>
          <t>FJZP</t>
        </is>
      </c>
      <c r="E212" s="43" t="inlineStr">
        <is>
          <t>MCGA</t>
        </is>
      </c>
      <c r="F212" s="43" t="inlineStr">
        <is>
          <t>73-102435-04</t>
        </is>
      </c>
      <c r="G212" s="43" t="inlineStr">
        <is>
          <t>BOARD_PN_CANDIDATE</t>
        </is>
      </c>
      <c r="H212" s="43" t="inlineStr"/>
      <c r="I212" s="43" t="inlineStr">
        <is>
          <t>Expired</t>
        </is>
      </c>
      <c r="J212" s="32" t="n">
        <v>46058</v>
      </c>
      <c r="K212" s="32" t="n">
        <v>45805</v>
      </c>
      <c r="L212" s="43" t="inlineStr">
        <is>
          <t>113</t>
        </is>
      </c>
      <c r="M212" s="43" t="n">
        <v>1</v>
      </c>
      <c r="N212" s="33" t="inlineStr"/>
      <c r="O212" s="43" t="inlineStr">
        <is>
          <t>UNVERIFIED</t>
        </is>
      </c>
      <c r="P212" s="43" t="inlineStr">
        <is>
          <t>Pending Review</t>
        </is>
      </c>
      <c r="Q212" s="33" t="inlineStr">
        <is>
          <t>Confirmar SKU/PCBA revision, PN exacto en Common DB, WO, BU, vigencia, planta y aprobacion firmada.</t>
        </is>
      </c>
    </row>
    <row r="213">
      <c r="A213" s="43" t="inlineStr">
        <is>
          <t>CTANJZ04607</t>
        </is>
      </c>
      <c r="B213" s="43" t="inlineStr">
        <is>
          <t>D603592</t>
        </is>
      </c>
      <c r="C213" s="43" t="inlineStr">
        <is>
          <t>037-STBU</t>
        </is>
      </c>
      <c r="D213" s="43" t="inlineStr">
        <is>
          <t>FJZP</t>
        </is>
      </c>
      <c r="E213" s="43" t="inlineStr">
        <is>
          <t>MCGA</t>
        </is>
      </c>
      <c r="F213" s="43" t="inlineStr">
        <is>
          <t>68-102608-04</t>
        </is>
      </c>
      <c r="G213" s="43" t="inlineStr">
        <is>
          <t>OTHER_SCOPE_ITEM</t>
        </is>
      </c>
      <c r="H213" s="43" t="inlineStr"/>
      <c r="I213" s="43" t="inlineStr">
        <is>
          <t>Expired</t>
        </is>
      </c>
      <c r="J213" s="32" t="n">
        <v>45881</v>
      </c>
      <c r="K213" s="32" t="n">
        <v>45807</v>
      </c>
      <c r="L213" s="43" t="inlineStr">
        <is>
          <t>729</t>
        </is>
      </c>
      <c r="M213" s="43" t="n">
        <v>1</v>
      </c>
      <c r="N213" s="33" t="inlineStr"/>
      <c r="O213" s="43" t="inlineStr">
        <is>
          <t>UNVERIFIED</t>
        </is>
      </c>
      <c r="P213" s="43" t="inlineStr">
        <is>
          <t>Pending Review</t>
        </is>
      </c>
      <c r="Q213" s="33" t="inlineStr">
        <is>
          <t>Confirmar SKU/PCBA revision, PN exacto en Common DB, WO, BU, vigencia, planta y aprobacion firmada.</t>
        </is>
      </c>
    </row>
    <row r="214">
      <c r="A214" s="43" t="inlineStr">
        <is>
          <t>CTANJZ04607</t>
        </is>
      </c>
      <c r="B214" s="43" t="inlineStr">
        <is>
          <t>D603592</t>
        </is>
      </c>
      <c r="C214" s="43" t="inlineStr">
        <is>
          <t>037-STBU</t>
        </is>
      </c>
      <c r="D214" s="43" t="inlineStr">
        <is>
          <t>FJZP</t>
        </is>
      </c>
      <c r="E214" s="43" t="inlineStr">
        <is>
          <t>MCGA</t>
        </is>
      </c>
      <c r="F214" s="43" t="inlineStr">
        <is>
          <t>68-102707-04</t>
        </is>
      </c>
      <c r="G214" s="43" t="inlineStr">
        <is>
          <t>OTHER_SCOPE_ITEM</t>
        </is>
      </c>
      <c r="H214" s="43" t="inlineStr"/>
      <c r="I214" s="43" t="inlineStr">
        <is>
          <t>Expired</t>
        </is>
      </c>
      <c r="J214" s="32" t="n">
        <v>45881</v>
      </c>
      <c r="K214" s="32" t="n">
        <v>45807</v>
      </c>
      <c r="L214" s="43" t="inlineStr">
        <is>
          <t>730</t>
        </is>
      </c>
      <c r="M214" s="43" t="n">
        <v>1</v>
      </c>
      <c r="N214" s="33" t="inlineStr"/>
      <c r="O214" s="43" t="inlineStr">
        <is>
          <t>UNVERIFIED</t>
        </is>
      </c>
      <c r="P214" s="43" t="inlineStr">
        <is>
          <t>Pending Review</t>
        </is>
      </c>
      <c r="Q214" s="33" t="inlineStr">
        <is>
          <t>Confirmar SKU/PCBA revision, PN exacto en Common DB, WO, BU, vigencia, planta y aprobacion firmada.</t>
        </is>
      </c>
    </row>
    <row r="215">
      <c r="A215" s="43" t="inlineStr">
        <is>
          <t>CTANJZ04607</t>
        </is>
      </c>
      <c r="B215" s="43" t="inlineStr">
        <is>
          <t>D603592</t>
        </is>
      </c>
      <c r="C215" s="43" t="inlineStr">
        <is>
          <t>037-STBU</t>
        </is>
      </c>
      <c r="D215" s="43" t="inlineStr">
        <is>
          <t>FJZP</t>
        </is>
      </c>
      <c r="E215" s="43" t="inlineStr">
        <is>
          <t>MCGA</t>
        </is>
      </c>
      <c r="F215" s="43" t="inlineStr">
        <is>
          <t>68-102763-04</t>
        </is>
      </c>
      <c r="G215" s="43" t="inlineStr">
        <is>
          <t>OTHER_SCOPE_ITEM</t>
        </is>
      </c>
      <c r="H215" s="43" t="inlineStr"/>
      <c r="I215" s="43" t="inlineStr">
        <is>
          <t>Expired</t>
        </is>
      </c>
      <c r="J215" s="32" t="n">
        <v>45881</v>
      </c>
      <c r="K215" s="32" t="n">
        <v>45807</v>
      </c>
      <c r="L215" s="43" t="inlineStr">
        <is>
          <t>731</t>
        </is>
      </c>
      <c r="M215" s="43" t="n">
        <v>1</v>
      </c>
      <c r="N215" s="33" t="inlineStr"/>
      <c r="O215" s="43" t="inlineStr">
        <is>
          <t>UNVERIFIED</t>
        </is>
      </c>
      <c r="P215" s="43" t="inlineStr">
        <is>
          <t>Pending Review</t>
        </is>
      </c>
      <c r="Q215" s="33" t="inlineStr">
        <is>
          <t>Confirmar SKU/PCBA revision, PN exacto en Common DB, WO, BU, vigencia, planta y aprobacion firmada.</t>
        </is>
      </c>
    </row>
    <row r="216">
      <c r="A216" s="43" t="inlineStr">
        <is>
          <t>CTANJZ04607</t>
        </is>
      </c>
      <c r="B216" s="43" t="inlineStr">
        <is>
          <t>D603592</t>
        </is>
      </c>
      <c r="C216" s="43" t="inlineStr">
        <is>
          <t>037-STBU</t>
        </is>
      </c>
      <c r="D216" s="43" t="inlineStr">
        <is>
          <t>FJZP</t>
        </is>
      </c>
      <c r="E216" s="43" t="inlineStr">
        <is>
          <t>MCGA</t>
        </is>
      </c>
      <c r="F216" s="43" t="inlineStr">
        <is>
          <t>68-103908-02</t>
        </is>
      </c>
      <c r="G216" s="43" t="inlineStr">
        <is>
          <t>OTHER_SCOPE_ITEM</t>
        </is>
      </c>
      <c r="H216" s="43" t="inlineStr"/>
      <c r="I216" s="43" t="inlineStr">
        <is>
          <t>Expired</t>
        </is>
      </c>
      <c r="J216" s="32" t="n">
        <v>45881</v>
      </c>
      <c r="K216" s="32" t="n">
        <v>45807</v>
      </c>
      <c r="L216" s="43" t="inlineStr">
        <is>
          <t>732</t>
        </is>
      </c>
      <c r="M216" s="43" t="n">
        <v>1</v>
      </c>
      <c r="N216" s="33" t="inlineStr"/>
      <c r="O216" s="43" t="inlineStr">
        <is>
          <t>UNVERIFIED</t>
        </is>
      </c>
      <c r="P216" s="43" t="inlineStr">
        <is>
          <t>Pending Review</t>
        </is>
      </c>
      <c r="Q216" s="33" t="inlineStr">
        <is>
          <t>Confirmar SKU/PCBA revision, PN exacto en Common DB, WO, BU, vigencia, planta y aprobacion firmada.</t>
        </is>
      </c>
    </row>
    <row r="217">
      <c r="A217" s="43" t="inlineStr">
        <is>
          <t>CTANJZ04607</t>
        </is>
      </c>
      <c r="B217" s="43" t="inlineStr">
        <is>
          <t>D603592</t>
        </is>
      </c>
      <c r="C217" s="43" t="inlineStr">
        <is>
          <t>037-STBU</t>
        </is>
      </c>
      <c r="D217" s="43" t="inlineStr">
        <is>
          <t>FJZP</t>
        </is>
      </c>
      <c r="E217" s="43" t="inlineStr">
        <is>
          <t>MCGA</t>
        </is>
      </c>
      <c r="F217" s="43" t="inlineStr">
        <is>
          <t>68-104009-02</t>
        </is>
      </c>
      <c r="G217" s="43" t="inlineStr">
        <is>
          <t>OTHER_SCOPE_ITEM</t>
        </is>
      </c>
      <c r="H217" s="43" t="inlineStr"/>
      <c r="I217" s="43" t="inlineStr">
        <is>
          <t>Expired</t>
        </is>
      </c>
      <c r="J217" s="32" t="n">
        <v>45881</v>
      </c>
      <c r="K217" s="32" t="n">
        <v>45807</v>
      </c>
      <c r="L217" s="43" t="inlineStr">
        <is>
          <t>733</t>
        </is>
      </c>
      <c r="M217" s="43" t="n">
        <v>1</v>
      </c>
      <c r="N217" s="33" t="inlineStr"/>
      <c r="O217" s="43" t="inlineStr">
        <is>
          <t>UNVERIFIED</t>
        </is>
      </c>
      <c r="P217" s="43" t="inlineStr">
        <is>
          <t>Pending Review</t>
        </is>
      </c>
      <c r="Q217" s="33" t="inlineStr">
        <is>
          <t>Confirmar SKU/PCBA revision, PN exacto en Common DB, WO, BU, vigencia, planta y aprobacion firmada.</t>
        </is>
      </c>
    </row>
    <row r="218">
      <c r="A218" s="43" t="inlineStr">
        <is>
          <t>CTANJZ04607</t>
        </is>
      </c>
      <c r="B218" s="43" t="inlineStr">
        <is>
          <t>D603592</t>
        </is>
      </c>
      <c r="C218" s="43" t="inlineStr">
        <is>
          <t>037-STBU</t>
        </is>
      </c>
      <c r="D218" s="43" t="inlineStr">
        <is>
          <t>FJZP</t>
        </is>
      </c>
      <c r="E218" s="43" t="inlineStr">
        <is>
          <t>MCGA</t>
        </is>
      </c>
      <c r="F218" s="43" t="inlineStr">
        <is>
          <t>68-104010-01</t>
        </is>
      </c>
      <c r="G218" s="43" t="inlineStr">
        <is>
          <t>OTHER_SCOPE_ITEM</t>
        </is>
      </c>
      <c r="H218" s="43" t="inlineStr"/>
      <c r="I218" s="43" t="inlineStr">
        <is>
          <t>Expired</t>
        </is>
      </c>
      <c r="J218" s="32" t="n">
        <v>45881</v>
      </c>
      <c r="K218" s="32" t="n">
        <v>45807</v>
      </c>
      <c r="L218" s="43" t="inlineStr">
        <is>
          <t>734</t>
        </is>
      </c>
      <c r="M218" s="43" t="n">
        <v>1</v>
      </c>
      <c r="N218" s="33" t="inlineStr"/>
      <c r="O218" s="43" t="inlineStr">
        <is>
          <t>UNVERIFIED</t>
        </is>
      </c>
      <c r="P218" s="43" t="inlineStr">
        <is>
          <t>Pending Review</t>
        </is>
      </c>
      <c r="Q218" s="33" t="inlineStr">
        <is>
          <t>Confirmar SKU/PCBA revision, PN exacto en Common DB, WO, BU, vigencia, planta y aprobacion firmada.</t>
        </is>
      </c>
    </row>
    <row r="219">
      <c r="A219" s="43" t="inlineStr">
        <is>
          <t>CTANJZ04609</t>
        </is>
      </c>
      <c r="B219" s="43" t="inlineStr">
        <is>
          <t>DP524872</t>
        </is>
      </c>
      <c r="C219" s="43" t="inlineStr">
        <is>
          <t>035-CVEBU</t>
        </is>
      </c>
      <c r="D219" s="43" t="inlineStr">
        <is>
          <t>FJZP</t>
        </is>
      </c>
      <c r="E219" s="43" t="inlineStr">
        <is>
          <t>MCGA</t>
        </is>
      </c>
      <c r="F219" s="43" t="inlineStr">
        <is>
          <t>73-103720-03</t>
        </is>
      </c>
      <c r="G219" s="43" t="inlineStr">
        <is>
          <t>BOARD_PN_CANDIDATE</t>
        </is>
      </c>
      <c r="H219" s="43" t="inlineStr"/>
      <c r="I219" s="43" t="inlineStr">
        <is>
          <t>Expired</t>
        </is>
      </c>
      <c r="J219" s="32" t="n">
        <v>45852</v>
      </c>
      <c r="K219" s="32" t="n">
        <v>45805</v>
      </c>
      <c r="L219" s="43" t="inlineStr">
        <is>
          <t>368</t>
        </is>
      </c>
      <c r="M219" s="43" t="n">
        <v>1</v>
      </c>
      <c r="N219" s="33" t="inlineStr"/>
      <c r="O219" s="43" t="inlineStr">
        <is>
          <t>UNVERIFIED</t>
        </is>
      </c>
      <c r="P219" s="43" t="inlineStr">
        <is>
          <t>Pending Review</t>
        </is>
      </c>
      <c r="Q219" s="33" t="inlineStr">
        <is>
          <t>Confirmar SKU/PCBA revision, PN exacto en Common DB, WO, BU, vigencia, planta y aprobacion firmada.</t>
        </is>
      </c>
    </row>
    <row r="220">
      <c r="A220" s="43" t="inlineStr">
        <is>
          <t>CTANJZ04609</t>
        </is>
      </c>
      <c r="B220" s="43" t="inlineStr">
        <is>
          <t>DP524872</t>
        </is>
      </c>
      <c r="C220" s="43" t="inlineStr">
        <is>
          <t>035-CVEBU</t>
        </is>
      </c>
      <c r="D220" s="43" t="inlineStr">
        <is>
          <t>FJZP</t>
        </is>
      </c>
      <c r="E220" s="43" t="inlineStr">
        <is>
          <t>MCGA</t>
        </is>
      </c>
      <c r="F220" s="43" t="inlineStr">
        <is>
          <t>73-103820-03</t>
        </is>
      </c>
      <c r="G220" s="43" t="inlineStr">
        <is>
          <t>BOARD_PN_CANDIDATE</t>
        </is>
      </c>
      <c r="H220" s="43" t="inlineStr"/>
      <c r="I220" s="43" t="inlineStr">
        <is>
          <t>Expired</t>
        </is>
      </c>
      <c r="J220" s="32" t="n">
        <v>45852</v>
      </c>
      <c r="K220" s="32" t="n">
        <v>45805</v>
      </c>
      <c r="L220" s="43" t="inlineStr">
        <is>
          <t>369</t>
        </is>
      </c>
      <c r="M220" s="43" t="n">
        <v>1</v>
      </c>
      <c r="N220" s="33" t="inlineStr"/>
      <c r="O220" s="43" t="inlineStr">
        <is>
          <t>UNVERIFIED</t>
        </is>
      </c>
      <c r="P220" s="43" t="inlineStr">
        <is>
          <t>Pending Review</t>
        </is>
      </c>
      <c r="Q220" s="33" t="inlineStr">
        <is>
          <t>Confirmar SKU/PCBA revision, PN exacto en Common DB, WO, BU, vigencia, planta y aprobacion firmada.</t>
        </is>
      </c>
    </row>
    <row r="221">
      <c r="A221" s="43" t="inlineStr">
        <is>
          <t>CTANJZ04609</t>
        </is>
      </c>
      <c r="B221" s="43" t="inlineStr">
        <is>
          <t>DP524872</t>
        </is>
      </c>
      <c r="C221" s="43" t="inlineStr">
        <is>
          <t>035-CVEBU</t>
        </is>
      </c>
      <c r="D221" s="43" t="inlineStr">
        <is>
          <t>FJZP</t>
        </is>
      </c>
      <c r="E221" s="43" t="inlineStr">
        <is>
          <t>MCGA</t>
        </is>
      </c>
      <c r="F221" s="43" t="inlineStr">
        <is>
          <t>73-103920-03</t>
        </is>
      </c>
      <c r="G221" s="43" t="inlineStr">
        <is>
          <t>BOARD_PN_CANDIDATE</t>
        </is>
      </c>
      <c r="H221" s="43" t="inlineStr"/>
      <c r="I221" s="43" t="inlineStr">
        <is>
          <t>Expired</t>
        </is>
      </c>
      <c r="J221" s="32" t="n">
        <v>45852</v>
      </c>
      <c r="K221" s="32" t="n">
        <v>45805</v>
      </c>
      <c r="L221" s="43" t="inlineStr">
        <is>
          <t>370</t>
        </is>
      </c>
      <c r="M221" s="43" t="n">
        <v>1</v>
      </c>
      <c r="N221" s="33" t="inlineStr"/>
      <c r="O221" s="43" t="inlineStr">
        <is>
          <t>UNVERIFIED</t>
        </is>
      </c>
      <c r="P221" s="43" t="inlineStr">
        <is>
          <t>Pending Review</t>
        </is>
      </c>
      <c r="Q221" s="33" t="inlineStr">
        <is>
          <t>Confirmar SKU/PCBA revision, PN exacto en Common DB, WO, BU, vigencia, planta y aprobacion firmada.</t>
        </is>
      </c>
    </row>
    <row r="222">
      <c r="A222" s="43" t="inlineStr">
        <is>
          <t>CTANJZ04609</t>
        </is>
      </c>
      <c r="B222" s="43" t="inlineStr">
        <is>
          <t>DP524872</t>
        </is>
      </c>
      <c r="C222" s="43" t="inlineStr">
        <is>
          <t>035-CVEBU</t>
        </is>
      </c>
      <c r="D222" s="43" t="inlineStr">
        <is>
          <t>FJZP</t>
        </is>
      </c>
      <c r="E222" s="43" t="inlineStr">
        <is>
          <t>MCGA</t>
        </is>
      </c>
      <c r="F222" s="43" t="inlineStr">
        <is>
          <t>73-103922-03</t>
        </is>
      </c>
      <c r="G222" s="43" t="inlineStr">
        <is>
          <t>BOARD_PN_CANDIDATE</t>
        </is>
      </c>
      <c r="H222" s="43" t="inlineStr"/>
      <c r="I222" s="43" t="inlineStr">
        <is>
          <t>Expired</t>
        </is>
      </c>
      <c r="J222" s="32" t="n">
        <v>45852</v>
      </c>
      <c r="K222" s="32" t="n">
        <v>45805</v>
      </c>
      <c r="L222" s="43" t="inlineStr">
        <is>
          <t>371</t>
        </is>
      </c>
      <c r="M222" s="43" t="n">
        <v>1</v>
      </c>
      <c r="N222" s="33" t="inlineStr"/>
      <c r="O222" s="43" t="inlineStr">
        <is>
          <t>UNVERIFIED</t>
        </is>
      </c>
      <c r="P222" s="43" t="inlineStr">
        <is>
          <t>Pending Review</t>
        </is>
      </c>
      <c r="Q222" s="33" t="inlineStr">
        <is>
          <t>Confirmar SKU/PCBA revision, PN exacto en Common DB, WO, BU, vigencia, planta y aprobacion firmada.</t>
        </is>
      </c>
    </row>
    <row r="223">
      <c r="A223" s="43" t="inlineStr">
        <is>
          <t>CTANJZ04612</t>
        </is>
      </c>
      <c r="B223" s="43" t="inlineStr">
        <is>
          <t>D603710</t>
        </is>
      </c>
      <c r="C223" s="43" t="inlineStr">
        <is>
          <t>018-SRGBU</t>
        </is>
      </c>
      <c r="D223" s="43" t="inlineStr">
        <is>
          <t>FJZP</t>
        </is>
      </c>
      <c r="E223" s="43" t="inlineStr">
        <is>
          <t>MCGA</t>
        </is>
      </c>
      <c r="F223" s="43" t="inlineStr">
        <is>
          <t>74-129859-01</t>
        </is>
      </c>
      <c r="G223" s="43" t="inlineStr">
        <is>
          <t>OTHER_SCOPE_ITEM</t>
        </is>
      </c>
      <c r="H223" s="43" t="inlineStr"/>
      <c r="I223" s="43" t="inlineStr">
        <is>
          <t>Expired</t>
        </is>
      </c>
      <c r="J223" s="32" t="n">
        <v>45886</v>
      </c>
      <c r="K223" s="32" t="n">
        <v>45811</v>
      </c>
      <c r="L223" s="43" t="inlineStr">
        <is>
          <t>735</t>
        </is>
      </c>
      <c r="M223" s="43" t="n">
        <v>1</v>
      </c>
      <c r="N223" s="33" t="inlineStr"/>
      <c r="O223" s="43" t="inlineStr">
        <is>
          <t>UNVERIFIED</t>
        </is>
      </c>
      <c r="P223" s="43" t="inlineStr">
        <is>
          <t>Pending Review</t>
        </is>
      </c>
      <c r="Q223" s="33" t="inlineStr">
        <is>
          <t>Confirmar SKU/PCBA revision, PN exacto en Common DB, WO, BU, vigencia, planta y aprobacion firmada.</t>
        </is>
      </c>
    </row>
    <row r="224">
      <c r="A224" s="43" t="inlineStr">
        <is>
          <t>CTANJZ04612</t>
        </is>
      </c>
      <c r="B224" s="43" t="inlineStr">
        <is>
          <t>D603710</t>
        </is>
      </c>
      <c r="C224" s="43" t="inlineStr">
        <is>
          <t>018-SRGBU</t>
        </is>
      </c>
      <c r="D224" s="43" t="inlineStr">
        <is>
          <t>FJZP</t>
        </is>
      </c>
      <c r="E224" s="43" t="inlineStr">
        <is>
          <t>MCGA</t>
        </is>
      </c>
      <c r="F224" s="43" t="inlineStr">
        <is>
          <t>74-129860-01</t>
        </is>
      </c>
      <c r="G224" s="43" t="inlineStr">
        <is>
          <t>OTHER_SCOPE_ITEM</t>
        </is>
      </c>
      <c r="H224" s="43" t="inlineStr"/>
      <c r="I224" s="43" t="inlineStr">
        <is>
          <t>Expired</t>
        </is>
      </c>
      <c r="J224" s="32" t="n">
        <v>45886</v>
      </c>
      <c r="K224" s="32" t="n">
        <v>45811</v>
      </c>
      <c r="L224" s="43" t="inlineStr">
        <is>
          <t>736</t>
        </is>
      </c>
      <c r="M224" s="43" t="n">
        <v>1</v>
      </c>
      <c r="N224" s="33" t="inlineStr"/>
      <c r="O224" s="43" t="inlineStr">
        <is>
          <t>UNVERIFIED</t>
        </is>
      </c>
      <c r="P224" s="43" t="inlineStr">
        <is>
          <t>Pending Review</t>
        </is>
      </c>
      <c r="Q224" s="33" t="inlineStr">
        <is>
          <t>Confirmar SKU/PCBA revision, PN exacto en Common DB, WO, BU, vigencia, planta y aprobacion firmada.</t>
        </is>
      </c>
    </row>
    <row r="225">
      <c r="A225" s="43" t="inlineStr">
        <is>
          <t>CTANJZ04612</t>
        </is>
      </c>
      <c r="B225" s="43" t="inlineStr">
        <is>
          <t>D603710</t>
        </is>
      </c>
      <c r="C225" s="43" t="inlineStr">
        <is>
          <t>018-SRGBU</t>
        </is>
      </c>
      <c r="D225" s="43" t="inlineStr">
        <is>
          <t>FJZP</t>
        </is>
      </c>
      <c r="E225" s="43" t="inlineStr">
        <is>
          <t>MCGA</t>
        </is>
      </c>
      <c r="F225" s="43" t="inlineStr">
        <is>
          <t>800-51476-01</t>
        </is>
      </c>
      <c r="G225" s="43" t="inlineStr">
        <is>
          <t>OTHER_SCOPE_ITEM</t>
        </is>
      </c>
      <c r="H225" s="43" t="inlineStr"/>
      <c r="I225" s="43" t="inlineStr">
        <is>
          <t>Expired</t>
        </is>
      </c>
      <c r="J225" s="32" t="n">
        <v>45886</v>
      </c>
      <c r="K225" s="32" t="n">
        <v>45811</v>
      </c>
      <c r="L225" s="43" t="inlineStr">
        <is>
          <t>737</t>
        </is>
      </c>
      <c r="M225" s="43" t="n">
        <v>1</v>
      </c>
      <c r="N225" s="33" t="inlineStr"/>
      <c r="O225" s="43" t="inlineStr">
        <is>
          <t>UNVERIFIED</t>
        </is>
      </c>
      <c r="P225" s="43" t="inlineStr">
        <is>
          <t>Pending Review</t>
        </is>
      </c>
      <c r="Q225" s="33" t="inlineStr">
        <is>
          <t>Confirmar SKU/PCBA revision, PN exacto en Common DB, WO, BU, vigencia, planta y aprobacion firmada.</t>
        </is>
      </c>
    </row>
    <row r="226">
      <c r="A226" s="43" t="inlineStr">
        <is>
          <t>CTANJZ04613</t>
        </is>
      </c>
      <c r="B226" s="43" t="inlineStr">
        <is>
          <t>D603986</t>
        </is>
      </c>
      <c r="C226" s="43" t="inlineStr">
        <is>
          <t>035-CVEBU</t>
        </is>
      </c>
      <c r="D226" s="43" t="inlineStr">
        <is>
          <t>FJZP</t>
        </is>
      </c>
      <c r="E226" s="43" t="inlineStr">
        <is>
          <t>MCGA</t>
        </is>
      </c>
      <c r="F226" s="43" t="inlineStr">
        <is>
          <t>29-101677-01</t>
        </is>
      </c>
      <c r="G226" s="43" t="inlineStr">
        <is>
          <t>OTHER_SCOPE_ITEM</t>
        </is>
      </c>
      <c r="H226" s="43" t="inlineStr"/>
      <c r="I226" s="43" t="inlineStr">
        <is>
          <t>Expired</t>
        </is>
      </c>
      <c r="J226" s="32" t="n">
        <v>45886</v>
      </c>
      <c r="K226" s="32" t="n">
        <v>45811</v>
      </c>
      <c r="L226" s="43" t="inlineStr">
        <is>
          <t>738</t>
        </is>
      </c>
      <c r="M226" s="43" t="n">
        <v>1</v>
      </c>
      <c r="N226" s="33" t="inlineStr"/>
      <c r="O226" s="43" t="inlineStr">
        <is>
          <t>UNVERIFIED</t>
        </is>
      </c>
      <c r="P226" s="43" t="inlineStr">
        <is>
          <t>Pending Review</t>
        </is>
      </c>
      <c r="Q226" s="33" t="inlineStr">
        <is>
          <t>Confirmar SKU/PCBA revision, PN exacto en Common DB, WO, BU, vigencia, planta y aprobacion firmada.</t>
        </is>
      </c>
    </row>
    <row r="227">
      <c r="A227" s="43" t="inlineStr">
        <is>
          <t>CTANJZ04613</t>
        </is>
      </c>
      <c r="B227" s="43" t="inlineStr">
        <is>
          <t>D603986</t>
        </is>
      </c>
      <c r="C227" s="43" t="inlineStr">
        <is>
          <t>035-CVEBU</t>
        </is>
      </c>
      <c r="D227" s="43" t="inlineStr">
        <is>
          <t>FJZP</t>
        </is>
      </c>
      <c r="E227" s="43" t="inlineStr">
        <is>
          <t>MCGA</t>
        </is>
      </c>
      <c r="F227" s="43" t="inlineStr">
        <is>
          <t>73-101504-01</t>
        </is>
      </c>
      <c r="G227" s="43" t="inlineStr">
        <is>
          <t>BOARD_PN_CANDIDATE</t>
        </is>
      </c>
      <c r="H227" s="43" t="inlineStr"/>
      <c r="I227" s="43" t="inlineStr">
        <is>
          <t>Expired</t>
        </is>
      </c>
      <c r="J227" s="32" t="n">
        <v>45886</v>
      </c>
      <c r="K227" s="32" t="n">
        <v>45811</v>
      </c>
      <c r="L227" s="43" t="inlineStr">
        <is>
          <t>739</t>
        </is>
      </c>
      <c r="M227" s="43" t="n">
        <v>1</v>
      </c>
      <c r="N227" s="33" t="inlineStr"/>
      <c r="O227" s="43" t="inlineStr">
        <is>
          <t>UNVERIFIED</t>
        </is>
      </c>
      <c r="P227" s="43" t="inlineStr">
        <is>
          <t>Pending Review</t>
        </is>
      </c>
      <c r="Q227" s="33" t="inlineStr">
        <is>
          <t>Confirmar SKU/PCBA revision, PN exacto en Common DB, WO, BU, vigencia, planta y aprobacion firmada.</t>
        </is>
      </c>
    </row>
    <row r="228">
      <c r="A228" s="43" t="inlineStr">
        <is>
          <t>CTANJZ04613</t>
        </is>
      </c>
      <c r="B228" s="43" t="inlineStr">
        <is>
          <t>D603986</t>
        </is>
      </c>
      <c r="C228" s="43" t="inlineStr">
        <is>
          <t>035-CVEBU</t>
        </is>
      </c>
      <c r="D228" s="43" t="inlineStr">
        <is>
          <t>FJZP</t>
        </is>
      </c>
      <c r="E228" s="43" t="inlineStr">
        <is>
          <t>MCGA</t>
        </is>
      </c>
      <c r="F228" s="43" t="inlineStr">
        <is>
          <t>73-102022-02</t>
        </is>
      </c>
      <c r="G228" s="43" t="inlineStr">
        <is>
          <t>BOARD_PN_CANDIDATE</t>
        </is>
      </c>
      <c r="H228" s="43" t="inlineStr">
        <is>
          <t>BROOKLYN</t>
        </is>
      </c>
      <c r="I228" s="43" t="inlineStr">
        <is>
          <t>Expired</t>
        </is>
      </c>
      <c r="J228" s="32" t="n">
        <v>45886</v>
      </c>
      <c r="K228" s="32" t="n">
        <v>45811</v>
      </c>
      <c r="L228" s="43" t="inlineStr">
        <is>
          <t>740</t>
        </is>
      </c>
      <c r="M228" s="43" t="n">
        <v>1</v>
      </c>
      <c r="N228" s="33" t="inlineStr"/>
      <c r="O228" s="43" t="inlineStr">
        <is>
          <t>UNVERIFIED</t>
        </is>
      </c>
      <c r="P228" s="43" t="inlineStr">
        <is>
          <t>Pending Review</t>
        </is>
      </c>
      <c r="Q228" s="33" t="inlineStr">
        <is>
          <t>Confirmar SKU/PCBA revision, PN exacto en Common DB, WO, BU, vigencia, planta y aprobacion firmada.</t>
        </is>
      </c>
    </row>
    <row r="229">
      <c r="A229" s="43" t="inlineStr">
        <is>
          <t>CTANJZ04613</t>
        </is>
      </c>
      <c r="B229" s="43" t="inlineStr">
        <is>
          <t>D603986</t>
        </is>
      </c>
      <c r="C229" s="43" t="inlineStr">
        <is>
          <t>035-CVEBU</t>
        </is>
      </c>
      <c r="D229" s="43" t="inlineStr">
        <is>
          <t>FJZP</t>
        </is>
      </c>
      <c r="E229" s="43" t="inlineStr">
        <is>
          <t>MCGA</t>
        </is>
      </c>
      <c r="F229" s="43" t="inlineStr">
        <is>
          <t>73-102197-02</t>
        </is>
      </c>
      <c r="G229" s="43" t="inlineStr">
        <is>
          <t>BOARD_PN_CANDIDATE</t>
        </is>
      </c>
      <c r="H229" s="43" t="inlineStr"/>
      <c r="I229" s="43" t="inlineStr">
        <is>
          <t>Expired</t>
        </is>
      </c>
      <c r="J229" s="32" t="n">
        <v>45886</v>
      </c>
      <c r="K229" s="32" t="n">
        <v>45811</v>
      </c>
      <c r="L229" s="43" t="inlineStr">
        <is>
          <t>749</t>
        </is>
      </c>
      <c r="M229" s="43" t="n">
        <v>1</v>
      </c>
      <c r="N229" s="33" t="inlineStr"/>
      <c r="O229" s="43" t="inlineStr">
        <is>
          <t>UNVERIFIED</t>
        </is>
      </c>
      <c r="P229" s="43" t="inlineStr">
        <is>
          <t>Pending Review</t>
        </is>
      </c>
      <c r="Q229" s="33" t="inlineStr">
        <is>
          <t>Confirmar SKU/PCBA revision, PN exacto en Common DB, WO, BU, vigencia, planta y aprobacion firmada.</t>
        </is>
      </c>
    </row>
    <row r="230">
      <c r="A230" s="43" t="inlineStr">
        <is>
          <t>CTANJZ04613</t>
        </is>
      </c>
      <c r="B230" s="43" t="inlineStr">
        <is>
          <t>D603986</t>
        </is>
      </c>
      <c r="C230" s="43" t="inlineStr">
        <is>
          <t>035-CVEBU</t>
        </is>
      </c>
      <c r="D230" s="43" t="inlineStr">
        <is>
          <t>FJZP</t>
        </is>
      </c>
      <c r="E230" s="43" t="inlineStr">
        <is>
          <t>MCGA</t>
        </is>
      </c>
      <c r="F230" s="43" t="inlineStr">
        <is>
          <t>73-102226-06</t>
        </is>
      </c>
      <c r="G230" s="43" t="inlineStr">
        <is>
          <t>BOARD_PN_CANDIDATE</t>
        </is>
      </c>
      <c r="H230" s="43" t="inlineStr">
        <is>
          <t>MILLENIUM</t>
        </is>
      </c>
      <c r="I230" s="43" t="inlineStr">
        <is>
          <t>Expired</t>
        </is>
      </c>
      <c r="J230" s="32" t="n">
        <v>45886</v>
      </c>
      <c r="K230" s="32" t="n">
        <v>45811</v>
      </c>
      <c r="L230" s="43" t="inlineStr">
        <is>
          <t>750</t>
        </is>
      </c>
      <c r="M230" s="43" t="n">
        <v>1</v>
      </c>
      <c r="N230" s="33" t="inlineStr"/>
      <c r="O230" s="43" t="inlineStr">
        <is>
          <t>UNVERIFIED</t>
        </is>
      </c>
      <c r="P230" s="43" t="inlineStr">
        <is>
          <t>Pending Review</t>
        </is>
      </c>
      <c r="Q230" s="33" t="inlineStr">
        <is>
          <t>Confirmar SKU/PCBA revision, PN exacto en Common DB, WO, BU, vigencia, planta y aprobacion firmada.</t>
        </is>
      </c>
    </row>
    <row r="231">
      <c r="A231" s="43" t="inlineStr">
        <is>
          <t>CTANJZ04613</t>
        </is>
      </c>
      <c r="B231" s="43" t="inlineStr">
        <is>
          <t>D603986</t>
        </is>
      </c>
      <c r="C231" s="43" t="inlineStr">
        <is>
          <t>035-CVEBU</t>
        </is>
      </c>
      <c r="D231" s="43" t="inlineStr">
        <is>
          <t>FJZP</t>
        </is>
      </c>
      <c r="E231" s="43" t="inlineStr">
        <is>
          <t>MCGA</t>
        </is>
      </c>
      <c r="F231" s="43" t="inlineStr">
        <is>
          <t>73-102797-02</t>
        </is>
      </c>
      <c r="G231" s="43" t="inlineStr">
        <is>
          <t>BOARD_PN_CANDIDATE</t>
        </is>
      </c>
      <c r="H231" s="43" t="inlineStr">
        <is>
          <t>DAVINCI</t>
        </is>
      </c>
      <c r="I231" s="43" t="inlineStr">
        <is>
          <t>Expired</t>
        </is>
      </c>
      <c r="J231" s="32" t="n">
        <v>45886</v>
      </c>
      <c r="K231" s="32" t="n">
        <v>45811</v>
      </c>
      <c r="L231" s="43" t="inlineStr">
        <is>
          <t>751</t>
        </is>
      </c>
      <c r="M231" s="43" t="n">
        <v>1</v>
      </c>
      <c r="N231" s="33" t="inlineStr"/>
      <c r="O231" s="43" t="inlineStr">
        <is>
          <t>UNVERIFIED</t>
        </is>
      </c>
      <c r="P231" s="43" t="inlineStr">
        <is>
          <t>Pending Review</t>
        </is>
      </c>
      <c r="Q231" s="33" t="inlineStr">
        <is>
          <t>Confirmar SKU/PCBA revision, PN exacto en Common DB, WO, BU, vigencia, planta y aprobacion firmada.</t>
        </is>
      </c>
    </row>
    <row r="232">
      <c r="A232" s="43" t="inlineStr">
        <is>
          <t>CTANJZ04613</t>
        </is>
      </c>
      <c r="B232" s="43" t="inlineStr">
        <is>
          <t>D603986</t>
        </is>
      </c>
      <c r="C232" s="43" t="inlineStr">
        <is>
          <t>035-CVEBU</t>
        </is>
      </c>
      <c r="D232" s="43" t="inlineStr">
        <is>
          <t>FJZP</t>
        </is>
      </c>
      <c r="E232" s="43" t="inlineStr">
        <is>
          <t>MCGA</t>
        </is>
      </c>
      <c r="F232" s="43" t="inlineStr">
        <is>
          <t>73-103103-04</t>
        </is>
      </c>
      <c r="G232" s="43" t="inlineStr">
        <is>
          <t>BOARD_PN_CANDIDATE</t>
        </is>
      </c>
      <c r="H232" s="43" t="inlineStr"/>
      <c r="I232" s="43" t="inlineStr">
        <is>
          <t>Expired</t>
        </is>
      </c>
      <c r="J232" s="32" t="n">
        <v>45886</v>
      </c>
      <c r="K232" s="32" t="n">
        <v>45811</v>
      </c>
      <c r="L232" s="43" t="inlineStr">
        <is>
          <t>752</t>
        </is>
      </c>
      <c r="M232" s="43" t="n">
        <v>1</v>
      </c>
      <c r="N232" s="33" t="inlineStr"/>
      <c r="O232" s="43" t="inlineStr">
        <is>
          <t>UNVERIFIED</t>
        </is>
      </c>
      <c r="P232" s="43" t="inlineStr">
        <is>
          <t>Pending Review</t>
        </is>
      </c>
      <c r="Q232" s="33" t="inlineStr">
        <is>
          <t>Confirmar SKU/PCBA revision, PN exacto en Common DB, WO, BU, vigencia, planta y aprobacion firmada.</t>
        </is>
      </c>
    </row>
    <row r="233">
      <c r="A233" s="43" t="inlineStr">
        <is>
          <t>CTANJZ04613</t>
        </is>
      </c>
      <c r="B233" s="43" t="inlineStr">
        <is>
          <t>D603986</t>
        </is>
      </c>
      <c r="C233" s="43" t="inlineStr">
        <is>
          <t>035-CVEBU</t>
        </is>
      </c>
      <c r="D233" s="43" t="inlineStr">
        <is>
          <t>FJZP</t>
        </is>
      </c>
      <c r="E233" s="43" t="inlineStr">
        <is>
          <t>MCGA</t>
        </is>
      </c>
      <c r="F233" s="43" t="inlineStr">
        <is>
          <t>73-103226-06</t>
        </is>
      </c>
      <c r="G233" s="43" t="inlineStr">
        <is>
          <t>BOARD_PN_CANDIDATE</t>
        </is>
      </c>
      <c r="H233" s="43" t="inlineStr"/>
      <c r="I233" s="43" t="inlineStr">
        <is>
          <t>Expired</t>
        </is>
      </c>
      <c r="J233" s="32" t="n">
        <v>45886</v>
      </c>
      <c r="K233" s="32" t="n">
        <v>45811</v>
      </c>
      <c r="L233" s="43" t="inlineStr">
        <is>
          <t>753</t>
        </is>
      </c>
      <c r="M233" s="43" t="n">
        <v>1</v>
      </c>
      <c r="N233" s="33" t="inlineStr"/>
      <c r="O233" s="43" t="inlineStr">
        <is>
          <t>UNVERIFIED</t>
        </is>
      </c>
      <c r="P233" s="43" t="inlineStr">
        <is>
          <t>Pending Review</t>
        </is>
      </c>
      <c r="Q233" s="33" t="inlineStr">
        <is>
          <t>Confirmar SKU/PCBA revision, PN exacto en Common DB, WO, BU, vigencia, planta y aprobacion firmada.</t>
        </is>
      </c>
    </row>
    <row r="234">
      <c r="A234" s="43" t="inlineStr">
        <is>
          <t>CTANJZ04613</t>
        </is>
      </c>
      <c r="B234" s="43" t="inlineStr">
        <is>
          <t>D603986</t>
        </is>
      </c>
      <c r="C234" s="43" t="inlineStr">
        <is>
          <t>035-CVEBU</t>
        </is>
      </c>
      <c r="D234" s="43" t="inlineStr">
        <is>
          <t>FJZP</t>
        </is>
      </c>
      <c r="E234" s="43" t="inlineStr">
        <is>
          <t>MCGA</t>
        </is>
      </c>
      <c r="F234" s="43" t="inlineStr">
        <is>
          <t>73-103603-04</t>
        </is>
      </c>
      <c r="G234" s="43" t="inlineStr">
        <is>
          <t>BOARD_PN_CANDIDATE</t>
        </is>
      </c>
      <c r="H234" s="43" t="inlineStr"/>
      <c r="I234" s="43" t="inlineStr">
        <is>
          <t>Expired</t>
        </is>
      </c>
      <c r="J234" s="32" t="n">
        <v>45886</v>
      </c>
      <c r="K234" s="32" t="n">
        <v>45811</v>
      </c>
      <c r="L234" s="43" t="inlineStr">
        <is>
          <t>842</t>
        </is>
      </c>
      <c r="M234" s="43" t="n">
        <v>1</v>
      </c>
      <c r="N234" s="33" t="inlineStr"/>
      <c r="O234" s="43" t="inlineStr">
        <is>
          <t>UNVERIFIED</t>
        </is>
      </c>
      <c r="P234" s="43" t="inlineStr">
        <is>
          <t>Pending Review</t>
        </is>
      </c>
      <c r="Q234" s="33" t="inlineStr">
        <is>
          <t>Confirmar SKU/PCBA revision, PN exacto en Common DB, WO, BU, vigencia, planta y aprobacion firmada.</t>
        </is>
      </c>
    </row>
    <row r="235">
      <c r="A235" s="43" t="inlineStr">
        <is>
          <t>CTANJZ04613</t>
        </is>
      </c>
      <c r="B235" s="43" t="inlineStr">
        <is>
          <t>D603986</t>
        </is>
      </c>
      <c r="C235" s="43" t="inlineStr">
        <is>
          <t>035-CVEBU</t>
        </is>
      </c>
      <c r="D235" s="43" t="inlineStr">
        <is>
          <t>FJZP</t>
        </is>
      </c>
      <c r="E235" s="43" t="inlineStr">
        <is>
          <t>MCGA</t>
        </is>
      </c>
      <c r="F235" s="43" t="inlineStr">
        <is>
          <t>73-104022-01</t>
        </is>
      </c>
      <c r="G235" s="43" t="inlineStr">
        <is>
          <t>BOARD_PN_CANDIDATE</t>
        </is>
      </c>
      <c r="H235" s="43" t="inlineStr"/>
      <c r="I235" s="43" t="inlineStr">
        <is>
          <t>Expired</t>
        </is>
      </c>
      <c r="J235" s="32" t="n">
        <v>45886</v>
      </c>
      <c r="K235" s="32" t="n">
        <v>45811</v>
      </c>
      <c r="L235" s="43" t="inlineStr">
        <is>
          <t>843</t>
        </is>
      </c>
      <c r="M235" s="43" t="n">
        <v>1</v>
      </c>
      <c r="N235" s="33" t="inlineStr"/>
      <c r="O235" s="43" t="inlineStr">
        <is>
          <t>UNVERIFIED</t>
        </is>
      </c>
      <c r="P235" s="43" t="inlineStr">
        <is>
          <t>Pending Review</t>
        </is>
      </c>
      <c r="Q235" s="33" t="inlineStr">
        <is>
          <t>Confirmar SKU/PCBA revision, PN exacto en Common DB, WO, BU, vigencia, planta y aprobacion firmada.</t>
        </is>
      </c>
    </row>
    <row r="236">
      <c r="A236" s="43" t="inlineStr">
        <is>
          <t>CTANJZ04616</t>
        </is>
      </c>
      <c r="B236" s="43" t="inlineStr">
        <is>
          <t>D603828</t>
        </is>
      </c>
      <c r="C236" s="43" t="inlineStr">
        <is>
          <t>037-STBU</t>
        </is>
      </c>
      <c r="D236" s="43" t="inlineStr">
        <is>
          <t>FJZP</t>
        </is>
      </c>
      <c r="E236" s="43" t="inlineStr">
        <is>
          <t>MCGA</t>
        </is>
      </c>
      <c r="F236" s="43" t="inlineStr">
        <is>
          <t>73-21007-02</t>
        </is>
      </c>
      <c r="G236" s="43" t="inlineStr">
        <is>
          <t>BOARD_PN_CANDIDATE</t>
        </is>
      </c>
      <c r="H236" s="43" t="inlineStr"/>
      <c r="I236" s="43" t="inlineStr">
        <is>
          <t>Expired</t>
        </is>
      </c>
      <c r="J236" s="32" t="n">
        <v>45889</v>
      </c>
      <c r="K236" s="32" t="n">
        <v>45819</v>
      </c>
      <c r="L236" s="43" t="inlineStr">
        <is>
          <t>1841</t>
        </is>
      </c>
      <c r="M236" s="43" t="n">
        <v>1</v>
      </c>
      <c r="N236" s="33" t="inlineStr"/>
      <c r="O236" s="43" t="inlineStr">
        <is>
          <t>UNVERIFIED</t>
        </is>
      </c>
      <c r="P236" s="43" t="inlineStr">
        <is>
          <t>Pending Review</t>
        </is>
      </c>
      <c r="Q236" s="33" t="inlineStr">
        <is>
          <t>Confirmar SKU/PCBA revision, PN exacto en Common DB, WO, BU, vigencia, planta y aprobacion firmada.</t>
        </is>
      </c>
    </row>
    <row r="237">
      <c r="A237" s="43" t="inlineStr">
        <is>
          <t>CTANJZ04616</t>
        </is>
      </c>
      <c r="B237" s="43" t="inlineStr">
        <is>
          <t>D603828</t>
        </is>
      </c>
      <c r="C237" s="43" t="inlineStr">
        <is>
          <t>037-STBU</t>
        </is>
      </c>
      <c r="D237" s="43" t="inlineStr">
        <is>
          <t>FJZP</t>
        </is>
      </c>
      <c r="E237" s="43" t="inlineStr">
        <is>
          <t>MCGA</t>
        </is>
      </c>
      <c r="F237" s="43" t="inlineStr">
        <is>
          <t>800-111297-01</t>
        </is>
      </c>
      <c r="G237" s="43" t="inlineStr">
        <is>
          <t>OTHER_SCOPE_ITEM</t>
        </is>
      </c>
      <c r="H237" s="43" t="inlineStr"/>
      <c r="I237" s="43" t="inlineStr">
        <is>
          <t>Expired</t>
        </is>
      </c>
      <c r="J237" s="32" t="n">
        <v>45889</v>
      </c>
      <c r="K237" s="32" t="n">
        <v>45819</v>
      </c>
      <c r="L237" s="43" t="inlineStr">
        <is>
          <t>1842</t>
        </is>
      </c>
      <c r="M237" s="43" t="n">
        <v>1</v>
      </c>
      <c r="N237" s="33" t="inlineStr"/>
      <c r="O237" s="43" t="inlineStr">
        <is>
          <t>UNVERIFIED</t>
        </is>
      </c>
      <c r="P237" s="43" t="inlineStr">
        <is>
          <t>Pending Review</t>
        </is>
      </c>
      <c r="Q237" s="33" t="inlineStr">
        <is>
          <t>Confirmar SKU/PCBA revision, PN exacto en Common DB, WO, BU, vigencia, planta y aprobacion firmada.</t>
        </is>
      </c>
    </row>
    <row r="238">
      <c r="A238" s="43" t="inlineStr">
        <is>
          <t>CTANJZ04617</t>
        </is>
      </c>
      <c r="B238" s="43" t="inlineStr">
        <is>
          <t>D604044</t>
        </is>
      </c>
      <c r="C238" s="43" t="inlineStr">
        <is>
          <t>035-CVEBU</t>
        </is>
      </c>
      <c r="D238" s="43" t="inlineStr">
        <is>
          <t>FJZP</t>
        </is>
      </c>
      <c r="E238" s="43" t="inlineStr">
        <is>
          <t>MCGA</t>
        </is>
      </c>
      <c r="F238" s="43" t="inlineStr">
        <is>
          <t>74-140219-01</t>
        </is>
      </c>
      <c r="G238" s="43" t="inlineStr">
        <is>
          <t>OTHER_SCOPE_ITEM</t>
        </is>
      </c>
      <c r="H238" s="43" t="inlineStr"/>
      <c r="I238" s="43" t="inlineStr">
        <is>
          <t>Expired</t>
        </is>
      </c>
      <c r="J238" s="32" t="n">
        <v>45889</v>
      </c>
      <c r="K238" s="32" t="n">
        <v>45826</v>
      </c>
      <c r="L238" s="43" t="inlineStr">
        <is>
          <t>804</t>
        </is>
      </c>
      <c r="M238" s="43" t="n">
        <v>1</v>
      </c>
      <c r="N238" s="33" t="inlineStr"/>
      <c r="O238" s="43" t="inlineStr">
        <is>
          <t>UNVERIFIED</t>
        </is>
      </c>
      <c r="P238" s="43" t="inlineStr">
        <is>
          <t>Pending Review</t>
        </is>
      </c>
      <c r="Q238" s="33" t="inlineStr">
        <is>
          <t>Confirmar SKU/PCBA revision, PN exacto en Common DB, WO, BU, vigencia, planta y aprobacion firmada.</t>
        </is>
      </c>
    </row>
    <row r="239">
      <c r="A239" s="43" t="inlineStr">
        <is>
          <t>CTANJZ04617</t>
        </is>
      </c>
      <c r="B239" s="43" t="inlineStr">
        <is>
          <t>D604044</t>
        </is>
      </c>
      <c r="C239" s="43" t="inlineStr">
        <is>
          <t>035-CVEBU</t>
        </is>
      </c>
      <c r="D239" s="43" t="inlineStr">
        <is>
          <t>FJZP</t>
        </is>
      </c>
      <c r="E239" s="43" t="inlineStr">
        <is>
          <t>MCGA</t>
        </is>
      </c>
      <c r="F239" s="43" t="inlineStr">
        <is>
          <t>74-146086-01</t>
        </is>
      </c>
      <c r="G239" s="43" t="inlineStr">
        <is>
          <t>OTHER_SCOPE_ITEM</t>
        </is>
      </c>
      <c r="H239" s="43" t="inlineStr"/>
      <c r="I239" s="43" t="inlineStr">
        <is>
          <t>Expired</t>
        </is>
      </c>
      <c r="J239" s="32" t="n">
        <v>45889</v>
      </c>
      <c r="K239" s="32" t="n">
        <v>45826</v>
      </c>
      <c r="L239" s="43" t="inlineStr">
        <is>
          <t>805</t>
        </is>
      </c>
      <c r="M239" s="43" t="n">
        <v>1</v>
      </c>
      <c r="N239" s="33" t="inlineStr"/>
      <c r="O239" s="43" t="inlineStr">
        <is>
          <t>UNVERIFIED</t>
        </is>
      </c>
      <c r="P239" s="43" t="inlineStr">
        <is>
          <t>Pending Review</t>
        </is>
      </c>
      <c r="Q239" s="33" t="inlineStr">
        <is>
          <t>Confirmar SKU/PCBA revision, PN exacto en Common DB, WO, BU, vigencia, planta y aprobacion firmada.</t>
        </is>
      </c>
    </row>
    <row r="240">
      <c r="A240" s="43" t="inlineStr">
        <is>
          <t>CTANJZ04618</t>
        </is>
      </c>
      <c r="B240" s="43" t="inlineStr">
        <is>
          <t>D603586</t>
        </is>
      </c>
      <c r="C240" s="43" t="inlineStr">
        <is>
          <t>037-STBU</t>
        </is>
      </c>
      <c r="D240" s="43" t="inlineStr">
        <is>
          <t>FJZP</t>
        </is>
      </c>
      <c r="E240" s="43" t="inlineStr">
        <is>
          <t>MCGA</t>
        </is>
      </c>
      <c r="F240" s="43" t="inlineStr">
        <is>
          <t>20-0405-01</t>
        </is>
      </c>
      <c r="G240" s="43" t="inlineStr">
        <is>
          <t>OTHER_SCOPE_ITEM</t>
        </is>
      </c>
      <c r="H240" s="43" t="inlineStr"/>
      <c r="I240" s="43" t="inlineStr">
        <is>
          <t>Expired</t>
        </is>
      </c>
      <c r="J240" s="32" t="n">
        <v>45889</v>
      </c>
      <c r="K240" s="32" t="n">
        <v>45819</v>
      </c>
      <c r="L240" s="43" t="inlineStr">
        <is>
          <t>1408</t>
        </is>
      </c>
      <c r="M240" s="43" t="n">
        <v>1</v>
      </c>
      <c r="N240" s="33" t="inlineStr"/>
      <c r="O240" s="43" t="inlineStr">
        <is>
          <t>UNVERIFIED</t>
        </is>
      </c>
      <c r="P240" s="43" t="inlineStr">
        <is>
          <t>Pending Review</t>
        </is>
      </c>
      <c r="Q240" s="33" t="inlineStr">
        <is>
          <t>Confirmar SKU/PCBA revision, PN exacto en Common DB, WO, BU, vigencia, planta y aprobacion firmada.</t>
        </is>
      </c>
    </row>
    <row r="241">
      <c r="A241" s="43" t="inlineStr">
        <is>
          <t>CTANJZ04618</t>
        </is>
      </c>
      <c r="B241" s="43" t="inlineStr">
        <is>
          <t>D603586</t>
        </is>
      </c>
      <c r="C241" s="43" t="inlineStr">
        <is>
          <t>037-STBU</t>
        </is>
      </c>
      <c r="D241" s="43" t="inlineStr">
        <is>
          <t>FJZP</t>
        </is>
      </c>
      <c r="E241" s="43" t="inlineStr">
        <is>
          <t>MCGA</t>
        </is>
      </c>
      <c r="F241" s="43" t="inlineStr">
        <is>
          <t>68-7255-05</t>
        </is>
      </c>
      <c r="G241" s="43" t="inlineStr">
        <is>
          <t>OTHER_SCOPE_ITEM</t>
        </is>
      </c>
      <c r="H241" s="43" t="inlineStr"/>
      <c r="I241" s="43" t="inlineStr">
        <is>
          <t>Expired</t>
        </is>
      </c>
      <c r="J241" s="32" t="n">
        <v>45889</v>
      </c>
      <c r="K241" s="32" t="n">
        <v>45819</v>
      </c>
      <c r="L241" s="43" t="inlineStr">
        <is>
          <t>1409</t>
        </is>
      </c>
      <c r="M241" s="43" t="n">
        <v>1</v>
      </c>
      <c r="N241" s="33" t="inlineStr"/>
      <c r="O241" s="43" t="inlineStr">
        <is>
          <t>UNVERIFIED</t>
        </is>
      </c>
      <c r="P241" s="43" t="inlineStr">
        <is>
          <t>Pending Review</t>
        </is>
      </c>
      <c r="Q241" s="33" t="inlineStr">
        <is>
          <t>Confirmar SKU/PCBA revision, PN exacto en Common DB, WO, BU, vigencia, planta y aprobacion firmada.</t>
        </is>
      </c>
    </row>
    <row r="242">
      <c r="A242" s="43" t="inlineStr">
        <is>
          <t>CTANJZ04618</t>
        </is>
      </c>
      <c r="B242" s="43" t="inlineStr">
        <is>
          <t>D603586</t>
        </is>
      </c>
      <c r="C242" s="43" t="inlineStr">
        <is>
          <t>037-STBU</t>
        </is>
      </c>
      <c r="D242" s="43" t="inlineStr">
        <is>
          <t>FJZP</t>
        </is>
      </c>
      <c r="E242" s="43" t="inlineStr">
        <is>
          <t>MCGA</t>
        </is>
      </c>
      <c r="F242" s="43" t="inlineStr">
        <is>
          <t>73-20247-06</t>
        </is>
      </c>
      <c r="G242" s="43" t="inlineStr">
        <is>
          <t>BOARD_PN_CANDIDATE</t>
        </is>
      </c>
      <c r="H242" s="43" t="inlineStr">
        <is>
          <t>TUFNELL PARK</t>
        </is>
      </c>
      <c r="I242" s="43" t="inlineStr">
        <is>
          <t>Expired</t>
        </is>
      </c>
      <c r="J242" s="32" t="n">
        <v>45889</v>
      </c>
      <c r="K242" s="32" t="n">
        <v>45819</v>
      </c>
      <c r="L242" s="43" t="inlineStr">
        <is>
          <t>1410</t>
        </is>
      </c>
      <c r="M242" s="43" t="n">
        <v>1</v>
      </c>
      <c r="N242" s="33" t="inlineStr"/>
      <c r="O242" s="43" t="inlineStr">
        <is>
          <t>UNVERIFIED</t>
        </is>
      </c>
      <c r="P242" s="43" t="inlineStr">
        <is>
          <t>Pending Review</t>
        </is>
      </c>
      <c r="Q242" s="33" t="inlineStr">
        <is>
          <t>Confirmar SKU/PCBA revision, PN exacto en Common DB, WO, BU, vigencia, planta y aprobacion firmada.</t>
        </is>
      </c>
    </row>
    <row r="243">
      <c r="A243" s="43" t="inlineStr">
        <is>
          <t>CTANJZ04623</t>
        </is>
      </c>
      <c r="B243" s="43" t="inlineStr">
        <is>
          <t>D604124</t>
        </is>
      </c>
      <c r="C243" s="43" t="inlineStr">
        <is>
          <t>035-CVEBU</t>
        </is>
      </c>
      <c r="D243" s="43" t="inlineStr">
        <is>
          <t>FJZP</t>
        </is>
      </c>
      <c r="E243" s="43" t="inlineStr">
        <is>
          <t>MCGA</t>
        </is>
      </c>
      <c r="F243" s="43" t="inlineStr">
        <is>
          <t>74-146086-01</t>
        </is>
      </c>
      <c r="G243" s="43" t="inlineStr">
        <is>
          <t>OTHER_SCOPE_ITEM</t>
        </is>
      </c>
      <c r="H243" s="43" t="inlineStr"/>
      <c r="I243" s="43" t="inlineStr">
        <is>
          <t>Expired</t>
        </is>
      </c>
      <c r="J243" s="32" t="n">
        <v>45890</v>
      </c>
      <c r="K243" s="32" t="n">
        <v>45826</v>
      </c>
      <c r="L243" s="43" t="inlineStr">
        <is>
          <t>1843</t>
        </is>
      </c>
      <c r="M243" s="43" t="n">
        <v>1</v>
      </c>
      <c r="N243" s="33" t="inlineStr"/>
      <c r="O243" s="43" t="inlineStr">
        <is>
          <t>UNVERIFIED</t>
        </is>
      </c>
      <c r="P243" s="43" t="inlineStr">
        <is>
          <t>Pending Review</t>
        </is>
      </c>
      <c r="Q243" s="33" t="inlineStr">
        <is>
          <t>Confirmar SKU/PCBA revision, PN exacto en Common DB, WO, BU, vigencia, planta y aprobacion firmada.</t>
        </is>
      </c>
    </row>
    <row r="244">
      <c r="A244" s="43" t="inlineStr">
        <is>
          <t>CTANJZ04631</t>
        </is>
      </c>
      <c r="B244" s="43" t="inlineStr">
        <is>
          <t>D604068</t>
        </is>
      </c>
      <c r="C244" s="43" t="inlineStr">
        <is>
          <t>037-STBU</t>
        </is>
      </c>
      <c r="D244" s="43" t="inlineStr">
        <is>
          <t>FJZP</t>
        </is>
      </c>
      <c r="E244" s="43" t="inlineStr">
        <is>
          <t>MCGA</t>
        </is>
      </c>
      <c r="F244" s="43" t="inlineStr">
        <is>
          <t>28-102311-04</t>
        </is>
      </c>
      <c r="G244" s="43" t="inlineStr">
        <is>
          <t>BARE_PCB_PN_CANDIDATE</t>
        </is>
      </c>
      <c r="H244" s="43" t="inlineStr"/>
      <c r="I244" s="43" t="inlineStr">
        <is>
          <t>Expired</t>
        </is>
      </c>
      <c r="J244" s="32" t="n">
        <v>45895</v>
      </c>
      <c r="K244" s="32" t="n">
        <v>45826</v>
      </c>
      <c r="L244" s="43" t="inlineStr">
        <is>
          <t>2</t>
        </is>
      </c>
      <c r="M244" s="43" t="n">
        <v>1</v>
      </c>
      <c r="N244" s="33" t="inlineStr"/>
      <c r="O244" s="43" t="inlineStr">
        <is>
          <t>UNVERIFIED</t>
        </is>
      </c>
      <c r="P244" s="43" t="inlineStr">
        <is>
          <t>Pending Review</t>
        </is>
      </c>
      <c r="Q244" s="33" t="inlineStr">
        <is>
          <t>Confirmar SKU/PCBA revision, PN exacto en Common DB, WO, BU, vigencia, planta y aprobacion firmada.</t>
        </is>
      </c>
    </row>
    <row r="245">
      <c r="A245" s="43" t="inlineStr">
        <is>
          <t>CTANJZ04631</t>
        </is>
      </c>
      <c r="B245" s="43" t="inlineStr">
        <is>
          <t>D604068</t>
        </is>
      </c>
      <c r="C245" s="43" t="inlineStr">
        <is>
          <t>037-STBU</t>
        </is>
      </c>
      <c r="D245" s="43" t="inlineStr">
        <is>
          <t>FJZP</t>
        </is>
      </c>
      <c r="E245" s="43" t="inlineStr">
        <is>
          <t>MCGA</t>
        </is>
      </c>
      <c r="F245" s="43" t="inlineStr">
        <is>
          <t>29-104201-01</t>
        </is>
      </c>
      <c r="G245" s="43" t="inlineStr">
        <is>
          <t>OTHER_SCOPE_ITEM</t>
        </is>
      </c>
      <c r="H245" s="43" t="inlineStr"/>
      <c r="I245" s="43" t="inlineStr">
        <is>
          <t>Expired</t>
        </is>
      </c>
      <c r="J245" s="32" t="n">
        <v>45895</v>
      </c>
      <c r="K245" s="32" t="n">
        <v>45826</v>
      </c>
      <c r="L245" s="43" t="inlineStr">
        <is>
          <t>3</t>
        </is>
      </c>
      <c r="M245" s="43" t="n">
        <v>1</v>
      </c>
      <c r="N245" s="33" t="inlineStr"/>
      <c r="O245" s="43" t="inlineStr">
        <is>
          <t>UNVERIFIED</t>
        </is>
      </c>
      <c r="P245" s="43" t="inlineStr">
        <is>
          <t>Pending Review</t>
        </is>
      </c>
      <c r="Q245" s="33" t="inlineStr">
        <is>
          <t>Confirmar SKU/PCBA revision, PN exacto en Common DB, WO, BU, vigencia, planta y aprobacion firmada.</t>
        </is>
      </c>
    </row>
    <row r="246">
      <c r="A246" s="43" t="inlineStr">
        <is>
          <t>CTANJZ04631</t>
        </is>
      </c>
      <c r="B246" s="43" t="inlineStr">
        <is>
          <t>D604068</t>
        </is>
      </c>
      <c r="C246" s="43" t="inlineStr">
        <is>
          <t>037-STBU</t>
        </is>
      </c>
      <c r="D246" s="43" t="inlineStr">
        <is>
          <t>FJZP</t>
        </is>
      </c>
      <c r="E246" s="43" t="inlineStr">
        <is>
          <t>MCGA</t>
        </is>
      </c>
      <c r="F246" s="43" t="inlineStr">
        <is>
          <t>29-104201-02</t>
        </is>
      </c>
      <c r="G246" s="43" t="inlineStr">
        <is>
          <t>OTHER_SCOPE_ITEM</t>
        </is>
      </c>
      <c r="H246" s="43" t="inlineStr"/>
      <c r="I246" s="43" t="inlineStr">
        <is>
          <t>Expired</t>
        </is>
      </c>
      <c r="J246" s="32" t="n">
        <v>45895</v>
      </c>
      <c r="K246" s="32" t="n">
        <v>45826</v>
      </c>
      <c r="L246" s="43" t="inlineStr">
        <is>
          <t>4</t>
        </is>
      </c>
      <c r="M246" s="43" t="n">
        <v>1</v>
      </c>
      <c r="N246" s="33" t="inlineStr"/>
      <c r="O246" s="43" t="inlineStr">
        <is>
          <t>UNVERIFIED</t>
        </is>
      </c>
      <c r="P246" s="43" t="inlineStr">
        <is>
          <t>Pending Review</t>
        </is>
      </c>
      <c r="Q246" s="33" t="inlineStr">
        <is>
          <t>Confirmar SKU/PCBA revision, PN exacto en Common DB, WO, BU, vigencia, planta y aprobacion firmada.</t>
        </is>
      </c>
    </row>
    <row r="247">
      <c r="A247" s="43" t="inlineStr">
        <is>
          <t>CTANJZ04631</t>
        </is>
      </c>
      <c r="B247" s="43" t="inlineStr">
        <is>
          <t>D604068</t>
        </is>
      </c>
      <c r="C247" s="43" t="inlineStr">
        <is>
          <t>037-STBU</t>
        </is>
      </c>
      <c r="D247" s="43" t="inlineStr">
        <is>
          <t>FJZP</t>
        </is>
      </c>
      <c r="E247" s="43" t="inlineStr">
        <is>
          <t>MCGA</t>
        </is>
      </c>
      <c r="F247" s="43" t="inlineStr">
        <is>
          <t>73-102433-04</t>
        </is>
      </c>
      <c r="G247" s="43" t="inlineStr">
        <is>
          <t>BOARD_PN_CANDIDATE</t>
        </is>
      </c>
      <c r="H247" s="43" t="inlineStr"/>
      <c r="I247" s="43" t="inlineStr">
        <is>
          <t>Expired</t>
        </is>
      </c>
      <c r="J247" s="32" t="n">
        <v>45895</v>
      </c>
      <c r="K247" s="32" t="n">
        <v>45826</v>
      </c>
      <c r="L247" s="43" t="inlineStr">
        <is>
          <t>5</t>
        </is>
      </c>
      <c r="M247" s="43" t="n">
        <v>1</v>
      </c>
      <c r="N247" s="33" t="inlineStr"/>
      <c r="O247" s="43" t="inlineStr">
        <is>
          <t>UNVERIFIED</t>
        </is>
      </c>
      <c r="P247" s="43" t="inlineStr">
        <is>
          <t>Pending Review</t>
        </is>
      </c>
      <c r="Q247" s="33" t="inlineStr">
        <is>
          <t>Confirmar SKU/PCBA revision, PN exacto en Common DB, WO, BU, vigencia, planta y aprobacion firmada.</t>
        </is>
      </c>
    </row>
    <row r="248">
      <c r="A248" s="43" t="inlineStr">
        <is>
          <t>CTANJZ04631</t>
        </is>
      </c>
      <c r="B248" s="43" t="inlineStr">
        <is>
          <t>D604068</t>
        </is>
      </c>
      <c r="C248" s="43" t="inlineStr">
        <is>
          <t>037-STBU</t>
        </is>
      </c>
      <c r="D248" s="43" t="inlineStr">
        <is>
          <t>FJZP</t>
        </is>
      </c>
      <c r="E248" s="43" t="inlineStr">
        <is>
          <t>MCGA</t>
        </is>
      </c>
      <c r="F248" s="43" t="inlineStr">
        <is>
          <t>73-102433-05</t>
        </is>
      </c>
      <c r="G248" s="43" t="inlineStr">
        <is>
          <t>BOARD_PN_CANDIDATE</t>
        </is>
      </c>
      <c r="H248" s="43" t="inlineStr"/>
      <c r="I248" s="43" t="inlineStr">
        <is>
          <t>Expired</t>
        </is>
      </c>
      <c r="J248" s="32" t="n">
        <v>45895</v>
      </c>
      <c r="K248" s="32" t="n">
        <v>45826</v>
      </c>
      <c r="L248" s="43" t="inlineStr">
        <is>
          <t>6</t>
        </is>
      </c>
      <c r="M248" s="43" t="n">
        <v>1</v>
      </c>
      <c r="N248" s="33" t="inlineStr"/>
      <c r="O248" s="43" t="inlineStr">
        <is>
          <t>UNVERIFIED</t>
        </is>
      </c>
      <c r="P248" s="43" t="inlineStr">
        <is>
          <t>Pending Review</t>
        </is>
      </c>
      <c r="Q248" s="33" t="inlineStr">
        <is>
          <t>Confirmar SKU/PCBA revision, PN exacto en Common DB, WO, BU, vigencia, planta y aprobacion firmada.</t>
        </is>
      </c>
    </row>
    <row r="249">
      <c r="A249" s="43" t="inlineStr">
        <is>
          <t>CTANJZ04631</t>
        </is>
      </c>
      <c r="B249" s="43" t="inlineStr">
        <is>
          <t>D604068</t>
        </is>
      </c>
      <c r="C249" s="43" t="inlineStr">
        <is>
          <t>037-STBU</t>
        </is>
      </c>
      <c r="D249" s="43" t="inlineStr">
        <is>
          <t>FJZP</t>
        </is>
      </c>
      <c r="E249" s="43" t="inlineStr">
        <is>
          <t>MCGA</t>
        </is>
      </c>
      <c r="F249" s="43" t="inlineStr">
        <is>
          <t>73-102434-04</t>
        </is>
      </c>
      <c r="G249" s="43" t="inlineStr">
        <is>
          <t>BOARD_PN_CANDIDATE</t>
        </is>
      </c>
      <c r="H249" s="43" t="inlineStr"/>
      <c r="I249" s="43" t="inlineStr">
        <is>
          <t>Expired</t>
        </is>
      </c>
      <c r="J249" s="32" t="n">
        <v>45895</v>
      </c>
      <c r="K249" s="32" t="n">
        <v>45826</v>
      </c>
      <c r="L249" s="43" t="inlineStr">
        <is>
          <t>7</t>
        </is>
      </c>
      <c r="M249" s="43" t="n">
        <v>1</v>
      </c>
      <c r="N249" s="33" t="inlineStr"/>
      <c r="O249" s="43" t="inlineStr">
        <is>
          <t>UNVERIFIED</t>
        </is>
      </c>
      <c r="P249" s="43" t="inlineStr">
        <is>
          <t>Pending Review</t>
        </is>
      </c>
      <c r="Q249" s="33" t="inlineStr">
        <is>
          <t>Confirmar SKU/PCBA revision, PN exacto en Common DB, WO, BU, vigencia, planta y aprobacion firmada.</t>
        </is>
      </c>
    </row>
    <row r="250">
      <c r="A250" s="43" t="inlineStr">
        <is>
          <t>CTANJZ04631</t>
        </is>
      </c>
      <c r="B250" s="43" t="inlineStr">
        <is>
          <t>D604068</t>
        </is>
      </c>
      <c r="C250" s="43" t="inlineStr">
        <is>
          <t>037-STBU</t>
        </is>
      </c>
      <c r="D250" s="43" t="inlineStr">
        <is>
          <t>FJZP</t>
        </is>
      </c>
      <c r="E250" s="43" t="inlineStr">
        <is>
          <t>MCGA</t>
        </is>
      </c>
      <c r="F250" s="43" t="inlineStr">
        <is>
          <t>73-102434-05</t>
        </is>
      </c>
      <c r="G250" s="43" t="inlineStr">
        <is>
          <t>BOARD_PN_CANDIDATE</t>
        </is>
      </c>
      <c r="H250" s="43" t="inlineStr"/>
      <c r="I250" s="43" t="inlineStr">
        <is>
          <t>Expired</t>
        </is>
      </c>
      <c r="J250" s="32" t="n">
        <v>45895</v>
      </c>
      <c r="K250" s="32" t="n">
        <v>45826</v>
      </c>
      <c r="L250" s="43" t="inlineStr">
        <is>
          <t>35</t>
        </is>
      </c>
      <c r="M250" s="43" t="n">
        <v>1</v>
      </c>
      <c r="N250" s="33" t="inlineStr"/>
      <c r="O250" s="43" t="inlineStr">
        <is>
          <t>UNVERIFIED</t>
        </is>
      </c>
      <c r="P250" s="43" t="inlineStr">
        <is>
          <t>Pending Review</t>
        </is>
      </c>
      <c r="Q250" s="33" t="inlineStr">
        <is>
          <t>Confirmar SKU/PCBA revision, PN exacto en Common DB, WO, BU, vigencia, planta y aprobacion firmada.</t>
        </is>
      </c>
    </row>
    <row r="251">
      <c r="A251" s="43" t="inlineStr">
        <is>
          <t>CTANJZ04631</t>
        </is>
      </c>
      <c r="B251" s="43" t="inlineStr">
        <is>
          <t>D604068</t>
        </is>
      </c>
      <c r="C251" s="43" t="inlineStr">
        <is>
          <t>037-STBU</t>
        </is>
      </c>
      <c r="D251" s="43" t="inlineStr">
        <is>
          <t>FJZP</t>
        </is>
      </c>
      <c r="E251" s="43" t="inlineStr">
        <is>
          <t>MCGA</t>
        </is>
      </c>
      <c r="F251" s="43" t="inlineStr">
        <is>
          <t>73-102435-04</t>
        </is>
      </c>
      <c r="G251" s="43" t="inlineStr">
        <is>
          <t>BOARD_PN_CANDIDATE</t>
        </is>
      </c>
      <c r="H251" s="43" t="inlineStr"/>
      <c r="I251" s="43" t="inlineStr">
        <is>
          <t>Expired</t>
        </is>
      </c>
      <c r="J251" s="32" t="n">
        <v>45895</v>
      </c>
      <c r="K251" s="32" t="n">
        <v>45826</v>
      </c>
      <c r="L251" s="43" t="inlineStr">
        <is>
          <t>36</t>
        </is>
      </c>
      <c r="M251" s="43" t="n">
        <v>1</v>
      </c>
      <c r="N251" s="33" t="inlineStr"/>
      <c r="O251" s="43" t="inlineStr">
        <is>
          <t>UNVERIFIED</t>
        </is>
      </c>
      <c r="P251" s="43" t="inlineStr">
        <is>
          <t>Pending Review</t>
        </is>
      </c>
      <c r="Q251" s="33" t="inlineStr">
        <is>
          <t>Confirmar SKU/PCBA revision, PN exacto en Common DB, WO, BU, vigencia, planta y aprobacion firmada.</t>
        </is>
      </c>
    </row>
    <row r="252">
      <c r="A252" s="43" t="inlineStr">
        <is>
          <t>CTANJZ04631</t>
        </is>
      </c>
      <c r="B252" s="43" t="inlineStr">
        <is>
          <t>D604068</t>
        </is>
      </c>
      <c r="C252" s="43" t="inlineStr">
        <is>
          <t>037-STBU</t>
        </is>
      </c>
      <c r="D252" s="43" t="inlineStr">
        <is>
          <t>FJZP</t>
        </is>
      </c>
      <c r="E252" s="43" t="inlineStr">
        <is>
          <t>MCGA</t>
        </is>
      </c>
      <c r="F252" s="43" t="inlineStr">
        <is>
          <t>73-102435-05</t>
        </is>
      </c>
      <c r="G252" s="43" t="inlineStr">
        <is>
          <t>BOARD_PN_CANDIDATE</t>
        </is>
      </c>
      <c r="H252" s="43" t="inlineStr"/>
      <c r="I252" s="43" t="inlineStr">
        <is>
          <t>Expired</t>
        </is>
      </c>
      <c r="J252" s="32" t="n">
        <v>45895</v>
      </c>
      <c r="K252" s="32" t="n">
        <v>45826</v>
      </c>
      <c r="L252" s="43" t="inlineStr">
        <is>
          <t>37</t>
        </is>
      </c>
      <c r="M252" s="43" t="n">
        <v>1</v>
      </c>
      <c r="N252" s="33" t="inlineStr"/>
      <c r="O252" s="43" t="inlineStr">
        <is>
          <t>UNVERIFIED</t>
        </is>
      </c>
      <c r="P252" s="43" t="inlineStr">
        <is>
          <t>Pending Review</t>
        </is>
      </c>
      <c r="Q252" s="33" t="inlineStr">
        <is>
          <t>Confirmar SKU/PCBA revision, PN exacto en Common DB, WO, BU, vigencia, planta y aprobacion firmada.</t>
        </is>
      </c>
    </row>
    <row r="253">
      <c r="A253" s="43" t="inlineStr">
        <is>
          <t>CTANJZ04632</t>
        </is>
      </c>
      <c r="B253" s="43" t="inlineStr">
        <is>
          <t>DP524922</t>
        </is>
      </c>
      <c r="C253" s="43" t="inlineStr">
        <is>
          <t>037-STBU</t>
        </is>
      </c>
      <c r="D253" s="43" t="inlineStr">
        <is>
          <t>FJZP</t>
        </is>
      </c>
      <c r="E253" s="43" t="inlineStr">
        <is>
          <t>MCGA</t>
        </is>
      </c>
      <c r="F253" s="43" t="inlineStr">
        <is>
          <t>73-103558-04</t>
        </is>
      </c>
      <c r="G253" s="43" t="inlineStr">
        <is>
          <t>BOARD_PN_CANDIDATE</t>
        </is>
      </c>
      <c r="H253" s="43" t="inlineStr"/>
      <c r="I253" s="43" t="inlineStr">
        <is>
          <t>Expired</t>
        </is>
      </c>
      <c r="J253" s="32" t="n">
        <v>45866</v>
      </c>
      <c r="K253" s="32" t="n">
        <v>45819</v>
      </c>
      <c r="L253" s="43" t="inlineStr">
        <is>
          <t>354</t>
        </is>
      </c>
      <c r="M253" s="43" t="n">
        <v>1</v>
      </c>
      <c r="N253" s="33" t="inlineStr"/>
      <c r="O253" s="43" t="inlineStr">
        <is>
          <t>UNVERIFIED</t>
        </is>
      </c>
      <c r="P253" s="43" t="inlineStr">
        <is>
          <t>Pending Review</t>
        </is>
      </c>
      <c r="Q253" s="33" t="inlineStr">
        <is>
          <t>Confirmar SKU/PCBA revision, PN exacto en Common DB, WO, BU, vigencia, planta y aprobacion firmada.</t>
        </is>
      </c>
    </row>
    <row r="254">
      <c r="A254" s="43" t="inlineStr">
        <is>
          <t>CTANJZ04632</t>
        </is>
      </c>
      <c r="B254" s="43" t="inlineStr">
        <is>
          <t>DP524922</t>
        </is>
      </c>
      <c r="C254" s="43" t="inlineStr">
        <is>
          <t>037-STBU</t>
        </is>
      </c>
      <c r="D254" s="43" t="inlineStr">
        <is>
          <t>FJZP</t>
        </is>
      </c>
      <c r="E254" s="43" t="inlineStr">
        <is>
          <t>MCGA</t>
        </is>
      </c>
      <c r="F254" s="43" t="inlineStr">
        <is>
          <t>73-103633-04</t>
        </is>
      </c>
      <c r="G254" s="43" t="inlineStr">
        <is>
          <t>BOARD_PN_CANDIDATE</t>
        </is>
      </c>
      <c r="H254" s="43" t="inlineStr"/>
      <c r="I254" s="43" t="inlineStr">
        <is>
          <t>Expired</t>
        </is>
      </c>
      <c r="J254" s="32" t="n">
        <v>45866</v>
      </c>
      <c r="K254" s="32" t="n">
        <v>45819</v>
      </c>
      <c r="L254" s="43" t="inlineStr">
        <is>
          <t>355</t>
        </is>
      </c>
      <c r="M254" s="43" t="n">
        <v>1</v>
      </c>
      <c r="N254" s="33" t="inlineStr"/>
      <c r="O254" s="43" t="inlineStr">
        <is>
          <t>UNVERIFIED</t>
        </is>
      </c>
      <c r="P254" s="43" t="inlineStr">
        <is>
          <t>Pending Review</t>
        </is>
      </c>
      <c r="Q254" s="33" t="inlineStr">
        <is>
          <t>Confirmar SKU/PCBA revision, PN exacto en Common DB, WO, BU, vigencia, planta y aprobacion firmada.</t>
        </is>
      </c>
    </row>
    <row r="255">
      <c r="A255" s="43" t="inlineStr">
        <is>
          <t>CTANJZ04632</t>
        </is>
      </c>
      <c r="B255" s="43" t="inlineStr">
        <is>
          <t>DP524922</t>
        </is>
      </c>
      <c r="C255" s="43" t="inlineStr">
        <is>
          <t>037-STBU</t>
        </is>
      </c>
      <c r="D255" s="43" t="inlineStr">
        <is>
          <t>FJZP</t>
        </is>
      </c>
      <c r="E255" s="43" t="inlineStr">
        <is>
          <t>MCGA</t>
        </is>
      </c>
      <c r="F255" s="43" t="inlineStr">
        <is>
          <t>73-103648-04</t>
        </is>
      </c>
      <c r="G255" s="43" t="inlineStr">
        <is>
          <t>BOARD_PN_CANDIDATE</t>
        </is>
      </c>
      <c r="H255" s="43" t="inlineStr"/>
      <c r="I255" s="43" t="inlineStr">
        <is>
          <t>Expired</t>
        </is>
      </c>
      <c r="J255" s="32" t="n">
        <v>45866</v>
      </c>
      <c r="K255" s="32" t="n">
        <v>45819</v>
      </c>
      <c r="L255" s="43" t="inlineStr">
        <is>
          <t>356</t>
        </is>
      </c>
      <c r="M255" s="43" t="n">
        <v>1</v>
      </c>
      <c r="N255" s="33" t="inlineStr"/>
      <c r="O255" s="43" t="inlineStr">
        <is>
          <t>UNVERIFIED</t>
        </is>
      </c>
      <c r="P255" s="43" t="inlineStr">
        <is>
          <t>Pending Review</t>
        </is>
      </c>
      <c r="Q255" s="33" t="inlineStr">
        <is>
          <t>Confirmar SKU/PCBA revision, PN exacto en Common DB, WO, BU, vigencia, planta y aprobacion firmada.</t>
        </is>
      </c>
    </row>
    <row r="256">
      <c r="A256" s="43" t="inlineStr">
        <is>
          <t>CTANJZ04634</t>
        </is>
      </c>
      <c r="B256" s="43" t="inlineStr">
        <is>
          <t>D604208</t>
        </is>
      </c>
      <c r="C256" s="43" t="inlineStr">
        <is>
          <t>037-STBU</t>
        </is>
      </c>
      <c r="D256" s="43" t="inlineStr">
        <is>
          <t>FJZP</t>
        </is>
      </c>
      <c r="E256" s="43" t="inlineStr">
        <is>
          <t>MCGA</t>
        </is>
      </c>
      <c r="F256" s="43" t="inlineStr">
        <is>
          <t>15-104142-01</t>
        </is>
      </c>
      <c r="G256" s="43" t="inlineStr">
        <is>
          <t>OTHER_SCOPE_ITEM</t>
        </is>
      </c>
      <c r="H256" s="43" t="inlineStr"/>
      <c r="I256" s="43" t="inlineStr">
        <is>
          <t>Expired</t>
        </is>
      </c>
      <c r="J256" s="32" t="n">
        <v>45896</v>
      </c>
      <c r="K256" s="32" t="n">
        <v>45826</v>
      </c>
      <c r="L256" s="43" t="inlineStr">
        <is>
          <t>807</t>
        </is>
      </c>
      <c r="M256" s="43" t="n">
        <v>1</v>
      </c>
      <c r="N256" s="33" t="inlineStr"/>
      <c r="O256" s="43" t="inlineStr">
        <is>
          <t>UNVERIFIED</t>
        </is>
      </c>
      <c r="P256" s="43" t="inlineStr">
        <is>
          <t>Pending Review</t>
        </is>
      </c>
      <c r="Q256" s="33" t="inlineStr">
        <is>
          <t>Confirmar SKU/PCBA revision, PN exacto en Common DB, WO, BU, vigencia, planta y aprobacion firmada.</t>
        </is>
      </c>
    </row>
    <row r="257">
      <c r="A257" s="43" t="inlineStr">
        <is>
          <t>CTANJZ04634</t>
        </is>
      </c>
      <c r="B257" s="43" t="inlineStr">
        <is>
          <t>D604208</t>
        </is>
      </c>
      <c r="C257" s="43" t="inlineStr">
        <is>
          <t>037-STBU</t>
        </is>
      </c>
      <c r="D257" s="43" t="inlineStr">
        <is>
          <t>FJZP</t>
        </is>
      </c>
      <c r="E257" s="43" t="inlineStr">
        <is>
          <t>MCGA</t>
        </is>
      </c>
      <c r="F257" s="43" t="inlineStr">
        <is>
          <t>15-104142-02</t>
        </is>
      </c>
      <c r="G257" s="43" t="inlineStr">
        <is>
          <t>OTHER_SCOPE_ITEM</t>
        </is>
      </c>
      <c r="H257" s="43" t="inlineStr"/>
      <c r="I257" s="43" t="inlineStr">
        <is>
          <t>Expired</t>
        </is>
      </c>
      <c r="J257" s="32" t="n">
        <v>45896</v>
      </c>
      <c r="K257" s="32" t="n">
        <v>45826</v>
      </c>
      <c r="L257" s="43" t="inlineStr">
        <is>
          <t>808</t>
        </is>
      </c>
      <c r="M257" s="43" t="n">
        <v>1</v>
      </c>
      <c r="N257" s="33" t="inlineStr"/>
      <c r="O257" s="43" t="inlineStr">
        <is>
          <t>UNVERIFIED</t>
        </is>
      </c>
      <c r="P257" s="43" t="inlineStr">
        <is>
          <t>Pending Review</t>
        </is>
      </c>
      <c r="Q257" s="33" t="inlineStr">
        <is>
          <t>Confirmar SKU/PCBA revision, PN exacto en Common DB, WO, BU, vigencia, planta y aprobacion firmada.</t>
        </is>
      </c>
    </row>
    <row r="258">
      <c r="A258" s="43" t="inlineStr">
        <is>
          <t>CTANJZ04635</t>
        </is>
      </c>
      <c r="B258" s="43" t="inlineStr">
        <is>
          <t>D604078</t>
        </is>
      </c>
      <c r="C258" s="43" t="inlineStr">
        <is>
          <t>037-STBU</t>
        </is>
      </c>
      <c r="D258" s="43" t="inlineStr">
        <is>
          <t>FJZP</t>
        </is>
      </c>
      <c r="E258" s="43" t="inlineStr">
        <is>
          <t>MCGA</t>
        </is>
      </c>
      <c r="F258" s="43" t="inlineStr">
        <is>
          <t>502-00269-01</t>
        </is>
      </c>
      <c r="G258" s="43" t="inlineStr">
        <is>
          <t>OTHER_SCOPE_ITEM</t>
        </is>
      </c>
      <c r="H258" s="43" t="inlineStr"/>
      <c r="I258" s="43" t="inlineStr">
        <is>
          <t>Expired</t>
        </is>
      </c>
      <c r="J258" s="32" t="n">
        <v>45896</v>
      </c>
      <c r="K258" s="32" t="n">
        <v>45827</v>
      </c>
      <c r="L258" s="43" t="inlineStr">
        <is>
          <t>1844</t>
        </is>
      </c>
      <c r="M258" s="43" t="n">
        <v>1</v>
      </c>
      <c r="N258" s="33" t="inlineStr"/>
      <c r="O258" s="43" t="inlineStr">
        <is>
          <t>UNVERIFIED</t>
        </is>
      </c>
      <c r="P258" s="43" t="inlineStr">
        <is>
          <t>Pending Review</t>
        </is>
      </c>
      <c r="Q258" s="33" t="inlineStr">
        <is>
          <t>Confirmar SKU/PCBA revision, PN exacto en Common DB, WO, BU, vigencia, planta y aprobacion firmada.</t>
        </is>
      </c>
    </row>
    <row r="259">
      <c r="A259" s="43" t="inlineStr">
        <is>
          <t>CTANJZ04640</t>
        </is>
      </c>
      <c r="B259" s="43" t="inlineStr">
        <is>
          <t>DP524361</t>
        </is>
      </c>
      <c r="C259" s="43" t="inlineStr">
        <is>
          <t>037-STBU</t>
        </is>
      </c>
      <c r="D259" s="43" t="inlineStr">
        <is>
          <t>FJZP</t>
        </is>
      </c>
      <c r="E259" s="43" t="inlineStr">
        <is>
          <t>MCGA</t>
        </is>
      </c>
      <c r="F259" s="43" t="inlineStr">
        <is>
          <t>68-104576-02</t>
        </is>
      </c>
      <c r="G259" s="43" t="inlineStr">
        <is>
          <t>OTHER_SCOPE_ITEM</t>
        </is>
      </c>
      <c r="H259" s="43" t="inlineStr"/>
      <c r="I259" s="43" t="inlineStr">
        <is>
          <t>Expired</t>
        </is>
      </c>
      <c r="J259" s="32" t="n">
        <v>45871</v>
      </c>
      <c r="K259" s="32" t="n">
        <v>45834</v>
      </c>
      <c r="L259" s="43" t="inlineStr">
        <is>
          <t>766</t>
        </is>
      </c>
      <c r="M259" s="43" t="n">
        <v>1</v>
      </c>
      <c r="N259" s="33" t="inlineStr"/>
      <c r="O259" s="43" t="inlineStr">
        <is>
          <t>UNVERIFIED</t>
        </is>
      </c>
      <c r="P259" s="43" t="inlineStr">
        <is>
          <t>Pending Review</t>
        </is>
      </c>
      <c r="Q259" s="33" t="inlineStr">
        <is>
          <t>Confirmar SKU/PCBA revision, PN exacto en Common DB, WO, BU, vigencia, planta y aprobacion firmada.</t>
        </is>
      </c>
    </row>
    <row r="260">
      <c r="A260" s="43" t="inlineStr">
        <is>
          <t>CTANJZ04640</t>
        </is>
      </c>
      <c r="B260" s="43" t="inlineStr">
        <is>
          <t>DP524361</t>
        </is>
      </c>
      <c r="C260" s="43" t="inlineStr">
        <is>
          <t>037-STBU</t>
        </is>
      </c>
      <c r="D260" s="43" t="inlineStr">
        <is>
          <t>FJZP</t>
        </is>
      </c>
      <c r="E260" s="43" t="inlineStr">
        <is>
          <t>MCGA</t>
        </is>
      </c>
      <c r="F260" s="43" t="inlineStr">
        <is>
          <t>68-104621-02</t>
        </is>
      </c>
      <c r="G260" s="43" t="inlineStr">
        <is>
          <t>OTHER_SCOPE_ITEM</t>
        </is>
      </c>
      <c r="H260" s="43" t="inlineStr"/>
      <c r="I260" s="43" t="inlineStr">
        <is>
          <t>Expired</t>
        </is>
      </c>
      <c r="J260" s="32" t="n">
        <v>45871</v>
      </c>
      <c r="K260" s="32" t="n">
        <v>45834</v>
      </c>
      <c r="L260" s="43" t="inlineStr">
        <is>
          <t>767</t>
        </is>
      </c>
      <c r="M260" s="43" t="n">
        <v>1</v>
      </c>
      <c r="N260" s="33" t="inlineStr"/>
      <c r="O260" s="43" t="inlineStr">
        <is>
          <t>UNVERIFIED</t>
        </is>
      </c>
      <c r="P260" s="43" t="inlineStr">
        <is>
          <t>Pending Review</t>
        </is>
      </c>
      <c r="Q260" s="33" t="inlineStr">
        <is>
          <t>Confirmar SKU/PCBA revision, PN exacto en Common DB, WO, BU, vigencia, planta y aprobacion firmada.</t>
        </is>
      </c>
    </row>
    <row r="261">
      <c r="A261" s="43" t="inlineStr">
        <is>
          <t>CTANJZ04640</t>
        </is>
      </c>
      <c r="B261" s="43" t="inlineStr">
        <is>
          <t>DP524361</t>
        </is>
      </c>
      <c r="C261" s="43" t="inlineStr">
        <is>
          <t>037-STBU</t>
        </is>
      </c>
      <c r="D261" s="43" t="inlineStr">
        <is>
          <t>FJZP</t>
        </is>
      </c>
      <c r="E261" s="43" t="inlineStr">
        <is>
          <t>MCGA</t>
        </is>
      </c>
      <c r="F261" s="43" t="inlineStr">
        <is>
          <t>73-103633-02</t>
        </is>
      </c>
      <c r="G261" s="43" t="inlineStr">
        <is>
          <t>BOARD_PN_CANDIDATE</t>
        </is>
      </c>
      <c r="H261" s="43" t="inlineStr"/>
      <c r="I261" s="43" t="inlineStr">
        <is>
          <t>Expired</t>
        </is>
      </c>
      <c r="J261" s="32" t="n">
        <v>45871</v>
      </c>
      <c r="K261" s="32" t="n">
        <v>45834</v>
      </c>
      <c r="L261" s="43" t="inlineStr">
        <is>
          <t>768</t>
        </is>
      </c>
      <c r="M261" s="43" t="n">
        <v>1</v>
      </c>
      <c r="N261" s="33" t="inlineStr"/>
      <c r="O261" s="43" t="inlineStr">
        <is>
          <t>UNVERIFIED</t>
        </is>
      </c>
      <c r="P261" s="43" t="inlineStr">
        <is>
          <t>Pending Review</t>
        </is>
      </c>
      <c r="Q261" s="33" t="inlineStr">
        <is>
          <t>Confirmar SKU/PCBA revision, PN exacto en Common DB, WO, BU, vigencia, planta y aprobacion firmada.</t>
        </is>
      </c>
    </row>
    <row r="262">
      <c r="A262" s="43" t="inlineStr">
        <is>
          <t>CTANJZ04640</t>
        </is>
      </c>
      <c r="B262" s="43" t="inlineStr">
        <is>
          <t>DP524361</t>
        </is>
      </c>
      <c r="C262" s="43" t="inlineStr">
        <is>
          <t>037-STBU</t>
        </is>
      </c>
      <c r="D262" s="43" t="inlineStr">
        <is>
          <t>FJZP</t>
        </is>
      </c>
      <c r="E262" s="43" t="inlineStr">
        <is>
          <t>MCGA</t>
        </is>
      </c>
      <c r="F262" s="43" t="inlineStr">
        <is>
          <t>800-112583-02</t>
        </is>
      </c>
      <c r="G262" s="43" t="inlineStr">
        <is>
          <t>OTHER_SCOPE_ITEM</t>
        </is>
      </c>
      <c r="H262" s="43" t="inlineStr"/>
      <c r="I262" s="43" t="inlineStr">
        <is>
          <t>Expired</t>
        </is>
      </c>
      <c r="J262" s="32" t="n">
        <v>45871</v>
      </c>
      <c r="K262" s="32" t="n">
        <v>45834</v>
      </c>
      <c r="L262" s="43" t="inlineStr">
        <is>
          <t>769</t>
        </is>
      </c>
      <c r="M262" s="43" t="n">
        <v>1</v>
      </c>
      <c r="N262" s="33" t="inlineStr"/>
      <c r="O262" s="43" t="inlineStr">
        <is>
          <t>UNVERIFIED</t>
        </is>
      </c>
      <c r="P262" s="43" t="inlineStr">
        <is>
          <t>Pending Review</t>
        </is>
      </c>
      <c r="Q262" s="33" t="inlineStr">
        <is>
          <t>Confirmar SKU/PCBA revision, PN exacto en Common DB, WO, BU, vigencia, planta y aprobacion firmada.</t>
        </is>
      </c>
    </row>
    <row r="263">
      <c r="A263" s="43" t="inlineStr">
        <is>
          <t>CTANJZ04640</t>
        </is>
      </c>
      <c r="B263" s="43" t="inlineStr">
        <is>
          <t>DP524361</t>
        </is>
      </c>
      <c r="C263" s="43" t="inlineStr">
        <is>
          <t>037-STBU</t>
        </is>
      </c>
      <c r="D263" s="43" t="inlineStr">
        <is>
          <t>FJZP</t>
        </is>
      </c>
      <c r="E263" s="43" t="inlineStr">
        <is>
          <t>MCGA</t>
        </is>
      </c>
      <c r="F263" s="43" t="inlineStr">
        <is>
          <t>800-112720-02</t>
        </is>
      </c>
      <c r="G263" s="43" t="inlineStr">
        <is>
          <t>OTHER_SCOPE_ITEM</t>
        </is>
      </c>
      <c r="H263" s="43" t="inlineStr"/>
      <c r="I263" s="43" t="inlineStr">
        <is>
          <t>Expired</t>
        </is>
      </c>
      <c r="J263" s="32" t="n">
        <v>45871</v>
      </c>
      <c r="K263" s="32" t="n">
        <v>45834</v>
      </c>
      <c r="L263" s="43" t="inlineStr">
        <is>
          <t>770</t>
        </is>
      </c>
      <c r="M263" s="43" t="n">
        <v>1</v>
      </c>
      <c r="N263" s="33" t="inlineStr"/>
      <c r="O263" s="43" t="inlineStr">
        <is>
          <t>UNVERIFIED</t>
        </is>
      </c>
      <c r="P263" s="43" t="inlineStr">
        <is>
          <t>Pending Review</t>
        </is>
      </c>
      <c r="Q263" s="33" t="inlineStr">
        <is>
          <t>Confirmar SKU/PCBA revision, PN exacto en Common DB, WO, BU, vigencia, planta y aprobacion firmada.</t>
        </is>
      </c>
    </row>
    <row r="264">
      <c r="A264" s="43" t="inlineStr">
        <is>
          <t>CTANJZ04641</t>
        </is>
      </c>
      <c r="B264" s="43" t="inlineStr">
        <is>
          <t>D604196</t>
        </is>
      </c>
      <c r="C264" s="43" t="inlineStr">
        <is>
          <t>035-CVEBU</t>
        </is>
      </c>
      <c r="D264" s="43" t="inlineStr">
        <is>
          <t>FJZP</t>
        </is>
      </c>
      <c r="E264" s="43" t="inlineStr">
        <is>
          <t>MCGA</t>
        </is>
      </c>
      <c r="F264" s="43" t="inlineStr">
        <is>
          <t>37-100881-02</t>
        </is>
      </c>
      <c r="G264" s="43" t="inlineStr">
        <is>
          <t>OTHER_SCOPE_ITEM</t>
        </is>
      </c>
      <c r="H264" s="43" t="inlineStr"/>
      <c r="I264" s="43" t="inlineStr">
        <is>
          <t>Expired</t>
        </is>
      </c>
      <c r="J264" s="32" t="n">
        <v>45901</v>
      </c>
      <c r="K264" s="32" t="n">
        <v>45826</v>
      </c>
      <c r="L264" s="43" t="inlineStr">
        <is>
          <t>393</t>
        </is>
      </c>
      <c r="M264" s="43" t="n">
        <v>1</v>
      </c>
      <c r="N264" s="33" t="inlineStr"/>
      <c r="O264" s="43" t="inlineStr">
        <is>
          <t>UNVERIFIED</t>
        </is>
      </c>
      <c r="P264" s="43" t="inlineStr">
        <is>
          <t>Pending Review</t>
        </is>
      </c>
      <c r="Q264" s="33" t="inlineStr">
        <is>
          <t>Confirmar SKU/PCBA revision, PN exacto en Common DB, WO, BU, vigencia, planta y aprobacion firmada.</t>
        </is>
      </c>
    </row>
    <row r="265">
      <c r="A265" s="43" t="inlineStr">
        <is>
          <t>CTANJZ04641</t>
        </is>
      </c>
      <c r="B265" s="43" t="inlineStr">
        <is>
          <t>D604196</t>
        </is>
      </c>
      <c r="C265" s="43" t="inlineStr">
        <is>
          <t>035-CVEBU</t>
        </is>
      </c>
      <c r="D265" s="43" t="inlineStr">
        <is>
          <t>FJZP</t>
        </is>
      </c>
      <c r="E265" s="43" t="inlineStr">
        <is>
          <t>MCGA</t>
        </is>
      </c>
      <c r="F265" s="43" t="inlineStr">
        <is>
          <t>37-100894-02</t>
        </is>
      </c>
      <c r="G265" s="43" t="inlineStr">
        <is>
          <t>OTHER_SCOPE_ITEM</t>
        </is>
      </c>
      <c r="H265" s="43" t="inlineStr"/>
      <c r="I265" s="43" t="inlineStr">
        <is>
          <t>Expired</t>
        </is>
      </c>
      <c r="J265" s="32" t="n">
        <v>45901</v>
      </c>
      <c r="K265" s="32" t="n">
        <v>45826</v>
      </c>
      <c r="L265" s="43" t="inlineStr">
        <is>
          <t>394</t>
        </is>
      </c>
      <c r="M265" s="43" t="n">
        <v>1</v>
      </c>
      <c r="N265" s="33" t="inlineStr"/>
      <c r="O265" s="43" t="inlineStr">
        <is>
          <t>UNVERIFIED</t>
        </is>
      </c>
      <c r="P265" s="43" t="inlineStr">
        <is>
          <t>Pending Review</t>
        </is>
      </c>
      <c r="Q265" s="33" t="inlineStr">
        <is>
          <t>Confirmar SKU/PCBA revision, PN exacto en Common DB, WO, BU, vigencia, planta y aprobacion firmada.</t>
        </is>
      </c>
    </row>
    <row r="266">
      <c r="A266" s="43" t="inlineStr">
        <is>
          <t>CTANJZ04645</t>
        </is>
      </c>
      <c r="B266" s="43" t="inlineStr">
        <is>
          <t>DP524944</t>
        </is>
      </c>
      <c r="C266" s="43" t="inlineStr">
        <is>
          <t>037-STBU</t>
        </is>
      </c>
      <c r="D266" s="43" t="inlineStr">
        <is>
          <t>FJZP</t>
        </is>
      </c>
      <c r="E266" s="43" t="inlineStr">
        <is>
          <t>MCGA</t>
        </is>
      </c>
      <c r="F266" s="43" t="inlineStr">
        <is>
          <t>68-104574-04</t>
        </is>
      </c>
      <c r="G266" s="43" t="inlineStr">
        <is>
          <t>OTHER_SCOPE_ITEM</t>
        </is>
      </c>
      <c r="H266" s="43" t="inlineStr"/>
      <c r="I266" s="43" t="inlineStr">
        <is>
          <t>Expired</t>
        </is>
      </c>
      <c r="J266" s="32" t="n">
        <v>45872</v>
      </c>
      <c r="K266" s="32" t="n">
        <v>45834</v>
      </c>
      <c r="L266" s="43" t="inlineStr">
        <is>
          <t>771</t>
        </is>
      </c>
      <c r="M266" s="43" t="n">
        <v>1</v>
      </c>
      <c r="N266" s="33" t="inlineStr"/>
      <c r="O266" s="43" t="inlineStr">
        <is>
          <t>UNVERIFIED</t>
        </is>
      </c>
      <c r="P266" s="43" t="inlineStr">
        <is>
          <t>Pending Review</t>
        </is>
      </c>
      <c r="Q266" s="33" t="inlineStr">
        <is>
          <t>Confirmar SKU/PCBA revision, PN exacto en Common DB, WO, BU, vigencia, planta y aprobacion firmada.</t>
        </is>
      </c>
    </row>
    <row r="267">
      <c r="A267" s="43" t="inlineStr">
        <is>
          <t>CTANJZ04645</t>
        </is>
      </c>
      <c r="B267" s="43" t="inlineStr">
        <is>
          <t>DP524944</t>
        </is>
      </c>
      <c r="C267" s="43" t="inlineStr">
        <is>
          <t>037-STBU</t>
        </is>
      </c>
      <c r="D267" s="43" t="inlineStr">
        <is>
          <t>FJZP</t>
        </is>
      </c>
      <c r="E267" s="43" t="inlineStr">
        <is>
          <t>MCGA</t>
        </is>
      </c>
      <c r="F267" s="43" t="inlineStr">
        <is>
          <t>68-104575-04</t>
        </is>
      </c>
      <c r="G267" s="43" t="inlineStr">
        <is>
          <t>OTHER_SCOPE_ITEM</t>
        </is>
      </c>
      <c r="H267" s="43" t="inlineStr"/>
      <c r="I267" s="43" t="inlineStr">
        <is>
          <t>Expired</t>
        </is>
      </c>
      <c r="J267" s="32" t="n">
        <v>45872</v>
      </c>
      <c r="K267" s="32" t="n">
        <v>45834</v>
      </c>
      <c r="L267" s="43" t="inlineStr">
        <is>
          <t>772</t>
        </is>
      </c>
      <c r="M267" s="43" t="n">
        <v>1</v>
      </c>
      <c r="N267" s="33" t="inlineStr"/>
      <c r="O267" s="43" t="inlineStr">
        <is>
          <t>UNVERIFIED</t>
        </is>
      </c>
      <c r="P267" s="43" t="inlineStr">
        <is>
          <t>Pending Review</t>
        </is>
      </c>
      <c r="Q267" s="33" t="inlineStr">
        <is>
          <t>Confirmar SKU/PCBA revision, PN exacto en Common DB, WO, BU, vigencia, planta y aprobacion firmada.</t>
        </is>
      </c>
    </row>
    <row r="268">
      <c r="A268" s="43" t="inlineStr">
        <is>
          <t>CTANJZ04645</t>
        </is>
      </c>
      <c r="B268" s="43" t="inlineStr">
        <is>
          <t>DP524944</t>
        </is>
      </c>
      <c r="C268" s="43" t="inlineStr">
        <is>
          <t>037-STBU</t>
        </is>
      </c>
      <c r="D268" s="43" t="inlineStr">
        <is>
          <t>FJZP</t>
        </is>
      </c>
      <c r="E268" s="43" t="inlineStr">
        <is>
          <t>MCGA</t>
        </is>
      </c>
      <c r="F268" s="43" t="inlineStr">
        <is>
          <t>68-104576-04</t>
        </is>
      </c>
      <c r="G268" s="43" t="inlineStr">
        <is>
          <t>OTHER_SCOPE_ITEM</t>
        </is>
      </c>
      <c r="H268" s="43" t="inlineStr"/>
      <c r="I268" s="43" t="inlineStr">
        <is>
          <t>Expired</t>
        </is>
      </c>
      <c r="J268" s="32" t="n">
        <v>45872</v>
      </c>
      <c r="K268" s="32" t="n">
        <v>45834</v>
      </c>
      <c r="L268" s="43" t="inlineStr">
        <is>
          <t>773</t>
        </is>
      </c>
      <c r="M268" s="43" t="n">
        <v>1</v>
      </c>
      <c r="N268" s="33" t="inlineStr"/>
      <c r="O268" s="43" t="inlineStr">
        <is>
          <t>UNVERIFIED</t>
        </is>
      </c>
      <c r="P268" s="43" t="inlineStr">
        <is>
          <t>Pending Review</t>
        </is>
      </c>
      <c r="Q268" s="33" t="inlineStr">
        <is>
          <t>Confirmar SKU/PCBA revision, PN exacto en Common DB, WO, BU, vigencia, planta y aprobacion firmada.</t>
        </is>
      </c>
    </row>
    <row r="269">
      <c r="A269" s="43" t="inlineStr">
        <is>
          <t>CTANJZ04645</t>
        </is>
      </c>
      <c r="B269" s="43" t="inlineStr">
        <is>
          <t>DP524944</t>
        </is>
      </c>
      <c r="C269" s="43" t="inlineStr">
        <is>
          <t>037-STBU</t>
        </is>
      </c>
      <c r="D269" s="43" t="inlineStr">
        <is>
          <t>FJZP</t>
        </is>
      </c>
      <c r="E269" s="43" t="inlineStr">
        <is>
          <t>MCGA</t>
        </is>
      </c>
      <c r="F269" s="43" t="inlineStr">
        <is>
          <t>68-104621-04</t>
        </is>
      </c>
      <c r="G269" s="43" t="inlineStr">
        <is>
          <t>OTHER_SCOPE_ITEM</t>
        </is>
      </c>
      <c r="H269" s="43" t="inlineStr"/>
      <c r="I269" s="43" t="inlineStr">
        <is>
          <t>Expired</t>
        </is>
      </c>
      <c r="J269" s="32" t="n">
        <v>45872</v>
      </c>
      <c r="K269" s="32" t="n">
        <v>45834</v>
      </c>
      <c r="L269" s="43" t="inlineStr">
        <is>
          <t>774</t>
        </is>
      </c>
      <c r="M269" s="43" t="n">
        <v>1</v>
      </c>
      <c r="N269" s="33" t="inlineStr"/>
      <c r="O269" s="43" t="inlineStr">
        <is>
          <t>UNVERIFIED</t>
        </is>
      </c>
      <c r="P269" s="43" t="inlineStr">
        <is>
          <t>Pending Review</t>
        </is>
      </c>
      <c r="Q269" s="33" t="inlineStr">
        <is>
          <t>Confirmar SKU/PCBA revision, PN exacto en Common DB, WO, BU, vigencia, planta y aprobacion firmada.</t>
        </is>
      </c>
    </row>
    <row r="270">
      <c r="A270" s="43" t="inlineStr">
        <is>
          <t>CTANJZ04645</t>
        </is>
      </c>
      <c r="B270" s="43" t="inlineStr">
        <is>
          <t>DP524944</t>
        </is>
      </c>
      <c r="C270" s="43" t="inlineStr">
        <is>
          <t>037-STBU</t>
        </is>
      </c>
      <c r="D270" s="43" t="inlineStr">
        <is>
          <t>FJZP</t>
        </is>
      </c>
      <c r="E270" s="43" t="inlineStr">
        <is>
          <t>MCGA</t>
        </is>
      </c>
      <c r="F270" s="43" t="inlineStr">
        <is>
          <t>800-112581-04</t>
        </is>
      </c>
      <c r="G270" s="43" t="inlineStr">
        <is>
          <t>OTHER_SCOPE_ITEM</t>
        </is>
      </c>
      <c r="H270" s="43" t="inlineStr"/>
      <c r="I270" s="43" t="inlineStr">
        <is>
          <t>Expired</t>
        </is>
      </c>
      <c r="J270" s="32" t="n">
        <v>45872</v>
      </c>
      <c r="K270" s="32" t="n">
        <v>45834</v>
      </c>
      <c r="L270" s="43" t="inlineStr">
        <is>
          <t>775</t>
        </is>
      </c>
      <c r="M270" s="43" t="n">
        <v>1</v>
      </c>
      <c r="N270" s="33" t="inlineStr"/>
      <c r="O270" s="43" t="inlineStr">
        <is>
          <t>UNVERIFIED</t>
        </is>
      </c>
      <c r="P270" s="43" t="inlineStr">
        <is>
          <t>Pending Review</t>
        </is>
      </c>
      <c r="Q270" s="33" t="inlineStr">
        <is>
          <t>Confirmar SKU/PCBA revision, PN exacto en Common DB, WO, BU, vigencia, planta y aprobacion firmada.</t>
        </is>
      </c>
    </row>
    <row r="271">
      <c r="A271" s="43" t="inlineStr">
        <is>
          <t>CTANJZ04645</t>
        </is>
      </c>
      <c r="B271" s="43" t="inlineStr">
        <is>
          <t>DP524944</t>
        </is>
      </c>
      <c r="C271" s="43" t="inlineStr">
        <is>
          <t>037-STBU</t>
        </is>
      </c>
      <c r="D271" s="43" t="inlineStr">
        <is>
          <t>FJZP</t>
        </is>
      </c>
      <c r="E271" s="43" t="inlineStr">
        <is>
          <t>MCGA</t>
        </is>
      </c>
      <c r="F271" s="43" t="inlineStr">
        <is>
          <t>800-112582-04</t>
        </is>
      </c>
      <c r="G271" s="43" t="inlineStr">
        <is>
          <t>OTHER_SCOPE_ITEM</t>
        </is>
      </c>
      <c r="H271" s="43" t="inlineStr"/>
      <c r="I271" s="43" t="inlineStr">
        <is>
          <t>Expired</t>
        </is>
      </c>
      <c r="J271" s="32" t="n">
        <v>45872</v>
      </c>
      <c r="K271" s="32" t="n">
        <v>45834</v>
      </c>
      <c r="L271" s="43" t="inlineStr">
        <is>
          <t>776</t>
        </is>
      </c>
      <c r="M271" s="43" t="n">
        <v>1</v>
      </c>
      <c r="N271" s="33" t="inlineStr"/>
      <c r="O271" s="43" t="inlineStr">
        <is>
          <t>UNVERIFIED</t>
        </is>
      </c>
      <c r="P271" s="43" t="inlineStr">
        <is>
          <t>Pending Review</t>
        </is>
      </c>
      <c r="Q271" s="33" t="inlineStr">
        <is>
          <t>Confirmar SKU/PCBA revision, PN exacto en Common DB, WO, BU, vigencia, planta y aprobacion firmada.</t>
        </is>
      </c>
    </row>
    <row r="272">
      <c r="A272" s="43" t="inlineStr">
        <is>
          <t>CTANJZ04645</t>
        </is>
      </c>
      <c r="B272" s="43" t="inlineStr">
        <is>
          <t>DP524944</t>
        </is>
      </c>
      <c r="C272" s="43" t="inlineStr">
        <is>
          <t>037-STBU</t>
        </is>
      </c>
      <c r="D272" s="43" t="inlineStr">
        <is>
          <t>FJZP</t>
        </is>
      </c>
      <c r="E272" s="43" t="inlineStr">
        <is>
          <t>MCGA</t>
        </is>
      </c>
      <c r="F272" s="43" t="inlineStr">
        <is>
          <t>800-112583-04</t>
        </is>
      </c>
      <c r="G272" s="43" t="inlineStr">
        <is>
          <t>OTHER_SCOPE_ITEM</t>
        </is>
      </c>
      <c r="H272" s="43" t="inlineStr"/>
      <c r="I272" s="43" t="inlineStr">
        <is>
          <t>Expired</t>
        </is>
      </c>
      <c r="J272" s="32" t="n">
        <v>45872</v>
      </c>
      <c r="K272" s="32" t="n">
        <v>45834</v>
      </c>
      <c r="L272" s="43" t="inlineStr">
        <is>
          <t>777</t>
        </is>
      </c>
      <c r="M272" s="43" t="n">
        <v>1</v>
      </c>
      <c r="N272" s="33" t="inlineStr"/>
      <c r="O272" s="43" t="inlineStr">
        <is>
          <t>UNVERIFIED</t>
        </is>
      </c>
      <c r="P272" s="43" t="inlineStr">
        <is>
          <t>Pending Review</t>
        </is>
      </c>
      <c r="Q272" s="33" t="inlineStr">
        <is>
          <t>Confirmar SKU/PCBA revision, PN exacto en Common DB, WO, BU, vigencia, planta y aprobacion firmada.</t>
        </is>
      </c>
    </row>
    <row r="273">
      <c r="A273" s="43" t="inlineStr">
        <is>
          <t>CTANJZ04645</t>
        </is>
      </c>
      <c r="B273" s="43" t="inlineStr">
        <is>
          <t>DP524944</t>
        </is>
      </c>
      <c r="C273" s="43" t="inlineStr">
        <is>
          <t>037-STBU</t>
        </is>
      </c>
      <c r="D273" s="43" t="inlineStr">
        <is>
          <t>FJZP</t>
        </is>
      </c>
      <c r="E273" s="43" t="inlineStr">
        <is>
          <t>MCGA</t>
        </is>
      </c>
      <c r="F273" s="43" t="inlineStr">
        <is>
          <t>800-112720-04</t>
        </is>
      </c>
      <c r="G273" s="43" t="inlineStr">
        <is>
          <t>OTHER_SCOPE_ITEM</t>
        </is>
      </c>
      <c r="H273" s="43" t="inlineStr"/>
      <c r="I273" s="43" t="inlineStr">
        <is>
          <t>Expired</t>
        </is>
      </c>
      <c r="J273" s="32" t="n">
        <v>45872</v>
      </c>
      <c r="K273" s="32" t="n">
        <v>45834</v>
      </c>
      <c r="L273" s="43" t="inlineStr">
        <is>
          <t>778</t>
        </is>
      </c>
      <c r="M273" s="43" t="n">
        <v>1</v>
      </c>
      <c r="N273" s="33" t="inlineStr"/>
      <c r="O273" s="43" t="inlineStr">
        <is>
          <t>UNVERIFIED</t>
        </is>
      </c>
      <c r="P273" s="43" t="inlineStr">
        <is>
          <t>Pending Review</t>
        </is>
      </c>
      <c r="Q273" s="33" t="inlineStr">
        <is>
          <t>Confirmar SKU/PCBA revision, PN exacto en Common DB, WO, BU, vigencia, planta y aprobacion firmada.</t>
        </is>
      </c>
    </row>
    <row r="274">
      <c r="A274" s="43" t="inlineStr">
        <is>
          <t>CTANJZ04646</t>
        </is>
      </c>
      <c r="B274" s="43" t="inlineStr">
        <is>
          <t>D604197</t>
        </is>
      </c>
      <c r="C274" s="43" t="inlineStr">
        <is>
          <t>037-STBU</t>
        </is>
      </c>
      <c r="D274" s="43" t="inlineStr">
        <is>
          <t>FJZP</t>
        </is>
      </c>
      <c r="E274" s="43" t="inlineStr">
        <is>
          <t>MCGA</t>
        </is>
      </c>
      <c r="F274" s="43" t="inlineStr">
        <is>
          <t>15-5000-01</t>
        </is>
      </c>
      <c r="G274" s="43" t="inlineStr">
        <is>
          <t>OTHER_SCOPE_ITEM</t>
        </is>
      </c>
      <c r="H274" s="43" t="inlineStr"/>
      <c r="I274" s="43" t="inlineStr">
        <is>
          <t>Expired</t>
        </is>
      </c>
      <c r="J274" s="32" t="n">
        <v>45902</v>
      </c>
      <c r="K274" s="32" t="n">
        <v>45839</v>
      </c>
      <c r="L274" s="43" t="inlineStr">
        <is>
          <t>1466</t>
        </is>
      </c>
      <c r="M274" s="43" t="n">
        <v>1</v>
      </c>
      <c r="N274" s="33" t="inlineStr"/>
      <c r="O274" s="43" t="inlineStr">
        <is>
          <t>UNVERIFIED</t>
        </is>
      </c>
      <c r="P274" s="43" t="inlineStr">
        <is>
          <t>Pending Review</t>
        </is>
      </c>
      <c r="Q274" s="33" t="inlineStr">
        <is>
          <t>Confirmar SKU/PCBA revision, PN exacto en Common DB, WO, BU, vigencia, planta y aprobacion firmada.</t>
        </is>
      </c>
    </row>
    <row r="275">
      <c r="A275" s="43" t="inlineStr">
        <is>
          <t>CTANJZ04646</t>
        </is>
      </c>
      <c r="B275" s="43" t="inlineStr">
        <is>
          <t>D604197</t>
        </is>
      </c>
      <c r="C275" s="43" t="inlineStr">
        <is>
          <t>037-STBU</t>
        </is>
      </c>
      <c r="D275" s="43" t="inlineStr">
        <is>
          <t>FJZP</t>
        </is>
      </c>
      <c r="E275" s="43" t="inlineStr">
        <is>
          <t>MCGA</t>
        </is>
      </c>
      <c r="F275" s="43" t="inlineStr">
        <is>
          <t>68-7133-02</t>
        </is>
      </c>
      <c r="G275" s="43" t="inlineStr">
        <is>
          <t>OTHER_SCOPE_ITEM</t>
        </is>
      </c>
      <c r="H275" s="43" t="inlineStr"/>
      <c r="I275" s="43" t="inlineStr">
        <is>
          <t>Expired</t>
        </is>
      </c>
      <c r="J275" s="32" t="n">
        <v>45902</v>
      </c>
      <c r="K275" s="32" t="n">
        <v>45839</v>
      </c>
      <c r="L275" s="43" t="inlineStr">
        <is>
          <t>1467</t>
        </is>
      </c>
      <c r="M275" s="43" t="n">
        <v>1</v>
      </c>
      <c r="N275" s="33" t="inlineStr"/>
      <c r="O275" s="43" t="inlineStr">
        <is>
          <t>UNVERIFIED</t>
        </is>
      </c>
      <c r="P275" s="43" t="inlineStr">
        <is>
          <t>Pending Review</t>
        </is>
      </c>
      <c r="Q275" s="33" t="inlineStr">
        <is>
          <t>Confirmar SKU/PCBA revision, PN exacto en Common DB, WO, BU, vigencia, planta y aprobacion firmada.</t>
        </is>
      </c>
    </row>
    <row r="276">
      <c r="A276" s="43" t="inlineStr">
        <is>
          <t>CTANJZ04646</t>
        </is>
      </c>
      <c r="B276" s="43" t="inlineStr">
        <is>
          <t>D604197</t>
        </is>
      </c>
      <c r="C276" s="43" t="inlineStr">
        <is>
          <t>037-STBU</t>
        </is>
      </c>
      <c r="D276" s="43" t="inlineStr">
        <is>
          <t>FJZP</t>
        </is>
      </c>
      <c r="E276" s="43" t="inlineStr">
        <is>
          <t>MCGA</t>
        </is>
      </c>
      <c r="F276" s="43" t="inlineStr">
        <is>
          <t>73-17499-07</t>
        </is>
      </c>
      <c r="G276" s="43" t="inlineStr">
        <is>
          <t>BOARD_PN_CANDIDATE</t>
        </is>
      </c>
      <c r="H276" s="43" t="inlineStr"/>
      <c r="I276" s="43" t="inlineStr">
        <is>
          <t>Expired</t>
        </is>
      </c>
      <c r="J276" s="32" t="n">
        <v>45902</v>
      </c>
      <c r="K276" s="32" t="n">
        <v>45839</v>
      </c>
      <c r="L276" s="43" t="inlineStr">
        <is>
          <t>1468</t>
        </is>
      </c>
      <c r="M276" s="43" t="n">
        <v>1</v>
      </c>
      <c r="N276" s="33" t="inlineStr"/>
      <c r="O276" s="43" t="inlineStr">
        <is>
          <t>UNVERIFIED</t>
        </is>
      </c>
      <c r="P276" s="43" t="inlineStr">
        <is>
          <t>Pending Review</t>
        </is>
      </c>
      <c r="Q276" s="33" t="inlineStr">
        <is>
          <t>Confirmar SKU/PCBA revision, PN exacto en Common DB, WO, BU, vigencia, planta y aprobacion firmada.</t>
        </is>
      </c>
    </row>
    <row r="277">
      <c r="A277" s="43" t="inlineStr">
        <is>
          <t>CTANJZ04646</t>
        </is>
      </c>
      <c r="B277" s="43" t="inlineStr">
        <is>
          <t>D604197</t>
        </is>
      </c>
      <c r="C277" s="43" t="inlineStr">
        <is>
          <t>037-STBU</t>
        </is>
      </c>
      <c r="D277" s="43" t="inlineStr">
        <is>
          <t>FJZP</t>
        </is>
      </c>
      <c r="E277" s="43" t="inlineStr">
        <is>
          <t>MCGA</t>
        </is>
      </c>
      <c r="F277" s="43" t="inlineStr">
        <is>
          <t>800-106838-02</t>
        </is>
      </c>
      <c r="G277" s="43" t="inlineStr">
        <is>
          <t>OTHER_SCOPE_ITEM</t>
        </is>
      </c>
      <c r="H277" s="43" t="inlineStr"/>
      <c r="I277" s="43" t="inlineStr">
        <is>
          <t>Expired</t>
        </is>
      </c>
      <c r="J277" s="32" t="n">
        <v>45902</v>
      </c>
      <c r="K277" s="32" t="n">
        <v>45839</v>
      </c>
      <c r="L277" s="43" t="inlineStr">
        <is>
          <t>1469</t>
        </is>
      </c>
      <c r="M277" s="43" t="n">
        <v>1</v>
      </c>
      <c r="N277" s="33" t="inlineStr"/>
      <c r="O277" s="43" t="inlineStr">
        <is>
          <t>UNVERIFIED</t>
        </is>
      </c>
      <c r="P277" s="43" t="inlineStr">
        <is>
          <t>Pending Review</t>
        </is>
      </c>
      <c r="Q277" s="33" t="inlineStr">
        <is>
          <t>Confirmar SKU/PCBA revision, PN exacto en Common DB, WO, BU, vigencia, planta y aprobacion firmada.</t>
        </is>
      </c>
    </row>
    <row r="278">
      <c r="A278" s="43" t="inlineStr">
        <is>
          <t>CTANJZ04647</t>
        </is>
      </c>
      <c r="B278" s="43" t="inlineStr">
        <is>
          <t>D604285</t>
        </is>
      </c>
      <c r="C278" s="43" t="inlineStr">
        <is>
          <t>037-STBU</t>
        </is>
      </c>
      <c r="D278" s="43" t="inlineStr">
        <is>
          <t>FJZP</t>
        </is>
      </c>
      <c r="E278" s="43" t="inlineStr">
        <is>
          <t>MCGA</t>
        </is>
      </c>
      <c r="F278" s="43" t="inlineStr">
        <is>
          <t>16-101919-01</t>
        </is>
      </c>
      <c r="G278" s="43" t="inlineStr">
        <is>
          <t>OTHER_SCOPE_ITEM</t>
        </is>
      </c>
      <c r="H278" s="43" t="inlineStr"/>
      <c r="I278" s="43" t="inlineStr">
        <is>
          <t>Expired</t>
        </is>
      </c>
      <c r="J278" s="32" t="n">
        <v>45902</v>
      </c>
      <c r="K278" s="32" t="n">
        <v>45853</v>
      </c>
      <c r="L278" s="43" t="inlineStr">
        <is>
          <t>1423</t>
        </is>
      </c>
      <c r="M278" s="43" t="n">
        <v>1</v>
      </c>
      <c r="N278" s="33" t="inlineStr"/>
      <c r="O278" s="43" t="inlineStr">
        <is>
          <t>UNVERIFIED</t>
        </is>
      </c>
      <c r="P278" s="43" t="inlineStr">
        <is>
          <t>Pending Review</t>
        </is>
      </c>
      <c r="Q278" s="33" t="inlineStr">
        <is>
          <t>Confirmar SKU/PCBA revision, PN exacto en Common DB, WO, BU, vigencia, planta y aprobacion firmada.</t>
        </is>
      </c>
    </row>
    <row r="279">
      <c r="A279" s="43" t="inlineStr">
        <is>
          <t>CTANJZ04647</t>
        </is>
      </c>
      <c r="B279" s="43" t="inlineStr">
        <is>
          <t>D604285</t>
        </is>
      </c>
      <c r="C279" s="43" t="inlineStr">
        <is>
          <t>037-STBU</t>
        </is>
      </c>
      <c r="D279" s="43" t="inlineStr">
        <is>
          <t>FJZP</t>
        </is>
      </c>
      <c r="E279" s="43" t="inlineStr">
        <is>
          <t>MCGA</t>
        </is>
      </c>
      <c r="F279" s="43" t="inlineStr">
        <is>
          <t>68-103810-02</t>
        </is>
      </c>
      <c r="G279" s="43" t="inlineStr">
        <is>
          <t>OTHER_SCOPE_ITEM</t>
        </is>
      </c>
      <c r="H279" s="43" t="inlineStr"/>
      <c r="I279" s="43" t="inlineStr">
        <is>
          <t>Expired</t>
        </is>
      </c>
      <c r="J279" s="32" t="n">
        <v>45902</v>
      </c>
      <c r="K279" s="32" t="n">
        <v>45853</v>
      </c>
      <c r="L279" s="43" t="inlineStr">
        <is>
          <t>1465</t>
        </is>
      </c>
      <c r="M279" s="43" t="n">
        <v>1</v>
      </c>
      <c r="N279" s="33" t="inlineStr"/>
      <c r="O279" s="43" t="inlineStr">
        <is>
          <t>UNVERIFIED</t>
        </is>
      </c>
      <c r="P279" s="43" t="inlineStr">
        <is>
          <t>Pending Review</t>
        </is>
      </c>
      <c r="Q279" s="33" t="inlineStr">
        <is>
          <t>Confirmar SKU/PCBA revision, PN exacto en Common DB, WO, BU, vigencia, planta y aprobacion firmada.</t>
        </is>
      </c>
    </row>
    <row r="280">
      <c r="A280" s="43" t="inlineStr">
        <is>
          <t>CTANJZ04648</t>
        </is>
      </c>
      <c r="B280" s="43" t="inlineStr">
        <is>
          <t>D604046</t>
        </is>
      </c>
      <c r="C280" s="43" t="inlineStr">
        <is>
          <t>037-STBU</t>
        </is>
      </c>
      <c r="D280" s="43" t="inlineStr">
        <is>
          <t>FJZP</t>
        </is>
      </c>
      <c r="E280" s="43" t="inlineStr">
        <is>
          <t>MCGA</t>
        </is>
      </c>
      <c r="F280" s="43" t="inlineStr">
        <is>
          <t>20-0443-01</t>
        </is>
      </c>
      <c r="G280" s="43" t="inlineStr">
        <is>
          <t>OTHER_SCOPE_ITEM</t>
        </is>
      </c>
      <c r="H280" s="43" t="inlineStr"/>
      <c r="I280" s="43" t="inlineStr">
        <is>
          <t>Expired</t>
        </is>
      </c>
      <c r="J280" s="32" t="n">
        <v>45902</v>
      </c>
      <c r="K280" s="32" t="n">
        <v>45834</v>
      </c>
      <c r="L280" s="43" t="inlineStr">
        <is>
          <t>1419</t>
        </is>
      </c>
      <c r="M280" s="43" t="n">
        <v>1</v>
      </c>
      <c r="N280" s="33" t="inlineStr"/>
      <c r="O280" s="43" t="inlineStr">
        <is>
          <t>UNVERIFIED</t>
        </is>
      </c>
      <c r="P280" s="43" t="inlineStr">
        <is>
          <t>Pending Review</t>
        </is>
      </c>
      <c r="Q280" s="33" t="inlineStr">
        <is>
          <t>Confirmar SKU/PCBA revision, PN exacto en Common DB, WO, BU, vigencia, planta y aprobacion firmada.</t>
        </is>
      </c>
    </row>
    <row r="281">
      <c r="A281" s="43" t="inlineStr">
        <is>
          <t>CTANJZ04648</t>
        </is>
      </c>
      <c r="B281" s="43" t="inlineStr">
        <is>
          <t>D604046</t>
        </is>
      </c>
      <c r="C281" s="43" t="inlineStr">
        <is>
          <t>037-STBU</t>
        </is>
      </c>
      <c r="D281" s="43" t="inlineStr">
        <is>
          <t>FJZP</t>
        </is>
      </c>
      <c r="E281" s="43" t="inlineStr">
        <is>
          <t>MCGA</t>
        </is>
      </c>
      <c r="F281" s="43" t="inlineStr">
        <is>
          <t>68-6805-03</t>
        </is>
      </c>
      <c r="G281" s="43" t="inlineStr">
        <is>
          <t>OTHER_SCOPE_ITEM</t>
        </is>
      </c>
      <c r="H281" s="43" t="inlineStr"/>
      <c r="I281" s="43" t="inlineStr">
        <is>
          <t>Expired</t>
        </is>
      </c>
      <c r="J281" s="32" t="n">
        <v>45902</v>
      </c>
      <c r="K281" s="32" t="n">
        <v>45834</v>
      </c>
      <c r="L281" s="43" t="inlineStr">
        <is>
          <t>1420</t>
        </is>
      </c>
      <c r="M281" s="43" t="n">
        <v>1</v>
      </c>
      <c r="N281" s="33" t="inlineStr"/>
      <c r="O281" s="43" t="inlineStr">
        <is>
          <t>UNVERIFIED</t>
        </is>
      </c>
      <c r="P281" s="43" t="inlineStr">
        <is>
          <t>Pending Review</t>
        </is>
      </c>
      <c r="Q281" s="33" t="inlineStr">
        <is>
          <t>Confirmar SKU/PCBA revision, PN exacto en Common DB, WO, BU, vigencia, planta y aprobacion firmada.</t>
        </is>
      </c>
    </row>
    <row r="282">
      <c r="A282" s="43" t="inlineStr">
        <is>
          <t>CTANJZ04648</t>
        </is>
      </c>
      <c r="B282" s="43" t="inlineStr">
        <is>
          <t>D604046</t>
        </is>
      </c>
      <c r="C282" s="43" t="inlineStr">
        <is>
          <t>037-STBU</t>
        </is>
      </c>
      <c r="D282" s="43" t="inlineStr">
        <is>
          <t>FJZP</t>
        </is>
      </c>
      <c r="E282" s="43" t="inlineStr">
        <is>
          <t>MCGA</t>
        </is>
      </c>
      <c r="F282" s="43" t="inlineStr">
        <is>
          <t>73-17497-04</t>
        </is>
      </c>
      <c r="G282" s="43" t="inlineStr">
        <is>
          <t>BOARD_PN_CANDIDATE</t>
        </is>
      </c>
      <c r="H282" s="43" t="inlineStr"/>
      <c r="I282" s="43" t="inlineStr">
        <is>
          <t>Expired</t>
        </is>
      </c>
      <c r="J282" s="32" t="n">
        <v>45902</v>
      </c>
      <c r="K282" s="32" t="n">
        <v>45834</v>
      </c>
      <c r="L282" s="43" t="inlineStr">
        <is>
          <t>1421</t>
        </is>
      </c>
      <c r="M282" s="43" t="n">
        <v>1</v>
      </c>
      <c r="N282" s="33" t="inlineStr"/>
      <c r="O282" s="43" t="inlineStr">
        <is>
          <t>UNVERIFIED</t>
        </is>
      </c>
      <c r="P282" s="43" t="inlineStr">
        <is>
          <t>Pending Review</t>
        </is>
      </c>
      <c r="Q282" s="33" t="inlineStr">
        <is>
          <t>Confirmar SKU/PCBA revision, PN exacto en Common DB, WO, BU, vigencia, planta y aprobacion firmada.</t>
        </is>
      </c>
    </row>
    <row r="283">
      <c r="A283" s="43" t="inlineStr">
        <is>
          <t>CTANJZ04648</t>
        </is>
      </c>
      <c r="B283" s="43" t="inlineStr">
        <is>
          <t>D604046</t>
        </is>
      </c>
      <c r="C283" s="43" t="inlineStr">
        <is>
          <t>037-STBU</t>
        </is>
      </c>
      <c r="D283" s="43" t="inlineStr">
        <is>
          <t>FJZP</t>
        </is>
      </c>
      <c r="E283" s="43" t="inlineStr">
        <is>
          <t>MCGA</t>
        </is>
      </c>
      <c r="F283" s="43" t="inlineStr">
        <is>
          <t>800-105500-03</t>
        </is>
      </c>
      <c r="G283" s="43" t="inlineStr">
        <is>
          <t>OTHER_SCOPE_ITEM</t>
        </is>
      </c>
      <c r="H283" s="43" t="inlineStr"/>
      <c r="I283" s="43" t="inlineStr">
        <is>
          <t>Expired</t>
        </is>
      </c>
      <c r="J283" s="32" t="n">
        <v>45902</v>
      </c>
      <c r="K283" s="32" t="n">
        <v>45834</v>
      </c>
      <c r="L283" s="43" t="inlineStr">
        <is>
          <t>1422</t>
        </is>
      </c>
      <c r="M283" s="43" t="n">
        <v>1</v>
      </c>
      <c r="N283" s="33" t="inlineStr"/>
      <c r="O283" s="43" t="inlineStr">
        <is>
          <t>UNVERIFIED</t>
        </is>
      </c>
      <c r="P283" s="43" t="inlineStr">
        <is>
          <t>Pending Review</t>
        </is>
      </c>
      <c r="Q283" s="33" t="inlineStr">
        <is>
          <t>Confirmar SKU/PCBA revision, PN exacto en Common DB, WO, BU, vigencia, planta y aprobacion firmada.</t>
        </is>
      </c>
    </row>
    <row r="284">
      <c r="A284" s="43" t="inlineStr">
        <is>
          <t>CTANJZ04649</t>
        </is>
      </c>
      <c r="B284" s="43" t="inlineStr">
        <is>
          <t>D604092</t>
        </is>
      </c>
      <c r="C284" s="43" t="inlineStr">
        <is>
          <t>037-STBU</t>
        </is>
      </c>
      <c r="D284" s="43" t="inlineStr">
        <is>
          <t>FJZP</t>
        </is>
      </c>
      <c r="E284" s="43" t="inlineStr">
        <is>
          <t>MCGA</t>
        </is>
      </c>
      <c r="F284" s="43" t="inlineStr">
        <is>
          <t>20-0187-01</t>
        </is>
      </c>
      <c r="G284" s="43" t="inlineStr">
        <is>
          <t>OTHER_SCOPE_ITEM</t>
        </is>
      </c>
      <c r="H284" s="43" t="inlineStr"/>
      <c r="I284" s="43" t="inlineStr">
        <is>
          <t>Expired</t>
        </is>
      </c>
      <c r="J284" s="32" t="n">
        <v>45902</v>
      </c>
      <c r="K284" s="32" t="n">
        <v>45834</v>
      </c>
      <c r="L284" s="43" t="inlineStr">
        <is>
          <t>1415</t>
        </is>
      </c>
      <c r="M284" s="43" t="n">
        <v>1</v>
      </c>
      <c r="N284" s="33" t="inlineStr"/>
      <c r="O284" s="43" t="inlineStr">
        <is>
          <t>UNVERIFIED</t>
        </is>
      </c>
      <c r="P284" s="43" t="inlineStr">
        <is>
          <t>Pending Review</t>
        </is>
      </c>
      <c r="Q284" s="33" t="inlineStr">
        <is>
          <t>Confirmar SKU/PCBA revision, PN exacto en Common DB, WO, BU, vigencia, planta y aprobacion firmada.</t>
        </is>
      </c>
    </row>
    <row r="285">
      <c r="A285" s="43" t="inlineStr">
        <is>
          <t>CTANJZ04649</t>
        </is>
      </c>
      <c r="B285" s="43" t="inlineStr">
        <is>
          <t>D604092</t>
        </is>
      </c>
      <c r="C285" s="43" t="inlineStr">
        <is>
          <t>037-STBU</t>
        </is>
      </c>
      <c r="D285" s="43" t="inlineStr">
        <is>
          <t>FJZP</t>
        </is>
      </c>
      <c r="E285" s="43" t="inlineStr">
        <is>
          <t>MCGA</t>
        </is>
      </c>
      <c r="F285" s="43" t="inlineStr">
        <is>
          <t>68-6804-03</t>
        </is>
      </c>
      <c r="G285" s="43" t="inlineStr">
        <is>
          <t>OTHER_SCOPE_ITEM</t>
        </is>
      </c>
      <c r="H285" s="43" t="inlineStr"/>
      <c r="I285" s="43" t="inlineStr">
        <is>
          <t>Expired</t>
        </is>
      </c>
      <c r="J285" s="32" t="n">
        <v>45902</v>
      </c>
      <c r="K285" s="32" t="n">
        <v>45834</v>
      </c>
      <c r="L285" s="43" t="inlineStr">
        <is>
          <t>1416</t>
        </is>
      </c>
      <c r="M285" s="43" t="n">
        <v>1</v>
      </c>
      <c r="N285" s="33" t="inlineStr"/>
      <c r="O285" s="43" t="inlineStr">
        <is>
          <t>UNVERIFIED</t>
        </is>
      </c>
      <c r="P285" s="43" t="inlineStr">
        <is>
          <t>Pending Review</t>
        </is>
      </c>
      <c r="Q285" s="33" t="inlineStr">
        <is>
          <t>Confirmar SKU/PCBA revision, PN exacto en Common DB, WO, BU, vigencia, planta y aprobacion firmada.</t>
        </is>
      </c>
    </row>
    <row r="286">
      <c r="A286" s="43" t="inlineStr">
        <is>
          <t>CTANJZ04649</t>
        </is>
      </c>
      <c r="B286" s="43" t="inlineStr">
        <is>
          <t>D604092</t>
        </is>
      </c>
      <c r="C286" s="43" t="inlineStr">
        <is>
          <t>037-STBU</t>
        </is>
      </c>
      <c r="D286" s="43" t="inlineStr">
        <is>
          <t>FJZP</t>
        </is>
      </c>
      <c r="E286" s="43" t="inlineStr">
        <is>
          <t>MCGA</t>
        </is>
      </c>
      <c r="F286" s="43" t="inlineStr">
        <is>
          <t>73-17498-04</t>
        </is>
      </c>
      <c r="G286" s="43" t="inlineStr">
        <is>
          <t>BOARD_PN_CANDIDATE</t>
        </is>
      </c>
      <c r="H286" s="43" t="inlineStr"/>
      <c r="I286" s="43" t="inlineStr">
        <is>
          <t>Expired</t>
        </is>
      </c>
      <c r="J286" s="32" t="n">
        <v>45902</v>
      </c>
      <c r="K286" s="32" t="n">
        <v>45834</v>
      </c>
      <c r="L286" s="43" t="inlineStr">
        <is>
          <t>1417</t>
        </is>
      </c>
      <c r="M286" s="43" t="n">
        <v>1</v>
      </c>
      <c r="N286" s="33" t="inlineStr"/>
      <c r="O286" s="43" t="inlineStr">
        <is>
          <t>UNVERIFIED</t>
        </is>
      </c>
      <c r="P286" s="43" t="inlineStr">
        <is>
          <t>Pending Review</t>
        </is>
      </c>
      <c r="Q286" s="33" t="inlineStr">
        <is>
          <t>Confirmar SKU/PCBA revision, PN exacto en Common DB, WO, BU, vigencia, planta y aprobacion firmada.</t>
        </is>
      </c>
    </row>
    <row r="287">
      <c r="A287" s="43" t="inlineStr">
        <is>
          <t>CTANJZ04649</t>
        </is>
      </c>
      <c r="B287" s="43" t="inlineStr">
        <is>
          <t>D604092</t>
        </is>
      </c>
      <c r="C287" s="43" t="inlineStr">
        <is>
          <t>037-STBU</t>
        </is>
      </c>
      <c r="D287" s="43" t="inlineStr">
        <is>
          <t>FJZP</t>
        </is>
      </c>
      <c r="E287" s="43" t="inlineStr">
        <is>
          <t>MCGA</t>
        </is>
      </c>
      <c r="F287" s="43" t="inlineStr">
        <is>
          <t>800-105499-03</t>
        </is>
      </c>
      <c r="G287" s="43" t="inlineStr">
        <is>
          <t>OTHER_SCOPE_ITEM</t>
        </is>
      </c>
      <c r="H287" s="43" t="inlineStr"/>
      <c r="I287" s="43" t="inlineStr">
        <is>
          <t>Expired</t>
        </is>
      </c>
      <c r="J287" s="32" t="n">
        <v>45902</v>
      </c>
      <c r="K287" s="32" t="n">
        <v>45834</v>
      </c>
      <c r="L287" s="43" t="inlineStr">
        <is>
          <t>1418</t>
        </is>
      </c>
      <c r="M287" s="43" t="n">
        <v>1</v>
      </c>
      <c r="N287" s="33" t="inlineStr"/>
      <c r="O287" s="43" t="inlineStr">
        <is>
          <t>UNVERIFIED</t>
        </is>
      </c>
      <c r="P287" s="43" t="inlineStr">
        <is>
          <t>Pending Review</t>
        </is>
      </c>
      <c r="Q287" s="33" t="inlineStr">
        <is>
          <t>Confirmar SKU/PCBA revision, PN exacto en Common DB, WO, BU, vigencia, planta y aprobacion firmada.</t>
        </is>
      </c>
    </row>
    <row r="288">
      <c r="A288" s="43" t="inlineStr">
        <is>
          <t>CTANJZ04650</t>
        </is>
      </c>
      <c r="B288" s="43" t="inlineStr">
        <is>
          <t>D604195</t>
        </is>
      </c>
      <c r="C288" s="43" t="inlineStr">
        <is>
          <t>037-STBU</t>
        </is>
      </c>
      <c r="D288" s="43" t="inlineStr">
        <is>
          <t>FJZP</t>
        </is>
      </c>
      <c r="E288" s="43" t="inlineStr">
        <is>
          <t>MCGA</t>
        </is>
      </c>
      <c r="F288" s="43" t="inlineStr">
        <is>
          <t>24-3133-01</t>
        </is>
      </c>
      <c r="G288" s="43" t="inlineStr">
        <is>
          <t>OTHER_SCOPE_ITEM</t>
        </is>
      </c>
      <c r="H288" s="43" t="inlineStr"/>
      <c r="I288" s="43" t="inlineStr">
        <is>
          <t>Expired</t>
        </is>
      </c>
      <c r="J288" s="32" t="n">
        <v>45902</v>
      </c>
      <c r="K288" s="32" t="n">
        <v>45839</v>
      </c>
      <c r="L288" s="43" t="inlineStr">
        <is>
          <t>1470</t>
        </is>
      </c>
      <c r="M288" s="43" t="n">
        <v>1</v>
      </c>
      <c r="N288" s="33" t="inlineStr"/>
      <c r="O288" s="43" t="inlineStr">
        <is>
          <t>UNVERIFIED</t>
        </is>
      </c>
      <c r="P288" s="43" t="inlineStr">
        <is>
          <t>Pending Review</t>
        </is>
      </c>
      <c r="Q288" s="33" t="inlineStr">
        <is>
          <t>Confirmar SKU/PCBA revision, PN exacto en Common DB, WO, BU, vigencia, planta y aprobacion firmada.</t>
        </is>
      </c>
    </row>
    <row r="289">
      <c r="A289" s="43" t="inlineStr">
        <is>
          <t>CTANJZ04650</t>
        </is>
      </c>
      <c r="B289" s="43" t="inlineStr">
        <is>
          <t>D604195</t>
        </is>
      </c>
      <c r="C289" s="43" t="inlineStr">
        <is>
          <t>037-STBU</t>
        </is>
      </c>
      <c r="D289" s="43" t="inlineStr">
        <is>
          <t>FJZP</t>
        </is>
      </c>
      <c r="E289" s="43" t="inlineStr">
        <is>
          <t>MCGA</t>
        </is>
      </c>
      <c r="F289" s="43" t="inlineStr">
        <is>
          <t>68-6804-03</t>
        </is>
      </c>
      <c r="G289" s="43" t="inlineStr">
        <is>
          <t>OTHER_SCOPE_ITEM</t>
        </is>
      </c>
      <c r="H289" s="43" t="inlineStr"/>
      <c r="I289" s="43" t="inlineStr">
        <is>
          <t>Expired</t>
        </is>
      </c>
      <c r="J289" s="32" t="n">
        <v>45902</v>
      </c>
      <c r="K289" s="32" t="n">
        <v>45839</v>
      </c>
      <c r="L289" s="43" t="inlineStr">
        <is>
          <t>1457</t>
        </is>
      </c>
      <c r="M289" s="43" t="n">
        <v>1</v>
      </c>
      <c r="N289" s="33" t="inlineStr"/>
      <c r="O289" s="43" t="inlineStr">
        <is>
          <t>UNVERIFIED</t>
        </is>
      </c>
      <c r="P289" s="43" t="inlineStr">
        <is>
          <t>Pending Review</t>
        </is>
      </c>
      <c r="Q289" s="33" t="inlineStr">
        <is>
          <t>Confirmar SKU/PCBA revision, PN exacto en Common DB, WO, BU, vigencia, planta y aprobacion firmada.</t>
        </is>
      </c>
    </row>
    <row r="290">
      <c r="A290" s="43" t="inlineStr">
        <is>
          <t>CTANJZ04650</t>
        </is>
      </c>
      <c r="B290" s="43" t="inlineStr">
        <is>
          <t>D604195</t>
        </is>
      </c>
      <c r="C290" s="43" t="inlineStr">
        <is>
          <t>037-STBU</t>
        </is>
      </c>
      <c r="D290" s="43" t="inlineStr">
        <is>
          <t>FJZP</t>
        </is>
      </c>
      <c r="E290" s="43" t="inlineStr">
        <is>
          <t>MCGA</t>
        </is>
      </c>
      <c r="F290" s="43" t="inlineStr">
        <is>
          <t>73-17499-07</t>
        </is>
      </c>
      <c r="G290" s="43" t="inlineStr">
        <is>
          <t>BOARD_PN_CANDIDATE</t>
        </is>
      </c>
      <c r="H290" s="43" t="inlineStr"/>
      <c r="I290" s="43" t="inlineStr">
        <is>
          <t>Expired</t>
        </is>
      </c>
      <c r="J290" s="32" t="n">
        <v>45902</v>
      </c>
      <c r="K290" s="32" t="n">
        <v>45839</v>
      </c>
      <c r="L290" s="43" t="inlineStr">
        <is>
          <t>1458</t>
        </is>
      </c>
      <c r="M290" s="43" t="n">
        <v>1</v>
      </c>
      <c r="N290" s="33" t="inlineStr"/>
      <c r="O290" s="43" t="inlineStr">
        <is>
          <t>UNVERIFIED</t>
        </is>
      </c>
      <c r="P290" s="43" t="inlineStr">
        <is>
          <t>Pending Review</t>
        </is>
      </c>
      <c r="Q290" s="33" t="inlineStr">
        <is>
          <t>Confirmar SKU/PCBA revision, PN exacto en Common DB, WO, BU, vigencia, planta y aprobacion firmada.</t>
        </is>
      </c>
    </row>
    <row r="291">
      <c r="A291" s="43" t="inlineStr">
        <is>
          <t>CTANJZ04650</t>
        </is>
      </c>
      <c r="B291" s="43" t="inlineStr">
        <is>
          <t>D604195</t>
        </is>
      </c>
      <c r="C291" s="43" t="inlineStr">
        <is>
          <t>037-STBU</t>
        </is>
      </c>
      <c r="D291" s="43" t="inlineStr">
        <is>
          <t>FJZP</t>
        </is>
      </c>
      <c r="E291" s="43" t="inlineStr">
        <is>
          <t>MCGA</t>
        </is>
      </c>
      <c r="F291" s="43" t="inlineStr">
        <is>
          <t>800-105499-03</t>
        </is>
      </c>
      <c r="G291" s="43" t="inlineStr">
        <is>
          <t>OTHER_SCOPE_ITEM</t>
        </is>
      </c>
      <c r="H291" s="43" t="inlineStr"/>
      <c r="I291" s="43" t="inlineStr">
        <is>
          <t>Expired</t>
        </is>
      </c>
      <c r="J291" s="32" t="n">
        <v>45902</v>
      </c>
      <c r="K291" s="32" t="n">
        <v>45839</v>
      </c>
      <c r="L291" s="43" t="inlineStr">
        <is>
          <t>1459</t>
        </is>
      </c>
      <c r="M291" s="43" t="n">
        <v>1</v>
      </c>
      <c r="N291" s="33" t="inlineStr"/>
      <c r="O291" s="43" t="inlineStr">
        <is>
          <t>UNVERIFIED</t>
        </is>
      </c>
      <c r="P291" s="43" t="inlineStr">
        <is>
          <t>Pending Review</t>
        </is>
      </c>
      <c r="Q291" s="33" t="inlineStr">
        <is>
          <t>Confirmar SKU/PCBA revision, PN exacto en Common DB, WO, BU, vigencia, planta y aprobacion firmada.</t>
        </is>
      </c>
    </row>
    <row r="292">
      <c r="A292" s="43" t="inlineStr">
        <is>
          <t>CTANJZ04651</t>
        </is>
      </c>
      <c r="B292" s="43" t="inlineStr">
        <is>
          <t>DP524724</t>
        </is>
      </c>
      <c r="C292" s="43" t="inlineStr">
        <is>
          <t>037-STBU</t>
        </is>
      </c>
      <c r="D292" s="43" t="inlineStr">
        <is>
          <t>FJZP</t>
        </is>
      </c>
      <c r="E292" s="43" t="inlineStr">
        <is>
          <t>MCGA</t>
        </is>
      </c>
      <c r="F292" s="43" t="inlineStr">
        <is>
          <t>68-104574-03</t>
        </is>
      </c>
      <c r="G292" s="43" t="inlineStr">
        <is>
          <t>OTHER_SCOPE_ITEM</t>
        </is>
      </c>
      <c r="H292" s="43" t="inlineStr"/>
      <c r="I292" s="43" t="inlineStr">
        <is>
          <t>Expired</t>
        </is>
      </c>
      <c r="J292" s="32" t="n">
        <v>45873</v>
      </c>
      <c r="K292" s="32" t="n">
        <v>45834</v>
      </c>
      <c r="L292" s="43" t="inlineStr">
        <is>
          <t>690</t>
        </is>
      </c>
      <c r="M292" s="43" t="n">
        <v>1</v>
      </c>
      <c r="N292" s="33" t="inlineStr"/>
      <c r="O292" s="43" t="inlineStr">
        <is>
          <t>UNVERIFIED</t>
        </is>
      </c>
      <c r="P292" s="43" t="inlineStr">
        <is>
          <t>Pending Review</t>
        </is>
      </c>
      <c r="Q292" s="33" t="inlineStr">
        <is>
          <t>Confirmar SKU/PCBA revision, PN exacto en Common DB, WO, BU, vigencia, planta y aprobacion firmada.</t>
        </is>
      </c>
    </row>
    <row r="293">
      <c r="A293" s="43" t="inlineStr">
        <is>
          <t>CTANJZ04651</t>
        </is>
      </c>
      <c r="B293" s="43" t="inlineStr">
        <is>
          <t>DP524724</t>
        </is>
      </c>
      <c r="C293" s="43" t="inlineStr">
        <is>
          <t>037-STBU</t>
        </is>
      </c>
      <c r="D293" s="43" t="inlineStr">
        <is>
          <t>FJZP</t>
        </is>
      </c>
      <c r="E293" s="43" t="inlineStr">
        <is>
          <t>MCGA</t>
        </is>
      </c>
      <c r="F293" s="43" t="inlineStr">
        <is>
          <t>68-104576-03</t>
        </is>
      </c>
      <c r="G293" s="43" t="inlineStr">
        <is>
          <t>OTHER_SCOPE_ITEM</t>
        </is>
      </c>
      <c r="H293" s="43" t="inlineStr"/>
      <c r="I293" s="43" t="inlineStr">
        <is>
          <t>Expired</t>
        </is>
      </c>
      <c r="J293" s="32" t="n">
        <v>45873</v>
      </c>
      <c r="K293" s="32" t="n">
        <v>45834</v>
      </c>
      <c r="L293" s="43" t="inlineStr">
        <is>
          <t>691</t>
        </is>
      </c>
      <c r="M293" s="43" t="n">
        <v>1</v>
      </c>
      <c r="N293" s="33" t="inlineStr"/>
      <c r="O293" s="43" t="inlineStr">
        <is>
          <t>UNVERIFIED</t>
        </is>
      </c>
      <c r="P293" s="43" t="inlineStr">
        <is>
          <t>Pending Review</t>
        </is>
      </c>
      <c r="Q293" s="33" t="inlineStr">
        <is>
          <t>Confirmar SKU/PCBA revision, PN exacto en Common DB, WO, BU, vigencia, planta y aprobacion firmada.</t>
        </is>
      </c>
    </row>
    <row r="294">
      <c r="A294" s="43" t="inlineStr">
        <is>
          <t>CTANJZ04651</t>
        </is>
      </c>
      <c r="B294" s="43" t="inlineStr">
        <is>
          <t>DP524724</t>
        </is>
      </c>
      <c r="C294" s="43" t="inlineStr">
        <is>
          <t>037-STBU</t>
        </is>
      </c>
      <c r="D294" s="43" t="inlineStr">
        <is>
          <t>FJZP</t>
        </is>
      </c>
      <c r="E294" s="43" t="inlineStr">
        <is>
          <t>MCGA</t>
        </is>
      </c>
      <c r="F294" s="43" t="inlineStr">
        <is>
          <t>68-104621-03</t>
        </is>
      </c>
      <c r="G294" s="43" t="inlineStr">
        <is>
          <t>OTHER_SCOPE_ITEM</t>
        </is>
      </c>
      <c r="H294" s="43" t="inlineStr"/>
      <c r="I294" s="43" t="inlineStr">
        <is>
          <t>Expired</t>
        </is>
      </c>
      <c r="J294" s="32" t="n">
        <v>45873</v>
      </c>
      <c r="K294" s="32" t="n">
        <v>45834</v>
      </c>
      <c r="L294" s="43" t="inlineStr">
        <is>
          <t>692</t>
        </is>
      </c>
      <c r="M294" s="43" t="n">
        <v>1</v>
      </c>
      <c r="N294" s="33" t="inlineStr"/>
      <c r="O294" s="43" t="inlineStr">
        <is>
          <t>UNVERIFIED</t>
        </is>
      </c>
      <c r="P294" s="43" t="inlineStr">
        <is>
          <t>Pending Review</t>
        </is>
      </c>
      <c r="Q294" s="33" t="inlineStr">
        <is>
          <t>Confirmar SKU/PCBA revision, PN exacto en Common DB, WO, BU, vigencia, planta y aprobacion firmada.</t>
        </is>
      </c>
    </row>
    <row r="295">
      <c r="A295" s="43" t="inlineStr">
        <is>
          <t>CTANJZ04651</t>
        </is>
      </c>
      <c r="B295" s="43" t="inlineStr">
        <is>
          <t>DP524724</t>
        </is>
      </c>
      <c r="C295" s="43" t="inlineStr">
        <is>
          <t>037-STBU</t>
        </is>
      </c>
      <c r="D295" s="43" t="inlineStr">
        <is>
          <t>FJZP</t>
        </is>
      </c>
      <c r="E295" s="43" t="inlineStr">
        <is>
          <t>MCGA</t>
        </is>
      </c>
      <c r="F295" s="43" t="inlineStr">
        <is>
          <t>73-103557-03</t>
        </is>
      </c>
      <c r="G295" s="43" t="inlineStr">
        <is>
          <t>BOARD_PN_CANDIDATE</t>
        </is>
      </c>
      <c r="H295" s="43" t="inlineStr"/>
      <c r="I295" s="43" t="inlineStr">
        <is>
          <t>Expired</t>
        </is>
      </c>
      <c r="J295" s="32" t="n">
        <v>45873</v>
      </c>
      <c r="K295" s="32" t="n">
        <v>45834</v>
      </c>
      <c r="L295" s="43" t="inlineStr">
        <is>
          <t>693</t>
        </is>
      </c>
      <c r="M295" s="43" t="n">
        <v>1</v>
      </c>
      <c r="N295" s="33" t="inlineStr"/>
      <c r="O295" s="43" t="inlineStr">
        <is>
          <t>UNVERIFIED</t>
        </is>
      </c>
      <c r="P295" s="43" t="inlineStr">
        <is>
          <t>Pending Review</t>
        </is>
      </c>
      <c r="Q295" s="33" t="inlineStr">
        <is>
          <t>Confirmar SKU/PCBA revision, PN exacto en Common DB, WO, BU, vigencia, planta y aprobacion firmada.</t>
        </is>
      </c>
    </row>
    <row r="296">
      <c r="A296" s="43" t="inlineStr">
        <is>
          <t>CTANJZ04651</t>
        </is>
      </c>
      <c r="B296" s="43" t="inlineStr">
        <is>
          <t>DP524724</t>
        </is>
      </c>
      <c r="C296" s="43" t="inlineStr">
        <is>
          <t>037-STBU</t>
        </is>
      </c>
      <c r="D296" s="43" t="inlineStr">
        <is>
          <t>FJZP</t>
        </is>
      </c>
      <c r="E296" s="43" t="inlineStr">
        <is>
          <t>MCGA</t>
        </is>
      </c>
      <c r="F296" s="43" t="inlineStr">
        <is>
          <t>73-103633-03</t>
        </is>
      </c>
      <c r="G296" s="43" t="inlineStr">
        <is>
          <t>BOARD_PN_CANDIDATE</t>
        </is>
      </c>
      <c r="H296" s="43" t="inlineStr"/>
      <c r="I296" s="43" t="inlineStr">
        <is>
          <t>Expired</t>
        </is>
      </c>
      <c r="J296" s="32" t="n">
        <v>45873</v>
      </c>
      <c r="K296" s="32" t="n">
        <v>45834</v>
      </c>
      <c r="L296" s="43" t="inlineStr">
        <is>
          <t>694</t>
        </is>
      </c>
      <c r="M296" s="43" t="n">
        <v>1</v>
      </c>
      <c r="N296" s="33" t="inlineStr"/>
      <c r="O296" s="43" t="inlineStr">
        <is>
          <t>UNVERIFIED</t>
        </is>
      </c>
      <c r="P296" s="43" t="inlineStr">
        <is>
          <t>Pending Review</t>
        </is>
      </c>
      <c r="Q296" s="33" t="inlineStr">
        <is>
          <t>Confirmar SKU/PCBA revision, PN exacto en Common DB, WO, BU, vigencia, planta y aprobacion firmada.</t>
        </is>
      </c>
    </row>
    <row r="297">
      <c r="A297" s="43" t="inlineStr">
        <is>
          <t>CTANJZ04651</t>
        </is>
      </c>
      <c r="B297" s="43" t="inlineStr">
        <is>
          <t>DP524724</t>
        </is>
      </c>
      <c r="C297" s="43" t="inlineStr">
        <is>
          <t>037-STBU</t>
        </is>
      </c>
      <c r="D297" s="43" t="inlineStr">
        <is>
          <t>FJZP</t>
        </is>
      </c>
      <c r="E297" s="43" t="inlineStr">
        <is>
          <t>MCGA</t>
        </is>
      </c>
      <c r="F297" s="43" t="inlineStr">
        <is>
          <t>800-112581-03</t>
        </is>
      </c>
      <c r="G297" s="43" t="inlineStr">
        <is>
          <t>OTHER_SCOPE_ITEM</t>
        </is>
      </c>
      <c r="H297" s="43" t="inlineStr"/>
      <c r="I297" s="43" t="inlineStr">
        <is>
          <t>Expired</t>
        </is>
      </c>
      <c r="J297" s="32" t="n">
        <v>45873</v>
      </c>
      <c r="K297" s="32" t="n">
        <v>45834</v>
      </c>
      <c r="L297" s="43" t="inlineStr">
        <is>
          <t>724</t>
        </is>
      </c>
      <c r="M297" s="43" t="n">
        <v>1</v>
      </c>
      <c r="N297" s="33" t="inlineStr"/>
      <c r="O297" s="43" t="inlineStr">
        <is>
          <t>UNVERIFIED</t>
        </is>
      </c>
      <c r="P297" s="43" t="inlineStr">
        <is>
          <t>Pending Review</t>
        </is>
      </c>
      <c r="Q297" s="33" t="inlineStr">
        <is>
          <t>Confirmar SKU/PCBA revision, PN exacto en Common DB, WO, BU, vigencia, planta y aprobacion firmada.</t>
        </is>
      </c>
    </row>
    <row r="298">
      <c r="A298" s="43" t="inlineStr">
        <is>
          <t>CTANJZ04651</t>
        </is>
      </c>
      <c r="B298" s="43" t="inlineStr">
        <is>
          <t>DP524724</t>
        </is>
      </c>
      <c r="C298" s="43" t="inlineStr">
        <is>
          <t>037-STBU</t>
        </is>
      </c>
      <c r="D298" s="43" t="inlineStr">
        <is>
          <t>FJZP</t>
        </is>
      </c>
      <c r="E298" s="43" t="inlineStr">
        <is>
          <t>MCGA</t>
        </is>
      </c>
      <c r="F298" s="43" t="inlineStr">
        <is>
          <t>800-112583-03</t>
        </is>
      </c>
      <c r="G298" s="43" t="inlineStr">
        <is>
          <t>OTHER_SCOPE_ITEM</t>
        </is>
      </c>
      <c r="H298" s="43" t="inlineStr"/>
      <c r="I298" s="43" t="inlineStr">
        <is>
          <t>Expired</t>
        </is>
      </c>
      <c r="J298" s="32" t="n">
        <v>45873</v>
      </c>
      <c r="K298" s="32" t="n">
        <v>45834</v>
      </c>
      <c r="L298" s="43" t="inlineStr">
        <is>
          <t>725</t>
        </is>
      </c>
      <c r="M298" s="43" t="n">
        <v>1</v>
      </c>
      <c r="N298" s="33" t="inlineStr"/>
      <c r="O298" s="43" t="inlineStr">
        <is>
          <t>UNVERIFIED</t>
        </is>
      </c>
      <c r="P298" s="43" t="inlineStr">
        <is>
          <t>Pending Review</t>
        </is>
      </c>
      <c r="Q298" s="33" t="inlineStr">
        <is>
          <t>Confirmar SKU/PCBA revision, PN exacto en Common DB, WO, BU, vigencia, planta y aprobacion firmada.</t>
        </is>
      </c>
    </row>
    <row r="299">
      <c r="A299" s="43" t="inlineStr">
        <is>
          <t>CTANJZ04651</t>
        </is>
      </c>
      <c r="B299" s="43" t="inlineStr">
        <is>
          <t>DP524724</t>
        </is>
      </c>
      <c r="C299" s="43" t="inlineStr">
        <is>
          <t>037-STBU</t>
        </is>
      </c>
      <c r="D299" s="43" t="inlineStr">
        <is>
          <t>FJZP</t>
        </is>
      </c>
      <c r="E299" s="43" t="inlineStr">
        <is>
          <t>MCGA</t>
        </is>
      </c>
      <c r="F299" s="43" t="inlineStr">
        <is>
          <t>800-112720-03</t>
        </is>
      </c>
      <c r="G299" s="43" t="inlineStr">
        <is>
          <t>OTHER_SCOPE_ITEM</t>
        </is>
      </c>
      <c r="H299" s="43" t="inlineStr"/>
      <c r="I299" s="43" t="inlineStr">
        <is>
          <t>Expired</t>
        </is>
      </c>
      <c r="J299" s="32" t="n">
        <v>45873</v>
      </c>
      <c r="K299" s="32" t="n">
        <v>45834</v>
      </c>
      <c r="L299" s="43" t="inlineStr">
        <is>
          <t>726</t>
        </is>
      </c>
      <c r="M299" s="43" t="n">
        <v>1</v>
      </c>
      <c r="N299" s="33" t="inlineStr"/>
      <c r="O299" s="43" t="inlineStr">
        <is>
          <t>UNVERIFIED</t>
        </is>
      </c>
      <c r="P299" s="43" t="inlineStr">
        <is>
          <t>Pending Review</t>
        </is>
      </c>
      <c r="Q299" s="33" t="inlineStr">
        <is>
          <t>Confirmar SKU/PCBA revision, PN exacto en Common DB, WO, BU, vigencia, planta y aprobacion firmada.</t>
        </is>
      </c>
    </row>
    <row r="300">
      <c r="A300" s="43" t="inlineStr">
        <is>
          <t>CTANJZ04652</t>
        </is>
      </c>
      <c r="B300" s="43" t="inlineStr">
        <is>
          <t>DP524450</t>
        </is>
      </c>
      <c r="C300" s="43" t="inlineStr">
        <is>
          <t>037-STBU</t>
        </is>
      </c>
      <c r="D300" s="43" t="inlineStr">
        <is>
          <t>FJZP</t>
        </is>
      </c>
      <c r="E300" s="43" t="inlineStr">
        <is>
          <t>MCGA</t>
        </is>
      </c>
      <c r="F300" s="43" t="inlineStr">
        <is>
          <t>68-104576-02</t>
        </is>
      </c>
      <c r="G300" s="43" t="inlineStr">
        <is>
          <t>OTHER_SCOPE_ITEM</t>
        </is>
      </c>
      <c r="H300" s="43" t="inlineStr"/>
      <c r="I300" s="43" t="inlineStr">
        <is>
          <t>Expired</t>
        </is>
      </c>
      <c r="J300" s="32" t="n">
        <v>45873</v>
      </c>
      <c r="K300" s="32" t="n">
        <v>45834</v>
      </c>
      <c r="L300" s="43" t="inlineStr">
        <is>
          <t>686</t>
        </is>
      </c>
      <c r="M300" s="43" t="n">
        <v>1</v>
      </c>
      <c r="N300" s="33" t="inlineStr"/>
      <c r="O300" s="43" t="inlineStr">
        <is>
          <t>UNVERIFIED</t>
        </is>
      </c>
      <c r="P300" s="43" t="inlineStr">
        <is>
          <t>Pending Review</t>
        </is>
      </c>
      <c r="Q300" s="33" t="inlineStr">
        <is>
          <t>Confirmar SKU/PCBA revision, PN exacto en Common DB, WO, BU, vigencia, planta y aprobacion firmada.</t>
        </is>
      </c>
    </row>
    <row r="301">
      <c r="A301" s="43" t="inlineStr">
        <is>
          <t>CTANJZ04652</t>
        </is>
      </c>
      <c r="B301" s="43" t="inlineStr">
        <is>
          <t>DP524450</t>
        </is>
      </c>
      <c r="C301" s="43" t="inlineStr">
        <is>
          <t>037-STBU</t>
        </is>
      </c>
      <c r="D301" s="43" t="inlineStr">
        <is>
          <t>FJZP</t>
        </is>
      </c>
      <c r="E301" s="43" t="inlineStr">
        <is>
          <t>MCGA</t>
        </is>
      </c>
      <c r="F301" s="43" t="inlineStr">
        <is>
          <t>68-104621-02</t>
        </is>
      </c>
      <c r="G301" s="43" t="inlineStr">
        <is>
          <t>OTHER_SCOPE_ITEM</t>
        </is>
      </c>
      <c r="H301" s="43" t="inlineStr"/>
      <c r="I301" s="43" t="inlineStr">
        <is>
          <t>Expired</t>
        </is>
      </c>
      <c r="J301" s="32" t="n">
        <v>45873</v>
      </c>
      <c r="K301" s="32" t="n">
        <v>45834</v>
      </c>
      <c r="L301" s="43" t="inlineStr">
        <is>
          <t>687</t>
        </is>
      </c>
      <c r="M301" s="43" t="n">
        <v>1</v>
      </c>
      <c r="N301" s="33" t="inlineStr"/>
      <c r="O301" s="43" t="inlineStr">
        <is>
          <t>UNVERIFIED</t>
        </is>
      </c>
      <c r="P301" s="43" t="inlineStr">
        <is>
          <t>Pending Review</t>
        </is>
      </c>
      <c r="Q301" s="33" t="inlineStr">
        <is>
          <t>Confirmar SKU/PCBA revision, PN exacto en Common DB, WO, BU, vigencia, planta y aprobacion firmada.</t>
        </is>
      </c>
    </row>
    <row r="302">
      <c r="A302" s="43" t="inlineStr">
        <is>
          <t>CTANJZ04652</t>
        </is>
      </c>
      <c r="B302" s="43" t="inlineStr">
        <is>
          <t>DP524450</t>
        </is>
      </c>
      <c r="C302" s="43" t="inlineStr">
        <is>
          <t>037-STBU</t>
        </is>
      </c>
      <c r="D302" s="43" t="inlineStr">
        <is>
          <t>FJZP</t>
        </is>
      </c>
      <c r="E302" s="43" t="inlineStr">
        <is>
          <t>MCGA</t>
        </is>
      </c>
      <c r="F302" s="43" t="inlineStr">
        <is>
          <t>800-112583-02</t>
        </is>
      </c>
      <c r="G302" s="43" t="inlineStr">
        <is>
          <t>OTHER_SCOPE_ITEM</t>
        </is>
      </c>
      <c r="H302" s="43" t="inlineStr"/>
      <c r="I302" s="43" t="inlineStr">
        <is>
          <t>Expired</t>
        </is>
      </c>
      <c r="J302" s="32" t="n">
        <v>45873</v>
      </c>
      <c r="K302" s="32" t="n">
        <v>45834</v>
      </c>
      <c r="L302" s="43" t="inlineStr">
        <is>
          <t>688</t>
        </is>
      </c>
      <c r="M302" s="43" t="n">
        <v>1</v>
      </c>
      <c r="N302" s="33" t="inlineStr"/>
      <c r="O302" s="43" t="inlineStr">
        <is>
          <t>UNVERIFIED</t>
        </is>
      </c>
      <c r="P302" s="43" t="inlineStr">
        <is>
          <t>Pending Review</t>
        </is>
      </c>
      <c r="Q302" s="33" t="inlineStr">
        <is>
          <t>Confirmar SKU/PCBA revision, PN exacto en Common DB, WO, BU, vigencia, planta y aprobacion firmada.</t>
        </is>
      </c>
    </row>
    <row r="303">
      <c r="A303" s="43" t="inlineStr">
        <is>
          <t>CTANJZ04652</t>
        </is>
      </c>
      <c r="B303" s="43" t="inlineStr">
        <is>
          <t>DP524450</t>
        </is>
      </c>
      <c r="C303" s="43" t="inlineStr">
        <is>
          <t>037-STBU</t>
        </is>
      </c>
      <c r="D303" s="43" t="inlineStr">
        <is>
          <t>FJZP</t>
        </is>
      </c>
      <c r="E303" s="43" t="inlineStr">
        <is>
          <t>MCGA</t>
        </is>
      </c>
      <c r="F303" s="43" t="inlineStr">
        <is>
          <t>800-112720-02</t>
        </is>
      </c>
      <c r="G303" s="43" t="inlineStr">
        <is>
          <t>OTHER_SCOPE_ITEM</t>
        </is>
      </c>
      <c r="H303" s="43" t="inlineStr"/>
      <c r="I303" s="43" t="inlineStr">
        <is>
          <t>Expired</t>
        </is>
      </c>
      <c r="J303" s="32" t="n">
        <v>45873</v>
      </c>
      <c r="K303" s="32" t="n">
        <v>45834</v>
      </c>
      <c r="L303" s="43" t="inlineStr">
        <is>
          <t>689</t>
        </is>
      </c>
      <c r="M303" s="43" t="n">
        <v>1</v>
      </c>
      <c r="N303" s="33" t="inlineStr"/>
      <c r="O303" s="43" t="inlineStr">
        <is>
          <t>UNVERIFIED</t>
        </is>
      </c>
      <c r="P303" s="43" t="inlineStr">
        <is>
          <t>Pending Review</t>
        </is>
      </c>
      <c r="Q303" s="33" t="inlineStr">
        <is>
          <t>Confirmar SKU/PCBA revision, PN exacto en Common DB, WO, BU, vigencia, planta y aprobacion firmada.</t>
        </is>
      </c>
    </row>
    <row r="304">
      <c r="A304" s="43" t="inlineStr">
        <is>
          <t>CTANJZ04653</t>
        </is>
      </c>
      <c r="B304" s="43" t="inlineStr">
        <is>
          <t>D604323</t>
        </is>
      </c>
      <c r="C304" s="43" t="inlineStr">
        <is>
          <t>018-SRGBU</t>
        </is>
      </c>
      <c r="D304" s="43" t="inlineStr">
        <is>
          <t>FJZP</t>
        </is>
      </c>
      <c r="E304" s="43" t="inlineStr">
        <is>
          <t>MCGA</t>
        </is>
      </c>
      <c r="F304" s="43" t="inlineStr">
        <is>
          <t>15-107071-01</t>
        </is>
      </c>
      <c r="G304" s="43" t="inlineStr">
        <is>
          <t>OTHER_SCOPE_ITEM</t>
        </is>
      </c>
      <c r="H304" s="43" t="inlineStr"/>
      <c r="I304" s="43" t="inlineStr">
        <is>
          <t>Expired</t>
        </is>
      </c>
      <c r="J304" s="32" t="n">
        <v>45903</v>
      </c>
      <c r="K304" s="32" t="n">
        <v>45826</v>
      </c>
      <c r="L304" s="43" t="inlineStr">
        <is>
          <t>810</t>
        </is>
      </c>
      <c r="M304" s="43" t="n">
        <v>1</v>
      </c>
      <c r="N304" s="33" t="inlineStr"/>
      <c r="O304" s="43" t="inlineStr">
        <is>
          <t>UNVERIFIED</t>
        </is>
      </c>
      <c r="P304" s="43" t="inlineStr">
        <is>
          <t>Pending Review</t>
        </is>
      </c>
      <c r="Q304" s="33" t="inlineStr">
        <is>
          <t>Confirmar SKU/PCBA revision, PN exacto en Common DB, WO, BU, vigencia, planta y aprobacion firmada.</t>
        </is>
      </c>
    </row>
    <row r="305">
      <c r="A305" s="43" t="inlineStr">
        <is>
          <t>CTANJZ04654</t>
        </is>
      </c>
      <c r="B305" s="43" t="inlineStr">
        <is>
          <t>DP524962</t>
        </is>
      </c>
      <c r="C305" s="43" t="inlineStr">
        <is>
          <t>037-STBU</t>
        </is>
      </c>
      <c r="D305" s="43" t="inlineStr">
        <is>
          <t>FJZP</t>
        </is>
      </c>
      <c r="E305" s="43" t="inlineStr">
        <is>
          <t>MCGA</t>
        </is>
      </c>
      <c r="F305" s="43" t="inlineStr">
        <is>
          <t>73-103558-04</t>
        </is>
      </c>
      <c r="G305" s="43" t="inlineStr">
        <is>
          <t>BOARD_PN_CANDIDATE</t>
        </is>
      </c>
      <c r="H305" s="43" t="inlineStr"/>
      <c r="I305" s="43" t="inlineStr">
        <is>
          <t>Expired</t>
        </is>
      </c>
      <c r="J305" s="32" t="n">
        <v>45874</v>
      </c>
      <c r="K305" s="32" t="n">
        <v>45834</v>
      </c>
      <c r="L305" s="43" t="inlineStr">
        <is>
          <t>727</t>
        </is>
      </c>
      <c r="M305" s="43" t="n">
        <v>1</v>
      </c>
      <c r="N305" s="33" t="inlineStr"/>
      <c r="O305" s="43" t="inlineStr">
        <is>
          <t>UNVERIFIED</t>
        </is>
      </c>
      <c r="P305" s="43" t="inlineStr">
        <is>
          <t>Pending Review</t>
        </is>
      </c>
      <c r="Q305" s="33" t="inlineStr">
        <is>
          <t>Confirmar SKU/PCBA revision, PN exacto en Common DB, WO, BU, vigencia, planta y aprobacion firmada.</t>
        </is>
      </c>
    </row>
    <row r="306">
      <c r="A306" s="43" t="inlineStr">
        <is>
          <t>CTANJZ04655</t>
        </is>
      </c>
      <c r="B306" s="43" t="inlineStr">
        <is>
          <t>D604352</t>
        </is>
      </c>
      <c r="C306" s="43" t="inlineStr">
        <is>
          <t>018-SRGBU</t>
        </is>
      </c>
      <c r="D306" s="43" t="inlineStr">
        <is>
          <t>FJZP</t>
        </is>
      </c>
      <c r="E306" s="43" t="inlineStr">
        <is>
          <t>MCGA</t>
        </is>
      </c>
      <c r="F306" s="43" t="inlineStr">
        <is>
          <t>15-107071-01</t>
        </is>
      </c>
      <c r="G306" s="43" t="inlineStr">
        <is>
          <t>OTHER_SCOPE_ITEM</t>
        </is>
      </c>
      <c r="H306" s="43" t="inlineStr"/>
      <c r="I306" s="43" t="inlineStr">
        <is>
          <t>Expired</t>
        </is>
      </c>
      <c r="J306" s="32" t="n">
        <v>45904</v>
      </c>
      <c r="K306" s="32" t="n">
        <v>45826</v>
      </c>
      <c r="L306" s="43" t="inlineStr">
        <is>
          <t>811</t>
        </is>
      </c>
      <c r="M306" s="43" t="n">
        <v>1</v>
      </c>
      <c r="N306" s="33" t="inlineStr"/>
      <c r="O306" s="43" t="inlineStr">
        <is>
          <t>UNVERIFIED</t>
        </is>
      </c>
      <c r="P306" s="43" t="inlineStr">
        <is>
          <t>Pending Review</t>
        </is>
      </c>
      <c r="Q306" s="33" t="inlineStr">
        <is>
          <t>Confirmar SKU/PCBA revision, PN exacto en Common DB, WO, BU, vigencia, planta y aprobacion firmada.</t>
        </is>
      </c>
    </row>
    <row r="307">
      <c r="A307" s="43" t="inlineStr">
        <is>
          <t>CTANJZ04663</t>
        </is>
      </c>
      <c r="B307" s="43" t="inlineStr">
        <is>
          <t>D603477</t>
        </is>
      </c>
      <c r="C307" s="43" t="inlineStr">
        <is>
          <t>037-STBU</t>
        </is>
      </c>
      <c r="D307" s="43" t="inlineStr">
        <is>
          <t>FJZP</t>
        </is>
      </c>
      <c r="E307" s="43" t="inlineStr">
        <is>
          <t>MCGA</t>
        </is>
      </c>
      <c r="F307" s="43" t="inlineStr">
        <is>
          <t>50-1605-01</t>
        </is>
      </c>
      <c r="G307" s="43" t="inlineStr">
        <is>
          <t>OTHER_SCOPE_ITEM</t>
        </is>
      </c>
      <c r="H307" s="43" t="inlineStr"/>
      <c r="I307" s="43" t="inlineStr">
        <is>
          <t>Expired</t>
        </is>
      </c>
      <c r="J307" s="32" t="n">
        <v>45910</v>
      </c>
      <c r="K307" s="32" t="n">
        <v>45834</v>
      </c>
      <c r="L307" s="43" t="inlineStr">
        <is>
          <t>812</t>
        </is>
      </c>
      <c r="M307" s="43" t="n">
        <v>1</v>
      </c>
      <c r="N307" s="33" t="inlineStr"/>
      <c r="O307" s="43" t="inlineStr">
        <is>
          <t>UNVERIFIED</t>
        </is>
      </c>
      <c r="P307" s="43" t="inlineStr">
        <is>
          <t>Pending Review</t>
        </is>
      </c>
      <c r="Q307" s="33" t="inlineStr">
        <is>
          <t>Confirmar SKU/PCBA revision, PN exacto en Common DB, WO, BU, vigencia, planta y aprobacion firmada.</t>
        </is>
      </c>
    </row>
    <row r="308">
      <c r="A308" s="43" t="inlineStr">
        <is>
          <t>CTANJZ04663</t>
        </is>
      </c>
      <c r="B308" s="43" t="inlineStr">
        <is>
          <t>D603477</t>
        </is>
      </c>
      <c r="C308" s="43" t="inlineStr">
        <is>
          <t>037-STBU</t>
        </is>
      </c>
      <c r="D308" s="43" t="inlineStr">
        <is>
          <t>FJZP</t>
        </is>
      </c>
      <c r="E308" s="43" t="inlineStr">
        <is>
          <t>MCGA</t>
        </is>
      </c>
      <c r="F308" s="43" t="inlineStr">
        <is>
          <t>50-2002-01</t>
        </is>
      </c>
      <c r="G308" s="43" t="inlineStr">
        <is>
          <t>OTHER_SCOPE_ITEM</t>
        </is>
      </c>
      <c r="H308" s="43" t="inlineStr"/>
      <c r="I308" s="43" t="inlineStr">
        <is>
          <t>Expired</t>
        </is>
      </c>
      <c r="J308" s="32" t="n">
        <v>45910</v>
      </c>
      <c r="K308" s="32" t="n">
        <v>45834</v>
      </c>
      <c r="L308" s="43" t="inlineStr">
        <is>
          <t>813</t>
        </is>
      </c>
      <c r="M308" s="43" t="n">
        <v>1</v>
      </c>
      <c r="N308" s="33" t="inlineStr"/>
      <c r="O308" s="43" t="inlineStr">
        <is>
          <t>UNVERIFIED</t>
        </is>
      </c>
      <c r="P308" s="43" t="inlineStr">
        <is>
          <t>Pending Review</t>
        </is>
      </c>
      <c r="Q308" s="33" t="inlineStr">
        <is>
          <t>Confirmar SKU/PCBA revision, PN exacto en Common DB, WO, BU, vigencia, planta y aprobacion firmada.</t>
        </is>
      </c>
    </row>
    <row r="309">
      <c r="A309" s="43" t="inlineStr">
        <is>
          <t>CTANJZ04663</t>
        </is>
      </c>
      <c r="B309" s="43" t="inlineStr">
        <is>
          <t>D603477</t>
        </is>
      </c>
      <c r="C309" s="43" t="inlineStr">
        <is>
          <t>037-STBU</t>
        </is>
      </c>
      <c r="D309" s="43" t="inlineStr">
        <is>
          <t>FJZP</t>
        </is>
      </c>
      <c r="E309" s="43" t="inlineStr">
        <is>
          <t>MCGA</t>
        </is>
      </c>
      <c r="F309" s="43" t="inlineStr">
        <is>
          <t>68-102608-04</t>
        </is>
      </c>
      <c r="G309" s="43" t="inlineStr">
        <is>
          <t>OTHER_SCOPE_ITEM</t>
        </is>
      </c>
      <c r="H309" s="43" t="inlineStr"/>
      <c r="I309" s="43" t="inlineStr">
        <is>
          <t>Expired</t>
        </is>
      </c>
      <c r="J309" s="32" t="n">
        <v>45910</v>
      </c>
      <c r="K309" s="32" t="n">
        <v>45834</v>
      </c>
      <c r="L309" s="43" t="inlineStr">
        <is>
          <t>814</t>
        </is>
      </c>
      <c r="M309" s="43" t="n">
        <v>1</v>
      </c>
      <c r="N309" s="33" t="inlineStr"/>
      <c r="O309" s="43" t="inlineStr">
        <is>
          <t>UNVERIFIED</t>
        </is>
      </c>
      <c r="P309" s="43" t="inlineStr">
        <is>
          <t>Pending Review</t>
        </is>
      </c>
      <c r="Q309" s="33" t="inlineStr">
        <is>
          <t>Confirmar SKU/PCBA revision, PN exacto en Common DB, WO, BU, vigencia, planta y aprobacion firmada.</t>
        </is>
      </c>
    </row>
    <row r="310">
      <c r="A310" s="43" t="inlineStr">
        <is>
          <t>CTANJZ04663</t>
        </is>
      </c>
      <c r="B310" s="43" t="inlineStr">
        <is>
          <t>D603477</t>
        </is>
      </c>
      <c r="C310" s="43" t="inlineStr">
        <is>
          <t>037-STBU</t>
        </is>
      </c>
      <c r="D310" s="43" t="inlineStr">
        <is>
          <t>FJZP</t>
        </is>
      </c>
      <c r="E310" s="43" t="inlineStr">
        <is>
          <t>MCGA</t>
        </is>
      </c>
      <c r="F310" s="43" t="inlineStr">
        <is>
          <t>68-102763-04</t>
        </is>
      </c>
      <c r="G310" s="43" t="inlineStr">
        <is>
          <t>OTHER_SCOPE_ITEM</t>
        </is>
      </c>
      <c r="H310" s="43" t="inlineStr"/>
      <c r="I310" s="43" t="inlineStr">
        <is>
          <t>Expired</t>
        </is>
      </c>
      <c r="J310" s="32" t="n">
        <v>45910</v>
      </c>
      <c r="K310" s="32" t="n">
        <v>45834</v>
      </c>
      <c r="L310" s="43" t="inlineStr">
        <is>
          <t>815</t>
        </is>
      </c>
      <c r="M310" s="43" t="n">
        <v>1</v>
      </c>
      <c r="N310" s="33" t="inlineStr"/>
      <c r="O310" s="43" t="inlineStr">
        <is>
          <t>UNVERIFIED</t>
        </is>
      </c>
      <c r="P310" s="43" t="inlineStr">
        <is>
          <t>Pending Review</t>
        </is>
      </c>
      <c r="Q310" s="33" t="inlineStr">
        <is>
          <t>Confirmar SKU/PCBA revision, PN exacto en Common DB, WO, BU, vigencia, planta y aprobacion firmada.</t>
        </is>
      </c>
    </row>
    <row r="311">
      <c r="A311" s="43" t="inlineStr">
        <is>
          <t>CTANJZ04665</t>
        </is>
      </c>
      <c r="B311" s="43" t="inlineStr">
        <is>
          <t>D603650</t>
        </is>
      </c>
      <c r="C311" s="43" t="inlineStr">
        <is>
          <t>037-STBU</t>
        </is>
      </c>
      <c r="D311" s="43" t="inlineStr">
        <is>
          <t>FJZP</t>
        </is>
      </c>
      <c r="E311" s="43" t="inlineStr">
        <is>
          <t>MCGA</t>
        </is>
      </c>
      <c r="F311" s="43" t="inlineStr">
        <is>
          <t>15-105587-01</t>
        </is>
      </c>
      <c r="G311" s="43" t="inlineStr">
        <is>
          <t>OTHER_SCOPE_ITEM</t>
        </is>
      </c>
      <c r="H311" s="43" t="inlineStr"/>
      <c r="I311" s="43" t="inlineStr">
        <is>
          <t>Expired</t>
        </is>
      </c>
      <c r="J311" s="32" t="n">
        <v>45912</v>
      </c>
      <c r="K311" s="32" t="n">
        <v>45834</v>
      </c>
      <c r="L311" s="43" t="inlineStr">
        <is>
          <t>492</t>
        </is>
      </c>
      <c r="M311" s="43" t="n">
        <v>1</v>
      </c>
      <c r="N311" s="33" t="inlineStr"/>
      <c r="O311" s="43" t="inlineStr">
        <is>
          <t>UNVERIFIED</t>
        </is>
      </c>
      <c r="P311" s="43" t="inlineStr">
        <is>
          <t>Pending Review</t>
        </is>
      </c>
      <c r="Q311" s="33" t="inlineStr">
        <is>
          <t>Confirmar SKU/PCBA revision, PN exacto en Common DB, WO, BU, vigencia, planta y aprobacion firmada.</t>
        </is>
      </c>
    </row>
    <row r="312">
      <c r="A312" s="43" t="inlineStr">
        <is>
          <t>CTANJZ04665</t>
        </is>
      </c>
      <c r="B312" s="43" t="inlineStr">
        <is>
          <t>D603650</t>
        </is>
      </c>
      <c r="C312" s="43" t="inlineStr">
        <is>
          <t>037-STBU</t>
        </is>
      </c>
      <c r="D312" s="43" t="inlineStr">
        <is>
          <t>FJZP</t>
        </is>
      </c>
      <c r="E312" s="43" t="inlineStr">
        <is>
          <t>MCGA</t>
        </is>
      </c>
      <c r="F312" s="43" t="inlineStr">
        <is>
          <t>68-6724-04</t>
        </is>
      </c>
      <c r="G312" s="43" t="inlineStr">
        <is>
          <t>OTHER_SCOPE_ITEM</t>
        </is>
      </c>
      <c r="H312" s="43" t="inlineStr"/>
      <c r="I312" s="43" t="inlineStr">
        <is>
          <t>Expired</t>
        </is>
      </c>
      <c r="J312" s="32" t="n">
        <v>45912</v>
      </c>
      <c r="K312" s="32" t="n">
        <v>45834</v>
      </c>
      <c r="L312" s="43" t="inlineStr">
        <is>
          <t>493</t>
        </is>
      </c>
      <c r="M312" s="43" t="n">
        <v>1</v>
      </c>
      <c r="N312" s="33" t="inlineStr"/>
      <c r="O312" s="43" t="inlineStr">
        <is>
          <t>UNVERIFIED</t>
        </is>
      </c>
      <c r="P312" s="43" t="inlineStr">
        <is>
          <t>Pending Review</t>
        </is>
      </c>
      <c r="Q312" s="33" t="inlineStr">
        <is>
          <t>Confirmar SKU/PCBA revision, PN exacto en Common DB, WO, BU, vigencia, planta y aprobacion firmada.</t>
        </is>
      </c>
    </row>
    <row r="313">
      <c r="A313" s="43" t="inlineStr">
        <is>
          <t>CTANJZ04673</t>
        </is>
      </c>
      <c r="B313" s="43" t="inlineStr">
        <is>
          <t>D604622</t>
        </is>
      </c>
      <c r="C313" s="43" t="inlineStr">
        <is>
          <t>018-SRGBU</t>
        </is>
      </c>
      <c r="D313" s="43" t="inlineStr">
        <is>
          <t>FJZP</t>
        </is>
      </c>
      <c r="E313" s="43" t="inlineStr">
        <is>
          <t>MCGA</t>
        </is>
      </c>
      <c r="F313" s="43" t="inlineStr">
        <is>
          <t>68-7809-01</t>
        </is>
      </c>
      <c r="G313" s="43" t="inlineStr">
        <is>
          <t>OTHER_SCOPE_ITEM</t>
        </is>
      </c>
      <c r="H313" s="43" t="inlineStr"/>
      <c r="I313" s="43" t="inlineStr">
        <is>
          <t>Expired</t>
        </is>
      </c>
      <c r="J313" s="32" t="n">
        <v>45915</v>
      </c>
      <c r="K313" s="32" t="n">
        <v>45839</v>
      </c>
      <c r="L313" s="43" t="inlineStr">
        <is>
          <t>876</t>
        </is>
      </c>
      <c r="M313" s="43" t="n">
        <v>1</v>
      </c>
      <c r="N313" s="33" t="inlineStr"/>
      <c r="O313" s="43" t="inlineStr">
        <is>
          <t>UNVERIFIED</t>
        </is>
      </c>
      <c r="P313" s="43" t="inlineStr">
        <is>
          <t>Pending Review</t>
        </is>
      </c>
      <c r="Q313" s="33" t="inlineStr">
        <is>
          <t>Confirmar SKU/PCBA revision, PN exacto en Common DB, WO, BU, vigencia, planta y aprobacion firmada.</t>
        </is>
      </c>
    </row>
    <row r="314">
      <c r="A314" s="43" t="inlineStr">
        <is>
          <t>CTANJZ04676</t>
        </is>
      </c>
      <c r="B314" s="43" t="inlineStr">
        <is>
          <t>D604366</t>
        </is>
      </c>
      <c r="C314" s="43" t="inlineStr">
        <is>
          <t>037-STBU</t>
        </is>
      </c>
      <c r="D314" s="43" t="inlineStr">
        <is>
          <t>FJZP</t>
        </is>
      </c>
      <c r="E314" s="43" t="inlineStr">
        <is>
          <t>MCGA</t>
        </is>
      </c>
      <c r="F314" s="43" t="inlineStr">
        <is>
          <t>17-102041-05</t>
        </is>
      </c>
      <c r="G314" s="43" t="inlineStr">
        <is>
          <t>OTHER_SCOPE_ITEM</t>
        </is>
      </c>
      <c r="H314" s="43" t="inlineStr"/>
      <c r="I314" s="43" t="inlineStr">
        <is>
          <t>Expired</t>
        </is>
      </c>
      <c r="J314" s="32" t="n">
        <v>45916</v>
      </c>
      <c r="K314" s="32" t="n">
        <v>45853</v>
      </c>
      <c r="L314" s="43" t="inlineStr">
        <is>
          <t>11</t>
        </is>
      </c>
      <c r="M314" s="43" t="n">
        <v>1</v>
      </c>
      <c r="N314" s="33" t="inlineStr"/>
      <c r="O314" s="43" t="inlineStr">
        <is>
          <t>UNVERIFIED</t>
        </is>
      </c>
      <c r="P314" s="43" t="inlineStr">
        <is>
          <t>Pending Review</t>
        </is>
      </c>
      <c r="Q314" s="33" t="inlineStr">
        <is>
          <t>Confirmar SKU/PCBA revision, PN exacto en Common DB, WO, BU, vigencia, planta y aprobacion firmada.</t>
        </is>
      </c>
    </row>
    <row r="315">
      <c r="A315" s="43" t="inlineStr">
        <is>
          <t>CTANJZ04676</t>
        </is>
      </c>
      <c r="B315" s="43" t="inlineStr">
        <is>
          <t>D604366</t>
        </is>
      </c>
      <c r="C315" s="43" t="inlineStr">
        <is>
          <t>037-STBU</t>
        </is>
      </c>
      <c r="D315" s="43" t="inlineStr">
        <is>
          <t>FJZP</t>
        </is>
      </c>
      <c r="E315" s="43" t="inlineStr">
        <is>
          <t>MCGA</t>
        </is>
      </c>
      <c r="F315" s="43" t="inlineStr">
        <is>
          <t>17-102043-02</t>
        </is>
      </c>
      <c r="G315" s="43" t="inlineStr">
        <is>
          <t>OTHER_SCOPE_ITEM</t>
        </is>
      </c>
      <c r="H315" s="43" t="inlineStr"/>
      <c r="I315" s="43" t="inlineStr">
        <is>
          <t>Expired</t>
        </is>
      </c>
      <c r="J315" s="32" t="n">
        <v>45916</v>
      </c>
      <c r="K315" s="32" t="n">
        <v>45853</v>
      </c>
      <c r="L315" s="43" t="inlineStr">
        <is>
          <t>12</t>
        </is>
      </c>
      <c r="M315" s="43" t="n">
        <v>1</v>
      </c>
      <c r="N315" s="33" t="inlineStr"/>
      <c r="O315" s="43" t="inlineStr">
        <is>
          <t>UNVERIFIED</t>
        </is>
      </c>
      <c r="P315" s="43" t="inlineStr">
        <is>
          <t>Pending Review</t>
        </is>
      </c>
      <c r="Q315" s="33" t="inlineStr">
        <is>
          <t>Confirmar SKU/PCBA revision, PN exacto en Common DB, WO, BU, vigencia, planta y aprobacion firmada.</t>
        </is>
      </c>
    </row>
    <row r="316">
      <c r="A316" s="43" t="inlineStr">
        <is>
          <t>CTANJZ04676</t>
        </is>
      </c>
      <c r="B316" s="43" t="inlineStr">
        <is>
          <t>D604366</t>
        </is>
      </c>
      <c r="C316" s="43" t="inlineStr">
        <is>
          <t>037-STBU</t>
        </is>
      </c>
      <c r="D316" s="43" t="inlineStr">
        <is>
          <t>FJZP</t>
        </is>
      </c>
      <c r="E316" s="43" t="inlineStr">
        <is>
          <t>MCGA</t>
        </is>
      </c>
      <c r="F316" s="43" t="inlineStr">
        <is>
          <t>17-102050-06</t>
        </is>
      </c>
      <c r="G316" s="43" t="inlineStr">
        <is>
          <t>OTHER_SCOPE_ITEM</t>
        </is>
      </c>
      <c r="H316" s="43" t="inlineStr"/>
      <c r="I316" s="43" t="inlineStr">
        <is>
          <t>Expired</t>
        </is>
      </c>
      <c r="J316" s="32" t="n">
        <v>45916</v>
      </c>
      <c r="K316" s="32" t="n">
        <v>45853</v>
      </c>
      <c r="L316" s="43" t="inlineStr">
        <is>
          <t>13</t>
        </is>
      </c>
      <c r="M316" s="43" t="n">
        <v>1</v>
      </c>
      <c r="N316" s="33" t="inlineStr"/>
      <c r="O316" s="43" t="inlineStr">
        <is>
          <t>UNVERIFIED</t>
        </is>
      </c>
      <c r="P316" s="43" t="inlineStr">
        <is>
          <t>Pending Review</t>
        </is>
      </c>
      <c r="Q316" s="33" t="inlineStr">
        <is>
          <t>Confirmar SKU/PCBA revision, PN exacto en Common DB, WO, BU, vigencia, planta y aprobacion firmada.</t>
        </is>
      </c>
    </row>
    <row r="317">
      <c r="A317" s="43" t="inlineStr">
        <is>
          <t>CTANJZ04676</t>
        </is>
      </c>
      <c r="B317" s="43" t="inlineStr">
        <is>
          <t>D604366</t>
        </is>
      </c>
      <c r="C317" s="43" t="inlineStr">
        <is>
          <t>037-STBU</t>
        </is>
      </c>
      <c r="D317" s="43" t="inlineStr">
        <is>
          <t>FJZP</t>
        </is>
      </c>
      <c r="E317" s="43" t="inlineStr">
        <is>
          <t>MCGA</t>
        </is>
      </c>
      <c r="F317" s="43" t="inlineStr">
        <is>
          <t>17-16001-05</t>
        </is>
      </c>
      <c r="G317" s="43" t="inlineStr">
        <is>
          <t>OTHER_SCOPE_ITEM</t>
        </is>
      </c>
      <c r="H317" s="43" t="inlineStr"/>
      <c r="I317" s="43" t="inlineStr">
        <is>
          <t>Expired</t>
        </is>
      </c>
      <c r="J317" s="32" t="n">
        <v>45916</v>
      </c>
      <c r="K317" s="32" t="n">
        <v>45853</v>
      </c>
      <c r="L317" s="43" t="inlineStr">
        <is>
          <t>14</t>
        </is>
      </c>
      <c r="M317" s="43" t="n">
        <v>1</v>
      </c>
      <c r="N317" s="33" t="inlineStr"/>
      <c r="O317" s="43" t="inlineStr">
        <is>
          <t>UNVERIFIED</t>
        </is>
      </c>
      <c r="P317" s="43" t="inlineStr">
        <is>
          <t>Pending Review</t>
        </is>
      </c>
      <c r="Q317" s="33" t="inlineStr">
        <is>
          <t>Confirmar SKU/PCBA revision, PN exacto en Common DB, WO, BU, vigencia, planta y aprobacion firmada.</t>
        </is>
      </c>
    </row>
    <row r="318">
      <c r="A318" s="43" t="inlineStr">
        <is>
          <t>CTANJZ04676</t>
        </is>
      </c>
      <c r="B318" s="43" t="inlineStr">
        <is>
          <t>D604366</t>
        </is>
      </c>
      <c r="C318" s="43" t="inlineStr">
        <is>
          <t>037-STBU</t>
        </is>
      </c>
      <c r="D318" s="43" t="inlineStr">
        <is>
          <t>FJZP</t>
        </is>
      </c>
      <c r="E318" s="43" t="inlineStr">
        <is>
          <t>MCGA</t>
        </is>
      </c>
      <c r="F318" s="43" t="inlineStr">
        <is>
          <t>73-20247-05</t>
        </is>
      </c>
      <c r="G318" s="43" t="inlineStr">
        <is>
          <t>BOARD_PN_CANDIDATE</t>
        </is>
      </c>
      <c r="H318" s="43" t="inlineStr"/>
      <c r="I318" s="43" t="inlineStr">
        <is>
          <t>Expired</t>
        </is>
      </c>
      <c r="J318" s="32" t="n">
        <v>45916</v>
      </c>
      <c r="K318" s="32" t="n">
        <v>45853</v>
      </c>
      <c r="L318" s="43" t="inlineStr">
        <is>
          <t>15</t>
        </is>
      </c>
      <c r="M318" s="43" t="n">
        <v>1</v>
      </c>
      <c r="N318" s="33" t="inlineStr"/>
      <c r="O318" s="43" t="inlineStr">
        <is>
          <t>UNVERIFIED</t>
        </is>
      </c>
      <c r="P318" s="43" t="inlineStr">
        <is>
          <t>Pending Review</t>
        </is>
      </c>
      <c r="Q318" s="33" t="inlineStr">
        <is>
          <t>Confirmar SKU/PCBA revision, PN exacto en Common DB, WO, BU, vigencia, planta y aprobacion firmada.</t>
        </is>
      </c>
    </row>
    <row r="319">
      <c r="A319" s="43" t="inlineStr">
        <is>
          <t>CTANJZ04676</t>
        </is>
      </c>
      <c r="B319" s="43" t="inlineStr">
        <is>
          <t>D604366</t>
        </is>
      </c>
      <c r="C319" s="43" t="inlineStr">
        <is>
          <t>037-STBU</t>
        </is>
      </c>
      <c r="D319" s="43" t="inlineStr">
        <is>
          <t>FJZP</t>
        </is>
      </c>
      <c r="E319" s="43" t="inlineStr">
        <is>
          <t>MCGA</t>
        </is>
      </c>
      <c r="F319" s="43" t="inlineStr">
        <is>
          <t>73-20249-05</t>
        </is>
      </c>
      <c r="G319" s="43" t="inlineStr">
        <is>
          <t>BOARD_PN_CANDIDATE</t>
        </is>
      </c>
      <c r="H319" s="43" t="inlineStr"/>
      <c r="I319" s="43" t="inlineStr">
        <is>
          <t>Expired</t>
        </is>
      </c>
      <c r="J319" s="32" t="n">
        <v>45916</v>
      </c>
      <c r="K319" s="32" t="n">
        <v>45853</v>
      </c>
      <c r="L319" s="43" t="inlineStr">
        <is>
          <t>16</t>
        </is>
      </c>
      <c r="M319" s="43" t="n">
        <v>1</v>
      </c>
      <c r="N319" s="33" t="inlineStr"/>
      <c r="O319" s="43" t="inlineStr">
        <is>
          <t>UNVERIFIED</t>
        </is>
      </c>
      <c r="P319" s="43" t="inlineStr">
        <is>
          <t>Pending Review</t>
        </is>
      </c>
      <c r="Q319" s="33" t="inlineStr">
        <is>
          <t>Confirmar SKU/PCBA revision, PN exacto en Common DB, WO, BU, vigencia, planta y aprobacion firmada.</t>
        </is>
      </c>
    </row>
    <row r="320">
      <c r="A320" s="43" t="inlineStr">
        <is>
          <t>CTANJZ04678</t>
        </is>
      </c>
      <c r="B320" s="43" t="inlineStr">
        <is>
          <t>D604665</t>
        </is>
      </c>
      <c r="C320" s="43" t="inlineStr">
        <is>
          <t>035-CVEBU</t>
        </is>
      </c>
      <c r="D320" s="43" t="inlineStr">
        <is>
          <t>FJZP</t>
        </is>
      </c>
      <c r="E320" s="43" t="inlineStr">
        <is>
          <t>MCGA</t>
        </is>
      </c>
      <c r="F320" s="43" t="inlineStr">
        <is>
          <t>74-146086-01</t>
        </is>
      </c>
      <c r="G320" s="43" t="inlineStr">
        <is>
          <t>OTHER_SCOPE_ITEM</t>
        </is>
      </c>
      <c r="H320" s="43" t="inlineStr"/>
      <c r="I320" s="43" t="inlineStr">
        <is>
          <t>Expired</t>
        </is>
      </c>
      <c r="J320" s="32" t="n">
        <v>45917</v>
      </c>
      <c r="K320" s="32" t="n">
        <v>45839</v>
      </c>
      <c r="L320" s="43" t="inlineStr">
        <is>
          <t>877</t>
        </is>
      </c>
      <c r="M320" s="43" t="n">
        <v>1</v>
      </c>
      <c r="N320" s="33" t="inlineStr"/>
      <c r="O320" s="43" t="inlineStr">
        <is>
          <t>UNVERIFIED</t>
        </is>
      </c>
      <c r="P320" s="43" t="inlineStr">
        <is>
          <t>Pending Review</t>
        </is>
      </c>
      <c r="Q320" s="33" t="inlineStr">
        <is>
          <t>Confirmar SKU/PCBA revision, PN exacto en Common DB, WO, BU, vigencia, planta y aprobacion firmada.</t>
        </is>
      </c>
    </row>
    <row r="321">
      <c r="A321" s="43" t="inlineStr">
        <is>
          <t>CTANJZ04679</t>
        </is>
      </c>
      <c r="B321" s="43" t="inlineStr">
        <is>
          <t>DP525026</t>
        </is>
      </c>
      <c r="C321" s="43" t="inlineStr">
        <is>
          <t>035-CVEBU</t>
        </is>
      </c>
      <c r="D321" s="43" t="inlineStr">
        <is>
          <t>FJZP</t>
        </is>
      </c>
      <c r="E321" s="43" t="inlineStr">
        <is>
          <t>MCGA</t>
        </is>
      </c>
      <c r="F321" s="43" t="inlineStr">
        <is>
          <t>73-103103-05</t>
        </is>
      </c>
      <c r="G321" s="43" t="inlineStr">
        <is>
          <t>BOARD_PN_CANDIDATE</t>
        </is>
      </c>
      <c r="H321" s="43" t="inlineStr"/>
      <c r="I321" s="43" t="inlineStr">
        <is>
          <t>Expired</t>
        </is>
      </c>
      <c r="J321" s="32" t="n">
        <v>45888</v>
      </c>
      <c r="K321" s="32" t="n">
        <v>45840</v>
      </c>
      <c r="L321" s="43" t="inlineStr">
        <is>
          <t>366</t>
        </is>
      </c>
      <c r="M321" s="43" t="n">
        <v>1</v>
      </c>
      <c r="N321" s="33" t="inlineStr"/>
      <c r="O321" s="43" t="inlineStr">
        <is>
          <t>UNVERIFIED</t>
        </is>
      </c>
      <c r="P321" s="43" t="inlineStr">
        <is>
          <t>Pending Review</t>
        </is>
      </c>
      <c r="Q321" s="33" t="inlineStr">
        <is>
          <t>Confirmar SKU/PCBA revision, PN exacto en Common DB, WO, BU, vigencia, planta y aprobacion firmada.</t>
        </is>
      </c>
    </row>
    <row r="322">
      <c r="A322" s="43" t="inlineStr">
        <is>
          <t>CTANJZ04679</t>
        </is>
      </c>
      <c r="B322" s="43" t="inlineStr">
        <is>
          <t>DP525026</t>
        </is>
      </c>
      <c r="C322" s="43" t="inlineStr">
        <is>
          <t>035-CVEBU</t>
        </is>
      </c>
      <c r="D322" s="43" t="inlineStr">
        <is>
          <t>FJZP</t>
        </is>
      </c>
      <c r="E322" s="43" t="inlineStr">
        <is>
          <t>MCGA</t>
        </is>
      </c>
      <c r="F322" s="43" t="inlineStr">
        <is>
          <t>73-103603-05</t>
        </is>
      </c>
      <c r="G322" s="43" t="inlineStr">
        <is>
          <t>BOARD_PN_CANDIDATE</t>
        </is>
      </c>
      <c r="H322" s="43" t="inlineStr">
        <is>
          <t>PICTORIS</t>
        </is>
      </c>
      <c r="I322" s="43" t="inlineStr">
        <is>
          <t>Expired</t>
        </is>
      </c>
      <c r="J322" s="32" t="n">
        <v>45888</v>
      </c>
      <c r="K322" s="32" t="n">
        <v>45840</v>
      </c>
      <c r="L322" s="43" t="inlineStr">
        <is>
          <t>367</t>
        </is>
      </c>
      <c r="M322" s="43" t="n">
        <v>1</v>
      </c>
      <c r="N322" s="33" t="inlineStr"/>
      <c r="O322" s="43" t="inlineStr">
        <is>
          <t>UNVERIFIED</t>
        </is>
      </c>
      <c r="P322" s="43" t="inlineStr">
        <is>
          <t>Pending Review</t>
        </is>
      </c>
      <c r="Q322" s="33" t="inlineStr">
        <is>
          <t>Confirmar SKU/PCBA revision, PN exacto en Common DB, WO, BU, vigencia, planta y aprobacion firmada.</t>
        </is>
      </c>
    </row>
    <row r="323">
      <c r="A323" s="43" t="inlineStr">
        <is>
          <t>CTANJZ04680</t>
        </is>
      </c>
      <c r="B323" s="43" t="inlineStr">
        <is>
          <t>D604676</t>
        </is>
      </c>
      <c r="C323" s="43" t="inlineStr">
        <is>
          <t>035-CVEBU</t>
        </is>
      </c>
      <c r="D323" s="43" t="inlineStr">
        <is>
          <t>FJZP</t>
        </is>
      </c>
      <c r="E323" s="43" t="inlineStr">
        <is>
          <t>MCGA</t>
        </is>
      </c>
      <c r="F323" s="43" t="inlineStr">
        <is>
          <t>74-146086-01</t>
        </is>
      </c>
      <c r="G323" s="43" t="inlineStr">
        <is>
          <t>OTHER_SCOPE_ITEM</t>
        </is>
      </c>
      <c r="H323" s="43" t="inlineStr"/>
      <c r="I323" s="43" t="inlineStr">
        <is>
          <t>Expired</t>
        </is>
      </c>
      <c r="J323" s="32" t="n">
        <v>45918</v>
      </c>
      <c r="K323" s="32" t="n">
        <v>45846</v>
      </c>
      <c r="L323" s="43" t="inlineStr">
        <is>
          <t>878</t>
        </is>
      </c>
      <c r="M323" s="43" t="n">
        <v>1</v>
      </c>
      <c r="N323" s="33" t="inlineStr"/>
      <c r="O323" s="43" t="inlineStr">
        <is>
          <t>UNVERIFIED</t>
        </is>
      </c>
      <c r="P323" s="43" t="inlineStr">
        <is>
          <t>Pending Review</t>
        </is>
      </c>
      <c r="Q323" s="33" t="inlineStr">
        <is>
          <t>Confirmar SKU/PCBA revision, PN exacto en Common DB, WO, BU, vigencia, planta y aprobacion firmada.</t>
        </is>
      </c>
    </row>
    <row r="324">
      <c r="A324" s="43" t="inlineStr">
        <is>
          <t>CTANJZ04684</t>
        </is>
      </c>
      <c r="B324" s="43" t="inlineStr">
        <is>
          <t>DP524972</t>
        </is>
      </c>
      <c r="C324" s="43" t="inlineStr">
        <is>
          <t>037-STBU</t>
        </is>
      </c>
      <c r="D324" s="43" t="inlineStr">
        <is>
          <t>FJZP</t>
        </is>
      </c>
      <c r="E324" s="43" t="inlineStr">
        <is>
          <t>MCGA</t>
        </is>
      </c>
      <c r="F324" s="43" t="inlineStr">
        <is>
          <t>800-112578-01</t>
        </is>
      </c>
      <c r="G324" s="43" t="inlineStr">
        <is>
          <t>OTHER_SCOPE_ITEM</t>
        </is>
      </c>
      <c r="H324" s="43" t="inlineStr"/>
      <c r="I324" s="43" t="inlineStr">
        <is>
          <t>Expired</t>
        </is>
      </c>
      <c r="J324" s="32" t="n">
        <v>45892</v>
      </c>
      <c r="K324" s="32" t="n">
        <v>45853</v>
      </c>
      <c r="L324" s="43" t="inlineStr">
        <is>
          <t>806</t>
        </is>
      </c>
      <c r="M324" s="43" t="n">
        <v>1</v>
      </c>
      <c r="N324" s="33" t="inlineStr"/>
      <c r="O324" s="43" t="inlineStr">
        <is>
          <t>UNVERIFIED</t>
        </is>
      </c>
      <c r="P324" s="43" t="inlineStr">
        <is>
          <t>Pending Review</t>
        </is>
      </c>
      <c r="Q324" s="33" t="inlineStr">
        <is>
          <t>Confirmar SKU/PCBA revision, PN exacto en Common DB, WO, BU, vigencia, planta y aprobacion firmada.</t>
        </is>
      </c>
    </row>
    <row r="325">
      <c r="A325" s="43" t="inlineStr">
        <is>
          <t>CTANJZ04691</t>
        </is>
      </c>
      <c r="B325" s="43" t="inlineStr">
        <is>
          <t>D604637</t>
        </is>
      </c>
      <c r="C325" s="43" t="inlineStr">
        <is>
          <t>037-STBU</t>
        </is>
      </c>
      <c r="D325" s="43" t="inlineStr">
        <is>
          <t>FJZP</t>
        </is>
      </c>
      <c r="E325" s="43" t="inlineStr">
        <is>
          <t>MCGA</t>
        </is>
      </c>
      <c r="F325" s="43" t="inlineStr">
        <is>
          <t>68-7253-04</t>
        </is>
      </c>
      <c r="G325" s="43" t="inlineStr">
        <is>
          <t>OTHER_SCOPE_ITEM</t>
        </is>
      </c>
      <c r="H325" s="43" t="inlineStr"/>
      <c r="I325" s="43" t="inlineStr">
        <is>
          <t>Expired</t>
        </is>
      </c>
      <c r="J325" s="32" t="n">
        <v>45923</v>
      </c>
      <c r="K325" s="32" t="n">
        <v>45853</v>
      </c>
      <c r="L325" s="43" t="inlineStr">
        <is>
          <t>760</t>
        </is>
      </c>
      <c r="M325" s="43" t="n">
        <v>1</v>
      </c>
      <c r="N325" s="33" t="inlineStr"/>
      <c r="O325" s="43" t="inlineStr">
        <is>
          <t>UNVERIFIED</t>
        </is>
      </c>
      <c r="P325" s="43" t="inlineStr">
        <is>
          <t>Pending Review</t>
        </is>
      </c>
      <c r="Q325" s="33" t="inlineStr">
        <is>
          <t>Confirmar SKU/PCBA revision, PN exacto en Common DB, WO, BU, vigencia, planta y aprobacion firmada.</t>
        </is>
      </c>
    </row>
    <row r="326">
      <c r="A326" s="43" t="inlineStr">
        <is>
          <t>CTANJZ04691</t>
        </is>
      </c>
      <c r="B326" s="43" t="inlineStr">
        <is>
          <t>D604637</t>
        </is>
      </c>
      <c r="C326" s="43" t="inlineStr">
        <is>
          <t>037-STBU</t>
        </is>
      </c>
      <c r="D326" s="43" t="inlineStr">
        <is>
          <t>FJZP</t>
        </is>
      </c>
      <c r="E326" s="43" t="inlineStr">
        <is>
          <t>MCGA</t>
        </is>
      </c>
      <c r="F326" s="43" t="inlineStr">
        <is>
          <t>68-7254-04</t>
        </is>
      </c>
      <c r="G326" s="43" t="inlineStr">
        <is>
          <t>OTHER_SCOPE_ITEM</t>
        </is>
      </c>
      <c r="H326" s="43" t="inlineStr"/>
      <c r="I326" s="43" t="inlineStr">
        <is>
          <t>Expired</t>
        </is>
      </c>
      <c r="J326" s="32" t="n">
        <v>45923</v>
      </c>
      <c r="K326" s="32" t="n">
        <v>45853</v>
      </c>
      <c r="L326" s="43" t="inlineStr">
        <is>
          <t>761</t>
        </is>
      </c>
      <c r="M326" s="43" t="n">
        <v>1</v>
      </c>
      <c r="N326" s="33" t="inlineStr"/>
      <c r="O326" s="43" t="inlineStr">
        <is>
          <t>UNVERIFIED</t>
        </is>
      </c>
      <c r="P326" s="43" t="inlineStr">
        <is>
          <t>Pending Review</t>
        </is>
      </c>
      <c r="Q326" s="33" t="inlineStr">
        <is>
          <t>Confirmar SKU/PCBA revision, PN exacto en Common DB, WO, BU, vigencia, planta y aprobacion firmada.</t>
        </is>
      </c>
    </row>
    <row r="327">
      <c r="A327" s="43" t="inlineStr">
        <is>
          <t>CTANJZ04691</t>
        </is>
      </c>
      <c r="B327" s="43" t="inlineStr">
        <is>
          <t>D604637</t>
        </is>
      </c>
      <c r="C327" s="43" t="inlineStr">
        <is>
          <t>037-STBU</t>
        </is>
      </c>
      <c r="D327" s="43" t="inlineStr">
        <is>
          <t>FJZP</t>
        </is>
      </c>
      <c r="E327" s="43" t="inlineStr">
        <is>
          <t>MCGA</t>
        </is>
      </c>
      <c r="F327" s="43" t="inlineStr">
        <is>
          <t>68-7255-04</t>
        </is>
      </c>
      <c r="G327" s="43" t="inlineStr">
        <is>
          <t>OTHER_SCOPE_ITEM</t>
        </is>
      </c>
      <c r="H327" s="43" t="inlineStr"/>
      <c r="I327" s="43" t="inlineStr">
        <is>
          <t>Expired</t>
        </is>
      </c>
      <c r="J327" s="32" t="n">
        <v>45923</v>
      </c>
      <c r="K327" s="32" t="n">
        <v>45853</v>
      </c>
      <c r="L327" s="43" t="inlineStr">
        <is>
          <t>762</t>
        </is>
      </c>
      <c r="M327" s="43" t="n">
        <v>1</v>
      </c>
      <c r="N327" s="33" t="inlineStr"/>
      <c r="O327" s="43" t="inlineStr">
        <is>
          <t>UNVERIFIED</t>
        </is>
      </c>
      <c r="P327" s="43" t="inlineStr">
        <is>
          <t>Pending Review</t>
        </is>
      </c>
      <c r="Q327" s="33" t="inlineStr">
        <is>
          <t>Confirmar SKU/PCBA revision, PN exacto en Common DB, WO, BU, vigencia, planta y aprobacion firmada.</t>
        </is>
      </c>
    </row>
    <row r="328">
      <c r="A328" s="43" t="inlineStr">
        <is>
          <t>CTANJZ04691</t>
        </is>
      </c>
      <c r="B328" s="43" t="inlineStr">
        <is>
          <t>D604637</t>
        </is>
      </c>
      <c r="C328" s="43" t="inlineStr">
        <is>
          <t>037-STBU</t>
        </is>
      </c>
      <c r="D328" s="43" t="inlineStr">
        <is>
          <t>FJZP</t>
        </is>
      </c>
      <c r="E328" s="43" t="inlineStr">
        <is>
          <t>MCGA</t>
        </is>
      </c>
      <c r="F328" s="43" t="inlineStr">
        <is>
          <t>68-7256-04</t>
        </is>
      </c>
      <c r="G328" s="43" t="inlineStr">
        <is>
          <t>OTHER_SCOPE_ITEM</t>
        </is>
      </c>
      <c r="H328" s="43" t="inlineStr"/>
      <c r="I328" s="43" t="inlineStr">
        <is>
          <t>Expired</t>
        </is>
      </c>
      <c r="J328" s="32" t="n">
        <v>45923</v>
      </c>
      <c r="K328" s="32" t="n">
        <v>45853</v>
      </c>
      <c r="L328" s="43" t="inlineStr">
        <is>
          <t>763</t>
        </is>
      </c>
      <c r="M328" s="43" t="n">
        <v>1</v>
      </c>
      <c r="N328" s="33" t="inlineStr"/>
      <c r="O328" s="43" t="inlineStr">
        <is>
          <t>UNVERIFIED</t>
        </is>
      </c>
      <c r="P328" s="43" t="inlineStr">
        <is>
          <t>Pending Review</t>
        </is>
      </c>
      <c r="Q328" s="33" t="inlineStr">
        <is>
          <t>Confirmar SKU/PCBA revision, PN exacto en Common DB, WO, BU, vigencia, planta y aprobacion firmada.</t>
        </is>
      </c>
    </row>
    <row r="329">
      <c r="A329" s="43" t="inlineStr">
        <is>
          <t>CTANJZ04691</t>
        </is>
      </c>
      <c r="B329" s="43" t="inlineStr">
        <is>
          <t>D604637</t>
        </is>
      </c>
      <c r="C329" s="43" t="inlineStr">
        <is>
          <t>037-STBU</t>
        </is>
      </c>
      <c r="D329" s="43" t="inlineStr">
        <is>
          <t>FJZP</t>
        </is>
      </c>
      <c r="E329" s="43" t="inlineStr">
        <is>
          <t>MCGA</t>
        </is>
      </c>
      <c r="F329" s="43" t="inlineStr">
        <is>
          <t>68-7638-01</t>
        </is>
      </c>
      <c r="G329" s="43" t="inlineStr">
        <is>
          <t>OTHER_SCOPE_ITEM</t>
        </is>
      </c>
      <c r="H329" s="43" t="inlineStr"/>
      <c r="I329" s="43" t="inlineStr">
        <is>
          <t>Expired</t>
        </is>
      </c>
      <c r="J329" s="32" t="n">
        <v>45923</v>
      </c>
      <c r="K329" s="32" t="n">
        <v>45853</v>
      </c>
      <c r="L329" s="43" t="inlineStr">
        <is>
          <t>925</t>
        </is>
      </c>
      <c r="M329" s="43" t="n">
        <v>1</v>
      </c>
      <c r="N329" s="33" t="inlineStr"/>
      <c r="O329" s="43" t="inlineStr">
        <is>
          <t>UNVERIFIED</t>
        </is>
      </c>
      <c r="P329" s="43" t="inlineStr">
        <is>
          <t>Pending Review</t>
        </is>
      </c>
      <c r="Q329" s="33" t="inlineStr">
        <is>
          <t>Confirmar SKU/PCBA revision, PN exacto en Common DB, WO, BU, vigencia, planta y aprobacion firmada.</t>
        </is>
      </c>
    </row>
    <row r="330">
      <c r="A330" s="43" t="inlineStr">
        <is>
          <t>CTANJZ04691</t>
        </is>
      </c>
      <c r="B330" s="43" t="inlineStr">
        <is>
          <t>D604637</t>
        </is>
      </c>
      <c r="C330" s="43" t="inlineStr">
        <is>
          <t>037-STBU</t>
        </is>
      </c>
      <c r="D330" s="43" t="inlineStr">
        <is>
          <t>FJZP</t>
        </is>
      </c>
      <c r="E330" s="43" t="inlineStr">
        <is>
          <t>MCGA</t>
        </is>
      </c>
      <c r="F330" s="43" t="inlineStr">
        <is>
          <t>73-20247-05</t>
        </is>
      </c>
      <c r="G330" s="43" t="inlineStr">
        <is>
          <t>BOARD_PN_CANDIDATE</t>
        </is>
      </c>
      <c r="H330" s="43" t="inlineStr"/>
      <c r="I330" s="43" t="inlineStr">
        <is>
          <t>Expired</t>
        </is>
      </c>
      <c r="J330" s="32" t="n">
        <v>45923</v>
      </c>
      <c r="K330" s="32" t="n">
        <v>45853</v>
      </c>
      <c r="L330" s="43" t="inlineStr">
        <is>
          <t>926</t>
        </is>
      </c>
      <c r="M330" s="43" t="n">
        <v>1</v>
      </c>
      <c r="N330" s="33" t="inlineStr"/>
      <c r="O330" s="43" t="inlineStr">
        <is>
          <t>UNVERIFIED</t>
        </is>
      </c>
      <c r="P330" s="43" t="inlineStr">
        <is>
          <t>Pending Review</t>
        </is>
      </c>
      <c r="Q330" s="33" t="inlineStr">
        <is>
          <t>Confirmar SKU/PCBA revision, PN exacto en Common DB, WO, BU, vigencia, planta y aprobacion firmada.</t>
        </is>
      </c>
    </row>
    <row r="331">
      <c r="A331" s="43" t="inlineStr">
        <is>
          <t>CTANJZ04691</t>
        </is>
      </c>
      <c r="B331" s="43" t="inlineStr">
        <is>
          <t>D604637</t>
        </is>
      </c>
      <c r="C331" s="43" t="inlineStr">
        <is>
          <t>037-STBU</t>
        </is>
      </c>
      <c r="D331" s="43" t="inlineStr">
        <is>
          <t>FJZP</t>
        </is>
      </c>
      <c r="E331" s="43" t="inlineStr">
        <is>
          <t>MCGA</t>
        </is>
      </c>
      <c r="F331" s="43" t="inlineStr">
        <is>
          <t>73-20249-05</t>
        </is>
      </c>
      <c r="G331" s="43" t="inlineStr">
        <is>
          <t>BOARD_PN_CANDIDATE</t>
        </is>
      </c>
      <c r="H331" s="43" t="inlineStr"/>
      <c r="I331" s="43" t="inlineStr">
        <is>
          <t>Expired</t>
        </is>
      </c>
      <c r="J331" s="32" t="n">
        <v>45923</v>
      </c>
      <c r="K331" s="32" t="n">
        <v>45853</v>
      </c>
      <c r="L331" s="43" t="inlineStr">
        <is>
          <t>927</t>
        </is>
      </c>
      <c r="M331" s="43" t="n">
        <v>1</v>
      </c>
      <c r="N331" s="33" t="inlineStr"/>
      <c r="O331" s="43" t="inlineStr">
        <is>
          <t>UNVERIFIED</t>
        </is>
      </c>
      <c r="P331" s="43" t="inlineStr">
        <is>
          <t>Pending Review</t>
        </is>
      </c>
      <c r="Q331" s="33" t="inlineStr">
        <is>
          <t>Confirmar SKU/PCBA revision, PN exacto en Common DB, WO, BU, vigencia, planta y aprobacion firmada.</t>
        </is>
      </c>
    </row>
    <row r="332">
      <c r="A332" s="43" t="inlineStr">
        <is>
          <t>CTANJZ04691</t>
        </is>
      </c>
      <c r="B332" s="43" t="inlineStr">
        <is>
          <t>D604637</t>
        </is>
      </c>
      <c r="C332" s="43" t="inlineStr">
        <is>
          <t>037-STBU</t>
        </is>
      </c>
      <c r="D332" s="43" t="inlineStr">
        <is>
          <t>FJZP</t>
        </is>
      </c>
      <c r="E332" s="43" t="inlineStr">
        <is>
          <t>MCGA</t>
        </is>
      </c>
      <c r="F332" s="43" t="inlineStr">
        <is>
          <t>800-108035-04</t>
        </is>
      </c>
      <c r="G332" s="43" t="inlineStr">
        <is>
          <t>OTHER_SCOPE_ITEM</t>
        </is>
      </c>
      <c r="H332" s="43" t="inlineStr"/>
      <c r="I332" s="43" t="inlineStr">
        <is>
          <t>Expired</t>
        </is>
      </c>
      <c r="J332" s="32" t="n">
        <v>45923</v>
      </c>
      <c r="K332" s="32" t="n">
        <v>45853</v>
      </c>
      <c r="L332" s="43" t="inlineStr">
        <is>
          <t>928</t>
        </is>
      </c>
      <c r="M332" s="43" t="n">
        <v>1</v>
      </c>
      <c r="N332" s="33" t="inlineStr"/>
      <c r="O332" s="43" t="inlineStr">
        <is>
          <t>UNVERIFIED</t>
        </is>
      </c>
      <c r="P332" s="43" t="inlineStr">
        <is>
          <t>Pending Review</t>
        </is>
      </c>
      <c r="Q332" s="33" t="inlineStr">
        <is>
          <t>Confirmar SKU/PCBA revision, PN exacto en Common DB, WO, BU, vigencia, planta y aprobacion firmada.</t>
        </is>
      </c>
    </row>
    <row r="333">
      <c r="A333" s="43" t="inlineStr">
        <is>
          <t>CTANJZ04691</t>
        </is>
      </c>
      <c r="B333" s="43" t="inlineStr">
        <is>
          <t>D604637</t>
        </is>
      </c>
      <c r="C333" s="43" t="inlineStr">
        <is>
          <t>037-STBU</t>
        </is>
      </c>
      <c r="D333" s="43" t="inlineStr">
        <is>
          <t>FJZP</t>
        </is>
      </c>
      <c r="E333" s="43" t="inlineStr">
        <is>
          <t>MCGA</t>
        </is>
      </c>
      <c r="F333" s="43" t="inlineStr">
        <is>
          <t>800-108036-04</t>
        </is>
      </c>
      <c r="G333" s="43" t="inlineStr">
        <is>
          <t>OTHER_SCOPE_ITEM</t>
        </is>
      </c>
      <c r="H333" s="43" t="inlineStr"/>
      <c r="I333" s="43" t="inlineStr">
        <is>
          <t>Expired</t>
        </is>
      </c>
      <c r="J333" s="32" t="n">
        <v>45923</v>
      </c>
      <c r="K333" s="32" t="n">
        <v>45853</v>
      </c>
      <c r="L333" s="43" t="inlineStr">
        <is>
          <t>929</t>
        </is>
      </c>
      <c r="M333" s="43" t="n">
        <v>1</v>
      </c>
      <c r="N333" s="33" t="inlineStr"/>
      <c r="O333" s="43" t="inlineStr">
        <is>
          <t>UNVERIFIED</t>
        </is>
      </c>
      <c r="P333" s="43" t="inlineStr">
        <is>
          <t>Pending Review</t>
        </is>
      </c>
      <c r="Q333" s="33" t="inlineStr">
        <is>
          <t>Confirmar SKU/PCBA revision, PN exacto en Common DB, WO, BU, vigencia, planta y aprobacion firmada.</t>
        </is>
      </c>
    </row>
    <row r="334">
      <c r="A334" s="43" t="inlineStr">
        <is>
          <t>CTANJZ04691</t>
        </is>
      </c>
      <c r="B334" s="43" t="inlineStr">
        <is>
          <t>D604637</t>
        </is>
      </c>
      <c r="C334" s="43" t="inlineStr">
        <is>
          <t>037-STBU</t>
        </is>
      </c>
      <c r="D334" s="43" t="inlineStr">
        <is>
          <t>FJZP</t>
        </is>
      </c>
      <c r="E334" s="43" t="inlineStr">
        <is>
          <t>MCGA</t>
        </is>
      </c>
      <c r="F334" s="43" t="inlineStr">
        <is>
          <t>800-108037-04</t>
        </is>
      </c>
      <c r="G334" s="43" t="inlineStr">
        <is>
          <t>OTHER_SCOPE_ITEM</t>
        </is>
      </c>
      <c r="H334" s="43" t="inlineStr"/>
      <c r="I334" s="43" t="inlineStr">
        <is>
          <t>Expired</t>
        </is>
      </c>
      <c r="J334" s="32" t="n">
        <v>45923</v>
      </c>
      <c r="K334" s="32" t="n">
        <v>45853</v>
      </c>
      <c r="L334" s="43" t="inlineStr">
        <is>
          <t>930</t>
        </is>
      </c>
      <c r="M334" s="43" t="n">
        <v>1</v>
      </c>
      <c r="N334" s="33" t="inlineStr"/>
      <c r="O334" s="43" t="inlineStr">
        <is>
          <t>UNVERIFIED</t>
        </is>
      </c>
      <c r="P334" s="43" t="inlineStr">
        <is>
          <t>Pending Review</t>
        </is>
      </c>
      <c r="Q334" s="33" t="inlineStr">
        <is>
          <t>Confirmar SKU/PCBA revision, PN exacto en Common DB, WO, BU, vigencia, planta y aprobacion firmada.</t>
        </is>
      </c>
    </row>
    <row r="335">
      <c r="A335" s="43" t="inlineStr">
        <is>
          <t>CTANJZ04691</t>
        </is>
      </c>
      <c r="B335" s="43" t="inlineStr">
        <is>
          <t>D604637</t>
        </is>
      </c>
      <c r="C335" s="43" t="inlineStr">
        <is>
          <t>037-STBU</t>
        </is>
      </c>
      <c r="D335" s="43" t="inlineStr">
        <is>
          <t>FJZP</t>
        </is>
      </c>
      <c r="E335" s="43" t="inlineStr">
        <is>
          <t>MCGA</t>
        </is>
      </c>
      <c r="F335" s="43" t="inlineStr">
        <is>
          <t>800-108038-04</t>
        </is>
      </c>
      <c r="G335" s="43" t="inlineStr">
        <is>
          <t>OTHER_SCOPE_ITEM</t>
        </is>
      </c>
      <c r="H335" s="43" t="inlineStr"/>
      <c r="I335" s="43" t="inlineStr">
        <is>
          <t>Expired</t>
        </is>
      </c>
      <c r="J335" s="32" t="n">
        <v>45923</v>
      </c>
      <c r="K335" s="32" t="n">
        <v>45853</v>
      </c>
      <c r="L335" s="43" t="inlineStr">
        <is>
          <t>931</t>
        </is>
      </c>
      <c r="M335" s="43" t="n">
        <v>1</v>
      </c>
      <c r="N335" s="33" t="inlineStr"/>
      <c r="O335" s="43" t="inlineStr">
        <is>
          <t>UNVERIFIED</t>
        </is>
      </c>
      <c r="P335" s="43" t="inlineStr">
        <is>
          <t>Pending Review</t>
        </is>
      </c>
      <c r="Q335" s="33" t="inlineStr">
        <is>
          <t>Confirmar SKU/PCBA revision, PN exacto en Common DB, WO, BU, vigencia, planta y aprobacion firmada.</t>
        </is>
      </c>
    </row>
    <row r="336">
      <c r="A336" s="43" t="inlineStr">
        <is>
          <t>CTANJZ04691</t>
        </is>
      </c>
      <c r="B336" s="43" t="inlineStr">
        <is>
          <t>D604637</t>
        </is>
      </c>
      <c r="C336" s="43" t="inlineStr">
        <is>
          <t>037-STBU</t>
        </is>
      </c>
      <c r="D336" s="43" t="inlineStr">
        <is>
          <t>FJZP</t>
        </is>
      </c>
      <c r="E336" s="43" t="inlineStr">
        <is>
          <t>MCGA</t>
        </is>
      </c>
      <c r="F336" s="43" t="inlineStr">
        <is>
          <t>800-110666-01</t>
        </is>
      </c>
      <c r="G336" s="43" t="inlineStr">
        <is>
          <t>OTHER_SCOPE_ITEM</t>
        </is>
      </c>
      <c r="H336" s="43" t="inlineStr"/>
      <c r="I336" s="43" t="inlineStr">
        <is>
          <t>Expired</t>
        </is>
      </c>
      <c r="J336" s="32" t="n">
        <v>45923</v>
      </c>
      <c r="K336" s="32" t="n">
        <v>45853</v>
      </c>
      <c r="L336" s="43" t="inlineStr">
        <is>
          <t>932</t>
        </is>
      </c>
      <c r="M336" s="43" t="n">
        <v>1</v>
      </c>
      <c r="N336" s="33" t="inlineStr"/>
      <c r="O336" s="43" t="inlineStr">
        <is>
          <t>UNVERIFIED</t>
        </is>
      </c>
      <c r="P336" s="43" t="inlineStr">
        <is>
          <t>Pending Review</t>
        </is>
      </c>
      <c r="Q336" s="33" t="inlineStr">
        <is>
          <t>Confirmar SKU/PCBA revision, PN exacto en Common DB, WO, BU, vigencia, planta y aprobacion firmada.</t>
        </is>
      </c>
    </row>
    <row r="337">
      <c r="A337" s="43" t="inlineStr">
        <is>
          <t>CTANJZ04693</t>
        </is>
      </c>
      <c r="B337" s="43" t="inlineStr">
        <is>
          <t>D603586</t>
        </is>
      </c>
      <c r="C337" s="43" t="inlineStr">
        <is>
          <t>037-STBU</t>
        </is>
      </c>
      <c r="D337" s="43" t="inlineStr">
        <is>
          <t>FJZP</t>
        </is>
      </c>
      <c r="E337" s="43" t="inlineStr">
        <is>
          <t>MCGA</t>
        </is>
      </c>
      <c r="F337" s="43" t="inlineStr">
        <is>
          <t>20-0405-01</t>
        </is>
      </c>
      <c r="G337" s="43" t="inlineStr">
        <is>
          <t>OTHER_SCOPE_ITEM</t>
        </is>
      </c>
      <c r="H337" s="43" t="inlineStr"/>
      <c r="I337" s="43" t="inlineStr">
        <is>
          <t>Expired</t>
        </is>
      </c>
      <c r="J337" s="32" t="n">
        <v>45889</v>
      </c>
      <c r="K337" s="32" t="n">
        <v>45853</v>
      </c>
      <c r="L337" s="43" t="inlineStr">
        <is>
          <t>1436</t>
        </is>
      </c>
      <c r="M337" s="43" t="n">
        <v>1</v>
      </c>
      <c r="N337" s="33" t="inlineStr"/>
      <c r="O337" s="43" t="inlineStr">
        <is>
          <t>UNVERIFIED</t>
        </is>
      </c>
      <c r="P337" s="43" t="inlineStr">
        <is>
          <t>Pending Review</t>
        </is>
      </c>
      <c r="Q337" s="33" t="inlineStr">
        <is>
          <t>Confirmar SKU/PCBA revision, PN exacto en Common DB, WO, BU, vigencia, planta y aprobacion firmada.</t>
        </is>
      </c>
    </row>
    <row r="338">
      <c r="A338" s="43" t="inlineStr">
        <is>
          <t>CTANJZ04699</t>
        </is>
      </c>
      <c r="B338" s="43" t="inlineStr">
        <is>
          <t>D604620</t>
        </is>
      </c>
      <c r="C338" s="43" t="inlineStr">
        <is>
          <t>035-CVEBU</t>
        </is>
      </c>
      <c r="D338" s="43" t="inlineStr">
        <is>
          <t>FJZP</t>
        </is>
      </c>
      <c r="E338" s="43" t="inlineStr">
        <is>
          <t>MCGA</t>
        </is>
      </c>
      <c r="F338" s="43" t="inlineStr">
        <is>
          <t>341-100456-03</t>
        </is>
      </c>
      <c r="G338" s="43" t="inlineStr">
        <is>
          <t>OTHER_SCOPE_ITEM</t>
        </is>
      </c>
      <c r="H338" s="43" t="inlineStr"/>
      <c r="I338" s="43" t="inlineStr">
        <is>
          <t>Expired</t>
        </is>
      </c>
      <c r="J338" s="32" t="n">
        <v>45923</v>
      </c>
      <c r="K338" s="32" t="n">
        <v>45853</v>
      </c>
      <c r="L338" s="43" t="inlineStr">
        <is>
          <t>474</t>
        </is>
      </c>
      <c r="M338" s="43" t="n">
        <v>1</v>
      </c>
      <c r="N338" s="33" t="inlineStr"/>
      <c r="O338" s="43" t="inlineStr">
        <is>
          <t>UNVERIFIED</t>
        </is>
      </c>
      <c r="P338" s="43" t="inlineStr">
        <is>
          <t>Pending Review</t>
        </is>
      </c>
      <c r="Q338" s="33" t="inlineStr">
        <is>
          <t>Confirmar SKU/PCBA revision, PN exacto en Common DB, WO, BU, vigencia, planta y aprobacion firmada.</t>
        </is>
      </c>
    </row>
    <row r="339">
      <c r="A339" s="43" t="inlineStr">
        <is>
          <t>CTANJZ04702</t>
        </is>
      </c>
      <c r="B339" s="43" t="inlineStr">
        <is>
          <t>D604757</t>
        </is>
      </c>
      <c r="C339" s="43" t="inlineStr">
        <is>
          <t>037-STBU</t>
        </is>
      </c>
      <c r="D339" s="43" t="inlineStr">
        <is>
          <t>FJZP</t>
        </is>
      </c>
      <c r="E339" s="43" t="inlineStr">
        <is>
          <t>MCGA</t>
        </is>
      </c>
      <c r="F339" s="43" t="inlineStr">
        <is>
          <t>20-0041-02</t>
        </is>
      </c>
      <c r="G339" s="43" t="inlineStr">
        <is>
          <t>OTHER_SCOPE_ITEM</t>
        </is>
      </c>
      <c r="H339" s="43" t="inlineStr"/>
      <c r="I339" s="43" t="inlineStr">
        <is>
          <t>Expired</t>
        </is>
      </c>
      <c r="J339" s="32" t="n">
        <v>45930</v>
      </c>
      <c r="K339" s="32" t="n">
        <v>45856</v>
      </c>
      <c r="L339" s="43" t="inlineStr">
        <is>
          <t>1432</t>
        </is>
      </c>
      <c r="M339" s="43" t="n">
        <v>1</v>
      </c>
      <c r="N339" s="33" t="inlineStr"/>
      <c r="O339" s="43" t="inlineStr">
        <is>
          <t>UNVERIFIED</t>
        </is>
      </c>
      <c r="P339" s="43" t="inlineStr">
        <is>
          <t>Pending Review</t>
        </is>
      </c>
      <c r="Q339" s="33" t="inlineStr">
        <is>
          <t>Confirmar SKU/PCBA revision, PN exacto en Common DB, WO, BU, vigencia, planta y aprobacion firmada.</t>
        </is>
      </c>
    </row>
    <row r="340">
      <c r="A340" s="43" t="inlineStr">
        <is>
          <t>CTANJZ04702</t>
        </is>
      </c>
      <c r="B340" s="43" t="inlineStr">
        <is>
          <t>D604757</t>
        </is>
      </c>
      <c r="C340" s="43" t="inlineStr">
        <is>
          <t>037-STBU</t>
        </is>
      </c>
      <c r="D340" s="43" t="inlineStr">
        <is>
          <t>FJZP</t>
        </is>
      </c>
      <c r="E340" s="43" t="inlineStr">
        <is>
          <t>MCGA</t>
        </is>
      </c>
      <c r="F340" s="43" t="inlineStr">
        <is>
          <t>73-18490-09</t>
        </is>
      </c>
      <c r="G340" s="43" t="inlineStr">
        <is>
          <t>BOARD_PN_CANDIDATE</t>
        </is>
      </c>
      <c r="H340" s="43" t="inlineStr"/>
      <c r="I340" s="43" t="inlineStr">
        <is>
          <t>Expired</t>
        </is>
      </c>
      <c r="J340" s="32" t="n">
        <v>45930</v>
      </c>
      <c r="K340" s="32" t="n">
        <v>45856</v>
      </c>
      <c r="L340" s="43" t="inlineStr">
        <is>
          <t>1433</t>
        </is>
      </c>
      <c r="M340" s="43" t="n">
        <v>1</v>
      </c>
      <c r="N340" s="33" t="inlineStr"/>
      <c r="O340" s="43" t="inlineStr">
        <is>
          <t>UNVERIFIED</t>
        </is>
      </c>
      <c r="P340" s="43" t="inlineStr">
        <is>
          <t>Pending Review</t>
        </is>
      </c>
      <c r="Q340" s="33" t="inlineStr">
        <is>
          <t>Confirmar SKU/PCBA revision, PN exacto en Common DB, WO, BU, vigencia, planta y aprobacion firmada.</t>
        </is>
      </c>
    </row>
    <row r="341">
      <c r="A341" s="43" t="inlineStr">
        <is>
          <t>CTANJZ04703</t>
        </is>
      </c>
      <c r="B341" s="43" t="inlineStr">
        <is>
          <t>D604633</t>
        </is>
      </c>
      <c r="C341" s="43" t="inlineStr">
        <is>
          <t>037-STBU</t>
        </is>
      </c>
      <c r="D341" s="43" t="inlineStr">
        <is>
          <t>FJZP</t>
        </is>
      </c>
      <c r="E341" s="43" t="inlineStr">
        <is>
          <t>MCGA</t>
        </is>
      </c>
      <c r="F341" s="43" t="inlineStr">
        <is>
          <t>20-0643-01</t>
        </is>
      </c>
      <c r="G341" s="43" t="inlineStr">
        <is>
          <t>OTHER_SCOPE_ITEM</t>
        </is>
      </c>
      <c r="H341" s="43" t="inlineStr"/>
      <c r="I341" s="43" t="inlineStr">
        <is>
          <t>Expired</t>
        </is>
      </c>
      <c r="J341" s="32" t="n">
        <v>45930</v>
      </c>
      <c r="K341" s="32" t="n">
        <v>45856</v>
      </c>
      <c r="L341" s="43" t="inlineStr">
        <is>
          <t>1428</t>
        </is>
      </c>
      <c r="M341" s="43" t="n">
        <v>1</v>
      </c>
      <c r="N341" s="33" t="inlineStr"/>
      <c r="O341" s="43" t="inlineStr">
        <is>
          <t>UNVERIFIED</t>
        </is>
      </c>
      <c r="P341" s="43" t="inlineStr">
        <is>
          <t>Pending Review</t>
        </is>
      </c>
      <c r="Q341" s="33" t="inlineStr">
        <is>
          <t>Confirmar SKU/PCBA revision, PN exacto en Common DB, WO, BU, vigencia, planta y aprobacion firmada.</t>
        </is>
      </c>
    </row>
    <row r="342">
      <c r="A342" s="43" t="inlineStr">
        <is>
          <t>CTANJZ04703</t>
        </is>
      </c>
      <c r="B342" s="43" t="inlineStr">
        <is>
          <t>D604633</t>
        </is>
      </c>
      <c r="C342" s="43" t="inlineStr">
        <is>
          <t>037-STBU</t>
        </is>
      </c>
      <c r="D342" s="43" t="inlineStr">
        <is>
          <t>FJZP</t>
        </is>
      </c>
      <c r="E342" s="43" t="inlineStr">
        <is>
          <t>MCGA</t>
        </is>
      </c>
      <c r="F342" s="43" t="inlineStr">
        <is>
          <t>73-18489-07</t>
        </is>
      </c>
      <c r="G342" s="43" t="inlineStr">
        <is>
          <t>BOARD_PN_CANDIDATE</t>
        </is>
      </c>
      <c r="H342" s="43" t="inlineStr"/>
      <c r="I342" s="43" t="inlineStr">
        <is>
          <t>Expired</t>
        </is>
      </c>
      <c r="J342" s="32" t="n">
        <v>45930</v>
      </c>
      <c r="K342" s="32" t="n">
        <v>45856</v>
      </c>
      <c r="L342" s="43" t="inlineStr">
        <is>
          <t>1429</t>
        </is>
      </c>
      <c r="M342" s="43" t="n">
        <v>1</v>
      </c>
      <c r="N342" s="33" t="inlineStr"/>
      <c r="O342" s="43" t="inlineStr">
        <is>
          <t>UNVERIFIED</t>
        </is>
      </c>
      <c r="P342" s="43" t="inlineStr">
        <is>
          <t>Pending Review</t>
        </is>
      </c>
      <c r="Q342" s="33" t="inlineStr">
        <is>
          <t>Confirmar SKU/PCBA revision, PN exacto en Common DB, WO, BU, vigencia, planta y aprobacion firmada.</t>
        </is>
      </c>
    </row>
    <row r="343">
      <c r="A343" s="43" t="inlineStr">
        <is>
          <t>CTANJZ04705</t>
        </is>
      </c>
      <c r="B343" s="43" t="inlineStr">
        <is>
          <t>D604634</t>
        </is>
      </c>
      <c r="C343" s="43" t="inlineStr">
        <is>
          <t>037-STBU</t>
        </is>
      </c>
      <c r="D343" s="43" t="inlineStr">
        <is>
          <t>FJZP</t>
        </is>
      </c>
      <c r="E343" s="43" t="inlineStr">
        <is>
          <t>MCGA</t>
        </is>
      </c>
      <c r="F343" s="43" t="inlineStr">
        <is>
          <t>20-0643-01</t>
        </is>
      </c>
      <c r="G343" s="43" t="inlineStr">
        <is>
          <t>OTHER_SCOPE_ITEM</t>
        </is>
      </c>
      <c r="H343" s="43" t="inlineStr"/>
      <c r="I343" s="43" t="inlineStr">
        <is>
          <t>Expired</t>
        </is>
      </c>
      <c r="J343" s="32" t="n">
        <v>45930</v>
      </c>
      <c r="K343" s="32" t="n">
        <v>45856</v>
      </c>
      <c r="L343" s="43" t="inlineStr">
        <is>
          <t>1430</t>
        </is>
      </c>
      <c r="M343" s="43" t="n">
        <v>1</v>
      </c>
      <c r="N343" s="33" t="inlineStr"/>
      <c r="O343" s="43" t="inlineStr">
        <is>
          <t>UNVERIFIED</t>
        </is>
      </c>
      <c r="P343" s="43" t="inlineStr">
        <is>
          <t>Pending Review</t>
        </is>
      </c>
      <c r="Q343" s="33" t="inlineStr">
        <is>
          <t>Confirmar SKU/PCBA revision, PN exacto en Common DB, WO, BU, vigencia, planta y aprobacion firmada.</t>
        </is>
      </c>
    </row>
    <row r="344">
      <c r="A344" s="43" t="inlineStr">
        <is>
          <t>CTANJZ04705</t>
        </is>
      </c>
      <c r="B344" s="43" t="inlineStr">
        <is>
          <t>D604634</t>
        </is>
      </c>
      <c r="C344" s="43" t="inlineStr">
        <is>
          <t>037-STBU</t>
        </is>
      </c>
      <c r="D344" s="43" t="inlineStr">
        <is>
          <t>FJZP</t>
        </is>
      </c>
      <c r="E344" s="43" t="inlineStr">
        <is>
          <t>MCGA</t>
        </is>
      </c>
      <c r="F344" s="43" t="inlineStr">
        <is>
          <t>73-18488-07</t>
        </is>
      </c>
      <c r="G344" s="43" t="inlineStr">
        <is>
          <t>BOARD_PN_CANDIDATE</t>
        </is>
      </c>
      <c r="H344" s="43" t="inlineStr"/>
      <c r="I344" s="43" t="inlineStr">
        <is>
          <t>Expired</t>
        </is>
      </c>
      <c r="J344" s="32" t="n">
        <v>45930</v>
      </c>
      <c r="K344" s="32" t="n">
        <v>45856</v>
      </c>
      <c r="L344" s="43" t="inlineStr">
        <is>
          <t>1431</t>
        </is>
      </c>
      <c r="M344" s="43" t="n">
        <v>1</v>
      </c>
      <c r="N344" s="33" t="inlineStr"/>
      <c r="O344" s="43" t="inlineStr">
        <is>
          <t>UNVERIFIED</t>
        </is>
      </c>
      <c r="P344" s="43" t="inlineStr">
        <is>
          <t>Pending Review</t>
        </is>
      </c>
      <c r="Q344" s="33" t="inlineStr">
        <is>
          <t>Confirmar SKU/PCBA revision, PN exacto en Common DB, WO, BU, vigencia, planta y aprobacion firmada.</t>
        </is>
      </c>
    </row>
    <row r="345">
      <c r="A345" s="43" t="inlineStr">
        <is>
          <t>CTANJZ04706</t>
        </is>
      </c>
      <c r="B345" s="43" t="inlineStr">
        <is>
          <t>DP525064</t>
        </is>
      </c>
      <c r="C345" s="43" t="inlineStr">
        <is>
          <t>035-CVEBU</t>
        </is>
      </c>
      <c r="D345" s="43" t="inlineStr">
        <is>
          <t>FJZP</t>
        </is>
      </c>
      <c r="E345" s="43" t="inlineStr">
        <is>
          <t>MCGA</t>
        </is>
      </c>
      <c r="F345" s="43" t="inlineStr">
        <is>
          <t>341-101700-01</t>
        </is>
      </c>
      <c r="G345" s="43" t="inlineStr">
        <is>
          <t>OTHER_SCOPE_ITEM</t>
        </is>
      </c>
      <c r="H345" s="43" t="inlineStr"/>
      <c r="I345" s="43" t="inlineStr">
        <is>
          <t>Expired</t>
        </is>
      </c>
      <c r="J345" s="32" t="n">
        <v>45900</v>
      </c>
      <c r="K345" s="32" t="n">
        <v>45853</v>
      </c>
      <c r="L345" s="43" t="inlineStr">
        <is>
          <t>372</t>
        </is>
      </c>
      <c r="M345" s="43" t="n">
        <v>1</v>
      </c>
      <c r="N345" s="33" t="inlineStr"/>
      <c r="O345" s="43" t="inlineStr">
        <is>
          <t>UNVERIFIED</t>
        </is>
      </c>
      <c r="P345" s="43" t="inlineStr">
        <is>
          <t>Pending Review</t>
        </is>
      </c>
      <c r="Q345" s="33" t="inlineStr">
        <is>
          <t>Confirmar SKU/PCBA revision, PN exacto en Common DB, WO, BU, vigencia, planta y aprobacion firmada.</t>
        </is>
      </c>
    </row>
    <row r="346">
      <c r="A346" s="43" t="inlineStr">
        <is>
          <t>CTANJZ04706</t>
        </is>
      </c>
      <c r="B346" s="43" t="inlineStr">
        <is>
          <t>DP525064</t>
        </is>
      </c>
      <c r="C346" s="43" t="inlineStr">
        <is>
          <t>035-CVEBU</t>
        </is>
      </c>
      <c r="D346" s="43" t="inlineStr">
        <is>
          <t>FJZP</t>
        </is>
      </c>
      <c r="E346" s="43" t="inlineStr">
        <is>
          <t>MCGA</t>
        </is>
      </c>
      <c r="F346" s="43" t="inlineStr">
        <is>
          <t>51-103504-01</t>
        </is>
      </c>
      <c r="G346" s="43" t="inlineStr">
        <is>
          <t>OTHER_SCOPE_ITEM</t>
        </is>
      </c>
      <c r="H346" s="43" t="inlineStr"/>
      <c r="I346" s="43" t="inlineStr">
        <is>
          <t>Expired</t>
        </is>
      </c>
      <c r="J346" s="32" t="n">
        <v>45900</v>
      </c>
      <c r="K346" s="32" t="n">
        <v>45853</v>
      </c>
      <c r="L346" s="43" t="inlineStr">
        <is>
          <t>373</t>
        </is>
      </c>
      <c r="M346" s="43" t="n">
        <v>1</v>
      </c>
      <c r="N346" s="33" t="inlineStr"/>
      <c r="O346" s="43" t="inlineStr">
        <is>
          <t>UNVERIFIED</t>
        </is>
      </c>
      <c r="P346" s="43" t="inlineStr">
        <is>
          <t>Pending Review</t>
        </is>
      </c>
      <c r="Q346" s="33" t="inlineStr">
        <is>
          <t>Confirmar SKU/PCBA revision, PN exacto en Common DB, WO, BU, vigencia, planta y aprobacion firmada.</t>
        </is>
      </c>
    </row>
    <row r="347">
      <c r="A347" s="43" t="inlineStr">
        <is>
          <t>CTANJZ04706</t>
        </is>
      </c>
      <c r="B347" s="43" t="inlineStr">
        <is>
          <t>DP525064</t>
        </is>
      </c>
      <c r="C347" s="43" t="inlineStr">
        <is>
          <t>035-CVEBU</t>
        </is>
      </c>
      <c r="D347" s="43" t="inlineStr">
        <is>
          <t>FJZP</t>
        </is>
      </c>
      <c r="E347" s="43" t="inlineStr">
        <is>
          <t>MCGA</t>
        </is>
      </c>
      <c r="F347" s="43" t="inlineStr">
        <is>
          <t>68-104855-01</t>
        </is>
      </c>
      <c r="G347" s="43" t="inlineStr">
        <is>
          <t>OTHER_SCOPE_ITEM</t>
        </is>
      </c>
      <c r="H347" s="43" t="inlineStr"/>
      <c r="I347" s="43" t="inlineStr">
        <is>
          <t>Expired</t>
        </is>
      </c>
      <c r="J347" s="32" t="n">
        <v>45900</v>
      </c>
      <c r="K347" s="32" t="n">
        <v>45853</v>
      </c>
      <c r="L347" s="43" t="inlineStr">
        <is>
          <t>374</t>
        </is>
      </c>
      <c r="M347" s="43" t="n">
        <v>1</v>
      </c>
      <c r="N347" s="33" t="inlineStr"/>
      <c r="O347" s="43" t="inlineStr">
        <is>
          <t>UNVERIFIED</t>
        </is>
      </c>
      <c r="P347" s="43" t="inlineStr">
        <is>
          <t>Pending Review</t>
        </is>
      </c>
      <c r="Q347" s="33" t="inlineStr">
        <is>
          <t>Confirmar SKU/PCBA revision, PN exacto en Common DB, WO, BU, vigencia, planta y aprobacion firmada.</t>
        </is>
      </c>
    </row>
    <row r="348">
      <c r="A348" s="43" t="inlineStr">
        <is>
          <t>CTANJZ04706</t>
        </is>
      </c>
      <c r="B348" s="43" t="inlineStr">
        <is>
          <t>DP525064</t>
        </is>
      </c>
      <c r="C348" s="43" t="inlineStr">
        <is>
          <t>035-CVEBU</t>
        </is>
      </c>
      <c r="D348" s="43" t="inlineStr">
        <is>
          <t>FJZP</t>
        </is>
      </c>
      <c r="E348" s="43" t="inlineStr">
        <is>
          <t>MCGA</t>
        </is>
      </c>
      <c r="F348" s="43" t="inlineStr">
        <is>
          <t>700-137369-01</t>
        </is>
      </c>
      <c r="G348" s="43" t="inlineStr">
        <is>
          <t>OTHER_SCOPE_ITEM</t>
        </is>
      </c>
      <c r="H348" s="43" t="inlineStr"/>
      <c r="I348" s="43" t="inlineStr">
        <is>
          <t>Expired</t>
        </is>
      </c>
      <c r="J348" s="32" t="n">
        <v>45900</v>
      </c>
      <c r="K348" s="32" t="n">
        <v>45853</v>
      </c>
      <c r="L348" s="43" t="inlineStr">
        <is>
          <t>375</t>
        </is>
      </c>
      <c r="M348" s="43" t="n">
        <v>1</v>
      </c>
      <c r="N348" s="33" t="inlineStr"/>
      <c r="O348" s="43" t="inlineStr">
        <is>
          <t>UNVERIFIED</t>
        </is>
      </c>
      <c r="P348" s="43" t="inlineStr">
        <is>
          <t>Pending Review</t>
        </is>
      </c>
      <c r="Q348" s="33" t="inlineStr">
        <is>
          <t>Confirmar SKU/PCBA revision, PN exacto en Common DB, WO, BU, vigencia, planta y aprobacion firmada.</t>
        </is>
      </c>
    </row>
    <row r="349">
      <c r="A349" s="43" t="inlineStr">
        <is>
          <t>CTANJZ04706</t>
        </is>
      </c>
      <c r="B349" s="43" t="inlineStr">
        <is>
          <t>DP525064</t>
        </is>
      </c>
      <c r="C349" s="43" t="inlineStr">
        <is>
          <t>035-CVEBU</t>
        </is>
      </c>
      <c r="D349" s="43" t="inlineStr">
        <is>
          <t>FJZP</t>
        </is>
      </c>
      <c r="E349" s="43" t="inlineStr">
        <is>
          <t>MCGA</t>
        </is>
      </c>
      <c r="F349" s="43" t="inlineStr">
        <is>
          <t>700-137370-01</t>
        </is>
      </c>
      <c r="G349" s="43" t="inlineStr">
        <is>
          <t>OTHER_SCOPE_ITEM</t>
        </is>
      </c>
      <c r="H349" s="43" t="inlineStr"/>
      <c r="I349" s="43" t="inlineStr">
        <is>
          <t>Expired</t>
        </is>
      </c>
      <c r="J349" s="32" t="n">
        <v>45900</v>
      </c>
      <c r="K349" s="32" t="n">
        <v>45853</v>
      </c>
      <c r="L349" s="43" t="inlineStr">
        <is>
          <t>376</t>
        </is>
      </c>
      <c r="M349" s="43" t="n">
        <v>1</v>
      </c>
      <c r="N349" s="33" t="inlineStr"/>
      <c r="O349" s="43" t="inlineStr">
        <is>
          <t>UNVERIFIED</t>
        </is>
      </c>
      <c r="P349" s="43" t="inlineStr">
        <is>
          <t>Pending Review</t>
        </is>
      </c>
      <c r="Q349" s="33" t="inlineStr">
        <is>
          <t>Confirmar SKU/PCBA revision, PN exacto en Common DB, WO, BU, vigencia, planta y aprobacion firmada.</t>
        </is>
      </c>
    </row>
    <row r="350">
      <c r="A350" s="43" t="inlineStr">
        <is>
          <t>CTANJZ04706</t>
        </is>
      </c>
      <c r="B350" s="43" t="inlineStr">
        <is>
          <t>DP525064</t>
        </is>
      </c>
      <c r="C350" s="43" t="inlineStr">
        <is>
          <t>035-CVEBU</t>
        </is>
      </c>
      <c r="D350" s="43" t="inlineStr">
        <is>
          <t>FJZP</t>
        </is>
      </c>
      <c r="E350" s="43" t="inlineStr">
        <is>
          <t>MCGA</t>
        </is>
      </c>
      <c r="F350" s="43" t="inlineStr">
        <is>
          <t>700-137371-01</t>
        </is>
      </c>
      <c r="G350" s="43" t="inlineStr">
        <is>
          <t>OTHER_SCOPE_ITEM</t>
        </is>
      </c>
      <c r="H350" s="43" t="inlineStr"/>
      <c r="I350" s="43" t="inlineStr">
        <is>
          <t>Expired</t>
        </is>
      </c>
      <c r="J350" s="32" t="n">
        <v>45900</v>
      </c>
      <c r="K350" s="32" t="n">
        <v>45853</v>
      </c>
      <c r="L350" s="43" t="inlineStr">
        <is>
          <t>385</t>
        </is>
      </c>
      <c r="M350" s="43" t="n">
        <v>1</v>
      </c>
      <c r="N350" s="33" t="inlineStr"/>
      <c r="O350" s="43" t="inlineStr">
        <is>
          <t>UNVERIFIED</t>
        </is>
      </c>
      <c r="P350" s="43" t="inlineStr">
        <is>
          <t>Pending Review</t>
        </is>
      </c>
      <c r="Q350" s="33" t="inlineStr">
        <is>
          <t>Confirmar SKU/PCBA revision, PN exacto en Common DB, WO, BU, vigencia, planta y aprobacion firmada.</t>
        </is>
      </c>
    </row>
    <row r="351">
      <c r="A351" s="43" t="inlineStr">
        <is>
          <t>CTANJZ04706</t>
        </is>
      </c>
      <c r="B351" s="43" t="inlineStr">
        <is>
          <t>DP525064</t>
        </is>
      </c>
      <c r="C351" s="43" t="inlineStr">
        <is>
          <t>035-CVEBU</t>
        </is>
      </c>
      <c r="D351" s="43" t="inlineStr">
        <is>
          <t>FJZP</t>
        </is>
      </c>
      <c r="E351" s="43" t="inlineStr">
        <is>
          <t>MCGA</t>
        </is>
      </c>
      <c r="F351" s="43" t="inlineStr">
        <is>
          <t>700-137397-01</t>
        </is>
      </c>
      <c r="G351" s="43" t="inlineStr">
        <is>
          <t>OTHER_SCOPE_ITEM</t>
        </is>
      </c>
      <c r="H351" s="43" t="inlineStr"/>
      <c r="I351" s="43" t="inlineStr">
        <is>
          <t>Expired</t>
        </is>
      </c>
      <c r="J351" s="32" t="n">
        <v>45900</v>
      </c>
      <c r="K351" s="32" t="n">
        <v>45853</v>
      </c>
      <c r="L351" s="43" t="inlineStr">
        <is>
          <t>386</t>
        </is>
      </c>
      <c r="M351" s="43" t="n">
        <v>1</v>
      </c>
      <c r="N351" s="33" t="inlineStr"/>
      <c r="O351" s="43" t="inlineStr">
        <is>
          <t>UNVERIFIED</t>
        </is>
      </c>
      <c r="P351" s="43" t="inlineStr">
        <is>
          <t>Pending Review</t>
        </is>
      </c>
      <c r="Q351" s="33" t="inlineStr">
        <is>
          <t>Confirmar SKU/PCBA revision, PN exacto en Common DB, WO, BU, vigencia, planta y aprobacion firmada.</t>
        </is>
      </c>
    </row>
    <row r="352">
      <c r="A352" s="43" t="inlineStr">
        <is>
          <t>CTANJZ04706</t>
        </is>
      </c>
      <c r="B352" s="43" t="inlineStr">
        <is>
          <t>DP525064</t>
        </is>
      </c>
      <c r="C352" s="43" t="inlineStr">
        <is>
          <t>035-CVEBU</t>
        </is>
      </c>
      <c r="D352" s="43" t="inlineStr">
        <is>
          <t>FJZP</t>
        </is>
      </c>
      <c r="E352" s="43" t="inlineStr">
        <is>
          <t>MCGA</t>
        </is>
      </c>
      <c r="F352" s="43" t="inlineStr">
        <is>
          <t>700-137497-01</t>
        </is>
      </c>
      <c r="G352" s="43" t="inlineStr">
        <is>
          <t>OTHER_SCOPE_ITEM</t>
        </is>
      </c>
      <c r="H352" s="43" t="inlineStr"/>
      <c r="I352" s="43" t="inlineStr">
        <is>
          <t>Expired</t>
        </is>
      </c>
      <c r="J352" s="32" t="n">
        <v>45900</v>
      </c>
      <c r="K352" s="32" t="n">
        <v>45853</v>
      </c>
      <c r="L352" s="43" t="inlineStr">
        <is>
          <t>387</t>
        </is>
      </c>
      <c r="M352" s="43" t="n">
        <v>1</v>
      </c>
      <c r="N352" s="33" t="inlineStr"/>
      <c r="O352" s="43" t="inlineStr">
        <is>
          <t>UNVERIFIED</t>
        </is>
      </c>
      <c r="P352" s="43" t="inlineStr">
        <is>
          <t>Pending Review</t>
        </is>
      </c>
      <c r="Q352" s="33" t="inlineStr">
        <is>
          <t>Confirmar SKU/PCBA revision, PN exacto en Common DB, WO, BU, vigencia, planta y aprobacion firmada.</t>
        </is>
      </c>
    </row>
    <row r="353">
      <c r="A353" s="43" t="inlineStr">
        <is>
          <t>CTANJZ04706</t>
        </is>
      </c>
      <c r="B353" s="43" t="inlineStr">
        <is>
          <t>DP525064</t>
        </is>
      </c>
      <c r="C353" s="43" t="inlineStr">
        <is>
          <t>035-CVEBU</t>
        </is>
      </c>
      <c r="D353" s="43" t="inlineStr">
        <is>
          <t>FJZP</t>
        </is>
      </c>
      <c r="E353" s="43" t="inlineStr">
        <is>
          <t>MCGA</t>
        </is>
      </c>
      <c r="F353" s="43" t="inlineStr">
        <is>
          <t>700-137718-01</t>
        </is>
      </c>
      <c r="G353" s="43" t="inlineStr">
        <is>
          <t>OTHER_SCOPE_ITEM</t>
        </is>
      </c>
      <c r="H353" s="43" t="inlineStr"/>
      <c r="I353" s="43" t="inlineStr">
        <is>
          <t>Expired</t>
        </is>
      </c>
      <c r="J353" s="32" t="n">
        <v>45900</v>
      </c>
      <c r="K353" s="32" t="n">
        <v>45853</v>
      </c>
      <c r="L353" s="43" t="inlineStr">
        <is>
          <t>388</t>
        </is>
      </c>
      <c r="M353" s="43" t="n">
        <v>1</v>
      </c>
      <c r="N353" s="33" t="inlineStr"/>
      <c r="O353" s="43" t="inlineStr">
        <is>
          <t>UNVERIFIED</t>
        </is>
      </c>
      <c r="P353" s="43" t="inlineStr">
        <is>
          <t>Pending Review</t>
        </is>
      </c>
      <c r="Q353" s="33" t="inlineStr">
        <is>
          <t>Confirmar SKU/PCBA revision, PN exacto en Common DB, WO, BU, vigencia, planta y aprobacion firmada.</t>
        </is>
      </c>
    </row>
    <row r="354">
      <c r="A354" s="43" t="inlineStr">
        <is>
          <t>CTANJZ04706</t>
        </is>
      </c>
      <c r="B354" s="43" t="inlineStr">
        <is>
          <t>DP525064</t>
        </is>
      </c>
      <c r="C354" s="43" t="inlineStr">
        <is>
          <t>035-CVEBU</t>
        </is>
      </c>
      <c r="D354" s="43" t="inlineStr">
        <is>
          <t>FJZP</t>
        </is>
      </c>
      <c r="E354" s="43" t="inlineStr">
        <is>
          <t>MCGA</t>
        </is>
      </c>
      <c r="F354" s="43" t="inlineStr">
        <is>
          <t>700-138278-01</t>
        </is>
      </c>
      <c r="G354" s="43" t="inlineStr">
        <is>
          <t>OTHER_SCOPE_ITEM</t>
        </is>
      </c>
      <c r="H354" s="43" t="inlineStr"/>
      <c r="I354" s="43" t="inlineStr">
        <is>
          <t>Expired</t>
        </is>
      </c>
      <c r="J354" s="32" t="n">
        <v>45900</v>
      </c>
      <c r="K354" s="32" t="n">
        <v>45853</v>
      </c>
      <c r="L354" s="43" t="inlineStr">
        <is>
          <t>389</t>
        </is>
      </c>
      <c r="M354" s="43" t="n">
        <v>1</v>
      </c>
      <c r="N354" s="33" t="inlineStr"/>
      <c r="O354" s="43" t="inlineStr">
        <is>
          <t>UNVERIFIED</t>
        </is>
      </c>
      <c r="P354" s="43" t="inlineStr">
        <is>
          <t>Pending Review</t>
        </is>
      </c>
      <c r="Q354" s="33" t="inlineStr">
        <is>
          <t>Confirmar SKU/PCBA revision, PN exacto en Common DB, WO, BU, vigencia, planta y aprobacion firmada.</t>
        </is>
      </c>
    </row>
    <row r="355">
      <c r="A355" s="43" t="inlineStr">
        <is>
          <t>CTANJZ04706</t>
        </is>
      </c>
      <c r="B355" s="43" t="inlineStr">
        <is>
          <t>DP525064</t>
        </is>
      </c>
      <c r="C355" s="43" t="inlineStr">
        <is>
          <t>035-CVEBU</t>
        </is>
      </c>
      <c r="D355" s="43" t="inlineStr">
        <is>
          <t>FJZP</t>
        </is>
      </c>
      <c r="E355" s="43" t="inlineStr">
        <is>
          <t>MCGA</t>
        </is>
      </c>
      <c r="F355" s="43" t="inlineStr">
        <is>
          <t>700-138987-01</t>
        </is>
      </c>
      <c r="G355" s="43" t="inlineStr">
        <is>
          <t>OTHER_SCOPE_ITEM</t>
        </is>
      </c>
      <c r="H355" s="43" t="inlineStr"/>
      <c r="I355" s="43" t="inlineStr">
        <is>
          <t>Expired</t>
        </is>
      </c>
      <c r="J355" s="32" t="n">
        <v>45900</v>
      </c>
      <c r="K355" s="32" t="n">
        <v>45853</v>
      </c>
      <c r="L355" s="43" t="inlineStr">
        <is>
          <t>390</t>
        </is>
      </c>
      <c r="M355" s="43" t="n">
        <v>1</v>
      </c>
      <c r="N355" s="33" t="inlineStr"/>
      <c r="O355" s="43" t="inlineStr">
        <is>
          <t>UNVERIFIED</t>
        </is>
      </c>
      <c r="P355" s="43" t="inlineStr">
        <is>
          <t>Pending Review</t>
        </is>
      </c>
      <c r="Q355" s="33" t="inlineStr">
        <is>
          <t>Confirmar SKU/PCBA revision, PN exacto en Common DB, WO, BU, vigencia, planta y aprobacion firmada.</t>
        </is>
      </c>
    </row>
    <row r="356">
      <c r="A356" s="43" t="inlineStr">
        <is>
          <t>CTANJZ04706</t>
        </is>
      </c>
      <c r="B356" s="43" t="inlineStr">
        <is>
          <t>DP525064</t>
        </is>
      </c>
      <c r="C356" s="43" t="inlineStr">
        <is>
          <t>035-CVEBU</t>
        </is>
      </c>
      <c r="D356" s="43" t="inlineStr">
        <is>
          <t>FJZP</t>
        </is>
      </c>
      <c r="E356" s="43" t="inlineStr">
        <is>
          <t>MCGA</t>
        </is>
      </c>
      <c r="F356" s="43" t="inlineStr">
        <is>
          <t>73-103698-04</t>
        </is>
      </c>
      <c r="G356" s="43" t="inlineStr">
        <is>
          <t>BOARD_PN_CANDIDATE</t>
        </is>
      </c>
      <c r="H356" s="43" t="inlineStr"/>
      <c r="I356" s="43" t="inlineStr">
        <is>
          <t>Expired</t>
        </is>
      </c>
      <c r="J356" s="32" t="n">
        <v>45900</v>
      </c>
      <c r="K356" s="32" t="n">
        <v>45853</v>
      </c>
      <c r="L356" s="43" t="inlineStr">
        <is>
          <t>391</t>
        </is>
      </c>
      <c r="M356" s="43" t="n">
        <v>1</v>
      </c>
      <c r="N356" s="33" t="inlineStr"/>
      <c r="O356" s="43" t="inlineStr">
        <is>
          <t>UNVERIFIED</t>
        </is>
      </c>
      <c r="P356" s="43" t="inlineStr">
        <is>
          <t>Pending Review</t>
        </is>
      </c>
      <c r="Q356" s="33" t="inlineStr">
        <is>
          <t>Confirmar SKU/PCBA revision, PN exacto en Common DB, WO, BU, vigencia, planta y aprobacion firmada.</t>
        </is>
      </c>
    </row>
    <row r="357">
      <c r="A357" s="43" t="inlineStr">
        <is>
          <t>CTANJZ04706</t>
        </is>
      </c>
      <c r="B357" s="43" t="inlineStr">
        <is>
          <t>DP525064</t>
        </is>
      </c>
      <c r="C357" s="43" t="inlineStr">
        <is>
          <t>035-CVEBU</t>
        </is>
      </c>
      <c r="D357" s="43" t="inlineStr">
        <is>
          <t>FJZP</t>
        </is>
      </c>
      <c r="E357" s="43" t="inlineStr">
        <is>
          <t>MCGA</t>
        </is>
      </c>
      <c r="F357" s="43" t="inlineStr">
        <is>
          <t>73-103758-03</t>
        </is>
      </c>
      <c r="G357" s="43" t="inlineStr">
        <is>
          <t>BOARD_PN_CANDIDATE</t>
        </is>
      </c>
      <c r="H357" s="43" t="inlineStr"/>
      <c r="I357" s="43" t="inlineStr">
        <is>
          <t>Expired</t>
        </is>
      </c>
      <c r="J357" s="32" t="n">
        <v>45900</v>
      </c>
      <c r="K357" s="32" t="n">
        <v>45853</v>
      </c>
      <c r="L357" s="43" t="inlineStr">
        <is>
          <t>392</t>
        </is>
      </c>
      <c r="M357" s="43" t="n">
        <v>1</v>
      </c>
      <c r="N357" s="33" t="inlineStr"/>
      <c r="O357" s="43" t="inlineStr">
        <is>
          <t>UNVERIFIED</t>
        </is>
      </c>
      <c r="P357" s="43" t="inlineStr">
        <is>
          <t>Pending Review</t>
        </is>
      </c>
      <c r="Q357" s="33" t="inlineStr">
        <is>
          <t>Confirmar SKU/PCBA revision, PN exacto en Common DB, WO, BU, vigencia, planta y aprobacion firmada.</t>
        </is>
      </c>
    </row>
    <row r="358">
      <c r="A358" s="43" t="inlineStr">
        <is>
          <t>CTANJZ04707</t>
        </is>
      </c>
      <c r="B358" s="43" t="inlineStr">
        <is>
          <t>D604653</t>
        </is>
      </c>
      <c r="C358" s="43" t="inlineStr">
        <is>
          <t>037-STBU</t>
        </is>
      </c>
      <c r="D358" s="43" t="inlineStr">
        <is>
          <t>FJZP</t>
        </is>
      </c>
      <c r="E358" s="43" t="inlineStr">
        <is>
          <t>MCGA</t>
        </is>
      </c>
      <c r="F358" s="43" t="inlineStr">
        <is>
          <t>15-14278-01</t>
        </is>
      </c>
      <c r="G358" s="43" t="inlineStr">
        <is>
          <t>OTHER_SCOPE_ITEM</t>
        </is>
      </c>
      <c r="H358" s="43" t="inlineStr"/>
      <c r="I358" s="43" t="inlineStr">
        <is>
          <t>Expired</t>
        </is>
      </c>
      <c r="J358" s="32" t="n">
        <v>45930</v>
      </c>
      <c r="K358" s="32" t="n">
        <v>45856</v>
      </c>
      <c r="L358" s="43" t="inlineStr">
        <is>
          <t>1424</t>
        </is>
      </c>
      <c r="M358" s="43" t="n">
        <v>1</v>
      </c>
      <c r="N358" s="33" t="inlineStr"/>
      <c r="O358" s="43" t="inlineStr">
        <is>
          <t>UNVERIFIED</t>
        </is>
      </c>
      <c r="P358" s="43" t="inlineStr">
        <is>
          <t>Pending Review</t>
        </is>
      </c>
      <c r="Q358" s="33" t="inlineStr">
        <is>
          <t>Confirmar SKU/PCBA revision, PN exacto en Common DB, WO, BU, vigencia, planta y aprobacion firmada.</t>
        </is>
      </c>
    </row>
    <row r="359">
      <c r="A359" s="43" t="inlineStr">
        <is>
          <t>CTANJZ04707</t>
        </is>
      </c>
      <c r="B359" s="43" t="inlineStr">
        <is>
          <t>D604653</t>
        </is>
      </c>
      <c r="C359" s="43" t="inlineStr">
        <is>
          <t>037-STBU</t>
        </is>
      </c>
      <c r="D359" s="43" t="inlineStr">
        <is>
          <t>FJZP</t>
        </is>
      </c>
      <c r="E359" s="43" t="inlineStr">
        <is>
          <t>MCGA</t>
        </is>
      </c>
      <c r="F359" s="43" t="inlineStr">
        <is>
          <t>73-17498-04</t>
        </is>
      </c>
      <c r="G359" s="43" t="inlineStr">
        <is>
          <t>BOARD_PN_CANDIDATE</t>
        </is>
      </c>
      <c r="H359" s="43" t="inlineStr"/>
      <c r="I359" s="43" t="inlineStr">
        <is>
          <t>Expired</t>
        </is>
      </c>
      <c r="J359" s="32" t="n">
        <v>45930</v>
      </c>
      <c r="K359" s="32" t="n">
        <v>45856</v>
      </c>
      <c r="L359" s="43" t="inlineStr">
        <is>
          <t>1425</t>
        </is>
      </c>
      <c r="M359" s="43" t="n">
        <v>1</v>
      </c>
      <c r="N359" s="33" t="inlineStr"/>
      <c r="O359" s="43" t="inlineStr">
        <is>
          <t>UNVERIFIED</t>
        </is>
      </c>
      <c r="P359" s="43" t="inlineStr">
        <is>
          <t>Pending Review</t>
        </is>
      </c>
      <c r="Q359" s="33" t="inlineStr">
        <is>
          <t>Confirmar SKU/PCBA revision, PN exacto en Common DB, WO, BU, vigencia, planta y aprobacion firmada.</t>
        </is>
      </c>
    </row>
    <row r="360">
      <c r="A360" s="43" t="inlineStr">
        <is>
          <t>CTANJZ04709</t>
        </is>
      </c>
      <c r="B360" s="43" t="inlineStr">
        <is>
          <t>D604651</t>
        </is>
      </c>
      <c r="C360" s="43" t="inlineStr">
        <is>
          <t>037-STBU</t>
        </is>
      </c>
      <c r="D360" s="43" t="inlineStr">
        <is>
          <t>FJZP</t>
        </is>
      </c>
      <c r="E360" s="43" t="inlineStr">
        <is>
          <t>MCGA</t>
        </is>
      </c>
      <c r="F360" s="43" t="inlineStr">
        <is>
          <t>29-6281-01</t>
        </is>
      </c>
      <c r="G360" s="43" t="inlineStr">
        <is>
          <t>OTHER_SCOPE_ITEM</t>
        </is>
      </c>
      <c r="H360" s="43" t="inlineStr"/>
      <c r="I360" s="43" t="inlineStr">
        <is>
          <t>Expired</t>
        </is>
      </c>
      <c r="J360" s="32" t="n">
        <v>45930</v>
      </c>
      <c r="K360" s="32" t="n">
        <v>45856</v>
      </c>
      <c r="L360" s="43" t="inlineStr">
        <is>
          <t>1426</t>
        </is>
      </c>
      <c r="M360" s="43" t="n">
        <v>1</v>
      </c>
      <c r="N360" s="33" t="inlineStr"/>
      <c r="O360" s="43" t="inlineStr">
        <is>
          <t>UNVERIFIED</t>
        </is>
      </c>
      <c r="P360" s="43" t="inlineStr">
        <is>
          <t>Pending Review</t>
        </is>
      </c>
      <c r="Q360" s="33" t="inlineStr">
        <is>
          <t>Confirmar SKU/PCBA revision, PN exacto en Common DB, WO, BU, vigencia, planta y aprobacion firmada.</t>
        </is>
      </c>
    </row>
    <row r="361">
      <c r="A361" s="43" t="inlineStr">
        <is>
          <t>CTANJZ04709</t>
        </is>
      </c>
      <c r="B361" s="43" t="inlineStr">
        <is>
          <t>D604651</t>
        </is>
      </c>
      <c r="C361" s="43" t="inlineStr">
        <is>
          <t>037-STBU</t>
        </is>
      </c>
      <c r="D361" s="43" t="inlineStr">
        <is>
          <t>FJZP</t>
        </is>
      </c>
      <c r="E361" s="43" t="inlineStr">
        <is>
          <t>MCGA</t>
        </is>
      </c>
      <c r="F361" s="43" t="inlineStr">
        <is>
          <t>73-17498-04</t>
        </is>
      </c>
      <c r="G361" s="43" t="inlineStr">
        <is>
          <t>BOARD_PN_CANDIDATE</t>
        </is>
      </c>
      <c r="H361" s="43" t="inlineStr"/>
      <c r="I361" s="43" t="inlineStr">
        <is>
          <t>Expired</t>
        </is>
      </c>
      <c r="J361" s="32" t="n">
        <v>45930</v>
      </c>
      <c r="K361" s="32" t="n">
        <v>45856</v>
      </c>
      <c r="L361" s="43" t="inlineStr">
        <is>
          <t>1427</t>
        </is>
      </c>
      <c r="M361" s="43" t="n">
        <v>1</v>
      </c>
      <c r="N361" s="33" t="inlineStr"/>
      <c r="O361" s="43" t="inlineStr">
        <is>
          <t>UNVERIFIED</t>
        </is>
      </c>
      <c r="P361" s="43" t="inlineStr">
        <is>
          <t>Pending Review</t>
        </is>
      </c>
      <c r="Q361" s="33" t="inlineStr">
        <is>
          <t>Confirmar SKU/PCBA revision, PN exacto en Common DB, WO, BU, vigencia, planta y aprobacion firmada.</t>
        </is>
      </c>
    </row>
    <row r="362">
      <c r="A362" s="43" t="inlineStr">
        <is>
          <t>CTANJZ04710</t>
        </is>
      </c>
      <c r="B362" s="43" t="inlineStr">
        <is>
          <t>D604750</t>
        </is>
      </c>
      <c r="C362" s="43" t="inlineStr">
        <is>
          <t>037-STBU</t>
        </is>
      </c>
      <c r="D362" s="43" t="inlineStr">
        <is>
          <t>FJZP</t>
        </is>
      </c>
      <c r="E362" s="43" t="inlineStr">
        <is>
          <t>MCGA</t>
        </is>
      </c>
      <c r="F362" s="43" t="inlineStr">
        <is>
          <t>20-0150-02</t>
        </is>
      </c>
      <c r="G362" s="43" t="inlineStr">
        <is>
          <t>OTHER_SCOPE_ITEM</t>
        </is>
      </c>
      <c r="H362" s="43" t="inlineStr"/>
      <c r="I362" s="43" t="inlineStr">
        <is>
          <t>Expired</t>
        </is>
      </c>
      <c r="J362" s="32" t="n">
        <v>45930</v>
      </c>
      <c r="K362" s="32" t="n">
        <v>45856</v>
      </c>
      <c r="L362" s="43" t="inlineStr">
        <is>
          <t>1438</t>
        </is>
      </c>
      <c r="M362" s="43" t="n">
        <v>1</v>
      </c>
      <c r="N362" s="33" t="inlineStr"/>
      <c r="O362" s="43" t="inlineStr">
        <is>
          <t>UNVERIFIED</t>
        </is>
      </c>
      <c r="P362" s="43" t="inlineStr">
        <is>
          <t>Pending Review</t>
        </is>
      </c>
      <c r="Q362" s="33" t="inlineStr">
        <is>
          <t>Confirmar SKU/PCBA revision, PN exacto en Common DB, WO, BU, vigencia, planta y aprobacion firmada.</t>
        </is>
      </c>
    </row>
    <row r="363">
      <c r="A363" s="43" t="inlineStr">
        <is>
          <t>CTANJZ04710</t>
        </is>
      </c>
      <c r="B363" s="43" t="inlineStr">
        <is>
          <t>D604750</t>
        </is>
      </c>
      <c r="C363" s="43" t="inlineStr">
        <is>
          <t>037-STBU</t>
        </is>
      </c>
      <c r="D363" s="43" t="inlineStr">
        <is>
          <t>FJZP</t>
        </is>
      </c>
      <c r="E363" s="43" t="inlineStr">
        <is>
          <t>MCGA</t>
        </is>
      </c>
      <c r="F363" s="43" t="inlineStr">
        <is>
          <t>73-18488-07</t>
        </is>
      </c>
      <c r="G363" s="43" t="inlineStr">
        <is>
          <t>BOARD_PN_CANDIDATE</t>
        </is>
      </c>
      <c r="H363" s="43" t="inlineStr"/>
      <c r="I363" s="43" t="inlineStr">
        <is>
          <t>Expired</t>
        </is>
      </c>
      <c r="J363" s="32" t="n">
        <v>45930</v>
      </c>
      <c r="K363" s="32" t="n">
        <v>45856</v>
      </c>
      <c r="L363" s="43" t="inlineStr">
        <is>
          <t>1439</t>
        </is>
      </c>
      <c r="M363" s="43" t="n">
        <v>1</v>
      </c>
      <c r="N363" s="33" t="inlineStr"/>
      <c r="O363" s="43" t="inlineStr">
        <is>
          <t>UNVERIFIED</t>
        </is>
      </c>
      <c r="P363" s="43" t="inlineStr">
        <is>
          <t>Pending Review</t>
        </is>
      </c>
      <c r="Q363" s="33" t="inlineStr">
        <is>
          <t>Confirmar SKU/PCBA revision, PN exacto en Common DB, WO, BU, vigencia, planta y aprobacion firmada.</t>
        </is>
      </c>
    </row>
    <row r="364">
      <c r="A364" s="43" t="inlineStr">
        <is>
          <t>CTANJZ04711</t>
        </is>
      </c>
      <c r="B364" s="43" t="inlineStr">
        <is>
          <t>D604652</t>
        </is>
      </c>
      <c r="C364" s="43" t="inlineStr">
        <is>
          <t>037-STBU</t>
        </is>
      </c>
      <c r="D364" s="43" t="inlineStr">
        <is>
          <t>FJZP</t>
        </is>
      </c>
      <c r="E364" s="43" t="inlineStr">
        <is>
          <t>MCGA</t>
        </is>
      </c>
      <c r="F364" s="43" t="inlineStr">
        <is>
          <t>25-1289-01</t>
        </is>
      </c>
      <c r="G364" s="43" t="inlineStr">
        <is>
          <t>OTHER_SCOPE_ITEM</t>
        </is>
      </c>
      <c r="H364" s="43" t="inlineStr"/>
      <c r="I364" s="43" t="inlineStr">
        <is>
          <t>Expired</t>
        </is>
      </c>
      <c r="J364" s="32" t="n">
        <v>45930</v>
      </c>
      <c r="K364" s="32" t="n">
        <v>45856</v>
      </c>
      <c r="L364" s="43" t="inlineStr">
        <is>
          <t>1434</t>
        </is>
      </c>
      <c r="M364" s="43" t="n">
        <v>1</v>
      </c>
      <c r="N364" s="33" t="inlineStr"/>
      <c r="O364" s="43" t="inlineStr">
        <is>
          <t>UNVERIFIED</t>
        </is>
      </c>
      <c r="P364" s="43" t="inlineStr">
        <is>
          <t>Pending Review</t>
        </is>
      </c>
      <c r="Q364" s="33" t="inlineStr">
        <is>
          <t>Confirmar SKU/PCBA revision, PN exacto en Common DB, WO, BU, vigencia, planta y aprobacion firmada.</t>
        </is>
      </c>
    </row>
    <row r="365">
      <c r="A365" s="43" t="inlineStr">
        <is>
          <t>CTANJZ04711</t>
        </is>
      </c>
      <c r="B365" s="43" t="inlineStr">
        <is>
          <t>D604652</t>
        </is>
      </c>
      <c r="C365" s="43" t="inlineStr">
        <is>
          <t>037-STBU</t>
        </is>
      </c>
      <c r="D365" s="43" t="inlineStr">
        <is>
          <t>FJZP</t>
        </is>
      </c>
      <c r="E365" s="43" t="inlineStr">
        <is>
          <t>MCGA</t>
        </is>
      </c>
      <c r="F365" s="43" t="inlineStr">
        <is>
          <t>73-102433-05</t>
        </is>
      </c>
      <c r="G365" s="43" t="inlineStr">
        <is>
          <t>BOARD_PN_CANDIDATE</t>
        </is>
      </c>
      <c r="H365" s="43" t="inlineStr"/>
      <c r="I365" s="43" t="inlineStr">
        <is>
          <t>Expired</t>
        </is>
      </c>
      <c r="J365" s="32" t="n">
        <v>45930</v>
      </c>
      <c r="K365" s="32" t="n">
        <v>45856</v>
      </c>
      <c r="L365" s="43" t="inlineStr">
        <is>
          <t>1437</t>
        </is>
      </c>
      <c r="M365" s="43" t="n">
        <v>1</v>
      </c>
      <c r="N365" s="33" t="inlineStr"/>
      <c r="O365" s="43" t="inlineStr">
        <is>
          <t>UNVERIFIED</t>
        </is>
      </c>
      <c r="P365" s="43" t="inlineStr">
        <is>
          <t>Pending Review</t>
        </is>
      </c>
      <c r="Q365" s="33" t="inlineStr">
        <is>
          <t>Confirmar SKU/PCBA revision, PN exacto en Common DB, WO, BU, vigencia, planta y aprobacion firmada.</t>
        </is>
      </c>
    </row>
    <row r="366">
      <c r="A366" s="43" t="inlineStr">
        <is>
          <t>CTANJZ04721</t>
        </is>
      </c>
      <c r="B366" s="43" t="inlineStr">
        <is>
          <t>D605020</t>
        </is>
      </c>
      <c r="C366" s="43" t="inlineStr">
        <is>
          <t>037-STBU</t>
        </is>
      </c>
      <c r="D366" s="43" t="inlineStr">
        <is>
          <t>FJZP</t>
        </is>
      </c>
      <c r="E366" s="43" t="inlineStr">
        <is>
          <t>MCGA</t>
        </is>
      </c>
      <c r="F366" s="43" t="inlineStr">
        <is>
          <t>17-102040-06</t>
        </is>
      </c>
      <c r="G366" s="43" t="inlineStr">
        <is>
          <t>OTHER_SCOPE_ITEM</t>
        </is>
      </c>
      <c r="H366" s="43" t="inlineStr"/>
      <c r="I366" s="43" t="inlineStr">
        <is>
          <t>Expired</t>
        </is>
      </c>
      <c r="J366" s="32" t="n">
        <v>46027</v>
      </c>
      <c r="K366" s="32" t="n">
        <v>45862</v>
      </c>
      <c r="L366" s="43" t="inlineStr">
        <is>
          <t>45</t>
        </is>
      </c>
      <c r="M366" s="43" t="n">
        <v>1</v>
      </c>
      <c r="N366" s="33" t="inlineStr"/>
      <c r="O366" s="43" t="inlineStr">
        <is>
          <t>UNVERIFIED</t>
        </is>
      </c>
      <c r="P366" s="43" t="inlineStr">
        <is>
          <t>Pending Review</t>
        </is>
      </c>
      <c r="Q366" s="33" t="inlineStr">
        <is>
          <t>Confirmar SKU/PCBA revision, PN exacto en Common DB, WO, BU, vigencia, planta y aprobacion firmada.</t>
        </is>
      </c>
    </row>
    <row r="367">
      <c r="A367" s="43" t="inlineStr">
        <is>
          <t>CTANJZ04721</t>
        </is>
      </c>
      <c r="B367" s="43" t="inlineStr">
        <is>
          <t>D605020</t>
        </is>
      </c>
      <c r="C367" s="43" t="inlineStr">
        <is>
          <t>037-STBU</t>
        </is>
      </c>
      <c r="D367" s="43" t="inlineStr">
        <is>
          <t>FJZP</t>
        </is>
      </c>
      <c r="E367" s="43" t="inlineStr">
        <is>
          <t>MCGA</t>
        </is>
      </c>
      <c r="F367" s="43" t="inlineStr">
        <is>
          <t>17-102041-07</t>
        </is>
      </c>
      <c r="G367" s="43" t="inlineStr">
        <is>
          <t>OTHER_SCOPE_ITEM</t>
        </is>
      </c>
      <c r="H367" s="43" t="inlineStr"/>
      <c r="I367" s="43" t="inlineStr">
        <is>
          <t>Expired</t>
        </is>
      </c>
      <c r="J367" s="32" t="n">
        <v>46027</v>
      </c>
      <c r="K367" s="32" t="n">
        <v>45862</v>
      </c>
      <c r="L367" s="43" t="inlineStr">
        <is>
          <t>46</t>
        </is>
      </c>
      <c r="M367" s="43" t="n">
        <v>1</v>
      </c>
      <c r="N367" s="33" t="inlineStr"/>
      <c r="O367" s="43" t="inlineStr">
        <is>
          <t>UNVERIFIED</t>
        </is>
      </c>
      <c r="P367" s="43" t="inlineStr">
        <is>
          <t>Pending Review</t>
        </is>
      </c>
      <c r="Q367" s="33" t="inlineStr">
        <is>
          <t>Confirmar SKU/PCBA revision, PN exacto en Common DB, WO, BU, vigencia, planta y aprobacion firmada.</t>
        </is>
      </c>
    </row>
    <row r="368">
      <c r="A368" s="43" t="inlineStr">
        <is>
          <t>CTANJZ04721</t>
        </is>
      </c>
      <c r="B368" s="43" t="inlineStr">
        <is>
          <t>D605020</t>
        </is>
      </c>
      <c r="C368" s="43" t="inlineStr">
        <is>
          <t>037-STBU</t>
        </is>
      </c>
      <c r="D368" s="43" t="inlineStr">
        <is>
          <t>FJZP</t>
        </is>
      </c>
      <c r="E368" s="43" t="inlineStr">
        <is>
          <t>MCGA</t>
        </is>
      </c>
      <c r="F368" s="43" t="inlineStr">
        <is>
          <t>17-102043-03</t>
        </is>
      </c>
      <c r="G368" s="43" t="inlineStr">
        <is>
          <t>OTHER_SCOPE_ITEM</t>
        </is>
      </c>
      <c r="H368" s="43" t="inlineStr"/>
      <c r="I368" s="43" t="inlineStr">
        <is>
          <t>Expired</t>
        </is>
      </c>
      <c r="J368" s="32" t="n">
        <v>46027</v>
      </c>
      <c r="K368" s="32" t="n">
        <v>45862</v>
      </c>
      <c r="L368" s="43" t="inlineStr">
        <is>
          <t>47</t>
        </is>
      </c>
      <c r="M368" s="43" t="n">
        <v>1</v>
      </c>
      <c r="N368" s="33" t="inlineStr"/>
      <c r="O368" s="43" t="inlineStr">
        <is>
          <t>UNVERIFIED</t>
        </is>
      </c>
      <c r="P368" s="43" t="inlineStr">
        <is>
          <t>Pending Review</t>
        </is>
      </c>
      <c r="Q368" s="33" t="inlineStr">
        <is>
          <t>Confirmar SKU/PCBA revision, PN exacto en Common DB, WO, BU, vigencia, planta y aprobacion firmada.</t>
        </is>
      </c>
    </row>
    <row r="369">
      <c r="A369" s="43" t="inlineStr">
        <is>
          <t>CTANJZ04721</t>
        </is>
      </c>
      <c r="B369" s="43" t="inlineStr">
        <is>
          <t>D605020</t>
        </is>
      </c>
      <c r="C369" s="43" t="inlineStr">
        <is>
          <t>037-STBU</t>
        </is>
      </c>
      <c r="D369" s="43" t="inlineStr">
        <is>
          <t>FJZP</t>
        </is>
      </c>
      <c r="E369" s="43" t="inlineStr">
        <is>
          <t>MCGA</t>
        </is>
      </c>
      <c r="F369" s="43" t="inlineStr">
        <is>
          <t>17-102050-07</t>
        </is>
      </c>
      <c r="G369" s="43" t="inlineStr">
        <is>
          <t>OTHER_SCOPE_ITEM</t>
        </is>
      </c>
      <c r="H369" s="43" t="inlineStr"/>
      <c r="I369" s="43" t="inlineStr">
        <is>
          <t>Expired</t>
        </is>
      </c>
      <c r="J369" s="32" t="n">
        <v>46027</v>
      </c>
      <c r="K369" s="32" t="n">
        <v>45862</v>
      </c>
      <c r="L369" s="43" t="inlineStr">
        <is>
          <t>48</t>
        </is>
      </c>
      <c r="M369" s="43" t="n">
        <v>1</v>
      </c>
      <c r="N369" s="33" t="inlineStr"/>
      <c r="O369" s="43" t="inlineStr">
        <is>
          <t>UNVERIFIED</t>
        </is>
      </c>
      <c r="P369" s="43" t="inlineStr">
        <is>
          <t>Pending Review</t>
        </is>
      </c>
      <c r="Q369" s="33" t="inlineStr">
        <is>
          <t>Confirmar SKU/PCBA revision, PN exacto en Common DB, WO, BU, vigencia, planta y aprobacion firmada.</t>
        </is>
      </c>
    </row>
    <row r="370">
      <c r="A370" s="43" t="inlineStr">
        <is>
          <t>CTANJZ04721</t>
        </is>
      </c>
      <c r="B370" s="43" t="inlineStr">
        <is>
          <t>D605020</t>
        </is>
      </c>
      <c r="C370" s="43" t="inlineStr">
        <is>
          <t>037-STBU</t>
        </is>
      </c>
      <c r="D370" s="43" t="inlineStr">
        <is>
          <t>FJZP</t>
        </is>
      </c>
      <c r="E370" s="43" t="inlineStr">
        <is>
          <t>MCGA</t>
        </is>
      </c>
      <c r="F370" s="43" t="inlineStr">
        <is>
          <t>17-102102-03</t>
        </is>
      </c>
      <c r="G370" s="43" t="inlineStr">
        <is>
          <t>OTHER_SCOPE_ITEM</t>
        </is>
      </c>
      <c r="H370" s="43" t="inlineStr"/>
      <c r="I370" s="43" t="inlineStr">
        <is>
          <t>Expired</t>
        </is>
      </c>
      <c r="J370" s="32" t="n">
        <v>46027</v>
      </c>
      <c r="K370" s="32" t="n">
        <v>45862</v>
      </c>
      <c r="L370" s="43" t="inlineStr">
        <is>
          <t>49</t>
        </is>
      </c>
      <c r="M370" s="43" t="n">
        <v>1</v>
      </c>
      <c r="N370" s="33" t="inlineStr"/>
      <c r="O370" s="43" t="inlineStr">
        <is>
          <t>UNVERIFIED</t>
        </is>
      </c>
      <c r="P370" s="43" t="inlineStr">
        <is>
          <t>Pending Review</t>
        </is>
      </c>
      <c r="Q370" s="33" t="inlineStr">
        <is>
          <t>Confirmar SKU/PCBA revision, PN exacto en Common DB, WO, BU, vigencia, planta y aprobacion firmada.</t>
        </is>
      </c>
    </row>
    <row r="371">
      <c r="A371" s="43" t="inlineStr">
        <is>
          <t>CTANJZ04721</t>
        </is>
      </c>
      <c r="B371" s="43" t="inlineStr">
        <is>
          <t>D605020</t>
        </is>
      </c>
      <c r="C371" s="43" t="inlineStr">
        <is>
          <t>037-STBU</t>
        </is>
      </c>
      <c r="D371" s="43" t="inlineStr">
        <is>
          <t>FJZP</t>
        </is>
      </c>
      <c r="E371" s="43" t="inlineStr">
        <is>
          <t>MCGA</t>
        </is>
      </c>
      <c r="F371" s="43" t="inlineStr">
        <is>
          <t>17-16001-07</t>
        </is>
      </c>
      <c r="G371" s="43" t="inlineStr">
        <is>
          <t>OTHER_SCOPE_ITEM</t>
        </is>
      </c>
      <c r="H371" s="43" t="inlineStr"/>
      <c r="I371" s="43" t="inlineStr">
        <is>
          <t>Expired</t>
        </is>
      </c>
      <c r="J371" s="32" t="n">
        <v>46027</v>
      </c>
      <c r="K371" s="32" t="n">
        <v>45862</v>
      </c>
      <c r="L371" s="43" t="inlineStr">
        <is>
          <t>50</t>
        </is>
      </c>
      <c r="M371" s="43" t="n">
        <v>1</v>
      </c>
      <c r="N371" s="33" t="inlineStr"/>
      <c r="O371" s="43" t="inlineStr">
        <is>
          <t>UNVERIFIED</t>
        </is>
      </c>
      <c r="P371" s="43" t="inlineStr">
        <is>
          <t>Pending Review</t>
        </is>
      </c>
      <c r="Q371" s="33" t="inlineStr">
        <is>
          <t>Confirmar SKU/PCBA revision, PN exacto en Common DB, WO, BU, vigencia, planta y aprobacion firmada.</t>
        </is>
      </c>
    </row>
    <row r="372">
      <c r="A372" s="43" t="inlineStr">
        <is>
          <t>CTANJZ04721</t>
        </is>
      </c>
      <c r="B372" s="43" t="inlineStr">
        <is>
          <t>D605020</t>
        </is>
      </c>
      <c r="C372" s="43" t="inlineStr">
        <is>
          <t>037-STBU</t>
        </is>
      </c>
      <c r="D372" s="43" t="inlineStr">
        <is>
          <t>FJZP</t>
        </is>
      </c>
      <c r="E372" s="43" t="inlineStr">
        <is>
          <t>MCGA</t>
        </is>
      </c>
      <c r="F372" s="43" t="inlineStr">
        <is>
          <t>73-20249-05</t>
        </is>
      </c>
      <c r="G372" s="43" t="inlineStr">
        <is>
          <t>BOARD_PN_CANDIDATE</t>
        </is>
      </c>
      <c r="H372" s="43" t="inlineStr"/>
      <c r="I372" s="43" t="inlineStr">
        <is>
          <t>Expired</t>
        </is>
      </c>
      <c r="J372" s="32" t="n">
        <v>46027</v>
      </c>
      <c r="K372" s="32" t="n">
        <v>45862</v>
      </c>
      <c r="L372" s="43" t="inlineStr">
        <is>
          <t>51</t>
        </is>
      </c>
      <c r="M372" s="43" t="n">
        <v>1</v>
      </c>
      <c r="N372" s="33" t="inlineStr"/>
      <c r="O372" s="43" t="inlineStr">
        <is>
          <t>UNVERIFIED</t>
        </is>
      </c>
      <c r="P372" s="43" t="inlineStr">
        <is>
          <t>Pending Review</t>
        </is>
      </c>
      <c r="Q372" s="33" t="inlineStr">
        <is>
          <t>Confirmar SKU/PCBA revision, PN exacto en Common DB, WO, BU, vigencia, planta y aprobacion firmada.</t>
        </is>
      </c>
    </row>
    <row r="373">
      <c r="A373" s="43" t="inlineStr">
        <is>
          <t>CTANJZ04726</t>
        </is>
      </c>
      <c r="B373" s="43" t="inlineStr">
        <is>
          <t>D604890</t>
        </is>
      </c>
      <c r="C373" s="43" t="inlineStr">
        <is>
          <t>037-STBU</t>
        </is>
      </c>
      <c r="D373" s="43" t="inlineStr">
        <is>
          <t>FJZP</t>
        </is>
      </c>
      <c r="E373" s="43" t="inlineStr">
        <is>
          <t>MCGA</t>
        </is>
      </c>
      <c r="F373" s="43" t="inlineStr">
        <is>
          <t>700-107696-05</t>
        </is>
      </c>
      <c r="G373" s="43" t="inlineStr">
        <is>
          <t>OTHER_SCOPE_ITEM</t>
        </is>
      </c>
      <c r="H373" s="43" t="inlineStr"/>
      <c r="I373" s="43" t="inlineStr">
        <is>
          <t>Expired</t>
        </is>
      </c>
      <c r="J373" s="32" t="n">
        <v>45939</v>
      </c>
      <c r="K373" s="32" t="n">
        <v>45864</v>
      </c>
      <c r="L373" s="43" t="inlineStr">
        <is>
          <t>1724</t>
        </is>
      </c>
      <c r="M373" s="43" t="n">
        <v>1</v>
      </c>
      <c r="N373" s="33" t="inlineStr"/>
      <c r="O373" s="43" t="inlineStr">
        <is>
          <t>UNVERIFIED</t>
        </is>
      </c>
      <c r="P373" s="43" t="inlineStr">
        <is>
          <t>Pending Review</t>
        </is>
      </c>
      <c r="Q373" s="33" t="inlineStr">
        <is>
          <t>Confirmar SKU/PCBA revision, PN exacto en Common DB, WO, BU, vigencia, planta y aprobacion firmada.</t>
        </is>
      </c>
    </row>
    <row r="374">
      <c r="A374" s="43" t="inlineStr">
        <is>
          <t>CTANJZ04726</t>
        </is>
      </c>
      <c r="B374" s="43" t="inlineStr">
        <is>
          <t>D604890</t>
        </is>
      </c>
      <c r="C374" s="43" t="inlineStr">
        <is>
          <t>037-STBU</t>
        </is>
      </c>
      <c r="D374" s="43" t="inlineStr">
        <is>
          <t>FJZP</t>
        </is>
      </c>
      <c r="E374" s="43" t="inlineStr">
        <is>
          <t>MCGA</t>
        </is>
      </c>
      <c r="F374" s="43" t="inlineStr">
        <is>
          <t>800-105498-03</t>
        </is>
      </c>
      <c r="G374" s="43" t="inlineStr">
        <is>
          <t>OTHER_SCOPE_ITEM</t>
        </is>
      </c>
      <c r="H374" s="43" t="inlineStr"/>
      <c r="I374" s="43" t="inlineStr">
        <is>
          <t>Expired</t>
        </is>
      </c>
      <c r="J374" s="32" t="n">
        <v>45939</v>
      </c>
      <c r="K374" s="32" t="n">
        <v>45864</v>
      </c>
      <c r="L374" s="43" t="inlineStr">
        <is>
          <t>1725</t>
        </is>
      </c>
      <c r="M374" s="43" t="n">
        <v>1</v>
      </c>
      <c r="N374" s="33" t="inlineStr"/>
      <c r="O374" s="43" t="inlineStr">
        <is>
          <t>UNVERIFIED</t>
        </is>
      </c>
      <c r="P374" s="43" t="inlineStr">
        <is>
          <t>Pending Review</t>
        </is>
      </c>
      <c r="Q374" s="33" t="inlineStr">
        <is>
          <t>Confirmar SKU/PCBA revision, PN exacto en Common DB, WO, BU, vigencia, planta y aprobacion firmada.</t>
        </is>
      </c>
    </row>
    <row r="375">
      <c r="A375" s="43" t="inlineStr">
        <is>
          <t>CTANJZ04726</t>
        </is>
      </c>
      <c r="B375" s="43" t="inlineStr">
        <is>
          <t>D604890</t>
        </is>
      </c>
      <c r="C375" s="43" t="inlineStr">
        <is>
          <t>037-STBU</t>
        </is>
      </c>
      <c r="D375" s="43" t="inlineStr">
        <is>
          <t>FJZP</t>
        </is>
      </c>
      <c r="E375" s="43" t="inlineStr">
        <is>
          <t>MCGA</t>
        </is>
      </c>
      <c r="F375" s="43" t="inlineStr">
        <is>
          <t>800-105499-03</t>
        </is>
      </c>
      <c r="G375" s="43" t="inlineStr">
        <is>
          <t>OTHER_SCOPE_ITEM</t>
        </is>
      </c>
      <c r="H375" s="43" t="inlineStr"/>
      <c r="I375" s="43" t="inlineStr">
        <is>
          <t>Expired</t>
        </is>
      </c>
      <c r="J375" s="32" t="n">
        <v>45939</v>
      </c>
      <c r="K375" s="32" t="n">
        <v>45864</v>
      </c>
      <c r="L375" s="43" t="inlineStr">
        <is>
          <t>1726</t>
        </is>
      </c>
      <c r="M375" s="43" t="n">
        <v>1</v>
      </c>
      <c r="N375" s="33" t="inlineStr"/>
      <c r="O375" s="43" t="inlineStr">
        <is>
          <t>UNVERIFIED</t>
        </is>
      </c>
      <c r="P375" s="43" t="inlineStr">
        <is>
          <t>Pending Review</t>
        </is>
      </c>
      <c r="Q375" s="33" t="inlineStr">
        <is>
          <t>Confirmar SKU/PCBA revision, PN exacto en Common DB, WO, BU, vigencia, planta y aprobacion firmada.</t>
        </is>
      </c>
    </row>
    <row r="376">
      <c r="A376" s="43" t="inlineStr">
        <is>
          <t>CTANJZ04726</t>
        </is>
      </c>
      <c r="B376" s="43" t="inlineStr">
        <is>
          <t>D604890</t>
        </is>
      </c>
      <c r="C376" s="43" t="inlineStr">
        <is>
          <t>037-STBU</t>
        </is>
      </c>
      <c r="D376" s="43" t="inlineStr">
        <is>
          <t>FJZP</t>
        </is>
      </c>
      <c r="E376" s="43" t="inlineStr">
        <is>
          <t>MCGA</t>
        </is>
      </c>
      <c r="F376" s="43" t="inlineStr">
        <is>
          <t>800-105500-03</t>
        </is>
      </c>
      <c r="G376" s="43" t="inlineStr">
        <is>
          <t>OTHER_SCOPE_ITEM</t>
        </is>
      </c>
      <c r="H376" s="43" t="inlineStr"/>
      <c r="I376" s="43" t="inlineStr">
        <is>
          <t>Expired</t>
        </is>
      </c>
      <c r="J376" s="32" t="n">
        <v>45939</v>
      </c>
      <c r="K376" s="32" t="n">
        <v>45864</v>
      </c>
      <c r="L376" s="43" t="inlineStr">
        <is>
          <t>1727</t>
        </is>
      </c>
      <c r="M376" s="43" t="n">
        <v>1</v>
      </c>
      <c r="N376" s="33" t="inlineStr"/>
      <c r="O376" s="43" t="inlineStr">
        <is>
          <t>UNVERIFIED</t>
        </is>
      </c>
      <c r="P376" s="43" t="inlineStr">
        <is>
          <t>Pending Review</t>
        </is>
      </c>
      <c r="Q376" s="33" t="inlineStr">
        <is>
          <t>Confirmar SKU/PCBA revision, PN exacto en Common DB, WO, BU, vigencia, planta y aprobacion firmada.</t>
        </is>
      </c>
    </row>
    <row r="377">
      <c r="A377" s="43" t="inlineStr">
        <is>
          <t>CTANJZ04726</t>
        </is>
      </c>
      <c r="B377" s="43" t="inlineStr">
        <is>
          <t>D604890</t>
        </is>
      </c>
      <c r="C377" s="43" t="inlineStr">
        <is>
          <t>037-STBU</t>
        </is>
      </c>
      <c r="D377" s="43" t="inlineStr">
        <is>
          <t>FJZP</t>
        </is>
      </c>
      <c r="E377" s="43" t="inlineStr">
        <is>
          <t>MCGA</t>
        </is>
      </c>
      <c r="F377" s="43" t="inlineStr">
        <is>
          <t>800-106632-03</t>
        </is>
      </c>
      <c r="G377" s="43" t="inlineStr">
        <is>
          <t>OTHER_SCOPE_ITEM</t>
        </is>
      </c>
      <c r="H377" s="43" t="inlineStr"/>
      <c r="I377" s="43" t="inlineStr">
        <is>
          <t>Expired</t>
        </is>
      </c>
      <c r="J377" s="32" t="n">
        <v>45939</v>
      </c>
      <c r="K377" s="32" t="n">
        <v>45864</v>
      </c>
      <c r="L377" s="43" t="inlineStr">
        <is>
          <t>1728</t>
        </is>
      </c>
      <c r="M377" s="43" t="n">
        <v>1</v>
      </c>
      <c r="N377" s="33" t="inlineStr"/>
      <c r="O377" s="43" t="inlineStr">
        <is>
          <t>UNVERIFIED</t>
        </is>
      </c>
      <c r="P377" s="43" t="inlineStr">
        <is>
          <t>Pending Review</t>
        </is>
      </c>
      <c r="Q377" s="33" t="inlineStr">
        <is>
          <t>Confirmar SKU/PCBA revision, PN exacto en Common DB, WO, BU, vigencia, planta y aprobacion firmada.</t>
        </is>
      </c>
    </row>
    <row r="378">
      <c r="A378" s="43" t="inlineStr">
        <is>
          <t>CTANJZ04726</t>
        </is>
      </c>
      <c r="B378" s="43" t="inlineStr">
        <is>
          <t>D604890</t>
        </is>
      </c>
      <c r="C378" s="43" t="inlineStr">
        <is>
          <t>037-STBU</t>
        </is>
      </c>
      <c r="D378" s="43" t="inlineStr">
        <is>
          <t>FJZP</t>
        </is>
      </c>
      <c r="E378" s="43" t="inlineStr">
        <is>
          <t>MCGA</t>
        </is>
      </c>
      <c r="F378" s="43" t="inlineStr">
        <is>
          <t>800-106633-03</t>
        </is>
      </c>
      <c r="G378" s="43" t="inlineStr">
        <is>
          <t>OTHER_SCOPE_ITEM</t>
        </is>
      </c>
      <c r="H378" s="43" t="inlineStr"/>
      <c r="I378" s="43" t="inlineStr">
        <is>
          <t>Expired</t>
        </is>
      </c>
      <c r="J378" s="32" t="n">
        <v>45939</v>
      </c>
      <c r="K378" s="32" t="n">
        <v>45864</v>
      </c>
      <c r="L378" s="43" t="inlineStr">
        <is>
          <t>1729</t>
        </is>
      </c>
      <c r="M378" s="43" t="n">
        <v>1</v>
      </c>
      <c r="N378" s="33" t="inlineStr"/>
      <c r="O378" s="43" t="inlineStr">
        <is>
          <t>UNVERIFIED</t>
        </is>
      </c>
      <c r="P378" s="43" t="inlineStr">
        <is>
          <t>Pending Review</t>
        </is>
      </c>
      <c r="Q378" s="33" t="inlineStr">
        <is>
          <t>Confirmar SKU/PCBA revision, PN exacto en Common DB, WO, BU, vigencia, planta y aprobacion firmada.</t>
        </is>
      </c>
    </row>
    <row r="379">
      <c r="A379" s="43" t="inlineStr">
        <is>
          <t>CTANJZ04726</t>
        </is>
      </c>
      <c r="B379" s="43" t="inlineStr">
        <is>
          <t>D604890</t>
        </is>
      </c>
      <c r="C379" s="43" t="inlineStr">
        <is>
          <t>037-STBU</t>
        </is>
      </c>
      <c r="D379" s="43" t="inlineStr">
        <is>
          <t>FJZP</t>
        </is>
      </c>
      <c r="E379" s="43" t="inlineStr">
        <is>
          <t>MCGA</t>
        </is>
      </c>
      <c r="F379" s="43" t="inlineStr">
        <is>
          <t>800-106634-03</t>
        </is>
      </c>
      <c r="G379" s="43" t="inlineStr">
        <is>
          <t>OTHER_SCOPE_ITEM</t>
        </is>
      </c>
      <c r="H379" s="43" t="inlineStr"/>
      <c r="I379" s="43" t="inlineStr">
        <is>
          <t>Expired</t>
        </is>
      </c>
      <c r="J379" s="32" t="n">
        <v>45939</v>
      </c>
      <c r="K379" s="32" t="n">
        <v>45864</v>
      </c>
      <c r="L379" s="43" t="inlineStr">
        <is>
          <t>1730</t>
        </is>
      </c>
      <c r="M379" s="43" t="n">
        <v>1</v>
      </c>
      <c r="N379" s="33" t="inlineStr"/>
      <c r="O379" s="43" t="inlineStr">
        <is>
          <t>UNVERIFIED</t>
        </is>
      </c>
      <c r="P379" s="43" t="inlineStr">
        <is>
          <t>Pending Review</t>
        </is>
      </c>
      <c r="Q379" s="33" t="inlineStr">
        <is>
          <t>Confirmar SKU/PCBA revision, PN exacto en Common DB, WO, BU, vigencia, planta y aprobacion firmada.</t>
        </is>
      </c>
    </row>
    <row r="380">
      <c r="A380" s="43" t="inlineStr">
        <is>
          <t>CTANJZ04726</t>
        </is>
      </c>
      <c r="B380" s="43" t="inlineStr">
        <is>
          <t>D604890</t>
        </is>
      </c>
      <c r="C380" s="43" t="inlineStr">
        <is>
          <t>037-STBU</t>
        </is>
      </c>
      <c r="D380" s="43" t="inlineStr">
        <is>
          <t>FJZP</t>
        </is>
      </c>
      <c r="E380" s="43" t="inlineStr">
        <is>
          <t>MCGA</t>
        </is>
      </c>
      <c r="F380" s="43" t="inlineStr">
        <is>
          <t>800-106754-02</t>
        </is>
      </c>
      <c r="G380" s="43" t="inlineStr">
        <is>
          <t>OTHER_SCOPE_ITEM</t>
        </is>
      </c>
      <c r="H380" s="43" t="inlineStr"/>
      <c r="I380" s="43" t="inlineStr">
        <is>
          <t>Expired</t>
        </is>
      </c>
      <c r="J380" s="32" t="n">
        <v>45939</v>
      </c>
      <c r="K380" s="32" t="n">
        <v>45864</v>
      </c>
      <c r="L380" s="43" t="inlineStr">
        <is>
          <t>1731</t>
        </is>
      </c>
      <c r="M380" s="43" t="n">
        <v>1</v>
      </c>
      <c r="N380" s="33" t="inlineStr"/>
      <c r="O380" s="43" t="inlineStr">
        <is>
          <t>UNVERIFIED</t>
        </is>
      </c>
      <c r="P380" s="43" t="inlineStr">
        <is>
          <t>Pending Review</t>
        </is>
      </c>
      <c r="Q380" s="33" t="inlineStr">
        <is>
          <t>Confirmar SKU/PCBA revision, PN exacto en Common DB, WO, BU, vigencia, planta y aprobacion firmada.</t>
        </is>
      </c>
    </row>
    <row r="381">
      <c r="A381" s="43" t="inlineStr">
        <is>
          <t>CTANJZ04726</t>
        </is>
      </c>
      <c r="B381" s="43" t="inlineStr">
        <is>
          <t>D604890</t>
        </is>
      </c>
      <c r="C381" s="43" t="inlineStr">
        <is>
          <t>037-STBU</t>
        </is>
      </c>
      <c r="D381" s="43" t="inlineStr">
        <is>
          <t>FJZP</t>
        </is>
      </c>
      <c r="E381" s="43" t="inlineStr">
        <is>
          <t>MCGA</t>
        </is>
      </c>
      <c r="F381" s="43" t="inlineStr">
        <is>
          <t>800-106838-02</t>
        </is>
      </c>
      <c r="G381" s="43" t="inlineStr">
        <is>
          <t>OTHER_SCOPE_ITEM</t>
        </is>
      </c>
      <c r="H381" s="43" t="inlineStr"/>
      <c r="I381" s="43" t="inlineStr">
        <is>
          <t>Expired</t>
        </is>
      </c>
      <c r="J381" s="32" t="n">
        <v>45939</v>
      </c>
      <c r="K381" s="32" t="n">
        <v>45864</v>
      </c>
      <c r="L381" s="43" t="inlineStr">
        <is>
          <t>1732</t>
        </is>
      </c>
      <c r="M381" s="43" t="n">
        <v>1</v>
      </c>
      <c r="N381" s="33" t="inlineStr"/>
      <c r="O381" s="43" t="inlineStr">
        <is>
          <t>UNVERIFIED</t>
        </is>
      </c>
      <c r="P381" s="43" t="inlineStr">
        <is>
          <t>Pending Review</t>
        </is>
      </c>
      <c r="Q381" s="33" t="inlineStr">
        <is>
          <t>Confirmar SKU/PCBA revision, PN exacto en Common DB, WO, BU, vigencia, planta y aprobacion firmada.</t>
        </is>
      </c>
    </row>
    <row r="382">
      <c r="A382" s="43" t="inlineStr">
        <is>
          <t>CTANJZ04731</t>
        </is>
      </c>
      <c r="B382" s="43" t="inlineStr">
        <is>
          <t>DP525122</t>
        </is>
      </c>
      <c r="C382" s="43" t="inlineStr">
        <is>
          <t>035-CVEBU</t>
        </is>
      </c>
      <c r="D382" s="43" t="inlineStr">
        <is>
          <t>FJZP</t>
        </is>
      </c>
      <c r="E382" s="43" t="inlineStr">
        <is>
          <t>MCGA</t>
        </is>
      </c>
      <c r="F382" s="43" t="inlineStr">
        <is>
          <t>68-104855-01</t>
        </is>
      </c>
      <c r="G382" s="43" t="inlineStr">
        <is>
          <t>OTHER_SCOPE_ITEM</t>
        </is>
      </c>
      <c r="H382" s="43" t="inlineStr"/>
      <c r="I382" s="43" t="inlineStr">
        <is>
          <t>Expired</t>
        </is>
      </c>
      <c r="J382" s="32" t="n">
        <v>45913</v>
      </c>
      <c r="K382" s="32" t="n">
        <v>45862</v>
      </c>
      <c r="L382" s="43" t="inlineStr">
        <is>
          <t>494</t>
        </is>
      </c>
      <c r="M382" s="43" t="n">
        <v>1</v>
      </c>
      <c r="N382" s="33" t="inlineStr"/>
      <c r="O382" s="43" t="inlineStr">
        <is>
          <t>UNVERIFIED</t>
        </is>
      </c>
      <c r="P382" s="43" t="inlineStr">
        <is>
          <t>Pending Review</t>
        </is>
      </c>
      <c r="Q382" s="33" t="inlineStr">
        <is>
          <t>Confirmar SKU/PCBA revision, PN exacto en Common DB, WO, BU, vigencia, planta y aprobacion firmada.</t>
        </is>
      </c>
    </row>
    <row r="383">
      <c r="A383" s="43" t="inlineStr">
        <is>
          <t>CTANJZ04732</t>
        </is>
      </c>
      <c r="B383" s="43" t="inlineStr">
        <is>
          <t>D604140</t>
        </is>
      </c>
      <c r="C383" s="43" t="inlineStr">
        <is>
          <t>037-STBU</t>
        </is>
      </c>
      <c r="D383" s="43" t="inlineStr">
        <is>
          <t>FJZP</t>
        </is>
      </c>
      <c r="E383" s="43" t="inlineStr">
        <is>
          <t>MCGA</t>
        </is>
      </c>
      <c r="F383" s="43" t="inlineStr">
        <is>
          <t>55-2999-01</t>
        </is>
      </c>
      <c r="G383" s="43" t="inlineStr">
        <is>
          <t>OTHER_SCOPE_ITEM</t>
        </is>
      </c>
      <c r="H383" s="43" t="inlineStr"/>
      <c r="I383" s="43" t="inlineStr">
        <is>
          <t>Expired</t>
        </is>
      </c>
      <c r="J383" s="32" t="n">
        <v>45944</v>
      </c>
      <c r="K383" s="32" t="n">
        <v>45866</v>
      </c>
      <c r="L383" s="43" t="inlineStr">
        <is>
          <t>800</t>
        </is>
      </c>
      <c r="M383" s="43" t="n">
        <v>1</v>
      </c>
      <c r="N383" s="33" t="inlineStr"/>
      <c r="O383" s="43" t="inlineStr">
        <is>
          <t>UNVERIFIED</t>
        </is>
      </c>
      <c r="P383" s="43" t="inlineStr">
        <is>
          <t>Pending Review</t>
        </is>
      </c>
      <c r="Q383" s="33" t="inlineStr">
        <is>
          <t>Confirmar SKU/PCBA revision, PN exacto en Common DB, WO, BU, vigencia, planta y aprobacion firmada.</t>
        </is>
      </c>
    </row>
    <row r="384">
      <c r="A384" s="43" t="inlineStr">
        <is>
          <t>CTANJZ04733</t>
        </is>
      </c>
      <c r="B384" s="43" t="inlineStr">
        <is>
          <t>DP525134</t>
        </is>
      </c>
      <c r="C384" s="43" t="inlineStr">
        <is>
          <t>037-STBU</t>
        </is>
      </c>
      <c r="D384" s="43" t="inlineStr">
        <is>
          <t>FJZP</t>
        </is>
      </c>
      <c r="E384" s="43" t="inlineStr">
        <is>
          <t>MCGA</t>
        </is>
      </c>
      <c r="F384" s="43" t="inlineStr">
        <is>
          <t>800-112581-04</t>
        </is>
      </c>
      <c r="G384" s="43" t="inlineStr">
        <is>
          <t>OTHER_SCOPE_ITEM</t>
        </is>
      </c>
      <c r="H384" s="43" t="inlineStr"/>
      <c r="I384" s="43" t="inlineStr">
        <is>
          <t>Expired</t>
        </is>
      </c>
      <c r="J384" s="32" t="n">
        <v>45915</v>
      </c>
      <c r="K384" s="32" t="n">
        <v>45863</v>
      </c>
      <c r="L384" s="43" t="inlineStr">
        <is>
          <t>382</t>
        </is>
      </c>
      <c r="M384" s="43" t="n">
        <v>1</v>
      </c>
      <c r="N384" s="33" t="inlineStr"/>
      <c r="O384" s="43" t="inlineStr">
        <is>
          <t>UNVERIFIED</t>
        </is>
      </c>
      <c r="P384" s="43" t="inlineStr">
        <is>
          <t>Pending Review</t>
        </is>
      </c>
      <c r="Q384" s="33" t="inlineStr">
        <is>
          <t>Confirmar SKU/PCBA revision, PN exacto en Common DB, WO, BU, vigencia, planta y aprobacion firmada.</t>
        </is>
      </c>
    </row>
    <row r="385">
      <c r="A385" s="43" t="inlineStr">
        <is>
          <t>CTANJZ04733</t>
        </is>
      </c>
      <c r="B385" s="43" t="inlineStr">
        <is>
          <t>DP525134</t>
        </is>
      </c>
      <c r="C385" s="43" t="inlineStr">
        <is>
          <t>037-STBU</t>
        </is>
      </c>
      <c r="D385" s="43" t="inlineStr">
        <is>
          <t>FJZP</t>
        </is>
      </c>
      <c r="E385" s="43" t="inlineStr">
        <is>
          <t>MCGA</t>
        </is>
      </c>
      <c r="F385" s="43" t="inlineStr">
        <is>
          <t>800-112582-04</t>
        </is>
      </c>
      <c r="G385" s="43" t="inlineStr">
        <is>
          <t>OTHER_SCOPE_ITEM</t>
        </is>
      </c>
      <c r="H385" s="43" t="inlineStr"/>
      <c r="I385" s="43" t="inlineStr">
        <is>
          <t>Expired</t>
        </is>
      </c>
      <c r="J385" s="32" t="n">
        <v>45915</v>
      </c>
      <c r="K385" s="32" t="n">
        <v>45863</v>
      </c>
      <c r="L385" s="43" t="inlineStr">
        <is>
          <t>383</t>
        </is>
      </c>
      <c r="M385" s="43" t="n">
        <v>1</v>
      </c>
      <c r="N385" s="33" t="inlineStr"/>
      <c r="O385" s="43" t="inlineStr">
        <is>
          <t>UNVERIFIED</t>
        </is>
      </c>
      <c r="P385" s="43" t="inlineStr">
        <is>
          <t>Pending Review</t>
        </is>
      </c>
      <c r="Q385" s="33" t="inlineStr">
        <is>
          <t>Confirmar SKU/PCBA revision, PN exacto en Common DB, WO, BU, vigencia, planta y aprobacion firmada.</t>
        </is>
      </c>
    </row>
    <row r="386">
      <c r="A386" s="43" t="inlineStr">
        <is>
          <t>CTANJZ04733</t>
        </is>
      </c>
      <c r="B386" s="43" t="inlineStr">
        <is>
          <t>DP525134</t>
        </is>
      </c>
      <c r="C386" s="43" t="inlineStr">
        <is>
          <t>037-STBU</t>
        </is>
      </c>
      <c r="D386" s="43" t="inlineStr">
        <is>
          <t>FJZP</t>
        </is>
      </c>
      <c r="E386" s="43" t="inlineStr">
        <is>
          <t>MCGA</t>
        </is>
      </c>
      <c r="F386" s="43" t="inlineStr">
        <is>
          <t>800-112583-04</t>
        </is>
      </c>
      <c r="G386" s="43" t="inlineStr">
        <is>
          <t>OTHER_SCOPE_ITEM</t>
        </is>
      </c>
      <c r="H386" s="43" t="inlineStr"/>
      <c r="I386" s="43" t="inlineStr">
        <is>
          <t>Expired</t>
        </is>
      </c>
      <c r="J386" s="32" t="n">
        <v>45915</v>
      </c>
      <c r="K386" s="32" t="n">
        <v>45863</v>
      </c>
      <c r="L386" s="43" t="inlineStr">
        <is>
          <t>384</t>
        </is>
      </c>
      <c r="M386" s="43" t="n">
        <v>1</v>
      </c>
      <c r="N386" s="33" t="inlineStr"/>
      <c r="O386" s="43" t="inlineStr">
        <is>
          <t>UNVERIFIED</t>
        </is>
      </c>
      <c r="P386" s="43" t="inlineStr">
        <is>
          <t>Pending Review</t>
        </is>
      </c>
      <c r="Q386" s="33" t="inlineStr">
        <is>
          <t>Confirmar SKU/PCBA revision, PN exacto en Common DB, WO, BU, vigencia, planta y aprobacion firmada.</t>
        </is>
      </c>
    </row>
    <row r="387">
      <c r="A387" s="43" t="inlineStr">
        <is>
          <t>CTANJZ04733</t>
        </is>
      </c>
      <c r="B387" s="43" t="inlineStr">
        <is>
          <t>DP525134</t>
        </is>
      </c>
      <c r="C387" s="43" t="inlineStr">
        <is>
          <t>037-STBU</t>
        </is>
      </c>
      <c r="D387" s="43" t="inlineStr">
        <is>
          <t>FJZP</t>
        </is>
      </c>
      <c r="E387" s="43" t="inlineStr">
        <is>
          <t>MCGA</t>
        </is>
      </c>
      <c r="F387" s="43" t="inlineStr">
        <is>
          <t>800-112720-04</t>
        </is>
      </c>
      <c r="G387" s="43" t="inlineStr">
        <is>
          <t>OTHER_SCOPE_ITEM</t>
        </is>
      </c>
      <c r="H387" s="43" t="inlineStr"/>
      <c r="I387" s="43" t="inlineStr">
        <is>
          <t>Expired</t>
        </is>
      </c>
      <c r="J387" s="32" t="n">
        <v>45915</v>
      </c>
      <c r="K387" s="32" t="n">
        <v>45863</v>
      </c>
      <c r="L387" s="43" t="inlineStr">
        <is>
          <t>409</t>
        </is>
      </c>
      <c r="M387" s="43" t="n">
        <v>1</v>
      </c>
      <c r="N387" s="33" t="inlineStr"/>
      <c r="O387" s="43" t="inlineStr">
        <is>
          <t>UNVERIFIED</t>
        </is>
      </c>
      <c r="P387" s="43" t="inlineStr">
        <is>
          <t>Pending Review</t>
        </is>
      </c>
      <c r="Q387" s="33" t="inlineStr">
        <is>
          <t>Confirmar SKU/PCBA revision, PN exacto en Common DB, WO, BU, vigencia, planta y aprobacion firmada.</t>
        </is>
      </c>
    </row>
    <row r="388">
      <c r="A388" s="43" t="inlineStr">
        <is>
          <t>CTANJZ04734</t>
        </is>
      </c>
      <c r="B388" s="43" t="inlineStr">
        <is>
          <t>DP525135</t>
        </is>
      </c>
      <c r="C388" s="43" t="inlineStr">
        <is>
          <t>037-STBU</t>
        </is>
      </c>
      <c r="D388" s="43" t="inlineStr">
        <is>
          <t>FJZP</t>
        </is>
      </c>
      <c r="E388" s="43" t="inlineStr">
        <is>
          <t>MCGA</t>
        </is>
      </c>
      <c r="F388" s="43" t="inlineStr">
        <is>
          <t>73-103633-04</t>
        </is>
      </c>
      <c r="G388" s="43" t="inlineStr">
        <is>
          <t>BOARD_PN_CANDIDATE</t>
        </is>
      </c>
      <c r="H388" s="43" t="inlineStr"/>
      <c r="I388" s="43" t="inlineStr">
        <is>
          <t>Expired</t>
        </is>
      </c>
      <c r="J388" s="32" t="n">
        <v>45915</v>
      </c>
      <c r="K388" s="32" t="n">
        <v>45863</v>
      </c>
      <c r="L388" s="43" t="inlineStr">
        <is>
          <t>875</t>
        </is>
      </c>
      <c r="M388" s="43" t="n">
        <v>1</v>
      </c>
      <c r="N388" s="33" t="inlineStr"/>
      <c r="O388" s="43" t="inlineStr">
        <is>
          <t>UNVERIFIED</t>
        </is>
      </c>
      <c r="P388" s="43" t="inlineStr">
        <is>
          <t>Pending Review</t>
        </is>
      </c>
      <c r="Q388" s="33" t="inlineStr">
        <is>
          <t>Confirmar SKU/PCBA revision, PN exacto en Common DB, WO, BU, vigencia, planta y aprobacion firmada.</t>
        </is>
      </c>
    </row>
    <row r="389">
      <c r="A389" s="43" t="inlineStr">
        <is>
          <t>CTANJZ04739</t>
        </is>
      </c>
      <c r="B389" s="43" t="inlineStr">
        <is>
          <t>D605179</t>
        </is>
      </c>
      <c r="C389" s="43" t="inlineStr">
        <is>
          <t>037-STBU</t>
        </is>
      </c>
      <c r="D389" s="43" t="inlineStr">
        <is>
          <t>FJZP</t>
        </is>
      </c>
      <c r="E389" s="43" t="inlineStr">
        <is>
          <t>MCGA</t>
        </is>
      </c>
      <c r="F389" s="43" t="inlineStr">
        <is>
          <t>800-111171-02</t>
        </is>
      </c>
      <c r="G389" s="43" t="inlineStr">
        <is>
          <t>OTHER_SCOPE_ITEM</t>
        </is>
      </c>
      <c r="H389" s="43" t="inlineStr"/>
      <c r="I389" s="43" t="inlineStr">
        <is>
          <t>Expired</t>
        </is>
      </c>
      <c r="J389" s="32" t="n">
        <v>45946</v>
      </c>
      <c r="K389" s="32" t="n">
        <v>45868</v>
      </c>
      <c r="L389" s="43" t="inlineStr">
        <is>
          <t>801</t>
        </is>
      </c>
      <c r="M389" s="43" t="n">
        <v>1</v>
      </c>
      <c r="N389" s="33" t="inlineStr"/>
      <c r="O389" s="43" t="inlineStr">
        <is>
          <t>UNVERIFIED</t>
        </is>
      </c>
      <c r="P389" s="43" t="inlineStr">
        <is>
          <t>Pending Review</t>
        </is>
      </c>
      <c r="Q389" s="33" t="inlineStr">
        <is>
          <t>Confirmar SKU/PCBA revision, PN exacto en Common DB, WO, BU, vigencia, planta y aprobacion firmada.</t>
        </is>
      </c>
    </row>
    <row r="390">
      <c r="A390" s="43" t="inlineStr">
        <is>
          <t>CTANJZ04741</t>
        </is>
      </c>
      <c r="B390" s="43" t="inlineStr">
        <is>
          <t>D605272</t>
        </is>
      </c>
      <c r="C390" s="43" t="inlineStr">
        <is>
          <t>037-STBU</t>
        </is>
      </c>
      <c r="D390" s="43" t="inlineStr">
        <is>
          <t>FJZP</t>
        </is>
      </c>
      <c r="E390" s="43" t="inlineStr">
        <is>
          <t>MCGA</t>
        </is>
      </c>
      <c r="F390" s="43" t="inlineStr">
        <is>
          <t>800-103091-01</t>
        </is>
      </c>
      <c r="G390" s="43" t="inlineStr">
        <is>
          <t>OTHER_SCOPE_ITEM</t>
        </is>
      </c>
      <c r="H390" s="43" t="inlineStr"/>
      <c r="I390" s="43" t="inlineStr">
        <is>
          <t>Expired</t>
        </is>
      </c>
      <c r="J390" s="32" t="n">
        <v>45950</v>
      </c>
      <c r="K390" s="32" t="n">
        <v>45874</v>
      </c>
      <c r="L390" s="43" t="inlineStr">
        <is>
          <t>824</t>
        </is>
      </c>
      <c r="M390" s="43" t="n">
        <v>1</v>
      </c>
      <c r="N390" s="33" t="inlineStr"/>
      <c r="O390" s="43" t="inlineStr">
        <is>
          <t>UNVERIFIED</t>
        </is>
      </c>
      <c r="P390" s="43" t="inlineStr">
        <is>
          <t>Pending Review</t>
        </is>
      </c>
      <c r="Q390" s="33" t="inlineStr">
        <is>
          <t>Confirmar SKU/PCBA revision, PN exacto en Common DB, WO, BU, vigencia, planta y aprobacion firmada.</t>
        </is>
      </c>
    </row>
    <row r="391">
      <c r="A391" s="43" t="inlineStr">
        <is>
          <t>CTANJZ04741</t>
        </is>
      </c>
      <c r="B391" s="43" t="inlineStr">
        <is>
          <t>D605272</t>
        </is>
      </c>
      <c r="C391" s="43" t="inlineStr">
        <is>
          <t>037-STBU</t>
        </is>
      </c>
      <c r="D391" s="43" t="inlineStr">
        <is>
          <t>FJZP</t>
        </is>
      </c>
      <c r="E391" s="43" t="inlineStr">
        <is>
          <t>MCGA</t>
        </is>
      </c>
      <c r="F391" s="43" t="inlineStr">
        <is>
          <t>800-105498-03</t>
        </is>
      </c>
      <c r="G391" s="43" t="inlineStr">
        <is>
          <t>OTHER_SCOPE_ITEM</t>
        </is>
      </c>
      <c r="H391" s="43" t="inlineStr"/>
      <c r="I391" s="43" t="inlineStr">
        <is>
          <t>Expired</t>
        </is>
      </c>
      <c r="J391" s="32" t="n">
        <v>45950</v>
      </c>
      <c r="K391" s="32" t="n">
        <v>45874</v>
      </c>
      <c r="L391" s="43" t="inlineStr">
        <is>
          <t>825</t>
        </is>
      </c>
      <c r="M391" s="43" t="n">
        <v>1</v>
      </c>
      <c r="N391" s="33" t="inlineStr"/>
      <c r="O391" s="43" t="inlineStr">
        <is>
          <t>UNVERIFIED</t>
        </is>
      </c>
      <c r="P391" s="43" t="inlineStr">
        <is>
          <t>Pending Review</t>
        </is>
      </c>
      <c r="Q391" s="33" t="inlineStr">
        <is>
          <t>Confirmar SKU/PCBA revision, PN exacto en Common DB, WO, BU, vigencia, planta y aprobacion firmada.</t>
        </is>
      </c>
    </row>
    <row r="392">
      <c r="A392" s="43" t="inlineStr">
        <is>
          <t>CTANJZ04741</t>
        </is>
      </c>
      <c r="B392" s="43" t="inlineStr">
        <is>
          <t>D605272</t>
        </is>
      </c>
      <c r="C392" s="43" t="inlineStr">
        <is>
          <t>037-STBU</t>
        </is>
      </c>
      <c r="D392" s="43" t="inlineStr">
        <is>
          <t>FJZP</t>
        </is>
      </c>
      <c r="E392" s="43" t="inlineStr">
        <is>
          <t>MCGA</t>
        </is>
      </c>
      <c r="F392" s="43" t="inlineStr">
        <is>
          <t>800-105499-03</t>
        </is>
      </c>
      <c r="G392" s="43" t="inlineStr">
        <is>
          <t>OTHER_SCOPE_ITEM</t>
        </is>
      </c>
      <c r="H392" s="43" t="inlineStr"/>
      <c r="I392" s="43" t="inlineStr">
        <is>
          <t>Expired</t>
        </is>
      </c>
      <c r="J392" s="32" t="n">
        <v>45950</v>
      </c>
      <c r="K392" s="32" t="n">
        <v>45874</v>
      </c>
      <c r="L392" s="43" t="inlineStr">
        <is>
          <t>826</t>
        </is>
      </c>
      <c r="M392" s="43" t="n">
        <v>1</v>
      </c>
      <c r="N392" s="33" t="inlineStr"/>
      <c r="O392" s="43" t="inlineStr">
        <is>
          <t>UNVERIFIED</t>
        </is>
      </c>
      <c r="P392" s="43" t="inlineStr">
        <is>
          <t>Pending Review</t>
        </is>
      </c>
      <c r="Q392" s="33" t="inlineStr">
        <is>
          <t>Confirmar SKU/PCBA revision, PN exacto en Common DB, WO, BU, vigencia, planta y aprobacion firmada.</t>
        </is>
      </c>
    </row>
    <row r="393">
      <c r="A393" s="43" t="inlineStr">
        <is>
          <t>CTANJZ04741</t>
        </is>
      </c>
      <c r="B393" s="43" t="inlineStr">
        <is>
          <t>D605272</t>
        </is>
      </c>
      <c r="C393" s="43" t="inlineStr">
        <is>
          <t>037-STBU</t>
        </is>
      </c>
      <c r="D393" s="43" t="inlineStr">
        <is>
          <t>FJZP</t>
        </is>
      </c>
      <c r="E393" s="43" t="inlineStr">
        <is>
          <t>MCGA</t>
        </is>
      </c>
      <c r="F393" s="43" t="inlineStr">
        <is>
          <t>800-105500-03</t>
        </is>
      </c>
      <c r="G393" s="43" t="inlineStr">
        <is>
          <t>OTHER_SCOPE_ITEM</t>
        </is>
      </c>
      <c r="H393" s="43" t="inlineStr"/>
      <c r="I393" s="43" t="inlineStr">
        <is>
          <t>Expired</t>
        </is>
      </c>
      <c r="J393" s="32" t="n">
        <v>45950</v>
      </c>
      <c r="K393" s="32" t="n">
        <v>45874</v>
      </c>
      <c r="L393" s="43" t="inlineStr">
        <is>
          <t>827</t>
        </is>
      </c>
      <c r="M393" s="43" t="n">
        <v>1</v>
      </c>
      <c r="N393" s="33" t="inlineStr"/>
      <c r="O393" s="43" t="inlineStr">
        <is>
          <t>UNVERIFIED</t>
        </is>
      </c>
      <c r="P393" s="43" t="inlineStr">
        <is>
          <t>Pending Review</t>
        </is>
      </c>
      <c r="Q393" s="33" t="inlineStr">
        <is>
          <t>Confirmar SKU/PCBA revision, PN exacto en Common DB, WO, BU, vigencia, planta y aprobacion firmada.</t>
        </is>
      </c>
    </row>
    <row r="394">
      <c r="A394" s="43" t="inlineStr">
        <is>
          <t>CTANJZ04741</t>
        </is>
      </c>
      <c r="B394" s="43" t="inlineStr">
        <is>
          <t>D605272</t>
        </is>
      </c>
      <c r="C394" s="43" t="inlineStr">
        <is>
          <t>037-STBU</t>
        </is>
      </c>
      <c r="D394" s="43" t="inlineStr">
        <is>
          <t>FJZP</t>
        </is>
      </c>
      <c r="E394" s="43" t="inlineStr">
        <is>
          <t>MCGA</t>
        </is>
      </c>
      <c r="F394" s="43" t="inlineStr">
        <is>
          <t>800-106634-02</t>
        </is>
      </c>
      <c r="G394" s="43" t="inlineStr">
        <is>
          <t>OTHER_SCOPE_ITEM</t>
        </is>
      </c>
      <c r="H394" s="43" t="inlineStr"/>
      <c r="I394" s="43" t="inlineStr">
        <is>
          <t>Expired</t>
        </is>
      </c>
      <c r="J394" s="32" t="n">
        <v>45950</v>
      </c>
      <c r="K394" s="32" t="n">
        <v>45874</v>
      </c>
      <c r="L394" s="43" t="inlineStr">
        <is>
          <t>828</t>
        </is>
      </c>
      <c r="M394" s="43" t="n">
        <v>1</v>
      </c>
      <c r="N394" s="33" t="inlineStr"/>
      <c r="O394" s="43" t="inlineStr">
        <is>
          <t>UNVERIFIED</t>
        </is>
      </c>
      <c r="P394" s="43" t="inlineStr">
        <is>
          <t>Pending Review</t>
        </is>
      </c>
      <c r="Q394" s="33" t="inlineStr">
        <is>
          <t>Confirmar SKU/PCBA revision, PN exacto en Common DB, WO, BU, vigencia, planta y aprobacion firmada.</t>
        </is>
      </c>
    </row>
    <row r="395">
      <c r="A395" s="43" t="inlineStr">
        <is>
          <t>CTANJZ04741</t>
        </is>
      </c>
      <c r="B395" s="43" t="inlineStr">
        <is>
          <t>D605272</t>
        </is>
      </c>
      <c r="C395" s="43" t="inlineStr">
        <is>
          <t>037-STBU</t>
        </is>
      </c>
      <c r="D395" s="43" t="inlineStr">
        <is>
          <t>FJZP</t>
        </is>
      </c>
      <c r="E395" s="43" t="inlineStr">
        <is>
          <t>MCGA</t>
        </is>
      </c>
      <c r="F395" s="43" t="inlineStr">
        <is>
          <t>800-106754-02</t>
        </is>
      </c>
      <c r="G395" s="43" t="inlineStr">
        <is>
          <t>OTHER_SCOPE_ITEM</t>
        </is>
      </c>
      <c r="H395" s="43" t="inlineStr"/>
      <c r="I395" s="43" t="inlineStr">
        <is>
          <t>Expired</t>
        </is>
      </c>
      <c r="J395" s="32" t="n">
        <v>45950</v>
      </c>
      <c r="K395" s="32" t="n">
        <v>45874</v>
      </c>
      <c r="L395" s="43" t="inlineStr">
        <is>
          <t>829</t>
        </is>
      </c>
      <c r="M395" s="43" t="n">
        <v>1</v>
      </c>
      <c r="N395" s="33" t="inlineStr"/>
      <c r="O395" s="43" t="inlineStr">
        <is>
          <t>UNVERIFIED</t>
        </is>
      </c>
      <c r="P395" s="43" t="inlineStr">
        <is>
          <t>Pending Review</t>
        </is>
      </c>
      <c r="Q395" s="33" t="inlineStr">
        <is>
          <t>Confirmar SKU/PCBA revision, PN exacto en Common DB, WO, BU, vigencia, planta y aprobacion firmada.</t>
        </is>
      </c>
    </row>
    <row r="396">
      <c r="A396" s="43" t="inlineStr">
        <is>
          <t>CTANJZ04741</t>
        </is>
      </c>
      <c r="B396" s="43" t="inlineStr">
        <is>
          <t>D605272</t>
        </is>
      </c>
      <c r="C396" s="43" t="inlineStr">
        <is>
          <t>037-STBU</t>
        </is>
      </c>
      <c r="D396" s="43" t="inlineStr">
        <is>
          <t>FJZP</t>
        </is>
      </c>
      <c r="E396" s="43" t="inlineStr">
        <is>
          <t>MCGA</t>
        </is>
      </c>
      <c r="F396" s="43" t="inlineStr">
        <is>
          <t>800-106838-02</t>
        </is>
      </c>
      <c r="G396" s="43" t="inlineStr">
        <is>
          <t>OTHER_SCOPE_ITEM</t>
        </is>
      </c>
      <c r="H396" s="43" t="inlineStr"/>
      <c r="I396" s="43" t="inlineStr">
        <is>
          <t>Expired</t>
        </is>
      </c>
      <c r="J396" s="32" t="n">
        <v>45950</v>
      </c>
      <c r="K396" s="32" t="n">
        <v>45874</v>
      </c>
      <c r="L396" s="43" t="inlineStr">
        <is>
          <t>852</t>
        </is>
      </c>
      <c r="M396" s="43" t="n">
        <v>1</v>
      </c>
      <c r="N396" s="33" t="inlineStr"/>
      <c r="O396" s="43" t="inlineStr">
        <is>
          <t>UNVERIFIED</t>
        </is>
      </c>
      <c r="P396" s="43" t="inlineStr">
        <is>
          <t>Pending Review</t>
        </is>
      </c>
      <c r="Q396" s="33" t="inlineStr">
        <is>
          <t>Confirmar SKU/PCBA revision, PN exacto en Common DB, WO, BU, vigencia, planta y aprobacion firmada.</t>
        </is>
      </c>
    </row>
    <row r="397">
      <c r="A397" s="43" t="inlineStr">
        <is>
          <t>CTANJZ04742</t>
        </is>
      </c>
      <c r="B397" s="43" t="inlineStr">
        <is>
          <t>D605284</t>
        </is>
      </c>
      <c r="C397" s="43" t="inlineStr">
        <is>
          <t>035-CVEBU</t>
        </is>
      </c>
      <c r="D397" s="43" t="inlineStr">
        <is>
          <t>FJZP</t>
        </is>
      </c>
      <c r="E397" s="43" t="inlineStr">
        <is>
          <t>MCGA</t>
        </is>
      </c>
      <c r="F397" s="43" t="inlineStr">
        <is>
          <t>55-1205-01</t>
        </is>
      </c>
      <c r="G397" s="43" t="inlineStr">
        <is>
          <t>OTHER_SCOPE_ITEM</t>
        </is>
      </c>
      <c r="H397" s="43" t="inlineStr"/>
      <c r="I397" s="43" t="inlineStr">
        <is>
          <t>Expired</t>
        </is>
      </c>
      <c r="J397" s="32" t="n">
        <v>45950</v>
      </c>
      <c r="K397" s="32" t="n">
        <v>45867</v>
      </c>
      <c r="L397" s="43" t="inlineStr">
        <is>
          <t>1743</t>
        </is>
      </c>
      <c r="M397" s="43" t="n">
        <v>1</v>
      </c>
      <c r="N397" s="33" t="inlineStr"/>
      <c r="O397" s="43" t="inlineStr">
        <is>
          <t>UNVERIFIED</t>
        </is>
      </c>
      <c r="P397" s="43" t="inlineStr">
        <is>
          <t>Pending Review</t>
        </is>
      </c>
      <c r="Q397" s="33" t="inlineStr">
        <is>
          <t>Confirmar SKU/PCBA revision, PN exacto en Common DB, WO, BU, vigencia, planta y aprobacion firmada.</t>
        </is>
      </c>
    </row>
    <row r="398">
      <c r="A398" s="43" t="inlineStr">
        <is>
          <t>CTANJZ04742</t>
        </is>
      </c>
      <c r="B398" s="43" t="inlineStr">
        <is>
          <t>D605284</t>
        </is>
      </c>
      <c r="C398" s="43" t="inlineStr">
        <is>
          <t>035-CVEBU</t>
        </is>
      </c>
      <c r="D398" s="43" t="inlineStr">
        <is>
          <t>FJZP</t>
        </is>
      </c>
      <c r="E398" s="43" t="inlineStr">
        <is>
          <t>MCGA</t>
        </is>
      </c>
      <c r="F398" s="43" t="inlineStr">
        <is>
          <t>55-3315-02</t>
        </is>
      </c>
      <c r="G398" s="43" t="inlineStr">
        <is>
          <t>OTHER_SCOPE_ITEM</t>
        </is>
      </c>
      <c r="H398" s="43" t="inlineStr"/>
      <c r="I398" s="43" t="inlineStr">
        <is>
          <t>Expired</t>
        </is>
      </c>
      <c r="J398" s="32" t="n">
        <v>45950</v>
      </c>
      <c r="K398" s="32" t="n">
        <v>45867</v>
      </c>
      <c r="L398" s="43" t="inlineStr">
        <is>
          <t>1744</t>
        </is>
      </c>
      <c r="M398" s="43" t="n">
        <v>1</v>
      </c>
      <c r="N398" s="33" t="inlineStr"/>
      <c r="O398" s="43" t="inlineStr">
        <is>
          <t>UNVERIFIED</t>
        </is>
      </c>
      <c r="P398" s="43" t="inlineStr">
        <is>
          <t>Pending Review</t>
        </is>
      </c>
      <c r="Q398" s="33" t="inlineStr">
        <is>
          <t>Confirmar SKU/PCBA revision, PN exacto en Common DB, WO, BU, vigencia, planta y aprobacion firmada.</t>
        </is>
      </c>
    </row>
    <row r="399">
      <c r="A399" s="43" t="inlineStr">
        <is>
          <t>CTANJZ04744</t>
        </is>
      </c>
      <c r="B399" s="43" t="inlineStr">
        <is>
          <t>D605288</t>
        </is>
      </c>
      <c r="C399" s="43" t="inlineStr">
        <is>
          <t>034-IOTBU</t>
        </is>
      </c>
      <c r="D399" s="43" t="inlineStr">
        <is>
          <t>FJZP</t>
        </is>
      </c>
      <c r="E399" s="43" t="inlineStr">
        <is>
          <t>MCGA</t>
        </is>
      </c>
      <c r="F399" s="43" t="inlineStr">
        <is>
          <t>15-105197-01</t>
        </is>
      </c>
      <c r="G399" s="43" t="inlineStr">
        <is>
          <t>OTHER_SCOPE_ITEM</t>
        </is>
      </c>
      <c r="H399" s="43" t="inlineStr"/>
      <c r="I399" s="43" t="inlineStr">
        <is>
          <t>Expired</t>
        </is>
      </c>
      <c r="J399" s="32" t="n">
        <v>45951</v>
      </c>
      <c r="K399" s="32" t="n">
        <v>45868</v>
      </c>
      <c r="L399" s="43" t="inlineStr">
        <is>
          <t>1471</t>
        </is>
      </c>
      <c r="M399" s="43" t="n">
        <v>1</v>
      </c>
      <c r="N399" s="33" t="inlineStr"/>
      <c r="O399" s="43" t="inlineStr">
        <is>
          <t>UNVERIFIED</t>
        </is>
      </c>
      <c r="P399" s="43" t="inlineStr">
        <is>
          <t>Pending Review</t>
        </is>
      </c>
      <c r="Q399" s="33" t="inlineStr">
        <is>
          <t>Confirmar SKU/PCBA revision, PN exacto en Common DB, WO, BU, vigencia, planta y aprobacion firmada.</t>
        </is>
      </c>
    </row>
    <row r="400">
      <c r="A400" s="43" t="inlineStr">
        <is>
          <t>CTANJZ04744</t>
        </is>
      </c>
      <c r="B400" s="43" t="inlineStr">
        <is>
          <t>D605288</t>
        </is>
      </c>
      <c r="C400" s="43" t="inlineStr">
        <is>
          <t>034-IOTBU</t>
        </is>
      </c>
      <c r="D400" s="43" t="inlineStr">
        <is>
          <t>FJZP</t>
        </is>
      </c>
      <c r="E400" s="43" t="inlineStr">
        <is>
          <t>MCGA</t>
        </is>
      </c>
      <c r="F400" s="43" t="inlineStr">
        <is>
          <t>73-101439-04</t>
        </is>
      </c>
      <c r="G400" s="43" t="inlineStr">
        <is>
          <t>BOARD_PN_CANDIDATE</t>
        </is>
      </c>
      <c r="H400" s="43" t="inlineStr"/>
      <c r="I400" s="43" t="inlineStr">
        <is>
          <t>Expired</t>
        </is>
      </c>
      <c r="J400" s="32" t="n">
        <v>45951</v>
      </c>
      <c r="K400" s="32" t="n">
        <v>45868</v>
      </c>
      <c r="L400" s="43" t="inlineStr">
        <is>
          <t>1472</t>
        </is>
      </c>
      <c r="M400" s="43" t="n">
        <v>1</v>
      </c>
      <c r="N400" s="33" t="inlineStr"/>
      <c r="O400" s="43" t="inlineStr">
        <is>
          <t>UNVERIFIED</t>
        </is>
      </c>
      <c r="P400" s="43" t="inlineStr">
        <is>
          <t>Pending Review</t>
        </is>
      </c>
      <c r="Q400" s="33" t="inlineStr">
        <is>
          <t>Confirmar SKU/PCBA revision, PN exacto en Common DB, WO, BU, vigencia, planta y aprobacion firmada.</t>
        </is>
      </c>
    </row>
    <row r="401">
      <c r="A401" s="43" t="inlineStr">
        <is>
          <t>CTANJZ04744</t>
        </is>
      </c>
      <c r="B401" s="43" t="inlineStr">
        <is>
          <t>D605288</t>
        </is>
      </c>
      <c r="C401" s="43" t="inlineStr">
        <is>
          <t>034-IOTBU</t>
        </is>
      </c>
      <c r="D401" s="43" t="inlineStr">
        <is>
          <t>FJZP</t>
        </is>
      </c>
      <c r="E401" s="43" t="inlineStr">
        <is>
          <t>MCGA</t>
        </is>
      </c>
      <c r="F401" s="43" t="inlineStr">
        <is>
          <t>73-102239-04</t>
        </is>
      </c>
      <c r="G401" s="43" t="inlineStr">
        <is>
          <t>BOARD_PN_CANDIDATE</t>
        </is>
      </c>
      <c r="H401" s="43" t="inlineStr"/>
      <c r="I401" s="43" t="inlineStr">
        <is>
          <t>Expired</t>
        </is>
      </c>
      <c r="J401" s="32" t="n">
        <v>45951</v>
      </c>
      <c r="K401" s="32" t="n">
        <v>45868</v>
      </c>
      <c r="L401" s="43" t="inlineStr">
        <is>
          <t>1580</t>
        </is>
      </c>
      <c r="M401" s="43" t="n">
        <v>1</v>
      </c>
      <c r="N401" s="33" t="inlineStr"/>
      <c r="O401" s="43" t="inlineStr">
        <is>
          <t>UNVERIFIED</t>
        </is>
      </c>
      <c r="P401" s="43" t="inlineStr">
        <is>
          <t>Pending Review</t>
        </is>
      </c>
      <c r="Q401" s="33" t="inlineStr">
        <is>
          <t>Confirmar SKU/PCBA revision, PN exacto en Common DB, WO, BU, vigencia, planta y aprobacion firmada.</t>
        </is>
      </c>
    </row>
    <row r="402">
      <c r="A402" s="43" t="inlineStr">
        <is>
          <t>CTANJZ04744</t>
        </is>
      </c>
      <c r="B402" s="43" t="inlineStr">
        <is>
          <t>D605288</t>
        </is>
      </c>
      <c r="C402" s="43" t="inlineStr">
        <is>
          <t>034-IOTBU</t>
        </is>
      </c>
      <c r="D402" s="43" t="inlineStr">
        <is>
          <t>FJZP</t>
        </is>
      </c>
      <c r="E402" s="43" t="inlineStr">
        <is>
          <t>MCGA</t>
        </is>
      </c>
      <c r="F402" s="43" t="inlineStr">
        <is>
          <t>73-103098-03</t>
        </is>
      </c>
      <c r="G402" s="43" t="inlineStr">
        <is>
          <t>BOARD_PN_CANDIDATE</t>
        </is>
      </c>
      <c r="H402" s="43" t="inlineStr"/>
      <c r="I402" s="43" t="inlineStr">
        <is>
          <t>Expired</t>
        </is>
      </c>
      <c r="J402" s="32" t="n">
        <v>45951</v>
      </c>
      <c r="K402" s="32" t="n">
        <v>45868</v>
      </c>
      <c r="L402" s="43" t="inlineStr">
        <is>
          <t>1581</t>
        </is>
      </c>
      <c r="M402" s="43" t="n">
        <v>1</v>
      </c>
      <c r="N402" s="33" t="inlineStr"/>
      <c r="O402" s="43" t="inlineStr">
        <is>
          <t>UNVERIFIED</t>
        </is>
      </c>
      <c r="P402" s="43" t="inlineStr">
        <is>
          <t>Pending Review</t>
        </is>
      </c>
      <c r="Q402" s="33" t="inlineStr">
        <is>
          <t>Confirmar SKU/PCBA revision, PN exacto en Common DB, WO, BU, vigencia, planta y aprobacion firmada.</t>
        </is>
      </c>
    </row>
    <row r="403">
      <c r="A403" s="43" t="inlineStr">
        <is>
          <t>CTANJZ04745</t>
        </is>
      </c>
      <c r="B403" s="43" t="inlineStr">
        <is>
          <t>D605275</t>
        </is>
      </c>
      <c r="C403" s="43" t="inlineStr">
        <is>
          <t>018-SRGBU</t>
        </is>
      </c>
      <c r="D403" s="43" t="inlineStr">
        <is>
          <t>FJZP</t>
        </is>
      </c>
      <c r="E403" s="43" t="inlineStr">
        <is>
          <t>MCGA</t>
        </is>
      </c>
      <c r="F403" s="43" t="inlineStr">
        <is>
          <t>15-107070-01</t>
        </is>
      </c>
      <c r="G403" s="43" t="inlineStr">
        <is>
          <t>OTHER_SCOPE_ITEM</t>
        </is>
      </c>
      <c r="H403" s="43" t="inlineStr"/>
      <c r="I403" s="43" t="inlineStr">
        <is>
          <t>Expired</t>
        </is>
      </c>
      <c r="J403" s="32" t="n">
        <v>45950</v>
      </c>
      <c r="K403" s="32" t="n">
        <v>45866</v>
      </c>
      <c r="L403" s="43" t="inlineStr">
        <is>
          <t>823</t>
        </is>
      </c>
      <c r="M403" s="43" t="n">
        <v>1</v>
      </c>
      <c r="N403" s="33" t="inlineStr"/>
      <c r="O403" s="43" t="inlineStr">
        <is>
          <t>UNVERIFIED</t>
        </is>
      </c>
      <c r="P403" s="43" t="inlineStr">
        <is>
          <t>Pending Review</t>
        </is>
      </c>
      <c r="Q403" s="33" t="inlineStr">
        <is>
          <t>Confirmar SKU/PCBA revision, PN exacto en Common DB, WO, BU, vigencia, planta y aprobacion firmada.</t>
        </is>
      </c>
    </row>
    <row r="404">
      <c r="A404" s="43" t="inlineStr">
        <is>
          <t>CTANJZ04747</t>
        </is>
      </c>
      <c r="B404" s="43" t="inlineStr">
        <is>
          <t>D605207</t>
        </is>
      </c>
      <c r="C404" s="43" t="inlineStr">
        <is>
          <t>018-SRGBU</t>
        </is>
      </c>
      <c r="D404" s="43" t="inlineStr">
        <is>
          <t>FJZP</t>
        </is>
      </c>
      <c r="E404" s="43" t="inlineStr">
        <is>
          <t>MCGA</t>
        </is>
      </c>
      <c r="F404" s="43" t="inlineStr">
        <is>
          <t>16-100775-01</t>
        </is>
      </c>
      <c r="G404" s="43" t="inlineStr">
        <is>
          <t>OTHER_SCOPE_ITEM</t>
        </is>
      </c>
      <c r="H404" s="43" t="inlineStr"/>
      <c r="I404" s="43" t="inlineStr">
        <is>
          <t>Expired</t>
        </is>
      </c>
      <c r="J404" s="32" t="n">
        <v>45953</v>
      </c>
      <c r="K404" s="32" t="n">
        <v>45874</v>
      </c>
      <c r="L404" s="43" t="inlineStr">
        <is>
          <t>395</t>
        </is>
      </c>
      <c r="M404" s="43" t="n">
        <v>1</v>
      </c>
      <c r="N404" s="33" t="inlineStr"/>
      <c r="O404" s="43" t="inlineStr">
        <is>
          <t>UNVERIFIED</t>
        </is>
      </c>
      <c r="P404" s="43" t="inlineStr">
        <is>
          <t>Pending Review</t>
        </is>
      </c>
      <c r="Q404" s="33" t="inlineStr">
        <is>
          <t>Confirmar SKU/PCBA revision, PN exacto en Common DB, WO, BU, vigencia, planta y aprobacion firmada.</t>
        </is>
      </c>
    </row>
    <row r="405">
      <c r="A405" s="43" t="inlineStr">
        <is>
          <t>CTANJZ04747</t>
        </is>
      </c>
      <c r="B405" s="43" t="inlineStr">
        <is>
          <t>D605207</t>
        </is>
      </c>
      <c r="C405" s="43" t="inlineStr">
        <is>
          <t>018-SRGBU</t>
        </is>
      </c>
      <c r="D405" s="43" t="inlineStr">
        <is>
          <t>FJZP</t>
        </is>
      </c>
      <c r="E405" s="43" t="inlineStr">
        <is>
          <t>MCGA</t>
        </is>
      </c>
      <c r="F405" s="43" t="inlineStr">
        <is>
          <t>16-100809-01</t>
        </is>
      </c>
      <c r="G405" s="43" t="inlineStr">
        <is>
          <t>OTHER_SCOPE_ITEM</t>
        </is>
      </c>
      <c r="H405" s="43" t="inlineStr"/>
      <c r="I405" s="43" t="inlineStr">
        <is>
          <t>Expired</t>
        </is>
      </c>
      <c r="J405" s="32" t="n">
        <v>45953</v>
      </c>
      <c r="K405" s="32" t="n">
        <v>45874</v>
      </c>
      <c r="L405" s="43" t="inlineStr">
        <is>
          <t>396</t>
        </is>
      </c>
      <c r="M405" s="43" t="n">
        <v>1</v>
      </c>
      <c r="N405" s="33" t="inlineStr"/>
      <c r="O405" s="43" t="inlineStr">
        <is>
          <t>UNVERIFIED</t>
        </is>
      </c>
      <c r="P405" s="43" t="inlineStr">
        <is>
          <t>Pending Review</t>
        </is>
      </c>
      <c r="Q405" s="33" t="inlineStr">
        <is>
          <t>Confirmar SKU/PCBA revision, PN exacto en Common DB, WO, BU, vigencia, planta y aprobacion firmada.</t>
        </is>
      </c>
    </row>
    <row r="406">
      <c r="A406" s="43" t="inlineStr">
        <is>
          <t>CTANJZ04749</t>
        </is>
      </c>
      <c r="B406" s="43" t="inlineStr">
        <is>
          <t>D603796</t>
        </is>
      </c>
      <c r="C406" s="43" t="inlineStr">
        <is>
          <t>018-SRGBU</t>
        </is>
      </c>
      <c r="D406" s="43" t="inlineStr">
        <is>
          <t>FJZP</t>
        </is>
      </c>
      <c r="E406" s="43" t="inlineStr">
        <is>
          <t>MCGA</t>
        </is>
      </c>
      <c r="F406" s="43" t="inlineStr">
        <is>
          <t>16-102058-01</t>
        </is>
      </c>
      <c r="G406" s="43" t="inlineStr">
        <is>
          <t>OTHER_SCOPE_ITEM</t>
        </is>
      </c>
      <c r="H406" s="43" t="inlineStr"/>
      <c r="I406" s="43" t="inlineStr">
        <is>
          <t>Expired</t>
        </is>
      </c>
      <c r="J406" s="32" t="n">
        <v>45956</v>
      </c>
      <c r="K406" s="32" t="n">
        <v>45874</v>
      </c>
      <c r="L406" s="43" t="inlineStr">
        <is>
          <t>890</t>
        </is>
      </c>
      <c r="M406" s="43" t="n">
        <v>1</v>
      </c>
      <c r="N406" s="33" t="inlineStr"/>
      <c r="O406" s="43" t="inlineStr">
        <is>
          <t>UNVERIFIED</t>
        </is>
      </c>
      <c r="P406" s="43" t="inlineStr">
        <is>
          <t>Pending Review</t>
        </is>
      </c>
      <c r="Q406" s="33" t="inlineStr">
        <is>
          <t>Confirmar SKU/PCBA revision, PN exacto en Common DB, WO, BU, vigencia, planta y aprobacion firmada.</t>
        </is>
      </c>
    </row>
    <row r="407">
      <c r="A407" s="43" t="inlineStr">
        <is>
          <t>CTANJZ04749</t>
        </is>
      </c>
      <c r="B407" s="43" t="inlineStr">
        <is>
          <t>D603796</t>
        </is>
      </c>
      <c r="C407" s="43" t="inlineStr">
        <is>
          <t>018-SRGBU</t>
        </is>
      </c>
      <c r="D407" s="43" t="inlineStr">
        <is>
          <t>FJZP</t>
        </is>
      </c>
      <c r="E407" s="43" t="inlineStr">
        <is>
          <t>MCGA</t>
        </is>
      </c>
      <c r="F407" s="43" t="inlineStr">
        <is>
          <t>800-50421-02</t>
        </is>
      </c>
      <c r="G407" s="43" t="inlineStr">
        <is>
          <t>OTHER_SCOPE_ITEM</t>
        </is>
      </c>
      <c r="H407" s="43" t="inlineStr"/>
      <c r="I407" s="43" t="inlineStr">
        <is>
          <t>Expired</t>
        </is>
      </c>
      <c r="J407" s="32" t="n">
        <v>45956</v>
      </c>
      <c r="K407" s="32" t="n">
        <v>45874</v>
      </c>
      <c r="L407" s="43" t="inlineStr">
        <is>
          <t>891</t>
        </is>
      </c>
      <c r="M407" s="43" t="n">
        <v>1</v>
      </c>
      <c r="N407" s="33" t="inlineStr"/>
      <c r="O407" s="43" t="inlineStr">
        <is>
          <t>UNVERIFIED</t>
        </is>
      </c>
      <c r="P407" s="43" t="inlineStr">
        <is>
          <t>Pending Review</t>
        </is>
      </c>
      <c r="Q407" s="33" t="inlineStr">
        <is>
          <t>Confirmar SKU/PCBA revision, PN exacto en Common DB, WO, BU, vigencia, planta y aprobacion firmada.</t>
        </is>
      </c>
    </row>
    <row r="408">
      <c r="A408" s="43" t="inlineStr">
        <is>
          <t>CTANJZ04754</t>
        </is>
      </c>
      <c r="B408" s="43" t="inlineStr">
        <is>
          <t>D605279</t>
        </is>
      </c>
      <c r="C408" s="43" t="inlineStr">
        <is>
          <t>037-STBU</t>
        </is>
      </c>
      <c r="D408" s="43" t="inlineStr">
        <is>
          <t>FJZP</t>
        </is>
      </c>
      <c r="E408" s="43" t="inlineStr">
        <is>
          <t>MCGA</t>
        </is>
      </c>
      <c r="F408" s="43" t="inlineStr">
        <is>
          <t>800-110793-01</t>
        </is>
      </c>
      <c r="G408" s="43" t="inlineStr">
        <is>
          <t>OTHER_SCOPE_ITEM</t>
        </is>
      </c>
      <c r="H408" s="43" t="inlineStr"/>
      <c r="I408" s="43" t="inlineStr">
        <is>
          <t>Expired</t>
        </is>
      </c>
      <c r="J408" s="32" t="n">
        <v>45957</v>
      </c>
      <c r="K408" s="32" t="n">
        <v>45883</v>
      </c>
      <c r="L408" s="43" t="inlineStr">
        <is>
          <t>892</t>
        </is>
      </c>
      <c r="M408" s="43" t="n">
        <v>1</v>
      </c>
      <c r="N408" s="33" t="inlineStr"/>
      <c r="O408" s="43" t="inlineStr">
        <is>
          <t>UNVERIFIED</t>
        </is>
      </c>
      <c r="P408" s="43" t="inlineStr">
        <is>
          <t>Pending Review</t>
        </is>
      </c>
      <c r="Q408" s="33" t="inlineStr">
        <is>
          <t>Confirmar SKU/PCBA revision, PN exacto en Common DB, WO, BU, vigencia, planta y aprobacion firmada.</t>
        </is>
      </c>
    </row>
    <row r="409">
      <c r="A409" s="43" t="inlineStr">
        <is>
          <t>CTANJZ04758</t>
        </is>
      </c>
      <c r="B409" s="43" t="inlineStr">
        <is>
          <t>D605395</t>
        </is>
      </c>
      <c r="C409" s="43" t="inlineStr">
        <is>
          <t>034-IOTBU</t>
        </is>
      </c>
      <c r="D409" s="43" t="inlineStr">
        <is>
          <t>FJZP</t>
        </is>
      </c>
      <c r="E409" s="43" t="inlineStr">
        <is>
          <t>MCGA</t>
        </is>
      </c>
      <c r="F409" s="43" t="inlineStr">
        <is>
          <t>15-105197-01</t>
        </is>
      </c>
      <c r="G409" s="43" t="inlineStr">
        <is>
          <t>OTHER_SCOPE_ITEM</t>
        </is>
      </c>
      <c r="H409" s="43" t="inlineStr"/>
      <c r="I409" s="43" t="inlineStr">
        <is>
          <t>Expired</t>
        </is>
      </c>
      <c r="J409" s="32" t="n">
        <v>45959</v>
      </c>
      <c r="K409" s="32" t="n">
        <v>45875</v>
      </c>
      <c r="L409" s="43" t="inlineStr">
        <is>
          <t>893</t>
        </is>
      </c>
      <c r="M409" s="43" t="n">
        <v>1</v>
      </c>
      <c r="N409" s="33" t="inlineStr"/>
      <c r="O409" s="43" t="inlineStr">
        <is>
          <t>UNVERIFIED</t>
        </is>
      </c>
      <c r="P409" s="43" t="inlineStr">
        <is>
          <t>Pending Review</t>
        </is>
      </c>
      <c r="Q409" s="33" t="inlineStr">
        <is>
          <t>Confirmar SKU/PCBA revision, PN exacto en Common DB, WO, BU, vigencia, planta y aprobacion firmada.</t>
        </is>
      </c>
    </row>
    <row r="410">
      <c r="A410" s="43" t="inlineStr">
        <is>
          <t>CTANJZ04758</t>
        </is>
      </c>
      <c r="B410" s="43" t="inlineStr">
        <is>
          <t>D605395</t>
        </is>
      </c>
      <c r="C410" s="43" t="inlineStr">
        <is>
          <t>034-IOTBU</t>
        </is>
      </c>
      <c r="D410" s="43" t="inlineStr">
        <is>
          <t>FJZP</t>
        </is>
      </c>
      <c r="E410" s="43" t="inlineStr">
        <is>
          <t>MCGA</t>
        </is>
      </c>
      <c r="F410" s="43" t="inlineStr">
        <is>
          <t>68-101690-01</t>
        </is>
      </c>
      <c r="G410" s="43" t="inlineStr">
        <is>
          <t>OTHER_SCOPE_ITEM</t>
        </is>
      </c>
      <c r="H410" s="43" t="inlineStr"/>
      <c r="I410" s="43" t="inlineStr">
        <is>
          <t>Expired</t>
        </is>
      </c>
      <c r="J410" s="32" t="n">
        <v>45959</v>
      </c>
      <c r="K410" s="32" t="n">
        <v>45875</v>
      </c>
      <c r="L410" s="43" t="inlineStr">
        <is>
          <t>894</t>
        </is>
      </c>
      <c r="M410" s="43" t="n">
        <v>1</v>
      </c>
      <c r="N410" s="33" t="inlineStr"/>
      <c r="O410" s="43" t="inlineStr">
        <is>
          <t>UNVERIFIED</t>
        </is>
      </c>
      <c r="P410" s="43" t="inlineStr">
        <is>
          <t>Pending Review</t>
        </is>
      </c>
      <c r="Q410" s="33" t="inlineStr">
        <is>
          <t>Confirmar SKU/PCBA revision, PN exacto en Common DB, WO, BU, vigencia, planta y aprobacion firmada.</t>
        </is>
      </c>
    </row>
    <row r="411">
      <c r="A411" s="43" t="inlineStr">
        <is>
          <t>CTANJZ04758</t>
        </is>
      </c>
      <c r="B411" s="43" t="inlineStr">
        <is>
          <t>D605395</t>
        </is>
      </c>
      <c r="C411" s="43" t="inlineStr">
        <is>
          <t>034-IOTBU</t>
        </is>
      </c>
      <c r="D411" s="43" t="inlineStr">
        <is>
          <t>FJZP</t>
        </is>
      </c>
      <c r="E411" s="43" t="inlineStr">
        <is>
          <t>MCGA</t>
        </is>
      </c>
      <c r="F411" s="43" t="inlineStr">
        <is>
          <t>68-101828-01</t>
        </is>
      </c>
      <c r="G411" s="43" t="inlineStr">
        <is>
          <t>OTHER_SCOPE_ITEM</t>
        </is>
      </c>
      <c r="H411" s="43" t="inlineStr"/>
      <c r="I411" s="43" t="inlineStr">
        <is>
          <t>Expired</t>
        </is>
      </c>
      <c r="J411" s="32" t="n">
        <v>45959</v>
      </c>
      <c r="K411" s="32" t="n">
        <v>45875</v>
      </c>
      <c r="L411" s="43" t="inlineStr">
        <is>
          <t>895</t>
        </is>
      </c>
      <c r="M411" s="43" t="n">
        <v>1</v>
      </c>
      <c r="N411" s="33" t="inlineStr"/>
      <c r="O411" s="43" t="inlineStr">
        <is>
          <t>UNVERIFIED</t>
        </is>
      </c>
      <c r="P411" s="43" t="inlineStr">
        <is>
          <t>Pending Review</t>
        </is>
      </c>
      <c r="Q411" s="33" t="inlineStr">
        <is>
          <t>Confirmar SKU/PCBA revision, PN exacto en Common DB, WO, BU, vigencia, planta y aprobacion firmada.</t>
        </is>
      </c>
    </row>
    <row r="412">
      <c r="A412" s="43" t="inlineStr">
        <is>
          <t>CTANJZ04758</t>
        </is>
      </c>
      <c r="B412" s="43" t="inlineStr">
        <is>
          <t>D605395</t>
        </is>
      </c>
      <c r="C412" s="43" t="inlineStr">
        <is>
          <t>034-IOTBU</t>
        </is>
      </c>
      <c r="D412" s="43" t="inlineStr">
        <is>
          <t>FJZP</t>
        </is>
      </c>
      <c r="E412" s="43" t="inlineStr">
        <is>
          <t>MCGA</t>
        </is>
      </c>
      <c r="F412" s="43" t="inlineStr">
        <is>
          <t>68-102729-01</t>
        </is>
      </c>
      <c r="G412" s="43" t="inlineStr">
        <is>
          <t>OTHER_SCOPE_ITEM</t>
        </is>
      </c>
      <c r="H412" s="43" t="inlineStr"/>
      <c r="I412" s="43" t="inlineStr">
        <is>
          <t>Expired</t>
        </is>
      </c>
      <c r="J412" s="32" t="n">
        <v>45959</v>
      </c>
      <c r="K412" s="32" t="n">
        <v>45875</v>
      </c>
      <c r="L412" s="43" t="inlineStr">
        <is>
          <t>896</t>
        </is>
      </c>
      <c r="M412" s="43" t="n">
        <v>1</v>
      </c>
      <c r="N412" s="33" t="inlineStr"/>
      <c r="O412" s="43" t="inlineStr">
        <is>
          <t>UNVERIFIED</t>
        </is>
      </c>
      <c r="P412" s="43" t="inlineStr">
        <is>
          <t>Pending Review</t>
        </is>
      </c>
      <c r="Q412" s="33" t="inlineStr">
        <is>
          <t>Confirmar SKU/PCBA revision, PN exacto en Common DB, WO, BU, vigencia, planta y aprobacion firmada.</t>
        </is>
      </c>
    </row>
    <row r="413">
      <c r="A413" s="43" t="inlineStr">
        <is>
          <t>CTANJZ04758</t>
        </is>
      </c>
      <c r="B413" s="43" t="inlineStr">
        <is>
          <t>D605395</t>
        </is>
      </c>
      <c r="C413" s="43" t="inlineStr">
        <is>
          <t>034-IOTBU</t>
        </is>
      </c>
      <c r="D413" s="43" t="inlineStr">
        <is>
          <t>FJZP</t>
        </is>
      </c>
      <c r="E413" s="43" t="inlineStr">
        <is>
          <t>MCGA</t>
        </is>
      </c>
      <c r="F413" s="43" t="inlineStr">
        <is>
          <t>68-102730-01</t>
        </is>
      </c>
      <c r="G413" s="43" t="inlineStr">
        <is>
          <t>OTHER_SCOPE_ITEM</t>
        </is>
      </c>
      <c r="H413" s="43" t="inlineStr"/>
      <c r="I413" s="43" t="inlineStr">
        <is>
          <t>Expired</t>
        </is>
      </c>
      <c r="J413" s="32" t="n">
        <v>45959</v>
      </c>
      <c r="K413" s="32" t="n">
        <v>45875</v>
      </c>
      <c r="L413" s="43" t="inlineStr">
        <is>
          <t>897</t>
        </is>
      </c>
      <c r="M413" s="43" t="n">
        <v>1</v>
      </c>
      <c r="N413" s="33" t="inlineStr"/>
      <c r="O413" s="43" t="inlineStr">
        <is>
          <t>UNVERIFIED</t>
        </is>
      </c>
      <c r="P413" s="43" t="inlineStr">
        <is>
          <t>Pending Review</t>
        </is>
      </c>
      <c r="Q413" s="33" t="inlineStr">
        <is>
          <t>Confirmar SKU/PCBA revision, PN exacto en Common DB, WO, BU, vigencia, planta y aprobacion firmada.</t>
        </is>
      </c>
    </row>
    <row r="414">
      <c r="A414" s="43" t="inlineStr">
        <is>
          <t>CTANJZ04758</t>
        </is>
      </c>
      <c r="B414" s="43" t="inlineStr">
        <is>
          <t>D605395</t>
        </is>
      </c>
      <c r="C414" s="43" t="inlineStr">
        <is>
          <t>034-IOTBU</t>
        </is>
      </c>
      <c r="D414" s="43" t="inlineStr">
        <is>
          <t>FJZP</t>
        </is>
      </c>
      <c r="E414" s="43" t="inlineStr">
        <is>
          <t>MCGA</t>
        </is>
      </c>
      <c r="F414" s="43" t="inlineStr">
        <is>
          <t>68-102799-01</t>
        </is>
      </c>
      <c r="G414" s="43" t="inlineStr">
        <is>
          <t>OTHER_SCOPE_ITEM</t>
        </is>
      </c>
      <c r="H414" s="43" t="inlineStr"/>
      <c r="I414" s="43" t="inlineStr">
        <is>
          <t>Expired</t>
        </is>
      </c>
      <c r="J414" s="32" t="n">
        <v>45959</v>
      </c>
      <c r="K414" s="32" t="n">
        <v>45875</v>
      </c>
      <c r="L414" s="43" t="inlineStr">
        <is>
          <t>898</t>
        </is>
      </c>
      <c r="M414" s="43" t="n">
        <v>1</v>
      </c>
      <c r="N414" s="33" t="inlineStr"/>
      <c r="O414" s="43" t="inlineStr">
        <is>
          <t>UNVERIFIED</t>
        </is>
      </c>
      <c r="P414" s="43" t="inlineStr">
        <is>
          <t>Pending Review</t>
        </is>
      </c>
      <c r="Q414" s="33" t="inlineStr">
        <is>
          <t>Confirmar SKU/PCBA revision, PN exacto en Common DB, WO, BU, vigencia, planta y aprobacion firmada.</t>
        </is>
      </c>
    </row>
    <row r="415">
      <c r="A415" s="43" t="inlineStr">
        <is>
          <t>CTANJZ04758</t>
        </is>
      </c>
      <c r="B415" s="43" t="inlineStr">
        <is>
          <t>D605395</t>
        </is>
      </c>
      <c r="C415" s="43" t="inlineStr">
        <is>
          <t>034-IOTBU</t>
        </is>
      </c>
      <c r="D415" s="43" t="inlineStr">
        <is>
          <t>FJZP</t>
        </is>
      </c>
      <c r="E415" s="43" t="inlineStr">
        <is>
          <t>MCGA</t>
        </is>
      </c>
      <c r="F415" s="43" t="inlineStr">
        <is>
          <t>68-104004-01</t>
        </is>
      </c>
      <c r="G415" s="43" t="inlineStr">
        <is>
          <t>OTHER_SCOPE_ITEM</t>
        </is>
      </c>
      <c r="H415" s="43" t="inlineStr"/>
      <c r="I415" s="43" t="inlineStr">
        <is>
          <t>Expired</t>
        </is>
      </c>
      <c r="J415" s="32" t="n">
        <v>45959</v>
      </c>
      <c r="K415" s="32" t="n">
        <v>45875</v>
      </c>
      <c r="L415" s="43" t="inlineStr">
        <is>
          <t>899</t>
        </is>
      </c>
      <c r="M415" s="43" t="n">
        <v>1</v>
      </c>
      <c r="N415" s="33" t="inlineStr"/>
      <c r="O415" s="43" t="inlineStr">
        <is>
          <t>UNVERIFIED</t>
        </is>
      </c>
      <c r="P415" s="43" t="inlineStr">
        <is>
          <t>Pending Review</t>
        </is>
      </c>
      <c r="Q415" s="33" t="inlineStr">
        <is>
          <t>Confirmar SKU/PCBA revision, PN exacto en Common DB, WO, BU, vigencia, planta y aprobacion firmada.</t>
        </is>
      </c>
    </row>
    <row r="416">
      <c r="A416" s="43" t="inlineStr">
        <is>
          <t>CTANJZ04758</t>
        </is>
      </c>
      <c r="B416" s="43" t="inlineStr">
        <is>
          <t>D605395</t>
        </is>
      </c>
      <c r="C416" s="43" t="inlineStr">
        <is>
          <t>034-IOTBU</t>
        </is>
      </c>
      <c r="D416" s="43" t="inlineStr">
        <is>
          <t>FJZP</t>
        </is>
      </c>
      <c r="E416" s="43" t="inlineStr">
        <is>
          <t>MCGA</t>
        </is>
      </c>
      <c r="F416" s="43" t="inlineStr">
        <is>
          <t>73-101439-04</t>
        </is>
      </c>
      <c r="G416" s="43" t="inlineStr">
        <is>
          <t>BOARD_PN_CANDIDATE</t>
        </is>
      </c>
      <c r="H416" s="43" t="inlineStr"/>
      <c r="I416" s="43" t="inlineStr">
        <is>
          <t>Expired</t>
        </is>
      </c>
      <c r="J416" s="32" t="n">
        <v>45959</v>
      </c>
      <c r="K416" s="32" t="n">
        <v>45875</v>
      </c>
      <c r="L416" s="43" t="inlineStr">
        <is>
          <t>900</t>
        </is>
      </c>
      <c r="M416" s="43" t="n">
        <v>1</v>
      </c>
      <c r="N416" s="33" t="inlineStr"/>
      <c r="O416" s="43" t="inlineStr">
        <is>
          <t>UNVERIFIED</t>
        </is>
      </c>
      <c r="P416" s="43" t="inlineStr">
        <is>
          <t>Pending Review</t>
        </is>
      </c>
      <c r="Q416" s="33" t="inlineStr">
        <is>
          <t>Confirmar SKU/PCBA revision, PN exacto en Common DB, WO, BU, vigencia, planta y aprobacion firmada.</t>
        </is>
      </c>
    </row>
    <row r="417">
      <c r="A417" s="43" t="inlineStr">
        <is>
          <t>CTANJZ04758</t>
        </is>
      </c>
      <c r="B417" s="43" t="inlineStr">
        <is>
          <t>D605395</t>
        </is>
      </c>
      <c r="C417" s="43" t="inlineStr">
        <is>
          <t>034-IOTBU</t>
        </is>
      </c>
      <c r="D417" s="43" t="inlineStr">
        <is>
          <t>FJZP</t>
        </is>
      </c>
      <c r="E417" s="43" t="inlineStr">
        <is>
          <t>MCGA</t>
        </is>
      </c>
      <c r="F417" s="43" t="inlineStr">
        <is>
          <t>73-102239-04</t>
        </is>
      </c>
      <c r="G417" s="43" t="inlineStr">
        <is>
          <t>BOARD_PN_CANDIDATE</t>
        </is>
      </c>
      <c r="H417" s="43" t="inlineStr"/>
      <c r="I417" s="43" t="inlineStr">
        <is>
          <t>Expired</t>
        </is>
      </c>
      <c r="J417" s="32" t="n">
        <v>45959</v>
      </c>
      <c r="K417" s="32" t="n">
        <v>45875</v>
      </c>
      <c r="L417" s="43" t="inlineStr">
        <is>
          <t>901</t>
        </is>
      </c>
      <c r="M417" s="43" t="n">
        <v>1</v>
      </c>
      <c r="N417" s="33" t="inlineStr"/>
      <c r="O417" s="43" t="inlineStr">
        <is>
          <t>UNVERIFIED</t>
        </is>
      </c>
      <c r="P417" s="43" t="inlineStr">
        <is>
          <t>Pending Review</t>
        </is>
      </c>
      <c r="Q417" s="33" t="inlineStr">
        <is>
          <t>Confirmar SKU/PCBA revision, PN exacto en Common DB, WO, BU, vigencia, planta y aprobacion firmada.</t>
        </is>
      </c>
    </row>
    <row r="418">
      <c r="A418" s="43" t="inlineStr">
        <is>
          <t>CTANJZ04758</t>
        </is>
      </c>
      <c r="B418" s="43" t="inlineStr">
        <is>
          <t>D605395</t>
        </is>
      </c>
      <c r="C418" s="43" t="inlineStr">
        <is>
          <t>034-IOTBU</t>
        </is>
      </c>
      <c r="D418" s="43" t="inlineStr">
        <is>
          <t>FJZP</t>
        </is>
      </c>
      <c r="E418" s="43" t="inlineStr">
        <is>
          <t>MCGA</t>
        </is>
      </c>
      <c r="F418" s="43" t="inlineStr">
        <is>
          <t>73-103098-03</t>
        </is>
      </c>
      <c r="G418" s="43" t="inlineStr">
        <is>
          <t>BOARD_PN_CANDIDATE</t>
        </is>
      </c>
      <c r="H418" s="43" t="inlineStr"/>
      <c r="I418" s="43" t="inlineStr">
        <is>
          <t>Expired</t>
        </is>
      </c>
      <c r="J418" s="32" t="n">
        <v>45959</v>
      </c>
      <c r="K418" s="32" t="n">
        <v>45875</v>
      </c>
      <c r="L418" s="43" t="inlineStr">
        <is>
          <t>917</t>
        </is>
      </c>
      <c r="M418" s="43" t="n">
        <v>1</v>
      </c>
      <c r="N418" s="33" t="inlineStr"/>
      <c r="O418" s="43" t="inlineStr">
        <is>
          <t>UNVERIFIED</t>
        </is>
      </c>
      <c r="P418" s="43" t="inlineStr">
        <is>
          <t>Pending Review</t>
        </is>
      </c>
      <c r="Q418" s="33" t="inlineStr">
        <is>
          <t>Confirmar SKU/PCBA revision, PN exacto en Common DB, WO, BU, vigencia, planta y aprobacion firmada.</t>
        </is>
      </c>
    </row>
    <row r="419">
      <c r="A419" s="43" t="inlineStr">
        <is>
          <t>CTANJZ04759</t>
        </is>
      </c>
      <c r="B419" s="43" t="inlineStr">
        <is>
          <t>DP525171</t>
        </is>
      </c>
      <c r="C419" s="43" t="inlineStr">
        <is>
          <t>037-STBU</t>
        </is>
      </c>
      <c r="D419" s="43" t="inlineStr">
        <is>
          <t>FJZP</t>
        </is>
      </c>
      <c r="E419" s="43" t="inlineStr">
        <is>
          <t>MCGA</t>
        </is>
      </c>
      <c r="F419" s="43" t="inlineStr">
        <is>
          <t>800-112583-04</t>
        </is>
      </c>
      <c r="G419" s="43" t="inlineStr">
        <is>
          <t>OTHER_SCOPE_ITEM</t>
        </is>
      </c>
      <c r="H419" s="43" t="inlineStr"/>
      <c r="I419" s="43" t="inlineStr">
        <is>
          <t>Expired</t>
        </is>
      </c>
      <c r="J419" s="32" t="n">
        <v>45928</v>
      </c>
      <c r="K419" s="32" t="n">
        <v>45875</v>
      </c>
      <c r="L419" s="43" t="inlineStr">
        <is>
          <t>475</t>
        </is>
      </c>
      <c r="M419" s="43" t="n">
        <v>1</v>
      </c>
      <c r="N419" s="33" t="inlineStr"/>
      <c r="O419" s="43" t="inlineStr">
        <is>
          <t>UNVERIFIED</t>
        </is>
      </c>
      <c r="P419" s="43" t="inlineStr">
        <is>
          <t>Pending Review</t>
        </is>
      </c>
      <c r="Q419" s="33" t="inlineStr">
        <is>
          <t>Confirmar SKU/PCBA revision, PN exacto en Common DB, WO, BU, vigencia, planta y aprobacion firmada.</t>
        </is>
      </c>
    </row>
    <row r="420">
      <c r="A420" s="43" t="inlineStr">
        <is>
          <t>CTANJZ04759</t>
        </is>
      </c>
      <c r="B420" s="43" t="inlineStr">
        <is>
          <t>DP525171</t>
        </is>
      </c>
      <c r="C420" s="43" t="inlineStr">
        <is>
          <t>037-STBU</t>
        </is>
      </c>
      <c r="D420" s="43" t="inlineStr">
        <is>
          <t>FJZP</t>
        </is>
      </c>
      <c r="E420" s="43" t="inlineStr">
        <is>
          <t>MCGA</t>
        </is>
      </c>
      <c r="F420" s="43" t="inlineStr">
        <is>
          <t>800-112720-04</t>
        </is>
      </c>
      <c r="G420" s="43" t="inlineStr">
        <is>
          <t>OTHER_SCOPE_ITEM</t>
        </is>
      </c>
      <c r="H420" s="43" t="inlineStr"/>
      <c r="I420" s="43" t="inlineStr">
        <is>
          <t>Expired</t>
        </is>
      </c>
      <c r="J420" s="32" t="n">
        <v>45928</v>
      </c>
      <c r="K420" s="32" t="n">
        <v>45875</v>
      </c>
      <c r="L420" s="43" t="inlineStr">
        <is>
          <t>476</t>
        </is>
      </c>
      <c r="M420" s="43" t="n">
        <v>1</v>
      </c>
      <c r="N420" s="33" t="inlineStr"/>
      <c r="O420" s="43" t="inlineStr">
        <is>
          <t>UNVERIFIED</t>
        </is>
      </c>
      <c r="P420" s="43" t="inlineStr">
        <is>
          <t>Pending Review</t>
        </is>
      </c>
      <c r="Q420" s="33" t="inlineStr">
        <is>
          <t>Confirmar SKU/PCBA revision, PN exacto en Common DB, WO, BU, vigencia, planta y aprobacion firmada.</t>
        </is>
      </c>
    </row>
    <row r="421">
      <c r="A421" s="43" t="inlineStr">
        <is>
          <t>CTANJZ04760</t>
        </is>
      </c>
      <c r="B421" s="43" t="inlineStr">
        <is>
          <t>D605494</t>
        </is>
      </c>
      <c r="C421" s="43" t="inlineStr">
        <is>
          <t>037-STBU</t>
        </is>
      </c>
      <c r="D421" s="43" t="inlineStr">
        <is>
          <t>FJZP</t>
        </is>
      </c>
      <c r="E421" s="43" t="inlineStr">
        <is>
          <t>MCGA</t>
        </is>
      </c>
      <c r="F421" s="43" t="inlineStr">
        <is>
          <t>17-102038-03</t>
        </is>
      </c>
      <c r="G421" s="43" t="inlineStr">
        <is>
          <t>OTHER_SCOPE_ITEM</t>
        </is>
      </c>
      <c r="H421" s="43" t="inlineStr"/>
      <c r="I421" s="43" t="inlineStr">
        <is>
          <t>Expired</t>
        </is>
      </c>
      <c r="J421" s="32" t="n">
        <v>45960</v>
      </c>
      <c r="K421" s="32" t="n">
        <v>45890</v>
      </c>
      <c r="L421" s="43" t="inlineStr">
        <is>
          <t>1745</t>
        </is>
      </c>
      <c r="M421" s="43" t="n">
        <v>1</v>
      </c>
      <c r="N421" s="33" t="inlineStr"/>
      <c r="O421" s="43" t="inlineStr">
        <is>
          <t>UNVERIFIED</t>
        </is>
      </c>
      <c r="P421" s="43" t="inlineStr">
        <is>
          <t>Pending Review</t>
        </is>
      </c>
      <c r="Q421" s="33" t="inlineStr">
        <is>
          <t>Confirmar SKU/PCBA revision, PN exacto en Common DB, WO, BU, vigencia, planta y aprobacion firmada.</t>
        </is>
      </c>
    </row>
    <row r="422">
      <c r="A422" s="43" t="inlineStr">
        <is>
          <t>CTANJZ04760</t>
        </is>
      </c>
      <c r="B422" s="43" t="inlineStr">
        <is>
          <t>D605494</t>
        </is>
      </c>
      <c r="C422" s="43" t="inlineStr">
        <is>
          <t>037-STBU</t>
        </is>
      </c>
      <c r="D422" s="43" t="inlineStr">
        <is>
          <t>FJZP</t>
        </is>
      </c>
      <c r="E422" s="43" t="inlineStr">
        <is>
          <t>MCGA</t>
        </is>
      </c>
      <c r="F422" s="43" t="inlineStr">
        <is>
          <t>17-102101-03</t>
        </is>
      </c>
      <c r="G422" s="43" t="inlineStr">
        <is>
          <t>OTHER_SCOPE_ITEM</t>
        </is>
      </c>
      <c r="H422" s="43" t="inlineStr"/>
      <c r="I422" s="43" t="inlineStr">
        <is>
          <t>Expired</t>
        </is>
      </c>
      <c r="J422" s="32" t="n">
        <v>45960</v>
      </c>
      <c r="K422" s="32" t="n">
        <v>45890</v>
      </c>
      <c r="L422" s="43" t="inlineStr">
        <is>
          <t>1746</t>
        </is>
      </c>
      <c r="M422" s="43" t="n">
        <v>1</v>
      </c>
      <c r="N422" s="33" t="inlineStr"/>
      <c r="O422" s="43" t="inlineStr">
        <is>
          <t>UNVERIFIED</t>
        </is>
      </c>
      <c r="P422" s="43" t="inlineStr">
        <is>
          <t>Pending Review</t>
        </is>
      </c>
      <c r="Q422" s="33" t="inlineStr">
        <is>
          <t>Confirmar SKU/PCBA revision, PN exacto en Common DB, WO, BU, vigencia, planta y aprobacion firmada.</t>
        </is>
      </c>
    </row>
    <row r="423">
      <c r="A423" s="43" t="inlineStr">
        <is>
          <t>CTANJZ04760</t>
        </is>
      </c>
      <c r="B423" s="43" t="inlineStr">
        <is>
          <t>D605494</t>
        </is>
      </c>
      <c r="C423" s="43" t="inlineStr">
        <is>
          <t>037-STBU</t>
        </is>
      </c>
      <c r="D423" s="43" t="inlineStr">
        <is>
          <t>FJZP</t>
        </is>
      </c>
      <c r="E423" s="43" t="inlineStr">
        <is>
          <t>MCGA</t>
        </is>
      </c>
      <c r="F423" s="43" t="inlineStr">
        <is>
          <t>68-7253-05</t>
        </is>
      </c>
      <c r="G423" s="43" t="inlineStr">
        <is>
          <t>OTHER_SCOPE_ITEM</t>
        </is>
      </c>
      <c r="H423" s="43" t="inlineStr"/>
      <c r="I423" s="43" t="inlineStr">
        <is>
          <t>Expired</t>
        </is>
      </c>
      <c r="J423" s="32" t="n">
        <v>45960</v>
      </c>
      <c r="K423" s="32" t="n">
        <v>45890</v>
      </c>
      <c r="L423" s="43" t="inlineStr">
        <is>
          <t>1747</t>
        </is>
      </c>
      <c r="M423" s="43" t="n">
        <v>1</v>
      </c>
      <c r="N423" s="33" t="inlineStr"/>
      <c r="O423" s="43" t="inlineStr">
        <is>
          <t>UNVERIFIED</t>
        </is>
      </c>
      <c r="P423" s="43" t="inlineStr">
        <is>
          <t>Pending Review</t>
        </is>
      </c>
      <c r="Q423" s="33" t="inlineStr">
        <is>
          <t>Confirmar SKU/PCBA revision, PN exacto en Common DB, WO, BU, vigencia, planta y aprobacion firmada.</t>
        </is>
      </c>
    </row>
    <row r="424">
      <c r="A424" s="43" t="inlineStr">
        <is>
          <t>CTANJZ04760</t>
        </is>
      </c>
      <c r="B424" s="43" t="inlineStr">
        <is>
          <t>D605494</t>
        </is>
      </c>
      <c r="C424" s="43" t="inlineStr">
        <is>
          <t>037-STBU</t>
        </is>
      </c>
      <c r="D424" s="43" t="inlineStr">
        <is>
          <t>FJZP</t>
        </is>
      </c>
      <c r="E424" s="43" t="inlineStr">
        <is>
          <t>MCGA</t>
        </is>
      </c>
      <c r="F424" s="43" t="inlineStr">
        <is>
          <t>68-7254-05</t>
        </is>
      </c>
      <c r="G424" s="43" t="inlineStr">
        <is>
          <t>OTHER_SCOPE_ITEM</t>
        </is>
      </c>
      <c r="H424" s="43" t="inlineStr"/>
      <c r="I424" s="43" t="inlineStr">
        <is>
          <t>Expired</t>
        </is>
      </c>
      <c r="J424" s="32" t="n">
        <v>45960</v>
      </c>
      <c r="K424" s="32" t="n">
        <v>45890</v>
      </c>
      <c r="L424" s="43" t="inlineStr">
        <is>
          <t>1748</t>
        </is>
      </c>
      <c r="M424" s="43" t="n">
        <v>1</v>
      </c>
      <c r="N424" s="33" t="inlineStr"/>
      <c r="O424" s="43" t="inlineStr">
        <is>
          <t>UNVERIFIED</t>
        </is>
      </c>
      <c r="P424" s="43" t="inlineStr">
        <is>
          <t>Pending Review</t>
        </is>
      </c>
      <c r="Q424" s="33" t="inlineStr">
        <is>
          <t>Confirmar SKU/PCBA revision, PN exacto en Common DB, WO, BU, vigencia, planta y aprobacion firmada.</t>
        </is>
      </c>
    </row>
    <row r="425">
      <c r="A425" s="43" t="inlineStr">
        <is>
          <t>CTANJZ04760</t>
        </is>
      </c>
      <c r="B425" s="43" t="inlineStr">
        <is>
          <t>D605494</t>
        </is>
      </c>
      <c r="C425" s="43" t="inlineStr">
        <is>
          <t>037-STBU</t>
        </is>
      </c>
      <c r="D425" s="43" t="inlineStr">
        <is>
          <t>FJZP</t>
        </is>
      </c>
      <c r="E425" s="43" t="inlineStr">
        <is>
          <t>MCGA</t>
        </is>
      </c>
      <c r="F425" s="43" t="inlineStr">
        <is>
          <t>68-7255-05</t>
        </is>
      </c>
      <c r="G425" s="43" t="inlineStr">
        <is>
          <t>OTHER_SCOPE_ITEM</t>
        </is>
      </c>
      <c r="H425" s="43" t="inlineStr"/>
      <c r="I425" s="43" t="inlineStr">
        <is>
          <t>Expired</t>
        </is>
      </c>
      <c r="J425" s="32" t="n">
        <v>45960</v>
      </c>
      <c r="K425" s="32" t="n">
        <v>45890</v>
      </c>
      <c r="L425" s="43" t="inlineStr">
        <is>
          <t>1749</t>
        </is>
      </c>
      <c r="M425" s="43" t="n">
        <v>1</v>
      </c>
      <c r="N425" s="33" t="inlineStr"/>
      <c r="O425" s="43" t="inlineStr">
        <is>
          <t>UNVERIFIED</t>
        </is>
      </c>
      <c r="P425" s="43" t="inlineStr">
        <is>
          <t>Pending Review</t>
        </is>
      </c>
      <c r="Q425" s="33" t="inlineStr">
        <is>
          <t>Confirmar SKU/PCBA revision, PN exacto en Common DB, WO, BU, vigencia, planta y aprobacion firmada.</t>
        </is>
      </c>
    </row>
    <row r="426">
      <c r="A426" s="43" t="inlineStr">
        <is>
          <t>CTANJZ04760</t>
        </is>
      </c>
      <c r="B426" s="43" t="inlineStr">
        <is>
          <t>D605494</t>
        </is>
      </c>
      <c r="C426" s="43" t="inlineStr">
        <is>
          <t>037-STBU</t>
        </is>
      </c>
      <c r="D426" s="43" t="inlineStr">
        <is>
          <t>FJZP</t>
        </is>
      </c>
      <c r="E426" s="43" t="inlineStr">
        <is>
          <t>MCGA</t>
        </is>
      </c>
      <c r="F426" s="43" t="inlineStr">
        <is>
          <t>68-7256-05</t>
        </is>
      </c>
      <c r="G426" s="43" t="inlineStr">
        <is>
          <t>OTHER_SCOPE_ITEM</t>
        </is>
      </c>
      <c r="H426" s="43" t="inlineStr"/>
      <c r="I426" s="43" t="inlineStr">
        <is>
          <t>Expired</t>
        </is>
      </c>
      <c r="J426" s="32" t="n">
        <v>45960</v>
      </c>
      <c r="K426" s="32" t="n">
        <v>45890</v>
      </c>
      <c r="L426" s="43" t="inlineStr">
        <is>
          <t>1750</t>
        </is>
      </c>
      <c r="M426" s="43" t="n">
        <v>1</v>
      </c>
      <c r="N426" s="33" t="inlineStr"/>
      <c r="O426" s="43" t="inlineStr">
        <is>
          <t>UNVERIFIED</t>
        </is>
      </c>
      <c r="P426" s="43" t="inlineStr">
        <is>
          <t>Pending Review</t>
        </is>
      </c>
      <c r="Q426" s="33" t="inlineStr">
        <is>
          <t>Confirmar SKU/PCBA revision, PN exacto en Common DB, WO, BU, vigencia, planta y aprobacion firmada.</t>
        </is>
      </c>
    </row>
    <row r="427">
      <c r="A427" s="43" t="inlineStr">
        <is>
          <t>CTANJZ04760</t>
        </is>
      </c>
      <c r="B427" s="43" t="inlineStr">
        <is>
          <t>D605494</t>
        </is>
      </c>
      <c r="C427" s="43" t="inlineStr">
        <is>
          <t>037-STBU</t>
        </is>
      </c>
      <c r="D427" s="43" t="inlineStr">
        <is>
          <t>FJZP</t>
        </is>
      </c>
      <c r="E427" s="43" t="inlineStr">
        <is>
          <t>MCGA</t>
        </is>
      </c>
      <c r="F427" s="43" t="inlineStr">
        <is>
          <t>68-7638-02</t>
        </is>
      </c>
      <c r="G427" s="43" t="inlineStr">
        <is>
          <t>OTHER_SCOPE_ITEM</t>
        </is>
      </c>
      <c r="H427" s="43" t="inlineStr"/>
      <c r="I427" s="43" t="inlineStr">
        <is>
          <t>Expired</t>
        </is>
      </c>
      <c r="J427" s="32" t="n">
        <v>45960</v>
      </c>
      <c r="K427" s="32" t="n">
        <v>45890</v>
      </c>
      <c r="L427" s="43" t="inlineStr">
        <is>
          <t>1751</t>
        </is>
      </c>
      <c r="M427" s="43" t="n">
        <v>1</v>
      </c>
      <c r="N427" s="33" t="inlineStr"/>
      <c r="O427" s="43" t="inlineStr">
        <is>
          <t>UNVERIFIED</t>
        </is>
      </c>
      <c r="P427" s="43" t="inlineStr">
        <is>
          <t>Pending Review</t>
        </is>
      </c>
      <c r="Q427" s="33" t="inlineStr">
        <is>
          <t>Confirmar SKU/PCBA revision, PN exacto en Common DB, WO, BU, vigencia, planta y aprobacion firmada.</t>
        </is>
      </c>
    </row>
    <row r="428">
      <c r="A428" s="43" t="inlineStr">
        <is>
          <t>CTANJZ04760</t>
        </is>
      </c>
      <c r="B428" s="43" t="inlineStr">
        <is>
          <t>D605494</t>
        </is>
      </c>
      <c r="C428" s="43" t="inlineStr">
        <is>
          <t>037-STBU</t>
        </is>
      </c>
      <c r="D428" s="43" t="inlineStr">
        <is>
          <t>FJZP</t>
        </is>
      </c>
      <c r="E428" s="43" t="inlineStr">
        <is>
          <t>MCGA</t>
        </is>
      </c>
      <c r="F428" s="43" t="inlineStr">
        <is>
          <t>800-108035-05</t>
        </is>
      </c>
      <c r="G428" s="43" t="inlineStr">
        <is>
          <t>OTHER_SCOPE_ITEM</t>
        </is>
      </c>
      <c r="H428" s="43" t="inlineStr"/>
      <c r="I428" s="43" t="inlineStr">
        <is>
          <t>Expired</t>
        </is>
      </c>
      <c r="J428" s="32" t="n">
        <v>45960</v>
      </c>
      <c r="K428" s="32" t="n">
        <v>45890</v>
      </c>
      <c r="L428" s="43" t="inlineStr">
        <is>
          <t>1752</t>
        </is>
      </c>
      <c r="M428" s="43" t="n">
        <v>1</v>
      </c>
      <c r="N428" s="33" t="inlineStr"/>
      <c r="O428" s="43" t="inlineStr">
        <is>
          <t>UNVERIFIED</t>
        </is>
      </c>
      <c r="P428" s="43" t="inlineStr">
        <is>
          <t>Pending Review</t>
        </is>
      </c>
      <c r="Q428" s="33" t="inlineStr">
        <is>
          <t>Confirmar SKU/PCBA revision, PN exacto en Common DB, WO, BU, vigencia, planta y aprobacion firmada.</t>
        </is>
      </c>
    </row>
    <row r="429">
      <c r="A429" s="43" t="inlineStr">
        <is>
          <t>CTANJZ04760</t>
        </is>
      </c>
      <c r="B429" s="43" t="inlineStr">
        <is>
          <t>D605494</t>
        </is>
      </c>
      <c r="C429" s="43" t="inlineStr">
        <is>
          <t>037-STBU</t>
        </is>
      </c>
      <c r="D429" s="43" t="inlineStr">
        <is>
          <t>FJZP</t>
        </is>
      </c>
      <c r="E429" s="43" t="inlineStr">
        <is>
          <t>MCGA</t>
        </is>
      </c>
      <c r="F429" s="43" t="inlineStr">
        <is>
          <t>800-108036-05</t>
        </is>
      </c>
      <c r="G429" s="43" t="inlineStr">
        <is>
          <t>OTHER_SCOPE_ITEM</t>
        </is>
      </c>
      <c r="H429" s="43" t="inlineStr"/>
      <c r="I429" s="43" t="inlineStr">
        <is>
          <t>Expired</t>
        </is>
      </c>
      <c r="J429" s="32" t="n">
        <v>45960</v>
      </c>
      <c r="K429" s="32" t="n">
        <v>45890</v>
      </c>
      <c r="L429" s="43" t="inlineStr">
        <is>
          <t>1753</t>
        </is>
      </c>
      <c r="M429" s="43" t="n">
        <v>1</v>
      </c>
      <c r="N429" s="33" t="inlineStr"/>
      <c r="O429" s="43" t="inlineStr">
        <is>
          <t>UNVERIFIED</t>
        </is>
      </c>
      <c r="P429" s="43" t="inlineStr">
        <is>
          <t>Pending Review</t>
        </is>
      </c>
      <c r="Q429" s="33" t="inlineStr">
        <is>
          <t>Confirmar SKU/PCBA revision, PN exacto en Common DB, WO, BU, vigencia, planta y aprobacion firmada.</t>
        </is>
      </c>
    </row>
    <row r="430">
      <c r="A430" s="43" t="inlineStr">
        <is>
          <t>CTANJZ04760</t>
        </is>
      </c>
      <c r="B430" s="43" t="inlineStr">
        <is>
          <t>D605494</t>
        </is>
      </c>
      <c r="C430" s="43" t="inlineStr">
        <is>
          <t>037-STBU</t>
        </is>
      </c>
      <c r="D430" s="43" t="inlineStr">
        <is>
          <t>FJZP</t>
        </is>
      </c>
      <c r="E430" s="43" t="inlineStr">
        <is>
          <t>MCGA</t>
        </is>
      </c>
      <c r="F430" s="43" t="inlineStr">
        <is>
          <t>800-108037-05</t>
        </is>
      </c>
      <c r="G430" s="43" t="inlineStr">
        <is>
          <t>OTHER_SCOPE_ITEM</t>
        </is>
      </c>
      <c r="H430" s="43" t="inlineStr"/>
      <c r="I430" s="43" t="inlineStr">
        <is>
          <t>Expired</t>
        </is>
      </c>
      <c r="J430" s="32" t="n">
        <v>45960</v>
      </c>
      <c r="K430" s="32" t="n">
        <v>45890</v>
      </c>
      <c r="L430" s="43" t="inlineStr">
        <is>
          <t>1754</t>
        </is>
      </c>
      <c r="M430" s="43" t="n">
        <v>1</v>
      </c>
      <c r="N430" s="33" t="inlineStr"/>
      <c r="O430" s="43" t="inlineStr">
        <is>
          <t>UNVERIFIED</t>
        </is>
      </c>
      <c r="P430" s="43" t="inlineStr">
        <is>
          <t>Pending Review</t>
        </is>
      </c>
      <c r="Q430" s="33" t="inlineStr">
        <is>
          <t>Confirmar SKU/PCBA revision, PN exacto en Common DB, WO, BU, vigencia, planta y aprobacion firmada.</t>
        </is>
      </c>
    </row>
    <row r="431">
      <c r="A431" s="43" t="inlineStr">
        <is>
          <t>CTANJZ04760</t>
        </is>
      </c>
      <c r="B431" s="43" t="inlineStr">
        <is>
          <t>D605494</t>
        </is>
      </c>
      <c r="C431" s="43" t="inlineStr">
        <is>
          <t>037-STBU</t>
        </is>
      </c>
      <c r="D431" s="43" t="inlineStr">
        <is>
          <t>FJZP</t>
        </is>
      </c>
      <c r="E431" s="43" t="inlineStr">
        <is>
          <t>MCGA</t>
        </is>
      </c>
      <c r="F431" s="43" t="inlineStr">
        <is>
          <t>800-108038-05</t>
        </is>
      </c>
      <c r="G431" s="43" t="inlineStr">
        <is>
          <t>OTHER_SCOPE_ITEM</t>
        </is>
      </c>
      <c r="H431" s="43" t="inlineStr"/>
      <c r="I431" s="43" t="inlineStr">
        <is>
          <t>Expired</t>
        </is>
      </c>
      <c r="J431" s="32" t="n">
        <v>45960</v>
      </c>
      <c r="K431" s="32" t="n">
        <v>45890</v>
      </c>
      <c r="L431" s="43" t="inlineStr">
        <is>
          <t>1755</t>
        </is>
      </c>
      <c r="M431" s="43" t="n">
        <v>1</v>
      </c>
      <c r="N431" s="33" t="inlineStr"/>
      <c r="O431" s="43" t="inlineStr">
        <is>
          <t>UNVERIFIED</t>
        </is>
      </c>
      <c r="P431" s="43" t="inlineStr">
        <is>
          <t>Pending Review</t>
        </is>
      </c>
      <c r="Q431" s="33" t="inlineStr">
        <is>
          <t>Confirmar SKU/PCBA revision, PN exacto en Common DB, WO, BU, vigencia, planta y aprobacion firmada.</t>
        </is>
      </c>
    </row>
    <row r="432">
      <c r="A432" s="43" t="inlineStr">
        <is>
          <t>CTANJZ04760</t>
        </is>
      </c>
      <c r="B432" s="43" t="inlineStr">
        <is>
          <t>D605494</t>
        </is>
      </c>
      <c r="C432" s="43" t="inlineStr">
        <is>
          <t>037-STBU</t>
        </is>
      </c>
      <c r="D432" s="43" t="inlineStr">
        <is>
          <t>FJZP</t>
        </is>
      </c>
      <c r="E432" s="43" t="inlineStr">
        <is>
          <t>MCGA</t>
        </is>
      </c>
      <c r="F432" s="43" t="inlineStr">
        <is>
          <t>800-110666-02</t>
        </is>
      </c>
      <c r="G432" s="43" t="inlineStr">
        <is>
          <t>OTHER_SCOPE_ITEM</t>
        </is>
      </c>
      <c r="H432" s="43" t="inlineStr"/>
      <c r="I432" s="43" t="inlineStr">
        <is>
          <t>Expired</t>
        </is>
      </c>
      <c r="J432" s="32" t="n">
        <v>45960</v>
      </c>
      <c r="K432" s="32" t="n">
        <v>45890</v>
      </c>
      <c r="L432" s="43" t="inlineStr">
        <is>
          <t>1814</t>
        </is>
      </c>
      <c r="M432" s="43" t="n">
        <v>1</v>
      </c>
      <c r="N432" s="33" t="inlineStr"/>
      <c r="O432" s="43" t="inlineStr">
        <is>
          <t>UNVERIFIED</t>
        </is>
      </c>
      <c r="P432" s="43" t="inlineStr">
        <is>
          <t>Pending Review</t>
        </is>
      </c>
      <c r="Q432" s="33" t="inlineStr">
        <is>
          <t>Confirmar SKU/PCBA revision, PN exacto en Common DB, WO, BU, vigencia, planta y aprobacion firmada.</t>
        </is>
      </c>
    </row>
    <row r="433">
      <c r="A433" s="43" t="inlineStr">
        <is>
          <t>CTANJZ04761</t>
        </is>
      </c>
      <c r="B433" s="43" t="inlineStr">
        <is>
          <t>DP525183</t>
        </is>
      </c>
      <c r="C433" s="43" t="inlineStr">
        <is>
          <t>035-CVEBU</t>
        </is>
      </c>
      <c r="D433" s="43" t="inlineStr">
        <is>
          <t>FJZP</t>
        </is>
      </c>
      <c r="E433" s="43" t="inlineStr">
        <is>
          <t>MCGA</t>
        </is>
      </c>
      <c r="F433" s="43" t="inlineStr">
        <is>
          <t>22-100431-01</t>
        </is>
      </c>
      <c r="G433" s="43" t="inlineStr">
        <is>
          <t>OTHER_SCOPE_ITEM</t>
        </is>
      </c>
      <c r="H433" s="43" t="inlineStr"/>
      <c r="I433" s="43" t="inlineStr">
        <is>
          <t>Expired</t>
        </is>
      </c>
      <c r="J433" s="32" t="n">
        <v>45930</v>
      </c>
      <c r="K433" s="32" t="n">
        <v>45883</v>
      </c>
      <c r="L433" s="43" t="inlineStr">
        <is>
          <t>1683</t>
        </is>
      </c>
      <c r="M433" s="43" t="n">
        <v>1</v>
      </c>
      <c r="N433" s="33" t="inlineStr"/>
      <c r="O433" s="43" t="inlineStr">
        <is>
          <t>UNVERIFIED</t>
        </is>
      </c>
      <c r="P433" s="43" t="inlineStr">
        <is>
          <t>Pending Review</t>
        </is>
      </c>
      <c r="Q433" s="33" t="inlineStr">
        <is>
          <t>Confirmar SKU/PCBA revision, PN exacto en Common DB, WO, BU, vigencia, planta y aprobacion firmada.</t>
        </is>
      </c>
    </row>
    <row r="434">
      <c r="A434" s="43" t="inlineStr">
        <is>
          <t>CTANJZ04761</t>
        </is>
      </c>
      <c r="B434" s="43" t="inlineStr">
        <is>
          <t>DP525183</t>
        </is>
      </c>
      <c r="C434" s="43" t="inlineStr">
        <is>
          <t>035-CVEBU</t>
        </is>
      </c>
      <c r="D434" s="43" t="inlineStr">
        <is>
          <t>FJZP</t>
        </is>
      </c>
      <c r="E434" s="43" t="inlineStr">
        <is>
          <t>MCGA</t>
        </is>
      </c>
      <c r="F434" s="43" t="inlineStr">
        <is>
          <t>68-104855-01</t>
        </is>
      </c>
      <c r="G434" s="43" t="inlineStr">
        <is>
          <t>OTHER_SCOPE_ITEM</t>
        </is>
      </c>
      <c r="H434" s="43" t="inlineStr"/>
      <c r="I434" s="43" t="inlineStr">
        <is>
          <t>Expired</t>
        </is>
      </c>
      <c r="J434" s="32" t="n">
        <v>45930</v>
      </c>
      <c r="K434" s="32" t="n">
        <v>45883</v>
      </c>
      <c r="L434" s="43" t="inlineStr">
        <is>
          <t>1684</t>
        </is>
      </c>
      <c r="M434" s="43" t="n">
        <v>1</v>
      </c>
      <c r="N434" s="33" t="inlineStr"/>
      <c r="O434" s="43" t="inlineStr">
        <is>
          <t>UNVERIFIED</t>
        </is>
      </c>
      <c r="P434" s="43" t="inlineStr">
        <is>
          <t>Pending Review</t>
        </is>
      </c>
      <c r="Q434" s="33" t="inlineStr">
        <is>
          <t>Confirmar SKU/PCBA revision, PN exacto en Common DB, WO, BU, vigencia, planta y aprobacion firmada.</t>
        </is>
      </c>
    </row>
    <row r="435">
      <c r="A435" s="43" t="inlineStr">
        <is>
          <t>CTANJZ04761</t>
        </is>
      </c>
      <c r="B435" s="43" t="inlineStr">
        <is>
          <t>DP525183</t>
        </is>
      </c>
      <c r="C435" s="43" t="inlineStr">
        <is>
          <t>035-CVEBU</t>
        </is>
      </c>
      <c r="D435" s="43" t="inlineStr">
        <is>
          <t>FJZP</t>
        </is>
      </c>
      <c r="E435" s="43" t="inlineStr">
        <is>
          <t>MCGA</t>
        </is>
      </c>
      <c r="F435" s="43" t="inlineStr">
        <is>
          <t>73-103758-02</t>
        </is>
      </c>
      <c r="G435" s="43" t="inlineStr">
        <is>
          <t>BOARD_PN_CANDIDATE</t>
        </is>
      </c>
      <c r="H435" s="43" t="inlineStr"/>
      <c r="I435" s="43" t="inlineStr">
        <is>
          <t>Expired</t>
        </is>
      </c>
      <c r="J435" s="32" t="n">
        <v>45930</v>
      </c>
      <c r="K435" s="32" t="n">
        <v>45883</v>
      </c>
      <c r="L435" s="43" t="inlineStr">
        <is>
          <t>1646</t>
        </is>
      </c>
      <c r="M435" s="43" t="n">
        <v>1</v>
      </c>
      <c r="N435" s="33" t="inlineStr"/>
      <c r="O435" s="43" t="inlineStr">
        <is>
          <t>UNVERIFIED</t>
        </is>
      </c>
      <c r="P435" s="43" t="inlineStr">
        <is>
          <t>Pending Review</t>
        </is>
      </c>
      <c r="Q435" s="33" t="inlineStr">
        <is>
          <t>Confirmar SKU/PCBA revision, PN exacto en Common DB, WO, BU, vigencia, planta y aprobacion firmada.</t>
        </is>
      </c>
    </row>
    <row r="436">
      <c r="A436" s="43" t="inlineStr">
        <is>
          <t>CTANJZ04763</t>
        </is>
      </c>
      <c r="B436" s="43" t="inlineStr">
        <is>
          <t>DP525137</t>
        </is>
      </c>
      <c r="C436" s="43" t="inlineStr">
        <is>
          <t>037-STBU</t>
        </is>
      </c>
      <c r="D436" s="43" t="inlineStr">
        <is>
          <t>FJZP</t>
        </is>
      </c>
      <c r="E436" s="43" t="inlineStr">
        <is>
          <t>MCGA</t>
        </is>
      </c>
      <c r="F436" s="43" t="inlineStr">
        <is>
          <t>68-104574-04</t>
        </is>
      </c>
      <c r="G436" s="43" t="inlineStr">
        <is>
          <t>OTHER_SCOPE_ITEM</t>
        </is>
      </c>
      <c r="H436" s="43" t="inlineStr"/>
      <c r="I436" s="43" t="inlineStr">
        <is>
          <t>Expired</t>
        </is>
      </c>
      <c r="J436" s="32" t="n">
        <v>45932</v>
      </c>
      <c r="K436" s="32" t="n">
        <v>45883</v>
      </c>
      <c r="L436" s="43" t="inlineStr">
        <is>
          <t>780</t>
        </is>
      </c>
      <c r="M436" s="43" t="n">
        <v>1</v>
      </c>
      <c r="N436" s="33" t="inlineStr"/>
      <c r="O436" s="43" t="inlineStr">
        <is>
          <t>UNVERIFIED</t>
        </is>
      </c>
      <c r="P436" s="43" t="inlineStr">
        <is>
          <t>Pending Review</t>
        </is>
      </c>
      <c r="Q436" s="33" t="inlineStr">
        <is>
          <t>Confirmar SKU/PCBA revision, PN exacto en Common DB, WO, BU, vigencia, planta y aprobacion firmada.</t>
        </is>
      </c>
    </row>
    <row r="437">
      <c r="A437" s="43" t="inlineStr">
        <is>
          <t>CTANJZ04763</t>
        </is>
      </c>
      <c r="B437" s="43" t="inlineStr">
        <is>
          <t>DP525137</t>
        </is>
      </c>
      <c r="C437" s="43" t="inlineStr">
        <is>
          <t>037-STBU</t>
        </is>
      </c>
      <c r="D437" s="43" t="inlineStr">
        <is>
          <t>FJZP</t>
        </is>
      </c>
      <c r="E437" s="43" t="inlineStr">
        <is>
          <t>MCGA</t>
        </is>
      </c>
      <c r="F437" s="43" t="inlineStr">
        <is>
          <t>68-104575-04</t>
        </is>
      </c>
      <c r="G437" s="43" t="inlineStr">
        <is>
          <t>OTHER_SCOPE_ITEM</t>
        </is>
      </c>
      <c r="H437" s="43" t="inlineStr"/>
      <c r="I437" s="43" t="inlineStr">
        <is>
          <t>Expired</t>
        </is>
      </c>
      <c r="J437" s="32" t="n">
        <v>45932</v>
      </c>
      <c r="K437" s="32" t="n">
        <v>45883</v>
      </c>
      <c r="L437" s="43" t="inlineStr">
        <is>
          <t>781</t>
        </is>
      </c>
      <c r="M437" s="43" t="n">
        <v>1</v>
      </c>
      <c r="N437" s="33" t="inlineStr"/>
      <c r="O437" s="43" t="inlineStr">
        <is>
          <t>UNVERIFIED</t>
        </is>
      </c>
      <c r="P437" s="43" t="inlineStr">
        <is>
          <t>Pending Review</t>
        </is>
      </c>
      <c r="Q437" s="33" t="inlineStr">
        <is>
          <t>Confirmar SKU/PCBA revision, PN exacto en Common DB, WO, BU, vigencia, planta y aprobacion firmada.</t>
        </is>
      </c>
    </row>
    <row r="438">
      <c r="A438" s="43" t="inlineStr">
        <is>
          <t>CTANJZ04763</t>
        </is>
      </c>
      <c r="B438" s="43" t="inlineStr">
        <is>
          <t>DP525137</t>
        </is>
      </c>
      <c r="C438" s="43" t="inlineStr">
        <is>
          <t>037-STBU</t>
        </is>
      </c>
      <c r="D438" s="43" t="inlineStr">
        <is>
          <t>FJZP</t>
        </is>
      </c>
      <c r="E438" s="43" t="inlineStr">
        <is>
          <t>MCGA</t>
        </is>
      </c>
      <c r="F438" s="43" t="inlineStr">
        <is>
          <t>68-104576-04</t>
        </is>
      </c>
      <c r="G438" s="43" t="inlineStr">
        <is>
          <t>OTHER_SCOPE_ITEM</t>
        </is>
      </c>
      <c r="H438" s="43" t="inlineStr"/>
      <c r="I438" s="43" t="inlineStr">
        <is>
          <t>Expired</t>
        </is>
      </c>
      <c r="J438" s="32" t="n">
        <v>45932</v>
      </c>
      <c r="K438" s="32" t="n">
        <v>45883</v>
      </c>
      <c r="L438" s="43" t="inlineStr">
        <is>
          <t>782</t>
        </is>
      </c>
      <c r="M438" s="43" t="n">
        <v>1</v>
      </c>
      <c r="N438" s="33" t="inlineStr"/>
      <c r="O438" s="43" t="inlineStr">
        <is>
          <t>UNVERIFIED</t>
        </is>
      </c>
      <c r="P438" s="43" t="inlineStr">
        <is>
          <t>Pending Review</t>
        </is>
      </c>
      <c r="Q438" s="33" t="inlineStr">
        <is>
          <t>Confirmar SKU/PCBA revision, PN exacto en Common DB, WO, BU, vigencia, planta y aprobacion firmada.</t>
        </is>
      </c>
    </row>
    <row r="439">
      <c r="A439" s="43" t="inlineStr">
        <is>
          <t>CTANJZ04763</t>
        </is>
      </c>
      <c r="B439" s="43" t="inlineStr">
        <is>
          <t>DP525137</t>
        </is>
      </c>
      <c r="C439" s="43" t="inlineStr">
        <is>
          <t>037-STBU</t>
        </is>
      </c>
      <c r="D439" s="43" t="inlineStr">
        <is>
          <t>FJZP</t>
        </is>
      </c>
      <c r="E439" s="43" t="inlineStr">
        <is>
          <t>MCGA</t>
        </is>
      </c>
      <c r="F439" s="43" t="inlineStr">
        <is>
          <t>68-104621-04</t>
        </is>
      </c>
      <c r="G439" s="43" t="inlineStr">
        <is>
          <t>OTHER_SCOPE_ITEM</t>
        </is>
      </c>
      <c r="H439" s="43" t="inlineStr"/>
      <c r="I439" s="43" t="inlineStr">
        <is>
          <t>Expired</t>
        </is>
      </c>
      <c r="J439" s="32" t="n">
        <v>45932</v>
      </c>
      <c r="K439" s="32" t="n">
        <v>45883</v>
      </c>
      <c r="L439" s="43" t="inlineStr">
        <is>
          <t>783</t>
        </is>
      </c>
      <c r="M439" s="43" t="n">
        <v>1</v>
      </c>
      <c r="N439" s="33" t="inlineStr"/>
      <c r="O439" s="43" t="inlineStr">
        <is>
          <t>UNVERIFIED</t>
        </is>
      </c>
      <c r="P439" s="43" t="inlineStr">
        <is>
          <t>Pending Review</t>
        </is>
      </c>
      <c r="Q439" s="33" t="inlineStr">
        <is>
          <t>Confirmar SKU/PCBA revision, PN exacto en Common DB, WO, BU, vigencia, planta y aprobacion firmada.</t>
        </is>
      </c>
    </row>
    <row r="440">
      <c r="A440" s="43" t="inlineStr">
        <is>
          <t>CTANJZ04763</t>
        </is>
      </c>
      <c r="B440" s="43" t="inlineStr">
        <is>
          <t>DP525137</t>
        </is>
      </c>
      <c r="C440" s="43" t="inlineStr">
        <is>
          <t>037-STBU</t>
        </is>
      </c>
      <c r="D440" s="43" t="inlineStr">
        <is>
          <t>FJZP</t>
        </is>
      </c>
      <c r="E440" s="43" t="inlineStr">
        <is>
          <t>MCGA</t>
        </is>
      </c>
      <c r="F440" s="43" t="inlineStr">
        <is>
          <t>800-112581-04</t>
        </is>
      </c>
      <c r="G440" s="43" t="inlineStr">
        <is>
          <t>OTHER_SCOPE_ITEM</t>
        </is>
      </c>
      <c r="H440" s="43" t="inlineStr"/>
      <c r="I440" s="43" t="inlineStr">
        <is>
          <t>Expired</t>
        </is>
      </c>
      <c r="J440" s="32" t="n">
        <v>45932</v>
      </c>
      <c r="K440" s="32" t="n">
        <v>45883</v>
      </c>
      <c r="L440" s="43" t="inlineStr">
        <is>
          <t>784</t>
        </is>
      </c>
      <c r="M440" s="43" t="n">
        <v>1</v>
      </c>
      <c r="N440" s="33" t="inlineStr"/>
      <c r="O440" s="43" t="inlineStr">
        <is>
          <t>UNVERIFIED</t>
        </is>
      </c>
      <c r="P440" s="43" t="inlineStr">
        <is>
          <t>Pending Review</t>
        </is>
      </c>
      <c r="Q440" s="33" t="inlineStr">
        <is>
          <t>Confirmar SKU/PCBA revision, PN exacto en Common DB, WO, BU, vigencia, planta y aprobacion firmada.</t>
        </is>
      </c>
    </row>
    <row r="441">
      <c r="A441" s="43" t="inlineStr">
        <is>
          <t>CTANJZ04763</t>
        </is>
      </c>
      <c r="B441" s="43" t="inlineStr">
        <is>
          <t>DP525137</t>
        </is>
      </c>
      <c r="C441" s="43" t="inlineStr">
        <is>
          <t>037-STBU</t>
        </is>
      </c>
      <c r="D441" s="43" t="inlineStr">
        <is>
          <t>FJZP</t>
        </is>
      </c>
      <c r="E441" s="43" t="inlineStr">
        <is>
          <t>MCGA</t>
        </is>
      </c>
      <c r="F441" s="43" t="inlineStr">
        <is>
          <t>800-112582-04</t>
        </is>
      </c>
      <c r="G441" s="43" t="inlineStr">
        <is>
          <t>OTHER_SCOPE_ITEM</t>
        </is>
      </c>
      <c r="H441" s="43" t="inlineStr"/>
      <c r="I441" s="43" t="inlineStr">
        <is>
          <t>Expired</t>
        </is>
      </c>
      <c r="J441" s="32" t="n">
        <v>45932</v>
      </c>
      <c r="K441" s="32" t="n">
        <v>45883</v>
      </c>
      <c r="L441" s="43" t="inlineStr">
        <is>
          <t>785</t>
        </is>
      </c>
      <c r="M441" s="43" t="n">
        <v>1</v>
      </c>
      <c r="N441" s="33" t="inlineStr"/>
      <c r="O441" s="43" t="inlineStr">
        <is>
          <t>UNVERIFIED</t>
        </is>
      </c>
      <c r="P441" s="43" t="inlineStr">
        <is>
          <t>Pending Review</t>
        </is>
      </c>
      <c r="Q441" s="33" t="inlineStr">
        <is>
          <t>Confirmar SKU/PCBA revision, PN exacto en Common DB, WO, BU, vigencia, planta y aprobacion firmada.</t>
        </is>
      </c>
    </row>
    <row r="442">
      <c r="A442" s="43" t="inlineStr">
        <is>
          <t>CTANJZ04763</t>
        </is>
      </c>
      <c r="B442" s="43" t="inlineStr">
        <is>
          <t>DP525137</t>
        </is>
      </c>
      <c r="C442" s="43" t="inlineStr">
        <is>
          <t>037-STBU</t>
        </is>
      </c>
      <c r="D442" s="43" t="inlineStr">
        <is>
          <t>FJZP</t>
        </is>
      </c>
      <c r="E442" s="43" t="inlineStr">
        <is>
          <t>MCGA</t>
        </is>
      </c>
      <c r="F442" s="43" t="inlineStr">
        <is>
          <t>800-112583-04</t>
        </is>
      </c>
      <c r="G442" s="43" t="inlineStr">
        <is>
          <t>OTHER_SCOPE_ITEM</t>
        </is>
      </c>
      <c r="H442" s="43" t="inlineStr"/>
      <c r="I442" s="43" t="inlineStr">
        <is>
          <t>Expired</t>
        </is>
      </c>
      <c r="J442" s="32" t="n">
        <v>45932</v>
      </c>
      <c r="K442" s="32" t="n">
        <v>45883</v>
      </c>
      <c r="L442" s="43" t="inlineStr">
        <is>
          <t>786</t>
        </is>
      </c>
      <c r="M442" s="43" t="n">
        <v>1</v>
      </c>
      <c r="N442" s="33" t="inlineStr"/>
      <c r="O442" s="43" t="inlineStr">
        <is>
          <t>UNVERIFIED</t>
        </is>
      </c>
      <c r="P442" s="43" t="inlineStr">
        <is>
          <t>Pending Review</t>
        </is>
      </c>
      <c r="Q442" s="33" t="inlineStr">
        <is>
          <t>Confirmar SKU/PCBA revision, PN exacto en Common DB, WO, BU, vigencia, planta y aprobacion firmada.</t>
        </is>
      </c>
    </row>
    <row r="443">
      <c r="A443" s="43" t="inlineStr">
        <is>
          <t>CTANJZ04763</t>
        </is>
      </c>
      <c r="B443" s="43" t="inlineStr">
        <is>
          <t>DP525137</t>
        </is>
      </c>
      <c r="C443" s="43" t="inlineStr">
        <is>
          <t>037-STBU</t>
        </is>
      </c>
      <c r="D443" s="43" t="inlineStr">
        <is>
          <t>FJZP</t>
        </is>
      </c>
      <c r="E443" s="43" t="inlineStr">
        <is>
          <t>MCGA</t>
        </is>
      </c>
      <c r="F443" s="43" t="inlineStr">
        <is>
          <t>800-112720-04</t>
        </is>
      </c>
      <c r="G443" s="43" t="inlineStr">
        <is>
          <t>OTHER_SCOPE_ITEM</t>
        </is>
      </c>
      <c r="H443" s="43" t="inlineStr"/>
      <c r="I443" s="43" t="inlineStr">
        <is>
          <t>Expired</t>
        </is>
      </c>
      <c r="J443" s="32" t="n">
        <v>45932</v>
      </c>
      <c r="K443" s="32" t="n">
        <v>45883</v>
      </c>
      <c r="L443" s="43" t="inlineStr">
        <is>
          <t>787</t>
        </is>
      </c>
      <c r="M443" s="43" t="n">
        <v>1</v>
      </c>
      <c r="N443" s="33" t="inlineStr"/>
      <c r="O443" s="43" t="inlineStr">
        <is>
          <t>UNVERIFIED</t>
        </is>
      </c>
      <c r="P443" s="43" t="inlineStr">
        <is>
          <t>Pending Review</t>
        </is>
      </c>
      <c r="Q443" s="33" t="inlineStr">
        <is>
          <t>Confirmar SKU/PCBA revision, PN exacto en Common DB, WO, BU, vigencia, planta y aprobacion firmada.</t>
        </is>
      </c>
    </row>
    <row r="444">
      <c r="A444" s="43" t="inlineStr">
        <is>
          <t>CTANJZ04764</t>
        </is>
      </c>
      <c r="B444" s="43" t="inlineStr">
        <is>
          <t>D605287</t>
        </is>
      </c>
      <c r="C444" s="43" t="inlineStr">
        <is>
          <t>018-SRGBU</t>
        </is>
      </c>
      <c r="D444" s="43" t="inlineStr">
        <is>
          <t>FJZP</t>
        </is>
      </c>
      <c r="E444" s="43" t="inlineStr">
        <is>
          <t>MCGA</t>
        </is>
      </c>
      <c r="F444" s="43" t="inlineStr">
        <is>
          <t>15-107070-01</t>
        </is>
      </c>
      <c r="G444" s="43" t="inlineStr">
        <is>
          <t>OTHER_SCOPE_ITEM</t>
        </is>
      </c>
      <c r="H444" s="43" t="inlineStr"/>
      <c r="I444" s="43" t="inlineStr">
        <is>
          <t>Expired</t>
        </is>
      </c>
      <c r="J444" s="32" t="n">
        <v>45964</v>
      </c>
      <c r="K444" s="32" t="n">
        <v>45881</v>
      </c>
      <c r="L444" s="43" t="inlineStr">
        <is>
          <t>1555</t>
        </is>
      </c>
      <c r="M444" s="43" t="n">
        <v>1</v>
      </c>
      <c r="N444" s="33" t="inlineStr"/>
      <c r="O444" s="43" t="inlineStr">
        <is>
          <t>UNVERIFIED</t>
        </is>
      </c>
      <c r="P444" s="43" t="inlineStr">
        <is>
          <t>Pending Review</t>
        </is>
      </c>
      <c r="Q444" s="33" t="inlineStr">
        <is>
          <t>Confirmar SKU/PCBA revision, PN exacto en Common DB, WO, BU, vigencia, planta y aprobacion firmada.</t>
        </is>
      </c>
    </row>
    <row r="445">
      <c r="A445" s="43" t="inlineStr">
        <is>
          <t>CTANJZ04765</t>
        </is>
      </c>
      <c r="B445" s="43" t="inlineStr">
        <is>
          <t>D605484</t>
        </is>
      </c>
      <c r="C445" s="43" t="inlineStr">
        <is>
          <t>018-SRGBU</t>
        </is>
      </c>
      <c r="D445" s="43" t="inlineStr">
        <is>
          <t>FJZP</t>
        </is>
      </c>
      <c r="E445" s="43" t="inlineStr">
        <is>
          <t>MCGA</t>
        </is>
      </c>
      <c r="F445" s="43" t="inlineStr">
        <is>
          <t>17-15632-01</t>
        </is>
      </c>
      <c r="G445" s="43" t="inlineStr">
        <is>
          <t>OTHER_SCOPE_ITEM</t>
        </is>
      </c>
      <c r="H445" s="43" t="inlineStr"/>
      <c r="I445" s="43" t="inlineStr">
        <is>
          <t>Expired</t>
        </is>
      </c>
      <c r="J445" s="32" t="n">
        <v>45964</v>
      </c>
      <c r="K445" s="32" t="n">
        <v>45881</v>
      </c>
      <c r="L445" s="43" t="inlineStr">
        <is>
          <t>1815</t>
        </is>
      </c>
      <c r="M445" s="43" t="n">
        <v>1</v>
      </c>
      <c r="N445" s="33" t="inlineStr"/>
      <c r="O445" s="43" t="inlineStr">
        <is>
          <t>UNVERIFIED</t>
        </is>
      </c>
      <c r="P445" s="43" t="inlineStr">
        <is>
          <t>Pending Review</t>
        </is>
      </c>
      <c r="Q445" s="33" t="inlineStr">
        <is>
          <t>Confirmar SKU/PCBA revision, PN exacto en Common DB, WO, BU, vigencia, planta y aprobacion firmada.</t>
        </is>
      </c>
    </row>
    <row r="446">
      <c r="A446" s="43" t="inlineStr">
        <is>
          <t>CTANJZ04765</t>
        </is>
      </c>
      <c r="B446" s="43" t="inlineStr">
        <is>
          <t>D605484</t>
        </is>
      </c>
      <c r="C446" s="43" t="inlineStr">
        <is>
          <t>018-SRGBU</t>
        </is>
      </c>
      <c r="D446" s="43" t="inlineStr">
        <is>
          <t>FJZP</t>
        </is>
      </c>
      <c r="E446" s="43" t="inlineStr">
        <is>
          <t>MCGA</t>
        </is>
      </c>
      <c r="F446" s="43" t="inlineStr">
        <is>
          <t>17-15632-02</t>
        </is>
      </c>
      <c r="G446" s="43" t="inlineStr">
        <is>
          <t>OTHER_SCOPE_ITEM</t>
        </is>
      </c>
      <c r="H446" s="43" t="inlineStr"/>
      <c r="I446" s="43" t="inlineStr">
        <is>
          <t>Expired</t>
        </is>
      </c>
      <c r="J446" s="32" t="n">
        <v>45964</v>
      </c>
      <c r="K446" s="32" t="n">
        <v>45881</v>
      </c>
      <c r="L446" s="43" t="inlineStr">
        <is>
          <t>1816</t>
        </is>
      </c>
      <c r="M446" s="43" t="n">
        <v>1</v>
      </c>
      <c r="N446" s="33" t="inlineStr"/>
      <c r="O446" s="43" t="inlineStr">
        <is>
          <t>UNVERIFIED</t>
        </is>
      </c>
      <c r="P446" s="43" t="inlineStr">
        <is>
          <t>Pending Review</t>
        </is>
      </c>
      <c r="Q446" s="33" t="inlineStr">
        <is>
          <t>Confirmar SKU/PCBA revision, PN exacto en Common DB, WO, BU, vigencia, planta y aprobacion firmada.</t>
        </is>
      </c>
    </row>
    <row r="447">
      <c r="A447" s="43" t="inlineStr">
        <is>
          <t>CTANJZ04765</t>
        </is>
      </c>
      <c r="B447" s="43" t="inlineStr">
        <is>
          <t>D605484</t>
        </is>
      </c>
      <c r="C447" s="43" t="inlineStr">
        <is>
          <t>018-SRGBU</t>
        </is>
      </c>
      <c r="D447" s="43" t="inlineStr">
        <is>
          <t>FJZP</t>
        </is>
      </c>
      <c r="E447" s="43" t="inlineStr">
        <is>
          <t>MCGA</t>
        </is>
      </c>
      <c r="F447" s="43" t="inlineStr">
        <is>
          <t>74-122742-01</t>
        </is>
      </c>
      <c r="G447" s="43" t="inlineStr">
        <is>
          <t>OTHER_SCOPE_ITEM</t>
        </is>
      </c>
      <c r="H447" s="43" t="inlineStr"/>
      <c r="I447" s="43" t="inlineStr">
        <is>
          <t>Expired</t>
        </is>
      </c>
      <c r="J447" s="32" t="n">
        <v>45964</v>
      </c>
      <c r="K447" s="32" t="n">
        <v>45881</v>
      </c>
      <c r="L447" s="43" t="inlineStr">
        <is>
          <t>1817</t>
        </is>
      </c>
      <c r="M447" s="43" t="n">
        <v>1</v>
      </c>
      <c r="N447" s="33" t="inlineStr"/>
      <c r="O447" s="43" t="inlineStr">
        <is>
          <t>UNVERIFIED</t>
        </is>
      </c>
      <c r="P447" s="43" t="inlineStr">
        <is>
          <t>Pending Review</t>
        </is>
      </c>
      <c r="Q447" s="33" t="inlineStr">
        <is>
          <t>Confirmar SKU/PCBA revision, PN exacto en Common DB, WO, BU, vigencia, planta y aprobacion firmada.</t>
        </is>
      </c>
    </row>
    <row r="448">
      <c r="A448" s="43" t="inlineStr">
        <is>
          <t>CTANJZ04765</t>
        </is>
      </c>
      <c r="B448" s="43" t="inlineStr">
        <is>
          <t>D605484</t>
        </is>
      </c>
      <c r="C448" s="43" t="inlineStr">
        <is>
          <t>018-SRGBU</t>
        </is>
      </c>
      <c r="D448" s="43" t="inlineStr">
        <is>
          <t>FJZP</t>
        </is>
      </c>
      <c r="E448" s="43" t="inlineStr">
        <is>
          <t>MCGA</t>
        </is>
      </c>
      <c r="F448" s="43" t="inlineStr">
        <is>
          <t>74-122743-01</t>
        </is>
      </c>
      <c r="G448" s="43" t="inlineStr">
        <is>
          <t>OTHER_SCOPE_ITEM</t>
        </is>
      </c>
      <c r="H448" s="43" t="inlineStr"/>
      <c r="I448" s="43" t="inlineStr">
        <is>
          <t>Expired</t>
        </is>
      </c>
      <c r="J448" s="32" t="n">
        <v>45964</v>
      </c>
      <c r="K448" s="32" t="n">
        <v>45881</v>
      </c>
      <c r="L448" s="43" t="inlineStr">
        <is>
          <t>1818</t>
        </is>
      </c>
      <c r="M448" s="43" t="n">
        <v>1</v>
      </c>
      <c r="N448" s="33" t="inlineStr"/>
      <c r="O448" s="43" t="inlineStr">
        <is>
          <t>UNVERIFIED</t>
        </is>
      </c>
      <c r="P448" s="43" t="inlineStr">
        <is>
          <t>Pending Review</t>
        </is>
      </c>
      <c r="Q448" s="33" t="inlineStr">
        <is>
          <t>Confirmar SKU/PCBA revision, PN exacto en Common DB, WO, BU, vigencia, planta y aprobacion firmada.</t>
        </is>
      </c>
    </row>
    <row r="449">
      <c r="A449" s="43" t="inlineStr">
        <is>
          <t>CTANJZ04765</t>
        </is>
      </c>
      <c r="B449" s="43" t="inlineStr">
        <is>
          <t>D605484</t>
        </is>
      </c>
      <c r="C449" s="43" t="inlineStr">
        <is>
          <t>018-SRGBU</t>
        </is>
      </c>
      <c r="D449" s="43" t="inlineStr">
        <is>
          <t>FJZP</t>
        </is>
      </c>
      <c r="E449" s="43" t="inlineStr">
        <is>
          <t>MCGA</t>
        </is>
      </c>
      <c r="F449" s="43" t="inlineStr">
        <is>
          <t>74-122744-01</t>
        </is>
      </c>
      <c r="G449" s="43" t="inlineStr">
        <is>
          <t>OTHER_SCOPE_ITEM</t>
        </is>
      </c>
      <c r="H449" s="43" t="inlineStr"/>
      <c r="I449" s="43" t="inlineStr">
        <is>
          <t>Expired</t>
        </is>
      </c>
      <c r="J449" s="32" t="n">
        <v>45964</v>
      </c>
      <c r="K449" s="32" t="n">
        <v>45881</v>
      </c>
      <c r="L449" s="43" t="inlineStr">
        <is>
          <t>1819</t>
        </is>
      </c>
      <c r="M449" s="43" t="n">
        <v>1</v>
      </c>
      <c r="N449" s="33" t="inlineStr"/>
      <c r="O449" s="43" t="inlineStr">
        <is>
          <t>UNVERIFIED</t>
        </is>
      </c>
      <c r="P449" s="43" t="inlineStr">
        <is>
          <t>Pending Review</t>
        </is>
      </c>
      <c r="Q449" s="33" t="inlineStr">
        <is>
          <t>Confirmar SKU/PCBA revision, PN exacto en Common DB, WO, BU, vigencia, planta y aprobacion firmada.</t>
        </is>
      </c>
    </row>
    <row r="450">
      <c r="A450" s="43" t="inlineStr">
        <is>
          <t>CTANJZ04765</t>
        </is>
      </c>
      <c r="B450" s="43" t="inlineStr">
        <is>
          <t>D605484</t>
        </is>
      </c>
      <c r="C450" s="43" t="inlineStr">
        <is>
          <t>018-SRGBU</t>
        </is>
      </c>
      <c r="D450" s="43" t="inlineStr">
        <is>
          <t>FJZP</t>
        </is>
      </c>
      <c r="E450" s="43" t="inlineStr">
        <is>
          <t>MCGA</t>
        </is>
      </c>
      <c r="F450" s="43" t="inlineStr">
        <is>
          <t>74-122859-01</t>
        </is>
      </c>
      <c r="G450" s="43" t="inlineStr">
        <is>
          <t>OTHER_SCOPE_ITEM</t>
        </is>
      </c>
      <c r="H450" s="43" t="inlineStr"/>
      <c r="I450" s="43" t="inlineStr">
        <is>
          <t>Expired</t>
        </is>
      </c>
      <c r="J450" s="32" t="n">
        <v>45964</v>
      </c>
      <c r="K450" s="32" t="n">
        <v>45881</v>
      </c>
      <c r="L450" s="43" t="inlineStr">
        <is>
          <t>1820</t>
        </is>
      </c>
      <c r="M450" s="43" t="n">
        <v>1</v>
      </c>
      <c r="N450" s="33" t="inlineStr"/>
      <c r="O450" s="43" t="inlineStr">
        <is>
          <t>UNVERIFIED</t>
        </is>
      </c>
      <c r="P450" s="43" t="inlineStr">
        <is>
          <t>Pending Review</t>
        </is>
      </c>
      <c r="Q450" s="33" t="inlineStr">
        <is>
          <t>Confirmar SKU/PCBA revision, PN exacto en Common DB, WO, BU, vigencia, planta y aprobacion firmada.</t>
        </is>
      </c>
    </row>
    <row r="451">
      <c r="A451" s="43" t="inlineStr">
        <is>
          <t>CTANJZ04765</t>
        </is>
      </c>
      <c r="B451" s="43" t="inlineStr">
        <is>
          <t>D605484</t>
        </is>
      </c>
      <c r="C451" s="43" t="inlineStr">
        <is>
          <t>018-SRGBU</t>
        </is>
      </c>
      <c r="D451" s="43" t="inlineStr">
        <is>
          <t>FJZP</t>
        </is>
      </c>
      <c r="E451" s="43" t="inlineStr">
        <is>
          <t>MCGA</t>
        </is>
      </c>
      <c r="F451" s="43" t="inlineStr">
        <is>
          <t>74-123836-01</t>
        </is>
      </c>
      <c r="G451" s="43" t="inlineStr">
        <is>
          <t>OTHER_SCOPE_ITEM</t>
        </is>
      </c>
      <c r="H451" s="43" t="inlineStr"/>
      <c r="I451" s="43" t="inlineStr">
        <is>
          <t>Expired</t>
        </is>
      </c>
      <c r="J451" s="32" t="n">
        <v>45964</v>
      </c>
      <c r="K451" s="32" t="n">
        <v>45881</v>
      </c>
      <c r="L451" s="43" t="inlineStr">
        <is>
          <t>1821</t>
        </is>
      </c>
      <c r="M451" s="43" t="n">
        <v>1</v>
      </c>
      <c r="N451" s="33" t="inlineStr"/>
      <c r="O451" s="43" t="inlineStr">
        <is>
          <t>UNVERIFIED</t>
        </is>
      </c>
      <c r="P451" s="43" t="inlineStr">
        <is>
          <t>Pending Review</t>
        </is>
      </c>
      <c r="Q451" s="33" t="inlineStr">
        <is>
          <t>Confirmar SKU/PCBA revision, PN exacto en Common DB, WO, BU, vigencia, planta y aprobacion firmada.</t>
        </is>
      </c>
    </row>
    <row r="452">
      <c r="A452" s="43" t="inlineStr">
        <is>
          <t>CTANJZ04765</t>
        </is>
      </c>
      <c r="B452" s="43" t="inlineStr">
        <is>
          <t>D605484</t>
        </is>
      </c>
      <c r="C452" s="43" t="inlineStr">
        <is>
          <t>018-SRGBU</t>
        </is>
      </c>
      <c r="D452" s="43" t="inlineStr">
        <is>
          <t>FJZP</t>
        </is>
      </c>
      <c r="E452" s="43" t="inlineStr">
        <is>
          <t>MCGA</t>
        </is>
      </c>
      <c r="F452" s="43" t="inlineStr">
        <is>
          <t>74-123837-01</t>
        </is>
      </c>
      <c r="G452" s="43" t="inlineStr">
        <is>
          <t>OTHER_SCOPE_ITEM</t>
        </is>
      </c>
      <c r="H452" s="43" t="inlineStr"/>
      <c r="I452" s="43" t="inlineStr">
        <is>
          <t>Expired</t>
        </is>
      </c>
      <c r="J452" s="32" t="n">
        <v>45964</v>
      </c>
      <c r="K452" s="32" t="n">
        <v>45881</v>
      </c>
      <c r="L452" s="43" t="inlineStr">
        <is>
          <t>1822</t>
        </is>
      </c>
      <c r="M452" s="43" t="n">
        <v>1</v>
      </c>
      <c r="N452" s="33" t="inlineStr"/>
      <c r="O452" s="43" t="inlineStr">
        <is>
          <t>UNVERIFIED</t>
        </is>
      </c>
      <c r="P452" s="43" t="inlineStr">
        <is>
          <t>Pending Review</t>
        </is>
      </c>
      <c r="Q452" s="33" t="inlineStr">
        <is>
          <t>Confirmar SKU/PCBA revision, PN exacto en Common DB, WO, BU, vigencia, planta y aprobacion firmada.</t>
        </is>
      </c>
    </row>
    <row r="453">
      <c r="A453" s="43" t="inlineStr">
        <is>
          <t>CTANJZ04766</t>
        </is>
      </c>
      <c r="B453" s="43" t="inlineStr">
        <is>
          <t>DP525199</t>
        </is>
      </c>
      <c r="C453" s="43" t="inlineStr">
        <is>
          <t>034-IOTBU</t>
        </is>
      </c>
      <c r="D453" s="43" t="inlineStr">
        <is>
          <t>FJZP</t>
        </is>
      </c>
      <c r="E453" s="43" t="inlineStr">
        <is>
          <t>MCGA</t>
        </is>
      </c>
      <c r="F453" s="43" t="inlineStr">
        <is>
          <t>73-101441-05</t>
        </is>
      </c>
      <c r="G453" s="43" t="inlineStr">
        <is>
          <t>BOARD_PN_CANDIDATE</t>
        </is>
      </c>
      <c r="H453" s="43" t="inlineStr"/>
      <c r="I453" s="43" t="inlineStr">
        <is>
          <t>Expired</t>
        </is>
      </c>
      <c r="J453" s="32" t="n">
        <v>45934</v>
      </c>
      <c r="K453" s="32" t="n">
        <v>45883</v>
      </c>
      <c r="L453" s="43" t="inlineStr">
        <is>
          <t>432</t>
        </is>
      </c>
      <c r="M453" s="43" t="n">
        <v>1</v>
      </c>
      <c r="N453" s="33" t="inlineStr"/>
      <c r="O453" s="43" t="inlineStr">
        <is>
          <t>UNVERIFIED</t>
        </is>
      </c>
      <c r="P453" s="43" t="inlineStr">
        <is>
          <t>Pending Review</t>
        </is>
      </c>
      <c r="Q453" s="33" t="inlineStr">
        <is>
          <t>Confirmar SKU/PCBA revision, PN exacto en Common DB, WO, BU, vigencia, planta y aprobacion firmada.</t>
        </is>
      </c>
    </row>
    <row r="454">
      <c r="A454" s="43" t="inlineStr">
        <is>
          <t>CTANJZ04767</t>
        </is>
      </c>
      <c r="B454" s="43" t="inlineStr">
        <is>
          <t>D605590</t>
        </is>
      </c>
      <c r="C454" s="43" t="inlineStr">
        <is>
          <t>035-CVEBU</t>
        </is>
      </c>
      <c r="D454" s="43" t="inlineStr">
        <is>
          <t>FJZP</t>
        </is>
      </c>
      <c r="E454" s="43" t="inlineStr">
        <is>
          <t>MCGA</t>
        </is>
      </c>
      <c r="F454" s="43" t="inlineStr">
        <is>
          <t>74-146086-01</t>
        </is>
      </c>
      <c r="G454" s="43" t="inlineStr">
        <is>
          <t>OTHER_SCOPE_ITEM</t>
        </is>
      </c>
      <c r="H454" s="43" t="inlineStr"/>
      <c r="I454" s="43" t="inlineStr">
        <is>
          <t>Expired</t>
        </is>
      </c>
      <c r="J454" s="32" t="n">
        <v>45965</v>
      </c>
      <c r="K454" s="32" t="n">
        <v>45883</v>
      </c>
      <c r="L454" s="43" t="inlineStr">
        <is>
          <t>816</t>
        </is>
      </c>
      <c r="M454" s="43" t="n">
        <v>1</v>
      </c>
      <c r="N454" s="33" t="inlineStr"/>
      <c r="O454" s="43" t="inlineStr">
        <is>
          <t>UNVERIFIED</t>
        </is>
      </c>
      <c r="P454" s="43" t="inlineStr">
        <is>
          <t>Pending Review</t>
        </is>
      </c>
      <c r="Q454" s="33" t="inlineStr">
        <is>
          <t>Confirmar SKU/PCBA revision, PN exacto en Common DB, WO, BU, vigencia, planta y aprobacion firmada.</t>
        </is>
      </c>
    </row>
    <row r="455">
      <c r="A455" s="43" t="inlineStr">
        <is>
          <t>CTANJZ04768</t>
        </is>
      </c>
      <c r="B455" s="43" t="inlineStr">
        <is>
          <t>DP525211</t>
        </is>
      </c>
      <c r="C455" s="43" t="inlineStr">
        <is>
          <t>035-CVEBU</t>
        </is>
      </c>
      <c r="D455" s="43" t="inlineStr">
        <is>
          <t>FJZP</t>
        </is>
      </c>
      <c r="E455" s="43" t="inlineStr">
        <is>
          <t>MCGA</t>
        </is>
      </c>
      <c r="F455" s="43" t="inlineStr">
        <is>
          <t>800-113103-01</t>
        </is>
      </c>
      <c r="G455" s="43" t="inlineStr">
        <is>
          <t>OTHER_SCOPE_ITEM</t>
        </is>
      </c>
      <c r="H455" s="43" t="inlineStr"/>
      <c r="I455" s="43" t="inlineStr">
        <is>
          <t>Expired</t>
        </is>
      </c>
      <c r="J455" s="32" t="n">
        <v>45936</v>
      </c>
      <c r="K455" s="32" t="n">
        <v>45883</v>
      </c>
      <c r="L455" s="43" t="inlineStr">
        <is>
          <t>830</t>
        </is>
      </c>
      <c r="M455" s="43" t="n">
        <v>1</v>
      </c>
      <c r="N455" s="33" t="inlineStr"/>
      <c r="O455" s="43" t="inlineStr">
        <is>
          <t>UNVERIFIED</t>
        </is>
      </c>
      <c r="P455" s="43" t="inlineStr">
        <is>
          <t>Pending Review</t>
        </is>
      </c>
      <c r="Q455" s="33" t="inlineStr">
        <is>
          <t>Confirmar SKU/PCBA revision, PN exacto en Common DB, WO, BU, vigencia, planta y aprobacion firmada.</t>
        </is>
      </c>
    </row>
    <row r="456">
      <c r="A456" s="43" t="inlineStr">
        <is>
          <t>CTANJZ04768</t>
        </is>
      </c>
      <c r="B456" s="43" t="inlineStr">
        <is>
          <t>DP525211</t>
        </is>
      </c>
      <c r="C456" s="43" t="inlineStr">
        <is>
          <t>035-CVEBU</t>
        </is>
      </c>
      <c r="D456" s="43" t="inlineStr">
        <is>
          <t>FJZP</t>
        </is>
      </c>
      <c r="E456" s="43" t="inlineStr">
        <is>
          <t>MCGA</t>
        </is>
      </c>
      <c r="F456" s="43" t="inlineStr">
        <is>
          <t>800-113104-01</t>
        </is>
      </c>
      <c r="G456" s="43" t="inlineStr">
        <is>
          <t>OTHER_SCOPE_ITEM</t>
        </is>
      </c>
      <c r="H456" s="43" t="inlineStr"/>
      <c r="I456" s="43" t="inlineStr">
        <is>
          <t>Expired</t>
        </is>
      </c>
      <c r="J456" s="32" t="n">
        <v>45936</v>
      </c>
      <c r="K456" s="32" t="n">
        <v>45883</v>
      </c>
      <c r="L456" s="43" t="inlineStr">
        <is>
          <t>831</t>
        </is>
      </c>
      <c r="M456" s="43" t="n">
        <v>1</v>
      </c>
      <c r="N456" s="33" t="inlineStr"/>
      <c r="O456" s="43" t="inlineStr">
        <is>
          <t>UNVERIFIED</t>
        </is>
      </c>
      <c r="P456" s="43" t="inlineStr">
        <is>
          <t>Pending Review</t>
        </is>
      </c>
      <c r="Q456" s="33" t="inlineStr">
        <is>
          <t>Confirmar SKU/PCBA revision, PN exacto en Common DB, WO, BU, vigencia, planta y aprobacion firmada.</t>
        </is>
      </c>
    </row>
    <row r="457">
      <c r="A457" s="43" t="inlineStr">
        <is>
          <t>CTANJZ04768</t>
        </is>
      </c>
      <c r="B457" s="43" t="inlineStr">
        <is>
          <t>DP525211</t>
        </is>
      </c>
      <c r="C457" s="43" t="inlineStr">
        <is>
          <t>035-CVEBU</t>
        </is>
      </c>
      <c r="D457" s="43" t="inlineStr">
        <is>
          <t>FJZP</t>
        </is>
      </c>
      <c r="E457" s="43" t="inlineStr">
        <is>
          <t>MCGA</t>
        </is>
      </c>
      <c r="F457" s="43" t="inlineStr">
        <is>
          <t>800-113252-01</t>
        </is>
      </c>
      <c r="G457" s="43" t="inlineStr">
        <is>
          <t>OTHER_SCOPE_ITEM</t>
        </is>
      </c>
      <c r="H457" s="43" t="inlineStr"/>
      <c r="I457" s="43" t="inlineStr">
        <is>
          <t>Expired</t>
        </is>
      </c>
      <c r="J457" s="32" t="n">
        <v>45936</v>
      </c>
      <c r="K457" s="32" t="n">
        <v>45883</v>
      </c>
      <c r="L457" s="43" t="inlineStr">
        <is>
          <t>832</t>
        </is>
      </c>
      <c r="M457" s="43" t="n">
        <v>1</v>
      </c>
      <c r="N457" s="33" t="inlineStr"/>
      <c r="O457" s="43" t="inlineStr">
        <is>
          <t>UNVERIFIED</t>
        </is>
      </c>
      <c r="P457" s="43" t="inlineStr">
        <is>
          <t>Pending Review</t>
        </is>
      </c>
      <c r="Q457" s="33" t="inlineStr">
        <is>
          <t>Confirmar SKU/PCBA revision, PN exacto en Common DB, WO, BU, vigencia, planta y aprobacion firmada.</t>
        </is>
      </c>
    </row>
    <row r="458">
      <c r="A458" s="43" t="inlineStr">
        <is>
          <t>CTANJZ04772</t>
        </is>
      </c>
      <c r="B458" s="43" t="inlineStr">
        <is>
          <t>D605688</t>
        </is>
      </c>
      <c r="C458" s="43" t="inlineStr">
        <is>
          <t>018-SRGBU</t>
        </is>
      </c>
      <c r="D458" s="43" t="inlineStr">
        <is>
          <t>FJZP</t>
        </is>
      </c>
      <c r="E458" s="43" t="inlineStr">
        <is>
          <t>MCGA</t>
        </is>
      </c>
      <c r="F458" s="43" t="inlineStr">
        <is>
          <t>74-133408-02</t>
        </is>
      </c>
      <c r="G458" s="43" t="inlineStr">
        <is>
          <t>OTHER_SCOPE_ITEM</t>
        </is>
      </c>
      <c r="H458" s="43" t="inlineStr">
        <is>
          <t>ARATA</t>
        </is>
      </c>
      <c r="I458" s="43" t="inlineStr">
        <is>
          <t>Expired</t>
        </is>
      </c>
      <c r="J458" s="32" t="n">
        <v>45971</v>
      </c>
      <c r="K458" s="32" t="n">
        <v>45887</v>
      </c>
      <c r="L458" s="43" t="inlineStr">
        <is>
          <t>817</t>
        </is>
      </c>
      <c r="M458" s="43" t="n">
        <v>1</v>
      </c>
      <c r="N458" s="33" t="inlineStr"/>
      <c r="O458" s="43" t="inlineStr">
        <is>
          <t>UNVERIFIED</t>
        </is>
      </c>
      <c r="P458" s="43" t="inlineStr">
        <is>
          <t>Pending Review</t>
        </is>
      </c>
      <c r="Q458" s="33" t="inlineStr">
        <is>
          <t>Confirmar SKU/PCBA revision, PN exacto en Common DB, WO, BU, vigencia, planta y aprobacion firmada.</t>
        </is>
      </c>
    </row>
    <row r="459">
      <c r="A459" s="43" t="inlineStr">
        <is>
          <t>CTANJZ04772</t>
        </is>
      </c>
      <c r="B459" s="43" t="inlineStr">
        <is>
          <t>D605688</t>
        </is>
      </c>
      <c r="C459" s="43" t="inlineStr">
        <is>
          <t>018-SRGBU</t>
        </is>
      </c>
      <c r="D459" s="43" t="inlineStr">
        <is>
          <t>FJZP</t>
        </is>
      </c>
      <c r="E459" s="43" t="inlineStr">
        <is>
          <t>MCGA</t>
        </is>
      </c>
      <c r="F459" s="43" t="inlineStr">
        <is>
          <t>74-134702-02</t>
        </is>
      </c>
      <c r="G459" s="43" t="inlineStr">
        <is>
          <t>OTHER_SCOPE_ITEM</t>
        </is>
      </c>
      <c r="H459" s="43" t="inlineStr"/>
      <c r="I459" s="43" t="inlineStr">
        <is>
          <t>Expired</t>
        </is>
      </c>
      <c r="J459" s="32" t="n">
        <v>45971</v>
      </c>
      <c r="K459" s="32" t="n">
        <v>45887</v>
      </c>
      <c r="L459" s="43" t="inlineStr">
        <is>
          <t>818</t>
        </is>
      </c>
      <c r="M459" s="43" t="n">
        <v>1</v>
      </c>
      <c r="N459" s="33" t="inlineStr"/>
      <c r="O459" s="43" t="inlineStr">
        <is>
          <t>UNVERIFIED</t>
        </is>
      </c>
      <c r="P459" s="43" t="inlineStr">
        <is>
          <t>Pending Review</t>
        </is>
      </c>
      <c r="Q459" s="33" t="inlineStr">
        <is>
          <t>Confirmar SKU/PCBA revision, PN exacto en Common DB, WO, BU, vigencia, planta y aprobacion firmada.</t>
        </is>
      </c>
    </row>
    <row r="460">
      <c r="A460" s="43" t="inlineStr">
        <is>
          <t>CTANJZ04773</t>
        </is>
      </c>
      <c r="B460" s="43" t="inlineStr">
        <is>
          <t>DP525235</t>
        </is>
      </c>
      <c r="C460" s="43" t="inlineStr">
        <is>
          <t>037-STBU</t>
        </is>
      </c>
      <c r="D460" s="43" t="inlineStr">
        <is>
          <t>FJZP</t>
        </is>
      </c>
      <c r="E460" s="43" t="inlineStr">
        <is>
          <t>MCGA</t>
        </is>
      </c>
      <c r="F460" s="43" t="inlineStr">
        <is>
          <t>73-103557-04</t>
        </is>
      </c>
      <c r="G460" s="43" t="inlineStr">
        <is>
          <t>BOARD_PN_CANDIDATE</t>
        </is>
      </c>
      <c r="H460" s="43" t="inlineStr"/>
      <c r="I460" s="43" t="inlineStr">
        <is>
          <t>Expired</t>
        </is>
      </c>
      <c r="J460" s="32" t="n">
        <v>45942</v>
      </c>
      <c r="K460" s="32" t="n">
        <v>45895</v>
      </c>
      <c r="L460" s="43" t="inlineStr">
        <is>
          <t>835</t>
        </is>
      </c>
      <c r="M460" s="43" t="n">
        <v>1</v>
      </c>
      <c r="N460" s="33" t="inlineStr"/>
      <c r="O460" s="43" t="inlineStr">
        <is>
          <t>UNVERIFIED</t>
        </is>
      </c>
      <c r="P460" s="43" t="inlineStr">
        <is>
          <t>Pending Review</t>
        </is>
      </c>
      <c r="Q460" s="33" t="inlineStr">
        <is>
          <t>Confirmar SKU/PCBA revision, PN exacto en Common DB, WO, BU, vigencia, planta y aprobacion firmada.</t>
        </is>
      </c>
    </row>
    <row r="461">
      <c r="A461" s="43" t="inlineStr">
        <is>
          <t>CTANJZ04773</t>
        </is>
      </c>
      <c r="B461" s="43" t="inlineStr">
        <is>
          <t>DP525235</t>
        </is>
      </c>
      <c r="C461" s="43" t="inlineStr">
        <is>
          <t>037-STBU</t>
        </is>
      </c>
      <c r="D461" s="43" t="inlineStr">
        <is>
          <t>FJZP</t>
        </is>
      </c>
      <c r="E461" s="43" t="inlineStr">
        <is>
          <t>MCGA</t>
        </is>
      </c>
      <c r="F461" s="43" t="inlineStr">
        <is>
          <t>73-103633-04</t>
        </is>
      </c>
      <c r="G461" s="43" t="inlineStr">
        <is>
          <t>BOARD_PN_CANDIDATE</t>
        </is>
      </c>
      <c r="H461" s="43" t="inlineStr"/>
      <c r="I461" s="43" t="inlineStr">
        <is>
          <t>Expired</t>
        </is>
      </c>
      <c r="J461" s="32" t="n">
        <v>45942</v>
      </c>
      <c r="K461" s="32" t="n">
        <v>45895</v>
      </c>
      <c r="L461" s="43" t="inlineStr">
        <is>
          <t>836</t>
        </is>
      </c>
      <c r="M461" s="43" t="n">
        <v>1</v>
      </c>
      <c r="N461" s="33" t="inlineStr"/>
      <c r="O461" s="43" t="inlineStr">
        <is>
          <t>UNVERIFIED</t>
        </is>
      </c>
      <c r="P461" s="43" t="inlineStr">
        <is>
          <t>Pending Review</t>
        </is>
      </c>
      <c r="Q461" s="33" t="inlineStr">
        <is>
          <t>Confirmar SKU/PCBA revision, PN exacto en Common DB, WO, BU, vigencia, planta y aprobacion firmada.</t>
        </is>
      </c>
    </row>
    <row r="462">
      <c r="A462" s="43" t="inlineStr">
        <is>
          <t>CTANJZ04773</t>
        </is>
      </c>
      <c r="B462" s="43" t="inlineStr">
        <is>
          <t>DP525235</t>
        </is>
      </c>
      <c r="C462" s="43" t="inlineStr">
        <is>
          <t>037-STBU</t>
        </is>
      </c>
      <c r="D462" s="43" t="inlineStr">
        <is>
          <t>FJZP</t>
        </is>
      </c>
      <c r="E462" s="43" t="inlineStr">
        <is>
          <t>MCGA</t>
        </is>
      </c>
      <c r="F462" s="43" t="inlineStr">
        <is>
          <t>800-112581-04</t>
        </is>
      </c>
      <c r="G462" s="43" t="inlineStr">
        <is>
          <t>OTHER_SCOPE_ITEM</t>
        </is>
      </c>
      <c r="H462" s="43" t="inlineStr"/>
      <c r="I462" s="43" t="inlineStr">
        <is>
          <t>Expired</t>
        </is>
      </c>
      <c r="J462" s="32" t="n">
        <v>45942</v>
      </c>
      <c r="K462" s="32" t="n">
        <v>45895</v>
      </c>
      <c r="L462" s="43" t="inlineStr">
        <is>
          <t>837</t>
        </is>
      </c>
      <c r="M462" s="43" t="n">
        <v>1</v>
      </c>
      <c r="N462" s="33" t="inlineStr"/>
      <c r="O462" s="43" t="inlineStr">
        <is>
          <t>UNVERIFIED</t>
        </is>
      </c>
      <c r="P462" s="43" t="inlineStr">
        <is>
          <t>Pending Review</t>
        </is>
      </c>
      <c r="Q462" s="33" t="inlineStr">
        <is>
          <t>Confirmar SKU/PCBA revision, PN exacto en Common DB, WO, BU, vigencia, planta y aprobacion firmada.</t>
        </is>
      </c>
    </row>
    <row r="463">
      <c r="A463" s="43" t="inlineStr">
        <is>
          <t>CTANJZ04773</t>
        </is>
      </c>
      <c r="B463" s="43" t="inlineStr">
        <is>
          <t>DP525235</t>
        </is>
      </c>
      <c r="C463" s="43" t="inlineStr">
        <is>
          <t>037-STBU</t>
        </is>
      </c>
      <c r="D463" s="43" t="inlineStr">
        <is>
          <t>FJZP</t>
        </is>
      </c>
      <c r="E463" s="43" t="inlineStr">
        <is>
          <t>MCGA</t>
        </is>
      </c>
      <c r="F463" s="43" t="inlineStr">
        <is>
          <t>800-112582-04</t>
        </is>
      </c>
      <c r="G463" s="43" t="inlineStr">
        <is>
          <t>OTHER_SCOPE_ITEM</t>
        </is>
      </c>
      <c r="H463" s="43" t="inlineStr"/>
      <c r="I463" s="43" t="inlineStr">
        <is>
          <t>Expired</t>
        </is>
      </c>
      <c r="J463" s="32" t="n">
        <v>45942</v>
      </c>
      <c r="K463" s="32" t="n">
        <v>45895</v>
      </c>
      <c r="L463" s="43" t="inlineStr">
        <is>
          <t>838</t>
        </is>
      </c>
      <c r="M463" s="43" t="n">
        <v>1</v>
      </c>
      <c r="N463" s="33" t="inlineStr"/>
      <c r="O463" s="43" t="inlineStr">
        <is>
          <t>UNVERIFIED</t>
        </is>
      </c>
      <c r="P463" s="43" t="inlineStr">
        <is>
          <t>Pending Review</t>
        </is>
      </c>
      <c r="Q463" s="33" t="inlineStr">
        <is>
          <t>Confirmar SKU/PCBA revision, PN exacto en Common DB, WO, BU, vigencia, planta y aprobacion firmada.</t>
        </is>
      </c>
    </row>
    <row r="464">
      <c r="A464" s="43" t="inlineStr">
        <is>
          <t>CTANJZ04774</t>
        </is>
      </c>
      <c r="B464" s="43" t="inlineStr">
        <is>
          <t>D605647</t>
        </is>
      </c>
      <c r="C464" s="43" t="inlineStr">
        <is>
          <t>018-SRGBU</t>
        </is>
      </c>
      <c r="D464" s="43" t="inlineStr">
        <is>
          <t>FJZP</t>
        </is>
      </c>
      <c r="E464" s="43" t="inlineStr">
        <is>
          <t>MCGA</t>
        </is>
      </c>
      <c r="F464" s="43" t="inlineStr">
        <is>
          <t>73-21204-06</t>
        </is>
      </c>
      <c r="G464" s="43" t="inlineStr">
        <is>
          <t>BOARD_PN_CANDIDATE</t>
        </is>
      </c>
      <c r="H464" s="43" t="inlineStr"/>
      <c r="I464" s="43" t="inlineStr">
        <is>
          <t>Expired</t>
        </is>
      </c>
      <c r="J464" s="32" t="n">
        <v>45972</v>
      </c>
      <c r="K464" s="32" t="n">
        <v>45890</v>
      </c>
      <c r="L464" s="43" t="inlineStr">
        <is>
          <t>861</t>
        </is>
      </c>
      <c r="M464" s="43" t="n">
        <v>1</v>
      </c>
      <c r="N464" s="33" t="inlineStr"/>
      <c r="O464" s="43" t="inlineStr">
        <is>
          <t>UNVERIFIED</t>
        </is>
      </c>
      <c r="P464" s="43" t="inlineStr">
        <is>
          <t>Pending Review</t>
        </is>
      </c>
      <c r="Q464" s="33" t="inlineStr">
        <is>
          <t>Confirmar SKU/PCBA revision, PN exacto en Common DB, WO, BU, vigencia, planta y aprobacion firmada.</t>
        </is>
      </c>
    </row>
    <row r="465">
      <c r="A465" s="43" t="inlineStr">
        <is>
          <t>CTANJZ04774</t>
        </is>
      </c>
      <c r="B465" s="43" t="inlineStr">
        <is>
          <t>D605647</t>
        </is>
      </c>
      <c r="C465" s="43" t="inlineStr">
        <is>
          <t>018-SRGBU</t>
        </is>
      </c>
      <c r="D465" s="43" t="inlineStr">
        <is>
          <t>FJZP</t>
        </is>
      </c>
      <c r="E465" s="43" t="inlineStr">
        <is>
          <t>MCGA</t>
        </is>
      </c>
      <c r="F465" s="43" t="inlineStr">
        <is>
          <t>73-21231-05</t>
        </is>
      </c>
      <c r="G465" s="43" t="inlineStr">
        <is>
          <t>BOARD_PN_CANDIDATE</t>
        </is>
      </c>
      <c r="H465" s="43" t="inlineStr">
        <is>
          <t>CHARON</t>
        </is>
      </c>
      <c r="I465" s="43" t="inlineStr">
        <is>
          <t>Expired</t>
        </is>
      </c>
      <c r="J465" s="32" t="n">
        <v>45972</v>
      </c>
      <c r="K465" s="32" t="n">
        <v>45890</v>
      </c>
      <c r="L465" s="43" t="inlineStr">
        <is>
          <t>862</t>
        </is>
      </c>
      <c r="M465" s="43" t="n">
        <v>1</v>
      </c>
      <c r="N465" s="33" t="inlineStr"/>
      <c r="O465" s="43" t="inlineStr">
        <is>
          <t>UNVERIFIED</t>
        </is>
      </c>
      <c r="P465" s="43" t="inlineStr">
        <is>
          <t>Pending Review</t>
        </is>
      </c>
      <c r="Q465" s="33" t="inlineStr">
        <is>
          <t>Confirmar SKU/PCBA revision, PN exacto en Common DB, WO, BU, vigencia, planta y aprobacion firmada.</t>
        </is>
      </c>
    </row>
    <row r="466">
      <c r="A466" s="43" t="inlineStr">
        <is>
          <t>CTANJZ04774</t>
        </is>
      </c>
      <c r="B466" s="43" t="inlineStr">
        <is>
          <t>D605647</t>
        </is>
      </c>
      <c r="C466" s="43" t="inlineStr">
        <is>
          <t>018-SRGBU</t>
        </is>
      </c>
      <c r="D466" s="43" t="inlineStr">
        <is>
          <t>FJZP</t>
        </is>
      </c>
      <c r="E466" s="43" t="inlineStr">
        <is>
          <t>MCGA</t>
        </is>
      </c>
      <c r="F466" s="43" t="inlineStr">
        <is>
          <t>73-21417-05</t>
        </is>
      </c>
      <c r="G466" s="43" t="inlineStr">
        <is>
          <t>BOARD_PN_CANDIDATE</t>
        </is>
      </c>
      <c r="H466" s="43" t="inlineStr"/>
      <c r="I466" s="43" t="inlineStr">
        <is>
          <t>Expired</t>
        </is>
      </c>
      <c r="J466" s="32" t="n">
        <v>45972</v>
      </c>
      <c r="K466" s="32" t="n">
        <v>45890</v>
      </c>
      <c r="L466" s="43" t="inlineStr">
        <is>
          <t>863</t>
        </is>
      </c>
      <c r="M466" s="43" t="n">
        <v>1</v>
      </c>
      <c r="N466" s="33" t="inlineStr"/>
      <c r="O466" s="43" t="inlineStr">
        <is>
          <t>UNVERIFIED</t>
        </is>
      </c>
      <c r="P466" s="43" t="inlineStr">
        <is>
          <t>Pending Review</t>
        </is>
      </c>
      <c r="Q466" s="33" t="inlineStr">
        <is>
          <t>Confirmar SKU/PCBA revision, PN exacto en Common DB, WO, BU, vigencia, planta y aprobacion firmada.</t>
        </is>
      </c>
    </row>
    <row r="467">
      <c r="A467" s="43" t="inlineStr">
        <is>
          <t>CTANJZ04776</t>
        </is>
      </c>
      <c r="B467" s="43" t="inlineStr">
        <is>
          <t>D605611</t>
        </is>
      </c>
      <c r="C467" s="43" t="inlineStr">
        <is>
          <t>018-SRGBU</t>
        </is>
      </c>
      <c r="D467" s="43" t="inlineStr">
        <is>
          <t>FJZP</t>
        </is>
      </c>
      <c r="E467" s="43" t="inlineStr">
        <is>
          <t>MCGA</t>
        </is>
      </c>
      <c r="F467" s="43" t="inlineStr">
        <is>
          <t>74-125442-04</t>
        </is>
      </c>
      <c r="G467" s="43" t="inlineStr">
        <is>
          <t>OTHER_SCOPE_ITEM</t>
        </is>
      </c>
      <c r="H467" s="43" t="inlineStr"/>
      <c r="I467" s="43" t="inlineStr">
        <is>
          <t>Expired</t>
        </is>
      </c>
      <c r="J467" s="32" t="n">
        <v>45972</v>
      </c>
      <c r="K467" s="32" t="n">
        <v>45890</v>
      </c>
      <c r="L467" s="43" t="inlineStr">
        <is>
          <t>1823</t>
        </is>
      </c>
      <c r="M467" s="43" t="n">
        <v>1</v>
      </c>
      <c r="N467" s="33" t="inlineStr"/>
      <c r="O467" s="43" t="inlineStr">
        <is>
          <t>UNVERIFIED</t>
        </is>
      </c>
      <c r="P467" s="43" t="inlineStr">
        <is>
          <t>Pending Review</t>
        </is>
      </c>
      <c r="Q467" s="33" t="inlineStr">
        <is>
          <t>Confirmar SKU/PCBA revision, PN exacto en Common DB, WO, BU, vigencia, planta y aprobacion firmada.</t>
        </is>
      </c>
    </row>
    <row r="468">
      <c r="A468" s="43" t="inlineStr">
        <is>
          <t>CTANJZ04781</t>
        </is>
      </c>
      <c r="B468" s="43" t="inlineStr">
        <is>
          <t>DP525216</t>
        </is>
      </c>
      <c r="C468" s="43" t="inlineStr">
        <is>
          <t>035-CVEBU</t>
        </is>
      </c>
      <c r="D468" s="43" t="inlineStr">
        <is>
          <t>FJZP</t>
        </is>
      </c>
      <c r="E468" s="43" t="inlineStr">
        <is>
          <t>MCGA</t>
        </is>
      </c>
      <c r="F468" s="43" t="inlineStr">
        <is>
          <t>51-103504-01</t>
        </is>
      </c>
      <c r="G468" s="43" t="inlineStr">
        <is>
          <t>OTHER_SCOPE_ITEM</t>
        </is>
      </c>
      <c r="H468" s="43" t="inlineStr"/>
      <c r="I468" s="43" t="inlineStr">
        <is>
          <t>Expired</t>
        </is>
      </c>
      <c r="J468" s="32" t="n">
        <v>45949</v>
      </c>
      <c r="K468" s="32" t="n">
        <v>45895</v>
      </c>
      <c r="L468" s="43" t="inlineStr">
        <is>
          <t>821</t>
        </is>
      </c>
      <c r="M468" s="43" t="n">
        <v>1</v>
      </c>
      <c r="N468" s="33" t="inlineStr"/>
      <c r="O468" s="43" t="inlineStr">
        <is>
          <t>UNVERIFIED</t>
        </is>
      </c>
      <c r="P468" s="43" t="inlineStr">
        <is>
          <t>Pending Review</t>
        </is>
      </c>
      <c r="Q468" s="33" t="inlineStr">
        <is>
          <t>Confirmar SKU/PCBA revision, PN exacto en Common DB, WO, BU, vigencia, planta y aprobacion firmada.</t>
        </is>
      </c>
    </row>
    <row r="469">
      <c r="A469" s="43" t="inlineStr">
        <is>
          <t>CTANJZ04781</t>
        </is>
      </c>
      <c r="B469" s="43" t="inlineStr">
        <is>
          <t>DP525216</t>
        </is>
      </c>
      <c r="C469" s="43" t="inlineStr">
        <is>
          <t>035-CVEBU</t>
        </is>
      </c>
      <c r="D469" s="43" t="inlineStr">
        <is>
          <t>FJZP</t>
        </is>
      </c>
      <c r="E469" s="43" t="inlineStr">
        <is>
          <t>MCGA</t>
        </is>
      </c>
      <c r="F469" s="43" t="inlineStr">
        <is>
          <t>800-113252-01</t>
        </is>
      </c>
      <c r="G469" s="43" t="inlineStr">
        <is>
          <t>OTHER_SCOPE_ITEM</t>
        </is>
      </c>
      <c r="H469" s="43" t="inlineStr"/>
      <c r="I469" s="43" t="inlineStr">
        <is>
          <t>Expired</t>
        </is>
      </c>
      <c r="J469" s="32" t="n">
        <v>45949</v>
      </c>
      <c r="K469" s="32" t="n">
        <v>45895</v>
      </c>
      <c r="L469" s="43" t="inlineStr">
        <is>
          <t>822</t>
        </is>
      </c>
      <c r="M469" s="43" t="n">
        <v>1</v>
      </c>
      <c r="N469" s="33" t="inlineStr"/>
      <c r="O469" s="43" t="inlineStr">
        <is>
          <t>UNVERIFIED</t>
        </is>
      </c>
      <c r="P469" s="43" t="inlineStr">
        <is>
          <t>Pending Review</t>
        </is>
      </c>
      <c r="Q469" s="33" t="inlineStr">
        <is>
          <t>Confirmar SKU/PCBA revision, PN exacto en Common DB, WO, BU, vigencia, planta y aprobacion firmada.</t>
        </is>
      </c>
    </row>
    <row r="470">
      <c r="A470" s="43" t="inlineStr">
        <is>
          <t>CTANJZ04782</t>
        </is>
      </c>
      <c r="B470" s="43" t="inlineStr">
        <is>
          <t>D605645</t>
        </is>
      </c>
      <c r="C470" s="43" t="inlineStr">
        <is>
          <t>037-STBU</t>
        </is>
      </c>
      <c r="D470" s="43" t="inlineStr">
        <is>
          <t>FJZP</t>
        </is>
      </c>
      <c r="E470" s="43" t="inlineStr">
        <is>
          <t>MCGA</t>
        </is>
      </c>
      <c r="F470" s="43" t="inlineStr">
        <is>
          <t>68-7253-05</t>
        </is>
      </c>
      <c r="G470" s="43" t="inlineStr">
        <is>
          <t>OTHER_SCOPE_ITEM</t>
        </is>
      </c>
      <c r="H470" s="43" t="inlineStr"/>
      <c r="I470" s="43" t="inlineStr">
        <is>
          <t>Expired</t>
        </is>
      </c>
      <c r="J470" s="32" t="n">
        <v>45979</v>
      </c>
      <c r="K470" s="32" t="n">
        <v>45898</v>
      </c>
      <c r="L470" s="43" t="inlineStr">
        <is>
          <t>883</t>
        </is>
      </c>
      <c r="M470" s="43" t="n">
        <v>1</v>
      </c>
      <c r="N470" s="33" t="inlineStr"/>
      <c r="O470" s="43" t="inlineStr">
        <is>
          <t>UNVERIFIED</t>
        </is>
      </c>
      <c r="P470" s="43" t="inlineStr">
        <is>
          <t>Pending Review</t>
        </is>
      </c>
      <c r="Q470" s="33" t="inlineStr">
        <is>
          <t>Confirmar SKU/PCBA revision, PN exacto en Common DB, WO, BU, vigencia, planta y aprobacion firmada.</t>
        </is>
      </c>
    </row>
    <row r="471">
      <c r="A471" s="43" t="inlineStr">
        <is>
          <t>CTANJZ04782</t>
        </is>
      </c>
      <c r="B471" s="43" t="inlineStr">
        <is>
          <t>D605645</t>
        </is>
      </c>
      <c r="C471" s="43" t="inlineStr">
        <is>
          <t>037-STBU</t>
        </is>
      </c>
      <c r="D471" s="43" t="inlineStr">
        <is>
          <t>FJZP</t>
        </is>
      </c>
      <c r="E471" s="43" t="inlineStr">
        <is>
          <t>MCGA</t>
        </is>
      </c>
      <c r="F471" s="43" t="inlineStr">
        <is>
          <t>68-7254-05</t>
        </is>
      </c>
      <c r="G471" s="43" t="inlineStr">
        <is>
          <t>OTHER_SCOPE_ITEM</t>
        </is>
      </c>
      <c r="H471" s="43" t="inlineStr"/>
      <c r="I471" s="43" t="inlineStr">
        <is>
          <t>Expired</t>
        </is>
      </c>
      <c r="J471" s="32" t="n">
        <v>45979</v>
      </c>
      <c r="K471" s="32" t="n">
        <v>45898</v>
      </c>
      <c r="L471" s="43" t="inlineStr">
        <is>
          <t>1021</t>
        </is>
      </c>
      <c r="M471" s="43" t="n">
        <v>1</v>
      </c>
      <c r="N471" s="33" t="inlineStr"/>
      <c r="O471" s="43" t="inlineStr">
        <is>
          <t>UNVERIFIED</t>
        </is>
      </c>
      <c r="P471" s="43" t="inlineStr">
        <is>
          <t>Pending Review</t>
        </is>
      </c>
      <c r="Q471" s="33" t="inlineStr">
        <is>
          <t>Confirmar SKU/PCBA revision, PN exacto en Common DB, WO, BU, vigencia, planta y aprobacion firmada.</t>
        </is>
      </c>
    </row>
    <row r="472">
      <c r="A472" s="43" t="inlineStr">
        <is>
          <t>CTANJZ04782</t>
        </is>
      </c>
      <c r="B472" s="43" t="inlineStr">
        <is>
          <t>D605645</t>
        </is>
      </c>
      <c r="C472" s="43" t="inlineStr">
        <is>
          <t>037-STBU</t>
        </is>
      </c>
      <c r="D472" s="43" t="inlineStr">
        <is>
          <t>FJZP</t>
        </is>
      </c>
      <c r="E472" s="43" t="inlineStr">
        <is>
          <t>MCGA</t>
        </is>
      </c>
      <c r="F472" s="43" t="inlineStr">
        <is>
          <t>68-7255-05</t>
        </is>
      </c>
      <c r="G472" s="43" t="inlineStr">
        <is>
          <t>OTHER_SCOPE_ITEM</t>
        </is>
      </c>
      <c r="H472" s="43" t="inlineStr"/>
      <c r="I472" s="43" t="inlineStr">
        <is>
          <t>Expired</t>
        </is>
      </c>
      <c r="J472" s="32" t="n">
        <v>45979</v>
      </c>
      <c r="K472" s="32" t="n">
        <v>45898</v>
      </c>
      <c r="L472" s="43" t="inlineStr">
        <is>
          <t>1022</t>
        </is>
      </c>
      <c r="M472" s="43" t="n">
        <v>1</v>
      </c>
      <c r="N472" s="33" t="inlineStr"/>
      <c r="O472" s="43" t="inlineStr">
        <is>
          <t>UNVERIFIED</t>
        </is>
      </c>
      <c r="P472" s="43" t="inlineStr">
        <is>
          <t>Pending Review</t>
        </is>
      </c>
      <c r="Q472" s="33" t="inlineStr">
        <is>
          <t>Confirmar SKU/PCBA revision, PN exacto en Common DB, WO, BU, vigencia, planta y aprobacion firmada.</t>
        </is>
      </c>
    </row>
    <row r="473">
      <c r="A473" s="43" t="inlineStr">
        <is>
          <t>CTANJZ04782</t>
        </is>
      </c>
      <c r="B473" s="43" t="inlineStr">
        <is>
          <t>D605645</t>
        </is>
      </c>
      <c r="C473" s="43" t="inlineStr">
        <is>
          <t>037-STBU</t>
        </is>
      </c>
      <c r="D473" s="43" t="inlineStr">
        <is>
          <t>FJZP</t>
        </is>
      </c>
      <c r="E473" s="43" t="inlineStr">
        <is>
          <t>MCGA</t>
        </is>
      </c>
      <c r="F473" s="43" t="inlineStr">
        <is>
          <t>68-7256-05</t>
        </is>
      </c>
      <c r="G473" s="43" t="inlineStr">
        <is>
          <t>OTHER_SCOPE_ITEM</t>
        </is>
      </c>
      <c r="H473" s="43" t="inlineStr"/>
      <c r="I473" s="43" t="inlineStr">
        <is>
          <t>Expired</t>
        </is>
      </c>
      <c r="J473" s="32" t="n">
        <v>45979</v>
      </c>
      <c r="K473" s="32" t="n">
        <v>45898</v>
      </c>
      <c r="L473" s="43" t="inlineStr">
        <is>
          <t>1023</t>
        </is>
      </c>
      <c r="M473" s="43" t="n">
        <v>1</v>
      </c>
      <c r="N473" s="33" t="inlineStr"/>
      <c r="O473" s="43" t="inlineStr">
        <is>
          <t>UNVERIFIED</t>
        </is>
      </c>
      <c r="P473" s="43" t="inlineStr">
        <is>
          <t>Pending Review</t>
        </is>
      </c>
      <c r="Q473" s="33" t="inlineStr">
        <is>
          <t>Confirmar SKU/PCBA revision, PN exacto en Common DB, WO, BU, vigencia, planta y aprobacion firmada.</t>
        </is>
      </c>
    </row>
    <row r="474">
      <c r="A474" s="43" t="inlineStr">
        <is>
          <t>CTANJZ04782</t>
        </is>
      </c>
      <c r="B474" s="43" t="inlineStr">
        <is>
          <t>D605645</t>
        </is>
      </c>
      <c r="C474" s="43" t="inlineStr">
        <is>
          <t>037-STBU</t>
        </is>
      </c>
      <c r="D474" s="43" t="inlineStr">
        <is>
          <t>FJZP</t>
        </is>
      </c>
      <c r="E474" s="43" t="inlineStr">
        <is>
          <t>MCGA</t>
        </is>
      </c>
      <c r="F474" s="43" t="inlineStr">
        <is>
          <t>68-7638-02</t>
        </is>
      </c>
      <c r="G474" s="43" t="inlineStr">
        <is>
          <t>OTHER_SCOPE_ITEM</t>
        </is>
      </c>
      <c r="H474" s="43" t="inlineStr"/>
      <c r="I474" s="43" t="inlineStr">
        <is>
          <t>Expired</t>
        </is>
      </c>
      <c r="J474" s="32" t="n">
        <v>45979</v>
      </c>
      <c r="K474" s="32" t="n">
        <v>45898</v>
      </c>
      <c r="L474" s="43" t="inlineStr">
        <is>
          <t>1024</t>
        </is>
      </c>
      <c r="M474" s="43" t="n">
        <v>1</v>
      </c>
      <c r="N474" s="33" t="inlineStr"/>
      <c r="O474" s="43" t="inlineStr">
        <is>
          <t>UNVERIFIED</t>
        </is>
      </c>
      <c r="P474" s="43" t="inlineStr">
        <is>
          <t>Pending Review</t>
        </is>
      </c>
      <c r="Q474" s="33" t="inlineStr">
        <is>
          <t>Confirmar SKU/PCBA revision, PN exacto en Common DB, WO, BU, vigencia, planta y aprobacion firmada.</t>
        </is>
      </c>
    </row>
    <row r="475">
      <c r="A475" s="43" t="inlineStr">
        <is>
          <t>CTANJZ04782</t>
        </is>
      </c>
      <c r="B475" s="43" t="inlineStr">
        <is>
          <t>D605645</t>
        </is>
      </c>
      <c r="C475" s="43" t="inlineStr">
        <is>
          <t>037-STBU</t>
        </is>
      </c>
      <c r="D475" s="43" t="inlineStr">
        <is>
          <t>FJZP</t>
        </is>
      </c>
      <c r="E475" s="43" t="inlineStr">
        <is>
          <t>MCGA</t>
        </is>
      </c>
      <c r="F475" s="43" t="inlineStr">
        <is>
          <t>800-109483-01</t>
        </is>
      </c>
      <c r="G475" s="43" t="inlineStr">
        <is>
          <t>OTHER_SCOPE_ITEM</t>
        </is>
      </c>
      <c r="H475" s="43" t="inlineStr"/>
      <c r="I475" s="43" t="inlineStr">
        <is>
          <t>Expired</t>
        </is>
      </c>
      <c r="J475" s="32" t="n">
        <v>45979</v>
      </c>
      <c r="K475" s="32" t="n">
        <v>45898</v>
      </c>
      <c r="L475" s="43" t="inlineStr">
        <is>
          <t>1025</t>
        </is>
      </c>
      <c r="M475" s="43" t="n">
        <v>1</v>
      </c>
      <c r="N475" s="33" t="inlineStr"/>
      <c r="O475" s="43" t="inlineStr">
        <is>
          <t>UNVERIFIED</t>
        </is>
      </c>
      <c r="P475" s="43" t="inlineStr">
        <is>
          <t>Pending Review</t>
        </is>
      </c>
      <c r="Q475" s="33" t="inlineStr">
        <is>
          <t>Confirmar SKU/PCBA revision, PN exacto en Common DB, WO, BU, vigencia, planta y aprobacion firmada.</t>
        </is>
      </c>
    </row>
    <row r="476">
      <c r="A476" s="43" t="inlineStr">
        <is>
          <t>CTANJZ04784</t>
        </is>
      </c>
      <c r="B476" s="43" t="inlineStr">
        <is>
          <t>D605463</t>
        </is>
      </c>
      <c r="C476" s="43" t="inlineStr">
        <is>
          <t>018-SRGBU</t>
        </is>
      </c>
      <c r="D476" s="43" t="inlineStr">
        <is>
          <t>FJZP</t>
        </is>
      </c>
      <c r="E476" s="43" t="inlineStr">
        <is>
          <t>MCGA</t>
        </is>
      </c>
      <c r="F476" s="43" t="inlineStr">
        <is>
          <t>800-49316-03</t>
        </is>
      </c>
      <c r="G476" s="43" t="inlineStr">
        <is>
          <t>OTHER_SCOPE_ITEM</t>
        </is>
      </c>
      <c r="H476" s="43" t="inlineStr"/>
      <c r="I476" s="43" t="inlineStr">
        <is>
          <t>Expired</t>
        </is>
      </c>
      <c r="J476" s="32" t="n">
        <v>45979</v>
      </c>
      <c r="K476" s="32" t="n">
        <v>45896</v>
      </c>
      <c r="L476" s="43" t="inlineStr">
        <is>
          <t>53</t>
        </is>
      </c>
      <c r="M476" s="43" t="n">
        <v>1</v>
      </c>
      <c r="N476" s="33" t="inlineStr"/>
      <c r="O476" s="43" t="inlineStr">
        <is>
          <t>UNVERIFIED</t>
        </is>
      </c>
      <c r="P476" s="43" t="inlineStr">
        <is>
          <t>Pending Review</t>
        </is>
      </c>
      <c r="Q476" s="33" t="inlineStr">
        <is>
          <t>Confirmar SKU/PCBA revision, PN exacto en Common DB, WO, BU, vigencia, planta y aprobacion firmada.</t>
        </is>
      </c>
    </row>
    <row r="477">
      <c r="A477" s="43" t="inlineStr">
        <is>
          <t>CTANJZ04785</t>
        </is>
      </c>
      <c r="B477" s="43" t="inlineStr">
        <is>
          <t>D605462</t>
        </is>
      </c>
      <c r="C477" s="43" t="inlineStr">
        <is>
          <t>018-SRGBU</t>
        </is>
      </c>
      <c r="D477" s="43" t="inlineStr">
        <is>
          <t>FJZP</t>
        </is>
      </c>
      <c r="E477" s="43" t="inlineStr">
        <is>
          <t>MCGA</t>
        </is>
      </c>
      <c r="F477" s="43" t="inlineStr">
        <is>
          <t>800-49952-02</t>
        </is>
      </c>
      <c r="G477" s="43" t="inlineStr">
        <is>
          <t>OTHER_SCOPE_ITEM</t>
        </is>
      </c>
      <c r="H477" s="43" t="inlineStr"/>
      <c r="I477" s="43" t="inlineStr">
        <is>
          <t>Expired</t>
        </is>
      </c>
      <c r="J477" s="32" t="n">
        <v>45979</v>
      </c>
      <c r="K477" s="32" t="n">
        <v>45896</v>
      </c>
      <c r="L477" s="43" t="inlineStr">
        <is>
          <t>54</t>
        </is>
      </c>
      <c r="M477" s="43" t="n">
        <v>1</v>
      </c>
      <c r="N477" s="33" t="inlineStr"/>
      <c r="O477" s="43" t="inlineStr">
        <is>
          <t>UNVERIFIED</t>
        </is>
      </c>
      <c r="P477" s="43" t="inlineStr">
        <is>
          <t>Pending Review</t>
        </is>
      </c>
      <c r="Q477" s="33" t="inlineStr">
        <is>
          <t>Confirmar SKU/PCBA revision, PN exacto en Common DB, WO, BU, vigencia, planta y aprobacion firmada.</t>
        </is>
      </c>
    </row>
    <row r="478">
      <c r="A478" s="43" t="inlineStr">
        <is>
          <t>CTANJZ04787</t>
        </is>
      </c>
      <c r="B478" s="43" t="inlineStr">
        <is>
          <t>D605781</t>
        </is>
      </c>
      <c r="C478" s="43" t="inlineStr">
        <is>
          <t>035-CVEBU</t>
        </is>
      </c>
      <c r="D478" s="43" t="inlineStr">
        <is>
          <t>FJZP</t>
        </is>
      </c>
      <c r="E478" s="43" t="inlineStr">
        <is>
          <t>MCGA</t>
        </is>
      </c>
      <c r="F478" s="43" t="inlineStr">
        <is>
          <t>74-140219-01</t>
        </is>
      </c>
      <c r="G478" s="43" t="inlineStr">
        <is>
          <t>OTHER_SCOPE_ITEM</t>
        </is>
      </c>
      <c r="H478" s="43" t="inlineStr"/>
      <c r="I478" s="43" t="inlineStr">
        <is>
          <t>Expired</t>
        </is>
      </c>
      <c r="J478" s="32" t="n">
        <v>45979</v>
      </c>
      <c r="K478" s="32" t="n">
        <v>45897</v>
      </c>
      <c r="L478" s="43" t="inlineStr">
        <is>
          <t>879</t>
        </is>
      </c>
      <c r="M478" s="43" t="n">
        <v>1</v>
      </c>
      <c r="N478" s="33" t="inlineStr"/>
      <c r="O478" s="43" t="inlineStr">
        <is>
          <t>UNVERIFIED</t>
        </is>
      </c>
      <c r="P478" s="43" t="inlineStr">
        <is>
          <t>Pending Review</t>
        </is>
      </c>
      <c r="Q478" s="33" t="inlineStr">
        <is>
          <t>Confirmar SKU/PCBA revision, PN exacto en Common DB, WO, BU, vigencia, planta y aprobacion firmada.</t>
        </is>
      </c>
    </row>
    <row r="479">
      <c r="A479" s="43" t="inlineStr">
        <is>
          <t>CTANJZ04787</t>
        </is>
      </c>
      <c r="B479" s="43" t="inlineStr">
        <is>
          <t>D605781</t>
        </is>
      </c>
      <c r="C479" s="43" t="inlineStr">
        <is>
          <t>035-CVEBU</t>
        </is>
      </c>
      <c r="D479" s="43" t="inlineStr">
        <is>
          <t>FJZP</t>
        </is>
      </c>
      <c r="E479" s="43" t="inlineStr">
        <is>
          <t>MCGA</t>
        </is>
      </c>
      <c r="F479" s="43" t="inlineStr">
        <is>
          <t>74-140221-01</t>
        </is>
      </c>
      <c r="G479" s="43" t="inlineStr">
        <is>
          <t>OTHER_SCOPE_ITEM</t>
        </is>
      </c>
      <c r="H479" s="43" t="inlineStr"/>
      <c r="I479" s="43" t="inlineStr">
        <is>
          <t>Expired</t>
        </is>
      </c>
      <c r="J479" s="32" t="n">
        <v>45979</v>
      </c>
      <c r="K479" s="32" t="n">
        <v>45897</v>
      </c>
      <c r="L479" s="43" t="inlineStr">
        <is>
          <t>880</t>
        </is>
      </c>
      <c r="M479" s="43" t="n">
        <v>1</v>
      </c>
      <c r="N479" s="33" t="inlineStr"/>
      <c r="O479" s="43" t="inlineStr">
        <is>
          <t>UNVERIFIED</t>
        </is>
      </c>
      <c r="P479" s="43" t="inlineStr">
        <is>
          <t>Pending Review</t>
        </is>
      </c>
      <c r="Q479" s="33" t="inlineStr">
        <is>
          <t>Confirmar SKU/PCBA revision, PN exacto en Common DB, WO, BU, vigencia, planta y aprobacion firmada.</t>
        </is>
      </c>
    </row>
    <row r="480">
      <c r="A480" s="43" t="inlineStr">
        <is>
          <t>CTANJZ04787</t>
        </is>
      </c>
      <c r="B480" s="43" t="inlineStr">
        <is>
          <t>D605781</t>
        </is>
      </c>
      <c r="C480" s="43" t="inlineStr">
        <is>
          <t>035-CVEBU</t>
        </is>
      </c>
      <c r="D480" s="43" t="inlineStr">
        <is>
          <t>FJZP</t>
        </is>
      </c>
      <c r="E480" s="43" t="inlineStr">
        <is>
          <t>MCGA</t>
        </is>
      </c>
      <c r="F480" s="43" t="inlineStr">
        <is>
          <t>74-146086-01</t>
        </is>
      </c>
      <c r="G480" s="43" t="inlineStr">
        <is>
          <t>OTHER_SCOPE_ITEM</t>
        </is>
      </c>
      <c r="H480" s="43" t="inlineStr"/>
      <c r="I480" s="43" t="inlineStr">
        <is>
          <t>Expired</t>
        </is>
      </c>
      <c r="J480" s="32" t="n">
        <v>45979</v>
      </c>
      <c r="K480" s="32" t="n">
        <v>45897</v>
      </c>
      <c r="L480" s="43" t="inlineStr">
        <is>
          <t>881</t>
        </is>
      </c>
      <c r="M480" s="43" t="n">
        <v>1</v>
      </c>
      <c r="N480" s="33" t="inlineStr"/>
      <c r="O480" s="43" t="inlineStr">
        <is>
          <t>UNVERIFIED</t>
        </is>
      </c>
      <c r="P480" s="43" t="inlineStr">
        <is>
          <t>Pending Review</t>
        </is>
      </c>
      <c r="Q480" s="33" t="inlineStr">
        <is>
          <t>Confirmar SKU/PCBA revision, PN exacto en Common DB, WO, BU, vigencia, planta y aprobacion firmada.</t>
        </is>
      </c>
    </row>
    <row r="481">
      <c r="A481" s="43" t="inlineStr">
        <is>
          <t>CTANJZ04787</t>
        </is>
      </c>
      <c r="B481" s="43" t="inlineStr">
        <is>
          <t>D605781</t>
        </is>
      </c>
      <c r="C481" s="43" t="inlineStr">
        <is>
          <t>035-CVEBU</t>
        </is>
      </c>
      <c r="D481" s="43" t="inlineStr">
        <is>
          <t>FJZP</t>
        </is>
      </c>
      <c r="E481" s="43" t="inlineStr">
        <is>
          <t>MCGA</t>
        </is>
      </c>
      <c r="F481" s="43" t="inlineStr">
        <is>
          <t>74-146088-01</t>
        </is>
      </c>
      <c r="G481" s="43" t="inlineStr">
        <is>
          <t>OTHER_SCOPE_ITEM</t>
        </is>
      </c>
      <c r="H481" s="43" t="inlineStr"/>
      <c r="I481" s="43" t="inlineStr">
        <is>
          <t>Expired</t>
        </is>
      </c>
      <c r="J481" s="32" t="n">
        <v>45979</v>
      </c>
      <c r="K481" s="32" t="n">
        <v>45897</v>
      </c>
      <c r="L481" s="43" t="inlineStr">
        <is>
          <t>882</t>
        </is>
      </c>
      <c r="M481" s="43" t="n">
        <v>1</v>
      </c>
      <c r="N481" s="33" t="inlineStr"/>
      <c r="O481" s="43" t="inlineStr">
        <is>
          <t>UNVERIFIED</t>
        </is>
      </c>
      <c r="P481" s="43" t="inlineStr">
        <is>
          <t>Pending Review</t>
        </is>
      </c>
      <c r="Q481" s="33" t="inlineStr">
        <is>
          <t>Confirmar SKU/PCBA revision, PN exacto en Common DB, WO, BU, vigencia, planta y aprobacion firmada.</t>
        </is>
      </c>
    </row>
    <row r="482">
      <c r="A482" s="43" t="inlineStr">
        <is>
          <t>CTANJZ04801</t>
        </is>
      </c>
      <c r="B482" s="43" t="inlineStr">
        <is>
          <t>D605868</t>
        </is>
      </c>
      <c r="C482" s="43" t="inlineStr">
        <is>
          <t>035-CVEBU</t>
        </is>
      </c>
      <c r="D482" s="43" t="inlineStr">
        <is>
          <t>FJZP</t>
        </is>
      </c>
      <c r="E482" s="43" t="inlineStr">
        <is>
          <t>MCGA</t>
        </is>
      </c>
      <c r="F482" s="43" t="inlineStr">
        <is>
          <t>11-101945-01</t>
        </is>
      </c>
      <c r="G482" s="43" t="inlineStr">
        <is>
          <t>OTHER_SCOPE_ITEM</t>
        </is>
      </c>
      <c r="H482" s="43" t="inlineStr"/>
      <c r="I482" s="43" t="inlineStr">
        <is>
          <t>Expired</t>
        </is>
      </c>
      <c r="J482" s="32" t="n">
        <v>45991</v>
      </c>
      <c r="K482" s="32" t="n">
        <v>45917</v>
      </c>
      <c r="L482" s="43" t="inlineStr">
        <is>
          <t>403</t>
        </is>
      </c>
      <c r="M482" s="43" t="n">
        <v>1</v>
      </c>
      <c r="N482" s="33" t="inlineStr"/>
      <c r="O482" s="43" t="inlineStr">
        <is>
          <t>UNVERIFIED</t>
        </is>
      </c>
      <c r="P482" s="43" t="inlineStr">
        <is>
          <t>Pending Review</t>
        </is>
      </c>
      <c r="Q482" s="33" t="inlineStr">
        <is>
          <t>Confirmar SKU/PCBA revision, PN exacto en Common DB, WO, BU, vigencia, planta y aprobacion firmada.</t>
        </is>
      </c>
    </row>
    <row r="483">
      <c r="A483" s="43" t="inlineStr">
        <is>
          <t>CTANJZ04801</t>
        </is>
      </c>
      <c r="B483" s="43" t="inlineStr">
        <is>
          <t>D605868</t>
        </is>
      </c>
      <c r="C483" s="43" t="inlineStr">
        <is>
          <t>035-CVEBU</t>
        </is>
      </c>
      <c r="D483" s="43" t="inlineStr">
        <is>
          <t>FJZP</t>
        </is>
      </c>
      <c r="E483" s="43" t="inlineStr">
        <is>
          <t>MCGA</t>
        </is>
      </c>
      <c r="F483" s="43" t="inlineStr">
        <is>
          <t>11-3700-01</t>
        </is>
      </c>
      <c r="G483" s="43" t="inlineStr">
        <is>
          <t>OTHER_SCOPE_ITEM</t>
        </is>
      </c>
      <c r="H483" s="43" t="inlineStr"/>
      <c r="I483" s="43" t="inlineStr">
        <is>
          <t>Expired</t>
        </is>
      </c>
      <c r="J483" s="32" t="n">
        <v>45991</v>
      </c>
      <c r="K483" s="32" t="n">
        <v>45917</v>
      </c>
      <c r="L483" s="43" t="inlineStr">
        <is>
          <t>404</t>
        </is>
      </c>
      <c r="M483" s="43" t="n">
        <v>1</v>
      </c>
      <c r="N483" s="33" t="inlineStr"/>
      <c r="O483" s="43" t="inlineStr">
        <is>
          <t>UNVERIFIED</t>
        </is>
      </c>
      <c r="P483" s="43" t="inlineStr">
        <is>
          <t>Pending Review</t>
        </is>
      </c>
      <c r="Q483" s="33" t="inlineStr">
        <is>
          <t>Confirmar SKU/PCBA revision, PN exacto en Common DB, WO, BU, vigencia, planta y aprobacion firmada.</t>
        </is>
      </c>
    </row>
    <row r="484">
      <c r="A484" s="43" t="inlineStr">
        <is>
          <t>CTANJZ04801</t>
        </is>
      </c>
      <c r="B484" s="43" t="inlineStr">
        <is>
          <t>D605868</t>
        </is>
      </c>
      <c r="C484" s="43" t="inlineStr">
        <is>
          <t>035-CVEBU</t>
        </is>
      </c>
      <c r="D484" s="43" t="inlineStr">
        <is>
          <t>FJZP</t>
        </is>
      </c>
      <c r="E484" s="43" t="inlineStr">
        <is>
          <t>MCGA</t>
        </is>
      </c>
      <c r="F484" s="43" t="inlineStr">
        <is>
          <t>73-103720-04</t>
        </is>
      </c>
      <c r="G484" s="43" t="inlineStr">
        <is>
          <t>BOARD_PN_CANDIDATE</t>
        </is>
      </c>
      <c r="H484" s="43" t="inlineStr"/>
      <c r="I484" s="43" t="inlineStr">
        <is>
          <t>Expired</t>
        </is>
      </c>
      <c r="J484" s="32" t="n">
        <v>45991</v>
      </c>
      <c r="K484" s="32" t="n">
        <v>45917</v>
      </c>
      <c r="L484" s="43" t="inlineStr">
        <is>
          <t>405</t>
        </is>
      </c>
      <c r="M484" s="43" t="n">
        <v>1</v>
      </c>
      <c r="N484" s="33" t="inlineStr"/>
      <c r="O484" s="43" t="inlineStr">
        <is>
          <t>UNVERIFIED</t>
        </is>
      </c>
      <c r="P484" s="43" t="inlineStr">
        <is>
          <t>Pending Review</t>
        </is>
      </c>
      <c r="Q484" s="33" t="inlineStr">
        <is>
          <t>Confirmar SKU/PCBA revision, PN exacto en Common DB, WO, BU, vigencia, planta y aprobacion firmada.</t>
        </is>
      </c>
    </row>
    <row r="485">
      <c r="A485" s="43" t="inlineStr">
        <is>
          <t>CTANJZ04801</t>
        </is>
      </c>
      <c r="B485" s="43" t="inlineStr">
        <is>
          <t>D605868</t>
        </is>
      </c>
      <c r="C485" s="43" t="inlineStr">
        <is>
          <t>035-CVEBU</t>
        </is>
      </c>
      <c r="D485" s="43" t="inlineStr">
        <is>
          <t>FJZP</t>
        </is>
      </c>
      <c r="E485" s="43" t="inlineStr">
        <is>
          <t>MCGA</t>
        </is>
      </c>
      <c r="F485" s="43" t="inlineStr">
        <is>
          <t>73-103820-04</t>
        </is>
      </c>
      <c r="G485" s="43" t="inlineStr">
        <is>
          <t>BOARD_PN_CANDIDATE</t>
        </is>
      </c>
      <c r="H485" s="43" t="inlineStr"/>
      <c r="I485" s="43" t="inlineStr">
        <is>
          <t>Expired</t>
        </is>
      </c>
      <c r="J485" s="32" t="n">
        <v>45991</v>
      </c>
      <c r="K485" s="32" t="n">
        <v>45917</v>
      </c>
      <c r="L485" s="43" t="inlineStr">
        <is>
          <t>406</t>
        </is>
      </c>
      <c r="M485" s="43" t="n">
        <v>1</v>
      </c>
      <c r="N485" s="33" t="inlineStr"/>
      <c r="O485" s="43" t="inlineStr">
        <is>
          <t>UNVERIFIED</t>
        </is>
      </c>
      <c r="P485" s="43" t="inlineStr">
        <is>
          <t>Pending Review</t>
        </is>
      </c>
      <c r="Q485" s="33" t="inlineStr">
        <is>
          <t>Confirmar SKU/PCBA revision, PN exacto en Common DB, WO, BU, vigencia, planta y aprobacion firmada.</t>
        </is>
      </c>
    </row>
    <row r="486">
      <c r="A486" s="43" t="inlineStr">
        <is>
          <t>CTANJZ04801</t>
        </is>
      </c>
      <c r="B486" s="43" t="inlineStr">
        <is>
          <t>D605868</t>
        </is>
      </c>
      <c r="C486" s="43" t="inlineStr">
        <is>
          <t>035-CVEBU</t>
        </is>
      </c>
      <c r="D486" s="43" t="inlineStr">
        <is>
          <t>FJZP</t>
        </is>
      </c>
      <c r="E486" s="43" t="inlineStr">
        <is>
          <t>MCGA</t>
        </is>
      </c>
      <c r="F486" s="43" t="inlineStr">
        <is>
          <t>73-103920-04</t>
        </is>
      </c>
      <c r="G486" s="43" t="inlineStr">
        <is>
          <t>BOARD_PN_CANDIDATE</t>
        </is>
      </c>
      <c r="H486" s="43" t="inlineStr"/>
      <c r="I486" s="43" t="inlineStr">
        <is>
          <t>Expired</t>
        </is>
      </c>
      <c r="J486" s="32" t="n">
        <v>45991</v>
      </c>
      <c r="K486" s="32" t="n">
        <v>45917</v>
      </c>
      <c r="L486" s="43" t="inlineStr">
        <is>
          <t>407</t>
        </is>
      </c>
      <c r="M486" s="43" t="n">
        <v>1</v>
      </c>
      <c r="N486" s="33" t="inlineStr"/>
      <c r="O486" s="43" t="inlineStr">
        <is>
          <t>UNVERIFIED</t>
        </is>
      </c>
      <c r="P486" s="43" t="inlineStr">
        <is>
          <t>Pending Review</t>
        </is>
      </c>
      <c r="Q486" s="33" t="inlineStr">
        <is>
          <t>Confirmar SKU/PCBA revision, PN exacto en Common DB, WO, BU, vigencia, planta y aprobacion firmada.</t>
        </is>
      </c>
    </row>
    <row r="487">
      <c r="A487" s="43" t="inlineStr">
        <is>
          <t>CTANJZ04801</t>
        </is>
      </c>
      <c r="B487" s="43" t="inlineStr">
        <is>
          <t>D605868</t>
        </is>
      </c>
      <c r="C487" s="43" t="inlineStr">
        <is>
          <t>035-CVEBU</t>
        </is>
      </c>
      <c r="D487" s="43" t="inlineStr">
        <is>
          <t>FJZP</t>
        </is>
      </c>
      <c r="E487" s="43" t="inlineStr">
        <is>
          <t>MCGA</t>
        </is>
      </c>
      <c r="F487" s="43" t="inlineStr">
        <is>
          <t>73-103922-04</t>
        </is>
      </c>
      <c r="G487" s="43" t="inlineStr">
        <is>
          <t>BOARD_PN_CANDIDATE</t>
        </is>
      </c>
      <c r="H487" s="43" t="inlineStr"/>
      <c r="I487" s="43" t="inlineStr">
        <is>
          <t>Expired</t>
        </is>
      </c>
      <c r="J487" s="32" t="n">
        <v>45991</v>
      </c>
      <c r="K487" s="32" t="n">
        <v>45917</v>
      </c>
      <c r="L487" s="43" t="inlineStr">
        <is>
          <t>408</t>
        </is>
      </c>
      <c r="M487" s="43" t="n">
        <v>1</v>
      </c>
      <c r="N487" s="33" t="inlineStr"/>
      <c r="O487" s="43" t="inlineStr">
        <is>
          <t>UNVERIFIED</t>
        </is>
      </c>
      <c r="P487" s="43" t="inlineStr">
        <is>
          <t>Pending Review</t>
        </is>
      </c>
      <c r="Q487" s="33" t="inlineStr">
        <is>
          <t>Confirmar SKU/PCBA revision, PN exacto en Common DB, WO, BU, vigencia, planta y aprobacion firmada.</t>
        </is>
      </c>
    </row>
    <row r="488">
      <c r="A488" s="43" t="inlineStr">
        <is>
          <t>CTANJZ04802</t>
        </is>
      </c>
      <c r="B488" s="43" t="inlineStr">
        <is>
          <t>D605759</t>
        </is>
      </c>
      <c r="C488" s="43" t="inlineStr">
        <is>
          <t>034-IOTBU</t>
        </is>
      </c>
      <c r="D488" s="43" t="inlineStr">
        <is>
          <t>FJZP</t>
        </is>
      </c>
      <c r="E488" s="43" t="inlineStr">
        <is>
          <t>MCGA</t>
        </is>
      </c>
      <c r="F488" s="43" t="inlineStr">
        <is>
          <t>11-101911-01</t>
        </is>
      </c>
      <c r="G488" s="43" t="inlineStr">
        <is>
          <t>OTHER_SCOPE_ITEM</t>
        </is>
      </c>
      <c r="H488" s="43" t="inlineStr"/>
      <c r="I488" s="43" t="inlineStr">
        <is>
          <t>Expired</t>
        </is>
      </c>
      <c r="J488" s="32" t="n">
        <v>45993</v>
      </c>
      <c r="K488" s="32" t="n">
        <v>45918</v>
      </c>
      <c r="L488" s="43" t="inlineStr">
        <is>
          <t>516</t>
        </is>
      </c>
      <c r="M488" s="43" t="n">
        <v>1</v>
      </c>
      <c r="N488" s="33" t="inlineStr"/>
      <c r="O488" s="43" t="inlineStr">
        <is>
          <t>UNVERIFIED</t>
        </is>
      </c>
      <c r="P488" s="43" t="inlineStr">
        <is>
          <t>Pending Review</t>
        </is>
      </c>
      <c r="Q488" s="33" t="inlineStr">
        <is>
          <t>Confirmar SKU/PCBA revision, PN exacto en Common DB, WO, BU, vigencia, planta y aprobacion firmada.</t>
        </is>
      </c>
    </row>
    <row r="489">
      <c r="A489" s="43" t="inlineStr">
        <is>
          <t>CTANJZ04805</t>
        </is>
      </c>
      <c r="B489" s="43" t="inlineStr">
        <is>
          <t>D605923</t>
        </is>
      </c>
      <c r="C489" s="43" t="inlineStr">
        <is>
          <t>035-CVEBU</t>
        </is>
      </c>
      <c r="D489" s="43" t="inlineStr">
        <is>
          <t>FJZP</t>
        </is>
      </c>
      <c r="E489" s="43" t="inlineStr">
        <is>
          <t>MCGA</t>
        </is>
      </c>
      <c r="F489" s="43" t="inlineStr">
        <is>
          <t>74-126086-02</t>
        </is>
      </c>
      <c r="G489" s="43" t="inlineStr">
        <is>
          <t>OTHER_SCOPE_ITEM</t>
        </is>
      </c>
      <c r="H489" s="43" t="inlineStr"/>
      <c r="I489" s="43" t="inlineStr">
        <is>
          <t>Expired</t>
        </is>
      </c>
      <c r="J489" s="32" t="n">
        <v>45994</v>
      </c>
      <c r="K489" s="32" t="n">
        <v>45918</v>
      </c>
      <c r="L489" s="43" t="inlineStr">
        <is>
          <t>885</t>
        </is>
      </c>
      <c r="M489" s="43" t="n">
        <v>1</v>
      </c>
      <c r="N489" s="33" t="inlineStr"/>
      <c r="O489" s="43" t="inlineStr">
        <is>
          <t>UNVERIFIED</t>
        </is>
      </c>
      <c r="P489" s="43" t="inlineStr">
        <is>
          <t>Pending Review</t>
        </is>
      </c>
      <c r="Q489" s="33" t="inlineStr">
        <is>
          <t>Confirmar SKU/PCBA revision, PN exacto en Common DB, WO, BU, vigencia, planta y aprobacion firmada.</t>
        </is>
      </c>
    </row>
    <row r="490">
      <c r="A490" s="43" t="inlineStr">
        <is>
          <t>CTANJZ04806</t>
        </is>
      </c>
      <c r="B490" s="43" t="inlineStr">
        <is>
          <t>D605896</t>
        </is>
      </c>
      <c r="C490" s="43" t="inlineStr">
        <is>
          <t>037-STBU</t>
        </is>
      </c>
      <c r="D490" s="43" t="inlineStr">
        <is>
          <t>FJZP</t>
        </is>
      </c>
      <c r="E490" s="43" t="inlineStr">
        <is>
          <t>MCGA</t>
        </is>
      </c>
      <c r="F490" s="43" t="inlineStr">
        <is>
          <t>73-18488-07</t>
        </is>
      </c>
      <c r="G490" s="43" t="inlineStr">
        <is>
          <t>BOARD_PN_CANDIDATE</t>
        </is>
      </c>
      <c r="H490" s="43" t="inlineStr"/>
      <c r="I490" s="43" t="inlineStr">
        <is>
          <t>Expired</t>
        </is>
      </c>
      <c r="J490" s="32" t="n">
        <v>45994</v>
      </c>
      <c r="K490" s="32" t="n">
        <v>45929</v>
      </c>
      <c r="L490" s="43" t="inlineStr">
        <is>
          <t>844</t>
        </is>
      </c>
      <c r="M490" s="43" t="n">
        <v>1</v>
      </c>
      <c r="N490" s="33" t="inlineStr"/>
      <c r="O490" s="43" t="inlineStr">
        <is>
          <t>UNVERIFIED</t>
        </is>
      </c>
      <c r="P490" s="43" t="inlineStr">
        <is>
          <t>Pending Review</t>
        </is>
      </c>
      <c r="Q490" s="33" t="inlineStr">
        <is>
          <t>Confirmar SKU/PCBA revision, PN exacto en Common DB, WO, BU, vigencia, planta y aprobacion firmada.</t>
        </is>
      </c>
    </row>
    <row r="491">
      <c r="A491" s="43" t="inlineStr">
        <is>
          <t>CTANJZ04806</t>
        </is>
      </c>
      <c r="B491" s="43" t="inlineStr">
        <is>
          <t>D605896</t>
        </is>
      </c>
      <c r="C491" s="43" t="inlineStr">
        <is>
          <t>037-STBU</t>
        </is>
      </c>
      <c r="D491" s="43" t="inlineStr">
        <is>
          <t>FJZP</t>
        </is>
      </c>
      <c r="E491" s="43" t="inlineStr">
        <is>
          <t>MCGA</t>
        </is>
      </c>
      <c r="F491" s="43" t="inlineStr">
        <is>
          <t>73-18489-07</t>
        </is>
      </c>
      <c r="G491" s="43" t="inlineStr">
        <is>
          <t>BOARD_PN_CANDIDATE</t>
        </is>
      </c>
      <c r="H491" s="43" t="inlineStr"/>
      <c r="I491" s="43" t="inlineStr">
        <is>
          <t>Expired</t>
        </is>
      </c>
      <c r="J491" s="32" t="n">
        <v>45994</v>
      </c>
      <c r="K491" s="32" t="n">
        <v>45929</v>
      </c>
      <c r="L491" s="43" t="inlineStr">
        <is>
          <t>845</t>
        </is>
      </c>
      <c r="M491" s="43" t="n">
        <v>1</v>
      </c>
      <c r="N491" s="33" t="inlineStr"/>
      <c r="O491" s="43" t="inlineStr">
        <is>
          <t>UNVERIFIED</t>
        </is>
      </c>
      <c r="P491" s="43" t="inlineStr">
        <is>
          <t>Pending Review</t>
        </is>
      </c>
      <c r="Q491" s="33" t="inlineStr">
        <is>
          <t>Confirmar SKU/PCBA revision, PN exacto en Common DB, WO, BU, vigencia, planta y aprobacion firmada.</t>
        </is>
      </c>
    </row>
    <row r="492">
      <c r="A492" s="43" t="inlineStr">
        <is>
          <t>CTANJZ04806</t>
        </is>
      </c>
      <c r="B492" s="43" t="inlineStr">
        <is>
          <t>D605896</t>
        </is>
      </c>
      <c r="C492" s="43" t="inlineStr">
        <is>
          <t>037-STBU</t>
        </is>
      </c>
      <c r="D492" s="43" t="inlineStr">
        <is>
          <t>FJZP</t>
        </is>
      </c>
      <c r="E492" s="43" t="inlineStr">
        <is>
          <t>MCGA</t>
        </is>
      </c>
      <c r="F492" s="43" t="inlineStr">
        <is>
          <t>73-18490-09</t>
        </is>
      </c>
      <c r="G492" s="43" t="inlineStr">
        <is>
          <t>BOARD_PN_CANDIDATE</t>
        </is>
      </c>
      <c r="H492" s="43" t="inlineStr"/>
      <c r="I492" s="43" t="inlineStr">
        <is>
          <t>Expired</t>
        </is>
      </c>
      <c r="J492" s="32" t="n">
        <v>45994</v>
      </c>
      <c r="K492" s="32" t="n">
        <v>45929</v>
      </c>
      <c r="L492" s="43" t="inlineStr">
        <is>
          <t>846</t>
        </is>
      </c>
      <c r="M492" s="43" t="n">
        <v>1</v>
      </c>
      <c r="N492" s="33" t="inlineStr"/>
      <c r="O492" s="43" t="inlineStr">
        <is>
          <t>UNVERIFIED</t>
        </is>
      </c>
      <c r="P492" s="43" t="inlineStr">
        <is>
          <t>Pending Review</t>
        </is>
      </c>
      <c r="Q492" s="33" t="inlineStr">
        <is>
          <t>Confirmar SKU/PCBA revision, PN exacto en Common DB, WO, BU, vigencia, planta y aprobacion firmada.</t>
        </is>
      </c>
    </row>
    <row r="493">
      <c r="A493" s="43" t="inlineStr">
        <is>
          <t>CTANJZ04806</t>
        </is>
      </c>
      <c r="B493" s="43" t="inlineStr">
        <is>
          <t>D605896</t>
        </is>
      </c>
      <c r="C493" s="43" t="inlineStr">
        <is>
          <t>037-STBU</t>
        </is>
      </c>
      <c r="D493" s="43" t="inlineStr">
        <is>
          <t>FJZP</t>
        </is>
      </c>
      <c r="E493" s="43" t="inlineStr">
        <is>
          <t>MCGA</t>
        </is>
      </c>
      <c r="F493" s="43" t="inlineStr">
        <is>
          <t>73-21007-02</t>
        </is>
      </c>
      <c r="G493" s="43" t="inlineStr">
        <is>
          <t>BOARD_PN_CANDIDATE</t>
        </is>
      </c>
      <c r="H493" s="43" t="inlineStr"/>
      <c r="I493" s="43" t="inlineStr">
        <is>
          <t>Expired</t>
        </is>
      </c>
      <c r="J493" s="32" t="n">
        <v>45994</v>
      </c>
      <c r="K493" s="32" t="n">
        <v>45929</v>
      </c>
      <c r="L493" s="43" t="inlineStr">
        <is>
          <t>847</t>
        </is>
      </c>
      <c r="M493" s="43" t="n">
        <v>1</v>
      </c>
      <c r="N493" s="33" t="inlineStr"/>
      <c r="O493" s="43" t="inlineStr">
        <is>
          <t>UNVERIFIED</t>
        </is>
      </c>
      <c r="P493" s="43" t="inlineStr">
        <is>
          <t>Pending Review</t>
        </is>
      </c>
      <c r="Q493" s="33" t="inlineStr">
        <is>
          <t>Confirmar SKU/PCBA revision, PN exacto en Common DB, WO, BU, vigencia, planta y aprobacion firmada.</t>
        </is>
      </c>
    </row>
    <row r="494">
      <c r="A494" s="43" t="inlineStr">
        <is>
          <t>CTANJZ04806</t>
        </is>
      </c>
      <c r="B494" s="43" t="inlineStr">
        <is>
          <t>D605896</t>
        </is>
      </c>
      <c r="C494" s="43" t="inlineStr">
        <is>
          <t>037-STBU</t>
        </is>
      </c>
      <c r="D494" s="43" t="inlineStr">
        <is>
          <t>FJZP</t>
        </is>
      </c>
      <c r="E494" s="43" t="inlineStr">
        <is>
          <t>MCGA</t>
        </is>
      </c>
      <c r="F494" s="43" t="inlineStr">
        <is>
          <t>800-104476-07</t>
        </is>
      </c>
      <c r="G494" s="43" t="inlineStr">
        <is>
          <t>OTHER_SCOPE_ITEM</t>
        </is>
      </c>
      <c r="H494" s="43" t="inlineStr"/>
      <c r="I494" s="43" t="inlineStr">
        <is>
          <t>Expired</t>
        </is>
      </c>
      <c r="J494" s="32" t="n">
        <v>45994</v>
      </c>
      <c r="K494" s="32" t="n">
        <v>45929</v>
      </c>
      <c r="L494" s="43" t="inlineStr">
        <is>
          <t>848</t>
        </is>
      </c>
      <c r="M494" s="43" t="n">
        <v>1</v>
      </c>
      <c r="N494" s="33" t="inlineStr"/>
      <c r="O494" s="43" t="inlineStr">
        <is>
          <t>UNVERIFIED</t>
        </is>
      </c>
      <c r="P494" s="43" t="inlineStr">
        <is>
          <t>Pending Review</t>
        </is>
      </c>
      <c r="Q494" s="33" t="inlineStr">
        <is>
          <t>Confirmar SKU/PCBA revision, PN exacto en Common DB, WO, BU, vigencia, planta y aprobacion firmada.</t>
        </is>
      </c>
    </row>
    <row r="495">
      <c r="A495" s="43" t="inlineStr">
        <is>
          <t>CTANJZ04806</t>
        </is>
      </c>
      <c r="B495" s="43" t="inlineStr">
        <is>
          <t>D605896</t>
        </is>
      </c>
      <c r="C495" s="43" t="inlineStr">
        <is>
          <t>037-STBU</t>
        </is>
      </c>
      <c r="D495" s="43" t="inlineStr">
        <is>
          <t>FJZP</t>
        </is>
      </c>
      <c r="E495" s="43" t="inlineStr">
        <is>
          <t>MCGA</t>
        </is>
      </c>
      <c r="F495" s="43" t="inlineStr">
        <is>
          <t>800-104788-03</t>
        </is>
      </c>
      <c r="G495" s="43" t="inlineStr">
        <is>
          <t>OTHER_SCOPE_ITEM</t>
        </is>
      </c>
      <c r="H495" s="43" t="inlineStr"/>
      <c r="I495" s="43" t="inlineStr">
        <is>
          <t>Expired</t>
        </is>
      </c>
      <c r="J495" s="32" t="n">
        <v>45994</v>
      </c>
      <c r="K495" s="32" t="n">
        <v>45929</v>
      </c>
      <c r="L495" s="43" t="inlineStr">
        <is>
          <t>849</t>
        </is>
      </c>
      <c r="M495" s="43" t="n">
        <v>1</v>
      </c>
      <c r="N495" s="33" t="inlineStr"/>
      <c r="O495" s="43" t="inlineStr">
        <is>
          <t>UNVERIFIED</t>
        </is>
      </c>
      <c r="P495" s="43" t="inlineStr">
        <is>
          <t>Pending Review</t>
        </is>
      </c>
      <c r="Q495" s="33" t="inlineStr">
        <is>
          <t>Confirmar SKU/PCBA revision, PN exacto en Common DB, WO, BU, vigencia, planta y aprobacion firmada.</t>
        </is>
      </c>
    </row>
    <row r="496">
      <c r="A496" s="43" t="inlineStr">
        <is>
          <t>CTANJZ04806</t>
        </is>
      </c>
      <c r="B496" s="43" t="inlineStr">
        <is>
          <t>D605896</t>
        </is>
      </c>
      <c r="C496" s="43" t="inlineStr">
        <is>
          <t>037-STBU</t>
        </is>
      </c>
      <c r="D496" s="43" t="inlineStr">
        <is>
          <t>FJZP</t>
        </is>
      </c>
      <c r="E496" s="43" t="inlineStr">
        <is>
          <t>MCGA</t>
        </is>
      </c>
      <c r="F496" s="43" t="inlineStr">
        <is>
          <t>800-104789-03</t>
        </is>
      </c>
      <c r="G496" s="43" t="inlineStr">
        <is>
          <t>OTHER_SCOPE_ITEM</t>
        </is>
      </c>
      <c r="H496" s="43" t="inlineStr"/>
      <c r="I496" s="43" t="inlineStr">
        <is>
          <t>Expired</t>
        </is>
      </c>
      <c r="J496" s="32" t="n">
        <v>45994</v>
      </c>
      <c r="K496" s="32" t="n">
        <v>45929</v>
      </c>
      <c r="L496" s="43" t="inlineStr">
        <is>
          <t>850</t>
        </is>
      </c>
      <c r="M496" s="43" t="n">
        <v>1</v>
      </c>
      <c r="N496" s="33" t="inlineStr"/>
      <c r="O496" s="43" t="inlineStr">
        <is>
          <t>UNVERIFIED</t>
        </is>
      </c>
      <c r="P496" s="43" t="inlineStr">
        <is>
          <t>Pending Review</t>
        </is>
      </c>
      <c r="Q496" s="33" t="inlineStr">
        <is>
          <t>Confirmar SKU/PCBA revision, PN exacto en Common DB, WO, BU, vigencia, planta y aprobacion firmada.</t>
        </is>
      </c>
    </row>
    <row r="497">
      <c r="A497" s="43" t="inlineStr">
        <is>
          <t>CTANJZ04806</t>
        </is>
      </c>
      <c r="B497" s="43" t="inlineStr">
        <is>
          <t>D605896</t>
        </is>
      </c>
      <c r="C497" s="43" t="inlineStr">
        <is>
          <t>037-STBU</t>
        </is>
      </c>
      <c r="D497" s="43" t="inlineStr">
        <is>
          <t>FJZP</t>
        </is>
      </c>
      <c r="E497" s="43" t="inlineStr">
        <is>
          <t>MCGA</t>
        </is>
      </c>
      <c r="F497" s="43" t="inlineStr">
        <is>
          <t>800-106375-02</t>
        </is>
      </c>
      <c r="G497" s="43" t="inlineStr">
        <is>
          <t>OTHER_SCOPE_ITEM</t>
        </is>
      </c>
      <c r="H497" s="43" t="inlineStr"/>
      <c r="I497" s="43" t="inlineStr">
        <is>
          <t>Expired</t>
        </is>
      </c>
      <c r="J497" s="32" t="n">
        <v>45994</v>
      </c>
      <c r="K497" s="32" t="n">
        <v>45929</v>
      </c>
      <c r="L497" s="43" t="inlineStr">
        <is>
          <t>851</t>
        </is>
      </c>
      <c r="M497" s="43" t="n">
        <v>1</v>
      </c>
      <c r="N497" s="33" t="inlineStr"/>
      <c r="O497" s="43" t="inlineStr">
        <is>
          <t>UNVERIFIED</t>
        </is>
      </c>
      <c r="P497" s="43" t="inlineStr">
        <is>
          <t>Pending Review</t>
        </is>
      </c>
      <c r="Q497" s="33" t="inlineStr">
        <is>
          <t>Confirmar SKU/PCBA revision, PN exacto en Common DB, WO, BU, vigencia, planta y aprobacion firmada.</t>
        </is>
      </c>
    </row>
    <row r="498">
      <c r="A498" s="43" t="inlineStr">
        <is>
          <t>CTANJZ04806</t>
        </is>
      </c>
      <c r="B498" s="43" t="inlineStr">
        <is>
          <t>D605896</t>
        </is>
      </c>
      <c r="C498" s="43" t="inlineStr">
        <is>
          <t>037-STBU</t>
        </is>
      </c>
      <c r="D498" s="43" t="inlineStr">
        <is>
          <t>FJZP</t>
        </is>
      </c>
      <c r="E498" s="43" t="inlineStr">
        <is>
          <t>MCGA</t>
        </is>
      </c>
      <c r="F498" s="43" t="inlineStr">
        <is>
          <t>800-111297-01</t>
        </is>
      </c>
      <c r="G498" s="43" t="inlineStr">
        <is>
          <t>OTHER_SCOPE_ITEM</t>
        </is>
      </c>
      <c r="H498" s="43" t="inlineStr"/>
      <c r="I498" s="43" t="inlineStr">
        <is>
          <t>Expired</t>
        </is>
      </c>
      <c r="J498" s="32" t="n">
        <v>45994</v>
      </c>
      <c r="K498" s="32" t="n">
        <v>45929</v>
      </c>
      <c r="L498" s="43" t="inlineStr">
        <is>
          <t>884</t>
        </is>
      </c>
      <c r="M498" s="43" t="n">
        <v>1</v>
      </c>
      <c r="N498" s="33" t="inlineStr"/>
      <c r="O498" s="43" t="inlineStr">
        <is>
          <t>UNVERIFIED</t>
        </is>
      </c>
      <c r="P498" s="43" t="inlineStr">
        <is>
          <t>Pending Review</t>
        </is>
      </c>
      <c r="Q498" s="33" t="inlineStr">
        <is>
          <t>Confirmar SKU/PCBA revision, PN exacto en Common DB, WO, BU, vigencia, planta y aprobacion firmada.</t>
        </is>
      </c>
    </row>
    <row r="499">
      <c r="A499" s="43" t="inlineStr">
        <is>
          <t>CTANJZ04809</t>
        </is>
      </c>
      <c r="B499" s="43" t="inlineStr">
        <is>
          <t>D606156</t>
        </is>
      </c>
      <c r="C499" s="43" t="inlineStr">
        <is>
          <t>035-CVEBU</t>
        </is>
      </c>
      <c r="D499" s="43" t="inlineStr">
        <is>
          <t>FJZP</t>
        </is>
      </c>
      <c r="E499" s="43" t="inlineStr">
        <is>
          <t>MCGA</t>
        </is>
      </c>
      <c r="F499" s="43" t="inlineStr">
        <is>
          <t>800-115882-01</t>
        </is>
      </c>
      <c r="G499" s="43" t="inlineStr">
        <is>
          <t>OTHER_SCOPE_ITEM</t>
        </is>
      </c>
      <c r="H499" s="43" t="inlineStr"/>
      <c r="I499" s="43" t="inlineStr">
        <is>
          <t>Expired</t>
        </is>
      </c>
      <c r="J499" s="32" t="n">
        <v>45997</v>
      </c>
      <c r="K499" s="32" t="n">
        <v>45929</v>
      </c>
      <c r="L499" s="43" t="inlineStr">
        <is>
          <t>523</t>
        </is>
      </c>
      <c r="M499" s="43" t="n">
        <v>1</v>
      </c>
      <c r="N499" s="33" t="inlineStr"/>
      <c r="O499" s="43" t="inlineStr">
        <is>
          <t>UNVERIFIED</t>
        </is>
      </c>
      <c r="P499" s="43" t="inlineStr">
        <is>
          <t>Pending Review</t>
        </is>
      </c>
      <c r="Q499" s="33" t="inlineStr">
        <is>
          <t>Confirmar SKU/PCBA revision, PN exacto en Common DB, WO, BU, vigencia, planta y aprobacion firmada.</t>
        </is>
      </c>
    </row>
    <row r="500">
      <c r="A500" s="43" t="inlineStr">
        <is>
          <t>CTANJZ04809</t>
        </is>
      </c>
      <c r="B500" s="43" t="inlineStr">
        <is>
          <t>D606156</t>
        </is>
      </c>
      <c r="C500" s="43" t="inlineStr">
        <is>
          <t>035-CVEBU</t>
        </is>
      </c>
      <c r="D500" s="43" t="inlineStr">
        <is>
          <t>FJZP</t>
        </is>
      </c>
      <c r="E500" s="43" t="inlineStr">
        <is>
          <t>MCGA</t>
        </is>
      </c>
      <c r="F500" s="43" t="inlineStr">
        <is>
          <t>800-115884-01</t>
        </is>
      </c>
      <c r="G500" s="43" t="inlineStr">
        <is>
          <t>OTHER_SCOPE_ITEM</t>
        </is>
      </c>
      <c r="H500" s="43" t="inlineStr"/>
      <c r="I500" s="43" t="inlineStr">
        <is>
          <t>Expired</t>
        </is>
      </c>
      <c r="J500" s="32" t="n">
        <v>45997</v>
      </c>
      <c r="K500" s="32" t="n">
        <v>45929</v>
      </c>
      <c r="L500" s="43" t="inlineStr">
        <is>
          <t>524</t>
        </is>
      </c>
      <c r="M500" s="43" t="n">
        <v>1</v>
      </c>
      <c r="N500" s="33" t="inlineStr"/>
      <c r="O500" s="43" t="inlineStr">
        <is>
          <t>UNVERIFIED</t>
        </is>
      </c>
      <c r="P500" s="43" t="inlineStr">
        <is>
          <t>Pending Review</t>
        </is>
      </c>
      <c r="Q500" s="33" t="inlineStr">
        <is>
          <t>Confirmar SKU/PCBA revision, PN exacto en Common DB, WO, BU, vigencia, planta y aprobacion firmada.</t>
        </is>
      </c>
    </row>
    <row r="501">
      <c r="A501" s="43" t="inlineStr">
        <is>
          <t>CTANJZ04809</t>
        </is>
      </c>
      <c r="B501" s="43" t="inlineStr">
        <is>
          <t>D606156</t>
        </is>
      </c>
      <c r="C501" s="43" t="inlineStr">
        <is>
          <t>035-CVEBU</t>
        </is>
      </c>
      <c r="D501" s="43" t="inlineStr">
        <is>
          <t>FJZP</t>
        </is>
      </c>
      <c r="E501" s="43" t="inlineStr">
        <is>
          <t>MCGA</t>
        </is>
      </c>
      <c r="F501" s="43" t="inlineStr">
        <is>
          <t>800-126978-03</t>
        </is>
      </c>
      <c r="G501" s="43" t="inlineStr">
        <is>
          <t>OTHER_SCOPE_ITEM</t>
        </is>
      </c>
      <c r="H501" s="43" t="inlineStr"/>
      <c r="I501" s="43" t="inlineStr">
        <is>
          <t>Expired</t>
        </is>
      </c>
      <c r="J501" s="32" t="n">
        <v>45997</v>
      </c>
      <c r="K501" s="32" t="n">
        <v>45929</v>
      </c>
      <c r="L501" s="43" t="inlineStr">
        <is>
          <t>525</t>
        </is>
      </c>
      <c r="M501" s="43" t="n">
        <v>1</v>
      </c>
      <c r="N501" s="33" t="inlineStr"/>
      <c r="O501" s="43" t="inlineStr">
        <is>
          <t>UNVERIFIED</t>
        </is>
      </c>
      <c r="P501" s="43" t="inlineStr">
        <is>
          <t>Pending Review</t>
        </is>
      </c>
      <c r="Q501" s="33" t="inlineStr">
        <is>
          <t>Confirmar SKU/PCBA revision, PN exacto en Common DB, WO, BU, vigencia, planta y aprobacion firmada.</t>
        </is>
      </c>
    </row>
    <row r="502">
      <c r="A502" s="43" t="inlineStr">
        <is>
          <t>CTANJZ04810</t>
        </is>
      </c>
      <c r="B502" s="43" t="inlineStr">
        <is>
          <t>D606067</t>
        </is>
      </c>
      <c r="C502" s="43" t="inlineStr">
        <is>
          <t>037-STBU</t>
        </is>
      </c>
      <c r="D502" s="43" t="inlineStr">
        <is>
          <t>FJZP</t>
        </is>
      </c>
      <c r="E502" s="43" t="inlineStr">
        <is>
          <t>MCGA</t>
        </is>
      </c>
      <c r="F502" s="43" t="inlineStr">
        <is>
          <t>502-00002-01</t>
        </is>
      </c>
      <c r="G502" s="43" t="inlineStr">
        <is>
          <t>OTHER_SCOPE_ITEM</t>
        </is>
      </c>
      <c r="H502" s="43" t="inlineStr"/>
      <c r="I502" s="43" t="inlineStr">
        <is>
          <t>Expired</t>
        </is>
      </c>
      <c r="J502" s="32" t="n">
        <v>45998</v>
      </c>
      <c r="K502" s="32" t="n">
        <v>45930</v>
      </c>
      <c r="L502" s="43" t="inlineStr">
        <is>
          <t>1767</t>
        </is>
      </c>
      <c r="M502" s="43" t="n">
        <v>1</v>
      </c>
      <c r="N502" s="33" t="inlineStr"/>
      <c r="O502" s="43" t="inlineStr">
        <is>
          <t>UNVERIFIED</t>
        </is>
      </c>
      <c r="P502" s="43" t="inlineStr">
        <is>
          <t>Pending Review</t>
        </is>
      </c>
      <c r="Q502" s="33" t="inlineStr">
        <is>
          <t>Confirmar SKU/PCBA revision, PN exacto en Common DB, WO, BU, vigencia, planta y aprobacion firmada.</t>
        </is>
      </c>
    </row>
    <row r="503">
      <c r="A503" s="43" t="inlineStr">
        <is>
          <t>CTANJZ04810</t>
        </is>
      </c>
      <c r="B503" s="43" t="inlineStr">
        <is>
          <t>D606067</t>
        </is>
      </c>
      <c r="C503" s="43" t="inlineStr">
        <is>
          <t>037-STBU</t>
        </is>
      </c>
      <c r="D503" s="43" t="inlineStr">
        <is>
          <t>FJZP</t>
        </is>
      </c>
      <c r="E503" s="43" t="inlineStr">
        <is>
          <t>MCGA</t>
        </is>
      </c>
      <c r="F503" s="43" t="inlineStr">
        <is>
          <t>68-103464-05</t>
        </is>
      </c>
      <c r="G503" s="43" t="inlineStr">
        <is>
          <t>OTHER_SCOPE_ITEM</t>
        </is>
      </c>
      <c r="H503" s="43" t="inlineStr"/>
      <c r="I503" s="43" t="inlineStr">
        <is>
          <t>Expired</t>
        </is>
      </c>
      <c r="J503" s="32" t="n">
        <v>45998</v>
      </c>
      <c r="K503" s="32" t="n">
        <v>45930</v>
      </c>
      <c r="L503" s="43" t="inlineStr">
        <is>
          <t>1768</t>
        </is>
      </c>
      <c r="M503" s="43" t="n">
        <v>1</v>
      </c>
      <c r="N503" s="33" t="inlineStr"/>
      <c r="O503" s="43" t="inlineStr">
        <is>
          <t>UNVERIFIED</t>
        </is>
      </c>
      <c r="P503" s="43" t="inlineStr">
        <is>
          <t>Pending Review</t>
        </is>
      </c>
      <c r="Q503" s="33" t="inlineStr">
        <is>
          <t>Confirmar SKU/PCBA revision, PN exacto en Common DB, WO, BU, vigencia, planta y aprobacion firmada.</t>
        </is>
      </c>
    </row>
    <row r="504">
      <c r="A504" s="43" t="inlineStr">
        <is>
          <t>CTANJZ04810</t>
        </is>
      </c>
      <c r="B504" s="43" t="inlineStr">
        <is>
          <t>D606067</t>
        </is>
      </c>
      <c r="C504" s="43" t="inlineStr">
        <is>
          <t>037-STBU</t>
        </is>
      </c>
      <c r="D504" s="43" t="inlineStr">
        <is>
          <t>FJZP</t>
        </is>
      </c>
      <c r="E504" s="43" t="inlineStr">
        <is>
          <t>MCGA</t>
        </is>
      </c>
      <c r="F504" s="43" t="inlineStr">
        <is>
          <t>68-103465-05</t>
        </is>
      </c>
      <c r="G504" s="43" t="inlineStr">
        <is>
          <t>OTHER_SCOPE_ITEM</t>
        </is>
      </c>
      <c r="H504" s="43" t="inlineStr"/>
      <c r="I504" s="43" t="inlineStr">
        <is>
          <t>Expired</t>
        </is>
      </c>
      <c r="J504" s="32" t="n">
        <v>45998</v>
      </c>
      <c r="K504" s="32" t="n">
        <v>45930</v>
      </c>
      <c r="L504" s="43" t="inlineStr">
        <is>
          <t>1769</t>
        </is>
      </c>
      <c r="M504" s="43" t="n">
        <v>1</v>
      </c>
      <c r="N504" s="33" t="inlineStr"/>
      <c r="O504" s="43" t="inlineStr">
        <is>
          <t>UNVERIFIED</t>
        </is>
      </c>
      <c r="P504" s="43" t="inlineStr">
        <is>
          <t>Pending Review</t>
        </is>
      </c>
      <c r="Q504" s="33" t="inlineStr">
        <is>
          <t>Confirmar SKU/PCBA revision, PN exacto en Common DB, WO, BU, vigencia, planta y aprobacion firmada.</t>
        </is>
      </c>
    </row>
    <row r="505">
      <c r="A505" s="43" t="inlineStr">
        <is>
          <t>CTANJZ04810</t>
        </is>
      </c>
      <c r="B505" s="43" t="inlineStr">
        <is>
          <t>D606067</t>
        </is>
      </c>
      <c r="C505" s="43" t="inlineStr">
        <is>
          <t>037-STBU</t>
        </is>
      </c>
      <c r="D505" s="43" t="inlineStr">
        <is>
          <t>FJZP</t>
        </is>
      </c>
      <c r="E505" s="43" t="inlineStr">
        <is>
          <t>MCGA</t>
        </is>
      </c>
      <c r="F505" s="43" t="inlineStr">
        <is>
          <t>68-103466-05</t>
        </is>
      </c>
      <c r="G505" s="43" t="inlineStr">
        <is>
          <t>OTHER_SCOPE_ITEM</t>
        </is>
      </c>
      <c r="H505" s="43" t="inlineStr"/>
      <c r="I505" s="43" t="inlineStr">
        <is>
          <t>Expired</t>
        </is>
      </c>
      <c r="J505" s="32" t="n">
        <v>45998</v>
      </c>
      <c r="K505" s="32" t="n">
        <v>45930</v>
      </c>
      <c r="L505" s="43" t="inlineStr">
        <is>
          <t>1770</t>
        </is>
      </c>
      <c r="M505" s="43" t="n">
        <v>1</v>
      </c>
      <c r="N505" s="33" t="inlineStr"/>
      <c r="O505" s="43" t="inlineStr">
        <is>
          <t>UNVERIFIED</t>
        </is>
      </c>
      <c r="P505" s="43" t="inlineStr">
        <is>
          <t>Pending Review</t>
        </is>
      </c>
      <c r="Q505" s="33" t="inlineStr">
        <is>
          <t>Confirmar SKU/PCBA revision, PN exacto en Common DB, WO, BU, vigencia, planta y aprobacion firmada.</t>
        </is>
      </c>
    </row>
    <row r="506">
      <c r="A506" s="43" t="inlineStr">
        <is>
          <t>CTANJZ04830</t>
        </is>
      </c>
      <c r="B506" s="43" t="inlineStr">
        <is>
          <t>D604917</t>
        </is>
      </c>
      <c r="C506" s="43" t="inlineStr">
        <is>
          <t>018-SRGBU</t>
        </is>
      </c>
      <c r="D506" s="43" t="inlineStr">
        <is>
          <t>FJZP</t>
        </is>
      </c>
      <c r="E506" s="43" t="inlineStr">
        <is>
          <t>MCGA</t>
        </is>
      </c>
      <c r="F506" s="43" t="inlineStr">
        <is>
          <t>68-7799-03</t>
        </is>
      </c>
      <c r="G506" s="43" t="inlineStr">
        <is>
          <t>OTHER_SCOPE_ITEM</t>
        </is>
      </c>
      <c r="H506" s="43" t="inlineStr"/>
      <c r="I506" s="43" t="inlineStr">
        <is>
          <t>Expired</t>
        </is>
      </c>
      <c r="J506" s="32" t="n">
        <v>45932</v>
      </c>
      <c r="K506" s="32" t="n">
        <v>45924</v>
      </c>
      <c r="L506" s="43" t="inlineStr">
        <is>
          <t>748</t>
        </is>
      </c>
      <c r="M506" s="43" t="n">
        <v>1</v>
      </c>
      <c r="N506" s="33" t="inlineStr"/>
      <c r="O506" s="43" t="inlineStr">
        <is>
          <t>UNVERIFIED</t>
        </is>
      </c>
      <c r="P506" s="43" t="inlineStr">
        <is>
          <t>Pending Review</t>
        </is>
      </c>
      <c r="Q506" s="33" t="inlineStr">
        <is>
          <t>Confirmar SKU/PCBA revision, PN exacto en Common DB, WO, BU, vigencia, planta y aprobacion firmada.</t>
        </is>
      </c>
    </row>
    <row r="507">
      <c r="A507" s="43" t="inlineStr">
        <is>
          <t>CTANJZ04837</t>
        </is>
      </c>
      <c r="B507" s="43" t="inlineStr">
        <is>
          <t>D604535</t>
        </is>
      </c>
      <c r="C507" s="43" t="inlineStr">
        <is>
          <t>018-SRGBU</t>
        </is>
      </c>
      <c r="D507" s="43" t="inlineStr">
        <is>
          <t>FJZP</t>
        </is>
      </c>
      <c r="E507" s="43" t="inlineStr">
        <is>
          <t>MCGA</t>
        </is>
      </c>
      <c r="F507" s="43" t="inlineStr">
        <is>
          <t>68-7799-03</t>
        </is>
      </c>
      <c r="G507" s="43" t="inlineStr">
        <is>
          <t>OTHER_SCOPE_ITEM</t>
        </is>
      </c>
      <c r="H507" s="43" t="inlineStr"/>
      <c r="I507" s="43" t="inlineStr">
        <is>
          <t>Expired</t>
        </is>
      </c>
      <c r="J507" s="32" t="n">
        <v>45936</v>
      </c>
      <c r="K507" s="32" t="n">
        <v>45924</v>
      </c>
      <c r="L507" s="43" t="inlineStr">
        <is>
          <t>788</t>
        </is>
      </c>
      <c r="M507" s="43" t="n">
        <v>1</v>
      </c>
      <c r="N507" s="33" t="inlineStr"/>
      <c r="O507" s="43" t="inlineStr">
        <is>
          <t>UNVERIFIED</t>
        </is>
      </c>
      <c r="P507" s="43" t="inlineStr">
        <is>
          <t>Pending Review</t>
        </is>
      </c>
      <c r="Q507" s="33" t="inlineStr">
        <is>
          <t>Confirmar SKU/PCBA revision, PN exacto en Common DB, WO, BU, vigencia, planta y aprobacion firmada.</t>
        </is>
      </c>
    </row>
    <row r="508">
      <c r="A508" s="43" t="inlineStr">
        <is>
          <t>CTANJZ04838</t>
        </is>
      </c>
      <c r="B508" s="43" t="inlineStr">
        <is>
          <t>D604931</t>
        </is>
      </c>
      <c r="C508" s="43" t="inlineStr">
        <is>
          <t>018-SRGBU</t>
        </is>
      </c>
      <c r="D508" s="43" t="inlineStr">
        <is>
          <t>FJZP</t>
        </is>
      </c>
      <c r="E508" s="43" t="inlineStr">
        <is>
          <t>MCGA</t>
        </is>
      </c>
      <c r="F508" s="43" t="inlineStr">
        <is>
          <t>74-133408-02</t>
        </is>
      </c>
      <c r="G508" s="43" t="inlineStr">
        <is>
          <t>OTHER_SCOPE_ITEM</t>
        </is>
      </c>
      <c r="H508" s="43" t="inlineStr">
        <is>
          <t>ARATA</t>
        </is>
      </c>
      <c r="I508" s="43" t="inlineStr">
        <is>
          <t>Expired</t>
        </is>
      </c>
      <c r="J508" s="32" t="n">
        <v>45938</v>
      </c>
      <c r="K508" s="32" t="n">
        <v>45924</v>
      </c>
      <c r="L508" s="43" t="inlineStr">
        <is>
          <t>833</t>
        </is>
      </c>
      <c r="M508" s="43" t="n">
        <v>1</v>
      </c>
      <c r="N508" s="33" t="inlineStr"/>
      <c r="O508" s="43" t="inlineStr">
        <is>
          <t>UNVERIFIED</t>
        </is>
      </c>
      <c r="P508" s="43" t="inlineStr">
        <is>
          <t>Pending Review</t>
        </is>
      </c>
      <c r="Q508" s="33" t="inlineStr">
        <is>
          <t>Confirmar SKU/PCBA revision, PN exacto en Common DB, WO, BU, vigencia, planta y aprobacion firmada.</t>
        </is>
      </c>
    </row>
    <row r="509">
      <c r="A509" s="43" t="inlineStr">
        <is>
          <t>CTANJZ04838</t>
        </is>
      </c>
      <c r="B509" s="43" t="inlineStr">
        <is>
          <t>D604931</t>
        </is>
      </c>
      <c r="C509" s="43" t="inlineStr">
        <is>
          <t>018-SRGBU</t>
        </is>
      </c>
      <c r="D509" s="43" t="inlineStr">
        <is>
          <t>FJZP</t>
        </is>
      </c>
      <c r="E509" s="43" t="inlineStr">
        <is>
          <t>MCGA</t>
        </is>
      </c>
      <c r="F509" s="43" t="inlineStr">
        <is>
          <t>74-134702-02</t>
        </is>
      </c>
      <c r="G509" s="43" t="inlineStr">
        <is>
          <t>OTHER_SCOPE_ITEM</t>
        </is>
      </c>
      <c r="H509" s="43" t="inlineStr"/>
      <c r="I509" s="43" t="inlineStr">
        <is>
          <t>Expired</t>
        </is>
      </c>
      <c r="J509" s="32" t="n">
        <v>45938</v>
      </c>
      <c r="K509" s="32" t="n">
        <v>45924</v>
      </c>
      <c r="L509" s="43" t="inlineStr">
        <is>
          <t>834</t>
        </is>
      </c>
      <c r="M509" s="43" t="n">
        <v>1</v>
      </c>
      <c r="N509" s="33" t="inlineStr"/>
      <c r="O509" s="43" t="inlineStr">
        <is>
          <t>UNVERIFIED</t>
        </is>
      </c>
      <c r="P509" s="43" t="inlineStr">
        <is>
          <t>Pending Review</t>
        </is>
      </c>
      <c r="Q509" s="33" t="inlineStr">
        <is>
          <t>Confirmar SKU/PCBA revision, PN exacto en Common DB, WO, BU, vigencia, planta y aprobacion firmada.</t>
        </is>
      </c>
    </row>
    <row r="510">
      <c r="A510" s="43" t="inlineStr">
        <is>
          <t>CTANJZ04852</t>
        </is>
      </c>
      <c r="B510" s="43" t="inlineStr">
        <is>
          <t>D605275</t>
        </is>
      </c>
      <c r="C510" s="43" t="inlineStr">
        <is>
          <t>018-SRGBU</t>
        </is>
      </c>
      <c r="D510" s="43" t="inlineStr">
        <is>
          <t>FJZP</t>
        </is>
      </c>
      <c r="E510" s="43" t="inlineStr">
        <is>
          <t>MCGA</t>
        </is>
      </c>
      <c r="F510" s="43" t="inlineStr">
        <is>
          <t>15-107070-01</t>
        </is>
      </c>
      <c r="G510" s="43" t="inlineStr">
        <is>
          <t>OTHER_SCOPE_ITEM</t>
        </is>
      </c>
      <c r="H510" s="43" t="inlineStr"/>
      <c r="I510" s="43" t="inlineStr">
        <is>
          <t>Expired</t>
        </is>
      </c>
      <c r="J510" s="32" t="n">
        <v>45951</v>
      </c>
      <c r="K510" s="32" t="n">
        <v>45924</v>
      </c>
      <c r="L510" s="43" t="inlineStr">
        <is>
          <t>779</t>
        </is>
      </c>
      <c r="M510" s="43" t="n">
        <v>1</v>
      </c>
      <c r="N510" s="33" t="inlineStr"/>
      <c r="O510" s="43" t="inlineStr">
        <is>
          <t>UNVERIFIED</t>
        </is>
      </c>
      <c r="P510" s="43" t="inlineStr">
        <is>
          <t>Pending Review</t>
        </is>
      </c>
      <c r="Q510" s="33" t="inlineStr">
        <is>
          <t>Confirmar SKU/PCBA revision, PN exacto en Common DB, WO, BU, vigencia, planta y aprobacion firmada.</t>
        </is>
      </c>
    </row>
    <row r="511">
      <c r="A511" s="43" t="inlineStr">
        <is>
          <t>CTANJZ04854</t>
        </is>
      </c>
      <c r="B511" s="43" t="inlineStr">
        <is>
          <t>D606187</t>
        </is>
      </c>
      <c r="C511" s="43" t="inlineStr">
        <is>
          <t>035-CVEBU</t>
        </is>
      </c>
      <c r="D511" s="43" t="inlineStr">
        <is>
          <t>FJZP</t>
        </is>
      </c>
      <c r="E511" s="43" t="inlineStr">
        <is>
          <t>MCGA</t>
        </is>
      </c>
      <c r="F511" s="43" t="inlineStr">
        <is>
          <t>29-103082-01</t>
        </is>
      </c>
      <c r="G511" s="43" t="inlineStr">
        <is>
          <t>OTHER_SCOPE_ITEM</t>
        </is>
      </c>
      <c r="H511" s="43" t="inlineStr"/>
      <c r="I511" s="43" t="inlineStr">
        <is>
          <t>Expired</t>
        </is>
      </c>
      <c r="J511" s="32" t="n">
        <v>46005</v>
      </c>
      <c r="K511" s="32" t="n">
        <v>45939</v>
      </c>
      <c r="L511" s="43" t="inlineStr">
        <is>
          <t>1626</t>
        </is>
      </c>
      <c r="M511" s="43" t="n">
        <v>1</v>
      </c>
      <c r="N511" s="33" t="inlineStr"/>
      <c r="O511" s="43" t="inlineStr">
        <is>
          <t>UNVERIFIED</t>
        </is>
      </c>
      <c r="P511" s="43" t="inlineStr">
        <is>
          <t>Pending Review</t>
        </is>
      </c>
      <c r="Q511" s="33" t="inlineStr">
        <is>
          <t>Confirmar SKU/PCBA revision, PN exacto en Common DB, WO, BU, vigencia, planta y aprobacion firmada.</t>
        </is>
      </c>
    </row>
    <row r="512">
      <c r="A512" s="43" t="inlineStr">
        <is>
          <t>CTANJZ04854</t>
        </is>
      </c>
      <c r="B512" s="43" t="inlineStr">
        <is>
          <t>D606187</t>
        </is>
      </c>
      <c r="C512" s="43" t="inlineStr">
        <is>
          <t>035-CVEBU</t>
        </is>
      </c>
      <c r="D512" s="43" t="inlineStr">
        <is>
          <t>FJZP</t>
        </is>
      </c>
      <c r="E512" s="43" t="inlineStr">
        <is>
          <t>MCGA</t>
        </is>
      </c>
      <c r="F512" s="43" t="inlineStr">
        <is>
          <t>73-102022-02</t>
        </is>
      </c>
      <c r="G512" s="43" t="inlineStr">
        <is>
          <t>BOARD_PN_CANDIDATE</t>
        </is>
      </c>
      <c r="H512" s="43" t="inlineStr">
        <is>
          <t>BROOKLYN</t>
        </is>
      </c>
      <c r="I512" s="43" t="inlineStr">
        <is>
          <t>Expired</t>
        </is>
      </c>
      <c r="J512" s="32" t="n">
        <v>46005</v>
      </c>
      <c r="K512" s="32" t="n">
        <v>45939</v>
      </c>
      <c r="L512" s="43" t="inlineStr">
        <is>
          <t>1627</t>
        </is>
      </c>
      <c r="M512" s="43" t="n">
        <v>1</v>
      </c>
      <c r="N512" s="33" t="inlineStr"/>
      <c r="O512" s="43" t="inlineStr">
        <is>
          <t>UNVERIFIED</t>
        </is>
      </c>
      <c r="P512" s="43" t="inlineStr">
        <is>
          <t>Pending Review</t>
        </is>
      </c>
      <c r="Q512" s="33" t="inlineStr">
        <is>
          <t>Confirmar SKU/PCBA revision, PN exacto en Common DB, WO, BU, vigencia, planta y aprobacion firmada.</t>
        </is>
      </c>
    </row>
    <row r="513">
      <c r="A513" s="43" t="inlineStr">
        <is>
          <t>CTANJZ04854</t>
        </is>
      </c>
      <c r="B513" s="43" t="inlineStr">
        <is>
          <t>D606187</t>
        </is>
      </c>
      <c r="C513" s="43" t="inlineStr">
        <is>
          <t>035-CVEBU</t>
        </is>
      </c>
      <c r="D513" s="43" t="inlineStr">
        <is>
          <t>FJZP</t>
        </is>
      </c>
      <c r="E513" s="43" t="inlineStr">
        <is>
          <t>MCGA</t>
        </is>
      </c>
      <c r="F513" s="43" t="inlineStr">
        <is>
          <t>73-104022-01</t>
        </is>
      </c>
      <c r="G513" s="43" t="inlineStr">
        <is>
          <t>BOARD_PN_CANDIDATE</t>
        </is>
      </c>
      <c r="H513" s="43" t="inlineStr"/>
      <c r="I513" s="43" t="inlineStr">
        <is>
          <t>Expired</t>
        </is>
      </c>
      <c r="J513" s="32" t="n">
        <v>46005</v>
      </c>
      <c r="K513" s="32" t="n">
        <v>45939</v>
      </c>
      <c r="L513" s="43" t="inlineStr">
        <is>
          <t>1628</t>
        </is>
      </c>
      <c r="M513" s="43" t="n">
        <v>1</v>
      </c>
      <c r="N513" s="33" t="inlineStr"/>
      <c r="O513" s="43" t="inlineStr">
        <is>
          <t>UNVERIFIED</t>
        </is>
      </c>
      <c r="P513" s="43" t="inlineStr">
        <is>
          <t>Pending Review</t>
        </is>
      </c>
      <c r="Q513" s="33" t="inlineStr">
        <is>
          <t>Confirmar SKU/PCBA revision, PN exacto en Common DB, WO, BU, vigencia, planta y aprobacion firmada.</t>
        </is>
      </c>
    </row>
    <row r="514">
      <c r="A514" s="43" t="inlineStr">
        <is>
          <t>CTANJZ04859</t>
        </is>
      </c>
      <c r="B514" s="43" t="inlineStr">
        <is>
          <t>D605688</t>
        </is>
      </c>
      <c r="C514" s="43" t="inlineStr">
        <is>
          <t>018-SRGBU</t>
        </is>
      </c>
      <c r="D514" s="43" t="inlineStr">
        <is>
          <t>FJZP</t>
        </is>
      </c>
      <c r="E514" s="43" t="inlineStr">
        <is>
          <t>MCGA</t>
        </is>
      </c>
      <c r="F514" s="43" t="inlineStr">
        <is>
          <t>74-133408-02</t>
        </is>
      </c>
      <c r="G514" s="43" t="inlineStr">
        <is>
          <t>OTHER_SCOPE_ITEM</t>
        </is>
      </c>
      <c r="H514" s="43" t="inlineStr">
        <is>
          <t>ARATA</t>
        </is>
      </c>
      <c r="I514" s="43" t="inlineStr">
        <is>
          <t>Expired</t>
        </is>
      </c>
      <c r="J514" s="32" t="n">
        <v>45972</v>
      </c>
      <c r="K514" s="32" t="n">
        <v>45924</v>
      </c>
      <c r="L514" s="43" t="inlineStr">
        <is>
          <t>819</t>
        </is>
      </c>
      <c r="M514" s="43" t="n">
        <v>1</v>
      </c>
      <c r="N514" s="33" t="inlineStr"/>
      <c r="O514" s="43" t="inlineStr">
        <is>
          <t>UNVERIFIED</t>
        </is>
      </c>
      <c r="P514" s="43" t="inlineStr">
        <is>
          <t>Pending Review</t>
        </is>
      </c>
      <c r="Q514" s="33" t="inlineStr">
        <is>
          <t>Confirmar SKU/PCBA revision, PN exacto en Common DB, WO, BU, vigencia, planta y aprobacion firmada.</t>
        </is>
      </c>
    </row>
    <row r="515">
      <c r="A515" s="43" t="inlineStr">
        <is>
          <t>CTANJZ04859</t>
        </is>
      </c>
      <c r="B515" s="43" t="inlineStr">
        <is>
          <t>D605688</t>
        </is>
      </c>
      <c r="C515" s="43" t="inlineStr">
        <is>
          <t>018-SRGBU</t>
        </is>
      </c>
      <c r="D515" s="43" t="inlineStr">
        <is>
          <t>FJZP</t>
        </is>
      </c>
      <c r="E515" s="43" t="inlineStr">
        <is>
          <t>MCGA</t>
        </is>
      </c>
      <c r="F515" s="43" t="inlineStr">
        <is>
          <t>74-134702-02</t>
        </is>
      </c>
      <c r="G515" s="43" t="inlineStr">
        <is>
          <t>OTHER_SCOPE_ITEM</t>
        </is>
      </c>
      <c r="H515" s="43" t="inlineStr"/>
      <c r="I515" s="43" t="inlineStr">
        <is>
          <t>Expired</t>
        </is>
      </c>
      <c r="J515" s="32" t="n">
        <v>45972</v>
      </c>
      <c r="K515" s="32" t="n">
        <v>45924</v>
      </c>
      <c r="L515" s="43" t="inlineStr">
        <is>
          <t>820</t>
        </is>
      </c>
      <c r="M515" s="43" t="n">
        <v>1</v>
      </c>
      <c r="N515" s="33" t="inlineStr"/>
      <c r="O515" s="43" t="inlineStr">
        <is>
          <t>UNVERIFIED</t>
        </is>
      </c>
      <c r="P515" s="43" t="inlineStr">
        <is>
          <t>Pending Review</t>
        </is>
      </c>
      <c r="Q515" s="33" t="inlineStr">
        <is>
          <t>Confirmar SKU/PCBA revision, PN exacto en Common DB, WO, BU, vigencia, planta y aprobacion firmada.</t>
        </is>
      </c>
    </row>
    <row r="516">
      <c r="A516" s="43" t="inlineStr">
        <is>
          <t>CTANJZ04862</t>
        </is>
      </c>
      <c r="B516" s="43" t="inlineStr">
        <is>
          <t>D606224</t>
        </is>
      </c>
      <c r="C516" s="43" t="inlineStr">
        <is>
          <t>037-STBU</t>
        </is>
      </c>
      <c r="D516" s="43" t="inlineStr">
        <is>
          <t>FJZP</t>
        </is>
      </c>
      <c r="E516" s="43" t="inlineStr">
        <is>
          <t>MCGA</t>
        </is>
      </c>
      <c r="F516" s="43" t="inlineStr">
        <is>
          <t>73-21007-02</t>
        </is>
      </c>
      <c r="G516" s="43" t="inlineStr">
        <is>
          <t>BOARD_PN_CANDIDATE</t>
        </is>
      </c>
      <c r="H516" s="43" t="inlineStr"/>
      <c r="I516" s="43" t="inlineStr">
        <is>
          <t>Expired</t>
        </is>
      </c>
      <c r="J516" s="32" t="n">
        <v>46007</v>
      </c>
      <c r="K516" s="32" t="n">
        <v>45951</v>
      </c>
      <c r="L516" s="43" t="inlineStr">
        <is>
          <t>1771</t>
        </is>
      </c>
      <c r="M516" s="43" t="n">
        <v>1</v>
      </c>
      <c r="N516" s="33" t="inlineStr"/>
      <c r="O516" s="43" t="inlineStr">
        <is>
          <t>UNVERIFIED</t>
        </is>
      </c>
      <c r="P516" s="43" t="inlineStr">
        <is>
          <t>Pending Review</t>
        </is>
      </c>
      <c r="Q516" s="33" t="inlineStr">
        <is>
          <t>Confirmar SKU/PCBA revision, PN exacto en Common DB, WO, BU, vigencia, planta y aprobacion firmada.</t>
        </is>
      </c>
    </row>
    <row r="517">
      <c r="A517" s="43" t="inlineStr">
        <is>
          <t>CTANJZ04862</t>
        </is>
      </c>
      <c r="B517" s="43" t="inlineStr">
        <is>
          <t>D606224</t>
        </is>
      </c>
      <c r="C517" s="43" t="inlineStr">
        <is>
          <t>037-STBU</t>
        </is>
      </c>
      <c r="D517" s="43" t="inlineStr">
        <is>
          <t>FJZP</t>
        </is>
      </c>
      <c r="E517" s="43" t="inlineStr">
        <is>
          <t>MCGA</t>
        </is>
      </c>
      <c r="F517" s="43" t="inlineStr">
        <is>
          <t>800-111297-01</t>
        </is>
      </c>
      <c r="G517" s="43" t="inlineStr">
        <is>
          <t>OTHER_SCOPE_ITEM</t>
        </is>
      </c>
      <c r="H517" s="43" t="inlineStr"/>
      <c r="I517" s="43" t="inlineStr">
        <is>
          <t>Expired</t>
        </is>
      </c>
      <c r="J517" s="32" t="n">
        <v>46007</v>
      </c>
      <c r="K517" s="32" t="n">
        <v>45951</v>
      </c>
      <c r="L517" s="43" t="inlineStr">
        <is>
          <t>1772</t>
        </is>
      </c>
      <c r="M517" s="43" t="n">
        <v>1</v>
      </c>
      <c r="N517" s="33" t="inlineStr"/>
      <c r="O517" s="43" t="inlineStr">
        <is>
          <t>UNVERIFIED</t>
        </is>
      </c>
      <c r="P517" s="43" t="inlineStr">
        <is>
          <t>Pending Review</t>
        </is>
      </c>
      <c r="Q517" s="33" t="inlineStr">
        <is>
          <t>Confirmar SKU/PCBA revision, PN exacto en Common DB, WO, BU, vigencia, planta y aprobacion firmada.</t>
        </is>
      </c>
    </row>
    <row r="518">
      <c r="A518" s="43" t="inlineStr">
        <is>
          <t>CTANJZ04863</t>
        </is>
      </c>
      <c r="B518" s="43" t="inlineStr">
        <is>
          <t>D606223</t>
        </is>
      </c>
      <c r="C518" s="43" t="inlineStr">
        <is>
          <t>037-STBU</t>
        </is>
      </c>
      <c r="D518" s="43" t="inlineStr">
        <is>
          <t>FJZP</t>
        </is>
      </c>
      <c r="E518" s="43" t="inlineStr">
        <is>
          <t>MCGA</t>
        </is>
      </c>
      <c r="F518" s="43" t="inlineStr">
        <is>
          <t>15-104142-01</t>
        </is>
      </c>
      <c r="G518" s="43" t="inlineStr">
        <is>
          <t>OTHER_SCOPE_ITEM</t>
        </is>
      </c>
      <c r="H518" s="43" t="inlineStr"/>
      <c r="I518" s="43" t="inlineStr">
        <is>
          <t>Expired</t>
        </is>
      </c>
      <c r="J518" s="32" t="n">
        <v>46039</v>
      </c>
      <c r="K518" s="32" t="n">
        <v>45933</v>
      </c>
      <c r="L518" s="43" t="inlineStr">
        <is>
          <t>429</t>
        </is>
      </c>
      <c r="M518" s="43" t="n">
        <v>1</v>
      </c>
      <c r="N518" s="33" t="inlineStr"/>
      <c r="O518" s="43" t="inlineStr">
        <is>
          <t>UNVERIFIED</t>
        </is>
      </c>
      <c r="P518" s="43" t="inlineStr">
        <is>
          <t>Pending Review</t>
        </is>
      </c>
      <c r="Q518" s="33" t="inlineStr">
        <is>
          <t>Confirmar SKU/PCBA revision, PN exacto en Common DB, WO, BU, vigencia, planta y aprobacion firmada.</t>
        </is>
      </c>
    </row>
    <row r="519">
      <c r="A519" s="43" t="inlineStr">
        <is>
          <t>CTANJZ04863</t>
        </is>
      </c>
      <c r="B519" s="43" t="inlineStr">
        <is>
          <t>D606223</t>
        </is>
      </c>
      <c r="C519" s="43" t="inlineStr">
        <is>
          <t>037-STBU</t>
        </is>
      </c>
      <c r="D519" s="43" t="inlineStr">
        <is>
          <t>FJZP</t>
        </is>
      </c>
      <c r="E519" s="43" t="inlineStr">
        <is>
          <t>MCGA</t>
        </is>
      </c>
      <c r="F519" s="43" t="inlineStr">
        <is>
          <t>800-104788-03</t>
        </is>
      </c>
      <c r="G519" s="43" t="inlineStr">
        <is>
          <t>OTHER_SCOPE_ITEM</t>
        </is>
      </c>
      <c r="H519" s="43" t="inlineStr"/>
      <c r="I519" s="43" t="inlineStr">
        <is>
          <t>Expired</t>
        </is>
      </c>
      <c r="J519" s="32" t="n">
        <v>46039</v>
      </c>
      <c r="K519" s="32" t="n">
        <v>45933</v>
      </c>
      <c r="L519" s="43" t="inlineStr">
        <is>
          <t>430</t>
        </is>
      </c>
      <c r="M519" s="43" t="n">
        <v>1</v>
      </c>
      <c r="N519" s="33" t="inlineStr"/>
      <c r="O519" s="43" t="inlineStr">
        <is>
          <t>UNVERIFIED</t>
        </is>
      </c>
      <c r="P519" s="43" t="inlineStr">
        <is>
          <t>Pending Review</t>
        </is>
      </c>
      <c r="Q519" s="33" t="inlineStr">
        <is>
          <t>Confirmar SKU/PCBA revision, PN exacto en Common DB, WO, BU, vigencia, planta y aprobacion firmada.</t>
        </is>
      </c>
    </row>
    <row r="520">
      <c r="A520" s="43" t="inlineStr">
        <is>
          <t>CTANJZ04863</t>
        </is>
      </c>
      <c r="B520" s="43" t="inlineStr">
        <is>
          <t>D606223</t>
        </is>
      </c>
      <c r="C520" s="43" t="inlineStr">
        <is>
          <t>037-STBU</t>
        </is>
      </c>
      <c r="D520" s="43" t="inlineStr">
        <is>
          <t>FJZP</t>
        </is>
      </c>
      <c r="E520" s="43" t="inlineStr">
        <is>
          <t>MCGA</t>
        </is>
      </c>
      <c r="F520" s="43" t="inlineStr">
        <is>
          <t>800-104789-03</t>
        </is>
      </c>
      <c r="G520" s="43" t="inlineStr">
        <is>
          <t>OTHER_SCOPE_ITEM</t>
        </is>
      </c>
      <c r="H520" s="43" t="inlineStr"/>
      <c r="I520" s="43" t="inlineStr">
        <is>
          <t>Expired</t>
        </is>
      </c>
      <c r="J520" s="32" t="n">
        <v>46039</v>
      </c>
      <c r="K520" s="32" t="n">
        <v>45933</v>
      </c>
      <c r="L520" s="43" t="inlineStr">
        <is>
          <t>431</t>
        </is>
      </c>
      <c r="M520" s="43" t="n">
        <v>1</v>
      </c>
      <c r="N520" s="33" t="inlineStr"/>
      <c r="O520" s="43" t="inlineStr">
        <is>
          <t>UNVERIFIED</t>
        </is>
      </c>
      <c r="P520" s="43" t="inlineStr">
        <is>
          <t>Pending Review</t>
        </is>
      </c>
      <c r="Q520" s="33" t="inlineStr">
        <is>
          <t>Confirmar SKU/PCBA revision, PN exacto en Common DB, WO, BU, vigencia, planta y aprobacion firmada.</t>
        </is>
      </c>
    </row>
    <row r="521">
      <c r="A521" s="43" t="inlineStr">
        <is>
          <t>CTANJZ04864</t>
        </is>
      </c>
      <c r="B521" s="43" t="inlineStr">
        <is>
          <t>D606346</t>
        </is>
      </c>
      <c r="C521" s="43" t="inlineStr">
        <is>
          <t>037-STBU</t>
        </is>
      </c>
      <c r="D521" s="43" t="inlineStr">
        <is>
          <t>FJZP</t>
        </is>
      </c>
      <c r="E521" s="43" t="inlineStr">
        <is>
          <t>MCGA</t>
        </is>
      </c>
      <c r="F521" s="43" t="inlineStr">
        <is>
          <t>15-111071-01</t>
        </is>
      </c>
      <c r="G521" s="43" t="inlineStr">
        <is>
          <t>OTHER_SCOPE_ITEM</t>
        </is>
      </c>
      <c r="H521" s="43" t="inlineStr"/>
      <c r="I521" s="43" t="inlineStr">
        <is>
          <t>Expired</t>
        </is>
      </c>
      <c r="J521" s="32" t="n">
        <v>46008</v>
      </c>
      <c r="K521" s="32" t="n">
        <v>45933</v>
      </c>
      <c r="L521" s="43" t="inlineStr">
        <is>
          <t>495</t>
        </is>
      </c>
      <c r="M521" s="43" t="n">
        <v>1</v>
      </c>
      <c r="N521" s="33" t="inlineStr"/>
      <c r="O521" s="43" t="inlineStr">
        <is>
          <t>UNVERIFIED</t>
        </is>
      </c>
      <c r="P521" s="43" t="inlineStr">
        <is>
          <t>Pending Review</t>
        </is>
      </c>
      <c r="Q521" s="33" t="inlineStr">
        <is>
          <t>Confirmar SKU/PCBA revision, PN exacto en Common DB, WO, BU, vigencia, planta y aprobacion firmada.</t>
        </is>
      </c>
    </row>
    <row r="522">
      <c r="A522" s="43" t="inlineStr">
        <is>
          <t>CTANJZ04864</t>
        </is>
      </c>
      <c r="B522" s="43" t="inlineStr">
        <is>
          <t>D606346</t>
        </is>
      </c>
      <c r="C522" s="43" t="inlineStr">
        <is>
          <t>037-STBU</t>
        </is>
      </c>
      <c r="D522" s="43" t="inlineStr">
        <is>
          <t>FJZP</t>
        </is>
      </c>
      <c r="E522" s="43" t="inlineStr">
        <is>
          <t>MCGA</t>
        </is>
      </c>
      <c r="F522" s="43" t="inlineStr">
        <is>
          <t>15-111072-01</t>
        </is>
      </c>
      <c r="G522" s="43" t="inlineStr">
        <is>
          <t>OTHER_SCOPE_ITEM</t>
        </is>
      </c>
      <c r="H522" s="43" t="inlineStr"/>
      <c r="I522" s="43" t="inlineStr">
        <is>
          <t>Expired</t>
        </is>
      </c>
      <c r="J522" s="32" t="n">
        <v>46008</v>
      </c>
      <c r="K522" s="32" t="n">
        <v>45933</v>
      </c>
      <c r="L522" s="43" t="inlineStr">
        <is>
          <t>496</t>
        </is>
      </c>
      <c r="M522" s="43" t="n">
        <v>1</v>
      </c>
      <c r="N522" s="33" t="inlineStr"/>
      <c r="O522" s="43" t="inlineStr">
        <is>
          <t>UNVERIFIED</t>
        </is>
      </c>
      <c r="P522" s="43" t="inlineStr">
        <is>
          <t>Pending Review</t>
        </is>
      </c>
      <c r="Q522" s="33" t="inlineStr">
        <is>
          <t>Confirmar SKU/PCBA revision, PN exacto en Common DB, WO, BU, vigencia, planta y aprobacion firmada.</t>
        </is>
      </c>
    </row>
    <row r="523">
      <c r="A523" s="43" t="inlineStr">
        <is>
          <t>CTANJZ04864</t>
        </is>
      </c>
      <c r="B523" s="43" t="inlineStr">
        <is>
          <t>D606346</t>
        </is>
      </c>
      <c r="C523" s="43" t="inlineStr">
        <is>
          <t>037-STBU</t>
        </is>
      </c>
      <c r="D523" s="43" t="inlineStr">
        <is>
          <t>FJZP</t>
        </is>
      </c>
      <c r="E523" s="43" t="inlineStr">
        <is>
          <t>MCGA</t>
        </is>
      </c>
      <c r="F523" s="43" t="inlineStr">
        <is>
          <t>800-112583-04</t>
        </is>
      </c>
      <c r="G523" s="43" t="inlineStr">
        <is>
          <t>OTHER_SCOPE_ITEM</t>
        </is>
      </c>
      <c r="H523" s="43" t="inlineStr"/>
      <c r="I523" s="43" t="inlineStr">
        <is>
          <t>Expired</t>
        </is>
      </c>
      <c r="J523" s="32" t="n">
        <v>46008</v>
      </c>
      <c r="K523" s="32" t="n">
        <v>45933</v>
      </c>
      <c r="L523" s="43" t="inlineStr">
        <is>
          <t>497</t>
        </is>
      </c>
      <c r="M523" s="43" t="n">
        <v>1</v>
      </c>
      <c r="N523" s="33" t="inlineStr"/>
      <c r="O523" s="43" t="inlineStr">
        <is>
          <t>UNVERIFIED</t>
        </is>
      </c>
      <c r="P523" s="43" t="inlineStr">
        <is>
          <t>Pending Review</t>
        </is>
      </c>
      <c r="Q523" s="33" t="inlineStr">
        <is>
          <t>Confirmar SKU/PCBA revision, PN exacto en Common DB, WO, BU, vigencia, planta y aprobacion firmada.</t>
        </is>
      </c>
    </row>
    <row r="524">
      <c r="A524" s="43" t="inlineStr">
        <is>
          <t>CTANJZ04864</t>
        </is>
      </c>
      <c r="B524" s="43" t="inlineStr">
        <is>
          <t>D606346</t>
        </is>
      </c>
      <c r="C524" s="43" t="inlineStr">
        <is>
          <t>037-STBU</t>
        </is>
      </c>
      <c r="D524" s="43" t="inlineStr">
        <is>
          <t>FJZP</t>
        </is>
      </c>
      <c r="E524" s="43" t="inlineStr">
        <is>
          <t>MCGA</t>
        </is>
      </c>
      <c r="F524" s="43" t="inlineStr">
        <is>
          <t>800-112720-04</t>
        </is>
      </c>
      <c r="G524" s="43" t="inlineStr">
        <is>
          <t>OTHER_SCOPE_ITEM</t>
        </is>
      </c>
      <c r="H524" s="43" t="inlineStr"/>
      <c r="I524" s="43" t="inlineStr">
        <is>
          <t>Expired</t>
        </is>
      </c>
      <c r="J524" s="32" t="n">
        <v>46008</v>
      </c>
      <c r="K524" s="32" t="n">
        <v>45933</v>
      </c>
      <c r="L524" s="43" t="inlineStr">
        <is>
          <t>498</t>
        </is>
      </c>
      <c r="M524" s="43" t="n">
        <v>1</v>
      </c>
      <c r="N524" s="33" t="inlineStr"/>
      <c r="O524" s="43" t="inlineStr">
        <is>
          <t>UNVERIFIED</t>
        </is>
      </c>
      <c r="P524" s="43" t="inlineStr">
        <is>
          <t>Pending Review</t>
        </is>
      </c>
      <c r="Q524" s="33" t="inlineStr">
        <is>
          <t>Confirmar SKU/PCBA revision, PN exacto en Common DB, WO, BU, vigencia, planta y aprobacion firmada.</t>
        </is>
      </c>
    </row>
    <row r="525">
      <c r="A525" s="43" t="inlineStr">
        <is>
          <t>CTANJZ04865</t>
        </is>
      </c>
      <c r="B525" s="43" t="inlineStr">
        <is>
          <t>D606401</t>
        </is>
      </c>
      <c r="C525" s="43" t="inlineStr">
        <is>
          <t>037-STBU</t>
        </is>
      </c>
      <c r="D525" s="43" t="inlineStr">
        <is>
          <t>FJZP</t>
        </is>
      </c>
      <c r="E525" s="43" t="inlineStr">
        <is>
          <t>MCGA</t>
        </is>
      </c>
      <c r="F525" s="43" t="inlineStr">
        <is>
          <t>17-103167-03</t>
        </is>
      </c>
      <c r="G525" s="43" t="inlineStr">
        <is>
          <t>OTHER_SCOPE_ITEM</t>
        </is>
      </c>
      <c r="H525" s="43" t="inlineStr"/>
      <c r="I525" s="43" t="inlineStr">
        <is>
          <t>Expired</t>
        </is>
      </c>
      <c r="J525" s="32" t="n">
        <v>46008</v>
      </c>
      <c r="K525" s="32" t="n">
        <v>45953</v>
      </c>
      <c r="L525" s="43" t="inlineStr">
        <is>
          <t>962</t>
        </is>
      </c>
      <c r="M525" s="43" t="n">
        <v>1</v>
      </c>
      <c r="N525" s="33" t="inlineStr"/>
      <c r="O525" s="43" t="inlineStr">
        <is>
          <t>UNVERIFIED</t>
        </is>
      </c>
      <c r="P525" s="43" t="inlineStr">
        <is>
          <t>Pending Review</t>
        </is>
      </c>
      <c r="Q525" s="33" t="inlineStr">
        <is>
          <t>Confirmar SKU/PCBA revision, PN exacto en Common DB, WO, BU, vigencia, planta y aprobacion firmada.</t>
        </is>
      </c>
    </row>
    <row r="526">
      <c r="A526" s="43" t="inlineStr">
        <is>
          <t>CTANJZ04865</t>
        </is>
      </c>
      <c r="B526" s="43" t="inlineStr">
        <is>
          <t>D606401</t>
        </is>
      </c>
      <c r="C526" s="43" t="inlineStr">
        <is>
          <t>037-STBU</t>
        </is>
      </c>
      <c r="D526" s="43" t="inlineStr">
        <is>
          <t>FJZP</t>
        </is>
      </c>
      <c r="E526" s="43" t="inlineStr">
        <is>
          <t>MCGA</t>
        </is>
      </c>
      <c r="F526" s="43" t="inlineStr">
        <is>
          <t>73-103633-04</t>
        </is>
      </c>
      <c r="G526" s="43" t="inlineStr">
        <is>
          <t>BOARD_PN_CANDIDATE</t>
        </is>
      </c>
      <c r="H526" s="43" t="inlineStr"/>
      <c r="I526" s="43" t="inlineStr">
        <is>
          <t>Expired</t>
        </is>
      </c>
      <c r="J526" s="32" t="n">
        <v>46008</v>
      </c>
      <c r="K526" s="32" t="n">
        <v>45953</v>
      </c>
      <c r="L526" s="43" t="inlineStr">
        <is>
          <t>963</t>
        </is>
      </c>
      <c r="M526" s="43" t="n">
        <v>1</v>
      </c>
      <c r="N526" s="33" t="inlineStr"/>
      <c r="O526" s="43" t="inlineStr">
        <is>
          <t>UNVERIFIED</t>
        </is>
      </c>
      <c r="P526" s="43" t="inlineStr">
        <is>
          <t>Pending Review</t>
        </is>
      </c>
      <c r="Q526" s="33" t="inlineStr">
        <is>
          <t>Confirmar SKU/PCBA revision, PN exacto en Common DB, WO, BU, vigencia, planta y aprobacion firmada.</t>
        </is>
      </c>
    </row>
    <row r="527">
      <c r="A527" s="43" t="inlineStr">
        <is>
          <t>CTANJZ04866</t>
        </is>
      </c>
      <c r="B527" s="43" t="inlineStr">
        <is>
          <t>D604888</t>
        </is>
      </c>
      <c r="C527" s="43" t="inlineStr">
        <is>
          <t>037-STBU</t>
        </is>
      </c>
      <c r="D527" s="43" t="inlineStr">
        <is>
          <t>FJZP</t>
        </is>
      </c>
      <c r="E527" s="43" t="inlineStr">
        <is>
          <t>MCGA</t>
        </is>
      </c>
      <c r="F527" s="43" t="inlineStr">
        <is>
          <t>68-101185-01</t>
        </is>
      </c>
      <c r="G527" s="43" t="inlineStr">
        <is>
          <t>OTHER_SCOPE_ITEM</t>
        </is>
      </c>
      <c r="H527" s="43" t="inlineStr"/>
      <c r="I527" s="43" t="inlineStr">
        <is>
          <t>Expired</t>
        </is>
      </c>
      <c r="J527" s="32" t="n">
        <v>46009</v>
      </c>
      <c r="K527" s="32" t="n">
        <v>45951</v>
      </c>
      <c r="L527" s="43" t="inlineStr">
        <is>
          <t>964</t>
        </is>
      </c>
      <c r="M527" s="43" t="n">
        <v>1</v>
      </c>
      <c r="N527" s="33" t="inlineStr"/>
      <c r="O527" s="43" t="inlineStr">
        <is>
          <t>UNVERIFIED</t>
        </is>
      </c>
      <c r="P527" s="43" t="inlineStr">
        <is>
          <t>Pending Review</t>
        </is>
      </c>
      <c r="Q527" s="33" t="inlineStr">
        <is>
          <t>Confirmar SKU/PCBA revision, PN exacto en Common DB, WO, BU, vigencia, planta y aprobacion firmada.</t>
        </is>
      </c>
    </row>
    <row r="528">
      <c r="A528" s="43" t="inlineStr">
        <is>
          <t>CTANJZ04867</t>
        </is>
      </c>
      <c r="B528" s="43" t="inlineStr">
        <is>
          <t>D606464</t>
        </is>
      </c>
      <c r="C528" s="43" t="inlineStr">
        <is>
          <t>035-CVEBU</t>
        </is>
      </c>
      <c r="D528" s="43" t="inlineStr">
        <is>
          <t>FJZP</t>
        </is>
      </c>
      <c r="E528" s="43" t="inlineStr">
        <is>
          <t>MCGA</t>
        </is>
      </c>
      <c r="F528" s="43" t="inlineStr">
        <is>
          <t>74-140219-01</t>
        </is>
      </c>
      <c r="G528" s="43" t="inlineStr">
        <is>
          <t>OTHER_SCOPE_ITEM</t>
        </is>
      </c>
      <c r="H528" s="43" t="inlineStr"/>
      <c r="I528" s="43" t="inlineStr">
        <is>
          <t>Expired</t>
        </is>
      </c>
      <c r="J528" s="32" t="n">
        <v>46007</v>
      </c>
      <c r="K528" s="32" t="n">
        <v>45943</v>
      </c>
      <c r="L528" s="43" t="inlineStr">
        <is>
          <t>961</t>
        </is>
      </c>
      <c r="M528" s="43" t="n">
        <v>1</v>
      </c>
      <c r="N528" s="33" t="inlineStr"/>
      <c r="O528" s="43" t="inlineStr">
        <is>
          <t>UNVERIFIED</t>
        </is>
      </c>
      <c r="P528" s="43" t="inlineStr">
        <is>
          <t>Pending Review</t>
        </is>
      </c>
      <c r="Q528" s="33" t="inlineStr">
        <is>
          <t>Confirmar SKU/PCBA revision, PN exacto en Common DB, WO, BU, vigencia, planta y aprobacion firmada.</t>
        </is>
      </c>
    </row>
    <row r="529">
      <c r="A529" s="43" t="inlineStr">
        <is>
          <t>CTANJZ04871</t>
        </is>
      </c>
      <c r="B529" s="43" t="inlineStr">
        <is>
          <t>D606244</t>
        </is>
      </c>
      <c r="C529" s="43" t="inlineStr">
        <is>
          <t>018-SRGBU</t>
        </is>
      </c>
      <c r="D529" s="43" t="inlineStr">
        <is>
          <t>FJZP</t>
        </is>
      </c>
      <c r="E529" s="43" t="inlineStr">
        <is>
          <t>MCGA</t>
        </is>
      </c>
      <c r="F529" s="43" t="inlineStr">
        <is>
          <t>74-122543-05</t>
        </is>
      </c>
      <c r="G529" s="43" t="inlineStr">
        <is>
          <t>OTHER_SCOPE_ITEM</t>
        </is>
      </c>
      <c r="H529" s="43" t="inlineStr"/>
      <c r="I529" s="43" t="inlineStr">
        <is>
          <t>Expired</t>
        </is>
      </c>
      <c r="J529" s="32" t="n">
        <v>46014</v>
      </c>
      <c r="K529" s="32" t="n">
        <v>45953</v>
      </c>
      <c r="L529" s="43" t="inlineStr">
        <is>
          <t>839</t>
        </is>
      </c>
      <c r="M529" s="43" t="n">
        <v>1</v>
      </c>
      <c r="N529" s="33" t="inlineStr"/>
      <c r="O529" s="43" t="inlineStr">
        <is>
          <t>UNVERIFIED</t>
        </is>
      </c>
      <c r="P529" s="43" t="inlineStr">
        <is>
          <t>Pending Review</t>
        </is>
      </c>
      <c r="Q529" s="33" t="inlineStr">
        <is>
          <t>Confirmar SKU/PCBA revision, PN exacto en Common DB, WO, BU, vigencia, planta y aprobacion firmada.</t>
        </is>
      </c>
    </row>
    <row r="530">
      <c r="A530" s="43" t="inlineStr">
        <is>
          <t>CTANJZ04871</t>
        </is>
      </c>
      <c r="B530" s="43" t="inlineStr">
        <is>
          <t>D606244</t>
        </is>
      </c>
      <c r="C530" s="43" t="inlineStr">
        <is>
          <t>018-SRGBU</t>
        </is>
      </c>
      <c r="D530" s="43" t="inlineStr">
        <is>
          <t>FJZP</t>
        </is>
      </c>
      <c r="E530" s="43" t="inlineStr">
        <is>
          <t>MCGA</t>
        </is>
      </c>
      <c r="F530" s="43" t="inlineStr">
        <is>
          <t>74-125686-04</t>
        </is>
      </c>
      <c r="G530" s="43" t="inlineStr">
        <is>
          <t>OTHER_SCOPE_ITEM</t>
        </is>
      </c>
      <c r="H530" s="43" t="inlineStr"/>
      <c r="I530" s="43" t="inlineStr">
        <is>
          <t>Expired</t>
        </is>
      </c>
      <c r="J530" s="32" t="n">
        <v>46014</v>
      </c>
      <c r="K530" s="32" t="n">
        <v>45953</v>
      </c>
      <c r="L530" s="43" t="inlineStr">
        <is>
          <t>840</t>
        </is>
      </c>
      <c r="M530" s="43" t="n">
        <v>1</v>
      </c>
      <c r="N530" s="33" t="inlineStr"/>
      <c r="O530" s="43" t="inlineStr">
        <is>
          <t>UNVERIFIED</t>
        </is>
      </c>
      <c r="P530" s="43" t="inlineStr">
        <is>
          <t>Pending Review</t>
        </is>
      </c>
      <c r="Q530" s="33" t="inlineStr">
        <is>
          <t>Confirmar SKU/PCBA revision, PN exacto en Common DB, WO, BU, vigencia, planta y aprobacion firmada.</t>
        </is>
      </c>
    </row>
    <row r="531">
      <c r="A531" s="43" t="inlineStr">
        <is>
          <t>CTANJZ04872</t>
        </is>
      </c>
      <c r="B531" s="43" t="inlineStr">
        <is>
          <t>D606243</t>
        </is>
      </c>
      <c r="C531" s="43" t="inlineStr">
        <is>
          <t>037-STBU</t>
        </is>
      </c>
      <c r="D531" s="43" t="inlineStr">
        <is>
          <t>FJZP</t>
        </is>
      </c>
      <c r="E531" s="43" t="inlineStr">
        <is>
          <t>MCGA</t>
        </is>
      </c>
      <c r="F531" s="43" t="inlineStr">
        <is>
          <t>15-108159-01</t>
        </is>
      </c>
      <c r="G531" s="43" t="inlineStr">
        <is>
          <t>OTHER_SCOPE_ITEM</t>
        </is>
      </c>
      <c r="H531" s="43" t="inlineStr"/>
      <c r="I531" s="43" t="inlineStr">
        <is>
          <t>Expired</t>
        </is>
      </c>
      <c r="J531" s="32" t="n">
        <v>46015</v>
      </c>
      <c r="K531" s="32" t="n">
        <v>45951</v>
      </c>
      <c r="L531" s="43" t="inlineStr">
        <is>
          <t>410</t>
        </is>
      </c>
      <c r="M531" s="43" t="n">
        <v>1</v>
      </c>
      <c r="N531" s="33" t="inlineStr"/>
      <c r="O531" s="43" t="inlineStr">
        <is>
          <t>UNVERIFIED</t>
        </is>
      </c>
      <c r="P531" s="43" t="inlineStr">
        <is>
          <t>Pending Review</t>
        </is>
      </c>
      <c r="Q531" s="33" t="inlineStr">
        <is>
          <t>Confirmar SKU/PCBA revision, PN exacto en Common DB, WO, BU, vigencia, planta y aprobacion firmada.</t>
        </is>
      </c>
    </row>
    <row r="532">
      <c r="A532" s="43" t="inlineStr">
        <is>
          <t>CTANJZ04872</t>
        </is>
      </c>
      <c r="B532" s="43" t="inlineStr">
        <is>
          <t>D606243</t>
        </is>
      </c>
      <c r="C532" s="43" t="inlineStr">
        <is>
          <t>037-STBU</t>
        </is>
      </c>
      <c r="D532" s="43" t="inlineStr">
        <is>
          <t>FJZP</t>
        </is>
      </c>
      <c r="E532" s="43" t="inlineStr">
        <is>
          <t>MCGA</t>
        </is>
      </c>
      <c r="F532" s="43" t="inlineStr">
        <is>
          <t>800-108035-05</t>
        </is>
      </c>
      <c r="G532" s="43" t="inlineStr">
        <is>
          <t>OTHER_SCOPE_ITEM</t>
        </is>
      </c>
      <c r="H532" s="43" t="inlineStr"/>
      <c r="I532" s="43" t="inlineStr">
        <is>
          <t>Expired</t>
        </is>
      </c>
      <c r="J532" s="32" t="n">
        <v>46015</v>
      </c>
      <c r="K532" s="32" t="n">
        <v>45951</v>
      </c>
      <c r="L532" s="43" t="inlineStr">
        <is>
          <t>411</t>
        </is>
      </c>
      <c r="M532" s="43" t="n">
        <v>1</v>
      </c>
      <c r="N532" s="33" t="inlineStr"/>
      <c r="O532" s="43" t="inlineStr">
        <is>
          <t>UNVERIFIED</t>
        </is>
      </c>
      <c r="P532" s="43" t="inlineStr">
        <is>
          <t>Pending Review</t>
        </is>
      </c>
      <c r="Q532" s="33" t="inlineStr">
        <is>
          <t>Confirmar SKU/PCBA revision, PN exacto en Common DB, WO, BU, vigencia, planta y aprobacion firmada.</t>
        </is>
      </c>
    </row>
    <row r="533">
      <c r="A533" s="43" t="inlineStr">
        <is>
          <t>CTANJZ04872</t>
        </is>
      </c>
      <c r="B533" s="43" t="inlineStr">
        <is>
          <t>D606243</t>
        </is>
      </c>
      <c r="C533" s="43" t="inlineStr">
        <is>
          <t>037-STBU</t>
        </is>
      </c>
      <c r="D533" s="43" t="inlineStr">
        <is>
          <t>FJZP</t>
        </is>
      </c>
      <c r="E533" s="43" t="inlineStr">
        <is>
          <t>MCGA</t>
        </is>
      </c>
      <c r="F533" s="43" t="inlineStr">
        <is>
          <t>800-108037-05</t>
        </is>
      </c>
      <c r="G533" s="43" t="inlineStr">
        <is>
          <t>OTHER_SCOPE_ITEM</t>
        </is>
      </c>
      <c r="H533" s="43" t="inlineStr"/>
      <c r="I533" s="43" t="inlineStr">
        <is>
          <t>Expired</t>
        </is>
      </c>
      <c r="J533" s="32" t="n">
        <v>46015</v>
      </c>
      <c r="K533" s="32" t="n">
        <v>45951</v>
      </c>
      <c r="L533" s="43" t="inlineStr">
        <is>
          <t>412</t>
        </is>
      </c>
      <c r="M533" s="43" t="n">
        <v>1</v>
      </c>
      <c r="N533" s="33" t="inlineStr"/>
      <c r="O533" s="43" t="inlineStr">
        <is>
          <t>UNVERIFIED</t>
        </is>
      </c>
      <c r="P533" s="43" t="inlineStr">
        <is>
          <t>Pending Review</t>
        </is>
      </c>
      <c r="Q533" s="33" t="inlineStr">
        <is>
          <t>Confirmar SKU/PCBA revision, PN exacto en Common DB, WO, BU, vigencia, planta y aprobacion firmada.</t>
        </is>
      </c>
    </row>
    <row r="534">
      <c r="A534" s="43" t="inlineStr">
        <is>
          <t>CTANJZ04872</t>
        </is>
      </c>
      <c r="B534" s="43" t="inlineStr">
        <is>
          <t>D606243</t>
        </is>
      </c>
      <c r="C534" s="43" t="inlineStr">
        <is>
          <t>037-STBU</t>
        </is>
      </c>
      <c r="D534" s="43" t="inlineStr">
        <is>
          <t>FJZP</t>
        </is>
      </c>
      <c r="E534" s="43" t="inlineStr">
        <is>
          <t>MCGA</t>
        </is>
      </c>
      <c r="F534" s="43" t="inlineStr">
        <is>
          <t>800-109498-06</t>
        </is>
      </c>
      <c r="G534" s="43" t="inlineStr">
        <is>
          <t>OTHER_SCOPE_ITEM</t>
        </is>
      </c>
      <c r="H534" s="43" t="inlineStr"/>
      <c r="I534" s="43" t="inlineStr">
        <is>
          <t>Expired</t>
        </is>
      </c>
      <c r="J534" s="32" t="n">
        <v>46015</v>
      </c>
      <c r="K534" s="32" t="n">
        <v>45951</v>
      </c>
      <c r="L534" s="43" t="inlineStr">
        <is>
          <t>413</t>
        </is>
      </c>
      <c r="M534" s="43" t="n">
        <v>1</v>
      </c>
      <c r="N534" s="33" t="inlineStr"/>
      <c r="O534" s="43" t="inlineStr">
        <is>
          <t>UNVERIFIED</t>
        </is>
      </c>
      <c r="P534" s="43" t="inlineStr">
        <is>
          <t>Pending Review</t>
        </is>
      </c>
      <c r="Q534" s="33" t="inlineStr">
        <is>
          <t>Confirmar SKU/PCBA revision, PN exacto en Common DB, WO, BU, vigencia, planta y aprobacion firmada.</t>
        </is>
      </c>
    </row>
    <row r="535">
      <c r="A535" s="43" t="inlineStr">
        <is>
          <t>CTANJZ04872</t>
        </is>
      </c>
      <c r="B535" s="43" t="inlineStr">
        <is>
          <t>D606243</t>
        </is>
      </c>
      <c r="C535" s="43" t="inlineStr">
        <is>
          <t>037-STBU</t>
        </is>
      </c>
      <c r="D535" s="43" t="inlineStr">
        <is>
          <t>FJZP</t>
        </is>
      </c>
      <c r="E535" s="43" t="inlineStr">
        <is>
          <t>MCGA</t>
        </is>
      </c>
      <c r="F535" s="43" t="inlineStr">
        <is>
          <t>800-110666-02</t>
        </is>
      </c>
      <c r="G535" s="43" t="inlineStr">
        <is>
          <t>OTHER_SCOPE_ITEM</t>
        </is>
      </c>
      <c r="H535" s="43" t="inlineStr"/>
      <c r="I535" s="43" t="inlineStr">
        <is>
          <t>Expired</t>
        </is>
      </c>
      <c r="J535" s="32" t="n">
        <v>46015</v>
      </c>
      <c r="K535" s="32" t="n">
        <v>45951</v>
      </c>
      <c r="L535" s="43" t="inlineStr">
        <is>
          <t>439</t>
        </is>
      </c>
      <c r="M535" s="43" t="n">
        <v>1</v>
      </c>
      <c r="N535" s="33" t="inlineStr"/>
      <c r="O535" s="43" t="inlineStr">
        <is>
          <t>UNVERIFIED</t>
        </is>
      </c>
      <c r="P535" s="43" t="inlineStr">
        <is>
          <t>Pending Review</t>
        </is>
      </c>
      <c r="Q535" s="33" t="inlineStr">
        <is>
          <t>Confirmar SKU/PCBA revision, PN exacto en Common DB, WO, BU, vigencia, planta y aprobacion firmada.</t>
        </is>
      </c>
    </row>
    <row r="536">
      <c r="A536" s="43" t="inlineStr">
        <is>
          <t>CTANJZ04873</t>
        </is>
      </c>
      <c r="B536" s="43" t="inlineStr">
        <is>
          <t>D606385</t>
        </is>
      </c>
      <c r="C536" s="43" t="inlineStr">
        <is>
          <t>037-STBU</t>
        </is>
      </c>
      <c r="D536" s="43" t="inlineStr">
        <is>
          <t>FJZP</t>
        </is>
      </c>
      <c r="E536" s="43" t="inlineStr">
        <is>
          <t>MCGA</t>
        </is>
      </c>
      <c r="F536" s="43" t="inlineStr">
        <is>
          <t>68-104576-04</t>
        </is>
      </c>
      <c r="G536" s="43" t="inlineStr">
        <is>
          <t>OTHER_SCOPE_ITEM</t>
        </is>
      </c>
      <c r="H536" s="43" t="inlineStr"/>
      <c r="I536" s="43" t="inlineStr">
        <is>
          <t>Expired</t>
        </is>
      </c>
      <c r="J536" s="32" t="n">
        <v>46014</v>
      </c>
      <c r="K536" s="32" t="n">
        <v>45933</v>
      </c>
      <c r="L536" s="43" t="inlineStr">
        <is>
          <t>841</t>
        </is>
      </c>
      <c r="M536" s="43" t="n">
        <v>1</v>
      </c>
      <c r="N536" s="33" t="inlineStr"/>
      <c r="O536" s="43" t="inlineStr">
        <is>
          <t>UNVERIFIED</t>
        </is>
      </c>
      <c r="P536" s="43" t="inlineStr">
        <is>
          <t>Pending Review</t>
        </is>
      </c>
      <c r="Q536" s="33" t="inlineStr">
        <is>
          <t>Confirmar SKU/PCBA revision, PN exacto en Common DB, WO, BU, vigencia, planta y aprobacion firmada.</t>
        </is>
      </c>
    </row>
    <row r="537">
      <c r="A537" s="43" t="inlineStr">
        <is>
          <t>CTANJZ04873</t>
        </is>
      </c>
      <c r="B537" s="43" t="inlineStr">
        <is>
          <t>D606385</t>
        </is>
      </c>
      <c r="C537" s="43" t="inlineStr">
        <is>
          <t>037-STBU</t>
        </is>
      </c>
      <c r="D537" s="43" t="inlineStr">
        <is>
          <t>FJZP</t>
        </is>
      </c>
      <c r="E537" s="43" t="inlineStr">
        <is>
          <t>MCGA</t>
        </is>
      </c>
      <c r="F537" s="43" t="inlineStr">
        <is>
          <t>68-104621-04</t>
        </is>
      </c>
      <c r="G537" s="43" t="inlineStr">
        <is>
          <t>OTHER_SCOPE_ITEM</t>
        </is>
      </c>
      <c r="H537" s="43" t="inlineStr"/>
      <c r="I537" s="43" t="inlineStr">
        <is>
          <t>Expired</t>
        </is>
      </c>
      <c r="J537" s="32" t="n">
        <v>46014</v>
      </c>
      <c r="K537" s="32" t="n">
        <v>45933</v>
      </c>
      <c r="L537" s="43" t="inlineStr">
        <is>
          <t>902</t>
        </is>
      </c>
      <c r="M537" s="43" t="n">
        <v>1</v>
      </c>
      <c r="N537" s="33" t="inlineStr"/>
      <c r="O537" s="43" t="inlineStr">
        <is>
          <t>UNVERIFIED</t>
        </is>
      </c>
      <c r="P537" s="43" t="inlineStr">
        <is>
          <t>Pending Review</t>
        </is>
      </c>
      <c r="Q537" s="33" t="inlineStr">
        <is>
          <t>Confirmar SKU/PCBA revision, PN exacto en Common DB, WO, BU, vigencia, planta y aprobacion firmada.</t>
        </is>
      </c>
    </row>
    <row r="538">
      <c r="A538" s="43" t="inlineStr">
        <is>
          <t>CTANJZ04873</t>
        </is>
      </c>
      <c r="B538" s="43" t="inlineStr">
        <is>
          <t>D606385</t>
        </is>
      </c>
      <c r="C538" s="43" t="inlineStr">
        <is>
          <t>037-STBU</t>
        </is>
      </c>
      <c r="D538" s="43" t="inlineStr">
        <is>
          <t>FJZP</t>
        </is>
      </c>
      <c r="E538" s="43" t="inlineStr">
        <is>
          <t>MCGA</t>
        </is>
      </c>
      <c r="F538" s="43" t="inlineStr">
        <is>
          <t>800-112583-04</t>
        </is>
      </c>
      <c r="G538" s="43" t="inlineStr">
        <is>
          <t>OTHER_SCOPE_ITEM</t>
        </is>
      </c>
      <c r="H538" s="43" t="inlineStr"/>
      <c r="I538" s="43" t="inlineStr">
        <is>
          <t>Expired</t>
        </is>
      </c>
      <c r="J538" s="32" t="n">
        <v>46014</v>
      </c>
      <c r="K538" s="32" t="n">
        <v>45933</v>
      </c>
      <c r="L538" s="43" t="inlineStr">
        <is>
          <t>903</t>
        </is>
      </c>
      <c r="M538" s="43" t="n">
        <v>1</v>
      </c>
      <c r="N538" s="33" t="inlineStr"/>
      <c r="O538" s="43" t="inlineStr">
        <is>
          <t>UNVERIFIED</t>
        </is>
      </c>
      <c r="P538" s="43" t="inlineStr">
        <is>
          <t>Pending Review</t>
        </is>
      </c>
      <c r="Q538" s="33" t="inlineStr">
        <is>
          <t>Confirmar SKU/PCBA revision, PN exacto en Common DB, WO, BU, vigencia, planta y aprobacion firmada.</t>
        </is>
      </c>
    </row>
    <row r="539">
      <c r="A539" s="43" t="inlineStr">
        <is>
          <t>CTANJZ04873</t>
        </is>
      </c>
      <c r="B539" s="43" t="inlineStr">
        <is>
          <t>D606385</t>
        </is>
      </c>
      <c r="C539" s="43" t="inlineStr">
        <is>
          <t>037-STBU</t>
        </is>
      </c>
      <c r="D539" s="43" t="inlineStr">
        <is>
          <t>FJZP</t>
        </is>
      </c>
      <c r="E539" s="43" t="inlineStr">
        <is>
          <t>MCGA</t>
        </is>
      </c>
      <c r="F539" s="43" t="inlineStr">
        <is>
          <t>800-112720-04</t>
        </is>
      </c>
      <c r="G539" s="43" t="inlineStr">
        <is>
          <t>OTHER_SCOPE_ITEM</t>
        </is>
      </c>
      <c r="H539" s="43" t="inlineStr"/>
      <c r="I539" s="43" t="inlineStr">
        <is>
          <t>Expired</t>
        </is>
      </c>
      <c r="J539" s="32" t="n">
        <v>46014</v>
      </c>
      <c r="K539" s="32" t="n">
        <v>45933</v>
      </c>
      <c r="L539" s="43" t="inlineStr">
        <is>
          <t>904</t>
        </is>
      </c>
      <c r="M539" s="43" t="n">
        <v>1</v>
      </c>
      <c r="N539" s="33" t="inlineStr"/>
      <c r="O539" s="43" t="inlineStr">
        <is>
          <t>UNVERIFIED</t>
        </is>
      </c>
      <c r="P539" s="43" t="inlineStr">
        <is>
          <t>Pending Review</t>
        </is>
      </c>
      <c r="Q539" s="33" t="inlineStr">
        <is>
          <t>Confirmar SKU/PCBA revision, PN exacto en Common DB, WO, BU, vigencia, planta y aprobacion firmada.</t>
        </is>
      </c>
    </row>
    <row r="540">
      <c r="A540" s="43" t="inlineStr">
        <is>
          <t>CTANJZ04881</t>
        </is>
      </c>
      <c r="B540" s="43" t="inlineStr">
        <is>
          <t>D606269</t>
        </is>
      </c>
      <c r="C540" s="43" t="inlineStr">
        <is>
          <t>037-STBU</t>
        </is>
      </c>
      <c r="D540" s="43" t="inlineStr">
        <is>
          <t>FJZP</t>
        </is>
      </c>
      <c r="E540" s="43" t="inlineStr">
        <is>
          <t>MCGA</t>
        </is>
      </c>
      <c r="F540" s="43" t="inlineStr">
        <is>
          <t>73-103558-04</t>
        </is>
      </c>
      <c r="G540" s="43" t="inlineStr">
        <is>
          <t>BOARD_PN_CANDIDATE</t>
        </is>
      </c>
      <c r="H540" s="43" t="inlineStr"/>
      <c r="I540" s="43" t="inlineStr">
        <is>
          <t>Expired</t>
        </is>
      </c>
      <c r="J540" s="32" t="n">
        <v>46016</v>
      </c>
      <c r="K540" s="32" t="n">
        <v>45955</v>
      </c>
      <c r="L540" s="43" t="inlineStr">
        <is>
          <t>905</t>
        </is>
      </c>
      <c r="M540" s="43" t="n">
        <v>1</v>
      </c>
      <c r="N540" s="33" t="inlineStr"/>
      <c r="O540" s="43" t="inlineStr">
        <is>
          <t>UNVERIFIED</t>
        </is>
      </c>
      <c r="P540" s="43" t="inlineStr">
        <is>
          <t>Pending Review</t>
        </is>
      </c>
      <c r="Q540" s="33" t="inlineStr">
        <is>
          <t>Confirmar SKU/PCBA revision, PN exacto en Common DB, WO, BU, vigencia, planta y aprobacion firmada.</t>
        </is>
      </c>
    </row>
    <row r="541">
      <c r="A541" s="43" t="inlineStr">
        <is>
          <t>CTANJZ04884</t>
        </is>
      </c>
      <c r="B541" s="43" t="inlineStr">
        <is>
          <t>D606680</t>
        </is>
      </c>
      <c r="C541" s="43" t="inlineStr">
        <is>
          <t>035-CVEBU</t>
        </is>
      </c>
      <c r="D541" s="43" t="inlineStr">
        <is>
          <t>FJZP</t>
        </is>
      </c>
      <c r="E541" s="43" t="inlineStr">
        <is>
          <t>MCGA</t>
        </is>
      </c>
      <c r="F541" s="43" t="inlineStr">
        <is>
          <t>28-103228-04</t>
        </is>
      </c>
      <c r="G541" s="43" t="inlineStr">
        <is>
          <t>BARE_PCB_PN_CANDIDATE</t>
        </is>
      </c>
      <c r="H541" s="43" t="inlineStr"/>
      <c r="I541" s="43" t="inlineStr">
        <is>
          <t>Expired</t>
        </is>
      </c>
      <c r="J541" s="32" t="n">
        <v>46020</v>
      </c>
      <c r="K541" s="32" t="n">
        <v>45943</v>
      </c>
      <c r="L541" s="43" t="inlineStr">
        <is>
          <t>440</t>
        </is>
      </c>
      <c r="M541" s="43" t="n">
        <v>1</v>
      </c>
      <c r="N541" s="33" t="inlineStr"/>
      <c r="O541" s="43" t="inlineStr">
        <is>
          <t>UNVERIFIED</t>
        </is>
      </c>
      <c r="P541" s="43" t="inlineStr">
        <is>
          <t>Pending Review</t>
        </is>
      </c>
      <c r="Q541" s="33" t="inlineStr">
        <is>
          <t>Confirmar SKU/PCBA revision, PN exacto en Common DB, WO, BU, vigencia, planta y aprobacion firmada.</t>
        </is>
      </c>
    </row>
    <row r="542">
      <c r="A542" s="43" t="inlineStr">
        <is>
          <t>CTANJZ04884</t>
        </is>
      </c>
      <c r="B542" s="43" t="inlineStr">
        <is>
          <t>D606680</t>
        </is>
      </c>
      <c r="C542" s="43" t="inlineStr">
        <is>
          <t>035-CVEBU</t>
        </is>
      </c>
      <c r="D542" s="43" t="inlineStr">
        <is>
          <t>FJZP</t>
        </is>
      </c>
      <c r="E542" s="43" t="inlineStr">
        <is>
          <t>MCGA</t>
        </is>
      </c>
      <c r="F542" s="43" t="inlineStr">
        <is>
          <t>73-103922-04</t>
        </is>
      </c>
      <c r="G542" s="43" t="inlineStr">
        <is>
          <t>BOARD_PN_CANDIDATE</t>
        </is>
      </c>
      <c r="H542" s="43" t="inlineStr"/>
      <c r="I542" s="43" t="inlineStr">
        <is>
          <t>Expired</t>
        </is>
      </c>
      <c r="J542" s="32" t="n">
        <v>46020</v>
      </c>
      <c r="K542" s="32" t="n">
        <v>45943</v>
      </c>
      <c r="L542" s="43" t="inlineStr">
        <is>
          <t>441</t>
        </is>
      </c>
      <c r="M542" s="43" t="n">
        <v>1</v>
      </c>
      <c r="N542" s="33" t="inlineStr"/>
      <c r="O542" s="43" t="inlineStr">
        <is>
          <t>UNVERIFIED</t>
        </is>
      </c>
      <c r="P542" s="43" t="inlineStr">
        <is>
          <t>Pending Review</t>
        </is>
      </c>
      <c r="Q542" s="33" t="inlineStr">
        <is>
          <t>Confirmar SKU/PCBA revision, PN exacto en Common DB, WO, BU, vigencia, planta y aprobacion firmada.</t>
        </is>
      </c>
    </row>
    <row r="543">
      <c r="A543" s="43" t="inlineStr">
        <is>
          <t>CTANJZ04886</t>
        </is>
      </c>
      <c r="B543" s="43" t="inlineStr">
        <is>
          <t>D606659</t>
        </is>
      </c>
      <c r="C543" s="43" t="inlineStr">
        <is>
          <t>037-STBU</t>
        </is>
      </c>
      <c r="D543" s="43" t="inlineStr">
        <is>
          <t>FJZP</t>
        </is>
      </c>
      <c r="E543" s="43" t="inlineStr">
        <is>
          <t>MCGA</t>
        </is>
      </c>
      <c r="F543" s="43" t="inlineStr">
        <is>
          <t>22-100237-01</t>
        </is>
      </c>
      <c r="G543" s="43" t="inlineStr">
        <is>
          <t>OTHER_SCOPE_ITEM</t>
        </is>
      </c>
      <c r="H543" s="43" t="inlineStr"/>
      <c r="I543" s="43" t="inlineStr">
        <is>
          <t>Expired</t>
        </is>
      </c>
      <c r="J543" s="32" t="n">
        <v>46022</v>
      </c>
      <c r="K543" s="32" t="n">
        <v>45951</v>
      </c>
      <c r="L543" s="43" t="inlineStr">
        <is>
          <t>1440</t>
        </is>
      </c>
      <c r="M543" s="43" t="n">
        <v>1</v>
      </c>
      <c r="N543" s="33" t="inlineStr"/>
      <c r="O543" s="43" t="inlineStr">
        <is>
          <t>UNVERIFIED</t>
        </is>
      </c>
      <c r="P543" s="43" t="inlineStr">
        <is>
          <t>Pending Review</t>
        </is>
      </c>
      <c r="Q543" s="33" t="inlineStr">
        <is>
          <t>Confirmar SKU/PCBA revision, PN exacto en Common DB, WO, BU, vigencia, planta y aprobacion firmada.</t>
        </is>
      </c>
    </row>
    <row r="544">
      <c r="A544" s="43" t="inlineStr">
        <is>
          <t>CTANJZ04886</t>
        </is>
      </c>
      <c r="B544" s="43" t="inlineStr">
        <is>
          <t>D606659</t>
        </is>
      </c>
      <c r="C544" s="43" t="inlineStr">
        <is>
          <t>037-STBU</t>
        </is>
      </c>
      <c r="D544" s="43" t="inlineStr">
        <is>
          <t>FJZP</t>
        </is>
      </c>
      <c r="E544" s="43" t="inlineStr">
        <is>
          <t>MCGA</t>
        </is>
      </c>
      <c r="F544" s="43" t="inlineStr">
        <is>
          <t>73-102435-05</t>
        </is>
      </c>
      <c r="G544" s="43" t="inlineStr">
        <is>
          <t>BOARD_PN_CANDIDATE</t>
        </is>
      </c>
      <c r="H544" s="43" t="inlineStr"/>
      <c r="I544" s="43" t="inlineStr">
        <is>
          <t>Expired</t>
        </is>
      </c>
      <c r="J544" s="32" t="n">
        <v>46022</v>
      </c>
      <c r="K544" s="32" t="n">
        <v>45951</v>
      </c>
      <c r="L544" s="43" t="inlineStr">
        <is>
          <t>1441</t>
        </is>
      </c>
      <c r="M544" s="43" t="n">
        <v>1</v>
      </c>
      <c r="N544" s="33" t="inlineStr"/>
      <c r="O544" s="43" t="inlineStr">
        <is>
          <t>UNVERIFIED</t>
        </is>
      </c>
      <c r="P544" s="43" t="inlineStr">
        <is>
          <t>Pending Review</t>
        </is>
      </c>
      <c r="Q544" s="33" t="inlineStr">
        <is>
          <t>Confirmar SKU/PCBA revision, PN exacto en Common DB, WO, BU, vigencia, planta y aprobacion firmada.</t>
        </is>
      </c>
    </row>
    <row r="545">
      <c r="A545" s="43" t="inlineStr">
        <is>
          <t>CTANJZ04887</t>
        </is>
      </c>
      <c r="B545" s="43" t="inlineStr">
        <is>
          <t>D606802</t>
        </is>
      </c>
      <c r="C545" s="43" t="inlineStr">
        <is>
          <t>037-STBU</t>
        </is>
      </c>
      <c r="D545" s="43" t="inlineStr">
        <is>
          <t>FJZP</t>
        </is>
      </c>
      <c r="E545" s="43" t="inlineStr">
        <is>
          <t>MCGA</t>
        </is>
      </c>
      <c r="F545" s="43" t="inlineStr">
        <is>
          <t>73-103633-04</t>
        </is>
      </c>
      <c r="G545" s="43" t="inlineStr">
        <is>
          <t>BOARD_PN_CANDIDATE</t>
        </is>
      </c>
      <c r="H545" s="43" t="inlineStr"/>
      <c r="I545" s="43" t="inlineStr">
        <is>
          <t>Expired</t>
        </is>
      </c>
      <c r="J545" s="32" t="n">
        <v>46024</v>
      </c>
      <c r="K545" s="32" t="n">
        <v>45959</v>
      </c>
      <c r="L545" s="43" t="inlineStr">
        <is>
          <t>942</t>
        </is>
      </c>
      <c r="M545" s="43" t="n">
        <v>1</v>
      </c>
      <c r="N545" s="33" t="inlineStr"/>
      <c r="O545" s="43" t="inlineStr">
        <is>
          <t>UNVERIFIED</t>
        </is>
      </c>
      <c r="P545" s="43" t="inlineStr">
        <is>
          <t>Pending Review</t>
        </is>
      </c>
      <c r="Q545" s="33" t="inlineStr">
        <is>
          <t>Confirmar SKU/PCBA revision, PN exacto en Common DB, WO, BU, vigencia, planta y aprobacion firmada.</t>
        </is>
      </c>
    </row>
    <row r="546">
      <c r="A546" s="43" t="inlineStr">
        <is>
          <t>CTANJZ04887</t>
        </is>
      </c>
      <c r="B546" s="43" t="inlineStr">
        <is>
          <t>D606802</t>
        </is>
      </c>
      <c r="C546" s="43" t="inlineStr">
        <is>
          <t>037-STBU</t>
        </is>
      </c>
      <c r="D546" s="43" t="inlineStr">
        <is>
          <t>FJZP</t>
        </is>
      </c>
      <c r="E546" s="43" t="inlineStr">
        <is>
          <t>MCGA</t>
        </is>
      </c>
      <c r="F546" s="43" t="inlineStr">
        <is>
          <t>800-112720-04</t>
        </is>
      </c>
      <c r="G546" s="43" t="inlineStr">
        <is>
          <t>OTHER_SCOPE_ITEM</t>
        </is>
      </c>
      <c r="H546" s="43" t="inlineStr"/>
      <c r="I546" s="43" t="inlineStr">
        <is>
          <t>Expired</t>
        </is>
      </c>
      <c r="J546" s="32" t="n">
        <v>46024</v>
      </c>
      <c r="K546" s="32" t="n">
        <v>45959</v>
      </c>
      <c r="L546" s="43" t="inlineStr">
        <is>
          <t>943</t>
        </is>
      </c>
      <c r="M546" s="43" t="n">
        <v>1</v>
      </c>
      <c r="N546" s="33" t="inlineStr"/>
      <c r="O546" s="43" t="inlineStr">
        <is>
          <t>UNVERIFIED</t>
        </is>
      </c>
      <c r="P546" s="43" t="inlineStr">
        <is>
          <t>Pending Review</t>
        </is>
      </c>
      <c r="Q546" s="33" t="inlineStr">
        <is>
          <t>Confirmar SKU/PCBA revision, PN exacto en Common DB, WO, BU, vigencia, planta y aprobacion firmada.</t>
        </is>
      </c>
    </row>
    <row r="547">
      <c r="A547" s="43" t="inlineStr">
        <is>
          <t>CTANJZ04889</t>
        </is>
      </c>
      <c r="B547" s="43" t="inlineStr">
        <is>
          <t>D606833</t>
        </is>
      </c>
      <c r="C547" s="43" t="inlineStr">
        <is>
          <t>018-SRGBU</t>
        </is>
      </c>
      <c r="D547" s="43" t="inlineStr">
        <is>
          <t>FJZP</t>
        </is>
      </c>
      <c r="E547" s="43" t="inlineStr">
        <is>
          <t>MCGA</t>
        </is>
      </c>
      <c r="F547" s="43" t="inlineStr">
        <is>
          <t>68-7809-01</t>
        </is>
      </c>
      <c r="G547" s="43" t="inlineStr">
        <is>
          <t>OTHER_SCOPE_ITEM</t>
        </is>
      </c>
      <c r="H547" s="43" t="inlineStr"/>
      <c r="I547" s="43" t="inlineStr">
        <is>
          <t>Expired</t>
        </is>
      </c>
      <c r="J547" s="32" t="n">
        <v>46024</v>
      </c>
      <c r="K547" s="32" t="n">
        <v>45954</v>
      </c>
      <c r="L547" s="43" t="inlineStr">
        <is>
          <t>944</t>
        </is>
      </c>
      <c r="M547" s="43" t="n">
        <v>1</v>
      </c>
      <c r="N547" s="33" t="inlineStr"/>
      <c r="O547" s="43" t="inlineStr">
        <is>
          <t>UNVERIFIED</t>
        </is>
      </c>
      <c r="P547" s="43" t="inlineStr">
        <is>
          <t>Pending Review</t>
        </is>
      </c>
      <c r="Q547" s="33" t="inlineStr">
        <is>
          <t>Confirmar SKU/PCBA revision, PN exacto en Common DB, WO, BU, vigencia, planta y aprobacion firmada.</t>
        </is>
      </c>
    </row>
    <row r="548">
      <c r="A548" s="43" t="inlineStr">
        <is>
          <t>CTANJZ04892</t>
        </is>
      </c>
      <c r="B548" s="43" t="inlineStr">
        <is>
          <t>D606672</t>
        </is>
      </c>
      <c r="C548" s="43" t="inlineStr">
        <is>
          <t>035-CVEBU</t>
        </is>
      </c>
      <c r="D548" s="43" t="inlineStr">
        <is>
          <t>FJZP</t>
        </is>
      </c>
      <c r="E548" s="43" t="inlineStr">
        <is>
          <t>MCGA</t>
        </is>
      </c>
      <c r="F548" s="43" t="inlineStr">
        <is>
          <t>28-102487-05</t>
        </is>
      </c>
      <c r="G548" s="43" t="inlineStr">
        <is>
          <t>BARE_PCB_PN_CANDIDATE</t>
        </is>
      </c>
      <c r="H548" s="43" t="inlineStr"/>
      <c r="I548" s="43" t="inlineStr">
        <is>
          <t>Expired</t>
        </is>
      </c>
      <c r="J548" s="32" t="n">
        <v>46021</v>
      </c>
      <c r="K548" s="32" t="n">
        <v>45951</v>
      </c>
      <c r="L548" s="43" t="inlineStr">
        <is>
          <t>159</t>
        </is>
      </c>
      <c r="M548" s="43" t="n">
        <v>1</v>
      </c>
      <c r="N548" s="33" t="inlineStr"/>
      <c r="O548" s="43" t="inlineStr">
        <is>
          <t>UNVERIFIED</t>
        </is>
      </c>
      <c r="P548" s="43" t="inlineStr">
        <is>
          <t>Pending Review</t>
        </is>
      </c>
      <c r="Q548" s="33" t="inlineStr">
        <is>
          <t>Confirmar SKU/PCBA revision, PN exacto en Common DB, WO, BU, vigencia, planta y aprobacion firmada.</t>
        </is>
      </c>
    </row>
    <row r="549">
      <c r="A549" s="43" t="inlineStr">
        <is>
          <t>CTANJZ04892</t>
        </is>
      </c>
      <c r="B549" s="43" t="inlineStr">
        <is>
          <t>D606672</t>
        </is>
      </c>
      <c r="C549" s="43" t="inlineStr">
        <is>
          <t>035-CVEBU</t>
        </is>
      </c>
      <c r="D549" s="43" t="inlineStr">
        <is>
          <t>FJZP</t>
        </is>
      </c>
      <c r="E549" s="43" t="inlineStr">
        <is>
          <t>MCGA</t>
        </is>
      </c>
      <c r="F549" s="43" t="inlineStr">
        <is>
          <t>73-102197-02</t>
        </is>
      </c>
      <c r="G549" s="43" t="inlineStr">
        <is>
          <t>BOARD_PN_CANDIDATE</t>
        </is>
      </c>
      <c r="H549" s="43" t="inlineStr"/>
      <c r="I549" s="43" t="inlineStr">
        <is>
          <t>Expired</t>
        </is>
      </c>
      <c r="J549" s="32" t="n">
        <v>46021</v>
      </c>
      <c r="K549" s="32" t="n">
        <v>45951</v>
      </c>
      <c r="L549" s="43" t="inlineStr">
        <is>
          <t>160</t>
        </is>
      </c>
      <c r="M549" s="43" t="n">
        <v>1</v>
      </c>
      <c r="N549" s="33" t="inlineStr"/>
      <c r="O549" s="43" t="inlineStr">
        <is>
          <t>UNVERIFIED</t>
        </is>
      </c>
      <c r="P549" s="43" t="inlineStr">
        <is>
          <t>Pending Review</t>
        </is>
      </c>
      <c r="Q549" s="33" t="inlineStr">
        <is>
          <t>Confirmar SKU/PCBA revision, PN exacto en Common DB, WO, BU, vigencia, planta y aprobacion firmada.</t>
        </is>
      </c>
    </row>
    <row r="550">
      <c r="A550" s="43" t="inlineStr">
        <is>
          <t>CTANJZ04893</t>
        </is>
      </c>
      <c r="B550" s="43" t="inlineStr">
        <is>
          <t>D606870</t>
        </is>
      </c>
      <c r="C550" s="43" t="inlineStr">
        <is>
          <t>018-SRGBU</t>
        </is>
      </c>
      <c r="D550" s="43" t="inlineStr">
        <is>
          <t>FJZP</t>
        </is>
      </c>
      <c r="E550" s="43" t="inlineStr">
        <is>
          <t>MCGA</t>
        </is>
      </c>
      <c r="F550" s="43" t="inlineStr">
        <is>
          <t>16-102062-01</t>
        </is>
      </c>
      <c r="G550" s="43" t="inlineStr">
        <is>
          <t>OTHER_SCOPE_ITEM</t>
        </is>
      </c>
      <c r="H550" s="43" t="inlineStr"/>
      <c r="I550" s="43" t="inlineStr">
        <is>
          <t>Expired</t>
        </is>
      </c>
      <c r="J550" s="32" t="n">
        <v>46027</v>
      </c>
      <c r="K550" s="32" t="n">
        <v>45954</v>
      </c>
      <c r="L550" s="43" t="inlineStr">
        <is>
          <t>419</t>
        </is>
      </c>
      <c r="M550" s="43" t="n">
        <v>1</v>
      </c>
      <c r="N550" s="33" t="inlineStr"/>
      <c r="O550" s="43" t="inlineStr">
        <is>
          <t>UNVERIFIED</t>
        </is>
      </c>
      <c r="P550" s="43" t="inlineStr">
        <is>
          <t>Pending Review</t>
        </is>
      </c>
      <c r="Q550" s="33" t="inlineStr">
        <is>
          <t>Confirmar SKU/PCBA revision, PN exacto en Common DB, WO, BU, vigencia, planta y aprobacion firmada.</t>
        </is>
      </c>
    </row>
    <row r="551">
      <c r="A551" s="43" t="inlineStr">
        <is>
          <t>CTANJZ04893</t>
        </is>
      </c>
      <c r="B551" s="43" t="inlineStr">
        <is>
          <t>D606870</t>
        </is>
      </c>
      <c r="C551" s="43" t="inlineStr">
        <is>
          <t>018-SRGBU</t>
        </is>
      </c>
      <c r="D551" s="43" t="inlineStr">
        <is>
          <t>FJZP</t>
        </is>
      </c>
      <c r="E551" s="43" t="inlineStr">
        <is>
          <t>MCGA</t>
        </is>
      </c>
      <c r="F551" s="43" t="inlineStr">
        <is>
          <t>17-103018-01</t>
        </is>
      </c>
      <c r="G551" s="43" t="inlineStr">
        <is>
          <t>OTHER_SCOPE_ITEM</t>
        </is>
      </c>
      <c r="H551" s="43" t="inlineStr"/>
      <c r="I551" s="43" t="inlineStr">
        <is>
          <t>Expired</t>
        </is>
      </c>
      <c r="J551" s="32" t="n">
        <v>46027</v>
      </c>
      <c r="K551" s="32" t="n">
        <v>45954</v>
      </c>
      <c r="L551" s="43" t="inlineStr">
        <is>
          <t>420</t>
        </is>
      </c>
      <c r="M551" s="43" t="n">
        <v>1</v>
      </c>
      <c r="N551" s="33" t="inlineStr"/>
      <c r="O551" s="43" t="inlineStr">
        <is>
          <t>UNVERIFIED</t>
        </is>
      </c>
      <c r="P551" s="43" t="inlineStr">
        <is>
          <t>Pending Review</t>
        </is>
      </c>
      <c r="Q551" s="33" t="inlineStr">
        <is>
          <t>Confirmar SKU/PCBA revision, PN exacto en Common DB, WO, BU, vigencia, planta y aprobacion firmada.</t>
        </is>
      </c>
    </row>
    <row r="552">
      <c r="A552" s="43" t="inlineStr">
        <is>
          <t>CTANJZ04893</t>
        </is>
      </c>
      <c r="B552" s="43" t="inlineStr">
        <is>
          <t>D606870</t>
        </is>
      </c>
      <c r="C552" s="43" t="inlineStr">
        <is>
          <t>018-SRGBU</t>
        </is>
      </c>
      <c r="D552" s="43" t="inlineStr">
        <is>
          <t>FJZP</t>
        </is>
      </c>
      <c r="E552" s="43" t="inlineStr">
        <is>
          <t>MCGA</t>
        </is>
      </c>
      <c r="F552" s="43" t="inlineStr">
        <is>
          <t>74-133408-02</t>
        </is>
      </c>
      <c r="G552" s="43" t="inlineStr">
        <is>
          <t>OTHER_SCOPE_ITEM</t>
        </is>
      </c>
      <c r="H552" s="43" t="inlineStr">
        <is>
          <t>ARATA</t>
        </is>
      </c>
      <c r="I552" s="43" t="inlineStr">
        <is>
          <t>Expired</t>
        </is>
      </c>
      <c r="J552" s="32" t="n">
        <v>46027</v>
      </c>
      <c r="K552" s="32" t="n">
        <v>45954</v>
      </c>
      <c r="L552" s="43" t="inlineStr">
        <is>
          <t>421</t>
        </is>
      </c>
      <c r="M552" s="43" t="n">
        <v>1</v>
      </c>
      <c r="N552" s="33" t="inlineStr"/>
      <c r="O552" s="43" t="inlineStr">
        <is>
          <t>UNVERIFIED</t>
        </is>
      </c>
      <c r="P552" s="43" t="inlineStr">
        <is>
          <t>Pending Review</t>
        </is>
      </c>
      <c r="Q552" s="33" t="inlineStr">
        <is>
          <t>Confirmar SKU/PCBA revision, PN exacto en Common DB, WO, BU, vigencia, planta y aprobacion firmada.</t>
        </is>
      </c>
    </row>
    <row r="553">
      <c r="A553" s="43" t="inlineStr">
        <is>
          <t>CTANJZ04893</t>
        </is>
      </c>
      <c r="B553" s="43" t="inlineStr">
        <is>
          <t>D606870</t>
        </is>
      </c>
      <c r="C553" s="43" t="inlineStr">
        <is>
          <t>018-SRGBU</t>
        </is>
      </c>
      <c r="D553" s="43" t="inlineStr">
        <is>
          <t>FJZP</t>
        </is>
      </c>
      <c r="E553" s="43" t="inlineStr">
        <is>
          <t>MCGA</t>
        </is>
      </c>
      <c r="F553" s="43" t="inlineStr">
        <is>
          <t>74-134702-02</t>
        </is>
      </c>
      <c r="G553" s="43" t="inlineStr">
        <is>
          <t>OTHER_SCOPE_ITEM</t>
        </is>
      </c>
      <c r="H553" s="43" t="inlineStr"/>
      <c r="I553" s="43" t="inlineStr">
        <is>
          <t>Expired</t>
        </is>
      </c>
      <c r="J553" s="32" t="n">
        <v>46027</v>
      </c>
      <c r="K553" s="32" t="n">
        <v>45954</v>
      </c>
      <c r="L553" s="43" t="inlineStr">
        <is>
          <t>422</t>
        </is>
      </c>
      <c r="M553" s="43" t="n">
        <v>1</v>
      </c>
      <c r="N553" s="33" t="inlineStr"/>
      <c r="O553" s="43" t="inlineStr">
        <is>
          <t>UNVERIFIED</t>
        </is>
      </c>
      <c r="P553" s="43" t="inlineStr">
        <is>
          <t>Pending Review</t>
        </is>
      </c>
      <c r="Q553" s="33" t="inlineStr">
        <is>
          <t>Confirmar SKU/PCBA revision, PN exacto en Common DB, WO, BU, vigencia, planta y aprobacion firmada.</t>
        </is>
      </c>
    </row>
    <row r="554">
      <c r="A554" s="43" t="inlineStr">
        <is>
          <t>CTANJZ04894</t>
        </is>
      </c>
      <c r="B554" s="43" t="inlineStr">
        <is>
          <t>D606830</t>
        </is>
      </c>
      <c r="C554" s="43" t="inlineStr">
        <is>
          <t>037-STBU</t>
        </is>
      </c>
      <c r="D554" s="43" t="inlineStr">
        <is>
          <t>FJZP</t>
        </is>
      </c>
      <c r="E554" s="43" t="inlineStr">
        <is>
          <t>MCGA</t>
        </is>
      </c>
      <c r="F554" s="43" t="inlineStr">
        <is>
          <t>15-108159-01</t>
        </is>
      </c>
      <c r="G554" s="43" t="inlineStr">
        <is>
          <t>OTHER_SCOPE_ITEM</t>
        </is>
      </c>
      <c r="H554" s="43" t="inlineStr"/>
      <c r="I554" s="43" t="inlineStr">
        <is>
          <t>Expired</t>
        </is>
      </c>
      <c r="J554" s="32" t="n">
        <v>46027</v>
      </c>
      <c r="K554" s="32" t="n">
        <v>45955</v>
      </c>
      <c r="L554" s="43" t="inlineStr">
        <is>
          <t>414</t>
        </is>
      </c>
      <c r="M554" s="43" t="n">
        <v>1</v>
      </c>
      <c r="N554" s="33" t="inlineStr"/>
      <c r="O554" s="43" t="inlineStr">
        <is>
          <t>UNVERIFIED</t>
        </is>
      </c>
      <c r="P554" s="43" t="inlineStr">
        <is>
          <t>Pending Review</t>
        </is>
      </c>
      <c r="Q554" s="33" t="inlineStr">
        <is>
          <t>Confirmar SKU/PCBA revision, PN exacto en Common DB, WO, BU, vigencia, planta y aprobacion firmada.</t>
        </is>
      </c>
    </row>
    <row r="555">
      <c r="A555" s="43" t="inlineStr">
        <is>
          <t>CTANJZ04894</t>
        </is>
      </c>
      <c r="B555" s="43" t="inlineStr">
        <is>
          <t>D606830</t>
        </is>
      </c>
      <c r="C555" s="43" t="inlineStr">
        <is>
          <t>037-STBU</t>
        </is>
      </c>
      <c r="D555" s="43" t="inlineStr">
        <is>
          <t>FJZP</t>
        </is>
      </c>
      <c r="E555" s="43" t="inlineStr">
        <is>
          <t>MCGA</t>
        </is>
      </c>
      <c r="F555" s="43" t="inlineStr">
        <is>
          <t>800-108035-05</t>
        </is>
      </c>
      <c r="G555" s="43" t="inlineStr">
        <is>
          <t>OTHER_SCOPE_ITEM</t>
        </is>
      </c>
      <c r="H555" s="43" t="inlineStr"/>
      <c r="I555" s="43" t="inlineStr">
        <is>
          <t>Expired</t>
        </is>
      </c>
      <c r="J555" s="32" t="n">
        <v>46027</v>
      </c>
      <c r="K555" s="32" t="n">
        <v>45955</v>
      </c>
      <c r="L555" s="43" t="inlineStr">
        <is>
          <t>415</t>
        </is>
      </c>
      <c r="M555" s="43" t="n">
        <v>1</v>
      </c>
      <c r="N555" s="33" t="inlineStr"/>
      <c r="O555" s="43" t="inlineStr">
        <is>
          <t>UNVERIFIED</t>
        </is>
      </c>
      <c r="P555" s="43" t="inlineStr">
        <is>
          <t>Pending Review</t>
        </is>
      </c>
      <c r="Q555" s="33" t="inlineStr">
        <is>
          <t>Confirmar SKU/PCBA revision, PN exacto en Common DB, WO, BU, vigencia, planta y aprobacion firmada.</t>
        </is>
      </c>
    </row>
    <row r="556">
      <c r="A556" s="43" t="inlineStr">
        <is>
          <t>CTANJZ04894</t>
        </is>
      </c>
      <c r="B556" s="43" t="inlineStr">
        <is>
          <t>D606830</t>
        </is>
      </c>
      <c r="C556" s="43" t="inlineStr">
        <is>
          <t>037-STBU</t>
        </is>
      </c>
      <c r="D556" s="43" t="inlineStr">
        <is>
          <t>FJZP</t>
        </is>
      </c>
      <c r="E556" s="43" t="inlineStr">
        <is>
          <t>MCGA</t>
        </is>
      </c>
      <c r="F556" s="43" t="inlineStr">
        <is>
          <t>800-108037-05</t>
        </is>
      </c>
      <c r="G556" s="43" t="inlineStr">
        <is>
          <t>OTHER_SCOPE_ITEM</t>
        </is>
      </c>
      <c r="H556" s="43" t="inlineStr"/>
      <c r="I556" s="43" t="inlineStr">
        <is>
          <t>Expired</t>
        </is>
      </c>
      <c r="J556" s="32" t="n">
        <v>46027</v>
      </c>
      <c r="K556" s="32" t="n">
        <v>45955</v>
      </c>
      <c r="L556" s="43" t="inlineStr">
        <is>
          <t>416</t>
        </is>
      </c>
      <c r="M556" s="43" t="n">
        <v>1</v>
      </c>
      <c r="N556" s="33" t="inlineStr"/>
      <c r="O556" s="43" t="inlineStr">
        <is>
          <t>UNVERIFIED</t>
        </is>
      </c>
      <c r="P556" s="43" t="inlineStr">
        <is>
          <t>Pending Review</t>
        </is>
      </c>
      <c r="Q556" s="33" t="inlineStr">
        <is>
          <t>Confirmar SKU/PCBA revision, PN exacto en Common DB, WO, BU, vigencia, planta y aprobacion firmada.</t>
        </is>
      </c>
    </row>
    <row r="557">
      <c r="A557" s="43" t="inlineStr">
        <is>
          <t>CTANJZ04894</t>
        </is>
      </c>
      <c r="B557" s="43" t="inlineStr">
        <is>
          <t>D606830</t>
        </is>
      </c>
      <c r="C557" s="43" t="inlineStr">
        <is>
          <t>037-STBU</t>
        </is>
      </c>
      <c r="D557" s="43" t="inlineStr">
        <is>
          <t>FJZP</t>
        </is>
      </c>
      <c r="E557" s="43" t="inlineStr">
        <is>
          <t>MCGA</t>
        </is>
      </c>
      <c r="F557" s="43" t="inlineStr">
        <is>
          <t>800-109498-06</t>
        </is>
      </c>
      <c r="G557" s="43" t="inlineStr">
        <is>
          <t>OTHER_SCOPE_ITEM</t>
        </is>
      </c>
      <c r="H557" s="43" t="inlineStr"/>
      <c r="I557" s="43" t="inlineStr">
        <is>
          <t>Expired</t>
        </is>
      </c>
      <c r="J557" s="32" t="n">
        <v>46027</v>
      </c>
      <c r="K557" s="32" t="n">
        <v>45955</v>
      </c>
      <c r="L557" s="43" t="inlineStr">
        <is>
          <t>417</t>
        </is>
      </c>
      <c r="M557" s="43" t="n">
        <v>1</v>
      </c>
      <c r="N557" s="33" t="inlineStr"/>
      <c r="O557" s="43" t="inlineStr">
        <is>
          <t>UNVERIFIED</t>
        </is>
      </c>
      <c r="P557" s="43" t="inlineStr">
        <is>
          <t>Pending Review</t>
        </is>
      </c>
      <c r="Q557" s="33" t="inlineStr">
        <is>
          <t>Confirmar SKU/PCBA revision, PN exacto en Common DB, WO, BU, vigencia, planta y aprobacion firmada.</t>
        </is>
      </c>
    </row>
    <row r="558">
      <c r="A558" s="43" t="inlineStr">
        <is>
          <t>CTANJZ04894</t>
        </is>
      </c>
      <c r="B558" s="43" t="inlineStr">
        <is>
          <t>D606830</t>
        </is>
      </c>
      <c r="C558" s="43" t="inlineStr">
        <is>
          <t>037-STBU</t>
        </is>
      </c>
      <c r="D558" s="43" t="inlineStr">
        <is>
          <t>FJZP</t>
        </is>
      </c>
      <c r="E558" s="43" t="inlineStr">
        <is>
          <t>MCGA</t>
        </is>
      </c>
      <c r="F558" s="43" t="inlineStr">
        <is>
          <t>800-110666-02</t>
        </is>
      </c>
      <c r="G558" s="43" t="inlineStr">
        <is>
          <t>OTHER_SCOPE_ITEM</t>
        </is>
      </c>
      <c r="H558" s="43" t="inlineStr"/>
      <c r="I558" s="43" t="inlineStr">
        <is>
          <t>Expired</t>
        </is>
      </c>
      <c r="J558" s="32" t="n">
        <v>46027</v>
      </c>
      <c r="K558" s="32" t="n">
        <v>45955</v>
      </c>
      <c r="L558" s="43" t="inlineStr">
        <is>
          <t>418</t>
        </is>
      </c>
      <c r="M558" s="43" t="n">
        <v>1</v>
      </c>
      <c r="N558" s="33" t="inlineStr"/>
      <c r="O558" s="43" t="inlineStr">
        <is>
          <t>UNVERIFIED</t>
        </is>
      </c>
      <c r="P558" s="43" t="inlineStr">
        <is>
          <t>Pending Review</t>
        </is>
      </c>
      <c r="Q558" s="33" t="inlineStr">
        <is>
          <t>Confirmar SKU/PCBA revision, PN exacto en Common DB, WO, BU, vigencia, planta y aprobacion firmada.</t>
        </is>
      </c>
    </row>
    <row r="559">
      <c r="A559" s="43" t="inlineStr">
        <is>
          <t>CTANJZ04896</t>
        </is>
      </c>
      <c r="B559" s="43" t="inlineStr">
        <is>
          <t>D605020</t>
        </is>
      </c>
      <c r="C559" s="43" t="inlineStr">
        <is>
          <t>037-STBU</t>
        </is>
      </c>
      <c r="D559" s="43" t="inlineStr">
        <is>
          <t>FJZP</t>
        </is>
      </c>
      <c r="E559" s="43" t="inlineStr">
        <is>
          <t>MCGA</t>
        </is>
      </c>
      <c r="F559" s="43" t="inlineStr">
        <is>
          <t>17-102040-06</t>
        </is>
      </c>
      <c r="G559" s="43" t="inlineStr">
        <is>
          <t>OTHER_SCOPE_ITEM</t>
        </is>
      </c>
      <c r="H559" s="43" t="inlineStr"/>
      <c r="I559" s="43" t="inlineStr">
        <is>
          <t>Expired</t>
        </is>
      </c>
      <c r="J559" s="32" t="n">
        <v>46026</v>
      </c>
      <c r="K559" s="32" t="n">
        <v>45951</v>
      </c>
      <c r="L559" s="43" t="inlineStr">
        <is>
          <t>38</t>
        </is>
      </c>
      <c r="M559" s="43" t="n">
        <v>1</v>
      </c>
      <c r="N559" s="33" t="inlineStr"/>
      <c r="O559" s="43" t="inlineStr">
        <is>
          <t>UNVERIFIED</t>
        </is>
      </c>
      <c r="P559" s="43" t="inlineStr">
        <is>
          <t>Pending Review</t>
        </is>
      </c>
      <c r="Q559" s="33" t="inlineStr">
        <is>
          <t>Confirmar SKU/PCBA revision, PN exacto en Common DB, WO, BU, vigencia, planta y aprobacion firmada.</t>
        </is>
      </c>
    </row>
    <row r="560">
      <c r="A560" s="43" t="inlineStr">
        <is>
          <t>CTANJZ04896</t>
        </is>
      </c>
      <c r="B560" s="43" t="inlineStr">
        <is>
          <t>D605020</t>
        </is>
      </c>
      <c r="C560" s="43" t="inlineStr">
        <is>
          <t>037-STBU</t>
        </is>
      </c>
      <c r="D560" s="43" t="inlineStr">
        <is>
          <t>FJZP</t>
        </is>
      </c>
      <c r="E560" s="43" t="inlineStr">
        <is>
          <t>MCGA</t>
        </is>
      </c>
      <c r="F560" s="43" t="inlineStr">
        <is>
          <t>17-102041-07</t>
        </is>
      </c>
      <c r="G560" s="43" t="inlineStr">
        <is>
          <t>OTHER_SCOPE_ITEM</t>
        </is>
      </c>
      <c r="H560" s="43" t="inlineStr"/>
      <c r="I560" s="43" t="inlineStr">
        <is>
          <t>Expired</t>
        </is>
      </c>
      <c r="J560" s="32" t="n">
        <v>46026</v>
      </c>
      <c r="K560" s="32" t="n">
        <v>45951</v>
      </c>
      <c r="L560" s="43" t="inlineStr">
        <is>
          <t>39</t>
        </is>
      </c>
      <c r="M560" s="43" t="n">
        <v>1</v>
      </c>
      <c r="N560" s="33" t="inlineStr"/>
      <c r="O560" s="43" t="inlineStr">
        <is>
          <t>UNVERIFIED</t>
        </is>
      </c>
      <c r="P560" s="43" t="inlineStr">
        <is>
          <t>Pending Review</t>
        </is>
      </c>
      <c r="Q560" s="33" t="inlineStr">
        <is>
          <t>Confirmar SKU/PCBA revision, PN exacto en Common DB, WO, BU, vigencia, planta y aprobacion firmada.</t>
        </is>
      </c>
    </row>
    <row r="561">
      <c r="A561" s="43" t="inlineStr">
        <is>
          <t>CTANJZ04896</t>
        </is>
      </c>
      <c r="B561" s="43" t="inlineStr">
        <is>
          <t>D605020</t>
        </is>
      </c>
      <c r="C561" s="43" t="inlineStr">
        <is>
          <t>037-STBU</t>
        </is>
      </c>
      <c r="D561" s="43" t="inlineStr">
        <is>
          <t>FJZP</t>
        </is>
      </c>
      <c r="E561" s="43" t="inlineStr">
        <is>
          <t>MCGA</t>
        </is>
      </c>
      <c r="F561" s="43" t="inlineStr">
        <is>
          <t>17-102043-03</t>
        </is>
      </c>
      <c r="G561" s="43" t="inlineStr">
        <is>
          <t>OTHER_SCOPE_ITEM</t>
        </is>
      </c>
      <c r="H561" s="43" t="inlineStr"/>
      <c r="I561" s="43" t="inlineStr">
        <is>
          <t>Expired</t>
        </is>
      </c>
      <c r="J561" s="32" t="n">
        <v>46026</v>
      </c>
      <c r="K561" s="32" t="n">
        <v>45951</v>
      </c>
      <c r="L561" s="43" t="inlineStr">
        <is>
          <t>40</t>
        </is>
      </c>
      <c r="M561" s="43" t="n">
        <v>1</v>
      </c>
      <c r="N561" s="33" t="inlineStr"/>
      <c r="O561" s="43" t="inlineStr">
        <is>
          <t>UNVERIFIED</t>
        </is>
      </c>
      <c r="P561" s="43" t="inlineStr">
        <is>
          <t>Pending Review</t>
        </is>
      </c>
      <c r="Q561" s="33" t="inlineStr">
        <is>
          <t>Confirmar SKU/PCBA revision, PN exacto en Common DB, WO, BU, vigencia, planta y aprobacion firmada.</t>
        </is>
      </c>
    </row>
    <row r="562">
      <c r="A562" s="43" t="inlineStr">
        <is>
          <t>CTANJZ04896</t>
        </is>
      </c>
      <c r="B562" s="43" t="inlineStr">
        <is>
          <t>D605020</t>
        </is>
      </c>
      <c r="C562" s="43" t="inlineStr">
        <is>
          <t>037-STBU</t>
        </is>
      </c>
      <c r="D562" s="43" t="inlineStr">
        <is>
          <t>FJZP</t>
        </is>
      </c>
      <c r="E562" s="43" t="inlineStr">
        <is>
          <t>MCGA</t>
        </is>
      </c>
      <c r="F562" s="43" t="inlineStr">
        <is>
          <t>17-102050-07</t>
        </is>
      </c>
      <c r="G562" s="43" t="inlineStr">
        <is>
          <t>OTHER_SCOPE_ITEM</t>
        </is>
      </c>
      <c r="H562" s="43" t="inlineStr"/>
      <c r="I562" s="43" t="inlineStr">
        <is>
          <t>Expired</t>
        </is>
      </c>
      <c r="J562" s="32" t="n">
        <v>46026</v>
      </c>
      <c r="K562" s="32" t="n">
        <v>45951</v>
      </c>
      <c r="L562" s="43" t="inlineStr">
        <is>
          <t>41</t>
        </is>
      </c>
      <c r="M562" s="43" t="n">
        <v>1</v>
      </c>
      <c r="N562" s="33" t="inlineStr"/>
      <c r="O562" s="43" t="inlineStr">
        <is>
          <t>UNVERIFIED</t>
        </is>
      </c>
      <c r="P562" s="43" t="inlineStr">
        <is>
          <t>Pending Review</t>
        </is>
      </c>
      <c r="Q562" s="33" t="inlineStr">
        <is>
          <t>Confirmar SKU/PCBA revision, PN exacto en Common DB, WO, BU, vigencia, planta y aprobacion firmada.</t>
        </is>
      </c>
    </row>
    <row r="563">
      <c r="A563" s="43" t="inlineStr">
        <is>
          <t>CTANJZ04896</t>
        </is>
      </c>
      <c r="B563" s="43" t="inlineStr">
        <is>
          <t>D605020</t>
        </is>
      </c>
      <c r="C563" s="43" t="inlineStr">
        <is>
          <t>037-STBU</t>
        </is>
      </c>
      <c r="D563" s="43" t="inlineStr">
        <is>
          <t>FJZP</t>
        </is>
      </c>
      <c r="E563" s="43" t="inlineStr">
        <is>
          <t>MCGA</t>
        </is>
      </c>
      <c r="F563" s="43" t="inlineStr">
        <is>
          <t>17-102102-03</t>
        </is>
      </c>
      <c r="G563" s="43" t="inlineStr">
        <is>
          <t>OTHER_SCOPE_ITEM</t>
        </is>
      </c>
      <c r="H563" s="43" t="inlineStr"/>
      <c r="I563" s="43" t="inlineStr">
        <is>
          <t>Expired</t>
        </is>
      </c>
      <c r="J563" s="32" t="n">
        <v>46026</v>
      </c>
      <c r="K563" s="32" t="n">
        <v>45951</v>
      </c>
      <c r="L563" s="43" t="inlineStr">
        <is>
          <t>42</t>
        </is>
      </c>
      <c r="M563" s="43" t="n">
        <v>1</v>
      </c>
      <c r="N563" s="33" t="inlineStr"/>
      <c r="O563" s="43" t="inlineStr">
        <is>
          <t>UNVERIFIED</t>
        </is>
      </c>
      <c r="P563" s="43" t="inlineStr">
        <is>
          <t>Pending Review</t>
        </is>
      </c>
      <c r="Q563" s="33" t="inlineStr">
        <is>
          <t>Confirmar SKU/PCBA revision, PN exacto en Common DB, WO, BU, vigencia, planta y aprobacion firmada.</t>
        </is>
      </c>
    </row>
    <row r="564">
      <c r="A564" s="43" t="inlineStr">
        <is>
          <t>CTANJZ04896</t>
        </is>
      </c>
      <c r="B564" s="43" t="inlineStr">
        <is>
          <t>D605020</t>
        </is>
      </c>
      <c r="C564" s="43" t="inlineStr">
        <is>
          <t>037-STBU</t>
        </is>
      </c>
      <c r="D564" s="43" t="inlineStr">
        <is>
          <t>FJZP</t>
        </is>
      </c>
      <c r="E564" s="43" t="inlineStr">
        <is>
          <t>MCGA</t>
        </is>
      </c>
      <c r="F564" s="43" t="inlineStr">
        <is>
          <t>17-16001-07</t>
        </is>
      </c>
      <c r="G564" s="43" t="inlineStr">
        <is>
          <t>OTHER_SCOPE_ITEM</t>
        </is>
      </c>
      <c r="H564" s="43" t="inlineStr"/>
      <c r="I564" s="43" t="inlineStr">
        <is>
          <t>Expired</t>
        </is>
      </c>
      <c r="J564" s="32" t="n">
        <v>46026</v>
      </c>
      <c r="K564" s="32" t="n">
        <v>45951</v>
      </c>
      <c r="L564" s="43" t="inlineStr">
        <is>
          <t>43</t>
        </is>
      </c>
      <c r="M564" s="43" t="n">
        <v>1</v>
      </c>
      <c r="N564" s="33" t="inlineStr"/>
      <c r="O564" s="43" t="inlineStr">
        <is>
          <t>UNVERIFIED</t>
        </is>
      </c>
      <c r="P564" s="43" t="inlineStr">
        <is>
          <t>Pending Review</t>
        </is>
      </c>
      <c r="Q564" s="33" t="inlineStr">
        <is>
          <t>Confirmar SKU/PCBA revision, PN exacto en Common DB, WO, BU, vigencia, planta y aprobacion firmada.</t>
        </is>
      </c>
    </row>
    <row r="565">
      <c r="A565" s="43" t="inlineStr">
        <is>
          <t>CTANJZ04896</t>
        </is>
      </c>
      <c r="B565" s="43" t="inlineStr">
        <is>
          <t>D605020</t>
        </is>
      </c>
      <c r="C565" s="43" t="inlineStr">
        <is>
          <t>037-STBU</t>
        </is>
      </c>
      <c r="D565" s="43" t="inlineStr">
        <is>
          <t>FJZP</t>
        </is>
      </c>
      <c r="E565" s="43" t="inlineStr">
        <is>
          <t>MCGA</t>
        </is>
      </c>
      <c r="F565" s="43" t="inlineStr">
        <is>
          <t>73-20249-05</t>
        </is>
      </c>
      <c r="G565" s="43" t="inlineStr">
        <is>
          <t>BOARD_PN_CANDIDATE</t>
        </is>
      </c>
      <c r="H565" s="43" t="inlineStr"/>
      <c r="I565" s="43" t="inlineStr">
        <is>
          <t>Expired</t>
        </is>
      </c>
      <c r="J565" s="32" t="n">
        <v>46026</v>
      </c>
      <c r="K565" s="32" t="n">
        <v>45951</v>
      </c>
      <c r="L565" s="43" t="inlineStr">
        <is>
          <t>44</t>
        </is>
      </c>
      <c r="M565" s="43" t="n">
        <v>1</v>
      </c>
      <c r="N565" s="33" t="inlineStr"/>
      <c r="O565" s="43" t="inlineStr">
        <is>
          <t>UNVERIFIED</t>
        </is>
      </c>
      <c r="P565" s="43" t="inlineStr">
        <is>
          <t>Pending Review</t>
        </is>
      </c>
      <c r="Q565" s="33" t="inlineStr">
        <is>
          <t>Confirmar SKU/PCBA revision, PN exacto en Common DB, WO, BU, vigencia, planta y aprobacion firmada.</t>
        </is>
      </c>
    </row>
    <row r="566">
      <c r="A566" s="43" t="inlineStr">
        <is>
          <t>CTANJZ04898</t>
        </is>
      </c>
      <c r="B566" s="43" t="inlineStr">
        <is>
          <t>DP525313</t>
        </is>
      </c>
      <c r="C566" s="43" t="inlineStr">
        <is>
          <t>037-STBU</t>
        </is>
      </c>
      <c r="D566" s="43" t="inlineStr">
        <is>
          <t>FJZP</t>
        </is>
      </c>
      <c r="E566" s="43" t="inlineStr">
        <is>
          <t>MCGA</t>
        </is>
      </c>
      <c r="F566" s="43" t="inlineStr">
        <is>
          <t>68-104575-04</t>
        </is>
      </c>
      <c r="G566" s="43" t="inlineStr">
        <is>
          <t>OTHER_SCOPE_ITEM</t>
        </is>
      </c>
      <c r="H566" s="43" t="inlineStr"/>
      <c r="I566" s="43" t="inlineStr">
        <is>
          <t>Expired</t>
        </is>
      </c>
      <c r="J566" s="32" t="n">
        <v>45999</v>
      </c>
      <c r="K566" s="32" t="n">
        <v>45951</v>
      </c>
      <c r="L566" s="43" t="inlineStr">
        <is>
          <t>886</t>
        </is>
      </c>
      <c r="M566" s="43" t="n">
        <v>1</v>
      </c>
      <c r="N566" s="33" t="inlineStr"/>
      <c r="O566" s="43" t="inlineStr">
        <is>
          <t>UNVERIFIED</t>
        </is>
      </c>
      <c r="P566" s="43" t="inlineStr">
        <is>
          <t>Pending Review</t>
        </is>
      </c>
      <c r="Q566" s="33" t="inlineStr">
        <is>
          <t>Confirmar SKU/PCBA revision, PN exacto en Common DB, WO, BU, vigencia, planta y aprobacion firmada.</t>
        </is>
      </c>
    </row>
    <row r="567">
      <c r="A567" s="43" t="inlineStr">
        <is>
          <t>CTANJZ04898</t>
        </is>
      </c>
      <c r="B567" s="43" t="inlineStr">
        <is>
          <t>DP525313</t>
        </is>
      </c>
      <c r="C567" s="43" t="inlineStr">
        <is>
          <t>037-STBU</t>
        </is>
      </c>
      <c r="D567" s="43" t="inlineStr">
        <is>
          <t>FJZP</t>
        </is>
      </c>
      <c r="E567" s="43" t="inlineStr">
        <is>
          <t>MCGA</t>
        </is>
      </c>
      <c r="F567" s="43" t="inlineStr">
        <is>
          <t>800-112582-04</t>
        </is>
      </c>
      <c r="G567" s="43" t="inlineStr">
        <is>
          <t>OTHER_SCOPE_ITEM</t>
        </is>
      </c>
      <c r="H567" s="43" t="inlineStr"/>
      <c r="I567" s="43" t="inlineStr">
        <is>
          <t>Expired</t>
        </is>
      </c>
      <c r="J567" s="32" t="n">
        <v>45999</v>
      </c>
      <c r="K567" s="32" t="n">
        <v>45951</v>
      </c>
      <c r="L567" s="43" t="inlineStr">
        <is>
          <t>887</t>
        </is>
      </c>
      <c r="M567" s="43" t="n">
        <v>1</v>
      </c>
      <c r="N567" s="33" t="inlineStr"/>
      <c r="O567" s="43" t="inlineStr">
        <is>
          <t>UNVERIFIED</t>
        </is>
      </c>
      <c r="P567" s="43" t="inlineStr">
        <is>
          <t>Pending Review</t>
        </is>
      </c>
      <c r="Q567" s="33" t="inlineStr">
        <is>
          <t>Confirmar SKU/PCBA revision, PN exacto en Common DB, WO, BU, vigencia, planta y aprobacion firmada.</t>
        </is>
      </c>
    </row>
    <row r="568">
      <c r="A568" s="43" t="inlineStr">
        <is>
          <t>CTANJZ04899</t>
        </is>
      </c>
      <c r="B568" s="43" t="inlineStr">
        <is>
          <t>D606900</t>
        </is>
      </c>
      <c r="C568" s="43" t="inlineStr">
        <is>
          <t>037-STBU</t>
        </is>
      </c>
      <c r="D568" s="43" t="inlineStr">
        <is>
          <t>FJZP</t>
        </is>
      </c>
      <c r="E568" s="43" t="inlineStr">
        <is>
          <t>MCGA</t>
        </is>
      </c>
      <c r="F568" s="43" t="inlineStr">
        <is>
          <t>73-17497-04</t>
        </is>
      </c>
      <c r="G568" s="43" t="inlineStr">
        <is>
          <t>BOARD_PN_CANDIDATE</t>
        </is>
      </c>
      <c r="H568" s="43" t="inlineStr"/>
      <c r="I568" s="43" t="inlineStr">
        <is>
          <t>Expired</t>
        </is>
      </c>
      <c r="J568" s="32" t="n">
        <v>46029</v>
      </c>
      <c r="K568" s="32" t="n">
        <v>45955</v>
      </c>
      <c r="L568" s="43" t="inlineStr">
        <is>
          <t>853</t>
        </is>
      </c>
      <c r="M568" s="43" t="n">
        <v>1</v>
      </c>
      <c r="N568" s="33" t="inlineStr"/>
      <c r="O568" s="43" t="inlineStr">
        <is>
          <t>UNVERIFIED</t>
        </is>
      </c>
      <c r="P568" s="43" t="inlineStr">
        <is>
          <t>Pending Review</t>
        </is>
      </c>
      <c r="Q568" s="33" t="inlineStr">
        <is>
          <t>Confirmar SKU/PCBA revision, PN exacto en Common DB, WO, BU, vigencia, planta y aprobacion firmada.</t>
        </is>
      </c>
    </row>
    <row r="569">
      <c r="A569" s="43" t="inlineStr">
        <is>
          <t>CTANJZ04899</t>
        </is>
      </c>
      <c r="B569" s="43" t="inlineStr">
        <is>
          <t>D606900</t>
        </is>
      </c>
      <c r="C569" s="43" t="inlineStr">
        <is>
          <t>037-STBU</t>
        </is>
      </c>
      <c r="D569" s="43" t="inlineStr">
        <is>
          <t>FJZP</t>
        </is>
      </c>
      <c r="E569" s="43" t="inlineStr">
        <is>
          <t>MCGA</t>
        </is>
      </c>
      <c r="F569" s="43" t="inlineStr">
        <is>
          <t>73-17498-04</t>
        </is>
      </c>
      <c r="G569" s="43" t="inlineStr">
        <is>
          <t>BOARD_PN_CANDIDATE</t>
        </is>
      </c>
      <c r="H569" s="43" t="inlineStr"/>
      <c r="I569" s="43" t="inlineStr">
        <is>
          <t>Expired</t>
        </is>
      </c>
      <c r="J569" s="32" t="n">
        <v>46029</v>
      </c>
      <c r="K569" s="32" t="n">
        <v>45955</v>
      </c>
      <c r="L569" s="43" t="inlineStr">
        <is>
          <t>854</t>
        </is>
      </c>
      <c r="M569" s="43" t="n">
        <v>1</v>
      </c>
      <c r="N569" s="33" t="inlineStr"/>
      <c r="O569" s="43" t="inlineStr">
        <is>
          <t>UNVERIFIED</t>
        </is>
      </c>
      <c r="P569" s="43" t="inlineStr">
        <is>
          <t>Pending Review</t>
        </is>
      </c>
      <c r="Q569" s="33" t="inlineStr">
        <is>
          <t>Confirmar SKU/PCBA revision, PN exacto en Common DB, WO, BU, vigencia, planta y aprobacion firmada.</t>
        </is>
      </c>
    </row>
    <row r="570">
      <c r="A570" s="43" t="inlineStr">
        <is>
          <t>CTANJZ04899</t>
        </is>
      </c>
      <c r="B570" s="43" t="inlineStr">
        <is>
          <t>D606900</t>
        </is>
      </c>
      <c r="C570" s="43" t="inlineStr">
        <is>
          <t>037-STBU</t>
        </is>
      </c>
      <c r="D570" s="43" t="inlineStr">
        <is>
          <t>FJZP</t>
        </is>
      </c>
      <c r="E570" s="43" t="inlineStr">
        <is>
          <t>MCGA</t>
        </is>
      </c>
      <c r="F570" s="43" t="inlineStr">
        <is>
          <t>73-17499-07</t>
        </is>
      </c>
      <c r="G570" s="43" t="inlineStr">
        <is>
          <t>BOARD_PN_CANDIDATE</t>
        </is>
      </c>
      <c r="H570" s="43" t="inlineStr"/>
      <c r="I570" s="43" t="inlineStr">
        <is>
          <t>Expired</t>
        </is>
      </c>
      <c r="J570" s="32" t="n">
        <v>46029</v>
      </c>
      <c r="K570" s="32" t="n">
        <v>45955</v>
      </c>
      <c r="L570" s="43" t="inlineStr">
        <is>
          <t>855</t>
        </is>
      </c>
      <c r="M570" s="43" t="n">
        <v>1</v>
      </c>
      <c r="N570" s="33" t="inlineStr"/>
      <c r="O570" s="43" t="inlineStr">
        <is>
          <t>UNVERIFIED</t>
        </is>
      </c>
      <c r="P570" s="43" t="inlineStr">
        <is>
          <t>Pending Review</t>
        </is>
      </c>
      <c r="Q570" s="33" t="inlineStr">
        <is>
          <t>Confirmar SKU/PCBA revision, PN exacto en Common DB, WO, BU, vigencia, planta y aprobacion firmada.</t>
        </is>
      </c>
    </row>
    <row r="571">
      <c r="A571" s="43" t="inlineStr">
        <is>
          <t>CTANJZ04899</t>
        </is>
      </c>
      <c r="B571" s="43" t="inlineStr">
        <is>
          <t>D606900</t>
        </is>
      </c>
      <c r="C571" s="43" t="inlineStr">
        <is>
          <t>037-STBU</t>
        </is>
      </c>
      <c r="D571" s="43" t="inlineStr">
        <is>
          <t>FJZP</t>
        </is>
      </c>
      <c r="E571" s="43" t="inlineStr">
        <is>
          <t>MCGA</t>
        </is>
      </c>
      <c r="F571" s="43" t="inlineStr">
        <is>
          <t>73-17510-02</t>
        </is>
      </c>
      <c r="G571" s="43" t="inlineStr">
        <is>
          <t>BOARD_PN_CANDIDATE</t>
        </is>
      </c>
      <c r="H571" s="43" t="inlineStr"/>
      <c r="I571" s="43" t="inlineStr">
        <is>
          <t>Expired</t>
        </is>
      </c>
      <c r="J571" s="32" t="n">
        <v>46029</v>
      </c>
      <c r="K571" s="32" t="n">
        <v>45955</v>
      </c>
      <c r="L571" s="43" t="inlineStr">
        <is>
          <t>856</t>
        </is>
      </c>
      <c r="M571" s="43" t="n">
        <v>1</v>
      </c>
      <c r="N571" s="33" t="inlineStr"/>
      <c r="O571" s="43" t="inlineStr">
        <is>
          <t>UNVERIFIED</t>
        </is>
      </c>
      <c r="P571" s="43" t="inlineStr">
        <is>
          <t>Pending Review</t>
        </is>
      </c>
      <c r="Q571" s="33" t="inlineStr">
        <is>
          <t>Confirmar SKU/PCBA revision, PN exacto en Common DB, WO, BU, vigencia, planta y aprobacion firmada.</t>
        </is>
      </c>
    </row>
    <row r="572">
      <c r="A572" s="43" t="inlineStr">
        <is>
          <t>CTANJZ04899</t>
        </is>
      </c>
      <c r="B572" s="43" t="inlineStr">
        <is>
          <t>D606900</t>
        </is>
      </c>
      <c r="C572" s="43" t="inlineStr">
        <is>
          <t>037-STBU</t>
        </is>
      </c>
      <c r="D572" s="43" t="inlineStr">
        <is>
          <t>FJZP</t>
        </is>
      </c>
      <c r="E572" s="43" t="inlineStr">
        <is>
          <t>MCGA</t>
        </is>
      </c>
      <c r="F572" s="43" t="inlineStr">
        <is>
          <t>73-17514-02</t>
        </is>
      </c>
      <c r="G572" s="43" t="inlineStr">
        <is>
          <t>BOARD_PN_CANDIDATE</t>
        </is>
      </c>
      <c r="H572" s="43" t="inlineStr"/>
      <c r="I572" s="43" t="inlineStr">
        <is>
          <t>Expired</t>
        </is>
      </c>
      <c r="J572" s="32" t="n">
        <v>46029</v>
      </c>
      <c r="K572" s="32" t="n">
        <v>45955</v>
      </c>
      <c r="L572" s="43" t="inlineStr">
        <is>
          <t>857</t>
        </is>
      </c>
      <c r="M572" s="43" t="n">
        <v>1</v>
      </c>
      <c r="N572" s="33" t="inlineStr"/>
      <c r="O572" s="43" t="inlineStr">
        <is>
          <t>UNVERIFIED</t>
        </is>
      </c>
      <c r="P572" s="43" t="inlineStr">
        <is>
          <t>Pending Review</t>
        </is>
      </c>
      <c r="Q572" s="33" t="inlineStr">
        <is>
          <t>Confirmar SKU/PCBA revision, PN exacto en Common DB, WO, BU, vigencia, planta y aprobacion firmada.</t>
        </is>
      </c>
    </row>
    <row r="573">
      <c r="A573" s="43" t="inlineStr">
        <is>
          <t>CTANJZ04899</t>
        </is>
      </c>
      <c r="B573" s="43" t="inlineStr">
        <is>
          <t>D606900</t>
        </is>
      </c>
      <c r="C573" s="43" t="inlineStr">
        <is>
          <t>037-STBU</t>
        </is>
      </c>
      <c r="D573" s="43" t="inlineStr">
        <is>
          <t>FJZP</t>
        </is>
      </c>
      <c r="E573" s="43" t="inlineStr">
        <is>
          <t>MCGA</t>
        </is>
      </c>
      <c r="F573" s="43" t="inlineStr">
        <is>
          <t>73-17530-02</t>
        </is>
      </c>
      <c r="G573" s="43" t="inlineStr">
        <is>
          <t>BOARD_PN_CANDIDATE</t>
        </is>
      </c>
      <c r="H573" s="43" t="inlineStr"/>
      <c r="I573" s="43" t="inlineStr">
        <is>
          <t>Expired</t>
        </is>
      </c>
      <c r="J573" s="32" t="n">
        <v>46029</v>
      </c>
      <c r="K573" s="32" t="n">
        <v>45955</v>
      </c>
      <c r="L573" s="43" t="inlineStr">
        <is>
          <t>858</t>
        </is>
      </c>
      <c r="M573" s="43" t="n">
        <v>1</v>
      </c>
      <c r="N573" s="33" t="inlineStr"/>
      <c r="O573" s="43" t="inlineStr">
        <is>
          <t>UNVERIFIED</t>
        </is>
      </c>
      <c r="P573" s="43" t="inlineStr">
        <is>
          <t>Pending Review</t>
        </is>
      </c>
      <c r="Q573" s="33" t="inlineStr">
        <is>
          <t>Confirmar SKU/PCBA revision, PN exacto en Common DB, WO, BU, vigencia, planta y aprobacion firmada.</t>
        </is>
      </c>
    </row>
    <row r="574">
      <c r="A574" s="43" t="inlineStr">
        <is>
          <t>CTANJZ04899</t>
        </is>
      </c>
      <c r="B574" s="43" t="inlineStr">
        <is>
          <t>D606900</t>
        </is>
      </c>
      <c r="C574" s="43" t="inlineStr">
        <is>
          <t>037-STBU</t>
        </is>
      </c>
      <c r="D574" s="43" t="inlineStr">
        <is>
          <t>FJZP</t>
        </is>
      </c>
      <c r="E574" s="43" t="inlineStr">
        <is>
          <t>MCGA</t>
        </is>
      </c>
      <c r="F574" s="43" t="inlineStr">
        <is>
          <t>73-18626-04</t>
        </is>
      </c>
      <c r="G574" s="43" t="inlineStr">
        <is>
          <t>BOARD_PN_CANDIDATE</t>
        </is>
      </c>
      <c r="H574" s="43" t="inlineStr"/>
      <c r="I574" s="43" t="inlineStr">
        <is>
          <t>Expired</t>
        </is>
      </c>
      <c r="J574" s="32" t="n">
        <v>46029</v>
      </c>
      <c r="K574" s="32" t="n">
        <v>45955</v>
      </c>
      <c r="L574" s="43" t="inlineStr">
        <is>
          <t>859</t>
        </is>
      </c>
      <c r="M574" s="43" t="n">
        <v>1</v>
      </c>
      <c r="N574" s="33" t="inlineStr"/>
      <c r="O574" s="43" t="inlineStr">
        <is>
          <t>UNVERIFIED</t>
        </is>
      </c>
      <c r="P574" s="43" t="inlineStr">
        <is>
          <t>Pending Review</t>
        </is>
      </c>
      <c r="Q574" s="33" t="inlineStr">
        <is>
          <t>Confirmar SKU/PCBA revision, PN exacto en Common DB, WO, BU, vigencia, planta y aprobacion firmada.</t>
        </is>
      </c>
    </row>
    <row r="575">
      <c r="A575" s="43" t="inlineStr">
        <is>
          <t>CTANJZ04899</t>
        </is>
      </c>
      <c r="B575" s="43" t="inlineStr">
        <is>
          <t>D606900</t>
        </is>
      </c>
      <c r="C575" s="43" t="inlineStr">
        <is>
          <t>037-STBU</t>
        </is>
      </c>
      <c r="D575" s="43" t="inlineStr">
        <is>
          <t>FJZP</t>
        </is>
      </c>
      <c r="E575" s="43" t="inlineStr">
        <is>
          <t>MCGA</t>
        </is>
      </c>
      <c r="F575" s="43" t="inlineStr">
        <is>
          <t>73-19361-01</t>
        </is>
      </c>
      <c r="G575" s="43" t="inlineStr">
        <is>
          <t>BOARD_PN_CANDIDATE</t>
        </is>
      </c>
      <c r="H575" s="43" t="inlineStr"/>
      <c r="I575" s="43" t="inlineStr">
        <is>
          <t>Expired</t>
        </is>
      </c>
      <c r="J575" s="32" t="n">
        <v>46029</v>
      </c>
      <c r="K575" s="32" t="n">
        <v>45955</v>
      </c>
      <c r="L575" s="43" t="inlineStr">
        <is>
          <t>860</t>
        </is>
      </c>
      <c r="M575" s="43" t="n">
        <v>1</v>
      </c>
      <c r="N575" s="33" t="inlineStr"/>
      <c r="O575" s="43" t="inlineStr">
        <is>
          <t>UNVERIFIED</t>
        </is>
      </c>
      <c r="P575" s="43" t="inlineStr">
        <is>
          <t>Pending Review</t>
        </is>
      </c>
      <c r="Q575" s="33" t="inlineStr">
        <is>
          <t>Confirmar SKU/PCBA revision, PN exacto en Common DB, WO, BU, vigencia, planta y aprobacion firmada.</t>
        </is>
      </c>
    </row>
    <row r="576">
      <c r="A576" s="43" t="inlineStr">
        <is>
          <t>CTANJZ04900</t>
        </is>
      </c>
      <c r="B576" s="43" t="inlineStr">
        <is>
          <t>D606855</t>
        </is>
      </c>
      <c r="C576" s="43" t="inlineStr">
        <is>
          <t>037-STBU</t>
        </is>
      </c>
      <c r="D576" s="43" t="inlineStr">
        <is>
          <t>FJZP</t>
        </is>
      </c>
      <c r="E576" s="43" t="inlineStr">
        <is>
          <t>MCGA</t>
        </is>
      </c>
      <c r="F576" s="43" t="inlineStr">
        <is>
          <t>68-104576-04</t>
        </is>
      </c>
      <c r="G576" s="43" t="inlineStr">
        <is>
          <t>OTHER_SCOPE_ITEM</t>
        </is>
      </c>
      <c r="H576" s="43" t="inlineStr"/>
      <c r="I576" s="43" t="inlineStr">
        <is>
          <t>Expired</t>
        </is>
      </c>
      <c r="J576" s="32" t="n">
        <v>46029</v>
      </c>
      <c r="K576" s="32" t="n">
        <v>45955</v>
      </c>
      <c r="L576" s="43" t="inlineStr">
        <is>
          <t>950</t>
        </is>
      </c>
      <c r="M576" s="43" t="n">
        <v>1</v>
      </c>
      <c r="N576" s="33" t="inlineStr"/>
      <c r="O576" s="43" t="inlineStr">
        <is>
          <t>UNVERIFIED</t>
        </is>
      </c>
      <c r="P576" s="43" t="inlineStr">
        <is>
          <t>Pending Review</t>
        </is>
      </c>
      <c r="Q576" s="33" t="inlineStr">
        <is>
          <t>Confirmar SKU/PCBA revision, PN exacto en Common DB, WO, BU, vigencia, planta y aprobacion firmada.</t>
        </is>
      </c>
    </row>
    <row r="577">
      <c r="A577" s="43" t="inlineStr">
        <is>
          <t>CTANJZ04900</t>
        </is>
      </c>
      <c r="B577" s="43" t="inlineStr">
        <is>
          <t>D606855</t>
        </is>
      </c>
      <c r="C577" s="43" t="inlineStr">
        <is>
          <t>037-STBU</t>
        </is>
      </c>
      <c r="D577" s="43" t="inlineStr">
        <is>
          <t>FJZP</t>
        </is>
      </c>
      <c r="E577" s="43" t="inlineStr">
        <is>
          <t>MCGA</t>
        </is>
      </c>
      <c r="F577" s="43" t="inlineStr">
        <is>
          <t>68-104621-04</t>
        </is>
      </c>
      <c r="G577" s="43" t="inlineStr">
        <is>
          <t>OTHER_SCOPE_ITEM</t>
        </is>
      </c>
      <c r="H577" s="43" t="inlineStr"/>
      <c r="I577" s="43" t="inlineStr">
        <is>
          <t>Expired</t>
        </is>
      </c>
      <c r="J577" s="32" t="n">
        <v>46029</v>
      </c>
      <c r="K577" s="32" t="n">
        <v>45955</v>
      </c>
      <c r="L577" s="43" t="inlineStr">
        <is>
          <t>951</t>
        </is>
      </c>
      <c r="M577" s="43" t="n">
        <v>1</v>
      </c>
      <c r="N577" s="33" t="inlineStr"/>
      <c r="O577" s="43" t="inlineStr">
        <is>
          <t>UNVERIFIED</t>
        </is>
      </c>
      <c r="P577" s="43" t="inlineStr">
        <is>
          <t>Pending Review</t>
        </is>
      </c>
      <c r="Q577" s="33" t="inlineStr">
        <is>
          <t>Confirmar SKU/PCBA revision, PN exacto en Common DB, WO, BU, vigencia, planta y aprobacion firmada.</t>
        </is>
      </c>
    </row>
    <row r="578">
      <c r="A578" s="43" t="inlineStr">
        <is>
          <t>CTANJZ04900</t>
        </is>
      </c>
      <c r="B578" s="43" t="inlineStr">
        <is>
          <t>D606855</t>
        </is>
      </c>
      <c r="C578" s="43" t="inlineStr">
        <is>
          <t>037-STBU</t>
        </is>
      </c>
      <c r="D578" s="43" t="inlineStr">
        <is>
          <t>FJZP</t>
        </is>
      </c>
      <c r="E578" s="43" t="inlineStr">
        <is>
          <t>MCGA</t>
        </is>
      </c>
      <c r="F578" s="43" t="inlineStr">
        <is>
          <t>800-112583-04</t>
        </is>
      </c>
      <c r="G578" s="43" t="inlineStr">
        <is>
          <t>OTHER_SCOPE_ITEM</t>
        </is>
      </c>
      <c r="H578" s="43" t="inlineStr"/>
      <c r="I578" s="43" t="inlineStr">
        <is>
          <t>Expired</t>
        </is>
      </c>
      <c r="J578" s="32" t="n">
        <v>46029</v>
      </c>
      <c r="K578" s="32" t="n">
        <v>45955</v>
      </c>
      <c r="L578" s="43" t="inlineStr">
        <is>
          <t>952</t>
        </is>
      </c>
      <c r="M578" s="43" t="n">
        <v>1</v>
      </c>
      <c r="N578" s="33" t="inlineStr"/>
      <c r="O578" s="43" t="inlineStr">
        <is>
          <t>UNVERIFIED</t>
        </is>
      </c>
      <c r="P578" s="43" t="inlineStr">
        <is>
          <t>Pending Review</t>
        </is>
      </c>
      <c r="Q578" s="33" t="inlineStr">
        <is>
          <t>Confirmar SKU/PCBA revision, PN exacto en Common DB, WO, BU, vigencia, planta y aprobacion firmada.</t>
        </is>
      </c>
    </row>
    <row r="579">
      <c r="A579" s="43" t="inlineStr">
        <is>
          <t>CTANJZ04900</t>
        </is>
      </c>
      <c r="B579" s="43" t="inlineStr">
        <is>
          <t>D606855</t>
        </is>
      </c>
      <c r="C579" s="43" t="inlineStr">
        <is>
          <t>037-STBU</t>
        </is>
      </c>
      <c r="D579" s="43" t="inlineStr">
        <is>
          <t>FJZP</t>
        </is>
      </c>
      <c r="E579" s="43" t="inlineStr">
        <is>
          <t>MCGA</t>
        </is>
      </c>
      <c r="F579" s="43" t="inlineStr">
        <is>
          <t>800-112720-04</t>
        </is>
      </c>
      <c r="G579" s="43" t="inlineStr">
        <is>
          <t>OTHER_SCOPE_ITEM</t>
        </is>
      </c>
      <c r="H579" s="43" t="inlineStr"/>
      <c r="I579" s="43" t="inlineStr">
        <is>
          <t>Expired</t>
        </is>
      </c>
      <c r="J579" s="32" t="n">
        <v>46029</v>
      </c>
      <c r="K579" s="32" t="n">
        <v>45955</v>
      </c>
      <c r="L579" s="43" t="inlineStr">
        <is>
          <t>953</t>
        </is>
      </c>
      <c r="M579" s="43" t="n">
        <v>1</v>
      </c>
      <c r="N579" s="33" t="inlineStr"/>
      <c r="O579" s="43" t="inlineStr">
        <is>
          <t>UNVERIFIED</t>
        </is>
      </c>
      <c r="P579" s="43" t="inlineStr">
        <is>
          <t>Pending Review</t>
        </is>
      </c>
      <c r="Q579" s="33" t="inlineStr">
        <is>
          <t>Confirmar SKU/PCBA revision, PN exacto en Common DB, WO, BU, vigencia, planta y aprobacion firmada.</t>
        </is>
      </c>
    </row>
    <row r="580">
      <c r="A580" s="43" t="inlineStr">
        <is>
          <t>CTANJZ04901</t>
        </is>
      </c>
      <c r="B580" s="43" t="inlineStr">
        <is>
          <t>DP525192</t>
        </is>
      </c>
      <c r="C580" s="43" t="inlineStr">
        <is>
          <t>037-STBU</t>
        </is>
      </c>
      <c r="D580" s="43" t="inlineStr">
        <is>
          <t>FJZP</t>
        </is>
      </c>
      <c r="E580" s="43" t="inlineStr">
        <is>
          <t>MCGA</t>
        </is>
      </c>
      <c r="F580" s="43" t="inlineStr">
        <is>
          <t>68-104574-04</t>
        </is>
      </c>
      <c r="G580" s="43" t="inlineStr">
        <is>
          <t>OTHER_SCOPE_ITEM</t>
        </is>
      </c>
      <c r="H580" s="43" t="inlineStr"/>
      <c r="I580" s="43" t="inlineStr">
        <is>
          <t>Expired</t>
        </is>
      </c>
      <c r="J580" s="32" t="n">
        <v>45999</v>
      </c>
      <c r="K580" s="32" t="n">
        <v>45955</v>
      </c>
      <c r="L580" s="43" t="inlineStr">
        <is>
          <t>888</t>
        </is>
      </c>
      <c r="M580" s="43" t="n">
        <v>1</v>
      </c>
      <c r="N580" s="33" t="inlineStr"/>
      <c r="O580" s="43" t="inlineStr">
        <is>
          <t>UNVERIFIED</t>
        </is>
      </c>
      <c r="P580" s="43" t="inlineStr">
        <is>
          <t>Pending Review</t>
        </is>
      </c>
      <c r="Q580" s="33" t="inlineStr">
        <is>
          <t>Confirmar SKU/PCBA revision, PN exacto en Common DB, WO, BU, vigencia, planta y aprobacion firmada.</t>
        </is>
      </c>
    </row>
    <row r="581">
      <c r="A581" s="43" t="inlineStr">
        <is>
          <t>CTANJZ04901</t>
        </is>
      </c>
      <c r="B581" s="43" t="inlineStr">
        <is>
          <t>DP525192</t>
        </is>
      </c>
      <c r="C581" s="43" t="inlineStr">
        <is>
          <t>037-STBU</t>
        </is>
      </c>
      <c r="D581" s="43" t="inlineStr">
        <is>
          <t>FJZP</t>
        </is>
      </c>
      <c r="E581" s="43" t="inlineStr">
        <is>
          <t>MCGA</t>
        </is>
      </c>
      <c r="F581" s="43" t="inlineStr">
        <is>
          <t>68-104575-04</t>
        </is>
      </c>
      <c r="G581" s="43" t="inlineStr">
        <is>
          <t>OTHER_SCOPE_ITEM</t>
        </is>
      </c>
      <c r="H581" s="43" t="inlineStr"/>
      <c r="I581" s="43" t="inlineStr">
        <is>
          <t>Expired</t>
        </is>
      </c>
      <c r="J581" s="32" t="n">
        <v>45999</v>
      </c>
      <c r="K581" s="32" t="n">
        <v>45955</v>
      </c>
      <c r="L581" s="43" t="inlineStr">
        <is>
          <t>889</t>
        </is>
      </c>
      <c r="M581" s="43" t="n">
        <v>1</v>
      </c>
      <c r="N581" s="33" t="inlineStr"/>
      <c r="O581" s="43" t="inlineStr">
        <is>
          <t>UNVERIFIED</t>
        </is>
      </c>
      <c r="P581" s="43" t="inlineStr">
        <is>
          <t>Pending Review</t>
        </is>
      </c>
      <c r="Q581" s="33" t="inlineStr">
        <is>
          <t>Confirmar SKU/PCBA revision, PN exacto en Common DB, WO, BU, vigencia, planta y aprobacion firmada.</t>
        </is>
      </c>
    </row>
    <row r="582">
      <c r="A582" s="43" t="inlineStr">
        <is>
          <t>CTANJZ04901</t>
        </is>
      </c>
      <c r="B582" s="43" t="inlineStr">
        <is>
          <t>DP525192</t>
        </is>
      </c>
      <c r="C582" s="43" t="inlineStr">
        <is>
          <t>037-STBU</t>
        </is>
      </c>
      <c r="D582" s="43" t="inlineStr">
        <is>
          <t>FJZP</t>
        </is>
      </c>
      <c r="E582" s="43" t="inlineStr">
        <is>
          <t>MCGA</t>
        </is>
      </c>
      <c r="F582" s="43" t="inlineStr">
        <is>
          <t>68-104576-04</t>
        </is>
      </c>
      <c r="G582" s="43" t="inlineStr">
        <is>
          <t>OTHER_SCOPE_ITEM</t>
        </is>
      </c>
      <c r="H582" s="43" t="inlineStr"/>
      <c r="I582" s="43" t="inlineStr">
        <is>
          <t>Expired</t>
        </is>
      </c>
      <c r="J582" s="32" t="n">
        <v>45999</v>
      </c>
      <c r="K582" s="32" t="n">
        <v>45955</v>
      </c>
      <c r="L582" s="43" t="inlineStr">
        <is>
          <t>972</t>
        </is>
      </c>
      <c r="M582" s="43" t="n">
        <v>1</v>
      </c>
      <c r="N582" s="33" t="inlineStr"/>
      <c r="O582" s="43" t="inlineStr">
        <is>
          <t>UNVERIFIED</t>
        </is>
      </c>
      <c r="P582" s="43" t="inlineStr">
        <is>
          <t>Pending Review</t>
        </is>
      </c>
      <c r="Q582" s="33" t="inlineStr">
        <is>
          <t>Confirmar SKU/PCBA revision, PN exacto en Common DB, WO, BU, vigencia, planta y aprobacion firmada.</t>
        </is>
      </c>
    </row>
    <row r="583">
      <c r="A583" s="43" t="inlineStr">
        <is>
          <t>CTANJZ04901</t>
        </is>
      </c>
      <c r="B583" s="43" t="inlineStr">
        <is>
          <t>DP525192</t>
        </is>
      </c>
      <c r="C583" s="43" t="inlineStr">
        <is>
          <t>037-STBU</t>
        </is>
      </c>
      <c r="D583" s="43" t="inlineStr">
        <is>
          <t>FJZP</t>
        </is>
      </c>
      <c r="E583" s="43" t="inlineStr">
        <is>
          <t>MCGA</t>
        </is>
      </c>
      <c r="F583" s="43" t="inlineStr">
        <is>
          <t>68-104621-04</t>
        </is>
      </c>
      <c r="G583" s="43" t="inlineStr">
        <is>
          <t>OTHER_SCOPE_ITEM</t>
        </is>
      </c>
      <c r="H583" s="43" t="inlineStr"/>
      <c r="I583" s="43" t="inlineStr">
        <is>
          <t>Expired</t>
        </is>
      </c>
      <c r="J583" s="32" t="n">
        <v>45999</v>
      </c>
      <c r="K583" s="32" t="n">
        <v>45955</v>
      </c>
      <c r="L583" s="43" t="inlineStr">
        <is>
          <t>973</t>
        </is>
      </c>
      <c r="M583" s="43" t="n">
        <v>1</v>
      </c>
      <c r="N583" s="33" t="inlineStr"/>
      <c r="O583" s="43" t="inlineStr">
        <is>
          <t>UNVERIFIED</t>
        </is>
      </c>
      <c r="P583" s="43" t="inlineStr">
        <is>
          <t>Pending Review</t>
        </is>
      </c>
      <c r="Q583" s="33" t="inlineStr">
        <is>
          <t>Confirmar SKU/PCBA revision, PN exacto en Common DB, WO, BU, vigencia, planta y aprobacion firmada.</t>
        </is>
      </c>
    </row>
    <row r="584">
      <c r="A584" s="43" t="inlineStr">
        <is>
          <t>CTANJZ04901</t>
        </is>
      </c>
      <c r="B584" s="43" t="inlineStr">
        <is>
          <t>DP525192</t>
        </is>
      </c>
      <c r="C584" s="43" t="inlineStr">
        <is>
          <t>037-STBU</t>
        </is>
      </c>
      <c r="D584" s="43" t="inlineStr">
        <is>
          <t>FJZP</t>
        </is>
      </c>
      <c r="E584" s="43" t="inlineStr">
        <is>
          <t>MCGA</t>
        </is>
      </c>
      <c r="F584" s="43" t="inlineStr">
        <is>
          <t>800-112581-04</t>
        </is>
      </c>
      <c r="G584" s="43" t="inlineStr">
        <is>
          <t>OTHER_SCOPE_ITEM</t>
        </is>
      </c>
      <c r="H584" s="43" t="inlineStr"/>
      <c r="I584" s="43" t="inlineStr">
        <is>
          <t>Expired</t>
        </is>
      </c>
      <c r="J584" s="32" t="n">
        <v>45999</v>
      </c>
      <c r="K584" s="32" t="n">
        <v>45955</v>
      </c>
      <c r="L584" s="43" t="inlineStr">
        <is>
          <t>974</t>
        </is>
      </c>
      <c r="M584" s="43" t="n">
        <v>1</v>
      </c>
      <c r="N584" s="33" t="inlineStr"/>
      <c r="O584" s="43" t="inlineStr">
        <is>
          <t>UNVERIFIED</t>
        </is>
      </c>
      <c r="P584" s="43" t="inlineStr">
        <is>
          <t>Pending Review</t>
        </is>
      </c>
      <c r="Q584" s="33" t="inlineStr">
        <is>
          <t>Confirmar SKU/PCBA revision, PN exacto en Common DB, WO, BU, vigencia, planta y aprobacion firmada.</t>
        </is>
      </c>
    </row>
    <row r="585">
      <c r="A585" s="43" t="inlineStr">
        <is>
          <t>CTANJZ04901</t>
        </is>
      </c>
      <c r="B585" s="43" t="inlineStr">
        <is>
          <t>DP525192</t>
        </is>
      </c>
      <c r="C585" s="43" t="inlineStr">
        <is>
          <t>037-STBU</t>
        </is>
      </c>
      <c r="D585" s="43" t="inlineStr">
        <is>
          <t>FJZP</t>
        </is>
      </c>
      <c r="E585" s="43" t="inlineStr">
        <is>
          <t>MCGA</t>
        </is>
      </c>
      <c r="F585" s="43" t="inlineStr">
        <is>
          <t>800-112582-04</t>
        </is>
      </c>
      <c r="G585" s="43" t="inlineStr">
        <is>
          <t>OTHER_SCOPE_ITEM</t>
        </is>
      </c>
      <c r="H585" s="43" t="inlineStr"/>
      <c r="I585" s="43" t="inlineStr">
        <is>
          <t>Expired</t>
        </is>
      </c>
      <c r="J585" s="32" t="n">
        <v>45999</v>
      </c>
      <c r="K585" s="32" t="n">
        <v>45955</v>
      </c>
      <c r="L585" s="43" t="inlineStr">
        <is>
          <t>809</t>
        </is>
      </c>
      <c r="M585" s="43" t="n">
        <v>1</v>
      </c>
      <c r="N585" s="33" t="inlineStr"/>
      <c r="O585" s="43" t="inlineStr">
        <is>
          <t>UNVERIFIED</t>
        </is>
      </c>
      <c r="P585" s="43" t="inlineStr">
        <is>
          <t>Pending Review</t>
        </is>
      </c>
      <c r="Q585" s="33" t="inlineStr">
        <is>
          <t>Confirmar SKU/PCBA revision, PN exacto en Common DB, WO, BU, vigencia, planta y aprobacion firmada.</t>
        </is>
      </c>
    </row>
    <row r="586">
      <c r="A586" s="43" t="inlineStr">
        <is>
          <t>CTANJZ04901</t>
        </is>
      </c>
      <c r="B586" s="43" t="inlineStr">
        <is>
          <t>DP525192</t>
        </is>
      </c>
      <c r="C586" s="43" t="inlineStr">
        <is>
          <t>037-STBU</t>
        </is>
      </c>
      <c r="D586" s="43" t="inlineStr">
        <is>
          <t>FJZP</t>
        </is>
      </c>
      <c r="E586" s="43" t="inlineStr">
        <is>
          <t>MCGA</t>
        </is>
      </c>
      <c r="F586" s="43" t="inlineStr">
        <is>
          <t>800-112583-04</t>
        </is>
      </c>
      <c r="G586" s="43" t="inlineStr">
        <is>
          <t>OTHER_SCOPE_ITEM</t>
        </is>
      </c>
      <c r="H586" s="43" t="inlineStr"/>
      <c r="I586" s="43" t="inlineStr">
        <is>
          <t>Expired</t>
        </is>
      </c>
      <c r="J586" s="32" t="n">
        <v>45999</v>
      </c>
      <c r="K586" s="32" t="n">
        <v>45955</v>
      </c>
      <c r="L586" s="43" t="inlineStr">
        <is>
          <t>959</t>
        </is>
      </c>
      <c r="M586" s="43" t="n">
        <v>1</v>
      </c>
      <c r="N586" s="33" t="inlineStr"/>
      <c r="O586" s="43" t="inlineStr">
        <is>
          <t>UNVERIFIED</t>
        </is>
      </c>
      <c r="P586" s="43" t="inlineStr">
        <is>
          <t>Pending Review</t>
        </is>
      </c>
      <c r="Q586" s="33" t="inlineStr">
        <is>
          <t>Confirmar SKU/PCBA revision, PN exacto en Common DB, WO, BU, vigencia, planta y aprobacion firmada.</t>
        </is>
      </c>
    </row>
    <row r="587">
      <c r="A587" s="43" t="inlineStr">
        <is>
          <t>CTANJZ04901</t>
        </is>
      </c>
      <c r="B587" s="43" t="inlineStr">
        <is>
          <t>DP525192</t>
        </is>
      </c>
      <c r="C587" s="43" t="inlineStr">
        <is>
          <t>037-STBU</t>
        </is>
      </c>
      <c r="D587" s="43" t="inlineStr">
        <is>
          <t>FJZP</t>
        </is>
      </c>
      <c r="E587" s="43" t="inlineStr">
        <is>
          <t>MCGA</t>
        </is>
      </c>
      <c r="F587" s="43" t="inlineStr">
        <is>
          <t>800-112720-04</t>
        </is>
      </c>
      <c r="G587" s="43" t="inlineStr">
        <is>
          <t>OTHER_SCOPE_ITEM</t>
        </is>
      </c>
      <c r="H587" s="43" t="inlineStr"/>
      <c r="I587" s="43" t="inlineStr">
        <is>
          <t>Expired</t>
        </is>
      </c>
      <c r="J587" s="32" t="n">
        <v>45999</v>
      </c>
      <c r="K587" s="32" t="n">
        <v>45955</v>
      </c>
      <c r="L587" s="43" t="inlineStr">
        <is>
          <t>960</t>
        </is>
      </c>
      <c r="M587" s="43" t="n">
        <v>1</v>
      </c>
      <c r="N587" s="33" t="inlineStr"/>
      <c r="O587" s="43" t="inlineStr">
        <is>
          <t>UNVERIFIED</t>
        </is>
      </c>
      <c r="P587" s="43" t="inlineStr">
        <is>
          <t>Pending Review</t>
        </is>
      </c>
      <c r="Q587" s="33" t="inlineStr">
        <is>
          <t>Confirmar SKU/PCBA revision, PN exacto en Common DB, WO, BU, vigencia, planta y aprobacion firmada.</t>
        </is>
      </c>
    </row>
    <row r="588">
      <c r="A588" s="43" t="inlineStr">
        <is>
          <t>CTANJZ04902</t>
        </is>
      </c>
      <c r="B588" s="43" t="inlineStr">
        <is>
          <t>D606660</t>
        </is>
      </c>
      <c r="C588" s="43" t="inlineStr">
        <is>
          <t>037-STBU</t>
        </is>
      </c>
      <c r="D588" s="43" t="inlineStr">
        <is>
          <t>FJZP</t>
        </is>
      </c>
      <c r="E588" s="43" t="inlineStr">
        <is>
          <t>MCGA</t>
        </is>
      </c>
      <c r="F588" s="43" t="inlineStr">
        <is>
          <t>73-102482-02</t>
        </is>
      </c>
      <c r="G588" s="43" t="inlineStr">
        <is>
          <t>BOARD_PN_CANDIDATE</t>
        </is>
      </c>
      <c r="H588" s="43" t="inlineStr"/>
      <c r="I588" s="43" t="inlineStr">
        <is>
          <t>Expired</t>
        </is>
      </c>
      <c r="J588" s="32" t="n">
        <v>46029</v>
      </c>
      <c r="K588" s="32" t="n">
        <v>45954</v>
      </c>
      <c r="L588" s="43" t="inlineStr">
        <is>
          <t>949</t>
        </is>
      </c>
      <c r="M588" s="43" t="n">
        <v>1</v>
      </c>
      <c r="N588" s="33" t="inlineStr"/>
      <c r="O588" s="43" t="inlineStr">
        <is>
          <t>UNVERIFIED</t>
        </is>
      </c>
      <c r="P588" s="43" t="inlineStr">
        <is>
          <t>Pending Review</t>
        </is>
      </c>
      <c r="Q588" s="33" t="inlineStr">
        <is>
          <t>Confirmar SKU/PCBA revision, PN exacto en Common DB, WO, BU, vigencia, planta y aprobacion firmada.</t>
        </is>
      </c>
    </row>
    <row r="589">
      <c r="A589" s="43" t="inlineStr">
        <is>
          <t>CTANJZ04904</t>
        </is>
      </c>
      <c r="B589" s="43" t="inlineStr">
        <is>
          <t>D606915</t>
        </is>
      </c>
      <c r="C589" s="43" t="inlineStr">
        <is>
          <t>037-STBU</t>
        </is>
      </c>
      <c r="D589" s="43" t="inlineStr">
        <is>
          <t>FJZP</t>
        </is>
      </c>
      <c r="E589" s="43" t="inlineStr">
        <is>
          <t>MCGA</t>
        </is>
      </c>
      <c r="F589" s="43" t="inlineStr">
        <is>
          <t>29-104201-02</t>
        </is>
      </c>
      <c r="G589" s="43" t="inlineStr">
        <is>
          <t>OTHER_SCOPE_ITEM</t>
        </is>
      </c>
      <c r="H589" s="43" t="inlineStr"/>
      <c r="I589" s="43" t="inlineStr">
        <is>
          <t>Expired</t>
        </is>
      </c>
      <c r="J589" s="32" t="n">
        <v>46030</v>
      </c>
      <c r="K589" s="32" t="n">
        <v>45955</v>
      </c>
      <c r="L589" s="43" t="inlineStr">
        <is>
          <t>28</t>
        </is>
      </c>
      <c r="M589" s="43" t="n">
        <v>1</v>
      </c>
      <c r="N589" s="33" t="inlineStr"/>
      <c r="O589" s="43" t="inlineStr">
        <is>
          <t>UNVERIFIED</t>
        </is>
      </c>
      <c r="P589" s="43" t="inlineStr">
        <is>
          <t>Pending Review</t>
        </is>
      </c>
      <c r="Q589" s="33" t="inlineStr">
        <is>
          <t>Confirmar SKU/PCBA revision, PN exacto en Common DB, WO, BU, vigencia, planta y aprobacion firmada.</t>
        </is>
      </c>
    </row>
    <row r="590">
      <c r="A590" s="43" t="inlineStr">
        <is>
          <t>CTANJZ04904</t>
        </is>
      </c>
      <c r="B590" s="43" t="inlineStr">
        <is>
          <t>D606915</t>
        </is>
      </c>
      <c r="C590" s="43" t="inlineStr">
        <is>
          <t>037-STBU</t>
        </is>
      </c>
      <c r="D590" s="43" t="inlineStr">
        <is>
          <t>FJZP</t>
        </is>
      </c>
      <c r="E590" s="43" t="inlineStr">
        <is>
          <t>MCGA</t>
        </is>
      </c>
      <c r="F590" s="43" t="inlineStr">
        <is>
          <t>73-102433-04</t>
        </is>
      </c>
      <c r="G590" s="43" t="inlineStr">
        <is>
          <t>BOARD_PN_CANDIDATE</t>
        </is>
      </c>
      <c r="H590" s="43" t="inlineStr"/>
      <c r="I590" s="43" t="inlineStr">
        <is>
          <t>Expired</t>
        </is>
      </c>
      <c r="J590" s="32" t="n">
        <v>46030</v>
      </c>
      <c r="K590" s="32" t="n">
        <v>45955</v>
      </c>
      <c r="L590" s="43" t="inlineStr">
        <is>
          <t>29</t>
        </is>
      </c>
      <c r="M590" s="43" t="n">
        <v>1</v>
      </c>
      <c r="N590" s="33" t="inlineStr"/>
      <c r="O590" s="43" t="inlineStr">
        <is>
          <t>UNVERIFIED</t>
        </is>
      </c>
      <c r="P590" s="43" t="inlineStr">
        <is>
          <t>Pending Review</t>
        </is>
      </c>
      <c r="Q590" s="33" t="inlineStr">
        <is>
          <t>Confirmar SKU/PCBA revision, PN exacto en Common DB, WO, BU, vigencia, planta y aprobacion firmada.</t>
        </is>
      </c>
    </row>
    <row r="591">
      <c r="A591" s="43" t="inlineStr">
        <is>
          <t>CTANJZ04904</t>
        </is>
      </c>
      <c r="B591" s="43" t="inlineStr">
        <is>
          <t>D606915</t>
        </is>
      </c>
      <c r="C591" s="43" t="inlineStr">
        <is>
          <t>037-STBU</t>
        </is>
      </c>
      <c r="D591" s="43" t="inlineStr">
        <is>
          <t>FJZP</t>
        </is>
      </c>
      <c r="E591" s="43" t="inlineStr">
        <is>
          <t>MCGA</t>
        </is>
      </c>
      <c r="F591" s="43" t="inlineStr">
        <is>
          <t>73-102433-05</t>
        </is>
      </c>
      <c r="G591" s="43" t="inlineStr">
        <is>
          <t>BOARD_PN_CANDIDATE</t>
        </is>
      </c>
      <c r="H591" s="43" t="inlineStr"/>
      <c r="I591" s="43" t="inlineStr">
        <is>
          <t>Expired</t>
        </is>
      </c>
      <c r="J591" s="32" t="n">
        <v>46030</v>
      </c>
      <c r="K591" s="32" t="n">
        <v>45955</v>
      </c>
      <c r="L591" s="43" t="inlineStr">
        <is>
          <t>30</t>
        </is>
      </c>
      <c r="M591" s="43" t="n">
        <v>1</v>
      </c>
      <c r="N591" s="33" t="inlineStr"/>
      <c r="O591" s="43" t="inlineStr">
        <is>
          <t>UNVERIFIED</t>
        </is>
      </c>
      <c r="P591" s="43" t="inlineStr">
        <is>
          <t>Pending Review</t>
        </is>
      </c>
      <c r="Q591" s="33" t="inlineStr">
        <is>
          <t>Confirmar SKU/PCBA revision, PN exacto en Common DB, WO, BU, vigencia, planta y aprobacion firmada.</t>
        </is>
      </c>
    </row>
    <row r="592">
      <c r="A592" s="43" t="inlineStr">
        <is>
          <t>CTANJZ04904</t>
        </is>
      </c>
      <c r="B592" s="43" t="inlineStr">
        <is>
          <t>D606915</t>
        </is>
      </c>
      <c r="C592" s="43" t="inlineStr">
        <is>
          <t>037-STBU</t>
        </is>
      </c>
      <c r="D592" s="43" t="inlineStr">
        <is>
          <t>FJZP</t>
        </is>
      </c>
      <c r="E592" s="43" t="inlineStr">
        <is>
          <t>MCGA</t>
        </is>
      </c>
      <c r="F592" s="43" t="inlineStr">
        <is>
          <t>73-102434-04</t>
        </is>
      </c>
      <c r="G592" s="43" t="inlineStr">
        <is>
          <t>BOARD_PN_CANDIDATE</t>
        </is>
      </c>
      <c r="H592" s="43" t="inlineStr"/>
      <c r="I592" s="43" t="inlineStr">
        <is>
          <t>Expired</t>
        </is>
      </c>
      <c r="J592" s="32" t="n">
        <v>46030</v>
      </c>
      <c r="K592" s="32" t="n">
        <v>45955</v>
      </c>
      <c r="L592" s="43" t="inlineStr">
        <is>
          <t>31</t>
        </is>
      </c>
      <c r="M592" s="43" t="n">
        <v>1</v>
      </c>
      <c r="N592" s="33" t="inlineStr"/>
      <c r="O592" s="43" t="inlineStr">
        <is>
          <t>UNVERIFIED</t>
        </is>
      </c>
      <c r="P592" s="43" t="inlineStr">
        <is>
          <t>Pending Review</t>
        </is>
      </c>
      <c r="Q592" s="33" t="inlineStr">
        <is>
          <t>Confirmar SKU/PCBA revision, PN exacto en Common DB, WO, BU, vigencia, planta y aprobacion firmada.</t>
        </is>
      </c>
    </row>
    <row r="593">
      <c r="A593" s="43" t="inlineStr">
        <is>
          <t>CTANJZ04904</t>
        </is>
      </c>
      <c r="B593" s="43" t="inlineStr">
        <is>
          <t>D606915</t>
        </is>
      </c>
      <c r="C593" s="43" t="inlineStr">
        <is>
          <t>037-STBU</t>
        </is>
      </c>
      <c r="D593" s="43" t="inlineStr">
        <is>
          <t>FJZP</t>
        </is>
      </c>
      <c r="E593" s="43" t="inlineStr">
        <is>
          <t>MCGA</t>
        </is>
      </c>
      <c r="F593" s="43" t="inlineStr">
        <is>
          <t>73-102434-05</t>
        </is>
      </c>
      <c r="G593" s="43" t="inlineStr">
        <is>
          <t>BOARD_PN_CANDIDATE</t>
        </is>
      </c>
      <c r="H593" s="43" t="inlineStr"/>
      <c r="I593" s="43" t="inlineStr">
        <is>
          <t>Expired</t>
        </is>
      </c>
      <c r="J593" s="32" t="n">
        <v>46030</v>
      </c>
      <c r="K593" s="32" t="n">
        <v>45955</v>
      </c>
      <c r="L593" s="43" t="inlineStr">
        <is>
          <t>32</t>
        </is>
      </c>
      <c r="M593" s="43" t="n">
        <v>1</v>
      </c>
      <c r="N593" s="33" t="inlineStr"/>
      <c r="O593" s="43" t="inlineStr">
        <is>
          <t>UNVERIFIED</t>
        </is>
      </c>
      <c r="P593" s="43" t="inlineStr">
        <is>
          <t>Pending Review</t>
        </is>
      </c>
      <c r="Q593" s="33" t="inlineStr">
        <is>
          <t>Confirmar SKU/PCBA revision, PN exacto en Common DB, WO, BU, vigencia, planta y aprobacion firmada.</t>
        </is>
      </c>
    </row>
    <row r="594">
      <c r="A594" s="43" t="inlineStr">
        <is>
          <t>CTANJZ04904</t>
        </is>
      </c>
      <c r="B594" s="43" t="inlineStr">
        <is>
          <t>D606915</t>
        </is>
      </c>
      <c r="C594" s="43" t="inlineStr">
        <is>
          <t>037-STBU</t>
        </is>
      </c>
      <c r="D594" s="43" t="inlineStr">
        <is>
          <t>FJZP</t>
        </is>
      </c>
      <c r="E594" s="43" t="inlineStr">
        <is>
          <t>MCGA</t>
        </is>
      </c>
      <c r="F594" s="43" t="inlineStr">
        <is>
          <t>73-102435-04</t>
        </is>
      </c>
      <c r="G594" s="43" t="inlineStr">
        <is>
          <t>BOARD_PN_CANDIDATE</t>
        </is>
      </c>
      <c r="H594" s="43" t="inlineStr"/>
      <c r="I594" s="43" t="inlineStr">
        <is>
          <t>Expired</t>
        </is>
      </c>
      <c r="J594" s="32" t="n">
        <v>46030</v>
      </c>
      <c r="K594" s="32" t="n">
        <v>45955</v>
      </c>
      <c r="L594" s="43" t="inlineStr">
        <is>
          <t>33</t>
        </is>
      </c>
      <c r="M594" s="43" t="n">
        <v>1</v>
      </c>
      <c r="N594" s="33" t="inlineStr"/>
      <c r="O594" s="43" t="inlineStr">
        <is>
          <t>UNVERIFIED</t>
        </is>
      </c>
      <c r="P594" s="43" t="inlineStr">
        <is>
          <t>Pending Review</t>
        </is>
      </c>
      <c r="Q594" s="33" t="inlineStr">
        <is>
          <t>Confirmar SKU/PCBA revision, PN exacto en Common DB, WO, BU, vigencia, planta y aprobacion firmada.</t>
        </is>
      </c>
    </row>
    <row r="595">
      <c r="A595" s="43" t="inlineStr">
        <is>
          <t>CTANJZ04904</t>
        </is>
      </c>
      <c r="B595" s="43" t="inlineStr">
        <is>
          <t>D606915</t>
        </is>
      </c>
      <c r="C595" s="43" t="inlineStr">
        <is>
          <t>037-STBU</t>
        </is>
      </c>
      <c r="D595" s="43" t="inlineStr">
        <is>
          <t>FJZP</t>
        </is>
      </c>
      <c r="E595" s="43" t="inlineStr">
        <is>
          <t>MCGA</t>
        </is>
      </c>
      <c r="F595" s="43" t="inlineStr">
        <is>
          <t>73-102435-05</t>
        </is>
      </c>
      <c r="G595" s="43" t="inlineStr">
        <is>
          <t>BOARD_PN_CANDIDATE</t>
        </is>
      </c>
      <c r="H595" s="43" t="inlineStr"/>
      <c r="I595" s="43" t="inlineStr">
        <is>
          <t>Expired</t>
        </is>
      </c>
      <c r="J595" s="32" t="n">
        <v>46030</v>
      </c>
      <c r="K595" s="32" t="n">
        <v>45955</v>
      </c>
      <c r="L595" s="43" t="inlineStr">
        <is>
          <t>34</t>
        </is>
      </c>
      <c r="M595" s="43" t="n">
        <v>1</v>
      </c>
      <c r="N595" s="33" t="inlineStr"/>
      <c r="O595" s="43" t="inlineStr">
        <is>
          <t>UNVERIFIED</t>
        </is>
      </c>
      <c r="P595" s="43" t="inlineStr">
        <is>
          <t>Pending Review</t>
        </is>
      </c>
      <c r="Q595" s="33" t="inlineStr">
        <is>
          <t>Confirmar SKU/PCBA revision, PN exacto en Common DB, WO, BU, vigencia, planta y aprobacion firmada.</t>
        </is>
      </c>
    </row>
    <row r="596">
      <c r="A596" s="43" t="inlineStr">
        <is>
          <t>CTANJZ04907</t>
        </is>
      </c>
      <c r="B596" s="43" t="inlineStr">
        <is>
          <t>D604685</t>
        </is>
      </c>
      <c r="C596" s="43" t="inlineStr">
        <is>
          <t>037-STBU</t>
        </is>
      </c>
      <c r="D596" s="43" t="inlineStr">
        <is>
          <t>FJZP</t>
        </is>
      </c>
      <c r="E596" s="43" t="inlineStr">
        <is>
          <t>MCGA</t>
        </is>
      </c>
      <c r="F596" s="43" t="inlineStr">
        <is>
          <t>15-104174-01</t>
        </is>
      </c>
      <c r="G596" s="43" t="inlineStr">
        <is>
          <t>OTHER_SCOPE_ITEM</t>
        </is>
      </c>
      <c r="H596" s="43" t="inlineStr"/>
      <c r="I596" s="43" t="inlineStr">
        <is>
          <t>Expired</t>
        </is>
      </c>
      <c r="J596" s="32" t="n">
        <v>46030</v>
      </c>
      <c r="K596" s="32" t="n"/>
      <c r="L596" s="43" t="inlineStr">
        <is>
          <t>423</t>
        </is>
      </c>
      <c r="M596" s="43" t="n">
        <v>1</v>
      </c>
      <c r="N596" s="33" t="inlineStr"/>
      <c r="O596" s="43" t="inlineStr">
        <is>
          <t>UNVERIFIED</t>
        </is>
      </c>
      <c r="P596" s="43" t="inlineStr">
        <is>
          <t>Pending Review</t>
        </is>
      </c>
      <c r="Q596" s="33" t="inlineStr">
        <is>
          <t>Confirmar SKU/PCBA revision, PN exacto en Common DB, WO, BU, vigencia, planta y aprobacion firmada.</t>
        </is>
      </c>
    </row>
    <row r="597">
      <c r="A597" s="43" t="inlineStr">
        <is>
          <t>CTANJZ04907</t>
        </is>
      </c>
      <c r="B597" s="43" t="inlineStr">
        <is>
          <t>D604685</t>
        </is>
      </c>
      <c r="C597" s="43" t="inlineStr">
        <is>
          <t>037-STBU</t>
        </is>
      </c>
      <c r="D597" s="43" t="inlineStr">
        <is>
          <t>FJZP</t>
        </is>
      </c>
      <c r="E597" s="43" t="inlineStr">
        <is>
          <t>MCGA</t>
        </is>
      </c>
      <c r="F597" s="43" t="inlineStr">
        <is>
          <t>800-103845-08</t>
        </is>
      </c>
      <c r="G597" s="43" t="inlineStr">
        <is>
          <t>OTHER_SCOPE_ITEM</t>
        </is>
      </c>
      <c r="H597" s="43" t="inlineStr"/>
      <c r="I597" s="43" t="inlineStr">
        <is>
          <t>Expired</t>
        </is>
      </c>
      <c r="J597" s="32" t="n">
        <v>46030</v>
      </c>
      <c r="K597" s="32" t="n"/>
      <c r="L597" s="43" t="inlineStr">
        <is>
          <t>450</t>
        </is>
      </c>
      <c r="M597" s="43" t="n">
        <v>1</v>
      </c>
      <c r="N597" s="33" t="inlineStr"/>
      <c r="O597" s="43" t="inlineStr">
        <is>
          <t>UNVERIFIED</t>
        </is>
      </c>
      <c r="P597" s="43" t="inlineStr">
        <is>
          <t>Pending Review</t>
        </is>
      </c>
      <c r="Q597" s="33" t="inlineStr">
        <is>
          <t>Confirmar SKU/PCBA revision, PN exacto en Common DB, WO, BU, vigencia, planta y aprobacion firmada.</t>
        </is>
      </c>
    </row>
    <row r="598">
      <c r="A598" s="43" t="inlineStr">
        <is>
          <t>CTANJZ04909</t>
        </is>
      </c>
      <c r="B598" s="43" t="inlineStr">
        <is>
          <t>D606967</t>
        </is>
      </c>
      <c r="C598" s="43" t="inlineStr">
        <is>
          <t>037-STBU</t>
        </is>
      </c>
      <c r="D598" s="43" t="inlineStr">
        <is>
          <t>FJZP</t>
        </is>
      </c>
      <c r="E598" s="43" t="inlineStr">
        <is>
          <t>MCGA</t>
        </is>
      </c>
      <c r="F598" s="43" t="inlineStr">
        <is>
          <t>15-106507-02</t>
        </is>
      </c>
      <c r="G598" s="43" t="inlineStr">
        <is>
          <t>OTHER_SCOPE_ITEM</t>
        </is>
      </c>
      <c r="H598" s="43" t="inlineStr"/>
      <c r="I598" s="43" t="inlineStr">
        <is>
          <t>Expired</t>
        </is>
      </c>
      <c r="J598" s="32" t="n">
        <v>46033</v>
      </c>
      <c r="K598" s="32" t="n">
        <v>45961</v>
      </c>
      <c r="L598" s="43" t="inlineStr">
        <is>
          <t>452</t>
        </is>
      </c>
      <c r="M598" s="43" t="n">
        <v>1</v>
      </c>
      <c r="N598" s="33" t="inlineStr"/>
      <c r="O598" s="43" t="inlineStr">
        <is>
          <t>UNVERIFIED</t>
        </is>
      </c>
      <c r="P598" s="43" t="inlineStr">
        <is>
          <t>Pending Review</t>
        </is>
      </c>
      <c r="Q598" s="33" t="inlineStr">
        <is>
          <t>Confirmar SKU/PCBA revision, PN exacto en Common DB, WO, BU, vigencia, planta y aprobacion firmada.</t>
        </is>
      </c>
    </row>
    <row r="599">
      <c r="A599" s="43" t="inlineStr">
        <is>
          <t>CTANJZ04909</t>
        </is>
      </c>
      <c r="B599" s="43" t="inlineStr">
        <is>
          <t>D606967</t>
        </is>
      </c>
      <c r="C599" s="43" t="inlineStr">
        <is>
          <t>037-STBU</t>
        </is>
      </c>
      <c r="D599" s="43" t="inlineStr">
        <is>
          <t>FJZP</t>
        </is>
      </c>
      <c r="E599" s="43" t="inlineStr">
        <is>
          <t>MCGA</t>
        </is>
      </c>
      <c r="F599" s="43" t="inlineStr">
        <is>
          <t>800-105498-03</t>
        </is>
      </c>
      <c r="G599" s="43" t="inlineStr">
        <is>
          <t>OTHER_SCOPE_ITEM</t>
        </is>
      </c>
      <c r="H599" s="43" t="inlineStr"/>
      <c r="I599" s="43" t="inlineStr">
        <is>
          <t>Expired</t>
        </is>
      </c>
      <c r="J599" s="32" t="n">
        <v>46033</v>
      </c>
      <c r="K599" s="32" t="n">
        <v>45961</v>
      </c>
      <c r="L599" s="43" t="inlineStr">
        <is>
          <t>453</t>
        </is>
      </c>
      <c r="M599" s="43" t="n">
        <v>1</v>
      </c>
      <c r="N599" s="33" t="inlineStr"/>
      <c r="O599" s="43" t="inlineStr">
        <is>
          <t>UNVERIFIED</t>
        </is>
      </c>
      <c r="P599" s="43" t="inlineStr">
        <is>
          <t>Pending Review</t>
        </is>
      </c>
      <c r="Q599" s="33" t="inlineStr">
        <is>
          <t>Confirmar SKU/PCBA revision, PN exacto en Common DB, WO, BU, vigencia, planta y aprobacion firmada.</t>
        </is>
      </c>
    </row>
    <row r="600">
      <c r="A600" s="43" t="inlineStr">
        <is>
          <t>CTANJZ04909</t>
        </is>
      </c>
      <c r="B600" s="43" t="inlineStr">
        <is>
          <t>D606967</t>
        </is>
      </c>
      <c r="C600" s="43" t="inlineStr">
        <is>
          <t>037-STBU</t>
        </is>
      </c>
      <c r="D600" s="43" t="inlineStr">
        <is>
          <t>FJZP</t>
        </is>
      </c>
      <c r="E600" s="43" t="inlineStr">
        <is>
          <t>MCGA</t>
        </is>
      </c>
      <c r="F600" s="43" t="inlineStr">
        <is>
          <t>800-105499-03</t>
        </is>
      </c>
      <c r="G600" s="43" t="inlineStr">
        <is>
          <t>OTHER_SCOPE_ITEM</t>
        </is>
      </c>
      <c r="H600" s="43" t="inlineStr"/>
      <c r="I600" s="43" t="inlineStr">
        <is>
          <t>Expired</t>
        </is>
      </c>
      <c r="J600" s="32" t="n">
        <v>46033</v>
      </c>
      <c r="K600" s="32" t="n">
        <v>45961</v>
      </c>
      <c r="L600" s="43" t="inlineStr">
        <is>
          <t>454</t>
        </is>
      </c>
      <c r="M600" s="43" t="n">
        <v>1</v>
      </c>
      <c r="N600" s="33" t="inlineStr"/>
      <c r="O600" s="43" t="inlineStr">
        <is>
          <t>UNVERIFIED</t>
        </is>
      </c>
      <c r="P600" s="43" t="inlineStr">
        <is>
          <t>Pending Review</t>
        </is>
      </c>
      <c r="Q600" s="33" t="inlineStr">
        <is>
          <t>Confirmar SKU/PCBA revision, PN exacto en Common DB, WO, BU, vigencia, planta y aprobacion firmada.</t>
        </is>
      </c>
    </row>
    <row r="601">
      <c r="A601" s="43" t="inlineStr">
        <is>
          <t>CTANJZ04909</t>
        </is>
      </c>
      <c r="B601" s="43" t="inlineStr">
        <is>
          <t>D606967</t>
        </is>
      </c>
      <c r="C601" s="43" t="inlineStr">
        <is>
          <t>037-STBU</t>
        </is>
      </c>
      <c r="D601" s="43" t="inlineStr">
        <is>
          <t>FJZP</t>
        </is>
      </c>
      <c r="E601" s="43" t="inlineStr">
        <is>
          <t>MCGA</t>
        </is>
      </c>
      <c r="F601" s="43" t="inlineStr">
        <is>
          <t>800-106632-03</t>
        </is>
      </c>
      <c r="G601" s="43" t="inlineStr">
        <is>
          <t>OTHER_SCOPE_ITEM</t>
        </is>
      </c>
      <c r="H601" s="43" t="inlineStr"/>
      <c r="I601" s="43" t="inlineStr">
        <is>
          <t>Expired</t>
        </is>
      </c>
      <c r="J601" s="32" t="n">
        <v>46033</v>
      </c>
      <c r="K601" s="32" t="n">
        <v>45961</v>
      </c>
      <c r="L601" s="43" t="inlineStr">
        <is>
          <t>455</t>
        </is>
      </c>
      <c r="M601" s="43" t="n">
        <v>1</v>
      </c>
      <c r="N601" s="33" t="inlineStr"/>
      <c r="O601" s="43" t="inlineStr">
        <is>
          <t>UNVERIFIED</t>
        </is>
      </c>
      <c r="P601" s="43" t="inlineStr">
        <is>
          <t>Pending Review</t>
        </is>
      </c>
      <c r="Q601" s="33" t="inlineStr">
        <is>
          <t>Confirmar SKU/PCBA revision, PN exacto en Common DB, WO, BU, vigencia, planta y aprobacion firmada.</t>
        </is>
      </c>
    </row>
    <row r="602">
      <c r="A602" s="43" t="inlineStr">
        <is>
          <t>CTANJZ04909</t>
        </is>
      </c>
      <c r="B602" s="43" t="inlineStr">
        <is>
          <t>D606967</t>
        </is>
      </c>
      <c r="C602" s="43" t="inlineStr">
        <is>
          <t>037-STBU</t>
        </is>
      </c>
      <c r="D602" s="43" t="inlineStr">
        <is>
          <t>FJZP</t>
        </is>
      </c>
      <c r="E602" s="43" t="inlineStr">
        <is>
          <t>MCGA</t>
        </is>
      </c>
      <c r="F602" s="43" t="inlineStr">
        <is>
          <t>800-106633-03</t>
        </is>
      </c>
      <c r="G602" s="43" t="inlineStr">
        <is>
          <t>OTHER_SCOPE_ITEM</t>
        </is>
      </c>
      <c r="H602" s="43" t="inlineStr"/>
      <c r="I602" s="43" t="inlineStr">
        <is>
          <t>Expired</t>
        </is>
      </c>
      <c r="J602" s="32" t="n">
        <v>46033</v>
      </c>
      <c r="K602" s="32" t="n">
        <v>45961</v>
      </c>
      <c r="L602" s="43" t="inlineStr">
        <is>
          <t>456</t>
        </is>
      </c>
      <c r="M602" s="43" t="n">
        <v>1</v>
      </c>
      <c r="N602" s="33" t="inlineStr"/>
      <c r="O602" s="43" t="inlineStr">
        <is>
          <t>UNVERIFIED</t>
        </is>
      </c>
      <c r="P602" s="43" t="inlineStr">
        <is>
          <t>Pending Review</t>
        </is>
      </c>
      <c r="Q602" s="33" t="inlineStr">
        <is>
          <t>Confirmar SKU/PCBA revision, PN exacto en Common DB, WO, BU, vigencia, planta y aprobacion firmada.</t>
        </is>
      </c>
    </row>
    <row r="603">
      <c r="A603" s="43" t="inlineStr">
        <is>
          <t>CTANJZ04909</t>
        </is>
      </c>
      <c r="B603" s="43" t="inlineStr">
        <is>
          <t>D606967</t>
        </is>
      </c>
      <c r="C603" s="43" t="inlineStr">
        <is>
          <t>037-STBU</t>
        </is>
      </c>
      <c r="D603" s="43" t="inlineStr">
        <is>
          <t>FJZP</t>
        </is>
      </c>
      <c r="E603" s="43" t="inlineStr">
        <is>
          <t>MCGA</t>
        </is>
      </c>
      <c r="F603" s="43" t="inlineStr">
        <is>
          <t>800-106754-02</t>
        </is>
      </c>
      <c r="G603" s="43" t="inlineStr">
        <is>
          <t>OTHER_SCOPE_ITEM</t>
        </is>
      </c>
      <c r="H603" s="43" t="inlineStr"/>
      <c r="I603" s="43" t="inlineStr">
        <is>
          <t>Expired</t>
        </is>
      </c>
      <c r="J603" s="32" t="n">
        <v>46033</v>
      </c>
      <c r="K603" s="32" t="n">
        <v>45961</v>
      </c>
      <c r="L603" s="43" t="inlineStr">
        <is>
          <t>457</t>
        </is>
      </c>
      <c r="M603" s="43" t="n">
        <v>1</v>
      </c>
      <c r="N603" s="33" t="inlineStr"/>
      <c r="O603" s="43" t="inlineStr">
        <is>
          <t>UNVERIFIED</t>
        </is>
      </c>
      <c r="P603" s="43" t="inlineStr">
        <is>
          <t>Pending Review</t>
        </is>
      </c>
      <c r="Q603" s="33" t="inlineStr">
        <is>
          <t>Confirmar SKU/PCBA revision, PN exacto en Common DB, WO, BU, vigencia, planta y aprobacion firmada.</t>
        </is>
      </c>
    </row>
    <row r="604">
      <c r="A604" s="43" t="inlineStr">
        <is>
          <t>CTANJZ04909</t>
        </is>
      </c>
      <c r="B604" s="43" t="inlineStr">
        <is>
          <t>D606967</t>
        </is>
      </c>
      <c r="C604" s="43" t="inlineStr">
        <is>
          <t>037-STBU</t>
        </is>
      </c>
      <c r="D604" s="43" t="inlineStr">
        <is>
          <t>FJZP</t>
        </is>
      </c>
      <c r="E604" s="43" t="inlineStr">
        <is>
          <t>MCGA</t>
        </is>
      </c>
      <c r="F604" s="43" t="inlineStr">
        <is>
          <t>800-106838-02</t>
        </is>
      </c>
      <c r="G604" s="43" t="inlineStr">
        <is>
          <t>OTHER_SCOPE_ITEM</t>
        </is>
      </c>
      <c r="H604" s="43" t="inlineStr"/>
      <c r="I604" s="43" t="inlineStr">
        <is>
          <t>Expired</t>
        </is>
      </c>
      <c r="J604" s="32" t="n">
        <v>46033</v>
      </c>
      <c r="K604" s="32" t="n">
        <v>45961</v>
      </c>
      <c r="L604" s="43" t="inlineStr">
        <is>
          <t>458</t>
        </is>
      </c>
      <c r="M604" s="43" t="n">
        <v>1</v>
      </c>
      <c r="N604" s="33" t="inlineStr"/>
      <c r="O604" s="43" t="inlineStr">
        <is>
          <t>UNVERIFIED</t>
        </is>
      </c>
      <c r="P604" s="43" t="inlineStr">
        <is>
          <t>Pending Review</t>
        </is>
      </c>
      <c r="Q604" s="33" t="inlineStr">
        <is>
          <t>Confirmar SKU/PCBA revision, PN exacto en Common DB, WO, BU, vigencia, planta y aprobacion firmada.</t>
        </is>
      </c>
    </row>
    <row r="605">
      <c r="A605" s="43" t="inlineStr">
        <is>
          <t>CTANJZ04914</t>
        </is>
      </c>
      <c r="B605" s="43" t="inlineStr">
        <is>
          <t>D606941</t>
        </is>
      </c>
      <c r="C605" s="43" t="inlineStr">
        <is>
          <t>037-STBU</t>
        </is>
      </c>
      <c r="D605" s="43" t="inlineStr">
        <is>
          <t>FJZP</t>
        </is>
      </c>
      <c r="E605" s="43" t="inlineStr">
        <is>
          <t>MCGA</t>
        </is>
      </c>
      <c r="F605" s="43" t="inlineStr">
        <is>
          <t>73-103559-04</t>
        </is>
      </c>
      <c r="G605" s="43" t="inlineStr">
        <is>
          <t>BOARD_PN_CANDIDATE</t>
        </is>
      </c>
      <c r="H605" s="43" t="inlineStr"/>
      <c r="I605" s="43" t="inlineStr">
        <is>
          <t>Expired</t>
        </is>
      </c>
      <c r="J605" s="32" t="n">
        <v>46034</v>
      </c>
      <c r="K605" s="32" t="n">
        <v>45961</v>
      </c>
      <c r="L605" s="43" t="inlineStr">
        <is>
          <t>1631</t>
        </is>
      </c>
      <c r="M605" s="43" t="n">
        <v>1</v>
      </c>
      <c r="N605" s="33" t="inlineStr"/>
      <c r="O605" s="43" t="inlineStr">
        <is>
          <t>UNVERIFIED</t>
        </is>
      </c>
      <c r="P605" s="43" t="inlineStr">
        <is>
          <t>Pending Review</t>
        </is>
      </c>
      <c r="Q605" s="33" t="inlineStr">
        <is>
          <t>Confirmar SKU/PCBA revision, PN exacto en Common DB, WO, BU, vigencia, planta y aprobacion firmada.</t>
        </is>
      </c>
    </row>
    <row r="606">
      <c r="A606" s="43" t="inlineStr">
        <is>
          <t>CTANJZ04914</t>
        </is>
      </c>
      <c r="B606" s="43" t="inlineStr">
        <is>
          <t>D606941</t>
        </is>
      </c>
      <c r="C606" s="43" t="inlineStr">
        <is>
          <t>037-STBU</t>
        </is>
      </c>
      <c r="D606" s="43" t="inlineStr">
        <is>
          <t>FJZP</t>
        </is>
      </c>
      <c r="E606" s="43" t="inlineStr">
        <is>
          <t>MCGA</t>
        </is>
      </c>
      <c r="F606" s="43" t="inlineStr">
        <is>
          <t>73-103648-04</t>
        </is>
      </c>
      <c r="G606" s="43" t="inlineStr">
        <is>
          <t>BOARD_PN_CANDIDATE</t>
        </is>
      </c>
      <c r="H606" s="43" t="inlineStr"/>
      <c r="I606" s="43" t="inlineStr">
        <is>
          <t>Expired</t>
        </is>
      </c>
      <c r="J606" s="32" t="n">
        <v>46034</v>
      </c>
      <c r="K606" s="32" t="n">
        <v>45961</v>
      </c>
      <c r="L606" s="43" t="inlineStr">
        <is>
          <t>1632</t>
        </is>
      </c>
      <c r="M606" s="43" t="n">
        <v>1</v>
      </c>
      <c r="N606" s="33" t="inlineStr"/>
      <c r="O606" s="43" t="inlineStr">
        <is>
          <t>UNVERIFIED</t>
        </is>
      </c>
      <c r="P606" s="43" t="inlineStr">
        <is>
          <t>Pending Review</t>
        </is>
      </c>
      <c r="Q606" s="33" t="inlineStr">
        <is>
          <t>Confirmar SKU/PCBA revision, PN exacto en Common DB, WO, BU, vigencia, planta y aprobacion firmada.</t>
        </is>
      </c>
    </row>
    <row r="607">
      <c r="A607" s="43" t="inlineStr">
        <is>
          <t>CTANJZ04915</t>
        </is>
      </c>
      <c r="B607" s="43" t="inlineStr">
        <is>
          <t>D606919</t>
        </is>
      </c>
      <c r="C607" s="43" t="inlineStr">
        <is>
          <t>037-STBU</t>
        </is>
      </c>
      <c r="D607" s="43" t="inlineStr">
        <is>
          <t>FJZP</t>
        </is>
      </c>
      <c r="E607" s="43" t="inlineStr">
        <is>
          <t>MCGA</t>
        </is>
      </c>
      <c r="F607" s="43" t="inlineStr">
        <is>
          <t>800-103091-01</t>
        </is>
      </c>
      <c r="G607" s="43" t="inlineStr">
        <is>
          <t>OTHER_SCOPE_ITEM</t>
        </is>
      </c>
      <c r="H607" s="43" t="inlineStr"/>
      <c r="I607" s="43" t="inlineStr">
        <is>
          <t>Expired</t>
        </is>
      </c>
      <c r="J607" s="32" t="n">
        <v>46036</v>
      </c>
      <c r="K607" s="32" t="n">
        <v>45966</v>
      </c>
      <c r="L607" s="43" t="inlineStr">
        <is>
          <t>871</t>
        </is>
      </c>
      <c r="M607" s="43" t="n">
        <v>1</v>
      </c>
      <c r="N607" s="33" t="inlineStr"/>
      <c r="O607" s="43" t="inlineStr">
        <is>
          <t>UNVERIFIED</t>
        </is>
      </c>
      <c r="P607" s="43" t="inlineStr">
        <is>
          <t>Pending Review</t>
        </is>
      </c>
      <c r="Q607" s="33" t="inlineStr">
        <is>
          <t>Confirmar SKU/PCBA revision, PN exacto en Common DB, WO, BU, vigencia, planta y aprobacion firmada.</t>
        </is>
      </c>
    </row>
    <row r="608">
      <c r="A608" s="43" t="inlineStr">
        <is>
          <t>CTANJZ04915</t>
        </is>
      </c>
      <c r="B608" s="43" t="inlineStr">
        <is>
          <t>D606919</t>
        </is>
      </c>
      <c r="C608" s="43" t="inlineStr">
        <is>
          <t>037-STBU</t>
        </is>
      </c>
      <c r="D608" s="43" t="inlineStr">
        <is>
          <t>FJZP</t>
        </is>
      </c>
      <c r="E608" s="43" t="inlineStr">
        <is>
          <t>MCGA</t>
        </is>
      </c>
      <c r="F608" s="43" t="inlineStr">
        <is>
          <t>800-105498-03</t>
        </is>
      </c>
      <c r="G608" s="43" t="inlineStr">
        <is>
          <t>OTHER_SCOPE_ITEM</t>
        </is>
      </c>
      <c r="H608" s="43" t="inlineStr"/>
      <c r="I608" s="43" t="inlineStr">
        <is>
          <t>Expired</t>
        </is>
      </c>
      <c r="J608" s="32" t="n">
        <v>46036</v>
      </c>
      <c r="K608" s="32" t="n">
        <v>45966</v>
      </c>
      <c r="L608" s="43" t="inlineStr">
        <is>
          <t>872</t>
        </is>
      </c>
      <c r="M608" s="43" t="n">
        <v>1</v>
      </c>
      <c r="N608" s="33" t="inlineStr"/>
      <c r="O608" s="43" t="inlineStr">
        <is>
          <t>UNVERIFIED</t>
        </is>
      </c>
      <c r="P608" s="43" t="inlineStr">
        <is>
          <t>Pending Review</t>
        </is>
      </c>
      <c r="Q608" s="33" t="inlineStr">
        <is>
          <t>Confirmar SKU/PCBA revision, PN exacto en Common DB, WO, BU, vigencia, planta y aprobacion firmada.</t>
        </is>
      </c>
    </row>
    <row r="609">
      <c r="A609" s="43" t="inlineStr">
        <is>
          <t>CTANJZ04915</t>
        </is>
      </c>
      <c r="B609" s="43" t="inlineStr">
        <is>
          <t>D606919</t>
        </is>
      </c>
      <c r="C609" s="43" t="inlineStr">
        <is>
          <t>037-STBU</t>
        </is>
      </c>
      <c r="D609" s="43" t="inlineStr">
        <is>
          <t>FJZP</t>
        </is>
      </c>
      <c r="E609" s="43" t="inlineStr">
        <is>
          <t>MCGA</t>
        </is>
      </c>
      <c r="F609" s="43" t="inlineStr">
        <is>
          <t>800-105499-03</t>
        </is>
      </c>
      <c r="G609" s="43" t="inlineStr">
        <is>
          <t>OTHER_SCOPE_ITEM</t>
        </is>
      </c>
      <c r="H609" s="43" t="inlineStr"/>
      <c r="I609" s="43" t="inlineStr">
        <is>
          <t>Expired</t>
        </is>
      </c>
      <c r="J609" s="32" t="n">
        <v>46036</v>
      </c>
      <c r="K609" s="32" t="n">
        <v>45966</v>
      </c>
      <c r="L609" s="43" t="inlineStr">
        <is>
          <t>910</t>
        </is>
      </c>
      <c r="M609" s="43" t="n">
        <v>1</v>
      </c>
      <c r="N609" s="33" t="inlineStr"/>
      <c r="O609" s="43" t="inlineStr">
        <is>
          <t>UNVERIFIED</t>
        </is>
      </c>
      <c r="P609" s="43" t="inlineStr">
        <is>
          <t>Pending Review</t>
        </is>
      </c>
      <c r="Q609" s="33" t="inlineStr">
        <is>
          <t>Confirmar SKU/PCBA revision, PN exacto en Common DB, WO, BU, vigencia, planta y aprobacion firmada.</t>
        </is>
      </c>
    </row>
    <row r="610">
      <c r="A610" s="43" t="inlineStr">
        <is>
          <t>CTANJZ04915</t>
        </is>
      </c>
      <c r="B610" s="43" t="inlineStr">
        <is>
          <t>D606919</t>
        </is>
      </c>
      <c r="C610" s="43" t="inlineStr">
        <is>
          <t>037-STBU</t>
        </is>
      </c>
      <c r="D610" s="43" t="inlineStr">
        <is>
          <t>FJZP</t>
        </is>
      </c>
      <c r="E610" s="43" t="inlineStr">
        <is>
          <t>MCGA</t>
        </is>
      </c>
      <c r="F610" s="43" t="inlineStr">
        <is>
          <t>800-105500-03</t>
        </is>
      </c>
      <c r="G610" s="43" t="inlineStr">
        <is>
          <t>OTHER_SCOPE_ITEM</t>
        </is>
      </c>
      <c r="H610" s="43" t="inlineStr"/>
      <c r="I610" s="43" t="inlineStr">
        <is>
          <t>Expired</t>
        </is>
      </c>
      <c r="J610" s="32" t="n">
        <v>46036</v>
      </c>
      <c r="K610" s="32" t="n">
        <v>45966</v>
      </c>
      <c r="L610" s="43" t="inlineStr">
        <is>
          <t>911</t>
        </is>
      </c>
      <c r="M610" s="43" t="n">
        <v>1</v>
      </c>
      <c r="N610" s="33" t="inlineStr"/>
      <c r="O610" s="43" t="inlineStr">
        <is>
          <t>UNVERIFIED</t>
        </is>
      </c>
      <c r="P610" s="43" t="inlineStr">
        <is>
          <t>Pending Review</t>
        </is>
      </c>
      <c r="Q610" s="33" t="inlineStr">
        <is>
          <t>Confirmar SKU/PCBA revision, PN exacto en Common DB, WO, BU, vigencia, planta y aprobacion firmada.</t>
        </is>
      </c>
    </row>
    <row r="611">
      <c r="A611" s="43" t="inlineStr">
        <is>
          <t>CTANJZ04915</t>
        </is>
      </c>
      <c r="B611" s="43" t="inlineStr">
        <is>
          <t>D606919</t>
        </is>
      </c>
      <c r="C611" s="43" t="inlineStr">
        <is>
          <t>037-STBU</t>
        </is>
      </c>
      <c r="D611" s="43" t="inlineStr">
        <is>
          <t>FJZP</t>
        </is>
      </c>
      <c r="E611" s="43" t="inlineStr">
        <is>
          <t>MCGA</t>
        </is>
      </c>
      <c r="F611" s="43" t="inlineStr">
        <is>
          <t>800-106634-02</t>
        </is>
      </c>
      <c r="G611" s="43" t="inlineStr">
        <is>
          <t>OTHER_SCOPE_ITEM</t>
        </is>
      </c>
      <c r="H611" s="43" t="inlineStr"/>
      <c r="I611" s="43" t="inlineStr">
        <is>
          <t>Expired</t>
        </is>
      </c>
      <c r="J611" s="32" t="n">
        <v>46036</v>
      </c>
      <c r="K611" s="32" t="n">
        <v>45966</v>
      </c>
      <c r="L611" s="43" t="inlineStr">
        <is>
          <t>912</t>
        </is>
      </c>
      <c r="M611" s="43" t="n">
        <v>1</v>
      </c>
      <c r="N611" s="33" t="inlineStr"/>
      <c r="O611" s="43" t="inlineStr">
        <is>
          <t>UNVERIFIED</t>
        </is>
      </c>
      <c r="P611" s="43" t="inlineStr">
        <is>
          <t>Pending Review</t>
        </is>
      </c>
      <c r="Q611" s="33" t="inlineStr">
        <is>
          <t>Confirmar SKU/PCBA revision, PN exacto en Common DB, WO, BU, vigencia, planta y aprobacion firmada.</t>
        </is>
      </c>
    </row>
    <row r="612">
      <c r="A612" s="43" t="inlineStr">
        <is>
          <t>CTANJZ04915</t>
        </is>
      </c>
      <c r="B612" s="43" t="inlineStr">
        <is>
          <t>D606919</t>
        </is>
      </c>
      <c r="C612" s="43" t="inlineStr">
        <is>
          <t>037-STBU</t>
        </is>
      </c>
      <c r="D612" s="43" t="inlineStr">
        <is>
          <t>FJZP</t>
        </is>
      </c>
      <c r="E612" s="43" t="inlineStr">
        <is>
          <t>MCGA</t>
        </is>
      </c>
      <c r="F612" s="43" t="inlineStr">
        <is>
          <t>800-106754-02</t>
        </is>
      </c>
      <c r="G612" s="43" t="inlineStr">
        <is>
          <t>OTHER_SCOPE_ITEM</t>
        </is>
      </c>
      <c r="H612" s="43" t="inlineStr"/>
      <c r="I612" s="43" t="inlineStr">
        <is>
          <t>Expired</t>
        </is>
      </c>
      <c r="J612" s="32" t="n">
        <v>46036</v>
      </c>
      <c r="K612" s="32" t="n">
        <v>45966</v>
      </c>
      <c r="L612" s="43" t="inlineStr">
        <is>
          <t>913</t>
        </is>
      </c>
      <c r="M612" s="43" t="n">
        <v>1</v>
      </c>
      <c r="N612" s="33" t="inlineStr"/>
      <c r="O612" s="43" t="inlineStr">
        <is>
          <t>UNVERIFIED</t>
        </is>
      </c>
      <c r="P612" s="43" t="inlineStr">
        <is>
          <t>Pending Review</t>
        </is>
      </c>
      <c r="Q612" s="33" t="inlineStr">
        <is>
          <t>Confirmar SKU/PCBA revision, PN exacto en Common DB, WO, BU, vigencia, planta y aprobacion firmada.</t>
        </is>
      </c>
    </row>
    <row r="613">
      <c r="A613" s="43" t="inlineStr">
        <is>
          <t>CTANJZ04915</t>
        </is>
      </c>
      <c r="B613" s="43" t="inlineStr">
        <is>
          <t>D606919</t>
        </is>
      </c>
      <c r="C613" s="43" t="inlineStr">
        <is>
          <t>037-STBU</t>
        </is>
      </c>
      <c r="D613" s="43" t="inlineStr">
        <is>
          <t>FJZP</t>
        </is>
      </c>
      <c r="E613" s="43" t="inlineStr">
        <is>
          <t>MCGA</t>
        </is>
      </c>
      <c r="F613" s="43" t="inlineStr">
        <is>
          <t>800-106838-02</t>
        </is>
      </c>
      <c r="G613" s="43" t="inlineStr">
        <is>
          <t>OTHER_SCOPE_ITEM</t>
        </is>
      </c>
      <c r="H613" s="43" t="inlineStr"/>
      <c r="I613" s="43" t="inlineStr">
        <is>
          <t>Expired</t>
        </is>
      </c>
      <c r="J613" s="32" t="n">
        <v>46036</v>
      </c>
      <c r="K613" s="32" t="n">
        <v>45966</v>
      </c>
      <c r="L613" s="43" t="inlineStr">
        <is>
          <t>914</t>
        </is>
      </c>
      <c r="M613" s="43" t="n">
        <v>1</v>
      </c>
      <c r="N613" s="33" t="inlineStr"/>
      <c r="O613" s="43" t="inlineStr">
        <is>
          <t>UNVERIFIED</t>
        </is>
      </c>
      <c r="P613" s="43" t="inlineStr">
        <is>
          <t>Pending Review</t>
        </is>
      </c>
      <c r="Q613" s="33" t="inlineStr">
        <is>
          <t>Confirmar SKU/PCBA revision, PN exacto en Common DB, WO, BU, vigencia, planta y aprobacion firmada.</t>
        </is>
      </c>
    </row>
    <row r="614">
      <c r="A614" s="43" t="inlineStr">
        <is>
          <t>CTANJZ04920</t>
        </is>
      </c>
      <c r="B614" s="43" t="inlineStr">
        <is>
          <t>D607129</t>
        </is>
      </c>
      <c r="C614" s="43" t="inlineStr">
        <is>
          <t>018-SRGBU</t>
        </is>
      </c>
      <c r="D614" s="43" t="inlineStr">
        <is>
          <t>FJZP</t>
        </is>
      </c>
      <c r="E614" s="43" t="inlineStr">
        <is>
          <t>MCGA</t>
        </is>
      </c>
      <c r="F614" s="43" t="inlineStr">
        <is>
          <t>800-111374-01</t>
        </is>
      </c>
      <c r="G614" s="43" t="inlineStr">
        <is>
          <t>OTHER_SCOPE_ITEM</t>
        </is>
      </c>
      <c r="H614" s="43" t="inlineStr"/>
      <c r="I614" s="43" t="inlineStr">
        <is>
          <t>Expired</t>
        </is>
      </c>
      <c r="J614" s="32" t="n">
        <v>46037</v>
      </c>
      <c r="K614" s="32" t="n">
        <v>45955</v>
      </c>
      <c r="L614" s="43" t="inlineStr">
        <is>
          <t>1773</t>
        </is>
      </c>
      <c r="M614" s="43" t="n">
        <v>1</v>
      </c>
      <c r="N614" s="33" t="inlineStr"/>
      <c r="O614" s="43" t="inlineStr">
        <is>
          <t>UNVERIFIED</t>
        </is>
      </c>
      <c r="P614" s="43" t="inlineStr">
        <is>
          <t>Pending Review</t>
        </is>
      </c>
      <c r="Q614" s="33" t="inlineStr">
        <is>
          <t>Confirmar SKU/PCBA revision, PN exacto en Common DB, WO, BU, vigencia, planta y aprobacion firmada.</t>
        </is>
      </c>
    </row>
    <row r="615">
      <c r="A615" s="43" t="inlineStr">
        <is>
          <t>CTANJZ04921</t>
        </is>
      </c>
      <c r="B615" s="43" t="inlineStr">
        <is>
          <t>D607106</t>
        </is>
      </c>
      <c r="C615" s="43" t="inlineStr">
        <is>
          <t>037-STBU</t>
        </is>
      </c>
      <c r="D615" s="43" t="inlineStr">
        <is>
          <t>FJZP</t>
        </is>
      </c>
      <c r="E615" s="43" t="inlineStr">
        <is>
          <t>MCGA</t>
        </is>
      </c>
      <c r="F615" s="43" t="inlineStr">
        <is>
          <t>68-7253-05</t>
        </is>
      </c>
      <c r="G615" s="43" t="inlineStr">
        <is>
          <t>OTHER_SCOPE_ITEM</t>
        </is>
      </c>
      <c r="H615" s="43" t="inlineStr"/>
      <c r="I615" s="43" t="inlineStr">
        <is>
          <t>Expired</t>
        </is>
      </c>
      <c r="J615" s="32" t="n">
        <v>46037</v>
      </c>
      <c r="K615" s="32" t="n">
        <v>45966</v>
      </c>
      <c r="L615" s="43" t="inlineStr">
        <is>
          <t>915</t>
        </is>
      </c>
      <c r="M615" s="43" t="n">
        <v>1</v>
      </c>
      <c r="N615" s="33" t="inlineStr"/>
      <c r="O615" s="43" t="inlineStr">
        <is>
          <t>UNVERIFIED</t>
        </is>
      </c>
      <c r="P615" s="43" t="inlineStr">
        <is>
          <t>Pending Review</t>
        </is>
      </c>
      <c r="Q615" s="33" t="inlineStr">
        <is>
          <t>Confirmar SKU/PCBA revision, PN exacto en Common DB, WO, BU, vigencia, planta y aprobacion firmada.</t>
        </is>
      </c>
    </row>
    <row r="616">
      <c r="A616" s="43" t="inlineStr">
        <is>
          <t>CTANJZ04921</t>
        </is>
      </c>
      <c r="B616" s="43" t="inlineStr">
        <is>
          <t>D607106</t>
        </is>
      </c>
      <c r="C616" s="43" t="inlineStr">
        <is>
          <t>037-STBU</t>
        </is>
      </c>
      <c r="D616" s="43" t="inlineStr">
        <is>
          <t>FJZP</t>
        </is>
      </c>
      <c r="E616" s="43" t="inlineStr">
        <is>
          <t>MCGA</t>
        </is>
      </c>
      <c r="F616" s="43" t="inlineStr">
        <is>
          <t>68-7254-05</t>
        </is>
      </c>
      <c r="G616" s="43" t="inlineStr">
        <is>
          <t>OTHER_SCOPE_ITEM</t>
        </is>
      </c>
      <c r="H616" s="43" t="inlineStr"/>
      <c r="I616" s="43" t="inlineStr">
        <is>
          <t>Expired</t>
        </is>
      </c>
      <c r="J616" s="32" t="n">
        <v>46037</v>
      </c>
      <c r="K616" s="32" t="n">
        <v>45966</v>
      </c>
      <c r="L616" s="43" t="inlineStr">
        <is>
          <t>916</t>
        </is>
      </c>
      <c r="M616" s="43" t="n">
        <v>1</v>
      </c>
      <c r="N616" s="33" t="inlineStr"/>
      <c r="O616" s="43" t="inlineStr">
        <is>
          <t>UNVERIFIED</t>
        </is>
      </c>
      <c r="P616" s="43" t="inlineStr">
        <is>
          <t>Pending Review</t>
        </is>
      </c>
      <c r="Q616" s="33" t="inlineStr">
        <is>
          <t>Confirmar SKU/PCBA revision, PN exacto en Common DB, WO, BU, vigencia, planta y aprobacion firmada.</t>
        </is>
      </c>
    </row>
    <row r="617">
      <c r="A617" s="43" t="inlineStr">
        <is>
          <t>CTANJZ04921</t>
        </is>
      </c>
      <c r="B617" s="43" t="inlineStr">
        <is>
          <t>D607106</t>
        </is>
      </c>
      <c r="C617" s="43" t="inlineStr">
        <is>
          <t>037-STBU</t>
        </is>
      </c>
      <c r="D617" s="43" t="inlineStr">
        <is>
          <t>FJZP</t>
        </is>
      </c>
      <c r="E617" s="43" t="inlineStr">
        <is>
          <t>MCGA</t>
        </is>
      </c>
      <c r="F617" s="43" t="inlineStr">
        <is>
          <t>68-7255-05</t>
        </is>
      </c>
      <c r="G617" s="43" t="inlineStr">
        <is>
          <t>OTHER_SCOPE_ITEM</t>
        </is>
      </c>
      <c r="H617" s="43" t="inlineStr"/>
      <c r="I617" s="43" t="inlineStr">
        <is>
          <t>Expired</t>
        </is>
      </c>
      <c r="J617" s="32" t="n">
        <v>46037</v>
      </c>
      <c r="K617" s="32" t="n">
        <v>45966</v>
      </c>
      <c r="L617" s="43" t="inlineStr">
        <is>
          <t>967</t>
        </is>
      </c>
      <c r="M617" s="43" t="n">
        <v>1</v>
      </c>
      <c r="N617" s="33" t="inlineStr"/>
      <c r="O617" s="43" t="inlineStr">
        <is>
          <t>UNVERIFIED</t>
        </is>
      </c>
      <c r="P617" s="43" t="inlineStr">
        <is>
          <t>Pending Review</t>
        </is>
      </c>
      <c r="Q617" s="33" t="inlineStr">
        <is>
          <t>Confirmar SKU/PCBA revision, PN exacto en Common DB, WO, BU, vigencia, planta y aprobacion firmada.</t>
        </is>
      </c>
    </row>
    <row r="618">
      <c r="A618" s="43" t="inlineStr">
        <is>
          <t>CTANJZ04921</t>
        </is>
      </c>
      <c r="B618" s="43" t="inlineStr">
        <is>
          <t>D607106</t>
        </is>
      </c>
      <c r="C618" s="43" t="inlineStr">
        <is>
          <t>037-STBU</t>
        </is>
      </c>
      <c r="D618" s="43" t="inlineStr">
        <is>
          <t>FJZP</t>
        </is>
      </c>
      <c r="E618" s="43" t="inlineStr">
        <is>
          <t>MCGA</t>
        </is>
      </c>
      <c r="F618" s="43" t="inlineStr">
        <is>
          <t>68-7256-05</t>
        </is>
      </c>
      <c r="G618" s="43" t="inlineStr">
        <is>
          <t>OTHER_SCOPE_ITEM</t>
        </is>
      </c>
      <c r="H618" s="43" t="inlineStr"/>
      <c r="I618" s="43" t="inlineStr">
        <is>
          <t>Expired</t>
        </is>
      </c>
      <c r="J618" s="32" t="n">
        <v>46037</v>
      </c>
      <c r="K618" s="32" t="n">
        <v>45966</v>
      </c>
      <c r="L618" s="43" t="inlineStr">
        <is>
          <t>968</t>
        </is>
      </c>
      <c r="M618" s="43" t="n">
        <v>1</v>
      </c>
      <c r="N618" s="33" t="inlineStr"/>
      <c r="O618" s="43" t="inlineStr">
        <is>
          <t>UNVERIFIED</t>
        </is>
      </c>
      <c r="P618" s="43" t="inlineStr">
        <is>
          <t>Pending Review</t>
        </is>
      </c>
      <c r="Q618" s="33" t="inlineStr">
        <is>
          <t>Confirmar SKU/PCBA revision, PN exacto en Common DB, WO, BU, vigencia, planta y aprobacion firmada.</t>
        </is>
      </c>
    </row>
    <row r="619">
      <c r="A619" s="43" t="inlineStr">
        <is>
          <t>CTANJZ04921</t>
        </is>
      </c>
      <c r="B619" s="43" t="inlineStr">
        <is>
          <t>D607106</t>
        </is>
      </c>
      <c r="C619" s="43" t="inlineStr">
        <is>
          <t>037-STBU</t>
        </is>
      </c>
      <c r="D619" s="43" t="inlineStr">
        <is>
          <t>FJZP</t>
        </is>
      </c>
      <c r="E619" s="43" t="inlineStr">
        <is>
          <t>MCGA</t>
        </is>
      </c>
      <c r="F619" s="43" t="inlineStr">
        <is>
          <t>68-7638-02</t>
        </is>
      </c>
      <c r="G619" s="43" t="inlineStr">
        <is>
          <t>OTHER_SCOPE_ITEM</t>
        </is>
      </c>
      <c r="H619" s="43" t="inlineStr"/>
      <c r="I619" s="43" t="inlineStr">
        <is>
          <t>Expired</t>
        </is>
      </c>
      <c r="J619" s="32" t="n">
        <v>46037</v>
      </c>
      <c r="K619" s="32" t="n">
        <v>45966</v>
      </c>
      <c r="L619" s="43" t="inlineStr">
        <is>
          <t>969</t>
        </is>
      </c>
      <c r="M619" s="43" t="n">
        <v>1</v>
      </c>
      <c r="N619" s="33" t="inlineStr"/>
      <c r="O619" s="43" t="inlineStr">
        <is>
          <t>UNVERIFIED</t>
        </is>
      </c>
      <c r="P619" s="43" t="inlineStr">
        <is>
          <t>Pending Review</t>
        </is>
      </c>
      <c r="Q619" s="33" t="inlineStr">
        <is>
          <t>Confirmar SKU/PCBA revision, PN exacto en Common DB, WO, BU, vigencia, planta y aprobacion firmada.</t>
        </is>
      </c>
    </row>
    <row r="620">
      <c r="A620" s="43" t="inlineStr">
        <is>
          <t>CTANJZ04921</t>
        </is>
      </c>
      <c r="B620" s="43" t="inlineStr">
        <is>
          <t>D607106</t>
        </is>
      </c>
      <c r="C620" s="43" t="inlineStr">
        <is>
          <t>037-STBU</t>
        </is>
      </c>
      <c r="D620" s="43" t="inlineStr">
        <is>
          <t>FJZP</t>
        </is>
      </c>
      <c r="E620" s="43" t="inlineStr">
        <is>
          <t>MCGA</t>
        </is>
      </c>
      <c r="F620" s="43" t="inlineStr">
        <is>
          <t>800-109483-01</t>
        </is>
      </c>
      <c r="G620" s="43" t="inlineStr">
        <is>
          <t>OTHER_SCOPE_ITEM</t>
        </is>
      </c>
      <c r="H620" s="43" t="inlineStr"/>
      <c r="I620" s="43" t="inlineStr">
        <is>
          <t>Expired</t>
        </is>
      </c>
      <c r="J620" s="32" t="n">
        <v>46037</v>
      </c>
      <c r="K620" s="32" t="n">
        <v>45966</v>
      </c>
      <c r="L620" s="43" t="inlineStr">
        <is>
          <t>970</t>
        </is>
      </c>
      <c r="M620" s="43" t="n">
        <v>1</v>
      </c>
      <c r="N620" s="33" t="inlineStr"/>
      <c r="O620" s="43" t="inlineStr">
        <is>
          <t>UNVERIFIED</t>
        </is>
      </c>
      <c r="P620" s="43" t="inlineStr">
        <is>
          <t>Pending Review</t>
        </is>
      </c>
      <c r="Q620" s="33" t="inlineStr">
        <is>
          <t>Confirmar SKU/PCBA revision, PN exacto en Common DB, WO, BU, vigencia, planta y aprobacion firmada.</t>
        </is>
      </c>
    </row>
    <row r="621">
      <c r="A621" s="43" t="inlineStr">
        <is>
          <t>CTANJZ04922</t>
        </is>
      </c>
      <c r="B621" s="43" t="inlineStr">
        <is>
          <t>D607082</t>
        </is>
      </c>
      <c r="C621" s="43" t="inlineStr">
        <is>
          <t>037-STBU</t>
        </is>
      </c>
      <c r="D621" s="43" t="inlineStr">
        <is>
          <t>FJZP</t>
        </is>
      </c>
      <c r="E621" s="43" t="inlineStr">
        <is>
          <t>MCGA</t>
        </is>
      </c>
      <c r="F621" s="43" t="inlineStr">
        <is>
          <t>74-139970-01</t>
        </is>
      </c>
      <c r="G621" s="43" t="inlineStr">
        <is>
          <t>OTHER_SCOPE_ITEM</t>
        </is>
      </c>
      <c r="H621" s="43" t="inlineStr"/>
      <c r="I621" s="43" t="inlineStr">
        <is>
          <t>Expired</t>
        </is>
      </c>
      <c r="J621" s="32" t="n">
        <v>46036</v>
      </c>
      <c r="K621" s="32" t="n">
        <v>45976</v>
      </c>
      <c r="L621" s="43" t="inlineStr">
        <is>
          <t>864</t>
        </is>
      </c>
      <c r="M621" s="43" t="n">
        <v>1</v>
      </c>
      <c r="N621" s="33" t="inlineStr"/>
      <c r="O621" s="43" t="inlineStr">
        <is>
          <t>UNVERIFIED</t>
        </is>
      </c>
      <c r="P621" s="43" t="inlineStr">
        <is>
          <t>Pending Review</t>
        </is>
      </c>
      <c r="Q621" s="33" t="inlineStr">
        <is>
          <t>Confirmar SKU/PCBA revision, PN exacto en Common DB, WO, BU, vigencia, planta y aprobacion firmada.</t>
        </is>
      </c>
    </row>
    <row r="622">
      <c r="A622" s="43" t="inlineStr">
        <is>
          <t>CTANJZ04922</t>
        </is>
      </c>
      <c r="B622" s="43" t="inlineStr">
        <is>
          <t>D607082</t>
        </is>
      </c>
      <c r="C622" s="43" t="inlineStr">
        <is>
          <t>037-STBU</t>
        </is>
      </c>
      <c r="D622" s="43" t="inlineStr">
        <is>
          <t>FJZP</t>
        </is>
      </c>
      <c r="E622" s="43" t="inlineStr">
        <is>
          <t>MCGA</t>
        </is>
      </c>
      <c r="F622" s="43" t="inlineStr">
        <is>
          <t>74-139971-01</t>
        </is>
      </c>
      <c r="G622" s="43" t="inlineStr">
        <is>
          <t>OTHER_SCOPE_ITEM</t>
        </is>
      </c>
      <c r="H622" s="43" t="inlineStr"/>
      <c r="I622" s="43" t="inlineStr">
        <is>
          <t>Expired</t>
        </is>
      </c>
      <c r="J622" s="32" t="n">
        <v>46036</v>
      </c>
      <c r="K622" s="32" t="n">
        <v>45976</v>
      </c>
      <c r="L622" s="43" t="inlineStr">
        <is>
          <t>865</t>
        </is>
      </c>
      <c r="M622" s="43" t="n">
        <v>1</v>
      </c>
      <c r="N622" s="33" t="inlineStr"/>
      <c r="O622" s="43" t="inlineStr">
        <is>
          <t>UNVERIFIED</t>
        </is>
      </c>
      <c r="P622" s="43" t="inlineStr">
        <is>
          <t>Pending Review</t>
        </is>
      </c>
      <c r="Q622" s="33" t="inlineStr">
        <is>
          <t>Confirmar SKU/PCBA revision, PN exacto en Common DB, WO, BU, vigencia, planta y aprobacion firmada.</t>
        </is>
      </c>
    </row>
    <row r="623">
      <c r="A623" s="43" t="inlineStr">
        <is>
          <t>CTANJZ04922</t>
        </is>
      </c>
      <c r="B623" s="43" t="inlineStr">
        <is>
          <t>D607082</t>
        </is>
      </c>
      <c r="C623" s="43" t="inlineStr">
        <is>
          <t>037-STBU</t>
        </is>
      </c>
      <c r="D623" s="43" t="inlineStr">
        <is>
          <t>FJZP</t>
        </is>
      </c>
      <c r="E623" s="43" t="inlineStr">
        <is>
          <t>MCGA</t>
        </is>
      </c>
      <c r="F623" s="43" t="inlineStr">
        <is>
          <t>74-139972-01</t>
        </is>
      </c>
      <c r="G623" s="43" t="inlineStr">
        <is>
          <t>OTHER_SCOPE_ITEM</t>
        </is>
      </c>
      <c r="H623" s="43" t="inlineStr"/>
      <c r="I623" s="43" t="inlineStr">
        <is>
          <t>Expired</t>
        </is>
      </c>
      <c r="J623" s="32" t="n">
        <v>46036</v>
      </c>
      <c r="K623" s="32" t="n">
        <v>45976</v>
      </c>
      <c r="L623" s="43" t="inlineStr">
        <is>
          <t>866</t>
        </is>
      </c>
      <c r="M623" s="43" t="n">
        <v>1</v>
      </c>
      <c r="N623" s="33" t="inlineStr"/>
      <c r="O623" s="43" t="inlineStr">
        <is>
          <t>UNVERIFIED</t>
        </is>
      </c>
      <c r="P623" s="43" t="inlineStr">
        <is>
          <t>Pending Review</t>
        </is>
      </c>
      <c r="Q623" s="33" t="inlineStr">
        <is>
          <t>Confirmar SKU/PCBA revision, PN exacto en Common DB, WO, BU, vigencia, planta y aprobacion firmada.</t>
        </is>
      </c>
    </row>
    <row r="624">
      <c r="A624" s="43" t="inlineStr">
        <is>
          <t>CTANJZ04922</t>
        </is>
      </c>
      <c r="B624" s="43" t="inlineStr">
        <is>
          <t>D607082</t>
        </is>
      </c>
      <c r="C624" s="43" t="inlineStr">
        <is>
          <t>037-STBU</t>
        </is>
      </c>
      <c r="D624" s="43" t="inlineStr">
        <is>
          <t>FJZP</t>
        </is>
      </c>
      <c r="E624" s="43" t="inlineStr">
        <is>
          <t>MCGA</t>
        </is>
      </c>
      <c r="F624" s="43" t="inlineStr">
        <is>
          <t>74-139979-01</t>
        </is>
      </c>
      <c r="G624" s="43" t="inlineStr">
        <is>
          <t>OTHER_SCOPE_ITEM</t>
        </is>
      </c>
      <c r="H624" s="43" t="inlineStr"/>
      <c r="I624" s="43" t="inlineStr">
        <is>
          <t>Expired</t>
        </is>
      </c>
      <c r="J624" s="32" t="n">
        <v>46036</v>
      </c>
      <c r="K624" s="32" t="n">
        <v>45976</v>
      </c>
      <c r="L624" s="43" t="inlineStr">
        <is>
          <t>867</t>
        </is>
      </c>
      <c r="M624" s="43" t="n">
        <v>1</v>
      </c>
      <c r="N624" s="33" t="inlineStr"/>
      <c r="O624" s="43" t="inlineStr">
        <is>
          <t>UNVERIFIED</t>
        </is>
      </c>
      <c r="P624" s="43" t="inlineStr">
        <is>
          <t>Pending Review</t>
        </is>
      </c>
      <c r="Q624" s="33" t="inlineStr">
        <is>
          <t>Confirmar SKU/PCBA revision, PN exacto en Common DB, WO, BU, vigencia, planta y aprobacion firmada.</t>
        </is>
      </c>
    </row>
    <row r="625">
      <c r="A625" s="43" t="inlineStr">
        <is>
          <t>CTANJZ04922</t>
        </is>
      </c>
      <c r="B625" s="43" t="inlineStr">
        <is>
          <t>D607082</t>
        </is>
      </c>
      <c r="C625" s="43" t="inlineStr">
        <is>
          <t>037-STBU</t>
        </is>
      </c>
      <c r="D625" s="43" t="inlineStr">
        <is>
          <t>FJZP</t>
        </is>
      </c>
      <c r="E625" s="43" t="inlineStr">
        <is>
          <t>MCGA</t>
        </is>
      </c>
      <c r="F625" s="43" t="inlineStr">
        <is>
          <t>74-139980-01</t>
        </is>
      </c>
      <c r="G625" s="43" t="inlineStr">
        <is>
          <t>OTHER_SCOPE_ITEM</t>
        </is>
      </c>
      <c r="H625" s="43" t="inlineStr"/>
      <c r="I625" s="43" t="inlineStr">
        <is>
          <t>Expired</t>
        </is>
      </c>
      <c r="J625" s="32" t="n">
        <v>46036</v>
      </c>
      <c r="K625" s="32" t="n">
        <v>45976</v>
      </c>
      <c r="L625" s="43" t="inlineStr">
        <is>
          <t>868</t>
        </is>
      </c>
      <c r="M625" s="43" t="n">
        <v>1</v>
      </c>
      <c r="N625" s="33" t="inlineStr"/>
      <c r="O625" s="43" t="inlineStr">
        <is>
          <t>UNVERIFIED</t>
        </is>
      </c>
      <c r="P625" s="43" t="inlineStr">
        <is>
          <t>Pending Review</t>
        </is>
      </c>
      <c r="Q625" s="33" t="inlineStr">
        <is>
          <t>Confirmar SKU/PCBA revision, PN exacto en Common DB, WO, BU, vigencia, planta y aprobacion firmada.</t>
        </is>
      </c>
    </row>
    <row r="626">
      <c r="A626" s="43" t="inlineStr">
        <is>
          <t>CTANJZ04922</t>
        </is>
      </c>
      <c r="B626" s="43" t="inlineStr">
        <is>
          <t>D607082</t>
        </is>
      </c>
      <c r="C626" s="43" t="inlineStr">
        <is>
          <t>037-STBU</t>
        </is>
      </c>
      <c r="D626" s="43" t="inlineStr">
        <is>
          <t>FJZP</t>
        </is>
      </c>
      <c r="E626" s="43" t="inlineStr">
        <is>
          <t>MCGA</t>
        </is>
      </c>
      <c r="F626" s="43" t="inlineStr">
        <is>
          <t>74-139981-01</t>
        </is>
      </c>
      <c r="G626" s="43" t="inlineStr">
        <is>
          <t>OTHER_SCOPE_ITEM</t>
        </is>
      </c>
      <c r="H626" s="43" t="inlineStr"/>
      <c r="I626" s="43" t="inlineStr">
        <is>
          <t>Expired</t>
        </is>
      </c>
      <c r="J626" s="32" t="n">
        <v>46036</v>
      </c>
      <c r="K626" s="32" t="n">
        <v>45976</v>
      </c>
      <c r="L626" s="43" t="inlineStr">
        <is>
          <t>869</t>
        </is>
      </c>
      <c r="M626" s="43" t="n">
        <v>1</v>
      </c>
      <c r="N626" s="33" t="inlineStr"/>
      <c r="O626" s="43" t="inlineStr">
        <is>
          <t>UNVERIFIED</t>
        </is>
      </c>
      <c r="P626" s="43" t="inlineStr">
        <is>
          <t>Pending Review</t>
        </is>
      </c>
      <c r="Q626" s="33" t="inlineStr">
        <is>
          <t>Confirmar SKU/PCBA revision, PN exacto en Common DB, WO, BU, vigencia, planta y aprobacion firmada.</t>
        </is>
      </c>
    </row>
    <row r="627">
      <c r="A627" s="43" t="inlineStr">
        <is>
          <t>CTANJZ04922</t>
        </is>
      </c>
      <c r="B627" s="43" t="inlineStr">
        <is>
          <t>D607082</t>
        </is>
      </c>
      <c r="C627" s="43" t="inlineStr">
        <is>
          <t>037-STBU</t>
        </is>
      </c>
      <c r="D627" s="43" t="inlineStr">
        <is>
          <t>FJZP</t>
        </is>
      </c>
      <c r="E627" s="43" t="inlineStr">
        <is>
          <t>MCGA</t>
        </is>
      </c>
      <c r="F627" s="43" t="inlineStr">
        <is>
          <t>74-139982-01</t>
        </is>
      </c>
      <c r="G627" s="43" t="inlineStr">
        <is>
          <t>OTHER_SCOPE_ITEM</t>
        </is>
      </c>
      <c r="H627" s="43" t="inlineStr"/>
      <c r="I627" s="43" t="inlineStr">
        <is>
          <t>Expired</t>
        </is>
      </c>
      <c r="J627" s="32" t="n">
        <v>46036</v>
      </c>
      <c r="K627" s="32" t="n">
        <v>45976</v>
      </c>
      <c r="L627" s="43" t="inlineStr">
        <is>
          <t>870</t>
        </is>
      </c>
      <c r="M627" s="43" t="n">
        <v>1</v>
      </c>
      <c r="N627" s="33" t="inlineStr"/>
      <c r="O627" s="43" t="inlineStr">
        <is>
          <t>UNVERIFIED</t>
        </is>
      </c>
      <c r="P627" s="43" t="inlineStr">
        <is>
          <t>Pending Review</t>
        </is>
      </c>
      <c r="Q627" s="33" t="inlineStr">
        <is>
          <t>Confirmar SKU/PCBA revision, PN exacto en Common DB, WO, BU, vigencia, planta y aprobacion firmada.</t>
        </is>
      </c>
    </row>
    <row r="628">
      <c r="A628" s="43" t="inlineStr">
        <is>
          <t>CTANJZ04923</t>
        </is>
      </c>
      <c r="B628" s="43" t="inlineStr">
        <is>
          <t>D607132</t>
        </is>
      </c>
      <c r="C628" s="43" t="inlineStr">
        <is>
          <t>037-STBU</t>
        </is>
      </c>
      <c r="D628" s="43" t="inlineStr">
        <is>
          <t>FJZP</t>
        </is>
      </c>
      <c r="E628" s="43" t="inlineStr">
        <is>
          <t>MCGA</t>
        </is>
      </c>
      <c r="F628" s="43" t="inlineStr">
        <is>
          <t>800-104476-08</t>
        </is>
      </c>
      <c r="G628" s="43" t="inlineStr">
        <is>
          <t>OTHER_SCOPE_ITEM</t>
        </is>
      </c>
      <c r="H628" s="43" t="inlineStr"/>
      <c r="I628" s="43" t="inlineStr">
        <is>
          <t>Expired</t>
        </is>
      </c>
      <c r="J628" s="32" t="n">
        <v>46037</v>
      </c>
      <c r="K628" s="32" t="n">
        <v>45966</v>
      </c>
      <c r="L628" s="43" t="inlineStr">
        <is>
          <t>424</t>
        </is>
      </c>
      <c r="M628" s="43" t="n">
        <v>1</v>
      </c>
      <c r="N628" s="33" t="inlineStr"/>
      <c r="O628" s="43" t="inlineStr">
        <is>
          <t>UNVERIFIED</t>
        </is>
      </c>
      <c r="P628" s="43" t="inlineStr">
        <is>
          <t>Pending Review</t>
        </is>
      </c>
      <c r="Q628" s="33" t="inlineStr">
        <is>
          <t>Confirmar SKU/PCBA revision, PN exacto en Common DB, WO, BU, vigencia, planta y aprobacion firmada.</t>
        </is>
      </c>
    </row>
    <row r="629">
      <c r="A629" s="43" t="inlineStr">
        <is>
          <t>CTANJZ04923</t>
        </is>
      </c>
      <c r="B629" s="43" t="inlineStr">
        <is>
          <t>D607132</t>
        </is>
      </c>
      <c r="C629" s="43" t="inlineStr">
        <is>
          <t>037-STBU</t>
        </is>
      </c>
      <c r="D629" s="43" t="inlineStr">
        <is>
          <t>FJZP</t>
        </is>
      </c>
      <c r="E629" s="43" t="inlineStr">
        <is>
          <t>MCGA</t>
        </is>
      </c>
      <c r="F629" s="43" t="inlineStr">
        <is>
          <t>800-105430-01</t>
        </is>
      </c>
      <c r="G629" s="43" t="inlineStr">
        <is>
          <t>OTHER_SCOPE_ITEM</t>
        </is>
      </c>
      <c r="H629" s="43" t="inlineStr"/>
      <c r="I629" s="43" t="inlineStr">
        <is>
          <t>Expired</t>
        </is>
      </c>
      <c r="J629" s="32" t="n">
        <v>46037</v>
      </c>
      <c r="K629" s="32" t="n">
        <v>45966</v>
      </c>
      <c r="L629" s="43" t="inlineStr">
        <is>
          <t>425</t>
        </is>
      </c>
      <c r="M629" s="43" t="n">
        <v>1</v>
      </c>
      <c r="N629" s="33" t="inlineStr"/>
      <c r="O629" s="43" t="inlineStr">
        <is>
          <t>UNVERIFIED</t>
        </is>
      </c>
      <c r="P629" s="43" t="inlineStr">
        <is>
          <t>Pending Review</t>
        </is>
      </c>
      <c r="Q629" s="33" t="inlineStr">
        <is>
          <t>Confirmar SKU/PCBA revision, PN exacto en Common DB, WO, BU, vigencia, planta y aprobacion firmada.</t>
        </is>
      </c>
    </row>
    <row r="630">
      <c r="A630" s="43" t="inlineStr">
        <is>
          <t>CTANJZ04923</t>
        </is>
      </c>
      <c r="B630" s="43" t="inlineStr">
        <is>
          <t>D607132</t>
        </is>
      </c>
      <c r="C630" s="43" t="inlineStr">
        <is>
          <t>037-STBU</t>
        </is>
      </c>
      <c r="D630" s="43" t="inlineStr">
        <is>
          <t>FJZP</t>
        </is>
      </c>
      <c r="E630" s="43" t="inlineStr">
        <is>
          <t>MCGA</t>
        </is>
      </c>
      <c r="F630" s="43" t="inlineStr">
        <is>
          <t>800-105431-01</t>
        </is>
      </c>
      <c r="G630" s="43" t="inlineStr">
        <is>
          <t>OTHER_SCOPE_ITEM</t>
        </is>
      </c>
      <c r="H630" s="43" t="inlineStr"/>
      <c r="I630" s="43" t="inlineStr">
        <is>
          <t>Expired</t>
        </is>
      </c>
      <c r="J630" s="32" t="n">
        <v>46037</v>
      </c>
      <c r="K630" s="32" t="n">
        <v>45966</v>
      </c>
      <c r="L630" s="43" t="inlineStr">
        <is>
          <t>426</t>
        </is>
      </c>
      <c r="M630" s="43" t="n">
        <v>1</v>
      </c>
      <c r="N630" s="33" t="inlineStr"/>
      <c r="O630" s="43" t="inlineStr">
        <is>
          <t>UNVERIFIED</t>
        </is>
      </c>
      <c r="P630" s="43" t="inlineStr">
        <is>
          <t>Pending Review</t>
        </is>
      </c>
      <c r="Q630" s="33" t="inlineStr">
        <is>
          <t>Confirmar SKU/PCBA revision, PN exacto en Common DB, WO, BU, vigencia, planta y aprobacion firmada.</t>
        </is>
      </c>
    </row>
    <row r="631">
      <c r="A631" s="43" t="inlineStr">
        <is>
          <t>CTANJZ04923</t>
        </is>
      </c>
      <c r="B631" s="43" t="inlineStr">
        <is>
          <t>D607132</t>
        </is>
      </c>
      <c r="C631" s="43" t="inlineStr">
        <is>
          <t>037-STBU</t>
        </is>
      </c>
      <c r="D631" s="43" t="inlineStr">
        <is>
          <t>FJZP</t>
        </is>
      </c>
      <c r="E631" s="43" t="inlineStr">
        <is>
          <t>MCGA</t>
        </is>
      </c>
      <c r="F631" s="43" t="inlineStr">
        <is>
          <t>800-111297-02</t>
        </is>
      </c>
      <c r="G631" s="43" t="inlineStr">
        <is>
          <t>OTHER_SCOPE_ITEM</t>
        </is>
      </c>
      <c r="H631" s="43" t="inlineStr"/>
      <c r="I631" s="43" t="inlineStr">
        <is>
          <t>Expired</t>
        </is>
      </c>
      <c r="J631" s="32" t="n">
        <v>46037</v>
      </c>
      <c r="K631" s="32" t="n">
        <v>45966</v>
      </c>
      <c r="L631" s="43" t="inlineStr">
        <is>
          <t>427</t>
        </is>
      </c>
      <c r="M631" s="43" t="n">
        <v>1</v>
      </c>
      <c r="N631" s="33" t="inlineStr"/>
      <c r="O631" s="43" t="inlineStr">
        <is>
          <t>UNVERIFIED</t>
        </is>
      </c>
      <c r="P631" s="43" t="inlineStr">
        <is>
          <t>Pending Review</t>
        </is>
      </c>
      <c r="Q631" s="33" t="inlineStr">
        <is>
          <t>Confirmar SKU/PCBA revision, PN exacto en Common DB, WO, BU, vigencia, planta y aprobacion firmada.</t>
        </is>
      </c>
    </row>
    <row r="632">
      <c r="A632" s="43" t="inlineStr">
        <is>
          <t>CTANJZ04923</t>
        </is>
      </c>
      <c r="B632" s="43" t="inlineStr">
        <is>
          <t>D607132</t>
        </is>
      </c>
      <c r="C632" s="43" t="inlineStr">
        <is>
          <t>037-STBU</t>
        </is>
      </c>
      <c r="D632" s="43" t="inlineStr">
        <is>
          <t>FJZP</t>
        </is>
      </c>
      <c r="E632" s="43" t="inlineStr">
        <is>
          <t>MCGA</t>
        </is>
      </c>
      <c r="F632" s="43" t="inlineStr">
        <is>
          <t>800-111338-01</t>
        </is>
      </c>
      <c r="G632" s="43" t="inlineStr">
        <is>
          <t>OTHER_SCOPE_ITEM</t>
        </is>
      </c>
      <c r="H632" s="43" t="inlineStr"/>
      <c r="I632" s="43" t="inlineStr">
        <is>
          <t>Expired</t>
        </is>
      </c>
      <c r="J632" s="32" t="n">
        <v>46037</v>
      </c>
      <c r="K632" s="32" t="n">
        <v>45966</v>
      </c>
      <c r="L632" s="43" t="inlineStr">
        <is>
          <t>428</t>
        </is>
      </c>
      <c r="M632" s="43" t="n">
        <v>1</v>
      </c>
      <c r="N632" s="33" t="inlineStr"/>
      <c r="O632" s="43" t="inlineStr">
        <is>
          <t>UNVERIFIED</t>
        </is>
      </c>
      <c r="P632" s="43" t="inlineStr">
        <is>
          <t>Pending Review</t>
        </is>
      </c>
      <c r="Q632" s="33" t="inlineStr">
        <is>
          <t>Confirmar SKU/PCBA revision, PN exacto en Common DB, WO, BU, vigencia, planta y aprobacion firmada.</t>
        </is>
      </c>
    </row>
    <row r="633">
      <c r="A633" s="43" t="inlineStr">
        <is>
          <t>CTANJZ04941</t>
        </is>
      </c>
      <c r="B633" s="43" t="inlineStr">
        <is>
          <t>D607408</t>
        </is>
      </c>
      <c r="C633" s="43" t="inlineStr">
        <is>
          <t>018-SRGBU</t>
        </is>
      </c>
      <c r="D633" s="43" t="inlineStr">
        <is>
          <t>FJZP</t>
        </is>
      </c>
      <c r="E633" s="43" t="inlineStr">
        <is>
          <t>MCGA</t>
        </is>
      </c>
      <c r="F633" s="43" t="inlineStr">
        <is>
          <t>15-104046-02</t>
        </is>
      </c>
      <c r="G633" s="43" t="inlineStr">
        <is>
          <t>OTHER_SCOPE_ITEM</t>
        </is>
      </c>
      <c r="H633" s="43" t="inlineStr"/>
      <c r="I633" s="43" t="inlineStr">
        <is>
          <t>Expired</t>
        </is>
      </c>
      <c r="J633" s="32" t="n">
        <v>46050</v>
      </c>
      <c r="K633" s="32" t="n">
        <v>45975</v>
      </c>
      <c r="L633" s="43" t="inlineStr">
        <is>
          <t>1460</t>
        </is>
      </c>
      <c r="M633" s="43" t="n">
        <v>1</v>
      </c>
      <c r="N633" s="33" t="inlineStr"/>
      <c r="O633" s="43" t="inlineStr">
        <is>
          <t>UNVERIFIED</t>
        </is>
      </c>
      <c r="P633" s="43" t="inlineStr">
        <is>
          <t>Pending Review</t>
        </is>
      </c>
      <c r="Q633" s="33" t="inlineStr">
        <is>
          <t>Confirmar SKU/PCBA revision, PN exacto en Common DB, WO, BU, vigencia, planta y aprobacion firmada.</t>
        </is>
      </c>
    </row>
    <row r="634">
      <c r="A634" s="43" t="inlineStr">
        <is>
          <t>CTANJZ04941</t>
        </is>
      </c>
      <c r="B634" s="43" t="inlineStr">
        <is>
          <t>D607408</t>
        </is>
      </c>
      <c r="C634" s="43" t="inlineStr">
        <is>
          <t>018-SRGBU</t>
        </is>
      </c>
      <c r="D634" s="43" t="inlineStr">
        <is>
          <t>FJZP</t>
        </is>
      </c>
      <c r="E634" s="43" t="inlineStr">
        <is>
          <t>MCGA</t>
        </is>
      </c>
      <c r="F634" s="43" t="inlineStr">
        <is>
          <t>74-114186-02</t>
        </is>
      </c>
      <c r="G634" s="43" t="inlineStr">
        <is>
          <t>OTHER_SCOPE_ITEM</t>
        </is>
      </c>
      <c r="H634" s="43" t="inlineStr"/>
      <c r="I634" s="43" t="inlineStr">
        <is>
          <t>Expired</t>
        </is>
      </c>
      <c r="J634" s="32" t="n">
        <v>46050</v>
      </c>
      <c r="K634" s="32" t="n">
        <v>45975</v>
      </c>
      <c r="L634" s="43" t="inlineStr">
        <is>
          <t>1461</t>
        </is>
      </c>
      <c r="M634" s="43" t="n">
        <v>1</v>
      </c>
      <c r="N634" s="33" t="inlineStr"/>
      <c r="O634" s="43" t="inlineStr">
        <is>
          <t>UNVERIFIED</t>
        </is>
      </c>
      <c r="P634" s="43" t="inlineStr">
        <is>
          <t>Pending Review</t>
        </is>
      </c>
      <c r="Q634" s="33" t="inlineStr">
        <is>
          <t>Confirmar SKU/PCBA revision, PN exacto en Common DB, WO, BU, vigencia, planta y aprobacion firmada.</t>
        </is>
      </c>
    </row>
    <row r="635">
      <c r="A635" s="43" t="inlineStr">
        <is>
          <t>CTANJZ04942</t>
        </is>
      </c>
      <c r="B635" s="43" t="inlineStr">
        <is>
          <t>D607246</t>
        </is>
      </c>
      <c r="C635" s="43" t="inlineStr">
        <is>
          <t>018-SRGBU</t>
        </is>
      </c>
      <c r="D635" s="43" t="inlineStr">
        <is>
          <t>FJZP</t>
        </is>
      </c>
      <c r="E635" s="43" t="inlineStr">
        <is>
          <t>MCGA</t>
        </is>
      </c>
      <c r="F635" s="43" t="inlineStr">
        <is>
          <t>17-15632-01</t>
        </is>
      </c>
      <c r="G635" s="43" t="inlineStr">
        <is>
          <t>OTHER_SCOPE_ITEM</t>
        </is>
      </c>
      <c r="H635" s="43" t="inlineStr"/>
      <c r="I635" s="43" t="inlineStr">
        <is>
          <t>Expired</t>
        </is>
      </c>
      <c r="J635" s="32" t="n">
        <v>46050</v>
      </c>
      <c r="K635" s="32" t="n">
        <v>45975</v>
      </c>
      <c r="L635" s="43" t="inlineStr">
        <is>
          <t>1774</t>
        </is>
      </c>
      <c r="M635" s="43" t="n">
        <v>1</v>
      </c>
      <c r="N635" s="33" t="inlineStr"/>
      <c r="O635" s="43" t="inlineStr">
        <is>
          <t>UNVERIFIED</t>
        </is>
      </c>
      <c r="P635" s="43" t="inlineStr">
        <is>
          <t>Pending Review</t>
        </is>
      </c>
      <c r="Q635" s="33" t="inlineStr">
        <is>
          <t>Confirmar SKU/PCBA revision, PN exacto en Common DB, WO, BU, vigencia, planta y aprobacion firmada.</t>
        </is>
      </c>
    </row>
    <row r="636">
      <c r="A636" s="43" t="inlineStr">
        <is>
          <t>CTANJZ04942</t>
        </is>
      </c>
      <c r="B636" s="43" t="inlineStr">
        <is>
          <t>D607246</t>
        </is>
      </c>
      <c r="C636" s="43" t="inlineStr">
        <is>
          <t>018-SRGBU</t>
        </is>
      </c>
      <c r="D636" s="43" t="inlineStr">
        <is>
          <t>FJZP</t>
        </is>
      </c>
      <c r="E636" s="43" t="inlineStr">
        <is>
          <t>MCGA</t>
        </is>
      </c>
      <c r="F636" s="43" t="inlineStr">
        <is>
          <t>17-15632-02</t>
        </is>
      </c>
      <c r="G636" s="43" t="inlineStr">
        <is>
          <t>OTHER_SCOPE_ITEM</t>
        </is>
      </c>
      <c r="H636" s="43" t="inlineStr"/>
      <c r="I636" s="43" t="inlineStr">
        <is>
          <t>Expired</t>
        </is>
      </c>
      <c r="J636" s="32" t="n">
        <v>46050</v>
      </c>
      <c r="K636" s="32" t="n">
        <v>45975</v>
      </c>
      <c r="L636" s="43" t="inlineStr">
        <is>
          <t>1775</t>
        </is>
      </c>
      <c r="M636" s="43" t="n">
        <v>1</v>
      </c>
      <c r="N636" s="33" t="inlineStr"/>
      <c r="O636" s="43" t="inlineStr">
        <is>
          <t>UNVERIFIED</t>
        </is>
      </c>
      <c r="P636" s="43" t="inlineStr">
        <is>
          <t>Pending Review</t>
        </is>
      </c>
      <c r="Q636" s="33" t="inlineStr">
        <is>
          <t>Confirmar SKU/PCBA revision, PN exacto en Common DB, WO, BU, vigencia, planta y aprobacion firmada.</t>
        </is>
      </c>
    </row>
    <row r="637">
      <c r="A637" s="43" t="inlineStr">
        <is>
          <t>CTANJZ04942</t>
        </is>
      </c>
      <c r="B637" s="43" t="inlineStr">
        <is>
          <t>D607246</t>
        </is>
      </c>
      <c r="C637" s="43" t="inlineStr">
        <is>
          <t>018-SRGBU</t>
        </is>
      </c>
      <c r="D637" s="43" t="inlineStr">
        <is>
          <t>FJZP</t>
        </is>
      </c>
      <c r="E637" s="43" t="inlineStr">
        <is>
          <t>MCGA</t>
        </is>
      </c>
      <c r="F637" s="43" t="inlineStr">
        <is>
          <t>74-122742-01</t>
        </is>
      </c>
      <c r="G637" s="43" t="inlineStr">
        <is>
          <t>OTHER_SCOPE_ITEM</t>
        </is>
      </c>
      <c r="H637" s="43" t="inlineStr"/>
      <c r="I637" s="43" t="inlineStr">
        <is>
          <t>Expired</t>
        </is>
      </c>
      <c r="J637" s="32" t="n">
        <v>46050</v>
      </c>
      <c r="K637" s="32" t="n">
        <v>45975</v>
      </c>
      <c r="L637" s="43" t="inlineStr">
        <is>
          <t>1776</t>
        </is>
      </c>
      <c r="M637" s="43" t="n">
        <v>1</v>
      </c>
      <c r="N637" s="33" t="inlineStr"/>
      <c r="O637" s="43" t="inlineStr">
        <is>
          <t>UNVERIFIED</t>
        </is>
      </c>
      <c r="P637" s="43" t="inlineStr">
        <is>
          <t>Pending Review</t>
        </is>
      </c>
      <c r="Q637" s="33" t="inlineStr">
        <is>
          <t>Confirmar SKU/PCBA revision, PN exacto en Common DB, WO, BU, vigencia, planta y aprobacion firmada.</t>
        </is>
      </c>
    </row>
    <row r="638">
      <c r="A638" s="43" t="inlineStr">
        <is>
          <t>CTANJZ04942</t>
        </is>
      </c>
      <c r="B638" s="43" t="inlineStr">
        <is>
          <t>D607246</t>
        </is>
      </c>
      <c r="C638" s="43" t="inlineStr">
        <is>
          <t>018-SRGBU</t>
        </is>
      </c>
      <c r="D638" s="43" t="inlineStr">
        <is>
          <t>FJZP</t>
        </is>
      </c>
      <c r="E638" s="43" t="inlineStr">
        <is>
          <t>MCGA</t>
        </is>
      </c>
      <c r="F638" s="43" t="inlineStr">
        <is>
          <t>74-122743-01</t>
        </is>
      </c>
      <c r="G638" s="43" t="inlineStr">
        <is>
          <t>OTHER_SCOPE_ITEM</t>
        </is>
      </c>
      <c r="H638" s="43" t="inlineStr"/>
      <c r="I638" s="43" t="inlineStr">
        <is>
          <t>Expired</t>
        </is>
      </c>
      <c r="J638" s="32" t="n">
        <v>46050</v>
      </c>
      <c r="K638" s="32" t="n">
        <v>45975</v>
      </c>
      <c r="L638" s="43" t="inlineStr">
        <is>
          <t>1781</t>
        </is>
      </c>
      <c r="M638" s="43" t="n">
        <v>1</v>
      </c>
      <c r="N638" s="33" t="inlineStr"/>
      <c r="O638" s="43" t="inlineStr">
        <is>
          <t>UNVERIFIED</t>
        </is>
      </c>
      <c r="P638" s="43" t="inlineStr">
        <is>
          <t>Pending Review</t>
        </is>
      </c>
      <c r="Q638" s="33" t="inlineStr">
        <is>
          <t>Confirmar SKU/PCBA revision, PN exacto en Common DB, WO, BU, vigencia, planta y aprobacion firmada.</t>
        </is>
      </c>
    </row>
    <row r="639">
      <c r="A639" s="43" t="inlineStr">
        <is>
          <t>CTANJZ04942</t>
        </is>
      </c>
      <c r="B639" s="43" t="inlineStr">
        <is>
          <t>D607246</t>
        </is>
      </c>
      <c r="C639" s="43" t="inlineStr">
        <is>
          <t>018-SRGBU</t>
        </is>
      </c>
      <c r="D639" s="43" t="inlineStr">
        <is>
          <t>FJZP</t>
        </is>
      </c>
      <c r="E639" s="43" t="inlineStr">
        <is>
          <t>MCGA</t>
        </is>
      </c>
      <c r="F639" s="43" t="inlineStr">
        <is>
          <t>74-122744-01</t>
        </is>
      </c>
      <c r="G639" s="43" t="inlineStr">
        <is>
          <t>OTHER_SCOPE_ITEM</t>
        </is>
      </c>
      <c r="H639" s="43" t="inlineStr"/>
      <c r="I639" s="43" t="inlineStr">
        <is>
          <t>Expired</t>
        </is>
      </c>
      <c r="J639" s="32" t="n">
        <v>46050</v>
      </c>
      <c r="K639" s="32" t="n">
        <v>45975</v>
      </c>
      <c r="L639" s="43" t="inlineStr">
        <is>
          <t>1782</t>
        </is>
      </c>
      <c r="M639" s="43" t="n">
        <v>1</v>
      </c>
      <c r="N639" s="33" t="inlineStr"/>
      <c r="O639" s="43" t="inlineStr">
        <is>
          <t>UNVERIFIED</t>
        </is>
      </c>
      <c r="P639" s="43" t="inlineStr">
        <is>
          <t>Pending Review</t>
        </is>
      </c>
      <c r="Q639" s="33" t="inlineStr">
        <is>
          <t>Confirmar SKU/PCBA revision, PN exacto en Common DB, WO, BU, vigencia, planta y aprobacion firmada.</t>
        </is>
      </c>
    </row>
    <row r="640">
      <c r="A640" s="43" t="inlineStr">
        <is>
          <t>CTANJZ04942</t>
        </is>
      </c>
      <c r="B640" s="43" t="inlineStr">
        <is>
          <t>D607246</t>
        </is>
      </c>
      <c r="C640" s="43" t="inlineStr">
        <is>
          <t>018-SRGBU</t>
        </is>
      </c>
      <c r="D640" s="43" t="inlineStr">
        <is>
          <t>FJZP</t>
        </is>
      </c>
      <c r="E640" s="43" t="inlineStr">
        <is>
          <t>MCGA</t>
        </is>
      </c>
      <c r="F640" s="43" t="inlineStr">
        <is>
          <t>74-122859-01</t>
        </is>
      </c>
      <c r="G640" s="43" t="inlineStr">
        <is>
          <t>OTHER_SCOPE_ITEM</t>
        </is>
      </c>
      <c r="H640" s="43" t="inlineStr"/>
      <c r="I640" s="43" t="inlineStr">
        <is>
          <t>Expired</t>
        </is>
      </c>
      <c r="J640" s="32" t="n">
        <v>46050</v>
      </c>
      <c r="K640" s="32" t="n">
        <v>45975</v>
      </c>
      <c r="L640" s="43" t="inlineStr">
        <is>
          <t>1783</t>
        </is>
      </c>
      <c r="M640" s="43" t="n">
        <v>1</v>
      </c>
      <c r="N640" s="33" t="inlineStr"/>
      <c r="O640" s="43" t="inlineStr">
        <is>
          <t>UNVERIFIED</t>
        </is>
      </c>
      <c r="P640" s="43" t="inlineStr">
        <is>
          <t>Pending Review</t>
        </is>
      </c>
      <c r="Q640" s="33" t="inlineStr">
        <is>
          <t>Confirmar SKU/PCBA revision, PN exacto en Common DB, WO, BU, vigencia, planta y aprobacion firmada.</t>
        </is>
      </c>
    </row>
    <row r="641">
      <c r="A641" s="43" t="inlineStr">
        <is>
          <t>CTANJZ04942</t>
        </is>
      </c>
      <c r="B641" s="43" t="inlineStr">
        <is>
          <t>D607246</t>
        </is>
      </c>
      <c r="C641" s="43" t="inlineStr">
        <is>
          <t>018-SRGBU</t>
        </is>
      </c>
      <c r="D641" s="43" t="inlineStr">
        <is>
          <t>FJZP</t>
        </is>
      </c>
      <c r="E641" s="43" t="inlineStr">
        <is>
          <t>MCGA</t>
        </is>
      </c>
      <c r="F641" s="43" t="inlineStr">
        <is>
          <t>74-123836-01</t>
        </is>
      </c>
      <c r="G641" s="43" t="inlineStr">
        <is>
          <t>OTHER_SCOPE_ITEM</t>
        </is>
      </c>
      <c r="H641" s="43" t="inlineStr"/>
      <c r="I641" s="43" t="inlineStr">
        <is>
          <t>Expired</t>
        </is>
      </c>
      <c r="J641" s="32" t="n">
        <v>46050</v>
      </c>
      <c r="K641" s="32" t="n">
        <v>45975</v>
      </c>
      <c r="L641" s="43" t="inlineStr">
        <is>
          <t>1784</t>
        </is>
      </c>
      <c r="M641" s="43" t="n">
        <v>1</v>
      </c>
      <c r="N641" s="33" t="inlineStr"/>
      <c r="O641" s="43" t="inlineStr">
        <is>
          <t>UNVERIFIED</t>
        </is>
      </c>
      <c r="P641" s="43" t="inlineStr">
        <is>
          <t>Pending Review</t>
        </is>
      </c>
      <c r="Q641" s="33" t="inlineStr">
        <is>
          <t>Confirmar SKU/PCBA revision, PN exacto en Common DB, WO, BU, vigencia, planta y aprobacion firmada.</t>
        </is>
      </c>
    </row>
    <row r="642">
      <c r="A642" s="43" t="inlineStr">
        <is>
          <t>CTANJZ04942</t>
        </is>
      </c>
      <c r="B642" s="43" t="inlineStr">
        <is>
          <t>D607246</t>
        </is>
      </c>
      <c r="C642" s="43" t="inlineStr">
        <is>
          <t>018-SRGBU</t>
        </is>
      </c>
      <c r="D642" s="43" t="inlineStr">
        <is>
          <t>FJZP</t>
        </is>
      </c>
      <c r="E642" s="43" t="inlineStr">
        <is>
          <t>MCGA</t>
        </is>
      </c>
      <c r="F642" s="43" t="inlineStr">
        <is>
          <t>74-123837-01</t>
        </is>
      </c>
      <c r="G642" s="43" t="inlineStr">
        <is>
          <t>OTHER_SCOPE_ITEM</t>
        </is>
      </c>
      <c r="H642" s="43" t="inlineStr"/>
      <c r="I642" s="43" t="inlineStr">
        <is>
          <t>Expired</t>
        </is>
      </c>
      <c r="J642" s="32" t="n">
        <v>46050</v>
      </c>
      <c r="K642" s="32" t="n">
        <v>45975</v>
      </c>
      <c r="L642" s="43" t="inlineStr">
        <is>
          <t>1785</t>
        </is>
      </c>
      <c r="M642" s="43" t="n">
        <v>1</v>
      </c>
      <c r="N642" s="33" t="inlineStr"/>
      <c r="O642" s="43" t="inlineStr">
        <is>
          <t>UNVERIFIED</t>
        </is>
      </c>
      <c r="P642" s="43" t="inlineStr">
        <is>
          <t>Pending Review</t>
        </is>
      </c>
      <c r="Q642" s="33" t="inlineStr">
        <is>
          <t>Confirmar SKU/PCBA revision, PN exacto en Common DB, WO, BU, vigencia, planta y aprobacion firmada.</t>
        </is>
      </c>
    </row>
    <row r="643">
      <c r="A643" s="43" t="inlineStr">
        <is>
          <t>CTANJZ04943</t>
        </is>
      </c>
      <c r="B643" s="43" t="inlineStr">
        <is>
          <t>D607210</t>
        </is>
      </c>
      <c r="C643" s="43" t="inlineStr">
        <is>
          <t>018-SRGBU</t>
        </is>
      </c>
      <c r="D643" s="43" t="inlineStr">
        <is>
          <t>FJZP</t>
        </is>
      </c>
      <c r="E643" s="43" t="inlineStr">
        <is>
          <t>MCGA</t>
        </is>
      </c>
      <c r="F643" s="43" t="inlineStr">
        <is>
          <t>16-100775-01</t>
        </is>
      </c>
      <c r="G643" s="43" t="inlineStr">
        <is>
          <t>OTHER_SCOPE_ITEM</t>
        </is>
      </c>
      <c r="H643" s="43" t="inlineStr"/>
      <c r="I643" s="43" t="inlineStr">
        <is>
          <t>Expired</t>
        </is>
      </c>
      <c r="J643" s="32" t="n">
        <v>46229</v>
      </c>
      <c r="K643" s="32" t="n">
        <v>45975</v>
      </c>
      <c r="L643" s="43" t="inlineStr">
        <is>
          <t>565</t>
        </is>
      </c>
      <c r="M643" s="43" t="n">
        <v>1</v>
      </c>
      <c r="N643" s="33" t="inlineStr"/>
      <c r="O643" s="43" t="inlineStr">
        <is>
          <t>UNVERIFIED</t>
        </is>
      </c>
      <c r="P643" s="43" t="inlineStr">
        <is>
          <t>Pending Review</t>
        </is>
      </c>
      <c r="Q643" s="33" t="inlineStr">
        <is>
          <t>Confirmar SKU/PCBA revision, PN exacto en Common DB, WO, BU, vigencia, planta y aprobacion firmada.</t>
        </is>
      </c>
    </row>
    <row r="644">
      <c r="A644" s="43" t="inlineStr">
        <is>
          <t>CTANJZ04943</t>
        </is>
      </c>
      <c r="B644" s="43" t="inlineStr">
        <is>
          <t>D607210</t>
        </is>
      </c>
      <c r="C644" s="43" t="inlineStr">
        <is>
          <t>018-SRGBU</t>
        </is>
      </c>
      <c r="D644" s="43" t="inlineStr">
        <is>
          <t>FJZP</t>
        </is>
      </c>
      <c r="E644" s="43" t="inlineStr">
        <is>
          <t>MCGA</t>
        </is>
      </c>
      <c r="F644" s="43" t="inlineStr">
        <is>
          <t>16-100809-01</t>
        </is>
      </c>
      <c r="G644" s="43" t="inlineStr">
        <is>
          <t>OTHER_SCOPE_ITEM</t>
        </is>
      </c>
      <c r="H644" s="43" t="inlineStr"/>
      <c r="I644" s="43" t="inlineStr">
        <is>
          <t>Expired</t>
        </is>
      </c>
      <c r="J644" s="32" t="n">
        <v>46229</v>
      </c>
      <c r="K644" s="32" t="n">
        <v>45975</v>
      </c>
      <c r="L644" s="43" t="inlineStr">
        <is>
          <t>566</t>
        </is>
      </c>
      <c r="M644" s="43" t="n">
        <v>1</v>
      </c>
      <c r="N644" s="33" t="inlineStr"/>
      <c r="O644" s="43" t="inlineStr">
        <is>
          <t>UNVERIFIED</t>
        </is>
      </c>
      <c r="P644" s="43" t="inlineStr">
        <is>
          <t>Pending Review</t>
        </is>
      </c>
      <c r="Q644" s="33" t="inlineStr">
        <is>
          <t>Confirmar SKU/PCBA revision, PN exacto en Common DB, WO, BU, vigencia, planta y aprobacion firmada.</t>
        </is>
      </c>
    </row>
    <row r="645">
      <c r="A645" s="43" t="inlineStr">
        <is>
          <t>CTANJZ04944</t>
        </is>
      </c>
      <c r="B645" s="43" t="inlineStr">
        <is>
          <t>DP525176</t>
        </is>
      </c>
      <c r="C645" s="43" t="inlineStr">
        <is>
          <t>037-STBU</t>
        </is>
      </c>
      <c r="D645" s="43" t="inlineStr">
        <is>
          <t>FJZP</t>
        </is>
      </c>
      <c r="E645" s="43" t="inlineStr">
        <is>
          <t>MCGA</t>
        </is>
      </c>
      <c r="F645" s="43" t="inlineStr">
        <is>
          <t>68-104574-04</t>
        </is>
      </c>
      <c r="G645" s="43" t="inlineStr">
        <is>
          <t>OTHER_SCOPE_ITEM</t>
        </is>
      </c>
      <c r="H645" s="43" t="inlineStr"/>
      <c r="I645" s="43" t="inlineStr">
        <is>
          <t>Expired</t>
        </is>
      </c>
      <c r="J645" s="32" t="n">
        <v>46020</v>
      </c>
      <c r="K645" s="32" t="n">
        <v>45982</v>
      </c>
      <c r="L645" s="43" t="inlineStr">
        <is>
          <t>906</t>
        </is>
      </c>
      <c r="M645" s="43" t="n">
        <v>1</v>
      </c>
      <c r="N645" s="33" t="inlineStr"/>
      <c r="O645" s="43" t="inlineStr">
        <is>
          <t>UNVERIFIED</t>
        </is>
      </c>
      <c r="P645" s="43" t="inlineStr">
        <is>
          <t>Pending Review</t>
        </is>
      </c>
      <c r="Q645" s="33" t="inlineStr">
        <is>
          <t>Confirmar SKU/PCBA revision, PN exacto en Common DB, WO, BU, vigencia, planta y aprobacion firmada.</t>
        </is>
      </c>
    </row>
    <row r="646">
      <c r="A646" s="43" t="inlineStr">
        <is>
          <t>CTANJZ04944</t>
        </is>
      </c>
      <c r="B646" s="43" t="inlineStr">
        <is>
          <t>DP525176</t>
        </is>
      </c>
      <c r="C646" s="43" t="inlineStr">
        <is>
          <t>037-STBU</t>
        </is>
      </c>
      <c r="D646" s="43" t="inlineStr">
        <is>
          <t>FJZP</t>
        </is>
      </c>
      <c r="E646" s="43" t="inlineStr">
        <is>
          <t>MCGA</t>
        </is>
      </c>
      <c r="F646" s="43" t="inlineStr">
        <is>
          <t>68-104575-04</t>
        </is>
      </c>
      <c r="G646" s="43" t="inlineStr">
        <is>
          <t>OTHER_SCOPE_ITEM</t>
        </is>
      </c>
      <c r="H646" s="43" t="inlineStr"/>
      <c r="I646" s="43" t="inlineStr">
        <is>
          <t>Expired</t>
        </is>
      </c>
      <c r="J646" s="32" t="n">
        <v>46020</v>
      </c>
      <c r="K646" s="32" t="n">
        <v>45982</v>
      </c>
      <c r="L646" s="43" t="inlineStr">
        <is>
          <t>907</t>
        </is>
      </c>
      <c r="M646" s="43" t="n">
        <v>1</v>
      </c>
      <c r="N646" s="33" t="inlineStr"/>
      <c r="O646" s="43" t="inlineStr">
        <is>
          <t>UNVERIFIED</t>
        </is>
      </c>
      <c r="P646" s="43" t="inlineStr">
        <is>
          <t>Pending Review</t>
        </is>
      </c>
      <c r="Q646" s="33" t="inlineStr">
        <is>
          <t>Confirmar SKU/PCBA revision, PN exacto en Common DB, WO, BU, vigencia, planta y aprobacion firmada.</t>
        </is>
      </c>
    </row>
    <row r="647">
      <c r="A647" s="43" t="inlineStr">
        <is>
          <t>CTANJZ04944</t>
        </is>
      </c>
      <c r="B647" s="43" t="inlineStr">
        <is>
          <t>DP525176</t>
        </is>
      </c>
      <c r="C647" s="43" t="inlineStr">
        <is>
          <t>037-STBU</t>
        </is>
      </c>
      <c r="D647" s="43" t="inlineStr">
        <is>
          <t>FJZP</t>
        </is>
      </c>
      <c r="E647" s="43" t="inlineStr">
        <is>
          <t>MCGA</t>
        </is>
      </c>
      <c r="F647" s="43" t="inlineStr">
        <is>
          <t>68-104576-04</t>
        </is>
      </c>
      <c r="G647" s="43" t="inlineStr">
        <is>
          <t>OTHER_SCOPE_ITEM</t>
        </is>
      </c>
      <c r="H647" s="43" t="inlineStr"/>
      <c r="I647" s="43" t="inlineStr">
        <is>
          <t>Expired</t>
        </is>
      </c>
      <c r="J647" s="32" t="n">
        <v>46020</v>
      </c>
      <c r="K647" s="32" t="n">
        <v>45982</v>
      </c>
      <c r="L647" s="43" t="inlineStr">
        <is>
          <t>908</t>
        </is>
      </c>
      <c r="M647" s="43" t="n">
        <v>1</v>
      </c>
      <c r="N647" s="33" t="inlineStr"/>
      <c r="O647" s="43" t="inlineStr">
        <is>
          <t>UNVERIFIED</t>
        </is>
      </c>
      <c r="P647" s="43" t="inlineStr">
        <is>
          <t>Pending Review</t>
        </is>
      </c>
      <c r="Q647" s="33" t="inlineStr">
        <is>
          <t>Confirmar SKU/PCBA revision, PN exacto en Common DB, WO, BU, vigencia, planta y aprobacion firmada.</t>
        </is>
      </c>
    </row>
    <row r="648">
      <c r="A648" s="43" t="inlineStr">
        <is>
          <t>CTANJZ04944</t>
        </is>
      </c>
      <c r="B648" s="43" t="inlineStr">
        <is>
          <t>DP525176</t>
        </is>
      </c>
      <c r="C648" s="43" t="inlineStr">
        <is>
          <t>037-STBU</t>
        </is>
      </c>
      <c r="D648" s="43" t="inlineStr">
        <is>
          <t>FJZP</t>
        </is>
      </c>
      <c r="E648" s="43" t="inlineStr">
        <is>
          <t>MCGA</t>
        </is>
      </c>
      <c r="F648" s="43" t="inlineStr">
        <is>
          <t>68-104621-04</t>
        </is>
      </c>
      <c r="G648" s="43" t="inlineStr">
        <is>
          <t>OTHER_SCOPE_ITEM</t>
        </is>
      </c>
      <c r="H648" s="43" t="inlineStr"/>
      <c r="I648" s="43" t="inlineStr">
        <is>
          <t>Expired</t>
        </is>
      </c>
      <c r="J648" s="32" t="n">
        <v>46020</v>
      </c>
      <c r="K648" s="32" t="n">
        <v>45982</v>
      </c>
      <c r="L648" s="43" t="inlineStr">
        <is>
          <t>909</t>
        </is>
      </c>
      <c r="M648" s="43" t="n">
        <v>1</v>
      </c>
      <c r="N648" s="33" t="inlineStr"/>
      <c r="O648" s="43" t="inlineStr">
        <is>
          <t>UNVERIFIED</t>
        </is>
      </c>
      <c r="P648" s="43" t="inlineStr">
        <is>
          <t>Pending Review</t>
        </is>
      </c>
      <c r="Q648" s="33" t="inlineStr">
        <is>
          <t>Confirmar SKU/PCBA revision, PN exacto en Common DB, WO, BU, vigencia, planta y aprobacion firmada.</t>
        </is>
      </c>
    </row>
    <row r="649">
      <c r="A649" s="43" t="inlineStr">
        <is>
          <t>CTANJZ04944</t>
        </is>
      </c>
      <c r="B649" s="43" t="inlineStr">
        <is>
          <t>DP525176</t>
        </is>
      </c>
      <c r="C649" s="43" t="inlineStr">
        <is>
          <t>037-STBU</t>
        </is>
      </c>
      <c r="D649" s="43" t="inlineStr">
        <is>
          <t>FJZP</t>
        </is>
      </c>
      <c r="E649" s="43" t="inlineStr">
        <is>
          <t>MCGA</t>
        </is>
      </c>
      <c r="F649" s="43" t="inlineStr">
        <is>
          <t>800-112581-04</t>
        </is>
      </c>
      <c r="G649" s="43" t="inlineStr">
        <is>
          <t>OTHER_SCOPE_ITEM</t>
        </is>
      </c>
      <c r="H649" s="43" t="inlineStr"/>
      <c r="I649" s="43" t="inlineStr">
        <is>
          <t>Expired</t>
        </is>
      </c>
      <c r="J649" s="32" t="n">
        <v>46020</v>
      </c>
      <c r="K649" s="32" t="n">
        <v>45982</v>
      </c>
      <c r="L649" s="43" t="inlineStr">
        <is>
          <t>938</t>
        </is>
      </c>
      <c r="M649" s="43" t="n">
        <v>1</v>
      </c>
      <c r="N649" s="33" t="inlineStr"/>
      <c r="O649" s="43" t="inlineStr">
        <is>
          <t>UNVERIFIED</t>
        </is>
      </c>
      <c r="P649" s="43" t="inlineStr">
        <is>
          <t>Pending Review</t>
        </is>
      </c>
      <c r="Q649" s="33" t="inlineStr">
        <is>
          <t>Confirmar SKU/PCBA revision, PN exacto en Common DB, WO, BU, vigencia, planta y aprobacion firmada.</t>
        </is>
      </c>
    </row>
    <row r="650">
      <c r="A650" s="43" t="inlineStr">
        <is>
          <t>CTANJZ04944</t>
        </is>
      </c>
      <c r="B650" s="43" t="inlineStr">
        <is>
          <t>DP525176</t>
        </is>
      </c>
      <c r="C650" s="43" t="inlineStr">
        <is>
          <t>037-STBU</t>
        </is>
      </c>
      <c r="D650" s="43" t="inlineStr">
        <is>
          <t>FJZP</t>
        </is>
      </c>
      <c r="E650" s="43" t="inlineStr">
        <is>
          <t>MCGA</t>
        </is>
      </c>
      <c r="F650" s="43" t="inlineStr">
        <is>
          <t>800-112582-04</t>
        </is>
      </c>
      <c r="G650" s="43" t="inlineStr">
        <is>
          <t>OTHER_SCOPE_ITEM</t>
        </is>
      </c>
      <c r="H650" s="43" t="inlineStr"/>
      <c r="I650" s="43" t="inlineStr">
        <is>
          <t>Expired</t>
        </is>
      </c>
      <c r="J650" s="32" t="n">
        <v>46020</v>
      </c>
      <c r="K650" s="32" t="n">
        <v>45982</v>
      </c>
      <c r="L650" s="43" t="inlineStr">
        <is>
          <t>939</t>
        </is>
      </c>
      <c r="M650" s="43" t="n">
        <v>1</v>
      </c>
      <c r="N650" s="33" t="inlineStr"/>
      <c r="O650" s="43" t="inlineStr">
        <is>
          <t>UNVERIFIED</t>
        </is>
      </c>
      <c r="P650" s="43" t="inlineStr">
        <is>
          <t>Pending Review</t>
        </is>
      </c>
      <c r="Q650" s="33" t="inlineStr">
        <is>
          <t>Confirmar SKU/PCBA revision, PN exacto en Common DB, WO, BU, vigencia, planta y aprobacion firmada.</t>
        </is>
      </c>
    </row>
    <row r="651">
      <c r="A651" s="43" t="inlineStr">
        <is>
          <t>CTANJZ04944</t>
        </is>
      </c>
      <c r="B651" s="43" t="inlineStr">
        <is>
          <t>DP525176</t>
        </is>
      </c>
      <c r="C651" s="43" t="inlineStr">
        <is>
          <t>037-STBU</t>
        </is>
      </c>
      <c r="D651" s="43" t="inlineStr">
        <is>
          <t>FJZP</t>
        </is>
      </c>
      <c r="E651" s="43" t="inlineStr">
        <is>
          <t>MCGA</t>
        </is>
      </c>
      <c r="F651" s="43" t="inlineStr">
        <is>
          <t>800-112583-04</t>
        </is>
      </c>
      <c r="G651" s="43" t="inlineStr">
        <is>
          <t>OTHER_SCOPE_ITEM</t>
        </is>
      </c>
      <c r="H651" s="43" t="inlineStr"/>
      <c r="I651" s="43" t="inlineStr">
        <is>
          <t>Expired</t>
        </is>
      </c>
      <c r="J651" s="32" t="n">
        <v>46020</v>
      </c>
      <c r="K651" s="32" t="n">
        <v>45982</v>
      </c>
      <c r="L651" s="43" t="inlineStr">
        <is>
          <t>940</t>
        </is>
      </c>
      <c r="M651" s="43" t="n">
        <v>1</v>
      </c>
      <c r="N651" s="33" t="inlineStr"/>
      <c r="O651" s="43" t="inlineStr">
        <is>
          <t>UNVERIFIED</t>
        </is>
      </c>
      <c r="P651" s="43" t="inlineStr">
        <is>
          <t>Pending Review</t>
        </is>
      </c>
      <c r="Q651" s="33" t="inlineStr">
        <is>
          <t>Confirmar SKU/PCBA revision, PN exacto en Common DB, WO, BU, vigencia, planta y aprobacion firmada.</t>
        </is>
      </c>
    </row>
    <row r="652">
      <c r="A652" s="43" t="inlineStr">
        <is>
          <t>CTANJZ04944</t>
        </is>
      </c>
      <c r="B652" s="43" t="inlineStr">
        <is>
          <t>DP525176</t>
        </is>
      </c>
      <c r="C652" s="43" t="inlineStr">
        <is>
          <t>037-STBU</t>
        </is>
      </c>
      <c r="D652" s="43" t="inlineStr">
        <is>
          <t>FJZP</t>
        </is>
      </c>
      <c r="E652" s="43" t="inlineStr">
        <is>
          <t>MCGA</t>
        </is>
      </c>
      <c r="F652" s="43" t="inlineStr">
        <is>
          <t>800-112720-04</t>
        </is>
      </c>
      <c r="G652" s="43" t="inlineStr">
        <is>
          <t>OTHER_SCOPE_ITEM</t>
        </is>
      </c>
      <c r="H652" s="43" t="inlineStr"/>
      <c r="I652" s="43" t="inlineStr">
        <is>
          <t>Expired</t>
        </is>
      </c>
      <c r="J652" s="32" t="n">
        <v>46020</v>
      </c>
      <c r="K652" s="32" t="n">
        <v>45982</v>
      </c>
      <c r="L652" s="43" t="inlineStr">
        <is>
          <t>941</t>
        </is>
      </c>
      <c r="M652" s="43" t="n">
        <v>1</v>
      </c>
      <c r="N652" s="33" t="inlineStr"/>
      <c r="O652" s="43" t="inlineStr">
        <is>
          <t>UNVERIFIED</t>
        </is>
      </c>
      <c r="P652" s="43" t="inlineStr">
        <is>
          <t>Pending Review</t>
        </is>
      </c>
      <c r="Q652" s="33" t="inlineStr">
        <is>
          <t>Confirmar SKU/PCBA revision, PN exacto en Common DB, WO, BU, vigencia, planta y aprobacion firmada.</t>
        </is>
      </c>
    </row>
    <row r="653">
      <c r="A653" s="43" t="inlineStr">
        <is>
          <t>CTANJZ04945</t>
        </is>
      </c>
      <c r="B653" s="43" t="inlineStr">
        <is>
          <t>D607354</t>
        </is>
      </c>
      <c r="C653" s="43" t="inlineStr">
        <is>
          <t>037-STBU</t>
        </is>
      </c>
      <c r="D653" s="43" t="inlineStr">
        <is>
          <t>FJZP</t>
        </is>
      </c>
      <c r="E653" s="43" t="inlineStr">
        <is>
          <t>MCGA</t>
        </is>
      </c>
      <c r="F653" s="43" t="inlineStr">
        <is>
          <t>68-7253-04</t>
        </is>
      </c>
      <c r="G653" s="43" t="inlineStr">
        <is>
          <t>OTHER_SCOPE_ITEM</t>
        </is>
      </c>
      <c r="H653" s="43" t="inlineStr"/>
      <c r="I653" s="43" t="inlineStr">
        <is>
          <t>Expired</t>
        </is>
      </c>
      <c r="J653" s="32" t="n">
        <v>46050</v>
      </c>
      <c r="K653" s="32" t="n">
        <v>45990</v>
      </c>
      <c r="L653" s="43" t="inlineStr">
        <is>
          <t>933</t>
        </is>
      </c>
      <c r="M653" s="43" t="n">
        <v>1</v>
      </c>
      <c r="N653" s="33" t="inlineStr"/>
      <c r="O653" s="43" t="inlineStr">
        <is>
          <t>UNVERIFIED</t>
        </is>
      </c>
      <c r="P653" s="43" t="inlineStr">
        <is>
          <t>Pending Review</t>
        </is>
      </c>
      <c r="Q653" s="33" t="inlineStr">
        <is>
          <t>Confirmar SKU/PCBA revision, PN exacto en Common DB, WO, BU, vigencia, planta y aprobacion firmada.</t>
        </is>
      </c>
    </row>
    <row r="654">
      <c r="A654" s="43" t="inlineStr">
        <is>
          <t>CTANJZ04945</t>
        </is>
      </c>
      <c r="B654" s="43" t="inlineStr">
        <is>
          <t>D607354</t>
        </is>
      </c>
      <c r="C654" s="43" t="inlineStr">
        <is>
          <t>037-STBU</t>
        </is>
      </c>
      <c r="D654" s="43" t="inlineStr">
        <is>
          <t>FJZP</t>
        </is>
      </c>
      <c r="E654" s="43" t="inlineStr">
        <is>
          <t>MCGA</t>
        </is>
      </c>
      <c r="F654" s="43" t="inlineStr">
        <is>
          <t>68-7254-04</t>
        </is>
      </c>
      <c r="G654" s="43" t="inlineStr">
        <is>
          <t>OTHER_SCOPE_ITEM</t>
        </is>
      </c>
      <c r="H654" s="43" t="inlineStr"/>
      <c r="I654" s="43" t="inlineStr">
        <is>
          <t>Expired</t>
        </is>
      </c>
      <c r="J654" s="32" t="n">
        <v>46050</v>
      </c>
      <c r="K654" s="32" t="n">
        <v>45990</v>
      </c>
      <c r="L654" s="43" t="inlineStr">
        <is>
          <t>934</t>
        </is>
      </c>
      <c r="M654" s="43" t="n">
        <v>1</v>
      </c>
      <c r="N654" s="33" t="inlineStr"/>
      <c r="O654" s="43" t="inlineStr">
        <is>
          <t>UNVERIFIED</t>
        </is>
      </c>
      <c r="P654" s="43" t="inlineStr">
        <is>
          <t>Pending Review</t>
        </is>
      </c>
      <c r="Q654" s="33" t="inlineStr">
        <is>
          <t>Confirmar SKU/PCBA revision, PN exacto en Common DB, WO, BU, vigencia, planta y aprobacion firmada.</t>
        </is>
      </c>
    </row>
    <row r="655">
      <c r="A655" s="43" t="inlineStr">
        <is>
          <t>CTANJZ04945</t>
        </is>
      </c>
      <c r="B655" s="43" t="inlineStr">
        <is>
          <t>D607354</t>
        </is>
      </c>
      <c r="C655" s="43" t="inlineStr">
        <is>
          <t>037-STBU</t>
        </is>
      </c>
      <c r="D655" s="43" t="inlineStr">
        <is>
          <t>FJZP</t>
        </is>
      </c>
      <c r="E655" s="43" t="inlineStr">
        <is>
          <t>MCGA</t>
        </is>
      </c>
      <c r="F655" s="43" t="inlineStr">
        <is>
          <t>68-7255-04</t>
        </is>
      </c>
      <c r="G655" s="43" t="inlineStr">
        <is>
          <t>OTHER_SCOPE_ITEM</t>
        </is>
      </c>
      <c r="H655" s="43" t="inlineStr"/>
      <c r="I655" s="43" t="inlineStr">
        <is>
          <t>Expired</t>
        </is>
      </c>
      <c r="J655" s="32" t="n">
        <v>46050</v>
      </c>
      <c r="K655" s="32" t="n">
        <v>45990</v>
      </c>
      <c r="L655" s="43" t="inlineStr">
        <is>
          <t>935</t>
        </is>
      </c>
      <c r="M655" s="43" t="n">
        <v>1</v>
      </c>
      <c r="N655" s="33" t="inlineStr"/>
      <c r="O655" s="43" t="inlineStr">
        <is>
          <t>UNVERIFIED</t>
        </is>
      </c>
      <c r="P655" s="43" t="inlineStr">
        <is>
          <t>Pending Review</t>
        </is>
      </c>
      <c r="Q655" s="33" t="inlineStr">
        <is>
          <t>Confirmar SKU/PCBA revision, PN exacto en Common DB, WO, BU, vigencia, planta y aprobacion firmada.</t>
        </is>
      </c>
    </row>
    <row r="656">
      <c r="A656" s="43" t="inlineStr">
        <is>
          <t>CTANJZ04945</t>
        </is>
      </c>
      <c r="B656" s="43" t="inlineStr">
        <is>
          <t>D607354</t>
        </is>
      </c>
      <c r="C656" s="43" t="inlineStr">
        <is>
          <t>037-STBU</t>
        </is>
      </c>
      <c r="D656" s="43" t="inlineStr">
        <is>
          <t>FJZP</t>
        </is>
      </c>
      <c r="E656" s="43" t="inlineStr">
        <is>
          <t>MCGA</t>
        </is>
      </c>
      <c r="F656" s="43" t="inlineStr">
        <is>
          <t>68-7256-04</t>
        </is>
      </c>
      <c r="G656" s="43" t="inlineStr">
        <is>
          <t>OTHER_SCOPE_ITEM</t>
        </is>
      </c>
      <c r="H656" s="43" t="inlineStr"/>
      <c r="I656" s="43" t="inlineStr">
        <is>
          <t>Expired</t>
        </is>
      </c>
      <c r="J656" s="32" t="n">
        <v>46050</v>
      </c>
      <c r="K656" s="32" t="n">
        <v>45990</v>
      </c>
      <c r="L656" s="43" t="inlineStr">
        <is>
          <t>936</t>
        </is>
      </c>
      <c r="M656" s="43" t="n">
        <v>1</v>
      </c>
      <c r="N656" s="33" t="inlineStr"/>
      <c r="O656" s="43" t="inlineStr">
        <is>
          <t>UNVERIFIED</t>
        </is>
      </c>
      <c r="P656" s="43" t="inlineStr">
        <is>
          <t>Pending Review</t>
        </is>
      </c>
      <c r="Q656" s="33" t="inlineStr">
        <is>
          <t>Confirmar SKU/PCBA revision, PN exacto en Common DB, WO, BU, vigencia, planta y aprobacion firmada.</t>
        </is>
      </c>
    </row>
    <row r="657">
      <c r="A657" s="43" t="inlineStr">
        <is>
          <t>CTANJZ04945</t>
        </is>
      </c>
      <c r="B657" s="43" t="inlineStr">
        <is>
          <t>D607354</t>
        </is>
      </c>
      <c r="C657" s="43" t="inlineStr">
        <is>
          <t>037-STBU</t>
        </is>
      </c>
      <c r="D657" s="43" t="inlineStr">
        <is>
          <t>FJZP</t>
        </is>
      </c>
      <c r="E657" s="43" t="inlineStr">
        <is>
          <t>MCGA</t>
        </is>
      </c>
      <c r="F657" s="43" t="inlineStr">
        <is>
          <t>68-7638-01</t>
        </is>
      </c>
      <c r="G657" s="43" t="inlineStr">
        <is>
          <t>OTHER_SCOPE_ITEM</t>
        </is>
      </c>
      <c r="H657" s="43" t="inlineStr"/>
      <c r="I657" s="43" t="inlineStr">
        <is>
          <t>Expired</t>
        </is>
      </c>
      <c r="J657" s="32" t="n">
        <v>46050</v>
      </c>
      <c r="K657" s="32" t="n">
        <v>45990</v>
      </c>
      <c r="L657" s="43" t="inlineStr">
        <is>
          <t>937</t>
        </is>
      </c>
      <c r="M657" s="43" t="n">
        <v>1</v>
      </c>
      <c r="N657" s="33" t="inlineStr"/>
      <c r="O657" s="43" t="inlineStr">
        <is>
          <t>UNVERIFIED</t>
        </is>
      </c>
      <c r="P657" s="43" t="inlineStr">
        <is>
          <t>Pending Review</t>
        </is>
      </c>
      <c r="Q657" s="33" t="inlineStr">
        <is>
          <t>Confirmar SKU/PCBA revision, PN exacto en Common DB, WO, BU, vigencia, planta y aprobacion firmada.</t>
        </is>
      </c>
    </row>
    <row r="658">
      <c r="A658" s="43" t="inlineStr">
        <is>
          <t>CTANJZ04945</t>
        </is>
      </c>
      <c r="B658" s="43" t="inlineStr">
        <is>
          <t>D607354</t>
        </is>
      </c>
      <c r="C658" s="43" t="inlineStr">
        <is>
          <t>037-STBU</t>
        </is>
      </c>
      <c r="D658" s="43" t="inlineStr">
        <is>
          <t>FJZP</t>
        </is>
      </c>
      <c r="E658" s="43" t="inlineStr">
        <is>
          <t>MCGA</t>
        </is>
      </c>
      <c r="F658" s="43" t="inlineStr">
        <is>
          <t>74-113291-01</t>
        </is>
      </c>
      <c r="G658" s="43" t="inlineStr">
        <is>
          <t>OTHER_SCOPE_ITEM</t>
        </is>
      </c>
      <c r="H658" s="43" t="inlineStr"/>
      <c r="I658" s="43" t="inlineStr">
        <is>
          <t>Expired</t>
        </is>
      </c>
      <c r="J658" s="32" t="n">
        <v>46050</v>
      </c>
      <c r="K658" s="32" t="n">
        <v>45990</v>
      </c>
      <c r="L658" s="43" t="inlineStr">
        <is>
          <t>977</t>
        </is>
      </c>
      <c r="M658" s="43" t="n">
        <v>1</v>
      </c>
      <c r="N658" s="33" t="inlineStr"/>
      <c r="O658" s="43" t="inlineStr">
        <is>
          <t>UNVERIFIED</t>
        </is>
      </c>
      <c r="P658" s="43" t="inlineStr">
        <is>
          <t>Pending Review</t>
        </is>
      </c>
      <c r="Q658" s="33" t="inlineStr">
        <is>
          <t>Confirmar SKU/PCBA revision, PN exacto en Common DB, WO, BU, vigencia, planta y aprobacion firmada.</t>
        </is>
      </c>
    </row>
    <row r="659">
      <c r="A659" s="43" t="inlineStr">
        <is>
          <t>CTANJZ04945</t>
        </is>
      </c>
      <c r="B659" s="43" t="inlineStr">
        <is>
          <t>D607354</t>
        </is>
      </c>
      <c r="C659" s="43" t="inlineStr">
        <is>
          <t>037-STBU</t>
        </is>
      </c>
      <c r="D659" s="43" t="inlineStr">
        <is>
          <t>FJZP</t>
        </is>
      </c>
      <c r="E659" s="43" t="inlineStr">
        <is>
          <t>MCGA</t>
        </is>
      </c>
      <c r="F659" s="43" t="inlineStr">
        <is>
          <t>74-126726-01</t>
        </is>
      </c>
      <c r="G659" s="43" t="inlineStr">
        <is>
          <t>OTHER_SCOPE_ITEM</t>
        </is>
      </c>
      <c r="H659" s="43" t="inlineStr"/>
      <c r="I659" s="43" t="inlineStr">
        <is>
          <t>Expired</t>
        </is>
      </c>
      <c r="J659" s="32" t="n">
        <v>46050</v>
      </c>
      <c r="K659" s="32" t="n">
        <v>45990</v>
      </c>
      <c r="L659" s="43" t="inlineStr">
        <is>
          <t>978</t>
        </is>
      </c>
      <c r="M659" s="43" t="n">
        <v>1</v>
      </c>
      <c r="N659" s="33" t="inlineStr"/>
      <c r="O659" s="43" t="inlineStr">
        <is>
          <t>UNVERIFIED</t>
        </is>
      </c>
      <c r="P659" s="43" t="inlineStr">
        <is>
          <t>Pending Review</t>
        </is>
      </c>
      <c r="Q659" s="33" t="inlineStr">
        <is>
          <t>Confirmar SKU/PCBA revision, PN exacto en Common DB, WO, BU, vigencia, planta y aprobacion firmada.</t>
        </is>
      </c>
    </row>
    <row r="660">
      <c r="A660" s="43" t="inlineStr">
        <is>
          <t>CTANJZ04950</t>
        </is>
      </c>
      <c r="B660" s="43" t="inlineStr">
        <is>
          <t>D607497</t>
        </is>
      </c>
      <c r="C660" s="43" t="inlineStr">
        <is>
          <t>037-STBU</t>
        </is>
      </c>
      <c r="D660" s="43" t="inlineStr">
        <is>
          <t>FJZP</t>
        </is>
      </c>
      <c r="E660" s="43" t="inlineStr">
        <is>
          <t>MCGA</t>
        </is>
      </c>
      <c r="F660" s="43" t="inlineStr">
        <is>
          <t>68-7253-05</t>
        </is>
      </c>
      <c r="G660" s="43" t="inlineStr">
        <is>
          <t>OTHER_SCOPE_ITEM</t>
        </is>
      </c>
      <c r="H660" s="43" t="inlineStr"/>
      <c r="I660" s="43" t="inlineStr">
        <is>
          <t>Expired</t>
        </is>
      </c>
      <c r="J660" s="32" t="n">
        <v>46054</v>
      </c>
      <c r="K660" s="32" t="n">
        <v>46002</v>
      </c>
      <c r="L660" s="43" t="inlineStr">
        <is>
          <t>979</t>
        </is>
      </c>
      <c r="M660" s="43" t="n">
        <v>1</v>
      </c>
      <c r="N660" s="33" t="inlineStr"/>
      <c r="O660" s="43" t="inlineStr">
        <is>
          <t>UNVERIFIED</t>
        </is>
      </c>
      <c r="P660" s="43" t="inlineStr">
        <is>
          <t>Pending Review</t>
        </is>
      </c>
      <c r="Q660" s="33" t="inlineStr">
        <is>
          <t>Confirmar SKU/PCBA revision, PN exacto en Common DB, WO, BU, vigencia, planta y aprobacion firmada.</t>
        </is>
      </c>
    </row>
    <row r="661">
      <c r="A661" s="43" t="inlineStr">
        <is>
          <t>CTANJZ04950</t>
        </is>
      </c>
      <c r="B661" s="43" t="inlineStr">
        <is>
          <t>D607497</t>
        </is>
      </c>
      <c r="C661" s="43" t="inlineStr">
        <is>
          <t>037-STBU</t>
        </is>
      </c>
      <c r="D661" s="43" t="inlineStr">
        <is>
          <t>FJZP</t>
        </is>
      </c>
      <c r="E661" s="43" t="inlineStr">
        <is>
          <t>MCGA</t>
        </is>
      </c>
      <c r="F661" s="43" t="inlineStr">
        <is>
          <t>68-7254-05</t>
        </is>
      </c>
      <c r="G661" s="43" t="inlineStr">
        <is>
          <t>OTHER_SCOPE_ITEM</t>
        </is>
      </c>
      <c r="H661" s="43" t="inlineStr"/>
      <c r="I661" s="43" t="inlineStr">
        <is>
          <t>Expired</t>
        </is>
      </c>
      <c r="J661" s="32" t="n">
        <v>46054</v>
      </c>
      <c r="K661" s="32" t="n">
        <v>46002</v>
      </c>
      <c r="L661" s="43" t="inlineStr">
        <is>
          <t>980</t>
        </is>
      </c>
      <c r="M661" s="43" t="n">
        <v>1</v>
      </c>
      <c r="N661" s="33" t="inlineStr"/>
      <c r="O661" s="43" t="inlineStr">
        <is>
          <t>UNVERIFIED</t>
        </is>
      </c>
      <c r="P661" s="43" t="inlineStr">
        <is>
          <t>Pending Review</t>
        </is>
      </c>
      <c r="Q661" s="33" t="inlineStr">
        <is>
          <t>Confirmar SKU/PCBA revision, PN exacto en Common DB, WO, BU, vigencia, planta y aprobacion firmada.</t>
        </is>
      </c>
    </row>
    <row r="662">
      <c r="A662" s="43" t="inlineStr">
        <is>
          <t>CTANJZ04950</t>
        </is>
      </c>
      <c r="B662" s="43" t="inlineStr">
        <is>
          <t>D607497</t>
        </is>
      </c>
      <c r="C662" s="43" t="inlineStr">
        <is>
          <t>037-STBU</t>
        </is>
      </c>
      <c r="D662" s="43" t="inlineStr">
        <is>
          <t>FJZP</t>
        </is>
      </c>
      <c r="E662" s="43" t="inlineStr">
        <is>
          <t>MCGA</t>
        </is>
      </c>
      <c r="F662" s="43" t="inlineStr">
        <is>
          <t>68-7255-05</t>
        </is>
      </c>
      <c r="G662" s="43" t="inlineStr">
        <is>
          <t>OTHER_SCOPE_ITEM</t>
        </is>
      </c>
      <c r="H662" s="43" t="inlineStr"/>
      <c r="I662" s="43" t="inlineStr">
        <is>
          <t>Expired</t>
        </is>
      </c>
      <c r="J662" s="32" t="n">
        <v>46054</v>
      </c>
      <c r="K662" s="32" t="n">
        <v>46002</v>
      </c>
      <c r="L662" s="43" t="inlineStr">
        <is>
          <t>981</t>
        </is>
      </c>
      <c r="M662" s="43" t="n">
        <v>1</v>
      </c>
      <c r="N662" s="33" t="inlineStr"/>
      <c r="O662" s="43" t="inlineStr">
        <is>
          <t>UNVERIFIED</t>
        </is>
      </c>
      <c r="P662" s="43" t="inlineStr">
        <is>
          <t>Pending Review</t>
        </is>
      </c>
      <c r="Q662" s="33" t="inlineStr">
        <is>
          <t>Confirmar SKU/PCBA revision, PN exacto en Common DB, WO, BU, vigencia, planta y aprobacion firmada.</t>
        </is>
      </c>
    </row>
    <row r="663">
      <c r="A663" s="43" t="inlineStr">
        <is>
          <t>CTANJZ04950</t>
        </is>
      </c>
      <c r="B663" s="43" t="inlineStr">
        <is>
          <t>D607497</t>
        </is>
      </c>
      <c r="C663" s="43" t="inlineStr">
        <is>
          <t>037-STBU</t>
        </is>
      </c>
      <c r="D663" s="43" t="inlineStr">
        <is>
          <t>FJZP</t>
        </is>
      </c>
      <c r="E663" s="43" t="inlineStr">
        <is>
          <t>MCGA</t>
        </is>
      </c>
      <c r="F663" s="43" t="inlineStr">
        <is>
          <t>68-7256-05</t>
        </is>
      </c>
      <c r="G663" s="43" t="inlineStr">
        <is>
          <t>OTHER_SCOPE_ITEM</t>
        </is>
      </c>
      <c r="H663" s="43" t="inlineStr"/>
      <c r="I663" s="43" t="inlineStr">
        <is>
          <t>Expired</t>
        </is>
      </c>
      <c r="J663" s="32" t="n">
        <v>46054</v>
      </c>
      <c r="K663" s="32" t="n">
        <v>46002</v>
      </c>
      <c r="L663" s="43" t="inlineStr">
        <is>
          <t>982</t>
        </is>
      </c>
      <c r="M663" s="43" t="n">
        <v>1</v>
      </c>
      <c r="N663" s="33" t="inlineStr"/>
      <c r="O663" s="43" t="inlineStr">
        <is>
          <t>UNVERIFIED</t>
        </is>
      </c>
      <c r="P663" s="43" t="inlineStr">
        <is>
          <t>Pending Review</t>
        </is>
      </c>
      <c r="Q663" s="33" t="inlineStr">
        <is>
          <t>Confirmar SKU/PCBA revision, PN exacto en Common DB, WO, BU, vigencia, planta y aprobacion firmada.</t>
        </is>
      </c>
    </row>
    <row r="664">
      <c r="A664" s="43" t="inlineStr">
        <is>
          <t>CTANJZ04950</t>
        </is>
      </c>
      <c r="B664" s="43" t="inlineStr">
        <is>
          <t>D607497</t>
        </is>
      </c>
      <c r="C664" s="43" t="inlineStr">
        <is>
          <t>037-STBU</t>
        </is>
      </c>
      <c r="D664" s="43" t="inlineStr">
        <is>
          <t>FJZP</t>
        </is>
      </c>
      <c r="E664" s="43" t="inlineStr">
        <is>
          <t>MCGA</t>
        </is>
      </c>
      <c r="F664" s="43" t="inlineStr">
        <is>
          <t>68-7638-02</t>
        </is>
      </c>
      <c r="G664" s="43" t="inlineStr">
        <is>
          <t>OTHER_SCOPE_ITEM</t>
        </is>
      </c>
      <c r="H664" s="43" t="inlineStr"/>
      <c r="I664" s="43" t="inlineStr">
        <is>
          <t>Expired</t>
        </is>
      </c>
      <c r="J664" s="32" t="n">
        <v>46054</v>
      </c>
      <c r="K664" s="32" t="n">
        <v>46002</v>
      </c>
      <c r="L664" s="43" t="inlineStr">
        <is>
          <t>983</t>
        </is>
      </c>
      <c r="M664" s="43" t="n">
        <v>1</v>
      </c>
      <c r="N664" s="33" t="inlineStr"/>
      <c r="O664" s="43" t="inlineStr">
        <is>
          <t>UNVERIFIED</t>
        </is>
      </c>
      <c r="P664" s="43" t="inlineStr">
        <is>
          <t>Pending Review</t>
        </is>
      </c>
      <c r="Q664" s="33" t="inlineStr">
        <is>
          <t>Confirmar SKU/PCBA revision, PN exacto en Common DB, WO, BU, vigencia, planta y aprobacion firmada.</t>
        </is>
      </c>
    </row>
    <row r="665">
      <c r="A665" s="43" t="inlineStr">
        <is>
          <t>CTANJZ04950</t>
        </is>
      </c>
      <c r="B665" s="43" t="inlineStr">
        <is>
          <t>D607497</t>
        </is>
      </c>
      <c r="C665" s="43" t="inlineStr">
        <is>
          <t>037-STBU</t>
        </is>
      </c>
      <c r="D665" s="43" t="inlineStr">
        <is>
          <t>FJZP</t>
        </is>
      </c>
      <c r="E665" s="43" t="inlineStr">
        <is>
          <t>MCGA</t>
        </is>
      </c>
      <c r="F665" s="43" t="inlineStr">
        <is>
          <t>800-109483-01</t>
        </is>
      </c>
      <c r="G665" s="43" t="inlineStr">
        <is>
          <t>OTHER_SCOPE_ITEM</t>
        </is>
      </c>
      <c r="H665" s="43" t="inlineStr"/>
      <c r="I665" s="43" t="inlineStr">
        <is>
          <t>Expired</t>
        </is>
      </c>
      <c r="J665" s="32" t="n">
        <v>46054</v>
      </c>
      <c r="K665" s="32" t="n">
        <v>46002</v>
      </c>
      <c r="L665" s="43" t="inlineStr">
        <is>
          <t>984</t>
        </is>
      </c>
      <c r="M665" s="43" t="n">
        <v>1</v>
      </c>
      <c r="N665" s="33" t="inlineStr"/>
      <c r="O665" s="43" t="inlineStr">
        <is>
          <t>UNVERIFIED</t>
        </is>
      </c>
      <c r="P665" s="43" t="inlineStr">
        <is>
          <t>Pending Review</t>
        </is>
      </c>
      <c r="Q665" s="33" t="inlineStr">
        <is>
          <t>Confirmar SKU/PCBA revision, PN exacto en Common DB, WO, BU, vigencia, planta y aprobacion firmada.</t>
        </is>
      </c>
    </row>
    <row r="666">
      <c r="A666" s="43" t="inlineStr">
        <is>
          <t>CTANJZ04959</t>
        </is>
      </c>
      <c r="B666" s="43" t="inlineStr">
        <is>
          <t>D607626</t>
        </is>
      </c>
      <c r="C666" s="43" t="inlineStr">
        <is>
          <t>035-CVEBU</t>
        </is>
      </c>
      <c r="D666" s="43" t="inlineStr">
        <is>
          <t>FJZP</t>
        </is>
      </c>
      <c r="E666" s="43" t="inlineStr">
        <is>
          <t>MCGA</t>
        </is>
      </c>
      <c r="F666" s="43" t="inlineStr">
        <is>
          <t>30-100206-01</t>
        </is>
      </c>
      <c r="G666" s="43" t="inlineStr">
        <is>
          <t>OTHER_SCOPE_ITEM</t>
        </is>
      </c>
      <c r="H666" s="43" t="inlineStr"/>
      <c r="I666" s="43" t="inlineStr">
        <is>
          <t>Expired</t>
        </is>
      </c>
      <c r="J666" s="32" t="n">
        <v>46063</v>
      </c>
      <c r="K666" s="32" t="n">
        <v>45981</v>
      </c>
      <c r="L666" s="43" t="inlineStr">
        <is>
          <t>433</t>
        </is>
      </c>
      <c r="M666" s="43" t="n">
        <v>1</v>
      </c>
      <c r="N666" s="33" t="inlineStr"/>
      <c r="O666" s="43" t="inlineStr">
        <is>
          <t>UNVERIFIED</t>
        </is>
      </c>
      <c r="P666" s="43" t="inlineStr">
        <is>
          <t>Pending Review</t>
        </is>
      </c>
      <c r="Q666" s="33" t="inlineStr">
        <is>
          <t>Confirmar SKU/PCBA revision, PN exacto en Common DB, WO, BU, vigencia, planta y aprobacion firmada.</t>
        </is>
      </c>
    </row>
    <row r="667">
      <c r="A667" s="43" t="inlineStr">
        <is>
          <t>CTANJZ04959</t>
        </is>
      </c>
      <c r="B667" s="43" t="inlineStr">
        <is>
          <t>D607626</t>
        </is>
      </c>
      <c r="C667" s="43" t="inlineStr">
        <is>
          <t>035-CVEBU</t>
        </is>
      </c>
      <c r="D667" s="43" t="inlineStr">
        <is>
          <t>FJZP</t>
        </is>
      </c>
      <c r="E667" s="43" t="inlineStr">
        <is>
          <t>MCGA</t>
        </is>
      </c>
      <c r="F667" s="43" t="inlineStr">
        <is>
          <t>800-108480-01</t>
        </is>
      </c>
      <c r="G667" s="43" t="inlineStr">
        <is>
          <t>OTHER_SCOPE_ITEM</t>
        </is>
      </c>
      <c r="H667" s="43" t="inlineStr"/>
      <c r="I667" s="43" t="inlineStr">
        <is>
          <t>Expired</t>
        </is>
      </c>
      <c r="J667" s="32" t="n">
        <v>46063</v>
      </c>
      <c r="K667" s="32" t="n">
        <v>45981</v>
      </c>
      <c r="L667" s="43" t="inlineStr">
        <is>
          <t>434</t>
        </is>
      </c>
      <c r="M667" s="43" t="n">
        <v>1</v>
      </c>
      <c r="N667" s="33" t="inlineStr"/>
      <c r="O667" s="43" t="inlineStr">
        <is>
          <t>UNVERIFIED</t>
        </is>
      </c>
      <c r="P667" s="43" t="inlineStr">
        <is>
          <t>Pending Review</t>
        </is>
      </c>
      <c r="Q667" s="33" t="inlineStr">
        <is>
          <t>Confirmar SKU/PCBA revision, PN exacto en Common DB, WO, BU, vigencia, planta y aprobacion firmada.</t>
        </is>
      </c>
    </row>
    <row r="668">
      <c r="A668" s="43" t="inlineStr">
        <is>
          <t>CTANJZ04960</t>
        </is>
      </c>
      <c r="B668" s="43" t="inlineStr">
        <is>
          <t>DP524662</t>
        </is>
      </c>
      <c r="C668" s="43" t="inlineStr">
        <is>
          <t>037-STBU</t>
        </is>
      </c>
      <c r="D668" s="43" t="inlineStr">
        <is>
          <t>FJZP</t>
        </is>
      </c>
      <c r="E668" s="43" t="inlineStr">
        <is>
          <t>MCGA</t>
        </is>
      </c>
      <c r="F668" s="43" t="inlineStr">
        <is>
          <t>73-103648-03</t>
        </is>
      </c>
      <c r="G668" s="43" t="inlineStr">
        <is>
          <t>BOARD_PN_CANDIDATE</t>
        </is>
      </c>
      <c r="H668" s="43" t="inlineStr"/>
      <c r="I668" s="43" t="inlineStr">
        <is>
          <t>Expired</t>
        </is>
      </c>
      <c r="J668" s="32" t="n">
        <v>46031</v>
      </c>
      <c r="K668" s="32" t="n"/>
      <c r="L668" s="43" t="inlineStr">
        <is>
          <t>451</t>
        </is>
      </c>
      <c r="M668" s="43" t="n">
        <v>1</v>
      </c>
      <c r="N668" s="33" t="inlineStr"/>
      <c r="O668" s="43" t="inlineStr">
        <is>
          <t>UNVERIFIED</t>
        </is>
      </c>
      <c r="P668" s="43" t="inlineStr">
        <is>
          <t>Pending Review</t>
        </is>
      </c>
      <c r="Q668" s="33" t="inlineStr">
        <is>
          <t>Confirmar SKU/PCBA revision, PN exacto en Common DB, WO, BU, vigencia, planta y aprobacion firmada.</t>
        </is>
      </c>
    </row>
    <row r="669">
      <c r="A669" s="43" t="inlineStr">
        <is>
          <t>CTANJZ04962</t>
        </is>
      </c>
      <c r="B669" s="43" t="inlineStr">
        <is>
          <t>DP525527</t>
        </is>
      </c>
      <c r="C669" s="43" t="inlineStr">
        <is>
          <t>034-IOTBU</t>
        </is>
      </c>
      <c r="D669" s="43" t="inlineStr">
        <is>
          <t>FJZP</t>
        </is>
      </c>
      <c r="E669" s="43" t="inlineStr">
        <is>
          <t>MCGA</t>
        </is>
      </c>
      <c r="F669" s="43" t="inlineStr">
        <is>
          <t>73-101441-05</t>
        </is>
      </c>
      <c r="G669" s="43" t="inlineStr">
        <is>
          <t>BOARD_PN_CANDIDATE</t>
        </is>
      </c>
      <c r="H669" s="43" t="inlineStr"/>
      <c r="I669" s="43" t="inlineStr">
        <is>
          <t>Expired</t>
        </is>
      </c>
      <c r="J669" s="32" t="n">
        <v>46034</v>
      </c>
      <c r="K669" s="32" t="n">
        <v>46000</v>
      </c>
      <c r="L669" s="43" t="inlineStr">
        <is>
          <t>954</t>
        </is>
      </c>
      <c r="M669" s="43" t="n">
        <v>1</v>
      </c>
      <c r="N669" s="33" t="inlineStr"/>
      <c r="O669" s="43" t="inlineStr">
        <is>
          <t>UNVERIFIED</t>
        </is>
      </c>
      <c r="P669" s="43" t="inlineStr">
        <is>
          <t>Pending Review</t>
        </is>
      </c>
      <c r="Q669" s="33" t="inlineStr">
        <is>
          <t>Confirmar SKU/PCBA revision, PN exacto en Common DB, WO, BU, vigencia, planta y aprobacion firmada.</t>
        </is>
      </c>
    </row>
    <row r="670">
      <c r="A670" s="43" t="inlineStr">
        <is>
          <t>CTANJZ04962</t>
        </is>
      </c>
      <c r="B670" s="43" t="inlineStr">
        <is>
          <t>DP525527</t>
        </is>
      </c>
      <c r="C670" s="43" t="inlineStr">
        <is>
          <t>034-IOTBU</t>
        </is>
      </c>
      <c r="D670" s="43" t="inlineStr">
        <is>
          <t>FJZP</t>
        </is>
      </c>
      <c r="E670" s="43" t="inlineStr">
        <is>
          <t>MCGA</t>
        </is>
      </c>
      <c r="F670" s="43" t="inlineStr">
        <is>
          <t>800-104857-01</t>
        </is>
      </c>
      <c r="G670" s="43" t="inlineStr">
        <is>
          <t>OTHER_SCOPE_ITEM</t>
        </is>
      </c>
      <c r="H670" s="43" t="inlineStr"/>
      <c r="I670" s="43" t="inlineStr">
        <is>
          <t>Expired</t>
        </is>
      </c>
      <c r="J670" s="32" t="n">
        <v>46034</v>
      </c>
      <c r="K670" s="32" t="n">
        <v>46000</v>
      </c>
      <c r="L670" s="43" t="inlineStr">
        <is>
          <t>955</t>
        </is>
      </c>
      <c r="M670" s="43" t="n">
        <v>1</v>
      </c>
      <c r="N670" s="33" t="inlineStr"/>
      <c r="O670" s="43" t="inlineStr">
        <is>
          <t>UNVERIFIED</t>
        </is>
      </c>
      <c r="P670" s="43" t="inlineStr">
        <is>
          <t>Pending Review</t>
        </is>
      </c>
      <c r="Q670" s="33" t="inlineStr">
        <is>
          <t>Confirmar SKU/PCBA revision, PN exacto en Common DB, WO, BU, vigencia, planta y aprobacion firmada.</t>
        </is>
      </c>
    </row>
    <row r="671">
      <c r="A671" s="43" t="inlineStr">
        <is>
          <t>CTANJZ04963</t>
        </is>
      </c>
      <c r="B671" s="43" t="inlineStr">
        <is>
          <t>D607703</t>
        </is>
      </c>
      <c r="C671" s="43" t="inlineStr">
        <is>
          <t>018-SRGBU</t>
        </is>
      </c>
      <c r="D671" s="43" t="inlineStr">
        <is>
          <t>FJZP</t>
        </is>
      </c>
      <c r="E671" s="43" t="inlineStr">
        <is>
          <t>MCGA</t>
        </is>
      </c>
      <c r="F671" s="43" t="inlineStr">
        <is>
          <t>74-125442-04</t>
        </is>
      </c>
      <c r="G671" s="43" t="inlineStr">
        <is>
          <t>OTHER_SCOPE_ITEM</t>
        </is>
      </c>
      <c r="H671" s="43" t="inlineStr"/>
      <c r="I671" s="43" t="inlineStr">
        <is>
          <t>Expired</t>
        </is>
      </c>
      <c r="J671" s="32" t="n">
        <v>46064</v>
      </c>
      <c r="K671" s="32" t="n">
        <v>45981</v>
      </c>
      <c r="L671" s="43" t="inlineStr">
        <is>
          <t>975</t>
        </is>
      </c>
      <c r="M671" s="43" t="n">
        <v>1</v>
      </c>
      <c r="N671" s="33" t="inlineStr"/>
      <c r="O671" s="43" t="inlineStr">
        <is>
          <t>UNVERIFIED</t>
        </is>
      </c>
      <c r="P671" s="43" t="inlineStr">
        <is>
          <t>Pending Review</t>
        </is>
      </c>
      <c r="Q671" s="33" t="inlineStr">
        <is>
          <t>Confirmar SKU/PCBA revision, PN exacto en Common DB, WO, BU, vigencia, planta y aprobacion firmada.</t>
        </is>
      </c>
    </row>
    <row r="672">
      <c r="A672" s="43" t="inlineStr">
        <is>
          <t>CTANJZ04965</t>
        </is>
      </c>
      <c r="B672" s="43" t="inlineStr">
        <is>
          <t>D607679</t>
        </is>
      </c>
      <c r="C672" s="43" t="inlineStr">
        <is>
          <t>035-CVEBU</t>
        </is>
      </c>
      <c r="D672" s="43" t="inlineStr">
        <is>
          <t>FJZP</t>
        </is>
      </c>
      <c r="E672" s="43" t="inlineStr">
        <is>
          <t>MCGA</t>
        </is>
      </c>
      <c r="F672" s="43" t="inlineStr">
        <is>
          <t>68-103946-04</t>
        </is>
      </c>
      <c r="G672" s="43" t="inlineStr">
        <is>
          <t>OTHER_SCOPE_ITEM</t>
        </is>
      </c>
      <c r="H672" s="43" t="inlineStr"/>
      <c r="I672" s="43" t="inlineStr">
        <is>
          <t>Expired</t>
        </is>
      </c>
      <c r="J672" s="32" t="n">
        <v>46064</v>
      </c>
      <c r="K672" s="32" t="n">
        <v>46000</v>
      </c>
      <c r="L672" s="43" t="inlineStr">
        <is>
          <t>435</t>
        </is>
      </c>
      <c r="M672" s="43" t="n">
        <v>1</v>
      </c>
      <c r="N672" s="33" t="inlineStr"/>
      <c r="O672" s="43" t="inlineStr">
        <is>
          <t>UNVERIFIED</t>
        </is>
      </c>
      <c r="P672" s="43" t="inlineStr">
        <is>
          <t>Pending Review</t>
        </is>
      </c>
      <c r="Q672" s="33" t="inlineStr">
        <is>
          <t>Confirmar SKU/PCBA revision, PN exacto en Common DB, WO, BU, vigencia, planta y aprobacion firmada.</t>
        </is>
      </c>
    </row>
    <row r="673">
      <c r="A673" s="43" t="inlineStr">
        <is>
          <t>CTANJZ04967</t>
        </is>
      </c>
      <c r="B673" s="43" t="inlineStr">
        <is>
          <t>D607705</t>
        </is>
      </c>
      <c r="C673" s="43" t="inlineStr">
        <is>
          <t>037-STBU</t>
        </is>
      </c>
      <c r="D673" s="43" t="inlineStr">
        <is>
          <t>FJZP</t>
        </is>
      </c>
      <c r="E673" s="43" t="inlineStr">
        <is>
          <t>MCGA</t>
        </is>
      </c>
      <c r="F673" s="43" t="inlineStr">
        <is>
          <t>11-101888-04</t>
        </is>
      </c>
      <c r="G673" s="43" t="inlineStr">
        <is>
          <t>OTHER_SCOPE_ITEM</t>
        </is>
      </c>
      <c r="H673" s="43" t="inlineStr"/>
      <c r="I673" s="43" t="inlineStr">
        <is>
          <t>Expired</t>
        </is>
      </c>
      <c r="J673" s="32" t="n">
        <v>46069</v>
      </c>
      <c r="K673" s="32" t="n">
        <v>46035</v>
      </c>
      <c r="L673" s="43" t="inlineStr">
        <is>
          <t>149</t>
        </is>
      </c>
      <c r="M673" s="43" t="n">
        <v>1</v>
      </c>
      <c r="N673" s="33" t="inlineStr"/>
      <c r="O673" s="43" t="inlineStr">
        <is>
          <t>UNVERIFIED</t>
        </is>
      </c>
      <c r="P673" s="43" t="inlineStr">
        <is>
          <t>Pending Review</t>
        </is>
      </c>
      <c r="Q673" s="33" t="inlineStr">
        <is>
          <t>Confirmar SKU/PCBA revision, PN exacto en Common DB, WO, BU, vigencia, planta y aprobacion firmada.</t>
        </is>
      </c>
    </row>
    <row r="674">
      <c r="A674" s="43" t="inlineStr">
        <is>
          <t>CTANJZ04967</t>
        </is>
      </c>
      <c r="B674" s="43" t="inlineStr">
        <is>
          <t>D607705</t>
        </is>
      </c>
      <c r="C674" s="43" t="inlineStr">
        <is>
          <t>037-STBU</t>
        </is>
      </c>
      <c r="D674" s="43" t="inlineStr">
        <is>
          <t>FJZP</t>
        </is>
      </c>
      <c r="E674" s="43" t="inlineStr">
        <is>
          <t>MCGA</t>
        </is>
      </c>
      <c r="F674" s="43" t="inlineStr">
        <is>
          <t>68-104897-01</t>
        </is>
      </c>
      <c r="G674" s="43" t="inlineStr">
        <is>
          <t>OTHER_SCOPE_ITEM</t>
        </is>
      </c>
      <c r="H674" s="43" t="inlineStr"/>
      <c r="I674" s="43" t="inlineStr">
        <is>
          <t>Expired</t>
        </is>
      </c>
      <c r="J674" s="32" t="n">
        <v>46069</v>
      </c>
      <c r="K674" s="32" t="n">
        <v>46035</v>
      </c>
      <c r="L674" s="43" t="inlineStr">
        <is>
          <t>150</t>
        </is>
      </c>
      <c r="M674" s="43" t="n">
        <v>1</v>
      </c>
      <c r="N674" s="33" t="inlineStr"/>
      <c r="O674" s="43" t="inlineStr">
        <is>
          <t>UNVERIFIED</t>
        </is>
      </c>
      <c r="P674" s="43" t="inlineStr">
        <is>
          <t>Pending Review</t>
        </is>
      </c>
      <c r="Q674" s="33" t="inlineStr">
        <is>
          <t>Confirmar SKU/PCBA revision, PN exacto en Common DB, WO, BU, vigencia, planta y aprobacion firmada.</t>
        </is>
      </c>
    </row>
    <row r="675">
      <c r="A675" s="43" t="inlineStr">
        <is>
          <t>CTANJZ04967</t>
        </is>
      </c>
      <c r="B675" s="43" t="inlineStr">
        <is>
          <t>D607705</t>
        </is>
      </c>
      <c r="C675" s="43" t="inlineStr">
        <is>
          <t>037-STBU</t>
        </is>
      </c>
      <c r="D675" s="43" t="inlineStr">
        <is>
          <t>FJZP</t>
        </is>
      </c>
      <c r="E675" s="43" t="inlineStr">
        <is>
          <t>MCGA</t>
        </is>
      </c>
      <c r="F675" s="43" t="inlineStr">
        <is>
          <t>68-104898-01</t>
        </is>
      </c>
      <c r="G675" s="43" t="inlineStr">
        <is>
          <t>OTHER_SCOPE_ITEM</t>
        </is>
      </c>
      <c r="H675" s="43" t="inlineStr"/>
      <c r="I675" s="43" t="inlineStr">
        <is>
          <t>Expired</t>
        </is>
      </c>
      <c r="J675" s="32" t="n">
        <v>46069</v>
      </c>
      <c r="K675" s="32" t="n">
        <v>46035</v>
      </c>
      <c r="L675" s="43" t="inlineStr">
        <is>
          <t>151</t>
        </is>
      </c>
      <c r="M675" s="43" t="n">
        <v>1</v>
      </c>
      <c r="N675" s="33" t="inlineStr"/>
      <c r="O675" s="43" t="inlineStr">
        <is>
          <t>UNVERIFIED</t>
        </is>
      </c>
      <c r="P675" s="43" t="inlineStr">
        <is>
          <t>Pending Review</t>
        </is>
      </c>
      <c r="Q675" s="33" t="inlineStr">
        <is>
          <t>Confirmar SKU/PCBA revision, PN exacto en Common DB, WO, BU, vigencia, planta y aprobacion firmada.</t>
        </is>
      </c>
    </row>
    <row r="676">
      <c r="A676" s="43" t="inlineStr">
        <is>
          <t>CTANJZ04967</t>
        </is>
      </c>
      <c r="B676" s="43" t="inlineStr">
        <is>
          <t>D607705</t>
        </is>
      </c>
      <c r="C676" s="43" t="inlineStr">
        <is>
          <t>037-STBU</t>
        </is>
      </c>
      <c r="D676" s="43" t="inlineStr">
        <is>
          <t>FJZP</t>
        </is>
      </c>
      <c r="E676" s="43" t="inlineStr">
        <is>
          <t>MCGA</t>
        </is>
      </c>
      <c r="F676" s="43" t="inlineStr">
        <is>
          <t>700-138393-01</t>
        </is>
      </c>
      <c r="G676" s="43" t="inlineStr">
        <is>
          <t>OTHER_SCOPE_ITEM</t>
        </is>
      </c>
      <c r="H676" s="43" t="inlineStr"/>
      <c r="I676" s="43" t="inlineStr">
        <is>
          <t>Expired</t>
        </is>
      </c>
      <c r="J676" s="32" t="n">
        <v>46069</v>
      </c>
      <c r="K676" s="32" t="n">
        <v>46035</v>
      </c>
      <c r="L676" s="43" t="inlineStr">
        <is>
          <t>152</t>
        </is>
      </c>
      <c r="M676" s="43" t="n">
        <v>1</v>
      </c>
      <c r="N676" s="33" t="inlineStr"/>
      <c r="O676" s="43" t="inlineStr">
        <is>
          <t>UNVERIFIED</t>
        </is>
      </c>
      <c r="P676" s="43" t="inlineStr">
        <is>
          <t>Pending Review</t>
        </is>
      </c>
      <c r="Q676" s="33" t="inlineStr">
        <is>
          <t>Confirmar SKU/PCBA revision, PN exacto en Common DB, WO, BU, vigencia, planta y aprobacion firmada.</t>
        </is>
      </c>
    </row>
    <row r="677">
      <c r="A677" s="43" t="inlineStr">
        <is>
          <t>CTANJZ04967</t>
        </is>
      </c>
      <c r="B677" s="43" t="inlineStr">
        <is>
          <t>D607705</t>
        </is>
      </c>
      <c r="C677" s="43" t="inlineStr">
        <is>
          <t>037-STBU</t>
        </is>
      </c>
      <c r="D677" s="43" t="inlineStr">
        <is>
          <t>FJZP</t>
        </is>
      </c>
      <c r="E677" s="43" t="inlineStr">
        <is>
          <t>MCGA</t>
        </is>
      </c>
      <c r="F677" s="43" t="inlineStr">
        <is>
          <t>73-103558-04</t>
        </is>
      </c>
      <c r="G677" s="43" t="inlineStr">
        <is>
          <t>BOARD_PN_CANDIDATE</t>
        </is>
      </c>
      <c r="H677" s="43" t="inlineStr"/>
      <c r="I677" s="43" t="inlineStr">
        <is>
          <t>Expired</t>
        </is>
      </c>
      <c r="J677" s="32" t="n">
        <v>46069</v>
      </c>
      <c r="K677" s="32" t="n">
        <v>46035</v>
      </c>
      <c r="L677" s="43" t="inlineStr">
        <is>
          <t>153</t>
        </is>
      </c>
      <c r="M677" s="43" t="n">
        <v>1</v>
      </c>
      <c r="N677" s="33" t="inlineStr"/>
      <c r="O677" s="43" t="inlineStr">
        <is>
          <t>UNVERIFIED</t>
        </is>
      </c>
      <c r="P677" s="43" t="inlineStr">
        <is>
          <t>Pending Review</t>
        </is>
      </c>
      <c r="Q677" s="33" t="inlineStr">
        <is>
          <t>Confirmar SKU/PCBA revision, PN exacto en Common DB, WO, BU, vigencia, planta y aprobacion firmada.</t>
        </is>
      </c>
    </row>
    <row r="678">
      <c r="A678" s="43" t="inlineStr">
        <is>
          <t>CTANJZ04967</t>
        </is>
      </c>
      <c r="B678" s="43" t="inlineStr">
        <is>
          <t>D607705</t>
        </is>
      </c>
      <c r="C678" s="43" t="inlineStr">
        <is>
          <t>037-STBU</t>
        </is>
      </c>
      <c r="D678" s="43" t="inlineStr">
        <is>
          <t>FJZP</t>
        </is>
      </c>
      <c r="E678" s="43" t="inlineStr">
        <is>
          <t>MCGA</t>
        </is>
      </c>
      <c r="F678" s="43" t="inlineStr">
        <is>
          <t>73-103633-04</t>
        </is>
      </c>
      <c r="G678" s="43" t="inlineStr">
        <is>
          <t>BOARD_PN_CANDIDATE</t>
        </is>
      </c>
      <c r="H678" s="43" t="inlineStr"/>
      <c r="I678" s="43" t="inlineStr">
        <is>
          <t>Expired</t>
        </is>
      </c>
      <c r="J678" s="32" t="n">
        <v>46069</v>
      </c>
      <c r="K678" s="32" t="n">
        <v>46035</v>
      </c>
      <c r="L678" s="43" t="inlineStr">
        <is>
          <t>154</t>
        </is>
      </c>
      <c r="M678" s="43" t="n">
        <v>1</v>
      </c>
      <c r="N678" s="33" t="inlineStr"/>
      <c r="O678" s="43" t="inlineStr">
        <is>
          <t>UNVERIFIED</t>
        </is>
      </c>
      <c r="P678" s="43" t="inlineStr">
        <is>
          <t>Pending Review</t>
        </is>
      </c>
      <c r="Q678" s="33" t="inlineStr">
        <is>
          <t>Confirmar SKU/PCBA revision, PN exacto en Common DB, WO, BU, vigencia, planta y aprobacion firmada.</t>
        </is>
      </c>
    </row>
    <row r="679">
      <c r="A679" s="43" t="inlineStr">
        <is>
          <t>CTANJZ04968</t>
        </is>
      </c>
      <c r="B679" s="43" t="inlineStr">
        <is>
          <t>D607803</t>
        </is>
      </c>
      <c r="C679" s="43" t="inlineStr">
        <is>
          <t>018-SRGBU</t>
        </is>
      </c>
      <c r="D679" s="43" t="inlineStr">
        <is>
          <t>FJZP</t>
        </is>
      </c>
      <c r="E679" s="43" t="inlineStr">
        <is>
          <t>MCGA</t>
        </is>
      </c>
      <c r="F679" s="43" t="inlineStr">
        <is>
          <t>800-50273-01</t>
        </is>
      </c>
      <c r="G679" s="43" t="inlineStr">
        <is>
          <t>OTHER_SCOPE_ITEM</t>
        </is>
      </c>
      <c r="H679" s="43" t="inlineStr"/>
      <c r="I679" s="43" t="inlineStr">
        <is>
          <t>Expired</t>
        </is>
      </c>
      <c r="J679" s="32" t="n">
        <v>46069</v>
      </c>
      <c r="K679" s="32" t="n">
        <v>45982</v>
      </c>
      <c r="L679" s="43" t="inlineStr">
        <is>
          <t>945</t>
        </is>
      </c>
      <c r="M679" s="43" t="n">
        <v>1</v>
      </c>
      <c r="N679" s="33" t="inlineStr"/>
      <c r="O679" s="43" t="inlineStr">
        <is>
          <t>UNVERIFIED</t>
        </is>
      </c>
      <c r="P679" s="43" t="inlineStr">
        <is>
          <t>Pending Review</t>
        </is>
      </c>
      <c r="Q679" s="33" t="inlineStr">
        <is>
          <t>Confirmar SKU/PCBA revision, PN exacto en Common DB, WO, BU, vigencia, planta y aprobacion firmada.</t>
        </is>
      </c>
    </row>
    <row r="680">
      <c r="A680" s="43" t="inlineStr">
        <is>
          <t>CTANJZ04972</t>
        </is>
      </c>
      <c r="B680" s="43" t="inlineStr">
        <is>
          <t>D607766</t>
        </is>
      </c>
      <c r="C680" s="43" t="inlineStr">
        <is>
          <t>018-SRGBU</t>
        </is>
      </c>
      <c r="D680" s="43" t="inlineStr">
        <is>
          <t>FJZP</t>
        </is>
      </c>
      <c r="E680" s="43" t="inlineStr">
        <is>
          <t>MCGA</t>
        </is>
      </c>
      <c r="F680" s="43" t="inlineStr">
        <is>
          <t>74-133408-02</t>
        </is>
      </c>
      <c r="G680" s="43" t="inlineStr">
        <is>
          <t>OTHER_SCOPE_ITEM</t>
        </is>
      </c>
      <c r="H680" s="43" t="inlineStr">
        <is>
          <t>ARATA</t>
        </is>
      </c>
      <c r="I680" s="43" t="inlineStr">
        <is>
          <t>Expired</t>
        </is>
      </c>
      <c r="J680" s="32" t="n">
        <v>46070</v>
      </c>
      <c r="K680" s="32" t="n">
        <v>45994</v>
      </c>
      <c r="L680" s="43" t="inlineStr">
        <is>
          <t>946</t>
        </is>
      </c>
      <c r="M680" s="43" t="n">
        <v>1</v>
      </c>
      <c r="N680" s="33" t="inlineStr"/>
      <c r="O680" s="43" t="inlineStr">
        <is>
          <t>UNVERIFIED</t>
        </is>
      </c>
      <c r="P680" s="43" t="inlineStr">
        <is>
          <t>Pending Review</t>
        </is>
      </c>
      <c r="Q680" s="33" t="inlineStr">
        <is>
          <t>Confirmar SKU/PCBA revision, PN exacto en Common DB, WO, BU, vigencia, planta y aprobacion firmada.</t>
        </is>
      </c>
    </row>
    <row r="681">
      <c r="A681" s="43" t="inlineStr">
        <is>
          <t>CTANJZ04972</t>
        </is>
      </c>
      <c r="B681" s="43" t="inlineStr">
        <is>
          <t>D607766</t>
        </is>
      </c>
      <c r="C681" s="43" t="inlineStr">
        <is>
          <t>018-SRGBU</t>
        </is>
      </c>
      <c r="D681" s="43" t="inlineStr">
        <is>
          <t>FJZP</t>
        </is>
      </c>
      <c r="E681" s="43" t="inlineStr">
        <is>
          <t>MCGA</t>
        </is>
      </c>
      <c r="F681" s="43" t="inlineStr">
        <is>
          <t>74-134702-02</t>
        </is>
      </c>
      <c r="G681" s="43" t="inlineStr">
        <is>
          <t>OTHER_SCOPE_ITEM</t>
        </is>
      </c>
      <c r="H681" s="43" t="inlineStr"/>
      <c r="I681" s="43" t="inlineStr">
        <is>
          <t>Expired</t>
        </is>
      </c>
      <c r="J681" s="32" t="n">
        <v>46070</v>
      </c>
      <c r="K681" s="32" t="n">
        <v>45994</v>
      </c>
      <c r="L681" s="43" t="inlineStr">
        <is>
          <t>947</t>
        </is>
      </c>
      <c r="M681" s="43" t="n">
        <v>1</v>
      </c>
      <c r="N681" s="33" t="inlineStr"/>
      <c r="O681" s="43" t="inlineStr">
        <is>
          <t>UNVERIFIED</t>
        </is>
      </c>
      <c r="P681" s="43" t="inlineStr">
        <is>
          <t>Pending Review</t>
        </is>
      </c>
      <c r="Q681" s="33" t="inlineStr">
        <is>
          <t>Confirmar SKU/PCBA revision, PN exacto en Common DB, WO, BU, vigencia, planta y aprobacion firmada.</t>
        </is>
      </c>
    </row>
    <row r="682">
      <c r="A682" s="43" t="inlineStr">
        <is>
          <t>CTANJZ04973</t>
        </is>
      </c>
      <c r="B682" s="43" t="inlineStr">
        <is>
          <t>D607838</t>
        </is>
      </c>
      <c r="C682" s="43" t="inlineStr">
        <is>
          <t>018-SRGBU</t>
        </is>
      </c>
      <c r="D682" s="43" t="inlineStr">
        <is>
          <t>FJZP</t>
        </is>
      </c>
      <c r="E682" s="43" t="inlineStr">
        <is>
          <t>MCGA</t>
        </is>
      </c>
      <c r="F682" s="43" t="inlineStr">
        <is>
          <t>15-106360-01</t>
        </is>
      </c>
      <c r="G682" s="43" t="inlineStr">
        <is>
          <t>OTHER_SCOPE_ITEM</t>
        </is>
      </c>
      <c r="H682" s="43" t="inlineStr"/>
      <c r="I682" s="43" t="inlineStr">
        <is>
          <t>Expired</t>
        </is>
      </c>
      <c r="J682" s="32" t="n">
        <v>46071</v>
      </c>
      <c r="K682" s="32" t="n">
        <v>46000</v>
      </c>
      <c r="L682" s="43" t="inlineStr">
        <is>
          <t>948</t>
        </is>
      </c>
      <c r="M682" s="43" t="n">
        <v>1</v>
      </c>
      <c r="N682" s="33" t="inlineStr"/>
      <c r="O682" s="43" t="inlineStr">
        <is>
          <t>UNVERIFIED</t>
        </is>
      </c>
      <c r="P682" s="43" t="inlineStr">
        <is>
          <t>Pending Review</t>
        </is>
      </c>
      <c r="Q682" s="33" t="inlineStr">
        <is>
          <t>Confirmar SKU/PCBA revision, PN exacto en Common DB, WO, BU, vigencia, planta y aprobacion firmada.</t>
        </is>
      </c>
    </row>
    <row r="683">
      <c r="A683" s="43" t="inlineStr">
        <is>
          <t>CTANJZ04980</t>
        </is>
      </c>
      <c r="B683" s="43" t="inlineStr">
        <is>
          <t>D607758</t>
        </is>
      </c>
      <c r="C683" s="43" t="inlineStr">
        <is>
          <t>018-SRGBU</t>
        </is>
      </c>
      <c r="D683" s="43" t="inlineStr">
        <is>
          <t>FJZP</t>
        </is>
      </c>
      <c r="E683" s="43" t="inlineStr">
        <is>
          <t>MCGA</t>
        </is>
      </c>
      <c r="F683" s="43" t="inlineStr">
        <is>
          <t>800-49952-02</t>
        </is>
      </c>
      <c r="G683" s="43" t="inlineStr">
        <is>
          <t>OTHER_SCOPE_ITEM</t>
        </is>
      </c>
      <c r="H683" s="43" t="inlineStr"/>
      <c r="I683" s="43" t="inlineStr">
        <is>
          <t>Expired</t>
        </is>
      </c>
      <c r="J683" s="32" t="n">
        <v>46076</v>
      </c>
      <c r="K683" s="32" t="n">
        <v>46000</v>
      </c>
      <c r="L683" s="43" t="inlineStr">
        <is>
          <t>918</t>
        </is>
      </c>
      <c r="M683" s="43" t="n">
        <v>1</v>
      </c>
      <c r="N683" s="33" t="inlineStr"/>
      <c r="O683" s="43" t="inlineStr">
        <is>
          <t>UNVERIFIED</t>
        </is>
      </c>
      <c r="P683" s="43" t="inlineStr">
        <is>
          <t>Pending Review</t>
        </is>
      </c>
      <c r="Q683" s="33" t="inlineStr">
        <is>
          <t>Confirmar SKU/PCBA revision, PN exacto en Common DB, WO, BU, vigencia, planta y aprobacion firmada.</t>
        </is>
      </c>
    </row>
    <row r="684">
      <c r="A684" s="43" t="inlineStr">
        <is>
          <t>CTANJZ04981</t>
        </is>
      </c>
      <c r="B684" s="43" t="inlineStr">
        <is>
          <t>D607861</t>
        </is>
      </c>
      <c r="C684" s="43" t="inlineStr">
        <is>
          <t>037-STBU</t>
        </is>
      </c>
      <c r="D684" s="43" t="inlineStr">
        <is>
          <t>FJZP</t>
        </is>
      </c>
      <c r="E684" s="43" t="inlineStr">
        <is>
          <t>MCGA</t>
        </is>
      </c>
      <c r="F684" s="43" t="inlineStr">
        <is>
          <t>15-103921-01</t>
        </is>
      </c>
      <c r="G684" s="43" t="inlineStr">
        <is>
          <t>OTHER_SCOPE_ITEM</t>
        </is>
      </c>
      <c r="H684" s="43" t="inlineStr"/>
      <c r="I684" s="43" t="inlineStr">
        <is>
          <t>Expired</t>
        </is>
      </c>
      <c r="J684" s="32" t="n">
        <v>46076</v>
      </c>
      <c r="K684" s="32" t="n">
        <v>46036</v>
      </c>
      <c r="L684" s="43" t="inlineStr">
        <is>
          <t>919</t>
        </is>
      </c>
      <c r="M684" s="43" t="n">
        <v>1</v>
      </c>
      <c r="N684" s="33" t="inlineStr"/>
      <c r="O684" s="43" t="inlineStr">
        <is>
          <t>UNVERIFIED</t>
        </is>
      </c>
      <c r="P684" s="43" t="inlineStr">
        <is>
          <t>Pending Review</t>
        </is>
      </c>
      <c r="Q684" s="33" t="inlineStr">
        <is>
          <t>Confirmar SKU/PCBA revision, PN exacto en Common DB, WO, BU, vigencia, planta y aprobacion firmada.</t>
        </is>
      </c>
    </row>
    <row r="685">
      <c r="A685" s="43" t="inlineStr">
        <is>
          <t>CTANJZ04981</t>
        </is>
      </c>
      <c r="B685" s="43" t="inlineStr">
        <is>
          <t>D607861</t>
        </is>
      </c>
      <c r="C685" s="43" t="inlineStr">
        <is>
          <t>037-STBU</t>
        </is>
      </c>
      <c r="D685" s="43" t="inlineStr">
        <is>
          <t>FJZP</t>
        </is>
      </c>
      <c r="E685" s="43" t="inlineStr">
        <is>
          <t>MCGA</t>
        </is>
      </c>
      <c r="F685" s="43" t="inlineStr">
        <is>
          <t>15-105514-01</t>
        </is>
      </c>
      <c r="G685" s="43" t="inlineStr">
        <is>
          <t>OTHER_SCOPE_ITEM</t>
        </is>
      </c>
      <c r="H685" s="43" t="inlineStr"/>
      <c r="I685" s="43" t="inlineStr">
        <is>
          <t>Expired</t>
        </is>
      </c>
      <c r="J685" s="32" t="n">
        <v>46076</v>
      </c>
      <c r="K685" s="32" t="n">
        <v>46036</v>
      </c>
      <c r="L685" s="43" t="inlineStr">
        <is>
          <t>920</t>
        </is>
      </c>
      <c r="M685" s="43" t="n">
        <v>1</v>
      </c>
      <c r="N685" s="33" t="inlineStr"/>
      <c r="O685" s="43" t="inlineStr">
        <is>
          <t>UNVERIFIED</t>
        </is>
      </c>
      <c r="P685" s="43" t="inlineStr">
        <is>
          <t>Pending Review</t>
        </is>
      </c>
      <c r="Q685" s="33" t="inlineStr">
        <is>
          <t>Confirmar SKU/PCBA revision, PN exacto en Common DB, WO, BU, vigencia, planta y aprobacion firmada.</t>
        </is>
      </c>
    </row>
    <row r="686">
      <c r="A686" s="43" t="inlineStr">
        <is>
          <t>CTANJZ04981</t>
        </is>
      </c>
      <c r="B686" s="43" t="inlineStr">
        <is>
          <t>D607861</t>
        </is>
      </c>
      <c r="C686" s="43" t="inlineStr">
        <is>
          <t>037-STBU</t>
        </is>
      </c>
      <c r="D686" s="43" t="inlineStr">
        <is>
          <t>FJZP</t>
        </is>
      </c>
      <c r="E686" s="43" t="inlineStr">
        <is>
          <t>MCGA</t>
        </is>
      </c>
      <c r="F686" s="43" t="inlineStr">
        <is>
          <t>15-105515-01</t>
        </is>
      </c>
      <c r="G686" s="43" t="inlineStr">
        <is>
          <t>OTHER_SCOPE_ITEM</t>
        </is>
      </c>
      <c r="H686" s="43" t="inlineStr"/>
      <c r="I686" s="43" t="inlineStr">
        <is>
          <t>Expired</t>
        </is>
      </c>
      <c r="J686" s="32" t="n">
        <v>46076</v>
      </c>
      <c r="K686" s="32" t="n">
        <v>46036</v>
      </c>
      <c r="L686" s="43" t="inlineStr">
        <is>
          <t>921</t>
        </is>
      </c>
      <c r="M686" s="43" t="n">
        <v>1</v>
      </c>
      <c r="N686" s="33" t="inlineStr"/>
      <c r="O686" s="43" t="inlineStr">
        <is>
          <t>UNVERIFIED</t>
        </is>
      </c>
      <c r="P686" s="43" t="inlineStr">
        <is>
          <t>Pending Review</t>
        </is>
      </c>
      <c r="Q686" s="33" t="inlineStr">
        <is>
          <t>Confirmar SKU/PCBA revision, PN exacto en Common DB, WO, BU, vigencia, planta y aprobacion firmada.</t>
        </is>
      </c>
    </row>
    <row r="687">
      <c r="A687" s="43" t="inlineStr">
        <is>
          <t>CTANJZ04981</t>
        </is>
      </c>
      <c r="B687" s="43" t="inlineStr">
        <is>
          <t>D607861</t>
        </is>
      </c>
      <c r="C687" s="43" t="inlineStr">
        <is>
          <t>037-STBU</t>
        </is>
      </c>
      <c r="D687" s="43" t="inlineStr">
        <is>
          <t>FJZP</t>
        </is>
      </c>
      <c r="E687" s="43" t="inlineStr">
        <is>
          <t>MCGA</t>
        </is>
      </c>
      <c r="F687" s="43" t="inlineStr">
        <is>
          <t>15-106360-01</t>
        </is>
      </c>
      <c r="G687" s="43" t="inlineStr">
        <is>
          <t>OTHER_SCOPE_ITEM</t>
        </is>
      </c>
      <c r="H687" s="43" t="inlineStr"/>
      <c r="I687" s="43" t="inlineStr">
        <is>
          <t>Expired</t>
        </is>
      </c>
      <c r="J687" s="32" t="n">
        <v>46076</v>
      </c>
      <c r="K687" s="32" t="n">
        <v>46036</v>
      </c>
      <c r="L687" s="43" t="inlineStr">
        <is>
          <t>922</t>
        </is>
      </c>
      <c r="M687" s="43" t="n">
        <v>1</v>
      </c>
      <c r="N687" s="33" t="inlineStr"/>
      <c r="O687" s="43" t="inlineStr">
        <is>
          <t>UNVERIFIED</t>
        </is>
      </c>
      <c r="P687" s="43" t="inlineStr">
        <is>
          <t>Pending Review</t>
        </is>
      </c>
      <c r="Q687" s="33" t="inlineStr">
        <is>
          <t>Confirmar SKU/PCBA revision, PN exacto en Common DB, WO, BU, vigencia, planta y aprobacion firmada.</t>
        </is>
      </c>
    </row>
    <row r="688">
      <c r="A688" s="43" t="inlineStr">
        <is>
          <t>CTANJZ04981</t>
        </is>
      </c>
      <c r="B688" s="43" t="inlineStr">
        <is>
          <t>D607861</t>
        </is>
      </c>
      <c r="C688" s="43" t="inlineStr">
        <is>
          <t>037-STBU</t>
        </is>
      </c>
      <c r="D688" s="43" t="inlineStr">
        <is>
          <t>FJZP</t>
        </is>
      </c>
      <c r="E688" s="43" t="inlineStr">
        <is>
          <t>MCGA</t>
        </is>
      </c>
      <c r="F688" s="43" t="inlineStr">
        <is>
          <t>15-106779-01</t>
        </is>
      </c>
      <c r="G688" s="43" t="inlineStr">
        <is>
          <t>OTHER_SCOPE_ITEM</t>
        </is>
      </c>
      <c r="H688" s="43" t="inlineStr"/>
      <c r="I688" s="43" t="inlineStr">
        <is>
          <t>Expired</t>
        </is>
      </c>
      <c r="J688" s="32" t="n">
        <v>46076</v>
      </c>
      <c r="K688" s="32" t="n">
        <v>46036</v>
      </c>
      <c r="L688" s="43" t="inlineStr">
        <is>
          <t>923</t>
        </is>
      </c>
      <c r="M688" s="43" t="n">
        <v>1</v>
      </c>
      <c r="N688" s="33" t="inlineStr"/>
      <c r="O688" s="43" t="inlineStr">
        <is>
          <t>UNVERIFIED</t>
        </is>
      </c>
      <c r="P688" s="43" t="inlineStr">
        <is>
          <t>Pending Review</t>
        </is>
      </c>
      <c r="Q688" s="33" t="inlineStr">
        <is>
          <t>Confirmar SKU/PCBA revision, PN exacto en Common DB, WO, BU, vigencia, planta y aprobacion firmada.</t>
        </is>
      </c>
    </row>
    <row r="689">
      <c r="A689" s="43" t="inlineStr">
        <is>
          <t>CTANJZ04981</t>
        </is>
      </c>
      <c r="B689" s="43" t="inlineStr">
        <is>
          <t>D607861</t>
        </is>
      </c>
      <c r="C689" s="43" t="inlineStr">
        <is>
          <t>037-STBU</t>
        </is>
      </c>
      <c r="D689" s="43" t="inlineStr">
        <is>
          <t>FJZP</t>
        </is>
      </c>
      <c r="E689" s="43" t="inlineStr">
        <is>
          <t>MCGA</t>
        </is>
      </c>
      <c r="F689" s="43" t="inlineStr">
        <is>
          <t>73-102433-05</t>
        </is>
      </c>
      <c r="G689" s="43" t="inlineStr">
        <is>
          <t>BOARD_PN_CANDIDATE</t>
        </is>
      </c>
      <c r="H689" s="43" t="inlineStr"/>
      <c r="I689" s="43" t="inlineStr">
        <is>
          <t>Expired</t>
        </is>
      </c>
      <c r="J689" s="32" t="n">
        <v>46076</v>
      </c>
      <c r="K689" s="32" t="n">
        <v>46036</v>
      </c>
      <c r="L689" s="43" t="inlineStr">
        <is>
          <t>924</t>
        </is>
      </c>
      <c r="M689" s="43" t="n">
        <v>1</v>
      </c>
      <c r="N689" s="33" t="inlineStr"/>
      <c r="O689" s="43" t="inlineStr">
        <is>
          <t>UNVERIFIED</t>
        </is>
      </c>
      <c r="P689" s="43" t="inlineStr">
        <is>
          <t>Pending Review</t>
        </is>
      </c>
      <c r="Q689" s="33" t="inlineStr">
        <is>
          <t>Confirmar SKU/PCBA revision, PN exacto en Common DB, WO, BU, vigencia, planta y aprobacion firmada.</t>
        </is>
      </c>
    </row>
    <row r="690">
      <c r="A690" s="43" t="inlineStr">
        <is>
          <t>CTANJZ04981</t>
        </is>
      </c>
      <c r="B690" s="43" t="inlineStr">
        <is>
          <t>D607861</t>
        </is>
      </c>
      <c r="C690" s="43" t="inlineStr">
        <is>
          <t>037-STBU</t>
        </is>
      </c>
      <c r="D690" s="43" t="inlineStr">
        <is>
          <t>FJZP</t>
        </is>
      </c>
      <c r="E690" s="43" t="inlineStr">
        <is>
          <t>MCGA</t>
        </is>
      </c>
      <c r="F690" s="43" t="inlineStr">
        <is>
          <t>73-20249-06</t>
        </is>
      </c>
      <c r="G690" s="43" t="inlineStr">
        <is>
          <t>BOARD_PN_CANDIDATE</t>
        </is>
      </c>
      <c r="H690" s="43" t="inlineStr">
        <is>
          <t>TUFNELL PARK</t>
        </is>
      </c>
      <c r="I690" s="43" t="inlineStr">
        <is>
          <t>Expired</t>
        </is>
      </c>
      <c r="J690" s="32" t="n">
        <v>46076</v>
      </c>
      <c r="K690" s="32" t="n">
        <v>46036</v>
      </c>
      <c r="L690" s="43" t="inlineStr">
        <is>
          <t>986</t>
        </is>
      </c>
      <c r="M690" s="43" t="n">
        <v>1</v>
      </c>
      <c r="N690" s="33" t="inlineStr"/>
      <c r="O690" s="43" t="inlineStr">
        <is>
          <t>UNVERIFIED</t>
        </is>
      </c>
      <c r="P690" s="43" t="inlineStr">
        <is>
          <t>Pending Review</t>
        </is>
      </c>
      <c r="Q690" s="33" t="inlineStr">
        <is>
          <t>Confirmar SKU/PCBA revision, PN exacto en Common DB, WO, BU, vigencia, planta y aprobacion firmada.</t>
        </is>
      </c>
    </row>
    <row r="691">
      <c r="A691" s="43" t="inlineStr">
        <is>
          <t>CTANJZ04983</t>
        </is>
      </c>
      <c r="B691" s="43" t="inlineStr">
        <is>
          <t>D607949</t>
        </is>
      </c>
      <c r="C691" s="43" t="inlineStr">
        <is>
          <t>018-SRGBU</t>
        </is>
      </c>
      <c r="D691" s="43" t="inlineStr">
        <is>
          <t>FJZP</t>
        </is>
      </c>
      <c r="E691" s="43" t="inlineStr">
        <is>
          <t>MCGA</t>
        </is>
      </c>
      <c r="F691" s="43" t="inlineStr">
        <is>
          <t>16-102060-01</t>
        </is>
      </c>
      <c r="G691" s="43" t="inlineStr">
        <is>
          <t>OTHER_SCOPE_ITEM</t>
        </is>
      </c>
      <c r="H691" s="43" t="inlineStr"/>
      <c r="I691" s="43" t="inlineStr">
        <is>
          <t>Expired</t>
        </is>
      </c>
      <c r="J691" s="32" t="n">
        <v>46077</v>
      </c>
      <c r="K691" s="32" t="n">
        <v>46000</v>
      </c>
      <c r="L691" s="43" t="inlineStr">
        <is>
          <t>442</t>
        </is>
      </c>
      <c r="M691" s="43" t="n">
        <v>1</v>
      </c>
      <c r="N691" s="33" t="inlineStr"/>
      <c r="O691" s="43" t="inlineStr">
        <is>
          <t>UNVERIFIED</t>
        </is>
      </c>
      <c r="P691" s="43" t="inlineStr">
        <is>
          <t>Pending Review</t>
        </is>
      </c>
      <c r="Q691" s="33" t="inlineStr">
        <is>
          <t>Confirmar SKU/PCBA revision, PN exacto en Common DB, WO, BU, vigencia, planta y aprobacion firmada.</t>
        </is>
      </c>
    </row>
    <row r="692">
      <c r="A692" s="43" t="inlineStr">
        <is>
          <t>CTANJZ04983</t>
        </is>
      </c>
      <c r="B692" s="43" t="inlineStr">
        <is>
          <t>D607949</t>
        </is>
      </c>
      <c r="C692" s="43" t="inlineStr">
        <is>
          <t>018-SRGBU</t>
        </is>
      </c>
      <c r="D692" s="43" t="inlineStr">
        <is>
          <t>FJZP</t>
        </is>
      </c>
      <c r="E692" s="43" t="inlineStr">
        <is>
          <t>MCGA</t>
        </is>
      </c>
      <c r="F692" s="43" t="inlineStr">
        <is>
          <t>800-50422-02</t>
        </is>
      </c>
      <c r="G692" s="43" t="inlineStr">
        <is>
          <t>OTHER_SCOPE_ITEM</t>
        </is>
      </c>
      <c r="H692" s="43" t="inlineStr"/>
      <c r="I692" s="43" t="inlineStr">
        <is>
          <t>Expired</t>
        </is>
      </c>
      <c r="J692" s="32" t="n">
        <v>46077</v>
      </c>
      <c r="K692" s="32" t="n">
        <v>46000</v>
      </c>
      <c r="L692" s="43" t="inlineStr">
        <is>
          <t>443</t>
        </is>
      </c>
      <c r="M692" s="43" t="n">
        <v>1</v>
      </c>
      <c r="N692" s="33" t="inlineStr"/>
      <c r="O692" s="43" t="inlineStr">
        <is>
          <t>UNVERIFIED</t>
        </is>
      </c>
      <c r="P692" s="43" t="inlineStr">
        <is>
          <t>Pending Review</t>
        </is>
      </c>
      <c r="Q692" s="33" t="inlineStr">
        <is>
          <t>Confirmar SKU/PCBA revision, PN exacto en Common DB, WO, BU, vigencia, planta y aprobacion firmada.</t>
        </is>
      </c>
    </row>
    <row r="693">
      <c r="A693" s="43" t="inlineStr">
        <is>
          <t>CTANJZ04984</t>
        </is>
      </c>
      <c r="B693" s="43" t="inlineStr">
        <is>
          <t>D604760</t>
        </is>
      </c>
      <c r="C693" s="43" t="inlineStr">
        <is>
          <t>035-CVEBU</t>
        </is>
      </c>
      <c r="D693" s="43" t="inlineStr">
        <is>
          <t>FJZP</t>
        </is>
      </c>
      <c r="E693" s="43" t="inlineStr">
        <is>
          <t>MCGA</t>
        </is>
      </c>
      <c r="F693" s="43" t="inlineStr">
        <is>
          <t>341-100574-01</t>
        </is>
      </c>
      <c r="G693" s="43" t="inlineStr">
        <is>
          <t>OTHER_SCOPE_ITEM</t>
        </is>
      </c>
      <c r="H693" s="43" t="inlineStr"/>
      <c r="I693" s="43" t="inlineStr">
        <is>
          <t>Expired</t>
        </is>
      </c>
      <c r="J693" s="32" t="n">
        <v>46077</v>
      </c>
      <c r="K693" s="32" t="n">
        <v>46000</v>
      </c>
      <c r="L693" s="43" t="inlineStr">
        <is>
          <t>987</t>
        </is>
      </c>
      <c r="M693" s="43" t="n">
        <v>1</v>
      </c>
      <c r="N693" s="33" t="inlineStr"/>
      <c r="O693" s="43" t="inlineStr">
        <is>
          <t>UNVERIFIED</t>
        </is>
      </c>
      <c r="P693" s="43" t="inlineStr">
        <is>
          <t>Pending Review</t>
        </is>
      </c>
      <c r="Q693" s="33" t="inlineStr">
        <is>
          <t>Confirmar SKU/PCBA revision, PN exacto en Common DB, WO, BU, vigencia, planta y aprobacion firmada.</t>
        </is>
      </c>
    </row>
    <row r="694">
      <c r="A694" s="43" t="inlineStr">
        <is>
          <t>CTANJZ04990</t>
        </is>
      </c>
      <c r="B694" s="43" t="inlineStr">
        <is>
          <t>D607247</t>
        </is>
      </c>
      <c r="C694" s="43" t="inlineStr">
        <is>
          <t>018-SRGBU</t>
        </is>
      </c>
      <c r="D694" s="43" t="inlineStr">
        <is>
          <t>FJZP</t>
        </is>
      </c>
      <c r="E694" s="43" t="inlineStr">
        <is>
          <t>MCGA</t>
        </is>
      </c>
      <c r="F694" s="43" t="inlineStr">
        <is>
          <t>73-21204-06</t>
        </is>
      </c>
      <c r="G694" s="43" t="inlineStr">
        <is>
          <t>BOARD_PN_CANDIDATE</t>
        </is>
      </c>
      <c r="H694" s="43" t="inlineStr"/>
      <c r="I694" s="43" t="inlineStr">
        <is>
          <t>Expired</t>
        </is>
      </c>
      <c r="J694" s="32" t="n">
        <v>46079</v>
      </c>
      <c r="K694" s="32" t="n">
        <v>46000</v>
      </c>
      <c r="L694" s="43" t="inlineStr">
        <is>
          <t>988</t>
        </is>
      </c>
      <c r="M694" s="43" t="n">
        <v>1</v>
      </c>
      <c r="N694" s="33" t="inlineStr"/>
      <c r="O694" s="43" t="inlineStr">
        <is>
          <t>UNVERIFIED</t>
        </is>
      </c>
      <c r="P694" s="43" t="inlineStr">
        <is>
          <t>Pending Review</t>
        </is>
      </c>
      <c r="Q694" s="33" t="inlineStr">
        <is>
          <t>Confirmar SKU/PCBA revision, PN exacto en Common DB, WO, BU, vigencia, planta y aprobacion firmada.</t>
        </is>
      </c>
    </row>
    <row r="695">
      <c r="A695" s="43" t="inlineStr">
        <is>
          <t>CTANJZ04990</t>
        </is>
      </c>
      <c r="B695" s="43" t="inlineStr">
        <is>
          <t>D607247</t>
        </is>
      </c>
      <c r="C695" s="43" t="inlineStr">
        <is>
          <t>018-SRGBU</t>
        </is>
      </c>
      <c r="D695" s="43" t="inlineStr">
        <is>
          <t>FJZP</t>
        </is>
      </c>
      <c r="E695" s="43" t="inlineStr">
        <is>
          <t>MCGA</t>
        </is>
      </c>
      <c r="F695" s="43" t="inlineStr">
        <is>
          <t>73-21231-05</t>
        </is>
      </c>
      <c r="G695" s="43" t="inlineStr">
        <is>
          <t>BOARD_PN_CANDIDATE</t>
        </is>
      </c>
      <c r="H695" s="43" t="inlineStr">
        <is>
          <t>CHARON</t>
        </is>
      </c>
      <c r="I695" s="43" t="inlineStr">
        <is>
          <t>Expired</t>
        </is>
      </c>
      <c r="J695" s="32" t="n">
        <v>46079</v>
      </c>
      <c r="K695" s="32" t="n">
        <v>46000</v>
      </c>
      <c r="L695" s="43" t="inlineStr">
        <is>
          <t>989</t>
        </is>
      </c>
      <c r="M695" s="43" t="n">
        <v>1</v>
      </c>
      <c r="N695" s="33" t="inlineStr"/>
      <c r="O695" s="43" t="inlineStr">
        <is>
          <t>UNVERIFIED</t>
        </is>
      </c>
      <c r="P695" s="43" t="inlineStr">
        <is>
          <t>Pending Review</t>
        </is>
      </c>
      <c r="Q695" s="33" t="inlineStr">
        <is>
          <t>Confirmar SKU/PCBA revision, PN exacto en Common DB, WO, BU, vigencia, planta y aprobacion firmada.</t>
        </is>
      </c>
    </row>
    <row r="696">
      <c r="A696" s="43" t="inlineStr">
        <is>
          <t>CTANJZ04990</t>
        </is>
      </c>
      <c r="B696" s="43" t="inlineStr">
        <is>
          <t>D607247</t>
        </is>
      </c>
      <c r="C696" s="43" t="inlineStr">
        <is>
          <t>018-SRGBU</t>
        </is>
      </c>
      <c r="D696" s="43" t="inlineStr">
        <is>
          <t>FJZP</t>
        </is>
      </c>
      <c r="E696" s="43" t="inlineStr">
        <is>
          <t>MCGA</t>
        </is>
      </c>
      <c r="F696" s="43" t="inlineStr">
        <is>
          <t>73-21417-05</t>
        </is>
      </c>
      <c r="G696" s="43" t="inlineStr">
        <is>
          <t>BOARD_PN_CANDIDATE</t>
        </is>
      </c>
      <c r="H696" s="43" t="inlineStr"/>
      <c r="I696" s="43" t="inlineStr">
        <is>
          <t>Expired</t>
        </is>
      </c>
      <c r="J696" s="32" t="n">
        <v>46079</v>
      </c>
      <c r="K696" s="32" t="n">
        <v>46000</v>
      </c>
      <c r="L696" s="43" t="inlineStr">
        <is>
          <t>990</t>
        </is>
      </c>
      <c r="M696" s="43" t="n">
        <v>1</v>
      </c>
      <c r="N696" s="33" t="inlineStr"/>
      <c r="O696" s="43" t="inlineStr">
        <is>
          <t>UNVERIFIED</t>
        </is>
      </c>
      <c r="P696" s="43" t="inlineStr">
        <is>
          <t>Pending Review</t>
        </is>
      </c>
      <c r="Q696" s="33" t="inlineStr">
        <is>
          <t>Confirmar SKU/PCBA revision, PN exacto en Common DB, WO, BU, vigencia, planta y aprobacion firmada.</t>
        </is>
      </c>
    </row>
    <row r="697">
      <c r="A697" s="43" t="inlineStr">
        <is>
          <t>CTANJZ04995</t>
        </is>
      </c>
      <c r="B697" s="43" t="inlineStr">
        <is>
          <t>DP525581</t>
        </is>
      </c>
      <c r="C697" s="43" t="inlineStr">
        <is>
          <t>035-CVEBU</t>
        </is>
      </c>
      <c r="D697" s="43" t="inlineStr">
        <is>
          <t>FJZP</t>
        </is>
      </c>
      <c r="E697" s="43" t="inlineStr">
        <is>
          <t>MCGA</t>
        </is>
      </c>
      <c r="F697" s="43" t="inlineStr">
        <is>
          <t>68-104853-01</t>
        </is>
      </c>
      <c r="G697" s="43" t="inlineStr">
        <is>
          <t>OTHER_SCOPE_ITEM</t>
        </is>
      </c>
      <c r="H697" s="43" t="inlineStr"/>
      <c r="I697" s="43" t="inlineStr">
        <is>
          <t>Expired</t>
        </is>
      </c>
      <c r="J697" s="32" t="n">
        <v>46052</v>
      </c>
      <c r="K697" s="32" t="n">
        <v>46000</v>
      </c>
      <c r="L697" s="43" t="inlineStr">
        <is>
          <t>517</t>
        </is>
      </c>
      <c r="M697" s="43" t="n">
        <v>1</v>
      </c>
      <c r="N697" s="33" t="inlineStr"/>
      <c r="O697" s="43" t="inlineStr">
        <is>
          <t>UNVERIFIED</t>
        </is>
      </c>
      <c r="P697" s="43" t="inlineStr">
        <is>
          <t>Pending Review</t>
        </is>
      </c>
      <c r="Q697" s="33" t="inlineStr">
        <is>
          <t>Confirmar SKU/PCBA revision, PN exacto en Common DB, WO, BU, vigencia, planta y aprobacion firmada.</t>
        </is>
      </c>
    </row>
    <row r="698">
      <c r="A698" s="43" t="inlineStr">
        <is>
          <t>CTANJZ04995</t>
        </is>
      </c>
      <c r="B698" s="43" t="inlineStr">
        <is>
          <t>DP525581</t>
        </is>
      </c>
      <c r="C698" s="43" t="inlineStr">
        <is>
          <t>035-CVEBU</t>
        </is>
      </c>
      <c r="D698" s="43" t="inlineStr">
        <is>
          <t>FJZP</t>
        </is>
      </c>
      <c r="E698" s="43" t="inlineStr">
        <is>
          <t>MCGA</t>
        </is>
      </c>
      <c r="F698" s="43" t="inlineStr">
        <is>
          <t>68-104854-01</t>
        </is>
      </c>
      <c r="G698" s="43" t="inlineStr">
        <is>
          <t>OTHER_SCOPE_ITEM</t>
        </is>
      </c>
      <c r="H698" s="43" t="inlineStr"/>
      <c r="I698" s="43" t="inlineStr">
        <is>
          <t>Expired</t>
        </is>
      </c>
      <c r="J698" s="32" t="n">
        <v>46052</v>
      </c>
      <c r="K698" s="32" t="n">
        <v>46000</v>
      </c>
      <c r="L698" s="43" t="inlineStr">
        <is>
          <t>518</t>
        </is>
      </c>
      <c r="M698" s="43" t="n">
        <v>1</v>
      </c>
      <c r="N698" s="33" t="inlineStr"/>
      <c r="O698" s="43" t="inlineStr">
        <is>
          <t>UNVERIFIED</t>
        </is>
      </c>
      <c r="P698" s="43" t="inlineStr">
        <is>
          <t>Pending Review</t>
        </is>
      </c>
      <c r="Q698" s="33" t="inlineStr">
        <is>
          <t>Confirmar SKU/PCBA revision, PN exacto en Common DB, WO, BU, vigencia, planta y aprobacion firmada.</t>
        </is>
      </c>
    </row>
    <row r="699">
      <c r="A699" s="43" t="inlineStr">
        <is>
          <t>CTANJZ04995</t>
        </is>
      </c>
      <c r="B699" s="43" t="inlineStr">
        <is>
          <t>DP525581</t>
        </is>
      </c>
      <c r="C699" s="43" t="inlineStr">
        <is>
          <t>035-CVEBU</t>
        </is>
      </c>
      <c r="D699" s="43" t="inlineStr">
        <is>
          <t>FJZP</t>
        </is>
      </c>
      <c r="E699" s="43" t="inlineStr">
        <is>
          <t>MCGA</t>
        </is>
      </c>
      <c r="F699" s="43" t="inlineStr">
        <is>
          <t>800-113105-01</t>
        </is>
      </c>
      <c r="G699" s="43" t="inlineStr">
        <is>
          <t>OTHER_SCOPE_ITEM</t>
        </is>
      </c>
      <c r="H699" s="43" t="inlineStr"/>
      <c r="I699" s="43" t="inlineStr">
        <is>
          <t>Expired</t>
        </is>
      </c>
      <c r="J699" s="32" t="n">
        <v>46052</v>
      </c>
      <c r="K699" s="32" t="n">
        <v>46000</v>
      </c>
      <c r="L699" s="43" t="inlineStr">
        <is>
          <t>519</t>
        </is>
      </c>
      <c r="M699" s="43" t="n">
        <v>1</v>
      </c>
      <c r="N699" s="33" t="inlineStr"/>
      <c r="O699" s="43" t="inlineStr">
        <is>
          <t>UNVERIFIED</t>
        </is>
      </c>
      <c r="P699" s="43" t="inlineStr">
        <is>
          <t>Pending Review</t>
        </is>
      </c>
      <c r="Q699" s="33" t="inlineStr">
        <is>
          <t>Confirmar SKU/PCBA revision, PN exacto en Common DB, WO, BU, vigencia, planta y aprobacion firmada.</t>
        </is>
      </c>
    </row>
    <row r="700">
      <c r="A700" s="43" t="inlineStr">
        <is>
          <t>CTANJZ04995</t>
        </is>
      </c>
      <c r="B700" s="43" t="inlineStr">
        <is>
          <t>DP525581</t>
        </is>
      </c>
      <c r="C700" s="43" t="inlineStr">
        <is>
          <t>035-CVEBU</t>
        </is>
      </c>
      <c r="D700" s="43" t="inlineStr">
        <is>
          <t>FJZP</t>
        </is>
      </c>
      <c r="E700" s="43" t="inlineStr">
        <is>
          <t>MCGA</t>
        </is>
      </c>
      <c r="F700" s="43" t="inlineStr">
        <is>
          <t>800-113255-01</t>
        </is>
      </c>
      <c r="G700" s="43" t="inlineStr">
        <is>
          <t>OTHER_SCOPE_ITEM</t>
        </is>
      </c>
      <c r="H700" s="43" t="inlineStr"/>
      <c r="I700" s="43" t="inlineStr">
        <is>
          <t>Expired</t>
        </is>
      </c>
      <c r="J700" s="32" t="n">
        <v>46052</v>
      </c>
      <c r="K700" s="32" t="n">
        <v>46000</v>
      </c>
      <c r="L700" s="43" t="inlineStr">
        <is>
          <t>520</t>
        </is>
      </c>
      <c r="M700" s="43" t="n">
        <v>1</v>
      </c>
      <c r="N700" s="33" t="inlineStr"/>
      <c r="O700" s="43" t="inlineStr">
        <is>
          <t>UNVERIFIED</t>
        </is>
      </c>
      <c r="P700" s="43" t="inlineStr">
        <is>
          <t>Pending Review</t>
        </is>
      </c>
      <c r="Q700" s="33" t="inlineStr">
        <is>
          <t>Confirmar SKU/PCBA revision, PN exacto en Common DB, WO, BU, vigencia, planta y aprobacion firmada.</t>
        </is>
      </c>
    </row>
    <row r="701">
      <c r="A701" s="43" t="inlineStr">
        <is>
          <t>CTANJZ04996</t>
        </is>
      </c>
      <c r="B701" s="43" t="inlineStr">
        <is>
          <t>D607987</t>
        </is>
      </c>
      <c r="C701" s="43" t="inlineStr">
        <is>
          <t>037-STBU</t>
        </is>
      </c>
      <c r="D701" s="43" t="inlineStr">
        <is>
          <t>FJZP</t>
        </is>
      </c>
      <c r="E701" s="43" t="inlineStr">
        <is>
          <t>MCGA</t>
        </is>
      </c>
      <c r="F701" s="43" t="inlineStr">
        <is>
          <t>68-104897-01</t>
        </is>
      </c>
      <c r="G701" s="43" t="inlineStr">
        <is>
          <t>OTHER_SCOPE_ITEM</t>
        </is>
      </c>
      <c r="H701" s="43" t="inlineStr"/>
      <c r="I701" s="43" t="inlineStr">
        <is>
          <t>Expired</t>
        </is>
      </c>
      <c r="J701" s="32" t="n">
        <v>46083</v>
      </c>
      <c r="K701" s="32" t="n">
        <v>46035</v>
      </c>
      <c r="L701" s="43" t="inlineStr">
        <is>
          <t>994</t>
        </is>
      </c>
      <c r="M701" s="43" t="n">
        <v>1</v>
      </c>
      <c r="N701" s="33" t="inlineStr"/>
      <c r="O701" s="43" t="inlineStr">
        <is>
          <t>UNVERIFIED</t>
        </is>
      </c>
      <c r="P701" s="43" t="inlineStr">
        <is>
          <t>Pending Review</t>
        </is>
      </c>
      <c r="Q701" s="33" t="inlineStr">
        <is>
          <t>Confirmar SKU/PCBA revision, PN exacto en Common DB, WO, BU, vigencia, planta y aprobacion firmada.</t>
        </is>
      </c>
    </row>
    <row r="702">
      <c r="A702" s="43" t="inlineStr">
        <is>
          <t>CTANJZ04997</t>
        </is>
      </c>
      <c r="B702" s="43" t="inlineStr">
        <is>
          <t>D608035</t>
        </is>
      </c>
      <c r="C702" s="43" t="inlineStr">
        <is>
          <t>037-STBU</t>
        </is>
      </c>
      <c r="D702" s="43" t="inlineStr">
        <is>
          <t>FJZP</t>
        </is>
      </c>
      <c r="E702" s="43" t="inlineStr">
        <is>
          <t>MCGA</t>
        </is>
      </c>
      <c r="F702" s="43" t="inlineStr">
        <is>
          <t>73-103559-04</t>
        </is>
      </c>
      <c r="G702" s="43" t="inlineStr">
        <is>
          <t>BOARD_PN_CANDIDATE</t>
        </is>
      </c>
      <c r="H702" s="43" t="inlineStr"/>
      <c r="I702" s="43" t="inlineStr">
        <is>
          <t>Expired</t>
        </is>
      </c>
      <c r="J702" s="32" t="n">
        <v>46083</v>
      </c>
      <c r="K702" s="32" t="n">
        <v>46035</v>
      </c>
      <c r="L702" s="43" t="inlineStr">
        <is>
          <t>991</t>
        </is>
      </c>
      <c r="M702" s="43" t="n">
        <v>1</v>
      </c>
      <c r="N702" s="33" t="inlineStr"/>
      <c r="O702" s="43" t="inlineStr">
        <is>
          <t>UNVERIFIED</t>
        </is>
      </c>
      <c r="P702" s="43" t="inlineStr">
        <is>
          <t>Pending Review</t>
        </is>
      </c>
      <c r="Q702" s="33" t="inlineStr">
        <is>
          <t>Confirmar SKU/PCBA revision, PN exacto en Common DB, WO, BU, vigencia, planta y aprobacion firmada.</t>
        </is>
      </c>
    </row>
    <row r="703">
      <c r="A703" s="43" t="inlineStr">
        <is>
          <t>CTANJZ04997</t>
        </is>
      </c>
      <c r="B703" s="43" t="inlineStr">
        <is>
          <t>D608035</t>
        </is>
      </c>
      <c r="C703" s="43" t="inlineStr">
        <is>
          <t>037-STBU</t>
        </is>
      </c>
      <c r="D703" s="43" t="inlineStr">
        <is>
          <t>FJZP</t>
        </is>
      </c>
      <c r="E703" s="43" t="inlineStr">
        <is>
          <t>MCGA</t>
        </is>
      </c>
      <c r="F703" s="43" t="inlineStr">
        <is>
          <t>73-103633-04</t>
        </is>
      </c>
      <c r="G703" s="43" t="inlineStr">
        <is>
          <t>BOARD_PN_CANDIDATE</t>
        </is>
      </c>
      <c r="H703" s="43" t="inlineStr"/>
      <c r="I703" s="43" t="inlineStr">
        <is>
          <t>Expired</t>
        </is>
      </c>
      <c r="J703" s="32" t="n">
        <v>46083</v>
      </c>
      <c r="K703" s="32" t="n">
        <v>46035</v>
      </c>
      <c r="L703" s="43" t="inlineStr">
        <is>
          <t>992</t>
        </is>
      </c>
      <c r="M703" s="43" t="n">
        <v>1</v>
      </c>
      <c r="N703" s="33" t="inlineStr"/>
      <c r="O703" s="43" t="inlineStr">
        <is>
          <t>UNVERIFIED</t>
        </is>
      </c>
      <c r="P703" s="43" t="inlineStr">
        <is>
          <t>Pending Review</t>
        </is>
      </c>
      <c r="Q703" s="33" t="inlineStr">
        <is>
          <t>Confirmar SKU/PCBA revision, PN exacto en Common DB, WO, BU, vigencia, planta y aprobacion firmada.</t>
        </is>
      </c>
    </row>
    <row r="704">
      <c r="A704" s="43" t="inlineStr">
        <is>
          <t>CTANJZ04997</t>
        </is>
      </c>
      <c r="B704" s="43" t="inlineStr">
        <is>
          <t>D608035</t>
        </is>
      </c>
      <c r="C704" s="43" t="inlineStr">
        <is>
          <t>037-STBU</t>
        </is>
      </c>
      <c r="D704" s="43" t="inlineStr">
        <is>
          <t>FJZP</t>
        </is>
      </c>
      <c r="E704" s="43" t="inlineStr">
        <is>
          <t>MCGA</t>
        </is>
      </c>
      <c r="F704" s="43" t="inlineStr">
        <is>
          <t>73-103648-04</t>
        </is>
      </c>
      <c r="G704" s="43" t="inlineStr">
        <is>
          <t>BOARD_PN_CANDIDATE</t>
        </is>
      </c>
      <c r="H704" s="43" t="inlineStr"/>
      <c r="I704" s="43" t="inlineStr">
        <is>
          <t>Expired</t>
        </is>
      </c>
      <c r="J704" s="32" t="n">
        <v>46083</v>
      </c>
      <c r="K704" s="32" t="n">
        <v>46035</v>
      </c>
      <c r="L704" s="43" t="inlineStr">
        <is>
          <t>993</t>
        </is>
      </c>
      <c r="M704" s="43" t="n">
        <v>1</v>
      </c>
      <c r="N704" s="33" t="inlineStr"/>
      <c r="O704" s="43" t="inlineStr">
        <is>
          <t>UNVERIFIED</t>
        </is>
      </c>
      <c r="P704" s="43" t="inlineStr">
        <is>
          <t>Pending Review</t>
        </is>
      </c>
      <c r="Q704" s="33" t="inlineStr">
        <is>
          <t>Confirmar SKU/PCBA revision, PN exacto en Common DB, WO, BU, vigencia, planta y aprobacion firmada.</t>
        </is>
      </c>
    </row>
    <row r="705">
      <c r="A705" s="43" t="inlineStr">
        <is>
          <t>CTANJZ05000</t>
        </is>
      </c>
      <c r="B705" s="43" t="inlineStr">
        <is>
          <t>D607991</t>
        </is>
      </c>
      <c r="C705" s="43" t="inlineStr">
        <is>
          <t>037-STBU</t>
        </is>
      </c>
      <c r="D705" s="43" t="inlineStr">
        <is>
          <t>FJZP</t>
        </is>
      </c>
      <c r="E705" s="43" t="inlineStr">
        <is>
          <t>MCGA</t>
        </is>
      </c>
      <c r="F705" s="43" t="inlineStr">
        <is>
          <t>471-00585-01</t>
        </is>
      </c>
      <c r="G705" s="43" t="inlineStr">
        <is>
          <t>OTHER_SCOPE_ITEM</t>
        </is>
      </c>
      <c r="H705" s="43" t="inlineStr"/>
      <c r="I705" s="43" t="inlineStr">
        <is>
          <t>Expired</t>
        </is>
      </c>
      <c r="J705" s="32" t="n">
        <v>46083</v>
      </c>
      <c r="K705" s="32" t="n">
        <v>46035</v>
      </c>
      <c r="L705" s="43" t="inlineStr">
        <is>
          <t>1756</t>
        </is>
      </c>
      <c r="M705" s="43" t="n">
        <v>1</v>
      </c>
      <c r="N705" s="33" t="inlineStr"/>
      <c r="O705" s="43" t="inlineStr">
        <is>
          <t>UNVERIFIED</t>
        </is>
      </c>
      <c r="P705" s="43" t="inlineStr">
        <is>
          <t>Pending Review</t>
        </is>
      </c>
      <c r="Q705" s="33" t="inlineStr">
        <is>
          <t>Confirmar SKU/PCBA revision, PN exacto en Common DB, WO, BU, vigencia, planta y aprobacion firmada.</t>
        </is>
      </c>
    </row>
    <row r="706">
      <c r="A706" s="43" t="inlineStr">
        <is>
          <t>CTANJZ05000</t>
        </is>
      </c>
      <c r="B706" s="43" t="inlineStr">
        <is>
          <t>D607991</t>
        </is>
      </c>
      <c r="C706" s="43" t="inlineStr">
        <is>
          <t>037-STBU</t>
        </is>
      </c>
      <c r="D706" s="43" t="inlineStr">
        <is>
          <t>FJZP</t>
        </is>
      </c>
      <c r="E706" s="43" t="inlineStr">
        <is>
          <t>MCGA</t>
        </is>
      </c>
      <c r="F706" s="43" t="inlineStr">
        <is>
          <t>473-00003-01</t>
        </is>
      </c>
      <c r="G706" s="43" t="inlineStr">
        <is>
          <t>OTHER_SCOPE_ITEM</t>
        </is>
      </c>
      <c r="H706" s="43" t="inlineStr"/>
      <c r="I706" s="43" t="inlineStr">
        <is>
          <t>Expired</t>
        </is>
      </c>
      <c r="J706" s="32" t="n">
        <v>46083</v>
      </c>
      <c r="K706" s="32" t="n">
        <v>46035</v>
      </c>
      <c r="L706" s="43" t="inlineStr">
        <is>
          <t>1757</t>
        </is>
      </c>
      <c r="M706" s="43" t="n">
        <v>1</v>
      </c>
      <c r="N706" s="33" t="inlineStr"/>
      <c r="O706" s="43" t="inlineStr">
        <is>
          <t>UNVERIFIED</t>
        </is>
      </c>
      <c r="P706" s="43" t="inlineStr">
        <is>
          <t>Pending Review</t>
        </is>
      </c>
      <c r="Q706" s="33" t="inlineStr">
        <is>
          <t>Confirmar SKU/PCBA revision, PN exacto en Common DB, WO, BU, vigencia, planta y aprobacion firmada.</t>
        </is>
      </c>
    </row>
    <row r="707">
      <c r="A707" s="43" t="inlineStr">
        <is>
          <t>CTANJZ05000</t>
        </is>
      </c>
      <c r="B707" s="43" t="inlineStr">
        <is>
          <t>D607991</t>
        </is>
      </c>
      <c r="C707" s="43" t="inlineStr">
        <is>
          <t>037-STBU</t>
        </is>
      </c>
      <c r="D707" s="43" t="inlineStr">
        <is>
          <t>FJZP</t>
        </is>
      </c>
      <c r="E707" s="43" t="inlineStr">
        <is>
          <t>MCGA</t>
        </is>
      </c>
      <c r="F707" s="43" t="inlineStr">
        <is>
          <t>73-18490-09</t>
        </is>
      </c>
      <c r="G707" s="43" t="inlineStr">
        <is>
          <t>BOARD_PN_CANDIDATE</t>
        </is>
      </c>
      <c r="H707" s="43" t="inlineStr"/>
      <c r="I707" s="43" t="inlineStr">
        <is>
          <t>Expired</t>
        </is>
      </c>
      <c r="J707" s="32" t="n">
        <v>46083</v>
      </c>
      <c r="K707" s="32" t="n">
        <v>46035</v>
      </c>
      <c r="L707" s="43" t="inlineStr">
        <is>
          <t>1758</t>
        </is>
      </c>
      <c r="M707" s="43" t="n">
        <v>1</v>
      </c>
      <c r="N707" s="33" t="inlineStr"/>
      <c r="O707" s="43" t="inlineStr">
        <is>
          <t>UNVERIFIED</t>
        </is>
      </c>
      <c r="P707" s="43" t="inlineStr">
        <is>
          <t>Pending Review</t>
        </is>
      </c>
      <c r="Q707" s="33" t="inlineStr">
        <is>
          <t>Confirmar SKU/PCBA revision, PN exacto en Common DB, WO, BU, vigencia, planta y aprobacion firmada.</t>
        </is>
      </c>
    </row>
    <row r="708">
      <c r="A708" s="43" t="inlineStr">
        <is>
          <t>CTANJZ05000</t>
        </is>
      </c>
      <c r="B708" s="43" t="inlineStr">
        <is>
          <t>D607991</t>
        </is>
      </c>
      <c r="C708" s="43" t="inlineStr">
        <is>
          <t>037-STBU</t>
        </is>
      </c>
      <c r="D708" s="43" t="inlineStr">
        <is>
          <t>FJZP</t>
        </is>
      </c>
      <c r="E708" s="43" t="inlineStr">
        <is>
          <t>MCGA</t>
        </is>
      </c>
      <c r="F708" s="43" t="inlineStr">
        <is>
          <t>73-18490-10</t>
        </is>
      </c>
      <c r="G708" s="43" t="inlineStr">
        <is>
          <t>BOARD_PN_CANDIDATE</t>
        </is>
      </c>
      <c r="H708" s="43" t="inlineStr"/>
      <c r="I708" s="43" t="inlineStr">
        <is>
          <t>Expired</t>
        </is>
      </c>
      <c r="J708" s="32" t="n">
        <v>46083</v>
      </c>
      <c r="K708" s="32" t="n">
        <v>46035</v>
      </c>
      <c r="L708" s="43" t="inlineStr">
        <is>
          <t>1759</t>
        </is>
      </c>
      <c r="M708" s="43" t="n">
        <v>1</v>
      </c>
      <c r="N708" s="33" t="inlineStr"/>
      <c r="O708" s="43" t="inlineStr">
        <is>
          <t>UNVERIFIED</t>
        </is>
      </c>
      <c r="P708" s="43" t="inlineStr">
        <is>
          <t>Pending Review</t>
        </is>
      </c>
      <c r="Q708" s="33" t="inlineStr">
        <is>
          <t>Confirmar SKU/PCBA revision, PN exacto en Common DB, WO, BU, vigencia, planta y aprobacion firmada.</t>
        </is>
      </c>
    </row>
    <row r="709">
      <c r="A709" s="43" t="inlineStr">
        <is>
          <t>CTANJZ05000</t>
        </is>
      </c>
      <c r="B709" s="43" t="inlineStr">
        <is>
          <t>D607991</t>
        </is>
      </c>
      <c r="C709" s="43" t="inlineStr">
        <is>
          <t>037-STBU</t>
        </is>
      </c>
      <c r="D709" s="43" t="inlineStr">
        <is>
          <t>FJZP</t>
        </is>
      </c>
      <c r="E709" s="43" t="inlineStr">
        <is>
          <t>MCGA</t>
        </is>
      </c>
      <c r="F709" s="43" t="inlineStr">
        <is>
          <t>73-21007-02</t>
        </is>
      </c>
      <c r="G709" s="43" t="inlineStr">
        <is>
          <t>BOARD_PN_CANDIDATE</t>
        </is>
      </c>
      <c r="H709" s="43" t="inlineStr"/>
      <c r="I709" s="43" t="inlineStr">
        <is>
          <t>Expired</t>
        </is>
      </c>
      <c r="J709" s="32" t="n">
        <v>46083</v>
      </c>
      <c r="K709" s="32" t="n">
        <v>46035</v>
      </c>
      <c r="L709" s="43" t="inlineStr">
        <is>
          <t>1760</t>
        </is>
      </c>
      <c r="M709" s="43" t="n">
        <v>1</v>
      </c>
      <c r="N709" s="33" t="inlineStr"/>
      <c r="O709" s="43" t="inlineStr">
        <is>
          <t>UNVERIFIED</t>
        </is>
      </c>
      <c r="P709" s="43" t="inlineStr">
        <is>
          <t>Pending Review</t>
        </is>
      </c>
      <c r="Q709" s="33" t="inlineStr">
        <is>
          <t>Confirmar SKU/PCBA revision, PN exacto en Common DB, WO, BU, vigencia, planta y aprobacion firmada.</t>
        </is>
      </c>
    </row>
    <row r="710">
      <c r="A710" s="43" t="inlineStr">
        <is>
          <t>CTANJZ05000</t>
        </is>
      </c>
      <c r="B710" s="43" t="inlineStr">
        <is>
          <t>D607991</t>
        </is>
      </c>
      <c r="C710" s="43" t="inlineStr">
        <is>
          <t>037-STBU</t>
        </is>
      </c>
      <c r="D710" s="43" t="inlineStr">
        <is>
          <t>FJZP</t>
        </is>
      </c>
      <c r="E710" s="43" t="inlineStr">
        <is>
          <t>MCGA</t>
        </is>
      </c>
      <c r="F710" s="43" t="inlineStr">
        <is>
          <t>73-21007-03</t>
        </is>
      </c>
      <c r="G710" s="43" t="inlineStr">
        <is>
          <t>BOARD_PN_CANDIDATE</t>
        </is>
      </c>
      <c r="H710" s="43" t="inlineStr"/>
      <c r="I710" s="43" t="inlineStr">
        <is>
          <t>Expired</t>
        </is>
      </c>
      <c r="J710" s="32" t="n">
        <v>46083</v>
      </c>
      <c r="K710" s="32" t="n">
        <v>46035</v>
      </c>
      <c r="L710" s="43" t="inlineStr">
        <is>
          <t>1761</t>
        </is>
      </c>
      <c r="M710" s="43" t="n">
        <v>1</v>
      </c>
      <c r="N710" s="33" t="inlineStr"/>
      <c r="O710" s="43" t="inlineStr">
        <is>
          <t>UNVERIFIED</t>
        </is>
      </c>
      <c r="P710" s="43" t="inlineStr">
        <is>
          <t>Pending Review</t>
        </is>
      </c>
      <c r="Q710" s="33" t="inlineStr">
        <is>
          <t>Confirmar SKU/PCBA revision, PN exacto en Common DB, WO, BU, vigencia, planta y aprobacion firmada.</t>
        </is>
      </c>
    </row>
    <row r="711">
      <c r="A711" s="43" t="inlineStr">
        <is>
          <t>CTANJZ05001</t>
        </is>
      </c>
      <c r="B711" s="43" t="inlineStr">
        <is>
          <t>D607678</t>
        </is>
      </c>
      <c r="C711" s="43" t="inlineStr">
        <is>
          <t>037-STBU</t>
        </is>
      </c>
      <c r="D711" s="43" t="inlineStr">
        <is>
          <t>FJZP</t>
        </is>
      </c>
      <c r="E711" s="43" t="inlineStr">
        <is>
          <t>MCGA</t>
        </is>
      </c>
      <c r="F711" s="43" t="inlineStr">
        <is>
          <t>20-100286-01</t>
        </is>
      </c>
      <c r="G711" s="43" t="inlineStr">
        <is>
          <t>OTHER_SCOPE_ITEM</t>
        </is>
      </c>
      <c r="H711" s="43" t="inlineStr"/>
      <c r="I711" s="43" t="inlineStr">
        <is>
          <t>Expired</t>
        </is>
      </c>
      <c r="J711" s="32" t="n">
        <v>46083</v>
      </c>
      <c r="K711" s="32" t="n">
        <v>46036</v>
      </c>
      <c r="L711" s="43" t="inlineStr">
        <is>
          <t>1442</t>
        </is>
      </c>
      <c r="M711" s="43" t="n">
        <v>1</v>
      </c>
      <c r="N711" s="33" t="inlineStr"/>
      <c r="O711" s="43" t="inlineStr">
        <is>
          <t>UNVERIFIED</t>
        </is>
      </c>
      <c r="P711" s="43" t="inlineStr">
        <is>
          <t>Pending Review</t>
        </is>
      </c>
      <c r="Q711" s="33" t="inlineStr">
        <is>
          <t>Confirmar SKU/PCBA revision, PN exacto en Common DB, WO, BU, vigencia, planta y aprobacion firmada.</t>
        </is>
      </c>
    </row>
    <row r="712">
      <c r="A712" s="43" t="inlineStr">
        <is>
          <t>CTANJZ05001</t>
        </is>
      </c>
      <c r="B712" s="43" t="inlineStr">
        <is>
          <t>D607678</t>
        </is>
      </c>
      <c r="C712" s="43" t="inlineStr">
        <is>
          <t>037-STBU</t>
        </is>
      </c>
      <c r="D712" s="43" t="inlineStr">
        <is>
          <t>FJZP</t>
        </is>
      </c>
      <c r="E712" s="43" t="inlineStr">
        <is>
          <t>MCGA</t>
        </is>
      </c>
      <c r="F712" s="43" t="inlineStr">
        <is>
          <t>73-20249-06</t>
        </is>
      </c>
      <c r="G712" s="43" t="inlineStr">
        <is>
          <t>BOARD_PN_CANDIDATE</t>
        </is>
      </c>
      <c r="H712" s="43" t="inlineStr">
        <is>
          <t>TUFNELL PARK</t>
        </is>
      </c>
      <c r="I712" s="43" t="inlineStr">
        <is>
          <t>Expired</t>
        </is>
      </c>
      <c r="J712" s="32" t="n">
        <v>46083</v>
      </c>
      <c r="K712" s="32" t="n">
        <v>46036</v>
      </c>
      <c r="L712" s="43" t="inlineStr">
        <is>
          <t>1443</t>
        </is>
      </c>
      <c r="M712" s="43" t="n">
        <v>1</v>
      </c>
      <c r="N712" s="33" t="inlineStr"/>
      <c r="O712" s="43" t="inlineStr">
        <is>
          <t>UNVERIFIED</t>
        </is>
      </c>
      <c r="P712" s="43" t="inlineStr">
        <is>
          <t>Pending Review</t>
        </is>
      </c>
      <c r="Q712" s="33" t="inlineStr">
        <is>
          <t>Confirmar SKU/PCBA revision, PN exacto en Common DB, WO, BU, vigencia, planta y aprobacion firmada.</t>
        </is>
      </c>
    </row>
    <row r="713">
      <c r="A713" s="43" t="inlineStr">
        <is>
          <t>CTANJZ05004</t>
        </is>
      </c>
      <c r="B713" s="43" t="inlineStr">
        <is>
          <t>D607851</t>
        </is>
      </c>
      <c r="C713" s="43" t="inlineStr">
        <is>
          <t>035-CVEBU</t>
        </is>
      </c>
      <c r="D713" s="43" t="inlineStr">
        <is>
          <t>FJZP</t>
        </is>
      </c>
      <c r="E713" s="43" t="inlineStr">
        <is>
          <t>MCGA</t>
        </is>
      </c>
      <c r="F713" s="43" t="inlineStr">
        <is>
          <t>15-104894-01</t>
        </is>
      </c>
      <c r="G713" s="43" t="inlineStr">
        <is>
          <t>OTHER_SCOPE_ITEM</t>
        </is>
      </c>
      <c r="H713" s="43" t="inlineStr"/>
      <c r="I713" s="43" t="inlineStr">
        <is>
          <t>Expired</t>
        </is>
      </c>
      <c r="J713" s="32" t="n">
        <v>46084</v>
      </c>
      <c r="K713" s="32" t="n">
        <v>46007</v>
      </c>
      <c r="L713" s="43" t="inlineStr">
        <is>
          <t>124</t>
        </is>
      </c>
      <c r="M713" s="43" t="n">
        <v>1</v>
      </c>
      <c r="N713" s="33" t="inlineStr"/>
      <c r="O713" s="43" t="inlineStr">
        <is>
          <t>UNVERIFIED</t>
        </is>
      </c>
      <c r="P713" s="43" t="inlineStr">
        <is>
          <t>Pending Review</t>
        </is>
      </c>
      <c r="Q713" s="33" t="inlineStr">
        <is>
          <t>Confirmar SKU/PCBA revision, PN exacto en Common DB, WO, BU, vigencia, planta y aprobacion firmada.</t>
        </is>
      </c>
    </row>
    <row r="714">
      <c r="A714" s="43" t="inlineStr">
        <is>
          <t>CTANJZ05004</t>
        </is>
      </c>
      <c r="B714" s="43" t="inlineStr">
        <is>
          <t>D607851</t>
        </is>
      </c>
      <c r="C714" s="43" t="inlineStr">
        <is>
          <t>035-CVEBU</t>
        </is>
      </c>
      <c r="D714" s="43" t="inlineStr">
        <is>
          <t>FJZP</t>
        </is>
      </c>
      <c r="E714" s="43" t="inlineStr">
        <is>
          <t>MCGA</t>
        </is>
      </c>
      <c r="F714" s="43" t="inlineStr">
        <is>
          <t>73-102121-01</t>
        </is>
      </c>
      <c r="G714" s="43" t="inlineStr">
        <is>
          <t>BOARD_PN_CANDIDATE</t>
        </is>
      </c>
      <c r="H714" s="43" t="inlineStr"/>
      <c r="I714" s="43" t="inlineStr">
        <is>
          <t>Expired</t>
        </is>
      </c>
      <c r="J714" s="32" t="n">
        <v>46084</v>
      </c>
      <c r="K714" s="32" t="n">
        <v>46007</v>
      </c>
      <c r="L714" s="43" t="inlineStr">
        <is>
          <t>125</t>
        </is>
      </c>
      <c r="M714" s="43" t="n">
        <v>1</v>
      </c>
      <c r="N714" s="33" t="inlineStr"/>
      <c r="O714" s="43" t="inlineStr">
        <is>
          <t>UNVERIFIED</t>
        </is>
      </c>
      <c r="P714" s="43" t="inlineStr">
        <is>
          <t>Pending Review</t>
        </is>
      </c>
      <c r="Q714" s="33" t="inlineStr">
        <is>
          <t>Confirmar SKU/PCBA revision, PN exacto en Common DB, WO, BU, vigencia, planta y aprobacion firmada.</t>
        </is>
      </c>
    </row>
    <row r="715">
      <c r="A715" s="43" t="inlineStr">
        <is>
          <t>CTANJZ05008</t>
        </is>
      </c>
      <c r="B715" s="43" t="inlineStr">
        <is>
          <t>DP525595</t>
        </is>
      </c>
      <c r="C715" s="43" t="inlineStr">
        <is>
          <t>035-CVEBU</t>
        </is>
      </c>
      <c r="D715" s="43" t="inlineStr">
        <is>
          <t>FJZP</t>
        </is>
      </c>
      <c r="E715" s="43" t="inlineStr">
        <is>
          <t>MCGA</t>
        </is>
      </c>
      <c r="F715" s="43" t="inlineStr">
        <is>
          <t>68-104853-01</t>
        </is>
      </c>
      <c r="G715" s="43" t="inlineStr">
        <is>
          <t>OTHER_SCOPE_ITEM</t>
        </is>
      </c>
      <c r="H715" s="43" t="inlineStr"/>
      <c r="I715" s="43" t="inlineStr">
        <is>
          <t>Expired</t>
        </is>
      </c>
      <c r="J715" s="32" t="n">
        <v>46055</v>
      </c>
      <c r="K715" s="32" t="n">
        <v>46007</v>
      </c>
      <c r="L715" s="43" t="inlineStr">
        <is>
          <t>985</t>
        </is>
      </c>
      <c r="M715" s="43" t="n">
        <v>1</v>
      </c>
      <c r="N715" s="33" t="inlineStr"/>
      <c r="O715" s="43" t="inlineStr">
        <is>
          <t>UNVERIFIED</t>
        </is>
      </c>
      <c r="P715" s="43" t="inlineStr">
        <is>
          <t>Pending Review</t>
        </is>
      </c>
      <c r="Q715" s="33" t="inlineStr">
        <is>
          <t>Confirmar SKU/PCBA revision, PN exacto en Common DB, WO, BU, vigencia, planta y aprobacion firmada.</t>
        </is>
      </c>
    </row>
    <row r="716">
      <c r="A716" s="43" t="inlineStr">
        <is>
          <t>CTANJZ05008</t>
        </is>
      </c>
      <c r="B716" s="43" t="inlineStr">
        <is>
          <t>DP525595</t>
        </is>
      </c>
      <c r="C716" s="43" t="inlineStr">
        <is>
          <t>035-CVEBU</t>
        </is>
      </c>
      <c r="D716" s="43" t="inlineStr">
        <is>
          <t>FJZP</t>
        </is>
      </c>
      <c r="E716" s="43" t="inlineStr">
        <is>
          <t>MCGA</t>
        </is>
      </c>
      <c r="F716" s="43" t="inlineStr">
        <is>
          <t>68-104854-01</t>
        </is>
      </c>
      <c r="G716" s="43" t="inlineStr">
        <is>
          <t>OTHER_SCOPE_ITEM</t>
        </is>
      </c>
      <c r="H716" s="43" t="inlineStr"/>
      <c r="I716" s="43" t="inlineStr">
        <is>
          <t>Expired</t>
        </is>
      </c>
      <c r="J716" s="32" t="n">
        <v>46055</v>
      </c>
      <c r="K716" s="32" t="n">
        <v>46007</v>
      </c>
      <c r="L716" s="43" t="inlineStr">
        <is>
          <t>1137</t>
        </is>
      </c>
      <c r="M716" s="43" t="n">
        <v>1</v>
      </c>
      <c r="N716" s="33" t="inlineStr"/>
      <c r="O716" s="43" t="inlineStr">
        <is>
          <t>UNVERIFIED</t>
        </is>
      </c>
      <c r="P716" s="43" t="inlineStr">
        <is>
          <t>Pending Review</t>
        </is>
      </c>
      <c r="Q716" s="33" t="inlineStr">
        <is>
          <t>Confirmar SKU/PCBA revision, PN exacto en Common DB, WO, BU, vigencia, planta y aprobacion firmada.</t>
        </is>
      </c>
    </row>
    <row r="717">
      <c r="A717" s="43" t="inlineStr">
        <is>
          <t>CTANJZ05009</t>
        </is>
      </c>
      <c r="B717" s="43" t="inlineStr">
        <is>
          <t>D607538</t>
        </is>
      </c>
      <c r="C717" s="43" t="inlineStr">
        <is>
          <t>035-CVEBU</t>
        </is>
      </c>
      <c r="D717" s="43" t="inlineStr">
        <is>
          <t>FJZP</t>
        </is>
      </c>
      <c r="E717" s="43" t="inlineStr">
        <is>
          <t>MCGA</t>
        </is>
      </c>
      <c r="F717" s="43" t="inlineStr">
        <is>
          <t>28-102227-03</t>
        </is>
      </c>
      <c r="G717" s="43" t="inlineStr">
        <is>
          <t>BARE_PCB_PN_CANDIDATE</t>
        </is>
      </c>
      <c r="H717" s="43" t="inlineStr"/>
      <c r="I717" s="43" t="inlineStr">
        <is>
          <t>Expired</t>
        </is>
      </c>
      <c r="J717" s="32" t="n">
        <v>46086</v>
      </c>
      <c r="K717" s="32" t="n">
        <v>46007</v>
      </c>
      <c r="L717" s="43" t="inlineStr">
        <is>
          <t>164</t>
        </is>
      </c>
      <c r="M717" s="43" t="n">
        <v>1</v>
      </c>
      <c r="N717" s="33" t="inlineStr"/>
      <c r="O717" s="43" t="inlineStr">
        <is>
          <t>UNVERIFIED</t>
        </is>
      </c>
      <c r="P717" s="43" t="inlineStr">
        <is>
          <t>Pending Review</t>
        </is>
      </c>
      <c r="Q717" s="33" t="inlineStr">
        <is>
          <t>Confirmar SKU/PCBA revision, PN exacto en Common DB, WO, BU, vigencia, planta y aprobacion firmada.</t>
        </is>
      </c>
    </row>
    <row r="718">
      <c r="A718" s="43" t="inlineStr">
        <is>
          <t>CTANJZ05009</t>
        </is>
      </c>
      <c r="B718" s="43" t="inlineStr">
        <is>
          <t>D607538</t>
        </is>
      </c>
      <c r="C718" s="43" t="inlineStr">
        <is>
          <t>035-CVEBU</t>
        </is>
      </c>
      <c r="D718" s="43" t="inlineStr">
        <is>
          <t>FJZP</t>
        </is>
      </c>
      <c r="E718" s="43" t="inlineStr">
        <is>
          <t>MCGA</t>
        </is>
      </c>
      <c r="F718" s="43" t="inlineStr">
        <is>
          <t>73-102365-01</t>
        </is>
      </c>
      <c r="G718" s="43" t="inlineStr">
        <is>
          <t>BOARD_PN_CANDIDATE</t>
        </is>
      </c>
      <c r="H718" s="43" t="inlineStr"/>
      <c r="I718" s="43" t="inlineStr">
        <is>
          <t>Expired</t>
        </is>
      </c>
      <c r="J718" s="32" t="n">
        <v>46086</v>
      </c>
      <c r="K718" s="32" t="n">
        <v>46007</v>
      </c>
      <c r="L718" s="43" t="inlineStr">
        <is>
          <t>165</t>
        </is>
      </c>
      <c r="M718" s="43" t="n">
        <v>1</v>
      </c>
      <c r="N718" s="33" t="inlineStr"/>
      <c r="O718" s="43" t="inlineStr">
        <is>
          <t>UNVERIFIED</t>
        </is>
      </c>
      <c r="P718" s="43" t="inlineStr">
        <is>
          <t>Pending Review</t>
        </is>
      </c>
      <c r="Q718" s="33" t="inlineStr">
        <is>
          <t>Confirmar SKU/PCBA revision, PN exacto en Common DB, WO, BU, vigencia, planta y aprobacion firmada.</t>
        </is>
      </c>
    </row>
    <row r="719">
      <c r="A719" s="43" t="inlineStr">
        <is>
          <t>CTANJZ05011</t>
        </is>
      </c>
      <c r="B719" s="43" t="inlineStr">
        <is>
          <t>D607854</t>
        </is>
      </c>
      <c r="C719" s="43" t="inlineStr">
        <is>
          <t>035-CVEBU</t>
        </is>
      </c>
      <c r="D719" s="43" t="inlineStr">
        <is>
          <t>FJZP</t>
        </is>
      </c>
      <c r="E719" s="43" t="inlineStr">
        <is>
          <t>MCGA</t>
        </is>
      </c>
      <c r="F719" s="43" t="inlineStr">
        <is>
          <t>06-100786-01</t>
        </is>
      </c>
      <c r="G719" s="43" t="inlineStr">
        <is>
          <t>OTHER_SCOPE_ITEM</t>
        </is>
      </c>
      <c r="H719" s="43" t="inlineStr"/>
      <c r="I719" s="43" t="inlineStr">
        <is>
          <t>Expired</t>
        </is>
      </c>
      <c r="J719" s="32" t="n">
        <v>46086</v>
      </c>
      <c r="K719" s="32" t="n">
        <v>46007</v>
      </c>
      <c r="L719" s="43" t="inlineStr">
        <is>
          <t>126</t>
        </is>
      </c>
      <c r="M719" s="43" t="n">
        <v>1</v>
      </c>
      <c r="N719" s="33" t="inlineStr"/>
      <c r="O719" s="43" t="inlineStr">
        <is>
          <t>UNVERIFIED</t>
        </is>
      </c>
      <c r="P719" s="43" t="inlineStr">
        <is>
          <t>Pending Review</t>
        </is>
      </c>
      <c r="Q719" s="33" t="inlineStr">
        <is>
          <t>Confirmar SKU/PCBA revision, PN exacto en Common DB, WO, BU, vigencia, planta y aprobacion firmada.</t>
        </is>
      </c>
    </row>
    <row r="720">
      <c r="A720" s="43" t="inlineStr">
        <is>
          <t>CTANJZ05011</t>
        </is>
      </c>
      <c r="B720" s="43" t="inlineStr">
        <is>
          <t>D607854</t>
        </is>
      </c>
      <c r="C720" s="43" t="inlineStr">
        <is>
          <t>035-CVEBU</t>
        </is>
      </c>
      <c r="D720" s="43" t="inlineStr">
        <is>
          <t>FJZP</t>
        </is>
      </c>
      <c r="E720" s="43" t="inlineStr">
        <is>
          <t>MCGA</t>
        </is>
      </c>
      <c r="F720" s="43" t="inlineStr">
        <is>
          <t>73-103459-02</t>
        </is>
      </c>
      <c r="G720" s="43" t="inlineStr">
        <is>
          <t>BOARD_PN_CANDIDATE</t>
        </is>
      </c>
      <c r="H720" s="43" t="inlineStr">
        <is>
          <t>HEIMDALL</t>
        </is>
      </c>
      <c r="I720" s="43" t="inlineStr">
        <is>
          <t>Expired</t>
        </is>
      </c>
      <c r="J720" s="32" t="n">
        <v>46086</v>
      </c>
      <c r="K720" s="32" t="n">
        <v>46007</v>
      </c>
      <c r="L720" s="43" t="inlineStr">
        <is>
          <t>127</t>
        </is>
      </c>
      <c r="M720" s="43" t="n">
        <v>1</v>
      </c>
      <c r="N720" s="33" t="inlineStr"/>
      <c r="O720" s="43" t="inlineStr">
        <is>
          <t>UNVERIFIED</t>
        </is>
      </c>
      <c r="P720" s="43" t="inlineStr">
        <is>
          <t>Pending Review</t>
        </is>
      </c>
      <c r="Q720" s="33" t="inlineStr">
        <is>
          <t>Confirmar SKU/PCBA revision, PN exacto en Common DB, WO, BU, vigencia, planta y aprobacion firmada.</t>
        </is>
      </c>
    </row>
    <row r="721">
      <c r="A721" s="43" t="inlineStr">
        <is>
          <t>CTANJZ05014</t>
        </is>
      </c>
      <c r="B721" s="43" t="inlineStr">
        <is>
          <t>D608072</t>
        </is>
      </c>
      <c r="C721" s="43" t="inlineStr">
        <is>
          <t>037-STBU</t>
        </is>
      </c>
      <c r="D721" s="43" t="inlineStr">
        <is>
          <t>FJZP</t>
        </is>
      </c>
      <c r="E721" s="43" t="inlineStr">
        <is>
          <t>MCGA</t>
        </is>
      </c>
      <c r="F721" s="43" t="inlineStr">
        <is>
          <t>15-12877-02</t>
        </is>
      </c>
      <c r="G721" s="43" t="inlineStr">
        <is>
          <t>OTHER_SCOPE_ITEM</t>
        </is>
      </c>
      <c r="H721" s="43" t="inlineStr"/>
      <c r="I721" s="43" t="inlineStr">
        <is>
          <t>Expired</t>
        </is>
      </c>
      <c r="J721" s="32" t="n">
        <v>46087</v>
      </c>
      <c r="K721" s="32" t="n">
        <v>46045</v>
      </c>
      <c r="L721" s="43" t="inlineStr">
        <is>
          <t>1435</t>
        </is>
      </c>
      <c r="M721" s="43" t="n">
        <v>1</v>
      </c>
      <c r="N721" s="33" t="inlineStr"/>
      <c r="O721" s="43" t="inlineStr">
        <is>
          <t>UNVERIFIED</t>
        </is>
      </c>
      <c r="P721" s="43" t="inlineStr">
        <is>
          <t>Pending Review</t>
        </is>
      </c>
      <c r="Q721" s="33" t="inlineStr">
        <is>
          <t>Confirmar SKU/PCBA revision, PN exacto en Common DB, WO, BU, vigencia, planta y aprobacion firmada.</t>
        </is>
      </c>
    </row>
    <row r="722">
      <c r="A722" s="43" t="inlineStr">
        <is>
          <t>CTANJZ05014</t>
        </is>
      </c>
      <c r="B722" s="43" t="inlineStr">
        <is>
          <t>D608072</t>
        </is>
      </c>
      <c r="C722" s="43" t="inlineStr">
        <is>
          <t>037-STBU</t>
        </is>
      </c>
      <c r="D722" s="43" t="inlineStr">
        <is>
          <t>FJZP</t>
        </is>
      </c>
      <c r="E722" s="43" t="inlineStr">
        <is>
          <t>MCGA</t>
        </is>
      </c>
      <c r="F722" s="43" t="inlineStr">
        <is>
          <t>73-102435-05</t>
        </is>
      </c>
      <c r="G722" s="43" t="inlineStr">
        <is>
          <t>BOARD_PN_CANDIDATE</t>
        </is>
      </c>
      <c r="H722" s="43" t="inlineStr"/>
      <c r="I722" s="43" t="inlineStr">
        <is>
          <t>Expired</t>
        </is>
      </c>
      <c r="J722" s="32" t="n">
        <v>46087</v>
      </c>
      <c r="K722" s="32" t="n">
        <v>46045</v>
      </c>
      <c r="L722" s="43" t="inlineStr">
        <is>
          <t>1448</t>
        </is>
      </c>
      <c r="M722" s="43" t="n">
        <v>1</v>
      </c>
      <c r="N722" s="33" t="inlineStr"/>
      <c r="O722" s="43" t="inlineStr">
        <is>
          <t>UNVERIFIED</t>
        </is>
      </c>
      <c r="P722" s="43" t="inlineStr">
        <is>
          <t>Pending Review</t>
        </is>
      </c>
      <c r="Q722" s="33" t="inlineStr">
        <is>
          <t>Confirmar SKU/PCBA revision, PN exacto en Common DB, WO, BU, vigencia, planta y aprobacion firmada.</t>
        </is>
      </c>
    </row>
    <row r="723">
      <c r="A723" s="43" t="inlineStr">
        <is>
          <t>CTANJZ05015</t>
        </is>
      </c>
      <c r="B723" s="43" t="inlineStr">
        <is>
          <t>D607988</t>
        </is>
      </c>
      <c r="C723" s="43" t="inlineStr">
        <is>
          <t>034-IOTBU</t>
        </is>
      </c>
      <c r="D723" s="43" t="inlineStr">
        <is>
          <t>FJZP</t>
        </is>
      </c>
      <c r="E723" s="43" t="inlineStr">
        <is>
          <t>MCGA</t>
        </is>
      </c>
      <c r="F723" s="43" t="inlineStr">
        <is>
          <t>68-101650-01</t>
        </is>
      </c>
      <c r="G723" s="43" t="inlineStr">
        <is>
          <t>OTHER_SCOPE_ITEM</t>
        </is>
      </c>
      <c r="H723" s="43" t="inlineStr"/>
      <c r="I723" s="43" t="inlineStr">
        <is>
          <t>Expired</t>
        </is>
      </c>
      <c r="J723" s="32" t="n">
        <v>46087</v>
      </c>
      <c r="K723" s="32" t="n">
        <v>46036</v>
      </c>
      <c r="L723" s="43" t="inlineStr">
        <is>
          <t>1099</t>
        </is>
      </c>
      <c r="M723" s="43" t="n">
        <v>1</v>
      </c>
      <c r="N723" s="33" t="inlineStr"/>
      <c r="O723" s="43" t="inlineStr">
        <is>
          <t>UNVERIFIED</t>
        </is>
      </c>
      <c r="P723" s="43" t="inlineStr">
        <is>
          <t>Pending Review</t>
        </is>
      </c>
      <c r="Q723" s="33" t="inlineStr">
        <is>
          <t>Confirmar SKU/PCBA revision, PN exacto en Common DB, WO, BU, vigencia, planta y aprobacion firmada.</t>
        </is>
      </c>
    </row>
    <row r="724">
      <c r="A724" s="43" t="inlineStr">
        <is>
          <t>CTANJZ05015</t>
        </is>
      </c>
      <c r="B724" s="43" t="inlineStr">
        <is>
          <t>D607988</t>
        </is>
      </c>
      <c r="C724" s="43" t="inlineStr">
        <is>
          <t>034-IOTBU</t>
        </is>
      </c>
      <c r="D724" s="43" t="inlineStr">
        <is>
          <t>FJZP</t>
        </is>
      </c>
      <c r="E724" s="43" t="inlineStr">
        <is>
          <t>MCGA</t>
        </is>
      </c>
      <c r="F724" s="43" t="inlineStr">
        <is>
          <t>68-101690-01</t>
        </is>
      </c>
      <c r="G724" s="43" t="inlineStr">
        <is>
          <t>OTHER_SCOPE_ITEM</t>
        </is>
      </c>
      <c r="H724" s="43" t="inlineStr"/>
      <c r="I724" s="43" t="inlineStr">
        <is>
          <t>Expired</t>
        </is>
      </c>
      <c r="J724" s="32" t="n">
        <v>46087</v>
      </c>
      <c r="K724" s="32" t="n">
        <v>46036</v>
      </c>
      <c r="L724" s="43" t="inlineStr">
        <is>
          <t>1100</t>
        </is>
      </c>
      <c r="M724" s="43" t="n">
        <v>1</v>
      </c>
      <c r="N724" s="33" t="inlineStr"/>
      <c r="O724" s="43" t="inlineStr">
        <is>
          <t>UNVERIFIED</t>
        </is>
      </c>
      <c r="P724" s="43" t="inlineStr">
        <is>
          <t>Pending Review</t>
        </is>
      </c>
      <c r="Q724" s="33" t="inlineStr">
        <is>
          <t>Confirmar SKU/PCBA revision, PN exacto en Common DB, WO, BU, vigencia, planta y aprobacion firmada.</t>
        </is>
      </c>
    </row>
    <row r="725">
      <c r="A725" s="43" t="inlineStr">
        <is>
          <t>CTANJZ05015</t>
        </is>
      </c>
      <c r="B725" s="43" t="inlineStr">
        <is>
          <t>D607988</t>
        </is>
      </c>
      <c r="C725" s="43" t="inlineStr">
        <is>
          <t>034-IOTBU</t>
        </is>
      </c>
      <c r="D725" s="43" t="inlineStr">
        <is>
          <t>FJZP</t>
        </is>
      </c>
      <c r="E725" s="43" t="inlineStr">
        <is>
          <t>MCGA</t>
        </is>
      </c>
      <c r="F725" s="43" t="inlineStr">
        <is>
          <t>800-104781-01</t>
        </is>
      </c>
      <c r="G725" s="43" t="inlineStr">
        <is>
          <t>OTHER_SCOPE_ITEM</t>
        </is>
      </c>
      <c r="H725" s="43" t="inlineStr"/>
      <c r="I725" s="43" t="inlineStr">
        <is>
          <t>Expired</t>
        </is>
      </c>
      <c r="J725" s="32" t="n">
        <v>46087</v>
      </c>
      <c r="K725" s="32" t="n">
        <v>46036</v>
      </c>
      <c r="L725" s="43" t="inlineStr">
        <is>
          <t>1101</t>
        </is>
      </c>
      <c r="M725" s="43" t="n">
        <v>1</v>
      </c>
      <c r="N725" s="33" t="inlineStr"/>
      <c r="O725" s="43" t="inlineStr">
        <is>
          <t>UNVERIFIED</t>
        </is>
      </c>
      <c r="P725" s="43" t="inlineStr">
        <is>
          <t>Pending Review</t>
        </is>
      </c>
      <c r="Q725" s="33" t="inlineStr">
        <is>
          <t>Confirmar SKU/PCBA revision, PN exacto en Common DB, WO, BU, vigencia, planta y aprobacion firmada.</t>
        </is>
      </c>
    </row>
    <row r="726">
      <c r="A726" s="43" t="inlineStr">
        <is>
          <t>CTANJZ05015</t>
        </is>
      </c>
      <c r="B726" s="43" t="inlineStr">
        <is>
          <t>D607988</t>
        </is>
      </c>
      <c r="C726" s="43" t="inlineStr">
        <is>
          <t>034-IOTBU</t>
        </is>
      </c>
      <c r="D726" s="43" t="inlineStr">
        <is>
          <t>FJZP</t>
        </is>
      </c>
      <c r="E726" s="43" t="inlineStr">
        <is>
          <t>MCGA</t>
        </is>
      </c>
      <c r="F726" s="43" t="inlineStr">
        <is>
          <t>800-104853-01</t>
        </is>
      </c>
      <c r="G726" s="43" t="inlineStr">
        <is>
          <t>OTHER_SCOPE_ITEM</t>
        </is>
      </c>
      <c r="H726" s="43" t="inlineStr"/>
      <c r="I726" s="43" t="inlineStr">
        <is>
          <t>Expired</t>
        </is>
      </c>
      <c r="J726" s="32" t="n">
        <v>46087</v>
      </c>
      <c r="K726" s="32" t="n">
        <v>46036</v>
      </c>
      <c r="L726" s="43" t="inlineStr">
        <is>
          <t>1102</t>
        </is>
      </c>
      <c r="M726" s="43" t="n">
        <v>1</v>
      </c>
      <c r="N726" s="33" t="inlineStr"/>
      <c r="O726" s="43" t="inlineStr">
        <is>
          <t>UNVERIFIED</t>
        </is>
      </c>
      <c r="P726" s="43" t="inlineStr">
        <is>
          <t>Pending Review</t>
        </is>
      </c>
      <c r="Q726" s="33" t="inlineStr">
        <is>
          <t>Confirmar SKU/PCBA revision, PN exacto en Common DB, WO, BU, vigencia, planta y aprobacion firmada.</t>
        </is>
      </c>
    </row>
    <row r="727">
      <c r="A727" s="43" t="inlineStr">
        <is>
          <t>CTANJZ05017</t>
        </is>
      </c>
      <c r="B727" s="43" t="inlineStr">
        <is>
          <t>D608183</t>
        </is>
      </c>
      <c r="C727" s="43" t="inlineStr">
        <is>
          <t>018-SRGBU</t>
        </is>
      </c>
      <c r="D727" s="43" t="inlineStr">
        <is>
          <t>FJZP</t>
        </is>
      </c>
      <c r="E727" s="43" t="inlineStr">
        <is>
          <t>MCGA</t>
        </is>
      </c>
      <c r="F727" s="43" t="inlineStr">
        <is>
          <t>15-107071-01</t>
        </is>
      </c>
      <c r="G727" s="43" t="inlineStr">
        <is>
          <t>OTHER_SCOPE_ITEM</t>
        </is>
      </c>
      <c r="H727" s="43" t="inlineStr"/>
      <c r="I727" s="43" t="inlineStr">
        <is>
          <t>Expired</t>
        </is>
      </c>
      <c r="J727" s="32" t="n">
        <v>46087</v>
      </c>
      <c r="K727" s="32" t="n">
        <v>46035</v>
      </c>
      <c r="L727" s="43" t="inlineStr">
        <is>
          <t>1098</t>
        </is>
      </c>
      <c r="M727" s="43" t="n">
        <v>1</v>
      </c>
      <c r="N727" s="33" t="inlineStr"/>
      <c r="O727" s="43" t="inlineStr">
        <is>
          <t>UNVERIFIED</t>
        </is>
      </c>
      <c r="P727" s="43" t="inlineStr">
        <is>
          <t>Pending Review</t>
        </is>
      </c>
      <c r="Q727" s="33" t="inlineStr">
        <is>
          <t>Confirmar SKU/PCBA revision, PN exacto en Common DB, WO, BU, vigencia, planta y aprobacion firmada.</t>
        </is>
      </c>
    </row>
    <row r="728">
      <c r="A728" s="43" t="inlineStr">
        <is>
          <t>CTANJZ05022</t>
        </is>
      </c>
      <c r="B728" s="43" t="inlineStr">
        <is>
          <t>D607604</t>
        </is>
      </c>
      <c r="C728" s="43" t="inlineStr">
        <is>
          <t>037-STBU</t>
        </is>
      </c>
      <c r="D728" s="43" t="inlineStr">
        <is>
          <t>FJZP</t>
        </is>
      </c>
      <c r="E728" s="43" t="inlineStr">
        <is>
          <t>MCGA</t>
        </is>
      </c>
      <c r="F728" s="43" t="inlineStr">
        <is>
          <t>22-0522-01</t>
        </is>
      </c>
      <c r="G728" s="43" t="inlineStr">
        <is>
          <t>OTHER_SCOPE_ITEM</t>
        </is>
      </c>
      <c r="H728" s="43" t="inlineStr"/>
      <c r="I728" s="43" t="inlineStr">
        <is>
          <t>Expired</t>
        </is>
      </c>
      <c r="J728" s="32" t="n">
        <v>46092</v>
      </c>
      <c r="K728" s="32" t="n">
        <v>46049</v>
      </c>
      <c r="L728" s="43" t="inlineStr">
        <is>
          <t>1556</t>
        </is>
      </c>
      <c r="M728" s="43" t="n">
        <v>1</v>
      </c>
      <c r="N728" s="33" t="inlineStr"/>
      <c r="O728" s="43" t="inlineStr">
        <is>
          <t>UNVERIFIED</t>
        </is>
      </c>
      <c r="P728" s="43" t="inlineStr">
        <is>
          <t>Pending Review</t>
        </is>
      </c>
      <c r="Q728" s="33" t="inlineStr">
        <is>
          <t>Confirmar SKU/PCBA revision, PN exacto en Common DB, WO, BU, vigencia, planta y aprobacion firmada.</t>
        </is>
      </c>
    </row>
    <row r="729">
      <c r="A729" s="43" t="inlineStr">
        <is>
          <t>CTANJZ05022</t>
        </is>
      </c>
      <c r="B729" s="43" t="inlineStr">
        <is>
          <t>D607604</t>
        </is>
      </c>
      <c r="C729" s="43" t="inlineStr">
        <is>
          <t>037-STBU</t>
        </is>
      </c>
      <c r="D729" s="43" t="inlineStr">
        <is>
          <t>FJZP</t>
        </is>
      </c>
      <c r="E729" s="43" t="inlineStr">
        <is>
          <t>MCGA</t>
        </is>
      </c>
      <c r="F729" s="43" t="inlineStr">
        <is>
          <t>73-18489-08</t>
        </is>
      </c>
      <c r="G729" s="43" t="inlineStr">
        <is>
          <t>BOARD_PN_CANDIDATE</t>
        </is>
      </c>
      <c r="H729" s="43" t="inlineStr"/>
      <c r="I729" s="43" t="inlineStr">
        <is>
          <t>Expired</t>
        </is>
      </c>
      <c r="J729" s="32" t="n">
        <v>46092</v>
      </c>
      <c r="K729" s="32" t="n">
        <v>46049</v>
      </c>
      <c r="L729" s="43" t="inlineStr">
        <is>
          <t>1557</t>
        </is>
      </c>
      <c r="M729" s="43" t="n">
        <v>1</v>
      </c>
      <c r="N729" s="33" t="inlineStr"/>
      <c r="O729" s="43" t="inlineStr">
        <is>
          <t>UNVERIFIED</t>
        </is>
      </c>
      <c r="P729" s="43" t="inlineStr">
        <is>
          <t>Pending Review</t>
        </is>
      </c>
      <c r="Q729" s="33" t="inlineStr">
        <is>
          <t>Confirmar SKU/PCBA revision, PN exacto en Common DB, WO, BU, vigencia, planta y aprobacion firmada.</t>
        </is>
      </c>
    </row>
    <row r="730">
      <c r="A730" s="43" t="inlineStr">
        <is>
          <t>CTANJZ05024</t>
        </is>
      </c>
      <c r="B730" s="43" t="inlineStr">
        <is>
          <t>D608212</t>
        </is>
      </c>
      <c r="C730" s="43" t="inlineStr">
        <is>
          <t>018-SRGBU</t>
        </is>
      </c>
      <c r="D730" s="43" t="inlineStr">
        <is>
          <t>FJZP</t>
        </is>
      </c>
      <c r="E730" s="43" t="inlineStr">
        <is>
          <t>MCGA</t>
        </is>
      </c>
      <c r="F730" s="43" t="inlineStr">
        <is>
          <t>15-109388-01</t>
        </is>
      </c>
      <c r="G730" s="43" t="inlineStr">
        <is>
          <t>OTHER_SCOPE_ITEM</t>
        </is>
      </c>
      <c r="H730" s="43" t="inlineStr"/>
      <c r="I730" s="43" t="inlineStr">
        <is>
          <t>Expired</t>
        </is>
      </c>
      <c r="J730" s="32" t="n">
        <v>46092</v>
      </c>
      <c r="K730" s="32" t="n">
        <v>46035</v>
      </c>
      <c r="L730" s="43" t="inlineStr">
        <is>
          <t>459</t>
        </is>
      </c>
      <c r="M730" s="43" t="n">
        <v>1</v>
      </c>
      <c r="N730" s="33" t="inlineStr"/>
      <c r="O730" s="43" t="inlineStr">
        <is>
          <t>UNVERIFIED</t>
        </is>
      </c>
      <c r="P730" s="43" t="inlineStr">
        <is>
          <t>Pending Review</t>
        </is>
      </c>
      <c r="Q730" s="33" t="inlineStr">
        <is>
          <t>Confirmar SKU/PCBA revision, PN exacto en Common DB, WO, BU, vigencia, planta y aprobacion firmada.</t>
        </is>
      </c>
    </row>
    <row r="731">
      <c r="A731" s="43" t="inlineStr">
        <is>
          <t>CTANJZ05026</t>
        </is>
      </c>
      <c r="B731" s="43" t="inlineStr">
        <is>
          <t>D608324</t>
        </is>
      </c>
      <c r="C731" s="43" t="inlineStr">
        <is>
          <t>034-IOTBU</t>
        </is>
      </c>
      <c r="D731" s="43" t="inlineStr">
        <is>
          <t>FJZP</t>
        </is>
      </c>
      <c r="E731" s="43" t="inlineStr">
        <is>
          <t>MCGA</t>
        </is>
      </c>
      <c r="F731" s="43" t="inlineStr">
        <is>
          <t>16-101333-01</t>
        </is>
      </c>
      <c r="G731" s="43" t="inlineStr">
        <is>
          <t>OTHER_SCOPE_ITEM</t>
        </is>
      </c>
      <c r="H731" s="43" t="inlineStr"/>
      <c r="I731" s="43" t="inlineStr">
        <is>
          <t>Expired</t>
        </is>
      </c>
      <c r="J731" s="32" t="n">
        <v>46092</v>
      </c>
      <c r="K731" s="32" t="n">
        <v>46036</v>
      </c>
      <c r="L731" s="43" t="inlineStr">
        <is>
          <t>1034</t>
        </is>
      </c>
      <c r="M731" s="43" t="n">
        <v>1</v>
      </c>
      <c r="N731" s="33" t="inlineStr"/>
      <c r="O731" s="43" t="inlineStr">
        <is>
          <t>UNVERIFIED</t>
        </is>
      </c>
      <c r="P731" s="43" t="inlineStr">
        <is>
          <t>Pending Review</t>
        </is>
      </c>
      <c r="Q731" s="33" t="inlineStr">
        <is>
          <t>Confirmar SKU/PCBA revision, PN exacto en Common DB, WO, BU, vigencia, planta y aprobacion firmada.</t>
        </is>
      </c>
    </row>
    <row r="732">
      <c r="A732" s="43" t="inlineStr">
        <is>
          <t>CTANJZ05026</t>
        </is>
      </c>
      <c r="B732" s="43" t="inlineStr">
        <is>
          <t>D608324</t>
        </is>
      </c>
      <c r="C732" s="43" t="inlineStr">
        <is>
          <t>034-IOTBU</t>
        </is>
      </c>
      <c r="D732" s="43" t="inlineStr">
        <is>
          <t>FJZP</t>
        </is>
      </c>
      <c r="E732" s="43" t="inlineStr">
        <is>
          <t>MCGA</t>
        </is>
      </c>
      <c r="F732" s="43" t="inlineStr">
        <is>
          <t>16-101387-01</t>
        </is>
      </c>
      <c r="G732" s="43" t="inlineStr">
        <is>
          <t>OTHER_SCOPE_ITEM</t>
        </is>
      </c>
      <c r="H732" s="43" t="inlineStr"/>
      <c r="I732" s="43" t="inlineStr">
        <is>
          <t>Expired</t>
        </is>
      </c>
      <c r="J732" s="32" t="n">
        <v>46092</v>
      </c>
      <c r="K732" s="32" t="n">
        <v>46036</v>
      </c>
      <c r="L732" s="43" t="inlineStr">
        <is>
          <t>1035</t>
        </is>
      </c>
      <c r="M732" s="43" t="n">
        <v>1</v>
      </c>
      <c r="N732" s="33" t="inlineStr"/>
      <c r="O732" s="43" t="inlineStr">
        <is>
          <t>UNVERIFIED</t>
        </is>
      </c>
      <c r="P732" s="43" t="inlineStr">
        <is>
          <t>Pending Review</t>
        </is>
      </c>
      <c r="Q732" s="33" t="inlineStr">
        <is>
          <t>Confirmar SKU/PCBA revision, PN exacto en Common DB, WO, BU, vigencia, planta y aprobacion firmada.</t>
        </is>
      </c>
    </row>
    <row r="733">
      <c r="A733" s="43" t="inlineStr">
        <is>
          <t>CTANJZ05026</t>
        </is>
      </c>
      <c r="B733" s="43" t="inlineStr">
        <is>
          <t>D608324</t>
        </is>
      </c>
      <c r="C733" s="43" t="inlineStr">
        <is>
          <t>034-IOTBU</t>
        </is>
      </c>
      <c r="D733" s="43" t="inlineStr">
        <is>
          <t>FJZP</t>
        </is>
      </c>
      <c r="E733" s="43" t="inlineStr">
        <is>
          <t>MCGA</t>
        </is>
      </c>
      <c r="F733" s="43" t="inlineStr">
        <is>
          <t>16-101666-01</t>
        </is>
      </c>
      <c r="G733" s="43" t="inlineStr">
        <is>
          <t>OTHER_SCOPE_ITEM</t>
        </is>
      </c>
      <c r="H733" s="43" t="inlineStr"/>
      <c r="I733" s="43" t="inlineStr">
        <is>
          <t>Expired</t>
        </is>
      </c>
      <c r="J733" s="32" t="n">
        <v>46092</v>
      </c>
      <c r="K733" s="32" t="n">
        <v>46036</v>
      </c>
      <c r="L733" s="43" t="inlineStr">
        <is>
          <t>1036</t>
        </is>
      </c>
      <c r="M733" s="43" t="n">
        <v>1</v>
      </c>
      <c r="N733" s="33" t="inlineStr"/>
      <c r="O733" s="43" t="inlineStr">
        <is>
          <t>UNVERIFIED</t>
        </is>
      </c>
      <c r="P733" s="43" t="inlineStr">
        <is>
          <t>Pending Review</t>
        </is>
      </c>
      <c r="Q733" s="33" t="inlineStr">
        <is>
          <t>Confirmar SKU/PCBA revision, PN exacto en Common DB, WO, BU, vigencia, planta y aprobacion firmada.</t>
        </is>
      </c>
    </row>
    <row r="734">
      <c r="A734" s="43" t="inlineStr">
        <is>
          <t>CTANJZ05026</t>
        </is>
      </c>
      <c r="B734" s="43" t="inlineStr">
        <is>
          <t>D608324</t>
        </is>
      </c>
      <c r="C734" s="43" t="inlineStr">
        <is>
          <t>034-IOTBU</t>
        </is>
      </c>
      <c r="D734" s="43" t="inlineStr">
        <is>
          <t>FJZP</t>
        </is>
      </c>
      <c r="E734" s="43" t="inlineStr">
        <is>
          <t>MCGA</t>
        </is>
      </c>
      <c r="F734" s="43" t="inlineStr">
        <is>
          <t>68-101690-01</t>
        </is>
      </c>
      <c r="G734" s="43" t="inlineStr">
        <is>
          <t>OTHER_SCOPE_ITEM</t>
        </is>
      </c>
      <c r="H734" s="43" t="inlineStr"/>
      <c r="I734" s="43" t="inlineStr">
        <is>
          <t>Expired</t>
        </is>
      </c>
      <c r="J734" s="32" t="n">
        <v>46092</v>
      </c>
      <c r="K734" s="32" t="n">
        <v>46036</v>
      </c>
      <c r="L734" s="43" t="inlineStr">
        <is>
          <t>1037</t>
        </is>
      </c>
      <c r="M734" s="43" t="n">
        <v>1</v>
      </c>
      <c r="N734" s="33" t="inlineStr"/>
      <c r="O734" s="43" t="inlineStr">
        <is>
          <t>UNVERIFIED</t>
        </is>
      </c>
      <c r="P734" s="43" t="inlineStr">
        <is>
          <t>Pending Review</t>
        </is>
      </c>
      <c r="Q734" s="33" t="inlineStr">
        <is>
          <t>Confirmar SKU/PCBA revision, PN exacto en Common DB, WO, BU, vigencia, planta y aprobacion firmada.</t>
        </is>
      </c>
    </row>
    <row r="735">
      <c r="A735" s="43" t="inlineStr">
        <is>
          <t>CTANJZ05026</t>
        </is>
      </c>
      <c r="B735" s="43" t="inlineStr">
        <is>
          <t>D608324</t>
        </is>
      </c>
      <c r="C735" s="43" t="inlineStr">
        <is>
          <t>034-IOTBU</t>
        </is>
      </c>
      <c r="D735" s="43" t="inlineStr">
        <is>
          <t>FJZP</t>
        </is>
      </c>
      <c r="E735" s="43" t="inlineStr">
        <is>
          <t>MCGA</t>
        </is>
      </c>
      <c r="F735" s="43" t="inlineStr">
        <is>
          <t>68-101828-01</t>
        </is>
      </c>
      <c r="G735" s="43" t="inlineStr">
        <is>
          <t>OTHER_SCOPE_ITEM</t>
        </is>
      </c>
      <c r="H735" s="43" t="inlineStr"/>
      <c r="I735" s="43" t="inlineStr">
        <is>
          <t>Expired</t>
        </is>
      </c>
      <c r="J735" s="32" t="n">
        <v>46092</v>
      </c>
      <c r="K735" s="32" t="n">
        <v>46036</v>
      </c>
      <c r="L735" s="43" t="inlineStr">
        <is>
          <t>1038</t>
        </is>
      </c>
      <c r="M735" s="43" t="n">
        <v>1</v>
      </c>
      <c r="N735" s="33" t="inlineStr"/>
      <c r="O735" s="43" t="inlineStr">
        <is>
          <t>UNVERIFIED</t>
        </is>
      </c>
      <c r="P735" s="43" t="inlineStr">
        <is>
          <t>Pending Review</t>
        </is>
      </c>
      <c r="Q735" s="33" t="inlineStr">
        <is>
          <t>Confirmar SKU/PCBA revision, PN exacto en Common DB, WO, BU, vigencia, planta y aprobacion firmada.</t>
        </is>
      </c>
    </row>
    <row r="736">
      <c r="A736" s="43" t="inlineStr">
        <is>
          <t>CTANJZ05026</t>
        </is>
      </c>
      <c r="B736" s="43" t="inlineStr">
        <is>
          <t>D608324</t>
        </is>
      </c>
      <c r="C736" s="43" t="inlineStr">
        <is>
          <t>034-IOTBU</t>
        </is>
      </c>
      <c r="D736" s="43" t="inlineStr">
        <is>
          <t>FJZP</t>
        </is>
      </c>
      <c r="E736" s="43" t="inlineStr">
        <is>
          <t>MCGA</t>
        </is>
      </c>
      <c r="F736" s="43" t="inlineStr">
        <is>
          <t>68-102729-01</t>
        </is>
      </c>
      <c r="G736" s="43" t="inlineStr">
        <is>
          <t>OTHER_SCOPE_ITEM</t>
        </is>
      </c>
      <c r="H736" s="43" t="inlineStr"/>
      <c r="I736" s="43" t="inlineStr">
        <is>
          <t>Expired</t>
        </is>
      </c>
      <c r="J736" s="32" t="n">
        <v>46092</v>
      </c>
      <c r="K736" s="32" t="n">
        <v>46036</v>
      </c>
      <c r="L736" s="43" t="inlineStr">
        <is>
          <t>1039</t>
        </is>
      </c>
      <c r="M736" s="43" t="n">
        <v>1</v>
      </c>
      <c r="N736" s="33" t="inlineStr"/>
      <c r="O736" s="43" t="inlineStr">
        <is>
          <t>UNVERIFIED</t>
        </is>
      </c>
      <c r="P736" s="43" t="inlineStr">
        <is>
          <t>Pending Review</t>
        </is>
      </c>
      <c r="Q736" s="33" t="inlineStr">
        <is>
          <t>Confirmar SKU/PCBA revision, PN exacto en Common DB, WO, BU, vigencia, planta y aprobacion firmada.</t>
        </is>
      </c>
    </row>
    <row r="737">
      <c r="A737" s="43" t="inlineStr">
        <is>
          <t>CTANJZ05026</t>
        </is>
      </c>
      <c r="B737" s="43" t="inlineStr">
        <is>
          <t>D608324</t>
        </is>
      </c>
      <c r="C737" s="43" t="inlineStr">
        <is>
          <t>034-IOTBU</t>
        </is>
      </c>
      <c r="D737" s="43" t="inlineStr">
        <is>
          <t>FJZP</t>
        </is>
      </c>
      <c r="E737" s="43" t="inlineStr">
        <is>
          <t>MCGA</t>
        </is>
      </c>
      <c r="F737" s="43" t="inlineStr">
        <is>
          <t>68-102730-01</t>
        </is>
      </c>
      <c r="G737" s="43" t="inlineStr">
        <is>
          <t>OTHER_SCOPE_ITEM</t>
        </is>
      </c>
      <c r="H737" s="43" t="inlineStr"/>
      <c r="I737" s="43" t="inlineStr">
        <is>
          <t>Expired</t>
        </is>
      </c>
      <c r="J737" s="32" t="n">
        <v>46092</v>
      </c>
      <c r="K737" s="32" t="n">
        <v>46036</v>
      </c>
      <c r="L737" s="43" t="inlineStr">
        <is>
          <t>1040</t>
        </is>
      </c>
      <c r="M737" s="43" t="n">
        <v>1</v>
      </c>
      <c r="N737" s="33" t="inlineStr"/>
      <c r="O737" s="43" t="inlineStr">
        <is>
          <t>UNVERIFIED</t>
        </is>
      </c>
      <c r="P737" s="43" t="inlineStr">
        <is>
          <t>Pending Review</t>
        </is>
      </c>
      <c r="Q737" s="33" t="inlineStr">
        <is>
          <t>Confirmar SKU/PCBA revision, PN exacto en Common DB, WO, BU, vigencia, planta y aprobacion firmada.</t>
        </is>
      </c>
    </row>
    <row r="738">
      <c r="A738" s="43" t="inlineStr">
        <is>
          <t>CTANJZ05026</t>
        </is>
      </c>
      <c r="B738" s="43" t="inlineStr">
        <is>
          <t>D608324</t>
        </is>
      </c>
      <c r="C738" s="43" t="inlineStr">
        <is>
          <t>034-IOTBU</t>
        </is>
      </c>
      <c r="D738" s="43" t="inlineStr">
        <is>
          <t>FJZP</t>
        </is>
      </c>
      <c r="E738" s="43" t="inlineStr">
        <is>
          <t>MCGA</t>
        </is>
      </c>
      <c r="F738" s="43" t="inlineStr">
        <is>
          <t>68-104004-01</t>
        </is>
      </c>
      <c r="G738" s="43" t="inlineStr">
        <is>
          <t>OTHER_SCOPE_ITEM</t>
        </is>
      </c>
      <c r="H738" s="43" t="inlineStr"/>
      <c r="I738" s="43" t="inlineStr">
        <is>
          <t>Expired</t>
        </is>
      </c>
      <c r="J738" s="32" t="n">
        <v>46092</v>
      </c>
      <c r="K738" s="32" t="n">
        <v>46036</v>
      </c>
      <c r="L738" s="43" t="inlineStr">
        <is>
          <t>1041</t>
        </is>
      </c>
      <c r="M738" s="43" t="n">
        <v>1</v>
      </c>
      <c r="N738" s="33" t="inlineStr"/>
      <c r="O738" s="43" t="inlineStr">
        <is>
          <t>UNVERIFIED</t>
        </is>
      </c>
      <c r="P738" s="43" t="inlineStr">
        <is>
          <t>Pending Review</t>
        </is>
      </c>
      <c r="Q738" s="33" t="inlineStr">
        <is>
          <t>Confirmar SKU/PCBA revision, PN exacto en Common DB, WO, BU, vigencia, planta y aprobacion firmada.</t>
        </is>
      </c>
    </row>
    <row r="739">
      <c r="A739" s="43" t="inlineStr">
        <is>
          <t>CTANJZ05026</t>
        </is>
      </c>
      <c r="B739" s="43" t="inlineStr">
        <is>
          <t>D608324</t>
        </is>
      </c>
      <c r="C739" s="43" t="inlineStr">
        <is>
          <t>034-IOTBU</t>
        </is>
      </c>
      <c r="D739" s="43" t="inlineStr">
        <is>
          <t>FJZP</t>
        </is>
      </c>
      <c r="E739" s="43" t="inlineStr">
        <is>
          <t>MCGA</t>
        </is>
      </c>
      <c r="F739" s="43" t="inlineStr">
        <is>
          <t>73-101439-04</t>
        </is>
      </c>
      <c r="G739" s="43" t="inlineStr">
        <is>
          <t>BOARD_PN_CANDIDATE</t>
        </is>
      </c>
      <c r="H739" s="43" t="inlineStr"/>
      <c r="I739" s="43" t="inlineStr">
        <is>
          <t>Expired</t>
        </is>
      </c>
      <c r="J739" s="32" t="n">
        <v>46092</v>
      </c>
      <c r="K739" s="32" t="n">
        <v>46036</v>
      </c>
      <c r="L739" s="43" t="inlineStr">
        <is>
          <t>1042</t>
        </is>
      </c>
      <c r="M739" s="43" t="n">
        <v>1</v>
      </c>
      <c r="N739" s="33" t="inlineStr"/>
      <c r="O739" s="43" t="inlineStr">
        <is>
          <t>UNVERIFIED</t>
        </is>
      </c>
      <c r="P739" s="43" t="inlineStr">
        <is>
          <t>Pending Review</t>
        </is>
      </c>
      <c r="Q739" s="33" t="inlineStr">
        <is>
          <t>Confirmar SKU/PCBA revision, PN exacto en Common DB, WO, BU, vigencia, planta y aprobacion firmada.</t>
        </is>
      </c>
    </row>
    <row r="740">
      <c r="A740" s="43" t="inlineStr">
        <is>
          <t>CTANJZ05026</t>
        </is>
      </c>
      <c r="B740" s="43" t="inlineStr">
        <is>
          <t>D608324</t>
        </is>
      </c>
      <c r="C740" s="43" t="inlineStr">
        <is>
          <t>034-IOTBU</t>
        </is>
      </c>
      <c r="D740" s="43" t="inlineStr">
        <is>
          <t>FJZP</t>
        </is>
      </c>
      <c r="E740" s="43" t="inlineStr">
        <is>
          <t>MCGA</t>
        </is>
      </c>
      <c r="F740" s="43" t="inlineStr">
        <is>
          <t>73-102239-04</t>
        </is>
      </c>
      <c r="G740" s="43" t="inlineStr">
        <is>
          <t>BOARD_PN_CANDIDATE</t>
        </is>
      </c>
      <c r="H740" s="43" t="inlineStr"/>
      <c r="I740" s="43" t="inlineStr">
        <is>
          <t>Expired</t>
        </is>
      </c>
      <c r="J740" s="32" t="n">
        <v>46092</v>
      </c>
      <c r="K740" s="32" t="n">
        <v>46036</v>
      </c>
      <c r="L740" s="43" t="inlineStr">
        <is>
          <t>1043</t>
        </is>
      </c>
      <c r="M740" s="43" t="n">
        <v>1</v>
      </c>
      <c r="N740" s="33" t="inlineStr"/>
      <c r="O740" s="43" t="inlineStr">
        <is>
          <t>UNVERIFIED</t>
        </is>
      </c>
      <c r="P740" s="43" t="inlineStr">
        <is>
          <t>Pending Review</t>
        </is>
      </c>
      <c r="Q740" s="33" t="inlineStr">
        <is>
          <t>Confirmar SKU/PCBA revision, PN exacto en Common DB, WO, BU, vigencia, planta y aprobacion firmada.</t>
        </is>
      </c>
    </row>
    <row r="741">
      <c r="A741" s="43" t="inlineStr">
        <is>
          <t>CTANJZ05026</t>
        </is>
      </c>
      <c r="B741" s="43" t="inlineStr">
        <is>
          <t>D608324</t>
        </is>
      </c>
      <c r="C741" s="43" t="inlineStr">
        <is>
          <t>034-IOTBU</t>
        </is>
      </c>
      <c r="D741" s="43" t="inlineStr">
        <is>
          <t>FJZP</t>
        </is>
      </c>
      <c r="E741" s="43" t="inlineStr">
        <is>
          <t>MCGA</t>
        </is>
      </c>
      <c r="F741" s="43" t="inlineStr">
        <is>
          <t>73-103098-03</t>
        </is>
      </c>
      <c r="G741" s="43" t="inlineStr">
        <is>
          <t>BOARD_PN_CANDIDATE</t>
        </is>
      </c>
      <c r="H741" s="43" t="inlineStr"/>
      <c r="I741" s="43" t="inlineStr">
        <is>
          <t>Expired</t>
        </is>
      </c>
      <c r="J741" s="32" t="n">
        <v>46092</v>
      </c>
      <c r="K741" s="32" t="n">
        <v>46036</v>
      </c>
      <c r="L741" s="43" t="inlineStr">
        <is>
          <t>1044</t>
        </is>
      </c>
      <c r="M741" s="43" t="n">
        <v>1</v>
      </c>
      <c r="N741" s="33" t="inlineStr"/>
      <c r="O741" s="43" t="inlineStr">
        <is>
          <t>UNVERIFIED</t>
        </is>
      </c>
      <c r="P741" s="43" t="inlineStr">
        <is>
          <t>Pending Review</t>
        </is>
      </c>
      <c r="Q741" s="33" t="inlineStr">
        <is>
          <t>Confirmar SKU/PCBA revision, PN exacto en Common DB, WO, BU, vigencia, planta y aprobacion firmada.</t>
        </is>
      </c>
    </row>
    <row r="742">
      <c r="A742" s="43" t="inlineStr">
        <is>
          <t>CTANJZ05029</t>
        </is>
      </c>
      <c r="B742" s="43" t="inlineStr">
        <is>
          <t>D608309</t>
        </is>
      </c>
      <c r="C742" s="43" t="inlineStr">
        <is>
          <t>037-STBU</t>
        </is>
      </c>
      <c r="D742" s="43" t="inlineStr">
        <is>
          <t>FJZP</t>
        </is>
      </c>
      <c r="E742" s="43" t="inlineStr">
        <is>
          <t>MCGA</t>
        </is>
      </c>
      <c r="F742" s="43" t="inlineStr">
        <is>
          <t>73-103633-04</t>
        </is>
      </c>
      <c r="G742" s="43" t="inlineStr">
        <is>
          <t>BOARD_PN_CANDIDATE</t>
        </is>
      </c>
      <c r="H742" s="43" t="inlineStr"/>
      <c r="I742" s="43" t="inlineStr">
        <is>
          <t>Expired</t>
        </is>
      </c>
      <c r="J742" s="32" t="n">
        <v>46092</v>
      </c>
      <c r="K742" s="32" t="n">
        <v>46049</v>
      </c>
      <c r="L742" s="43" t="inlineStr">
        <is>
          <t>965</t>
        </is>
      </c>
      <c r="M742" s="43" t="n">
        <v>1</v>
      </c>
      <c r="N742" s="33" t="inlineStr"/>
      <c r="O742" s="43" t="inlineStr">
        <is>
          <t>UNVERIFIED</t>
        </is>
      </c>
      <c r="P742" s="43" t="inlineStr">
        <is>
          <t>Pending Review</t>
        </is>
      </c>
      <c r="Q742" s="33" t="inlineStr">
        <is>
          <t>Confirmar SKU/PCBA revision, PN exacto en Common DB, WO, BU, vigencia, planta y aprobacion firmada.</t>
        </is>
      </c>
    </row>
    <row r="743">
      <c r="A743" s="43" t="inlineStr">
        <is>
          <t>CTANJZ05029</t>
        </is>
      </c>
      <c r="B743" s="43" t="inlineStr">
        <is>
          <t>D608309</t>
        </is>
      </c>
      <c r="C743" s="43" t="inlineStr">
        <is>
          <t>037-STBU</t>
        </is>
      </c>
      <c r="D743" s="43" t="inlineStr">
        <is>
          <t>FJZP</t>
        </is>
      </c>
      <c r="E743" s="43" t="inlineStr">
        <is>
          <t>MCGA</t>
        </is>
      </c>
      <c r="F743" s="43" t="inlineStr">
        <is>
          <t>800-112720-04</t>
        </is>
      </c>
      <c r="G743" s="43" t="inlineStr">
        <is>
          <t>OTHER_SCOPE_ITEM</t>
        </is>
      </c>
      <c r="H743" s="43" t="inlineStr"/>
      <c r="I743" s="43" t="inlineStr">
        <is>
          <t>Expired</t>
        </is>
      </c>
      <c r="J743" s="32" t="n">
        <v>46092</v>
      </c>
      <c r="K743" s="32" t="n">
        <v>46049</v>
      </c>
      <c r="L743" s="43" t="inlineStr">
        <is>
          <t>966</t>
        </is>
      </c>
      <c r="M743" s="43" t="n">
        <v>1</v>
      </c>
      <c r="N743" s="33" t="inlineStr"/>
      <c r="O743" s="43" t="inlineStr">
        <is>
          <t>UNVERIFIED</t>
        </is>
      </c>
      <c r="P743" s="43" t="inlineStr">
        <is>
          <t>Pending Review</t>
        </is>
      </c>
      <c r="Q743" s="33" t="inlineStr">
        <is>
          <t>Confirmar SKU/PCBA revision, PN exacto en Common DB, WO, BU, vigencia, planta y aprobacion firmada.</t>
        </is>
      </c>
    </row>
    <row r="744">
      <c r="A744" s="43" t="inlineStr">
        <is>
          <t>CTANJZ05041</t>
        </is>
      </c>
      <c r="B744" s="43" t="inlineStr">
        <is>
          <t>DP525661</t>
        </is>
      </c>
      <c r="C744" s="43" t="inlineStr">
        <is>
          <t>035-CVEBU</t>
        </is>
      </c>
      <c r="D744" s="43" t="inlineStr">
        <is>
          <t>FJZP</t>
        </is>
      </c>
      <c r="E744" s="43" t="inlineStr">
        <is>
          <t>MCGA</t>
        </is>
      </c>
      <c r="F744" s="43" t="inlineStr">
        <is>
          <t>73-103826-04</t>
        </is>
      </c>
      <c r="G744" s="43" t="inlineStr">
        <is>
          <t>BOARD_PN_CANDIDATE</t>
        </is>
      </c>
      <c r="H744" s="43" t="inlineStr"/>
      <c r="I744" s="43" t="inlineStr">
        <is>
          <t>Expired</t>
        </is>
      </c>
      <c r="J744" s="32" t="n">
        <v>46070</v>
      </c>
      <c r="K744" s="32" t="n">
        <v>46045</v>
      </c>
      <c r="L744" s="43" t="inlineStr">
        <is>
          <t>155</t>
        </is>
      </c>
      <c r="M744" s="43" t="n">
        <v>1</v>
      </c>
      <c r="N744" s="33" t="inlineStr"/>
      <c r="O744" s="43" t="inlineStr">
        <is>
          <t>UNVERIFIED</t>
        </is>
      </c>
      <c r="P744" s="43" t="inlineStr">
        <is>
          <t>Pending Review</t>
        </is>
      </c>
      <c r="Q744" s="33" t="inlineStr">
        <is>
          <t>Confirmar SKU/PCBA revision, PN exacto en Common DB, WO, BU, vigencia, planta y aprobacion firmada.</t>
        </is>
      </c>
    </row>
    <row r="745">
      <c r="A745" s="43" t="inlineStr">
        <is>
          <t>CTANJZ05042</t>
        </is>
      </c>
      <c r="B745" s="43" t="inlineStr">
        <is>
          <t>D608554</t>
        </is>
      </c>
      <c r="C745" s="43" t="inlineStr">
        <is>
          <t>037-STBU</t>
        </is>
      </c>
      <c r="D745" s="43" t="inlineStr">
        <is>
          <t>FJZP</t>
        </is>
      </c>
      <c r="E745" s="43" t="inlineStr">
        <is>
          <t>MCGA</t>
        </is>
      </c>
      <c r="F745" s="43" t="inlineStr">
        <is>
          <t>17-102472-02</t>
        </is>
      </c>
      <c r="G745" s="43" t="inlineStr">
        <is>
          <t>OTHER_SCOPE_ITEM</t>
        </is>
      </c>
      <c r="H745" s="43" t="inlineStr"/>
      <c r="I745" s="43" t="inlineStr">
        <is>
          <t>Expired</t>
        </is>
      </c>
      <c r="J745" s="32" t="n">
        <v>46101</v>
      </c>
      <c r="K745" s="32" t="n">
        <v>46049</v>
      </c>
      <c r="L745" s="43" t="inlineStr">
        <is>
          <t>1629</t>
        </is>
      </c>
      <c r="M745" s="43" t="n">
        <v>1</v>
      </c>
      <c r="N745" s="33" t="inlineStr"/>
      <c r="O745" s="43" t="inlineStr">
        <is>
          <t>UNVERIFIED</t>
        </is>
      </c>
      <c r="P745" s="43" t="inlineStr">
        <is>
          <t>Pending Review</t>
        </is>
      </c>
      <c r="Q745" s="33" t="inlineStr">
        <is>
          <t>Confirmar SKU/PCBA revision, PN exacto en Common DB, WO, BU, vigencia, planta y aprobacion firmada.</t>
        </is>
      </c>
    </row>
    <row r="746">
      <c r="A746" s="43" t="inlineStr">
        <is>
          <t>CTANJZ05042</t>
        </is>
      </c>
      <c r="B746" s="43" t="inlineStr">
        <is>
          <t>D608554</t>
        </is>
      </c>
      <c r="C746" s="43" t="inlineStr">
        <is>
          <t>037-STBU</t>
        </is>
      </c>
      <c r="D746" s="43" t="inlineStr">
        <is>
          <t>FJZP</t>
        </is>
      </c>
      <c r="E746" s="43" t="inlineStr">
        <is>
          <t>MCGA</t>
        </is>
      </c>
      <c r="F746" s="43" t="inlineStr">
        <is>
          <t>73-102433-05</t>
        </is>
      </c>
      <c r="G746" s="43" t="inlineStr">
        <is>
          <t>BOARD_PN_CANDIDATE</t>
        </is>
      </c>
      <c r="H746" s="43" t="inlineStr"/>
      <c r="I746" s="43" t="inlineStr">
        <is>
          <t>Expired</t>
        </is>
      </c>
      <c r="J746" s="32" t="n">
        <v>46101</v>
      </c>
      <c r="K746" s="32" t="n">
        <v>46049</v>
      </c>
      <c r="L746" s="43" t="inlineStr">
        <is>
          <t>1630</t>
        </is>
      </c>
      <c r="M746" s="43" t="n">
        <v>1</v>
      </c>
      <c r="N746" s="33" t="inlineStr"/>
      <c r="O746" s="43" t="inlineStr">
        <is>
          <t>UNVERIFIED</t>
        </is>
      </c>
      <c r="P746" s="43" t="inlineStr">
        <is>
          <t>Pending Review</t>
        </is>
      </c>
      <c r="Q746" s="33" t="inlineStr">
        <is>
          <t>Confirmar SKU/PCBA revision, PN exacto en Common DB, WO, BU, vigencia, planta y aprobacion firmada.</t>
        </is>
      </c>
    </row>
    <row r="747">
      <c r="A747" s="43" t="inlineStr">
        <is>
          <t>CTANJZ05042</t>
        </is>
      </c>
      <c r="B747" s="43" t="inlineStr">
        <is>
          <t>D608554</t>
        </is>
      </c>
      <c r="C747" s="43" t="inlineStr">
        <is>
          <t>037-STBU</t>
        </is>
      </c>
      <c r="D747" s="43" t="inlineStr">
        <is>
          <t>FJZP</t>
        </is>
      </c>
      <c r="E747" s="43" t="inlineStr">
        <is>
          <t>MCGA</t>
        </is>
      </c>
      <c r="F747" s="43" t="inlineStr">
        <is>
          <t>73-102434-05</t>
        </is>
      </c>
      <c r="G747" s="43" t="inlineStr">
        <is>
          <t>BOARD_PN_CANDIDATE</t>
        </is>
      </c>
      <c r="H747" s="43" t="inlineStr"/>
      <c r="I747" s="43" t="inlineStr">
        <is>
          <t>Expired</t>
        </is>
      </c>
      <c r="J747" s="32" t="n">
        <v>46101</v>
      </c>
      <c r="K747" s="32" t="n">
        <v>46049</v>
      </c>
      <c r="L747" s="43" t="inlineStr">
        <is>
          <t>1658</t>
        </is>
      </c>
      <c r="M747" s="43" t="n">
        <v>1</v>
      </c>
      <c r="N747" s="33" t="inlineStr"/>
      <c r="O747" s="43" t="inlineStr">
        <is>
          <t>UNVERIFIED</t>
        </is>
      </c>
      <c r="P747" s="43" t="inlineStr">
        <is>
          <t>Pending Review</t>
        </is>
      </c>
      <c r="Q747" s="33" t="inlineStr">
        <is>
          <t>Confirmar SKU/PCBA revision, PN exacto en Common DB, WO, BU, vigencia, planta y aprobacion firmada.</t>
        </is>
      </c>
    </row>
    <row r="748">
      <c r="A748" s="43" t="inlineStr">
        <is>
          <t>CTANJZ05042</t>
        </is>
      </c>
      <c r="B748" s="43" t="inlineStr">
        <is>
          <t>D608554</t>
        </is>
      </c>
      <c r="C748" s="43" t="inlineStr">
        <is>
          <t>037-STBU</t>
        </is>
      </c>
      <c r="D748" s="43" t="inlineStr">
        <is>
          <t>FJZP</t>
        </is>
      </c>
      <c r="E748" s="43" t="inlineStr">
        <is>
          <t>MCGA</t>
        </is>
      </c>
      <c r="F748" s="43" t="inlineStr">
        <is>
          <t>73-102435-05</t>
        </is>
      </c>
      <c r="G748" s="43" t="inlineStr">
        <is>
          <t>BOARD_PN_CANDIDATE</t>
        </is>
      </c>
      <c r="H748" s="43" t="inlineStr"/>
      <c r="I748" s="43" t="inlineStr">
        <is>
          <t>Expired</t>
        </is>
      </c>
      <c r="J748" s="32" t="n">
        <v>46101</v>
      </c>
      <c r="K748" s="32" t="n">
        <v>46049</v>
      </c>
      <c r="L748" s="43" t="inlineStr">
        <is>
          <t>1659</t>
        </is>
      </c>
      <c r="M748" s="43" t="n">
        <v>1</v>
      </c>
      <c r="N748" s="33" t="inlineStr"/>
      <c r="O748" s="43" t="inlineStr">
        <is>
          <t>UNVERIFIED</t>
        </is>
      </c>
      <c r="P748" s="43" t="inlineStr">
        <is>
          <t>Pending Review</t>
        </is>
      </c>
      <c r="Q748" s="33" t="inlineStr">
        <is>
          <t>Confirmar SKU/PCBA revision, PN exacto en Common DB, WO, BU, vigencia, planta y aprobacion firmada.</t>
        </is>
      </c>
    </row>
    <row r="749">
      <c r="A749" s="43" t="inlineStr">
        <is>
          <t>CTANJZ05045</t>
        </is>
      </c>
      <c r="B749" s="43" t="inlineStr">
        <is>
          <t>D607856</t>
        </is>
      </c>
      <c r="C749" s="43" t="inlineStr">
        <is>
          <t>037-STBU</t>
        </is>
      </c>
      <c r="D749" s="43" t="inlineStr">
        <is>
          <t>FJZP</t>
        </is>
      </c>
      <c r="E749" s="43" t="inlineStr">
        <is>
          <t>MCGA</t>
        </is>
      </c>
      <c r="F749" s="43" t="inlineStr">
        <is>
          <t>800-108035-05</t>
        </is>
      </c>
      <c r="G749" s="43" t="inlineStr">
        <is>
          <t>OTHER_SCOPE_ITEM</t>
        </is>
      </c>
      <c r="H749" s="43" t="inlineStr"/>
      <c r="I749" s="43" t="inlineStr">
        <is>
          <t>Expired</t>
        </is>
      </c>
      <c r="J749" s="32" t="n">
        <v>46104</v>
      </c>
      <c r="K749" s="32" t="n">
        <v>46049</v>
      </c>
      <c r="L749" s="43" t="inlineStr">
        <is>
          <t>956</t>
        </is>
      </c>
      <c r="M749" s="43" t="n">
        <v>1</v>
      </c>
      <c r="N749" s="33" t="inlineStr"/>
      <c r="O749" s="43" t="inlineStr">
        <is>
          <t>UNVERIFIED</t>
        </is>
      </c>
      <c r="P749" s="43" t="inlineStr">
        <is>
          <t>Pending Review</t>
        </is>
      </c>
      <c r="Q749" s="33" t="inlineStr">
        <is>
          <t>Confirmar SKU/PCBA revision, PN exacto en Common DB, WO, BU, vigencia, planta y aprobacion firmada.</t>
        </is>
      </c>
    </row>
    <row r="750">
      <c r="A750" s="43" t="inlineStr">
        <is>
          <t>CTANJZ05045</t>
        </is>
      </c>
      <c r="B750" s="43" t="inlineStr">
        <is>
          <t>D607856</t>
        </is>
      </c>
      <c r="C750" s="43" t="inlineStr">
        <is>
          <t>037-STBU</t>
        </is>
      </c>
      <c r="D750" s="43" t="inlineStr">
        <is>
          <t>FJZP</t>
        </is>
      </c>
      <c r="E750" s="43" t="inlineStr">
        <is>
          <t>MCGA</t>
        </is>
      </c>
      <c r="F750" s="43" t="inlineStr">
        <is>
          <t>800-108036-05</t>
        </is>
      </c>
      <c r="G750" s="43" t="inlineStr">
        <is>
          <t>OTHER_SCOPE_ITEM</t>
        </is>
      </c>
      <c r="H750" s="43" t="inlineStr"/>
      <c r="I750" s="43" t="inlineStr">
        <is>
          <t>Expired</t>
        </is>
      </c>
      <c r="J750" s="32" t="n">
        <v>46104</v>
      </c>
      <c r="K750" s="32" t="n">
        <v>46049</v>
      </c>
      <c r="L750" s="43" t="inlineStr">
        <is>
          <t>957</t>
        </is>
      </c>
      <c r="M750" s="43" t="n">
        <v>1</v>
      </c>
      <c r="N750" s="33" t="inlineStr"/>
      <c r="O750" s="43" t="inlineStr">
        <is>
          <t>UNVERIFIED</t>
        </is>
      </c>
      <c r="P750" s="43" t="inlineStr">
        <is>
          <t>Pending Review</t>
        </is>
      </c>
      <c r="Q750" s="33" t="inlineStr">
        <is>
          <t>Confirmar SKU/PCBA revision, PN exacto en Common DB, WO, BU, vigencia, planta y aprobacion firmada.</t>
        </is>
      </c>
    </row>
    <row r="751">
      <c r="A751" s="43" t="inlineStr">
        <is>
          <t>CTANJZ05045</t>
        </is>
      </c>
      <c r="B751" s="43" t="inlineStr">
        <is>
          <t>D607856</t>
        </is>
      </c>
      <c r="C751" s="43" t="inlineStr">
        <is>
          <t>037-STBU</t>
        </is>
      </c>
      <c r="D751" s="43" t="inlineStr">
        <is>
          <t>FJZP</t>
        </is>
      </c>
      <c r="E751" s="43" t="inlineStr">
        <is>
          <t>MCGA</t>
        </is>
      </c>
      <c r="F751" s="43" t="inlineStr">
        <is>
          <t>800-108037-05</t>
        </is>
      </c>
      <c r="G751" s="43" t="inlineStr">
        <is>
          <t>OTHER_SCOPE_ITEM</t>
        </is>
      </c>
      <c r="H751" s="43" t="inlineStr"/>
      <c r="I751" s="43" t="inlineStr">
        <is>
          <t>Expired</t>
        </is>
      </c>
      <c r="J751" s="32" t="n">
        <v>46104</v>
      </c>
      <c r="K751" s="32" t="n">
        <v>46049</v>
      </c>
      <c r="L751" s="43" t="inlineStr">
        <is>
          <t>958</t>
        </is>
      </c>
      <c r="M751" s="43" t="n">
        <v>1</v>
      </c>
      <c r="N751" s="33" t="inlineStr"/>
      <c r="O751" s="43" t="inlineStr">
        <is>
          <t>UNVERIFIED</t>
        </is>
      </c>
      <c r="P751" s="43" t="inlineStr">
        <is>
          <t>Pending Review</t>
        </is>
      </c>
      <c r="Q751" s="33" t="inlineStr">
        <is>
          <t>Confirmar SKU/PCBA revision, PN exacto en Common DB, WO, BU, vigencia, planta y aprobacion firmada.</t>
        </is>
      </c>
    </row>
    <row r="752">
      <c r="A752" s="43" t="inlineStr">
        <is>
          <t>CTANJZ05045</t>
        </is>
      </c>
      <c r="B752" s="43" t="inlineStr">
        <is>
          <t>D607856</t>
        </is>
      </c>
      <c r="C752" s="43" t="inlineStr">
        <is>
          <t>037-STBU</t>
        </is>
      </c>
      <c r="D752" s="43" t="inlineStr">
        <is>
          <t>FJZP</t>
        </is>
      </c>
      <c r="E752" s="43" t="inlineStr">
        <is>
          <t>MCGA</t>
        </is>
      </c>
      <c r="F752" s="43" t="inlineStr">
        <is>
          <t>800-108038-05</t>
        </is>
      </c>
      <c r="G752" s="43" t="inlineStr">
        <is>
          <t>OTHER_SCOPE_ITEM</t>
        </is>
      </c>
      <c r="H752" s="43" t="inlineStr"/>
      <c r="I752" s="43" t="inlineStr">
        <is>
          <t>Expired</t>
        </is>
      </c>
      <c r="J752" s="32" t="n">
        <v>46104</v>
      </c>
      <c r="K752" s="32" t="n">
        <v>46049</v>
      </c>
      <c r="L752" s="43" t="inlineStr">
        <is>
          <t>1060</t>
        </is>
      </c>
      <c r="M752" s="43" t="n">
        <v>1</v>
      </c>
      <c r="N752" s="33" t="inlineStr"/>
      <c r="O752" s="43" t="inlineStr">
        <is>
          <t>UNVERIFIED</t>
        </is>
      </c>
      <c r="P752" s="43" t="inlineStr">
        <is>
          <t>Pending Review</t>
        </is>
      </c>
      <c r="Q752" s="33" t="inlineStr">
        <is>
          <t>Confirmar SKU/PCBA revision, PN exacto en Common DB, WO, BU, vigencia, planta y aprobacion firmada.</t>
        </is>
      </c>
    </row>
    <row r="753">
      <c r="A753" s="43" t="inlineStr">
        <is>
          <t>CTANJZ05045</t>
        </is>
      </c>
      <c r="B753" s="43" t="inlineStr">
        <is>
          <t>D607856</t>
        </is>
      </c>
      <c r="C753" s="43" t="inlineStr">
        <is>
          <t>037-STBU</t>
        </is>
      </c>
      <c r="D753" s="43" t="inlineStr">
        <is>
          <t>FJZP</t>
        </is>
      </c>
      <c r="E753" s="43" t="inlineStr">
        <is>
          <t>MCGA</t>
        </is>
      </c>
      <c r="F753" s="43" t="inlineStr">
        <is>
          <t>800-109483-01</t>
        </is>
      </c>
      <c r="G753" s="43" t="inlineStr">
        <is>
          <t>OTHER_SCOPE_ITEM</t>
        </is>
      </c>
      <c r="H753" s="43" t="inlineStr"/>
      <c r="I753" s="43" t="inlineStr">
        <is>
          <t>Expired</t>
        </is>
      </c>
      <c r="J753" s="32" t="n">
        <v>46104</v>
      </c>
      <c r="K753" s="32" t="n">
        <v>46049</v>
      </c>
      <c r="L753" s="43" t="inlineStr">
        <is>
          <t>1061</t>
        </is>
      </c>
      <c r="M753" s="43" t="n">
        <v>1</v>
      </c>
      <c r="N753" s="33" t="inlineStr"/>
      <c r="O753" s="43" t="inlineStr">
        <is>
          <t>UNVERIFIED</t>
        </is>
      </c>
      <c r="P753" s="43" t="inlineStr">
        <is>
          <t>Pending Review</t>
        </is>
      </c>
      <c r="Q753" s="33" t="inlineStr">
        <is>
          <t>Confirmar SKU/PCBA revision, PN exacto en Common DB, WO, BU, vigencia, planta y aprobacion firmada.</t>
        </is>
      </c>
    </row>
    <row r="754">
      <c r="A754" s="43" t="inlineStr">
        <is>
          <t>CTANJZ05045</t>
        </is>
      </c>
      <c r="B754" s="43" t="inlineStr">
        <is>
          <t>D607856</t>
        </is>
      </c>
      <c r="C754" s="43" t="inlineStr">
        <is>
          <t>037-STBU</t>
        </is>
      </c>
      <c r="D754" s="43" t="inlineStr">
        <is>
          <t>FJZP</t>
        </is>
      </c>
      <c r="E754" s="43" t="inlineStr">
        <is>
          <t>MCGA</t>
        </is>
      </c>
      <c r="F754" s="43" t="inlineStr">
        <is>
          <t>800-110666-02</t>
        </is>
      </c>
      <c r="G754" s="43" t="inlineStr">
        <is>
          <t>OTHER_SCOPE_ITEM</t>
        </is>
      </c>
      <c r="H754" s="43" t="inlineStr"/>
      <c r="I754" s="43" t="inlineStr">
        <is>
          <t>Expired</t>
        </is>
      </c>
      <c r="J754" s="32" t="n">
        <v>46104</v>
      </c>
      <c r="K754" s="32" t="n">
        <v>46049</v>
      </c>
      <c r="L754" s="43" t="inlineStr">
        <is>
          <t>1062</t>
        </is>
      </c>
      <c r="M754" s="43" t="n">
        <v>1</v>
      </c>
      <c r="N754" s="33" t="inlineStr"/>
      <c r="O754" s="43" t="inlineStr">
        <is>
          <t>UNVERIFIED</t>
        </is>
      </c>
      <c r="P754" s="43" t="inlineStr">
        <is>
          <t>Pending Review</t>
        </is>
      </c>
      <c r="Q754" s="33" t="inlineStr">
        <is>
          <t>Confirmar SKU/PCBA revision, PN exacto en Common DB, WO, BU, vigencia, planta y aprobacion firmada.</t>
        </is>
      </c>
    </row>
    <row r="755">
      <c r="A755" s="43" t="inlineStr">
        <is>
          <t>CTANJZ05046</t>
        </is>
      </c>
      <c r="B755" s="43" t="inlineStr">
        <is>
          <t>D608209</t>
        </is>
      </c>
      <c r="C755" s="43" t="inlineStr">
        <is>
          <t>018-SRGBU</t>
        </is>
      </c>
      <c r="D755" s="43" t="inlineStr">
        <is>
          <t>FJZP</t>
        </is>
      </c>
      <c r="E755" s="43" t="inlineStr">
        <is>
          <t>MCGA</t>
        </is>
      </c>
      <c r="F755" s="43" t="inlineStr">
        <is>
          <t>68-7017-02</t>
        </is>
      </c>
      <c r="G755" s="43" t="inlineStr">
        <is>
          <t>OTHER_SCOPE_ITEM</t>
        </is>
      </c>
      <c r="H755" s="43" t="inlineStr"/>
      <c r="I755" s="43" t="inlineStr">
        <is>
          <t>Expired</t>
        </is>
      </c>
      <c r="J755" s="32" t="n">
        <v>46101</v>
      </c>
      <c r="K755" s="32" t="n">
        <v>46039</v>
      </c>
      <c r="L755" s="43" t="inlineStr">
        <is>
          <t>1045</t>
        </is>
      </c>
      <c r="M755" s="43" t="n">
        <v>1</v>
      </c>
      <c r="N755" s="33" t="inlineStr"/>
      <c r="O755" s="43" t="inlineStr">
        <is>
          <t>UNVERIFIED</t>
        </is>
      </c>
      <c r="P755" s="43" t="inlineStr">
        <is>
          <t>Pending Review</t>
        </is>
      </c>
      <c r="Q755" s="33" t="inlineStr">
        <is>
          <t>Confirmar SKU/PCBA revision, PN exacto en Common DB, WO, BU, vigencia, planta y aprobacion firmada.</t>
        </is>
      </c>
    </row>
    <row r="756">
      <c r="A756" s="43" t="inlineStr">
        <is>
          <t>CTANJZ05048</t>
        </is>
      </c>
      <c r="B756" s="43" t="inlineStr">
        <is>
          <t>D608514</t>
        </is>
      </c>
      <c r="C756" s="43" t="inlineStr">
        <is>
          <t>037-STBU</t>
        </is>
      </c>
      <c r="D756" s="43" t="inlineStr">
        <is>
          <t>FJZP</t>
        </is>
      </c>
      <c r="E756" s="43" t="inlineStr">
        <is>
          <t>MCGA</t>
        </is>
      </c>
      <c r="F756" s="43" t="inlineStr">
        <is>
          <t>73-21007-02</t>
        </is>
      </c>
      <c r="G756" s="43" t="inlineStr">
        <is>
          <t>BOARD_PN_CANDIDATE</t>
        </is>
      </c>
      <c r="H756" s="43" t="inlineStr"/>
      <c r="I756" s="43" t="inlineStr">
        <is>
          <t>Expired</t>
        </is>
      </c>
      <c r="J756" s="32" t="n">
        <v>46104</v>
      </c>
      <c r="K756" s="32" t="n">
        <v>46049</v>
      </c>
      <c r="L756" s="43" t="inlineStr">
        <is>
          <t>1762</t>
        </is>
      </c>
      <c r="M756" s="43" t="n">
        <v>1</v>
      </c>
      <c r="N756" s="33" t="inlineStr"/>
      <c r="O756" s="43" t="inlineStr">
        <is>
          <t>UNVERIFIED</t>
        </is>
      </c>
      <c r="P756" s="43" t="inlineStr">
        <is>
          <t>Pending Review</t>
        </is>
      </c>
      <c r="Q756" s="33" t="inlineStr">
        <is>
          <t>Confirmar SKU/PCBA revision, PN exacto en Common DB, WO, BU, vigencia, planta y aprobacion firmada.</t>
        </is>
      </c>
    </row>
    <row r="757">
      <c r="A757" s="43" t="inlineStr">
        <is>
          <t>CTANJZ05048</t>
        </is>
      </c>
      <c r="B757" s="43" t="inlineStr">
        <is>
          <t>D608514</t>
        </is>
      </c>
      <c r="C757" s="43" t="inlineStr">
        <is>
          <t>037-STBU</t>
        </is>
      </c>
      <c r="D757" s="43" t="inlineStr">
        <is>
          <t>FJZP</t>
        </is>
      </c>
      <c r="E757" s="43" t="inlineStr">
        <is>
          <t>MCGA</t>
        </is>
      </c>
      <c r="F757" s="43" t="inlineStr">
        <is>
          <t>800-111297-01</t>
        </is>
      </c>
      <c r="G757" s="43" t="inlineStr">
        <is>
          <t>OTHER_SCOPE_ITEM</t>
        </is>
      </c>
      <c r="H757" s="43" t="inlineStr"/>
      <c r="I757" s="43" t="inlineStr">
        <is>
          <t>Expired</t>
        </is>
      </c>
      <c r="J757" s="32" t="n">
        <v>46104</v>
      </c>
      <c r="K757" s="32" t="n">
        <v>46049</v>
      </c>
      <c r="L757" s="43" t="inlineStr">
        <is>
          <t>1763</t>
        </is>
      </c>
      <c r="M757" s="43" t="n">
        <v>1</v>
      </c>
      <c r="N757" s="33" t="inlineStr"/>
      <c r="O757" s="43" t="inlineStr">
        <is>
          <t>UNVERIFIED</t>
        </is>
      </c>
      <c r="P757" s="43" t="inlineStr">
        <is>
          <t>Pending Review</t>
        </is>
      </c>
      <c r="Q757" s="33" t="inlineStr">
        <is>
          <t>Confirmar SKU/PCBA revision, PN exacto en Common DB, WO, BU, vigencia, planta y aprobacion firmada.</t>
        </is>
      </c>
    </row>
    <row r="758">
      <c r="A758" s="43" t="inlineStr">
        <is>
          <t>CTANJZ05050</t>
        </is>
      </c>
      <c r="B758" s="43" t="inlineStr">
        <is>
          <t>D608532</t>
        </is>
      </c>
      <c r="C758" s="43" t="inlineStr">
        <is>
          <t>037-STBU</t>
        </is>
      </c>
      <c r="D758" s="43" t="inlineStr">
        <is>
          <t>FJZP</t>
        </is>
      </c>
      <c r="E758" s="43" t="inlineStr">
        <is>
          <t>MCGA</t>
        </is>
      </c>
      <c r="F758" s="43" t="inlineStr">
        <is>
          <t>68-100282-13</t>
        </is>
      </c>
      <c r="G758" s="43" t="inlineStr">
        <is>
          <t>OTHER_SCOPE_ITEM</t>
        </is>
      </c>
      <c r="H758" s="43" t="inlineStr"/>
      <c r="I758" s="43" t="inlineStr">
        <is>
          <t>Expired</t>
        </is>
      </c>
      <c r="J758" s="32" t="n">
        <v>46101</v>
      </c>
      <c r="K758" s="32" t="n">
        <v>46049</v>
      </c>
      <c r="L758" s="43" t="inlineStr">
        <is>
          <t>1046</t>
        </is>
      </c>
      <c r="M758" s="43" t="n">
        <v>1</v>
      </c>
      <c r="N758" s="33" t="inlineStr"/>
      <c r="O758" s="43" t="inlineStr">
        <is>
          <t>UNVERIFIED</t>
        </is>
      </c>
      <c r="P758" s="43" t="inlineStr">
        <is>
          <t>Pending Review</t>
        </is>
      </c>
      <c r="Q758" s="33" t="inlineStr">
        <is>
          <t>Confirmar SKU/PCBA revision, PN exacto en Common DB, WO, BU, vigencia, planta y aprobacion firmada.</t>
        </is>
      </c>
    </row>
    <row r="759">
      <c r="A759" s="43" t="inlineStr">
        <is>
          <t>CTANJZ05050</t>
        </is>
      </c>
      <c r="B759" s="43" t="inlineStr">
        <is>
          <t>D608532</t>
        </is>
      </c>
      <c r="C759" s="43" t="inlineStr">
        <is>
          <t>037-STBU</t>
        </is>
      </c>
      <c r="D759" s="43" t="inlineStr">
        <is>
          <t>FJZP</t>
        </is>
      </c>
      <c r="E759" s="43" t="inlineStr">
        <is>
          <t>MCGA</t>
        </is>
      </c>
      <c r="F759" s="43" t="inlineStr">
        <is>
          <t>800-103091-01</t>
        </is>
      </c>
      <c r="G759" s="43" t="inlineStr">
        <is>
          <t>OTHER_SCOPE_ITEM</t>
        </is>
      </c>
      <c r="H759" s="43" t="inlineStr"/>
      <c r="I759" s="43" t="inlineStr">
        <is>
          <t>Expired</t>
        </is>
      </c>
      <c r="J759" s="32" t="n">
        <v>46101</v>
      </c>
      <c r="K759" s="32" t="n">
        <v>46049</v>
      </c>
      <c r="L759" s="43" t="inlineStr">
        <is>
          <t>1053</t>
        </is>
      </c>
      <c r="M759" s="43" t="n">
        <v>1</v>
      </c>
      <c r="N759" s="33" t="inlineStr"/>
      <c r="O759" s="43" t="inlineStr">
        <is>
          <t>UNVERIFIED</t>
        </is>
      </c>
      <c r="P759" s="43" t="inlineStr">
        <is>
          <t>Pending Review</t>
        </is>
      </c>
      <c r="Q759" s="33" t="inlineStr">
        <is>
          <t>Confirmar SKU/PCBA revision, PN exacto en Common DB, WO, BU, vigencia, planta y aprobacion firmada.</t>
        </is>
      </c>
    </row>
    <row r="760">
      <c r="A760" s="43" t="inlineStr">
        <is>
          <t>CTANJZ05050</t>
        </is>
      </c>
      <c r="B760" s="43" t="inlineStr">
        <is>
          <t>D608532</t>
        </is>
      </c>
      <c r="C760" s="43" t="inlineStr">
        <is>
          <t>037-STBU</t>
        </is>
      </c>
      <c r="D760" s="43" t="inlineStr">
        <is>
          <t>FJZP</t>
        </is>
      </c>
      <c r="E760" s="43" t="inlineStr">
        <is>
          <t>MCGA</t>
        </is>
      </c>
      <c r="F760" s="43" t="inlineStr">
        <is>
          <t>800-105498-03</t>
        </is>
      </c>
      <c r="G760" s="43" t="inlineStr">
        <is>
          <t>OTHER_SCOPE_ITEM</t>
        </is>
      </c>
      <c r="H760" s="43" t="inlineStr"/>
      <c r="I760" s="43" t="inlineStr">
        <is>
          <t>Expired</t>
        </is>
      </c>
      <c r="J760" s="32" t="n">
        <v>46101</v>
      </c>
      <c r="K760" s="32" t="n">
        <v>46049</v>
      </c>
      <c r="L760" s="43" t="inlineStr">
        <is>
          <t>1054</t>
        </is>
      </c>
      <c r="M760" s="43" t="n">
        <v>1</v>
      </c>
      <c r="N760" s="33" t="inlineStr"/>
      <c r="O760" s="43" t="inlineStr">
        <is>
          <t>UNVERIFIED</t>
        </is>
      </c>
      <c r="P760" s="43" t="inlineStr">
        <is>
          <t>Pending Review</t>
        </is>
      </c>
      <c r="Q760" s="33" t="inlineStr">
        <is>
          <t>Confirmar SKU/PCBA revision, PN exacto en Common DB, WO, BU, vigencia, planta y aprobacion firmada.</t>
        </is>
      </c>
    </row>
    <row r="761">
      <c r="A761" s="43" t="inlineStr">
        <is>
          <t>CTANJZ05050</t>
        </is>
      </c>
      <c r="B761" s="43" t="inlineStr">
        <is>
          <t>D608532</t>
        </is>
      </c>
      <c r="C761" s="43" t="inlineStr">
        <is>
          <t>037-STBU</t>
        </is>
      </c>
      <c r="D761" s="43" t="inlineStr">
        <is>
          <t>FJZP</t>
        </is>
      </c>
      <c r="E761" s="43" t="inlineStr">
        <is>
          <t>MCGA</t>
        </is>
      </c>
      <c r="F761" s="43" t="inlineStr">
        <is>
          <t>800-105499-03</t>
        </is>
      </c>
      <c r="G761" s="43" t="inlineStr">
        <is>
          <t>OTHER_SCOPE_ITEM</t>
        </is>
      </c>
      <c r="H761" s="43" t="inlineStr"/>
      <c r="I761" s="43" t="inlineStr">
        <is>
          <t>Expired</t>
        </is>
      </c>
      <c r="J761" s="32" t="n">
        <v>46101</v>
      </c>
      <c r="K761" s="32" t="n">
        <v>46049</v>
      </c>
      <c r="L761" s="43" t="inlineStr">
        <is>
          <t>1055</t>
        </is>
      </c>
      <c r="M761" s="43" t="n">
        <v>1</v>
      </c>
      <c r="N761" s="33" t="inlineStr"/>
      <c r="O761" s="43" t="inlineStr">
        <is>
          <t>UNVERIFIED</t>
        </is>
      </c>
      <c r="P761" s="43" t="inlineStr">
        <is>
          <t>Pending Review</t>
        </is>
      </c>
      <c r="Q761" s="33" t="inlineStr">
        <is>
          <t>Confirmar SKU/PCBA revision, PN exacto en Common DB, WO, BU, vigencia, planta y aprobacion firmada.</t>
        </is>
      </c>
    </row>
    <row r="762">
      <c r="A762" s="43" t="inlineStr">
        <is>
          <t>CTANJZ05050</t>
        </is>
      </c>
      <c r="B762" s="43" t="inlineStr">
        <is>
          <t>D608532</t>
        </is>
      </c>
      <c r="C762" s="43" t="inlineStr">
        <is>
          <t>037-STBU</t>
        </is>
      </c>
      <c r="D762" s="43" t="inlineStr">
        <is>
          <t>FJZP</t>
        </is>
      </c>
      <c r="E762" s="43" t="inlineStr">
        <is>
          <t>MCGA</t>
        </is>
      </c>
      <c r="F762" s="43" t="inlineStr">
        <is>
          <t>800-105500-03</t>
        </is>
      </c>
      <c r="G762" s="43" t="inlineStr">
        <is>
          <t>OTHER_SCOPE_ITEM</t>
        </is>
      </c>
      <c r="H762" s="43" t="inlineStr"/>
      <c r="I762" s="43" t="inlineStr">
        <is>
          <t>Expired</t>
        </is>
      </c>
      <c r="J762" s="32" t="n">
        <v>46101</v>
      </c>
      <c r="K762" s="32" t="n">
        <v>46049</v>
      </c>
      <c r="L762" s="43" t="inlineStr">
        <is>
          <t>1056</t>
        </is>
      </c>
      <c r="M762" s="43" t="n">
        <v>1</v>
      </c>
      <c r="N762" s="33" t="inlineStr"/>
      <c r="O762" s="43" t="inlineStr">
        <is>
          <t>UNVERIFIED</t>
        </is>
      </c>
      <c r="P762" s="43" t="inlineStr">
        <is>
          <t>Pending Review</t>
        </is>
      </c>
      <c r="Q762" s="33" t="inlineStr">
        <is>
          <t>Confirmar SKU/PCBA revision, PN exacto en Common DB, WO, BU, vigencia, planta y aprobacion firmada.</t>
        </is>
      </c>
    </row>
    <row r="763">
      <c r="A763" s="43" t="inlineStr">
        <is>
          <t>CTANJZ05050</t>
        </is>
      </c>
      <c r="B763" s="43" t="inlineStr">
        <is>
          <t>D608532</t>
        </is>
      </c>
      <c r="C763" s="43" t="inlineStr">
        <is>
          <t>037-STBU</t>
        </is>
      </c>
      <c r="D763" s="43" t="inlineStr">
        <is>
          <t>FJZP</t>
        </is>
      </c>
      <c r="E763" s="43" t="inlineStr">
        <is>
          <t>MCGA</t>
        </is>
      </c>
      <c r="F763" s="43" t="inlineStr">
        <is>
          <t>800-106634-02</t>
        </is>
      </c>
      <c r="G763" s="43" t="inlineStr">
        <is>
          <t>OTHER_SCOPE_ITEM</t>
        </is>
      </c>
      <c r="H763" s="43" t="inlineStr"/>
      <c r="I763" s="43" t="inlineStr">
        <is>
          <t>Expired</t>
        </is>
      </c>
      <c r="J763" s="32" t="n">
        <v>46101</v>
      </c>
      <c r="K763" s="32" t="n">
        <v>46049</v>
      </c>
      <c r="L763" s="43" t="inlineStr">
        <is>
          <t>1057</t>
        </is>
      </c>
      <c r="M763" s="43" t="n">
        <v>1</v>
      </c>
      <c r="N763" s="33" t="inlineStr"/>
      <c r="O763" s="43" t="inlineStr">
        <is>
          <t>UNVERIFIED</t>
        </is>
      </c>
      <c r="P763" s="43" t="inlineStr">
        <is>
          <t>Pending Review</t>
        </is>
      </c>
      <c r="Q763" s="33" t="inlineStr">
        <is>
          <t>Confirmar SKU/PCBA revision, PN exacto en Common DB, WO, BU, vigencia, planta y aprobacion firmada.</t>
        </is>
      </c>
    </row>
    <row r="764">
      <c r="A764" s="43" t="inlineStr">
        <is>
          <t>CTANJZ05050</t>
        </is>
      </c>
      <c r="B764" s="43" t="inlineStr">
        <is>
          <t>D608532</t>
        </is>
      </c>
      <c r="C764" s="43" t="inlineStr">
        <is>
          <t>037-STBU</t>
        </is>
      </c>
      <c r="D764" s="43" t="inlineStr">
        <is>
          <t>FJZP</t>
        </is>
      </c>
      <c r="E764" s="43" t="inlineStr">
        <is>
          <t>MCGA</t>
        </is>
      </c>
      <c r="F764" s="43" t="inlineStr">
        <is>
          <t>800-106754-02</t>
        </is>
      </c>
      <c r="G764" s="43" t="inlineStr">
        <is>
          <t>OTHER_SCOPE_ITEM</t>
        </is>
      </c>
      <c r="H764" s="43" t="inlineStr"/>
      <c r="I764" s="43" t="inlineStr">
        <is>
          <t>Expired</t>
        </is>
      </c>
      <c r="J764" s="32" t="n">
        <v>46101</v>
      </c>
      <c r="K764" s="32" t="n">
        <v>46049</v>
      </c>
      <c r="L764" s="43" t="inlineStr">
        <is>
          <t>1058</t>
        </is>
      </c>
      <c r="M764" s="43" t="n">
        <v>1</v>
      </c>
      <c r="N764" s="33" t="inlineStr"/>
      <c r="O764" s="43" t="inlineStr">
        <is>
          <t>UNVERIFIED</t>
        </is>
      </c>
      <c r="P764" s="43" t="inlineStr">
        <is>
          <t>Pending Review</t>
        </is>
      </c>
      <c r="Q764" s="33" t="inlineStr">
        <is>
          <t>Confirmar SKU/PCBA revision, PN exacto en Common DB, WO, BU, vigencia, planta y aprobacion firmada.</t>
        </is>
      </c>
    </row>
    <row r="765">
      <c r="A765" s="43" t="inlineStr">
        <is>
          <t>CTANJZ05050</t>
        </is>
      </c>
      <c r="B765" s="43" t="inlineStr">
        <is>
          <t>D608532</t>
        </is>
      </c>
      <c r="C765" s="43" t="inlineStr">
        <is>
          <t>037-STBU</t>
        </is>
      </c>
      <c r="D765" s="43" t="inlineStr">
        <is>
          <t>FJZP</t>
        </is>
      </c>
      <c r="E765" s="43" t="inlineStr">
        <is>
          <t>MCGA</t>
        </is>
      </c>
      <c r="F765" s="43" t="inlineStr">
        <is>
          <t>800-106838-02</t>
        </is>
      </c>
      <c r="G765" s="43" t="inlineStr">
        <is>
          <t>OTHER_SCOPE_ITEM</t>
        </is>
      </c>
      <c r="H765" s="43" t="inlineStr"/>
      <c r="I765" s="43" t="inlineStr">
        <is>
          <t>Expired</t>
        </is>
      </c>
      <c r="J765" s="32" t="n">
        <v>46101</v>
      </c>
      <c r="K765" s="32" t="n">
        <v>46049</v>
      </c>
      <c r="L765" s="43" t="inlineStr">
        <is>
          <t>1059</t>
        </is>
      </c>
      <c r="M765" s="43" t="n">
        <v>1</v>
      </c>
      <c r="N765" s="33" t="inlineStr"/>
      <c r="O765" s="43" t="inlineStr">
        <is>
          <t>UNVERIFIED</t>
        </is>
      </c>
      <c r="P765" s="43" t="inlineStr">
        <is>
          <t>Pending Review</t>
        </is>
      </c>
      <c r="Q765" s="33" t="inlineStr">
        <is>
          <t>Confirmar SKU/PCBA revision, PN exacto en Common DB, WO, BU, vigencia, planta y aprobacion firmada.</t>
        </is>
      </c>
    </row>
    <row r="766">
      <c r="A766" s="43" t="inlineStr">
        <is>
          <t>CTANJZ05051</t>
        </is>
      </c>
      <c r="B766" s="43" t="inlineStr">
        <is>
          <t>D608434</t>
        </is>
      </c>
      <c r="C766" s="43" t="inlineStr">
        <is>
          <t>018-SRGBU</t>
        </is>
      </c>
      <c r="D766" s="43" t="inlineStr">
        <is>
          <t>FJZP</t>
        </is>
      </c>
      <c r="E766" s="43" t="inlineStr">
        <is>
          <t>MCGA</t>
        </is>
      </c>
      <c r="F766" s="43" t="inlineStr">
        <is>
          <t>74-122543-05</t>
        </is>
      </c>
      <c r="G766" s="43" t="inlineStr">
        <is>
          <t>OTHER_SCOPE_ITEM</t>
        </is>
      </c>
      <c r="H766" s="43" t="inlineStr"/>
      <c r="I766" s="43" t="inlineStr">
        <is>
          <t>Expired</t>
        </is>
      </c>
      <c r="J766" s="32" t="n">
        <v>46104</v>
      </c>
      <c r="K766" s="32" t="n">
        <v>46045</v>
      </c>
      <c r="L766" s="43" t="inlineStr">
        <is>
          <t>1063</t>
        </is>
      </c>
      <c r="M766" s="43" t="n">
        <v>1</v>
      </c>
      <c r="N766" s="33" t="inlineStr"/>
      <c r="O766" s="43" t="inlineStr">
        <is>
          <t>UNVERIFIED</t>
        </is>
      </c>
      <c r="P766" s="43" t="inlineStr">
        <is>
          <t>Pending Review</t>
        </is>
      </c>
      <c r="Q766" s="33" t="inlineStr">
        <is>
          <t>Confirmar SKU/PCBA revision, PN exacto en Common DB, WO, BU, vigencia, planta y aprobacion firmada.</t>
        </is>
      </c>
    </row>
    <row r="767">
      <c r="A767" s="43" t="inlineStr">
        <is>
          <t>CTANJZ05051</t>
        </is>
      </c>
      <c r="B767" s="43" t="inlineStr">
        <is>
          <t>D608434</t>
        </is>
      </c>
      <c r="C767" s="43" t="inlineStr">
        <is>
          <t>018-SRGBU</t>
        </is>
      </c>
      <c r="D767" s="43" t="inlineStr">
        <is>
          <t>FJZP</t>
        </is>
      </c>
      <c r="E767" s="43" t="inlineStr">
        <is>
          <t>MCGA</t>
        </is>
      </c>
      <c r="F767" s="43" t="inlineStr">
        <is>
          <t>74-125686-04</t>
        </is>
      </c>
      <c r="G767" s="43" t="inlineStr">
        <is>
          <t>OTHER_SCOPE_ITEM</t>
        </is>
      </c>
      <c r="H767" s="43" t="inlineStr"/>
      <c r="I767" s="43" t="inlineStr">
        <is>
          <t>Expired</t>
        </is>
      </c>
      <c r="J767" s="32" t="n">
        <v>46104</v>
      </c>
      <c r="K767" s="32" t="n">
        <v>46045</v>
      </c>
      <c r="L767" s="43" t="inlineStr">
        <is>
          <t>1064</t>
        </is>
      </c>
      <c r="M767" s="43" t="n">
        <v>1</v>
      </c>
      <c r="N767" s="33" t="inlineStr"/>
      <c r="O767" s="43" t="inlineStr">
        <is>
          <t>UNVERIFIED</t>
        </is>
      </c>
      <c r="P767" s="43" t="inlineStr">
        <is>
          <t>Pending Review</t>
        </is>
      </c>
      <c r="Q767" s="33" t="inlineStr">
        <is>
          <t>Confirmar SKU/PCBA revision, PN exacto en Common DB, WO, BU, vigencia, planta y aprobacion firmada.</t>
        </is>
      </c>
    </row>
    <row r="768">
      <c r="A768" s="43" t="inlineStr">
        <is>
          <t>CTANJZ05052</t>
        </is>
      </c>
      <c r="B768" s="43" t="inlineStr">
        <is>
          <t>D607542</t>
        </is>
      </c>
      <c r="C768" s="43" t="inlineStr">
        <is>
          <t>035-CVEBU</t>
        </is>
      </c>
      <c r="D768" s="43" t="inlineStr">
        <is>
          <t>FJZP</t>
        </is>
      </c>
      <c r="E768" s="43" t="inlineStr">
        <is>
          <t>MCGA</t>
        </is>
      </c>
      <c r="F768" s="43" t="inlineStr">
        <is>
          <t>28-103291-01</t>
        </is>
      </c>
      <c r="G768" s="43" t="inlineStr">
        <is>
          <t>BARE_PCB_PN_CANDIDATE</t>
        </is>
      </c>
      <c r="H768" s="43" t="inlineStr"/>
      <c r="I768" s="43" t="inlineStr">
        <is>
          <t>Expired</t>
        </is>
      </c>
      <c r="J768" s="32" t="n">
        <v>46105</v>
      </c>
      <c r="K768" s="32" t="n">
        <v>46036</v>
      </c>
      <c r="L768" s="43" t="inlineStr">
        <is>
          <t>161</t>
        </is>
      </c>
      <c r="M768" s="43" t="n">
        <v>1</v>
      </c>
      <c r="N768" s="33" t="inlineStr"/>
      <c r="O768" s="43" t="inlineStr">
        <is>
          <t>UNVERIFIED</t>
        </is>
      </c>
      <c r="P768" s="43" t="inlineStr">
        <is>
          <t>Pending Review</t>
        </is>
      </c>
      <c r="Q768" s="33" t="inlineStr">
        <is>
          <t>Confirmar SKU/PCBA revision, PN exacto en Common DB, WO, BU, vigencia, planta y aprobacion firmada.</t>
        </is>
      </c>
    </row>
    <row r="769">
      <c r="A769" s="43" t="inlineStr">
        <is>
          <t>CTANJZ05052</t>
        </is>
      </c>
      <c r="B769" s="43" t="inlineStr">
        <is>
          <t>D607542</t>
        </is>
      </c>
      <c r="C769" s="43" t="inlineStr">
        <is>
          <t>035-CVEBU</t>
        </is>
      </c>
      <c r="D769" s="43" t="inlineStr">
        <is>
          <t>FJZP</t>
        </is>
      </c>
      <c r="E769" s="43" t="inlineStr">
        <is>
          <t>MCGA</t>
        </is>
      </c>
      <c r="F769" s="43" t="inlineStr">
        <is>
          <t>68-104607-01</t>
        </is>
      </c>
      <c r="G769" s="43" t="inlineStr">
        <is>
          <t>OTHER_SCOPE_ITEM</t>
        </is>
      </c>
      <c r="H769" s="43" t="inlineStr"/>
      <c r="I769" s="43" t="inlineStr">
        <is>
          <t>Expired</t>
        </is>
      </c>
      <c r="J769" s="32" t="n">
        <v>46105</v>
      </c>
      <c r="K769" s="32" t="n">
        <v>46036</v>
      </c>
      <c r="L769" s="43" t="inlineStr">
        <is>
          <t>162</t>
        </is>
      </c>
      <c r="M769" s="43" t="n">
        <v>1</v>
      </c>
      <c r="N769" s="33" t="inlineStr"/>
      <c r="O769" s="43" t="inlineStr">
        <is>
          <t>UNVERIFIED</t>
        </is>
      </c>
      <c r="P769" s="43" t="inlineStr">
        <is>
          <t>Pending Review</t>
        </is>
      </c>
      <c r="Q769" s="33" t="inlineStr">
        <is>
          <t>Confirmar SKU/PCBA revision, PN exacto en Common DB, WO, BU, vigencia, planta y aprobacion firmada.</t>
        </is>
      </c>
    </row>
    <row r="770">
      <c r="A770" s="43" t="inlineStr">
        <is>
          <t>CTANJZ05056</t>
        </is>
      </c>
      <c r="B770" s="43" t="inlineStr">
        <is>
          <t>D608410</t>
        </is>
      </c>
      <c r="C770" s="43" t="inlineStr">
        <is>
          <t>018-SRGBU</t>
        </is>
      </c>
      <c r="D770" s="43" t="inlineStr">
        <is>
          <t>FJZP</t>
        </is>
      </c>
      <c r="E770" s="43" t="inlineStr">
        <is>
          <t>MCGA</t>
        </is>
      </c>
      <c r="F770" s="43" t="inlineStr">
        <is>
          <t>68-7799-03</t>
        </is>
      </c>
      <c r="G770" s="43" t="inlineStr">
        <is>
          <t>OTHER_SCOPE_ITEM</t>
        </is>
      </c>
      <c r="H770" s="43" t="inlineStr"/>
      <c r="I770" s="43" t="inlineStr">
        <is>
          <t>Expired</t>
        </is>
      </c>
      <c r="J770" s="32" t="n">
        <v>46112</v>
      </c>
      <c r="K770" s="32" t="n">
        <v>46045</v>
      </c>
      <c r="L770" s="43" t="inlineStr">
        <is>
          <t>1065</t>
        </is>
      </c>
      <c r="M770" s="43" t="n">
        <v>1</v>
      </c>
      <c r="N770" s="33" t="inlineStr"/>
      <c r="O770" s="43" t="inlineStr">
        <is>
          <t>UNVERIFIED</t>
        </is>
      </c>
      <c r="P770" s="43" t="inlineStr">
        <is>
          <t>Pending Review</t>
        </is>
      </c>
      <c r="Q770" s="33" t="inlineStr">
        <is>
          <t>Confirmar SKU/PCBA revision, PN exacto en Common DB, WO, BU, vigencia, planta y aprobacion firmada.</t>
        </is>
      </c>
    </row>
    <row r="771">
      <c r="A771" s="43" t="inlineStr">
        <is>
          <t>CTANJZ05056</t>
        </is>
      </c>
      <c r="B771" s="43" t="inlineStr">
        <is>
          <t>D608410</t>
        </is>
      </c>
      <c r="C771" s="43" t="inlineStr">
        <is>
          <t>018-SRGBU</t>
        </is>
      </c>
      <c r="D771" s="43" t="inlineStr">
        <is>
          <t>FJZP</t>
        </is>
      </c>
      <c r="E771" s="43" t="inlineStr">
        <is>
          <t>MCGA</t>
        </is>
      </c>
      <c r="F771" s="43" t="inlineStr">
        <is>
          <t>68-7799-04</t>
        </is>
      </c>
      <c r="G771" s="43" t="inlineStr">
        <is>
          <t>OTHER_SCOPE_ITEM</t>
        </is>
      </c>
      <c r="H771" s="43" t="inlineStr"/>
      <c r="I771" s="43" t="inlineStr">
        <is>
          <t>Expired</t>
        </is>
      </c>
      <c r="J771" s="32" t="n">
        <v>46112</v>
      </c>
      <c r="K771" s="32" t="n">
        <v>46045</v>
      </c>
      <c r="L771" s="43" t="inlineStr">
        <is>
          <t>1066</t>
        </is>
      </c>
      <c r="M771" s="43" t="n">
        <v>1</v>
      </c>
      <c r="N771" s="33" t="inlineStr"/>
      <c r="O771" s="43" t="inlineStr">
        <is>
          <t>UNVERIFIED</t>
        </is>
      </c>
      <c r="P771" s="43" t="inlineStr">
        <is>
          <t>Pending Review</t>
        </is>
      </c>
      <c r="Q771" s="33" t="inlineStr">
        <is>
          <t>Confirmar SKU/PCBA revision, PN exacto en Common DB, WO, BU, vigencia, planta y aprobacion firmada.</t>
        </is>
      </c>
    </row>
    <row r="772">
      <c r="A772" s="43" t="inlineStr">
        <is>
          <t>CTANJZ05059</t>
        </is>
      </c>
      <c r="B772" s="43" t="inlineStr">
        <is>
          <t>D608814</t>
        </is>
      </c>
      <c r="C772" s="43" t="inlineStr">
        <is>
          <t>037-STBU</t>
        </is>
      </c>
      <c r="D772" s="43" t="inlineStr">
        <is>
          <t>FJZP</t>
        </is>
      </c>
      <c r="E772" s="43" t="inlineStr">
        <is>
          <t>MCGA</t>
        </is>
      </c>
      <c r="F772" s="43" t="inlineStr">
        <is>
          <t>15-110451-01</t>
        </is>
      </c>
      <c r="G772" s="43" t="inlineStr">
        <is>
          <t>OTHER_SCOPE_ITEM</t>
        </is>
      </c>
      <c r="H772" s="43" t="inlineStr"/>
      <c r="I772" s="43" t="inlineStr">
        <is>
          <t>Expired</t>
        </is>
      </c>
      <c r="J772" s="32" t="n">
        <v>46121</v>
      </c>
      <c r="K772" s="32" t="n">
        <v>46053</v>
      </c>
      <c r="L772" s="43" t="inlineStr">
        <is>
          <t>1582</t>
        </is>
      </c>
      <c r="M772" s="43" t="n">
        <v>1</v>
      </c>
      <c r="N772" s="33" t="inlineStr"/>
      <c r="O772" s="43" t="inlineStr">
        <is>
          <t>UNVERIFIED</t>
        </is>
      </c>
      <c r="P772" s="43" t="inlineStr">
        <is>
          <t>Pending Review</t>
        </is>
      </c>
      <c r="Q772" s="33" t="inlineStr">
        <is>
          <t>Confirmar SKU/PCBA revision, PN exacto en Common DB, WO, BU, vigencia, planta y aprobacion firmada.</t>
        </is>
      </c>
    </row>
    <row r="773">
      <c r="A773" s="43" t="inlineStr">
        <is>
          <t>CTANJZ05059</t>
        </is>
      </c>
      <c r="B773" s="43" t="inlineStr">
        <is>
          <t>D608814</t>
        </is>
      </c>
      <c r="C773" s="43" t="inlineStr">
        <is>
          <t>037-STBU</t>
        </is>
      </c>
      <c r="D773" s="43" t="inlineStr">
        <is>
          <t>FJZP</t>
        </is>
      </c>
      <c r="E773" s="43" t="inlineStr">
        <is>
          <t>MCGA</t>
        </is>
      </c>
      <c r="F773" s="43" t="inlineStr">
        <is>
          <t>800-112583-04</t>
        </is>
      </c>
      <c r="G773" s="43" t="inlineStr">
        <is>
          <t>OTHER_SCOPE_ITEM</t>
        </is>
      </c>
      <c r="H773" s="43" t="inlineStr"/>
      <c r="I773" s="43" t="inlineStr">
        <is>
          <t>Expired</t>
        </is>
      </c>
      <c r="J773" s="32" t="n">
        <v>46121</v>
      </c>
      <c r="K773" s="32" t="n">
        <v>46053</v>
      </c>
      <c r="L773" s="43" t="inlineStr">
        <is>
          <t>1583</t>
        </is>
      </c>
      <c r="M773" s="43" t="n">
        <v>1</v>
      </c>
      <c r="N773" s="33" t="inlineStr"/>
      <c r="O773" s="43" t="inlineStr">
        <is>
          <t>UNVERIFIED</t>
        </is>
      </c>
      <c r="P773" s="43" t="inlineStr">
        <is>
          <t>Pending Review</t>
        </is>
      </c>
      <c r="Q773" s="33" t="inlineStr">
        <is>
          <t>Confirmar SKU/PCBA revision, PN exacto en Common DB, WO, BU, vigencia, planta y aprobacion firmada.</t>
        </is>
      </c>
    </row>
    <row r="774">
      <c r="A774" s="43" t="inlineStr">
        <is>
          <t>CTANJZ05060</t>
        </is>
      </c>
      <c r="B774" s="43" t="inlineStr">
        <is>
          <t>D608530</t>
        </is>
      </c>
      <c r="C774" s="43" t="inlineStr">
        <is>
          <t>037-STBU</t>
        </is>
      </c>
      <c r="D774" s="43" t="inlineStr">
        <is>
          <t>FJZP</t>
        </is>
      </c>
      <c r="E774" s="43" t="inlineStr">
        <is>
          <t>MCGA</t>
        </is>
      </c>
      <c r="F774" s="43" t="inlineStr">
        <is>
          <t>47-110077-01</t>
        </is>
      </c>
      <c r="G774" s="43" t="inlineStr">
        <is>
          <t>OTHER_SCOPE_ITEM</t>
        </is>
      </c>
      <c r="H774" s="43" t="inlineStr"/>
      <c r="I774" s="43" t="inlineStr">
        <is>
          <t>Expired</t>
        </is>
      </c>
      <c r="J774" s="32" t="n">
        <v>46122</v>
      </c>
      <c r="K774" s="32" t="n">
        <v>46049</v>
      </c>
      <c r="L774" s="43" t="inlineStr">
        <is>
          <t>1764</t>
        </is>
      </c>
      <c r="M774" s="43" t="n">
        <v>1</v>
      </c>
      <c r="N774" s="33" t="inlineStr"/>
      <c r="O774" s="43" t="inlineStr">
        <is>
          <t>UNVERIFIED</t>
        </is>
      </c>
      <c r="P774" s="43" t="inlineStr">
        <is>
          <t>Pending Review</t>
        </is>
      </c>
      <c r="Q774" s="33" t="inlineStr">
        <is>
          <t>Confirmar SKU/PCBA revision, PN exacto en Common DB, WO, BU, vigencia, planta y aprobacion firmada.</t>
        </is>
      </c>
    </row>
    <row r="775">
      <c r="A775" s="43" t="inlineStr">
        <is>
          <t>CTANJZ05060</t>
        </is>
      </c>
      <c r="B775" s="43" t="inlineStr">
        <is>
          <t>D608530</t>
        </is>
      </c>
      <c r="C775" s="43" t="inlineStr">
        <is>
          <t>037-STBU</t>
        </is>
      </c>
      <c r="D775" s="43" t="inlineStr">
        <is>
          <t>FJZP</t>
        </is>
      </c>
      <c r="E775" s="43" t="inlineStr">
        <is>
          <t>MCGA</t>
        </is>
      </c>
      <c r="F775" s="43" t="inlineStr">
        <is>
          <t>47-110078-01</t>
        </is>
      </c>
      <c r="G775" s="43" t="inlineStr">
        <is>
          <t>OTHER_SCOPE_ITEM</t>
        </is>
      </c>
      <c r="H775" s="43" t="inlineStr"/>
      <c r="I775" s="43" t="inlineStr">
        <is>
          <t>Expired</t>
        </is>
      </c>
      <c r="J775" s="32" t="n">
        <v>46122</v>
      </c>
      <c r="K775" s="32" t="n">
        <v>46049</v>
      </c>
      <c r="L775" s="43" t="inlineStr">
        <is>
          <t>1765</t>
        </is>
      </c>
      <c r="M775" s="43" t="n">
        <v>1</v>
      </c>
      <c r="N775" s="33" t="inlineStr"/>
      <c r="O775" s="43" t="inlineStr">
        <is>
          <t>UNVERIFIED</t>
        </is>
      </c>
      <c r="P775" s="43" t="inlineStr">
        <is>
          <t>Pending Review</t>
        </is>
      </c>
      <c r="Q775" s="33" t="inlineStr">
        <is>
          <t>Confirmar SKU/PCBA revision, PN exacto en Common DB, WO, BU, vigencia, planta y aprobacion firmada.</t>
        </is>
      </c>
    </row>
    <row r="776">
      <c r="A776" s="43" t="inlineStr">
        <is>
          <t>CTANJZ05060</t>
        </is>
      </c>
      <c r="B776" s="43" t="inlineStr">
        <is>
          <t>D608530</t>
        </is>
      </c>
      <c r="C776" s="43" t="inlineStr">
        <is>
          <t>037-STBU</t>
        </is>
      </c>
      <c r="D776" s="43" t="inlineStr">
        <is>
          <t>FJZP</t>
        </is>
      </c>
      <c r="E776" s="43" t="inlineStr">
        <is>
          <t>MCGA</t>
        </is>
      </c>
      <c r="F776" s="43" t="inlineStr">
        <is>
          <t>47-110079-01</t>
        </is>
      </c>
      <c r="G776" s="43" t="inlineStr">
        <is>
          <t>OTHER_SCOPE_ITEM</t>
        </is>
      </c>
      <c r="H776" s="43" t="inlineStr"/>
      <c r="I776" s="43" t="inlineStr">
        <is>
          <t>Expired</t>
        </is>
      </c>
      <c r="J776" s="32" t="n">
        <v>46122</v>
      </c>
      <c r="K776" s="32" t="n">
        <v>46049</v>
      </c>
      <c r="L776" s="43" t="inlineStr">
        <is>
          <t>1766</t>
        </is>
      </c>
      <c r="M776" s="43" t="n">
        <v>1</v>
      </c>
      <c r="N776" s="33" t="inlineStr"/>
      <c r="O776" s="43" t="inlineStr">
        <is>
          <t>UNVERIFIED</t>
        </is>
      </c>
      <c r="P776" s="43" t="inlineStr">
        <is>
          <t>Pending Review</t>
        </is>
      </c>
      <c r="Q776" s="33" t="inlineStr">
        <is>
          <t>Confirmar SKU/PCBA revision, PN exacto en Common DB, WO, BU, vigencia, planta y aprobacion firmada.</t>
        </is>
      </c>
    </row>
    <row r="777">
      <c r="A777" s="43" t="inlineStr">
        <is>
          <t>CTANJZ05061</t>
        </is>
      </c>
      <c r="B777" s="43" t="inlineStr">
        <is>
          <t>D608308</t>
        </is>
      </c>
      <c r="C777" s="43" t="inlineStr">
        <is>
          <t>035-CVEBU</t>
        </is>
      </c>
      <c r="D777" s="43" t="inlineStr">
        <is>
          <t>FJZP</t>
        </is>
      </c>
      <c r="E777" s="43" t="inlineStr">
        <is>
          <t>MCGA</t>
        </is>
      </c>
      <c r="F777" s="43" t="inlineStr">
        <is>
          <t>12-100143-01</t>
        </is>
      </c>
      <c r="G777" s="43" t="inlineStr">
        <is>
          <t>OTHER_SCOPE_ITEM</t>
        </is>
      </c>
      <c r="H777" s="43" t="inlineStr"/>
      <c r="I777" s="43" t="inlineStr">
        <is>
          <t>Expired</t>
        </is>
      </c>
      <c r="J777" s="32" t="n">
        <v>46121</v>
      </c>
      <c r="K777" s="32" t="n">
        <v>46039</v>
      </c>
      <c r="L777" s="43" t="inlineStr">
        <is>
          <t>1640</t>
        </is>
      </c>
      <c r="M777" s="43" t="n">
        <v>1</v>
      </c>
      <c r="N777" s="33" t="inlineStr"/>
      <c r="O777" s="43" t="inlineStr">
        <is>
          <t>UNVERIFIED</t>
        </is>
      </c>
      <c r="P777" s="43" t="inlineStr">
        <is>
          <t>Pending Review</t>
        </is>
      </c>
      <c r="Q777" s="33" t="inlineStr">
        <is>
          <t>Confirmar SKU/PCBA revision, PN exacto en Common DB, WO, BU, vigencia, planta y aprobacion firmada.</t>
        </is>
      </c>
    </row>
    <row r="778">
      <c r="A778" s="43" t="inlineStr">
        <is>
          <t>CTANJZ05061</t>
        </is>
      </c>
      <c r="B778" s="43" t="inlineStr">
        <is>
          <t>D608308</t>
        </is>
      </c>
      <c r="C778" s="43" t="inlineStr">
        <is>
          <t>035-CVEBU</t>
        </is>
      </c>
      <c r="D778" s="43" t="inlineStr">
        <is>
          <t>FJZP</t>
        </is>
      </c>
      <c r="E778" s="43" t="inlineStr">
        <is>
          <t>MCGA</t>
        </is>
      </c>
      <c r="F778" s="43" t="inlineStr">
        <is>
          <t>73-103720-04</t>
        </is>
      </c>
      <c r="G778" s="43" t="inlineStr">
        <is>
          <t>BOARD_PN_CANDIDATE</t>
        </is>
      </c>
      <c r="H778" s="43" t="inlineStr"/>
      <c r="I778" s="43" t="inlineStr">
        <is>
          <t>Expired</t>
        </is>
      </c>
      <c r="J778" s="32" t="n">
        <v>46121</v>
      </c>
      <c r="K778" s="32" t="n">
        <v>46039</v>
      </c>
      <c r="L778" s="43" t="inlineStr">
        <is>
          <t>1641</t>
        </is>
      </c>
      <c r="M778" s="43" t="n">
        <v>1</v>
      </c>
      <c r="N778" s="33" t="inlineStr"/>
      <c r="O778" s="43" t="inlineStr">
        <is>
          <t>UNVERIFIED</t>
        </is>
      </c>
      <c r="P778" s="43" t="inlineStr">
        <is>
          <t>Pending Review</t>
        </is>
      </c>
      <c r="Q778" s="33" t="inlineStr">
        <is>
          <t>Confirmar SKU/PCBA revision, PN exacto en Common DB, WO, BU, vigencia, planta y aprobacion firmada.</t>
        </is>
      </c>
    </row>
    <row r="779">
      <c r="A779" s="43" t="inlineStr">
        <is>
          <t>CTANJZ05063</t>
        </is>
      </c>
      <c r="B779" s="43" t="inlineStr">
        <is>
          <t>DP525718</t>
        </is>
      </c>
      <c r="C779" s="43" t="inlineStr">
        <is>
          <t>035-CVEBU</t>
        </is>
      </c>
      <c r="D779" s="43" t="inlineStr">
        <is>
          <t>FJZP</t>
        </is>
      </c>
      <c r="E779" s="43" t="inlineStr">
        <is>
          <t>MCGA</t>
        </is>
      </c>
      <c r="F779" s="43" t="inlineStr">
        <is>
          <t>68-104853-01</t>
        </is>
      </c>
      <c r="G779" s="43" t="inlineStr">
        <is>
          <t>OTHER_SCOPE_ITEM</t>
        </is>
      </c>
      <c r="H779" s="43" t="inlineStr"/>
      <c r="I779" s="43" t="inlineStr">
        <is>
          <t>Expired</t>
        </is>
      </c>
      <c r="J779" s="32" t="n">
        <v>46094</v>
      </c>
      <c r="K779" s="32" t="n">
        <v>46045</v>
      </c>
      <c r="L779" s="43" t="inlineStr">
        <is>
          <t>1685</t>
        </is>
      </c>
      <c r="M779" s="43" t="n">
        <v>1</v>
      </c>
      <c r="N779" s="33" t="inlineStr"/>
      <c r="O779" s="43" t="inlineStr">
        <is>
          <t>UNVERIFIED</t>
        </is>
      </c>
      <c r="P779" s="43" t="inlineStr">
        <is>
          <t>Pending Review</t>
        </is>
      </c>
      <c r="Q779" s="33" t="inlineStr">
        <is>
          <t>Confirmar SKU/PCBA revision, PN exacto en Common DB, WO, BU, vigencia, planta y aprobacion firmada.</t>
        </is>
      </c>
    </row>
    <row r="780">
      <c r="A780" s="43" t="inlineStr">
        <is>
          <t>CTANJZ05063</t>
        </is>
      </c>
      <c r="B780" s="43" t="inlineStr">
        <is>
          <t>DP525718</t>
        </is>
      </c>
      <c r="C780" s="43" t="inlineStr">
        <is>
          <t>035-CVEBU</t>
        </is>
      </c>
      <c r="D780" s="43" t="inlineStr">
        <is>
          <t>FJZP</t>
        </is>
      </c>
      <c r="E780" s="43" t="inlineStr">
        <is>
          <t>MCGA</t>
        </is>
      </c>
      <c r="F780" s="43" t="inlineStr">
        <is>
          <t>68-104854-01</t>
        </is>
      </c>
      <c r="G780" s="43" t="inlineStr">
        <is>
          <t>OTHER_SCOPE_ITEM</t>
        </is>
      </c>
      <c r="H780" s="43" t="inlineStr"/>
      <c r="I780" s="43" t="inlineStr">
        <is>
          <t>Expired</t>
        </is>
      </c>
      <c r="J780" s="32" t="n">
        <v>46094</v>
      </c>
      <c r="K780" s="32" t="n">
        <v>46045</v>
      </c>
      <c r="L780" s="43" t="inlineStr">
        <is>
          <t>1647</t>
        </is>
      </c>
      <c r="M780" s="43" t="n">
        <v>1</v>
      </c>
      <c r="N780" s="33" t="inlineStr"/>
      <c r="O780" s="43" t="inlineStr">
        <is>
          <t>UNVERIFIED</t>
        </is>
      </c>
      <c r="P780" s="43" t="inlineStr">
        <is>
          <t>Pending Review</t>
        </is>
      </c>
      <c r="Q780" s="33" t="inlineStr">
        <is>
          <t>Confirmar SKU/PCBA revision, PN exacto en Common DB, WO, BU, vigencia, planta y aprobacion firmada.</t>
        </is>
      </c>
    </row>
    <row r="781">
      <c r="A781" s="43" t="inlineStr">
        <is>
          <t>CTANJZ05064</t>
        </is>
      </c>
      <c r="B781" s="43" t="inlineStr">
        <is>
          <t>D608788</t>
        </is>
      </c>
      <c r="C781" s="43" t="inlineStr">
        <is>
          <t>037-STBU</t>
        </is>
      </c>
      <c r="D781" s="43" t="inlineStr">
        <is>
          <t>FJZP</t>
        </is>
      </c>
      <c r="E781" s="43" t="inlineStr">
        <is>
          <t>MCGA</t>
        </is>
      </c>
      <c r="F781" s="43" t="inlineStr">
        <is>
          <t>20-100286-01</t>
        </is>
      </c>
      <c r="G781" s="43" t="inlineStr">
        <is>
          <t>OTHER_SCOPE_ITEM</t>
        </is>
      </c>
      <c r="H781" s="43" t="inlineStr"/>
      <c r="I781" s="43" t="inlineStr">
        <is>
          <t>Expired</t>
        </is>
      </c>
      <c r="J781" s="32" t="n">
        <v>46126</v>
      </c>
      <c r="K781" s="32" t="n">
        <v>46064</v>
      </c>
      <c r="L781" s="43" t="inlineStr">
        <is>
          <t>1444</t>
        </is>
      </c>
      <c r="M781" s="43" t="n">
        <v>1</v>
      </c>
      <c r="N781" s="33" t="inlineStr"/>
      <c r="O781" s="43" t="inlineStr">
        <is>
          <t>UNVERIFIED</t>
        </is>
      </c>
      <c r="P781" s="43" t="inlineStr">
        <is>
          <t>Pending Review</t>
        </is>
      </c>
      <c r="Q781" s="33" t="inlineStr">
        <is>
          <t>Confirmar SKU/PCBA revision, PN exacto en Common DB, WO, BU, vigencia, planta y aprobacion firmada.</t>
        </is>
      </c>
    </row>
    <row r="782">
      <c r="A782" s="43" t="inlineStr">
        <is>
          <t>CTANJZ05064</t>
        </is>
      </c>
      <c r="B782" s="43" t="inlineStr">
        <is>
          <t>D608788</t>
        </is>
      </c>
      <c r="C782" s="43" t="inlineStr">
        <is>
          <t>037-STBU</t>
        </is>
      </c>
      <c r="D782" s="43" t="inlineStr">
        <is>
          <t>FJZP</t>
        </is>
      </c>
      <c r="E782" s="43" t="inlineStr">
        <is>
          <t>MCGA</t>
        </is>
      </c>
      <c r="F782" s="43" t="inlineStr">
        <is>
          <t>73-102435-05</t>
        </is>
      </c>
      <c r="G782" s="43" t="inlineStr">
        <is>
          <t>BOARD_PN_CANDIDATE</t>
        </is>
      </c>
      <c r="H782" s="43" t="inlineStr"/>
      <c r="I782" s="43" t="inlineStr">
        <is>
          <t>Expired</t>
        </is>
      </c>
      <c r="J782" s="32" t="n">
        <v>46126</v>
      </c>
      <c r="K782" s="32" t="n">
        <v>46064</v>
      </c>
      <c r="L782" s="43" t="inlineStr">
        <is>
          <t>1445</t>
        </is>
      </c>
      <c r="M782" s="43" t="n">
        <v>1</v>
      </c>
      <c r="N782" s="33" t="inlineStr"/>
      <c r="O782" s="43" t="inlineStr">
        <is>
          <t>UNVERIFIED</t>
        </is>
      </c>
      <c r="P782" s="43" t="inlineStr">
        <is>
          <t>Pending Review</t>
        </is>
      </c>
      <c r="Q782" s="33" t="inlineStr">
        <is>
          <t>Confirmar SKU/PCBA revision, PN exacto en Common DB, WO, BU, vigencia, planta y aprobacion firmada.</t>
        </is>
      </c>
    </row>
    <row r="783">
      <c r="A783" s="43" t="inlineStr">
        <is>
          <t>CTANJZ05067</t>
        </is>
      </c>
      <c r="B783" s="43" t="inlineStr">
        <is>
          <t>D608828</t>
        </is>
      </c>
      <c r="C783" s="43" t="inlineStr">
        <is>
          <t>037-STBU</t>
        </is>
      </c>
      <c r="D783" s="43" t="inlineStr">
        <is>
          <t>FJZP</t>
        </is>
      </c>
      <c r="E783" s="43" t="inlineStr">
        <is>
          <t>MCGA</t>
        </is>
      </c>
      <c r="F783" s="43" t="inlineStr">
        <is>
          <t>15-106507-02</t>
        </is>
      </c>
      <c r="G783" s="43" t="inlineStr">
        <is>
          <t>OTHER_SCOPE_ITEM</t>
        </is>
      </c>
      <c r="H783" s="43" t="inlineStr"/>
      <c r="I783" s="43" t="inlineStr">
        <is>
          <t>Expired</t>
        </is>
      </c>
      <c r="J783" s="32" t="n">
        <v>46127</v>
      </c>
      <c r="K783" s="32" t="n">
        <v>46053</v>
      </c>
      <c r="L783" s="43" t="inlineStr">
        <is>
          <t>436</t>
        </is>
      </c>
      <c r="M783" s="43" t="n">
        <v>1</v>
      </c>
      <c r="N783" s="33" t="inlineStr"/>
      <c r="O783" s="43" t="inlineStr">
        <is>
          <t>UNVERIFIED</t>
        </is>
      </c>
      <c r="P783" s="43" t="inlineStr">
        <is>
          <t>Pending Review</t>
        </is>
      </c>
      <c r="Q783" s="33" t="inlineStr">
        <is>
          <t>Confirmar SKU/PCBA revision, PN exacto en Common DB, WO, BU, vigencia, planta y aprobacion firmada.</t>
        </is>
      </c>
    </row>
    <row r="784">
      <c r="A784" s="43" t="inlineStr">
        <is>
          <t>CTANJZ05067</t>
        </is>
      </c>
      <c r="B784" s="43" t="inlineStr">
        <is>
          <t>D608828</t>
        </is>
      </c>
      <c r="C784" s="43" t="inlineStr">
        <is>
          <t>037-STBU</t>
        </is>
      </c>
      <c r="D784" s="43" t="inlineStr">
        <is>
          <t>FJZP</t>
        </is>
      </c>
      <c r="E784" s="43" t="inlineStr">
        <is>
          <t>MCGA</t>
        </is>
      </c>
      <c r="F784" s="43" t="inlineStr">
        <is>
          <t>800-105498-03</t>
        </is>
      </c>
      <c r="G784" s="43" t="inlineStr">
        <is>
          <t>OTHER_SCOPE_ITEM</t>
        </is>
      </c>
      <c r="H784" s="43" t="inlineStr"/>
      <c r="I784" s="43" t="inlineStr">
        <is>
          <t>Expired</t>
        </is>
      </c>
      <c r="J784" s="32" t="n">
        <v>46127</v>
      </c>
      <c r="K784" s="32" t="n">
        <v>46053</v>
      </c>
      <c r="L784" s="43" t="inlineStr">
        <is>
          <t>437</t>
        </is>
      </c>
      <c r="M784" s="43" t="n">
        <v>1</v>
      </c>
      <c r="N784" s="33" t="inlineStr"/>
      <c r="O784" s="43" t="inlineStr">
        <is>
          <t>UNVERIFIED</t>
        </is>
      </c>
      <c r="P784" s="43" t="inlineStr">
        <is>
          <t>Pending Review</t>
        </is>
      </c>
      <c r="Q784" s="33" t="inlineStr">
        <is>
          <t>Confirmar SKU/PCBA revision, PN exacto en Common DB, WO, BU, vigencia, planta y aprobacion firmada.</t>
        </is>
      </c>
    </row>
    <row r="785">
      <c r="A785" s="43" t="inlineStr">
        <is>
          <t>CTANJZ05067</t>
        </is>
      </c>
      <c r="B785" s="43" t="inlineStr">
        <is>
          <t>D608828</t>
        </is>
      </c>
      <c r="C785" s="43" t="inlineStr">
        <is>
          <t>037-STBU</t>
        </is>
      </c>
      <c r="D785" s="43" t="inlineStr">
        <is>
          <t>FJZP</t>
        </is>
      </c>
      <c r="E785" s="43" t="inlineStr">
        <is>
          <t>MCGA</t>
        </is>
      </c>
      <c r="F785" s="43" t="inlineStr">
        <is>
          <t>800-105499-03</t>
        </is>
      </c>
      <c r="G785" s="43" t="inlineStr">
        <is>
          <t>OTHER_SCOPE_ITEM</t>
        </is>
      </c>
      <c r="H785" s="43" t="inlineStr"/>
      <c r="I785" s="43" t="inlineStr">
        <is>
          <t>Expired</t>
        </is>
      </c>
      <c r="J785" s="32" t="n">
        <v>46127</v>
      </c>
      <c r="K785" s="32" t="n">
        <v>46053</v>
      </c>
      <c r="L785" s="43" t="inlineStr">
        <is>
          <t>438</t>
        </is>
      </c>
      <c r="M785" s="43" t="n">
        <v>1</v>
      </c>
      <c r="N785" s="33" t="inlineStr"/>
      <c r="O785" s="43" t="inlineStr">
        <is>
          <t>UNVERIFIED</t>
        </is>
      </c>
      <c r="P785" s="43" t="inlineStr">
        <is>
          <t>Pending Review</t>
        </is>
      </c>
      <c r="Q785" s="33" t="inlineStr">
        <is>
          <t>Confirmar SKU/PCBA revision, PN exacto en Common DB, WO, BU, vigencia, planta y aprobacion firmada.</t>
        </is>
      </c>
    </row>
    <row r="786">
      <c r="A786" s="43" t="inlineStr">
        <is>
          <t>CTANJZ05067</t>
        </is>
      </c>
      <c r="B786" s="43" t="inlineStr">
        <is>
          <t>D608828</t>
        </is>
      </c>
      <c r="C786" s="43" t="inlineStr">
        <is>
          <t>037-STBU</t>
        </is>
      </c>
      <c r="D786" s="43" t="inlineStr">
        <is>
          <t>FJZP</t>
        </is>
      </c>
      <c r="E786" s="43" t="inlineStr">
        <is>
          <t>MCGA</t>
        </is>
      </c>
      <c r="F786" s="43" t="inlineStr">
        <is>
          <t>800-106632-03</t>
        </is>
      </c>
      <c r="G786" s="43" t="inlineStr">
        <is>
          <t>OTHER_SCOPE_ITEM</t>
        </is>
      </c>
      <c r="H786" s="43" t="inlineStr"/>
      <c r="I786" s="43" t="inlineStr">
        <is>
          <t>Expired</t>
        </is>
      </c>
      <c r="J786" s="32" t="n">
        <v>46127</v>
      </c>
      <c r="K786" s="32" t="n">
        <v>46053</v>
      </c>
      <c r="L786" s="43" t="inlineStr">
        <is>
          <t>483</t>
        </is>
      </c>
      <c r="M786" s="43" t="n">
        <v>1</v>
      </c>
      <c r="N786" s="33" t="inlineStr"/>
      <c r="O786" s="43" t="inlineStr">
        <is>
          <t>UNVERIFIED</t>
        </is>
      </c>
      <c r="P786" s="43" t="inlineStr">
        <is>
          <t>Pending Review</t>
        </is>
      </c>
      <c r="Q786" s="33" t="inlineStr">
        <is>
          <t>Confirmar SKU/PCBA revision, PN exacto en Common DB, WO, BU, vigencia, planta y aprobacion firmada.</t>
        </is>
      </c>
    </row>
    <row r="787">
      <c r="A787" s="43" t="inlineStr">
        <is>
          <t>CTANJZ05067</t>
        </is>
      </c>
      <c r="B787" s="43" t="inlineStr">
        <is>
          <t>D608828</t>
        </is>
      </c>
      <c r="C787" s="43" t="inlineStr">
        <is>
          <t>037-STBU</t>
        </is>
      </c>
      <c r="D787" s="43" t="inlineStr">
        <is>
          <t>FJZP</t>
        </is>
      </c>
      <c r="E787" s="43" t="inlineStr">
        <is>
          <t>MCGA</t>
        </is>
      </c>
      <c r="F787" s="43" t="inlineStr">
        <is>
          <t>800-106633-03</t>
        </is>
      </c>
      <c r="G787" s="43" t="inlineStr">
        <is>
          <t>OTHER_SCOPE_ITEM</t>
        </is>
      </c>
      <c r="H787" s="43" t="inlineStr"/>
      <c r="I787" s="43" t="inlineStr">
        <is>
          <t>Expired</t>
        </is>
      </c>
      <c r="J787" s="32" t="n">
        <v>46127</v>
      </c>
      <c r="K787" s="32" t="n">
        <v>46053</v>
      </c>
      <c r="L787" s="43" t="inlineStr">
        <is>
          <t>484</t>
        </is>
      </c>
      <c r="M787" s="43" t="n">
        <v>1</v>
      </c>
      <c r="N787" s="33" t="inlineStr"/>
      <c r="O787" s="43" t="inlineStr">
        <is>
          <t>UNVERIFIED</t>
        </is>
      </c>
      <c r="P787" s="43" t="inlineStr">
        <is>
          <t>Pending Review</t>
        </is>
      </c>
      <c r="Q787" s="33" t="inlineStr">
        <is>
          <t>Confirmar SKU/PCBA revision, PN exacto en Common DB, WO, BU, vigencia, planta y aprobacion firmada.</t>
        </is>
      </c>
    </row>
    <row r="788">
      <c r="A788" s="43" t="inlineStr">
        <is>
          <t>CTANJZ05067</t>
        </is>
      </c>
      <c r="B788" s="43" t="inlineStr">
        <is>
          <t>D608828</t>
        </is>
      </c>
      <c r="C788" s="43" t="inlineStr">
        <is>
          <t>037-STBU</t>
        </is>
      </c>
      <c r="D788" s="43" t="inlineStr">
        <is>
          <t>FJZP</t>
        </is>
      </c>
      <c r="E788" s="43" t="inlineStr">
        <is>
          <t>MCGA</t>
        </is>
      </c>
      <c r="F788" s="43" t="inlineStr">
        <is>
          <t>800-106754-02</t>
        </is>
      </c>
      <c r="G788" s="43" t="inlineStr">
        <is>
          <t>OTHER_SCOPE_ITEM</t>
        </is>
      </c>
      <c r="H788" s="43" t="inlineStr"/>
      <c r="I788" s="43" t="inlineStr">
        <is>
          <t>Expired</t>
        </is>
      </c>
      <c r="J788" s="32" t="n">
        <v>46127</v>
      </c>
      <c r="K788" s="32" t="n">
        <v>46053</v>
      </c>
      <c r="L788" s="43" t="inlineStr">
        <is>
          <t>485</t>
        </is>
      </c>
      <c r="M788" s="43" t="n">
        <v>1</v>
      </c>
      <c r="N788" s="33" t="inlineStr"/>
      <c r="O788" s="43" t="inlineStr">
        <is>
          <t>UNVERIFIED</t>
        </is>
      </c>
      <c r="P788" s="43" t="inlineStr">
        <is>
          <t>Pending Review</t>
        </is>
      </c>
      <c r="Q788" s="33" t="inlineStr">
        <is>
          <t>Confirmar SKU/PCBA revision, PN exacto en Common DB, WO, BU, vigencia, planta y aprobacion firmada.</t>
        </is>
      </c>
    </row>
    <row r="789">
      <c r="A789" s="43" t="inlineStr">
        <is>
          <t>CTANJZ05067</t>
        </is>
      </c>
      <c r="B789" s="43" t="inlineStr">
        <is>
          <t>D608828</t>
        </is>
      </c>
      <c r="C789" s="43" t="inlineStr">
        <is>
          <t>037-STBU</t>
        </is>
      </c>
      <c r="D789" s="43" t="inlineStr">
        <is>
          <t>FJZP</t>
        </is>
      </c>
      <c r="E789" s="43" t="inlineStr">
        <is>
          <t>MCGA</t>
        </is>
      </c>
      <c r="F789" s="43" t="inlineStr">
        <is>
          <t>800-106838-02</t>
        </is>
      </c>
      <c r="G789" s="43" t="inlineStr">
        <is>
          <t>OTHER_SCOPE_ITEM</t>
        </is>
      </c>
      <c r="H789" s="43" t="inlineStr"/>
      <c r="I789" s="43" t="inlineStr">
        <is>
          <t>Expired</t>
        </is>
      </c>
      <c r="J789" s="32" t="n">
        <v>46127</v>
      </c>
      <c r="K789" s="32" t="n">
        <v>46053</v>
      </c>
      <c r="L789" s="43" t="inlineStr">
        <is>
          <t>486</t>
        </is>
      </c>
      <c r="M789" s="43" t="n">
        <v>1</v>
      </c>
      <c r="N789" s="33" t="inlineStr"/>
      <c r="O789" s="43" t="inlineStr">
        <is>
          <t>UNVERIFIED</t>
        </is>
      </c>
      <c r="P789" s="43" t="inlineStr">
        <is>
          <t>Pending Review</t>
        </is>
      </c>
      <c r="Q789" s="33" t="inlineStr">
        <is>
          <t>Confirmar SKU/PCBA revision, PN exacto en Common DB, WO, BU, vigencia, planta y aprobacion firmada.</t>
        </is>
      </c>
    </row>
    <row r="790">
      <c r="A790" s="43" t="inlineStr">
        <is>
          <t>CTANJZ05068</t>
        </is>
      </c>
      <c r="B790" s="43" t="inlineStr">
        <is>
          <t>D609010</t>
        </is>
      </c>
      <c r="C790" s="43" t="inlineStr">
        <is>
          <t>035-CVEBU</t>
        </is>
      </c>
      <c r="D790" s="43" t="inlineStr">
        <is>
          <t>FJZP</t>
        </is>
      </c>
      <c r="E790" s="43" t="inlineStr">
        <is>
          <t>MCGA</t>
        </is>
      </c>
      <c r="F790" s="43" t="inlineStr">
        <is>
          <t>12-100143-01</t>
        </is>
      </c>
      <c r="G790" s="43" t="inlineStr">
        <is>
          <t>OTHER_SCOPE_ITEM</t>
        </is>
      </c>
      <c r="H790" s="43" t="inlineStr"/>
      <c r="I790" s="43" t="inlineStr">
        <is>
          <t>Expired</t>
        </is>
      </c>
      <c r="J790" s="32" t="n">
        <v>46127</v>
      </c>
      <c r="K790" s="32" t="n">
        <v>46049</v>
      </c>
      <c r="L790" s="43" t="inlineStr">
        <is>
          <t>1633</t>
        </is>
      </c>
      <c r="M790" s="43" t="n">
        <v>1</v>
      </c>
      <c r="N790" s="33" t="inlineStr"/>
      <c r="O790" s="43" t="inlineStr">
        <is>
          <t>UNVERIFIED</t>
        </is>
      </c>
      <c r="P790" s="43" t="inlineStr">
        <is>
          <t>Pending Review</t>
        </is>
      </c>
      <c r="Q790" s="33" t="inlineStr">
        <is>
          <t>Confirmar SKU/PCBA revision, PN exacto en Common DB, WO, BU, vigencia, planta y aprobacion firmada.</t>
        </is>
      </c>
    </row>
    <row r="791">
      <c r="A791" s="43" t="inlineStr">
        <is>
          <t>CTANJZ05068</t>
        </is>
      </c>
      <c r="B791" s="43" t="inlineStr">
        <is>
          <t>D609010</t>
        </is>
      </c>
      <c r="C791" s="43" t="inlineStr">
        <is>
          <t>035-CVEBU</t>
        </is>
      </c>
      <c r="D791" s="43" t="inlineStr">
        <is>
          <t>FJZP</t>
        </is>
      </c>
      <c r="E791" s="43" t="inlineStr">
        <is>
          <t>MCGA</t>
        </is>
      </c>
      <c r="F791" s="43" t="inlineStr">
        <is>
          <t>73-103820-04</t>
        </is>
      </c>
      <c r="G791" s="43" t="inlineStr">
        <is>
          <t>BOARD_PN_CANDIDATE</t>
        </is>
      </c>
      <c r="H791" s="43" t="inlineStr"/>
      <c r="I791" s="43" t="inlineStr">
        <is>
          <t>Expired</t>
        </is>
      </c>
      <c r="J791" s="32" t="n">
        <v>46127</v>
      </c>
      <c r="K791" s="32" t="n">
        <v>46049</v>
      </c>
      <c r="L791" s="43" t="inlineStr">
        <is>
          <t>1634</t>
        </is>
      </c>
      <c r="M791" s="43" t="n">
        <v>1</v>
      </c>
      <c r="N791" s="33" t="inlineStr"/>
      <c r="O791" s="43" t="inlineStr">
        <is>
          <t>UNVERIFIED</t>
        </is>
      </c>
      <c r="P791" s="43" t="inlineStr">
        <is>
          <t>Pending Review</t>
        </is>
      </c>
      <c r="Q791" s="33" t="inlineStr">
        <is>
          <t>Confirmar SKU/PCBA revision, PN exacto en Common DB, WO, BU, vigencia, planta y aprobacion firmada.</t>
        </is>
      </c>
    </row>
    <row r="792">
      <c r="A792" s="43" t="inlineStr">
        <is>
          <t>CTANJZ05073</t>
        </is>
      </c>
      <c r="B792" s="43" t="inlineStr">
        <is>
          <t>D609045</t>
        </is>
      </c>
      <c r="C792" s="43" t="inlineStr">
        <is>
          <t>037-STBU</t>
        </is>
      </c>
      <c r="D792" s="43" t="inlineStr">
        <is>
          <t>FJZP</t>
        </is>
      </c>
      <c r="E792" s="43" t="inlineStr">
        <is>
          <t>MCGA</t>
        </is>
      </c>
      <c r="F792" s="43" t="inlineStr">
        <is>
          <t>29-102749-01</t>
        </is>
      </c>
      <c r="G792" s="43" t="inlineStr">
        <is>
          <t>OTHER_SCOPE_ITEM</t>
        </is>
      </c>
      <c r="H792" s="43" t="inlineStr"/>
      <c r="I792" s="43" t="inlineStr">
        <is>
          <t>Expired</t>
        </is>
      </c>
      <c r="J792" s="32" t="n">
        <v>46131</v>
      </c>
      <c r="K792" s="32" t="n">
        <v>46064</v>
      </c>
      <c r="L792" s="43" t="inlineStr">
        <is>
          <t>1014</t>
        </is>
      </c>
      <c r="M792" s="43" t="n">
        <v>1</v>
      </c>
      <c r="N792" s="33" t="inlineStr"/>
      <c r="O792" s="43" t="inlineStr">
        <is>
          <t>UNVERIFIED</t>
        </is>
      </c>
      <c r="P792" s="43" t="inlineStr">
        <is>
          <t>Pending Review</t>
        </is>
      </c>
      <c r="Q792" s="33" t="inlineStr">
        <is>
          <t>Confirmar SKU/PCBA revision, PN exacto en Common DB, WO, BU, vigencia, planta y aprobacion firmada.</t>
        </is>
      </c>
    </row>
    <row r="793">
      <c r="A793" s="43" t="inlineStr">
        <is>
          <t>CTANJZ05073</t>
        </is>
      </c>
      <c r="B793" s="43" t="inlineStr">
        <is>
          <t>D609045</t>
        </is>
      </c>
      <c r="C793" s="43" t="inlineStr">
        <is>
          <t>037-STBU</t>
        </is>
      </c>
      <c r="D793" s="43" t="inlineStr">
        <is>
          <t>FJZP</t>
        </is>
      </c>
      <c r="E793" s="43" t="inlineStr">
        <is>
          <t>MCGA</t>
        </is>
      </c>
      <c r="F793" s="43" t="inlineStr">
        <is>
          <t>73-103125-02</t>
        </is>
      </c>
      <c r="G793" s="43" t="inlineStr">
        <is>
          <t>BOARD_PN_CANDIDATE</t>
        </is>
      </c>
      <c r="H793" s="43" t="inlineStr"/>
      <c r="I793" s="43" t="inlineStr">
        <is>
          <t>Expired</t>
        </is>
      </c>
      <c r="J793" s="32" t="n">
        <v>46131</v>
      </c>
      <c r="K793" s="32" t="n">
        <v>46064</v>
      </c>
      <c r="L793" s="43" t="inlineStr">
        <is>
          <t>1015</t>
        </is>
      </c>
      <c r="M793" s="43" t="n">
        <v>1</v>
      </c>
      <c r="N793" s="33" t="inlineStr"/>
      <c r="O793" s="43" t="inlineStr">
        <is>
          <t>UNVERIFIED</t>
        </is>
      </c>
      <c r="P793" s="43" t="inlineStr">
        <is>
          <t>Pending Review</t>
        </is>
      </c>
      <c r="Q793" s="33" t="inlineStr">
        <is>
          <t>Confirmar SKU/PCBA revision, PN exacto en Common DB, WO, BU, vigencia, planta y aprobacion firmada.</t>
        </is>
      </c>
    </row>
    <row r="794">
      <c r="A794" s="43" t="inlineStr">
        <is>
          <t>CTANJZ05079</t>
        </is>
      </c>
      <c r="B794" s="43" t="inlineStr">
        <is>
          <t>D608804</t>
        </is>
      </c>
      <c r="C794" s="43" t="inlineStr">
        <is>
          <t>018-SRGBU</t>
        </is>
      </c>
      <c r="D794" s="43" t="inlineStr">
        <is>
          <t>FJZP</t>
        </is>
      </c>
      <c r="E794" s="43" t="inlineStr">
        <is>
          <t>MCGA</t>
        </is>
      </c>
      <c r="F794" s="43" t="inlineStr">
        <is>
          <t>15-108743-01</t>
        </is>
      </c>
      <c r="G794" s="43" t="inlineStr">
        <is>
          <t>OTHER_SCOPE_ITEM</t>
        </is>
      </c>
      <c r="H794" s="43" t="inlineStr"/>
      <c r="I794" s="43" t="inlineStr">
        <is>
          <t>Expired</t>
        </is>
      </c>
      <c r="J794" s="32" t="n">
        <v>46133</v>
      </c>
      <c r="K794" s="32" t="n">
        <v>46053</v>
      </c>
      <c r="L794" s="43" t="inlineStr">
        <is>
          <t>1016</t>
        </is>
      </c>
      <c r="M794" s="43" t="n">
        <v>1</v>
      </c>
      <c r="N794" s="33" t="inlineStr"/>
      <c r="O794" s="43" t="inlineStr">
        <is>
          <t>UNVERIFIED</t>
        </is>
      </c>
      <c r="P794" s="43" t="inlineStr">
        <is>
          <t>Pending Review</t>
        </is>
      </c>
      <c r="Q794" s="33" t="inlineStr">
        <is>
          <t>Confirmar SKU/PCBA revision, PN exacto en Common DB, WO, BU, vigencia, planta y aprobacion firmada.</t>
        </is>
      </c>
    </row>
    <row r="795">
      <c r="A795" s="43" t="inlineStr">
        <is>
          <t>CTANJZ05085</t>
        </is>
      </c>
      <c r="B795" s="43" t="inlineStr">
        <is>
          <t>D609145</t>
        </is>
      </c>
      <c r="C795" s="43" t="inlineStr">
        <is>
          <t>037-STBU</t>
        </is>
      </c>
      <c r="D795" s="43" t="inlineStr">
        <is>
          <t>FJZP</t>
        </is>
      </c>
      <c r="E795" s="43" t="inlineStr">
        <is>
          <t>MCGA</t>
        </is>
      </c>
      <c r="F795" s="43" t="inlineStr">
        <is>
          <t>74-134454-05</t>
        </is>
      </c>
      <c r="G795" s="43" t="inlineStr">
        <is>
          <t>OTHER_SCOPE_ITEM</t>
        </is>
      </c>
      <c r="H795" s="43" t="inlineStr"/>
      <c r="I795" s="43" t="inlineStr">
        <is>
          <t>Expired</t>
        </is>
      </c>
      <c r="J795" s="32" t="n">
        <v>46135</v>
      </c>
      <c r="K795" s="32" t="n">
        <v>46070</v>
      </c>
      <c r="L795" s="43" t="inlineStr">
        <is>
          <t>444</t>
        </is>
      </c>
      <c r="M795" s="43" t="n">
        <v>1</v>
      </c>
      <c r="N795" s="33" t="inlineStr"/>
      <c r="O795" s="43" t="inlineStr">
        <is>
          <t>UNVERIFIED</t>
        </is>
      </c>
      <c r="P795" s="43" t="inlineStr">
        <is>
          <t>Pending Review</t>
        </is>
      </c>
      <c r="Q795" s="33" t="inlineStr">
        <is>
          <t>Confirmar SKU/PCBA revision, PN exacto en Common DB, WO, BU, vigencia, planta y aprobacion firmada.</t>
        </is>
      </c>
    </row>
    <row r="796">
      <c r="A796" s="43" t="inlineStr">
        <is>
          <t>CTANJZ05085</t>
        </is>
      </c>
      <c r="B796" s="43" t="inlineStr">
        <is>
          <t>D609145</t>
        </is>
      </c>
      <c r="C796" s="43" t="inlineStr">
        <is>
          <t>037-STBU</t>
        </is>
      </c>
      <c r="D796" s="43" t="inlineStr">
        <is>
          <t>FJZP</t>
        </is>
      </c>
      <c r="E796" s="43" t="inlineStr">
        <is>
          <t>MCGA</t>
        </is>
      </c>
      <c r="F796" s="43" t="inlineStr">
        <is>
          <t>74-134455-05</t>
        </is>
      </c>
      <c r="G796" s="43" t="inlineStr">
        <is>
          <t>OTHER_SCOPE_ITEM</t>
        </is>
      </c>
      <c r="H796" s="43" t="inlineStr"/>
      <c r="I796" s="43" t="inlineStr">
        <is>
          <t>Expired</t>
        </is>
      </c>
      <c r="J796" s="32" t="n">
        <v>46135</v>
      </c>
      <c r="K796" s="32" t="n">
        <v>46070</v>
      </c>
      <c r="L796" s="43" t="inlineStr">
        <is>
          <t>445</t>
        </is>
      </c>
      <c r="M796" s="43" t="n">
        <v>1</v>
      </c>
      <c r="N796" s="33" t="inlineStr"/>
      <c r="O796" s="43" t="inlineStr">
        <is>
          <t>UNVERIFIED</t>
        </is>
      </c>
      <c r="P796" s="43" t="inlineStr">
        <is>
          <t>Pending Review</t>
        </is>
      </c>
      <c r="Q796" s="33" t="inlineStr">
        <is>
          <t>Confirmar SKU/PCBA revision, PN exacto en Common DB, WO, BU, vigencia, planta y aprobacion firmada.</t>
        </is>
      </c>
    </row>
    <row r="797">
      <c r="A797" s="43" t="inlineStr">
        <is>
          <t>CTANJZ05085</t>
        </is>
      </c>
      <c r="B797" s="43" t="inlineStr">
        <is>
          <t>D609145</t>
        </is>
      </c>
      <c r="C797" s="43" t="inlineStr">
        <is>
          <t>037-STBU</t>
        </is>
      </c>
      <c r="D797" s="43" t="inlineStr">
        <is>
          <t>FJZP</t>
        </is>
      </c>
      <c r="E797" s="43" t="inlineStr">
        <is>
          <t>MCGA</t>
        </is>
      </c>
      <c r="F797" s="43" t="inlineStr">
        <is>
          <t>74-134456-05</t>
        </is>
      </c>
      <c r="G797" s="43" t="inlineStr">
        <is>
          <t>OTHER_SCOPE_ITEM</t>
        </is>
      </c>
      <c r="H797" s="43" t="inlineStr"/>
      <c r="I797" s="43" t="inlineStr">
        <is>
          <t>Expired</t>
        </is>
      </c>
      <c r="J797" s="32" t="n">
        <v>46135</v>
      </c>
      <c r="K797" s="32" t="n">
        <v>46070</v>
      </c>
      <c r="L797" s="43" t="inlineStr">
        <is>
          <t>446</t>
        </is>
      </c>
      <c r="M797" s="43" t="n">
        <v>1</v>
      </c>
      <c r="N797" s="33" t="inlineStr"/>
      <c r="O797" s="43" t="inlineStr">
        <is>
          <t>UNVERIFIED</t>
        </is>
      </c>
      <c r="P797" s="43" t="inlineStr">
        <is>
          <t>Pending Review</t>
        </is>
      </c>
      <c r="Q797" s="33" t="inlineStr">
        <is>
          <t>Confirmar SKU/PCBA revision, PN exacto en Common DB, WO, BU, vigencia, planta y aprobacion firmada.</t>
        </is>
      </c>
    </row>
    <row r="798">
      <c r="A798" s="43" t="inlineStr">
        <is>
          <t>CTANJZ05085</t>
        </is>
      </c>
      <c r="B798" s="43" t="inlineStr">
        <is>
          <t>D609145</t>
        </is>
      </c>
      <c r="C798" s="43" t="inlineStr">
        <is>
          <t>037-STBU</t>
        </is>
      </c>
      <c r="D798" s="43" t="inlineStr">
        <is>
          <t>FJZP</t>
        </is>
      </c>
      <c r="E798" s="43" t="inlineStr">
        <is>
          <t>MCGA</t>
        </is>
      </c>
      <c r="F798" s="43" t="inlineStr">
        <is>
          <t>74-139970-01</t>
        </is>
      </c>
      <c r="G798" s="43" t="inlineStr">
        <is>
          <t>OTHER_SCOPE_ITEM</t>
        </is>
      </c>
      <c r="H798" s="43" t="inlineStr"/>
      <c r="I798" s="43" t="inlineStr">
        <is>
          <t>Expired</t>
        </is>
      </c>
      <c r="J798" s="32" t="n">
        <v>46135</v>
      </c>
      <c r="K798" s="32" t="n">
        <v>46070</v>
      </c>
      <c r="L798" s="43" t="inlineStr">
        <is>
          <t>447</t>
        </is>
      </c>
      <c r="M798" s="43" t="n">
        <v>1</v>
      </c>
      <c r="N798" s="33" t="inlineStr"/>
      <c r="O798" s="43" t="inlineStr">
        <is>
          <t>UNVERIFIED</t>
        </is>
      </c>
      <c r="P798" s="43" t="inlineStr">
        <is>
          <t>Pending Review</t>
        </is>
      </c>
      <c r="Q798" s="33" t="inlineStr">
        <is>
          <t>Confirmar SKU/PCBA revision, PN exacto en Common DB, WO, BU, vigencia, planta y aprobacion firmada.</t>
        </is>
      </c>
    </row>
    <row r="799">
      <c r="A799" s="43" t="inlineStr">
        <is>
          <t>CTANJZ05085</t>
        </is>
      </c>
      <c r="B799" s="43" t="inlineStr">
        <is>
          <t>D609145</t>
        </is>
      </c>
      <c r="C799" s="43" t="inlineStr">
        <is>
          <t>037-STBU</t>
        </is>
      </c>
      <c r="D799" s="43" t="inlineStr">
        <is>
          <t>FJZP</t>
        </is>
      </c>
      <c r="E799" s="43" t="inlineStr">
        <is>
          <t>MCGA</t>
        </is>
      </c>
      <c r="F799" s="43" t="inlineStr">
        <is>
          <t>74-139971-01</t>
        </is>
      </c>
      <c r="G799" s="43" t="inlineStr">
        <is>
          <t>OTHER_SCOPE_ITEM</t>
        </is>
      </c>
      <c r="H799" s="43" t="inlineStr"/>
      <c r="I799" s="43" t="inlineStr">
        <is>
          <t>Expired</t>
        </is>
      </c>
      <c r="J799" s="32" t="n">
        <v>46135</v>
      </c>
      <c r="K799" s="32" t="n">
        <v>46070</v>
      </c>
      <c r="L799" s="43" t="inlineStr">
        <is>
          <t>448</t>
        </is>
      </c>
      <c r="M799" s="43" t="n">
        <v>1</v>
      </c>
      <c r="N799" s="33" t="inlineStr"/>
      <c r="O799" s="43" t="inlineStr">
        <is>
          <t>UNVERIFIED</t>
        </is>
      </c>
      <c r="P799" s="43" t="inlineStr">
        <is>
          <t>Pending Review</t>
        </is>
      </c>
      <c r="Q799" s="33" t="inlineStr">
        <is>
          <t>Confirmar SKU/PCBA revision, PN exacto en Common DB, WO, BU, vigencia, planta y aprobacion firmada.</t>
        </is>
      </c>
    </row>
    <row r="800">
      <c r="A800" s="43" t="inlineStr">
        <is>
          <t>CTANJZ05085</t>
        </is>
      </c>
      <c r="B800" s="43" t="inlineStr">
        <is>
          <t>D609145</t>
        </is>
      </c>
      <c r="C800" s="43" t="inlineStr">
        <is>
          <t>037-STBU</t>
        </is>
      </c>
      <c r="D800" s="43" t="inlineStr">
        <is>
          <t>FJZP</t>
        </is>
      </c>
      <c r="E800" s="43" t="inlineStr">
        <is>
          <t>MCGA</t>
        </is>
      </c>
      <c r="F800" s="43" t="inlineStr">
        <is>
          <t>74-139972-01</t>
        </is>
      </c>
      <c r="G800" s="43" t="inlineStr">
        <is>
          <t>OTHER_SCOPE_ITEM</t>
        </is>
      </c>
      <c r="H800" s="43" t="inlineStr"/>
      <c r="I800" s="43" t="inlineStr">
        <is>
          <t>Expired</t>
        </is>
      </c>
      <c r="J800" s="32" t="n">
        <v>46135</v>
      </c>
      <c r="K800" s="32" t="n">
        <v>46070</v>
      </c>
      <c r="L800" s="43" t="inlineStr">
        <is>
          <t>449</t>
        </is>
      </c>
      <c r="M800" s="43" t="n">
        <v>1</v>
      </c>
      <c r="N800" s="33" t="inlineStr"/>
      <c r="O800" s="43" t="inlineStr">
        <is>
          <t>UNVERIFIED</t>
        </is>
      </c>
      <c r="P800" s="43" t="inlineStr">
        <is>
          <t>Pending Review</t>
        </is>
      </c>
      <c r="Q800" s="33" t="inlineStr">
        <is>
          <t>Confirmar SKU/PCBA revision, PN exacto en Common DB, WO, BU, vigencia, planta y aprobacion firmada.</t>
        </is>
      </c>
    </row>
    <row r="801">
      <c r="A801" s="43" t="inlineStr">
        <is>
          <t>CTANJZ05086</t>
        </is>
      </c>
      <c r="B801" s="43" t="inlineStr">
        <is>
          <t>D609139</t>
        </is>
      </c>
      <c r="C801" s="43" t="inlineStr">
        <is>
          <t>035-CVEBU</t>
        </is>
      </c>
      <c r="D801" s="43" t="inlineStr">
        <is>
          <t>FJZP</t>
        </is>
      </c>
      <c r="E801" s="43" t="inlineStr">
        <is>
          <t>MCGA</t>
        </is>
      </c>
      <c r="F801" s="43" t="inlineStr">
        <is>
          <t>13-100045-01</t>
        </is>
      </c>
      <c r="G801" s="43" t="inlineStr">
        <is>
          <t>OTHER_SCOPE_ITEM</t>
        </is>
      </c>
      <c r="H801" s="43" t="inlineStr"/>
      <c r="I801" s="43" t="inlineStr">
        <is>
          <t>Expired</t>
        </is>
      </c>
      <c r="J801" s="32" t="n">
        <v>46136</v>
      </c>
      <c r="K801" s="32" t="n">
        <v>46053</v>
      </c>
      <c r="L801" s="43" t="inlineStr">
        <is>
          <t>460</t>
        </is>
      </c>
      <c r="M801" s="43" t="n">
        <v>1</v>
      </c>
      <c r="N801" s="33" t="inlineStr"/>
      <c r="O801" s="43" t="inlineStr">
        <is>
          <t>UNVERIFIED</t>
        </is>
      </c>
      <c r="P801" s="43" t="inlineStr">
        <is>
          <t>Pending Review</t>
        </is>
      </c>
      <c r="Q801" s="33" t="inlineStr">
        <is>
          <t>Confirmar SKU/PCBA revision, PN exacto en Common DB, WO, BU, vigencia, planta y aprobacion firmada.</t>
        </is>
      </c>
    </row>
    <row r="802">
      <c r="A802" s="43" t="inlineStr">
        <is>
          <t>CTANJZ05086</t>
        </is>
      </c>
      <c r="B802" s="43" t="inlineStr">
        <is>
          <t>D609139</t>
        </is>
      </c>
      <c r="C802" s="43" t="inlineStr">
        <is>
          <t>035-CVEBU</t>
        </is>
      </c>
      <c r="D802" s="43" t="inlineStr">
        <is>
          <t>FJZP</t>
        </is>
      </c>
      <c r="E802" s="43" t="inlineStr">
        <is>
          <t>MCGA</t>
        </is>
      </c>
      <c r="F802" s="43" t="inlineStr">
        <is>
          <t>73-102022-02</t>
        </is>
      </c>
      <c r="G802" s="43" t="inlineStr">
        <is>
          <t>BOARD_PN_CANDIDATE</t>
        </is>
      </c>
      <c r="H802" s="43" t="inlineStr">
        <is>
          <t>BROOKLYN</t>
        </is>
      </c>
      <c r="I802" s="43" t="inlineStr">
        <is>
          <t>Expired</t>
        </is>
      </c>
      <c r="J802" s="32" t="n">
        <v>46136</v>
      </c>
      <c r="K802" s="32" t="n">
        <v>46053</v>
      </c>
      <c r="L802" s="43" t="inlineStr">
        <is>
          <t>461</t>
        </is>
      </c>
      <c r="M802" s="43" t="n">
        <v>1</v>
      </c>
      <c r="N802" s="33" t="inlineStr"/>
      <c r="O802" s="43" t="inlineStr">
        <is>
          <t>UNVERIFIED</t>
        </is>
      </c>
      <c r="P802" s="43" t="inlineStr">
        <is>
          <t>Pending Review</t>
        </is>
      </c>
      <c r="Q802" s="33" t="inlineStr">
        <is>
          <t>Confirmar SKU/PCBA revision, PN exacto en Common DB, WO, BU, vigencia, planta y aprobacion firmada.</t>
        </is>
      </c>
    </row>
    <row r="803">
      <c r="A803" s="43" t="inlineStr">
        <is>
          <t>CTANJZ05086</t>
        </is>
      </c>
      <c r="B803" s="43" t="inlineStr">
        <is>
          <t>D609139</t>
        </is>
      </c>
      <c r="C803" s="43" t="inlineStr">
        <is>
          <t>035-CVEBU</t>
        </is>
      </c>
      <c r="D803" s="43" t="inlineStr">
        <is>
          <t>FJZP</t>
        </is>
      </c>
      <c r="E803" s="43" t="inlineStr">
        <is>
          <t>MCGA</t>
        </is>
      </c>
      <c r="F803" s="43" t="inlineStr">
        <is>
          <t>73-102197-02</t>
        </is>
      </c>
      <c r="G803" s="43" t="inlineStr">
        <is>
          <t>BOARD_PN_CANDIDATE</t>
        </is>
      </c>
      <c r="H803" s="43" t="inlineStr"/>
      <c r="I803" s="43" t="inlineStr">
        <is>
          <t>Expired</t>
        </is>
      </c>
      <c r="J803" s="32" t="n">
        <v>46136</v>
      </c>
      <c r="K803" s="32" t="n">
        <v>46053</v>
      </c>
      <c r="L803" s="43" t="inlineStr">
        <is>
          <t>462</t>
        </is>
      </c>
      <c r="M803" s="43" t="n">
        <v>1</v>
      </c>
      <c r="N803" s="33" t="inlineStr"/>
      <c r="O803" s="43" t="inlineStr">
        <is>
          <t>UNVERIFIED</t>
        </is>
      </c>
      <c r="P803" s="43" t="inlineStr">
        <is>
          <t>Pending Review</t>
        </is>
      </c>
      <c r="Q803" s="33" t="inlineStr">
        <is>
          <t>Confirmar SKU/PCBA revision, PN exacto en Common DB, WO, BU, vigencia, planta y aprobacion firmada.</t>
        </is>
      </c>
    </row>
    <row r="804">
      <c r="A804" s="43" t="inlineStr">
        <is>
          <t>CTANJZ05086</t>
        </is>
      </c>
      <c r="B804" s="43" t="inlineStr">
        <is>
          <t>D609139</t>
        </is>
      </c>
      <c r="C804" s="43" t="inlineStr">
        <is>
          <t>035-CVEBU</t>
        </is>
      </c>
      <c r="D804" s="43" t="inlineStr">
        <is>
          <t>FJZP</t>
        </is>
      </c>
      <c r="E804" s="43" t="inlineStr">
        <is>
          <t>MCGA</t>
        </is>
      </c>
      <c r="F804" s="43" t="inlineStr">
        <is>
          <t>73-102226-06</t>
        </is>
      </c>
      <c r="G804" s="43" t="inlineStr">
        <is>
          <t>BOARD_PN_CANDIDATE</t>
        </is>
      </c>
      <c r="H804" s="43" t="inlineStr">
        <is>
          <t>MILLENIUM</t>
        </is>
      </c>
      <c r="I804" s="43" t="inlineStr">
        <is>
          <t>Expired</t>
        </is>
      </c>
      <c r="J804" s="32" t="n">
        <v>46136</v>
      </c>
      <c r="K804" s="32" t="n">
        <v>46053</v>
      </c>
      <c r="L804" s="43" t="inlineStr">
        <is>
          <t>463</t>
        </is>
      </c>
      <c r="M804" s="43" t="n">
        <v>1</v>
      </c>
      <c r="N804" s="33" t="inlineStr"/>
      <c r="O804" s="43" t="inlineStr">
        <is>
          <t>UNVERIFIED</t>
        </is>
      </c>
      <c r="P804" s="43" t="inlineStr">
        <is>
          <t>Pending Review</t>
        </is>
      </c>
      <c r="Q804" s="33" t="inlineStr">
        <is>
          <t>Confirmar SKU/PCBA revision, PN exacto en Common DB, WO, BU, vigencia, planta y aprobacion firmada.</t>
        </is>
      </c>
    </row>
    <row r="805">
      <c r="A805" s="43" t="inlineStr">
        <is>
          <t>CTANJZ05086</t>
        </is>
      </c>
      <c r="B805" s="43" t="inlineStr">
        <is>
          <t>D609139</t>
        </is>
      </c>
      <c r="C805" s="43" t="inlineStr">
        <is>
          <t>035-CVEBU</t>
        </is>
      </c>
      <c r="D805" s="43" t="inlineStr">
        <is>
          <t>FJZP</t>
        </is>
      </c>
      <c r="E805" s="43" t="inlineStr">
        <is>
          <t>MCGA</t>
        </is>
      </c>
      <c r="F805" s="43" t="inlineStr">
        <is>
          <t>73-102797-02</t>
        </is>
      </c>
      <c r="G805" s="43" t="inlineStr">
        <is>
          <t>BOARD_PN_CANDIDATE</t>
        </is>
      </c>
      <c r="H805" s="43" t="inlineStr">
        <is>
          <t>DAVINCI</t>
        </is>
      </c>
      <c r="I805" s="43" t="inlineStr">
        <is>
          <t>Expired</t>
        </is>
      </c>
      <c r="J805" s="32" t="n">
        <v>46136</v>
      </c>
      <c r="K805" s="32" t="n">
        <v>46053</v>
      </c>
      <c r="L805" s="43" t="inlineStr">
        <is>
          <t>464</t>
        </is>
      </c>
      <c r="M805" s="43" t="n">
        <v>1</v>
      </c>
      <c r="N805" s="33" t="inlineStr"/>
      <c r="O805" s="43" t="inlineStr">
        <is>
          <t>UNVERIFIED</t>
        </is>
      </c>
      <c r="P805" s="43" t="inlineStr">
        <is>
          <t>Pending Review</t>
        </is>
      </c>
      <c r="Q805" s="33" t="inlineStr">
        <is>
          <t>Confirmar SKU/PCBA revision, PN exacto en Common DB, WO, BU, vigencia, planta y aprobacion firmada.</t>
        </is>
      </c>
    </row>
    <row r="806">
      <c r="A806" s="43" t="inlineStr">
        <is>
          <t>CTANJZ05086</t>
        </is>
      </c>
      <c r="B806" s="43" t="inlineStr">
        <is>
          <t>D609139</t>
        </is>
      </c>
      <c r="C806" s="43" t="inlineStr">
        <is>
          <t>035-CVEBU</t>
        </is>
      </c>
      <c r="D806" s="43" t="inlineStr">
        <is>
          <t>FJZP</t>
        </is>
      </c>
      <c r="E806" s="43" t="inlineStr">
        <is>
          <t>MCGA</t>
        </is>
      </c>
      <c r="F806" s="43" t="inlineStr">
        <is>
          <t>73-103226-06</t>
        </is>
      </c>
      <c r="G806" s="43" t="inlineStr">
        <is>
          <t>BOARD_PN_CANDIDATE</t>
        </is>
      </c>
      <c r="H806" s="43" t="inlineStr"/>
      <c r="I806" s="43" t="inlineStr">
        <is>
          <t>Expired</t>
        </is>
      </c>
      <c r="J806" s="32" t="n">
        <v>46136</v>
      </c>
      <c r="K806" s="32" t="n">
        <v>46053</v>
      </c>
      <c r="L806" s="43" t="inlineStr">
        <is>
          <t>465</t>
        </is>
      </c>
      <c r="M806" s="43" t="n">
        <v>1</v>
      </c>
      <c r="N806" s="33" t="inlineStr"/>
      <c r="O806" s="43" t="inlineStr">
        <is>
          <t>UNVERIFIED</t>
        </is>
      </c>
      <c r="P806" s="43" t="inlineStr">
        <is>
          <t>Pending Review</t>
        </is>
      </c>
      <c r="Q806" s="33" t="inlineStr">
        <is>
          <t>Confirmar SKU/PCBA revision, PN exacto en Common DB, WO, BU, vigencia, planta y aprobacion firmada.</t>
        </is>
      </c>
    </row>
    <row r="807">
      <c r="A807" s="43" t="inlineStr">
        <is>
          <t>CTANJZ05086</t>
        </is>
      </c>
      <c r="B807" s="43" t="inlineStr">
        <is>
          <t>D609139</t>
        </is>
      </c>
      <c r="C807" s="43" t="inlineStr">
        <is>
          <t>035-CVEBU</t>
        </is>
      </c>
      <c r="D807" s="43" t="inlineStr">
        <is>
          <t>FJZP</t>
        </is>
      </c>
      <c r="E807" s="43" t="inlineStr">
        <is>
          <t>MCGA</t>
        </is>
      </c>
      <c r="F807" s="43" t="inlineStr">
        <is>
          <t>73-103698-06</t>
        </is>
      </c>
      <c r="G807" s="43" t="inlineStr">
        <is>
          <t>BOARD_PN_CANDIDATE</t>
        </is>
      </c>
      <c r="H807" s="43" t="inlineStr"/>
      <c r="I807" s="43" t="inlineStr">
        <is>
          <t>Expired</t>
        </is>
      </c>
      <c r="J807" s="32" t="n">
        <v>46136</v>
      </c>
      <c r="K807" s="32" t="n">
        <v>46053</v>
      </c>
      <c r="L807" s="43" t="inlineStr">
        <is>
          <t>466</t>
        </is>
      </c>
      <c r="M807" s="43" t="n">
        <v>1</v>
      </c>
      <c r="N807" s="33" t="inlineStr"/>
      <c r="O807" s="43" t="inlineStr">
        <is>
          <t>UNVERIFIED</t>
        </is>
      </c>
      <c r="P807" s="43" t="inlineStr">
        <is>
          <t>Pending Review</t>
        </is>
      </c>
      <c r="Q807" s="33" t="inlineStr">
        <is>
          <t>Confirmar SKU/PCBA revision, PN exacto en Common DB, WO, BU, vigencia, planta y aprobacion firmada.</t>
        </is>
      </c>
    </row>
    <row r="808">
      <c r="A808" s="43" t="inlineStr">
        <is>
          <t>CTANJZ05086</t>
        </is>
      </c>
      <c r="B808" s="43" t="inlineStr">
        <is>
          <t>D609139</t>
        </is>
      </c>
      <c r="C808" s="43" t="inlineStr">
        <is>
          <t>035-CVEBU</t>
        </is>
      </c>
      <c r="D808" s="43" t="inlineStr">
        <is>
          <t>FJZP</t>
        </is>
      </c>
      <c r="E808" s="43" t="inlineStr">
        <is>
          <t>MCGA</t>
        </is>
      </c>
      <c r="F808" s="43" t="inlineStr">
        <is>
          <t>73-103826-05</t>
        </is>
      </c>
      <c r="G808" s="43" t="inlineStr">
        <is>
          <t>BOARD_PN_CANDIDATE</t>
        </is>
      </c>
      <c r="H808" s="43" t="inlineStr">
        <is>
          <t>BAYFRONT</t>
        </is>
      </c>
      <c r="I808" s="43" t="inlineStr">
        <is>
          <t>Expired</t>
        </is>
      </c>
      <c r="J808" s="32" t="n">
        <v>46136</v>
      </c>
      <c r="K808" s="32" t="n">
        <v>46053</v>
      </c>
      <c r="L808" s="43" t="inlineStr">
        <is>
          <t>467</t>
        </is>
      </c>
      <c r="M808" s="43" t="n">
        <v>1</v>
      </c>
      <c r="N808" s="33" t="inlineStr"/>
      <c r="O808" s="43" t="inlineStr">
        <is>
          <t>UNVERIFIED</t>
        </is>
      </c>
      <c r="P808" s="43" t="inlineStr">
        <is>
          <t>Pending Review</t>
        </is>
      </c>
      <c r="Q808" s="33" t="inlineStr">
        <is>
          <t>Confirmar SKU/PCBA revision, PN exacto en Common DB, WO, BU, vigencia, planta y aprobacion firmada.</t>
        </is>
      </c>
    </row>
    <row r="809">
      <c r="A809" s="43" t="inlineStr">
        <is>
          <t>CTANJZ05086</t>
        </is>
      </c>
      <c r="B809" s="43" t="inlineStr">
        <is>
          <t>D609139</t>
        </is>
      </c>
      <c r="C809" s="43" t="inlineStr">
        <is>
          <t>035-CVEBU</t>
        </is>
      </c>
      <c r="D809" s="43" t="inlineStr">
        <is>
          <t>FJZP</t>
        </is>
      </c>
      <c r="E809" s="43" t="inlineStr">
        <is>
          <t>MCGA</t>
        </is>
      </c>
      <c r="F809" s="43" t="inlineStr">
        <is>
          <t>73-103940-06</t>
        </is>
      </c>
      <c r="G809" s="43" t="inlineStr">
        <is>
          <t>BOARD_PN_CANDIDATE</t>
        </is>
      </c>
      <c r="H809" s="43" t="inlineStr"/>
      <c r="I809" s="43" t="inlineStr">
        <is>
          <t>Expired</t>
        </is>
      </c>
      <c r="J809" s="32" t="n">
        <v>46136</v>
      </c>
      <c r="K809" s="32" t="n">
        <v>46053</v>
      </c>
      <c r="L809" s="43" t="inlineStr">
        <is>
          <t>468</t>
        </is>
      </c>
      <c r="M809" s="43" t="n">
        <v>1</v>
      </c>
      <c r="N809" s="33" t="inlineStr"/>
      <c r="O809" s="43" t="inlineStr">
        <is>
          <t>UNVERIFIED</t>
        </is>
      </c>
      <c r="P809" s="43" t="inlineStr">
        <is>
          <t>Pending Review</t>
        </is>
      </c>
      <c r="Q809" s="33" t="inlineStr">
        <is>
          <t>Confirmar SKU/PCBA revision, PN exacto en Common DB, WO, BU, vigencia, planta y aprobacion firmada.</t>
        </is>
      </c>
    </row>
    <row r="810">
      <c r="A810" s="43" t="inlineStr">
        <is>
          <t>CTANJZ05086</t>
        </is>
      </c>
      <c r="B810" s="43" t="inlineStr">
        <is>
          <t>D609139</t>
        </is>
      </c>
      <c r="C810" s="43" t="inlineStr">
        <is>
          <t>035-CVEBU</t>
        </is>
      </c>
      <c r="D810" s="43" t="inlineStr">
        <is>
          <t>FJZP</t>
        </is>
      </c>
      <c r="E810" s="43" t="inlineStr">
        <is>
          <t>MCGA</t>
        </is>
      </c>
      <c r="F810" s="43" t="inlineStr">
        <is>
          <t>73-103950-01</t>
        </is>
      </c>
      <c r="G810" s="43" t="inlineStr">
        <is>
          <t>BOARD_PN_CANDIDATE</t>
        </is>
      </c>
      <c r="H810" s="43" t="inlineStr"/>
      <c r="I810" s="43" t="inlineStr">
        <is>
          <t>Expired</t>
        </is>
      </c>
      <c r="J810" s="32" t="n">
        <v>46136</v>
      </c>
      <c r="K810" s="32" t="n">
        <v>46053</v>
      </c>
      <c r="L810" s="43" t="inlineStr">
        <is>
          <t>469</t>
        </is>
      </c>
      <c r="M810" s="43" t="n">
        <v>1</v>
      </c>
      <c r="N810" s="33" t="inlineStr"/>
      <c r="O810" s="43" t="inlineStr">
        <is>
          <t>UNVERIFIED</t>
        </is>
      </c>
      <c r="P810" s="43" t="inlineStr">
        <is>
          <t>Pending Review</t>
        </is>
      </c>
      <c r="Q810" s="33" t="inlineStr">
        <is>
          <t>Confirmar SKU/PCBA revision, PN exacto en Common DB, WO, BU, vigencia, planta y aprobacion firmada.</t>
        </is>
      </c>
    </row>
    <row r="811">
      <c r="A811" s="43" t="inlineStr">
        <is>
          <t>CTANJZ05086</t>
        </is>
      </c>
      <c r="B811" s="43" t="inlineStr">
        <is>
          <t>D609139</t>
        </is>
      </c>
      <c r="C811" s="43" t="inlineStr">
        <is>
          <t>035-CVEBU</t>
        </is>
      </c>
      <c r="D811" s="43" t="inlineStr">
        <is>
          <t>FJZP</t>
        </is>
      </c>
      <c r="E811" s="43" t="inlineStr">
        <is>
          <t>MCGA</t>
        </is>
      </c>
      <c r="F811" s="43" t="inlineStr">
        <is>
          <t>73-103951-01</t>
        </is>
      </c>
      <c r="G811" s="43" t="inlineStr">
        <is>
          <t>BOARD_PN_CANDIDATE</t>
        </is>
      </c>
      <c r="H811" s="43" t="inlineStr"/>
      <c r="I811" s="43" t="inlineStr">
        <is>
          <t>Expired</t>
        </is>
      </c>
      <c r="J811" s="32" t="n">
        <v>46136</v>
      </c>
      <c r="K811" s="32" t="n">
        <v>46053</v>
      </c>
      <c r="L811" s="43" t="inlineStr">
        <is>
          <t>470</t>
        </is>
      </c>
      <c r="M811" s="43" t="n">
        <v>1</v>
      </c>
      <c r="N811" s="33" t="inlineStr"/>
      <c r="O811" s="43" t="inlineStr">
        <is>
          <t>UNVERIFIED</t>
        </is>
      </c>
      <c r="P811" s="43" t="inlineStr">
        <is>
          <t>Pending Review</t>
        </is>
      </c>
      <c r="Q811" s="33" t="inlineStr">
        <is>
          <t>Confirmar SKU/PCBA revision, PN exacto en Common DB, WO, BU, vigencia, planta y aprobacion firmada.</t>
        </is>
      </c>
    </row>
    <row r="812">
      <c r="A812" s="43" t="inlineStr">
        <is>
          <t>CTANJZ05086</t>
        </is>
      </c>
      <c r="B812" s="43" t="inlineStr">
        <is>
          <t>D609139</t>
        </is>
      </c>
      <c r="C812" s="43" t="inlineStr">
        <is>
          <t>035-CVEBU</t>
        </is>
      </c>
      <c r="D812" s="43" t="inlineStr">
        <is>
          <t>FJZP</t>
        </is>
      </c>
      <c r="E812" s="43" t="inlineStr">
        <is>
          <t>MCGA</t>
        </is>
      </c>
      <c r="F812" s="43" t="inlineStr">
        <is>
          <t>73-104022-01</t>
        </is>
      </c>
      <c r="G812" s="43" t="inlineStr">
        <is>
          <t>BOARD_PN_CANDIDATE</t>
        </is>
      </c>
      <c r="H812" s="43" t="inlineStr"/>
      <c r="I812" s="43" t="inlineStr">
        <is>
          <t>Expired</t>
        </is>
      </c>
      <c r="J812" s="32" t="n">
        <v>46136</v>
      </c>
      <c r="K812" s="32" t="n">
        <v>46053</v>
      </c>
      <c r="L812" s="43" t="inlineStr">
        <is>
          <t>510</t>
        </is>
      </c>
      <c r="M812" s="43" t="n">
        <v>1</v>
      </c>
      <c r="N812" s="33" t="inlineStr"/>
      <c r="O812" s="43" t="inlineStr">
        <is>
          <t>UNVERIFIED</t>
        </is>
      </c>
      <c r="P812" s="43" t="inlineStr">
        <is>
          <t>Pending Review</t>
        </is>
      </c>
      <c r="Q812" s="33" t="inlineStr">
        <is>
          <t>Confirmar SKU/PCBA revision, PN exacto en Common DB, WO, BU, vigencia, planta y aprobacion firmada.</t>
        </is>
      </c>
    </row>
    <row r="813">
      <c r="A813" s="43" t="inlineStr">
        <is>
          <t>CTANJZ05087</t>
        </is>
      </c>
      <c r="B813" s="43" t="inlineStr">
        <is>
          <t>D609115</t>
        </is>
      </c>
      <c r="C813" s="43" t="inlineStr">
        <is>
          <t>035-CVEBU</t>
        </is>
      </c>
      <c r="D813" s="43" t="inlineStr">
        <is>
          <t>FJZP</t>
        </is>
      </c>
      <c r="E813" s="43" t="inlineStr">
        <is>
          <t>MCGA</t>
        </is>
      </c>
      <c r="F813" s="43" t="inlineStr">
        <is>
          <t>16-101838-01</t>
        </is>
      </c>
      <c r="G813" s="43" t="inlineStr">
        <is>
          <t>OTHER_SCOPE_ITEM</t>
        </is>
      </c>
      <c r="H813" s="43" t="inlineStr"/>
      <c r="I813" s="43" t="inlineStr">
        <is>
          <t>Expired</t>
        </is>
      </c>
      <c r="J813" s="32" t="n">
        <v>46140</v>
      </c>
      <c r="K813" s="32" t="n">
        <v>46064</v>
      </c>
      <c r="L813" s="43" t="inlineStr">
        <is>
          <t>477</t>
        </is>
      </c>
      <c r="M813" s="43" t="n">
        <v>1</v>
      </c>
      <c r="N813" s="33" t="inlineStr"/>
      <c r="O813" s="43" t="inlineStr">
        <is>
          <t>UNVERIFIED</t>
        </is>
      </c>
      <c r="P813" s="43" t="inlineStr">
        <is>
          <t>Pending Review</t>
        </is>
      </c>
      <c r="Q813" s="33" t="inlineStr">
        <is>
          <t>Confirmar SKU/PCBA revision, PN exacto en Common DB, WO, BU, vigencia, planta y aprobacion firmada.</t>
        </is>
      </c>
    </row>
    <row r="814">
      <c r="A814" s="43" t="inlineStr">
        <is>
          <t>CTANJZ05087</t>
        </is>
      </c>
      <c r="B814" s="43" t="inlineStr">
        <is>
          <t>D609115</t>
        </is>
      </c>
      <c r="C814" s="43" t="inlineStr">
        <is>
          <t>035-CVEBU</t>
        </is>
      </c>
      <c r="D814" s="43" t="inlineStr">
        <is>
          <t>FJZP</t>
        </is>
      </c>
      <c r="E814" s="43" t="inlineStr">
        <is>
          <t>MCGA</t>
        </is>
      </c>
      <c r="F814" s="43" t="inlineStr">
        <is>
          <t>73-102022-02</t>
        </is>
      </c>
      <c r="G814" s="43" t="inlineStr">
        <is>
          <t>BOARD_PN_CANDIDATE</t>
        </is>
      </c>
      <c r="H814" s="43" t="inlineStr">
        <is>
          <t>BROOKLYN</t>
        </is>
      </c>
      <c r="I814" s="43" t="inlineStr">
        <is>
          <t>Expired</t>
        </is>
      </c>
      <c r="J814" s="32" t="n">
        <v>46140</v>
      </c>
      <c r="K814" s="32" t="n">
        <v>46064</v>
      </c>
      <c r="L814" s="43" t="inlineStr">
        <is>
          <t>478</t>
        </is>
      </c>
      <c r="M814" s="43" t="n">
        <v>1</v>
      </c>
      <c r="N814" s="33" t="inlineStr"/>
      <c r="O814" s="43" t="inlineStr">
        <is>
          <t>UNVERIFIED</t>
        </is>
      </c>
      <c r="P814" s="43" t="inlineStr">
        <is>
          <t>Pending Review</t>
        </is>
      </c>
      <c r="Q814" s="33" t="inlineStr">
        <is>
          <t>Confirmar SKU/PCBA revision, PN exacto en Common DB, WO, BU, vigencia, planta y aprobacion firmada.</t>
        </is>
      </c>
    </row>
    <row r="815">
      <c r="A815" s="43" t="inlineStr">
        <is>
          <t>CTANJZ05087</t>
        </is>
      </c>
      <c r="B815" s="43" t="inlineStr">
        <is>
          <t>D609115</t>
        </is>
      </c>
      <c r="C815" s="43" t="inlineStr">
        <is>
          <t>035-CVEBU</t>
        </is>
      </c>
      <c r="D815" s="43" t="inlineStr">
        <is>
          <t>FJZP</t>
        </is>
      </c>
      <c r="E815" s="43" t="inlineStr">
        <is>
          <t>MCGA</t>
        </is>
      </c>
      <c r="F815" s="43" t="inlineStr">
        <is>
          <t>73-102197-02</t>
        </is>
      </c>
      <c r="G815" s="43" t="inlineStr">
        <is>
          <t>BOARD_PN_CANDIDATE</t>
        </is>
      </c>
      <c r="H815" s="43" t="inlineStr"/>
      <c r="I815" s="43" t="inlineStr">
        <is>
          <t>Expired</t>
        </is>
      </c>
      <c r="J815" s="32" t="n">
        <v>46140</v>
      </c>
      <c r="K815" s="32" t="n">
        <v>46064</v>
      </c>
      <c r="L815" s="43" t="inlineStr">
        <is>
          <t>479</t>
        </is>
      </c>
      <c r="M815" s="43" t="n">
        <v>1</v>
      </c>
      <c r="N815" s="33" t="inlineStr"/>
      <c r="O815" s="43" t="inlineStr">
        <is>
          <t>UNVERIFIED</t>
        </is>
      </c>
      <c r="P815" s="43" t="inlineStr">
        <is>
          <t>Pending Review</t>
        </is>
      </c>
      <c r="Q815" s="33" t="inlineStr">
        <is>
          <t>Confirmar SKU/PCBA revision, PN exacto en Common DB, WO, BU, vigencia, planta y aprobacion firmada.</t>
        </is>
      </c>
    </row>
    <row r="816">
      <c r="A816" s="43" t="inlineStr">
        <is>
          <t>CTANJZ05087</t>
        </is>
      </c>
      <c r="B816" s="43" t="inlineStr">
        <is>
          <t>D609115</t>
        </is>
      </c>
      <c r="C816" s="43" t="inlineStr">
        <is>
          <t>035-CVEBU</t>
        </is>
      </c>
      <c r="D816" s="43" t="inlineStr">
        <is>
          <t>FJZP</t>
        </is>
      </c>
      <c r="E816" s="43" t="inlineStr">
        <is>
          <t>MCGA</t>
        </is>
      </c>
      <c r="F816" s="43" t="inlineStr">
        <is>
          <t>73-102226-06</t>
        </is>
      </c>
      <c r="G816" s="43" t="inlineStr">
        <is>
          <t>BOARD_PN_CANDIDATE</t>
        </is>
      </c>
      <c r="H816" s="43" t="inlineStr">
        <is>
          <t>MILLENIUM</t>
        </is>
      </c>
      <c r="I816" s="43" t="inlineStr">
        <is>
          <t>Expired</t>
        </is>
      </c>
      <c r="J816" s="32" t="n">
        <v>46140</v>
      </c>
      <c r="K816" s="32" t="n">
        <v>46064</v>
      </c>
      <c r="L816" s="43" t="inlineStr">
        <is>
          <t>480</t>
        </is>
      </c>
      <c r="M816" s="43" t="n">
        <v>1</v>
      </c>
      <c r="N816" s="33" t="inlineStr"/>
      <c r="O816" s="43" t="inlineStr">
        <is>
          <t>UNVERIFIED</t>
        </is>
      </c>
      <c r="P816" s="43" t="inlineStr">
        <is>
          <t>Pending Review</t>
        </is>
      </c>
      <c r="Q816" s="33" t="inlineStr">
        <is>
          <t>Confirmar SKU/PCBA revision, PN exacto en Common DB, WO, BU, vigencia, planta y aprobacion firmada.</t>
        </is>
      </c>
    </row>
    <row r="817">
      <c r="A817" s="43" t="inlineStr">
        <is>
          <t>CTANJZ05087</t>
        </is>
      </c>
      <c r="B817" s="43" t="inlineStr">
        <is>
          <t>D609115</t>
        </is>
      </c>
      <c r="C817" s="43" t="inlineStr">
        <is>
          <t>035-CVEBU</t>
        </is>
      </c>
      <c r="D817" s="43" t="inlineStr">
        <is>
          <t>FJZP</t>
        </is>
      </c>
      <c r="E817" s="43" t="inlineStr">
        <is>
          <t>MCGA</t>
        </is>
      </c>
      <c r="F817" s="43" t="inlineStr">
        <is>
          <t>73-102797-02</t>
        </is>
      </c>
      <c r="G817" s="43" t="inlineStr">
        <is>
          <t>BOARD_PN_CANDIDATE</t>
        </is>
      </c>
      <c r="H817" s="43" t="inlineStr">
        <is>
          <t>DAVINCI</t>
        </is>
      </c>
      <c r="I817" s="43" t="inlineStr">
        <is>
          <t>Expired</t>
        </is>
      </c>
      <c r="J817" s="32" t="n">
        <v>46140</v>
      </c>
      <c r="K817" s="32" t="n">
        <v>46064</v>
      </c>
      <c r="L817" s="43" t="inlineStr">
        <is>
          <t>481</t>
        </is>
      </c>
      <c r="M817" s="43" t="n">
        <v>1</v>
      </c>
      <c r="N817" s="33" t="inlineStr"/>
      <c r="O817" s="43" t="inlineStr">
        <is>
          <t>UNVERIFIED</t>
        </is>
      </c>
      <c r="P817" s="43" t="inlineStr">
        <is>
          <t>Pending Review</t>
        </is>
      </c>
      <c r="Q817" s="33" t="inlineStr">
        <is>
          <t>Confirmar SKU/PCBA revision, PN exacto en Common DB, WO, BU, vigencia, planta y aprobacion firmada.</t>
        </is>
      </c>
    </row>
    <row r="818">
      <c r="A818" s="43" t="inlineStr">
        <is>
          <t>CTANJZ05087</t>
        </is>
      </c>
      <c r="B818" s="43" t="inlineStr">
        <is>
          <t>D609115</t>
        </is>
      </c>
      <c r="C818" s="43" t="inlineStr">
        <is>
          <t>035-CVEBU</t>
        </is>
      </c>
      <c r="D818" s="43" t="inlineStr">
        <is>
          <t>FJZP</t>
        </is>
      </c>
      <c r="E818" s="43" t="inlineStr">
        <is>
          <t>MCGA</t>
        </is>
      </c>
      <c r="F818" s="43" t="inlineStr">
        <is>
          <t>73-103226-06</t>
        </is>
      </c>
      <c r="G818" s="43" t="inlineStr">
        <is>
          <t>BOARD_PN_CANDIDATE</t>
        </is>
      </c>
      <c r="H818" s="43" t="inlineStr"/>
      <c r="I818" s="43" t="inlineStr">
        <is>
          <t>Expired</t>
        </is>
      </c>
      <c r="J818" s="32" t="n">
        <v>46140</v>
      </c>
      <c r="K818" s="32" t="n">
        <v>46064</v>
      </c>
      <c r="L818" s="43" t="inlineStr">
        <is>
          <t>482</t>
        </is>
      </c>
      <c r="M818" s="43" t="n">
        <v>1</v>
      </c>
      <c r="N818" s="33" t="inlineStr"/>
      <c r="O818" s="43" t="inlineStr">
        <is>
          <t>UNVERIFIED</t>
        </is>
      </c>
      <c r="P818" s="43" t="inlineStr">
        <is>
          <t>Pending Review</t>
        </is>
      </c>
      <c r="Q818" s="33" t="inlineStr">
        <is>
          <t>Confirmar SKU/PCBA revision, PN exacto en Common DB, WO, BU, vigencia, planta y aprobacion firmada.</t>
        </is>
      </c>
    </row>
    <row r="819">
      <c r="A819" s="43" t="inlineStr">
        <is>
          <t>CTANJZ05087</t>
        </is>
      </c>
      <c r="B819" s="43" t="inlineStr">
        <is>
          <t>D609115</t>
        </is>
      </c>
      <c r="C819" s="43" t="inlineStr">
        <is>
          <t>035-CVEBU</t>
        </is>
      </c>
      <c r="D819" s="43" t="inlineStr">
        <is>
          <t>FJZP</t>
        </is>
      </c>
      <c r="E819" s="43" t="inlineStr">
        <is>
          <t>MCGA</t>
        </is>
      </c>
      <c r="F819" s="43" t="inlineStr">
        <is>
          <t>73-104022-01</t>
        </is>
      </c>
      <c r="G819" s="43" t="inlineStr">
        <is>
          <t>BOARD_PN_CANDIDATE</t>
        </is>
      </c>
      <c r="H819" s="43" t="inlineStr"/>
      <c r="I819" s="43" t="inlineStr">
        <is>
          <t>Expired</t>
        </is>
      </c>
      <c r="J819" s="32" t="n">
        <v>46140</v>
      </c>
      <c r="K819" s="32" t="n">
        <v>46064</v>
      </c>
      <c r="L819" s="43" t="inlineStr">
        <is>
          <t>564</t>
        </is>
      </c>
      <c r="M819" s="43" t="n">
        <v>1</v>
      </c>
      <c r="N819" s="33" t="inlineStr"/>
      <c r="O819" s="43" t="inlineStr">
        <is>
          <t>UNVERIFIED</t>
        </is>
      </c>
      <c r="P819" s="43" t="inlineStr">
        <is>
          <t>Pending Review</t>
        </is>
      </c>
      <c r="Q819" s="33" t="inlineStr">
        <is>
          <t>Confirmar SKU/PCBA revision, PN exacto en Common DB, WO, BU, vigencia, planta y aprobacion firmada.</t>
        </is>
      </c>
    </row>
    <row r="820">
      <c r="A820" s="43" t="inlineStr">
        <is>
          <t>CTANJZ05088</t>
        </is>
      </c>
      <c r="B820" s="43" t="inlineStr">
        <is>
          <t>D609228</t>
        </is>
      </c>
      <c r="C820" s="43" t="inlineStr">
        <is>
          <t>018-SRGBU</t>
        </is>
      </c>
      <c r="D820" s="43" t="inlineStr">
        <is>
          <t>FJZP</t>
        </is>
      </c>
      <c r="E820" s="43" t="inlineStr">
        <is>
          <t>MCGA</t>
        </is>
      </c>
      <c r="F820" s="43" t="inlineStr">
        <is>
          <t>47-21510-01</t>
        </is>
      </c>
      <c r="G820" s="43" t="inlineStr">
        <is>
          <t>OTHER_SCOPE_ITEM</t>
        </is>
      </c>
      <c r="H820" s="43" t="inlineStr"/>
      <c r="I820" s="43" t="inlineStr">
        <is>
          <t>Expired</t>
        </is>
      </c>
      <c r="J820" s="32" t="n">
        <v>46141</v>
      </c>
      <c r="K820" s="32" t="n">
        <v>46073</v>
      </c>
      <c r="L820" s="43" t="inlineStr">
        <is>
          <t>1635</t>
        </is>
      </c>
      <c r="M820" s="43" t="n">
        <v>1</v>
      </c>
      <c r="N820" s="33" t="inlineStr"/>
      <c r="O820" s="43" t="inlineStr">
        <is>
          <t>UNVERIFIED</t>
        </is>
      </c>
      <c r="P820" s="43" t="inlineStr">
        <is>
          <t>Pending Review</t>
        </is>
      </c>
      <c r="Q820" s="33" t="inlineStr">
        <is>
          <t>Confirmar SKU/PCBA revision, PN exacto en Common DB, WO, BU, vigencia, planta y aprobacion firmada.</t>
        </is>
      </c>
    </row>
    <row r="821">
      <c r="A821" s="43" t="inlineStr">
        <is>
          <t>CTANJZ05088</t>
        </is>
      </c>
      <c r="B821" s="43" t="inlineStr">
        <is>
          <t>D609228</t>
        </is>
      </c>
      <c r="C821" s="43" t="inlineStr">
        <is>
          <t>018-SRGBU</t>
        </is>
      </c>
      <c r="D821" s="43" t="inlineStr">
        <is>
          <t>FJZP</t>
        </is>
      </c>
      <c r="E821" s="43" t="inlineStr">
        <is>
          <t>MCGA</t>
        </is>
      </c>
      <c r="F821" s="43" t="inlineStr">
        <is>
          <t>47-21512-01</t>
        </is>
      </c>
      <c r="G821" s="43" t="inlineStr">
        <is>
          <t>OTHER_SCOPE_ITEM</t>
        </is>
      </c>
      <c r="H821" s="43" t="inlineStr"/>
      <c r="I821" s="43" t="inlineStr">
        <is>
          <t>Expired</t>
        </is>
      </c>
      <c r="J821" s="32" t="n">
        <v>46141</v>
      </c>
      <c r="K821" s="32" t="n">
        <v>46073</v>
      </c>
      <c r="L821" s="43" t="inlineStr">
        <is>
          <t>1636</t>
        </is>
      </c>
      <c r="M821" s="43" t="n">
        <v>1</v>
      </c>
      <c r="N821" s="33" t="inlineStr"/>
      <c r="O821" s="43" t="inlineStr">
        <is>
          <t>UNVERIFIED</t>
        </is>
      </c>
      <c r="P821" s="43" t="inlineStr">
        <is>
          <t>Pending Review</t>
        </is>
      </c>
      <c r="Q821" s="33" t="inlineStr">
        <is>
          <t>Confirmar SKU/PCBA revision, PN exacto en Common DB, WO, BU, vigencia, planta y aprobacion firmada.</t>
        </is>
      </c>
    </row>
    <row r="822">
      <c r="A822" s="43" t="inlineStr">
        <is>
          <t>CTANJZ05088</t>
        </is>
      </c>
      <c r="B822" s="43" t="inlineStr">
        <is>
          <t>D609228</t>
        </is>
      </c>
      <c r="C822" s="43" t="inlineStr">
        <is>
          <t>018-SRGBU</t>
        </is>
      </c>
      <c r="D822" s="43" t="inlineStr">
        <is>
          <t>FJZP</t>
        </is>
      </c>
      <c r="E822" s="43" t="inlineStr">
        <is>
          <t>MCGA</t>
        </is>
      </c>
      <c r="F822" s="43" t="inlineStr">
        <is>
          <t>47-21513-01</t>
        </is>
      </c>
      <c r="G822" s="43" t="inlineStr">
        <is>
          <t>OTHER_SCOPE_ITEM</t>
        </is>
      </c>
      <c r="H822" s="43" t="inlineStr"/>
      <c r="I822" s="43" t="inlineStr">
        <is>
          <t>Expired</t>
        </is>
      </c>
      <c r="J822" s="32" t="n">
        <v>46141</v>
      </c>
      <c r="K822" s="32" t="n">
        <v>46073</v>
      </c>
      <c r="L822" s="43" t="inlineStr">
        <is>
          <t>1637</t>
        </is>
      </c>
      <c r="M822" s="43" t="n">
        <v>1</v>
      </c>
      <c r="N822" s="33" t="inlineStr"/>
      <c r="O822" s="43" t="inlineStr">
        <is>
          <t>UNVERIFIED</t>
        </is>
      </c>
      <c r="P822" s="43" t="inlineStr">
        <is>
          <t>Pending Review</t>
        </is>
      </c>
      <c r="Q822" s="33" t="inlineStr">
        <is>
          <t>Confirmar SKU/PCBA revision, PN exacto en Common DB, WO, BU, vigencia, planta y aprobacion firmada.</t>
        </is>
      </c>
    </row>
    <row r="823">
      <c r="A823" s="43" t="inlineStr">
        <is>
          <t>CTANJZ05088</t>
        </is>
      </c>
      <c r="B823" s="43" t="inlineStr">
        <is>
          <t>D609228</t>
        </is>
      </c>
      <c r="C823" s="43" t="inlineStr">
        <is>
          <t>018-SRGBU</t>
        </is>
      </c>
      <c r="D823" s="43" t="inlineStr">
        <is>
          <t>FJZP</t>
        </is>
      </c>
      <c r="E823" s="43" t="inlineStr">
        <is>
          <t>MCGA</t>
        </is>
      </c>
      <c r="F823" s="43" t="inlineStr">
        <is>
          <t>55-1170-01</t>
        </is>
      </c>
      <c r="G823" s="43" t="inlineStr">
        <is>
          <t>OTHER_SCOPE_ITEM</t>
        </is>
      </c>
      <c r="H823" s="43" t="inlineStr"/>
      <c r="I823" s="43" t="inlineStr">
        <is>
          <t>Expired</t>
        </is>
      </c>
      <c r="J823" s="32" t="n">
        <v>46141</v>
      </c>
      <c r="K823" s="32" t="n">
        <v>46073</v>
      </c>
      <c r="L823" s="43" t="inlineStr">
        <is>
          <t>1638</t>
        </is>
      </c>
      <c r="M823" s="43" t="n">
        <v>1</v>
      </c>
      <c r="N823" s="33" t="inlineStr"/>
      <c r="O823" s="43" t="inlineStr">
        <is>
          <t>UNVERIFIED</t>
        </is>
      </c>
      <c r="P823" s="43" t="inlineStr">
        <is>
          <t>Pending Review</t>
        </is>
      </c>
      <c r="Q823" s="33" t="inlineStr">
        <is>
          <t>Confirmar SKU/PCBA revision, PN exacto en Common DB, WO, BU, vigencia, planta y aprobacion firmada.</t>
        </is>
      </c>
    </row>
    <row r="824">
      <c r="A824" s="43" t="inlineStr">
        <is>
          <t>CTANJZ05088</t>
        </is>
      </c>
      <c r="B824" s="43" t="inlineStr">
        <is>
          <t>D609228</t>
        </is>
      </c>
      <c r="C824" s="43" t="inlineStr">
        <is>
          <t>018-SRGBU</t>
        </is>
      </c>
      <c r="D824" s="43" t="inlineStr">
        <is>
          <t>FJZP</t>
        </is>
      </c>
      <c r="E824" s="43" t="inlineStr">
        <is>
          <t>MCGA</t>
        </is>
      </c>
      <c r="F824" s="43" t="inlineStr">
        <is>
          <t>78-3621-01</t>
        </is>
      </c>
      <c r="G824" s="43" t="inlineStr">
        <is>
          <t>OTHER_SCOPE_ITEM</t>
        </is>
      </c>
      <c r="H824" s="43" t="inlineStr"/>
      <c r="I824" s="43" t="inlineStr">
        <is>
          <t>Expired</t>
        </is>
      </c>
      <c r="J824" s="32" t="n">
        <v>46141</v>
      </c>
      <c r="K824" s="32" t="n">
        <v>46073</v>
      </c>
      <c r="L824" s="43" t="inlineStr">
        <is>
          <t>1639</t>
        </is>
      </c>
      <c r="M824" s="43" t="n">
        <v>1</v>
      </c>
      <c r="N824" s="33" t="inlineStr"/>
      <c r="O824" s="43" t="inlineStr">
        <is>
          <t>UNVERIFIED</t>
        </is>
      </c>
      <c r="P824" s="43" t="inlineStr">
        <is>
          <t>Pending Review</t>
        </is>
      </c>
      <c r="Q824" s="33" t="inlineStr">
        <is>
          <t>Confirmar SKU/PCBA revision, PN exacto en Common DB, WO, BU, vigencia, planta y aprobacion firmada.</t>
        </is>
      </c>
    </row>
    <row r="825">
      <c r="A825" s="43" t="inlineStr">
        <is>
          <t>CTANJZ05088</t>
        </is>
      </c>
      <c r="B825" s="43" t="inlineStr">
        <is>
          <t>D609228</t>
        </is>
      </c>
      <c r="C825" s="43" t="inlineStr">
        <is>
          <t>018-SRGBU</t>
        </is>
      </c>
      <c r="D825" s="43" t="inlineStr">
        <is>
          <t>FJZP</t>
        </is>
      </c>
      <c r="E825" s="43" t="inlineStr">
        <is>
          <t>MCGA</t>
        </is>
      </c>
      <c r="F825" s="43" t="inlineStr">
        <is>
          <t>83-1294-01</t>
        </is>
      </c>
      <c r="G825" s="43" t="inlineStr">
        <is>
          <t>OTHER_SCOPE_ITEM</t>
        </is>
      </c>
      <c r="H825" s="43" t="inlineStr"/>
      <c r="I825" s="43" t="inlineStr">
        <is>
          <t>Expired</t>
        </is>
      </c>
      <c r="J825" s="32" t="n">
        <v>46141</v>
      </c>
      <c r="K825" s="32" t="n">
        <v>46073</v>
      </c>
      <c r="L825" s="43" t="inlineStr">
        <is>
          <t>1671</t>
        </is>
      </c>
      <c r="M825" s="43" t="n">
        <v>1</v>
      </c>
      <c r="N825" s="33" t="inlineStr"/>
      <c r="O825" s="43" t="inlineStr">
        <is>
          <t>UNVERIFIED</t>
        </is>
      </c>
      <c r="P825" s="43" t="inlineStr">
        <is>
          <t>Pending Review</t>
        </is>
      </c>
      <c r="Q825" s="33" t="inlineStr">
        <is>
          <t>Confirmar SKU/PCBA revision, PN exacto en Common DB, WO, BU, vigencia, planta y aprobacion firmada.</t>
        </is>
      </c>
    </row>
    <row r="826">
      <c r="A826" s="43" t="inlineStr">
        <is>
          <t>CTANJZ05090</t>
        </is>
      </c>
      <c r="B826" s="43" t="inlineStr">
        <is>
          <t>D608351</t>
        </is>
      </c>
      <c r="C826" s="43" t="inlineStr">
        <is>
          <t>037-STBU</t>
        </is>
      </c>
      <c r="D826" s="43" t="inlineStr">
        <is>
          <t>FJZP</t>
        </is>
      </c>
      <c r="E826" s="43" t="inlineStr">
        <is>
          <t>MCGA</t>
        </is>
      </c>
      <c r="F826" s="43" t="inlineStr">
        <is>
          <t>73-18488-07</t>
        </is>
      </c>
      <c r="G826" s="43" t="inlineStr">
        <is>
          <t>BOARD_PN_CANDIDATE</t>
        </is>
      </c>
      <c r="H826" s="43" t="inlineStr"/>
      <c r="I826" s="43" t="inlineStr">
        <is>
          <t>Expired</t>
        </is>
      </c>
      <c r="J826" s="32" t="n">
        <v>46141</v>
      </c>
      <c r="K826" s="32" t="n">
        <v>46073</v>
      </c>
      <c r="L826" s="43" t="inlineStr">
        <is>
          <t>1026</t>
        </is>
      </c>
      <c r="M826" s="43" t="n">
        <v>1</v>
      </c>
      <c r="N826" s="33" t="inlineStr"/>
      <c r="O826" s="43" t="inlineStr">
        <is>
          <t>UNVERIFIED</t>
        </is>
      </c>
      <c r="P826" s="43" t="inlineStr">
        <is>
          <t>Pending Review</t>
        </is>
      </c>
      <c r="Q826" s="33" t="inlineStr">
        <is>
          <t>Confirmar SKU/PCBA revision, PN exacto en Common DB, WO, BU, vigencia, planta y aprobacion firmada.</t>
        </is>
      </c>
    </row>
    <row r="827">
      <c r="A827" s="43" t="inlineStr">
        <is>
          <t>CTANJZ05090</t>
        </is>
      </c>
      <c r="B827" s="43" t="inlineStr">
        <is>
          <t>D608351</t>
        </is>
      </c>
      <c r="C827" s="43" t="inlineStr">
        <is>
          <t>037-STBU</t>
        </is>
      </c>
      <c r="D827" s="43" t="inlineStr">
        <is>
          <t>FJZP</t>
        </is>
      </c>
      <c r="E827" s="43" t="inlineStr">
        <is>
          <t>MCGA</t>
        </is>
      </c>
      <c r="F827" s="43" t="inlineStr">
        <is>
          <t>73-18489-07</t>
        </is>
      </c>
      <c r="G827" s="43" t="inlineStr">
        <is>
          <t>BOARD_PN_CANDIDATE</t>
        </is>
      </c>
      <c r="H827" s="43" t="inlineStr"/>
      <c r="I827" s="43" t="inlineStr">
        <is>
          <t>Expired</t>
        </is>
      </c>
      <c r="J827" s="32" t="n">
        <v>46141</v>
      </c>
      <c r="K827" s="32" t="n">
        <v>46073</v>
      </c>
      <c r="L827" s="43" t="inlineStr">
        <is>
          <t>1027</t>
        </is>
      </c>
      <c r="M827" s="43" t="n">
        <v>1</v>
      </c>
      <c r="N827" s="33" t="inlineStr"/>
      <c r="O827" s="43" t="inlineStr">
        <is>
          <t>UNVERIFIED</t>
        </is>
      </c>
      <c r="P827" s="43" t="inlineStr">
        <is>
          <t>Pending Review</t>
        </is>
      </c>
      <c r="Q827" s="33" t="inlineStr">
        <is>
          <t>Confirmar SKU/PCBA revision, PN exacto en Common DB, WO, BU, vigencia, planta y aprobacion firmada.</t>
        </is>
      </c>
    </row>
    <row r="828">
      <c r="A828" s="43" t="inlineStr">
        <is>
          <t>CTANJZ05090</t>
        </is>
      </c>
      <c r="B828" s="43" t="inlineStr">
        <is>
          <t>D608351</t>
        </is>
      </c>
      <c r="C828" s="43" t="inlineStr">
        <is>
          <t>037-STBU</t>
        </is>
      </c>
      <c r="D828" s="43" t="inlineStr">
        <is>
          <t>FJZP</t>
        </is>
      </c>
      <c r="E828" s="43" t="inlineStr">
        <is>
          <t>MCGA</t>
        </is>
      </c>
      <c r="F828" s="43" t="inlineStr">
        <is>
          <t>73-18490-09</t>
        </is>
      </c>
      <c r="G828" s="43" t="inlineStr">
        <is>
          <t>BOARD_PN_CANDIDATE</t>
        </is>
      </c>
      <c r="H828" s="43" t="inlineStr"/>
      <c r="I828" s="43" t="inlineStr">
        <is>
          <t>Expired</t>
        </is>
      </c>
      <c r="J828" s="32" t="n">
        <v>46141</v>
      </c>
      <c r="K828" s="32" t="n">
        <v>46073</v>
      </c>
      <c r="L828" s="43" t="inlineStr">
        <is>
          <t>1028</t>
        </is>
      </c>
      <c r="M828" s="43" t="n">
        <v>1</v>
      </c>
      <c r="N828" s="33" t="inlineStr"/>
      <c r="O828" s="43" t="inlineStr">
        <is>
          <t>UNVERIFIED</t>
        </is>
      </c>
      <c r="P828" s="43" t="inlineStr">
        <is>
          <t>Pending Review</t>
        </is>
      </c>
      <c r="Q828" s="33" t="inlineStr">
        <is>
          <t>Confirmar SKU/PCBA revision, PN exacto en Common DB, WO, BU, vigencia, planta y aprobacion firmada.</t>
        </is>
      </c>
    </row>
    <row r="829">
      <c r="A829" s="43" t="inlineStr">
        <is>
          <t>CTANJZ05090</t>
        </is>
      </c>
      <c r="B829" s="43" t="inlineStr">
        <is>
          <t>D608351</t>
        </is>
      </c>
      <c r="C829" s="43" t="inlineStr">
        <is>
          <t>037-STBU</t>
        </is>
      </c>
      <c r="D829" s="43" t="inlineStr">
        <is>
          <t>FJZP</t>
        </is>
      </c>
      <c r="E829" s="43" t="inlineStr">
        <is>
          <t>MCGA</t>
        </is>
      </c>
      <c r="F829" s="43" t="inlineStr">
        <is>
          <t>73-21007-02</t>
        </is>
      </c>
      <c r="G829" s="43" t="inlineStr">
        <is>
          <t>BOARD_PN_CANDIDATE</t>
        </is>
      </c>
      <c r="H829" s="43" t="inlineStr"/>
      <c r="I829" s="43" t="inlineStr">
        <is>
          <t>Expired</t>
        </is>
      </c>
      <c r="J829" s="32" t="n">
        <v>46141</v>
      </c>
      <c r="K829" s="32" t="n">
        <v>46073</v>
      </c>
      <c r="L829" s="43" t="inlineStr">
        <is>
          <t>1029</t>
        </is>
      </c>
      <c r="M829" s="43" t="n">
        <v>1</v>
      </c>
      <c r="N829" s="33" t="inlineStr"/>
      <c r="O829" s="43" t="inlineStr">
        <is>
          <t>UNVERIFIED</t>
        </is>
      </c>
      <c r="P829" s="43" t="inlineStr">
        <is>
          <t>Pending Review</t>
        </is>
      </c>
      <c r="Q829" s="33" t="inlineStr">
        <is>
          <t>Confirmar SKU/PCBA revision, PN exacto en Common DB, WO, BU, vigencia, planta y aprobacion firmada.</t>
        </is>
      </c>
    </row>
    <row r="830">
      <c r="A830" s="43" t="inlineStr">
        <is>
          <t>CTANJZ05090</t>
        </is>
      </c>
      <c r="B830" s="43" t="inlineStr">
        <is>
          <t>D608351</t>
        </is>
      </c>
      <c r="C830" s="43" t="inlineStr">
        <is>
          <t>037-STBU</t>
        </is>
      </c>
      <c r="D830" s="43" t="inlineStr">
        <is>
          <t>FJZP</t>
        </is>
      </c>
      <c r="E830" s="43" t="inlineStr">
        <is>
          <t>MCGA</t>
        </is>
      </c>
      <c r="F830" s="43" t="inlineStr">
        <is>
          <t>800-104476-07</t>
        </is>
      </c>
      <c r="G830" s="43" t="inlineStr">
        <is>
          <t>OTHER_SCOPE_ITEM</t>
        </is>
      </c>
      <c r="H830" s="43" t="inlineStr"/>
      <c r="I830" s="43" t="inlineStr">
        <is>
          <t>Expired</t>
        </is>
      </c>
      <c r="J830" s="32" t="n">
        <v>46141</v>
      </c>
      <c r="K830" s="32" t="n">
        <v>46073</v>
      </c>
      <c r="L830" s="43" t="inlineStr">
        <is>
          <t>1030</t>
        </is>
      </c>
      <c r="M830" s="43" t="n">
        <v>1</v>
      </c>
      <c r="N830" s="33" t="inlineStr"/>
      <c r="O830" s="43" t="inlineStr">
        <is>
          <t>UNVERIFIED</t>
        </is>
      </c>
      <c r="P830" s="43" t="inlineStr">
        <is>
          <t>Pending Review</t>
        </is>
      </c>
      <c r="Q830" s="33" t="inlineStr">
        <is>
          <t>Confirmar SKU/PCBA revision, PN exacto en Common DB, WO, BU, vigencia, planta y aprobacion firmada.</t>
        </is>
      </c>
    </row>
    <row r="831">
      <c r="A831" s="43" t="inlineStr">
        <is>
          <t>CTANJZ05090</t>
        </is>
      </c>
      <c r="B831" s="43" t="inlineStr">
        <is>
          <t>D608351</t>
        </is>
      </c>
      <c r="C831" s="43" t="inlineStr">
        <is>
          <t>037-STBU</t>
        </is>
      </c>
      <c r="D831" s="43" t="inlineStr">
        <is>
          <t>FJZP</t>
        </is>
      </c>
      <c r="E831" s="43" t="inlineStr">
        <is>
          <t>MCGA</t>
        </is>
      </c>
      <c r="F831" s="43" t="inlineStr">
        <is>
          <t>800-104788-03</t>
        </is>
      </c>
      <c r="G831" s="43" t="inlineStr">
        <is>
          <t>OTHER_SCOPE_ITEM</t>
        </is>
      </c>
      <c r="H831" s="43" t="inlineStr"/>
      <c r="I831" s="43" t="inlineStr">
        <is>
          <t>Expired</t>
        </is>
      </c>
      <c r="J831" s="32" t="n">
        <v>46141</v>
      </c>
      <c r="K831" s="32" t="n">
        <v>46073</v>
      </c>
      <c r="L831" s="43" t="inlineStr">
        <is>
          <t>1031</t>
        </is>
      </c>
      <c r="M831" s="43" t="n">
        <v>1</v>
      </c>
      <c r="N831" s="33" t="inlineStr"/>
      <c r="O831" s="43" t="inlineStr">
        <is>
          <t>UNVERIFIED</t>
        </is>
      </c>
      <c r="P831" s="43" t="inlineStr">
        <is>
          <t>Pending Review</t>
        </is>
      </c>
      <c r="Q831" s="33" t="inlineStr">
        <is>
          <t>Confirmar SKU/PCBA revision, PN exacto en Common DB, WO, BU, vigencia, planta y aprobacion firmada.</t>
        </is>
      </c>
    </row>
    <row r="832">
      <c r="A832" s="43" t="inlineStr">
        <is>
          <t>CTANJZ05090</t>
        </is>
      </c>
      <c r="B832" s="43" t="inlineStr">
        <is>
          <t>D608351</t>
        </is>
      </c>
      <c r="C832" s="43" t="inlineStr">
        <is>
          <t>037-STBU</t>
        </is>
      </c>
      <c r="D832" s="43" t="inlineStr">
        <is>
          <t>FJZP</t>
        </is>
      </c>
      <c r="E832" s="43" t="inlineStr">
        <is>
          <t>MCGA</t>
        </is>
      </c>
      <c r="F832" s="43" t="inlineStr">
        <is>
          <t>800-104789-03</t>
        </is>
      </c>
      <c r="G832" s="43" t="inlineStr">
        <is>
          <t>OTHER_SCOPE_ITEM</t>
        </is>
      </c>
      <c r="H832" s="43" t="inlineStr"/>
      <c r="I832" s="43" t="inlineStr">
        <is>
          <t>Expired</t>
        </is>
      </c>
      <c r="J832" s="32" t="n">
        <v>46141</v>
      </c>
      <c r="K832" s="32" t="n">
        <v>46073</v>
      </c>
      <c r="L832" s="43" t="inlineStr">
        <is>
          <t>1032</t>
        </is>
      </c>
      <c r="M832" s="43" t="n">
        <v>1</v>
      </c>
      <c r="N832" s="33" t="inlineStr"/>
      <c r="O832" s="43" t="inlineStr">
        <is>
          <t>UNVERIFIED</t>
        </is>
      </c>
      <c r="P832" s="43" t="inlineStr">
        <is>
          <t>Pending Review</t>
        </is>
      </c>
      <c r="Q832" s="33" t="inlineStr">
        <is>
          <t>Confirmar SKU/PCBA revision, PN exacto en Common DB, WO, BU, vigencia, planta y aprobacion firmada.</t>
        </is>
      </c>
    </row>
    <row r="833">
      <c r="A833" s="43" t="inlineStr">
        <is>
          <t>CTANJZ05090</t>
        </is>
      </c>
      <c r="B833" s="43" t="inlineStr">
        <is>
          <t>D608351</t>
        </is>
      </c>
      <c r="C833" s="43" t="inlineStr">
        <is>
          <t>037-STBU</t>
        </is>
      </c>
      <c r="D833" s="43" t="inlineStr">
        <is>
          <t>FJZP</t>
        </is>
      </c>
      <c r="E833" s="43" t="inlineStr">
        <is>
          <t>MCGA</t>
        </is>
      </c>
      <c r="F833" s="43" t="inlineStr">
        <is>
          <t>800-106375-02</t>
        </is>
      </c>
      <c r="G833" s="43" t="inlineStr">
        <is>
          <t>OTHER_SCOPE_ITEM</t>
        </is>
      </c>
      <c r="H833" s="43" t="inlineStr"/>
      <c r="I833" s="43" t="inlineStr">
        <is>
          <t>Expired</t>
        </is>
      </c>
      <c r="J833" s="32" t="n">
        <v>46141</v>
      </c>
      <c r="K833" s="32" t="n">
        <v>46073</v>
      </c>
      <c r="L833" s="43" t="inlineStr">
        <is>
          <t>1033</t>
        </is>
      </c>
      <c r="M833" s="43" t="n">
        <v>1</v>
      </c>
      <c r="N833" s="33" t="inlineStr"/>
      <c r="O833" s="43" t="inlineStr">
        <is>
          <t>UNVERIFIED</t>
        </is>
      </c>
      <c r="P833" s="43" t="inlineStr">
        <is>
          <t>Pending Review</t>
        </is>
      </c>
      <c r="Q833" s="33" t="inlineStr">
        <is>
          <t>Confirmar SKU/PCBA revision, PN exacto en Common DB, WO, BU, vigencia, planta y aprobacion firmada.</t>
        </is>
      </c>
    </row>
    <row r="834">
      <c r="A834" s="43" t="inlineStr">
        <is>
          <t>CTANJZ05090</t>
        </is>
      </c>
      <c r="B834" s="43" t="inlineStr">
        <is>
          <t>D608351</t>
        </is>
      </c>
      <c r="C834" s="43" t="inlineStr">
        <is>
          <t>037-STBU</t>
        </is>
      </c>
      <c r="D834" s="43" t="inlineStr">
        <is>
          <t>FJZP</t>
        </is>
      </c>
      <c r="E834" s="43" t="inlineStr">
        <is>
          <t>MCGA</t>
        </is>
      </c>
      <c r="F834" s="43" t="inlineStr">
        <is>
          <t>800-111297-01</t>
        </is>
      </c>
      <c r="G834" s="43" t="inlineStr">
        <is>
          <t>OTHER_SCOPE_ITEM</t>
        </is>
      </c>
      <c r="H834" s="43" t="inlineStr"/>
      <c r="I834" s="43" t="inlineStr">
        <is>
          <t>Expired</t>
        </is>
      </c>
      <c r="J834" s="32" t="n">
        <v>46141</v>
      </c>
      <c r="K834" s="32" t="n">
        <v>46073</v>
      </c>
      <c r="L834" s="43" t="inlineStr">
        <is>
          <t>1182</t>
        </is>
      </c>
      <c r="M834" s="43" t="n">
        <v>1</v>
      </c>
      <c r="N834" s="33" t="inlineStr"/>
      <c r="O834" s="43" t="inlineStr">
        <is>
          <t>UNVERIFIED</t>
        </is>
      </c>
      <c r="P834" s="43" t="inlineStr">
        <is>
          <t>Pending Review</t>
        </is>
      </c>
      <c r="Q834" s="33" t="inlineStr">
        <is>
          <t>Confirmar SKU/PCBA revision, PN exacto en Common DB, WO, BU, vigencia, planta y aprobacion firmada.</t>
        </is>
      </c>
    </row>
    <row r="835">
      <c r="A835" s="43" t="inlineStr">
        <is>
          <t>CTANJZ05091</t>
        </is>
      </c>
      <c r="B835" s="43" t="inlineStr">
        <is>
          <t>D609188</t>
        </is>
      </c>
      <c r="C835" s="43" t="inlineStr">
        <is>
          <t>035-CVEBU</t>
        </is>
      </c>
      <c r="D835" s="43" t="inlineStr">
        <is>
          <t>FJZP</t>
        </is>
      </c>
      <c r="E835" s="43" t="inlineStr">
        <is>
          <t>MCGA</t>
        </is>
      </c>
      <c r="F835" s="43" t="inlineStr">
        <is>
          <t>20-100665-01</t>
        </is>
      </c>
      <c r="G835" s="43" t="inlineStr">
        <is>
          <t>OTHER_SCOPE_ITEM</t>
        </is>
      </c>
      <c r="H835" s="43" t="inlineStr"/>
      <c r="I835" s="43" t="inlineStr">
        <is>
          <t>Re-Extended</t>
        </is>
      </c>
      <c r="J835" s="32" t="n">
        <v>46320</v>
      </c>
      <c r="K835" s="32" t="n">
        <v>46057</v>
      </c>
      <c r="L835" s="43" t="inlineStr">
        <is>
          <t>316</t>
        </is>
      </c>
      <c r="M835" s="43" t="n">
        <v>1</v>
      </c>
      <c r="N835" s="33" t="inlineStr"/>
      <c r="O835" s="43" t="inlineStr">
        <is>
          <t>UNVERIFIED</t>
        </is>
      </c>
      <c r="P835" s="43" t="inlineStr">
        <is>
          <t>Pending Review</t>
        </is>
      </c>
      <c r="Q835" s="33" t="inlineStr">
        <is>
          <t>Confirmar SKU/PCBA revision, PN exacto en Common DB, WO, BU, vigencia, planta y aprobacion firmada.</t>
        </is>
      </c>
    </row>
    <row r="836">
      <c r="A836" s="43" t="inlineStr">
        <is>
          <t>CTANJZ05091</t>
        </is>
      </c>
      <c r="B836" s="43" t="inlineStr">
        <is>
          <t>D609188</t>
        </is>
      </c>
      <c r="C836" s="43" t="inlineStr">
        <is>
          <t>035-CVEBU</t>
        </is>
      </c>
      <c r="D836" s="43" t="inlineStr">
        <is>
          <t>FJZP</t>
        </is>
      </c>
      <c r="E836" s="43" t="inlineStr">
        <is>
          <t>MCGA</t>
        </is>
      </c>
      <c r="F836" s="43" t="inlineStr">
        <is>
          <t>73-103922-04</t>
        </is>
      </c>
      <c r="G836" s="43" t="inlineStr">
        <is>
          <t>BOARD_PN_CANDIDATE</t>
        </is>
      </c>
      <c r="H836" s="43" t="inlineStr"/>
      <c r="I836" s="43" t="inlineStr">
        <is>
          <t>Re-Extended</t>
        </is>
      </c>
      <c r="J836" s="32" t="n">
        <v>46320</v>
      </c>
      <c r="K836" s="32" t="n">
        <v>46057</v>
      </c>
      <c r="L836" s="43" t="inlineStr">
        <is>
          <t>322</t>
        </is>
      </c>
      <c r="M836" s="43" t="n">
        <v>1</v>
      </c>
      <c r="N836" s="33" t="inlineStr"/>
      <c r="O836" s="43" t="inlineStr">
        <is>
          <t>UNVERIFIED</t>
        </is>
      </c>
      <c r="P836" s="43" t="inlineStr">
        <is>
          <t>Pending Review</t>
        </is>
      </c>
      <c r="Q836" s="33" t="inlineStr">
        <is>
          <t>Confirmar SKU/PCBA revision, PN exacto en Common DB, WO, BU, vigencia, planta y aprobacion firmada.</t>
        </is>
      </c>
    </row>
    <row r="837">
      <c r="A837" s="43" t="inlineStr">
        <is>
          <t>CTANJZ05093</t>
        </is>
      </c>
      <c r="B837" s="43" t="inlineStr">
        <is>
          <t>DP525776</t>
        </is>
      </c>
      <c r="C837" s="43" t="inlineStr">
        <is>
          <t>035-CVEBU</t>
        </is>
      </c>
      <c r="D837" s="43" t="inlineStr">
        <is>
          <t>FJZP</t>
        </is>
      </c>
      <c r="E837" s="43" t="inlineStr">
        <is>
          <t>MCGA</t>
        </is>
      </c>
      <c r="F837" s="43" t="inlineStr">
        <is>
          <t>15-111203-01</t>
        </is>
      </c>
      <c r="G837" s="43" t="inlineStr">
        <is>
          <t>OTHER_SCOPE_ITEM</t>
        </is>
      </c>
      <c r="H837" s="43" t="inlineStr"/>
      <c r="I837" s="43" t="inlineStr">
        <is>
          <t>Expired</t>
        </is>
      </c>
      <c r="J837" s="32" t="n">
        <v>46109</v>
      </c>
      <c r="K837" s="32" t="n">
        <v>46064</v>
      </c>
      <c r="L837" s="43" t="inlineStr">
        <is>
          <t>163</t>
        </is>
      </c>
      <c r="M837" s="43" t="n">
        <v>1</v>
      </c>
      <c r="N837" s="33" t="inlineStr"/>
      <c r="O837" s="43" t="inlineStr">
        <is>
          <t>UNVERIFIED</t>
        </is>
      </c>
      <c r="P837" s="43" t="inlineStr">
        <is>
          <t>Pending Review</t>
        </is>
      </c>
      <c r="Q837" s="33" t="inlineStr">
        <is>
          <t>Confirmar SKU/PCBA revision, PN exacto en Common DB, WO, BU, vigencia, planta y aprobacion firmada.</t>
        </is>
      </c>
    </row>
    <row r="838">
      <c r="A838" s="43" t="inlineStr">
        <is>
          <t>CTANJZ05093</t>
        </is>
      </c>
      <c r="B838" s="43" t="inlineStr">
        <is>
          <t>DP525776</t>
        </is>
      </c>
      <c r="C838" s="43" t="inlineStr">
        <is>
          <t>035-CVEBU</t>
        </is>
      </c>
      <c r="D838" s="43" t="inlineStr">
        <is>
          <t>FJZP</t>
        </is>
      </c>
      <c r="E838" s="43" t="inlineStr">
        <is>
          <t>MCGA</t>
        </is>
      </c>
      <c r="F838" s="43" t="inlineStr">
        <is>
          <t>15-111231-01</t>
        </is>
      </c>
      <c r="G838" s="43" t="inlineStr">
        <is>
          <t>OTHER_SCOPE_ITEM</t>
        </is>
      </c>
      <c r="H838" s="43" t="inlineStr"/>
      <c r="I838" s="43" t="inlineStr">
        <is>
          <t>Expired</t>
        </is>
      </c>
      <c r="J838" s="32" t="n">
        <v>46109</v>
      </c>
      <c r="K838" s="32" t="n">
        <v>46064</v>
      </c>
      <c r="L838" s="43" t="inlineStr">
        <is>
          <t>186</t>
        </is>
      </c>
      <c r="M838" s="43" t="n">
        <v>1</v>
      </c>
      <c r="N838" s="33" t="inlineStr"/>
      <c r="O838" s="43" t="inlineStr">
        <is>
          <t>UNVERIFIED</t>
        </is>
      </c>
      <c r="P838" s="43" t="inlineStr">
        <is>
          <t>Pending Review</t>
        </is>
      </c>
      <c r="Q838" s="33" t="inlineStr">
        <is>
          <t>Confirmar SKU/PCBA revision, PN exacto en Common DB, WO, BU, vigencia, planta y aprobacion firmada.</t>
        </is>
      </c>
    </row>
    <row r="839">
      <c r="A839" s="43" t="inlineStr">
        <is>
          <t>CTANJZ05093</t>
        </is>
      </c>
      <c r="B839" s="43" t="inlineStr">
        <is>
          <t>DP525776</t>
        </is>
      </c>
      <c r="C839" s="43" t="inlineStr">
        <is>
          <t>035-CVEBU</t>
        </is>
      </c>
      <c r="D839" s="43" t="inlineStr">
        <is>
          <t>FJZP</t>
        </is>
      </c>
      <c r="E839" s="43" t="inlineStr">
        <is>
          <t>MCGA</t>
        </is>
      </c>
      <c r="F839" s="43" t="inlineStr">
        <is>
          <t>15-111232-01</t>
        </is>
      </c>
      <c r="G839" s="43" t="inlineStr">
        <is>
          <t>OTHER_SCOPE_ITEM</t>
        </is>
      </c>
      <c r="H839" s="43" t="inlineStr"/>
      <c r="I839" s="43" t="inlineStr">
        <is>
          <t>Expired</t>
        </is>
      </c>
      <c r="J839" s="32" t="n">
        <v>46109</v>
      </c>
      <c r="K839" s="32" t="n">
        <v>46064</v>
      </c>
      <c r="L839" s="43" t="inlineStr">
        <is>
          <t>187</t>
        </is>
      </c>
      <c r="M839" s="43" t="n">
        <v>1</v>
      </c>
      <c r="N839" s="33" t="inlineStr"/>
      <c r="O839" s="43" t="inlineStr">
        <is>
          <t>UNVERIFIED</t>
        </is>
      </c>
      <c r="P839" s="43" t="inlineStr">
        <is>
          <t>Pending Review</t>
        </is>
      </c>
      <c r="Q839" s="33" t="inlineStr">
        <is>
          <t>Confirmar SKU/PCBA revision, PN exacto en Common DB, WO, BU, vigencia, planta y aprobacion firmada.</t>
        </is>
      </c>
    </row>
    <row r="840">
      <c r="A840" s="43" t="inlineStr">
        <is>
          <t>CTANJZ05093</t>
        </is>
      </c>
      <c r="B840" s="43" t="inlineStr">
        <is>
          <t>DP525776</t>
        </is>
      </c>
      <c r="C840" s="43" t="inlineStr">
        <is>
          <t>035-CVEBU</t>
        </is>
      </c>
      <c r="D840" s="43" t="inlineStr">
        <is>
          <t>FJZP</t>
        </is>
      </c>
      <c r="E840" s="43" t="inlineStr">
        <is>
          <t>MCGA</t>
        </is>
      </c>
      <c r="F840" s="43" t="inlineStr">
        <is>
          <t>15-111235-01</t>
        </is>
      </c>
      <c r="G840" s="43" t="inlineStr">
        <is>
          <t>OTHER_SCOPE_ITEM</t>
        </is>
      </c>
      <c r="H840" s="43" t="inlineStr"/>
      <c r="I840" s="43" t="inlineStr">
        <is>
          <t>Expired</t>
        </is>
      </c>
      <c r="J840" s="32" t="n">
        <v>46109</v>
      </c>
      <c r="K840" s="32" t="n">
        <v>46064</v>
      </c>
      <c r="L840" s="43" t="inlineStr">
        <is>
          <t>188</t>
        </is>
      </c>
      <c r="M840" s="43" t="n">
        <v>1</v>
      </c>
      <c r="N840" s="33" t="inlineStr"/>
      <c r="O840" s="43" t="inlineStr">
        <is>
          <t>UNVERIFIED</t>
        </is>
      </c>
      <c r="P840" s="43" t="inlineStr">
        <is>
          <t>Pending Review</t>
        </is>
      </c>
      <c r="Q840" s="33" t="inlineStr">
        <is>
          <t>Confirmar SKU/PCBA revision, PN exacto en Common DB, WO, BU, vigencia, planta y aprobacion firmada.</t>
        </is>
      </c>
    </row>
    <row r="841">
      <c r="A841" s="43" t="inlineStr">
        <is>
          <t>CTANJZ05094</t>
        </is>
      </c>
      <c r="B841" s="43" t="inlineStr">
        <is>
          <t>D609408</t>
        </is>
      </c>
      <c r="C841" s="43" t="inlineStr">
        <is>
          <t>037-STBU</t>
        </is>
      </c>
      <c r="D841" s="43" t="inlineStr">
        <is>
          <t>FJZP</t>
        </is>
      </c>
      <c r="E841" s="43" t="inlineStr">
        <is>
          <t>MCGA</t>
        </is>
      </c>
      <c r="F841" s="43" t="inlineStr">
        <is>
          <t>73-18488-08</t>
        </is>
      </c>
      <c r="G841" s="43" t="inlineStr">
        <is>
          <t>BOARD_PN_CANDIDATE</t>
        </is>
      </c>
      <c r="H841" s="43" t="inlineStr"/>
      <c r="I841" s="43" t="inlineStr">
        <is>
          <t>Expired</t>
        </is>
      </c>
      <c r="J841" s="32" t="n">
        <v>46146</v>
      </c>
      <c r="K841" s="32" t="n">
        <v>46081</v>
      </c>
      <c r="L841" s="43" t="inlineStr">
        <is>
          <t>1807</t>
        </is>
      </c>
      <c r="M841" s="43" t="n">
        <v>1</v>
      </c>
      <c r="N841" s="33" t="inlineStr"/>
      <c r="O841" s="43" t="inlineStr">
        <is>
          <t>UNVERIFIED</t>
        </is>
      </c>
      <c r="P841" s="43" t="inlineStr">
        <is>
          <t>Pending Review</t>
        </is>
      </c>
      <c r="Q841" s="33" t="inlineStr">
        <is>
          <t>Confirmar SKU/PCBA revision, PN exacto en Common DB, WO, BU, vigencia, planta y aprobacion firmada.</t>
        </is>
      </c>
    </row>
    <row r="842">
      <c r="A842" s="43" t="inlineStr">
        <is>
          <t>CTANJZ05094</t>
        </is>
      </c>
      <c r="B842" s="43" t="inlineStr">
        <is>
          <t>D609408</t>
        </is>
      </c>
      <c r="C842" s="43" t="inlineStr">
        <is>
          <t>037-STBU</t>
        </is>
      </c>
      <c r="D842" s="43" t="inlineStr">
        <is>
          <t>FJZP</t>
        </is>
      </c>
      <c r="E842" s="43" t="inlineStr">
        <is>
          <t>MCGA</t>
        </is>
      </c>
      <c r="F842" s="43" t="inlineStr">
        <is>
          <t>73-18489-08</t>
        </is>
      </c>
      <c r="G842" s="43" t="inlineStr">
        <is>
          <t>BOARD_PN_CANDIDATE</t>
        </is>
      </c>
      <c r="H842" s="43" t="inlineStr"/>
      <c r="I842" s="43" t="inlineStr">
        <is>
          <t>Expired</t>
        </is>
      </c>
      <c r="J842" s="32" t="n">
        <v>46146</v>
      </c>
      <c r="K842" s="32" t="n">
        <v>46081</v>
      </c>
      <c r="L842" s="43" t="inlineStr">
        <is>
          <t>1808</t>
        </is>
      </c>
      <c r="M842" s="43" t="n">
        <v>1</v>
      </c>
      <c r="N842" s="33" t="inlineStr"/>
      <c r="O842" s="43" t="inlineStr">
        <is>
          <t>UNVERIFIED</t>
        </is>
      </c>
      <c r="P842" s="43" t="inlineStr">
        <is>
          <t>Pending Review</t>
        </is>
      </c>
      <c r="Q842" s="33" t="inlineStr">
        <is>
          <t>Confirmar SKU/PCBA revision, PN exacto en Common DB, WO, BU, vigencia, planta y aprobacion firmada.</t>
        </is>
      </c>
    </row>
    <row r="843">
      <c r="A843" s="43" t="inlineStr">
        <is>
          <t>CTANJZ05094</t>
        </is>
      </c>
      <c r="B843" s="43" t="inlineStr">
        <is>
          <t>D609408</t>
        </is>
      </c>
      <c r="C843" s="43" t="inlineStr">
        <is>
          <t>037-STBU</t>
        </is>
      </c>
      <c r="D843" s="43" t="inlineStr">
        <is>
          <t>FJZP</t>
        </is>
      </c>
      <c r="E843" s="43" t="inlineStr">
        <is>
          <t>MCGA</t>
        </is>
      </c>
      <c r="F843" s="43" t="inlineStr">
        <is>
          <t>73-18490-10</t>
        </is>
      </c>
      <c r="G843" s="43" t="inlineStr">
        <is>
          <t>BOARD_PN_CANDIDATE</t>
        </is>
      </c>
      <c r="H843" s="43" t="inlineStr"/>
      <c r="I843" s="43" t="inlineStr">
        <is>
          <t>Expired</t>
        </is>
      </c>
      <c r="J843" s="32" t="n">
        <v>46146</v>
      </c>
      <c r="K843" s="32" t="n">
        <v>46081</v>
      </c>
      <c r="L843" s="43" t="inlineStr">
        <is>
          <t>1809</t>
        </is>
      </c>
      <c r="M843" s="43" t="n">
        <v>1</v>
      </c>
      <c r="N843" s="33" t="inlineStr"/>
      <c r="O843" s="43" t="inlineStr">
        <is>
          <t>UNVERIFIED</t>
        </is>
      </c>
      <c r="P843" s="43" t="inlineStr">
        <is>
          <t>Pending Review</t>
        </is>
      </c>
      <c r="Q843" s="33" t="inlineStr">
        <is>
          <t>Confirmar SKU/PCBA revision, PN exacto en Common DB, WO, BU, vigencia, planta y aprobacion firmada.</t>
        </is>
      </c>
    </row>
    <row r="844">
      <c r="A844" s="43" t="inlineStr">
        <is>
          <t>CTANJZ05094</t>
        </is>
      </c>
      <c r="B844" s="43" t="inlineStr">
        <is>
          <t>D609408</t>
        </is>
      </c>
      <c r="C844" s="43" t="inlineStr">
        <is>
          <t>037-STBU</t>
        </is>
      </c>
      <c r="D844" s="43" t="inlineStr">
        <is>
          <t>FJZP</t>
        </is>
      </c>
      <c r="E844" s="43" t="inlineStr">
        <is>
          <t>MCGA</t>
        </is>
      </c>
      <c r="F844" s="43" t="inlineStr">
        <is>
          <t>73-21007-03</t>
        </is>
      </c>
      <c r="G844" s="43" t="inlineStr">
        <is>
          <t>BOARD_PN_CANDIDATE</t>
        </is>
      </c>
      <c r="H844" s="43" t="inlineStr"/>
      <c r="I844" s="43" t="inlineStr">
        <is>
          <t>Expired</t>
        </is>
      </c>
      <c r="J844" s="32" t="n">
        <v>46146</v>
      </c>
      <c r="K844" s="32" t="n">
        <v>46081</v>
      </c>
      <c r="L844" s="43" t="inlineStr">
        <is>
          <t>1810</t>
        </is>
      </c>
      <c r="M844" s="43" t="n">
        <v>1</v>
      </c>
      <c r="N844" s="33" t="inlineStr"/>
      <c r="O844" s="43" t="inlineStr">
        <is>
          <t>UNVERIFIED</t>
        </is>
      </c>
      <c r="P844" s="43" t="inlineStr">
        <is>
          <t>Pending Review</t>
        </is>
      </c>
      <c r="Q844" s="33" t="inlineStr">
        <is>
          <t>Confirmar SKU/PCBA revision, PN exacto en Common DB, WO, BU, vigencia, planta y aprobacion firmada.</t>
        </is>
      </c>
    </row>
    <row r="845">
      <c r="A845" s="43" t="inlineStr">
        <is>
          <t>CTANJZ05096</t>
        </is>
      </c>
      <c r="B845" s="43" t="inlineStr">
        <is>
          <t>D609350</t>
        </is>
      </c>
      <c r="C845" s="43" t="inlineStr">
        <is>
          <t>018-SRGBU</t>
        </is>
      </c>
      <c r="D845" s="43" t="inlineStr">
        <is>
          <t>FJZP</t>
        </is>
      </c>
      <c r="E845" s="43" t="inlineStr">
        <is>
          <t>MCGA</t>
        </is>
      </c>
      <c r="F845" s="43" t="inlineStr">
        <is>
          <t>17-15632-01</t>
        </is>
      </c>
      <c r="G845" s="43" t="inlineStr">
        <is>
          <t>OTHER_SCOPE_ITEM</t>
        </is>
      </c>
      <c r="H845" s="43" t="inlineStr"/>
      <c r="I845" s="43" t="inlineStr">
        <is>
          <t>Expired</t>
        </is>
      </c>
      <c r="J845" s="32" t="n">
        <v>46146</v>
      </c>
      <c r="K845" s="32" t="n">
        <v>46073</v>
      </c>
      <c r="L845" s="43" t="inlineStr">
        <is>
          <t>976</t>
        </is>
      </c>
      <c r="M845" s="43" t="n">
        <v>1</v>
      </c>
      <c r="N845" s="33" t="inlineStr"/>
      <c r="O845" s="43" t="inlineStr">
        <is>
          <t>UNVERIFIED</t>
        </is>
      </c>
      <c r="P845" s="43" t="inlineStr">
        <is>
          <t>Pending Review</t>
        </is>
      </c>
      <c r="Q845" s="33" t="inlineStr">
        <is>
          <t>Confirmar SKU/PCBA revision, PN exacto en Common DB, WO, BU, vigencia, planta y aprobacion firmada.</t>
        </is>
      </c>
    </row>
    <row r="846">
      <c r="A846" s="43" t="inlineStr">
        <is>
          <t>CTANJZ05096</t>
        </is>
      </c>
      <c r="B846" s="43" t="inlineStr">
        <is>
          <t>D609350</t>
        </is>
      </c>
      <c r="C846" s="43" t="inlineStr">
        <is>
          <t>018-SRGBU</t>
        </is>
      </c>
      <c r="D846" s="43" t="inlineStr">
        <is>
          <t>FJZP</t>
        </is>
      </c>
      <c r="E846" s="43" t="inlineStr">
        <is>
          <t>MCGA</t>
        </is>
      </c>
      <c r="F846" s="43" t="inlineStr">
        <is>
          <t>17-15632-02</t>
        </is>
      </c>
      <c r="G846" s="43" t="inlineStr">
        <is>
          <t>OTHER_SCOPE_ITEM</t>
        </is>
      </c>
      <c r="H846" s="43" t="inlineStr"/>
      <c r="I846" s="43" t="inlineStr">
        <is>
          <t>Expired</t>
        </is>
      </c>
      <c r="J846" s="32" t="n">
        <v>46146</v>
      </c>
      <c r="K846" s="32" t="n">
        <v>46073</v>
      </c>
      <c r="L846" s="43" t="inlineStr">
        <is>
          <t>1003</t>
        </is>
      </c>
      <c r="M846" s="43" t="n">
        <v>1</v>
      </c>
      <c r="N846" s="33" t="inlineStr"/>
      <c r="O846" s="43" t="inlineStr">
        <is>
          <t>UNVERIFIED</t>
        </is>
      </c>
      <c r="P846" s="43" t="inlineStr">
        <is>
          <t>Pending Review</t>
        </is>
      </c>
      <c r="Q846" s="33" t="inlineStr">
        <is>
          <t>Confirmar SKU/PCBA revision, PN exacto en Common DB, WO, BU, vigencia, planta y aprobacion firmada.</t>
        </is>
      </c>
    </row>
    <row r="847">
      <c r="A847" s="43" t="inlineStr">
        <is>
          <t>CTANJZ05096</t>
        </is>
      </c>
      <c r="B847" s="43" t="inlineStr">
        <is>
          <t>D609350</t>
        </is>
      </c>
      <c r="C847" s="43" t="inlineStr">
        <is>
          <t>018-SRGBU</t>
        </is>
      </c>
      <c r="D847" s="43" t="inlineStr">
        <is>
          <t>FJZP</t>
        </is>
      </c>
      <c r="E847" s="43" t="inlineStr">
        <is>
          <t>MCGA</t>
        </is>
      </c>
      <c r="F847" s="43" t="inlineStr">
        <is>
          <t>74-122742-01</t>
        </is>
      </c>
      <c r="G847" s="43" t="inlineStr">
        <is>
          <t>OTHER_SCOPE_ITEM</t>
        </is>
      </c>
      <c r="H847" s="43" t="inlineStr"/>
      <c r="I847" s="43" t="inlineStr">
        <is>
          <t>Expired</t>
        </is>
      </c>
      <c r="J847" s="32" t="n">
        <v>46146</v>
      </c>
      <c r="K847" s="32" t="n">
        <v>46073</v>
      </c>
      <c r="L847" s="43" t="inlineStr">
        <is>
          <t>1004</t>
        </is>
      </c>
      <c r="M847" s="43" t="n">
        <v>1</v>
      </c>
      <c r="N847" s="33" t="inlineStr"/>
      <c r="O847" s="43" t="inlineStr">
        <is>
          <t>UNVERIFIED</t>
        </is>
      </c>
      <c r="P847" s="43" t="inlineStr">
        <is>
          <t>Pending Review</t>
        </is>
      </c>
      <c r="Q847" s="33" t="inlineStr">
        <is>
          <t>Confirmar SKU/PCBA revision, PN exacto en Common DB, WO, BU, vigencia, planta y aprobacion firmada.</t>
        </is>
      </c>
    </row>
    <row r="848">
      <c r="A848" s="43" t="inlineStr">
        <is>
          <t>CTANJZ05096</t>
        </is>
      </c>
      <c r="B848" s="43" t="inlineStr">
        <is>
          <t>D609350</t>
        </is>
      </c>
      <c r="C848" s="43" t="inlineStr">
        <is>
          <t>018-SRGBU</t>
        </is>
      </c>
      <c r="D848" s="43" t="inlineStr">
        <is>
          <t>FJZP</t>
        </is>
      </c>
      <c r="E848" s="43" t="inlineStr">
        <is>
          <t>MCGA</t>
        </is>
      </c>
      <c r="F848" s="43" t="inlineStr">
        <is>
          <t>74-122743-01</t>
        </is>
      </c>
      <c r="G848" s="43" t="inlineStr">
        <is>
          <t>OTHER_SCOPE_ITEM</t>
        </is>
      </c>
      <c r="H848" s="43" t="inlineStr"/>
      <c r="I848" s="43" t="inlineStr">
        <is>
          <t>Expired</t>
        </is>
      </c>
      <c r="J848" s="32" t="n">
        <v>46146</v>
      </c>
      <c r="K848" s="32" t="n">
        <v>46073</v>
      </c>
      <c r="L848" s="43" t="inlineStr">
        <is>
          <t>1005</t>
        </is>
      </c>
      <c r="M848" s="43" t="n">
        <v>1</v>
      </c>
      <c r="N848" s="33" t="inlineStr"/>
      <c r="O848" s="43" t="inlineStr">
        <is>
          <t>UNVERIFIED</t>
        </is>
      </c>
      <c r="P848" s="43" t="inlineStr">
        <is>
          <t>Pending Review</t>
        </is>
      </c>
      <c r="Q848" s="33" t="inlineStr">
        <is>
          <t>Confirmar SKU/PCBA revision, PN exacto en Common DB, WO, BU, vigencia, planta y aprobacion firmada.</t>
        </is>
      </c>
    </row>
    <row r="849">
      <c r="A849" s="43" t="inlineStr">
        <is>
          <t>CTANJZ05096</t>
        </is>
      </c>
      <c r="B849" s="43" t="inlineStr">
        <is>
          <t>D609350</t>
        </is>
      </c>
      <c r="C849" s="43" t="inlineStr">
        <is>
          <t>018-SRGBU</t>
        </is>
      </c>
      <c r="D849" s="43" t="inlineStr">
        <is>
          <t>FJZP</t>
        </is>
      </c>
      <c r="E849" s="43" t="inlineStr">
        <is>
          <t>MCGA</t>
        </is>
      </c>
      <c r="F849" s="43" t="inlineStr">
        <is>
          <t>74-122744-01</t>
        </is>
      </c>
      <c r="G849" s="43" t="inlineStr">
        <is>
          <t>OTHER_SCOPE_ITEM</t>
        </is>
      </c>
      <c r="H849" s="43" t="inlineStr"/>
      <c r="I849" s="43" t="inlineStr">
        <is>
          <t>Expired</t>
        </is>
      </c>
      <c r="J849" s="32" t="n">
        <v>46146</v>
      </c>
      <c r="K849" s="32" t="n">
        <v>46073</v>
      </c>
      <c r="L849" s="43" t="inlineStr">
        <is>
          <t>1006</t>
        </is>
      </c>
      <c r="M849" s="43" t="n">
        <v>1</v>
      </c>
      <c r="N849" s="33" t="inlineStr"/>
      <c r="O849" s="43" t="inlineStr">
        <is>
          <t>UNVERIFIED</t>
        </is>
      </c>
      <c r="P849" s="43" t="inlineStr">
        <is>
          <t>Pending Review</t>
        </is>
      </c>
      <c r="Q849" s="33" t="inlineStr">
        <is>
          <t>Confirmar SKU/PCBA revision, PN exacto en Common DB, WO, BU, vigencia, planta y aprobacion firmada.</t>
        </is>
      </c>
    </row>
    <row r="850">
      <c r="A850" s="43" t="inlineStr">
        <is>
          <t>CTANJZ05096</t>
        </is>
      </c>
      <c r="B850" s="43" t="inlineStr">
        <is>
          <t>D609350</t>
        </is>
      </c>
      <c r="C850" s="43" t="inlineStr">
        <is>
          <t>018-SRGBU</t>
        </is>
      </c>
      <c r="D850" s="43" t="inlineStr">
        <is>
          <t>FJZP</t>
        </is>
      </c>
      <c r="E850" s="43" t="inlineStr">
        <is>
          <t>MCGA</t>
        </is>
      </c>
      <c r="F850" s="43" t="inlineStr">
        <is>
          <t>74-122859-01</t>
        </is>
      </c>
      <c r="G850" s="43" t="inlineStr">
        <is>
          <t>OTHER_SCOPE_ITEM</t>
        </is>
      </c>
      <c r="H850" s="43" t="inlineStr"/>
      <c r="I850" s="43" t="inlineStr">
        <is>
          <t>Expired</t>
        </is>
      </c>
      <c r="J850" s="32" t="n">
        <v>46146</v>
      </c>
      <c r="K850" s="32" t="n">
        <v>46073</v>
      </c>
      <c r="L850" s="43" t="inlineStr">
        <is>
          <t>1007</t>
        </is>
      </c>
      <c r="M850" s="43" t="n">
        <v>1</v>
      </c>
      <c r="N850" s="33" t="inlineStr"/>
      <c r="O850" s="43" t="inlineStr">
        <is>
          <t>UNVERIFIED</t>
        </is>
      </c>
      <c r="P850" s="43" t="inlineStr">
        <is>
          <t>Pending Review</t>
        </is>
      </c>
      <c r="Q850" s="33" t="inlineStr">
        <is>
          <t>Confirmar SKU/PCBA revision, PN exacto en Common DB, WO, BU, vigencia, planta y aprobacion firmada.</t>
        </is>
      </c>
    </row>
    <row r="851">
      <c r="A851" s="43" t="inlineStr">
        <is>
          <t>CTANJZ05096</t>
        </is>
      </c>
      <c r="B851" s="43" t="inlineStr">
        <is>
          <t>D609350</t>
        </is>
      </c>
      <c r="C851" s="43" t="inlineStr">
        <is>
          <t>018-SRGBU</t>
        </is>
      </c>
      <c r="D851" s="43" t="inlineStr">
        <is>
          <t>FJZP</t>
        </is>
      </c>
      <c r="E851" s="43" t="inlineStr">
        <is>
          <t>MCGA</t>
        </is>
      </c>
      <c r="F851" s="43" t="inlineStr">
        <is>
          <t>74-123836-01</t>
        </is>
      </c>
      <c r="G851" s="43" t="inlineStr">
        <is>
          <t>OTHER_SCOPE_ITEM</t>
        </is>
      </c>
      <c r="H851" s="43" t="inlineStr"/>
      <c r="I851" s="43" t="inlineStr">
        <is>
          <t>Expired</t>
        </is>
      </c>
      <c r="J851" s="32" t="n">
        <v>46146</v>
      </c>
      <c r="K851" s="32" t="n">
        <v>46073</v>
      </c>
      <c r="L851" s="43" t="inlineStr">
        <is>
          <t>1008</t>
        </is>
      </c>
      <c r="M851" s="43" t="n">
        <v>1</v>
      </c>
      <c r="N851" s="33" t="inlineStr"/>
      <c r="O851" s="43" t="inlineStr">
        <is>
          <t>UNVERIFIED</t>
        </is>
      </c>
      <c r="P851" s="43" t="inlineStr">
        <is>
          <t>Pending Review</t>
        </is>
      </c>
      <c r="Q851" s="33" t="inlineStr">
        <is>
          <t>Confirmar SKU/PCBA revision, PN exacto en Common DB, WO, BU, vigencia, planta y aprobacion firmada.</t>
        </is>
      </c>
    </row>
    <row r="852">
      <c r="A852" s="43" t="inlineStr">
        <is>
          <t>CTANJZ05096</t>
        </is>
      </c>
      <c r="B852" s="43" t="inlineStr">
        <is>
          <t>D609350</t>
        </is>
      </c>
      <c r="C852" s="43" t="inlineStr">
        <is>
          <t>018-SRGBU</t>
        </is>
      </c>
      <c r="D852" s="43" t="inlineStr">
        <is>
          <t>FJZP</t>
        </is>
      </c>
      <c r="E852" s="43" t="inlineStr">
        <is>
          <t>MCGA</t>
        </is>
      </c>
      <c r="F852" s="43" t="inlineStr">
        <is>
          <t>74-123837-01</t>
        </is>
      </c>
      <c r="G852" s="43" t="inlineStr">
        <is>
          <t>OTHER_SCOPE_ITEM</t>
        </is>
      </c>
      <c r="H852" s="43" t="inlineStr"/>
      <c r="I852" s="43" t="inlineStr">
        <is>
          <t>Expired</t>
        </is>
      </c>
      <c r="J852" s="32" t="n">
        <v>46146</v>
      </c>
      <c r="K852" s="32" t="n">
        <v>46073</v>
      </c>
      <c r="L852" s="43" t="inlineStr">
        <is>
          <t>1009</t>
        </is>
      </c>
      <c r="M852" s="43" t="n">
        <v>1</v>
      </c>
      <c r="N852" s="33" t="inlineStr"/>
      <c r="O852" s="43" t="inlineStr">
        <is>
          <t>UNVERIFIED</t>
        </is>
      </c>
      <c r="P852" s="43" t="inlineStr">
        <is>
          <t>Pending Review</t>
        </is>
      </c>
      <c r="Q852" s="33" t="inlineStr">
        <is>
          <t>Confirmar SKU/PCBA revision, PN exacto en Common DB, WO, BU, vigencia, planta y aprobacion firmada.</t>
        </is>
      </c>
    </row>
    <row r="853">
      <c r="A853" s="43" t="inlineStr">
        <is>
          <t>CTANJZ05097</t>
        </is>
      </c>
      <c r="B853" s="43" t="inlineStr">
        <is>
          <t>D608813</t>
        </is>
      </c>
      <c r="C853" s="43" t="inlineStr">
        <is>
          <t>037-STBU</t>
        </is>
      </c>
      <c r="D853" s="43" t="inlineStr">
        <is>
          <t>FJZP</t>
        </is>
      </c>
      <c r="E853" s="43" t="inlineStr">
        <is>
          <t>MCGA</t>
        </is>
      </c>
      <c r="F853" s="43" t="inlineStr">
        <is>
          <t>15-110830-01</t>
        </is>
      </c>
      <c r="G853" s="43" t="inlineStr">
        <is>
          <t>OTHER_SCOPE_ITEM</t>
        </is>
      </c>
      <c r="H853" s="43" t="inlineStr"/>
      <c r="I853" s="43" t="inlineStr">
        <is>
          <t>Expired</t>
        </is>
      </c>
      <c r="J853" s="32" t="n">
        <v>46147</v>
      </c>
      <c r="K853" s="32" t="n">
        <v>46077</v>
      </c>
      <c r="L853" s="43" t="inlineStr">
        <is>
          <t>1558</t>
        </is>
      </c>
      <c r="M853" s="43" t="n">
        <v>1</v>
      </c>
      <c r="N853" s="33" t="inlineStr"/>
      <c r="O853" s="43" t="inlineStr">
        <is>
          <t>UNVERIFIED</t>
        </is>
      </c>
      <c r="P853" s="43" t="inlineStr">
        <is>
          <t>Pending Review</t>
        </is>
      </c>
      <c r="Q853" s="33" t="inlineStr">
        <is>
          <t>Confirmar SKU/PCBA revision, PN exacto en Common DB, WO, BU, vigencia, planta y aprobacion firmada.</t>
        </is>
      </c>
    </row>
    <row r="854">
      <c r="A854" s="43" t="inlineStr">
        <is>
          <t>CTANJZ05097</t>
        </is>
      </c>
      <c r="B854" s="43" t="inlineStr">
        <is>
          <t>D608813</t>
        </is>
      </c>
      <c r="C854" s="43" t="inlineStr">
        <is>
          <t>037-STBU</t>
        </is>
      </c>
      <c r="D854" s="43" t="inlineStr">
        <is>
          <t>FJZP</t>
        </is>
      </c>
      <c r="E854" s="43" t="inlineStr">
        <is>
          <t>MCGA</t>
        </is>
      </c>
      <c r="F854" s="43" t="inlineStr">
        <is>
          <t>800-112581-04</t>
        </is>
      </c>
      <c r="G854" s="43" t="inlineStr">
        <is>
          <t>OTHER_SCOPE_ITEM</t>
        </is>
      </c>
      <c r="H854" s="43" t="inlineStr"/>
      <c r="I854" s="43" t="inlineStr">
        <is>
          <t>Expired</t>
        </is>
      </c>
      <c r="J854" s="32" t="n">
        <v>46147</v>
      </c>
      <c r="K854" s="32" t="n">
        <v>46077</v>
      </c>
      <c r="L854" s="43" t="inlineStr">
        <is>
          <t>1559</t>
        </is>
      </c>
      <c r="M854" s="43" t="n">
        <v>1</v>
      </c>
      <c r="N854" s="33" t="inlineStr"/>
      <c r="O854" s="43" t="inlineStr">
        <is>
          <t>UNVERIFIED</t>
        </is>
      </c>
      <c r="P854" s="43" t="inlineStr">
        <is>
          <t>Pending Review</t>
        </is>
      </c>
      <c r="Q854" s="33" t="inlineStr">
        <is>
          <t>Confirmar SKU/PCBA revision, PN exacto en Common DB, WO, BU, vigencia, planta y aprobacion firmada.</t>
        </is>
      </c>
    </row>
    <row r="855">
      <c r="A855" s="43" t="inlineStr">
        <is>
          <t>CTANJZ05101</t>
        </is>
      </c>
      <c r="B855" s="43" t="inlineStr">
        <is>
          <t>D609457</t>
        </is>
      </c>
      <c r="C855" s="43" t="inlineStr">
        <is>
          <t>035-CVEBU</t>
        </is>
      </c>
      <c r="D855" s="43" t="inlineStr">
        <is>
          <t>FJZP</t>
        </is>
      </c>
      <c r="E855" s="43" t="inlineStr">
        <is>
          <t>MCGA</t>
        </is>
      </c>
      <c r="F855" s="43" t="inlineStr">
        <is>
          <t>800-115884-01</t>
        </is>
      </c>
      <c r="G855" s="43" t="inlineStr">
        <is>
          <t>OTHER_SCOPE_ITEM</t>
        </is>
      </c>
      <c r="H855" s="43" t="inlineStr"/>
      <c r="I855" s="43" t="inlineStr">
        <is>
          <t>Expired</t>
        </is>
      </c>
      <c r="J855" s="32" t="n">
        <v>46148</v>
      </c>
      <c r="K855" s="32" t="n">
        <v>46070</v>
      </c>
      <c r="L855" s="43" t="inlineStr">
        <is>
          <t>526</t>
        </is>
      </c>
      <c r="M855" s="43" t="n">
        <v>1</v>
      </c>
      <c r="N855" s="33" t="inlineStr"/>
      <c r="O855" s="43" t="inlineStr">
        <is>
          <t>UNVERIFIED</t>
        </is>
      </c>
      <c r="P855" s="43" t="inlineStr">
        <is>
          <t>Pending Review</t>
        </is>
      </c>
      <c r="Q855" s="33" t="inlineStr">
        <is>
          <t>Confirmar SKU/PCBA revision, PN exacto en Common DB, WO, BU, vigencia, planta y aprobacion firmada.</t>
        </is>
      </c>
    </row>
    <row r="856">
      <c r="A856" s="43" t="inlineStr">
        <is>
          <t>CTANJZ05105</t>
        </is>
      </c>
      <c r="B856" s="43" t="inlineStr">
        <is>
          <t>D609558</t>
        </is>
      </c>
      <c r="C856" s="43" t="inlineStr">
        <is>
          <t>239-CRBU</t>
        </is>
      </c>
      <c r="D856" s="43" t="inlineStr">
        <is>
          <t>FJZP</t>
        </is>
      </c>
      <c r="E856" s="43" t="inlineStr">
        <is>
          <t>MCGA</t>
        </is>
      </c>
      <c r="F856" s="43" t="inlineStr">
        <is>
          <t>08-100199-03</t>
        </is>
      </c>
      <c r="G856" s="43" t="inlineStr">
        <is>
          <t>OTHER_SCOPE_ITEM</t>
        </is>
      </c>
      <c r="H856" s="43" t="inlineStr"/>
      <c r="I856" s="43" t="inlineStr">
        <is>
          <t>Expired</t>
        </is>
      </c>
      <c r="J856" s="32" t="n">
        <v>46153</v>
      </c>
      <c r="K856" s="32" t="n">
        <v>46084</v>
      </c>
      <c r="L856" s="43" t="inlineStr">
        <is>
          <t>1010</t>
        </is>
      </c>
      <c r="M856" s="43" t="n">
        <v>1</v>
      </c>
      <c r="N856" s="33" t="inlineStr"/>
      <c r="O856" s="43" t="inlineStr">
        <is>
          <t>UNVERIFIED</t>
        </is>
      </c>
      <c r="P856" s="43" t="inlineStr">
        <is>
          <t>Pending Review</t>
        </is>
      </c>
      <c r="Q856" s="33" t="inlineStr">
        <is>
          <t>Confirmar SKU/PCBA revision, PN exacto en Common DB, WO, BU, vigencia, planta y aprobacion firmada.</t>
        </is>
      </c>
    </row>
    <row r="857">
      <c r="A857" s="43" t="inlineStr">
        <is>
          <t>CTANJZ05105</t>
        </is>
      </c>
      <c r="B857" s="43" t="inlineStr">
        <is>
          <t>D609558</t>
        </is>
      </c>
      <c r="C857" s="43" t="inlineStr">
        <is>
          <t>239-CRBU</t>
        </is>
      </c>
      <c r="D857" s="43" t="inlineStr">
        <is>
          <t>FJZP</t>
        </is>
      </c>
      <c r="E857" s="43" t="inlineStr">
        <is>
          <t>MCGA</t>
        </is>
      </c>
      <c r="F857" s="43" t="inlineStr">
        <is>
          <t>73-21144-06</t>
        </is>
      </c>
      <c r="G857" s="43" t="inlineStr">
        <is>
          <t>BOARD_PN_CANDIDATE</t>
        </is>
      </c>
      <c r="H857" s="43" t="inlineStr"/>
      <c r="I857" s="43" t="inlineStr">
        <is>
          <t>Expired</t>
        </is>
      </c>
      <c r="J857" s="32" t="n">
        <v>46153</v>
      </c>
      <c r="K857" s="32" t="n">
        <v>46084</v>
      </c>
      <c r="L857" s="43" t="inlineStr">
        <is>
          <t>1011</t>
        </is>
      </c>
      <c r="M857" s="43" t="n">
        <v>1</v>
      </c>
      <c r="N857" s="33" t="inlineStr"/>
      <c r="O857" s="43" t="inlineStr">
        <is>
          <t>UNVERIFIED</t>
        </is>
      </c>
      <c r="P857" s="43" t="inlineStr">
        <is>
          <t>Pending Review</t>
        </is>
      </c>
      <c r="Q857" s="33" t="inlineStr">
        <is>
          <t>Confirmar SKU/PCBA revision, PN exacto en Common DB, WO, BU, vigencia, planta y aprobacion firmada.</t>
        </is>
      </c>
    </row>
    <row r="858">
      <c r="A858" s="43" t="inlineStr">
        <is>
          <t>CTANJZ05105</t>
        </is>
      </c>
      <c r="B858" s="43" t="inlineStr">
        <is>
          <t>D609558</t>
        </is>
      </c>
      <c r="C858" s="43" t="inlineStr">
        <is>
          <t>239-CRBU</t>
        </is>
      </c>
      <c r="D858" s="43" t="inlineStr">
        <is>
          <t>FJZP</t>
        </is>
      </c>
      <c r="E858" s="43" t="inlineStr">
        <is>
          <t>MCGA</t>
        </is>
      </c>
      <c r="F858" s="43" t="inlineStr">
        <is>
          <t>73-21146-05</t>
        </is>
      </c>
      <c r="G858" s="43" t="inlineStr">
        <is>
          <t>BOARD_PN_CANDIDATE</t>
        </is>
      </c>
      <c r="H858" s="43" t="inlineStr"/>
      <c r="I858" s="43" t="inlineStr">
        <is>
          <t>Expired</t>
        </is>
      </c>
      <c r="J858" s="32" t="n">
        <v>46153</v>
      </c>
      <c r="K858" s="32" t="n">
        <v>46084</v>
      </c>
      <c r="L858" s="43" t="inlineStr">
        <is>
          <t>1012</t>
        </is>
      </c>
      <c r="M858" s="43" t="n">
        <v>1</v>
      </c>
      <c r="N858" s="33" t="inlineStr"/>
      <c r="O858" s="43" t="inlineStr">
        <is>
          <t>UNVERIFIED</t>
        </is>
      </c>
      <c r="P858" s="43" t="inlineStr">
        <is>
          <t>Pending Review</t>
        </is>
      </c>
      <c r="Q858" s="33" t="inlineStr">
        <is>
          <t>Confirmar SKU/PCBA revision, PN exacto en Common DB, WO, BU, vigencia, planta y aprobacion firmada.</t>
        </is>
      </c>
    </row>
    <row r="859">
      <c r="A859" s="43" t="inlineStr">
        <is>
          <t>CTANJZ05105</t>
        </is>
      </c>
      <c r="B859" s="43" t="inlineStr">
        <is>
          <t>D609558</t>
        </is>
      </c>
      <c r="C859" s="43" t="inlineStr">
        <is>
          <t>239-CRBU</t>
        </is>
      </c>
      <c r="D859" s="43" t="inlineStr">
        <is>
          <t>FJZP</t>
        </is>
      </c>
      <c r="E859" s="43" t="inlineStr">
        <is>
          <t>MCGA</t>
        </is>
      </c>
      <c r="F859" s="43" t="inlineStr">
        <is>
          <t>73-21146-12</t>
        </is>
      </c>
      <c r="G859" s="43" t="inlineStr">
        <is>
          <t>BOARD_PN_CANDIDATE</t>
        </is>
      </c>
      <c r="H859" s="43" t="inlineStr"/>
      <c r="I859" s="43" t="inlineStr">
        <is>
          <t>Expired</t>
        </is>
      </c>
      <c r="J859" s="32" t="n">
        <v>46153</v>
      </c>
      <c r="K859" s="32" t="n">
        <v>46084</v>
      </c>
      <c r="L859" s="43" t="inlineStr">
        <is>
          <t>1013</t>
        </is>
      </c>
      <c r="M859" s="43" t="n">
        <v>1</v>
      </c>
      <c r="N859" s="33" t="inlineStr"/>
      <c r="O859" s="43" t="inlineStr">
        <is>
          <t>UNVERIFIED</t>
        </is>
      </c>
      <c r="P859" s="43" t="inlineStr">
        <is>
          <t>Pending Review</t>
        </is>
      </c>
      <c r="Q859" s="33" t="inlineStr">
        <is>
          <t>Confirmar SKU/PCBA revision, PN exacto en Common DB, WO, BU, vigencia, planta y aprobacion firmada.</t>
        </is>
      </c>
    </row>
    <row r="860">
      <c r="A860" s="43" t="inlineStr">
        <is>
          <t>CTANJZ05106</t>
        </is>
      </c>
      <c r="B860" s="43" t="inlineStr">
        <is>
          <t>D609154</t>
        </is>
      </c>
      <c r="C860" s="43" t="inlineStr">
        <is>
          <t>037-STBU</t>
        </is>
      </c>
      <c r="D860" s="43" t="inlineStr">
        <is>
          <t>FJZP</t>
        </is>
      </c>
      <c r="E860" s="43" t="inlineStr">
        <is>
          <t>MCGA</t>
        </is>
      </c>
      <c r="F860" s="43" t="inlineStr">
        <is>
          <t>341-101280-01</t>
        </is>
      </c>
      <c r="G860" s="43" t="inlineStr">
        <is>
          <t>OTHER_SCOPE_ITEM</t>
        </is>
      </c>
      <c r="H860" s="43" t="inlineStr"/>
      <c r="I860" s="43" t="inlineStr">
        <is>
          <t>Expired</t>
        </is>
      </c>
      <c r="J860" s="32" t="n">
        <v>46154</v>
      </c>
      <c r="K860" s="32" t="n">
        <v>46092</v>
      </c>
      <c r="L860" s="43" t="inlineStr">
        <is>
          <t>995</t>
        </is>
      </c>
      <c r="M860" s="43" t="n">
        <v>1</v>
      </c>
      <c r="N860" s="33" t="inlineStr"/>
      <c r="O860" s="43" t="inlineStr">
        <is>
          <t>UNVERIFIED</t>
        </is>
      </c>
      <c r="P860" s="43" t="inlineStr">
        <is>
          <t>Pending Review</t>
        </is>
      </c>
      <c r="Q860" s="33" t="inlineStr">
        <is>
          <t>Confirmar SKU/PCBA revision, PN exacto en Common DB, WO, BU, vigencia, planta y aprobacion firmada.</t>
        </is>
      </c>
    </row>
    <row r="861">
      <c r="A861" s="43" t="inlineStr">
        <is>
          <t>CTANJZ05106</t>
        </is>
      </c>
      <c r="B861" s="43" t="inlineStr">
        <is>
          <t>D609154</t>
        </is>
      </c>
      <c r="C861" s="43" t="inlineStr">
        <is>
          <t>037-STBU</t>
        </is>
      </c>
      <c r="D861" s="43" t="inlineStr">
        <is>
          <t>FJZP</t>
        </is>
      </c>
      <c r="E861" s="43" t="inlineStr">
        <is>
          <t>MCGA</t>
        </is>
      </c>
      <c r="F861" s="43" t="inlineStr">
        <is>
          <t>341-101280-02</t>
        </is>
      </c>
      <c r="G861" s="43" t="inlineStr">
        <is>
          <t>OTHER_SCOPE_ITEM</t>
        </is>
      </c>
      <c r="H861" s="43" t="inlineStr"/>
      <c r="I861" s="43" t="inlineStr">
        <is>
          <t>Expired</t>
        </is>
      </c>
      <c r="J861" s="32" t="n">
        <v>46154</v>
      </c>
      <c r="K861" s="32" t="n">
        <v>46092</v>
      </c>
      <c r="L861" s="43" t="inlineStr">
        <is>
          <t>996</t>
        </is>
      </c>
      <c r="M861" s="43" t="n">
        <v>1</v>
      </c>
      <c r="N861" s="33" t="inlineStr"/>
      <c r="O861" s="43" t="inlineStr">
        <is>
          <t>UNVERIFIED</t>
        </is>
      </c>
      <c r="P861" s="43" t="inlineStr">
        <is>
          <t>Pending Review</t>
        </is>
      </c>
      <c r="Q861" s="33" t="inlineStr">
        <is>
          <t>Confirmar SKU/PCBA revision, PN exacto en Common DB, WO, BU, vigencia, planta y aprobacion firmada.</t>
        </is>
      </c>
    </row>
    <row r="862">
      <c r="A862" s="43" t="inlineStr">
        <is>
          <t>CTANJZ05107</t>
        </is>
      </c>
      <c r="B862" s="43" t="inlineStr">
        <is>
          <t>DP525818</t>
        </is>
      </c>
      <c r="C862" s="43" t="inlineStr">
        <is>
          <t>037-STBU</t>
        </is>
      </c>
      <c r="D862" s="43" t="inlineStr">
        <is>
          <t>FJZP</t>
        </is>
      </c>
      <c r="E862" s="43" t="inlineStr">
        <is>
          <t>MCGA</t>
        </is>
      </c>
      <c r="F862" s="43" t="inlineStr">
        <is>
          <t>73-103557-04</t>
        </is>
      </c>
      <c r="G862" s="43" t="inlineStr">
        <is>
          <t>BOARD_PN_CANDIDATE</t>
        </is>
      </c>
      <c r="H862" s="43" t="inlineStr"/>
      <c r="I862" s="43" t="inlineStr">
        <is>
          <t>Expired</t>
        </is>
      </c>
      <c r="J862" s="32" t="n">
        <v>46126</v>
      </c>
      <c r="K862" s="32" t="n">
        <v>46086</v>
      </c>
      <c r="L862" s="43" t="inlineStr">
        <is>
          <t>971</t>
        </is>
      </c>
      <c r="M862" s="43" t="n">
        <v>1</v>
      </c>
      <c r="N862" s="33" t="inlineStr"/>
      <c r="O862" s="43" t="inlineStr">
        <is>
          <t>UNVERIFIED</t>
        </is>
      </c>
      <c r="P862" s="43" t="inlineStr">
        <is>
          <t>Pending Review</t>
        </is>
      </c>
      <c r="Q862" s="33" t="inlineStr">
        <is>
          <t>Confirmar SKU/PCBA revision, PN exacto en Common DB, WO, BU, vigencia, planta y aprobacion firmada.</t>
        </is>
      </c>
    </row>
    <row r="863">
      <c r="A863" s="43" t="inlineStr">
        <is>
          <t>CTANJZ05108</t>
        </is>
      </c>
      <c r="B863" s="43" t="inlineStr">
        <is>
          <t>D609649</t>
        </is>
      </c>
      <c r="C863" s="43" t="inlineStr">
        <is>
          <t>035-CVEBU</t>
        </is>
      </c>
      <c r="D863" s="43" t="inlineStr">
        <is>
          <t>FJZP</t>
        </is>
      </c>
      <c r="E863" s="43" t="inlineStr">
        <is>
          <t>MCGA</t>
        </is>
      </c>
      <c r="F863" s="43" t="inlineStr">
        <is>
          <t>24-101509-01</t>
        </is>
      </c>
      <c r="G863" s="43" t="inlineStr">
        <is>
          <t>OTHER_SCOPE_ITEM</t>
        </is>
      </c>
      <c r="H863" s="43" t="inlineStr"/>
      <c r="I863" s="43" t="inlineStr">
        <is>
          <t>Expired</t>
        </is>
      </c>
      <c r="J863" s="32" t="n">
        <v>46160</v>
      </c>
      <c r="K863" s="32" t="n">
        <v>46084</v>
      </c>
      <c r="L863" s="43" t="inlineStr">
        <is>
          <t>504</t>
        </is>
      </c>
      <c r="M863" s="43" t="n">
        <v>1</v>
      </c>
      <c r="N863" s="33" t="inlineStr"/>
      <c r="O863" s="43" t="inlineStr">
        <is>
          <t>UNVERIFIED</t>
        </is>
      </c>
      <c r="P863" s="43" t="inlineStr">
        <is>
          <t>Pending Review</t>
        </is>
      </c>
      <c r="Q863" s="33" t="inlineStr">
        <is>
          <t>Confirmar SKU/PCBA revision, PN exacto en Common DB, WO, BU, vigencia, planta y aprobacion firmada.</t>
        </is>
      </c>
    </row>
    <row r="864">
      <c r="A864" s="43" t="inlineStr">
        <is>
          <t>CTANJZ05108</t>
        </is>
      </c>
      <c r="B864" s="43" t="inlineStr">
        <is>
          <t>D609649</t>
        </is>
      </c>
      <c r="C864" s="43" t="inlineStr">
        <is>
          <t>035-CVEBU</t>
        </is>
      </c>
      <c r="D864" s="43" t="inlineStr">
        <is>
          <t>FJZP</t>
        </is>
      </c>
      <c r="E864" s="43" t="inlineStr">
        <is>
          <t>MCGA</t>
        </is>
      </c>
      <c r="F864" s="43" t="inlineStr">
        <is>
          <t>68-104853-01</t>
        </is>
      </c>
      <c r="G864" s="43" t="inlineStr">
        <is>
          <t>OTHER_SCOPE_ITEM</t>
        </is>
      </c>
      <c r="H864" s="43" t="inlineStr"/>
      <c r="I864" s="43" t="inlineStr">
        <is>
          <t>Expired</t>
        </is>
      </c>
      <c r="J864" s="32" t="n">
        <v>46160</v>
      </c>
      <c r="K864" s="32" t="n">
        <v>46084</v>
      </c>
      <c r="L864" s="43" t="inlineStr">
        <is>
          <t>505</t>
        </is>
      </c>
      <c r="M864" s="43" t="n">
        <v>1</v>
      </c>
      <c r="N864" s="33" t="inlineStr"/>
      <c r="O864" s="43" t="inlineStr">
        <is>
          <t>UNVERIFIED</t>
        </is>
      </c>
      <c r="P864" s="43" t="inlineStr">
        <is>
          <t>Pending Review</t>
        </is>
      </c>
      <c r="Q864" s="33" t="inlineStr">
        <is>
          <t>Confirmar SKU/PCBA revision, PN exacto en Common DB, WO, BU, vigencia, planta y aprobacion firmada.</t>
        </is>
      </c>
    </row>
    <row r="865">
      <c r="A865" s="43" t="inlineStr">
        <is>
          <t>CTANJZ05108</t>
        </is>
      </c>
      <c r="B865" s="43" t="inlineStr">
        <is>
          <t>D609649</t>
        </is>
      </c>
      <c r="C865" s="43" t="inlineStr">
        <is>
          <t>035-CVEBU</t>
        </is>
      </c>
      <c r="D865" s="43" t="inlineStr">
        <is>
          <t>FJZP</t>
        </is>
      </c>
      <c r="E865" s="43" t="inlineStr">
        <is>
          <t>MCGA</t>
        </is>
      </c>
      <c r="F865" s="43" t="inlineStr">
        <is>
          <t>68-104854-01</t>
        </is>
      </c>
      <c r="G865" s="43" t="inlineStr">
        <is>
          <t>OTHER_SCOPE_ITEM</t>
        </is>
      </c>
      <c r="H865" s="43" t="inlineStr"/>
      <c r="I865" s="43" t="inlineStr">
        <is>
          <t>Expired</t>
        </is>
      </c>
      <c r="J865" s="32" t="n">
        <v>46160</v>
      </c>
      <c r="K865" s="32" t="n">
        <v>46084</v>
      </c>
      <c r="L865" s="43" t="inlineStr">
        <is>
          <t>506</t>
        </is>
      </c>
      <c r="M865" s="43" t="n">
        <v>1</v>
      </c>
      <c r="N865" s="33" t="inlineStr"/>
      <c r="O865" s="43" t="inlineStr">
        <is>
          <t>UNVERIFIED</t>
        </is>
      </c>
      <c r="P865" s="43" t="inlineStr">
        <is>
          <t>Pending Review</t>
        </is>
      </c>
      <c r="Q865" s="33" t="inlineStr">
        <is>
          <t>Confirmar SKU/PCBA revision, PN exacto en Common DB, WO, BU, vigencia, planta y aprobacion firmada.</t>
        </is>
      </c>
    </row>
    <row r="866">
      <c r="A866" s="43" t="inlineStr">
        <is>
          <t>CTANJZ05108</t>
        </is>
      </c>
      <c r="B866" s="43" t="inlineStr">
        <is>
          <t>D609649</t>
        </is>
      </c>
      <c r="C866" s="43" t="inlineStr">
        <is>
          <t>035-CVEBU</t>
        </is>
      </c>
      <c r="D866" s="43" t="inlineStr">
        <is>
          <t>FJZP</t>
        </is>
      </c>
      <c r="E866" s="43" t="inlineStr">
        <is>
          <t>MCGA</t>
        </is>
      </c>
      <c r="F866" s="43" t="inlineStr">
        <is>
          <t>73-103698-06</t>
        </is>
      </c>
      <c r="G866" s="43" t="inlineStr">
        <is>
          <t>BOARD_PN_CANDIDATE</t>
        </is>
      </c>
      <c r="H866" s="43" t="inlineStr"/>
      <c r="I866" s="43" t="inlineStr">
        <is>
          <t>Expired</t>
        </is>
      </c>
      <c r="J866" s="32" t="n">
        <v>46160</v>
      </c>
      <c r="K866" s="32" t="n">
        <v>46084</v>
      </c>
      <c r="L866" s="43" t="inlineStr">
        <is>
          <t>507</t>
        </is>
      </c>
      <c r="M866" s="43" t="n">
        <v>1</v>
      </c>
      <c r="N866" s="33" t="inlineStr"/>
      <c r="O866" s="43" t="inlineStr">
        <is>
          <t>UNVERIFIED</t>
        </is>
      </c>
      <c r="P866" s="43" t="inlineStr">
        <is>
          <t>Pending Review</t>
        </is>
      </c>
      <c r="Q866" s="33" t="inlineStr">
        <is>
          <t>Confirmar SKU/PCBA revision, PN exacto en Common DB, WO, BU, vigencia, planta y aprobacion firmada.</t>
        </is>
      </c>
    </row>
    <row r="867">
      <c r="A867" s="43" t="inlineStr">
        <is>
          <t>CTANJZ05108</t>
        </is>
      </c>
      <c r="B867" s="43" t="inlineStr">
        <is>
          <t>D609649</t>
        </is>
      </c>
      <c r="C867" s="43" t="inlineStr">
        <is>
          <t>035-CVEBU</t>
        </is>
      </c>
      <c r="D867" s="43" t="inlineStr">
        <is>
          <t>FJZP</t>
        </is>
      </c>
      <c r="E867" s="43" t="inlineStr">
        <is>
          <t>MCGA</t>
        </is>
      </c>
      <c r="F867" s="43" t="inlineStr">
        <is>
          <t>73-103940-06</t>
        </is>
      </c>
      <c r="G867" s="43" t="inlineStr">
        <is>
          <t>BOARD_PN_CANDIDATE</t>
        </is>
      </c>
      <c r="H867" s="43" t="inlineStr"/>
      <c r="I867" s="43" t="inlineStr">
        <is>
          <t>Expired</t>
        </is>
      </c>
      <c r="J867" s="32" t="n">
        <v>46160</v>
      </c>
      <c r="K867" s="32" t="n">
        <v>46084</v>
      </c>
      <c r="L867" s="43" t="inlineStr">
        <is>
          <t>508</t>
        </is>
      </c>
      <c r="M867" s="43" t="n">
        <v>1</v>
      </c>
      <c r="N867" s="33" t="inlineStr"/>
      <c r="O867" s="43" t="inlineStr">
        <is>
          <t>UNVERIFIED</t>
        </is>
      </c>
      <c r="P867" s="43" t="inlineStr">
        <is>
          <t>Pending Review</t>
        </is>
      </c>
      <c r="Q867" s="33" t="inlineStr">
        <is>
          <t>Confirmar SKU/PCBA revision, PN exacto en Common DB, WO, BU, vigencia, planta y aprobacion firmada.</t>
        </is>
      </c>
    </row>
    <row r="868">
      <c r="A868" s="43" t="inlineStr">
        <is>
          <t>CTANJZ05108</t>
        </is>
      </c>
      <c r="B868" s="43" t="inlineStr">
        <is>
          <t>D609649</t>
        </is>
      </c>
      <c r="C868" s="43" t="inlineStr">
        <is>
          <t>035-CVEBU</t>
        </is>
      </c>
      <c r="D868" s="43" t="inlineStr">
        <is>
          <t>FJZP</t>
        </is>
      </c>
      <c r="E868" s="43" t="inlineStr">
        <is>
          <t>MCGA</t>
        </is>
      </c>
      <c r="F868" s="43" t="inlineStr">
        <is>
          <t>800-113105-01</t>
        </is>
      </c>
      <c r="G868" s="43" t="inlineStr">
        <is>
          <t>OTHER_SCOPE_ITEM</t>
        </is>
      </c>
      <c r="H868" s="43" t="inlineStr"/>
      <c r="I868" s="43" t="inlineStr">
        <is>
          <t>Expired</t>
        </is>
      </c>
      <c r="J868" s="32" t="n">
        <v>46160</v>
      </c>
      <c r="K868" s="32" t="n">
        <v>46084</v>
      </c>
      <c r="L868" s="43" t="inlineStr">
        <is>
          <t>509</t>
        </is>
      </c>
      <c r="M868" s="43" t="n">
        <v>1</v>
      </c>
      <c r="N868" s="33" t="inlineStr"/>
      <c r="O868" s="43" t="inlineStr">
        <is>
          <t>UNVERIFIED</t>
        </is>
      </c>
      <c r="P868" s="43" t="inlineStr">
        <is>
          <t>Pending Review</t>
        </is>
      </c>
      <c r="Q868" s="33" t="inlineStr">
        <is>
          <t>Confirmar SKU/PCBA revision, PN exacto en Common DB, WO, BU, vigencia, planta y aprobacion firmada.</t>
        </is>
      </c>
    </row>
    <row r="869">
      <c r="A869" s="43" t="inlineStr">
        <is>
          <t>CTANJZ05108</t>
        </is>
      </c>
      <c r="B869" s="43" t="inlineStr">
        <is>
          <t>D609649</t>
        </is>
      </c>
      <c r="C869" s="43" t="inlineStr">
        <is>
          <t>035-CVEBU</t>
        </is>
      </c>
      <c r="D869" s="43" t="inlineStr">
        <is>
          <t>FJZP</t>
        </is>
      </c>
      <c r="E869" s="43" t="inlineStr">
        <is>
          <t>MCGA</t>
        </is>
      </c>
      <c r="F869" s="43" t="inlineStr">
        <is>
          <t>800-113255-01</t>
        </is>
      </c>
      <c r="G869" s="43" t="inlineStr">
        <is>
          <t>OTHER_SCOPE_ITEM</t>
        </is>
      </c>
      <c r="H869" s="43" t="inlineStr"/>
      <c r="I869" s="43" t="inlineStr">
        <is>
          <t>Expired</t>
        </is>
      </c>
      <c r="J869" s="32" t="n">
        <v>46160</v>
      </c>
      <c r="K869" s="32" t="n">
        <v>46084</v>
      </c>
      <c r="L869" s="43" t="inlineStr">
        <is>
          <t>537</t>
        </is>
      </c>
      <c r="M869" s="43" t="n">
        <v>1</v>
      </c>
      <c r="N869" s="33" t="inlineStr"/>
      <c r="O869" s="43" t="inlineStr">
        <is>
          <t>UNVERIFIED</t>
        </is>
      </c>
      <c r="P869" s="43" t="inlineStr">
        <is>
          <t>Pending Review</t>
        </is>
      </c>
      <c r="Q869" s="33" t="inlineStr">
        <is>
          <t>Confirmar SKU/PCBA revision, PN exacto en Common DB, WO, BU, vigencia, planta y aprobacion firmada.</t>
        </is>
      </c>
    </row>
    <row r="870">
      <c r="A870" s="43" t="inlineStr">
        <is>
          <t>CTANJZ05110</t>
        </is>
      </c>
      <c r="B870" s="43" t="inlineStr">
        <is>
          <t>D609549</t>
        </is>
      </c>
      <c r="C870" s="43" t="inlineStr">
        <is>
          <t>037-STBU</t>
        </is>
      </c>
      <c r="D870" s="43" t="inlineStr">
        <is>
          <t>FJZP</t>
        </is>
      </c>
      <c r="E870" s="43" t="inlineStr">
        <is>
          <t>MCGA</t>
        </is>
      </c>
      <c r="F870" s="43" t="inlineStr">
        <is>
          <t>74-139970-01</t>
        </is>
      </c>
      <c r="G870" s="43" t="inlineStr">
        <is>
          <t>OTHER_SCOPE_ITEM</t>
        </is>
      </c>
      <c r="H870" s="43" t="inlineStr"/>
      <c r="I870" s="43" t="inlineStr">
        <is>
          <t>Expired</t>
        </is>
      </c>
      <c r="J870" s="32" t="n">
        <v>46157</v>
      </c>
      <c r="K870" s="32" t="n">
        <v>46092</v>
      </c>
      <c r="L870" s="43" t="inlineStr">
        <is>
          <t>997</t>
        </is>
      </c>
      <c r="M870" s="43" t="n">
        <v>1</v>
      </c>
      <c r="N870" s="33" t="inlineStr"/>
      <c r="O870" s="43" t="inlineStr">
        <is>
          <t>UNVERIFIED</t>
        </is>
      </c>
      <c r="P870" s="43" t="inlineStr">
        <is>
          <t>Pending Review</t>
        </is>
      </c>
      <c r="Q870" s="33" t="inlineStr">
        <is>
          <t>Confirmar SKU/PCBA revision, PN exacto en Common DB, WO, BU, vigencia, planta y aprobacion firmada.</t>
        </is>
      </c>
    </row>
    <row r="871">
      <c r="A871" s="43" t="inlineStr">
        <is>
          <t>CTANJZ05110</t>
        </is>
      </c>
      <c r="B871" s="43" t="inlineStr">
        <is>
          <t>D609549</t>
        </is>
      </c>
      <c r="C871" s="43" t="inlineStr">
        <is>
          <t>037-STBU</t>
        </is>
      </c>
      <c r="D871" s="43" t="inlineStr">
        <is>
          <t>FJZP</t>
        </is>
      </c>
      <c r="E871" s="43" t="inlineStr">
        <is>
          <t>MCGA</t>
        </is>
      </c>
      <c r="F871" s="43" t="inlineStr">
        <is>
          <t>74-139971-01</t>
        </is>
      </c>
      <c r="G871" s="43" t="inlineStr">
        <is>
          <t>OTHER_SCOPE_ITEM</t>
        </is>
      </c>
      <c r="H871" s="43" t="inlineStr"/>
      <c r="I871" s="43" t="inlineStr">
        <is>
          <t>Expired</t>
        </is>
      </c>
      <c r="J871" s="32" t="n">
        <v>46157</v>
      </c>
      <c r="K871" s="32" t="n">
        <v>46092</v>
      </c>
      <c r="L871" s="43" t="inlineStr">
        <is>
          <t>998</t>
        </is>
      </c>
      <c r="M871" s="43" t="n">
        <v>1</v>
      </c>
      <c r="N871" s="33" t="inlineStr"/>
      <c r="O871" s="43" t="inlineStr">
        <is>
          <t>UNVERIFIED</t>
        </is>
      </c>
      <c r="P871" s="43" t="inlineStr">
        <is>
          <t>Pending Review</t>
        </is>
      </c>
      <c r="Q871" s="33" t="inlineStr">
        <is>
          <t>Confirmar SKU/PCBA revision, PN exacto en Common DB, WO, BU, vigencia, planta y aprobacion firmada.</t>
        </is>
      </c>
    </row>
    <row r="872">
      <c r="A872" s="43" t="inlineStr">
        <is>
          <t>CTANJZ05110</t>
        </is>
      </c>
      <c r="B872" s="43" t="inlineStr">
        <is>
          <t>D609549</t>
        </is>
      </c>
      <c r="C872" s="43" t="inlineStr">
        <is>
          <t>037-STBU</t>
        </is>
      </c>
      <c r="D872" s="43" t="inlineStr">
        <is>
          <t>FJZP</t>
        </is>
      </c>
      <c r="E872" s="43" t="inlineStr">
        <is>
          <t>MCGA</t>
        </is>
      </c>
      <c r="F872" s="43" t="inlineStr">
        <is>
          <t>74-139972-01</t>
        </is>
      </c>
      <c r="G872" s="43" t="inlineStr">
        <is>
          <t>OTHER_SCOPE_ITEM</t>
        </is>
      </c>
      <c r="H872" s="43" t="inlineStr"/>
      <c r="I872" s="43" t="inlineStr">
        <is>
          <t>Expired</t>
        </is>
      </c>
      <c r="J872" s="32" t="n">
        <v>46157</v>
      </c>
      <c r="K872" s="32" t="n">
        <v>46092</v>
      </c>
      <c r="L872" s="43" t="inlineStr">
        <is>
          <t>999</t>
        </is>
      </c>
      <c r="M872" s="43" t="n">
        <v>1</v>
      </c>
      <c r="N872" s="33" t="inlineStr"/>
      <c r="O872" s="43" t="inlineStr">
        <is>
          <t>UNVERIFIED</t>
        </is>
      </c>
      <c r="P872" s="43" t="inlineStr">
        <is>
          <t>Pending Review</t>
        </is>
      </c>
      <c r="Q872" s="33" t="inlineStr">
        <is>
          <t>Confirmar SKU/PCBA revision, PN exacto en Common DB, WO, BU, vigencia, planta y aprobacion firmada.</t>
        </is>
      </c>
    </row>
    <row r="873">
      <c r="A873" s="43" t="inlineStr">
        <is>
          <t>CTANJZ05110</t>
        </is>
      </c>
      <c r="B873" s="43" t="inlineStr">
        <is>
          <t>D609549</t>
        </is>
      </c>
      <c r="C873" s="43" t="inlineStr">
        <is>
          <t>037-STBU</t>
        </is>
      </c>
      <c r="D873" s="43" t="inlineStr">
        <is>
          <t>FJZP</t>
        </is>
      </c>
      <c r="E873" s="43" t="inlineStr">
        <is>
          <t>MCGA</t>
        </is>
      </c>
      <c r="F873" s="43" t="inlineStr">
        <is>
          <t>74-139979-01</t>
        </is>
      </c>
      <c r="G873" s="43" t="inlineStr">
        <is>
          <t>OTHER_SCOPE_ITEM</t>
        </is>
      </c>
      <c r="H873" s="43" t="inlineStr"/>
      <c r="I873" s="43" t="inlineStr">
        <is>
          <t>Expired</t>
        </is>
      </c>
      <c r="J873" s="32" t="n">
        <v>46157</v>
      </c>
      <c r="K873" s="32" t="n">
        <v>46092</v>
      </c>
      <c r="L873" s="43" t="inlineStr">
        <is>
          <t>1000</t>
        </is>
      </c>
      <c r="M873" s="43" t="n">
        <v>1</v>
      </c>
      <c r="N873" s="33" t="inlineStr"/>
      <c r="O873" s="43" t="inlineStr">
        <is>
          <t>UNVERIFIED</t>
        </is>
      </c>
      <c r="P873" s="43" t="inlineStr">
        <is>
          <t>Pending Review</t>
        </is>
      </c>
      <c r="Q873" s="33" t="inlineStr">
        <is>
          <t>Confirmar SKU/PCBA revision, PN exacto en Common DB, WO, BU, vigencia, planta y aprobacion firmada.</t>
        </is>
      </c>
    </row>
    <row r="874">
      <c r="A874" s="43" t="inlineStr">
        <is>
          <t>CTANJZ05110</t>
        </is>
      </c>
      <c r="B874" s="43" t="inlineStr">
        <is>
          <t>D609549</t>
        </is>
      </c>
      <c r="C874" s="43" t="inlineStr">
        <is>
          <t>037-STBU</t>
        </is>
      </c>
      <c r="D874" s="43" t="inlineStr">
        <is>
          <t>FJZP</t>
        </is>
      </c>
      <c r="E874" s="43" t="inlineStr">
        <is>
          <t>MCGA</t>
        </is>
      </c>
      <c r="F874" s="43" t="inlineStr">
        <is>
          <t>74-139980-01</t>
        </is>
      </c>
      <c r="G874" s="43" t="inlineStr">
        <is>
          <t>OTHER_SCOPE_ITEM</t>
        </is>
      </c>
      <c r="H874" s="43" t="inlineStr"/>
      <c r="I874" s="43" t="inlineStr">
        <is>
          <t>Expired</t>
        </is>
      </c>
      <c r="J874" s="32" t="n">
        <v>46157</v>
      </c>
      <c r="K874" s="32" t="n">
        <v>46092</v>
      </c>
      <c r="L874" s="43" t="inlineStr">
        <is>
          <t>1001</t>
        </is>
      </c>
      <c r="M874" s="43" t="n">
        <v>1</v>
      </c>
      <c r="N874" s="33" t="inlineStr"/>
      <c r="O874" s="43" t="inlineStr">
        <is>
          <t>UNVERIFIED</t>
        </is>
      </c>
      <c r="P874" s="43" t="inlineStr">
        <is>
          <t>Pending Review</t>
        </is>
      </c>
      <c r="Q874" s="33" t="inlineStr">
        <is>
          <t>Confirmar SKU/PCBA revision, PN exacto en Common DB, WO, BU, vigencia, planta y aprobacion firmada.</t>
        </is>
      </c>
    </row>
    <row r="875">
      <c r="A875" s="43" t="inlineStr">
        <is>
          <t>CTANJZ05110</t>
        </is>
      </c>
      <c r="B875" s="43" t="inlineStr">
        <is>
          <t>D609549</t>
        </is>
      </c>
      <c r="C875" s="43" t="inlineStr">
        <is>
          <t>037-STBU</t>
        </is>
      </c>
      <c r="D875" s="43" t="inlineStr">
        <is>
          <t>FJZP</t>
        </is>
      </c>
      <c r="E875" s="43" t="inlineStr">
        <is>
          <t>MCGA</t>
        </is>
      </c>
      <c r="F875" s="43" t="inlineStr">
        <is>
          <t>74-139981-01</t>
        </is>
      </c>
      <c r="G875" s="43" t="inlineStr">
        <is>
          <t>OTHER_SCOPE_ITEM</t>
        </is>
      </c>
      <c r="H875" s="43" t="inlineStr"/>
      <c r="I875" s="43" t="inlineStr">
        <is>
          <t>Expired</t>
        </is>
      </c>
      <c r="J875" s="32" t="n">
        <v>46157</v>
      </c>
      <c r="K875" s="32" t="n">
        <v>46092</v>
      </c>
      <c r="L875" s="43" t="inlineStr">
        <is>
          <t>1002</t>
        </is>
      </c>
      <c r="M875" s="43" t="n">
        <v>1</v>
      </c>
      <c r="N875" s="33" t="inlineStr"/>
      <c r="O875" s="43" t="inlineStr">
        <is>
          <t>UNVERIFIED</t>
        </is>
      </c>
      <c r="P875" s="43" t="inlineStr">
        <is>
          <t>Pending Review</t>
        </is>
      </c>
      <c r="Q875" s="33" t="inlineStr">
        <is>
          <t>Confirmar SKU/PCBA revision, PN exacto en Common DB, WO, BU, vigencia, planta y aprobacion firmada.</t>
        </is>
      </c>
    </row>
    <row r="876">
      <c r="A876" s="43" t="inlineStr">
        <is>
          <t>CTANJZ05114</t>
        </is>
      </c>
      <c r="B876" s="43" t="inlineStr">
        <is>
          <t>D609653</t>
        </is>
      </c>
      <c r="C876" s="43" t="inlineStr">
        <is>
          <t>035-CVEBU</t>
        </is>
      </c>
      <c r="D876" s="43" t="inlineStr">
        <is>
          <t>FJZP</t>
        </is>
      </c>
      <c r="E876" s="43" t="inlineStr">
        <is>
          <t>MCGA</t>
        </is>
      </c>
      <c r="F876" s="43" t="inlineStr">
        <is>
          <t>15-110893-01</t>
        </is>
      </c>
      <c r="G876" s="43" t="inlineStr">
        <is>
          <t>OTHER_SCOPE_ITEM</t>
        </is>
      </c>
      <c r="H876" s="43" t="inlineStr"/>
      <c r="I876" s="43" t="inlineStr">
        <is>
          <t>Expired</t>
        </is>
      </c>
      <c r="J876" s="32" t="n">
        <v>46161</v>
      </c>
      <c r="K876" s="32" t="n">
        <v>46084</v>
      </c>
      <c r="L876" s="43" t="inlineStr">
        <is>
          <t>487</t>
        </is>
      </c>
      <c r="M876" s="43" t="n">
        <v>1</v>
      </c>
      <c r="N876" s="33" t="inlineStr"/>
      <c r="O876" s="43" t="inlineStr">
        <is>
          <t>UNVERIFIED</t>
        </is>
      </c>
      <c r="P876" s="43" t="inlineStr">
        <is>
          <t>Pending Review</t>
        </is>
      </c>
      <c r="Q876" s="33" t="inlineStr">
        <is>
          <t>Confirmar SKU/PCBA revision, PN exacto en Common DB, WO, BU, vigencia, planta y aprobacion firmada.</t>
        </is>
      </c>
    </row>
    <row r="877">
      <c r="A877" s="43" t="inlineStr">
        <is>
          <t>CTANJZ05114</t>
        </is>
      </c>
      <c r="B877" s="43" t="inlineStr">
        <is>
          <t>D609653</t>
        </is>
      </c>
      <c r="C877" s="43" t="inlineStr">
        <is>
          <t>035-CVEBU</t>
        </is>
      </c>
      <c r="D877" s="43" t="inlineStr">
        <is>
          <t>FJZP</t>
        </is>
      </c>
      <c r="E877" s="43" t="inlineStr">
        <is>
          <t>MCGA</t>
        </is>
      </c>
      <c r="F877" s="43" t="inlineStr">
        <is>
          <t>68-104853-01</t>
        </is>
      </c>
      <c r="G877" s="43" t="inlineStr">
        <is>
          <t>OTHER_SCOPE_ITEM</t>
        </is>
      </c>
      <c r="H877" s="43" t="inlineStr"/>
      <c r="I877" s="43" t="inlineStr">
        <is>
          <t>Expired</t>
        </is>
      </c>
      <c r="J877" s="32" t="n">
        <v>46161</v>
      </c>
      <c r="K877" s="32" t="n">
        <v>46084</v>
      </c>
      <c r="L877" s="43" t="inlineStr">
        <is>
          <t>488</t>
        </is>
      </c>
      <c r="M877" s="43" t="n">
        <v>1</v>
      </c>
      <c r="N877" s="33" t="inlineStr"/>
      <c r="O877" s="43" t="inlineStr">
        <is>
          <t>UNVERIFIED</t>
        </is>
      </c>
      <c r="P877" s="43" t="inlineStr">
        <is>
          <t>Pending Review</t>
        </is>
      </c>
      <c r="Q877" s="33" t="inlineStr">
        <is>
          <t>Confirmar SKU/PCBA revision, PN exacto en Common DB, WO, BU, vigencia, planta y aprobacion firmada.</t>
        </is>
      </c>
    </row>
    <row r="878">
      <c r="A878" s="43" t="inlineStr">
        <is>
          <t>CTANJZ05114</t>
        </is>
      </c>
      <c r="B878" s="43" t="inlineStr">
        <is>
          <t>D609653</t>
        </is>
      </c>
      <c r="C878" s="43" t="inlineStr">
        <is>
          <t>035-CVEBU</t>
        </is>
      </c>
      <c r="D878" s="43" t="inlineStr">
        <is>
          <t>FJZP</t>
        </is>
      </c>
      <c r="E878" s="43" t="inlineStr">
        <is>
          <t>MCGA</t>
        </is>
      </c>
      <c r="F878" s="43" t="inlineStr">
        <is>
          <t>68-104854-01</t>
        </is>
      </c>
      <c r="G878" s="43" t="inlineStr">
        <is>
          <t>OTHER_SCOPE_ITEM</t>
        </is>
      </c>
      <c r="H878" s="43" t="inlineStr"/>
      <c r="I878" s="43" t="inlineStr">
        <is>
          <t>Expired</t>
        </is>
      </c>
      <c r="J878" s="32" t="n">
        <v>46161</v>
      </c>
      <c r="K878" s="32" t="n">
        <v>46084</v>
      </c>
      <c r="L878" s="43" t="inlineStr">
        <is>
          <t>489</t>
        </is>
      </c>
      <c r="M878" s="43" t="n">
        <v>1</v>
      </c>
      <c r="N878" s="33" t="inlineStr"/>
      <c r="O878" s="43" t="inlineStr">
        <is>
          <t>UNVERIFIED</t>
        </is>
      </c>
      <c r="P878" s="43" t="inlineStr">
        <is>
          <t>Pending Review</t>
        </is>
      </c>
      <c r="Q878" s="33" t="inlineStr">
        <is>
          <t>Confirmar SKU/PCBA revision, PN exacto en Common DB, WO, BU, vigencia, planta y aprobacion firmada.</t>
        </is>
      </c>
    </row>
    <row r="879">
      <c r="A879" s="43" t="inlineStr">
        <is>
          <t>CTANJZ05114</t>
        </is>
      </c>
      <c r="B879" s="43" t="inlineStr">
        <is>
          <t>D609653</t>
        </is>
      </c>
      <c r="C879" s="43" t="inlineStr">
        <is>
          <t>035-CVEBU</t>
        </is>
      </c>
      <c r="D879" s="43" t="inlineStr">
        <is>
          <t>FJZP</t>
        </is>
      </c>
      <c r="E879" s="43" t="inlineStr">
        <is>
          <t>MCGA</t>
        </is>
      </c>
      <c r="F879" s="43" t="inlineStr">
        <is>
          <t>73-103698-06</t>
        </is>
      </c>
      <c r="G879" s="43" t="inlineStr">
        <is>
          <t>BOARD_PN_CANDIDATE</t>
        </is>
      </c>
      <c r="H879" s="43" t="inlineStr"/>
      <c r="I879" s="43" t="inlineStr">
        <is>
          <t>Expired</t>
        </is>
      </c>
      <c r="J879" s="32" t="n">
        <v>46161</v>
      </c>
      <c r="K879" s="32" t="n">
        <v>46084</v>
      </c>
      <c r="L879" s="43" t="inlineStr">
        <is>
          <t>490</t>
        </is>
      </c>
      <c r="M879" s="43" t="n">
        <v>1</v>
      </c>
      <c r="N879" s="33" t="inlineStr"/>
      <c r="O879" s="43" t="inlineStr">
        <is>
          <t>UNVERIFIED</t>
        </is>
      </c>
      <c r="P879" s="43" t="inlineStr">
        <is>
          <t>Pending Review</t>
        </is>
      </c>
      <c r="Q879" s="33" t="inlineStr">
        <is>
          <t>Confirmar SKU/PCBA revision, PN exacto en Common DB, WO, BU, vigencia, planta y aprobacion firmada.</t>
        </is>
      </c>
    </row>
    <row r="880">
      <c r="A880" s="43" t="inlineStr">
        <is>
          <t>CTANJZ05114</t>
        </is>
      </c>
      <c r="B880" s="43" t="inlineStr">
        <is>
          <t>D609653</t>
        </is>
      </c>
      <c r="C880" s="43" t="inlineStr">
        <is>
          <t>035-CVEBU</t>
        </is>
      </c>
      <c r="D880" s="43" t="inlineStr">
        <is>
          <t>FJZP</t>
        </is>
      </c>
      <c r="E880" s="43" t="inlineStr">
        <is>
          <t>MCGA</t>
        </is>
      </c>
      <c r="F880" s="43" t="inlineStr">
        <is>
          <t>73-103940-06</t>
        </is>
      </c>
      <c r="G880" s="43" t="inlineStr">
        <is>
          <t>BOARD_PN_CANDIDATE</t>
        </is>
      </c>
      <c r="H880" s="43" t="inlineStr"/>
      <c r="I880" s="43" t="inlineStr">
        <is>
          <t>Expired</t>
        </is>
      </c>
      <c r="J880" s="32" t="n">
        <v>46161</v>
      </c>
      <c r="K880" s="32" t="n">
        <v>46084</v>
      </c>
      <c r="L880" s="43" t="inlineStr">
        <is>
          <t>491</t>
        </is>
      </c>
      <c r="M880" s="43" t="n">
        <v>1</v>
      </c>
      <c r="N880" s="33" t="inlineStr"/>
      <c r="O880" s="43" t="inlineStr">
        <is>
          <t>UNVERIFIED</t>
        </is>
      </c>
      <c r="P880" s="43" t="inlineStr">
        <is>
          <t>Pending Review</t>
        </is>
      </c>
      <c r="Q880" s="33" t="inlineStr">
        <is>
          <t>Confirmar SKU/PCBA revision, PN exacto en Common DB, WO, BU, vigencia, planta y aprobacion firmada.</t>
        </is>
      </c>
    </row>
    <row r="881">
      <c r="A881" s="43" t="inlineStr">
        <is>
          <t>CTANJZ05114</t>
        </is>
      </c>
      <c r="B881" s="43" t="inlineStr">
        <is>
          <t>D609653</t>
        </is>
      </c>
      <c r="C881" s="43" t="inlineStr">
        <is>
          <t>035-CVEBU</t>
        </is>
      </c>
      <c r="D881" s="43" t="inlineStr">
        <is>
          <t>FJZP</t>
        </is>
      </c>
      <c r="E881" s="43" t="inlineStr">
        <is>
          <t>MCGA</t>
        </is>
      </c>
      <c r="F881" s="43" t="inlineStr">
        <is>
          <t>800-113105-01</t>
        </is>
      </c>
      <c r="G881" s="43" t="inlineStr">
        <is>
          <t>OTHER_SCOPE_ITEM</t>
        </is>
      </c>
      <c r="H881" s="43" t="inlineStr"/>
      <c r="I881" s="43" t="inlineStr">
        <is>
          <t>Expired</t>
        </is>
      </c>
      <c r="J881" s="32" t="n">
        <v>46161</v>
      </c>
      <c r="K881" s="32" t="n">
        <v>46084</v>
      </c>
      <c r="L881" s="43" t="inlineStr">
        <is>
          <t>586</t>
        </is>
      </c>
      <c r="M881" s="43" t="n">
        <v>1</v>
      </c>
      <c r="N881" s="33" t="inlineStr"/>
      <c r="O881" s="43" t="inlineStr">
        <is>
          <t>UNVERIFIED</t>
        </is>
      </c>
      <c r="P881" s="43" t="inlineStr">
        <is>
          <t>Pending Review</t>
        </is>
      </c>
      <c r="Q881" s="33" t="inlineStr">
        <is>
          <t>Confirmar SKU/PCBA revision, PN exacto en Common DB, WO, BU, vigencia, planta y aprobacion firmada.</t>
        </is>
      </c>
    </row>
    <row r="882">
      <c r="A882" s="43" t="inlineStr">
        <is>
          <t>CTANJZ05114</t>
        </is>
      </c>
      <c r="B882" s="43" t="inlineStr">
        <is>
          <t>D609653</t>
        </is>
      </c>
      <c r="C882" s="43" t="inlineStr">
        <is>
          <t>035-CVEBU</t>
        </is>
      </c>
      <c r="D882" s="43" t="inlineStr">
        <is>
          <t>FJZP</t>
        </is>
      </c>
      <c r="E882" s="43" t="inlineStr">
        <is>
          <t>MCGA</t>
        </is>
      </c>
      <c r="F882" s="43" t="inlineStr">
        <is>
          <t>800-113255-01</t>
        </is>
      </c>
      <c r="G882" s="43" t="inlineStr">
        <is>
          <t>OTHER_SCOPE_ITEM</t>
        </is>
      </c>
      <c r="H882" s="43" t="inlineStr"/>
      <c r="I882" s="43" t="inlineStr">
        <is>
          <t>Expired</t>
        </is>
      </c>
      <c r="J882" s="32" t="n">
        <v>46161</v>
      </c>
      <c r="K882" s="32" t="n">
        <v>46084</v>
      </c>
      <c r="L882" s="43" t="inlineStr">
        <is>
          <t>587</t>
        </is>
      </c>
      <c r="M882" s="43" t="n">
        <v>1</v>
      </c>
      <c r="N882" s="33" t="inlineStr"/>
      <c r="O882" s="43" t="inlineStr">
        <is>
          <t>UNVERIFIED</t>
        </is>
      </c>
      <c r="P882" s="43" t="inlineStr">
        <is>
          <t>Pending Review</t>
        </is>
      </c>
      <c r="Q882" s="33" t="inlineStr">
        <is>
          <t>Confirmar SKU/PCBA revision, PN exacto en Common DB, WO, BU, vigencia, planta y aprobacion firmada.</t>
        </is>
      </c>
    </row>
    <row r="883">
      <c r="A883" s="43" t="inlineStr">
        <is>
          <t>CTANJZ05129</t>
        </is>
      </c>
      <c r="B883" s="43" t="inlineStr">
        <is>
          <t>D609917</t>
        </is>
      </c>
      <c r="C883" s="43" t="inlineStr">
        <is>
          <t>034-IOTBU</t>
        </is>
      </c>
      <c r="D883" s="43" t="inlineStr">
        <is>
          <t>FJZP</t>
        </is>
      </c>
      <c r="E883" s="43" t="inlineStr">
        <is>
          <t>MCGA</t>
        </is>
      </c>
      <c r="F883" s="43" t="inlineStr">
        <is>
          <t>16-101333-01</t>
        </is>
      </c>
      <c r="G883" s="43" t="inlineStr">
        <is>
          <t>OTHER_SCOPE_ITEM</t>
        </is>
      </c>
      <c r="H883" s="43" t="inlineStr"/>
      <c r="I883" s="43" t="inlineStr">
        <is>
          <t>Expired</t>
        </is>
      </c>
      <c r="J883" s="32" t="n">
        <v>46175</v>
      </c>
      <c r="K883" s="32" t="n">
        <v>46092</v>
      </c>
      <c r="L883" s="43" t="inlineStr">
        <is>
          <t>1138</t>
        </is>
      </c>
      <c r="M883" s="43" t="n">
        <v>1</v>
      </c>
      <c r="N883" s="33" t="inlineStr"/>
      <c r="O883" s="43" t="inlineStr">
        <is>
          <t>UNVERIFIED</t>
        </is>
      </c>
      <c r="P883" s="43" t="inlineStr">
        <is>
          <t>Pending Review</t>
        </is>
      </c>
      <c r="Q883" s="33" t="inlineStr">
        <is>
          <t>Confirmar SKU/PCBA revision, PN exacto en Common DB, WO, BU, vigencia, planta y aprobacion firmada.</t>
        </is>
      </c>
    </row>
    <row r="884">
      <c r="A884" s="43" t="inlineStr">
        <is>
          <t>CTANJZ05129</t>
        </is>
      </c>
      <c r="B884" s="43" t="inlineStr">
        <is>
          <t>D609917</t>
        </is>
      </c>
      <c r="C884" s="43" t="inlineStr">
        <is>
          <t>034-IOTBU</t>
        </is>
      </c>
      <c r="D884" s="43" t="inlineStr">
        <is>
          <t>FJZP</t>
        </is>
      </c>
      <c r="E884" s="43" t="inlineStr">
        <is>
          <t>MCGA</t>
        </is>
      </c>
      <c r="F884" s="43" t="inlineStr">
        <is>
          <t>16-101387-01</t>
        </is>
      </c>
      <c r="G884" s="43" t="inlineStr">
        <is>
          <t>OTHER_SCOPE_ITEM</t>
        </is>
      </c>
      <c r="H884" s="43" t="inlineStr"/>
      <c r="I884" s="43" t="inlineStr">
        <is>
          <t>Expired</t>
        </is>
      </c>
      <c r="J884" s="32" t="n">
        <v>46175</v>
      </c>
      <c r="K884" s="32" t="n">
        <v>46092</v>
      </c>
      <c r="L884" s="43" t="inlineStr">
        <is>
          <t>1139</t>
        </is>
      </c>
      <c r="M884" s="43" t="n">
        <v>1</v>
      </c>
      <c r="N884" s="33" t="inlineStr"/>
      <c r="O884" s="43" t="inlineStr">
        <is>
          <t>UNVERIFIED</t>
        </is>
      </c>
      <c r="P884" s="43" t="inlineStr">
        <is>
          <t>Pending Review</t>
        </is>
      </c>
      <c r="Q884" s="33" t="inlineStr">
        <is>
          <t>Confirmar SKU/PCBA revision, PN exacto en Common DB, WO, BU, vigencia, planta y aprobacion firmada.</t>
        </is>
      </c>
    </row>
    <row r="885">
      <c r="A885" s="43" t="inlineStr">
        <is>
          <t>CTANJZ05129</t>
        </is>
      </c>
      <c r="B885" s="43" t="inlineStr">
        <is>
          <t>D609917</t>
        </is>
      </c>
      <c r="C885" s="43" t="inlineStr">
        <is>
          <t>034-IOTBU</t>
        </is>
      </c>
      <c r="D885" s="43" t="inlineStr">
        <is>
          <t>FJZP</t>
        </is>
      </c>
      <c r="E885" s="43" t="inlineStr">
        <is>
          <t>MCGA</t>
        </is>
      </c>
      <c r="F885" s="43" t="inlineStr">
        <is>
          <t>16-101666-01</t>
        </is>
      </c>
      <c r="G885" s="43" t="inlineStr">
        <is>
          <t>OTHER_SCOPE_ITEM</t>
        </is>
      </c>
      <c r="H885" s="43" t="inlineStr"/>
      <c r="I885" s="43" t="inlineStr">
        <is>
          <t>Expired</t>
        </is>
      </c>
      <c r="J885" s="32" t="n">
        <v>46175</v>
      </c>
      <c r="K885" s="32" t="n">
        <v>46092</v>
      </c>
      <c r="L885" s="43" t="inlineStr">
        <is>
          <t>1140</t>
        </is>
      </c>
      <c r="M885" s="43" t="n">
        <v>1</v>
      </c>
      <c r="N885" s="33" t="inlineStr"/>
      <c r="O885" s="43" t="inlineStr">
        <is>
          <t>UNVERIFIED</t>
        </is>
      </c>
      <c r="P885" s="43" t="inlineStr">
        <is>
          <t>Pending Review</t>
        </is>
      </c>
      <c r="Q885" s="33" t="inlineStr">
        <is>
          <t>Confirmar SKU/PCBA revision, PN exacto en Common DB, WO, BU, vigencia, planta y aprobacion firmada.</t>
        </is>
      </c>
    </row>
    <row r="886">
      <c r="A886" s="43" t="inlineStr">
        <is>
          <t>CTANJZ05129</t>
        </is>
      </c>
      <c r="B886" s="43" t="inlineStr">
        <is>
          <t>D609917</t>
        </is>
      </c>
      <c r="C886" s="43" t="inlineStr">
        <is>
          <t>034-IOTBU</t>
        </is>
      </c>
      <c r="D886" s="43" t="inlineStr">
        <is>
          <t>FJZP</t>
        </is>
      </c>
      <c r="E886" s="43" t="inlineStr">
        <is>
          <t>MCGA</t>
        </is>
      </c>
      <c r="F886" s="43" t="inlineStr">
        <is>
          <t>68-101690-01</t>
        </is>
      </c>
      <c r="G886" s="43" t="inlineStr">
        <is>
          <t>OTHER_SCOPE_ITEM</t>
        </is>
      </c>
      <c r="H886" s="43" t="inlineStr"/>
      <c r="I886" s="43" t="inlineStr">
        <is>
          <t>Expired</t>
        </is>
      </c>
      <c r="J886" s="32" t="n">
        <v>46175</v>
      </c>
      <c r="K886" s="32" t="n">
        <v>46092</v>
      </c>
      <c r="L886" s="43" t="inlineStr">
        <is>
          <t>1141</t>
        </is>
      </c>
      <c r="M886" s="43" t="n">
        <v>1</v>
      </c>
      <c r="N886" s="33" t="inlineStr"/>
      <c r="O886" s="43" t="inlineStr">
        <is>
          <t>UNVERIFIED</t>
        </is>
      </c>
      <c r="P886" s="43" t="inlineStr">
        <is>
          <t>Pending Review</t>
        </is>
      </c>
      <c r="Q886" s="33" t="inlineStr">
        <is>
          <t>Confirmar SKU/PCBA revision, PN exacto en Common DB, WO, BU, vigencia, planta y aprobacion firmada.</t>
        </is>
      </c>
    </row>
    <row r="887">
      <c r="A887" s="43" t="inlineStr">
        <is>
          <t>CTANJZ05129</t>
        </is>
      </c>
      <c r="B887" s="43" t="inlineStr">
        <is>
          <t>D609917</t>
        </is>
      </c>
      <c r="C887" s="43" t="inlineStr">
        <is>
          <t>034-IOTBU</t>
        </is>
      </c>
      <c r="D887" s="43" t="inlineStr">
        <is>
          <t>FJZP</t>
        </is>
      </c>
      <c r="E887" s="43" t="inlineStr">
        <is>
          <t>MCGA</t>
        </is>
      </c>
      <c r="F887" s="43" t="inlineStr">
        <is>
          <t>68-101828-01</t>
        </is>
      </c>
      <c r="G887" s="43" t="inlineStr">
        <is>
          <t>OTHER_SCOPE_ITEM</t>
        </is>
      </c>
      <c r="H887" s="43" t="inlineStr"/>
      <c r="I887" s="43" t="inlineStr">
        <is>
          <t>Expired</t>
        </is>
      </c>
      <c r="J887" s="32" t="n">
        <v>46175</v>
      </c>
      <c r="K887" s="32" t="n">
        <v>46092</v>
      </c>
      <c r="L887" s="43" t="inlineStr">
        <is>
          <t>1142</t>
        </is>
      </c>
      <c r="M887" s="43" t="n">
        <v>1</v>
      </c>
      <c r="N887" s="33" t="inlineStr"/>
      <c r="O887" s="43" t="inlineStr">
        <is>
          <t>UNVERIFIED</t>
        </is>
      </c>
      <c r="P887" s="43" t="inlineStr">
        <is>
          <t>Pending Review</t>
        </is>
      </c>
      <c r="Q887" s="33" t="inlineStr">
        <is>
          <t>Confirmar SKU/PCBA revision, PN exacto en Common DB, WO, BU, vigencia, planta y aprobacion firmada.</t>
        </is>
      </c>
    </row>
    <row r="888">
      <c r="A888" s="43" t="inlineStr">
        <is>
          <t>CTANJZ05129</t>
        </is>
      </c>
      <c r="B888" s="43" t="inlineStr">
        <is>
          <t>D609917</t>
        </is>
      </c>
      <c r="C888" s="43" t="inlineStr">
        <is>
          <t>034-IOTBU</t>
        </is>
      </c>
      <c r="D888" s="43" t="inlineStr">
        <is>
          <t>FJZP</t>
        </is>
      </c>
      <c r="E888" s="43" t="inlineStr">
        <is>
          <t>MCGA</t>
        </is>
      </c>
      <c r="F888" s="43" t="inlineStr">
        <is>
          <t>68-102729-01</t>
        </is>
      </c>
      <c r="G888" s="43" t="inlineStr">
        <is>
          <t>OTHER_SCOPE_ITEM</t>
        </is>
      </c>
      <c r="H888" s="43" t="inlineStr"/>
      <c r="I888" s="43" t="inlineStr">
        <is>
          <t>Expired</t>
        </is>
      </c>
      <c r="J888" s="32" t="n">
        <v>46175</v>
      </c>
      <c r="K888" s="32" t="n">
        <v>46092</v>
      </c>
      <c r="L888" s="43" t="inlineStr">
        <is>
          <t>1143</t>
        </is>
      </c>
      <c r="M888" s="43" t="n">
        <v>1</v>
      </c>
      <c r="N888" s="33" t="inlineStr"/>
      <c r="O888" s="43" t="inlineStr">
        <is>
          <t>UNVERIFIED</t>
        </is>
      </c>
      <c r="P888" s="43" t="inlineStr">
        <is>
          <t>Pending Review</t>
        </is>
      </c>
      <c r="Q888" s="33" t="inlineStr">
        <is>
          <t>Confirmar SKU/PCBA revision, PN exacto en Common DB, WO, BU, vigencia, planta y aprobacion firmada.</t>
        </is>
      </c>
    </row>
    <row r="889">
      <c r="A889" s="43" t="inlineStr">
        <is>
          <t>CTANJZ05129</t>
        </is>
      </c>
      <c r="B889" s="43" t="inlineStr">
        <is>
          <t>D609917</t>
        </is>
      </c>
      <c r="C889" s="43" t="inlineStr">
        <is>
          <t>034-IOTBU</t>
        </is>
      </c>
      <c r="D889" s="43" t="inlineStr">
        <is>
          <t>FJZP</t>
        </is>
      </c>
      <c r="E889" s="43" t="inlineStr">
        <is>
          <t>MCGA</t>
        </is>
      </c>
      <c r="F889" s="43" t="inlineStr">
        <is>
          <t>68-102730-01</t>
        </is>
      </c>
      <c r="G889" s="43" t="inlineStr">
        <is>
          <t>OTHER_SCOPE_ITEM</t>
        </is>
      </c>
      <c r="H889" s="43" t="inlineStr"/>
      <c r="I889" s="43" t="inlineStr">
        <is>
          <t>Expired</t>
        </is>
      </c>
      <c r="J889" s="32" t="n">
        <v>46175</v>
      </c>
      <c r="K889" s="32" t="n">
        <v>46092</v>
      </c>
      <c r="L889" s="43" t="inlineStr">
        <is>
          <t>1144</t>
        </is>
      </c>
      <c r="M889" s="43" t="n">
        <v>1</v>
      </c>
      <c r="N889" s="33" t="inlineStr"/>
      <c r="O889" s="43" t="inlineStr">
        <is>
          <t>UNVERIFIED</t>
        </is>
      </c>
      <c r="P889" s="43" t="inlineStr">
        <is>
          <t>Pending Review</t>
        </is>
      </c>
      <c r="Q889" s="33" t="inlineStr">
        <is>
          <t>Confirmar SKU/PCBA revision, PN exacto en Common DB, WO, BU, vigencia, planta y aprobacion firmada.</t>
        </is>
      </c>
    </row>
    <row r="890">
      <c r="A890" s="43" t="inlineStr">
        <is>
          <t>CTANJZ05129</t>
        </is>
      </c>
      <c r="B890" s="43" t="inlineStr">
        <is>
          <t>D609917</t>
        </is>
      </c>
      <c r="C890" s="43" t="inlineStr">
        <is>
          <t>034-IOTBU</t>
        </is>
      </c>
      <c r="D890" s="43" t="inlineStr">
        <is>
          <t>FJZP</t>
        </is>
      </c>
      <c r="E890" s="43" t="inlineStr">
        <is>
          <t>MCGA</t>
        </is>
      </c>
      <c r="F890" s="43" t="inlineStr">
        <is>
          <t>68-102799-01</t>
        </is>
      </c>
      <c r="G890" s="43" t="inlineStr">
        <is>
          <t>OTHER_SCOPE_ITEM</t>
        </is>
      </c>
      <c r="H890" s="43" t="inlineStr"/>
      <c r="I890" s="43" t="inlineStr">
        <is>
          <t>Expired</t>
        </is>
      </c>
      <c r="J890" s="32" t="n">
        <v>46175</v>
      </c>
      <c r="K890" s="32" t="n">
        <v>46092</v>
      </c>
      <c r="L890" s="43" t="inlineStr">
        <is>
          <t>1145</t>
        </is>
      </c>
      <c r="M890" s="43" t="n">
        <v>1</v>
      </c>
      <c r="N890" s="33" t="inlineStr"/>
      <c r="O890" s="43" t="inlineStr">
        <is>
          <t>UNVERIFIED</t>
        </is>
      </c>
      <c r="P890" s="43" t="inlineStr">
        <is>
          <t>Pending Review</t>
        </is>
      </c>
      <c r="Q890" s="33" t="inlineStr">
        <is>
          <t>Confirmar SKU/PCBA revision, PN exacto en Common DB, WO, BU, vigencia, planta y aprobacion firmada.</t>
        </is>
      </c>
    </row>
    <row r="891">
      <c r="A891" s="43" t="inlineStr">
        <is>
          <t>CTANJZ05129</t>
        </is>
      </c>
      <c r="B891" s="43" t="inlineStr">
        <is>
          <t>D609917</t>
        </is>
      </c>
      <c r="C891" s="43" t="inlineStr">
        <is>
          <t>034-IOTBU</t>
        </is>
      </c>
      <c r="D891" s="43" t="inlineStr">
        <is>
          <t>FJZP</t>
        </is>
      </c>
      <c r="E891" s="43" t="inlineStr">
        <is>
          <t>MCGA</t>
        </is>
      </c>
      <c r="F891" s="43" t="inlineStr">
        <is>
          <t>68-104004-01</t>
        </is>
      </c>
      <c r="G891" s="43" t="inlineStr">
        <is>
          <t>OTHER_SCOPE_ITEM</t>
        </is>
      </c>
      <c r="H891" s="43" t="inlineStr"/>
      <c r="I891" s="43" t="inlineStr">
        <is>
          <t>Expired</t>
        </is>
      </c>
      <c r="J891" s="32" t="n">
        <v>46175</v>
      </c>
      <c r="K891" s="32" t="n">
        <v>46092</v>
      </c>
      <c r="L891" s="43" t="inlineStr">
        <is>
          <t>1146</t>
        </is>
      </c>
      <c r="M891" s="43" t="n">
        <v>1</v>
      </c>
      <c r="N891" s="33" t="inlineStr"/>
      <c r="O891" s="43" t="inlineStr">
        <is>
          <t>UNVERIFIED</t>
        </is>
      </c>
      <c r="P891" s="43" t="inlineStr">
        <is>
          <t>Pending Review</t>
        </is>
      </c>
      <c r="Q891" s="33" t="inlineStr">
        <is>
          <t>Confirmar SKU/PCBA revision, PN exacto en Common DB, WO, BU, vigencia, planta y aprobacion firmada.</t>
        </is>
      </c>
    </row>
    <row r="892">
      <c r="A892" s="43" t="inlineStr">
        <is>
          <t>CTANJZ05129</t>
        </is>
      </c>
      <c r="B892" s="43" t="inlineStr">
        <is>
          <t>D609917</t>
        </is>
      </c>
      <c r="C892" s="43" t="inlineStr">
        <is>
          <t>034-IOTBU</t>
        </is>
      </c>
      <c r="D892" s="43" t="inlineStr">
        <is>
          <t>FJZP</t>
        </is>
      </c>
      <c r="E892" s="43" t="inlineStr">
        <is>
          <t>MCGA</t>
        </is>
      </c>
      <c r="F892" s="43" t="inlineStr">
        <is>
          <t>73-101439-04</t>
        </is>
      </c>
      <c r="G892" s="43" t="inlineStr">
        <is>
          <t>BOARD_PN_CANDIDATE</t>
        </is>
      </c>
      <c r="H892" s="43" t="inlineStr"/>
      <c r="I892" s="43" t="inlineStr">
        <is>
          <t>Expired</t>
        </is>
      </c>
      <c r="J892" s="32" t="n">
        <v>46175</v>
      </c>
      <c r="K892" s="32" t="n">
        <v>46092</v>
      </c>
      <c r="L892" s="43" t="inlineStr">
        <is>
          <t>1147</t>
        </is>
      </c>
      <c r="M892" s="43" t="n">
        <v>1</v>
      </c>
      <c r="N892" s="33" t="inlineStr"/>
      <c r="O892" s="43" t="inlineStr">
        <is>
          <t>UNVERIFIED</t>
        </is>
      </c>
      <c r="P892" s="43" t="inlineStr">
        <is>
          <t>Pending Review</t>
        </is>
      </c>
      <c r="Q892" s="33" t="inlineStr">
        <is>
          <t>Confirmar SKU/PCBA revision, PN exacto en Common DB, WO, BU, vigencia, planta y aprobacion firmada.</t>
        </is>
      </c>
    </row>
    <row r="893">
      <c r="A893" s="43" t="inlineStr">
        <is>
          <t>CTANJZ05129</t>
        </is>
      </c>
      <c r="B893" s="43" t="inlineStr">
        <is>
          <t>D609917</t>
        </is>
      </c>
      <c r="C893" s="43" t="inlineStr">
        <is>
          <t>034-IOTBU</t>
        </is>
      </c>
      <c r="D893" s="43" t="inlineStr">
        <is>
          <t>FJZP</t>
        </is>
      </c>
      <c r="E893" s="43" t="inlineStr">
        <is>
          <t>MCGA</t>
        </is>
      </c>
      <c r="F893" s="43" t="inlineStr">
        <is>
          <t>73-102239-04</t>
        </is>
      </c>
      <c r="G893" s="43" t="inlineStr">
        <is>
          <t>BOARD_PN_CANDIDATE</t>
        </is>
      </c>
      <c r="H893" s="43" t="inlineStr"/>
      <c r="I893" s="43" t="inlineStr">
        <is>
          <t>Expired</t>
        </is>
      </c>
      <c r="J893" s="32" t="n">
        <v>46175</v>
      </c>
      <c r="K893" s="32" t="n">
        <v>46092</v>
      </c>
      <c r="L893" s="43" t="inlineStr">
        <is>
          <t>1148</t>
        </is>
      </c>
      <c r="M893" s="43" t="n">
        <v>1</v>
      </c>
      <c r="N893" s="33" t="inlineStr"/>
      <c r="O893" s="43" t="inlineStr">
        <is>
          <t>UNVERIFIED</t>
        </is>
      </c>
      <c r="P893" s="43" t="inlineStr">
        <is>
          <t>Pending Review</t>
        </is>
      </c>
      <c r="Q893" s="33" t="inlineStr">
        <is>
          <t>Confirmar SKU/PCBA revision, PN exacto en Common DB, WO, BU, vigencia, planta y aprobacion firmada.</t>
        </is>
      </c>
    </row>
    <row r="894">
      <c r="A894" s="43" t="inlineStr">
        <is>
          <t>CTANJZ05129</t>
        </is>
      </c>
      <c r="B894" s="43" t="inlineStr">
        <is>
          <t>D609917</t>
        </is>
      </c>
      <c r="C894" s="43" t="inlineStr">
        <is>
          <t>034-IOTBU</t>
        </is>
      </c>
      <c r="D894" s="43" t="inlineStr">
        <is>
          <t>FJZP</t>
        </is>
      </c>
      <c r="E894" s="43" t="inlineStr">
        <is>
          <t>MCGA</t>
        </is>
      </c>
      <c r="F894" s="43" t="inlineStr">
        <is>
          <t>73-103098-03</t>
        </is>
      </c>
      <c r="G894" s="43" t="inlineStr">
        <is>
          <t>BOARD_PN_CANDIDATE</t>
        </is>
      </c>
      <c r="H894" s="43" t="inlineStr"/>
      <c r="I894" s="43" t="inlineStr">
        <is>
          <t>Expired</t>
        </is>
      </c>
      <c r="J894" s="32" t="n">
        <v>46175</v>
      </c>
      <c r="K894" s="32" t="n">
        <v>46092</v>
      </c>
      <c r="L894" s="43" t="inlineStr">
        <is>
          <t>1149</t>
        </is>
      </c>
      <c r="M894" s="43" t="n">
        <v>1</v>
      </c>
      <c r="N894" s="33" t="inlineStr"/>
      <c r="O894" s="43" t="inlineStr">
        <is>
          <t>UNVERIFIED</t>
        </is>
      </c>
      <c r="P894" s="43" t="inlineStr">
        <is>
          <t>Pending Review</t>
        </is>
      </c>
      <c r="Q894" s="33" t="inlineStr">
        <is>
          <t>Confirmar SKU/PCBA revision, PN exacto en Common DB, WO, BU, vigencia, planta y aprobacion firmada.</t>
        </is>
      </c>
    </row>
    <row r="895">
      <c r="A895" s="43" t="inlineStr">
        <is>
          <t>CTANJZ05130</t>
        </is>
      </c>
      <c r="B895" s="43" t="inlineStr">
        <is>
          <t>D608669</t>
        </is>
      </c>
      <c r="C895" s="43" t="inlineStr">
        <is>
          <t>037-STBU</t>
        </is>
      </c>
      <c r="D895" s="43" t="inlineStr">
        <is>
          <t>FJZP</t>
        </is>
      </c>
      <c r="E895" s="43" t="inlineStr">
        <is>
          <t>MCGA</t>
        </is>
      </c>
      <c r="F895" s="43" t="inlineStr">
        <is>
          <t>341-101114-02</t>
        </is>
      </c>
      <c r="G895" s="43" t="inlineStr">
        <is>
          <t>OTHER_SCOPE_ITEM</t>
        </is>
      </c>
      <c r="H895" s="43" t="inlineStr"/>
      <c r="I895" s="43" t="inlineStr">
        <is>
          <t>Expired</t>
        </is>
      </c>
      <c r="J895" s="32" t="n">
        <v>46175</v>
      </c>
      <c r="K895" s="32" t="n">
        <v>46105</v>
      </c>
      <c r="L895" s="43" t="inlineStr">
        <is>
          <t>61</t>
        </is>
      </c>
      <c r="M895" s="43" t="n">
        <v>1</v>
      </c>
      <c r="N895" s="33" t="inlineStr"/>
      <c r="O895" s="43" t="inlineStr">
        <is>
          <t>UNVERIFIED</t>
        </is>
      </c>
      <c r="P895" s="43" t="inlineStr">
        <is>
          <t>Pending Review</t>
        </is>
      </c>
      <c r="Q895" s="33" t="inlineStr">
        <is>
          <t>Confirmar SKU/PCBA revision, PN exacto en Common DB, WO, BU, vigencia, planta y aprobacion firmada.</t>
        </is>
      </c>
    </row>
    <row r="896">
      <c r="A896" s="43" t="inlineStr">
        <is>
          <t>CTANJZ05131</t>
        </is>
      </c>
      <c r="B896" s="43" t="inlineStr">
        <is>
          <t>D609897</t>
        </is>
      </c>
      <c r="C896" s="43" t="inlineStr">
        <is>
          <t>037-STBU</t>
        </is>
      </c>
      <c r="D896" s="43" t="inlineStr">
        <is>
          <t>FJZP</t>
        </is>
      </c>
      <c r="E896" s="43" t="inlineStr">
        <is>
          <t>MCGA</t>
        </is>
      </c>
      <c r="F896" s="43" t="inlineStr">
        <is>
          <t>15-102934-01</t>
        </is>
      </c>
      <c r="G896" s="43" t="inlineStr">
        <is>
          <t>OTHER_SCOPE_ITEM</t>
        </is>
      </c>
      <c r="H896" s="43" t="inlineStr"/>
      <c r="I896" s="43" t="inlineStr">
        <is>
          <t>Expired</t>
        </is>
      </c>
      <c r="J896" s="32" t="n">
        <v>46175</v>
      </c>
      <c r="K896" s="32" t="n">
        <v>46105</v>
      </c>
      <c r="L896" s="43" t="inlineStr">
        <is>
          <t>1600</t>
        </is>
      </c>
      <c r="M896" s="43" t="n">
        <v>1</v>
      </c>
      <c r="N896" s="33" t="inlineStr"/>
      <c r="O896" s="43" t="inlineStr">
        <is>
          <t>UNVERIFIED</t>
        </is>
      </c>
      <c r="P896" s="43" t="inlineStr">
        <is>
          <t>Pending Review</t>
        </is>
      </c>
      <c r="Q896" s="33" t="inlineStr">
        <is>
          <t>Confirmar SKU/PCBA revision, PN exacto en Common DB, WO, BU, vigencia, planta y aprobacion firmada.</t>
        </is>
      </c>
    </row>
    <row r="897">
      <c r="A897" s="43" t="inlineStr">
        <is>
          <t>CTANJZ05131</t>
        </is>
      </c>
      <c r="B897" s="43" t="inlineStr">
        <is>
          <t>D609897</t>
        </is>
      </c>
      <c r="C897" s="43" t="inlineStr">
        <is>
          <t>037-STBU</t>
        </is>
      </c>
      <c r="D897" s="43" t="inlineStr">
        <is>
          <t>FJZP</t>
        </is>
      </c>
      <c r="E897" s="43" t="inlineStr">
        <is>
          <t>MCGA</t>
        </is>
      </c>
      <c r="F897" s="43" t="inlineStr">
        <is>
          <t>17-13481-01</t>
        </is>
      </c>
      <c r="G897" s="43" t="inlineStr">
        <is>
          <t>OTHER_SCOPE_ITEM</t>
        </is>
      </c>
      <c r="H897" s="43" t="inlineStr"/>
      <c r="I897" s="43" t="inlineStr">
        <is>
          <t>Expired</t>
        </is>
      </c>
      <c r="J897" s="32" t="n">
        <v>46175</v>
      </c>
      <c r="K897" s="32" t="n">
        <v>46105</v>
      </c>
      <c r="L897" s="43" t="inlineStr">
        <is>
          <t>1601</t>
        </is>
      </c>
      <c r="M897" s="43" t="n">
        <v>1</v>
      </c>
      <c r="N897" s="33" t="inlineStr"/>
      <c r="O897" s="43" t="inlineStr">
        <is>
          <t>UNVERIFIED</t>
        </is>
      </c>
      <c r="P897" s="43" t="inlineStr">
        <is>
          <t>Pending Review</t>
        </is>
      </c>
      <c r="Q897" s="33" t="inlineStr">
        <is>
          <t>Confirmar SKU/PCBA revision, PN exacto en Common DB, WO, BU, vigencia, planta y aprobacion firmada.</t>
        </is>
      </c>
    </row>
    <row r="898">
      <c r="A898" s="43" t="inlineStr">
        <is>
          <t>CTANJZ05134</t>
        </is>
      </c>
      <c r="B898" s="43" t="inlineStr">
        <is>
          <t>D609794</t>
        </is>
      </c>
      <c r="C898" s="43" t="inlineStr">
        <is>
          <t>037-STBU</t>
        </is>
      </c>
      <c r="D898" s="43" t="inlineStr">
        <is>
          <t>FJZP</t>
        </is>
      </c>
      <c r="E898" s="43" t="inlineStr">
        <is>
          <t>MCGA</t>
        </is>
      </c>
      <c r="F898" s="43" t="inlineStr">
        <is>
          <t>15-14518-02</t>
        </is>
      </c>
      <c r="G898" s="43" t="inlineStr">
        <is>
          <t>OTHER_SCOPE_ITEM</t>
        </is>
      </c>
      <c r="H898" s="43" t="inlineStr"/>
      <c r="I898" s="43" t="inlineStr">
        <is>
          <t>Expired</t>
        </is>
      </c>
      <c r="J898" s="32" t="n">
        <v>46176</v>
      </c>
      <c r="K898" s="32" t="n">
        <v>46105</v>
      </c>
      <c r="L898" s="43" t="inlineStr">
        <is>
          <t>1584</t>
        </is>
      </c>
      <c r="M898" s="43" t="n">
        <v>1</v>
      </c>
      <c r="N898" s="33" t="inlineStr"/>
      <c r="O898" s="43" t="inlineStr">
        <is>
          <t>UNVERIFIED</t>
        </is>
      </c>
      <c r="P898" s="43" t="inlineStr">
        <is>
          <t>Pending Review</t>
        </is>
      </c>
      <c r="Q898" s="33" t="inlineStr">
        <is>
          <t>Confirmar SKU/PCBA revision, PN exacto en Common DB, WO, BU, vigencia, planta y aprobacion firmada.</t>
        </is>
      </c>
    </row>
    <row r="899">
      <c r="A899" s="43" t="inlineStr">
        <is>
          <t>CTANJZ05134</t>
        </is>
      </c>
      <c r="B899" s="43" t="inlineStr">
        <is>
          <t>D609794</t>
        </is>
      </c>
      <c r="C899" s="43" t="inlineStr">
        <is>
          <t>037-STBU</t>
        </is>
      </c>
      <c r="D899" s="43" t="inlineStr">
        <is>
          <t>FJZP</t>
        </is>
      </c>
      <c r="E899" s="43" t="inlineStr">
        <is>
          <t>MCGA</t>
        </is>
      </c>
      <c r="F899" s="43" t="inlineStr">
        <is>
          <t>73-18490-10</t>
        </is>
      </c>
      <c r="G899" s="43" t="inlineStr">
        <is>
          <t>BOARD_PN_CANDIDATE</t>
        </is>
      </c>
      <c r="H899" s="43" t="inlineStr"/>
      <c r="I899" s="43" t="inlineStr">
        <is>
          <t>Expired</t>
        </is>
      </c>
      <c r="J899" s="32" t="n">
        <v>46176</v>
      </c>
      <c r="K899" s="32" t="n">
        <v>46105</v>
      </c>
      <c r="L899" s="43" t="inlineStr">
        <is>
          <t>1585</t>
        </is>
      </c>
      <c r="M899" s="43" t="n">
        <v>1</v>
      </c>
      <c r="N899" s="33" t="inlineStr"/>
      <c r="O899" s="43" t="inlineStr">
        <is>
          <t>UNVERIFIED</t>
        </is>
      </c>
      <c r="P899" s="43" t="inlineStr">
        <is>
          <t>Pending Review</t>
        </is>
      </c>
      <c r="Q899" s="33" t="inlineStr">
        <is>
          <t>Confirmar SKU/PCBA revision, PN exacto en Common DB, WO, BU, vigencia, planta y aprobacion firmada.</t>
        </is>
      </c>
    </row>
    <row r="900">
      <c r="A900" s="43" t="inlineStr">
        <is>
          <t>CTANJZ05136</t>
        </is>
      </c>
      <c r="B900" s="43" t="inlineStr">
        <is>
          <t>D609987</t>
        </is>
      </c>
      <c r="C900" s="43" t="inlineStr">
        <is>
          <t>035-CVEBU</t>
        </is>
      </c>
      <c r="D900" s="43" t="inlineStr">
        <is>
          <t>FJZP</t>
        </is>
      </c>
      <c r="E900" s="43" t="inlineStr">
        <is>
          <t>MCGA</t>
        </is>
      </c>
      <c r="F900" s="43" t="inlineStr">
        <is>
          <t>68-103946-04</t>
        </is>
      </c>
      <c r="G900" s="43" t="inlineStr">
        <is>
          <t>OTHER_SCOPE_ITEM</t>
        </is>
      </c>
      <c r="H900" s="43" t="inlineStr"/>
      <c r="I900" s="43" t="inlineStr">
        <is>
          <t>Expired</t>
        </is>
      </c>
      <c r="J900" s="32" t="n">
        <v>46180</v>
      </c>
      <c r="K900" s="32" t="n">
        <v>46101</v>
      </c>
      <c r="L900" s="43" t="inlineStr">
        <is>
          <t>646</t>
        </is>
      </c>
      <c r="M900" s="43" t="n">
        <v>1</v>
      </c>
      <c r="N900" s="33" t="inlineStr"/>
      <c r="O900" s="43" t="inlineStr">
        <is>
          <t>UNVERIFIED</t>
        </is>
      </c>
      <c r="P900" s="43" t="inlineStr">
        <is>
          <t>Pending Review</t>
        </is>
      </c>
      <c r="Q900" s="33" t="inlineStr">
        <is>
          <t>Confirmar SKU/PCBA revision, PN exacto en Common DB, WO, BU, vigencia, planta y aprobacion firmada.</t>
        </is>
      </c>
    </row>
    <row r="901">
      <c r="A901" s="43" t="inlineStr">
        <is>
          <t>CTANJZ05137</t>
        </is>
      </c>
      <c r="B901" s="43" t="inlineStr">
        <is>
          <t>D609403</t>
        </is>
      </c>
      <c r="C901" s="43" t="inlineStr">
        <is>
          <t>239-CRBU</t>
        </is>
      </c>
      <c r="D901" s="43" t="inlineStr">
        <is>
          <t>FJZP</t>
        </is>
      </c>
      <c r="E901" s="43" t="inlineStr">
        <is>
          <t>MCGA</t>
        </is>
      </c>
      <c r="F901" s="43" t="inlineStr">
        <is>
          <t>68-7781-12</t>
        </is>
      </c>
      <c r="G901" s="43" t="inlineStr">
        <is>
          <t>OTHER_SCOPE_ITEM</t>
        </is>
      </c>
      <c r="H901" s="43" t="inlineStr"/>
      <c r="I901" s="43" t="inlineStr">
        <is>
          <t>Expired</t>
        </is>
      </c>
      <c r="J901" s="32" t="n">
        <v>46270</v>
      </c>
      <c r="K901" s="32" t="n">
        <v>46106</v>
      </c>
      <c r="L901" s="43" t="inlineStr">
        <is>
          <t>100,219</t>
        </is>
      </c>
      <c r="M901" s="43" t="n">
        <v>2</v>
      </c>
      <c r="N901" s="33" t="inlineStr"/>
      <c r="O901" s="43" t="inlineStr">
        <is>
          <t>UNVERIFIED</t>
        </is>
      </c>
      <c r="P901" s="43" t="inlineStr">
        <is>
          <t>Pending Review</t>
        </is>
      </c>
      <c r="Q901" s="33" t="inlineStr">
        <is>
          <t>Confirmar SKU/PCBA revision, PN exacto en Common DB, WO, BU, vigencia, planta y aprobacion firmada.</t>
        </is>
      </c>
    </row>
    <row r="902">
      <c r="A902" s="43" t="inlineStr">
        <is>
          <t>CTANJZ05137</t>
        </is>
      </c>
      <c r="B902" s="43" t="inlineStr">
        <is>
          <t>D609403</t>
        </is>
      </c>
      <c r="C902" s="43" t="inlineStr">
        <is>
          <t>239-CRBU</t>
        </is>
      </c>
      <c r="D902" s="43" t="inlineStr">
        <is>
          <t>FJZP</t>
        </is>
      </c>
      <c r="E902" s="43" t="inlineStr">
        <is>
          <t>MCGA</t>
        </is>
      </c>
      <c r="F902" s="43" t="inlineStr">
        <is>
          <t>800-111487-03</t>
        </is>
      </c>
      <c r="G902" s="43" t="inlineStr">
        <is>
          <t>OTHER_SCOPE_ITEM</t>
        </is>
      </c>
      <c r="H902" s="43" t="inlineStr"/>
      <c r="I902" s="43" t="inlineStr">
        <is>
          <t>Expired</t>
        </is>
      </c>
      <c r="J902" s="32" t="n">
        <v>46270</v>
      </c>
      <c r="K902" s="32" t="n">
        <v>46106</v>
      </c>
      <c r="L902" s="43" t="inlineStr">
        <is>
          <t>101,220</t>
        </is>
      </c>
      <c r="M902" s="43" t="n">
        <v>2</v>
      </c>
      <c r="N902" s="33" t="inlineStr"/>
      <c r="O902" s="43" t="inlineStr">
        <is>
          <t>UNVERIFIED</t>
        </is>
      </c>
      <c r="P902" s="43" t="inlineStr">
        <is>
          <t>Pending Review</t>
        </is>
      </c>
      <c r="Q902" s="33" t="inlineStr">
        <is>
          <t>Confirmar SKU/PCBA revision, PN exacto en Common DB, WO, BU, vigencia, planta y aprobacion firmada.</t>
        </is>
      </c>
    </row>
    <row r="903">
      <c r="A903" s="43" t="inlineStr">
        <is>
          <t>CTANJZ05138</t>
        </is>
      </c>
      <c r="B903" s="43" t="inlineStr">
        <is>
          <t>D609929</t>
        </is>
      </c>
      <c r="C903" s="43" t="inlineStr">
        <is>
          <t>035-CVEBU</t>
        </is>
      </c>
      <c r="D903" s="43" t="inlineStr">
        <is>
          <t>FJZP</t>
        </is>
      </c>
      <c r="E903" s="43" t="inlineStr">
        <is>
          <t>MCGA</t>
        </is>
      </c>
      <c r="F903" s="43" t="inlineStr">
        <is>
          <t>15-109766-01</t>
        </is>
      </c>
      <c r="G903" s="43" t="inlineStr">
        <is>
          <t>OTHER_SCOPE_ITEM</t>
        </is>
      </c>
      <c r="H903" s="43" t="inlineStr"/>
      <c r="I903" s="43" t="inlineStr">
        <is>
          <t>Expired</t>
        </is>
      </c>
      <c r="J903" s="32" t="n">
        <v>46180</v>
      </c>
      <c r="K903" s="32" t="n">
        <v>46100</v>
      </c>
      <c r="L903" s="43" t="inlineStr">
        <is>
          <t>511</t>
        </is>
      </c>
      <c r="M903" s="43" t="n">
        <v>1</v>
      </c>
      <c r="N903" s="33" t="inlineStr"/>
      <c r="O903" s="43" t="inlineStr">
        <is>
          <t>UNVERIFIED</t>
        </is>
      </c>
      <c r="P903" s="43" t="inlineStr">
        <is>
          <t>Pending Review</t>
        </is>
      </c>
      <c r="Q903" s="33" t="inlineStr">
        <is>
          <t>Confirmar SKU/PCBA revision, PN exacto en Common DB, WO, BU, vigencia, planta y aprobacion firmada.</t>
        </is>
      </c>
    </row>
    <row r="904">
      <c r="A904" s="43" t="inlineStr">
        <is>
          <t>CTANJZ05138</t>
        </is>
      </c>
      <c r="B904" s="43" t="inlineStr">
        <is>
          <t>D609929</t>
        </is>
      </c>
      <c r="C904" s="43" t="inlineStr">
        <is>
          <t>035-CVEBU</t>
        </is>
      </c>
      <c r="D904" s="43" t="inlineStr">
        <is>
          <t>FJZP</t>
        </is>
      </c>
      <c r="E904" s="43" t="inlineStr">
        <is>
          <t>MCGA</t>
        </is>
      </c>
      <c r="F904" s="43" t="inlineStr">
        <is>
          <t>73-102226-06</t>
        </is>
      </c>
      <c r="G904" s="43" t="inlineStr">
        <is>
          <t>BOARD_PN_CANDIDATE</t>
        </is>
      </c>
      <c r="H904" s="43" t="inlineStr">
        <is>
          <t>MILLENIUM</t>
        </is>
      </c>
      <c r="I904" s="43" t="inlineStr">
        <is>
          <t>Expired</t>
        </is>
      </c>
      <c r="J904" s="32" t="n">
        <v>46180</v>
      </c>
      <c r="K904" s="32" t="n">
        <v>46100</v>
      </c>
      <c r="L904" s="43" t="inlineStr">
        <is>
          <t>512</t>
        </is>
      </c>
      <c r="M904" s="43" t="n">
        <v>1</v>
      </c>
      <c r="N904" s="33" t="inlineStr"/>
      <c r="O904" s="43" t="inlineStr">
        <is>
          <t>UNVERIFIED</t>
        </is>
      </c>
      <c r="P904" s="43" t="inlineStr">
        <is>
          <t>Pending Review</t>
        </is>
      </c>
      <c r="Q904" s="33" t="inlineStr">
        <is>
          <t>Confirmar SKU/PCBA revision, PN exacto en Common DB, WO, BU, vigencia, planta y aprobacion firmada.</t>
        </is>
      </c>
    </row>
    <row r="905">
      <c r="A905" s="43" t="inlineStr">
        <is>
          <t>CTANJZ05138</t>
        </is>
      </c>
      <c r="B905" s="43" t="inlineStr">
        <is>
          <t>D609929</t>
        </is>
      </c>
      <c r="C905" s="43" t="inlineStr">
        <is>
          <t>035-CVEBU</t>
        </is>
      </c>
      <c r="D905" s="43" t="inlineStr">
        <is>
          <t>FJZP</t>
        </is>
      </c>
      <c r="E905" s="43" t="inlineStr">
        <is>
          <t>MCGA</t>
        </is>
      </c>
      <c r="F905" s="43" t="inlineStr">
        <is>
          <t>73-103226-06</t>
        </is>
      </c>
      <c r="G905" s="43" t="inlineStr">
        <is>
          <t>BOARD_PN_CANDIDATE</t>
        </is>
      </c>
      <c r="H905" s="43" t="inlineStr"/>
      <c r="I905" s="43" t="inlineStr">
        <is>
          <t>Expired</t>
        </is>
      </c>
      <c r="J905" s="32" t="n">
        <v>46180</v>
      </c>
      <c r="K905" s="32" t="n">
        <v>46100</v>
      </c>
      <c r="L905" s="43" t="inlineStr">
        <is>
          <t>513</t>
        </is>
      </c>
      <c r="M905" s="43" t="n">
        <v>1</v>
      </c>
      <c r="N905" s="33" t="inlineStr"/>
      <c r="O905" s="43" t="inlineStr">
        <is>
          <t>UNVERIFIED</t>
        </is>
      </c>
      <c r="P905" s="43" t="inlineStr">
        <is>
          <t>Pending Review</t>
        </is>
      </c>
      <c r="Q905" s="33" t="inlineStr">
        <is>
          <t>Confirmar SKU/PCBA revision, PN exacto en Common DB, WO, BU, vigencia, planta y aprobacion firmada.</t>
        </is>
      </c>
    </row>
    <row r="906">
      <c r="A906" s="43" t="inlineStr">
        <is>
          <t>CTANJZ05138</t>
        </is>
      </c>
      <c r="B906" s="43" t="inlineStr">
        <is>
          <t>D609929</t>
        </is>
      </c>
      <c r="C906" s="43" t="inlineStr">
        <is>
          <t>035-CVEBU</t>
        </is>
      </c>
      <c r="D906" s="43" t="inlineStr">
        <is>
          <t>FJZP</t>
        </is>
      </c>
      <c r="E906" s="43" t="inlineStr">
        <is>
          <t>MCGA</t>
        </is>
      </c>
      <c r="F906" s="43" t="inlineStr">
        <is>
          <t>73-103698-06</t>
        </is>
      </c>
      <c r="G906" s="43" t="inlineStr">
        <is>
          <t>BOARD_PN_CANDIDATE</t>
        </is>
      </c>
      <c r="H906" s="43" t="inlineStr"/>
      <c r="I906" s="43" t="inlineStr">
        <is>
          <t>Expired</t>
        </is>
      </c>
      <c r="J906" s="32" t="n">
        <v>46180</v>
      </c>
      <c r="K906" s="32" t="n">
        <v>46100</v>
      </c>
      <c r="L906" s="43" t="inlineStr">
        <is>
          <t>514</t>
        </is>
      </c>
      <c r="M906" s="43" t="n">
        <v>1</v>
      </c>
      <c r="N906" s="33" t="inlineStr"/>
      <c r="O906" s="43" t="inlineStr">
        <is>
          <t>UNVERIFIED</t>
        </is>
      </c>
      <c r="P906" s="43" t="inlineStr">
        <is>
          <t>Pending Review</t>
        </is>
      </c>
      <c r="Q906" s="33" t="inlineStr">
        <is>
          <t>Confirmar SKU/PCBA revision, PN exacto en Common DB, WO, BU, vigencia, planta y aprobacion firmada.</t>
        </is>
      </c>
    </row>
    <row r="907">
      <c r="A907" s="43" t="inlineStr">
        <is>
          <t>CTANJZ05138</t>
        </is>
      </c>
      <c r="B907" s="43" t="inlineStr">
        <is>
          <t>D609929</t>
        </is>
      </c>
      <c r="C907" s="43" t="inlineStr">
        <is>
          <t>035-CVEBU</t>
        </is>
      </c>
      <c r="D907" s="43" t="inlineStr">
        <is>
          <t>FJZP</t>
        </is>
      </c>
      <c r="E907" s="43" t="inlineStr">
        <is>
          <t>MCGA</t>
        </is>
      </c>
      <c r="F907" s="43" t="inlineStr">
        <is>
          <t>73-103940-06</t>
        </is>
      </c>
      <c r="G907" s="43" t="inlineStr">
        <is>
          <t>BOARD_PN_CANDIDATE</t>
        </is>
      </c>
      <c r="H907" s="43" t="inlineStr"/>
      <c r="I907" s="43" t="inlineStr">
        <is>
          <t>Expired</t>
        </is>
      </c>
      <c r="J907" s="32" t="n">
        <v>46180</v>
      </c>
      <c r="K907" s="32" t="n">
        <v>46100</v>
      </c>
      <c r="L907" s="43" t="inlineStr">
        <is>
          <t>515</t>
        </is>
      </c>
      <c r="M907" s="43" t="n">
        <v>1</v>
      </c>
      <c r="N907" s="33" t="inlineStr"/>
      <c r="O907" s="43" t="inlineStr">
        <is>
          <t>UNVERIFIED</t>
        </is>
      </c>
      <c r="P907" s="43" t="inlineStr">
        <is>
          <t>Pending Review</t>
        </is>
      </c>
      <c r="Q907" s="33" t="inlineStr">
        <is>
          <t>Confirmar SKU/PCBA revision, PN exacto en Common DB, WO, BU, vigencia, planta y aprobacion firmada.</t>
        </is>
      </c>
    </row>
    <row r="908">
      <c r="A908" s="43" t="inlineStr">
        <is>
          <t>CTANJZ05139</t>
        </is>
      </c>
      <c r="B908" s="43" t="inlineStr">
        <is>
          <t>D609791</t>
        </is>
      </c>
      <c r="C908" s="43" t="inlineStr">
        <is>
          <t>037-STBU</t>
        </is>
      </c>
      <c r="D908" s="43" t="inlineStr">
        <is>
          <t>FJZP</t>
        </is>
      </c>
      <c r="E908" s="43" t="inlineStr">
        <is>
          <t>MCGA</t>
        </is>
      </c>
      <c r="F908" s="43" t="inlineStr">
        <is>
          <t>15-14518-02</t>
        </is>
      </c>
      <c r="G908" s="43" t="inlineStr">
        <is>
          <t>OTHER_SCOPE_ITEM</t>
        </is>
      </c>
      <c r="H908" s="43" t="inlineStr"/>
      <c r="I908" s="43" t="inlineStr">
        <is>
          <t>Expired</t>
        </is>
      </c>
      <c r="J908" s="32" t="n">
        <v>46180</v>
      </c>
      <c r="K908" s="32" t="n">
        <v>46105</v>
      </c>
      <c r="L908" s="43" t="inlineStr">
        <is>
          <t>166,1446</t>
        </is>
      </c>
      <c r="M908" s="43" t="n">
        <v>2</v>
      </c>
      <c r="N908" s="33" t="inlineStr"/>
      <c r="O908" s="43" t="inlineStr">
        <is>
          <t>UNVERIFIED</t>
        </is>
      </c>
      <c r="P908" s="43" t="inlineStr">
        <is>
          <t>Pending Review</t>
        </is>
      </c>
      <c r="Q908" s="33" t="inlineStr">
        <is>
          <t>Confirmar SKU/PCBA revision, PN exacto en Common DB, WO, BU, vigencia, planta y aprobacion firmada.</t>
        </is>
      </c>
    </row>
    <row r="909">
      <c r="A909" s="43" t="inlineStr">
        <is>
          <t>CTANJZ05139</t>
        </is>
      </c>
      <c r="B909" s="43" t="inlineStr">
        <is>
          <t>D609791</t>
        </is>
      </c>
      <c r="C909" s="43" t="inlineStr">
        <is>
          <t>037-STBU</t>
        </is>
      </c>
      <c r="D909" s="43" t="inlineStr">
        <is>
          <t>FJZP</t>
        </is>
      </c>
      <c r="E909" s="43" t="inlineStr">
        <is>
          <t>MCGA</t>
        </is>
      </c>
      <c r="F909" s="43" t="inlineStr">
        <is>
          <t>73-18489-08</t>
        </is>
      </c>
      <c r="G909" s="43" t="inlineStr">
        <is>
          <t>BOARD_PN_CANDIDATE</t>
        </is>
      </c>
      <c r="H909" s="43" t="inlineStr"/>
      <c r="I909" s="43" t="inlineStr">
        <is>
          <t>Expired</t>
        </is>
      </c>
      <c r="J909" s="32" t="n">
        <v>46180</v>
      </c>
      <c r="K909" s="32" t="n">
        <v>46105</v>
      </c>
      <c r="L909" s="43" t="inlineStr">
        <is>
          <t>167,1447</t>
        </is>
      </c>
      <c r="M909" s="43" t="n">
        <v>2</v>
      </c>
      <c r="N909" s="33" t="inlineStr"/>
      <c r="O909" s="43" t="inlineStr">
        <is>
          <t>UNVERIFIED</t>
        </is>
      </c>
      <c r="P909" s="43" t="inlineStr">
        <is>
          <t>Pending Review</t>
        </is>
      </c>
      <c r="Q909" s="33" t="inlineStr">
        <is>
          <t>Confirmar SKU/PCBA revision, PN exacto en Common DB, WO, BU, vigencia, planta y aprobacion firmada.</t>
        </is>
      </c>
    </row>
    <row r="910">
      <c r="A910" s="43" t="inlineStr">
        <is>
          <t>CTANJZ05140</t>
        </is>
      </c>
      <c r="B910" s="43" t="inlineStr">
        <is>
          <t>D609792</t>
        </is>
      </c>
      <c r="C910" s="43" t="inlineStr">
        <is>
          <t>037-STBU</t>
        </is>
      </c>
      <c r="D910" s="43" t="inlineStr">
        <is>
          <t>FJZP</t>
        </is>
      </c>
      <c r="E910" s="43" t="inlineStr">
        <is>
          <t>MCGA</t>
        </is>
      </c>
      <c r="F910" s="43" t="inlineStr">
        <is>
          <t>36-0333-01</t>
        </is>
      </c>
      <c r="G910" s="43" t="inlineStr">
        <is>
          <t>OTHER_SCOPE_ITEM</t>
        </is>
      </c>
      <c r="H910" s="43" t="inlineStr"/>
      <c r="I910" s="43" t="inlineStr">
        <is>
          <t>Expired</t>
        </is>
      </c>
      <c r="J910" s="32" t="n">
        <v>46180</v>
      </c>
      <c r="K910" s="32" t="n">
        <v>46106</v>
      </c>
      <c r="L910" s="43" t="inlineStr">
        <is>
          <t>168,1504</t>
        </is>
      </c>
      <c r="M910" s="43" t="n">
        <v>2</v>
      </c>
      <c r="N910" s="33" t="inlineStr"/>
      <c r="O910" s="43" t="inlineStr">
        <is>
          <t>UNVERIFIED</t>
        </is>
      </c>
      <c r="P910" s="43" t="inlineStr">
        <is>
          <t>Pending Review</t>
        </is>
      </c>
      <c r="Q910" s="33" t="inlineStr">
        <is>
          <t>Confirmar SKU/PCBA revision, PN exacto en Common DB, WO, BU, vigencia, planta y aprobacion firmada.</t>
        </is>
      </c>
    </row>
    <row r="911">
      <c r="A911" s="43" t="inlineStr">
        <is>
          <t>CTANJZ05140</t>
        </is>
      </c>
      <c r="B911" s="43" t="inlineStr">
        <is>
          <t>D609792</t>
        </is>
      </c>
      <c r="C911" s="43" t="inlineStr">
        <is>
          <t>037-STBU</t>
        </is>
      </c>
      <c r="D911" s="43" t="inlineStr">
        <is>
          <t>FJZP</t>
        </is>
      </c>
      <c r="E911" s="43" t="inlineStr">
        <is>
          <t>MCGA</t>
        </is>
      </c>
      <c r="F911" s="43" t="inlineStr">
        <is>
          <t>73-18489-08</t>
        </is>
      </c>
      <c r="G911" s="43" t="inlineStr">
        <is>
          <t>BOARD_PN_CANDIDATE</t>
        </is>
      </c>
      <c r="H911" s="43" t="inlineStr"/>
      <c r="I911" s="43" t="inlineStr">
        <is>
          <t>Expired</t>
        </is>
      </c>
      <c r="J911" s="32" t="n">
        <v>46180</v>
      </c>
      <c r="K911" s="32" t="n">
        <v>46106</v>
      </c>
      <c r="L911" s="43" t="inlineStr">
        <is>
          <t>169,1449</t>
        </is>
      </c>
      <c r="M911" s="43" t="n">
        <v>2</v>
      </c>
      <c r="N911" s="33" t="inlineStr"/>
      <c r="O911" s="43" t="inlineStr">
        <is>
          <t>UNVERIFIED</t>
        </is>
      </c>
      <c r="P911" s="43" t="inlineStr">
        <is>
          <t>Pending Review</t>
        </is>
      </c>
      <c r="Q911" s="33" t="inlineStr">
        <is>
          <t>Confirmar SKU/PCBA revision, PN exacto en Common DB, WO, BU, vigencia, planta y aprobacion firmada.</t>
        </is>
      </c>
    </row>
    <row r="912">
      <c r="A912" s="43" t="inlineStr">
        <is>
          <t>CTANJZ05141</t>
        </is>
      </c>
      <c r="B912" s="43" t="inlineStr">
        <is>
          <t>D609793</t>
        </is>
      </c>
      <c r="C912" s="43" t="inlineStr">
        <is>
          <t>037-STBU</t>
        </is>
      </c>
      <c r="D912" s="43" t="inlineStr">
        <is>
          <t>FJZP</t>
        </is>
      </c>
      <c r="E912" s="43" t="inlineStr">
        <is>
          <t>MCGA</t>
        </is>
      </c>
      <c r="F912" s="43" t="inlineStr">
        <is>
          <t>36-0333-01</t>
        </is>
      </c>
      <c r="G912" s="43" t="inlineStr">
        <is>
          <t>OTHER_SCOPE_ITEM</t>
        </is>
      </c>
      <c r="H912" s="43" t="inlineStr"/>
      <c r="I912" s="43" t="inlineStr">
        <is>
          <t>Expired</t>
        </is>
      </c>
      <c r="J912" s="32" t="n">
        <v>46180</v>
      </c>
      <c r="K912" s="32" t="n">
        <v>46105</v>
      </c>
      <c r="L912" s="43" t="inlineStr">
        <is>
          <t>170,1450</t>
        </is>
      </c>
      <c r="M912" s="43" t="n">
        <v>2</v>
      </c>
      <c r="N912" s="33" t="inlineStr"/>
      <c r="O912" s="43" t="inlineStr">
        <is>
          <t>UNVERIFIED</t>
        </is>
      </c>
      <c r="P912" s="43" t="inlineStr">
        <is>
          <t>Pending Review</t>
        </is>
      </c>
      <c r="Q912" s="33" t="inlineStr">
        <is>
          <t>Confirmar SKU/PCBA revision, PN exacto en Common DB, WO, BU, vigencia, planta y aprobacion firmada.</t>
        </is>
      </c>
    </row>
    <row r="913">
      <c r="A913" s="43" t="inlineStr">
        <is>
          <t>CTANJZ05141</t>
        </is>
      </c>
      <c r="B913" s="43" t="inlineStr">
        <is>
          <t>D609793</t>
        </is>
      </c>
      <c r="C913" s="43" t="inlineStr">
        <is>
          <t>037-STBU</t>
        </is>
      </c>
      <c r="D913" s="43" t="inlineStr">
        <is>
          <t>FJZP</t>
        </is>
      </c>
      <c r="E913" s="43" t="inlineStr">
        <is>
          <t>MCGA</t>
        </is>
      </c>
      <c r="F913" s="43" t="inlineStr">
        <is>
          <t>73-18489-08</t>
        </is>
      </c>
      <c r="G913" s="43" t="inlineStr">
        <is>
          <t>BOARD_PN_CANDIDATE</t>
        </is>
      </c>
      <c r="H913" s="43" t="inlineStr"/>
      <c r="I913" s="43" t="inlineStr">
        <is>
          <t>Expired</t>
        </is>
      </c>
      <c r="J913" s="32" t="n">
        <v>46180</v>
      </c>
      <c r="K913" s="32" t="n">
        <v>46105</v>
      </c>
      <c r="L913" s="43" t="inlineStr">
        <is>
          <t>317,1451</t>
        </is>
      </c>
      <c r="M913" s="43" t="n">
        <v>2</v>
      </c>
      <c r="N913" s="33" t="inlineStr"/>
      <c r="O913" s="43" t="inlineStr">
        <is>
          <t>UNVERIFIED</t>
        </is>
      </c>
      <c r="P913" s="43" t="inlineStr">
        <is>
          <t>Pending Review</t>
        </is>
      </c>
      <c r="Q913" s="33" t="inlineStr">
        <is>
          <t>Confirmar SKU/PCBA revision, PN exacto en Common DB, WO, BU, vigencia, planta y aprobacion firmada.</t>
        </is>
      </c>
    </row>
    <row r="914">
      <c r="A914" s="43" t="inlineStr">
        <is>
          <t>CTANJZ05142</t>
        </is>
      </c>
      <c r="B914" s="43" t="inlineStr">
        <is>
          <t>D609946</t>
        </is>
      </c>
      <c r="C914" s="43" t="inlineStr">
        <is>
          <t>037-STBU</t>
        </is>
      </c>
      <c r="D914" s="43" t="inlineStr">
        <is>
          <t>FJZP</t>
        </is>
      </c>
      <c r="E914" s="43" t="inlineStr">
        <is>
          <t>MCGA</t>
        </is>
      </c>
      <c r="F914" s="43" t="inlineStr">
        <is>
          <t>16-101652-01</t>
        </is>
      </c>
      <c r="G914" s="43" t="inlineStr">
        <is>
          <t>OTHER_SCOPE_ITEM</t>
        </is>
      </c>
      <c r="H914" s="43" t="inlineStr"/>
      <c r="I914" s="43" t="inlineStr">
        <is>
          <t>Expired</t>
        </is>
      </c>
      <c r="J914" s="32" t="n">
        <v>46181</v>
      </c>
      <c r="K914" s="32" t="n">
        <v>46121</v>
      </c>
      <c r="L914" s="43" t="inlineStr">
        <is>
          <t>1192</t>
        </is>
      </c>
      <c r="M914" s="43" t="n">
        <v>1</v>
      </c>
      <c r="N914" s="33" t="inlineStr"/>
      <c r="O914" s="43" t="inlineStr">
        <is>
          <t>UNVERIFIED</t>
        </is>
      </c>
      <c r="P914" s="43" t="inlineStr">
        <is>
          <t>Pending Review</t>
        </is>
      </c>
      <c r="Q914" s="33" t="inlineStr">
        <is>
          <t>Confirmar SKU/PCBA revision, PN exacto en Common DB, WO, BU, vigencia, planta y aprobacion firmada.</t>
        </is>
      </c>
    </row>
    <row r="915">
      <c r="A915" s="43" t="inlineStr">
        <is>
          <t>CTANJZ05142</t>
        </is>
      </c>
      <c r="B915" s="43" t="inlineStr">
        <is>
          <t>D609946</t>
        </is>
      </c>
      <c r="C915" s="43" t="inlineStr">
        <is>
          <t>037-STBU</t>
        </is>
      </c>
      <c r="D915" s="43" t="inlineStr">
        <is>
          <t>FJZP</t>
        </is>
      </c>
      <c r="E915" s="43" t="inlineStr">
        <is>
          <t>MCGA</t>
        </is>
      </c>
      <c r="F915" s="43" t="inlineStr">
        <is>
          <t>68-103418-01</t>
        </is>
      </c>
      <c r="G915" s="43" t="inlineStr">
        <is>
          <t>OTHER_SCOPE_ITEM</t>
        </is>
      </c>
      <c r="H915" s="43" t="inlineStr"/>
      <c r="I915" s="43" t="inlineStr">
        <is>
          <t>Expired</t>
        </is>
      </c>
      <c r="J915" s="32" t="n">
        <v>46181</v>
      </c>
      <c r="K915" s="32" t="n">
        <v>46121</v>
      </c>
      <c r="L915" s="43" t="inlineStr">
        <is>
          <t>1193</t>
        </is>
      </c>
      <c r="M915" s="43" t="n">
        <v>1</v>
      </c>
      <c r="N915" s="33" t="inlineStr"/>
      <c r="O915" s="43" t="inlineStr">
        <is>
          <t>UNVERIFIED</t>
        </is>
      </c>
      <c r="P915" s="43" t="inlineStr">
        <is>
          <t>Pending Review</t>
        </is>
      </c>
      <c r="Q915" s="33" t="inlineStr">
        <is>
          <t>Confirmar SKU/PCBA revision, PN exacto en Common DB, WO, BU, vigencia, planta y aprobacion firmada.</t>
        </is>
      </c>
    </row>
    <row r="916">
      <c r="A916" s="43" t="inlineStr">
        <is>
          <t>CTANJZ05142</t>
        </is>
      </c>
      <c r="B916" s="43" t="inlineStr">
        <is>
          <t>D609946</t>
        </is>
      </c>
      <c r="C916" s="43" t="inlineStr">
        <is>
          <t>037-STBU</t>
        </is>
      </c>
      <c r="D916" s="43" t="inlineStr">
        <is>
          <t>FJZP</t>
        </is>
      </c>
      <c r="E916" s="43" t="inlineStr">
        <is>
          <t>MCGA</t>
        </is>
      </c>
      <c r="F916" s="43" t="inlineStr">
        <is>
          <t>74-126726-01</t>
        </is>
      </c>
      <c r="G916" s="43" t="inlineStr">
        <is>
          <t>OTHER_SCOPE_ITEM</t>
        </is>
      </c>
      <c r="H916" s="43" t="inlineStr"/>
      <c r="I916" s="43" t="inlineStr">
        <is>
          <t>Expired</t>
        </is>
      </c>
      <c r="J916" s="32" t="n">
        <v>46181</v>
      </c>
      <c r="K916" s="32" t="n">
        <v>46121</v>
      </c>
      <c r="L916" s="43" t="inlineStr">
        <is>
          <t>1194</t>
        </is>
      </c>
      <c r="M916" s="43" t="n">
        <v>1</v>
      </c>
      <c r="N916" s="33" t="inlineStr"/>
      <c r="O916" s="43" t="inlineStr">
        <is>
          <t>UNVERIFIED</t>
        </is>
      </c>
      <c r="P916" s="43" t="inlineStr">
        <is>
          <t>Pending Review</t>
        </is>
      </c>
      <c r="Q916" s="33" t="inlineStr">
        <is>
          <t>Confirmar SKU/PCBA revision, PN exacto en Common DB, WO, BU, vigencia, planta y aprobacion firmada.</t>
        </is>
      </c>
    </row>
    <row r="917">
      <c r="A917" s="43" t="inlineStr">
        <is>
          <t>CTANJZ05143</t>
        </is>
      </c>
      <c r="B917" s="43" t="inlineStr">
        <is>
          <t>D608560</t>
        </is>
      </c>
      <c r="C917" s="43" t="inlineStr">
        <is>
          <t>037-STBU</t>
        </is>
      </c>
      <c r="D917" s="43" t="inlineStr">
        <is>
          <t>FJZP</t>
        </is>
      </c>
      <c r="E917" s="43" t="inlineStr">
        <is>
          <t>MCGA</t>
        </is>
      </c>
      <c r="F917" s="43" t="inlineStr">
        <is>
          <t>55-0584-01</t>
        </is>
      </c>
      <c r="G917" s="43" t="inlineStr">
        <is>
          <t>OTHER_SCOPE_ITEM</t>
        </is>
      </c>
      <c r="H917" s="43" t="inlineStr"/>
      <c r="I917" s="43" t="inlineStr">
        <is>
          <t>Expired</t>
        </is>
      </c>
      <c r="J917" s="32" t="n">
        <v>46181</v>
      </c>
      <c r="K917" s="32" t="n">
        <v>46121</v>
      </c>
      <c r="L917" s="43" t="inlineStr">
        <is>
          <t>1195</t>
        </is>
      </c>
      <c r="M917" s="43" t="n">
        <v>1</v>
      </c>
      <c r="N917" s="33" t="inlineStr"/>
      <c r="O917" s="43" t="inlineStr">
        <is>
          <t>UNVERIFIED</t>
        </is>
      </c>
      <c r="P917" s="43" t="inlineStr">
        <is>
          <t>Pending Review</t>
        </is>
      </c>
      <c r="Q917" s="33" t="inlineStr">
        <is>
          <t>Confirmar SKU/PCBA revision, PN exacto en Common DB, WO, BU, vigencia, planta y aprobacion firmada.</t>
        </is>
      </c>
    </row>
    <row r="918">
      <c r="A918" s="43" t="inlineStr">
        <is>
          <t>CTANJZ05143</t>
        </is>
      </c>
      <c r="B918" s="43" t="inlineStr">
        <is>
          <t>D608560</t>
        </is>
      </c>
      <c r="C918" s="43" t="inlineStr">
        <is>
          <t>037-STBU</t>
        </is>
      </c>
      <c r="D918" s="43" t="inlineStr">
        <is>
          <t>FJZP</t>
        </is>
      </c>
      <c r="E918" s="43" t="inlineStr">
        <is>
          <t>MCGA</t>
        </is>
      </c>
      <c r="F918" s="43" t="inlineStr">
        <is>
          <t>55-103733-01</t>
        </is>
      </c>
      <c r="G918" s="43" t="inlineStr">
        <is>
          <t>OTHER_SCOPE_ITEM</t>
        </is>
      </c>
      <c r="H918" s="43" t="inlineStr"/>
      <c r="I918" s="43" t="inlineStr">
        <is>
          <t>Expired</t>
        </is>
      </c>
      <c r="J918" s="32" t="n">
        <v>46181</v>
      </c>
      <c r="K918" s="32" t="n">
        <v>46121</v>
      </c>
      <c r="L918" s="43" t="inlineStr">
        <is>
          <t>1196</t>
        </is>
      </c>
      <c r="M918" s="43" t="n">
        <v>1</v>
      </c>
      <c r="N918" s="33" t="inlineStr"/>
      <c r="O918" s="43" t="inlineStr">
        <is>
          <t>UNVERIFIED</t>
        </is>
      </c>
      <c r="P918" s="43" t="inlineStr">
        <is>
          <t>Pending Review</t>
        </is>
      </c>
      <c r="Q918" s="33" t="inlineStr">
        <is>
          <t>Confirmar SKU/PCBA revision, PN exacto en Common DB, WO, BU, vigencia, planta y aprobacion firmada.</t>
        </is>
      </c>
    </row>
    <row r="919">
      <c r="A919" s="43" t="inlineStr">
        <is>
          <t>CTANJZ05144</t>
        </is>
      </c>
      <c r="B919" s="43" t="inlineStr">
        <is>
          <t>D610061</t>
        </is>
      </c>
      <c r="C919" s="43" t="inlineStr">
        <is>
          <t>035-CVEBU</t>
        </is>
      </c>
      <c r="D919" s="43" t="inlineStr">
        <is>
          <t>FJZP</t>
        </is>
      </c>
      <c r="E919" s="43" t="inlineStr">
        <is>
          <t>MCGA</t>
        </is>
      </c>
      <c r="F919" s="43" t="inlineStr">
        <is>
          <t>15-110893-01</t>
        </is>
      </c>
      <c r="G919" s="43" t="inlineStr">
        <is>
          <t>OTHER_SCOPE_ITEM</t>
        </is>
      </c>
      <c r="H919" s="43" t="inlineStr"/>
      <c r="I919" s="43" t="inlineStr">
        <is>
          <t>Expired</t>
        </is>
      </c>
      <c r="J919" s="32" t="n">
        <v>46181</v>
      </c>
      <c r="K919" s="32" t="n">
        <v>46100</v>
      </c>
      <c r="L919" s="43" t="inlineStr">
        <is>
          <t>1150</t>
        </is>
      </c>
      <c r="M919" s="43" t="n">
        <v>1</v>
      </c>
      <c r="N919" s="33" t="inlineStr"/>
      <c r="O919" s="43" t="inlineStr">
        <is>
          <t>UNVERIFIED</t>
        </is>
      </c>
      <c r="P919" s="43" t="inlineStr">
        <is>
          <t>Pending Review</t>
        </is>
      </c>
      <c r="Q919" s="33" t="inlineStr">
        <is>
          <t>Confirmar SKU/PCBA revision, PN exacto en Common DB, WO, BU, vigencia, planta y aprobacion firmada.</t>
        </is>
      </c>
    </row>
    <row r="920">
      <c r="A920" s="43" t="inlineStr">
        <is>
          <t>CTANJZ05144</t>
        </is>
      </c>
      <c r="B920" s="43" t="inlineStr">
        <is>
          <t>D610061</t>
        </is>
      </c>
      <c r="C920" s="43" t="inlineStr">
        <is>
          <t>035-CVEBU</t>
        </is>
      </c>
      <c r="D920" s="43" t="inlineStr">
        <is>
          <t>FJZP</t>
        </is>
      </c>
      <c r="E920" s="43" t="inlineStr">
        <is>
          <t>MCGA</t>
        </is>
      </c>
      <c r="F920" s="43" t="inlineStr">
        <is>
          <t>15-110981-01</t>
        </is>
      </c>
      <c r="G920" s="43" t="inlineStr">
        <is>
          <t>OTHER_SCOPE_ITEM</t>
        </is>
      </c>
      <c r="H920" s="43" t="inlineStr"/>
      <c r="I920" s="43" t="inlineStr">
        <is>
          <t>Expired</t>
        </is>
      </c>
      <c r="J920" s="32" t="n">
        <v>46181</v>
      </c>
      <c r="K920" s="32" t="n">
        <v>46100</v>
      </c>
      <c r="L920" s="43" t="inlineStr">
        <is>
          <t>1190</t>
        </is>
      </c>
      <c r="M920" s="43" t="n">
        <v>1</v>
      </c>
      <c r="N920" s="33" t="inlineStr"/>
      <c r="O920" s="43" t="inlineStr">
        <is>
          <t>UNVERIFIED</t>
        </is>
      </c>
      <c r="P920" s="43" t="inlineStr">
        <is>
          <t>Pending Review</t>
        </is>
      </c>
      <c r="Q920" s="33" t="inlineStr">
        <is>
          <t>Confirmar SKU/PCBA revision, PN exacto en Common DB, WO, BU, vigencia, planta y aprobacion firmada.</t>
        </is>
      </c>
    </row>
    <row r="921">
      <c r="A921" s="43" t="inlineStr">
        <is>
          <t>CTANJZ05144</t>
        </is>
      </c>
      <c r="B921" s="43" t="inlineStr">
        <is>
          <t>D610061</t>
        </is>
      </c>
      <c r="C921" s="43" t="inlineStr">
        <is>
          <t>035-CVEBU</t>
        </is>
      </c>
      <c r="D921" s="43" t="inlineStr">
        <is>
          <t>FJZP</t>
        </is>
      </c>
      <c r="E921" s="43" t="inlineStr">
        <is>
          <t>MCGA</t>
        </is>
      </c>
      <c r="F921" s="43" t="inlineStr">
        <is>
          <t>73-103826-05</t>
        </is>
      </c>
      <c r="G921" s="43" t="inlineStr">
        <is>
          <t>BOARD_PN_CANDIDATE</t>
        </is>
      </c>
      <c r="H921" s="43" t="inlineStr">
        <is>
          <t>BAYFRONT</t>
        </is>
      </c>
      <c r="I921" s="43" t="inlineStr">
        <is>
          <t>Expired</t>
        </is>
      </c>
      <c r="J921" s="32" t="n">
        <v>46181</v>
      </c>
      <c r="K921" s="32" t="n">
        <v>46100</v>
      </c>
      <c r="L921" s="43" t="inlineStr">
        <is>
          <t>1191</t>
        </is>
      </c>
      <c r="M921" s="43" t="n">
        <v>1</v>
      </c>
      <c r="N921" s="33" t="inlineStr"/>
      <c r="O921" s="43" t="inlineStr">
        <is>
          <t>UNVERIFIED</t>
        </is>
      </c>
      <c r="P921" s="43" t="inlineStr">
        <is>
          <t>Pending Review</t>
        </is>
      </c>
      <c r="Q921" s="33" t="inlineStr">
        <is>
          <t>Confirmar SKU/PCBA revision, PN exacto en Common DB, WO, BU, vigencia, planta y aprobacion firmada.</t>
        </is>
      </c>
    </row>
    <row r="922">
      <c r="A922" s="43" t="inlineStr">
        <is>
          <t>CTANJZ05145</t>
        </is>
      </c>
      <c r="B922" s="43" t="inlineStr">
        <is>
          <t>D609994</t>
        </is>
      </c>
      <c r="C922" s="43" t="inlineStr">
        <is>
          <t>037-STBU</t>
        </is>
      </c>
      <c r="D922" s="43" t="inlineStr">
        <is>
          <t>FJZP</t>
        </is>
      </c>
      <c r="E922" s="43" t="inlineStr">
        <is>
          <t>MCGA</t>
        </is>
      </c>
      <c r="F922" s="43" t="inlineStr">
        <is>
          <t>16-101652-01</t>
        </is>
      </c>
      <c r="G922" s="43" t="inlineStr">
        <is>
          <t>OTHER_SCOPE_ITEM</t>
        </is>
      </c>
      <c r="H922" s="43" t="inlineStr"/>
      <c r="I922" s="43" t="inlineStr">
        <is>
          <t>Expired</t>
        </is>
      </c>
      <c r="J922" s="32" t="n">
        <v>46183</v>
      </c>
      <c r="K922" s="32" t="n">
        <v>46121</v>
      </c>
      <c r="L922" s="43" t="inlineStr">
        <is>
          <t>1017</t>
        </is>
      </c>
      <c r="M922" s="43" t="n">
        <v>1</v>
      </c>
      <c r="N922" s="33" t="inlineStr"/>
      <c r="O922" s="43" t="inlineStr">
        <is>
          <t>UNVERIFIED</t>
        </is>
      </c>
      <c r="P922" s="43" t="inlineStr">
        <is>
          <t>Pending Review</t>
        </is>
      </c>
      <c r="Q922" s="33" t="inlineStr">
        <is>
          <t>Confirmar SKU/PCBA revision, PN exacto en Common DB, WO, BU, vigencia, planta y aprobacion firmada.</t>
        </is>
      </c>
    </row>
    <row r="923">
      <c r="A923" s="43" t="inlineStr">
        <is>
          <t>CTANJZ05145</t>
        </is>
      </c>
      <c r="B923" s="43" t="inlineStr">
        <is>
          <t>D609994</t>
        </is>
      </c>
      <c r="C923" s="43" t="inlineStr">
        <is>
          <t>037-STBU</t>
        </is>
      </c>
      <c r="D923" s="43" t="inlineStr">
        <is>
          <t>FJZP</t>
        </is>
      </c>
      <c r="E923" s="43" t="inlineStr">
        <is>
          <t>MCGA</t>
        </is>
      </c>
      <c r="F923" s="43" t="inlineStr">
        <is>
          <t>68-103418-01</t>
        </is>
      </c>
      <c r="G923" s="43" t="inlineStr">
        <is>
          <t>OTHER_SCOPE_ITEM</t>
        </is>
      </c>
      <c r="H923" s="43" t="inlineStr"/>
      <c r="I923" s="43" t="inlineStr">
        <is>
          <t>Expired</t>
        </is>
      </c>
      <c r="J923" s="32" t="n">
        <v>46183</v>
      </c>
      <c r="K923" s="32" t="n">
        <v>46121</v>
      </c>
      <c r="L923" s="43" t="inlineStr">
        <is>
          <t>1018</t>
        </is>
      </c>
      <c r="M923" s="43" t="n">
        <v>1</v>
      </c>
      <c r="N923" s="33" t="inlineStr"/>
      <c r="O923" s="43" t="inlineStr">
        <is>
          <t>UNVERIFIED</t>
        </is>
      </c>
      <c r="P923" s="43" t="inlineStr">
        <is>
          <t>Pending Review</t>
        </is>
      </c>
      <c r="Q923" s="33" t="inlineStr">
        <is>
          <t>Confirmar SKU/PCBA revision, PN exacto en Common DB, WO, BU, vigencia, planta y aprobacion firmada.</t>
        </is>
      </c>
    </row>
    <row r="924">
      <c r="A924" s="43" t="inlineStr">
        <is>
          <t>CTANJZ05145</t>
        </is>
      </c>
      <c r="B924" s="43" t="inlineStr">
        <is>
          <t>D609994</t>
        </is>
      </c>
      <c r="C924" s="43" t="inlineStr">
        <is>
          <t>037-STBU</t>
        </is>
      </c>
      <c r="D924" s="43" t="inlineStr">
        <is>
          <t>FJZP</t>
        </is>
      </c>
      <c r="E924" s="43" t="inlineStr">
        <is>
          <t>MCGA</t>
        </is>
      </c>
      <c r="F924" s="43" t="inlineStr">
        <is>
          <t>68-7253-05</t>
        </is>
      </c>
      <c r="G924" s="43" t="inlineStr">
        <is>
          <t>OTHER_SCOPE_ITEM</t>
        </is>
      </c>
      <c r="H924" s="43" t="inlineStr"/>
      <c r="I924" s="43" t="inlineStr">
        <is>
          <t>Expired</t>
        </is>
      </c>
      <c r="J924" s="32" t="n">
        <v>46183</v>
      </c>
      <c r="K924" s="32" t="n">
        <v>46121</v>
      </c>
      <c r="L924" s="43" t="inlineStr">
        <is>
          <t>1019</t>
        </is>
      </c>
      <c r="M924" s="43" t="n">
        <v>1</v>
      </c>
      <c r="N924" s="33" t="inlineStr"/>
      <c r="O924" s="43" t="inlineStr">
        <is>
          <t>UNVERIFIED</t>
        </is>
      </c>
      <c r="P924" s="43" t="inlineStr">
        <is>
          <t>Pending Review</t>
        </is>
      </c>
      <c r="Q924" s="33" t="inlineStr">
        <is>
          <t>Confirmar SKU/PCBA revision, PN exacto en Common DB, WO, BU, vigencia, planta y aprobacion firmada.</t>
        </is>
      </c>
    </row>
    <row r="925">
      <c r="A925" s="43" t="inlineStr">
        <is>
          <t>CTANJZ05145</t>
        </is>
      </c>
      <c r="B925" s="43" t="inlineStr">
        <is>
          <t>D609994</t>
        </is>
      </c>
      <c r="C925" s="43" t="inlineStr">
        <is>
          <t>037-STBU</t>
        </is>
      </c>
      <c r="D925" s="43" t="inlineStr">
        <is>
          <t>FJZP</t>
        </is>
      </c>
      <c r="E925" s="43" t="inlineStr">
        <is>
          <t>MCGA</t>
        </is>
      </c>
      <c r="F925" s="43" t="inlineStr">
        <is>
          <t>68-7254-05</t>
        </is>
      </c>
      <c r="G925" s="43" t="inlineStr">
        <is>
          <t>OTHER_SCOPE_ITEM</t>
        </is>
      </c>
      <c r="H925" s="43" t="inlineStr"/>
      <c r="I925" s="43" t="inlineStr">
        <is>
          <t>Expired</t>
        </is>
      </c>
      <c r="J925" s="32" t="n">
        <v>46183</v>
      </c>
      <c r="K925" s="32" t="n">
        <v>46121</v>
      </c>
      <c r="L925" s="43" t="inlineStr">
        <is>
          <t>1020</t>
        </is>
      </c>
      <c r="M925" s="43" t="n">
        <v>1</v>
      </c>
      <c r="N925" s="33" t="inlineStr"/>
      <c r="O925" s="43" t="inlineStr">
        <is>
          <t>UNVERIFIED</t>
        </is>
      </c>
      <c r="P925" s="43" t="inlineStr">
        <is>
          <t>Pending Review</t>
        </is>
      </c>
      <c r="Q925" s="33" t="inlineStr">
        <is>
          <t>Confirmar SKU/PCBA revision, PN exacto en Common DB, WO, BU, vigencia, planta y aprobacion firmada.</t>
        </is>
      </c>
    </row>
    <row r="926">
      <c r="A926" s="43" t="inlineStr">
        <is>
          <t>CTANJZ05145</t>
        </is>
      </c>
      <c r="B926" s="43" t="inlineStr">
        <is>
          <t>D609994</t>
        </is>
      </c>
      <c r="C926" s="43" t="inlineStr">
        <is>
          <t>037-STBU</t>
        </is>
      </c>
      <c r="D926" s="43" t="inlineStr">
        <is>
          <t>FJZP</t>
        </is>
      </c>
      <c r="E926" s="43" t="inlineStr">
        <is>
          <t>MCGA</t>
        </is>
      </c>
      <c r="F926" s="43" t="inlineStr">
        <is>
          <t>68-7255-05</t>
        </is>
      </c>
      <c r="G926" s="43" t="inlineStr">
        <is>
          <t>OTHER_SCOPE_ITEM</t>
        </is>
      </c>
      <c r="H926" s="43" t="inlineStr"/>
      <c r="I926" s="43" t="inlineStr">
        <is>
          <t>Expired</t>
        </is>
      </c>
      <c r="J926" s="32" t="n">
        <v>46183</v>
      </c>
      <c r="K926" s="32" t="n">
        <v>46121</v>
      </c>
      <c r="L926" s="43" t="inlineStr">
        <is>
          <t>1076</t>
        </is>
      </c>
      <c r="M926" s="43" t="n">
        <v>1</v>
      </c>
      <c r="N926" s="33" t="inlineStr"/>
      <c r="O926" s="43" t="inlineStr">
        <is>
          <t>UNVERIFIED</t>
        </is>
      </c>
      <c r="P926" s="43" t="inlineStr">
        <is>
          <t>Pending Review</t>
        </is>
      </c>
      <c r="Q926" s="33" t="inlineStr">
        <is>
          <t>Confirmar SKU/PCBA revision, PN exacto en Common DB, WO, BU, vigencia, planta y aprobacion firmada.</t>
        </is>
      </c>
    </row>
    <row r="927">
      <c r="A927" s="43" t="inlineStr">
        <is>
          <t>CTANJZ05145</t>
        </is>
      </c>
      <c r="B927" s="43" t="inlineStr">
        <is>
          <t>D609994</t>
        </is>
      </c>
      <c r="C927" s="43" t="inlineStr">
        <is>
          <t>037-STBU</t>
        </is>
      </c>
      <c r="D927" s="43" t="inlineStr">
        <is>
          <t>FJZP</t>
        </is>
      </c>
      <c r="E927" s="43" t="inlineStr">
        <is>
          <t>MCGA</t>
        </is>
      </c>
      <c r="F927" s="43" t="inlineStr">
        <is>
          <t>68-7256-05</t>
        </is>
      </c>
      <c r="G927" s="43" t="inlineStr">
        <is>
          <t>OTHER_SCOPE_ITEM</t>
        </is>
      </c>
      <c r="H927" s="43" t="inlineStr"/>
      <c r="I927" s="43" t="inlineStr">
        <is>
          <t>Expired</t>
        </is>
      </c>
      <c r="J927" s="32" t="n">
        <v>46183</v>
      </c>
      <c r="K927" s="32" t="n">
        <v>46121</v>
      </c>
      <c r="L927" s="43" t="inlineStr">
        <is>
          <t>1077</t>
        </is>
      </c>
      <c r="M927" s="43" t="n">
        <v>1</v>
      </c>
      <c r="N927" s="33" t="inlineStr"/>
      <c r="O927" s="43" t="inlineStr">
        <is>
          <t>UNVERIFIED</t>
        </is>
      </c>
      <c r="P927" s="43" t="inlineStr">
        <is>
          <t>Pending Review</t>
        </is>
      </c>
      <c r="Q927" s="33" t="inlineStr">
        <is>
          <t>Confirmar SKU/PCBA revision, PN exacto en Common DB, WO, BU, vigencia, planta y aprobacion firmada.</t>
        </is>
      </c>
    </row>
    <row r="928">
      <c r="A928" s="43" t="inlineStr">
        <is>
          <t>CTANJZ05145</t>
        </is>
      </c>
      <c r="B928" s="43" t="inlineStr">
        <is>
          <t>D609994</t>
        </is>
      </c>
      <c r="C928" s="43" t="inlineStr">
        <is>
          <t>037-STBU</t>
        </is>
      </c>
      <c r="D928" s="43" t="inlineStr">
        <is>
          <t>FJZP</t>
        </is>
      </c>
      <c r="E928" s="43" t="inlineStr">
        <is>
          <t>MCGA</t>
        </is>
      </c>
      <c r="F928" s="43" t="inlineStr">
        <is>
          <t>68-7638-02</t>
        </is>
      </c>
      <c r="G928" s="43" t="inlineStr">
        <is>
          <t>OTHER_SCOPE_ITEM</t>
        </is>
      </c>
      <c r="H928" s="43" t="inlineStr"/>
      <c r="I928" s="43" t="inlineStr">
        <is>
          <t>Expired</t>
        </is>
      </c>
      <c r="J928" s="32" t="n">
        <v>46183</v>
      </c>
      <c r="K928" s="32" t="n">
        <v>46121</v>
      </c>
      <c r="L928" s="43" t="inlineStr">
        <is>
          <t>1078</t>
        </is>
      </c>
      <c r="M928" s="43" t="n">
        <v>1</v>
      </c>
      <c r="N928" s="33" t="inlineStr"/>
      <c r="O928" s="43" t="inlineStr">
        <is>
          <t>UNVERIFIED</t>
        </is>
      </c>
      <c r="P928" s="43" t="inlineStr">
        <is>
          <t>Pending Review</t>
        </is>
      </c>
      <c r="Q928" s="33" t="inlineStr">
        <is>
          <t>Confirmar SKU/PCBA revision, PN exacto en Common DB, WO, BU, vigencia, planta y aprobacion firmada.</t>
        </is>
      </c>
    </row>
    <row r="929">
      <c r="A929" s="43" t="inlineStr">
        <is>
          <t>CTANJZ05145</t>
        </is>
      </c>
      <c r="B929" s="43" t="inlineStr">
        <is>
          <t>D609994</t>
        </is>
      </c>
      <c r="C929" s="43" t="inlineStr">
        <is>
          <t>037-STBU</t>
        </is>
      </c>
      <c r="D929" s="43" t="inlineStr">
        <is>
          <t>FJZP</t>
        </is>
      </c>
      <c r="E929" s="43" t="inlineStr">
        <is>
          <t>MCGA</t>
        </is>
      </c>
      <c r="F929" s="43" t="inlineStr">
        <is>
          <t>74-126726-01</t>
        </is>
      </c>
      <c r="G929" s="43" t="inlineStr">
        <is>
          <t>OTHER_SCOPE_ITEM</t>
        </is>
      </c>
      <c r="H929" s="43" t="inlineStr"/>
      <c r="I929" s="43" t="inlineStr">
        <is>
          <t>Expired</t>
        </is>
      </c>
      <c r="J929" s="32" t="n">
        <v>46183</v>
      </c>
      <c r="K929" s="32" t="n">
        <v>46121</v>
      </c>
      <c r="L929" s="43" t="inlineStr">
        <is>
          <t>1079</t>
        </is>
      </c>
      <c r="M929" s="43" t="n">
        <v>1</v>
      </c>
      <c r="N929" s="33" t="inlineStr"/>
      <c r="O929" s="43" t="inlineStr">
        <is>
          <t>UNVERIFIED</t>
        </is>
      </c>
      <c r="P929" s="43" t="inlineStr">
        <is>
          <t>Pending Review</t>
        </is>
      </c>
      <c r="Q929" s="33" t="inlineStr">
        <is>
          <t>Confirmar SKU/PCBA revision, PN exacto en Common DB, WO, BU, vigencia, planta y aprobacion firmada.</t>
        </is>
      </c>
    </row>
    <row r="930">
      <c r="A930" s="43" t="inlineStr">
        <is>
          <t>CTANJZ05146</t>
        </is>
      </c>
      <c r="B930" s="43" t="inlineStr">
        <is>
          <t>D610073</t>
        </is>
      </c>
      <c r="C930" s="43" t="inlineStr">
        <is>
          <t>239-CRBU</t>
        </is>
      </c>
      <c r="D930" s="43" t="inlineStr">
        <is>
          <t>FJZP</t>
        </is>
      </c>
      <c r="E930" s="43" t="inlineStr">
        <is>
          <t>MCGA</t>
        </is>
      </c>
      <c r="F930" s="43" t="inlineStr">
        <is>
          <t>51-103496-01</t>
        </is>
      </c>
      <c r="G930" s="43" t="inlineStr">
        <is>
          <t>OTHER_SCOPE_ITEM</t>
        </is>
      </c>
      <c r="H930" s="43" t="inlineStr"/>
      <c r="I930" s="43" t="inlineStr">
        <is>
          <t>Expired</t>
        </is>
      </c>
      <c r="J930" s="32" t="n">
        <v>46186</v>
      </c>
      <c r="K930" s="32" t="n">
        <v>46107</v>
      </c>
      <c r="L930" s="43" t="inlineStr">
        <is>
          <t>1080</t>
        </is>
      </c>
      <c r="M930" s="43" t="n">
        <v>1</v>
      </c>
      <c r="N930" s="33" t="inlineStr"/>
      <c r="O930" s="43" t="inlineStr">
        <is>
          <t>UNVERIFIED</t>
        </is>
      </c>
      <c r="P930" s="43" t="inlineStr">
        <is>
          <t>Pending Review</t>
        </is>
      </c>
      <c r="Q930" s="33" t="inlineStr">
        <is>
          <t>Confirmar SKU/PCBA revision, PN exacto en Common DB, WO, BU, vigencia, planta y aprobacion firmada.</t>
        </is>
      </c>
    </row>
    <row r="931">
      <c r="A931" s="43" t="inlineStr">
        <is>
          <t>CTANJZ05146</t>
        </is>
      </c>
      <c r="B931" s="43" t="inlineStr">
        <is>
          <t>D610073</t>
        </is>
      </c>
      <c r="C931" s="43" t="inlineStr">
        <is>
          <t>239-CRBU</t>
        </is>
      </c>
      <c r="D931" s="43" t="inlineStr">
        <is>
          <t>FJZP</t>
        </is>
      </c>
      <c r="E931" s="43" t="inlineStr">
        <is>
          <t>MCGA</t>
        </is>
      </c>
      <c r="F931" s="43" t="inlineStr">
        <is>
          <t>68-6577-12</t>
        </is>
      </c>
      <c r="G931" s="43" t="inlineStr">
        <is>
          <t>OTHER_SCOPE_ITEM</t>
        </is>
      </c>
      <c r="H931" s="43" t="inlineStr"/>
      <c r="I931" s="43" t="inlineStr">
        <is>
          <t>Expired</t>
        </is>
      </c>
      <c r="J931" s="32" t="n">
        <v>46186</v>
      </c>
      <c r="K931" s="32" t="n">
        <v>46107</v>
      </c>
      <c r="L931" s="43" t="inlineStr">
        <is>
          <t>1081</t>
        </is>
      </c>
      <c r="M931" s="43" t="n">
        <v>1</v>
      </c>
      <c r="N931" s="33" t="inlineStr"/>
      <c r="O931" s="43" t="inlineStr">
        <is>
          <t>UNVERIFIED</t>
        </is>
      </c>
      <c r="P931" s="43" t="inlineStr">
        <is>
          <t>Pending Review</t>
        </is>
      </c>
      <c r="Q931" s="33" t="inlineStr">
        <is>
          <t>Confirmar SKU/PCBA revision, PN exacto en Common DB, WO, BU, vigencia, planta y aprobacion firmada.</t>
        </is>
      </c>
    </row>
    <row r="932">
      <c r="A932" s="43" t="inlineStr">
        <is>
          <t>CTANJZ05146</t>
        </is>
      </c>
      <c r="B932" s="43" t="inlineStr">
        <is>
          <t>D610073</t>
        </is>
      </c>
      <c r="C932" s="43" t="inlineStr">
        <is>
          <t>239-CRBU</t>
        </is>
      </c>
      <c r="D932" s="43" t="inlineStr">
        <is>
          <t>FJZP</t>
        </is>
      </c>
      <c r="E932" s="43" t="inlineStr">
        <is>
          <t>MCGA</t>
        </is>
      </c>
      <c r="F932" s="43" t="inlineStr">
        <is>
          <t>68-6686-08</t>
        </is>
      </c>
      <c r="G932" s="43" t="inlineStr">
        <is>
          <t>OTHER_SCOPE_ITEM</t>
        </is>
      </c>
      <c r="H932" s="43" t="inlineStr"/>
      <c r="I932" s="43" t="inlineStr">
        <is>
          <t>Expired</t>
        </is>
      </c>
      <c r="J932" s="32" t="n">
        <v>46186</v>
      </c>
      <c r="K932" s="32" t="n">
        <v>46107</v>
      </c>
      <c r="L932" s="43" t="inlineStr">
        <is>
          <t>1082</t>
        </is>
      </c>
      <c r="M932" s="43" t="n">
        <v>1</v>
      </c>
      <c r="N932" s="33" t="inlineStr"/>
      <c r="O932" s="43" t="inlineStr">
        <is>
          <t>UNVERIFIED</t>
        </is>
      </c>
      <c r="P932" s="43" t="inlineStr">
        <is>
          <t>Pending Review</t>
        </is>
      </c>
      <c r="Q932" s="33" t="inlineStr">
        <is>
          <t>Confirmar SKU/PCBA revision, PN exacto en Common DB, WO, BU, vigencia, planta y aprobacion firmada.</t>
        </is>
      </c>
    </row>
    <row r="933">
      <c r="A933" s="43" t="inlineStr">
        <is>
          <t>CTANJZ05146</t>
        </is>
      </c>
      <c r="B933" s="43" t="inlineStr">
        <is>
          <t>D610073</t>
        </is>
      </c>
      <c r="C933" s="43" t="inlineStr">
        <is>
          <t>239-CRBU</t>
        </is>
      </c>
      <c r="D933" s="43" t="inlineStr">
        <is>
          <t>FJZP</t>
        </is>
      </c>
      <c r="E933" s="43" t="inlineStr">
        <is>
          <t>MCGA</t>
        </is>
      </c>
      <c r="F933" s="43" t="inlineStr">
        <is>
          <t>68-7195-09</t>
        </is>
      </c>
      <c r="G933" s="43" t="inlineStr">
        <is>
          <t>OTHER_SCOPE_ITEM</t>
        </is>
      </c>
      <c r="H933" s="43" t="inlineStr"/>
      <c r="I933" s="43" t="inlineStr">
        <is>
          <t>Expired</t>
        </is>
      </c>
      <c r="J933" s="32" t="n">
        <v>46186</v>
      </c>
      <c r="K933" s="32" t="n">
        <v>46107</v>
      </c>
      <c r="L933" s="43" t="inlineStr">
        <is>
          <t>1083</t>
        </is>
      </c>
      <c r="M933" s="43" t="n">
        <v>1</v>
      </c>
      <c r="N933" s="33" t="inlineStr"/>
      <c r="O933" s="43" t="inlineStr">
        <is>
          <t>UNVERIFIED</t>
        </is>
      </c>
      <c r="P933" s="43" t="inlineStr">
        <is>
          <t>Pending Review</t>
        </is>
      </c>
      <c r="Q933" s="33" t="inlineStr">
        <is>
          <t>Confirmar SKU/PCBA revision, PN exacto en Common DB, WO, BU, vigencia, planta y aprobacion firmada.</t>
        </is>
      </c>
    </row>
    <row r="934">
      <c r="A934" s="43" t="inlineStr">
        <is>
          <t>CTANJZ05146</t>
        </is>
      </c>
      <c r="B934" s="43" t="inlineStr">
        <is>
          <t>D610073</t>
        </is>
      </c>
      <c r="C934" s="43" t="inlineStr">
        <is>
          <t>239-CRBU</t>
        </is>
      </c>
      <c r="D934" s="43" t="inlineStr">
        <is>
          <t>FJZP</t>
        </is>
      </c>
      <c r="E934" s="43" t="inlineStr">
        <is>
          <t>MCGA</t>
        </is>
      </c>
      <c r="F934" s="43" t="inlineStr">
        <is>
          <t>68-7202-09</t>
        </is>
      </c>
      <c r="G934" s="43" t="inlineStr">
        <is>
          <t>OTHER_SCOPE_ITEM</t>
        </is>
      </c>
      <c r="H934" s="43" t="inlineStr"/>
      <c r="I934" s="43" t="inlineStr">
        <is>
          <t>Expired</t>
        </is>
      </c>
      <c r="J934" s="32" t="n">
        <v>46186</v>
      </c>
      <c r="K934" s="32" t="n">
        <v>46107</v>
      </c>
      <c r="L934" s="43" t="inlineStr">
        <is>
          <t>1090</t>
        </is>
      </c>
      <c r="M934" s="43" t="n">
        <v>1</v>
      </c>
      <c r="N934" s="33" t="inlineStr"/>
      <c r="O934" s="43" t="inlineStr">
        <is>
          <t>UNVERIFIED</t>
        </is>
      </c>
      <c r="P934" s="43" t="inlineStr">
        <is>
          <t>Pending Review</t>
        </is>
      </c>
      <c r="Q934" s="33" t="inlineStr">
        <is>
          <t>Confirmar SKU/PCBA revision, PN exacto en Common DB, WO, BU, vigencia, planta y aprobacion firmada.</t>
        </is>
      </c>
    </row>
    <row r="935">
      <c r="A935" s="43" t="inlineStr">
        <is>
          <t>CTANJZ05146</t>
        </is>
      </c>
      <c r="B935" s="43" t="inlineStr">
        <is>
          <t>D610073</t>
        </is>
      </c>
      <c r="C935" s="43" t="inlineStr">
        <is>
          <t>239-CRBU</t>
        </is>
      </c>
      <c r="D935" s="43" t="inlineStr">
        <is>
          <t>FJZP</t>
        </is>
      </c>
      <c r="E935" s="43" t="inlineStr">
        <is>
          <t>MCGA</t>
        </is>
      </c>
      <c r="F935" s="43" t="inlineStr">
        <is>
          <t>68-7261-07</t>
        </is>
      </c>
      <c r="G935" s="43" t="inlineStr">
        <is>
          <t>OTHER_SCOPE_ITEM</t>
        </is>
      </c>
      <c r="H935" s="43" t="inlineStr"/>
      <c r="I935" s="43" t="inlineStr">
        <is>
          <t>Expired</t>
        </is>
      </c>
      <c r="J935" s="32" t="n">
        <v>46186</v>
      </c>
      <c r="K935" s="32" t="n">
        <v>46107</v>
      </c>
      <c r="L935" s="43" t="inlineStr">
        <is>
          <t>1091</t>
        </is>
      </c>
      <c r="M935" s="43" t="n">
        <v>1</v>
      </c>
      <c r="N935" s="33" t="inlineStr"/>
      <c r="O935" s="43" t="inlineStr">
        <is>
          <t>UNVERIFIED</t>
        </is>
      </c>
      <c r="P935" s="43" t="inlineStr">
        <is>
          <t>Pending Review</t>
        </is>
      </c>
      <c r="Q935" s="33" t="inlineStr">
        <is>
          <t>Confirmar SKU/PCBA revision, PN exacto en Common DB, WO, BU, vigencia, planta y aprobacion firmada.</t>
        </is>
      </c>
    </row>
    <row r="936">
      <c r="A936" s="43" t="inlineStr">
        <is>
          <t>CTANJZ05146</t>
        </is>
      </c>
      <c r="B936" s="43" t="inlineStr">
        <is>
          <t>D610073</t>
        </is>
      </c>
      <c r="C936" s="43" t="inlineStr">
        <is>
          <t>239-CRBU</t>
        </is>
      </c>
      <c r="D936" s="43" t="inlineStr">
        <is>
          <t>FJZP</t>
        </is>
      </c>
      <c r="E936" s="43" t="inlineStr">
        <is>
          <t>MCGA</t>
        </is>
      </c>
      <c r="F936" s="43" t="inlineStr">
        <is>
          <t>68-7262-10</t>
        </is>
      </c>
      <c r="G936" s="43" t="inlineStr">
        <is>
          <t>OTHER_SCOPE_ITEM</t>
        </is>
      </c>
      <c r="H936" s="43" t="inlineStr"/>
      <c r="I936" s="43" t="inlineStr">
        <is>
          <t>Expired</t>
        </is>
      </c>
      <c r="J936" s="32" t="n">
        <v>46186</v>
      </c>
      <c r="K936" s="32" t="n">
        <v>46107</v>
      </c>
      <c r="L936" s="43" t="inlineStr">
        <is>
          <t>1092</t>
        </is>
      </c>
      <c r="M936" s="43" t="n">
        <v>1</v>
      </c>
      <c r="N936" s="33" t="inlineStr"/>
      <c r="O936" s="43" t="inlineStr">
        <is>
          <t>UNVERIFIED</t>
        </is>
      </c>
      <c r="P936" s="43" t="inlineStr">
        <is>
          <t>Pending Review</t>
        </is>
      </c>
      <c r="Q936" s="33" t="inlineStr">
        <is>
          <t>Confirmar SKU/PCBA revision, PN exacto en Common DB, WO, BU, vigencia, planta y aprobacion firmada.</t>
        </is>
      </c>
    </row>
    <row r="937">
      <c r="A937" s="43" t="inlineStr">
        <is>
          <t>CTANJZ05146</t>
        </is>
      </c>
      <c r="B937" s="43" t="inlineStr">
        <is>
          <t>D610073</t>
        </is>
      </c>
      <c r="C937" s="43" t="inlineStr">
        <is>
          <t>239-CRBU</t>
        </is>
      </c>
      <c r="D937" s="43" t="inlineStr">
        <is>
          <t>FJZP</t>
        </is>
      </c>
      <c r="E937" s="43" t="inlineStr">
        <is>
          <t>MCGA</t>
        </is>
      </c>
      <c r="F937" s="43" t="inlineStr">
        <is>
          <t>68-7393-03</t>
        </is>
      </c>
      <c r="G937" s="43" t="inlineStr">
        <is>
          <t>OTHER_SCOPE_ITEM</t>
        </is>
      </c>
      <c r="H937" s="43" t="inlineStr"/>
      <c r="I937" s="43" t="inlineStr">
        <is>
          <t>Expired</t>
        </is>
      </c>
      <c r="J937" s="32" t="n">
        <v>46186</v>
      </c>
      <c r="K937" s="32" t="n">
        <v>46107</v>
      </c>
      <c r="L937" s="43" t="inlineStr">
        <is>
          <t>1093</t>
        </is>
      </c>
      <c r="M937" s="43" t="n">
        <v>1</v>
      </c>
      <c r="N937" s="33" t="inlineStr"/>
      <c r="O937" s="43" t="inlineStr">
        <is>
          <t>UNVERIFIED</t>
        </is>
      </c>
      <c r="P937" s="43" t="inlineStr">
        <is>
          <t>Pending Review</t>
        </is>
      </c>
      <c r="Q937" s="33" t="inlineStr">
        <is>
          <t>Confirmar SKU/PCBA revision, PN exacto en Common DB, WO, BU, vigencia, planta y aprobacion firmada.</t>
        </is>
      </c>
    </row>
    <row r="938">
      <c r="A938" s="43" t="inlineStr">
        <is>
          <t>CTANJZ05146</t>
        </is>
      </c>
      <c r="B938" s="43" t="inlineStr">
        <is>
          <t>D610073</t>
        </is>
      </c>
      <c r="C938" s="43" t="inlineStr">
        <is>
          <t>239-CRBU</t>
        </is>
      </c>
      <c r="D938" s="43" t="inlineStr">
        <is>
          <t>FJZP</t>
        </is>
      </c>
      <c r="E938" s="43" t="inlineStr">
        <is>
          <t>MCGA</t>
        </is>
      </c>
      <c r="F938" s="43" t="inlineStr">
        <is>
          <t>68-7571-05</t>
        </is>
      </c>
      <c r="G938" s="43" t="inlineStr">
        <is>
          <t>OTHER_SCOPE_ITEM</t>
        </is>
      </c>
      <c r="H938" s="43" t="inlineStr"/>
      <c r="I938" s="43" t="inlineStr">
        <is>
          <t>Expired</t>
        </is>
      </c>
      <c r="J938" s="32" t="n">
        <v>46186</v>
      </c>
      <c r="K938" s="32" t="n">
        <v>46107</v>
      </c>
      <c r="L938" s="43" t="inlineStr">
        <is>
          <t>1094</t>
        </is>
      </c>
      <c r="M938" s="43" t="n">
        <v>1</v>
      </c>
      <c r="N938" s="33" t="inlineStr"/>
      <c r="O938" s="43" t="inlineStr">
        <is>
          <t>UNVERIFIED</t>
        </is>
      </c>
      <c r="P938" s="43" t="inlineStr">
        <is>
          <t>Pending Review</t>
        </is>
      </c>
      <c r="Q938" s="33" t="inlineStr">
        <is>
          <t>Confirmar SKU/PCBA revision, PN exacto en Common DB, WO, BU, vigencia, planta y aprobacion firmada.</t>
        </is>
      </c>
    </row>
    <row r="939">
      <c r="A939" s="43" t="inlineStr">
        <is>
          <t>CTANJZ05148</t>
        </is>
      </c>
      <c r="B939" s="43" t="inlineStr">
        <is>
          <t>D610094</t>
        </is>
      </c>
      <c r="C939" s="43" t="inlineStr">
        <is>
          <t>239-CRBU</t>
        </is>
      </c>
      <c r="D939" s="43" t="inlineStr">
        <is>
          <t>FJZP</t>
        </is>
      </c>
      <c r="E939" s="43" t="inlineStr">
        <is>
          <t>MCGA</t>
        </is>
      </c>
      <c r="F939" s="43" t="inlineStr">
        <is>
          <t>68-7184-09</t>
        </is>
      </c>
      <c r="G939" s="43" t="inlineStr">
        <is>
          <t>OTHER_SCOPE_ITEM</t>
        </is>
      </c>
      <c r="H939" s="43" t="inlineStr"/>
      <c r="I939" s="43" t="inlineStr">
        <is>
          <t>Expired</t>
        </is>
      </c>
      <c r="J939" s="32" t="n">
        <v>46188</v>
      </c>
      <c r="K939" s="32" t="n">
        <v>46133</v>
      </c>
      <c r="L939" s="43" t="inlineStr">
        <is>
          <t>52</t>
        </is>
      </c>
      <c r="M939" s="43" t="n">
        <v>1</v>
      </c>
      <c r="N939" s="33" t="inlineStr"/>
      <c r="O939" s="43" t="inlineStr">
        <is>
          <t>UNVERIFIED</t>
        </is>
      </c>
      <c r="P939" s="43" t="inlineStr">
        <is>
          <t>Pending Review</t>
        </is>
      </c>
      <c r="Q939" s="33" t="inlineStr">
        <is>
          <t>Confirmar SKU/PCBA revision, PN exacto en Common DB, WO, BU, vigencia, planta y aprobacion firmada.</t>
        </is>
      </c>
    </row>
    <row r="940">
      <c r="A940" s="43" t="inlineStr">
        <is>
          <t>CTANJZ05148</t>
        </is>
      </c>
      <c r="B940" s="43" t="inlineStr">
        <is>
          <t>D610094</t>
        </is>
      </c>
      <c r="C940" s="43" t="inlineStr">
        <is>
          <t>239-CRBU</t>
        </is>
      </c>
      <c r="D940" s="43" t="inlineStr">
        <is>
          <t>FJZP</t>
        </is>
      </c>
      <c r="E940" s="43" t="inlineStr">
        <is>
          <t>MCGA</t>
        </is>
      </c>
      <c r="F940" s="43" t="inlineStr">
        <is>
          <t>68-7393-03</t>
        </is>
      </c>
      <c r="G940" s="43" t="inlineStr">
        <is>
          <t>OTHER_SCOPE_ITEM</t>
        </is>
      </c>
      <c r="H940" s="43" t="inlineStr"/>
      <c r="I940" s="43" t="inlineStr">
        <is>
          <t>Expired</t>
        </is>
      </c>
      <c r="J940" s="32" t="n">
        <v>46188</v>
      </c>
      <c r="K940" s="32" t="n">
        <v>46133</v>
      </c>
      <c r="L940" s="43" t="inlineStr">
        <is>
          <t>102</t>
        </is>
      </c>
      <c r="M940" s="43" t="n">
        <v>1</v>
      </c>
      <c r="N940" s="33" t="inlineStr"/>
      <c r="O940" s="43" t="inlineStr">
        <is>
          <t>UNVERIFIED</t>
        </is>
      </c>
      <c r="P940" s="43" t="inlineStr">
        <is>
          <t>Pending Review</t>
        </is>
      </c>
      <c r="Q940" s="33" t="inlineStr">
        <is>
          <t>Confirmar SKU/PCBA revision, PN exacto en Common DB, WO, BU, vigencia, planta y aprobacion firmada.</t>
        </is>
      </c>
    </row>
    <row r="941">
      <c r="A941" s="43" t="inlineStr">
        <is>
          <t>CTANJZ05148</t>
        </is>
      </c>
      <c r="B941" s="43" t="inlineStr">
        <is>
          <t>D610094</t>
        </is>
      </c>
      <c r="C941" s="43" t="inlineStr">
        <is>
          <t>239-CRBU</t>
        </is>
      </c>
      <c r="D941" s="43" t="inlineStr">
        <is>
          <t>FJZP</t>
        </is>
      </c>
      <c r="E941" s="43" t="inlineStr">
        <is>
          <t>MCGA</t>
        </is>
      </c>
      <c r="F941" s="43" t="inlineStr">
        <is>
          <t>68-7406-09</t>
        </is>
      </c>
      <c r="G941" s="43" t="inlineStr">
        <is>
          <t>OTHER_SCOPE_ITEM</t>
        </is>
      </c>
      <c r="H941" s="43" t="inlineStr"/>
      <c r="I941" s="43" t="inlineStr">
        <is>
          <t>Expired</t>
        </is>
      </c>
      <c r="J941" s="32" t="n">
        <v>46188</v>
      </c>
      <c r="K941" s="32" t="n">
        <v>46133</v>
      </c>
      <c r="L941" s="43" t="inlineStr">
        <is>
          <t>103</t>
        </is>
      </c>
      <c r="M941" s="43" t="n">
        <v>1</v>
      </c>
      <c r="N941" s="33" t="inlineStr"/>
      <c r="O941" s="43" t="inlineStr">
        <is>
          <t>UNVERIFIED</t>
        </is>
      </c>
      <c r="P941" s="43" t="inlineStr">
        <is>
          <t>Pending Review</t>
        </is>
      </c>
      <c r="Q941" s="33" t="inlineStr">
        <is>
          <t>Confirmar SKU/PCBA revision, PN exacto en Common DB, WO, BU, vigencia, planta y aprobacion firmada.</t>
        </is>
      </c>
    </row>
    <row r="942">
      <c r="A942" s="43" t="inlineStr">
        <is>
          <t>CTANJZ05149</t>
        </is>
      </c>
      <c r="B942" s="43" t="inlineStr">
        <is>
          <t>D610093</t>
        </is>
      </c>
      <c r="C942" s="43" t="inlineStr">
        <is>
          <t>239-CRBU</t>
        </is>
      </c>
      <c r="D942" s="43" t="inlineStr">
        <is>
          <t>FJZP</t>
        </is>
      </c>
      <c r="E942" s="43" t="inlineStr">
        <is>
          <t>MCGA</t>
        </is>
      </c>
      <c r="F942" s="43" t="inlineStr">
        <is>
          <t>68-7195-09</t>
        </is>
      </c>
      <c r="G942" s="43" t="inlineStr">
        <is>
          <t>OTHER_SCOPE_ITEM</t>
        </is>
      </c>
      <c r="H942" s="43" t="inlineStr"/>
      <c r="I942" s="43" t="inlineStr">
        <is>
          <t>Expired</t>
        </is>
      </c>
      <c r="J942" s="32" t="n">
        <v>46188</v>
      </c>
      <c r="K942" s="32" t="n">
        <v>46130</v>
      </c>
      <c r="L942" s="43" t="inlineStr">
        <is>
          <t>104</t>
        </is>
      </c>
      <c r="M942" s="43" t="n">
        <v>1</v>
      </c>
      <c r="N942" s="33" t="inlineStr"/>
      <c r="O942" s="43" t="inlineStr">
        <is>
          <t>UNVERIFIED</t>
        </is>
      </c>
      <c r="P942" s="43" t="inlineStr">
        <is>
          <t>Pending Review</t>
        </is>
      </c>
      <c r="Q942" s="33" t="inlineStr">
        <is>
          <t>Confirmar SKU/PCBA revision, PN exacto en Common DB, WO, BU, vigencia, planta y aprobacion firmada.</t>
        </is>
      </c>
    </row>
    <row r="943">
      <c r="A943" s="43" t="inlineStr">
        <is>
          <t>CTANJZ05149</t>
        </is>
      </c>
      <c r="B943" s="43" t="inlineStr">
        <is>
          <t>D610093</t>
        </is>
      </c>
      <c r="C943" s="43" t="inlineStr">
        <is>
          <t>239-CRBU</t>
        </is>
      </c>
      <c r="D943" s="43" t="inlineStr">
        <is>
          <t>FJZP</t>
        </is>
      </c>
      <c r="E943" s="43" t="inlineStr">
        <is>
          <t>MCGA</t>
        </is>
      </c>
      <c r="F943" s="43" t="inlineStr">
        <is>
          <t>68-7261-07</t>
        </is>
      </c>
      <c r="G943" s="43" t="inlineStr">
        <is>
          <t>OTHER_SCOPE_ITEM</t>
        </is>
      </c>
      <c r="H943" s="43" t="inlineStr"/>
      <c r="I943" s="43" t="inlineStr">
        <is>
          <t>Expired</t>
        </is>
      </c>
      <c r="J943" s="32" t="n">
        <v>46188</v>
      </c>
      <c r="K943" s="32" t="n">
        <v>46130</v>
      </c>
      <c r="L943" s="43" t="inlineStr">
        <is>
          <t>105</t>
        </is>
      </c>
      <c r="M943" s="43" t="n">
        <v>1</v>
      </c>
      <c r="N943" s="33" t="inlineStr"/>
      <c r="O943" s="43" t="inlineStr">
        <is>
          <t>UNVERIFIED</t>
        </is>
      </c>
      <c r="P943" s="43" t="inlineStr">
        <is>
          <t>Pending Review</t>
        </is>
      </c>
      <c r="Q943" s="33" t="inlineStr">
        <is>
          <t>Confirmar SKU/PCBA revision, PN exacto en Common DB, WO, BU, vigencia, planta y aprobacion firmada.</t>
        </is>
      </c>
    </row>
    <row r="944">
      <c r="A944" s="43" t="inlineStr">
        <is>
          <t>CTANJZ05150</t>
        </is>
      </c>
      <c r="B944" s="43" t="inlineStr">
        <is>
          <t>D610122</t>
        </is>
      </c>
      <c r="C944" s="43" t="inlineStr">
        <is>
          <t>037-STBU</t>
        </is>
      </c>
      <c r="D944" s="43" t="inlineStr">
        <is>
          <t>FJZP</t>
        </is>
      </c>
      <c r="E944" s="43" t="inlineStr">
        <is>
          <t>MCGA</t>
        </is>
      </c>
      <c r="F944" s="43" t="inlineStr">
        <is>
          <t>74-139970-02</t>
        </is>
      </c>
      <c r="G944" s="43" t="inlineStr">
        <is>
          <t>OTHER_SCOPE_ITEM</t>
        </is>
      </c>
      <c r="H944" s="43" t="inlineStr"/>
      <c r="I944" s="43" t="inlineStr">
        <is>
          <t>Expired</t>
        </is>
      </c>
      <c r="J944" s="32" t="n">
        <v>46188</v>
      </c>
      <c r="K944" s="32" t="n">
        <v>46129</v>
      </c>
      <c r="L944" s="43" t="inlineStr">
        <is>
          <t>1095</t>
        </is>
      </c>
      <c r="M944" s="43" t="n">
        <v>1</v>
      </c>
      <c r="N944" s="33" t="inlineStr"/>
      <c r="O944" s="43" t="inlineStr">
        <is>
          <t>UNVERIFIED</t>
        </is>
      </c>
      <c r="P944" s="43" t="inlineStr">
        <is>
          <t>Pending Review</t>
        </is>
      </c>
      <c r="Q944" s="33" t="inlineStr">
        <is>
          <t>Confirmar SKU/PCBA revision, PN exacto en Common DB, WO, BU, vigencia, planta y aprobacion firmada.</t>
        </is>
      </c>
    </row>
    <row r="945">
      <c r="A945" s="43" t="inlineStr">
        <is>
          <t>CTANJZ05150</t>
        </is>
      </c>
      <c r="B945" s="43" t="inlineStr">
        <is>
          <t>D610122</t>
        </is>
      </c>
      <c r="C945" s="43" t="inlineStr">
        <is>
          <t>037-STBU</t>
        </is>
      </c>
      <c r="D945" s="43" t="inlineStr">
        <is>
          <t>FJZP</t>
        </is>
      </c>
      <c r="E945" s="43" t="inlineStr">
        <is>
          <t>MCGA</t>
        </is>
      </c>
      <c r="F945" s="43" t="inlineStr">
        <is>
          <t>74-139971-02</t>
        </is>
      </c>
      <c r="G945" s="43" t="inlineStr">
        <is>
          <t>OTHER_SCOPE_ITEM</t>
        </is>
      </c>
      <c r="H945" s="43" t="inlineStr"/>
      <c r="I945" s="43" t="inlineStr">
        <is>
          <t>Expired</t>
        </is>
      </c>
      <c r="J945" s="32" t="n">
        <v>46188</v>
      </c>
      <c r="K945" s="32" t="n">
        <v>46129</v>
      </c>
      <c r="L945" s="43" t="inlineStr">
        <is>
          <t>1096</t>
        </is>
      </c>
      <c r="M945" s="43" t="n">
        <v>1</v>
      </c>
      <c r="N945" s="33" t="inlineStr"/>
      <c r="O945" s="43" t="inlineStr">
        <is>
          <t>UNVERIFIED</t>
        </is>
      </c>
      <c r="P945" s="43" t="inlineStr">
        <is>
          <t>Pending Review</t>
        </is>
      </c>
      <c r="Q945" s="33" t="inlineStr">
        <is>
          <t>Confirmar SKU/PCBA revision, PN exacto en Common DB, WO, BU, vigencia, planta y aprobacion firmada.</t>
        </is>
      </c>
    </row>
    <row r="946">
      <c r="A946" s="43" t="inlineStr">
        <is>
          <t>CTANJZ05150</t>
        </is>
      </c>
      <c r="B946" s="43" t="inlineStr">
        <is>
          <t>D610122</t>
        </is>
      </c>
      <c r="C946" s="43" t="inlineStr">
        <is>
          <t>037-STBU</t>
        </is>
      </c>
      <c r="D946" s="43" t="inlineStr">
        <is>
          <t>FJZP</t>
        </is>
      </c>
      <c r="E946" s="43" t="inlineStr">
        <is>
          <t>MCGA</t>
        </is>
      </c>
      <c r="F946" s="43" t="inlineStr">
        <is>
          <t>74-139972-02</t>
        </is>
      </c>
      <c r="G946" s="43" t="inlineStr">
        <is>
          <t>OTHER_SCOPE_ITEM</t>
        </is>
      </c>
      <c r="H946" s="43" t="inlineStr"/>
      <c r="I946" s="43" t="inlineStr">
        <is>
          <t>Expired</t>
        </is>
      </c>
      <c r="J946" s="32" t="n">
        <v>46188</v>
      </c>
      <c r="K946" s="32" t="n">
        <v>46129</v>
      </c>
      <c r="L946" s="43" t="inlineStr">
        <is>
          <t>1097</t>
        </is>
      </c>
      <c r="M946" s="43" t="n">
        <v>1</v>
      </c>
      <c r="N946" s="33" t="inlineStr"/>
      <c r="O946" s="43" t="inlineStr">
        <is>
          <t>UNVERIFIED</t>
        </is>
      </c>
      <c r="P946" s="43" t="inlineStr">
        <is>
          <t>Pending Review</t>
        </is>
      </c>
      <c r="Q946" s="33" t="inlineStr">
        <is>
          <t>Confirmar SKU/PCBA revision, PN exacto en Common DB, WO, BU, vigencia, planta y aprobacion firmada.</t>
        </is>
      </c>
    </row>
    <row r="947">
      <c r="A947" s="43" t="inlineStr">
        <is>
          <t>CTANJZ05150</t>
        </is>
      </c>
      <c r="B947" s="43" t="inlineStr">
        <is>
          <t>D610122</t>
        </is>
      </c>
      <c r="C947" s="43" t="inlineStr">
        <is>
          <t>037-STBU</t>
        </is>
      </c>
      <c r="D947" s="43" t="inlineStr">
        <is>
          <t>FJZP</t>
        </is>
      </c>
      <c r="E947" s="43" t="inlineStr">
        <is>
          <t>MCGA</t>
        </is>
      </c>
      <c r="F947" s="43" t="inlineStr">
        <is>
          <t>74-139979-01</t>
        </is>
      </c>
      <c r="G947" s="43" t="inlineStr">
        <is>
          <t>OTHER_SCOPE_ITEM</t>
        </is>
      </c>
      <c r="H947" s="43" t="inlineStr"/>
      <c r="I947" s="43" t="inlineStr">
        <is>
          <t>Expired</t>
        </is>
      </c>
      <c r="J947" s="32" t="n">
        <v>46188</v>
      </c>
      <c r="K947" s="32" t="n">
        <v>46129</v>
      </c>
      <c r="L947" s="43" t="inlineStr">
        <is>
          <t>1151</t>
        </is>
      </c>
      <c r="M947" s="43" t="n">
        <v>1</v>
      </c>
      <c r="N947" s="33" t="inlineStr"/>
      <c r="O947" s="43" t="inlineStr">
        <is>
          <t>UNVERIFIED</t>
        </is>
      </c>
      <c r="P947" s="43" t="inlineStr">
        <is>
          <t>Pending Review</t>
        </is>
      </c>
      <c r="Q947" s="33" t="inlineStr">
        <is>
          <t>Confirmar SKU/PCBA revision, PN exacto en Common DB, WO, BU, vigencia, planta y aprobacion firmada.</t>
        </is>
      </c>
    </row>
    <row r="948">
      <c r="A948" s="43" t="inlineStr">
        <is>
          <t>CTANJZ05150</t>
        </is>
      </c>
      <c r="B948" s="43" t="inlineStr">
        <is>
          <t>D610122</t>
        </is>
      </c>
      <c r="C948" s="43" t="inlineStr">
        <is>
          <t>037-STBU</t>
        </is>
      </c>
      <c r="D948" s="43" t="inlineStr">
        <is>
          <t>FJZP</t>
        </is>
      </c>
      <c r="E948" s="43" t="inlineStr">
        <is>
          <t>MCGA</t>
        </is>
      </c>
      <c r="F948" s="43" t="inlineStr">
        <is>
          <t>74-139980-01</t>
        </is>
      </c>
      <c r="G948" s="43" t="inlineStr">
        <is>
          <t>OTHER_SCOPE_ITEM</t>
        </is>
      </c>
      <c r="H948" s="43" t="inlineStr"/>
      <c r="I948" s="43" t="inlineStr">
        <is>
          <t>Expired</t>
        </is>
      </c>
      <c r="J948" s="32" t="n">
        <v>46188</v>
      </c>
      <c r="K948" s="32" t="n">
        <v>46129</v>
      </c>
      <c r="L948" s="43" t="inlineStr">
        <is>
          <t>1152</t>
        </is>
      </c>
      <c r="M948" s="43" t="n">
        <v>1</v>
      </c>
      <c r="N948" s="33" t="inlineStr"/>
      <c r="O948" s="43" t="inlineStr">
        <is>
          <t>UNVERIFIED</t>
        </is>
      </c>
      <c r="P948" s="43" t="inlineStr">
        <is>
          <t>Pending Review</t>
        </is>
      </c>
      <c r="Q948" s="33" t="inlineStr">
        <is>
          <t>Confirmar SKU/PCBA revision, PN exacto en Common DB, WO, BU, vigencia, planta y aprobacion firmada.</t>
        </is>
      </c>
    </row>
    <row r="949">
      <c r="A949" s="43" t="inlineStr">
        <is>
          <t>CTANJZ05150</t>
        </is>
      </c>
      <c r="B949" s="43" t="inlineStr">
        <is>
          <t>D610122</t>
        </is>
      </c>
      <c r="C949" s="43" t="inlineStr">
        <is>
          <t>037-STBU</t>
        </is>
      </c>
      <c r="D949" s="43" t="inlineStr">
        <is>
          <t>FJZP</t>
        </is>
      </c>
      <c r="E949" s="43" t="inlineStr">
        <is>
          <t>MCGA</t>
        </is>
      </c>
      <c r="F949" s="43" t="inlineStr">
        <is>
          <t>74-139981-01</t>
        </is>
      </c>
      <c r="G949" s="43" t="inlineStr">
        <is>
          <t>OTHER_SCOPE_ITEM</t>
        </is>
      </c>
      <c r="H949" s="43" t="inlineStr"/>
      <c r="I949" s="43" t="inlineStr">
        <is>
          <t>Expired</t>
        </is>
      </c>
      <c r="J949" s="32" t="n">
        <v>46188</v>
      </c>
      <c r="K949" s="32" t="n">
        <v>46129</v>
      </c>
      <c r="L949" s="43" t="inlineStr">
        <is>
          <t>1153</t>
        </is>
      </c>
      <c r="M949" s="43" t="n">
        <v>1</v>
      </c>
      <c r="N949" s="33" t="inlineStr"/>
      <c r="O949" s="43" t="inlineStr">
        <is>
          <t>UNVERIFIED</t>
        </is>
      </c>
      <c r="P949" s="43" t="inlineStr">
        <is>
          <t>Pending Review</t>
        </is>
      </c>
      <c r="Q949" s="33" t="inlineStr">
        <is>
          <t>Confirmar SKU/PCBA revision, PN exacto en Common DB, WO, BU, vigencia, planta y aprobacion firmada.</t>
        </is>
      </c>
    </row>
    <row r="950">
      <c r="A950" s="43" t="inlineStr">
        <is>
          <t>CTANJZ05151</t>
        </is>
      </c>
      <c r="B950" s="43" t="inlineStr">
        <is>
          <t>DP525933</t>
        </is>
      </c>
      <c r="C950" s="43" t="inlineStr">
        <is>
          <t>037-STBU</t>
        </is>
      </c>
      <c r="D950" s="43" t="inlineStr">
        <is>
          <t>FJZP</t>
        </is>
      </c>
      <c r="E950" s="43" t="inlineStr">
        <is>
          <t>MCGA</t>
        </is>
      </c>
      <c r="F950" s="43" t="inlineStr">
        <is>
          <t>68-104813-04</t>
        </is>
      </c>
      <c r="G950" s="43" t="inlineStr">
        <is>
          <t>OTHER_SCOPE_ITEM</t>
        </is>
      </c>
      <c r="H950" s="43" t="inlineStr"/>
      <c r="I950" s="43" t="inlineStr">
        <is>
          <t>Expired</t>
        </is>
      </c>
      <c r="J950" s="32" t="n">
        <v>46158</v>
      </c>
      <c r="K950" s="32" t="n">
        <v>46113</v>
      </c>
      <c r="L950" s="43" t="inlineStr">
        <is>
          <t>499</t>
        </is>
      </c>
      <c r="M950" s="43" t="n">
        <v>1</v>
      </c>
      <c r="N950" s="33" t="inlineStr"/>
      <c r="O950" s="43" t="inlineStr">
        <is>
          <t>UNVERIFIED</t>
        </is>
      </c>
      <c r="P950" s="43" t="inlineStr">
        <is>
          <t>Pending Review</t>
        </is>
      </c>
      <c r="Q950" s="33" t="inlineStr">
        <is>
          <t>Confirmar SKU/PCBA revision, PN exacto en Common DB, WO, BU, vigencia, planta y aprobacion firmada.</t>
        </is>
      </c>
    </row>
    <row r="951">
      <c r="A951" s="43" t="inlineStr">
        <is>
          <t>CTANJZ05151</t>
        </is>
      </c>
      <c r="B951" s="43" t="inlineStr">
        <is>
          <t>DP525933</t>
        </is>
      </c>
      <c r="C951" s="43" t="inlineStr">
        <is>
          <t>037-STBU</t>
        </is>
      </c>
      <c r="D951" s="43" t="inlineStr">
        <is>
          <t>FJZP</t>
        </is>
      </c>
      <c r="E951" s="43" t="inlineStr">
        <is>
          <t>MCGA</t>
        </is>
      </c>
      <c r="F951" s="43" t="inlineStr">
        <is>
          <t>700-136522-05</t>
        </is>
      </c>
      <c r="G951" s="43" t="inlineStr">
        <is>
          <t>OTHER_SCOPE_ITEM</t>
        </is>
      </c>
      <c r="H951" s="43" t="inlineStr"/>
      <c r="I951" s="43" t="inlineStr">
        <is>
          <t>Expired</t>
        </is>
      </c>
      <c r="J951" s="32" t="n">
        <v>46158</v>
      </c>
      <c r="K951" s="32" t="n">
        <v>46113</v>
      </c>
      <c r="L951" s="43" t="inlineStr">
        <is>
          <t>500</t>
        </is>
      </c>
      <c r="M951" s="43" t="n">
        <v>1</v>
      </c>
      <c r="N951" s="33" t="inlineStr"/>
      <c r="O951" s="43" t="inlineStr">
        <is>
          <t>UNVERIFIED</t>
        </is>
      </c>
      <c r="P951" s="43" t="inlineStr">
        <is>
          <t>Pending Review</t>
        </is>
      </c>
      <c r="Q951" s="33" t="inlineStr">
        <is>
          <t>Confirmar SKU/PCBA revision, PN exacto en Common DB, WO, BU, vigencia, planta y aprobacion firmada.</t>
        </is>
      </c>
    </row>
    <row r="952">
      <c r="A952" s="43" t="inlineStr">
        <is>
          <t>CTANJZ05153</t>
        </is>
      </c>
      <c r="B952" s="43" t="inlineStr">
        <is>
          <t>DP525940</t>
        </is>
      </c>
      <c r="C952" s="43" t="inlineStr">
        <is>
          <t>037-STBU</t>
        </is>
      </c>
      <c r="D952" s="43" t="inlineStr">
        <is>
          <t>FJZP</t>
        </is>
      </c>
      <c r="E952" s="43" t="inlineStr">
        <is>
          <t>MCGA</t>
        </is>
      </c>
      <c r="F952" s="43" t="inlineStr">
        <is>
          <t>68-104813-03</t>
        </is>
      </c>
      <c r="G952" s="43" t="inlineStr">
        <is>
          <t>OTHER_SCOPE_ITEM</t>
        </is>
      </c>
      <c r="H952" s="43" t="inlineStr"/>
      <c r="I952" s="43" t="inlineStr">
        <is>
          <t>Expired</t>
        </is>
      </c>
      <c r="J952" s="32" t="n">
        <v>46159</v>
      </c>
      <c r="K952" s="32" t="n">
        <v>46113</v>
      </c>
      <c r="L952" s="43" t="inlineStr">
        <is>
          <t>502</t>
        </is>
      </c>
      <c r="M952" s="43" t="n">
        <v>1</v>
      </c>
      <c r="N952" s="33" t="inlineStr"/>
      <c r="O952" s="43" t="inlineStr">
        <is>
          <t>UNVERIFIED</t>
        </is>
      </c>
      <c r="P952" s="43" t="inlineStr">
        <is>
          <t>Pending Review</t>
        </is>
      </c>
      <c r="Q952" s="33" t="inlineStr">
        <is>
          <t>Confirmar SKU/PCBA revision, PN exacto en Common DB, WO, BU, vigencia, planta y aprobacion firmada.</t>
        </is>
      </c>
    </row>
    <row r="953">
      <c r="A953" s="43" t="inlineStr">
        <is>
          <t>CTANJZ05153</t>
        </is>
      </c>
      <c r="B953" s="43" t="inlineStr">
        <is>
          <t>DP525940</t>
        </is>
      </c>
      <c r="C953" s="43" t="inlineStr">
        <is>
          <t>037-STBU</t>
        </is>
      </c>
      <c r="D953" s="43" t="inlineStr">
        <is>
          <t>FJZP</t>
        </is>
      </c>
      <c r="E953" s="43" t="inlineStr">
        <is>
          <t>MCGA</t>
        </is>
      </c>
      <c r="F953" s="43" t="inlineStr">
        <is>
          <t>700-136522-04</t>
        </is>
      </c>
      <c r="G953" s="43" t="inlineStr">
        <is>
          <t>OTHER_SCOPE_ITEM</t>
        </is>
      </c>
      <c r="H953" s="43" t="inlineStr"/>
      <c r="I953" s="43" t="inlineStr">
        <is>
          <t>Expired</t>
        </is>
      </c>
      <c r="J953" s="32" t="n">
        <v>46159</v>
      </c>
      <c r="K953" s="32" t="n">
        <v>46113</v>
      </c>
      <c r="L953" s="43" t="inlineStr">
        <is>
          <t>503</t>
        </is>
      </c>
      <c r="M953" s="43" t="n">
        <v>1</v>
      </c>
      <c r="N953" s="33" t="inlineStr"/>
      <c r="O953" s="43" t="inlineStr">
        <is>
          <t>UNVERIFIED</t>
        </is>
      </c>
      <c r="P953" s="43" t="inlineStr">
        <is>
          <t>Pending Review</t>
        </is>
      </c>
      <c r="Q953" s="33" t="inlineStr">
        <is>
          <t>Confirmar SKU/PCBA revision, PN exacto en Common DB, WO, BU, vigencia, planta y aprobacion firmada.</t>
        </is>
      </c>
    </row>
    <row r="954">
      <c r="A954" s="43" t="inlineStr">
        <is>
          <t>CTANJZ05154</t>
        </is>
      </c>
      <c r="B954" s="43" t="inlineStr">
        <is>
          <t>D610130</t>
        </is>
      </c>
      <c r="C954" s="43" t="inlineStr">
        <is>
          <t>037-STBU</t>
        </is>
      </c>
      <c r="D954" s="43" t="inlineStr">
        <is>
          <t>FJZP</t>
        </is>
      </c>
      <c r="E954" s="43" t="inlineStr">
        <is>
          <t>MCGA</t>
        </is>
      </c>
      <c r="F954" s="43" t="inlineStr">
        <is>
          <t>17-102052-01</t>
        </is>
      </c>
      <c r="G954" s="43" t="inlineStr">
        <is>
          <t>OTHER_SCOPE_ITEM</t>
        </is>
      </c>
      <c r="H954" s="43" t="inlineStr"/>
      <c r="I954" s="43" t="inlineStr">
        <is>
          <t>Expired</t>
        </is>
      </c>
      <c r="J954" s="32" t="n">
        <v>46189</v>
      </c>
      <c r="K954" s="32" t="n">
        <v>46121</v>
      </c>
      <c r="L954" s="43" t="inlineStr">
        <is>
          <t>1050</t>
        </is>
      </c>
      <c r="M954" s="43" t="n">
        <v>1</v>
      </c>
      <c r="N954" s="33" t="inlineStr"/>
      <c r="O954" s="43" t="inlineStr">
        <is>
          <t>UNVERIFIED</t>
        </is>
      </c>
      <c r="P954" s="43" t="inlineStr">
        <is>
          <t>Pending Review</t>
        </is>
      </c>
      <c r="Q954" s="33" t="inlineStr">
        <is>
          <t>Confirmar SKU/PCBA revision, PN exacto en Common DB, WO, BU, vigencia, planta y aprobacion firmada.</t>
        </is>
      </c>
    </row>
    <row r="955">
      <c r="A955" s="43" t="inlineStr">
        <is>
          <t>CTANJZ05154</t>
        </is>
      </c>
      <c r="B955" s="43" t="inlineStr">
        <is>
          <t>D610130</t>
        </is>
      </c>
      <c r="C955" s="43" t="inlineStr">
        <is>
          <t>037-STBU</t>
        </is>
      </c>
      <c r="D955" s="43" t="inlineStr">
        <is>
          <t>FJZP</t>
        </is>
      </c>
      <c r="E955" s="43" t="inlineStr">
        <is>
          <t>MCGA</t>
        </is>
      </c>
      <c r="F955" s="43" t="inlineStr">
        <is>
          <t>73-20247-06</t>
        </is>
      </c>
      <c r="G955" s="43" t="inlineStr">
        <is>
          <t>BOARD_PN_CANDIDATE</t>
        </is>
      </c>
      <c r="H955" s="43" t="inlineStr">
        <is>
          <t>TUFNELL PARK</t>
        </is>
      </c>
      <c r="I955" s="43" t="inlineStr">
        <is>
          <t>Expired</t>
        </is>
      </c>
      <c r="J955" s="32" t="n">
        <v>46189</v>
      </c>
      <c r="K955" s="32" t="n">
        <v>46121</v>
      </c>
      <c r="L955" s="43" t="inlineStr">
        <is>
          <t>1051</t>
        </is>
      </c>
      <c r="M955" s="43" t="n">
        <v>1</v>
      </c>
      <c r="N955" s="33" t="inlineStr"/>
      <c r="O955" s="43" t="inlineStr">
        <is>
          <t>UNVERIFIED</t>
        </is>
      </c>
      <c r="P955" s="43" t="inlineStr">
        <is>
          <t>Pending Review</t>
        </is>
      </c>
      <c r="Q955" s="33" t="inlineStr">
        <is>
          <t>Confirmar SKU/PCBA revision, PN exacto en Common DB, WO, BU, vigencia, planta y aprobacion firmada.</t>
        </is>
      </c>
    </row>
    <row r="956">
      <c r="A956" s="43" t="inlineStr">
        <is>
          <t>CTANJZ05154</t>
        </is>
      </c>
      <c r="B956" s="43" t="inlineStr">
        <is>
          <t>D610130</t>
        </is>
      </c>
      <c r="C956" s="43" t="inlineStr">
        <is>
          <t>037-STBU</t>
        </is>
      </c>
      <c r="D956" s="43" t="inlineStr">
        <is>
          <t>FJZP</t>
        </is>
      </c>
      <c r="E956" s="43" t="inlineStr">
        <is>
          <t>MCGA</t>
        </is>
      </c>
      <c r="F956" s="43" t="inlineStr">
        <is>
          <t>73-20249-06</t>
        </is>
      </c>
      <c r="G956" s="43" t="inlineStr">
        <is>
          <t>BOARD_PN_CANDIDATE</t>
        </is>
      </c>
      <c r="H956" s="43" t="inlineStr">
        <is>
          <t>TUFNELL PARK</t>
        </is>
      </c>
      <c r="I956" s="43" t="inlineStr">
        <is>
          <t>Expired</t>
        </is>
      </c>
      <c r="J956" s="32" t="n">
        <v>46189</v>
      </c>
      <c r="K956" s="32" t="n">
        <v>46121</v>
      </c>
      <c r="L956" s="43" t="inlineStr">
        <is>
          <t>1052</t>
        </is>
      </c>
      <c r="M956" s="43" t="n">
        <v>1</v>
      </c>
      <c r="N956" s="33" t="inlineStr"/>
      <c r="O956" s="43" t="inlineStr">
        <is>
          <t>UNVERIFIED</t>
        </is>
      </c>
      <c r="P956" s="43" t="inlineStr">
        <is>
          <t>Pending Review</t>
        </is>
      </c>
      <c r="Q956" s="33" t="inlineStr">
        <is>
          <t>Confirmar SKU/PCBA revision, PN exacto en Common DB, WO, BU, vigencia, planta y aprobacion firmada.</t>
        </is>
      </c>
    </row>
    <row r="957">
      <c r="A957" s="43" t="inlineStr">
        <is>
          <t>CTANJZ05155</t>
        </is>
      </c>
      <c r="B957" s="43" t="inlineStr">
        <is>
          <t>D610128</t>
        </is>
      </c>
      <c r="C957" s="43" t="inlineStr">
        <is>
          <t>037-STBU</t>
        </is>
      </c>
      <c r="D957" s="43" t="inlineStr">
        <is>
          <t>FJZP</t>
        </is>
      </c>
      <c r="E957" s="43" t="inlineStr">
        <is>
          <t>MCGA</t>
        </is>
      </c>
      <c r="F957" s="43" t="inlineStr">
        <is>
          <t>15-102934-01</t>
        </is>
      </c>
      <c r="G957" s="43" t="inlineStr">
        <is>
          <t>OTHER_SCOPE_ITEM</t>
        </is>
      </c>
      <c r="H957" s="43" t="inlineStr"/>
      <c r="I957" s="43" t="inlineStr">
        <is>
          <t>Expired</t>
        </is>
      </c>
      <c r="J957" s="32" t="n">
        <v>46189</v>
      </c>
      <c r="K957" s="32" t="n">
        <v>46129</v>
      </c>
      <c r="L957" s="43" t="inlineStr">
        <is>
          <t>521</t>
        </is>
      </c>
      <c r="M957" s="43" t="n">
        <v>1</v>
      </c>
      <c r="N957" s="33" t="inlineStr"/>
      <c r="O957" s="43" t="inlineStr">
        <is>
          <t>UNVERIFIED</t>
        </is>
      </c>
      <c r="P957" s="43" t="inlineStr">
        <is>
          <t>Pending Review</t>
        </is>
      </c>
      <c r="Q957" s="33" t="inlineStr">
        <is>
          <t>Confirmar SKU/PCBA revision, PN exacto en Common DB, WO, BU, vigencia, planta y aprobacion firmada.</t>
        </is>
      </c>
    </row>
    <row r="958">
      <c r="A958" s="43" t="inlineStr">
        <is>
          <t>CTANJZ05155</t>
        </is>
      </c>
      <c r="B958" s="43" t="inlineStr">
        <is>
          <t>D610128</t>
        </is>
      </c>
      <c r="C958" s="43" t="inlineStr">
        <is>
          <t>037-STBU</t>
        </is>
      </c>
      <c r="D958" s="43" t="inlineStr">
        <is>
          <t>FJZP</t>
        </is>
      </c>
      <c r="E958" s="43" t="inlineStr">
        <is>
          <t>MCGA</t>
        </is>
      </c>
      <c r="F958" s="43" t="inlineStr">
        <is>
          <t>17-13481-01</t>
        </is>
      </c>
      <c r="G958" s="43" t="inlineStr">
        <is>
          <t>OTHER_SCOPE_ITEM</t>
        </is>
      </c>
      <c r="H958" s="43" t="inlineStr"/>
      <c r="I958" s="43" t="inlineStr">
        <is>
          <t>Expired</t>
        </is>
      </c>
      <c r="J958" s="32" t="n">
        <v>46189</v>
      </c>
      <c r="K958" s="32" t="n">
        <v>46129</v>
      </c>
      <c r="L958" s="43" t="inlineStr">
        <is>
          <t>522</t>
        </is>
      </c>
      <c r="M958" s="43" t="n">
        <v>1</v>
      </c>
      <c r="N958" s="33" t="inlineStr"/>
      <c r="O958" s="43" t="inlineStr">
        <is>
          <t>UNVERIFIED</t>
        </is>
      </c>
      <c r="P958" s="43" t="inlineStr">
        <is>
          <t>Pending Review</t>
        </is>
      </c>
      <c r="Q958" s="33" t="inlineStr">
        <is>
          <t>Confirmar SKU/PCBA revision, PN exacto en Common DB, WO, BU, vigencia, planta y aprobacion firmada.</t>
        </is>
      </c>
    </row>
    <row r="959">
      <c r="A959" s="43" t="inlineStr">
        <is>
          <t>CTANJZ05156</t>
        </is>
      </c>
      <c r="B959" s="43" t="inlineStr">
        <is>
          <t>D608513</t>
        </is>
      </c>
      <c r="C959" s="43" t="inlineStr">
        <is>
          <t>239-CRBU</t>
        </is>
      </c>
      <c r="D959" s="43" t="inlineStr">
        <is>
          <t>FJZP</t>
        </is>
      </c>
      <c r="E959" s="43" t="inlineStr">
        <is>
          <t>MCGA</t>
        </is>
      </c>
      <c r="F959" s="43" t="inlineStr">
        <is>
          <t>68-7195-06</t>
        </is>
      </c>
      <c r="G959" s="43" t="inlineStr">
        <is>
          <t>OTHER_SCOPE_ITEM</t>
        </is>
      </c>
      <c r="H959" s="43" t="inlineStr"/>
      <c r="I959" s="43" t="inlineStr">
        <is>
          <t>Expired</t>
        </is>
      </c>
      <c r="J959" s="32" t="n">
        <v>46189</v>
      </c>
      <c r="K959" s="32" t="n">
        <v>46130</v>
      </c>
      <c r="L959" s="43" t="inlineStr">
        <is>
          <t>1047</t>
        </is>
      </c>
      <c r="M959" s="43" t="n">
        <v>1</v>
      </c>
      <c r="N959" s="33" t="inlineStr"/>
      <c r="O959" s="43" t="inlineStr">
        <is>
          <t>UNVERIFIED</t>
        </is>
      </c>
      <c r="P959" s="43" t="inlineStr">
        <is>
          <t>Pending Review</t>
        </is>
      </c>
      <c r="Q959" s="33" t="inlineStr">
        <is>
          <t>Confirmar SKU/PCBA revision, PN exacto en Common DB, WO, BU, vigencia, planta y aprobacion firmada.</t>
        </is>
      </c>
    </row>
    <row r="960">
      <c r="A960" s="43" t="inlineStr">
        <is>
          <t>CTANJZ05156</t>
        </is>
      </c>
      <c r="B960" s="43" t="inlineStr">
        <is>
          <t>D608513</t>
        </is>
      </c>
      <c r="C960" s="43" t="inlineStr">
        <is>
          <t>239-CRBU</t>
        </is>
      </c>
      <c r="D960" s="43" t="inlineStr">
        <is>
          <t>FJZP</t>
        </is>
      </c>
      <c r="E960" s="43" t="inlineStr">
        <is>
          <t>MCGA</t>
        </is>
      </c>
      <c r="F960" s="43" t="inlineStr">
        <is>
          <t>68-7195-07</t>
        </is>
      </c>
      <c r="G960" s="43" t="inlineStr">
        <is>
          <t>OTHER_SCOPE_ITEM</t>
        </is>
      </c>
      <c r="H960" s="43" t="inlineStr"/>
      <c r="I960" s="43" t="inlineStr">
        <is>
          <t>Expired</t>
        </is>
      </c>
      <c r="J960" s="32" t="n">
        <v>46189</v>
      </c>
      <c r="K960" s="32" t="n">
        <v>46130</v>
      </c>
      <c r="L960" s="43" t="inlineStr">
        <is>
          <t>1048</t>
        </is>
      </c>
      <c r="M960" s="43" t="n">
        <v>1</v>
      </c>
      <c r="N960" s="33" t="inlineStr"/>
      <c r="O960" s="43" t="inlineStr">
        <is>
          <t>UNVERIFIED</t>
        </is>
      </c>
      <c r="P960" s="43" t="inlineStr">
        <is>
          <t>Pending Review</t>
        </is>
      </c>
      <c r="Q960" s="33" t="inlineStr">
        <is>
          <t>Confirmar SKU/PCBA revision, PN exacto en Common DB, WO, BU, vigencia, planta y aprobacion firmada.</t>
        </is>
      </c>
    </row>
    <row r="961">
      <c r="A961" s="43" t="inlineStr">
        <is>
          <t>CTANJZ05156</t>
        </is>
      </c>
      <c r="B961" s="43" t="inlineStr">
        <is>
          <t>D608513</t>
        </is>
      </c>
      <c r="C961" s="43" t="inlineStr">
        <is>
          <t>239-CRBU</t>
        </is>
      </c>
      <c r="D961" s="43" t="inlineStr">
        <is>
          <t>FJZP</t>
        </is>
      </c>
      <c r="E961" s="43" t="inlineStr">
        <is>
          <t>MCGA</t>
        </is>
      </c>
      <c r="F961" s="43" t="inlineStr">
        <is>
          <t>68-7195-08</t>
        </is>
      </c>
      <c r="G961" s="43" t="inlineStr">
        <is>
          <t>OTHER_SCOPE_ITEM</t>
        </is>
      </c>
      <c r="H961" s="43" t="inlineStr"/>
      <c r="I961" s="43" t="inlineStr">
        <is>
          <t>Expired</t>
        </is>
      </c>
      <c r="J961" s="32" t="n">
        <v>46189</v>
      </c>
      <c r="K961" s="32" t="n">
        <v>46130</v>
      </c>
      <c r="L961" s="43" t="inlineStr">
        <is>
          <t>1049</t>
        </is>
      </c>
      <c r="M961" s="43" t="n">
        <v>1</v>
      </c>
      <c r="N961" s="33" t="inlineStr"/>
      <c r="O961" s="43" t="inlineStr">
        <is>
          <t>UNVERIFIED</t>
        </is>
      </c>
      <c r="P961" s="43" t="inlineStr">
        <is>
          <t>Pending Review</t>
        </is>
      </c>
      <c r="Q961" s="33" t="inlineStr">
        <is>
          <t>Confirmar SKU/PCBA revision, PN exacto en Common DB, WO, BU, vigencia, planta y aprobacion firmada.</t>
        </is>
      </c>
    </row>
    <row r="962">
      <c r="A962" s="43" t="inlineStr">
        <is>
          <t>CTANJZ05157</t>
        </is>
      </c>
      <c r="B962" s="43" t="inlineStr">
        <is>
          <t>D610246</t>
        </is>
      </c>
      <c r="C962" s="43" t="inlineStr">
        <is>
          <t>035-CVEBU</t>
        </is>
      </c>
      <c r="D962" s="43" t="inlineStr">
        <is>
          <t>FJZP</t>
        </is>
      </c>
      <c r="E962" s="43" t="inlineStr">
        <is>
          <t>MCGA</t>
        </is>
      </c>
      <c r="F962" s="43" t="inlineStr">
        <is>
          <t>28-103096-05</t>
        </is>
      </c>
      <c r="G962" s="43" t="inlineStr">
        <is>
          <t>BARE_PCB_PN_CANDIDATE</t>
        </is>
      </c>
      <c r="H962" s="43" t="inlineStr"/>
      <c r="I962" s="43" t="inlineStr">
        <is>
          <t>Expired</t>
        </is>
      </c>
      <c r="J962" s="32" t="n">
        <v>46190</v>
      </c>
      <c r="K962" s="32" t="n">
        <v>46113</v>
      </c>
      <c r="L962" s="43" t="inlineStr">
        <is>
          <t>1835</t>
        </is>
      </c>
      <c r="M962" s="43" t="n">
        <v>1</v>
      </c>
      <c r="N962" s="33" t="inlineStr"/>
      <c r="O962" s="43" t="inlineStr">
        <is>
          <t>UNVERIFIED</t>
        </is>
      </c>
      <c r="P962" s="43" t="inlineStr">
        <is>
          <t>Pending Review</t>
        </is>
      </c>
      <c r="Q962" s="33" t="inlineStr">
        <is>
          <t>Confirmar SKU/PCBA revision, PN exacto en Common DB, WO, BU, vigencia, planta y aprobacion firmada.</t>
        </is>
      </c>
    </row>
    <row r="963">
      <c r="A963" s="43" t="inlineStr">
        <is>
          <t>CTANJZ05157</t>
        </is>
      </c>
      <c r="B963" s="43" t="inlineStr">
        <is>
          <t>D610246</t>
        </is>
      </c>
      <c r="C963" s="43" t="inlineStr">
        <is>
          <t>035-CVEBU</t>
        </is>
      </c>
      <c r="D963" s="43" t="inlineStr">
        <is>
          <t>FJZP</t>
        </is>
      </c>
      <c r="E963" s="43" t="inlineStr">
        <is>
          <t>MCGA</t>
        </is>
      </c>
      <c r="F963" s="43" t="inlineStr">
        <is>
          <t>73-103103-05</t>
        </is>
      </c>
      <c r="G963" s="43" t="inlineStr">
        <is>
          <t>BOARD_PN_CANDIDATE</t>
        </is>
      </c>
      <c r="H963" s="43" t="inlineStr"/>
      <c r="I963" s="43" t="inlineStr">
        <is>
          <t>Expired</t>
        </is>
      </c>
      <c r="J963" s="32" t="n">
        <v>46190</v>
      </c>
      <c r="K963" s="32" t="n">
        <v>46113</v>
      </c>
      <c r="L963" s="43" t="inlineStr">
        <is>
          <t>1836</t>
        </is>
      </c>
      <c r="M963" s="43" t="n">
        <v>1</v>
      </c>
      <c r="N963" s="33" t="inlineStr"/>
      <c r="O963" s="43" t="inlineStr">
        <is>
          <t>UNVERIFIED</t>
        </is>
      </c>
      <c r="P963" s="43" t="inlineStr">
        <is>
          <t>Pending Review</t>
        </is>
      </c>
      <c r="Q963" s="33" t="inlineStr">
        <is>
          <t>Confirmar SKU/PCBA revision, PN exacto en Common DB, WO, BU, vigencia, planta y aprobacion firmada.</t>
        </is>
      </c>
    </row>
    <row r="964">
      <c r="A964" s="43" t="inlineStr">
        <is>
          <t>CTANJZ05157</t>
        </is>
      </c>
      <c r="B964" s="43" t="inlineStr">
        <is>
          <t>D610246</t>
        </is>
      </c>
      <c r="C964" s="43" t="inlineStr">
        <is>
          <t>035-CVEBU</t>
        </is>
      </c>
      <c r="D964" s="43" t="inlineStr">
        <is>
          <t>FJZP</t>
        </is>
      </c>
      <c r="E964" s="43" t="inlineStr">
        <is>
          <t>MCGA</t>
        </is>
      </c>
      <c r="F964" s="43" t="inlineStr">
        <is>
          <t>73-103603-05</t>
        </is>
      </c>
      <c r="G964" s="43" t="inlineStr">
        <is>
          <t>BOARD_PN_CANDIDATE</t>
        </is>
      </c>
      <c r="H964" s="43" t="inlineStr">
        <is>
          <t>PICTORIS</t>
        </is>
      </c>
      <c r="I964" s="43" t="inlineStr">
        <is>
          <t>Expired</t>
        </is>
      </c>
      <c r="J964" s="32" t="n">
        <v>46190</v>
      </c>
      <c r="K964" s="32" t="n">
        <v>46113</v>
      </c>
      <c r="L964" s="43" t="inlineStr">
        <is>
          <t>1837</t>
        </is>
      </c>
      <c r="M964" s="43" t="n">
        <v>1</v>
      </c>
      <c r="N964" s="33" t="inlineStr"/>
      <c r="O964" s="43" t="inlineStr">
        <is>
          <t>UNVERIFIED</t>
        </is>
      </c>
      <c r="P964" s="43" t="inlineStr">
        <is>
          <t>Pending Review</t>
        </is>
      </c>
      <c r="Q964" s="33" t="inlineStr">
        <is>
          <t>Confirmar SKU/PCBA revision, PN exacto en Common DB, WO, BU, vigencia, planta y aprobacion firmada.</t>
        </is>
      </c>
    </row>
    <row r="965">
      <c r="A965" s="43" t="inlineStr">
        <is>
          <t>CTANJZ05159</t>
        </is>
      </c>
      <c r="B965" s="43" t="inlineStr">
        <is>
          <t>D609704</t>
        </is>
      </c>
      <c r="C965" s="43" t="inlineStr">
        <is>
          <t>018-SRGBU</t>
        </is>
      </c>
      <c r="D965" s="43" t="inlineStr">
        <is>
          <t>FJZP</t>
        </is>
      </c>
      <c r="E965" s="43" t="inlineStr">
        <is>
          <t>MCGA</t>
        </is>
      </c>
      <c r="F965" s="43" t="inlineStr">
        <is>
          <t>15-108743-01</t>
        </is>
      </c>
      <c r="G965" s="43" t="inlineStr">
        <is>
          <t>OTHER_SCOPE_ITEM</t>
        </is>
      </c>
      <c r="H965" s="43" t="inlineStr"/>
      <c r="I965" s="43" t="inlineStr">
        <is>
          <t>Expired</t>
        </is>
      </c>
      <c r="J965" s="32" t="n">
        <v>46190</v>
      </c>
      <c r="K965" s="32" t="n">
        <v>46128</v>
      </c>
      <c r="L965" s="43" t="inlineStr">
        <is>
          <t>1124</t>
        </is>
      </c>
      <c r="M965" s="43" t="n">
        <v>1</v>
      </c>
      <c r="N965" s="33" t="inlineStr"/>
      <c r="O965" s="43" t="inlineStr">
        <is>
          <t>UNVERIFIED</t>
        </is>
      </c>
      <c r="P965" s="43" t="inlineStr">
        <is>
          <t>Pending Review</t>
        </is>
      </c>
      <c r="Q965" s="33" t="inlineStr">
        <is>
          <t>Confirmar SKU/PCBA revision, PN exacto en Common DB, WO, BU, vigencia, planta y aprobacion firmada.</t>
        </is>
      </c>
    </row>
    <row r="966">
      <c r="A966" s="43" t="inlineStr">
        <is>
          <t>CTANJZ05160</t>
        </is>
      </c>
      <c r="B966" s="43" t="inlineStr">
        <is>
          <t>D610237</t>
        </is>
      </c>
      <c r="C966" s="43" t="inlineStr">
        <is>
          <t>037-STBU</t>
        </is>
      </c>
      <c r="D966" s="43" t="inlineStr">
        <is>
          <t>FJZP</t>
        </is>
      </c>
      <c r="E966" s="43" t="inlineStr">
        <is>
          <t>MCGA</t>
        </is>
      </c>
      <c r="F966" s="43" t="inlineStr">
        <is>
          <t>17-102457-07</t>
        </is>
      </c>
      <c r="G966" s="43" t="inlineStr">
        <is>
          <t>OTHER_SCOPE_ITEM</t>
        </is>
      </c>
      <c r="H966" s="43" t="inlineStr"/>
      <c r="I966" s="43" t="inlineStr">
        <is>
          <t>Expired</t>
        </is>
      </c>
      <c r="J966" s="32" t="n">
        <v>46190</v>
      </c>
      <c r="K966" s="32" t="n">
        <v>46130</v>
      </c>
      <c r="L966" s="43" t="inlineStr">
        <is>
          <t>1125</t>
        </is>
      </c>
      <c r="M966" s="43" t="n">
        <v>1</v>
      </c>
      <c r="N966" s="33" t="inlineStr"/>
      <c r="O966" s="43" t="inlineStr">
        <is>
          <t>UNVERIFIED</t>
        </is>
      </c>
      <c r="P966" s="43" t="inlineStr">
        <is>
          <t>Pending Review</t>
        </is>
      </c>
      <c r="Q966" s="33" t="inlineStr">
        <is>
          <t>Confirmar SKU/PCBA revision, PN exacto en Common DB, WO, BU, vigencia, planta y aprobacion firmada.</t>
        </is>
      </c>
    </row>
    <row r="967">
      <c r="A967" s="43" t="inlineStr">
        <is>
          <t>CTANJZ05160</t>
        </is>
      </c>
      <c r="B967" s="43" t="inlineStr">
        <is>
          <t>D610237</t>
        </is>
      </c>
      <c r="C967" s="43" t="inlineStr">
        <is>
          <t>037-STBU</t>
        </is>
      </c>
      <c r="D967" s="43" t="inlineStr">
        <is>
          <t>FJZP</t>
        </is>
      </c>
      <c r="E967" s="43" t="inlineStr">
        <is>
          <t>MCGA</t>
        </is>
      </c>
      <c r="F967" s="43" t="inlineStr">
        <is>
          <t>73-102433-05</t>
        </is>
      </c>
      <c r="G967" s="43" t="inlineStr">
        <is>
          <t>BOARD_PN_CANDIDATE</t>
        </is>
      </c>
      <c r="H967" s="43" t="inlineStr"/>
      <c r="I967" s="43" t="inlineStr">
        <is>
          <t>Expired</t>
        </is>
      </c>
      <c r="J967" s="32" t="n">
        <v>46190</v>
      </c>
      <c r="K967" s="32" t="n">
        <v>46130</v>
      </c>
      <c r="L967" s="43" t="inlineStr">
        <is>
          <t>1126</t>
        </is>
      </c>
      <c r="M967" s="43" t="n">
        <v>1</v>
      </c>
      <c r="N967" s="33" t="inlineStr"/>
      <c r="O967" s="43" t="inlineStr">
        <is>
          <t>UNVERIFIED</t>
        </is>
      </c>
      <c r="P967" s="43" t="inlineStr">
        <is>
          <t>Pending Review</t>
        </is>
      </c>
      <c r="Q967" s="33" t="inlineStr">
        <is>
          <t>Confirmar SKU/PCBA revision, PN exacto en Common DB, WO, BU, vigencia, planta y aprobacion firmada.</t>
        </is>
      </c>
    </row>
    <row r="968">
      <c r="A968" s="43" t="inlineStr">
        <is>
          <t>CTANJZ05160</t>
        </is>
      </c>
      <c r="B968" s="43" t="inlineStr">
        <is>
          <t>D610237</t>
        </is>
      </c>
      <c r="C968" s="43" t="inlineStr">
        <is>
          <t>037-STBU</t>
        </is>
      </c>
      <c r="D968" s="43" t="inlineStr">
        <is>
          <t>FJZP</t>
        </is>
      </c>
      <c r="E968" s="43" t="inlineStr">
        <is>
          <t>MCGA</t>
        </is>
      </c>
      <c r="F968" s="43" t="inlineStr">
        <is>
          <t>73-102434-05</t>
        </is>
      </c>
      <c r="G968" s="43" t="inlineStr">
        <is>
          <t>BOARD_PN_CANDIDATE</t>
        </is>
      </c>
      <c r="H968" s="43" t="inlineStr"/>
      <c r="I968" s="43" t="inlineStr">
        <is>
          <t>Expired</t>
        </is>
      </c>
      <c r="J968" s="32" t="n">
        <v>46190</v>
      </c>
      <c r="K968" s="32" t="n">
        <v>46130</v>
      </c>
      <c r="L968" s="43" t="inlineStr">
        <is>
          <t>1127</t>
        </is>
      </c>
      <c r="M968" s="43" t="n">
        <v>1</v>
      </c>
      <c r="N968" s="33" t="inlineStr"/>
      <c r="O968" s="43" t="inlineStr">
        <is>
          <t>UNVERIFIED</t>
        </is>
      </c>
      <c r="P968" s="43" t="inlineStr">
        <is>
          <t>Pending Review</t>
        </is>
      </c>
      <c r="Q968" s="33" t="inlineStr">
        <is>
          <t>Confirmar SKU/PCBA revision, PN exacto en Common DB, WO, BU, vigencia, planta y aprobacion firmada.</t>
        </is>
      </c>
    </row>
    <row r="969">
      <c r="A969" s="43" t="inlineStr">
        <is>
          <t>CTANJZ05160</t>
        </is>
      </c>
      <c r="B969" s="43" t="inlineStr">
        <is>
          <t>D610237</t>
        </is>
      </c>
      <c r="C969" s="43" t="inlineStr">
        <is>
          <t>037-STBU</t>
        </is>
      </c>
      <c r="D969" s="43" t="inlineStr">
        <is>
          <t>FJZP</t>
        </is>
      </c>
      <c r="E969" s="43" t="inlineStr">
        <is>
          <t>MCGA</t>
        </is>
      </c>
      <c r="F969" s="43" t="inlineStr">
        <is>
          <t>73-102435-05</t>
        </is>
      </c>
      <c r="G969" s="43" t="inlineStr">
        <is>
          <t>BOARD_PN_CANDIDATE</t>
        </is>
      </c>
      <c r="H969" s="43" t="inlineStr"/>
      <c r="I969" s="43" t="inlineStr">
        <is>
          <t>Expired</t>
        </is>
      </c>
      <c r="J969" s="32" t="n">
        <v>46190</v>
      </c>
      <c r="K969" s="32" t="n">
        <v>46130</v>
      </c>
      <c r="L969" s="43" t="inlineStr">
        <is>
          <t>1128</t>
        </is>
      </c>
      <c r="M969" s="43" t="n">
        <v>1</v>
      </c>
      <c r="N969" s="33" t="inlineStr"/>
      <c r="O969" s="43" t="inlineStr">
        <is>
          <t>UNVERIFIED</t>
        </is>
      </c>
      <c r="P969" s="43" t="inlineStr">
        <is>
          <t>Pending Review</t>
        </is>
      </c>
      <c r="Q969" s="33" t="inlineStr">
        <is>
          <t>Confirmar SKU/PCBA revision, PN exacto en Common DB, WO, BU, vigencia, planta y aprobacion firmada.</t>
        </is>
      </c>
    </row>
    <row r="970">
      <c r="A970" s="43" t="inlineStr">
        <is>
          <t>CTANJZ05166</t>
        </is>
      </c>
      <c r="B970" s="43" t="inlineStr">
        <is>
          <t>DP525902</t>
        </is>
      </c>
      <c r="C970" s="43" t="inlineStr">
        <is>
          <t>037-STBU</t>
        </is>
      </c>
      <c r="D970" s="43" t="inlineStr">
        <is>
          <t>FJZP</t>
        </is>
      </c>
      <c r="E970" s="43" t="inlineStr">
        <is>
          <t>MCGA</t>
        </is>
      </c>
      <c r="F970" s="43" t="inlineStr">
        <is>
          <t>68-104574-04</t>
        </is>
      </c>
      <c r="G970" s="43" t="inlineStr">
        <is>
          <t>OTHER_SCOPE_ITEM</t>
        </is>
      </c>
      <c r="H970" s="43" t="inlineStr"/>
      <c r="I970" s="43" t="inlineStr">
        <is>
          <t>Expired</t>
        </is>
      </c>
      <c r="J970" s="32" t="n">
        <v>46166</v>
      </c>
      <c r="K970" s="32" t="n">
        <v>46136</v>
      </c>
      <c r="L970" s="43" t="inlineStr">
        <is>
          <t>1084</t>
        </is>
      </c>
      <c r="M970" s="43" t="n">
        <v>1</v>
      </c>
      <c r="N970" s="33" t="inlineStr"/>
      <c r="O970" s="43" t="inlineStr">
        <is>
          <t>UNVERIFIED</t>
        </is>
      </c>
      <c r="P970" s="43" t="inlineStr">
        <is>
          <t>Pending Review</t>
        </is>
      </c>
      <c r="Q970" s="33" t="inlineStr">
        <is>
          <t>Confirmar SKU/PCBA revision, PN exacto en Common DB, WO, BU, vigencia, planta y aprobacion firmada.</t>
        </is>
      </c>
    </row>
    <row r="971">
      <c r="A971" s="43" t="inlineStr">
        <is>
          <t>CTANJZ05166</t>
        </is>
      </c>
      <c r="B971" s="43" t="inlineStr">
        <is>
          <t>DP525902</t>
        </is>
      </c>
      <c r="C971" s="43" t="inlineStr">
        <is>
          <t>037-STBU</t>
        </is>
      </c>
      <c r="D971" s="43" t="inlineStr">
        <is>
          <t>FJZP</t>
        </is>
      </c>
      <c r="E971" s="43" t="inlineStr">
        <is>
          <t>MCGA</t>
        </is>
      </c>
      <c r="F971" s="43" t="inlineStr">
        <is>
          <t>68-104575-04</t>
        </is>
      </c>
      <c r="G971" s="43" t="inlineStr">
        <is>
          <t>OTHER_SCOPE_ITEM</t>
        </is>
      </c>
      <c r="H971" s="43" t="inlineStr"/>
      <c r="I971" s="43" t="inlineStr">
        <is>
          <t>Expired</t>
        </is>
      </c>
      <c r="J971" s="32" t="n">
        <v>46166</v>
      </c>
      <c r="K971" s="32" t="n">
        <v>46136</v>
      </c>
      <c r="L971" s="43" t="inlineStr">
        <is>
          <t>1085</t>
        </is>
      </c>
      <c r="M971" s="43" t="n">
        <v>1</v>
      </c>
      <c r="N971" s="33" t="inlineStr"/>
      <c r="O971" s="43" t="inlineStr">
        <is>
          <t>UNVERIFIED</t>
        </is>
      </c>
      <c r="P971" s="43" t="inlineStr">
        <is>
          <t>Pending Review</t>
        </is>
      </c>
      <c r="Q971" s="33" t="inlineStr">
        <is>
          <t>Confirmar SKU/PCBA revision, PN exacto en Common DB, WO, BU, vigencia, planta y aprobacion firmada.</t>
        </is>
      </c>
    </row>
    <row r="972">
      <c r="A972" s="43" t="inlineStr">
        <is>
          <t>CTANJZ05166</t>
        </is>
      </c>
      <c r="B972" s="43" t="inlineStr">
        <is>
          <t>DP525902</t>
        </is>
      </c>
      <c r="C972" s="43" t="inlineStr">
        <is>
          <t>037-STBU</t>
        </is>
      </c>
      <c r="D972" s="43" t="inlineStr">
        <is>
          <t>FJZP</t>
        </is>
      </c>
      <c r="E972" s="43" t="inlineStr">
        <is>
          <t>MCGA</t>
        </is>
      </c>
      <c r="F972" s="43" t="inlineStr">
        <is>
          <t>800-112581-04</t>
        </is>
      </c>
      <c r="G972" s="43" t="inlineStr">
        <is>
          <t>OTHER_SCOPE_ITEM</t>
        </is>
      </c>
      <c r="H972" s="43" t="inlineStr"/>
      <c r="I972" s="43" t="inlineStr">
        <is>
          <t>Expired</t>
        </is>
      </c>
      <c r="J972" s="32" t="n">
        <v>46166</v>
      </c>
      <c r="K972" s="32" t="n">
        <v>46136</v>
      </c>
      <c r="L972" s="43" t="inlineStr">
        <is>
          <t>1086</t>
        </is>
      </c>
      <c r="M972" s="43" t="n">
        <v>1</v>
      </c>
      <c r="N972" s="33" t="inlineStr"/>
      <c r="O972" s="43" t="inlineStr">
        <is>
          <t>UNVERIFIED</t>
        </is>
      </c>
      <c r="P972" s="43" t="inlineStr">
        <is>
          <t>Pending Review</t>
        </is>
      </c>
      <c r="Q972" s="33" t="inlineStr">
        <is>
          <t>Confirmar SKU/PCBA revision, PN exacto en Common DB, WO, BU, vigencia, planta y aprobacion firmada.</t>
        </is>
      </c>
    </row>
    <row r="973">
      <c r="A973" s="43" t="inlineStr">
        <is>
          <t>CTANJZ05166</t>
        </is>
      </c>
      <c r="B973" s="43" t="inlineStr">
        <is>
          <t>DP525902</t>
        </is>
      </c>
      <c r="C973" s="43" t="inlineStr">
        <is>
          <t>037-STBU</t>
        </is>
      </c>
      <c r="D973" s="43" t="inlineStr">
        <is>
          <t>FJZP</t>
        </is>
      </c>
      <c r="E973" s="43" t="inlineStr">
        <is>
          <t>MCGA</t>
        </is>
      </c>
      <c r="F973" s="43" t="inlineStr">
        <is>
          <t>800-112582-04</t>
        </is>
      </c>
      <c r="G973" s="43" t="inlineStr">
        <is>
          <t>OTHER_SCOPE_ITEM</t>
        </is>
      </c>
      <c r="H973" s="43" t="inlineStr"/>
      <c r="I973" s="43" t="inlineStr">
        <is>
          <t>Expired</t>
        </is>
      </c>
      <c r="J973" s="32" t="n">
        <v>46166</v>
      </c>
      <c r="K973" s="32" t="n">
        <v>46136</v>
      </c>
      <c r="L973" s="43" t="inlineStr">
        <is>
          <t>1087</t>
        </is>
      </c>
      <c r="M973" s="43" t="n">
        <v>1</v>
      </c>
      <c r="N973" s="33" t="inlineStr"/>
      <c r="O973" s="43" t="inlineStr">
        <is>
          <t>UNVERIFIED</t>
        </is>
      </c>
      <c r="P973" s="43" t="inlineStr">
        <is>
          <t>Pending Review</t>
        </is>
      </c>
      <c r="Q973" s="33" t="inlineStr">
        <is>
          <t>Confirmar SKU/PCBA revision, PN exacto en Common DB, WO, BU, vigencia, planta y aprobacion firmada.</t>
        </is>
      </c>
    </row>
    <row r="974">
      <c r="A974" s="43" t="inlineStr">
        <is>
          <t>CTANJZ05167</t>
        </is>
      </c>
      <c r="B974" s="43" t="inlineStr">
        <is>
          <t>D610433</t>
        </is>
      </c>
      <c r="C974" s="43" t="inlineStr">
        <is>
          <t>035-CVEBU</t>
        </is>
      </c>
      <c r="D974" s="43" t="inlineStr">
        <is>
          <t>FJZP</t>
        </is>
      </c>
      <c r="E974" s="43" t="inlineStr">
        <is>
          <t>MCGA</t>
        </is>
      </c>
      <c r="F974" s="43" t="inlineStr">
        <is>
          <t>15-110893-01</t>
        </is>
      </c>
      <c r="G974" s="43" t="inlineStr">
        <is>
          <t>OTHER_SCOPE_ITEM</t>
        </is>
      </c>
      <c r="H974" s="43" t="inlineStr"/>
      <c r="I974" s="43" t="inlineStr">
        <is>
          <t>Expired</t>
        </is>
      </c>
      <c r="J974" s="32" t="n">
        <v>46197</v>
      </c>
      <c r="K974" s="32" t="n">
        <v>46129</v>
      </c>
      <c r="L974" s="43" t="inlineStr">
        <is>
          <t>529</t>
        </is>
      </c>
      <c r="M974" s="43" t="n">
        <v>1</v>
      </c>
      <c r="N974" s="33" t="inlineStr"/>
      <c r="O974" s="43" t="inlineStr">
        <is>
          <t>UNVERIFIED</t>
        </is>
      </c>
      <c r="P974" s="43" t="inlineStr">
        <is>
          <t>Pending Review</t>
        </is>
      </c>
      <c r="Q974" s="33" t="inlineStr">
        <is>
          <t>Confirmar SKU/PCBA revision, PN exacto en Common DB, WO, BU, vigencia, planta y aprobacion firmada.</t>
        </is>
      </c>
    </row>
    <row r="975">
      <c r="A975" s="43" t="inlineStr">
        <is>
          <t>CTANJZ05167</t>
        </is>
      </c>
      <c r="B975" s="43" t="inlineStr">
        <is>
          <t>D610433</t>
        </is>
      </c>
      <c r="C975" s="43" t="inlineStr">
        <is>
          <t>035-CVEBU</t>
        </is>
      </c>
      <c r="D975" s="43" t="inlineStr">
        <is>
          <t>FJZP</t>
        </is>
      </c>
      <c r="E975" s="43" t="inlineStr">
        <is>
          <t>MCGA</t>
        </is>
      </c>
      <c r="F975" s="43" t="inlineStr">
        <is>
          <t>24-101509-01</t>
        </is>
      </c>
      <c r="G975" s="43" t="inlineStr">
        <is>
          <t>OTHER_SCOPE_ITEM</t>
        </is>
      </c>
      <c r="H975" s="43" t="inlineStr"/>
      <c r="I975" s="43" t="inlineStr">
        <is>
          <t>Expired</t>
        </is>
      </c>
      <c r="J975" s="32" t="n">
        <v>46197</v>
      </c>
      <c r="K975" s="32" t="n">
        <v>46129</v>
      </c>
      <c r="L975" s="43" t="inlineStr">
        <is>
          <t>530</t>
        </is>
      </c>
      <c r="M975" s="43" t="n">
        <v>1</v>
      </c>
      <c r="N975" s="33" t="inlineStr"/>
      <c r="O975" s="43" t="inlineStr">
        <is>
          <t>UNVERIFIED</t>
        </is>
      </c>
      <c r="P975" s="43" t="inlineStr">
        <is>
          <t>Pending Review</t>
        </is>
      </c>
      <c r="Q975" s="33" t="inlineStr">
        <is>
          <t>Confirmar SKU/PCBA revision, PN exacto en Common DB, WO, BU, vigencia, planta y aprobacion firmada.</t>
        </is>
      </c>
    </row>
    <row r="976">
      <c r="A976" s="43" t="inlineStr">
        <is>
          <t>CTANJZ05167</t>
        </is>
      </c>
      <c r="B976" s="43" t="inlineStr">
        <is>
          <t>D610433</t>
        </is>
      </c>
      <c r="C976" s="43" t="inlineStr">
        <is>
          <t>035-CVEBU</t>
        </is>
      </c>
      <c r="D976" s="43" t="inlineStr">
        <is>
          <t>FJZP</t>
        </is>
      </c>
      <c r="E976" s="43" t="inlineStr">
        <is>
          <t>MCGA</t>
        </is>
      </c>
      <c r="F976" s="43" t="inlineStr">
        <is>
          <t>68-104853-01</t>
        </is>
      </c>
      <c r="G976" s="43" t="inlineStr">
        <is>
          <t>OTHER_SCOPE_ITEM</t>
        </is>
      </c>
      <c r="H976" s="43" t="inlineStr"/>
      <c r="I976" s="43" t="inlineStr">
        <is>
          <t>Expired</t>
        </is>
      </c>
      <c r="J976" s="32" t="n">
        <v>46197</v>
      </c>
      <c r="K976" s="32" t="n">
        <v>46129</v>
      </c>
      <c r="L976" s="43" t="inlineStr">
        <is>
          <t>531</t>
        </is>
      </c>
      <c r="M976" s="43" t="n">
        <v>1</v>
      </c>
      <c r="N976" s="33" t="inlineStr"/>
      <c r="O976" s="43" t="inlineStr">
        <is>
          <t>UNVERIFIED</t>
        </is>
      </c>
      <c r="P976" s="43" t="inlineStr">
        <is>
          <t>Pending Review</t>
        </is>
      </c>
      <c r="Q976" s="33" t="inlineStr">
        <is>
          <t>Confirmar SKU/PCBA revision, PN exacto en Common DB, WO, BU, vigencia, planta y aprobacion firmada.</t>
        </is>
      </c>
    </row>
    <row r="977">
      <c r="A977" s="43" t="inlineStr">
        <is>
          <t>CTANJZ05167</t>
        </is>
      </c>
      <c r="B977" s="43" t="inlineStr">
        <is>
          <t>D610433</t>
        </is>
      </c>
      <c r="C977" s="43" t="inlineStr">
        <is>
          <t>035-CVEBU</t>
        </is>
      </c>
      <c r="D977" s="43" t="inlineStr">
        <is>
          <t>FJZP</t>
        </is>
      </c>
      <c r="E977" s="43" t="inlineStr">
        <is>
          <t>MCGA</t>
        </is>
      </c>
      <c r="F977" s="43" t="inlineStr">
        <is>
          <t>68-104854-01</t>
        </is>
      </c>
      <c r="G977" s="43" t="inlineStr">
        <is>
          <t>OTHER_SCOPE_ITEM</t>
        </is>
      </c>
      <c r="H977" s="43" t="inlineStr"/>
      <c r="I977" s="43" t="inlineStr">
        <is>
          <t>Expired</t>
        </is>
      </c>
      <c r="J977" s="32" t="n">
        <v>46197</v>
      </c>
      <c r="K977" s="32" t="n">
        <v>46129</v>
      </c>
      <c r="L977" s="43" t="inlineStr">
        <is>
          <t>532</t>
        </is>
      </c>
      <c r="M977" s="43" t="n">
        <v>1</v>
      </c>
      <c r="N977" s="33" t="inlineStr"/>
      <c r="O977" s="43" t="inlineStr">
        <is>
          <t>UNVERIFIED</t>
        </is>
      </c>
      <c r="P977" s="43" t="inlineStr">
        <is>
          <t>Pending Review</t>
        </is>
      </c>
      <c r="Q977" s="33" t="inlineStr">
        <is>
          <t>Confirmar SKU/PCBA revision, PN exacto en Common DB, WO, BU, vigencia, planta y aprobacion firmada.</t>
        </is>
      </c>
    </row>
    <row r="978">
      <c r="A978" s="43" t="inlineStr">
        <is>
          <t>CTANJZ05167</t>
        </is>
      </c>
      <c r="B978" s="43" t="inlineStr">
        <is>
          <t>D610433</t>
        </is>
      </c>
      <c r="C978" s="43" t="inlineStr">
        <is>
          <t>035-CVEBU</t>
        </is>
      </c>
      <c r="D978" s="43" t="inlineStr">
        <is>
          <t>FJZP</t>
        </is>
      </c>
      <c r="E978" s="43" t="inlineStr">
        <is>
          <t>MCGA</t>
        </is>
      </c>
      <c r="F978" s="43" t="inlineStr">
        <is>
          <t>73-103698-06</t>
        </is>
      </c>
      <c r="G978" s="43" t="inlineStr">
        <is>
          <t>BOARD_PN_CANDIDATE</t>
        </is>
      </c>
      <c r="H978" s="43" t="inlineStr"/>
      <c r="I978" s="43" t="inlineStr">
        <is>
          <t>Expired</t>
        </is>
      </c>
      <c r="J978" s="32" t="n">
        <v>46197</v>
      </c>
      <c r="K978" s="32" t="n">
        <v>46129</v>
      </c>
      <c r="L978" s="43" t="inlineStr">
        <is>
          <t>533</t>
        </is>
      </c>
      <c r="M978" s="43" t="n">
        <v>1</v>
      </c>
      <c r="N978" s="33" t="inlineStr"/>
      <c r="O978" s="43" t="inlineStr">
        <is>
          <t>UNVERIFIED</t>
        </is>
      </c>
      <c r="P978" s="43" t="inlineStr">
        <is>
          <t>Pending Review</t>
        </is>
      </c>
      <c r="Q978" s="33" t="inlineStr">
        <is>
          <t>Confirmar SKU/PCBA revision, PN exacto en Common DB, WO, BU, vigencia, planta y aprobacion firmada.</t>
        </is>
      </c>
    </row>
    <row r="979">
      <c r="A979" s="43" t="inlineStr">
        <is>
          <t>CTANJZ05167</t>
        </is>
      </c>
      <c r="B979" s="43" t="inlineStr">
        <is>
          <t>D610433</t>
        </is>
      </c>
      <c r="C979" s="43" t="inlineStr">
        <is>
          <t>035-CVEBU</t>
        </is>
      </c>
      <c r="D979" s="43" t="inlineStr">
        <is>
          <t>FJZP</t>
        </is>
      </c>
      <c r="E979" s="43" t="inlineStr">
        <is>
          <t>MCGA</t>
        </is>
      </c>
      <c r="F979" s="43" t="inlineStr">
        <is>
          <t>73-103940-06</t>
        </is>
      </c>
      <c r="G979" s="43" t="inlineStr">
        <is>
          <t>BOARD_PN_CANDIDATE</t>
        </is>
      </c>
      <c r="H979" s="43" t="inlineStr"/>
      <c r="I979" s="43" t="inlineStr">
        <is>
          <t>Expired</t>
        </is>
      </c>
      <c r="J979" s="32" t="n">
        <v>46197</v>
      </c>
      <c r="K979" s="32" t="n">
        <v>46129</v>
      </c>
      <c r="L979" s="43" t="inlineStr">
        <is>
          <t>534</t>
        </is>
      </c>
      <c r="M979" s="43" t="n">
        <v>1</v>
      </c>
      <c r="N979" s="33" t="inlineStr"/>
      <c r="O979" s="43" t="inlineStr">
        <is>
          <t>UNVERIFIED</t>
        </is>
      </c>
      <c r="P979" s="43" t="inlineStr">
        <is>
          <t>Pending Review</t>
        </is>
      </c>
      <c r="Q979" s="33" t="inlineStr">
        <is>
          <t>Confirmar SKU/PCBA revision, PN exacto en Common DB, WO, BU, vigencia, planta y aprobacion firmada.</t>
        </is>
      </c>
    </row>
    <row r="980">
      <c r="A980" s="43" t="inlineStr">
        <is>
          <t>CTANJZ05167</t>
        </is>
      </c>
      <c r="B980" s="43" t="inlineStr">
        <is>
          <t>D610433</t>
        </is>
      </c>
      <c r="C980" s="43" t="inlineStr">
        <is>
          <t>035-CVEBU</t>
        </is>
      </c>
      <c r="D980" s="43" t="inlineStr">
        <is>
          <t>FJZP</t>
        </is>
      </c>
      <c r="E980" s="43" t="inlineStr">
        <is>
          <t>MCGA</t>
        </is>
      </c>
      <c r="F980" s="43" t="inlineStr">
        <is>
          <t>800-113105-01</t>
        </is>
      </c>
      <c r="G980" s="43" t="inlineStr">
        <is>
          <t>OTHER_SCOPE_ITEM</t>
        </is>
      </c>
      <c r="H980" s="43" t="inlineStr"/>
      <c r="I980" s="43" t="inlineStr">
        <is>
          <t>Expired</t>
        </is>
      </c>
      <c r="J980" s="32" t="n">
        <v>46197</v>
      </c>
      <c r="K980" s="32" t="n">
        <v>46129</v>
      </c>
      <c r="L980" s="43" t="inlineStr">
        <is>
          <t>535</t>
        </is>
      </c>
      <c r="M980" s="43" t="n">
        <v>1</v>
      </c>
      <c r="N980" s="33" t="inlineStr"/>
      <c r="O980" s="43" t="inlineStr">
        <is>
          <t>UNVERIFIED</t>
        </is>
      </c>
      <c r="P980" s="43" t="inlineStr">
        <is>
          <t>Pending Review</t>
        </is>
      </c>
      <c r="Q980" s="33" t="inlineStr">
        <is>
          <t>Confirmar SKU/PCBA revision, PN exacto en Common DB, WO, BU, vigencia, planta y aprobacion firmada.</t>
        </is>
      </c>
    </row>
    <row r="981">
      <c r="A981" s="43" t="inlineStr">
        <is>
          <t>CTANJZ05167</t>
        </is>
      </c>
      <c r="B981" s="43" t="inlineStr">
        <is>
          <t>D610433</t>
        </is>
      </c>
      <c r="C981" s="43" t="inlineStr">
        <is>
          <t>035-CVEBU</t>
        </is>
      </c>
      <c r="D981" s="43" t="inlineStr">
        <is>
          <t>FJZP</t>
        </is>
      </c>
      <c r="E981" s="43" t="inlineStr">
        <is>
          <t>MCGA</t>
        </is>
      </c>
      <c r="F981" s="43" t="inlineStr">
        <is>
          <t>800-113255-01</t>
        </is>
      </c>
      <c r="G981" s="43" t="inlineStr">
        <is>
          <t>OTHER_SCOPE_ITEM</t>
        </is>
      </c>
      <c r="H981" s="43" t="inlineStr"/>
      <c r="I981" s="43" t="inlineStr">
        <is>
          <t>Expired</t>
        </is>
      </c>
      <c r="J981" s="32" t="n">
        <v>46197</v>
      </c>
      <c r="K981" s="32" t="n">
        <v>46129</v>
      </c>
      <c r="L981" s="43" t="inlineStr">
        <is>
          <t>536</t>
        </is>
      </c>
      <c r="M981" s="43" t="n">
        <v>1</v>
      </c>
      <c r="N981" s="33" t="inlineStr"/>
      <c r="O981" s="43" t="inlineStr">
        <is>
          <t>UNVERIFIED</t>
        </is>
      </c>
      <c r="P981" s="43" t="inlineStr">
        <is>
          <t>Pending Review</t>
        </is>
      </c>
      <c r="Q981" s="33" t="inlineStr">
        <is>
          <t>Confirmar SKU/PCBA revision, PN exacto en Common DB, WO, BU, vigencia, planta y aprobacion firmada.</t>
        </is>
      </c>
    </row>
    <row r="982">
      <c r="A982" s="43" t="inlineStr">
        <is>
          <t>CTANJZ05169</t>
        </is>
      </c>
      <c r="B982" s="43" t="inlineStr">
        <is>
          <t>D610106</t>
        </is>
      </c>
      <c r="C982" s="43" t="inlineStr">
        <is>
          <t>037-STBU</t>
        </is>
      </c>
      <c r="D982" s="43" t="inlineStr">
        <is>
          <t>FJZP</t>
        </is>
      </c>
      <c r="E982" s="43" t="inlineStr">
        <is>
          <t>MCGA</t>
        </is>
      </c>
      <c r="F982" s="43" t="inlineStr">
        <is>
          <t>15-103518-01</t>
        </is>
      </c>
      <c r="G982" s="43" t="inlineStr">
        <is>
          <t>OTHER_SCOPE_ITEM</t>
        </is>
      </c>
      <c r="H982" s="43" t="inlineStr"/>
      <c r="I982" s="43" t="inlineStr">
        <is>
          <t>Expired</t>
        </is>
      </c>
      <c r="J982" s="32" t="n">
        <v>46198</v>
      </c>
      <c r="K982" s="32" t="n">
        <v>46136</v>
      </c>
      <c r="L982" s="43" t="inlineStr">
        <is>
          <t>171,1505</t>
        </is>
      </c>
      <c r="M982" s="43" t="n">
        <v>2</v>
      </c>
      <c r="N982" s="33" t="inlineStr"/>
      <c r="O982" s="43" t="inlineStr">
        <is>
          <t>UNVERIFIED</t>
        </is>
      </c>
      <c r="P982" s="43" t="inlineStr">
        <is>
          <t>Pending Review</t>
        </is>
      </c>
      <c r="Q982" s="33" t="inlineStr">
        <is>
          <t>Confirmar SKU/PCBA revision, PN exacto en Common DB, WO, BU, vigencia, planta y aprobacion firmada.</t>
        </is>
      </c>
    </row>
    <row r="983">
      <c r="A983" s="43" t="inlineStr">
        <is>
          <t>CTANJZ05169</t>
        </is>
      </c>
      <c r="B983" s="43" t="inlineStr">
        <is>
          <t>D610106</t>
        </is>
      </c>
      <c r="C983" s="43" t="inlineStr">
        <is>
          <t>037-STBU</t>
        </is>
      </c>
      <c r="D983" s="43" t="inlineStr">
        <is>
          <t>FJZP</t>
        </is>
      </c>
      <c r="E983" s="43" t="inlineStr">
        <is>
          <t>MCGA</t>
        </is>
      </c>
      <c r="F983" s="43" t="inlineStr">
        <is>
          <t>73-102435-05</t>
        </is>
      </c>
      <c r="G983" s="43" t="inlineStr">
        <is>
          <t>BOARD_PN_CANDIDATE</t>
        </is>
      </c>
      <c r="H983" s="43" t="inlineStr"/>
      <c r="I983" s="43" t="inlineStr">
        <is>
          <t>Expired</t>
        </is>
      </c>
      <c r="J983" s="32" t="n">
        <v>46198</v>
      </c>
      <c r="K983" s="32" t="n">
        <v>46136</v>
      </c>
      <c r="L983" s="43" t="inlineStr">
        <is>
          <t>172,1506</t>
        </is>
      </c>
      <c r="M983" s="43" t="n">
        <v>2</v>
      </c>
      <c r="N983" s="33" t="inlineStr"/>
      <c r="O983" s="43" t="inlineStr">
        <is>
          <t>UNVERIFIED</t>
        </is>
      </c>
      <c r="P983" s="43" t="inlineStr">
        <is>
          <t>Pending Review</t>
        </is>
      </c>
      <c r="Q983" s="33" t="inlineStr">
        <is>
          <t>Confirmar SKU/PCBA revision, PN exacto en Common DB, WO, BU, vigencia, planta y aprobacion firmada.</t>
        </is>
      </c>
    </row>
    <row r="984">
      <c r="A984" s="43" t="inlineStr">
        <is>
          <t>CTANJZ05171</t>
        </is>
      </c>
      <c r="B984" s="43" t="inlineStr">
        <is>
          <t>D610166</t>
        </is>
      </c>
      <c r="C984" s="43" t="inlineStr">
        <is>
          <t>037-STBU</t>
        </is>
      </c>
      <c r="D984" s="43" t="inlineStr">
        <is>
          <t>FJZP</t>
        </is>
      </c>
      <c r="E984" s="43" t="inlineStr">
        <is>
          <t>MCGA</t>
        </is>
      </c>
      <c r="F984" s="43" t="inlineStr">
        <is>
          <t>15-110393-01</t>
        </is>
      </c>
      <c r="G984" s="43" t="inlineStr">
        <is>
          <t>OTHER_SCOPE_ITEM</t>
        </is>
      </c>
      <c r="H984" s="43" t="inlineStr"/>
      <c r="I984" s="43" t="inlineStr">
        <is>
          <t>Expired</t>
        </is>
      </c>
      <c r="J984" s="32" t="n">
        <v>46198</v>
      </c>
      <c r="K984" s="32" t="n">
        <v>46136</v>
      </c>
      <c r="L984" s="43" t="inlineStr">
        <is>
          <t>173,1507</t>
        </is>
      </c>
      <c r="M984" s="43" t="n">
        <v>2</v>
      </c>
      <c r="N984" s="33" t="inlineStr"/>
      <c r="O984" s="43" t="inlineStr">
        <is>
          <t>UNVERIFIED</t>
        </is>
      </c>
      <c r="P984" s="43" t="inlineStr">
        <is>
          <t>Pending Review</t>
        </is>
      </c>
      <c r="Q984" s="33" t="inlineStr">
        <is>
          <t>Confirmar SKU/PCBA revision, PN exacto en Common DB, WO, BU, vigencia, planta y aprobacion firmada.</t>
        </is>
      </c>
    </row>
    <row r="985">
      <c r="A985" s="43" t="inlineStr">
        <is>
          <t>CTANJZ05171</t>
        </is>
      </c>
      <c r="B985" s="43" t="inlineStr">
        <is>
          <t>D610166</t>
        </is>
      </c>
      <c r="C985" s="43" t="inlineStr">
        <is>
          <t>037-STBU</t>
        </is>
      </c>
      <c r="D985" s="43" t="inlineStr">
        <is>
          <t>FJZP</t>
        </is>
      </c>
      <c r="E985" s="43" t="inlineStr">
        <is>
          <t>MCGA</t>
        </is>
      </c>
      <c r="F985" s="43" t="inlineStr">
        <is>
          <t>74-139982-01</t>
        </is>
      </c>
      <c r="G985" s="43" t="inlineStr">
        <is>
          <t>OTHER_SCOPE_ITEM</t>
        </is>
      </c>
      <c r="H985" s="43" t="inlineStr"/>
      <c r="I985" s="43" t="inlineStr">
        <is>
          <t>Expired</t>
        </is>
      </c>
      <c r="J985" s="32" t="n">
        <v>46198</v>
      </c>
      <c r="K985" s="32" t="n">
        <v>46136</v>
      </c>
      <c r="L985" s="43" t="inlineStr">
        <is>
          <t>174,1508</t>
        </is>
      </c>
      <c r="M985" s="43" t="n">
        <v>2</v>
      </c>
      <c r="N985" s="33" t="inlineStr"/>
      <c r="O985" s="43" t="inlineStr">
        <is>
          <t>UNVERIFIED</t>
        </is>
      </c>
      <c r="P985" s="43" t="inlineStr">
        <is>
          <t>Pending Review</t>
        </is>
      </c>
      <c r="Q985" s="33" t="inlineStr">
        <is>
          <t>Confirmar SKU/PCBA revision, PN exacto en Common DB, WO, BU, vigencia, planta y aprobacion firmada.</t>
        </is>
      </c>
    </row>
    <row r="986">
      <c r="A986" s="43" t="inlineStr">
        <is>
          <t>CTANJZ05172</t>
        </is>
      </c>
      <c r="B986" s="43" t="inlineStr">
        <is>
          <t>D610410</t>
        </is>
      </c>
      <c r="C986" s="43" t="inlineStr">
        <is>
          <t>037-STBU</t>
        </is>
      </c>
      <c r="D986" s="43" t="inlineStr">
        <is>
          <t>FJZP</t>
        </is>
      </c>
      <c r="E986" s="43" t="inlineStr">
        <is>
          <t>MCGA</t>
        </is>
      </c>
      <c r="F986" s="43" t="inlineStr">
        <is>
          <t>84-102476-01</t>
        </is>
      </c>
      <c r="G986" s="43" t="inlineStr">
        <is>
          <t>OTHER_SCOPE_ITEM</t>
        </is>
      </c>
      <c r="H986" s="43" t="inlineStr"/>
      <c r="I986" s="43" t="inlineStr">
        <is>
          <t>Expired</t>
        </is>
      </c>
      <c r="J986" s="32" t="n">
        <v>46199</v>
      </c>
      <c r="K986" s="32" t="n">
        <v>46136</v>
      </c>
      <c r="L986" s="43" t="inlineStr">
        <is>
          <t>1067</t>
        </is>
      </c>
      <c r="M986" s="43" t="n">
        <v>1</v>
      </c>
      <c r="N986" s="33" t="inlineStr"/>
      <c r="O986" s="43" t="inlineStr">
        <is>
          <t>UNVERIFIED</t>
        </is>
      </c>
      <c r="P986" s="43" t="inlineStr">
        <is>
          <t>Pending Review</t>
        </is>
      </c>
      <c r="Q986" s="33" t="inlineStr">
        <is>
          <t>Confirmar SKU/PCBA revision, PN exacto en Common DB, WO, BU, vigencia, planta y aprobacion firmada.</t>
        </is>
      </c>
    </row>
    <row r="987">
      <c r="A987" s="43" t="inlineStr">
        <is>
          <t>CTANJZ05173</t>
        </is>
      </c>
      <c r="B987" s="43" t="inlineStr">
        <is>
          <t>D609995</t>
        </is>
      </c>
      <c r="C987" s="43" t="inlineStr">
        <is>
          <t>037-STBU</t>
        </is>
      </c>
      <c r="D987" s="43" t="inlineStr">
        <is>
          <t>FJZP</t>
        </is>
      </c>
      <c r="E987" s="43" t="inlineStr">
        <is>
          <t>MCGA</t>
        </is>
      </c>
      <c r="F987" s="43" t="inlineStr">
        <is>
          <t>471-00585-01</t>
        </is>
      </c>
      <c r="G987" s="43" t="inlineStr">
        <is>
          <t>OTHER_SCOPE_ITEM</t>
        </is>
      </c>
      <c r="H987" s="43" t="inlineStr"/>
      <c r="I987" s="43" t="inlineStr">
        <is>
          <t>Expired</t>
        </is>
      </c>
      <c r="J987" s="32" t="n">
        <v>46198</v>
      </c>
      <c r="K987" s="32" t="n">
        <v>46136</v>
      </c>
      <c r="L987" s="43" t="inlineStr">
        <is>
          <t>1824</t>
        </is>
      </c>
      <c r="M987" s="43" t="n">
        <v>1</v>
      </c>
      <c r="N987" s="33" t="inlineStr"/>
      <c r="O987" s="43" t="inlineStr">
        <is>
          <t>UNVERIFIED</t>
        </is>
      </c>
      <c r="P987" s="43" t="inlineStr">
        <is>
          <t>Pending Review</t>
        </is>
      </c>
      <c r="Q987" s="33" t="inlineStr">
        <is>
          <t>Confirmar SKU/PCBA revision, PN exacto en Common DB, WO, BU, vigencia, planta y aprobacion firmada.</t>
        </is>
      </c>
    </row>
    <row r="988">
      <c r="A988" s="43" t="inlineStr">
        <is>
          <t>CTANJZ05173</t>
        </is>
      </c>
      <c r="B988" s="43" t="inlineStr">
        <is>
          <t>D609995</t>
        </is>
      </c>
      <c r="C988" s="43" t="inlineStr">
        <is>
          <t>037-STBU</t>
        </is>
      </c>
      <c r="D988" s="43" t="inlineStr">
        <is>
          <t>FJZP</t>
        </is>
      </c>
      <c r="E988" s="43" t="inlineStr">
        <is>
          <t>MCGA</t>
        </is>
      </c>
      <c r="F988" s="43" t="inlineStr">
        <is>
          <t>473-00003-01</t>
        </is>
      </c>
      <c r="G988" s="43" t="inlineStr">
        <is>
          <t>OTHER_SCOPE_ITEM</t>
        </is>
      </c>
      <c r="H988" s="43" t="inlineStr"/>
      <c r="I988" s="43" t="inlineStr">
        <is>
          <t>Expired</t>
        </is>
      </c>
      <c r="J988" s="32" t="n">
        <v>46198</v>
      </c>
      <c r="K988" s="32" t="n">
        <v>46136</v>
      </c>
      <c r="L988" s="43" t="inlineStr">
        <is>
          <t>1825</t>
        </is>
      </c>
      <c r="M988" s="43" t="n">
        <v>1</v>
      </c>
      <c r="N988" s="33" t="inlineStr"/>
      <c r="O988" s="43" t="inlineStr">
        <is>
          <t>UNVERIFIED</t>
        </is>
      </c>
      <c r="P988" s="43" t="inlineStr">
        <is>
          <t>Pending Review</t>
        </is>
      </c>
      <c r="Q988" s="33" t="inlineStr">
        <is>
          <t>Confirmar SKU/PCBA revision, PN exacto en Common DB, WO, BU, vigencia, planta y aprobacion firmada.</t>
        </is>
      </c>
    </row>
    <row r="989">
      <c r="A989" s="43" t="inlineStr">
        <is>
          <t>CTANJZ05173</t>
        </is>
      </c>
      <c r="B989" s="43" t="inlineStr">
        <is>
          <t>D609995</t>
        </is>
      </c>
      <c r="C989" s="43" t="inlineStr">
        <is>
          <t>037-STBU</t>
        </is>
      </c>
      <c r="D989" s="43" t="inlineStr">
        <is>
          <t>FJZP</t>
        </is>
      </c>
      <c r="E989" s="43" t="inlineStr">
        <is>
          <t>MCGA</t>
        </is>
      </c>
      <c r="F989" s="43" t="inlineStr">
        <is>
          <t>73-18490-10</t>
        </is>
      </c>
      <c r="G989" s="43" t="inlineStr">
        <is>
          <t>BOARD_PN_CANDIDATE</t>
        </is>
      </c>
      <c r="H989" s="43" t="inlineStr"/>
      <c r="I989" s="43" t="inlineStr">
        <is>
          <t>Expired</t>
        </is>
      </c>
      <c r="J989" s="32" t="n">
        <v>46198</v>
      </c>
      <c r="K989" s="32" t="n">
        <v>46136</v>
      </c>
      <c r="L989" s="43" t="inlineStr">
        <is>
          <t>1826</t>
        </is>
      </c>
      <c r="M989" s="43" t="n">
        <v>1</v>
      </c>
      <c r="N989" s="33" t="inlineStr"/>
      <c r="O989" s="43" t="inlineStr">
        <is>
          <t>UNVERIFIED</t>
        </is>
      </c>
      <c r="P989" s="43" t="inlineStr">
        <is>
          <t>Pending Review</t>
        </is>
      </c>
      <c r="Q989" s="33" t="inlineStr">
        <is>
          <t>Confirmar SKU/PCBA revision, PN exacto en Common DB, WO, BU, vigencia, planta y aprobacion firmada.</t>
        </is>
      </c>
    </row>
    <row r="990">
      <c r="A990" s="43" t="inlineStr">
        <is>
          <t>CTANJZ05173</t>
        </is>
      </c>
      <c r="B990" s="43" t="inlineStr">
        <is>
          <t>D609995</t>
        </is>
      </c>
      <c r="C990" s="43" t="inlineStr">
        <is>
          <t>037-STBU</t>
        </is>
      </c>
      <c r="D990" s="43" t="inlineStr">
        <is>
          <t>FJZP</t>
        </is>
      </c>
      <c r="E990" s="43" t="inlineStr">
        <is>
          <t>MCGA</t>
        </is>
      </c>
      <c r="F990" s="43" t="inlineStr">
        <is>
          <t>73-21007-03</t>
        </is>
      </c>
      <c r="G990" s="43" t="inlineStr">
        <is>
          <t>BOARD_PN_CANDIDATE</t>
        </is>
      </c>
      <c r="H990" s="43" t="inlineStr"/>
      <c r="I990" s="43" t="inlineStr">
        <is>
          <t>Expired</t>
        </is>
      </c>
      <c r="J990" s="32" t="n">
        <v>46198</v>
      </c>
      <c r="K990" s="32" t="n">
        <v>46136</v>
      </c>
      <c r="L990" s="43" t="inlineStr">
        <is>
          <t>1827</t>
        </is>
      </c>
      <c r="M990" s="43" t="n">
        <v>1</v>
      </c>
      <c r="N990" s="33" t="inlineStr"/>
      <c r="O990" s="43" t="inlineStr">
        <is>
          <t>UNVERIFIED</t>
        </is>
      </c>
      <c r="P990" s="43" t="inlineStr">
        <is>
          <t>Pending Review</t>
        </is>
      </c>
      <c r="Q990" s="33" t="inlineStr">
        <is>
          <t>Confirmar SKU/PCBA revision, PN exacto en Common DB, WO, BU, vigencia, planta y aprobacion firmada.</t>
        </is>
      </c>
    </row>
    <row r="991">
      <c r="A991" s="43" t="inlineStr">
        <is>
          <t>CTANJZ05174</t>
        </is>
      </c>
      <c r="B991" s="43" t="inlineStr">
        <is>
          <t>D609996</t>
        </is>
      </c>
      <c r="C991" s="43" t="inlineStr">
        <is>
          <t>037-STBU</t>
        </is>
      </c>
      <c r="D991" s="43" t="inlineStr">
        <is>
          <t>FJZP</t>
        </is>
      </c>
      <c r="E991" s="43" t="inlineStr">
        <is>
          <t>MCGA</t>
        </is>
      </c>
      <c r="F991" s="43" t="inlineStr">
        <is>
          <t>15-104142-02</t>
        </is>
      </c>
      <c r="G991" s="43" t="inlineStr">
        <is>
          <t>OTHER_SCOPE_ITEM</t>
        </is>
      </c>
      <c r="H991" s="43" t="inlineStr"/>
      <c r="I991" s="43" t="inlineStr">
        <is>
          <t>Expired</t>
        </is>
      </c>
      <c r="J991" s="32" t="n">
        <v>46198</v>
      </c>
      <c r="K991" s="32" t="n">
        <v>46130</v>
      </c>
      <c r="L991" s="43" t="inlineStr">
        <is>
          <t>574</t>
        </is>
      </c>
      <c r="M991" s="43" t="n">
        <v>1</v>
      </c>
      <c r="N991" s="33" t="inlineStr"/>
      <c r="O991" s="43" t="inlineStr">
        <is>
          <t>UNVERIFIED</t>
        </is>
      </c>
      <c r="P991" s="43" t="inlineStr">
        <is>
          <t>Pending Review</t>
        </is>
      </c>
      <c r="Q991" s="33" t="inlineStr">
        <is>
          <t>Confirmar SKU/PCBA revision, PN exacto en Common DB, WO, BU, vigencia, planta y aprobacion firmada.</t>
        </is>
      </c>
    </row>
    <row r="992">
      <c r="A992" s="43" t="inlineStr">
        <is>
          <t>CTANJZ05174</t>
        </is>
      </c>
      <c r="B992" s="43" t="inlineStr">
        <is>
          <t>D609996</t>
        </is>
      </c>
      <c r="C992" s="43" t="inlineStr">
        <is>
          <t>037-STBU</t>
        </is>
      </c>
      <c r="D992" s="43" t="inlineStr">
        <is>
          <t>FJZP</t>
        </is>
      </c>
      <c r="E992" s="43" t="inlineStr">
        <is>
          <t>MCGA</t>
        </is>
      </c>
      <c r="F992" s="43" t="inlineStr">
        <is>
          <t>800-104788-04</t>
        </is>
      </c>
      <c r="G992" s="43" t="inlineStr">
        <is>
          <t>OTHER_SCOPE_ITEM</t>
        </is>
      </c>
      <c r="H992" s="43" t="inlineStr"/>
      <c r="I992" s="43" t="inlineStr">
        <is>
          <t>Expired</t>
        </is>
      </c>
      <c r="J992" s="32" t="n">
        <v>46198</v>
      </c>
      <c r="K992" s="32" t="n">
        <v>46130</v>
      </c>
      <c r="L992" s="43" t="inlineStr">
        <is>
          <t>575</t>
        </is>
      </c>
      <c r="M992" s="43" t="n">
        <v>1</v>
      </c>
      <c r="N992" s="33" t="inlineStr"/>
      <c r="O992" s="43" t="inlineStr">
        <is>
          <t>UNVERIFIED</t>
        </is>
      </c>
      <c r="P992" s="43" t="inlineStr">
        <is>
          <t>Pending Review</t>
        </is>
      </c>
      <c r="Q992" s="33" t="inlineStr">
        <is>
          <t>Confirmar SKU/PCBA revision, PN exacto en Common DB, WO, BU, vigencia, planta y aprobacion firmada.</t>
        </is>
      </c>
    </row>
    <row r="993">
      <c r="A993" s="43" t="inlineStr">
        <is>
          <t>CTANJZ05174</t>
        </is>
      </c>
      <c r="B993" s="43" t="inlineStr">
        <is>
          <t>D609996</t>
        </is>
      </c>
      <c r="C993" s="43" t="inlineStr">
        <is>
          <t>037-STBU</t>
        </is>
      </c>
      <c r="D993" s="43" t="inlineStr">
        <is>
          <t>FJZP</t>
        </is>
      </c>
      <c r="E993" s="43" t="inlineStr">
        <is>
          <t>MCGA</t>
        </is>
      </c>
      <c r="F993" s="43" t="inlineStr">
        <is>
          <t>800-104789-04</t>
        </is>
      </c>
      <c r="G993" s="43" t="inlineStr">
        <is>
          <t>OTHER_SCOPE_ITEM</t>
        </is>
      </c>
      <c r="H993" s="43" t="inlineStr"/>
      <c r="I993" s="43" t="inlineStr">
        <is>
          <t>Expired</t>
        </is>
      </c>
      <c r="J993" s="32" t="n">
        <v>46198</v>
      </c>
      <c r="K993" s="32" t="n">
        <v>46130</v>
      </c>
      <c r="L993" s="43" t="inlineStr">
        <is>
          <t>576</t>
        </is>
      </c>
      <c r="M993" s="43" t="n">
        <v>1</v>
      </c>
      <c r="N993" s="33" t="inlineStr"/>
      <c r="O993" s="43" t="inlineStr">
        <is>
          <t>UNVERIFIED</t>
        </is>
      </c>
      <c r="P993" s="43" t="inlineStr">
        <is>
          <t>Pending Review</t>
        </is>
      </c>
      <c r="Q993" s="33" t="inlineStr">
        <is>
          <t>Confirmar SKU/PCBA revision, PN exacto en Common DB, WO, BU, vigencia, planta y aprobacion firmada.</t>
        </is>
      </c>
    </row>
    <row r="994">
      <c r="A994" s="43" t="inlineStr">
        <is>
          <t>CTANJZ05175</t>
        </is>
      </c>
      <c r="B994" s="43" t="inlineStr">
        <is>
          <t>D610401</t>
        </is>
      </c>
      <c r="C994" s="43" t="inlineStr">
        <is>
          <t>239-CRBU</t>
        </is>
      </c>
      <c r="D994" s="43" t="inlineStr">
        <is>
          <t>FJZP</t>
        </is>
      </c>
      <c r="E994" s="43" t="inlineStr">
        <is>
          <t>MCGA</t>
        </is>
      </c>
      <c r="F994" s="43" t="inlineStr">
        <is>
          <t>73-20193-09</t>
        </is>
      </c>
      <c r="G994" s="43" t="inlineStr">
        <is>
          <t>BOARD_PN_CANDIDATE</t>
        </is>
      </c>
      <c r="H994" s="43" t="inlineStr"/>
      <c r="I994" s="43" t="inlineStr">
        <is>
          <t>Expired</t>
        </is>
      </c>
      <c r="J994" s="32" t="n">
        <v>46201</v>
      </c>
      <c r="K994" s="32" t="n">
        <v>46143</v>
      </c>
      <c r="L994" s="43" t="inlineStr">
        <is>
          <t>1118</t>
        </is>
      </c>
      <c r="M994" s="43" t="n">
        <v>1</v>
      </c>
      <c r="N994" s="33" t="inlineStr"/>
      <c r="O994" s="43" t="inlineStr">
        <is>
          <t>UNVERIFIED</t>
        </is>
      </c>
      <c r="P994" s="43" t="inlineStr">
        <is>
          <t>Pending Review</t>
        </is>
      </c>
      <c r="Q994" s="33" t="inlineStr">
        <is>
          <t>Confirmar SKU/PCBA revision, PN exacto en Common DB, WO, BU, vigencia, planta y aprobacion firmada.</t>
        </is>
      </c>
    </row>
    <row r="995">
      <c r="A995" s="43" t="inlineStr">
        <is>
          <t>CTANJZ05176</t>
        </is>
      </c>
      <c r="B995" s="43" t="inlineStr">
        <is>
          <t>D610506</t>
        </is>
      </c>
      <c r="C995" s="43" t="inlineStr">
        <is>
          <t>037-STBU</t>
        </is>
      </c>
      <c r="D995" s="43" t="inlineStr">
        <is>
          <t>FJZP</t>
        </is>
      </c>
      <c r="E995" s="43" t="inlineStr">
        <is>
          <t>MCGA</t>
        </is>
      </c>
      <c r="F995" s="43" t="inlineStr">
        <is>
          <t>17-102052-01</t>
        </is>
      </c>
      <c r="G995" s="43" t="inlineStr">
        <is>
          <t>OTHER_SCOPE_ITEM</t>
        </is>
      </c>
      <c r="H995" s="43" t="inlineStr"/>
      <c r="I995" s="43" t="inlineStr">
        <is>
          <t>Expired</t>
        </is>
      </c>
      <c r="J995" s="32" t="n">
        <v>46201</v>
      </c>
      <c r="K995" s="32" t="n">
        <v>46136</v>
      </c>
      <c r="L995" s="43" t="inlineStr">
        <is>
          <t>1119</t>
        </is>
      </c>
      <c r="M995" s="43" t="n">
        <v>1</v>
      </c>
      <c r="N995" s="33" t="inlineStr"/>
      <c r="O995" s="43" t="inlineStr">
        <is>
          <t>UNVERIFIED</t>
        </is>
      </c>
      <c r="P995" s="43" t="inlineStr">
        <is>
          <t>Pending Review</t>
        </is>
      </c>
      <c r="Q995" s="33" t="inlineStr">
        <is>
          <t>Confirmar SKU/PCBA revision, PN exacto en Common DB, WO, BU, vigencia, planta y aprobacion firmada.</t>
        </is>
      </c>
    </row>
    <row r="996">
      <c r="A996" s="43" t="inlineStr">
        <is>
          <t>CTANJZ05176</t>
        </is>
      </c>
      <c r="B996" s="43" t="inlineStr">
        <is>
          <t>D610506</t>
        </is>
      </c>
      <c r="C996" s="43" t="inlineStr">
        <is>
          <t>037-STBU</t>
        </is>
      </c>
      <c r="D996" s="43" t="inlineStr">
        <is>
          <t>FJZP</t>
        </is>
      </c>
      <c r="E996" s="43" t="inlineStr">
        <is>
          <t>MCGA</t>
        </is>
      </c>
      <c r="F996" s="43" t="inlineStr">
        <is>
          <t>73-20247-06</t>
        </is>
      </c>
      <c r="G996" s="43" t="inlineStr">
        <is>
          <t>BOARD_PN_CANDIDATE</t>
        </is>
      </c>
      <c r="H996" s="43" t="inlineStr">
        <is>
          <t>TUFNELL PARK</t>
        </is>
      </c>
      <c r="I996" s="43" t="inlineStr">
        <is>
          <t>Expired</t>
        </is>
      </c>
      <c r="J996" s="32" t="n">
        <v>46201</v>
      </c>
      <c r="K996" s="32" t="n">
        <v>46136</v>
      </c>
      <c r="L996" s="43" t="inlineStr">
        <is>
          <t>1120</t>
        </is>
      </c>
      <c r="M996" s="43" t="n">
        <v>1</v>
      </c>
      <c r="N996" s="33" t="inlineStr"/>
      <c r="O996" s="43" t="inlineStr">
        <is>
          <t>UNVERIFIED</t>
        </is>
      </c>
      <c r="P996" s="43" t="inlineStr">
        <is>
          <t>Pending Review</t>
        </is>
      </c>
      <c r="Q996" s="33" t="inlineStr">
        <is>
          <t>Confirmar SKU/PCBA revision, PN exacto en Common DB, WO, BU, vigencia, planta y aprobacion firmada.</t>
        </is>
      </c>
    </row>
    <row r="997">
      <c r="A997" s="43" t="inlineStr">
        <is>
          <t>CTANJZ05176</t>
        </is>
      </c>
      <c r="B997" s="43" t="inlineStr">
        <is>
          <t>D610506</t>
        </is>
      </c>
      <c r="C997" s="43" t="inlineStr">
        <is>
          <t>037-STBU</t>
        </is>
      </c>
      <c r="D997" s="43" t="inlineStr">
        <is>
          <t>FJZP</t>
        </is>
      </c>
      <c r="E997" s="43" t="inlineStr">
        <is>
          <t>MCGA</t>
        </is>
      </c>
      <c r="F997" s="43" t="inlineStr">
        <is>
          <t>73-20249-06</t>
        </is>
      </c>
      <c r="G997" s="43" t="inlineStr">
        <is>
          <t>BOARD_PN_CANDIDATE</t>
        </is>
      </c>
      <c r="H997" s="43" t="inlineStr">
        <is>
          <t>TUFNELL PARK</t>
        </is>
      </c>
      <c r="I997" s="43" t="inlineStr">
        <is>
          <t>Expired</t>
        </is>
      </c>
      <c r="J997" s="32" t="n">
        <v>46201</v>
      </c>
      <c r="K997" s="32" t="n">
        <v>46136</v>
      </c>
      <c r="L997" s="43" t="inlineStr">
        <is>
          <t>1121</t>
        </is>
      </c>
      <c r="M997" s="43" t="n">
        <v>1</v>
      </c>
      <c r="N997" s="33" t="inlineStr"/>
      <c r="O997" s="43" t="inlineStr">
        <is>
          <t>UNVERIFIED</t>
        </is>
      </c>
      <c r="P997" s="43" t="inlineStr">
        <is>
          <t>Pending Review</t>
        </is>
      </c>
      <c r="Q997" s="33" t="inlineStr">
        <is>
          <t>Confirmar SKU/PCBA revision, PN exacto en Common DB, WO, BU, vigencia, planta y aprobacion firmada.</t>
        </is>
      </c>
    </row>
    <row r="998">
      <c r="A998" s="43" t="inlineStr">
        <is>
          <t>CTANJZ05177</t>
        </is>
      </c>
      <c r="B998" s="43" t="inlineStr">
        <is>
          <t>D610236</t>
        </is>
      </c>
      <c r="C998" s="43" t="inlineStr">
        <is>
          <t>239-CRBU</t>
        </is>
      </c>
      <c r="D998" s="43" t="inlineStr">
        <is>
          <t>FJZP</t>
        </is>
      </c>
      <c r="E998" s="43" t="inlineStr">
        <is>
          <t>MCGA</t>
        </is>
      </c>
      <c r="F998" s="43" t="inlineStr">
        <is>
          <t>68-6597-07</t>
        </is>
      </c>
      <c r="G998" s="43" t="inlineStr">
        <is>
          <t>OTHER_SCOPE_ITEM</t>
        </is>
      </c>
      <c r="H998" s="43" t="inlineStr"/>
      <c r="I998" s="43" t="inlineStr">
        <is>
          <t>Expired</t>
        </is>
      </c>
      <c r="J998" s="32" t="n">
        <v>46201</v>
      </c>
      <c r="K998" s="32" t="n">
        <v>46162</v>
      </c>
      <c r="L998" s="43" t="inlineStr">
        <is>
          <t>1069</t>
        </is>
      </c>
      <c r="M998" s="43" t="n">
        <v>1</v>
      </c>
      <c r="N998" s="33" t="inlineStr"/>
      <c r="O998" s="43" t="inlineStr">
        <is>
          <t>UNVERIFIED</t>
        </is>
      </c>
      <c r="P998" s="43" t="inlineStr">
        <is>
          <t>Pending Review</t>
        </is>
      </c>
      <c r="Q998" s="33" t="inlineStr">
        <is>
          <t>Confirmar SKU/PCBA revision, PN exacto en Common DB, WO, BU, vigencia, planta y aprobacion firmada.</t>
        </is>
      </c>
    </row>
    <row r="999">
      <c r="A999" s="43" t="inlineStr">
        <is>
          <t>CTANJZ05177</t>
        </is>
      </c>
      <c r="B999" s="43" t="inlineStr">
        <is>
          <t>D610236</t>
        </is>
      </c>
      <c r="C999" s="43" t="inlineStr">
        <is>
          <t>239-CRBU</t>
        </is>
      </c>
      <c r="D999" s="43" t="inlineStr">
        <is>
          <t>FJZP</t>
        </is>
      </c>
      <c r="E999" s="43" t="inlineStr">
        <is>
          <t>MCGA</t>
        </is>
      </c>
      <c r="F999" s="43" t="inlineStr">
        <is>
          <t>68-7184-09</t>
        </is>
      </c>
      <c r="G999" s="43" t="inlineStr">
        <is>
          <t>OTHER_SCOPE_ITEM</t>
        </is>
      </c>
      <c r="H999" s="43" t="inlineStr"/>
      <c r="I999" s="43" t="inlineStr">
        <is>
          <t>Expired</t>
        </is>
      </c>
      <c r="J999" s="32" t="n">
        <v>46201</v>
      </c>
      <c r="K999" s="32" t="n">
        <v>46162</v>
      </c>
      <c r="L999" s="43" t="inlineStr">
        <is>
          <t>1070</t>
        </is>
      </c>
      <c r="M999" s="43" t="n">
        <v>1</v>
      </c>
      <c r="N999" s="33" t="inlineStr"/>
      <c r="O999" s="43" t="inlineStr">
        <is>
          <t>UNVERIFIED</t>
        </is>
      </c>
      <c r="P999" s="43" t="inlineStr">
        <is>
          <t>Pending Review</t>
        </is>
      </c>
      <c r="Q999" s="33" t="inlineStr">
        <is>
          <t>Confirmar SKU/PCBA revision, PN exacto en Common DB, WO, BU, vigencia, planta y aprobacion firmada.</t>
        </is>
      </c>
    </row>
    <row r="1000">
      <c r="A1000" s="43" t="inlineStr">
        <is>
          <t>CTANJZ05177</t>
        </is>
      </c>
      <c r="B1000" s="43" t="inlineStr">
        <is>
          <t>D610236</t>
        </is>
      </c>
      <c r="C1000" s="43" t="inlineStr">
        <is>
          <t>239-CRBU</t>
        </is>
      </c>
      <c r="D1000" s="43" t="inlineStr">
        <is>
          <t>FJZP</t>
        </is>
      </c>
      <c r="E1000" s="43" t="inlineStr">
        <is>
          <t>MCGA</t>
        </is>
      </c>
      <c r="F1000" s="43" t="inlineStr">
        <is>
          <t>68-7195-09</t>
        </is>
      </c>
      <c r="G1000" s="43" t="inlineStr">
        <is>
          <t>OTHER_SCOPE_ITEM</t>
        </is>
      </c>
      <c r="H1000" s="43" t="inlineStr"/>
      <c r="I1000" s="43" t="inlineStr">
        <is>
          <t>Expired</t>
        </is>
      </c>
      <c r="J1000" s="32" t="n">
        <v>46201</v>
      </c>
      <c r="K1000" s="32" t="n">
        <v>46162</v>
      </c>
      <c r="L1000" s="43" t="inlineStr">
        <is>
          <t>1071</t>
        </is>
      </c>
      <c r="M1000" s="43" t="n">
        <v>1</v>
      </c>
      <c r="N1000" s="33" t="inlineStr"/>
      <c r="O1000" s="43" t="inlineStr">
        <is>
          <t>UNVERIFIED</t>
        </is>
      </c>
      <c r="P1000" s="43" t="inlineStr">
        <is>
          <t>Pending Review</t>
        </is>
      </c>
      <c r="Q1000" s="33" t="inlineStr">
        <is>
          <t>Confirmar SKU/PCBA revision, PN exacto en Common DB, WO, BU, vigencia, planta y aprobacion firmada.</t>
        </is>
      </c>
    </row>
    <row r="1001">
      <c r="A1001" s="43" t="inlineStr">
        <is>
          <t>CTANJZ05177</t>
        </is>
      </c>
      <c r="B1001" s="43" t="inlineStr">
        <is>
          <t>D610236</t>
        </is>
      </c>
      <c r="C1001" s="43" t="inlineStr">
        <is>
          <t>239-CRBU</t>
        </is>
      </c>
      <c r="D1001" s="43" t="inlineStr">
        <is>
          <t>FJZP</t>
        </is>
      </c>
      <c r="E1001" s="43" t="inlineStr">
        <is>
          <t>MCGA</t>
        </is>
      </c>
      <c r="F1001" s="43" t="inlineStr">
        <is>
          <t>68-7202-09</t>
        </is>
      </c>
      <c r="G1001" s="43" t="inlineStr">
        <is>
          <t>OTHER_SCOPE_ITEM</t>
        </is>
      </c>
      <c r="H1001" s="43" t="inlineStr"/>
      <c r="I1001" s="43" t="inlineStr">
        <is>
          <t>Expired</t>
        </is>
      </c>
      <c r="J1001" s="32" t="n">
        <v>46201</v>
      </c>
      <c r="K1001" s="32" t="n">
        <v>46162</v>
      </c>
      <c r="L1001" s="43" t="inlineStr">
        <is>
          <t>1072</t>
        </is>
      </c>
      <c r="M1001" s="43" t="n">
        <v>1</v>
      </c>
      <c r="N1001" s="33" t="inlineStr"/>
      <c r="O1001" s="43" t="inlineStr">
        <is>
          <t>UNVERIFIED</t>
        </is>
      </c>
      <c r="P1001" s="43" t="inlineStr">
        <is>
          <t>Pending Review</t>
        </is>
      </c>
      <c r="Q1001" s="33" t="inlineStr">
        <is>
          <t>Confirmar SKU/PCBA revision, PN exacto en Common DB, WO, BU, vigencia, planta y aprobacion firmada.</t>
        </is>
      </c>
    </row>
    <row r="1002">
      <c r="A1002" s="43" t="inlineStr">
        <is>
          <t>CTANJZ05177</t>
        </is>
      </c>
      <c r="B1002" s="43" t="inlineStr">
        <is>
          <t>D610236</t>
        </is>
      </c>
      <c r="C1002" s="43" t="inlineStr">
        <is>
          <t>239-CRBU</t>
        </is>
      </c>
      <c r="D1002" s="43" t="inlineStr">
        <is>
          <t>FJZP</t>
        </is>
      </c>
      <c r="E1002" s="43" t="inlineStr">
        <is>
          <t>MCGA</t>
        </is>
      </c>
      <c r="F1002" s="43" t="inlineStr">
        <is>
          <t>68-7261-07</t>
        </is>
      </c>
      <c r="G1002" s="43" t="inlineStr">
        <is>
          <t>OTHER_SCOPE_ITEM</t>
        </is>
      </c>
      <c r="H1002" s="43" t="inlineStr"/>
      <c r="I1002" s="43" t="inlineStr">
        <is>
          <t>Expired</t>
        </is>
      </c>
      <c r="J1002" s="32" t="n">
        <v>46201</v>
      </c>
      <c r="K1002" s="32" t="n">
        <v>46162</v>
      </c>
      <c r="L1002" s="43" t="inlineStr">
        <is>
          <t>1073</t>
        </is>
      </c>
      <c r="M1002" s="43" t="n">
        <v>1</v>
      </c>
      <c r="N1002" s="33" t="inlineStr"/>
      <c r="O1002" s="43" t="inlineStr">
        <is>
          <t>UNVERIFIED</t>
        </is>
      </c>
      <c r="P1002" s="43" t="inlineStr">
        <is>
          <t>Pending Review</t>
        </is>
      </c>
      <c r="Q1002" s="33" t="inlineStr">
        <is>
          <t>Confirmar SKU/PCBA revision, PN exacto en Common DB, WO, BU, vigencia, planta y aprobacion firmada.</t>
        </is>
      </c>
    </row>
    <row r="1003">
      <c r="A1003" s="43" t="inlineStr">
        <is>
          <t>CTANJZ05177</t>
        </is>
      </c>
      <c r="B1003" s="43" t="inlineStr">
        <is>
          <t>D610236</t>
        </is>
      </c>
      <c r="C1003" s="43" t="inlineStr">
        <is>
          <t>239-CRBU</t>
        </is>
      </c>
      <c r="D1003" s="43" t="inlineStr">
        <is>
          <t>FJZP</t>
        </is>
      </c>
      <c r="E1003" s="43" t="inlineStr">
        <is>
          <t>MCGA</t>
        </is>
      </c>
      <c r="F1003" s="43" t="inlineStr">
        <is>
          <t>68-7393-03</t>
        </is>
      </c>
      <c r="G1003" s="43" t="inlineStr">
        <is>
          <t>OTHER_SCOPE_ITEM</t>
        </is>
      </c>
      <c r="H1003" s="43" t="inlineStr"/>
      <c r="I1003" s="43" t="inlineStr">
        <is>
          <t>Expired</t>
        </is>
      </c>
      <c r="J1003" s="32" t="n">
        <v>46201</v>
      </c>
      <c r="K1003" s="32" t="n">
        <v>46162</v>
      </c>
      <c r="L1003" s="43" t="inlineStr">
        <is>
          <t>1074</t>
        </is>
      </c>
      <c r="M1003" s="43" t="n">
        <v>1</v>
      </c>
      <c r="N1003" s="33" t="inlineStr"/>
      <c r="O1003" s="43" t="inlineStr">
        <is>
          <t>UNVERIFIED</t>
        </is>
      </c>
      <c r="P1003" s="43" t="inlineStr">
        <is>
          <t>Pending Review</t>
        </is>
      </c>
      <c r="Q1003" s="33" t="inlineStr">
        <is>
          <t>Confirmar SKU/PCBA revision, PN exacto en Common DB, WO, BU, vigencia, planta y aprobacion firmada.</t>
        </is>
      </c>
    </row>
    <row r="1004">
      <c r="A1004" s="43" t="inlineStr">
        <is>
          <t>CTANJZ05177</t>
        </is>
      </c>
      <c r="B1004" s="43" t="inlineStr">
        <is>
          <t>D610236</t>
        </is>
      </c>
      <c r="C1004" s="43" t="inlineStr">
        <is>
          <t>239-CRBU</t>
        </is>
      </c>
      <c r="D1004" s="43" t="inlineStr">
        <is>
          <t>FJZP</t>
        </is>
      </c>
      <c r="E1004" s="43" t="inlineStr">
        <is>
          <t>MCGA</t>
        </is>
      </c>
      <c r="F1004" s="43" t="inlineStr">
        <is>
          <t>68-7406-09</t>
        </is>
      </c>
      <c r="G1004" s="43" t="inlineStr">
        <is>
          <t>OTHER_SCOPE_ITEM</t>
        </is>
      </c>
      <c r="H1004" s="43" t="inlineStr"/>
      <c r="I1004" s="43" t="inlineStr">
        <is>
          <t>Expired</t>
        </is>
      </c>
      <c r="J1004" s="32" t="n">
        <v>46201</v>
      </c>
      <c r="K1004" s="32" t="n">
        <v>46162</v>
      </c>
      <c r="L1004" s="43" t="inlineStr">
        <is>
          <t>1075</t>
        </is>
      </c>
      <c r="M1004" s="43" t="n">
        <v>1</v>
      </c>
      <c r="N1004" s="33" t="inlineStr"/>
      <c r="O1004" s="43" t="inlineStr">
        <is>
          <t>UNVERIFIED</t>
        </is>
      </c>
      <c r="P1004" s="43" t="inlineStr">
        <is>
          <t>Pending Review</t>
        </is>
      </c>
      <c r="Q1004" s="33" t="inlineStr">
        <is>
          <t>Confirmar SKU/PCBA revision, PN exacto en Common DB, WO, BU, vigencia, planta y aprobacion firmada.</t>
        </is>
      </c>
    </row>
    <row r="1005">
      <c r="A1005" s="43" t="inlineStr">
        <is>
          <t>CTANJZ05177</t>
        </is>
      </c>
      <c r="B1005" s="43" t="inlineStr">
        <is>
          <t>D610236</t>
        </is>
      </c>
      <c r="C1005" s="43" t="inlineStr">
        <is>
          <t>239-CRBU</t>
        </is>
      </c>
      <c r="D1005" s="43" t="inlineStr">
        <is>
          <t>FJZP</t>
        </is>
      </c>
      <c r="E1005" s="43" t="inlineStr">
        <is>
          <t>MCGA</t>
        </is>
      </c>
      <c r="F1005" s="43" t="inlineStr">
        <is>
          <t>800-51482-01</t>
        </is>
      </c>
      <c r="G1005" s="43" t="inlineStr">
        <is>
          <t>OTHER_SCOPE_ITEM</t>
        </is>
      </c>
      <c r="H1005" s="43" t="inlineStr"/>
      <c r="I1005" s="43" t="inlineStr">
        <is>
          <t>Expired</t>
        </is>
      </c>
      <c r="J1005" s="32" t="n">
        <v>46201</v>
      </c>
      <c r="K1005" s="32" t="n">
        <v>46162</v>
      </c>
      <c r="L1005" s="43" t="inlineStr">
        <is>
          <t>1115</t>
        </is>
      </c>
      <c r="M1005" s="43" t="n">
        <v>1</v>
      </c>
      <c r="N1005" s="33" t="inlineStr"/>
      <c r="O1005" s="43" t="inlineStr">
        <is>
          <t>UNVERIFIED</t>
        </is>
      </c>
      <c r="P1005" s="43" t="inlineStr">
        <is>
          <t>Pending Review</t>
        </is>
      </c>
      <c r="Q1005" s="33" t="inlineStr">
        <is>
          <t>Confirmar SKU/PCBA revision, PN exacto en Common DB, WO, BU, vigencia, planta y aprobacion firmada.</t>
        </is>
      </c>
    </row>
    <row r="1006">
      <c r="A1006" s="43" t="inlineStr">
        <is>
          <t>CTANJZ05178</t>
        </is>
      </c>
      <c r="B1006" s="43" t="inlineStr">
        <is>
          <t>D609813</t>
        </is>
      </c>
      <c r="C1006" s="43" t="inlineStr">
        <is>
          <t>037-STBU</t>
        </is>
      </c>
      <c r="D1006" s="43" t="inlineStr">
        <is>
          <t>FJZP</t>
        </is>
      </c>
      <c r="E1006" s="43" t="inlineStr">
        <is>
          <t>MCGA</t>
        </is>
      </c>
      <c r="F1006" s="43" t="inlineStr">
        <is>
          <t>471-100986-01</t>
        </is>
      </c>
      <c r="G1006" s="43" t="inlineStr">
        <is>
          <t>OTHER_SCOPE_ITEM</t>
        </is>
      </c>
      <c r="H1006" s="43" t="inlineStr"/>
      <c r="I1006" s="43" t="inlineStr">
        <is>
          <t>Expired</t>
        </is>
      </c>
      <c r="J1006" s="32" t="n">
        <v>46201</v>
      </c>
      <c r="K1006" s="32" t="n">
        <v>46136</v>
      </c>
      <c r="L1006" s="43" t="inlineStr">
        <is>
          <t>1116</t>
        </is>
      </c>
      <c r="M1006" s="43" t="n">
        <v>1</v>
      </c>
      <c r="N1006" s="33" t="inlineStr"/>
      <c r="O1006" s="43" t="inlineStr">
        <is>
          <t>UNVERIFIED</t>
        </is>
      </c>
      <c r="P1006" s="43" t="inlineStr">
        <is>
          <t>Pending Review</t>
        </is>
      </c>
      <c r="Q1006" s="33" t="inlineStr">
        <is>
          <t>Confirmar SKU/PCBA revision, PN exacto en Common DB, WO, BU, vigencia, planta y aprobacion firmada.</t>
        </is>
      </c>
    </row>
    <row r="1007">
      <c r="A1007" s="43" t="inlineStr">
        <is>
          <t>CTANJZ05178</t>
        </is>
      </c>
      <c r="B1007" s="43" t="inlineStr">
        <is>
          <t>D609813</t>
        </is>
      </c>
      <c r="C1007" s="43" t="inlineStr">
        <is>
          <t>037-STBU</t>
        </is>
      </c>
      <c r="D1007" s="43" t="inlineStr">
        <is>
          <t>FJZP</t>
        </is>
      </c>
      <c r="E1007" s="43" t="inlineStr">
        <is>
          <t>MCGA</t>
        </is>
      </c>
      <c r="F1007" s="43" t="inlineStr">
        <is>
          <t>471-100989-01</t>
        </is>
      </c>
      <c r="G1007" s="43" t="inlineStr">
        <is>
          <t>OTHER_SCOPE_ITEM</t>
        </is>
      </c>
      <c r="H1007" s="43" t="inlineStr"/>
      <c r="I1007" s="43" t="inlineStr">
        <is>
          <t>Expired</t>
        </is>
      </c>
      <c r="J1007" s="32" t="n">
        <v>46201</v>
      </c>
      <c r="K1007" s="32" t="n">
        <v>46136</v>
      </c>
      <c r="L1007" s="43" t="inlineStr">
        <is>
          <t>1117</t>
        </is>
      </c>
      <c r="M1007" s="43" t="n">
        <v>1</v>
      </c>
      <c r="N1007" s="33" t="inlineStr"/>
      <c r="O1007" s="43" t="inlineStr">
        <is>
          <t>UNVERIFIED</t>
        </is>
      </c>
      <c r="P1007" s="43" t="inlineStr">
        <is>
          <t>Pending Review</t>
        </is>
      </c>
      <c r="Q1007" s="33" t="inlineStr">
        <is>
          <t>Confirmar SKU/PCBA revision, PN exacto en Common DB, WO, BU, vigencia, planta y aprobacion firmada.</t>
        </is>
      </c>
    </row>
    <row r="1008">
      <c r="A1008" s="43" t="inlineStr">
        <is>
          <t>CTANJZ05179</t>
        </is>
      </c>
      <c r="B1008" s="43" t="inlineStr">
        <is>
          <t>D610254</t>
        </is>
      </c>
      <c r="C1008" s="43" t="inlineStr">
        <is>
          <t>239-CRBU</t>
        </is>
      </c>
      <c r="D1008" s="43" t="inlineStr">
        <is>
          <t>FJZP</t>
        </is>
      </c>
      <c r="E1008" s="43" t="inlineStr">
        <is>
          <t>MCGA</t>
        </is>
      </c>
      <c r="F1008" s="43" t="inlineStr">
        <is>
          <t>68-8066-01</t>
        </is>
      </c>
      <c r="G1008" s="43" t="inlineStr">
        <is>
          <t>OTHER_SCOPE_ITEM</t>
        </is>
      </c>
      <c r="H1008" s="43" t="inlineStr"/>
      <c r="I1008" s="43" t="inlineStr">
        <is>
          <t>Expired</t>
        </is>
      </c>
      <c r="J1008" s="32" t="n">
        <v>46201</v>
      </c>
      <c r="K1008" s="32" t="n">
        <v>46162</v>
      </c>
      <c r="L1008" s="43" t="inlineStr">
        <is>
          <t>1068</t>
        </is>
      </c>
      <c r="M1008" s="43" t="n">
        <v>1</v>
      </c>
      <c r="N1008" s="33" t="inlineStr"/>
      <c r="O1008" s="43" t="inlineStr">
        <is>
          <t>UNVERIFIED</t>
        </is>
      </c>
      <c r="P1008" s="43" t="inlineStr">
        <is>
          <t>Pending Review</t>
        </is>
      </c>
      <c r="Q1008" s="33" t="inlineStr">
        <is>
          <t>Confirmar SKU/PCBA revision, PN exacto en Common DB, WO, BU, vigencia, planta y aprobacion firmada.</t>
        </is>
      </c>
    </row>
    <row r="1009">
      <c r="A1009" s="43" t="inlineStr">
        <is>
          <t>CTANJZ05181</t>
        </is>
      </c>
      <c r="B1009" s="43" t="inlineStr">
        <is>
          <t>D609526</t>
        </is>
      </c>
      <c r="C1009" s="43" t="inlineStr">
        <is>
          <t>034-IOTBU</t>
        </is>
      </c>
      <c r="D1009" s="43" t="inlineStr">
        <is>
          <t>FJZP</t>
        </is>
      </c>
      <c r="E1009" s="43" t="inlineStr">
        <is>
          <t>MCGA</t>
        </is>
      </c>
      <c r="F1009" s="43" t="inlineStr">
        <is>
          <t>28-101582-04</t>
        </is>
      </c>
      <c r="G1009" s="43" t="inlineStr">
        <is>
          <t>BARE_PCB_PN_CANDIDATE</t>
        </is>
      </c>
      <c r="H1009" s="43" t="inlineStr"/>
      <c r="I1009" s="43" t="inlineStr">
        <is>
          <t>Expired</t>
        </is>
      </c>
      <c r="J1009" s="32" t="n">
        <v>46202</v>
      </c>
      <c r="K1009" s="32" t="n">
        <v>46126</v>
      </c>
      <c r="L1009" s="43" t="inlineStr">
        <is>
          <t>59</t>
        </is>
      </c>
      <c r="M1009" s="43" t="n">
        <v>1</v>
      </c>
      <c r="N1009" s="33" t="inlineStr"/>
      <c r="O1009" s="43" t="inlineStr">
        <is>
          <t>UNVERIFIED</t>
        </is>
      </c>
      <c r="P1009" s="43" t="inlineStr">
        <is>
          <t>Pending Review</t>
        </is>
      </c>
      <c r="Q1009" s="33" t="inlineStr">
        <is>
          <t>Confirmar SKU/PCBA revision, PN exacto en Common DB, WO, BU, vigencia, planta y aprobacion firmada.</t>
        </is>
      </c>
    </row>
    <row r="1010">
      <c r="A1010" s="43" t="inlineStr">
        <is>
          <t>CTANJZ05181</t>
        </is>
      </c>
      <c r="B1010" s="43" t="inlineStr">
        <is>
          <t>D609526</t>
        </is>
      </c>
      <c r="C1010" s="43" t="inlineStr">
        <is>
          <t>034-IOTBU</t>
        </is>
      </c>
      <c r="D1010" s="43" t="inlineStr">
        <is>
          <t>FJZP</t>
        </is>
      </c>
      <c r="E1010" s="43" t="inlineStr">
        <is>
          <t>MCGA</t>
        </is>
      </c>
      <c r="F1010" s="43" t="inlineStr">
        <is>
          <t>68-101690-01</t>
        </is>
      </c>
      <c r="G1010" s="43" t="inlineStr">
        <is>
          <t>OTHER_SCOPE_ITEM</t>
        </is>
      </c>
      <c r="H1010" s="43" t="inlineStr"/>
      <c r="I1010" s="43" t="inlineStr">
        <is>
          <t>Expired</t>
        </is>
      </c>
      <c r="J1010" s="32" t="n">
        <v>46202</v>
      </c>
      <c r="K1010" s="32" t="n">
        <v>46126</v>
      </c>
      <c r="L1010" s="43" t="inlineStr">
        <is>
          <t>60</t>
        </is>
      </c>
      <c r="M1010" s="43" t="n">
        <v>1</v>
      </c>
      <c r="N1010" s="33" t="inlineStr"/>
      <c r="O1010" s="43" t="inlineStr">
        <is>
          <t>UNVERIFIED</t>
        </is>
      </c>
      <c r="P1010" s="43" t="inlineStr">
        <is>
          <t>Pending Review</t>
        </is>
      </c>
      <c r="Q1010" s="33" t="inlineStr">
        <is>
          <t>Confirmar SKU/PCBA revision, PN exacto en Common DB, WO, BU, vigencia, planta y aprobacion firmada.</t>
        </is>
      </c>
    </row>
    <row r="1011">
      <c r="A1011" s="43" t="inlineStr">
        <is>
          <t>CTANJZ05181</t>
        </is>
      </c>
      <c r="B1011" s="43" t="inlineStr">
        <is>
          <t>D609526</t>
        </is>
      </c>
      <c r="C1011" s="43" t="inlineStr">
        <is>
          <t>034-IOTBU</t>
        </is>
      </c>
      <c r="D1011" s="43" t="inlineStr">
        <is>
          <t>FJZP</t>
        </is>
      </c>
      <c r="E1011" s="43" t="inlineStr">
        <is>
          <t>MCGA</t>
        </is>
      </c>
      <c r="F1011" s="43" t="inlineStr">
        <is>
          <t>68-101828-01</t>
        </is>
      </c>
      <c r="G1011" s="43" t="inlineStr">
        <is>
          <t>OTHER_SCOPE_ITEM</t>
        </is>
      </c>
      <c r="H1011" s="43" t="inlineStr"/>
      <c r="I1011" s="43" t="inlineStr">
        <is>
          <t>Expired</t>
        </is>
      </c>
      <c r="J1011" s="32" t="n">
        <v>46202</v>
      </c>
      <c r="K1011" s="32" t="n">
        <v>46126</v>
      </c>
      <c r="L1011" s="43" t="inlineStr">
        <is>
          <t>131</t>
        </is>
      </c>
      <c r="M1011" s="43" t="n">
        <v>1</v>
      </c>
      <c r="N1011" s="33" t="inlineStr"/>
      <c r="O1011" s="43" t="inlineStr">
        <is>
          <t>UNVERIFIED</t>
        </is>
      </c>
      <c r="P1011" s="43" t="inlineStr">
        <is>
          <t>Pending Review</t>
        </is>
      </c>
      <c r="Q1011" s="33" t="inlineStr">
        <is>
          <t>Confirmar SKU/PCBA revision, PN exacto en Common DB, WO, BU, vigencia, planta y aprobacion firmada.</t>
        </is>
      </c>
    </row>
    <row r="1012">
      <c r="A1012" s="43" t="inlineStr">
        <is>
          <t>CTANJZ05181</t>
        </is>
      </c>
      <c r="B1012" s="43" t="inlineStr">
        <is>
          <t>D609526</t>
        </is>
      </c>
      <c r="C1012" s="43" t="inlineStr">
        <is>
          <t>034-IOTBU</t>
        </is>
      </c>
      <c r="D1012" s="43" t="inlineStr">
        <is>
          <t>FJZP</t>
        </is>
      </c>
      <c r="E1012" s="43" t="inlineStr">
        <is>
          <t>MCGA</t>
        </is>
      </c>
      <c r="F1012" s="43" t="inlineStr">
        <is>
          <t>68-102729-01</t>
        </is>
      </c>
      <c r="G1012" s="43" t="inlineStr">
        <is>
          <t>OTHER_SCOPE_ITEM</t>
        </is>
      </c>
      <c r="H1012" s="43" t="inlineStr"/>
      <c r="I1012" s="43" t="inlineStr">
        <is>
          <t>Expired</t>
        </is>
      </c>
      <c r="J1012" s="32" t="n">
        <v>46202</v>
      </c>
      <c r="K1012" s="32" t="n">
        <v>46126</v>
      </c>
      <c r="L1012" s="43" t="inlineStr">
        <is>
          <t>132</t>
        </is>
      </c>
      <c r="M1012" s="43" t="n">
        <v>1</v>
      </c>
      <c r="N1012" s="33" t="inlineStr"/>
      <c r="O1012" s="43" t="inlineStr">
        <is>
          <t>UNVERIFIED</t>
        </is>
      </c>
      <c r="P1012" s="43" t="inlineStr">
        <is>
          <t>Pending Review</t>
        </is>
      </c>
      <c r="Q1012" s="33" t="inlineStr">
        <is>
          <t>Confirmar SKU/PCBA revision, PN exacto en Common DB, WO, BU, vigencia, planta y aprobacion firmada.</t>
        </is>
      </c>
    </row>
    <row r="1013">
      <c r="A1013" s="43" t="inlineStr">
        <is>
          <t>CTANJZ05181</t>
        </is>
      </c>
      <c r="B1013" s="43" t="inlineStr">
        <is>
          <t>D609526</t>
        </is>
      </c>
      <c r="C1013" s="43" t="inlineStr">
        <is>
          <t>034-IOTBU</t>
        </is>
      </c>
      <c r="D1013" s="43" t="inlineStr">
        <is>
          <t>FJZP</t>
        </is>
      </c>
      <c r="E1013" s="43" t="inlineStr">
        <is>
          <t>MCGA</t>
        </is>
      </c>
      <c r="F1013" s="43" t="inlineStr">
        <is>
          <t>68-102730-01</t>
        </is>
      </c>
      <c r="G1013" s="43" t="inlineStr">
        <is>
          <t>OTHER_SCOPE_ITEM</t>
        </is>
      </c>
      <c r="H1013" s="43" t="inlineStr"/>
      <c r="I1013" s="43" t="inlineStr">
        <is>
          <t>Expired</t>
        </is>
      </c>
      <c r="J1013" s="32" t="n">
        <v>46202</v>
      </c>
      <c r="K1013" s="32" t="n">
        <v>46126</v>
      </c>
      <c r="L1013" s="43" t="inlineStr">
        <is>
          <t>133</t>
        </is>
      </c>
      <c r="M1013" s="43" t="n">
        <v>1</v>
      </c>
      <c r="N1013" s="33" t="inlineStr"/>
      <c r="O1013" s="43" t="inlineStr">
        <is>
          <t>UNVERIFIED</t>
        </is>
      </c>
      <c r="P1013" s="43" t="inlineStr">
        <is>
          <t>Pending Review</t>
        </is>
      </c>
      <c r="Q1013" s="33" t="inlineStr">
        <is>
          <t>Confirmar SKU/PCBA revision, PN exacto en Common DB, WO, BU, vigencia, planta y aprobacion firmada.</t>
        </is>
      </c>
    </row>
    <row r="1014">
      <c r="A1014" s="43" t="inlineStr">
        <is>
          <t>CTANJZ05181</t>
        </is>
      </c>
      <c r="B1014" s="43" t="inlineStr">
        <is>
          <t>D609526</t>
        </is>
      </c>
      <c r="C1014" s="43" t="inlineStr">
        <is>
          <t>034-IOTBU</t>
        </is>
      </c>
      <c r="D1014" s="43" t="inlineStr">
        <is>
          <t>FJZP</t>
        </is>
      </c>
      <c r="E1014" s="43" t="inlineStr">
        <is>
          <t>MCGA</t>
        </is>
      </c>
      <c r="F1014" s="43" t="inlineStr">
        <is>
          <t>73-101439-04</t>
        </is>
      </c>
      <c r="G1014" s="43" t="inlineStr">
        <is>
          <t>BOARD_PN_CANDIDATE</t>
        </is>
      </c>
      <c r="H1014" s="43" t="inlineStr"/>
      <c r="I1014" s="43" t="inlineStr">
        <is>
          <t>Expired</t>
        </is>
      </c>
      <c r="J1014" s="32" t="n">
        <v>46202</v>
      </c>
      <c r="K1014" s="32" t="n">
        <v>46126</v>
      </c>
      <c r="L1014" s="43" t="inlineStr">
        <is>
          <t>134</t>
        </is>
      </c>
      <c r="M1014" s="43" t="n">
        <v>1</v>
      </c>
      <c r="N1014" s="33" t="inlineStr"/>
      <c r="O1014" s="43" t="inlineStr">
        <is>
          <t>UNVERIFIED</t>
        </is>
      </c>
      <c r="P1014" s="43" t="inlineStr">
        <is>
          <t>Pending Review</t>
        </is>
      </c>
      <c r="Q1014" s="33" t="inlineStr">
        <is>
          <t>Confirmar SKU/PCBA revision, PN exacto en Common DB, WO, BU, vigencia, planta y aprobacion firmada.</t>
        </is>
      </c>
    </row>
    <row r="1015">
      <c r="A1015" s="43" t="inlineStr">
        <is>
          <t>CTANJZ05182</t>
        </is>
      </c>
      <c r="B1015" s="43" t="inlineStr">
        <is>
          <t>D609527</t>
        </is>
      </c>
      <c r="C1015" s="43" t="inlineStr">
        <is>
          <t>034-IOTBU</t>
        </is>
      </c>
      <c r="D1015" s="43" t="inlineStr">
        <is>
          <t>FJZP</t>
        </is>
      </c>
      <c r="E1015" s="43" t="inlineStr">
        <is>
          <t>MCGA</t>
        </is>
      </c>
      <c r="F1015" s="43" t="inlineStr">
        <is>
          <t>28-102878-03</t>
        </is>
      </c>
      <c r="G1015" s="43" t="inlineStr">
        <is>
          <t>BARE_PCB_PN_CANDIDATE</t>
        </is>
      </c>
      <c r="H1015" s="43" t="inlineStr"/>
      <c r="I1015" s="43" t="inlineStr">
        <is>
          <t>Expired</t>
        </is>
      </c>
      <c r="J1015" s="32" t="n">
        <v>46202</v>
      </c>
      <c r="K1015" s="32" t="n">
        <v>46126</v>
      </c>
      <c r="L1015" s="43" t="inlineStr">
        <is>
          <t>56</t>
        </is>
      </c>
      <c r="M1015" s="43" t="n">
        <v>1</v>
      </c>
      <c r="N1015" s="33" t="inlineStr"/>
      <c r="O1015" s="43" t="inlineStr">
        <is>
          <t>UNVERIFIED</t>
        </is>
      </c>
      <c r="P1015" s="43" t="inlineStr">
        <is>
          <t>Pending Review</t>
        </is>
      </c>
      <c r="Q1015" s="33" t="inlineStr">
        <is>
          <t>Confirmar SKU/PCBA revision, PN exacto en Common DB, WO, BU, vigencia, planta y aprobacion firmada.</t>
        </is>
      </c>
    </row>
    <row r="1016">
      <c r="A1016" s="43" t="inlineStr">
        <is>
          <t>CTANJZ05182</t>
        </is>
      </c>
      <c r="B1016" s="43" t="inlineStr">
        <is>
          <t>D609527</t>
        </is>
      </c>
      <c r="C1016" s="43" t="inlineStr">
        <is>
          <t>034-IOTBU</t>
        </is>
      </c>
      <c r="D1016" s="43" t="inlineStr">
        <is>
          <t>FJZP</t>
        </is>
      </c>
      <c r="E1016" s="43" t="inlineStr">
        <is>
          <t>MCGA</t>
        </is>
      </c>
      <c r="F1016" s="43" t="inlineStr">
        <is>
          <t>68-104004-01</t>
        </is>
      </c>
      <c r="G1016" s="43" t="inlineStr">
        <is>
          <t>OTHER_SCOPE_ITEM</t>
        </is>
      </c>
      <c r="H1016" s="43" t="inlineStr"/>
      <c r="I1016" s="43" t="inlineStr">
        <is>
          <t>Expired</t>
        </is>
      </c>
      <c r="J1016" s="32" t="n">
        <v>46202</v>
      </c>
      <c r="K1016" s="32" t="n">
        <v>46126</v>
      </c>
      <c r="L1016" s="43" t="inlineStr">
        <is>
          <t>57</t>
        </is>
      </c>
      <c r="M1016" s="43" t="n">
        <v>1</v>
      </c>
      <c r="N1016" s="33" t="inlineStr"/>
      <c r="O1016" s="43" t="inlineStr">
        <is>
          <t>UNVERIFIED</t>
        </is>
      </c>
      <c r="P1016" s="43" t="inlineStr">
        <is>
          <t>Pending Review</t>
        </is>
      </c>
      <c r="Q1016" s="33" t="inlineStr">
        <is>
          <t>Confirmar SKU/PCBA revision, PN exacto en Common DB, WO, BU, vigencia, planta y aprobacion firmada.</t>
        </is>
      </c>
    </row>
    <row r="1017">
      <c r="A1017" s="43" t="inlineStr">
        <is>
          <t>CTANJZ05182</t>
        </is>
      </c>
      <c r="B1017" s="43" t="inlineStr">
        <is>
          <t>D609527</t>
        </is>
      </c>
      <c r="C1017" s="43" t="inlineStr">
        <is>
          <t>034-IOTBU</t>
        </is>
      </c>
      <c r="D1017" s="43" t="inlineStr">
        <is>
          <t>FJZP</t>
        </is>
      </c>
      <c r="E1017" s="43" t="inlineStr">
        <is>
          <t>MCGA</t>
        </is>
      </c>
      <c r="F1017" s="43" t="inlineStr">
        <is>
          <t>73-103098-03</t>
        </is>
      </c>
      <c r="G1017" s="43" t="inlineStr">
        <is>
          <t>BOARD_PN_CANDIDATE</t>
        </is>
      </c>
      <c r="H1017" s="43" t="inlineStr"/>
      <c r="I1017" s="43" t="inlineStr">
        <is>
          <t>Expired</t>
        </is>
      </c>
      <c r="J1017" s="32" t="n">
        <v>46202</v>
      </c>
      <c r="K1017" s="32" t="n">
        <v>46126</v>
      </c>
      <c r="L1017" s="43" t="inlineStr">
        <is>
          <t>58</t>
        </is>
      </c>
      <c r="M1017" s="43" t="n">
        <v>1</v>
      </c>
      <c r="N1017" s="33" t="inlineStr"/>
      <c r="O1017" s="43" t="inlineStr">
        <is>
          <t>UNVERIFIED</t>
        </is>
      </c>
      <c r="P1017" s="43" t="inlineStr">
        <is>
          <t>Pending Review</t>
        </is>
      </c>
      <c r="Q1017" s="33" t="inlineStr">
        <is>
          <t>Confirmar SKU/PCBA revision, PN exacto en Common DB, WO, BU, vigencia, planta y aprobacion firmada.</t>
        </is>
      </c>
    </row>
    <row r="1018">
      <c r="A1018" s="43" t="inlineStr">
        <is>
          <t>CTANJZ05183</t>
        </is>
      </c>
      <c r="B1018" s="43" t="inlineStr">
        <is>
          <t>DP525974</t>
        </is>
      </c>
      <c r="C1018" s="43" t="inlineStr">
        <is>
          <t>037-STBU</t>
        </is>
      </c>
      <c r="D1018" s="43" t="inlineStr">
        <is>
          <t>FJZP</t>
        </is>
      </c>
      <c r="E1018" s="43" t="inlineStr">
        <is>
          <t>MCGA</t>
        </is>
      </c>
      <c r="F1018" s="43" t="inlineStr">
        <is>
          <t>73-103633-05</t>
        </is>
      </c>
      <c r="G1018" s="43" t="inlineStr">
        <is>
          <t>BOARD_PN_CANDIDATE</t>
        </is>
      </c>
      <c r="H1018" s="43" t="inlineStr"/>
      <c r="I1018" s="43" t="inlineStr">
        <is>
          <t>Expired</t>
        </is>
      </c>
      <c r="J1018" s="32" t="n">
        <v>46172</v>
      </c>
      <c r="K1018" s="32" t="n">
        <v>46130</v>
      </c>
      <c r="L1018" s="43" t="inlineStr">
        <is>
          <t>652</t>
        </is>
      </c>
      <c r="M1018" s="43" t="n">
        <v>1</v>
      </c>
      <c r="N1018" s="33" t="inlineStr"/>
      <c r="O1018" s="43" t="inlineStr">
        <is>
          <t>UNVERIFIED</t>
        </is>
      </c>
      <c r="P1018" s="43" t="inlineStr">
        <is>
          <t>Pending Review</t>
        </is>
      </c>
      <c r="Q1018" s="33" t="inlineStr">
        <is>
          <t>Confirmar SKU/PCBA revision, PN exacto en Common DB, WO, BU, vigencia, planta y aprobacion firmada.</t>
        </is>
      </c>
    </row>
    <row r="1019">
      <c r="A1019" s="43" t="inlineStr">
        <is>
          <t>CTANJZ05184</t>
        </is>
      </c>
      <c r="B1019" s="43" t="inlineStr">
        <is>
          <t>D610411</t>
        </is>
      </c>
      <c r="C1019" s="43" t="inlineStr">
        <is>
          <t>037-STBU</t>
        </is>
      </c>
      <c r="D1019" s="43" t="inlineStr">
        <is>
          <t>FJZP</t>
        </is>
      </c>
      <c r="E1019" s="43" t="inlineStr">
        <is>
          <t>MCGA</t>
        </is>
      </c>
      <c r="F1019" s="43" t="inlineStr">
        <is>
          <t>471-00325-01</t>
        </is>
      </c>
      <c r="G1019" s="43" t="inlineStr">
        <is>
          <t>OTHER_SCOPE_ITEM</t>
        </is>
      </c>
      <c r="H1019" s="43" t="inlineStr"/>
      <c r="I1019" s="43" t="inlineStr">
        <is>
          <t>Expired</t>
        </is>
      </c>
      <c r="J1019" s="32" t="n">
        <v>46202</v>
      </c>
      <c r="K1019" s="32" t="n">
        <v>46147</v>
      </c>
      <c r="L1019" s="43" t="inlineStr">
        <is>
          <t>1122</t>
        </is>
      </c>
      <c r="M1019" s="43" t="n">
        <v>1</v>
      </c>
      <c r="N1019" s="33" t="inlineStr"/>
      <c r="O1019" s="43" t="inlineStr">
        <is>
          <t>UNVERIFIED</t>
        </is>
      </c>
      <c r="P1019" s="43" t="inlineStr">
        <is>
          <t>Pending Review</t>
        </is>
      </c>
      <c r="Q1019" s="33" t="inlineStr">
        <is>
          <t>Confirmar SKU/PCBA revision, PN exacto en Common DB, WO, BU, vigencia, planta y aprobacion firmada.</t>
        </is>
      </c>
    </row>
    <row r="1020">
      <c r="A1020" s="43" t="inlineStr">
        <is>
          <t>CTANJZ05184</t>
        </is>
      </c>
      <c r="B1020" s="43" t="inlineStr">
        <is>
          <t>D610411</t>
        </is>
      </c>
      <c r="C1020" s="43" t="inlineStr">
        <is>
          <t>037-STBU</t>
        </is>
      </c>
      <c r="D1020" s="43" t="inlineStr">
        <is>
          <t>FJZP</t>
        </is>
      </c>
      <c r="E1020" s="43" t="inlineStr">
        <is>
          <t>MCGA</t>
        </is>
      </c>
      <c r="F1020" s="43" t="inlineStr">
        <is>
          <t>73-18850-01</t>
        </is>
      </c>
      <c r="G1020" s="43" t="inlineStr">
        <is>
          <t>BOARD_PN_CANDIDATE</t>
        </is>
      </c>
      <c r="H1020" s="43" t="inlineStr"/>
      <c r="I1020" s="43" t="inlineStr">
        <is>
          <t>Expired</t>
        </is>
      </c>
      <c r="J1020" s="32" t="n">
        <v>46202</v>
      </c>
      <c r="K1020" s="32" t="n">
        <v>46147</v>
      </c>
      <c r="L1020" s="43" t="inlineStr">
        <is>
          <t>1123</t>
        </is>
      </c>
      <c r="M1020" s="43" t="n">
        <v>1</v>
      </c>
      <c r="N1020" s="33" t="inlineStr"/>
      <c r="O1020" s="43" t="inlineStr">
        <is>
          <t>UNVERIFIED</t>
        </is>
      </c>
      <c r="P1020" s="43" t="inlineStr">
        <is>
          <t>Pending Review</t>
        </is>
      </c>
      <c r="Q1020" s="33" t="inlineStr">
        <is>
          <t>Confirmar SKU/PCBA revision, PN exacto en Common DB, WO, BU, vigencia, planta y aprobacion firmada.</t>
        </is>
      </c>
    </row>
    <row r="1021">
      <c r="A1021" s="43" t="inlineStr">
        <is>
          <t>CTANJZ05184</t>
        </is>
      </c>
      <c r="B1021" s="43" t="inlineStr">
        <is>
          <t>D610411</t>
        </is>
      </c>
      <c r="C1021" s="43" t="inlineStr">
        <is>
          <t>037-STBU</t>
        </is>
      </c>
      <c r="D1021" s="43" t="inlineStr">
        <is>
          <t>FJZP</t>
        </is>
      </c>
      <c r="E1021" s="43" t="inlineStr">
        <is>
          <t>MCGA</t>
        </is>
      </c>
      <c r="F1021" s="43" t="inlineStr">
        <is>
          <t>73-19232-01</t>
        </is>
      </c>
      <c r="G1021" s="43" t="inlineStr">
        <is>
          <t>BOARD_PN_CANDIDATE</t>
        </is>
      </c>
      <c r="H1021" s="43" t="inlineStr"/>
      <c r="I1021" s="43" t="inlineStr">
        <is>
          <t>Expired</t>
        </is>
      </c>
      <c r="J1021" s="32" t="n">
        <v>46202</v>
      </c>
      <c r="K1021" s="32" t="n">
        <v>46147</v>
      </c>
      <c r="L1021" s="43" t="inlineStr">
        <is>
          <t>1219</t>
        </is>
      </c>
      <c r="M1021" s="43" t="n">
        <v>1</v>
      </c>
      <c r="N1021" s="33" t="inlineStr"/>
      <c r="O1021" s="43" t="inlineStr">
        <is>
          <t>UNVERIFIED</t>
        </is>
      </c>
      <c r="P1021" s="43" t="inlineStr">
        <is>
          <t>Pending Review</t>
        </is>
      </c>
      <c r="Q1021" s="33" t="inlineStr">
        <is>
          <t>Confirmar SKU/PCBA revision, PN exacto en Common DB, WO, BU, vigencia, planta y aprobacion firmada.</t>
        </is>
      </c>
    </row>
    <row r="1022">
      <c r="A1022" s="43" t="inlineStr">
        <is>
          <t>CTANJZ05184</t>
        </is>
      </c>
      <c r="B1022" s="43" t="inlineStr">
        <is>
          <t>D610411</t>
        </is>
      </c>
      <c r="C1022" s="43" t="inlineStr">
        <is>
          <t>037-STBU</t>
        </is>
      </c>
      <c r="D1022" s="43" t="inlineStr">
        <is>
          <t>FJZP</t>
        </is>
      </c>
      <c r="E1022" s="43" t="inlineStr">
        <is>
          <t>MCGA</t>
        </is>
      </c>
      <c r="F1022" s="43" t="inlineStr">
        <is>
          <t>73-19233-01</t>
        </is>
      </c>
      <c r="G1022" s="43" t="inlineStr">
        <is>
          <t>BOARD_PN_CANDIDATE</t>
        </is>
      </c>
      <c r="H1022" s="43" t="inlineStr"/>
      <c r="I1022" s="43" t="inlineStr">
        <is>
          <t>Expired</t>
        </is>
      </c>
      <c r="J1022" s="32" t="n">
        <v>46202</v>
      </c>
      <c r="K1022" s="32" t="n">
        <v>46147</v>
      </c>
      <c r="L1022" s="43" t="inlineStr">
        <is>
          <t>1220</t>
        </is>
      </c>
      <c r="M1022" s="43" t="n">
        <v>1</v>
      </c>
      <c r="N1022" s="33" t="inlineStr"/>
      <c r="O1022" s="43" t="inlineStr">
        <is>
          <t>UNVERIFIED</t>
        </is>
      </c>
      <c r="P1022" s="43" t="inlineStr">
        <is>
          <t>Pending Review</t>
        </is>
      </c>
      <c r="Q1022" s="33" t="inlineStr">
        <is>
          <t>Confirmar SKU/PCBA revision, PN exacto en Common DB, WO, BU, vigencia, planta y aprobacion firmada.</t>
        </is>
      </c>
    </row>
    <row r="1023">
      <c r="A1023" s="43" t="inlineStr">
        <is>
          <t>CTANJZ05185</t>
        </is>
      </c>
      <c r="B1023" s="43" t="inlineStr">
        <is>
          <t>D610453</t>
        </is>
      </c>
      <c r="C1023" s="43" t="inlineStr">
        <is>
          <t>037-STBU</t>
        </is>
      </c>
      <c r="D1023" s="43" t="inlineStr">
        <is>
          <t>FJZP</t>
        </is>
      </c>
      <c r="E1023" s="43" t="inlineStr">
        <is>
          <t>MCGA</t>
        </is>
      </c>
      <c r="F1023" s="43" t="inlineStr">
        <is>
          <t>341-101794-02</t>
        </is>
      </c>
      <c r="G1023" s="43" t="inlineStr">
        <is>
          <t>OTHER_SCOPE_ITEM</t>
        </is>
      </c>
      <c r="H1023" s="43" t="inlineStr"/>
      <c r="I1023" s="43" t="inlineStr">
        <is>
          <t>Expired</t>
        </is>
      </c>
      <c r="J1023" s="32" t="n">
        <v>46202</v>
      </c>
      <c r="K1023" s="32" t="n">
        <v>46147</v>
      </c>
      <c r="L1023" s="43" t="inlineStr">
        <is>
          <t>1221</t>
        </is>
      </c>
      <c r="M1023" s="43" t="n">
        <v>1</v>
      </c>
      <c r="N1023" s="33" t="inlineStr"/>
      <c r="O1023" s="43" t="inlineStr">
        <is>
          <t>UNVERIFIED</t>
        </is>
      </c>
      <c r="P1023" s="43" t="inlineStr">
        <is>
          <t>Pending Review</t>
        </is>
      </c>
      <c r="Q1023" s="33" t="inlineStr">
        <is>
          <t>Confirmar SKU/PCBA revision, PN exacto en Common DB, WO, BU, vigencia, planta y aprobacion firmada.</t>
        </is>
      </c>
    </row>
    <row r="1024">
      <c r="A1024" s="43" t="inlineStr">
        <is>
          <t>CTANJZ05187</t>
        </is>
      </c>
      <c r="B1024" s="43" t="inlineStr">
        <is>
          <t>D610412</t>
        </is>
      </c>
      <c r="C1024" s="43" t="inlineStr">
        <is>
          <t>037-STBU</t>
        </is>
      </c>
      <c r="D1024" s="43" t="inlineStr">
        <is>
          <t>FJZP</t>
        </is>
      </c>
      <c r="E1024" s="43" t="inlineStr">
        <is>
          <t>MCGA</t>
        </is>
      </c>
      <c r="F1024" s="43" t="inlineStr">
        <is>
          <t>29-100530-01</t>
        </is>
      </c>
      <c r="G1024" s="43" t="inlineStr">
        <is>
          <t>OTHER_SCOPE_ITEM</t>
        </is>
      </c>
      <c r="H1024" s="43" t="inlineStr"/>
      <c r="I1024" s="43" t="inlineStr">
        <is>
          <t>Expired</t>
        </is>
      </c>
      <c r="J1024" s="32" t="n">
        <v>46205</v>
      </c>
      <c r="K1024" s="32" t="n">
        <v>46136</v>
      </c>
      <c r="L1024" s="43" t="inlineStr">
        <is>
          <t>588</t>
        </is>
      </c>
      <c r="M1024" s="43" t="n">
        <v>1</v>
      </c>
      <c r="N1024" s="33" t="inlineStr"/>
      <c r="O1024" s="43" t="inlineStr">
        <is>
          <t>UNVERIFIED</t>
        </is>
      </c>
      <c r="P1024" s="43" t="inlineStr">
        <is>
          <t>Pending Review</t>
        </is>
      </c>
      <c r="Q1024" s="33" t="inlineStr">
        <is>
          <t>Confirmar SKU/PCBA revision, PN exacto en Common DB, WO, BU, vigencia, planta y aprobacion firmada.</t>
        </is>
      </c>
    </row>
    <row r="1025">
      <c r="A1025" s="43" t="inlineStr">
        <is>
          <t>CTANJZ05187</t>
        </is>
      </c>
      <c r="B1025" s="43" t="inlineStr">
        <is>
          <t>D610412</t>
        </is>
      </c>
      <c r="C1025" s="43" t="inlineStr">
        <is>
          <t>037-STBU</t>
        </is>
      </c>
      <c r="D1025" s="43" t="inlineStr">
        <is>
          <t>FJZP</t>
        </is>
      </c>
      <c r="E1025" s="43" t="inlineStr">
        <is>
          <t>MCGA</t>
        </is>
      </c>
      <c r="F1025" s="43" t="inlineStr">
        <is>
          <t>73-17757-01</t>
        </is>
      </c>
      <c r="G1025" s="43" t="inlineStr">
        <is>
          <t>BOARD_PN_CANDIDATE</t>
        </is>
      </c>
      <c r="H1025" s="43" t="inlineStr"/>
      <c r="I1025" s="43" t="inlineStr">
        <is>
          <t>Expired</t>
        </is>
      </c>
      <c r="J1025" s="32" t="n">
        <v>46205</v>
      </c>
      <c r="K1025" s="32" t="n">
        <v>46136</v>
      </c>
      <c r="L1025" s="43" t="inlineStr">
        <is>
          <t>589</t>
        </is>
      </c>
      <c r="M1025" s="43" t="n">
        <v>1</v>
      </c>
      <c r="N1025" s="33" t="inlineStr"/>
      <c r="O1025" s="43" t="inlineStr">
        <is>
          <t>UNVERIFIED</t>
        </is>
      </c>
      <c r="P1025" s="43" t="inlineStr">
        <is>
          <t>Pending Review</t>
        </is>
      </c>
      <c r="Q1025" s="33" t="inlineStr">
        <is>
          <t>Confirmar SKU/PCBA revision, PN exacto en Common DB, WO, BU, vigencia, planta y aprobacion firmada.</t>
        </is>
      </c>
    </row>
    <row r="1026">
      <c r="A1026" s="43" t="inlineStr">
        <is>
          <t>CTANJZ05190</t>
        </is>
      </c>
      <c r="B1026" s="43" t="inlineStr">
        <is>
          <t>D610571</t>
        </is>
      </c>
      <c r="C1026" s="43" t="inlineStr">
        <is>
          <t>239-CRBU</t>
        </is>
      </c>
      <c r="D1026" s="43" t="inlineStr">
        <is>
          <t>FJZP</t>
        </is>
      </c>
      <c r="E1026" s="43" t="inlineStr">
        <is>
          <t>MCGA</t>
        </is>
      </c>
      <c r="F1026" s="43" t="inlineStr">
        <is>
          <t>15-9669-03</t>
        </is>
      </c>
      <c r="G1026" s="43" t="inlineStr">
        <is>
          <t>OTHER_SCOPE_ITEM</t>
        </is>
      </c>
      <c r="H1026" s="43" t="inlineStr"/>
      <c r="I1026" s="43" t="inlineStr">
        <is>
          <t>Expired</t>
        </is>
      </c>
      <c r="J1026" s="32" t="n">
        <v>46208</v>
      </c>
      <c r="K1026" s="32" t="n">
        <v>46147</v>
      </c>
      <c r="L1026" s="43" t="inlineStr">
        <is>
          <t>1452</t>
        </is>
      </c>
      <c r="M1026" s="43" t="n">
        <v>1</v>
      </c>
      <c r="N1026" s="33" t="inlineStr"/>
      <c r="O1026" s="43" t="inlineStr">
        <is>
          <t>UNVERIFIED</t>
        </is>
      </c>
      <c r="P1026" s="43" t="inlineStr">
        <is>
          <t>Pending Review</t>
        </is>
      </c>
      <c r="Q1026" s="33" t="inlineStr">
        <is>
          <t>Confirmar SKU/PCBA revision, PN exacto en Common DB, WO, BU, vigencia, planta y aprobacion firmada.</t>
        </is>
      </c>
    </row>
    <row r="1027">
      <c r="A1027" s="43" t="inlineStr">
        <is>
          <t>CTANJZ05190</t>
        </is>
      </c>
      <c r="B1027" s="43" t="inlineStr">
        <is>
          <t>D610571</t>
        </is>
      </c>
      <c r="C1027" s="43" t="inlineStr">
        <is>
          <t>239-CRBU</t>
        </is>
      </c>
      <c r="D1027" s="43" t="inlineStr">
        <is>
          <t>FJZP</t>
        </is>
      </c>
      <c r="E1027" s="43" t="inlineStr">
        <is>
          <t>MCGA</t>
        </is>
      </c>
      <c r="F1027" s="43" t="inlineStr">
        <is>
          <t>17-16031-04</t>
        </is>
      </c>
      <c r="G1027" s="43" t="inlineStr">
        <is>
          <t>OTHER_SCOPE_ITEM</t>
        </is>
      </c>
      <c r="H1027" s="43" t="inlineStr"/>
      <c r="I1027" s="43" t="inlineStr">
        <is>
          <t>Expired</t>
        </is>
      </c>
      <c r="J1027" s="32" t="n">
        <v>46208</v>
      </c>
      <c r="K1027" s="32" t="n">
        <v>46147</v>
      </c>
      <c r="L1027" s="43" t="inlineStr">
        <is>
          <t>1453</t>
        </is>
      </c>
      <c r="M1027" s="43" t="n">
        <v>1</v>
      </c>
      <c r="N1027" s="33" t="inlineStr"/>
      <c r="O1027" s="43" t="inlineStr">
        <is>
          <t>UNVERIFIED</t>
        </is>
      </c>
      <c r="P1027" s="43" t="inlineStr">
        <is>
          <t>Pending Review</t>
        </is>
      </c>
      <c r="Q1027" s="33" t="inlineStr">
        <is>
          <t>Confirmar SKU/PCBA revision, PN exacto en Common DB, WO, BU, vigencia, planta y aprobacion firmada.</t>
        </is>
      </c>
    </row>
    <row r="1028">
      <c r="A1028" s="43" t="inlineStr">
        <is>
          <t>CTANJZ05190</t>
        </is>
      </c>
      <c r="B1028" s="43" t="inlineStr">
        <is>
          <t>D610571</t>
        </is>
      </c>
      <c r="C1028" s="43" t="inlineStr">
        <is>
          <t>239-CRBU</t>
        </is>
      </c>
      <c r="D1028" s="43" t="inlineStr">
        <is>
          <t>FJZP</t>
        </is>
      </c>
      <c r="E1028" s="43" t="inlineStr">
        <is>
          <t>MCGA</t>
        </is>
      </c>
      <c r="F1028" s="43" t="inlineStr">
        <is>
          <t>17-16031-06</t>
        </is>
      </c>
      <c r="G1028" s="43" t="inlineStr">
        <is>
          <t>OTHER_SCOPE_ITEM</t>
        </is>
      </c>
      <c r="H1028" s="43" t="inlineStr"/>
      <c r="I1028" s="43" t="inlineStr">
        <is>
          <t>Expired</t>
        </is>
      </c>
      <c r="J1028" s="32" t="n">
        <v>46208</v>
      </c>
      <c r="K1028" s="32" t="n">
        <v>46147</v>
      </c>
      <c r="L1028" s="43" t="inlineStr">
        <is>
          <t>1454</t>
        </is>
      </c>
      <c r="M1028" s="43" t="n">
        <v>1</v>
      </c>
      <c r="N1028" s="33" t="inlineStr"/>
      <c r="O1028" s="43" t="inlineStr">
        <is>
          <t>UNVERIFIED</t>
        </is>
      </c>
      <c r="P1028" s="43" t="inlineStr">
        <is>
          <t>Pending Review</t>
        </is>
      </c>
      <c r="Q1028" s="33" t="inlineStr">
        <is>
          <t>Confirmar SKU/PCBA revision, PN exacto en Common DB, WO, BU, vigencia, planta y aprobacion firmada.</t>
        </is>
      </c>
    </row>
    <row r="1029">
      <c r="A1029" s="43" t="inlineStr">
        <is>
          <t>CTANJZ05190</t>
        </is>
      </c>
      <c r="B1029" s="43" t="inlineStr">
        <is>
          <t>D610571</t>
        </is>
      </c>
      <c r="C1029" s="43" t="inlineStr">
        <is>
          <t>239-CRBU</t>
        </is>
      </c>
      <c r="D1029" s="43" t="inlineStr">
        <is>
          <t>FJZP</t>
        </is>
      </c>
      <c r="E1029" s="43" t="inlineStr">
        <is>
          <t>MCGA</t>
        </is>
      </c>
      <c r="F1029" s="43" t="inlineStr">
        <is>
          <t>19-100493-01</t>
        </is>
      </c>
      <c r="G1029" s="43" t="inlineStr">
        <is>
          <t>OTHER_SCOPE_ITEM</t>
        </is>
      </c>
      <c r="H1029" s="43" t="inlineStr"/>
      <c r="I1029" s="43" t="inlineStr">
        <is>
          <t>Expired</t>
        </is>
      </c>
      <c r="J1029" s="32" t="n">
        <v>46208</v>
      </c>
      <c r="K1029" s="32" t="n">
        <v>46147</v>
      </c>
      <c r="L1029" s="43" t="inlineStr">
        <is>
          <t>1515</t>
        </is>
      </c>
      <c r="M1029" s="43" t="n">
        <v>1</v>
      </c>
      <c r="N1029" s="33" t="inlineStr"/>
      <c r="O1029" s="43" t="inlineStr">
        <is>
          <t>UNVERIFIED</t>
        </is>
      </c>
      <c r="P1029" s="43" t="inlineStr">
        <is>
          <t>Pending Review</t>
        </is>
      </c>
      <c r="Q1029" s="33" t="inlineStr">
        <is>
          <t>Confirmar SKU/PCBA revision, PN exacto en Common DB, WO, BU, vigencia, planta y aprobacion firmada.</t>
        </is>
      </c>
    </row>
    <row r="1030">
      <c r="A1030" s="43" t="inlineStr">
        <is>
          <t>CTANJZ05190</t>
        </is>
      </c>
      <c r="B1030" s="43" t="inlineStr">
        <is>
          <t>D610571</t>
        </is>
      </c>
      <c r="C1030" s="43" t="inlineStr">
        <is>
          <t>239-CRBU</t>
        </is>
      </c>
      <c r="D1030" s="43" t="inlineStr">
        <is>
          <t>FJZP</t>
        </is>
      </c>
      <c r="E1030" s="43" t="inlineStr">
        <is>
          <t>MCGA</t>
        </is>
      </c>
      <c r="F1030" s="43" t="inlineStr">
        <is>
          <t>19-100510-01</t>
        </is>
      </c>
      <c r="G1030" s="43" t="inlineStr">
        <is>
          <t>OTHER_SCOPE_ITEM</t>
        </is>
      </c>
      <c r="H1030" s="43" t="inlineStr"/>
      <c r="I1030" s="43" t="inlineStr">
        <is>
          <t>Expired</t>
        </is>
      </c>
      <c r="J1030" s="32" t="n">
        <v>46208</v>
      </c>
      <c r="K1030" s="32" t="n">
        <v>46147</v>
      </c>
      <c r="L1030" s="43" t="inlineStr">
        <is>
          <t>1516</t>
        </is>
      </c>
      <c r="M1030" s="43" t="n">
        <v>1</v>
      </c>
      <c r="N1030" s="33" t="inlineStr"/>
      <c r="O1030" s="43" t="inlineStr">
        <is>
          <t>UNVERIFIED</t>
        </is>
      </c>
      <c r="P1030" s="43" t="inlineStr">
        <is>
          <t>Pending Review</t>
        </is>
      </c>
      <c r="Q1030" s="33" t="inlineStr">
        <is>
          <t>Confirmar SKU/PCBA revision, PN exacto en Common DB, WO, BU, vigencia, planta y aprobacion firmada.</t>
        </is>
      </c>
    </row>
    <row r="1031">
      <c r="A1031" s="43" t="inlineStr">
        <is>
          <t>CTANJZ05190</t>
        </is>
      </c>
      <c r="B1031" s="43" t="inlineStr">
        <is>
          <t>D610571</t>
        </is>
      </c>
      <c r="C1031" s="43" t="inlineStr">
        <is>
          <t>239-CRBU</t>
        </is>
      </c>
      <c r="D1031" s="43" t="inlineStr">
        <is>
          <t>FJZP</t>
        </is>
      </c>
      <c r="E1031" s="43" t="inlineStr">
        <is>
          <t>MCGA</t>
        </is>
      </c>
      <c r="F1031" s="43" t="inlineStr">
        <is>
          <t>19-1364-01</t>
        </is>
      </c>
      <c r="G1031" s="43" t="inlineStr">
        <is>
          <t>OTHER_SCOPE_ITEM</t>
        </is>
      </c>
      <c r="H1031" s="43" t="inlineStr"/>
      <c r="I1031" s="43" t="inlineStr">
        <is>
          <t>Expired</t>
        </is>
      </c>
      <c r="J1031" s="32" t="n">
        <v>46208</v>
      </c>
      <c r="K1031" s="32" t="n">
        <v>46147</v>
      </c>
      <c r="L1031" s="43" t="inlineStr">
        <is>
          <t>1517</t>
        </is>
      </c>
      <c r="M1031" s="43" t="n">
        <v>1</v>
      </c>
      <c r="N1031" s="33" t="inlineStr"/>
      <c r="O1031" s="43" t="inlineStr">
        <is>
          <t>UNVERIFIED</t>
        </is>
      </c>
      <c r="P1031" s="43" t="inlineStr">
        <is>
          <t>Pending Review</t>
        </is>
      </c>
      <c r="Q1031" s="33" t="inlineStr">
        <is>
          <t>Confirmar SKU/PCBA revision, PN exacto en Common DB, WO, BU, vigencia, planta y aprobacion firmada.</t>
        </is>
      </c>
    </row>
    <row r="1032">
      <c r="A1032" s="43" t="inlineStr">
        <is>
          <t>CTANJZ05190</t>
        </is>
      </c>
      <c r="B1032" s="43" t="inlineStr">
        <is>
          <t>D610571</t>
        </is>
      </c>
      <c r="C1032" s="43" t="inlineStr">
        <is>
          <t>239-CRBU</t>
        </is>
      </c>
      <c r="D1032" s="43" t="inlineStr">
        <is>
          <t>FJZP</t>
        </is>
      </c>
      <c r="E1032" s="43" t="inlineStr">
        <is>
          <t>MCGA</t>
        </is>
      </c>
      <c r="F1032" s="43" t="inlineStr">
        <is>
          <t>25-1283-01</t>
        </is>
      </c>
      <c r="G1032" s="43" t="inlineStr">
        <is>
          <t>OTHER_SCOPE_ITEM</t>
        </is>
      </c>
      <c r="H1032" s="43" t="inlineStr"/>
      <c r="I1032" s="43" t="inlineStr">
        <is>
          <t>Expired</t>
        </is>
      </c>
      <c r="J1032" s="32" t="n">
        <v>46208</v>
      </c>
      <c r="K1032" s="32" t="n">
        <v>46147</v>
      </c>
      <c r="L1032" s="43" t="inlineStr">
        <is>
          <t>1462</t>
        </is>
      </c>
      <c r="M1032" s="43" t="n">
        <v>1</v>
      </c>
      <c r="N1032" s="33" t="inlineStr"/>
      <c r="O1032" s="43" t="inlineStr">
        <is>
          <t>UNVERIFIED</t>
        </is>
      </c>
      <c r="P1032" s="43" t="inlineStr">
        <is>
          <t>Pending Review</t>
        </is>
      </c>
      <c r="Q1032" s="33" t="inlineStr">
        <is>
          <t>Confirmar SKU/PCBA revision, PN exacto en Common DB, WO, BU, vigencia, planta y aprobacion firmada.</t>
        </is>
      </c>
    </row>
    <row r="1033">
      <c r="A1033" s="43" t="inlineStr">
        <is>
          <t>CTANJZ05190</t>
        </is>
      </c>
      <c r="B1033" s="43" t="inlineStr">
        <is>
          <t>D610571</t>
        </is>
      </c>
      <c r="C1033" s="43" t="inlineStr">
        <is>
          <t>239-CRBU</t>
        </is>
      </c>
      <c r="D1033" s="43" t="inlineStr">
        <is>
          <t>FJZP</t>
        </is>
      </c>
      <c r="E1033" s="43" t="inlineStr">
        <is>
          <t>MCGA</t>
        </is>
      </c>
      <c r="F1033" s="43" t="inlineStr">
        <is>
          <t>73-20176-08</t>
        </is>
      </c>
      <c r="G1033" s="43" t="inlineStr">
        <is>
          <t>BOARD_PN_CANDIDATE</t>
        </is>
      </c>
      <c r="H1033" s="43" t="inlineStr"/>
      <c r="I1033" s="43" t="inlineStr">
        <is>
          <t>Expired</t>
        </is>
      </c>
      <c r="J1033" s="32" t="n">
        <v>46208</v>
      </c>
      <c r="K1033" s="32" t="n">
        <v>46147</v>
      </c>
      <c r="L1033" s="43" t="inlineStr">
        <is>
          <t>1463</t>
        </is>
      </c>
      <c r="M1033" s="43" t="n">
        <v>1</v>
      </c>
      <c r="N1033" s="33" t="inlineStr"/>
      <c r="O1033" s="43" t="inlineStr">
        <is>
          <t>UNVERIFIED</t>
        </is>
      </c>
      <c r="P1033" s="43" t="inlineStr">
        <is>
          <t>Pending Review</t>
        </is>
      </c>
      <c r="Q1033" s="33" t="inlineStr">
        <is>
          <t>Confirmar SKU/PCBA revision, PN exacto en Common DB, WO, BU, vigencia, planta y aprobacion firmada.</t>
        </is>
      </c>
    </row>
    <row r="1034">
      <c r="A1034" s="43" t="inlineStr">
        <is>
          <t>CTANJZ05190</t>
        </is>
      </c>
      <c r="B1034" s="43" t="inlineStr">
        <is>
          <t>D610571</t>
        </is>
      </c>
      <c r="C1034" s="43" t="inlineStr">
        <is>
          <t>239-CRBU</t>
        </is>
      </c>
      <c r="D1034" s="43" t="inlineStr">
        <is>
          <t>FJZP</t>
        </is>
      </c>
      <c r="E1034" s="43" t="inlineStr">
        <is>
          <t>MCGA</t>
        </is>
      </c>
      <c r="F1034" s="43" t="inlineStr">
        <is>
          <t>73-20513-08</t>
        </is>
      </c>
      <c r="G1034" s="43" t="inlineStr">
        <is>
          <t>BOARD_PN_CANDIDATE</t>
        </is>
      </c>
      <c r="H1034" s="43" t="inlineStr"/>
      <c r="I1034" s="43" t="inlineStr">
        <is>
          <t>Expired</t>
        </is>
      </c>
      <c r="J1034" s="32" t="n">
        <v>46208</v>
      </c>
      <c r="K1034" s="32" t="n">
        <v>46147</v>
      </c>
      <c r="L1034" s="43" t="inlineStr">
        <is>
          <t>1464</t>
        </is>
      </c>
      <c r="M1034" s="43" t="n">
        <v>1</v>
      </c>
      <c r="N1034" s="33" t="inlineStr"/>
      <c r="O1034" s="43" t="inlineStr">
        <is>
          <t>UNVERIFIED</t>
        </is>
      </c>
      <c r="P1034" s="43" t="inlineStr">
        <is>
          <t>Pending Review</t>
        </is>
      </c>
      <c r="Q1034" s="33" t="inlineStr">
        <is>
          <t>Confirmar SKU/PCBA revision, PN exacto en Common DB, WO, BU, vigencia, planta y aprobacion firmada.</t>
        </is>
      </c>
    </row>
    <row r="1035">
      <c r="A1035" s="43" t="inlineStr">
        <is>
          <t>CTANJZ05192</t>
        </is>
      </c>
      <c r="B1035" s="43" t="inlineStr">
        <is>
          <t>D610167</t>
        </is>
      </c>
      <c r="C1035" s="43" t="inlineStr">
        <is>
          <t>037-STBU</t>
        </is>
      </c>
      <c r="D1035" s="43" t="inlineStr">
        <is>
          <t>FJZP</t>
        </is>
      </c>
      <c r="E1035" s="43" t="inlineStr">
        <is>
          <t>MCGA</t>
        </is>
      </c>
      <c r="F1035" s="43" t="inlineStr">
        <is>
          <t>15-110388-01</t>
        </is>
      </c>
      <c r="G1035" s="43" t="inlineStr">
        <is>
          <t>OTHER_SCOPE_ITEM</t>
        </is>
      </c>
      <c r="H1035" s="43" t="inlineStr"/>
      <c r="I1035" s="43" t="inlineStr">
        <is>
          <t>Expired</t>
        </is>
      </c>
      <c r="J1035" s="32" t="n">
        <v>46205</v>
      </c>
      <c r="K1035" s="32" t="n">
        <v>46136</v>
      </c>
      <c r="L1035" s="43" t="inlineStr">
        <is>
          <t>246,1477</t>
        </is>
      </c>
      <c r="M1035" s="43" t="n">
        <v>2</v>
      </c>
      <c r="N1035" s="33" t="inlineStr"/>
      <c r="O1035" s="43" t="inlineStr">
        <is>
          <t>UNVERIFIED</t>
        </is>
      </c>
      <c r="P1035" s="43" t="inlineStr">
        <is>
          <t>Pending Review</t>
        </is>
      </c>
      <c r="Q1035" s="33" t="inlineStr">
        <is>
          <t>Confirmar SKU/PCBA revision, PN exacto en Common DB, WO, BU, vigencia, planta y aprobacion firmada.</t>
        </is>
      </c>
    </row>
    <row r="1036">
      <c r="A1036" s="43" t="inlineStr">
        <is>
          <t>CTANJZ05192</t>
        </is>
      </c>
      <c r="B1036" s="43" t="inlineStr">
        <is>
          <t>D610167</t>
        </is>
      </c>
      <c r="C1036" s="43" t="inlineStr">
        <is>
          <t>037-STBU</t>
        </is>
      </c>
      <c r="D1036" s="43" t="inlineStr">
        <is>
          <t>FJZP</t>
        </is>
      </c>
      <c r="E1036" s="43" t="inlineStr">
        <is>
          <t>MCGA</t>
        </is>
      </c>
      <c r="F1036" s="43" t="inlineStr">
        <is>
          <t>74-139981-01</t>
        </is>
      </c>
      <c r="G1036" s="43" t="inlineStr">
        <is>
          <t>OTHER_SCOPE_ITEM</t>
        </is>
      </c>
      <c r="H1036" s="43" t="inlineStr"/>
      <c r="I1036" s="43" t="inlineStr">
        <is>
          <t>Expired</t>
        </is>
      </c>
      <c r="J1036" s="32" t="n">
        <v>46205</v>
      </c>
      <c r="K1036" s="32" t="n">
        <v>46136</v>
      </c>
      <c r="L1036" s="43" t="inlineStr">
        <is>
          <t>247,1478</t>
        </is>
      </c>
      <c r="M1036" s="43" t="n">
        <v>2</v>
      </c>
      <c r="N1036" s="33" t="inlineStr"/>
      <c r="O1036" s="43" t="inlineStr">
        <is>
          <t>UNVERIFIED</t>
        </is>
      </c>
      <c r="P1036" s="43" t="inlineStr">
        <is>
          <t>Pending Review</t>
        </is>
      </c>
      <c r="Q1036" s="33" t="inlineStr">
        <is>
          <t>Confirmar SKU/PCBA revision, PN exacto en Common DB, WO, BU, vigencia, planta y aprobacion firmada.</t>
        </is>
      </c>
    </row>
    <row r="1037">
      <c r="A1037" s="43" t="inlineStr">
        <is>
          <t>CTANJZ05195</t>
        </is>
      </c>
      <c r="B1037" s="43" t="inlineStr">
        <is>
          <t>D610252</t>
        </is>
      </c>
      <c r="C1037" s="43" t="inlineStr">
        <is>
          <t>037-STBU</t>
        </is>
      </c>
      <c r="D1037" s="43" t="inlineStr">
        <is>
          <t>FJZP</t>
        </is>
      </c>
      <c r="E1037" s="43" t="inlineStr">
        <is>
          <t>MCGA</t>
        </is>
      </c>
      <c r="F1037" s="43" t="inlineStr">
        <is>
          <t>800-112583-04</t>
        </is>
      </c>
      <c r="G1037" s="43" t="inlineStr">
        <is>
          <t>OTHER_SCOPE_ITEM</t>
        </is>
      </c>
      <c r="H1037" s="43" t="inlineStr"/>
      <c r="I1037" s="43" t="inlineStr">
        <is>
          <t>Expired</t>
        </is>
      </c>
      <c r="J1037" s="32" t="n">
        <v>46209</v>
      </c>
      <c r="K1037" s="32" t="n">
        <v>46136</v>
      </c>
      <c r="L1037" s="43" t="inlineStr">
        <is>
          <t>1790</t>
        </is>
      </c>
      <c r="M1037" s="43" t="n">
        <v>1</v>
      </c>
      <c r="N1037" s="33" t="inlineStr"/>
      <c r="O1037" s="43" t="inlineStr">
        <is>
          <t>UNVERIFIED</t>
        </is>
      </c>
      <c r="P1037" s="43" t="inlineStr">
        <is>
          <t>Pending Review</t>
        </is>
      </c>
      <c r="Q1037" s="33" t="inlineStr">
        <is>
          <t>Confirmar SKU/PCBA revision, PN exacto en Common DB, WO, BU, vigencia, planta y aprobacion firmada.</t>
        </is>
      </c>
    </row>
    <row r="1038">
      <c r="A1038" s="43" t="inlineStr">
        <is>
          <t>CTANJZ05195</t>
        </is>
      </c>
      <c r="B1038" s="43" t="inlineStr">
        <is>
          <t>D610252</t>
        </is>
      </c>
      <c r="C1038" s="43" t="inlineStr">
        <is>
          <t>037-STBU</t>
        </is>
      </c>
      <c r="D1038" s="43" t="inlineStr">
        <is>
          <t>FJZP</t>
        </is>
      </c>
      <c r="E1038" s="43" t="inlineStr">
        <is>
          <t>MCGA</t>
        </is>
      </c>
      <c r="F1038" s="43" t="inlineStr">
        <is>
          <t>800-112611-01</t>
        </is>
      </c>
      <c r="G1038" s="43" t="inlineStr">
        <is>
          <t>OTHER_SCOPE_ITEM</t>
        </is>
      </c>
      <c r="H1038" s="43" t="inlineStr"/>
      <c r="I1038" s="43" t="inlineStr">
        <is>
          <t>Expired</t>
        </is>
      </c>
      <c r="J1038" s="32" t="n">
        <v>46209</v>
      </c>
      <c r="K1038" s="32" t="n">
        <v>46136</v>
      </c>
      <c r="L1038" s="43" t="inlineStr">
        <is>
          <t>1791</t>
        </is>
      </c>
      <c r="M1038" s="43" t="n">
        <v>1</v>
      </c>
      <c r="N1038" s="33" t="inlineStr"/>
      <c r="O1038" s="43" t="inlineStr">
        <is>
          <t>UNVERIFIED</t>
        </is>
      </c>
      <c r="P1038" s="43" t="inlineStr">
        <is>
          <t>Pending Review</t>
        </is>
      </c>
      <c r="Q1038" s="33" t="inlineStr">
        <is>
          <t>Confirmar SKU/PCBA revision, PN exacto en Common DB, WO, BU, vigencia, planta y aprobacion firmada.</t>
        </is>
      </c>
    </row>
    <row r="1039">
      <c r="A1039" s="43" t="inlineStr">
        <is>
          <t>CTANJZ05195</t>
        </is>
      </c>
      <c r="B1039" s="43" t="inlineStr">
        <is>
          <t>D610252</t>
        </is>
      </c>
      <c r="C1039" s="43" t="inlineStr">
        <is>
          <t>037-STBU</t>
        </is>
      </c>
      <c r="D1039" s="43" t="inlineStr">
        <is>
          <t>FJZP</t>
        </is>
      </c>
      <c r="E1039" s="43" t="inlineStr">
        <is>
          <t>MCGA</t>
        </is>
      </c>
      <c r="F1039" s="43" t="inlineStr">
        <is>
          <t>800-112720-04</t>
        </is>
      </c>
      <c r="G1039" s="43" t="inlineStr">
        <is>
          <t>OTHER_SCOPE_ITEM</t>
        </is>
      </c>
      <c r="H1039" s="43" t="inlineStr"/>
      <c r="I1039" s="43" t="inlineStr">
        <is>
          <t>Expired</t>
        </is>
      </c>
      <c r="J1039" s="32" t="n">
        <v>46209</v>
      </c>
      <c r="K1039" s="32" t="n">
        <v>46136</v>
      </c>
      <c r="L1039" s="43" t="inlineStr">
        <is>
          <t>1792</t>
        </is>
      </c>
      <c r="M1039" s="43" t="n">
        <v>1</v>
      </c>
      <c r="N1039" s="33" t="inlineStr"/>
      <c r="O1039" s="43" t="inlineStr">
        <is>
          <t>UNVERIFIED</t>
        </is>
      </c>
      <c r="P1039" s="43" t="inlineStr">
        <is>
          <t>Pending Review</t>
        </is>
      </c>
      <c r="Q1039" s="33" t="inlineStr">
        <is>
          <t>Confirmar SKU/PCBA revision, PN exacto en Common DB, WO, BU, vigencia, planta y aprobacion firmada.</t>
        </is>
      </c>
    </row>
    <row r="1040">
      <c r="A1040" s="43" t="inlineStr">
        <is>
          <t>CTANJZ05198</t>
        </is>
      </c>
      <c r="B1040" s="43" t="inlineStr">
        <is>
          <t>D610616</t>
        </is>
      </c>
      <c r="C1040" s="43" t="inlineStr">
        <is>
          <t>018-SRGBU</t>
        </is>
      </c>
      <c r="D1040" s="43" t="inlineStr">
        <is>
          <t>FJZP</t>
        </is>
      </c>
      <c r="E1040" s="43" t="inlineStr">
        <is>
          <t>MCGA</t>
        </is>
      </c>
      <c r="F1040" s="43" t="inlineStr">
        <is>
          <t>15-104174-01</t>
        </is>
      </c>
      <c r="G1040" s="43" t="inlineStr">
        <is>
          <t>OTHER_SCOPE_ITEM</t>
        </is>
      </c>
      <c r="H1040" s="43" t="inlineStr"/>
      <c r="I1040" s="43" t="inlineStr">
        <is>
          <t>Expired</t>
        </is>
      </c>
      <c r="J1040" s="32" t="n">
        <v>46209</v>
      </c>
      <c r="K1040" s="32" t="n">
        <v>46136</v>
      </c>
      <c r="L1040" s="43" t="inlineStr">
        <is>
          <t>1110</t>
        </is>
      </c>
      <c r="M1040" s="43" t="n">
        <v>1</v>
      </c>
      <c r="N1040" s="33" t="inlineStr"/>
      <c r="O1040" s="43" t="inlineStr">
        <is>
          <t>UNVERIFIED</t>
        </is>
      </c>
      <c r="P1040" s="43" t="inlineStr">
        <is>
          <t>Pending Review</t>
        </is>
      </c>
      <c r="Q1040" s="33" t="inlineStr">
        <is>
          <t>Confirmar SKU/PCBA revision, PN exacto en Common DB, WO, BU, vigencia, planta y aprobacion firmada.</t>
        </is>
      </c>
    </row>
    <row r="1041">
      <c r="A1041" s="43" t="inlineStr">
        <is>
          <t>CTANJZ05198</t>
        </is>
      </c>
      <c r="B1041" s="43" t="inlineStr">
        <is>
          <t>D610616</t>
        </is>
      </c>
      <c r="C1041" s="43" t="inlineStr">
        <is>
          <t>018-SRGBU</t>
        </is>
      </c>
      <c r="D1041" s="43" t="inlineStr">
        <is>
          <t>FJZP</t>
        </is>
      </c>
      <c r="E1041" s="43" t="inlineStr">
        <is>
          <t>MCGA</t>
        </is>
      </c>
      <c r="F1041" s="43" t="inlineStr">
        <is>
          <t>15-107071-01</t>
        </is>
      </c>
      <c r="G1041" s="43" t="inlineStr">
        <is>
          <t>OTHER_SCOPE_ITEM</t>
        </is>
      </c>
      <c r="H1041" s="43" t="inlineStr"/>
      <c r="I1041" s="43" t="inlineStr">
        <is>
          <t>Expired</t>
        </is>
      </c>
      <c r="J1041" s="32" t="n">
        <v>46209</v>
      </c>
      <c r="K1041" s="32" t="n">
        <v>46136</v>
      </c>
      <c r="L1041" s="43" t="inlineStr">
        <is>
          <t>1111</t>
        </is>
      </c>
      <c r="M1041" s="43" t="n">
        <v>1</v>
      </c>
      <c r="N1041" s="33" t="inlineStr"/>
      <c r="O1041" s="43" t="inlineStr">
        <is>
          <t>UNVERIFIED</t>
        </is>
      </c>
      <c r="P1041" s="43" t="inlineStr">
        <is>
          <t>Pending Review</t>
        </is>
      </c>
      <c r="Q1041" s="33" t="inlineStr">
        <is>
          <t>Confirmar SKU/PCBA revision, PN exacto en Common DB, WO, BU, vigencia, planta y aprobacion firmada.</t>
        </is>
      </c>
    </row>
    <row r="1042">
      <c r="A1042" s="43" t="inlineStr">
        <is>
          <t>CTANJZ05199</t>
        </is>
      </c>
      <c r="B1042" s="43" t="inlineStr">
        <is>
          <t>D610304</t>
        </is>
      </c>
      <c r="C1042" s="43" t="inlineStr">
        <is>
          <t>239-CRBU</t>
        </is>
      </c>
      <c r="D1042" s="43" t="inlineStr">
        <is>
          <t>FJZP</t>
        </is>
      </c>
      <c r="E1042" s="43" t="inlineStr">
        <is>
          <t>MCGA</t>
        </is>
      </c>
      <c r="F1042" s="43" t="inlineStr">
        <is>
          <t>47-101282-05</t>
        </is>
      </c>
      <c r="G1042" s="43" t="inlineStr">
        <is>
          <t>OTHER_SCOPE_ITEM</t>
        </is>
      </c>
      <c r="H1042" s="43" t="inlineStr"/>
      <c r="I1042" s="43" t="inlineStr">
        <is>
          <t>Expired</t>
        </is>
      </c>
      <c r="J1042" s="32" t="n">
        <v>46209</v>
      </c>
      <c r="K1042" s="32" t="n">
        <v>46150</v>
      </c>
      <c r="L1042" s="43" t="inlineStr">
        <is>
          <t>1777</t>
        </is>
      </c>
      <c r="M1042" s="43" t="n">
        <v>1</v>
      </c>
      <c r="N1042" s="33" t="inlineStr"/>
      <c r="O1042" s="43" t="inlineStr">
        <is>
          <t>UNVERIFIED</t>
        </is>
      </c>
      <c r="P1042" s="43" t="inlineStr">
        <is>
          <t>Pending Review</t>
        </is>
      </c>
      <c r="Q1042" s="33" t="inlineStr">
        <is>
          <t>Confirmar SKU/PCBA revision, PN exacto en Common DB, WO, BU, vigencia, planta y aprobacion firmada.</t>
        </is>
      </c>
    </row>
    <row r="1043">
      <c r="A1043" s="43" t="inlineStr">
        <is>
          <t>CTANJZ05199</t>
        </is>
      </c>
      <c r="B1043" s="43" t="inlineStr">
        <is>
          <t>D610304</t>
        </is>
      </c>
      <c r="C1043" s="43" t="inlineStr">
        <is>
          <t>239-CRBU</t>
        </is>
      </c>
      <c r="D1043" s="43" t="inlineStr">
        <is>
          <t>FJZP</t>
        </is>
      </c>
      <c r="E1043" s="43" t="inlineStr">
        <is>
          <t>MCGA</t>
        </is>
      </c>
      <c r="F1043" s="43" t="inlineStr">
        <is>
          <t>47-104183-06</t>
        </is>
      </c>
      <c r="G1043" s="43" t="inlineStr">
        <is>
          <t>OTHER_SCOPE_ITEM</t>
        </is>
      </c>
      <c r="H1043" s="43" t="inlineStr"/>
      <c r="I1043" s="43" t="inlineStr">
        <is>
          <t>Expired</t>
        </is>
      </c>
      <c r="J1043" s="32" t="n">
        <v>46209</v>
      </c>
      <c r="K1043" s="32" t="n">
        <v>46150</v>
      </c>
      <c r="L1043" s="43" t="inlineStr">
        <is>
          <t>1778</t>
        </is>
      </c>
      <c r="M1043" s="43" t="n">
        <v>1</v>
      </c>
      <c r="N1043" s="33" t="inlineStr"/>
      <c r="O1043" s="43" t="inlineStr">
        <is>
          <t>UNVERIFIED</t>
        </is>
      </c>
      <c r="P1043" s="43" t="inlineStr">
        <is>
          <t>Pending Review</t>
        </is>
      </c>
      <c r="Q1043" s="33" t="inlineStr">
        <is>
          <t>Confirmar SKU/PCBA revision, PN exacto en Common DB, WO, BU, vigencia, planta y aprobacion firmada.</t>
        </is>
      </c>
    </row>
    <row r="1044">
      <c r="A1044" s="43" t="inlineStr">
        <is>
          <t>CTANJZ05199</t>
        </is>
      </c>
      <c r="B1044" s="43" t="inlineStr">
        <is>
          <t>D610304</t>
        </is>
      </c>
      <c r="C1044" s="43" t="inlineStr">
        <is>
          <t>239-CRBU</t>
        </is>
      </c>
      <c r="D1044" s="43" t="inlineStr">
        <is>
          <t>FJZP</t>
        </is>
      </c>
      <c r="E1044" s="43" t="inlineStr">
        <is>
          <t>MCGA</t>
        </is>
      </c>
      <c r="F1044" s="43" t="inlineStr">
        <is>
          <t>47-20614-05</t>
        </is>
      </c>
      <c r="G1044" s="43" t="inlineStr">
        <is>
          <t>OTHER_SCOPE_ITEM</t>
        </is>
      </c>
      <c r="H1044" s="43" t="inlineStr"/>
      <c r="I1044" s="43" t="inlineStr">
        <is>
          <t>Expired</t>
        </is>
      </c>
      <c r="J1044" s="32" t="n">
        <v>46209</v>
      </c>
      <c r="K1044" s="32" t="n">
        <v>46150</v>
      </c>
      <c r="L1044" s="43" t="inlineStr">
        <is>
          <t>1779</t>
        </is>
      </c>
      <c r="M1044" s="43" t="n">
        <v>1</v>
      </c>
      <c r="N1044" s="33" t="inlineStr"/>
      <c r="O1044" s="43" t="inlineStr">
        <is>
          <t>UNVERIFIED</t>
        </is>
      </c>
      <c r="P1044" s="43" t="inlineStr">
        <is>
          <t>Pending Review</t>
        </is>
      </c>
      <c r="Q1044" s="33" t="inlineStr">
        <is>
          <t>Confirmar SKU/PCBA revision, PN exacto en Common DB, WO, BU, vigencia, planta y aprobacion firmada.</t>
        </is>
      </c>
    </row>
    <row r="1045">
      <c r="A1045" s="43" t="inlineStr">
        <is>
          <t>CTANJZ05199</t>
        </is>
      </c>
      <c r="B1045" s="43" t="inlineStr">
        <is>
          <t>D610304</t>
        </is>
      </c>
      <c r="C1045" s="43" t="inlineStr">
        <is>
          <t>239-CRBU</t>
        </is>
      </c>
      <c r="D1045" s="43" t="inlineStr">
        <is>
          <t>FJZP</t>
        </is>
      </c>
      <c r="E1045" s="43" t="inlineStr">
        <is>
          <t>MCGA</t>
        </is>
      </c>
      <c r="F1045" s="43" t="inlineStr">
        <is>
          <t>47-21293-05</t>
        </is>
      </c>
      <c r="G1045" s="43" t="inlineStr">
        <is>
          <t>OTHER_SCOPE_ITEM</t>
        </is>
      </c>
      <c r="H1045" s="43" t="inlineStr"/>
      <c r="I1045" s="43" t="inlineStr">
        <is>
          <t>Expired</t>
        </is>
      </c>
      <c r="J1045" s="32" t="n">
        <v>46209</v>
      </c>
      <c r="K1045" s="32" t="n">
        <v>46150</v>
      </c>
      <c r="L1045" s="43" t="inlineStr">
        <is>
          <t>1780</t>
        </is>
      </c>
      <c r="M1045" s="43" t="n">
        <v>1</v>
      </c>
      <c r="N1045" s="33" t="inlineStr"/>
      <c r="O1045" s="43" t="inlineStr">
        <is>
          <t>UNVERIFIED</t>
        </is>
      </c>
      <c r="P1045" s="43" t="inlineStr">
        <is>
          <t>Pending Review</t>
        </is>
      </c>
      <c r="Q1045" s="33" t="inlineStr">
        <is>
          <t>Confirmar SKU/PCBA revision, PN exacto en Common DB, WO, BU, vigencia, planta y aprobacion firmada.</t>
        </is>
      </c>
    </row>
    <row r="1046">
      <c r="A1046" s="43" t="inlineStr">
        <is>
          <t>CTANJZ05199</t>
        </is>
      </c>
      <c r="B1046" s="43" t="inlineStr">
        <is>
          <t>D610304</t>
        </is>
      </c>
      <c r="C1046" s="43" t="inlineStr">
        <is>
          <t>239-CRBU</t>
        </is>
      </c>
      <c r="D1046" s="43" t="inlineStr">
        <is>
          <t>FJZP</t>
        </is>
      </c>
      <c r="E1046" s="43" t="inlineStr">
        <is>
          <t>MCGA</t>
        </is>
      </c>
      <c r="F1046" s="43" t="inlineStr">
        <is>
          <t>47-24670-05</t>
        </is>
      </c>
      <c r="G1046" s="43" t="inlineStr">
        <is>
          <t>OTHER_SCOPE_ITEM</t>
        </is>
      </c>
      <c r="H1046" s="43" t="inlineStr"/>
      <c r="I1046" s="43" t="inlineStr">
        <is>
          <t>Expired</t>
        </is>
      </c>
      <c r="J1046" s="32" t="n">
        <v>46209</v>
      </c>
      <c r="K1046" s="32" t="n">
        <v>46150</v>
      </c>
      <c r="L1046" s="43" t="inlineStr">
        <is>
          <t>1786</t>
        </is>
      </c>
      <c r="M1046" s="43" t="n">
        <v>1</v>
      </c>
      <c r="N1046" s="33" t="inlineStr"/>
      <c r="O1046" s="43" t="inlineStr">
        <is>
          <t>UNVERIFIED</t>
        </is>
      </c>
      <c r="P1046" s="43" t="inlineStr">
        <is>
          <t>Pending Review</t>
        </is>
      </c>
      <c r="Q1046" s="33" t="inlineStr">
        <is>
          <t>Confirmar SKU/PCBA revision, PN exacto en Common DB, WO, BU, vigencia, planta y aprobacion firmada.</t>
        </is>
      </c>
    </row>
    <row r="1047">
      <c r="A1047" s="43" t="inlineStr">
        <is>
          <t>CTANJZ05199</t>
        </is>
      </c>
      <c r="B1047" s="43" t="inlineStr">
        <is>
          <t>D610304</t>
        </is>
      </c>
      <c r="C1047" s="43" t="inlineStr">
        <is>
          <t>239-CRBU</t>
        </is>
      </c>
      <c r="D1047" s="43" t="inlineStr">
        <is>
          <t>FJZP</t>
        </is>
      </c>
      <c r="E1047" s="43" t="inlineStr">
        <is>
          <t>MCGA</t>
        </is>
      </c>
      <c r="F1047" s="43" t="inlineStr">
        <is>
          <t>47-25424-05</t>
        </is>
      </c>
      <c r="G1047" s="43" t="inlineStr">
        <is>
          <t>OTHER_SCOPE_ITEM</t>
        </is>
      </c>
      <c r="H1047" s="43" t="inlineStr"/>
      <c r="I1047" s="43" t="inlineStr">
        <is>
          <t>Expired</t>
        </is>
      </c>
      <c r="J1047" s="32" t="n">
        <v>46209</v>
      </c>
      <c r="K1047" s="32" t="n">
        <v>46150</v>
      </c>
      <c r="L1047" s="43" t="inlineStr">
        <is>
          <t>1787</t>
        </is>
      </c>
      <c r="M1047" s="43" t="n">
        <v>1</v>
      </c>
      <c r="N1047" s="33" t="inlineStr"/>
      <c r="O1047" s="43" t="inlineStr">
        <is>
          <t>UNVERIFIED</t>
        </is>
      </c>
      <c r="P1047" s="43" t="inlineStr">
        <is>
          <t>Pending Review</t>
        </is>
      </c>
      <c r="Q1047" s="33" t="inlineStr">
        <is>
          <t>Confirmar SKU/PCBA revision, PN exacto en Common DB, WO, BU, vigencia, planta y aprobacion firmada.</t>
        </is>
      </c>
    </row>
    <row r="1048">
      <c r="A1048" s="43" t="inlineStr">
        <is>
          <t>CTANJZ05199</t>
        </is>
      </c>
      <c r="B1048" s="43" t="inlineStr">
        <is>
          <t>D610304</t>
        </is>
      </c>
      <c r="C1048" s="43" t="inlineStr">
        <is>
          <t>239-CRBU</t>
        </is>
      </c>
      <c r="D1048" s="43" t="inlineStr">
        <is>
          <t>FJZP</t>
        </is>
      </c>
      <c r="E1048" s="43" t="inlineStr">
        <is>
          <t>MCGA</t>
        </is>
      </c>
      <c r="F1048" s="43" t="inlineStr">
        <is>
          <t>68-5766-01</t>
        </is>
      </c>
      <c r="G1048" s="43" t="inlineStr">
        <is>
          <t>OTHER_SCOPE_ITEM</t>
        </is>
      </c>
      <c r="H1048" s="43" t="inlineStr"/>
      <c r="I1048" s="43" t="inlineStr">
        <is>
          <t>Expired</t>
        </is>
      </c>
      <c r="J1048" s="32" t="n">
        <v>46209</v>
      </c>
      <c r="K1048" s="32" t="n">
        <v>46150</v>
      </c>
      <c r="L1048" s="43" t="inlineStr">
        <is>
          <t>1788</t>
        </is>
      </c>
      <c r="M1048" s="43" t="n">
        <v>1</v>
      </c>
      <c r="N1048" s="33" t="inlineStr"/>
      <c r="O1048" s="43" t="inlineStr">
        <is>
          <t>UNVERIFIED</t>
        </is>
      </c>
      <c r="P1048" s="43" t="inlineStr">
        <is>
          <t>Pending Review</t>
        </is>
      </c>
      <c r="Q1048" s="33" t="inlineStr">
        <is>
          <t>Confirmar SKU/PCBA revision, PN exacto en Common DB, WO, BU, vigencia, planta y aprobacion firmada.</t>
        </is>
      </c>
    </row>
    <row r="1049">
      <c r="A1049" s="43" t="inlineStr">
        <is>
          <t>CTANJZ05199</t>
        </is>
      </c>
      <c r="B1049" s="43" t="inlineStr">
        <is>
          <t>D610304</t>
        </is>
      </c>
      <c r="C1049" s="43" t="inlineStr">
        <is>
          <t>239-CRBU</t>
        </is>
      </c>
      <c r="D1049" s="43" t="inlineStr">
        <is>
          <t>FJZP</t>
        </is>
      </c>
      <c r="E1049" s="43" t="inlineStr">
        <is>
          <t>MCGA</t>
        </is>
      </c>
      <c r="F1049" s="43" t="inlineStr">
        <is>
          <t>68-5986-01</t>
        </is>
      </c>
      <c r="G1049" s="43" t="inlineStr">
        <is>
          <t>OTHER_SCOPE_ITEM</t>
        </is>
      </c>
      <c r="H1049" s="43" t="inlineStr"/>
      <c r="I1049" s="43" t="inlineStr">
        <is>
          <t>Expired</t>
        </is>
      </c>
      <c r="J1049" s="32" t="n">
        <v>46209</v>
      </c>
      <c r="K1049" s="32" t="n">
        <v>46150</v>
      </c>
      <c r="L1049" s="43" t="inlineStr">
        <is>
          <t>1789</t>
        </is>
      </c>
      <c r="M1049" s="43" t="n">
        <v>1</v>
      </c>
      <c r="N1049" s="33" t="inlineStr"/>
      <c r="O1049" s="43" t="inlineStr">
        <is>
          <t>UNVERIFIED</t>
        </is>
      </c>
      <c r="P1049" s="43" t="inlineStr">
        <is>
          <t>Pending Review</t>
        </is>
      </c>
      <c r="Q1049" s="33" t="inlineStr">
        <is>
          <t>Confirmar SKU/PCBA revision, PN exacto en Common DB, WO, BU, vigencia, planta y aprobacion firmada.</t>
        </is>
      </c>
    </row>
    <row r="1050">
      <c r="A1050" s="43" t="inlineStr">
        <is>
          <t>CTANJZ05200</t>
        </is>
      </c>
      <c r="B1050" s="43" t="inlineStr">
        <is>
          <t>D610511</t>
        </is>
      </c>
      <c r="C1050" s="43" t="inlineStr">
        <is>
          <t>037-STBU</t>
        </is>
      </c>
      <c r="D1050" s="43" t="inlineStr">
        <is>
          <t>FJZP</t>
        </is>
      </c>
      <c r="E1050" s="43" t="inlineStr">
        <is>
          <t>MCGA</t>
        </is>
      </c>
      <c r="F1050" s="43" t="inlineStr">
        <is>
          <t>471-00325-01</t>
        </is>
      </c>
      <c r="G1050" s="43" t="inlineStr">
        <is>
          <t>OTHER_SCOPE_ITEM</t>
        </is>
      </c>
      <c r="H1050" s="43" t="inlineStr"/>
      <c r="I1050" s="43" t="inlineStr">
        <is>
          <t>Expired</t>
        </is>
      </c>
      <c r="J1050" s="32" t="n">
        <v>46209</v>
      </c>
      <c r="K1050" s="32" t="n">
        <v>46147</v>
      </c>
      <c r="L1050" s="43" t="inlineStr">
        <is>
          <t>1088</t>
        </is>
      </c>
      <c r="M1050" s="43" t="n">
        <v>1</v>
      </c>
      <c r="N1050" s="33" t="inlineStr"/>
      <c r="O1050" s="43" t="inlineStr">
        <is>
          <t>UNVERIFIED</t>
        </is>
      </c>
      <c r="P1050" s="43" t="inlineStr">
        <is>
          <t>Pending Review</t>
        </is>
      </c>
      <c r="Q1050" s="33" t="inlineStr">
        <is>
          <t>Confirmar SKU/PCBA revision, PN exacto en Common DB, WO, BU, vigencia, planta y aprobacion firmada.</t>
        </is>
      </c>
    </row>
    <row r="1051">
      <c r="A1051" s="43" t="inlineStr">
        <is>
          <t>CTANJZ05200</t>
        </is>
      </c>
      <c r="B1051" s="43" t="inlineStr">
        <is>
          <t>D610511</t>
        </is>
      </c>
      <c r="C1051" s="43" t="inlineStr">
        <is>
          <t>037-STBU</t>
        </is>
      </c>
      <c r="D1051" s="43" t="inlineStr">
        <is>
          <t>FJZP</t>
        </is>
      </c>
      <c r="E1051" s="43" t="inlineStr">
        <is>
          <t>MCGA</t>
        </is>
      </c>
      <c r="F1051" s="43" t="inlineStr">
        <is>
          <t>73-18850-01</t>
        </is>
      </c>
      <c r="G1051" s="43" t="inlineStr">
        <is>
          <t>BOARD_PN_CANDIDATE</t>
        </is>
      </c>
      <c r="H1051" s="43" t="inlineStr"/>
      <c r="I1051" s="43" t="inlineStr">
        <is>
          <t>Expired</t>
        </is>
      </c>
      <c r="J1051" s="32" t="n">
        <v>46209</v>
      </c>
      <c r="K1051" s="32" t="n">
        <v>46147</v>
      </c>
      <c r="L1051" s="43" t="inlineStr">
        <is>
          <t>1089</t>
        </is>
      </c>
      <c r="M1051" s="43" t="n">
        <v>1</v>
      </c>
      <c r="N1051" s="33" t="inlineStr"/>
      <c r="O1051" s="43" t="inlineStr">
        <is>
          <t>UNVERIFIED</t>
        </is>
      </c>
      <c r="P1051" s="43" t="inlineStr">
        <is>
          <t>Pending Review</t>
        </is>
      </c>
      <c r="Q1051" s="33" t="inlineStr">
        <is>
          <t>Confirmar SKU/PCBA revision, PN exacto en Common DB, WO, BU, vigencia, planta y aprobacion firmada.</t>
        </is>
      </c>
    </row>
    <row r="1052">
      <c r="A1052" s="43" t="inlineStr">
        <is>
          <t>CTANJZ05200</t>
        </is>
      </c>
      <c r="B1052" s="43" t="inlineStr">
        <is>
          <t>D610511</t>
        </is>
      </c>
      <c r="C1052" s="43" t="inlineStr">
        <is>
          <t>037-STBU</t>
        </is>
      </c>
      <c r="D1052" s="43" t="inlineStr">
        <is>
          <t>FJZP</t>
        </is>
      </c>
      <c r="E1052" s="43" t="inlineStr">
        <is>
          <t>MCGA</t>
        </is>
      </c>
      <c r="F1052" s="43" t="inlineStr">
        <is>
          <t>73-19232-01</t>
        </is>
      </c>
      <c r="G1052" s="43" t="inlineStr">
        <is>
          <t>BOARD_PN_CANDIDATE</t>
        </is>
      </c>
      <c r="H1052" s="43" t="inlineStr"/>
      <c r="I1052" s="43" t="inlineStr">
        <is>
          <t>Expired</t>
        </is>
      </c>
      <c r="J1052" s="32" t="n">
        <v>46209</v>
      </c>
      <c r="K1052" s="32" t="n">
        <v>46147</v>
      </c>
      <c r="L1052" s="43" t="inlineStr">
        <is>
          <t>1108</t>
        </is>
      </c>
      <c r="M1052" s="43" t="n">
        <v>1</v>
      </c>
      <c r="N1052" s="33" t="inlineStr"/>
      <c r="O1052" s="43" t="inlineStr">
        <is>
          <t>UNVERIFIED</t>
        </is>
      </c>
      <c r="P1052" s="43" t="inlineStr">
        <is>
          <t>Pending Review</t>
        </is>
      </c>
      <c r="Q1052" s="33" t="inlineStr">
        <is>
          <t>Confirmar SKU/PCBA revision, PN exacto en Common DB, WO, BU, vigencia, planta y aprobacion firmada.</t>
        </is>
      </c>
    </row>
    <row r="1053">
      <c r="A1053" s="43" t="inlineStr">
        <is>
          <t>CTANJZ05200</t>
        </is>
      </c>
      <c r="B1053" s="43" t="inlineStr">
        <is>
          <t>D610511</t>
        </is>
      </c>
      <c r="C1053" s="43" t="inlineStr">
        <is>
          <t>037-STBU</t>
        </is>
      </c>
      <c r="D1053" s="43" t="inlineStr">
        <is>
          <t>FJZP</t>
        </is>
      </c>
      <c r="E1053" s="43" t="inlineStr">
        <is>
          <t>MCGA</t>
        </is>
      </c>
      <c r="F1053" s="43" t="inlineStr">
        <is>
          <t>73-19233-01</t>
        </is>
      </c>
      <c r="G1053" s="43" t="inlineStr">
        <is>
          <t>BOARD_PN_CANDIDATE</t>
        </is>
      </c>
      <c r="H1053" s="43" t="inlineStr"/>
      <c r="I1053" s="43" t="inlineStr">
        <is>
          <t>Expired</t>
        </is>
      </c>
      <c r="J1053" s="32" t="n">
        <v>46209</v>
      </c>
      <c r="K1053" s="32" t="n">
        <v>46147</v>
      </c>
      <c r="L1053" s="43" t="inlineStr">
        <is>
          <t>1109</t>
        </is>
      </c>
      <c r="M1053" s="43" t="n">
        <v>1</v>
      </c>
      <c r="N1053" s="33" t="inlineStr"/>
      <c r="O1053" s="43" t="inlineStr">
        <is>
          <t>UNVERIFIED</t>
        </is>
      </c>
      <c r="P1053" s="43" t="inlineStr">
        <is>
          <t>Pending Review</t>
        </is>
      </c>
      <c r="Q1053" s="33" t="inlineStr">
        <is>
          <t>Confirmar SKU/PCBA revision, PN exacto en Common DB, WO, BU, vigencia, planta y aprobacion firmada.</t>
        </is>
      </c>
    </row>
    <row r="1054">
      <c r="A1054" s="43" t="inlineStr">
        <is>
          <t>CTANJZ05202</t>
        </is>
      </c>
      <c r="B1054" s="43" t="inlineStr">
        <is>
          <t>D610693</t>
        </is>
      </c>
      <c r="C1054" s="43" t="inlineStr">
        <is>
          <t>035-CVEBU</t>
        </is>
      </c>
      <c r="D1054" s="43" t="inlineStr">
        <is>
          <t>FJZP</t>
        </is>
      </c>
      <c r="E1054" s="43" t="inlineStr">
        <is>
          <t>MCGA</t>
        </is>
      </c>
      <c r="F1054" s="43" t="inlineStr">
        <is>
          <t>28-103261-05</t>
        </is>
      </c>
      <c r="G1054" s="43" t="inlineStr">
        <is>
          <t>BARE_PCB_PN_CANDIDATE</t>
        </is>
      </c>
      <c r="H1054" s="43" t="inlineStr"/>
      <c r="I1054" s="43" t="inlineStr">
        <is>
          <t>Expired</t>
        </is>
      </c>
      <c r="J1054" s="32" t="n">
        <v>46210</v>
      </c>
      <c r="K1054" s="32" t="n">
        <v>46136</v>
      </c>
      <c r="L1054" s="43" t="inlineStr">
        <is>
          <t>249</t>
        </is>
      </c>
      <c r="M1054" s="43" t="n">
        <v>1</v>
      </c>
      <c r="N1054" s="33" t="inlineStr"/>
      <c r="O1054" s="43" t="inlineStr">
        <is>
          <t>UNVERIFIED</t>
        </is>
      </c>
      <c r="P1054" s="43" t="inlineStr">
        <is>
          <t>Pending Review</t>
        </is>
      </c>
      <c r="Q1054" s="33" t="inlineStr">
        <is>
          <t>Confirmar SKU/PCBA revision, PN exacto en Common DB, WO, BU, vigencia, planta y aprobacion firmada.</t>
        </is>
      </c>
    </row>
    <row r="1055">
      <c r="A1055" s="43" t="inlineStr">
        <is>
          <t>CTANJZ05202</t>
        </is>
      </c>
      <c r="B1055" s="43" t="inlineStr">
        <is>
          <t>D610693</t>
        </is>
      </c>
      <c r="C1055" s="43" t="inlineStr">
        <is>
          <t>035-CVEBU</t>
        </is>
      </c>
      <c r="D1055" s="43" t="inlineStr">
        <is>
          <t>FJZP</t>
        </is>
      </c>
      <c r="E1055" s="43" t="inlineStr">
        <is>
          <t>MCGA</t>
        </is>
      </c>
      <c r="F1055" s="43" t="inlineStr">
        <is>
          <t>68-104607-01</t>
        </is>
      </c>
      <c r="G1055" s="43" t="inlineStr">
        <is>
          <t>OTHER_SCOPE_ITEM</t>
        </is>
      </c>
      <c r="H1055" s="43" t="inlineStr"/>
      <c r="I1055" s="43" t="inlineStr">
        <is>
          <t>Expired</t>
        </is>
      </c>
      <c r="J1055" s="32" t="n">
        <v>46210</v>
      </c>
      <c r="K1055" s="32" t="n">
        <v>46136</v>
      </c>
      <c r="L1055" s="43" t="inlineStr">
        <is>
          <t>250</t>
        </is>
      </c>
      <c r="M1055" s="43" t="n">
        <v>1</v>
      </c>
      <c r="N1055" s="33" t="inlineStr"/>
      <c r="O1055" s="43" t="inlineStr">
        <is>
          <t>UNVERIFIED</t>
        </is>
      </c>
      <c r="P1055" s="43" t="inlineStr">
        <is>
          <t>Pending Review</t>
        </is>
      </c>
      <c r="Q1055" s="33" t="inlineStr">
        <is>
          <t>Confirmar SKU/PCBA revision, PN exacto en Common DB, WO, BU, vigencia, planta y aprobacion firmada.</t>
        </is>
      </c>
    </row>
    <row r="1056">
      <c r="A1056" s="43" t="inlineStr">
        <is>
          <t>CTANJZ05203</t>
        </is>
      </c>
      <c r="B1056" s="43" t="inlineStr">
        <is>
          <t>D610694</t>
        </is>
      </c>
      <c r="C1056" s="43" t="inlineStr">
        <is>
          <t>035-CVEBU</t>
        </is>
      </c>
      <c r="D1056" s="43" t="inlineStr">
        <is>
          <t>FJZP</t>
        </is>
      </c>
      <c r="E1056" s="43" t="inlineStr">
        <is>
          <t>MCGA</t>
        </is>
      </c>
      <c r="F1056" s="43" t="inlineStr">
        <is>
          <t>28-102088-05</t>
        </is>
      </c>
      <c r="G1056" s="43" t="inlineStr">
        <is>
          <t>BARE_PCB_PN_CANDIDATE</t>
        </is>
      </c>
      <c r="H1056" s="43" t="inlineStr"/>
      <c r="I1056" s="43" t="inlineStr">
        <is>
          <t>Expired</t>
        </is>
      </c>
      <c r="J1056" s="32" t="n">
        <v>46211</v>
      </c>
      <c r="K1056" s="32" t="n">
        <v>46136</v>
      </c>
      <c r="L1056" s="43" t="inlineStr">
        <is>
          <t>117</t>
        </is>
      </c>
      <c r="M1056" s="43" t="n">
        <v>1</v>
      </c>
      <c r="N1056" s="33" t="inlineStr"/>
      <c r="O1056" s="43" t="inlineStr">
        <is>
          <t>UNVERIFIED</t>
        </is>
      </c>
      <c r="P1056" s="43" t="inlineStr">
        <is>
          <t>Pending Review</t>
        </is>
      </c>
      <c r="Q1056" s="33" t="inlineStr">
        <is>
          <t>Confirmar SKU/PCBA revision, PN exacto en Common DB, WO, BU, vigencia, planta y aprobacion firmada.</t>
        </is>
      </c>
    </row>
    <row r="1057">
      <c r="A1057" s="43" t="inlineStr">
        <is>
          <t>CTANJZ05203</t>
        </is>
      </c>
      <c r="B1057" s="43" t="inlineStr">
        <is>
          <t>D610694</t>
        </is>
      </c>
      <c r="C1057" s="43" t="inlineStr">
        <is>
          <t>035-CVEBU</t>
        </is>
      </c>
      <c r="D1057" s="43" t="inlineStr">
        <is>
          <t>FJZP</t>
        </is>
      </c>
      <c r="E1057" s="43" t="inlineStr">
        <is>
          <t>MCGA</t>
        </is>
      </c>
      <c r="F1057" s="43" t="inlineStr">
        <is>
          <t>68-105050-01</t>
        </is>
      </c>
      <c r="G1057" s="43" t="inlineStr">
        <is>
          <t>OTHER_SCOPE_ITEM</t>
        </is>
      </c>
      <c r="H1057" s="43" t="inlineStr"/>
      <c r="I1057" s="43" t="inlineStr">
        <is>
          <t>Expired</t>
        </is>
      </c>
      <c r="J1057" s="32" t="n">
        <v>46211</v>
      </c>
      <c r="K1057" s="32" t="n">
        <v>46136</v>
      </c>
      <c r="L1057" s="43" t="inlineStr">
        <is>
          <t>118</t>
        </is>
      </c>
      <c r="M1057" s="43" t="n">
        <v>1</v>
      </c>
      <c r="N1057" s="33" t="inlineStr"/>
      <c r="O1057" s="43" t="inlineStr">
        <is>
          <t>UNVERIFIED</t>
        </is>
      </c>
      <c r="P1057" s="43" t="inlineStr">
        <is>
          <t>Pending Review</t>
        </is>
      </c>
      <c r="Q1057" s="33" t="inlineStr">
        <is>
          <t>Confirmar SKU/PCBA revision, PN exacto en Common DB, WO, BU, vigencia, planta y aprobacion firmada.</t>
        </is>
      </c>
    </row>
    <row r="1058">
      <c r="A1058" s="43" t="inlineStr">
        <is>
          <t>CTANJZ05204</t>
        </is>
      </c>
      <c r="B1058" s="43" t="inlineStr">
        <is>
          <t>D610600</t>
        </is>
      </c>
      <c r="C1058" s="43" t="inlineStr">
        <is>
          <t>239-CRBU</t>
        </is>
      </c>
      <c r="D1058" s="43" t="inlineStr">
        <is>
          <t>FJZP</t>
        </is>
      </c>
      <c r="E1058" s="43" t="inlineStr">
        <is>
          <t>MCGA</t>
        </is>
      </c>
      <c r="F1058" s="43" t="inlineStr">
        <is>
          <t>68-6198-02</t>
        </is>
      </c>
      <c r="G1058" s="43" t="inlineStr">
        <is>
          <t>OTHER_SCOPE_ITEM</t>
        </is>
      </c>
      <c r="H1058" s="43" t="inlineStr"/>
      <c r="I1058" s="43" t="inlineStr">
        <is>
          <t>Expired</t>
        </is>
      </c>
      <c r="J1058" s="32" t="n">
        <v>46212</v>
      </c>
      <c r="K1058" s="32" t="n">
        <v>46150</v>
      </c>
      <c r="L1058" s="43" t="inlineStr">
        <is>
          <t>1112</t>
        </is>
      </c>
      <c r="M1058" s="43" t="n">
        <v>1</v>
      </c>
      <c r="N1058" s="33" t="inlineStr"/>
      <c r="O1058" s="43" t="inlineStr">
        <is>
          <t>UNVERIFIED</t>
        </is>
      </c>
      <c r="P1058" s="43" t="inlineStr">
        <is>
          <t>Pending Review</t>
        </is>
      </c>
      <c r="Q1058" s="33" t="inlineStr">
        <is>
          <t>Confirmar SKU/PCBA revision, PN exacto en Common DB, WO, BU, vigencia, planta y aprobacion firmada.</t>
        </is>
      </c>
    </row>
    <row r="1059">
      <c r="A1059" s="43" t="inlineStr">
        <is>
          <t>CTANJZ05204</t>
        </is>
      </c>
      <c r="B1059" s="43" t="inlineStr">
        <is>
          <t>D610600</t>
        </is>
      </c>
      <c r="C1059" s="43" t="inlineStr">
        <is>
          <t>239-CRBU</t>
        </is>
      </c>
      <c r="D1059" s="43" t="inlineStr">
        <is>
          <t>FJZP</t>
        </is>
      </c>
      <c r="E1059" s="43" t="inlineStr">
        <is>
          <t>MCGA</t>
        </is>
      </c>
      <c r="F1059" s="43" t="inlineStr">
        <is>
          <t>73-18706-04</t>
        </is>
      </c>
      <c r="G1059" s="43" t="inlineStr">
        <is>
          <t>BOARD_PN_CANDIDATE</t>
        </is>
      </c>
      <c r="H1059" s="43" t="inlineStr"/>
      <c r="I1059" s="43" t="inlineStr">
        <is>
          <t>Expired</t>
        </is>
      </c>
      <c r="J1059" s="32" t="n">
        <v>46212</v>
      </c>
      <c r="K1059" s="32" t="n">
        <v>46150</v>
      </c>
      <c r="L1059" s="43" t="inlineStr">
        <is>
          <t>1113</t>
        </is>
      </c>
      <c r="M1059" s="43" t="n">
        <v>1</v>
      </c>
      <c r="N1059" s="33" t="inlineStr"/>
      <c r="O1059" s="43" t="inlineStr">
        <is>
          <t>UNVERIFIED</t>
        </is>
      </c>
      <c r="P1059" s="43" t="inlineStr">
        <is>
          <t>Pending Review</t>
        </is>
      </c>
      <c r="Q1059" s="33" t="inlineStr">
        <is>
          <t>Confirmar SKU/PCBA revision, PN exacto en Common DB, WO, BU, vigencia, planta y aprobacion firmada.</t>
        </is>
      </c>
    </row>
    <row r="1060">
      <c r="A1060" s="43" t="inlineStr">
        <is>
          <t>CTANJZ05204</t>
        </is>
      </c>
      <c r="B1060" s="43" t="inlineStr">
        <is>
          <t>D610600</t>
        </is>
      </c>
      <c r="C1060" s="43" t="inlineStr">
        <is>
          <t>239-CRBU</t>
        </is>
      </c>
      <c r="D1060" s="43" t="inlineStr">
        <is>
          <t>FJZP</t>
        </is>
      </c>
      <c r="E1060" s="43" t="inlineStr">
        <is>
          <t>MCGA</t>
        </is>
      </c>
      <c r="F1060" s="43" t="inlineStr">
        <is>
          <t>800-48223-02</t>
        </is>
      </c>
      <c r="G1060" s="43" t="inlineStr">
        <is>
          <t>OTHER_SCOPE_ITEM</t>
        </is>
      </c>
      <c r="H1060" s="43" t="inlineStr"/>
      <c r="I1060" s="43" t="inlineStr">
        <is>
          <t>Expired</t>
        </is>
      </c>
      <c r="J1060" s="32" t="n">
        <v>46212</v>
      </c>
      <c r="K1060" s="32" t="n">
        <v>46150</v>
      </c>
      <c r="L1060" s="43" t="inlineStr">
        <is>
          <t>1114</t>
        </is>
      </c>
      <c r="M1060" s="43" t="n">
        <v>1</v>
      </c>
      <c r="N1060" s="33" t="inlineStr"/>
      <c r="O1060" s="43" t="inlineStr">
        <is>
          <t>UNVERIFIED</t>
        </is>
      </c>
      <c r="P1060" s="43" t="inlineStr">
        <is>
          <t>Pending Review</t>
        </is>
      </c>
      <c r="Q1060" s="33" t="inlineStr">
        <is>
          <t>Confirmar SKU/PCBA revision, PN exacto en Common DB, WO, BU, vigencia, planta y aprobacion firmada.</t>
        </is>
      </c>
    </row>
    <row r="1061">
      <c r="A1061" s="43" t="inlineStr">
        <is>
          <t>CTANJZ05204</t>
        </is>
      </c>
      <c r="B1061" s="43" t="inlineStr">
        <is>
          <t>D610600</t>
        </is>
      </c>
      <c r="C1061" s="43" t="inlineStr">
        <is>
          <t>239-CRBU</t>
        </is>
      </c>
      <c r="D1061" s="43" t="inlineStr">
        <is>
          <t>FJZP</t>
        </is>
      </c>
      <c r="E1061" s="43" t="inlineStr">
        <is>
          <t>MCGA</t>
        </is>
      </c>
      <c r="F1061" s="43" t="inlineStr">
        <is>
          <t>800-48268-03</t>
        </is>
      </c>
      <c r="G1061" s="43" t="inlineStr">
        <is>
          <t>OTHER_SCOPE_ITEM</t>
        </is>
      </c>
      <c r="H1061" s="43" t="inlineStr"/>
      <c r="I1061" s="43" t="inlineStr">
        <is>
          <t>Expired</t>
        </is>
      </c>
      <c r="J1061" s="32" t="n">
        <v>46212</v>
      </c>
      <c r="K1061" s="32" t="n">
        <v>46150</v>
      </c>
      <c r="L1061" s="43" t="inlineStr">
        <is>
          <t>1170</t>
        </is>
      </c>
      <c r="M1061" s="43" t="n">
        <v>1</v>
      </c>
      <c r="N1061" s="33" t="inlineStr"/>
      <c r="O1061" s="43" t="inlineStr">
        <is>
          <t>UNVERIFIED</t>
        </is>
      </c>
      <c r="P1061" s="43" t="inlineStr">
        <is>
          <t>Pending Review</t>
        </is>
      </c>
      <c r="Q1061" s="33" t="inlineStr">
        <is>
          <t>Confirmar SKU/PCBA revision, PN exacto en Common DB, WO, BU, vigencia, planta y aprobacion firmada.</t>
        </is>
      </c>
    </row>
    <row r="1062">
      <c r="A1062" s="43" t="inlineStr">
        <is>
          <t>CTANJZ05205</t>
        </is>
      </c>
      <c r="B1062" s="43" t="inlineStr">
        <is>
          <t>D610308</t>
        </is>
      </c>
      <c r="C1062" s="43" t="inlineStr">
        <is>
          <t>037-STBU</t>
        </is>
      </c>
      <c r="D1062" s="43" t="inlineStr">
        <is>
          <t>FJZP</t>
        </is>
      </c>
      <c r="E1062" s="43" t="inlineStr">
        <is>
          <t>MCGA</t>
        </is>
      </c>
      <c r="F1062" s="43" t="inlineStr">
        <is>
          <t>15-111072-01</t>
        </is>
      </c>
      <c r="G1062" s="43" t="inlineStr">
        <is>
          <t>OTHER_SCOPE_ITEM</t>
        </is>
      </c>
      <c r="H1062" s="43" t="inlineStr"/>
      <c r="I1062" s="43" t="inlineStr">
        <is>
          <t>Expired</t>
        </is>
      </c>
      <c r="J1062" s="32" t="n">
        <v>46212</v>
      </c>
      <c r="K1062" s="32" t="n">
        <v>46147</v>
      </c>
      <c r="L1062" s="43" t="inlineStr">
        <is>
          <t>590</t>
        </is>
      </c>
      <c r="M1062" s="43" t="n">
        <v>1</v>
      </c>
      <c r="N1062" s="33" t="inlineStr"/>
      <c r="O1062" s="43" t="inlineStr">
        <is>
          <t>UNVERIFIED</t>
        </is>
      </c>
      <c r="P1062" s="43" t="inlineStr">
        <is>
          <t>Pending Review</t>
        </is>
      </c>
      <c r="Q1062" s="33" t="inlineStr">
        <is>
          <t>Confirmar SKU/PCBA revision, PN exacto en Common DB, WO, BU, vigencia, planta y aprobacion firmada.</t>
        </is>
      </c>
    </row>
    <row r="1063">
      <c r="A1063" s="43" t="inlineStr">
        <is>
          <t>CTANJZ05205</t>
        </is>
      </c>
      <c r="B1063" s="43" t="inlineStr">
        <is>
          <t>D610308</t>
        </is>
      </c>
      <c r="C1063" s="43" t="inlineStr">
        <is>
          <t>037-STBU</t>
        </is>
      </c>
      <c r="D1063" s="43" t="inlineStr">
        <is>
          <t>FJZP</t>
        </is>
      </c>
      <c r="E1063" s="43" t="inlineStr">
        <is>
          <t>MCGA</t>
        </is>
      </c>
      <c r="F1063" s="43" t="inlineStr">
        <is>
          <t>800-112720-04</t>
        </is>
      </c>
      <c r="G1063" s="43" t="inlineStr">
        <is>
          <t>OTHER_SCOPE_ITEM</t>
        </is>
      </c>
      <c r="H1063" s="43" t="inlineStr"/>
      <c r="I1063" s="43" t="inlineStr">
        <is>
          <t>Expired</t>
        </is>
      </c>
      <c r="J1063" s="32" t="n">
        <v>46212</v>
      </c>
      <c r="K1063" s="32" t="n">
        <v>46147</v>
      </c>
      <c r="L1063" s="43" t="inlineStr">
        <is>
          <t>591</t>
        </is>
      </c>
      <c r="M1063" s="43" t="n">
        <v>1</v>
      </c>
      <c r="N1063" s="33" t="inlineStr"/>
      <c r="O1063" s="43" t="inlineStr">
        <is>
          <t>UNVERIFIED</t>
        </is>
      </c>
      <c r="P1063" s="43" t="inlineStr">
        <is>
          <t>Pending Review</t>
        </is>
      </c>
      <c r="Q1063" s="33" t="inlineStr">
        <is>
          <t>Confirmar SKU/PCBA revision, PN exacto en Common DB, WO, BU, vigencia, planta y aprobacion firmada.</t>
        </is>
      </c>
    </row>
    <row r="1064">
      <c r="A1064" s="43" t="inlineStr">
        <is>
          <t>CTANJZ05209</t>
        </is>
      </c>
      <c r="B1064" s="43" t="inlineStr">
        <is>
          <t>D610810</t>
        </is>
      </c>
      <c r="C1064" s="43" t="inlineStr">
        <is>
          <t>035-CVEBU</t>
        </is>
      </c>
      <c r="D1064" s="43" t="inlineStr">
        <is>
          <t>FJZP</t>
        </is>
      </c>
      <c r="E1064" s="43" t="inlineStr">
        <is>
          <t>MCGA</t>
        </is>
      </c>
      <c r="F1064" s="43" t="inlineStr">
        <is>
          <t>68-104853-01</t>
        </is>
      </c>
      <c r="G1064" s="43" t="inlineStr">
        <is>
          <t>OTHER_SCOPE_ITEM</t>
        </is>
      </c>
      <c r="H1064" s="43" t="inlineStr"/>
      <c r="I1064" s="43" t="inlineStr">
        <is>
          <t>Expired</t>
        </is>
      </c>
      <c r="J1064" s="32" t="n">
        <v>46216</v>
      </c>
      <c r="K1064" s="32" t="n">
        <v>46158</v>
      </c>
      <c r="L1064" s="43" t="inlineStr">
        <is>
          <t>62</t>
        </is>
      </c>
      <c r="M1064" s="43" t="n">
        <v>1</v>
      </c>
      <c r="N1064" s="33" t="inlineStr"/>
      <c r="O1064" s="43" t="inlineStr">
        <is>
          <t>UNVERIFIED</t>
        </is>
      </c>
      <c r="P1064" s="43" t="inlineStr">
        <is>
          <t>Pending Review</t>
        </is>
      </c>
      <c r="Q1064" s="33" t="inlineStr">
        <is>
          <t>Confirmar SKU/PCBA revision, PN exacto en Common DB, WO, BU, vigencia, planta y aprobacion firmada.</t>
        </is>
      </c>
    </row>
    <row r="1065">
      <c r="A1065" s="43" t="inlineStr">
        <is>
          <t>CTANJZ05209</t>
        </is>
      </c>
      <c r="B1065" s="43" t="inlineStr">
        <is>
          <t>D610810</t>
        </is>
      </c>
      <c r="C1065" s="43" t="inlineStr">
        <is>
          <t>035-CVEBU</t>
        </is>
      </c>
      <c r="D1065" s="43" t="inlineStr">
        <is>
          <t>FJZP</t>
        </is>
      </c>
      <c r="E1065" s="43" t="inlineStr">
        <is>
          <t>MCGA</t>
        </is>
      </c>
      <c r="F1065" s="43" t="inlineStr">
        <is>
          <t>68-104854-01</t>
        </is>
      </c>
      <c r="G1065" s="43" t="inlineStr">
        <is>
          <t>OTHER_SCOPE_ITEM</t>
        </is>
      </c>
      <c r="H1065" s="43" t="inlineStr"/>
      <c r="I1065" s="43" t="inlineStr">
        <is>
          <t>Expired</t>
        </is>
      </c>
      <c r="J1065" s="32" t="n">
        <v>46216</v>
      </c>
      <c r="K1065" s="32" t="n">
        <v>46158</v>
      </c>
      <c r="L1065" s="43" t="inlineStr">
        <is>
          <t>63</t>
        </is>
      </c>
      <c r="M1065" s="43" t="n">
        <v>1</v>
      </c>
      <c r="N1065" s="33" t="inlineStr"/>
      <c r="O1065" s="43" t="inlineStr">
        <is>
          <t>UNVERIFIED</t>
        </is>
      </c>
      <c r="P1065" s="43" t="inlineStr">
        <is>
          <t>Pending Review</t>
        </is>
      </c>
      <c r="Q1065" s="33" t="inlineStr">
        <is>
          <t>Confirmar SKU/PCBA revision, PN exacto en Common DB, WO, BU, vigencia, planta y aprobacion firmada.</t>
        </is>
      </c>
    </row>
    <row r="1066">
      <c r="A1066" s="43" t="inlineStr">
        <is>
          <t>CTANJZ05210</t>
        </is>
      </c>
      <c r="B1066" s="43" t="inlineStr">
        <is>
          <t>DP526044</t>
        </is>
      </c>
      <c r="C1066" s="43" t="inlineStr">
        <is>
          <t>035-CVEBU</t>
        </is>
      </c>
      <c r="D1066" s="43" t="inlineStr">
        <is>
          <t>FJZP</t>
        </is>
      </c>
      <c r="E1066" s="43" t="inlineStr">
        <is>
          <t>MCGA</t>
        </is>
      </c>
      <c r="F1066" s="43" t="inlineStr">
        <is>
          <t>28-103757-02</t>
        </is>
      </c>
      <c r="G1066" s="43" t="inlineStr">
        <is>
          <t>BARE_PCB_PN_CANDIDATE</t>
        </is>
      </c>
      <c r="H1066" s="43" t="inlineStr"/>
      <c r="I1066" s="43" t="inlineStr">
        <is>
          <t>Expired</t>
        </is>
      </c>
      <c r="J1066" s="32" t="n">
        <v>46187</v>
      </c>
      <c r="K1066" s="32" t="n">
        <v>46136</v>
      </c>
      <c r="L1066" s="43" t="inlineStr">
        <is>
          <t>212,1883</t>
        </is>
      </c>
      <c r="M1066" s="43" t="n">
        <v>2</v>
      </c>
      <c r="N1066" s="33" t="inlineStr">
        <is>
          <t>Descrition of Change</t>
        </is>
      </c>
      <c r="O1066" s="43" t="inlineStr">
        <is>
          <t>UNVERIFIED</t>
        </is>
      </c>
      <c r="P1066" s="43" t="inlineStr">
        <is>
          <t>Pending Review</t>
        </is>
      </c>
      <c r="Q1066" s="33" t="inlineStr">
        <is>
          <t>Confirmar SKU/PCBA revision, PN exacto en Common DB, WO, BU, vigencia, planta y aprobacion firmada.</t>
        </is>
      </c>
    </row>
    <row r="1067">
      <c r="A1067" s="43" t="inlineStr">
        <is>
          <t>CTANJZ05210</t>
        </is>
      </c>
      <c r="B1067" s="43" t="inlineStr">
        <is>
          <t>DP526044</t>
        </is>
      </c>
      <c r="C1067" s="43" t="inlineStr">
        <is>
          <t>035-CVEBU</t>
        </is>
      </c>
      <c r="D1067" s="43" t="inlineStr">
        <is>
          <t>FJZP</t>
        </is>
      </c>
      <c r="E1067" s="43" t="inlineStr">
        <is>
          <t>MCGA</t>
        </is>
      </c>
      <c r="F1067" s="43" t="inlineStr">
        <is>
          <t>73-104175-02</t>
        </is>
      </c>
      <c r="G1067" s="43" t="inlineStr">
        <is>
          <t>BOARD_PN_CANDIDATE</t>
        </is>
      </c>
      <c r="H1067" s="43" t="inlineStr"/>
      <c r="I1067" s="43" t="inlineStr">
        <is>
          <t>Expired</t>
        </is>
      </c>
      <c r="J1067" s="32" t="n">
        <v>46187</v>
      </c>
      <c r="K1067" s="32" t="n">
        <v>46136</v>
      </c>
      <c r="L1067" s="43" t="inlineStr">
        <is>
          <t>213,1884</t>
        </is>
      </c>
      <c r="M1067" s="43" t="n">
        <v>2</v>
      </c>
      <c r="N1067" s="33" t="inlineStr">
        <is>
          <t>Descrition of Change</t>
        </is>
      </c>
      <c r="O1067" s="43" t="inlineStr">
        <is>
          <t>UNVERIFIED</t>
        </is>
      </c>
      <c r="P1067" s="43" t="inlineStr">
        <is>
          <t>Pending Review</t>
        </is>
      </c>
      <c r="Q1067" s="33" t="inlineStr">
        <is>
          <t>Confirmar SKU/PCBA revision, PN exacto en Common DB, WO, BU, vigencia, planta y aprobacion firmada.</t>
        </is>
      </c>
    </row>
    <row r="1068">
      <c r="A1068" s="43" t="inlineStr">
        <is>
          <t>CTANJZ05211</t>
        </is>
      </c>
      <c r="B1068" s="43" t="inlineStr">
        <is>
          <t>D610813</t>
        </is>
      </c>
      <c r="C1068" s="43" t="inlineStr">
        <is>
          <t>035-CVEBU</t>
        </is>
      </c>
      <c r="D1068" s="43" t="inlineStr">
        <is>
          <t>FJZP</t>
        </is>
      </c>
      <c r="E1068" s="43" t="inlineStr">
        <is>
          <t>MCGA</t>
        </is>
      </c>
      <c r="F1068" s="43" t="inlineStr">
        <is>
          <t>74-146088-01</t>
        </is>
      </c>
      <c r="G1068" s="43" t="inlineStr">
        <is>
          <t>OTHER_SCOPE_ITEM</t>
        </is>
      </c>
      <c r="H1068" s="43" t="inlineStr"/>
      <c r="I1068" s="43" t="inlineStr">
        <is>
          <t>Expired</t>
        </is>
      </c>
      <c r="J1068" s="32" t="n">
        <v>46217</v>
      </c>
      <c r="K1068" s="32" t="n">
        <v>46140</v>
      </c>
      <c r="L1068" s="43" t="inlineStr">
        <is>
          <t>1103</t>
        </is>
      </c>
      <c r="M1068" s="43" t="n">
        <v>1</v>
      </c>
      <c r="N1068" s="33" t="inlineStr"/>
      <c r="O1068" s="43" t="inlineStr">
        <is>
          <t>UNVERIFIED</t>
        </is>
      </c>
      <c r="P1068" s="43" t="inlineStr">
        <is>
          <t>Pending Review</t>
        </is>
      </c>
      <c r="Q1068" s="33" t="inlineStr">
        <is>
          <t>Confirmar SKU/PCBA revision, PN exacto en Common DB, WO, BU, vigencia, planta y aprobacion firmada.</t>
        </is>
      </c>
    </row>
    <row r="1069">
      <c r="A1069" s="43" t="inlineStr">
        <is>
          <t>CTANJZ05214</t>
        </is>
      </c>
      <c r="B1069" s="43" t="inlineStr">
        <is>
          <t>D610907</t>
        </is>
      </c>
      <c r="C1069" s="43" t="inlineStr">
        <is>
          <t>035-CVEBU</t>
        </is>
      </c>
      <c r="D1069" s="43" t="inlineStr">
        <is>
          <t>FJZP</t>
        </is>
      </c>
      <c r="E1069" s="43" t="inlineStr">
        <is>
          <t>MCGA</t>
        </is>
      </c>
      <c r="F1069" s="43" t="inlineStr">
        <is>
          <t>68-104853-01</t>
        </is>
      </c>
      <c r="G1069" s="43" t="inlineStr">
        <is>
          <t>OTHER_SCOPE_ITEM</t>
        </is>
      </c>
      <c r="H1069" s="43" t="inlineStr"/>
      <c r="I1069" s="43" t="inlineStr">
        <is>
          <t>Expired</t>
        </is>
      </c>
      <c r="J1069" s="32" t="n">
        <v>46218</v>
      </c>
      <c r="K1069" s="32" t="n">
        <v>46147</v>
      </c>
      <c r="L1069" s="43" t="inlineStr">
        <is>
          <t>1793</t>
        </is>
      </c>
      <c r="M1069" s="43" t="n">
        <v>1</v>
      </c>
      <c r="N1069" s="33" t="inlineStr"/>
      <c r="O1069" s="43" t="inlineStr">
        <is>
          <t>UNVERIFIED</t>
        </is>
      </c>
      <c r="P1069" s="43" t="inlineStr">
        <is>
          <t>Pending Review</t>
        </is>
      </c>
      <c r="Q1069" s="33" t="inlineStr">
        <is>
          <t>Confirmar SKU/PCBA revision, PN exacto en Common DB, WO, BU, vigencia, planta y aprobacion firmada.</t>
        </is>
      </c>
    </row>
    <row r="1070">
      <c r="A1070" s="43" t="inlineStr">
        <is>
          <t>CTANJZ05214</t>
        </is>
      </c>
      <c r="B1070" s="43" t="inlineStr">
        <is>
          <t>D610907</t>
        </is>
      </c>
      <c r="C1070" s="43" t="inlineStr">
        <is>
          <t>035-CVEBU</t>
        </is>
      </c>
      <c r="D1070" s="43" t="inlineStr">
        <is>
          <t>FJZP</t>
        </is>
      </c>
      <c r="E1070" s="43" t="inlineStr">
        <is>
          <t>MCGA</t>
        </is>
      </c>
      <c r="F1070" s="43" t="inlineStr">
        <is>
          <t>68-104854-01</t>
        </is>
      </c>
      <c r="G1070" s="43" t="inlineStr">
        <is>
          <t>OTHER_SCOPE_ITEM</t>
        </is>
      </c>
      <c r="H1070" s="43" t="inlineStr"/>
      <c r="I1070" s="43" t="inlineStr">
        <is>
          <t>Expired</t>
        </is>
      </c>
      <c r="J1070" s="32" t="n">
        <v>46218</v>
      </c>
      <c r="K1070" s="32" t="n">
        <v>46147</v>
      </c>
      <c r="L1070" s="43" t="inlineStr">
        <is>
          <t>1794</t>
        </is>
      </c>
      <c r="M1070" s="43" t="n">
        <v>1</v>
      </c>
      <c r="N1070" s="33" t="inlineStr"/>
      <c r="O1070" s="43" t="inlineStr">
        <is>
          <t>UNVERIFIED</t>
        </is>
      </c>
      <c r="P1070" s="43" t="inlineStr">
        <is>
          <t>Pending Review</t>
        </is>
      </c>
      <c r="Q1070" s="33" t="inlineStr">
        <is>
          <t>Confirmar SKU/PCBA revision, PN exacto en Common DB, WO, BU, vigencia, planta y aprobacion firmada.</t>
        </is>
      </c>
    </row>
    <row r="1071">
      <c r="A1071" s="43" t="inlineStr">
        <is>
          <t>CTANJZ05214</t>
        </is>
      </c>
      <c r="B1071" s="43" t="inlineStr">
        <is>
          <t>D610907</t>
        </is>
      </c>
      <c r="C1071" s="43" t="inlineStr">
        <is>
          <t>035-CVEBU</t>
        </is>
      </c>
      <c r="D1071" s="43" t="inlineStr">
        <is>
          <t>FJZP</t>
        </is>
      </c>
      <c r="E1071" s="43" t="inlineStr">
        <is>
          <t>MCGA</t>
        </is>
      </c>
      <c r="F1071" s="43" t="inlineStr">
        <is>
          <t>73-103698-06</t>
        </is>
      </c>
      <c r="G1071" s="43" t="inlineStr">
        <is>
          <t>BOARD_PN_CANDIDATE</t>
        </is>
      </c>
      <c r="H1071" s="43" t="inlineStr"/>
      <c r="I1071" s="43" t="inlineStr">
        <is>
          <t>Expired</t>
        </is>
      </c>
      <c r="J1071" s="32" t="n">
        <v>46218</v>
      </c>
      <c r="K1071" s="32" t="n">
        <v>46147</v>
      </c>
      <c r="L1071" s="43" t="inlineStr">
        <is>
          <t>1795</t>
        </is>
      </c>
      <c r="M1071" s="43" t="n">
        <v>1</v>
      </c>
      <c r="N1071" s="33" t="inlineStr"/>
      <c r="O1071" s="43" t="inlineStr">
        <is>
          <t>UNVERIFIED</t>
        </is>
      </c>
      <c r="P1071" s="43" t="inlineStr">
        <is>
          <t>Pending Review</t>
        </is>
      </c>
      <c r="Q1071" s="33" t="inlineStr">
        <is>
          <t>Confirmar SKU/PCBA revision, PN exacto en Common DB, WO, BU, vigencia, planta y aprobacion firmada.</t>
        </is>
      </c>
    </row>
    <row r="1072">
      <c r="A1072" s="43" t="inlineStr">
        <is>
          <t>CTANJZ05214</t>
        </is>
      </c>
      <c r="B1072" s="43" t="inlineStr">
        <is>
          <t>D610907</t>
        </is>
      </c>
      <c r="C1072" s="43" t="inlineStr">
        <is>
          <t>035-CVEBU</t>
        </is>
      </c>
      <c r="D1072" s="43" t="inlineStr">
        <is>
          <t>FJZP</t>
        </is>
      </c>
      <c r="E1072" s="43" t="inlineStr">
        <is>
          <t>MCGA</t>
        </is>
      </c>
      <c r="F1072" s="43" t="inlineStr">
        <is>
          <t>73-103940-06</t>
        </is>
      </c>
      <c r="G1072" s="43" t="inlineStr">
        <is>
          <t>BOARD_PN_CANDIDATE</t>
        </is>
      </c>
      <c r="H1072" s="43" t="inlineStr"/>
      <c r="I1072" s="43" t="inlineStr">
        <is>
          <t>Expired</t>
        </is>
      </c>
      <c r="J1072" s="32" t="n">
        <v>46218</v>
      </c>
      <c r="K1072" s="32" t="n">
        <v>46147</v>
      </c>
      <c r="L1072" s="43" t="inlineStr">
        <is>
          <t>1796</t>
        </is>
      </c>
      <c r="M1072" s="43" t="n">
        <v>1</v>
      </c>
      <c r="N1072" s="33" t="inlineStr"/>
      <c r="O1072" s="43" t="inlineStr">
        <is>
          <t>UNVERIFIED</t>
        </is>
      </c>
      <c r="P1072" s="43" t="inlineStr">
        <is>
          <t>Pending Review</t>
        </is>
      </c>
      <c r="Q1072" s="33" t="inlineStr">
        <is>
          <t>Confirmar SKU/PCBA revision, PN exacto en Common DB, WO, BU, vigencia, planta y aprobacion firmada.</t>
        </is>
      </c>
    </row>
    <row r="1073">
      <c r="A1073" s="43" t="inlineStr">
        <is>
          <t>CTANJZ05214</t>
        </is>
      </c>
      <c r="B1073" s="43" t="inlineStr">
        <is>
          <t>D610907</t>
        </is>
      </c>
      <c r="C1073" s="43" t="inlineStr">
        <is>
          <t>035-CVEBU</t>
        </is>
      </c>
      <c r="D1073" s="43" t="inlineStr">
        <is>
          <t>FJZP</t>
        </is>
      </c>
      <c r="E1073" s="43" t="inlineStr">
        <is>
          <t>MCGA</t>
        </is>
      </c>
      <c r="F1073" s="43" t="inlineStr">
        <is>
          <t>800-113103-01</t>
        </is>
      </c>
      <c r="G1073" s="43" t="inlineStr">
        <is>
          <t>OTHER_SCOPE_ITEM</t>
        </is>
      </c>
      <c r="H1073" s="43" t="inlineStr"/>
      <c r="I1073" s="43" t="inlineStr">
        <is>
          <t>Expired</t>
        </is>
      </c>
      <c r="J1073" s="32" t="n">
        <v>46218</v>
      </c>
      <c r="K1073" s="32" t="n">
        <v>46147</v>
      </c>
      <c r="L1073" s="43" t="inlineStr">
        <is>
          <t>1797</t>
        </is>
      </c>
      <c r="M1073" s="43" t="n">
        <v>1</v>
      </c>
      <c r="N1073" s="33" t="inlineStr"/>
      <c r="O1073" s="43" t="inlineStr">
        <is>
          <t>UNVERIFIED</t>
        </is>
      </c>
      <c r="P1073" s="43" t="inlineStr">
        <is>
          <t>Pending Review</t>
        </is>
      </c>
      <c r="Q1073" s="33" t="inlineStr">
        <is>
          <t>Confirmar SKU/PCBA revision, PN exacto en Common DB, WO, BU, vigencia, planta y aprobacion firmada.</t>
        </is>
      </c>
    </row>
    <row r="1074">
      <c r="A1074" s="43" t="inlineStr">
        <is>
          <t>CTANJZ05214</t>
        </is>
      </c>
      <c r="B1074" s="43" t="inlineStr">
        <is>
          <t>D610907</t>
        </is>
      </c>
      <c r="C1074" s="43" t="inlineStr">
        <is>
          <t>035-CVEBU</t>
        </is>
      </c>
      <c r="D1074" s="43" t="inlineStr">
        <is>
          <t>FJZP</t>
        </is>
      </c>
      <c r="E1074" s="43" t="inlineStr">
        <is>
          <t>MCGA</t>
        </is>
      </c>
      <c r="F1074" s="43" t="inlineStr">
        <is>
          <t>800-113105-01</t>
        </is>
      </c>
      <c r="G1074" s="43" t="inlineStr">
        <is>
          <t>OTHER_SCOPE_ITEM</t>
        </is>
      </c>
      <c r="H1074" s="43" t="inlineStr"/>
      <c r="I1074" s="43" t="inlineStr">
        <is>
          <t>Expired</t>
        </is>
      </c>
      <c r="J1074" s="32" t="n">
        <v>46218</v>
      </c>
      <c r="K1074" s="32" t="n">
        <v>46147</v>
      </c>
      <c r="L1074" s="43" t="inlineStr">
        <is>
          <t>1798</t>
        </is>
      </c>
      <c r="M1074" s="43" t="n">
        <v>1</v>
      </c>
      <c r="N1074" s="33" t="inlineStr"/>
      <c r="O1074" s="43" t="inlineStr">
        <is>
          <t>UNVERIFIED</t>
        </is>
      </c>
      <c r="P1074" s="43" t="inlineStr">
        <is>
          <t>Pending Review</t>
        </is>
      </c>
      <c r="Q1074" s="33" t="inlineStr">
        <is>
          <t>Confirmar SKU/PCBA revision, PN exacto en Common DB, WO, BU, vigencia, planta y aprobacion firmada.</t>
        </is>
      </c>
    </row>
    <row r="1075">
      <c r="A1075" s="43" t="inlineStr">
        <is>
          <t>CTANJZ05214</t>
        </is>
      </c>
      <c r="B1075" s="43" t="inlineStr">
        <is>
          <t>D610907</t>
        </is>
      </c>
      <c r="C1075" s="43" t="inlineStr">
        <is>
          <t>035-CVEBU</t>
        </is>
      </c>
      <c r="D1075" s="43" t="inlineStr">
        <is>
          <t>FJZP</t>
        </is>
      </c>
      <c r="E1075" s="43" t="inlineStr">
        <is>
          <t>MCGA</t>
        </is>
      </c>
      <c r="F1075" s="43" t="inlineStr">
        <is>
          <t>800-113253-01</t>
        </is>
      </c>
      <c r="G1075" s="43" t="inlineStr">
        <is>
          <t>OTHER_SCOPE_ITEM</t>
        </is>
      </c>
      <c r="H1075" s="43" t="inlineStr"/>
      <c r="I1075" s="43" t="inlineStr">
        <is>
          <t>Expired</t>
        </is>
      </c>
      <c r="J1075" s="32" t="n">
        <v>46218</v>
      </c>
      <c r="K1075" s="32" t="n">
        <v>46147</v>
      </c>
      <c r="L1075" s="43" t="inlineStr">
        <is>
          <t>1799</t>
        </is>
      </c>
      <c r="M1075" s="43" t="n">
        <v>1</v>
      </c>
      <c r="N1075" s="33" t="inlineStr"/>
      <c r="O1075" s="43" t="inlineStr">
        <is>
          <t>UNVERIFIED</t>
        </is>
      </c>
      <c r="P1075" s="43" t="inlineStr">
        <is>
          <t>Pending Review</t>
        </is>
      </c>
      <c r="Q1075" s="33" t="inlineStr">
        <is>
          <t>Confirmar SKU/PCBA revision, PN exacto en Common DB, WO, BU, vigencia, planta y aprobacion firmada.</t>
        </is>
      </c>
    </row>
    <row r="1076">
      <c r="A1076" s="43" t="inlineStr">
        <is>
          <t>CTANJZ05214</t>
        </is>
      </c>
      <c r="B1076" s="43" t="inlineStr">
        <is>
          <t>D610907</t>
        </is>
      </c>
      <c r="C1076" s="43" t="inlineStr">
        <is>
          <t>035-CVEBU</t>
        </is>
      </c>
      <c r="D1076" s="43" t="inlineStr">
        <is>
          <t>FJZP</t>
        </is>
      </c>
      <c r="E1076" s="43" t="inlineStr">
        <is>
          <t>MCGA</t>
        </is>
      </c>
      <c r="F1076" s="43" t="inlineStr">
        <is>
          <t>800-113255-01</t>
        </is>
      </c>
      <c r="G1076" s="43" t="inlineStr">
        <is>
          <t>OTHER_SCOPE_ITEM</t>
        </is>
      </c>
      <c r="H1076" s="43" t="inlineStr"/>
      <c r="I1076" s="43" t="inlineStr">
        <is>
          <t>Expired</t>
        </is>
      </c>
      <c r="J1076" s="32" t="n">
        <v>46218</v>
      </c>
      <c r="K1076" s="32" t="n">
        <v>46147</v>
      </c>
      <c r="L1076" s="43" t="inlineStr">
        <is>
          <t>1828</t>
        </is>
      </c>
      <c r="M1076" s="43" t="n">
        <v>1</v>
      </c>
      <c r="N1076" s="33" t="inlineStr"/>
      <c r="O1076" s="43" t="inlineStr">
        <is>
          <t>UNVERIFIED</t>
        </is>
      </c>
      <c r="P1076" s="43" t="inlineStr">
        <is>
          <t>Pending Review</t>
        </is>
      </c>
      <c r="Q1076" s="33" t="inlineStr">
        <is>
          <t>Confirmar SKU/PCBA revision, PN exacto en Common DB, WO, BU, vigencia, planta y aprobacion firmada.</t>
        </is>
      </c>
    </row>
    <row r="1077">
      <c r="A1077" s="43" t="inlineStr">
        <is>
          <t>CTANJZ05215</t>
        </is>
      </c>
      <c r="B1077" s="43" t="inlineStr">
        <is>
          <t>D610740</t>
        </is>
      </c>
      <c r="C1077" s="43" t="inlineStr">
        <is>
          <t>037-STBU</t>
        </is>
      </c>
      <c r="D1077" s="43" t="inlineStr">
        <is>
          <t>FJZP</t>
        </is>
      </c>
      <c r="E1077" s="43" t="inlineStr">
        <is>
          <t>MCGA</t>
        </is>
      </c>
      <c r="F1077" s="43" t="inlineStr">
        <is>
          <t>15-107676-01</t>
        </is>
      </c>
      <c r="G1077" s="43" t="inlineStr">
        <is>
          <t>OTHER_SCOPE_ITEM</t>
        </is>
      </c>
      <c r="H1077" s="43" t="inlineStr"/>
      <c r="I1077" s="43" t="inlineStr">
        <is>
          <t>Expired</t>
        </is>
      </c>
      <c r="J1077" s="32" t="n">
        <v>46222</v>
      </c>
      <c r="K1077" s="32" t="n">
        <v>46161</v>
      </c>
      <c r="L1077" s="43" t="inlineStr">
        <is>
          <t>1107</t>
        </is>
      </c>
      <c r="M1077" s="43" t="n">
        <v>1</v>
      </c>
      <c r="N1077" s="33" t="inlineStr"/>
      <c r="O1077" s="43" t="inlineStr">
        <is>
          <t>UNVERIFIED</t>
        </is>
      </c>
      <c r="P1077" s="43" t="inlineStr">
        <is>
          <t>Pending Review</t>
        </is>
      </c>
      <c r="Q1077" s="33" t="inlineStr">
        <is>
          <t>Confirmar SKU/PCBA revision, PN exacto en Common DB, WO, BU, vigencia, planta y aprobacion firmada.</t>
        </is>
      </c>
    </row>
    <row r="1078">
      <c r="A1078" s="43" t="inlineStr">
        <is>
          <t>CTANJZ05215</t>
        </is>
      </c>
      <c r="B1078" s="43" t="inlineStr">
        <is>
          <t>D610740</t>
        </is>
      </c>
      <c r="C1078" s="43" t="inlineStr">
        <is>
          <t>037-STBU</t>
        </is>
      </c>
      <c r="D1078" s="43" t="inlineStr">
        <is>
          <t>FJZP</t>
        </is>
      </c>
      <c r="E1078" s="43" t="inlineStr">
        <is>
          <t>MCGA</t>
        </is>
      </c>
      <c r="F1078" s="43" t="inlineStr">
        <is>
          <t>15-109516-01</t>
        </is>
      </c>
      <c r="G1078" s="43" t="inlineStr">
        <is>
          <t>OTHER_SCOPE_ITEM</t>
        </is>
      </c>
      <c r="H1078" s="43" t="inlineStr"/>
      <c r="I1078" s="43" t="inlineStr">
        <is>
          <t>Expired</t>
        </is>
      </c>
      <c r="J1078" s="32" t="n">
        <v>46222</v>
      </c>
      <c r="K1078" s="32" t="n">
        <v>46161</v>
      </c>
      <c r="L1078" s="43" t="inlineStr">
        <is>
          <t>1367</t>
        </is>
      </c>
      <c r="M1078" s="43" t="n">
        <v>1</v>
      </c>
      <c r="N1078" s="33" t="inlineStr"/>
      <c r="O1078" s="43" t="inlineStr">
        <is>
          <t>UNVERIFIED</t>
        </is>
      </c>
      <c r="P1078" s="43" t="inlineStr">
        <is>
          <t>Pending Review</t>
        </is>
      </c>
      <c r="Q1078" s="33" t="inlineStr">
        <is>
          <t>Confirmar SKU/PCBA revision, PN exacto en Common DB, WO, BU, vigencia, planta y aprobacion firmada.</t>
        </is>
      </c>
    </row>
    <row r="1079">
      <c r="A1079" s="43" t="inlineStr">
        <is>
          <t>CTANJZ05215</t>
        </is>
      </c>
      <c r="B1079" s="43" t="inlineStr">
        <is>
          <t>D610740</t>
        </is>
      </c>
      <c r="C1079" s="43" t="inlineStr">
        <is>
          <t>037-STBU</t>
        </is>
      </c>
      <c r="D1079" s="43" t="inlineStr">
        <is>
          <t>FJZP</t>
        </is>
      </c>
      <c r="E1079" s="43" t="inlineStr">
        <is>
          <t>MCGA</t>
        </is>
      </c>
      <c r="F1079" s="43" t="inlineStr">
        <is>
          <t>68-103465-06</t>
        </is>
      </c>
      <c r="G1079" s="43" t="inlineStr">
        <is>
          <t>OTHER_SCOPE_ITEM</t>
        </is>
      </c>
      <c r="H1079" s="43" t="inlineStr"/>
      <c r="I1079" s="43" t="inlineStr">
        <is>
          <t>Expired</t>
        </is>
      </c>
      <c r="J1079" s="32" t="n">
        <v>46222</v>
      </c>
      <c r="K1079" s="32" t="n">
        <v>46161</v>
      </c>
      <c r="L1079" s="43" t="inlineStr">
        <is>
          <t>1368</t>
        </is>
      </c>
      <c r="M1079" s="43" t="n">
        <v>1</v>
      </c>
      <c r="N1079" s="33" t="inlineStr"/>
      <c r="O1079" s="43" t="inlineStr">
        <is>
          <t>UNVERIFIED</t>
        </is>
      </c>
      <c r="P1079" s="43" t="inlineStr">
        <is>
          <t>Pending Review</t>
        </is>
      </c>
      <c r="Q1079" s="33" t="inlineStr">
        <is>
          <t>Confirmar SKU/PCBA revision, PN exacto en Common DB, WO, BU, vigencia, planta y aprobacion firmada.</t>
        </is>
      </c>
    </row>
    <row r="1080">
      <c r="A1080" s="43" t="inlineStr">
        <is>
          <t>CTANJZ05215</t>
        </is>
      </c>
      <c r="B1080" s="43" t="inlineStr">
        <is>
          <t>D610740</t>
        </is>
      </c>
      <c r="C1080" s="43" t="inlineStr">
        <is>
          <t>037-STBU</t>
        </is>
      </c>
      <c r="D1080" s="43" t="inlineStr">
        <is>
          <t>FJZP</t>
        </is>
      </c>
      <c r="E1080" s="43" t="inlineStr">
        <is>
          <t>MCGA</t>
        </is>
      </c>
      <c r="F1080" s="43" t="inlineStr">
        <is>
          <t>68-103466-06</t>
        </is>
      </c>
      <c r="G1080" s="43" t="inlineStr">
        <is>
          <t>OTHER_SCOPE_ITEM</t>
        </is>
      </c>
      <c r="H1080" s="43" t="inlineStr"/>
      <c r="I1080" s="43" t="inlineStr">
        <is>
          <t>Expired</t>
        </is>
      </c>
      <c r="J1080" s="32" t="n">
        <v>46222</v>
      </c>
      <c r="K1080" s="32" t="n">
        <v>46161</v>
      </c>
      <c r="L1080" s="43" t="inlineStr">
        <is>
          <t>1369</t>
        </is>
      </c>
      <c r="M1080" s="43" t="n">
        <v>1</v>
      </c>
      <c r="N1080" s="33" t="inlineStr"/>
      <c r="O1080" s="43" t="inlineStr">
        <is>
          <t>UNVERIFIED</t>
        </is>
      </c>
      <c r="P1080" s="43" t="inlineStr">
        <is>
          <t>Pending Review</t>
        </is>
      </c>
      <c r="Q1080" s="33" t="inlineStr">
        <is>
          <t>Confirmar SKU/PCBA revision, PN exacto en Common DB, WO, BU, vigencia, planta y aprobacion firmada.</t>
        </is>
      </c>
    </row>
    <row r="1081">
      <c r="A1081" s="43" t="inlineStr">
        <is>
          <t>CTANJZ05215</t>
        </is>
      </c>
      <c r="B1081" s="43" t="inlineStr">
        <is>
          <t>D610740</t>
        </is>
      </c>
      <c r="C1081" s="43" t="inlineStr">
        <is>
          <t>037-STBU</t>
        </is>
      </c>
      <c r="D1081" s="43" t="inlineStr">
        <is>
          <t>FJZP</t>
        </is>
      </c>
      <c r="E1081" s="43" t="inlineStr">
        <is>
          <t>MCGA</t>
        </is>
      </c>
      <c r="F1081" s="43" t="inlineStr">
        <is>
          <t>68-7254-05</t>
        </is>
      </c>
      <c r="G1081" s="43" t="inlineStr">
        <is>
          <t>OTHER_SCOPE_ITEM</t>
        </is>
      </c>
      <c r="H1081" s="43" t="inlineStr"/>
      <c r="I1081" s="43" t="inlineStr">
        <is>
          <t>Expired</t>
        </is>
      </c>
      <c r="J1081" s="32" t="n">
        <v>46222</v>
      </c>
      <c r="K1081" s="32" t="n">
        <v>46161</v>
      </c>
      <c r="L1081" s="43" t="inlineStr">
        <is>
          <t>1370</t>
        </is>
      </c>
      <c r="M1081" s="43" t="n">
        <v>1</v>
      </c>
      <c r="N1081" s="33" t="inlineStr"/>
      <c r="O1081" s="43" t="inlineStr">
        <is>
          <t>UNVERIFIED</t>
        </is>
      </c>
      <c r="P1081" s="43" t="inlineStr">
        <is>
          <t>Pending Review</t>
        </is>
      </c>
      <c r="Q1081" s="33" t="inlineStr">
        <is>
          <t>Confirmar SKU/PCBA revision, PN exacto en Common DB, WO, BU, vigencia, planta y aprobacion firmada.</t>
        </is>
      </c>
    </row>
    <row r="1082">
      <c r="A1082" s="43" t="inlineStr">
        <is>
          <t>CTANJZ05215</t>
        </is>
      </c>
      <c r="B1082" s="43" t="inlineStr">
        <is>
          <t>D610740</t>
        </is>
      </c>
      <c r="C1082" s="43" t="inlineStr">
        <is>
          <t>037-STBU</t>
        </is>
      </c>
      <c r="D1082" s="43" t="inlineStr">
        <is>
          <t>FJZP</t>
        </is>
      </c>
      <c r="E1082" s="43" t="inlineStr">
        <is>
          <t>MCGA</t>
        </is>
      </c>
      <c r="F1082" s="43" t="inlineStr">
        <is>
          <t>68-7256-05</t>
        </is>
      </c>
      <c r="G1082" s="43" t="inlineStr">
        <is>
          <t>OTHER_SCOPE_ITEM</t>
        </is>
      </c>
      <c r="H1082" s="43" t="inlineStr"/>
      <c r="I1082" s="43" t="inlineStr">
        <is>
          <t>Expired</t>
        </is>
      </c>
      <c r="J1082" s="32" t="n">
        <v>46222</v>
      </c>
      <c r="K1082" s="32" t="n">
        <v>46161</v>
      </c>
      <c r="L1082" s="43" t="inlineStr">
        <is>
          <t>1371</t>
        </is>
      </c>
      <c r="M1082" s="43" t="n">
        <v>1</v>
      </c>
      <c r="N1082" s="33" t="inlineStr"/>
      <c r="O1082" s="43" t="inlineStr">
        <is>
          <t>UNVERIFIED</t>
        </is>
      </c>
      <c r="P1082" s="43" t="inlineStr">
        <is>
          <t>Pending Review</t>
        </is>
      </c>
      <c r="Q1082" s="33" t="inlineStr">
        <is>
          <t>Confirmar SKU/PCBA revision, PN exacto en Common DB, WO, BU, vigencia, planta y aprobacion firmada.</t>
        </is>
      </c>
    </row>
    <row r="1083">
      <c r="A1083" s="43" t="inlineStr">
        <is>
          <t>CTANJZ05218</t>
        </is>
      </c>
      <c r="B1083" s="43" t="inlineStr">
        <is>
          <t>D610760</t>
        </is>
      </c>
      <c r="C1083" s="43" t="inlineStr">
        <is>
          <t>037-STBU</t>
        </is>
      </c>
      <c r="D1083" s="43" t="inlineStr">
        <is>
          <t>FJZP</t>
        </is>
      </c>
      <c r="E1083" s="43" t="inlineStr">
        <is>
          <t>MCGA</t>
        </is>
      </c>
      <c r="F1083" s="43" t="inlineStr">
        <is>
          <t>73-17499-07</t>
        </is>
      </c>
      <c r="G1083" s="43" t="inlineStr">
        <is>
          <t>BOARD_PN_CANDIDATE</t>
        </is>
      </c>
      <c r="H1083" s="43" t="inlineStr"/>
      <c r="I1083" s="43" t="inlineStr">
        <is>
          <t>Expired</t>
        </is>
      </c>
      <c r="J1083" s="32" t="n">
        <v>46223</v>
      </c>
      <c r="K1083" s="32" t="n">
        <v>46163</v>
      </c>
      <c r="L1083" s="43" t="inlineStr">
        <is>
          <t>1104</t>
        </is>
      </c>
      <c r="M1083" s="43" t="n">
        <v>1</v>
      </c>
      <c r="N1083" s="33" t="inlineStr"/>
      <c r="O1083" s="43" t="inlineStr">
        <is>
          <t>UNVERIFIED</t>
        </is>
      </c>
      <c r="P1083" s="43" t="inlineStr">
        <is>
          <t>Pending Review</t>
        </is>
      </c>
      <c r="Q1083" s="33" t="inlineStr">
        <is>
          <t>Confirmar SKU/PCBA revision, PN exacto en Common DB, WO, BU, vigencia, planta y aprobacion firmada.</t>
        </is>
      </c>
    </row>
    <row r="1084">
      <c r="A1084" s="43" t="inlineStr">
        <is>
          <t>CTANJZ05218</t>
        </is>
      </c>
      <c r="B1084" s="43" t="inlineStr">
        <is>
          <t>D610760</t>
        </is>
      </c>
      <c r="C1084" s="43" t="inlineStr">
        <is>
          <t>037-STBU</t>
        </is>
      </c>
      <c r="D1084" s="43" t="inlineStr">
        <is>
          <t>FJZP</t>
        </is>
      </c>
      <c r="E1084" s="43" t="inlineStr">
        <is>
          <t>MCGA</t>
        </is>
      </c>
      <c r="F1084" s="43" t="inlineStr">
        <is>
          <t>800-105498-03</t>
        </is>
      </c>
      <c r="G1084" s="43" t="inlineStr">
        <is>
          <t>OTHER_SCOPE_ITEM</t>
        </is>
      </c>
      <c r="H1084" s="43" t="inlineStr"/>
      <c r="I1084" s="43" t="inlineStr">
        <is>
          <t>Expired</t>
        </is>
      </c>
      <c r="J1084" s="32" t="n">
        <v>46223</v>
      </c>
      <c r="K1084" s="32" t="n">
        <v>46163</v>
      </c>
      <c r="L1084" s="43" t="inlineStr">
        <is>
          <t>1105</t>
        </is>
      </c>
      <c r="M1084" s="43" t="n">
        <v>1</v>
      </c>
      <c r="N1084" s="33" t="inlineStr"/>
      <c r="O1084" s="43" t="inlineStr">
        <is>
          <t>UNVERIFIED</t>
        </is>
      </c>
      <c r="P1084" s="43" t="inlineStr">
        <is>
          <t>Pending Review</t>
        </is>
      </c>
      <c r="Q1084" s="33" t="inlineStr">
        <is>
          <t>Confirmar SKU/PCBA revision, PN exacto en Common DB, WO, BU, vigencia, planta y aprobacion firmada.</t>
        </is>
      </c>
    </row>
    <row r="1085">
      <c r="A1085" s="43" t="inlineStr">
        <is>
          <t>CTANJZ05218</t>
        </is>
      </c>
      <c r="B1085" s="43" t="inlineStr">
        <is>
          <t>D610760</t>
        </is>
      </c>
      <c r="C1085" s="43" t="inlineStr">
        <is>
          <t>037-STBU</t>
        </is>
      </c>
      <c r="D1085" s="43" t="inlineStr">
        <is>
          <t>FJZP</t>
        </is>
      </c>
      <c r="E1085" s="43" t="inlineStr">
        <is>
          <t>MCGA</t>
        </is>
      </c>
      <c r="F1085" s="43" t="inlineStr">
        <is>
          <t>800-106633-03</t>
        </is>
      </c>
      <c r="G1085" s="43" t="inlineStr">
        <is>
          <t>OTHER_SCOPE_ITEM</t>
        </is>
      </c>
      <c r="H1085" s="43" t="inlineStr"/>
      <c r="I1085" s="43" t="inlineStr">
        <is>
          <t>Expired</t>
        </is>
      </c>
      <c r="J1085" s="32" t="n">
        <v>46223</v>
      </c>
      <c r="K1085" s="32" t="n">
        <v>46163</v>
      </c>
      <c r="L1085" s="43" t="inlineStr">
        <is>
          <t>1106</t>
        </is>
      </c>
      <c r="M1085" s="43" t="n">
        <v>1</v>
      </c>
      <c r="N1085" s="33" t="inlineStr"/>
      <c r="O1085" s="43" t="inlineStr">
        <is>
          <t>UNVERIFIED</t>
        </is>
      </c>
      <c r="P1085" s="43" t="inlineStr">
        <is>
          <t>Pending Review</t>
        </is>
      </c>
      <c r="Q1085" s="33" t="inlineStr">
        <is>
          <t>Confirmar SKU/PCBA revision, PN exacto en Common DB, WO, BU, vigencia, planta y aprobacion firmada.</t>
        </is>
      </c>
    </row>
    <row r="1086">
      <c r="A1086" s="43" t="inlineStr">
        <is>
          <t>CTANJZ05219</t>
        </is>
      </c>
      <c r="B1086" s="43" t="inlineStr">
        <is>
          <t>D610973</t>
        </is>
      </c>
      <c r="C1086" s="43" t="inlineStr">
        <is>
          <t>035-CVEBU</t>
        </is>
      </c>
      <c r="D1086" s="43" t="inlineStr">
        <is>
          <t>FJZP</t>
        </is>
      </c>
      <c r="E1086" s="43" t="inlineStr">
        <is>
          <t>MCGA</t>
        </is>
      </c>
      <c r="F1086" s="43" t="inlineStr">
        <is>
          <t>28-103367-06</t>
        </is>
      </c>
      <c r="G1086" s="43" t="inlineStr">
        <is>
          <t>BARE_PCB_PN_CANDIDATE</t>
        </is>
      </c>
      <c r="H1086" s="43" t="inlineStr"/>
      <c r="I1086" s="43" t="inlineStr">
        <is>
          <t>Expired</t>
        </is>
      </c>
      <c r="J1086" s="32" t="n">
        <v>46223</v>
      </c>
      <c r="K1086" s="32" t="n">
        <v>46147</v>
      </c>
      <c r="L1086" s="43" t="inlineStr">
        <is>
          <t>178</t>
        </is>
      </c>
      <c r="M1086" s="43" t="n">
        <v>1</v>
      </c>
      <c r="N1086" s="33" t="inlineStr"/>
      <c r="O1086" s="43" t="inlineStr">
        <is>
          <t>UNVERIFIED</t>
        </is>
      </c>
      <c r="P1086" s="43" t="inlineStr">
        <is>
          <t>Pending Review</t>
        </is>
      </c>
      <c r="Q1086" s="33" t="inlineStr">
        <is>
          <t>Confirmar SKU/PCBA revision, PN exacto en Common DB, WO, BU, vigencia, planta y aprobacion firmada.</t>
        </is>
      </c>
    </row>
    <row r="1087">
      <c r="A1087" s="43" t="inlineStr">
        <is>
          <t>CTANJZ05219</t>
        </is>
      </c>
      <c r="B1087" s="43" t="inlineStr">
        <is>
          <t>D610973</t>
        </is>
      </c>
      <c r="C1087" s="43" t="inlineStr">
        <is>
          <t>035-CVEBU</t>
        </is>
      </c>
      <c r="D1087" s="43" t="inlineStr">
        <is>
          <t>FJZP</t>
        </is>
      </c>
      <c r="E1087" s="43" t="inlineStr">
        <is>
          <t>MCGA</t>
        </is>
      </c>
      <c r="F1087" s="43" t="inlineStr">
        <is>
          <t>28-103453-04</t>
        </is>
      </c>
      <c r="G1087" s="43" t="inlineStr">
        <is>
          <t>BARE_PCB_PN_CANDIDATE</t>
        </is>
      </c>
      <c r="H1087" s="43" t="inlineStr"/>
      <c r="I1087" s="43" t="inlineStr">
        <is>
          <t>Expired</t>
        </is>
      </c>
      <c r="J1087" s="32" t="n">
        <v>46223</v>
      </c>
      <c r="K1087" s="32" t="n">
        <v>46147</v>
      </c>
      <c r="L1087" s="43" t="inlineStr">
        <is>
          <t>179</t>
        </is>
      </c>
      <c r="M1087" s="43" t="n">
        <v>1</v>
      </c>
      <c r="N1087" s="33" t="inlineStr"/>
      <c r="O1087" s="43" t="inlineStr">
        <is>
          <t>UNVERIFIED</t>
        </is>
      </c>
      <c r="P1087" s="43" t="inlineStr">
        <is>
          <t>Pending Review</t>
        </is>
      </c>
      <c r="Q1087" s="33" t="inlineStr">
        <is>
          <t>Confirmar SKU/PCBA revision, PN exacto en Common DB, WO, BU, vigencia, planta y aprobacion firmada.</t>
        </is>
      </c>
    </row>
    <row r="1088">
      <c r="A1088" s="43" t="inlineStr">
        <is>
          <t>CTANJZ05219</t>
        </is>
      </c>
      <c r="B1088" s="43" t="inlineStr">
        <is>
          <t>D610973</t>
        </is>
      </c>
      <c r="C1088" s="43" t="inlineStr">
        <is>
          <t>035-CVEBU</t>
        </is>
      </c>
      <c r="D1088" s="43" t="inlineStr">
        <is>
          <t>FJZP</t>
        </is>
      </c>
      <c r="E1088" s="43" t="inlineStr">
        <is>
          <t>MCGA</t>
        </is>
      </c>
      <c r="F1088" s="43" t="inlineStr">
        <is>
          <t>73-103698-06</t>
        </is>
      </c>
      <c r="G1088" s="43" t="inlineStr">
        <is>
          <t>BOARD_PN_CANDIDATE</t>
        </is>
      </c>
      <c r="H1088" s="43" t="inlineStr"/>
      <c r="I1088" s="43" t="inlineStr">
        <is>
          <t>Expired</t>
        </is>
      </c>
      <c r="J1088" s="32" t="n">
        <v>46223</v>
      </c>
      <c r="K1088" s="32" t="n">
        <v>46147</v>
      </c>
      <c r="L1088" s="43" t="inlineStr">
        <is>
          <t>180</t>
        </is>
      </c>
      <c r="M1088" s="43" t="n">
        <v>1</v>
      </c>
      <c r="N1088" s="33" t="inlineStr"/>
      <c r="O1088" s="43" t="inlineStr">
        <is>
          <t>UNVERIFIED</t>
        </is>
      </c>
      <c r="P1088" s="43" t="inlineStr">
        <is>
          <t>Pending Review</t>
        </is>
      </c>
      <c r="Q1088" s="33" t="inlineStr">
        <is>
          <t>Confirmar SKU/PCBA revision, PN exacto en Common DB, WO, BU, vigencia, planta y aprobacion firmada.</t>
        </is>
      </c>
    </row>
    <row r="1089">
      <c r="A1089" s="43" t="inlineStr">
        <is>
          <t>CTANJZ05219</t>
        </is>
      </c>
      <c r="B1089" s="43" t="inlineStr">
        <is>
          <t>D610973</t>
        </is>
      </c>
      <c r="C1089" s="43" t="inlineStr">
        <is>
          <t>035-CVEBU</t>
        </is>
      </c>
      <c r="D1089" s="43" t="inlineStr">
        <is>
          <t>FJZP</t>
        </is>
      </c>
      <c r="E1089" s="43" t="inlineStr">
        <is>
          <t>MCGA</t>
        </is>
      </c>
      <c r="F1089" s="43" t="inlineStr">
        <is>
          <t>73-103758-04</t>
        </is>
      </c>
      <c r="G1089" s="43" t="inlineStr">
        <is>
          <t>BOARD_PN_CANDIDATE</t>
        </is>
      </c>
      <c r="H1089" s="43" t="inlineStr"/>
      <c r="I1089" s="43" t="inlineStr">
        <is>
          <t>Expired</t>
        </is>
      </c>
      <c r="J1089" s="32" t="n">
        <v>46223</v>
      </c>
      <c r="K1089" s="32" t="n">
        <v>46147</v>
      </c>
      <c r="L1089" s="43" t="inlineStr">
        <is>
          <t>181</t>
        </is>
      </c>
      <c r="M1089" s="43" t="n">
        <v>1</v>
      </c>
      <c r="N1089" s="33" t="inlineStr"/>
      <c r="O1089" s="43" t="inlineStr">
        <is>
          <t>UNVERIFIED</t>
        </is>
      </c>
      <c r="P1089" s="43" t="inlineStr">
        <is>
          <t>Pending Review</t>
        </is>
      </c>
      <c r="Q1089" s="33" t="inlineStr">
        <is>
          <t>Confirmar SKU/PCBA revision, PN exacto en Common DB, WO, BU, vigencia, planta y aprobacion firmada.</t>
        </is>
      </c>
    </row>
    <row r="1090">
      <c r="A1090" s="43" t="inlineStr">
        <is>
          <t>CTANJZ05219</t>
        </is>
      </c>
      <c r="B1090" s="43" t="inlineStr">
        <is>
          <t>D610973</t>
        </is>
      </c>
      <c r="C1090" s="43" t="inlineStr">
        <is>
          <t>035-CVEBU</t>
        </is>
      </c>
      <c r="D1090" s="43" t="inlineStr">
        <is>
          <t>FJZP</t>
        </is>
      </c>
      <c r="E1090" s="43" t="inlineStr">
        <is>
          <t>MCGA</t>
        </is>
      </c>
      <c r="F1090" s="43" t="inlineStr">
        <is>
          <t>800-113103-01</t>
        </is>
      </c>
      <c r="G1090" s="43" t="inlineStr">
        <is>
          <t>OTHER_SCOPE_ITEM</t>
        </is>
      </c>
      <c r="H1090" s="43" t="inlineStr"/>
      <c r="I1090" s="43" t="inlineStr">
        <is>
          <t>Expired</t>
        </is>
      </c>
      <c r="J1090" s="32" t="n">
        <v>46223</v>
      </c>
      <c r="K1090" s="32" t="n">
        <v>46147</v>
      </c>
      <c r="L1090" s="43" t="inlineStr">
        <is>
          <t>182</t>
        </is>
      </c>
      <c r="M1090" s="43" t="n">
        <v>1</v>
      </c>
      <c r="N1090" s="33" t="inlineStr"/>
      <c r="O1090" s="43" t="inlineStr">
        <is>
          <t>UNVERIFIED</t>
        </is>
      </c>
      <c r="P1090" s="43" t="inlineStr">
        <is>
          <t>Pending Review</t>
        </is>
      </c>
      <c r="Q1090" s="33" t="inlineStr">
        <is>
          <t>Confirmar SKU/PCBA revision, PN exacto en Common DB, WO, BU, vigencia, planta y aprobacion firmada.</t>
        </is>
      </c>
    </row>
    <row r="1091">
      <c r="A1091" s="43" t="inlineStr">
        <is>
          <t>CTANJZ05222</t>
        </is>
      </c>
      <c r="B1091" s="43" t="inlineStr">
        <is>
          <t>D610909</t>
        </is>
      </c>
      <c r="C1091" s="43" t="inlineStr">
        <is>
          <t>037-STBU</t>
        </is>
      </c>
      <c r="D1091" s="43" t="inlineStr">
        <is>
          <t>FJZP</t>
        </is>
      </c>
      <c r="E1091" s="43" t="inlineStr">
        <is>
          <t>MCGA</t>
        </is>
      </c>
      <c r="F1091" s="43" t="inlineStr">
        <is>
          <t>800-109483-01</t>
        </is>
      </c>
      <c r="G1091" s="43" t="inlineStr">
        <is>
          <t>OTHER_SCOPE_ITEM</t>
        </is>
      </c>
      <c r="H1091" s="43" t="inlineStr"/>
      <c r="I1091" s="43" t="inlineStr">
        <is>
          <t>Expired</t>
        </is>
      </c>
      <c r="J1091" s="32" t="n">
        <v>46224</v>
      </c>
      <c r="K1091" s="32" t="n">
        <v>46165</v>
      </c>
      <c r="L1091" s="43" t="inlineStr">
        <is>
          <t>1648</t>
        </is>
      </c>
      <c r="M1091" s="43" t="n">
        <v>1</v>
      </c>
      <c r="N1091" s="33" t="inlineStr"/>
      <c r="O1091" s="43" t="inlineStr">
        <is>
          <t>UNVERIFIED</t>
        </is>
      </c>
      <c r="P1091" s="43" t="inlineStr">
        <is>
          <t>Pending Review</t>
        </is>
      </c>
      <c r="Q1091" s="33" t="inlineStr">
        <is>
          <t>Confirmar SKU/PCBA revision, PN exacto en Common DB, WO, BU, vigencia, planta y aprobacion firmada.</t>
        </is>
      </c>
    </row>
    <row r="1092">
      <c r="A1092" s="43" t="inlineStr">
        <is>
          <t>CTANJZ05225</t>
        </is>
      </c>
      <c r="B1092" s="43" t="inlineStr">
        <is>
          <t>DP526083</t>
        </is>
      </c>
      <c r="C1092" s="43" t="inlineStr">
        <is>
          <t>018-SRGBU</t>
        </is>
      </c>
      <c r="D1092" s="43" t="inlineStr">
        <is>
          <t>FJZP</t>
        </is>
      </c>
      <c r="E1092" s="43" t="inlineStr">
        <is>
          <t>MCGA</t>
        </is>
      </c>
      <c r="F1092" s="43" t="inlineStr">
        <is>
          <t>74-141119-01</t>
        </is>
      </c>
      <c r="G1092" s="43" t="inlineStr">
        <is>
          <t>OTHER_SCOPE_ITEM</t>
        </is>
      </c>
      <c r="H1092" s="43" t="inlineStr"/>
      <c r="I1092" s="43" t="inlineStr">
        <is>
          <t>Expired</t>
        </is>
      </c>
      <c r="J1092" s="32" t="n">
        <v>46196</v>
      </c>
      <c r="K1092" s="32" t="n">
        <v>46158</v>
      </c>
      <c r="L1092" s="43" t="inlineStr">
        <is>
          <t>527</t>
        </is>
      </c>
      <c r="M1092" s="43" t="n">
        <v>1</v>
      </c>
      <c r="N1092" s="33" t="inlineStr"/>
      <c r="O1092" s="43" t="inlineStr">
        <is>
          <t>UNVERIFIED</t>
        </is>
      </c>
      <c r="P1092" s="43" t="inlineStr">
        <is>
          <t>Pending Review</t>
        </is>
      </c>
      <c r="Q1092" s="33" t="inlineStr">
        <is>
          <t>Confirmar SKU/PCBA revision, PN exacto en Common DB, WO, BU, vigencia, planta y aprobacion firmada.</t>
        </is>
      </c>
    </row>
    <row r="1093">
      <c r="A1093" s="43" t="inlineStr">
        <is>
          <t>CTANJZ05229</t>
        </is>
      </c>
      <c r="B1093" s="43" t="inlineStr">
        <is>
          <t>D611135</t>
        </is>
      </c>
      <c r="C1093" s="43" t="inlineStr">
        <is>
          <t>037-STBU</t>
        </is>
      </c>
      <c r="D1093" s="43" t="inlineStr">
        <is>
          <t>FJZP</t>
        </is>
      </c>
      <c r="E1093" s="43" t="inlineStr">
        <is>
          <t>MCGA</t>
        </is>
      </c>
      <c r="F1093" s="43" t="inlineStr">
        <is>
          <t>53-101728-01</t>
        </is>
      </c>
      <c r="G1093" s="43" t="inlineStr">
        <is>
          <t>OTHER_SCOPE_ITEM</t>
        </is>
      </c>
      <c r="H1093" s="43" t="inlineStr"/>
      <c r="I1093" s="43" t="inlineStr">
        <is>
          <t>Expired</t>
        </is>
      </c>
      <c r="J1093" s="32" t="n">
        <v>46232</v>
      </c>
      <c r="K1093" s="32" t="n">
        <v>46165</v>
      </c>
      <c r="L1093" s="43" t="inlineStr">
        <is>
          <t>1183</t>
        </is>
      </c>
      <c r="M1093" s="43" t="n">
        <v>1</v>
      </c>
      <c r="N1093" s="33" t="inlineStr"/>
      <c r="O1093" s="43" t="inlineStr">
        <is>
          <t>UNVERIFIED</t>
        </is>
      </c>
      <c r="P1093" s="43" t="inlineStr">
        <is>
          <t>Pending Review</t>
        </is>
      </c>
      <c r="Q1093" s="33" t="inlineStr">
        <is>
          <t>Confirmar SKU/PCBA revision, PN exacto en Common DB, WO, BU, vigencia, planta y aprobacion firmada.</t>
        </is>
      </c>
    </row>
    <row r="1094">
      <c r="A1094" s="43" t="inlineStr">
        <is>
          <t>CTANJZ05230</t>
        </is>
      </c>
      <c r="B1094" s="43" t="inlineStr">
        <is>
          <t>D611061</t>
        </is>
      </c>
      <c r="C1094" s="43" t="inlineStr">
        <is>
          <t>018-SRGBU</t>
        </is>
      </c>
      <c r="D1094" s="43" t="inlineStr">
        <is>
          <t>FJZP</t>
        </is>
      </c>
      <c r="E1094" s="43" t="inlineStr">
        <is>
          <t>MCGA</t>
        </is>
      </c>
      <c r="F1094" s="43" t="inlineStr">
        <is>
          <t>68-7799-04</t>
        </is>
      </c>
      <c r="G1094" s="43" t="inlineStr">
        <is>
          <t>OTHER_SCOPE_ITEM</t>
        </is>
      </c>
      <c r="H1094" s="43" t="inlineStr"/>
      <c r="I1094" s="43" t="inlineStr">
        <is>
          <t>Expired</t>
        </is>
      </c>
      <c r="J1094" s="32" t="n">
        <v>46234</v>
      </c>
      <c r="K1094" s="32" t="n">
        <v>46158</v>
      </c>
      <c r="L1094" s="43" t="inlineStr">
        <is>
          <t>1184</t>
        </is>
      </c>
      <c r="M1094" s="43" t="n">
        <v>1</v>
      </c>
      <c r="N1094" s="33" t="inlineStr"/>
      <c r="O1094" s="43" t="inlineStr">
        <is>
          <t>UNVERIFIED</t>
        </is>
      </c>
      <c r="P1094" s="43" t="inlineStr">
        <is>
          <t>Pending Review</t>
        </is>
      </c>
      <c r="Q1094" s="33" t="inlineStr">
        <is>
          <t>Confirmar SKU/PCBA revision, PN exacto en Common DB, WO, BU, vigencia, planta y aprobacion firmada.</t>
        </is>
      </c>
    </row>
    <row r="1095">
      <c r="A1095" s="43" t="inlineStr">
        <is>
          <t>CTANJZ05233</t>
        </is>
      </c>
      <c r="B1095" s="43" t="inlineStr">
        <is>
          <t>D611098</t>
        </is>
      </c>
      <c r="C1095" s="43" t="inlineStr">
        <is>
          <t>037-STBU</t>
        </is>
      </c>
      <c r="D1095" s="43" t="inlineStr">
        <is>
          <t>FJZP</t>
        </is>
      </c>
      <c r="E1095" s="43" t="inlineStr">
        <is>
          <t>MCGA</t>
        </is>
      </c>
      <c r="F1095" s="43" t="inlineStr">
        <is>
          <t>29-100625-01</t>
        </is>
      </c>
      <c r="G1095" s="43" t="inlineStr">
        <is>
          <t>OTHER_SCOPE_ITEM</t>
        </is>
      </c>
      <c r="H1095" s="43" t="inlineStr"/>
      <c r="I1095" s="43" t="inlineStr">
        <is>
          <t>Expired</t>
        </is>
      </c>
      <c r="J1095" s="32" t="n">
        <v>46236</v>
      </c>
      <c r="K1095" s="32" t="n">
        <v>46171</v>
      </c>
      <c r="L1095" s="43" t="inlineStr">
        <is>
          <t>194,1473</t>
        </is>
      </c>
      <c r="M1095" s="43" t="n">
        <v>2</v>
      </c>
      <c r="N1095" s="33" t="inlineStr"/>
      <c r="O1095" s="43" t="inlineStr">
        <is>
          <t>UNVERIFIED</t>
        </is>
      </c>
      <c r="P1095" s="43" t="inlineStr">
        <is>
          <t>Pending Review</t>
        </is>
      </c>
      <c r="Q1095" s="33" t="inlineStr">
        <is>
          <t>Confirmar SKU/PCBA revision, PN exacto en Common DB, WO, BU, vigencia, planta y aprobacion firmada.</t>
        </is>
      </c>
    </row>
    <row r="1096">
      <c r="A1096" s="43" t="inlineStr">
        <is>
          <t>CTANJZ05233</t>
        </is>
      </c>
      <c r="B1096" s="43" t="inlineStr">
        <is>
          <t>D611098</t>
        </is>
      </c>
      <c r="C1096" s="43" t="inlineStr">
        <is>
          <t>037-STBU</t>
        </is>
      </c>
      <c r="D1096" s="43" t="inlineStr">
        <is>
          <t>FJZP</t>
        </is>
      </c>
      <c r="E1096" s="43" t="inlineStr">
        <is>
          <t>MCGA</t>
        </is>
      </c>
      <c r="F1096" s="43" t="inlineStr">
        <is>
          <t>73-20249-06</t>
        </is>
      </c>
      <c r="G1096" s="43" t="inlineStr">
        <is>
          <t>BOARD_PN_CANDIDATE</t>
        </is>
      </c>
      <c r="H1096" s="43" t="inlineStr">
        <is>
          <t>TUFNELL PARK</t>
        </is>
      </c>
      <c r="I1096" s="43" t="inlineStr">
        <is>
          <t>Expired</t>
        </is>
      </c>
      <c r="J1096" s="32" t="n">
        <v>46236</v>
      </c>
      <c r="K1096" s="32" t="n">
        <v>46171</v>
      </c>
      <c r="L1096" s="43" t="inlineStr">
        <is>
          <t>195,1474</t>
        </is>
      </c>
      <c r="M1096" s="43" t="n">
        <v>2</v>
      </c>
      <c r="N1096" s="33" t="inlineStr"/>
      <c r="O1096" s="43" t="inlineStr">
        <is>
          <t>UNVERIFIED</t>
        </is>
      </c>
      <c r="P1096" s="43" t="inlineStr">
        <is>
          <t>Pending Review</t>
        </is>
      </c>
      <c r="Q1096" s="33" t="inlineStr">
        <is>
          <t>Confirmar SKU/PCBA revision, PN exacto en Common DB, WO, BU, vigencia, planta y aprobacion firmada.</t>
        </is>
      </c>
    </row>
    <row r="1097">
      <c r="A1097" s="43" t="inlineStr">
        <is>
          <t>CTANJZ05234</t>
        </is>
      </c>
      <c r="B1097" s="43" t="inlineStr">
        <is>
          <t>D611192</t>
        </is>
      </c>
      <c r="C1097" s="43" t="inlineStr">
        <is>
          <t>035-CVEBU</t>
        </is>
      </c>
      <c r="D1097" s="43" t="inlineStr">
        <is>
          <t>FJZP</t>
        </is>
      </c>
      <c r="E1097" s="43" t="inlineStr">
        <is>
          <t>MCGA</t>
        </is>
      </c>
      <c r="F1097" s="43" t="inlineStr">
        <is>
          <t>15-110522-01</t>
        </is>
      </c>
      <c r="G1097" s="43" t="inlineStr">
        <is>
          <t>OTHER_SCOPE_ITEM</t>
        </is>
      </c>
      <c r="H1097" s="43" t="inlineStr"/>
      <c r="I1097" s="43" t="inlineStr">
        <is>
          <t>Expired</t>
        </is>
      </c>
      <c r="J1097" s="32" t="n">
        <v>46236</v>
      </c>
      <c r="K1097" s="32" t="n">
        <v>46157</v>
      </c>
      <c r="L1097" s="43" t="inlineStr">
        <is>
          <t>538</t>
        </is>
      </c>
      <c r="M1097" s="43" t="n">
        <v>1</v>
      </c>
      <c r="N1097" s="33" t="inlineStr"/>
      <c r="O1097" s="43" t="inlineStr">
        <is>
          <t>UNVERIFIED</t>
        </is>
      </c>
      <c r="P1097" s="43" t="inlineStr">
        <is>
          <t>Pending Review</t>
        </is>
      </c>
      <c r="Q1097" s="33" t="inlineStr">
        <is>
          <t>Confirmar SKU/PCBA revision, PN exacto en Common DB, WO, BU, vigencia, planta y aprobacion firmada.</t>
        </is>
      </c>
    </row>
    <row r="1098">
      <c r="A1098" s="43" t="inlineStr">
        <is>
          <t>CTANJZ05234</t>
        </is>
      </c>
      <c r="B1098" s="43" t="inlineStr">
        <is>
          <t>D611192</t>
        </is>
      </c>
      <c r="C1098" s="43" t="inlineStr">
        <is>
          <t>035-CVEBU</t>
        </is>
      </c>
      <c r="D1098" s="43" t="inlineStr">
        <is>
          <t>FJZP</t>
        </is>
      </c>
      <c r="E1098" s="43" t="inlineStr">
        <is>
          <t>MCGA</t>
        </is>
      </c>
      <c r="F1098" s="43" t="inlineStr">
        <is>
          <t>73-103720-04</t>
        </is>
      </c>
      <c r="G1098" s="43" t="inlineStr">
        <is>
          <t>BOARD_PN_CANDIDATE</t>
        </is>
      </c>
      <c r="H1098" s="43" t="inlineStr"/>
      <c r="I1098" s="43" t="inlineStr">
        <is>
          <t>Expired</t>
        </is>
      </c>
      <c r="J1098" s="32" t="n">
        <v>46236</v>
      </c>
      <c r="K1098" s="32" t="n">
        <v>46157</v>
      </c>
      <c r="L1098" s="43" t="inlineStr">
        <is>
          <t>539</t>
        </is>
      </c>
      <c r="M1098" s="43" t="n">
        <v>1</v>
      </c>
      <c r="N1098" s="33" t="inlineStr"/>
      <c r="O1098" s="43" t="inlineStr">
        <is>
          <t>UNVERIFIED</t>
        </is>
      </c>
      <c r="P1098" s="43" t="inlineStr">
        <is>
          <t>Pending Review</t>
        </is>
      </c>
      <c r="Q1098" s="33" t="inlineStr">
        <is>
          <t>Confirmar SKU/PCBA revision, PN exacto en Common DB, WO, BU, vigencia, planta y aprobacion firmada.</t>
        </is>
      </c>
    </row>
    <row r="1099">
      <c r="A1099" s="43" t="inlineStr">
        <is>
          <t>CTANJZ05234</t>
        </is>
      </c>
      <c r="B1099" s="43" t="inlineStr">
        <is>
          <t>D611192</t>
        </is>
      </c>
      <c r="C1099" s="43" t="inlineStr">
        <is>
          <t>035-CVEBU</t>
        </is>
      </c>
      <c r="D1099" s="43" t="inlineStr">
        <is>
          <t>FJZP</t>
        </is>
      </c>
      <c r="E1099" s="43" t="inlineStr">
        <is>
          <t>MCGA</t>
        </is>
      </c>
      <c r="F1099" s="43" t="inlineStr">
        <is>
          <t>73-103920-04</t>
        </is>
      </c>
      <c r="G1099" s="43" t="inlineStr">
        <is>
          <t>BOARD_PN_CANDIDATE</t>
        </is>
      </c>
      <c r="H1099" s="43" t="inlineStr"/>
      <c r="I1099" s="43" t="inlineStr">
        <is>
          <t>Expired</t>
        </is>
      </c>
      <c r="J1099" s="32" t="n">
        <v>46236</v>
      </c>
      <c r="K1099" s="32" t="n">
        <v>46157</v>
      </c>
      <c r="L1099" s="43" t="inlineStr">
        <is>
          <t>540</t>
        </is>
      </c>
      <c r="M1099" s="43" t="n">
        <v>1</v>
      </c>
      <c r="N1099" s="33" t="inlineStr"/>
      <c r="O1099" s="43" t="inlineStr">
        <is>
          <t>UNVERIFIED</t>
        </is>
      </c>
      <c r="P1099" s="43" t="inlineStr">
        <is>
          <t>Pending Review</t>
        </is>
      </c>
      <c r="Q1099" s="33" t="inlineStr">
        <is>
          <t>Confirmar SKU/PCBA revision, PN exacto en Common DB, WO, BU, vigencia, planta y aprobacion firmada.</t>
        </is>
      </c>
    </row>
    <row r="1100">
      <c r="A1100" s="43" t="inlineStr">
        <is>
          <t>CTANJZ05235</t>
        </is>
      </c>
      <c r="B1100" s="43" t="inlineStr">
        <is>
          <t>D610818</t>
        </is>
      </c>
      <c r="C1100" s="43" t="inlineStr">
        <is>
          <t>018-SRGBU</t>
        </is>
      </c>
      <c r="D1100" s="43" t="inlineStr">
        <is>
          <t>FJZP</t>
        </is>
      </c>
      <c r="E1100" s="43" t="inlineStr">
        <is>
          <t>MCGA</t>
        </is>
      </c>
      <c r="F1100" s="43" t="inlineStr">
        <is>
          <t>15-7230-01</t>
        </is>
      </c>
      <c r="G1100" s="43" t="inlineStr">
        <is>
          <t>OTHER_SCOPE_ITEM</t>
        </is>
      </c>
      <c r="H1100" s="43" t="inlineStr"/>
      <c r="I1100" s="43" t="inlineStr">
        <is>
          <t>Expired</t>
        </is>
      </c>
      <c r="J1100" s="32" t="n">
        <v>46239</v>
      </c>
      <c r="K1100" s="32" t="n">
        <v>46161</v>
      </c>
      <c r="L1100" s="43" t="inlineStr">
        <is>
          <t>96,319</t>
        </is>
      </c>
      <c r="M1100" s="43" t="n">
        <v>2</v>
      </c>
      <c r="N1100" s="33" t="inlineStr"/>
      <c r="O1100" s="43" t="inlineStr">
        <is>
          <t>UNVERIFIED</t>
        </is>
      </c>
      <c r="P1100" s="43" t="inlineStr">
        <is>
          <t>Pending Review</t>
        </is>
      </c>
      <c r="Q1100" s="33" t="inlineStr">
        <is>
          <t>Confirmar SKU/PCBA revision, PN exacto en Common DB, WO, BU, vigencia, planta y aprobacion firmada.</t>
        </is>
      </c>
    </row>
    <row r="1101">
      <c r="A1101" s="43" t="inlineStr">
        <is>
          <t>CTANJZ05235</t>
        </is>
      </c>
      <c r="B1101" s="43" t="inlineStr">
        <is>
          <t>D610818</t>
        </is>
      </c>
      <c r="C1101" s="43" t="inlineStr">
        <is>
          <t>018-SRGBU</t>
        </is>
      </c>
      <c r="D1101" s="43" t="inlineStr">
        <is>
          <t>FJZP</t>
        </is>
      </c>
      <c r="E1101" s="43" t="inlineStr">
        <is>
          <t>MCGA</t>
        </is>
      </c>
      <c r="F1101" s="43" t="inlineStr">
        <is>
          <t>73-20988-05</t>
        </is>
      </c>
      <c r="G1101" s="43" t="inlineStr">
        <is>
          <t>BOARD_PN_CANDIDATE</t>
        </is>
      </c>
      <c r="H1101" s="43" t="inlineStr"/>
      <c r="I1101" s="43" t="inlineStr">
        <is>
          <t>Expired</t>
        </is>
      </c>
      <c r="J1101" s="32" t="n">
        <v>46239</v>
      </c>
      <c r="K1101" s="32" t="n">
        <v>46161</v>
      </c>
      <c r="L1101" s="43" t="inlineStr">
        <is>
          <t>97,320</t>
        </is>
      </c>
      <c r="M1101" s="43" t="n">
        <v>2</v>
      </c>
      <c r="N1101" s="33" t="inlineStr"/>
      <c r="O1101" s="43" t="inlineStr">
        <is>
          <t>UNVERIFIED</t>
        </is>
      </c>
      <c r="P1101" s="43" t="inlineStr">
        <is>
          <t>Pending Review</t>
        </is>
      </c>
      <c r="Q1101" s="33" t="inlineStr">
        <is>
          <t>Confirmar SKU/PCBA revision, PN exacto en Common DB, WO, BU, vigencia, planta y aprobacion firmada.</t>
        </is>
      </c>
    </row>
    <row r="1102">
      <c r="A1102" s="43" t="inlineStr">
        <is>
          <t>CTANJZ05236</t>
        </is>
      </c>
      <c r="B1102" s="43" t="inlineStr">
        <is>
          <t>D610747</t>
        </is>
      </c>
      <c r="C1102" s="43" t="inlineStr">
        <is>
          <t>035-CVEBU</t>
        </is>
      </c>
      <c r="D1102" s="43" t="inlineStr">
        <is>
          <t>FJZP</t>
        </is>
      </c>
      <c r="E1102" s="43" t="inlineStr">
        <is>
          <t>MCGA</t>
        </is>
      </c>
      <c r="F1102" s="43" t="inlineStr">
        <is>
          <t>12-2213-01</t>
        </is>
      </c>
      <c r="G1102" s="43" t="inlineStr">
        <is>
          <t>OTHER_SCOPE_ITEM</t>
        </is>
      </c>
      <c r="H1102" s="43" t="inlineStr"/>
      <c r="I1102" s="43" t="inlineStr">
        <is>
          <t>Expired</t>
        </is>
      </c>
      <c r="J1102" s="32" t="n">
        <v>46239</v>
      </c>
      <c r="K1102" s="32" t="n">
        <v>46158</v>
      </c>
      <c r="L1102" s="43" t="inlineStr">
        <is>
          <t>1158</t>
        </is>
      </c>
      <c r="M1102" s="43" t="n">
        <v>1</v>
      </c>
      <c r="N1102" s="33" t="inlineStr"/>
      <c r="O1102" s="43" t="inlineStr">
        <is>
          <t>UNVERIFIED</t>
        </is>
      </c>
      <c r="P1102" s="43" t="inlineStr">
        <is>
          <t>Pending Review</t>
        </is>
      </c>
      <c r="Q1102" s="33" t="inlineStr">
        <is>
          <t>Confirmar SKU/PCBA revision, PN exacto en Common DB, WO, BU, vigencia, planta y aprobacion firmada.</t>
        </is>
      </c>
    </row>
    <row r="1103">
      <c r="A1103" s="43" t="inlineStr">
        <is>
          <t>CTANJZ05236</t>
        </is>
      </c>
      <c r="B1103" s="43" t="inlineStr">
        <is>
          <t>D610747</t>
        </is>
      </c>
      <c r="C1103" s="43" t="inlineStr">
        <is>
          <t>035-CVEBU</t>
        </is>
      </c>
      <c r="D1103" s="43" t="inlineStr">
        <is>
          <t>FJZP</t>
        </is>
      </c>
      <c r="E1103" s="43" t="inlineStr">
        <is>
          <t>MCGA</t>
        </is>
      </c>
      <c r="F1103" s="43" t="inlineStr">
        <is>
          <t>73-103826-05</t>
        </is>
      </c>
      <c r="G1103" s="43" t="inlineStr">
        <is>
          <t>BOARD_PN_CANDIDATE</t>
        </is>
      </c>
      <c r="H1103" s="43" t="inlineStr">
        <is>
          <t>BAYFRONT</t>
        </is>
      </c>
      <c r="I1103" s="43" t="inlineStr">
        <is>
          <t>Expired</t>
        </is>
      </c>
      <c r="J1103" s="32" t="n">
        <v>46239</v>
      </c>
      <c r="K1103" s="32" t="n">
        <v>46158</v>
      </c>
      <c r="L1103" s="43" t="inlineStr">
        <is>
          <t>1159</t>
        </is>
      </c>
      <c r="M1103" s="43" t="n">
        <v>1</v>
      </c>
      <c r="N1103" s="33" t="inlineStr"/>
      <c r="O1103" s="43" t="inlineStr">
        <is>
          <t>UNVERIFIED</t>
        </is>
      </c>
      <c r="P1103" s="43" t="inlineStr">
        <is>
          <t>Pending Review</t>
        </is>
      </c>
      <c r="Q1103" s="33" t="inlineStr">
        <is>
          <t>Confirmar SKU/PCBA revision, PN exacto en Common DB, WO, BU, vigencia, planta y aprobacion firmada.</t>
        </is>
      </c>
    </row>
    <row r="1104">
      <c r="A1104" s="43" t="inlineStr">
        <is>
          <t>CTANJZ05236</t>
        </is>
      </c>
      <c r="B1104" s="43" t="inlineStr">
        <is>
          <t>D610747</t>
        </is>
      </c>
      <c r="C1104" s="43" t="inlineStr">
        <is>
          <t>035-CVEBU</t>
        </is>
      </c>
      <c r="D1104" s="43" t="inlineStr">
        <is>
          <t>FJZP</t>
        </is>
      </c>
      <c r="E1104" s="43" t="inlineStr">
        <is>
          <t>MCGA</t>
        </is>
      </c>
      <c r="F1104" s="43" t="inlineStr">
        <is>
          <t>73-103880-05</t>
        </is>
      </c>
      <c r="G1104" s="43" t="inlineStr">
        <is>
          <t>BOARD_PN_CANDIDATE</t>
        </is>
      </c>
      <c r="H1104" s="43" t="inlineStr"/>
      <c r="I1104" s="43" t="inlineStr">
        <is>
          <t>Expired</t>
        </is>
      </c>
      <c r="J1104" s="32" t="n">
        <v>46239</v>
      </c>
      <c r="K1104" s="32" t="n">
        <v>46158</v>
      </c>
      <c r="L1104" s="43" t="inlineStr">
        <is>
          <t>1160</t>
        </is>
      </c>
      <c r="M1104" s="43" t="n">
        <v>1</v>
      </c>
      <c r="N1104" s="33" t="inlineStr"/>
      <c r="O1104" s="43" t="inlineStr">
        <is>
          <t>UNVERIFIED</t>
        </is>
      </c>
      <c r="P1104" s="43" t="inlineStr">
        <is>
          <t>Pending Review</t>
        </is>
      </c>
      <c r="Q1104" s="33" t="inlineStr">
        <is>
          <t>Confirmar SKU/PCBA revision, PN exacto en Common DB, WO, BU, vigencia, planta y aprobacion firmada.</t>
        </is>
      </c>
    </row>
    <row r="1105">
      <c r="A1105" s="43" t="inlineStr">
        <is>
          <t>CTANJZ05237</t>
        </is>
      </c>
      <c r="B1105" s="43" t="inlineStr">
        <is>
          <t>D611227</t>
        </is>
      </c>
      <c r="C1105" s="43" t="inlineStr">
        <is>
          <t>035-CVEBU</t>
        </is>
      </c>
      <c r="D1105" s="43" t="inlineStr">
        <is>
          <t>FJZP</t>
        </is>
      </c>
      <c r="E1105" s="43" t="inlineStr">
        <is>
          <t>MCGA</t>
        </is>
      </c>
      <c r="F1105" s="43" t="inlineStr">
        <is>
          <t>16-101838-01</t>
        </is>
      </c>
      <c r="G1105" s="43" t="inlineStr">
        <is>
          <t>OTHER_SCOPE_ITEM</t>
        </is>
      </c>
      <c r="H1105" s="43" t="inlineStr"/>
      <c r="I1105" s="43" t="inlineStr">
        <is>
          <t>Expired</t>
        </is>
      </c>
      <c r="J1105" s="32" t="n">
        <v>46240</v>
      </c>
      <c r="K1105" s="32" t="n">
        <v>46164</v>
      </c>
      <c r="L1105" s="43" t="inlineStr">
        <is>
          <t>541</t>
        </is>
      </c>
      <c r="M1105" s="43" t="n">
        <v>1</v>
      </c>
      <c r="N1105" s="33" t="inlineStr"/>
      <c r="O1105" s="43" t="inlineStr">
        <is>
          <t>UNVERIFIED</t>
        </is>
      </c>
      <c r="P1105" s="43" t="inlineStr">
        <is>
          <t>Pending Review</t>
        </is>
      </c>
      <c r="Q1105" s="33" t="inlineStr">
        <is>
          <t>Confirmar SKU/PCBA revision, PN exacto en Common DB, WO, BU, vigencia, planta y aprobacion firmada.</t>
        </is>
      </c>
    </row>
    <row r="1106">
      <c r="A1106" s="43" t="inlineStr">
        <is>
          <t>CTANJZ05237</t>
        </is>
      </c>
      <c r="B1106" s="43" t="inlineStr">
        <is>
          <t>D611227</t>
        </is>
      </c>
      <c r="C1106" s="43" t="inlineStr">
        <is>
          <t>035-CVEBU</t>
        </is>
      </c>
      <c r="D1106" s="43" t="inlineStr">
        <is>
          <t>FJZP</t>
        </is>
      </c>
      <c r="E1106" s="43" t="inlineStr">
        <is>
          <t>MCGA</t>
        </is>
      </c>
      <c r="F1106" s="43" t="inlineStr">
        <is>
          <t>73-102022-02</t>
        </is>
      </c>
      <c r="G1106" s="43" t="inlineStr">
        <is>
          <t>BOARD_PN_CANDIDATE</t>
        </is>
      </c>
      <c r="H1106" s="43" t="inlineStr">
        <is>
          <t>BROOKLYN</t>
        </is>
      </c>
      <c r="I1106" s="43" t="inlineStr">
        <is>
          <t>Expired</t>
        </is>
      </c>
      <c r="J1106" s="32" t="n">
        <v>46240</v>
      </c>
      <c r="K1106" s="32" t="n">
        <v>46164</v>
      </c>
      <c r="L1106" s="43" t="inlineStr">
        <is>
          <t>542</t>
        </is>
      </c>
      <c r="M1106" s="43" t="n">
        <v>1</v>
      </c>
      <c r="N1106" s="33" t="inlineStr"/>
      <c r="O1106" s="43" t="inlineStr">
        <is>
          <t>UNVERIFIED</t>
        </is>
      </c>
      <c r="P1106" s="43" t="inlineStr">
        <is>
          <t>Pending Review</t>
        </is>
      </c>
      <c r="Q1106" s="33" t="inlineStr">
        <is>
          <t>Confirmar SKU/PCBA revision, PN exacto en Common DB, WO, BU, vigencia, planta y aprobacion firmada.</t>
        </is>
      </c>
    </row>
    <row r="1107">
      <c r="A1107" s="43" t="inlineStr">
        <is>
          <t>CTANJZ05237</t>
        </is>
      </c>
      <c r="B1107" s="43" t="inlineStr">
        <is>
          <t>D611227</t>
        </is>
      </c>
      <c r="C1107" s="43" t="inlineStr">
        <is>
          <t>035-CVEBU</t>
        </is>
      </c>
      <c r="D1107" s="43" t="inlineStr">
        <is>
          <t>FJZP</t>
        </is>
      </c>
      <c r="E1107" s="43" t="inlineStr">
        <is>
          <t>MCGA</t>
        </is>
      </c>
      <c r="F1107" s="43" t="inlineStr">
        <is>
          <t>73-102197-02</t>
        </is>
      </c>
      <c r="G1107" s="43" t="inlineStr">
        <is>
          <t>BOARD_PN_CANDIDATE</t>
        </is>
      </c>
      <c r="H1107" s="43" t="inlineStr"/>
      <c r="I1107" s="43" t="inlineStr">
        <is>
          <t>Expired</t>
        </is>
      </c>
      <c r="J1107" s="32" t="n">
        <v>46240</v>
      </c>
      <c r="K1107" s="32" t="n">
        <v>46164</v>
      </c>
      <c r="L1107" s="43" t="inlineStr">
        <is>
          <t>543</t>
        </is>
      </c>
      <c r="M1107" s="43" t="n">
        <v>1</v>
      </c>
      <c r="N1107" s="33" t="inlineStr"/>
      <c r="O1107" s="43" t="inlineStr">
        <is>
          <t>UNVERIFIED</t>
        </is>
      </c>
      <c r="P1107" s="43" t="inlineStr">
        <is>
          <t>Pending Review</t>
        </is>
      </c>
      <c r="Q1107" s="33" t="inlineStr">
        <is>
          <t>Confirmar SKU/PCBA revision, PN exacto en Common DB, WO, BU, vigencia, planta y aprobacion firmada.</t>
        </is>
      </c>
    </row>
    <row r="1108">
      <c r="A1108" s="43" t="inlineStr">
        <is>
          <t>CTANJZ05237</t>
        </is>
      </c>
      <c r="B1108" s="43" t="inlineStr">
        <is>
          <t>D611227</t>
        </is>
      </c>
      <c r="C1108" s="43" t="inlineStr">
        <is>
          <t>035-CVEBU</t>
        </is>
      </c>
      <c r="D1108" s="43" t="inlineStr">
        <is>
          <t>FJZP</t>
        </is>
      </c>
      <c r="E1108" s="43" t="inlineStr">
        <is>
          <t>MCGA</t>
        </is>
      </c>
      <c r="F1108" s="43" t="inlineStr">
        <is>
          <t>73-102226-06</t>
        </is>
      </c>
      <c r="G1108" s="43" t="inlineStr">
        <is>
          <t>BOARD_PN_CANDIDATE</t>
        </is>
      </c>
      <c r="H1108" s="43" t="inlineStr">
        <is>
          <t>MILLENIUM</t>
        </is>
      </c>
      <c r="I1108" s="43" t="inlineStr">
        <is>
          <t>Expired</t>
        </is>
      </c>
      <c r="J1108" s="32" t="n">
        <v>46240</v>
      </c>
      <c r="K1108" s="32" t="n">
        <v>46164</v>
      </c>
      <c r="L1108" s="43" t="inlineStr">
        <is>
          <t>544</t>
        </is>
      </c>
      <c r="M1108" s="43" t="n">
        <v>1</v>
      </c>
      <c r="N1108" s="33" t="inlineStr"/>
      <c r="O1108" s="43" t="inlineStr">
        <is>
          <t>UNVERIFIED</t>
        </is>
      </c>
      <c r="P1108" s="43" t="inlineStr">
        <is>
          <t>Pending Review</t>
        </is>
      </c>
      <c r="Q1108" s="33" t="inlineStr">
        <is>
          <t>Confirmar SKU/PCBA revision, PN exacto en Common DB, WO, BU, vigencia, planta y aprobacion firmada.</t>
        </is>
      </c>
    </row>
    <row r="1109">
      <c r="A1109" s="43" t="inlineStr">
        <is>
          <t>CTANJZ05237</t>
        </is>
      </c>
      <c r="B1109" s="43" t="inlineStr">
        <is>
          <t>D611227</t>
        </is>
      </c>
      <c r="C1109" s="43" t="inlineStr">
        <is>
          <t>035-CVEBU</t>
        </is>
      </c>
      <c r="D1109" s="43" t="inlineStr">
        <is>
          <t>FJZP</t>
        </is>
      </c>
      <c r="E1109" s="43" t="inlineStr">
        <is>
          <t>MCGA</t>
        </is>
      </c>
      <c r="F1109" s="43" t="inlineStr">
        <is>
          <t>73-102797-02</t>
        </is>
      </c>
      <c r="G1109" s="43" t="inlineStr">
        <is>
          <t>BOARD_PN_CANDIDATE</t>
        </is>
      </c>
      <c r="H1109" s="43" t="inlineStr">
        <is>
          <t>DAVINCI</t>
        </is>
      </c>
      <c r="I1109" s="43" t="inlineStr">
        <is>
          <t>Expired</t>
        </is>
      </c>
      <c r="J1109" s="32" t="n">
        <v>46240</v>
      </c>
      <c r="K1109" s="32" t="n">
        <v>46164</v>
      </c>
      <c r="L1109" s="43" t="inlineStr">
        <is>
          <t>545</t>
        </is>
      </c>
      <c r="M1109" s="43" t="n">
        <v>1</v>
      </c>
      <c r="N1109" s="33" t="inlineStr"/>
      <c r="O1109" s="43" t="inlineStr">
        <is>
          <t>UNVERIFIED</t>
        </is>
      </c>
      <c r="P1109" s="43" t="inlineStr">
        <is>
          <t>Pending Review</t>
        </is>
      </c>
      <c r="Q1109" s="33" t="inlineStr">
        <is>
          <t>Confirmar SKU/PCBA revision, PN exacto en Common DB, WO, BU, vigencia, planta y aprobacion firmada.</t>
        </is>
      </c>
    </row>
    <row r="1110">
      <c r="A1110" s="43" t="inlineStr">
        <is>
          <t>CTANJZ05237</t>
        </is>
      </c>
      <c r="B1110" s="43" t="inlineStr">
        <is>
          <t>D611227</t>
        </is>
      </c>
      <c r="C1110" s="43" t="inlineStr">
        <is>
          <t>035-CVEBU</t>
        </is>
      </c>
      <c r="D1110" s="43" t="inlineStr">
        <is>
          <t>FJZP</t>
        </is>
      </c>
      <c r="E1110" s="43" t="inlineStr">
        <is>
          <t>MCGA</t>
        </is>
      </c>
      <c r="F1110" s="43" t="inlineStr">
        <is>
          <t>73-103226-06</t>
        </is>
      </c>
      <c r="G1110" s="43" t="inlineStr">
        <is>
          <t>BOARD_PN_CANDIDATE</t>
        </is>
      </c>
      <c r="H1110" s="43" t="inlineStr"/>
      <c r="I1110" s="43" t="inlineStr">
        <is>
          <t>Expired</t>
        </is>
      </c>
      <c r="J1110" s="32" t="n">
        <v>46240</v>
      </c>
      <c r="K1110" s="32" t="n">
        <v>46164</v>
      </c>
      <c r="L1110" s="43" t="inlineStr">
        <is>
          <t>546</t>
        </is>
      </c>
      <c r="M1110" s="43" t="n">
        <v>1</v>
      </c>
      <c r="N1110" s="33" t="inlineStr"/>
      <c r="O1110" s="43" t="inlineStr">
        <is>
          <t>UNVERIFIED</t>
        </is>
      </c>
      <c r="P1110" s="43" t="inlineStr">
        <is>
          <t>Pending Review</t>
        </is>
      </c>
      <c r="Q1110" s="33" t="inlineStr">
        <is>
          <t>Confirmar SKU/PCBA revision, PN exacto en Common DB, WO, BU, vigencia, planta y aprobacion firmada.</t>
        </is>
      </c>
    </row>
    <row r="1111">
      <c r="A1111" s="43" t="inlineStr">
        <is>
          <t>CTANJZ05237</t>
        </is>
      </c>
      <c r="B1111" s="43" t="inlineStr">
        <is>
          <t>D611227</t>
        </is>
      </c>
      <c r="C1111" s="43" t="inlineStr">
        <is>
          <t>035-CVEBU</t>
        </is>
      </c>
      <c r="D1111" s="43" t="inlineStr">
        <is>
          <t>FJZP</t>
        </is>
      </c>
      <c r="E1111" s="43" t="inlineStr">
        <is>
          <t>MCGA</t>
        </is>
      </c>
      <c r="F1111" s="43" t="inlineStr">
        <is>
          <t>73-104022-01</t>
        </is>
      </c>
      <c r="G1111" s="43" t="inlineStr">
        <is>
          <t>BOARD_PN_CANDIDATE</t>
        </is>
      </c>
      <c r="H1111" s="43" t="inlineStr"/>
      <c r="I1111" s="43" t="inlineStr">
        <is>
          <t>Expired</t>
        </is>
      </c>
      <c r="J1111" s="32" t="n">
        <v>46240</v>
      </c>
      <c r="K1111" s="32" t="n">
        <v>46164</v>
      </c>
      <c r="L1111" s="43" t="inlineStr">
        <is>
          <t>547</t>
        </is>
      </c>
      <c r="M1111" s="43" t="n">
        <v>1</v>
      </c>
      <c r="N1111" s="33" t="inlineStr"/>
      <c r="O1111" s="43" t="inlineStr">
        <is>
          <t>UNVERIFIED</t>
        </is>
      </c>
      <c r="P1111" s="43" t="inlineStr">
        <is>
          <t>Pending Review</t>
        </is>
      </c>
      <c r="Q1111" s="33" t="inlineStr">
        <is>
          <t>Confirmar SKU/PCBA revision, PN exacto en Common DB, WO, BU, vigencia, planta y aprobacion firmada.</t>
        </is>
      </c>
    </row>
    <row r="1112">
      <c r="A1112" s="43" t="inlineStr">
        <is>
          <t>CTANJZ05240</t>
        </is>
      </c>
      <c r="B1112" s="43" t="inlineStr">
        <is>
          <t>D611208</t>
        </is>
      </c>
      <c r="C1112" s="43" t="inlineStr">
        <is>
          <t>018-SRGBU</t>
        </is>
      </c>
      <c r="D1112" s="43" t="inlineStr">
        <is>
          <t>FJZP</t>
        </is>
      </c>
      <c r="E1112" s="43" t="inlineStr">
        <is>
          <t>MCGA</t>
        </is>
      </c>
      <c r="F1112" s="43" t="inlineStr">
        <is>
          <t>17-15632-01</t>
        </is>
      </c>
      <c r="G1112" s="43" t="inlineStr">
        <is>
          <t>OTHER_SCOPE_ITEM</t>
        </is>
      </c>
      <c r="H1112" s="43" t="inlineStr"/>
      <c r="I1112" s="43" t="inlineStr">
        <is>
          <t>Expired</t>
        </is>
      </c>
      <c r="J1112" s="32" t="n">
        <v>46243</v>
      </c>
      <c r="K1112" s="32" t="n">
        <v>46161</v>
      </c>
      <c r="L1112" s="43" t="inlineStr">
        <is>
          <t>1161</t>
        </is>
      </c>
      <c r="M1112" s="43" t="n">
        <v>1</v>
      </c>
      <c r="N1112" s="33" t="inlineStr"/>
      <c r="O1112" s="43" t="inlineStr">
        <is>
          <t>UNVERIFIED</t>
        </is>
      </c>
      <c r="P1112" s="43" t="inlineStr">
        <is>
          <t>Pending Review</t>
        </is>
      </c>
      <c r="Q1112" s="33" t="inlineStr">
        <is>
          <t>Confirmar SKU/PCBA revision, PN exacto en Common DB, WO, BU, vigencia, planta y aprobacion firmada.</t>
        </is>
      </c>
    </row>
    <row r="1113">
      <c r="A1113" s="43" t="inlineStr">
        <is>
          <t>CTANJZ05240</t>
        </is>
      </c>
      <c r="B1113" s="43" t="inlineStr">
        <is>
          <t>D611208</t>
        </is>
      </c>
      <c r="C1113" s="43" t="inlineStr">
        <is>
          <t>018-SRGBU</t>
        </is>
      </c>
      <c r="D1113" s="43" t="inlineStr">
        <is>
          <t>FJZP</t>
        </is>
      </c>
      <c r="E1113" s="43" t="inlineStr">
        <is>
          <t>MCGA</t>
        </is>
      </c>
      <c r="F1113" s="43" t="inlineStr">
        <is>
          <t>17-15632-02</t>
        </is>
      </c>
      <c r="G1113" s="43" t="inlineStr">
        <is>
          <t>OTHER_SCOPE_ITEM</t>
        </is>
      </c>
      <c r="H1113" s="43" t="inlineStr"/>
      <c r="I1113" s="43" t="inlineStr">
        <is>
          <t>Expired</t>
        </is>
      </c>
      <c r="J1113" s="32" t="n">
        <v>46243</v>
      </c>
      <c r="K1113" s="32" t="n">
        <v>46161</v>
      </c>
      <c r="L1113" s="43" t="inlineStr">
        <is>
          <t>1162</t>
        </is>
      </c>
      <c r="M1113" s="43" t="n">
        <v>1</v>
      </c>
      <c r="N1113" s="33" t="inlineStr"/>
      <c r="O1113" s="43" t="inlineStr">
        <is>
          <t>UNVERIFIED</t>
        </is>
      </c>
      <c r="P1113" s="43" t="inlineStr">
        <is>
          <t>Pending Review</t>
        </is>
      </c>
      <c r="Q1113" s="33" t="inlineStr">
        <is>
          <t>Confirmar SKU/PCBA revision, PN exacto en Common DB, WO, BU, vigencia, planta y aprobacion firmada.</t>
        </is>
      </c>
    </row>
    <row r="1114">
      <c r="A1114" s="43" t="inlineStr">
        <is>
          <t>CTANJZ05240</t>
        </is>
      </c>
      <c r="B1114" s="43" t="inlineStr">
        <is>
          <t>D611208</t>
        </is>
      </c>
      <c r="C1114" s="43" t="inlineStr">
        <is>
          <t>018-SRGBU</t>
        </is>
      </c>
      <c r="D1114" s="43" t="inlineStr">
        <is>
          <t>FJZP</t>
        </is>
      </c>
      <c r="E1114" s="43" t="inlineStr">
        <is>
          <t>MCGA</t>
        </is>
      </c>
      <c r="F1114" s="43" t="inlineStr">
        <is>
          <t>74-122742-01</t>
        </is>
      </c>
      <c r="G1114" s="43" t="inlineStr">
        <is>
          <t>OTHER_SCOPE_ITEM</t>
        </is>
      </c>
      <c r="H1114" s="43" t="inlineStr"/>
      <c r="I1114" s="43" t="inlineStr">
        <is>
          <t>Expired</t>
        </is>
      </c>
      <c r="J1114" s="32" t="n">
        <v>46243</v>
      </c>
      <c r="K1114" s="32" t="n">
        <v>46161</v>
      </c>
      <c r="L1114" s="43" t="inlineStr">
        <is>
          <t>1163</t>
        </is>
      </c>
      <c r="M1114" s="43" t="n">
        <v>1</v>
      </c>
      <c r="N1114" s="33" t="inlineStr"/>
      <c r="O1114" s="43" t="inlineStr">
        <is>
          <t>UNVERIFIED</t>
        </is>
      </c>
      <c r="P1114" s="43" t="inlineStr">
        <is>
          <t>Pending Review</t>
        </is>
      </c>
      <c r="Q1114" s="33" t="inlineStr">
        <is>
          <t>Confirmar SKU/PCBA revision, PN exacto en Common DB, WO, BU, vigencia, planta y aprobacion firmada.</t>
        </is>
      </c>
    </row>
    <row r="1115">
      <c r="A1115" s="43" t="inlineStr">
        <is>
          <t>CTANJZ05240</t>
        </is>
      </c>
      <c r="B1115" s="43" t="inlineStr">
        <is>
          <t>D611208</t>
        </is>
      </c>
      <c r="C1115" s="43" t="inlineStr">
        <is>
          <t>018-SRGBU</t>
        </is>
      </c>
      <c r="D1115" s="43" t="inlineStr">
        <is>
          <t>FJZP</t>
        </is>
      </c>
      <c r="E1115" s="43" t="inlineStr">
        <is>
          <t>MCGA</t>
        </is>
      </c>
      <c r="F1115" s="43" t="inlineStr">
        <is>
          <t>74-122743-01</t>
        </is>
      </c>
      <c r="G1115" s="43" t="inlineStr">
        <is>
          <t>OTHER_SCOPE_ITEM</t>
        </is>
      </c>
      <c r="H1115" s="43" t="inlineStr"/>
      <c r="I1115" s="43" t="inlineStr">
        <is>
          <t>Expired</t>
        </is>
      </c>
      <c r="J1115" s="32" t="n">
        <v>46243</v>
      </c>
      <c r="K1115" s="32" t="n">
        <v>46161</v>
      </c>
      <c r="L1115" s="43" t="inlineStr">
        <is>
          <t>1164</t>
        </is>
      </c>
      <c r="M1115" s="43" t="n">
        <v>1</v>
      </c>
      <c r="N1115" s="33" t="inlineStr"/>
      <c r="O1115" s="43" t="inlineStr">
        <is>
          <t>UNVERIFIED</t>
        </is>
      </c>
      <c r="P1115" s="43" t="inlineStr">
        <is>
          <t>Pending Review</t>
        </is>
      </c>
      <c r="Q1115" s="33" t="inlineStr">
        <is>
          <t>Confirmar SKU/PCBA revision, PN exacto en Common DB, WO, BU, vigencia, planta y aprobacion firmada.</t>
        </is>
      </c>
    </row>
    <row r="1116">
      <c r="A1116" s="43" t="inlineStr">
        <is>
          <t>CTANJZ05240</t>
        </is>
      </c>
      <c r="B1116" s="43" t="inlineStr">
        <is>
          <t>D611208</t>
        </is>
      </c>
      <c r="C1116" s="43" t="inlineStr">
        <is>
          <t>018-SRGBU</t>
        </is>
      </c>
      <c r="D1116" s="43" t="inlineStr">
        <is>
          <t>FJZP</t>
        </is>
      </c>
      <c r="E1116" s="43" t="inlineStr">
        <is>
          <t>MCGA</t>
        </is>
      </c>
      <c r="F1116" s="43" t="inlineStr">
        <is>
          <t>74-122744-01</t>
        </is>
      </c>
      <c r="G1116" s="43" t="inlineStr">
        <is>
          <t>OTHER_SCOPE_ITEM</t>
        </is>
      </c>
      <c r="H1116" s="43" t="inlineStr"/>
      <c r="I1116" s="43" t="inlineStr">
        <is>
          <t>Expired</t>
        </is>
      </c>
      <c r="J1116" s="32" t="n">
        <v>46243</v>
      </c>
      <c r="K1116" s="32" t="n">
        <v>46161</v>
      </c>
      <c r="L1116" s="43" t="inlineStr">
        <is>
          <t>1165</t>
        </is>
      </c>
      <c r="M1116" s="43" t="n">
        <v>1</v>
      </c>
      <c r="N1116" s="33" t="inlineStr"/>
      <c r="O1116" s="43" t="inlineStr">
        <is>
          <t>UNVERIFIED</t>
        </is>
      </c>
      <c r="P1116" s="43" t="inlineStr">
        <is>
          <t>Pending Review</t>
        </is>
      </c>
      <c r="Q1116" s="33" t="inlineStr">
        <is>
          <t>Confirmar SKU/PCBA revision, PN exacto en Common DB, WO, BU, vigencia, planta y aprobacion firmada.</t>
        </is>
      </c>
    </row>
    <row r="1117">
      <c r="A1117" s="43" t="inlineStr">
        <is>
          <t>CTANJZ05240</t>
        </is>
      </c>
      <c r="B1117" s="43" t="inlineStr">
        <is>
          <t>D611208</t>
        </is>
      </c>
      <c r="C1117" s="43" t="inlineStr">
        <is>
          <t>018-SRGBU</t>
        </is>
      </c>
      <c r="D1117" s="43" t="inlineStr">
        <is>
          <t>FJZP</t>
        </is>
      </c>
      <c r="E1117" s="43" t="inlineStr">
        <is>
          <t>MCGA</t>
        </is>
      </c>
      <c r="F1117" s="43" t="inlineStr">
        <is>
          <t>74-122859-01</t>
        </is>
      </c>
      <c r="G1117" s="43" t="inlineStr">
        <is>
          <t>OTHER_SCOPE_ITEM</t>
        </is>
      </c>
      <c r="H1117" s="43" t="inlineStr"/>
      <c r="I1117" s="43" t="inlineStr">
        <is>
          <t>Expired</t>
        </is>
      </c>
      <c r="J1117" s="32" t="n">
        <v>46243</v>
      </c>
      <c r="K1117" s="32" t="n">
        <v>46161</v>
      </c>
      <c r="L1117" s="43" t="inlineStr">
        <is>
          <t>1166</t>
        </is>
      </c>
      <c r="M1117" s="43" t="n">
        <v>1</v>
      </c>
      <c r="N1117" s="33" t="inlineStr"/>
      <c r="O1117" s="43" t="inlineStr">
        <is>
          <t>UNVERIFIED</t>
        </is>
      </c>
      <c r="P1117" s="43" t="inlineStr">
        <is>
          <t>Pending Review</t>
        </is>
      </c>
      <c r="Q1117" s="33" t="inlineStr">
        <is>
          <t>Confirmar SKU/PCBA revision, PN exacto en Common DB, WO, BU, vigencia, planta y aprobacion firmada.</t>
        </is>
      </c>
    </row>
    <row r="1118">
      <c r="A1118" s="43" t="inlineStr">
        <is>
          <t>CTANJZ05240</t>
        </is>
      </c>
      <c r="B1118" s="43" t="inlineStr">
        <is>
          <t>D611208</t>
        </is>
      </c>
      <c r="C1118" s="43" t="inlineStr">
        <is>
          <t>018-SRGBU</t>
        </is>
      </c>
      <c r="D1118" s="43" t="inlineStr">
        <is>
          <t>FJZP</t>
        </is>
      </c>
      <c r="E1118" s="43" t="inlineStr">
        <is>
          <t>MCGA</t>
        </is>
      </c>
      <c r="F1118" s="43" t="inlineStr">
        <is>
          <t>74-123836-01</t>
        </is>
      </c>
      <c r="G1118" s="43" t="inlineStr">
        <is>
          <t>OTHER_SCOPE_ITEM</t>
        </is>
      </c>
      <c r="H1118" s="43" t="inlineStr"/>
      <c r="I1118" s="43" t="inlineStr">
        <is>
          <t>Expired</t>
        </is>
      </c>
      <c r="J1118" s="32" t="n">
        <v>46243</v>
      </c>
      <c r="K1118" s="32" t="n">
        <v>46161</v>
      </c>
      <c r="L1118" s="43" t="inlineStr">
        <is>
          <t>1167</t>
        </is>
      </c>
      <c r="M1118" s="43" t="n">
        <v>1</v>
      </c>
      <c r="N1118" s="33" t="inlineStr"/>
      <c r="O1118" s="43" t="inlineStr">
        <is>
          <t>UNVERIFIED</t>
        </is>
      </c>
      <c r="P1118" s="43" t="inlineStr">
        <is>
          <t>Pending Review</t>
        </is>
      </c>
      <c r="Q1118" s="33" t="inlineStr">
        <is>
          <t>Confirmar SKU/PCBA revision, PN exacto en Common DB, WO, BU, vigencia, planta y aprobacion firmada.</t>
        </is>
      </c>
    </row>
    <row r="1119">
      <c r="A1119" s="43" t="inlineStr">
        <is>
          <t>CTANJZ05240</t>
        </is>
      </c>
      <c r="B1119" s="43" t="inlineStr">
        <is>
          <t>D611208</t>
        </is>
      </c>
      <c r="C1119" s="43" t="inlineStr">
        <is>
          <t>018-SRGBU</t>
        </is>
      </c>
      <c r="D1119" s="43" t="inlineStr">
        <is>
          <t>FJZP</t>
        </is>
      </c>
      <c r="E1119" s="43" t="inlineStr">
        <is>
          <t>MCGA</t>
        </is>
      </c>
      <c r="F1119" s="43" t="inlineStr">
        <is>
          <t>74-123837-01</t>
        </is>
      </c>
      <c r="G1119" s="43" t="inlineStr">
        <is>
          <t>OTHER_SCOPE_ITEM</t>
        </is>
      </c>
      <c r="H1119" s="43" t="inlineStr"/>
      <c r="I1119" s="43" t="inlineStr">
        <is>
          <t>Expired</t>
        </is>
      </c>
      <c r="J1119" s="32" t="n">
        <v>46243</v>
      </c>
      <c r="K1119" s="32" t="n">
        <v>46161</v>
      </c>
      <c r="L1119" s="43" t="inlineStr">
        <is>
          <t>1168</t>
        </is>
      </c>
      <c r="M1119" s="43" t="n">
        <v>1</v>
      </c>
      <c r="N1119" s="33" t="inlineStr"/>
      <c r="O1119" s="43" t="inlineStr">
        <is>
          <t>UNVERIFIED</t>
        </is>
      </c>
      <c r="P1119" s="43" t="inlineStr">
        <is>
          <t>Pending Review</t>
        </is>
      </c>
      <c r="Q1119" s="33" t="inlineStr">
        <is>
          <t>Confirmar SKU/PCBA revision, PN exacto en Common DB, WO, BU, vigencia, planta y aprobacion firmada.</t>
        </is>
      </c>
    </row>
    <row r="1120">
      <c r="A1120" s="43" t="inlineStr">
        <is>
          <t>CTANJZ05241</t>
        </is>
      </c>
      <c r="B1120" s="43" t="inlineStr">
        <is>
          <t>D611381</t>
        </is>
      </c>
      <c r="C1120" s="43" t="inlineStr">
        <is>
          <t>018-SRGBU</t>
        </is>
      </c>
      <c r="D1120" s="43" t="inlineStr">
        <is>
          <t>FJZP</t>
        </is>
      </c>
      <c r="E1120" s="43" t="inlineStr">
        <is>
          <t>MCGA</t>
        </is>
      </c>
      <c r="F1120" s="43" t="inlineStr">
        <is>
          <t>55-106170-01</t>
        </is>
      </c>
      <c r="G1120" s="43" t="inlineStr">
        <is>
          <t>OTHER_SCOPE_ITEM</t>
        </is>
      </c>
      <c r="H1120" s="43" t="inlineStr"/>
      <c r="I1120" s="43" t="inlineStr">
        <is>
          <t>Expired</t>
        </is>
      </c>
      <c r="J1120" s="32" t="n">
        <v>46245</v>
      </c>
      <c r="K1120" s="32" t="n"/>
      <c r="L1120" s="43" t="inlineStr">
        <is>
          <t>501</t>
        </is>
      </c>
      <c r="M1120" s="43" t="n">
        <v>1</v>
      </c>
      <c r="N1120" s="33" t="inlineStr"/>
      <c r="O1120" s="43" t="inlineStr">
        <is>
          <t>UNVERIFIED</t>
        </is>
      </c>
      <c r="P1120" s="43" t="inlineStr">
        <is>
          <t>Pending Review</t>
        </is>
      </c>
      <c r="Q1120" s="33" t="inlineStr">
        <is>
          <t>Confirmar SKU/PCBA revision, PN exacto en Common DB, WO, BU, vigencia, planta y aprobacion firmada.</t>
        </is>
      </c>
    </row>
    <row r="1121">
      <c r="A1121" s="43" t="inlineStr">
        <is>
          <t>CTANJZ05242</t>
        </is>
      </c>
      <c r="B1121" s="43" t="inlineStr">
        <is>
          <t>D611127</t>
        </is>
      </c>
      <c r="C1121" s="43" t="inlineStr">
        <is>
          <t>037-STBU</t>
        </is>
      </c>
      <c r="D1121" s="43" t="inlineStr">
        <is>
          <t>FJZP</t>
        </is>
      </c>
      <c r="E1121" s="43" t="inlineStr">
        <is>
          <t>MCGA</t>
        </is>
      </c>
      <c r="F1121" s="43" t="inlineStr">
        <is>
          <t>28-13446-07</t>
        </is>
      </c>
      <c r="G1121" s="43" t="inlineStr">
        <is>
          <t>BARE_PCB_PN_CANDIDATE</t>
        </is>
      </c>
      <c r="H1121" s="43" t="inlineStr"/>
      <c r="I1121" s="43" t="inlineStr">
        <is>
          <t>Expired</t>
        </is>
      </c>
      <c r="J1121" s="32" t="n">
        <v>46246</v>
      </c>
      <c r="K1121" s="32" t="n">
        <v>46176</v>
      </c>
      <c r="L1121" s="43" t="inlineStr">
        <is>
          <t>1602</t>
        </is>
      </c>
      <c r="M1121" s="43" t="n">
        <v>1</v>
      </c>
      <c r="N1121" s="33" t="inlineStr"/>
      <c r="O1121" s="43" t="inlineStr">
        <is>
          <t>UNVERIFIED</t>
        </is>
      </c>
      <c r="P1121" s="43" t="inlineStr">
        <is>
          <t>Pending Review</t>
        </is>
      </c>
      <c r="Q1121" s="33" t="inlineStr">
        <is>
          <t>Confirmar SKU/PCBA revision, PN exacto en Common DB, WO, BU, vigencia, planta y aprobacion firmada.</t>
        </is>
      </c>
    </row>
    <row r="1122">
      <c r="A1122" s="43" t="inlineStr">
        <is>
          <t>CTANJZ05242</t>
        </is>
      </c>
      <c r="B1122" s="43" t="inlineStr">
        <is>
          <t>D611127</t>
        </is>
      </c>
      <c r="C1122" s="43" t="inlineStr">
        <is>
          <t>037-STBU</t>
        </is>
      </c>
      <c r="D1122" s="43" t="inlineStr">
        <is>
          <t>FJZP</t>
        </is>
      </c>
      <c r="E1122" s="43" t="inlineStr">
        <is>
          <t>MCGA</t>
        </is>
      </c>
      <c r="F1122" s="43" t="inlineStr">
        <is>
          <t>28-13447-07</t>
        </is>
      </c>
      <c r="G1122" s="43" t="inlineStr">
        <is>
          <t>BARE_PCB_PN_CANDIDATE</t>
        </is>
      </c>
      <c r="H1122" s="43" t="inlineStr"/>
      <c r="I1122" s="43" t="inlineStr">
        <is>
          <t>Expired</t>
        </is>
      </c>
      <c r="J1122" s="32" t="n">
        <v>46246</v>
      </c>
      <c r="K1122" s="32" t="n">
        <v>46176</v>
      </c>
      <c r="L1122" s="43" t="inlineStr">
        <is>
          <t>1603</t>
        </is>
      </c>
      <c r="M1122" s="43" t="n">
        <v>1</v>
      </c>
      <c r="N1122" s="33" t="inlineStr"/>
      <c r="O1122" s="43" t="inlineStr">
        <is>
          <t>UNVERIFIED</t>
        </is>
      </c>
      <c r="P1122" s="43" t="inlineStr">
        <is>
          <t>Pending Review</t>
        </is>
      </c>
      <c r="Q1122" s="33" t="inlineStr">
        <is>
          <t>Confirmar SKU/PCBA revision, PN exacto en Common DB, WO, BU, vigencia, planta y aprobacion firmada.</t>
        </is>
      </c>
    </row>
    <row r="1123">
      <c r="A1123" s="43" t="inlineStr">
        <is>
          <t>CTANJZ05242</t>
        </is>
      </c>
      <c r="B1123" s="43" t="inlineStr">
        <is>
          <t>D611127</t>
        </is>
      </c>
      <c r="C1123" s="43" t="inlineStr">
        <is>
          <t>037-STBU</t>
        </is>
      </c>
      <c r="D1123" s="43" t="inlineStr">
        <is>
          <t>FJZP</t>
        </is>
      </c>
      <c r="E1123" s="43" t="inlineStr">
        <is>
          <t>MCGA</t>
        </is>
      </c>
      <c r="F1123" s="43" t="inlineStr">
        <is>
          <t>73-18488-08</t>
        </is>
      </c>
      <c r="G1123" s="43" t="inlineStr">
        <is>
          <t>BOARD_PN_CANDIDATE</t>
        </is>
      </c>
      <c r="H1123" s="43" t="inlineStr"/>
      <c r="I1123" s="43" t="inlineStr">
        <is>
          <t>Expired</t>
        </is>
      </c>
      <c r="J1123" s="32" t="n">
        <v>46246</v>
      </c>
      <c r="K1123" s="32" t="n">
        <v>46176</v>
      </c>
      <c r="L1123" s="43" t="inlineStr">
        <is>
          <t>1604</t>
        </is>
      </c>
      <c r="M1123" s="43" t="n">
        <v>1</v>
      </c>
      <c r="N1123" s="33" t="inlineStr"/>
      <c r="O1123" s="43" t="inlineStr">
        <is>
          <t>UNVERIFIED</t>
        </is>
      </c>
      <c r="P1123" s="43" t="inlineStr">
        <is>
          <t>Pending Review</t>
        </is>
      </c>
      <c r="Q1123" s="33" t="inlineStr">
        <is>
          <t>Confirmar SKU/PCBA revision, PN exacto en Common DB, WO, BU, vigencia, planta y aprobacion firmada.</t>
        </is>
      </c>
    </row>
    <row r="1124">
      <c r="A1124" s="43" t="inlineStr">
        <is>
          <t>CTANJZ05242</t>
        </is>
      </c>
      <c r="B1124" s="43" t="inlineStr">
        <is>
          <t>D611127</t>
        </is>
      </c>
      <c r="C1124" s="43" t="inlineStr">
        <is>
          <t>037-STBU</t>
        </is>
      </c>
      <c r="D1124" s="43" t="inlineStr">
        <is>
          <t>FJZP</t>
        </is>
      </c>
      <c r="E1124" s="43" t="inlineStr">
        <is>
          <t>MCGA</t>
        </is>
      </c>
      <c r="F1124" s="43" t="inlineStr">
        <is>
          <t>73-18489-08</t>
        </is>
      </c>
      <c r="G1124" s="43" t="inlineStr">
        <is>
          <t>BOARD_PN_CANDIDATE</t>
        </is>
      </c>
      <c r="H1124" s="43" t="inlineStr"/>
      <c r="I1124" s="43" t="inlineStr">
        <is>
          <t>Expired</t>
        </is>
      </c>
      <c r="J1124" s="32" t="n">
        <v>46246</v>
      </c>
      <c r="K1124" s="32" t="n">
        <v>46176</v>
      </c>
      <c r="L1124" s="43" t="inlineStr">
        <is>
          <t>1605</t>
        </is>
      </c>
      <c r="M1124" s="43" t="n">
        <v>1</v>
      </c>
      <c r="N1124" s="33" t="inlineStr"/>
      <c r="O1124" s="43" t="inlineStr">
        <is>
          <t>UNVERIFIED</t>
        </is>
      </c>
      <c r="P1124" s="43" t="inlineStr">
        <is>
          <t>Pending Review</t>
        </is>
      </c>
      <c r="Q1124" s="33" t="inlineStr">
        <is>
          <t>Confirmar SKU/PCBA revision, PN exacto en Common DB, WO, BU, vigencia, planta y aprobacion firmada.</t>
        </is>
      </c>
    </row>
    <row r="1125">
      <c r="A1125" s="43" t="inlineStr">
        <is>
          <t>CTANJZ05242</t>
        </is>
      </c>
      <c r="B1125" s="43" t="inlineStr">
        <is>
          <t>D611127</t>
        </is>
      </c>
      <c r="C1125" s="43" t="inlineStr">
        <is>
          <t>037-STBU</t>
        </is>
      </c>
      <c r="D1125" s="43" t="inlineStr">
        <is>
          <t>FJZP</t>
        </is>
      </c>
      <c r="E1125" s="43" t="inlineStr">
        <is>
          <t>MCGA</t>
        </is>
      </c>
      <c r="F1125" s="43" t="inlineStr">
        <is>
          <t>73-18490-10</t>
        </is>
      </c>
      <c r="G1125" s="43" t="inlineStr">
        <is>
          <t>BOARD_PN_CANDIDATE</t>
        </is>
      </c>
      <c r="H1125" s="43" t="inlineStr"/>
      <c r="I1125" s="43" t="inlineStr">
        <is>
          <t>Expired</t>
        </is>
      </c>
      <c r="J1125" s="32" t="n">
        <v>46246</v>
      </c>
      <c r="K1125" s="32" t="n">
        <v>46176</v>
      </c>
      <c r="L1125" s="43" t="inlineStr">
        <is>
          <t>1606</t>
        </is>
      </c>
      <c r="M1125" s="43" t="n">
        <v>1</v>
      </c>
      <c r="N1125" s="33" t="inlineStr"/>
      <c r="O1125" s="43" t="inlineStr">
        <is>
          <t>UNVERIFIED</t>
        </is>
      </c>
      <c r="P1125" s="43" t="inlineStr">
        <is>
          <t>Pending Review</t>
        </is>
      </c>
      <c r="Q1125" s="33" t="inlineStr">
        <is>
          <t>Confirmar SKU/PCBA revision, PN exacto en Common DB, WO, BU, vigencia, planta y aprobacion firmada.</t>
        </is>
      </c>
    </row>
    <row r="1126">
      <c r="A1126" s="43" t="inlineStr">
        <is>
          <t>CTANJZ05242</t>
        </is>
      </c>
      <c r="B1126" s="43" t="inlineStr">
        <is>
          <t>D611127</t>
        </is>
      </c>
      <c r="C1126" s="43" t="inlineStr">
        <is>
          <t>037-STBU</t>
        </is>
      </c>
      <c r="D1126" s="43" t="inlineStr">
        <is>
          <t>FJZP</t>
        </is>
      </c>
      <c r="E1126" s="43" t="inlineStr">
        <is>
          <t>MCGA</t>
        </is>
      </c>
      <c r="F1126" s="43" t="inlineStr">
        <is>
          <t>73-21007-03</t>
        </is>
      </c>
      <c r="G1126" s="43" t="inlineStr">
        <is>
          <t>BOARD_PN_CANDIDATE</t>
        </is>
      </c>
      <c r="H1126" s="43" t="inlineStr"/>
      <c r="I1126" s="43" t="inlineStr">
        <is>
          <t>Expired</t>
        </is>
      </c>
      <c r="J1126" s="32" t="n">
        <v>46246</v>
      </c>
      <c r="K1126" s="32" t="n">
        <v>46176</v>
      </c>
      <c r="L1126" s="43" t="inlineStr">
        <is>
          <t>1607</t>
        </is>
      </c>
      <c r="M1126" s="43" t="n">
        <v>1</v>
      </c>
      <c r="N1126" s="33" t="inlineStr"/>
      <c r="O1126" s="43" t="inlineStr">
        <is>
          <t>UNVERIFIED</t>
        </is>
      </c>
      <c r="P1126" s="43" t="inlineStr">
        <is>
          <t>Pending Review</t>
        </is>
      </c>
      <c r="Q1126" s="33" t="inlineStr">
        <is>
          <t>Confirmar SKU/PCBA revision, PN exacto en Common DB, WO, BU, vigencia, planta y aprobacion firmada.</t>
        </is>
      </c>
    </row>
    <row r="1127">
      <c r="A1127" s="43" t="inlineStr">
        <is>
          <t>CTANJZ05243</t>
        </is>
      </c>
      <c r="B1127" s="43" t="inlineStr">
        <is>
          <t>D611346</t>
        </is>
      </c>
      <c r="C1127" s="43" t="inlineStr">
        <is>
          <t>037-STBU</t>
        </is>
      </c>
      <c r="D1127" s="43" t="inlineStr">
        <is>
          <t>FJZP</t>
        </is>
      </c>
      <c r="E1127" s="43" t="inlineStr">
        <is>
          <t>MCGA</t>
        </is>
      </c>
      <c r="F1127" s="43" t="inlineStr">
        <is>
          <t>68-103464-06</t>
        </is>
      </c>
      <c r="G1127" s="43" t="inlineStr">
        <is>
          <t>OTHER_SCOPE_ITEM</t>
        </is>
      </c>
      <c r="H1127" s="43" t="inlineStr"/>
      <c r="I1127" s="43" t="inlineStr">
        <is>
          <t>Expired</t>
        </is>
      </c>
      <c r="J1127" s="32" t="n">
        <v>46246</v>
      </c>
      <c r="K1127" s="32" t="n">
        <v>46176</v>
      </c>
      <c r="L1127" s="43" t="inlineStr">
        <is>
          <t>1169</t>
        </is>
      </c>
      <c r="M1127" s="43" t="n">
        <v>1</v>
      </c>
      <c r="N1127" s="33" t="inlineStr"/>
      <c r="O1127" s="43" t="inlineStr">
        <is>
          <t>UNVERIFIED</t>
        </is>
      </c>
      <c r="P1127" s="43" t="inlineStr">
        <is>
          <t>Pending Review</t>
        </is>
      </c>
      <c r="Q1127" s="33" t="inlineStr">
        <is>
          <t>Confirmar SKU/PCBA revision, PN exacto en Common DB, WO, BU, vigencia, planta y aprobacion firmada.</t>
        </is>
      </c>
    </row>
    <row r="1128">
      <c r="A1128" s="43" t="inlineStr">
        <is>
          <t>CTANJZ05243</t>
        </is>
      </c>
      <c r="B1128" s="43" t="inlineStr">
        <is>
          <t>D611346</t>
        </is>
      </c>
      <c r="C1128" s="43" t="inlineStr">
        <is>
          <t>037-STBU</t>
        </is>
      </c>
      <c r="D1128" s="43" t="inlineStr">
        <is>
          <t>FJZP</t>
        </is>
      </c>
      <c r="E1128" s="43" t="inlineStr">
        <is>
          <t>MCGA</t>
        </is>
      </c>
      <c r="F1128" s="43" t="inlineStr">
        <is>
          <t>68-103465-06</t>
        </is>
      </c>
      <c r="G1128" s="43" t="inlineStr">
        <is>
          <t>OTHER_SCOPE_ITEM</t>
        </is>
      </c>
      <c r="H1128" s="43" t="inlineStr"/>
      <c r="I1128" s="43" t="inlineStr">
        <is>
          <t>Expired</t>
        </is>
      </c>
      <c r="J1128" s="32" t="n">
        <v>46246</v>
      </c>
      <c r="K1128" s="32" t="n">
        <v>46176</v>
      </c>
      <c r="L1128" s="43" t="inlineStr">
        <is>
          <t>1199</t>
        </is>
      </c>
      <c r="M1128" s="43" t="n">
        <v>1</v>
      </c>
      <c r="N1128" s="33" t="inlineStr"/>
      <c r="O1128" s="43" t="inlineStr">
        <is>
          <t>UNVERIFIED</t>
        </is>
      </c>
      <c r="P1128" s="43" t="inlineStr">
        <is>
          <t>Pending Review</t>
        </is>
      </c>
      <c r="Q1128" s="33" t="inlineStr">
        <is>
          <t>Confirmar SKU/PCBA revision, PN exacto en Common DB, WO, BU, vigencia, planta y aprobacion firmada.</t>
        </is>
      </c>
    </row>
    <row r="1129">
      <c r="A1129" s="43" t="inlineStr">
        <is>
          <t>CTANJZ05243</t>
        </is>
      </c>
      <c r="B1129" s="43" t="inlineStr">
        <is>
          <t>D611346</t>
        </is>
      </c>
      <c r="C1129" s="43" t="inlineStr">
        <is>
          <t>037-STBU</t>
        </is>
      </c>
      <c r="D1129" s="43" t="inlineStr">
        <is>
          <t>FJZP</t>
        </is>
      </c>
      <c r="E1129" s="43" t="inlineStr">
        <is>
          <t>MCGA</t>
        </is>
      </c>
      <c r="F1129" s="43" t="inlineStr">
        <is>
          <t>68-103466-06</t>
        </is>
      </c>
      <c r="G1129" s="43" t="inlineStr">
        <is>
          <t>OTHER_SCOPE_ITEM</t>
        </is>
      </c>
      <c r="H1129" s="43" t="inlineStr"/>
      <c r="I1129" s="43" t="inlineStr">
        <is>
          <t>Expired</t>
        </is>
      </c>
      <c r="J1129" s="32" t="n">
        <v>46246</v>
      </c>
      <c r="K1129" s="32" t="n">
        <v>46176</v>
      </c>
      <c r="L1129" s="43" t="inlineStr">
        <is>
          <t>1200</t>
        </is>
      </c>
      <c r="M1129" s="43" t="n">
        <v>1</v>
      </c>
      <c r="N1129" s="33" t="inlineStr"/>
      <c r="O1129" s="43" t="inlineStr">
        <is>
          <t>UNVERIFIED</t>
        </is>
      </c>
      <c r="P1129" s="43" t="inlineStr">
        <is>
          <t>Pending Review</t>
        </is>
      </c>
      <c r="Q1129" s="33" t="inlineStr">
        <is>
          <t>Confirmar SKU/PCBA revision, PN exacto en Common DB, WO, BU, vigencia, planta y aprobacion firmada.</t>
        </is>
      </c>
    </row>
    <row r="1130">
      <c r="A1130" s="43" t="inlineStr">
        <is>
          <t>CTANJZ05243</t>
        </is>
      </c>
      <c r="B1130" s="43" t="inlineStr">
        <is>
          <t>D611346</t>
        </is>
      </c>
      <c r="C1130" s="43" t="inlineStr">
        <is>
          <t>037-STBU</t>
        </is>
      </c>
      <c r="D1130" s="43" t="inlineStr">
        <is>
          <t>FJZP</t>
        </is>
      </c>
      <c r="E1130" s="43" t="inlineStr">
        <is>
          <t>MCGA</t>
        </is>
      </c>
      <c r="F1130" s="43" t="inlineStr">
        <is>
          <t>84-102476-01</t>
        </is>
      </c>
      <c r="G1130" s="43" t="inlineStr">
        <is>
          <t>OTHER_SCOPE_ITEM</t>
        </is>
      </c>
      <c r="H1130" s="43" t="inlineStr"/>
      <c r="I1130" s="43" t="inlineStr">
        <is>
          <t>Expired</t>
        </is>
      </c>
      <c r="J1130" s="32" t="n">
        <v>46246</v>
      </c>
      <c r="K1130" s="32" t="n">
        <v>46176</v>
      </c>
      <c r="L1130" s="43" t="inlineStr">
        <is>
          <t>1201</t>
        </is>
      </c>
      <c r="M1130" s="43" t="n">
        <v>1</v>
      </c>
      <c r="N1130" s="33" t="inlineStr"/>
      <c r="O1130" s="43" t="inlineStr">
        <is>
          <t>UNVERIFIED</t>
        </is>
      </c>
      <c r="P1130" s="43" t="inlineStr">
        <is>
          <t>Pending Review</t>
        </is>
      </c>
      <c r="Q1130" s="33" t="inlineStr">
        <is>
          <t>Confirmar SKU/PCBA revision, PN exacto en Common DB, WO, BU, vigencia, planta y aprobacion firmada.</t>
        </is>
      </c>
    </row>
    <row r="1131">
      <c r="A1131" s="43" t="inlineStr">
        <is>
          <t>CTANJZ05245</t>
        </is>
      </c>
      <c r="B1131" s="43" t="inlineStr">
        <is>
          <t>D611365</t>
        </is>
      </c>
      <c r="C1131" s="43" t="inlineStr">
        <is>
          <t>035-CVEBU</t>
        </is>
      </c>
      <c r="D1131" s="43" t="inlineStr">
        <is>
          <t>FJZP</t>
        </is>
      </c>
      <c r="E1131" s="43" t="inlineStr">
        <is>
          <t>MCGA</t>
        </is>
      </c>
      <c r="F1131" s="43" t="inlineStr">
        <is>
          <t>68-107082-01</t>
        </is>
      </c>
      <c r="G1131" s="43" t="inlineStr">
        <is>
          <t>OTHER_SCOPE_ITEM</t>
        </is>
      </c>
      <c r="H1131" s="43" t="inlineStr"/>
      <c r="I1131" s="43" t="inlineStr">
        <is>
          <t>Expired</t>
        </is>
      </c>
      <c r="J1131" s="32" t="n">
        <v>46247</v>
      </c>
      <c r="K1131" s="32" t="n">
        <v>46171</v>
      </c>
      <c r="L1131" s="43" t="inlineStr">
        <is>
          <t>577</t>
        </is>
      </c>
      <c r="M1131" s="43" t="n">
        <v>1</v>
      </c>
      <c r="N1131" s="33" t="inlineStr"/>
      <c r="O1131" s="43" t="inlineStr">
        <is>
          <t>UNVERIFIED</t>
        </is>
      </c>
      <c r="P1131" s="43" t="inlineStr">
        <is>
          <t>Pending Review</t>
        </is>
      </c>
      <c r="Q1131" s="33" t="inlineStr">
        <is>
          <t>Confirmar SKU/PCBA revision, PN exacto en Common DB, WO, BU, vigencia, planta y aprobacion firmada.</t>
        </is>
      </c>
    </row>
    <row r="1132">
      <c r="A1132" s="43" t="inlineStr">
        <is>
          <t>CTANJZ05245</t>
        </is>
      </c>
      <c r="B1132" s="43" t="inlineStr">
        <is>
          <t>D611365</t>
        </is>
      </c>
      <c r="C1132" s="43" t="inlineStr">
        <is>
          <t>035-CVEBU</t>
        </is>
      </c>
      <c r="D1132" s="43" t="inlineStr">
        <is>
          <t>FJZP</t>
        </is>
      </c>
      <c r="E1132" s="43" t="inlineStr">
        <is>
          <t>MCGA</t>
        </is>
      </c>
      <c r="F1132" s="43" t="inlineStr">
        <is>
          <t>68-107083-01</t>
        </is>
      </c>
      <c r="G1132" s="43" t="inlineStr">
        <is>
          <t>OTHER_SCOPE_ITEM</t>
        </is>
      </c>
      <c r="H1132" s="43" t="inlineStr"/>
      <c r="I1132" s="43" t="inlineStr">
        <is>
          <t>Expired</t>
        </is>
      </c>
      <c r="J1132" s="32" t="n">
        <v>46247</v>
      </c>
      <c r="K1132" s="32" t="n">
        <v>46171</v>
      </c>
      <c r="L1132" s="43" t="inlineStr">
        <is>
          <t>578</t>
        </is>
      </c>
      <c r="M1132" s="43" t="n">
        <v>1</v>
      </c>
      <c r="N1132" s="33" t="inlineStr"/>
      <c r="O1132" s="43" t="inlineStr">
        <is>
          <t>UNVERIFIED</t>
        </is>
      </c>
      <c r="P1132" s="43" t="inlineStr">
        <is>
          <t>Pending Review</t>
        </is>
      </c>
      <c r="Q1132" s="33" t="inlineStr">
        <is>
          <t>Confirmar SKU/PCBA revision, PN exacto en Common DB, WO, BU, vigencia, planta y aprobacion firmada.</t>
        </is>
      </c>
    </row>
    <row r="1133">
      <c r="A1133" s="43" t="inlineStr">
        <is>
          <t>CTANJZ05245</t>
        </is>
      </c>
      <c r="B1133" s="43" t="inlineStr">
        <is>
          <t>D611365</t>
        </is>
      </c>
      <c r="C1133" s="43" t="inlineStr">
        <is>
          <t>035-CVEBU</t>
        </is>
      </c>
      <c r="D1133" s="43" t="inlineStr">
        <is>
          <t>FJZP</t>
        </is>
      </c>
      <c r="E1133" s="43" t="inlineStr">
        <is>
          <t>MCGA</t>
        </is>
      </c>
      <c r="F1133" s="43" t="inlineStr">
        <is>
          <t>68-107084-01</t>
        </is>
      </c>
      <c r="G1133" s="43" t="inlineStr">
        <is>
          <t>OTHER_SCOPE_ITEM</t>
        </is>
      </c>
      <c r="H1133" s="43" t="inlineStr"/>
      <c r="I1133" s="43" t="inlineStr">
        <is>
          <t>Expired</t>
        </is>
      </c>
      <c r="J1133" s="32" t="n">
        <v>46247</v>
      </c>
      <c r="K1133" s="32" t="n">
        <v>46171</v>
      </c>
      <c r="L1133" s="43" t="inlineStr">
        <is>
          <t>579</t>
        </is>
      </c>
      <c r="M1133" s="43" t="n">
        <v>1</v>
      </c>
      <c r="N1133" s="33" t="inlineStr"/>
      <c r="O1133" s="43" t="inlineStr">
        <is>
          <t>UNVERIFIED</t>
        </is>
      </c>
      <c r="P1133" s="43" t="inlineStr">
        <is>
          <t>Pending Review</t>
        </is>
      </c>
      <c r="Q1133" s="33" t="inlineStr">
        <is>
          <t>Confirmar SKU/PCBA revision, PN exacto en Common DB, WO, BU, vigencia, planta y aprobacion firmada.</t>
        </is>
      </c>
    </row>
    <row r="1134">
      <c r="A1134" s="43" t="inlineStr">
        <is>
          <t>CTANJZ05245</t>
        </is>
      </c>
      <c r="B1134" s="43" t="inlineStr">
        <is>
          <t>D611365</t>
        </is>
      </c>
      <c r="C1134" s="43" t="inlineStr">
        <is>
          <t>035-CVEBU</t>
        </is>
      </c>
      <c r="D1134" s="43" t="inlineStr">
        <is>
          <t>FJZP</t>
        </is>
      </c>
      <c r="E1134" s="43" t="inlineStr">
        <is>
          <t>MCGA</t>
        </is>
      </c>
      <c r="F1134" s="43" t="inlineStr">
        <is>
          <t>68-107085-01</t>
        </is>
      </c>
      <c r="G1134" s="43" t="inlineStr">
        <is>
          <t>OTHER_SCOPE_ITEM</t>
        </is>
      </c>
      <c r="H1134" s="43" t="inlineStr"/>
      <c r="I1134" s="43" t="inlineStr">
        <is>
          <t>Expired</t>
        </is>
      </c>
      <c r="J1134" s="32" t="n">
        <v>46247</v>
      </c>
      <c r="K1134" s="32" t="n">
        <v>46171</v>
      </c>
      <c r="L1134" s="43" t="inlineStr">
        <is>
          <t>580</t>
        </is>
      </c>
      <c r="M1134" s="43" t="n">
        <v>1</v>
      </c>
      <c r="N1134" s="33" t="inlineStr"/>
      <c r="O1134" s="43" t="inlineStr">
        <is>
          <t>UNVERIFIED</t>
        </is>
      </c>
      <c r="P1134" s="43" t="inlineStr">
        <is>
          <t>Pending Review</t>
        </is>
      </c>
      <c r="Q1134" s="33" t="inlineStr">
        <is>
          <t>Confirmar SKU/PCBA revision, PN exacto en Common DB, WO, BU, vigencia, planta y aprobacion firmada.</t>
        </is>
      </c>
    </row>
    <row r="1135">
      <c r="A1135" s="43" t="inlineStr">
        <is>
          <t>CTANJZ05245</t>
        </is>
      </c>
      <c r="B1135" s="43" t="inlineStr">
        <is>
          <t>D611365</t>
        </is>
      </c>
      <c r="C1135" s="43" t="inlineStr">
        <is>
          <t>035-CVEBU</t>
        </is>
      </c>
      <c r="D1135" s="43" t="inlineStr">
        <is>
          <t>FJZP</t>
        </is>
      </c>
      <c r="E1135" s="43" t="inlineStr">
        <is>
          <t>MCGA</t>
        </is>
      </c>
      <c r="F1135" s="43" t="inlineStr">
        <is>
          <t>68-108083-01</t>
        </is>
      </c>
      <c r="G1135" s="43" t="inlineStr">
        <is>
          <t>OTHER_SCOPE_ITEM</t>
        </is>
      </c>
      <c r="H1135" s="43" t="inlineStr"/>
      <c r="I1135" s="43" t="inlineStr">
        <is>
          <t>Expired</t>
        </is>
      </c>
      <c r="J1135" s="32" t="n">
        <v>46247</v>
      </c>
      <c r="K1135" s="32" t="n">
        <v>46171</v>
      </c>
      <c r="L1135" s="43" t="inlineStr">
        <is>
          <t>581</t>
        </is>
      </c>
      <c r="M1135" s="43" t="n">
        <v>1</v>
      </c>
      <c r="N1135" s="33" t="inlineStr"/>
      <c r="O1135" s="43" t="inlineStr">
        <is>
          <t>UNVERIFIED</t>
        </is>
      </c>
      <c r="P1135" s="43" t="inlineStr">
        <is>
          <t>Pending Review</t>
        </is>
      </c>
      <c r="Q1135" s="33" t="inlineStr">
        <is>
          <t>Confirmar SKU/PCBA revision, PN exacto en Common DB, WO, BU, vigencia, planta y aprobacion firmada.</t>
        </is>
      </c>
    </row>
    <row r="1136">
      <c r="A1136" s="43" t="inlineStr">
        <is>
          <t>CTANJZ05245</t>
        </is>
      </c>
      <c r="B1136" s="43" t="inlineStr">
        <is>
          <t>D611365</t>
        </is>
      </c>
      <c r="C1136" s="43" t="inlineStr">
        <is>
          <t>035-CVEBU</t>
        </is>
      </c>
      <c r="D1136" s="43" t="inlineStr">
        <is>
          <t>FJZP</t>
        </is>
      </c>
      <c r="E1136" s="43" t="inlineStr">
        <is>
          <t>MCGA</t>
        </is>
      </c>
      <c r="F1136" s="43" t="inlineStr">
        <is>
          <t>68-108085-01</t>
        </is>
      </c>
      <c r="G1136" s="43" t="inlineStr">
        <is>
          <t>OTHER_SCOPE_ITEM</t>
        </is>
      </c>
      <c r="H1136" s="43" t="inlineStr"/>
      <c r="I1136" s="43" t="inlineStr">
        <is>
          <t>Expired</t>
        </is>
      </c>
      <c r="J1136" s="32" t="n">
        <v>46247</v>
      </c>
      <c r="K1136" s="32" t="n">
        <v>46171</v>
      </c>
      <c r="L1136" s="43" t="inlineStr">
        <is>
          <t>582</t>
        </is>
      </c>
      <c r="M1136" s="43" t="n">
        <v>1</v>
      </c>
      <c r="N1136" s="33" t="inlineStr"/>
      <c r="O1136" s="43" t="inlineStr">
        <is>
          <t>UNVERIFIED</t>
        </is>
      </c>
      <c r="P1136" s="43" t="inlineStr">
        <is>
          <t>Pending Review</t>
        </is>
      </c>
      <c r="Q1136" s="33" t="inlineStr">
        <is>
          <t>Confirmar SKU/PCBA revision, PN exacto en Common DB, WO, BU, vigencia, planta y aprobacion firmada.</t>
        </is>
      </c>
    </row>
    <row r="1137">
      <c r="A1137" s="43" t="inlineStr">
        <is>
          <t>CTANJZ05247</t>
        </is>
      </c>
      <c r="B1137" s="43" t="inlineStr">
        <is>
          <t>D611179</t>
        </is>
      </c>
      <c r="C1137" s="43" t="inlineStr">
        <is>
          <t>037-STBU</t>
        </is>
      </c>
      <c r="D1137" s="43" t="inlineStr">
        <is>
          <t>FJZP</t>
        </is>
      </c>
      <c r="E1137" s="43" t="inlineStr">
        <is>
          <t>MCGA</t>
        </is>
      </c>
      <c r="F1137" s="43" t="inlineStr">
        <is>
          <t>16-100671-01</t>
        </is>
      </c>
      <c r="G1137" s="43" t="inlineStr">
        <is>
          <t>OTHER_SCOPE_ITEM</t>
        </is>
      </c>
      <c r="H1137" s="43" t="inlineStr"/>
      <c r="I1137" s="43" t="inlineStr">
        <is>
          <t>Expired</t>
        </is>
      </c>
      <c r="J1137" s="32" t="n">
        <v>46250</v>
      </c>
      <c r="K1137" s="32" t="n">
        <v>46177</v>
      </c>
      <c r="L1137" s="43" t="inlineStr">
        <is>
          <t>1203</t>
        </is>
      </c>
      <c r="M1137" s="43" t="n">
        <v>1</v>
      </c>
      <c r="N1137" s="33" t="inlineStr"/>
      <c r="O1137" s="43" t="inlineStr">
        <is>
          <t>UNVERIFIED</t>
        </is>
      </c>
      <c r="P1137" s="43" t="inlineStr">
        <is>
          <t>Pending Review</t>
        </is>
      </c>
      <c r="Q1137" s="33" t="inlineStr">
        <is>
          <t>Confirmar SKU/PCBA revision, PN exacto en Common DB, WO, BU, vigencia, planta y aprobacion firmada.</t>
        </is>
      </c>
    </row>
    <row r="1138">
      <c r="A1138" s="43" t="inlineStr">
        <is>
          <t>CTANJZ05247</t>
        </is>
      </c>
      <c r="B1138" s="43" t="inlineStr">
        <is>
          <t>D611179</t>
        </is>
      </c>
      <c r="C1138" s="43" t="inlineStr">
        <is>
          <t>037-STBU</t>
        </is>
      </c>
      <c r="D1138" s="43" t="inlineStr">
        <is>
          <t>FJZP</t>
        </is>
      </c>
      <c r="E1138" s="43" t="inlineStr">
        <is>
          <t>MCGA</t>
        </is>
      </c>
      <c r="F1138" s="43" t="inlineStr">
        <is>
          <t>800-102881-02</t>
        </is>
      </c>
      <c r="G1138" s="43" t="inlineStr">
        <is>
          <t>OTHER_SCOPE_ITEM</t>
        </is>
      </c>
      <c r="H1138" s="43" t="inlineStr"/>
      <c r="I1138" s="43" t="inlineStr">
        <is>
          <t>Expired</t>
        </is>
      </c>
      <c r="J1138" s="32" t="n">
        <v>46250</v>
      </c>
      <c r="K1138" s="32" t="n">
        <v>46177</v>
      </c>
      <c r="L1138" s="43" t="inlineStr">
        <is>
          <t>1204</t>
        </is>
      </c>
      <c r="M1138" s="43" t="n">
        <v>1</v>
      </c>
      <c r="N1138" s="33" t="inlineStr"/>
      <c r="O1138" s="43" t="inlineStr">
        <is>
          <t>UNVERIFIED</t>
        </is>
      </c>
      <c r="P1138" s="43" t="inlineStr">
        <is>
          <t>Pending Review</t>
        </is>
      </c>
      <c r="Q1138" s="33" t="inlineStr">
        <is>
          <t>Confirmar SKU/PCBA revision, PN exacto en Common DB, WO, BU, vigencia, planta y aprobacion firmada.</t>
        </is>
      </c>
    </row>
    <row r="1139">
      <c r="A1139" s="43" t="inlineStr">
        <is>
          <t>CTANJZ05250</t>
        </is>
      </c>
      <c r="B1139" s="43" t="inlineStr">
        <is>
          <t>D611256</t>
        </is>
      </c>
      <c r="C1139" s="43" t="inlineStr">
        <is>
          <t>037-STBU</t>
        </is>
      </c>
      <c r="D1139" s="43" t="inlineStr">
        <is>
          <t>FJZP</t>
        </is>
      </c>
      <c r="E1139" s="43" t="inlineStr">
        <is>
          <t>MCGA</t>
        </is>
      </c>
      <c r="F1139" s="43" t="inlineStr">
        <is>
          <t>28-101945-03</t>
        </is>
      </c>
      <c r="G1139" s="43" t="inlineStr">
        <is>
          <t>BARE_PCB_PN_CANDIDATE</t>
        </is>
      </c>
      <c r="H1139" s="43" t="inlineStr"/>
      <c r="I1139" s="43" t="inlineStr">
        <is>
          <t>Expired</t>
        </is>
      </c>
      <c r="J1139" s="32" t="n">
        <v>46250</v>
      </c>
      <c r="K1139" s="32" t="n">
        <v>46183</v>
      </c>
      <c r="L1139" s="43" t="inlineStr">
        <is>
          <t>1487</t>
        </is>
      </c>
      <c r="M1139" s="43" t="n">
        <v>1</v>
      </c>
      <c r="N1139" s="33" t="inlineStr"/>
      <c r="O1139" s="43" t="inlineStr">
        <is>
          <t>UNVERIFIED</t>
        </is>
      </c>
      <c r="P1139" s="43" t="inlineStr">
        <is>
          <t>Pending Review</t>
        </is>
      </c>
      <c r="Q1139" s="33" t="inlineStr">
        <is>
          <t>Confirmar SKU/PCBA revision, PN exacto en Common DB, WO, BU, vigencia, planta y aprobacion firmada.</t>
        </is>
      </c>
    </row>
    <row r="1140">
      <c r="A1140" s="43" t="inlineStr">
        <is>
          <t>CTANJZ05250</t>
        </is>
      </c>
      <c r="B1140" s="43" t="inlineStr">
        <is>
          <t>D611256</t>
        </is>
      </c>
      <c r="C1140" s="43" t="inlineStr">
        <is>
          <t>037-STBU</t>
        </is>
      </c>
      <c r="D1140" s="43" t="inlineStr">
        <is>
          <t>FJZP</t>
        </is>
      </c>
      <c r="E1140" s="43" t="inlineStr">
        <is>
          <t>MCGA</t>
        </is>
      </c>
      <c r="F1140" s="43" t="inlineStr">
        <is>
          <t>28-101946-03</t>
        </is>
      </c>
      <c r="G1140" s="43" t="inlineStr">
        <is>
          <t>BARE_PCB_PN_CANDIDATE</t>
        </is>
      </c>
      <c r="H1140" s="43" t="inlineStr"/>
      <c r="I1140" s="43" t="inlineStr">
        <is>
          <t>Expired</t>
        </is>
      </c>
      <c r="J1140" s="32" t="n">
        <v>46250</v>
      </c>
      <c r="K1140" s="32" t="n">
        <v>46183</v>
      </c>
      <c r="L1140" s="43" t="inlineStr">
        <is>
          <t>1488</t>
        </is>
      </c>
      <c r="M1140" s="43" t="n">
        <v>1</v>
      </c>
      <c r="N1140" s="33" t="inlineStr"/>
      <c r="O1140" s="43" t="inlineStr">
        <is>
          <t>UNVERIFIED</t>
        </is>
      </c>
      <c r="P1140" s="43" t="inlineStr">
        <is>
          <t>Pending Review</t>
        </is>
      </c>
      <c r="Q1140" s="33" t="inlineStr">
        <is>
          <t>Confirmar SKU/PCBA revision, PN exacto en Common DB, WO, BU, vigencia, planta y aprobacion firmada.</t>
        </is>
      </c>
    </row>
    <row r="1141">
      <c r="A1141" s="43" t="inlineStr">
        <is>
          <t>CTANJZ05250</t>
        </is>
      </c>
      <c r="B1141" s="43" t="inlineStr">
        <is>
          <t>D611256</t>
        </is>
      </c>
      <c r="C1141" s="43" t="inlineStr">
        <is>
          <t>037-STBU</t>
        </is>
      </c>
      <c r="D1141" s="43" t="inlineStr">
        <is>
          <t>FJZP</t>
        </is>
      </c>
      <c r="E1141" s="43" t="inlineStr">
        <is>
          <t>MCGA</t>
        </is>
      </c>
      <c r="F1141" s="43" t="inlineStr">
        <is>
          <t>28-102178-04</t>
        </is>
      </c>
      <c r="G1141" s="43" t="inlineStr">
        <is>
          <t>BARE_PCB_PN_CANDIDATE</t>
        </is>
      </c>
      <c r="H1141" s="43" t="inlineStr"/>
      <c r="I1141" s="43" t="inlineStr">
        <is>
          <t>Expired</t>
        </is>
      </c>
      <c r="J1141" s="32" t="n">
        <v>46250</v>
      </c>
      <c r="K1141" s="32" t="n">
        <v>46183</v>
      </c>
      <c r="L1141" s="43" t="inlineStr">
        <is>
          <t>1489</t>
        </is>
      </c>
      <c r="M1141" s="43" t="n">
        <v>1</v>
      </c>
      <c r="N1141" s="33" t="inlineStr"/>
      <c r="O1141" s="43" t="inlineStr">
        <is>
          <t>UNVERIFIED</t>
        </is>
      </c>
      <c r="P1141" s="43" t="inlineStr">
        <is>
          <t>Pending Review</t>
        </is>
      </c>
      <c r="Q1141" s="33" t="inlineStr">
        <is>
          <t>Confirmar SKU/PCBA revision, PN exacto en Common DB, WO, BU, vigencia, planta y aprobacion firmada.</t>
        </is>
      </c>
    </row>
    <row r="1142">
      <c r="A1142" s="43" t="inlineStr">
        <is>
          <t>CTANJZ05250</t>
        </is>
      </c>
      <c r="B1142" s="43" t="inlineStr">
        <is>
          <t>D611256</t>
        </is>
      </c>
      <c r="C1142" s="43" t="inlineStr">
        <is>
          <t>037-STBU</t>
        </is>
      </c>
      <c r="D1142" s="43" t="inlineStr">
        <is>
          <t>FJZP</t>
        </is>
      </c>
      <c r="E1142" s="43" t="inlineStr">
        <is>
          <t>MCGA</t>
        </is>
      </c>
      <c r="F1142" s="43" t="inlineStr">
        <is>
          <t>28-102180-04</t>
        </is>
      </c>
      <c r="G1142" s="43" t="inlineStr">
        <is>
          <t>BARE_PCB_PN_CANDIDATE</t>
        </is>
      </c>
      <c r="H1142" s="43" t="inlineStr"/>
      <c r="I1142" s="43" t="inlineStr">
        <is>
          <t>Expired</t>
        </is>
      </c>
      <c r="J1142" s="32" t="n">
        <v>46250</v>
      </c>
      <c r="K1142" s="32" t="n">
        <v>46183</v>
      </c>
      <c r="L1142" s="43" t="inlineStr">
        <is>
          <t>1490</t>
        </is>
      </c>
      <c r="M1142" s="43" t="n">
        <v>1</v>
      </c>
      <c r="N1142" s="33" t="inlineStr"/>
      <c r="O1142" s="43" t="inlineStr">
        <is>
          <t>UNVERIFIED</t>
        </is>
      </c>
      <c r="P1142" s="43" t="inlineStr">
        <is>
          <t>Pending Review</t>
        </is>
      </c>
      <c r="Q1142" s="33" t="inlineStr">
        <is>
          <t>Confirmar SKU/PCBA revision, PN exacto en Common DB, WO, BU, vigencia, planta y aprobacion firmada.</t>
        </is>
      </c>
    </row>
    <row r="1143">
      <c r="A1143" s="43" t="inlineStr">
        <is>
          <t>CTANJZ05250</t>
        </is>
      </c>
      <c r="B1143" s="43" t="inlineStr">
        <is>
          <t>D611256</t>
        </is>
      </c>
      <c r="C1143" s="43" t="inlineStr">
        <is>
          <t>037-STBU</t>
        </is>
      </c>
      <c r="D1143" s="43" t="inlineStr">
        <is>
          <t>FJZP</t>
        </is>
      </c>
      <c r="E1143" s="43" t="inlineStr">
        <is>
          <t>MCGA</t>
        </is>
      </c>
      <c r="F1143" s="43" t="inlineStr">
        <is>
          <t>28-102297-04</t>
        </is>
      </c>
      <c r="G1143" s="43" t="inlineStr">
        <is>
          <t>BARE_PCB_PN_CANDIDATE</t>
        </is>
      </c>
      <c r="H1143" s="43" t="inlineStr"/>
      <c r="I1143" s="43" t="inlineStr">
        <is>
          <t>Expired</t>
        </is>
      </c>
      <c r="J1143" s="32" t="n">
        <v>46250</v>
      </c>
      <c r="K1143" s="32" t="n">
        <v>46183</v>
      </c>
      <c r="L1143" s="43" t="inlineStr">
        <is>
          <t>1491</t>
        </is>
      </c>
      <c r="M1143" s="43" t="n">
        <v>1</v>
      </c>
      <c r="N1143" s="33" t="inlineStr"/>
      <c r="O1143" s="43" t="inlineStr">
        <is>
          <t>UNVERIFIED</t>
        </is>
      </c>
      <c r="P1143" s="43" t="inlineStr">
        <is>
          <t>Pending Review</t>
        </is>
      </c>
      <c r="Q1143" s="33" t="inlineStr">
        <is>
          <t>Confirmar SKU/PCBA revision, PN exacto en Common DB, WO, BU, vigencia, planta y aprobacion firmada.</t>
        </is>
      </c>
    </row>
    <row r="1144">
      <c r="A1144" s="43" t="inlineStr">
        <is>
          <t>CTANJZ05250</t>
        </is>
      </c>
      <c r="B1144" s="43" t="inlineStr">
        <is>
          <t>D611256</t>
        </is>
      </c>
      <c r="C1144" s="43" t="inlineStr">
        <is>
          <t>037-STBU</t>
        </is>
      </c>
      <c r="D1144" s="43" t="inlineStr">
        <is>
          <t>FJZP</t>
        </is>
      </c>
      <c r="E1144" s="43" t="inlineStr">
        <is>
          <t>MCGA</t>
        </is>
      </c>
      <c r="F1144" s="43" t="inlineStr">
        <is>
          <t>28-102298-03</t>
        </is>
      </c>
      <c r="G1144" s="43" t="inlineStr">
        <is>
          <t>BARE_PCB_PN_CANDIDATE</t>
        </is>
      </c>
      <c r="H1144" s="43" t="inlineStr"/>
      <c r="I1144" s="43" t="inlineStr">
        <is>
          <t>Expired</t>
        </is>
      </c>
      <c r="J1144" s="32" t="n">
        <v>46250</v>
      </c>
      <c r="K1144" s="32" t="n">
        <v>46183</v>
      </c>
      <c r="L1144" s="43" t="inlineStr">
        <is>
          <t>1492</t>
        </is>
      </c>
      <c r="M1144" s="43" t="n">
        <v>1</v>
      </c>
      <c r="N1144" s="33" t="inlineStr"/>
      <c r="O1144" s="43" t="inlineStr">
        <is>
          <t>UNVERIFIED</t>
        </is>
      </c>
      <c r="P1144" s="43" t="inlineStr">
        <is>
          <t>Pending Review</t>
        </is>
      </c>
      <c r="Q1144" s="33" t="inlineStr">
        <is>
          <t>Confirmar SKU/PCBA revision, PN exacto en Common DB, WO, BU, vigencia, planta y aprobacion firmada.</t>
        </is>
      </c>
    </row>
    <row r="1145">
      <c r="A1145" s="43" t="inlineStr">
        <is>
          <t>CTANJZ05250</t>
        </is>
      </c>
      <c r="B1145" s="43" t="inlineStr">
        <is>
          <t>D611256</t>
        </is>
      </c>
      <c r="C1145" s="43" t="inlineStr">
        <is>
          <t>037-STBU</t>
        </is>
      </c>
      <c r="D1145" s="43" t="inlineStr">
        <is>
          <t>FJZP</t>
        </is>
      </c>
      <c r="E1145" s="43" t="inlineStr">
        <is>
          <t>MCGA</t>
        </is>
      </c>
      <c r="F1145" s="43" t="inlineStr">
        <is>
          <t>28-102686-01</t>
        </is>
      </c>
      <c r="G1145" s="43" t="inlineStr">
        <is>
          <t>BARE_PCB_PN_CANDIDATE</t>
        </is>
      </c>
      <c r="H1145" s="43" t="inlineStr"/>
      <c r="I1145" s="43" t="inlineStr">
        <is>
          <t>Expired</t>
        </is>
      </c>
      <c r="J1145" s="32" t="n">
        <v>46250</v>
      </c>
      <c r="K1145" s="32" t="n">
        <v>46183</v>
      </c>
      <c r="L1145" s="43" t="inlineStr">
        <is>
          <t>1493</t>
        </is>
      </c>
      <c r="M1145" s="43" t="n">
        <v>1</v>
      </c>
      <c r="N1145" s="33" t="inlineStr"/>
      <c r="O1145" s="43" t="inlineStr">
        <is>
          <t>UNVERIFIED</t>
        </is>
      </c>
      <c r="P1145" s="43" t="inlineStr">
        <is>
          <t>Pending Review</t>
        </is>
      </c>
      <c r="Q1145" s="33" t="inlineStr">
        <is>
          <t>Confirmar SKU/PCBA revision, PN exacto en Common DB, WO, BU, vigencia, planta y aprobacion firmada.</t>
        </is>
      </c>
    </row>
    <row r="1146">
      <c r="A1146" s="43" t="inlineStr">
        <is>
          <t>CTANJZ05250</t>
        </is>
      </c>
      <c r="B1146" s="43" t="inlineStr">
        <is>
          <t>D611256</t>
        </is>
      </c>
      <c r="C1146" s="43" t="inlineStr">
        <is>
          <t>037-STBU</t>
        </is>
      </c>
      <c r="D1146" s="43" t="inlineStr">
        <is>
          <t>FJZP</t>
        </is>
      </c>
      <c r="E1146" s="43" t="inlineStr">
        <is>
          <t>MCGA</t>
        </is>
      </c>
      <c r="F1146" s="43" t="inlineStr">
        <is>
          <t>73-101944-03</t>
        </is>
      </c>
      <c r="G1146" s="43" t="inlineStr">
        <is>
          <t>BOARD_PN_CANDIDATE</t>
        </is>
      </c>
      <c r="H1146" s="43" t="inlineStr"/>
      <c r="I1146" s="43" t="inlineStr">
        <is>
          <t>Expired</t>
        </is>
      </c>
      <c r="J1146" s="32" t="n">
        <v>46250</v>
      </c>
      <c r="K1146" s="32" t="n">
        <v>46183</v>
      </c>
      <c r="L1146" s="43" t="inlineStr">
        <is>
          <t>1494</t>
        </is>
      </c>
      <c r="M1146" s="43" t="n">
        <v>1</v>
      </c>
      <c r="N1146" s="33" t="inlineStr"/>
      <c r="O1146" s="43" t="inlineStr">
        <is>
          <t>UNVERIFIED</t>
        </is>
      </c>
      <c r="P1146" s="43" t="inlineStr">
        <is>
          <t>Pending Review</t>
        </is>
      </c>
      <c r="Q1146" s="33" t="inlineStr">
        <is>
          <t>Confirmar SKU/PCBA revision, PN exacto en Common DB, WO, BU, vigencia, planta y aprobacion firmada.</t>
        </is>
      </c>
    </row>
    <row r="1147">
      <c r="A1147" s="43" t="inlineStr">
        <is>
          <t>CTANJZ05250</t>
        </is>
      </c>
      <c r="B1147" s="43" t="inlineStr">
        <is>
          <t>D611256</t>
        </is>
      </c>
      <c r="C1147" s="43" t="inlineStr">
        <is>
          <t>037-STBU</t>
        </is>
      </c>
      <c r="D1147" s="43" t="inlineStr">
        <is>
          <t>FJZP</t>
        </is>
      </c>
      <c r="E1147" s="43" t="inlineStr">
        <is>
          <t>MCGA</t>
        </is>
      </c>
      <c r="F1147" s="43" t="inlineStr">
        <is>
          <t>73-101945-03</t>
        </is>
      </c>
      <c r="G1147" s="43" t="inlineStr">
        <is>
          <t>BOARD_PN_CANDIDATE</t>
        </is>
      </c>
      <c r="H1147" s="43" t="inlineStr"/>
      <c r="I1147" s="43" t="inlineStr">
        <is>
          <t>Expired</t>
        </is>
      </c>
      <c r="J1147" s="32" t="n">
        <v>46250</v>
      </c>
      <c r="K1147" s="32" t="n">
        <v>46183</v>
      </c>
      <c r="L1147" s="43" t="inlineStr">
        <is>
          <t>1495</t>
        </is>
      </c>
      <c r="M1147" s="43" t="n">
        <v>1</v>
      </c>
      <c r="N1147" s="33" t="inlineStr"/>
      <c r="O1147" s="43" t="inlineStr">
        <is>
          <t>UNVERIFIED</t>
        </is>
      </c>
      <c r="P1147" s="43" t="inlineStr">
        <is>
          <t>Pending Review</t>
        </is>
      </c>
      <c r="Q1147" s="33" t="inlineStr">
        <is>
          <t>Confirmar SKU/PCBA revision, PN exacto en Common DB, WO, BU, vigencia, planta y aprobacion firmada.</t>
        </is>
      </c>
    </row>
    <row r="1148">
      <c r="A1148" s="43" t="inlineStr">
        <is>
          <t>CTANJZ05250</t>
        </is>
      </c>
      <c r="B1148" s="43" t="inlineStr">
        <is>
          <t>D611256</t>
        </is>
      </c>
      <c r="C1148" s="43" t="inlineStr">
        <is>
          <t>037-STBU</t>
        </is>
      </c>
      <c r="D1148" s="43" t="inlineStr">
        <is>
          <t>FJZP</t>
        </is>
      </c>
      <c r="E1148" s="43" t="inlineStr">
        <is>
          <t>MCGA</t>
        </is>
      </c>
      <c r="F1148" s="43" t="inlineStr">
        <is>
          <t>73-102418-04</t>
        </is>
      </c>
      <c r="G1148" s="43" t="inlineStr">
        <is>
          <t>BOARD_PN_CANDIDATE</t>
        </is>
      </c>
      <c r="H1148" s="43" t="inlineStr"/>
      <c r="I1148" s="43" t="inlineStr">
        <is>
          <t>Expired</t>
        </is>
      </c>
      <c r="J1148" s="32" t="n">
        <v>46250</v>
      </c>
      <c r="K1148" s="32" t="n">
        <v>46183</v>
      </c>
      <c r="L1148" s="43" t="inlineStr">
        <is>
          <t>1496</t>
        </is>
      </c>
      <c r="M1148" s="43" t="n">
        <v>1</v>
      </c>
      <c r="N1148" s="33" t="inlineStr"/>
      <c r="O1148" s="43" t="inlineStr">
        <is>
          <t>UNVERIFIED</t>
        </is>
      </c>
      <c r="P1148" s="43" t="inlineStr">
        <is>
          <t>Pending Review</t>
        </is>
      </c>
      <c r="Q1148" s="33" t="inlineStr">
        <is>
          <t>Confirmar SKU/PCBA revision, PN exacto en Common DB, WO, BU, vigencia, planta y aprobacion firmada.</t>
        </is>
      </c>
    </row>
    <row r="1149">
      <c r="A1149" s="43" t="inlineStr">
        <is>
          <t>CTANJZ05250</t>
        </is>
      </c>
      <c r="B1149" s="43" t="inlineStr">
        <is>
          <t>D611256</t>
        </is>
      </c>
      <c r="C1149" s="43" t="inlineStr">
        <is>
          <t>037-STBU</t>
        </is>
      </c>
      <c r="D1149" s="43" t="inlineStr">
        <is>
          <t>FJZP</t>
        </is>
      </c>
      <c r="E1149" s="43" t="inlineStr">
        <is>
          <t>MCGA</t>
        </is>
      </c>
      <c r="F1149" s="43" t="inlineStr">
        <is>
          <t>73-102419-03</t>
        </is>
      </c>
      <c r="G1149" s="43" t="inlineStr">
        <is>
          <t>BOARD_PN_CANDIDATE</t>
        </is>
      </c>
      <c r="H1149" s="43" t="inlineStr"/>
      <c r="I1149" s="43" t="inlineStr">
        <is>
          <t>Expired</t>
        </is>
      </c>
      <c r="J1149" s="32" t="n">
        <v>46250</v>
      </c>
      <c r="K1149" s="32" t="n">
        <v>46183</v>
      </c>
      <c r="L1149" s="43" t="inlineStr">
        <is>
          <t>1497</t>
        </is>
      </c>
      <c r="M1149" s="43" t="n">
        <v>1</v>
      </c>
      <c r="N1149" s="33" t="inlineStr"/>
      <c r="O1149" s="43" t="inlineStr">
        <is>
          <t>UNVERIFIED</t>
        </is>
      </c>
      <c r="P1149" s="43" t="inlineStr">
        <is>
          <t>Pending Review</t>
        </is>
      </c>
      <c r="Q1149" s="33" t="inlineStr">
        <is>
          <t>Confirmar SKU/PCBA revision, PN exacto en Common DB, WO, BU, vigencia, planta y aprobacion firmada.</t>
        </is>
      </c>
    </row>
    <row r="1150">
      <c r="A1150" s="43" t="inlineStr">
        <is>
          <t>CTANJZ05250</t>
        </is>
      </c>
      <c r="B1150" s="43" t="inlineStr">
        <is>
          <t>D611256</t>
        </is>
      </c>
      <c r="C1150" s="43" t="inlineStr">
        <is>
          <t>037-STBU</t>
        </is>
      </c>
      <c r="D1150" s="43" t="inlineStr">
        <is>
          <t>FJZP</t>
        </is>
      </c>
      <c r="E1150" s="43" t="inlineStr">
        <is>
          <t>MCGA</t>
        </is>
      </c>
      <c r="F1150" s="43" t="inlineStr">
        <is>
          <t>73-102888-01</t>
        </is>
      </c>
      <c r="G1150" s="43" t="inlineStr">
        <is>
          <t>BOARD_PN_CANDIDATE</t>
        </is>
      </c>
      <c r="H1150" s="43" t="inlineStr"/>
      <c r="I1150" s="43" t="inlineStr">
        <is>
          <t>Expired</t>
        </is>
      </c>
      <c r="J1150" s="32" t="n">
        <v>46250</v>
      </c>
      <c r="K1150" s="32" t="n">
        <v>46183</v>
      </c>
      <c r="L1150" s="43" t="inlineStr">
        <is>
          <t>1498</t>
        </is>
      </c>
      <c r="M1150" s="43" t="n">
        <v>1</v>
      </c>
      <c r="N1150" s="33" t="inlineStr"/>
      <c r="O1150" s="43" t="inlineStr">
        <is>
          <t>UNVERIFIED</t>
        </is>
      </c>
      <c r="P1150" s="43" t="inlineStr">
        <is>
          <t>Pending Review</t>
        </is>
      </c>
      <c r="Q1150" s="33" t="inlineStr">
        <is>
          <t>Confirmar SKU/PCBA revision, PN exacto en Common DB, WO, BU, vigencia, planta y aprobacion firmada.</t>
        </is>
      </c>
    </row>
    <row r="1151">
      <c r="A1151" s="43" t="inlineStr">
        <is>
          <t>CTANJZ05250</t>
        </is>
      </c>
      <c r="B1151" s="43" t="inlineStr">
        <is>
          <t>D611256</t>
        </is>
      </c>
      <c r="C1151" s="43" t="inlineStr">
        <is>
          <t>037-STBU</t>
        </is>
      </c>
      <c r="D1151" s="43" t="inlineStr">
        <is>
          <t>FJZP</t>
        </is>
      </c>
      <c r="E1151" s="43" t="inlineStr">
        <is>
          <t>MCGA</t>
        </is>
      </c>
      <c r="F1151" s="43" t="inlineStr">
        <is>
          <t>73-20247-06</t>
        </is>
      </c>
      <c r="G1151" s="43" t="inlineStr">
        <is>
          <t>BOARD_PN_CANDIDATE</t>
        </is>
      </c>
      <c r="H1151" s="43" t="inlineStr">
        <is>
          <t>TUFNELL PARK</t>
        </is>
      </c>
      <c r="I1151" s="43" t="inlineStr">
        <is>
          <t>Expired</t>
        </is>
      </c>
      <c r="J1151" s="32" t="n">
        <v>46250</v>
      </c>
      <c r="K1151" s="32" t="n">
        <v>46183</v>
      </c>
      <c r="L1151" s="43" t="inlineStr">
        <is>
          <t>1499</t>
        </is>
      </c>
      <c r="M1151" s="43" t="n">
        <v>1</v>
      </c>
      <c r="N1151" s="33" t="inlineStr"/>
      <c r="O1151" s="43" t="inlineStr">
        <is>
          <t>UNVERIFIED</t>
        </is>
      </c>
      <c r="P1151" s="43" t="inlineStr">
        <is>
          <t>Pending Review</t>
        </is>
      </c>
      <c r="Q1151" s="33" t="inlineStr">
        <is>
          <t>Confirmar SKU/PCBA revision, PN exacto en Common DB, WO, BU, vigencia, planta y aprobacion firmada.</t>
        </is>
      </c>
    </row>
    <row r="1152">
      <c r="A1152" s="43" t="inlineStr">
        <is>
          <t>CTANJZ05250</t>
        </is>
      </c>
      <c r="B1152" s="43" t="inlineStr">
        <is>
          <t>D611256</t>
        </is>
      </c>
      <c r="C1152" s="43" t="inlineStr">
        <is>
          <t>037-STBU</t>
        </is>
      </c>
      <c r="D1152" s="43" t="inlineStr">
        <is>
          <t>FJZP</t>
        </is>
      </c>
      <c r="E1152" s="43" t="inlineStr">
        <is>
          <t>MCGA</t>
        </is>
      </c>
      <c r="F1152" s="43" t="inlineStr">
        <is>
          <t>73-20249-06</t>
        </is>
      </c>
      <c r="G1152" s="43" t="inlineStr">
        <is>
          <t>BOARD_PN_CANDIDATE</t>
        </is>
      </c>
      <c r="H1152" s="43" t="inlineStr">
        <is>
          <t>TUFNELL PARK</t>
        </is>
      </c>
      <c r="I1152" s="43" t="inlineStr">
        <is>
          <t>Expired</t>
        </is>
      </c>
      <c r="J1152" s="32" t="n">
        <v>46250</v>
      </c>
      <c r="K1152" s="32" t="n">
        <v>46183</v>
      </c>
      <c r="L1152" s="43" t="inlineStr">
        <is>
          <t>1608</t>
        </is>
      </c>
      <c r="M1152" s="43" t="n">
        <v>1</v>
      </c>
      <c r="N1152" s="33" t="inlineStr"/>
      <c r="O1152" s="43" t="inlineStr">
        <is>
          <t>UNVERIFIED</t>
        </is>
      </c>
      <c r="P1152" s="43" t="inlineStr">
        <is>
          <t>Pending Review</t>
        </is>
      </c>
      <c r="Q1152" s="33" t="inlineStr">
        <is>
          <t>Confirmar SKU/PCBA revision, PN exacto en Common DB, WO, BU, vigencia, planta y aprobacion firmada.</t>
        </is>
      </c>
    </row>
    <row r="1153">
      <c r="A1153" s="43" t="inlineStr">
        <is>
          <t>CTANJZ05251</t>
        </is>
      </c>
      <c r="B1153" s="43" t="inlineStr">
        <is>
          <t>D610647</t>
        </is>
      </c>
      <c r="C1153" s="43" t="inlineStr">
        <is>
          <t>037-STBU</t>
        </is>
      </c>
      <c r="D1153" s="43" t="inlineStr">
        <is>
          <t>FJZP</t>
        </is>
      </c>
      <c r="E1153" s="43" t="inlineStr">
        <is>
          <t>MCGA</t>
        </is>
      </c>
      <c r="F1153" s="43" t="inlineStr">
        <is>
          <t>68-104741-04</t>
        </is>
      </c>
      <c r="G1153" s="43" t="inlineStr">
        <is>
          <t>OTHER_SCOPE_ITEM</t>
        </is>
      </c>
      <c r="H1153" s="43" t="inlineStr"/>
      <c r="I1153" s="43" t="inlineStr">
        <is>
          <t>Expired</t>
        </is>
      </c>
      <c r="J1153" s="32" t="n">
        <v>46251</v>
      </c>
      <c r="K1153" s="32" t="n"/>
      <c r="L1153" s="43" t="inlineStr">
        <is>
          <t>1811</t>
        </is>
      </c>
      <c r="M1153" s="43" t="n">
        <v>1</v>
      </c>
      <c r="N1153" s="33" t="inlineStr"/>
      <c r="O1153" s="43" t="inlineStr">
        <is>
          <t>UNVERIFIED</t>
        </is>
      </c>
      <c r="P1153" s="43" t="inlineStr">
        <is>
          <t>Pending Review</t>
        </is>
      </c>
      <c r="Q1153" s="33" t="inlineStr">
        <is>
          <t>Confirmar SKU/PCBA revision, PN exacto en Common DB, WO, BU, vigencia, planta y aprobacion firmada.</t>
        </is>
      </c>
    </row>
    <row r="1154">
      <c r="A1154" s="43" t="inlineStr">
        <is>
          <t>CTANJZ05251</t>
        </is>
      </c>
      <c r="B1154" s="43" t="inlineStr">
        <is>
          <t>D610647</t>
        </is>
      </c>
      <c r="C1154" s="43" t="inlineStr">
        <is>
          <t>037-STBU</t>
        </is>
      </c>
      <c r="D1154" s="43" t="inlineStr">
        <is>
          <t>FJZP</t>
        </is>
      </c>
      <c r="E1154" s="43" t="inlineStr">
        <is>
          <t>MCGA</t>
        </is>
      </c>
      <c r="F1154" s="43" t="inlineStr">
        <is>
          <t>68-104742-04</t>
        </is>
      </c>
      <c r="G1154" s="43" t="inlineStr">
        <is>
          <t>OTHER_SCOPE_ITEM</t>
        </is>
      </c>
      <c r="H1154" s="43" t="inlineStr"/>
      <c r="I1154" s="43" t="inlineStr">
        <is>
          <t>Expired</t>
        </is>
      </c>
      <c r="J1154" s="32" t="n">
        <v>46251</v>
      </c>
      <c r="K1154" s="32" t="n"/>
      <c r="L1154" s="43" t="inlineStr">
        <is>
          <t>1812</t>
        </is>
      </c>
      <c r="M1154" s="43" t="n">
        <v>1</v>
      </c>
      <c r="N1154" s="33" t="inlineStr"/>
      <c r="O1154" s="43" t="inlineStr">
        <is>
          <t>UNVERIFIED</t>
        </is>
      </c>
      <c r="P1154" s="43" t="inlineStr">
        <is>
          <t>Pending Review</t>
        </is>
      </c>
      <c r="Q1154" s="33" t="inlineStr">
        <is>
          <t>Confirmar SKU/PCBA revision, PN exacto en Common DB, WO, BU, vigencia, planta y aprobacion firmada.</t>
        </is>
      </c>
    </row>
    <row r="1155">
      <c r="A1155" s="43" t="inlineStr">
        <is>
          <t>CTANJZ05251</t>
        </is>
      </c>
      <c r="B1155" s="43" t="inlineStr">
        <is>
          <t>D610647</t>
        </is>
      </c>
      <c r="C1155" s="43" t="inlineStr">
        <is>
          <t>037-STBU</t>
        </is>
      </c>
      <c r="D1155" s="43" t="inlineStr">
        <is>
          <t>FJZP</t>
        </is>
      </c>
      <c r="E1155" s="43" t="inlineStr">
        <is>
          <t>MCGA</t>
        </is>
      </c>
      <c r="F1155" s="43" t="inlineStr">
        <is>
          <t>68-104743-04</t>
        </is>
      </c>
      <c r="G1155" s="43" t="inlineStr">
        <is>
          <t>OTHER_SCOPE_ITEM</t>
        </is>
      </c>
      <c r="H1155" s="43" t="inlineStr"/>
      <c r="I1155" s="43" t="inlineStr">
        <is>
          <t>Expired</t>
        </is>
      </c>
      <c r="J1155" s="32" t="n">
        <v>46251</v>
      </c>
      <c r="K1155" s="32" t="n"/>
      <c r="L1155" s="43" t="inlineStr">
        <is>
          <t>1813</t>
        </is>
      </c>
      <c r="M1155" s="43" t="n">
        <v>1</v>
      </c>
      <c r="N1155" s="33" t="inlineStr"/>
      <c r="O1155" s="43" t="inlineStr">
        <is>
          <t>UNVERIFIED</t>
        </is>
      </c>
      <c r="P1155" s="43" t="inlineStr">
        <is>
          <t>Pending Review</t>
        </is>
      </c>
      <c r="Q1155" s="33" t="inlineStr">
        <is>
          <t>Confirmar SKU/PCBA revision, PN exacto en Common DB, WO, BU, vigencia, planta y aprobacion firmada.</t>
        </is>
      </c>
    </row>
    <row r="1156">
      <c r="A1156" s="43" t="inlineStr">
        <is>
          <t>CTANJZ05251</t>
        </is>
      </c>
      <c r="B1156" s="43" t="inlineStr">
        <is>
          <t>D610647</t>
        </is>
      </c>
      <c r="C1156" s="43" t="inlineStr">
        <is>
          <t>037-STBU</t>
        </is>
      </c>
      <c r="D1156" s="43" t="inlineStr">
        <is>
          <t>FJZP</t>
        </is>
      </c>
      <c r="E1156" s="43" t="inlineStr">
        <is>
          <t>MCGA</t>
        </is>
      </c>
      <c r="F1156" s="43" t="inlineStr">
        <is>
          <t>74-139979-01</t>
        </is>
      </c>
      <c r="G1156" s="43" t="inlineStr">
        <is>
          <t>OTHER_SCOPE_ITEM</t>
        </is>
      </c>
      <c r="H1156" s="43" t="inlineStr"/>
      <c r="I1156" s="43" t="inlineStr">
        <is>
          <t>Expired</t>
        </is>
      </c>
      <c r="J1156" s="32" t="n">
        <v>46251</v>
      </c>
      <c r="K1156" s="32" t="n">
        <v>46175</v>
      </c>
      <c r="L1156" s="43" t="inlineStr">
        <is>
          <t>1829</t>
        </is>
      </c>
      <c r="M1156" s="43" t="n">
        <v>1</v>
      </c>
      <c r="N1156" s="33" t="inlineStr"/>
      <c r="O1156" s="43" t="inlineStr">
        <is>
          <t>UNVERIFIED</t>
        </is>
      </c>
      <c r="P1156" s="43" t="inlineStr">
        <is>
          <t>Pending Review</t>
        </is>
      </c>
      <c r="Q1156" s="33" t="inlineStr">
        <is>
          <t>Confirmar SKU/PCBA revision, PN exacto en Common DB, WO, BU, vigencia, planta y aprobacion firmada.</t>
        </is>
      </c>
    </row>
    <row r="1157">
      <c r="A1157" s="43" t="inlineStr">
        <is>
          <t>CTANJZ05251</t>
        </is>
      </c>
      <c r="B1157" s="43" t="inlineStr">
        <is>
          <t>D610647</t>
        </is>
      </c>
      <c r="C1157" s="43" t="inlineStr">
        <is>
          <t>037-STBU</t>
        </is>
      </c>
      <c r="D1157" s="43" t="inlineStr">
        <is>
          <t>FJZP</t>
        </is>
      </c>
      <c r="E1157" s="43" t="inlineStr">
        <is>
          <t>MCGA</t>
        </is>
      </c>
      <c r="F1157" s="43" t="inlineStr">
        <is>
          <t>74-139980-01</t>
        </is>
      </c>
      <c r="G1157" s="43" t="inlineStr">
        <is>
          <t>OTHER_SCOPE_ITEM</t>
        </is>
      </c>
      <c r="H1157" s="43" t="inlineStr"/>
      <c r="I1157" s="43" t="inlineStr">
        <is>
          <t>Expired</t>
        </is>
      </c>
      <c r="J1157" s="32" t="n">
        <v>46251</v>
      </c>
      <c r="K1157" s="32" t="n">
        <v>46175</v>
      </c>
      <c r="L1157" s="43" t="inlineStr">
        <is>
          <t>1830</t>
        </is>
      </c>
      <c r="M1157" s="43" t="n">
        <v>1</v>
      </c>
      <c r="N1157" s="33" t="inlineStr"/>
      <c r="O1157" s="43" t="inlineStr">
        <is>
          <t>UNVERIFIED</t>
        </is>
      </c>
      <c r="P1157" s="43" t="inlineStr">
        <is>
          <t>Pending Review</t>
        </is>
      </c>
      <c r="Q1157" s="33" t="inlineStr">
        <is>
          <t>Confirmar SKU/PCBA revision, PN exacto en Common DB, WO, BU, vigencia, planta y aprobacion firmada.</t>
        </is>
      </c>
    </row>
    <row r="1158">
      <c r="A1158" s="43" t="inlineStr">
        <is>
          <t>CTANJZ05251</t>
        </is>
      </c>
      <c r="B1158" s="43" t="inlineStr">
        <is>
          <t>D610647</t>
        </is>
      </c>
      <c r="C1158" s="43" t="inlineStr">
        <is>
          <t>037-STBU</t>
        </is>
      </c>
      <c r="D1158" s="43" t="inlineStr">
        <is>
          <t>FJZP</t>
        </is>
      </c>
      <c r="E1158" s="43" t="inlineStr">
        <is>
          <t>MCGA</t>
        </is>
      </c>
      <c r="F1158" s="43" t="inlineStr">
        <is>
          <t>74-139981-01</t>
        </is>
      </c>
      <c r="G1158" s="43" t="inlineStr">
        <is>
          <t>OTHER_SCOPE_ITEM</t>
        </is>
      </c>
      <c r="H1158" s="43" t="inlineStr"/>
      <c r="I1158" s="43" t="inlineStr">
        <is>
          <t>Expired</t>
        </is>
      </c>
      <c r="J1158" s="32" t="n">
        <v>46251</v>
      </c>
      <c r="K1158" s="32" t="n">
        <v>46175</v>
      </c>
      <c r="L1158" s="43" t="inlineStr">
        <is>
          <t>1831</t>
        </is>
      </c>
      <c r="M1158" s="43" t="n">
        <v>1</v>
      </c>
      <c r="N1158" s="33" t="inlineStr"/>
      <c r="O1158" s="43" t="inlineStr">
        <is>
          <t>UNVERIFIED</t>
        </is>
      </c>
      <c r="P1158" s="43" t="inlineStr">
        <is>
          <t>Pending Review</t>
        </is>
      </c>
      <c r="Q1158" s="33" t="inlineStr">
        <is>
          <t>Confirmar SKU/PCBA revision, PN exacto en Common DB, WO, BU, vigencia, planta y aprobacion firmada.</t>
        </is>
      </c>
    </row>
    <row r="1159">
      <c r="A1159" s="43" t="inlineStr">
        <is>
          <t>CTANJZ05252</t>
        </is>
      </c>
      <c r="B1159" s="43" t="inlineStr">
        <is>
          <t>D611133</t>
        </is>
      </c>
      <c r="C1159" s="43" t="inlineStr">
        <is>
          <t>037-STBU</t>
        </is>
      </c>
      <c r="D1159" s="43" t="inlineStr">
        <is>
          <t>FJZP</t>
        </is>
      </c>
      <c r="E1159" s="43" t="inlineStr">
        <is>
          <t>MCGA</t>
        </is>
      </c>
      <c r="F1159" s="43" t="inlineStr">
        <is>
          <t>73-16681-10</t>
        </is>
      </c>
      <c r="G1159" s="43" t="inlineStr">
        <is>
          <t>BOARD_PN_CANDIDATE</t>
        </is>
      </c>
      <c r="H1159" s="43" t="inlineStr"/>
      <c r="I1159" s="43" t="inlineStr">
        <is>
          <t>Expired</t>
        </is>
      </c>
      <c r="J1159" s="32" t="n">
        <v>46251</v>
      </c>
      <c r="K1159" s="32" t="n">
        <v>46183</v>
      </c>
      <c r="L1159" s="43" t="inlineStr">
        <is>
          <t>1205</t>
        </is>
      </c>
      <c r="M1159" s="43" t="n">
        <v>1</v>
      </c>
      <c r="N1159" s="33" t="inlineStr"/>
      <c r="O1159" s="43" t="inlineStr">
        <is>
          <t>UNVERIFIED</t>
        </is>
      </c>
      <c r="P1159" s="43" t="inlineStr">
        <is>
          <t>Pending Review</t>
        </is>
      </c>
      <c r="Q1159" s="33" t="inlineStr">
        <is>
          <t>Confirmar SKU/PCBA revision, PN exacto en Common DB, WO, BU, vigencia, planta y aprobacion firmada.</t>
        </is>
      </c>
    </row>
    <row r="1160">
      <c r="A1160" s="43" t="inlineStr">
        <is>
          <t>CTANJZ05252</t>
        </is>
      </c>
      <c r="B1160" s="43" t="inlineStr">
        <is>
          <t>D611133</t>
        </is>
      </c>
      <c r="C1160" s="43" t="inlineStr">
        <is>
          <t>037-STBU</t>
        </is>
      </c>
      <c r="D1160" s="43" t="inlineStr">
        <is>
          <t>FJZP</t>
        </is>
      </c>
      <c r="E1160" s="43" t="inlineStr">
        <is>
          <t>MCGA</t>
        </is>
      </c>
      <c r="F1160" s="43" t="inlineStr">
        <is>
          <t>73-17497-04</t>
        </is>
      </c>
      <c r="G1160" s="43" t="inlineStr">
        <is>
          <t>BOARD_PN_CANDIDATE</t>
        </is>
      </c>
      <c r="H1160" s="43" t="inlineStr"/>
      <c r="I1160" s="43" t="inlineStr">
        <is>
          <t>Expired</t>
        </is>
      </c>
      <c r="J1160" s="32" t="n">
        <v>46251</v>
      </c>
      <c r="K1160" s="32" t="n">
        <v>46183</v>
      </c>
      <c r="L1160" s="43" t="inlineStr">
        <is>
          <t>1206</t>
        </is>
      </c>
      <c r="M1160" s="43" t="n">
        <v>1</v>
      </c>
      <c r="N1160" s="33" t="inlineStr"/>
      <c r="O1160" s="43" t="inlineStr">
        <is>
          <t>UNVERIFIED</t>
        </is>
      </c>
      <c r="P1160" s="43" t="inlineStr">
        <is>
          <t>Pending Review</t>
        </is>
      </c>
      <c r="Q1160" s="33" t="inlineStr">
        <is>
          <t>Confirmar SKU/PCBA revision, PN exacto en Common DB, WO, BU, vigencia, planta y aprobacion firmada.</t>
        </is>
      </c>
    </row>
    <row r="1161">
      <c r="A1161" s="43" t="inlineStr">
        <is>
          <t>CTANJZ05252</t>
        </is>
      </c>
      <c r="B1161" s="43" t="inlineStr">
        <is>
          <t>D611133</t>
        </is>
      </c>
      <c r="C1161" s="43" t="inlineStr">
        <is>
          <t>037-STBU</t>
        </is>
      </c>
      <c r="D1161" s="43" t="inlineStr">
        <is>
          <t>FJZP</t>
        </is>
      </c>
      <c r="E1161" s="43" t="inlineStr">
        <is>
          <t>MCGA</t>
        </is>
      </c>
      <c r="F1161" s="43" t="inlineStr">
        <is>
          <t>73-17498-04</t>
        </is>
      </c>
      <c r="G1161" s="43" t="inlineStr">
        <is>
          <t>BOARD_PN_CANDIDATE</t>
        </is>
      </c>
      <c r="H1161" s="43" t="inlineStr"/>
      <c r="I1161" s="43" t="inlineStr">
        <is>
          <t>Expired</t>
        </is>
      </c>
      <c r="J1161" s="32" t="n">
        <v>46251</v>
      </c>
      <c r="K1161" s="32" t="n">
        <v>46183</v>
      </c>
      <c r="L1161" s="43" t="inlineStr">
        <is>
          <t>1207</t>
        </is>
      </c>
      <c r="M1161" s="43" t="n">
        <v>1</v>
      </c>
      <c r="N1161" s="33" t="inlineStr"/>
      <c r="O1161" s="43" t="inlineStr">
        <is>
          <t>UNVERIFIED</t>
        </is>
      </c>
      <c r="P1161" s="43" t="inlineStr">
        <is>
          <t>Pending Review</t>
        </is>
      </c>
      <c r="Q1161" s="33" t="inlineStr">
        <is>
          <t>Confirmar SKU/PCBA revision, PN exacto en Common DB, WO, BU, vigencia, planta y aprobacion firmada.</t>
        </is>
      </c>
    </row>
    <row r="1162">
      <c r="A1162" s="43" t="inlineStr">
        <is>
          <t>CTANJZ05252</t>
        </is>
      </c>
      <c r="B1162" s="43" t="inlineStr">
        <is>
          <t>D611133</t>
        </is>
      </c>
      <c r="C1162" s="43" t="inlineStr">
        <is>
          <t>037-STBU</t>
        </is>
      </c>
      <c r="D1162" s="43" t="inlineStr">
        <is>
          <t>FJZP</t>
        </is>
      </c>
      <c r="E1162" s="43" t="inlineStr">
        <is>
          <t>MCGA</t>
        </is>
      </c>
      <c r="F1162" s="43" t="inlineStr">
        <is>
          <t>73-17499-07</t>
        </is>
      </c>
      <c r="G1162" s="43" t="inlineStr">
        <is>
          <t>BOARD_PN_CANDIDATE</t>
        </is>
      </c>
      <c r="H1162" s="43" t="inlineStr"/>
      <c r="I1162" s="43" t="inlineStr">
        <is>
          <t>Expired</t>
        </is>
      </c>
      <c r="J1162" s="32" t="n">
        <v>46251</v>
      </c>
      <c r="K1162" s="32" t="n">
        <v>46183</v>
      </c>
      <c r="L1162" s="43" t="inlineStr">
        <is>
          <t>1227</t>
        </is>
      </c>
      <c r="M1162" s="43" t="n">
        <v>1</v>
      </c>
      <c r="N1162" s="33" t="inlineStr"/>
      <c r="O1162" s="43" t="inlineStr">
        <is>
          <t>UNVERIFIED</t>
        </is>
      </c>
      <c r="P1162" s="43" t="inlineStr">
        <is>
          <t>Pending Review</t>
        </is>
      </c>
      <c r="Q1162" s="33" t="inlineStr">
        <is>
          <t>Confirmar SKU/PCBA revision, PN exacto en Common DB, WO, BU, vigencia, planta y aprobacion firmada.</t>
        </is>
      </c>
    </row>
    <row r="1163">
      <c r="A1163" s="43" t="inlineStr">
        <is>
          <t>CTANJZ05252</t>
        </is>
      </c>
      <c r="B1163" s="43" t="inlineStr">
        <is>
          <t>D611133</t>
        </is>
      </c>
      <c r="C1163" s="43" t="inlineStr">
        <is>
          <t>037-STBU</t>
        </is>
      </c>
      <c r="D1163" s="43" t="inlineStr">
        <is>
          <t>FJZP</t>
        </is>
      </c>
      <c r="E1163" s="43" t="inlineStr">
        <is>
          <t>MCGA</t>
        </is>
      </c>
      <c r="F1163" s="43" t="inlineStr">
        <is>
          <t>73-17530-02</t>
        </is>
      </c>
      <c r="G1163" s="43" t="inlineStr">
        <is>
          <t>BOARD_PN_CANDIDATE</t>
        </is>
      </c>
      <c r="H1163" s="43" t="inlineStr"/>
      <c r="I1163" s="43" t="inlineStr">
        <is>
          <t>Expired</t>
        </is>
      </c>
      <c r="J1163" s="32" t="n">
        <v>46251</v>
      </c>
      <c r="K1163" s="32" t="n">
        <v>46183</v>
      </c>
      <c r="L1163" s="43" t="inlineStr">
        <is>
          <t>1228</t>
        </is>
      </c>
      <c r="M1163" s="43" t="n">
        <v>1</v>
      </c>
      <c r="N1163" s="33" t="inlineStr"/>
      <c r="O1163" s="43" t="inlineStr">
        <is>
          <t>UNVERIFIED</t>
        </is>
      </c>
      <c r="P1163" s="43" t="inlineStr">
        <is>
          <t>Pending Review</t>
        </is>
      </c>
      <c r="Q1163" s="33" t="inlineStr">
        <is>
          <t>Confirmar SKU/PCBA revision, PN exacto en Common DB, WO, BU, vigencia, planta y aprobacion firmada.</t>
        </is>
      </c>
    </row>
    <row r="1164">
      <c r="A1164" s="43" t="inlineStr">
        <is>
          <t>CTANJZ05252</t>
        </is>
      </c>
      <c r="B1164" s="43" t="inlineStr">
        <is>
          <t>D611133</t>
        </is>
      </c>
      <c r="C1164" s="43" t="inlineStr">
        <is>
          <t>037-STBU</t>
        </is>
      </c>
      <c r="D1164" s="43" t="inlineStr">
        <is>
          <t>FJZP</t>
        </is>
      </c>
      <c r="E1164" s="43" t="inlineStr">
        <is>
          <t>MCGA</t>
        </is>
      </c>
      <c r="F1164" s="43" t="inlineStr">
        <is>
          <t>73-17757-01</t>
        </is>
      </c>
      <c r="G1164" s="43" t="inlineStr">
        <is>
          <t>BOARD_PN_CANDIDATE</t>
        </is>
      </c>
      <c r="H1164" s="43" t="inlineStr"/>
      <c r="I1164" s="43" t="inlineStr">
        <is>
          <t>Expired</t>
        </is>
      </c>
      <c r="J1164" s="32" t="n">
        <v>46251</v>
      </c>
      <c r="K1164" s="32" t="n">
        <v>46183</v>
      </c>
      <c r="L1164" s="43" t="inlineStr">
        <is>
          <t>1229</t>
        </is>
      </c>
      <c r="M1164" s="43" t="n">
        <v>1</v>
      </c>
      <c r="N1164" s="33" t="inlineStr"/>
      <c r="O1164" s="43" t="inlineStr">
        <is>
          <t>UNVERIFIED</t>
        </is>
      </c>
      <c r="P1164" s="43" t="inlineStr">
        <is>
          <t>Pending Review</t>
        </is>
      </c>
      <c r="Q1164" s="33" t="inlineStr">
        <is>
          <t>Confirmar SKU/PCBA revision, PN exacto en Common DB, WO, BU, vigencia, planta y aprobacion firmada.</t>
        </is>
      </c>
    </row>
    <row r="1165">
      <c r="A1165" s="43" t="inlineStr">
        <is>
          <t>CTANJZ05252</t>
        </is>
      </c>
      <c r="B1165" s="43" t="inlineStr">
        <is>
          <t>D611133</t>
        </is>
      </c>
      <c r="C1165" s="43" t="inlineStr">
        <is>
          <t>037-STBU</t>
        </is>
      </c>
      <c r="D1165" s="43" t="inlineStr">
        <is>
          <t>FJZP</t>
        </is>
      </c>
      <c r="E1165" s="43" t="inlineStr">
        <is>
          <t>MCGA</t>
        </is>
      </c>
      <c r="F1165" s="43" t="inlineStr">
        <is>
          <t>73-18488-06</t>
        </is>
      </c>
      <c r="G1165" s="43" t="inlineStr">
        <is>
          <t>BOARD_PN_CANDIDATE</t>
        </is>
      </c>
      <c r="H1165" s="43" t="inlineStr"/>
      <c r="I1165" s="43" t="inlineStr">
        <is>
          <t>Expired</t>
        </is>
      </c>
      <c r="J1165" s="32" t="n">
        <v>46251</v>
      </c>
      <c r="K1165" s="32" t="n">
        <v>46183</v>
      </c>
      <c r="L1165" s="43" t="inlineStr">
        <is>
          <t>1230</t>
        </is>
      </c>
      <c r="M1165" s="43" t="n">
        <v>1</v>
      </c>
      <c r="N1165" s="33" t="inlineStr"/>
      <c r="O1165" s="43" t="inlineStr">
        <is>
          <t>UNVERIFIED</t>
        </is>
      </c>
      <c r="P1165" s="43" t="inlineStr">
        <is>
          <t>Pending Review</t>
        </is>
      </c>
      <c r="Q1165" s="33" t="inlineStr">
        <is>
          <t>Confirmar SKU/PCBA revision, PN exacto en Common DB, WO, BU, vigencia, planta y aprobacion firmada.</t>
        </is>
      </c>
    </row>
    <row r="1166">
      <c r="A1166" s="43" t="inlineStr">
        <is>
          <t>CTANJZ05252</t>
        </is>
      </c>
      <c r="B1166" s="43" t="inlineStr">
        <is>
          <t>D611133</t>
        </is>
      </c>
      <c r="C1166" s="43" t="inlineStr">
        <is>
          <t>037-STBU</t>
        </is>
      </c>
      <c r="D1166" s="43" t="inlineStr">
        <is>
          <t>FJZP</t>
        </is>
      </c>
      <c r="E1166" s="43" t="inlineStr">
        <is>
          <t>MCGA</t>
        </is>
      </c>
      <c r="F1166" s="43" t="inlineStr">
        <is>
          <t>73-18488-07</t>
        </is>
      </c>
      <c r="G1166" s="43" t="inlineStr">
        <is>
          <t>BOARD_PN_CANDIDATE</t>
        </is>
      </c>
      <c r="H1166" s="43" t="inlineStr"/>
      <c r="I1166" s="43" t="inlineStr">
        <is>
          <t>Expired</t>
        </is>
      </c>
      <c r="J1166" s="32" t="n">
        <v>46251</v>
      </c>
      <c r="K1166" s="32" t="n">
        <v>46183</v>
      </c>
      <c r="L1166" s="43" t="inlineStr">
        <is>
          <t>1231</t>
        </is>
      </c>
      <c r="M1166" s="43" t="n">
        <v>1</v>
      </c>
      <c r="N1166" s="33" t="inlineStr"/>
      <c r="O1166" s="43" t="inlineStr">
        <is>
          <t>UNVERIFIED</t>
        </is>
      </c>
      <c r="P1166" s="43" t="inlineStr">
        <is>
          <t>Pending Review</t>
        </is>
      </c>
      <c r="Q1166" s="33" t="inlineStr">
        <is>
          <t>Confirmar SKU/PCBA revision, PN exacto en Common DB, WO, BU, vigencia, planta y aprobacion firmada.</t>
        </is>
      </c>
    </row>
    <row r="1167">
      <c r="A1167" s="43" t="inlineStr">
        <is>
          <t>CTANJZ05252</t>
        </is>
      </c>
      <c r="B1167" s="43" t="inlineStr">
        <is>
          <t>D611133</t>
        </is>
      </c>
      <c r="C1167" s="43" t="inlineStr">
        <is>
          <t>037-STBU</t>
        </is>
      </c>
      <c r="D1167" s="43" t="inlineStr">
        <is>
          <t>FJZP</t>
        </is>
      </c>
      <c r="E1167" s="43" t="inlineStr">
        <is>
          <t>MCGA</t>
        </is>
      </c>
      <c r="F1167" s="43" t="inlineStr">
        <is>
          <t>73-18489-06</t>
        </is>
      </c>
      <c r="G1167" s="43" t="inlineStr">
        <is>
          <t>BOARD_PN_CANDIDATE</t>
        </is>
      </c>
      <c r="H1167" s="43" t="inlineStr"/>
      <c r="I1167" s="43" t="inlineStr">
        <is>
          <t>Expired</t>
        </is>
      </c>
      <c r="J1167" s="32" t="n">
        <v>46251</v>
      </c>
      <c r="K1167" s="32" t="n">
        <v>46183</v>
      </c>
      <c r="L1167" s="43" t="inlineStr">
        <is>
          <t>1232</t>
        </is>
      </c>
      <c r="M1167" s="43" t="n">
        <v>1</v>
      </c>
      <c r="N1167" s="33" t="inlineStr"/>
      <c r="O1167" s="43" t="inlineStr">
        <is>
          <t>UNVERIFIED</t>
        </is>
      </c>
      <c r="P1167" s="43" t="inlineStr">
        <is>
          <t>Pending Review</t>
        </is>
      </c>
      <c r="Q1167" s="33" t="inlineStr">
        <is>
          <t>Confirmar SKU/PCBA revision, PN exacto en Common DB, WO, BU, vigencia, planta y aprobacion firmada.</t>
        </is>
      </c>
    </row>
    <row r="1168">
      <c r="A1168" s="43" t="inlineStr">
        <is>
          <t>CTANJZ05252</t>
        </is>
      </c>
      <c r="B1168" s="43" t="inlineStr">
        <is>
          <t>D611133</t>
        </is>
      </c>
      <c r="C1168" s="43" t="inlineStr">
        <is>
          <t>037-STBU</t>
        </is>
      </c>
      <c r="D1168" s="43" t="inlineStr">
        <is>
          <t>FJZP</t>
        </is>
      </c>
      <c r="E1168" s="43" t="inlineStr">
        <is>
          <t>MCGA</t>
        </is>
      </c>
      <c r="F1168" s="43" t="inlineStr">
        <is>
          <t>73-18489-07</t>
        </is>
      </c>
      <c r="G1168" s="43" t="inlineStr">
        <is>
          <t>BOARD_PN_CANDIDATE</t>
        </is>
      </c>
      <c r="H1168" s="43" t="inlineStr"/>
      <c r="I1168" s="43" t="inlineStr">
        <is>
          <t>Expired</t>
        </is>
      </c>
      <c r="J1168" s="32" t="n">
        <v>46251</v>
      </c>
      <c r="K1168" s="32" t="n">
        <v>46183</v>
      </c>
      <c r="L1168" s="43" t="inlineStr">
        <is>
          <t>1233</t>
        </is>
      </c>
      <c r="M1168" s="43" t="n">
        <v>1</v>
      </c>
      <c r="N1168" s="33" t="inlineStr"/>
      <c r="O1168" s="43" t="inlineStr">
        <is>
          <t>UNVERIFIED</t>
        </is>
      </c>
      <c r="P1168" s="43" t="inlineStr">
        <is>
          <t>Pending Review</t>
        </is>
      </c>
      <c r="Q1168" s="33" t="inlineStr">
        <is>
          <t>Confirmar SKU/PCBA revision, PN exacto en Common DB, WO, BU, vigencia, planta y aprobacion firmada.</t>
        </is>
      </c>
    </row>
    <row r="1169">
      <c r="A1169" s="43" t="inlineStr">
        <is>
          <t>CTANJZ05252</t>
        </is>
      </c>
      <c r="B1169" s="43" t="inlineStr">
        <is>
          <t>D611133</t>
        </is>
      </c>
      <c r="C1169" s="43" t="inlineStr">
        <is>
          <t>037-STBU</t>
        </is>
      </c>
      <c r="D1169" s="43" t="inlineStr">
        <is>
          <t>FJZP</t>
        </is>
      </c>
      <c r="E1169" s="43" t="inlineStr">
        <is>
          <t>MCGA</t>
        </is>
      </c>
      <c r="F1169" s="43" t="inlineStr">
        <is>
          <t>73-18490-08</t>
        </is>
      </c>
      <c r="G1169" s="43" t="inlineStr">
        <is>
          <t>BOARD_PN_CANDIDATE</t>
        </is>
      </c>
      <c r="H1169" s="43" t="inlineStr"/>
      <c r="I1169" s="43" t="inlineStr">
        <is>
          <t>Expired</t>
        </is>
      </c>
      <c r="J1169" s="32" t="n">
        <v>46251</v>
      </c>
      <c r="K1169" s="32" t="n">
        <v>46183</v>
      </c>
      <c r="L1169" s="43" t="inlineStr">
        <is>
          <t>1234</t>
        </is>
      </c>
      <c r="M1169" s="43" t="n">
        <v>1</v>
      </c>
      <c r="N1169" s="33" t="inlineStr"/>
      <c r="O1169" s="43" t="inlineStr">
        <is>
          <t>UNVERIFIED</t>
        </is>
      </c>
      <c r="P1169" s="43" t="inlineStr">
        <is>
          <t>Pending Review</t>
        </is>
      </c>
      <c r="Q1169" s="33" t="inlineStr">
        <is>
          <t>Confirmar SKU/PCBA revision, PN exacto en Common DB, WO, BU, vigencia, planta y aprobacion firmada.</t>
        </is>
      </c>
    </row>
    <row r="1170">
      <c r="A1170" s="43" t="inlineStr">
        <is>
          <t>CTANJZ05252</t>
        </is>
      </c>
      <c r="B1170" s="43" t="inlineStr">
        <is>
          <t>D611133</t>
        </is>
      </c>
      <c r="C1170" s="43" t="inlineStr">
        <is>
          <t>037-STBU</t>
        </is>
      </c>
      <c r="D1170" s="43" t="inlineStr">
        <is>
          <t>FJZP</t>
        </is>
      </c>
      <c r="E1170" s="43" t="inlineStr">
        <is>
          <t>MCGA</t>
        </is>
      </c>
      <c r="F1170" s="43" t="inlineStr">
        <is>
          <t>73-18490-09</t>
        </is>
      </c>
      <c r="G1170" s="43" t="inlineStr">
        <is>
          <t>BOARD_PN_CANDIDATE</t>
        </is>
      </c>
      <c r="H1170" s="43" t="inlineStr"/>
      <c r="I1170" s="43" t="inlineStr">
        <is>
          <t>Expired</t>
        </is>
      </c>
      <c r="J1170" s="32" t="n">
        <v>46251</v>
      </c>
      <c r="K1170" s="32" t="n">
        <v>46183</v>
      </c>
      <c r="L1170" s="43" t="inlineStr">
        <is>
          <t>1235</t>
        </is>
      </c>
      <c r="M1170" s="43" t="n">
        <v>1</v>
      </c>
      <c r="N1170" s="33" t="inlineStr"/>
      <c r="O1170" s="43" t="inlineStr">
        <is>
          <t>UNVERIFIED</t>
        </is>
      </c>
      <c r="P1170" s="43" t="inlineStr">
        <is>
          <t>Pending Review</t>
        </is>
      </c>
      <c r="Q1170" s="33" t="inlineStr">
        <is>
          <t>Confirmar SKU/PCBA revision, PN exacto en Common DB, WO, BU, vigencia, planta y aprobacion firmada.</t>
        </is>
      </c>
    </row>
    <row r="1171">
      <c r="A1171" s="43" t="inlineStr">
        <is>
          <t>CTANJZ05252</t>
        </is>
      </c>
      <c r="B1171" s="43" t="inlineStr">
        <is>
          <t>D611133</t>
        </is>
      </c>
      <c r="C1171" s="43" t="inlineStr">
        <is>
          <t>037-STBU</t>
        </is>
      </c>
      <c r="D1171" s="43" t="inlineStr">
        <is>
          <t>FJZP</t>
        </is>
      </c>
      <c r="E1171" s="43" t="inlineStr">
        <is>
          <t>MCGA</t>
        </is>
      </c>
      <c r="F1171" s="43" t="inlineStr">
        <is>
          <t>73-18626-04</t>
        </is>
      </c>
      <c r="G1171" s="43" t="inlineStr">
        <is>
          <t>BOARD_PN_CANDIDATE</t>
        </is>
      </c>
      <c r="H1171" s="43" t="inlineStr"/>
      <c r="I1171" s="43" t="inlineStr">
        <is>
          <t>Expired</t>
        </is>
      </c>
      <c r="J1171" s="32" t="n">
        <v>46251</v>
      </c>
      <c r="K1171" s="32" t="n">
        <v>46183</v>
      </c>
      <c r="L1171" s="43" t="inlineStr">
        <is>
          <t>1236</t>
        </is>
      </c>
      <c r="M1171" s="43" t="n">
        <v>1</v>
      </c>
      <c r="N1171" s="33" t="inlineStr"/>
      <c r="O1171" s="43" t="inlineStr">
        <is>
          <t>UNVERIFIED</t>
        </is>
      </c>
      <c r="P1171" s="43" t="inlineStr">
        <is>
          <t>Pending Review</t>
        </is>
      </c>
      <c r="Q1171" s="33" t="inlineStr">
        <is>
          <t>Confirmar SKU/PCBA revision, PN exacto en Common DB, WO, BU, vigencia, planta y aprobacion firmada.</t>
        </is>
      </c>
    </row>
    <row r="1172">
      <c r="A1172" s="43" t="inlineStr">
        <is>
          <t>CTANJZ05252</t>
        </is>
      </c>
      <c r="B1172" s="43" t="inlineStr">
        <is>
          <t>D611133</t>
        </is>
      </c>
      <c r="C1172" s="43" t="inlineStr">
        <is>
          <t>037-STBU</t>
        </is>
      </c>
      <c r="D1172" s="43" t="inlineStr">
        <is>
          <t>FJZP</t>
        </is>
      </c>
      <c r="E1172" s="43" t="inlineStr">
        <is>
          <t>MCGA</t>
        </is>
      </c>
      <c r="F1172" s="43" t="inlineStr">
        <is>
          <t>73-21007-01</t>
        </is>
      </c>
      <c r="G1172" s="43" t="inlineStr">
        <is>
          <t>BOARD_PN_CANDIDATE</t>
        </is>
      </c>
      <c r="H1172" s="43" t="inlineStr"/>
      <c r="I1172" s="43" t="inlineStr">
        <is>
          <t>Expired</t>
        </is>
      </c>
      <c r="J1172" s="32" t="n">
        <v>46251</v>
      </c>
      <c r="K1172" s="32" t="n">
        <v>46183</v>
      </c>
      <c r="L1172" s="43" t="inlineStr">
        <is>
          <t>1237</t>
        </is>
      </c>
      <c r="M1172" s="43" t="n">
        <v>1</v>
      </c>
      <c r="N1172" s="33" t="inlineStr"/>
      <c r="O1172" s="43" t="inlineStr">
        <is>
          <t>UNVERIFIED</t>
        </is>
      </c>
      <c r="P1172" s="43" t="inlineStr">
        <is>
          <t>Pending Review</t>
        </is>
      </c>
      <c r="Q1172" s="33" t="inlineStr">
        <is>
          <t>Confirmar SKU/PCBA revision, PN exacto en Common DB, WO, BU, vigencia, planta y aprobacion firmada.</t>
        </is>
      </c>
    </row>
    <row r="1173">
      <c r="A1173" s="43" t="inlineStr">
        <is>
          <t>CTANJZ05252</t>
        </is>
      </c>
      <c r="B1173" s="43" t="inlineStr">
        <is>
          <t>D611133</t>
        </is>
      </c>
      <c r="C1173" s="43" t="inlineStr">
        <is>
          <t>037-STBU</t>
        </is>
      </c>
      <c r="D1173" s="43" t="inlineStr">
        <is>
          <t>FJZP</t>
        </is>
      </c>
      <c r="E1173" s="43" t="inlineStr">
        <is>
          <t>MCGA</t>
        </is>
      </c>
      <c r="F1173" s="43" t="inlineStr">
        <is>
          <t>73-21007-02</t>
        </is>
      </c>
      <c r="G1173" s="43" t="inlineStr">
        <is>
          <t>BOARD_PN_CANDIDATE</t>
        </is>
      </c>
      <c r="H1173" s="43" t="inlineStr"/>
      <c r="I1173" s="43" t="inlineStr">
        <is>
          <t>Expired</t>
        </is>
      </c>
      <c r="J1173" s="32" t="n">
        <v>46251</v>
      </c>
      <c r="K1173" s="32" t="n">
        <v>46183</v>
      </c>
      <c r="L1173" s="43" t="inlineStr">
        <is>
          <t>1238</t>
        </is>
      </c>
      <c r="M1173" s="43" t="n">
        <v>1</v>
      </c>
      <c r="N1173" s="33" t="inlineStr"/>
      <c r="O1173" s="43" t="inlineStr">
        <is>
          <t>UNVERIFIED</t>
        </is>
      </c>
      <c r="P1173" s="43" t="inlineStr">
        <is>
          <t>Pending Review</t>
        </is>
      </c>
      <c r="Q1173" s="33" t="inlineStr">
        <is>
          <t>Confirmar SKU/PCBA revision, PN exacto en Common DB, WO, BU, vigencia, planta y aprobacion firmada.</t>
        </is>
      </c>
    </row>
    <row r="1174">
      <c r="A1174" s="43" t="inlineStr">
        <is>
          <t>CTANJZ05254</t>
        </is>
      </c>
      <c r="B1174" s="43" t="inlineStr">
        <is>
          <t>D611204</t>
        </is>
      </c>
      <c r="C1174" s="43" t="inlineStr">
        <is>
          <t>037-STBU</t>
        </is>
      </c>
      <c r="D1174" s="43" t="inlineStr">
        <is>
          <t>FJZP</t>
        </is>
      </c>
      <c r="E1174" s="43" t="inlineStr">
        <is>
          <t>MCGA</t>
        </is>
      </c>
      <c r="F1174" s="43" t="inlineStr">
        <is>
          <t>28-103225-04</t>
        </is>
      </c>
      <c r="G1174" s="43" t="inlineStr">
        <is>
          <t>BARE_PCB_PN_CANDIDATE</t>
        </is>
      </c>
      <c r="H1174" s="43" t="inlineStr"/>
      <c r="I1174" s="43" t="inlineStr">
        <is>
          <t>Expired</t>
        </is>
      </c>
      <c r="J1174" s="32" t="n">
        <v>46252</v>
      </c>
      <c r="K1174" s="32" t="n">
        <v>46183</v>
      </c>
      <c r="L1174" s="43" t="inlineStr">
        <is>
          <t>1613</t>
        </is>
      </c>
      <c r="M1174" s="43" t="n">
        <v>1</v>
      </c>
      <c r="N1174" s="33" t="inlineStr"/>
      <c r="O1174" s="43" t="inlineStr">
        <is>
          <t>UNVERIFIED</t>
        </is>
      </c>
      <c r="P1174" s="43" t="inlineStr">
        <is>
          <t>Pending Review</t>
        </is>
      </c>
      <c r="Q1174" s="33" t="inlineStr">
        <is>
          <t>Confirmar SKU/PCBA revision, PN exacto en Common DB, WO, BU, vigencia, planta y aprobacion firmada.</t>
        </is>
      </c>
    </row>
    <row r="1175">
      <c r="A1175" s="43" t="inlineStr">
        <is>
          <t>CTANJZ05254</t>
        </is>
      </c>
      <c r="B1175" s="43" t="inlineStr">
        <is>
          <t>D611204</t>
        </is>
      </c>
      <c r="C1175" s="43" t="inlineStr">
        <is>
          <t>037-STBU</t>
        </is>
      </c>
      <c r="D1175" s="43" t="inlineStr">
        <is>
          <t>FJZP</t>
        </is>
      </c>
      <c r="E1175" s="43" t="inlineStr">
        <is>
          <t>MCGA</t>
        </is>
      </c>
      <c r="F1175" s="43" t="inlineStr">
        <is>
          <t>28-103226-04</t>
        </is>
      </c>
      <c r="G1175" s="43" t="inlineStr">
        <is>
          <t>BARE_PCB_PN_CANDIDATE</t>
        </is>
      </c>
      <c r="H1175" s="43" t="inlineStr"/>
      <c r="I1175" s="43" t="inlineStr">
        <is>
          <t>Expired</t>
        </is>
      </c>
      <c r="J1175" s="32" t="n">
        <v>46252</v>
      </c>
      <c r="K1175" s="32" t="n">
        <v>46183</v>
      </c>
      <c r="L1175" s="43" t="inlineStr">
        <is>
          <t>1614</t>
        </is>
      </c>
      <c r="M1175" s="43" t="n">
        <v>1</v>
      </c>
      <c r="N1175" s="33" t="inlineStr"/>
      <c r="O1175" s="43" t="inlineStr">
        <is>
          <t>UNVERIFIED</t>
        </is>
      </c>
      <c r="P1175" s="43" t="inlineStr">
        <is>
          <t>Pending Review</t>
        </is>
      </c>
      <c r="Q1175" s="33" t="inlineStr">
        <is>
          <t>Confirmar SKU/PCBA revision, PN exacto en Common DB, WO, BU, vigencia, planta y aprobacion firmada.</t>
        </is>
      </c>
    </row>
    <row r="1176">
      <c r="A1176" s="43" t="inlineStr">
        <is>
          <t>CTANJZ05254</t>
        </is>
      </c>
      <c r="B1176" s="43" t="inlineStr">
        <is>
          <t>D611204</t>
        </is>
      </c>
      <c r="C1176" s="43" t="inlineStr">
        <is>
          <t>037-STBU</t>
        </is>
      </c>
      <c r="D1176" s="43" t="inlineStr">
        <is>
          <t>FJZP</t>
        </is>
      </c>
      <c r="E1176" s="43" t="inlineStr">
        <is>
          <t>MCGA</t>
        </is>
      </c>
      <c r="F1176" s="43" t="inlineStr">
        <is>
          <t>28-103227-04</t>
        </is>
      </c>
      <c r="G1176" s="43" t="inlineStr">
        <is>
          <t>BARE_PCB_PN_CANDIDATE</t>
        </is>
      </c>
      <c r="H1176" s="43" t="inlineStr"/>
      <c r="I1176" s="43" t="inlineStr">
        <is>
          <t>Expired</t>
        </is>
      </c>
      <c r="J1176" s="32" t="n">
        <v>46252</v>
      </c>
      <c r="K1176" s="32" t="n">
        <v>46183</v>
      </c>
      <c r="L1176" s="43" t="inlineStr">
        <is>
          <t>1615</t>
        </is>
      </c>
      <c r="M1176" s="43" t="n">
        <v>1</v>
      </c>
      <c r="N1176" s="33" t="inlineStr"/>
      <c r="O1176" s="43" t="inlineStr">
        <is>
          <t>UNVERIFIED</t>
        </is>
      </c>
      <c r="P1176" s="43" t="inlineStr">
        <is>
          <t>Pending Review</t>
        </is>
      </c>
      <c r="Q1176" s="33" t="inlineStr">
        <is>
          <t>Confirmar SKU/PCBA revision, PN exacto en Common DB, WO, BU, vigencia, planta y aprobacion firmada.</t>
        </is>
      </c>
    </row>
    <row r="1177">
      <c r="A1177" s="43" t="inlineStr">
        <is>
          <t>CTANJZ05254</t>
        </is>
      </c>
      <c r="B1177" s="43" t="inlineStr">
        <is>
          <t>D611204</t>
        </is>
      </c>
      <c r="C1177" s="43" t="inlineStr">
        <is>
          <t>037-STBU</t>
        </is>
      </c>
      <c r="D1177" s="43" t="inlineStr">
        <is>
          <t>FJZP</t>
        </is>
      </c>
      <c r="E1177" s="43" t="inlineStr">
        <is>
          <t>MCGA</t>
        </is>
      </c>
      <c r="F1177" s="43" t="inlineStr">
        <is>
          <t>28-103230-02</t>
        </is>
      </c>
      <c r="G1177" s="43" t="inlineStr">
        <is>
          <t>BARE_PCB_PN_CANDIDATE</t>
        </is>
      </c>
      <c r="H1177" s="43" t="inlineStr"/>
      <c r="I1177" s="43" t="inlineStr">
        <is>
          <t>Expired</t>
        </is>
      </c>
      <c r="J1177" s="32" t="n">
        <v>46252</v>
      </c>
      <c r="K1177" s="32" t="n">
        <v>46183</v>
      </c>
      <c r="L1177" s="43" t="inlineStr">
        <is>
          <t>1616</t>
        </is>
      </c>
      <c r="M1177" s="43" t="n">
        <v>1</v>
      </c>
      <c r="N1177" s="33" t="inlineStr"/>
      <c r="O1177" s="43" t="inlineStr">
        <is>
          <t>UNVERIFIED</t>
        </is>
      </c>
      <c r="P1177" s="43" t="inlineStr">
        <is>
          <t>Pending Review</t>
        </is>
      </c>
      <c r="Q1177" s="33" t="inlineStr">
        <is>
          <t>Confirmar SKU/PCBA revision, PN exacto en Common DB, WO, BU, vigencia, planta y aprobacion firmada.</t>
        </is>
      </c>
    </row>
    <row r="1178">
      <c r="A1178" s="43" t="inlineStr">
        <is>
          <t>CTANJZ05254</t>
        </is>
      </c>
      <c r="B1178" s="43" t="inlineStr">
        <is>
          <t>D611204</t>
        </is>
      </c>
      <c r="C1178" s="43" t="inlineStr">
        <is>
          <t>037-STBU</t>
        </is>
      </c>
      <c r="D1178" s="43" t="inlineStr">
        <is>
          <t>FJZP</t>
        </is>
      </c>
      <c r="E1178" s="43" t="inlineStr">
        <is>
          <t>MCGA</t>
        </is>
      </c>
      <c r="F1178" s="43" t="inlineStr">
        <is>
          <t>28-103304-02</t>
        </is>
      </c>
      <c r="G1178" s="43" t="inlineStr">
        <is>
          <t>BARE_PCB_PN_CANDIDATE</t>
        </is>
      </c>
      <c r="H1178" s="43" t="inlineStr"/>
      <c r="I1178" s="43" t="inlineStr">
        <is>
          <t>Expired</t>
        </is>
      </c>
      <c r="J1178" s="32" t="n">
        <v>46252</v>
      </c>
      <c r="K1178" s="32" t="n">
        <v>46183</v>
      </c>
      <c r="L1178" s="43" t="inlineStr">
        <is>
          <t>1617</t>
        </is>
      </c>
      <c r="M1178" s="43" t="n">
        <v>1</v>
      </c>
      <c r="N1178" s="33" t="inlineStr"/>
      <c r="O1178" s="43" t="inlineStr">
        <is>
          <t>UNVERIFIED</t>
        </is>
      </c>
      <c r="P1178" s="43" t="inlineStr">
        <is>
          <t>Pending Review</t>
        </is>
      </c>
      <c r="Q1178" s="33" t="inlineStr">
        <is>
          <t>Confirmar SKU/PCBA revision, PN exacto en Common DB, WO, BU, vigencia, planta y aprobacion firmada.</t>
        </is>
      </c>
    </row>
    <row r="1179">
      <c r="A1179" s="43" t="inlineStr">
        <is>
          <t>CTANJZ05254</t>
        </is>
      </c>
      <c r="B1179" s="43" t="inlineStr">
        <is>
          <t>D611204</t>
        </is>
      </c>
      <c r="C1179" s="43" t="inlineStr">
        <is>
          <t>037-STBU</t>
        </is>
      </c>
      <c r="D1179" s="43" t="inlineStr">
        <is>
          <t>FJZP</t>
        </is>
      </c>
      <c r="E1179" s="43" t="inlineStr">
        <is>
          <t>MCGA</t>
        </is>
      </c>
      <c r="F1179" s="43" t="inlineStr">
        <is>
          <t>73-103558-04</t>
        </is>
      </c>
      <c r="G1179" s="43" t="inlineStr">
        <is>
          <t>BOARD_PN_CANDIDATE</t>
        </is>
      </c>
      <c r="H1179" s="43" t="inlineStr"/>
      <c r="I1179" s="43" t="inlineStr">
        <is>
          <t>Expired</t>
        </is>
      </c>
      <c r="J1179" s="32" t="n">
        <v>46252</v>
      </c>
      <c r="K1179" s="32" t="n">
        <v>46183</v>
      </c>
      <c r="L1179" s="43" t="inlineStr">
        <is>
          <t>1618</t>
        </is>
      </c>
      <c r="M1179" s="43" t="n">
        <v>1</v>
      </c>
      <c r="N1179" s="33" t="inlineStr"/>
      <c r="O1179" s="43" t="inlineStr">
        <is>
          <t>UNVERIFIED</t>
        </is>
      </c>
      <c r="P1179" s="43" t="inlineStr">
        <is>
          <t>Pending Review</t>
        </is>
      </c>
      <c r="Q1179" s="33" t="inlineStr">
        <is>
          <t>Confirmar SKU/PCBA revision, PN exacto en Common DB, WO, BU, vigencia, planta y aprobacion firmada.</t>
        </is>
      </c>
    </row>
    <row r="1180">
      <c r="A1180" s="43" t="inlineStr">
        <is>
          <t>CTANJZ05254</t>
        </is>
      </c>
      <c r="B1180" s="43" t="inlineStr">
        <is>
          <t>D611204</t>
        </is>
      </c>
      <c r="C1180" s="43" t="inlineStr">
        <is>
          <t>037-STBU</t>
        </is>
      </c>
      <c r="D1180" s="43" t="inlineStr">
        <is>
          <t>FJZP</t>
        </is>
      </c>
      <c r="E1180" s="43" t="inlineStr">
        <is>
          <t>MCGA</t>
        </is>
      </c>
      <c r="F1180" s="43" t="inlineStr">
        <is>
          <t>73-103559-04</t>
        </is>
      </c>
      <c r="G1180" s="43" t="inlineStr">
        <is>
          <t>BOARD_PN_CANDIDATE</t>
        </is>
      </c>
      <c r="H1180" s="43" t="inlineStr"/>
      <c r="I1180" s="43" t="inlineStr">
        <is>
          <t>Expired</t>
        </is>
      </c>
      <c r="J1180" s="32" t="n">
        <v>46252</v>
      </c>
      <c r="K1180" s="32" t="n">
        <v>46183</v>
      </c>
      <c r="L1180" s="43" t="inlineStr">
        <is>
          <t>1619</t>
        </is>
      </c>
      <c r="M1180" s="43" t="n">
        <v>1</v>
      </c>
      <c r="N1180" s="33" t="inlineStr"/>
      <c r="O1180" s="43" t="inlineStr">
        <is>
          <t>UNVERIFIED</t>
        </is>
      </c>
      <c r="P1180" s="43" t="inlineStr">
        <is>
          <t>Pending Review</t>
        </is>
      </c>
      <c r="Q1180" s="33" t="inlineStr">
        <is>
          <t>Confirmar SKU/PCBA revision, PN exacto en Common DB, WO, BU, vigencia, planta y aprobacion firmada.</t>
        </is>
      </c>
    </row>
    <row r="1181">
      <c r="A1181" s="43" t="inlineStr">
        <is>
          <t>CTANJZ05254</t>
        </is>
      </c>
      <c r="B1181" s="43" t="inlineStr">
        <is>
          <t>D611204</t>
        </is>
      </c>
      <c r="C1181" s="43" t="inlineStr">
        <is>
          <t>037-STBU</t>
        </is>
      </c>
      <c r="D1181" s="43" t="inlineStr">
        <is>
          <t>FJZP</t>
        </is>
      </c>
      <c r="E1181" s="43" t="inlineStr">
        <is>
          <t>MCGA</t>
        </is>
      </c>
      <c r="F1181" s="43" t="inlineStr">
        <is>
          <t>73-103563-02</t>
        </is>
      </c>
      <c r="G1181" s="43" t="inlineStr">
        <is>
          <t>BOARD_PN_CANDIDATE</t>
        </is>
      </c>
      <c r="H1181" s="43" t="inlineStr"/>
      <c r="I1181" s="43" t="inlineStr">
        <is>
          <t>Expired</t>
        </is>
      </c>
      <c r="J1181" s="32" t="n">
        <v>46252</v>
      </c>
      <c r="K1181" s="32" t="n">
        <v>46183</v>
      </c>
      <c r="L1181" s="43" t="inlineStr">
        <is>
          <t>1620</t>
        </is>
      </c>
      <c r="M1181" s="43" t="n">
        <v>1</v>
      </c>
      <c r="N1181" s="33" t="inlineStr"/>
      <c r="O1181" s="43" t="inlineStr">
        <is>
          <t>UNVERIFIED</t>
        </is>
      </c>
      <c r="P1181" s="43" t="inlineStr">
        <is>
          <t>Pending Review</t>
        </is>
      </c>
      <c r="Q1181" s="33" t="inlineStr">
        <is>
          <t>Confirmar SKU/PCBA revision, PN exacto en Common DB, WO, BU, vigencia, planta y aprobacion firmada.</t>
        </is>
      </c>
    </row>
    <row r="1182">
      <c r="A1182" s="43" t="inlineStr">
        <is>
          <t>CTANJZ05254</t>
        </is>
      </c>
      <c r="B1182" s="43" t="inlineStr">
        <is>
          <t>D611204</t>
        </is>
      </c>
      <c r="C1182" s="43" t="inlineStr">
        <is>
          <t>037-STBU</t>
        </is>
      </c>
      <c r="D1182" s="43" t="inlineStr">
        <is>
          <t>FJZP</t>
        </is>
      </c>
      <c r="E1182" s="43" t="inlineStr">
        <is>
          <t>MCGA</t>
        </is>
      </c>
      <c r="F1182" s="43" t="inlineStr">
        <is>
          <t>73-103622-02</t>
        </is>
      </c>
      <c r="G1182" s="43" t="inlineStr">
        <is>
          <t>BOARD_PN_CANDIDATE</t>
        </is>
      </c>
      <c r="H1182" s="43" t="inlineStr"/>
      <c r="I1182" s="43" t="inlineStr">
        <is>
          <t>Expired</t>
        </is>
      </c>
      <c r="J1182" s="32" t="n">
        <v>46252</v>
      </c>
      <c r="K1182" s="32" t="n">
        <v>46183</v>
      </c>
      <c r="L1182" s="43" t="inlineStr">
        <is>
          <t>1621</t>
        </is>
      </c>
      <c r="M1182" s="43" t="n">
        <v>1</v>
      </c>
      <c r="N1182" s="33" t="inlineStr"/>
      <c r="O1182" s="43" t="inlineStr">
        <is>
          <t>UNVERIFIED</t>
        </is>
      </c>
      <c r="P1182" s="43" t="inlineStr">
        <is>
          <t>Pending Review</t>
        </is>
      </c>
      <c r="Q1182" s="33" t="inlineStr">
        <is>
          <t>Confirmar SKU/PCBA revision, PN exacto en Common DB, WO, BU, vigencia, planta y aprobacion firmada.</t>
        </is>
      </c>
    </row>
    <row r="1183">
      <c r="A1183" s="43" t="inlineStr">
        <is>
          <t>CTANJZ05254</t>
        </is>
      </c>
      <c r="B1183" s="43" t="inlineStr">
        <is>
          <t>D611204</t>
        </is>
      </c>
      <c r="C1183" s="43" t="inlineStr">
        <is>
          <t>037-STBU</t>
        </is>
      </c>
      <c r="D1183" s="43" t="inlineStr">
        <is>
          <t>FJZP</t>
        </is>
      </c>
      <c r="E1183" s="43" t="inlineStr">
        <is>
          <t>MCGA</t>
        </is>
      </c>
      <c r="F1183" s="43" t="inlineStr">
        <is>
          <t>73-103633-04</t>
        </is>
      </c>
      <c r="G1183" s="43" t="inlineStr">
        <is>
          <t>BOARD_PN_CANDIDATE</t>
        </is>
      </c>
      <c r="H1183" s="43" t="inlineStr"/>
      <c r="I1183" s="43" t="inlineStr">
        <is>
          <t>Expired</t>
        </is>
      </c>
      <c r="J1183" s="32" t="n">
        <v>46252</v>
      </c>
      <c r="K1183" s="32" t="n">
        <v>46183</v>
      </c>
      <c r="L1183" s="43" t="inlineStr">
        <is>
          <t>1622</t>
        </is>
      </c>
      <c r="M1183" s="43" t="n">
        <v>1</v>
      </c>
      <c r="N1183" s="33" t="inlineStr"/>
      <c r="O1183" s="43" t="inlineStr">
        <is>
          <t>UNVERIFIED</t>
        </is>
      </c>
      <c r="P1183" s="43" t="inlineStr">
        <is>
          <t>Pending Review</t>
        </is>
      </c>
      <c r="Q1183" s="33" t="inlineStr">
        <is>
          <t>Confirmar SKU/PCBA revision, PN exacto en Common DB, WO, BU, vigencia, planta y aprobacion firmada.</t>
        </is>
      </c>
    </row>
    <row r="1184">
      <c r="A1184" s="43" t="inlineStr">
        <is>
          <t>CTANJZ05255</t>
        </is>
      </c>
      <c r="B1184" s="43" t="inlineStr">
        <is>
          <t>D611205</t>
        </is>
      </c>
      <c r="C1184" s="43" t="inlineStr">
        <is>
          <t>037-STBU</t>
        </is>
      </c>
      <c r="D1184" s="43" t="inlineStr">
        <is>
          <t>FJZP</t>
        </is>
      </c>
      <c r="E1184" s="43" t="inlineStr">
        <is>
          <t>MCGA</t>
        </is>
      </c>
      <c r="F1184" s="43" t="inlineStr">
        <is>
          <t>28-101945-03</t>
        </is>
      </c>
      <c r="G1184" s="43" t="inlineStr">
        <is>
          <t>BARE_PCB_PN_CANDIDATE</t>
        </is>
      </c>
      <c r="H1184" s="43" t="inlineStr"/>
      <c r="I1184" s="43" t="inlineStr">
        <is>
          <t>Expired</t>
        </is>
      </c>
      <c r="J1184" s="32" t="n">
        <v>46251</v>
      </c>
      <c r="K1184" s="32" t="n">
        <v>46183</v>
      </c>
      <c r="L1184" s="43" t="inlineStr">
        <is>
          <t>1475</t>
        </is>
      </c>
      <c r="M1184" s="43" t="n">
        <v>1</v>
      </c>
      <c r="N1184" s="33" t="inlineStr"/>
      <c r="O1184" s="43" t="inlineStr">
        <is>
          <t>UNVERIFIED</t>
        </is>
      </c>
      <c r="P1184" s="43" t="inlineStr">
        <is>
          <t>Pending Review</t>
        </is>
      </c>
      <c r="Q1184" s="33" t="inlineStr">
        <is>
          <t>Confirmar SKU/PCBA revision, PN exacto en Common DB, WO, BU, vigencia, planta y aprobacion firmada.</t>
        </is>
      </c>
    </row>
    <row r="1185">
      <c r="A1185" s="43" t="inlineStr">
        <is>
          <t>CTANJZ05255</t>
        </is>
      </c>
      <c r="B1185" s="43" t="inlineStr">
        <is>
          <t>D611205</t>
        </is>
      </c>
      <c r="C1185" s="43" t="inlineStr">
        <is>
          <t>037-STBU</t>
        </is>
      </c>
      <c r="D1185" s="43" t="inlineStr">
        <is>
          <t>FJZP</t>
        </is>
      </c>
      <c r="E1185" s="43" t="inlineStr">
        <is>
          <t>MCGA</t>
        </is>
      </c>
      <c r="F1185" s="43" t="inlineStr">
        <is>
          <t>28-101946-03</t>
        </is>
      </c>
      <c r="G1185" s="43" t="inlineStr">
        <is>
          <t>BARE_PCB_PN_CANDIDATE</t>
        </is>
      </c>
      <c r="H1185" s="43" t="inlineStr"/>
      <c r="I1185" s="43" t="inlineStr">
        <is>
          <t>Expired</t>
        </is>
      </c>
      <c r="J1185" s="32" t="n">
        <v>46251</v>
      </c>
      <c r="K1185" s="32" t="n">
        <v>46183</v>
      </c>
      <c r="L1185" s="43" t="inlineStr">
        <is>
          <t>1476</t>
        </is>
      </c>
      <c r="M1185" s="43" t="n">
        <v>1</v>
      </c>
      <c r="N1185" s="33" t="inlineStr"/>
      <c r="O1185" s="43" t="inlineStr">
        <is>
          <t>UNVERIFIED</t>
        </is>
      </c>
      <c r="P1185" s="43" t="inlineStr">
        <is>
          <t>Pending Review</t>
        </is>
      </c>
      <c r="Q1185" s="33" t="inlineStr">
        <is>
          <t>Confirmar SKU/PCBA revision, PN exacto en Common DB, WO, BU, vigencia, planta y aprobacion firmada.</t>
        </is>
      </c>
    </row>
    <row r="1186">
      <c r="A1186" s="43" t="inlineStr">
        <is>
          <t>CTANJZ05255</t>
        </is>
      </c>
      <c r="B1186" s="43" t="inlineStr">
        <is>
          <t>D611205</t>
        </is>
      </c>
      <c r="C1186" s="43" t="inlineStr">
        <is>
          <t>037-STBU</t>
        </is>
      </c>
      <c r="D1186" s="43" t="inlineStr">
        <is>
          <t>FJZP</t>
        </is>
      </c>
      <c r="E1186" s="43" t="inlineStr">
        <is>
          <t>MCGA</t>
        </is>
      </c>
      <c r="F1186" s="43" t="inlineStr">
        <is>
          <t>28-102311-04</t>
        </is>
      </c>
      <c r="G1186" s="43" t="inlineStr">
        <is>
          <t>BARE_PCB_PN_CANDIDATE</t>
        </is>
      </c>
      <c r="H1186" s="43" t="inlineStr"/>
      <c r="I1186" s="43" t="inlineStr">
        <is>
          <t>Expired</t>
        </is>
      </c>
      <c r="J1186" s="32" t="n">
        <v>46251</v>
      </c>
      <c r="K1186" s="32" t="n">
        <v>46183</v>
      </c>
      <c r="L1186" s="43" t="inlineStr">
        <is>
          <t>1611</t>
        </is>
      </c>
      <c r="M1186" s="43" t="n">
        <v>1</v>
      </c>
      <c r="N1186" s="33" t="inlineStr"/>
      <c r="O1186" s="43" t="inlineStr">
        <is>
          <t>UNVERIFIED</t>
        </is>
      </c>
      <c r="P1186" s="43" t="inlineStr">
        <is>
          <t>Pending Review</t>
        </is>
      </c>
      <c r="Q1186" s="33" t="inlineStr">
        <is>
          <t>Confirmar SKU/PCBA revision, PN exacto en Common DB, WO, BU, vigencia, planta y aprobacion firmada.</t>
        </is>
      </c>
    </row>
    <row r="1187">
      <c r="A1187" s="43" t="inlineStr">
        <is>
          <t>CTANJZ05255</t>
        </is>
      </c>
      <c r="B1187" s="43" t="inlineStr">
        <is>
          <t>D611205</t>
        </is>
      </c>
      <c r="C1187" s="43" t="inlineStr">
        <is>
          <t>037-STBU</t>
        </is>
      </c>
      <c r="D1187" s="43" t="inlineStr">
        <is>
          <t>FJZP</t>
        </is>
      </c>
      <c r="E1187" s="43" t="inlineStr">
        <is>
          <t>MCGA</t>
        </is>
      </c>
      <c r="F1187" s="43" t="inlineStr">
        <is>
          <t>28-102686-01</t>
        </is>
      </c>
      <c r="G1187" s="43" t="inlineStr">
        <is>
          <t>BARE_PCB_PN_CANDIDATE</t>
        </is>
      </c>
      <c r="H1187" s="43" t="inlineStr"/>
      <c r="I1187" s="43" t="inlineStr">
        <is>
          <t>Expired</t>
        </is>
      </c>
      <c r="J1187" s="32" t="n">
        <v>46251</v>
      </c>
      <c r="K1187" s="32" t="n">
        <v>46183</v>
      </c>
      <c r="L1187" s="43" t="inlineStr">
        <is>
          <t>1612</t>
        </is>
      </c>
      <c r="M1187" s="43" t="n">
        <v>1</v>
      </c>
      <c r="N1187" s="33" t="inlineStr"/>
      <c r="O1187" s="43" t="inlineStr">
        <is>
          <t>UNVERIFIED</t>
        </is>
      </c>
      <c r="P1187" s="43" t="inlineStr">
        <is>
          <t>Pending Review</t>
        </is>
      </c>
      <c r="Q1187" s="33" t="inlineStr">
        <is>
          <t>Confirmar SKU/PCBA revision, PN exacto en Common DB, WO, BU, vigencia, planta y aprobacion firmada.</t>
        </is>
      </c>
    </row>
    <row r="1188">
      <c r="A1188" s="43" t="inlineStr">
        <is>
          <t>CTANJZ05255</t>
        </is>
      </c>
      <c r="B1188" s="43" t="inlineStr">
        <is>
          <t>D611205</t>
        </is>
      </c>
      <c r="C1188" s="43" t="inlineStr">
        <is>
          <t>037-STBU</t>
        </is>
      </c>
      <c r="D1188" s="43" t="inlineStr">
        <is>
          <t>FJZP</t>
        </is>
      </c>
      <c r="E1188" s="43" t="inlineStr">
        <is>
          <t>MCGA</t>
        </is>
      </c>
      <c r="F1188" s="43" t="inlineStr">
        <is>
          <t>28-102915-02</t>
        </is>
      </c>
      <c r="G1188" s="43" t="inlineStr">
        <is>
          <t>BARE_PCB_PN_CANDIDATE</t>
        </is>
      </c>
      <c r="H1188" s="43" t="inlineStr"/>
      <c r="I1188" s="43" t="inlineStr">
        <is>
          <t>Expired</t>
        </is>
      </c>
      <c r="J1188" s="32" t="n">
        <v>46251</v>
      </c>
      <c r="K1188" s="32" t="n">
        <v>46183</v>
      </c>
      <c r="L1188" s="43" t="inlineStr">
        <is>
          <t>1479</t>
        </is>
      </c>
      <c r="M1188" s="43" t="n">
        <v>1</v>
      </c>
      <c r="N1188" s="33" t="inlineStr"/>
      <c r="O1188" s="43" t="inlineStr">
        <is>
          <t>UNVERIFIED</t>
        </is>
      </c>
      <c r="P1188" s="43" t="inlineStr">
        <is>
          <t>Pending Review</t>
        </is>
      </c>
      <c r="Q1188" s="33" t="inlineStr">
        <is>
          <t>Confirmar SKU/PCBA revision, PN exacto en Common DB, WO, BU, vigencia, planta y aprobacion firmada.</t>
        </is>
      </c>
    </row>
    <row r="1189">
      <c r="A1189" s="43" t="inlineStr">
        <is>
          <t>CTANJZ05255</t>
        </is>
      </c>
      <c r="B1189" s="43" t="inlineStr">
        <is>
          <t>D611205</t>
        </is>
      </c>
      <c r="C1189" s="43" t="inlineStr">
        <is>
          <t>037-STBU</t>
        </is>
      </c>
      <c r="D1189" s="43" t="inlineStr">
        <is>
          <t>FJZP</t>
        </is>
      </c>
      <c r="E1189" s="43" t="inlineStr">
        <is>
          <t>MCGA</t>
        </is>
      </c>
      <c r="F1189" s="43" t="inlineStr">
        <is>
          <t>73-101944-03</t>
        </is>
      </c>
      <c r="G1189" s="43" t="inlineStr">
        <is>
          <t>BOARD_PN_CANDIDATE</t>
        </is>
      </c>
      <c r="H1189" s="43" t="inlineStr"/>
      <c r="I1189" s="43" t="inlineStr">
        <is>
          <t>Expired</t>
        </is>
      </c>
      <c r="J1189" s="32" t="n">
        <v>46251</v>
      </c>
      <c r="K1189" s="32" t="n">
        <v>46183</v>
      </c>
      <c r="L1189" s="43" t="inlineStr">
        <is>
          <t>1480</t>
        </is>
      </c>
      <c r="M1189" s="43" t="n">
        <v>1</v>
      </c>
      <c r="N1189" s="33" t="inlineStr"/>
      <c r="O1189" s="43" t="inlineStr">
        <is>
          <t>UNVERIFIED</t>
        </is>
      </c>
      <c r="P1189" s="43" t="inlineStr">
        <is>
          <t>Pending Review</t>
        </is>
      </c>
      <c r="Q1189" s="33" t="inlineStr">
        <is>
          <t>Confirmar SKU/PCBA revision, PN exacto en Common DB, WO, BU, vigencia, planta y aprobacion firmada.</t>
        </is>
      </c>
    </row>
    <row r="1190">
      <c r="A1190" s="43" t="inlineStr">
        <is>
          <t>CTANJZ05255</t>
        </is>
      </c>
      <c r="B1190" s="43" t="inlineStr">
        <is>
          <t>D611205</t>
        </is>
      </c>
      <c r="C1190" s="43" t="inlineStr">
        <is>
          <t>037-STBU</t>
        </is>
      </c>
      <c r="D1190" s="43" t="inlineStr">
        <is>
          <t>FJZP</t>
        </is>
      </c>
      <c r="E1190" s="43" t="inlineStr">
        <is>
          <t>MCGA</t>
        </is>
      </c>
      <c r="F1190" s="43" t="inlineStr">
        <is>
          <t>73-101945-03</t>
        </is>
      </c>
      <c r="G1190" s="43" t="inlineStr">
        <is>
          <t>BOARD_PN_CANDIDATE</t>
        </is>
      </c>
      <c r="H1190" s="43" t="inlineStr"/>
      <c r="I1190" s="43" t="inlineStr">
        <is>
          <t>Expired</t>
        </is>
      </c>
      <c r="J1190" s="32" t="n">
        <v>46251</v>
      </c>
      <c r="K1190" s="32" t="n">
        <v>46183</v>
      </c>
      <c r="L1190" s="43" t="inlineStr">
        <is>
          <t>1481</t>
        </is>
      </c>
      <c r="M1190" s="43" t="n">
        <v>1</v>
      </c>
      <c r="N1190" s="33" t="inlineStr"/>
      <c r="O1190" s="43" t="inlineStr">
        <is>
          <t>UNVERIFIED</t>
        </is>
      </c>
      <c r="P1190" s="43" t="inlineStr">
        <is>
          <t>Pending Review</t>
        </is>
      </c>
      <c r="Q1190" s="33" t="inlineStr">
        <is>
          <t>Confirmar SKU/PCBA revision, PN exacto en Common DB, WO, BU, vigencia, planta y aprobacion firmada.</t>
        </is>
      </c>
    </row>
    <row r="1191">
      <c r="A1191" s="43" t="inlineStr">
        <is>
          <t>CTANJZ05255</t>
        </is>
      </c>
      <c r="B1191" s="43" t="inlineStr">
        <is>
          <t>D611205</t>
        </is>
      </c>
      <c r="C1191" s="43" t="inlineStr">
        <is>
          <t>037-STBU</t>
        </is>
      </c>
      <c r="D1191" s="43" t="inlineStr">
        <is>
          <t>FJZP</t>
        </is>
      </c>
      <c r="E1191" s="43" t="inlineStr">
        <is>
          <t>MCGA</t>
        </is>
      </c>
      <c r="F1191" s="43" t="inlineStr">
        <is>
          <t>73-102433-06</t>
        </is>
      </c>
      <c r="G1191" s="43" t="inlineStr">
        <is>
          <t>BOARD_PN_CANDIDATE</t>
        </is>
      </c>
      <c r="H1191" s="43" t="inlineStr"/>
      <c r="I1191" s="43" t="inlineStr">
        <is>
          <t>Expired</t>
        </is>
      </c>
      <c r="J1191" s="32" t="n">
        <v>46251</v>
      </c>
      <c r="K1191" s="32" t="n">
        <v>46183</v>
      </c>
      <c r="L1191" s="43" t="inlineStr">
        <is>
          <t>1482</t>
        </is>
      </c>
      <c r="M1191" s="43" t="n">
        <v>1</v>
      </c>
      <c r="N1191" s="33" t="inlineStr"/>
      <c r="O1191" s="43" t="inlineStr">
        <is>
          <t>UNVERIFIED</t>
        </is>
      </c>
      <c r="P1191" s="43" t="inlineStr">
        <is>
          <t>Pending Review</t>
        </is>
      </c>
      <c r="Q1191" s="33" t="inlineStr">
        <is>
          <t>Confirmar SKU/PCBA revision, PN exacto en Common DB, WO, BU, vigencia, planta y aprobacion firmada.</t>
        </is>
      </c>
    </row>
    <row r="1192">
      <c r="A1192" s="43" t="inlineStr">
        <is>
          <t>CTANJZ05255</t>
        </is>
      </c>
      <c r="B1192" s="43" t="inlineStr">
        <is>
          <t>D611205</t>
        </is>
      </c>
      <c r="C1192" s="43" t="inlineStr">
        <is>
          <t>037-STBU</t>
        </is>
      </c>
      <c r="D1192" s="43" t="inlineStr">
        <is>
          <t>FJZP</t>
        </is>
      </c>
      <c r="E1192" s="43" t="inlineStr">
        <is>
          <t>MCGA</t>
        </is>
      </c>
      <c r="F1192" s="43" t="inlineStr">
        <is>
          <t>73-102434-06</t>
        </is>
      </c>
      <c r="G1192" s="43" t="inlineStr">
        <is>
          <t>BOARD_PN_CANDIDATE</t>
        </is>
      </c>
      <c r="H1192" s="43" t="inlineStr"/>
      <c r="I1192" s="43" t="inlineStr">
        <is>
          <t>Expired</t>
        </is>
      </c>
      <c r="J1192" s="32" t="n">
        <v>46251</v>
      </c>
      <c r="K1192" s="32" t="n">
        <v>46183</v>
      </c>
      <c r="L1192" s="43" t="inlineStr">
        <is>
          <t>1483</t>
        </is>
      </c>
      <c r="M1192" s="43" t="n">
        <v>1</v>
      </c>
      <c r="N1192" s="33" t="inlineStr"/>
      <c r="O1192" s="43" t="inlineStr">
        <is>
          <t>UNVERIFIED</t>
        </is>
      </c>
      <c r="P1192" s="43" t="inlineStr">
        <is>
          <t>Pending Review</t>
        </is>
      </c>
      <c r="Q1192" s="33" t="inlineStr">
        <is>
          <t>Confirmar SKU/PCBA revision, PN exacto en Common DB, WO, BU, vigencia, planta y aprobacion firmada.</t>
        </is>
      </c>
    </row>
    <row r="1193">
      <c r="A1193" s="43" t="inlineStr">
        <is>
          <t>CTANJZ05255</t>
        </is>
      </c>
      <c r="B1193" s="43" t="inlineStr">
        <is>
          <t>D611205</t>
        </is>
      </c>
      <c r="C1193" s="43" t="inlineStr">
        <is>
          <t>037-STBU</t>
        </is>
      </c>
      <c r="D1193" s="43" t="inlineStr">
        <is>
          <t>FJZP</t>
        </is>
      </c>
      <c r="E1193" s="43" t="inlineStr">
        <is>
          <t>MCGA</t>
        </is>
      </c>
      <c r="F1193" s="43" t="inlineStr">
        <is>
          <t>73-102435-06</t>
        </is>
      </c>
      <c r="G1193" s="43" t="inlineStr">
        <is>
          <t>BOARD_PN_CANDIDATE</t>
        </is>
      </c>
      <c r="H1193" s="43" t="inlineStr"/>
      <c r="I1193" s="43" t="inlineStr">
        <is>
          <t>Expired</t>
        </is>
      </c>
      <c r="J1193" s="32" t="n">
        <v>46251</v>
      </c>
      <c r="K1193" s="32" t="n">
        <v>46183</v>
      </c>
      <c r="L1193" s="43" t="inlineStr">
        <is>
          <t>1484</t>
        </is>
      </c>
      <c r="M1193" s="43" t="n">
        <v>1</v>
      </c>
      <c r="N1193" s="33" t="inlineStr"/>
      <c r="O1193" s="43" t="inlineStr">
        <is>
          <t>UNVERIFIED</t>
        </is>
      </c>
      <c r="P1193" s="43" t="inlineStr">
        <is>
          <t>Pending Review</t>
        </is>
      </c>
      <c r="Q1193" s="33" t="inlineStr">
        <is>
          <t>Confirmar SKU/PCBA revision, PN exacto en Common DB, WO, BU, vigencia, planta y aprobacion firmada.</t>
        </is>
      </c>
    </row>
    <row r="1194">
      <c r="A1194" s="43" t="inlineStr">
        <is>
          <t>CTANJZ05255</t>
        </is>
      </c>
      <c r="B1194" s="43" t="inlineStr">
        <is>
          <t>D611205</t>
        </is>
      </c>
      <c r="C1194" s="43" t="inlineStr">
        <is>
          <t>037-STBU</t>
        </is>
      </c>
      <c r="D1194" s="43" t="inlineStr">
        <is>
          <t>FJZP</t>
        </is>
      </c>
      <c r="E1194" s="43" t="inlineStr">
        <is>
          <t>MCGA</t>
        </is>
      </c>
      <c r="F1194" s="43" t="inlineStr">
        <is>
          <t>73-103122-01</t>
        </is>
      </c>
      <c r="G1194" s="43" t="inlineStr">
        <is>
          <t>BOARD_PN_CANDIDATE</t>
        </is>
      </c>
      <c r="H1194" s="43" t="inlineStr"/>
      <c r="I1194" s="43" t="inlineStr">
        <is>
          <t>Expired</t>
        </is>
      </c>
      <c r="J1194" s="32" t="n">
        <v>46251</v>
      </c>
      <c r="K1194" s="32" t="n">
        <v>46183</v>
      </c>
      <c r="L1194" s="43" t="inlineStr">
        <is>
          <t>1485</t>
        </is>
      </c>
      <c r="M1194" s="43" t="n">
        <v>1</v>
      </c>
      <c r="N1194" s="33" t="inlineStr"/>
      <c r="O1194" s="43" t="inlineStr">
        <is>
          <t>UNVERIFIED</t>
        </is>
      </c>
      <c r="P1194" s="43" t="inlineStr">
        <is>
          <t>Pending Review</t>
        </is>
      </c>
      <c r="Q1194" s="33" t="inlineStr">
        <is>
          <t>Confirmar SKU/PCBA revision, PN exacto en Common DB, WO, BU, vigencia, planta y aprobacion firmada.</t>
        </is>
      </c>
    </row>
    <row r="1195">
      <c r="A1195" s="43" t="inlineStr">
        <is>
          <t>CTANJZ05255</t>
        </is>
      </c>
      <c r="B1195" s="43" t="inlineStr">
        <is>
          <t>D611205</t>
        </is>
      </c>
      <c r="C1195" s="43" t="inlineStr">
        <is>
          <t>037-STBU</t>
        </is>
      </c>
      <c r="D1195" s="43" t="inlineStr">
        <is>
          <t>FJZP</t>
        </is>
      </c>
      <c r="E1195" s="43" t="inlineStr">
        <is>
          <t>MCGA</t>
        </is>
      </c>
      <c r="F1195" s="43" t="inlineStr">
        <is>
          <t>73-103125-02</t>
        </is>
      </c>
      <c r="G1195" s="43" t="inlineStr">
        <is>
          <t>BOARD_PN_CANDIDATE</t>
        </is>
      </c>
      <c r="H1195" s="43" t="inlineStr"/>
      <c r="I1195" s="43" t="inlineStr">
        <is>
          <t>Expired</t>
        </is>
      </c>
      <c r="J1195" s="32" t="n">
        <v>46251</v>
      </c>
      <c r="K1195" s="32" t="n">
        <v>46183</v>
      </c>
      <c r="L1195" s="43" t="inlineStr">
        <is>
          <t>1486</t>
        </is>
      </c>
      <c r="M1195" s="43" t="n">
        <v>1</v>
      </c>
      <c r="N1195" s="33" t="inlineStr"/>
      <c r="O1195" s="43" t="inlineStr">
        <is>
          <t>UNVERIFIED</t>
        </is>
      </c>
      <c r="P1195" s="43" t="inlineStr">
        <is>
          <t>Pending Review</t>
        </is>
      </c>
      <c r="Q1195" s="33" t="inlineStr">
        <is>
          <t>Confirmar SKU/PCBA revision, PN exacto en Common DB, WO, BU, vigencia, planta y aprobacion firmada.</t>
        </is>
      </c>
    </row>
    <row r="1196">
      <c r="A1196" s="43" t="inlineStr">
        <is>
          <t>CTANJZ05256</t>
        </is>
      </c>
      <c r="B1196" s="43" t="inlineStr">
        <is>
          <t>D611345</t>
        </is>
      </c>
      <c r="C1196" s="43" t="inlineStr">
        <is>
          <t>037-STBU</t>
        </is>
      </c>
      <c r="D1196" s="43" t="inlineStr">
        <is>
          <t>FJZP</t>
        </is>
      </c>
      <c r="E1196" s="43" t="inlineStr">
        <is>
          <t>MCGA</t>
        </is>
      </c>
      <c r="F1196" s="43" t="inlineStr">
        <is>
          <t>68-104008-02</t>
        </is>
      </c>
      <c r="G1196" s="43" t="inlineStr">
        <is>
          <t>OTHER_SCOPE_ITEM</t>
        </is>
      </c>
      <c r="H1196" s="43" t="inlineStr"/>
      <c r="I1196" s="43" t="inlineStr">
        <is>
          <t>Expired</t>
        </is>
      </c>
      <c r="J1196" s="32" t="n">
        <v>46251</v>
      </c>
      <c r="K1196" s="32" t="n">
        <v>46183</v>
      </c>
      <c r="L1196" s="43" t="inlineStr">
        <is>
          <t>1202</t>
        </is>
      </c>
      <c r="M1196" s="43" t="n">
        <v>1</v>
      </c>
      <c r="N1196" s="33" t="inlineStr"/>
      <c r="O1196" s="43" t="inlineStr">
        <is>
          <t>UNVERIFIED</t>
        </is>
      </c>
      <c r="P1196" s="43" t="inlineStr">
        <is>
          <t>Pending Review</t>
        </is>
      </c>
      <c r="Q1196" s="33" t="inlineStr">
        <is>
          <t>Confirmar SKU/PCBA revision, PN exacto en Common DB, WO, BU, vigencia, planta y aprobacion firmada.</t>
        </is>
      </c>
    </row>
    <row r="1197">
      <c r="A1197" s="43" t="inlineStr">
        <is>
          <t>CTANJZ05258</t>
        </is>
      </c>
      <c r="B1197" s="43" t="inlineStr">
        <is>
          <t>D611479</t>
        </is>
      </c>
      <c r="C1197" s="43" t="inlineStr">
        <is>
          <t>035-CVEBU</t>
        </is>
      </c>
      <c r="D1197" s="43" t="inlineStr">
        <is>
          <t>FJZP</t>
        </is>
      </c>
      <c r="E1197" s="43" t="inlineStr">
        <is>
          <t>MCGA</t>
        </is>
      </c>
      <c r="F1197" s="43" t="inlineStr">
        <is>
          <t>28-103367-06</t>
        </is>
      </c>
      <c r="G1197" s="43" t="inlineStr">
        <is>
          <t>BARE_PCB_PN_CANDIDATE</t>
        </is>
      </c>
      <c r="H1197" s="43" t="inlineStr"/>
      <c r="I1197" s="43" t="inlineStr">
        <is>
          <t>Extended</t>
        </is>
      </c>
      <c r="J1197" s="32" t="n">
        <v>46341</v>
      </c>
      <c r="K1197" s="32" t="n">
        <v>46174</v>
      </c>
      <c r="L1197" s="43" t="inlineStr">
        <is>
          <t>221</t>
        </is>
      </c>
      <c r="M1197" s="43" t="n">
        <v>1</v>
      </c>
      <c r="N1197" s="33" t="inlineStr"/>
      <c r="O1197" s="43" t="inlineStr">
        <is>
          <t>UNVERIFIED</t>
        </is>
      </c>
      <c r="P1197" s="43" t="inlineStr">
        <is>
          <t>Pending Review</t>
        </is>
      </c>
      <c r="Q1197" s="33" t="inlineStr">
        <is>
          <t>Confirmar SKU/PCBA revision, PN exacto en Common DB, WO, BU, vigencia, planta y aprobacion firmada.</t>
        </is>
      </c>
    </row>
    <row r="1198">
      <c r="A1198" s="43" t="inlineStr">
        <is>
          <t>CTANJZ05258</t>
        </is>
      </c>
      <c r="B1198" s="43" t="inlineStr">
        <is>
          <t>D611479</t>
        </is>
      </c>
      <c r="C1198" s="43" t="inlineStr">
        <is>
          <t>035-CVEBU</t>
        </is>
      </c>
      <c r="D1198" s="43" t="inlineStr">
        <is>
          <t>FJZP</t>
        </is>
      </c>
      <c r="E1198" s="43" t="inlineStr">
        <is>
          <t>MCGA</t>
        </is>
      </c>
      <c r="F1198" s="43" t="inlineStr">
        <is>
          <t>28-103453-04</t>
        </is>
      </c>
      <c r="G1198" s="43" t="inlineStr">
        <is>
          <t>BARE_PCB_PN_CANDIDATE</t>
        </is>
      </c>
      <c r="H1198" s="43" t="inlineStr"/>
      <c r="I1198" s="43" t="inlineStr">
        <is>
          <t>Extended</t>
        </is>
      </c>
      <c r="J1198" s="32" t="n">
        <v>46341</v>
      </c>
      <c r="K1198" s="32" t="n">
        <v>46174</v>
      </c>
      <c r="L1198" s="43" t="inlineStr">
        <is>
          <t>222</t>
        </is>
      </c>
      <c r="M1198" s="43" t="n">
        <v>1</v>
      </c>
      <c r="N1198" s="33" t="inlineStr"/>
      <c r="O1198" s="43" t="inlineStr">
        <is>
          <t>UNVERIFIED</t>
        </is>
      </c>
      <c r="P1198" s="43" t="inlineStr">
        <is>
          <t>Pending Review</t>
        </is>
      </c>
      <c r="Q1198" s="33" t="inlineStr">
        <is>
          <t>Confirmar SKU/PCBA revision, PN exacto en Common DB, WO, BU, vigencia, planta y aprobacion firmada.</t>
        </is>
      </c>
    </row>
    <row r="1199">
      <c r="A1199" s="43" t="inlineStr">
        <is>
          <t>CTANJZ05258</t>
        </is>
      </c>
      <c r="B1199" s="43" t="inlineStr">
        <is>
          <t>D611479</t>
        </is>
      </c>
      <c r="C1199" s="43" t="inlineStr">
        <is>
          <t>035-CVEBU</t>
        </is>
      </c>
      <c r="D1199" s="43" t="inlineStr">
        <is>
          <t>FJZP</t>
        </is>
      </c>
      <c r="E1199" s="43" t="inlineStr">
        <is>
          <t>MCGA</t>
        </is>
      </c>
      <c r="F1199" s="43" t="inlineStr">
        <is>
          <t>73-103698-06</t>
        </is>
      </c>
      <c r="G1199" s="43" t="inlineStr">
        <is>
          <t>BOARD_PN_CANDIDATE</t>
        </is>
      </c>
      <c r="H1199" s="43" t="inlineStr"/>
      <c r="I1199" s="43" t="inlineStr">
        <is>
          <t>Extended</t>
        </is>
      </c>
      <c r="J1199" s="32" t="n">
        <v>46341</v>
      </c>
      <c r="K1199" s="32" t="n">
        <v>46174</v>
      </c>
      <c r="L1199" s="43" t="inlineStr">
        <is>
          <t>223</t>
        </is>
      </c>
      <c r="M1199" s="43" t="n">
        <v>1</v>
      </c>
      <c r="N1199" s="33" t="inlineStr"/>
      <c r="O1199" s="43" t="inlineStr">
        <is>
          <t>UNVERIFIED</t>
        </is>
      </c>
      <c r="P1199" s="43" t="inlineStr">
        <is>
          <t>Pending Review</t>
        </is>
      </c>
      <c r="Q1199" s="33" t="inlineStr">
        <is>
          <t>Confirmar SKU/PCBA revision, PN exacto en Common DB, WO, BU, vigencia, planta y aprobacion firmada.</t>
        </is>
      </c>
    </row>
    <row r="1200">
      <c r="A1200" s="43" t="inlineStr">
        <is>
          <t>CTANJZ05258</t>
        </is>
      </c>
      <c r="B1200" s="43" t="inlineStr">
        <is>
          <t>D611479</t>
        </is>
      </c>
      <c r="C1200" s="43" t="inlineStr">
        <is>
          <t>035-CVEBU</t>
        </is>
      </c>
      <c r="D1200" s="43" t="inlineStr">
        <is>
          <t>FJZP</t>
        </is>
      </c>
      <c r="E1200" s="43" t="inlineStr">
        <is>
          <t>MCGA</t>
        </is>
      </c>
      <c r="F1200" s="43" t="inlineStr">
        <is>
          <t>73-103758-04</t>
        </is>
      </c>
      <c r="G1200" s="43" t="inlineStr">
        <is>
          <t>BOARD_PN_CANDIDATE</t>
        </is>
      </c>
      <c r="H1200" s="43" t="inlineStr"/>
      <c r="I1200" s="43" t="inlineStr">
        <is>
          <t>Extended</t>
        </is>
      </c>
      <c r="J1200" s="32" t="n">
        <v>46341</v>
      </c>
      <c r="K1200" s="32" t="n">
        <v>46174</v>
      </c>
      <c r="L1200" s="43" t="inlineStr">
        <is>
          <t>224</t>
        </is>
      </c>
      <c r="M1200" s="43" t="n">
        <v>1</v>
      </c>
      <c r="N1200" s="33" t="inlineStr"/>
      <c r="O1200" s="43" t="inlineStr">
        <is>
          <t>UNVERIFIED</t>
        </is>
      </c>
      <c r="P1200" s="43" t="inlineStr">
        <is>
          <t>Pending Review</t>
        </is>
      </c>
      <c r="Q1200" s="33" t="inlineStr">
        <is>
          <t>Confirmar SKU/PCBA revision, PN exacto en Common DB, WO, BU, vigencia, planta y aprobacion firmada.</t>
        </is>
      </c>
    </row>
    <row r="1201">
      <c r="A1201" s="43" t="inlineStr">
        <is>
          <t>CTANJZ05258</t>
        </is>
      </c>
      <c r="B1201" s="43" t="inlineStr">
        <is>
          <t>D611479</t>
        </is>
      </c>
      <c r="C1201" s="43" t="inlineStr">
        <is>
          <t>035-CVEBU</t>
        </is>
      </c>
      <c r="D1201" s="43" t="inlineStr">
        <is>
          <t>FJZP</t>
        </is>
      </c>
      <c r="E1201" s="43" t="inlineStr">
        <is>
          <t>MCGA</t>
        </is>
      </c>
      <c r="F1201" s="43" t="inlineStr">
        <is>
          <t>800-113103-01</t>
        </is>
      </c>
      <c r="G1201" s="43" t="inlineStr">
        <is>
          <t>OTHER_SCOPE_ITEM</t>
        </is>
      </c>
      <c r="H1201" s="43" t="inlineStr"/>
      <c r="I1201" s="43" t="inlineStr">
        <is>
          <t>Extended</t>
        </is>
      </c>
      <c r="J1201" s="32" t="n">
        <v>46341</v>
      </c>
      <c r="K1201" s="32" t="n">
        <v>46174</v>
      </c>
      <c r="L1201" s="43" t="inlineStr">
        <is>
          <t>225</t>
        </is>
      </c>
      <c r="M1201" s="43" t="n">
        <v>1</v>
      </c>
      <c r="N1201" s="33" t="inlineStr"/>
      <c r="O1201" s="43" t="inlineStr">
        <is>
          <t>UNVERIFIED</t>
        </is>
      </c>
      <c r="P1201" s="43" t="inlineStr">
        <is>
          <t>Pending Review</t>
        </is>
      </c>
      <c r="Q1201" s="33" t="inlineStr">
        <is>
          <t>Confirmar SKU/PCBA revision, PN exacto en Common DB, WO, BU, vigencia, planta y aprobacion firmada.</t>
        </is>
      </c>
    </row>
    <row r="1202">
      <c r="A1202" s="43" t="inlineStr">
        <is>
          <t>CTANJZ05259</t>
        </is>
      </c>
      <c r="B1202" s="43" t="inlineStr">
        <is>
          <t>D611312</t>
        </is>
      </c>
      <c r="C1202" s="43" t="inlineStr">
        <is>
          <t>037-STBU</t>
        </is>
      </c>
      <c r="D1202" s="43" t="inlineStr">
        <is>
          <t>FJZP</t>
        </is>
      </c>
      <c r="E1202" s="43" t="inlineStr">
        <is>
          <t>MCGA</t>
        </is>
      </c>
      <c r="F1202" s="43" t="inlineStr">
        <is>
          <t>68-100283-05</t>
        </is>
      </c>
      <c r="G1202" s="43" t="inlineStr">
        <is>
          <t>OTHER_SCOPE_ITEM</t>
        </is>
      </c>
      <c r="H1202" s="43" t="inlineStr"/>
      <c r="I1202" s="43" t="inlineStr">
        <is>
          <t>Expired</t>
        </is>
      </c>
      <c r="J1202" s="32" t="n">
        <v>46252</v>
      </c>
      <c r="K1202" s="32" t="n">
        <v>46183</v>
      </c>
      <c r="L1202" s="43" t="inlineStr">
        <is>
          <t>1281</t>
        </is>
      </c>
      <c r="M1202" s="43" t="n">
        <v>1</v>
      </c>
      <c r="N1202" s="33" t="inlineStr"/>
      <c r="O1202" s="43" t="inlineStr">
        <is>
          <t>UNVERIFIED</t>
        </is>
      </c>
      <c r="P1202" s="43" t="inlineStr">
        <is>
          <t>Pending Review</t>
        </is>
      </c>
      <c r="Q1202" s="33" t="inlineStr">
        <is>
          <t>Confirmar SKU/PCBA revision, PN exacto en Common DB, WO, BU, vigencia, planta y aprobacion firmada.</t>
        </is>
      </c>
    </row>
    <row r="1203">
      <c r="A1203" s="43" t="inlineStr">
        <is>
          <t>CTANJZ05259</t>
        </is>
      </c>
      <c r="B1203" s="43" t="inlineStr">
        <is>
          <t>D611312</t>
        </is>
      </c>
      <c r="C1203" s="43" t="inlineStr">
        <is>
          <t>037-STBU</t>
        </is>
      </c>
      <c r="D1203" s="43" t="inlineStr">
        <is>
          <t>FJZP</t>
        </is>
      </c>
      <c r="E1203" s="43" t="inlineStr">
        <is>
          <t>MCGA</t>
        </is>
      </c>
      <c r="F1203" s="43" t="inlineStr">
        <is>
          <t>68-100284-05</t>
        </is>
      </c>
      <c r="G1203" s="43" t="inlineStr">
        <is>
          <t>OTHER_SCOPE_ITEM</t>
        </is>
      </c>
      <c r="H1203" s="43" t="inlineStr"/>
      <c r="I1203" s="43" t="inlineStr">
        <is>
          <t>Expired</t>
        </is>
      </c>
      <c r="J1203" s="32" t="n">
        <v>46252</v>
      </c>
      <c r="K1203" s="32" t="n">
        <v>46183</v>
      </c>
      <c r="L1203" s="43" t="inlineStr">
        <is>
          <t>1282</t>
        </is>
      </c>
      <c r="M1203" s="43" t="n">
        <v>1</v>
      </c>
      <c r="N1203" s="33" t="inlineStr"/>
      <c r="O1203" s="43" t="inlineStr">
        <is>
          <t>UNVERIFIED</t>
        </is>
      </c>
      <c r="P1203" s="43" t="inlineStr">
        <is>
          <t>Pending Review</t>
        </is>
      </c>
      <c r="Q1203" s="33" t="inlineStr">
        <is>
          <t>Confirmar SKU/PCBA revision, PN exacto en Common DB, WO, BU, vigencia, planta y aprobacion firmada.</t>
        </is>
      </c>
    </row>
    <row r="1204">
      <c r="A1204" s="43" t="inlineStr">
        <is>
          <t>CTANJZ05259</t>
        </is>
      </c>
      <c r="B1204" s="43" t="inlineStr">
        <is>
          <t>D611312</t>
        </is>
      </c>
      <c r="C1204" s="43" t="inlineStr">
        <is>
          <t>037-STBU</t>
        </is>
      </c>
      <c r="D1204" s="43" t="inlineStr">
        <is>
          <t>FJZP</t>
        </is>
      </c>
      <c r="E1204" s="43" t="inlineStr">
        <is>
          <t>MCGA</t>
        </is>
      </c>
      <c r="F1204" s="43" t="inlineStr">
        <is>
          <t>68-100702-01</t>
        </is>
      </c>
      <c r="G1204" s="43" t="inlineStr">
        <is>
          <t>OTHER_SCOPE_ITEM</t>
        </is>
      </c>
      <c r="H1204" s="43" t="inlineStr"/>
      <c r="I1204" s="43" t="inlineStr">
        <is>
          <t>Expired</t>
        </is>
      </c>
      <c r="J1204" s="32" t="n">
        <v>46252</v>
      </c>
      <c r="K1204" s="32" t="n">
        <v>46183</v>
      </c>
      <c r="L1204" s="43" t="inlineStr">
        <is>
          <t>1283</t>
        </is>
      </c>
      <c r="M1204" s="43" t="n">
        <v>1</v>
      </c>
      <c r="N1204" s="33" t="inlineStr"/>
      <c r="O1204" s="43" t="inlineStr">
        <is>
          <t>UNVERIFIED</t>
        </is>
      </c>
      <c r="P1204" s="43" t="inlineStr">
        <is>
          <t>Pending Review</t>
        </is>
      </c>
      <c r="Q1204" s="33" t="inlineStr">
        <is>
          <t>Confirmar SKU/PCBA revision, PN exacto en Common DB, WO, BU, vigencia, planta y aprobacion firmada.</t>
        </is>
      </c>
    </row>
    <row r="1205">
      <c r="A1205" s="43" t="inlineStr">
        <is>
          <t>CTANJZ05259</t>
        </is>
      </c>
      <c r="B1205" s="43" t="inlineStr">
        <is>
          <t>D611312</t>
        </is>
      </c>
      <c r="C1205" s="43" t="inlineStr">
        <is>
          <t>037-STBU</t>
        </is>
      </c>
      <c r="D1205" s="43" t="inlineStr">
        <is>
          <t>FJZP</t>
        </is>
      </c>
      <c r="E1205" s="43" t="inlineStr">
        <is>
          <t>MCGA</t>
        </is>
      </c>
      <c r="F1205" s="43" t="inlineStr">
        <is>
          <t>68-101218-02</t>
        </is>
      </c>
      <c r="G1205" s="43" t="inlineStr">
        <is>
          <t>OTHER_SCOPE_ITEM</t>
        </is>
      </c>
      <c r="H1205" s="43" t="inlineStr"/>
      <c r="I1205" s="43" t="inlineStr">
        <is>
          <t>Expired</t>
        </is>
      </c>
      <c r="J1205" s="32" t="n">
        <v>46252</v>
      </c>
      <c r="K1205" s="32" t="n">
        <v>46183</v>
      </c>
      <c r="L1205" s="43" t="inlineStr">
        <is>
          <t>1284</t>
        </is>
      </c>
      <c r="M1205" s="43" t="n">
        <v>1</v>
      </c>
      <c r="N1205" s="33" t="inlineStr"/>
      <c r="O1205" s="43" t="inlineStr">
        <is>
          <t>UNVERIFIED</t>
        </is>
      </c>
      <c r="P1205" s="43" t="inlineStr">
        <is>
          <t>Pending Review</t>
        </is>
      </c>
      <c r="Q1205" s="33" t="inlineStr">
        <is>
          <t>Confirmar SKU/PCBA revision, PN exacto en Common DB, WO, BU, vigencia, planta y aprobacion firmada.</t>
        </is>
      </c>
    </row>
    <row r="1206">
      <c r="A1206" s="43" t="inlineStr">
        <is>
          <t>CTANJZ05259</t>
        </is>
      </c>
      <c r="B1206" s="43" t="inlineStr">
        <is>
          <t>D611312</t>
        </is>
      </c>
      <c r="C1206" s="43" t="inlineStr">
        <is>
          <t>037-STBU</t>
        </is>
      </c>
      <c r="D1206" s="43" t="inlineStr">
        <is>
          <t>FJZP</t>
        </is>
      </c>
      <c r="E1206" s="43" t="inlineStr">
        <is>
          <t>MCGA</t>
        </is>
      </c>
      <c r="F1206" s="43" t="inlineStr">
        <is>
          <t>73-16681-10</t>
        </is>
      </c>
      <c r="G1206" s="43" t="inlineStr">
        <is>
          <t>BOARD_PN_CANDIDATE</t>
        </is>
      </c>
      <c r="H1206" s="43" t="inlineStr"/>
      <c r="I1206" s="43" t="inlineStr">
        <is>
          <t>Expired</t>
        </is>
      </c>
      <c r="J1206" s="32" t="n">
        <v>46252</v>
      </c>
      <c r="K1206" s="32" t="n">
        <v>46183</v>
      </c>
      <c r="L1206" s="43" t="inlineStr">
        <is>
          <t>1285</t>
        </is>
      </c>
      <c r="M1206" s="43" t="n">
        <v>1</v>
      </c>
      <c r="N1206" s="33" t="inlineStr"/>
      <c r="O1206" s="43" t="inlineStr">
        <is>
          <t>UNVERIFIED</t>
        </is>
      </c>
      <c r="P1206" s="43" t="inlineStr">
        <is>
          <t>Pending Review</t>
        </is>
      </c>
      <c r="Q1206" s="33" t="inlineStr">
        <is>
          <t>Confirmar SKU/PCBA revision, PN exacto en Common DB, WO, BU, vigencia, planta y aprobacion firmada.</t>
        </is>
      </c>
    </row>
    <row r="1207">
      <c r="A1207" s="43" t="inlineStr">
        <is>
          <t>CTANJZ05259</t>
        </is>
      </c>
      <c r="B1207" s="43" t="inlineStr">
        <is>
          <t>D611312</t>
        </is>
      </c>
      <c r="C1207" s="43" t="inlineStr">
        <is>
          <t>037-STBU</t>
        </is>
      </c>
      <c r="D1207" s="43" t="inlineStr">
        <is>
          <t>FJZP</t>
        </is>
      </c>
      <c r="E1207" s="43" t="inlineStr">
        <is>
          <t>MCGA</t>
        </is>
      </c>
      <c r="F1207" s="43" t="inlineStr">
        <is>
          <t>73-16682-05</t>
        </is>
      </c>
      <c r="G1207" s="43" t="inlineStr">
        <is>
          <t>BOARD_PN_CANDIDATE</t>
        </is>
      </c>
      <c r="H1207" s="43" t="inlineStr"/>
      <c r="I1207" s="43" t="inlineStr">
        <is>
          <t>Expired</t>
        </is>
      </c>
      <c r="J1207" s="32" t="n">
        <v>46252</v>
      </c>
      <c r="K1207" s="32" t="n">
        <v>46183</v>
      </c>
      <c r="L1207" s="43" t="inlineStr">
        <is>
          <t>1286</t>
        </is>
      </c>
      <c r="M1207" s="43" t="n">
        <v>1</v>
      </c>
      <c r="N1207" s="33" t="inlineStr"/>
      <c r="O1207" s="43" t="inlineStr">
        <is>
          <t>UNVERIFIED</t>
        </is>
      </c>
      <c r="P1207" s="43" t="inlineStr">
        <is>
          <t>Pending Review</t>
        </is>
      </c>
      <c r="Q1207" s="33" t="inlineStr">
        <is>
          <t>Confirmar SKU/PCBA revision, PN exacto en Common DB, WO, BU, vigencia, planta y aprobacion firmada.</t>
        </is>
      </c>
    </row>
    <row r="1208">
      <c r="A1208" s="43" t="inlineStr">
        <is>
          <t>CTANJZ05259</t>
        </is>
      </c>
      <c r="B1208" s="43" t="inlineStr">
        <is>
          <t>D611312</t>
        </is>
      </c>
      <c r="C1208" s="43" t="inlineStr">
        <is>
          <t>037-STBU</t>
        </is>
      </c>
      <c r="D1208" s="43" t="inlineStr">
        <is>
          <t>FJZP</t>
        </is>
      </c>
      <c r="E1208" s="43" t="inlineStr">
        <is>
          <t>MCGA</t>
        </is>
      </c>
      <c r="F1208" s="43" t="inlineStr">
        <is>
          <t>73-16685-04</t>
        </is>
      </c>
      <c r="G1208" s="43" t="inlineStr">
        <is>
          <t>BOARD_PN_CANDIDATE</t>
        </is>
      </c>
      <c r="H1208" s="43" t="inlineStr"/>
      <c r="I1208" s="43" t="inlineStr">
        <is>
          <t>Expired</t>
        </is>
      </c>
      <c r="J1208" s="32" t="n">
        <v>46252</v>
      </c>
      <c r="K1208" s="32" t="n">
        <v>46183</v>
      </c>
      <c r="L1208" s="43" t="inlineStr">
        <is>
          <t>1287</t>
        </is>
      </c>
      <c r="M1208" s="43" t="n">
        <v>1</v>
      </c>
      <c r="N1208" s="33" t="inlineStr"/>
      <c r="O1208" s="43" t="inlineStr">
        <is>
          <t>UNVERIFIED</t>
        </is>
      </c>
      <c r="P1208" s="43" t="inlineStr">
        <is>
          <t>Pending Review</t>
        </is>
      </c>
      <c r="Q1208" s="33" t="inlineStr">
        <is>
          <t>Confirmar SKU/PCBA revision, PN exacto en Common DB, WO, BU, vigencia, planta y aprobacion firmada.</t>
        </is>
      </c>
    </row>
    <row r="1209">
      <c r="A1209" s="43" t="inlineStr">
        <is>
          <t>CTANJZ05259</t>
        </is>
      </c>
      <c r="B1209" s="43" t="inlineStr">
        <is>
          <t>D611312</t>
        </is>
      </c>
      <c r="C1209" s="43" t="inlineStr">
        <is>
          <t>037-STBU</t>
        </is>
      </c>
      <c r="D1209" s="43" t="inlineStr">
        <is>
          <t>FJZP</t>
        </is>
      </c>
      <c r="E1209" s="43" t="inlineStr">
        <is>
          <t>MCGA</t>
        </is>
      </c>
      <c r="F1209" s="43" t="inlineStr">
        <is>
          <t>73-16828-04</t>
        </is>
      </c>
      <c r="G1209" s="43" t="inlineStr">
        <is>
          <t>BOARD_PN_CANDIDATE</t>
        </is>
      </c>
      <c r="H1209" s="43" t="inlineStr"/>
      <c r="I1209" s="43" t="inlineStr">
        <is>
          <t>Expired</t>
        </is>
      </c>
      <c r="J1209" s="32" t="n">
        <v>46252</v>
      </c>
      <c r="K1209" s="32" t="n">
        <v>46183</v>
      </c>
      <c r="L1209" s="43" t="inlineStr">
        <is>
          <t>1288</t>
        </is>
      </c>
      <c r="M1209" s="43" t="n">
        <v>1</v>
      </c>
      <c r="N1209" s="33" t="inlineStr"/>
      <c r="O1209" s="43" t="inlineStr">
        <is>
          <t>UNVERIFIED</t>
        </is>
      </c>
      <c r="P1209" s="43" t="inlineStr">
        <is>
          <t>Pending Review</t>
        </is>
      </c>
      <c r="Q1209" s="33" t="inlineStr">
        <is>
          <t>Confirmar SKU/PCBA revision, PN exacto en Common DB, WO, BU, vigencia, planta y aprobacion firmada.</t>
        </is>
      </c>
    </row>
    <row r="1210">
      <c r="A1210" s="43" t="inlineStr">
        <is>
          <t>CTANJZ05259</t>
        </is>
      </c>
      <c r="B1210" s="43" t="inlineStr">
        <is>
          <t>D611312</t>
        </is>
      </c>
      <c r="C1210" s="43" t="inlineStr">
        <is>
          <t>037-STBU</t>
        </is>
      </c>
      <c r="D1210" s="43" t="inlineStr">
        <is>
          <t>FJZP</t>
        </is>
      </c>
      <c r="E1210" s="43" t="inlineStr">
        <is>
          <t>MCGA</t>
        </is>
      </c>
      <c r="F1210" s="43" t="inlineStr">
        <is>
          <t>73-17923-02</t>
        </is>
      </c>
      <c r="G1210" s="43" t="inlineStr">
        <is>
          <t>BOARD_PN_CANDIDATE</t>
        </is>
      </c>
      <c r="H1210" s="43" t="inlineStr"/>
      <c r="I1210" s="43" t="inlineStr">
        <is>
          <t>Expired</t>
        </is>
      </c>
      <c r="J1210" s="32" t="n">
        <v>46252</v>
      </c>
      <c r="K1210" s="32" t="n">
        <v>46183</v>
      </c>
      <c r="L1210" s="43" t="inlineStr">
        <is>
          <t>1296</t>
        </is>
      </c>
      <c r="M1210" s="43" t="n">
        <v>1</v>
      </c>
      <c r="N1210" s="33" t="inlineStr"/>
      <c r="O1210" s="43" t="inlineStr">
        <is>
          <t>UNVERIFIED</t>
        </is>
      </c>
      <c r="P1210" s="43" t="inlineStr">
        <is>
          <t>Pending Review</t>
        </is>
      </c>
      <c r="Q1210" s="33" t="inlineStr">
        <is>
          <t>Confirmar SKU/PCBA revision, PN exacto en Common DB, WO, BU, vigencia, planta y aprobacion firmada.</t>
        </is>
      </c>
    </row>
    <row r="1211">
      <c r="A1211" s="43" t="inlineStr">
        <is>
          <t>CTANJZ05259</t>
        </is>
      </c>
      <c r="B1211" s="43" t="inlineStr">
        <is>
          <t>D611312</t>
        </is>
      </c>
      <c r="C1211" s="43" t="inlineStr">
        <is>
          <t>037-STBU</t>
        </is>
      </c>
      <c r="D1211" s="43" t="inlineStr">
        <is>
          <t>FJZP</t>
        </is>
      </c>
      <c r="E1211" s="43" t="inlineStr">
        <is>
          <t>MCGA</t>
        </is>
      </c>
      <c r="F1211" s="43" t="inlineStr">
        <is>
          <t>73-18632-03</t>
        </is>
      </c>
      <c r="G1211" s="43" t="inlineStr">
        <is>
          <t>BOARD_PN_CANDIDATE</t>
        </is>
      </c>
      <c r="H1211" s="43" t="inlineStr"/>
      <c r="I1211" s="43" t="inlineStr">
        <is>
          <t>Expired</t>
        </is>
      </c>
      <c r="J1211" s="32" t="n">
        <v>46252</v>
      </c>
      <c r="K1211" s="32" t="n">
        <v>46183</v>
      </c>
      <c r="L1211" s="43" t="inlineStr">
        <is>
          <t>1297</t>
        </is>
      </c>
      <c r="M1211" s="43" t="n">
        <v>1</v>
      </c>
      <c r="N1211" s="33" t="inlineStr"/>
      <c r="O1211" s="43" t="inlineStr">
        <is>
          <t>UNVERIFIED</t>
        </is>
      </c>
      <c r="P1211" s="43" t="inlineStr">
        <is>
          <t>Pending Review</t>
        </is>
      </c>
      <c r="Q1211" s="33" t="inlineStr">
        <is>
          <t>Confirmar SKU/PCBA revision, PN exacto en Common DB, WO, BU, vigencia, planta y aprobacion firmada.</t>
        </is>
      </c>
    </row>
    <row r="1212">
      <c r="A1212" s="43" t="inlineStr">
        <is>
          <t>CTANJZ05259</t>
        </is>
      </c>
      <c r="B1212" s="43" t="inlineStr">
        <is>
          <t>D611312</t>
        </is>
      </c>
      <c r="C1212" s="43" t="inlineStr">
        <is>
          <t>037-STBU</t>
        </is>
      </c>
      <c r="D1212" s="43" t="inlineStr">
        <is>
          <t>FJZP</t>
        </is>
      </c>
      <c r="E1212" s="43" t="inlineStr">
        <is>
          <t>MCGA</t>
        </is>
      </c>
      <c r="F1212" s="43" t="inlineStr">
        <is>
          <t>800-101934-13</t>
        </is>
      </c>
      <c r="G1212" s="43" t="inlineStr">
        <is>
          <t>OTHER_SCOPE_ITEM</t>
        </is>
      </c>
      <c r="H1212" s="43" t="inlineStr"/>
      <c r="I1212" s="43" t="inlineStr">
        <is>
          <t>Expired</t>
        </is>
      </c>
      <c r="J1212" s="32" t="n">
        <v>46252</v>
      </c>
      <c r="K1212" s="32" t="n">
        <v>46183</v>
      </c>
      <c r="L1212" s="43" t="inlineStr">
        <is>
          <t>1298</t>
        </is>
      </c>
      <c r="M1212" s="43" t="n">
        <v>1</v>
      </c>
      <c r="N1212" s="33" t="inlineStr"/>
      <c r="O1212" s="43" t="inlineStr">
        <is>
          <t>UNVERIFIED</t>
        </is>
      </c>
      <c r="P1212" s="43" t="inlineStr">
        <is>
          <t>Pending Review</t>
        </is>
      </c>
      <c r="Q1212" s="33" t="inlineStr">
        <is>
          <t>Confirmar SKU/PCBA revision, PN exacto en Common DB, WO, BU, vigencia, planta y aprobacion firmada.</t>
        </is>
      </c>
    </row>
    <row r="1213">
      <c r="A1213" s="43" t="inlineStr">
        <is>
          <t>CTANJZ05260</t>
        </is>
      </c>
      <c r="B1213" s="43" t="inlineStr">
        <is>
          <t>D611478</t>
        </is>
      </c>
      <c r="C1213" s="43" t="inlineStr">
        <is>
          <t>035-CVEBU</t>
        </is>
      </c>
      <c r="D1213" s="43" t="inlineStr">
        <is>
          <t>FJZP</t>
        </is>
      </c>
      <c r="E1213" s="43" t="inlineStr">
        <is>
          <t>MCGA</t>
        </is>
      </c>
      <c r="F1213" s="43" t="inlineStr">
        <is>
          <t>68-104853-01</t>
        </is>
      </c>
      <c r="G1213" s="43" t="inlineStr">
        <is>
          <t>OTHER_SCOPE_ITEM</t>
        </is>
      </c>
      <c r="H1213" s="43" t="inlineStr"/>
      <c r="I1213" s="43" t="inlineStr">
        <is>
          <t>Expired</t>
        </is>
      </c>
      <c r="J1213" s="32" t="n">
        <v>46252</v>
      </c>
      <c r="K1213" s="32" t="n">
        <v>46174</v>
      </c>
      <c r="L1213" s="43" t="inlineStr">
        <is>
          <t>1299</t>
        </is>
      </c>
      <c r="M1213" s="43" t="n">
        <v>1</v>
      </c>
      <c r="N1213" s="33" t="inlineStr"/>
      <c r="O1213" s="43" t="inlineStr">
        <is>
          <t>UNVERIFIED</t>
        </is>
      </c>
      <c r="P1213" s="43" t="inlineStr">
        <is>
          <t>Pending Review</t>
        </is>
      </c>
      <c r="Q1213" s="33" t="inlineStr">
        <is>
          <t>Confirmar SKU/PCBA revision, PN exacto en Common DB, WO, BU, vigencia, planta y aprobacion firmada.</t>
        </is>
      </c>
    </row>
    <row r="1214">
      <c r="A1214" s="43" t="inlineStr">
        <is>
          <t>CTANJZ05260</t>
        </is>
      </c>
      <c r="B1214" s="43" t="inlineStr">
        <is>
          <t>D611478</t>
        </is>
      </c>
      <c r="C1214" s="43" t="inlineStr">
        <is>
          <t>035-CVEBU</t>
        </is>
      </c>
      <c r="D1214" s="43" t="inlineStr">
        <is>
          <t>FJZP</t>
        </is>
      </c>
      <c r="E1214" s="43" t="inlineStr">
        <is>
          <t>MCGA</t>
        </is>
      </c>
      <c r="F1214" s="43" t="inlineStr">
        <is>
          <t>68-104854-01</t>
        </is>
      </c>
      <c r="G1214" s="43" t="inlineStr">
        <is>
          <t>OTHER_SCOPE_ITEM</t>
        </is>
      </c>
      <c r="H1214" s="43" t="inlineStr"/>
      <c r="I1214" s="43" t="inlineStr">
        <is>
          <t>Expired</t>
        </is>
      </c>
      <c r="J1214" s="32" t="n">
        <v>46252</v>
      </c>
      <c r="K1214" s="32" t="n">
        <v>46174</v>
      </c>
      <c r="L1214" s="43" t="inlineStr">
        <is>
          <t>1300</t>
        </is>
      </c>
      <c r="M1214" s="43" t="n">
        <v>1</v>
      </c>
      <c r="N1214" s="33" t="inlineStr"/>
      <c r="O1214" s="43" t="inlineStr">
        <is>
          <t>UNVERIFIED</t>
        </is>
      </c>
      <c r="P1214" s="43" t="inlineStr">
        <is>
          <t>Pending Review</t>
        </is>
      </c>
      <c r="Q1214" s="33" t="inlineStr">
        <is>
          <t>Confirmar SKU/PCBA revision, PN exacto en Common DB, WO, BU, vigencia, planta y aprobacion firmada.</t>
        </is>
      </c>
    </row>
    <row r="1215">
      <c r="A1215" s="43" t="inlineStr">
        <is>
          <t>CTANJZ05260</t>
        </is>
      </c>
      <c r="B1215" s="43" t="inlineStr">
        <is>
          <t>D611478</t>
        </is>
      </c>
      <c r="C1215" s="43" t="inlineStr">
        <is>
          <t>035-CVEBU</t>
        </is>
      </c>
      <c r="D1215" s="43" t="inlineStr">
        <is>
          <t>FJZP</t>
        </is>
      </c>
      <c r="E1215" s="43" t="inlineStr">
        <is>
          <t>MCGA</t>
        </is>
      </c>
      <c r="F1215" s="43" t="inlineStr">
        <is>
          <t>800-113105-01</t>
        </is>
      </c>
      <c r="G1215" s="43" t="inlineStr">
        <is>
          <t>OTHER_SCOPE_ITEM</t>
        </is>
      </c>
      <c r="H1215" s="43" t="inlineStr"/>
      <c r="I1215" s="43" t="inlineStr">
        <is>
          <t>Expired</t>
        </is>
      </c>
      <c r="J1215" s="32" t="n">
        <v>46252</v>
      </c>
      <c r="K1215" s="32" t="n">
        <v>46174</v>
      </c>
      <c r="L1215" s="43" t="inlineStr">
        <is>
          <t>1301</t>
        </is>
      </c>
      <c r="M1215" s="43" t="n">
        <v>1</v>
      </c>
      <c r="N1215" s="33" t="inlineStr"/>
      <c r="O1215" s="43" t="inlineStr">
        <is>
          <t>UNVERIFIED</t>
        </is>
      </c>
      <c r="P1215" s="43" t="inlineStr">
        <is>
          <t>Pending Review</t>
        </is>
      </c>
      <c r="Q1215" s="33" t="inlineStr">
        <is>
          <t>Confirmar SKU/PCBA revision, PN exacto en Common DB, WO, BU, vigencia, planta y aprobacion firmada.</t>
        </is>
      </c>
    </row>
    <row r="1216">
      <c r="A1216" s="43" t="inlineStr">
        <is>
          <t>CTANJZ05260</t>
        </is>
      </c>
      <c r="B1216" s="43" t="inlineStr">
        <is>
          <t>D611478</t>
        </is>
      </c>
      <c r="C1216" s="43" t="inlineStr">
        <is>
          <t>035-CVEBU</t>
        </is>
      </c>
      <c r="D1216" s="43" t="inlineStr">
        <is>
          <t>FJZP</t>
        </is>
      </c>
      <c r="E1216" s="43" t="inlineStr">
        <is>
          <t>MCGA</t>
        </is>
      </c>
      <c r="F1216" s="43" t="inlineStr">
        <is>
          <t>800-113255-01</t>
        </is>
      </c>
      <c r="G1216" s="43" t="inlineStr">
        <is>
          <t>OTHER_SCOPE_ITEM</t>
        </is>
      </c>
      <c r="H1216" s="43" t="inlineStr"/>
      <c r="I1216" s="43" t="inlineStr">
        <is>
          <t>Expired</t>
        </is>
      </c>
      <c r="J1216" s="32" t="n">
        <v>46252</v>
      </c>
      <c r="K1216" s="32" t="n">
        <v>46174</v>
      </c>
      <c r="L1216" s="43" t="inlineStr">
        <is>
          <t>1302</t>
        </is>
      </c>
      <c r="M1216" s="43" t="n">
        <v>1</v>
      </c>
      <c r="N1216" s="33" t="inlineStr"/>
      <c r="O1216" s="43" t="inlineStr">
        <is>
          <t>UNVERIFIED</t>
        </is>
      </c>
      <c r="P1216" s="43" t="inlineStr">
        <is>
          <t>Pending Review</t>
        </is>
      </c>
      <c r="Q1216" s="33" t="inlineStr">
        <is>
          <t>Confirmar SKU/PCBA revision, PN exacto en Common DB, WO, BU, vigencia, planta y aprobacion firmada.</t>
        </is>
      </c>
    </row>
    <row r="1217">
      <c r="A1217" s="43" t="inlineStr">
        <is>
          <t>CTANJZ05263</t>
        </is>
      </c>
      <c r="B1217" s="43" t="inlineStr">
        <is>
          <t>D611492</t>
        </is>
      </c>
      <c r="C1217" s="43" t="inlineStr">
        <is>
          <t>035-CVEBU</t>
        </is>
      </c>
      <c r="D1217" s="43" t="inlineStr">
        <is>
          <t>FJZP</t>
        </is>
      </c>
      <c r="E1217" s="43" t="inlineStr">
        <is>
          <t>MCGA</t>
        </is>
      </c>
      <c r="F1217" s="43" t="inlineStr">
        <is>
          <t>28-103228-04</t>
        </is>
      </c>
      <c r="G1217" s="43" t="inlineStr">
        <is>
          <t>BARE_PCB_PN_CANDIDATE</t>
        </is>
      </c>
      <c r="H1217" s="43" t="inlineStr"/>
      <c r="I1217" s="43" t="inlineStr">
        <is>
          <t>Expired</t>
        </is>
      </c>
      <c r="J1217" s="32" t="n">
        <v>46253</v>
      </c>
      <c r="K1217" s="32" t="n">
        <v>46174</v>
      </c>
      <c r="L1217" s="43" t="inlineStr">
        <is>
          <t>293</t>
        </is>
      </c>
      <c r="M1217" s="43" t="n">
        <v>1</v>
      </c>
      <c r="N1217" s="33" t="inlineStr"/>
      <c r="O1217" s="43" t="inlineStr">
        <is>
          <t>UNVERIFIED</t>
        </is>
      </c>
      <c r="P1217" s="43" t="inlineStr">
        <is>
          <t>Pending Review</t>
        </is>
      </c>
      <c r="Q1217" s="33" t="inlineStr">
        <is>
          <t>Confirmar SKU/PCBA revision, PN exacto en Common DB, WO, BU, vigencia, planta y aprobacion firmada.</t>
        </is>
      </c>
    </row>
    <row r="1218">
      <c r="A1218" s="43" t="inlineStr">
        <is>
          <t>CTANJZ05263</t>
        </is>
      </c>
      <c r="B1218" s="43" t="inlineStr">
        <is>
          <t>D611492</t>
        </is>
      </c>
      <c r="C1218" s="43" t="inlineStr">
        <is>
          <t>035-CVEBU</t>
        </is>
      </c>
      <c r="D1218" s="43" t="inlineStr">
        <is>
          <t>FJZP</t>
        </is>
      </c>
      <c r="E1218" s="43" t="inlineStr">
        <is>
          <t>MCGA</t>
        </is>
      </c>
      <c r="F1218" s="43" t="inlineStr">
        <is>
          <t>73-103922-04</t>
        </is>
      </c>
      <c r="G1218" s="43" t="inlineStr">
        <is>
          <t>BOARD_PN_CANDIDATE</t>
        </is>
      </c>
      <c r="H1218" s="43" t="inlineStr"/>
      <c r="I1218" s="43" t="inlineStr">
        <is>
          <t>Expired</t>
        </is>
      </c>
      <c r="J1218" s="32" t="n">
        <v>46253</v>
      </c>
      <c r="K1218" s="32" t="n">
        <v>46174</v>
      </c>
      <c r="L1218" s="43" t="inlineStr">
        <is>
          <t>294</t>
        </is>
      </c>
      <c r="M1218" s="43" t="n">
        <v>1</v>
      </c>
      <c r="N1218" s="33" t="inlineStr"/>
      <c r="O1218" s="43" t="inlineStr">
        <is>
          <t>UNVERIFIED</t>
        </is>
      </c>
      <c r="P1218" s="43" t="inlineStr">
        <is>
          <t>Pending Review</t>
        </is>
      </c>
      <c r="Q1218" s="33" t="inlineStr">
        <is>
          <t>Confirmar SKU/PCBA revision, PN exacto en Common DB, WO, BU, vigencia, planta y aprobacion firmada.</t>
        </is>
      </c>
    </row>
    <row r="1219">
      <c r="A1219" s="43" t="inlineStr">
        <is>
          <t>CTANJZ05265</t>
        </is>
      </c>
      <c r="B1219" s="43" t="inlineStr">
        <is>
          <t>D611483</t>
        </is>
      </c>
      <c r="C1219" s="43" t="inlineStr">
        <is>
          <t>037-STBU</t>
        </is>
      </c>
      <c r="D1219" s="43" t="inlineStr">
        <is>
          <t>FJZP</t>
        </is>
      </c>
      <c r="E1219" s="43" t="inlineStr">
        <is>
          <t>MCGA</t>
        </is>
      </c>
      <c r="F1219" s="43" t="inlineStr">
        <is>
          <t>800-109483-01</t>
        </is>
      </c>
      <c r="G1219" s="43" t="inlineStr">
        <is>
          <t>OTHER_SCOPE_ITEM</t>
        </is>
      </c>
      <c r="H1219" s="43" t="inlineStr"/>
      <c r="I1219" s="43" t="inlineStr">
        <is>
          <t>Expired</t>
        </is>
      </c>
      <c r="J1219" s="32" t="n">
        <v>46256</v>
      </c>
      <c r="K1219" s="32" t="n">
        <v>46197</v>
      </c>
      <c r="L1219" s="43" t="inlineStr">
        <is>
          <t>1660</t>
        </is>
      </c>
      <c r="M1219" s="43" t="n">
        <v>1</v>
      </c>
      <c r="N1219" s="33" t="inlineStr"/>
      <c r="O1219" s="43" t="inlineStr">
        <is>
          <t>UNVERIFIED</t>
        </is>
      </c>
      <c r="P1219" s="43" t="inlineStr">
        <is>
          <t>Pending Review</t>
        </is>
      </c>
      <c r="Q1219" s="33" t="inlineStr">
        <is>
          <t>Confirmar SKU/PCBA revision, PN exacto en Common DB, WO, BU, vigencia, planta y aprobacion firmada.</t>
        </is>
      </c>
    </row>
    <row r="1220">
      <c r="A1220" s="43" t="inlineStr">
        <is>
          <t>CTANJZ05266</t>
        </is>
      </c>
      <c r="B1220" s="43" t="inlineStr">
        <is>
          <t>D611591</t>
        </is>
      </c>
      <c r="C1220" s="43" t="inlineStr">
        <is>
          <t>037-STBU</t>
        </is>
      </c>
      <c r="D1220" s="43" t="inlineStr">
        <is>
          <t>FJZP</t>
        </is>
      </c>
      <c r="E1220" s="43" t="inlineStr">
        <is>
          <t>MCGA</t>
        </is>
      </c>
      <c r="F1220" s="43" t="inlineStr">
        <is>
          <t>17-102041-05</t>
        </is>
      </c>
      <c r="G1220" s="43" t="inlineStr">
        <is>
          <t>OTHER_SCOPE_ITEM</t>
        </is>
      </c>
      <c r="H1220" s="43" t="inlineStr"/>
      <c r="I1220" s="43" t="inlineStr">
        <is>
          <t>Expired</t>
        </is>
      </c>
      <c r="J1220" s="32" t="n">
        <v>46258</v>
      </c>
      <c r="K1220" s="32" t="n">
        <v>46205</v>
      </c>
      <c r="L1220" s="43" t="inlineStr">
        <is>
          <t>1154</t>
        </is>
      </c>
      <c r="M1220" s="43" t="n">
        <v>1</v>
      </c>
      <c r="N1220" s="33" t="inlineStr"/>
      <c r="O1220" s="43" t="inlineStr">
        <is>
          <t>UNVERIFIED</t>
        </is>
      </c>
      <c r="P1220" s="43" t="inlineStr">
        <is>
          <t>Pending Review</t>
        </is>
      </c>
      <c r="Q1220" s="33" t="inlineStr">
        <is>
          <t>Confirmar SKU/PCBA revision, PN exacto en Common DB, WO, BU, vigencia, planta y aprobacion firmada.</t>
        </is>
      </c>
    </row>
    <row r="1221">
      <c r="A1221" s="43" t="inlineStr">
        <is>
          <t>CTANJZ05266</t>
        </is>
      </c>
      <c r="B1221" s="43" t="inlineStr">
        <is>
          <t>D611591</t>
        </is>
      </c>
      <c r="C1221" s="43" t="inlineStr">
        <is>
          <t>037-STBU</t>
        </is>
      </c>
      <c r="D1221" s="43" t="inlineStr">
        <is>
          <t>FJZP</t>
        </is>
      </c>
      <c r="E1221" s="43" t="inlineStr">
        <is>
          <t>MCGA</t>
        </is>
      </c>
      <c r="F1221" s="43" t="inlineStr">
        <is>
          <t>17-102041-07</t>
        </is>
      </c>
      <c r="G1221" s="43" t="inlineStr">
        <is>
          <t>OTHER_SCOPE_ITEM</t>
        </is>
      </c>
      <c r="H1221" s="43" t="inlineStr"/>
      <c r="I1221" s="43" t="inlineStr">
        <is>
          <t>Expired</t>
        </is>
      </c>
      <c r="J1221" s="32" t="n">
        <v>46258</v>
      </c>
      <c r="K1221" s="32" t="n">
        <v>46205</v>
      </c>
      <c r="L1221" s="43" t="inlineStr">
        <is>
          <t>1155</t>
        </is>
      </c>
      <c r="M1221" s="43" t="n">
        <v>1</v>
      </c>
      <c r="N1221" s="33" t="inlineStr"/>
      <c r="O1221" s="43" t="inlineStr">
        <is>
          <t>UNVERIFIED</t>
        </is>
      </c>
      <c r="P1221" s="43" t="inlineStr">
        <is>
          <t>Pending Review</t>
        </is>
      </c>
      <c r="Q1221" s="33" t="inlineStr">
        <is>
          <t>Confirmar SKU/PCBA revision, PN exacto en Common DB, WO, BU, vigencia, planta y aprobacion firmada.</t>
        </is>
      </c>
    </row>
    <row r="1222">
      <c r="A1222" s="43" t="inlineStr">
        <is>
          <t>CTANJZ05266</t>
        </is>
      </c>
      <c r="B1222" s="43" t="inlineStr">
        <is>
          <t>D611591</t>
        </is>
      </c>
      <c r="C1222" s="43" t="inlineStr">
        <is>
          <t>037-STBU</t>
        </is>
      </c>
      <c r="D1222" s="43" t="inlineStr">
        <is>
          <t>FJZP</t>
        </is>
      </c>
      <c r="E1222" s="43" t="inlineStr">
        <is>
          <t>MCGA</t>
        </is>
      </c>
      <c r="F1222" s="43" t="inlineStr">
        <is>
          <t>73-20247-06</t>
        </is>
      </c>
      <c r="G1222" s="43" t="inlineStr">
        <is>
          <t>BOARD_PN_CANDIDATE</t>
        </is>
      </c>
      <c r="H1222" s="43" t="inlineStr">
        <is>
          <t>TUFNELL PARK</t>
        </is>
      </c>
      <c r="I1222" s="43" t="inlineStr">
        <is>
          <t>Expired</t>
        </is>
      </c>
      <c r="J1222" s="32" t="n">
        <v>46258</v>
      </c>
      <c r="K1222" s="32" t="n">
        <v>46205</v>
      </c>
      <c r="L1222" s="43" t="inlineStr">
        <is>
          <t>1156</t>
        </is>
      </c>
      <c r="M1222" s="43" t="n">
        <v>1</v>
      </c>
      <c r="N1222" s="33" t="inlineStr"/>
      <c r="O1222" s="43" t="inlineStr">
        <is>
          <t>UNVERIFIED</t>
        </is>
      </c>
      <c r="P1222" s="43" t="inlineStr">
        <is>
          <t>Pending Review</t>
        </is>
      </c>
      <c r="Q1222" s="33" t="inlineStr">
        <is>
          <t>Confirmar SKU/PCBA revision, PN exacto en Common DB, WO, BU, vigencia, planta y aprobacion firmada.</t>
        </is>
      </c>
    </row>
    <row r="1223">
      <c r="A1223" s="43" t="inlineStr">
        <is>
          <t>CTANJZ05266</t>
        </is>
      </c>
      <c r="B1223" s="43" t="inlineStr">
        <is>
          <t>D611591</t>
        </is>
      </c>
      <c r="C1223" s="43" t="inlineStr">
        <is>
          <t>037-STBU</t>
        </is>
      </c>
      <c r="D1223" s="43" t="inlineStr">
        <is>
          <t>FJZP</t>
        </is>
      </c>
      <c r="E1223" s="43" t="inlineStr">
        <is>
          <t>MCGA</t>
        </is>
      </c>
      <c r="F1223" s="43" t="inlineStr">
        <is>
          <t>73-20249-06</t>
        </is>
      </c>
      <c r="G1223" s="43" t="inlineStr">
        <is>
          <t>BOARD_PN_CANDIDATE</t>
        </is>
      </c>
      <c r="H1223" s="43" t="inlineStr">
        <is>
          <t>TUFNELL PARK</t>
        </is>
      </c>
      <c r="I1223" s="43" t="inlineStr">
        <is>
          <t>Expired</t>
        </is>
      </c>
      <c r="J1223" s="32" t="n">
        <v>46258</v>
      </c>
      <c r="K1223" s="32" t="n">
        <v>46205</v>
      </c>
      <c r="L1223" s="43" t="inlineStr">
        <is>
          <t>1157</t>
        </is>
      </c>
      <c r="M1223" s="43" t="n">
        <v>1</v>
      </c>
      <c r="N1223" s="33" t="inlineStr"/>
      <c r="O1223" s="43" t="inlineStr">
        <is>
          <t>UNVERIFIED</t>
        </is>
      </c>
      <c r="P1223" s="43" t="inlineStr">
        <is>
          <t>Pending Review</t>
        </is>
      </c>
      <c r="Q1223" s="33" t="inlineStr">
        <is>
          <t>Confirmar SKU/PCBA revision, PN exacto en Common DB, WO, BU, vigencia, planta y aprobacion firmada.</t>
        </is>
      </c>
    </row>
    <row r="1224">
      <c r="A1224" s="43" t="inlineStr">
        <is>
          <t>CTANJZ05267</t>
        </is>
      </c>
      <c r="B1224" s="43" t="inlineStr">
        <is>
          <t>D611503</t>
        </is>
      </c>
      <c r="C1224" s="43" t="inlineStr">
        <is>
          <t>037-STBU</t>
        </is>
      </c>
      <c r="D1224" s="43" t="inlineStr">
        <is>
          <t>FJZP</t>
        </is>
      </c>
      <c r="E1224" s="43" t="inlineStr">
        <is>
          <t>MCGA</t>
        </is>
      </c>
      <c r="F1224" s="43" t="inlineStr">
        <is>
          <t>29-102749-01</t>
        </is>
      </c>
      <c r="G1224" s="43" t="inlineStr">
        <is>
          <t>OTHER_SCOPE_ITEM</t>
        </is>
      </c>
      <c r="H1224" s="43" t="inlineStr"/>
      <c r="I1224" s="43" t="inlineStr">
        <is>
          <t>Expired</t>
        </is>
      </c>
      <c r="J1224" s="32" t="n">
        <v>46258</v>
      </c>
      <c r="K1224" s="32" t="n">
        <v>46200</v>
      </c>
      <c r="L1224" s="43" t="inlineStr">
        <is>
          <t>1239</t>
        </is>
      </c>
      <c r="M1224" s="43" t="n">
        <v>1</v>
      </c>
      <c r="N1224" s="33" t="inlineStr"/>
      <c r="O1224" s="43" t="inlineStr">
        <is>
          <t>UNVERIFIED</t>
        </is>
      </c>
      <c r="P1224" s="43" t="inlineStr">
        <is>
          <t>Pending Review</t>
        </is>
      </c>
      <c r="Q1224" s="33" t="inlineStr">
        <is>
          <t>Confirmar SKU/PCBA revision, PN exacto en Common DB, WO, BU, vigencia, planta y aprobacion firmada.</t>
        </is>
      </c>
    </row>
    <row r="1225">
      <c r="A1225" s="43" t="inlineStr">
        <is>
          <t>CTANJZ05267</t>
        </is>
      </c>
      <c r="B1225" s="43" t="inlineStr">
        <is>
          <t>D611503</t>
        </is>
      </c>
      <c r="C1225" s="43" t="inlineStr">
        <is>
          <t>037-STBU</t>
        </is>
      </c>
      <c r="D1225" s="43" t="inlineStr">
        <is>
          <t>FJZP</t>
        </is>
      </c>
      <c r="E1225" s="43" t="inlineStr">
        <is>
          <t>MCGA</t>
        </is>
      </c>
      <c r="F1225" s="43" t="inlineStr">
        <is>
          <t>29-102749-02</t>
        </is>
      </c>
      <c r="G1225" s="43" t="inlineStr">
        <is>
          <t>OTHER_SCOPE_ITEM</t>
        </is>
      </c>
      <c r="H1225" s="43" t="inlineStr"/>
      <c r="I1225" s="43" t="inlineStr">
        <is>
          <t>Expired</t>
        </is>
      </c>
      <c r="J1225" s="32" t="n">
        <v>46258</v>
      </c>
      <c r="K1225" s="32" t="n">
        <v>46200</v>
      </c>
      <c r="L1225" s="43" t="inlineStr">
        <is>
          <t>1240</t>
        </is>
      </c>
      <c r="M1225" s="43" t="n">
        <v>1</v>
      </c>
      <c r="N1225" s="33" t="inlineStr"/>
      <c r="O1225" s="43" t="inlineStr">
        <is>
          <t>UNVERIFIED</t>
        </is>
      </c>
      <c r="P1225" s="43" t="inlineStr">
        <is>
          <t>Pending Review</t>
        </is>
      </c>
      <c r="Q1225" s="33" t="inlineStr">
        <is>
          <t>Confirmar SKU/PCBA revision, PN exacto en Common DB, WO, BU, vigencia, planta y aprobacion firmada.</t>
        </is>
      </c>
    </row>
    <row r="1226">
      <c r="A1226" s="43" t="inlineStr">
        <is>
          <t>CTANJZ05267</t>
        </is>
      </c>
      <c r="B1226" s="43" t="inlineStr">
        <is>
          <t>D611503</t>
        </is>
      </c>
      <c r="C1226" s="43" t="inlineStr">
        <is>
          <t>037-STBU</t>
        </is>
      </c>
      <c r="D1226" s="43" t="inlineStr">
        <is>
          <t>FJZP</t>
        </is>
      </c>
      <c r="E1226" s="43" t="inlineStr">
        <is>
          <t>MCGA</t>
        </is>
      </c>
      <c r="F1226" s="43" t="inlineStr">
        <is>
          <t>68-103908-02</t>
        </is>
      </c>
      <c r="G1226" s="43" t="inlineStr">
        <is>
          <t>OTHER_SCOPE_ITEM</t>
        </is>
      </c>
      <c r="H1226" s="43" t="inlineStr"/>
      <c r="I1226" s="43" t="inlineStr">
        <is>
          <t>Expired</t>
        </is>
      </c>
      <c r="J1226" s="32" t="n">
        <v>46258</v>
      </c>
      <c r="K1226" s="32" t="n">
        <v>46200</v>
      </c>
      <c r="L1226" s="43" t="inlineStr">
        <is>
          <t>1241</t>
        </is>
      </c>
      <c r="M1226" s="43" t="n">
        <v>1</v>
      </c>
      <c r="N1226" s="33" t="inlineStr"/>
      <c r="O1226" s="43" t="inlineStr">
        <is>
          <t>UNVERIFIED</t>
        </is>
      </c>
      <c r="P1226" s="43" t="inlineStr">
        <is>
          <t>Pending Review</t>
        </is>
      </c>
      <c r="Q1226" s="33" t="inlineStr">
        <is>
          <t>Confirmar SKU/PCBA revision, PN exacto en Common DB, WO, BU, vigencia, planta y aprobacion firmada.</t>
        </is>
      </c>
    </row>
    <row r="1227">
      <c r="A1227" s="43" t="inlineStr">
        <is>
          <t>CTANJZ05270</t>
        </is>
      </c>
      <c r="B1227" s="43" t="inlineStr">
        <is>
          <t>D611661</t>
        </is>
      </c>
      <c r="C1227" s="43" t="inlineStr">
        <is>
          <t>037-STBU</t>
        </is>
      </c>
      <c r="D1227" s="43" t="inlineStr">
        <is>
          <t>FJZP</t>
        </is>
      </c>
      <c r="E1227" s="43" t="inlineStr">
        <is>
          <t>MCGA</t>
        </is>
      </c>
      <c r="F1227" s="43" t="inlineStr">
        <is>
          <t>800-109498-07</t>
        </is>
      </c>
      <c r="G1227" s="43" t="inlineStr">
        <is>
          <t>OTHER_SCOPE_ITEM</t>
        </is>
      </c>
      <c r="H1227" s="43" t="inlineStr"/>
      <c r="I1227" s="43" t="inlineStr">
        <is>
          <t>Expired</t>
        </is>
      </c>
      <c r="J1227" s="32" t="n">
        <v>46260</v>
      </c>
      <c r="K1227" s="32" t="n">
        <v>46200</v>
      </c>
      <c r="L1227" s="43" t="inlineStr">
        <is>
          <t>1832</t>
        </is>
      </c>
      <c r="M1227" s="43" t="n">
        <v>1</v>
      </c>
      <c r="N1227" s="33" t="inlineStr"/>
      <c r="O1227" s="43" t="inlineStr">
        <is>
          <t>UNVERIFIED</t>
        </is>
      </c>
      <c r="P1227" s="43" t="inlineStr">
        <is>
          <t>Pending Review</t>
        </is>
      </c>
      <c r="Q1227" s="33" t="inlineStr">
        <is>
          <t>Confirmar SKU/PCBA revision, PN exacto en Common DB, WO, BU, vigencia, planta y aprobacion firmada.</t>
        </is>
      </c>
    </row>
    <row r="1228">
      <c r="A1228" s="43" t="inlineStr">
        <is>
          <t>CTANJZ05270</t>
        </is>
      </c>
      <c r="B1228" s="43" t="inlineStr">
        <is>
          <t>D611661</t>
        </is>
      </c>
      <c r="C1228" s="43" t="inlineStr">
        <is>
          <t>037-STBU</t>
        </is>
      </c>
      <c r="D1228" s="43" t="inlineStr">
        <is>
          <t>FJZP</t>
        </is>
      </c>
      <c r="E1228" s="43" t="inlineStr">
        <is>
          <t>MCGA</t>
        </is>
      </c>
      <c r="F1228" s="43" t="inlineStr">
        <is>
          <t>800-109499-07</t>
        </is>
      </c>
      <c r="G1228" s="43" t="inlineStr">
        <is>
          <t>OTHER_SCOPE_ITEM</t>
        </is>
      </c>
      <c r="H1228" s="43" t="inlineStr"/>
      <c r="I1228" s="43" t="inlineStr">
        <is>
          <t>Expired</t>
        </is>
      </c>
      <c r="J1228" s="32" t="n">
        <v>46260</v>
      </c>
      <c r="K1228" s="32" t="n">
        <v>46200</v>
      </c>
      <c r="L1228" s="43" t="inlineStr">
        <is>
          <t>1833</t>
        </is>
      </c>
      <c r="M1228" s="43" t="n">
        <v>1</v>
      </c>
      <c r="N1228" s="33" t="inlineStr"/>
      <c r="O1228" s="43" t="inlineStr">
        <is>
          <t>UNVERIFIED</t>
        </is>
      </c>
      <c r="P1228" s="43" t="inlineStr">
        <is>
          <t>Pending Review</t>
        </is>
      </c>
      <c r="Q1228" s="33" t="inlineStr">
        <is>
          <t>Confirmar SKU/PCBA revision, PN exacto en Common DB, WO, BU, vigencia, planta y aprobacion firmada.</t>
        </is>
      </c>
    </row>
    <row r="1229">
      <c r="A1229" s="43" t="inlineStr">
        <is>
          <t>CTANJZ05270</t>
        </is>
      </c>
      <c r="B1229" s="43" t="inlineStr">
        <is>
          <t>D611661</t>
        </is>
      </c>
      <c r="C1229" s="43" t="inlineStr">
        <is>
          <t>037-STBU</t>
        </is>
      </c>
      <c r="D1229" s="43" t="inlineStr">
        <is>
          <t>FJZP</t>
        </is>
      </c>
      <c r="E1229" s="43" t="inlineStr">
        <is>
          <t>MCGA</t>
        </is>
      </c>
      <c r="F1229" s="43" t="inlineStr">
        <is>
          <t>800-109500-07</t>
        </is>
      </c>
      <c r="G1229" s="43" t="inlineStr">
        <is>
          <t>OTHER_SCOPE_ITEM</t>
        </is>
      </c>
      <c r="H1229" s="43" t="inlineStr"/>
      <c r="I1229" s="43" t="inlineStr">
        <is>
          <t>Expired</t>
        </is>
      </c>
      <c r="J1229" s="32" t="n">
        <v>46260</v>
      </c>
      <c r="K1229" s="32" t="n">
        <v>46200</v>
      </c>
      <c r="L1229" s="43" t="inlineStr">
        <is>
          <t>1834</t>
        </is>
      </c>
      <c r="M1229" s="43" t="n">
        <v>1</v>
      </c>
      <c r="N1229" s="33" t="inlineStr"/>
      <c r="O1229" s="43" t="inlineStr">
        <is>
          <t>UNVERIFIED</t>
        </is>
      </c>
      <c r="P1229" s="43" t="inlineStr">
        <is>
          <t>Pending Review</t>
        </is>
      </c>
      <c r="Q1229" s="33" t="inlineStr">
        <is>
          <t>Confirmar SKU/PCBA revision, PN exacto en Common DB, WO, BU, vigencia, planta y aprobacion firmada.</t>
        </is>
      </c>
    </row>
    <row r="1230">
      <c r="A1230" s="43" t="inlineStr">
        <is>
          <t>CTANJZ05272</t>
        </is>
      </c>
      <c r="B1230" s="43" t="inlineStr">
        <is>
          <t>D611391</t>
        </is>
      </c>
      <c r="C1230" s="43" t="inlineStr">
        <is>
          <t>018-SRGBU</t>
        </is>
      </c>
      <c r="D1230" s="43" t="inlineStr">
        <is>
          <t>FJZP</t>
        </is>
      </c>
      <c r="E1230" s="43" t="inlineStr">
        <is>
          <t>MCGA</t>
        </is>
      </c>
      <c r="F1230" s="43" t="inlineStr">
        <is>
          <t>15-107070-01</t>
        </is>
      </c>
      <c r="G1230" s="43" t="inlineStr">
        <is>
          <t>OTHER_SCOPE_ITEM</t>
        </is>
      </c>
      <c r="H1230" s="43" t="inlineStr"/>
      <c r="I1230" s="43" t="inlineStr">
        <is>
          <t>Expired</t>
        </is>
      </c>
      <c r="J1230" s="32" t="n">
        <v>46261</v>
      </c>
      <c r="K1230" s="32" t="n">
        <v>46186</v>
      </c>
      <c r="L1230" s="43" t="inlineStr">
        <is>
          <t>1242</t>
        </is>
      </c>
      <c r="M1230" s="43" t="n">
        <v>1</v>
      </c>
      <c r="N1230" s="33" t="inlineStr"/>
      <c r="O1230" s="43" t="inlineStr">
        <is>
          <t>UNVERIFIED</t>
        </is>
      </c>
      <c r="P1230" s="43" t="inlineStr">
        <is>
          <t>Pending Review</t>
        </is>
      </c>
      <c r="Q1230" s="33" t="inlineStr">
        <is>
          <t>Confirmar SKU/PCBA revision, PN exacto en Common DB, WO, BU, vigencia, planta y aprobacion firmada.</t>
        </is>
      </c>
    </row>
    <row r="1231">
      <c r="A1231" s="43" t="inlineStr">
        <is>
          <t>CTANJZ05272</t>
        </is>
      </c>
      <c r="B1231" s="43" t="inlineStr">
        <is>
          <t>D611391</t>
        </is>
      </c>
      <c r="C1231" s="43" t="inlineStr">
        <is>
          <t>018-SRGBU</t>
        </is>
      </c>
      <c r="D1231" s="43" t="inlineStr">
        <is>
          <t>FJZP</t>
        </is>
      </c>
      <c r="E1231" s="43" t="inlineStr">
        <is>
          <t>MCGA</t>
        </is>
      </c>
      <c r="F1231" s="43" t="inlineStr">
        <is>
          <t>15-107071-01</t>
        </is>
      </c>
      <c r="G1231" s="43" t="inlineStr">
        <is>
          <t>OTHER_SCOPE_ITEM</t>
        </is>
      </c>
      <c r="H1231" s="43" t="inlineStr"/>
      <c r="I1231" s="43" t="inlineStr">
        <is>
          <t>Expired</t>
        </is>
      </c>
      <c r="J1231" s="32" t="n">
        <v>46261</v>
      </c>
      <c r="K1231" s="32" t="n">
        <v>46186</v>
      </c>
      <c r="L1231" s="43" t="inlineStr">
        <is>
          <t>1243</t>
        </is>
      </c>
      <c r="M1231" s="43" t="n">
        <v>1</v>
      </c>
      <c r="N1231" s="33" t="inlineStr"/>
      <c r="O1231" s="43" t="inlineStr">
        <is>
          <t>UNVERIFIED</t>
        </is>
      </c>
      <c r="P1231" s="43" t="inlineStr">
        <is>
          <t>Pending Review</t>
        </is>
      </c>
      <c r="Q1231" s="33" t="inlineStr">
        <is>
          <t>Confirmar SKU/PCBA revision, PN exacto en Common DB, WO, BU, vigencia, planta y aprobacion firmada.</t>
        </is>
      </c>
    </row>
    <row r="1232">
      <c r="A1232" s="43" t="inlineStr">
        <is>
          <t>CTANJZ05273</t>
        </is>
      </c>
      <c r="B1232" s="43" t="inlineStr">
        <is>
          <t>D611453</t>
        </is>
      </c>
      <c r="C1232" s="43" t="inlineStr">
        <is>
          <t>239-CRBU</t>
        </is>
      </c>
      <c r="D1232" s="43" t="inlineStr">
        <is>
          <t>FJZP</t>
        </is>
      </c>
      <c r="E1232" s="43" t="inlineStr">
        <is>
          <t>MCGA</t>
        </is>
      </c>
      <c r="F1232" s="43" t="inlineStr">
        <is>
          <t>17-102928-03</t>
        </is>
      </c>
      <c r="G1232" s="43" t="inlineStr">
        <is>
          <t>OTHER_SCOPE_ITEM</t>
        </is>
      </c>
      <c r="H1232" s="43" t="inlineStr"/>
      <c r="I1232" s="43" t="inlineStr">
        <is>
          <t>Expired</t>
        </is>
      </c>
      <c r="J1232" s="32" t="n">
        <v>46263</v>
      </c>
      <c r="K1232" s="32" t="n">
        <v>46205</v>
      </c>
      <c r="L1232" s="43" t="inlineStr">
        <is>
          <t>119,214</t>
        </is>
      </c>
      <c r="M1232" s="43" t="n">
        <v>2</v>
      </c>
      <c r="N1232" s="33" t="inlineStr"/>
      <c r="O1232" s="43" t="inlineStr">
        <is>
          <t>UNVERIFIED</t>
        </is>
      </c>
      <c r="P1232" s="43" t="inlineStr">
        <is>
          <t>Pending Review</t>
        </is>
      </c>
      <c r="Q1232" s="33" t="inlineStr">
        <is>
          <t>Confirmar SKU/PCBA revision, PN exacto en Common DB, WO, BU, vigencia, planta y aprobacion firmada.</t>
        </is>
      </c>
    </row>
    <row r="1233">
      <c r="A1233" s="43" t="inlineStr">
        <is>
          <t>CTANJZ05273</t>
        </is>
      </c>
      <c r="B1233" s="43" t="inlineStr">
        <is>
          <t>D611453</t>
        </is>
      </c>
      <c r="C1233" s="43" t="inlineStr">
        <is>
          <t>239-CRBU</t>
        </is>
      </c>
      <c r="D1233" s="43" t="inlineStr">
        <is>
          <t>FJZP</t>
        </is>
      </c>
      <c r="E1233" s="43" t="inlineStr">
        <is>
          <t>MCGA</t>
        </is>
      </c>
      <c r="F1233" s="43" t="inlineStr">
        <is>
          <t>34-100423-01</t>
        </is>
      </c>
      <c r="G1233" s="43" t="inlineStr">
        <is>
          <t>OTHER_SCOPE_ITEM</t>
        </is>
      </c>
      <c r="H1233" s="43" t="inlineStr"/>
      <c r="I1233" s="43" t="inlineStr">
        <is>
          <t>Expired</t>
        </is>
      </c>
      <c r="J1233" s="32" t="n">
        <v>46263</v>
      </c>
      <c r="K1233" s="32" t="n">
        <v>46205</v>
      </c>
      <c r="L1233" s="43" t="inlineStr">
        <is>
          <t>120,215</t>
        </is>
      </c>
      <c r="M1233" s="43" t="n">
        <v>2</v>
      </c>
      <c r="N1233" s="33" t="inlineStr"/>
      <c r="O1233" s="43" t="inlineStr">
        <is>
          <t>UNVERIFIED</t>
        </is>
      </c>
      <c r="P1233" s="43" t="inlineStr">
        <is>
          <t>Pending Review</t>
        </is>
      </c>
      <c r="Q1233" s="33" t="inlineStr">
        <is>
          <t>Confirmar SKU/PCBA revision, PN exacto en Common DB, WO, BU, vigencia, planta y aprobacion firmada.</t>
        </is>
      </c>
    </row>
    <row r="1234">
      <c r="A1234" s="43" t="inlineStr">
        <is>
          <t>CTANJZ05273</t>
        </is>
      </c>
      <c r="B1234" s="43" t="inlineStr">
        <is>
          <t>D611453</t>
        </is>
      </c>
      <c r="C1234" s="43" t="inlineStr">
        <is>
          <t>239-CRBU</t>
        </is>
      </c>
      <c r="D1234" s="43" t="inlineStr">
        <is>
          <t>FJZP</t>
        </is>
      </c>
      <c r="E1234" s="43" t="inlineStr">
        <is>
          <t>MCGA</t>
        </is>
      </c>
      <c r="F1234" s="43" t="inlineStr">
        <is>
          <t>73-21146-12</t>
        </is>
      </c>
      <c r="G1234" s="43" t="inlineStr">
        <is>
          <t>BOARD_PN_CANDIDATE</t>
        </is>
      </c>
      <c r="H1234" s="43" t="inlineStr"/>
      <c r="I1234" s="43" t="inlineStr">
        <is>
          <t>Expired</t>
        </is>
      </c>
      <c r="J1234" s="32" t="n">
        <v>46263</v>
      </c>
      <c r="K1234" s="32" t="n">
        <v>46205</v>
      </c>
      <c r="L1234" s="43" t="inlineStr">
        <is>
          <t>121,216</t>
        </is>
      </c>
      <c r="M1234" s="43" t="n">
        <v>2</v>
      </c>
      <c r="N1234" s="33" t="inlineStr"/>
      <c r="O1234" s="43" t="inlineStr">
        <is>
          <t>UNVERIFIED</t>
        </is>
      </c>
      <c r="P1234" s="43" t="inlineStr">
        <is>
          <t>Pending Review</t>
        </is>
      </c>
      <c r="Q1234" s="33" t="inlineStr">
        <is>
          <t>Confirmar SKU/PCBA revision, PN exacto en Common DB, WO, BU, vigencia, planta y aprobacion firmada.</t>
        </is>
      </c>
    </row>
    <row r="1235">
      <c r="A1235" s="43" t="inlineStr">
        <is>
          <t>CTANJZ05274</t>
        </is>
      </c>
      <c r="B1235" s="43" t="inlineStr">
        <is>
          <t>D610621</t>
        </is>
      </c>
      <c r="C1235" s="43" t="inlineStr">
        <is>
          <t>037-STBU</t>
        </is>
      </c>
      <c r="D1235" s="43" t="inlineStr">
        <is>
          <t>FJZP</t>
        </is>
      </c>
      <c r="E1235" s="43" t="inlineStr">
        <is>
          <t>MCGA</t>
        </is>
      </c>
      <c r="F1235" s="43" t="inlineStr">
        <is>
          <t>341-101794-01</t>
        </is>
      </c>
      <c r="G1235" s="43" t="inlineStr">
        <is>
          <t>OTHER_SCOPE_ITEM</t>
        </is>
      </c>
      <c r="H1235" s="43" t="inlineStr"/>
      <c r="I1235" s="43" t="inlineStr">
        <is>
          <t>Expired</t>
        </is>
      </c>
      <c r="J1235" s="32" t="n">
        <v>46264</v>
      </c>
      <c r="K1235" s="32" t="n">
        <v>46189</v>
      </c>
      <c r="L1235" s="43" t="inlineStr">
        <is>
          <t>1173</t>
        </is>
      </c>
      <c r="M1235" s="43" t="n">
        <v>1</v>
      </c>
      <c r="N1235" s="33" t="inlineStr"/>
      <c r="O1235" s="43" t="inlineStr">
        <is>
          <t>UNVERIFIED</t>
        </is>
      </c>
      <c r="P1235" s="43" t="inlineStr">
        <is>
          <t>Pending Review</t>
        </is>
      </c>
      <c r="Q1235" s="33" t="inlineStr">
        <is>
          <t>Confirmar SKU/PCBA revision, PN exacto en Common DB, WO, BU, vigencia, planta y aprobacion firmada.</t>
        </is>
      </c>
    </row>
    <row r="1236">
      <c r="A1236" s="43" t="inlineStr">
        <is>
          <t>CTANJZ05276</t>
        </is>
      </c>
      <c r="B1236" s="43" t="inlineStr">
        <is>
          <t>D610509</t>
        </is>
      </c>
      <c r="C1236" s="43" t="inlineStr">
        <is>
          <t>037-STBU</t>
        </is>
      </c>
      <c r="D1236" s="43" t="inlineStr">
        <is>
          <t>FJZP</t>
        </is>
      </c>
      <c r="E1236" s="43" t="inlineStr">
        <is>
          <t>MCGA</t>
        </is>
      </c>
      <c r="F1236" s="43" t="inlineStr">
        <is>
          <t>800-112580-02</t>
        </is>
      </c>
      <c r="G1236" s="43" t="inlineStr">
        <is>
          <t>OTHER_SCOPE_ITEM</t>
        </is>
      </c>
      <c r="H1236" s="43" t="inlineStr"/>
      <c r="I1236" s="43" t="inlineStr">
        <is>
          <t>Expired</t>
        </is>
      </c>
      <c r="J1236" s="32" t="n">
        <v>46264</v>
      </c>
      <c r="K1236" s="32" t="n">
        <v>46189</v>
      </c>
      <c r="L1236" s="43" t="inlineStr">
        <is>
          <t>1171</t>
        </is>
      </c>
      <c r="M1236" s="43" t="n">
        <v>1</v>
      </c>
      <c r="N1236" s="33" t="inlineStr"/>
      <c r="O1236" s="43" t="inlineStr">
        <is>
          <t>UNVERIFIED</t>
        </is>
      </c>
      <c r="P1236" s="43" t="inlineStr">
        <is>
          <t>Pending Review</t>
        </is>
      </c>
      <c r="Q1236" s="33" t="inlineStr">
        <is>
          <t>Confirmar SKU/PCBA revision, PN exacto en Common DB, WO, BU, vigencia, planta y aprobacion firmada.</t>
        </is>
      </c>
    </row>
    <row r="1237">
      <c r="A1237" s="43" t="inlineStr">
        <is>
          <t>CTANJZ05277</t>
        </is>
      </c>
      <c r="B1237" s="43" t="inlineStr">
        <is>
          <t>D611714</t>
        </is>
      </c>
      <c r="C1237" s="43" t="inlineStr">
        <is>
          <t>037-STBU</t>
        </is>
      </c>
      <c r="D1237" s="43" t="inlineStr">
        <is>
          <t>FJZP</t>
        </is>
      </c>
      <c r="E1237" s="43" t="inlineStr">
        <is>
          <t>MCGA</t>
        </is>
      </c>
      <c r="F1237" s="43" t="inlineStr">
        <is>
          <t>68-104009-02</t>
        </is>
      </c>
      <c r="G1237" s="43" t="inlineStr">
        <is>
          <t>OTHER_SCOPE_ITEM</t>
        </is>
      </c>
      <c r="H1237" s="43" t="inlineStr"/>
      <c r="I1237" s="43" t="inlineStr">
        <is>
          <t>Expired</t>
        </is>
      </c>
      <c r="J1237" s="32" t="n">
        <v>46264</v>
      </c>
      <c r="K1237" s="32" t="n">
        <v>46200</v>
      </c>
      <c r="L1237" s="43" t="inlineStr">
        <is>
          <t>1172</t>
        </is>
      </c>
      <c r="M1237" s="43" t="n">
        <v>1</v>
      </c>
      <c r="N1237" s="33" t="inlineStr"/>
      <c r="O1237" s="43" t="inlineStr">
        <is>
          <t>UNVERIFIED</t>
        </is>
      </c>
      <c r="P1237" s="43" t="inlineStr">
        <is>
          <t>Pending Review</t>
        </is>
      </c>
      <c r="Q1237" s="33" t="inlineStr">
        <is>
          <t>Confirmar SKU/PCBA revision, PN exacto en Common DB, WO, BU, vigencia, planta y aprobacion firmada.</t>
        </is>
      </c>
    </row>
    <row r="1238">
      <c r="A1238" s="43" t="inlineStr">
        <is>
          <t>CTANJZ05279</t>
        </is>
      </c>
      <c r="B1238" s="43" t="inlineStr">
        <is>
          <t>D611450</t>
        </is>
      </c>
      <c r="C1238" s="43" t="inlineStr">
        <is>
          <t>239-CRBU</t>
        </is>
      </c>
      <c r="D1238" s="43" t="inlineStr">
        <is>
          <t>FJZP</t>
        </is>
      </c>
      <c r="E1238" s="43" t="inlineStr">
        <is>
          <t>MCGA</t>
        </is>
      </c>
      <c r="F1238" s="43" t="inlineStr">
        <is>
          <t>15-102846-01</t>
        </is>
      </c>
      <c r="G1238" s="43" t="inlineStr">
        <is>
          <t>OTHER_SCOPE_ITEM</t>
        </is>
      </c>
      <c r="H1238" s="43" t="inlineStr"/>
      <c r="I1238" s="43" t="inlineStr">
        <is>
          <t>Expired</t>
        </is>
      </c>
      <c r="J1238" s="32" t="n">
        <v>46263</v>
      </c>
      <c r="K1238" s="32" t="n">
        <v>46193</v>
      </c>
      <c r="L1238" s="43" t="inlineStr">
        <is>
          <t>122,217</t>
        </is>
      </c>
      <c r="M1238" s="43" t="n">
        <v>2</v>
      </c>
      <c r="N1238" s="33" t="inlineStr"/>
      <c r="O1238" s="43" t="inlineStr">
        <is>
          <t>UNVERIFIED</t>
        </is>
      </c>
      <c r="P1238" s="43" t="inlineStr">
        <is>
          <t>Pending Review</t>
        </is>
      </c>
      <c r="Q1238" s="33" t="inlineStr">
        <is>
          <t>Confirmar SKU/PCBA revision, PN exacto en Common DB, WO, BU, vigencia, planta y aprobacion firmada.</t>
        </is>
      </c>
    </row>
    <row r="1239">
      <c r="A1239" s="43" t="inlineStr">
        <is>
          <t>CTANJZ05279</t>
        </is>
      </c>
      <c r="B1239" s="43" t="inlineStr">
        <is>
          <t>D611450</t>
        </is>
      </c>
      <c r="C1239" s="43" t="inlineStr">
        <is>
          <t>239-CRBU</t>
        </is>
      </c>
      <c r="D1239" s="43" t="inlineStr">
        <is>
          <t>FJZP</t>
        </is>
      </c>
      <c r="E1239" s="43" t="inlineStr">
        <is>
          <t>MCGA</t>
        </is>
      </c>
      <c r="F1239" s="43" t="inlineStr">
        <is>
          <t>73-21146-12</t>
        </is>
      </c>
      <c r="G1239" s="43" t="inlineStr">
        <is>
          <t>BOARD_PN_CANDIDATE</t>
        </is>
      </c>
      <c r="H1239" s="43" t="inlineStr"/>
      <c r="I1239" s="43" t="inlineStr">
        <is>
          <t>Expired</t>
        </is>
      </c>
      <c r="J1239" s="32" t="n">
        <v>46263</v>
      </c>
      <c r="K1239" s="32" t="n">
        <v>46193</v>
      </c>
      <c r="L1239" s="43" t="inlineStr">
        <is>
          <t>123,218</t>
        </is>
      </c>
      <c r="M1239" s="43" t="n">
        <v>2</v>
      </c>
      <c r="N1239" s="33" t="inlineStr"/>
      <c r="O1239" s="43" t="inlineStr">
        <is>
          <t>UNVERIFIED</t>
        </is>
      </c>
      <c r="P1239" s="43" t="inlineStr">
        <is>
          <t>Pending Review</t>
        </is>
      </c>
      <c r="Q1239" s="33" t="inlineStr">
        <is>
          <t>Confirmar SKU/PCBA revision, PN exacto en Common DB, WO, BU, vigencia, planta y aprobacion firmada.</t>
        </is>
      </c>
    </row>
    <row r="1240">
      <c r="A1240" s="43" t="inlineStr">
        <is>
          <t>CTANJZ05281</t>
        </is>
      </c>
      <c r="B1240" s="43" t="inlineStr">
        <is>
          <t>D611764</t>
        </is>
      </c>
      <c r="C1240" s="43" t="inlineStr">
        <is>
          <t>034-IOTBU</t>
        </is>
      </c>
      <c r="D1240" s="43" t="inlineStr">
        <is>
          <t>FJZP</t>
        </is>
      </c>
      <c r="E1240" s="43" t="inlineStr">
        <is>
          <t>MCGA</t>
        </is>
      </c>
      <c r="F1240" s="43" t="inlineStr">
        <is>
          <t>16-101333-01</t>
        </is>
      </c>
      <c r="G1240" s="43" t="inlineStr">
        <is>
          <t>OTHER_SCOPE_ITEM</t>
        </is>
      </c>
      <c r="H1240" s="43" t="inlineStr"/>
      <c r="I1240" s="43" t="inlineStr">
        <is>
          <t>Expired</t>
        </is>
      </c>
      <c r="J1240" s="32" t="n">
        <v>46265</v>
      </c>
      <c r="K1240" s="32" t="n">
        <v>46189</v>
      </c>
      <c r="L1240" s="43" t="inlineStr">
        <is>
          <t>1174</t>
        </is>
      </c>
      <c r="M1240" s="43" t="n">
        <v>1</v>
      </c>
      <c r="N1240" s="33" t="inlineStr"/>
      <c r="O1240" s="43" t="inlineStr">
        <is>
          <t>UNVERIFIED</t>
        </is>
      </c>
      <c r="P1240" s="43" t="inlineStr">
        <is>
          <t>Pending Review</t>
        </is>
      </c>
      <c r="Q1240" s="33" t="inlineStr">
        <is>
          <t>Confirmar SKU/PCBA revision, PN exacto en Common DB, WO, BU, vigencia, planta y aprobacion firmada.</t>
        </is>
      </c>
    </row>
    <row r="1241">
      <c r="A1241" s="43" t="inlineStr">
        <is>
          <t>CTANJZ05281</t>
        </is>
      </c>
      <c r="B1241" s="43" t="inlineStr">
        <is>
          <t>D611764</t>
        </is>
      </c>
      <c r="C1241" s="43" t="inlineStr">
        <is>
          <t>034-IOTBU</t>
        </is>
      </c>
      <c r="D1241" s="43" t="inlineStr">
        <is>
          <t>FJZP</t>
        </is>
      </c>
      <c r="E1241" s="43" t="inlineStr">
        <is>
          <t>MCGA</t>
        </is>
      </c>
      <c r="F1241" s="43" t="inlineStr">
        <is>
          <t>16-101387-01</t>
        </is>
      </c>
      <c r="G1241" s="43" t="inlineStr">
        <is>
          <t>OTHER_SCOPE_ITEM</t>
        </is>
      </c>
      <c r="H1241" s="43" t="inlineStr"/>
      <c r="I1241" s="43" t="inlineStr">
        <is>
          <t>Expired</t>
        </is>
      </c>
      <c r="J1241" s="32" t="n">
        <v>46265</v>
      </c>
      <c r="K1241" s="32" t="n">
        <v>46189</v>
      </c>
      <c r="L1241" s="43" t="inlineStr">
        <is>
          <t>1175</t>
        </is>
      </c>
      <c r="M1241" s="43" t="n">
        <v>1</v>
      </c>
      <c r="N1241" s="33" t="inlineStr"/>
      <c r="O1241" s="43" t="inlineStr">
        <is>
          <t>UNVERIFIED</t>
        </is>
      </c>
      <c r="P1241" s="43" t="inlineStr">
        <is>
          <t>Pending Review</t>
        </is>
      </c>
      <c r="Q1241" s="33" t="inlineStr">
        <is>
          <t>Confirmar SKU/PCBA revision, PN exacto en Common DB, WO, BU, vigencia, planta y aprobacion firmada.</t>
        </is>
      </c>
    </row>
    <row r="1242">
      <c r="A1242" s="43" t="inlineStr">
        <is>
          <t>CTANJZ05281</t>
        </is>
      </c>
      <c r="B1242" s="43" t="inlineStr">
        <is>
          <t>D611764</t>
        </is>
      </c>
      <c r="C1242" s="43" t="inlineStr">
        <is>
          <t>034-IOTBU</t>
        </is>
      </c>
      <c r="D1242" s="43" t="inlineStr">
        <is>
          <t>FJZP</t>
        </is>
      </c>
      <c r="E1242" s="43" t="inlineStr">
        <is>
          <t>MCGA</t>
        </is>
      </c>
      <c r="F1242" s="43" t="inlineStr">
        <is>
          <t>16-101666-01</t>
        </is>
      </c>
      <c r="G1242" s="43" t="inlineStr">
        <is>
          <t>OTHER_SCOPE_ITEM</t>
        </is>
      </c>
      <c r="H1242" s="43" t="inlineStr"/>
      <c r="I1242" s="43" t="inlineStr">
        <is>
          <t>Expired</t>
        </is>
      </c>
      <c r="J1242" s="32" t="n">
        <v>46265</v>
      </c>
      <c r="K1242" s="32" t="n">
        <v>46189</v>
      </c>
      <c r="L1242" s="43" t="inlineStr">
        <is>
          <t>1176</t>
        </is>
      </c>
      <c r="M1242" s="43" t="n">
        <v>1</v>
      </c>
      <c r="N1242" s="33" t="inlineStr"/>
      <c r="O1242" s="43" t="inlineStr">
        <is>
          <t>UNVERIFIED</t>
        </is>
      </c>
      <c r="P1242" s="43" t="inlineStr">
        <is>
          <t>Pending Review</t>
        </is>
      </c>
      <c r="Q1242" s="33" t="inlineStr">
        <is>
          <t>Confirmar SKU/PCBA revision, PN exacto en Common DB, WO, BU, vigencia, planta y aprobacion firmada.</t>
        </is>
      </c>
    </row>
    <row r="1243">
      <c r="A1243" s="43" t="inlineStr">
        <is>
          <t>CTANJZ05281</t>
        </is>
      </c>
      <c r="B1243" s="43" t="inlineStr">
        <is>
          <t>D611764</t>
        </is>
      </c>
      <c r="C1243" s="43" t="inlineStr">
        <is>
          <t>034-IOTBU</t>
        </is>
      </c>
      <c r="D1243" s="43" t="inlineStr">
        <is>
          <t>FJZP</t>
        </is>
      </c>
      <c r="E1243" s="43" t="inlineStr">
        <is>
          <t>MCGA</t>
        </is>
      </c>
      <c r="F1243" s="43" t="inlineStr">
        <is>
          <t>68-101690-01</t>
        </is>
      </c>
      <c r="G1243" s="43" t="inlineStr">
        <is>
          <t>OTHER_SCOPE_ITEM</t>
        </is>
      </c>
      <c r="H1243" s="43" t="inlineStr"/>
      <c r="I1243" s="43" t="inlineStr">
        <is>
          <t>Expired</t>
        </is>
      </c>
      <c r="J1243" s="32" t="n">
        <v>46265</v>
      </c>
      <c r="K1243" s="32" t="n">
        <v>46189</v>
      </c>
      <c r="L1243" s="43" t="inlineStr">
        <is>
          <t>1177</t>
        </is>
      </c>
      <c r="M1243" s="43" t="n">
        <v>1</v>
      </c>
      <c r="N1243" s="33" t="inlineStr"/>
      <c r="O1243" s="43" t="inlineStr">
        <is>
          <t>UNVERIFIED</t>
        </is>
      </c>
      <c r="P1243" s="43" t="inlineStr">
        <is>
          <t>Pending Review</t>
        </is>
      </c>
      <c r="Q1243" s="33" t="inlineStr">
        <is>
          <t>Confirmar SKU/PCBA revision, PN exacto en Common DB, WO, BU, vigencia, planta y aprobacion firmada.</t>
        </is>
      </c>
    </row>
    <row r="1244">
      <c r="A1244" s="43" t="inlineStr">
        <is>
          <t>CTANJZ05281</t>
        </is>
      </c>
      <c r="B1244" s="43" t="inlineStr">
        <is>
          <t>D611764</t>
        </is>
      </c>
      <c r="C1244" s="43" t="inlineStr">
        <is>
          <t>034-IOTBU</t>
        </is>
      </c>
      <c r="D1244" s="43" t="inlineStr">
        <is>
          <t>FJZP</t>
        </is>
      </c>
      <c r="E1244" s="43" t="inlineStr">
        <is>
          <t>MCGA</t>
        </is>
      </c>
      <c r="F1244" s="43" t="inlineStr">
        <is>
          <t>68-101828-01</t>
        </is>
      </c>
      <c r="G1244" s="43" t="inlineStr">
        <is>
          <t>OTHER_SCOPE_ITEM</t>
        </is>
      </c>
      <c r="H1244" s="43" t="inlineStr"/>
      <c r="I1244" s="43" t="inlineStr">
        <is>
          <t>Expired</t>
        </is>
      </c>
      <c r="J1244" s="32" t="n">
        <v>46265</v>
      </c>
      <c r="K1244" s="32" t="n">
        <v>46189</v>
      </c>
      <c r="L1244" s="43" t="inlineStr">
        <is>
          <t>1178</t>
        </is>
      </c>
      <c r="M1244" s="43" t="n">
        <v>1</v>
      </c>
      <c r="N1244" s="33" t="inlineStr"/>
      <c r="O1244" s="43" t="inlineStr">
        <is>
          <t>UNVERIFIED</t>
        </is>
      </c>
      <c r="P1244" s="43" t="inlineStr">
        <is>
          <t>Pending Review</t>
        </is>
      </c>
      <c r="Q1244" s="33" t="inlineStr">
        <is>
          <t>Confirmar SKU/PCBA revision, PN exacto en Common DB, WO, BU, vigencia, planta y aprobacion firmada.</t>
        </is>
      </c>
    </row>
    <row r="1245">
      <c r="A1245" s="43" t="inlineStr">
        <is>
          <t>CTANJZ05281</t>
        </is>
      </c>
      <c r="B1245" s="43" t="inlineStr">
        <is>
          <t>D611764</t>
        </is>
      </c>
      <c r="C1245" s="43" t="inlineStr">
        <is>
          <t>034-IOTBU</t>
        </is>
      </c>
      <c r="D1245" s="43" t="inlineStr">
        <is>
          <t>FJZP</t>
        </is>
      </c>
      <c r="E1245" s="43" t="inlineStr">
        <is>
          <t>MCGA</t>
        </is>
      </c>
      <c r="F1245" s="43" t="inlineStr">
        <is>
          <t>68-102729-01</t>
        </is>
      </c>
      <c r="G1245" s="43" t="inlineStr">
        <is>
          <t>OTHER_SCOPE_ITEM</t>
        </is>
      </c>
      <c r="H1245" s="43" t="inlineStr"/>
      <c r="I1245" s="43" t="inlineStr">
        <is>
          <t>Expired</t>
        </is>
      </c>
      <c r="J1245" s="32" t="n">
        <v>46265</v>
      </c>
      <c r="K1245" s="32" t="n">
        <v>46189</v>
      </c>
      <c r="L1245" s="43" t="inlineStr">
        <is>
          <t>1179</t>
        </is>
      </c>
      <c r="M1245" s="43" t="n">
        <v>1</v>
      </c>
      <c r="N1245" s="33" t="inlineStr"/>
      <c r="O1245" s="43" t="inlineStr">
        <is>
          <t>UNVERIFIED</t>
        </is>
      </c>
      <c r="P1245" s="43" t="inlineStr">
        <is>
          <t>Pending Review</t>
        </is>
      </c>
      <c r="Q1245" s="33" t="inlineStr">
        <is>
          <t>Confirmar SKU/PCBA revision, PN exacto en Common DB, WO, BU, vigencia, planta y aprobacion firmada.</t>
        </is>
      </c>
    </row>
    <row r="1246">
      <c r="A1246" s="43" t="inlineStr">
        <is>
          <t>CTANJZ05281</t>
        </is>
      </c>
      <c r="B1246" s="43" t="inlineStr">
        <is>
          <t>D611764</t>
        </is>
      </c>
      <c r="C1246" s="43" t="inlineStr">
        <is>
          <t>034-IOTBU</t>
        </is>
      </c>
      <c r="D1246" s="43" t="inlineStr">
        <is>
          <t>FJZP</t>
        </is>
      </c>
      <c r="E1246" s="43" t="inlineStr">
        <is>
          <t>MCGA</t>
        </is>
      </c>
      <c r="F1246" s="43" t="inlineStr">
        <is>
          <t>68-102730-01</t>
        </is>
      </c>
      <c r="G1246" s="43" t="inlineStr">
        <is>
          <t>OTHER_SCOPE_ITEM</t>
        </is>
      </c>
      <c r="H1246" s="43" t="inlineStr"/>
      <c r="I1246" s="43" t="inlineStr">
        <is>
          <t>Expired</t>
        </is>
      </c>
      <c r="J1246" s="32" t="n">
        <v>46265</v>
      </c>
      <c r="K1246" s="32" t="n">
        <v>46189</v>
      </c>
      <c r="L1246" s="43" t="inlineStr">
        <is>
          <t>1180</t>
        </is>
      </c>
      <c r="M1246" s="43" t="n">
        <v>1</v>
      </c>
      <c r="N1246" s="33" t="inlineStr"/>
      <c r="O1246" s="43" t="inlineStr">
        <is>
          <t>UNVERIFIED</t>
        </is>
      </c>
      <c r="P1246" s="43" t="inlineStr">
        <is>
          <t>Pending Review</t>
        </is>
      </c>
      <c r="Q1246" s="33" t="inlineStr">
        <is>
          <t>Confirmar SKU/PCBA revision, PN exacto en Common DB, WO, BU, vigencia, planta y aprobacion firmada.</t>
        </is>
      </c>
    </row>
    <row r="1247">
      <c r="A1247" s="43" t="inlineStr">
        <is>
          <t>CTANJZ05281</t>
        </is>
      </c>
      <c r="B1247" s="43" t="inlineStr">
        <is>
          <t>D611764</t>
        </is>
      </c>
      <c r="C1247" s="43" t="inlineStr">
        <is>
          <t>034-IOTBU</t>
        </is>
      </c>
      <c r="D1247" s="43" t="inlineStr">
        <is>
          <t>FJZP</t>
        </is>
      </c>
      <c r="E1247" s="43" t="inlineStr">
        <is>
          <t>MCGA</t>
        </is>
      </c>
      <c r="F1247" s="43" t="inlineStr">
        <is>
          <t>68-102799-01</t>
        </is>
      </c>
      <c r="G1247" s="43" t="inlineStr">
        <is>
          <t>OTHER_SCOPE_ITEM</t>
        </is>
      </c>
      <c r="H1247" s="43" t="inlineStr"/>
      <c r="I1247" s="43" t="inlineStr">
        <is>
          <t>Expired</t>
        </is>
      </c>
      <c r="J1247" s="32" t="n">
        <v>46265</v>
      </c>
      <c r="K1247" s="32" t="n">
        <v>46189</v>
      </c>
      <c r="L1247" s="43" t="inlineStr">
        <is>
          <t>1181</t>
        </is>
      </c>
      <c r="M1247" s="43" t="n">
        <v>1</v>
      </c>
      <c r="N1247" s="33" t="inlineStr"/>
      <c r="O1247" s="43" t="inlineStr">
        <is>
          <t>UNVERIFIED</t>
        </is>
      </c>
      <c r="P1247" s="43" t="inlineStr">
        <is>
          <t>Pending Review</t>
        </is>
      </c>
      <c r="Q1247" s="33" t="inlineStr">
        <is>
          <t>Confirmar SKU/PCBA revision, PN exacto en Common DB, WO, BU, vigencia, planta y aprobacion firmada.</t>
        </is>
      </c>
    </row>
    <row r="1248">
      <c r="A1248" s="43" t="inlineStr">
        <is>
          <t>CTANJZ05281</t>
        </is>
      </c>
      <c r="B1248" s="43" t="inlineStr">
        <is>
          <t>D611764</t>
        </is>
      </c>
      <c r="C1248" s="43" t="inlineStr">
        <is>
          <t>034-IOTBU</t>
        </is>
      </c>
      <c r="D1248" s="43" t="inlineStr">
        <is>
          <t>FJZP</t>
        </is>
      </c>
      <c r="E1248" s="43" t="inlineStr">
        <is>
          <t>MCGA</t>
        </is>
      </c>
      <c r="F1248" s="43" t="inlineStr">
        <is>
          <t>68-104004-01</t>
        </is>
      </c>
      <c r="G1248" s="43" t="inlineStr">
        <is>
          <t>OTHER_SCOPE_ITEM</t>
        </is>
      </c>
      <c r="H1248" s="43" t="inlineStr"/>
      <c r="I1248" s="43" t="inlineStr">
        <is>
          <t>Expired</t>
        </is>
      </c>
      <c r="J1248" s="32" t="n">
        <v>46265</v>
      </c>
      <c r="K1248" s="32" t="n">
        <v>46189</v>
      </c>
      <c r="L1248" s="43" t="inlineStr">
        <is>
          <t>1208</t>
        </is>
      </c>
      <c r="M1248" s="43" t="n">
        <v>1</v>
      </c>
      <c r="N1248" s="33" t="inlineStr"/>
      <c r="O1248" s="43" t="inlineStr">
        <is>
          <t>UNVERIFIED</t>
        </is>
      </c>
      <c r="P1248" s="43" t="inlineStr">
        <is>
          <t>Pending Review</t>
        </is>
      </c>
      <c r="Q1248" s="33" t="inlineStr">
        <is>
          <t>Confirmar SKU/PCBA revision, PN exacto en Common DB, WO, BU, vigencia, planta y aprobacion firmada.</t>
        </is>
      </c>
    </row>
    <row r="1249">
      <c r="A1249" s="43" t="inlineStr">
        <is>
          <t>CTANJZ05281</t>
        </is>
      </c>
      <c r="B1249" s="43" t="inlineStr">
        <is>
          <t>D611764</t>
        </is>
      </c>
      <c r="C1249" s="43" t="inlineStr">
        <is>
          <t>034-IOTBU</t>
        </is>
      </c>
      <c r="D1249" s="43" t="inlineStr">
        <is>
          <t>FJZP</t>
        </is>
      </c>
      <c r="E1249" s="43" t="inlineStr">
        <is>
          <t>MCGA</t>
        </is>
      </c>
      <c r="F1249" s="43" t="inlineStr">
        <is>
          <t>73-101439-04</t>
        </is>
      </c>
      <c r="G1249" s="43" t="inlineStr">
        <is>
          <t>BOARD_PN_CANDIDATE</t>
        </is>
      </c>
      <c r="H1249" s="43" t="inlineStr"/>
      <c r="I1249" s="43" t="inlineStr">
        <is>
          <t>Expired</t>
        </is>
      </c>
      <c r="J1249" s="32" t="n">
        <v>46265</v>
      </c>
      <c r="K1249" s="32" t="n">
        <v>46189</v>
      </c>
      <c r="L1249" s="43" t="inlineStr">
        <is>
          <t>1209</t>
        </is>
      </c>
      <c r="M1249" s="43" t="n">
        <v>1</v>
      </c>
      <c r="N1249" s="33" t="inlineStr"/>
      <c r="O1249" s="43" t="inlineStr">
        <is>
          <t>UNVERIFIED</t>
        </is>
      </c>
      <c r="P1249" s="43" t="inlineStr">
        <is>
          <t>Pending Review</t>
        </is>
      </c>
      <c r="Q1249" s="33" t="inlineStr">
        <is>
          <t>Confirmar SKU/PCBA revision, PN exacto en Common DB, WO, BU, vigencia, planta y aprobacion firmada.</t>
        </is>
      </c>
    </row>
    <row r="1250">
      <c r="A1250" s="43" t="inlineStr">
        <is>
          <t>CTANJZ05281</t>
        </is>
      </c>
      <c r="B1250" s="43" t="inlineStr">
        <is>
          <t>D611764</t>
        </is>
      </c>
      <c r="C1250" s="43" t="inlineStr">
        <is>
          <t>034-IOTBU</t>
        </is>
      </c>
      <c r="D1250" s="43" t="inlineStr">
        <is>
          <t>FJZP</t>
        </is>
      </c>
      <c r="E1250" s="43" t="inlineStr">
        <is>
          <t>MCGA</t>
        </is>
      </c>
      <c r="F1250" s="43" t="inlineStr">
        <is>
          <t>73-102239-04</t>
        </is>
      </c>
      <c r="G1250" s="43" t="inlineStr">
        <is>
          <t>BOARD_PN_CANDIDATE</t>
        </is>
      </c>
      <c r="H1250" s="43" t="inlineStr"/>
      <c r="I1250" s="43" t="inlineStr">
        <is>
          <t>Expired</t>
        </is>
      </c>
      <c r="J1250" s="32" t="n">
        <v>46265</v>
      </c>
      <c r="K1250" s="32" t="n">
        <v>46189</v>
      </c>
      <c r="L1250" s="43" t="inlineStr">
        <is>
          <t>1210</t>
        </is>
      </c>
      <c r="M1250" s="43" t="n">
        <v>1</v>
      </c>
      <c r="N1250" s="33" t="inlineStr"/>
      <c r="O1250" s="43" t="inlineStr">
        <is>
          <t>UNVERIFIED</t>
        </is>
      </c>
      <c r="P1250" s="43" t="inlineStr">
        <is>
          <t>Pending Review</t>
        </is>
      </c>
      <c r="Q1250" s="33" t="inlineStr">
        <is>
          <t>Confirmar SKU/PCBA revision, PN exacto en Common DB, WO, BU, vigencia, planta y aprobacion firmada.</t>
        </is>
      </c>
    </row>
    <row r="1251">
      <c r="A1251" s="43" t="inlineStr">
        <is>
          <t>CTANJZ05281</t>
        </is>
      </c>
      <c r="B1251" s="43" t="inlineStr">
        <is>
          <t>D611764</t>
        </is>
      </c>
      <c r="C1251" s="43" t="inlineStr">
        <is>
          <t>034-IOTBU</t>
        </is>
      </c>
      <c r="D1251" s="43" t="inlineStr">
        <is>
          <t>FJZP</t>
        </is>
      </c>
      <c r="E1251" s="43" t="inlineStr">
        <is>
          <t>MCGA</t>
        </is>
      </c>
      <c r="F1251" s="43" t="inlineStr">
        <is>
          <t>73-103098-03</t>
        </is>
      </c>
      <c r="G1251" s="43" t="inlineStr">
        <is>
          <t>BOARD_PN_CANDIDATE</t>
        </is>
      </c>
      <c r="H1251" s="43" t="inlineStr"/>
      <c r="I1251" s="43" t="inlineStr">
        <is>
          <t>Expired</t>
        </is>
      </c>
      <c r="J1251" s="32" t="n">
        <v>46265</v>
      </c>
      <c r="K1251" s="32" t="n">
        <v>46189</v>
      </c>
      <c r="L1251" s="43" t="inlineStr">
        <is>
          <t>1211</t>
        </is>
      </c>
      <c r="M1251" s="43" t="n">
        <v>1</v>
      </c>
      <c r="N1251" s="33" t="inlineStr"/>
      <c r="O1251" s="43" t="inlineStr">
        <is>
          <t>UNVERIFIED</t>
        </is>
      </c>
      <c r="P1251" s="43" t="inlineStr">
        <is>
          <t>Pending Review</t>
        </is>
      </c>
      <c r="Q1251" s="33" t="inlineStr">
        <is>
          <t>Confirmar SKU/PCBA revision, PN exacto en Common DB, WO, BU, vigencia, planta y aprobacion firmada.</t>
        </is>
      </c>
    </row>
    <row r="1252">
      <c r="A1252" s="43" t="inlineStr">
        <is>
          <t>CTANJZ05283</t>
        </is>
      </c>
      <c r="B1252" s="43" t="inlineStr">
        <is>
          <t>D611711</t>
        </is>
      </c>
      <c r="C1252" s="43" t="inlineStr">
        <is>
          <t>037-STBU</t>
        </is>
      </c>
      <c r="D1252" s="43" t="inlineStr">
        <is>
          <t>FJZP</t>
        </is>
      </c>
      <c r="E1252" s="43" t="inlineStr">
        <is>
          <t>MCGA</t>
        </is>
      </c>
      <c r="F1252" s="43" t="inlineStr">
        <is>
          <t>15-108821-01</t>
        </is>
      </c>
      <c r="G1252" s="43" t="inlineStr">
        <is>
          <t>OTHER_SCOPE_ITEM</t>
        </is>
      </c>
      <c r="H1252" s="43" t="inlineStr"/>
      <c r="I1252" s="43" t="inlineStr">
        <is>
          <t>Expired</t>
        </is>
      </c>
      <c r="J1252" s="32" t="n">
        <v>46268</v>
      </c>
      <c r="K1252" s="32" t="n">
        <v>46200</v>
      </c>
      <c r="L1252" s="43" t="inlineStr">
        <is>
          <t>1326</t>
        </is>
      </c>
      <c r="M1252" s="43" t="n">
        <v>1</v>
      </c>
      <c r="N1252" s="33" t="inlineStr"/>
      <c r="O1252" s="43" t="inlineStr">
        <is>
          <t>UNVERIFIED</t>
        </is>
      </c>
      <c r="P1252" s="43" t="inlineStr">
        <is>
          <t>Pending Review</t>
        </is>
      </c>
      <c r="Q1252" s="33" t="inlineStr">
        <is>
          <t>Confirmar SKU/PCBA revision, PN exacto en Common DB, WO, BU, vigencia, planta y aprobacion firmada.</t>
        </is>
      </c>
    </row>
    <row r="1253">
      <c r="A1253" s="43" t="inlineStr">
        <is>
          <t>CTANJZ05283</t>
        </is>
      </c>
      <c r="B1253" s="43" t="inlineStr">
        <is>
          <t>D611711</t>
        </is>
      </c>
      <c r="C1253" s="43" t="inlineStr">
        <is>
          <t>037-STBU</t>
        </is>
      </c>
      <c r="D1253" s="43" t="inlineStr">
        <is>
          <t>FJZP</t>
        </is>
      </c>
      <c r="E1253" s="43" t="inlineStr">
        <is>
          <t>MCGA</t>
        </is>
      </c>
      <c r="F1253" s="43" t="inlineStr">
        <is>
          <t>74-134454-04</t>
        </is>
      </c>
      <c r="G1253" s="43" t="inlineStr">
        <is>
          <t>OTHER_SCOPE_ITEM</t>
        </is>
      </c>
      <c r="H1253" s="43" t="inlineStr"/>
      <c r="I1253" s="43" t="inlineStr">
        <is>
          <t>Expired</t>
        </is>
      </c>
      <c r="J1253" s="32" t="n">
        <v>46268</v>
      </c>
      <c r="K1253" s="32" t="n">
        <v>46200</v>
      </c>
      <c r="L1253" s="43" t="inlineStr">
        <is>
          <t>1327</t>
        </is>
      </c>
      <c r="M1253" s="43" t="n">
        <v>1</v>
      </c>
      <c r="N1253" s="33" t="inlineStr"/>
      <c r="O1253" s="43" t="inlineStr">
        <is>
          <t>UNVERIFIED</t>
        </is>
      </c>
      <c r="P1253" s="43" t="inlineStr">
        <is>
          <t>Pending Review</t>
        </is>
      </c>
      <c r="Q1253" s="33" t="inlineStr">
        <is>
          <t>Confirmar SKU/PCBA revision, PN exacto en Common DB, WO, BU, vigencia, planta y aprobacion firmada.</t>
        </is>
      </c>
    </row>
    <row r="1254">
      <c r="A1254" s="43" t="inlineStr">
        <is>
          <t>CTANJZ05283</t>
        </is>
      </c>
      <c r="B1254" s="43" t="inlineStr">
        <is>
          <t>D611711</t>
        </is>
      </c>
      <c r="C1254" s="43" t="inlineStr">
        <is>
          <t>037-STBU</t>
        </is>
      </c>
      <c r="D1254" s="43" t="inlineStr">
        <is>
          <t>FJZP</t>
        </is>
      </c>
      <c r="E1254" s="43" t="inlineStr">
        <is>
          <t>MCGA</t>
        </is>
      </c>
      <c r="F1254" s="43" t="inlineStr">
        <is>
          <t>74-134455-04</t>
        </is>
      </c>
      <c r="G1254" s="43" t="inlineStr">
        <is>
          <t>OTHER_SCOPE_ITEM</t>
        </is>
      </c>
      <c r="H1254" s="43" t="inlineStr"/>
      <c r="I1254" s="43" t="inlineStr">
        <is>
          <t>Expired</t>
        </is>
      </c>
      <c r="J1254" s="32" t="n">
        <v>46268</v>
      </c>
      <c r="K1254" s="32" t="n">
        <v>46200</v>
      </c>
      <c r="L1254" s="43" t="inlineStr">
        <is>
          <t>1328</t>
        </is>
      </c>
      <c r="M1254" s="43" t="n">
        <v>1</v>
      </c>
      <c r="N1254" s="33" t="inlineStr"/>
      <c r="O1254" s="43" t="inlineStr">
        <is>
          <t>UNVERIFIED</t>
        </is>
      </c>
      <c r="P1254" s="43" t="inlineStr">
        <is>
          <t>Pending Review</t>
        </is>
      </c>
      <c r="Q1254" s="33" t="inlineStr">
        <is>
          <t>Confirmar SKU/PCBA revision, PN exacto en Common DB, WO, BU, vigencia, planta y aprobacion firmada.</t>
        </is>
      </c>
    </row>
    <row r="1255">
      <c r="A1255" s="43" t="inlineStr">
        <is>
          <t>CTANJZ05283</t>
        </is>
      </c>
      <c r="B1255" s="43" t="inlineStr">
        <is>
          <t>D611711</t>
        </is>
      </c>
      <c r="C1255" s="43" t="inlineStr">
        <is>
          <t>037-STBU</t>
        </is>
      </c>
      <c r="D1255" s="43" t="inlineStr">
        <is>
          <t>FJZP</t>
        </is>
      </c>
      <c r="E1255" s="43" t="inlineStr">
        <is>
          <t>MCGA</t>
        </is>
      </c>
      <c r="F1255" s="43" t="inlineStr">
        <is>
          <t>74-134456-04</t>
        </is>
      </c>
      <c r="G1255" s="43" t="inlineStr">
        <is>
          <t>OTHER_SCOPE_ITEM</t>
        </is>
      </c>
      <c r="H1255" s="43" t="inlineStr"/>
      <c r="I1255" s="43" t="inlineStr">
        <is>
          <t>Expired</t>
        </is>
      </c>
      <c r="J1255" s="32" t="n">
        <v>46268</v>
      </c>
      <c r="K1255" s="32" t="n">
        <v>46200</v>
      </c>
      <c r="L1255" s="43" t="inlineStr">
        <is>
          <t>1329</t>
        </is>
      </c>
      <c r="M1255" s="43" t="n">
        <v>1</v>
      </c>
      <c r="N1255" s="33" t="inlineStr"/>
      <c r="O1255" s="43" t="inlineStr">
        <is>
          <t>UNVERIFIED</t>
        </is>
      </c>
      <c r="P1255" s="43" t="inlineStr">
        <is>
          <t>Pending Review</t>
        </is>
      </c>
      <c r="Q1255" s="33" t="inlineStr">
        <is>
          <t>Confirmar SKU/PCBA revision, PN exacto en Common DB, WO, BU, vigencia, planta y aprobacion firmada.</t>
        </is>
      </c>
    </row>
    <row r="1256">
      <c r="A1256" s="43" t="inlineStr">
        <is>
          <t>CTANJZ05284</t>
        </is>
      </c>
      <c r="B1256" s="43" t="inlineStr">
        <is>
          <t>D611785</t>
        </is>
      </c>
      <c r="C1256" s="43" t="inlineStr">
        <is>
          <t>239-CRBU</t>
        </is>
      </c>
      <c r="D1256" s="43" t="inlineStr">
        <is>
          <t>FJZP</t>
        </is>
      </c>
      <c r="E1256" s="43" t="inlineStr">
        <is>
          <t>MCGA</t>
        </is>
      </c>
      <c r="F1256" s="43" t="inlineStr">
        <is>
          <t>15-10372-01</t>
        </is>
      </c>
      <c r="G1256" s="43" t="inlineStr">
        <is>
          <t>OTHER_SCOPE_ITEM</t>
        </is>
      </c>
      <c r="H1256" s="43" t="inlineStr"/>
      <c r="I1256" s="43" t="inlineStr">
        <is>
          <t>Extended</t>
        </is>
      </c>
      <c r="J1256" s="32" t="n">
        <v>46360</v>
      </c>
      <c r="K1256" s="32" t="n">
        <v>46205</v>
      </c>
      <c r="L1256" s="43" t="inlineStr">
        <is>
          <t>144,330</t>
        </is>
      </c>
      <c r="M1256" s="43" t="n">
        <v>2</v>
      </c>
      <c r="N1256" s="33" t="inlineStr"/>
      <c r="O1256" s="43" t="inlineStr">
        <is>
          <t>UNVERIFIED</t>
        </is>
      </c>
      <c r="P1256" s="43" t="inlineStr">
        <is>
          <t>Pending Review</t>
        </is>
      </c>
      <c r="Q1256" s="33" t="inlineStr">
        <is>
          <t>Confirmar SKU/PCBA revision, PN exacto en Common DB, WO, BU, vigencia, planta y aprobacion firmada.</t>
        </is>
      </c>
    </row>
    <row r="1257">
      <c r="A1257" s="43" t="inlineStr">
        <is>
          <t>CTANJZ05284</t>
        </is>
      </c>
      <c r="B1257" s="43" t="inlineStr">
        <is>
          <t>D611785</t>
        </is>
      </c>
      <c r="C1257" s="43" t="inlineStr">
        <is>
          <t>239-CRBU</t>
        </is>
      </c>
      <c r="D1257" s="43" t="inlineStr">
        <is>
          <t>FJZP</t>
        </is>
      </c>
      <c r="E1257" s="43" t="inlineStr">
        <is>
          <t>MCGA</t>
        </is>
      </c>
      <c r="F1257" s="43" t="inlineStr">
        <is>
          <t>73-21146-12</t>
        </is>
      </c>
      <c r="G1257" s="43" t="inlineStr">
        <is>
          <t>BOARD_PN_CANDIDATE</t>
        </is>
      </c>
      <c r="H1257" s="43" t="inlineStr"/>
      <c r="I1257" s="43" t="inlineStr">
        <is>
          <t>Extended</t>
        </is>
      </c>
      <c r="J1257" s="32" t="n">
        <v>46360</v>
      </c>
      <c r="K1257" s="32" t="n">
        <v>46205</v>
      </c>
      <c r="L1257" s="43" t="inlineStr">
        <is>
          <t>145,331</t>
        </is>
      </c>
      <c r="M1257" s="43" t="n">
        <v>2</v>
      </c>
      <c r="N1257" s="33" t="inlineStr"/>
      <c r="O1257" s="43" t="inlineStr">
        <is>
          <t>UNVERIFIED</t>
        </is>
      </c>
      <c r="P1257" s="43" t="inlineStr">
        <is>
          <t>Pending Review</t>
        </is>
      </c>
      <c r="Q1257" s="33" t="inlineStr">
        <is>
          <t>Confirmar SKU/PCBA revision, PN exacto en Common DB, WO, BU, vigencia, planta y aprobacion firmada.</t>
        </is>
      </c>
    </row>
    <row r="1258">
      <c r="A1258" s="43" t="inlineStr">
        <is>
          <t>CTANJZ05285</t>
        </is>
      </c>
      <c r="B1258" s="43" t="inlineStr">
        <is>
          <t>D611828</t>
        </is>
      </c>
      <c r="C1258" s="43" t="inlineStr">
        <is>
          <t>239-CRBU</t>
        </is>
      </c>
      <c r="D1258" s="43" t="inlineStr">
        <is>
          <t>FJZP</t>
        </is>
      </c>
      <c r="E1258" s="43" t="inlineStr">
        <is>
          <t>MCGA</t>
        </is>
      </c>
      <c r="F1258" s="43" t="inlineStr">
        <is>
          <t>28-14421-05</t>
        </is>
      </c>
      <c r="G1258" s="43" t="inlineStr">
        <is>
          <t>BARE_PCB_PN_CANDIDATE</t>
        </is>
      </c>
      <c r="H1258" s="43" t="inlineStr"/>
      <c r="I1258" s="43" t="inlineStr">
        <is>
          <t>Expired</t>
        </is>
      </c>
      <c r="J1258" s="32" t="n">
        <v>46270</v>
      </c>
      <c r="K1258" s="32" t="n">
        <v>46205</v>
      </c>
      <c r="L1258" s="43" t="inlineStr">
        <is>
          <t>1561</t>
        </is>
      </c>
      <c r="M1258" s="43" t="n">
        <v>1</v>
      </c>
      <c r="N1258" s="33" t="inlineStr"/>
      <c r="O1258" s="43" t="inlineStr">
        <is>
          <t>UNVERIFIED</t>
        </is>
      </c>
      <c r="P1258" s="43" t="inlineStr">
        <is>
          <t>Pending Review</t>
        </is>
      </c>
      <c r="Q1258" s="33" t="inlineStr">
        <is>
          <t>Confirmar SKU/PCBA revision, PN exacto en Common DB, WO, BU, vigencia, planta y aprobacion firmada.</t>
        </is>
      </c>
    </row>
    <row r="1259">
      <c r="A1259" s="43" t="inlineStr">
        <is>
          <t>CTANJZ05285</t>
        </is>
      </c>
      <c r="B1259" s="43" t="inlineStr">
        <is>
          <t>D611828</t>
        </is>
      </c>
      <c r="C1259" s="43" t="inlineStr">
        <is>
          <t>239-CRBU</t>
        </is>
      </c>
      <c r="D1259" s="43" t="inlineStr">
        <is>
          <t>FJZP</t>
        </is>
      </c>
      <c r="E1259" s="43" t="inlineStr">
        <is>
          <t>MCGA</t>
        </is>
      </c>
      <c r="F1259" s="43" t="inlineStr">
        <is>
          <t>28-14421-07</t>
        </is>
      </c>
      <c r="G1259" s="43" t="inlineStr">
        <is>
          <t>BARE_PCB_PN_CANDIDATE</t>
        </is>
      </c>
      <c r="H1259" s="43" t="inlineStr"/>
      <c r="I1259" s="43" t="inlineStr">
        <is>
          <t>Expired</t>
        </is>
      </c>
      <c r="J1259" s="32" t="n">
        <v>46270</v>
      </c>
      <c r="K1259" s="32" t="n">
        <v>46205</v>
      </c>
      <c r="L1259" s="43" t="inlineStr">
        <is>
          <t>1500</t>
        </is>
      </c>
      <c r="M1259" s="43" t="n">
        <v>1</v>
      </c>
      <c r="N1259" s="33" t="inlineStr"/>
      <c r="O1259" s="43" t="inlineStr">
        <is>
          <t>UNVERIFIED</t>
        </is>
      </c>
      <c r="P1259" s="43" t="inlineStr">
        <is>
          <t>Pending Review</t>
        </is>
      </c>
      <c r="Q1259" s="33" t="inlineStr">
        <is>
          <t>Confirmar SKU/PCBA revision, PN exacto en Common DB, WO, BU, vigencia, planta y aprobacion firmada.</t>
        </is>
      </c>
    </row>
    <row r="1260">
      <c r="A1260" s="43" t="inlineStr">
        <is>
          <t>CTANJZ05285</t>
        </is>
      </c>
      <c r="B1260" s="43" t="inlineStr">
        <is>
          <t>D611828</t>
        </is>
      </c>
      <c r="C1260" s="43" t="inlineStr">
        <is>
          <t>239-CRBU</t>
        </is>
      </c>
      <c r="D1260" s="43" t="inlineStr">
        <is>
          <t>FJZP</t>
        </is>
      </c>
      <c r="E1260" s="43" t="inlineStr">
        <is>
          <t>MCGA</t>
        </is>
      </c>
      <c r="F1260" s="43" t="inlineStr">
        <is>
          <t>68-7184-10</t>
        </is>
      </c>
      <c r="G1260" s="43" t="inlineStr">
        <is>
          <t>OTHER_SCOPE_ITEM</t>
        </is>
      </c>
      <c r="H1260" s="43" t="inlineStr"/>
      <c r="I1260" s="43" t="inlineStr">
        <is>
          <t>Expired</t>
        </is>
      </c>
      <c r="J1260" s="32" t="n">
        <v>46270</v>
      </c>
      <c r="K1260" s="32" t="n">
        <v>46205</v>
      </c>
      <c r="L1260" s="43" t="inlineStr">
        <is>
          <t>1501</t>
        </is>
      </c>
      <c r="M1260" s="43" t="n">
        <v>1</v>
      </c>
      <c r="N1260" s="33" t="inlineStr"/>
      <c r="O1260" s="43" t="inlineStr">
        <is>
          <t>UNVERIFIED</t>
        </is>
      </c>
      <c r="P1260" s="43" t="inlineStr">
        <is>
          <t>Pending Review</t>
        </is>
      </c>
      <c r="Q1260" s="33" t="inlineStr">
        <is>
          <t>Confirmar SKU/PCBA revision, PN exacto en Common DB, WO, BU, vigencia, planta y aprobacion firmada.</t>
        </is>
      </c>
    </row>
    <row r="1261">
      <c r="A1261" s="43" t="inlineStr">
        <is>
          <t>CTANJZ05285</t>
        </is>
      </c>
      <c r="B1261" s="43" t="inlineStr">
        <is>
          <t>D611828</t>
        </is>
      </c>
      <c r="C1261" s="43" t="inlineStr">
        <is>
          <t>239-CRBU</t>
        </is>
      </c>
      <c r="D1261" s="43" t="inlineStr">
        <is>
          <t>FJZP</t>
        </is>
      </c>
      <c r="E1261" s="43" t="inlineStr">
        <is>
          <t>MCGA</t>
        </is>
      </c>
      <c r="F1261" s="43" t="inlineStr">
        <is>
          <t>68-7406-10</t>
        </is>
      </c>
      <c r="G1261" s="43" t="inlineStr">
        <is>
          <t>OTHER_SCOPE_ITEM</t>
        </is>
      </c>
      <c r="H1261" s="43" t="inlineStr"/>
      <c r="I1261" s="43" t="inlineStr">
        <is>
          <t>Expired</t>
        </is>
      </c>
      <c r="J1261" s="32" t="n">
        <v>46270</v>
      </c>
      <c r="K1261" s="32" t="n">
        <v>46205</v>
      </c>
      <c r="L1261" s="43" t="inlineStr">
        <is>
          <t>1502</t>
        </is>
      </c>
      <c r="M1261" s="43" t="n">
        <v>1</v>
      </c>
      <c r="N1261" s="33" t="inlineStr"/>
      <c r="O1261" s="43" t="inlineStr">
        <is>
          <t>UNVERIFIED</t>
        </is>
      </c>
      <c r="P1261" s="43" t="inlineStr">
        <is>
          <t>Pending Review</t>
        </is>
      </c>
      <c r="Q1261" s="33" t="inlineStr">
        <is>
          <t>Confirmar SKU/PCBA revision, PN exacto en Common DB, WO, BU, vigencia, planta y aprobacion firmada.</t>
        </is>
      </c>
    </row>
    <row r="1262">
      <c r="A1262" s="43" t="inlineStr">
        <is>
          <t>CTANJZ05285</t>
        </is>
      </c>
      <c r="B1262" s="43" t="inlineStr">
        <is>
          <t>D611828</t>
        </is>
      </c>
      <c r="C1262" s="43" t="inlineStr">
        <is>
          <t>239-CRBU</t>
        </is>
      </c>
      <c r="D1262" s="43" t="inlineStr">
        <is>
          <t>FJZP</t>
        </is>
      </c>
      <c r="E1262" s="43" t="inlineStr">
        <is>
          <t>MCGA</t>
        </is>
      </c>
      <c r="F1262" s="43" t="inlineStr">
        <is>
          <t>73-19875-07</t>
        </is>
      </c>
      <c r="G1262" s="43" t="inlineStr">
        <is>
          <t>BOARD_PN_CANDIDATE</t>
        </is>
      </c>
      <c r="H1262" s="43" t="inlineStr"/>
      <c r="I1262" s="43" t="inlineStr">
        <is>
          <t>Expired</t>
        </is>
      </c>
      <c r="J1262" s="32" t="n">
        <v>46270</v>
      </c>
      <c r="K1262" s="32" t="n">
        <v>46205</v>
      </c>
      <c r="L1262" s="43" t="inlineStr">
        <is>
          <t>1503</t>
        </is>
      </c>
      <c r="M1262" s="43" t="n">
        <v>1</v>
      </c>
      <c r="N1262" s="33" t="inlineStr"/>
      <c r="O1262" s="43" t="inlineStr">
        <is>
          <t>UNVERIFIED</t>
        </is>
      </c>
      <c r="P1262" s="43" t="inlineStr">
        <is>
          <t>Pending Review</t>
        </is>
      </c>
      <c r="Q1262" s="33" t="inlineStr">
        <is>
          <t>Confirmar SKU/PCBA revision, PN exacto en Common DB, WO, BU, vigencia, planta y aprobacion firmada.</t>
        </is>
      </c>
    </row>
    <row r="1263">
      <c r="A1263" s="43" t="inlineStr">
        <is>
          <t>CTANJZ05285</t>
        </is>
      </c>
      <c r="B1263" s="43" t="inlineStr">
        <is>
          <t>D611828</t>
        </is>
      </c>
      <c r="C1263" s="43" t="inlineStr">
        <is>
          <t>239-CRBU</t>
        </is>
      </c>
      <c r="D1263" s="43" t="inlineStr">
        <is>
          <t>FJZP</t>
        </is>
      </c>
      <c r="E1263" s="43" t="inlineStr">
        <is>
          <t>MCGA</t>
        </is>
      </c>
      <c r="F1263" s="43" t="inlineStr">
        <is>
          <t>73-19875-08</t>
        </is>
      </c>
      <c r="G1263" s="43" t="inlineStr">
        <is>
          <t>BOARD_PN_CANDIDATE</t>
        </is>
      </c>
      <c r="H1263" s="43" t="inlineStr"/>
      <c r="I1263" s="43" t="inlineStr">
        <is>
          <t>Expired</t>
        </is>
      </c>
      <c r="J1263" s="32" t="n">
        <v>46270</v>
      </c>
      <c r="K1263" s="32" t="n">
        <v>46205</v>
      </c>
      <c r="L1263" s="43" t="inlineStr">
        <is>
          <t>1526</t>
        </is>
      </c>
      <c r="M1263" s="43" t="n">
        <v>1</v>
      </c>
      <c r="N1263" s="33" t="inlineStr"/>
      <c r="O1263" s="43" t="inlineStr">
        <is>
          <t>UNVERIFIED</t>
        </is>
      </c>
      <c r="P1263" s="43" t="inlineStr">
        <is>
          <t>Pending Review</t>
        </is>
      </c>
      <c r="Q1263" s="33" t="inlineStr">
        <is>
          <t>Confirmar SKU/PCBA revision, PN exacto en Common DB, WO, BU, vigencia, planta y aprobacion firmada.</t>
        </is>
      </c>
    </row>
    <row r="1264">
      <c r="A1264" s="43" t="inlineStr">
        <is>
          <t>CTANJZ05285</t>
        </is>
      </c>
      <c r="B1264" s="43" t="inlineStr">
        <is>
          <t>D611828</t>
        </is>
      </c>
      <c r="C1264" s="43" t="inlineStr">
        <is>
          <t>239-CRBU</t>
        </is>
      </c>
      <c r="D1264" s="43" t="inlineStr">
        <is>
          <t>FJZP</t>
        </is>
      </c>
      <c r="E1264" s="43" t="inlineStr">
        <is>
          <t>MCGA</t>
        </is>
      </c>
      <c r="F1264" s="43" t="inlineStr">
        <is>
          <t>73-20176-08</t>
        </is>
      </c>
      <c r="G1264" s="43" t="inlineStr">
        <is>
          <t>BOARD_PN_CANDIDATE</t>
        </is>
      </c>
      <c r="H1264" s="43" t="inlineStr"/>
      <c r="I1264" s="43" t="inlineStr">
        <is>
          <t>Expired</t>
        </is>
      </c>
      <c r="J1264" s="32" t="n">
        <v>46270</v>
      </c>
      <c r="K1264" s="32" t="n">
        <v>46205</v>
      </c>
      <c r="L1264" s="43" t="inlineStr">
        <is>
          <t>1527</t>
        </is>
      </c>
      <c r="M1264" s="43" t="n">
        <v>1</v>
      </c>
      <c r="N1264" s="33" t="inlineStr"/>
      <c r="O1264" s="43" t="inlineStr">
        <is>
          <t>UNVERIFIED</t>
        </is>
      </c>
      <c r="P1264" s="43" t="inlineStr">
        <is>
          <t>Pending Review</t>
        </is>
      </c>
      <c r="Q1264" s="33" t="inlineStr">
        <is>
          <t>Confirmar SKU/PCBA revision, PN exacto en Common DB, WO, BU, vigencia, planta y aprobacion firmada.</t>
        </is>
      </c>
    </row>
    <row r="1265">
      <c r="A1265" s="43" t="inlineStr">
        <is>
          <t>CTANJZ05285</t>
        </is>
      </c>
      <c r="B1265" s="43" t="inlineStr">
        <is>
          <t>D611828</t>
        </is>
      </c>
      <c r="C1265" s="43" t="inlineStr">
        <is>
          <t>239-CRBU</t>
        </is>
      </c>
      <c r="D1265" s="43" t="inlineStr">
        <is>
          <t>FJZP</t>
        </is>
      </c>
      <c r="E1265" s="43" t="inlineStr">
        <is>
          <t>MCGA</t>
        </is>
      </c>
      <c r="F1265" s="43" t="inlineStr">
        <is>
          <t>73-20176-09</t>
        </is>
      </c>
      <c r="G1265" s="43" t="inlineStr">
        <is>
          <t>BOARD_PN_CANDIDATE</t>
        </is>
      </c>
      <c r="H1265" s="43" t="inlineStr"/>
      <c r="I1265" s="43" t="inlineStr">
        <is>
          <t>Expired</t>
        </is>
      </c>
      <c r="J1265" s="32" t="n">
        <v>46270</v>
      </c>
      <c r="K1265" s="32" t="n">
        <v>46205</v>
      </c>
      <c r="L1265" s="43" t="inlineStr">
        <is>
          <t>1528</t>
        </is>
      </c>
      <c r="M1265" s="43" t="n">
        <v>1</v>
      </c>
      <c r="N1265" s="33" t="inlineStr"/>
      <c r="O1265" s="43" t="inlineStr">
        <is>
          <t>UNVERIFIED</t>
        </is>
      </c>
      <c r="P1265" s="43" t="inlineStr">
        <is>
          <t>Pending Review</t>
        </is>
      </c>
      <c r="Q1265" s="33" t="inlineStr">
        <is>
          <t>Confirmar SKU/PCBA revision, PN exacto en Common DB, WO, BU, vigencia, planta y aprobacion firmada.</t>
        </is>
      </c>
    </row>
    <row r="1266">
      <c r="A1266" s="43" t="inlineStr">
        <is>
          <t>CTANJZ05285</t>
        </is>
      </c>
      <c r="B1266" s="43" t="inlineStr">
        <is>
          <t>D611828</t>
        </is>
      </c>
      <c r="C1266" s="43" t="inlineStr">
        <is>
          <t>239-CRBU</t>
        </is>
      </c>
      <c r="D1266" s="43" t="inlineStr">
        <is>
          <t>FJZP</t>
        </is>
      </c>
      <c r="E1266" s="43" t="inlineStr">
        <is>
          <t>MCGA</t>
        </is>
      </c>
      <c r="F1266" s="43" t="inlineStr">
        <is>
          <t>73-20513-09</t>
        </is>
      </c>
      <c r="G1266" s="43" t="inlineStr">
        <is>
          <t>BOARD_PN_CANDIDATE</t>
        </is>
      </c>
      <c r="H1266" s="43" t="inlineStr"/>
      <c r="I1266" s="43" t="inlineStr">
        <is>
          <t>Expired</t>
        </is>
      </c>
      <c r="J1266" s="32" t="n">
        <v>46270</v>
      </c>
      <c r="K1266" s="32" t="n">
        <v>46205</v>
      </c>
      <c r="L1266" s="43" t="inlineStr">
        <is>
          <t>1529</t>
        </is>
      </c>
      <c r="M1266" s="43" t="n">
        <v>1</v>
      </c>
      <c r="N1266" s="33" t="inlineStr"/>
      <c r="O1266" s="43" t="inlineStr">
        <is>
          <t>UNVERIFIED</t>
        </is>
      </c>
      <c r="P1266" s="43" t="inlineStr">
        <is>
          <t>Pending Review</t>
        </is>
      </c>
      <c r="Q1266" s="33" t="inlineStr">
        <is>
          <t>Confirmar SKU/PCBA revision, PN exacto en Common DB, WO, BU, vigencia, planta y aprobacion firmada.</t>
        </is>
      </c>
    </row>
    <row r="1267">
      <c r="A1267" s="43" t="inlineStr">
        <is>
          <t>CTANJZ05286</t>
        </is>
      </c>
      <c r="B1267" s="43" t="inlineStr">
        <is>
          <t>D611905</t>
        </is>
      </c>
      <c r="C1267" s="43" t="inlineStr">
        <is>
          <t>037-STBU</t>
        </is>
      </c>
      <c r="D1267" s="43" t="inlineStr">
        <is>
          <t>FJZP</t>
        </is>
      </c>
      <c r="E1267" s="43" t="inlineStr">
        <is>
          <t>MCGA</t>
        </is>
      </c>
      <c r="F1267" s="43" t="inlineStr">
        <is>
          <t>20-0405-01</t>
        </is>
      </c>
      <c r="G1267" s="43" t="inlineStr">
        <is>
          <t>OTHER_SCOPE_ITEM</t>
        </is>
      </c>
      <c r="H1267" s="43" t="inlineStr"/>
      <c r="I1267" s="43" t="inlineStr">
        <is>
          <t>Expired</t>
        </is>
      </c>
      <c r="J1267" s="32" t="n">
        <v>46272</v>
      </c>
      <c r="K1267" s="32" t="n">
        <v>46210</v>
      </c>
      <c r="L1267" s="43" t="inlineStr">
        <is>
          <t>1217</t>
        </is>
      </c>
      <c r="M1267" s="43" t="n">
        <v>1</v>
      </c>
      <c r="N1267" s="33" t="inlineStr"/>
      <c r="O1267" s="43" t="inlineStr">
        <is>
          <t>UNVERIFIED</t>
        </is>
      </c>
      <c r="P1267" s="43" t="inlineStr">
        <is>
          <t>Pending Review</t>
        </is>
      </c>
      <c r="Q1267" s="33" t="inlineStr">
        <is>
          <t>Confirmar SKU/PCBA revision, PN exacto en Common DB, WO, BU, vigencia, planta y aprobacion firmada.</t>
        </is>
      </c>
    </row>
    <row r="1268">
      <c r="A1268" s="43" t="inlineStr">
        <is>
          <t>CTANJZ05286</t>
        </is>
      </c>
      <c r="B1268" s="43" t="inlineStr">
        <is>
          <t>D611905</t>
        </is>
      </c>
      <c r="C1268" s="43" t="inlineStr">
        <is>
          <t>037-STBU</t>
        </is>
      </c>
      <c r="D1268" s="43" t="inlineStr">
        <is>
          <t>FJZP</t>
        </is>
      </c>
      <c r="E1268" s="43" t="inlineStr">
        <is>
          <t>MCGA</t>
        </is>
      </c>
      <c r="F1268" s="43" t="inlineStr">
        <is>
          <t>20-100690-01</t>
        </is>
      </c>
      <c r="G1268" s="43" t="inlineStr">
        <is>
          <t>OTHER_SCOPE_ITEM</t>
        </is>
      </c>
      <c r="H1268" s="43" t="inlineStr"/>
      <c r="I1268" s="43" t="inlineStr">
        <is>
          <t>Expired</t>
        </is>
      </c>
      <c r="J1268" s="32" t="n">
        <v>46272</v>
      </c>
      <c r="K1268" s="32" t="n">
        <v>46210</v>
      </c>
      <c r="L1268" s="43" t="inlineStr">
        <is>
          <t>1218</t>
        </is>
      </c>
      <c r="M1268" s="43" t="n">
        <v>1</v>
      </c>
      <c r="N1268" s="33" t="inlineStr"/>
      <c r="O1268" s="43" t="inlineStr">
        <is>
          <t>UNVERIFIED</t>
        </is>
      </c>
      <c r="P1268" s="43" t="inlineStr">
        <is>
          <t>Pending Review</t>
        </is>
      </c>
      <c r="Q1268" s="33" t="inlineStr">
        <is>
          <t>Confirmar SKU/PCBA revision, PN exacto en Common DB, WO, BU, vigencia, planta y aprobacion firmada.</t>
        </is>
      </c>
    </row>
    <row r="1269">
      <c r="A1269" s="43" t="inlineStr">
        <is>
          <t>CTANJZ05286</t>
        </is>
      </c>
      <c r="B1269" s="43" t="inlineStr">
        <is>
          <t>D611905</t>
        </is>
      </c>
      <c r="C1269" s="43" t="inlineStr">
        <is>
          <t>037-STBU</t>
        </is>
      </c>
      <c r="D1269" s="43" t="inlineStr">
        <is>
          <t>FJZP</t>
        </is>
      </c>
      <c r="E1269" s="43" t="inlineStr">
        <is>
          <t>MCGA</t>
        </is>
      </c>
      <c r="F1269" s="43" t="inlineStr">
        <is>
          <t>68-103464-06</t>
        </is>
      </c>
      <c r="G1269" s="43" t="inlineStr">
        <is>
          <t>OTHER_SCOPE_ITEM</t>
        </is>
      </c>
      <c r="H1269" s="43" t="inlineStr"/>
      <c r="I1269" s="43" t="inlineStr">
        <is>
          <t>Expired</t>
        </is>
      </c>
      <c r="J1269" s="32" t="n">
        <v>46272</v>
      </c>
      <c r="K1269" s="32" t="n">
        <v>46210</v>
      </c>
      <c r="L1269" s="43" t="inlineStr">
        <is>
          <t>1314</t>
        </is>
      </c>
      <c r="M1269" s="43" t="n">
        <v>1</v>
      </c>
      <c r="N1269" s="33" t="inlineStr"/>
      <c r="O1269" s="43" t="inlineStr">
        <is>
          <t>UNVERIFIED</t>
        </is>
      </c>
      <c r="P1269" s="43" t="inlineStr">
        <is>
          <t>Pending Review</t>
        </is>
      </c>
      <c r="Q1269" s="33" t="inlineStr">
        <is>
          <t>Confirmar SKU/PCBA revision, PN exacto en Common DB, WO, BU, vigencia, planta y aprobacion firmada.</t>
        </is>
      </c>
    </row>
    <row r="1270">
      <c r="A1270" s="43" t="inlineStr">
        <is>
          <t>CTANJZ05286</t>
        </is>
      </c>
      <c r="B1270" s="43" t="inlineStr">
        <is>
          <t>D611905</t>
        </is>
      </c>
      <c r="C1270" s="43" t="inlineStr">
        <is>
          <t>037-STBU</t>
        </is>
      </c>
      <c r="D1270" s="43" t="inlineStr">
        <is>
          <t>FJZP</t>
        </is>
      </c>
      <c r="E1270" s="43" t="inlineStr">
        <is>
          <t>MCGA</t>
        </is>
      </c>
      <c r="F1270" s="43" t="inlineStr">
        <is>
          <t>68-103465-06</t>
        </is>
      </c>
      <c r="G1270" s="43" t="inlineStr">
        <is>
          <t>OTHER_SCOPE_ITEM</t>
        </is>
      </c>
      <c r="H1270" s="43" t="inlineStr"/>
      <c r="I1270" s="43" t="inlineStr">
        <is>
          <t>Expired</t>
        </is>
      </c>
      <c r="J1270" s="32" t="n">
        <v>46272</v>
      </c>
      <c r="K1270" s="32" t="n">
        <v>46210</v>
      </c>
      <c r="L1270" s="43" t="inlineStr">
        <is>
          <t>1315</t>
        </is>
      </c>
      <c r="M1270" s="43" t="n">
        <v>1</v>
      </c>
      <c r="N1270" s="33" t="inlineStr"/>
      <c r="O1270" s="43" t="inlineStr">
        <is>
          <t>UNVERIFIED</t>
        </is>
      </c>
      <c r="P1270" s="43" t="inlineStr">
        <is>
          <t>Pending Review</t>
        </is>
      </c>
      <c r="Q1270" s="33" t="inlineStr">
        <is>
          <t>Confirmar SKU/PCBA revision, PN exacto en Common DB, WO, BU, vigencia, planta y aprobacion firmada.</t>
        </is>
      </c>
    </row>
    <row r="1271">
      <c r="A1271" s="43" t="inlineStr">
        <is>
          <t>CTANJZ05286</t>
        </is>
      </c>
      <c r="B1271" s="43" t="inlineStr">
        <is>
          <t>D611905</t>
        </is>
      </c>
      <c r="C1271" s="43" t="inlineStr">
        <is>
          <t>037-STBU</t>
        </is>
      </c>
      <c r="D1271" s="43" t="inlineStr">
        <is>
          <t>FJZP</t>
        </is>
      </c>
      <c r="E1271" s="43" t="inlineStr">
        <is>
          <t>MCGA</t>
        </is>
      </c>
      <c r="F1271" s="43" t="inlineStr">
        <is>
          <t>68-103466-06</t>
        </is>
      </c>
      <c r="G1271" s="43" t="inlineStr">
        <is>
          <t>OTHER_SCOPE_ITEM</t>
        </is>
      </c>
      <c r="H1271" s="43" t="inlineStr"/>
      <c r="I1271" s="43" t="inlineStr">
        <is>
          <t>Expired</t>
        </is>
      </c>
      <c r="J1271" s="32" t="n">
        <v>46272</v>
      </c>
      <c r="K1271" s="32" t="n">
        <v>46210</v>
      </c>
      <c r="L1271" s="43" t="inlineStr">
        <is>
          <t>1316</t>
        </is>
      </c>
      <c r="M1271" s="43" t="n">
        <v>1</v>
      </c>
      <c r="N1271" s="33" t="inlineStr"/>
      <c r="O1271" s="43" t="inlineStr">
        <is>
          <t>UNVERIFIED</t>
        </is>
      </c>
      <c r="P1271" s="43" t="inlineStr">
        <is>
          <t>Pending Review</t>
        </is>
      </c>
      <c r="Q1271" s="33" t="inlineStr">
        <is>
          <t>Confirmar SKU/PCBA revision, PN exacto en Common DB, WO, BU, vigencia, planta y aprobacion firmada.</t>
        </is>
      </c>
    </row>
    <row r="1272">
      <c r="A1272" s="43" t="inlineStr">
        <is>
          <t>CTANJZ05286</t>
        </is>
      </c>
      <c r="B1272" s="43" t="inlineStr">
        <is>
          <t>D611905</t>
        </is>
      </c>
      <c r="C1272" s="43" t="inlineStr">
        <is>
          <t>037-STBU</t>
        </is>
      </c>
      <c r="D1272" s="43" t="inlineStr">
        <is>
          <t>FJZP</t>
        </is>
      </c>
      <c r="E1272" s="43" t="inlineStr">
        <is>
          <t>MCGA</t>
        </is>
      </c>
      <c r="F1272" s="43" t="inlineStr">
        <is>
          <t>68-104576-04</t>
        </is>
      </c>
      <c r="G1272" s="43" t="inlineStr">
        <is>
          <t>OTHER_SCOPE_ITEM</t>
        </is>
      </c>
      <c r="H1272" s="43" t="inlineStr"/>
      <c r="I1272" s="43" t="inlineStr">
        <is>
          <t>Expired</t>
        </is>
      </c>
      <c r="J1272" s="32" t="n">
        <v>46272</v>
      </c>
      <c r="K1272" s="32" t="n">
        <v>46210</v>
      </c>
      <c r="L1272" s="43" t="inlineStr">
        <is>
          <t>1317</t>
        </is>
      </c>
      <c r="M1272" s="43" t="n">
        <v>1</v>
      </c>
      <c r="N1272" s="33" t="inlineStr"/>
      <c r="O1272" s="43" t="inlineStr">
        <is>
          <t>UNVERIFIED</t>
        </is>
      </c>
      <c r="P1272" s="43" t="inlineStr">
        <is>
          <t>Pending Review</t>
        </is>
      </c>
      <c r="Q1272" s="33" t="inlineStr">
        <is>
          <t>Confirmar SKU/PCBA revision, PN exacto en Common DB, WO, BU, vigencia, planta y aprobacion firmada.</t>
        </is>
      </c>
    </row>
    <row r="1273">
      <c r="A1273" s="43" t="inlineStr">
        <is>
          <t>CTANJZ05286</t>
        </is>
      </c>
      <c r="B1273" s="43" t="inlineStr">
        <is>
          <t>D611905</t>
        </is>
      </c>
      <c r="C1273" s="43" t="inlineStr">
        <is>
          <t>037-STBU</t>
        </is>
      </c>
      <c r="D1273" s="43" t="inlineStr">
        <is>
          <t>FJZP</t>
        </is>
      </c>
      <c r="E1273" s="43" t="inlineStr">
        <is>
          <t>MCGA</t>
        </is>
      </c>
      <c r="F1273" s="43" t="inlineStr">
        <is>
          <t>68-104621-04</t>
        </is>
      </c>
      <c r="G1273" s="43" t="inlineStr">
        <is>
          <t>OTHER_SCOPE_ITEM</t>
        </is>
      </c>
      <c r="H1273" s="43" t="inlineStr"/>
      <c r="I1273" s="43" t="inlineStr">
        <is>
          <t>Expired</t>
        </is>
      </c>
      <c r="J1273" s="32" t="n">
        <v>46272</v>
      </c>
      <c r="K1273" s="32" t="n">
        <v>46210</v>
      </c>
      <c r="L1273" s="43" t="inlineStr">
        <is>
          <t>1318</t>
        </is>
      </c>
      <c r="M1273" s="43" t="n">
        <v>1</v>
      </c>
      <c r="N1273" s="33" t="inlineStr"/>
      <c r="O1273" s="43" t="inlineStr">
        <is>
          <t>UNVERIFIED</t>
        </is>
      </c>
      <c r="P1273" s="43" t="inlineStr">
        <is>
          <t>Pending Review</t>
        </is>
      </c>
      <c r="Q1273" s="33" t="inlineStr">
        <is>
          <t>Confirmar SKU/PCBA revision, PN exacto en Common DB, WO, BU, vigencia, planta y aprobacion firmada.</t>
        </is>
      </c>
    </row>
    <row r="1274">
      <c r="A1274" s="43" t="inlineStr">
        <is>
          <t>CTANJZ05286</t>
        </is>
      </c>
      <c r="B1274" s="43" t="inlineStr">
        <is>
          <t>D611905</t>
        </is>
      </c>
      <c r="C1274" s="43" t="inlineStr">
        <is>
          <t>037-STBU</t>
        </is>
      </c>
      <c r="D1274" s="43" t="inlineStr">
        <is>
          <t>FJZP</t>
        </is>
      </c>
      <c r="E1274" s="43" t="inlineStr">
        <is>
          <t>MCGA</t>
        </is>
      </c>
      <c r="F1274" s="43" t="inlineStr">
        <is>
          <t>68-7253-05</t>
        </is>
      </c>
      <c r="G1274" s="43" t="inlineStr">
        <is>
          <t>OTHER_SCOPE_ITEM</t>
        </is>
      </c>
      <c r="H1274" s="43" t="inlineStr"/>
      <c r="I1274" s="43" t="inlineStr">
        <is>
          <t>Expired</t>
        </is>
      </c>
      <c r="J1274" s="32" t="n">
        <v>46272</v>
      </c>
      <c r="K1274" s="32" t="n">
        <v>46210</v>
      </c>
      <c r="L1274" s="43" t="inlineStr">
        <is>
          <t>1319</t>
        </is>
      </c>
      <c r="M1274" s="43" t="n">
        <v>1</v>
      </c>
      <c r="N1274" s="33" t="inlineStr"/>
      <c r="O1274" s="43" t="inlineStr">
        <is>
          <t>UNVERIFIED</t>
        </is>
      </c>
      <c r="P1274" s="43" t="inlineStr">
        <is>
          <t>Pending Review</t>
        </is>
      </c>
      <c r="Q1274" s="33" t="inlineStr">
        <is>
          <t>Confirmar SKU/PCBA revision, PN exacto en Common DB, WO, BU, vigencia, planta y aprobacion firmada.</t>
        </is>
      </c>
    </row>
    <row r="1275">
      <c r="A1275" s="43" t="inlineStr">
        <is>
          <t>CTANJZ05286</t>
        </is>
      </c>
      <c r="B1275" s="43" t="inlineStr">
        <is>
          <t>D611905</t>
        </is>
      </c>
      <c r="C1275" s="43" t="inlineStr">
        <is>
          <t>037-STBU</t>
        </is>
      </c>
      <c r="D1275" s="43" t="inlineStr">
        <is>
          <t>FJZP</t>
        </is>
      </c>
      <c r="E1275" s="43" t="inlineStr">
        <is>
          <t>MCGA</t>
        </is>
      </c>
      <c r="F1275" s="43" t="inlineStr">
        <is>
          <t>68-7254-05</t>
        </is>
      </c>
      <c r="G1275" s="43" t="inlineStr">
        <is>
          <t>OTHER_SCOPE_ITEM</t>
        </is>
      </c>
      <c r="H1275" s="43" t="inlineStr"/>
      <c r="I1275" s="43" t="inlineStr">
        <is>
          <t>Expired</t>
        </is>
      </c>
      <c r="J1275" s="32" t="n">
        <v>46272</v>
      </c>
      <c r="K1275" s="32" t="n">
        <v>46210</v>
      </c>
      <c r="L1275" s="43" t="inlineStr">
        <is>
          <t>1322</t>
        </is>
      </c>
      <c r="M1275" s="43" t="n">
        <v>1</v>
      </c>
      <c r="N1275" s="33" t="inlineStr"/>
      <c r="O1275" s="43" t="inlineStr">
        <is>
          <t>UNVERIFIED</t>
        </is>
      </c>
      <c r="P1275" s="43" t="inlineStr">
        <is>
          <t>Pending Review</t>
        </is>
      </c>
      <c r="Q1275" s="33" t="inlineStr">
        <is>
          <t>Confirmar SKU/PCBA revision, PN exacto en Common DB, WO, BU, vigencia, planta y aprobacion firmada.</t>
        </is>
      </c>
    </row>
    <row r="1276">
      <c r="A1276" s="43" t="inlineStr">
        <is>
          <t>CTANJZ05286</t>
        </is>
      </c>
      <c r="B1276" s="43" t="inlineStr">
        <is>
          <t>D611905</t>
        </is>
      </c>
      <c r="C1276" s="43" t="inlineStr">
        <is>
          <t>037-STBU</t>
        </is>
      </c>
      <c r="D1276" s="43" t="inlineStr">
        <is>
          <t>FJZP</t>
        </is>
      </c>
      <c r="E1276" s="43" t="inlineStr">
        <is>
          <t>MCGA</t>
        </is>
      </c>
      <c r="F1276" s="43" t="inlineStr">
        <is>
          <t>68-7255-05</t>
        </is>
      </c>
      <c r="G1276" s="43" t="inlineStr">
        <is>
          <t>OTHER_SCOPE_ITEM</t>
        </is>
      </c>
      <c r="H1276" s="43" t="inlineStr"/>
      <c r="I1276" s="43" t="inlineStr">
        <is>
          <t>Expired</t>
        </is>
      </c>
      <c r="J1276" s="32" t="n">
        <v>46272</v>
      </c>
      <c r="K1276" s="32" t="n">
        <v>46210</v>
      </c>
      <c r="L1276" s="43" t="inlineStr">
        <is>
          <t>1323</t>
        </is>
      </c>
      <c r="M1276" s="43" t="n">
        <v>1</v>
      </c>
      <c r="N1276" s="33" t="inlineStr"/>
      <c r="O1276" s="43" t="inlineStr">
        <is>
          <t>UNVERIFIED</t>
        </is>
      </c>
      <c r="P1276" s="43" t="inlineStr">
        <is>
          <t>Pending Review</t>
        </is>
      </c>
      <c r="Q1276" s="33" t="inlineStr">
        <is>
          <t>Confirmar SKU/PCBA revision, PN exacto en Common DB, WO, BU, vigencia, planta y aprobacion firmada.</t>
        </is>
      </c>
    </row>
    <row r="1277">
      <c r="A1277" s="43" t="inlineStr">
        <is>
          <t>CTANJZ05286</t>
        </is>
      </c>
      <c r="B1277" s="43" t="inlineStr">
        <is>
          <t>D611905</t>
        </is>
      </c>
      <c r="C1277" s="43" t="inlineStr">
        <is>
          <t>037-STBU</t>
        </is>
      </c>
      <c r="D1277" s="43" t="inlineStr">
        <is>
          <t>FJZP</t>
        </is>
      </c>
      <c r="E1277" s="43" t="inlineStr">
        <is>
          <t>MCGA</t>
        </is>
      </c>
      <c r="F1277" s="43" t="inlineStr">
        <is>
          <t>68-7256-05</t>
        </is>
      </c>
      <c r="G1277" s="43" t="inlineStr">
        <is>
          <t>OTHER_SCOPE_ITEM</t>
        </is>
      </c>
      <c r="H1277" s="43" t="inlineStr"/>
      <c r="I1277" s="43" t="inlineStr">
        <is>
          <t>Expired</t>
        </is>
      </c>
      <c r="J1277" s="32" t="n">
        <v>46272</v>
      </c>
      <c r="K1277" s="32" t="n">
        <v>46210</v>
      </c>
      <c r="L1277" s="43" t="inlineStr">
        <is>
          <t>1324</t>
        </is>
      </c>
      <c r="M1277" s="43" t="n">
        <v>1</v>
      </c>
      <c r="N1277" s="33" t="inlineStr"/>
      <c r="O1277" s="43" t="inlineStr">
        <is>
          <t>UNVERIFIED</t>
        </is>
      </c>
      <c r="P1277" s="43" t="inlineStr">
        <is>
          <t>Pending Review</t>
        </is>
      </c>
      <c r="Q1277" s="33" t="inlineStr">
        <is>
          <t>Confirmar SKU/PCBA revision, PN exacto en Common DB, WO, BU, vigencia, planta y aprobacion firmada.</t>
        </is>
      </c>
    </row>
    <row r="1278">
      <c r="A1278" s="43" t="inlineStr">
        <is>
          <t>CTANJZ05286</t>
        </is>
      </c>
      <c r="B1278" s="43" t="inlineStr">
        <is>
          <t>D611905</t>
        </is>
      </c>
      <c r="C1278" s="43" t="inlineStr">
        <is>
          <t>037-STBU</t>
        </is>
      </c>
      <c r="D1278" s="43" t="inlineStr">
        <is>
          <t>FJZP</t>
        </is>
      </c>
      <c r="E1278" s="43" t="inlineStr">
        <is>
          <t>MCGA</t>
        </is>
      </c>
      <c r="F1278" s="43" t="inlineStr">
        <is>
          <t>68-7638-02</t>
        </is>
      </c>
      <c r="G1278" s="43" t="inlineStr">
        <is>
          <t>OTHER_SCOPE_ITEM</t>
        </is>
      </c>
      <c r="H1278" s="43" t="inlineStr"/>
      <c r="I1278" s="43" t="inlineStr">
        <is>
          <t>Expired</t>
        </is>
      </c>
      <c r="J1278" s="32" t="n">
        <v>46272</v>
      </c>
      <c r="K1278" s="32" t="n">
        <v>46210</v>
      </c>
      <c r="L1278" s="43" t="inlineStr">
        <is>
          <t>1325</t>
        </is>
      </c>
      <c r="M1278" s="43" t="n">
        <v>1</v>
      </c>
      <c r="N1278" s="33" t="inlineStr"/>
      <c r="O1278" s="43" t="inlineStr">
        <is>
          <t>UNVERIFIED</t>
        </is>
      </c>
      <c r="P1278" s="43" t="inlineStr">
        <is>
          <t>Pending Review</t>
        </is>
      </c>
      <c r="Q1278" s="33" t="inlineStr">
        <is>
          <t>Confirmar SKU/PCBA revision, PN exacto en Common DB, WO, BU, vigencia, planta y aprobacion firmada.</t>
        </is>
      </c>
    </row>
    <row r="1279">
      <c r="A1279" s="43" t="inlineStr">
        <is>
          <t>CTANJZ05289</t>
        </is>
      </c>
      <c r="B1279" s="43" t="inlineStr">
        <is>
          <t>DP526170</t>
        </is>
      </c>
      <c r="C1279" s="43" t="inlineStr">
        <is>
          <t>035-CVEBU</t>
        </is>
      </c>
      <c r="D1279" s="43" t="inlineStr">
        <is>
          <t>FJZP</t>
        </is>
      </c>
      <c r="E1279" s="43" t="inlineStr">
        <is>
          <t>MCGA</t>
        </is>
      </c>
      <c r="F1279" s="43" t="inlineStr">
        <is>
          <t>28-104097-06</t>
        </is>
      </c>
      <c r="G1279" s="43" t="inlineStr">
        <is>
          <t>BARE_PCB_PN_CANDIDATE</t>
        </is>
      </c>
      <c r="H1279" s="43" t="inlineStr"/>
      <c r="I1279" s="43" t="inlineStr">
        <is>
          <t>Expired</t>
        </is>
      </c>
      <c r="J1279" s="32" t="n">
        <v>46223</v>
      </c>
      <c r="K1279" s="32" t="n">
        <v>46210</v>
      </c>
      <c r="L1279" s="43" t="inlineStr">
        <is>
          <t>184</t>
        </is>
      </c>
      <c r="M1279" s="43" t="n">
        <v>1</v>
      </c>
      <c r="N1279" s="33" t="inlineStr"/>
      <c r="O1279" s="43" t="inlineStr">
        <is>
          <t>UNVERIFIED</t>
        </is>
      </c>
      <c r="P1279" s="43" t="inlineStr">
        <is>
          <t>Pending Review</t>
        </is>
      </c>
      <c r="Q1279" s="33" t="inlineStr">
        <is>
          <t>Confirmar SKU/PCBA revision, PN exacto en Common DB, WO, BU, vigencia, planta y aprobacion firmada.</t>
        </is>
      </c>
    </row>
    <row r="1280">
      <c r="A1280" s="43" t="inlineStr">
        <is>
          <t>CTANJZ05289</t>
        </is>
      </c>
      <c r="B1280" s="43" t="inlineStr">
        <is>
          <t>DP526170</t>
        </is>
      </c>
      <c r="C1280" s="43" t="inlineStr">
        <is>
          <t>035-CVEBU</t>
        </is>
      </c>
      <c r="D1280" s="43" t="inlineStr">
        <is>
          <t>FJZP</t>
        </is>
      </c>
      <c r="E1280" s="43" t="inlineStr">
        <is>
          <t>MCGA</t>
        </is>
      </c>
      <c r="F1280" s="43" t="inlineStr">
        <is>
          <t>28-104098-04</t>
        </is>
      </c>
      <c r="G1280" s="43" t="inlineStr">
        <is>
          <t>BARE_PCB_PN_CANDIDATE</t>
        </is>
      </c>
      <c r="H1280" s="43" t="inlineStr"/>
      <c r="I1280" s="43" t="inlineStr">
        <is>
          <t>Expired</t>
        </is>
      </c>
      <c r="J1280" s="32" t="n">
        <v>46223</v>
      </c>
      <c r="K1280" s="32" t="n">
        <v>46210</v>
      </c>
      <c r="L1280" s="43" t="inlineStr">
        <is>
          <t>185</t>
        </is>
      </c>
      <c r="M1280" s="43" t="n">
        <v>1</v>
      </c>
      <c r="N1280" s="33" t="inlineStr"/>
      <c r="O1280" s="43" t="inlineStr">
        <is>
          <t>UNVERIFIED</t>
        </is>
      </c>
      <c r="P1280" s="43" t="inlineStr">
        <is>
          <t>Pending Review</t>
        </is>
      </c>
      <c r="Q1280" s="33" t="inlineStr">
        <is>
          <t>Confirmar SKU/PCBA revision, PN exacto en Common DB, WO, BU, vigencia, planta y aprobacion firmada.</t>
        </is>
      </c>
    </row>
    <row r="1281">
      <c r="A1281" s="43" t="inlineStr">
        <is>
          <t>CTANJZ05290</t>
        </is>
      </c>
      <c r="B1281" s="43" t="inlineStr">
        <is>
          <t>D612021</t>
        </is>
      </c>
      <c r="C1281" s="43" t="inlineStr">
        <is>
          <t>035-CVEBU</t>
        </is>
      </c>
      <c r="D1281" s="43" t="inlineStr">
        <is>
          <t>FJZP</t>
        </is>
      </c>
      <c r="E1281" s="43" t="inlineStr">
        <is>
          <t>MCGA</t>
        </is>
      </c>
      <c r="F1281" s="43" t="inlineStr">
        <is>
          <t>68-104853-01</t>
        </is>
      </c>
      <c r="G1281" s="43" t="inlineStr">
        <is>
          <t>OTHER_SCOPE_ITEM</t>
        </is>
      </c>
      <c r="H1281" s="43" t="inlineStr"/>
      <c r="I1281" s="43" t="inlineStr">
        <is>
          <t>Extended</t>
        </is>
      </c>
      <c r="J1281" s="32" t="n">
        <v>46363</v>
      </c>
      <c r="K1281" s="32" t="n">
        <v>46193</v>
      </c>
      <c r="L1281" s="43" t="inlineStr">
        <is>
          <t>642</t>
        </is>
      </c>
      <c r="M1281" s="43" t="n">
        <v>1</v>
      </c>
      <c r="N1281" s="33" t="inlineStr"/>
      <c r="O1281" s="43" t="inlineStr">
        <is>
          <t>UNVERIFIED</t>
        </is>
      </c>
      <c r="P1281" s="43" t="inlineStr">
        <is>
          <t>Pending Review</t>
        </is>
      </c>
      <c r="Q1281" s="33" t="inlineStr">
        <is>
          <t>Confirmar SKU/PCBA revision, PN exacto en Common DB, WO, BU, vigencia, planta y aprobacion firmada.</t>
        </is>
      </c>
    </row>
    <row r="1282">
      <c r="A1282" s="43" t="inlineStr">
        <is>
          <t>CTANJZ05290</t>
        </is>
      </c>
      <c r="B1282" s="43" t="inlineStr">
        <is>
          <t>D612021</t>
        </is>
      </c>
      <c r="C1282" s="43" t="inlineStr">
        <is>
          <t>035-CVEBU</t>
        </is>
      </c>
      <c r="D1282" s="43" t="inlineStr">
        <is>
          <t>FJZP</t>
        </is>
      </c>
      <c r="E1282" s="43" t="inlineStr">
        <is>
          <t>MCGA</t>
        </is>
      </c>
      <c r="F1282" s="43" t="inlineStr">
        <is>
          <t>800-113103-01</t>
        </is>
      </c>
      <c r="G1282" s="43" t="inlineStr">
        <is>
          <t>OTHER_SCOPE_ITEM</t>
        </is>
      </c>
      <c r="H1282" s="43" t="inlineStr"/>
      <c r="I1282" s="43" t="inlineStr">
        <is>
          <t>Extended</t>
        </is>
      </c>
      <c r="J1282" s="32" t="n">
        <v>46363</v>
      </c>
      <c r="K1282" s="32" t="n">
        <v>46193</v>
      </c>
      <c r="L1282" s="43" t="inlineStr">
        <is>
          <t>643</t>
        </is>
      </c>
      <c r="M1282" s="43" t="n">
        <v>1</v>
      </c>
      <c r="N1282" s="33" t="inlineStr"/>
      <c r="O1282" s="43" t="inlineStr">
        <is>
          <t>UNVERIFIED</t>
        </is>
      </c>
      <c r="P1282" s="43" t="inlineStr">
        <is>
          <t>Pending Review</t>
        </is>
      </c>
      <c r="Q1282" s="33" t="inlineStr">
        <is>
          <t>Confirmar SKU/PCBA revision, PN exacto en Common DB, WO, BU, vigencia, planta y aprobacion firmada.</t>
        </is>
      </c>
    </row>
    <row r="1283">
      <c r="A1283" s="43" t="inlineStr">
        <is>
          <t>CTANJZ05290</t>
        </is>
      </c>
      <c r="B1283" s="43" t="inlineStr">
        <is>
          <t>D612021</t>
        </is>
      </c>
      <c r="C1283" s="43" t="inlineStr">
        <is>
          <t>035-CVEBU</t>
        </is>
      </c>
      <c r="D1283" s="43" t="inlineStr">
        <is>
          <t>FJZP</t>
        </is>
      </c>
      <c r="E1283" s="43" t="inlineStr">
        <is>
          <t>MCGA</t>
        </is>
      </c>
      <c r="F1283" s="43" t="inlineStr">
        <is>
          <t>800-117978-03</t>
        </is>
      </c>
      <c r="G1283" s="43" t="inlineStr">
        <is>
          <t>OTHER_SCOPE_ITEM</t>
        </is>
      </c>
      <c r="H1283" s="43" t="inlineStr"/>
      <c r="I1283" s="43" t="inlineStr">
        <is>
          <t>Extended</t>
        </is>
      </c>
      <c r="J1283" s="32" t="n">
        <v>46363</v>
      </c>
      <c r="K1283" s="32" t="n">
        <v>46193</v>
      </c>
      <c r="L1283" s="43" t="inlineStr">
        <is>
          <t>644</t>
        </is>
      </c>
      <c r="M1283" s="43" t="n">
        <v>1</v>
      </c>
      <c r="N1283" s="33" t="inlineStr"/>
      <c r="O1283" s="43" t="inlineStr">
        <is>
          <t>UNVERIFIED</t>
        </is>
      </c>
      <c r="P1283" s="43" t="inlineStr">
        <is>
          <t>Pending Review</t>
        </is>
      </c>
      <c r="Q1283" s="33" t="inlineStr">
        <is>
          <t>Confirmar SKU/PCBA revision, PN exacto en Common DB, WO, BU, vigencia, planta y aprobacion firmada.</t>
        </is>
      </c>
    </row>
    <row r="1284">
      <c r="A1284" s="43" t="inlineStr">
        <is>
          <t>CTANJZ05290</t>
        </is>
      </c>
      <c r="B1284" s="43" t="inlineStr">
        <is>
          <t>D612021</t>
        </is>
      </c>
      <c r="C1284" s="43" t="inlineStr">
        <is>
          <t>035-CVEBU</t>
        </is>
      </c>
      <c r="D1284" s="43" t="inlineStr">
        <is>
          <t>FJZP</t>
        </is>
      </c>
      <c r="E1284" s="43" t="inlineStr">
        <is>
          <t>MCGA</t>
        </is>
      </c>
      <c r="F1284" s="43" t="inlineStr">
        <is>
          <t>800-118978-03</t>
        </is>
      </c>
      <c r="G1284" s="43" t="inlineStr">
        <is>
          <t>OTHER_SCOPE_ITEM</t>
        </is>
      </c>
      <c r="H1284" s="43" t="inlineStr"/>
      <c r="I1284" s="43" t="inlineStr">
        <is>
          <t>Extended</t>
        </is>
      </c>
      <c r="J1284" s="32" t="n">
        <v>46363</v>
      </c>
      <c r="K1284" s="32" t="n">
        <v>46193</v>
      </c>
      <c r="L1284" s="43" t="inlineStr">
        <is>
          <t>645</t>
        </is>
      </c>
      <c r="M1284" s="43" t="n">
        <v>1</v>
      </c>
      <c r="N1284" s="33" t="inlineStr"/>
      <c r="O1284" s="43" t="inlineStr">
        <is>
          <t>UNVERIFIED</t>
        </is>
      </c>
      <c r="P1284" s="43" t="inlineStr">
        <is>
          <t>Pending Review</t>
        </is>
      </c>
      <c r="Q1284" s="33" t="inlineStr">
        <is>
          <t>Confirmar SKU/PCBA revision, PN exacto en Common DB, WO, BU, vigencia, planta y aprobacion firmada.</t>
        </is>
      </c>
    </row>
    <row r="1285">
      <c r="A1285" s="43" t="inlineStr">
        <is>
          <t>CTANJZ05291</t>
        </is>
      </c>
      <c r="B1285" s="43" t="inlineStr">
        <is>
          <t>D611588</t>
        </is>
      </c>
      <c r="C1285" s="43" t="inlineStr">
        <is>
          <t>239-CRBU</t>
        </is>
      </c>
      <c r="D1285" s="43" t="inlineStr">
        <is>
          <t>FJZP</t>
        </is>
      </c>
      <c r="E1285" s="43" t="inlineStr">
        <is>
          <t>MCGA</t>
        </is>
      </c>
      <c r="F1285" s="43" t="inlineStr">
        <is>
          <t>17-102236-02</t>
        </is>
      </c>
      <c r="G1285" s="43" t="inlineStr">
        <is>
          <t>OTHER_SCOPE_ITEM</t>
        </is>
      </c>
      <c r="H1285" s="43" t="inlineStr"/>
      <c r="I1285" s="43" t="inlineStr">
        <is>
          <t>Expired</t>
        </is>
      </c>
      <c r="J1285" s="32" t="n">
        <v>46277</v>
      </c>
      <c r="K1285" s="32" t="n">
        <v>46205</v>
      </c>
      <c r="L1285" s="43" t="inlineStr">
        <is>
          <t>1342</t>
        </is>
      </c>
      <c r="M1285" s="43" t="n">
        <v>1</v>
      </c>
      <c r="N1285" s="33" t="inlineStr"/>
      <c r="O1285" s="43" t="inlineStr">
        <is>
          <t>UNVERIFIED</t>
        </is>
      </c>
      <c r="P1285" s="43" t="inlineStr">
        <is>
          <t>Pending Review</t>
        </is>
      </c>
      <c r="Q1285" s="33" t="inlineStr">
        <is>
          <t>Confirmar SKU/PCBA revision, PN exacto en Common DB, WO, BU, vigencia, planta y aprobacion firmada.</t>
        </is>
      </c>
    </row>
    <row r="1286">
      <c r="A1286" s="43" t="inlineStr">
        <is>
          <t>CTANJZ05291</t>
        </is>
      </c>
      <c r="B1286" s="43" t="inlineStr">
        <is>
          <t>D611588</t>
        </is>
      </c>
      <c r="C1286" s="43" t="inlineStr">
        <is>
          <t>239-CRBU</t>
        </is>
      </c>
      <c r="D1286" s="43" t="inlineStr">
        <is>
          <t>FJZP</t>
        </is>
      </c>
      <c r="E1286" s="43" t="inlineStr">
        <is>
          <t>MCGA</t>
        </is>
      </c>
      <c r="F1286" s="43" t="inlineStr">
        <is>
          <t>68-7268-05</t>
        </is>
      </c>
      <c r="G1286" s="43" t="inlineStr">
        <is>
          <t>OTHER_SCOPE_ITEM</t>
        </is>
      </c>
      <c r="H1286" s="43" t="inlineStr"/>
      <c r="I1286" s="43" t="inlineStr">
        <is>
          <t>Expired</t>
        </is>
      </c>
      <c r="J1286" s="32" t="n">
        <v>46277</v>
      </c>
      <c r="K1286" s="32" t="n">
        <v>46205</v>
      </c>
      <c r="L1286" s="43" t="inlineStr">
        <is>
          <t>1343</t>
        </is>
      </c>
      <c r="M1286" s="43" t="n">
        <v>1</v>
      </c>
      <c r="N1286" s="33" t="inlineStr"/>
      <c r="O1286" s="43" t="inlineStr">
        <is>
          <t>UNVERIFIED</t>
        </is>
      </c>
      <c r="P1286" s="43" t="inlineStr">
        <is>
          <t>Pending Review</t>
        </is>
      </c>
      <c r="Q1286" s="33" t="inlineStr">
        <is>
          <t>Confirmar SKU/PCBA revision, PN exacto en Common DB, WO, BU, vigencia, planta y aprobacion firmada.</t>
        </is>
      </c>
    </row>
    <row r="1287">
      <c r="A1287" s="43" t="inlineStr">
        <is>
          <t>CTANJZ05291</t>
        </is>
      </c>
      <c r="B1287" s="43" t="inlineStr">
        <is>
          <t>D611588</t>
        </is>
      </c>
      <c r="C1287" s="43" t="inlineStr">
        <is>
          <t>239-CRBU</t>
        </is>
      </c>
      <c r="D1287" s="43" t="inlineStr">
        <is>
          <t>FJZP</t>
        </is>
      </c>
      <c r="E1287" s="43" t="inlineStr">
        <is>
          <t>MCGA</t>
        </is>
      </c>
      <c r="F1287" s="43" t="inlineStr">
        <is>
          <t>73-102363-05</t>
        </is>
      </c>
      <c r="G1287" s="43" t="inlineStr">
        <is>
          <t>BOARD_PN_CANDIDATE</t>
        </is>
      </c>
      <c r="H1287" s="43" t="inlineStr"/>
      <c r="I1287" s="43" t="inlineStr">
        <is>
          <t>Expired</t>
        </is>
      </c>
      <c r="J1287" s="32" t="n">
        <v>46277</v>
      </c>
      <c r="K1287" s="32" t="n">
        <v>46205</v>
      </c>
      <c r="L1287" s="43" t="inlineStr">
        <is>
          <t>1344</t>
        </is>
      </c>
      <c r="M1287" s="43" t="n">
        <v>1</v>
      </c>
      <c r="N1287" s="33" t="inlineStr"/>
      <c r="O1287" s="43" t="inlineStr">
        <is>
          <t>UNVERIFIED</t>
        </is>
      </c>
      <c r="P1287" s="43" t="inlineStr">
        <is>
          <t>Pending Review</t>
        </is>
      </c>
      <c r="Q1287" s="33" t="inlineStr">
        <is>
          <t>Confirmar SKU/PCBA revision, PN exacto en Common DB, WO, BU, vigencia, planta y aprobacion firmada.</t>
        </is>
      </c>
    </row>
    <row r="1288">
      <c r="A1288" s="43" t="inlineStr">
        <is>
          <t>CTANJZ05292</t>
        </is>
      </c>
      <c r="B1288" s="43" t="inlineStr">
        <is>
          <t>D612032</t>
        </is>
      </c>
      <c r="C1288" s="43" t="inlineStr">
        <is>
          <t>239-CRBU</t>
        </is>
      </c>
      <c r="D1288" s="43" t="inlineStr">
        <is>
          <t>FJZP</t>
        </is>
      </c>
      <c r="E1288" s="43" t="inlineStr">
        <is>
          <t>MCGA</t>
        </is>
      </c>
      <c r="F1288" s="43" t="inlineStr">
        <is>
          <t>15-104553-01</t>
        </is>
      </c>
      <c r="G1288" s="43" t="inlineStr">
        <is>
          <t>OTHER_SCOPE_ITEM</t>
        </is>
      </c>
      <c r="H1288" s="43" t="inlineStr"/>
      <c r="I1288" s="43" t="inlineStr">
        <is>
          <t>Extended</t>
        </is>
      </c>
      <c r="J1288" s="32" t="n">
        <v>46367</v>
      </c>
      <c r="K1288" s="32" t="n">
        <v>46205</v>
      </c>
      <c r="L1288" s="43" t="inlineStr">
        <is>
          <t>332</t>
        </is>
      </c>
      <c r="M1288" s="43" t="n">
        <v>1</v>
      </c>
      <c r="N1288" s="33" t="inlineStr"/>
      <c r="O1288" s="43" t="inlineStr">
        <is>
          <t>UNVERIFIED</t>
        </is>
      </c>
      <c r="P1288" s="43" t="inlineStr">
        <is>
          <t>Pending Review</t>
        </is>
      </c>
      <c r="Q1288" s="33" t="inlineStr">
        <is>
          <t>Confirmar SKU/PCBA revision, PN exacto en Common DB, WO, BU, vigencia, planta y aprobacion firmada.</t>
        </is>
      </c>
    </row>
    <row r="1289">
      <c r="A1289" s="43" t="inlineStr">
        <is>
          <t>CTANJZ05292</t>
        </is>
      </c>
      <c r="B1289" s="43" t="inlineStr">
        <is>
          <t>D612032</t>
        </is>
      </c>
      <c r="C1289" s="43" t="inlineStr">
        <is>
          <t>239-CRBU</t>
        </is>
      </c>
      <c r="D1289" s="43" t="inlineStr">
        <is>
          <t>FJZP</t>
        </is>
      </c>
      <c r="E1289" s="43" t="inlineStr">
        <is>
          <t>MCGA</t>
        </is>
      </c>
      <c r="F1289" s="43" t="inlineStr">
        <is>
          <t>15-8031-01</t>
        </is>
      </c>
      <c r="G1289" s="43" t="inlineStr">
        <is>
          <t>OTHER_SCOPE_ITEM</t>
        </is>
      </c>
      <c r="H1289" s="43" t="inlineStr"/>
      <c r="I1289" s="43" t="inlineStr">
        <is>
          <t>Extended</t>
        </is>
      </c>
      <c r="J1289" s="32" t="n">
        <v>46367</v>
      </c>
      <c r="K1289" s="32" t="n">
        <v>46205</v>
      </c>
      <c r="L1289" s="43" t="inlineStr">
        <is>
          <t>333</t>
        </is>
      </c>
      <c r="M1289" s="43" t="n">
        <v>1</v>
      </c>
      <c r="N1289" s="33" t="inlineStr"/>
      <c r="O1289" s="43" t="inlineStr">
        <is>
          <t>UNVERIFIED</t>
        </is>
      </c>
      <c r="P1289" s="43" t="inlineStr">
        <is>
          <t>Pending Review</t>
        </is>
      </c>
      <c r="Q1289" s="33" t="inlineStr">
        <is>
          <t>Confirmar SKU/PCBA revision, PN exacto en Common DB, WO, BU, vigencia, planta y aprobacion firmada.</t>
        </is>
      </c>
    </row>
    <row r="1290">
      <c r="A1290" s="43" t="inlineStr">
        <is>
          <t>CTANJZ05292</t>
        </is>
      </c>
      <c r="B1290" s="43" t="inlineStr">
        <is>
          <t>D612032</t>
        </is>
      </c>
      <c r="C1290" s="43" t="inlineStr">
        <is>
          <t>239-CRBU</t>
        </is>
      </c>
      <c r="D1290" s="43" t="inlineStr">
        <is>
          <t>FJZP</t>
        </is>
      </c>
      <c r="E1290" s="43" t="inlineStr">
        <is>
          <t>MCGA</t>
        </is>
      </c>
      <c r="F1290" s="43" t="inlineStr">
        <is>
          <t>15-8031-02</t>
        </is>
      </c>
      <c r="G1290" s="43" t="inlineStr">
        <is>
          <t>OTHER_SCOPE_ITEM</t>
        </is>
      </c>
      <c r="H1290" s="43" t="inlineStr"/>
      <c r="I1290" s="43" t="inlineStr">
        <is>
          <t>Extended</t>
        </is>
      </c>
      <c r="J1290" s="32" t="n">
        <v>46367</v>
      </c>
      <c r="K1290" s="32" t="n">
        <v>46205</v>
      </c>
      <c r="L1290" s="43" t="inlineStr">
        <is>
          <t>334</t>
        </is>
      </c>
      <c r="M1290" s="43" t="n">
        <v>1</v>
      </c>
      <c r="N1290" s="33" t="inlineStr"/>
      <c r="O1290" s="43" t="inlineStr">
        <is>
          <t>UNVERIFIED</t>
        </is>
      </c>
      <c r="P1290" s="43" t="inlineStr">
        <is>
          <t>Pending Review</t>
        </is>
      </c>
      <c r="Q1290" s="33" t="inlineStr">
        <is>
          <t>Confirmar SKU/PCBA revision, PN exacto en Common DB, WO, BU, vigencia, planta y aprobacion firmada.</t>
        </is>
      </c>
    </row>
    <row r="1291">
      <c r="A1291" s="43" t="inlineStr">
        <is>
          <t>CTANJZ05292</t>
        </is>
      </c>
      <c r="B1291" s="43" t="inlineStr">
        <is>
          <t>D612032</t>
        </is>
      </c>
      <c r="C1291" s="43" t="inlineStr">
        <is>
          <t>239-CRBU</t>
        </is>
      </c>
      <c r="D1291" s="43" t="inlineStr">
        <is>
          <t>FJZP</t>
        </is>
      </c>
      <c r="E1291" s="43" t="inlineStr">
        <is>
          <t>MCGA</t>
        </is>
      </c>
      <c r="F1291" s="43" t="inlineStr">
        <is>
          <t>15-9532-01</t>
        </is>
      </c>
      <c r="G1291" s="43" t="inlineStr">
        <is>
          <t>OTHER_SCOPE_ITEM</t>
        </is>
      </c>
      <c r="H1291" s="43" t="inlineStr"/>
      <c r="I1291" s="43" t="inlineStr">
        <is>
          <t>Extended</t>
        </is>
      </c>
      <c r="J1291" s="32" t="n">
        <v>46367</v>
      </c>
      <c r="K1291" s="32" t="n">
        <v>46205</v>
      </c>
      <c r="L1291" s="43" t="inlineStr">
        <is>
          <t>335</t>
        </is>
      </c>
      <c r="M1291" s="43" t="n">
        <v>1</v>
      </c>
      <c r="N1291" s="33" t="inlineStr"/>
      <c r="O1291" s="43" t="inlineStr">
        <is>
          <t>UNVERIFIED</t>
        </is>
      </c>
      <c r="P1291" s="43" t="inlineStr">
        <is>
          <t>Pending Review</t>
        </is>
      </c>
      <c r="Q1291" s="33" t="inlineStr">
        <is>
          <t>Confirmar SKU/PCBA revision, PN exacto en Common DB, WO, BU, vigencia, planta y aprobacion firmada.</t>
        </is>
      </c>
    </row>
    <row r="1292">
      <c r="A1292" s="43" t="inlineStr">
        <is>
          <t>CTANJZ05292</t>
        </is>
      </c>
      <c r="B1292" s="43" t="inlineStr">
        <is>
          <t>D612032</t>
        </is>
      </c>
      <c r="C1292" s="43" t="inlineStr">
        <is>
          <t>239-CRBU</t>
        </is>
      </c>
      <c r="D1292" s="43" t="inlineStr">
        <is>
          <t>FJZP</t>
        </is>
      </c>
      <c r="E1292" s="43" t="inlineStr">
        <is>
          <t>MCGA</t>
        </is>
      </c>
      <c r="F1292" s="43" t="inlineStr">
        <is>
          <t>73-102362-05</t>
        </is>
      </c>
      <c r="G1292" s="43" t="inlineStr">
        <is>
          <t>BOARD_PN_CANDIDATE</t>
        </is>
      </c>
      <c r="H1292" s="43" t="inlineStr"/>
      <c r="I1292" s="43" t="inlineStr">
        <is>
          <t>Extended</t>
        </is>
      </c>
      <c r="J1292" s="32" t="n">
        <v>46367</v>
      </c>
      <c r="K1292" s="32" t="n">
        <v>46205</v>
      </c>
      <c r="L1292" s="43" t="inlineStr">
        <is>
          <t>336</t>
        </is>
      </c>
      <c r="M1292" s="43" t="n">
        <v>1</v>
      </c>
      <c r="N1292" s="33" t="inlineStr"/>
      <c r="O1292" s="43" t="inlineStr">
        <is>
          <t>UNVERIFIED</t>
        </is>
      </c>
      <c r="P1292" s="43" t="inlineStr">
        <is>
          <t>Pending Review</t>
        </is>
      </c>
      <c r="Q1292" s="33" t="inlineStr">
        <is>
          <t>Confirmar SKU/PCBA revision, PN exacto en Common DB, WO, BU, vigencia, planta y aprobacion firmada.</t>
        </is>
      </c>
    </row>
    <row r="1293">
      <c r="A1293" s="43" t="inlineStr">
        <is>
          <t>CTANJZ05292</t>
        </is>
      </c>
      <c r="B1293" s="43" t="inlineStr">
        <is>
          <t>D612032</t>
        </is>
      </c>
      <c r="C1293" s="43" t="inlineStr">
        <is>
          <t>239-CRBU</t>
        </is>
      </c>
      <c r="D1293" s="43" t="inlineStr">
        <is>
          <t>FJZP</t>
        </is>
      </c>
      <c r="E1293" s="43" t="inlineStr">
        <is>
          <t>MCGA</t>
        </is>
      </c>
      <c r="F1293" s="43" t="inlineStr">
        <is>
          <t>73-102363-05</t>
        </is>
      </c>
      <c r="G1293" s="43" t="inlineStr">
        <is>
          <t>BOARD_PN_CANDIDATE</t>
        </is>
      </c>
      <c r="H1293" s="43" t="inlineStr"/>
      <c r="I1293" s="43" t="inlineStr">
        <is>
          <t>Extended</t>
        </is>
      </c>
      <c r="J1293" s="32" t="n">
        <v>46367</v>
      </c>
      <c r="K1293" s="32" t="n">
        <v>46205</v>
      </c>
      <c r="L1293" s="43" t="inlineStr">
        <is>
          <t>337</t>
        </is>
      </c>
      <c r="M1293" s="43" t="n">
        <v>1</v>
      </c>
      <c r="N1293" s="33" t="inlineStr"/>
      <c r="O1293" s="43" t="inlineStr">
        <is>
          <t>UNVERIFIED</t>
        </is>
      </c>
      <c r="P1293" s="43" t="inlineStr">
        <is>
          <t>Pending Review</t>
        </is>
      </c>
      <c r="Q1293" s="33" t="inlineStr">
        <is>
          <t>Confirmar SKU/PCBA revision, PN exacto en Common DB, WO, BU, vigencia, planta y aprobacion firmada.</t>
        </is>
      </c>
    </row>
    <row r="1294">
      <c r="A1294" s="43" t="inlineStr">
        <is>
          <t>CTANJZ05292</t>
        </is>
      </c>
      <c r="B1294" s="43" t="inlineStr">
        <is>
          <t>D612032</t>
        </is>
      </c>
      <c r="C1294" s="43" t="inlineStr">
        <is>
          <t>239-CRBU</t>
        </is>
      </c>
      <c r="D1294" s="43" t="inlineStr">
        <is>
          <t>FJZP</t>
        </is>
      </c>
      <c r="E1294" s="43" t="inlineStr">
        <is>
          <t>MCGA</t>
        </is>
      </c>
      <c r="F1294" s="43" t="inlineStr">
        <is>
          <t>73-20922-04</t>
        </is>
      </c>
      <c r="G1294" s="43" t="inlineStr">
        <is>
          <t>BOARD_PN_CANDIDATE</t>
        </is>
      </c>
      <c r="H1294" s="43" t="inlineStr"/>
      <c r="I1294" s="43" t="inlineStr">
        <is>
          <t>Expired</t>
        </is>
      </c>
      <c r="J1294" s="32" t="n">
        <v>46278</v>
      </c>
      <c r="K1294" s="32" t="n"/>
      <c r="L1294" s="43" t="inlineStr">
        <is>
          <t>189</t>
        </is>
      </c>
      <c r="M1294" s="43" t="n">
        <v>1</v>
      </c>
      <c r="N1294" s="33" t="inlineStr"/>
      <c r="O1294" s="43" t="inlineStr">
        <is>
          <t>UNVERIFIED</t>
        </is>
      </c>
      <c r="P1294" s="43" t="inlineStr">
        <is>
          <t>Pending Review</t>
        </is>
      </c>
      <c r="Q1294" s="33" t="inlineStr">
        <is>
          <t>Confirmar SKU/PCBA revision, PN exacto en Common DB, WO, BU, vigencia, planta y aprobacion firmada.</t>
        </is>
      </c>
    </row>
    <row r="1295">
      <c r="A1295" s="43" t="inlineStr">
        <is>
          <t>CTANJZ05295</t>
        </is>
      </c>
      <c r="B1295" s="43" t="inlineStr">
        <is>
          <t>D611861</t>
        </is>
      </c>
      <c r="C1295" s="43" t="inlineStr">
        <is>
          <t>037-STBU</t>
        </is>
      </c>
      <c r="D1295" s="43" t="inlineStr">
        <is>
          <t>FJZP</t>
        </is>
      </c>
      <c r="E1295" s="43" t="inlineStr">
        <is>
          <t>MCGA</t>
        </is>
      </c>
      <c r="F1295" s="43" t="inlineStr">
        <is>
          <t>68-104007-02</t>
        </is>
      </c>
      <c r="G1295" s="43" t="inlineStr">
        <is>
          <t>OTHER_SCOPE_ITEM</t>
        </is>
      </c>
      <c r="H1295" s="43" t="inlineStr"/>
      <c r="I1295" s="43" t="inlineStr">
        <is>
          <t>Expired</t>
        </is>
      </c>
      <c r="J1295" s="32" t="n">
        <v>46279</v>
      </c>
      <c r="K1295" s="32" t="n">
        <v>46210</v>
      </c>
      <c r="L1295" s="43" t="inlineStr">
        <is>
          <t>1334</t>
        </is>
      </c>
      <c r="M1295" s="43" t="n">
        <v>1</v>
      </c>
      <c r="N1295" s="33" t="inlineStr"/>
      <c r="O1295" s="43" t="inlineStr">
        <is>
          <t>UNVERIFIED</t>
        </is>
      </c>
      <c r="P1295" s="43" t="inlineStr">
        <is>
          <t>Pending Review</t>
        </is>
      </c>
      <c r="Q1295" s="33" t="inlineStr">
        <is>
          <t>Confirmar SKU/PCBA revision, PN exacto en Common DB, WO, BU, vigencia, planta y aprobacion firmada.</t>
        </is>
      </c>
    </row>
    <row r="1296">
      <c r="A1296" s="43" t="inlineStr">
        <is>
          <t>CTANJZ05297</t>
        </is>
      </c>
      <c r="B1296" s="43" t="inlineStr">
        <is>
          <t>D612129</t>
        </is>
      </c>
      <c r="C1296" s="43" t="inlineStr">
        <is>
          <t>035-CVEBU</t>
        </is>
      </c>
      <c r="D1296" s="43" t="inlineStr">
        <is>
          <t>FJZP</t>
        </is>
      </c>
      <c r="E1296" s="43" t="inlineStr">
        <is>
          <t>MCGA</t>
        </is>
      </c>
      <c r="F1296" s="43" t="inlineStr">
        <is>
          <t>74-126086-02</t>
        </is>
      </c>
      <c r="G1296" s="43" t="inlineStr">
        <is>
          <t>OTHER_SCOPE_ITEM</t>
        </is>
      </c>
      <c r="H1296" s="43" t="inlineStr"/>
      <c r="I1296" s="43" t="inlineStr">
        <is>
          <t>Expired</t>
        </is>
      </c>
      <c r="J1296" s="32" t="n">
        <v>46279</v>
      </c>
      <c r="K1296" s="32" t="n">
        <v>46203</v>
      </c>
      <c r="L1296" s="43" t="inlineStr">
        <is>
          <t>1333</t>
        </is>
      </c>
      <c r="M1296" s="43" t="n">
        <v>1</v>
      </c>
      <c r="N1296" s="33" t="inlineStr"/>
      <c r="O1296" s="43" t="inlineStr">
        <is>
          <t>UNVERIFIED</t>
        </is>
      </c>
      <c r="P1296" s="43" t="inlineStr">
        <is>
          <t>Pending Review</t>
        </is>
      </c>
      <c r="Q1296" s="33" t="inlineStr">
        <is>
          <t>Confirmar SKU/PCBA revision, PN exacto en Common DB, WO, BU, vigencia, planta y aprobacion firmada.</t>
        </is>
      </c>
    </row>
    <row r="1297">
      <c r="A1297" s="43" t="inlineStr">
        <is>
          <t>CTANJZ05298</t>
        </is>
      </c>
      <c r="B1297" s="43" t="inlineStr">
        <is>
          <t>D612004</t>
        </is>
      </c>
      <c r="C1297" s="43" t="inlineStr">
        <is>
          <t>239-CRBU</t>
        </is>
      </c>
      <c r="D1297" s="43" t="inlineStr">
        <is>
          <t>FJZP</t>
        </is>
      </c>
      <c r="E1297" s="43" t="inlineStr">
        <is>
          <t>MCGA</t>
        </is>
      </c>
      <c r="F1297" s="43" t="inlineStr">
        <is>
          <t>12-5663-01</t>
        </is>
      </c>
      <c r="G1297" s="43" t="inlineStr">
        <is>
          <t>OTHER_SCOPE_ITEM</t>
        </is>
      </c>
      <c r="H1297" s="43" t="inlineStr"/>
      <c r="I1297" s="43" t="inlineStr">
        <is>
          <t>Expired</t>
        </is>
      </c>
      <c r="J1297" s="32" t="n">
        <v>46280</v>
      </c>
      <c r="K1297" s="32" t="n">
        <v>46218</v>
      </c>
      <c r="L1297" s="43" t="inlineStr">
        <is>
          <t>1330</t>
        </is>
      </c>
      <c r="M1297" s="43" t="n">
        <v>1</v>
      </c>
      <c r="N1297" s="33" t="inlineStr"/>
      <c r="O1297" s="43" t="inlineStr">
        <is>
          <t>UNVERIFIED</t>
        </is>
      </c>
      <c r="P1297" s="43" t="inlineStr">
        <is>
          <t>Pending Review</t>
        </is>
      </c>
      <c r="Q1297" s="33" t="inlineStr">
        <is>
          <t>Confirmar SKU/PCBA revision, PN exacto en Common DB, WO, BU, vigencia, planta y aprobacion firmada.</t>
        </is>
      </c>
    </row>
    <row r="1298">
      <c r="A1298" s="43" t="inlineStr">
        <is>
          <t>CTANJZ05298</t>
        </is>
      </c>
      <c r="B1298" s="43" t="inlineStr">
        <is>
          <t>D612004</t>
        </is>
      </c>
      <c r="C1298" s="43" t="inlineStr">
        <is>
          <t>239-CRBU</t>
        </is>
      </c>
      <c r="D1298" s="43" t="inlineStr">
        <is>
          <t>FJZP</t>
        </is>
      </c>
      <c r="E1298" s="43" t="inlineStr">
        <is>
          <t>MCGA</t>
        </is>
      </c>
      <c r="F1298" s="43" t="inlineStr">
        <is>
          <t>68-7393-03</t>
        </is>
      </c>
      <c r="G1298" s="43" t="inlineStr">
        <is>
          <t>OTHER_SCOPE_ITEM</t>
        </is>
      </c>
      <c r="H1298" s="43" t="inlineStr"/>
      <c r="I1298" s="43" t="inlineStr">
        <is>
          <t>Expired</t>
        </is>
      </c>
      <c r="J1298" s="32" t="n">
        <v>46280</v>
      </c>
      <c r="K1298" s="32" t="n">
        <v>46218</v>
      </c>
      <c r="L1298" s="43" t="inlineStr">
        <is>
          <t>1331</t>
        </is>
      </c>
      <c r="M1298" s="43" t="n">
        <v>1</v>
      </c>
      <c r="N1298" s="33" t="inlineStr"/>
      <c r="O1298" s="43" t="inlineStr">
        <is>
          <t>UNVERIFIED</t>
        </is>
      </c>
      <c r="P1298" s="43" t="inlineStr">
        <is>
          <t>Pending Review</t>
        </is>
      </c>
      <c r="Q1298" s="33" t="inlineStr">
        <is>
          <t>Confirmar SKU/PCBA revision, PN exacto en Common DB, WO, BU, vigencia, planta y aprobacion firmada.</t>
        </is>
      </c>
    </row>
    <row r="1299">
      <c r="A1299" s="43" t="inlineStr">
        <is>
          <t>CTANJZ05298</t>
        </is>
      </c>
      <c r="B1299" s="43" t="inlineStr">
        <is>
          <t>D612004</t>
        </is>
      </c>
      <c r="C1299" s="43" t="inlineStr">
        <is>
          <t>239-CRBU</t>
        </is>
      </c>
      <c r="D1299" s="43" t="inlineStr">
        <is>
          <t>FJZP</t>
        </is>
      </c>
      <c r="E1299" s="43" t="inlineStr">
        <is>
          <t>MCGA</t>
        </is>
      </c>
      <c r="F1299" s="43" t="inlineStr">
        <is>
          <t>73-20516-05</t>
        </is>
      </c>
      <c r="G1299" s="43" t="inlineStr">
        <is>
          <t>BOARD_PN_CANDIDATE</t>
        </is>
      </c>
      <c r="H1299" s="43" t="inlineStr"/>
      <c r="I1299" s="43" t="inlineStr">
        <is>
          <t>Expired</t>
        </is>
      </c>
      <c r="J1299" s="32" t="n">
        <v>46280</v>
      </c>
      <c r="K1299" s="32" t="n">
        <v>46218</v>
      </c>
      <c r="L1299" s="43" t="inlineStr">
        <is>
          <t>1332</t>
        </is>
      </c>
      <c r="M1299" s="43" t="n">
        <v>1</v>
      </c>
      <c r="N1299" s="33" t="inlineStr"/>
      <c r="O1299" s="43" t="inlineStr">
        <is>
          <t>UNVERIFIED</t>
        </is>
      </c>
      <c r="P1299" s="43" t="inlineStr">
        <is>
          <t>Pending Review</t>
        </is>
      </c>
      <c r="Q1299" s="33" t="inlineStr">
        <is>
          <t>Confirmar SKU/PCBA revision, PN exacto en Common DB, WO, BU, vigencia, planta y aprobacion firmada.</t>
        </is>
      </c>
    </row>
    <row r="1300">
      <c r="A1300" s="43" t="inlineStr">
        <is>
          <t>CTANJZ05299</t>
        </is>
      </c>
      <c r="B1300" s="43" t="inlineStr">
        <is>
          <t>DP526170</t>
        </is>
      </c>
      <c r="C1300" s="43" t="inlineStr">
        <is>
          <t>035-CVEBU</t>
        </is>
      </c>
      <c r="D1300" s="43" t="inlineStr">
        <is>
          <t>FJZP</t>
        </is>
      </c>
      <c r="E1300" s="43" t="inlineStr">
        <is>
          <t>MCGA</t>
        </is>
      </c>
      <c r="F1300" s="43" t="inlineStr">
        <is>
          <t>28-104097-06</t>
        </is>
      </c>
      <c r="G1300" s="43" t="inlineStr">
        <is>
          <t>BARE_PCB_PN_CANDIDATE</t>
        </is>
      </c>
      <c r="H1300" s="43" t="inlineStr"/>
      <c r="I1300" s="43" t="inlineStr">
        <is>
          <t>Expired</t>
        </is>
      </c>
      <c r="J1300" s="32" t="n">
        <v>46223</v>
      </c>
      <c r="K1300" s="32" t="n"/>
      <c r="L1300" s="43" t="inlineStr">
        <is>
          <t>176</t>
        </is>
      </c>
      <c r="M1300" s="43" t="n">
        <v>1</v>
      </c>
      <c r="N1300" s="33" t="inlineStr"/>
      <c r="O1300" s="43" t="inlineStr">
        <is>
          <t>UNVERIFIED</t>
        </is>
      </c>
      <c r="P1300" s="43" t="inlineStr">
        <is>
          <t>Pending Review</t>
        </is>
      </c>
      <c r="Q1300" s="33" t="inlineStr">
        <is>
          <t>Confirmar SKU/PCBA revision, PN exacto en Common DB, WO, BU, vigencia, planta y aprobacion firmada.</t>
        </is>
      </c>
    </row>
    <row r="1301">
      <c r="A1301" s="43" t="inlineStr">
        <is>
          <t>CTANJZ05299</t>
        </is>
      </c>
      <c r="B1301" s="43" t="inlineStr">
        <is>
          <t>DP526170</t>
        </is>
      </c>
      <c r="C1301" s="43" t="inlineStr">
        <is>
          <t>035-CVEBU</t>
        </is>
      </c>
      <c r="D1301" s="43" t="inlineStr">
        <is>
          <t>FJZP</t>
        </is>
      </c>
      <c r="E1301" s="43" t="inlineStr">
        <is>
          <t>MCGA</t>
        </is>
      </c>
      <c r="F1301" s="43" t="inlineStr">
        <is>
          <t>28-104098-04</t>
        </is>
      </c>
      <c r="G1301" s="43" t="inlineStr">
        <is>
          <t>BARE_PCB_PN_CANDIDATE</t>
        </is>
      </c>
      <c r="H1301" s="43" t="inlineStr"/>
      <c r="I1301" s="43" t="inlineStr">
        <is>
          <t>Expired</t>
        </is>
      </c>
      <c r="J1301" s="32" t="n">
        <v>46223</v>
      </c>
      <c r="K1301" s="32" t="n"/>
      <c r="L1301" s="43" t="inlineStr">
        <is>
          <t>177</t>
        </is>
      </c>
      <c r="M1301" s="43" t="n">
        <v>1</v>
      </c>
      <c r="N1301" s="33" t="inlineStr"/>
      <c r="O1301" s="43" t="inlineStr">
        <is>
          <t>UNVERIFIED</t>
        </is>
      </c>
      <c r="P1301" s="43" t="inlineStr">
        <is>
          <t>Pending Review</t>
        </is>
      </c>
      <c r="Q1301" s="33" t="inlineStr">
        <is>
          <t>Confirmar SKU/PCBA revision, PN exacto en Common DB, WO, BU, vigencia, planta y aprobacion firmada.</t>
        </is>
      </c>
    </row>
    <row r="1302">
      <c r="A1302" s="43" t="inlineStr">
        <is>
          <t>CTANJZ05301</t>
        </is>
      </c>
      <c r="B1302" s="43" t="inlineStr">
        <is>
          <t>D611612</t>
        </is>
      </c>
      <c r="C1302" s="43" t="inlineStr">
        <is>
          <t>239-CRBU</t>
        </is>
      </c>
      <c r="D1302" s="43" t="inlineStr">
        <is>
          <t>FJZP</t>
        </is>
      </c>
      <c r="E1302" s="43" t="inlineStr">
        <is>
          <t>MCGA</t>
        </is>
      </c>
      <c r="F1302" s="43" t="inlineStr">
        <is>
          <t>15-14484-01</t>
        </is>
      </c>
      <c r="G1302" s="43" t="inlineStr">
        <is>
          <t>OTHER_SCOPE_ITEM</t>
        </is>
      </c>
      <c r="H1302" s="43" t="inlineStr"/>
      <c r="I1302" s="43" t="inlineStr">
        <is>
          <t>Expired</t>
        </is>
      </c>
      <c r="J1302" s="32" t="n">
        <v>46281</v>
      </c>
      <c r="K1302" s="32" t="n"/>
      <c r="L1302" s="43" t="inlineStr">
        <is>
          <t>1129</t>
        </is>
      </c>
      <c r="M1302" s="43" t="n">
        <v>1</v>
      </c>
      <c r="N1302" s="33" t="inlineStr"/>
      <c r="O1302" s="43" t="inlineStr">
        <is>
          <t>UNVERIFIED</t>
        </is>
      </c>
      <c r="P1302" s="43" t="inlineStr">
        <is>
          <t>Pending Review</t>
        </is>
      </c>
      <c r="Q1302" s="33" t="inlineStr">
        <is>
          <t>Confirmar SKU/PCBA revision, PN exacto en Common DB, WO, BU, vigencia, planta y aprobacion firmada.</t>
        </is>
      </c>
    </row>
    <row r="1303">
      <c r="A1303" s="43" t="inlineStr">
        <is>
          <t>CTANJZ05301</t>
        </is>
      </c>
      <c r="B1303" s="43" t="inlineStr">
        <is>
          <t>D611612</t>
        </is>
      </c>
      <c r="C1303" s="43" t="inlineStr">
        <is>
          <t>239-CRBU</t>
        </is>
      </c>
      <c r="D1303" s="43" t="inlineStr">
        <is>
          <t>FJZP</t>
        </is>
      </c>
      <c r="E1303" s="43" t="inlineStr">
        <is>
          <t>MCGA</t>
        </is>
      </c>
      <c r="F1303" s="43" t="inlineStr">
        <is>
          <t>73-101492-04</t>
        </is>
      </c>
      <c r="G1303" s="43" t="inlineStr">
        <is>
          <t>BOARD_PN_CANDIDATE</t>
        </is>
      </c>
      <c r="H1303" s="43" t="inlineStr"/>
      <c r="I1303" s="43" t="inlineStr">
        <is>
          <t>Expired</t>
        </is>
      </c>
      <c r="J1303" s="32" t="n">
        <v>46281</v>
      </c>
      <c r="K1303" s="32" t="n"/>
      <c r="L1303" s="43" t="inlineStr">
        <is>
          <t>1130</t>
        </is>
      </c>
      <c r="M1303" s="43" t="n">
        <v>1</v>
      </c>
      <c r="N1303" s="33" t="inlineStr"/>
      <c r="O1303" s="43" t="inlineStr">
        <is>
          <t>UNVERIFIED</t>
        </is>
      </c>
      <c r="P1303" s="43" t="inlineStr">
        <is>
          <t>Pending Review</t>
        </is>
      </c>
      <c r="Q1303" s="33" t="inlineStr">
        <is>
          <t>Confirmar SKU/PCBA revision, PN exacto en Common DB, WO, BU, vigencia, planta y aprobacion firmada.</t>
        </is>
      </c>
    </row>
    <row r="1304">
      <c r="A1304" s="43" t="inlineStr">
        <is>
          <t>CTANJZ05301</t>
        </is>
      </c>
      <c r="B1304" s="43" t="inlineStr">
        <is>
          <t>D611612</t>
        </is>
      </c>
      <c r="C1304" s="43" t="inlineStr">
        <is>
          <t>239-CRBU</t>
        </is>
      </c>
      <c r="D1304" s="43" t="inlineStr">
        <is>
          <t>FJZP</t>
        </is>
      </c>
      <c r="E1304" s="43" t="inlineStr">
        <is>
          <t>MCGA</t>
        </is>
      </c>
      <c r="F1304" s="43" t="inlineStr">
        <is>
          <t>73-101882-03</t>
        </is>
      </c>
      <c r="G1304" s="43" t="inlineStr">
        <is>
          <t>BOARD_PN_CANDIDATE</t>
        </is>
      </c>
      <c r="H1304" s="43" t="inlineStr"/>
      <c r="I1304" s="43" t="inlineStr">
        <is>
          <t>Expired</t>
        </is>
      </c>
      <c r="J1304" s="32" t="n">
        <v>46281</v>
      </c>
      <c r="K1304" s="32" t="n"/>
      <c r="L1304" s="43" t="inlineStr">
        <is>
          <t>1131</t>
        </is>
      </c>
      <c r="M1304" s="43" t="n">
        <v>1</v>
      </c>
      <c r="N1304" s="33" t="inlineStr"/>
      <c r="O1304" s="43" t="inlineStr">
        <is>
          <t>UNVERIFIED</t>
        </is>
      </c>
      <c r="P1304" s="43" t="inlineStr">
        <is>
          <t>Pending Review</t>
        </is>
      </c>
      <c r="Q1304" s="33" t="inlineStr">
        <is>
          <t>Confirmar SKU/PCBA revision, PN exacto en Common DB, WO, BU, vigencia, planta y aprobacion firmada.</t>
        </is>
      </c>
    </row>
    <row r="1305">
      <c r="A1305" s="43" t="inlineStr">
        <is>
          <t>CTANJZ05301</t>
        </is>
      </c>
      <c r="B1305" s="43" t="inlineStr">
        <is>
          <t>D611612</t>
        </is>
      </c>
      <c r="C1305" s="43" t="inlineStr">
        <is>
          <t>239-CRBU</t>
        </is>
      </c>
      <c r="D1305" s="43" t="inlineStr">
        <is>
          <t>FJZP</t>
        </is>
      </c>
      <c r="E1305" s="43" t="inlineStr">
        <is>
          <t>MCGA</t>
        </is>
      </c>
      <c r="F1305" s="43" t="inlineStr">
        <is>
          <t>73-101883-03</t>
        </is>
      </c>
      <c r="G1305" s="43" t="inlineStr">
        <is>
          <t>BOARD_PN_CANDIDATE</t>
        </is>
      </c>
      <c r="H1305" s="43" t="inlineStr"/>
      <c r="I1305" s="43" t="inlineStr">
        <is>
          <t>Expired</t>
        </is>
      </c>
      <c r="J1305" s="32" t="n">
        <v>46281</v>
      </c>
      <c r="K1305" s="32" t="n"/>
      <c r="L1305" s="43" t="inlineStr">
        <is>
          <t>1132</t>
        </is>
      </c>
      <c r="M1305" s="43" t="n">
        <v>1</v>
      </c>
      <c r="N1305" s="33" t="inlineStr"/>
      <c r="O1305" s="43" t="inlineStr">
        <is>
          <t>UNVERIFIED</t>
        </is>
      </c>
      <c r="P1305" s="43" t="inlineStr">
        <is>
          <t>Pending Review</t>
        </is>
      </c>
      <c r="Q1305" s="33" t="inlineStr">
        <is>
          <t>Confirmar SKU/PCBA revision, PN exacto en Common DB, WO, BU, vigencia, planta y aprobacion firmada.</t>
        </is>
      </c>
    </row>
    <row r="1306">
      <c r="A1306" s="43" t="inlineStr">
        <is>
          <t>CTANJZ05301</t>
        </is>
      </c>
      <c r="B1306" s="43" t="inlineStr">
        <is>
          <t>D611612</t>
        </is>
      </c>
      <c r="C1306" s="43" t="inlineStr">
        <is>
          <t>239-CRBU</t>
        </is>
      </c>
      <c r="D1306" s="43" t="inlineStr">
        <is>
          <t>FJZP</t>
        </is>
      </c>
      <c r="E1306" s="43" t="inlineStr">
        <is>
          <t>MCGA</t>
        </is>
      </c>
      <c r="F1306" s="43" t="inlineStr">
        <is>
          <t>73-19985-06</t>
        </is>
      </c>
      <c r="G1306" s="43" t="inlineStr">
        <is>
          <t>BOARD_PN_CANDIDATE</t>
        </is>
      </c>
      <c r="H1306" s="43" t="inlineStr"/>
      <c r="I1306" s="43" t="inlineStr">
        <is>
          <t>Expired</t>
        </is>
      </c>
      <c r="J1306" s="32" t="n">
        <v>46281</v>
      </c>
      <c r="K1306" s="32" t="n"/>
      <c r="L1306" s="43" t="inlineStr">
        <is>
          <t>1133</t>
        </is>
      </c>
      <c r="M1306" s="43" t="n">
        <v>1</v>
      </c>
      <c r="N1306" s="33" t="inlineStr"/>
      <c r="O1306" s="43" t="inlineStr">
        <is>
          <t>UNVERIFIED</t>
        </is>
      </c>
      <c r="P1306" s="43" t="inlineStr">
        <is>
          <t>Pending Review</t>
        </is>
      </c>
      <c r="Q1306" s="33" t="inlineStr">
        <is>
          <t>Confirmar SKU/PCBA revision, PN exacto en Common DB, WO, BU, vigencia, planta y aprobacion firmada.</t>
        </is>
      </c>
    </row>
    <row r="1307">
      <c r="A1307" s="43" t="inlineStr">
        <is>
          <t>CTANJZ05301</t>
        </is>
      </c>
      <c r="B1307" s="43" t="inlineStr">
        <is>
          <t>D611612</t>
        </is>
      </c>
      <c r="C1307" s="43" t="inlineStr">
        <is>
          <t>239-CRBU</t>
        </is>
      </c>
      <c r="D1307" s="43" t="inlineStr">
        <is>
          <t>FJZP</t>
        </is>
      </c>
      <c r="E1307" s="43" t="inlineStr">
        <is>
          <t>MCGA</t>
        </is>
      </c>
      <c r="F1307" s="43" t="inlineStr">
        <is>
          <t>73-19986-06</t>
        </is>
      </c>
      <c r="G1307" s="43" t="inlineStr">
        <is>
          <t>BOARD_PN_CANDIDATE</t>
        </is>
      </c>
      <c r="H1307" s="43" t="inlineStr"/>
      <c r="I1307" s="43" t="inlineStr">
        <is>
          <t>Expired</t>
        </is>
      </c>
      <c r="J1307" s="32" t="n">
        <v>46281</v>
      </c>
      <c r="K1307" s="32" t="n"/>
      <c r="L1307" s="43" t="inlineStr">
        <is>
          <t>1134</t>
        </is>
      </c>
      <c r="M1307" s="43" t="n">
        <v>1</v>
      </c>
      <c r="N1307" s="33" t="inlineStr"/>
      <c r="O1307" s="43" t="inlineStr">
        <is>
          <t>UNVERIFIED</t>
        </is>
      </c>
      <c r="P1307" s="43" t="inlineStr">
        <is>
          <t>Pending Review</t>
        </is>
      </c>
      <c r="Q1307" s="33" t="inlineStr">
        <is>
          <t>Confirmar SKU/PCBA revision, PN exacto en Common DB, WO, BU, vigencia, planta y aprobacion firmada.</t>
        </is>
      </c>
    </row>
    <row r="1308">
      <c r="A1308" s="43" t="inlineStr">
        <is>
          <t>CTANJZ05301</t>
        </is>
      </c>
      <c r="B1308" s="43" t="inlineStr">
        <is>
          <t>D611612</t>
        </is>
      </c>
      <c r="C1308" s="43" t="inlineStr">
        <is>
          <t>239-CRBU</t>
        </is>
      </c>
      <c r="D1308" s="43" t="inlineStr">
        <is>
          <t>FJZP</t>
        </is>
      </c>
      <c r="E1308" s="43" t="inlineStr">
        <is>
          <t>MCGA</t>
        </is>
      </c>
      <c r="F1308" s="43" t="inlineStr">
        <is>
          <t>73-20327-06</t>
        </is>
      </c>
      <c r="G1308" s="43" t="inlineStr">
        <is>
          <t>BOARD_PN_CANDIDATE</t>
        </is>
      </c>
      <c r="H1308" s="43" t="inlineStr"/>
      <c r="I1308" s="43" t="inlineStr">
        <is>
          <t>Expired</t>
        </is>
      </c>
      <c r="J1308" s="32" t="n">
        <v>46281</v>
      </c>
      <c r="K1308" s="32" t="n"/>
      <c r="L1308" s="43" t="inlineStr">
        <is>
          <t>1135</t>
        </is>
      </c>
      <c r="M1308" s="43" t="n">
        <v>1</v>
      </c>
      <c r="N1308" s="33" t="inlineStr"/>
      <c r="O1308" s="43" t="inlineStr">
        <is>
          <t>UNVERIFIED</t>
        </is>
      </c>
      <c r="P1308" s="43" t="inlineStr">
        <is>
          <t>Pending Review</t>
        </is>
      </c>
      <c r="Q1308" s="33" t="inlineStr">
        <is>
          <t>Confirmar SKU/PCBA revision, PN exacto en Common DB, WO, BU, vigencia, planta y aprobacion firmada.</t>
        </is>
      </c>
    </row>
    <row r="1309">
      <c r="A1309" s="43" t="inlineStr">
        <is>
          <t>CTANJZ05301</t>
        </is>
      </c>
      <c r="B1309" s="43" t="inlineStr">
        <is>
          <t>D611612</t>
        </is>
      </c>
      <c r="C1309" s="43" t="inlineStr">
        <is>
          <t>239-CRBU</t>
        </is>
      </c>
      <c r="D1309" s="43" t="inlineStr">
        <is>
          <t>FJZP</t>
        </is>
      </c>
      <c r="E1309" s="43" t="inlineStr">
        <is>
          <t>MCGA</t>
        </is>
      </c>
      <c r="F1309" s="43" t="inlineStr">
        <is>
          <t>73-20664-04</t>
        </is>
      </c>
      <c r="G1309" s="43" t="inlineStr">
        <is>
          <t>BOARD_PN_CANDIDATE</t>
        </is>
      </c>
      <c r="H1309" s="43" t="inlineStr"/>
      <c r="I1309" s="43" t="inlineStr">
        <is>
          <t>Expired</t>
        </is>
      </c>
      <c r="J1309" s="32" t="n">
        <v>46281</v>
      </c>
      <c r="K1309" s="32" t="n"/>
      <c r="L1309" s="43" t="inlineStr">
        <is>
          <t>1136</t>
        </is>
      </c>
      <c r="M1309" s="43" t="n">
        <v>1</v>
      </c>
      <c r="N1309" s="33" t="inlineStr"/>
      <c r="O1309" s="43" t="inlineStr">
        <is>
          <t>UNVERIFIED</t>
        </is>
      </c>
      <c r="P1309" s="43" t="inlineStr">
        <is>
          <t>Pending Review</t>
        </is>
      </c>
      <c r="Q1309" s="33" t="inlineStr">
        <is>
          <t>Confirmar SKU/PCBA revision, PN exacto en Common DB, WO, BU, vigencia, planta y aprobacion firmada.</t>
        </is>
      </c>
    </row>
    <row r="1310">
      <c r="A1310" s="43" t="inlineStr">
        <is>
          <t>CTANJZ05301</t>
        </is>
      </c>
      <c r="B1310" s="43" t="inlineStr">
        <is>
          <t>D611612</t>
        </is>
      </c>
      <c r="C1310" s="43" t="inlineStr">
        <is>
          <t>239-CRBU</t>
        </is>
      </c>
      <c r="D1310" s="43" t="inlineStr">
        <is>
          <t>FJZP</t>
        </is>
      </c>
      <c r="E1310" s="43" t="inlineStr">
        <is>
          <t>MCGA</t>
        </is>
      </c>
      <c r="F1310" s="43" t="inlineStr">
        <is>
          <t>73-20816-03</t>
        </is>
      </c>
      <c r="G1310" s="43" t="inlineStr">
        <is>
          <t>BOARD_PN_CANDIDATE</t>
        </is>
      </c>
      <c r="H1310" s="43" t="inlineStr"/>
      <c r="I1310" s="43" t="inlineStr">
        <is>
          <t>Expired</t>
        </is>
      </c>
      <c r="J1310" s="32" t="n">
        <v>46281</v>
      </c>
      <c r="K1310" s="32" t="n"/>
      <c r="L1310" s="43" t="inlineStr">
        <is>
          <t>1256</t>
        </is>
      </c>
      <c r="M1310" s="43" t="n">
        <v>1</v>
      </c>
      <c r="N1310" s="33" t="inlineStr"/>
      <c r="O1310" s="43" t="inlineStr">
        <is>
          <t>UNVERIFIED</t>
        </is>
      </c>
      <c r="P1310" s="43" t="inlineStr">
        <is>
          <t>Pending Review</t>
        </is>
      </c>
      <c r="Q1310" s="33" t="inlineStr">
        <is>
          <t>Confirmar SKU/PCBA revision, PN exacto en Common DB, WO, BU, vigencia, planta y aprobacion firmada.</t>
        </is>
      </c>
    </row>
    <row r="1311">
      <c r="A1311" s="43" t="inlineStr">
        <is>
          <t>CTANJZ05301</t>
        </is>
      </c>
      <c r="B1311" s="43" t="inlineStr">
        <is>
          <t>D611612</t>
        </is>
      </c>
      <c r="C1311" s="43" t="inlineStr">
        <is>
          <t>239-CRBU</t>
        </is>
      </c>
      <c r="D1311" s="43" t="inlineStr">
        <is>
          <t>FJZP</t>
        </is>
      </c>
      <c r="E1311" s="43" t="inlineStr">
        <is>
          <t>MCGA</t>
        </is>
      </c>
      <c r="F1311" s="43" t="inlineStr">
        <is>
          <t>73-21577-01</t>
        </is>
      </c>
      <c r="G1311" s="43" t="inlineStr">
        <is>
          <t>BOARD_PN_CANDIDATE</t>
        </is>
      </c>
      <c r="H1311" s="43" t="inlineStr"/>
      <c r="I1311" s="43" t="inlineStr">
        <is>
          <t>Expired</t>
        </is>
      </c>
      <c r="J1311" s="32" t="n">
        <v>46281</v>
      </c>
      <c r="K1311" s="32" t="n"/>
      <c r="L1311" s="43" t="inlineStr">
        <is>
          <t>1257</t>
        </is>
      </c>
      <c r="M1311" s="43" t="n">
        <v>1</v>
      </c>
      <c r="N1311" s="33" t="inlineStr"/>
      <c r="O1311" s="43" t="inlineStr">
        <is>
          <t>UNVERIFIED</t>
        </is>
      </c>
      <c r="P1311" s="43" t="inlineStr">
        <is>
          <t>Pending Review</t>
        </is>
      </c>
      <c r="Q1311" s="33" t="inlineStr">
        <is>
          <t>Confirmar SKU/PCBA revision, PN exacto en Common DB, WO, BU, vigencia, planta y aprobacion firmada.</t>
        </is>
      </c>
    </row>
    <row r="1312">
      <c r="A1312" s="43" t="inlineStr">
        <is>
          <t>CTANJZ05302</t>
        </is>
      </c>
      <c r="B1312" s="43" t="inlineStr">
        <is>
          <t>D611944</t>
        </is>
      </c>
      <c r="C1312" s="43" t="inlineStr">
        <is>
          <t>035-CVEBU</t>
        </is>
      </c>
      <c r="D1312" s="43" t="inlineStr">
        <is>
          <t>FJZP</t>
        </is>
      </c>
      <c r="E1312" s="43" t="inlineStr">
        <is>
          <t>MCGA</t>
        </is>
      </c>
      <c r="F1312" s="43" t="inlineStr">
        <is>
          <t>15-107243-01</t>
        </is>
      </c>
      <c r="G1312" s="43" t="inlineStr">
        <is>
          <t>OTHER_SCOPE_ITEM</t>
        </is>
      </c>
      <c r="H1312" s="43" t="inlineStr"/>
      <c r="I1312" s="43" t="inlineStr">
        <is>
          <t>Expired</t>
        </is>
      </c>
      <c r="J1312" s="32" t="n">
        <v>46281</v>
      </c>
      <c r="K1312" s="32" t="n">
        <v>46203</v>
      </c>
      <c r="L1312" s="43" t="inlineStr">
        <is>
          <t>548</t>
        </is>
      </c>
      <c r="M1312" s="43" t="n">
        <v>1</v>
      </c>
      <c r="N1312" s="33" t="inlineStr"/>
      <c r="O1312" s="43" t="inlineStr">
        <is>
          <t>UNVERIFIED</t>
        </is>
      </c>
      <c r="P1312" s="43" t="inlineStr">
        <is>
          <t>Pending Review</t>
        </is>
      </c>
      <c r="Q1312" s="33" t="inlineStr">
        <is>
          <t>Confirmar SKU/PCBA revision, PN exacto en Common DB, WO, BU, vigencia, planta y aprobacion firmada.</t>
        </is>
      </c>
    </row>
    <row r="1313">
      <c r="A1313" s="43" t="inlineStr">
        <is>
          <t>CTANJZ05302</t>
        </is>
      </c>
      <c r="B1313" s="43" t="inlineStr">
        <is>
          <t>D611944</t>
        </is>
      </c>
      <c r="C1313" s="43" t="inlineStr">
        <is>
          <t>035-CVEBU</t>
        </is>
      </c>
      <c r="D1313" s="43" t="inlineStr">
        <is>
          <t>FJZP</t>
        </is>
      </c>
      <c r="E1313" s="43" t="inlineStr">
        <is>
          <t>MCGA</t>
        </is>
      </c>
      <c r="F1313" s="43" t="inlineStr">
        <is>
          <t>73-102022-02</t>
        </is>
      </c>
      <c r="G1313" s="43" t="inlineStr">
        <is>
          <t>BOARD_PN_CANDIDATE</t>
        </is>
      </c>
      <c r="H1313" s="43" t="inlineStr">
        <is>
          <t>BROOKLYN</t>
        </is>
      </c>
      <c r="I1313" s="43" t="inlineStr">
        <is>
          <t>Expired</t>
        </is>
      </c>
      <c r="J1313" s="32" t="n">
        <v>46281</v>
      </c>
      <c r="K1313" s="32" t="n">
        <v>46203</v>
      </c>
      <c r="L1313" s="43" t="inlineStr">
        <is>
          <t>549</t>
        </is>
      </c>
      <c r="M1313" s="43" t="n">
        <v>1</v>
      </c>
      <c r="N1313" s="33" t="inlineStr"/>
      <c r="O1313" s="43" t="inlineStr">
        <is>
          <t>UNVERIFIED</t>
        </is>
      </c>
      <c r="P1313" s="43" t="inlineStr">
        <is>
          <t>Pending Review</t>
        </is>
      </c>
      <c r="Q1313" s="33" t="inlineStr">
        <is>
          <t>Confirmar SKU/PCBA revision, PN exacto en Common DB, WO, BU, vigencia, planta y aprobacion firmada.</t>
        </is>
      </c>
    </row>
    <row r="1314">
      <c r="A1314" s="43" t="inlineStr">
        <is>
          <t>CTANJZ05302</t>
        </is>
      </c>
      <c r="B1314" s="43" t="inlineStr">
        <is>
          <t>D611944</t>
        </is>
      </c>
      <c r="C1314" s="43" t="inlineStr">
        <is>
          <t>035-CVEBU</t>
        </is>
      </c>
      <c r="D1314" s="43" t="inlineStr">
        <is>
          <t>FJZP</t>
        </is>
      </c>
      <c r="E1314" s="43" t="inlineStr">
        <is>
          <t>MCGA</t>
        </is>
      </c>
      <c r="F1314" s="43" t="inlineStr">
        <is>
          <t>73-102038-03</t>
        </is>
      </c>
      <c r="G1314" s="43" t="inlineStr">
        <is>
          <t>BOARD_PN_CANDIDATE</t>
        </is>
      </c>
      <c r="H1314" s="43" t="inlineStr"/>
      <c r="I1314" s="43" t="inlineStr">
        <is>
          <t>Expired</t>
        </is>
      </c>
      <c r="J1314" s="32" t="n">
        <v>46281</v>
      </c>
      <c r="K1314" s="32" t="n"/>
      <c r="L1314" s="43" t="inlineStr">
        <is>
          <t>528</t>
        </is>
      </c>
      <c r="M1314" s="43" t="n">
        <v>1</v>
      </c>
      <c r="N1314" s="33" t="inlineStr"/>
      <c r="O1314" s="43" t="inlineStr">
        <is>
          <t>UNVERIFIED</t>
        </is>
      </c>
      <c r="P1314" s="43" t="inlineStr">
        <is>
          <t>Pending Review</t>
        </is>
      </c>
      <c r="Q1314" s="33" t="inlineStr">
        <is>
          <t>Confirmar SKU/PCBA revision, PN exacto en Common DB, WO, BU, vigencia, planta y aprobacion firmada.</t>
        </is>
      </c>
    </row>
    <row r="1315">
      <c r="A1315" s="43" t="inlineStr">
        <is>
          <t>CTANJZ05302</t>
        </is>
      </c>
      <c r="B1315" s="43" t="inlineStr">
        <is>
          <t>D611944</t>
        </is>
      </c>
      <c r="C1315" s="43" t="inlineStr">
        <is>
          <t>035-CVEBU</t>
        </is>
      </c>
      <c r="D1315" s="43" t="inlineStr">
        <is>
          <t>FJZP</t>
        </is>
      </c>
      <c r="E1315" s="43" t="inlineStr">
        <is>
          <t>MCGA</t>
        </is>
      </c>
      <c r="F1315" s="43" t="inlineStr">
        <is>
          <t>73-102121-01</t>
        </is>
      </c>
      <c r="G1315" s="43" t="inlineStr">
        <is>
          <t>BOARD_PN_CANDIDATE</t>
        </is>
      </c>
      <c r="H1315" s="43" t="inlineStr"/>
      <c r="I1315" s="43" t="inlineStr">
        <is>
          <t>Expired</t>
        </is>
      </c>
      <c r="J1315" s="32" t="n">
        <v>46281</v>
      </c>
      <c r="K1315" s="32" t="n">
        <v>46203</v>
      </c>
      <c r="L1315" s="43" t="inlineStr">
        <is>
          <t>550</t>
        </is>
      </c>
      <c r="M1315" s="43" t="n">
        <v>1</v>
      </c>
      <c r="N1315" s="33" t="inlineStr"/>
      <c r="O1315" s="43" t="inlineStr">
        <is>
          <t>UNVERIFIED</t>
        </is>
      </c>
      <c r="P1315" s="43" t="inlineStr">
        <is>
          <t>Pending Review</t>
        </is>
      </c>
      <c r="Q1315" s="33" t="inlineStr">
        <is>
          <t>Confirmar SKU/PCBA revision, PN exacto en Common DB, WO, BU, vigencia, planta y aprobacion firmada.</t>
        </is>
      </c>
    </row>
    <row r="1316">
      <c r="A1316" s="43" t="inlineStr">
        <is>
          <t>CTANJZ05302</t>
        </is>
      </c>
      <c r="B1316" s="43" t="inlineStr">
        <is>
          <t>D611944</t>
        </is>
      </c>
      <c r="C1316" s="43" t="inlineStr">
        <is>
          <t>035-CVEBU</t>
        </is>
      </c>
      <c r="D1316" s="43" t="inlineStr">
        <is>
          <t>FJZP</t>
        </is>
      </c>
      <c r="E1316" s="43" t="inlineStr">
        <is>
          <t>MCGA</t>
        </is>
      </c>
      <c r="F1316" s="43" t="inlineStr">
        <is>
          <t>73-102197-02</t>
        </is>
      </c>
      <c r="G1316" s="43" t="inlineStr">
        <is>
          <t>BOARD_PN_CANDIDATE</t>
        </is>
      </c>
      <c r="H1316" s="43" t="inlineStr"/>
      <c r="I1316" s="43" t="inlineStr">
        <is>
          <t>Expired</t>
        </is>
      </c>
      <c r="J1316" s="32" t="n">
        <v>46281</v>
      </c>
      <c r="K1316" s="32" t="n">
        <v>46203</v>
      </c>
      <c r="L1316" s="43" t="inlineStr">
        <is>
          <t>551</t>
        </is>
      </c>
      <c r="M1316" s="43" t="n">
        <v>1</v>
      </c>
      <c r="N1316" s="33" t="inlineStr"/>
      <c r="O1316" s="43" t="inlineStr">
        <is>
          <t>UNVERIFIED</t>
        </is>
      </c>
      <c r="P1316" s="43" t="inlineStr">
        <is>
          <t>Pending Review</t>
        </is>
      </c>
      <c r="Q1316" s="33" t="inlineStr">
        <is>
          <t>Confirmar SKU/PCBA revision, PN exacto en Common DB, WO, BU, vigencia, planta y aprobacion firmada.</t>
        </is>
      </c>
    </row>
    <row r="1317">
      <c r="A1317" s="43" t="inlineStr">
        <is>
          <t>CTANJZ05302</t>
        </is>
      </c>
      <c r="B1317" s="43" t="inlineStr">
        <is>
          <t>D611944</t>
        </is>
      </c>
      <c r="C1317" s="43" t="inlineStr">
        <is>
          <t>035-CVEBU</t>
        </is>
      </c>
      <c r="D1317" s="43" t="inlineStr">
        <is>
          <t>FJZP</t>
        </is>
      </c>
      <c r="E1317" s="43" t="inlineStr">
        <is>
          <t>MCGA</t>
        </is>
      </c>
      <c r="F1317" s="43" t="inlineStr">
        <is>
          <t>73-102226-06</t>
        </is>
      </c>
      <c r="G1317" s="43" t="inlineStr">
        <is>
          <t>BOARD_PN_CANDIDATE</t>
        </is>
      </c>
      <c r="H1317" s="43" t="inlineStr">
        <is>
          <t>MILLENIUM</t>
        </is>
      </c>
      <c r="I1317" s="43" t="inlineStr">
        <is>
          <t>Expired</t>
        </is>
      </c>
      <c r="J1317" s="32" t="n">
        <v>46281</v>
      </c>
      <c r="K1317" s="32" t="n">
        <v>46203</v>
      </c>
      <c r="L1317" s="43" t="inlineStr">
        <is>
          <t>552</t>
        </is>
      </c>
      <c r="M1317" s="43" t="n">
        <v>1</v>
      </c>
      <c r="N1317" s="33" t="inlineStr"/>
      <c r="O1317" s="43" t="inlineStr">
        <is>
          <t>UNVERIFIED</t>
        </is>
      </c>
      <c r="P1317" s="43" t="inlineStr">
        <is>
          <t>Pending Review</t>
        </is>
      </c>
      <c r="Q1317" s="33" t="inlineStr">
        <is>
          <t>Confirmar SKU/PCBA revision, PN exacto en Common DB, WO, BU, vigencia, planta y aprobacion firmada.</t>
        </is>
      </c>
    </row>
    <row r="1318">
      <c r="A1318" s="43" t="inlineStr">
        <is>
          <t>CTANJZ05302</t>
        </is>
      </c>
      <c r="B1318" s="43" t="inlineStr">
        <is>
          <t>D611944</t>
        </is>
      </c>
      <c r="C1318" s="43" t="inlineStr">
        <is>
          <t>035-CVEBU</t>
        </is>
      </c>
      <c r="D1318" s="43" t="inlineStr">
        <is>
          <t>FJZP</t>
        </is>
      </c>
      <c r="E1318" s="43" t="inlineStr">
        <is>
          <t>MCGA</t>
        </is>
      </c>
      <c r="F1318" s="43" t="inlineStr">
        <is>
          <t>73-102797-02</t>
        </is>
      </c>
      <c r="G1318" s="43" t="inlineStr">
        <is>
          <t>BOARD_PN_CANDIDATE</t>
        </is>
      </c>
      <c r="H1318" s="43" t="inlineStr">
        <is>
          <t>DAVINCI</t>
        </is>
      </c>
      <c r="I1318" s="43" t="inlineStr">
        <is>
          <t>Expired</t>
        </is>
      </c>
      <c r="J1318" s="32" t="n">
        <v>46281</v>
      </c>
      <c r="K1318" s="32" t="n">
        <v>46203</v>
      </c>
      <c r="L1318" s="43" t="inlineStr">
        <is>
          <t>553</t>
        </is>
      </c>
      <c r="M1318" s="43" t="n">
        <v>1</v>
      </c>
      <c r="N1318" s="33" t="inlineStr"/>
      <c r="O1318" s="43" t="inlineStr">
        <is>
          <t>UNVERIFIED</t>
        </is>
      </c>
      <c r="P1318" s="43" t="inlineStr">
        <is>
          <t>Pending Review</t>
        </is>
      </c>
      <c r="Q1318" s="33" t="inlineStr">
        <is>
          <t>Confirmar SKU/PCBA revision, PN exacto en Common DB, WO, BU, vigencia, planta y aprobacion firmada.</t>
        </is>
      </c>
    </row>
    <row r="1319">
      <c r="A1319" s="43" t="inlineStr">
        <is>
          <t>CTANJZ05302</t>
        </is>
      </c>
      <c r="B1319" s="43" t="inlineStr">
        <is>
          <t>D611944</t>
        </is>
      </c>
      <c r="C1319" s="43" t="inlineStr">
        <is>
          <t>035-CVEBU</t>
        </is>
      </c>
      <c r="D1319" s="43" t="inlineStr">
        <is>
          <t>FJZP</t>
        </is>
      </c>
      <c r="E1319" s="43" t="inlineStr">
        <is>
          <t>MCGA</t>
        </is>
      </c>
      <c r="F1319" s="43" t="inlineStr">
        <is>
          <t>73-103103-06</t>
        </is>
      </c>
      <c r="G1319" s="43" t="inlineStr">
        <is>
          <t>BOARD_PN_CANDIDATE</t>
        </is>
      </c>
      <c r="H1319" s="43" t="inlineStr"/>
      <c r="I1319" s="43" t="inlineStr">
        <is>
          <t>Expired</t>
        </is>
      </c>
      <c r="J1319" s="32" t="n">
        <v>46281</v>
      </c>
      <c r="K1319" s="32" t="n">
        <v>46203</v>
      </c>
      <c r="L1319" s="43" t="inlineStr">
        <is>
          <t>554</t>
        </is>
      </c>
      <c r="M1319" s="43" t="n">
        <v>1</v>
      </c>
      <c r="N1319" s="33" t="inlineStr"/>
      <c r="O1319" s="43" t="inlineStr">
        <is>
          <t>UNVERIFIED</t>
        </is>
      </c>
      <c r="P1319" s="43" t="inlineStr">
        <is>
          <t>Pending Review</t>
        </is>
      </c>
      <c r="Q1319" s="33" t="inlineStr">
        <is>
          <t>Confirmar SKU/PCBA revision, PN exacto en Common DB, WO, BU, vigencia, planta y aprobacion firmada.</t>
        </is>
      </c>
    </row>
    <row r="1320">
      <c r="A1320" s="43" t="inlineStr">
        <is>
          <t>CTANJZ05302</t>
        </is>
      </c>
      <c r="B1320" s="43" t="inlineStr">
        <is>
          <t>D611944</t>
        </is>
      </c>
      <c r="C1320" s="43" t="inlineStr">
        <is>
          <t>035-CVEBU</t>
        </is>
      </c>
      <c r="D1320" s="43" t="inlineStr">
        <is>
          <t>FJZP</t>
        </is>
      </c>
      <c r="E1320" s="43" t="inlineStr">
        <is>
          <t>MCGA</t>
        </is>
      </c>
      <c r="F1320" s="43" t="inlineStr">
        <is>
          <t>73-103226-06</t>
        </is>
      </c>
      <c r="G1320" s="43" t="inlineStr">
        <is>
          <t>BOARD_PN_CANDIDATE</t>
        </is>
      </c>
      <c r="H1320" s="43" t="inlineStr"/>
      <c r="I1320" s="43" t="inlineStr">
        <is>
          <t>Expired</t>
        </is>
      </c>
      <c r="J1320" s="32" t="n">
        <v>46281</v>
      </c>
      <c r="K1320" s="32" t="n">
        <v>46203</v>
      </c>
      <c r="L1320" s="43" t="inlineStr">
        <is>
          <t>555</t>
        </is>
      </c>
      <c r="M1320" s="43" t="n">
        <v>1</v>
      </c>
      <c r="N1320" s="33" t="inlineStr"/>
      <c r="O1320" s="43" t="inlineStr">
        <is>
          <t>UNVERIFIED</t>
        </is>
      </c>
      <c r="P1320" s="43" t="inlineStr">
        <is>
          <t>Pending Review</t>
        </is>
      </c>
      <c r="Q1320" s="33" t="inlineStr">
        <is>
          <t>Confirmar SKU/PCBA revision, PN exacto en Common DB, WO, BU, vigencia, planta y aprobacion firmada.</t>
        </is>
      </c>
    </row>
    <row r="1321">
      <c r="A1321" s="43" t="inlineStr">
        <is>
          <t>CTANJZ05302</t>
        </is>
      </c>
      <c r="B1321" s="43" t="inlineStr">
        <is>
          <t>D611944</t>
        </is>
      </c>
      <c r="C1321" s="43" t="inlineStr">
        <is>
          <t>035-CVEBU</t>
        </is>
      </c>
      <c r="D1321" s="43" t="inlineStr">
        <is>
          <t>FJZP</t>
        </is>
      </c>
      <c r="E1321" s="43" t="inlineStr">
        <is>
          <t>MCGA</t>
        </is>
      </c>
      <c r="F1321" s="43" t="inlineStr">
        <is>
          <t>73-103450-01</t>
        </is>
      </c>
      <c r="G1321" s="43" t="inlineStr">
        <is>
          <t>BOARD_PN_CANDIDATE</t>
        </is>
      </c>
      <c r="H1321" s="43" t="inlineStr"/>
      <c r="I1321" s="43" t="inlineStr">
        <is>
          <t>Expired</t>
        </is>
      </c>
      <c r="J1321" s="32" t="n">
        <v>46281</v>
      </c>
      <c r="K1321" s="32" t="n">
        <v>46203</v>
      </c>
      <c r="L1321" s="43" t="inlineStr">
        <is>
          <t>556</t>
        </is>
      </c>
      <c r="M1321" s="43" t="n">
        <v>1</v>
      </c>
      <c r="N1321" s="33" t="inlineStr"/>
      <c r="O1321" s="43" t="inlineStr">
        <is>
          <t>UNVERIFIED</t>
        </is>
      </c>
      <c r="P1321" s="43" t="inlineStr">
        <is>
          <t>Pending Review</t>
        </is>
      </c>
      <c r="Q1321" s="33" t="inlineStr">
        <is>
          <t>Confirmar SKU/PCBA revision, PN exacto en Common DB, WO, BU, vigencia, planta y aprobacion firmada.</t>
        </is>
      </c>
    </row>
    <row r="1322">
      <c r="A1322" s="43" t="inlineStr">
        <is>
          <t>CTANJZ05302</t>
        </is>
      </c>
      <c r="B1322" s="43" t="inlineStr">
        <is>
          <t>D611944</t>
        </is>
      </c>
      <c r="C1322" s="43" t="inlineStr">
        <is>
          <t>035-CVEBU</t>
        </is>
      </c>
      <c r="D1322" s="43" t="inlineStr">
        <is>
          <t>FJZP</t>
        </is>
      </c>
      <c r="E1322" s="43" t="inlineStr">
        <is>
          <t>MCGA</t>
        </is>
      </c>
      <c r="F1322" s="43" t="inlineStr">
        <is>
          <t>73-103603-06</t>
        </is>
      </c>
      <c r="G1322" s="43" t="inlineStr">
        <is>
          <t>BOARD_PN_CANDIDATE</t>
        </is>
      </c>
      <c r="H1322" s="43" t="inlineStr"/>
      <c r="I1322" s="43" t="inlineStr">
        <is>
          <t>Expired</t>
        </is>
      </c>
      <c r="J1322" s="32" t="n">
        <v>46281</v>
      </c>
      <c r="K1322" s="32" t="n">
        <v>46203</v>
      </c>
      <c r="L1322" s="43" t="inlineStr">
        <is>
          <t>557</t>
        </is>
      </c>
      <c r="M1322" s="43" t="n">
        <v>1</v>
      </c>
      <c r="N1322" s="33" t="inlineStr"/>
      <c r="O1322" s="43" t="inlineStr">
        <is>
          <t>UNVERIFIED</t>
        </is>
      </c>
      <c r="P1322" s="43" t="inlineStr">
        <is>
          <t>Pending Review</t>
        </is>
      </c>
      <c r="Q1322" s="33" t="inlineStr">
        <is>
          <t>Confirmar SKU/PCBA revision, PN exacto en Common DB, WO, BU, vigencia, planta y aprobacion firmada.</t>
        </is>
      </c>
    </row>
    <row r="1323">
      <c r="A1323" s="43" t="inlineStr">
        <is>
          <t>CTANJZ05302</t>
        </is>
      </c>
      <c r="B1323" s="43" t="inlineStr">
        <is>
          <t>D611944</t>
        </is>
      </c>
      <c r="C1323" s="43" t="inlineStr">
        <is>
          <t>035-CVEBU</t>
        </is>
      </c>
      <c r="D1323" s="43" t="inlineStr">
        <is>
          <t>FJZP</t>
        </is>
      </c>
      <c r="E1323" s="43" t="inlineStr">
        <is>
          <t>MCGA</t>
        </is>
      </c>
      <c r="F1323" s="43" t="inlineStr">
        <is>
          <t>73-103698-06</t>
        </is>
      </c>
      <c r="G1323" s="43" t="inlineStr">
        <is>
          <t>BOARD_PN_CANDIDATE</t>
        </is>
      </c>
      <c r="H1323" s="43" t="inlineStr"/>
      <c r="I1323" s="43" t="inlineStr">
        <is>
          <t>Expired</t>
        </is>
      </c>
      <c r="J1323" s="32" t="n">
        <v>46281</v>
      </c>
      <c r="K1323" s="32" t="n">
        <v>46203</v>
      </c>
      <c r="L1323" s="43" t="inlineStr">
        <is>
          <t>558</t>
        </is>
      </c>
      <c r="M1323" s="43" t="n">
        <v>1</v>
      </c>
      <c r="N1323" s="33" t="inlineStr"/>
      <c r="O1323" s="43" t="inlineStr">
        <is>
          <t>UNVERIFIED</t>
        </is>
      </c>
      <c r="P1323" s="43" t="inlineStr">
        <is>
          <t>Pending Review</t>
        </is>
      </c>
      <c r="Q1323" s="33" t="inlineStr">
        <is>
          <t>Confirmar SKU/PCBA revision, PN exacto en Common DB, WO, BU, vigencia, planta y aprobacion firmada.</t>
        </is>
      </c>
    </row>
    <row r="1324">
      <c r="A1324" s="43" t="inlineStr">
        <is>
          <t>CTANJZ05302</t>
        </is>
      </c>
      <c r="B1324" s="43" t="inlineStr">
        <is>
          <t>D611944</t>
        </is>
      </c>
      <c r="C1324" s="43" t="inlineStr">
        <is>
          <t>035-CVEBU</t>
        </is>
      </c>
      <c r="D1324" s="43" t="inlineStr">
        <is>
          <t>FJZP</t>
        </is>
      </c>
      <c r="E1324" s="43" t="inlineStr">
        <is>
          <t>MCGA</t>
        </is>
      </c>
      <c r="F1324" s="43" t="inlineStr">
        <is>
          <t>73-103826-05</t>
        </is>
      </c>
      <c r="G1324" s="43" t="inlineStr">
        <is>
          <t>BOARD_PN_CANDIDATE</t>
        </is>
      </c>
      <c r="H1324" s="43" t="inlineStr">
        <is>
          <t>BAYFRONT</t>
        </is>
      </c>
      <c r="I1324" s="43" t="inlineStr">
        <is>
          <t>Expired</t>
        </is>
      </c>
      <c r="J1324" s="32" t="n">
        <v>46281</v>
      </c>
      <c r="K1324" s="32" t="n">
        <v>46203</v>
      </c>
      <c r="L1324" s="43" t="inlineStr">
        <is>
          <t>559</t>
        </is>
      </c>
      <c r="M1324" s="43" t="n">
        <v>1</v>
      </c>
      <c r="N1324" s="33" t="inlineStr"/>
      <c r="O1324" s="43" t="inlineStr">
        <is>
          <t>UNVERIFIED</t>
        </is>
      </c>
      <c r="P1324" s="43" t="inlineStr">
        <is>
          <t>Pending Review</t>
        </is>
      </c>
      <c r="Q1324" s="33" t="inlineStr">
        <is>
          <t>Confirmar SKU/PCBA revision, PN exacto en Common DB, WO, BU, vigencia, planta y aprobacion firmada.</t>
        </is>
      </c>
    </row>
    <row r="1325">
      <c r="A1325" s="43" t="inlineStr">
        <is>
          <t>CTANJZ05302</t>
        </is>
      </c>
      <c r="B1325" s="43" t="inlineStr">
        <is>
          <t>D611944</t>
        </is>
      </c>
      <c r="C1325" s="43" t="inlineStr">
        <is>
          <t>035-CVEBU</t>
        </is>
      </c>
      <c r="D1325" s="43" t="inlineStr">
        <is>
          <t>FJZP</t>
        </is>
      </c>
      <c r="E1325" s="43" t="inlineStr">
        <is>
          <t>MCGA</t>
        </is>
      </c>
      <c r="F1325" s="43" t="inlineStr">
        <is>
          <t>73-103880-05</t>
        </is>
      </c>
      <c r="G1325" s="43" t="inlineStr">
        <is>
          <t>BOARD_PN_CANDIDATE</t>
        </is>
      </c>
      <c r="H1325" s="43" t="inlineStr"/>
      <c r="I1325" s="43" t="inlineStr">
        <is>
          <t>Expired</t>
        </is>
      </c>
      <c r="J1325" s="32" t="n">
        <v>46281</v>
      </c>
      <c r="K1325" s="32" t="n">
        <v>46203</v>
      </c>
      <c r="L1325" s="43" t="inlineStr">
        <is>
          <t>560</t>
        </is>
      </c>
      <c r="M1325" s="43" t="n">
        <v>1</v>
      </c>
      <c r="N1325" s="33" t="inlineStr"/>
      <c r="O1325" s="43" t="inlineStr">
        <is>
          <t>UNVERIFIED</t>
        </is>
      </c>
      <c r="P1325" s="43" t="inlineStr">
        <is>
          <t>Pending Review</t>
        </is>
      </c>
      <c r="Q1325" s="33" t="inlineStr">
        <is>
          <t>Confirmar SKU/PCBA revision, PN exacto en Common DB, WO, BU, vigencia, planta y aprobacion firmada.</t>
        </is>
      </c>
    </row>
    <row r="1326">
      <c r="A1326" s="43" t="inlineStr">
        <is>
          <t>CTANJZ05302</t>
        </is>
      </c>
      <c r="B1326" s="43" t="inlineStr">
        <is>
          <t>D611944</t>
        </is>
      </c>
      <c r="C1326" s="43" t="inlineStr">
        <is>
          <t>035-CVEBU</t>
        </is>
      </c>
      <c r="D1326" s="43" t="inlineStr">
        <is>
          <t>FJZP</t>
        </is>
      </c>
      <c r="E1326" s="43" t="inlineStr">
        <is>
          <t>MCGA</t>
        </is>
      </c>
      <c r="F1326" s="43" t="inlineStr">
        <is>
          <t>73-103940-06</t>
        </is>
      </c>
      <c r="G1326" s="43" t="inlineStr">
        <is>
          <t>BOARD_PN_CANDIDATE</t>
        </is>
      </c>
      <c r="H1326" s="43" t="inlineStr"/>
      <c r="I1326" s="43" t="inlineStr">
        <is>
          <t>Expired</t>
        </is>
      </c>
      <c r="J1326" s="32" t="n">
        <v>46281</v>
      </c>
      <c r="K1326" s="32" t="n">
        <v>46203</v>
      </c>
      <c r="L1326" s="43" t="inlineStr">
        <is>
          <t>561</t>
        </is>
      </c>
      <c r="M1326" s="43" t="n">
        <v>1</v>
      </c>
      <c r="N1326" s="33" t="inlineStr"/>
      <c r="O1326" s="43" t="inlineStr">
        <is>
          <t>UNVERIFIED</t>
        </is>
      </c>
      <c r="P1326" s="43" t="inlineStr">
        <is>
          <t>Pending Review</t>
        </is>
      </c>
      <c r="Q1326" s="33" t="inlineStr">
        <is>
          <t>Confirmar SKU/PCBA revision, PN exacto en Common DB, WO, BU, vigencia, planta y aprobacion firmada.</t>
        </is>
      </c>
    </row>
    <row r="1327">
      <c r="A1327" s="43" t="inlineStr">
        <is>
          <t>CTANJZ05302</t>
        </is>
      </c>
      <c r="B1327" s="43" t="inlineStr">
        <is>
          <t>D611944</t>
        </is>
      </c>
      <c r="C1327" s="43" t="inlineStr">
        <is>
          <t>035-CVEBU</t>
        </is>
      </c>
      <c r="D1327" s="43" t="inlineStr">
        <is>
          <t>FJZP</t>
        </is>
      </c>
      <c r="E1327" s="43" t="inlineStr">
        <is>
          <t>MCGA</t>
        </is>
      </c>
      <c r="F1327" s="43" t="inlineStr">
        <is>
          <t>73-103951-01</t>
        </is>
      </c>
      <c r="G1327" s="43" t="inlineStr">
        <is>
          <t>BOARD_PN_CANDIDATE</t>
        </is>
      </c>
      <c r="H1327" s="43" t="inlineStr"/>
      <c r="I1327" s="43" t="inlineStr">
        <is>
          <t>Expired</t>
        </is>
      </c>
      <c r="J1327" s="32" t="n">
        <v>46281</v>
      </c>
      <c r="K1327" s="32" t="n">
        <v>46203</v>
      </c>
      <c r="L1327" s="43" t="inlineStr">
        <is>
          <t>562</t>
        </is>
      </c>
      <c r="M1327" s="43" t="n">
        <v>1</v>
      </c>
      <c r="N1327" s="33" t="inlineStr"/>
      <c r="O1327" s="43" t="inlineStr">
        <is>
          <t>UNVERIFIED</t>
        </is>
      </c>
      <c r="P1327" s="43" t="inlineStr">
        <is>
          <t>Pending Review</t>
        </is>
      </c>
      <c r="Q1327" s="33" t="inlineStr">
        <is>
          <t>Confirmar SKU/PCBA revision, PN exacto en Common DB, WO, BU, vigencia, planta y aprobacion firmada.</t>
        </is>
      </c>
    </row>
    <row r="1328">
      <c r="A1328" s="43" t="inlineStr">
        <is>
          <t>CTANJZ05302</t>
        </is>
      </c>
      <c r="B1328" s="43" t="inlineStr">
        <is>
          <t>D611944</t>
        </is>
      </c>
      <c r="C1328" s="43" t="inlineStr">
        <is>
          <t>035-CVEBU</t>
        </is>
      </c>
      <c r="D1328" s="43" t="inlineStr">
        <is>
          <t>FJZP</t>
        </is>
      </c>
      <c r="E1328" s="43" t="inlineStr">
        <is>
          <t>MCGA</t>
        </is>
      </c>
      <c r="F1328" s="43" t="inlineStr">
        <is>
          <t>73-104022-01</t>
        </is>
      </c>
      <c r="G1328" s="43" t="inlineStr">
        <is>
          <t>BOARD_PN_CANDIDATE</t>
        </is>
      </c>
      <c r="H1328" s="43" t="inlineStr"/>
      <c r="I1328" s="43" t="inlineStr">
        <is>
          <t>Expired</t>
        </is>
      </c>
      <c r="J1328" s="32" t="n">
        <v>46281</v>
      </c>
      <c r="K1328" s="32" t="n">
        <v>46203</v>
      </c>
      <c r="L1328" s="43" t="inlineStr">
        <is>
          <t>563</t>
        </is>
      </c>
      <c r="M1328" s="43" t="n">
        <v>1</v>
      </c>
      <c r="N1328" s="33" t="inlineStr"/>
      <c r="O1328" s="43" t="inlineStr">
        <is>
          <t>UNVERIFIED</t>
        </is>
      </c>
      <c r="P1328" s="43" t="inlineStr">
        <is>
          <t>Pending Review</t>
        </is>
      </c>
      <c r="Q1328" s="33" t="inlineStr">
        <is>
          <t>Confirmar SKU/PCBA revision, PN exacto en Common DB, WO, BU, vigencia, planta y aprobacion firmada.</t>
        </is>
      </c>
    </row>
    <row r="1329">
      <c r="A1329" s="43" t="inlineStr">
        <is>
          <t>CTANJZ05303</t>
        </is>
      </c>
      <c r="B1329" s="43" t="inlineStr">
        <is>
          <t>DP526278</t>
        </is>
      </c>
      <c r="C1329" s="43" t="inlineStr">
        <is>
          <t>035-CVEBU</t>
        </is>
      </c>
      <c r="D1329" s="43" t="inlineStr">
        <is>
          <t>FJZP</t>
        </is>
      </c>
      <c r="E1329" s="43" t="inlineStr">
        <is>
          <t>MCGA</t>
        </is>
      </c>
      <c r="F1329" s="43" t="inlineStr">
        <is>
          <t>74-137567-02</t>
        </is>
      </c>
      <c r="G1329" s="43" t="inlineStr">
        <is>
          <t>OTHER_SCOPE_ITEM</t>
        </is>
      </c>
      <c r="H1329" s="43" t="inlineStr"/>
      <c r="I1329" s="43" t="inlineStr">
        <is>
          <t>Expired</t>
        </is>
      </c>
      <c r="J1329" s="32" t="n">
        <v>46251</v>
      </c>
      <c r="K1329" s="32" t="n">
        <v>46205</v>
      </c>
      <c r="L1329" s="43" t="inlineStr">
        <is>
          <t>292,1891</t>
        </is>
      </c>
      <c r="M1329" s="43" t="n">
        <v>2</v>
      </c>
      <c r="N1329" s="33" t="inlineStr">
        <is>
          <t>Descrition of Change</t>
        </is>
      </c>
      <c r="O1329" s="43" t="inlineStr">
        <is>
          <t>UNVERIFIED</t>
        </is>
      </c>
      <c r="P1329" s="43" t="inlineStr">
        <is>
          <t>Pending Review</t>
        </is>
      </c>
      <c r="Q1329" s="33" t="inlineStr">
        <is>
          <t>Confirmar SKU/PCBA revision, PN exacto en Common DB, WO, BU, vigencia, planta y aprobacion firmada.</t>
        </is>
      </c>
    </row>
    <row r="1330">
      <c r="A1330" s="43" t="inlineStr">
        <is>
          <t>CTANJZ05304</t>
        </is>
      </c>
      <c r="B1330" s="43" t="inlineStr">
        <is>
          <t>D611712</t>
        </is>
      </c>
      <c r="C1330" s="43" t="inlineStr">
        <is>
          <t>037-STBU</t>
        </is>
      </c>
      <c r="D1330" s="43" t="inlineStr">
        <is>
          <t>FJZP</t>
        </is>
      </c>
      <c r="E1330" s="43" t="inlineStr">
        <is>
          <t>MCGA</t>
        </is>
      </c>
      <c r="F1330" s="43" t="inlineStr">
        <is>
          <t>24-2954-01</t>
        </is>
      </c>
      <c r="G1330" s="43" t="inlineStr">
        <is>
          <t>OTHER_SCOPE_ITEM</t>
        </is>
      </c>
      <c r="H1330" s="43" t="inlineStr"/>
      <c r="I1330" s="43" t="inlineStr">
        <is>
          <t>Expired</t>
        </is>
      </c>
      <c r="J1330" s="32" t="n">
        <v>46281</v>
      </c>
      <c r="K1330" s="32" t="n">
        <v>46211</v>
      </c>
      <c r="L1330" s="43" t="inlineStr">
        <is>
          <t>1212</t>
        </is>
      </c>
      <c r="M1330" s="43" t="n">
        <v>1</v>
      </c>
      <c r="N1330" s="33" t="inlineStr"/>
      <c r="O1330" s="43" t="inlineStr">
        <is>
          <t>UNVERIFIED</t>
        </is>
      </c>
      <c r="P1330" s="43" t="inlineStr">
        <is>
          <t>Pending Review</t>
        </is>
      </c>
      <c r="Q1330" s="33" t="inlineStr">
        <is>
          <t>Confirmar SKU/PCBA revision, PN exacto en Common DB, WO, BU, vigencia, planta y aprobacion firmada.</t>
        </is>
      </c>
    </row>
    <row r="1331">
      <c r="A1331" s="43" t="inlineStr">
        <is>
          <t>CTANJZ05304</t>
        </is>
      </c>
      <c r="B1331" s="43" t="inlineStr">
        <is>
          <t>D611712</t>
        </is>
      </c>
      <c r="C1331" s="43" t="inlineStr">
        <is>
          <t>037-STBU</t>
        </is>
      </c>
      <c r="D1331" s="43" t="inlineStr">
        <is>
          <t>FJZP</t>
        </is>
      </c>
      <c r="E1331" s="43" t="inlineStr">
        <is>
          <t>MCGA</t>
        </is>
      </c>
      <c r="F1331" s="43" t="inlineStr">
        <is>
          <t>24-2954-02</t>
        </is>
      </c>
      <c r="G1331" s="43" t="inlineStr">
        <is>
          <t>OTHER_SCOPE_ITEM</t>
        </is>
      </c>
      <c r="H1331" s="43" t="inlineStr"/>
      <c r="I1331" s="43" t="inlineStr">
        <is>
          <t>Expired</t>
        </is>
      </c>
      <c r="J1331" s="32" t="n">
        <v>46281</v>
      </c>
      <c r="K1331" s="32" t="n">
        <v>46211</v>
      </c>
      <c r="L1331" s="43" t="inlineStr">
        <is>
          <t>1213</t>
        </is>
      </c>
      <c r="M1331" s="43" t="n">
        <v>1</v>
      </c>
      <c r="N1331" s="33" t="inlineStr"/>
      <c r="O1331" s="43" t="inlineStr">
        <is>
          <t>UNVERIFIED</t>
        </is>
      </c>
      <c r="P1331" s="43" t="inlineStr">
        <is>
          <t>Pending Review</t>
        </is>
      </c>
      <c r="Q1331" s="33" t="inlineStr">
        <is>
          <t>Confirmar SKU/PCBA revision, PN exacto en Common DB, WO, BU, vigencia, planta y aprobacion firmada.</t>
        </is>
      </c>
    </row>
    <row r="1332">
      <c r="A1332" s="43" t="inlineStr">
        <is>
          <t>CTANJZ05304</t>
        </is>
      </c>
      <c r="B1332" s="43" t="inlineStr">
        <is>
          <t>D611712</t>
        </is>
      </c>
      <c r="C1332" s="43" t="inlineStr">
        <is>
          <t>037-STBU</t>
        </is>
      </c>
      <c r="D1332" s="43" t="inlineStr">
        <is>
          <t>FJZP</t>
        </is>
      </c>
      <c r="E1332" s="43" t="inlineStr">
        <is>
          <t>MCGA</t>
        </is>
      </c>
      <c r="F1332" s="43" t="inlineStr">
        <is>
          <t>73-20247-06</t>
        </is>
      </c>
      <c r="G1332" s="43" t="inlineStr">
        <is>
          <t>BOARD_PN_CANDIDATE</t>
        </is>
      </c>
      <c r="H1332" s="43" t="inlineStr">
        <is>
          <t>TUFNELL PARK</t>
        </is>
      </c>
      <c r="I1332" s="43" t="inlineStr">
        <is>
          <t>Expired</t>
        </is>
      </c>
      <c r="J1332" s="32" t="n">
        <v>46281</v>
      </c>
      <c r="K1332" s="32" t="n">
        <v>46211</v>
      </c>
      <c r="L1332" s="43" t="inlineStr">
        <is>
          <t>1214</t>
        </is>
      </c>
      <c r="M1332" s="43" t="n">
        <v>1</v>
      </c>
      <c r="N1332" s="33" t="inlineStr"/>
      <c r="O1332" s="43" t="inlineStr">
        <is>
          <t>UNVERIFIED</t>
        </is>
      </c>
      <c r="P1332" s="43" t="inlineStr">
        <is>
          <t>Pending Review</t>
        </is>
      </c>
      <c r="Q1332" s="33" t="inlineStr">
        <is>
          <t>Confirmar SKU/PCBA revision, PN exacto en Common DB, WO, BU, vigencia, planta y aprobacion firmada.</t>
        </is>
      </c>
    </row>
    <row r="1333">
      <c r="A1333" s="43" t="inlineStr">
        <is>
          <t>CTANJZ05304</t>
        </is>
      </c>
      <c r="B1333" s="43" t="inlineStr">
        <is>
          <t>D611712</t>
        </is>
      </c>
      <c r="C1333" s="43" t="inlineStr">
        <is>
          <t>037-STBU</t>
        </is>
      </c>
      <c r="D1333" s="43" t="inlineStr">
        <is>
          <t>FJZP</t>
        </is>
      </c>
      <c r="E1333" s="43" t="inlineStr">
        <is>
          <t>MCGA</t>
        </is>
      </c>
      <c r="F1333" s="43" t="inlineStr">
        <is>
          <t>73-20249-06</t>
        </is>
      </c>
      <c r="G1333" s="43" t="inlineStr">
        <is>
          <t>BOARD_PN_CANDIDATE</t>
        </is>
      </c>
      <c r="H1333" s="43" t="inlineStr">
        <is>
          <t>TUFNELL PARK</t>
        </is>
      </c>
      <c r="I1333" s="43" t="inlineStr">
        <is>
          <t>Expired</t>
        </is>
      </c>
      <c r="J1333" s="32" t="n">
        <v>46281</v>
      </c>
      <c r="K1333" s="32" t="n">
        <v>46211</v>
      </c>
      <c r="L1333" s="43" t="inlineStr">
        <is>
          <t>1215</t>
        </is>
      </c>
      <c r="M1333" s="43" t="n">
        <v>1</v>
      </c>
      <c r="N1333" s="33" t="inlineStr"/>
      <c r="O1333" s="43" t="inlineStr">
        <is>
          <t>UNVERIFIED</t>
        </is>
      </c>
      <c r="P1333" s="43" t="inlineStr">
        <is>
          <t>Pending Review</t>
        </is>
      </c>
      <c r="Q1333" s="33" t="inlineStr">
        <is>
          <t>Confirmar SKU/PCBA revision, PN exacto en Common DB, WO, BU, vigencia, planta y aprobacion firmada.</t>
        </is>
      </c>
    </row>
    <row r="1334">
      <c r="A1334" s="43" t="inlineStr">
        <is>
          <t>CTANJZ05305</t>
        </is>
      </c>
      <c r="B1334" s="43" t="inlineStr">
        <is>
          <t>D612126</t>
        </is>
      </c>
      <c r="C1334" s="43" t="inlineStr">
        <is>
          <t>035-CVEBU</t>
        </is>
      </c>
      <c r="D1334" s="43" t="inlineStr">
        <is>
          <t>FJZP</t>
        </is>
      </c>
      <c r="E1334" s="43" t="inlineStr">
        <is>
          <t>MCGA</t>
        </is>
      </c>
      <c r="F1334" s="43" t="inlineStr">
        <is>
          <t>47-111352-01</t>
        </is>
      </c>
      <c r="G1334" s="43" t="inlineStr">
        <is>
          <t>OTHER_SCOPE_ITEM</t>
        </is>
      </c>
      <c r="H1334" s="43" t="inlineStr"/>
      <c r="I1334" s="43" t="inlineStr">
        <is>
          <t>Expired</t>
        </is>
      </c>
      <c r="J1334" s="32" t="n">
        <v>46280</v>
      </c>
      <c r="K1334" s="32" t="n">
        <v>46205</v>
      </c>
      <c r="L1334" s="43" t="inlineStr">
        <is>
          <t>1216</t>
        </is>
      </c>
      <c r="M1334" s="43" t="n">
        <v>1</v>
      </c>
      <c r="N1334" s="33" t="inlineStr"/>
      <c r="O1334" s="43" t="inlineStr">
        <is>
          <t>UNVERIFIED</t>
        </is>
      </c>
      <c r="P1334" s="43" t="inlineStr">
        <is>
          <t>Pending Review</t>
        </is>
      </c>
      <c r="Q1334" s="33" t="inlineStr">
        <is>
          <t>Confirmar SKU/PCBA revision, PN exacto en Common DB, WO, BU, vigencia, planta y aprobacion firmada.</t>
        </is>
      </c>
    </row>
    <row r="1335">
      <c r="A1335" s="43" t="inlineStr">
        <is>
          <t>CTANJZ05306</t>
        </is>
      </c>
      <c r="B1335" s="43" t="inlineStr">
        <is>
          <t>DP526173</t>
        </is>
      </c>
      <c r="C1335" s="43" t="inlineStr">
        <is>
          <t>035-CVEBU</t>
        </is>
      </c>
      <c r="D1335" s="43" t="inlineStr">
        <is>
          <t>FJZP</t>
        </is>
      </c>
      <c r="E1335" s="43" t="inlineStr">
        <is>
          <t>MCGA</t>
        </is>
      </c>
      <c r="F1335" s="43" t="inlineStr">
        <is>
          <t>28-104119-05</t>
        </is>
      </c>
      <c r="G1335" s="43" t="inlineStr">
        <is>
          <t>BARE_PCB_PN_CANDIDATE</t>
        </is>
      </c>
      <c r="H1335" s="43" t="inlineStr"/>
      <c r="I1335" s="43" t="inlineStr">
        <is>
          <t>Expired</t>
        </is>
      </c>
      <c r="J1335" s="32" t="n">
        <v>46229</v>
      </c>
      <c r="K1335" s="32" t="n">
        <v>46205</v>
      </c>
      <c r="L1335" s="43" t="inlineStr">
        <is>
          <t>192</t>
        </is>
      </c>
      <c r="M1335" s="43" t="n">
        <v>1</v>
      </c>
      <c r="N1335" s="33" t="inlineStr"/>
      <c r="O1335" s="43" t="inlineStr">
        <is>
          <t>UNVERIFIED</t>
        </is>
      </c>
      <c r="P1335" s="43" t="inlineStr">
        <is>
          <t>Pending Review</t>
        </is>
      </c>
      <c r="Q1335" s="33" t="inlineStr">
        <is>
          <t>Confirmar SKU/PCBA revision, PN exacto en Common DB, WO, BU, vigencia, planta y aprobacion firmada.</t>
        </is>
      </c>
    </row>
    <row r="1336">
      <c r="A1336" s="43" t="inlineStr">
        <is>
          <t>CTANJZ05307</t>
        </is>
      </c>
      <c r="B1336" s="43" t="inlineStr">
        <is>
          <t>DP526267</t>
        </is>
      </c>
      <c r="C1336" s="43" t="inlineStr">
        <is>
          <t>035-CVEBU</t>
        </is>
      </c>
      <c r="D1336" s="43" t="inlineStr">
        <is>
          <t>FJZP</t>
        </is>
      </c>
      <c r="E1336" s="43" t="inlineStr">
        <is>
          <t>MCGA</t>
        </is>
      </c>
      <c r="F1336" s="43" t="inlineStr">
        <is>
          <t>28-105096-06</t>
        </is>
      </c>
      <c r="G1336" s="43" t="inlineStr">
        <is>
          <t>BARE_PCB_PN_CANDIDATE</t>
        </is>
      </c>
      <c r="H1336" s="43" t="inlineStr"/>
      <c r="I1336" s="43" t="inlineStr">
        <is>
          <t>Expired</t>
        </is>
      </c>
      <c r="J1336" s="32" t="n">
        <v>46248</v>
      </c>
      <c r="K1336" s="32" t="n">
        <v>46205</v>
      </c>
      <c r="L1336" s="43" t="inlineStr">
        <is>
          <t>190</t>
        </is>
      </c>
      <c r="M1336" s="43" t="n">
        <v>1</v>
      </c>
      <c r="N1336" s="33" t="inlineStr"/>
      <c r="O1336" s="43" t="inlineStr">
        <is>
          <t>UNVERIFIED</t>
        </is>
      </c>
      <c r="P1336" s="43" t="inlineStr">
        <is>
          <t>Pending Review</t>
        </is>
      </c>
      <c r="Q1336" s="33" t="inlineStr">
        <is>
          <t>Confirmar SKU/PCBA revision, PN exacto en Common DB, WO, BU, vigencia, planta y aprobacion firmada.</t>
        </is>
      </c>
    </row>
    <row r="1337">
      <c r="A1337" s="43" t="inlineStr">
        <is>
          <t>CTANJZ05308</t>
        </is>
      </c>
      <c r="B1337" s="43" t="inlineStr">
        <is>
          <t>DP526196</t>
        </is>
      </c>
      <c r="C1337" s="43" t="inlineStr">
        <is>
          <t>035-CVEBU</t>
        </is>
      </c>
      <c r="D1337" s="43" t="inlineStr">
        <is>
          <t>FJZP</t>
        </is>
      </c>
      <c r="E1337" s="43" t="inlineStr">
        <is>
          <t>MCGA</t>
        </is>
      </c>
      <c r="F1337" s="43" t="inlineStr">
        <is>
          <t>28-104119-05</t>
        </is>
      </c>
      <c r="G1337" s="43" t="inlineStr">
        <is>
          <t>BARE_PCB_PN_CANDIDATE</t>
        </is>
      </c>
      <c r="H1337" s="43" t="inlineStr"/>
      <c r="I1337" s="43" t="inlineStr">
        <is>
          <t>Expired</t>
        </is>
      </c>
      <c r="J1337" s="32" t="n">
        <v>46230</v>
      </c>
      <c r="K1337" s="32" t="n">
        <v>46205</v>
      </c>
      <c r="L1337" s="43" t="inlineStr">
        <is>
          <t>191</t>
        </is>
      </c>
      <c r="M1337" s="43" t="n">
        <v>1</v>
      </c>
      <c r="N1337" s="33" t="inlineStr"/>
      <c r="O1337" s="43" t="inlineStr">
        <is>
          <t>UNVERIFIED</t>
        </is>
      </c>
      <c r="P1337" s="43" t="inlineStr">
        <is>
          <t>Pending Review</t>
        </is>
      </c>
      <c r="Q1337" s="33" t="inlineStr">
        <is>
          <t>Confirmar SKU/PCBA revision, PN exacto en Common DB, WO, BU, vigencia, planta y aprobacion firmada.</t>
        </is>
      </c>
    </row>
    <row r="1338">
      <c r="A1338" s="43" t="inlineStr">
        <is>
          <t>CTANJZ05310</t>
        </is>
      </c>
      <c r="B1338" s="43" t="inlineStr">
        <is>
          <t>DP526230</t>
        </is>
      </c>
      <c r="C1338" s="43" t="inlineStr">
        <is>
          <t>035-CVEBU</t>
        </is>
      </c>
      <c r="D1338" s="43" t="inlineStr">
        <is>
          <t>FJZP</t>
        </is>
      </c>
      <c r="E1338" s="43" t="inlineStr">
        <is>
          <t>MCGA</t>
        </is>
      </c>
      <c r="F1338" s="43" t="inlineStr">
        <is>
          <t>28-105096-06</t>
        </is>
      </c>
      <c r="G1338" s="43" t="inlineStr">
        <is>
          <t>BARE_PCB_PN_CANDIDATE</t>
        </is>
      </c>
      <c r="H1338" s="43" t="inlineStr"/>
      <c r="I1338" s="43" t="inlineStr">
        <is>
          <t>Expired</t>
        </is>
      </c>
      <c r="J1338" s="32" t="n">
        <v>46238</v>
      </c>
      <c r="K1338" s="32" t="n">
        <v>46205</v>
      </c>
      <c r="L1338" s="43" t="inlineStr">
        <is>
          <t>318</t>
        </is>
      </c>
      <c r="M1338" s="43" t="n">
        <v>1</v>
      </c>
      <c r="N1338" s="33" t="inlineStr"/>
      <c r="O1338" s="43" t="inlineStr">
        <is>
          <t>UNVERIFIED</t>
        </is>
      </c>
      <c r="P1338" s="43" t="inlineStr">
        <is>
          <t>Pending Review</t>
        </is>
      </c>
      <c r="Q1338" s="33" t="inlineStr">
        <is>
          <t>Confirmar SKU/PCBA revision, PN exacto en Common DB, WO, BU, vigencia, planta y aprobacion firmada.</t>
        </is>
      </c>
    </row>
    <row r="1339">
      <c r="A1339" s="43" t="inlineStr">
        <is>
          <t>CTANJZ05311</t>
        </is>
      </c>
      <c r="B1339" s="43" t="inlineStr">
        <is>
          <t>D612169</t>
        </is>
      </c>
      <c r="C1339" s="43" t="inlineStr">
        <is>
          <t>035-CVEBU</t>
        </is>
      </c>
      <c r="D1339" s="43" t="inlineStr">
        <is>
          <t>FJZP</t>
        </is>
      </c>
      <c r="E1339" s="43" t="inlineStr">
        <is>
          <t>MCGA</t>
        </is>
      </c>
      <c r="F1339" s="43" t="inlineStr">
        <is>
          <t>15-110893-01</t>
        </is>
      </c>
      <c r="G1339" s="43" t="inlineStr">
        <is>
          <t>OTHER_SCOPE_ITEM</t>
        </is>
      </c>
      <c r="H1339" s="43" t="inlineStr"/>
      <c r="I1339" s="43" t="inlineStr">
        <is>
          <t>Expired</t>
        </is>
      </c>
      <c r="J1339" s="32" t="n">
        <v>46285</v>
      </c>
      <c r="K1339" s="32" t="n">
        <v>46205</v>
      </c>
      <c r="L1339" s="43" t="inlineStr">
        <is>
          <t>567</t>
        </is>
      </c>
      <c r="M1339" s="43" t="n">
        <v>1</v>
      </c>
      <c r="N1339" s="33" t="inlineStr"/>
      <c r="O1339" s="43" t="inlineStr">
        <is>
          <t>UNVERIFIED</t>
        </is>
      </c>
      <c r="P1339" s="43" t="inlineStr">
        <is>
          <t>Pending Review</t>
        </is>
      </c>
      <c r="Q1339" s="33" t="inlineStr">
        <is>
          <t>Confirmar SKU/PCBA revision, PN exacto en Common DB, WO, BU, vigencia, planta y aprobacion firmada.</t>
        </is>
      </c>
    </row>
    <row r="1340">
      <c r="A1340" s="43" t="inlineStr">
        <is>
          <t>CTANJZ05311</t>
        </is>
      </c>
      <c r="B1340" s="43" t="inlineStr">
        <is>
          <t>D612169</t>
        </is>
      </c>
      <c r="C1340" s="43" t="inlineStr">
        <is>
          <t>035-CVEBU</t>
        </is>
      </c>
      <c r="D1340" s="43" t="inlineStr">
        <is>
          <t>FJZP</t>
        </is>
      </c>
      <c r="E1340" s="43" t="inlineStr">
        <is>
          <t>MCGA</t>
        </is>
      </c>
      <c r="F1340" s="43" t="inlineStr">
        <is>
          <t>68-104853-01</t>
        </is>
      </c>
      <c r="G1340" s="43" t="inlineStr">
        <is>
          <t>OTHER_SCOPE_ITEM</t>
        </is>
      </c>
      <c r="H1340" s="43" t="inlineStr"/>
      <c r="I1340" s="43" t="inlineStr">
        <is>
          <t>Expired</t>
        </is>
      </c>
      <c r="J1340" s="32" t="n">
        <v>46285</v>
      </c>
      <c r="K1340" s="32" t="n">
        <v>46205</v>
      </c>
      <c r="L1340" s="43" t="inlineStr">
        <is>
          <t>568</t>
        </is>
      </c>
      <c r="M1340" s="43" t="n">
        <v>1</v>
      </c>
      <c r="N1340" s="33" t="inlineStr"/>
      <c r="O1340" s="43" t="inlineStr">
        <is>
          <t>UNVERIFIED</t>
        </is>
      </c>
      <c r="P1340" s="43" t="inlineStr">
        <is>
          <t>Pending Review</t>
        </is>
      </c>
      <c r="Q1340" s="33" t="inlineStr">
        <is>
          <t>Confirmar SKU/PCBA revision, PN exacto en Common DB, WO, BU, vigencia, planta y aprobacion firmada.</t>
        </is>
      </c>
    </row>
    <row r="1341">
      <c r="A1341" s="43" t="inlineStr">
        <is>
          <t>CTANJZ05311</t>
        </is>
      </c>
      <c r="B1341" s="43" t="inlineStr">
        <is>
          <t>D612169</t>
        </is>
      </c>
      <c r="C1341" s="43" t="inlineStr">
        <is>
          <t>035-CVEBU</t>
        </is>
      </c>
      <c r="D1341" s="43" t="inlineStr">
        <is>
          <t>FJZP</t>
        </is>
      </c>
      <c r="E1341" s="43" t="inlineStr">
        <is>
          <t>MCGA</t>
        </is>
      </c>
      <c r="F1341" s="43" t="inlineStr">
        <is>
          <t>68-104854-01</t>
        </is>
      </c>
      <c r="G1341" s="43" t="inlineStr">
        <is>
          <t>OTHER_SCOPE_ITEM</t>
        </is>
      </c>
      <c r="H1341" s="43" t="inlineStr"/>
      <c r="I1341" s="43" t="inlineStr">
        <is>
          <t>Expired</t>
        </is>
      </c>
      <c r="J1341" s="32" t="n">
        <v>46285</v>
      </c>
      <c r="K1341" s="32" t="n">
        <v>46205</v>
      </c>
      <c r="L1341" s="43" t="inlineStr">
        <is>
          <t>569</t>
        </is>
      </c>
      <c r="M1341" s="43" t="n">
        <v>1</v>
      </c>
      <c r="N1341" s="33" t="inlineStr"/>
      <c r="O1341" s="43" t="inlineStr">
        <is>
          <t>UNVERIFIED</t>
        </is>
      </c>
      <c r="P1341" s="43" t="inlineStr">
        <is>
          <t>Pending Review</t>
        </is>
      </c>
      <c r="Q1341" s="33" t="inlineStr">
        <is>
          <t>Confirmar SKU/PCBA revision, PN exacto en Common DB, WO, BU, vigencia, planta y aprobacion firmada.</t>
        </is>
      </c>
    </row>
    <row r="1342">
      <c r="A1342" s="43" t="inlineStr">
        <is>
          <t>CTANJZ05311</t>
        </is>
      </c>
      <c r="B1342" s="43" t="inlineStr">
        <is>
          <t>D612169</t>
        </is>
      </c>
      <c r="C1342" s="43" t="inlineStr">
        <is>
          <t>035-CVEBU</t>
        </is>
      </c>
      <c r="D1342" s="43" t="inlineStr">
        <is>
          <t>FJZP</t>
        </is>
      </c>
      <c r="E1342" s="43" t="inlineStr">
        <is>
          <t>MCGA</t>
        </is>
      </c>
      <c r="F1342" s="43" t="inlineStr">
        <is>
          <t>73-103698-06</t>
        </is>
      </c>
      <c r="G1342" s="43" t="inlineStr">
        <is>
          <t>BOARD_PN_CANDIDATE</t>
        </is>
      </c>
      <c r="H1342" s="43" t="inlineStr"/>
      <c r="I1342" s="43" t="inlineStr">
        <is>
          <t>Expired</t>
        </is>
      </c>
      <c r="J1342" s="32" t="n">
        <v>46285</v>
      </c>
      <c r="K1342" s="32" t="n">
        <v>46205</v>
      </c>
      <c r="L1342" s="43" t="inlineStr">
        <is>
          <t>570</t>
        </is>
      </c>
      <c r="M1342" s="43" t="n">
        <v>1</v>
      </c>
      <c r="N1342" s="33" t="inlineStr"/>
      <c r="O1342" s="43" t="inlineStr">
        <is>
          <t>UNVERIFIED</t>
        </is>
      </c>
      <c r="P1342" s="43" t="inlineStr">
        <is>
          <t>Pending Review</t>
        </is>
      </c>
      <c r="Q1342" s="33" t="inlineStr">
        <is>
          <t>Confirmar SKU/PCBA revision, PN exacto en Common DB, WO, BU, vigencia, planta y aprobacion firmada.</t>
        </is>
      </c>
    </row>
    <row r="1343">
      <c r="A1343" s="43" t="inlineStr">
        <is>
          <t>CTANJZ05311</t>
        </is>
      </c>
      <c r="B1343" s="43" t="inlineStr">
        <is>
          <t>D612169</t>
        </is>
      </c>
      <c r="C1343" s="43" t="inlineStr">
        <is>
          <t>035-CVEBU</t>
        </is>
      </c>
      <c r="D1343" s="43" t="inlineStr">
        <is>
          <t>FJZP</t>
        </is>
      </c>
      <c r="E1343" s="43" t="inlineStr">
        <is>
          <t>MCGA</t>
        </is>
      </c>
      <c r="F1343" s="43" t="inlineStr">
        <is>
          <t>73-103940-06</t>
        </is>
      </c>
      <c r="G1343" s="43" t="inlineStr">
        <is>
          <t>BOARD_PN_CANDIDATE</t>
        </is>
      </c>
      <c r="H1343" s="43" t="inlineStr"/>
      <c r="I1343" s="43" t="inlineStr">
        <is>
          <t>Expired</t>
        </is>
      </c>
      <c r="J1343" s="32" t="n">
        <v>46285</v>
      </c>
      <c r="K1343" s="32" t="n">
        <v>46205</v>
      </c>
      <c r="L1343" s="43" t="inlineStr">
        <is>
          <t>571</t>
        </is>
      </c>
      <c r="M1343" s="43" t="n">
        <v>1</v>
      </c>
      <c r="N1343" s="33" t="inlineStr"/>
      <c r="O1343" s="43" t="inlineStr">
        <is>
          <t>UNVERIFIED</t>
        </is>
      </c>
      <c r="P1343" s="43" t="inlineStr">
        <is>
          <t>Pending Review</t>
        </is>
      </c>
      <c r="Q1343" s="33" t="inlineStr">
        <is>
          <t>Confirmar SKU/PCBA revision, PN exacto en Common DB, WO, BU, vigencia, planta y aprobacion firmada.</t>
        </is>
      </c>
    </row>
    <row r="1344">
      <c r="A1344" s="43" t="inlineStr">
        <is>
          <t>CTANJZ05311</t>
        </is>
      </c>
      <c r="B1344" s="43" t="inlineStr">
        <is>
          <t>D612169</t>
        </is>
      </c>
      <c r="C1344" s="43" t="inlineStr">
        <is>
          <t>035-CVEBU</t>
        </is>
      </c>
      <c r="D1344" s="43" t="inlineStr">
        <is>
          <t>FJZP</t>
        </is>
      </c>
      <c r="E1344" s="43" t="inlineStr">
        <is>
          <t>MCGA</t>
        </is>
      </c>
      <c r="F1344" s="43" t="inlineStr">
        <is>
          <t>800-113105-01</t>
        </is>
      </c>
      <c r="G1344" s="43" t="inlineStr">
        <is>
          <t>OTHER_SCOPE_ITEM</t>
        </is>
      </c>
      <c r="H1344" s="43" t="inlineStr"/>
      <c r="I1344" s="43" t="inlineStr">
        <is>
          <t>Expired</t>
        </is>
      </c>
      <c r="J1344" s="32" t="n">
        <v>46285</v>
      </c>
      <c r="K1344" s="32" t="n">
        <v>46205</v>
      </c>
      <c r="L1344" s="43" t="inlineStr">
        <is>
          <t>572</t>
        </is>
      </c>
      <c r="M1344" s="43" t="n">
        <v>1</v>
      </c>
      <c r="N1344" s="33" t="inlineStr"/>
      <c r="O1344" s="43" t="inlineStr">
        <is>
          <t>UNVERIFIED</t>
        </is>
      </c>
      <c r="P1344" s="43" t="inlineStr">
        <is>
          <t>Pending Review</t>
        </is>
      </c>
      <c r="Q1344" s="33" t="inlineStr">
        <is>
          <t>Confirmar SKU/PCBA revision, PN exacto en Common DB, WO, BU, vigencia, planta y aprobacion firmada.</t>
        </is>
      </c>
    </row>
    <row r="1345">
      <c r="A1345" s="43" t="inlineStr">
        <is>
          <t>CTANJZ05311</t>
        </is>
      </c>
      <c r="B1345" s="43" t="inlineStr">
        <is>
          <t>D612169</t>
        </is>
      </c>
      <c r="C1345" s="43" t="inlineStr">
        <is>
          <t>035-CVEBU</t>
        </is>
      </c>
      <c r="D1345" s="43" t="inlineStr">
        <is>
          <t>FJZP</t>
        </is>
      </c>
      <c r="E1345" s="43" t="inlineStr">
        <is>
          <t>MCGA</t>
        </is>
      </c>
      <c r="F1345" s="43" t="inlineStr">
        <is>
          <t>800-113255-01</t>
        </is>
      </c>
      <c r="G1345" s="43" t="inlineStr">
        <is>
          <t>OTHER_SCOPE_ITEM</t>
        </is>
      </c>
      <c r="H1345" s="43" t="inlineStr"/>
      <c r="I1345" s="43" t="inlineStr">
        <is>
          <t>Expired</t>
        </is>
      </c>
      <c r="J1345" s="32" t="n">
        <v>46285</v>
      </c>
      <c r="K1345" s="32" t="n">
        <v>46205</v>
      </c>
      <c r="L1345" s="43" t="inlineStr">
        <is>
          <t>573</t>
        </is>
      </c>
      <c r="M1345" s="43" t="n">
        <v>1</v>
      </c>
      <c r="N1345" s="33" t="inlineStr"/>
      <c r="O1345" s="43" t="inlineStr">
        <is>
          <t>UNVERIFIED</t>
        </is>
      </c>
      <c r="P1345" s="43" t="inlineStr">
        <is>
          <t>Pending Review</t>
        </is>
      </c>
      <c r="Q1345" s="33" t="inlineStr">
        <is>
          <t>Confirmar SKU/PCBA revision, PN exacto en Common DB, WO, BU, vigencia, planta y aprobacion firmada.</t>
        </is>
      </c>
    </row>
    <row r="1346">
      <c r="A1346" s="43" t="inlineStr">
        <is>
          <t>CTANJZ05312</t>
        </is>
      </c>
      <c r="B1346" s="43" t="inlineStr">
        <is>
          <t>DP526209</t>
        </is>
      </c>
      <c r="C1346" s="43" t="inlineStr">
        <is>
          <t>035-CVEBU</t>
        </is>
      </c>
      <c r="D1346" s="43" t="inlineStr">
        <is>
          <t>FJZP</t>
        </is>
      </c>
      <c r="E1346" s="43" t="inlineStr">
        <is>
          <t>MCGA</t>
        </is>
      </c>
      <c r="F1346" s="43" t="inlineStr">
        <is>
          <t>06-100763-02</t>
        </is>
      </c>
      <c r="G1346" s="43" t="inlineStr">
        <is>
          <t>OTHER_SCOPE_ITEM</t>
        </is>
      </c>
      <c r="H1346" s="43" t="inlineStr"/>
      <c r="I1346" s="43" t="inlineStr">
        <is>
          <t>Expired</t>
        </is>
      </c>
      <c r="J1346" s="32" t="n">
        <v>46235</v>
      </c>
      <c r="K1346" s="32" t="n">
        <v>46205</v>
      </c>
      <c r="L1346" s="43" t="inlineStr">
        <is>
          <t>193</t>
        </is>
      </c>
      <c r="M1346" s="43" t="n">
        <v>1</v>
      </c>
      <c r="N1346" s="33" t="inlineStr"/>
      <c r="O1346" s="43" t="inlineStr">
        <is>
          <t>UNVERIFIED</t>
        </is>
      </c>
      <c r="P1346" s="43" t="inlineStr">
        <is>
          <t>Pending Review</t>
        </is>
      </c>
      <c r="Q1346" s="33" t="inlineStr">
        <is>
          <t>Confirmar SKU/PCBA revision, PN exacto en Common DB, WO, BU, vigencia, planta y aprobacion firmada.</t>
        </is>
      </c>
    </row>
    <row r="1347">
      <c r="A1347" s="43" t="inlineStr">
        <is>
          <t>CTANJZ05313</t>
        </is>
      </c>
      <c r="B1347" s="43" t="inlineStr">
        <is>
          <t>DP526246</t>
        </is>
      </c>
      <c r="C1347" s="43" t="inlineStr">
        <is>
          <t>035-CVEBU</t>
        </is>
      </c>
      <c r="D1347" s="43" t="inlineStr">
        <is>
          <t>FJZP</t>
        </is>
      </c>
      <c r="E1347" s="43" t="inlineStr">
        <is>
          <t>MCGA</t>
        </is>
      </c>
      <c r="F1347" s="43" t="inlineStr">
        <is>
          <t>28-104164-06</t>
        </is>
      </c>
      <c r="G1347" s="43" t="inlineStr">
        <is>
          <t>BARE_PCB_PN_CANDIDATE</t>
        </is>
      </c>
      <c r="H1347" s="43" t="inlineStr"/>
      <c r="I1347" s="43" t="inlineStr">
        <is>
          <t>Expired</t>
        </is>
      </c>
      <c r="J1347" s="32" t="n">
        <v>46244</v>
      </c>
      <c r="K1347" s="32" t="n">
        <v>46205</v>
      </c>
      <c r="L1347" s="43" t="inlineStr">
        <is>
          <t>321</t>
        </is>
      </c>
      <c r="M1347" s="43" t="n">
        <v>1</v>
      </c>
      <c r="N1347" s="33" t="inlineStr"/>
      <c r="O1347" s="43" t="inlineStr">
        <is>
          <t>UNVERIFIED</t>
        </is>
      </c>
      <c r="P1347" s="43" t="inlineStr">
        <is>
          <t>Pending Review</t>
        </is>
      </c>
      <c r="Q1347" s="33" t="inlineStr">
        <is>
          <t>Confirmar SKU/PCBA revision, PN exacto en Common DB, WO, BU, vigencia, planta y aprobacion firmada.</t>
        </is>
      </c>
    </row>
    <row r="1348">
      <c r="A1348" s="43" t="inlineStr">
        <is>
          <t>CTANJZ05314</t>
        </is>
      </c>
      <c r="B1348" s="43" t="inlineStr">
        <is>
          <t>D612107</t>
        </is>
      </c>
      <c r="C1348" s="43" t="inlineStr">
        <is>
          <t>239-CRBU</t>
        </is>
      </c>
      <c r="D1348" s="43" t="inlineStr">
        <is>
          <t>FJZP</t>
        </is>
      </c>
      <c r="E1348" s="43" t="inlineStr">
        <is>
          <t>MCGA</t>
        </is>
      </c>
      <c r="F1348" s="43" t="inlineStr">
        <is>
          <t>15-105357-01</t>
        </is>
      </c>
      <c r="G1348" s="43" t="inlineStr">
        <is>
          <t>OTHER_SCOPE_ITEM</t>
        </is>
      </c>
      <c r="H1348" s="43" t="inlineStr"/>
      <c r="I1348" s="43" t="inlineStr">
        <is>
          <t>Expired</t>
        </is>
      </c>
      <c r="J1348" s="32" t="n">
        <v>46287</v>
      </c>
      <c r="K1348" s="32" t="n">
        <v>46218</v>
      </c>
      <c r="L1348" s="43" t="inlineStr">
        <is>
          <t>128,251</t>
        </is>
      </c>
      <c r="M1348" s="43" t="n">
        <v>2</v>
      </c>
      <c r="N1348" s="33" t="inlineStr"/>
      <c r="O1348" s="43" t="inlineStr">
        <is>
          <t>UNVERIFIED</t>
        </is>
      </c>
      <c r="P1348" s="43" t="inlineStr">
        <is>
          <t>Pending Review</t>
        </is>
      </c>
      <c r="Q1348" s="33" t="inlineStr">
        <is>
          <t>Confirmar SKU/PCBA revision, PN exacto en Common DB, WO, BU, vigencia, planta y aprobacion firmada.</t>
        </is>
      </c>
    </row>
    <row r="1349">
      <c r="A1349" s="43" t="inlineStr">
        <is>
          <t>CTANJZ05314</t>
        </is>
      </c>
      <c r="B1349" s="43" t="inlineStr">
        <is>
          <t>D612107</t>
        </is>
      </c>
      <c r="C1349" s="43" t="inlineStr">
        <is>
          <t>239-CRBU</t>
        </is>
      </c>
      <c r="D1349" s="43" t="inlineStr">
        <is>
          <t>FJZP</t>
        </is>
      </c>
      <c r="E1349" s="43" t="inlineStr">
        <is>
          <t>MCGA</t>
        </is>
      </c>
      <c r="F1349" s="43" t="inlineStr">
        <is>
          <t>73-20922-04</t>
        </is>
      </c>
      <c r="G1349" s="43" t="inlineStr">
        <is>
          <t>BOARD_PN_CANDIDATE</t>
        </is>
      </c>
      <c r="H1349" s="43" t="inlineStr"/>
      <c r="I1349" s="43" t="inlineStr">
        <is>
          <t>Expired</t>
        </is>
      </c>
      <c r="J1349" s="32" t="n">
        <v>46287</v>
      </c>
      <c r="K1349" s="32" t="n"/>
      <c r="L1349" s="43" t="inlineStr">
        <is>
          <t>55,175</t>
        </is>
      </c>
      <c r="M1349" s="43" t="n">
        <v>2</v>
      </c>
      <c r="N1349" s="33" t="inlineStr"/>
      <c r="O1349" s="43" t="inlineStr">
        <is>
          <t>UNVERIFIED</t>
        </is>
      </c>
      <c r="P1349" s="43" t="inlineStr">
        <is>
          <t>Pending Review</t>
        </is>
      </c>
      <c r="Q1349" s="33" t="inlineStr">
        <is>
          <t>Confirmar SKU/PCBA revision, PN exacto en Common DB, WO, BU, vigencia, planta y aprobacion firmada.</t>
        </is>
      </c>
    </row>
    <row r="1350">
      <c r="A1350" s="43" t="inlineStr">
        <is>
          <t>CTANJZ05318</t>
        </is>
      </c>
      <c r="B1350" s="43" t="inlineStr">
        <is>
          <t>D611340</t>
        </is>
      </c>
      <c r="C1350" s="43" t="inlineStr">
        <is>
          <t>035-CVEBU</t>
        </is>
      </c>
      <c r="D1350" s="43" t="inlineStr">
        <is>
          <t>FJZP</t>
        </is>
      </c>
      <c r="E1350" s="43" t="inlineStr">
        <is>
          <t>MCGA</t>
        </is>
      </c>
      <c r="F1350" s="43" t="inlineStr">
        <is>
          <t>28-103876-09</t>
        </is>
      </c>
      <c r="G1350" s="43" t="inlineStr">
        <is>
          <t>BARE_PCB_PN_CANDIDATE</t>
        </is>
      </c>
      <c r="H1350" s="43" t="inlineStr"/>
      <c r="I1350" s="43" t="inlineStr">
        <is>
          <t>Expired</t>
        </is>
      </c>
      <c r="J1350" s="32" t="n">
        <v>46250</v>
      </c>
      <c r="K1350" s="32" t="n">
        <v>46205</v>
      </c>
      <c r="L1350" s="43" t="inlineStr">
        <is>
          <t>1885</t>
        </is>
      </c>
      <c r="M1350" s="43" t="n">
        <v>1</v>
      </c>
      <c r="N1350" s="33" t="inlineStr"/>
      <c r="O1350" s="43" t="inlineStr">
        <is>
          <t>UNVERIFIED</t>
        </is>
      </c>
      <c r="P1350" s="43" t="inlineStr">
        <is>
          <t>Pending Review</t>
        </is>
      </c>
      <c r="Q1350" s="33" t="inlineStr">
        <is>
          <t>Confirmar SKU/PCBA revision, PN exacto en Common DB, WO, BU, vigencia, planta y aprobacion firmada.</t>
        </is>
      </c>
    </row>
    <row r="1351">
      <c r="A1351" s="43" t="inlineStr">
        <is>
          <t>CTANJZ05318</t>
        </is>
      </c>
      <c r="B1351" s="43" t="inlineStr">
        <is>
          <t>D611340</t>
        </is>
      </c>
      <c r="C1351" s="43" t="inlineStr">
        <is>
          <t>035-CVEBU</t>
        </is>
      </c>
      <c r="D1351" s="43" t="inlineStr">
        <is>
          <t>FJZP</t>
        </is>
      </c>
      <c r="E1351" s="43" t="inlineStr">
        <is>
          <t>MCGA</t>
        </is>
      </c>
      <c r="F1351" s="43" t="inlineStr">
        <is>
          <t>28-103877-03</t>
        </is>
      </c>
      <c r="G1351" s="43" t="inlineStr">
        <is>
          <t>BARE_PCB_PN_CANDIDATE</t>
        </is>
      </c>
      <c r="H1351" s="43" t="inlineStr"/>
      <c r="I1351" s="43" t="inlineStr">
        <is>
          <t>Expired</t>
        </is>
      </c>
      <c r="J1351" s="32" t="n">
        <v>46250</v>
      </c>
      <c r="K1351" s="32" t="n">
        <v>46205</v>
      </c>
      <c r="L1351" s="43" t="inlineStr">
        <is>
          <t>1886</t>
        </is>
      </c>
      <c r="M1351" s="43" t="n">
        <v>1</v>
      </c>
      <c r="N1351" s="33" t="inlineStr"/>
      <c r="O1351" s="43" t="inlineStr">
        <is>
          <t>UNVERIFIED</t>
        </is>
      </c>
      <c r="P1351" s="43" t="inlineStr">
        <is>
          <t>Pending Review</t>
        </is>
      </c>
      <c r="Q1351" s="33" t="inlineStr">
        <is>
          <t>Confirmar SKU/PCBA revision, PN exacto en Common DB, WO, BU, vigencia, planta y aprobacion firmada.</t>
        </is>
      </c>
    </row>
    <row r="1352">
      <c r="A1352" s="43" t="inlineStr">
        <is>
          <t>CTANJZ05319</t>
        </is>
      </c>
      <c r="B1352" s="43" t="inlineStr">
        <is>
          <t>D612288</t>
        </is>
      </c>
      <c r="C1352" s="43" t="inlineStr">
        <is>
          <t>035-CVEBU</t>
        </is>
      </c>
      <c r="D1352" s="43" t="inlineStr">
        <is>
          <t>FJZP</t>
        </is>
      </c>
      <c r="E1352" s="43" t="inlineStr">
        <is>
          <t>MCGA</t>
        </is>
      </c>
      <c r="F1352" s="43" t="inlineStr">
        <is>
          <t>78-101799-01</t>
        </is>
      </c>
      <c r="G1352" s="43" t="inlineStr">
        <is>
          <t>OTHER_SCOPE_ITEM</t>
        </is>
      </c>
      <c r="H1352" s="43" t="inlineStr"/>
      <c r="I1352" s="43" t="inlineStr">
        <is>
          <t>Expired</t>
        </is>
      </c>
      <c r="J1352" s="32" t="n">
        <v>46287</v>
      </c>
      <c r="K1352" s="32" t="n">
        <v>46205</v>
      </c>
      <c r="L1352" s="43" t="inlineStr">
        <is>
          <t>1258</t>
        </is>
      </c>
      <c r="M1352" s="43" t="n">
        <v>1</v>
      </c>
      <c r="N1352" s="33" t="inlineStr"/>
      <c r="O1352" s="43" t="inlineStr">
        <is>
          <t>UNVERIFIED</t>
        </is>
      </c>
      <c r="P1352" s="43" t="inlineStr">
        <is>
          <t>Pending Review</t>
        </is>
      </c>
      <c r="Q1352" s="33" t="inlineStr">
        <is>
          <t>Confirmar SKU/PCBA revision, PN exacto en Common DB, WO, BU, vigencia, planta y aprobacion firmada.</t>
        </is>
      </c>
    </row>
    <row r="1353">
      <c r="A1353" s="43" t="inlineStr">
        <is>
          <t>CTANJZ05320</t>
        </is>
      </c>
      <c r="B1353" s="43" t="inlineStr">
        <is>
          <t>D612244</t>
        </is>
      </c>
      <c r="C1353" s="43" t="inlineStr">
        <is>
          <t>037-STBU</t>
        </is>
      </c>
      <c r="D1353" s="43" t="inlineStr">
        <is>
          <t>FJZP</t>
        </is>
      </c>
      <c r="E1353" s="43" t="inlineStr">
        <is>
          <t>MCGA</t>
        </is>
      </c>
      <c r="F1353" s="43" t="inlineStr">
        <is>
          <t>17-102472-02</t>
        </is>
      </c>
      <c r="G1353" s="43" t="inlineStr">
        <is>
          <t>OTHER_SCOPE_ITEM</t>
        </is>
      </c>
      <c r="H1353" s="43" t="inlineStr"/>
      <c r="I1353" s="43" t="inlineStr">
        <is>
          <t>Expired</t>
        </is>
      </c>
      <c r="J1353" s="32" t="n">
        <v>46288</v>
      </c>
      <c r="K1353" s="32" t="n">
        <v>46219</v>
      </c>
      <c r="L1353" s="43" t="inlineStr">
        <is>
          <t>1259</t>
        </is>
      </c>
      <c r="M1353" s="43" t="n">
        <v>1</v>
      </c>
      <c r="N1353" s="33" t="inlineStr"/>
      <c r="O1353" s="43" t="inlineStr">
        <is>
          <t>UNVERIFIED</t>
        </is>
      </c>
      <c r="P1353" s="43" t="inlineStr">
        <is>
          <t>Pending Review</t>
        </is>
      </c>
      <c r="Q1353" s="33" t="inlineStr">
        <is>
          <t>Confirmar SKU/PCBA revision, PN exacto en Common DB, WO, BU, vigencia, planta y aprobacion firmada.</t>
        </is>
      </c>
    </row>
    <row r="1354">
      <c r="A1354" s="43" t="inlineStr">
        <is>
          <t>CTANJZ05320</t>
        </is>
      </c>
      <c r="B1354" s="43" t="inlineStr">
        <is>
          <t>D612244</t>
        </is>
      </c>
      <c r="C1354" s="43" t="inlineStr">
        <is>
          <t>037-STBU</t>
        </is>
      </c>
      <c r="D1354" s="43" t="inlineStr">
        <is>
          <t>FJZP</t>
        </is>
      </c>
      <c r="E1354" s="43" t="inlineStr">
        <is>
          <t>MCGA</t>
        </is>
      </c>
      <c r="F1354" s="43" t="inlineStr">
        <is>
          <t>73-102433-05</t>
        </is>
      </c>
      <c r="G1354" s="43" t="inlineStr">
        <is>
          <t>BOARD_PN_CANDIDATE</t>
        </is>
      </c>
      <c r="H1354" s="43" t="inlineStr"/>
      <c r="I1354" s="43" t="inlineStr">
        <is>
          <t>Expired</t>
        </is>
      </c>
      <c r="J1354" s="32" t="n">
        <v>46288</v>
      </c>
      <c r="K1354" s="32" t="n">
        <v>46219</v>
      </c>
      <c r="L1354" s="43" t="inlineStr">
        <is>
          <t>1260</t>
        </is>
      </c>
      <c r="M1354" s="43" t="n">
        <v>1</v>
      </c>
      <c r="N1354" s="33" t="inlineStr"/>
      <c r="O1354" s="43" t="inlineStr">
        <is>
          <t>UNVERIFIED</t>
        </is>
      </c>
      <c r="P1354" s="43" t="inlineStr">
        <is>
          <t>Pending Review</t>
        </is>
      </c>
      <c r="Q1354" s="33" t="inlineStr">
        <is>
          <t>Confirmar SKU/PCBA revision, PN exacto en Common DB, WO, BU, vigencia, planta y aprobacion firmada.</t>
        </is>
      </c>
    </row>
    <row r="1355">
      <c r="A1355" s="43" t="inlineStr">
        <is>
          <t>CTANJZ05320</t>
        </is>
      </c>
      <c r="B1355" s="43" t="inlineStr">
        <is>
          <t>D612244</t>
        </is>
      </c>
      <c r="C1355" s="43" t="inlineStr">
        <is>
          <t>037-STBU</t>
        </is>
      </c>
      <c r="D1355" s="43" t="inlineStr">
        <is>
          <t>FJZP</t>
        </is>
      </c>
      <c r="E1355" s="43" t="inlineStr">
        <is>
          <t>MCGA</t>
        </is>
      </c>
      <c r="F1355" s="43" t="inlineStr">
        <is>
          <t>73-102434-05</t>
        </is>
      </c>
      <c r="G1355" s="43" t="inlineStr">
        <is>
          <t>BOARD_PN_CANDIDATE</t>
        </is>
      </c>
      <c r="H1355" s="43" t="inlineStr"/>
      <c r="I1355" s="43" t="inlineStr">
        <is>
          <t>Expired</t>
        </is>
      </c>
      <c r="J1355" s="32" t="n">
        <v>46288</v>
      </c>
      <c r="K1355" s="32" t="n">
        <v>46219</v>
      </c>
      <c r="L1355" s="43" t="inlineStr">
        <is>
          <t>1261</t>
        </is>
      </c>
      <c r="M1355" s="43" t="n">
        <v>1</v>
      </c>
      <c r="N1355" s="33" t="inlineStr"/>
      <c r="O1355" s="43" t="inlineStr">
        <is>
          <t>UNVERIFIED</t>
        </is>
      </c>
      <c r="P1355" s="43" t="inlineStr">
        <is>
          <t>Pending Review</t>
        </is>
      </c>
      <c r="Q1355" s="33" t="inlineStr">
        <is>
          <t>Confirmar SKU/PCBA revision, PN exacto en Common DB, WO, BU, vigencia, planta y aprobacion firmada.</t>
        </is>
      </c>
    </row>
    <row r="1356">
      <c r="A1356" s="43" t="inlineStr">
        <is>
          <t>CTANJZ05320</t>
        </is>
      </c>
      <c r="B1356" s="43" t="inlineStr">
        <is>
          <t>D612244</t>
        </is>
      </c>
      <c r="C1356" s="43" t="inlineStr">
        <is>
          <t>037-STBU</t>
        </is>
      </c>
      <c r="D1356" s="43" t="inlineStr">
        <is>
          <t>FJZP</t>
        </is>
      </c>
      <c r="E1356" s="43" t="inlineStr">
        <is>
          <t>MCGA</t>
        </is>
      </c>
      <c r="F1356" s="43" t="inlineStr">
        <is>
          <t>73-102435-05</t>
        </is>
      </c>
      <c r="G1356" s="43" t="inlineStr">
        <is>
          <t>BOARD_PN_CANDIDATE</t>
        </is>
      </c>
      <c r="H1356" s="43" t="inlineStr"/>
      <c r="I1356" s="43" t="inlineStr">
        <is>
          <t>Expired</t>
        </is>
      </c>
      <c r="J1356" s="32" t="n">
        <v>46288</v>
      </c>
      <c r="K1356" s="32" t="n">
        <v>46219</v>
      </c>
      <c r="L1356" s="43" t="inlineStr">
        <is>
          <t>1262</t>
        </is>
      </c>
      <c r="M1356" s="43" t="n">
        <v>1</v>
      </c>
      <c r="N1356" s="33" t="inlineStr"/>
      <c r="O1356" s="43" t="inlineStr">
        <is>
          <t>UNVERIFIED</t>
        </is>
      </c>
      <c r="P1356" s="43" t="inlineStr">
        <is>
          <t>Pending Review</t>
        </is>
      </c>
      <c r="Q1356" s="33" t="inlineStr">
        <is>
          <t>Confirmar SKU/PCBA revision, PN exacto en Common DB, WO, BU, vigencia, planta y aprobacion firmada.</t>
        </is>
      </c>
    </row>
    <row r="1357">
      <c r="A1357" s="43" t="inlineStr">
        <is>
          <t>CTANJZ05322</t>
        </is>
      </c>
      <c r="B1357" s="43" t="inlineStr">
        <is>
          <t>D612106</t>
        </is>
      </c>
      <c r="C1357" s="43" t="inlineStr">
        <is>
          <t>239-CRBU</t>
        </is>
      </c>
      <c r="D1357" s="43" t="inlineStr">
        <is>
          <t>FJZP</t>
        </is>
      </c>
      <c r="E1357" s="43" t="inlineStr">
        <is>
          <t>MCGA</t>
        </is>
      </c>
      <c r="F1357" s="43" t="inlineStr">
        <is>
          <t>15-105357-01</t>
        </is>
      </c>
      <c r="G1357" s="43" t="inlineStr">
        <is>
          <t>OTHER_SCOPE_ITEM</t>
        </is>
      </c>
      <c r="H1357" s="43" t="inlineStr"/>
      <c r="I1357" s="43" t="inlineStr">
        <is>
          <t>Extended</t>
        </is>
      </c>
      <c r="J1357" s="32" t="n">
        <v>46377</v>
      </c>
      <c r="K1357" s="32" t="n">
        <v>46223</v>
      </c>
      <c r="L1357" s="43" t="inlineStr">
        <is>
          <t>88,267</t>
        </is>
      </c>
      <c r="M1357" s="43" t="n">
        <v>2</v>
      </c>
      <c r="N1357" s="33" t="inlineStr"/>
      <c r="O1357" s="43" t="inlineStr">
        <is>
          <t>UNVERIFIED</t>
        </is>
      </c>
      <c r="P1357" s="43" t="inlineStr">
        <is>
          <t>Pending Review</t>
        </is>
      </c>
      <c r="Q1357" s="33" t="inlineStr">
        <is>
          <t>Confirmar SKU/PCBA revision, PN exacto en Common DB, WO, BU, vigencia, planta y aprobacion firmada.</t>
        </is>
      </c>
    </row>
    <row r="1358">
      <c r="A1358" s="43" t="inlineStr">
        <is>
          <t>CTANJZ05322</t>
        </is>
      </c>
      <c r="B1358" s="43" t="inlineStr">
        <is>
          <t>D612106</t>
        </is>
      </c>
      <c r="C1358" s="43" t="inlineStr">
        <is>
          <t>239-CRBU</t>
        </is>
      </c>
      <c r="D1358" s="43" t="inlineStr">
        <is>
          <t>FJZP</t>
        </is>
      </c>
      <c r="E1358" s="43" t="inlineStr">
        <is>
          <t>MCGA</t>
        </is>
      </c>
      <c r="F1358" s="43" t="inlineStr">
        <is>
          <t>73-102363-05</t>
        </is>
      </c>
      <c r="G1358" s="43" t="inlineStr">
        <is>
          <t>BOARD_PN_CANDIDATE</t>
        </is>
      </c>
      <c r="H1358" s="43" t="inlineStr"/>
      <c r="I1358" s="43" t="inlineStr">
        <is>
          <t>Extended</t>
        </is>
      </c>
      <c r="J1358" s="32" t="n">
        <v>46377</v>
      </c>
      <c r="K1358" s="32" t="n">
        <v>46223</v>
      </c>
      <c r="L1358" s="43" t="inlineStr">
        <is>
          <t>89,268</t>
        </is>
      </c>
      <c r="M1358" s="43" t="n">
        <v>2</v>
      </c>
      <c r="N1358" s="33" t="inlineStr"/>
      <c r="O1358" s="43" t="inlineStr">
        <is>
          <t>UNVERIFIED</t>
        </is>
      </c>
      <c r="P1358" s="43" t="inlineStr">
        <is>
          <t>Pending Review</t>
        </is>
      </c>
      <c r="Q1358" s="33" t="inlineStr">
        <is>
          <t>Confirmar SKU/PCBA revision, PN exacto en Common DB, WO, BU, vigencia, planta y aprobacion firmada.</t>
        </is>
      </c>
    </row>
    <row r="1359">
      <c r="A1359" s="43" t="inlineStr">
        <is>
          <t>CTANJZ05323</t>
        </is>
      </c>
      <c r="B1359" s="43" t="inlineStr">
        <is>
          <t>D611825</t>
        </is>
      </c>
      <c r="C1359" s="43" t="inlineStr">
        <is>
          <t>239-CRBU</t>
        </is>
      </c>
      <c r="D1359" s="43" t="inlineStr">
        <is>
          <t>FJZP</t>
        </is>
      </c>
      <c r="E1359" s="43" t="inlineStr">
        <is>
          <t>MCGA</t>
        </is>
      </c>
      <c r="F1359" s="43" t="inlineStr">
        <is>
          <t>29-102696-03</t>
        </is>
      </c>
      <c r="G1359" s="43" t="inlineStr">
        <is>
          <t>OTHER_SCOPE_ITEM</t>
        </is>
      </c>
      <c r="H1359" s="43" t="inlineStr"/>
      <c r="I1359" s="43" t="inlineStr">
        <is>
          <t>Extended</t>
        </is>
      </c>
      <c r="J1359" s="32" t="n">
        <v>46378</v>
      </c>
      <c r="K1359" s="32" t="n">
        <v>46223</v>
      </c>
      <c r="L1359" s="43" t="inlineStr">
        <is>
          <t>90,269</t>
        </is>
      </c>
      <c r="M1359" s="43" t="n">
        <v>2</v>
      </c>
      <c r="N1359" s="33" t="inlineStr"/>
      <c r="O1359" s="43" t="inlineStr">
        <is>
          <t>UNVERIFIED</t>
        </is>
      </c>
      <c r="P1359" s="43" t="inlineStr">
        <is>
          <t>Pending Review</t>
        </is>
      </c>
      <c r="Q1359" s="33" t="inlineStr">
        <is>
          <t>Confirmar SKU/PCBA revision, PN exacto en Common DB, WO, BU, vigencia, planta y aprobacion firmada.</t>
        </is>
      </c>
    </row>
    <row r="1360">
      <c r="A1360" s="43" t="inlineStr">
        <is>
          <t>CTANJZ05325</t>
        </is>
      </c>
      <c r="B1360" s="43" t="inlineStr">
        <is>
          <t>D611994</t>
        </is>
      </c>
      <c r="C1360" s="43" t="inlineStr">
        <is>
          <t>035-CVEBU</t>
        </is>
      </c>
      <c r="D1360" s="43" t="inlineStr">
        <is>
          <t>FJZP</t>
        </is>
      </c>
      <c r="E1360" s="43" t="inlineStr">
        <is>
          <t>MCGA</t>
        </is>
      </c>
      <c r="F1360" s="43" t="inlineStr">
        <is>
          <t>15-110893-01</t>
        </is>
      </c>
      <c r="G1360" s="43" t="inlineStr">
        <is>
          <t>OTHER_SCOPE_ITEM</t>
        </is>
      </c>
      <c r="H1360" s="43" t="inlineStr"/>
      <c r="I1360" s="43" t="inlineStr">
        <is>
          <t>Expired</t>
        </is>
      </c>
      <c r="J1360" s="32" t="n">
        <v>46289</v>
      </c>
      <c r="K1360" s="32" t="n">
        <v>46218</v>
      </c>
      <c r="L1360" s="43" t="inlineStr">
        <is>
          <t>1197</t>
        </is>
      </c>
      <c r="M1360" s="43" t="n">
        <v>1</v>
      </c>
      <c r="N1360" s="33" t="inlineStr"/>
      <c r="O1360" s="43" t="inlineStr">
        <is>
          <t>UNVERIFIED</t>
        </is>
      </c>
      <c r="P1360" s="43" t="inlineStr">
        <is>
          <t>Pending Review</t>
        </is>
      </c>
      <c r="Q1360" s="33" t="inlineStr">
        <is>
          <t>Confirmar SKU/PCBA revision, PN exacto en Common DB, WO, BU, vigencia, planta y aprobacion firmada.</t>
        </is>
      </c>
    </row>
    <row r="1361">
      <c r="A1361" s="43" t="inlineStr">
        <is>
          <t>CTANJZ05325</t>
        </is>
      </c>
      <c r="B1361" s="43" t="inlineStr">
        <is>
          <t>D611994</t>
        </is>
      </c>
      <c r="C1361" s="43" t="inlineStr">
        <is>
          <t>035-CVEBU</t>
        </is>
      </c>
      <c r="D1361" s="43" t="inlineStr">
        <is>
          <t>FJZP</t>
        </is>
      </c>
      <c r="E1361" s="43" t="inlineStr">
        <is>
          <t>MCGA</t>
        </is>
      </c>
      <c r="F1361" s="43" t="inlineStr">
        <is>
          <t>15-110981-01</t>
        </is>
      </c>
      <c r="G1361" s="43" t="inlineStr">
        <is>
          <t>OTHER_SCOPE_ITEM</t>
        </is>
      </c>
      <c r="H1361" s="43" t="inlineStr"/>
      <c r="I1361" s="43" t="inlineStr">
        <is>
          <t>Expired</t>
        </is>
      </c>
      <c r="J1361" s="32" t="n">
        <v>46289</v>
      </c>
      <c r="K1361" s="32" t="n">
        <v>46218</v>
      </c>
      <c r="L1361" s="43" t="inlineStr">
        <is>
          <t>1198</t>
        </is>
      </c>
      <c r="M1361" s="43" t="n">
        <v>1</v>
      </c>
      <c r="N1361" s="33" t="inlineStr"/>
      <c r="O1361" s="43" t="inlineStr">
        <is>
          <t>UNVERIFIED</t>
        </is>
      </c>
      <c r="P1361" s="43" t="inlineStr">
        <is>
          <t>Pending Review</t>
        </is>
      </c>
      <c r="Q1361" s="33" t="inlineStr">
        <is>
          <t>Confirmar SKU/PCBA revision, PN exacto en Common DB, WO, BU, vigencia, planta y aprobacion firmada.</t>
        </is>
      </c>
    </row>
    <row r="1362">
      <c r="A1362" s="43" t="inlineStr">
        <is>
          <t>CTANJZ05325</t>
        </is>
      </c>
      <c r="B1362" s="43" t="inlineStr">
        <is>
          <t>D611994</t>
        </is>
      </c>
      <c r="C1362" s="43" t="inlineStr">
        <is>
          <t>035-CVEBU</t>
        </is>
      </c>
      <c r="D1362" s="43" t="inlineStr">
        <is>
          <t>FJZP</t>
        </is>
      </c>
      <c r="E1362" s="43" t="inlineStr">
        <is>
          <t>MCGA</t>
        </is>
      </c>
      <c r="F1362" s="43" t="inlineStr">
        <is>
          <t>73-103826-05</t>
        </is>
      </c>
      <c r="G1362" s="43" t="inlineStr">
        <is>
          <t>BOARD_PN_CANDIDATE</t>
        </is>
      </c>
      <c r="H1362" s="43" t="inlineStr">
        <is>
          <t>BAYFRONT</t>
        </is>
      </c>
      <c r="I1362" s="43" t="inlineStr">
        <is>
          <t>Expired</t>
        </is>
      </c>
      <c r="J1362" s="32" t="n">
        <v>46289</v>
      </c>
      <c r="K1362" s="32" t="n">
        <v>46218</v>
      </c>
      <c r="L1362" s="43" t="inlineStr">
        <is>
          <t>1352</t>
        </is>
      </c>
      <c r="M1362" s="43" t="n">
        <v>1</v>
      </c>
      <c r="N1362" s="33" t="inlineStr"/>
      <c r="O1362" s="43" t="inlineStr">
        <is>
          <t>UNVERIFIED</t>
        </is>
      </c>
      <c r="P1362" s="43" t="inlineStr">
        <is>
          <t>Pending Review</t>
        </is>
      </c>
      <c r="Q1362" s="33" t="inlineStr">
        <is>
          <t>Confirmar SKU/PCBA revision, PN exacto en Common DB, WO, BU, vigencia, planta y aprobacion firmada.</t>
        </is>
      </c>
    </row>
    <row r="1363">
      <c r="A1363" s="43" t="inlineStr">
        <is>
          <t>CTANJZ05325</t>
        </is>
      </c>
      <c r="B1363" s="43" t="inlineStr">
        <is>
          <t>D611994</t>
        </is>
      </c>
      <c r="C1363" s="43" t="inlineStr">
        <is>
          <t>035-CVEBU</t>
        </is>
      </c>
      <c r="D1363" s="43" t="inlineStr">
        <is>
          <t>FJZP</t>
        </is>
      </c>
      <c r="E1363" s="43" t="inlineStr">
        <is>
          <t>MCGA</t>
        </is>
      </c>
      <c r="F1363" s="43" t="inlineStr">
        <is>
          <t>73-103880-05</t>
        </is>
      </c>
      <c r="G1363" s="43" t="inlineStr">
        <is>
          <t>BOARD_PN_CANDIDATE</t>
        </is>
      </c>
      <c r="H1363" s="43" t="inlineStr"/>
      <c r="I1363" s="43" t="inlineStr">
        <is>
          <t>Expired</t>
        </is>
      </c>
      <c r="J1363" s="32" t="n">
        <v>46289</v>
      </c>
      <c r="K1363" s="32" t="n">
        <v>46218</v>
      </c>
      <c r="L1363" s="43" t="inlineStr">
        <is>
          <t>1353</t>
        </is>
      </c>
      <c r="M1363" s="43" t="n">
        <v>1</v>
      </c>
      <c r="N1363" s="33" t="inlineStr"/>
      <c r="O1363" s="43" t="inlineStr">
        <is>
          <t>UNVERIFIED</t>
        </is>
      </c>
      <c r="P1363" s="43" t="inlineStr">
        <is>
          <t>Pending Review</t>
        </is>
      </c>
      <c r="Q1363" s="33" t="inlineStr">
        <is>
          <t>Confirmar SKU/PCBA revision, PN exacto en Common DB, WO, BU, vigencia, planta y aprobacion firmada.</t>
        </is>
      </c>
    </row>
    <row r="1364">
      <c r="A1364" s="43" t="inlineStr">
        <is>
          <t>CTANJZ05326</t>
        </is>
      </c>
      <c r="B1364" s="43" t="inlineStr">
        <is>
          <t>DP526159</t>
        </is>
      </c>
      <c r="C1364" s="43" t="inlineStr">
        <is>
          <t>035-CVEBU</t>
        </is>
      </c>
      <c r="D1364" s="43" t="inlineStr">
        <is>
          <t>FJZP</t>
        </is>
      </c>
      <c r="E1364" s="43" t="inlineStr">
        <is>
          <t>MCGA</t>
        </is>
      </c>
      <c r="F1364" s="43" t="inlineStr">
        <is>
          <t>28-104228-04</t>
        </is>
      </c>
      <c r="G1364" s="43" t="inlineStr">
        <is>
          <t>BARE_PCB_PN_CANDIDATE</t>
        </is>
      </c>
      <c r="H1364" s="43" t="inlineStr"/>
      <c r="I1364" s="43" t="inlineStr">
        <is>
          <t>Expired</t>
        </is>
      </c>
      <c r="J1364" s="32" t="n">
        <v>46223</v>
      </c>
      <c r="K1364" s="32" t="n">
        <v>46211</v>
      </c>
      <c r="L1364" s="43" t="inlineStr">
        <is>
          <t>183</t>
        </is>
      </c>
      <c r="M1364" s="43" t="n">
        <v>1</v>
      </c>
      <c r="N1364" s="33" t="inlineStr"/>
      <c r="O1364" s="43" t="inlineStr">
        <is>
          <t>UNVERIFIED</t>
        </is>
      </c>
      <c r="P1364" s="43" t="inlineStr">
        <is>
          <t>Pending Review</t>
        </is>
      </c>
      <c r="Q1364" s="33" t="inlineStr">
        <is>
          <t>Confirmar SKU/PCBA revision, PN exacto en Common DB, WO, BU, vigencia, planta y aprobacion firmada.</t>
        </is>
      </c>
    </row>
    <row r="1365">
      <c r="A1365" s="43" t="inlineStr">
        <is>
          <t>CTANJZ05327</t>
        </is>
      </c>
      <c r="B1365" s="43" t="inlineStr">
        <is>
          <t>D612196</t>
        </is>
      </c>
      <c r="C1365" s="43" t="inlineStr">
        <is>
          <t>037-STBU</t>
        </is>
      </c>
      <c r="D1365" s="43" t="inlineStr">
        <is>
          <t>FJZP</t>
        </is>
      </c>
      <c r="E1365" s="43" t="inlineStr">
        <is>
          <t>MCGA</t>
        </is>
      </c>
      <c r="F1365" s="43" t="inlineStr">
        <is>
          <t>25-1283-01</t>
        </is>
      </c>
      <c r="G1365" s="43" t="inlineStr">
        <is>
          <t>OTHER_SCOPE_ITEM</t>
        </is>
      </c>
      <c r="H1365" s="43" t="inlineStr"/>
      <c r="I1365" s="43" t="inlineStr">
        <is>
          <t>Expired</t>
        </is>
      </c>
      <c r="J1365" s="32" t="n">
        <v>46292</v>
      </c>
      <c r="K1365" s="32" t="n">
        <v>46223</v>
      </c>
      <c r="L1365" s="43" t="inlineStr">
        <is>
          <t>1805</t>
        </is>
      </c>
      <c r="M1365" s="43" t="n">
        <v>1</v>
      </c>
      <c r="N1365" s="33" t="inlineStr"/>
      <c r="O1365" s="43" t="inlineStr">
        <is>
          <t>UNVERIFIED</t>
        </is>
      </c>
      <c r="P1365" s="43" t="inlineStr">
        <is>
          <t>Pending Review</t>
        </is>
      </c>
      <c r="Q1365" s="33" t="inlineStr">
        <is>
          <t>Confirmar SKU/PCBA revision, PN exacto en Common DB, WO, BU, vigencia, planta y aprobacion firmada.</t>
        </is>
      </c>
    </row>
    <row r="1366">
      <c r="A1366" s="43" t="inlineStr">
        <is>
          <t>CTANJZ05327</t>
        </is>
      </c>
      <c r="B1366" s="43" t="inlineStr">
        <is>
          <t>D612196</t>
        </is>
      </c>
      <c r="C1366" s="43" t="inlineStr">
        <is>
          <t>037-STBU</t>
        </is>
      </c>
      <c r="D1366" s="43" t="inlineStr">
        <is>
          <t>FJZP</t>
        </is>
      </c>
      <c r="E1366" s="43" t="inlineStr">
        <is>
          <t>MCGA</t>
        </is>
      </c>
      <c r="F1366" s="43" t="inlineStr">
        <is>
          <t>73-102418-04</t>
        </is>
      </c>
      <c r="G1366" s="43" t="inlineStr">
        <is>
          <t>BOARD_PN_CANDIDATE</t>
        </is>
      </c>
      <c r="H1366" s="43" t="inlineStr"/>
      <c r="I1366" s="43" t="inlineStr">
        <is>
          <t>Expired</t>
        </is>
      </c>
      <c r="J1366" s="32" t="n">
        <v>46292</v>
      </c>
      <c r="K1366" s="32" t="n">
        <v>46223</v>
      </c>
      <c r="L1366" s="43" t="inlineStr">
        <is>
          <t>1806</t>
        </is>
      </c>
      <c r="M1366" s="43" t="n">
        <v>1</v>
      </c>
      <c r="N1366" s="33" t="inlineStr"/>
      <c r="O1366" s="43" t="inlineStr">
        <is>
          <t>UNVERIFIED</t>
        </is>
      </c>
      <c r="P1366" s="43" t="inlineStr">
        <is>
          <t>Pending Review</t>
        </is>
      </c>
      <c r="Q1366" s="33" t="inlineStr">
        <is>
          <t>Confirmar SKU/PCBA revision, PN exacto en Common DB, WO, BU, vigencia, planta y aprobacion firmada.</t>
        </is>
      </c>
    </row>
    <row r="1367">
      <c r="A1367" s="43" t="inlineStr">
        <is>
          <t>CTANJZ05327</t>
        </is>
      </c>
      <c r="B1367" s="43" t="inlineStr">
        <is>
          <t>D612196</t>
        </is>
      </c>
      <c r="C1367" s="43" t="inlineStr">
        <is>
          <t>037-STBU</t>
        </is>
      </c>
      <c r="D1367" s="43" t="inlineStr">
        <is>
          <t>FJZP</t>
        </is>
      </c>
      <c r="E1367" s="43" t="inlineStr">
        <is>
          <t>MCGA</t>
        </is>
      </c>
      <c r="F1367" s="43" t="inlineStr">
        <is>
          <t>73-102483-02</t>
        </is>
      </c>
      <c r="G1367" s="43" t="inlineStr">
        <is>
          <t>BOARD_PN_CANDIDATE</t>
        </is>
      </c>
      <c r="H1367" s="43" t="inlineStr"/>
      <c r="I1367" s="43" t="inlineStr">
        <is>
          <t>Expired</t>
        </is>
      </c>
      <c r="J1367" s="32" t="n">
        <v>46292</v>
      </c>
      <c r="K1367" s="32" t="n">
        <v>46223</v>
      </c>
      <c r="L1367" s="43" t="inlineStr">
        <is>
          <t>1845</t>
        </is>
      </c>
      <c r="M1367" s="43" t="n">
        <v>1</v>
      </c>
      <c r="N1367" s="33" t="inlineStr"/>
      <c r="O1367" s="43" t="inlineStr">
        <is>
          <t>UNVERIFIED</t>
        </is>
      </c>
      <c r="P1367" s="43" t="inlineStr">
        <is>
          <t>Pending Review</t>
        </is>
      </c>
      <c r="Q1367" s="33" t="inlineStr">
        <is>
          <t>Confirmar SKU/PCBA revision, PN exacto en Common DB, WO, BU, vigencia, planta y aprobacion firmada.</t>
        </is>
      </c>
    </row>
    <row r="1368">
      <c r="A1368" s="43" t="inlineStr">
        <is>
          <t>CTANJZ05327</t>
        </is>
      </c>
      <c r="B1368" s="43" t="inlineStr">
        <is>
          <t>D612196</t>
        </is>
      </c>
      <c r="C1368" s="43" t="inlineStr">
        <is>
          <t>037-STBU</t>
        </is>
      </c>
      <c r="D1368" s="43" t="inlineStr">
        <is>
          <t>FJZP</t>
        </is>
      </c>
      <c r="E1368" s="43" t="inlineStr">
        <is>
          <t>MCGA</t>
        </is>
      </c>
      <c r="F1368" s="43" t="inlineStr">
        <is>
          <t>73-103633-04</t>
        </is>
      </c>
      <c r="G1368" s="43" t="inlineStr">
        <is>
          <t>BOARD_PN_CANDIDATE</t>
        </is>
      </c>
      <c r="H1368" s="43" t="inlineStr"/>
      <c r="I1368" s="43" t="inlineStr">
        <is>
          <t>Expired</t>
        </is>
      </c>
      <c r="J1368" s="32" t="n">
        <v>46292</v>
      </c>
      <c r="K1368" s="32" t="n">
        <v>46223</v>
      </c>
      <c r="L1368" s="43" t="inlineStr">
        <is>
          <t>1846</t>
        </is>
      </c>
      <c r="M1368" s="43" t="n">
        <v>1</v>
      </c>
      <c r="N1368" s="33" t="inlineStr"/>
      <c r="O1368" s="43" t="inlineStr">
        <is>
          <t>UNVERIFIED</t>
        </is>
      </c>
      <c r="P1368" s="43" t="inlineStr">
        <is>
          <t>Pending Review</t>
        </is>
      </c>
      <c r="Q1368" s="33" t="inlineStr">
        <is>
          <t>Confirmar SKU/PCBA revision, PN exacto en Common DB, WO, BU, vigencia, planta y aprobacion firmada.</t>
        </is>
      </c>
    </row>
    <row r="1369">
      <c r="A1369" s="43" t="inlineStr">
        <is>
          <t>CTANJZ05327</t>
        </is>
      </c>
      <c r="B1369" s="43" t="inlineStr">
        <is>
          <t>D612196</t>
        </is>
      </c>
      <c r="C1369" s="43" t="inlineStr">
        <is>
          <t>037-STBU</t>
        </is>
      </c>
      <c r="D1369" s="43" t="inlineStr">
        <is>
          <t>FJZP</t>
        </is>
      </c>
      <c r="E1369" s="43" t="inlineStr">
        <is>
          <t>MCGA</t>
        </is>
      </c>
      <c r="F1369" s="43" t="inlineStr">
        <is>
          <t>73-103788-04</t>
        </is>
      </c>
      <c r="G1369" s="43" t="inlineStr">
        <is>
          <t>BOARD_PN_CANDIDATE</t>
        </is>
      </c>
      <c r="H1369" s="43" t="inlineStr"/>
      <c r="I1369" s="43" t="inlineStr">
        <is>
          <t>Expired</t>
        </is>
      </c>
      <c r="J1369" s="32" t="n">
        <v>46292</v>
      </c>
      <c r="K1369" s="32" t="n">
        <v>46223</v>
      </c>
      <c r="L1369" s="43" t="inlineStr">
        <is>
          <t>1847</t>
        </is>
      </c>
      <c r="M1369" s="43" t="n">
        <v>1</v>
      </c>
      <c r="N1369" s="33" t="inlineStr"/>
      <c r="O1369" s="43" t="inlineStr">
        <is>
          <t>UNVERIFIED</t>
        </is>
      </c>
      <c r="P1369" s="43" t="inlineStr">
        <is>
          <t>Pending Review</t>
        </is>
      </c>
      <c r="Q1369" s="33" t="inlineStr">
        <is>
          <t>Confirmar SKU/PCBA revision, PN exacto en Common DB, WO, BU, vigencia, planta y aprobacion firmada.</t>
        </is>
      </c>
    </row>
    <row r="1370">
      <c r="A1370" s="43" t="inlineStr">
        <is>
          <t>CTANJZ05327</t>
        </is>
      </c>
      <c r="B1370" s="43" t="inlineStr">
        <is>
          <t>D612196</t>
        </is>
      </c>
      <c r="C1370" s="43" t="inlineStr">
        <is>
          <t>037-STBU</t>
        </is>
      </c>
      <c r="D1370" s="43" t="inlineStr">
        <is>
          <t>FJZP</t>
        </is>
      </c>
      <c r="E1370" s="43" t="inlineStr">
        <is>
          <t>MCGA</t>
        </is>
      </c>
      <c r="F1370" s="43" t="inlineStr">
        <is>
          <t>73-20247-06</t>
        </is>
      </c>
      <c r="G1370" s="43" t="inlineStr">
        <is>
          <t>BOARD_PN_CANDIDATE</t>
        </is>
      </c>
      <c r="H1370" s="43" t="inlineStr">
        <is>
          <t>TUFNELL PARK</t>
        </is>
      </c>
      <c r="I1370" s="43" t="inlineStr">
        <is>
          <t>Expired</t>
        </is>
      </c>
      <c r="J1370" s="32" t="n">
        <v>46292</v>
      </c>
      <c r="K1370" s="32" t="n">
        <v>46223</v>
      </c>
      <c r="L1370" s="43" t="inlineStr">
        <is>
          <t>1848</t>
        </is>
      </c>
      <c r="M1370" s="43" t="n">
        <v>1</v>
      </c>
      <c r="N1370" s="33" t="inlineStr"/>
      <c r="O1370" s="43" t="inlineStr">
        <is>
          <t>UNVERIFIED</t>
        </is>
      </c>
      <c r="P1370" s="43" t="inlineStr">
        <is>
          <t>Pending Review</t>
        </is>
      </c>
      <c r="Q1370" s="33" t="inlineStr">
        <is>
          <t>Confirmar SKU/PCBA revision, PN exacto en Common DB, WO, BU, vigencia, planta y aprobacion firmada.</t>
        </is>
      </c>
    </row>
    <row r="1371">
      <c r="A1371" s="43" t="inlineStr">
        <is>
          <t>CTANJZ05327</t>
        </is>
      </c>
      <c r="B1371" s="43" t="inlineStr">
        <is>
          <t>D612196</t>
        </is>
      </c>
      <c r="C1371" s="43" t="inlineStr">
        <is>
          <t>037-STBU</t>
        </is>
      </c>
      <c r="D1371" s="43" t="inlineStr">
        <is>
          <t>FJZP</t>
        </is>
      </c>
      <c r="E1371" s="43" t="inlineStr">
        <is>
          <t>MCGA</t>
        </is>
      </c>
      <c r="F1371" s="43" t="inlineStr">
        <is>
          <t>73-20249-06</t>
        </is>
      </c>
      <c r="G1371" s="43" t="inlineStr">
        <is>
          <t>BOARD_PN_CANDIDATE</t>
        </is>
      </c>
      <c r="H1371" s="43" t="inlineStr">
        <is>
          <t>TUFNELL PARK</t>
        </is>
      </c>
      <c r="I1371" s="43" t="inlineStr">
        <is>
          <t>Expired</t>
        </is>
      </c>
      <c r="J1371" s="32" t="n">
        <v>46292</v>
      </c>
      <c r="K1371" s="32" t="n">
        <v>46223</v>
      </c>
      <c r="L1371" s="43" t="inlineStr">
        <is>
          <t>1849</t>
        </is>
      </c>
      <c r="M1371" s="43" t="n">
        <v>1</v>
      </c>
      <c r="N1371" s="33" t="inlineStr"/>
      <c r="O1371" s="43" t="inlineStr">
        <is>
          <t>UNVERIFIED</t>
        </is>
      </c>
      <c r="P1371" s="43" t="inlineStr">
        <is>
          <t>Pending Review</t>
        </is>
      </c>
      <c r="Q1371" s="33" t="inlineStr">
        <is>
          <t>Confirmar SKU/PCBA revision, PN exacto en Common DB, WO, BU, vigencia, planta y aprobacion firmada.</t>
        </is>
      </c>
    </row>
    <row r="1372">
      <c r="A1372" s="43" t="inlineStr">
        <is>
          <t>CTANJZ05328</t>
        </is>
      </c>
      <c r="B1372" s="43" t="inlineStr">
        <is>
          <t>D611690</t>
        </is>
      </c>
      <c r="C1372" s="43" t="inlineStr">
        <is>
          <t>239-CRBU</t>
        </is>
      </c>
      <c r="D1372" s="43" t="inlineStr">
        <is>
          <t>FJZP</t>
        </is>
      </c>
      <c r="E1372" s="43" t="inlineStr">
        <is>
          <t>MCGA</t>
        </is>
      </c>
      <c r="F1372" s="43" t="inlineStr">
        <is>
          <t>73-19875-07</t>
        </is>
      </c>
      <c r="G1372" s="43" t="inlineStr">
        <is>
          <t>BOARD_PN_CANDIDATE</t>
        </is>
      </c>
      <c r="H1372" s="43" t="inlineStr"/>
      <c r="I1372" s="43" t="inlineStr">
        <is>
          <t>Expired</t>
        </is>
      </c>
      <c r="J1372" s="32" t="n">
        <v>46292</v>
      </c>
      <c r="K1372" s="32" t="n">
        <v>46227</v>
      </c>
      <c r="L1372" s="43" t="inlineStr">
        <is>
          <t>1354</t>
        </is>
      </c>
      <c r="M1372" s="43" t="n">
        <v>1</v>
      </c>
      <c r="N1372" s="33" t="inlineStr"/>
      <c r="O1372" s="43" t="inlineStr">
        <is>
          <t>UNVERIFIED</t>
        </is>
      </c>
      <c r="P1372" s="43" t="inlineStr">
        <is>
          <t>Pending Review</t>
        </is>
      </c>
      <c r="Q1372" s="33" t="inlineStr">
        <is>
          <t>Confirmar SKU/PCBA revision, PN exacto en Common DB, WO, BU, vigencia, planta y aprobacion firmada.</t>
        </is>
      </c>
    </row>
    <row r="1373">
      <c r="A1373" s="43" t="inlineStr">
        <is>
          <t>CTANJZ05330</t>
        </is>
      </c>
      <c r="B1373" s="43" t="inlineStr">
        <is>
          <t>D612291</t>
        </is>
      </c>
      <c r="C1373" s="43" t="inlineStr">
        <is>
          <t>035-CVEBU</t>
        </is>
      </c>
      <c r="D1373" s="43" t="inlineStr">
        <is>
          <t>FJZP</t>
        </is>
      </c>
      <c r="E1373" s="43" t="inlineStr">
        <is>
          <t>MCGA</t>
        </is>
      </c>
      <c r="F1373" s="43" t="inlineStr">
        <is>
          <t>15-110522-02</t>
        </is>
      </c>
      <c r="G1373" s="43" t="inlineStr">
        <is>
          <t>OTHER_SCOPE_ITEM</t>
        </is>
      </c>
      <c r="H1373" s="43" t="inlineStr"/>
      <c r="I1373" s="43" t="inlineStr">
        <is>
          <t>Expired</t>
        </is>
      </c>
      <c r="J1373" s="32" t="n">
        <v>46293</v>
      </c>
      <c r="K1373" s="32" t="n">
        <v>46218</v>
      </c>
      <c r="L1373" s="43" t="inlineStr">
        <is>
          <t>649</t>
        </is>
      </c>
      <c r="M1373" s="43" t="n">
        <v>1</v>
      </c>
      <c r="N1373" s="33" t="inlineStr"/>
      <c r="O1373" s="43" t="inlineStr">
        <is>
          <t>UNVERIFIED</t>
        </is>
      </c>
      <c r="P1373" s="43" t="inlineStr">
        <is>
          <t>Pending Review</t>
        </is>
      </c>
      <c r="Q1373" s="33" t="inlineStr">
        <is>
          <t>Confirmar SKU/PCBA revision, PN exacto en Common DB, WO, BU, vigencia, planta y aprobacion firmada.</t>
        </is>
      </c>
    </row>
    <row r="1374">
      <c r="A1374" s="43" t="inlineStr">
        <is>
          <t>CTANJZ05330</t>
        </is>
      </c>
      <c r="B1374" s="43" t="inlineStr">
        <is>
          <t>D612291</t>
        </is>
      </c>
      <c r="C1374" s="43" t="inlineStr">
        <is>
          <t>035-CVEBU</t>
        </is>
      </c>
      <c r="D1374" s="43" t="inlineStr">
        <is>
          <t>FJZP</t>
        </is>
      </c>
      <c r="E1374" s="43" t="inlineStr">
        <is>
          <t>MCGA</t>
        </is>
      </c>
      <c r="F1374" s="43" t="inlineStr">
        <is>
          <t>73-103820-04</t>
        </is>
      </c>
      <c r="G1374" s="43" t="inlineStr">
        <is>
          <t>BOARD_PN_CANDIDATE</t>
        </is>
      </c>
      <c r="H1374" s="43" t="inlineStr"/>
      <c r="I1374" s="43" t="inlineStr">
        <is>
          <t>Expired</t>
        </is>
      </c>
      <c r="J1374" s="32" t="n">
        <v>46293</v>
      </c>
      <c r="K1374" s="32" t="n">
        <v>46218</v>
      </c>
      <c r="L1374" s="43" t="inlineStr">
        <is>
          <t>650</t>
        </is>
      </c>
      <c r="M1374" s="43" t="n">
        <v>1</v>
      </c>
      <c r="N1374" s="33" t="inlineStr"/>
      <c r="O1374" s="43" t="inlineStr">
        <is>
          <t>UNVERIFIED</t>
        </is>
      </c>
      <c r="P1374" s="43" t="inlineStr">
        <is>
          <t>Pending Review</t>
        </is>
      </c>
      <c r="Q1374" s="33" t="inlineStr">
        <is>
          <t>Confirmar SKU/PCBA revision, PN exacto en Common DB, WO, BU, vigencia, planta y aprobacion firmada.</t>
        </is>
      </c>
    </row>
    <row r="1375">
      <c r="A1375" s="43" t="inlineStr">
        <is>
          <t>CTANJZ05330</t>
        </is>
      </c>
      <c r="B1375" s="43" t="inlineStr">
        <is>
          <t>D612291</t>
        </is>
      </c>
      <c r="C1375" s="43" t="inlineStr">
        <is>
          <t>035-CVEBU</t>
        </is>
      </c>
      <c r="D1375" s="43" t="inlineStr">
        <is>
          <t>FJZP</t>
        </is>
      </c>
      <c r="E1375" s="43" t="inlineStr">
        <is>
          <t>MCGA</t>
        </is>
      </c>
      <c r="F1375" s="43" t="inlineStr">
        <is>
          <t>73-103922-04</t>
        </is>
      </c>
      <c r="G1375" s="43" t="inlineStr">
        <is>
          <t>BOARD_PN_CANDIDATE</t>
        </is>
      </c>
      <c r="H1375" s="43" t="inlineStr"/>
      <c r="I1375" s="43" t="inlineStr">
        <is>
          <t>Expired</t>
        </is>
      </c>
      <c r="J1375" s="32" t="n">
        <v>46293</v>
      </c>
      <c r="K1375" s="32" t="n">
        <v>46218</v>
      </c>
      <c r="L1375" s="43" t="inlineStr">
        <is>
          <t>651</t>
        </is>
      </c>
      <c r="M1375" s="43" t="n">
        <v>1</v>
      </c>
      <c r="N1375" s="33" t="inlineStr"/>
      <c r="O1375" s="43" t="inlineStr">
        <is>
          <t>UNVERIFIED</t>
        </is>
      </c>
      <c r="P1375" s="43" t="inlineStr">
        <is>
          <t>Pending Review</t>
        </is>
      </c>
      <c r="Q1375" s="33" t="inlineStr">
        <is>
          <t>Confirmar SKU/PCBA revision, PN exacto en Common DB, WO, BU, vigencia, planta y aprobacion firmada.</t>
        </is>
      </c>
    </row>
    <row r="1376">
      <c r="A1376" s="43" t="inlineStr">
        <is>
          <t>CTANJZ05333</t>
        </is>
      </c>
      <c r="B1376" s="43" t="inlineStr">
        <is>
          <t>D611891</t>
        </is>
      </c>
      <c r="C1376" s="43" t="inlineStr">
        <is>
          <t>239-CRBU</t>
        </is>
      </c>
      <c r="D1376" s="43" t="inlineStr">
        <is>
          <t>FJZP</t>
        </is>
      </c>
      <c r="E1376" s="43" t="inlineStr">
        <is>
          <t>MCGA</t>
        </is>
      </c>
      <c r="F1376" s="43" t="inlineStr">
        <is>
          <t>29-102696-03</t>
        </is>
      </c>
      <c r="G1376" s="43" t="inlineStr">
        <is>
          <t>OTHER_SCOPE_ITEM</t>
        </is>
      </c>
      <c r="H1376" s="43" t="inlineStr"/>
      <c r="I1376" s="43" t="inlineStr">
        <is>
          <t>Expired</t>
        </is>
      </c>
      <c r="J1376" s="32" t="n">
        <v>46293</v>
      </c>
      <c r="K1376" s="32" t="n">
        <v>46224</v>
      </c>
      <c r="L1376" s="43" t="inlineStr">
        <is>
          <t>136,198</t>
        </is>
      </c>
      <c r="M1376" s="43" t="n">
        <v>2</v>
      </c>
      <c r="N1376" s="33" t="inlineStr"/>
      <c r="O1376" s="43" t="inlineStr">
        <is>
          <t>UNVERIFIED</t>
        </is>
      </c>
      <c r="P1376" s="43" t="inlineStr">
        <is>
          <t>Pending Review</t>
        </is>
      </c>
      <c r="Q1376" s="33" t="inlineStr">
        <is>
          <t>Confirmar SKU/PCBA revision, PN exacto en Common DB, WO, BU, vigencia, planta y aprobacion firmada.</t>
        </is>
      </c>
    </row>
    <row r="1377">
      <c r="A1377" s="43" t="inlineStr">
        <is>
          <t>CTANJZ05333</t>
        </is>
      </c>
      <c r="B1377" s="43" t="inlineStr">
        <is>
          <t>D611891</t>
        </is>
      </c>
      <c r="C1377" s="43" t="inlineStr">
        <is>
          <t>239-CRBU</t>
        </is>
      </c>
      <c r="D1377" s="43" t="inlineStr">
        <is>
          <t>FJZP</t>
        </is>
      </c>
      <c r="E1377" s="43" t="inlineStr">
        <is>
          <t>MCGA</t>
        </is>
      </c>
      <c r="F1377" s="43" t="inlineStr">
        <is>
          <t>73-20922-04</t>
        </is>
      </c>
      <c r="G1377" s="43" t="inlineStr">
        <is>
          <t>BOARD_PN_CANDIDATE</t>
        </is>
      </c>
      <c r="H1377" s="43" t="inlineStr"/>
      <c r="I1377" s="43" t="inlineStr">
        <is>
          <t>Expired</t>
        </is>
      </c>
      <c r="J1377" s="32" t="n">
        <v>46293</v>
      </c>
      <c r="K1377" s="32" t="n"/>
      <c r="L1377" s="43" t="inlineStr">
        <is>
          <t>114,248</t>
        </is>
      </c>
      <c r="M1377" s="43" t="n">
        <v>2</v>
      </c>
      <c r="N1377" s="33" t="inlineStr"/>
      <c r="O1377" s="43" t="inlineStr">
        <is>
          <t>UNVERIFIED</t>
        </is>
      </c>
      <c r="P1377" s="43" t="inlineStr">
        <is>
          <t>Pending Review</t>
        </is>
      </c>
      <c r="Q1377" s="33" t="inlineStr">
        <is>
          <t>Confirmar SKU/PCBA revision, PN exacto en Common DB, WO, BU, vigencia, planta y aprobacion firmada.</t>
        </is>
      </c>
    </row>
    <row r="1378">
      <c r="A1378" s="43" t="inlineStr">
        <is>
          <t>CTANJZ05335</t>
        </is>
      </c>
      <c r="B1378" s="43" t="inlineStr">
        <is>
          <t>D612467</t>
        </is>
      </c>
      <c r="C1378" s="43" t="inlineStr">
        <is>
          <t>037-STBU</t>
        </is>
      </c>
      <c r="D1378" s="43" t="inlineStr">
        <is>
          <t>FJZP</t>
        </is>
      </c>
      <c r="E1378" s="43" t="inlineStr">
        <is>
          <t>MCGA</t>
        </is>
      </c>
      <c r="F1378" s="43" t="inlineStr">
        <is>
          <t>28-101945-03</t>
        </is>
      </c>
      <c r="G1378" s="43" t="inlineStr">
        <is>
          <t>BARE_PCB_PN_CANDIDATE</t>
        </is>
      </c>
      <c r="H1378" s="43" t="inlineStr"/>
      <c r="I1378" s="43" t="inlineStr">
        <is>
          <t>Expired</t>
        </is>
      </c>
      <c r="J1378" s="32" t="n">
        <v>46294</v>
      </c>
      <c r="K1378" s="32" t="n">
        <v>46219</v>
      </c>
      <c r="L1378" s="43" t="inlineStr">
        <is>
          <t>1509</t>
        </is>
      </c>
      <c r="M1378" s="43" t="n">
        <v>1</v>
      </c>
      <c r="N1378" s="33" t="inlineStr"/>
      <c r="O1378" s="43" t="inlineStr">
        <is>
          <t>UNVERIFIED</t>
        </is>
      </c>
      <c r="P1378" s="43" t="inlineStr">
        <is>
          <t>Pending Review</t>
        </is>
      </c>
      <c r="Q1378" s="33" t="inlineStr">
        <is>
          <t>Confirmar SKU/PCBA revision, PN exacto en Common DB, WO, BU, vigencia, planta y aprobacion firmada.</t>
        </is>
      </c>
    </row>
    <row r="1379">
      <c r="A1379" s="43" t="inlineStr">
        <is>
          <t>CTANJZ05335</t>
        </is>
      </c>
      <c r="B1379" s="43" t="inlineStr">
        <is>
          <t>D612467</t>
        </is>
      </c>
      <c r="C1379" s="43" t="inlineStr">
        <is>
          <t>037-STBU</t>
        </is>
      </c>
      <c r="D1379" s="43" t="inlineStr">
        <is>
          <t>FJZP</t>
        </is>
      </c>
      <c r="E1379" s="43" t="inlineStr">
        <is>
          <t>MCGA</t>
        </is>
      </c>
      <c r="F1379" s="43" t="inlineStr">
        <is>
          <t>28-101946-03</t>
        </is>
      </c>
      <c r="G1379" s="43" t="inlineStr">
        <is>
          <t>BARE_PCB_PN_CANDIDATE</t>
        </is>
      </c>
      <c r="H1379" s="43" t="inlineStr"/>
      <c r="I1379" s="43" t="inlineStr">
        <is>
          <t>Expired</t>
        </is>
      </c>
      <c r="J1379" s="32" t="n">
        <v>46294</v>
      </c>
      <c r="K1379" s="32" t="n">
        <v>46219</v>
      </c>
      <c r="L1379" s="43" t="inlineStr">
        <is>
          <t>1510</t>
        </is>
      </c>
      <c r="M1379" s="43" t="n">
        <v>1</v>
      </c>
      <c r="N1379" s="33" t="inlineStr"/>
      <c r="O1379" s="43" t="inlineStr">
        <is>
          <t>UNVERIFIED</t>
        </is>
      </c>
      <c r="P1379" s="43" t="inlineStr">
        <is>
          <t>Pending Review</t>
        </is>
      </c>
      <c r="Q1379" s="33" t="inlineStr">
        <is>
          <t>Confirmar SKU/PCBA revision, PN exacto en Common DB, WO, BU, vigencia, planta y aprobacion firmada.</t>
        </is>
      </c>
    </row>
    <row r="1380">
      <c r="A1380" s="43" t="inlineStr">
        <is>
          <t>CTANJZ05335</t>
        </is>
      </c>
      <c r="B1380" s="43" t="inlineStr">
        <is>
          <t>D612467</t>
        </is>
      </c>
      <c r="C1380" s="43" t="inlineStr">
        <is>
          <t>037-STBU</t>
        </is>
      </c>
      <c r="D1380" s="43" t="inlineStr">
        <is>
          <t>FJZP</t>
        </is>
      </c>
      <c r="E1380" s="43" t="inlineStr">
        <is>
          <t>MCGA</t>
        </is>
      </c>
      <c r="F1380" s="43" t="inlineStr">
        <is>
          <t>28-102178-04</t>
        </is>
      </c>
      <c r="G1380" s="43" t="inlineStr">
        <is>
          <t>BARE_PCB_PN_CANDIDATE</t>
        </is>
      </c>
      <c r="H1380" s="43" t="inlineStr"/>
      <c r="I1380" s="43" t="inlineStr">
        <is>
          <t>Expired</t>
        </is>
      </c>
      <c r="J1380" s="32" t="n">
        <v>46294</v>
      </c>
      <c r="K1380" s="32" t="n">
        <v>46219</v>
      </c>
      <c r="L1380" s="43" t="inlineStr">
        <is>
          <t>1511</t>
        </is>
      </c>
      <c r="M1380" s="43" t="n">
        <v>1</v>
      </c>
      <c r="N1380" s="33" t="inlineStr"/>
      <c r="O1380" s="43" t="inlineStr">
        <is>
          <t>UNVERIFIED</t>
        </is>
      </c>
      <c r="P1380" s="43" t="inlineStr">
        <is>
          <t>Pending Review</t>
        </is>
      </c>
      <c r="Q1380" s="33" t="inlineStr">
        <is>
          <t>Confirmar SKU/PCBA revision, PN exacto en Common DB, WO, BU, vigencia, planta y aprobacion firmada.</t>
        </is>
      </c>
    </row>
    <row r="1381">
      <c r="A1381" s="43" t="inlineStr">
        <is>
          <t>CTANJZ05335</t>
        </is>
      </c>
      <c r="B1381" s="43" t="inlineStr">
        <is>
          <t>D612467</t>
        </is>
      </c>
      <c r="C1381" s="43" t="inlineStr">
        <is>
          <t>037-STBU</t>
        </is>
      </c>
      <c r="D1381" s="43" t="inlineStr">
        <is>
          <t>FJZP</t>
        </is>
      </c>
      <c r="E1381" s="43" t="inlineStr">
        <is>
          <t>MCGA</t>
        </is>
      </c>
      <c r="F1381" s="43" t="inlineStr">
        <is>
          <t>28-102180-04</t>
        </is>
      </c>
      <c r="G1381" s="43" t="inlineStr">
        <is>
          <t>BARE_PCB_PN_CANDIDATE</t>
        </is>
      </c>
      <c r="H1381" s="43" t="inlineStr"/>
      <c r="I1381" s="43" t="inlineStr">
        <is>
          <t>Expired</t>
        </is>
      </c>
      <c r="J1381" s="32" t="n">
        <v>46294</v>
      </c>
      <c r="K1381" s="32" t="n">
        <v>46219</v>
      </c>
      <c r="L1381" s="43" t="inlineStr">
        <is>
          <t>1512</t>
        </is>
      </c>
      <c r="M1381" s="43" t="n">
        <v>1</v>
      </c>
      <c r="N1381" s="33" t="inlineStr"/>
      <c r="O1381" s="43" t="inlineStr">
        <is>
          <t>UNVERIFIED</t>
        </is>
      </c>
      <c r="P1381" s="43" t="inlineStr">
        <is>
          <t>Pending Review</t>
        </is>
      </c>
      <c r="Q1381" s="33" t="inlineStr">
        <is>
          <t>Confirmar SKU/PCBA revision, PN exacto en Common DB, WO, BU, vigencia, planta y aprobacion firmada.</t>
        </is>
      </c>
    </row>
    <row r="1382">
      <c r="A1382" s="43" t="inlineStr">
        <is>
          <t>CTANJZ05335</t>
        </is>
      </c>
      <c r="B1382" s="43" t="inlineStr">
        <is>
          <t>D612467</t>
        </is>
      </c>
      <c r="C1382" s="43" t="inlineStr">
        <is>
          <t>037-STBU</t>
        </is>
      </c>
      <c r="D1382" s="43" t="inlineStr">
        <is>
          <t>FJZP</t>
        </is>
      </c>
      <c r="E1382" s="43" t="inlineStr">
        <is>
          <t>MCGA</t>
        </is>
      </c>
      <c r="F1382" s="43" t="inlineStr">
        <is>
          <t>28-102297-04</t>
        </is>
      </c>
      <c r="G1382" s="43" t="inlineStr">
        <is>
          <t>BARE_PCB_PN_CANDIDATE</t>
        </is>
      </c>
      <c r="H1382" s="43" t="inlineStr"/>
      <c r="I1382" s="43" t="inlineStr">
        <is>
          <t>Expired</t>
        </is>
      </c>
      <c r="J1382" s="32" t="n">
        <v>46294</v>
      </c>
      <c r="K1382" s="32" t="n">
        <v>46219</v>
      </c>
      <c r="L1382" s="43" t="inlineStr">
        <is>
          <t>1513</t>
        </is>
      </c>
      <c r="M1382" s="43" t="n">
        <v>1</v>
      </c>
      <c r="N1382" s="33" t="inlineStr"/>
      <c r="O1382" s="43" t="inlineStr">
        <is>
          <t>UNVERIFIED</t>
        </is>
      </c>
      <c r="P1382" s="43" t="inlineStr">
        <is>
          <t>Pending Review</t>
        </is>
      </c>
      <c r="Q1382" s="33" t="inlineStr">
        <is>
          <t>Confirmar SKU/PCBA revision, PN exacto en Common DB, WO, BU, vigencia, planta y aprobacion firmada.</t>
        </is>
      </c>
    </row>
    <row r="1383">
      <c r="A1383" s="43" t="inlineStr">
        <is>
          <t>CTANJZ05335</t>
        </is>
      </c>
      <c r="B1383" s="43" t="inlineStr">
        <is>
          <t>D612467</t>
        </is>
      </c>
      <c r="C1383" s="43" t="inlineStr">
        <is>
          <t>037-STBU</t>
        </is>
      </c>
      <c r="D1383" s="43" t="inlineStr">
        <is>
          <t>FJZP</t>
        </is>
      </c>
      <c r="E1383" s="43" t="inlineStr">
        <is>
          <t>MCGA</t>
        </is>
      </c>
      <c r="F1383" s="43" t="inlineStr">
        <is>
          <t>28-102298-03</t>
        </is>
      </c>
      <c r="G1383" s="43" t="inlineStr">
        <is>
          <t>BARE_PCB_PN_CANDIDATE</t>
        </is>
      </c>
      <c r="H1383" s="43" t="inlineStr"/>
      <c r="I1383" s="43" t="inlineStr">
        <is>
          <t>Expired</t>
        </is>
      </c>
      <c r="J1383" s="32" t="n">
        <v>46294</v>
      </c>
      <c r="K1383" s="32" t="n">
        <v>46219</v>
      </c>
      <c r="L1383" s="43" t="inlineStr">
        <is>
          <t>1514</t>
        </is>
      </c>
      <c r="M1383" s="43" t="n">
        <v>1</v>
      </c>
      <c r="N1383" s="33" t="inlineStr"/>
      <c r="O1383" s="43" t="inlineStr">
        <is>
          <t>UNVERIFIED</t>
        </is>
      </c>
      <c r="P1383" s="43" t="inlineStr">
        <is>
          <t>Pending Review</t>
        </is>
      </c>
      <c r="Q1383" s="33" t="inlineStr">
        <is>
          <t>Confirmar SKU/PCBA revision, PN exacto en Common DB, WO, BU, vigencia, planta y aprobacion firmada.</t>
        </is>
      </c>
    </row>
    <row r="1384">
      <c r="A1384" s="43" t="inlineStr">
        <is>
          <t>CTANJZ05335</t>
        </is>
      </c>
      <c r="B1384" s="43" t="inlineStr">
        <is>
          <t>D612467</t>
        </is>
      </c>
      <c r="C1384" s="43" t="inlineStr">
        <is>
          <t>037-STBU</t>
        </is>
      </c>
      <c r="D1384" s="43" t="inlineStr">
        <is>
          <t>FJZP</t>
        </is>
      </c>
      <c r="E1384" s="43" t="inlineStr">
        <is>
          <t>MCGA</t>
        </is>
      </c>
      <c r="F1384" s="43" t="inlineStr">
        <is>
          <t>73-101944-03</t>
        </is>
      </c>
      <c r="G1384" s="43" t="inlineStr">
        <is>
          <t>BOARD_PN_CANDIDATE</t>
        </is>
      </c>
      <c r="H1384" s="43" t="inlineStr"/>
      <c r="I1384" s="43" t="inlineStr">
        <is>
          <t>Expired</t>
        </is>
      </c>
      <c r="J1384" s="32" t="n">
        <v>46294</v>
      </c>
      <c r="K1384" s="32" t="n">
        <v>46219</v>
      </c>
      <c r="L1384" s="43" t="inlineStr">
        <is>
          <t>1587</t>
        </is>
      </c>
      <c r="M1384" s="43" t="n">
        <v>1</v>
      </c>
      <c r="N1384" s="33" t="inlineStr"/>
      <c r="O1384" s="43" t="inlineStr">
        <is>
          <t>UNVERIFIED</t>
        </is>
      </c>
      <c r="P1384" s="43" t="inlineStr">
        <is>
          <t>Pending Review</t>
        </is>
      </c>
      <c r="Q1384" s="33" t="inlineStr">
        <is>
          <t>Confirmar SKU/PCBA revision, PN exacto en Common DB, WO, BU, vigencia, planta y aprobacion firmada.</t>
        </is>
      </c>
    </row>
    <row r="1385">
      <c r="A1385" s="43" t="inlineStr">
        <is>
          <t>CTANJZ05335</t>
        </is>
      </c>
      <c r="B1385" s="43" t="inlineStr">
        <is>
          <t>D612467</t>
        </is>
      </c>
      <c r="C1385" s="43" t="inlineStr">
        <is>
          <t>037-STBU</t>
        </is>
      </c>
      <c r="D1385" s="43" t="inlineStr">
        <is>
          <t>FJZP</t>
        </is>
      </c>
      <c r="E1385" s="43" t="inlineStr">
        <is>
          <t>MCGA</t>
        </is>
      </c>
      <c r="F1385" s="43" t="inlineStr">
        <is>
          <t>73-101945-03</t>
        </is>
      </c>
      <c r="G1385" s="43" t="inlineStr">
        <is>
          <t>BOARD_PN_CANDIDATE</t>
        </is>
      </c>
      <c r="H1385" s="43" t="inlineStr"/>
      <c r="I1385" s="43" t="inlineStr">
        <is>
          <t>Expired</t>
        </is>
      </c>
      <c r="J1385" s="32" t="n">
        <v>46294</v>
      </c>
      <c r="K1385" s="32" t="n">
        <v>46219</v>
      </c>
      <c r="L1385" s="43" t="inlineStr">
        <is>
          <t>1588</t>
        </is>
      </c>
      <c r="M1385" s="43" t="n">
        <v>1</v>
      </c>
      <c r="N1385" s="33" t="inlineStr"/>
      <c r="O1385" s="43" t="inlineStr">
        <is>
          <t>UNVERIFIED</t>
        </is>
      </c>
      <c r="P1385" s="43" t="inlineStr">
        <is>
          <t>Pending Review</t>
        </is>
      </c>
      <c r="Q1385" s="33" t="inlineStr">
        <is>
          <t>Confirmar SKU/PCBA revision, PN exacto en Common DB, WO, BU, vigencia, planta y aprobacion firmada.</t>
        </is>
      </c>
    </row>
    <row r="1386">
      <c r="A1386" s="43" t="inlineStr">
        <is>
          <t>CTANJZ05335</t>
        </is>
      </c>
      <c r="B1386" s="43" t="inlineStr">
        <is>
          <t>D612467</t>
        </is>
      </c>
      <c r="C1386" s="43" t="inlineStr">
        <is>
          <t>037-STBU</t>
        </is>
      </c>
      <c r="D1386" s="43" t="inlineStr">
        <is>
          <t>FJZP</t>
        </is>
      </c>
      <c r="E1386" s="43" t="inlineStr">
        <is>
          <t>MCGA</t>
        </is>
      </c>
      <c r="F1386" s="43" t="inlineStr">
        <is>
          <t>73-102418-04</t>
        </is>
      </c>
      <c r="G1386" s="43" t="inlineStr">
        <is>
          <t>BOARD_PN_CANDIDATE</t>
        </is>
      </c>
      <c r="H1386" s="43" t="inlineStr"/>
      <c r="I1386" s="43" t="inlineStr">
        <is>
          <t>Expired</t>
        </is>
      </c>
      <c r="J1386" s="32" t="n">
        <v>46294</v>
      </c>
      <c r="K1386" s="32" t="n">
        <v>46219</v>
      </c>
      <c r="L1386" s="43" t="inlineStr">
        <is>
          <t>1589</t>
        </is>
      </c>
      <c r="M1386" s="43" t="n">
        <v>1</v>
      </c>
      <c r="N1386" s="33" t="inlineStr"/>
      <c r="O1386" s="43" t="inlineStr">
        <is>
          <t>UNVERIFIED</t>
        </is>
      </c>
      <c r="P1386" s="43" t="inlineStr">
        <is>
          <t>Pending Review</t>
        </is>
      </c>
      <c r="Q1386" s="33" t="inlineStr">
        <is>
          <t>Confirmar SKU/PCBA revision, PN exacto en Common DB, WO, BU, vigencia, planta y aprobacion firmada.</t>
        </is>
      </c>
    </row>
    <row r="1387">
      <c r="A1387" s="43" t="inlineStr">
        <is>
          <t>CTANJZ05335</t>
        </is>
      </c>
      <c r="B1387" s="43" t="inlineStr">
        <is>
          <t>D612467</t>
        </is>
      </c>
      <c r="C1387" s="43" t="inlineStr">
        <is>
          <t>037-STBU</t>
        </is>
      </c>
      <c r="D1387" s="43" t="inlineStr">
        <is>
          <t>FJZP</t>
        </is>
      </c>
      <c r="E1387" s="43" t="inlineStr">
        <is>
          <t>MCGA</t>
        </is>
      </c>
      <c r="F1387" s="43" t="inlineStr">
        <is>
          <t>73-102419-03</t>
        </is>
      </c>
      <c r="G1387" s="43" t="inlineStr">
        <is>
          <t>BOARD_PN_CANDIDATE</t>
        </is>
      </c>
      <c r="H1387" s="43" t="inlineStr"/>
      <c r="I1387" s="43" t="inlineStr">
        <is>
          <t>Expired</t>
        </is>
      </c>
      <c r="J1387" s="32" t="n">
        <v>46294</v>
      </c>
      <c r="K1387" s="32" t="n">
        <v>46219</v>
      </c>
      <c r="L1387" s="43" t="inlineStr">
        <is>
          <t>1590</t>
        </is>
      </c>
      <c r="M1387" s="43" t="n">
        <v>1</v>
      </c>
      <c r="N1387" s="33" t="inlineStr"/>
      <c r="O1387" s="43" t="inlineStr">
        <is>
          <t>UNVERIFIED</t>
        </is>
      </c>
      <c r="P1387" s="43" t="inlineStr">
        <is>
          <t>Pending Review</t>
        </is>
      </c>
      <c r="Q1387" s="33" t="inlineStr">
        <is>
          <t>Confirmar SKU/PCBA revision, PN exacto en Common DB, WO, BU, vigencia, planta y aprobacion firmada.</t>
        </is>
      </c>
    </row>
    <row r="1388">
      <c r="A1388" s="43" t="inlineStr">
        <is>
          <t>CTANJZ05335</t>
        </is>
      </c>
      <c r="B1388" s="43" t="inlineStr">
        <is>
          <t>D612467</t>
        </is>
      </c>
      <c r="C1388" s="43" t="inlineStr">
        <is>
          <t>037-STBU</t>
        </is>
      </c>
      <c r="D1388" s="43" t="inlineStr">
        <is>
          <t>FJZP</t>
        </is>
      </c>
      <c r="E1388" s="43" t="inlineStr">
        <is>
          <t>MCGA</t>
        </is>
      </c>
      <c r="F1388" s="43" t="inlineStr">
        <is>
          <t>73-20247-06</t>
        </is>
      </c>
      <c r="G1388" s="43" t="inlineStr">
        <is>
          <t>BOARD_PN_CANDIDATE</t>
        </is>
      </c>
      <c r="H1388" s="43" t="inlineStr">
        <is>
          <t>TUFNELL PARK</t>
        </is>
      </c>
      <c r="I1388" s="43" t="inlineStr">
        <is>
          <t>Expired</t>
        </is>
      </c>
      <c r="J1388" s="32" t="n">
        <v>46294</v>
      </c>
      <c r="K1388" s="32" t="n">
        <v>46219</v>
      </c>
      <c r="L1388" s="43" t="inlineStr">
        <is>
          <t>1591</t>
        </is>
      </c>
      <c r="M1388" s="43" t="n">
        <v>1</v>
      </c>
      <c r="N1388" s="33" t="inlineStr"/>
      <c r="O1388" s="43" t="inlineStr">
        <is>
          <t>UNVERIFIED</t>
        </is>
      </c>
      <c r="P1388" s="43" t="inlineStr">
        <is>
          <t>Pending Review</t>
        </is>
      </c>
      <c r="Q1388" s="33" t="inlineStr">
        <is>
          <t>Confirmar SKU/PCBA revision, PN exacto en Common DB, WO, BU, vigencia, planta y aprobacion firmada.</t>
        </is>
      </c>
    </row>
    <row r="1389">
      <c r="A1389" s="43" t="inlineStr">
        <is>
          <t>CTANJZ05335</t>
        </is>
      </c>
      <c r="B1389" s="43" t="inlineStr">
        <is>
          <t>D612467</t>
        </is>
      </c>
      <c r="C1389" s="43" t="inlineStr">
        <is>
          <t>037-STBU</t>
        </is>
      </c>
      <c r="D1389" s="43" t="inlineStr">
        <is>
          <t>FJZP</t>
        </is>
      </c>
      <c r="E1389" s="43" t="inlineStr">
        <is>
          <t>MCGA</t>
        </is>
      </c>
      <c r="F1389" s="43" t="inlineStr">
        <is>
          <t>73-20249-06</t>
        </is>
      </c>
      <c r="G1389" s="43" t="inlineStr">
        <is>
          <t>BOARD_PN_CANDIDATE</t>
        </is>
      </c>
      <c r="H1389" s="43" t="inlineStr">
        <is>
          <t>TUFNELL PARK</t>
        </is>
      </c>
      <c r="I1389" s="43" t="inlineStr">
        <is>
          <t>Expired</t>
        </is>
      </c>
      <c r="J1389" s="32" t="n">
        <v>46294</v>
      </c>
      <c r="K1389" s="32" t="n">
        <v>46219</v>
      </c>
      <c r="L1389" s="43" t="inlineStr">
        <is>
          <t>1592</t>
        </is>
      </c>
      <c r="M1389" s="43" t="n">
        <v>1</v>
      </c>
      <c r="N1389" s="33" t="inlineStr"/>
      <c r="O1389" s="43" t="inlineStr">
        <is>
          <t>UNVERIFIED</t>
        </is>
      </c>
      <c r="P1389" s="43" t="inlineStr">
        <is>
          <t>Pending Review</t>
        </is>
      </c>
      <c r="Q1389" s="33" t="inlineStr">
        <is>
          <t>Confirmar SKU/PCBA revision, PN exacto en Common DB, WO, BU, vigencia, planta y aprobacion firmada.</t>
        </is>
      </c>
    </row>
    <row r="1390">
      <c r="A1390" s="43" t="inlineStr">
        <is>
          <t>CTANJZ05336</t>
        </is>
      </c>
      <c r="B1390" s="43" t="inlineStr">
        <is>
          <t>D612122</t>
        </is>
      </c>
      <c r="C1390" s="43" t="inlineStr">
        <is>
          <t>239-CRBU</t>
        </is>
      </c>
      <c r="D1390" s="43" t="inlineStr">
        <is>
          <t>FJZP</t>
        </is>
      </c>
      <c r="E1390" s="43" t="inlineStr">
        <is>
          <t>MCGA</t>
        </is>
      </c>
      <c r="F1390" s="43" t="inlineStr">
        <is>
          <t>36-0111-02</t>
        </is>
      </c>
      <c r="G1390" s="43" t="inlineStr">
        <is>
          <t>OTHER_SCOPE_ITEM</t>
        </is>
      </c>
      <c r="H1390" s="43" t="inlineStr"/>
      <c r="I1390" s="43" t="inlineStr">
        <is>
          <t>Extended</t>
        </is>
      </c>
      <c r="J1390" s="32" t="n">
        <v>46384</v>
      </c>
      <c r="K1390" s="32" t="n">
        <v>46227</v>
      </c>
      <c r="L1390" s="43" t="inlineStr">
        <is>
          <t>76,240</t>
        </is>
      </c>
      <c r="M1390" s="43" t="n">
        <v>2</v>
      </c>
      <c r="N1390" s="33" t="inlineStr"/>
      <c r="O1390" s="43" t="inlineStr">
        <is>
          <t>UNVERIFIED</t>
        </is>
      </c>
      <c r="P1390" s="43" t="inlineStr">
        <is>
          <t>Pending Review</t>
        </is>
      </c>
      <c r="Q1390" s="33" t="inlineStr">
        <is>
          <t>Confirmar SKU/PCBA revision, PN exacto en Common DB, WO, BU, vigencia, planta y aprobacion firmada.</t>
        </is>
      </c>
    </row>
    <row r="1391">
      <c r="A1391" s="43" t="inlineStr">
        <is>
          <t>CTANJZ05336</t>
        </is>
      </c>
      <c r="B1391" s="43" t="inlineStr">
        <is>
          <t>D612122</t>
        </is>
      </c>
      <c r="C1391" s="43" t="inlineStr">
        <is>
          <t>239-CRBU</t>
        </is>
      </c>
      <c r="D1391" s="43" t="inlineStr">
        <is>
          <t>FJZP</t>
        </is>
      </c>
      <c r="E1391" s="43" t="inlineStr">
        <is>
          <t>MCGA</t>
        </is>
      </c>
      <c r="F1391" s="43" t="inlineStr">
        <is>
          <t>73-102363-05</t>
        </is>
      </c>
      <c r="G1391" s="43" t="inlineStr">
        <is>
          <t>BOARD_PN_CANDIDATE</t>
        </is>
      </c>
      <c r="H1391" s="43" t="inlineStr"/>
      <c r="I1391" s="43" t="inlineStr">
        <is>
          <t>Extended</t>
        </is>
      </c>
      <c r="J1391" s="32" t="n">
        <v>46384</v>
      </c>
      <c r="K1391" s="32" t="n">
        <v>46227</v>
      </c>
      <c r="L1391" s="43" t="inlineStr">
        <is>
          <t>77,241</t>
        </is>
      </c>
      <c r="M1391" s="43" t="n">
        <v>2</v>
      </c>
      <c r="N1391" s="33" t="inlineStr"/>
      <c r="O1391" s="43" t="inlineStr">
        <is>
          <t>UNVERIFIED</t>
        </is>
      </c>
      <c r="P1391" s="43" t="inlineStr">
        <is>
          <t>Pending Review</t>
        </is>
      </c>
      <c r="Q1391" s="33" t="inlineStr">
        <is>
          <t>Confirmar SKU/PCBA revision, PN exacto en Common DB, WO, BU, vigencia, planta y aprobacion firmada.</t>
        </is>
      </c>
    </row>
    <row r="1392">
      <c r="A1392" s="43" t="inlineStr">
        <is>
          <t>CTANJZ05337</t>
        </is>
      </c>
      <c r="B1392" s="43" t="inlineStr">
        <is>
          <t>D612448</t>
        </is>
      </c>
      <c r="C1392" s="43" t="inlineStr">
        <is>
          <t>037-STBU</t>
        </is>
      </c>
      <c r="D1392" s="43" t="inlineStr">
        <is>
          <t>FJZP</t>
        </is>
      </c>
      <c r="E1392" s="43" t="inlineStr">
        <is>
          <t>MCGA</t>
        </is>
      </c>
      <c r="F1392" s="43" t="inlineStr">
        <is>
          <t>28-101945-03</t>
        </is>
      </c>
      <c r="G1392" s="43" t="inlineStr">
        <is>
          <t>BARE_PCB_PN_CANDIDATE</t>
        </is>
      </c>
      <c r="H1392" s="43" t="inlineStr"/>
      <c r="I1392" s="43" t="inlineStr">
        <is>
          <t>Expired</t>
        </is>
      </c>
      <c r="J1392" s="32" t="n">
        <v>46295</v>
      </c>
      <c r="K1392" s="32" t="n">
        <v>46219</v>
      </c>
      <c r="L1392" s="43" t="inlineStr">
        <is>
          <t>1518</t>
        </is>
      </c>
      <c r="M1392" s="43" t="n">
        <v>1</v>
      </c>
      <c r="N1392" s="33" t="inlineStr"/>
      <c r="O1392" s="43" t="inlineStr">
        <is>
          <t>UNVERIFIED</t>
        </is>
      </c>
      <c r="P1392" s="43" t="inlineStr">
        <is>
          <t>Pending Review</t>
        </is>
      </c>
      <c r="Q1392" s="33" t="inlineStr">
        <is>
          <t>Confirmar SKU/PCBA revision, PN exacto en Common DB, WO, BU, vigencia, planta y aprobacion firmada.</t>
        </is>
      </c>
    </row>
    <row r="1393">
      <c r="A1393" s="43" t="inlineStr">
        <is>
          <t>CTANJZ05337</t>
        </is>
      </c>
      <c r="B1393" s="43" t="inlineStr">
        <is>
          <t>D612448</t>
        </is>
      </c>
      <c r="C1393" s="43" t="inlineStr">
        <is>
          <t>037-STBU</t>
        </is>
      </c>
      <c r="D1393" s="43" t="inlineStr">
        <is>
          <t>FJZP</t>
        </is>
      </c>
      <c r="E1393" s="43" t="inlineStr">
        <is>
          <t>MCGA</t>
        </is>
      </c>
      <c r="F1393" s="43" t="inlineStr">
        <is>
          <t>28-101946-03</t>
        </is>
      </c>
      <c r="G1393" s="43" t="inlineStr">
        <is>
          <t>BARE_PCB_PN_CANDIDATE</t>
        </is>
      </c>
      <c r="H1393" s="43" t="inlineStr"/>
      <c r="I1393" s="43" t="inlineStr">
        <is>
          <t>Expired</t>
        </is>
      </c>
      <c r="J1393" s="32" t="n">
        <v>46295</v>
      </c>
      <c r="K1393" s="32" t="n">
        <v>46219</v>
      </c>
      <c r="L1393" s="43" t="inlineStr">
        <is>
          <t>1519</t>
        </is>
      </c>
      <c r="M1393" s="43" t="n">
        <v>1</v>
      </c>
      <c r="N1393" s="33" t="inlineStr"/>
      <c r="O1393" s="43" t="inlineStr">
        <is>
          <t>UNVERIFIED</t>
        </is>
      </c>
      <c r="P1393" s="43" t="inlineStr">
        <is>
          <t>Pending Review</t>
        </is>
      </c>
      <c r="Q1393" s="33" t="inlineStr">
        <is>
          <t>Confirmar SKU/PCBA revision, PN exacto en Common DB, WO, BU, vigencia, planta y aprobacion firmada.</t>
        </is>
      </c>
    </row>
    <row r="1394">
      <c r="A1394" s="43" t="inlineStr">
        <is>
          <t>CTANJZ05337</t>
        </is>
      </c>
      <c r="B1394" s="43" t="inlineStr">
        <is>
          <t>D612448</t>
        </is>
      </c>
      <c r="C1394" s="43" t="inlineStr">
        <is>
          <t>037-STBU</t>
        </is>
      </c>
      <c r="D1394" s="43" t="inlineStr">
        <is>
          <t>FJZP</t>
        </is>
      </c>
      <c r="E1394" s="43" t="inlineStr">
        <is>
          <t>MCGA</t>
        </is>
      </c>
      <c r="F1394" s="43" t="inlineStr">
        <is>
          <t>28-102311-04</t>
        </is>
      </c>
      <c r="G1394" s="43" t="inlineStr">
        <is>
          <t>BARE_PCB_PN_CANDIDATE</t>
        </is>
      </c>
      <c r="H1394" s="43" t="inlineStr"/>
      <c r="I1394" s="43" t="inlineStr">
        <is>
          <t>Expired</t>
        </is>
      </c>
      <c r="J1394" s="32" t="n">
        <v>46295</v>
      </c>
      <c r="K1394" s="32" t="n">
        <v>46219</v>
      </c>
      <c r="L1394" s="43" t="inlineStr">
        <is>
          <t>1520</t>
        </is>
      </c>
      <c r="M1394" s="43" t="n">
        <v>1</v>
      </c>
      <c r="N1394" s="33" t="inlineStr"/>
      <c r="O1394" s="43" t="inlineStr">
        <is>
          <t>UNVERIFIED</t>
        </is>
      </c>
      <c r="P1394" s="43" t="inlineStr">
        <is>
          <t>Pending Review</t>
        </is>
      </c>
      <c r="Q1394" s="33" t="inlineStr">
        <is>
          <t>Confirmar SKU/PCBA revision, PN exacto en Common DB, WO, BU, vigencia, planta y aprobacion firmada.</t>
        </is>
      </c>
    </row>
    <row r="1395">
      <c r="A1395" s="43" t="inlineStr">
        <is>
          <t>CTANJZ05337</t>
        </is>
      </c>
      <c r="B1395" s="43" t="inlineStr">
        <is>
          <t>D612448</t>
        </is>
      </c>
      <c r="C1395" s="43" t="inlineStr">
        <is>
          <t>037-STBU</t>
        </is>
      </c>
      <c r="D1395" s="43" t="inlineStr">
        <is>
          <t>FJZP</t>
        </is>
      </c>
      <c r="E1395" s="43" t="inlineStr">
        <is>
          <t>MCGA</t>
        </is>
      </c>
      <c r="F1395" s="43" t="inlineStr">
        <is>
          <t>28-102686-01</t>
        </is>
      </c>
      <c r="G1395" s="43" t="inlineStr">
        <is>
          <t>BARE_PCB_PN_CANDIDATE</t>
        </is>
      </c>
      <c r="H1395" s="43" t="inlineStr"/>
      <c r="I1395" s="43" t="inlineStr">
        <is>
          <t>Expired</t>
        </is>
      </c>
      <c r="J1395" s="32" t="n">
        <v>46295</v>
      </c>
      <c r="K1395" s="32" t="n">
        <v>46219</v>
      </c>
      <c r="L1395" s="43" t="inlineStr">
        <is>
          <t>1521</t>
        </is>
      </c>
      <c r="M1395" s="43" t="n">
        <v>1</v>
      </c>
      <c r="N1395" s="33" t="inlineStr"/>
      <c r="O1395" s="43" t="inlineStr">
        <is>
          <t>UNVERIFIED</t>
        </is>
      </c>
      <c r="P1395" s="43" t="inlineStr">
        <is>
          <t>Pending Review</t>
        </is>
      </c>
      <c r="Q1395" s="33" t="inlineStr">
        <is>
          <t>Confirmar SKU/PCBA revision, PN exacto en Common DB, WO, BU, vigencia, planta y aprobacion firmada.</t>
        </is>
      </c>
    </row>
    <row r="1396">
      <c r="A1396" s="43" t="inlineStr">
        <is>
          <t>CTANJZ05337</t>
        </is>
      </c>
      <c r="B1396" s="43" t="inlineStr">
        <is>
          <t>D612448</t>
        </is>
      </c>
      <c r="C1396" s="43" t="inlineStr">
        <is>
          <t>037-STBU</t>
        </is>
      </c>
      <c r="D1396" s="43" t="inlineStr">
        <is>
          <t>FJZP</t>
        </is>
      </c>
      <c r="E1396" s="43" t="inlineStr">
        <is>
          <t>MCGA</t>
        </is>
      </c>
      <c r="F1396" s="43" t="inlineStr">
        <is>
          <t>28-102915-02</t>
        </is>
      </c>
      <c r="G1396" s="43" t="inlineStr">
        <is>
          <t>BARE_PCB_PN_CANDIDATE</t>
        </is>
      </c>
      <c r="H1396" s="43" t="inlineStr"/>
      <c r="I1396" s="43" t="inlineStr">
        <is>
          <t>Expired</t>
        </is>
      </c>
      <c r="J1396" s="32" t="n">
        <v>46295</v>
      </c>
      <c r="K1396" s="32" t="n">
        <v>46219</v>
      </c>
      <c r="L1396" s="43" t="inlineStr">
        <is>
          <t>1522</t>
        </is>
      </c>
      <c r="M1396" s="43" t="n">
        <v>1</v>
      </c>
      <c r="N1396" s="33" t="inlineStr"/>
      <c r="O1396" s="43" t="inlineStr">
        <is>
          <t>UNVERIFIED</t>
        </is>
      </c>
      <c r="P1396" s="43" t="inlineStr">
        <is>
          <t>Pending Review</t>
        </is>
      </c>
      <c r="Q1396" s="33" t="inlineStr">
        <is>
          <t>Confirmar SKU/PCBA revision, PN exacto en Common DB, WO, BU, vigencia, planta y aprobacion firmada.</t>
        </is>
      </c>
    </row>
    <row r="1397">
      <c r="A1397" s="43" t="inlineStr">
        <is>
          <t>CTANJZ05337</t>
        </is>
      </c>
      <c r="B1397" s="43" t="inlineStr">
        <is>
          <t>D612448</t>
        </is>
      </c>
      <c r="C1397" s="43" t="inlineStr">
        <is>
          <t>037-STBU</t>
        </is>
      </c>
      <c r="D1397" s="43" t="inlineStr">
        <is>
          <t>FJZP</t>
        </is>
      </c>
      <c r="E1397" s="43" t="inlineStr">
        <is>
          <t>MCGA</t>
        </is>
      </c>
      <c r="F1397" s="43" t="inlineStr">
        <is>
          <t>73-101944-03</t>
        </is>
      </c>
      <c r="G1397" s="43" t="inlineStr">
        <is>
          <t>BOARD_PN_CANDIDATE</t>
        </is>
      </c>
      <c r="H1397" s="43" t="inlineStr"/>
      <c r="I1397" s="43" t="inlineStr">
        <is>
          <t>Expired</t>
        </is>
      </c>
      <c r="J1397" s="32" t="n">
        <v>46295</v>
      </c>
      <c r="K1397" s="32" t="n">
        <v>46219</v>
      </c>
      <c r="L1397" s="43" t="inlineStr">
        <is>
          <t>1523</t>
        </is>
      </c>
      <c r="M1397" s="43" t="n">
        <v>1</v>
      </c>
      <c r="N1397" s="33" t="inlineStr"/>
      <c r="O1397" s="43" t="inlineStr">
        <is>
          <t>UNVERIFIED</t>
        </is>
      </c>
      <c r="P1397" s="43" t="inlineStr">
        <is>
          <t>Pending Review</t>
        </is>
      </c>
      <c r="Q1397" s="33" t="inlineStr">
        <is>
          <t>Confirmar SKU/PCBA revision, PN exacto en Common DB, WO, BU, vigencia, planta y aprobacion firmada.</t>
        </is>
      </c>
    </row>
    <row r="1398">
      <c r="A1398" s="43" t="inlineStr">
        <is>
          <t>CTANJZ05337</t>
        </is>
      </c>
      <c r="B1398" s="43" t="inlineStr">
        <is>
          <t>D612448</t>
        </is>
      </c>
      <c r="C1398" s="43" t="inlineStr">
        <is>
          <t>037-STBU</t>
        </is>
      </c>
      <c r="D1398" s="43" t="inlineStr">
        <is>
          <t>FJZP</t>
        </is>
      </c>
      <c r="E1398" s="43" t="inlineStr">
        <is>
          <t>MCGA</t>
        </is>
      </c>
      <c r="F1398" s="43" t="inlineStr">
        <is>
          <t>73-101945-03</t>
        </is>
      </c>
      <c r="G1398" s="43" t="inlineStr">
        <is>
          <t>BOARD_PN_CANDIDATE</t>
        </is>
      </c>
      <c r="H1398" s="43" t="inlineStr"/>
      <c r="I1398" s="43" t="inlineStr">
        <is>
          <t>Expired</t>
        </is>
      </c>
      <c r="J1398" s="32" t="n">
        <v>46295</v>
      </c>
      <c r="K1398" s="32" t="n">
        <v>46219</v>
      </c>
      <c r="L1398" s="43" t="inlineStr">
        <is>
          <t>1524</t>
        </is>
      </c>
      <c r="M1398" s="43" t="n">
        <v>1</v>
      </c>
      <c r="N1398" s="33" t="inlineStr"/>
      <c r="O1398" s="43" t="inlineStr">
        <is>
          <t>UNVERIFIED</t>
        </is>
      </c>
      <c r="P1398" s="43" t="inlineStr">
        <is>
          <t>Pending Review</t>
        </is>
      </c>
      <c r="Q1398" s="33" t="inlineStr">
        <is>
          <t>Confirmar SKU/PCBA revision, PN exacto en Common DB, WO, BU, vigencia, planta y aprobacion firmada.</t>
        </is>
      </c>
    </row>
    <row r="1399">
      <c r="A1399" s="43" t="inlineStr">
        <is>
          <t>CTANJZ05337</t>
        </is>
      </c>
      <c r="B1399" s="43" t="inlineStr">
        <is>
          <t>D612448</t>
        </is>
      </c>
      <c r="C1399" s="43" t="inlineStr">
        <is>
          <t>037-STBU</t>
        </is>
      </c>
      <c r="D1399" s="43" t="inlineStr">
        <is>
          <t>FJZP</t>
        </is>
      </c>
      <c r="E1399" s="43" t="inlineStr">
        <is>
          <t>MCGA</t>
        </is>
      </c>
      <c r="F1399" s="43" t="inlineStr">
        <is>
          <t>73-102433-06</t>
        </is>
      </c>
      <c r="G1399" s="43" t="inlineStr">
        <is>
          <t>BOARD_PN_CANDIDATE</t>
        </is>
      </c>
      <c r="H1399" s="43" t="inlineStr"/>
      <c r="I1399" s="43" t="inlineStr">
        <is>
          <t>Expired</t>
        </is>
      </c>
      <c r="J1399" s="32" t="n">
        <v>46295</v>
      </c>
      <c r="K1399" s="32" t="n">
        <v>46219</v>
      </c>
      <c r="L1399" s="43" t="inlineStr">
        <is>
          <t>1525</t>
        </is>
      </c>
      <c r="M1399" s="43" t="n">
        <v>1</v>
      </c>
      <c r="N1399" s="33" t="inlineStr"/>
      <c r="O1399" s="43" t="inlineStr">
        <is>
          <t>UNVERIFIED</t>
        </is>
      </c>
      <c r="P1399" s="43" t="inlineStr">
        <is>
          <t>Pending Review</t>
        </is>
      </c>
      <c r="Q1399" s="33" t="inlineStr">
        <is>
          <t>Confirmar SKU/PCBA revision, PN exacto en Common DB, WO, BU, vigencia, planta y aprobacion firmada.</t>
        </is>
      </c>
    </row>
    <row r="1400">
      <c r="A1400" s="43" t="inlineStr">
        <is>
          <t>CTANJZ05337</t>
        </is>
      </c>
      <c r="B1400" s="43" t="inlineStr">
        <is>
          <t>D612448</t>
        </is>
      </c>
      <c r="C1400" s="43" t="inlineStr">
        <is>
          <t>037-STBU</t>
        </is>
      </c>
      <c r="D1400" s="43" t="inlineStr">
        <is>
          <t>FJZP</t>
        </is>
      </c>
      <c r="E1400" s="43" t="inlineStr">
        <is>
          <t>MCGA</t>
        </is>
      </c>
      <c r="F1400" s="43" t="inlineStr">
        <is>
          <t>73-102434-06</t>
        </is>
      </c>
      <c r="G1400" s="43" t="inlineStr">
        <is>
          <t>BOARD_PN_CANDIDATE</t>
        </is>
      </c>
      <c r="H1400" s="43" t="inlineStr"/>
      <c r="I1400" s="43" t="inlineStr">
        <is>
          <t>Expired</t>
        </is>
      </c>
      <c r="J1400" s="32" t="n">
        <v>46295</v>
      </c>
      <c r="K1400" s="32" t="n">
        <v>46219</v>
      </c>
      <c r="L1400" s="43" t="inlineStr">
        <is>
          <t>1534</t>
        </is>
      </c>
      <c r="M1400" s="43" t="n">
        <v>1</v>
      </c>
      <c r="N1400" s="33" t="inlineStr"/>
      <c r="O1400" s="43" t="inlineStr">
        <is>
          <t>UNVERIFIED</t>
        </is>
      </c>
      <c r="P1400" s="43" t="inlineStr">
        <is>
          <t>Pending Review</t>
        </is>
      </c>
      <c r="Q1400" s="33" t="inlineStr">
        <is>
          <t>Confirmar SKU/PCBA revision, PN exacto en Common DB, WO, BU, vigencia, planta y aprobacion firmada.</t>
        </is>
      </c>
    </row>
    <row r="1401">
      <c r="A1401" s="43" t="inlineStr">
        <is>
          <t>CTANJZ05337</t>
        </is>
      </c>
      <c r="B1401" s="43" t="inlineStr">
        <is>
          <t>D612448</t>
        </is>
      </c>
      <c r="C1401" s="43" t="inlineStr">
        <is>
          <t>037-STBU</t>
        </is>
      </c>
      <c r="D1401" s="43" t="inlineStr">
        <is>
          <t>FJZP</t>
        </is>
      </c>
      <c r="E1401" s="43" t="inlineStr">
        <is>
          <t>MCGA</t>
        </is>
      </c>
      <c r="F1401" s="43" t="inlineStr">
        <is>
          <t>73-102435-06</t>
        </is>
      </c>
      <c r="G1401" s="43" t="inlineStr">
        <is>
          <t>BOARD_PN_CANDIDATE</t>
        </is>
      </c>
      <c r="H1401" s="43" t="inlineStr"/>
      <c r="I1401" s="43" t="inlineStr">
        <is>
          <t>Expired</t>
        </is>
      </c>
      <c r="J1401" s="32" t="n">
        <v>46295</v>
      </c>
      <c r="K1401" s="32" t="n">
        <v>46219</v>
      </c>
      <c r="L1401" s="43" t="inlineStr">
        <is>
          <t>1535</t>
        </is>
      </c>
      <c r="M1401" s="43" t="n">
        <v>1</v>
      </c>
      <c r="N1401" s="33" t="inlineStr"/>
      <c r="O1401" s="43" t="inlineStr">
        <is>
          <t>UNVERIFIED</t>
        </is>
      </c>
      <c r="P1401" s="43" t="inlineStr">
        <is>
          <t>Pending Review</t>
        </is>
      </c>
      <c r="Q1401" s="33" t="inlineStr">
        <is>
          <t>Confirmar SKU/PCBA revision, PN exacto en Common DB, WO, BU, vigencia, planta y aprobacion firmada.</t>
        </is>
      </c>
    </row>
    <row r="1402">
      <c r="A1402" s="43" t="inlineStr">
        <is>
          <t>CTANJZ05337</t>
        </is>
      </c>
      <c r="B1402" s="43" t="inlineStr">
        <is>
          <t>D612448</t>
        </is>
      </c>
      <c r="C1402" s="43" t="inlineStr">
        <is>
          <t>037-STBU</t>
        </is>
      </c>
      <c r="D1402" s="43" t="inlineStr">
        <is>
          <t>FJZP</t>
        </is>
      </c>
      <c r="E1402" s="43" t="inlineStr">
        <is>
          <t>MCGA</t>
        </is>
      </c>
      <c r="F1402" s="43" t="inlineStr">
        <is>
          <t>73-103122-01</t>
        </is>
      </c>
      <c r="G1402" s="43" t="inlineStr">
        <is>
          <t>BOARD_PN_CANDIDATE</t>
        </is>
      </c>
      <c r="H1402" s="43" t="inlineStr"/>
      <c r="I1402" s="43" t="inlineStr">
        <is>
          <t>Expired</t>
        </is>
      </c>
      <c r="J1402" s="32" t="n">
        <v>46295</v>
      </c>
      <c r="K1402" s="32" t="n">
        <v>46219</v>
      </c>
      <c r="L1402" s="43" t="inlineStr">
        <is>
          <t>1536</t>
        </is>
      </c>
      <c r="M1402" s="43" t="n">
        <v>1</v>
      </c>
      <c r="N1402" s="33" t="inlineStr"/>
      <c r="O1402" s="43" t="inlineStr">
        <is>
          <t>UNVERIFIED</t>
        </is>
      </c>
      <c r="P1402" s="43" t="inlineStr">
        <is>
          <t>Pending Review</t>
        </is>
      </c>
      <c r="Q1402" s="33" t="inlineStr">
        <is>
          <t>Confirmar SKU/PCBA revision, PN exacto en Common DB, WO, BU, vigencia, planta y aprobacion firmada.</t>
        </is>
      </c>
    </row>
    <row r="1403">
      <c r="A1403" s="43" t="inlineStr">
        <is>
          <t>CTANJZ05337</t>
        </is>
      </c>
      <c r="B1403" s="43" t="inlineStr">
        <is>
          <t>D612448</t>
        </is>
      </c>
      <c r="C1403" s="43" t="inlineStr">
        <is>
          <t>037-STBU</t>
        </is>
      </c>
      <c r="D1403" s="43" t="inlineStr">
        <is>
          <t>FJZP</t>
        </is>
      </c>
      <c r="E1403" s="43" t="inlineStr">
        <is>
          <t>MCGA</t>
        </is>
      </c>
      <c r="F1403" s="43" t="inlineStr">
        <is>
          <t>73-103125-02</t>
        </is>
      </c>
      <c r="G1403" s="43" t="inlineStr">
        <is>
          <t>BOARD_PN_CANDIDATE</t>
        </is>
      </c>
      <c r="H1403" s="43" t="inlineStr"/>
      <c r="I1403" s="43" t="inlineStr">
        <is>
          <t>Expired</t>
        </is>
      </c>
      <c r="J1403" s="32" t="n">
        <v>46295</v>
      </c>
      <c r="K1403" s="32" t="n">
        <v>46219</v>
      </c>
      <c r="L1403" s="43" t="inlineStr">
        <is>
          <t>1537</t>
        </is>
      </c>
      <c r="M1403" s="43" t="n">
        <v>1</v>
      </c>
      <c r="N1403" s="33" t="inlineStr"/>
      <c r="O1403" s="43" t="inlineStr">
        <is>
          <t>UNVERIFIED</t>
        </is>
      </c>
      <c r="P1403" s="43" t="inlineStr">
        <is>
          <t>Pending Review</t>
        </is>
      </c>
      <c r="Q1403" s="33" t="inlineStr">
        <is>
          <t>Confirmar SKU/PCBA revision, PN exacto en Common DB, WO, BU, vigencia, planta y aprobacion firmada.</t>
        </is>
      </c>
    </row>
    <row r="1404">
      <c r="A1404" s="43" t="inlineStr">
        <is>
          <t>CTANJZ05338</t>
        </is>
      </c>
      <c r="B1404" s="43" t="inlineStr">
        <is>
          <t>D612446</t>
        </is>
      </c>
      <c r="C1404" s="43" t="inlineStr">
        <is>
          <t>037-STBU</t>
        </is>
      </c>
      <c r="D1404" s="43" t="inlineStr">
        <is>
          <t>FJZP</t>
        </is>
      </c>
      <c r="E1404" s="43" t="inlineStr">
        <is>
          <t>MCGA</t>
        </is>
      </c>
      <c r="F1404" s="43" t="inlineStr">
        <is>
          <t>28-103225-04</t>
        </is>
      </c>
      <c r="G1404" s="43" t="inlineStr">
        <is>
          <t>BARE_PCB_PN_CANDIDATE</t>
        </is>
      </c>
      <c r="H1404" s="43" t="inlineStr"/>
      <c r="I1404" s="43" t="inlineStr">
        <is>
          <t>Expired</t>
        </is>
      </c>
      <c r="J1404" s="32" t="n">
        <v>46295</v>
      </c>
      <c r="K1404" s="32" t="n">
        <v>46219</v>
      </c>
      <c r="L1404" s="43" t="inlineStr">
        <is>
          <t>1538</t>
        </is>
      </c>
      <c r="M1404" s="43" t="n">
        <v>1</v>
      </c>
      <c r="N1404" s="33" t="inlineStr"/>
      <c r="O1404" s="43" t="inlineStr">
        <is>
          <t>UNVERIFIED</t>
        </is>
      </c>
      <c r="P1404" s="43" t="inlineStr">
        <is>
          <t>Pending Review</t>
        </is>
      </c>
      <c r="Q1404" s="33" t="inlineStr">
        <is>
          <t>Confirmar SKU/PCBA revision, PN exacto en Common DB, WO, BU, vigencia, planta y aprobacion firmada.</t>
        </is>
      </c>
    </row>
    <row r="1405">
      <c r="A1405" s="43" t="inlineStr">
        <is>
          <t>CTANJZ05338</t>
        </is>
      </c>
      <c r="B1405" s="43" t="inlineStr">
        <is>
          <t>D612446</t>
        </is>
      </c>
      <c r="C1405" s="43" t="inlineStr">
        <is>
          <t>037-STBU</t>
        </is>
      </c>
      <c r="D1405" s="43" t="inlineStr">
        <is>
          <t>FJZP</t>
        </is>
      </c>
      <c r="E1405" s="43" t="inlineStr">
        <is>
          <t>MCGA</t>
        </is>
      </c>
      <c r="F1405" s="43" t="inlineStr">
        <is>
          <t>28-103226-04</t>
        </is>
      </c>
      <c r="G1405" s="43" t="inlineStr">
        <is>
          <t>BARE_PCB_PN_CANDIDATE</t>
        </is>
      </c>
      <c r="H1405" s="43" t="inlineStr"/>
      <c r="I1405" s="43" t="inlineStr">
        <is>
          <t>Expired</t>
        </is>
      </c>
      <c r="J1405" s="32" t="n">
        <v>46295</v>
      </c>
      <c r="K1405" s="32" t="n">
        <v>46219</v>
      </c>
      <c r="L1405" s="43" t="inlineStr">
        <is>
          <t>1539</t>
        </is>
      </c>
      <c r="M1405" s="43" t="n">
        <v>1</v>
      </c>
      <c r="N1405" s="33" t="inlineStr"/>
      <c r="O1405" s="43" t="inlineStr">
        <is>
          <t>UNVERIFIED</t>
        </is>
      </c>
      <c r="P1405" s="43" t="inlineStr">
        <is>
          <t>Pending Review</t>
        </is>
      </c>
      <c r="Q1405" s="33" t="inlineStr">
        <is>
          <t>Confirmar SKU/PCBA revision, PN exacto en Common DB, WO, BU, vigencia, planta y aprobacion firmada.</t>
        </is>
      </c>
    </row>
    <row r="1406">
      <c r="A1406" s="43" t="inlineStr">
        <is>
          <t>CTANJZ05338</t>
        </is>
      </c>
      <c r="B1406" s="43" t="inlineStr">
        <is>
          <t>D612446</t>
        </is>
      </c>
      <c r="C1406" s="43" t="inlineStr">
        <is>
          <t>037-STBU</t>
        </is>
      </c>
      <c r="D1406" s="43" t="inlineStr">
        <is>
          <t>FJZP</t>
        </is>
      </c>
      <c r="E1406" s="43" t="inlineStr">
        <is>
          <t>MCGA</t>
        </is>
      </c>
      <c r="F1406" s="43" t="inlineStr">
        <is>
          <t>28-103227-04</t>
        </is>
      </c>
      <c r="G1406" s="43" t="inlineStr">
        <is>
          <t>BARE_PCB_PN_CANDIDATE</t>
        </is>
      </c>
      <c r="H1406" s="43" t="inlineStr"/>
      <c r="I1406" s="43" t="inlineStr">
        <is>
          <t>Expired</t>
        </is>
      </c>
      <c r="J1406" s="32" t="n">
        <v>46295</v>
      </c>
      <c r="K1406" s="32" t="n">
        <v>46219</v>
      </c>
      <c r="L1406" s="43" t="inlineStr">
        <is>
          <t>1540</t>
        </is>
      </c>
      <c r="M1406" s="43" t="n">
        <v>1</v>
      </c>
      <c r="N1406" s="33" t="inlineStr"/>
      <c r="O1406" s="43" t="inlineStr">
        <is>
          <t>UNVERIFIED</t>
        </is>
      </c>
      <c r="P1406" s="43" t="inlineStr">
        <is>
          <t>Pending Review</t>
        </is>
      </c>
      <c r="Q1406" s="33" t="inlineStr">
        <is>
          <t>Confirmar SKU/PCBA revision, PN exacto en Common DB, WO, BU, vigencia, planta y aprobacion firmada.</t>
        </is>
      </c>
    </row>
    <row r="1407">
      <c r="A1407" s="43" t="inlineStr">
        <is>
          <t>CTANJZ05338</t>
        </is>
      </c>
      <c r="B1407" s="43" t="inlineStr">
        <is>
          <t>D612446</t>
        </is>
      </c>
      <c r="C1407" s="43" t="inlineStr">
        <is>
          <t>037-STBU</t>
        </is>
      </c>
      <c r="D1407" s="43" t="inlineStr">
        <is>
          <t>FJZP</t>
        </is>
      </c>
      <c r="E1407" s="43" t="inlineStr">
        <is>
          <t>MCGA</t>
        </is>
      </c>
      <c r="F1407" s="43" t="inlineStr">
        <is>
          <t>28-103230-02</t>
        </is>
      </c>
      <c r="G1407" s="43" t="inlineStr">
        <is>
          <t>BARE_PCB_PN_CANDIDATE</t>
        </is>
      </c>
      <c r="H1407" s="43" t="inlineStr"/>
      <c r="I1407" s="43" t="inlineStr">
        <is>
          <t>Expired</t>
        </is>
      </c>
      <c r="J1407" s="32" t="n">
        <v>46295</v>
      </c>
      <c r="K1407" s="32" t="n">
        <v>46219</v>
      </c>
      <c r="L1407" s="43" t="inlineStr">
        <is>
          <t>1541</t>
        </is>
      </c>
      <c r="M1407" s="43" t="n">
        <v>1</v>
      </c>
      <c r="N1407" s="33" t="inlineStr"/>
      <c r="O1407" s="43" t="inlineStr">
        <is>
          <t>UNVERIFIED</t>
        </is>
      </c>
      <c r="P1407" s="43" t="inlineStr">
        <is>
          <t>Pending Review</t>
        </is>
      </c>
      <c r="Q1407" s="33" t="inlineStr">
        <is>
          <t>Confirmar SKU/PCBA revision, PN exacto en Common DB, WO, BU, vigencia, planta y aprobacion firmada.</t>
        </is>
      </c>
    </row>
    <row r="1408">
      <c r="A1408" s="43" t="inlineStr">
        <is>
          <t>CTANJZ05338</t>
        </is>
      </c>
      <c r="B1408" s="43" t="inlineStr">
        <is>
          <t>D612446</t>
        </is>
      </c>
      <c r="C1408" s="43" t="inlineStr">
        <is>
          <t>037-STBU</t>
        </is>
      </c>
      <c r="D1408" s="43" t="inlineStr">
        <is>
          <t>FJZP</t>
        </is>
      </c>
      <c r="E1408" s="43" t="inlineStr">
        <is>
          <t>MCGA</t>
        </is>
      </c>
      <c r="F1408" s="43" t="inlineStr">
        <is>
          <t>28-103304-02</t>
        </is>
      </c>
      <c r="G1408" s="43" t="inlineStr">
        <is>
          <t>BARE_PCB_PN_CANDIDATE</t>
        </is>
      </c>
      <c r="H1408" s="43" t="inlineStr"/>
      <c r="I1408" s="43" t="inlineStr">
        <is>
          <t>Expired</t>
        </is>
      </c>
      <c r="J1408" s="32" t="n">
        <v>46295</v>
      </c>
      <c r="K1408" s="32" t="n">
        <v>46219</v>
      </c>
      <c r="L1408" s="43" t="inlineStr">
        <is>
          <t>1542</t>
        </is>
      </c>
      <c r="M1408" s="43" t="n">
        <v>1</v>
      </c>
      <c r="N1408" s="33" t="inlineStr"/>
      <c r="O1408" s="43" t="inlineStr">
        <is>
          <t>UNVERIFIED</t>
        </is>
      </c>
      <c r="P1408" s="43" t="inlineStr">
        <is>
          <t>Pending Review</t>
        </is>
      </c>
      <c r="Q1408" s="33" t="inlineStr">
        <is>
          <t>Confirmar SKU/PCBA revision, PN exacto en Common DB, WO, BU, vigencia, planta y aprobacion firmada.</t>
        </is>
      </c>
    </row>
    <row r="1409">
      <c r="A1409" s="43" t="inlineStr">
        <is>
          <t>CTANJZ05338</t>
        </is>
      </c>
      <c r="B1409" s="43" t="inlineStr">
        <is>
          <t>D612446</t>
        </is>
      </c>
      <c r="C1409" s="43" t="inlineStr">
        <is>
          <t>037-STBU</t>
        </is>
      </c>
      <c r="D1409" s="43" t="inlineStr">
        <is>
          <t>FJZP</t>
        </is>
      </c>
      <c r="E1409" s="43" t="inlineStr">
        <is>
          <t>MCGA</t>
        </is>
      </c>
      <c r="F1409" s="43" t="inlineStr">
        <is>
          <t>28-103471-04</t>
        </is>
      </c>
      <c r="G1409" s="43" t="inlineStr">
        <is>
          <t>BARE_PCB_PN_CANDIDATE</t>
        </is>
      </c>
      <c r="H1409" s="43" t="inlineStr"/>
      <c r="I1409" s="43" t="inlineStr">
        <is>
          <t>Expired</t>
        </is>
      </c>
      <c r="J1409" s="32" t="n">
        <v>46295</v>
      </c>
      <c r="K1409" s="32" t="n">
        <v>46219</v>
      </c>
      <c r="L1409" s="43" t="inlineStr">
        <is>
          <t>1543</t>
        </is>
      </c>
      <c r="M1409" s="43" t="n">
        <v>1</v>
      </c>
      <c r="N1409" s="33" t="inlineStr"/>
      <c r="O1409" s="43" t="inlineStr">
        <is>
          <t>UNVERIFIED</t>
        </is>
      </c>
      <c r="P1409" s="43" t="inlineStr">
        <is>
          <t>Pending Review</t>
        </is>
      </c>
      <c r="Q1409" s="33" t="inlineStr">
        <is>
          <t>Confirmar SKU/PCBA revision, PN exacto en Common DB, WO, BU, vigencia, planta y aprobacion firmada.</t>
        </is>
      </c>
    </row>
    <row r="1410">
      <c r="A1410" s="43" t="inlineStr">
        <is>
          <t>CTANJZ05338</t>
        </is>
      </c>
      <c r="B1410" s="43" t="inlineStr">
        <is>
          <t>D612446</t>
        </is>
      </c>
      <c r="C1410" s="43" t="inlineStr">
        <is>
          <t>037-STBU</t>
        </is>
      </c>
      <c r="D1410" s="43" t="inlineStr">
        <is>
          <t>FJZP</t>
        </is>
      </c>
      <c r="E1410" s="43" t="inlineStr">
        <is>
          <t>MCGA</t>
        </is>
      </c>
      <c r="F1410" s="43" t="inlineStr">
        <is>
          <t>73-103558-04</t>
        </is>
      </c>
      <c r="G1410" s="43" t="inlineStr">
        <is>
          <t>BOARD_PN_CANDIDATE</t>
        </is>
      </c>
      <c r="H1410" s="43" t="inlineStr"/>
      <c r="I1410" s="43" t="inlineStr">
        <is>
          <t>Expired</t>
        </is>
      </c>
      <c r="J1410" s="32" t="n">
        <v>46295</v>
      </c>
      <c r="K1410" s="32" t="n">
        <v>46219</v>
      </c>
      <c r="L1410" s="43" t="inlineStr">
        <is>
          <t>1544</t>
        </is>
      </c>
      <c r="M1410" s="43" t="n">
        <v>1</v>
      </c>
      <c r="N1410" s="33" t="inlineStr"/>
      <c r="O1410" s="43" t="inlineStr">
        <is>
          <t>UNVERIFIED</t>
        </is>
      </c>
      <c r="P1410" s="43" t="inlineStr">
        <is>
          <t>Pending Review</t>
        </is>
      </c>
      <c r="Q1410" s="33" t="inlineStr">
        <is>
          <t>Confirmar SKU/PCBA revision, PN exacto en Common DB, WO, BU, vigencia, planta y aprobacion firmada.</t>
        </is>
      </c>
    </row>
    <row r="1411">
      <c r="A1411" s="43" t="inlineStr">
        <is>
          <t>CTANJZ05338</t>
        </is>
      </c>
      <c r="B1411" s="43" t="inlineStr">
        <is>
          <t>D612446</t>
        </is>
      </c>
      <c r="C1411" s="43" t="inlineStr">
        <is>
          <t>037-STBU</t>
        </is>
      </c>
      <c r="D1411" s="43" t="inlineStr">
        <is>
          <t>FJZP</t>
        </is>
      </c>
      <c r="E1411" s="43" t="inlineStr">
        <is>
          <t>MCGA</t>
        </is>
      </c>
      <c r="F1411" s="43" t="inlineStr">
        <is>
          <t>73-103559-04</t>
        </is>
      </c>
      <c r="G1411" s="43" t="inlineStr">
        <is>
          <t>BOARD_PN_CANDIDATE</t>
        </is>
      </c>
      <c r="H1411" s="43" t="inlineStr"/>
      <c r="I1411" s="43" t="inlineStr">
        <is>
          <t>Expired</t>
        </is>
      </c>
      <c r="J1411" s="32" t="n">
        <v>46295</v>
      </c>
      <c r="K1411" s="32" t="n">
        <v>46219</v>
      </c>
      <c r="L1411" s="43" t="inlineStr">
        <is>
          <t>1545</t>
        </is>
      </c>
      <c r="M1411" s="43" t="n">
        <v>1</v>
      </c>
      <c r="N1411" s="33" t="inlineStr"/>
      <c r="O1411" s="43" t="inlineStr">
        <is>
          <t>UNVERIFIED</t>
        </is>
      </c>
      <c r="P1411" s="43" t="inlineStr">
        <is>
          <t>Pending Review</t>
        </is>
      </c>
      <c r="Q1411" s="33" t="inlineStr">
        <is>
          <t>Confirmar SKU/PCBA revision, PN exacto en Common DB, WO, BU, vigencia, planta y aprobacion firmada.</t>
        </is>
      </c>
    </row>
    <row r="1412">
      <c r="A1412" s="43" t="inlineStr">
        <is>
          <t>CTANJZ05338</t>
        </is>
      </c>
      <c r="B1412" s="43" t="inlineStr">
        <is>
          <t>D612446</t>
        </is>
      </c>
      <c r="C1412" s="43" t="inlineStr">
        <is>
          <t>037-STBU</t>
        </is>
      </c>
      <c r="D1412" s="43" t="inlineStr">
        <is>
          <t>FJZP</t>
        </is>
      </c>
      <c r="E1412" s="43" t="inlineStr">
        <is>
          <t>MCGA</t>
        </is>
      </c>
      <c r="F1412" s="43" t="inlineStr">
        <is>
          <t>73-103563-02</t>
        </is>
      </c>
      <c r="G1412" s="43" t="inlineStr">
        <is>
          <t>BOARD_PN_CANDIDATE</t>
        </is>
      </c>
      <c r="H1412" s="43" t="inlineStr"/>
      <c r="I1412" s="43" t="inlineStr">
        <is>
          <t>Expired</t>
        </is>
      </c>
      <c r="J1412" s="32" t="n">
        <v>46295</v>
      </c>
      <c r="K1412" s="32" t="n">
        <v>46219</v>
      </c>
      <c r="L1412" s="43" t="inlineStr">
        <is>
          <t>1546</t>
        </is>
      </c>
      <c r="M1412" s="43" t="n">
        <v>1</v>
      </c>
      <c r="N1412" s="33" t="inlineStr"/>
      <c r="O1412" s="43" t="inlineStr">
        <is>
          <t>UNVERIFIED</t>
        </is>
      </c>
      <c r="P1412" s="43" t="inlineStr">
        <is>
          <t>Pending Review</t>
        </is>
      </c>
      <c r="Q1412" s="33" t="inlineStr">
        <is>
          <t>Confirmar SKU/PCBA revision, PN exacto en Common DB, WO, BU, vigencia, planta y aprobacion firmada.</t>
        </is>
      </c>
    </row>
    <row r="1413">
      <c r="A1413" s="43" t="inlineStr">
        <is>
          <t>CTANJZ05338</t>
        </is>
      </c>
      <c r="B1413" s="43" t="inlineStr">
        <is>
          <t>D612446</t>
        </is>
      </c>
      <c r="C1413" s="43" t="inlineStr">
        <is>
          <t>037-STBU</t>
        </is>
      </c>
      <c r="D1413" s="43" t="inlineStr">
        <is>
          <t>FJZP</t>
        </is>
      </c>
      <c r="E1413" s="43" t="inlineStr">
        <is>
          <t>MCGA</t>
        </is>
      </c>
      <c r="F1413" s="43" t="inlineStr">
        <is>
          <t>73-103622-02</t>
        </is>
      </c>
      <c r="G1413" s="43" t="inlineStr">
        <is>
          <t>BOARD_PN_CANDIDATE</t>
        </is>
      </c>
      <c r="H1413" s="43" t="inlineStr"/>
      <c r="I1413" s="43" t="inlineStr">
        <is>
          <t>Expired</t>
        </is>
      </c>
      <c r="J1413" s="32" t="n">
        <v>46295</v>
      </c>
      <c r="K1413" s="32" t="n">
        <v>46219</v>
      </c>
      <c r="L1413" s="43" t="inlineStr">
        <is>
          <t>1623</t>
        </is>
      </c>
      <c r="M1413" s="43" t="n">
        <v>1</v>
      </c>
      <c r="N1413" s="33" t="inlineStr"/>
      <c r="O1413" s="43" t="inlineStr">
        <is>
          <t>UNVERIFIED</t>
        </is>
      </c>
      <c r="P1413" s="43" t="inlineStr">
        <is>
          <t>Pending Review</t>
        </is>
      </c>
      <c r="Q1413" s="33" t="inlineStr">
        <is>
          <t>Confirmar SKU/PCBA revision, PN exacto en Common DB, WO, BU, vigencia, planta y aprobacion firmada.</t>
        </is>
      </c>
    </row>
    <row r="1414">
      <c r="A1414" s="43" t="inlineStr">
        <is>
          <t>CTANJZ05338</t>
        </is>
      </c>
      <c r="B1414" s="43" t="inlineStr">
        <is>
          <t>D612446</t>
        </is>
      </c>
      <c r="C1414" s="43" t="inlineStr">
        <is>
          <t>037-STBU</t>
        </is>
      </c>
      <c r="D1414" s="43" t="inlineStr">
        <is>
          <t>FJZP</t>
        </is>
      </c>
      <c r="E1414" s="43" t="inlineStr">
        <is>
          <t>MCGA</t>
        </is>
      </c>
      <c r="F1414" s="43" t="inlineStr">
        <is>
          <t>73-103633-04</t>
        </is>
      </c>
      <c r="G1414" s="43" t="inlineStr">
        <is>
          <t>BOARD_PN_CANDIDATE</t>
        </is>
      </c>
      <c r="H1414" s="43" t="inlineStr"/>
      <c r="I1414" s="43" t="inlineStr">
        <is>
          <t>Expired</t>
        </is>
      </c>
      <c r="J1414" s="32" t="n">
        <v>46295</v>
      </c>
      <c r="K1414" s="32" t="n">
        <v>46219</v>
      </c>
      <c r="L1414" s="43" t="inlineStr">
        <is>
          <t>1624</t>
        </is>
      </c>
      <c r="M1414" s="43" t="n">
        <v>1</v>
      </c>
      <c r="N1414" s="33" t="inlineStr"/>
      <c r="O1414" s="43" t="inlineStr">
        <is>
          <t>UNVERIFIED</t>
        </is>
      </c>
      <c r="P1414" s="43" t="inlineStr">
        <is>
          <t>Pending Review</t>
        </is>
      </c>
      <c r="Q1414" s="33" t="inlineStr">
        <is>
          <t>Confirmar SKU/PCBA revision, PN exacto en Common DB, WO, BU, vigencia, planta y aprobacion firmada.</t>
        </is>
      </c>
    </row>
    <row r="1415">
      <c r="A1415" s="43" t="inlineStr">
        <is>
          <t>CTANJZ05338</t>
        </is>
      </c>
      <c r="B1415" s="43" t="inlineStr">
        <is>
          <t>D612446</t>
        </is>
      </c>
      <c r="C1415" s="43" t="inlineStr">
        <is>
          <t>037-STBU</t>
        </is>
      </c>
      <c r="D1415" s="43" t="inlineStr">
        <is>
          <t>FJZP</t>
        </is>
      </c>
      <c r="E1415" s="43" t="inlineStr">
        <is>
          <t>MCGA</t>
        </is>
      </c>
      <c r="F1415" s="43" t="inlineStr">
        <is>
          <t>73-103788-04</t>
        </is>
      </c>
      <c r="G1415" s="43" t="inlineStr">
        <is>
          <t>BOARD_PN_CANDIDATE</t>
        </is>
      </c>
      <c r="H1415" s="43" t="inlineStr"/>
      <c r="I1415" s="43" t="inlineStr">
        <is>
          <t>Expired</t>
        </is>
      </c>
      <c r="J1415" s="32" t="n">
        <v>46295</v>
      </c>
      <c r="K1415" s="32" t="n">
        <v>46219</v>
      </c>
      <c r="L1415" s="43" t="inlineStr">
        <is>
          <t>1625</t>
        </is>
      </c>
      <c r="M1415" s="43" t="n">
        <v>1</v>
      </c>
      <c r="N1415" s="33" t="inlineStr"/>
      <c r="O1415" s="43" t="inlineStr">
        <is>
          <t>UNVERIFIED</t>
        </is>
      </c>
      <c r="P1415" s="43" t="inlineStr">
        <is>
          <t>Pending Review</t>
        </is>
      </c>
      <c r="Q1415" s="33" t="inlineStr">
        <is>
          <t>Confirmar SKU/PCBA revision, PN exacto en Common DB, WO, BU, vigencia, planta y aprobacion firmada.</t>
        </is>
      </c>
    </row>
    <row r="1416">
      <c r="A1416" s="43" t="inlineStr">
        <is>
          <t>CTANJZ05339</t>
        </is>
      </c>
      <c r="B1416" s="43" t="inlineStr">
        <is>
          <t>D612194</t>
        </is>
      </c>
      <c r="C1416" s="43" t="inlineStr">
        <is>
          <t>037-STBU</t>
        </is>
      </c>
      <c r="D1416" s="43" t="inlineStr">
        <is>
          <t>FJZP</t>
        </is>
      </c>
      <c r="E1416" s="43" t="inlineStr">
        <is>
          <t>MCGA</t>
        </is>
      </c>
      <c r="F1416" s="43" t="inlineStr">
        <is>
          <t>15-110890-01</t>
        </is>
      </c>
      <c r="G1416" s="43" t="inlineStr">
        <is>
          <t>OTHER_SCOPE_ITEM</t>
        </is>
      </c>
      <c r="H1416" s="43" t="inlineStr"/>
      <c r="I1416" s="43" t="inlineStr">
        <is>
          <t>Expired</t>
        </is>
      </c>
      <c r="J1416" s="32" t="n">
        <v>46295</v>
      </c>
      <c r="K1416" s="32" t="n">
        <v>46228</v>
      </c>
      <c r="L1416" s="43" t="inlineStr">
        <is>
          <t>199</t>
        </is>
      </c>
      <c r="M1416" s="43" t="n">
        <v>1</v>
      </c>
      <c r="N1416" s="33" t="inlineStr"/>
      <c r="O1416" s="43" t="inlineStr">
        <is>
          <t>UNVERIFIED</t>
        </is>
      </c>
      <c r="P1416" s="43" t="inlineStr">
        <is>
          <t>Pending Review</t>
        </is>
      </c>
      <c r="Q1416" s="33" t="inlineStr">
        <is>
          <t>Confirmar SKU/PCBA revision, PN exacto en Common DB, WO, BU, vigencia, planta y aprobacion firmada.</t>
        </is>
      </c>
    </row>
    <row r="1417">
      <c r="A1417" s="43" t="inlineStr">
        <is>
          <t>CTANJZ05339</t>
        </is>
      </c>
      <c r="B1417" s="43" t="inlineStr">
        <is>
          <t>D612194</t>
        </is>
      </c>
      <c r="C1417" s="43" t="inlineStr">
        <is>
          <t>037-STBU</t>
        </is>
      </c>
      <c r="D1417" s="43" t="inlineStr">
        <is>
          <t>FJZP</t>
        </is>
      </c>
      <c r="E1417" s="43" t="inlineStr">
        <is>
          <t>MCGA</t>
        </is>
      </c>
      <c r="F1417" s="43" t="inlineStr">
        <is>
          <t>74-134455-06</t>
        </is>
      </c>
      <c r="G1417" s="43" t="inlineStr">
        <is>
          <t>OTHER_SCOPE_ITEM</t>
        </is>
      </c>
      <c r="H1417" s="43" t="inlineStr"/>
      <c r="I1417" s="43" t="inlineStr">
        <is>
          <t>Expired</t>
        </is>
      </c>
      <c r="J1417" s="32" t="n">
        <v>46295</v>
      </c>
      <c r="K1417" s="32" t="n">
        <v>46228</v>
      </c>
      <c r="L1417" s="43" t="inlineStr">
        <is>
          <t>200</t>
        </is>
      </c>
      <c r="M1417" s="43" t="n">
        <v>1</v>
      </c>
      <c r="N1417" s="33" t="inlineStr"/>
      <c r="O1417" s="43" t="inlineStr">
        <is>
          <t>UNVERIFIED</t>
        </is>
      </c>
      <c r="P1417" s="43" t="inlineStr">
        <is>
          <t>Pending Review</t>
        </is>
      </c>
      <c r="Q1417" s="33" t="inlineStr">
        <is>
          <t>Confirmar SKU/PCBA revision, PN exacto en Common DB, WO, BU, vigencia, planta y aprobacion firmada.</t>
        </is>
      </c>
    </row>
    <row r="1418">
      <c r="A1418" s="43" t="inlineStr">
        <is>
          <t>CTANJZ05339</t>
        </is>
      </c>
      <c r="B1418" s="43" t="inlineStr">
        <is>
          <t>D612194</t>
        </is>
      </c>
      <c r="C1418" s="43" t="inlineStr">
        <is>
          <t>037-STBU</t>
        </is>
      </c>
      <c r="D1418" s="43" t="inlineStr">
        <is>
          <t>FJZP</t>
        </is>
      </c>
      <c r="E1418" s="43" t="inlineStr">
        <is>
          <t>MCGA</t>
        </is>
      </c>
      <c r="F1418" s="43" t="inlineStr">
        <is>
          <t>74-134456-06</t>
        </is>
      </c>
      <c r="G1418" s="43" t="inlineStr">
        <is>
          <t>OTHER_SCOPE_ITEM</t>
        </is>
      </c>
      <c r="H1418" s="43" t="inlineStr"/>
      <c r="I1418" s="43" t="inlineStr">
        <is>
          <t>Expired</t>
        </is>
      </c>
      <c r="J1418" s="32" t="n">
        <v>46295</v>
      </c>
      <c r="K1418" s="32" t="n">
        <v>46228</v>
      </c>
      <c r="L1418" s="43" t="inlineStr">
        <is>
          <t>201</t>
        </is>
      </c>
      <c r="M1418" s="43" t="n">
        <v>1</v>
      </c>
      <c r="N1418" s="33" t="inlineStr"/>
      <c r="O1418" s="43" t="inlineStr">
        <is>
          <t>UNVERIFIED</t>
        </is>
      </c>
      <c r="P1418" s="43" t="inlineStr">
        <is>
          <t>Pending Review</t>
        </is>
      </c>
      <c r="Q1418" s="33" t="inlineStr">
        <is>
          <t>Confirmar SKU/PCBA revision, PN exacto en Common DB, WO, BU, vigencia, planta y aprobacion firmada.</t>
        </is>
      </c>
    </row>
    <row r="1419">
      <c r="A1419" s="43" t="inlineStr">
        <is>
          <t>CTANJZ05340</t>
        </is>
      </c>
      <c r="B1419" s="43" t="inlineStr">
        <is>
          <t>D611387</t>
        </is>
      </c>
      <c r="C1419" s="43" t="inlineStr">
        <is>
          <t>018-SRGBU</t>
        </is>
      </c>
      <c r="D1419" s="43" t="inlineStr">
        <is>
          <t>FJZP</t>
        </is>
      </c>
      <c r="E1419" s="43" t="inlineStr">
        <is>
          <t>MCGA</t>
        </is>
      </c>
      <c r="F1419" s="43" t="inlineStr">
        <is>
          <t>15-109388-01</t>
        </is>
      </c>
      <c r="G1419" s="43" t="inlineStr">
        <is>
          <t>OTHER_SCOPE_ITEM</t>
        </is>
      </c>
      <c r="H1419" s="43" t="inlineStr"/>
      <c r="I1419" s="43" t="inlineStr">
        <is>
          <t>Expired</t>
        </is>
      </c>
      <c r="J1419" s="32" t="n">
        <v>46299</v>
      </c>
      <c r="K1419" s="32" t="n">
        <v>46223</v>
      </c>
      <c r="L1419" s="43" t="inlineStr">
        <is>
          <t>1185</t>
        </is>
      </c>
      <c r="M1419" s="43" t="n">
        <v>1</v>
      </c>
      <c r="N1419" s="33" t="inlineStr"/>
      <c r="O1419" s="43" t="inlineStr">
        <is>
          <t>UNVERIFIED</t>
        </is>
      </c>
      <c r="P1419" s="43" t="inlineStr">
        <is>
          <t>Pending Review</t>
        </is>
      </c>
      <c r="Q1419" s="33" t="inlineStr">
        <is>
          <t>Confirmar SKU/PCBA revision, PN exacto en Common DB, WO, BU, vigencia, planta y aprobacion firmada.</t>
        </is>
      </c>
    </row>
    <row r="1420">
      <c r="A1420" s="43" t="inlineStr">
        <is>
          <t>CTANJZ05341</t>
        </is>
      </c>
      <c r="B1420" s="43" t="inlineStr">
        <is>
          <t>D612354</t>
        </is>
      </c>
      <c r="C1420" s="43" t="inlineStr">
        <is>
          <t>035-CVEBU</t>
        </is>
      </c>
      <c r="D1420" s="43" t="inlineStr">
        <is>
          <t>FJZP</t>
        </is>
      </c>
      <c r="E1420" s="43" t="inlineStr">
        <is>
          <t>MCGA</t>
        </is>
      </c>
      <c r="F1420" s="43" t="inlineStr">
        <is>
          <t>800-115882-01</t>
        </is>
      </c>
      <c r="G1420" s="43" t="inlineStr">
        <is>
          <t>OTHER_SCOPE_ITEM</t>
        </is>
      </c>
      <c r="H1420" s="43" t="inlineStr"/>
      <c r="I1420" s="43" t="inlineStr">
        <is>
          <t>Extended</t>
        </is>
      </c>
      <c r="J1420" s="32" t="n">
        <v>46389</v>
      </c>
      <c r="K1420" s="32" t="n">
        <v>46224</v>
      </c>
      <c r="L1420" s="43" t="inlineStr">
        <is>
          <t>600</t>
        </is>
      </c>
      <c r="M1420" s="43" t="n">
        <v>1</v>
      </c>
      <c r="N1420" s="33" t="inlineStr"/>
      <c r="O1420" s="43" t="inlineStr">
        <is>
          <t>UNVERIFIED</t>
        </is>
      </c>
      <c r="P1420" s="43" t="inlineStr">
        <is>
          <t>Pending Review</t>
        </is>
      </c>
      <c r="Q1420" s="33" t="inlineStr">
        <is>
          <t>Confirmar SKU/PCBA revision, PN exacto en Common DB, WO, BU, vigencia, planta y aprobacion firmada.</t>
        </is>
      </c>
    </row>
    <row r="1421">
      <c r="A1421" s="43" t="inlineStr">
        <is>
          <t>CTANJZ05341</t>
        </is>
      </c>
      <c r="B1421" s="43" t="inlineStr">
        <is>
          <t>D612354</t>
        </is>
      </c>
      <c r="C1421" s="43" t="inlineStr">
        <is>
          <t>035-CVEBU</t>
        </is>
      </c>
      <c r="D1421" s="43" t="inlineStr">
        <is>
          <t>FJZP</t>
        </is>
      </c>
      <c r="E1421" s="43" t="inlineStr">
        <is>
          <t>MCGA</t>
        </is>
      </c>
      <c r="F1421" s="43" t="inlineStr">
        <is>
          <t>800-115884-01</t>
        </is>
      </c>
      <c r="G1421" s="43" t="inlineStr">
        <is>
          <t>OTHER_SCOPE_ITEM</t>
        </is>
      </c>
      <c r="H1421" s="43" t="inlineStr"/>
      <c r="I1421" s="43" t="inlineStr">
        <is>
          <t>Extended</t>
        </is>
      </c>
      <c r="J1421" s="32" t="n">
        <v>46389</v>
      </c>
      <c r="K1421" s="32" t="n">
        <v>46224</v>
      </c>
      <c r="L1421" s="43" t="inlineStr">
        <is>
          <t>601</t>
        </is>
      </c>
      <c r="M1421" s="43" t="n">
        <v>1</v>
      </c>
      <c r="N1421" s="33" t="inlineStr"/>
      <c r="O1421" s="43" t="inlineStr">
        <is>
          <t>UNVERIFIED</t>
        </is>
      </c>
      <c r="P1421" s="43" t="inlineStr">
        <is>
          <t>Pending Review</t>
        </is>
      </c>
      <c r="Q1421" s="33" t="inlineStr">
        <is>
          <t>Confirmar SKU/PCBA revision, PN exacto en Common DB, WO, BU, vigencia, planta y aprobacion firmada.</t>
        </is>
      </c>
    </row>
    <row r="1422">
      <c r="A1422" s="43" t="inlineStr">
        <is>
          <t>CTANJZ05341</t>
        </is>
      </c>
      <c r="B1422" s="43" t="inlineStr">
        <is>
          <t>D612354</t>
        </is>
      </c>
      <c r="C1422" s="43" t="inlineStr">
        <is>
          <t>035-CVEBU</t>
        </is>
      </c>
      <c r="D1422" s="43" t="inlineStr">
        <is>
          <t>FJZP</t>
        </is>
      </c>
      <c r="E1422" s="43" t="inlineStr">
        <is>
          <t>MCGA</t>
        </is>
      </c>
      <c r="F1422" s="43" t="inlineStr">
        <is>
          <t>800-116002-01</t>
        </is>
      </c>
      <c r="G1422" s="43" t="inlineStr">
        <is>
          <t>OTHER_SCOPE_ITEM</t>
        </is>
      </c>
      <c r="H1422" s="43" t="inlineStr"/>
      <c r="I1422" s="43" t="inlineStr">
        <is>
          <t>Extended</t>
        </is>
      </c>
      <c r="J1422" s="32" t="n">
        <v>46389</v>
      </c>
      <c r="K1422" s="32" t="n">
        <v>46224</v>
      </c>
      <c r="L1422" s="43" t="inlineStr">
        <is>
          <t>602</t>
        </is>
      </c>
      <c r="M1422" s="43" t="n">
        <v>1</v>
      </c>
      <c r="N1422" s="33" t="inlineStr"/>
      <c r="O1422" s="43" t="inlineStr">
        <is>
          <t>UNVERIFIED</t>
        </is>
      </c>
      <c r="P1422" s="43" t="inlineStr">
        <is>
          <t>Pending Review</t>
        </is>
      </c>
      <c r="Q1422" s="33" t="inlineStr">
        <is>
          <t>Confirmar SKU/PCBA revision, PN exacto en Common DB, WO, BU, vigencia, planta y aprobacion firmada.</t>
        </is>
      </c>
    </row>
    <row r="1423">
      <c r="A1423" s="43" t="inlineStr">
        <is>
          <t>CTANJZ05341</t>
        </is>
      </c>
      <c r="B1423" s="43" t="inlineStr">
        <is>
          <t>D612354</t>
        </is>
      </c>
      <c r="C1423" s="43" t="inlineStr">
        <is>
          <t>035-CVEBU</t>
        </is>
      </c>
      <c r="D1423" s="43" t="inlineStr">
        <is>
          <t>FJZP</t>
        </is>
      </c>
      <c r="E1423" s="43" t="inlineStr">
        <is>
          <t>MCGA</t>
        </is>
      </c>
      <c r="F1423" s="43" t="inlineStr">
        <is>
          <t>800-116003-01</t>
        </is>
      </c>
      <c r="G1423" s="43" t="inlineStr">
        <is>
          <t>OTHER_SCOPE_ITEM</t>
        </is>
      </c>
      <c r="H1423" s="43" t="inlineStr"/>
      <c r="I1423" s="43" t="inlineStr">
        <is>
          <t>Extended</t>
        </is>
      </c>
      <c r="J1423" s="32" t="n">
        <v>46389</v>
      </c>
      <c r="K1423" s="32" t="n">
        <v>46224</v>
      </c>
      <c r="L1423" s="43" t="inlineStr">
        <is>
          <t>603</t>
        </is>
      </c>
      <c r="M1423" s="43" t="n">
        <v>1</v>
      </c>
      <c r="N1423" s="33" t="inlineStr"/>
      <c r="O1423" s="43" t="inlineStr">
        <is>
          <t>UNVERIFIED</t>
        </is>
      </c>
      <c r="P1423" s="43" t="inlineStr">
        <is>
          <t>Pending Review</t>
        </is>
      </c>
      <c r="Q1423" s="33" t="inlineStr">
        <is>
          <t>Confirmar SKU/PCBA revision, PN exacto en Common DB, WO, BU, vigencia, planta y aprobacion firmada.</t>
        </is>
      </c>
    </row>
    <row r="1424">
      <c r="A1424" s="43" t="inlineStr">
        <is>
          <t>CTANJZ05341</t>
        </is>
      </c>
      <c r="B1424" s="43" t="inlineStr">
        <is>
          <t>D612354</t>
        </is>
      </c>
      <c r="C1424" s="43" t="inlineStr">
        <is>
          <t>035-CVEBU</t>
        </is>
      </c>
      <c r="D1424" s="43" t="inlineStr">
        <is>
          <t>FJZP</t>
        </is>
      </c>
      <c r="E1424" s="43" t="inlineStr">
        <is>
          <t>MCGA</t>
        </is>
      </c>
      <c r="F1424" s="43" t="inlineStr">
        <is>
          <t>800-118978-03</t>
        </is>
      </c>
      <c r="G1424" s="43" t="inlineStr">
        <is>
          <t>OTHER_SCOPE_ITEM</t>
        </is>
      </c>
      <c r="H1424" s="43" t="inlineStr"/>
      <c r="I1424" s="43" t="inlineStr">
        <is>
          <t>Extended</t>
        </is>
      </c>
      <c r="J1424" s="32" t="n">
        <v>46389</v>
      </c>
      <c r="K1424" s="32" t="n">
        <v>46224</v>
      </c>
      <c r="L1424" s="43" t="inlineStr">
        <is>
          <t>604</t>
        </is>
      </c>
      <c r="M1424" s="43" t="n">
        <v>1</v>
      </c>
      <c r="N1424" s="33" t="inlineStr"/>
      <c r="O1424" s="43" t="inlineStr">
        <is>
          <t>UNVERIFIED</t>
        </is>
      </c>
      <c r="P1424" s="43" t="inlineStr">
        <is>
          <t>Pending Review</t>
        </is>
      </c>
      <c r="Q1424" s="33" t="inlineStr">
        <is>
          <t>Confirmar SKU/PCBA revision, PN exacto en Common DB, WO, BU, vigencia, planta y aprobacion firmada.</t>
        </is>
      </c>
    </row>
    <row r="1425">
      <c r="A1425" s="43" t="inlineStr">
        <is>
          <t>CTANJZ05341</t>
        </is>
      </c>
      <c r="B1425" s="43" t="inlineStr">
        <is>
          <t>D612354</t>
        </is>
      </c>
      <c r="C1425" s="43" t="inlineStr">
        <is>
          <t>035-CVEBU</t>
        </is>
      </c>
      <c r="D1425" s="43" t="inlineStr">
        <is>
          <t>FJZP</t>
        </is>
      </c>
      <c r="E1425" s="43" t="inlineStr">
        <is>
          <t>MCGA</t>
        </is>
      </c>
      <c r="F1425" s="43" t="inlineStr">
        <is>
          <t>800-126978-03</t>
        </is>
      </c>
      <c r="G1425" s="43" t="inlineStr">
        <is>
          <t>OTHER_SCOPE_ITEM</t>
        </is>
      </c>
      <c r="H1425" s="43" t="inlineStr"/>
      <c r="I1425" s="43" t="inlineStr">
        <is>
          <t>Extended</t>
        </is>
      </c>
      <c r="J1425" s="32" t="n">
        <v>46389</v>
      </c>
      <c r="K1425" s="32" t="n">
        <v>46224</v>
      </c>
      <c r="L1425" s="43" t="inlineStr">
        <is>
          <t>605</t>
        </is>
      </c>
      <c r="M1425" s="43" t="n">
        <v>1</v>
      </c>
      <c r="N1425" s="33" t="inlineStr"/>
      <c r="O1425" s="43" t="inlineStr">
        <is>
          <t>UNVERIFIED</t>
        </is>
      </c>
      <c r="P1425" s="43" t="inlineStr">
        <is>
          <t>Pending Review</t>
        </is>
      </c>
      <c r="Q1425" s="33" t="inlineStr">
        <is>
          <t>Confirmar SKU/PCBA revision, PN exacto en Common DB, WO, BU, vigencia, planta y aprobacion firmada.</t>
        </is>
      </c>
    </row>
    <row r="1426">
      <c r="A1426" s="43" t="inlineStr">
        <is>
          <t>CTANJZ05343</t>
        </is>
      </c>
      <c r="B1426" s="43" t="inlineStr">
        <is>
          <t>D612246</t>
        </is>
      </c>
      <c r="C1426" s="43" t="inlineStr">
        <is>
          <t>037-STBU</t>
        </is>
      </c>
      <c r="D1426" s="43" t="inlineStr">
        <is>
          <t>FJZP</t>
        </is>
      </c>
      <c r="E1426" s="43" t="inlineStr">
        <is>
          <t>MCGA</t>
        </is>
      </c>
      <c r="F1426" s="43" t="inlineStr">
        <is>
          <t>16-101652-01</t>
        </is>
      </c>
      <c r="G1426" s="43" t="inlineStr">
        <is>
          <t>OTHER_SCOPE_ITEM</t>
        </is>
      </c>
      <c r="H1426" s="43" t="inlineStr"/>
      <c r="I1426" s="43" t="inlineStr">
        <is>
          <t>Expired</t>
        </is>
      </c>
      <c r="J1426" s="32" t="n">
        <v>46300</v>
      </c>
      <c r="K1426" s="32" t="n">
        <v>46227</v>
      </c>
      <c r="L1426" s="43" t="inlineStr">
        <is>
          <t>1186</t>
        </is>
      </c>
      <c r="M1426" s="43" t="n">
        <v>1</v>
      </c>
      <c r="N1426" s="33" t="inlineStr"/>
      <c r="O1426" s="43" t="inlineStr">
        <is>
          <t>UNVERIFIED</t>
        </is>
      </c>
      <c r="P1426" s="43" t="inlineStr">
        <is>
          <t>Pending Review</t>
        </is>
      </c>
      <c r="Q1426" s="33" t="inlineStr">
        <is>
          <t>Confirmar SKU/PCBA revision, PN exacto en Common DB, WO, BU, vigencia, planta y aprobacion firmada.</t>
        </is>
      </c>
    </row>
    <row r="1427">
      <c r="A1427" s="43" t="inlineStr">
        <is>
          <t>CTANJZ05343</t>
        </is>
      </c>
      <c r="B1427" s="43" t="inlineStr">
        <is>
          <t>D612246</t>
        </is>
      </c>
      <c r="C1427" s="43" t="inlineStr">
        <is>
          <t>037-STBU</t>
        </is>
      </c>
      <c r="D1427" s="43" t="inlineStr">
        <is>
          <t>FJZP</t>
        </is>
      </c>
      <c r="E1427" s="43" t="inlineStr">
        <is>
          <t>MCGA</t>
        </is>
      </c>
      <c r="F1427" s="43" t="inlineStr">
        <is>
          <t>68-103418-01</t>
        </is>
      </c>
      <c r="G1427" s="43" t="inlineStr">
        <is>
          <t>OTHER_SCOPE_ITEM</t>
        </is>
      </c>
      <c r="H1427" s="43" t="inlineStr"/>
      <c r="I1427" s="43" t="inlineStr">
        <is>
          <t>Expired</t>
        </is>
      </c>
      <c r="J1427" s="32" t="n">
        <v>46300</v>
      </c>
      <c r="K1427" s="32" t="n">
        <v>46227</v>
      </c>
      <c r="L1427" s="43" t="inlineStr">
        <is>
          <t>1187</t>
        </is>
      </c>
      <c r="M1427" s="43" t="n">
        <v>1</v>
      </c>
      <c r="N1427" s="33" t="inlineStr"/>
      <c r="O1427" s="43" t="inlineStr">
        <is>
          <t>UNVERIFIED</t>
        </is>
      </c>
      <c r="P1427" s="43" t="inlineStr">
        <is>
          <t>Pending Review</t>
        </is>
      </c>
      <c r="Q1427" s="33" t="inlineStr">
        <is>
          <t>Confirmar SKU/PCBA revision, PN exacto en Common DB, WO, BU, vigencia, planta y aprobacion firmada.</t>
        </is>
      </c>
    </row>
    <row r="1428">
      <c r="A1428" s="43" t="inlineStr">
        <is>
          <t>CTANJZ05343</t>
        </is>
      </c>
      <c r="B1428" s="43" t="inlineStr">
        <is>
          <t>D612246</t>
        </is>
      </c>
      <c r="C1428" s="43" t="inlineStr">
        <is>
          <t>037-STBU</t>
        </is>
      </c>
      <c r="D1428" s="43" t="inlineStr">
        <is>
          <t>FJZP</t>
        </is>
      </c>
      <c r="E1428" s="43" t="inlineStr">
        <is>
          <t>MCGA</t>
        </is>
      </c>
      <c r="F1428" s="43" t="inlineStr">
        <is>
          <t>68-7253-05</t>
        </is>
      </c>
      <c r="G1428" s="43" t="inlineStr">
        <is>
          <t>OTHER_SCOPE_ITEM</t>
        </is>
      </c>
      <c r="H1428" s="43" t="inlineStr"/>
      <c r="I1428" s="43" t="inlineStr">
        <is>
          <t>Expired</t>
        </is>
      </c>
      <c r="J1428" s="32" t="n">
        <v>46300</v>
      </c>
      <c r="K1428" s="32" t="n">
        <v>46227</v>
      </c>
      <c r="L1428" s="43" t="inlineStr">
        <is>
          <t>1188</t>
        </is>
      </c>
      <c r="M1428" s="43" t="n">
        <v>1</v>
      </c>
      <c r="N1428" s="33" t="inlineStr"/>
      <c r="O1428" s="43" t="inlineStr">
        <is>
          <t>UNVERIFIED</t>
        </is>
      </c>
      <c r="P1428" s="43" t="inlineStr">
        <is>
          <t>Pending Review</t>
        </is>
      </c>
      <c r="Q1428" s="33" t="inlineStr">
        <is>
          <t>Confirmar SKU/PCBA revision, PN exacto en Common DB, WO, BU, vigencia, planta y aprobacion firmada.</t>
        </is>
      </c>
    </row>
    <row r="1429">
      <c r="A1429" s="43" t="inlineStr">
        <is>
          <t>CTANJZ05343</t>
        </is>
      </c>
      <c r="B1429" s="43" t="inlineStr">
        <is>
          <t>D612246</t>
        </is>
      </c>
      <c r="C1429" s="43" t="inlineStr">
        <is>
          <t>037-STBU</t>
        </is>
      </c>
      <c r="D1429" s="43" t="inlineStr">
        <is>
          <t>FJZP</t>
        </is>
      </c>
      <c r="E1429" s="43" t="inlineStr">
        <is>
          <t>MCGA</t>
        </is>
      </c>
      <c r="F1429" s="43" t="inlineStr">
        <is>
          <t>68-7254-05</t>
        </is>
      </c>
      <c r="G1429" s="43" t="inlineStr">
        <is>
          <t>OTHER_SCOPE_ITEM</t>
        </is>
      </c>
      <c r="H1429" s="43" t="inlineStr"/>
      <c r="I1429" s="43" t="inlineStr">
        <is>
          <t>Expired</t>
        </is>
      </c>
      <c r="J1429" s="32" t="n">
        <v>46300</v>
      </c>
      <c r="K1429" s="32" t="n">
        <v>46227</v>
      </c>
      <c r="L1429" s="43" t="inlineStr">
        <is>
          <t>1189</t>
        </is>
      </c>
      <c r="M1429" s="43" t="n">
        <v>1</v>
      </c>
      <c r="N1429" s="33" t="inlineStr"/>
      <c r="O1429" s="43" t="inlineStr">
        <is>
          <t>UNVERIFIED</t>
        </is>
      </c>
      <c r="P1429" s="43" t="inlineStr">
        <is>
          <t>Pending Review</t>
        </is>
      </c>
      <c r="Q1429" s="33" t="inlineStr">
        <is>
          <t>Confirmar SKU/PCBA revision, PN exacto en Common DB, WO, BU, vigencia, planta y aprobacion firmada.</t>
        </is>
      </c>
    </row>
    <row r="1430">
      <c r="A1430" s="43" t="inlineStr">
        <is>
          <t>CTANJZ05343</t>
        </is>
      </c>
      <c r="B1430" s="43" t="inlineStr">
        <is>
          <t>D612246</t>
        </is>
      </c>
      <c r="C1430" s="43" t="inlineStr">
        <is>
          <t>037-STBU</t>
        </is>
      </c>
      <c r="D1430" s="43" t="inlineStr">
        <is>
          <t>FJZP</t>
        </is>
      </c>
      <c r="E1430" s="43" t="inlineStr">
        <is>
          <t>MCGA</t>
        </is>
      </c>
      <c r="F1430" s="43" t="inlineStr">
        <is>
          <t>68-7255-05</t>
        </is>
      </c>
      <c r="G1430" s="43" t="inlineStr">
        <is>
          <t>OTHER_SCOPE_ITEM</t>
        </is>
      </c>
      <c r="H1430" s="43" t="inlineStr"/>
      <c r="I1430" s="43" t="inlineStr">
        <is>
          <t>Expired</t>
        </is>
      </c>
      <c r="J1430" s="32" t="n">
        <v>46300</v>
      </c>
      <c r="K1430" s="32" t="n">
        <v>46227</v>
      </c>
      <c r="L1430" s="43" t="inlineStr">
        <is>
          <t>1273</t>
        </is>
      </c>
      <c r="M1430" s="43" t="n">
        <v>1</v>
      </c>
      <c r="N1430" s="33" t="inlineStr"/>
      <c r="O1430" s="43" t="inlineStr">
        <is>
          <t>UNVERIFIED</t>
        </is>
      </c>
      <c r="P1430" s="43" t="inlineStr">
        <is>
          <t>Pending Review</t>
        </is>
      </c>
      <c r="Q1430" s="33" t="inlineStr">
        <is>
          <t>Confirmar SKU/PCBA revision, PN exacto en Common DB, WO, BU, vigencia, planta y aprobacion firmada.</t>
        </is>
      </c>
    </row>
    <row r="1431">
      <c r="A1431" s="43" t="inlineStr">
        <is>
          <t>CTANJZ05343</t>
        </is>
      </c>
      <c r="B1431" s="43" t="inlineStr">
        <is>
          <t>D612246</t>
        </is>
      </c>
      <c r="C1431" s="43" t="inlineStr">
        <is>
          <t>037-STBU</t>
        </is>
      </c>
      <c r="D1431" s="43" t="inlineStr">
        <is>
          <t>FJZP</t>
        </is>
      </c>
      <c r="E1431" s="43" t="inlineStr">
        <is>
          <t>MCGA</t>
        </is>
      </c>
      <c r="F1431" s="43" t="inlineStr">
        <is>
          <t>68-7256-05</t>
        </is>
      </c>
      <c r="G1431" s="43" t="inlineStr">
        <is>
          <t>OTHER_SCOPE_ITEM</t>
        </is>
      </c>
      <c r="H1431" s="43" t="inlineStr"/>
      <c r="I1431" s="43" t="inlineStr">
        <is>
          <t>Expired</t>
        </is>
      </c>
      <c r="J1431" s="32" t="n">
        <v>46300</v>
      </c>
      <c r="K1431" s="32" t="n">
        <v>46227</v>
      </c>
      <c r="L1431" s="43" t="inlineStr">
        <is>
          <t>1274</t>
        </is>
      </c>
      <c r="M1431" s="43" t="n">
        <v>1</v>
      </c>
      <c r="N1431" s="33" t="inlineStr"/>
      <c r="O1431" s="43" t="inlineStr">
        <is>
          <t>UNVERIFIED</t>
        </is>
      </c>
      <c r="P1431" s="43" t="inlineStr">
        <is>
          <t>Pending Review</t>
        </is>
      </c>
      <c r="Q1431" s="33" t="inlineStr">
        <is>
          <t>Confirmar SKU/PCBA revision, PN exacto en Common DB, WO, BU, vigencia, planta y aprobacion firmada.</t>
        </is>
      </c>
    </row>
    <row r="1432">
      <c r="A1432" s="43" t="inlineStr">
        <is>
          <t>CTANJZ05343</t>
        </is>
      </c>
      <c r="B1432" s="43" t="inlineStr">
        <is>
          <t>D612246</t>
        </is>
      </c>
      <c r="C1432" s="43" t="inlineStr">
        <is>
          <t>037-STBU</t>
        </is>
      </c>
      <c r="D1432" s="43" t="inlineStr">
        <is>
          <t>FJZP</t>
        </is>
      </c>
      <c r="E1432" s="43" t="inlineStr">
        <is>
          <t>MCGA</t>
        </is>
      </c>
      <c r="F1432" s="43" t="inlineStr">
        <is>
          <t>68-7638-02</t>
        </is>
      </c>
      <c r="G1432" s="43" t="inlineStr">
        <is>
          <t>OTHER_SCOPE_ITEM</t>
        </is>
      </c>
      <c r="H1432" s="43" t="inlineStr"/>
      <c r="I1432" s="43" t="inlineStr">
        <is>
          <t>Expired</t>
        </is>
      </c>
      <c r="J1432" s="32" t="n">
        <v>46300</v>
      </c>
      <c r="K1432" s="32" t="n">
        <v>46227</v>
      </c>
      <c r="L1432" s="43" t="inlineStr">
        <is>
          <t>1275</t>
        </is>
      </c>
      <c r="M1432" s="43" t="n">
        <v>1</v>
      </c>
      <c r="N1432" s="33" t="inlineStr"/>
      <c r="O1432" s="43" t="inlineStr">
        <is>
          <t>UNVERIFIED</t>
        </is>
      </c>
      <c r="P1432" s="43" t="inlineStr">
        <is>
          <t>Pending Review</t>
        </is>
      </c>
      <c r="Q1432" s="33" t="inlineStr">
        <is>
          <t>Confirmar SKU/PCBA revision, PN exacto en Common DB, WO, BU, vigencia, planta y aprobacion firmada.</t>
        </is>
      </c>
    </row>
    <row r="1433">
      <c r="A1433" s="43" t="inlineStr">
        <is>
          <t>CTANJZ05343</t>
        </is>
      </c>
      <c r="B1433" s="43" t="inlineStr">
        <is>
          <t>D612246</t>
        </is>
      </c>
      <c r="C1433" s="43" t="inlineStr">
        <is>
          <t>037-STBU</t>
        </is>
      </c>
      <c r="D1433" s="43" t="inlineStr">
        <is>
          <t>FJZP</t>
        </is>
      </c>
      <c r="E1433" s="43" t="inlineStr">
        <is>
          <t>MCGA</t>
        </is>
      </c>
      <c r="F1433" s="43" t="inlineStr">
        <is>
          <t>74-126726-01</t>
        </is>
      </c>
      <c r="G1433" s="43" t="inlineStr">
        <is>
          <t>OTHER_SCOPE_ITEM</t>
        </is>
      </c>
      <c r="H1433" s="43" t="inlineStr"/>
      <c r="I1433" s="43" t="inlineStr">
        <is>
          <t>Expired</t>
        </is>
      </c>
      <c r="J1433" s="32" t="n">
        <v>46300</v>
      </c>
      <c r="K1433" s="32" t="n">
        <v>46227</v>
      </c>
      <c r="L1433" s="43" t="inlineStr">
        <is>
          <t>1276</t>
        </is>
      </c>
      <c r="M1433" s="43" t="n">
        <v>1</v>
      </c>
      <c r="N1433" s="33" t="inlineStr"/>
      <c r="O1433" s="43" t="inlineStr">
        <is>
          <t>UNVERIFIED</t>
        </is>
      </c>
      <c r="P1433" s="43" t="inlineStr">
        <is>
          <t>Pending Review</t>
        </is>
      </c>
      <c r="Q1433" s="33" t="inlineStr">
        <is>
          <t>Confirmar SKU/PCBA revision, PN exacto en Common DB, WO, BU, vigencia, planta y aprobacion firmada.</t>
        </is>
      </c>
    </row>
    <row r="1434">
      <c r="A1434" s="43" t="inlineStr">
        <is>
          <t>CTANJZ05344</t>
        </is>
      </c>
      <c r="B1434" s="43" t="inlineStr">
        <is>
          <t>D612031</t>
        </is>
      </c>
      <c r="C1434" s="43" t="inlineStr">
        <is>
          <t>018-SRGBU</t>
        </is>
      </c>
      <c r="D1434" s="43" t="inlineStr">
        <is>
          <t>FJZP</t>
        </is>
      </c>
      <c r="E1434" s="43" t="inlineStr">
        <is>
          <t>MCGA</t>
        </is>
      </c>
      <c r="F1434" s="43" t="inlineStr">
        <is>
          <t>73-21204-06</t>
        </is>
      </c>
      <c r="G1434" s="43" t="inlineStr">
        <is>
          <t>BOARD_PN_CANDIDATE</t>
        </is>
      </c>
      <c r="H1434" s="43" t="inlineStr"/>
      <c r="I1434" s="43" t="inlineStr">
        <is>
          <t>Expired</t>
        </is>
      </c>
      <c r="J1434" s="32" t="n">
        <v>46301</v>
      </c>
      <c r="K1434" s="32" t="n">
        <v>46224</v>
      </c>
      <c r="L1434" s="43" t="inlineStr">
        <is>
          <t>1277</t>
        </is>
      </c>
      <c r="M1434" s="43" t="n">
        <v>1</v>
      </c>
      <c r="N1434" s="33" t="inlineStr"/>
      <c r="O1434" s="43" t="inlineStr">
        <is>
          <t>UNVERIFIED</t>
        </is>
      </c>
      <c r="P1434" s="43" t="inlineStr">
        <is>
          <t>Pending Review</t>
        </is>
      </c>
      <c r="Q1434" s="33" t="inlineStr">
        <is>
          <t>Confirmar SKU/PCBA revision, PN exacto en Common DB, WO, BU, vigencia, planta y aprobacion firmada.</t>
        </is>
      </c>
    </row>
    <row r="1435">
      <c r="A1435" s="43" t="inlineStr">
        <is>
          <t>CTANJZ05344</t>
        </is>
      </c>
      <c r="B1435" s="43" t="inlineStr">
        <is>
          <t>D612031</t>
        </is>
      </c>
      <c r="C1435" s="43" t="inlineStr">
        <is>
          <t>018-SRGBU</t>
        </is>
      </c>
      <c r="D1435" s="43" t="inlineStr">
        <is>
          <t>FJZP</t>
        </is>
      </c>
      <c r="E1435" s="43" t="inlineStr">
        <is>
          <t>MCGA</t>
        </is>
      </c>
      <c r="F1435" s="43" t="inlineStr">
        <is>
          <t>73-21231-05</t>
        </is>
      </c>
      <c r="G1435" s="43" t="inlineStr">
        <is>
          <t>BOARD_PN_CANDIDATE</t>
        </is>
      </c>
      <c r="H1435" s="43" t="inlineStr">
        <is>
          <t>CHARON</t>
        </is>
      </c>
      <c r="I1435" s="43" t="inlineStr">
        <is>
          <t>Expired</t>
        </is>
      </c>
      <c r="J1435" s="32" t="n">
        <v>46301</v>
      </c>
      <c r="K1435" s="32" t="n">
        <v>46224</v>
      </c>
      <c r="L1435" s="43" t="inlineStr">
        <is>
          <t>1278</t>
        </is>
      </c>
      <c r="M1435" s="43" t="n">
        <v>1</v>
      </c>
      <c r="N1435" s="33" t="inlineStr"/>
      <c r="O1435" s="43" t="inlineStr">
        <is>
          <t>UNVERIFIED</t>
        </is>
      </c>
      <c r="P1435" s="43" t="inlineStr">
        <is>
          <t>Pending Review</t>
        </is>
      </c>
      <c r="Q1435" s="33" t="inlineStr">
        <is>
          <t>Confirmar SKU/PCBA revision, PN exacto en Common DB, WO, BU, vigencia, planta y aprobacion firmada.</t>
        </is>
      </c>
    </row>
    <row r="1436">
      <c r="A1436" s="43" t="inlineStr">
        <is>
          <t>CTANJZ05344</t>
        </is>
      </c>
      <c r="B1436" s="43" t="inlineStr">
        <is>
          <t>D612031</t>
        </is>
      </c>
      <c r="C1436" s="43" t="inlineStr">
        <is>
          <t>018-SRGBU</t>
        </is>
      </c>
      <c r="D1436" s="43" t="inlineStr">
        <is>
          <t>FJZP</t>
        </is>
      </c>
      <c r="E1436" s="43" t="inlineStr">
        <is>
          <t>MCGA</t>
        </is>
      </c>
      <c r="F1436" s="43" t="inlineStr">
        <is>
          <t>73-21417-05</t>
        </is>
      </c>
      <c r="G1436" s="43" t="inlineStr">
        <is>
          <t>BOARD_PN_CANDIDATE</t>
        </is>
      </c>
      <c r="H1436" s="43" t="inlineStr"/>
      <c r="I1436" s="43" t="inlineStr">
        <is>
          <t>Expired</t>
        </is>
      </c>
      <c r="J1436" s="32" t="n">
        <v>46301</v>
      </c>
      <c r="K1436" s="32" t="n">
        <v>46224</v>
      </c>
      <c r="L1436" s="43" t="inlineStr">
        <is>
          <t>1279</t>
        </is>
      </c>
      <c r="M1436" s="43" t="n">
        <v>1</v>
      </c>
      <c r="N1436" s="33" t="inlineStr"/>
      <c r="O1436" s="43" t="inlineStr">
        <is>
          <t>UNVERIFIED</t>
        </is>
      </c>
      <c r="P1436" s="43" t="inlineStr">
        <is>
          <t>Pending Review</t>
        </is>
      </c>
      <c r="Q1436" s="33" t="inlineStr">
        <is>
          <t>Confirmar SKU/PCBA revision, PN exacto en Common DB, WO, BU, vigencia, planta y aprobacion firmada.</t>
        </is>
      </c>
    </row>
    <row r="1437">
      <c r="A1437" s="43" t="inlineStr">
        <is>
          <t>CTANJZ05345</t>
        </is>
      </c>
      <c r="B1437" s="43" t="inlineStr">
        <is>
          <t>D612428</t>
        </is>
      </c>
      <c r="C1437" s="43" t="inlineStr">
        <is>
          <t>037-STBU</t>
        </is>
      </c>
      <c r="D1437" s="43" t="inlineStr">
        <is>
          <t>FJZP</t>
        </is>
      </c>
      <c r="E1437" s="43" t="inlineStr">
        <is>
          <t>MCGA</t>
        </is>
      </c>
      <c r="F1437" s="43" t="inlineStr">
        <is>
          <t>502-00135-01</t>
        </is>
      </c>
      <c r="G1437" s="43" t="inlineStr">
        <is>
          <t>OTHER_SCOPE_ITEM</t>
        </is>
      </c>
      <c r="H1437" s="43" t="inlineStr"/>
      <c r="I1437" s="43" t="inlineStr">
        <is>
          <t>Expired</t>
        </is>
      </c>
      <c r="J1437" s="32" t="n">
        <v>46301</v>
      </c>
      <c r="K1437" s="32" t="n">
        <v>46219</v>
      </c>
      <c r="L1437" s="43" t="inlineStr">
        <is>
          <t>1280</t>
        </is>
      </c>
      <c r="M1437" s="43" t="n">
        <v>1</v>
      </c>
      <c r="N1437" s="33" t="inlineStr"/>
      <c r="O1437" s="43" t="inlineStr">
        <is>
          <t>UNVERIFIED</t>
        </is>
      </c>
      <c r="P1437" s="43" t="inlineStr">
        <is>
          <t>Pending Review</t>
        </is>
      </c>
      <c r="Q1437" s="33" t="inlineStr">
        <is>
          <t>Confirmar SKU/PCBA revision, PN exacto en Common DB, WO, BU, vigencia, planta y aprobacion firmada.</t>
        </is>
      </c>
    </row>
    <row r="1438">
      <c r="A1438" s="43" t="inlineStr">
        <is>
          <t>CTANJZ05345</t>
        </is>
      </c>
      <c r="B1438" s="43" t="inlineStr">
        <is>
          <t>D612428</t>
        </is>
      </c>
      <c r="C1438" s="43" t="inlineStr">
        <is>
          <t>037-STBU</t>
        </is>
      </c>
      <c r="D1438" s="43" t="inlineStr">
        <is>
          <t>FJZP</t>
        </is>
      </c>
      <c r="E1438" s="43" t="inlineStr">
        <is>
          <t>MCGA</t>
        </is>
      </c>
      <c r="F1438" s="43" t="inlineStr">
        <is>
          <t>55-101825-01</t>
        </is>
      </c>
      <c r="G1438" s="43" t="inlineStr">
        <is>
          <t>OTHER_SCOPE_ITEM</t>
        </is>
      </c>
      <c r="H1438" s="43" t="inlineStr"/>
      <c r="I1438" s="43" t="inlineStr">
        <is>
          <t>Expired</t>
        </is>
      </c>
      <c r="J1438" s="32" t="n">
        <v>46301</v>
      </c>
      <c r="K1438" s="32" t="n">
        <v>46219</v>
      </c>
      <c r="L1438" s="43" t="inlineStr">
        <is>
          <t>1320</t>
        </is>
      </c>
      <c r="M1438" s="43" t="n">
        <v>1</v>
      </c>
      <c r="N1438" s="33" t="inlineStr"/>
      <c r="O1438" s="43" t="inlineStr">
        <is>
          <t>UNVERIFIED</t>
        </is>
      </c>
      <c r="P1438" s="43" t="inlineStr">
        <is>
          <t>Pending Review</t>
        </is>
      </c>
      <c r="Q1438" s="33" t="inlineStr">
        <is>
          <t>Confirmar SKU/PCBA revision, PN exacto en Common DB, WO, BU, vigencia, planta y aprobacion firmada.</t>
        </is>
      </c>
    </row>
    <row r="1439">
      <c r="A1439" s="43" t="inlineStr">
        <is>
          <t>CTANJZ05346</t>
        </is>
      </c>
      <c r="B1439" s="43" t="inlineStr">
        <is>
          <t>DP526305</t>
        </is>
      </c>
      <c r="C1439" s="43" t="inlineStr">
        <is>
          <t>035-CVEBU</t>
        </is>
      </c>
      <c r="D1439" s="43" t="inlineStr">
        <is>
          <t>FJZP</t>
        </is>
      </c>
      <c r="E1439" s="43" t="inlineStr">
        <is>
          <t>MCGA</t>
        </is>
      </c>
      <c r="F1439" s="43" t="inlineStr">
        <is>
          <t>28-104144-03</t>
        </is>
      </c>
      <c r="G1439" s="43" t="inlineStr">
        <is>
          <t>BARE_PCB_PN_CANDIDATE</t>
        </is>
      </c>
      <c r="H1439" s="43" t="inlineStr"/>
      <c r="I1439" s="43" t="inlineStr">
        <is>
          <t>Expired</t>
        </is>
      </c>
      <c r="J1439" s="32" t="n">
        <v>46257</v>
      </c>
      <c r="K1439" s="32" t="n">
        <v>46224</v>
      </c>
      <c r="L1439" s="43" t="inlineStr">
        <is>
          <t>295</t>
        </is>
      </c>
      <c r="M1439" s="43" t="n">
        <v>1</v>
      </c>
      <c r="N1439" s="33" t="inlineStr"/>
      <c r="O1439" s="43" t="inlineStr">
        <is>
          <t>UNVERIFIED</t>
        </is>
      </c>
      <c r="P1439" s="43" t="inlineStr">
        <is>
          <t>Pending Review</t>
        </is>
      </c>
      <c r="Q1439" s="33" t="inlineStr">
        <is>
          <t>Confirmar SKU/PCBA revision, PN exacto en Common DB, WO, BU, vigencia, planta y aprobacion firmada.</t>
        </is>
      </c>
    </row>
    <row r="1440">
      <c r="A1440" s="43" t="inlineStr">
        <is>
          <t>CTANJZ05346</t>
        </is>
      </c>
      <c r="B1440" s="43" t="inlineStr">
        <is>
          <t>DP526305</t>
        </is>
      </c>
      <c r="C1440" s="43" t="inlineStr">
        <is>
          <t>035-CVEBU</t>
        </is>
      </c>
      <c r="D1440" s="43" t="inlineStr">
        <is>
          <t>FJZP</t>
        </is>
      </c>
      <c r="E1440" s="43" t="inlineStr">
        <is>
          <t>MCGA</t>
        </is>
      </c>
      <c r="F1440" s="43" t="inlineStr">
        <is>
          <t>28-104146-05</t>
        </is>
      </c>
      <c r="G1440" s="43" t="inlineStr">
        <is>
          <t>BARE_PCB_PN_CANDIDATE</t>
        </is>
      </c>
      <c r="H1440" s="43" t="inlineStr"/>
      <c r="I1440" s="43" t="inlineStr">
        <is>
          <t>Expired</t>
        </is>
      </c>
      <c r="J1440" s="32" t="n">
        <v>46257</v>
      </c>
      <c r="K1440" s="32" t="n">
        <v>46224</v>
      </c>
      <c r="L1440" s="43" t="inlineStr">
        <is>
          <t>296</t>
        </is>
      </c>
      <c r="M1440" s="43" t="n">
        <v>1</v>
      </c>
      <c r="N1440" s="33" t="inlineStr"/>
      <c r="O1440" s="43" t="inlineStr">
        <is>
          <t>UNVERIFIED</t>
        </is>
      </c>
      <c r="P1440" s="43" t="inlineStr">
        <is>
          <t>Pending Review</t>
        </is>
      </c>
      <c r="Q1440" s="33" t="inlineStr">
        <is>
          <t>Confirmar SKU/PCBA revision, PN exacto en Common DB, WO, BU, vigencia, planta y aprobacion firmada.</t>
        </is>
      </c>
    </row>
    <row r="1441">
      <c r="A1441" s="43" t="inlineStr">
        <is>
          <t>CTANJZ05347</t>
        </is>
      </c>
      <c r="B1441" s="43" t="inlineStr">
        <is>
          <t>D611853</t>
        </is>
      </c>
      <c r="C1441" s="43" t="inlineStr">
        <is>
          <t>239-CRBU</t>
        </is>
      </c>
      <c r="D1441" s="43" t="inlineStr">
        <is>
          <t>FJZP</t>
        </is>
      </c>
      <c r="E1441" s="43" t="inlineStr">
        <is>
          <t>MCGA</t>
        </is>
      </c>
      <c r="F1441" s="43" t="inlineStr">
        <is>
          <t>29-101587-01</t>
        </is>
      </c>
      <c r="G1441" s="43" t="inlineStr">
        <is>
          <t>OTHER_SCOPE_ITEM</t>
        </is>
      </c>
      <c r="H1441" s="43" t="inlineStr"/>
      <c r="I1441" s="43" t="inlineStr">
        <is>
          <t>Expired</t>
        </is>
      </c>
      <c r="J1441" s="32" t="n">
        <v>46301</v>
      </c>
      <c r="K1441" s="32" t="n">
        <v>46227</v>
      </c>
      <c r="L1441" s="43" t="inlineStr">
        <is>
          <t>98,202</t>
        </is>
      </c>
      <c r="M1441" s="43" t="n">
        <v>2</v>
      </c>
      <c r="N1441" s="33" t="inlineStr"/>
      <c r="O1441" s="43" t="inlineStr">
        <is>
          <t>UNVERIFIED</t>
        </is>
      </c>
      <c r="P1441" s="43" t="inlineStr">
        <is>
          <t>Pending Review</t>
        </is>
      </c>
      <c r="Q1441" s="33" t="inlineStr">
        <is>
          <t>Confirmar SKU/PCBA revision, PN exacto en Common DB, WO, BU, vigencia, planta y aprobacion firmada.</t>
        </is>
      </c>
    </row>
    <row r="1442">
      <c r="A1442" s="43" t="inlineStr">
        <is>
          <t>CTANJZ05347</t>
        </is>
      </c>
      <c r="B1442" s="43" t="inlineStr">
        <is>
          <t>D611853</t>
        </is>
      </c>
      <c r="C1442" s="43" t="inlineStr">
        <is>
          <t>239-CRBU</t>
        </is>
      </c>
      <c r="D1442" s="43" t="inlineStr">
        <is>
          <t>FJZP</t>
        </is>
      </c>
      <c r="E1442" s="43" t="inlineStr">
        <is>
          <t>MCGA</t>
        </is>
      </c>
      <c r="F1442" s="43" t="inlineStr">
        <is>
          <t>73-102363-05</t>
        </is>
      </c>
      <c r="G1442" s="43" t="inlineStr">
        <is>
          <t>BOARD_PN_CANDIDATE</t>
        </is>
      </c>
      <c r="H1442" s="43" t="inlineStr"/>
      <c r="I1442" s="43" t="inlineStr">
        <is>
          <t>Expired</t>
        </is>
      </c>
      <c r="J1442" s="32" t="n">
        <v>46301</v>
      </c>
      <c r="K1442" s="32" t="n">
        <v>46227</v>
      </c>
      <c r="L1442" s="43" t="inlineStr">
        <is>
          <t>99,203</t>
        </is>
      </c>
      <c r="M1442" s="43" t="n">
        <v>2</v>
      </c>
      <c r="N1442" s="33" t="inlineStr"/>
      <c r="O1442" s="43" t="inlineStr">
        <is>
          <t>UNVERIFIED</t>
        </is>
      </c>
      <c r="P1442" s="43" t="inlineStr">
        <is>
          <t>Pending Review</t>
        </is>
      </c>
      <c r="Q1442" s="33" t="inlineStr">
        <is>
          <t>Confirmar SKU/PCBA revision, PN exacto en Common DB, WO, BU, vigencia, planta y aprobacion firmada.</t>
        </is>
      </c>
    </row>
    <row r="1443">
      <c r="A1443" s="43" t="inlineStr">
        <is>
          <t>CTANJZ05348</t>
        </is>
      </c>
      <c r="B1443" s="43" t="inlineStr">
        <is>
          <t>D612482</t>
        </is>
      </c>
      <c r="C1443" s="43" t="inlineStr">
        <is>
          <t>037-STBU</t>
        </is>
      </c>
      <c r="D1443" s="43" t="inlineStr">
        <is>
          <t>FJZP</t>
        </is>
      </c>
      <c r="E1443" s="43" t="inlineStr">
        <is>
          <t>MCGA</t>
        </is>
      </c>
      <c r="F1443" s="43" t="inlineStr">
        <is>
          <t>36-0097-01</t>
        </is>
      </c>
      <c r="G1443" s="43" t="inlineStr">
        <is>
          <t>OTHER_SCOPE_ITEM</t>
        </is>
      </c>
      <c r="H1443" s="43" t="inlineStr"/>
      <c r="I1443" s="43" t="inlineStr">
        <is>
          <t>Expired</t>
        </is>
      </c>
      <c r="J1443" s="32" t="n">
        <v>46302</v>
      </c>
      <c r="K1443" s="32" t="n">
        <v>46224</v>
      </c>
      <c r="L1443" s="43" t="inlineStr">
        <is>
          <t>196,1530</t>
        </is>
      </c>
      <c r="M1443" s="43" t="n">
        <v>2</v>
      </c>
      <c r="N1443" s="33" t="inlineStr"/>
      <c r="O1443" s="43" t="inlineStr">
        <is>
          <t>UNVERIFIED</t>
        </is>
      </c>
      <c r="P1443" s="43" t="inlineStr">
        <is>
          <t>Pending Review</t>
        </is>
      </c>
      <c r="Q1443" s="33" t="inlineStr">
        <is>
          <t>Confirmar SKU/PCBA revision, PN exacto en Common DB, WO, BU, vigencia, planta y aprobacion firmada.</t>
        </is>
      </c>
    </row>
    <row r="1444">
      <c r="A1444" s="43" t="inlineStr">
        <is>
          <t>CTANJZ05348</t>
        </is>
      </c>
      <c r="B1444" s="43" t="inlineStr">
        <is>
          <t>D612482</t>
        </is>
      </c>
      <c r="C1444" s="43" t="inlineStr">
        <is>
          <t>037-STBU</t>
        </is>
      </c>
      <c r="D1444" s="43" t="inlineStr">
        <is>
          <t>FJZP</t>
        </is>
      </c>
      <c r="E1444" s="43" t="inlineStr">
        <is>
          <t>MCGA</t>
        </is>
      </c>
      <c r="F1444" s="43" t="inlineStr">
        <is>
          <t>73-20249-06</t>
        </is>
      </c>
      <c r="G1444" s="43" t="inlineStr">
        <is>
          <t>BOARD_PN_CANDIDATE</t>
        </is>
      </c>
      <c r="H1444" s="43" t="inlineStr">
        <is>
          <t>TUFNELL PARK</t>
        </is>
      </c>
      <c r="I1444" s="43" t="inlineStr">
        <is>
          <t>Expired</t>
        </is>
      </c>
      <c r="J1444" s="32" t="n">
        <v>46302</v>
      </c>
      <c r="K1444" s="32" t="n">
        <v>46224</v>
      </c>
      <c r="L1444" s="43" t="inlineStr">
        <is>
          <t>204,1531</t>
        </is>
      </c>
      <c r="M1444" s="43" t="n">
        <v>2</v>
      </c>
      <c r="N1444" s="33" t="inlineStr"/>
      <c r="O1444" s="43" t="inlineStr">
        <is>
          <t>UNVERIFIED</t>
        </is>
      </c>
      <c r="P1444" s="43" t="inlineStr">
        <is>
          <t>Pending Review</t>
        </is>
      </c>
      <c r="Q1444" s="33" t="inlineStr">
        <is>
          <t>Confirmar SKU/PCBA revision, PN exacto en Common DB, WO, BU, vigencia, planta y aprobacion firmada.</t>
        </is>
      </c>
    </row>
    <row r="1445">
      <c r="A1445" s="43" t="inlineStr">
        <is>
          <t>CTANJZ05349</t>
        </is>
      </c>
      <c r="B1445" s="43" t="inlineStr">
        <is>
          <t>D612481</t>
        </is>
      </c>
      <c r="C1445" s="43" t="inlineStr">
        <is>
          <t>037-STBU</t>
        </is>
      </c>
      <c r="D1445" s="43" t="inlineStr">
        <is>
          <t>FJZP</t>
        </is>
      </c>
      <c r="E1445" s="43" t="inlineStr">
        <is>
          <t>MCGA</t>
        </is>
      </c>
      <c r="F1445" s="43" t="inlineStr">
        <is>
          <t>36-0097-01</t>
        </is>
      </c>
      <c r="G1445" s="43" t="inlineStr">
        <is>
          <t>OTHER_SCOPE_ITEM</t>
        </is>
      </c>
      <c r="H1445" s="43" t="inlineStr"/>
      <c r="I1445" s="43" t="inlineStr">
        <is>
          <t>Expired</t>
        </is>
      </c>
      <c r="J1445" s="32" t="n">
        <v>46302</v>
      </c>
      <c r="K1445" s="32" t="n">
        <v>46224</v>
      </c>
      <c r="L1445" s="43" t="inlineStr">
        <is>
          <t>205,1532</t>
        </is>
      </c>
      <c r="M1445" s="43" t="n">
        <v>2</v>
      </c>
      <c r="N1445" s="33" t="inlineStr"/>
      <c r="O1445" s="43" t="inlineStr">
        <is>
          <t>UNVERIFIED</t>
        </is>
      </c>
      <c r="P1445" s="43" t="inlineStr">
        <is>
          <t>Pending Review</t>
        </is>
      </c>
      <c r="Q1445" s="33" t="inlineStr">
        <is>
          <t>Confirmar SKU/PCBA revision, PN exacto en Common DB, WO, BU, vigencia, planta y aprobacion firmada.</t>
        </is>
      </c>
    </row>
    <row r="1446">
      <c r="A1446" s="43" t="inlineStr">
        <is>
          <t>CTANJZ05349</t>
        </is>
      </c>
      <c r="B1446" s="43" t="inlineStr">
        <is>
          <t>D612481</t>
        </is>
      </c>
      <c r="C1446" s="43" t="inlineStr">
        <is>
          <t>037-STBU</t>
        </is>
      </c>
      <c r="D1446" s="43" t="inlineStr">
        <is>
          <t>FJZP</t>
        </is>
      </c>
      <c r="E1446" s="43" t="inlineStr">
        <is>
          <t>MCGA</t>
        </is>
      </c>
      <c r="F1446" s="43" t="inlineStr">
        <is>
          <t>73-18489-08</t>
        </is>
      </c>
      <c r="G1446" s="43" t="inlineStr">
        <is>
          <t>BOARD_PN_CANDIDATE</t>
        </is>
      </c>
      <c r="H1446" s="43" t="inlineStr"/>
      <c r="I1446" s="43" t="inlineStr">
        <is>
          <t>Expired</t>
        </is>
      </c>
      <c r="J1446" s="32" t="n">
        <v>46302</v>
      </c>
      <c r="K1446" s="32" t="n">
        <v>46224</v>
      </c>
      <c r="L1446" s="43" t="inlineStr">
        <is>
          <t>206,1533</t>
        </is>
      </c>
      <c r="M1446" s="43" t="n">
        <v>2</v>
      </c>
      <c r="N1446" s="33" t="inlineStr"/>
      <c r="O1446" s="43" t="inlineStr">
        <is>
          <t>UNVERIFIED</t>
        </is>
      </c>
      <c r="P1446" s="43" t="inlineStr">
        <is>
          <t>Pending Review</t>
        </is>
      </c>
      <c r="Q1446" s="33" t="inlineStr">
        <is>
          <t>Confirmar SKU/PCBA revision, PN exacto en Common DB, WO, BU, vigencia, planta y aprobacion firmada.</t>
        </is>
      </c>
    </row>
    <row r="1447">
      <c r="A1447" s="43" t="inlineStr">
        <is>
          <t>CTANJZ05350</t>
        </is>
      </c>
      <c r="B1447" s="43" t="inlineStr">
        <is>
          <t>D612480</t>
        </is>
      </c>
      <c r="C1447" s="43" t="inlineStr">
        <is>
          <t>037-STBU</t>
        </is>
      </c>
      <c r="D1447" s="43" t="inlineStr">
        <is>
          <t>FJZP</t>
        </is>
      </c>
      <c r="E1447" s="43" t="inlineStr">
        <is>
          <t>MCGA</t>
        </is>
      </c>
      <c r="F1447" s="43" t="inlineStr">
        <is>
          <t>36-0097-01</t>
        </is>
      </c>
      <c r="G1447" s="43" t="inlineStr">
        <is>
          <t>OTHER_SCOPE_ITEM</t>
        </is>
      </c>
      <c r="H1447" s="43" t="inlineStr"/>
      <c r="I1447" s="43" t="inlineStr">
        <is>
          <t>Expired</t>
        </is>
      </c>
      <c r="J1447" s="32" t="n">
        <v>46302</v>
      </c>
      <c r="K1447" s="32" t="n">
        <v>46224</v>
      </c>
      <c r="L1447" s="43" t="inlineStr">
        <is>
          <t>209,1577</t>
        </is>
      </c>
      <c r="M1447" s="43" t="n">
        <v>2</v>
      </c>
      <c r="N1447" s="33" t="inlineStr"/>
      <c r="O1447" s="43" t="inlineStr">
        <is>
          <t>UNVERIFIED</t>
        </is>
      </c>
      <c r="P1447" s="43" t="inlineStr">
        <is>
          <t>Pending Review</t>
        </is>
      </c>
      <c r="Q1447" s="33" t="inlineStr">
        <is>
          <t>Confirmar SKU/PCBA revision, PN exacto en Common DB, WO, BU, vigencia, planta y aprobacion firmada.</t>
        </is>
      </c>
    </row>
    <row r="1448">
      <c r="A1448" s="43" t="inlineStr">
        <is>
          <t>CTANJZ05350</t>
        </is>
      </c>
      <c r="B1448" s="43" t="inlineStr">
        <is>
          <t>D612480</t>
        </is>
      </c>
      <c r="C1448" s="43" t="inlineStr">
        <is>
          <t>037-STBU</t>
        </is>
      </c>
      <c r="D1448" s="43" t="inlineStr">
        <is>
          <t>FJZP</t>
        </is>
      </c>
      <c r="E1448" s="43" t="inlineStr">
        <is>
          <t>MCGA</t>
        </is>
      </c>
      <c r="F1448" s="43" t="inlineStr">
        <is>
          <t>73-20249-06</t>
        </is>
      </c>
      <c r="G1448" s="43" t="inlineStr">
        <is>
          <t>BOARD_PN_CANDIDATE</t>
        </is>
      </c>
      <c r="H1448" s="43" t="inlineStr">
        <is>
          <t>TUFNELL PARK</t>
        </is>
      </c>
      <c r="I1448" s="43" t="inlineStr">
        <is>
          <t>Expired</t>
        </is>
      </c>
      <c r="J1448" s="32" t="n">
        <v>46302</v>
      </c>
      <c r="K1448" s="32" t="n">
        <v>46224</v>
      </c>
      <c r="L1448" s="43" t="inlineStr">
        <is>
          <t>210,1578</t>
        </is>
      </c>
      <c r="M1448" s="43" t="n">
        <v>2</v>
      </c>
      <c r="N1448" s="33" t="inlineStr"/>
      <c r="O1448" s="43" t="inlineStr">
        <is>
          <t>UNVERIFIED</t>
        </is>
      </c>
      <c r="P1448" s="43" t="inlineStr">
        <is>
          <t>Pending Review</t>
        </is>
      </c>
      <c r="Q1448" s="33" t="inlineStr">
        <is>
          <t>Confirmar SKU/PCBA revision, PN exacto en Common DB, WO, BU, vigencia, planta y aprobacion firmada.</t>
        </is>
      </c>
    </row>
    <row r="1449">
      <c r="A1449" s="43" t="inlineStr">
        <is>
          <t>CTANJZ05351</t>
        </is>
      </c>
      <c r="B1449" s="43" t="inlineStr">
        <is>
          <t>D612083</t>
        </is>
      </c>
      <c r="C1449" s="43" t="inlineStr">
        <is>
          <t>239-CRBU</t>
        </is>
      </c>
      <c r="D1449" s="43" t="inlineStr">
        <is>
          <t>FJZP</t>
        </is>
      </c>
      <c r="E1449" s="43" t="inlineStr">
        <is>
          <t>MCGA</t>
        </is>
      </c>
      <c r="F1449" s="43" t="inlineStr">
        <is>
          <t>36-0307-01</t>
        </is>
      </c>
      <c r="G1449" s="43" t="inlineStr">
        <is>
          <t>OTHER_SCOPE_ITEM</t>
        </is>
      </c>
      <c r="H1449" s="43" t="inlineStr"/>
      <c r="I1449" s="43" t="inlineStr">
        <is>
          <t>Extended</t>
        </is>
      </c>
      <c r="J1449" s="32" t="n">
        <v>46390</v>
      </c>
      <c r="K1449" s="32" t="n">
        <v>46227</v>
      </c>
      <c r="L1449" s="43" t="inlineStr">
        <is>
          <t>80,254</t>
        </is>
      </c>
      <c r="M1449" s="43" t="n">
        <v>2</v>
      </c>
      <c r="N1449" s="33" t="inlineStr"/>
      <c r="O1449" s="43" t="inlineStr">
        <is>
          <t>UNVERIFIED</t>
        </is>
      </c>
      <c r="P1449" s="43" t="inlineStr">
        <is>
          <t>Pending Review</t>
        </is>
      </c>
      <c r="Q1449" s="33" t="inlineStr">
        <is>
          <t>Confirmar SKU/PCBA revision, PN exacto en Common DB, WO, BU, vigencia, planta y aprobacion firmada.</t>
        </is>
      </c>
    </row>
    <row r="1450">
      <c r="A1450" s="43" t="inlineStr">
        <is>
          <t>CTANJZ05351</t>
        </is>
      </c>
      <c r="B1450" s="43" t="inlineStr">
        <is>
          <t>D612083</t>
        </is>
      </c>
      <c r="C1450" s="43" t="inlineStr">
        <is>
          <t>239-CRBU</t>
        </is>
      </c>
      <c r="D1450" s="43" t="inlineStr">
        <is>
          <t>FJZP</t>
        </is>
      </c>
      <c r="E1450" s="43" t="inlineStr">
        <is>
          <t>MCGA</t>
        </is>
      </c>
      <c r="F1450" s="43" t="inlineStr">
        <is>
          <t>73-102363-05</t>
        </is>
      </c>
      <c r="G1450" s="43" t="inlineStr">
        <is>
          <t>BOARD_PN_CANDIDATE</t>
        </is>
      </c>
      <c r="H1450" s="43" t="inlineStr"/>
      <c r="I1450" s="43" t="inlineStr">
        <is>
          <t>Extended</t>
        </is>
      </c>
      <c r="J1450" s="32" t="n">
        <v>46390</v>
      </c>
      <c r="K1450" s="32" t="n">
        <v>46227</v>
      </c>
      <c r="L1450" s="43" t="inlineStr">
        <is>
          <t>81,255</t>
        </is>
      </c>
      <c r="M1450" s="43" t="n">
        <v>2</v>
      </c>
      <c r="N1450" s="33" t="inlineStr"/>
      <c r="O1450" s="43" t="inlineStr">
        <is>
          <t>UNVERIFIED</t>
        </is>
      </c>
      <c r="P1450" s="43" t="inlineStr">
        <is>
          <t>Pending Review</t>
        </is>
      </c>
      <c r="Q1450" s="33" t="inlineStr">
        <is>
          <t>Confirmar SKU/PCBA revision, PN exacto en Common DB, WO, BU, vigencia, planta y aprobacion firmada.</t>
        </is>
      </c>
    </row>
    <row r="1451">
      <c r="A1451" s="43" t="inlineStr">
        <is>
          <t>CTANJZ05352</t>
        </is>
      </c>
      <c r="B1451" s="43" t="inlineStr">
        <is>
          <t>D611822</t>
        </is>
      </c>
      <c r="C1451" s="43" t="inlineStr">
        <is>
          <t>239-CRBU</t>
        </is>
      </c>
      <c r="D1451" s="43" t="inlineStr">
        <is>
          <t>FJZP</t>
        </is>
      </c>
      <c r="E1451" s="43" t="inlineStr">
        <is>
          <t>MCGA</t>
        </is>
      </c>
      <c r="F1451" s="43" t="inlineStr">
        <is>
          <t>29-6175-01</t>
        </is>
      </c>
      <c r="G1451" s="43" t="inlineStr">
        <is>
          <t>OTHER_SCOPE_ITEM</t>
        </is>
      </c>
      <c r="H1451" s="43" t="inlineStr"/>
      <c r="I1451" s="43" t="inlineStr">
        <is>
          <t>Extended</t>
        </is>
      </c>
      <c r="J1451" s="32" t="n">
        <v>46390</v>
      </c>
      <c r="K1451" s="32" t="n">
        <v>46227</v>
      </c>
      <c r="L1451" s="43" t="inlineStr">
        <is>
          <t>82,256</t>
        </is>
      </c>
      <c r="M1451" s="43" t="n">
        <v>2</v>
      </c>
      <c r="N1451" s="33" t="inlineStr"/>
      <c r="O1451" s="43" t="inlineStr">
        <is>
          <t>UNVERIFIED</t>
        </is>
      </c>
      <c r="P1451" s="43" t="inlineStr">
        <is>
          <t>Pending Review</t>
        </is>
      </c>
      <c r="Q1451" s="33" t="inlineStr">
        <is>
          <t>Confirmar SKU/PCBA revision, PN exacto en Common DB, WO, BU, vigencia, planta y aprobacion firmada.</t>
        </is>
      </c>
    </row>
    <row r="1452">
      <c r="A1452" s="43" t="inlineStr">
        <is>
          <t>CTANJZ05352</t>
        </is>
      </c>
      <c r="B1452" s="43" t="inlineStr">
        <is>
          <t>D611822</t>
        </is>
      </c>
      <c r="C1452" s="43" t="inlineStr">
        <is>
          <t>239-CRBU</t>
        </is>
      </c>
      <c r="D1452" s="43" t="inlineStr">
        <is>
          <t>FJZP</t>
        </is>
      </c>
      <c r="E1452" s="43" t="inlineStr">
        <is>
          <t>MCGA</t>
        </is>
      </c>
      <c r="F1452" s="43" t="inlineStr">
        <is>
          <t>73-102363-05</t>
        </is>
      </c>
      <c r="G1452" s="43" t="inlineStr">
        <is>
          <t>BOARD_PN_CANDIDATE</t>
        </is>
      </c>
      <c r="H1452" s="43" t="inlineStr"/>
      <c r="I1452" s="43" t="inlineStr">
        <is>
          <t>Extended</t>
        </is>
      </c>
      <c r="J1452" s="32" t="n">
        <v>46390</v>
      </c>
      <c r="K1452" s="32" t="n">
        <v>46227</v>
      </c>
      <c r="L1452" s="43" t="inlineStr">
        <is>
          <t>83,257</t>
        </is>
      </c>
      <c r="M1452" s="43" t="n">
        <v>2</v>
      </c>
      <c r="N1452" s="33" t="inlineStr"/>
      <c r="O1452" s="43" t="inlineStr">
        <is>
          <t>UNVERIFIED</t>
        </is>
      </c>
      <c r="P1452" s="43" t="inlineStr">
        <is>
          <t>Pending Review</t>
        </is>
      </c>
      <c r="Q1452" s="33" t="inlineStr">
        <is>
          <t>Confirmar SKU/PCBA revision, PN exacto en Common DB, WO, BU, vigencia, planta y aprobacion firmada.</t>
        </is>
      </c>
    </row>
    <row r="1453">
      <c r="A1453" s="43" t="inlineStr">
        <is>
          <t>CTANJZ05353</t>
        </is>
      </c>
      <c r="B1453" s="43" t="inlineStr">
        <is>
          <t>D612478</t>
        </is>
      </c>
      <c r="C1453" s="43" t="inlineStr">
        <is>
          <t>037-STBU</t>
        </is>
      </c>
      <c r="D1453" s="43" t="inlineStr">
        <is>
          <t>FJZP</t>
        </is>
      </c>
      <c r="E1453" s="43" t="inlineStr">
        <is>
          <t>MCGA</t>
        </is>
      </c>
      <c r="F1453" s="43" t="inlineStr">
        <is>
          <t>36-0097-01</t>
        </is>
      </c>
      <c r="G1453" s="43" t="inlineStr">
        <is>
          <t>OTHER_SCOPE_ITEM</t>
        </is>
      </c>
      <c r="H1453" s="43" t="inlineStr"/>
      <c r="I1453" s="43" t="inlineStr">
        <is>
          <t>Expired</t>
        </is>
      </c>
      <c r="J1453" s="32" t="n">
        <v>46302</v>
      </c>
      <c r="K1453" s="32" t="n">
        <v>46224</v>
      </c>
      <c r="L1453" s="43" t="inlineStr">
        <is>
          <t>207,1547</t>
        </is>
      </c>
      <c r="M1453" s="43" t="n">
        <v>2</v>
      </c>
      <c r="N1453" s="33" t="inlineStr"/>
      <c r="O1453" s="43" t="inlineStr">
        <is>
          <t>UNVERIFIED</t>
        </is>
      </c>
      <c r="P1453" s="43" t="inlineStr">
        <is>
          <t>Pending Review</t>
        </is>
      </c>
      <c r="Q1453" s="33" t="inlineStr">
        <is>
          <t>Confirmar SKU/PCBA revision, PN exacto en Common DB, WO, BU, vigencia, planta y aprobacion firmada.</t>
        </is>
      </c>
    </row>
    <row r="1454">
      <c r="A1454" s="43" t="inlineStr">
        <is>
          <t>CTANJZ05353</t>
        </is>
      </c>
      <c r="B1454" s="43" t="inlineStr">
        <is>
          <t>D612478</t>
        </is>
      </c>
      <c r="C1454" s="43" t="inlineStr">
        <is>
          <t>037-STBU</t>
        </is>
      </c>
      <c r="D1454" s="43" t="inlineStr">
        <is>
          <t>FJZP</t>
        </is>
      </c>
      <c r="E1454" s="43" t="inlineStr">
        <is>
          <t>MCGA</t>
        </is>
      </c>
      <c r="F1454" s="43" t="inlineStr">
        <is>
          <t>73-18489-08</t>
        </is>
      </c>
      <c r="G1454" s="43" t="inlineStr">
        <is>
          <t>BOARD_PN_CANDIDATE</t>
        </is>
      </c>
      <c r="H1454" s="43" t="inlineStr"/>
      <c r="I1454" s="43" t="inlineStr">
        <is>
          <t>Expired</t>
        </is>
      </c>
      <c r="J1454" s="32" t="n">
        <v>46302</v>
      </c>
      <c r="K1454" s="32" t="n">
        <v>46224</v>
      </c>
      <c r="L1454" s="43" t="inlineStr">
        <is>
          <t>208,1548</t>
        </is>
      </c>
      <c r="M1454" s="43" t="n">
        <v>2</v>
      </c>
      <c r="N1454" s="33" t="inlineStr"/>
      <c r="O1454" s="43" t="inlineStr">
        <is>
          <t>UNVERIFIED</t>
        </is>
      </c>
      <c r="P1454" s="43" t="inlineStr">
        <is>
          <t>Pending Review</t>
        </is>
      </c>
      <c r="Q1454" s="33" t="inlineStr">
        <is>
          <t>Confirmar SKU/PCBA revision, PN exacto en Common DB, WO, BU, vigencia, planta y aprobacion firmada.</t>
        </is>
      </c>
    </row>
    <row r="1455">
      <c r="A1455" s="43" t="inlineStr">
        <is>
          <t>CTANJZ05389</t>
        </is>
      </c>
      <c r="B1455" s="43" t="inlineStr">
        <is>
          <t>D612687</t>
        </is>
      </c>
      <c r="C1455" s="43" t="inlineStr">
        <is>
          <t>018-SRGBU</t>
        </is>
      </c>
      <c r="D1455" s="43" t="inlineStr">
        <is>
          <t>FJZP</t>
        </is>
      </c>
      <c r="E1455" s="43" t="inlineStr">
        <is>
          <t>MCGA</t>
        </is>
      </c>
      <c r="F1455" s="43" t="inlineStr">
        <is>
          <t>341-101113-02</t>
        </is>
      </c>
      <c r="G1455" s="43" t="inlineStr">
        <is>
          <t>OTHER_SCOPE_ITEM</t>
        </is>
      </c>
      <c r="H1455" s="43" t="inlineStr"/>
      <c r="I1455" s="43" t="inlineStr">
        <is>
          <t>Expired</t>
        </is>
      </c>
      <c r="J1455" s="32" t="n">
        <v>46306</v>
      </c>
      <c r="K1455" s="32" t="n">
        <v>46242</v>
      </c>
      <c r="L1455" s="43" t="inlineStr">
        <is>
          <t>1321</t>
        </is>
      </c>
      <c r="M1455" s="43" t="n">
        <v>1</v>
      </c>
      <c r="N1455" s="33" t="inlineStr"/>
      <c r="O1455" s="43" t="inlineStr">
        <is>
          <t>UNVERIFIED</t>
        </is>
      </c>
      <c r="P1455" s="43" t="inlineStr">
        <is>
          <t>Pending Review</t>
        </is>
      </c>
      <c r="Q1455" s="33" t="inlineStr">
        <is>
          <t>Confirmar SKU/PCBA revision, PN exacto en Common DB, WO, BU, vigencia, planta y aprobacion firmada.</t>
        </is>
      </c>
    </row>
    <row r="1456">
      <c r="A1456" s="43" t="inlineStr">
        <is>
          <t>CTANJZ05390</t>
        </is>
      </c>
      <c r="B1456" s="43" t="inlineStr">
        <is>
          <t>D611890</t>
        </is>
      </c>
      <c r="C1456" s="43" t="inlineStr">
        <is>
          <t>239-CRBU</t>
        </is>
      </c>
      <c r="D1456" s="43" t="inlineStr">
        <is>
          <t>FJZP</t>
        </is>
      </c>
      <c r="E1456" s="43" t="inlineStr">
        <is>
          <t>MCGA</t>
        </is>
      </c>
      <c r="F1456" s="43" t="inlineStr">
        <is>
          <t>29-105613-01</t>
        </is>
      </c>
      <c r="G1456" s="43" t="inlineStr">
        <is>
          <t>OTHER_SCOPE_ITEM</t>
        </is>
      </c>
      <c r="H1456" s="43" t="inlineStr"/>
      <c r="I1456" s="43" t="inlineStr">
        <is>
          <t>Expired</t>
        </is>
      </c>
      <c r="J1456" s="32" t="n">
        <v>46306</v>
      </c>
      <c r="K1456" s="32" t="n">
        <v>46242</v>
      </c>
      <c r="L1456" s="43" t="inlineStr">
        <is>
          <t>115,211</t>
        </is>
      </c>
      <c r="M1456" s="43" t="n">
        <v>2</v>
      </c>
      <c r="N1456" s="33" t="inlineStr"/>
      <c r="O1456" s="43" t="inlineStr">
        <is>
          <t>UNVERIFIED</t>
        </is>
      </c>
      <c r="P1456" s="43" t="inlineStr">
        <is>
          <t>Pending Review</t>
        </is>
      </c>
      <c r="Q1456" s="33" t="inlineStr">
        <is>
          <t>Confirmar SKU/PCBA revision, PN exacto en Common DB, WO, BU, vigencia, planta y aprobacion firmada.</t>
        </is>
      </c>
    </row>
    <row r="1457">
      <c r="A1457" s="43" t="inlineStr">
        <is>
          <t>CTANJZ05394</t>
        </is>
      </c>
      <c r="B1457" s="43" t="inlineStr">
        <is>
          <t>D612245</t>
        </is>
      </c>
      <c r="C1457" s="43" t="inlineStr">
        <is>
          <t>037-STBU</t>
        </is>
      </c>
      <c r="D1457" s="43" t="inlineStr">
        <is>
          <t>FJZP</t>
        </is>
      </c>
      <c r="E1457" s="43" t="inlineStr">
        <is>
          <t>MCGA</t>
        </is>
      </c>
      <c r="F1457" s="43" t="inlineStr">
        <is>
          <t>800-106632-03</t>
        </is>
      </c>
      <c r="G1457" s="43" t="inlineStr">
        <is>
          <t>OTHER_SCOPE_ITEM</t>
        </is>
      </c>
      <c r="H1457" s="43" t="inlineStr"/>
      <c r="I1457" s="43" t="inlineStr">
        <is>
          <t>Expired</t>
        </is>
      </c>
      <c r="J1457" s="32" t="n">
        <v>46308</v>
      </c>
      <c r="K1457" s="32" t="n">
        <v>46249</v>
      </c>
      <c r="L1457" s="43" t="inlineStr">
        <is>
          <t>1222</t>
        </is>
      </c>
      <c r="M1457" s="43" t="n">
        <v>1</v>
      </c>
      <c r="N1457" s="33" t="inlineStr"/>
      <c r="O1457" s="43" t="inlineStr">
        <is>
          <t>UNVERIFIED</t>
        </is>
      </c>
      <c r="P1457" s="43" t="inlineStr">
        <is>
          <t>Pending Review</t>
        </is>
      </c>
      <c r="Q1457" s="33" t="inlineStr">
        <is>
          <t>Confirmar SKU/PCBA revision, PN exacto en Common DB, WO, BU, vigencia, planta y aprobacion firmada.</t>
        </is>
      </c>
    </row>
    <row r="1458">
      <c r="A1458" s="43" t="inlineStr">
        <is>
          <t>CTANJZ05394</t>
        </is>
      </c>
      <c r="B1458" s="43" t="inlineStr">
        <is>
          <t>D612245</t>
        </is>
      </c>
      <c r="C1458" s="43" t="inlineStr">
        <is>
          <t>037-STBU</t>
        </is>
      </c>
      <c r="D1458" s="43" t="inlineStr">
        <is>
          <t>FJZP</t>
        </is>
      </c>
      <c r="E1458" s="43" t="inlineStr">
        <is>
          <t>MCGA</t>
        </is>
      </c>
      <c r="F1458" s="43" t="inlineStr">
        <is>
          <t>800-106633-03</t>
        </is>
      </c>
      <c r="G1458" s="43" t="inlineStr">
        <is>
          <t>OTHER_SCOPE_ITEM</t>
        </is>
      </c>
      <c r="H1458" s="43" t="inlineStr"/>
      <c r="I1458" s="43" t="inlineStr">
        <is>
          <t>Expired</t>
        </is>
      </c>
      <c r="J1458" s="32" t="n">
        <v>46308</v>
      </c>
      <c r="K1458" s="32" t="n">
        <v>46249</v>
      </c>
      <c r="L1458" s="43" t="inlineStr">
        <is>
          <t>1223</t>
        </is>
      </c>
      <c r="M1458" s="43" t="n">
        <v>1</v>
      </c>
      <c r="N1458" s="33" t="inlineStr"/>
      <c r="O1458" s="43" t="inlineStr">
        <is>
          <t>UNVERIFIED</t>
        </is>
      </c>
      <c r="P1458" s="43" t="inlineStr">
        <is>
          <t>Pending Review</t>
        </is>
      </c>
      <c r="Q1458" s="33" t="inlineStr">
        <is>
          <t>Confirmar SKU/PCBA revision, PN exacto en Common DB, WO, BU, vigencia, planta y aprobacion firmada.</t>
        </is>
      </c>
    </row>
    <row r="1459">
      <c r="A1459" s="43" t="inlineStr">
        <is>
          <t>CTANJZ05395</t>
        </is>
      </c>
      <c r="B1459" s="43" t="inlineStr">
        <is>
          <t>D612689</t>
        </is>
      </c>
      <c r="C1459" s="43" t="inlineStr">
        <is>
          <t>037-STBU</t>
        </is>
      </c>
      <c r="D1459" s="43" t="inlineStr">
        <is>
          <t>FJZP</t>
        </is>
      </c>
      <c r="E1459" s="43" t="inlineStr">
        <is>
          <t>MCGA</t>
        </is>
      </c>
      <c r="F1459" s="43" t="inlineStr">
        <is>
          <t>16-101234-01</t>
        </is>
      </c>
      <c r="G1459" s="43" t="inlineStr">
        <is>
          <t>OTHER_SCOPE_ITEM</t>
        </is>
      </c>
      <c r="H1459" s="43" t="inlineStr"/>
      <c r="I1459" s="43" t="inlineStr">
        <is>
          <t>Expired</t>
        </is>
      </c>
      <c r="J1459" s="32" t="n">
        <v>46309</v>
      </c>
      <c r="K1459" s="32" t="n">
        <v>46249</v>
      </c>
      <c r="L1459" s="43" t="inlineStr">
        <is>
          <t>585</t>
        </is>
      </c>
      <c r="M1459" s="43" t="n">
        <v>1</v>
      </c>
      <c r="N1459" s="33" t="inlineStr"/>
      <c r="O1459" s="43" t="inlineStr">
        <is>
          <t>UNVERIFIED</t>
        </is>
      </c>
      <c r="P1459" s="43" t="inlineStr">
        <is>
          <t>Pending Review</t>
        </is>
      </c>
      <c r="Q1459" s="33" t="inlineStr">
        <is>
          <t>Confirmar SKU/PCBA revision, PN exacto en Common DB, WO, BU, vigencia, planta y aprobacion firmada.</t>
        </is>
      </c>
    </row>
    <row r="1460">
      <c r="A1460" s="43" t="inlineStr">
        <is>
          <t>CTANJZ05395</t>
        </is>
      </c>
      <c r="B1460" s="43" t="inlineStr">
        <is>
          <t>D612689</t>
        </is>
      </c>
      <c r="C1460" s="43" t="inlineStr">
        <is>
          <t>037-STBU</t>
        </is>
      </c>
      <c r="D1460" s="43" t="inlineStr">
        <is>
          <t>FJZP</t>
        </is>
      </c>
      <c r="E1460" s="43" t="inlineStr">
        <is>
          <t>MCGA</t>
        </is>
      </c>
      <c r="F1460" s="43" t="inlineStr">
        <is>
          <t>800-104476-08</t>
        </is>
      </c>
      <c r="G1460" s="43" t="inlineStr">
        <is>
          <t>OTHER_SCOPE_ITEM</t>
        </is>
      </c>
      <c r="H1460" s="43" t="inlineStr"/>
      <c r="I1460" s="43" t="inlineStr">
        <is>
          <t>Expired</t>
        </is>
      </c>
      <c r="J1460" s="32" t="n">
        <v>46309</v>
      </c>
      <c r="K1460" s="32" t="n">
        <v>46249</v>
      </c>
      <c r="L1460" s="43" t="inlineStr">
        <is>
          <t>647</t>
        </is>
      </c>
      <c r="M1460" s="43" t="n">
        <v>1</v>
      </c>
      <c r="N1460" s="33" t="inlineStr"/>
      <c r="O1460" s="43" t="inlineStr">
        <is>
          <t>UNVERIFIED</t>
        </is>
      </c>
      <c r="P1460" s="43" t="inlineStr">
        <is>
          <t>Pending Review</t>
        </is>
      </c>
      <c r="Q1460" s="33" t="inlineStr">
        <is>
          <t>Confirmar SKU/PCBA revision, PN exacto en Common DB, WO, BU, vigencia, planta y aprobacion firmada.</t>
        </is>
      </c>
    </row>
    <row r="1461">
      <c r="A1461" s="43" t="inlineStr">
        <is>
          <t>CTANJZ05395</t>
        </is>
      </c>
      <c r="B1461" s="43" t="inlineStr">
        <is>
          <t>D612689</t>
        </is>
      </c>
      <c r="C1461" s="43" t="inlineStr">
        <is>
          <t>037-STBU</t>
        </is>
      </c>
      <c r="D1461" s="43" t="inlineStr">
        <is>
          <t>FJZP</t>
        </is>
      </c>
      <c r="E1461" s="43" t="inlineStr">
        <is>
          <t>MCGA</t>
        </is>
      </c>
      <c r="F1461" s="43" t="inlineStr">
        <is>
          <t>800-111297-02</t>
        </is>
      </c>
      <c r="G1461" s="43" t="inlineStr">
        <is>
          <t>OTHER_SCOPE_ITEM</t>
        </is>
      </c>
      <c r="H1461" s="43" t="inlineStr"/>
      <c r="I1461" s="43" t="inlineStr">
        <is>
          <t>Expired</t>
        </is>
      </c>
      <c r="J1461" s="32" t="n">
        <v>46309</v>
      </c>
      <c r="K1461" s="32" t="n">
        <v>46249</v>
      </c>
      <c r="L1461" s="43" t="inlineStr">
        <is>
          <t>648</t>
        </is>
      </c>
      <c r="M1461" s="43" t="n">
        <v>1</v>
      </c>
      <c r="N1461" s="33" t="inlineStr"/>
      <c r="O1461" s="43" t="inlineStr">
        <is>
          <t>UNVERIFIED</t>
        </is>
      </c>
      <c r="P1461" s="43" t="inlineStr">
        <is>
          <t>Pending Review</t>
        </is>
      </c>
      <c r="Q1461" s="33" t="inlineStr">
        <is>
          <t>Confirmar SKU/PCBA revision, PN exacto en Common DB, WO, BU, vigencia, planta y aprobacion firmada.</t>
        </is>
      </c>
    </row>
    <row r="1462">
      <c r="A1462" s="43" t="inlineStr">
        <is>
          <t>CTANJZ05396</t>
        </is>
      </c>
      <c r="B1462" s="43" t="inlineStr">
        <is>
          <t>D612685</t>
        </is>
      </c>
      <c r="C1462" s="43" t="inlineStr">
        <is>
          <t>239-CRBU</t>
        </is>
      </c>
      <c r="D1462" s="43" t="inlineStr">
        <is>
          <t>FJZP</t>
        </is>
      </c>
      <c r="E1462" s="43" t="inlineStr">
        <is>
          <t>MCGA</t>
        </is>
      </c>
      <c r="F1462" s="43" t="inlineStr">
        <is>
          <t>25-1283-01</t>
        </is>
      </c>
      <c r="G1462" s="43" t="inlineStr">
        <is>
          <t>OTHER_SCOPE_ITEM</t>
        </is>
      </c>
      <c r="H1462" s="43" t="inlineStr"/>
      <c r="I1462" s="43" t="inlineStr">
        <is>
          <t>Expired</t>
        </is>
      </c>
      <c r="J1462" s="32" t="n">
        <v>46308</v>
      </c>
      <c r="K1462" s="32" t="n">
        <v>46255</v>
      </c>
      <c r="L1462" s="43" t="inlineStr">
        <is>
          <t>1850</t>
        </is>
      </c>
      <c r="M1462" s="43" t="n">
        <v>1</v>
      </c>
      <c r="N1462" s="33" t="inlineStr"/>
      <c r="O1462" s="43" t="inlineStr">
        <is>
          <t>UNVERIFIED</t>
        </is>
      </c>
      <c r="P1462" s="43" t="inlineStr">
        <is>
          <t>Pending Review</t>
        </is>
      </c>
      <c r="Q1462" s="33" t="inlineStr">
        <is>
          <t>Confirmar SKU/PCBA revision, PN exacto en Common DB, WO, BU, vigencia, planta y aprobacion firmada.</t>
        </is>
      </c>
    </row>
    <row r="1463">
      <c r="A1463" s="43" t="inlineStr">
        <is>
          <t>CTANJZ05396</t>
        </is>
      </c>
      <c r="B1463" s="43" t="inlineStr">
        <is>
          <t>D612685</t>
        </is>
      </c>
      <c r="C1463" s="43" t="inlineStr">
        <is>
          <t>239-CRBU</t>
        </is>
      </c>
      <c r="D1463" s="43" t="inlineStr">
        <is>
          <t>FJZP</t>
        </is>
      </c>
      <c r="E1463" s="43" t="inlineStr">
        <is>
          <t>MCGA</t>
        </is>
      </c>
      <c r="F1463" s="43" t="inlineStr">
        <is>
          <t>68-7184-09</t>
        </is>
      </c>
      <c r="G1463" s="43" t="inlineStr">
        <is>
          <t>OTHER_SCOPE_ITEM</t>
        </is>
      </c>
      <c r="H1463" s="43" t="inlineStr"/>
      <c r="I1463" s="43" t="inlineStr">
        <is>
          <t>Expired</t>
        </is>
      </c>
      <c r="J1463" s="32" t="n">
        <v>46308</v>
      </c>
      <c r="K1463" s="32" t="n">
        <v>46255</v>
      </c>
      <c r="L1463" s="43" t="inlineStr">
        <is>
          <t>1851</t>
        </is>
      </c>
      <c r="M1463" s="43" t="n">
        <v>1</v>
      </c>
      <c r="N1463" s="33" t="inlineStr"/>
      <c r="O1463" s="43" t="inlineStr">
        <is>
          <t>UNVERIFIED</t>
        </is>
      </c>
      <c r="P1463" s="43" t="inlineStr">
        <is>
          <t>Pending Review</t>
        </is>
      </c>
      <c r="Q1463" s="33" t="inlineStr">
        <is>
          <t>Confirmar SKU/PCBA revision, PN exacto en Common DB, WO, BU, vigencia, planta y aprobacion firmada.</t>
        </is>
      </c>
    </row>
    <row r="1464">
      <c r="A1464" s="43" t="inlineStr">
        <is>
          <t>CTANJZ05396</t>
        </is>
      </c>
      <c r="B1464" s="43" t="inlineStr">
        <is>
          <t>D612685</t>
        </is>
      </c>
      <c r="C1464" s="43" t="inlineStr">
        <is>
          <t>239-CRBU</t>
        </is>
      </c>
      <c r="D1464" s="43" t="inlineStr">
        <is>
          <t>FJZP</t>
        </is>
      </c>
      <c r="E1464" s="43" t="inlineStr">
        <is>
          <t>MCGA</t>
        </is>
      </c>
      <c r="F1464" s="43" t="inlineStr">
        <is>
          <t>68-7393-03</t>
        </is>
      </c>
      <c r="G1464" s="43" t="inlineStr">
        <is>
          <t>OTHER_SCOPE_ITEM</t>
        </is>
      </c>
      <c r="H1464" s="43" t="inlineStr"/>
      <c r="I1464" s="43" t="inlineStr">
        <is>
          <t>Expired</t>
        </is>
      </c>
      <c r="J1464" s="32" t="n">
        <v>46308</v>
      </c>
      <c r="K1464" s="32" t="n">
        <v>46255</v>
      </c>
      <c r="L1464" s="43" t="inlineStr">
        <is>
          <t>1852</t>
        </is>
      </c>
      <c r="M1464" s="43" t="n">
        <v>1</v>
      </c>
      <c r="N1464" s="33" t="inlineStr"/>
      <c r="O1464" s="43" t="inlineStr">
        <is>
          <t>UNVERIFIED</t>
        </is>
      </c>
      <c r="P1464" s="43" t="inlineStr">
        <is>
          <t>Pending Review</t>
        </is>
      </c>
      <c r="Q1464" s="33" t="inlineStr">
        <is>
          <t>Confirmar SKU/PCBA revision, PN exacto en Common DB, WO, BU, vigencia, planta y aprobacion firmada.</t>
        </is>
      </c>
    </row>
    <row r="1465">
      <c r="A1465" s="43" t="inlineStr">
        <is>
          <t>CTANJZ05396</t>
        </is>
      </c>
      <c r="B1465" s="43" t="inlineStr">
        <is>
          <t>D612685</t>
        </is>
      </c>
      <c r="C1465" s="43" t="inlineStr">
        <is>
          <t>239-CRBU</t>
        </is>
      </c>
      <c r="D1465" s="43" t="inlineStr">
        <is>
          <t>FJZP</t>
        </is>
      </c>
      <c r="E1465" s="43" t="inlineStr">
        <is>
          <t>MCGA</t>
        </is>
      </c>
      <c r="F1465" s="43" t="inlineStr">
        <is>
          <t>73-20176-08</t>
        </is>
      </c>
      <c r="G1465" s="43" t="inlineStr">
        <is>
          <t>BOARD_PN_CANDIDATE</t>
        </is>
      </c>
      <c r="H1465" s="43" t="inlineStr"/>
      <c r="I1465" s="43" t="inlineStr">
        <is>
          <t>Expired</t>
        </is>
      </c>
      <c r="J1465" s="32" t="n">
        <v>46308</v>
      </c>
      <c r="K1465" s="32" t="n">
        <v>46255</v>
      </c>
      <c r="L1465" s="43" t="inlineStr">
        <is>
          <t>1853</t>
        </is>
      </c>
      <c r="M1465" s="43" t="n">
        <v>1</v>
      </c>
      <c r="N1465" s="33" t="inlineStr"/>
      <c r="O1465" s="43" t="inlineStr">
        <is>
          <t>UNVERIFIED</t>
        </is>
      </c>
      <c r="P1465" s="43" t="inlineStr">
        <is>
          <t>Pending Review</t>
        </is>
      </c>
      <c r="Q1465" s="33" t="inlineStr">
        <is>
          <t>Confirmar SKU/PCBA revision, PN exacto en Common DB, WO, BU, vigencia, planta y aprobacion firmada.</t>
        </is>
      </c>
    </row>
    <row r="1466">
      <c r="A1466" s="43" t="inlineStr">
        <is>
          <t>CTANJZ05396</t>
        </is>
      </c>
      <c r="B1466" s="43" t="inlineStr">
        <is>
          <t>D612685</t>
        </is>
      </c>
      <c r="C1466" s="43" t="inlineStr">
        <is>
          <t>239-CRBU</t>
        </is>
      </c>
      <c r="D1466" s="43" t="inlineStr">
        <is>
          <t>FJZP</t>
        </is>
      </c>
      <c r="E1466" s="43" t="inlineStr">
        <is>
          <t>MCGA</t>
        </is>
      </c>
      <c r="F1466" s="43" t="inlineStr">
        <is>
          <t>73-20516-05</t>
        </is>
      </c>
      <c r="G1466" s="43" t="inlineStr">
        <is>
          <t>BOARD_PN_CANDIDATE</t>
        </is>
      </c>
      <c r="H1466" s="43" t="inlineStr"/>
      <c r="I1466" s="43" t="inlineStr">
        <is>
          <t>Expired</t>
        </is>
      </c>
      <c r="J1466" s="32" t="n">
        <v>46308</v>
      </c>
      <c r="K1466" s="32" t="n">
        <v>46255</v>
      </c>
      <c r="L1466" s="43" t="inlineStr">
        <is>
          <t>1854</t>
        </is>
      </c>
      <c r="M1466" s="43" t="n">
        <v>1</v>
      </c>
      <c r="N1466" s="33" t="inlineStr"/>
      <c r="O1466" s="43" t="inlineStr">
        <is>
          <t>UNVERIFIED</t>
        </is>
      </c>
      <c r="P1466" s="43" t="inlineStr">
        <is>
          <t>Pending Review</t>
        </is>
      </c>
      <c r="Q1466" s="33" t="inlineStr">
        <is>
          <t>Confirmar SKU/PCBA revision, PN exacto en Common DB, WO, BU, vigencia, planta y aprobacion firmada.</t>
        </is>
      </c>
    </row>
    <row r="1467">
      <c r="A1467" s="43" t="inlineStr">
        <is>
          <t>CTANJZ05398</t>
        </is>
      </c>
      <c r="B1467" s="43" t="inlineStr">
        <is>
          <t>D612843</t>
        </is>
      </c>
      <c r="C1467" s="43" t="inlineStr">
        <is>
          <t>037-STBU</t>
        </is>
      </c>
      <c r="D1467" s="43" t="inlineStr">
        <is>
          <t>FJZP</t>
        </is>
      </c>
      <c r="E1467" s="43" t="inlineStr">
        <is>
          <t>MCGA</t>
        </is>
      </c>
      <c r="F1467" s="43" t="inlineStr">
        <is>
          <t>24-101177-01</t>
        </is>
      </c>
      <c r="G1467" s="43" t="inlineStr">
        <is>
          <t>OTHER_SCOPE_ITEM</t>
        </is>
      </c>
      <c r="H1467" s="43" t="inlineStr"/>
      <c r="I1467" s="43" t="inlineStr">
        <is>
          <t>FAI Status</t>
        </is>
      </c>
      <c r="J1467" s="32" t="n">
        <v>46313</v>
      </c>
      <c r="K1467" s="32" t="n">
        <v>46249</v>
      </c>
      <c r="L1467" s="43" t="inlineStr">
        <is>
          <t>228,1593</t>
        </is>
      </c>
      <c r="M1467" s="43" t="n">
        <v>2</v>
      </c>
      <c r="N1467" s="33" t="inlineStr"/>
      <c r="O1467" s="43" t="inlineStr">
        <is>
          <t>UNVERIFIED</t>
        </is>
      </c>
      <c r="P1467" s="43" t="inlineStr">
        <is>
          <t>Pending Review</t>
        </is>
      </c>
      <c r="Q1467" s="33" t="inlineStr">
        <is>
          <t>Confirmar SKU/PCBA revision, PN exacto en Common DB, WO, BU, vigencia, planta y aprobacion firmada.</t>
        </is>
      </c>
    </row>
    <row r="1468">
      <c r="A1468" s="43" t="inlineStr">
        <is>
          <t>CTANJZ05398</t>
        </is>
      </c>
      <c r="B1468" s="43" t="inlineStr">
        <is>
          <t>D612843</t>
        </is>
      </c>
      <c r="C1468" s="43" t="inlineStr">
        <is>
          <t>037-STBU</t>
        </is>
      </c>
      <c r="D1468" s="43" t="inlineStr">
        <is>
          <t>FJZP</t>
        </is>
      </c>
      <c r="E1468" s="43" t="inlineStr">
        <is>
          <t>MCGA</t>
        </is>
      </c>
      <c r="F1468" s="43" t="inlineStr">
        <is>
          <t>73-20247-06</t>
        </is>
      </c>
      <c r="G1468" s="43" t="inlineStr">
        <is>
          <t>BOARD_PN_CANDIDATE</t>
        </is>
      </c>
      <c r="H1468" s="43" t="inlineStr">
        <is>
          <t>TUFNELL PARK</t>
        </is>
      </c>
      <c r="I1468" s="43" t="inlineStr">
        <is>
          <t>FAI Status</t>
        </is>
      </c>
      <c r="J1468" s="32" t="n">
        <v>46313</v>
      </c>
      <c r="K1468" s="32" t="n">
        <v>46249</v>
      </c>
      <c r="L1468" s="43" t="inlineStr">
        <is>
          <t>229,1562</t>
        </is>
      </c>
      <c r="M1468" s="43" t="n">
        <v>2</v>
      </c>
      <c r="N1468" s="33" t="inlineStr"/>
      <c r="O1468" s="43" t="inlineStr">
        <is>
          <t>UNVERIFIED</t>
        </is>
      </c>
      <c r="P1468" s="43" t="inlineStr">
        <is>
          <t>Pending Review</t>
        </is>
      </c>
      <c r="Q1468" s="33" t="inlineStr">
        <is>
          <t>Confirmar SKU/PCBA revision, PN exacto en Common DB, WO, BU, vigencia, planta y aprobacion firmada.</t>
        </is>
      </c>
    </row>
    <row r="1469">
      <c r="A1469" s="43" t="inlineStr">
        <is>
          <t>CTANJZ05400</t>
        </is>
      </c>
      <c r="B1469" s="43" t="inlineStr">
        <is>
          <t>D612658</t>
        </is>
      </c>
      <c r="C1469" s="43" t="inlineStr">
        <is>
          <t>037-STBU</t>
        </is>
      </c>
      <c r="D1469" s="43" t="inlineStr">
        <is>
          <t>FJZP</t>
        </is>
      </c>
      <c r="E1469" s="43" t="inlineStr">
        <is>
          <t>MCGA</t>
        </is>
      </c>
      <c r="F1469" s="43" t="inlineStr">
        <is>
          <t>16-102133-01</t>
        </is>
      </c>
      <c r="G1469" s="43" t="inlineStr">
        <is>
          <t>OTHER_SCOPE_ITEM</t>
        </is>
      </c>
      <c r="H1469" s="43" t="inlineStr"/>
      <c r="I1469" s="43" t="inlineStr">
        <is>
          <t>FAI Status</t>
        </is>
      </c>
      <c r="J1469" s="32" t="n">
        <v>46313</v>
      </c>
      <c r="K1469" s="32" t="n">
        <v>46242</v>
      </c>
      <c r="L1469" s="43" t="inlineStr">
        <is>
          <t>1381</t>
        </is>
      </c>
      <c r="M1469" s="43" t="n">
        <v>1</v>
      </c>
      <c r="N1469" s="33" t="inlineStr"/>
      <c r="O1469" s="43" t="inlineStr">
        <is>
          <t>UNVERIFIED</t>
        </is>
      </c>
      <c r="P1469" s="43" t="inlineStr">
        <is>
          <t>Pending Review</t>
        </is>
      </c>
      <c r="Q1469" s="33" t="inlineStr">
        <is>
          <t>Confirmar SKU/PCBA revision, PN exacto en Common DB, WO, BU, vigencia, planta y aprobacion firmada.</t>
        </is>
      </c>
    </row>
    <row r="1470">
      <c r="A1470" s="43" t="inlineStr">
        <is>
          <t>CTANJZ05400</t>
        </is>
      </c>
      <c r="B1470" s="43" t="inlineStr">
        <is>
          <t>D612658</t>
        </is>
      </c>
      <c r="C1470" s="43" t="inlineStr">
        <is>
          <t>037-STBU</t>
        </is>
      </c>
      <c r="D1470" s="43" t="inlineStr">
        <is>
          <t>FJZP</t>
        </is>
      </c>
      <c r="E1470" s="43" t="inlineStr">
        <is>
          <t>MCGA</t>
        </is>
      </c>
      <c r="F1470" s="43" t="inlineStr">
        <is>
          <t>16-4194-01</t>
        </is>
      </c>
      <c r="G1470" s="43" t="inlineStr">
        <is>
          <t>OTHER_SCOPE_ITEM</t>
        </is>
      </c>
      <c r="H1470" s="43" t="inlineStr"/>
      <c r="I1470" s="43" t="inlineStr">
        <is>
          <t>FAI Status</t>
        </is>
      </c>
      <c r="J1470" s="32" t="n">
        <v>46313</v>
      </c>
      <c r="K1470" s="32" t="n">
        <v>46242</v>
      </c>
      <c r="L1470" s="43" t="inlineStr">
        <is>
          <t>1382</t>
        </is>
      </c>
      <c r="M1470" s="43" t="n">
        <v>1</v>
      </c>
      <c r="N1470" s="33" t="inlineStr"/>
      <c r="O1470" s="43" t="inlineStr">
        <is>
          <t>UNVERIFIED</t>
        </is>
      </c>
      <c r="P1470" s="43" t="inlineStr">
        <is>
          <t>Pending Review</t>
        </is>
      </c>
      <c r="Q1470" s="33" t="inlineStr">
        <is>
          <t>Confirmar SKU/PCBA revision, PN exacto en Common DB, WO, BU, vigencia, planta y aprobacion firmada.</t>
        </is>
      </c>
    </row>
    <row r="1471">
      <c r="A1471" s="43" t="inlineStr">
        <is>
          <t>CTANJZ05400</t>
        </is>
      </c>
      <c r="B1471" s="43" t="inlineStr">
        <is>
          <t>D612658</t>
        </is>
      </c>
      <c r="C1471" s="43" t="inlineStr">
        <is>
          <t>037-STBU</t>
        </is>
      </c>
      <c r="D1471" s="43" t="inlineStr">
        <is>
          <t>FJZP</t>
        </is>
      </c>
      <c r="E1471" s="43" t="inlineStr">
        <is>
          <t>MCGA</t>
        </is>
      </c>
      <c r="F1471" s="43" t="inlineStr">
        <is>
          <t>17-102460-06</t>
        </is>
      </c>
      <c r="G1471" s="43" t="inlineStr">
        <is>
          <t>OTHER_SCOPE_ITEM</t>
        </is>
      </c>
      <c r="H1471" s="43" t="inlineStr"/>
      <c r="I1471" s="43" t="inlineStr">
        <is>
          <t>FAI Status</t>
        </is>
      </c>
      <c r="J1471" s="32" t="n">
        <v>46313</v>
      </c>
      <c r="K1471" s="32" t="n">
        <v>46242</v>
      </c>
      <c r="L1471" s="43" t="inlineStr">
        <is>
          <t>1383</t>
        </is>
      </c>
      <c r="M1471" s="43" t="n">
        <v>1</v>
      </c>
      <c r="N1471" s="33" t="inlineStr"/>
      <c r="O1471" s="43" t="inlineStr">
        <is>
          <t>UNVERIFIED</t>
        </is>
      </c>
      <c r="P1471" s="43" t="inlineStr">
        <is>
          <t>Pending Review</t>
        </is>
      </c>
      <c r="Q1471" s="33" t="inlineStr">
        <is>
          <t>Confirmar SKU/PCBA revision, PN exacto en Common DB, WO, BU, vigencia, planta y aprobacion firmada.</t>
        </is>
      </c>
    </row>
    <row r="1472">
      <c r="A1472" s="43" t="inlineStr">
        <is>
          <t>CTANJZ05400</t>
        </is>
      </c>
      <c r="B1472" s="43" t="inlineStr">
        <is>
          <t>D612658</t>
        </is>
      </c>
      <c r="C1472" s="43" t="inlineStr">
        <is>
          <t>037-STBU</t>
        </is>
      </c>
      <c r="D1472" s="43" t="inlineStr">
        <is>
          <t>FJZP</t>
        </is>
      </c>
      <c r="E1472" s="43" t="inlineStr">
        <is>
          <t>MCGA</t>
        </is>
      </c>
      <c r="F1472" s="43" t="inlineStr">
        <is>
          <t>17-102461-06</t>
        </is>
      </c>
      <c r="G1472" s="43" t="inlineStr">
        <is>
          <t>OTHER_SCOPE_ITEM</t>
        </is>
      </c>
      <c r="H1472" s="43" t="inlineStr"/>
      <c r="I1472" s="43" t="inlineStr">
        <is>
          <t>FAI Status</t>
        </is>
      </c>
      <c r="J1472" s="32" t="n">
        <v>46313</v>
      </c>
      <c r="K1472" s="32" t="n">
        <v>46242</v>
      </c>
      <c r="L1472" s="43" t="inlineStr">
        <is>
          <t>1384</t>
        </is>
      </c>
      <c r="M1472" s="43" t="n">
        <v>1</v>
      </c>
      <c r="N1472" s="33" t="inlineStr"/>
      <c r="O1472" s="43" t="inlineStr">
        <is>
          <t>UNVERIFIED</t>
        </is>
      </c>
      <c r="P1472" s="43" t="inlineStr">
        <is>
          <t>Pending Review</t>
        </is>
      </c>
      <c r="Q1472" s="33" t="inlineStr">
        <is>
          <t>Confirmar SKU/PCBA revision, PN exacto en Common DB, WO, BU, vigencia, planta y aprobacion firmada.</t>
        </is>
      </c>
    </row>
    <row r="1473">
      <c r="A1473" s="43" t="inlineStr">
        <is>
          <t>CTANJZ05400</t>
        </is>
      </c>
      <c r="B1473" s="43" t="inlineStr">
        <is>
          <t>D612658</t>
        </is>
      </c>
      <c r="C1473" s="43" t="inlineStr">
        <is>
          <t>037-STBU</t>
        </is>
      </c>
      <c r="D1473" s="43" t="inlineStr">
        <is>
          <t>FJZP</t>
        </is>
      </c>
      <c r="E1473" s="43" t="inlineStr">
        <is>
          <t>MCGA</t>
        </is>
      </c>
      <c r="F1473" s="43" t="inlineStr">
        <is>
          <t>73-102433-06</t>
        </is>
      </c>
      <c r="G1473" s="43" t="inlineStr">
        <is>
          <t>BOARD_PN_CANDIDATE</t>
        </is>
      </c>
      <c r="H1473" s="43" t="inlineStr"/>
      <c r="I1473" s="43" t="inlineStr">
        <is>
          <t>FAI Status</t>
        </is>
      </c>
      <c r="J1473" s="32" t="n">
        <v>46313</v>
      </c>
      <c r="K1473" s="32" t="n">
        <v>46242</v>
      </c>
      <c r="L1473" s="43" t="inlineStr">
        <is>
          <t>1385</t>
        </is>
      </c>
      <c r="M1473" s="43" t="n">
        <v>1</v>
      </c>
      <c r="N1473" s="33" t="inlineStr"/>
      <c r="O1473" s="43" t="inlineStr">
        <is>
          <t>UNVERIFIED</t>
        </is>
      </c>
      <c r="P1473" s="43" t="inlineStr">
        <is>
          <t>Pending Review</t>
        </is>
      </c>
      <c r="Q1473" s="33" t="inlineStr">
        <is>
          <t>Confirmar SKU/PCBA revision, PN exacto en Common DB, WO, BU, vigencia, planta y aprobacion firmada.</t>
        </is>
      </c>
    </row>
    <row r="1474">
      <c r="A1474" s="43" t="inlineStr">
        <is>
          <t>CTANJZ05400</t>
        </is>
      </c>
      <c r="B1474" s="43" t="inlineStr">
        <is>
          <t>D612658</t>
        </is>
      </c>
      <c r="C1474" s="43" t="inlineStr">
        <is>
          <t>037-STBU</t>
        </is>
      </c>
      <c r="D1474" s="43" t="inlineStr">
        <is>
          <t>FJZP</t>
        </is>
      </c>
      <c r="E1474" s="43" t="inlineStr">
        <is>
          <t>MCGA</t>
        </is>
      </c>
      <c r="F1474" s="43" t="inlineStr">
        <is>
          <t>73-102434-06</t>
        </is>
      </c>
      <c r="G1474" s="43" t="inlineStr">
        <is>
          <t>BOARD_PN_CANDIDATE</t>
        </is>
      </c>
      <c r="H1474" s="43" t="inlineStr"/>
      <c r="I1474" s="43" t="inlineStr">
        <is>
          <t>FAI Status</t>
        </is>
      </c>
      <c r="J1474" s="32" t="n">
        <v>46313</v>
      </c>
      <c r="K1474" s="32" t="n">
        <v>46242</v>
      </c>
      <c r="L1474" s="43" t="inlineStr">
        <is>
          <t>1386</t>
        </is>
      </c>
      <c r="M1474" s="43" t="n">
        <v>1</v>
      </c>
      <c r="N1474" s="33" t="inlineStr"/>
      <c r="O1474" s="43" t="inlineStr">
        <is>
          <t>UNVERIFIED</t>
        </is>
      </c>
      <c r="P1474" s="43" t="inlineStr">
        <is>
          <t>Pending Review</t>
        </is>
      </c>
      <c r="Q1474" s="33" t="inlineStr">
        <is>
          <t>Confirmar SKU/PCBA revision, PN exacto en Common DB, WO, BU, vigencia, planta y aprobacion firmada.</t>
        </is>
      </c>
    </row>
    <row r="1475">
      <c r="A1475" s="43" t="inlineStr">
        <is>
          <t>CTANJZ05400</t>
        </is>
      </c>
      <c r="B1475" s="43" t="inlineStr">
        <is>
          <t>D612658</t>
        </is>
      </c>
      <c r="C1475" s="43" t="inlineStr">
        <is>
          <t>037-STBU</t>
        </is>
      </c>
      <c r="D1475" s="43" t="inlineStr">
        <is>
          <t>FJZP</t>
        </is>
      </c>
      <c r="E1475" s="43" t="inlineStr">
        <is>
          <t>MCGA</t>
        </is>
      </c>
      <c r="F1475" s="43" t="inlineStr">
        <is>
          <t>73-102435-06</t>
        </is>
      </c>
      <c r="G1475" s="43" t="inlineStr">
        <is>
          <t>BOARD_PN_CANDIDATE</t>
        </is>
      </c>
      <c r="H1475" s="43" t="inlineStr"/>
      <c r="I1475" s="43" t="inlineStr">
        <is>
          <t>FAI Status</t>
        </is>
      </c>
      <c r="J1475" s="32" t="n">
        <v>46313</v>
      </c>
      <c r="K1475" s="32" t="n">
        <v>46242</v>
      </c>
      <c r="L1475" s="43" t="inlineStr">
        <is>
          <t>1387</t>
        </is>
      </c>
      <c r="M1475" s="43" t="n">
        <v>1</v>
      </c>
      <c r="N1475" s="33" t="inlineStr"/>
      <c r="O1475" s="43" t="inlineStr">
        <is>
          <t>UNVERIFIED</t>
        </is>
      </c>
      <c r="P1475" s="43" t="inlineStr">
        <is>
          <t>Pending Review</t>
        </is>
      </c>
      <c r="Q1475" s="33" t="inlineStr">
        <is>
          <t>Confirmar SKU/PCBA revision, PN exacto en Common DB, WO, BU, vigencia, planta y aprobacion firmada.</t>
        </is>
      </c>
    </row>
    <row r="1476">
      <c r="A1476" s="43" t="inlineStr">
        <is>
          <t>CTANJZ05400</t>
        </is>
      </c>
      <c r="B1476" s="43" t="inlineStr">
        <is>
          <t>D612658</t>
        </is>
      </c>
      <c r="C1476" s="43" t="inlineStr">
        <is>
          <t>037-STBU</t>
        </is>
      </c>
      <c r="D1476" s="43" t="inlineStr">
        <is>
          <t>FJZP</t>
        </is>
      </c>
      <c r="E1476" s="43" t="inlineStr">
        <is>
          <t>MCGA</t>
        </is>
      </c>
      <c r="F1476" s="43" t="inlineStr">
        <is>
          <t>73-103633-04</t>
        </is>
      </c>
      <c r="G1476" s="43" t="inlineStr">
        <is>
          <t>BOARD_PN_CANDIDATE</t>
        </is>
      </c>
      <c r="H1476" s="43" t="inlineStr"/>
      <c r="I1476" s="43" t="inlineStr">
        <is>
          <t>FAI Status</t>
        </is>
      </c>
      <c r="J1476" s="32" t="n">
        <v>46313</v>
      </c>
      <c r="K1476" s="32" t="n">
        <v>46242</v>
      </c>
      <c r="L1476" s="43" t="inlineStr">
        <is>
          <t>1388</t>
        </is>
      </c>
      <c r="M1476" s="43" t="n">
        <v>1</v>
      </c>
      <c r="N1476" s="33" t="inlineStr"/>
      <c r="O1476" s="43" t="inlineStr">
        <is>
          <t>UNVERIFIED</t>
        </is>
      </c>
      <c r="P1476" s="43" t="inlineStr">
        <is>
          <t>Pending Review</t>
        </is>
      </c>
      <c r="Q1476" s="33" t="inlineStr">
        <is>
          <t>Confirmar SKU/PCBA revision, PN exacto en Common DB, WO, BU, vigencia, planta y aprobacion firmada.</t>
        </is>
      </c>
    </row>
    <row r="1477">
      <c r="A1477" s="43" t="inlineStr">
        <is>
          <t>CTANJZ05402</t>
        </is>
      </c>
      <c r="B1477" s="43" t="inlineStr">
        <is>
          <t>D612802</t>
        </is>
      </c>
      <c r="C1477" s="43" t="inlineStr">
        <is>
          <t>018-SRGBU</t>
        </is>
      </c>
      <c r="D1477" s="43" t="inlineStr">
        <is>
          <t>FJZP</t>
        </is>
      </c>
      <c r="E1477" s="43" t="inlineStr">
        <is>
          <t>MCGA</t>
        </is>
      </c>
      <c r="F1477" s="43" t="inlineStr">
        <is>
          <t>16-100775-01</t>
        </is>
      </c>
      <c r="G1477" s="43" t="inlineStr">
        <is>
          <t>OTHER_SCOPE_ITEM</t>
        </is>
      </c>
      <c r="H1477" s="43" t="inlineStr"/>
      <c r="I1477" s="43" t="inlineStr">
        <is>
          <t>FAI Status</t>
        </is>
      </c>
      <c r="J1477" s="32" t="n">
        <v>46314</v>
      </c>
      <c r="K1477" s="32" t="n">
        <v>46242</v>
      </c>
      <c r="L1477" s="43" t="inlineStr">
        <is>
          <t>640</t>
        </is>
      </c>
      <c r="M1477" s="43" t="n">
        <v>1</v>
      </c>
      <c r="N1477" s="33" t="inlineStr"/>
      <c r="O1477" s="43" t="inlineStr">
        <is>
          <t>UNVERIFIED</t>
        </is>
      </c>
      <c r="P1477" s="43" t="inlineStr">
        <is>
          <t>Pending Review</t>
        </is>
      </c>
      <c r="Q1477" s="33" t="inlineStr">
        <is>
          <t>Confirmar SKU/PCBA revision, PN exacto en Common DB, WO, BU, vigencia, planta y aprobacion firmada.</t>
        </is>
      </c>
    </row>
    <row r="1478">
      <c r="A1478" s="43" t="inlineStr">
        <is>
          <t>CTANJZ05402</t>
        </is>
      </c>
      <c r="B1478" s="43" t="inlineStr">
        <is>
          <t>D612802</t>
        </is>
      </c>
      <c r="C1478" s="43" t="inlineStr">
        <is>
          <t>018-SRGBU</t>
        </is>
      </c>
      <c r="D1478" s="43" t="inlineStr">
        <is>
          <t>FJZP</t>
        </is>
      </c>
      <c r="E1478" s="43" t="inlineStr">
        <is>
          <t>MCGA</t>
        </is>
      </c>
      <c r="F1478" s="43" t="inlineStr">
        <is>
          <t>16-100809-01</t>
        </is>
      </c>
      <c r="G1478" s="43" t="inlineStr">
        <is>
          <t>OTHER_SCOPE_ITEM</t>
        </is>
      </c>
      <c r="H1478" s="43" t="inlineStr"/>
      <c r="I1478" s="43" t="inlineStr">
        <is>
          <t>FAI Status</t>
        </is>
      </c>
      <c r="J1478" s="32" t="n">
        <v>46314</v>
      </c>
      <c r="K1478" s="32" t="n">
        <v>46242</v>
      </c>
      <c r="L1478" s="43" t="inlineStr">
        <is>
          <t>641</t>
        </is>
      </c>
      <c r="M1478" s="43" t="n">
        <v>1</v>
      </c>
      <c r="N1478" s="33" t="inlineStr"/>
      <c r="O1478" s="43" t="inlineStr">
        <is>
          <t>UNVERIFIED</t>
        </is>
      </c>
      <c r="P1478" s="43" t="inlineStr">
        <is>
          <t>Pending Review</t>
        </is>
      </c>
      <c r="Q1478" s="33" t="inlineStr">
        <is>
          <t>Confirmar SKU/PCBA revision, PN exacto en Common DB, WO, BU, vigencia, planta y aprobacion firmada.</t>
        </is>
      </c>
    </row>
    <row r="1479">
      <c r="A1479" s="43" t="inlineStr">
        <is>
          <t>CTANJZ05403</t>
        </is>
      </c>
      <c r="B1479" s="43" t="inlineStr">
        <is>
          <t>D612842</t>
        </is>
      </c>
      <c r="C1479" s="43" t="inlineStr">
        <is>
          <t>037-STBU</t>
        </is>
      </c>
      <c r="D1479" s="43" t="inlineStr">
        <is>
          <t>FJZP</t>
        </is>
      </c>
      <c r="E1479" s="43" t="inlineStr">
        <is>
          <t>MCGA</t>
        </is>
      </c>
      <c r="F1479" s="43" t="inlineStr">
        <is>
          <t>15-100109-01</t>
        </is>
      </c>
      <c r="G1479" s="43" t="inlineStr">
        <is>
          <t>OTHER_SCOPE_ITEM</t>
        </is>
      </c>
      <c r="H1479" s="43" t="inlineStr"/>
      <c r="I1479" s="43" t="inlineStr">
        <is>
          <t>FAI Status</t>
        </is>
      </c>
      <c r="J1479" s="32" t="n">
        <v>46315</v>
      </c>
      <c r="K1479" s="32" t="n">
        <v>46268</v>
      </c>
      <c r="L1479" s="43" t="inlineStr">
        <is>
          <t>307,1594</t>
        </is>
      </c>
      <c r="M1479" s="43" t="n">
        <v>2</v>
      </c>
      <c r="N1479" s="33" t="inlineStr"/>
      <c r="O1479" s="43" t="inlineStr">
        <is>
          <t>UNVERIFIED</t>
        </is>
      </c>
      <c r="P1479" s="43" t="inlineStr">
        <is>
          <t>Pending Review</t>
        </is>
      </c>
      <c r="Q1479" s="33" t="inlineStr">
        <is>
          <t>Confirmar SKU/PCBA revision, PN exacto en Common DB, WO, BU, vigencia, planta y aprobacion firmada.</t>
        </is>
      </c>
    </row>
    <row r="1480">
      <c r="A1480" s="43" t="inlineStr">
        <is>
          <t>CTANJZ05403</t>
        </is>
      </c>
      <c r="B1480" s="43" t="inlineStr">
        <is>
          <t>D612842</t>
        </is>
      </c>
      <c r="C1480" s="43" t="inlineStr">
        <is>
          <t>037-STBU</t>
        </is>
      </c>
      <c r="D1480" s="43" t="inlineStr">
        <is>
          <t>FJZP</t>
        </is>
      </c>
      <c r="E1480" s="43" t="inlineStr">
        <is>
          <t>MCGA</t>
        </is>
      </c>
      <c r="F1480" s="43" t="inlineStr">
        <is>
          <t>73-20247-06</t>
        </is>
      </c>
      <c r="G1480" s="43" t="inlineStr">
        <is>
          <t>BOARD_PN_CANDIDATE</t>
        </is>
      </c>
      <c r="H1480" s="43" t="inlineStr">
        <is>
          <t>TUFNELL PARK</t>
        </is>
      </c>
      <c r="I1480" s="43" t="inlineStr">
        <is>
          <t>FAI Status</t>
        </is>
      </c>
      <c r="J1480" s="32" t="n">
        <v>46315</v>
      </c>
      <c r="K1480" s="32" t="n">
        <v>46268</v>
      </c>
      <c r="L1480" s="43" t="inlineStr">
        <is>
          <t>308,1579</t>
        </is>
      </c>
      <c r="M1480" s="43" t="n">
        <v>2</v>
      </c>
      <c r="N1480" s="33" t="inlineStr"/>
      <c r="O1480" s="43" t="inlineStr">
        <is>
          <t>UNVERIFIED</t>
        </is>
      </c>
      <c r="P1480" s="43" t="inlineStr">
        <is>
          <t>Pending Review</t>
        </is>
      </c>
      <c r="Q1480" s="33" t="inlineStr">
        <is>
          <t>Confirmar SKU/PCBA revision, PN exacto en Common DB, WO, BU, vigencia, planta y aprobacion firmada.</t>
        </is>
      </c>
    </row>
    <row r="1481">
      <c r="A1481" s="43" t="inlineStr">
        <is>
          <t>CTANJZ05406</t>
        </is>
      </c>
      <c r="B1481" s="43" t="inlineStr">
        <is>
          <t>D612801</t>
        </is>
      </c>
      <c r="C1481" s="43" t="inlineStr">
        <is>
          <t>018-SRGBU</t>
        </is>
      </c>
      <c r="D1481" s="43" t="inlineStr">
        <is>
          <t>FJZP</t>
        </is>
      </c>
      <c r="E1481" s="43" t="inlineStr">
        <is>
          <t>MCGA</t>
        </is>
      </c>
      <c r="F1481" s="43" t="inlineStr">
        <is>
          <t>17-11551-05</t>
        </is>
      </c>
      <c r="G1481" s="43" t="inlineStr">
        <is>
          <t>OTHER_SCOPE_ITEM</t>
        </is>
      </c>
      <c r="H1481" s="43" t="inlineStr"/>
      <c r="I1481" s="43" t="inlineStr">
        <is>
          <t>FAI Status</t>
        </is>
      </c>
      <c r="J1481" s="32" t="n">
        <v>46320</v>
      </c>
      <c r="K1481" s="32" t="n">
        <v>46246</v>
      </c>
      <c r="L1481" s="43" t="inlineStr">
        <is>
          <t>1376</t>
        </is>
      </c>
      <c r="M1481" s="43" t="n">
        <v>1</v>
      </c>
      <c r="N1481" s="33" t="inlineStr"/>
      <c r="O1481" s="43" t="inlineStr">
        <is>
          <t>UNVERIFIED</t>
        </is>
      </c>
      <c r="P1481" s="43" t="inlineStr">
        <is>
          <t>Pending Review</t>
        </is>
      </c>
      <c r="Q1481" s="33" t="inlineStr">
        <is>
          <t>Confirmar SKU/PCBA revision, PN exacto en Common DB, WO, BU, vigencia, planta y aprobacion firmada.</t>
        </is>
      </c>
    </row>
    <row r="1482">
      <c r="A1482" s="43" t="inlineStr">
        <is>
          <t>CTANJZ05406</t>
        </is>
      </c>
      <c r="B1482" s="43" t="inlineStr">
        <is>
          <t>D612801</t>
        </is>
      </c>
      <c r="C1482" s="43" t="inlineStr">
        <is>
          <t>018-SRGBU</t>
        </is>
      </c>
      <c r="D1482" s="43" t="inlineStr">
        <is>
          <t>FJZP</t>
        </is>
      </c>
      <c r="E1482" s="43" t="inlineStr">
        <is>
          <t>MCGA</t>
        </is>
      </c>
      <c r="F1482" s="43" t="inlineStr">
        <is>
          <t>73-14506-08</t>
        </is>
      </c>
      <c r="G1482" s="43" t="inlineStr">
        <is>
          <t>BOARD_PN_CANDIDATE</t>
        </is>
      </c>
      <c r="H1482" s="43" t="inlineStr"/>
      <c r="I1482" s="43" t="inlineStr">
        <is>
          <t>FAI Status</t>
        </is>
      </c>
      <c r="J1482" s="32" t="n">
        <v>46320</v>
      </c>
      <c r="K1482" s="32" t="n">
        <v>46246</v>
      </c>
      <c r="L1482" s="43" t="inlineStr">
        <is>
          <t>1377</t>
        </is>
      </c>
      <c r="M1482" s="43" t="n">
        <v>1</v>
      </c>
      <c r="N1482" s="33" t="inlineStr"/>
      <c r="O1482" s="43" t="inlineStr">
        <is>
          <t>UNVERIFIED</t>
        </is>
      </c>
      <c r="P1482" s="43" t="inlineStr">
        <is>
          <t>Pending Review</t>
        </is>
      </c>
      <c r="Q1482" s="33" t="inlineStr">
        <is>
          <t>Confirmar SKU/PCBA revision, PN exacto en Common DB, WO, BU, vigencia, planta y aprobacion firmada.</t>
        </is>
      </c>
    </row>
    <row r="1483">
      <c r="A1483" s="43" t="inlineStr">
        <is>
          <t>CTANJZ05408</t>
        </is>
      </c>
      <c r="B1483" s="43" t="inlineStr">
        <is>
          <t>D613038</t>
        </is>
      </c>
      <c r="C1483" s="43" t="inlineStr">
        <is>
          <t>035-CVEBU</t>
        </is>
      </c>
      <c r="D1483" s="43" t="inlineStr">
        <is>
          <t>FJZP</t>
        </is>
      </c>
      <c r="E1483" s="43" t="inlineStr">
        <is>
          <t>MCGA</t>
        </is>
      </c>
      <c r="F1483" s="43" t="inlineStr">
        <is>
          <t>15-110522-01</t>
        </is>
      </c>
      <c r="G1483" s="43" t="inlineStr">
        <is>
          <t>OTHER_SCOPE_ITEM</t>
        </is>
      </c>
      <c r="H1483" s="43" t="inlineStr"/>
      <c r="I1483" s="43" t="inlineStr">
        <is>
          <t>FAI Status</t>
        </is>
      </c>
      <c r="J1483" s="32" t="n">
        <v>46322</v>
      </c>
      <c r="K1483" s="32" t="n">
        <v>46263</v>
      </c>
      <c r="L1483" s="43" t="inlineStr">
        <is>
          <t>1361</t>
        </is>
      </c>
      <c r="M1483" s="43" t="n">
        <v>1</v>
      </c>
      <c r="N1483" s="33" t="inlineStr"/>
      <c r="O1483" s="43" t="inlineStr">
        <is>
          <t>UNVERIFIED</t>
        </is>
      </c>
      <c r="P1483" s="43" t="inlineStr">
        <is>
          <t>Pending Review</t>
        </is>
      </c>
      <c r="Q1483" s="33" t="inlineStr">
        <is>
          <t>Confirmar SKU/PCBA revision, PN exacto en Common DB, WO, BU, vigencia, planta y aprobacion firmada.</t>
        </is>
      </c>
    </row>
    <row r="1484">
      <c r="A1484" s="43" t="inlineStr">
        <is>
          <t>CTANJZ05408</t>
        </is>
      </c>
      <c r="B1484" s="43" t="inlineStr">
        <is>
          <t>D613038</t>
        </is>
      </c>
      <c r="C1484" s="43" t="inlineStr">
        <is>
          <t>035-CVEBU</t>
        </is>
      </c>
      <c r="D1484" s="43" t="inlineStr">
        <is>
          <t>FJZP</t>
        </is>
      </c>
      <c r="E1484" s="43" t="inlineStr">
        <is>
          <t>MCGA</t>
        </is>
      </c>
      <c r="F1484" s="43" t="inlineStr">
        <is>
          <t>15-110522-02</t>
        </is>
      </c>
      <c r="G1484" s="43" t="inlineStr">
        <is>
          <t>OTHER_SCOPE_ITEM</t>
        </is>
      </c>
      <c r="H1484" s="43" t="inlineStr"/>
      <c r="I1484" s="43" t="inlineStr">
        <is>
          <t>FAI Status</t>
        </is>
      </c>
      <c r="J1484" s="32" t="n">
        <v>46322</v>
      </c>
      <c r="K1484" s="32" t="n">
        <v>46263</v>
      </c>
      <c r="L1484" s="43" t="inlineStr">
        <is>
          <t>1362</t>
        </is>
      </c>
      <c r="M1484" s="43" t="n">
        <v>1</v>
      </c>
      <c r="N1484" s="33" t="inlineStr"/>
      <c r="O1484" s="43" t="inlineStr">
        <is>
          <t>UNVERIFIED</t>
        </is>
      </c>
      <c r="P1484" s="43" t="inlineStr">
        <is>
          <t>Pending Review</t>
        </is>
      </c>
      <c r="Q1484" s="33" t="inlineStr">
        <is>
          <t>Confirmar SKU/PCBA revision, PN exacto en Common DB, WO, BU, vigencia, planta y aprobacion firmada.</t>
        </is>
      </c>
    </row>
    <row r="1485">
      <c r="A1485" s="43" t="inlineStr">
        <is>
          <t>CTANJZ05408</t>
        </is>
      </c>
      <c r="B1485" s="43" t="inlineStr">
        <is>
          <t>D613038</t>
        </is>
      </c>
      <c r="C1485" s="43" t="inlineStr">
        <is>
          <t>035-CVEBU</t>
        </is>
      </c>
      <c r="D1485" s="43" t="inlineStr">
        <is>
          <t>FJZP</t>
        </is>
      </c>
      <c r="E1485" s="43" t="inlineStr">
        <is>
          <t>MCGA</t>
        </is>
      </c>
      <c r="F1485" s="43" t="inlineStr">
        <is>
          <t>68-104853-01</t>
        </is>
      </c>
      <c r="G1485" s="43" t="inlineStr">
        <is>
          <t>OTHER_SCOPE_ITEM</t>
        </is>
      </c>
      <c r="H1485" s="43" t="inlineStr"/>
      <c r="I1485" s="43" t="inlineStr">
        <is>
          <t>FAI Status</t>
        </is>
      </c>
      <c r="J1485" s="32" t="n">
        <v>46322</v>
      </c>
      <c r="K1485" s="32" t="n">
        <v>46263</v>
      </c>
      <c r="L1485" s="43" t="inlineStr">
        <is>
          <t>1363</t>
        </is>
      </c>
      <c r="M1485" s="43" t="n">
        <v>1</v>
      </c>
      <c r="N1485" s="33" t="inlineStr"/>
      <c r="O1485" s="43" t="inlineStr">
        <is>
          <t>UNVERIFIED</t>
        </is>
      </c>
      <c r="P1485" s="43" t="inlineStr">
        <is>
          <t>Pending Review</t>
        </is>
      </c>
      <c r="Q1485" s="33" t="inlineStr">
        <is>
          <t>Confirmar SKU/PCBA revision, PN exacto en Common DB, WO, BU, vigencia, planta y aprobacion firmada.</t>
        </is>
      </c>
    </row>
    <row r="1486">
      <c r="A1486" s="43" t="inlineStr">
        <is>
          <t>CTANJZ05408</t>
        </is>
      </c>
      <c r="B1486" s="43" t="inlineStr">
        <is>
          <t>D613038</t>
        </is>
      </c>
      <c r="C1486" s="43" t="inlineStr">
        <is>
          <t>035-CVEBU</t>
        </is>
      </c>
      <c r="D1486" s="43" t="inlineStr">
        <is>
          <t>FJZP</t>
        </is>
      </c>
      <c r="E1486" s="43" t="inlineStr">
        <is>
          <t>MCGA</t>
        </is>
      </c>
      <c r="F1486" s="43" t="inlineStr">
        <is>
          <t>68-104854-01</t>
        </is>
      </c>
      <c r="G1486" s="43" t="inlineStr">
        <is>
          <t>OTHER_SCOPE_ITEM</t>
        </is>
      </c>
      <c r="H1486" s="43" t="inlineStr"/>
      <c r="I1486" s="43" t="inlineStr">
        <is>
          <t>FAI Status</t>
        </is>
      </c>
      <c r="J1486" s="32" t="n">
        <v>46322</v>
      </c>
      <c r="K1486" s="32" t="n">
        <v>46263</v>
      </c>
      <c r="L1486" s="43" t="inlineStr">
        <is>
          <t>1364</t>
        </is>
      </c>
      <c r="M1486" s="43" t="n">
        <v>1</v>
      </c>
      <c r="N1486" s="33" t="inlineStr"/>
      <c r="O1486" s="43" t="inlineStr">
        <is>
          <t>UNVERIFIED</t>
        </is>
      </c>
      <c r="P1486" s="43" t="inlineStr">
        <is>
          <t>Pending Review</t>
        </is>
      </c>
      <c r="Q1486" s="33" t="inlineStr">
        <is>
          <t>Confirmar SKU/PCBA revision, PN exacto en Common DB, WO, BU, vigencia, planta y aprobacion firmada.</t>
        </is>
      </c>
    </row>
    <row r="1487">
      <c r="A1487" s="43" t="inlineStr">
        <is>
          <t>CTANJZ05408</t>
        </is>
      </c>
      <c r="B1487" s="43" t="inlineStr">
        <is>
          <t>D613038</t>
        </is>
      </c>
      <c r="C1487" s="43" t="inlineStr">
        <is>
          <t>035-CVEBU</t>
        </is>
      </c>
      <c r="D1487" s="43" t="inlineStr">
        <is>
          <t>FJZP</t>
        </is>
      </c>
      <c r="E1487" s="43" t="inlineStr">
        <is>
          <t>MCGA</t>
        </is>
      </c>
      <c r="F1487" s="43" t="inlineStr">
        <is>
          <t>73-103720-04</t>
        </is>
      </c>
      <c r="G1487" s="43" t="inlineStr">
        <is>
          <t>BOARD_PN_CANDIDATE</t>
        </is>
      </c>
      <c r="H1487" s="43" t="inlineStr"/>
      <c r="I1487" s="43" t="inlineStr">
        <is>
          <t>FAI Status</t>
        </is>
      </c>
      <c r="J1487" s="32" t="n">
        <v>46322</v>
      </c>
      <c r="K1487" s="32" t="n">
        <v>46263</v>
      </c>
      <c r="L1487" s="43" t="inlineStr">
        <is>
          <t>1365</t>
        </is>
      </c>
      <c r="M1487" s="43" t="n">
        <v>1</v>
      </c>
      <c r="N1487" s="33" t="inlineStr"/>
      <c r="O1487" s="43" t="inlineStr">
        <is>
          <t>UNVERIFIED</t>
        </is>
      </c>
      <c r="P1487" s="43" t="inlineStr">
        <is>
          <t>Pending Review</t>
        </is>
      </c>
      <c r="Q1487" s="33" t="inlineStr">
        <is>
          <t>Confirmar SKU/PCBA revision, PN exacto en Common DB, WO, BU, vigencia, planta y aprobacion firmada.</t>
        </is>
      </c>
    </row>
    <row r="1488">
      <c r="A1488" s="43" t="inlineStr">
        <is>
          <t>CTANJZ05408</t>
        </is>
      </c>
      <c r="B1488" s="43" t="inlineStr">
        <is>
          <t>D613038</t>
        </is>
      </c>
      <c r="C1488" s="43" t="inlineStr">
        <is>
          <t>035-CVEBU</t>
        </is>
      </c>
      <c r="D1488" s="43" t="inlineStr">
        <is>
          <t>FJZP</t>
        </is>
      </c>
      <c r="E1488" s="43" t="inlineStr">
        <is>
          <t>MCGA</t>
        </is>
      </c>
      <c r="F1488" s="43" t="inlineStr">
        <is>
          <t>73-103820-04</t>
        </is>
      </c>
      <c r="G1488" s="43" t="inlineStr">
        <is>
          <t>BOARD_PN_CANDIDATE</t>
        </is>
      </c>
      <c r="H1488" s="43" t="inlineStr"/>
      <c r="I1488" s="43" t="inlineStr">
        <is>
          <t>FAI Status</t>
        </is>
      </c>
      <c r="J1488" s="32" t="n">
        <v>46322</v>
      </c>
      <c r="K1488" s="32" t="n">
        <v>46263</v>
      </c>
      <c r="L1488" s="43" t="inlineStr">
        <is>
          <t>1366</t>
        </is>
      </c>
      <c r="M1488" s="43" t="n">
        <v>1</v>
      </c>
      <c r="N1488" s="33" t="inlineStr"/>
      <c r="O1488" s="43" t="inlineStr">
        <is>
          <t>UNVERIFIED</t>
        </is>
      </c>
      <c r="P1488" s="43" t="inlineStr">
        <is>
          <t>Pending Review</t>
        </is>
      </c>
      <c r="Q1488" s="33" t="inlineStr">
        <is>
          <t>Confirmar SKU/PCBA revision, PN exacto en Common DB, WO, BU, vigencia, planta y aprobacion firmada.</t>
        </is>
      </c>
    </row>
    <row r="1489">
      <c r="A1489" s="43" t="inlineStr">
        <is>
          <t>CTANJZ05408</t>
        </is>
      </c>
      <c r="B1489" s="43" t="inlineStr">
        <is>
          <t>D613038</t>
        </is>
      </c>
      <c r="C1489" s="43" t="inlineStr">
        <is>
          <t>035-CVEBU</t>
        </is>
      </c>
      <c r="D1489" s="43" t="inlineStr">
        <is>
          <t>FJZP</t>
        </is>
      </c>
      <c r="E1489" s="43" t="inlineStr">
        <is>
          <t>MCGA</t>
        </is>
      </c>
      <c r="F1489" s="43" t="inlineStr">
        <is>
          <t>800-113105-01</t>
        </is>
      </c>
      <c r="G1489" s="43" t="inlineStr">
        <is>
          <t>OTHER_SCOPE_ITEM</t>
        </is>
      </c>
      <c r="H1489" s="43" t="inlineStr"/>
      <c r="I1489" s="43" t="inlineStr">
        <is>
          <t>FAI Status</t>
        </is>
      </c>
      <c r="J1489" s="32" t="n">
        <v>46322</v>
      </c>
      <c r="K1489" s="32" t="n">
        <v>46263</v>
      </c>
      <c r="L1489" s="43" t="inlineStr">
        <is>
          <t>1372</t>
        </is>
      </c>
      <c r="M1489" s="43" t="n">
        <v>1</v>
      </c>
      <c r="N1489" s="33" t="inlineStr"/>
      <c r="O1489" s="43" t="inlineStr">
        <is>
          <t>UNVERIFIED</t>
        </is>
      </c>
      <c r="P1489" s="43" t="inlineStr">
        <is>
          <t>Pending Review</t>
        </is>
      </c>
      <c r="Q1489" s="33" t="inlineStr">
        <is>
          <t>Confirmar SKU/PCBA revision, PN exacto en Common DB, WO, BU, vigencia, planta y aprobacion firmada.</t>
        </is>
      </c>
    </row>
    <row r="1490">
      <c r="A1490" s="43" t="inlineStr">
        <is>
          <t>CTANJZ05408</t>
        </is>
      </c>
      <c r="B1490" s="43" t="inlineStr">
        <is>
          <t>D613038</t>
        </is>
      </c>
      <c r="C1490" s="43" t="inlineStr">
        <is>
          <t>035-CVEBU</t>
        </is>
      </c>
      <c r="D1490" s="43" t="inlineStr">
        <is>
          <t>FJZP</t>
        </is>
      </c>
      <c r="E1490" s="43" t="inlineStr">
        <is>
          <t>MCGA</t>
        </is>
      </c>
      <c r="F1490" s="43" t="inlineStr">
        <is>
          <t>800-113255-01</t>
        </is>
      </c>
      <c r="G1490" s="43" t="inlineStr">
        <is>
          <t>OTHER_SCOPE_ITEM</t>
        </is>
      </c>
      <c r="H1490" s="43" t="inlineStr"/>
      <c r="I1490" s="43" t="inlineStr">
        <is>
          <t>FAI Status</t>
        </is>
      </c>
      <c r="J1490" s="32" t="n">
        <v>46322</v>
      </c>
      <c r="K1490" s="32" t="n">
        <v>46263</v>
      </c>
      <c r="L1490" s="43" t="inlineStr">
        <is>
          <t>1373</t>
        </is>
      </c>
      <c r="M1490" s="43" t="n">
        <v>1</v>
      </c>
      <c r="N1490" s="33" t="inlineStr"/>
      <c r="O1490" s="43" t="inlineStr">
        <is>
          <t>UNVERIFIED</t>
        </is>
      </c>
      <c r="P1490" s="43" t="inlineStr">
        <is>
          <t>Pending Review</t>
        </is>
      </c>
      <c r="Q1490" s="33" t="inlineStr">
        <is>
          <t>Confirmar SKU/PCBA revision, PN exacto en Common DB, WO, BU, vigencia, planta y aprobacion firmada.</t>
        </is>
      </c>
    </row>
    <row r="1491">
      <c r="A1491" s="43" t="inlineStr">
        <is>
          <t>CTANJZ05408</t>
        </is>
      </c>
      <c r="B1491" s="43" t="inlineStr">
        <is>
          <t>D613038</t>
        </is>
      </c>
      <c r="C1491" s="43" t="inlineStr">
        <is>
          <t>035-CVEBU</t>
        </is>
      </c>
      <c r="D1491" s="43" t="inlineStr">
        <is>
          <t>FJZP</t>
        </is>
      </c>
      <c r="E1491" s="43" t="inlineStr">
        <is>
          <t>MCGA</t>
        </is>
      </c>
      <c r="F1491" s="43" t="inlineStr">
        <is>
          <t>800-117978-03</t>
        </is>
      </c>
      <c r="G1491" s="43" t="inlineStr">
        <is>
          <t>OTHER_SCOPE_ITEM</t>
        </is>
      </c>
      <c r="H1491" s="43" t="inlineStr"/>
      <c r="I1491" s="43" t="inlineStr">
        <is>
          <t>FAI Status</t>
        </is>
      </c>
      <c r="J1491" s="32" t="n">
        <v>46322</v>
      </c>
      <c r="K1491" s="32" t="n">
        <v>46263</v>
      </c>
      <c r="L1491" s="43" t="inlineStr">
        <is>
          <t>1374</t>
        </is>
      </c>
      <c r="M1491" s="43" t="n">
        <v>1</v>
      </c>
      <c r="N1491" s="33" t="inlineStr"/>
      <c r="O1491" s="43" t="inlineStr">
        <is>
          <t>UNVERIFIED</t>
        </is>
      </c>
      <c r="P1491" s="43" t="inlineStr">
        <is>
          <t>Pending Review</t>
        </is>
      </c>
      <c r="Q1491" s="33" t="inlineStr">
        <is>
          <t>Confirmar SKU/PCBA revision, PN exacto en Common DB, WO, BU, vigencia, planta y aprobacion firmada.</t>
        </is>
      </c>
    </row>
    <row r="1492">
      <c r="A1492" s="43" t="inlineStr">
        <is>
          <t>CTANJZ05408</t>
        </is>
      </c>
      <c r="B1492" s="43" t="inlineStr">
        <is>
          <t>D613038</t>
        </is>
      </c>
      <c r="C1492" s="43" t="inlineStr">
        <is>
          <t>035-CVEBU</t>
        </is>
      </c>
      <c r="D1492" s="43" t="inlineStr">
        <is>
          <t>FJZP</t>
        </is>
      </c>
      <c r="E1492" s="43" t="inlineStr">
        <is>
          <t>MCGA</t>
        </is>
      </c>
      <c r="F1492" s="43" t="inlineStr">
        <is>
          <t>800-118978-03</t>
        </is>
      </c>
      <c r="G1492" s="43" t="inlineStr">
        <is>
          <t>OTHER_SCOPE_ITEM</t>
        </is>
      </c>
      <c r="H1492" s="43" t="inlineStr"/>
      <c r="I1492" s="43" t="inlineStr">
        <is>
          <t>FAI Status</t>
        </is>
      </c>
      <c r="J1492" s="32" t="n">
        <v>46322</v>
      </c>
      <c r="K1492" s="32" t="n">
        <v>46263</v>
      </c>
      <c r="L1492" s="43" t="inlineStr">
        <is>
          <t>1375</t>
        </is>
      </c>
      <c r="M1492" s="43" t="n">
        <v>1</v>
      </c>
      <c r="N1492" s="33" t="inlineStr"/>
      <c r="O1492" s="43" t="inlineStr">
        <is>
          <t>UNVERIFIED</t>
        </is>
      </c>
      <c r="P1492" s="43" t="inlineStr">
        <is>
          <t>Pending Review</t>
        </is>
      </c>
      <c r="Q1492" s="33" t="inlineStr">
        <is>
          <t>Confirmar SKU/PCBA revision, PN exacto en Common DB, WO, BU, vigencia, planta y aprobacion firmada.</t>
        </is>
      </c>
    </row>
    <row r="1493">
      <c r="A1493" s="43" t="inlineStr">
        <is>
          <t>CTANJZ05409</t>
        </is>
      </c>
      <c r="B1493" s="43" t="inlineStr">
        <is>
          <t>D613059</t>
        </is>
      </c>
      <c r="C1493" s="43" t="inlineStr">
        <is>
          <t>035-CVEBU</t>
        </is>
      </c>
      <c r="D1493" s="43" t="inlineStr">
        <is>
          <t>FJZP</t>
        </is>
      </c>
      <c r="E1493" s="43" t="inlineStr">
        <is>
          <t>MCGA</t>
        </is>
      </c>
      <c r="F1493" s="43" t="inlineStr">
        <is>
          <t>15-111341-01</t>
        </is>
      </c>
      <c r="G1493" s="43" t="inlineStr">
        <is>
          <t>OTHER_SCOPE_ITEM</t>
        </is>
      </c>
      <c r="H1493" s="43" t="inlineStr"/>
      <c r="I1493" s="43" t="inlineStr">
        <is>
          <t>FAI Status</t>
        </is>
      </c>
      <c r="J1493" s="32" t="n">
        <v>46322</v>
      </c>
      <c r="K1493" s="32" t="n">
        <v>46263</v>
      </c>
      <c r="L1493" s="43" t="inlineStr">
        <is>
          <t>635</t>
        </is>
      </c>
      <c r="M1493" s="43" t="n">
        <v>1</v>
      </c>
      <c r="N1493" s="33" t="inlineStr"/>
      <c r="O1493" s="43" t="inlineStr">
        <is>
          <t>UNVERIFIED</t>
        </is>
      </c>
      <c r="P1493" s="43" t="inlineStr">
        <is>
          <t>Pending Review</t>
        </is>
      </c>
      <c r="Q1493" s="33" t="inlineStr">
        <is>
          <t>Confirmar SKU/PCBA revision, PN exacto en Common DB, WO, BU, vigencia, planta y aprobacion firmada.</t>
        </is>
      </c>
    </row>
    <row r="1494">
      <c r="A1494" s="43" t="inlineStr">
        <is>
          <t>CTANJZ05409</t>
        </is>
      </c>
      <c r="B1494" s="43" t="inlineStr">
        <is>
          <t>D613059</t>
        </is>
      </c>
      <c r="C1494" s="43" t="inlineStr">
        <is>
          <t>035-CVEBU</t>
        </is>
      </c>
      <c r="D1494" s="43" t="inlineStr">
        <is>
          <t>FJZP</t>
        </is>
      </c>
      <c r="E1494" s="43" t="inlineStr">
        <is>
          <t>MCGA</t>
        </is>
      </c>
      <c r="F1494" s="43" t="inlineStr">
        <is>
          <t>73-103698-06</t>
        </is>
      </c>
      <c r="G1494" s="43" t="inlineStr">
        <is>
          <t>BOARD_PN_CANDIDATE</t>
        </is>
      </c>
      <c r="H1494" s="43" t="inlineStr"/>
      <c r="I1494" s="43" t="inlineStr">
        <is>
          <t>FAI Status</t>
        </is>
      </c>
      <c r="J1494" s="32" t="n">
        <v>46322</v>
      </c>
      <c r="K1494" s="32" t="n">
        <v>46263</v>
      </c>
      <c r="L1494" s="43" t="inlineStr">
        <is>
          <t>636</t>
        </is>
      </c>
      <c r="M1494" s="43" t="n">
        <v>1</v>
      </c>
      <c r="N1494" s="33" t="inlineStr"/>
      <c r="O1494" s="43" t="inlineStr">
        <is>
          <t>UNVERIFIED</t>
        </is>
      </c>
      <c r="P1494" s="43" t="inlineStr">
        <is>
          <t>Pending Review</t>
        </is>
      </c>
      <c r="Q1494" s="33" t="inlineStr">
        <is>
          <t>Confirmar SKU/PCBA revision, PN exacto en Common DB, WO, BU, vigencia, planta y aprobacion firmada.</t>
        </is>
      </c>
    </row>
    <row r="1495">
      <c r="A1495" s="43" t="inlineStr">
        <is>
          <t>CTANJZ05409</t>
        </is>
      </c>
      <c r="B1495" s="43" t="inlineStr">
        <is>
          <t>D613059</t>
        </is>
      </c>
      <c r="C1495" s="43" t="inlineStr">
        <is>
          <t>035-CVEBU</t>
        </is>
      </c>
      <c r="D1495" s="43" t="inlineStr">
        <is>
          <t>FJZP</t>
        </is>
      </c>
      <c r="E1495" s="43" t="inlineStr">
        <is>
          <t>MCGA</t>
        </is>
      </c>
      <c r="F1495" s="43" t="inlineStr">
        <is>
          <t>73-103940-06</t>
        </is>
      </c>
      <c r="G1495" s="43" t="inlineStr">
        <is>
          <t>BOARD_PN_CANDIDATE</t>
        </is>
      </c>
      <c r="H1495" s="43" t="inlineStr"/>
      <c r="I1495" s="43" t="inlineStr">
        <is>
          <t>FAI Status</t>
        </is>
      </c>
      <c r="J1495" s="32" t="n">
        <v>46322</v>
      </c>
      <c r="K1495" s="32" t="n">
        <v>46263</v>
      </c>
      <c r="L1495" s="43" t="inlineStr">
        <is>
          <t>637</t>
        </is>
      </c>
      <c r="M1495" s="43" t="n">
        <v>1</v>
      </c>
      <c r="N1495" s="33" t="inlineStr"/>
      <c r="O1495" s="43" t="inlineStr">
        <is>
          <t>UNVERIFIED</t>
        </is>
      </c>
      <c r="P1495" s="43" t="inlineStr">
        <is>
          <t>Pending Review</t>
        </is>
      </c>
      <c r="Q1495" s="33" t="inlineStr">
        <is>
          <t>Confirmar SKU/PCBA revision, PN exacto en Common DB, WO, BU, vigencia, planta y aprobacion firmada.</t>
        </is>
      </c>
    </row>
    <row r="1496">
      <c r="A1496" s="43" t="inlineStr">
        <is>
          <t>CTANJZ05410</t>
        </is>
      </c>
      <c r="B1496" s="43" t="inlineStr">
        <is>
          <t>D612424</t>
        </is>
      </c>
      <c r="C1496" s="43" t="inlineStr">
        <is>
          <t>037-STBU</t>
        </is>
      </c>
      <c r="D1496" s="43" t="inlineStr">
        <is>
          <t>FJZP</t>
        </is>
      </c>
      <c r="E1496" s="43" t="inlineStr">
        <is>
          <t>MCGA</t>
        </is>
      </c>
      <c r="F1496" s="43" t="inlineStr">
        <is>
          <t>28-102178-04</t>
        </is>
      </c>
      <c r="G1496" s="43" t="inlineStr">
        <is>
          <t>BARE_PCB_PN_CANDIDATE</t>
        </is>
      </c>
      <c r="H1496" s="43" t="inlineStr"/>
      <c r="I1496" s="43" t="inlineStr">
        <is>
          <t>FAI Status</t>
        </is>
      </c>
      <c r="J1496" s="32" t="n">
        <v>46323</v>
      </c>
      <c r="K1496" s="32" t="n">
        <v>46268</v>
      </c>
      <c r="L1496" s="43" t="inlineStr">
        <is>
          <t>287</t>
        </is>
      </c>
      <c r="M1496" s="43" t="n">
        <v>1</v>
      </c>
      <c r="N1496" s="33" t="inlineStr"/>
      <c r="O1496" s="43" t="inlineStr">
        <is>
          <t>UNVERIFIED</t>
        </is>
      </c>
      <c r="P1496" s="43" t="inlineStr">
        <is>
          <t>Pending Review</t>
        </is>
      </c>
      <c r="Q1496" s="33" t="inlineStr">
        <is>
          <t>Confirmar SKU/PCBA revision, PN exacto en Common DB, WO, BU, vigencia, planta y aprobacion firmada.</t>
        </is>
      </c>
    </row>
    <row r="1497">
      <c r="A1497" s="43" t="inlineStr">
        <is>
          <t>CTANJZ05410</t>
        </is>
      </c>
      <c r="B1497" s="43" t="inlineStr">
        <is>
          <t>D612424</t>
        </is>
      </c>
      <c r="C1497" s="43" t="inlineStr">
        <is>
          <t>037-STBU</t>
        </is>
      </c>
      <c r="D1497" s="43" t="inlineStr">
        <is>
          <t>FJZP</t>
        </is>
      </c>
      <c r="E1497" s="43" t="inlineStr">
        <is>
          <t>MCGA</t>
        </is>
      </c>
      <c r="F1497" s="43" t="inlineStr">
        <is>
          <t>68-7255-05</t>
        </is>
      </c>
      <c r="G1497" s="43" t="inlineStr">
        <is>
          <t>OTHER_SCOPE_ITEM</t>
        </is>
      </c>
      <c r="H1497" s="43" t="inlineStr"/>
      <c r="I1497" s="43" t="inlineStr">
        <is>
          <t>FAI Status</t>
        </is>
      </c>
      <c r="J1497" s="32" t="n">
        <v>46323</v>
      </c>
      <c r="K1497" s="32" t="n">
        <v>46268</v>
      </c>
      <c r="L1497" s="43" t="inlineStr">
        <is>
          <t>288</t>
        </is>
      </c>
      <c r="M1497" s="43" t="n">
        <v>1</v>
      </c>
      <c r="N1497" s="33" t="inlineStr"/>
      <c r="O1497" s="43" t="inlineStr">
        <is>
          <t>UNVERIFIED</t>
        </is>
      </c>
      <c r="P1497" s="43" t="inlineStr">
        <is>
          <t>Pending Review</t>
        </is>
      </c>
      <c r="Q1497" s="33" t="inlineStr">
        <is>
          <t>Confirmar SKU/PCBA revision, PN exacto en Common DB, WO, BU, vigencia, planta y aprobacion firmada.</t>
        </is>
      </c>
    </row>
    <row r="1498">
      <c r="A1498" s="43" t="inlineStr">
        <is>
          <t>CTANJZ05410</t>
        </is>
      </c>
      <c r="B1498" s="43" t="inlineStr">
        <is>
          <t>D612424</t>
        </is>
      </c>
      <c r="C1498" s="43" t="inlineStr">
        <is>
          <t>037-STBU</t>
        </is>
      </c>
      <c r="D1498" s="43" t="inlineStr">
        <is>
          <t>FJZP</t>
        </is>
      </c>
      <c r="E1498" s="43" t="inlineStr">
        <is>
          <t>MCGA</t>
        </is>
      </c>
      <c r="F1498" s="43" t="inlineStr">
        <is>
          <t>68-7256-05</t>
        </is>
      </c>
      <c r="G1498" s="43" t="inlineStr">
        <is>
          <t>OTHER_SCOPE_ITEM</t>
        </is>
      </c>
      <c r="H1498" s="43" t="inlineStr"/>
      <c r="I1498" s="43" t="inlineStr">
        <is>
          <t>FAI Status</t>
        </is>
      </c>
      <c r="J1498" s="32" t="n">
        <v>46323</v>
      </c>
      <c r="K1498" s="32" t="n">
        <v>46268</v>
      </c>
      <c r="L1498" s="43" t="inlineStr">
        <is>
          <t>297</t>
        </is>
      </c>
      <c r="M1498" s="43" t="n">
        <v>1</v>
      </c>
      <c r="N1498" s="33" t="inlineStr"/>
      <c r="O1498" s="43" t="inlineStr">
        <is>
          <t>UNVERIFIED</t>
        </is>
      </c>
      <c r="P1498" s="43" t="inlineStr">
        <is>
          <t>Pending Review</t>
        </is>
      </c>
      <c r="Q1498" s="33" t="inlineStr">
        <is>
          <t>Confirmar SKU/PCBA revision, PN exacto en Common DB, WO, BU, vigencia, planta y aprobacion firmada.</t>
        </is>
      </c>
    </row>
    <row r="1499">
      <c r="A1499" s="43" t="inlineStr">
        <is>
          <t>CTANJZ05410</t>
        </is>
      </c>
      <c r="B1499" s="43" t="inlineStr">
        <is>
          <t>D612424</t>
        </is>
      </c>
      <c r="C1499" s="43" t="inlineStr">
        <is>
          <t>037-STBU</t>
        </is>
      </c>
      <c r="D1499" s="43" t="inlineStr">
        <is>
          <t>FJZP</t>
        </is>
      </c>
      <c r="E1499" s="43" t="inlineStr">
        <is>
          <t>MCGA</t>
        </is>
      </c>
      <c r="F1499" s="43" t="inlineStr">
        <is>
          <t>73-20247-06</t>
        </is>
      </c>
      <c r="G1499" s="43" t="inlineStr">
        <is>
          <t>BOARD_PN_CANDIDATE</t>
        </is>
      </c>
      <c r="H1499" s="43" t="inlineStr">
        <is>
          <t>TUFNELL PARK</t>
        </is>
      </c>
      <c r="I1499" s="43" t="inlineStr">
        <is>
          <t>FAI Status</t>
        </is>
      </c>
      <c r="J1499" s="32" t="n">
        <v>46323</v>
      </c>
      <c r="K1499" s="32" t="n">
        <v>46268</v>
      </c>
      <c r="L1499" s="43" t="inlineStr">
        <is>
          <t>298</t>
        </is>
      </c>
      <c r="M1499" s="43" t="n">
        <v>1</v>
      </c>
      <c r="N1499" s="33" t="inlineStr"/>
      <c r="O1499" s="43" t="inlineStr">
        <is>
          <t>UNVERIFIED</t>
        </is>
      </c>
      <c r="P1499" s="43" t="inlineStr">
        <is>
          <t>Pending Review</t>
        </is>
      </c>
      <c r="Q1499" s="33" t="inlineStr">
        <is>
          <t>Confirmar SKU/PCBA revision, PN exacto en Common DB, WO, BU, vigencia, planta y aprobacion firmada.</t>
        </is>
      </c>
    </row>
    <row r="1500">
      <c r="A1500" s="43" t="inlineStr">
        <is>
          <t>CTANJZ05410</t>
        </is>
      </c>
      <c r="B1500" s="43" t="inlineStr">
        <is>
          <t>D612424</t>
        </is>
      </c>
      <c r="C1500" s="43" t="inlineStr">
        <is>
          <t>037-STBU</t>
        </is>
      </c>
      <c r="D1500" s="43" t="inlineStr">
        <is>
          <t>FJZP</t>
        </is>
      </c>
      <c r="E1500" s="43" t="inlineStr">
        <is>
          <t>MCGA</t>
        </is>
      </c>
      <c r="F1500" s="43" t="inlineStr">
        <is>
          <t>800-108037-05</t>
        </is>
      </c>
      <c r="G1500" s="43" t="inlineStr">
        <is>
          <t>OTHER_SCOPE_ITEM</t>
        </is>
      </c>
      <c r="H1500" s="43" t="inlineStr"/>
      <c r="I1500" s="43" t="inlineStr">
        <is>
          <t>FAI Status</t>
        </is>
      </c>
      <c r="J1500" s="32" t="n">
        <v>46323</v>
      </c>
      <c r="K1500" s="32" t="n">
        <v>46268</v>
      </c>
      <c r="L1500" s="43" t="inlineStr">
        <is>
          <t>299</t>
        </is>
      </c>
      <c r="M1500" s="43" t="n">
        <v>1</v>
      </c>
      <c r="N1500" s="33" t="inlineStr"/>
      <c r="O1500" s="43" t="inlineStr">
        <is>
          <t>UNVERIFIED</t>
        </is>
      </c>
      <c r="P1500" s="43" t="inlineStr">
        <is>
          <t>Pending Review</t>
        </is>
      </c>
      <c r="Q1500" s="33" t="inlineStr">
        <is>
          <t>Confirmar SKU/PCBA revision, PN exacto en Common DB, WO, BU, vigencia, planta y aprobacion firmada.</t>
        </is>
      </c>
    </row>
    <row r="1501">
      <c r="A1501" s="43" t="inlineStr">
        <is>
          <t>CTANJZ05410</t>
        </is>
      </c>
      <c r="B1501" s="43" t="inlineStr">
        <is>
          <t>D612424</t>
        </is>
      </c>
      <c r="C1501" s="43" t="inlineStr">
        <is>
          <t>037-STBU</t>
        </is>
      </c>
      <c r="D1501" s="43" t="inlineStr">
        <is>
          <t>FJZP</t>
        </is>
      </c>
      <c r="E1501" s="43" t="inlineStr">
        <is>
          <t>MCGA</t>
        </is>
      </c>
      <c r="F1501" s="43" t="inlineStr">
        <is>
          <t>800-108038-05</t>
        </is>
      </c>
      <c r="G1501" s="43" t="inlineStr">
        <is>
          <t>OTHER_SCOPE_ITEM</t>
        </is>
      </c>
      <c r="H1501" s="43" t="inlineStr"/>
      <c r="I1501" s="43" t="inlineStr">
        <is>
          <t>FAI Status</t>
        </is>
      </c>
      <c r="J1501" s="32" t="n">
        <v>46323</v>
      </c>
      <c r="K1501" s="32" t="n">
        <v>46268</v>
      </c>
      <c r="L1501" s="43" t="inlineStr">
        <is>
          <t>300</t>
        </is>
      </c>
      <c r="M1501" s="43" t="n">
        <v>1</v>
      </c>
      <c r="N1501" s="33" t="inlineStr"/>
      <c r="O1501" s="43" t="inlineStr">
        <is>
          <t>UNVERIFIED</t>
        </is>
      </c>
      <c r="P1501" s="43" t="inlineStr">
        <is>
          <t>Pending Review</t>
        </is>
      </c>
      <c r="Q1501" s="33" t="inlineStr">
        <is>
          <t>Confirmar SKU/PCBA revision, PN exacto en Common DB, WO, BU, vigencia, planta y aprobacion firmada.</t>
        </is>
      </c>
    </row>
    <row r="1502">
      <c r="A1502" s="43" t="inlineStr">
        <is>
          <t>CTANJZ05411</t>
        </is>
      </c>
      <c r="B1502" s="43" t="inlineStr">
        <is>
          <t>D613013</t>
        </is>
      </c>
      <c r="C1502" s="43" t="inlineStr">
        <is>
          <t>034-IOTBU</t>
        </is>
      </c>
      <c r="D1502" s="43" t="inlineStr">
        <is>
          <t>FJZP</t>
        </is>
      </c>
      <c r="E1502" s="43" t="inlineStr">
        <is>
          <t>MCGA</t>
        </is>
      </c>
      <c r="F1502" s="43" t="inlineStr">
        <is>
          <t>19-100521-01</t>
        </is>
      </c>
      <c r="G1502" s="43" t="inlineStr">
        <is>
          <t>OTHER_SCOPE_ITEM</t>
        </is>
      </c>
      <c r="H1502" s="43" t="inlineStr"/>
      <c r="I1502" s="43" t="inlineStr">
        <is>
          <t>FAI Status</t>
        </is>
      </c>
      <c r="J1502" s="32" t="n">
        <v>46322</v>
      </c>
      <c r="K1502" s="32" t="n">
        <v>46269</v>
      </c>
      <c r="L1502" s="43" t="inlineStr">
        <is>
          <t>95,301</t>
        </is>
      </c>
      <c r="M1502" s="43" t="n">
        <v>2</v>
      </c>
      <c r="N1502" s="33" t="inlineStr"/>
      <c r="O1502" s="43" t="inlineStr">
        <is>
          <t>UNVERIFIED</t>
        </is>
      </c>
      <c r="P1502" s="43" t="inlineStr">
        <is>
          <t>Pending Review</t>
        </is>
      </c>
      <c r="Q1502" s="33" t="inlineStr">
        <is>
          <t>Confirmar SKU/PCBA revision, PN exacto en Common DB, WO, BU, vigencia, planta y aprobacion firmada.</t>
        </is>
      </c>
    </row>
    <row r="1503">
      <c r="A1503" s="43" t="inlineStr">
        <is>
          <t>CTANJZ05412</t>
        </is>
      </c>
      <c r="B1503" s="43" t="inlineStr">
        <is>
          <t>D613005</t>
        </is>
      </c>
      <c r="C1503" s="43" t="inlineStr">
        <is>
          <t>037-STBU</t>
        </is>
      </c>
      <c r="D1503" s="43" t="inlineStr">
        <is>
          <t>FJZP</t>
        </is>
      </c>
      <c r="E1503" s="43" t="inlineStr">
        <is>
          <t>MCGA</t>
        </is>
      </c>
      <c r="F1503" s="43" t="inlineStr">
        <is>
          <t>15-104142-02</t>
        </is>
      </c>
      <c r="G1503" s="43" t="inlineStr">
        <is>
          <t>OTHER_SCOPE_ITEM</t>
        </is>
      </c>
      <c r="H1503" s="43" t="inlineStr"/>
      <c r="I1503" s="43" t="inlineStr">
        <is>
          <t>FAI Status</t>
        </is>
      </c>
      <c r="J1503" s="32" t="n">
        <v>46323</v>
      </c>
      <c r="K1503" s="32" t="n">
        <v>46268</v>
      </c>
      <c r="L1503" s="43" t="inlineStr">
        <is>
          <t>619</t>
        </is>
      </c>
      <c r="M1503" s="43" t="n">
        <v>1</v>
      </c>
      <c r="N1503" s="33" t="inlineStr"/>
      <c r="O1503" s="43" t="inlineStr">
        <is>
          <t>UNVERIFIED</t>
        </is>
      </c>
      <c r="P1503" s="43" t="inlineStr">
        <is>
          <t>Pending Review</t>
        </is>
      </c>
      <c r="Q1503" s="33" t="inlineStr">
        <is>
          <t>Confirmar SKU/PCBA revision, PN exacto en Common DB, WO, BU, vigencia, planta y aprobacion firmada.</t>
        </is>
      </c>
    </row>
    <row r="1504">
      <c r="A1504" s="43" t="inlineStr">
        <is>
          <t>CTANJZ05412</t>
        </is>
      </c>
      <c r="B1504" s="43" t="inlineStr">
        <is>
          <t>D613005</t>
        </is>
      </c>
      <c r="C1504" s="43" t="inlineStr">
        <is>
          <t>037-STBU</t>
        </is>
      </c>
      <c r="D1504" s="43" t="inlineStr">
        <is>
          <t>FJZP</t>
        </is>
      </c>
      <c r="E1504" s="43" t="inlineStr">
        <is>
          <t>MCGA</t>
        </is>
      </c>
      <c r="F1504" s="43" t="inlineStr">
        <is>
          <t>800-104788-04</t>
        </is>
      </c>
      <c r="G1504" s="43" t="inlineStr">
        <is>
          <t>OTHER_SCOPE_ITEM</t>
        </is>
      </c>
      <c r="H1504" s="43" t="inlineStr"/>
      <c r="I1504" s="43" t="inlineStr">
        <is>
          <t>FAI Status</t>
        </is>
      </c>
      <c r="J1504" s="32" t="n">
        <v>46323</v>
      </c>
      <c r="K1504" s="32" t="n">
        <v>46268</v>
      </c>
      <c r="L1504" s="43" t="inlineStr">
        <is>
          <t>620</t>
        </is>
      </c>
      <c r="M1504" s="43" t="n">
        <v>1</v>
      </c>
      <c r="N1504" s="33" t="inlineStr"/>
      <c r="O1504" s="43" t="inlineStr">
        <is>
          <t>UNVERIFIED</t>
        </is>
      </c>
      <c r="P1504" s="43" t="inlineStr">
        <is>
          <t>Pending Review</t>
        </is>
      </c>
      <c r="Q1504" s="33" t="inlineStr">
        <is>
          <t>Confirmar SKU/PCBA revision, PN exacto en Common DB, WO, BU, vigencia, planta y aprobacion firmada.</t>
        </is>
      </c>
    </row>
    <row r="1505">
      <c r="A1505" s="43" t="inlineStr">
        <is>
          <t>CTANJZ05412</t>
        </is>
      </c>
      <c r="B1505" s="43" t="inlineStr">
        <is>
          <t>D613005</t>
        </is>
      </c>
      <c r="C1505" s="43" t="inlineStr">
        <is>
          <t>037-STBU</t>
        </is>
      </c>
      <c r="D1505" s="43" t="inlineStr">
        <is>
          <t>FJZP</t>
        </is>
      </c>
      <c r="E1505" s="43" t="inlineStr">
        <is>
          <t>MCGA</t>
        </is>
      </c>
      <c r="F1505" s="43" t="inlineStr">
        <is>
          <t>800-104789-04</t>
        </is>
      </c>
      <c r="G1505" s="43" t="inlineStr">
        <is>
          <t>OTHER_SCOPE_ITEM</t>
        </is>
      </c>
      <c r="H1505" s="43" t="inlineStr"/>
      <c r="I1505" s="43" t="inlineStr">
        <is>
          <t>FAI Status</t>
        </is>
      </c>
      <c r="J1505" s="32" t="n">
        <v>46323</v>
      </c>
      <c r="K1505" s="32" t="n">
        <v>46268</v>
      </c>
      <c r="L1505" s="43" t="inlineStr">
        <is>
          <t>621</t>
        </is>
      </c>
      <c r="M1505" s="43" t="n">
        <v>1</v>
      </c>
      <c r="N1505" s="33" t="inlineStr"/>
      <c r="O1505" s="43" t="inlineStr">
        <is>
          <t>UNVERIFIED</t>
        </is>
      </c>
      <c r="P1505" s="43" t="inlineStr">
        <is>
          <t>Pending Review</t>
        </is>
      </c>
      <c r="Q1505" s="33" t="inlineStr">
        <is>
          <t>Confirmar SKU/PCBA revision, PN exacto en Common DB, WO, BU, vigencia, planta y aprobacion firmada.</t>
        </is>
      </c>
    </row>
    <row r="1506">
      <c r="A1506" s="43" t="inlineStr">
        <is>
          <t>CTANJZ05413</t>
        </is>
      </c>
      <c r="B1506" s="43" t="inlineStr">
        <is>
          <t>D613063</t>
        </is>
      </c>
      <c r="C1506" s="43" t="inlineStr">
        <is>
          <t>239-CRBU</t>
        </is>
      </c>
      <c r="D1506" s="43" t="inlineStr">
        <is>
          <t>FJZP</t>
        </is>
      </c>
      <c r="E1506" s="43" t="inlineStr">
        <is>
          <t>MCGA</t>
        </is>
      </c>
      <c r="F1506" s="43" t="inlineStr">
        <is>
          <t>01-1057-03</t>
        </is>
      </c>
      <c r="G1506" s="43" t="inlineStr">
        <is>
          <t>OTHER_SCOPE_ITEM</t>
        </is>
      </c>
      <c r="H1506" s="43" t="inlineStr"/>
      <c r="I1506" s="43" t="inlineStr">
        <is>
          <t>FAI Status</t>
        </is>
      </c>
      <c r="J1506" s="32" t="n">
        <v>46324</v>
      </c>
      <c r="K1506" s="32" t="n">
        <v>46252</v>
      </c>
      <c r="L1506" s="43" t="inlineStr">
        <is>
          <t>622</t>
        </is>
      </c>
      <c r="M1506" s="43" t="n">
        <v>1</v>
      </c>
      <c r="N1506" s="33" t="inlineStr"/>
      <c r="O1506" s="43" t="inlineStr">
        <is>
          <t>UNVERIFIED</t>
        </is>
      </c>
      <c r="P1506" s="43" t="inlineStr">
        <is>
          <t>Pending Review</t>
        </is>
      </c>
      <c r="Q1506" s="33" t="inlineStr">
        <is>
          <t>Confirmar SKU/PCBA revision, PN exacto en Common DB, WO, BU, vigencia, planta y aprobacion firmada.</t>
        </is>
      </c>
    </row>
    <row r="1507">
      <c r="A1507" s="43" t="inlineStr">
        <is>
          <t>CTANJZ05413</t>
        </is>
      </c>
      <c r="B1507" s="43" t="inlineStr">
        <is>
          <t>D613063</t>
        </is>
      </c>
      <c r="C1507" s="43" t="inlineStr">
        <is>
          <t>239-CRBU</t>
        </is>
      </c>
      <c r="D1507" s="43" t="inlineStr">
        <is>
          <t>FJZP</t>
        </is>
      </c>
      <c r="E1507" s="43" t="inlineStr">
        <is>
          <t>MCGA</t>
        </is>
      </c>
      <c r="F1507" s="43" t="inlineStr">
        <is>
          <t>08-100199-03</t>
        </is>
      </c>
      <c r="G1507" s="43" t="inlineStr">
        <is>
          <t>OTHER_SCOPE_ITEM</t>
        </is>
      </c>
      <c r="H1507" s="43" t="inlineStr"/>
      <c r="I1507" s="43" t="inlineStr">
        <is>
          <t>FAI Status</t>
        </is>
      </c>
      <c r="J1507" s="32" t="n">
        <v>46324</v>
      </c>
      <c r="K1507" s="32" t="n">
        <v>46252</v>
      </c>
      <c r="L1507" s="43" t="inlineStr">
        <is>
          <t>623</t>
        </is>
      </c>
      <c r="M1507" s="43" t="n">
        <v>1</v>
      </c>
      <c r="N1507" s="33" t="inlineStr"/>
      <c r="O1507" s="43" t="inlineStr">
        <is>
          <t>UNVERIFIED</t>
        </is>
      </c>
      <c r="P1507" s="43" t="inlineStr">
        <is>
          <t>Pending Review</t>
        </is>
      </c>
      <c r="Q1507" s="33" t="inlineStr">
        <is>
          <t>Confirmar SKU/PCBA revision, PN exacto en Common DB, WO, BU, vigencia, planta y aprobacion firmada.</t>
        </is>
      </c>
    </row>
    <row r="1508">
      <c r="A1508" s="43" t="inlineStr">
        <is>
          <t>CTANJZ05413</t>
        </is>
      </c>
      <c r="B1508" s="43" t="inlineStr">
        <is>
          <t>D613063</t>
        </is>
      </c>
      <c r="C1508" s="43" t="inlineStr">
        <is>
          <t>239-CRBU</t>
        </is>
      </c>
      <c r="D1508" s="43" t="inlineStr">
        <is>
          <t>FJZP</t>
        </is>
      </c>
      <c r="E1508" s="43" t="inlineStr">
        <is>
          <t>MCGA</t>
        </is>
      </c>
      <c r="F1508" s="43" t="inlineStr">
        <is>
          <t>08-1057-03</t>
        </is>
      </c>
      <c r="G1508" s="43" t="inlineStr">
        <is>
          <t>OTHER_SCOPE_ITEM</t>
        </is>
      </c>
      <c r="H1508" s="43" t="inlineStr"/>
      <c r="I1508" s="43" t="inlineStr">
        <is>
          <t>FAI Status</t>
        </is>
      </c>
      <c r="J1508" s="32" t="n">
        <v>46324</v>
      </c>
      <c r="K1508" s="32" t="n">
        <v>46252</v>
      </c>
      <c r="L1508" s="43" t="inlineStr">
        <is>
          <t>624</t>
        </is>
      </c>
      <c r="M1508" s="43" t="n">
        <v>1</v>
      </c>
      <c r="N1508" s="33" t="inlineStr"/>
      <c r="O1508" s="43" t="inlineStr">
        <is>
          <t>UNVERIFIED</t>
        </is>
      </c>
      <c r="P1508" s="43" t="inlineStr">
        <is>
          <t>Pending Review</t>
        </is>
      </c>
      <c r="Q1508" s="33" t="inlineStr">
        <is>
          <t>Confirmar SKU/PCBA revision, PN exacto en Common DB, WO, BU, vigencia, planta y aprobacion firmada.</t>
        </is>
      </c>
    </row>
    <row r="1509">
      <c r="A1509" s="43" t="inlineStr">
        <is>
          <t>CTANJZ05413</t>
        </is>
      </c>
      <c r="B1509" s="43" t="inlineStr">
        <is>
          <t>D613063</t>
        </is>
      </c>
      <c r="C1509" s="43" t="inlineStr">
        <is>
          <t>239-CRBU</t>
        </is>
      </c>
      <c r="D1509" s="43" t="inlineStr">
        <is>
          <t>FJZP</t>
        </is>
      </c>
      <c r="E1509" s="43" t="inlineStr">
        <is>
          <t>MCGA</t>
        </is>
      </c>
      <c r="F1509" s="43" t="inlineStr">
        <is>
          <t>73-20176-06</t>
        </is>
      </c>
      <c r="G1509" s="43" t="inlineStr">
        <is>
          <t>BOARD_PN_CANDIDATE</t>
        </is>
      </c>
      <c r="H1509" s="43" t="inlineStr"/>
      <c r="I1509" s="43" t="inlineStr">
        <is>
          <t>FAI Status</t>
        </is>
      </c>
      <c r="J1509" s="32" t="n">
        <v>46324</v>
      </c>
      <c r="K1509" s="32" t="n">
        <v>46252</v>
      </c>
      <c r="L1509" s="43" t="inlineStr">
        <is>
          <t>625</t>
        </is>
      </c>
      <c r="M1509" s="43" t="n">
        <v>1</v>
      </c>
      <c r="N1509" s="33" t="inlineStr"/>
      <c r="O1509" s="43" t="inlineStr">
        <is>
          <t>UNVERIFIED</t>
        </is>
      </c>
      <c r="P1509" s="43" t="inlineStr">
        <is>
          <t>Pending Review</t>
        </is>
      </c>
      <c r="Q1509" s="33" t="inlineStr">
        <is>
          <t>Confirmar SKU/PCBA revision, PN exacto en Common DB, WO, BU, vigencia, planta y aprobacion firmada.</t>
        </is>
      </c>
    </row>
    <row r="1510">
      <c r="A1510" s="43" t="inlineStr">
        <is>
          <t>CTANJZ05413</t>
        </is>
      </c>
      <c r="B1510" s="43" t="inlineStr">
        <is>
          <t>D613063</t>
        </is>
      </c>
      <c r="C1510" s="43" t="inlineStr">
        <is>
          <t>239-CRBU</t>
        </is>
      </c>
      <c r="D1510" s="43" t="inlineStr">
        <is>
          <t>FJZP</t>
        </is>
      </c>
      <c r="E1510" s="43" t="inlineStr">
        <is>
          <t>MCGA</t>
        </is>
      </c>
      <c r="F1510" s="43" t="inlineStr">
        <is>
          <t>73-20193-09</t>
        </is>
      </c>
      <c r="G1510" s="43" t="inlineStr">
        <is>
          <t>BOARD_PN_CANDIDATE</t>
        </is>
      </c>
      <c r="H1510" s="43" t="inlineStr"/>
      <c r="I1510" s="43" t="inlineStr">
        <is>
          <t>FAI Status</t>
        </is>
      </c>
      <c r="J1510" s="32" t="n">
        <v>46324</v>
      </c>
      <c r="K1510" s="32" t="n">
        <v>46252</v>
      </c>
      <c r="L1510" s="43" t="inlineStr">
        <is>
          <t>626</t>
        </is>
      </c>
      <c r="M1510" s="43" t="n">
        <v>1</v>
      </c>
      <c r="N1510" s="33" t="inlineStr"/>
      <c r="O1510" s="43" t="inlineStr">
        <is>
          <t>UNVERIFIED</t>
        </is>
      </c>
      <c r="P1510" s="43" t="inlineStr">
        <is>
          <t>Pending Review</t>
        </is>
      </c>
      <c r="Q1510" s="33" t="inlineStr">
        <is>
          <t>Confirmar SKU/PCBA revision, PN exacto en Common DB, WO, BU, vigencia, planta y aprobacion firmada.</t>
        </is>
      </c>
    </row>
    <row r="1511">
      <c r="A1511" s="43" t="inlineStr">
        <is>
          <t>CTANJZ05413</t>
        </is>
      </c>
      <c r="B1511" s="43" t="inlineStr">
        <is>
          <t>D613063</t>
        </is>
      </c>
      <c r="C1511" s="43" t="inlineStr">
        <is>
          <t>239-CRBU</t>
        </is>
      </c>
      <c r="D1511" s="43" t="inlineStr">
        <is>
          <t>FJZP</t>
        </is>
      </c>
      <c r="E1511" s="43" t="inlineStr">
        <is>
          <t>MCGA</t>
        </is>
      </c>
      <c r="F1511" s="43" t="inlineStr">
        <is>
          <t>73-20513-06</t>
        </is>
      </c>
      <c r="G1511" s="43" t="inlineStr">
        <is>
          <t>BOARD_PN_CANDIDATE</t>
        </is>
      </c>
      <c r="H1511" s="43" t="inlineStr"/>
      <c r="I1511" s="43" t="inlineStr">
        <is>
          <t>FAI Status</t>
        </is>
      </c>
      <c r="J1511" s="32" t="n">
        <v>46324</v>
      </c>
      <c r="K1511" s="32" t="n">
        <v>46252</v>
      </c>
      <c r="L1511" s="43" t="inlineStr">
        <is>
          <t>627</t>
        </is>
      </c>
      <c r="M1511" s="43" t="n">
        <v>1</v>
      </c>
      <c r="N1511" s="33" t="inlineStr"/>
      <c r="O1511" s="43" t="inlineStr">
        <is>
          <t>UNVERIFIED</t>
        </is>
      </c>
      <c r="P1511" s="43" t="inlineStr">
        <is>
          <t>Pending Review</t>
        </is>
      </c>
      <c r="Q1511" s="33" t="inlineStr">
        <is>
          <t>Confirmar SKU/PCBA revision, PN exacto en Common DB, WO, BU, vigencia, planta y aprobacion firmada.</t>
        </is>
      </c>
    </row>
    <row r="1512">
      <c r="A1512" s="43" t="inlineStr">
        <is>
          <t>CTANJZ05413</t>
        </is>
      </c>
      <c r="B1512" s="43" t="inlineStr">
        <is>
          <t>D613063</t>
        </is>
      </c>
      <c r="C1512" s="43" t="inlineStr">
        <is>
          <t>239-CRBU</t>
        </is>
      </c>
      <c r="D1512" s="43" t="inlineStr">
        <is>
          <t>FJZP</t>
        </is>
      </c>
      <c r="E1512" s="43" t="inlineStr">
        <is>
          <t>MCGA</t>
        </is>
      </c>
      <c r="F1512" s="43" t="inlineStr">
        <is>
          <t>73-21144-07</t>
        </is>
      </c>
      <c r="G1512" s="43" t="inlineStr">
        <is>
          <t>BOARD_PN_CANDIDATE</t>
        </is>
      </c>
      <c r="H1512" s="43" t="inlineStr"/>
      <c r="I1512" s="43" t="inlineStr">
        <is>
          <t>FAI Status</t>
        </is>
      </c>
      <c r="J1512" s="32" t="n">
        <v>46324</v>
      </c>
      <c r="K1512" s="32" t="n">
        <v>46252</v>
      </c>
      <c r="L1512" s="43" t="inlineStr">
        <is>
          <t>628</t>
        </is>
      </c>
      <c r="M1512" s="43" t="n">
        <v>1</v>
      </c>
      <c r="N1512" s="33" t="inlineStr"/>
      <c r="O1512" s="43" t="inlineStr">
        <is>
          <t>UNVERIFIED</t>
        </is>
      </c>
      <c r="P1512" s="43" t="inlineStr">
        <is>
          <t>Pending Review</t>
        </is>
      </c>
      <c r="Q1512" s="33" t="inlineStr">
        <is>
          <t>Confirmar SKU/PCBA revision, PN exacto en Common DB, WO, BU, vigencia, planta y aprobacion firmada.</t>
        </is>
      </c>
    </row>
    <row r="1513">
      <c r="A1513" s="43" t="inlineStr">
        <is>
          <t>CTANJZ05413</t>
        </is>
      </c>
      <c r="B1513" s="43" t="inlineStr">
        <is>
          <t>D613063</t>
        </is>
      </c>
      <c r="C1513" s="43" t="inlineStr">
        <is>
          <t>239-CRBU</t>
        </is>
      </c>
      <c r="D1513" s="43" t="inlineStr">
        <is>
          <t>FJZP</t>
        </is>
      </c>
      <c r="E1513" s="43" t="inlineStr">
        <is>
          <t>MCGA</t>
        </is>
      </c>
      <c r="F1513" s="43" t="inlineStr">
        <is>
          <t>73-21146-12</t>
        </is>
      </c>
      <c r="G1513" s="43" t="inlineStr">
        <is>
          <t>BOARD_PN_CANDIDATE</t>
        </is>
      </c>
      <c r="H1513" s="43" t="inlineStr"/>
      <c r="I1513" s="43" t="inlineStr">
        <is>
          <t>FAI Status</t>
        </is>
      </c>
      <c r="J1513" s="32" t="n">
        <v>46324</v>
      </c>
      <c r="K1513" s="32" t="n">
        <v>46252</v>
      </c>
      <c r="L1513" s="43" t="inlineStr">
        <is>
          <t>629</t>
        </is>
      </c>
      <c r="M1513" s="43" t="n">
        <v>1</v>
      </c>
      <c r="N1513" s="33" t="inlineStr"/>
      <c r="O1513" s="43" t="inlineStr">
        <is>
          <t>UNVERIFIED</t>
        </is>
      </c>
      <c r="P1513" s="43" t="inlineStr">
        <is>
          <t>Pending Review</t>
        </is>
      </c>
      <c r="Q1513" s="33" t="inlineStr">
        <is>
          <t>Confirmar SKU/PCBA revision, PN exacto en Common DB, WO, BU, vigencia, planta y aprobacion firmada.</t>
        </is>
      </c>
    </row>
    <row r="1514">
      <c r="A1514" s="43" t="inlineStr">
        <is>
          <t>CTANJZ05414</t>
        </is>
      </c>
      <c r="B1514" s="43" t="inlineStr">
        <is>
          <t>D613039</t>
        </is>
      </c>
      <c r="C1514" s="43" t="inlineStr">
        <is>
          <t>035-CVEBU</t>
        </is>
      </c>
      <c r="D1514" s="43" t="inlineStr">
        <is>
          <t>FJZP</t>
        </is>
      </c>
      <c r="E1514" s="43" t="inlineStr">
        <is>
          <t>MCGA</t>
        </is>
      </c>
      <c r="F1514" s="43" t="inlineStr">
        <is>
          <t>15-109506-01</t>
        </is>
      </c>
      <c r="G1514" s="43" t="inlineStr">
        <is>
          <t>OTHER_SCOPE_ITEM</t>
        </is>
      </c>
      <c r="H1514" s="43" t="inlineStr"/>
      <c r="I1514" s="43" t="inlineStr">
        <is>
          <t>FAI Status</t>
        </is>
      </c>
      <c r="J1514" s="32" t="n">
        <v>46324</v>
      </c>
      <c r="K1514" s="32" t="n">
        <v>46269</v>
      </c>
      <c r="L1514" s="43" t="inlineStr">
        <is>
          <t>1270</t>
        </is>
      </c>
      <c r="M1514" s="43" t="n">
        <v>1</v>
      </c>
      <c r="N1514" s="33" t="inlineStr"/>
      <c r="O1514" s="43" t="inlineStr">
        <is>
          <t>UNVERIFIED</t>
        </is>
      </c>
      <c r="P1514" s="43" t="inlineStr">
        <is>
          <t>Pending Review</t>
        </is>
      </c>
      <c r="Q1514" s="33" t="inlineStr">
        <is>
          <t>Confirmar SKU/PCBA revision, PN exacto en Common DB, WO, BU, vigencia, planta y aprobacion firmada.</t>
        </is>
      </c>
    </row>
    <row r="1515">
      <c r="A1515" s="43" t="inlineStr">
        <is>
          <t>CTANJZ05414</t>
        </is>
      </c>
      <c r="B1515" s="43" t="inlineStr">
        <is>
          <t>D613039</t>
        </is>
      </c>
      <c r="C1515" s="43" t="inlineStr">
        <is>
          <t>035-CVEBU</t>
        </is>
      </c>
      <c r="D1515" s="43" t="inlineStr">
        <is>
          <t>FJZP</t>
        </is>
      </c>
      <c r="E1515" s="43" t="inlineStr">
        <is>
          <t>MCGA</t>
        </is>
      </c>
      <c r="F1515" s="43" t="inlineStr">
        <is>
          <t>15-109628-01</t>
        </is>
      </c>
      <c r="G1515" s="43" t="inlineStr">
        <is>
          <t>OTHER_SCOPE_ITEM</t>
        </is>
      </c>
      <c r="H1515" s="43" t="inlineStr"/>
      <c r="I1515" s="43" t="inlineStr">
        <is>
          <t>FAI Status</t>
        </is>
      </c>
      <c r="J1515" s="32" t="n">
        <v>46324</v>
      </c>
      <c r="K1515" s="32" t="n">
        <v>46269</v>
      </c>
      <c r="L1515" s="43" t="inlineStr">
        <is>
          <t>1271</t>
        </is>
      </c>
      <c r="M1515" s="43" t="n">
        <v>1</v>
      </c>
      <c r="N1515" s="33" t="inlineStr"/>
      <c r="O1515" s="43" t="inlineStr">
        <is>
          <t>UNVERIFIED</t>
        </is>
      </c>
      <c r="P1515" s="43" t="inlineStr">
        <is>
          <t>Pending Review</t>
        </is>
      </c>
      <c r="Q1515" s="33" t="inlineStr">
        <is>
          <t>Confirmar SKU/PCBA revision, PN exacto en Common DB, WO, BU, vigencia, planta y aprobacion firmada.</t>
        </is>
      </c>
    </row>
    <row r="1516">
      <c r="A1516" s="43" t="inlineStr">
        <is>
          <t>CTANJZ05414</t>
        </is>
      </c>
      <c r="B1516" s="43" t="inlineStr">
        <is>
          <t>D613039</t>
        </is>
      </c>
      <c r="C1516" s="43" t="inlineStr">
        <is>
          <t>035-CVEBU</t>
        </is>
      </c>
      <c r="D1516" s="43" t="inlineStr">
        <is>
          <t>FJZP</t>
        </is>
      </c>
      <c r="E1516" s="43" t="inlineStr">
        <is>
          <t>MCGA</t>
        </is>
      </c>
      <c r="F1516" s="43" t="inlineStr">
        <is>
          <t>73-103459-02</t>
        </is>
      </c>
      <c r="G1516" s="43" t="inlineStr">
        <is>
          <t>BOARD_PN_CANDIDATE</t>
        </is>
      </c>
      <c r="H1516" s="43" t="inlineStr">
        <is>
          <t>HEIMDALL</t>
        </is>
      </c>
      <c r="I1516" s="43" t="inlineStr">
        <is>
          <t>FAI Status</t>
        </is>
      </c>
      <c r="J1516" s="32" t="n">
        <v>46324</v>
      </c>
      <c r="K1516" s="32" t="n">
        <v>46269</v>
      </c>
      <c r="L1516" s="43" t="inlineStr">
        <is>
          <t>1272</t>
        </is>
      </c>
      <c r="M1516" s="43" t="n">
        <v>1</v>
      </c>
      <c r="N1516" s="33" t="inlineStr"/>
      <c r="O1516" s="43" t="inlineStr">
        <is>
          <t>UNVERIFIED</t>
        </is>
      </c>
      <c r="P1516" s="43" t="inlineStr">
        <is>
          <t>Pending Review</t>
        </is>
      </c>
      <c r="Q1516" s="33" t="inlineStr">
        <is>
          <t>Confirmar SKU/PCBA revision, PN exacto en Common DB, WO, BU, vigencia, planta y aprobacion firmada.</t>
        </is>
      </c>
    </row>
    <row r="1517">
      <c r="A1517" s="43" t="inlineStr">
        <is>
          <t>CTANJZ05414</t>
        </is>
      </c>
      <c r="B1517" s="43" t="inlineStr">
        <is>
          <t>D613039</t>
        </is>
      </c>
      <c r="C1517" s="43" t="inlineStr">
        <is>
          <t>035-CVEBU</t>
        </is>
      </c>
      <c r="D1517" s="43" t="inlineStr">
        <is>
          <t>FJZP</t>
        </is>
      </c>
      <c r="E1517" s="43" t="inlineStr">
        <is>
          <t>MCGA</t>
        </is>
      </c>
      <c r="F1517" s="43" t="inlineStr">
        <is>
          <t>73-103758-04</t>
        </is>
      </c>
      <c r="G1517" s="43" t="inlineStr">
        <is>
          <t>BOARD_PN_CANDIDATE</t>
        </is>
      </c>
      <c r="H1517" s="43" t="inlineStr"/>
      <c r="I1517" s="43" t="inlineStr">
        <is>
          <t>FAI Status</t>
        </is>
      </c>
      <c r="J1517" s="32" t="n">
        <v>46324</v>
      </c>
      <c r="K1517" s="32" t="n">
        <v>46269</v>
      </c>
      <c r="L1517" s="43" t="inlineStr">
        <is>
          <t>1289</t>
        </is>
      </c>
      <c r="M1517" s="43" t="n">
        <v>1</v>
      </c>
      <c r="N1517" s="33" t="inlineStr"/>
      <c r="O1517" s="43" t="inlineStr">
        <is>
          <t>UNVERIFIED</t>
        </is>
      </c>
      <c r="P1517" s="43" t="inlineStr">
        <is>
          <t>Pending Review</t>
        </is>
      </c>
      <c r="Q1517" s="33" t="inlineStr">
        <is>
          <t>Confirmar SKU/PCBA revision, PN exacto en Common DB, WO, BU, vigencia, planta y aprobacion firmada.</t>
        </is>
      </c>
    </row>
    <row r="1518">
      <c r="A1518" s="43" t="inlineStr">
        <is>
          <t>CTANJZ05416</t>
        </is>
      </c>
      <c r="B1518" s="43" t="inlineStr">
        <is>
          <t>D612425</t>
        </is>
      </c>
      <c r="C1518" s="43" t="inlineStr">
        <is>
          <t>037-STBU</t>
        </is>
      </c>
      <c r="D1518" s="43" t="inlineStr">
        <is>
          <t>FJZP</t>
        </is>
      </c>
      <c r="E1518" s="43" t="inlineStr">
        <is>
          <t>MCGA</t>
        </is>
      </c>
      <c r="F1518" s="43" t="inlineStr">
        <is>
          <t>15-110890-01</t>
        </is>
      </c>
      <c r="G1518" s="43" t="inlineStr">
        <is>
          <t>OTHER_SCOPE_ITEM</t>
        </is>
      </c>
      <c r="H1518" s="43" t="inlineStr"/>
      <c r="I1518" s="43" t="inlineStr">
        <is>
          <t>FAI Status</t>
        </is>
      </c>
      <c r="J1518" s="32" t="n">
        <v>46329</v>
      </c>
      <c r="K1518" s="32" t="n">
        <v>46268</v>
      </c>
      <c r="L1518" s="43" t="inlineStr">
        <is>
          <t>275</t>
        </is>
      </c>
      <c r="M1518" s="43" t="n">
        <v>1</v>
      </c>
      <c r="N1518" s="33" t="inlineStr"/>
      <c r="O1518" s="43" t="inlineStr">
        <is>
          <t>UNVERIFIED</t>
        </is>
      </c>
      <c r="P1518" s="43" t="inlineStr">
        <is>
          <t>Pending Review</t>
        </is>
      </c>
      <c r="Q1518" s="33" t="inlineStr">
        <is>
          <t>Confirmar SKU/PCBA revision, PN exacto en Common DB, WO, BU, vigencia, planta y aprobacion firmada.</t>
        </is>
      </c>
    </row>
    <row r="1519">
      <c r="A1519" s="43" t="inlineStr">
        <is>
          <t>CTANJZ05416</t>
        </is>
      </c>
      <c r="B1519" s="43" t="inlineStr">
        <is>
          <t>D612425</t>
        </is>
      </c>
      <c r="C1519" s="43" t="inlineStr">
        <is>
          <t>037-STBU</t>
        </is>
      </c>
      <c r="D1519" s="43" t="inlineStr">
        <is>
          <t>FJZP</t>
        </is>
      </c>
      <c r="E1519" s="43" t="inlineStr">
        <is>
          <t>MCGA</t>
        </is>
      </c>
      <c r="F1519" s="43" t="inlineStr">
        <is>
          <t>74-134455-06</t>
        </is>
      </c>
      <c r="G1519" s="43" t="inlineStr">
        <is>
          <t>OTHER_SCOPE_ITEM</t>
        </is>
      </c>
      <c r="H1519" s="43" t="inlineStr"/>
      <c r="I1519" s="43" t="inlineStr">
        <is>
          <t>FAI Status</t>
        </is>
      </c>
      <c r="J1519" s="32" t="n">
        <v>46329</v>
      </c>
      <c r="K1519" s="32" t="n">
        <v>46268</v>
      </c>
      <c r="L1519" s="43" t="inlineStr">
        <is>
          <t>276</t>
        </is>
      </c>
      <c r="M1519" s="43" t="n">
        <v>1</v>
      </c>
      <c r="N1519" s="33" t="inlineStr"/>
      <c r="O1519" s="43" t="inlineStr">
        <is>
          <t>UNVERIFIED</t>
        </is>
      </c>
      <c r="P1519" s="43" t="inlineStr">
        <is>
          <t>Pending Review</t>
        </is>
      </c>
      <c r="Q1519" s="33" t="inlineStr">
        <is>
          <t>Confirmar SKU/PCBA revision, PN exacto en Common DB, WO, BU, vigencia, planta y aprobacion firmada.</t>
        </is>
      </c>
    </row>
    <row r="1520">
      <c r="A1520" s="43" t="inlineStr">
        <is>
          <t>CTANJZ05416</t>
        </is>
      </c>
      <c r="B1520" s="43" t="inlineStr">
        <is>
          <t>D612425</t>
        </is>
      </c>
      <c r="C1520" s="43" t="inlineStr">
        <is>
          <t>037-STBU</t>
        </is>
      </c>
      <c r="D1520" s="43" t="inlineStr">
        <is>
          <t>FJZP</t>
        </is>
      </c>
      <c r="E1520" s="43" t="inlineStr">
        <is>
          <t>MCGA</t>
        </is>
      </c>
      <c r="F1520" s="43" t="inlineStr">
        <is>
          <t>74-134456-06</t>
        </is>
      </c>
      <c r="G1520" s="43" t="inlineStr">
        <is>
          <t>OTHER_SCOPE_ITEM</t>
        </is>
      </c>
      <c r="H1520" s="43" t="inlineStr"/>
      <c r="I1520" s="43" t="inlineStr">
        <is>
          <t>FAI Status</t>
        </is>
      </c>
      <c r="J1520" s="32" t="n">
        <v>46329</v>
      </c>
      <c r="K1520" s="32" t="n">
        <v>46268</v>
      </c>
      <c r="L1520" s="43" t="inlineStr">
        <is>
          <t>277</t>
        </is>
      </c>
      <c r="M1520" s="43" t="n">
        <v>1</v>
      </c>
      <c r="N1520" s="33" t="inlineStr"/>
      <c r="O1520" s="43" t="inlineStr">
        <is>
          <t>UNVERIFIED</t>
        </is>
      </c>
      <c r="P1520" s="43" t="inlineStr">
        <is>
          <t>Pending Review</t>
        </is>
      </c>
      <c r="Q1520" s="33" t="inlineStr">
        <is>
          <t>Confirmar SKU/PCBA revision, PN exacto en Common DB, WO, BU, vigencia, planta y aprobacion firmada.</t>
        </is>
      </c>
    </row>
    <row r="1521">
      <c r="A1521" s="43" t="inlineStr">
        <is>
          <t>CTANJZ05417</t>
        </is>
      </c>
      <c r="B1521" s="43" t="inlineStr">
        <is>
          <t>D611851</t>
        </is>
      </c>
      <c r="C1521" s="43" t="inlineStr">
        <is>
          <t>239-CRBU</t>
        </is>
      </c>
      <c r="D1521" s="43" t="inlineStr">
        <is>
          <t>FJZP</t>
        </is>
      </c>
      <c r="E1521" s="43" t="inlineStr">
        <is>
          <t>MCGA</t>
        </is>
      </c>
      <c r="F1521" s="43" t="inlineStr">
        <is>
          <t>16-2242-02</t>
        </is>
      </c>
      <c r="G1521" s="43" t="inlineStr">
        <is>
          <t>OTHER_SCOPE_ITEM</t>
        </is>
      </c>
      <c r="H1521" s="43" t="inlineStr"/>
      <c r="I1521" s="43" t="inlineStr">
        <is>
          <t>Extended</t>
        </is>
      </c>
      <c r="J1521" s="32" t="n">
        <v>46420</v>
      </c>
      <c r="K1521" s="32" t="n">
        <v>46260</v>
      </c>
      <c r="L1521" s="43" t="inlineStr">
        <is>
          <t>92,278</t>
        </is>
      </c>
      <c r="M1521" s="43" t="n">
        <v>2</v>
      </c>
      <c r="N1521" s="33" t="inlineStr"/>
      <c r="O1521" s="43" t="inlineStr">
        <is>
          <t>UNVERIFIED</t>
        </is>
      </c>
      <c r="P1521" s="43" t="inlineStr">
        <is>
          <t>Pending Review</t>
        </is>
      </c>
      <c r="Q1521" s="33" t="inlineStr">
        <is>
          <t>Confirmar SKU/PCBA revision, PN exacto en Common DB, WO, BU, vigencia, planta y aprobacion firmada.</t>
        </is>
      </c>
    </row>
    <row r="1522">
      <c r="A1522" s="43" t="inlineStr">
        <is>
          <t>CTANJZ05417</t>
        </is>
      </c>
      <c r="B1522" s="43" t="inlineStr">
        <is>
          <t>D611851</t>
        </is>
      </c>
      <c r="C1522" s="43" t="inlineStr">
        <is>
          <t>239-CRBU</t>
        </is>
      </c>
      <c r="D1522" s="43" t="inlineStr">
        <is>
          <t>FJZP</t>
        </is>
      </c>
      <c r="E1522" s="43" t="inlineStr">
        <is>
          <t>MCGA</t>
        </is>
      </c>
      <c r="F1522" s="43" t="inlineStr">
        <is>
          <t>73-102363-05</t>
        </is>
      </c>
      <c r="G1522" s="43" t="inlineStr">
        <is>
          <t>BOARD_PN_CANDIDATE</t>
        </is>
      </c>
      <c r="H1522" s="43" t="inlineStr"/>
      <c r="I1522" s="43" t="inlineStr">
        <is>
          <t>Extended</t>
        </is>
      </c>
      <c r="J1522" s="32" t="n">
        <v>46420</v>
      </c>
      <c r="K1522" s="32" t="n">
        <v>46260</v>
      </c>
      <c r="L1522" s="43" t="inlineStr">
        <is>
          <t>93,279</t>
        </is>
      </c>
      <c r="M1522" s="43" t="n">
        <v>2</v>
      </c>
      <c r="N1522" s="33" t="inlineStr"/>
      <c r="O1522" s="43" t="inlineStr">
        <is>
          <t>UNVERIFIED</t>
        </is>
      </c>
      <c r="P1522" s="43" t="inlineStr">
        <is>
          <t>Pending Review</t>
        </is>
      </c>
      <c r="Q1522" s="33" t="inlineStr">
        <is>
          <t>Confirmar SKU/PCBA revision, PN exacto en Common DB, WO, BU, vigencia, planta y aprobacion firmada.</t>
        </is>
      </c>
    </row>
    <row r="1523">
      <c r="A1523" s="43" t="inlineStr">
        <is>
          <t>CTANJZ05419</t>
        </is>
      </c>
      <c r="B1523" s="43" t="inlineStr">
        <is>
          <t>D612975</t>
        </is>
      </c>
      <c r="C1523" s="43" t="inlineStr">
        <is>
          <t>037-STBU</t>
        </is>
      </c>
      <c r="D1523" s="43" t="inlineStr">
        <is>
          <t>FJZP</t>
        </is>
      </c>
      <c r="E1523" s="43" t="inlineStr">
        <is>
          <t>MCGA</t>
        </is>
      </c>
      <c r="F1523" s="43" t="inlineStr">
        <is>
          <t>73-102433-06</t>
        </is>
      </c>
      <c r="G1523" s="43" t="inlineStr">
        <is>
          <t>BOARD_PN_CANDIDATE</t>
        </is>
      </c>
      <c r="H1523" s="43" t="inlineStr"/>
      <c r="I1523" s="43" t="inlineStr">
        <is>
          <t>FAI Status</t>
        </is>
      </c>
      <c r="J1523" s="32" t="n">
        <v>46330</v>
      </c>
      <c r="K1523" s="32" t="n">
        <v>46268</v>
      </c>
      <c r="L1523" s="43" t="inlineStr">
        <is>
          <t>1865</t>
        </is>
      </c>
      <c r="M1523" s="43" t="n">
        <v>1</v>
      </c>
      <c r="N1523" s="33" t="inlineStr"/>
      <c r="O1523" s="43" t="inlineStr">
        <is>
          <t>UNVERIFIED</t>
        </is>
      </c>
      <c r="P1523" s="43" t="inlineStr">
        <is>
          <t>Pending Review</t>
        </is>
      </c>
      <c r="Q1523" s="33" t="inlineStr">
        <is>
          <t>Confirmar SKU/PCBA revision, PN exacto en Common DB, WO, BU, vigencia, planta y aprobacion firmada.</t>
        </is>
      </c>
    </row>
    <row r="1524">
      <c r="A1524" s="43" t="inlineStr">
        <is>
          <t>CTANJZ05419</t>
        </is>
      </c>
      <c r="B1524" s="43" t="inlineStr">
        <is>
          <t>D612975</t>
        </is>
      </c>
      <c r="C1524" s="43" t="inlineStr">
        <is>
          <t>037-STBU</t>
        </is>
      </c>
      <c r="D1524" s="43" t="inlineStr">
        <is>
          <t>FJZP</t>
        </is>
      </c>
      <c r="E1524" s="43" t="inlineStr">
        <is>
          <t>MCGA</t>
        </is>
      </c>
      <c r="F1524" s="43" t="inlineStr">
        <is>
          <t>73-102434-06</t>
        </is>
      </c>
      <c r="G1524" s="43" t="inlineStr">
        <is>
          <t>BOARD_PN_CANDIDATE</t>
        </is>
      </c>
      <c r="H1524" s="43" t="inlineStr"/>
      <c r="I1524" s="43" t="inlineStr">
        <is>
          <t>FAI Status</t>
        </is>
      </c>
      <c r="J1524" s="32" t="n">
        <v>46330</v>
      </c>
      <c r="K1524" s="32" t="n">
        <v>46268</v>
      </c>
      <c r="L1524" s="43" t="inlineStr">
        <is>
          <t>1866</t>
        </is>
      </c>
      <c r="M1524" s="43" t="n">
        <v>1</v>
      </c>
      <c r="N1524" s="33" t="inlineStr"/>
      <c r="O1524" s="43" t="inlineStr">
        <is>
          <t>UNVERIFIED</t>
        </is>
      </c>
      <c r="P1524" s="43" t="inlineStr">
        <is>
          <t>Pending Review</t>
        </is>
      </c>
      <c r="Q1524" s="33" t="inlineStr">
        <is>
          <t>Confirmar SKU/PCBA revision, PN exacto en Common DB, WO, BU, vigencia, planta y aprobacion firmada.</t>
        </is>
      </c>
    </row>
    <row r="1525">
      <c r="A1525" s="43" t="inlineStr">
        <is>
          <t>CTANJZ05419</t>
        </is>
      </c>
      <c r="B1525" s="43" t="inlineStr">
        <is>
          <t>D612975</t>
        </is>
      </c>
      <c r="C1525" s="43" t="inlineStr">
        <is>
          <t>037-STBU</t>
        </is>
      </c>
      <c r="D1525" s="43" t="inlineStr">
        <is>
          <t>FJZP</t>
        </is>
      </c>
      <c r="E1525" s="43" t="inlineStr">
        <is>
          <t>MCGA</t>
        </is>
      </c>
      <c r="F1525" s="43" t="inlineStr">
        <is>
          <t>73-102435-06</t>
        </is>
      </c>
      <c r="G1525" s="43" t="inlineStr">
        <is>
          <t>BOARD_PN_CANDIDATE</t>
        </is>
      </c>
      <c r="H1525" s="43" t="inlineStr"/>
      <c r="I1525" s="43" t="inlineStr">
        <is>
          <t>FAI Status</t>
        </is>
      </c>
      <c r="J1525" s="32" t="n">
        <v>46330</v>
      </c>
      <c r="K1525" s="32" t="n">
        <v>46268</v>
      </c>
      <c r="L1525" s="43" t="inlineStr">
        <is>
          <t>1867</t>
        </is>
      </c>
      <c r="M1525" s="43" t="n">
        <v>1</v>
      </c>
      <c r="N1525" s="33" t="inlineStr"/>
      <c r="O1525" s="43" t="inlineStr">
        <is>
          <t>UNVERIFIED</t>
        </is>
      </c>
      <c r="P1525" s="43" t="inlineStr">
        <is>
          <t>Pending Review</t>
        </is>
      </c>
      <c r="Q1525" s="33" t="inlineStr">
        <is>
          <t>Confirmar SKU/PCBA revision, PN exacto en Common DB, WO, BU, vigencia, planta y aprobacion firmada.</t>
        </is>
      </c>
    </row>
    <row r="1526">
      <c r="A1526" s="43" t="inlineStr">
        <is>
          <t>CTANJZ05419</t>
        </is>
      </c>
      <c r="B1526" s="43" t="inlineStr">
        <is>
          <t>D612975</t>
        </is>
      </c>
      <c r="C1526" s="43" t="inlineStr">
        <is>
          <t>037-STBU</t>
        </is>
      </c>
      <c r="D1526" s="43" t="inlineStr">
        <is>
          <t>FJZP</t>
        </is>
      </c>
      <c r="E1526" s="43" t="inlineStr">
        <is>
          <t>MCGA</t>
        </is>
      </c>
      <c r="F1526" s="43" t="inlineStr">
        <is>
          <t>800-109498-07</t>
        </is>
      </c>
      <c r="G1526" s="43" t="inlineStr">
        <is>
          <t>OTHER_SCOPE_ITEM</t>
        </is>
      </c>
      <c r="H1526" s="43" t="inlineStr"/>
      <c r="I1526" s="43" t="inlineStr">
        <is>
          <t>FAI Status</t>
        </is>
      </c>
      <c r="J1526" s="32" t="n">
        <v>46330</v>
      </c>
      <c r="K1526" s="32" t="n">
        <v>46268</v>
      </c>
      <c r="L1526" s="43" t="inlineStr">
        <is>
          <t>1868</t>
        </is>
      </c>
      <c r="M1526" s="43" t="n">
        <v>1</v>
      </c>
      <c r="N1526" s="33" t="inlineStr"/>
      <c r="O1526" s="43" t="inlineStr">
        <is>
          <t>UNVERIFIED</t>
        </is>
      </c>
      <c r="P1526" s="43" t="inlineStr">
        <is>
          <t>Pending Review</t>
        </is>
      </c>
      <c r="Q1526" s="33" t="inlineStr">
        <is>
          <t>Confirmar SKU/PCBA revision, PN exacto en Common DB, WO, BU, vigencia, planta y aprobacion firmada.</t>
        </is>
      </c>
    </row>
    <row r="1527">
      <c r="A1527" s="43" t="inlineStr">
        <is>
          <t>CTANJZ05419</t>
        </is>
      </c>
      <c r="B1527" s="43" t="inlineStr">
        <is>
          <t>D612975</t>
        </is>
      </c>
      <c r="C1527" s="43" t="inlineStr">
        <is>
          <t>037-STBU</t>
        </is>
      </c>
      <c r="D1527" s="43" t="inlineStr">
        <is>
          <t>FJZP</t>
        </is>
      </c>
      <c r="E1527" s="43" t="inlineStr">
        <is>
          <t>MCGA</t>
        </is>
      </c>
      <c r="F1527" s="43" t="inlineStr">
        <is>
          <t>800-109499-07</t>
        </is>
      </c>
      <c r="G1527" s="43" t="inlineStr">
        <is>
          <t>OTHER_SCOPE_ITEM</t>
        </is>
      </c>
      <c r="H1527" s="43" t="inlineStr"/>
      <c r="I1527" s="43" t="inlineStr">
        <is>
          <t>FAI Status</t>
        </is>
      </c>
      <c r="J1527" s="32" t="n">
        <v>46330</v>
      </c>
      <c r="K1527" s="32" t="n">
        <v>46268</v>
      </c>
      <c r="L1527" s="43" t="inlineStr">
        <is>
          <t>1869</t>
        </is>
      </c>
      <c r="M1527" s="43" t="n">
        <v>1</v>
      </c>
      <c r="N1527" s="33" t="inlineStr"/>
      <c r="O1527" s="43" t="inlineStr">
        <is>
          <t>UNVERIFIED</t>
        </is>
      </c>
      <c r="P1527" s="43" t="inlineStr">
        <is>
          <t>Pending Review</t>
        </is>
      </c>
      <c r="Q1527" s="33" t="inlineStr">
        <is>
          <t>Confirmar SKU/PCBA revision, PN exacto en Common DB, WO, BU, vigencia, planta y aprobacion firmada.</t>
        </is>
      </c>
    </row>
    <row r="1528">
      <c r="A1528" s="43" t="inlineStr">
        <is>
          <t>CTANJZ05419</t>
        </is>
      </c>
      <c r="B1528" s="43" t="inlineStr">
        <is>
          <t>D612975</t>
        </is>
      </c>
      <c r="C1528" s="43" t="inlineStr">
        <is>
          <t>037-STBU</t>
        </is>
      </c>
      <c r="D1528" s="43" t="inlineStr">
        <is>
          <t>FJZP</t>
        </is>
      </c>
      <c r="E1528" s="43" t="inlineStr">
        <is>
          <t>MCGA</t>
        </is>
      </c>
      <c r="F1528" s="43" t="inlineStr">
        <is>
          <t>800-109500-07</t>
        </is>
      </c>
      <c r="G1528" s="43" t="inlineStr">
        <is>
          <t>OTHER_SCOPE_ITEM</t>
        </is>
      </c>
      <c r="H1528" s="43" t="inlineStr"/>
      <c r="I1528" s="43" t="inlineStr">
        <is>
          <t>FAI Status</t>
        </is>
      </c>
      <c r="J1528" s="32" t="n">
        <v>46330</v>
      </c>
      <c r="K1528" s="32" t="n">
        <v>46268</v>
      </c>
      <c r="L1528" s="43" t="inlineStr">
        <is>
          <t>1870</t>
        </is>
      </c>
      <c r="M1528" s="43" t="n">
        <v>1</v>
      </c>
      <c r="N1528" s="33" t="inlineStr"/>
      <c r="O1528" s="43" t="inlineStr">
        <is>
          <t>UNVERIFIED</t>
        </is>
      </c>
      <c r="P1528" s="43" t="inlineStr">
        <is>
          <t>Pending Review</t>
        </is>
      </c>
      <c r="Q1528" s="33" t="inlineStr">
        <is>
          <t>Confirmar SKU/PCBA revision, PN exacto en Common DB, WO, BU, vigencia, planta y aprobacion firmada.</t>
        </is>
      </c>
    </row>
    <row r="1529">
      <c r="A1529" s="43" t="inlineStr">
        <is>
          <t>CTANJZ05422</t>
        </is>
      </c>
      <c r="B1529" s="43" t="inlineStr">
        <is>
          <t>D613228</t>
        </is>
      </c>
      <c r="C1529" s="43" t="inlineStr">
        <is>
          <t>018-SRGBU</t>
        </is>
      </c>
      <c r="D1529" s="43" t="inlineStr">
        <is>
          <t>FJZP</t>
        </is>
      </c>
      <c r="E1529" s="43" t="inlineStr">
        <is>
          <t>MCGA</t>
        </is>
      </c>
      <c r="F1529" s="43" t="inlineStr">
        <is>
          <t>17-15632-01</t>
        </is>
      </c>
      <c r="G1529" s="43" t="inlineStr">
        <is>
          <t>OTHER_SCOPE_ITEM</t>
        </is>
      </c>
      <c r="H1529" s="43" t="inlineStr"/>
      <c r="I1529" s="43" t="inlineStr">
        <is>
          <t>FAI Status</t>
        </is>
      </c>
      <c r="J1529" s="32" t="n">
        <v>46334</v>
      </c>
      <c r="K1529" s="32" t="n">
        <v>46263</v>
      </c>
      <c r="L1529" s="43" t="inlineStr">
        <is>
          <t>1294</t>
        </is>
      </c>
      <c r="M1529" s="43" t="n">
        <v>1</v>
      </c>
      <c r="N1529" s="33" t="inlineStr"/>
      <c r="O1529" s="43" t="inlineStr">
        <is>
          <t>UNVERIFIED</t>
        </is>
      </c>
      <c r="P1529" s="43" t="inlineStr">
        <is>
          <t>Pending Review</t>
        </is>
      </c>
      <c r="Q1529" s="33" t="inlineStr">
        <is>
          <t>Confirmar SKU/PCBA revision, PN exacto en Common DB, WO, BU, vigencia, planta y aprobacion firmada.</t>
        </is>
      </c>
    </row>
    <row r="1530">
      <c r="A1530" s="43" t="inlineStr">
        <is>
          <t>CTANJZ05422</t>
        </is>
      </c>
      <c r="B1530" s="43" t="inlineStr">
        <is>
          <t>D613228</t>
        </is>
      </c>
      <c r="C1530" s="43" t="inlineStr">
        <is>
          <t>018-SRGBU</t>
        </is>
      </c>
      <c r="D1530" s="43" t="inlineStr">
        <is>
          <t>FJZP</t>
        </is>
      </c>
      <c r="E1530" s="43" t="inlineStr">
        <is>
          <t>MCGA</t>
        </is>
      </c>
      <c r="F1530" s="43" t="inlineStr">
        <is>
          <t>17-15632-02</t>
        </is>
      </c>
      <c r="G1530" s="43" t="inlineStr">
        <is>
          <t>OTHER_SCOPE_ITEM</t>
        </is>
      </c>
      <c r="H1530" s="43" t="inlineStr"/>
      <c r="I1530" s="43" t="inlineStr">
        <is>
          <t>FAI Status</t>
        </is>
      </c>
      <c r="J1530" s="32" t="n">
        <v>46334</v>
      </c>
      <c r="K1530" s="32" t="n">
        <v>46263</v>
      </c>
      <c r="L1530" s="43" t="inlineStr">
        <is>
          <t>1295</t>
        </is>
      </c>
      <c r="M1530" s="43" t="n">
        <v>1</v>
      </c>
      <c r="N1530" s="33" t="inlineStr"/>
      <c r="O1530" s="43" t="inlineStr">
        <is>
          <t>UNVERIFIED</t>
        </is>
      </c>
      <c r="P1530" s="43" t="inlineStr">
        <is>
          <t>Pending Review</t>
        </is>
      </c>
      <c r="Q1530" s="33" t="inlineStr">
        <is>
          <t>Confirmar SKU/PCBA revision, PN exacto en Common DB, WO, BU, vigencia, planta y aprobacion firmada.</t>
        </is>
      </c>
    </row>
    <row r="1531">
      <c r="A1531" s="43" t="inlineStr">
        <is>
          <t>CTANJZ05422</t>
        </is>
      </c>
      <c r="B1531" s="43" t="inlineStr">
        <is>
          <t>D613228</t>
        </is>
      </c>
      <c r="C1531" s="43" t="inlineStr">
        <is>
          <t>018-SRGBU</t>
        </is>
      </c>
      <c r="D1531" s="43" t="inlineStr">
        <is>
          <t>FJZP</t>
        </is>
      </c>
      <c r="E1531" s="43" t="inlineStr">
        <is>
          <t>MCGA</t>
        </is>
      </c>
      <c r="F1531" s="43" t="inlineStr">
        <is>
          <t>74-122742-01</t>
        </is>
      </c>
      <c r="G1531" s="43" t="inlineStr">
        <is>
          <t>OTHER_SCOPE_ITEM</t>
        </is>
      </c>
      <c r="H1531" s="43" t="inlineStr"/>
      <c r="I1531" s="43" t="inlineStr">
        <is>
          <t>FAI Status</t>
        </is>
      </c>
      <c r="J1531" s="32" t="n">
        <v>46334</v>
      </c>
      <c r="K1531" s="32" t="n">
        <v>46263</v>
      </c>
      <c r="L1531" s="43" t="inlineStr">
        <is>
          <t>1303</t>
        </is>
      </c>
      <c r="M1531" s="43" t="n">
        <v>1</v>
      </c>
      <c r="N1531" s="33" t="inlineStr"/>
      <c r="O1531" s="43" t="inlineStr">
        <is>
          <t>UNVERIFIED</t>
        </is>
      </c>
      <c r="P1531" s="43" t="inlineStr">
        <is>
          <t>Pending Review</t>
        </is>
      </c>
      <c r="Q1531" s="33" t="inlineStr">
        <is>
          <t>Confirmar SKU/PCBA revision, PN exacto en Common DB, WO, BU, vigencia, planta y aprobacion firmada.</t>
        </is>
      </c>
    </row>
    <row r="1532">
      <c r="A1532" s="43" t="inlineStr">
        <is>
          <t>CTANJZ05422</t>
        </is>
      </c>
      <c r="B1532" s="43" t="inlineStr">
        <is>
          <t>D613228</t>
        </is>
      </c>
      <c r="C1532" s="43" t="inlineStr">
        <is>
          <t>018-SRGBU</t>
        </is>
      </c>
      <c r="D1532" s="43" t="inlineStr">
        <is>
          <t>FJZP</t>
        </is>
      </c>
      <c r="E1532" s="43" t="inlineStr">
        <is>
          <t>MCGA</t>
        </is>
      </c>
      <c r="F1532" s="43" t="inlineStr">
        <is>
          <t>74-122743-01</t>
        </is>
      </c>
      <c r="G1532" s="43" t="inlineStr">
        <is>
          <t>OTHER_SCOPE_ITEM</t>
        </is>
      </c>
      <c r="H1532" s="43" t="inlineStr"/>
      <c r="I1532" s="43" t="inlineStr">
        <is>
          <t>FAI Status</t>
        </is>
      </c>
      <c r="J1532" s="32" t="n">
        <v>46334</v>
      </c>
      <c r="K1532" s="32" t="n">
        <v>46263</v>
      </c>
      <c r="L1532" s="43" t="inlineStr">
        <is>
          <t>1304</t>
        </is>
      </c>
      <c r="M1532" s="43" t="n">
        <v>1</v>
      </c>
      <c r="N1532" s="33" t="inlineStr"/>
      <c r="O1532" s="43" t="inlineStr">
        <is>
          <t>UNVERIFIED</t>
        </is>
      </c>
      <c r="P1532" s="43" t="inlineStr">
        <is>
          <t>Pending Review</t>
        </is>
      </c>
      <c r="Q1532" s="33" t="inlineStr">
        <is>
          <t>Confirmar SKU/PCBA revision, PN exacto en Common DB, WO, BU, vigencia, planta y aprobacion firmada.</t>
        </is>
      </c>
    </row>
    <row r="1533">
      <c r="A1533" s="43" t="inlineStr">
        <is>
          <t>CTANJZ05422</t>
        </is>
      </c>
      <c r="B1533" s="43" t="inlineStr">
        <is>
          <t>D613228</t>
        </is>
      </c>
      <c r="C1533" s="43" t="inlineStr">
        <is>
          <t>018-SRGBU</t>
        </is>
      </c>
      <c r="D1533" s="43" t="inlineStr">
        <is>
          <t>FJZP</t>
        </is>
      </c>
      <c r="E1533" s="43" t="inlineStr">
        <is>
          <t>MCGA</t>
        </is>
      </c>
      <c r="F1533" s="43" t="inlineStr">
        <is>
          <t>74-122744-01</t>
        </is>
      </c>
      <c r="G1533" s="43" t="inlineStr">
        <is>
          <t>OTHER_SCOPE_ITEM</t>
        </is>
      </c>
      <c r="H1533" s="43" t="inlineStr"/>
      <c r="I1533" s="43" t="inlineStr">
        <is>
          <t>FAI Status</t>
        </is>
      </c>
      <c r="J1533" s="32" t="n">
        <v>46334</v>
      </c>
      <c r="K1533" s="32" t="n">
        <v>46263</v>
      </c>
      <c r="L1533" s="43" t="inlineStr">
        <is>
          <t>1305</t>
        </is>
      </c>
      <c r="M1533" s="43" t="n">
        <v>1</v>
      </c>
      <c r="N1533" s="33" t="inlineStr"/>
      <c r="O1533" s="43" t="inlineStr">
        <is>
          <t>UNVERIFIED</t>
        </is>
      </c>
      <c r="P1533" s="43" t="inlineStr">
        <is>
          <t>Pending Review</t>
        </is>
      </c>
      <c r="Q1533" s="33" t="inlineStr">
        <is>
          <t>Confirmar SKU/PCBA revision, PN exacto en Common DB, WO, BU, vigencia, planta y aprobacion firmada.</t>
        </is>
      </c>
    </row>
    <row r="1534">
      <c r="A1534" s="43" t="inlineStr">
        <is>
          <t>CTANJZ05422</t>
        </is>
      </c>
      <c r="B1534" s="43" t="inlineStr">
        <is>
          <t>D613228</t>
        </is>
      </c>
      <c r="C1534" s="43" t="inlineStr">
        <is>
          <t>018-SRGBU</t>
        </is>
      </c>
      <c r="D1534" s="43" t="inlineStr">
        <is>
          <t>FJZP</t>
        </is>
      </c>
      <c r="E1534" s="43" t="inlineStr">
        <is>
          <t>MCGA</t>
        </is>
      </c>
      <c r="F1534" s="43" t="inlineStr">
        <is>
          <t>74-122859-01</t>
        </is>
      </c>
      <c r="G1534" s="43" t="inlineStr">
        <is>
          <t>OTHER_SCOPE_ITEM</t>
        </is>
      </c>
      <c r="H1534" s="43" t="inlineStr"/>
      <c r="I1534" s="43" t="inlineStr">
        <is>
          <t>FAI Status</t>
        </is>
      </c>
      <c r="J1534" s="32" t="n">
        <v>46334</v>
      </c>
      <c r="K1534" s="32" t="n">
        <v>46263</v>
      </c>
      <c r="L1534" s="43" t="inlineStr">
        <is>
          <t>1306</t>
        </is>
      </c>
      <c r="M1534" s="43" t="n">
        <v>1</v>
      </c>
      <c r="N1534" s="33" t="inlineStr"/>
      <c r="O1534" s="43" t="inlineStr">
        <is>
          <t>UNVERIFIED</t>
        </is>
      </c>
      <c r="P1534" s="43" t="inlineStr">
        <is>
          <t>Pending Review</t>
        </is>
      </c>
      <c r="Q1534" s="33" t="inlineStr">
        <is>
          <t>Confirmar SKU/PCBA revision, PN exacto en Common DB, WO, BU, vigencia, planta y aprobacion firmada.</t>
        </is>
      </c>
    </row>
    <row r="1535">
      <c r="A1535" s="43" t="inlineStr">
        <is>
          <t>CTANJZ05422</t>
        </is>
      </c>
      <c r="B1535" s="43" t="inlineStr">
        <is>
          <t>D613228</t>
        </is>
      </c>
      <c r="C1535" s="43" t="inlineStr">
        <is>
          <t>018-SRGBU</t>
        </is>
      </c>
      <c r="D1535" s="43" t="inlineStr">
        <is>
          <t>FJZP</t>
        </is>
      </c>
      <c r="E1535" s="43" t="inlineStr">
        <is>
          <t>MCGA</t>
        </is>
      </c>
      <c r="F1535" s="43" t="inlineStr">
        <is>
          <t>74-123836-01</t>
        </is>
      </c>
      <c r="G1535" s="43" t="inlineStr">
        <is>
          <t>OTHER_SCOPE_ITEM</t>
        </is>
      </c>
      <c r="H1535" s="43" t="inlineStr"/>
      <c r="I1535" s="43" t="inlineStr">
        <is>
          <t>FAI Status</t>
        </is>
      </c>
      <c r="J1535" s="32" t="n">
        <v>46334</v>
      </c>
      <c r="K1535" s="32" t="n">
        <v>46263</v>
      </c>
      <c r="L1535" s="43" t="inlineStr">
        <is>
          <t>1307</t>
        </is>
      </c>
      <c r="M1535" s="43" t="n">
        <v>1</v>
      </c>
      <c r="N1535" s="33" t="inlineStr"/>
      <c r="O1535" s="43" t="inlineStr">
        <is>
          <t>UNVERIFIED</t>
        </is>
      </c>
      <c r="P1535" s="43" t="inlineStr">
        <is>
          <t>Pending Review</t>
        </is>
      </c>
      <c r="Q1535" s="33" t="inlineStr">
        <is>
          <t>Confirmar SKU/PCBA revision, PN exacto en Common DB, WO, BU, vigencia, planta y aprobacion firmada.</t>
        </is>
      </c>
    </row>
    <row r="1536">
      <c r="A1536" s="43" t="inlineStr">
        <is>
          <t>CTANJZ05422</t>
        </is>
      </c>
      <c r="B1536" s="43" t="inlineStr">
        <is>
          <t>D613228</t>
        </is>
      </c>
      <c r="C1536" s="43" t="inlineStr">
        <is>
          <t>018-SRGBU</t>
        </is>
      </c>
      <c r="D1536" s="43" t="inlineStr">
        <is>
          <t>FJZP</t>
        </is>
      </c>
      <c r="E1536" s="43" t="inlineStr">
        <is>
          <t>MCGA</t>
        </is>
      </c>
      <c r="F1536" s="43" t="inlineStr">
        <is>
          <t>74-123837-01</t>
        </is>
      </c>
      <c r="G1536" s="43" t="inlineStr">
        <is>
          <t>OTHER_SCOPE_ITEM</t>
        </is>
      </c>
      <c r="H1536" s="43" t="inlineStr"/>
      <c r="I1536" s="43" t="inlineStr">
        <is>
          <t>FAI Status</t>
        </is>
      </c>
      <c r="J1536" s="32" t="n">
        <v>46334</v>
      </c>
      <c r="K1536" s="32" t="n">
        <v>46263</v>
      </c>
      <c r="L1536" s="43" t="inlineStr">
        <is>
          <t>1308</t>
        </is>
      </c>
      <c r="M1536" s="43" t="n">
        <v>1</v>
      </c>
      <c r="N1536" s="33" t="inlineStr"/>
      <c r="O1536" s="43" t="inlineStr">
        <is>
          <t>UNVERIFIED</t>
        </is>
      </c>
      <c r="P1536" s="43" t="inlineStr">
        <is>
          <t>Pending Review</t>
        </is>
      </c>
      <c r="Q1536" s="33" t="inlineStr">
        <is>
          <t>Confirmar SKU/PCBA revision, PN exacto en Common DB, WO, BU, vigencia, planta y aprobacion firmada.</t>
        </is>
      </c>
    </row>
    <row r="1537">
      <c r="A1537" s="43" t="inlineStr">
        <is>
          <t>CTANJZ05424</t>
        </is>
      </c>
      <c r="B1537" s="43" t="inlineStr">
        <is>
          <t>D613355</t>
        </is>
      </c>
      <c r="C1537" s="43" t="inlineStr">
        <is>
          <t>035-CVEBU</t>
        </is>
      </c>
      <c r="D1537" s="43" t="inlineStr">
        <is>
          <t>FJZP</t>
        </is>
      </c>
      <c r="E1537" s="43" t="inlineStr">
        <is>
          <t>MCGA</t>
        </is>
      </c>
      <c r="F1537" s="43" t="inlineStr">
        <is>
          <t>73-102226-06</t>
        </is>
      </c>
      <c r="G1537" s="43" t="inlineStr">
        <is>
          <t>BOARD_PN_CANDIDATE</t>
        </is>
      </c>
      <c r="H1537" s="43" t="inlineStr">
        <is>
          <t>MILLENIUM</t>
        </is>
      </c>
      <c r="I1537" s="43" t="inlineStr">
        <is>
          <t>FAI Status</t>
        </is>
      </c>
      <c r="J1537" s="32" t="n">
        <v>46335</v>
      </c>
      <c r="K1537" s="32" t="n">
        <v>46287</v>
      </c>
      <c r="L1537" s="43" t="inlineStr">
        <is>
          <t>1290</t>
        </is>
      </c>
      <c r="M1537" s="43" t="n">
        <v>1</v>
      </c>
      <c r="N1537" s="33" t="inlineStr"/>
      <c r="O1537" s="43" t="inlineStr">
        <is>
          <t>UNVERIFIED</t>
        </is>
      </c>
      <c r="P1537" s="43" t="inlineStr">
        <is>
          <t>Pending Review</t>
        </is>
      </c>
      <c r="Q1537" s="33" t="inlineStr">
        <is>
          <t>Confirmar SKU/PCBA revision, PN exacto en Common DB, WO, BU, vigencia, planta y aprobacion firmada.</t>
        </is>
      </c>
    </row>
    <row r="1538">
      <c r="A1538" s="43" t="inlineStr">
        <is>
          <t>CTANJZ05424</t>
        </is>
      </c>
      <c r="B1538" s="43" t="inlineStr">
        <is>
          <t>D613355</t>
        </is>
      </c>
      <c r="C1538" s="43" t="inlineStr">
        <is>
          <t>035-CVEBU</t>
        </is>
      </c>
      <c r="D1538" s="43" t="inlineStr">
        <is>
          <t>FJZP</t>
        </is>
      </c>
      <c r="E1538" s="43" t="inlineStr">
        <is>
          <t>MCGA</t>
        </is>
      </c>
      <c r="F1538" s="43" t="inlineStr">
        <is>
          <t>73-103226-06</t>
        </is>
      </c>
      <c r="G1538" s="43" t="inlineStr">
        <is>
          <t>BOARD_PN_CANDIDATE</t>
        </is>
      </c>
      <c r="H1538" s="43" t="inlineStr"/>
      <c r="I1538" s="43" t="inlineStr">
        <is>
          <t>FAI Status</t>
        </is>
      </c>
      <c r="J1538" s="32" t="n">
        <v>46335</v>
      </c>
      <c r="K1538" s="32" t="n">
        <v>46287</v>
      </c>
      <c r="L1538" s="43" t="inlineStr">
        <is>
          <t>1291</t>
        </is>
      </c>
      <c r="M1538" s="43" t="n">
        <v>1</v>
      </c>
      <c r="N1538" s="33" t="inlineStr"/>
      <c r="O1538" s="43" t="inlineStr">
        <is>
          <t>UNVERIFIED</t>
        </is>
      </c>
      <c r="P1538" s="43" t="inlineStr">
        <is>
          <t>Pending Review</t>
        </is>
      </c>
      <c r="Q1538" s="33" t="inlineStr">
        <is>
          <t>Confirmar SKU/PCBA revision, PN exacto en Common DB, WO, BU, vigencia, planta y aprobacion firmada.</t>
        </is>
      </c>
    </row>
    <row r="1539">
      <c r="A1539" s="43" t="inlineStr">
        <is>
          <t>CTANJZ05424</t>
        </is>
      </c>
      <c r="B1539" s="43" t="inlineStr">
        <is>
          <t>D613355</t>
        </is>
      </c>
      <c r="C1539" s="43" t="inlineStr">
        <is>
          <t>035-CVEBU</t>
        </is>
      </c>
      <c r="D1539" s="43" t="inlineStr">
        <is>
          <t>FJZP</t>
        </is>
      </c>
      <c r="E1539" s="43" t="inlineStr">
        <is>
          <t>MCGA</t>
        </is>
      </c>
      <c r="F1539" s="43" t="inlineStr">
        <is>
          <t>800-110045-01</t>
        </is>
      </c>
      <c r="G1539" s="43" t="inlineStr">
        <is>
          <t>OTHER_SCOPE_ITEM</t>
        </is>
      </c>
      <c r="H1539" s="43" t="inlineStr"/>
      <c r="I1539" s="43" t="inlineStr">
        <is>
          <t>FAI Status</t>
        </is>
      </c>
      <c r="J1539" s="32" t="n">
        <v>46335</v>
      </c>
      <c r="K1539" s="32" t="n">
        <v>46287</v>
      </c>
      <c r="L1539" s="43" t="inlineStr">
        <is>
          <t>1292</t>
        </is>
      </c>
      <c r="M1539" s="43" t="n">
        <v>1</v>
      </c>
      <c r="N1539" s="33" t="inlineStr"/>
      <c r="O1539" s="43" t="inlineStr">
        <is>
          <t>UNVERIFIED</t>
        </is>
      </c>
      <c r="P1539" s="43" t="inlineStr">
        <is>
          <t>Pending Review</t>
        </is>
      </c>
      <c r="Q1539" s="33" t="inlineStr">
        <is>
          <t>Confirmar SKU/PCBA revision, PN exacto en Common DB, WO, BU, vigencia, planta y aprobacion firmada.</t>
        </is>
      </c>
    </row>
    <row r="1540">
      <c r="A1540" s="43" t="inlineStr">
        <is>
          <t>CTANJZ05424</t>
        </is>
      </c>
      <c r="B1540" s="43" t="inlineStr">
        <is>
          <t>D613355</t>
        </is>
      </c>
      <c r="C1540" s="43" t="inlineStr">
        <is>
          <t>035-CVEBU</t>
        </is>
      </c>
      <c r="D1540" s="43" t="inlineStr">
        <is>
          <t>FJZP</t>
        </is>
      </c>
      <c r="E1540" s="43" t="inlineStr">
        <is>
          <t>MCGA</t>
        </is>
      </c>
      <c r="F1540" s="43" t="inlineStr">
        <is>
          <t>800-110945-01</t>
        </is>
      </c>
      <c r="G1540" s="43" t="inlineStr">
        <is>
          <t>OTHER_SCOPE_ITEM</t>
        </is>
      </c>
      <c r="H1540" s="43" t="inlineStr"/>
      <c r="I1540" s="43" t="inlineStr">
        <is>
          <t>FAI Status</t>
        </is>
      </c>
      <c r="J1540" s="32" t="n">
        <v>46335</v>
      </c>
      <c r="K1540" s="32" t="n">
        <v>46287</v>
      </c>
      <c r="L1540" s="43" t="inlineStr">
        <is>
          <t>1293</t>
        </is>
      </c>
      <c r="M1540" s="43" t="n">
        <v>1</v>
      </c>
      <c r="N1540" s="33" t="inlineStr"/>
      <c r="O1540" s="43" t="inlineStr">
        <is>
          <t>UNVERIFIED</t>
        </is>
      </c>
      <c r="P1540" s="43" t="inlineStr">
        <is>
          <t>Pending Review</t>
        </is>
      </c>
      <c r="Q1540" s="33" t="inlineStr">
        <is>
          <t>Confirmar SKU/PCBA revision, PN exacto en Common DB, WO, BU, vigencia, planta y aprobacion firmada.</t>
        </is>
      </c>
    </row>
    <row r="1541">
      <c r="A1541" s="43" t="inlineStr">
        <is>
          <t>CTANJZ05426</t>
        </is>
      </c>
      <c r="B1541" s="43" t="inlineStr">
        <is>
          <t>D612426</t>
        </is>
      </c>
      <c r="C1541" s="43" t="inlineStr">
        <is>
          <t>037-STBU</t>
        </is>
      </c>
      <c r="D1541" s="43" t="inlineStr">
        <is>
          <t>FJZP</t>
        </is>
      </c>
      <c r="E1541" s="43" t="inlineStr">
        <is>
          <t>MCGA</t>
        </is>
      </c>
      <c r="F1541" s="43" t="inlineStr">
        <is>
          <t>15-110890-01</t>
        </is>
      </c>
      <c r="G1541" s="43" t="inlineStr">
        <is>
          <t>OTHER_SCOPE_ITEM</t>
        </is>
      </c>
      <c r="H1541" s="43" t="inlineStr"/>
      <c r="I1541" s="43" t="inlineStr">
        <is>
          <t>FAI Status</t>
        </is>
      </c>
      <c r="J1541" s="32" t="n">
        <v>46343</v>
      </c>
      <c r="K1541" s="32" t="n">
        <v>46281</v>
      </c>
      <c r="L1541" s="43" t="inlineStr">
        <is>
          <t>304</t>
        </is>
      </c>
      <c r="M1541" s="43" t="n">
        <v>1</v>
      </c>
      <c r="N1541" s="33" t="inlineStr"/>
      <c r="O1541" s="43" t="inlineStr">
        <is>
          <t>UNVERIFIED</t>
        </is>
      </c>
      <c r="P1541" s="43" t="inlineStr">
        <is>
          <t>Pending Review</t>
        </is>
      </c>
      <c r="Q1541" s="33" t="inlineStr">
        <is>
          <t>Confirmar SKU/PCBA revision, PN exacto en Common DB, WO, BU, vigencia, planta y aprobacion firmada.</t>
        </is>
      </c>
    </row>
    <row r="1542">
      <c r="A1542" s="43" t="inlineStr">
        <is>
          <t>CTANJZ05426</t>
        </is>
      </c>
      <c r="B1542" s="43" t="inlineStr">
        <is>
          <t>D612426</t>
        </is>
      </c>
      <c r="C1542" s="43" t="inlineStr">
        <is>
          <t>037-STBU</t>
        </is>
      </c>
      <c r="D1542" s="43" t="inlineStr">
        <is>
          <t>FJZP</t>
        </is>
      </c>
      <c r="E1542" s="43" t="inlineStr">
        <is>
          <t>MCGA</t>
        </is>
      </c>
      <c r="F1542" s="43" t="inlineStr">
        <is>
          <t>74-134455-06</t>
        </is>
      </c>
      <c r="G1542" s="43" t="inlineStr">
        <is>
          <t>OTHER_SCOPE_ITEM</t>
        </is>
      </c>
      <c r="H1542" s="43" t="inlineStr"/>
      <c r="I1542" s="43" t="inlineStr">
        <is>
          <t>FAI Status</t>
        </is>
      </c>
      <c r="J1542" s="32" t="n">
        <v>46343</v>
      </c>
      <c r="K1542" s="32" t="n">
        <v>46281</v>
      </c>
      <c r="L1542" s="43" t="inlineStr">
        <is>
          <t>305</t>
        </is>
      </c>
      <c r="M1542" s="43" t="n">
        <v>1</v>
      </c>
      <c r="N1542" s="33" t="inlineStr"/>
      <c r="O1542" s="43" t="inlineStr">
        <is>
          <t>UNVERIFIED</t>
        </is>
      </c>
      <c r="P1542" s="43" t="inlineStr">
        <is>
          <t>Pending Review</t>
        </is>
      </c>
      <c r="Q1542" s="33" t="inlineStr">
        <is>
          <t>Confirmar SKU/PCBA revision, PN exacto en Common DB, WO, BU, vigencia, planta y aprobacion firmada.</t>
        </is>
      </c>
    </row>
    <row r="1543">
      <c r="A1543" s="43" t="inlineStr">
        <is>
          <t>CTANJZ05426</t>
        </is>
      </c>
      <c r="B1543" s="43" t="inlineStr">
        <is>
          <t>D612426</t>
        </is>
      </c>
      <c r="C1543" s="43" t="inlineStr">
        <is>
          <t>037-STBU</t>
        </is>
      </c>
      <c r="D1543" s="43" t="inlineStr">
        <is>
          <t>FJZP</t>
        </is>
      </c>
      <c r="E1543" s="43" t="inlineStr">
        <is>
          <t>MCGA</t>
        </is>
      </c>
      <c r="F1543" s="43" t="inlineStr">
        <is>
          <t>74-134456-06</t>
        </is>
      </c>
      <c r="G1543" s="43" t="inlineStr">
        <is>
          <t>OTHER_SCOPE_ITEM</t>
        </is>
      </c>
      <c r="H1543" s="43" t="inlineStr"/>
      <c r="I1543" s="43" t="inlineStr">
        <is>
          <t>FAI Status</t>
        </is>
      </c>
      <c r="J1543" s="32" t="n">
        <v>46343</v>
      </c>
      <c r="K1543" s="32" t="n">
        <v>46281</v>
      </c>
      <c r="L1543" s="43" t="inlineStr">
        <is>
          <t>306</t>
        </is>
      </c>
      <c r="M1543" s="43" t="n">
        <v>1</v>
      </c>
      <c r="N1543" s="33" t="inlineStr"/>
      <c r="O1543" s="43" t="inlineStr">
        <is>
          <t>UNVERIFIED</t>
        </is>
      </c>
      <c r="P1543" s="43" t="inlineStr">
        <is>
          <t>Pending Review</t>
        </is>
      </c>
      <c r="Q1543" s="33" t="inlineStr">
        <is>
          <t>Confirmar SKU/PCBA revision, PN exacto en Common DB, WO, BU, vigencia, planta y aprobacion firmada.</t>
        </is>
      </c>
    </row>
    <row r="1544">
      <c r="A1544" s="43" t="inlineStr">
        <is>
          <t>CTANJZ05427</t>
        </is>
      </c>
      <c r="B1544" s="43" t="inlineStr">
        <is>
          <t>D613419</t>
        </is>
      </c>
      <c r="C1544" s="43" t="inlineStr">
        <is>
          <t>037-STBU</t>
        </is>
      </c>
      <c r="D1544" s="43" t="inlineStr">
        <is>
          <t>FJZP</t>
        </is>
      </c>
      <c r="E1544" s="43" t="inlineStr">
        <is>
          <t>MCGA</t>
        </is>
      </c>
      <c r="F1544" s="43" t="inlineStr">
        <is>
          <t>800-108035-05</t>
        </is>
      </c>
      <c r="G1544" s="43" t="inlineStr">
        <is>
          <t>OTHER_SCOPE_ITEM</t>
        </is>
      </c>
      <c r="H1544" s="43" t="inlineStr"/>
      <c r="I1544" s="43" t="inlineStr">
        <is>
          <t>FAI Status</t>
        </is>
      </c>
      <c r="J1544" s="32" t="n">
        <v>46343</v>
      </c>
      <c r="K1544" s="32" t="n">
        <v>46281</v>
      </c>
      <c r="L1544" s="43" t="inlineStr">
        <is>
          <t>1874</t>
        </is>
      </c>
      <c r="M1544" s="43" t="n">
        <v>1</v>
      </c>
      <c r="N1544" s="33" t="inlineStr"/>
      <c r="O1544" s="43" t="inlineStr">
        <is>
          <t>UNVERIFIED</t>
        </is>
      </c>
      <c r="P1544" s="43" t="inlineStr">
        <is>
          <t>Pending Review</t>
        </is>
      </c>
      <c r="Q1544" s="33" t="inlineStr">
        <is>
          <t>Confirmar SKU/PCBA revision, PN exacto en Common DB, WO, BU, vigencia, planta y aprobacion firmada.</t>
        </is>
      </c>
    </row>
    <row r="1545">
      <c r="A1545" s="43" t="inlineStr">
        <is>
          <t>CTANJZ05427</t>
        </is>
      </c>
      <c r="B1545" s="43" t="inlineStr">
        <is>
          <t>D613419</t>
        </is>
      </c>
      <c r="C1545" s="43" t="inlineStr">
        <is>
          <t>037-STBU</t>
        </is>
      </c>
      <c r="D1545" s="43" t="inlineStr">
        <is>
          <t>FJZP</t>
        </is>
      </c>
      <c r="E1545" s="43" t="inlineStr">
        <is>
          <t>MCGA</t>
        </is>
      </c>
      <c r="F1545" s="43" t="inlineStr">
        <is>
          <t>800-108036-05</t>
        </is>
      </c>
      <c r="G1545" s="43" t="inlineStr">
        <is>
          <t>OTHER_SCOPE_ITEM</t>
        </is>
      </c>
      <c r="H1545" s="43" t="inlineStr"/>
      <c r="I1545" s="43" t="inlineStr">
        <is>
          <t>FAI Status</t>
        </is>
      </c>
      <c r="J1545" s="32" t="n">
        <v>46343</v>
      </c>
      <c r="K1545" s="32" t="n">
        <v>46281</v>
      </c>
      <c r="L1545" s="43" t="inlineStr">
        <is>
          <t>1875</t>
        </is>
      </c>
      <c r="M1545" s="43" t="n">
        <v>1</v>
      </c>
      <c r="N1545" s="33" t="inlineStr"/>
      <c r="O1545" s="43" t="inlineStr">
        <is>
          <t>UNVERIFIED</t>
        </is>
      </c>
      <c r="P1545" s="43" t="inlineStr">
        <is>
          <t>Pending Review</t>
        </is>
      </c>
      <c r="Q1545" s="33" t="inlineStr">
        <is>
          <t>Confirmar SKU/PCBA revision, PN exacto en Common DB, WO, BU, vigencia, planta y aprobacion firmada.</t>
        </is>
      </c>
    </row>
    <row r="1546">
      <c r="A1546" s="43" t="inlineStr">
        <is>
          <t>CTANJZ05427</t>
        </is>
      </c>
      <c r="B1546" s="43" t="inlineStr">
        <is>
          <t>D613419</t>
        </is>
      </c>
      <c r="C1546" s="43" t="inlineStr">
        <is>
          <t>037-STBU</t>
        </is>
      </c>
      <c r="D1546" s="43" t="inlineStr">
        <is>
          <t>FJZP</t>
        </is>
      </c>
      <c r="E1546" s="43" t="inlineStr">
        <is>
          <t>MCGA</t>
        </is>
      </c>
      <c r="F1546" s="43" t="inlineStr">
        <is>
          <t>800-108037-05</t>
        </is>
      </c>
      <c r="G1546" s="43" t="inlineStr">
        <is>
          <t>OTHER_SCOPE_ITEM</t>
        </is>
      </c>
      <c r="H1546" s="43" t="inlineStr"/>
      <c r="I1546" s="43" t="inlineStr">
        <is>
          <t>FAI Status</t>
        </is>
      </c>
      <c r="J1546" s="32" t="n">
        <v>46343</v>
      </c>
      <c r="K1546" s="32" t="n">
        <v>46281</v>
      </c>
      <c r="L1546" s="43" t="inlineStr">
        <is>
          <t>1876</t>
        </is>
      </c>
      <c r="M1546" s="43" t="n">
        <v>1</v>
      </c>
      <c r="N1546" s="33" t="inlineStr"/>
      <c r="O1546" s="43" t="inlineStr">
        <is>
          <t>UNVERIFIED</t>
        </is>
      </c>
      <c r="P1546" s="43" t="inlineStr">
        <is>
          <t>Pending Review</t>
        </is>
      </c>
      <c r="Q1546" s="33" t="inlineStr">
        <is>
          <t>Confirmar SKU/PCBA revision, PN exacto en Common DB, WO, BU, vigencia, planta y aprobacion firmada.</t>
        </is>
      </c>
    </row>
    <row r="1547">
      <c r="A1547" s="43" t="inlineStr">
        <is>
          <t>CTANJZ05427</t>
        </is>
      </c>
      <c r="B1547" s="43" t="inlineStr">
        <is>
          <t>D613419</t>
        </is>
      </c>
      <c r="C1547" s="43" t="inlineStr">
        <is>
          <t>037-STBU</t>
        </is>
      </c>
      <c r="D1547" s="43" t="inlineStr">
        <is>
          <t>FJZP</t>
        </is>
      </c>
      <c r="E1547" s="43" t="inlineStr">
        <is>
          <t>MCGA</t>
        </is>
      </c>
      <c r="F1547" s="43" t="inlineStr">
        <is>
          <t>800-108038-05</t>
        </is>
      </c>
      <c r="G1547" s="43" t="inlineStr">
        <is>
          <t>OTHER_SCOPE_ITEM</t>
        </is>
      </c>
      <c r="H1547" s="43" t="inlineStr"/>
      <c r="I1547" s="43" t="inlineStr">
        <is>
          <t>FAI Status</t>
        </is>
      </c>
      <c r="J1547" s="32" t="n">
        <v>46343</v>
      </c>
      <c r="K1547" s="32" t="n">
        <v>46281</v>
      </c>
      <c r="L1547" s="43" t="inlineStr">
        <is>
          <t>1877</t>
        </is>
      </c>
      <c r="M1547" s="43" t="n">
        <v>1</v>
      </c>
      <c r="N1547" s="33" t="inlineStr"/>
      <c r="O1547" s="43" t="inlineStr">
        <is>
          <t>UNVERIFIED</t>
        </is>
      </c>
      <c r="P1547" s="43" t="inlineStr">
        <is>
          <t>Pending Review</t>
        </is>
      </c>
      <c r="Q1547" s="33" t="inlineStr">
        <is>
          <t>Confirmar SKU/PCBA revision, PN exacto en Common DB, WO, BU, vigencia, planta y aprobacion firmada.</t>
        </is>
      </c>
    </row>
    <row r="1548">
      <c r="A1548" s="43" t="inlineStr">
        <is>
          <t>CTANJZ05427</t>
        </is>
      </c>
      <c r="B1548" s="43" t="inlineStr">
        <is>
          <t>D613419</t>
        </is>
      </c>
      <c r="C1548" s="43" t="inlineStr">
        <is>
          <t>037-STBU</t>
        </is>
      </c>
      <c r="D1548" s="43" t="inlineStr">
        <is>
          <t>FJZP</t>
        </is>
      </c>
      <c r="E1548" s="43" t="inlineStr">
        <is>
          <t>MCGA</t>
        </is>
      </c>
      <c r="F1548" s="43" t="inlineStr">
        <is>
          <t>800-110666-02</t>
        </is>
      </c>
      <c r="G1548" s="43" t="inlineStr">
        <is>
          <t>OTHER_SCOPE_ITEM</t>
        </is>
      </c>
      <c r="H1548" s="43" t="inlineStr"/>
      <c r="I1548" s="43" t="inlineStr">
        <is>
          <t>FAI Status</t>
        </is>
      </c>
      <c r="J1548" s="32" t="n">
        <v>46343</v>
      </c>
      <c r="K1548" s="32" t="n">
        <v>46281</v>
      </c>
      <c r="L1548" s="43" t="inlineStr">
        <is>
          <t>1878</t>
        </is>
      </c>
      <c r="M1548" s="43" t="n">
        <v>1</v>
      </c>
      <c r="N1548" s="33" t="inlineStr"/>
      <c r="O1548" s="43" t="inlineStr">
        <is>
          <t>UNVERIFIED</t>
        </is>
      </c>
      <c r="P1548" s="43" t="inlineStr">
        <is>
          <t>Pending Review</t>
        </is>
      </c>
      <c r="Q1548" s="33" t="inlineStr">
        <is>
          <t>Confirmar SKU/PCBA revision, PN exacto en Common DB, WO, BU, vigencia, planta y aprobacion firmada.</t>
        </is>
      </c>
    </row>
    <row r="1549">
      <c r="A1549" s="43" t="inlineStr">
        <is>
          <t>CTANJZ05427</t>
        </is>
      </c>
      <c r="B1549" s="43" t="inlineStr">
        <is>
          <t>D613419</t>
        </is>
      </c>
      <c r="C1549" s="43" t="inlineStr">
        <is>
          <t>037-STBU</t>
        </is>
      </c>
      <c r="D1549" s="43" t="inlineStr">
        <is>
          <t>FJZP</t>
        </is>
      </c>
      <c r="E1549" s="43" t="inlineStr">
        <is>
          <t>MCGA</t>
        </is>
      </c>
      <c r="F1549" s="43" t="inlineStr">
        <is>
          <t>800-50107-02</t>
        </is>
      </c>
      <c r="G1549" s="43" t="inlineStr">
        <is>
          <t>OTHER_SCOPE_ITEM</t>
        </is>
      </c>
      <c r="H1549" s="43" t="inlineStr"/>
      <c r="I1549" s="43" t="inlineStr">
        <is>
          <t>FAI Status</t>
        </is>
      </c>
      <c r="J1549" s="32" t="n">
        <v>46343</v>
      </c>
      <c r="K1549" s="32" t="n">
        <v>46281</v>
      </c>
      <c r="L1549" s="43" t="inlineStr">
        <is>
          <t>1879</t>
        </is>
      </c>
      <c r="M1549" s="43" t="n">
        <v>1</v>
      </c>
      <c r="N1549" s="33" t="inlineStr"/>
      <c r="O1549" s="43" t="inlineStr">
        <is>
          <t>UNVERIFIED</t>
        </is>
      </c>
      <c r="P1549" s="43" t="inlineStr">
        <is>
          <t>Pending Review</t>
        </is>
      </c>
      <c r="Q1549" s="33" t="inlineStr">
        <is>
          <t>Confirmar SKU/PCBA revision, PN exacto en Common DB, WO, BU, vigencia, planta y aprobacion firmada.</t>
        </is>
      </c>
    </row>
    <row r="1550">
      <c r="A1550" s="43" t="inlineStr">
        <is>
          <t>CTANJZ05430</t>
        </is>
      </c>
      <c r="B1550" s="43" t="inlineStr">
        <is>
          <t>D613562</t>
        </is>
      </c>
      <c r="C1550" s="43" t="inlineStr">
        <is>
          <t>035-CVEBU</t>
        </is>
      </c>
      <c r="D1550" s="43" t="inlineStr">
        <is>
          <t>FJZP</t>
        </is>
      </c>
      <c r="E1550" s="43" t="inlineStr">
        <is>
          <t>MCGA</t>
        </is>
      </c>
      <c r="F1550" s="43" t="inlineStr">
        <is>
          <t>800-109398-02</t>
        </is>
      </c>
      <c r="G1550" s="43" t="inlineStr">
        <is>
          <t>OTHER_SCOPE_ITEM</t>
        </is>
      </c>
      <c r="H1550" s="43" t="inlineStr"/>
      <c r="I1550" s="43" t="inlineStr">
        <is>
          <t>FAI Status</t>
        </is>
      </c>
      <c r="J1550" s="32" t="n">
        <v>46344</v>
      </c>
      <c r="K1550" s="32" t="n">
        <v>46287</v>
      </c>
      <c r="L1550" s="43" t="inlineStr">
        <is>
          <t>630</t>
        </is>
      </c>
      <c r="M1550" s="43" t="n">
        <v>1</v>
      </c>
      <c r="N1550" s="33" t="inlineStr"/>
      <c r="O1550" s="43" t="inlineStr">
        <is>
          <t>UNVERIFIED</t>
        </is>
      </c>
      <c r="P1550" s="43" t="inlineStr">
        <is>
          <t>Pending Review</t>
        </is>
      </c>
      <c r="Q1550" s="33" t="inlineStr">
        <is>
          <t>Confirmar SKU/PCBA revision, PN exacto en Common DB, WO, BU, vigencia, planta y aprobacion firmada.</t>
        </is>
      </c>
    </row>
    <row r="1551">
      <c r="A1551" s="43" t="inlineStr">
        <is>
          <t>CTANJZ05430</t>
        </is>
      </c>
      <c r="B1551" s="43" t="inlineStr">
        <is>
          <t>D613562</t>
        </is>
      </c>
      <c r="C1551" s="43" t="inlineStr">
        <is>
          <t>035-CVEBU</t>
        </is>
      </c>
      <c r="D1551" s="43" t="inlineStr">
        <is>
          <t>FJZP</t>
        </is>
      </c>
      <c r="E1551" s="43" t="inlineStr">
        <is>
          <t>MCGA</t>
        </is>
      </c>
      <c r="F1551" s="43" t="inlineStr">
        <is>
          <t>800-109400-02</t>
        </is>
      </c>
      <c r="G1551" s="43" t="inlineStr">
        <is>
          <t>OTHER_SCOPE_ITEM</t>
        </is>
      </c>
      <c r="H1551" s="43" t="inlineStr"/>
      <c r="I1551" s="43" t="inlineStr">
        <is>
          <t>FAI Status</t>
        </is>
      </c>
      <c r="J1551" s="32" t="n">
        <v>46344</v>
      </c>
      <c r="K1551" s="32" t="n">
        <v>46287</v>
      </c>
      <c r="L1551" s="43" t="inlineStr">
        <is>
          <t>631</t>
        </is>
      </c>
      <c r="M1551" s="43" t="n">
        <v>1</v>
      </c>
      <c r="N1551" s="33" t="inlineStr"/>
      <c r="O1551" s="43" t="inlineStr">
        <is>
          <t>UNVERIFIED</t>
        </is>
      </c>
      <c r="P1551" s="43" t="inlineStr">
        <is>
          <t>Pending Review</t>
        </is>
      </c>
      <c r="Q1551" s="33" t="inlineStr">
        <is>
          <t>Confirmar SKU/PCBA revision, PN exacto en Common DB, WO, BU, vigencia, planta y aprobacion firmada.</t>
        </is>
      </c>
    </row>
    <row r="1552">
      <c r="A1552" s="43" t="inlineStr">
        <is>
          <t>CTANJZ05432</t>
        </is>
      </c>
      <c r="B1552" s="43" t="inlineStr">
        <is>
          <t>D613436</t>
        </is>
      </c>
      <c r="C1552" s="43" t="inlineStr">
        <is>
          <t>037-STBU</t>
        </is>
      </c>
      <c r="D1552" s="43" t="inlineStr">
        <is>
          <t>FJZP</t>
        </is>
      </c>
      <c r="E1552" s="43" t="inlineStr">
        <is>
          <t>MCGA</t>
        </is>
      </c>
      <c r="F1552" s="43" t="inlineStr">
        <is>
          <t>27-2083-01</t>
        </is>
      </c>
      <c r="G1552" s="43" t="inlineStr">
        <is>
          <t>OTHER_SCOPE_ITEM</t>
        </is>
      </c>
      <c r="H1552" s="43" t="inlineStr"/>
      <c r="I1552" s="43" t="inlineStr">
        <is>
          <t>Implementation</t>
        </is>
      </c>
      <c r="J1552" s="32" t="n">
        <v>46348</v>
      </c>
      <c r="K1552" s="32" t="n">
        <v>46287</v>
      </c>
      <c r="L1552" s="43" t="inlineStr">
        <is>
          <t>1263</t>
        </is>
      </c>
      <c r="M1552" s="43" t="n">
        <v>1</v>
      </c>
      <c r="N1552" s="33" t="inlineStr"/>
      <c r="O1552" s="43" t="inlineStr">
        <is>
          <t>UNVERIFIED</t>
        </is>
      </c>
      <c r="P1552" s="43" t="inlineStr">
        <is>
          <t>Pending Review</t>
        </is>
      </c>
      <c r="Q1552" s="33" t="inlineStr">
        <is>
          <t>Confirmar SKU/PCBA revision, PN exacto en Common DB, WO, BU, vigencia, planta y aprobacion firmada.</t>
        </is>
      </c>
    </row>
    <row r="1553">
      <c r="A1553" s="43" t="inlineStr">
        <is>
          <t>CTANJZ05432</t>
        </is>
      </c>
      <c r="B1553" s="43" t="inlineStr">
        <is>
          <t>D613436</t>
        </is>
      </c>
      <c r="C1553" s="43" t="inlineStr">
        <is>
          <t>037-STBU</t>
        </is>
      </c>
      <c r="D1553" s="43" t="inlineStr">
        <is>
          <t>FJZP</t>
        </is>
      </c>
      <c r="E1553" s="43" t="inlineStr">
        <is>
          <t>MCGA</t>
        </is>
      </c>
      <c r="F1553" s="43" t="inlineStr">
        <is>
          <t>73-18488-08</t>
        </is>
      </c>
      <c r="G1553" s="43" t="inlineStr">
        <is>
          <t>BOARD_PN_CANDIDATE</t>
        </is>
      </c>
      <c r="H1553" s="43" t="inlineStr"/>
      <c r="I1553" s="43" t="inlineStr">
        <is>
          <t>Implementation</t>
        </is>
      </c>
      <c r="J1553" s="32" t="n">
        <v>46348</v>
      </c>
      <c r="K1553" s="32" t="n">
        <v>46287</v>
      </c>
      <c r="L1553" s="43" t="inlineStr">
        <is>
          <t>1264</t>
        </is>
      </c>
      <c r="M1553" s="43" t="n">
        <v>1</v>
      </c>
      <c r="N1553" s="33" t="inlineStr"/>
      <c r="O1553" s="43" t="inlineStr">
        <is>
          <t>UNVERIFIED</t>
        </is>
      </c>
      <c r="P1553" s="43" t="inlineStr">
        <is>
          <t>Pending Review</t>
        </is>
      </c>
      <c r="Q1553" s="33" t="inlineStr">
        <is>
          <t>Confirmar SKU/PCBA revision, PN exacto en Common DB, WO, BU, vigencia, planta y aprobacion firmada.</t>
        </is>
      </c>
    </row>
    <row r="1554">
      <c r="A1554" s="43" t="inlineStr">
        <is>
          <t>CTANJZ05432</t>
        </is>
      </c>
      <c r="B1554" s="43" t="inlineStr">
        <is>
          <t>D613436</t>
        </is>
      </c>
      <c r="C1554" s="43" t="inlineStr">
        <is>
          <t>037-STBU</t>
        </is>
      </c>
      <c r="D1554" s="43" t="inlineStr">
        <is>
          <t>FJZP</t>
        </is>
      </c>
      <c r="E1554" s="43" t="inlineStr">
        <is>
          <t>MCGA</t>
        </is>
      </c>
      <c r="F1554" s="43" t="inlineStr">
        <is>
          <t>73-18489-08</t>
        </is>
      </c>
      <c r="G1554" s="43" t="inlineStr">
        <is>
          <t>BOARD_PN_CANDIDATE</t>
        </is>
      </c>
      <c r="H1554" s="43" t="inlineStr"/>
      <c r="I1554" s="43" t="inlineStr">
        <is>
          <t>Implementation</t>
        </is>
      </c>
      <c r="J1554" s="32" t="n">
        <v>46348</v>
      </c>
      <c r="K1554" s="32" t="n">
        <v>46287</v>
      </c>
      <c r="L1554" s="43" t="inlineStr">
        <is>
          <t>1265</t>
        </is>
      </c>
      <c r="M1554" s="43" t="n">
        <v>1</v>
      </c>
      <c r="N1554" s="33" t="inlineStr"/>
      <c r="O1554" s="43" t="inlineStr">
        <is>
          <t>UNVERIFIED</t>
        </is>
      </c>
      <c r="P1554" s="43" t="inlineStr">
        <is>
          <t>Pending Review</t>
        </is>
      </c>
      <c r="Q1554" s="33" t="inlineStr">
        <is>
          <t>Confirmar SKU/PCBA revision, PN exacto en Common DB, WO, BU, vigencia, planta y aprobacion firmada.</t>
        </is>
      </c>
    </row>
    <row r="1555">
      <c r="A1555" s="43" t="inlineStr">
        <is>
          <t>CTANJZ05433</t>
        </is>
      </c>
      <c r="B1555" s="43" t="inlineStr">
        <is>
          <t>D613553</t>
        </is>
      </c>
      <c r="C1555" s="43" t="inlineStr">
        <is>
          <t>018-SRGBU</t>
        </is>
      </c>
      <c r="D1555" s="43" t="inlineStr">
        <is>
          <t>FJZP</t>
        </is>
      </c>
      <c r="E1555" s="43" t="inlineStr">
        <is>
          <t>MCGA</t>
        </is>
      </c>
      <c r="F1555" s="43" t="inlineStr">
        <is>
          <t>15-109388-01</t>
        </is>
      </c>
      <c r="G1555" s="43" t="inlineStr">
        <is>
          <t>OTHER_SCOPE_ITEM</t>
        </is>
      </c>
      <c r="H1555" s="43" t="inlineStr"/>
      <c r="I1555" s="43" t="inlineStr">
        <is>
          <t>Implementation</t>
        </is>
      </c>
      <c r="J1555" s="32" t="n">
        <v>46348</v>
      </c>
      <c r="K1555" s="32" t="n">
        <v>46281</v>
      </c>
      <c r="L1555" s="43" t="inlineStr">
        <is>
          <t>615</t>
        </is>
      </c>
      <c r="M1555" s="43" t="n">
        <v>1</v>
      </c>
      <c r="N1555" s="33" t="inlineStr"/>
      <c r="O1555" s="43" t="inlineStr">
        <is>
          <t>UNVERIFIED</t>
        </is>
      </c>
      <c r="P1555" s="43" t="inlineStr">
        <is>
          <t>Pending Review</t>
        </is>
      </c>
      <c r="Q1555" s="33" t="inlineStr">
        <is>
          <t>Confirmar SKU/PCBA revision, PN exacto en Common DB, WO, BU, vigencia, planta y aprobacion firmada.</t>
        </is>
      </c>
    </row>
    <row r="1556">
      <c r="A1556" s="43" t="inlineStr">
        <is>
          <t>CTANJZ05434</t>
        </is>
      </c>
      <c r="B1556" s="43" t="inlineStr">
        <is>
          <t>D613624</t>
        </is>
      </c>
      <c r="C1556" s="43" t="inlineStr">
        <is>
          <t>239-CRBU</t>
        </is>
      </c>
      <c r="D1556" s="43" t="inlineStr">
        <is>
          <t>FJZP</t>
        </is>
      </c>
      <c r="E1556" s="43" t="inlineStr">
        <is>
          <t>MCGA</t>
        </is>
      </c>
      <c r="F1556" s="43" t="inlineStr">
        <is>
          <t>08-100199-03</t>
        </is>
      </c>
      <c r="G1556" s="43" t="inlineStr">
        <is>
          <t>OTHER_SCOPE_ITEM</t>
        </is>
      </c>
      <c r="H1556" s="43" t="inlineStr"/>
      <c r="I1556" s="43" t="inlineStr">
        <is>
          <t>FAI Status</t>
        </is>
      </c>
      <c r="J1556" s="32" t="n">
        <v>46348</v>
      </c>
      <c r="K1556" s="32" t="n">
        <v>46290</v>
      </c>
      <c r="L1556" s="43" t="inlineStr">
        <is>
          <t>262</t>
        </is>
      </c>
      <c r="M1556" s="43" t="n">
        <v>1</v>
      </c>
      <c r="N1556" s="33" t="inlineStr"/>
      <c r="O1556" s="43" t="inlineStr">
        <is>
          <t>UNVERIFIED</t>
        </is>
      </c>
      <c r="P1556" s="43" t="inlineStr">
        <is>
          <t>Pending Review</t>
        </is>
      </c>
      <c r="Q1556" s="33" t="inlineStr">
        <is>
          <t>Confirmar SKU/PCBA revision, PN exacto en Common DB, WO, BU, vigencia, planta y aprobacion firmada.</t>
        </is>
      </c>
    </row>
    <row r="1557">
      <c r="A1557" s="43" t="inlineStr">
        <is>
          <t>CTANJZ05434</t>
        </is>
      </c>
      <c r="B1557" s="43" t="inlineStr">
        <is>
          <t>D613624</t>
        </is>
      </c>
      <c r="C1557" s="43" t="inlineStr">
        <is>
          <t>239-CRBU</t>
        </is>
      </c>
      <c r="D1557" s="43" t="inlineStr">
        <is>
          <t>FJZP</t>
        </is>
      </c>
      <c r="E1557" s="43" t="inlineStr">
        <is>
          <t>MCGA</t>
        </is>
      </c>
      <c r="F1557" s="43" t="inlineStr">
        <is>
          <t>73-21144-07</t>
        </is>
      </c>
      <c r="G1557" s="43" t="inlineStr">
        <is>
          <t>BOARD_PN_CANDIDATE</t>
        </is>
      </c>
      <c r="H1557" s="43" t="inlineStr"/>
      <c r="I1557" s="43" t="inlineStr">
        <is>
          <t>FAI Status</t>
        </is>
      </c>
      <c r="J1557" s="32" t="n">
        <v>46348</v>
      </c>
      <c r="K1557" s="32" t="n">
        <v>46290</v>
      </c>
      <c r="L1557" s="43" t="inlineStr">
        <is>
          <t>263</t>
        </is>
      </c>
      <c r="M1557" s="43" t="n">
        <v>1</v>
      </c>
      <c r="N1557" s="33" t="inlineStr"/>
      <c r="O1557" s="43" t="inlineStr">
        <is>
          <t>UNVERIFIED</t>
        </is>
      </c>
      <c r="P1557" s="43" t="inlineStr">
        <is>
          <t>Pending Review</t>
        </is>
      </c>
      <c r="Q1557" s="33" t="inlineStr">
        <is>
          <t>Confirmar SKU/PCBA revision, PN exacto en Common DB, WO, BU, vigencia, planta y aprobacion firmada.</t>
        </is>
      </c>
    </row>
    <row r="1558">
      <c r="A1558" s="43" t="inlineStr">
        <is>
          <t>CTANJZ05434</t>
        </is>
      </c>
      <c r="B1558" s="43" t="inlineStr">
        <is>
          <t>D613624</t>
        </is>
      </c>
      <c r="C1558" s="43" t="inlineStr">
        <is>
          <t>239-CRBU</t>
        </is>
      </c>
      <c r="D1558" s="43" t="inlineStr">
        <is>
          <t>FJZP</t>
        </is>
      </c>
      <c r="E1558" s="43" t="inlineStr">
        <is>
          <t>MCGA</t>
        </is>
      </c>
      <c r="F1558" s="43" t="inlineStr">
        <is>
          <t>73-21146-10</t>
        </is>
      </c>
      <c r="G1558" s="43" t="inlineStr">
        <is>
          <t>BOARD_PN_CANDIDATE</t>
        </is>
      </c>
      <c r="H1558" s="43" t="inlineStr"/>
      <c r="I1558" s="43" t="inlineStr">
        <is>
          <t>FAI Status</t>
        </is>
      </c>
      <c r="J1558" s="32" t="n">
        <v>46348</v>
      </c>
      <c r="K1558" s="32" t="n">
        <v>46290</v>
      </c>
      <c r="L1558" s="43" t="inlineStr">
        <is>
          <t>264</t>
        </is>
      </c>
      <c r="M1558" s="43" t="n">
        <v>1</v>
      </c>
      <c r="N1558" s="33" t="inlineStr"/>
      <c r="O1558" s="43" t="inlineStr">
        <is>
          <t>UNVERIFIED</t>
        </is>
      </c>
      <c r="P1558" s="43" t="inlineStr">
        <is>
          <t>Pending Review</t>
        </is>
      </c>
      <c r="Q1558" s="33" t="inlineStr">
        <is>
          <t>Confirmar SKU/PCBA revision, PN exacto en Common DB, WO, BU, vigencia, planta y aprobacion firmada.</t>
        </is>
      </c>
    </row>
    <row r="1559">
      <c r="A1559" s="43" t="inlineStr">
        <is>
          <t>CTANJZ05436</t>
        </is>
      </c>
      <c r="B1559" s="43" t="inlineStr">
        <is>
          <t>D613521</t>
        </is>
      </c>
      <c r="C1559" s="43" t="inlineStr">
        <is>
          <t>037-STBU</t>
        </is>
      </c>
      <c r="D1559" s="43" t="inlineStr">
        <is>
          <t>FJZP</t>
        </is>
      </c>
      <c r="E1559" s="43" t="inlineStr">
        <is>
          <t>MCGA</t>
        </is>
      </c>
      <c r="F1559" s="43" t="inlineStr">
        <is>
          <t>73-17497-04</t>
        </is>
      </c>
      <c r="G1559" s="43" t="inlineStr">
        <is>
          <t>BOARD_PN_CANDIDATE</t>
        </is>
      </c>
      <c r="H1559" s="43" t="inlineStr"/>
      <c r="I1559" s="43" t="inlineStr">
        <is>
          <t>FAI Status</t>
        </is>
      </c>
      <c r="J1559" s="32" t="n">
        <v>46348</v>
      </c>
      <c r="K1559" s="32" t="n">
        <v>46287</v>
      </c>
      <c r="L1559" s="43" t="inlineStr">
        <is>
          <t>1661</t>
        </is>
      </c>
      <c r="M1559" s="43" t="n">
        <v>1</v>
      </c>
      <c r="N1559" s="33" t="inlineStr"/>
      <c r="O1559" s="43" t="inlineStr">
        <is>
          <t>UNVERIFIED</t>
        </is>
      </c>
      <c r="P1559" s="43" t="inlineStr">
        <is>
          <t>Pending Review</t>
        </is>
      </c>
      <c r="Q1559" s="33" t="inlineStr">
        <is>
          <t>Confirmar SKU/PCBA revision, PN exacto en Common DB, WO, BU, vigencia, planta y aprobacion firmada.</t>
        </is>
      </c>
    </row>
    <row r="1560">
      <c r="A1560" s="43" t="inlineStr">
        <is>
          <t>CTANJZ05436</t>
        </is>
      </c>
      <c r="B1560" s="43" t="inlineStr">
        <is>
          <t>D613521</t>
        </is>
      </c>
      <c r="C1560" s="43" t="inlineStr">
        <is>
          <t>037-STBU</t>
        </is>
      </c>
      <c r="D1560" s="43" t="inlineStr">
        <is>
          <t>FJZP</t>
        </is>
      </c>
      <c r="E1560" s="43" t="inlineStr">
        <is>
          <t>MCGA</t>
        </is>
      </c>
      <c r="F1560" s="43" t="inlineStr">
        <is>
          <t>73-17498-04</t>
        </is>
      </c>
      <c r="G1560" s="43" t="inlineStr">
        <is>
          <t>BOARD_PN_CANDIDATE</t>
        </is>
      </c>
      <c r="H1560" s="43" t="inlineStr"/>
      <c r="I1560" s="43" t="inlineStr">
        <is>
          <t>FAI Status</t>
        </is>
      </c>
      <c r="J1560" s="32" t="n">
        <v>46348</v>
      </c>
      <c r="K1560" s="32" t="n">
        <v>46287</v>
      </c>
      <c r="L1560" s="43" t="inlineStr">
        <is>
          <t>1662</t>
        </is>
      </c>
      <c r="M1560" s="43" t="n">
        <v>1</v>
      </c>
      <c r="N1560" s="33" t="inlineStr"/>
      <c r="O1560" s="43" t="inlineStr">
        <is>
          <t>UNVERIFIED</t>
        </is>
      </c>
      <c r="P1560" s="43" t="inlineStr">
        <is>
          <t>Pending Review</t>
        </is>
      </c>
      <c r="Q1560" s="33" t="inlineStr">
        <is>
          <t>Confirmar SKU/PCBA revision, PN exacto en Common DB, WO, BU, vigencia, planta y aprobacion firmada.</t>
        </is>
      </c>
    </row>
    <row r="1561">
      <c r="A1561" s="43" t="inlineStr">
        <is>
          <t>CTANJZ05436</t>
        </is>
      </c>
      <c r="B1561" s="43" t="inlineStr">
        <is>
          <t>D613521</t>
        </is>
      </c>
      <c r="C1561" s="43" t="inlineStr">
        <is>
          <t>037-STBU</t>
        </is>
      </c>
      <c r="D1561" s="43" t="inlineStr">
        <is>
          <t>FJZP</t>
        </is>
      </c>
      <c r="E1561" s="43" t="inlineStr">
        <is>
          <t>MCGA</t>
        </is>
      </c>
      <c r="F1561" s="43" t="inlineStr">
        <is>
          <t>73-17499-07</t>
        </is>
      </c>
      <c r="G1561" s="43" t="inlineStr">
        <is>
          <t>BOARD_PN_CANDIDATE</t>
        </is>
      </c>
      <c r="H1561" s="43" t="inlineStr"/>
      <c r="I1561" s="43" t="inlineStr">
        <is>
          <t>FAI Status</t>
        </is>
      </c>
      <c r="J1561" s="32" t="n">
        <v>46348</v>
      </c>
      <c r="K1561" s="32" t="n">
        <v>46287</v>
      </c>
      <c r="L1561" s="43" t="inlineStr">
        <is>
          <t>1663</t>
        </is>
      </c>
      <c r="M1561" s="43" t="n">
        <v>1</v>
      </c>
      <c r="N1561" s="33" t="inlineStr"/>
      <c r="O1561" s="43" t="inlineStr">
        <is>
          <t>UNVERIFIED</t>
        </is>
      </c>
      <c r="P1561" s="43" t="inlineStr">
        <is>
          <t>Pending Review</t>
        </is>
      </c>
      <c r="Q1561" s="33" t="inlineStr">
        <is>
          <t>Confirmar SKU/PCBA revision, PN exacto en Common DB, WO, BU, vigencia, planta y aprobacion firmada.</t>
        </is>
      </c>
    </row>
    <row r="1562">
      <c r="A1562" s="43" t="inlineStr">
        <is>
          <t>CTANJZ05436</t>
        </is>
      </c>
      <c r="B1562" s="43" t="inlineStr">
        <is>
          <t>D613521</t>
        </is>
      </c>
      <c r="C1562" s="43" t="inlineStr">
        <is>
          <t>037-STBU</t>
        </is>
      </c>
      <c r="D1562" s="43" t="inlineStr">
        <is>
          <t>FJZP</t>
        </is>
      </c>
      <c r="E1562" s="43" t="inlineStr">
        <is>
          <t>MCGA</t>
        </is>
      </c>
      <c r="F1562" s="43" t="inlineStr">
        <is>
          <t>73-17510-02</t>
        </is>
      </c>
      <c r="G1562" s="43" t="inlineStr">
        <is>
          <t>BOARD_PN_CANDIDATE</t>
        </is>
      </c>
      <c r="H1562" s="43" t="inlineStr"/>
      <c r="I1562" s="43" t="inlineStr">
        <is>
          <t>FAI Status</t>
        </is>
      </c>
      <c r="J1562" s="32" t="n">
        <v>46348</v>
      </c>
      <c r="K1562" s="32" t="n">
        <v>46287</v>
      </c>
      <c r="L1562" s="43" t="inlineStr">
        <is>
          <t>1664</t>
        </is>
      </c>
      <c r="M1562" s="43" t="n">
        <v>1</v>
      </c>
      <c r="N1562" s="33" t="inlineStr"/>
      <c r="O1562" s="43" t="inlineStr">
        <is>
          <t>UNVERIFIED</t>
        </is>
      </c>
      <c r="P1562" s="43" t="inlineStr">
        <is>
          <t>Pending Review</t>
        </is>
      </c>
      <c r="Q1562" s="33" t="inlineStr">
        <is>
          <t>Confirmar SKU/PCBA revision, PN exacto en Common DB, WO, BU, vigencia, planta y aprobacion firmada.</t>
        </is>
      </c>
    </row>
    <row r="1563">
      <c r="A1563" s="43" t="inlineStr">
        <is>
          <t>CTANJZ05436</t>
        </is>
      </c>
      <c r="B1563" s="43" t="inlineStr">
        <is>
          <t>D613521</t>
        </is>
      </c>
      <c r="C1563" s="43" t="inlineStr">
        <is>
          <t>037-STBU</t>
        </is>
      </c>
      <c r="D1563" s="43" t="inlineStr">
        <is>
          <t>FJZP</t>
        </is>
      </c>
      <c r="E1563" s="43" t="inlineStr">
        <is>
          <t>MCGA</t>
        </is>
      </c>
      <c r="F1563" s="43" t="inlineStr">
        <is>
          <t>73-17514-02</t>
        </is>
      </c>
      <c r="G1563" s="43" t="inlineStr">
        <is>
          <t>BOARD_PN_CANDIDATE</t>
        </is>
      </c>
      <c r="H1563" s="43" t="inlineStr"/>
      <c r="I1563" s="43" t="inlineStr">
        <is>
          <t>FAI Status</t>
        </is>
      </c>
      <c r="J1563" s="32" t="n">
        <v>46348</v>
      </c>
      <c r="K1563" s="32" t="n">
        <v>46287</v>
      </c>
      <c r="L1563" s="43" t="inlineStr">
        <is>
          <t>1699</t>
        </is>
      </c>
      <c r="M1563" s="43" t="n">
        <v>1</v>
      </c>
      <c r="N1563" s="33" t="inlineStr"/>
      <c r="O1563" s="43" t="inlineStr">
        <is>
          <t>UNVERIFIED</t>
        </is>
      </c>
      <c r="P1563" s="43" t="inlineStr">
        <is>
          <t>Pending Review</t>
        </is>
      </c>
      <c r="Q1563" s="33" t="inlineStr">
        <is>
          <t>Confirmar SKU/PCBA revision, PN exacto en Common DB, WO, BU, vigencia, planta y aprobacion firmada.</t>
        </is>
      </c>
    </row>
    <row r="1564">
      <c r="A1564" s="43" t="inlineStr">
        <is>
          <t>CTANJZ05436</t>
        </is>
      </c>
      <c r="B1564" s="43" t="inlineStr">
        <is>
          <t>D613521</t>
        </is>
      </c>
      <c r="C1564" s="43" t="inlineStr">
        <is>
          <t>037-STBU</t>
        </is>
      </c>
      <c r="D1564" s="43" t="inlineStr">
        <is>
          <t>FJZP</t>
        </is>
      </c>
      <c r="E1564" s="43" t="inlineStr">
        <is>
          <t>MCGA</t>
        </is>
      </c>
      <c r="F1564" s="43" t="inlineStr">
        <is>
          <t>73-17530-02</t>
        </is>
      </c>
      <c r="G1564" s="43" t="inlineStr">
        <is>
          <t>BOARD_PN_CANDIDATE</t>
        </is>
      </c>
      <c r="H1564" s="43" t="inlineStr"/>
      <c r="I1564" s="43" t="inlineStr">
        <is>
          <t>FAI Status</t>
        </is>
      </c>
      <c r="J1564" s="32" t="n">
        <v>46348</v>
      </c>
      <c r="K1564" s="32" t="n">
        <v>46287</v>
      </c>
      <c r="L1564" s="43" t="inlineStr">
        <is>
          <t>1700</t>
        </is>
      </c>
      <c r="M1564" s="43" t="n">
        <v>1</v>
      </c>
      <c r="N1564" s="33" t="inlineStr"/>
      <c r="O1564" s="43" t="inlineStr">
        <is>
          <t>UNVERIFIED</t>
        </is>
      </c>
      <c r="P1564" s="43" t="inlineStr">
        <is>
          <t>Pending Review</t>
        </is>
      </c>
      <c r="Q1564" s="33" t="inlineStr">
        <is>
          <t>Confirmar SKU/PCBA revision, PN exacto en Common DB, WO, BU, vigencia, planta y aprobacion firmada.</t>
        </is>
      </c>
    </row>
    <row r="1565">
      <c r="A1565" s="43" t="inlineStr">
        <is>
          <t>CTANJZ05436</t>
        </is>
      </c>
      <c r="B1565" s="43" t="inlineStr">
        <is>
          <t>D613521</t>
        </is>
      </c>
      <c r="C1565" s="43" t="inlineStr">
        <is>
          <t>037-STBU</t>
        </is>
      </c>
      <c r="D1565" s="43" t="inlineStr">
        <is>
          <t>FJZP</t>
        </is>
      </c>
      <c r="E1565" s="43" t="inlineStr">
        <is>
          <t>MCGA</t>
        </is>
      </c>
      <c r="F1565" s="43" t="inlineStr">
        <is>
          <t>73-18626-04</t>
        </is>
      </c>
      <c r="G1565" s="43" t="inlineStr">
        <is>
          <t>BOARD_PN_CANDIDATE</t>
        </is>
      </c>
      <c r="H1565" s="43" t="inlineStr"/>
      <c r="I1565" s="43" t="inlineStr">
        <is>
          <t>FAI Status</t>
        </is>
      </c>
      <c r="J1565" s="32" t="n">
        <v>46348</v>
      </c>
      <c r="K1565" s="32" t="n">
        <v>46287</v>
      </c>
      <c r="L1565" s="43" t="inlineStr">
        <is>
          <t>1665</t>
        </is>
      </c>
      <c r="M1565" s="43" t="n">
        <v>1</v>
      </c>
      <c r="N1565" s="33" t="inlineStr"/>
      <c r="O1565" s="43" t="inlineStr">
        <is>
          <t>UNVERIFIED</t>
        </is>
      </c>
      <c r="P1565" s="43" t="inlineStr">
        <is>
          <t>Pending Review</t>
        </is>
      </c>
      <c r="Q1565" s="33" t="inlineStr">
        <is>
          <t>Confirmar SKU/PCBA revision, PN exacto en Common DB, WO, BU, vigencia, planta y aprobacion firmada.</t>
        </is>
      </c>
    </row>
    <row r="1566">
      <c r="A1566" s="43" t="inlineStr">
        <is>
          <t>CTANJZ05436</t>
        </is>
      </c>
      <c r="B1566" s="43" t="inlineStr">
        <is>
          <t>D613521</t>
        </is>
      </c>
      <c r="C1566" s="43" t="inlineStr">
        <is>
          <t>037-STBU</t>
        </is>
      </c>
      <c r="D1566" s="43" t="inlineStr">
        <is>
          <t>FJZP</t>
        </is>
      </c>
      <c r="E1566" s="43" t="inlineStr">
        <is>
          <t>MCGA</t>
        </is>
      </c>
      <c r="F1566" s="43" t="inlineStr">
        <is>
          <t>73-19332-01</t>
        </is>
      </c>
      <c r="G1566" s="43" t="inlineStr">
        <is>
          <t>BOARD_PN_CANDIDATE</t>
        </is>
      </c>
      <c r="H1566" s="43" t="inlineStr"/>
      <c r="I1566" s="43" t="inlineStr">
        <is>
          <t>FAI Status</t>
        </is>
      </c>
      <c r="J1566" s="32" t="n">
        <v>46348</v>
      </c>
      <c r="K1566" s="32" t="n">
        <v>46287</v>
      </c>
      <c r="L1566" s="43" t="inlineStr">
        <is>
          <t>1666</t>
        </is>
      </c>
      <c r="M1566" s="43" t="n">
        <v>1</v>
      </c>
      <c r="N1566" s="33" t="inlineStr"/>
      <c r="O1566" s="43" t="inlineStr">
        <is>
          <t>UNVERIFIED</t>
        </is>
      </c>
      <c r="P1566" s="43" t="inlineStr">
        <is>
          <t>Pending Review</t>
        </is>
      </c>
      <c r="Q1566" s="33" t="inlineStr">
        <is>
          <t>Confirmar SKU/PCBA revision, PN exacto en Common DB, WO, BU, vigencia, planta y aprobacion firmada.</t>
        </is>
      </c>
    </row>
    <row r="1567">
      <c r="A1567" s="43" t="inlineStr">
        <is>
          <t>CTANJZ05436</t>
        </is>
      </c>
      <c r="B1567" s="43" t="inlineStr">
        <is>
          <t>D613521</t>
        </is>
      </c>
      <c r="C1567" s="43" t="inlineStr">
        <is>
          <t>037-STBU</t>
        </is>
      </c>
      <c r="D1567" s="43" t="inlineStr">
        <is>
          <t>FJZP</t>
        </is>
      </c>
      <c r="E1567" s="43" t="inlineStr">
        <is>
          <t>MCGA</t>
        </is>
      </c>
      <c r="F1567" s="43" t="inlineStr">
        <is>
          <t>73-19337-01</t>
        </is>
      </c>
      <c r="G1567" s="43" t="inlineStr">
        <is>
          <t>BOARD_PN_CANDIDATE</t>
        </is>
      </c>
      <c r="H1567" s="43" t="inlineStr"/>
      <c r="I1567" s="43" t="inlineStr">
        <is>
          <t>FAI Status</t>
        </is>
      </c>
      <c r="J1567" s="32" t="n">
        <v>46348</v>
      </c>
      <c r="K1567" s="32" t="n">
        <v>46287</v>
      </c>
      <c r="L1567" s="43" t="inlineStr">
        <is>
          <t>1667</t>
        </is>
      </c>
      <c r="M1567" s="43" t="n">
        <v>1</v>
      </c>
      <c r="N1567" s="33" t="inlineStr"/>
      <c r="O1567" s="43" t="inlineStr">
        <is>
          <t>UNVERIFIED</t>
        </is>
      </c>
      <c r="P1567" s="43" t="inlineStr">
        <is>
          <t>Pending Review</t>
        </is>
      </c>
      <c r="Q1567" s="33" t="inlineStr">
        <is>
          <t>Confirmar SKU/PCBA revision, PN exacto en Common DB, WO, BU, vigencia, planta y aprobacion firmada.</t>
        </is>
      </c>
    </row>
    <row r="1568">
      <c r="A1568" s="43" t="inlineStr">
        <is>
          <t>CTANJZ05436</t>
        </is>
      </c>
      <c r="B1568" s="43" t="inlineStr">
        <is>
          <t>D613521</t>
        </is>
      </c>
      <c r="C1568" s="43" t="inlineStr">
        <is>
          <t>037-STBU</t>
        </is>
      </c>
      <c r="D1568" s="43" t="inlineStr">
        <is>
          <t>FJZP</t>
        </is>
      </c>
      <c r="E1568" s="43" t="inlineStr">
        <is>
          <t>MCGA</t>
        </is>
      </c>
      <c r="F1568" s="43" t="inlineStr">
        <is>
          <t>73-19361-01</t>
        </is>
      </c>
      <c r="G1568" s="43" t="inlineStr">
        <is>
          <t>BOARD_PN_CANDIDATE</t>
        </is>
      </c>
      <c r="H1568" s="43" t="inlineStr"/>
      <c r="I1568" s="43" t="inlineStr">
        <is>
          <t>FAI Status</t>
        </is>
      </c>
      <c r="J1568" s="32" t="n">
        <v>46348</v>
      </c>
      <c r="K1568" s="32" t="n">
        <v>46287</v>
      </c>
      <c r="L1568" s="43" t="inlineStr">
        <is>
          <t>1668</t>
        </is>
      </c>
      <c r="M1568" s="43" t="n">
        <v>1</v>
      </c>
      <c r="N1568" s="33" t="inlineStr"/>
      <c r="O1568" s="43" t="inlineStr">
        <is>
          <t>UNVERIFIED</t>
        </is>
      </c>
      <c r="P1568" s="43" t="inlineStr">
        <is>
          <t>Pending Review</t>
        </is>
      </c>
      <c r="Q1568" s="33" t="inlineStr">
        <is>
          <t>Confirmar SKU/PCBA revision, PN exacto en Common DB, WO, BU, vigencia, planta y aprobacion firmada.</t>
        </is>
      </c>
    </row>
    <row r="1569">
      <c r="A1569" s="43" t="inlineStr">
        <is>
          <t>CTANJZ05436</t>
        </is>
      </c>
      <c r="B1569" s="43" t="inlineStr">
        <is>
          <t>D613521</t>
        </is>
      </c>
      <c r="C1569" s="43" t="inlineStr">
        <is>
          <t>037-STBU</t>
        </is>
      </c>
      <c r="D1569" s="43" t="inlineStr">
        <is>
          <t>FJZP</t>
        </is>
      </c>
      <c r="E1569" s="43" t="inlineStr">
        <is>
          <t>MCGA</t>
        </is>
      </c>
      <c r="F1569" s="43" t="inlineStr">
        <is>
          <t>73-20007-01</t>
        </is>
      </c>
      <c r="G1569" s="43" t="inlineStr">
        <is>
          <t>BOARD_PN_CANDIDATE</t>
        </is>
      </c>
      <c r="H1569" s="43" t="inlineStr"/>
      <c r="I1569" s="43" t="inlineStr">
        <is>
          <t>FAI Status</t>
        </is>
      </c>
      <c r="J1569" s="32" t="n">
        <v>46348</v>
      </c>
      <c r="K1569" s="32" t="n">
        <v>46287</v>
      </c>
      <c r="L1569" s="43" t="inlineStr">
        <is>
          <t>1669</t>
        </is>
      </c>
      <c r="M1569" s="43" t="n">
        <v>1</v>
      </c>
      <c r="N1569" s="33" t="inlineStr"/>
      <c r="O1569" s="43" t="inlineStr">
        <is>
          <t>UNVERIFIED</t>
        </is>
      </c>
      <c r="P1569" s="43" t="inlineStr">
        <is>
          <t>Pending Review</t>
        </is>
      </c>
      <c r="Q1569" s="33" t="inlineStr">
        <is>
          <t>Confirmar SKU/PCBA revision, PN exacto en Common DB, WO, BU, vigencia, planta y aprobacion firmada.</t>
        </is>
      </c>
    </row>
    <row r="1570">
      <c r="A1570" s="43" t="inlineStr">
        <is>
          <t>CTANJZ05436</t>
        </is>
      </c>
      <c r="B1570" s="43" t="inlineStr">
        <is>
          <t>D613521</t>
        </is>
      </c>
      <c r="C1570" s="43" t="inlineStr">
        <is>
          <t>037-STBU</t>
        </is>
      </c>
      <c r="D1570" s="43" t="inlineStr">
        <is>
          <t>FJZP</t>
        </is>
      </c>
      <c r="E1570" s="43" t="inlineStr">
        <is>
          <t>MCGA</t>
        </is>
      </c>
      <c r="F1570" s="43" t="inlineStr">
        <is>
          <t>800-105498-03</t>
        </is>
      </c>
      <c r="G1570" s="43" t="inlineStr">
        <is>
          <t>OTHER_SCOPE_ITEM</t>
        </is>
      </c>
      <c r="H1570" s="43" t="inlineStr"/>
      <c r="I1570" s="43" t="inlineStr">
        <is>
          <t>FAI Status</t>
        </is>
      </c>
      <c r="J1570" s="32" t="n">
        <v>46348</v>
      </c>
      <c r="K1570" s="32" t="n">
        <v>46287</v>
      </c>
      <c r="L1570" s="43" t="inlineStr">
        <is>
          <t>1670</t>
        </is>
      </c>
      <c r="M1570" s="43" t="n">
        <v>1</v>
      </c>
      <c r="N1570" s="33" t="inlineStr"/>
      <c r="O1570" s="43" t="inlineStr">
        <is>
          <t>UNVERIFIED</t>
        </is>
      </c>
      <c r="P1570" s="43" t="inlineStr">
        <is>
          <t>Pending Review</t>
        </is>
      </c>
      <c r="Q1570" s="33" t="inlineStr">
        <is>
          <t>Confirmar SKU/PCBA revision, PN exacto en Common DB, WO, BU, vigencia, planta y aprobacion firmada.</t>
        </is>
      </c>
    </row>
    <row r="1571">
      <c r="A1571" s="43" t="inlineStr">
        <is>
          <t>CTANJZ05436</t>
        </is>
      </c>
      <c r="B1571" s="43" t="inlineStr">
        <is>
          <t>D613521</t>
        </is>
      </c>
      <c r="C1571" s="43" t="inlineStr">
        <is>
          <t>037-STBU</t>
        </is>
      </c>
      <c r="D1571" s="43" t="inlineStr">
        <is>
          <t>FJZP</t>
        </is>
      </c>
      <c r="E1571" s="43" t="inlineStr">
        <is>
          <t>MCGA</t>
        </is>
      </c>
      <c r="F1571" s="43" t="inlineStr">
        <is>
          <t>800-105500-03</t>
        </is>
      </c>
      <c r="G1571" s="43" t="inlineStr">
        <is>
          <t>OTHER_SCOPE_ITEM</t>
        </is>
      </c>
      <c r="H1571" s="43" t="inlineStr"/>
      <c r="I1571" s="43" t="inlineStr">
        <is>
          <t>FAI Status</t>
        </is>
      </c>
      <c r="J1571" s="32" t="n">
        <v>46348</v>
      </c>
      <c r="K1571" s="32" t="n">
        <v>46287</v>
      </c>
      <c r="L1571" s="43" t="inlineStr">
        <is>
          <t>1701</t>
        </is>
      </c>
      <c r="M1571" s="43" t="n">
        <v>1</v>
      </c>
      <c r="N1571" s="33" t="inlineStr"/>
      <c r="O1571" s="43" t="inlineStr">
        <is>
          <t>UNVERIFIED</t>
        </is>
      </c>
      <c r="P1571" s="43" t="inlineStr">
        <is>
          <t>Pending Review</t>
        </is>
      </c>
      <c r="Q1571" s="33" t="inlineStr">
        <is>
          <t>Confirmar SKU/PCBA revision, PN exacto en Common DB, WO, BU, vigencia, planta y aprobacion firmada.</t>
        </is>
      </c>
    </row>
    <row r="1572">
      <c r="A1572" s="43" t="inlineStr">
        <is>
          <t>CTANJZ05436</t>
        </is>
      </c>
      <c r="B1572" s="43" t="inlineStr">
        <is>
          <t>D613521</t>
        </is>
      </c>
      <c r="C1572" s="43" t="inlineStr">
        <is>
          <t>037-STBU</t>
        </is>
      </c>
      <c r="D1572" s="43" t="inlineStr">
        <is>
          <t>FJZP</t>
        </is>
      </c>
      <c r="E1572" s="43" t="inlineStr">
        <is>
          <t>MCGA</t>
        </is>
      </c>
      <c r="F1572" s="43" t="inlineStr">
        <is>
          <t>800-106754-02</t>
        </is>
      </c>
      <c r="G1572" s="43" t="inlineStr">
        <is>
          <t>OTHER_SCOPE_ITEM</t>
        </is>
      </c>
      <c r="H1572" s="43" t="inlineStr"/>
      <c r="I1572" s="43" t="inlineStr">
        <is>
          <t>FAI Status</t>
        </is>
      </c>
      <c r="J1572" s="32" t="n">
        <v>46348</v>
      </c>
      <c r="K1572" s="32" t="n">
        <v>46287</v>
      </c>
      <c r="L1572" s="43" t="inlineStr">
        <is>
          <t>1672</t>
        </is>
      </c>
      <c r="M1572" s="43" t="n">
        <v>1</v>
      </c>
      <c r="N1572" s="33" t="inlineStr"/>
      <c r="O1572" s="43" t="inlineStr">
        <is>
          <t>UNVERIFIED</t>
        </is>
      </c>
      <c r="P1572" s="43" t="inlineStr">
        <is>
          <t>Pending Review</t>
        </is>
      </c>
      <c r="Q1572" s="33" t="inlineStr">
        <is>
          <t>Confirmar SKU/PCBA revision, PN exacto en Common DB, WO, BU, vigencia, planta y aprobacion firmada.</t>
        </is>
      </c>
    </row>
    <row r="1573">
      <c r="A1573" s="43" t="inlineStr">
        <is>
          <t>CTANJZ05437</t>
        </is>
      </c>
      <c r="B1573" s="43" t="inlineStr">
        <is>
          <t>D613615</t>
        </is>
      </c>
      <c r="C1573" s="43" t="inlineStr">
        <is>
          <t>018-SRGBU</t>
        </is>
      </c>
      <c r="D1573" s="43" t="inlineStr">
        <is>
          <t>FJZP</t>
        </is>
      </c>
      <c r="E1573" s="43" t="inlineStr">
        <is>
          <t>MCGA</t>
        </is>
      </c>
      <c r="F1573" s="43" t="inlineStr">
        <is>
          <t>47-110072-01</t>
        </is>
      </c>
      <c r="G1573" s="43" t="inlineStr">
        <is>
          <t>OTHER_SCOPE_ITEM</t>
        </is>
      </c>
      <c r="H1573" s="43" t="inlineStr"/>
      <c r="I1573" s="43" t="inlineStr">
        <is>
          <t>FAI Status</t>
        </is>
      </c>
      <c r="J1573" s="32" t="n">
        <v>46348</v>
      </c>
      <c r="K1573" s="32" t="n">
        <v>46281</v>
      </c>
      <c r="L1573" s="43" t="inlineStr">
        <is>
          <t>1255</t>
        </is>
      </c>
      <c r="M1573" s="43" t="n">
        <v>1</v>
      </c>
      <c r="N1573" s="33" t="inlineStr"/>
      <c r="O1573" s="43" t="inlineStr">
        <is>
          <t>UNVERIFIED</t>
        </is>
      </c>
      <c r="P1573" s="43" t="inlineStr">
        <is>
          <t>Pending Review</t>
        </is>
      </c>
      <c r="Q1573" s="33" t="inlineStr">
        <is>
          <t>Confirmar SKU/PCBA revision, PN exacto en Common DB, WO, BU, vigencia, planta y aprobacion firmada.</t>
        </is>
      </c>
    </row>
    <row r="1574">
      <c r="A1574" s="43" t="inlineStr">
        <is>
          <t>CTANJZ05438</t>
        </is>
      </c>
      <c r="B1574" s="43" t="inlineStr">
        <is>
          <t>D613532</t>
        </is>
      </c>
      <c r="C1574" s="43" t="inlineStr">
        <is>
          <t>037-STBU</t>
        </is>
      </c>
      <c r="D1574" s="43" t="inlineStr">
        <is>
          <t>FJZP</t>
        </is>
      </c>
      <c r="E1574" s="43" t="inlineStr">
        <is>
          <t>MCGA</t>
        </is>
      </c>
      <c r="F1574" s="43" t="inlineStr">
        <is>
          <t>800-109498-07</t>
        </is>
      </c>
      <c r="G1574" s="43" t="inlineStr">
        <is>
          <t>OTHER_SCOPE_ITEM</t>
        </is>
      </c>
      <c r="H1574" s="43" t="inlineStr"/>
      <c r="I1574" s="43" t="inlineStr">
        <is>
          <t>FAI Status</t>
        </is>
      </c>
      <c r="J1574" s="32" t="n">
        <v>46349</v>
      </c>
      <c r="K1574" s="32" t="n">
        <v>46281</v>
      </c>
      <c r="L1574" s="43" t="inlineStr">
        <is>
          <t>1862</t>
        </is>
      </c>
      <c r="M1574" s="43" t="n">
        <v>1</v>
      </c>
      <c r="N1574" s="33" t="inlineStr"/>
      <c r="O1574" s="43" t="inlineStr">
        <is>
          <t>UNVERIFIED</t>
        </is>
      </c>
      <c r="P1574" s="43" t="inlineStr">
        <is>
          <t>Pending Review</t>
        </is>
      </c>
      <c r="Q1574" s="33" t="inlineStr">
        <is>
          <t>Confirmar SKU/PCBA revision, PN exacto en Common DB, WO, BU, vigencia, planta y aprobacion firmada.</t>
        </is>
      </c>
    </row>
    <row r="1575">
      <c r="A1575" s="43" t="inlineStr">
        <is>
          <t>CTANJZ05438</t>
        </is>
      </c>
      <c r="B1575" s="43" t="inlineStr">
        <is>
          <t>D613532</t>
        </is>
      </c>
      <c r="C1575" s="43" t="inlineStr">
        <is>
          <t>037-STBU</t>
        </is>
      </c>
      <c r="D1575" s="43" t="inlineStr">
        <is>
          <t>FJZP</t>
        </is>
      </c>
      <c r="E1575" s="43" t="inlineStr">
        <is>
          <t>MCGA</t>
        </is>
      </c>
      <c r="F1575" s="43" t="inlineStr">
        <is>
          <t>800-109499-07</t>
        </is>
      </c>
      <c r="G1575" s="43" t="inlineStr">
        <is>
          <t>OTHER_SCOPE_ITEM</t>
        </is>
      </c>
      <c r="H1575" s="43" t="inlineStr"/>
      <c r="I1575" s="43" t="inlineStr">
        <is>
          <t>FAI Status</t>
        </is>
      </c>
      <c r="J1575" s="32" t="n">
        <v>46349</v>
      </c>
      <c r="K1575" s="32" t="n">
        <v>46281</v>
      </c>
      <c r="L1575" s="43" t="inlineStr">
        <is>
          <t>1863</t>
        </is>
      </c>
      <c r="M1575" s="43" t="n">
        <v>1</v>
      </c>
      <c r="N1575" s="33" t="inlineStr"/>
      <c r="O1575" s="43" t="inlineStr">
        <is>
          <t>UNVERIFIED</t>
        </is>
      </c>
      <c r="P1575" s="43" t="inlineStr">
        <is>
          <t>Pending Review</t>
        </is>
      </c>
      <c r="Q1575" s="33" t="inlineStr">
        <is>
          <t>Confirmar SKU/PCBA revision, PN exacto en Common DB, WO, BU, vigencia, planta y aprobacion firmada.</t>
        </is>
      </c>
    </row>
    <row r="1576">
      <c r="A1576" s="43" t="inlineStr">
        <is>
          <t>CTANJZ05438</t>
        </is>
      </c>
      <c r="B1576" s="43" t="inlineStr">
        <is>
          <t>D613532</t>
        </is>
      </c>
      <c r="C1576" s="43" t="inlineStr">
        <is>
          <t>037-STBU</t>
        </is>
      </c>
      <c r="D1576" s="43" t="inlineStr">
        <is>
          <t>FJZP</t>
        </is>
      </c>
      <c r="E1576" s="43" t="inlineStr">
        <is>
          <t>MCGA</t>
        </is>
      </c>
      <c r="F1576" s="43" t="inlineStr">
        <is>
          <t>800-109500-07</t>
        </is>
      </c>
      <c r="G1576" s="43" t="inlineStr">
        <is>
          <t>OTHER_SCOPE_ITEM</t>
        </is>
      </c>
      <c r="H1576" s="43" t="inlineStr"/>
      <c r="I1576" s="43" t="inlineStr">
        <is>
          <t>FAI Status</t>
        </is>
      </c>
      <c r="J1576" s="32" t="n">
        <v>46349</v>
      </c>
      <c r="K1576" s="32" t="n">
        <v>46281</v>
      </c>
      <c r="L1576" s="43" t="inlineStr">
        <is>
          <t>1864</t>
        </is>
      </c>
      <c r="M1576" s="43" t="n">
        <v>1</v>
      </c>
      <c r="N1576" s="33" t="inlineStr"/>
      <c r="O1576" s="43" t="inlineStr">
        <is>
          <t>UNVERIFIED</t>
        </is>
      </c>
      <c r="P1576" s="43" t="inlineStr">
        <is>
          <t>Pending Review</t>
        </is>
      </c>
      <c r="Q1576" s="33" t="inlineStr">
        <is>
          <t>Confirmar SKU/PCBA revision, PN exacto en Common DB, WO, BU, vigencia, planta y aprobacion firmada.</t>
        </is>
      </c>
    </row>
    <row r="1577">
      <c r="A1577" s="43" t="inlineStr">
        <is>
          <t>CTANJZ05439</t>
        </is>
      </c>
      <c r="B1577" s="43" t="inlineStr">
        <is>
          <t>D613561</t>
        </is>
      </c>
      <c r="C1577" s="43" t="inlineStr">
        <is>
          <t>037-STBU</t>
        </is>
      </c>
      <c r="D1577" s="43" t="inlineStr">
        <is>
          <t>FJZP</t>
        </is>
      </c>
      <c r="E1577" s="43" t="inlineStr">
        <is>
          <t>MCGA</t>
        </is>
      </c>
      <c r="F1577" s="43" t="inlineStr">
        <is>
          <t>36-0148-02</t>
        </is>
      </c>
      <c r="G1577" s="43" t="inlineStr">
        <is>
          <t>OTHER_SCOPE_ITEM</t>
        </is>
      </c>
      <c r="H1577" s="43" t="inlineStr"/>
      <c r="I1577" s="43" t="inlineStr">
        <is>
          <t>Implementation</t>
        </is>
      </c>
      <c r="J1577" s="32" t="n">
        <v>46350</v>
      </c>
      <c r="K1577" s="32" t="n">
        <v>46287</v>
      </c>
      <c r="L1577" s="43" t="inlineStr">
        <is>
          <t>260,1609</t>
        </is>
      </c>
      <c r="M1577" s="43" t="n">
        <v>2</v>
      </c>
      <c r="N1577" s="33" t="inlineStr"/>
      <c r="O1577" s="43" t="inlineStr">
        <is>
          <t>UNVERIFIED</t>
        </is>
      </c>
      <c r="P1577" s="43" t="inlineStr">
        <is>
          <t>Pending Review</t>
        </is>
      </c>
      <c r="Q1577" s="33" t="inlineStr">
        <is>
          <t>Confirmar SKU/PCBA revision, PN exacto en Common DB, WO, BU, vigencia, planta y aprobacion firmada.</t>
        </is>
      </c>
    </row>
    <row r="1578">
      <c r="A1578" s="43" t="inlineStr">
        <is>
          <t>CTANJZ05439</t>
        </is>
      </c>
      <c r="B1578" s="43" t="inlineStr">
        <is>
          <t>D613561</t>
        </is>
      </c>
      <c r="C1578" s="43" t="inlineStr">
        <is>
          <t>037-STBU</t>
        </is>
      </c>
      <c r="D1578" s="43" t="inlineStr">
        <is>
          <t>FJZP</t>
        </is>
      </c>
      <c r="E1578" s="43" t="inlineStr">
        <is>
          <t>MCGA</t>
        </is>
      </c>
      <c r="F1578" s="43" t="inlineStr">
        <is>
          <t>73-18489-08</t>
        </is>
      </c>
      <c r="G1578" s="43" t="inlineStr">
        <is>
          <t>BOARD_PN_CANDIDATE</t>
        </is>
      </c>
      <c r="H1578" s="43" t="inlineStr"/>
      <c r="I1578" s="43" t="inlineStr">
        <is>
          <t>Implementation</t>
        </is>
      </c>
      <c r="J1578" s="32" t="n">
        <v>46350</v>
      </c>
      <c r="K1578" s="32" t="n">
        <v>46287</v>
      </c>
      <c r="L1578" s="43" t="inlineStr">
        <is>
          <t>261,1610</t>
        </is>
      </c>
      <c r="M1578" s="43" t="n">
        <v>2</v>
      </c>
      <c r="N1578" s="33" t="inlineStr"/>
      <c r="O1578" s="43" t="inlineStr">
        <is>
          <t>UNVERIFIED</t>
        </is>
      </c>
      <c r="P1578" s="43" t="inlineStr">
        <is>
          <t>Pending Review</t>
        </is>
      </c>
      <c r="Q1578" s="33" t="inlineStr">
        <is>
          <t>Confirmar SKU/PCBA revision, PN exacto en Common DB, WO, BU, vigencia, planta y aprobacion firmada.</t>
        </is>
      </c>
    </row>
    <row r="1579">
      <c r="A1579" s="43" t="inlineStr">
        <is>
          <t>CTANJZ05440</t>
        </is>
      </c>
      <c r="B1579" s="43" t="inlineStr">
        <is>
          <t>D613638</t>
        </is>
      </c>
      <c r="C1579" s="43" t="inlineStr">
        <is>
          <t>018-SRGBU</t>
        </is>
      </c>
      <c r="D1579" s="43" t="inlineStr">
        <is>
          <t>FJZP</t>
        </is>
      </c>
      <c r="E1579" s="43" t="inlineStr">
        <is>
          <t>MCGA</t>
        </is>
      </c>
      <c r="F1579" s="43" t="inlineStr">
        <is>
          <t>74-135544-03</t>
        </is>
      </c>
      <c r="G1579" s="43" t="inlineStr">
        <is>
          <t>OTHER_SCOPE_ITEM</t>
        </is>
      </c>
      <c r="H1579" s="43" t="inlineStr"/>
      <c r="I1579" s="43" t="inlineStr">
        <is>
          <t>Implementation</t>
        </is>
      </c>
      <c r="J1579" s="32" t="n">
        <v>46350</v>
      </c>
      <c r="K1579" s="32" t="n">
        <v>46287</v>
      </c>
      <c r="L1579" s="43" t="inlineStr">
        <is>
          <t>1266</t>
        </is>
      </c>
      <c r="M1579" s="43" t="n">
        <v>1</v>
      </c>
      <c r="N1579" s="33" t="inlineStr"/>
      <c r="O1579" s="43" t="inlineStr">
        <is>
          <t>UNVERIFIED</t>
        </is>
      </c>
      <c r="P1579" s="43" t="inlineStr">
        <is>
          <t>Pending Review</t>
        </is>
      </c>
      <c r="Q1579" s="33" t="inlineStr">
        <is>
          <t>Confirmar SKU/PCBA revision, PN exacto en Common DB, WO, BU, vigencia, planta y aprobacion firmada.</t>
        </is>
      </c>
    </row>
    <row r="1580">
      <c r="A1580" s="43" t="inlineStr">
        <is>
          <t>CTANJZ05440</t>
        </is>
      </c>
      <c r="B1580" s="43" t="inlineStr">
        <is>
          <t>D613638</t>
        </is>
      </c>
      <c r="C1580" s="43" t="inlineStr">
        <is>
          <t>018-SRGBU</t>
        </is>
      </c>
      <c r="D1580" s="43" t="inlineStr">
        <is>
          <t>FJZP</t>
        </is>
      </c>
      <c r="E1580" s="43" t="inlineStr">
        <is>
          <t>MCGA</t>
        </is>
      </c>
      <c r="F1580" s="43" t="inlineStr">
        <is>
          <t>74-141119-02</t>
        </is>
      </c>
      <c r="G1580" s="43" t="inlineStr">
        <is>
          <t>OTHER_SCOPE_ITEM</t>
        </is>
      </c>
      <c r="H1580" s="43" t="inlineStr"/>
      <c r="I1580" s="43" t="inlineStr">
        <is>
          <t>Implementation</t>
        </is>
      </c>
      <c r="J1580" s="32" t="n">
        <v>46350</v>
      </c>
      <c r="K1580" s="32" t="n">
        <v>46287</v>
      </c>
      <c r="L1580" s="43" t="inlineStr">
        <is>
          <t>1267</t>
        </is>
      </c>
      <c r="M1580" s="43" t="n">
        <v>1</v>
      </c>
      <c r="N1580" s="33" t="inlineStr"/>
      <c r="O1580" s="43" t="inlineStr">
        <is>
          <t>UNVERIFIED</t>
        </is>
      </c>
      <c r="P1580" s="43" t="inlineStr">
        <is>
          <t>Pending Review</t>
        </is>
      </c>
      <c r="Q1580" s="33" t="inlineStr">
        <is>
          <t>Confirmar SKU/PCBA revision, PN exacto en Common DB, WO, BU, vigencia, planta y aprobacion firmada.</t>
        </is>
      </c>
    </row>
    <row r="1581">
      <c r="A1581" s="43" t="inlineStr">
        <is>
          <t>CTANJZ05442</t>
        </is>
      </c>
      <c r="B1581" s="43" t="inlineStr">
        <is>
          <t>D613519</t>
        </is>
      </c>
      <c r="C1581" s="43" t="inlineStr">
        <is>
          <t>037-STBU</t>
        </is>
      </c>
      <c r="D1581" s="43" t="inlineStr">
        <is>
          <t>FJZP</t>
        </is>
      </c>
      <c r="E1581" s="43" t="inlineStr">
        <is>
          <t>MCGA</t>
        </is>
      </c>
      <c r="F1581" s="43" t="inlineStr">
        <is>
          <t>11-1970-01</t>
        </is>
      </c>
      <c r="G1581" s="43" t="inlineStr">
        <is>
          <t>OTHER_SCOPE_ITEM</t>
        </is>
      </c>
      <c r="H1581" s="43" t="inlineStr"/>
      <c r="I1581" s="43" t="inlineStr">
        <is>
          <t>FAI Status</t>
        </is>
      </c>
      <c r="J1581" s="32" t="n">
        <v>46350</v>
      </c>
      <c r="K1581" s="32" t="n">
        <v>46281</v>
      </c>
      <c r="L1581" s="43" t="inlineStr">
        <is>
          <t>616</t>
        </is>
      </c>
      <c r="M1581" s="43" t="n">
        <v>1</v>
      </c>
      <c r="N1581" s="33" t="inlineStr"/>
      <c r="O1581" s="43" t="inlineStr">
        <is>
          <t>UNVERIFIED</t>
        </is>
      </c>
      <c r="P1581" s="43" t="inlineStr">
        <is>
          <t>Pending Review</t>
        </is>
      </c>
      <c r="Q1581" s="33" t="inlineStr">
        <is>
          <t>Confirmar SKU/PCBA revision, PN exacto en Common DB, WO, BU, vigencia, planta y aprobacion firmada.</t>
        </is>
      </c>
    </row>
    <row r="1582">
      <c r="A1582" s="43" t="inlineStr">
        <is>
          <t>CTANJZ05442</t>
        </is>
      </c>
      <c r="B1582" s="43" t="inlineStr">
        <is>
          <t>D613519</t>
        </is>
      </c>
      <c r="C1582" s="43" t="inlineStr">
        <is>
          <t>037-STBU</t>
        </is>
      </c>
      <c r="D1582" s="43" t="inlineStr">
        <is>
          <t>FJZP</t>
        </is>
      </c>
      <c r="E1582" s="43" t="inlineStr">
        <is>
          <t>MCGA</t>
        </is>
      </c>
      <c r="F1582" s="43" t="inlineStr">
        <is>
          <t>73-16681-10</t>
        </is>
      </c>
      <c r="G1582" s="43" t="inlineStr">
        <is>
          <t>BOARD_PN_CANDIDATE</t>
        </is>
      </c>
      <c r="H1582" s="43" t="inlineStr"/>
      <c r="I1582" s="43" t="inlineStr">
        <is>
          <t>FAI Status</t>
        </is>
      </c>
      <c r="J1582" s="32" t="n">
        <v>46350</v>
      </c>
      <c r="K1582" s="32" t="n">
        <v>46281</v>
      </c>
      <c r="L1582" s="43" t="inlineStr">
        <is>
          <t>617</t>
        </is>
      </c>
      <c r="M1582" s="43" t="n">
        <v>1</v>
      </c>
      <c r="N1582" s="33" t="inlineStr"/>
      <c r="O1582" s="43" t="inlineStr">
        <is>
          <t>UNVERIFIED</t>
        </is>
      </c>
      <c r="P1582" s="43" t="inlineStr">
        <is>
          <t>Pending Review</t>
        </is>
      </c>
      <c r="Q1582" s="33" t="inlineStr">
        <is>
          <t>Confirmar SKU/PCBA revision, PN exacto en Common DB, WO, BU, vigencia, planta y aprobacion firmada.</t>
        </is>
      </c>
    </row>
    <row r="1583">
      <c r="A1583" s="43" t="inlineStr">
        <is>
          <t>CTANJZ05442</t>
        </is>
      </c>
      <c r="B1583" s="43" t="inlineStr">
        <is>
          <t>D613519</t>
        </is>
      </c>
      <c r="C1583" s="43" t="inlineStr">
        <is>
          <t>037-STBU</t>
        </is>
      </c>
      <c r="D1583" s="43" t="inlineStr">
        <is>
          <t>FJZP</t>
        </is>
      </c>
      <c r="E1583" s="43" t="inlineStr">
        <is>
          <t>MCGA</t>
        </is>
      </c>
      <c r="F1583" s="43" t="inlineStr">
        <is>
          <t>73-16682-05</t>
        </is>
      </c>
      <c r="G1583" s="43" t="inlineStr">
        <is>
          <t>BOARD_PN_CANDIDATE</t>
        </is>
      </c>
      <c r="H1583" s="43" t="inlineStr"/>
      <c r="I1583" s="43" t="inlineStr">
        <is>
          <t>FAI Status</t>
        </is>
      </c>
      <c r="J1583" s="32" t="n">
        <v>46350</v>
      </c>
      <c r="K1583" s="32" t="n">
        <v>46281</v>
      </c>
      <c r="L1583" s="43" t="inlineStr">
        <is>
          <t>618</t>
        </is>
      </c>
      <c r="M1583" s="43" t="n">
        <v>1</v>
      </c>
      <c r="N1583" s="33" t="inlineStr"/>
      <c r="O1583" s="43" t="inlineStr">
        <is>
          <t>UNVERIFIED</t>
        </is>
      </c>
      <c r="P1583" s="43" t="inlineStr">
        <is>
          <t>Pending Review</t>
        </is>
      </c>
      <c r="Q1583" s="33" t="inlineStr">
        <is>
          <t>Confirmar SKU/PCBA revision, PN exacto en Common DB, WO, BU, vigencia, planta y aprobacion firmada.</t>
        </is>
      </c>
    </row>
    <row r="1584">
      <c r="A1584" s="43" t="inlineStr">
        <is>
          <t>CTANJZ05446</t>
        </is>
      </c>
      <c r="B1584" s="43" t="inlineStr">
        <is>
          <t>D613569</t>
        </is>
      </c>
      <c r="C1584" s="43" t="inlineStr">
        <is>
          <t>239-CRBU</t>
        </is>
      </c>
      <c r="D1584" s="43" t="inlineStr">
        <is>
          <t>FJZP</t>
        </is>
      </c>
      <c r="E1584" s="43" t="inlineStr">
        <is>
          <t>MCGA</t>
        </is>
      </c>
      <c r="F1584" s="43" t="inlineStr">
        <is>
          <t>16-2665-02</t>
        </is>
      </c>
      <c r="G1584" s="43" t="inlineStr">
        <is>
          <t>OTHER_SCOPE_ITEM</t>
        </is>
      </c>
      <c r="H1584" s="43" t="inlineStr"/>
      <c r="I1584" s="43" t="inlineStr">
        <is>
          <t>FAI Status</t>
        </is>
      </c>
      <c r="J1584" s="32" t="n">
        <v>46441</v>
      </c>
      <c r="K1584" s="32" t="n">
        <v>46295</v>
      </c>
      <c r="L1584" s="43" t="inlineStr">
        <is>
          <t>86,265</t>
        </is>
      </c>
      <c r="M1584" s="43" t="n">
        <v>2</v>
      </c>
      <c r="N1584" s="33" t="inlineStr"/>
      <c r="O1584" s="43" t="inlineStr">
        <is>
          <t>UNVERIFIED</t>
        </is>
      </c>
      <c r="P1584" s="43" t="inlineStr">
        <is>
          <t>Pending Review</t>
        </is>
      </c>
      <c r="Q1584" s="33" t="inlineStr">
        <is>
          <t>Confirmar SKU/PCBA revision, PN exacto en Common DB, WO, BU, vigencia, planta y aprobacion firmada.</t>
        </is>
      </c>
    </row>
    <row r="1585">
      <c r="A1585" s="43" t="inlineStr">
        <is>
          <t>CTANJZ05446</t>
        </is>
      </c>
      <c r="B1585" s="43" t="inlineStr">
        <is>
          <t>D613569</t>
        </is>
      </c>
      <c r="C1585" s="43" t="inlineStr">
        <is>
          <t>239-CRBU</t>
        </is>
      </c>
      <c r="D1585" s="43" t="inlineStr">
        <is>
          <t>FJZP</t>
        </is>
      </c>
      <c r="E1585" s="43" t="inlineStr">
        <is>
          <t>MCGA</t>
        </is>
      </c>
      <c r="F1585" s="43" t="inlineStr">
        <is>
          <t>73-19152-02</t>
        </is>
      </c>
      <c r="G1585" s="43" t="inlineStr">
        <is>
          <t>BOARD_PN_CANDIDATE</t>
        </is>
      </c>
      <c r="H1585" s="43" t="inlineStr"/>
      <c r="I1585" s="43" t="inlineStr">
        <is>
          <t>FAI Status</t>
        </is>
      </c>
      <c r="J1585" s="32" t="n">
        <v>46441</v>
      </c>
      <c r="K1585" s="32" t="n">
        <v>46295</v>
      </c>
      <c r="L1585" s="43" t="inlineStr">
        <is>
          <t>87,266</t>
        </is>
      </c>
      <c r="M1585" s="43" t="n">
        <v>2</v>
      </c>
      <c r="N1585" s="33" t="inlineStr"/>
      <c r="O1585" s="39" t="inlineStr">
        <is>
          <t>EXCLUDED - FJZ RULE</t>
        </is>
      </c>
      <c r="P1585" s="43" t="inlineStr">
        <is>
          <t>Rejected</t>
        </is>
      </c>
      <c r="Q1585" s="33" t="inlineStr">
        <is>
          <t>PN fuera de FJZ segun alcance historico; requiere asignacion explicita.</t>
        </is>
      </c>
    </row>
    <row r="1586">
      <c r="A1586" s="43" t="inlineStr">
        <is>
          <t>CTANJZ05449</t>
        </is>
      </c>
      <c r="B1586" s="43" t="inlineStr">
        <is>
          <t>D613605</t>
        </is>
      </c>
      <c r="C1586" s="43" t="inlineStr">
        <is>
          <t>035-CVEBU</t>
        </is>
      </c>
      <c r="D1586" s="43" t="inlineStr">
        <is>
          <t>FJZP</t>
        </is>
      </c>
      <c r="E1586" s="43" t="inlineStr">
        <is>
          <t>MCGA</t>
        </is>
      </c>
      <c r="F1586" s="43" t="inlineStr">
        <is>
          <t>28-102088-05</t>
        </is>
      </c>
      <c r="G1586" s="43" t="inlineStr">
        <is>
          <t>BARE_PCB_PN_CANDIDATE</t>
        </is>
      </c>
      <c r="H1586" s="43" t="inlineStr"/>
      <c r="I1586" s="43" t="inlineStr">
        <is>
          <t>FAI Status</t>
        </is>
      </c>
      <c r="J1586" s="32" t="n">
        <v>46353</v>
      </c>
      <c r="K1586" s="32" t="n">
        <v>46294</v>
      </c>
      <c r="L1586" s="43" t="inlineStr">
        <is>
          <t>84</t>
        </is>
      </c>
      <c r="M1586" s="43" t="n">
        <v>1</v>
      </c>
      <c r="N1586" s="33" t="inlineStr"/>
      <c r="O1586" s="43" t="inlineStr">
        <is>
          <t>UNVERIFIED</t>
        </is>
      </c>
      <c r="P1586" s="43" t="inlineStr">
        <is>
          <t>Pending Review</t>
        </is>
      </c>
      <c r="Q1586" s="33" t="inlineStr">
        <is>
          <t>Confirmar SKU/PCBA revision, PN exacto en Common DB, WO, BU, vigencia, planta y aprobacion firmada.</t>
        </is>
      </c>
    </row>
    <row r="1587">
      <c r="A1587" s="43" t="inlineStr">
        <is>
          <t>CTANJZ05449</t>
        </is>
      </c>
      <c r="B1587" s="43" t="inlineStr">
        <is>
          <t>D613605</t>
        </is>
      </c>
      <c r="C1587" s="43" t="inlineStr">
        <is>
          <t>035-CVEBU</t>
        </is>
      </c>
      <c r="D1587" s="43" t="inlineStr">
        <is>
          <t>FJZP</t>
        </is>
      </c>
      <c r="E1587" s="43" t="inlineStr">
        <is>
          <t>MCGA</t>
        </is>
      </c>
      <c r="F1587" s="43" t="inlineStr">
        <is>
          <t>68-105050-01</t>
        </is>
      </c>
      <c r="G1587" s="43" t="inlineStr">
        <is>
          <t>OTHER_SCOPE_ITEM</t>
        </is>
      </c>
      <c r="H1587" s="43" t="inlineStr"/>
      <c r="I1587" s="43" t="inlineStr">
        <is>
          <t>FAI Status</t>
        </is>
      </c>
      <c r="J1587" s="32" t="n">
        <v>46353</v>
      </c>
      <c r="K1587" s="32" t="n">
        <v>46294</v>
      </c>
      <c r="L1587" s="43" t="inlineStr">
        <is>
          <t>85</t>
        </is>
      </c>
      <c r="M1587" s="43" t="n">
        <v>1</v>
      </c>
      <c r="N1587" s="33" t="inlineStr"/>
      <c r="O1587" s="43" t="inlineStr">
        <is>
          <t>UNVERIFIED</t>
        </is>
      </c>
      <c r="P1587" s="43" t="inlineStr">
        <is>
          <t>Pending Review</t>
        </is>
      </c>
      <c r="Q1587" s="33" t="inlineStr">
        <is>
          <t>Confirmar SKU/PCBA revision, PN exacto en Common DB, WO, BU, vigencia, planta y aprobacion firmada.</t>
        </is>
      </c>
    </row>
    <row r="1588">
      <c r="A1588" s="43" t="inlineStr">
        <is>
          <t>CTANJZ05450</t>
        </is>
      </c>
      <c r="B1588" s="43" t="inlineStr">
        <is>
          <t>D613609</t>
        </is>
      </c>
      <c r="C1588" s="43" t="inlineStr">
        <is>
          <t>035-CVEBU</t>
        </is>
      </c>
      <c r="D1588" s="43" t="inlineStr">
        <is>
          <t>FJZP</t>
        </is>
      </c>
      <c r="E1588" s="43" t="inlineStr">
        <is>
          <t>MCGA</t>
        </is>
      </c>
      <c r="F1588" s="43" t="inlineStr">
        <is>
          <t>28-103291-01</t>
        </is>
      </c>
      <c r="G1588" s="43" t="inlineStr">
        <is>
          <t>BARE_PCB_PN_CANDIDATE</t>
        </is>
      </c>
      <c r="H1588" s="43" t="inlineStr"/>
      <c r="I1588" s="43" t="inlineStr">
        <is>
          <t>FAI Status</t>
        </is>
      </c>
      <c r="J1588" s="32" t="n">
        <v>46355</v>
      </c>
      <c r="K1588" s="32" t="n">
        <v>46296</v>
      </c>
      <c r="L1588" s="43" t="inlineStr">
        <is>
          <t>271</t>
        </is>
      </c>
      <c r="M1588" s="43" t="n">
        <v>1</v>
      </c>
      <c r="N1588" s="33" t="inlineStr"/>
      <c r="O1588" s="43" t="inlineStr">
        <is>
          <t>UNVERIFIED</t>
        </is>
      </c>
      <c r="P1588" s="43" t="inlineStr">
        <is>
          <t>Pending Review</t>
        </is>
      </c>
      <c r="Q1588" s="33" t="inlineStr">
        <is>
          <t>Confirmar SKU/PCBA revision, PN exacto en Common DB, WO, BU, vigencia, planta y aprobacion firmada.</t>
        </is>
      </c>
    </row>
    <row r="1589">
      <c r="A1589" s="43" t="inlineStr">
        <is>
          <t>CTANJZ05450</t>
        </is>
      </c>
      <c r="B1589" s="43" t="inlineStr">
        <is>
          <t>D613609</t>
        </is>
      </c>
      <c r="C1589" s="43" t="inlineStr">
        <is>
          <t>035-CVEBU</t>
        </is>
      </c>
      <c r="D1589" s="43" t="inlineStr">
        <is>
          <t>FJZP</t>
        </is>
      </c>
      <c r="E1589" s="43" t="inlineStr">
        <is>
          <t>MCGA</t>
        </is>
      </c>
      <c r="F1589" s="43" t="inlineStr">
        <is>
          <t>68-104607-01</t>
        </is>
      </c>
      <c r="G1589" s="43" t="inlineStr">
        <is>
          <t>OTHER_SCOPE_ITEM</t>
        </is>
      </c>
      <c r="H1589" s="43" t="inlineStr"/>
      <c r="I1589" s="43" t="inlineStr">
        <is>
          <t>FAI Status</t>
        </is>
      </c>
      <c r="J1589" s="32" t="n">
        <v>46355</v>
      </c>
      <c r="K1589" s="32" t="n">
        <v>46296</v>
      </c>
      <c r="L1589" s="43" t="inlineStr">
        <is>
          <t>272</t>
        </is>
      </c>
      <c r="M1589" s="43" t="n">
        <v>1</v>
      </c>
      <c r="N1589" s="33" t="inlineStr"/>
      <c r="O1589" s="43" t="inlineStr">
        <is>
          <t>UNVERIFIED</t>
        </is>
      </c>
      <c r="P1589" s="43" t="inlineStr">
        <is>
          <t>Pending Review</t>
        </is>
      </c>
      <c r="Q1589" s="33" t="inlineStr">
        <is>
          <t>Confirmar SKU/PCBA revision, PN exacto en Common DB, WO, BU, vigencia, planta y aprobacion firmada.</t>
        </is>
      </c>
    </row>
    <row r="1590">
      <c r="A1590" s="43" t="inlineStr">
        <is>
          <t>CTANJZ05451</t>
        </is>
      </c>
      <c r="B1590" s="43" t="inlineStr">
        <is>
          <t>D613618</t>
        </is>
      </c>
      <c r="C1590" s="43" t="inlineStr">
        <is>
          <t>035-CVEBU</t>
        </is>
      </c>
      <c r="D1590" s="43" t="inlineStr">
        <is>
          <t>FJZP</t>
        </is>
      </c>
      <c r="E1590" s="43" t="inlineStr">
        <is>
          <t>MCGA</t>
        </is>
      </c>
      <c r="F1590" s="43" t="inlineStr">
        <is>
          <t>28-103261-05</t>
        </is>
      </c>
      <c r="G1590" s="43" t="inlineStr">
        <is>
          <t>BARE_PCB_PN_CANDIDATE</t>
        </is>
      </c>
      <c r="H1590" s="43" t="inlineStr"/>
      <c r="I1590" s="43" t="inlineStr">
        <is>
          <t>FAI Status</t>
        </is>
      </c>
      <c r="J1590" s="32" t="n">
        <v>46355</v>
      </c>
      <c r="K1590" s="32" t="n">
        <v>46297</v>
      </c>
      <c r="L1590" s="43" t="inlineStr">
        <is>
          <t>273</t>
        </is>
      </c>
      <c r="M1590" s="43" t="n">
        <v>1</v>
      </c>
      <c r="N1590" s="33" t="inlineStr"/>
      <c r="O1590" s="43" t="inlineStr">
        <is>
          <t>UNVERIFIED</t>
        </is>
      </c>
      <c r="P1590" s="43" t="inlineStr">
        <is>
          <t>Pending Review</t>
        </is>
      </c>
      <c r="Q1590" s="33" t="inlineStr">
        <is>
          <t>Confirmar SKU/PCBA revision, PN exacto en Common DB, WO, BU, vigencia, planta y aprobacion firmada.</t>
        </is>
      </c>
    </row>
    <row r="1591">
      <c r="A1591" s="43" t="inlineStr">
        <is>
          <t>CTANJZ05451</t>
        </is>
      </c>
      <c r="B1591" s="43" t="inlineStr">
        <is>
          <t>D613618</t>
        </is>
      </c>
      <c r="C1591" s="43" t="inlineStr">
        <is>
          <t>035-CVEBU</t>
        </is>
      </c>
      <c r="D1591" s="43" t="inlineStr">
        <is>
          <t>FJZP</t>
        </is>
      </c>
      <c r="E1591" s="43" t="inlineStr">
        <is>
          <t>MCGA</t>
        </is>
      </c>
      <c r="F1591" s="43" t="inlineStr">
        <is>
          <t>68-104607-01</t>
        </is>
      </c>
      <c r="G1591" s="43" t="inlineStr">
        <is>
          <t>OTHER_SCOPE_ITEM</t>
        </is>
      </c>
      <c r="H1591" s="43" t="inlineStr"/>
      <c r="I1591" s="43" t="inlineStr">
        <is>
          <t>FAI Status</t>
        </is>
      </c>
      <c r="J1591" s="32" t="n">
        <v>46355</v>
      </c>
      <c r="K1591" s="32" t="n">
        <v>46297</v>
      </c>
      <c r="L1591" s="43" t="inlineStr">
        <is>
          <t>274</t>
        </is>
      </c>
      <c r="M1591" s="43" t="n">
        <v>1</v>
      </c>
      <c r="N1591" s="33" t="inlineStr"/>
      <c r="O1591" s="43" t="inlineStr">
        <is>
          <t>UNVERIFIED</t>
        </is>
      </c>
      <c r="P1591" s="43" t="inlineStr">
        <is>
          <t>Pending Review</t>
        </is>
      </c>
      <c r="Q1591" s="33" t="inlineStr">
        <is>
          <t>Confirmar SKU/PCBA revision, PN exacto en Common DB, WO, BU, vigencia, planta y aprobacion firmada.</t>
        </is>
      </c>
    </row>
    <row r="1592">
      <c r="A1592" s="43" t="inlineStr">
        <is>
          <t>CTANJZ05453</t>
        </is>
      </c>
      <c r="B1592" s="43" t="inlineStr">
        <is>
          <t>D613633</t>
        </is>
      </c>
      <c r="C1592" s="43" t="inlineStr">
        <is>
          <t>239-CRBU</t>
        </is>
      </c>
      <c r="D1592" s="43" t="inlineStr">
        <is>
          <t>FJZP</t>
        </is>
      </c>
      <c r="E1592" s="43" t="inlineStr">
        <is>
          <t>MCGA</t>
        </is>
      </c>
      <c r="F1592" s="43" t="inlineStr">
        <is>
          <t>16-100239-01</t>
        </is>
      </c>
      <c r="G1592" s="43" t="inlineStr">
        <is>
          <t>OTHER_SCOPE_ITEM</t>
        </is>
      </c>
      <c r="H1592" s="43" t="inlineStr"/>
      <c r="I1592" s="43" t="inlineStr">
        <is>
          <t>FAI Status</t>
        </is>
      </c>
      <c r="J1592" s="32" t="n">
        <v>46446</v>
      </c>
      <c r="K1592" s="32" t="n">
        <v>46294</v>
      </c>
      <c r="L1592" s="43" t="inlineStr">
        <is>
          <t>91,270</t>
        </is>
      </c>
      <c r="M1592" s="43" t="n">
        <v>2</v>
      </c>
      <c r="N1592" s="33" t="inlineStr"/>
      <c r="O1592" s="43" t="inlineStr">
        <is>
          <t>UNVERIFIED</t>
        </is>
      </c>
      <c r="P1592" s="43" t="inlineStr">
        <is>
          <t>Pending Review</t>
        </is>
      </c>
      <c r="Q1592" s="33" t="inlineStr">
        <is>
          <t>Confirmar SKU/PCBA revision, PN exacto en Common DB, WO, BU, vigencia, planta y aprobacion firmada.</t>
        </is>
      </c>
    </row>
    <row r="1593">
      <c r="A1593" s="43" t="inlineStr">
        <is>
          <t>CTANJZ05454</t>
        </is>
      </c>
      <c r="B1593" s="43" t="inlineStr">
        <is>
          <t>D613632</t>
        </is>
      </c>
      <c r="C1593" s="43" t="inlineStr">
        <is>
          <t>239-CRBU</t>
        </is>
      </c>
      <c r="D1593" s="43" t="inlineStr">
        <is>
          <t>FJZP</t>
        </is>
      </c>
      <c r="E1593" s="43" t="inlineStr">
        <is>
          <t>MCGA</t>
        </is>
      </c>
      <c r="F1593" s="43" t="inlineStr">
        <is>
          <t>16-100239-01</t>
        </is>
      </c>
      <c r="G1593" s="43" t="inlineStr">
        <is>
          <t>OTHER_SCOPE_ITEM</t>
        </is>
      </c>
      <c r="H1593" s="43" t="inlineStr"/>
      <c r="I1593" s="43" t="inlineStr">
        <is>
          <t>Implementation</t>
        </is>
      </c>
      <c r="J1593" s="32" t="n">
        <v>46446</v>
      </c>
      <c r="K1593" s="32" t="n">
        <v>46294</v>
      </c>
      <c r="L1593" s="43" t="inlineStr">
        <is>
          <t>78,242</t>
        </is>
      </c>
      <c r="M1593" s="43" t="n">
        <v>2</v>
      </c>
      <c r="N1593" s="33" t="inlineStr"/>
      <c r="O1593" s="43" t="inlineStr">
        <is>
          <t>UNVERIFIED</t>
        </is>
      </c>
      <c r="P1593" s="43" t="inlineStr">
        <is>
          <t>Pending Review</t>
        </is>
      </c>
      <c r="Q1593" s="33" t="inlineStr">
        <is>
          <t>Confirmar SKU/PCBA revision, PN exacto en Common DB, WO, BU, vigencia, planta y aprobacion firmada.</t>
        </is>
      </c>
    </row>
    <row r="1594">
      <c r="A1594" s="43" t="inlineStr">
        <is>
          <t>CTANJZ05455</t>
        </is>
      </c>
      <c r="B1594" s="43" t="inlineStr">
        <is>
          <t>D613568</t>
        </is>
      </c>
      <c r="C1594" s="43" t="inlineStr">
        <is>
          <t>239-CRBU</t>
        </is>
      </c>
      <c r="D1594" s="43" t="inlineStr">
        <is>
          <t>FJZP</t>
        </is>
      </c>
      <c r="E1594" s="43" t="inlineStr">
        <is>
          <t>MCGA</t>
        </is>
      </c>
      <c r="F1594" s="43" t="inlineStr">
        <is>
          <t>16-2242-02</t>
        </is>
      </c>
      <c r="G1594" s="43" t="inlineStr">
        <is>
          <t>OTHER_SCOPE_ITEM</t>
        </is>
      </c>
      <c r="H1594" s="43" t="inlineStr"/>
      <c r="I1594" s="43" t="inlineStr">
        <is>
          <t>Implementation</t>
        </is>
      </c>
      <c r="J1594" s="32" t="n">
        <v>46357</v>
      </c>
      <c r="K1594" s="32" t="n">
        <v>46295</v>
      </c>
      <c r="L1594" s="43" t="inlineStr">
        <is>
          <t>79,243</t>
        </is>
      </c>
      <c r="M1594" s="43" t="n">
        <v>2</v>
      </c>
      <c r="N1594" s="33" t="inlineStr"/>
      <c r="O1594" s="43" t="inlineStr">
        <is>
          <t>UNVERIFIED</t>
        </is>
      </c>
      <c r="P1594" s="43" t="inlineStr">
        <is>
          <t>Pending Review</t>
        </is>
      </c>
      <c r="Q1594" s="33" t="inlineStr">
        <is>
          <t>Confirmar SKU/PCBA revision, PN exacto en Common DB, WO, BU, vigencia, planta y aprobacion firmada.</t>
        </is>
      </c>
    </row>
    <row r="1595">
      <c r="A1595" s="43" t="inlineStr">
        <is>
          <t>CTANJZ05456</t>
        </is>
      </c>
      <c r="B1595" s="43" t="inlineStr">
        <is>
          <t>D613567</t>
        </is>
      </c>
      <c r="C1595" s="43" t="inlineStr">
        <is>
          <t>239-CRBU</t>
        </is>
      </c>
      <c r="D1595" s="43" t="inlineStr">
        <is>
          <t>FJZP</t>
        </is>
      </c>
      <c r="E1595" s="43" t="inlineStr">
        <is>
          <t>MCGA</t>
        </is>
      </c>
      <c r="F1595" s="43" t="inlineStr">
        <is>
          <t>16-2242-02</t>
        </is>
      </c>
      <c r="G1595" s="43" t="inlineStr">
        <is>
          <t>OTHER_SCOPE_ITEM</t>
        </is>
      </c>
      <c r="H1595" s="43" t="inlineStr"/>
      <c r="I1595" s="43" t="inlineStr">
        <is>
          <t>Implementation</t>
        </is>
      </c>
      <c r="J1595" s="32" t="n">
        <v>46357</v>
      </c>
      <c r="K1595" s="32" t="n">
        <v>46295</v>
      </c>
      <c r="L1595" s="43" t="inlineStr">
        <is>
          <t>75,239</t>
        </is>
      </c>
      <c r="M1595" s="43" t="n">
        <v>2</v>
      </c>
      <c r="N1595" s="33" t="inlineStr"/>
      <c r="O1595" s="43" t="inlineStr">
        <is>
          <t>UNVERIFIED</t>
        </is>
      </c>
      <c r="P1595" s="43" t="inlineStr">
        <is>
          <t>Pending Review</t>
        </is>
      </c>
      <c r="Q1595" s="33" t="inlineStr">
        <is>
          <t>Confirmar SKU/PCBA revision, PN exacto en Common DB, WO, BU, vigencia, planta y aprobacion firmada.</t>
        </is>
      </c>
    </row>
    <row r="1596">
      <c r="A1596" s="43" t="inlineStr">
        <is>
          <t>CTANJZ05457</t>
        </is>
      </c>
      <c r="B1596" s="43" t="inlineStr">
        <is>
          <t>D613736</t>
        </is>
      </c>
      <c r="C1596" s="43" t="inlineStr">
        <is>
          <t>037-STBU</t>
        </is>
      </c>
      <c r="D1596" s="43" t="inlineStr">
        <is>
          <t>FJZP</t>
        </is>
      </c>
      <c r="E1596" s="43" t="inlineStr">
        <is>
          <t>MCGA</t>
        </is>
      </c>
      <c r="F1596" s="43" t="inlineStr">
        <is>
          <t>10-3317-03</t>
        </is>
      </c>
      <c r="G1596" s="43" t="inlineStr">
        <is>
          <t>OTHER_SCOPE_ITEM</t>
        </is>
      </c>
      <c r="H1596" s="43" t="inlineStr"/>
      <c r="I1596" s="43" t="inlineStr">
        <is>
          <t>Implementation</t>
        </is>
      </c>
      <c r="J1596" s="32" t="n">
        <v>46357</v>
      </c>
      <c r="K1596" s="32" t="n">
        <v>46297</v>
      </c>
      <c r="L1596" s="43" t="inlineStr">
        <is>
          <t>1247</t>
        </is>
      </c>
      <c r="M1596" s="43" t="n">
        <v>1</v>
      </c>
      <c r="N1596" s="33" t="inlineStr"/>
      <c r="O1596" s="43" t="inlineStr">
        <is>
          <t>UNVERIFIED</t>
        </is>
      </c>
      <c r="P1596" s="43" t="inlineStr">
        <is>
          <t>Pending Review</t>
        </is>
      </c>
      <c r="Q1596" s="33" t="inlineStr">
        <is>
          <t>Confirmar SKU/PCBA revision, PN exacto en Common DB, WO, BU, vigencia, planta y aprobacion firmada.</t>
        </is>
      </c>
    </row>
    <row r="1597">
      <c r="A1597" s="43" t="inlineStr">
        <is>
          <t>CTANJZ05457</t>
        </is>
      </c>
      <c r="B1597" s="43" t="inlineStr">
        <is>
          <t>D613736</t>
        </is>
      </c>
      <c r="C1597" s="43" t="inlineStr">
        <is>
          <t>037-STBU</t>
        </is>
      </c>
      <c r="D1597" s="43" t="inlineStr">
        <is>
          <t>FJZP</t>
        </is>
      </c>
      <c r="E1597" s="43" t="inlineStr">
        <is>
          <t>MCGA</t>
        </is>
      </c>
      <c r="F1597" s="43" t="inlineStr">
        <is>
          <t>10-3317-04</t>
        </is>
      </c>
      <c r="G1597" s="43" t="inlineStr">
        <is>
          <t>OTHER_SCOPE_ITEM</t>
        </is>
      </c>
      <c r="H1597" s="43" t="inlineStr"/>
      <c r="I1597" s="43" t="inlineStr">
        <is>
          <t>Implementation</t>
        </is>
      </c>
      <c r="J1597" s="32" t="n">
        <v>46357</v>
      </c>
      <c r="K1597" s="32" t="n">
        <v>46297</v>
      </c>
      <c r="L1597" s="43" t="inlineStr">
        <is>
          <t>1248</t>
        </is>
      </c>
      <c r="M1597" s="43" t="n">
        <v>1</v>
      </c>
      <c r="N1597" s="33" t="inlineStr"/>
      <c r="O1597" s="43" t="inlineStr">
        <is>
          <t>UNVERIFIED</t>
        </is>
      </c>
      <c r="P1597" s="43" t="inlineStr">
        <is>
          <t>Pending Review</t>
        </is>
      </c>
      <c r="Q1597" s="33" t="inlineStr">
        <is>
          <t>Confirmar SKU/PCBA revision, PN exacto en Common DB, WO, BU, vigencia, planta y aprobacion firmada.</t>
        </is>
      </c>
    </row>
    <row r="1598">
      <c r="A1598" s="43" t="inlineStr">
        <is>
          <t>CTANJZ05458</t>
        </is>
      </c>
      <c r="B1598" s="43" t="inlineStr">
        <is>
          <t>D613627</t>
        </is>
      </c>
      <c r="C1598" s="43" t="inlineStr">
        <is>
          <t>239-CRBU</t>
        </is>
      </c>
      <c r="D1598" s="43" t="inlineStr">
        <is>
          <t>FJZP</t>
        </is>
      </c>
      <c r="E1598" s="43" t="inlineStr">
        <is>
          <t>MCGA</t>
        </is>
      </c>
      <c r="F1598" s="43" t="inlineStr">
        <is>
          <t>16-100239-01</t>
        </is>
      </c>
      <c r="G1598" s="43" t="inlineStr">
        <is>
          <t>OTHER_SCOPE_ITEM</t>
        </is>
      </c>
      <c r="H1598" s="43" t="inlineStr"/>
      <c r="I1598" s="43" t="inlineStr">
        <is>
          <t>Implementation</t>
        </is>
      </c>
      <c r="J1598" s="32" t="n">
        <v>46357</v>
      </c>
      <c r="K1598" s="32" t="n">
        <v>46295</v>
      </c>
      <c r="L1598" s="43" t="inlineStr">
        <is>
          <t>71,235</t>
        </is>
      </c>
      <c r="M1598" s="43" t="n">
        <v>2</v>
      </c>
      <c r="N1598" s="33" t="inlineStr"/>
      <c r="O1598" s="43" t="inlineStr">
        <is>
          <t>UNVERIFIED</t>
        </is>
      </c>
      <c r="P1598" s="43" t="inlineStr">
        <is>
          <t>Pending Review</t>
        </is>
      </c>
      <c r="Q1598" s="33" t="inlineStr">
        <is>
          <t>Confirmar SKU/PCBA revision, PN exacto en Common DB, WO, BU, vigencia, planta y aprobacion firmada.</t>
        </is>
      </c>
    </row>
    <row r="1599">
      <c r="A1599" s="43" t="inlineStr">
        <is>
          <t>CTANJZ05458</t>
        </is>
      </c>
      <c r="B1599" s="43" t="inlineStr">
        <is>
          <t>D613627</t>
        </is>
      </c>
      <c r="C1599" s="43" t="inlineStr">
        <is>
          <t>239-CRBU</t>
        </is>
      </c>
      <c r="D1599" s="43" t="inlineStr">
        <is>
          <t>FJZP</t>
        </is>
      </c>
      <c r="E1599" s="43" t="inlineStr">
        <is>
          <t>MCGA</t>
        </is>
      </c>
      <c r="F1599" s="43" t="inlineStr">
        <is>
          <t>17-15768-01</t>
        </is>
      </c>
      <c r="G1599" s="43" t="inlineStr">
        <is>
          <t>OTHER_SCOPE_ITEM</t>
        </is>
      </c>
      <c r="H1599" s="43" t="inlineStr"/>
      <c r="I1599" s="43" t="inlineStr">
        <is>
          <t>Implementation</t>
        </is>
      </c>
      <c r="J1599" s="32" t="n">
        <v>46357</v>
      </c>
      <c r="K1599" s="32" t="n">
        <v>46295</v>
      </c>
      <c r="L1599" s="43" t="inlineStr">
        <is>
          <t>72,236</t>
        </is>
      </c>
      <c r="M1599" s="43" t="n">
        <v>2</v>
      </c>
      <c r="N1599" s="33" t="inlineStr"/>
      <c r="O1599" s="39" t="inlineStr">
        <is>
          <t>EXCLUDED - FJZ RULE</t>
        </is>
      </c>
      <c r="P1599" s="43" t="inlineStr">
        <is>
          <t>Rejected</t>
        </is>
      </c>
      <c r="Q1599" s="33" t="inlineStr">
        <is>
          <t>PN de FVN; no aplicar FJZ sin asignacion explicita.</t>
        </is>
      </c>
    </row>
    <row r="1600">
      <c r="A1600" s="43" t="inlineStr">
        <is>
          <t>CTANJZ05459</t>
        </is>
      </c>
      <c r="B1600" s="43" t="inlineStr">
        <is>
          <t>D613629</t>
        </is>
      </c>
      <c r="C1600" s="43" t="inlineStr">
        <is>
          <t>239-CRBU</t>
        </is>
      </c>
      <c r="D1600" s="43" t="inlineStr">
        <is>
          <t>FJZP</t>
        </is>
      </c>
      <c r="E1600" s="43" t="inlineStr">
        <is>
          <t>MCGA</t>
        </is>
      </c>
      <c r="F1600" s="43" t="inlineStr">
        <is>
          <t>16-100239-01</t>
        </is>
      </c>
      <c r="G1600" s="43" t="inlineStr">
        <is>
          <t>OTHER_SCOPE_ITEM</t>
        </is>
      </c>
      <c r="H1600" s="43" t="inlineStr"/>
      <c r="I1600" s="43" t="inlineStr">
        <is>
          <t>Implementation</t>
        </is>
      </c>
      <c r="J1600" s="32" t="n">
        <v>46357</v>
      </c>
      <c r="K1600" s="32" t="n">
        <v>46295</v>
      </c>
      <c r="L1600" s="43" t="inlineStr">
        <is>
          <t>73,237</t>
        </is>
      </c>
      <c r="M1600" s="43" t="n">
        <v>2</v>
      </c>
      <c r="N1600" s="33" t="inlineStr"/>
      <c r="O1600" s="43" t="inlineStr">
        <is>
          <t>UNVERIFIED</t>
        </is>
      </c>
      <c r="P1600" s="43" t="inlineStr">
        <is>
          <t>Pending Review</t>
        </is>
      </c>
      <c r="Q1600" s="33" t="inlineStr">
        <is>
          <t>Confirmar SKU/PCBA revision, PN exacto en Common DB, WO, BU, vigencia, planta y aprobacion firmada.</t>
        </is>
      </c>
    </row>
    <row r="1601">
      <c r="A1601" s="43" t="inlineStr">
        <is>
          <t>CTANJZ05459</t>
        </is>
      </c>
      <c r="B1601" s="43" t="inlineStr">
        <is>
          <t>D613629</t>
        </is>
      </c>
      <c r="C1601" s="43" t="inlineStr">
        <is>
          <t>239-CRBU</t>
        </is>
      </c>
      <c r="D1601" s="43" t="inlineStr">
        <is>
          <t>FJZP</t>
        </is>
      </c>
      <c r="E1601" s="43" t="inlineStr">
        <is>
          <t>MCGA</t>
        </is>
      </c>
      <c r="F1601" s="43" t="inlineStr">
        <is>
          <t>17-15753-01</t>
        </is>
      </c>
      <c r="G1601" s="43" t="inlineStr">
        <is>
          <t>OTHER_SCOPE_ITEM</t>
        </is>
      </c>
      <c r="H1601" s="43" t="inlineStr"/>
      <c r="I1601" s="43" t="inlineStr">
        <is>
          <t>Implementation</t>
        </is>
      </c>
      <c r="J1601" s="32" t="n">
        <v>46357</v>
      </c>
      <c r="K1601" s="32" t="n">
        <v>46295</v>
      </c>
      <c r="L1601" s="43" t="inlineStr">
        <is>
          <t>74,238</t>
        </is>
      </c>
      <c r="M1601" s="43" t="n">
        <v>2</v>
      </c>
      <c r="N1601" s="33" t="inlineStr"/>
      <c r="O1601" s="43" t="inlineStr">
        <is>
          <t>UNVERIFIED</t>
        </is>
      </c>
      <c r="P1601" s="43" t="inlineStr">
        <is>
          <t>Pending Review</t>
        </is>
      </c>
      <c r="Q1601" s="33" t="inlineStr">
        <is>
          <t>Confirmar SKU/PCBA revision, PN exacto en Common DB, WO, BU, vigencia, planta y aprobacion firmada.</t>
        </is>
      </c>
    </row>
    <row r="1602">
      <c r="A1602" s="43" t="inlineStr">
        <is>
          <t>CTANJZ05462</t>
        </is>
      </c>
      <c r="B1602" s="43" t="inlineStr">
        <is>
          <t>D613679</t>
        </is>
      </c>
      <c r="C1602" s="43" t="inlineStr">
        <is>
          <t>037-STBU</t>
        </is>
      </c>
      <c r="D1602" s="43" t="inlineStr">
        <is>
          <t>FJZP</t>
        </is>
      </c>
      <c r="E1602" s="43" t="inlineStr">
        <is>
          <t>MCGA</t>
        </is>
      </c>
      <c r="F1602" s="43" t="inlineStr">
        <is>
          <t>73-103633-04</t>
        </is>
      </c>
      <c r="G1602" s="43" t="inlineStr">
        <is>
          <t>BOARD_PN_CANDIDATE</t>
        </is>
      </c>
      <c r="H1602" s="43" t="inlineStr"/>
      <c r="I1602" s="43" t="inlineStr">
        <is>
          <t>FAI Status</t>
        </is>
      </c>
      <c r="J1602" s="32" t="n">
        <v>46359</v>
      </c>
      <c r="K1602" s="32" t="n">
        <v>46295</v>
      </c>
      <c r="L1602" s="43" t="inlineStr">
        <is>
          <t>1858</t>
        </is>
      </c>
      <c r="M1602" s="43" t="n">
        <v>1</v>
      </c>
      <c r="N1602" s="33" t="inlineStr"/>
      <c r="O1602" s="43" t="inlineStr">
        <is>
          <t>UNVERIFIED</t>
        </is>
      </c>
      <c r="P1602" s="43" t="inlineStr">
        <is>
          <t>Pending Review</t>
        </is>
      </c>
      <c r="Q1602" s="33" t="inlineStr">
        <is>
          <t>Confirmar SKU/PCBA revision, PN exacto en Common DB, WO, BU, vigencia, planta y aprobacion firmada.</t>
        </is>
      </c>
    </row>
    <row r="1603">
      <c r="A1603" s="43" t="inlineStr">
        <is>
          <t>CTANJZ05463</t>
        </is>
      </c>
      <c r="B1603" s="43" t="inlineStr">
        <is>
          <t>D613810</t>
        </is>
      </c>
      <c r="C1603" s="43" t="inlineStr">
        <is>
          <t>018-SRGBU</t>
        </is>
      </c>
      <c r="D1603" s="43" t="inlineStr">
        <is>
          <t>FJZP</t>
        </is>
      </c>
      <c r="E1603" s="43" t="inlineStr">
        <is>
          <t>MCGA</t>
        </is>
      </c>
      <c r="F1603" s="43" t="inlineStr">
        <is>
          <t>17-17541-01</t>
        </is>
      </c>
      <c r="G1603" s="43" t="inlineStr">
        <is>
          <t>OTHER_SCOPE_ITEM</t>
        </is>
      </c>
      <c r="H1603" s="43" t="inlineStr"/>
      <c r="I1603" s="43" t="inlineStr">
        <is>
          <t>FAI Status</t>
        </is>
      </c>
      <c r="J1603" s="32" t="n">
        <v>46358</v>
      </c>
      <c r="K1603" s="32" t="n">
        <v>46290</v>
      </c>
      <c r="L1603" s="43" t="inlineStr">
        <is>
          <t>1855</t>
        </is>
      </c>
      <c r="M1603" s="43" t="n">
        <v>1</v>
      </c>
      <c r="N1603" s="33" t="inlineStr"/>
      <c r="O1603" s="43" t="inlineStr">
        <is>
          <t>UNVERIFIED</t>
        </is>
      </c>
      <c r="P1603" s="43" t="inlineStr">
        <is>
          <t>Pending Review</t>
        </is>
      </c>
      <c r="Q1603" s="33" t="inlineStr">
        <is>
          <t>Confirmar SKU/PCBA revision, PN exacto en Common DB, WO, BU, vigencia, planta y aprobacion firmada.</t>
        </is>
      </c>
    </row>
    <row r="1604">
      <c r="A1604" s="43" t="inlineStr">
        <is>
          <t>CTANJZ05463</t>
        </is>
      </c>
      <c r="B1604" s="43" t="inlineStr">
        <is>
          <t>D613810</t>
        </is>
      </c>
      <c r="C1604" s="43" t="inlineStr">
        <is>
          <t>018-SRGBU</t>
        </is>
      </c>
      <c r="D1604" s="43" t="inlineStr">
        <is>
          <t>FJZP</t>
        </is>
      </c>
      <c r="E1604" s="43" t="inlineStr">
        <is>
          <t>MCGA</t>
        </is>
      </c>
      <c r="F1604" s="43" t="inlineStr">
        <is>
          <t>74-133408-02</t>
        </is>
      </c>
      <c r="G1604" s="43" t="inlineStr">
        <is>
          <t>OTHER_SCOPE_ITEM</t>
        </is>
      </c>
      <c r="H1604" s="43" t="inlineStr">
        <is>
          <t>ARATA</t>
        </is>
      </c>
      <c r="I1604" s="43" t="inlineStr">
        <is>
          <t>FAI Status</t>
        </is>
      </c>
      <c r="J1604" s="32" t="n">
        <v>46358</v>
      </c>
      <c r="K1604" s="32" t="n">
        <v>46290</v>
      </c>
      <c r="L1604" s="43" t="inlineStr">
        <is>
          <t>1856</t>
        </is>
      </c>
      <c r="M1604" s="43" t="n">
        <v>1</v>
      </c>
      <c r="N1604" s="33" t="inlineStr"/>
      <c r="O1604" s="43" t="inlineStr">
        <is>
          <t>UNVERIFIED</t>
        </is>
      </c>
      <c r="P1604" s="43" t="inlineStr">
        <is>
          <t>Pending Review</t>
        </is>
      </c>
      <c r="Q1604" s="33" t="inlineStr">
        <is>
          <t>Confirmar SKU/PCBA revision, PN exacto en Common DB, WO, BU, vigencia, planta y aprobacion firmada.</t>
        </is>
      </c>
    </row>
    <row r="1605">
      <c r="A1605" s="43" t="inlineStr">
        <is>
          <t>CTANJZ05463</t>
        </is>
      </c>
      <c r="B1605" s="43" t="inlineStr">
        <is>
          <t>D613810</t>
        </is>
      </c>
      <c r="C1605" s="43" t="inlineStr">
        <is>
          <t>018-SRGBU</t>
        </is>
      </c>
      <c r="D1605" s="43" t="inlineStr">
        <is>
          <t>FJZP</t>
        </is>
      </c>
      <c r="E1605" s="43" t="inlineStr">
        <is>
          <t>MCGA</t>
        </is>
      </c>
      <c r="F1605" s="43" t="inlineStr">
        <is>
          <t>74-134702-02</t>
        </is>
      </c>
      <c r="G1605" s="43" t="inlineStr">
        <is>
          <t>OTHER_SCOPE_ITEM</t>
        </is>
      </c>
      <c r="H1605" s="43" t="inlineStr"/>
      <c r="I1605" s="43" t="inlineStr">
        <is>
          <t>FAI Status</t>
        </is>
      </c>
      <c r="J1605" s="32" t="n">
        <v>46358</v>
      </c>
      <c r="K1605" s="32" t="n">
        <v>46290</v>
      </c>
      <c r="L1605" s="43" t="inlineStr">
        <is>
          <t>1857</t>
        </is>
      </c>
      <c r="M1605" s="43" t="n">
        <v>1</v>
      </c>
      <c r="N1605" s="33" t="inlineStr"/>
      <c r="O1605" s="43" t="inlineStr">
        <is>
          <t>UNVERIFIED</t>
        </is>
      </c>
      <c r="P1605" s="43" t="inlineStr">
        <is>
          <t>Pending Review</t>
        </is>
      </c>
      <c r="Q1605" s="33" t="inlineStr">
        <is>
          <t>Confirmar SKU/PCBA revision, PN exacto en Common DB, WO, BU, vigencia, planta y aprobacion firmada.</t>
        </is>
      </c>
    </row>
    <row r="1606">
      <c r="A1606" s="43" t="inlineStr">
        <is>
          <t>CTANJZ05465</t>
        </is>
      </c>
      <c r="B1606" s="43" t="inlineStr">
        <is>
          <t>D613504</t>
        </is>
      </c>
      <c r="C1606" s="43" t="inlineStr">
        <is>
          <t>239-CRBU</t>
        </is>
      </c>
      <c r="D1606" s="43" t="inlineStr">
        <is>
          <t>FJZP</t>
        </is>
      </c>
      <c r="E1606" s="43" t="inlineStr">
        <is>
          <t>MCGA</t>
        </is>
      </c>
      <c r="F1606" s="43" t="inlineStr">
        <is>
          <t>68-7184-04</t>
        </is>
      </c>
      <c r="G1606" s="43" t="inlineStr">
        <is>
          <t>OTHER_SCOPE_ITEM</t>
        </is>
      </c>
      <c r="H1606" s="43" t="inlineStr"/>
      <c r="I1606" s="43" t="inlineStr">
        <is>
          <t>Implementation</t>
        </is>
      </c>
      <c r="J1606" s="32" t="n">
        <v>46362</v>
      </c>
      <c r="K1606" s="32" t="n">
        <v>46297</v>
      </c>
      <c r="L1606" s="43" t="inlineStr">
        <is>
          <t>1250</t>
        </is>
      </c>
      <c r="M1606" s="43" t="n">
        <v>1</v>
      </c>
      <c r="N1606" s="33" t="inlineStr"/>
      <c r="O1606" s="43" t="inlineStr">
        <is>
          <t>UNVERIFIED</t>
        </is>
      </c>
      <c r="P1606" s="43" t="inlineStr">
        <is>
          <t>Pending Review</t>
        </is>
      </c>
      <c r="Q1606" s="33" t="inlineStr">
        <is>
          <t>Confirmar SKU/PCBA revision, PN exacto en Common DB, WO, BU, vigencia, planta y aprobacion firmada.</t>
        </is>
      </c>
    </row>
    <row r="1607">
      <c r="A1607" s="43" t="inlineStr">
        <is>
          <t>CTANJZ05465</t>
        </is>
      </c>
      <c r="B1607" s="43" t="inlineStr">
        <is>
          <t>D613504</t>
        </is>
      </c>
      <c r="C1607" s="43" t="inlineStr">
        <is>
          <t>239-CRBU</t>
        </is>
      </c>
      <c r="D1607" s="43" t="inlineStr">
        <is>
          <t>FJZP</t>
        </is>
      </c>
      <c r="E1607" s="43" t="inlineStr">
        <is>
          <t>MCGA</t>
        </is>
      </c>
      <c r="F1607" s="43" t="inlineStr">
        <is>
          <t>68-7184-05</t>
        </is>
      </c>
      <c r="G1607" s="43" t="inlineStr">
        <is>
          <t>OTHER_SCOPE_ITEM</t>
        </is>
      </c>
      <c r="H1607" s="43" t="inlineStr"/>
      <c r="I1607" s="43" t="inlineStr">
        <is>
          <t>Implementation</t>
        </is>
      </c>
      <c r="J1607" s="32" t="n">
        <v>46362</v>
      </c>
      <c r="K1607" s="32" t="n">
        <v>46297</v>
      </c>
      <c r="L1607" s="43" t="inlineStr">
        <is>
          <t>1251</t>
        </is>
      </c>
      <c r="M1607" s="43" t="n">
        <v>1</v>
      </c>
      <c r="N1607" s="33" t="inlineStr"/>
      <c r="O1607" s="43" t="inlineStr">
        <is>
          <t>UNVERIFIED</t>
        </is>
      </c>
      <c r="P1607" s="43" t="inlineStr">
        <is>
          <t>Pending Review</t>
        </is>
      </c>
      <c r="Q1607" s="33" t="inlineStr">
        <is>
          <t>Confirmar SKU/PCBA revision, PN exacto en Common DB, WO, BU, vigencia, planta y aprobacion firmada.</t>
        </is>
      </c>
    </row>
    <row r="1608">
      <c r="A1608" s="43" t="inlineStr">
        <is>
          <t>CTANJZ05465</t>
        </is>
      </c>
      <c r="B1608" s="43" t="inlineStr">
        <is>
          <t>D613504</t>
        </is>
      </c>
      <c r="C1608" s="43" t="inlineStr">
        <is>
          <t>239-CRBU</t>
        </is>
      </c>
      <c r="D1608" s="43" t="inlineStr">
        <is>
          <t>FJZP</t>
        </is>
      </c>
      <c r="E1608" s="43" t="inlineStr">
        <is>
          <t>MCGA</t>
        </is>
      </c>
      <c r="F1608" s="43" t="inlineStr">
        <is>
          <t>68-7184-06</t>
        </is>
      </c>
      <c r="G1608" s="43" t="inlineStr">
        <is>
          <t>OTHER_SCOPE_ITEM</t>
        </is>
      </c>
      <c r="H1608" s="43" t="inlineStr"/>
      <c r="I1608" s="43" t="inlineStr">
        <is>
          <t>Implementation</t>
        </is>
      </c>
      <c r="J1608" s="32" t="n">
        <v>46362</v>
      </c>
      <c r="K1608" s="32" t="n">
        <v>46297</v>
      </c>
      <c r="L1608" s="43" t="inlineStr">
        <is>
          <t>1252</t>
        </is>
      </c>
      <c r="M1608" s="43" t="n">
        <v>1</v>
      </c>
      <c r="N1608" s="33" t="inlineStr"/>
      <c r="O1608" s="43" t="inlineStr">
        <is>
          <t>UNVERIFIED</t>
        </is>
      </c>
      <c r="P1608" s="43" t="inlineStr">
        <is>
          <t>Pending Review</t>
        </is>
      </c>
      <c r="Q1608" s="33" t="inlineStr">
        <is>
          <t>Confirmar SKU/PCBA revision, PN exacto en Common DB, WO, BU, vigencia, planta y aprobacion firmada.</t>
        </is>
      </c>
    </row>
    <row r="1609">
      <c r="A1609" s="43" t="inlineStr">
        <is>
          <t>CTANJZ05465</t>
        </is>
      </c>
      <c r="B1609" s="43" t="inlineStr">
        <is>
          <t>D613504</t>
        </is>
      </c>
      <c r="C1609" s="43" t="inlineStr">
        <is>
          <t>239-CRBU</t>
        </is>
      </c>
      <c r="D1609" s="43" t="inlineStr">
        <is>
          <t>FJZP</t>
        </is>
      </c>
      <c r="E1609" s="43" t="inlineStr">
        <is>
          <t>MCGA</t>
        </is>
      </c>
      <c r="F1609" s="43" t="inlineStr">
        <is>
          <t>68-7184-07</t>
        </is>
      </c>
      <c r="G1609" s="43" t="inlineStr">
        <is>
          <t>OTHER_SCOPE_ITEM</t>
        </is>
      </c>
      <c r="H1609" s="43" t="inlineStr"/>
      <c r="I1609" s="43" t="inlineStr">
        <is>
          <t>Implementation</t>
        </is>
      </c>
      <c r="J1609" s="32" t="n">
        <v>46362</v>
      </c>
      <c r="K1609" s="32" t="n">
        <v>46297</v>
      </c>
      <c r="L1609" s="43" t="inlineStr">
        <is>
          <t>1253</t>
        </is>
      </c>
      <c r="M1609" s="43" t="n">
        <v>1</v>
      </c>
      <c r="N1609" s="33" t="inlineStr"/>
      <c r="O1609" s="43" t="inlineStr">
        <is>
          <t>UNVERIFIED</t>
        </is>
      </c>
      <c r="P1609" s="43" t="inlineStr">
        <is>
          <t>Pending Review</t>
        </is>
      </c>
      <c r="Q1609" s="33" t="inlineStr">
        <is>
          <t>Confirmar SKU/PCBA revision, PN exacto en Common DB, WO, BU, vigencia, planta y aprobacion firmada.</t>
        </is>
      </c>
    </row>
    <row r="1610">
      <c r="A1610" s="43" t="inlineStr">
        <is>
          <t>CTANJZ05465</t>
        </is>
      </c>
      <c r="B1610" s="43" t="inlineStr">
        <is>
          <t>D613504</t>
        </is>
      </c>
      <c r="C1610" s="43" t="inlineStr">
        <is>
          <t>239-CRBU</t>
        </is>
      </c>
      <c r="D1610" s="43" t="inlineStr">
        <is>
          <t>FJZP</t>
        </is>
      </c>
      <c r="E1610" s="43" t="inlineStr">
        <is>
          <t>MCGA</t>
        </is>
      </c>
      <c r="F1610" s="43" t="inlineStr">
        <is>
          <t>68-7184-09</t>
        </is>
      </c>
      <c r="G1610" s="43" t="inlineStr">
        <is>
          <t>OTHER_SCOPE_ITEM</t>
        </is>
      </c>
      <c r="H1610" s="43" t="inlineStr"/>
      <c r="I1610" s="43" t="inlineStr">
        <is>
          <t>Implementation</t>
        </is>
      </c>
      <c r="J1610" s="32" t="n">
        <v>46362</v>
      </c>
      <c r="K1610" s="32" t="n">
        <v>46297</v>
      </c>
      <c r="L1610" s="43" t="inlineStr">
        <is>
          <t>1254</t>
        </is>
      </c>
      <c r="M1610" s="43" t="n">
        <v>1</v>
      </c>
      <c r="N1610" s="33" t="inlineStr"/>
      <c r="O1610" s="43" t="inlineStr">
        <is>
          <t>UNVERIFIED</t>
        </is>
      </c>
      <c r="P1610" s="43" t="inlineStr">
        <is>
          <t>Pending Review</t>
        </is>
      </c>
      <c r="Q1610" s="33" t="inlineStr">
        <is>
          <t>Confirmar SKU/PCBA revision, PN exacto en Common DB, WO, BU, vigencia, planta y aprobacion firmada.</t>
        </is>
      </c>
    </row>
    <row r="1611">
      <c r="A1611" s="43" t="inlineStr">
        <is>
          <t>CTANJZ05466</t>
        </is>
      </c>
      <c r="B1611" s="43" t="inlineStr">
        <is>
          <t>D613946</t>
        </is>
      </c>
      <c r="C1611" s="43" t="inlineStr">
        <is>
          <t>035-CVEBU</t>
        </is>
      </c>
      <c r="D1611" s="43" t="inlineStr">
        <is>
          <t>FJZP</t>
        </is>
      </c>
      <c r="E1611" s="43" t="inlineStr">
        <is>
          <t>MCGA</t>
        </is>
      </c>
      <c r="F1611" s="43" t="inlineStr">
        <is>
          <t>15-110893-01</t>
        </is>
      </c>
      <c r="G1611" s="43" t="inlineStr">
        <is>
          <t>OTHER_SCOPE_ITEM</t>
        </is>
      </c>
      <c r="H1611" s="43" t="inlineStr"/>
      <c r="I1611" s="43" t="inlineStr">
        <is>
          <t>FAI Status</t>
        </is>
      </c>
      <c r="J1611" s="32" t="n">
        <v>46363</v>
      </c>
      <c r="K1611" s="32" t="n">
        <v>46298</v>
      </c>
      <c r="L1611" s="43" t="inlineStr">
        <is>
          <t>608</t>
        </is>
      </c>
      <c r="M1611" s="43" t="n">
        <v>1</v>
      </c>
      <c r="N1611" s="33" t="inlineStr"/>
      <c r="O1611" s="43" t="inlineStr">
        <is>
          <t>UNVERIFIED</t>
        </is>
      </c>
      <c r="P1611" s="43" t="inlineStr">
        <is>
          <t>Pending Review</t>
        </is>
      </c>
      <c r="Q1611" s="33" t="inlineStr">
        <is>
          <t>Confirmar SKU/PCBA revision, PN exacto en Common DB, WO, BU, vigencia, planta y aprobacion firmada.</t>
        </is>
      </c>
    </row>
    <row r="1612">
      <c r="A1612" s="43" t="inlineStr">
        <is>
          <t>CTANJZ05466</t>
        </is>
      </c>
      <c r="B1612" s="43" t="inlineStr">
        <is>
          <t>D613946</t>
        </is>
      </c>
      <c r="C1612" s="43" t="inlineStr">
        <is>
          <t>035-CVEBU</t>
        </is>
      </c>
      <c r="D1612" s="43" t="inlineStr">
        <is>
          <t>FJZP</t>
        </is>
      </c>
      <c r="E1612" s="43" t="inlineStr">
        <is>
          <t>MCGA</t>
        </is>
      </c>
      <c r="F1612" s="43" t="inlineStr">
        <is>
          <t>68-104853-01</t>
        </is>
      </c>
      <c r="G1612" s="43" t="inlineStr">
        <is>
          <t>OTHER_SCOPE_ITEM</t>
        </is>
      </c>
      <c r="H1612" s="43" t="inlineStr"/>
      <c r="I1612" s="43" t="inlineStr">
        <is>
          <t>FAI Status</t>
        </is>
      </c>
      <c r="J1612" s="32" t="n">
        <v>46363</v>
      </c>
      <c r="K1612" s="32" t="n">
        <v>46298</v>
      </c>
      <c r="L1612" s="43" t="inlineStr">
        <is>
          <t>609</t>
        </is>
      </c>
      <c r="M1612" s="43" t="n">
        <v>1</v>
      </c>
      <c r="N1612" s="33" t="inlineStr"/>
      <c r="O1612" s="43" t="inlineStr">
        <is>
          <t>UNVERIFIED</t>
        </is>
      </c>
      <c r="P1612" s="43" t="inlineStr">
        <is>
          <t>Pending Review</t>
        </is>
      </c>
      <c r="Q1612" s="33" t="inlineStr">
        <is>
          <t>Confirmar SKU/PCBA revision, PN exacto en Common DB, WO, BU, vigencia, planta y aprobacion firmada.</t>
        </is>
      </c>
    </row>
    <row r="1613">
      <c r="A1613" s="43" t="inlineStr">
        <is>
          <t>CTANJZ05466</t>
        </is>
      </c>
      <c r="B1613" s="43" t="inlineStr">
        <is>
          <t>D613946</t>
        </is>
      </c>
      <c r="C1613" s="43" t="inlineStr">
        <is>
          <t>035-CVEBU</t>
        </is>
      </c>
      <c r="D1613" s="43" t="inlineStr">
        <is>
          <t>FJZP</t>
        </is>
      </c>
      <c r="E1613" s="43" t="inlineStr">
        <is>
          <t>MCGA</t>
        </is>
      </c>
      <c r="F1613" s="43" t="inlineStr">
        <is>
          <t>68-104854-01</t>
        </is>
      </c>
      <c r="G1613" s="43" t="inlineStr">
        <is>
          <t>OTHER_SCOPE_ITEM</t>
        </is>
      </c>
      <c r="H1613" s="43" t="inlineStr"/>
      <c r="I1613" s="43" t="inlineStr">
        <is>
          <t>FAI Status</t>
        </is>
      </c>
      <c r="J1613" s="32" t="n">
        <v>46363</v>
      </c>
      <c r="K1613" s="32" t="n">
        <v>46298</v>
      </c>
      <c r="L1613" s="43" t="inlineStr">
        <is>
          <t>610</t>
        </is>
      </c>
      <c r="M1613" s="43" t="n">
        <v>1</v>
      </c>
      <c r="N1613" s="33" t="inlineStr"/>
      <c r="O1613" s="43" t="inlineStr">
        <is>
          <t>UNVERIFIED</t>
        </is>
      </c>
      <c r="P1613" s="43" t="inlineStr">
        <is>
          <t>Pending Review</t>
        </is>
      </c>
      <c r="Q1613" s="33" t="inlineStr">
        <is>
          <t>Confirmar SKU/PCBA revision, PN exacto en Common DB, WO, BU, vigencia, planta y aprobacion firmada.</t>
        </is>
      </c>
    </row>
    <row r="1614">
      <c r="A1614" s="43" t="inlineStr">
        <is>
          <t>CTANJZ05466</t>
        </is>
      </c>
      <c r="B1614" s="43" t="inlineStr">
        <is>
          <t>D613946</t>
        </is>
      </c>
      <c r="C1614" s="43" t="inlineStr">
        <is>
          <t>035-CVEBU</t>
        </is>
      </c>
      <c r="D1614" s="43" t="inlineStr">
        <is>
          <t>FJZP</t>
        </is>
      </c>
      <c r="E1614" s="43" t="inlineStr">
        <is>
          <t>MCGA</t>
        </is>
      </c>
      <c r="F1614" s="43" t="inlineStr">
        <is>
          <t>73-103698-06</t>
        </is>
      </c>
      <c r="G1614" s="43" t="inlineStr">
        <is>
          <t>BOARD_PN_CANDIDATE</t>
        </is>
      </c>
      <c r="H1614" s="43" t="inlineStr"/>
      <c r="I1614" s="43" t="inlineStr">
        <is>
          <t>FAI Status</t>
        </is>
      </c>
      <c r="J1614" s="32" t="n">
        <v>46363</v>
      </c>
      <c r="K1614" s="32" t="n">
        <v>46298</v>
      </c>
      <c r="L1614" s="43" t="inlineStr">
        <is>
          <t>611</t>
        </is>
      </c>
      <c r="M1614" s="43" t="n">
        <v>1</v>
      </c>
      <c r="N1614" s="33" t="inlineStr"/>
      <c r="O1614" s="43" t="inlineStr">
        <is>
          <t>UNVERIFIED</t>
        </is>
      </c>
      <c r="P1614" s="43" t="inlineStr">
        <is>
          <t>Pending Review</t>
        </is>
      </c>
      <c r="Q1614" s="33" t="inlineStr">
        <is>
          <t>Confirmar SKU/PCBA revision, PN exacto en Common DB, WO, BU, vigencia, planta y aprobacion firmada.</t>
        </is>
      </c>
    </row>
    <row r="1615">
      <c r="A1615" s="43" t="inlineStr">
        <is>
          <t>CTANJZ05466</t>
        </is>
      </c>
      <c r="B1615" s="43" t="inlineStr">
        <is>
          <t>D613946</t>
        </is>
      </c>
      <c r="C1615" s="43" t="inlineStr">
        <is>
          <t>035-CVEBU</t>
        </is>
      </c>
      <c r="D1615" s="43" t="inlineStr">
        <is>
          <t>FJZP</t>
        </is>
      </c>
      <c r="E1615" s="43" t="inlineStr">
        <is>
          <t>MCGA</t>
        </is>
      </c>
      <c r="F1615" s="43" t="inlineStr">
        <is>
          <t>73-103940-06</t>
        </is>
      </c>
      <c r="G1615" s="43" t="inlineStr">
        <is>
          <t>BOARD_PN_CANDIDATE</t>
        </is>
      </c>
      <c r="H1615" s="43" t="inlineStr"/>
      <c r="I1615" s="43" t="inlineStr">
        <is>
          <t>FAI Status</t>
        </is>
      </c>
      <c r="J1615" s="32" t="n">
        <v>46363</v>
      </c>
      <c r="K1615" s="32" t="n">
        <v>46298</v>
      </c>
      <c r="L1615" s="43" t="inlineStr">
        <is>
          <t>612</t>
        </is>
      </c>
      <c r="M1615" s="43" t="n">
        <v>1</v>
      </c>
      <c r="N1615" s="33" t="inlineStr"/>
      <c r="O1615" s="43" t="inlineStr">
        <is>
          <t>UNVERIFIED</t>
        </is>
      </c>
      <c r="P1615" s="43" t="inlineStr">
        <is>
          <t>Pending Review</t>
        </is>
      </c>
      <c r="Q1615" s="33" t="inlineStr">
        <is>
          <t>Confirmar SKU/PCBA revision, PN exacto en Common DB, WO, BU, vigencia, planta y aprobacion firmada.</t>
        </is>
      </c>
    </row>
    <row r="1616">
      <c r="A1616" s="43" t="inlineStr">
        <is>
          <t>CTANJZ05466</t>
        </is>
      </c>
      <c r="B1616" s="43" t="inlineStr">
        <is>
          <t>D613946</t>
        </is>
      </c>
      <c r="C1616" s="43" t="inlineStr">
        <is>
          <t>035-CVEBU</t>
        </is>
      </c>
      <c r="D1616" s="43" t="inlineStr">
        <is>
          <t>FJZP</t>
        </is>
      </c>
      <c r="E1616" s="43" t="inlineStr">
        <is>
          <t>MCGA</t>
        </is>
      </c>
      <c r="F1616" s="43" t="inlineStr">
        <is>
          <t>800-113105-01</t>
        </is>
      </c>
      <c r="G1616" s="43" t="inlineStr">
        <is>
          <t>OTHER_SCOPE_ITEM</t>
        </is>
      </c>
      <c r="H1616" s="43" t="inlineStr"/>
      <c r="I1616" s="43" t="inlineStr">
        <is>
          <t>FAI Status</t>
        </is>
      </c>
      <c r="J1616" s="32" t="n">
        <v>46363</v>
      </c>
      <c r="K1616" s="32" t="n">
        <v>46298</v>
      </c>
      <c r="L1616" s="43" t="inlineStr">
        <is>
          <t>613</t>
        </is>
      </c>
      <c r="M1616" s="43" t="n">
        <v>1</v>
      </c>
      <c r="N1616" s="33" t="inlineStr"/>
      <c r="O1616" s="43" t="inlineStr">
        <is>
          <t>UNVERIFIED</t>
        </is>
      </c>
      <c r="P1616" s="43" t="inlineStr">
        <is>
          <t>Pending Review</t>
        </is>
      </c>
      <c r="Q1616" s="33" t="inlineStr">
        <is>
          <t>Confirmar SKU/PCBA revision, PN exacto en Common DB, WO, BU, vigencia, planta y aprobacion firmada.</t>
        </is>
      </c>
    </row>
    <row r="1617">
      <c r="A1617" s="43" t="inlineStr">
        <is>
          <t>CTANJZ05466</t>
        </is>
      </c>
      <c r="B1617" s="43" t="inlineStr">
        <is>
          <t>D613946</t>
        </is>
      </c>
      <c r="C1617" s="43" t="inlineStr">
        <is>
          <t>035-CVEBU</t>
        </is>
      </c>
      <c r="D1617" s="43" t="inlineStr">
        <is>
          <t>FJZP</t>
        </is>
      </c>
      <c r="E1617" s="43" t="inlineStr">
        <is>
          <t>MCGA</t>
        </is>
      </c>
      <c r="F1617" s="43" t="inlineStr">
        <is>
          <t>800-113255-01</t>
        </is>
      </c>
      <c r="G1617" s="43" t="inlineStr">
        <is>
          <t>OTHER_SCOPE_ITEM</t>
        </is>
      </c>
      <c r="H1617" s="43" t="inlineStr"/>
      <c r="I1617" s="43" t="inlineStr">
        <is>
          <t>FAI Status</t>
        </is>
      </c>
      <c r="J1617" s="32" t="n">
        <v>46363</v>
      </c>
      <c r="K1617" s="32" t="n">
        <v>46298</v>
      </c>
      <c r="L1617" s="43" t="inlineStr">
        <is>
          <t>614</t>
        </is>
      </c>
      <c r="M1617" s="43" t="n">
        <v>1</v>
      </c>
      <c r="N1617" s="33" t="inlineStr"/>
      <c r="O1617" s="43" t="inlineStr">
        <is>
          <t>UNVERIFIED</t>
        </is>
      </c>
      <c r="P1617" s="43" t="inlineStr">
        <is>
          <t>Pending Review</t>
        </is>
      </c>
      <c r="Q1617" s="33" t="inlineStr">
        <is>
          <t>Confirmar SKU/PCBA revision, PN exacto en Common DB, WO, BU, vigencia, planta y aprobacion firmada.</t>
        </is>
      </c>
    </row>
    <row r="1618">
      <c r="A1618" s="43" t="inlineStr">
        <is>
          <t>CTANJZ05467</t>
        </is>
      </c>
      <c r="B1618" s="43" t="inlineStr">
        <is>
          <t>DP526581</t>
        </is>
      </c>
      <c r="C1618" s="43" t="inlineStr">
        <is>
          <t>037-STBU</t>
        </is>
      </c>
      <c r="D1618" s="43" t="inlineStr">
        <is>
          <t>FJZP</t>
        </is>
      </c>
      <c r="E1618" s="43" t="inlineStr">
        <is>
          <t>MCGA</t>
        </is>
      </c>
      <c r="F1618" s="43" t="inlineStr">
        <is>
          <t>74-142749-01</t>
        </is>
      </c>
      <c r="G1618" s="43" t="inlineStr">
        <is>
          <t>OTHER_SCOPE_ITEM</t>
        </is>
      </c>
      <c r="H1618" s="43" t="inlineStr"/>
      <c r="I1618" s="43" t="inlineStr">
        <is>
          <t>FAI Status</t>
        </is>
      </c>
      <c r="J1618" s="32" t="n">
        <v>46334</v>
      </c>
      <c r="K1618" s="32" t="n">
        <v>46296</v>
      </c>
      <c r="L1618" s="43" t="inlineStr">
        <is>
          <t>606</t>
        </is>
      </c>
      <c r="M1618" s="43" t="n">
        <v>1</v>
      </c>
      <c r="N1618" s="33" t="inlineStr"/>
      <c r="O1618" s="43" t="inlineStr">
        <is>
          <t>UNVERIFIED</t>
        </is>
      </c>
      <c r="P1618" s="43" t="inlineStr">
        <is>
          <t>Pending Review</t>
        </is>
      </c>
      <c r="Q1618" s="33" t="inlineStr">
        <is>
          <t>Confirmar SKU/PCBA revision, PN exacto en Common DB, WO, BU, vigencia, planta y aprobacion firmada.</t>
        </is>
      </c>
    </row>
    <row r="1619">
      <c r="A1619" s="43" t="inlineStr">
        <is>
          <t>CTANJZ05467</t>
        </is>
      </c>
      <c r="B1619" s="43" t="inlineStr">
        <is>
          <t>DP526581</t>
        </is>
      </c>
      <c r="C1619" s="43" t="inlineStr">
        <is>
          <t>037-STBU</t>
        </is>
      </c>
      <c r="D1619" s="43" t="inlineStr">
        <is>
          <t>FJZP</t>
        </is>
      </c>
      <c r="E1619" s="43" t="inlineStr">
        <is>
          <t>MCGA</t>
        </is>
      </c>
      <c r="F1619" s="43" t="inlineStr">
        <is>
          <t>74-142930-01</t>
        </is>
      </c>
      <c r="G1619" s="43" t="inlineStr">
        <is>
          <t>OTHER_SCOPE_ITEM</t>
        </is>
      </c>
      <c r="H1619" s="43" t="inlineStr"/>
      <c r="I1619" s="43" t="inlineStr">
        <is>
          <t>FAI Status</t>
        </is>
      </c>
      <c r="J1619" s="32" t="n">
        <v>46334</v>
      </c>
      <c r="K1619" s="32" t="n">
        <v>46296</v>
      </c>
      <c r="L1619" s="43" t="inlineStr">
        <is>
          <t>607</t>
        </is>
      </c>
      <c r="M1619" s="43" t="n">
        <v>1</v>
      </c>
      <c r="N1619" s="33" t="inlineStr"/>
      <c r="O1619" s="43" t="inlineStr">
        <is>
          <t>UNVERIFIED</t>
        </is>
      </c>
      <c r="P1619" s="43" t="inlineStr">
        <is>
          <t>Pending Review</t>
        </is>
      </c>
      <c r="Q1619" s="33" t="inlineStr">
        <is>
          <t>Confirmar SKU/PCBA revision, PN exacto en Common DB, WO, BU, vigencia, planta y aprobacion firmada.</t>
        </is>
      </c>
    </row>
    <row r="1620">
      <c r="A1620" s="43" t="inlineStr">
        <is>
          <t>CTANJZ05468</t>
        </is>
      </c>
      <c r="B1620" s="43" t="inlineStr">
        <is>
          <t>D613858</t>
        </is>
      </c>
      <c r="C1620" s="43" t="inlineStr">
        <is>
          <t>037-STBU</t>
        </is>
      </c>
      <c r="D1620" s="43" t="inlineStr">
        <is>
          <t>FJZP</t>
        </is>
      </c>
      <c r="E1620" s="43" t="inlineStr">
        <is>
          <t>MCGA</t>
        </is>
      </c>
      <c r="F1620" s="43" t="inlineStr">
        <is>
          <t>16-2242-02</t>
        </is>
      </c>
      <c r="G1620" s="43" t="inlineStr">
        <is>
          <t>OTHER_SCOPE_ITEM</t>
        </is>
      </c>
      <c r="H1620" s="43" t="inlineStr"/>
      <c r="I1620" s="43" t="inlineStr">
        <is>
          <t>Implementation</t>
        </is>
      </c>
      <c r="J1620" s="32" t="n">
        <v>46364</v>
      </c>
      <c r="K1620" s="32" t="n">
        <v>46298</v>
      </c>
      <c r="L1620" s="43" t="inlineStr">
        <is>
          <t>244,1565</t>
        </is>
      </c>
      <c r="M1620" s="43" t="n">
        <v>2</v>
      </c>
      <c r="N1620" s="33" t="inlineStr"/>
      <c r="O1620" s="43" t="inlineStr">
        <is>
          <t>UNVERIFIED</t>
        </is>
      </c>
      <c r="P1620" s="43" t="inlineStr">
        <is>
          <t>Pending Review</t>
        </is>
      </c>
      <c r="Q1620" s="33" t="inlineStr">
        <is>
          <t>Confirmar SKU/PCBA revision, PN exacto en Common DB, WO, BU, vigencia, planta y aprobacion firmada.</t>
        </is>
      </c>
    </row>
    <row r="1621">
      <c r="A1621" s="43" t="inlineStr">
        <is>
          <t>CTANJZ05468</t>
        </is>
      </c>
      <c r="B1621" s="43" t="inlineStr">
        <is>
          <t>D613858</t>
        </is>
      </c>
      <c r="C1621" s="43" t="inlineStr">
        <is>
          <t>037-STBU</t>
        </is>
      </c>
      <c r="D1621" s="43" t="inlineStr">
        <is>
          <t>FJZP</t>
        </is>
      </c>
      <c r="E1621" s="43" t="inlineStr">
        <is>
          <t>MCGA</t>
        </is>
      </c>
      <c r="F1621" s="43" t="inlineStr">
        <is>
          <t>73-102418-04</t>
        </is>
      </c>
      <c r="G1621" s="43" t="inlineStr">
        <is>
          <t>BOARD_PN_CANDIDATE</t>
        </is>
      </c>
      <c r="H1621" s="43" t="inlineStr"/>
      <c r="I1621" s="43" t="inlineStr">
        <is>
          <t>Implementation</t>
        </is>
      </c>
      <c r="J1621" s="32" t="n">
        <v>46364</v>
      </c>
      <c r="K1621" s="32" t="n">
        <v>46298</v>
      </c>
      <c r="L1621" s="43" t="inlineStr">
        <is>
          <t>245,1566</t>
        </is>
      </c>
      <c r="M1621" s="43" t="n">
        <v>2</v>
      </c>
      <c r="N1621" s="33" t="inlineStr"/>
      <c r="O1621" s="43" t="inlineStr">
        <is>
          <t>UNVERIFIED</t>
        </is>
      </c>
      <c r="P1621" s="43" t="inlineStr">
        <is>
          <t>Pending Review</t>
        </is>
      </c>
      <c r="Q1621" s="33" t="inlineStr">
        <is>
          <t>Confirmar SKU/PCBA revision, PN exacto en Common DB, WO, BU, vigencia, planta y aprobacion firmada.</t>
        </is>
      </c>
    </row>
    <row r="1622">
      <c r="A1622" s="43" t="inlineStr">
        <is>
          <t>CTANJZ05469</t>
        </is>
      </c>
      <c r="B1622" s="43" t="inlineStr">
        <is>
          <t>D613812</t>
        </is>
      </c>
      <c r="C1622" s="43" t="inlineStr">
        <is>
          <t>037-STBU</t>
        </is>
      </c>
      <c r="D1622" s="43" t="inlineStr">
        <is>
          <t>FJZP</t>
        </is>
      </c>
      <c r="E1622" s="43" t="inlineStr">
        <is>
          <t>MCGA</t>
        </is>
      </c>
      <c r="F1622" s="43" t="inlineStr">
        <is>
          <t>68-100283-05</t>
        </is>
      </c>
      <c r="G1622" s="43" t="inlineStr">
        <is>
          <t>OTHER_SCOPE_ITEM</t>
        </is>
      </c>
      <c r="H1622" s="43" t="inlineStr"/>
      <c r="I1622" s="43" t="inlineStr">
        <is>
          <t>Implementation</t>
        </is>
      </c>
      <c r="J1622" s="32" t="n">
        <v>46364</v>
      </c>
      <c r="K1622" s="32" t="n">
        <v>46304</v>
      </c>
      <c r="L1622" s="43" t="inlineStr">
        <is>
          <t>1654</t>
        </is>
      </c>
      <c r="M1622" s="43" t="n">
        <v>1</v>
      </c>
      <c r="N1622" s="33" t="inlineStr"/>
      <c r="O1622" s="43" t="inlineStr">
        <is>
          <t>UNVERIFIED</t>
        </is>
      </c>
      <c r="P1622" s="43" t="inlineStr">
        <is>
          <t>Pending Review</t>
        </is>
      </c>
      <c r="Q1622" s="33" t="inlineStr">
        <is>
          <t>Confirmar SKU/PCBA revision, PN exacto en Common DB, WO, BU, vigencia, planta y aprobacion firmada.</t>
        </is>
      </c>
    </row>
    <row r="1623">
      <c r="A1623" s="43" t="inlineStr">
        <is>
          <t>CTANJZ05469</t>
        </is>
      </c>
      <c r="B1623" s="43" t="inlineStr">
        <is>
          <t>D613812</t>
        </is>
      </c>
      <c r="C1623" s="43" t="inlineStr">
        <is>
          <t>037-STBU</t>
        </is>
      </c>
      <c r="D1623" s="43" t="inlineStr">
        <is>
          <t>FJZP</t>
        </is>
      </c>
      <c r="E1623" s="43" t="inlineStr">
        <is>
          <t>MCGA</t>
        </is>
      </c>
      <c r="F1623" s="43" t="inlineStr">
        <is>
          <t>68-100284-05</t>
        </is>
      </c>
      <c r="G1623" s="43" t="inlineStr">
        <is>
          <t>OTHER_SCOPE_ITEM</t>
        </is>
      </c>
      <c r="H1623" s="43" t="inlineStr"/>
      <c r="I1623" s="43" t="inlineStr">
        <is>
          <t>Implementation</t>
        </is>
      </c>
      <c r="J1623" s="32" t="n">
        <v>46364</v>
      </c>
      <c r="K1623" s="32" t="n">
        <v>46304</v>
      </c>
      <c r="L1623" s="43" t="inlineStr">
        <is>
          <t>1655</t>
        </is>
      </c>
      <c r="M1623" s="43" t="n">
        <v>1</v>
      </c>
      <c r="N1623" s="33" t="inlineStr"/>
      <c r="O1623" s="43" t="inlineStr">
        <is>
          <t>UNVERIFIED</t>
        </is>
      </c>
      <c r="P1623" s="43" t="inlineStr">
        <is>
          <t>Pending Review</t>
        </is>
      </c>
      <c r="Q1623" s="33" t="inlineStr">
        <is>
          <t>Confirmar SKU/PCBA revision, PN exacto en Common DB, WO, BU, vigencia, planta y aprobacion firmada.</t>
        </is>
      </c>
    </row>
    <row r="1624">
      <c r="A1624" s="43" t="inlineStr">
        <is>
          <t>CTANJZ05469</t>
        </is>
      </c>
      <c r="B1624" s="43" t="inlineStr">
        <is>
          <t>D613812</t>
        </is>
      </c>
      <c r="C1624" s="43" t="inlineStr">
        <is>
          <t>037-STBU</t>
        </is>
      </c>
      <c r="D1624" s="43" t="inlineStr">
        <is>
          <t>FJZP</t>
        </is>
      </c>
      <c r="E1624" s="43" t="inlineStr">
        <is>
          <t>MCGA</t>
        </is>
      </c>
      <c r="F1624" s="43" t="inlineStr">
        <is>
          <t>800-101939-03</t>
        </is>
      </c>
      <c r="G1624" s="43" t="inlineStr">
        <is>
          <t>OTHER_SCOPE_ITEM</t>
        </is>
      </c>
      <c r="H1624" s="43" t="inlineStr"/>
      <c r="I1624" s="43" t="inlineStr">
        <is>
          <t>Implementation</t>
        </is>
      </c>
      <c r="J1624" s="32" t="n">
        <v>46364</v>
      </c>
      <c r="K1624" s="32" t="n">
        <v>46304</v>
      </c>
      <c r="L1624" s="43" t="inlineStr">
        <is>
          <t>1656</t>
        </is>
      </c>
      <c r="M1624" s="43" t="n">
        <v>1</v>
      </c>
      <c r="N1624" s="33" t="inlineStr"/>
      <c r="O1624" s="43" t="inlineStr">
        <is>
          <t>UNVERIFIED</t>
        </is>
      </c>
      <c r="P1624" s="43" t="inlineStr">
        <is>
          <t>Pending Review</t>
        </is>
      </c>
      <c r="Q1624" s="33" t="inlineStr">
        <is>
          <t>Confirmar SKU/PCBA revision, PN exacto en Common DB, WO, BU, vigencia, planta y aprobacion firmada.</t>
        </is>
      </c>
    </row>
    <row r="1625">
      <c r="A1625" s="43" t="inlineStr">
        <is>
          <t>CTANJZ05469</t>
        </is>
      </c>
      <c r="B1625" s="43" t="inlineStr">
        <is>
          <t>D613812</t>
        </is>
      </c>
      <c r="C1625" s="43" t="inlineStr">
        <is>
          <t>037-STBU</t>
        </is>
      </c>
      <c r="D1625" s="43" t="inlineStr">
        <is>
          <t>FJZP</t>
        </is>
      </c>
      <c r="E1625" s="43" t="inlineStr">
        <is>
          <t>MCGA</t>
        </is>
      </c>
      <c r="F1625" s="43" t="inlineStr">
        <is>
          <t>800-101940-03</t>
        </is>
      </c>
      <c r="G1625" s="43" t="inlineStr">
        <is>
          <t>OTHER_SCOPE_ITEM</t>
        </is>
      </c>
      <c r="H1625" s="43" t="inlineStr"/>
      <c r="I1625" s="43" t="inlineStr">
        <is>
          <t>Implementation</t>
        </is>
      </c>
      <c r="J1625" s="32" t="n">
        <v>46364</v>
      </c>
      <c r="K1625" s="32" t="n">
        <v>46304</v>
      </c>
      <c r="L1625" s="43" t="inlineStr">
        <is>
          <t>1657</t>
        </is>
      </c>
      <c r="M1625" s="43" t="n">
        <v>1</v>
      </c>
      <c r="N1625" s="33" t="inlineStr"/>
      <c r="O1625" s="43" t="inlineStr">
        <is>
          <t>UNVERIFIED</t>
        </is>
      </c>
      <c r="P1625" s="43" t="inlineStr">
        <is>
          <t>Pending Review</t>
        </is>
      </c>
      <c r="Q1625" s="33" t="inlineStr">
        <is>
          <t>Confirmar SKU/PCBA revision, PN exacto en Common DB, WO, BU, vigencia, planta y aprobacion firmada.</t>
        </is>
      </c>
    </row>
    <row r="1626">
      <c r="A1626" s="43" t="inlineStr">
        <is>
          <t>CTANJZ05470</t>
        </is>
      </c>
      <c r="B1626" s="43" t="inlineStr">
        <is>
          <t>D613859</t>
        </is>
      </c>
      <c r="C1626" s="43" t="inlineStr">
        <is>
          <t>037-STBU</t>
        </is>
      </c>
      <c r="D1626" s="43" t="inlineStr">
        <is>
          <t>FJZP</t>
        </is>
      </c>
      <c r="E1626" s="43" t="inlineStr">
        <is>
          <t>MCGA</t>
        </is>
      </c>
      <c r="F1626" s="43" t="inlineStr">
        <is>
          <t>17-16164-01</t>
        </is>
      </c>
      <c r="G1626" s="43" t="inlineStr">
        <is>
          <t>OTHER_SCOPE_ITEM</t>
        </is>
      </c>
      <c r="H1626" s="43" t="inlineStr"/>
      <c r="I1626" s="43" t="inlineStr">
        <is>
          <t>Implementation</t>
        </is>
      </c>
      <c r="J1626" s="32" t="n">
        <v>46364</v>
      </c>
      <c r="K1626" s="32" t="n">
        <v>46304</v>
      </c>
      <c r="L1626" s="43" t="inlineStr">
        <is>
          <t>258,1567</t>
        </is>
      </c>
      <c r="M1626" s="43" t="n">
        <v>2</v>
      </c>
      <c r="N1626" s="33" t="inlineStr"/>
      <c r="O1626" s="43" t="inlineStr">
        <is>
          <t>UNVERIFIED</t>
        </is>
      </c>
      <c r="P1626" s="43" t="inlineStr">
        <is>
          <t>Pending Review</t>
        </is>
      </c>
      <c r="Q1626" s="33" t="inlineStr">
        <is>
          <t>Confirmar SKU/PCBA revision, PN exacto en Common DB, WO, BU, vigencia, planta y aprobacion firmada.</t>
        </is>
      </c>
    </row>
    <row r="1627">
      <c r="A1627" s="43" t="inlineStr">
        <is>
          <t>CTANJZ05470</t>
        </is>
      </c>
      <c r="B1627" s="43" t="inlineStr">
        <is>
          <t>D613859</t>
        </is>
      </c>
      <c r="C1627" s="43" t="inlineStr">
        <is>
          <t>037-STBU</t>
        </is>
      </c>
      <c r="D1627" s="43" t="inlineStr">
        <is>
          <t>FJZP</t>
        </is>
      </c>
      <c r="E1627" s="43" t="inlineStr">
        <is>
          <t>MCGA</t>
        </is>
      </c>
      <c r="F1627" s="43" t="inlineStr">
        <is>
          <t>73-102482-02</t>
        </is>
      </c>
      <c r="G1627" s="43" t="inlineStr">
        <is>
          <t>BOARD_PN_CANDIDATE</t>
        </is>
      </c>
      <c r="H1627" s="43" t="inlineStr"/>
      <c r="I1627" s="43" t="inlineStr">
        <is>
          <t>Implementation</t>
        </is>
      </c>
      <c r="J1627" s="32" t="n">
        <v>46364</v>
      </c>
      <c r="K1627" s="32" t="n">
        <v>46304</v>
      </c>
      <c r="L1627" s="43" t="inlineStr">
        <is>
          <t>259,1568</t>
        </is>
      </c>
      <c r="M1627" s="43" t="n">
        <v>2</v>
      </c>
      <c r="N1627" s="33" t="inlineStr"/>
      <c r="O1627" s="43" t="inlineStr">
        <is>
          <t>UNVERIFIED</t>
        </is>
      </c>
      <c r="P1627" s="43" t="inlineStr">
        <is>
          <t>Pending Review</t>
        </is>
      </c>
      <c r="Q1627" s="33" t="inlineStr">
        <is>
          <t>Confirmar SKU/PCBA revision, PN exacto en Common DB, WO, BU, vigencia, planta y aprobacion firmada.</t>
        </is>
      </c>
    </row>
    <row r="1628">
      <c r="A1628" s="43" t="inlineStr">
        <is>
          <t>CTANJZ05471</t>
        </is>
      </c>
      <c r="B1628" s="43" t="inlineStr">
        <is>
          <t>D613625</t>
        </is>
      </c>
      <c r="C1628" s="43" t="inlineStr">
        <is>
          <t>037-STBU</t>
        </is>
      </c>
      <c r="D1628" s="43" t="inlineStr">
        <is>
          <t>FJZP</t>
        </is>
      </c>
      <c r="E1628" s="43" t="inlineStr">
        <is>
          <t>MCGA</t>
        </is>
      </c>
      <c r="F1628" s="43" t="inlineStr">
        <is>
          <t>74-139979-01</t>
        </is>
      </c>
      <c r="G1628" s="43" t="inlineStr">
        <is>
          <t>OTHER_SCOPE_ITEM</t>
        </is>
      </c>
      <c r="H1628" s="43" t="inlineStr"/>
      <c r="I1628" s="43" t="inlineStr">
        <is>
          <t>Implementation</t>
        </is>
      </c>
      <c r="J1628" s="32" t="n">
        <v>46364</v>
      </c>
      <c r="K1628" s="32" t="n">
        <v>46304</v>
      </c>
      <c r="L1628" s="43" t="inlineStr">
        <is>
          <t>1859</t>
        </is>
      </c>
      <c r="M1628" s="43" t="n">
        <v>1</v>
      </c>
      <c r="N1628" s="33" t="inlineStr"/>
      <c r="O1628" s="43" t="inlineStr">
        <is>
          <t>UNVERIFIED</t>
        </is>
      </c>
      <c r="P1628" s="43" t="inlineStr">
        <is>
          <t>Pending Review</t>
        </is>
      </c>
      <c r="Q1628" s="33" t="inlineStr">
        <is>
          <t>Confirmar SKU/PCBA revision, PN exacto en Common DB, WO, BU, vigencia, planta y aprobacion firmada.</t>
        </is>
      </c>
    </row>
    <row r="1629">
      <c r="A1629" s="43" t="inlineStr">
        <is>
          <t>CTANJZ05471</t>
        </is>
      </c>
      <c r="B1629" s="43" t="inlineStr">
        <is>
          <t>D613625</t>
        </is>
      </c>
      <c r="C1629" s="43" t="inlineStr">
        <is>
          <t>037-STBU</t>
        </is>
      </c>
      <c r="D1629" s="43" t="inlineStr">
        <is>
          <t>FJZP</t>
        </is>
      </c>
      <c r="E1629" s="43" t="inlineStr">
        <is>
          <t>MCGA</t>
        </is>
      </c>
      <c r="F1629" s="43" t="inlineStr">
        <is>
          <t>74-139980-01</t>
        </is>
      </c>
      <c r="G1629" s="43" t="inlineStr">
        <is>
          <t>OTHER_SCOPE_ITEM</t>
        </is>
      </c>
      <c r="H1629" s="43" t="inlineStr"/>
      <c r="I1629" s="43" t="inlineStr">
        <is>
          <t>Implementation</t>
        </is>
      </c>
      <c r="J1629" s="32" t="n">
        <v>46364</v>
      </c>
      <c r="K1629" s="32" t="n">
        <v>46304</v>
      </c>
      <c r="L1629" s="43" t="inlineStr">
        <is>
          <t>1860</t>
        </is>
      </c>
      <c r="M1629" s="43" t="n">
        <v>1</v>
      </c>
      <c r="N1629" s="33" t="inlineStr"/>
      <c r="O1629" s="43" t="inlineStr">
        <is>
          <t>UNVERIFIED</t>
        </is>
      </c>
      <c r="P1629" s="43" t="inlineStr">
        <is>
          <t>Pending Review</t>
        </is>
      </c>
      <c r="Q1629" s="33" t="inlineStr">
        <is>
          <t>Confirmar SKU/PCBA revision, PN exacto en Common DB, WO, BU, vigencia, planta y aprobacion firmada.</t>
        </is>
      </c>
    </row>
    <row r="1630">
      <c r="A1630" s="43" t="inlineStr">
        <is>
          <t>CTANJZ05471</t>
        </is>
      </c>
      <c r="B1630" s="43" t="inlineStr">
        <is>
          <t>D613625</t>
        </is>
      </c>
      <c r="C1630" s="43" t="inlineStr">
        <is>
          <t>037-STBU</t>
        </is>
      </c>
      <c r="D1630" s="43" t="inlineStr">
        <is>
          <t>FJZP</t>
        </is>
      </c>
      <c r="E1630" s="43" t="inlineStr">
        <is>
          <t>MCGA</t>
        </is>
      </c>
      <c r="F1630" s="43" t="inlineStr">
        <is>
          <t>74-139981-01</t>
        </is>
      </c>
      <c r="G1630" s="43" t="inlineStr">
        <is>
          <t>OTHER_SCOPE_ITEM</t>
        </is>
      </c>
      <c r="H1630" s="43" t="inlineStr"/>
      <c r="I1630" s="43" t="inlineStr">
        <is>
          <t>Implementation</t>
        </is>
      </c>
      <c r="J1630" s="32" t="n">
        <v>46364</v>
      </c>
      <c r="K1630" s="32" t="n">
        <v>46304</v>
      </c>
      <c r="L1630" s="43" t="inlineStr">
        <is>
          <t>1861</t>
        </is>
      </c>
      <c r="M1630" s="43" t="n">
        <v>1</v>
      </c>
      <c r="N1630" s="33" t="inlineStr"/>
      <c r="O1630" s="43" t="inlineStr">
        <is>
          <t>UNVERIFIED</t>
        </is>
      </c>
      <c r="P1630" s="43" t="inlineStr">
        <is>
          <t>Pending Review</t>
        </is>
      </c>
      <c r="Q1630" s="33" t="inlineStr">
        <is>
          <t>Confirmar SKU/PCBA revision, PN exacto en Common DB, WO, BU, vigencia, planta y aprobacion firmada.</t>
        </is>
      </c>
    </row>
    <row r="1631">
      <c r="A1631" s="43" t="inlineStr">
        <is>
          <t>CTANJZ05476</t>
        </is>
      </c>
      <c r="B1631" s="43" t="inlineStr">
        <is>
          <t>D614007</t>
        </is>
      </c>
      <c r="C1631" s="43" t="inlineStr">
        <is>
          <t>035-CVEBU</t>
        </is>
      </c>
      <c r="D1631" s="43" t="inlineStr">
        <is>
          <t>FJZP</t>
        </is>
      </c>
      <c r="E1631" s="43" t="inlineStr">
        <is>
          <t>MCGA</t>
        </is>
      </c>
      <c r="F1631" s="43" t="inlineStr">
        <is>
          <t>15-110522-01</t>
        </is>
      </c>
      <c r="G1631" s="43" t="inlineStr">
        <is>
          <t>OTHER_SCOPE_ITEM</t>
        </is>
      </c>
      <c r="H1631" s="43" t="inlineStr"/>
      <c r="I1631" s="43" t="inlineStr">
        <is>
          <t>FAI Status</t>
        </is>
      </c>
      <c r="J1631" s="32" t="n">
        <v>46365</v>
      </c>
      <c r="K1631" s="32" t="n">
        <v>46298</v>
      </c>
      <c r="L1631" s="43" t="inlineStr">
        <is>
          <t>592</t>
        </is>
      </c>
      <c r="M1631" s="43" t="n">
        <v>1</v>
      </c>
      <c r="N1631" s="33" t="inlineStr"/>
      <c r="O1631" s="43" t="inlineStr">
        <is>
          <t>UNVERIFIED</t>
        </is>
      </c>
      <c r="P1631" s="43" t="inlineStr">
        <is>
          <t>Pending Review</t>
        </is>
      </c>
      <c r="Q1631" s="33" t="inlineStr">
        <is>
          <t>Confirmar SKU/PCBA revision, PN exacto en Common DB, WO, BU, vigencia, planta y aprobacion firmada.</t>
        </is>
      </c>
    </row>
    <row r="1632">
      <c r="A1632" s="43" t="inlineStr">
        <is>
          <t>CTANJZ05476</t>
        </is>
      </c>
      <c r="B1632" s="43" t="inlineStr">
        <is>
          <t>D614007</t>
        </is>
      </c>
      <c r="C1632" s="43" t="inlineStr">
        <is>
          <t>035-CVEBU</t>
        </is>
      </c>
      <c r="D1632" s="43" t="inlineStr">
        <is>
          <t>FJZP</t>
        </is>
      </c>
      <c r="E1632" s="43" t="inlineStr">
        <is>
          <t>MCGA</t>
        </is>
      </c>
      <c r="F1632" s="43" t="inlineStr">
        <is>
          <t>73-103720-04</t>
        </is>
      </c>
      <c r="G1632" s="43" t="inlineStr">
        <is>
          <t>BOARD_PN_CANDIDATE</t>
        </is>
      </c>
      <c r="H1632" s="43" t="inlineStr"/>
      <c r="I1632" s="43" t="inlineStr">
        <is>
          <t>FAI Status</t>
        </is>
      </c>
      <c r="J1632" s="32" t="n">
        <v>46365</v>
      </c>
      <c r="K1632" s="32" t="n">
        <v>46298</v>
      </c>
      <c r="L1632" s="43" t="inlineStr">
        <is>
          <t>593</t>
        </is>
      </c>
      <c r="M1632" s="43" t="n">
        <v>1</v>
      </c>
      <c r="N1632" s="33" t="inlineStr"/>
      <c r="O1632" s="43" t="inlineStr">
        <is>
          <t>UNVERIFIED</t>
        </is>
      </c>
      <c r="P1632" s="43" t="inlineStr">
        <is>
          <t>Pending Review</t>
        </is>
      </c>
      <c r="Q1632" s="33" t="inlineStr">
        <is>
          <t>Confirmar SKU/PCBA revision, PN exacto en Common DB, WO, BU, vigencia, planta y aprobacion firmada.</t>
        </is>
      </c>
    </row>
    <row r="1633">
      <c r="A1633" s="43" t="inlineStr">
        <is>
          <t>CTANJZ05476</t>
        </is>
      </c>
      <c r="B1633" s="43" t="inlineStr">
        <is>
          <t>D614007</t>
        </is>
      </c>
      <c r="C1633" s="43" t="inlineStr">
        <is>
          <t>035-CVEBU</t>
        </is>
      </c>
      <c r="D1633" s="43" t="inlineStr">
        <is>
          <t>FJZP</t>
        </is>
      </c>
      <c r="E1633" s="43" t="inlineStr">
        <is>
          <t>MCGA</t>
        </is>
      </c>
      <c r="F1633" s="43" t="inlineStr">
        <is>
          <t>73-103920-04</t>
        </is>
      </c>
      <c r="G1633" s="43" t="inlineStr">
        <is>
          <t>BOARD_PN_CANDIDATE</t>
        </is>
      </c>
      <c r="H1633" s="43" t="inlineStr"/>
      <c r="I1633" s="43" t="inlineStr">
        <is>
          <t>FAI Status</t>
        </is>
      </c>
      <c r="J1633" s="32" t="n">
        <v>46365</v>
      </c>
      <c r="K1633" s="32" t="n">
        <v>46298</v>
      </c>
      <c r="L1633" s="43" t="inlineStr">
        <is>
          <t>594</t>
        </is>
      </c>
      <c r="M1633" s="43" t="n">
        <v>1</v>
      </c>
      <c r="N1633" s="33" t="inlineStr"/>
      <c r="O1633" s="43" t="inlineStr">
        <is>
          <t>UNVERIFIED</t>
        </is>
      </c>
      <c r="P1633" s="43" t="inlineStr">
        <is>
          <t>Pending Review</t>
        </is>
      </c>
      <c r="Q1633" s="33" t="inlineStr">
        <is>
          <t>Confirmar SKU/PCBA revision, PN exacto en Common DB, WO, BU, vigencia, planta y aprobacion firmada.</t>
        </is>
      </c>
    </row>
    <row r="1634">
      <c r="A1634" s="43" t="inlineStr">
        <is>
          <t>CTANJZ05479</t>
        </is>
      </c>
      <c r="B1634" s="43" t="inlineStr">
        <is>
          <t>D613635</t>
        </is>
      </c>
      <c r="C1634" s="43" t="inlineStr">
        <is>
          <t>239-CRBU</t>
        </is>
      </c>
      <c r="D1634" s="43" t="inlineStr">
        <is>
          <t>FJZP</t>
        </is>
      </c>
      <c r="E1634" s="43" t="inlineStr">
        <is>
          <t>MCGA</t>
        </is>
      </c>
      <c r="F1634" s="43" t="inlineStr">
        <is>
          <t>16-100239-01</t>
        </is>
      </c>
      <c r="G1634" s="43" t="inlineStr">
        <is>
          <t>OTHER_SCOPE_ITEM</t>
        </is>
      </c>
      <c r="H1634" s="43" t="inlineStr"/>
      <c r="I1634" s="43" t="inlineStr">
        <is>
          <t>Implementation</t>
        </is>
      </c>
      <c r="J1634" s="32" t="n">
        <v>46366</v>
      </c>
      <c r="K1634" s="32" t="n">
        <v>46298</v>
      </c>
      <c r="L1634" s="43" t="inlineStr">
        <is>
          <t>68,230</t>
        </is>
      </c>
      <c r="M1634" s="43" t="n">
        <v>2</v>
      </c>
      <c r="N1634" s="33" t="inlineStr"/>
      <c r="O1634" s="43" t="inlineStr">
        <is>
          <t>UNVERIFIED</t>
        </is>
      </c>
      <c r="P1634" s="43" t="inlineStr">
        <is>
          <t>Pending Review</t>
        </is>
      </c>
      <c r="Q1634" s="33" t="inlineStr">
        <is>
          <t>Confirmar SKU/PCBA revision, PN exacto en Common DB, WO, BU, vigencia, planta y aprobacion firmada.</t>
        </is>
      </c>
    </row>
    <row r="1635">
      <c r="A1635" s="43" t="inlineStr">
        <is>
          <t>CTANJZ05479</t>
        </is>
      </c>
      <c r="B1635" s="43" t="inlineStr">
        <is>
          <t>D613635</t>
        </is>
      </c>
      <c r="C1635" s="43" t="inlineStr">
        <is>
          <t>239-CRBU</t>
        </is>
      </c>
      <c r="D1635" s="43" t="inlineStr">
        <is>
          <t>FJZP</t>
        </is>
      </c>
      <c r="E1635" s="43" t="inlineStr">
        <is>
          <t>MCGA</t>
        </is>
      </c>
      <c r="F1635" s="43" t="inlineStr">
        <is>
          <t>17-14802-02</t>
        </is>
      </c>
      <c r="G1635" s="43" t="inlineStr">
        <is>
          <t>OTHER_SCOPE_ITEM</t>
        </is>
      </c>
      <c r="H1635" s="43" t="inlineStr"/>
      <c r="I1635" s="43" t="inlineStr">
        <is>
          <t>Implementation</t>
        </is>
      </c>
      <c r="J1635" s="32" t="n">
        <v>46366</v>
      </c>
      <c r="K1635" s="32" t="n">
        <v>46298</v>
      </c>
      <c r="L1635" s="43" t="inlineStr">
        <is>
          <t>69,231</t>
        </is>
      </c>
      <c r="M1635" s="43" t="n">
        <v>2</v>
      </c>
      <c r="N1635" s="33" t="inlineStr"/>
      <c r="O1635" s="43" t="inlineStr">
        <is>
          <t>UNVERIFIED</t>
        </is>
      </c>
      <c r="P1635" s="43" t="inlineStr">
        <is>
          <t>Pending Review</t>
        </is>
      </c>
      <c r="Q1635" s="33" t="inlineStr">
        <is>
          <t>Confirmar SKU/PCBA revision, PN exacto en Common DB, WO, BU, vigencia, planta y aprobacion firmada.</t>
        </is>
      </c>
    </row>
    <row r="1636">
      <c r="A1636" s="43" t="inlineStr">
        <is>
          <t>CTANJZ05482</t>
        </is>
      </c>
      <c r="B1636" s="43" t="inlineStr">
        <is>
          <t>D614055</t>
        </is>
      </c>
      <c r="C1636" s="43" t="inlineStr">
        <is>
          <t>018-SRGBU</t>
        </is>
      </c>
      <c r="D1636" s="43" t="inlineStr">
        <is>
          <t>FJZP</t>
        </is>
      </c>
      <c r="E1636" s="43" t="inlineStr">
        <is>
          <t>MCGA</t>
        </is>
      </c>
      <c r="F1636" s="43" t="inlineStr">
        <is>
          <t>341-101113-02</t>
        </is>
      </c>
      <c r="G1636" s="43" t="inlineStr">
        <is>
          <t>OTHER_SCOPE_ITEM</t>
        </is>
      </c>
      <c r="H1636" s="43" t="inlineStr"/>
      <c r="I1636" s="43" t="inlineStr">
        <is>
          <t>FAI Status</t>
        </is>
      </c>
      <c r="J1636" s="32" t="n">
        <v>46369</v>
      </c>
      <c r="K1636" s="32" t="n">
        <v>46304</v>
      </c>
      <c r="L1636" s="43" t="inlineStr">
        <is>
          <t>1245</t>
        </is>
      </c>
      <c r="M1636" s="43" t="n">
        <v>1</v>
      </c>
      <c r="N1636" s="33" t="inlineStr"/>
      <c r="O1636" s="43" t="inlineStr">
        <is>
          <t>UNVERIFIED</t>
        </is>
      </c>
      <c r="P1636" s="43" t="inlineStr">
        <is>
          <t>Pending Review</t>
        </is>
      </c>
      <c r="Q1636" s="33" t="inlineStr">
        <is>
          <t>Confirmar SKU/PCBA revision, PN exacto en Common DB, WO, BU, vigencia, planta y aprobacion firmada.</t>
        </is>
      </c>
    </row>
    <row r="1637">
      <c r="A1637" s="43" t="inlineStr">
        <is>
          <t>CTANJZ05483</t>
        </is>
      </c>
      <c r="B1637" s="43" t="inlineStr">
        <is>
          <t>D613884</t>
        </is>
      </c>
      <c r="C1637" s="43" t="inlineStr">
        <is>
          <t>037-STBU</t>
        </is>
      </c>
      <c r="D1637" s="43" t="inlineStr">
        <is>
          <t>FJZP</t>
        </is>
      </c>
      <c r="E1637" s="43" t="inlineStr">
        <is>
          <t>MCGA</t>
        </is>
      </c>
      <c r="F1637" s="43" t="inlineStr">
        <is>
          <t>73-17497-04</t>
        </is>
      </c>
      <c r="G1637" s="43" t="inlineStr">
        <is>
          <t>BOARD_PN_CANDIDATE</t>
        </is>
      </c>
      <c r="H1637" s="43" t="inlineStr"/>
      <c r="I1637" s="43" t="inlineStr">
        <is>
          <t>Implementation</t>
        </is>
      </c>
      <c r="J1637" s="32" t="n">
        <v>46370</v>
      </c>
      <c r="K1637" s="32" t="n">
        <v>46305</v>
      </c>
      <c r="L1637" s="43" t="inlineStr">
        <is>
          <t>1642</t>
        </is>
      </c>
      <c r="M1637" s="43" t="n">
        <v>1</v>
      </c>
      <c r="N1637" s="33" t="inlineStr"/>
      <c r="O1637" s="43" t="inlineStr">
        <is>
          <t>UNVERIFIED</t>
        </is>
      </c>
      <c r="P1637" s="43" t="inlineStr">
        <is>
          <t>Pending Review</t>
        </is>
      </c>
      <c r="Q1637" s="33" t="inlineStr">
        <is>
          <t>Confirmar SKU/PCBA revision, PN exacto en Common DB, WO, BU, vigencia, planta y aprobacion firmada.</t>
        </is>
      </c>
    </row>
    <row r="1638">
      <c r="A1638" s="43" t="inlineStr">
        <is>
          <t>CTANJZ05483</t>
        </is>
      </c>
      <c r="B1638" s="43" t="inlineStr">
        <is>
          <t>D613884</t>
        </is>
      </c>
      <c r="C1638" s="43" t="inlineStr">
        <is>
          <t>037-STBU</t>
        </is>
      </c>
      <c r="D1638" s="43" t="inlineStr">
        <is>
          <t>FJZP</t>
        </is>
      </c>
      <c r="E1638" s="43" t="inlineStr">
        <is>
          <t>MCGA</t>
        </is>
      </c>
      <c r="F1638" s="43" t="inlineStr">
        <is>
          <t>73-17498-04</t>
        </is>
      </c>
      <c r="G1638" s="43" t="inlineStr">
        <is>
          <t>BOARD_PN_CANDIDATE</t>
        </is>
      </c>
      <c r="H1638" s="43" t="inlineStr"/>
      <c r="I1638" s="43" t="inlineStr">
        <is>
          <t>Implementation</t>
        </is>
      </c>
      <c r="J1638" s="32" t="n">
        <v>46370</v>
      </c>
      <c r="K1638" s="32" t="n">
        <v>46305</v>
      </c>
      <c r="L1638" s="43" t="inlineStr">
        <is>
          <t>1643</t>
        </is>
      </c>
      <c r="M1638" s="43" t="n">
        <v>1</v>
      </c>
      <c r="N1638" s="33" t="inlineStr"/>
      <c r="O1638" s="43" t="inlineStr">
        <is>
          <t>UNVERIFIED</t>
        </is>
      </c>
      <c r="P1638" s="43" t="inlineStr">
        <is>
          <t>Pending Review</t>
        </is>
      </c>
      <c r="Q1638" s="33" t="inlineStr">
        <is>
          <t>Confirmar SKU/PCBA revision, PN exacto en Common DB, WO, BU, vigencia, planta y aprobacion firmada.</t>
        </is>
      </c>
    </row>
    <row r="1639">
      <c r="A1639" s="43" t="inlineStr">
        <is>
          <t>CTANJZ05483</t>
        </is>
      </c>
      <c r="B1639" s="43" t="inlineStr">
        <is>
          <t>D613884</t>
        </is>
      </c>
      <c r="C1639" s="43" t="inlineStr">
        <is>
          <t>037-STBU</t>
        </is>
      </c>
      <c r="D1639" s="43" t="inlineStr">
        <is>
          <t>FJZP</t>
        </is>
      </c>
      <c r="E1639" s="43" t="inlineStr">
        <is>
          <t>MCGA</t>
        </is>
      </c>
      <c r="F1639" s="43" t="inlineStr">
        <is>
          <t>73-17499-07</t>
        </is>
      </c>
      <c r="G1639" s="43" t="inlineStr">
        <is>
          <t>BOARD_PN_CANDIDATE</t>
        </is>
      </c>
      <c r="H1639" s="43" t="inlineStr"/>
      <c r="I1639" s="43" t="inlineStr">
        <is>
          <t>Implementation</t>
        </is>
      </c>
      <c r="J1639" s="32" t="n">
        <v>46370</v>
      </c>
      <c r="K1639" s="32" t="n">
        <v>46305</v>
      </c>
      <c r="L1639" s="43" t="inlineStr">
        <is>
          <t>1644</t>
        </is>
      </c>
      <c r="M1639" s="43" t="n">
        <v>1</v>
      </c>
      <c r="N1639" s="33" t="inlineStr"/>
      <c r="O1639" s="43" t="inlineStr">
        <is>
          <t>UNVERIFIED</t>
        </is>
      </c>
      <c r="P1639" s="43" t="inlineStr">
        <is>
          <t>Pending Review</t>
        </is>
      </c>
      <c r="Q1639" s="33" t="inlineStr">
        <is>
          <t>Confirmar SKU/PCBA revision, PN exacto en Common DB, WO, BU, vigencia, planta y aprobacion firmada.</t>
        </is>
      </c>
    </row>
    <row r="1640">
      <c r="A1640" s="43" t="inlineStr">
        <is>
          <t>CTANJZ05483</t>
        </is>
      </c>
      <c r="B1640" s="43" t="inlineStr">
        <is>
          <t>D613884</t>
        </is>
      </c>
      <c r="C1640" s="43" t="inlineStr">
        <is>
          <t>037-STBU</t>
        </is>
      </c>
      <c r="D1640" s="43" t="inlineStr">
        <is>
          <t>FJZP</t>
        </is>
      </c>
      <c r="E1640" s="43" t="inlineStr">
        <is>
          <t>MCGA</t>
        </is>
      </c>
      <c r="F1640" s="43" t="inlineStr">
        <is>
          <t>73-17510-02</t>
        </is>
      </c>
      <c r="G1640" s="43" t="inlineStr">
        <is>
          <t>BOARD_PN_CANDIDATE</t>
        </is>
      </c>
      <c r="H1640" s="43" t="inlineStr"/>
      <c r="I1640" s="43" t="inlineStr">
        <is>
          <t>Implementation</t>
        </is>
      </c>
      <c r="J1640" s="32" t="n">
        <v>46370</v>
      </c>
      <c r="K1640" s="32" t="n">
        <v>46305</v>
      </c>
      <c r="L1640" s="43" t="inlineStr">
        <is>
          <t>1645</t>
        </is>
      </c>
      <c r="M1640" s="43" t="n">
        <v>1</v>
      </c>
      <c r="N1640" s="33" t="inlineStr"/>
      <c r="O1640" s="43" t="inlineStr">
        <is>
          <t>UNVERIFIED</t>
        </is>
      </c>
      <c r="P1640" s="43" t="inlineStr">
        <is>
          <t>Pending Review</t>
        </is>
      </c>
      <c r="Q1640" s="33" t="inlineStr">
        <is>
          <t>Confirmar SKU/PCBA revision, PN exacto en Common DB, WO, BU, vigencia, planta y aprobacion firmada.</t>
        </is>
      </c>
    </row>
    <row r="1641">
      <c r="A1641" s="43" t="inlineStr">
        <is>
          <t>CTANJZ05483</t>
        </is>
      </c>
      <c r="B1641" s="43" t="inlineStr">
        <is>
          <t>D613884</t>
        </is>
      </c>
      <c r="C1641" s="43" t="inlineStr">
        <is>
          <t>037-STBU</t>
        </is>
      </c>
      <c r="D1641" s="43" t="inlineStr">
        <is>
          <t>FJZP</t>
        </is>
      </c>
      <c r="E1641" s="43" t="inlineStr">
        <is>
          <t>MCGA</t>
        </is>
      </c>
      <c r="F1641" s="43" t="inlineStr">
        <is>
          <t>73-17514-02</t>
        </is>
      </c>
      <c r="G1641" s="43" t="inlineStr">
        <is>
          <t>BOARD_PN_CANDIDATE</t>
        </is>
      </c>
      <c r="H1641" s="43" t="inlineStr"/>
      <c r="I1641" s="43" t="inlineStr">
        <is>
          <t>Implementation</t>
        </is>
      </c>
      <c r="J1641" s="32" t="n">
        <v>46370</v>
      </c>
      <c r="K1641" s="32" t="n">
        <v>46305</v>
      </c>
      <c r="L1641" s="43" t="inlineStr">
        <is>
          <t>1689</t>
        </is>
      </c>
      <c r="M1641" s="43" t="n">
        <v>1</v>
      </c>
      <c r="N1641" s="33" t="inlineStr"/>
      <c r="O1641" s="43" t="inlineStr">
        <is>
          <t>UNVERIFIED</t>
        </is>
      </c>
      <c r="P1641" s="43" t="inlineStr">
        <is>
          <t>Pending Review</t>
        </is>
      </c>
      <c r="Q1641" s="33" t="inlineStr">
        <is>
          <t>Confirmar SKU/PCBA revision, PN exacto en Common DB, WO, BU, vigencia, planta y aprobacion firmada.</t>
        </is>
      </c>
    </row>
    <row r="1642">
      <c r="A1642" s="43" t="inlineStr">
        <is>
          <t>CTANJZ05483</t>
        </is>
      </c>
      <c r="B1642" s="43" t="inlineStr">
        <is>
          <t>D613884</t>
        </is>
      </c>
      <c r="C1642" s="43" t="inlineStr">
        <is>
          <t>037-STBU</t>
        </is>
      </c>
      <c r="D1642" s="43" t="inlineStr">
        <is>
          <t>FJZP</t>
        </is>
      </c>
      <c r="E1642" s="43" t="inlineStr">
        <is>
          <t>MCGA</t>
        </is>
      </c>
      <c r="F1642" s="43" t="inlineStr">
        <is>
          <t>73-17530-02</t>
        </is>
      </c>
      <c r="G1642" s="43" t="inlineStr">
        <is>
          <t>BOARD_PN_CANDIDATE</t>
        </is>
      </c>
      <c r="H1642" s="43" t="inlineStr"/>
      <c r="I1642" s="43" t="inlineStr">
        <is>
          <t>Implementation</t>
        </is>
      </c>
      <c r="J1642" s="32" t="n">
        <v>46370</v>
      </c>
      <c r="K1642" s="32" t="n">
        <v>46305</v>
      </c>
      <c r="L1642" s="43" t="inlineStr">
        <is>
          <t>1649</t>
        </is>
      </c>
      <c r="M1642" s="43" t="n">
        <v>1</v>
      </c>
      <c r="N1642" s="33" t="inlineStr"/>
      <c r="O1642" s="43" t="inlineStr">
        <is>
          <t>UNVERIFIED</t>
        </is>
      </c>
      <c r="P1642" s="43" t="inlineStr">
        <is>
          <t>Pending Review</t>
        </is>
      </c>
      <c r="Q1642" s="33" t="inlineStr">
        <is>
          <t>Confirmar SKU/PCBA revision, PN exacto en Common DB, WO, BU, vigencia, planta y aprobacion firmada.</t>
        </is>
      </c>
    </row>
    <row r="1643">
      <c r="A1643" s="43" t="inlineStr">
        <is>
          <t>CTANJZ05483</t>
        </is>
      </c>
      <c r="B1643" s="43" t="inlineStr">
        <is>
          <t>D613884</t>
        </is>
      </c>
      <c r="C1643" s="43" t="inlineStr">
        <is>
          <t>037-STBU</t>
        </is>
      </c>
      <c r="D1643" s="43" t="inlineStr">
        <is>
          <t>FJZP</t>
        </is>
      </c>
      <c r="E1643" s="43" t="inlineStr">
        <is>
          <t>MCGA</t>
        </is>
      </c>
      <c r="F1643" s="43" t="inlineStr">
        <is>
          <t>73-18626-04</t>
        </is>
      </c>
      <c r="G1643" s="43" t="inlineStr">
        <is>
          <t>BOARD_PN_CANDIDATE</t>
        </is>
      </c>
      <c r="H1643" s="43" t="inlineStr"/>
      <c r="I1643" s="43" t="inlineStr">
        <is>
          <t>Implementation</t>
        </is>
      </c>
      <c r="J1643" s="32" t="n">
        <v>46370</v>
      </c>
      <c r="K1643" s="32" t="n">
        <v>46305</v>
      </c>
      <c r="L1643" s="43" t="inlineStr">
        <is>
          <t>1650</t>
        </is>
      </c>
      <c r="M1643" s="43" t="n">
        <v>1</v>
      </c>
      <c r="N1643" s="33" t="inlineStr"/>
      <c r="O1643" s="43" t="inlineStr">
        <is>
          <t>UNVERIFIED</t>
        </is>
      </c>
      <c r="P1643" s="43" t="inlineStr">
        <is>
          <t>Pending Review</t>
        </is>
      </c>
      <c r="Q1643" s="33" t="inlineStr">
        <is>
          <t>Confirmar SKU/PCBA revision, PN exacto en Common DB, WO, BU, vigencia, planta y aprobacion firmada.</t>
        </is>
      </c>
    </row>
    <row r="1644">
      <c r="A1644" s="43" t="inlineStr">
        <is>
          <t>CTANJZ05483</t>
        </is>
      </c>
      <c r="B1644" s="43" t="inlineStr">
        <is>
          <t>D613884</t>
        </is>
      </c>
      <c r="C1644" s="43" t="inlineStr">
        <is>
          <t>037-STBU</t>
        </is>
      </c>
      <c r="D1644" s="43" t="inlineStr">
        <is>
          <t>FJZP</t>
        </is>
      </c>
      <c r="E1644" s="43" t="inlineStr">
        <is>
          <t>MCGA</t>
        </is>
      </c>
      <c r="F1644" s="43" t="inlineStr">
        <is>
          <t>73-19332-01</t>
        </is>
      </c>
      <c r="G1644" s="43" t="inlineStr">
        <is>
          <t>BOARD_PN_CANDIDATE</t>
        </is>
      </c>
      <c r="H1644" s="43" t="inlineStr"/>
      <c r="I1644" s="43" t="inlineStr">
        <is>
          <t>Implementation</t>
        </is>
      </c>
      <c r="J1644" s="32" t="n">
        <v>46370</v>
      </c>
      <c r="K1644" s="32" t="n">
        <v>46305</v>
      </c>
      <c r="L1644" s="43" t="inlineStr">
        <is>
          <t>1651</t>
        </is>
      </c>
      <c r="M1644" s="43" t="n">
        <v>1</v>
      </c>
      <c r="N1644" s="33" t="inlineStr"/>
      <c r="O1644" s="43" t="inlineStr">
        <is>
          <t>UNVERIFIED</t>
        </is>
      </c>
      <c r="P1644" s="43" t="inlineStr">
        <is>
          <t>Pending Review</t>
        </is>
      </c>
      <c r="Q1644" s="33" t="inlineStr">
        <is>
          <t>Confirmar SKU/PCBA revision, PN exacto en Common DB, WO, BU, vigencia, planta y aprobacion firmada.</t>
        </is>
      </c>
    </row>
    <row r="1645">
      <c r="A1645" s="43" t="inlineStr">
        <is>
          <t>CTANJZ05483</t>
        </is>
      </c>
      <c r="B1645" s="43" t="inlineStr">
        <is>
          <t>D613884</t>
        </is>
      </c>
      <c r="C1645" s="43" t="inlineStr">
        <is>
          <t>037-STBU</t>
        </is>
      </c>
      <c r="D1645" s="43" t="inlineStr">
        <is>
          <t>FJZP</t>
        </is>
      </c>
      <c r="E1645" s="43" t="inlineStr">
        <is>
          <t>MCGA</t>
        </is>
      </c>
      <c r="F1645" s="43" t="inlineStr">
        <is>
          <t>73-19337-01</t>
        </is>
      </c>
      <c r="G1645" s="43" t="inlineStr">
        <is>
          <t>BOARD_PN_CANDIDATE</t>
        </is>
      </c>
      <c r="H1645" s="43" t="inlineStr"/>
      <c r="I1645" s="43" t="inlineStr">
        <is>
          <t>Implementation</t>
        </is>
      </c>
      <c r="J1645" s="32" t="n">
        <v>46370</v>
      </c>
      <c r="K1645" s="32" t="n">
        <v>46305</v>
      </c>
      <c r="L1645" s="43" t="inlineStr">
        <is>
          <t>1695</t>
        </is>
      </c>
      <c r="M1645" s="43" t="n">
        <v>1</v>
      </c>
      <c r="N1645" s="33" t="inlineStr"/>
      <c r="O1645" s="43" t="inlineStr">
        <is>
          <t>UNVERIFIED</t>
        </is>
      </c>
      <c r="P1645" s="43" t="inlineStr">
        <is>
          <t>Pending Review</t>
        </is>
      </c>
      <c r="Q1645" s="33" t="inlineStr">
        <is>
          <t>Confirmar SKU/PCBA revision, PN exacto en Common DB, WO, BU, vigencia, planta y aprobacion firmada.</t>
        </is>
      </c>
    </row>
    <row r="1646">
      <c r="A1646" s="43" t="inlineStr">
        <is>
          <t>CTANJZ05483</t>
        </is>
      </c>
      <c r="B1646" s="43" t="inlineStr">
        <is>
          <t>D613884</t>
        </is>
      </c>
      <c r="C1646" s="43" t="inlineStr">
        <is>
          <t>037-STBU</t>
        </is>
      </c>
      <c r="D1646" s="43" t="inlineStr">
        <is>
          <t>FJZP</t>
        </is>
      </c>
      <c r="E1646" s="43" t="inlineStr">
        <is>
          <t>MCGA</t>
        </is>
      </c>
      <c r="F1646" s="43" t="inlineStr">
        <is>
          <t>73-19361-01</t>
        </is>
      </c>
      <c r="G1646" s="43" t="inlineStr">
        <is>
          <t>BOARD_PN_CANDIDATE</t>
        </is>
      </c>
      <c r="H1646" s="43" t="inlineStr"/>
      <c r="I1646" s="43" t="inlineStr">
        <is>
          <t>Implementation</t>
        </is>
      </c>
      <c r="J1646" s="32" t="n">
        <v>46370</v>
      </c>
      <c r="K1646" s="32" t="n">
        <v>46305</v>
      </c>
      <c r="L1646" s="43" t="inlineStr">
        <is>
          <t>1696</t>
        </is>
      </c>
      <c r="M1646" s="43" t="n">
        <v>1</v>
      </c>
      <c r="N1646" s="33" t="inlineStr"/>
      <c r="O1646" s="43" t="inlineStr">
        <is>
          <t>UNVERIFIED</t>
        </is>
      </c>
      <c r="P1646" s="43" t="inlineStr">
        <is>
          <t>Pending Review</t>
        </is>
      </c>
      <c r="Q1646" s="33" t="inlineStr">
        <is>
          <t>Confirmar SKU/PCBA revision, PN exacto en Common DB, WO, BU, vigencia, planta y aprobacion firmada.</t>
        </is>
      </c>
    </row>
    <row r="1647">
      <c r="A1647" s="43" t="inlineStr">
        <is>
          <t>CTANJZ05483</t>
        </is>
      </c>
      <c r="B1647" s="43" t="inlineStr">
        <is>
          <t>D613884</t>
        </is>
      </c>
      <c r="C1647" s="43" t="inlineStr">
        <is>
          <t>037-STBU</t>
        </is>
      </c>
      <c r="D1647" s="43" t="inlineStr">
        <is>
          <t>FJZP</t>
        </is>
      </c>
      <c r="E1647" s="43" t="inlineStr">
        <is>
          <t>MCGA</t>
        </is>
      </c>
      <c r="F1647" s="43" t="inlineStr">
        <is>
          <t>73-20007-01</t>
        </is>
      </c>
      <c r="G1647" s="43" t="inlineStr">
        <is>
          <t>BOARD_PN_CANDIDATE</t>
        </is>
      </c>
      <c r="H1647" s="43" t="inlineStr"/>
      <c r="I1647" s="43" t="inlineStr">
        <is>
          <t>Implementation</t>
        </is>
      </c>
      <c r="J1647" s="32" t="n">
        <v>46370</v>
      </c>
      <c r="K1647" s="32" t="n">
        <v>46305</v>
      </c>
      <c r="L1647" s="43" t="inlineStr">
        <is>
          <t>1697</t>
        </is>
      </c>
      <c r="M1647" s="43" t="n">
        <v>1</v>
      </c>
      <c r="N1647" s="33" t="inlineStr"/>
      <c r="O1647" s="43" t="inlineStr">
        <is>
          <t>UNVERIFIED</t>
        </is>
      </c>
      <c r="P1647" s="43" t="inlineStr">
        <is>
          <t>Pending Review</t>
        </is>
      </c>
      <c r="Q1647" s="33" t="inlineStr">
        <is>
          <t>Confirmar SKU/PCBA revision, PN exacto en Common DB, WO, BU, vigencia, planta y aprobacion firmada.</t>
        </is>
      </c>
    </row>
    <row r="1648">
      <c r="A1648" s="43" t="inlineStr">
        <is>
          <t>CTANJZ05483</t>
        </is>
      </c>
      <c r="B1648" s="43" t="inlineStr">
        <is>
          <t>D613884</t>
        </is>
      </c>
      <c r="C1648" s="43" t="inlineStr">
        <is>
          <t>037-STBU</t>
        </is>
      </c>
      <c r="D1648" s="43" t="inlineStr">
        <is>
          <t>FJZP</t>
        </is>
      </c>
      <c r="E1648" s="43" t="inlineStr">
        <is>
          <t>MCGA</t>
        </is>
      </c>
      <c r="F1648" s="43" t="inlineStr">
        <is>
          <t>800-105498-03</t>
        </is>
      </c>
      <c r="G1648" s="43" t="inlineStr">
        <is>
          <t>OTHER_SCOPE_ITEM</t>
        </is>
      </c>
      <c r="H1648" s="43" t="inlineStr"/>
      <c r="I1648" s="43" t="inlineStr">
        <is>
          <t>Implementation</t>
        </is>
      </c>
      <c r="J1648" s="32" t="n">
        <v>46370</v>
      </c>
      <c r="K1648" s="32" t="n">
        <v>46305</v>
      </c>
      <c r="L1648" s="43" t="inlineStr">
        <is>
          <t>1698</t>
        </is>
      </c>
      <c r="M1648" s="43" t="n">
        <v>1</v>
      </c>
      <c r="N1648" s="33" t="inlineStr"/>
      <c r="O1648" s="43" t="inlineStr">
        <is>
          <t>UNVERIFIED</t>
        </is>
      </c>
      <c r="P1648" s="43" t="inlineStr">
        <is>
          <t>Pending Review</t>
        </is>
      </c>
      <c r="Q1648" s="33" t="inlineStr">
        <is>
          <t>Confirmar SKU/PCBA revision, PN exacto en Common DB, WO, BU, vigencia, planta y aprobacion firmada.</t>
        </is>
      </c>
    </row>
    <row r="1649">
      <c r="A1649" s="43" t="inlineStr">
        <is>
          <t>CTANJZ05483</t>
        </is>
      </c>
      <c r="B1649" s="43" t="inlineStr">
        <is>
          <t>D613884</t>
        </is>
      </c>
      <c r="C1649" s="43" t="inlineStr">
        <is>
          <t>037-STBU</t>
        </is>
      </c>
      <c r="D1649" s="43" t="inlineStr">
        <is>
          <t>FJZP</t>
        </is>
      </c>
      <c r="E1649" s="43" t="inlineStr">
        <is>
          <t>MCGA</t>
        </is>
      </c>
      <c r="F1649" s="43" t="inlineStr">
        <is>
          <t>800-105500-03</t>
        </is>
      </c>
      <c r="G1649" s="43" t="inlineStr">
        <is>
          <t>OTHER_SCOPE_ITEM</t>
        </is>
      </c>
      <c r="H1649" s="43" t="inlineStr"/>
      <c r="I1649" s="43" t="inlineStr">
        <is>
          <t>Implementation</t>
        </is>
      </c>
      <c r="J1649" s="32" t="n">
        <v>46370</v>
      </c>
      <c r="K1649" s="32" t="n">
        <v>46305</v>
      </c>
      <c r="L1649" s="43" t="inlineStr">
        <is>
          <t>1652</t>
        </is>
      </c>
      <c r="M1649" s="43" t="n">
        <v>1</v>
      </c>
      <c r="N1649" s="33" t="inlineStr"/>
      <c r="O1649" s="43" t="inlineStr">
        <is>
          <t>UNVERIFIED</t>
        </is>
      </c>
      <c r="P1649" s="43" t="inlineStr">
        <is>
          <t>Pending Review</t>
        </is>
      </c>
      <c r="Q1649" s="33" t="inlineStr">
        <is>
          <t>Confirmar SKU/PCBA revision, PN exacto en Common DB, WO, BU, vigencia, planta y aprobacion firmada.</t>
        </is>
      </c>
    </row>
    <row r="1650">
      <c r="A1650" s="43" t="inlineStr">
        <is>
          <t>CTANJZ05483</t>
        </is>
      </c>
      <c r="B1650" s="43" t="inlineStr">
        <is>
          <t>D613884</t>
        </is>
      </c>
      <c r="C1650" s="43" t="inlineStr">
        <is>
          <t>037-STBU</t>
        </is>
      </c>
      <c r="D1650" s="43" t="inlineStr">
        <is>
          <t>FJZP</t>
        </is>
      </c>
      <c r="E1650" s="43" t="inlineStr">
        <is>
          <t>MCGA</t>
        </is>
      </c>
      <c r="F1650" s="43" t="inlineStr">
        <is>
          <t>800-106754-02</t>
        </is>
      </c>
      <c r="G1650" s="43" t="inlineStr">
        <is>
          <t>OTHER_SCOPE_ITEM</t>
        </is>
      </c>
      <c r="H1650" s="43" t="inlineStr"/>
      <c r="I1650" s="43" t="inlineStr">
        <is>
          <t>Implementation</t>
        </is>
      </c>
      <c r="J1650" s="32" t="n">
        <v>46370</v>
      </c>
      <c r="K1650" s="32" t="n">
        <v>46305</v>
      </c>
      <c r="L1650" s="43" t="inlineStr">
        <is>
          <t>1653</t>
        </is>
      </c>
      <c r="M1650" s="43" t="n">
        <v>1</v>
      </c>
      <c r="N1650" s="33" t="inlineStr"/>
      <c r="O1650" s="43" t="inlineStr">
        <is>
          <t>UNVERIFIED</t>
        </is>
      </c>
      <c r="P1650" s="43" t="inlineStr">
        <is>
          <t>Pending Review</t>
        </is>
      </c>
      <c r="Q1650" s="33" t="inlineStr">
        <is>
          <t>Confirmar SKU/PCBA revision, PN exacto en Common DB, WO, BU, vigencia, planta y aprobacion firmada.</t>
        </is>
      </c>
    </row>
    <row r="1651">
      <c r="A1651" s="43" t="inlineStr">
        <is>
          <t>CTANJZ05484</t>
        </is>
      </c>
      <c r="B1651" s="43" t="inlineStr">
        <is>
          <t>D614019</t>
        </is>
      </c>
      <c r="C1651" s="43" t="inlineStr">
        <is>
          <t>035-CVEBU</t>
        </is>
      </c>
      <c r="D1651" s="43" t="inlineStr">
        <is>
          <t>FJZP</t>
        </is>
      </c>
      <c r="E1651" s="43" t="inlineStr">
        <is>
          <t>MCGA</t>
        </is>
      </c>
      <c r="F1651" s="43" t="inlineStr">
        <is>
          <t>15-110893-01</t>
        </is>
      </c>
      <c r="G1651" s="43" t="inlineStr">
        <is>
          <t>OTHER_SCOPE_ITEM</t>
        </is>
      </c>
      <c r="H1651" s="43" t="inlineStr"/>
      <c r="I1651" s="43" t="inlineStr">
        <is>
          <t>FAI Status</t>
        </is>
      </c>
      <c r="J1651" s="32" t="n">
        <v>46370</v>
      </c>
      <c r="K1651" s="32" t="n">
        <v>46298</v>
      </c>
      <c r="L1651" s="43" t="inlineStr">
        <is>
          <t>1224</t>
        </is>
      </c>
      <c r="M1651" s="43" t="n">
        <v>1</v>
      </c>
      <c r="N1651" s="33" t="inlineStr"/>
      <c r="O1651" s="43" t="inlineStr">
        <is>
          <t>UNVERIFIED</t>
        </is>
      </c>
      <c r="P1651" s="43" t="inlineStr">
        <is>
          <t>Pending Review</t>
        </is>
      </c>
      <c r="Q1651" s="33" t="inlineStr">
        <is>
          <t>Confirmar SKU/PCBA revision, PN exacto en Common DB, WO, BU, vigencia, planta y aprobacion firmada.</t>
        </is>
      </c>
    </row>
    <row r="1652">
      <c r="A1652" s="43" t="inlineStr">
        <is>
          <t>CTANJZ05484</t>
        </is>
      </c>
      <c r="B1652" s="43" t="inlineStr">
        <is>
          <t>D614019</t>
        </is>
      </c>
      <c r="C1652" s="43" t="inlineStr">
        <is>
          <t>035-CVEBU</t>
        </is>
      </c>
      <c r="D1652" s="43" t="inlineStr">
        <is>
          <t>FJZP</t>
        </is>
      </c>
      <c r="E1652" s="43" t="inlineStr">
        <is>
          <t>MCGA</t>
        </is>
      </c>
      <c r="F1652" s="43" t="inlineStr">
        <is>
          <t>15-110981-01</t>
        </is>
      </c>
      <c r="G1652" s="43" t="inlineStr">
        <is>
          <t>OTHER_SCOPE_ITEM</t>
        </is>
      </c>
      <c r="H1652" s="43" t="inlineStr"/>
      <c r="I1652" s="43" t="inlineStr">
        <is>
          <t>FAI Status</t>
        </is>
      </c>
      <c r="J1652" s="32" t="n">
        <v>46370</v>
      </c>
      <c r="K1652" s="32" t="n">
        <v>46298</v>
      </c>
      <c r="L1652" s="43" t="inlineStr">
        <is>
          <t>1225</t>
        </is>
      </c>
      <c r="M1652" s="43" t="n">
        <v>1</v>
      </c>
      <c r="N1652" s="33" t="inlineStr"/>
      <c r="O1652" s="43" t="inlineStr">
        <is>
          <t>UNVERIFIED</t>
        </is>
      </c>
      <c r="P1652" s="43" t="inlineStr">
        <is>
          <t>Pending Review</t>
        </is>
      </c>
      <c r="Q1652" s="33" t="inlineStr">
        <is>
          <t>Confirmar SKU/PCBA revision, PN exacto en Common DB, WO, BU, vigencia, planta y aprobacion firmada.</t>
        </is>
      </c>
    </row>
    <row r="1653">
      <c r="A1653" s="43" t="inlineStr">
        <is>
          <t>CTANJZ05484</t>
        </is>
      </c>
      <c r="B1653" s="43" t="inlineStr">
        <is>
          <t>D614019</t>
        </is>
      </c>
      <c r="C1653" s="43" t="inlineStr">
        <is>
          <t>035-CVEBU</t>
        </is>
      </c>
      <c r="D1653" s="43" t="inlineStr">
        <is>
          <t>FJZP</t>
        </is>
      </c>
      <c r="E1653" s="43" t="inlineStr">
        <is>
          <t>MCGA</t>
        </is>
      </c>
      <c r="F1653" s="43" t="inlineStr">
        <is>
          <t>73-103826-05</t>
        </is>
      </c>
      <c r="G1653" s="43" t="inlineStr">
        <is>
          <t>BOARD_PN_CANDIDATE</t>
        </is>
      </c>
      <c r="H1653" s="43" t="inlineStr">
        <is>
          <t>BAYFRONT</t>
        </is>
      </c>
      <c r="I1653" s="43" t="inlineStr">
        <is>
          <t>FAI Status</t>
        </is>
      </c>
      <c r="J1653" s="32" t="n">
        <v>46370</v>
      </c>
      <c r="K1653" s="32" t="n">
        <v>46298</v>
      </c>
      <c r="L1653" s="43" t="inlineStr">
        <is>
          <t>1226</t>
        </is>
      </c>
      <c r="M1653" s="43" t="n">
        <v>1</v>
      </c>
      <c r="N1653" s="33" t="inlineStr"/>
      <c r="O1653" s="43" t="inlineStr">
        <is>
          <t>UNVERIFIED</t>
        </is>
      </c>
      <c r="P1653" s="43" t="inlineStr">
        <is>
          <t>Pending Review</t>
        </is>
      </c>
      <c r="Q1653" s="33" t="inlineStr">
        <is>
          <t>Confirmar SKU/PCBA revision, PN exacto en Common DB, WO, BU, vigencia, planta y aprobacion firmada.</t>
        </is>
      </c>
    </row>
    <row r="1654">
      <c r="A1654" s="43" t="inlineStr">
        <is>
          <t>CTANJZ05484</t>
        </is>
      </c>
      <c r="B1654" s="43" t="inlineStr">
        <is>
          <t>D614019</t>
        </is>
      </c>
      <c r="C1654" s="43" t="inlineStr">
        <is>
          <t>035-CVEBU</t>
        </is>
      </c>
      <c r="D1654" s="43" t="inlineStr">
        <is>
          <t>FJZP</t>
        </is>
      </c>
      <c r="E1654" s="43" t="inlineStr">
        <is>
          <t>MCGA</t>
        </is>
      </c>
      <c r="F1654" s="43" t="inlineStr">
        <is>
          <t>73-103880-05</t>
        </is>
      </c>
      <c r="G1654" s="43" t="inlineStr">
        <is>
          <t>BOARD_PN_CANDIDATE</t>
        </is>
      </c>
      <c r="H1654" s="43" t="inlineStr"/>
      <c r="I1654" s="43" t="inlineStr">
        <is>
          <t>FAI Status</t>
        </is>
      </c>
      <c r="J1654" s="32" t="n">
        <v>46370</v>
      </c>
      <c r="K1654" s="32" t="n">
        <v>46298</v>
      </c>
      <c r="L1654" s="43" t="inlineStr">
        <is>
          <t>1244</t>
        </is>
      </c>
      <c r="M1654" s="43" t="n">
        <v>1</v>
      </c>
      <c r="N1654" s="33" t="inlineStr"/>
      <c r="O1654" s="43" t="inlineStr">
        <is>
          <t>UNVERIFIED</t>
        </is>
      </c>
      <c r="P1654" s="43" t="inlineStr">
        <is>
          <t>Pending Review</t>
        </is>
      </c>
      <c r="Q1654" s="33" t="inlineStr">
        <is>
          <t>Confirmar SKU/PCBA revision, PN exacto en Common DB, WO, BU, vigencia, planta y aprobacion firmada.</t>
        </is>
      </c>
    </row>
    <row r="1655">
      <c r="A1655" s="43" t="inlineStr">
        <is>
          <t>CTANJZ05485</t>
        </is>
      </c>
      <c r="B1655" s="43" t="inlineStr">
        <is>
          <t>D613992</t>
        </is>
      </c>
      <c r="C1655" s="43" t="inlineStr">
        <is>
          <t>037-STBU</t>
        </is>
      </c>
      <c r="D1655" s="43" t="inlineStr">
        <is>
          <t>FJZP</t>
        </is>
      </c>
      <c r="E1655" s="43" t="inlineStr">
        <is>
          <t>MCGA</t>
        </is>
      </c>
      <c r="F1655" s="43" t="inlineStr">
        <is>
          <t>29-101162-01</t>
        </is>
      </c>
      <c r="G1655" s="43" t="inlineStr">
        <is>
          <t>OTHER_SCOPE_ITEM</t>
        </is>
      </c>
      <c r="H1655" s="43" t="inlineStr"/>
      <c r="I1655" s="43" t="inlineStr">
        <is>
          <t>Implementation</t>
        </is>
      </c>
      <c r="J1655" s="32" t="n">
        <v>46370</v>
      </c>
      <c r="K1655" s="32" t="n">
        <v>46309</v>
      </c>
      <c r="L1655" s="43" t="inlineStr">
        <is>
          <t>232,1563</t>
        </is>
      </c>
      <c r="M1655" s="43" t="n">
        <v>2</v>
      </c>
      <c r="N1655" s="33" t="inlineStr"/>
      <c r="O1655" s="43" t="inlineStr">
        <is>
          <t>UNVERIFIED</t>
        </is>
      </c>
      <c r="P1655" s="43" t="inlineStr">
        <is>
          <t>Pending Review</t>
        </is>
      </c>
      <c r="Q1655" s="33" t="inlineStr">
        <is>
          <t>Confirmar SKU/PCBA revision, PN exacto en Common DB, WO, BU, vigencia, planta y aprobacion firmada.</t>
        </is>
      </c>
    </row>
    <row r="1656">
      <c r="A1656" s="43" t="inlineStr">
        <is>
          <t>CTANJZ05485</t>
        </is>
      </c>
      <c r="B1656" s="43" t="inlineStr">
        <is>
          <t>D613992</t>
        </is>
      </c>
      <c r="C1656" s="43" t="inlineStr">
        <is>
          <t>037-STBU</t>
        </is>
      </c>
      <c r="D1656" s="43" t="inlineStr">
        <is>
          <t>FJZP</t>
        </is>
      </c>
      <c r="E1656" s="43" t="inlineStr">
        <is>
          <t>MCGA</t>
        </is>
      </c>
      <c r="F1656" s="43" t="inlineStr">
        <is>
          <t>73-102483-02</t>
        </is>
      </c>
      <c r="G1656" s="43" t="inlineStr">
        <is>
          <t>BOARD_PN_CANDIDATE</t>
        </is>
      </c>
      <c r="H1656" s="43" t="inlineStr"/>
      <c r="I1656" s="43" t="inlineStr">
        <is>
          <t>Implementation</t>
        </is>
      </c>
      <c r="J1656" s="32" t="n">
        <v>46370</v>
      </c>
      <c r="K1656" s="32" t="n">
        <v>46309</v>
      </c>
      <c r="L1656" s="43" t="inlineStr">
        <is>
          <t>233,1564</t>
        </is>
      </c>
      <c r="M1656" s="43" t="n">
        <v>2</v>
      </c>
      <c r="N1656" s="33" t="inlineStr"/>
      <c r="O1656" s="43" t="inlineStr">
        <is>
          <t>UNVERIFIED</t>
        </is>
      </c>
      <c r="P1656" s="43" t="inlineStr">
        <is>
          <t>Pending Review</t>
        </is>
      </c>
      <c r="Q1656" s="33" t="inlineStr">
        <is>
          <t>Confirmar SKU/PCBA revision, PN exacto en Common DB, WO, BU, vigencia, planta y aprobacion firmada.</t>
        </is>
      </c>
    </row>
    <row r="1657">
      <c r="A1657" s="43" t="inlineStr">
        <is>
          <t>CTANJZ05489</t>
        </is>
      </c>
      <c r="B1657" s="43" t="inlineStr">
        <is>
          <t>D613845</t>
        </is>
      </c>
      <c r="C1657" s="43" t="inlineStr">
        <is>
          <t>018-SRGBU</t>
        </is>
      </c>
      <c r="D1657" s="43" t="inlineStr">
        <is>
          <t>FJZP</t>
        </is>
      </c>
      <c r="E1657" s="43" t="inlineStr">
        <is>
          <t>MCGA</t>
        </is>
      </c>
      <c r="F1657" s="43" t="inlineStr">
        <is>
          <t>15-108111-01</t>
        </is>
      </c>
      <c r="G1657" s="43" t="inlineStr">
        <is>
          <t>OTHER_SCOPE_ITEM</t>
        </is>
      </c>
      <c r="H1657" s="43" t="inlineStr"/>
      <c r="I1657" s="43" t="inlineStr">
        <is>
          <t>CCB</t>
        </is>
      </c>
      <c r="J1657" s="32" t="n">
        <v>46371</v>
      </c>
      <c r="K1657" s="32" t="n"/>
      <c r="L1657" s="43" t="inlineStr">
        <is>
          <t>1246</t>
        </is>
      </c>
      <c r="M1657" s="43" t="n">
        <v>1</v>
      </c>
      <c r="N1657" s="33" t="inlineStr"/>
      <c r="O1657" s="43" t="inlineStr">
        <is>
          <t>UNVERIFIED</t>
        </is>
      </c>
      <c r="P1657" s="43" t="inlineStr">
        <is>
          <t>Pending Review</t>
        </is>
      </c>
      <c r="Q1657" s="33" t="inlineStr">
        <is>
          <t>Confirmar SKU/PCBA revision, PN exacto en Common DB, WO, BU, vigencia, planta y aprobacion firmada.</t>
        </is>
      </c>
    </row>
    <row r="1658">
      <c r="A1658" s="43" t="inlineStr">
        <is>
          <t>CTANJZ05492</t>
        </is>
      </c>
      <c r="B1658" s="43" t="inlineStr">
        <is>
          <t>D613573</t>
        </is>
      </c>
      <c r="C1658" s="43" t="inlineStr">
        <is>
          <t>037-STBU</t>
        </is>
      </c>
      <c r="D1658" s="43" t="inlineStr">
        <is>
          <t>FJZP</t>
        </is>
      </c>
      <c r="E1658" s="43" t="inlineStr">
        <is>
          <t>MCGA</t>
        </is>
      </c>
      <c r="F1658" s="43" t="inlineStr">
        <is>
          <t>15-108159-01</t>
        </is>
      </c>
      <c r="G1658" s="43" t="inlineStr">
        <is>
          <t>OTHER_SCOPE_ITEM</t>
        </is>
      </c>
      <c r="H1658" s="43" t="inlineStr"/>
      <c r="I1658" s="43" t="inlineStr">
        <is>
          <t>CCB</t>
        </is>
      </c>
      <c r="J1658" s="32" t="n">
        <v>46372</v>
      </c>
      <c r="K1658" s="32" t="n"/>
      <c r="L1658" s="43" t="inlineStr">
        <is>
          <t>595</t>
        </is>
      </c>
      <c r="M1658" s="43" t="n">
        <v>1</v>
      </c>
      <c r="N1658" s="33" t="inlineStr"/>
      <c r="O1658" s="43" t="inlineStr">
        <is>
          <t>UNVERIFIED</t>
        </is>
      </c>
      <c r="P1658" s="43" t="inlineStr">
        <is>
          <t>Pending Review</t>
        </is>
      </c>
      <c r="Q1658" s="33" t="inlineStr">
        <is>
          <t>Confirmar SKU/PCBA revision, PN exacto en Common DB, WO, BU, vigencia, planta y aprobacion firmada.</t>
        </is>
      </c>
    </row>
    <row r="1659">
      <c r="A1659" s="43" t="inlineStr">
        <is>
          <t>CTANJZ05492</t>
        </is>
      </c>
      <c r="B1659" s="43" t="inlineStr">
        <is>
          <t>D613573</t>
        </is>
      </c>
      <c r="C1659" s="43" t="inlineStr">
        <is>
          <t>037-STBU</t>
        </is>
      </c>
      <c r="D1659" s="43" t="inlineStr">
        <is>
          <t>FJZP</t>
        </is>
      </c>
      <c r="E1659" s="43" t="inlineStr">
        <is>
          <t>MCGA</t>
        </is>
      </c>
      <c r="F1659" s="43" t="inlineStr">
        <is>
          <t>800-108035-05</t>
        </is>
      </c>
      <c r="G1659" s="43" t="inlineStr">
        <is>
          <t>OTHER_SCOPE_ITEM</t>
        </is>
      </c>
      <c r="H1659" s="43" t="inlineStr"/>
      <c r="I1659" s="43" t="inlineStr">
        <is>
          <t>CCB</t>
        </is>
      </c>
      <c r="J1659" s="32" t="n">
        <v>46372</v>
      </c>
      <c r="K1659" s="32" t="n"/>
      <c r="L1659" s="43" t="inlineStr">
        <is>
          <t>596</t>
        </is>
      </c>
      <c r="M1659" s="43" t="n">
        <v>1</v>
      </c>
      <c r="N1659" s="33" t="inlineStr"/>
      <c r="O1659" s="43" t="inlineStr">
        <is>
          <t>UNVERIFIED</t>
        </is>
      </c>
      <c r="P1659" s="43" t="inlineStr">
        <is>
          <t>Pending Review</t>
        </is>
      </c>
      <c r="Q1659" s="33" t="inlineStr">
        <is>
          <t>Confirmar SKU/PCBA revision, PN exacto en Common DB, WO, BU, vigencia, planta y aprobacion firmada.</t>
        </is>
      </c>
    </row>
    <row r="1660">
      <c r="A1660" s="43" t="inlineStr">
        <is>
          <t>CTANJZ05492</t>
        </is>
      </c>
      <c r="B1660" s="43" t="inlineStr">
        <is>
          <t>D613573</t>
        </is>
      </c>
      <c r="C1660" s="43" t="inlineStr">
        <is>
          <t>037-STBU</t>
        </is>
      </c>
      <c r="D1660" s="43" t="inlineStr">
        <is>
          <t>FJZP</t>
        </is>
      </c>
      <c r="E1660" s="43" t="inlineStr">
        <is>
          <t>MCGA</t>
        </is>
      </c>
      <c r="F1660" s="43" t="inlineStr">
        <is>
          <t>800-108037-05</t>
        </is>
      </c>
      <c r="G1660" s="43" t="inlineStr">
        <is>
          <t>OTHER_SCOPE_ITEM</t>
        </is>
      </c>
      <c r="H1660" s="43" t="inlineStr"/>
      <c r="I1660" s="43" t="inlineStr">
        <is>
          <t>CCB</t>
        </is>
      </c>
      <c r="J1660" s="32" t="n">
        <v>46372</v>
      </c>
      <c r="K1660" s="32" t="n"/>
      <c r="L1660" s="43" t="inlineStr">
        <is>
          <t>597</t>
        </is>
      </c>
      <c r="M1660" s="43" t="n">
        <v>1</v>
      </c>
      <c r="N1660" s="33" t="inlineStr"/>
      <c r="O1660" s="43" t="inlineStr">
        <is>
          <t>UNVERIFIED</t>
        </is>
      </c>
      <c r="P1660" s="43" t="inlineStr">
        <is>
          <t>Pending Review</t>
        </is>
      </c>
      <c r="Q1660" s="33" t="inlineStr">
        <is>
          <t>Confirmar SKU/PCBA revision, PN exacto en Common DB, WO, BU, vigencia, planta y aprobacion firmada.</t>
        </is>
      </c>
    </row>
    <row r="1661">
      <c r="A1661" s="43" t="inlineStr">
        <is>
          <t>CTANJZ05492</t>
        </is>
      </c>
      <c r="B1661" s="43" t="inlineStr">
        <is>
          <t>D613573</t>
        </is>
      </c>
      <c r="C1661" s="43" t="inlineStr">
        <is>
          <t>037-STBU</t>
        </is>
      </c>
      <c r="D1661" s="43" t="inlineStr">
        <is>
          <t>FJZP</t>
        </is>
      </c>
      <c r="E1661" s="43" t="inlineStr">
        <is>
          <t>MCGA</t>
        </is>
      </c>
      <c r="F1661" s="43" t="inlineStr">
        <is>
          <t>800-109498-06</t>
        </is>
      </c>
      <c r="G1661" s="43" t="inlineStr">
        <is>
          <t>OTHER_SCOPE_ITEM</t>
        </is>
      </c>
      <c r="H1661" s="43" t="inlineStr"/>
      <c r="I1661" s="43" t="inlineStr">
        <is>
          <t>CCB</t>
        </is>
      </c>
      <c r="J1661" s="32" t="n">
        <v>46372</v>
      </c>
      <c r="K1661" s="32" t="n"/>
      <c r="L1661" s="43" t="inlineStr">
        <is>
          <t>598</t>
        </is>
      </c>
      <c r="M1661" s="43" t="n">
        <v>1</v>
      </c>
      <c r="N1661" s="33" t="inlineStr"/>
      <c r="O1661" s="43" t="inlineStr">
        <is>
          <t>UNVERIFIED</t>
        </is>
      </c>
      <c r="P1661" s="43" t="inlineStr">
        <is>
          <t>Pending Review</t>
        </is>
      </c>
      <c r="Q1661" s="33" t="inlineStr">
        <is>
          <t>Confirmar SKU/PCBA revision, PN exacto en Common DB, WO, BU, vigencia, planta y aprobacion firmada.</t>
        </is>
      </c>
    </row>
    <row r="1662">
      <c r="A1662" s="43" t="inlineStr">
        <is>
          <t>CTANJZ05492</t>
        </is>
      </c>
      <c r="B1662" s="43" t="inlineStr">
        <is>
          <t>D613573</t>
        </is>
      </c>
      <c r="C1662" s="43" t="inlineStr">
        <is>
          <t>037-STBU</t>
        </is>
      </c>
      <c r="D1662" s="43" t="inlineStr">
        <is>
          <t>FJZP</t>
        </is>
      </c>
      <c r="E1662" s="43" t="inlineStr">
        <is>
          <t>MCGA</t>
        </is>
      </c>
      <c r="F1662" s="43" t="inlineStr">
        <is>
          <t>800-110666-02</t>
        </is>
      </c>
      <c r="G1662" s="43" t="inlineStr">
        <is>
          <t>OTHER_SCOPE_ITEM</t>
        </is>
      </c>
      <c r="H1662" s="43" t="inlineStr"/>
      <c r="I1662" s="43" t="inlineStr">
        <is>
          <t>CCB</t>
        </is>
      </c>
      <c r="J1662" s="32" t="n">
        <v>46372</v>
      </c>
      <c r="K1662" s="32" t="n"/>
      <c r="L1662" s="43" t="inlineStr">
        <is>
          <t>599</t>
        </is>
      </c>
      <c r="M1662" s="43" t="n">
        <v>1</v>
      </c>
      <c r="N1662" s="33" t="inlineStr"/>
      <c r="O1662" s="43" t="inlineStr">
        <is>
          <t>UNVERIFIED</t>
        </is>
      </c>
      <c r="P1662" s="43" t="inlineStr">
        <is>
          <t>Pending Review</t>
        </is>
      </c>
      <c r="Q1662" s="33" t="inlineStr">
        <is>
          <t>Confirmar SKU/PCBA revision, PN exacto en Common DB, WO, BU, vigencia, planta y aprobacion firmada.</t>
        </is>
      </c>
    </row>
    <row r="1663">
      <c r="A1663" s="43" t="inlineStr">
        <is>
          <t>CTANJZ05496</t>
        </is>
      </c>
      <c r="B1663" s="43" t="inlineStr">
        <is>
          <t>D613740</t>
        </is>
      </c>
      <c r="C1663" s="43" t="inlineStr">
        <is>
          <t>239-CRBU</t>
        </is>
      </c>
      <c r="D1663" s="43" t="inlineStr">
        <is>
          <t>FJZP</t>
        </is>
      </c>
      <c r="E1663" s="43" t="inlineStr">
        <is>
          <t>MCGA</t>
        </is>
      </c>
      <c r="F1663" s="43" t="inlineStr">
        <is>
          <t>36-0111-02</t>
        </is>
      </c>
      <c r="G1663" s="43" t="inlineStr">
        <is>
          <t>OTHER_SCOPE_ITEM</t>
        </is>
      </c>
      <c r="H1663" s="43" t="inlineStr"/>
      <c r="I1663" s="43" t="inlineStr">
        <is>
          <t>Implementation</t>
        </is>
      </c>
      <c r="J1663" s="32" t="n">
        <v>46463</v>
      </c>
      <c r="K1663" s="32" t="n">
        <v>46298</v>
      </c>
      <c r="L1663" s="43" t="inlineStr">
        <is>
          <t>70,234</t>
        </is>
      </c>
      <c r="M1663" s="43" t="n">
        <v>2</v>
      </c>
      <c r="N1663" s="33" t="inlineStr"/>
      <c r="O1663" s="43" t="inlineStr">
        <is>
          <t>UNVERIFIED</t>
        </is>
      </c>
      <c r="P1663" s="43" t="inlineStr">
        <is>
          <t>Pending Review</t>
        </is>
      </c>
      <c r="Q1663" s="33" t="inlineStr">
        <is>
          <t>Confirmar SKU/PCBA revision, PN exacto en Common DB, WO, BU, vigencia, planta y aprobacion firmada.</t>
        </is>
      </c>
    </row>
    <row r="1664">
      <c r="A1664" s="43" t="inlineStr">
        <is>
          <t>CTANJZ05498</t>
        </is>
      </c>
      <c r="B1664" s="43" t="inlineStr">
        <is>
          <t>D614131</t>
        </is>
      </c>
      <c r="C1664" s="43" t="inlineStr">
        <is>
          <t>035-CVEBU</t>
        </is>
      </c>
      <c r="D1664" s="43" t="inlineStr">
        <is>
          <t>FJZP</t>
        </is>
      </c>
      <c r="E1664" s="43" t="inlineStr">
        <is>
          <t>MCGA</t>
        </is>
      </c>
      <c r="F1664" s="43" t="inlineStr">
        <is>
          <t>341-101006-01</t>
        </is>
      </c>
      <c r="G1664" s="43" t="inlineStr">
        <is>
          <t>OTHER_SCOPE_ITEM</t>
        </is>
      </c>
      <c r="H1664" s="43" t="inlineStr"/>
      <c r="I1664" s="43" t="inlineStr">
        <is>
          <t>CCB</t>
        </is>
      </c>
      <c r="J1664" s="32" t="n">
        <v>46375</v>
      </c>
      <c r="K1664" s="32" t="n"/>
      <c r="L1664" s="43" t="inlineStr">
        <is>
          <t>64</t>
        </is>
      </c>
      <c r="M1664" s="43" t="n">
        <v>1</v>
      </c>
      <c r="N1664" s="33" t="inlineStr"/>
      <c r="O1664" s="43" t="inlineStr">
        <is>
          <t>UNVERIFIED</t>
        </is>
      </c>
      <c r="P1664" s="43" t="inlineStr">
        <is>
          <t>Pending Review</t>
        </is>
      </c>
      <c r="Q1664" s="33" t="inlineStr">
        <is>
          <t>Confirmar SKU/PCBA revision, PN exacto en Common DB, WO, BU, vigencia, planta y aprobacion firmada.</t>
        </is>
      </c>
    </row>
    <row r="1665">
      <c r="A1665" s="43" t="inlineStr">
        <is>
          <t>CTANJZ05498</t>
        </is>
      </c>
      <c r="B1665" s="43" t="inlineStr">
        <is>
          <t>D614131</t>
        </is>
      </c>
      <c r="C1665" s="43" t="inlineStr">
        <is>
          <t>035-CVEBU</t>
        </is>
      </c>
      <c r="D1665" s="43" t="inlineStr">
        <is>
          <t>FJZP</t>
        </is>
      </c>
      <c r="E1665" s="43" t="inlineStr">
        <is>
          <t>MCGA</t>
        </is>
      </c>
      <c r="F1665" s="43" t="inlineStr">
        <is>
          <t>68-107085-01</t>
        </is>
      </c>
      <c r="G1665" s="43" t="inlineStr">
        <is>
          <t>OTHER_SCOPE_ITEM</t>
        </is>
      </c>
      <c r="H1665" s="43" t="inlineStr"/>
      <c r="I1665" s="43" t="inlineStr">
        <is>
          <t>CCB</t>
        </is>
      </c>
      <c r="J1665" s="32" t="n">
        <v>46375</v>
      </c>
      <c r="K1665" s="32" t="n"/>
      <c r="L1665" s="43" t="inlineStr">
        <is>
          <t>65</t>
        </is>
      </c>
      <c r="M1665" s="43" t="n">
        <v>1</v>
      </c>
      <c r="N1665" s="33" t="inlineStr"/>
      <c r="O1665" s="43" t="inlineStr">
        <is>
          <t>UNVERIFIED</t>
        </is>
      </c>
      <c r="P1665" s="43" t="inlineStr">
        <is>
          <t>Pending Review</t>
        </is>
      </c>
      <c r="Q1665" s="33" t="inlineStr">
        <is>
          <t>Confirmar SKU/PCBA revision, PN exacto en Common DB, WO, BU, vigencia, planta y aprobacion firmada.</t>
        </is>
      </c>
    </row>
    <row r="1666">
      <c r="A1666" s="43" t="inlineStr">
        <is>
          <t>CTANJZ05499</t>
        </is>
      </c>
      <c r="B1666" s="43" t="inlineStr">
        <is>
          <t>D612994</t>
        </is>
      </c>
      <c r="C1666" s="43" t="inlineStr">
        <is>
          <t>239-CRBU</t>
        </is>
      </c>
      <c r="D1666" s="43" t="inlineStr">
        <is>
          <t>FJZP</t>
        </is>
      </c>
      <c r="E1666" s="43" t="inlineStr">
        <is>
          <t>MCGA</t>
        </is>
      </c>
      <c r="F1666" s="43" t="inlineStr">
        <is>
          <t>20-0788-01</t>
        </is>
      </c>
      <c r="G1666" s="43" t="inlineStr">
        <is>
          <t>OTHER_SCOPE_ITEM</t>
        </is>
      </c>
      <c r="H1666" s="43" t="inlineStr"/>
      <c r="I1666" s="43" t="inlineStr">
        <is>
          <t>Implementation</t>
        </is>
      </c>
      <c r="J1666" s="32" t="n">
        <v>46375</v>
      </c>
      <c r="K1666" s="32" t="n">
        <v>46298</v>
      </c>
      <c r="L1666" s="43" t="inlineStr">
        <is>
          <t>66,226</t>
        </is>
      </c>
      <c r="M1666" s="43" t="n">
        <v>2</v>
      </c>
      <c r="N1666" s="33" t="inlineStr"/>
      <c r="O1666" s="43" t="inlineStr">
        <is>
          <t>UNVERIFIED</t>
        </is>
      </c>
      <c r="P1666" s="43" t="inlineStr">
        <is>
          <t>Pending Review</t>
        </is>
      </c>
      <c r="Q1666" s="33" t="inlineStr">
        <is>
          <t>Confirmar SKU/PCBA revision, PN exacto en Common DB, WO, BU, vigencia, planta y aprobacion firmada.</t>
        </is>
      </c>
    </row>
    <row r="1667">
      <c r="A1667" s="43" t="inlineStr">
        <is>
          <t>CTANJZ05499</t>
        </is>
      </c>
      <c r="B1667" s="43" t="inlineStr">
        <is>
          <t>D612994</t>
        </is>
      </c>
      <c r="C1667" s="43" t="inlineStr">
        <is>
          <t>239-CRBU</t>
        </is>
      </c>
      <c r="D1667" s="43" t="inlineStr">
        <is>
          <t>FJZP</t>
        </is>
      </c>
      <c r="E1667" s="43" t="inlineStr">
        <is>
          <t>MCGA</t>
        </is>
      </c>
      <c r="F1667" s="43" t="inlineStr">
        <is>
          <t>73-102363-05</t>
        </is>
      </c>
      <c r="G1667" s="43" t="inlineStr">
        <is>
          <t>BOARD_PN_CANDIDATE</t>
        </is>
      </c>
      <c r="H1667" s="43" t="inlineStr"/>
      <c r="I1667" s="43" t="inlineStr">
        <is>
          <t>Implementation</t>
        </is>
      </c>
      <c r="J1667" s="32" t="n">
        <v>46375</v>
      </c>
      <c r="K1667" s="32" t="n">
        <v>46298</v>
      </c>
      <c r="L1667" s="43" t="inlineStr">
        <is>
          <t>67,227</t>
        </is>
      </c>
      <c r="M1667" s="43" t="n">
        <v>2</v>
      </c>
      <c r="N1667" s="33" t="inlineStr"/>
      <c r="O1667" s="43" t="inlineStr">
        <is>
          <t>UNVERIFIED</t>
        </is>
      </c>
      <c r="P1667" s="43" t="inlineStr">
        <is>
          <t>Pending Review</t>
        </is>
      </c>
      <c r="Q1667" s="33" t="inlineStr">
        <is>
          <t>Confirmar SKU/PCBA revision, PN exacto en Common DB, WO, BU, vigencia, planta y aprobacion firmada.</t>
        </is>
      </c>
    </row>
    <row r="1668">
      <c r="A1668" s="43" t="inlineStr">
        <is>
          <t>CTANJZ05500</t>
        </is>
      </c>
      <c r="B1668" s="43" t="inlineStr">
        <is>
          <t>D612993</t>
        </is>
      </c>
      <c r="C1668" s="43" t="inlineStr">
        <is>
          <t>239-CRBU</t>
        </is>
      </c>
      <c r="D1668" s="43" t="inlineStr">
        <is>
          <t>FJZP</t>
        </is>
      </c>
      <c r="E1668" s="43" t="inlineStr">
        <is>
          <t>MCGA</t>
        </is>
      </c>
      <c r="F1668" s="43" t="inlineStr">
        <is>
          <t>20-0788-01</t>
        </is>
      </c>
      <c r="G1668" s="43" t="inlineStr">
        <is>
          <t>OTHER_SCOPE_ITEM</t>
        </is>
      </c>
      <c r="H1668" s="43" t="inlineStr"/>
      <c r="I1668" s="43" t="inlineStr">
        <is>
          <t>Implementation</t>
        </is>
      </c>
      <c r="J1668" s="32" t="n">
        <v>46375</v>
      </c>
      <c r="K1668" s="32" t="n">
        <v>46298</v>
      </c>
      <c r="L1668" s="43" t="inlineStr">
        <is>
          <t>143,329</t>
        </is>
      </c>
      <c r="M1668" s="43" t="n">
        <v>2</v>
      </c>
      <c r="N1668" s="33" t="inlineStr"/>
      <c r="O1668" s="43" t="inlineStr">
        <is>
          <t>UNVERIFIED</t>
        </is>
      </c>
      <c r="P1668" s="43" t="inlineStr">
        <is>
          <t>Pending Review</t>
        </is>
      </c>
      <c r="Q1668" s="33" t="inlineStr">
        <is>
          <t>Confirmar SKU/PCBA revision, PN exacto en Common DB, WO, BU, vigencia, planta y aprobacion firmada.</t>
        </is>
      </c>
    </row>
    <row r="1669">
      <c r="A1669" s="43" t="inlineStr">
        <is>
          <t>CTANJZ05500</t>
        </is>
      </c>
      <c r="B1669" s="43" t="inlineStr">
        <is>
          <t>D612993</t>
        </is>
      </c>
      <c r="C1669" s="43" t="inlineStr">
        <is>
          <t>239-CRBU</t>
        </is>
      </c>
      <c r="D1669" s="43" t="inlineStr">
        <is>
          <t>FJZP</t>
        </is>
      </c>
      <c r="E1669" s="43" t="inlineStr">
        <is>
          <t>MCGA</t>
        </is>
      </c>
      <c r="F1669" s="43" t="inlineStr">
        <is>
          <t>73-102362-07</t>
        </is>
      </c>
      <c r="G1669" s="43" t="inlineStr">
        <is>
          <t>BOARD_PN_CANDIDATE</t>
        </is>
      </c>
      <c r="H1669" s="43" t="inlineStr"/>
      <c r="I1669" s="43" t="inlineStr">
        <is>
          <t>Pending</t>
        </is>
      </c>
      <c r="J1669" s="32" t="n">
        <v>46375</v>
      </c>
      <c r="K1669" s="32" t="n"/>
      <c r="L1669" s="43" t="inlineStr">
        <is>
          <t>130,253</t>
        </is>
      </c>
      <c r="M1669" s="43" t="n">
        <v>2</v>
      </c>
      <c r="N1669" s="33" t="inlineStr"/>
      <c r="O1669" s="43" t="inlineStr">
        <is>
          <t>UNVERIFIED</t>
        </is>
      </c>
      <c r="P1669" s="43" t="inlineStr">
        <is>
          <t>Pending Review</t>
        </is>
      </c>
      <c r="Q1669" s="33" t="inlineStr">
        <is>
          <t>Confirmar SKU/PCBA revision, PN exacto en Common DB, WO, BU, vigencia, planta y aprobacion firmada.</t>
        </is>
      </c>
    </row>
    <row r="1670">
      <c r="A1670" s="43" t="inlineStr">
        <is>
          <t>CTANJZ05501</t>
        </is>
      </c>
      <c r="B1670" s="43" t="inlineStr">
        <is>
          <t>DP526639</t>
        </is>
      </c>
      <c r="C1670" s="43" t="inlineStr">
        <is>
          <t>037-STBU</t>
        </is>
      </c>
      <c r="D1670" s="43" t="inlineStr">
        <is>
          <t>FJZP</t>
        </is>
      </c>
      <c r="E1670" s="43" t="inlineStr">
        <is>
          <t>MCGA</t>
        </is>
      </c>
      <c r="F1670" s="43" t="inlineStr">
        <is>
          <t>28-102311-05</t>
        </is>
      </c>
      <c r="G1670" s="43" t="inlineStr">
        <is>
          <t>BARE_PCB_PN_CANDIDATE</t>
        </is>
      </c>
      <c r="H1670" s="43" t="inlineStr"/>
      <c r="I1670" s="43" t="inlineStr">
        <is>
          <t>CCB</t>
        </is>
      </c>
      <c r="J1670" s="32" t="n">
        <v>46346</v>
      </c>
      <c r="K1670" s="32" t="n"/>
      <c r="L1670" s="43" t="inlineStr">
        <is>
          <t>1887</t>
        </is>
      </c>
      <c r="M1670" s="43" t="n">
        <v>1</v>
      </c>
      <c r="N1670" s="33" t="inlineStr"/>
      <c r="O1670" s="43" t="inlineStr">
        <is>
          <t>UNVERIFIED</t>
        </is>
      </c>
      <c r="P1670" s="43" t="inlineStr">
        <is>
          <t>Pending Review</t>
        </is>
      </c>
      <c r="Q1670" s="33" t="inlineStr">
        <is>
          <t>Confirmar SKU/PCBA revision, PN exacto en Common DB, WO, BU, vigencia, planta y aprobacion firmada.</t>
        </is>
      </c>
    </row>
    <row r="1671">
      <c r="A1671" s="43" t="inlineStr">
        <is>
          <t>CTANJZ05501</t>
        </is>
      </c>
      <c r="B1671" s="43" t="inlineStr">
        <is>
          <t>DP526639</t>
        </is>
      </c>
      <c r="C1671" s="43" t="inlineStr">
        <is>
          <t>037-STBU</t>
        </is>
      </c>
      <c r="D1671" s="43" t="inlineStr">
        <is>
          <t>FJZP</t>
        </is>
      </c>
      <c r="E1671" s="43" t="inlineStr">
        <is>
          <t>MCGA</t>
        </is>
      </c>
      <c r="F1671" s="43" t="inlineStr">
        <is>
          <t>73-104531-01</t>
        </is>
      </c>
      <c r="G1671" s="43" t="inlineStr">
        <is>
          <t>BOARD_PN_CANDIDATE</t>
        </is>
      </c>
      <c r="H1671" s="43" t="inlineStr"/>
      <c r="I1671" s="43" t="inlineStr">
        <is>
          <t>CCB</t>
        </is>
      </c>
      <c r="J1671" s="32" t="n">
        <v>46346</v>
      </c>
      <c r="K1671" s="32" t="n"/>
      <c r="L1671" s="43" t="inlineStr">
        <is>
          <t>1888</t>
        </is>
      </c>
      <c r="M1671" s="43" t="n">
        <v>1</v>
      </c>
      <c r="N1671" s="33" t="inlineStr"/>
      <c r="O1671" s="43" t="inlineStr">
        <is>
          <t>UNVERIFIED</t>
        </is>
      </c>
      <c r="P1671" s="43" t="inlineStr">
        <is>
          <t>Pending Review</t>
        </is>
      </c>
      <c r="Q1671" s="33" t="inlineStr">
        <is>
          <t>Confirmar SKU/PCBA revision, PN exacto en Common DB, WO, BU, vigencia, planta y aprobacion firmada.</t>
        </is>
      </c>
    </row>
    <row r="1672">
      <c r="A1672" s="43" t="inlineStr">
        <is>
          <t>CTANJZ05501</t>
        </is>
      </c>
      <c r="B1672" s="43" t="inlineStr">
        <is>
          <t>DP526639</t>
        </is>
      </c>
      <c r="C1672" s="43" t="inlineStr">
        <is>
          <t>037-STBU</t>
        </is>
      </c>
      <c r="D1672" s="43" t="inlineStr">
        <is>
          <t>FJZP</t>
        </is>
      </c>
      <c r="E1672" s="43" t="inlineStr">
        <is>
          <t>MCGA</t>
        </is>
      </c>
      <c r="F1672" s="43" t="inlineStr">
        <is>
          <t>73-104532-01</t>
        </is>
      </c>
      <c r="G1672" s="43" t="inlineStr">
        <is>
          <t>BOARD_PN_CANDIDATE</t>
        </is>
      </c>
      <c r="H1672" s="43" t="inlineStr">
        <is>
          <t>GREENFORD</t>
        </is>
      </c>
      <c r="I1672" s="43" t="inlineStr">
        <is>
          <t>CCB</t>
        </is>
      </c>
      <c r="J1672" s="32" t="n">
        <v>46346</v>
      </c>
      <c r="K1672" s="32" t="n"/>
      <c r="L1672" s="43" t="inlineStr">
        <is>
          <t>1889</t>
        </is>
      </c>
      <c r="M1672" s="43" t="n">
        <v>1</v>
      </c>
      <c r="N1672" s="33" t="inlineStr"/>
      <c r="O1672" s="43" t="inlineStr">
        <is>
          <t>UNVERIFIED</t>
        </is>
      </c>
      <c r="P1672" s="43" t="inlineStr">
        <is>
          <t>Pending Review</t>
        </is>
      </c>
      <c r="Q1672" s="33" t="inlineStr">
        <is>
          <t>Confirmar SKU/PCBA revision, PN exacto en Common DB, WO, BU, vigencia, planta y aprobacion firmada.</t>
        </is>
      </c>
    </row>
    <row r="1673">
      <c r="A1673" s="43" t="inlineStr">
        <is>
          <t>CTANJZ05501</t>
        </is>
      </c>
      <c r="B1673" s="43" t="inlineStr">
        <is>
          <t>DP526639</t>
        </is>
      </c>
      <c r="C1673" s="43" t="inlineStr">
        <is>
          <t>037-STBU</t>
        </is>
      </c>
      <c r="D1673" s="43" t="inlineStr">
        <is>
          <t>FJZP</t>
        </is>
      </c>
      <c r="E1673" s="43" t="inlineStr">
        <is>
          <t>MCGA</t>
        </is>
      </c>
      <c r="F1673" s="43" t="inlineStr">
        <is>
          <t>73-104533-01</t>
        </is>
      </c>
      <c r="G1673" s="43" t="inlineStr">
        <is>
          <t>BOARD_PN_CANDIDATE</t>
        </is>
      </c>
      <c r="H1673" s="43" t="inlineStr"/>
      <c r="I1673" s="43" t="inlineStr">
        <is>
          <t>CCB</t>
        </is>
      </c>
      <c r="J1673" s="32" t="n">
        <v>46346</v>
      </c>
      <c r="K1673" s="32" t="n"/>
      <c r="L1673" s="43" t="inlineStr">
        <is>
          <t>1890</t>
        </is>
      </c>
      <c r="M1673" s="43" t="n">
        <v>1</v>
      </c>
      <c r="N1673" s="33" t="inlineStr"/>
      <c r="O1673" s="43" t="inlineStr">
        <is>
          <t>UNVERIFIED</t>
        </is>
      </c>
      <c r="P1673" s="43" t="inlineStr">
        <is>
          <t>Pending Review</t>
        </is>
      </c>
      <c r="Q1673" s="33" t="inlineStr">
        <is>
          <t>Confirmar SKU/PCBA revision, PN exacto en Common DB, WO, BU, vigencia, planta y aprobacion firmada.</t>
        </is>
      </c>
    </row>
    <row r="1674">
      <c r="A1674" s="43" t="inlineStr">
        <is>
          <t>CTANJZ05502</t>
        </is>
      </c>
      <c r="B1674" s="43" t="inlineStr">
        <is>
          <t>D613744</t>
        </is>
      </c>
      <c r="C1674" s="43" t="inlineStr">
        <is>
          <t>239-CRBU</t>
        </is>
      </c>
      <c r="D1674" s="43" t="inlineStr">
        <is>
          <t>FJZP</t>
        </is>
      </c>
      <c r="E1674" s="43" t="inlineStr">
        <is>
          <t>MCGA</t>
        </is>
      </c>
      <c r="F1674" s="43" t="inlineStr">
        <is>
          <t>36-0111-02</t>
        </is>
      </c>
      <c r="G1674" s="43" t="inlineStr">
        <is>
          <t>OTHER_SCOPE_ITEM</t>
        </is>
      </c>
      <c r="H1674" s="43" t="inlineStr"/>
      <c r="I1674" s="43" t="inlineStr">
        <is>
          <t>Implementation</t>
        </is>
      </c>
      <c r="J1674" s="32" t="n">
        <v>46376</v>
      </c>
      <c r="K1674" s="32" t="n">
        <v>46298</v>
      </c>
      <c r="L1674" s="43" t="inlineStr">
        <is>
          <t>141,327</t>
        </is>
      </c>
      <c r="M1674" s="43" t="n">
        <v>2</v>
      </c>
      <c r="N1674" s="33" t="inlineStr"/>
      <c r="O1674" s="43" t="inlineStr">
        <is>
          <t>UNVERIFIED</t>
        </is>
      </c>
      <c r="P1674" s="43" t="inlineStr">
        <is>
          <t>Pending Review</t>
        </is>
      </c>
      <c r="Q1674" s="33" t="inlineStr">
        <is>
          <t>Confirmar SKU/PCBA revision, PN exacto en Common DB, WO, BU, vigencia, planta y aprobacion firmada.</t>
        </is>
      </c>
    </row>
    <row r="1675">
      <c r="A1675" s="43" t="inlineStr">
        <is>
          <t>CTANJZ05502</t>
        </is>
      </c>
      <c r="B1675" s="43" t="inlineStr">
        <is>
          <t>D613744</t>
        </is>
      </c>
      <c r="C1675" s="43" t="inlineStr">
        <is>
          <t>239-CRBU</t>
        </is>
      </c>
      <c r="D1675" s="43" t="inlineStr">
        <is>
          <t>FJZP</t>
        </is>
      </c>
      <c r="E1675" s="43" t="inlineStr">
        <is>
          <t>MCGA</t>
        </is>
      </c>
      <c r="F1675" s="43" t="inlineStr">
        <is>
          <t>73-21335-01</t>
        </is>
      </c>
      <c r="G1675" s="43" t="inlineStr">
        <is>
          <t>BOARD_PN_CANDIDATE</t>
        </is>
      </c>
      <c r="H1675" s="43" t="inlineStr"/>
      <c r="I1675" s="43" t="inlineStr">
        <is>
          <t>Pending</t>
        </is>
      </c>
      <c r="J1675" s="32" t="n">
        <v>46376</v>
      </c>
      <c r="K1675" s="32" t="n"/>
      <c r="L1675" s="43" t="inlineStr">
        <is>
          <t>129,252</t>
        </is>
      </c>
      <c r="M1675" s="43" t="n">
        <v>2</v>
      </c>
      <c r="N1675" s="33" t="inlineStr"/>
      <c r="O1675" s="43" t="inlineStr">
        <is>
          <t>UNVERIFIED</t>
        </is>
      </c>
      <c r="P1675" s="43" t="inlineStr">
        <is>
          <t>Pending Review</t>
        </is>
      </c>
      <c r="Q1675" s="33" t="inlineStr">
        <is>
          <t>Confirmar SKU/PCBA revision, PN exacto en Common DB, WO, BU, vigencia, planta y aprobacion firmada.</t>
        </is>
      </c>
    </row>
    <row r="1676">
      <c r="A1676" s="43" t="inlineStr">
        <is>
          <t>CTANJZ05503</t>
        </is>
      </c>
      <c r="B1676" s="43" t="inlineStr">
        <is>
          <t>D612992</t>
        </is>
      </c>
      <c r="C1676" s="43" t="inlineStr">
        <is>
          <t>239-CRBU</t>
        </is>
      </c>
      <c r="D1676" s="43" t="inlineStr">
        <is>
          <t>FJZP</t>
        </is>
      </c>
      <c r="E1676" s="43" t="inlineStr">
        <is>
          <t>MCGA</t>
        </is>
      </c>
      <c r="F1676" s="43" t="inlineStr">
        <is>
          <t>20-0788-01</t>
        </is>
      </c>
      <c r="G1676" s="43" t="inlineStr">
        <is>
          <t>OTHER_SCOPE_ITEM</t>
        </is>
      </c>
      <c r="H1676" s="43" t="inlineStr"/>
      <c r="I1676" s="43" t="inlineStr">
        <is>
          <t>Implementation</t>
        </is>
      </c>
      <c r="J1676" s="32" t="n">
        <v>46377</v>
      </c>
      <c r="K1676" s="32" t="n">
        <v>46298</v>
      </c>
      <c r="L1676" s="43" t="inlineStr">
        <is>
          <t>142,328</t>
        </is>
      </c>
      <c r="M1676" s="43" t="n">
        <v>2</v>
      </c>
      <c r="N1676" s="33" t="inlineStr"/>
      <c r="O1676" s="43" t="inlineStr">
        <is>
          <t>UNVERIFIED</t>
        </is>
      </c>
      <c r="P1676" s="43" t="inlineStr">
        <is>
          <t>Pending Review</t>
        </is>
      </c>
      <c r="Q1676" s="33" t="inlineStr">
        <is>
          <t>Confirmar SKU/PCBA revision, PN exacto en Common DB, WO, BU, vigencia, planta y aprobacion firmada.</t>
        </is>
      </c>
    </row>
    <row r="1677">
      <c r="A1677" s="43" t="inlineStr">
        <is>
          <t>CTANJZ05503</t>
        </is>
      </c>
      <c r="B1677" s="43" t="inlineStr">
        <is>
          <t>D612992</t>
        </is>
      </c>
      <c r="C1677" s="43" t="inlineStr">
        <is>
          <t>239-CRBU</t>
        </is>
      </c>
      <c r="D1677" s="43" t="inlineStr">
        <is>
          <t>FJZP</t>
        </is>
      </c>
      <c r="E1677" s="43" t="inlineStr">
        <is>
          <t>MCGA</t>
        </is>
      </c>
      <c r="F1677" s="43" t="inlineStr">
        <is>
          <t>73-20922-04</t>
        </is>
      </c>
      <c r="G1677" s="43" t="inlineStr">
        <is>
          <t>BOARD_PN_CANDIDATE</t>
        </is>
      </c>
      <c r="H1677" s="43" t="inlineStr"/>
      <c r="I1677" s="43" t="inlineStr">
        <is>
          <t>Pending</t>
        </is>
      </c>
      <c r="J1677" s="32" t="n">
        <v>46377</v>
      </c>
      <c r="K1677" s="32" t="n"/>
      <c r="L1677" s="43" t="inlineStr">
        <is>
          <t>135,197</t>
        </is>
      </c>
      <c r="M1677" s="43" t="n">
        <v>2</v>
      </c>
      <c r="N1677" s="33" t="inlineStr"/>
      <c r="O1677" s="43" t="inlineStr">
        <is>
          <t>UNVERIFIED</t>
        </is>
      </c>
      <c r="P1677" s="43" t="inlineStr">
        <is>
          <t>Pending Review</t>
        </is>
      </c>
      <c r="Q1677" s="33" t="inlineStr">
        <is>
          <t>Confirmar SKU/PCBA revision, PN exacto en Common DB, WO, BU, vigencia, planta y aprobacion firmada.</t>
        </is>
      </c>
    </row>
    <row r="1678">
      <c r="A1678" s="43" t="inlineStr">
        <is>
          <t>CTANJZ05504</t>
        </is>
      </c>
      <c r="B1678" s="43" t="inlineStr">
        <is>
          <t>D611865</t>
        </is>
      </c>
      <c r="C1678" s="43" t="inlineStr">
        <is>
          <t>239-CRBU</t>
        </is>
      </c>
      <c r="D1678" s="43" t="inlineStr">
        <is>
          <t>FJZP</t>
        </is>
      </c>
      <c r="E1678" s="43" t="inlineStr">
        <is>
          <t>MCGA</t>
        </is>
      </c>
      <c r="F1678" s="43" t="inlineStr">
        <is>
          <t>20-0405-01</t>
        </is>
      </c>
      <c r="G1678" s="43" t="inlineStr">
        <is>
          <t>OTHER_SCOPE_ITEM</t>
        </is>
      </c>
      <c r="H1678" s="43" t="inlineStr"/>
      <c r="I1678" s="43" t="inlineStr">
        <is>
          <t>CCB</t>
        </is>
      </c>
      <c r="J1678" s="32" t="n">
        <v>46377</v>
      </c>
      <c r="K1678" s="32" t="n"/>
      <c r="L1678" s="43" t="inlineStr">
        <is>
          <t>583</t>
        </is>
      </c>
      <c r="M1678" s="43" t="n">
        <v>1</v>
      </c>
      <c r="N1678" s="33" t="inlineStr"/>
      <c r="O1678" s="43" t="inlineStr">
        <is>
          <t>UNVERIFIED</t>
        </is>
      </c>
      <c r="P1678" s="43" t="inlineStr">
        <is>
          <t>Pending Review</t>
        </is>
      </c>
      <c r="Q1678" s="33" t="inlineStr">
        <is>
          <t>Confirmar SKU/PCBA revision, PN exacto en Common DB, WO, BU, vigencia, planta y aprobacion firmada.</t>
        </is>
      </c>
    </row>
    <row r="1679">
      <c r="A1679" s="43" t="inlineStr">
        <is>
          <t>CTANJZ05504</t>
        </is>
      </c>
      <c r="B1679" s="43" t="inlineStr">
        <is>
          <t>D611865</t>
        </is>
      </c>
      <c r="C1679" s="43" t="inlineStr">
        <is>
          <t>239-CRBU</t>
        </is>
      </c>
      <c r="D1679" s="43" t="inlineStr">
        <is>
          <t>FJZP</t>
        </is>
      </c>
      <c r="E1679" s="43" t="inlineStr">
        <is>
          <t>MCGA</t>
        </is>
      </c>
      <c r="F1679" s="43" t="inlineStr">
        <is>
          <t>73-19911-07</t>
        </is>
      </c>
      <c r="G1679" s="43" t="inlineStr">
        <is>
          <t>BOARD_PN_CANDIDATE</t>
        </is>
      </c>
      <c r="H1679" s="43" t="inlineStr"/>
      <c r="I1679" s="43" t="inlineStr">
        <is>
          <t>CCB</t>
        </is>
      </c>
      <c r="J1679" s="32" t="n">
        <v>46377</v>
      </c>
      <c r="K1679" s="32" t="n"/>
      <c r="L1679" s="43" t="inlineStr">
        <is>
          <t>584</t>
        </is>
      </c>
      <c r="M1679" s="43" t="n">
        <v>1</v>
      </c>
      <c r="N1679" s="33" t="inlineStr"/>
      <c r="O1679" s="43" t="inlineStr">
        <is>
          <t>UNVERIFIED</t>
        </is>
      </c>
      <c r="P1679" s="43" t="inlineStr">
        <is>
          <t>Pending Review</t>
        </is>
      </c>
      <c r="Q1679" s="33" t="inlineStr">
        <is>
          <t>Confirmar SKU/PCBA revision, PN exacto en Common DB, WO, BU, vigencia, planta y aprobacion firmada.</t>
        </is>
      </c>
    </row>
    <row r="1680">
      <c r="A1680" s="43" t="inlineStr">
        <is>
          <t>CTANJZ05505</t>
        </is>
      </c>
      <c r="B1680" s="43" t="inlineStr">
        <is>
          <t>D613277</t>
        </is>
      </c>
      <c r="C1680" s="43" t="inlineStr">
        <is>
          <t>037-STBU</t>
        </is>
      </c>
      <c r="D1680" s="43" t="inlineStr">
        <is>
          <t>FJZP</t>
        </is>
      </c>
      <c r="E1680" s="43" t="inlineStr">
        <is>
          <t>MCGA</t>
        </is>
      </c>
      <c r="F1680" s="43" t="inlineStr">
        <is>
          <t>15-110364-01</t>
        </is>
      </c>
      <c r="G1680" s="43" t="inlineStr">
        <is>
          <t>OTHER_SCOPE_ITEM</t>
        </is>
      </c>
      <c r="H1680" s="43" t="inlineStr"/>
      <c r="I1680" s="43" t="inlineStr">
        <is>
          <t>Implementation</t>
        </is>
      </c>
      <c r="J1680" s="32" t="n">
        <v>46377</v>
      </c>
      <c r="K1680" s="32" t="n">
        <v>46308</v>
      </c>
      <c r="L1680" s="43" t="inlineStr">
        <is>
          <t>1396</t>
        </is>
      </c>
      <c r="M1680" s="43" t="n">
        <v>1</v>
      </c>
      <c r="N1680" s="33" t="inlineStr"/>
      <c r="O1680" s="43" t="inlineStr">
        <is>
          <t>UNVERIFIED</t>
        </is>
      </c>
      <c r="P1680" s="43" t="inlineStr">
        <is>
          <t>Pending Review</t>
        </is>
      </c>
      <c r="Q1680" s="33" t="inlineStr">
        <is>
          <t>Confirmar SKU/PCBA revision, PN exacto en Common DB, WO, BU, vigencia, planta y aprobacion firmada.</t>
        </is>
      </c>
    </row>
    <row r="1681">
      <c r="A1681" s="43" t="inlineStr">
        <is>
          <t>CTANJZ05505</t>
        </is>
      </c>
      <c r="B1681" s="43" t="inlineStr">
        <is>
          <t>D613277</t>
        </is>
      </c>
      <c r="C1681" s="43" t="inlineStr">
        <is>
          <t>037-STBU</t>
        </is>
      </c>
      <c r="D1681" s="43" t="inlineStr">
        <is>
          <t>FJZP</t>
        </is>
      </c>
      <c r="E1681" s="43" t="inlineStr">
        <is>
          <t>MCGA</t>
        </is>
      </c>
      <c r="F1681" s="43" t="inlineStr">
        <is>
          <t>15-110449-01</t>
        </is>
      </c>
      <c r="G1681" s="43" t="inlineStr">
        <is>
          <t>OTHER_SCOPE_ITEM</t>
        </is>
      </c>
      <c r="H1681" s="43" t="inlineStr"/>
      <c r="I1681" s="43" t="inlineStr">
        <is>
          <t>Implementation</t>
        </is>
      </c>
      <c r="J1681" s="32" t="n">
        <v>46377</v>
      </c>
      <c r="K1681" s="32" t="n">
        <v>46308</v>
      </c>
      <c r="L1681" s="43" t="inlineStr">
        <is>
          <t>1397</t>
        </is>
      </c>
      <c r="M1681" s="43" t="n">
        <v>1</v>
      </c>
      <c r="N1681" s="33" t="inlineStr"/>
      <c r="O1681" s="43" t="inlineStr">
        <is>
          <t>UNVERIFIED</t>
        </is>
      </c>
      <c r="P1681" s="43" t="inlineStr">
        <is>
          <t>Pending Review</t>
        </is>
      </c>
      <c r="Q1681" s="33" t="inlineStr">
        <is>
          <t>Confirmar SKU/PCBA revision, PN exacto en Common DB, WO, BU, vigencia, planta y aprobacion firmada.</t>
        </is>
      </c>
    </row>
    <row r="1682">
      <c r="A1682" s="43" t="inlineStr">
        <is>
          <t>CTANJZ05505</t>
        </is>
      </c>
      <c r="B1682" s="43" t="inlineStr">
        <is>
          <t>D613277</t>
        </is>
      </c>
      <c r="C1682" s="43" t="inlineStr">
        <is>
          <t>037-STBU</t>
        </is>
      </c>
      <c r="D1682" s="43" t="inlineStr">
        <is>
          <t>FJZP</t>
        </is>
      </c>
      <c r="E1682" s="43" t="inlineStr">
        <is>
          <t>MCGA</t>
        </is>
      </c>
      <c r="F1682" s="43" t="inlineStr">
        <is>
          <t>800-112720-04</t>
        </is>
      </c>
      <c r="G1682" s="43" t="inlineStr">
        <is>
          <t>OTHER_SCOPE_ITEM</t>
        </is>
      </c>
      <c r="H1682" s="43" t="inlineStr"/>
      <c r="I1682" s="43" t="inlineStr">
        <is>
          <t>Implementation</t>
        </is>
      </c>
      <c r="J1682" s="32" t="n">
        <v>46377</v>
      </c>
      <c r="K1682" s="32" t="n">
        <v>46308</v>
      </c>
      <c r="L1682" s="43" t="inlineStr">
        <is>
          <t>1398</t>
        </is>
      </c>
      <c r="M1682" s="43" t="n">
        <v>1</v>
      </c>
      <c r="N1682" s="33" t="inlineStr"/>
      <c r="O1682" s="43" t="inlineStr">
        <is>
          <t>UNVERIFIED</t>
        </is>
      </c>
      <c r="P1682" s="43" t="inlineStr">
        <is>
          <t>Pending Review</t>
        </is>
      </c>
      <c r="Q1682" s="33" t="inlineStr">
        <is>
          <t>Confirmar SKU/PCBA revision, PN exacto en Common DB, WO, BU, vigencia, planta y aprobacion firmada.</t>
        </is>
      </c>
    </row>
    <row r="1683">
      <c r="A1683" s="43" t="inlineStr">
        <is>
          <t>CTANJZ05506</t>
        </is>
      </c>
      <c r="B1683" s="43" t="inlineStr">
        <is>
          <t>D613418</t>
        </is>
      </c>
      <c r="C1683" s="43" t="inlineStr">
        <is>
          <t>239-CRBU</t>
        </is>
      </c>
      <c r="D1683" s="43" t="inlineStr">
        <is>
          <t>FJZP</t>
        </is>
      </c>
      <c r="E1683" s="43" t="inlineStr">
        <is>
          <t>MCGA</t>
        </is>
      </c>
      <c r="F1683" s="43" t="inlineStr">
        <is>
          <t>36-0148-02</t>
        </is>
      </c>
      <c r="G1683" s="43" t="inlineStr">
        <is>
          <t>OTHER_SCOPE_ITEM</t>
        </is>
      </c>
      <c r="H1683" s="43" t="inlineStr"/>
      <c r="I1683" s="43" t="inlineStr">
        <is>
          <t>Implementation</t>
        </is>
      </c>
      <c r="J1683" s="32" t="n">
        <v>46378</v>
      </c>
      <c r="K1683" s="32" t="n">
        <v>46298</v>
      </c>
      <c r="L1683" s="43" t="inlineStr">
        <is>
          <t>137,323</t>
        </is>
      </c>
      <c r="M1683" s="43" t="n">
        <v>2</v>
      </c>
      <c r="N1683" s="33" t="inlineStr"/>
      <c r="O1683" s="43" t="inlineStr">
        <is>
          <t>UNVERIFIED</t>
        </is>
      </c>
      <c r="P1683" s="43" t="inlineStr">
        <is>
          <t>Pending Review</t>
        </is>
      </c>
      <c r="Q1683" s="33" t="inlineStr">
        <is>
          <t>Confirmar SKU/PCBA revision, PN exacto en Common DB, WO, BU, vigencia, planta y aprobacion firmada.</t>
        </is>
      </c>
    </row>
    <row r="1684">
      <c r="A1684" s="43" t="inlineStr">
        <is>
          <t>CTANJZ05506</t>
        </is>
      </c>
      <c r="B1684" s="43" t="inlineStr">
        <is>
          <t>D613418</t>
        </is>
      </c>
      <c r="C1684" s="43" t="inlineStr">
        <is>
          <t>239-CRBU</t>
        </is>
      </c>
      <c r="D1684" s="43" t="inlineStr">
        <is>
          <t>FJZP</t>
        </is>
      </c>
      <c r="E1684" s="43" t="inlineStr">
        <is>
          <t>MCGA</t>
        </is>
      </c>
      <c r="F1684" s="43" t="inlineStr">
        <is>
          <t>73-102363-05</t>
        </is>
      </c>
      <c r="G1684" s="43" t="inlineStr">
        <is>
          <t>BOARD_PN_CANDIDATE</t>
        </is>
      </c>
      <c r="H1684" s="43" t="inlineStr"/>
      <c r="I1684" s="43" t="inlineStr">
        <is>
          <t>Implementation</t>
        </is>
      </c>
      <c r="J1684" s="32" t="n">
        <v>46378</v>
      </c>
      <c r="K1684" s="32" t="n">
        <v>46298</v>
      </c>
      <c r="L1684" s="43" t="inlineStr">
        <is>
          <t>138,324</t>
        </is>
      </c>
      <c r="M1684" s="43" t="n">
        <v>2</v>
      </c>
      <c r="N1684" s="33" t="inlineStr"/>
      <c r="O1684" s="43" t="inlineStr">
        <is>
          <t>UNVERIFIED</t>
        </is>
      </c>
      <c r="P1684" s="43" t="inlineStr">
        <is>
          <t>Pending Review</t>
        </is>
      </c>
      <c r="Q1684" s="33" t="inlineStr">
        <is>
          <t>Confirmar SKU/PCBA revision, PN exacto en Common DB, WO, BU, vigencia, planta y aprobacion firmada.</t>
        </is>
      </c>
    </row>
    <row r="1685">
      <c r="A1685" s="43" t="inlineStr">
        <is>
          <t>CTANJZ05507</t>
        </is>
      </c>
      <c r="B1685" s="43" t="inlineStr">
        <is>
          <t>D613427</t>
        </is>
      </c>
      <c r="C1685" s="43" t="inlineStr">
        <is>
          <t>239-CRBU</t>
        </is>
      </c>
      <c r="D1685" s="43" t="inlineStr">
        <is>
          <t>FJZP</t>
        </is>
      </c>
      <c r="E1685" s="43" t="inlineStr">
        <is>
          <t>MCGA</t>
        </is>
      </c>
      <c r="F1685" s="43" t="inlineStr">
        <is>
          <t>36-0111-02</t>
        </is>
      </c>
      <c r="G1685" s="43" t="inlineStr">
        <is>
          <t>OTHER_SCOPE_ITEM</t>
        </is>
      </c>
      <c r="H1685" s="43" t="inlineStr"/>
      <c r="I1685" s="43" t="inlineStr">
        <is>
          <t>Implementation</t>
        </is>
      </c>
      <c r="J1685" s="32" t="n">
        <v>46378</v>
      </c>
      <c r="K1685" s="32" t="n">
        <v>46298</v>
      </c>
      <c r="L1685" s="43" t="inlineStr">
        <is>
          <t>139,325</t>
        </is>
      </c>
      <c r="M1685" s="43" t="n">
        <v>2</v>
      </c>
      <c r="N1685" s="33" t="inlineStr"/>
      <c r="O1685" s="43" t="inlineStr">
        <is>
          <t>UNVERIFIED</t>
        </is>
      </c>
      <c r="P1685" s="43" t="inlineStr">
        <is>
          <t>Pending Review</t>
        </is>
      </c>
      <c r="Q1685" s="33" t="inlineStr">
        <is>
          <t>Confirmar SKU/PCBA revision, PN exacto en Common DB, WO, BU, vigencia, planta y aprobacion firmada.</t>
        </is>
      </c>
    </row>
    <row r="1686">
      <c r="A1686" s="43" t="inlineStr">
        <is>
          <t>CTANJZ05507</t>
        </is>
      </c>
      <c r="B1686" s="43" t="inlineStr">
        <is>
          <t>D613427</t>
        </is>
      </c>
      <c r="C1686" s="43" t="inlineStr">
        <is>
          <t>239-CRBU</t>
        </is>
      </c>
      <c r="D1686" s="43" t="inlineStr">
        <is>
          <t>FJZP</t>
        </is>
      </c>
      <c r="E1686" s="43" t="inlineStr">
        <is>
          <t>MCGA</t>
        </is>
      </c>
      <c r="F1686" s="43" t="inlineStr">
        <is>
          <t>73-102363-05</t>
        </is>
      </c>
      <c r="G1686" s="43" t="inlineStr">
        <is>
          <t>BOARD_PN_CANDIDATE</t>
        </is>
      </c>
      <c r="H1686" s="43" t="inlineStr"/>
      <c r="I1686" s="43" t="inlineStr">
        <is>
          <t>Implementation</t>
        </is>
      </c>
      <c r="J1686" s="32" t="n">
        <v>46378</v>
      </c>
      <c r="K1686" s="32" t="n">
        <v>46298</v>
      </c>
      <c r="L1686" s="43" t="inlineStr">
        <is>
          <t>140,326</t>
        </is>
      </c>
      <c r="M1686" s="43" t="n">
        <v>2</v>
      </c>
      <c r="N1686" s="33" t="inlineStr"/>
      <c r="O1686" s="43" t="inlineStr">
        <is>
          <t>UNVERIFIED</t>
        </is>
      </c>
      <c r="P1686" s="43" t="inlineStr">
        <is>
          <t>Pending Review</t>
        </is>
      </c>
      <c r="Q1686" s="33" t="inlineStr">
        <is>
          <t>Confirmar SKU/PCBA revision, PN exacto en Common DB, WO, BU, vigencia, planta y aprobacion firmada.</t>
        </is>
      </c>
    </row>
    <row r="1687">
      <c r="A1687" s="43" t="inlineStr">
        <is>
          <t>CTANJZ05509</t>
        </is>
      </c>
      <c r="B1687" s="43" t="inlineStr">
        <is>
          <t>D614276</t>
        </is>
      </c>
      <c r="C1687" s="43" t="inlineStr">
        <is>
          <t>037-STBU</t>
        </is>
      </c>
      <c r="D1687" s="43" t="inlineStr">
        <is>
          <t>FJZP</t>
        </is>
      </c>
      <c r="E1687" s="43" t="inlineStr">
        <is>
          <t>MCGA</t>
        </is>
      </c>
      <c r="F1687" s="43" t="inlineStr">
        <is>
          <t>15-102981-01</t>
        </is>
      </c>
      <c r="G1687" s="43" t="inlineStr">
        <is>
          <t>OTHER_SCOPE_ITEM</t>
        </is>
      </c>
      <c r="H1687" s="43" t="inlineStr"/>
      <c r="I1687" s="43" t="inlineStr">
        <is>
          <t>CCB</t>
        </is>
      </c>
      <c r="J1687" s="32" t="n">
        <v>46385</v>
      </c>
      <c r="K1687" s="32" t="n"/>
      <c r="L1687" s="43" t="inlineStr">
        <is>
          <t>1390</t>
        </is>
      </c>
      <c r="M1687" s="43" t="n">
        <v>1</v>
      </c>
      <c r="N1687" s="33" t="inlineStr"/>
      <c r="O1687" s="43" t="inlineStr">
        <is>
          <t>UNVERIFIED</t>
        </is>
      </c>
      <c r="P1687" s="43" t="inlineStr">
        <is>
          <t>Pending Review</t>
        </is>
      </c>
      <c r="Q1687" s="33" t="inlineStr">
        <is>
          <t>Confirmar SKU/PCBA revision, PN exacto en Common DB, WO, BU, vigencia, planta y aprobacion firmada.</t>
        </is>
      </c>
    </row>
    <row r="1688">
      <c r="A1688" s="43" t="inlineStr">
        <is>
          <t>CTANJZ05509</t>
        </is>
      </c>
      <c r="B1688" s="43" t="inlineStr">
        <is>
          <t>D614276</t>
        </is>
      </c>
      <c r="C1688" s="43" t="inlineStr">
        <is>
          <t>037-STBU</t>
        </is>
      </c>
      <c r="D1688" s="43" t="inlineStr">
        <is>
          <t>FJZP</t>
        </is>
      </c>
      <c r="E1688" s="43" t="inlineStr">
        <is>
          <t>MCGA</t>
        </is>
      </c>
      <c r="F1688" s="43" t="inlineStr">
        <is>
          <t>68-7253-05</t>
        </is>
      </c>
      <c r="G1688" s="43" t="inlineStr">
        <is>
          <t>OTHER_SCOPE_ITEM</t>
        </is>
      </c>
      <c r="H1688" s="43" t="inlineStr"/>
      <c r="I1688" s="43" t="inlineStr">
        <is>
          <t>CCB</t>
        </is>
      </c>
      <c r="J1688" s="32" t="n">
        <v>46385</v>
      </c>
      <c r="K1688" s="32" t="n"/>
      <c r="L1688" s="43" t="inlineStr">
        <is>
          <t>1391</t>
        </is>
      </c>
      <c r="M1688" s="43" t="n">
        <v>1</v>
      </c>
      <c r="N1688" s="33" t="inlineStr"/>
      <c r="O1688" s="43" t="inlineStr">
        <is>
          <t>UNVERIFIED</t>
        </is>
      </c>
      <c r="P1688" s="43" t="inlineStr">
        <is>
          <t>Pending Review</t>
        </is>
      </c>
      <c r="Q1688" s="33" t="inlineStr">
        <is>
          <t>Confirmar SKU/PCBA revision, PN exacto en Common DB, WO, BU, vigencia, planta y aprobacion firmada.</t>
        </is>
      </c>
    </row>
    <row r="1689">
      <c r="A1689" s="43" t="inlineStr">
        <is>
          <t>CTANJZ05509</t>
        </is>
      </c>
      <c r="B1689" s="43" t="inlineStr">
        <is>
          <t>D614276</t>
        </is>
      </c>
      <c r="C1689" s="43" t="inlineStr">
        <is>
          <t>037-STBU</t>
        </is>
      </c>
      <c r="D1689" s="43" t="inlineStr">
        <is>
          <t>FJZP</t>
        </is>
      </c>
      <c r="E1689" s="43" t="inlineStr">
        <is>
          <t>MCGA</t>
        </is>
      </c>
      <c r="F1689" s="43" t="inlineStr">
        <is>
          <t>68-7254-05</t>
        </is>
      </c>
      <c r="G1689" s="43" t="inlineStr">
        <is>
          <t>OTHER_SCOPE_ITEM</t>
        </is>
      </c>
      <c r="H1689" s="43" t="inlineStr"/>
      <c r="I1689" s="43" t="inlineStr">
        <is>
          <t>CCB</t>
        </is>
      </c>
      <c r="J1689" s="32" t="n">
        <v>46385</v>
      </c>
      <c r="K1689" s="32" t="n"/>
      <c r="L1689" s="43" t="inlineStr">
        <is>
          <t>1392</t>
        </is>
      </c>
      <c r="M1689" s="43" t="n">
        <v>1</v>
      </c>
      <c r="N1689" s="33" t="inlineStr"/>
      <c r="O1689" s="43" t="inlineStr">
        <is>
          <t>UNVERIFIED</t>
        </is>
      </c>
      <c r="P1689" s="43" t="inlineStr">
        <is>
          <t>Pending Review</t>
        </is>
      </c>
      <c r="Q1689" s="33" t="inlineStr">
        <is>
          <t>Confirmar SKU/PCBA revision, PN exacto en Common DB, WO, BU, vigencia, planta y aprobacion firmada.</t>
        </is>
      </c>
    </row>
    <row r="1690">
      <c r="A1690" s="43" t="inlineStr">
        <is>
          <t>CTANJZ05509</t>
        </is>
      </c>
      <c r="B1690" s="43" t="inlineStr">
        <is>
          <t>D614276</t>
        </is>
      </c>
      <c r="C1690" s="43" t="inlineStr">
        <is>
          <t>037-STBU</t>
        </is>
      </c>
      <c r="D1690" s="43" t="inlineStr">
        <is>
          <t>FJZP</t>
        </is>
      </c>
      <c r="E1690" s="43" t="inlineStr">
        <is>
          <t>MCGA</t>
        </is>
      </c>
      <c r="F1690" s="43" t="inlineStr">
        <is>
          <t>68-7255-05</t>
        </is>
      </c>
      <c r="G1690" s="43" t="inlineStr">
        <is>
          <t>OTHER_SCOPE_ITEM</t>
        </is>
      </c>
      <c r="H1690" s="43" t="inlineStr"/>
      <c r="I1690" s="43" t="inlineStr">
        <is>
          <t>CCB</t>
        </is>
      </c>
      <c r="J1690" s="32" t="n">
        <v>46385</v>
      </c>
      <c r="K1690" s="32" t="n"/>
      <c r="L1690" s="43" t="inlineStr">
        <is>
          <t>1393</t>
        </is>
      </c>
      <c r="M1690" s="43" t="n">
        <v>1</v>
      </c>
      <c r="N1690" s="33" t="inlineStr"/>
      <c r="O1690" s="43" t="inlineStr">
        <is>
          <t>UNVERIFIED</t>
        </is>
      </c>
      <c r="P1690" s="43" t="inlineStr">
        <is>
          <t>Pending Review</t>
        </is>
      </c>
      <c r="Q1690" s="33" t="inlineStr">
        <is>
          <t>Confirmar SKU/PCBA revision, PN exacto en Common DB, WO, BU, vigencia, planta y aprobacion firmada.</t>
        </is>
      </c>
    </row>
    <row r="1691">
      <c r="A1691" s="43" t="inlineStr">
        <is>
          <t>CTANJZ05509</t>
        </is>
      </c>
      <c r="B1691" s="43" t="inlineStr">
        <is>
          <t>D614276</t>
        </is>
      </c>
      <c r="C1691" s="43" t="inlineStr">
        <is>
          <t>037-STBU</t>
        </is>
      </c>
      <c r="D1691" s="43" t="inlineStr">
        <is>
          <t>FJZP</t>
        </is>
      </c>
      <c r="E1691" s="43" t="inlineStr">
        <is>
          <t>MCGA</t>
        </is>
      </c>
      <c r="F1691" s="43" t="inlineStr">
        <is>
          <t>68-7256-05</t>
        </is>
      </c>
      <c r="G1691" s="43" t="inlineStr">
        <is>
          <t>OTHER_SCOPE_ITEM</t>
        </is>
      </c>
      <c r="H1691" s="43" t="inlineStr"/>
      <c r="I1691" s="43" t="inlineStr">
        <is>
          <t>CCB</t>
        </is>
      </c>
      <c r="J1691" s="32" t="n">
        <v>46385</v>
      </c>
      <c r="K1691" s="32" t="n"/>
      <c r="L1691" s="43" t="inlineStr">
        <is>
          <t>1394</t>
        </is>
      </c>
      <c r="M1691" s="43" t="n">
        <v>1</v>
      </c>
      <c r="N1691" s="33" t="inlineStr"/>
      <c r="O1691" s="43" t="inlineStr">
        <is>
          <t>UNVERIFIED</t>
        </is>
      </c>
      <c r="P1691" s="43" t="inlineStr">
        <is>
          <t>Pending Review</t>
        </is>
      </c>
      <c r="Q1691" s="33" t="inlineStr">
        <is>
          <t>Confirmar SKU/PCBA revision, PN exacto en Common DB, WO, BU, vigencia, planta y aprobacion firmada.</t>
        </is>
      </c>
    </row>
    <row r="1692">
      <c r="A1692" s="43" t="inlineStr">
        <is>
          <t>CTANJZ05509</t>
        </is>
      </c>
      <c r="B1692" s="43" t="inlineStr">
        <is>
          <t>D614276</t>
        </is>
      </c>
      <c r="C1692" s="43" t="inlineStr">
        <is>
          <t>037-STBU</t>
        </is>
      </c>
      <c r="D1692" s="43" t="inlineStr">
        <is>
          <t>FJZP</t>
        </is>
      </c>
      <c r="E1692" s="43" t="inlineStr">
        <is>
          <t>MCGA</t>
        </is>
      </c>
      <c r="F1692" s="43" t="inlineStr">
        <is>
          <t>68-7638-02</t>
        </is>
      </c>
      <c r="G1692" s="43" t="inlineStr">
        <is>
          <t>OTHER_SCOPE_ITEM</t>
        </is>
      </c>
      <c r="H1692" s="43" t="inlineStr"/>
      <c r="I1692" s="43" t="inlineStr">
        <is>
          <t>CCB</t>
        </is>
      </c>
      <c r="J1692" s="32" t="n">
        <v>46385</v>
      </c>
      <c r="K1692" s="32" t="n"/>
      <c r="L1692" s="43" t="inlineStr">
        <is>
          <t>1395</t>
        </is>
      </c>
      <c r="M1692" s="43" t="n">
        <v>1</v>
      </c>
      <c r="N1692" s="33" t="inlineStr"/>
      <c r="O1692" s="43" t="inlineStr">
        <is>
          <t>UNVERIFIED</t>
        </is>
      </c>
      <c r="P1692" s="43" t="inlineStr">
        <is>
          <t>Pending Review</t>
        </is>
      </c>
      <c r="Q1692" s="33" t="inlineStr">
        <is>
          <t>Confirmar SKU/PCBA revision, PN exacto en Common DB, WO, BU, vigencia, planta y aprobacion firmada.</t>
        </is>
      </c>
    </row>
    <row r="1693">
      <c r="A1693" s="43" t="inlineStr">
        <is>
          <t>CTANJZ05510</t>
        </is>
      </c>
      <c r="B1693" s="43" t="inlineStr">
        <is>
          <t>D614346</t>
        </is>
      </c>
      <c r="C1693" s="43" t="inlineStr">
        <is>
          <t>037-STBU</t>
        </is>
      </c>
      <c r="D1693" s="43" t="inlineStr">
        <is>
          <t>FJZP</t>
        </is>
      </c>
      <c r="E1693" s="43" t="inlineStr">
        <is>
          <t>MCGA</t>
        </is>
      </c>
      <c r="F1693" s="43" t="inlineStr">
        <is>
          <t>68-100283-05</t>
        </is>
      </c>
      <c r="G1693" s="43" t="inlineStr">
        <is>
          <t>OTHER_SCOPE_ITEM</t>
        </is>
      </c>
      <c r="H1693" s="43" t="inlineStr"/>
      <c r="I1693" s="43" t="inlineStr">
        <is>
          <t>CCB</t>
        </is>
      </c>
      <c r="J1693" s="32" t="n">
        <v>46385</v>
      </c>
      <c r="K1693" s="32" t="n"/>
      <c r="L1693" s="43" t="inlineStr">
        <is>
          <t>1673</t>
        </is>
      </c>
      <c r="M1693" s="43" t="n">
        <v>1</v>
      </c>
      <c r="N1693" s="33" t="inlineStr"/>
      <c r="O1693" s="43" t="inlineStr">
        <is>
          <t>UNVERIFIED</t>
        </is>
      </c>
      <c r="P1693" s="43" t="inlineStr">
        <is>
          <t>Pending Review</t>
        </is>
      </c>
      <c r="Q1693" s="33" t="inlineStr">
        <is>
          <t>Confirmar SKU/PCBA revision, PN exacto en Common DB, WO, BU, vigencia, planta y aprobacion firmada.</t>
        </is>
      </c>
    </row>
    <row r="1694">
      <c r="A1694" s="43" t="inlineStr">
        <is>
          <t>CTANJZ05510</t>
        </is>
      </c>
      <c r="B1694" s="43" t="inlineStr">
        <is>
          <t>D614346</t>
        </is>
      </c>
      <c r="C1694" s="43" t="inlineStr">
        <is>
          <t>037-STBU</t>
        </is>
      </c>
      <c r="D1694" s="43" t="inlineStr">
        <is>
          <t>FJZP</t>
        </is>
      </c>
      <c r="E1694" s="43" t="inlineStr">
        <is>
          <t>MCGA</t>
        </is>
      </c>
      <c r="F1694" s="43" t="inlineStr">
        <is>
          <t>68-100284-05</t>
        </is>
      </c>
      <c r="G1694" s="43" t="inlineStr">
        <is>
          <t>OTHER_SCOPE_ITEM</t>
        </is>
      </c>
      <c r="H1694" s="43" t="inlineStr"/>
      <c r="I1694" s="43" t="inlineStr">
        <is>
          <t>CCB</t>
        </is>
      </c>
      <c r="J1694" s="32" t="n">
        <v>46385</v>
      </c>
      <c r="K1694" s="32" t="n"/>
      <c r="L1694" s="43" t="inlineStr">
        <is>
          <t>1674</t>
        </is>
      </c>
      <c r="M1694" s="43" t="n">
        <v>1</v>
      </c>
      <c r="N1694" s="33" t="inlineStr"/>
      <c r="O1694" s="43" t="inlineStr">
        <is>
          <t>UNVERIFIED</t>
        </is>
      </c>
      <c r="P1694" s="43" t="inlineStr">
        <is>
          <t>Pending Review</t>
        </is>
      </c>
      <c r="Q1694" s="33" t="inlineStr">
        <is>
          <t>Confirmar SKU/PCBA revision, PN exacto en Common DB, WO, BU, vigencia, planta y aprobacion firmada.</t>
        </is>
      </c>
    </row>
    <row r="1695">
      <c r="A1695" s="43" t="inlineStr">
        <is>
          <t>CTANJZ05510</t>
        </is>
      </c>
      <c r="B1695" s="43" t="inlineStr">
        <is>
          <t>D614346</t>
        </is>
      </c>
      <c r="C1695" s="43" t="inlineStr">
        <is>
          <t>037-STBU</t>
        </is>
      </c>
      <c r="D1695" s="43" t="inlineStr">
        <is>
          <t>FJZP</t>
        </is>
      </c>
      <c r="E1695" s="43" t="inlineStr">
        <is>
          <t>MCGA</t>
        </is>
      </c>
      <c r="F1695" s="43" t="inlineStr">
        <is>
          <t>68-100702-01</t>
        </is>
      </c>
      <c r="G1695" s="43" t="inlineStr">
        <is>
          <t>OTHER_SCOPE_ITEM</t>
        </is>
      </c>
      <c r="H1695" s="43" t="inlineStr"/>
      <c r="I1695" s="43" t="inlineStr">
        <is>
          <t>CCB</t>
        </is>
      </c>
      <c r="J1695" s="32" t="n">
        <v>46385</v>
      </c>
      <c r="K1695" s="32" t="n"/>
      <c r="L1695" s="43" t="inlineStr">
        <is>
          <t>1675</t>
        </is>
      </c>
      <c r="M1695" s="43" t="n">
        <v>1</v>
      </c>
      <c r="N1695" s="33" t="inlineStr"/>
      <c r="O1695" s="43" t="inlineStr">
        <is>
          <t>UNVERIFIED</t>
        </is>
      </c>
      <c r="P1695" s="43" t="inlineStr">
        <is>
          <t>Pending Review</t>
        </is>
      </c>
      <c r="Q1695" s="33" t="inlineStr">
        <is>
          <t>Confirmar SKU/PCBA revision, PN exacto en Common DB, WO, BU, vigencia, planta y aprobacion firmada.</t>
        </is>
      </c>
    </row>
    <row r="1696">
      <c r="A1696" s="43" t="inlineStr">
        <is>
          <t>CTANJZ05510</t>
        </is>
      </c>
      <c r="B1696" s="43" t="inlineStr">
        <is>
          <t>D614346</t>
        </is>
      </c>
      <c r="C1696" s="43" t="inlineStr">
        <is>
          <t>037-STBU</t>
        </is>
      </c>
      <c r="D1696" s="43" t="inlineStr">
        <is>
          <t>FJZP</t>
        </is>
      </c>
      <c r="E1696" s="43" t="inlineStr">
        <is>
          <t>MCGA</t>
        </is>
      </c>
      <c r="F1696" s="43" t="inlineStr">
        <is>
          <t>68-101218-02</t>
        </is>
      </c>
      <c r="G1696" s="43" t="inlineStr">
        <is>
          <t>OTHER_SCOPE_ITEM</t>
        </is>
      </c>
      <c r="H1696" s="43" t="inlineStr"/>
      <c r="I1696" s="43" t="inlineStr">
        <is>
          <t>CCB</t>
        </is>
      </c>
      <c r="J1696" s="32" t="n">
        <v>46385</v>
      </c>
      <c r="K1696" s="32" t="n"/>
      <c r="L1696" s="43" t="inlineStr">
        <is>
          <t>1676</t>
        </is>
      </c>
      <c r="M1696" s="43" t="n">
        <v>1</v>
      </c>
      <c r="N1696" s="33" t="inlineStr"/>
      <c r="O1696" s="43" t="inlineStr">
        <is>
          <t>UNVERIFIED</t>
        </is>
      </c>
      <c r="P1696" s="43" t="inlineStr">
        <is>
          <t>Pending Review</t>
        </is>
      </c>
      <c r="Q1696" s="33" t="inlineStr">
        <is>
          <t>Confirmar SKU/PCBA revision, PN exacto en Common DB, WO, BU, vigencia, planta y aprobacion firmada.</t>
        </is>
      </c>
    </row>
    <row r="1697">
      <c r="A1697" s="43" t="inlineStr">
        <is>
          <t>CTANJZ05510</t>
        </is>
      </c>
      <c r="B1697" s="43" t="inlineStr">
        <is>
          <t>D614346</t>
        </is>
      </c>
      <c r="C1697" s="43" t="inlineStr">
        <is>
          <t>037-STBU</t>
        </is>
      </c>
      <c r="D1697" s="43" t="inlineStr">
        <is>
          <t>FJZP</t>
        </is>
      </c>
      <c r="E1697" s="43" t="inlineStr">
        <is>
          <t>MCGA</t>
        </is>
      </c>
      <c r="F1697" s="43" t="inlineStr">
        <is>
          <t>73-16685-04</t>
        </is>
      </c>
      <c r="G1697" s="43" t="inlineStr">
        <is>
          <t>BOARD_PN_CANDIDATE</t>
        </is>
      </c>
      <c r="H1697" s="43" t="inlineStr"/>
      <c r="I1697" s="43" t="inlineStr">
        <is>
          <t>CCB</t>
        </is>
      </c>
      <c r="J1697" s="32" t="n">
        <v>46385</v>
      </c>
      <c r="K1697" s="32" t="n"/>
      <c r="L1697" s="43" t="inlineStr">
        <is>
          <t>1702</t>
        </is>
      </c>
      <c r="M1697" s="43" t="n">
        <v>1</v>
      </c>
      <c r="N1697" s="33" t="inlineStr"/>
      <c r="O1697" s="43" t="inlineStr">
        <is>
          <t>UNVERIFIED</t>
        </is>
      </c>
      <c r="P1697" s="43" t="inlineStr">
        <is>
          <t>Pending Review</t>
        </is>
      </c>
      <c r="Q1697" s="33" t="inlineStr">
        <is>
          <t>Confirmar SKU/PCBA revision, PN exacto en Common DB, WO, BU, vigencia, planta y aprobacion firmada.</t>
        </is>
      </c>
    </row>
    <row r="1698">
      <c r="A1698" s="43" t="inlineStr">
        <is>
          <t>CTANJZ05510</t>
        </is>
      </c>
      <c r="B1698" s="43" t="inlineStr">
        <is>
          <t>D614346</t>
        </is>
      </c>
      <c r="C1698" s="43" t="inlineStr">
        <is>
          <t>037-STBU</t>
        </is>
      </c>
      <c r="D1698" s="43" t="inlineStr">
        <is>
          <t>FJZP</t>
        </is>
      </c>
      <c r="E1698" s="43" t="inlineStr">
        <is>
          <t>MCGA</t>
        </is>
      </c>
      <c r="F1698" s="43" t="inlineStr">
        <is>
          <t>73-16828-04</t>
        </is>
      </c>
      <c r="G1698" s="43" t="inlineStr">
        <is>
          <t>BOARD_PN_CANDIDATE</t>
        </is>
      </c>
      <c r="H1698" s="43" t="inlineStr"/>
      <c r="I1698" s="43" t="inlineStr">
        <is>
          <t>CCB</t>
        </is>
      </c>
      <c r="J1698" s="32" t="n">
        <v>46385</v>
      </c>
      <c r="K1698" s="32" t="n"/>
      <c r="L1698" s="43" t="inlineStr">
        <is>
          <t>1677</t>
        </is>
      </c>
      <c r="M1698" s="43" t="n">
        <v>1</v>
      </c>
      <c r="N1698" s="33" t="inlineStr"/>
      <c r="O1698" s="43" t="inlineStr">
        <is>
          <t>UNVERIFIED</t>
        </is>
      </c>
      <c r="P1698" s="43" t="inlineStr">
        <is>
          <t>Pending Review</t>
        </is>
      </c>
      <c r="Q1698" s="33" t="inlineStr">
        <is>
          <t>Confirmar SKU/PCBA revision, PN exacto en Common DB, WO, BU, vigencia, planta y aprobacion firmada.</t>
        </is>
      </c>
    </row>
    <row r="1699">
      <c r="A1699" s="43" t="inlineStr">
        <is>
          <t>CTANJZ05510</t>
        </is>
      </c>
      <c r="B1699" s="43" t="inlineStr">
        <is>
          <t>D614346</t>
        </is>
      </c>
      <c r="C1699" s="43" t="inlineStr">
        <is>
          <t>037-STBU</t>
        </is>
      </c>
      <c r="D1699" s="43" t="inlineStr">
        <is>
          <t>FJZP</t>
        </is>
      </c>
      <c r="E1699" s="43" t="inlineStr">
        <is>
          <t>MCGA</t>
        </is>
      </c>
      <c r="F1699" s="43" t="inlineStr">
        <is>
          <t>73-16835-02</t>
        </is>
      </c>
      <c r="G1699" s="43" t="inlineStr">
        <is>
          <t>BOARD_PN_CANDIDATE</t>
        </is>
      </c>
      <c r="H1699" s="43" t="inlineStr"/>
      <c r="I1699" s="43" t="inlineStr">
        <is>
          <t>CCB</t>
        </is>
      </c>
      <c r="J1699" s="32" t="n">
        <v>46385</v>
      </c>
      <c r="K1699" s="32" t="n"/>
      <c r="L1699" s="43" t="inlineStr">
        <is>
          <t>1678</t>
        </is>
      </c>
      <c r="M1699" s="43" t="n">
        <v>1</v>
      </c>
      <c r="N1699" s="33" t="inlineStr"/>
      <c r="O1699" s="43" t="inlineStr">
        <is>
          <t>UNVERIFIED</t>
        </is>
      </c>
      <c r="P1699" s="43" t="inlineStr">
        <is>
          <t>Pending Review</t>
        </is>
      </c>
      <c r="Q1699" s="33" t="inlineStr">
        <is>
          <t>Confirmar SKU/PCBA revision, PN exacto en Common DB, WO, BU, vigencia, planta y aprobacion firmada.</t>
        </is>
      </c>
    </row>
    <row r="1700">
      <c r="A1700" s="43" t="inlineStr">
        <is>
          <t>CTANJZ05510</t>
        </is>
      </c>
      <c r="B1700" s="43" t="inlineStr">
        <is>
          <t>D614346</t>
        </is>
      </c>
      <c r="C1700" s="43" t="inlineStr">
        <is>
          <t>037-STBU</t>
        </is>
      </c>
      <c r="D1700" s="43" t="inlineStr">
        <is>
          <t>FJZP</t>
        </is>
      </c>
      <c r="E1700" s="43" t="inlineStr">
        <is>
          <t>MCGA</t>
        </is>
      </c>
      <c r="F1700" s="43" t="inlineStr">
        <is>
          <t>73-17497-04</t>
        </is>
      </c>
      <c r="G1700" s="43" t="inlineStr">
        <is>
          <t>BOARD_PN_CANDIDATE</t>
        </is>
      </c>
      <c r="H1700" s="43" t="inlineStr"/>
      <c r="I1700" s="43" t="inlineStr">
        <is>
          <t>CCB</t>
        </is>
      </c>
      <c r="J1700" s="32" t="n">
        <v>46385</v>
      </c>
      <c r="K1700" s="32" t="n"/>
      <c r="L1700" s="43" t="inlineStr">
        <is>
          <t>1679</t>
        </is>
      </c>
      <c r="M1700" s="43" t="n">
        <v>1</v>
      </c>
      <c r="N1700" s="33" t="inlineStr"/>
      <c r="O1700" s="43" t="inlineStr">
        <is>
          <t>UNVERIFIED</t>
        </is>
      </c>
      <c r="P1700" s="43" t="inlineStr">
        <is>
          <t>Pending Review</t>
        </is>
      </c>
      <c r="Q1700" s="33" t="inlineStr">
        <is>
          <t>Confirmar SKU/PCBA revision, PN exacto en Common DB, WO, BU, vigencia, planta y aprobacion firmada.</t>
        </is>
      </c>
    </row>
    <row r="1701">
      <c r="A1701" s="43" t="inlineStr">
        <is>
          <t>CTANJZ05510</t>
        </is>
      </c>
      <c r="B1701" s="43" t="inlineStr">
        <is>
          <t>D614346</t>
        </is>
      </c>
      <c r="C1701" s="43" t="inlineStr">
        <is>
          <t>037-STBU</t>
        </is>
      </c>
      <c r="D1701" s="43" t="inlineStr">
        <is>
          <t>FJZP</t>
        </is>
      </c>
      <c r="E1701" s="43" t="inlineStr">
        <is>
          <t>MCGA</t>
        </is>
      </c>
      <c r="F1701" s="43" t="inlineStr">
        <is>
          <t>73-17498-04</t>
        </is>
      </c>
      <c r="G1701" s="43" t="inlineStr">
        <is>
          <t>BOARD_PN_CANDIDATE</t>
        </is>
      </c>
      <c r="H1701" s="43" t="inlineStr"/>
      <c r="I1701" s="43" t="inlineStr">
        <is>
          <t>CCB</t>
        </is>
      </c>
      <c r="J1701" s="32" t="n">
        <v>46385</v>
      </c>
      <c r="K1701" s="32" t="n"/>
      <c r="L1701" s="43" t="inlineStr">
        <is>
          <t>1680</t>
        </is>
      </c>
      <c r="M1701" s="43" t="n">
        <v>1</v>
      </c>
      <c r="N1701" s="33" t="inlineStr"/>
      <c r="O1701" s="43" t="inlineStr">
        <is>
          <t>UNVERIFIED</t>
        </is>
      </c>
      <c r="P1701" s="43" t="inlineStr">
        <is>
          <t>Pending Review</t>
        </is>
      </c>
      <c r="Q1701" s="33" t="inlineStr">
        <is>
          <t>Confirmar SKU/PCBA revision, PN exacto en Common DB, WO, BU, vigencia, planta y aprobacion firmada.</t>
        </is>
      </c>
    </row>
    <row r="1702">
      <c r="A1702" s="43" t="inlineStr">
        <is>
          <t>CTANJZ05510</t>
        </is>
      </c>
      <c r="B1702" s="43" t="inlineStr">
        <is>
          <t>D614346</t>
        </is>
      </c>
      <c r="C1702" s="43" t="inlineStr">
        <is>
          <t>037-STBU</t>
        </is>
      </c>
      <c r="D1702" s="43" t="inlineStr">
        <is>
          <t>FJZP</t>
        </is>
      </c>
      <c r="E1702" s="43" t="inlineStr">
        <is>
          <t>MCGA</t>
        </is>
      </c>
      <c r="F1702" s="43" t="inlineStr">
        <is>
          <t>73-17499-07</t>
        </is>
      </c>
      <c r="G1702" s="43" t="inlineStr">
        <is>
          <t>BOARD_PN_CANDIDATE</t>
        </is>
      </c>
      <c r="H1702" s="43" t="inlineStr"/>
      <c r="I1702" s="43" t="inlineStr">
        <is>
          <t>CCB</t>
        </is>
      </c>
      <c r="J1702" s="32" t="n">
        <v>46385</v>
      </c>
      <c r="K1702" s="32" t="n"/>
      <c r="L1702" s="43" t="inlineStr">
        <is>
          <t>1681</t>
        </is>
      </c>
      <c r="M1702" s="43" t="n">
        <v>1</v>
      </c>
      <c r="N1702" s="33" t="inlineStr"/>
      <c r="O1702" s="43" t="inlineStr">
        <is>
          <t>UNVERIFIED</t>
        </is>
      </c>
      <c r="P1702" s="43" t="inlineStr">
        <is>
          <t>Pending Review</t>
        </is>
      </c>
      <c r="Q1702" s="33" t="inlineStr">
        <is>
          <t>Confirmar SKU/PCBA revision, PN exacto en Common DB, WO, BU, vigencia, planta y aprobacion firmada.</t>
        </is>
      </c>
    </row>
    <row r="1703">
      <c r="A1703" s="43" t="inlineStr">
        <is>
          <t>CTANJZ05510</t>
        </is>
      </c>
      <c r="B1703" s="43" t="inlineStr">
        <is>
          <t>D614346</t>
        </is>
      </c>
      <c r="C1703" s="43" t="inlineStr">
        <is>
          <t>037-STBU</t>
        </is>
      </c>
      <c r="D1703" s="43" t="inlineStr">
        <is>
          <t>FJZP</t>
        </is>
      </c>
      <c r="E1703" s="43" t="inlineStr">
        <is>
          <t>MCGA</t>
        </is>
      </c>
      <c r="F1703" s="43" t="inlineStr">
        <is>
          <t>73-17510-02</t>
        </is>
      </c>
      <c r="G1703" s="43" t="inlineStr">
        <is>
          <t>BOARD_PN_CANDIDATE</t>
        </is>
      </c>
      <c r="H1703" s="43" t="inlineStr"/>
      <c r="I1703" s="43" t="inlineStr">
        <is>
          <t>CCB</t>
        </is>
      </c>
      <c r="J1703" s="32" t="n">
        <v>46385</v>
      </c>
      <c r="K1703" s="32" t="n"/>
      <c r="L1703" s="43" t="inlineStr">
        <is>
          <t>1682</t>
        </is>
      </c>
      <c r="M1703" s="43" t="n">
        <v>1</v>
      </c>
      <c r="N1703" s="33" t="inlineStr"/>
      <c r="O1703" s="43" t="inlineStr">
        <is>
          <t>UNVERIFIED</t>
        </is>
      </c>
      <c r="P1703" s="43" t="inlineStr">
        <is>
          <t>Pending Review</t>
        </is>
      </c>
      <c r="Q1703" s="33" t="inlineStr">
        <is>
          <t>Confirmar SKU/PCBA revision, PN exacto en Common DB, WO, BU, vigencia, planta y aprobacion firmada.</t>
        </is>
      </c>
    </row>
    <row r="1704">
      <c r="A1704" s="43" t="inlineStr">
        <is>
          <t>CTANJZ05510</t>
        </is>
      </c>
      <c r="B1704" s="43" t="inlineStr">
        <is>
          <t>D614346</t>
        </is>
      </c>
      <c r="C1704" s="43" t="inlineStr">
        <is>
          <t>037-STBU</t>
        </is>
      </c>
      <c r="D1704" s="43" t="inlineStr">
        <is>
          <t>FJZP</t>
        </is>
      </c>
      <c r="E1704" s="43" t="inlineStr">
        <is>
          <t>MCGA</t>
        </is>
      </c>
      <c r="F1704" s="43" t="inlineStr">
        <is>
          <t>73-17514-02</t>
        </is>
      </c>
      <c r="G1704" s="43" t="inlineStr">
        <is>
          <t>BOARD_PN_CANDIDATE</t>
        </is>
      </c>
      <c r="H1704" s="43" t="inlineStr"/>
      <c r="I1704" s="43" t="inlineStr">
        <is>
          <t>CCB</t>
        </is>
      </c>
      <c r="J1704" s="32" t="n">
        <v>46385</v>
      </c>
      <c r="K1704" s="32" t="n"/>
      <c r="L1704" s="43" t="inlineStr">
        <is>
          <t>1686</t>
        </is>
      </c>
      <c r="M1704" s="43" t="n">
        <v>1</v>
      </c>
      <c r="N1704" s="33" t="inlineStr"/>
      <c r="O1704" s="43" t="inlineStr">
        <is>
          <t>UNVERIFIED</t>
        </is>
      </c>
      <c r="P1704" s="43" t="inlineStr">
        <is>
          <t>Pending Review</t>
        </is>
      </c>
      <c r="Q1704" s="33" t="inlineStr">
        <is>
          <t>Confirmar SKU/PCBA revision, PN exacto en Common DB, WO, BU, vigencia, planta y aprobacion firmada.</t>
        </is>
      </c>
    </row>
    <row r="1705">
      <c r="A1705" s="43" t="inlineStr">
        <is>
          <t>CTANJZ05510</t>
        </is>
      </c>
      <c r="B1705" s="43" t="inlineStr">
        <is>
          <t>D614346</t>
        </is>
      </c>
      <c r="C1705" s="43" t="inlineStr">
        <is>
          <t>037-STBU</t>
        </is>
      </c>
      <c r="D1705" s="43" t="inlineStr">
        <is>
          <t>FJZP</t>
        </is>
      </c>
      <c r="E1705" s="43" t="inlineStr">
        <is>
          <t>MCGA</t>
        </is>
      </c>
      <c r="F1705" s="43" t="inlineStr">
        <is>
          <t>73-17530-02</t>
        </is>
      </c>
      <c r="G1705" s="43" t="inlineStr">
        <is>
          <t>BOARD_PN_CANDIDATE</t>
        </is>
      </c>
      <c r="H1705" s="43" t="inlineStr"/>
      <c r="I1705" s="43" t="inlineStr">
        <is>
          <t>CCB</t>
        </is>
      </c>
      <c r="J1705" s="32" t="n">
        <v>46385</v>
      </c>
      <c r="K1705" s="32" t="n"/>
      <c r="L1705" s="43" t="inlineStr">
        <is>
          <t>1687</t>
        </is>
      </c>
      <c r="M1705" s="43" t="n">
        <v>1</v>
      </c>
      <c r="N1705" s="33" t="inlineStr"/>
      <c r="O1705" s="43" t="inlineStr">
        <is>
          <t>UNVERIFIED</t>
        </is>
      </c>
      <c r="P1705" s="43" t="inlineStr">
        <is>
          <t>Pending Review</t>
        </is>
      </c>
      <c r="Q1705" s="33" t="inlineStr">
        <is>
          <t>Confirmar SKU/PCBA revision, PN exacto en Common DB, WO, BU, vigencia, planta y aprobacion firmada.</t>
        </is>
      </c>
    </row>
    <row r="1706">
      <c r="A1706" s="43" t="inlineStr">
        <is>
          <t>CTANJZ05510</t>
        </is>
      </c>
      <c r="B1706" s="43" t="inlineStr">
        <is>
          <t>D614346</t>
        </is>
      </c>
      <c r="C1706" s="43" t="inlineStr">
        <is>
          <t>037-STBU</t>
        </is>
      </c>
      <c r="D1706" s="43" t="inlineStr">
        <is>
          <t>FJZP</t>
        </is>
      </c>
      <c r="E1706" s="43" t="inlineStr">
        <is>
          <t>MCGA</t>
        </is>
      </c>
      <c r="F1706" s="43" t="inlineStr">
        <is>
          <t>73-17923-02</t>
        </is>
      </c>
      <c r="G1706" s="43" t="inlineStr">
        <is>
          <t>BOARD_PN_CANDIDATE</t>
        </is>
      </c>
      <c r="H1706" s="43" t="inlineStr"/>
      <c r="I1706" s="43" t="inlineStr">
        <is>
          <t>CCB</t>
        </is>
      </c>
      <c r="J1706" s="32" t="n">
        <v>46385</v>
      </c>
      <c r="K1706" s="32" t="n"/>
      <c r="L1706" s="43" t="inlineStr">
        <is>
          <t>1688</t>
        </is>
      </c>
      <c r="M1706" s="43" t="n">
        <v>1</v>
      </c>
      <c r="N1706" s="33" t="inlineStr"/>
      <c r="O1706" s="43" t="inlineStr">
        <is>
          <t>UNVERIFIED</t>
        </is>
      </c>
      <c r="P1706" s="43" t="inlineStr">
        <is>
          <t>Pending Review</t>
        </is>
      </c>
      <c r="Q1706" s="33" t="inlineStr">
        <is>
          <t>Confirmar SKU/PCBA revision, PN exacto en Common DB, WO, BU, vigencia, planta y aprobacion firmada.</t>
        </is>
      </c>
    </row>
    <row r="1707">
      <c r="A1707" s="43" t="inlineStr">
        <is>
          <t>CTANJZ05510</t>
        </is>
      </c>
      <c r="B1707" s="43" t="inlineStr">
        <is>
          <t>D614346</t>
        </is>
      </c>
      <c r="C1707" s="43" t="inlineStr">
        <is>
          <t>037-STBU</t>
        </is>
      </c>
      <c r="D1707" s="43" t="inlineStr">
        <is>
          <t>FJZP</t>
        </is>
      </c>
      <c r="E1707" s="43" t="inlineStr">
        <is>
          <t>MCGA</t>
        </is>
      </c>
      <c r="F1707" s="43" t="inlineStr">
        <is>
          <t>73-18626-04</t>
        </is>
      </c>
      <c r="G1707" s="43" t="inlineStr">
        <is>
          <t>BOARD_PN_CANDIDATE</t>
        </is>
      </c>
      <c r="H1707" s="43" t="inlineStr"/>
      <c r="I1707" s="43" t="inlineStr">
        <is>
          <t>CCB</t>
        </is>
      </c>
      <c r="J1707" s="32" t="n">
        <v>46385</v>
      </c>
      <c r="K1707" s="32" t="n"/>
      <c r="L1707" s="43" t="inlineStr">
        <is>
          <t>1703</t>
        </is>
      </c>
      <c r="M1707" s="43" t="n">
        <v>1</v>
      </c>
      <c r="N1707" s="33" t="inlineStr"/>
      <c r="O1707" s="43" t="inlineStr">
        <is>
          <t>UNVERIFIED</t>
        </is>
      </c>
      <c r="P1707" s="43" t="inlineStr">
        <is>
          <t>Pending Review</t>
        </is>
      </c>
      <c r="Q1707" s="33" t="inlineStr">
        <is>
          <t>Confirmar SKU/PCBA revision, PN exacto en Common DB, WO, BU, vigencia, planta y aprobacion firmada.</t>
        </is>
      </c>
    </row>
    <row r="1708">
      <c r="A1708" s="43" t="inlineStr">
        <is>
          <t>CTANJZ05510</t>
        </is>
      </c>
      <c r="B1708" s="43" t="inlineStr">
        <is>
          <t>D614346</t>
        </is>
      </c>
      <c r="C1708" s="43" t="inlineStr">
        <is>
          <t>037-STBU</t>
        </is>
      </c>
      <c r="D1708" s="43" t="inlineStr">
        <is>
          <t>FJZP</t>
        </is>
      </c>
      <c r="E1708" s="43" t="inlineStr">
        <is>
          <t>MCGA</t>
        </is>
      </c>
      <c r="F1708" s="43" t="inlineStr">
        <is>
          <t>73-18632-03</t>
        </is>
      </c>
      <c r="G1708" s="43" t="inlineStr">
        <is>
          <t>BOARD_PN_CANDIDATE</t>
        </is>
      </c>
      <c r="H1708" s="43" t="inlineStr"/>
      <c r="I1708" s="43" t="inlineStr">
        <is>
          <t>CCB</t>
        </is>
      </c>
      <c r="J1708" s="32" t="n">
        <v>46385</v>
      </c>
      <c r="K1708" s="32" t="n"/>
      <c r="L1708" s="43" t="inlineStr">
        <is>
          <t>1704</t>
        </is>
      </c>
      <c r="M1708" s="43" t="n">
        <v>1</v>
      </c>
      <c r="N1708" s="33" t="inlineStr"/>
      <c r="O1708" s="43" t="inlineStr">
        <is>
          <t>UNVERIFIED</t>
        </is>
      </c>
      <c r="P1708" s="43" t="inlineStr">
        <is>
          <t>Pending Review</t>
        </is>
      </c>
      <c r="Q1708" s="33" t="inlineStr">
        <is>
          <t>Confirmar SKU/PCBA revision, PN exacto en Common DB, WO, BU, vigencia, planta y aprobacion firmada.</t>
        </is>
      </c>
    </row>
    <row r="1709">
      <c r="A1709" s="43" t="inlineStr">
        <is>
          <t>CTANJZ05510</t>
        </is>
      </c>
      <c r="B1709" s="43" t="inlineStr">
        <is>
          <t>D614346</t>
        </is>
      </c>
      <c r="C1709" s="43" t="inlineStr">
        <is>
          <t>037-STBU</t>
        </is>
      </c>
      <c r="D1709" s="43" t="inlineStr">
        <is>
          <t>FJZP</t>
        </is>
      </c>
      <c r="E1709" s="43" t="inlineStr">
        <is>
          <t>MCGA</t>
        </is>
      </c>
      <c r="F1709" s="43" t="inlineStr">
        <is>
          <t>73-19332-01</t>
        </is>
      </c>
      <c r="G1709" s="43" t="inlineStr">
        <is>
          <t>BOARD_PN_CANDIDATE</t>
        </is>
      </c>
      <c r="H1709" s="43" t="inlineStr"/>
      <c r="I1709" s="43" t="inlineStr">
        <is>
          <t>CCB</t>
        </is>
      </c>
      <c r="J1709" s="32" t="n">
        <v>46385</v>
      </c>
      <c r="K1709" s="32" t="n"/>
      <c r="L1709" s="43" t="inlineStr">
        <is>
          <t>1705</t>
        </is>
      </c>
      <c r="M1709" s="43" t="n">
        <v>1</v>
      </c>
      <c r="N1709" s="33" t="inlineStr"/>
      <c r="O1709" s="43" t="inlineStr">
        <is>
          <t>UNVERIFIED</t>
        </is>
      </c>
      <c r="P1709" s="43" t="inlineStr">
        <is>
          <t>Pending Review</t>
        </is>
      </c>
      <c r="Q1709" s="33" t="inlineStr">
        <is>
          <t>Confirmar SKU/PCBA revision, PN exacto en Common DB, WO, BU, vigencia, planta y aprobacion firmada.</t>
        </is>
      </c>
    </row>
    <row r="1710">
      <c r="A1710" s="43" t="inlineStr">
        <is>
          <t>CTANJZ05510</t>
        </is>
      </c>
      <c r="B1710" s="43" t="inlineStr">
        <is>
          <t>D614346</t>
        </is>
      </c>
      <c r="C1710" s="43" t="inlineStr">
        <is>
          <t>037-STBU</t>
        </is>
      </c>
      <c r="D1710" s="43" t="inlineStr">
        <is>
          <t>FJZP</t>
        </is>
      </c>
      <c r="E1710" s="43" t="inlineStr">
        <is>
          <t>MCGA</t>
        </is>
      </c>
      <c r="F1710" s="43" t="inlineStr">
        <is>
          <t>73-19337-01</t>
        </is>
      </c>
      <c r="G1710" s="43" t="inlineStr">
        <is>
          <t>BOARD_PN_CANDIDATE</t>
        </is>
      </c>
      <c r="H1710" s="43" t="inlineStr"/>
      <c r="I1710" s="43" t="inlineStr">
        <is>
          <t>CCB</t>
        </is>
      </c>
      <c r="J1710" s="32" t="n">
        <v>46385</v>
      </c>
      <c r="K1710" s="32" t="n"/>
      <c r="L1710" s="43" t="inlineStr">
        <is>
          <t>1690</t>
        </is>
      </c>
      <c r="M1710" s="43" t="n">
        <v>1</v>
      </c>
      <c r="N1710" s="33" t="inlineStr"/>
      <c r="O1710" s="43" t="inlineStr">
        <is>
          <t>UNVERIFIED</t>
        </is>
      </c>
      <c r="P1710" s="43" t="inlineStr">
        <is>
          <t>Pending Review</t>
        </is>
      </c>
      <c r="Q1710" s="33" t="inlineStr">
        <is>
          <t>Confirmar SKU/PCBA revision, PN exacto en Common DB, WO, BU, vigencia, planta y aprobacion firmada.</t>
        </is>
      </c>
    </row>
    <row r="1711">
      <c r="A1711" s="43" t="inlineStr">
        <is>
          <t>CTANJZ05510</t>
        </is>
      </c>
      <c r="B1711" s="43" t="inlineStr">
        <is>
          <t>D614346</t>
        </is>
      </c>
      <c r="C1711" s="43" t="inlineStr">
        <is>
          <t>037-STBU</t>
        </is>
      </c>
      <c r="D1711" s="43" t="inlineStr">
        <is>
          <t>FJZP</t>
        </is>
      </c>
      <c r="E1711" s="43" t="inlineStr">
        <is>
          <t>MCGA</t>
        </is>
      </c>
      <c r="F1711" s="43" t="inlineStr">
        <is>
          <t>73-19361-01</t>
        </is>
      </c>
      <c r="G1711" s="43" t="inlineStr">
        <is>
          <t>BOARD_PN_CANDIDATE</t>
        </is>
      </c>
      <c r="H1711" s="43" t="inlineStr"/>
      <c r="I1711" s="43" t="inlineStr">
        <is>
          <t>CCB</t>
        </is>
      </c>
      <c r="J1711" s="32" t="n">
        <v>46385</v>
      </c>
      <c r="K1711" s="32" t="n"/>
      <c r="L1711" s="43" t="inlineStr">
        <is>
          <t>1691</t>
        </is>
      </c>
      <c r="M1711" s="43" t="n">
        <v>1</v>
      </c>
      <c r="N1711" s="33" t="inlineStr"/>
      <c r="O1711" s="43" t="inlineStr">
        <is>
          <t>UNVERIFIED</t>
        </is>
      </c>
      <c r="P1711" s="43" t="inlineStr">
        <is>
          <t>Pending Review</t>
        </is>
      </c>
      <c r="Q1711" s="33" t="inlineStr">
        <is>
          <t>Confirmar SKU/PCBA revision, PN exacto en Common DB, WO, BU, vigencia, planta y aprobacion firmada.</t>
        </is>
      </c>
    </row>
    <row r="1712">
      <c r="A1712" s="43" t="inlineStr">
        <is>
          <t>CTANJZ05510</t>
        </is>
      </c>
      <c r="B1712" s="43" t="inlineStr">
        <is>
          <t>D614346</t>
        </is>
      </c>
      <c r="C1712" s="43" t="inlineStr">
        <is>
          <t>037-STBU</t>
        </is>
      </c>
      <c r="D1712" s="43" t="inlineStr">
        <is>
          <t>FJZP</t>
        </is>
      </c>
      <c r="E1712" s="43" t="inlineStr">
        <is>
          <t>MCGA</t>
        </is>
      </c>
      <c r="F1712" s="43" t="inlineStr">
        <is>
          <t>73-20007-01</t>
        </is>
      </c>
      <c r="G1712" s="43" t="inlineStr">
        <is>
          <t>BOARD_PN_CANDIDATE</t>
        </is>
      </c>
      <c r="H1712" s="43" t="inlineStr"/>
      <c r="I1712" s="43" t="inlineStr">
        <is>
          <t>CCB</t>
        </is>
      </c>
      <c r="J1712" s="32" t="n">
        <v>46385</v>
      </c>
      <c r="K1712" s="32" t="n"/>
      <c r="L1712" s="43" t="inlineStr">
        <is>
          <t>1692</t>
        </is>
      </c>
      <c r="M1712" s="43" t="n">
        <v>1</v>
      </c>
      <c r="N1712" s="33" t="inlineStr"/>
      <c r="O1712" s="43" t="inlineStr">
        <is>
          <t>UNVERIFIED</t>
        </is>
      </c>
      <c r="P1712" s="43" t="inlineStr">
        <is>
          <t>Pending Review</t>
        </is>
      </c>
      <c r="Q1712" s="33" t="inlineStr">
        <is>
          <t>Confirmar SKU/PCBA revision, PN exacto en Common DB, WO, BU, vigencia, planta y aprobacion firmada.</t>
        </is>
      </c>
    </row>
    <row r="1713">
      <c r="A1713" s="43" t="inlineStr">
        <is>
          <t>CTANJZ05510</t>
        </is>
      </c>
      <c r="B1713" s="43" t="inlineStr">
        <is>
          <t>D614346</t>
        </is>
      </c>
      <c r="C1713" s="43" t="inlineStr">
        <is>
          <t>037-STBU</t>
        </is>
      </c>
      <c r="D1713" s="43" t="inlineStr">
        <is>
          <t>FJZP</t>
        </is>
      </c>
      <c r="E1713" s="43" t="inlineStr">
        <is>
          <t>MCGA</t>
        </is>
      </c>
      <c r="F1713" s="43" t="inlineStr">
        <is>
          <t>800-105498-03</t>
        </is>
      </c>
      <c r="G1713" s="43" t="inlineStr">
        <is>
          <t>OTHER_SCOPE_ITEM</t>
        </is>
      </c>
      <c r="H1713" s="43" t="inlineStr"/>
      <c r="I1713" s="43" t="inlineStr">
        <is>
          <t>CCB</t>
        </is>
      </c>
      <c r="J1713" s="32" t="n">
        <v>46385</v>
      </c>
      <c r="K1713" s="32" t="n"/>
      <c r="L1713" s="43" t="inlineStr">
        <is>
          <t>1693</t>
        </is>
      </c>
      <c r="M1713" s="43" t="n">
        <v>1</v>
      </c>
      <c r="N1713" s="33" t="inlineStr"/>
      <c r="O1713" s="43" t="inlineStr">
        <is>
          <t>UNVERIFIED</t>
        </is>
      </c>
      <c r="P1713" s="43" t="inlineStr">
        <is>
          <t>Pending Review</t>
        </is>
      </c>
      <c r="Q1713" s="33" t="inlineStr">
        <is>
          <t>Confirmar SKU/PCBA revision, PN exacto en Common DB, WO, BU, vigencia, planta y aprobacion firmada.</t>
        </is>
      </c>
    </row>
    <row r="1714">
      <c r="A1714" s="43" t="inlineStr">
        <is>
          <t>CTANJZ05510</t>
        </is>
      </c>
      <c r="B1714" s="43" t="inlineStr">
        <is>
          <t>D614346</t>
        </is>
      </c>
      <c r="C1714" s="43" t="inlineStr">
        <is>
          <t>037-STBU</t>
        </is>
      </c>
      <c r="D1714" s="43" t="inlineStr">
        <is>
          <t>FJZP</t>
        </is>
      </c>
      <c r="E1714" s="43" t="inlineStr">
        <is>
          <t>MCGA</t>
        </is>
      </c>
      <c r="F1714" s="43" t="inlineStr">
        <is>
          <t>800-105500-03</t>
        </is>
      </c>
      <c r="G1714" s="43" t="inlineStr">
        <is>
          <t>OTHER_SCOPE_ITEM</t>
        </is>
      </c>
      <c r="H1714" s="43" t="inlineStr"/>
      <c r="I1714" s="43" t="inlineStr">
        <is>
          <t>CCB</t>
        </is>
      </c>
      <c r="J1714" s="32" t="n">
        <v>46385</v>
      </c>
      <c r="K1714" s="32" t="n"/>
      <c r="L1714" s="43" t="inlineStr">
        <is>
          <t>1694</t>
        </is>
      </c>
      <c r="M1714" s="43" t="n">
        <v>1</v>
      </c>
      <c r="N1714" s="33" t="inlineStr"/>
      <c r="O1714" s="43" t="inlineStr">
        <is>
          <t>UNVERIFIED</t>
        </is>
      </c>
      <c r="P1714" s="43" t="inlineStr">
        <is>
          <t>Pending Review</t>
        </is>
      </c>
      <c r="Q1714" s="33" t="inlineStr">
        <is>
          <t>Confirmar SKU/PCBA revision, PN exacto en Common DB, WO, BU, vigencia, planta y aprobacion firmada.</t>
        </is>
      </c>
    </row>
    <row r="1715">
      <c r="A1715" s="43" t="inlineStr">
        <is>
          <t>CTANJZ05510</t>
        </is>
      </c>
      <c r="B1715" s="43" t="inlineStr">
        <is>
          <t>D614346</t>
        </is>
      </c>
      <c r="C1715" s="43" t="inlineStr">
        <is>
          <t>037-STBU</t>
        </is>
      </c>
      <c r="D1715" s="43" t="inlineStr">
        <is>
          <t>FJZP</t>
        </is>
      </c>
      <c r="E1715" s="43" t="inlineStr">
        <is>
          <t>MCGA</t>
        </is>
      </c>
      <c r="F1715" s="43" t="inlineStr">
        <is>
          <t>800-106754-02</t>
        </is>
      </c>
      <c r="G1715" s="43" t="inlineStr">
        <is>
          <t>OTHER_SCOPE_ITEM</t>
        </is>
      </c>
      <c r="H1715" s="43" t="inlineStr"/>
      <c r="I1715" s="43" t="inlineStr">
        <is>
          <t>CCB</t>
        </is>
      </c>
      <c r="J1715" s="32" t="n">
        <v>46385</v>
      </c>
      <c r="K1715" s="32" t="n"/>
      <c r="L1715" s="43" t="inlineStr">
        <is>
          <t>1706</t>
        </is>
      </c>
      <c r="M1715" s="43" t="n">
        <v>1</v>
      </c>
      <c r="N1715" s="33" t="inlineStr"/>
      <c r="O1715" s="43" t="inlineStr">
        <is>
          <t>UNVERIFIED</t>
        </is>
      </c>
      <c r="P1715" s="43" t="inlineStr">
        <is>
          <t>Pending Review</t>
        </is>
      </c>
      <c r="Q1715" s="33" t="inlineStr">
        <is>
          <t>Confirmar SKU/PCBA revision, PN exacto en Common DB, WO, BU, vigencia, planta y aprobacion firmada.</t>
        </is>
      </c>
    </row>
    <row r="1716">
      <c r="A1716" s="43" t="inlineStr">
        <is>
          <t>CTANJZ05512</t>
        </is>
      </c>
      <c r="B1716" s="43" t="inlineStr">
        <is>
          <t>D613970</t>
        </is>
      </c>
      <c r="C1716" s="43" t="inlineStr">
        <is>
          <t>037-STBU</t>
        </is>
      </c>
      <c r="D1716" s="43" t="inlineStr">
        <is>
          <t>FJZP</t>
        </is>
      </c>
      <c r="E1716" s="43" t="inlineStr">
        <is>
          <t>MCGA</t>
        </is>
      </c>
      <c r="F1716" s="43" t="inlineStr">
        <is>
          <t>72-101965-01</t>
        </is>
      </c>
      <c r="G1716" s="43" t="inlineStr">
        <is>
          <t>OTHER_SCOPE_ITEM</t>
        </is>
      </c>
      <c r="H1716" s="43" t="inlineStr"/>
      <c r="I1716" s="43" t="inlineStr">
        <is>
          <t>CCB</t>
        </is>
      </c>
      <c r="J1716" s="32" t="n">
        <v>46387</v>
      </c>
      <c r="K1716" s="32" t="n"/>
      <c r="L1716" s="43" t="inlineStr">
        <is>
          <t>1359</t>
        </is>
      </c>
      <c r="M1716" s="43" t="n">
        <v>1</v>
      </c>
      <c r="N1716" s="33" t="inlineStr"/>
      <c r="O1716" s="43" t="inlineStr">
        <is>
          <t>UNVERIFIED</t>
        </is>
      </c>
      <c r="P1716" s="43" t="inlineStr">
        <is>
          <t>Pending Review</t>
        </is>
      </c>
      <c r="Q1716" s="33" t="inlineStr">
        <is>
          <t>Confirmar SKU/PCBA revision, PN exacto en Common DB, WO, BU, vigencia, planta y aprobacion firmada.</t>
        </is>
      </c>
    </row>
    <row r="1717">
      <c r="A1717" s="43" t="inlineStr">
        <is>
          <t>CTANJZ05512</t>
        </is>
      </c>
      <c r="B1717" s="43" t="inlineStr">
        <is>
          <t>D613970</t>
        </is>
      </c>
      <c r="C1717" s="43" t="inlineStr">
        <is>
          <t>037-STBU</t>
        </is>
      </c>
      <c r="D1717" s="43" t="inlineStr">
        <is>
          <t>FJZP</t>
        </is>
      </c>
      <c r="E1717" s="43" t="inlineStr">
        <is>
          <t>MCGA</t>
        </is>
      </c>
      <c r="F1717" s="43" t="inlineStr">
        <is>
          <t>800-50107-02</t>
        </is>
      </c>
      <c r="G1717" s="43" t="inlineStr">
        <is>
          <t>OTHER_SCOPE_ITEM</t>
        </is>
      </c>
      <c r="H1717" s="43" t="inlineStr"/>
      <c r="I1717" s="43" t="inlineStr">
        <is>
          <t>CCB</t>
        </is>
      </c>
      <c r="J1717" s="32" t="n">
        <v>46387</v>
      </c>
      <c r="K1717" s="32" t="n"/>
      <c r="L1717" s="43" t="inlineStr">
        <is>
          <t>1360</t>
        </is>
      </c>
      <c r="M1717" s="43" t="n">
        <v>1</v>
      </c>
      <c r="N1717" s="33" t="inlineStr"/>
      <c r="O1717" s="43" t="inlineStr">
        <is>
          <t>UNVERIFIED</t>
        </is>
      </c>
      <c r="P1717" s="43" t="inlineStr">
        <is>
          <t>Pending Review</t>
        </is>
      </c>
      <c r="Q1717" s="33" t="inlineStr">
        <is>
          <t>Confirmar SKU/PCBA revision, PN exacto en Common DB, WO, BU, vigencia, planta y aprobacion firmada.</t>
        </is>
      </c>
    </row>
    <row r="1718">
      <c r="A1718" s="43" t="inlineStr">
        <is>
          <t>CTANJZ05513</t>
        </is>
      </c>
      <c r="B1718" s="43" t="inlineStr">
        <is>
          <t>D614398</t>
        </is>
      </c>
      <c r="C1718" s="43" t="inlineStr">
        <is>
          <t>035-CVEBU</t>
        </is>
      </c>
      <c r="D1718" s="43" t="inlineStr">
        <is>
          <t>FJZP</t>
        </is>
      </c>
      <c r="E1718" s="43" t="inlineStr">
        <is>
          <t>MCGA</t>
        </is>
      </c>
      <c r="F1718" s="43" t="inlineStr">
        <is>
          <t>15-108939-01</t>
        </is>
      </c>
      <c r="G1718" s="43" t="inlineStr">
        <is>
          <t>OTHER_SCOPE_ITEM</t>
        </is>
      </c>
      <c r="H1718" s="43" t="inlineStr"/>
      <c r="I1718" s="43" t="inlineStr">
        <is>
          <t>Implementation</t>
        </is>
      </c>
      <c r="J1718" s="32" t="n">
        <v>46390</v>
      </c>
      <c r="K1718" s="32" t="n">
        <v>46310</v>
      </c>
      <c r="L1718" s="43" t="inlineStr">
        <is>
          <t>1356</t>
        </is>
      </c>
      <c r="M1718" s="43" t="n">
        <v>1</v>
      </c>
      <c r="N1718" s="33" t="inlineStr"/>
      <c r="O1718" s="43" t="inlineStr">
        <is>
          <t>UNVERIFIED</t>
        </is>
      </c>
      <c r="P1718" s="43" t="inlineStr">
        <is>
          <t>Pending Review</t>
        </is>
      </c>
      <c r="Q1718" s="33" t="inlineStr">
        <is>
          <t>Confirmar SKU/PCBA revision, PN exacto en Common DB, WO, BU, vigencia, planta y aprobacion firmada.</t>
        </is>
      </c>
    </row>
    <row r="1719">
      <c r="A1719" s="43" t="inlineStr">
        <is>
          <t>CTANJZ05513</t>
        </is>
      </c>
      <c r="B1719" s="43" t="inlineStr">
        <is>
          <t>D614398</t>
        </is>
      </c>
      <c r="C1719" s="43" t="inlineStr">
        <is>
          <t>035-CVEBU</t>
        </is>
      </c>
      <c r="D1719" s="43" t="inlineStr">
        <is>
          <t>FJZP</t>
        </is>
      </c>
      <c r="E1719" s="43" t="inlineStr">
        <is>
          <t>MCGA</t>
        </is>
      </c>
      <c r="F1719" s="43" t="inlineStr">
        <is>
          <t>73-103698-06</t>
        </is>
      </c>
      <c r="G1719" s="43" t="inlineStr">
        <is>
          <t>BOARD_PN_CANDIDATE</t>
        </is>
      </c>
      <c r="H1719" s="43" t="inlineStr"/>
      <c r="I1719" s="43" t="inlineStr">
        <is>
          <t>Implementation</t>
        </is>
      </c>
      <c r="J1719" s="32" t="n">
        <v>46390</v>
      </c>
      <c r="K1719" s="32" t="n">
        <v>46310</v>
      </c>
      <c r="L1719" s="43" t="inlineStr">
        <is>
          <t>1357</t>
        </is>
      </c>
      <c r="M1719" s="43" t="n">
        <v>1</v>
      </c>
      <c r="N1719" s="33" t="inlineStr"/>
      <c r="O1719" s="43" t="inlineStr">
        <is>
          <t>UNVERIFIED</t>
        </is>
      </c>
      <c r="P1719" s="43" t="inlineStr">
        <is>
          <t>Pending Review</t>
        </is>
      </c>
      <c r="Q1719" s="33" t="inlineStr">
        <is>
          <t>Confirmar SKU/PCBA revision, PN exacto en Common DB, WO, BU, vigencia, planta y aprobacion firmada.</t>
        </is>
      </c>
    </row>
    <row r="1720">
      <c r="A1720" s="43" t="inlineStr">
        <is>
          <t>CTANJZ05513</t>
        </is>
      </c>
      <c r="B1720" s="43" t="inlineStr">
        <is>
          <t>D614398</t>
        </is>
      </c>
      <c r="C1720" s="43" t="inlineStr">
        <is>
          <t>035-CVEBU</t>
        </is>
      </c>
      <c r="D1720" s="43" t="inlineStr">
        <is>
          <t>FJZP</t>
        </is>
      </c>
      <c r="E1720" s="43" t="inlineStr">
        <is>
          <t>MCGA</t>
        </is>
      </c>
      <c r="F1720" s="43" t="inlineStr">
        <is>
          <t>73-103940-06</t>
        </is>
      </c>
      <c r="G1720" s="43" t="inlineStr">
        <is>
          <t>BOARD_PN_CANDIDATE</t>
        </is>
      </c>
      <c r="H1720" s="43" t="inlineStr"/>
      <c r="I1720" s="43" t="inlineStr">
        <is>
          <t>Implementation</t>
        </is>
      </c>
      <c r="J1720" s="32" t="n">
        <v>46390</v>
      </c>
      <c r="K1720" s="32" t="n">
        <v>46310</v>
      </c>
      <c r="L1720" s="43" t="inlineStr">
        <is>
          <t>1358</t>
        </is>
      </c>
      <c r="M1720" s="43" t="n">
        <v>1</v>
      </c>
      <c r="N1720" s="33" t="inlineStr"/>
      <c r="O1720" s="43" t="inlineStr">
        <is>
          <t>UNVERIFIED</t>
        </is>
      </c>
      <c r="P1720" s="43" t="inlineStr">
        <is>
          <t>Pending Review</t>
        </is>
      </c>
      <c r="Q1720" s="33" t="inlineStr">
        <is>
          <t>Confirmar SKU/PCBA revision, PN exacto en Common DB, WO, BU, vigencia, planta y aprobacion firmada.</t>
        </is>
      </c>
    </row>
    <row r="1721">
      <c r="A1721" s="43" t="inlineStr">
        <is>
          <t>CTANJZ05514</t>
        </is>
      </c>
      <c r="B1721" s="43" t="inlineStr">
        <is>
          <t>D613278</t>
        </is>
      </c>
      <c r="C1721" s="43" t="inlineStr">
        <is>
          <t>037-STBU</t>
        </is>
      </c>
      <c r="D1721" s="43" t="inlineStr">
        <is>
          <t>FJZP</t>
        </is>
      </c>
      <c r="E1721" s="43" t="inlineStr">
        <is>
          <t>MCGA</t>
        </is>
      </c>
      <c r="F1721" s="43" t="inlineStr">
        <is>
          <t>17-102040-06</t>
        </is>
      </c>
      <c r="G1721" s="43" t="inlineStr">
        <is>
          <t>OTHER_SCOPE_ITEM</t>
        </is>
      </c>
      <c r="H1721" s="43" t="inlineStr"/>
      <c r="I1721" s="43" t="inlineStr">
        <is>
          <t>CCB</t>
        </is>
      </c>
      <c r="J1721" s="32" t="n">
        <v>46390</v>
      </c>
      <c r="K1721" s="32" t="n"/>
      <c r="L1721" s="43" t="inlineStr">
        <is>
          <t>1880</t>
        </is>
      </c>
      <c r="M1721" s="43" t="n">
        <v>1</v>
      </c>
      <c r="N1721" s="33" t="inlineStr"/>
      <c r="O1721" s="43" t="inlineStr">
        <is>
          <t>UNVERIFIED</t>
        </is>
      </c>
      <c r="P1721" s="43" t="inlineStr">
        <is>
          <t>Pending Review</t>
        </is>
      </c>
      <c r="Q1721" s="33" t="inlineStr">
        <is>
          <t>Confirmar SKU/PCBA revision, PN exacto en Common DB, WO, BU, vigencia, planta y aprobacion firmada.</t>
        </is>
      </c>
    </row>
    <row r="1722">
      <c r="A1722" s="43" t="inlineStr">
        <is>
          <t>CTANJZ05514</t>
        </is>
      </c>
      <c r="B1722" s="43" t="inlineStr">
        <is>
          <t>D613278</t>
        </is>
      </c>
      <c r="C1722" s="43" t="inlineStr">
        <is>
          <t>037-STBU</t>
        </is>
      </c>
      <c r="D1722" s="43" t="inlineStr">
        <is>
          <t>FJZP</t>
        </is>
      </c>
      <c r="E1722" s="43" t="inlineStr">
        <is>
          <t>MCGA</t>
        </is>
      </c>
      <c r="F1722" s="43" t="inlineStr">
        <is>
          <t>73-20247-06</t>
        </is>
      </c>
      <c r="G1722" s="43" t="inlineStr">
        <is>
          <t>BOARD_PN_CANDIDATE</t>
        </is>
      </c>
      <c r="H1722" s="43" t="inlineStr">
        <is>
          <t>TUFNELL PARK</t>
        </is>
      </c>
      <c r="I1722" s="43" t="inlineStr">
        <is>
          <t>CCB</t>
        </is>
      </c>
      <c r="J1722" s="32" t="n">
        <v>46390</v>
      </c>
      <c r="K1722" s="32" t="n"/>
      <c r="L1722" s="43" t="inlineStr">
        <is>
          <t>1881</t>
        </is>
      </c>
      <c r="M1722" s="43" t="n">
        <v>1</v>
      </c>
      <c r="N1722" s="33" t="inlineStr"/>
      <c r="O1722" s="43" t="inlineStr">
        <is>
          <t>UNVERIFIED</t>
        </is>
      </c>
      <c r="P1722" s="43" t="inlineStr">
        <is>
          <t>Pending Review</t>
        </is>
      </c>
      <c r="Q1722" s="33" t="inlineStr">
        <is>
          <t>Confirmar SKU/PCBA revision, PN exacto en Common DB, WO, BU, vigencia, planta y aprobacion firmada.</t>
        </is>
      </c>
    </row>
    <row r="1723">
      <c r="A1723" s="43" t="inlineStr">
        <is>
          <t>CTANJZ05514</t>
        </is>
      </c>
      <c r="B1723" s="43" t="inlineStr">
        <is>
          <t>D613278</t>
        </is>
      </c>
      <c r="C1723" s="43" t="inlineStr">
        <is>
          <t>037-STBU</t>
        </is>
      </c>
      <c r="D1723" s="43" t="inlineStr">
        <is>
          <t>FJZP</t>
        </is>
      </c>
      <c r="E1723" s="43" t="inlineStr">
        <is>
          <t>MCGA</t>
        </is>
      </c>
      <c r="F1723" s="43" t="inlineStr">
        <is>
          <t>73-20249-06</t>
        </is>
      </c>
      <c r="G1723" s="43" t="inlineStr">
        <is>
          <t>BOARD_PN_CANDIDATE</t>
        </is>
      </c>
      <c r="H1723" s="43" t="inlineStr">
        <is>
          <t>TUFNELL PARK</t>
        </is>
      </c>
      <c r="I1723" s="43" t="inlineStr">
        <is>
          <t>CCB</t>
        </is>
      </c>
      <c r="J1723" s="32" t="n">
        <v>46390</v>
      </c>
      <c r="K1723" s="32" t="n"/>
      <c r="L1723" s="43" t="inlineStr">
        <is>
          <t>1882</t>
        </is>
      </c>
      <c r="M1723" s="43" t="n">
        <v>1</v>
      </c>
      <c r="N1723" s="33" t="inlineStr"/>
      <c r="O1723" s="43" t="inlineStr">
        <is>
          <t>UNVERIFIED</t>
        </is>
      </c>
      <c r="P1723" s="43" t="inlineStr">
        <is>
          <t>Pending Review</t>
        </is>
      </c>
      <c r="Q1723" s="33" t="inlineStr">
        <is>
          <t>Confirmar SKU/PCBA revision, PN exacto en Common DB, WO, BU, vigencia, planta y aprobacion firmada.</t>
        </is>
      </c>
    </row>
    <row r="1724">
      <c r="A1724" s="43" t="inlineStr">
        <is>
          <t>CTANJZ05515</t>
        </is>
      </c>
      <c r="B1724" s="43" t="inlineStr">
        <is>
          <t>D614056</t>
        </is>
      </c>
      <c r="C1724" s="43" t="inlineStr">
        <is>
          <t>037-STBU</t>
        </is>
      </c>
      <c r="D1724" s="43" t="inlineStr">
        <is>
          <t>FJZP</t>
        </is>
      </c>
      <c r="E1724" s="43" t="inlineStr">
        <is>
          <t>MCGA</t>
        </is>
      </c>
      <c r="F1724" s="43" t="inlineStr">
        <is>
          <t>16-102133-01</t>
        </is>
      </c>
      <c r="G1724" s="43" t="inlineStr">
        <is>
          <t>OTHER_SCOPE_ITEM</t>
        </is>
      </c>
      <c r="H1724" s="43" t="inlineStr"/>
      <c r="I1724" s="43" t="inlineStr">
        <is>
          <t>CCB</t>
        </is>
      </c>
      <c r="J1724" s="32" t="n">
        <v>46391</v>
      </c>
      <c r="K1724" s="32" t="n"/>
      <c r="L1724" s="43" t="inlineStr">
        <is>
          <t>1335</t>
        </is>
      </c>
      <c r="M1724" s="43" t="n">
        <v>1</v>
      </c>
      <c r="N1724" s="33" t="inlineStr"/>
      <c r="O1724" s="43" t="inlineStr">
        <is>
          <t>UNVERIFIED</t>
        </is>
      </c>
      <c r="P1724" s="43" t="inlineStr">
        <is>
          <t>Pending Review</t>
        </is>
      </c>
      <c r="Q1724" s="33" t="inlineStr">
        <is>
          <t>Confirmar SKU/PCBA revision, PN exacto en Common DB, WO, BU, vigencia, planta y aprobacion firmada.</t>
        </is>
      </c>
    </row>
    <row r="1725">
      <c r="A1725" s="43" t="inlineStr">
        <is>
          <t>CTANJZ05515</t>
        </is>
      </c>
      <c r="B1725" s="43" t="inlineStr">
        <is>
          <t>D614056</t>
        </is>
      </c>
      <c r="C1725" s="43" t="inlineStr">
        <is>
          <t>037-STBU</t>
        </is>
      </c>
      <c r="D1725" s="43" t="inlineStr">
        <is>
          <t>FJZP</t>
        </is>
      </c>
      <c r="E1725" s="43" t="inlineStr">
        <is>
          <t>MCGA</t>
        </is>
      </c>
      <c r="F1725" s="43" t="inlineStr">
        <is>
          <t>16-4194-01</t>
        </is>
      </c>
      <c r="G1725" s="43" t="inlineStr">
        <is>
          <t>OTHER_SCOPE_ITEM</t>
        </is>
      </c>
      <c r="H1725" s="43" t="inlineStr"/>
      <c r="I1725" s="43" t="inlineStr">
        <is>
          <t>CCB</t>
        </is>
      </c>
      <c r="J1725" s="32" t="n">
        <v>46391</v>
      </c>
      <c r="K1725" s="32" t="n"/>
      <c r="L1725" s="43" t="inlineStr">
        <is>
          <t>1336</t>
        </is>
      </c>
      <c r="M1725" s="43" t="n">
        <v>1</v>
      </c>
      <c r="N1725" s="33" t="inlineStr"/>
      <c r="O1725" s="43" t="inlineStr">
        <is>
          <t>UNVERIFIED</t>
        </is>
      </c>
      <c r="P1725" s="43" t="inlineStr">
        <is>
          <t>Pending Review</t>
        </is>
      </c>
      <c r="Q1725" s="33" t="inlineStr">
        <is>
          <t>Confirmar SKU/PCBA revision, PN exacto en Common DB, WO, BU, vigencia, planta y aprobacion firmada.</t>
        </is>
      </c>
    </row>
    <row r="1726">
      <c r="A1726" s="43" t="inlineStr">
        <is>
          <t>CTANJZ05515</t>
        </is>
      </c>
      <c r="B1726" s="43" t="inlineStr">
        <is>
          <t>D614056</t>
        </is>
      </c>
      <c r="C1726" s="43" t="inlineStr">
        <is>
          <t>037-STBU</t>
        </is>
      </c>
      <c r="D1726" s="43" t="inlineStr">
        <is>
          <t>FJZP</t>
        </is>
      </c>
      <c r="E1726" s="43" t="inlineStr">
        <is>
          <t>MCGA</t>
        </is>
      </c>
      <c r="F1726" s="43" t="inlineStr">
        <is>
          <t>16-4194-02</t>
        </is>
      </c>
      <c r="G1726" s="43" t="inlineStr">
        <is>
          <t>OTHER_SCOPE_ITEM</t>
        </is>
      </c>
      <c r="H1726" s="43" t="inlineStr"/>
      <c r="I1726" s="43" t="inlineStr">
        <is>
          <t>CCB</t>
        </is>
      </c>
      <c r="J1726" s="32" t="n">
        <v>46391</v>
      </c>
      <c r="K1726" s="32" t="n"/>
      <c r="L1726" s="43" t="inlineStr">
        <is>
          <t>1337</t>
        </is>
      </c>
      <c r="M1726" s="43" t="n">
        <v>1</v>
      </c>
      <c r="N1726" s="33" t="inlineStr"/>
      <c r="O1726" s="43" t="inlineStr">
        <is>
          <t>UNVERIFIED</t>
        </is>
      </c>
      <c r="P1726" s="43" t="inlineStr">
        <is>
          <t>Pending Review</t>
        </is>
      </c>
      <c r="Q1726" s="33" t="inlineStr">
        <is>
          <t>Confirmar SKU/PCBA revision, PN exacto en Common DB, WO, BU, vigencia, planta y aprobacion firmada.</t>
        </is>
      </c>
    </row>
    <row r="1727">
      <c r="A1727" s="43" t="inlineStr">
        <is>
          <t>CTANJZ05515</t>
        </is>
      </c>
      <c r="B1727" s="43" t="inlineStr">
        <is>
          <t>D614056</t>
        </is>
      </c>
      <c r="C1727" s="43" t="inlineStr">
        <is>
          <t>037-STBU</t>
        </is>
      </c>
      <c r="D1727" s="43" t="inlineStr">
        <is>
          <t>FJZP</t>
        </is>
      </c>
      <c r="E1727" s="43" t="inlineStr">
        <is>
          <t>MCGA</t>
        </is>
      </c>
      <c r="F1727" s="43" t="inlineStr">
        <is>
          <t>73-102433-05</t>
        </is>
      </c>
      <c r="G1727" s="43" t="inlineStr">
        <is>
          <t>BOARD_PN_CANDIDATE</t>
        </is>
      </c>
      <c r="H1727" s="43" t="inlineStr"/>
      <c r="I1727" s="43" t="inlineStr">
        <is>
          <t>CCB</t>
        </is>
      </c>
      <c r="J1727" s="32" t="n">
        <v>46391</v>
      </c>
      <c r="K1727" s="32" t="n"/>
      <c r="L1727" s="43" t="inlineStr">
        <is>
          <t>1338</t>
        </is>
      </c>
      <c r="M1727" s="43" t="n">
        <v>1</v>
      </c>
      <c r="N1727" s="33" t="inlineStr"/>
      <c r="O1727" s="43" t="inlineStr">
        <is>
          <t>UNVERIFIED</t>
        </is>
      </c>
      <c r="P1727" s="43" t="inlineStr">
        <is>
          <t>Pending Review</t>
        </is>
      </c>
      <c r="Q1727" s="33" t="inlineStr">
        <is>
          <t>Confirmar SKU/PCBA revision, PN exacto en Common DB, WO, BU, vigencia, planta y aprobacion firmada.</t>
        </is>
      </c>
    </row>
    <row r="1728">
      <c r="A1728" s="43" t="inlineStr">
        <is>
          <t>CTANJZ05515</t>
        </is>
      </c>
      <c r="B1728" s="43" t="inlineStr">
        <is>
          <t>D614056</t>
        </is>
      </c>
      <c r="C1728" s="43" t="inlineStr">
        <is>
          <t>037-STBU</t>
        </is>
      </c>
      <c r="D1728" s="43" t="inlineStr">
        <is>
          <t>FJZP</t>
        </is>
      </c>
      <c r="E1728" s="43" t="inlineStr">
        <is>
          <t>MCGA</t>
        </is>
      </c>
      <c r="F1728" s="43" t="inlineStr">
        <is>
          <t>73-102434-05</t>
        </is>
      </c>
      <c r="G1728" s="43" t="inlineStr">
        <is>
          <t>BOARD_PN_CANDIDATE</t>
        </is>
      </c>
      <c r="H1728" s="43" t="inlineStr"/>
      <c r="I1728" s="43" t="inlineStr">
        <is>
          <t>CCB</t>
        </is>
      </c>
      <c r="J1728" s="32" t="n">
        <v>46391</v>
      </c>
      <c r="K1728" s="32" t="n"/>
      <c r="L1728" s="43" t="inlineStr">
        <is>
          <t>1339</t>
        </is>
      </c>
      <c r="M1728" s="43" t="n">
        <v>1</v>
      </c>
      <c r="N1728" s="33" t="inlineStr"/>
      <c r="O1728" s="43" t="inlineStr">
        <is>
          <t>UNVERIFIED</t>
        </is>
      </c>
      <c r="P1728" s="43" t="inlineStr">
        <is>
          <t>Pending Review</t>
        </is>
      </c>
      <c r="Q1728" s="33" t="inlineStr">
        <is>
          <t>Confirmar SKU/PCBA revision, PN exacto en Common DB, WO, BU, vigencia, planta y aprobacion firmada.</t>
        </is>
      </c>
    </row>
    <row r="1729">
      <c r="A1729" s="43" t="inlineStr">
        <is>
          <t>CTANJZ05515</t>
        </is>
      </c>
      <c r="B1729" s="43" t="inlineStr">
        <is>
          <t>D614056</t>
        </is>
      </c>
      <c r="C1729" s="43" t="inlineStr">
        <is>
          <t>037-STBU</t>
        </is>
      </c>
      <c r="D1729" s="43" t="inlineStr">
        <is>
          <t>FJZP</t>
        </is>
      </c>
      <c r="E1729" s="43" t="inlineStr">
        <is>
          <t>MCGA</t>
        </is>
      </c>
      <c r="F1729" s="43" t="inlineStr">
        <is>
          <t>73-102435-05</t>
        </is>
      </c>
      <c r="G1729" s="43" t="inlineStr">
        <is>
          <t>BOARD_PN_CANDIDATE</t>
        </is>
      </c>
      <c r="H1729" s="43" t="inlineStr"/>
      <c r="I1729" s="43" t="inlineStr">
        <is>
          <t>CCB</t>
        </is>
      </c>
      <c r="J1729" s="32" t="n">
        <v>46391</v>
      </c>
      <c r="K1729" s="32" t="n"/>
      <c r="L1729" s="43" t="inlineStr">
        <is>
          <t>1340</t>
        </is>
      </c>
      <c r="M1729" s="43" t="n">
        <v>1</v>
      </c>
      <c r="N1729" s="33" t="inlineStr"/>
      <c r="O1729" s="43" t="inlineStr">
        <is>
          <t>UNVERIFIED</t>
        </is>
      </c>
      <c r="P1729" s="43" t="inlineStr">
        <is>
          <t>Pending Review</t>
        </is>
      </c>
      <c r="Q1729" s="33" t="inlineStr">
        <is>
          <t>Confirmar SKU/PCBA revision, PN exacto en Common DB, WO, BU, vigencia, planta y aprobacion firmada.</t>
        </is>
      </c>
    </row>
    <row r="1730">
      <c r="A1730" s="43" t="inlineStr">
        <is>
          <t>CTANJZ05515</t>
        </is>
      </c>
      <c r="B1730" s="43" t="inlineStr">
        <is>
          <t>D614056</t>
        </is>
      </c>
      <c r="C1730" s="43" t="inlineStr">
        <is>
          <t>037-STBU</t>
        </is>
      </c>
      <c r="D1730" s="43" t="inlineStr">
        <is>
          <t>FJZP</t>
        </is>
      </c>
      <c r="E1730" s="43" t="inlineStr">
        <is>
          <t>MCGA</t>
        </is>
      </c>
      <c r="F1730" s="43" t="inlineStr">
        <is>
          <t>73-103557-04</t>
        </is>
      </c>
      <c r="G1730" s="43" t="inlineStr">
        <is>
          <t>BOARD_PN_CANDIDATE</t>
        </is>
      </c>
      <c r="H1730" s="43" t="inlineStr"/>
      <c r="I1730" s="43" t="inlineStr">
        <is>
          <t>CCB</t>
        </is>
      </c>
      <c r="J1730" s="32" t="n">
        <v>46391</v>
      </c>
      <c r="K1730" s="32" t="n"/>
      <c r="L1730" s="43" t="inlineStr">
        <is>
          <t>1341</t>
        </is>
      </c>
      <c r="M1730" s="43" t="n">
        <v>1</v>
      </c>
      <c r="N1730" s="33" t="inlineStr"/>
      <c r="O1730" s="43" t="inlineStr">
        <is>
          <t>UNVERIFIED</t>
        </is>
      </c>
      <c r="P1730" s="43" t="inlineStr">
        <is>
          <t>Pending Review</t>
        </is>
      </c>
      <c r="Q1730" s="33" t="inlineStr">
        <is>
          <t>Confirmar SKU/PCBA revision, PN exacto en Common DB, WO, BU, vigencia, planta y aprobacion firmada.</t>
        </is>
      </c>
    </row>
    <row r="1731">
      <c r="A1731" s="43" t="inlineStr">
        <is>
          <t>CTANJZ05515</t>
        </is>
      </c>
      <c r="B1731" s="43" t="inlineStr">
        <is>
          <t>D614056</t>
        </is>
      </c>
      <c r="C1731" s="43" t="inlineStr">
        <is>
          <t>037-STBU</t>
        </is>
      </c>
      <c r="D1731" s="43" t="inlineStr">
        <is>
          <t>FJZP</t>
        </is>
      </c>
      <c r="E1731" s="43" t="inlineStr">
        <is>
          <t>MCGA</t>
        </is>
      </c>
      <c r="F1731" s="43" t="inlineStr">
        <is>
          <t>73-103633-04</t>
        </is>
      </c>
      <c r="G1731" s="43" t="inlineStr">
        <is>
          <t>BOARD_PN_CANDIDATE</t>
        </is>
      </c>
      <c r="H1731" s="43" t="inlineStr"/>
      <c r="I1731" s="43" t="inlineStr">
        <is>
          <t>CCB</t>
        </is>
      </c>
      <c r="J1731" s="32" t="n">
        <v>46391</v>
      </c>
      <c r="K1731" s="32" t="n"/>
      <c r="L1731" s="43" t="inlineStr">
        <is>
          <t>1345</t>
        </is>
      </c>
      <c r="M1731" s="43" t="n">
        <v>1</v>
      </c>
      <c r="N1731" s="33" t="inlineStr"/>
      <c r="O1731" s="43" t="inlineStr">
        <is>
          <t>UNVERIFIED</t>
        </is>
      </c>
      <c r="P1731" s="43" t="inlineStr">
        <is>
          <t>Pending Review</t>
        </is>
      </c>
      <c r="Q1731" s="33" t="inlineStr">
        <is>
          <t>Confirmar SKU/PCBA revision, PN exacto en Common DB, WO, BU, vigencia, planta y aprobacion firmada.</t>
        </is>
      </c>
    </row>
    <row r="1732">
      <c r="A1732" s="43" t="inlineStr">
        <is>
          <t>CTANJZ05515</t>
        </is>
      </c>
      <c r="B1732" s="43" t="inlineStr">
        <is>
          <t>D614056</t>
        </is>
      </c>
      <c r="C1732" s="43" t="inlineStr">
        <is>
          <t>037-STBU</t>
        </is>
      </c>
      <c r="D1732" s="43" t="inlineStr">
        <is>
          <t>FJZP</t>
        </is>
      </c>
      <c r="E1732" s="43" t="inlineStr">
        <is>
          <t>MCGA</t>
        </is>
      </c>
      <c r="F1732" s="43" t="inlineStr">
        <is>
          <t>73-103633-05</t>
        </is>
      </c>
      <c r="G1732" s="43" t="inlineStr">
        <is>
          <t>BOARD_PN_CANDIDATE</t>
        </is>
      </c>
      <c r="H1732" s="43" t="inlineStr"/>
      <c r="I1732" s="43" t="inlineStr">
        <is>
          <t>CCB</t>
        </is>
      </c>
      <c r="J1732" s="32" t="n">
        <v>46391</v>
      </c>
      <c r="K1732" s="32" t="n"/>
      <c r="L1732" s="43" t="inlineStr">
        <is>
          <t>1346</t>
        </is>
      </c>
      <c r="M1732" s="43" t="n">
        <v>1</v>
      </c>
      <c r="N1732" s="33" t="inlineStr"/>
      <c r="O1732" s="43" t="inlineStr">
        <is>
          <t>UNVERIFIED</t>
        </is>
      </c>
      <c r="P1732" s="43" t="inlineStr">
        <is>
          <t>Pending Review</t>
        </is>
      </c>
      <c r="Q1732" s="33" t="inlineStr">
        <is>
          <t>Confirmar SKU/PCBA revision, PN exacto en Common DB, WO, BU, vigencia, planta y aprobacion firmada.</t>
        </is>
      </c>
    </row>
    <row r="1733">
      <c r="A1733" s="43" t="inlineStr">
        <is>
          <t>CTANJZ05515</t>
        </is>
      </c>
      <c r="B1733" s="43" t="inlineStr">
        <is>
          <t>D614056</t>
        </is>
      </c>
      <c r="C1733" s="43" t="inlineStr">
        <is>
          <t>037-STBU</t>
        </is>
      </c>
      <c r="D1733" s="43" t="inlineStr">
        <is>
          <t>FJZP</t>
        </is>
      </c>
      <c r="E1733" s="43" t="inlineStr">
        <is>
          <t>MCGA</t>
        </is>
      </c>
      <c r="F1733" s="43" t="inlineStr">
        <is>
          <t>73-104531-01</t>
        </is>
      </c>
      <c r="G1733" s="43" t="inlineStr">
        <is>
          <t>BOARD_PN_CANDIDATE</t>
        </is>
      </c>
      <c r="H1733" s="43" t="inlineStr"/>
      <c r="I1733" s="43" t="inlineStr">
        <is>
          <t>CCB</t>
        </is>
      </c>
      <c r="J1733" s="32" t="n">
        <v>46391</v>
      </c>
      <c r="K1733" s="32" t="n"/>
      <c r="L1733" s="43" t="inlineStr">
        <is>
          <t>1347</t>
        </is>
      </c>
      <c r="M1733" s="43" t="n">
        <v>1</v>
      </c>
      <c r="N1733" s="33" t="inlineStr"/>
      <c r="O1733" s="43" t="inlineStr">
        <is>
          <t>UNVERIFIED</t>
        </is>
      </c>
      <c r="P1733" s="43" t="inlineStr">
        <is>
          <t>Pending Review</t>
        </is>
      </c>
      <c r="Q1733" s="33" t="inlineStr">
        <is>
          <t>Confirmar SKU/PCBA revision, PN exacto en Common DB, WO, BU, vigencia, planta y aprobacion firmada.</t>
        </is>
      </c>
    </row>
    <row r="1734">
      <c r="A1734" s="43" t="inlineStr">
        <is>
          <t>CTANJZ05515</t>
        </is>
      </c>
      <c r="B1734" s="43" t="inlineStr">
        <is>
          <t>D614056</t>
        </is>
      </c>
      <c r="C1734" s="43" t="inlineStr">
        <is>
          <t>037-STBU</t>
        </is>
      </c>
      <c r="D1734" s="43" t="inlineStr">
        <is>
          <t>FJZP</t>
        </is>
      </c>
      <c r="E1734" s="43" t="inlineStr">
        <is>
          <t>MCGA</t>
        </is>
      </c>
      <c r="F1734" s="43" t="inlineStr">
        <is>
          <t>73-104533-01</t>
        </is>
      </c>
      <c r="G1734" s="43" t="inlineStr">
        <is>
          <t>BOARD_PN_CANDIDATE</t>
        </is>
      </c>
      <c r="H1734" s="43" t="inlineStr"/>
      <c r="I1734" s="43" t="inlineStr">
        <is>
          <t>CCB</t>
        </is>
      </c>
      <c r="J1734" s="32" t="n">
        <v>46391</v>
      </c>
      <c r="K1734" s="32" t="n"/>
      <c r="L1734" s="43" t="inlineStr">
        <is>
          <t>1348</t>
        </is>
      </c>
      <c r="M1734" s="43" t="n">
        <v>1</v>
      </c>
      <c r="N1734" s="33" t="inlineStr"/>
      <c r="O1734" s="43" t="inlineStr">
        <is>
          <t>UNVERIFIED</t>
        </is>
      </c>
      <c r="P1734" s="43" t="inlineStr">
        <is>
          <t>Pending Review</t>
        </is>
      </c>
      <c r="Q1734" s="33" t="inlineStr">
        <is>
          <t>Confirmar SKU/PCBA revision, PN exacto en Common DB, WO, BU, vigencia, planta y aprobacion firmada.</t>
        </is>
      </c>
    </row>
    <row r="1735">
      <c r="A1735" s="43" t="inlineStr">
        <is>
          <t>CTANJZ05515</t>
        </is>
      </c>
      <c r="B1735" s="43" t="inlineStr">
        <is>
          <t>D614056</t>
        </is>
      </c>
      <c r="C1735" s="43" t="inlineStr">
        <is>
          <t>037-STBU</t>
        </is>
      </c>
      <c r="D1735" s="43" t="inlineStr">
        <is>
          <t>FJZP</t>
        </is>
      </c>
      <c r="E1735" s="43" t="inlineStr">
        <is>
          <t>MCGA</t>
        </is>
      </c>
      <c r="F1735" s="43" t="inlineStr">
        <is>
          <t>73-104536-01</t>
        </is>
      </c>
      <c r="G1735" s="43" t="inlineStr">
        <is>
          <t>BOARD_PN_CANDIDATE</t>
        </is>
      </c>
      <c r="H1735" s="43" t="inlineStr"/>
      <c r="I1735" s="43" t="inlineStr">
        <is>
          <t>CCB</t>
        </is>
      </c>
      <c r="J1735" s="32" t="n">
        <v>46391</v>
      </c>
      <c r="K1735" s="32" t="n"/>
      <c r="L1735" s="43" t="inlineStr">
        <is>
          <t>1349</t>
        </is>
      </c>
      <c r="M1735" s="43" t="n">
        <v>1</v>
      </c>
      <c r="N1735" s="33" t="inlineStr"/>
      <c r="O1735" s="43" t="inlineStr">
        <is>
          <t>UNVERIFIED</t>
        </is>
      </c>
      <c r="P1735" s="43" t="inlineStr">
        <is>
          <t>Pending Review</t>
        </is>
      </c>
      <c r="Q1735" s="33" t="inlineStr">
        <is>
          <t>Confirmar SKU/PCBA revision, PN exacto en Common DB, WO, BU, vigencia, planta y aprobacion firmada.</t>
        </is>
      </c>
    </row>
    <row r="1736">
      <c r="A1736" s="43" t="inlineStr">
        <is>
          <t>CTANJZ05515</t>
        </is>
      </c>
      <c r="B1736" s="43" t="inlineStr">
        <is>
          <t>D614056</t>
        </is>
      </c>
      <c r="C1736" s="43" t="inlineStr">
        <is>
          <t>037-STBU</t>
        </is>
      </c>
      <c r="D1736" s="43" t="inlineStr">
        <is>
          <t>FJZP</t>
        </is>
      </c>
      <c r="E1736" s="43" t="inlineStr">
        <is>
          <t>MCGA</t>
        </is>
      </c>
      <c r="F1736" s="43" t="inlineStr">
        <is>
          <t>73-104537-01</t>
        </is>
      </c>
      <c r="G1736" s="43" t="inlineStr">
        <is>
          <t>BOARD_PN_CANDIDATE</t>
        </is>
      </c>
      <c r="H1736" s="43" t="inlineStr"/>
      <c r="I1736" s="43" t="inlineStr">
        <is>
          <t>CCB</t>
        </is>
      </c>
      <c r="J1736" s="32" t="n">
        <v>46391</v>
      </c>
      <c r="K1736" s="32" t="n"/>
      <c r="L1736" s="43" t="inlineStr">
        <is>
          <t>1350</t>
        </is>
      </c>
      <c r="M1736" s="43" t="n">
        <v>1</v>
      </c>
      <c r="N1736" s="33" t="inlineStr"/>
      <c r="O1736" s="43" t="inlineStr">
        <is>
          <t>UNVERIFIED</t>
        </is>
      </c>
      <c r="P1736" s="43" t="inlineStr">
        <is>
          <t>Pending Review</t>
        </is>
      </c>
      <c r="Q1736" s="33" t="inlineStr">
        <is>
          <t>Confirmar SKU/PCBA revision, PN exacto en Common DB, WO, BU, vigencia, planta y aprobacion firmada.</t>
        </is>
      </c>
    </row>
    <row r="1737">
      <c r="A1737" s="43" t="inlineStr">
        <is>
          <t>CTANJZ05515</t>
        </is>
      </c>
      <c r="B1737" s="43" t="inlineStr">
        <is>
          <t>D614056</t>
        </is>
      </c>
      <c r="C1737" s="43" t="inlineStr">
        <is>
          <t>037-STBU</t>
        </is>
      </c>
      <c r="D1737" s="43" t="inlineStr">
        <is>
          <t>FJZP</t>
        </is>
      </c>
      <c r="E1737" s="43" t="inlineStr">
        <is>
          <t>MCGA</t>
        </is>
      </c>
      <c r="F1737" s="43" t="inlineStr">
        <is>
          <t>73-20247-06</t>
        </is>
      </c>
      <c r="G1737" s="43" t="inlineStr">
        <is>
          <t>BOARD_PN_CANDIDATE</t>
        </is>
      </c>
      <c r="H1737" s="43" t="inlineStr">
        <is>
          <t>TUFNELL PARK</t>
        </is>
      </c>
      <c r="I1737" s="43" t="inlineStr">
        <is>
          <t>CCB</t>
        </is>
      </c>
      <c r="J1737" s="32" t="n">
        <v>46391</v>
      </c>
      <c r="K1737" s="32" t="n"/>
      <c r="L1737" s="43" t="inlineStr">
        <is>
          <t>1351</t>
        </is>
      </c>
      <c r="M1737" s="43" t="n">
        <v>1</v>
      </c>
      <c r="N1737" s="33" t="inlineStr"/>
      <c r="O1737" s="43" t="inlineStr">
        <is>
          <t>UNVERIFIED</t>
        </is>
      </c>
      <c r="P1737" s="43" t="inlineStr">
        <is>
          <t>Pending Review</t>
        </is>
      </c>
      <c r="Q1737" s="33" t="inlineStr">
        <is>
          <t>Confirmar SKU/PCBA revision, PN exacto en Common DB, WO, BU, vigencia, planta y aprobacion firmada.</t>
        </is>
      </c>
    </row>
    <row r="1738">
      <c r="A1738" s="43" t="inlineStr">
        <is>
          <t>CTANJZ05515</t>
        </is>
      </c>
      <c r="B1738" s="43" t="inlineStr">
        <is>
          <t>D614056</t>
        </is>
      </c>
      <c r="C1738" s="43" t="inlineStr">
        <is>
          <t>037-STBU</t>
        </is>
      </c>
      <c r="D1738" s="43" t="inlineStr">
        <is>
          <t>FJZP</t>
        </is>
      </c>
      <c r="E1738" s="43" t="inlineStr">
        <is>
          <t>MCGA</t>
        </is>
      </c>
      <c r="F1738" s="43" t="inlineStr">
        <is>
          <t>73-20249-06</t>
        </is>
      </c>
      <c r="G1738" s="43" t="inlineStr">
        <is>
          <t>BOARD_PN_CANDIDATE</t>
        </is>
      </c>
      <c r="H1738" s="43" t="inlineStr">
        <is>
          <t>TUFNELL PARK</t>
        </is>
      </c>
      <c r="I1738" s="43" t="inlineStr">
        <is>
          <t>CCB</t>
        </is>
      </c>
      <c r="J1738" s="32" t="n">
        <v>46391</v>
      </c>
      <c r="K1738" s="32" t="n"/>
      <c r="L1738" s="43" t="inlineStr">
        <is>
          <t>1355</t>
        </is>
      </c>
      <c r="M1738" s="43" t="n">
        <v>1</v>
      </c>
      <c r="N1738" s="33" t="inlineStr"/>
      <c r="O1738" s="43" t="inlineStr">
        <is>
          <t>UNVERIFIED</t>
        </is>
      </c>
      <c r="P1738" s="43" t="inlineStr">
        <is>
          <t>Pending Review</t>
        </is>
      </c>
      <c r="Q1738" s="33" t="inlineStr">
        <is>
          <t>Confirmar SKU/PCBA revision, PN exacto en Common DB, WO, BU, vigencia, planta y aprobacion firmada.</t>
        </is>
      </c>
    </row>
    <row r="1739">
      <c r="A1739" s="43" t="inlineStr">
        <is>
          <t>CTANJZ05517</t>
        </is>
      </c>
      <c r="B1739" s="43" t="inlineStr">
        <is>
          <t>D613872</t>
        </is>
      </c>
      <c r="C1739" s="43" t="inlineStr">
        <is>
          <t>037-STBU</t>
        </is>
      </c>
      <c r="D1739" s="43" t="inlineStr">
        <is>
          <t>FJZP</t>
        </is>
      </c>
      <c r="E1739" s="43" t="inlineStr">
        <is>
          <t>MCGA</t>
        </is>
      </c>
      <c r="F1739" s="43" t="inlineStr">
        <is>
          <t>15-104475-01</t>
        </is>
      </c>
      <c r="G1739" s="43" t="inlineStr">
        <is>
          <t>OTHER_SCOPE_ITEM</t>
        </is>
      </c>
      <c r="H1739" s="43" t="inlineStr"/>
      <c r="I1739" s="43" t="inlineStr">
        <is>
          <t>CCB</t>
        </is>
      </c>
      <c r="J1739" s="32" t="n">
        <v>46391</v>
      </c>
      <c r="K1739" s="32" t="n"/>
      <c r="L1739" s="43" t="inlineStr">
        <is>
          <t>1309</t>
        </is>
      </c>
      <c r="M1739" s="43" t="n">
        <v>1</v>
      </c>
      <c r="N1739" s="33" t="inlineStr"/>
      <c r="O1739" s="43" t="inlineStr">
        <is>
          <t>UNVERIFIED</t>
        </is>
      </c>
      <c r="P1739" s="43" t="inlineStr">
        <is>
          <t>Pending Review</t>
        </is>
      </c>
      <c r="Q1739" s="33" t="inlineStr">
        <is>
          <t>Confirmar SKU/PCBA revision, PN exacto en Common DB, WO, BU, vigencia, planta y aprobacion firmada.</t>
        </is>
      </c>
    </row>
    <row r="1740">
      <c r="A1740" s="43" t="inlineStr">
        <is>
          <t>CTANJZ05517</t>
        </is>
      </c>
      <c r="B1740" s="43" t="inlineStr">
        <is>
          <t>D613872</t>
        </is>
      </c>
      <c r="C1740" s="43" t="inlineStr">
        <is>
          <t>037-STBU</t>
        </is>
      </c>
      <c r="D1740" s="43" t="inlineStr">
        <is>
          <t>FJZP</t>
        </is>
      </c>
      <c r="E1740" s="43" t="inlineStr">
        <is>
          <t>MCGA</t>
        </is>
      </c>
      <c r="F1740" s="43" t="inlineStr">
        <is>
          <t>15-108582-01</t>
        </is>
      </c>
      <c r="G1740" s="43" t="inlineStr">
        <is>
          <t>OTHER_SCOPE_ITEM</t>
        </is>
      </c>
      <c r="H1740" s="43" t="inlineStr"/>
      <c r="I1740" s="43" t="inlineStr">
        <is>
          <t>CCB</t>
        </is>
      </c>
      <c r="J1740" s="32" t="n">
        <v>46391</v>
      </c>
      <c r="K1740" s="32" t="n"/>
      <c r="L1740" s="43" t="inlineStr">
        <is>
          <t>1310</t>
        </is>
      </c>
      <c r="M1740" s="43" t="n">
        <v>1</v>
      </c>
      <c r="N1740" s="33" t="inlineStr"/>
      <c r="O1740" s="43" t="inlineStr">
        <is>
          <t>UNVERIFIED</t>
        </is>
      </c>
      <c r="P1740" s="43" t="inlineStr">
        <is>
          <t>Pending Review</t>
        </is>
      </c>
      <c r="Q1740" s="33" t="inlineStr">
        <is>
          <t>Confirmar SKU/PCBA revision, PN exacto en Common DB, WO, BU, vigencia, planta y aprobacion firmada.</t>
        </is>
      </c>
    </row>
    <row r="1741">
      <c r="A1741" s="43" t="inlineStr">
        <is>
          <t>CTANJZ05517</t>
        </is>
      </c>
      <c r="B1741" s="43" t="inlineStr">
        <is>
          <t>D613872</t>
        </is>
      </c>
      <c r="C1741" s="43" t="inlineStr">
        <is>
          <t>037-STBU</t>
        </is>
      </c>
      <c r="D1741" s="43" t="inlineStr">
        <is>
          <t>FJZP</t>
        </is>
      </c>
      <c r="E1741" s="43" t="inlineStr">
        <is>
          <t>MCGA</t>
        </is>
      </c>
      <c r="F1741" s="43" t="inlineStr">
        <is>
          <t>73-20247-06</t>
        </is>
      </c>
      <c r="G1741" s="43" t="inlineStr">
        <is>
          <t>BOARD_PN_CANDIDATE</t>
        </is>
      </c>
      <c r="H1741" s="43" t="inlineStr">
        <is>
          <t>TUFNELL PARK</t>
        </is>
      </c>
      <c r="I1741" s="43" t="inlineStr">
        <is>
          <t>CCB</t>
        </is>
      </c>
      <c r="J1741" s="32" t="n">
        <v>46391</v>
      </c>
      <c r="K1741" s="32" t="n"/>
      <c r="L1741" s="43" t="inlineStr">
        <is>
          <t>1311</t>
        </is>
      </c>
      <c r="M1741" s="43" t="n">
        <v>1</v>
      </c>
      <c r="N1741" s="33" t="inlineStr"/>
      <c r="O1741" s="43" t="inlineStr">
        <is>
          <t>UNVERIFIED</t>
        </is>
      </c>
      <c r="P1741" s="43" t="inlineStr">
        <is>
          <t>Pending Review</t>
        </is>
      </c>
      <c r="Q1741" s="33" t="inlineStr">
        <is>
          <t>Confirmar SKU/PCBA revision, PN exacto en Common DB, WO, BU, vigencia, planta y aprobacion firmada.</t>
        </is>
      </c>
    </row>
    <row r="1742">
      <c r="A1742" s="43" t="inlineStr">
        <is>
          <t>CTANJZ05517</t>
        </is>
      </c>
      <c r="B1742" s="43" t="inlineStr">
        <is>
          <t>D613872</t>
        </is>
      </c>
      <c r="C1742" s="43" t="inlineStr">
        <is>
          <t>037-STBU</t>
        </is>
      </c>
      <c r="D1742" s="43" t="inlineStr">
        <is>
          <t>FJZP</t>
        </is>
      </c>
      <c r="E1742" s="43" t="inlineStr">
        <is>
          <t>MCGA</t>
        </is>
      </c>
      <c r="F1742" s="43" t="inlineStr">
        <is>
          <t>73-20249-06</t>
        </is>
      </c>
      <c r="G1742" s="43" t="inlineStr">
        <is>
          <t>BOARD_PN_CANDIDATE</t>
        </is>
      </c>
      <c r="H1742" s="43" t="inlineStr">
        <is>
          <t>TUFNELL PARK</t>
        </is>
      </c>
      <c r="I1742" s="43" t="inlineStr">
        <is>
          <t>CCB</t>
        </is>
      </c>
      <c r="J1742" s="32" t="n">
        <v>46391</v>
      </c>
      <c r="K1742" s="32" t="n"/>
      <c r="L1742" s="43" t="inlineStr">
        <is>
          <t>1312</t>
        </is>
      </c>
      <c r="M1742" s="43" t="n">
        <v>1</v>
      </c>
      <c r="N1742" s="33" t="inlineStr"/>
      <c r="O1742" s="43" t="inlineStr">
        <is>
          <t>UNVERIFIED</t>
        </is>
      </c>
      <c r="P1742" s="43" t="inlineStr">
        <is>
          <t>Pending Review</t>
        </is>
      </c>
      <c r="Q1742" s="33" t="inlineStr">
        <is>
          <t>Confirmar SKU/PCBA revision, PN exacto en Common DB, WO, BU, vigencia, planta y aprobacion firmada.</t>
        </is>
      </c>
    </row>
    <row r="1743">
      <c r="A1743" s="43" t="inlineStr">
        <is>
          <t>CTANJZ05518</t>
        </is>
      </c>
      <c r="B1743" s="43" t="inlineStr">
        <is>
          <t>D613870</t>
        </is>
      </c>
      <c r="C1743" s="43" t="inlineStr">
        <is>
          <t>037-STBU</t>
        </is>
      </c>
      <c r="D1743" s="43" t="inlineStr">
        <is>
          <t>FJZP</t>
        </is>
      </c>
      <c r="E1743" s="43" t="inlineStr">
        <is>
          <t>MCGA</t>
        </is>
      </c>
      <c r="F1743" s="43" t="inlineStr">
        <is>
          <t>68-104008-02</t>
        </is>
      </c>
      <c r="G1743" s="43" t="inlineStr">
        <is>
          <t>OTHER_SCOPE_ITEM</t>
        </is>
      </c>
      <c r="H1743" s="43" t="inlineStr"/>
      <c r="I1743" s="43" t="inlineStr">
        <is>
          <t>CCB</t>
        </is>
      </c>
      <c r="J1743" s="32" t="n">
        <v>46391</v>
      </c>
      <c r="K1743" s="32" t="n"/>
      <c r="L1743" s="43" t="inlineStr">
        <is>
          <t>1313</t>
        </is>
      </c>
      <c r="M1743" s="43" t="n">
        <v>1</v>
      </c>
      <c r="N1743" s="33" t="inlineStr"/>
      <c r="O1743" s="43" t="inlineStr">
        <is>
          <t>UNVERIFIED</t>
        </is>
      </c>
      <c r="P1743" s="43" t="inlineStr">
        <is>
          <t>Pending Review</t>
        </is>
      </c>
      <c r="Q1743" s="33" t="inlineStr">
        <is>
          <t>Confirmar SKU/PCBA revision, PN exacto en Common DB, WO, BU, vigencia, planta y aprobacion firmada.</t>
        </is>
      </c>
    </row>
    <row r="1744">
      <c r="A1744" s="43" t="inlineStr">
        <is>
          <t>CTANJZ05519</t>
        </is>
      </c>
      <c r="B1744" s="43" t="inlineStr">
        <is>
          <t>D614380</t>
        </is>
      </c>
      <c r="C1744" s="43" t="inlineStr">
        <is>
          <t>035-CVEBU</t>
        </is>
      </c>
      <c r="D1744" s="43" t="inlineStr">
        <is>
          <t>FJZP</t>
        </is>
      </c>
      <c r="E1744" s="43" t="inlineStr">
        <is>
          <t>MCGA</t>
        </is>
      </c>
      <c r="F1744" s="43" t="inlineStr">
        <is>
          <t>15-108939-01</t>
        </is>
      </c>
      <c r="G1744" s="43" t="inlineStr">
        <is>
          <t>OTHER_SCOPE_ITEM</t>
        </is>
      </c>
      <c r="H1744" s="43" t="inlineStr"/>
      <c r="I1744" s="43" t="inlineStr">
        <is>
          <t>CCB</t>
        </is>
      </c>
      <c r="J1744" s="32" t="n">
        <v>46388</v>
      </c>
      <c r="K1744" s="32" t="n"/>
      <c r="L1744" s="43" t="inlineStr">
        <is>
          <t>632</t>
        </is>
      </c>
      <c r="M1744" s="43" t="n">
        <v>1</v>
      </c>
      <c r="N1744" s="33" t="inlineStr"/>
      <c r="O1744" s="43" t="inlineStr">
        <is>
          <t>UNVERIFIED</t>
        </is>
      </c>
      <c r="P1744" s="43" t="inlineStr">
        <is>
          <t>Pending Review</t>
        </is>
      </c>
      <c r="Q1744" s="33" t="inlineStr">
        <is>
          <t>Confirmar SKU/PCBA revision, PN exacto en Common DB, WO, BU, vigencia, planta y aprobacion firmada.</t>
        </is>
      </c>
    </row>
    <row r="1745">
      <c r="A1745" s="43" t="inlineStr">
        <is>
          <t>CTANJZ05519</t>
        </is>
      </c>
      <c r="B1745" s="43" t="inlineStr">
        <is>
          <t>D614380</t>
        </is>
      </c>
      <c r="C1745" s="43" t="inlineStr">
        <is>
          <t>035-CVEBU</t>
        </is>
      </c>
      <c r="D1745" s="43" t="inlineStr">
        <is>
          <t>FJZP</t>
        </is>
      </c>
      <c r="E1745" s="43" t="inlineStr">
        <is>
          <t>MCGA</t>
        </is>
      </c>
      <c r="F1745" s="43" t="inlineStr">
        <is>
          <t>73-103103-05</t>
        </is>
      </c>
      <c r="G1745" s="43" t="inlineStr">
        <is>
          <t>BOARD_PN_CANDIDATE</t>
        </is>
      </c>
      <c r="H1745" s="43" t="inlineStr"/>
      <c r="I1745" s="43" t="inlineStr">
        <is>
          <t>CCB</t>
        </is>
      </c>
      <c r="J1745" s="32" t="n">
        <v>46388</v>
      </c>
      <c r="K1745" s="32" t="n"/>
      <c r="L1745" s="43" t="inlineStr">
        <is>
          <t>633</t>
        </is>
      </c>
      <c r="M1745" s="43" t="n">
        <v>1</v>
      </c>
      <c r="N1745" s="33" t="inlineStr"/>
      <c r="O1745" s="43" t="inlineStr">
        <is>
          <t>UNVERIFIED</t>
        </is>
      </c>
      <c r="P1745" s="43" t="inlineStr">
        <is>
          <t>Pending Review</t>
        </is>
      </c>
      <c r="Q1745" s="33" t="inlineStr">
        <is>
          <t>Confirmar SKU/PCBA revision, PN exacto en Common DB, WO, BU, vigencia, planta y aprobacion firmada.</t>
        </is>
      </c>
    </row>
    <row r="1746">
      <c r="A1746" s="43" t="inlineStr">
        <is>
          <t>CTANJZ05519</t>
        </is>
      </c>
      <c r="B1746" s="43" t="inlineStr">
        <is>
          <t>D614380</t>
        </is>
      </c>
      <c r="C1746" s="43" t="inlineStr">
        <is>
          <t>035-CVEBU</t>
        </is>
      </c>
      <c r="D1746" s="43" t="inlineStr">
        <is>
          <t>FJZP</t>
        </is>
      </c>
      <c r="E1746" s="43" t="inlineStr">
        <is>
          <t>MCGA</t>
        </is>
      </c>
      <c r="F1746" s="43" t="inlineStr">
        <is>
          <t>73-103603-05</t>
        </is>
      </c>
      <c r="G1746" s="43" t="inlineStr">
        <is>
          <t>BOARD_PN_CANDIDATE</t>
        </is>
      </c>
      <c r="H1746" s="43" t="inlineStr">
        <is>
          <t>PICTORIS</t>
        </is>
      </c>
      <c r="I1746" s="43" t="inlineStr">
        <is>
          <t>CCB</t>
        </is>
      </c>
      <c r="J1746" s="32" t="n">
        <v>46388</v>
      </c>
      <c r="K1746" s="32" t="n"/>
      <c r="L1746" s="43" t="inlineStr">
        <is>
          <t>634</t>
        </is>
      </c>
      <c r="M1746" s="43" t="n">
        <v>1</v>
      </c>
      <c r="N1746" s="33" t="inlineStr"/>
      <c r="O1746" s="43" t="inlineStr">
        <is>
          <t>UNVERIFIED</t>
        </is>
      </c>
      <c r="P1746" s="43" t="inlineStr">
        <is>
          <t>Pending Review</t>
        </is>
      </c>
      <c r="Q1746" s="33" t="inlineStr">
        <is>
          <t>Confirmar SKU/PCBA revision, PN exacto en Common DB, WO, BU, vigencia, planta y aprobacion firmada.</t>
        </is>
      </c>
    </row>
    <row r="1747">
      <c r="A1747" s="43" t="inlineStr">
        <is>
          <t>CTANJZ05520</t>
        </is>
      </c>
      <c r="B1747" s="43" t="inlineStr">
        <is>
          <t>D614397</t>
        </is>
      </c>
      <c r="C1747" s="43" t="inlineStr">
        <is>
          <t>035-CVEBU</t>
        </is>
      </c>
      <c r="D1747" s="43" t="inlineStr">
        <is>
          <t>FJZP</t>
        </is>
      </c>
      <c r="E1747" s="43" t="inlineStr">
        <is>
          <t>MCGA</t>
        </is>
      </c>
      <c r="F1747" s="43" t="inlineStr">
        <is>
          <t>16-101838-01</t>
        </is>
      </c>
      <c r="G1747" s="43" t="inlineStr">
        <is>
          <t>OTHER_SCOPE_ITEM</t>
        </is>
      </c>
      <c r="H1747" s="43" t="inlineStr"/>
      <c r="I1747" s="43" t="inlineStr">
        <is>
          <t>CCB</t>
        </is>
      </c>
      <c r="J1747" s="32" t="n">
        <v>46392</v>
      </c>
      <c r="K1747" s="32" t="n"/>
      <c r="L1747" s="43" t="inlineStr">
        <is>
          <t>1378</t>
        </is>
      </c>
      <c r="M1747" s="43" t="n">
        <v>1</v>
      </c>
      <c r="N1747" s="33" t="inlineStr"/>
      <c r="O1747" s="43" t="inlineStr">
        <is>
          <t>UNVERIFIED</t>
        </is>
      </c>
      <c r="P1747" s="43" t="inlineStr">
        <is>
          <t>Pending Review</t>
        </is>
      </c>
      <c r="Q1747" s="33" t="inlineStr">
        <is>
          <t>Confirmar SKU/PCBA revision, PN exacto en Common DB, WO, BU, vigencia, planta y aprobacion firmada.</t>
        </is>
      </c>
    </row>
    <row r="1748">
      <c r="A1748" s="43" t="inlineStr">
        <is>
          <t>CTANJZ05520</t>
        </is>
      </c>
      <c r="B1748" s="43" t="inlineStr">
        <is>
          <t>D614397</t>
        </is>
      </c>
      <c r="C1748" s="43" t="inlineStr">
        <is>
          <t>035-CVEBU</t>
        </is>
      </c>
      <c r="D1748" s="43" t="inlineStr">
        <is>
          <t>FJZP</t>
        </is>
      </c>
      <c r="E1748" s="43" t="inlineStr">
        <is>
          <t>MCGA</t>
        </is>
      </c>
      <c r="F1748" s="43" t="inlineStr">
        <is>
          <t>73-102226-06</t>
        </is>
      </c>
      <c r="G1748" s="43" t="inlineStr">
        <is>
          <t>BOARD_PN_CANDIDATE</t>
        </is>
      </c>
      <c r="H1748" s="43" t="inlineStr">
        <is>
          <t>MILLENIUM</t>
        </is>
      </c>
      <c r="I1748" s="43" t="inlineStr">
        <is>
          <t>CCB</t>
        </is>
      </c>
      <c r="J1748" s="32" t="n">
        <v>46392</v>
      </c>
      <c r="K1748" s="32" t="n"/>
      <c r="L1748" s="43" t="inlineStr">
        <is>
          <t>1379</t>
        </is>
      </c>
      <c r="M1748" s="43" t="n">
        <v>1</v>
      </c>
      <c r="N1748" s="33" t="inlineStr"/>
      <c r="O1748" s="43" t="inlineStr">
        <is>
          <t>UNVERIFIED</t>
        </is>
      </c>
      <c r="P1748" s="43" t="inlineStr">
        <is>
          <t>Pending Review</t>
        </is>
      </c>
      <c r="Q1748" s="33" t="inlineStr">
        <is>
          <t>Confirmar SKU/PCBA revision, PN exacto en Common DB, WO, BU, vigencia, planta y aprobacion firmada.</t>
        </is>
      </c>
    </row>
    <row r="1749">
      <c r="A1749" s="43" t="inlineStr">
        <is>
          <t>CTANJZ05520</t>
        </is>
      </c>
      <c r="B1749" s="43" t="inlineStr">
        <is>
          <t>D614397</t>
        </is>
      </c>
      <c r="C1749" s="43" t="inlineStr">
        <is>
          <t>035-CVEBU</t>
        </is>
      </c>
      <c r="D1749" s="43" t="inlineStr">
        <is>
          <t>FJZP</t>
        </is>
      </c>
      <c r="E1749" s="43" t="inlineStr">
        <is>
          <t>MCGA</t>
        </is>
      </c>
      <c r="F1749" s="43" t="inlineStr">
        <is>
          <t>73-103226-06</t>
        </is>
      </c>
      <c r="G1749" s="43" t="inlineStr">
        <is>
          <t>BOARD_PN_CANDIDATE</t>
        </is>
      </c>
      <c r="H1749" s="43" t="inlineStr"/>
      <c r="I1749" s="43" t="inlineStr">
        <is>
          <t>CCB</t>
        </is>
      </c>
      <c r="J1749" s="32" t="n">
        <v>46392</v>
      </c>
      <c r="K1749" s="32" t="n"/>
      <c r="L1749" s="43" t="inlineStr">
        <is>
          <t>1380</t>
        </is>
      </c>
      <c r="M1749" s="43" t="n">
        <v>1</v>
      </c>
      <c r="N1749" s="33" t="inlineStr"/>
      <c r="O1749" s="43" t="inlineStr">
        <is>
          <t>UNVERIFIED</t>
        </is>
      </c>
      <c r="P1749" s="43" t="inlineStr">
        <is>
          <t>Pending Review</t>
        </is>
      </c>
      <c r="Q1749" s="33" t="inlineStr">
        <is>
          <t>Confirmar SKU/PCBA revision, PN exacto en Common DB, WO, BU, vigencia, planta y aprobacion firmada.</t>
        </is>
      </c>
    </row>
    <row r="1750">
      <c r="A1750" s="43" t="inlineStr">
        <is>
          <t>CTANJZ05522</t>
        </is>
      </c>
      <c r="B1750" s="43" t="inlineStr">
        <is>
          <t>D614467</t>
        </is>
      </c>
      <c r="C1750" s="43" t="inlineStr">
        <is>
          <t>035-CVEBU</t>
        </is>
      </c>
      <c r="D1750" s="43" t="inlineStr">
        <is>
          <t>FJZP</t>
        </is>
      </c>
      <c r="E1750" s="43" t="inlineStr">
        <is>
          <t>MCGA</t>
        </is>
      </c>
      <c r="F1750" s="43" t="inlineStr">
        <is>
          <t>15-106924-01</t>
        </is>
      </c>
      <c r="G1750" s="43" t="inlineStr">
        <is>
          <t>OTHER_SCOPE_ITEM</t>
        </is>
      </c>
      <c r="H1750" s="43" t="inlineStr"/>
      <c r="I1750" s="43" t="inlineStr">
        <is>
          <t>CCB</t>
        </is>
      </c>
      <c r="J1750" s="32" t="n">
        <v>46392</v>
      </c>
      <c r="K1750" s="32" t="n"/>
      <c r="L1750" s="43" t="inlineStr">
        <is>
          <t>313</t>
        </is>
      </c>
      <c r="M1750" s="43" t="n">
        <v>1</v>
      </c>
      <c r="N1750" s="33" t="inlineStr"/>
      <c r="O1750" s="43" t="inlineStr">
        <is>
          <t>UNVERIFIED</t>
        </is>
      </c>
      <c r="P1750" s="43" t="inlineStr">
        <is>
          <t>Pending Review</t>
        </is>
      </c>
      <c r="Q1750" s="33" t="inlineStr">
        <is>
          <t>Confirmar SKU/PCBA revision, PN exacto en Common DB, WO, BU, vigencia, planta y aprobacion firmada.</t>
        </is>
      </c>
    </row>
    <row r="1751">
      <c r="A1751" s="43" t="inlineStr">
        <is>
          <t>CTANJZ05522</t>
        </is>
      </c>
      <c r="B1751" s="43" t="inlineStr">
        <is>
          <t>D614467</t>
        </is>
      </c>
      <c r="C1751" s="43" t="inlineStr">
        <is>
          <t>035-CVEBU</t>
        </is>
      </c>
      <c r="D1751" s="43" t="inlineStr">
        <is>
          <t>FJZP</t>
        </is>
      </c>
      <c r="E1751" s="43" t="inlineStr">
        <is>
          <t>MCGA</t>
        </is>
      </c>
      <c r="F1751" s="43" t="inlineStr">
        <is>
          <t>73-103698-06</t>
        </is>
      </c>
      <c r="G1751" s="43" t="inlineStr">
        <is>
          <t>BOARD_PN_CANDIDATE</t>
        </is>
      </c>
      <c r="H1751" s="43" t="inlineStr"/>
      <c r="I1751" s="43" t="inlineStr">
        <is>
          <t>CCB</t>
        </is>
      </c>
      <c r="J1751" s="32" t="n">
        <v>46392</v>
      </c>
      <c r="K1751" s="32" t="n"/>
      <c r="L1751" s="43" t="inlineStr">
        <is>
          <t>314</t>
        </is>
      </c>
      <c r="M1751" s="43" t="n">
        <v>1</v>
      </c>
      <c r="N1751" s="33" t="inlineStr"/>
      <c r="O1751" s="43" t="inlineStr">
        <is>
          <t>UNVERIFIED</t>
        </is>
      </c>
      <c r="P1751" s="43" t="inlineStr">
        <is>
          <t>Pending Review</t>
        </is>
      </c>
      <c r="Q1751" s="33" t="inlineStr">
        <is>
          <t>Confirmar SKU/PCBA revision, PN exacto en Common DB, WO, BU, vigencia, planta y aprobacion firmada.</t>
        </is>
      </c>
    </row>
    <row r="1752">
      <c r="A1752" s="43" t="inlineStr">
        <is>
          <t>CTANJZ05522</t>
        </is>
      </c>
      <c r="B1752" s="43" t="inlineStr">
        <is>
          <t>D614467</t>
        </is>
      </c>
      <c r="C1752" s="43" t="inlineStr">
        <is>
          <t>035-CVEBU</t>
        </is>
      </c>
      <c r="D1752" s="43" t="inlineStr">
        <is>
          <t>FJZP</t>
        </is>
      </c>
      <c r="E1752" s="43" t="inlineStr">
        <is>
          <t>MCGA</t>
        </is>
      </c>
      <c r="F1752" s="43" t="inlineStr">
        <is>
          <t>800-113103-01</t>
        </is>
      </c>
      <c r="G1752" s="43" t="inlineStr">
        <is>
          <t>OTHER_SCOPE_ITEM</t>
        </is>
      </c>
      <c r="H1752" s="43" t="inlineStr"/>
      <c r="I1752" s="43" t="inlineStr">
        <is>
          <t>CCB</t>
        </is>
      </c>
      <c r="J1752" s="32" t="n">
        <v>46392</v>
      </c>
      <c r="K1752" s="32" t="n"/>
      <c r="L1752" s="43" t="inlineStr">
        <is>
          <t>315</t>
        </is>
      </c>
      <c r="M1752" s="43" t="n">
        <v>1</v>
      </c>
      <c r="N1752" s="33" t="inlineStr"/>
      <c r="O1752" s="43" t="inlineStr">
        <is>
          <t>UNVERIFIED</t>
        </is>
      </c>
      <c r="P1752" s="43" t="inlineStr">
        <is>
          <t>Pending Review</t>
        </is>
      </c>
      <c r="Q1752" s="33" t="inlineStr">
        <is>
          <t>Confirmar SKU/PCBA revision, PN exacto en Common DB, WO, BU, vigencia, planta y aprobacion firmada.</t>
        </is>
      </c>
    </row>
    <row r="1753">
      <c r="A1753" s="43" t="inlineStr">
        <is>
          <t>CTANJZ05524</t>
        </is>
      </c>
      <c r="B1753" s="43" t="inlineStr">
        <is>
          <t>DP526706</t>
        </is>
      </c>
      <c r="C1753" s="43" t="inlineStr">
        <is>
          <t>037-STBU</t>
        </is>
      </c>
      <c r="D1753" s="43" t="inlineStr">
        <is>
          <t>FJZP</t>
        </is>
      </c>
      <c r="E1753" s="43" t="inlineStr">
        <is>
          <t>MCGA</t>
        </is>
      </c>
      <c r="F1753" s="43" t="inlineStr">
        <is>
          <t>73-104531-01</t>
        </is>
      </c>
      <c r="G1753" s="43" t="inlineStr">
        <is>
          <t>BOARD_PN_CANDIDATE</t>
        </is>
      </c>
      <c r="H1753" s="43" t="inlineStr"/>
      <c r="I1753" s="43" t="inlineStr">
        <is>
          <t>CCB</t>
        </is>
      </c>
      <c r="J1753" s="32" t="n">
        <v>46364</v>
      </c>
      <c r="K1753" s="32" t="n"/>
      <c r="L1753" s="43" t="inlineStr">
        <is>
          <t>1715</t>
        </is>
      </c>
      <c r="M1753" s="43" t="n">
        <v>1</v>
      </c>
      <c r="N1753" s="33" t="inlineStr"/>
      <c r="O1753" s="43" t="inlineStr">
        <is>
          <t>UNVERIFIED</t>
        </is>
      </c>
      <c r="P1753" s="43" t="inlineStr">
        <is>
          <t>Pending Review</t>
        </is>
      </c>
      <c r="Q1753" s="33" t="inlineStr">
        <is>
          <t>Confirmar SKU/PCBA revision, PN exacto en Common DB, WO, BU, vigencia, planta y aprobacion firmada.</t>
        </is>
      </c>
    </row>
    <row r="1754">
      <c r="A1754" s="43" t="inlineStr">
        <is>
          <t>CTANJZ05524</t>
        </is>
      </c>
      <c r="B1754" s="43" t="inlineStr">
        <is>
          <t>DP526706</t>
        </is>
      </c>
      <c r="C1754" s="43" t="inlineStr">
        <is>
          <t>037-STBU</t>
        </is>
      </c>
      <c r="D1754" s="43" t="inlineStr">
        <is>
          <t>FJZP</t>
        </is>
      </c>
      <c r="E1754" s="43" t="inlineStr">
        <is>
          <t>MCGA</t>
        </is>
      </c>
      <c r="F1754" s="43" t="inlineStr">
        <is>
          <t>73-104532-01</t>
        </is>
      </c>
      <c r="G1754" s="43" t="inlineStr">
        <is>
          <t>BOARD_PN_CANDIDATE</t>
        </is>
      </c>
      <c r="H1754" s="43" t="inlineStr">
        <is>
          <t>GREENFORD</t>
        </is>
      </c>
      <c r="I1754" s="43" t="inlineStr">
        <is>
          <t>CCB</t>
        </is>
      </c>
      <c r="J1754" s="32" t="n">
        <v>46364</v>
      </c>
      <c r="K1754" s="32" t="n"/>
      <c r="L1754" s="43" t="inlineStr">
        <is>
          <t>1716</t>
        </is>
      </c>
      <c r="M1754" s="43" t="n">
        <v>1</v>
      </c>
      <c r="N1754" s="33" t="inlineStr"/>
      <c r="O1754" s="43" t="inlineStr">
        <is>
          <t>UNVERIFIED</t>
        </is>
      </c>
      <c r="P1754" s="43" t="inlineStr">
        <is>
          <t>Pending Review</t>
        </is>
      </c>
      <c r="Q1754" s="33" t="inlineStr">
        <is>
          <t>Confirmar SKU/PCBA revision, PN exacto en Common DB, WO, BU, vigencia, planta y aprobacion firmada.</t>
        </is>
      </c>
    </row>
    <row r="1755">
      <c r="A1755" s="43" t="inlineStr">
        <is>
          <t>CTANJZ05524</t>
        </is>
      </c>
      <c r="B1755" s="43" t="inlineStr">
        <is>
          <t>DP526706</t>
        </is>
      </c>
      <c r="C1755" s="43" t="inlineStr">
        <is>
          <t>037-STBU</t>
        </is>
      </c>
      <c r="D1755" s="43" t="inlineStr">
        <is>
          <t>FJZP</t>
        </is>
      </c>
      <c r="E1755" s="43" t="inlineStr">
        <is>
          <t>MCGA</t>
        </is>
      </c>
      <c r="F1755" s="43" t="inlineStr">
        <is>
          <t>73-104533-01</t>
        </is>
      </c>
      <c r="G1755" s="43" t="inlineStr">
        <is>
          <t>BOARD_PN_CANDIDATE</t>
        </is>
      </c>
      <c r="H1755" s="43" t="inlineStr"/>
      <c r="I1755" s="43" t="inlineStr">
        <is>
          <t>CCB</t>
        </is>
      </c>
      <c r="J1755" s="32" t="n">
        <v>46364</v>
      </c>
      <c r="K1755" s="32" t="n"/>
      <c r="L1755" s="43" t="inlineStr">
        <is>
          <t>1717</t>
        </is>
      </c>
      <c r="M1755" s="43" t="n">
        <v>1</v>
      </c>
      <c r="N1755" s="33" t="inlineStr"/>
      <c r="O1755" s="43" t="inlineStr">
        <is>
          <t>UNVERIFIED</t>
        </is>
      </c>
      <c r="P1755" s="43" t="inlineStr">
        <is>
          <t>Pending Review</t>
        </is>
      </c>
      <c r="Q1755" s="33" t="inlineStr">
        <is>
          <t>Confirmar SKU/PCBA revision, PN exacto en Common DB, WO, BU, vigencia, planta y aprobacion firmada.</t>
        </is>
      </c>
    </row>
    <row r="1756">
      <c r="A1756" s="43" t="inlineStr">
        <is>
          <t>CTANJZ05525</t>
        </is>
      </c>
      <c r="B1756" s="43" t="inlineStr">
        <is>
          <t>D614478</t>
        </is>
      </c>
      <c r="C1756" s="43" t="inlineStr">
        <is>
          <t>035-CVEBU</t>
        </is>
      </c>
      <c r="D1756" s="43" t="inlineStr">
        <is>
          <t>FJZP</t>
        </is>
      </c>
      <c r="E1756" s="43" t="inlineStr">
        <is>
          <t>MCGA</t>
        </is>
      </c>
      <c r="F1756" s="43" t="inlineStr">
        <is>
          <t>15-106924-01</t>
        </is>
      </c>
      <c r="G1756" s="43" t="inlineStr">
        <is>
          <t>OTHER_SCOPE_ITEM</t>
        </is>
      </c>
      <c r="H1756" s="43" t="inlineStr"/>
      <c r="I1756" s="43" t="inlineStr">
        <is>
          <t>CCB</t>
        </is>
      </c>
      <c r="J1756" s="32" t="n">
        <v>46394</v>
      </c>
      <c r="K1756" s="32" t="n"/>
      <c r="L1756" s="43" t="inlineStr">
        <is>
          <t>309</t>
        </is>
      </c>
      <c r="M1756" s="43" t="n">
        <v>1</v>
      </c>
      <c r="N1756" s="33" t="inlineStr"/>
      <c r="O1756" s="43" t="inlineStr">
        <is>
          <t>UNVERIFIED</t>
        </is>
      </c>
      <c r="P1756" s="43" t="inlineStr">
        <is>
          <t>Pending Review</t>
        </is>
      </c>
      <c r="Q1756" s="33" t="inlineStr">
        <is>
          <t>Confirmar SKU/PCBA revision, PN exacto en Common DB, WO, BU, vigencia, planta y aprobacion firmada.</t>
        </is>
      </c>
    </row>
    <row r="1757">
      <c r="A1757" s="43" t="inlineStr">
        <is>
          <t>CTANJZ05525</t>
        </is>
      </c>
      <c r="B1757" s="43" t="inlineStr">
        <is>
          <t>D614478</t>
        </is>
      </c>
      <c r="C1757" s="43" t="inlineStr">
        <is>
          <t>035-CVEBU</t>
        </is>
      </c>
      <c r="D1757" s="43" t="inlineStr">
        <is>
          <t>FJZP</t>
        </is>
      </c>
      <c r="E1757" s="43" t="inlineStr">
        <is>
          <t>MCGA</t>
        </is>
      </c>
      <c r="F1757" s="43" t="inlineStr">
        <is>
          <t>68-103291-02</t>
        </is>
      </c>
      <c r="G1757" s="43" t="inlineStr">
        <is>
          <t>OTHER_SCOPE_ITEM</t>
        </is>
      </c>
      <c r="H1757" s="43" t="inlineStr"/>
      <c r="I1757" s="43" t="inlineStr">
        <is>
          <t>CCB</t>
        </is>
      </c>
      <c r="J1757" s="32" t="n">
        <v>46394</v>
      </c>
      <c r="K1757" s="32" t="n"/>
      <c r="L1757" s="43" t="inlineStr">
        <is>
          <t>310</t>
        </is>
      </c>
      <c r="M1757" s="43" t="n">
        <v>1</v>
      </c>
      <c r="N1757" s="33" t="inlineStr"/>
      <c r="O1757" s="43" t="inlineStr">
        <is>
          <t>UNVERIFIED</t>
        </is>
      </c>
      <c r="P1757" s="43" t="inlineStr">
        <is>
          <t>Pending Review</t>
        </is>
      </c>
      <c r="Q1757" s="33" t="inlineStr">
        <is>
          <t>Confirmar SKU/PCBA revision, PN exacto en Common DB, WO, BU, vigencia, planta y aprobacion firmada.</t>
        </is>
      </c>
    </row>
    <row r="1758">
      <c r="A1758" s="43" t="inlineStr">
        <is>
          <t>CTANJZ05525</t>
        </is>
      </c>
      <c r="B1758" s="43" t="inlineStr">
        <is>
          <t>D614478</t>
        </is>
      </c>
      <c r="C1758" s="43" t="inlineStr">
        <is>
          <t>035-CVEBU</t>
        </is>
      </c>
      <c r="D1758" s="43" t="inlineStr">
        <is>
          <t>FJZP</t>
        </is>
      </c>
      <c r="E1758" s="43" t="inlineStr">
        <is>
          <t>MCGA</t>
        </is>
      </c>
      <c r="F1758" s="43" t="inlineStr">
        <is>
          <t>68-104808-02</t>
        </is>
      </c>
      <c r="G1758" s="43" t="inlineStr">
        <is>
          <t>OTHER_SCOPE_ITEM</t>
        </is>
      </c>
      <c r="H1758" s="43" t="inlineStr"/>
      <c r="I1758" s="43" t="inlineStr">
        <is>
          <t>CCB</t>
        </is>
      </c>
      <c r="J1758" s="32" t="n">
        <v>46394</v>
      </c>
      <c r="K1758" s="32" t="n"/>
      <c r="L1758" s="43" t="inlineStr">
        <is>
          <t>311</t>
        </is>
      </c>
      <c r="M1758" s="43" t="n">
        <v>1</v>
      </c>
      <c r="N1758" s="33" t="inlineStr"/>
      <c r="O1758" s="43" t="inlineStr">
        <is>
          <t>UNVERIFIED</t>
        </is>
      </c>
      <c r="P1758" s="43" t="inlineStr">
        <is>
          <t>Pending Review</t>
        </is>
      </c>
      <c r="Q1758" s="33" t="inlineStr">
        <is>
          <t>Confirmar SKU/PCBA revision, PN exacto en Common DB, WO, BU, vigencia, planta y aprobacion firmada.</t>
        </is>
      </c>
    </row>
    <row r="1759">
      <c r="A1759" s="43" t="inlineStr">
        <is>
          <t>CTANJZ05525</t>
        </is>
      </c>
      <c r="B1759" s="43" t="inlineStr">
        <is>
          <t>D614478</t>
        </is>
      </c>
      <c r="C1759" s="43" t="inlineStr">
        <is>
          <t>035-CVEBU</t>
        </is>
      </c>
      <c r="D1759" s="43" t="inlineStr">
        <is>
          <t>FJZP</t>
        </is>
      </c>
      <c r="E1759" s="43" t="inlineStr">
        <is>
          <t>MCGA</t>
        </is>
      </c>
      <c r="F1759" s="43" t="inlineStr">
        <is>
          <t>73-102121-01</t>
        </is>
      </c>
      <c r="G1759" s="43" t="inlineStr">
        <is>
          <t>BOARD_PN_CANDIDATE</t>
        </is>
      </c>
      <c r="H1759" s="43" t="inlineStr"/>
      <c r="I1759" s="43" t="inlineStr">
        <is>
          <t>CCB</t>
        </is>
      </c>
      <c r="J1759" s="32" t="n">
        <v>46394</v>
      </c>
      <c r="K1759" s="32" t="n"/>
      <c r="L1759" s="43" t="inlineStr">
        <is>
          <t>312</t>
        </is>
      </c>
      <c r="M1759" s="43" t="n">
        <v>1</v>
      </c>
      <c r="N1759" s="33" t="inlineStr"/>
      <c r="O1759" s="43" t="inlineStr">
        <is>
          <t>UNVERIFIED</t>
        </is>
      </c>
      <c r="P1759" s="43" t="inlineStr">
        <is>
          <t>Pending Review</t>
        </is>
      </c>
      <c r="Q1759" s="33" t="inlineStr">
        <is>
          <t>Confirmar SKU/PCBA revision, PN exacto en Common DB, WO, BU, vigencia, planta y aprobacion firmada.</t>
        </is>
      </c>
    </row>
    <row r="1760">
      <c r="A1760" s="43" t="inlineStr">
        <is>
          <t>CTANJZ05526</t>
        </is>
      </c>
      <c r="B1760" s="43" t="inlineStr">
        <is>
          <t>D614537</t>
        </is>
      </c>
      <c r="C1760" s="43" t="inlineStr">
        <is>
          <t>037-STBU</t>
        </is>
      </c>
      <c r="D1760" s="43" t="inlineStr">
        <is>
          <t>FJZP</t>
        </is>
      </c>
      <c r="E1760" s="43" t="inlineStr">
        <is>
          <t>MCGA</t>
        </is>
      </c>
      <c r="F1760" s="43" t="inlineStr">
        <is>
          <t>17-102458-02</t>
        </is>
      </c>
      <c r="G1760" s="43" t="inlineStr">
        <is>
          <t>OTHER_SCOPE_ITEM</t>
        </is>
      </c>
      <c r="H1760" s="43" t="inlineStr"/>
      <c r="I1760" s="43" t="inlineStr">
        <is>
          <t>CCB</t>
        </is>
      </c>
      <c r="J1760" s="32" t="n">
        <v>46397</v>
      </c>
      <c r="K1760" s="32" t="n"/>
      <c r="L1760" s="43" t="inlineStr">
        <is>
          <t>1707</t>
        </is>
      </c>
      <c r="M1760" s="43" t="n">
        <v>1</v>
      </c>
      <c r="N1760" s="33" t="inlineStr"/>
      <c r="O1760" s="43" t="inlineStr">
        <is>
          <t>UNVERIFIED</t>
        </is>
      </c>
      <c r="P1760" s="43" t="inlineStr">
        <is>
          <t>Pending Review</t>
        </is>
      </c>
      <c r="Q1760" s="33" t="inlineStr">
        <is>
          <t>Confirmar SKU/PCBA revision, PN exacto en Common DB, WO, BU, vigencia, planta y aprobacion firmada.</t>
        </is>
      </c>
    </row>
    <row r="1761">
      <c r="A1761" s="43" t="inlineStr">
        <is>
          <t>CTANJZ05526</t>
        </is>
      </c>
      <c r="B1761" s="43" t="inlineStr">
        <is>
          <t>D614537</t>
        </is>
      </c>
      <c r="C1761" s="43" t="inlineStr">
        <is>
          <t>037-STBU</t>
        </is>
      </c>
      <c r="D1761" s="43" t="inlineStr">
        <is>
          <t>FJZP</t>
        </is>
      </c>
      <c r="E1761" s="43" t="inlineStr">
        <is>
          <t>MCGA</t>
        </is>
      </c>
      <c r="F1761" s="43" t="inlineStr">
        <is>
          <t>17-102472-02</t>
        </is>
      </c>
      <c r="G1761" s="43" t="inlineStr">
        <is>
          <t>OTHER_SCOPE_ITEM</t>
        </is>
      </c>
      <c r="H1761" s="43" t="inlineStr"/>
      <c r="I1761" s="43" t="inlineStr">
        <is>
          <t>CCB</t>
        </is>
      </c>
      <c r="J1761" s="32" t="n">
        <v>46397</v>
      </c>
      <c r="K1761" s="32" t="n"/>
      <c r="L1761" s="43" t="inlineStr">
        <is>
          <t>1708</t>
        </is>
      </c>
      <c r="M1761" s="43" t="n">
        <v>1</v>
      </c>
      <c r="N1761" s="33" t="inlineStr"/>
      <c r="O1761" s="43" t="inlineStr">
        <is>
          <t>UNVERIFIED</t>
        </is>
      </c>
      <c r="P1761" s="43" t="inlineStr">
        <is>
          <t>Pending Review</t>
        </is>
      </c>
      <c r="Q1761" s="33" t="inlineStr">
        <is>
          <t>Confirmar SKU/PCBA revision, PN exacto en Common DB, WO, BU, vigencia, planta y aprobacion firmada.</t>
        </is>
      </c>
    </row>
    <row r="1762">
      <c r="A1762" s="43" t="inlineStr">
        <is>
          <t>CTANJZ05526</t>
        </is>
      </c>
      <c r="B1762" s="43" t="inlineStr">
        <is>
          <t>D614537</t>
        </is>
      </c>
      <c r="C1762" s="43" t="inlineStr">
        <is>
          <t>037-STBU</t>
        </is>
      </c>
      <c r="D1762" s="43" t="inlineStr">
        <is>
          <t>FJZP</t>
        </is>
      </c>
      <c r="E1762" s="43" t="inlineStr">
        <is>
          <t>MCGA</t>
        </is>
      </c>
      <c r="F1762" s="43" t="inlineStr">
        <is>
          <t>73-102433-05</t>
        </is>
      </c>
      <c r="G1762" s="43" t="inlineStr">
        <is>
          <t>BOARD_PN_CANDIDATE</t>
        </is>
      </c>
      <c r="H1762" s="43" t="inlineStr"/>
      <c r="I1762" s="43" t="inlineStr">
        <is>
          <t>CCB</t>
        </is>
      </c>
      <c r="J1762" s="32" t="n">
        <v>46397</v>
      </c>
      <c r="K1762" s="32" t="n"/>
      <c r="L1762" s="43" t="inlineStr">
        <is>
          <t>1709</t>
        </is>
      </c>
      <c r="M1762" s="43" t="n">
        <v>1</v>
      </c>
      <c r="N1762" s="33" t="inlineStr"/>
      <c r="O1762" s="43" t="inlineStr">
        <is>
          <t>UNVERIFIED</t>
        </is>
      </c>
      <c r="P1762" s="43" t="inlineStr">
        <is>
          <t>Pending Review</t>
        </is>
      </c>
      <c r="Q1762" s="33" t="inlineStr">
        <is>
          <t>Confirmar SKU/PCBA revision, PN exacto en Common DB, WO, BU, vigencia, planta y aprobacion firmada.</t>
        </is>
      </c>
    </row>
    <row r="1763">
      <c r="A1763" s="43" t="inlineStr">
        <is>
          <t>CTANJZ05526</t>
        </is>
      </c>
      <c r="B1763" s="43" t="inlineStr">
        <is>
          <t>D614537</t>
        </is>
      </c>
      <c r="C1763" s="43" t="inlineStr">
        <is>
          <t>037-STBU</t>
        </is>
      </c>
      <c r="D1763" s="43" t="inlineStr">
        <is>
          <t>FJZP</t>
        </is>
      </c>
      <c r="E1763" s="43" t="inlineStr">
        <is>
          <t>MCGA</t>
        </is>
      </c>
      <c r="F1763" s="43" t="inlineStr">
        <is>
          <t>73-102433-06</t>
        </is>
      </c>
      <c r="G1763" s="43" t="inlineStr">
        <is>
          <t>BOARD_PN_CANDIDATE</t>
        </is>
      </c>
      <c r="H1763" s="43" t="inlineStr"/>
      <c r="I1763" s="43" t="inlineStr">
        <is>
          <t>CCB</t>
        </is>
      </c>
      <c r="J1763" s="32" t="n">
        <v>46397</v>
      </c>
      <c r="K1763" s="32" t="n"/>
      <c r="L1763" s="43" t="inlineStr">
        <is>
          <t>1710</t>
        </is>
      </c>
      <c r="M1763" s="43" t="n">
        <v>1</v>
      </c>
      <c r="N1763" s="33" t="inlineStr"/>
      <c r="O1763" s="43" t="inlineStr">
        <is>
          <t>UNVERIFIED</t>
        </is>
      </c>
      <c r="P1763" s="43" t="inlineStr">
        <is>
          <t>Pending Review</t>
        </is>
      </c>
      <c r="Q1763" s="33" t="inlineStr">
        <is>
          <t>Confirmar SKU/PCBA revision, PN exacto en Common DB, WO, BU, vigencia, planta y aprobacion firmada.</t>
        </is>
      </c>
    </row>
    <row r="1764">
      <c r="A1764" s="43" t="inlineStr">
        <is>
          <t>CTANJZ05526</t>
        </is>
      </c>
      <c r="B1764" s="43" t="inlineStr">
        <is>
          <t>D614537</t>
        </is>
      </c>
      <c r="C1764" s="43" t="inlineStr">
        <is>
          <t>037-STBU</t>
        </is>
      </c>
      <c r="D1764" s="43" t="inlineStr">
        <is>
          <t>FJZP</t>
        </is>
      </c>
      <c r="E1764" s="43" t="inlineStr">
        <is>
          <t>MCGA</t>
        </is>
      </c>
      <c r="F1764" s="43" t="inlineStr">
        <is>
          <t>73-102434-05</t>
        </is>
      </c>
      <c r="G1764" s="43" t="inlineStr">
        <is>
          <t>BOARD_PN_CANDIDATE</t>
        </is>
      </c>
      <c r="H1764" s="43" t="inlineStr"/>
      <c r="I1764" s="43" t="inlineStr">
        <is>
          <t>CCB</t>
        </is>
      </c>
      <c r="J1764" s="32" t="n">
        <v>46397</v>
      </c>
      <c r="K1764" s="32" t="n"/>
      <c r="L1764" s="43" t="inlineStr">
        <is>
          <t>1711</t>
        </is>
      </c>
      <c r="M1764" s="43" t="n">
        <v>1</v>
      </c>
      <c r="N1764" s="33" t="inlineStr"/>
      <c r="O1764" s="43" t="inlineStr">
        <is>
          <t>UNVERIFIED</t>
        </is>
      </c>
      <c r="P1764" s="43" t="inlineStr">
        <is>
          <t>Pending Review</t>
        </is>
      </c>
      <c r="Q1764" s="33" t="inlineStr">
        <is>
          <t>Confirmar SKU/PCBA revision, PN exacto en Common DB, WO, BU, vigencia, planta y aprobacion firmada.</t>
        </is>
      </c>
    </row>
    <row r="1765">
      <c r="A1765" s="43" t="inlineStr">
        <is>
          <t>CTANJZ05526</t>
        </is>
      </c>
      <c r="B1765" s="43" t="inlineStr">
        <is>
          <t>D614537</t>
        </is>
      </c>
      <c r="C1765" s="43" t="inlineStr">
        <is>
          <t>037-STBU</t>
        </is>
      </c>
      <c r="D1765" s="43" t="inlineStr">
        <is>
          <t>FJZP</t>
        </is>
      </c>
      <c r="E1765" s="43" t="inlineStr">
        <is>
          <t>MCGA</t>
        </is>
      </c>
      <c r="F1765" s="43" t="inlineStr">
        <is>
          <t>73-102434-06</t>
        </is>
      </c>
      <c r="G1765" s="43" t="inlineStr">
        <is>
          <t>BOARD_PN_CANDIDATE</t>
        </is>
      </c>
      <c r="H1765" s="43" t="inlineStr"/>
      <c r="I1765" s="43" t="inlineStr">
        <is>
          <t>CCB</t>
        </is>
      </c>
      <c r="J1765" s="32" t="n">
        <v>46397</v>
      </c>
      <c r="K1765" s="32" t="n"/>
      <c r="L1765" s="43" t="inlineStr">
        <is>
          <t>1712</t>
        </is>
      </c>
      <c r="M1765" s="43" t="n">
        <v>1</v>
      </c>
      <c r="N1765" s="33" t="inlineStr"/>
      <c r="O1765" s="43" t="inlineStr">
        <is>
          <t>UNVERIFIED</t>
        </is>
      </c>
      <c r="P1765" s="43" t="inlineStr">
        <is>
          <t>Pending Review</t>
        </is>
      </c>
      <c r="Q1765" s="33" t="inlineStr">
        <is>
          <t>Confirmar SKU/PCBA revision, PN exacto en Common DB, WO, BU, vigencia, planta y aprobacion firmada.</t>
        </is>
      </c>
    </row>
    <row r="1766">
      <c r="A1766" s="43" t="inlineStr">
        <is>
          <t>CTANJZ05526</t>
        </is>
      </c>
      <c r="B1766" s="43" t="inlineStr">
        <is>
          <t>D614537</t>
        </is>
      </c>
      <c r="C1766" s="43" t="inlineStr">
        <is>
          <t>037-STBU</t>
        </is>
      </c>
      <c r="D1766" s="43" t="inlineStr">
        <is>
          <t>FJZP</t>
        </is>
      </c>
      <c r="E1766" s="43" t="inlineStr">
        <is>
          <t>MCGA</t>
        </is>
      </c>
      <c r="F1766" s="43" t="inlineStr">
        <is>
          <t>73-102435-05</t>
        </is>
      </c>
      <c r="G1766" s="43" t="inlineStr">
        <is>
          <t>BOARD_PN_CANDIDATE</t>
        </is>
      </c>
      <c r="H1766" s="43" t="inlineStr"/>
      <c r="I1766" s="43" t="inlineStr">
        <is>
          <t>CCB</t>
        </is>
      </c>
      <c r="J1766" s="32" t="n">
        <v>46397</v>
      </c>
      <c r="K1766" s="32" t="n"/>
      <c r="L1766" s="43" t="inlineStr">
        <is>
          <t>1713</t>
        </is>
      </c>
      <c r="M1766" s="43" t="n">
        <v>1</v>
      </c>
      <c r="N1766" s="33" t="inlineStr"/>
      <c r="O1766" s="43" t="inlineStr">
        <is>
          <t>UNVERIFIED</t>
        </is>
      </c>
      <c r="P1766" s="43" t="inlineStr">
        <is>
          <t>Pending Review</t>
        </is>
      </c>
      <c r="Q1766" s="33" t="inlineStr">
        <is>
          <t>Confirmar SKU/PCBA revision, PN exacto en Common DB, WO, BU, vigencia, planta y aprobacion firmada.</t>
        </is>
      </c>
    </row>
    <row r="1767">
      <c r="A1767" s="43" t="inlineStr">
        <is>
          <t>CTANJZ05526</t>
        </is>
      </c>
      <c r="B1767" s="43" t="inlineStr">
        <is>
          <t>D614537</t>
        </is>
      </c>
      <c r="C1767" s="43" t="inlineStr">
        <is>
          <t>037-STBU</t>
        </is>
      </c>
      <c r="D1767" s="43" t="inlineStr">
        <is>
          <t>FJZP</t>
        </is>
      </c>
      <c r="E1767" s="43" t="inlineStr">
        <is>
          <t>MCGA</t>
        </is>
      </c>
      <c r="F1767" s="43" t="inlineStr">
        <is>
          <t>73-102435-06</t>
        </is>
      </c>
      <c r="G1767" s="43" t="inlineStr">
        <is>
          <t>BOARD_PN_CANDIDATE</t>
        </is>
      </c>
      <c r="H1767" s="43" t="inlineStr"/>
      <c r="I1767" s="43" t="inlineStr">
        <is>
          <t>CCB</t>
        </is>
      </c>
      <c r="J1767" s="32" t="n">
        <v>46397</v>
      </c>
      <c r="K1767" s="32" t="n"/>
      <c r="L1767" s="43" t="inlineStr">
        <is>
          <t>1714</t>
        </is>
      </c>
      <c r="M1767" s="43" t="n">
        <v>1</v>
      </c>
      <c r="N1767" s="33" t="inlineStr"/>
      <c r="O1767" s="43" t="inlineStr">
        <is>
          <t>UNVERIFIED</t>
        </is>
      </c>
      <c r="P1767" s="43" t="inlineStr">
        <is>
          <t>Pending Review</t>
        </is>
      </c>
      <c r="Q1767" s="33" t="inlineStr">
        <is>
          <t>Confirmar SKU/PCBA revision, PN exacto en Common DB, WO, BU, vigencia, planta y aprobacion firmada.</t>
        </is>
      </c>
    </row>
    <row r="1768">
      <c r="A1768" s="43" t="inlineStr">
        <is>
          <t>CTANJZ05527</t>
        </is>
      </c>
      <c r="B1768" s="43" t="inlineStr">
        <is>
          <t>D614253</t>
        </is>
      </c>
      <c r="C1768" s="43" t="inlineStr">
        <is>
          <t>018-SRGBU</t>
        </is>
      </c>
      <c r="D1768" s="43" t="inlineStr">
        <is>
          <t>FJZP</t>
        </is>
      </c>
      <c r="E1768" s="43" t="inlineStr">
        <is>
          <t>MCGA</t>
        </is>
      </c>
      <c r="F1768" s="43" t="inlineStr">
        <is>
          <t>74-135544-03</t>
        </is>
      </c>
      <c r="G1768" s="43" t="inlineStr">
        <is>
          <t>OTHER_SCOPE_ITEM</t>
        </is>
      </c>
      <c r="H1768" s="43" t="inlineStr"/>
      <c r="I1768" s="43" t="inlineStr">
        <is>
          <t>CCB</t>
        </is>
      </c>
      <c r="J1768" s="32" t="n">
        <v>46397</v>
      </c>
      <c r="K1768" s="32" t="n"/>
      <c r="L1768" s="43" t="inlineStr">
        <is>
          <t>638</t>
        </is>
      </c>
      <c r="M1768" s="43" t="n">
        <v>1</v>
      </c>
      <c r="N1768" s="33" t="inlineStr"/>
      <c r="O1768" s="43" t="inlineStr">
        <is>
          <t>UNVERIFIED</t>
        </is>
      </c>
      <c r="P1768" s="43" t="inlineStr">
        <is>
          <t>Pending Review</t>
        </is>
      </c>
      <c r="Q1768" s="33" t="inlineStr">
        <is>
          <t>Confirmar SKU/PCBA revision, PN exacto en Common DB, WO, BU, vigencia, planta y aprobacion firmada.</t>
        </is>
      </c>
    </row>
    <row r="1769">
      <c r="A1769" s="43" t="inlineStr">
        <is>
          <t>CTANJZ05527</t>
        </is>
      </c>
      <c r="B1769" s="43" t="inlineStr">
        <is>
          <t>D614253</t>
        </is>
      </c>
      <c r="C1769" s="43" t="inlineStr">
        <is>
          <t>018-SRGBU</t>
        </is>
      </c>
      <c r="D1769" s="43" t="inlineStr">
        <is>
          <t>FJZP</t>
        </is>
      </c>
      <c r="E1769" s="43" t="inlineStr">
        <is>
          <t>MCGA</t>
        </is>
      </c>
      <c r="F1769" s="43" t="inlineStr">
        <is>
          <t>74-141119-02</t>
        </is>
      </c>
      <c r="G1769" s="43" t="inlineStr">
        <is>
          <t>OTHER_SCOPE_ITEM</t>
        </is>
      </c>
      <c r="H1769" s="43" t="inlineStr"/>
      <c r="I1769" s="43" t="inlineStr">
        <is>
          <t>CCB</t>
        </is>
      </c>
      <c r="J1769" s="32" t="n">
        <v>46397</v>
      </c>
      <c r="K1769" s="32" t="n"/>
      <c r="L1769" s="43" t="inlineStr">
        <is>
          <t>639</t>
        </is>
      </c>
      <c r="M1769" s="43" t="n">
        <v>1</v>
      </c>
      <c r="N1769" s="33" t="inlineStr"/>
      <c r="O1769" s="43" t="inlineStr">
        <is>
          <t>UNVERIFIED</t>
        </is>
      </c>
      <c r="P1769" s="43" t="inlineStr">
        <is>
          <t>Pending Review</t>
        </is>
      </c>
      <c r="Q1769" s="33" t="inlineStr">
        <is>
          <t>Confirmar SKU/PCBA revision, PN exacto en Common DB, WO, BU, vigencia, planta y aprobacion firmada.</t>
        </is>
      </c>
    </row>
    <row r="1770">
      <c r="A1770" s="43" t="inlineStr">
        <is>
          <t>CTANJZ05530</t>
        </is>
      </c>
      <c r="B1770" s="43" t="inlineStr">
        <is>
          <t>D612697</t>
        </is>
      </c>
      <c r="C1770" s="43" t="inlineStr">
        <is>
          <t>239-CRBU</t>
        </is>
      </c>
      <c r="D1770" s="43" t="inlineStr">
        <is>
          <t>FJZP</t>
        </is>
      </c>
      <c r="E1770" s="43" t="inlineStr">
        <is>
          <t>MCGA</t>
        </is>
      </c>
      <c r="F1770" s="43" t="inlineStr">
        <is>
          <t>68-7781-12</t>
        </is>
      </c>
      <c r="G1770" s="43" t="inlineStr">
        <is>
          <t>OTHER_SCOPE_ITEM</t>
        </is>
      </c>
      <c r="H1770" s="43" t="inlineStr"/>
      <c r="I1770" s="43" t="inlineStr">
        <is>
          <t>CCB</t>
        </is>
      </c>
      <c r="J1770" s="32" t="n">
        <v>46397</v>
      </c>
      <c r="K1770" s="32" t="n"/>
      <c r="L1770" s="43" t="inlineStr">
        <is>
          <t>1389</t>
        </is>
      </c>
      <c r="M1770" s="43" t="n">
        <v>1</v>
      </c>
      <c r="N1770" s="33" t="inlineStr"/>
      <c r="O1770" s="43" t="inlineStr">
        <is>
          <t>UNVERIFIED</t>
        </is>
      </c>
      <c r="P1770" s="43" t="inlineStr">
        <is>
          <t>Pending Review</t>
        </is>
      </c>
      <c r="Q1770" s="33" t="inlineStr">
        <is>
          <t>Confirmar SKU/PCBA revision, PN exacto en Common DB, WO, BU, vigencia, planta y aprobacion firmada.</t>
        </is>
      </c>
    </row>
    <row r="1771">
      <c r="A1771" s="43" t="inlineStr">
        <is>
          <t>CTANJZ05531</t>
        </is>
      </c>
      <c r="B1771" s="43" t="inlineStr">
        <is>
          <t>D614405</t>
        </is>
      </c>
      <c r="C1771" s="43" t="inlineStr">
        <is>
          <t>037-STBU</t>
        </is>
      </c>
      <c r="D1771" s="43" t="inlineStr">
        <is>
          <t>FJZP</t>
        </is>
      </c>
      <c r="E1771" s="43" t="inlineStr">
        <is>
          <t>MCGA</t>
        </is>
      </c>
      <c r="F1771" s="43" t="inlineStr">
        <is>
          <t>15-108159-01</t>
        </is>
      </c>
      <c r="G1771" s="43" t="inlineStr">
        <is>
          <t>OTHER_SCOPE_ITEM</t>
        </is>
      </c>
      <c r="H1771" s="43" t="inlineStr"/>
      <c r="I1771" s="43" t="inlineStr">
        <is>
          <t>CCB</t>
        </is>
      </c>
      <c r="J1771" s="32" t="n">
        <v>46398</v>
      </c>
      <c r="K1771" s="32" t="n"/>
      <c r="L1771" s="43" t="inlineStr">
        <is>
          <t>1871</t>
        </is>
      </c>
      <c r="M1771" s="43" t="n">
        <v>1</v>
      </c>
      <c r="N1771" s="33" t="inlineStr"/>
      <c r="O1771" s="43" t="inlineStr">
        <is>
          <t>UNVERIFIED</t>
        </is>
      </c>
      <c r="P1771" s="43" t="inlineStr">
        <is>
          <t>Pending Review</t>
        </is>
      </c>
      <c r="Q1771" s="33" t="inlineStr">
        <is>
          <t>Confirmar SKU/PCBA revision, PN exacto en Common DB, WO, BU, vigencia, planta y aprobacion firmada.</t>
        </is>
      </c>
    </row>
    <row r="1772">
      <c r="A1772" s="43" t="inlineStr">
        <is>
          <t>CTANJZ05531</t>
        </is>
      </c>
      <c r="B1772" s="43" t="inlineStr">
        <is>
          <t>D614405</t>
        </is>
      </c>
      <c r="C1772" s="43" t="inlineStr">
        <is>
          <t>037-STBU</t>
        </is>
      </c>
      <c r="D1772" s="43" t="inlineStr">
        <is>
          <t>FJZP</t>
        </is>
      </c>
      <c r="E1772" s="43" t="inlineStr">
        <is>
          <t>MCGA</t>
        </is>
      </c>
      <c r="F1772" s="43" t="inlineStr">
        <is>
          <t>73-102433-06</t>
        </is>
      </c>
      <c r="G1772" s="43" t="inlineStr">
        <is>
          <t>BOARD_PN_CANDIDATE</t>
        </is>
      </c>
      <c r="H1772" s="43" t="inlineStr"/>
      <c r="I1772" s="43" t="inlineStr">
        <is>
          <t>CCB</t>
        </is>
      </c>
      <c r="J1772" s="32" t="n">
        <v>46398</v>
      </c>
      <c r="K1772" s="32" t="n"/>
      <c r="L1772" s="43" t="inlineStr">
        <is>
          <t>1872</t>
        </is>
      </c>
      <c r="M1772" s="43" t="n">
        <v>1</v>
      </c>
      <c r="N1772" s="33" t="inlineStr"/>
      <c r="O1772" s="43" t="inlineStr">
        <is>
          <t>UNVERIFIED</t>
        </is>
      </c>
      <c r="P1772" s="43" t="inlineStr">
        <is>
          <t>Pending Review</t>
        </is>
      </c>
      <c r="Q1772" s="33" t="inlineStr">
        <is>
          <t>Confirmar SKU/PCBA revision, PN exacto en Common DB, WO, BU, vigencia, planta y aprobacion firmada.</t>
        </is>
      </c>
    </row>
    <row r="1773">
      <c r="A1773" s="43" t="inlineStr">
        <is>
          <t>CTANJZ05531</t>
        </is>
      </c>
      <c r="B1773" s="43" t="inlineStr">
        <is>
          <t>D614405</t>
        </is>
      </c>
      <c r="C1773" s="43" t="inlineStr">
        <is>
          <t>037-STBU</t>
        </is>
      </c>
      <c r="D1773" s="43" t="inlineStr">
        <is>
          <t>FJZP</t>
        </is>
      </c>
      <c r="E1773" s="43" t="inlineStr">
        <is>
          <t>MCGA</t>
        </is>
      </c>
      <c r="F1773" s="43" t="inlineStr">
        <is>
          <t>800-109498-07</t>
        </is>
      </c>
      <c r="G1773" s="43" t="inlineStr">
        <is>
          <t>OTHER_SCOPE_ITEM</t>
        </is>
      </c>
      <c r="H1773" s="43" t="inlineStr"/>
      <c r="I1773" s="43" t="inlineStr">
        <is>
          <t>CCB</t>
        </is>
      </c>
      <c r="J1773" s="32" t="n">
        <v>46398</v>
      </c>
      <c r="K1773" s="32" t="n"/>
      <c r="L1773" s="43" t="inlineStr">
        <is>
          <t>1873</t>
        </is>
      </c>
      <c r="M1773" s="43" t="n">
        <v>1</v>
      </c>
      <c r="N1773" s="33" t="inlineStr"/>
      <c r="O1773" s="43" t="inlineStr">
        <is>
          <t>UNVERIFIED</t>
        </is>
      </c>
      <c r="P1773" s="43" t="inlineStr">
        <is>
          <t>Pending Review</t>
        </is>
      </c>
      <c r="Q1773" s="33" t="inlineStr">
        <is>
          <t>Confirmar SKU/PCBA revision, PN exacto en Common DB, WO, BU, vigencia, planta y aprobacion firmada.</t>
        </is>
      </c>
    </row>
    <row r="1774">
      <c r="A1774" s="43" t="inlineStr">
        <is>
          <t>CTANJZ05532</t>
        </is>
      </c>
      <c r="B1774" s="43" t="inlineStr">
        <is>
          <t>D614414</t>
        </is>
      </c>
      <c r="C1774" s="43" t="inlineStr">
        <is>
          <t>037-STBU</t>
        </is>
      </c>
      <c r="D1774" s="43" t="inlineStr">
        <is>
          <t>FJZP</t>
        </is>
      </c>
      <c r="E1774" s="43" t="inlineStr">
        <is>
          <t>MCGA</t>
        </is>
      </c>
      <c r="F1774" s="43" t="inlineStr">
        <is>
          <t>36-0148-02</t>
        </is>
      </c>
      <c r="G1774" s="43" t="inlineStr">
        <is>
          <t>OTHER_SCOPE_ITEM</t>
        </is>
      </c>
      <c r="H1774" s="43" t="inlineStr"/>
      <c r="I1774" s="43" t="inlineStr">
        <is>
          <t>CCB</t>
        </is>
      </c>
      <c r="J1774" s="32" t="n">
        <v>46398</v>
      </c>
      <c r="K1774" s="32" t="n"/>
      <c r="L1774" s="43" t="inlineStr">
        <is>
          <t>302,1575</t>
        </is>
      </c>
      <c r="M1774" s="43" t="n">
        <v>2</v>
      </c>
      <c r="N1774" s="33" t="inlineStr"/>
      <c r="O1774" s="43" t="inlineStr">
        <is>
          <t>UNVERIFIED</t>
        </is>
      </c>
      <c r="P1774" s="43" t="inlineStr">
        <is>
          <t>Pending Review</t>
        </is>
      </c>
      <c r="Q1774" s="33" t="inlineStr">
        <is>
          <t>Confirmar SKU/PCBA revision, PN exacto en Common DB, WO, BU, vigencia, planta y aprobacion firmada.</t>
        </is>
      </c>
    </row>
    <row r="1775">
      <c r="A1775" s="43" t="inlineStr">
        <is>
          <t>CTANJZ05532</t>
        </is>
      </c>
      <c r="B1775" s="43" t="inlineStr">
        <is>
          <t>D614414</t>
        </is>
      </c>
      <c r="C1775" s="43" t="inlineStr">
        <is>
          <t>037-STBU</t>
        </is>
      </c>
      <c r="D1775" s="43" t="inlineStr">
        <is>
          <t>FJZP</t>
        </is>
      </c>
      <c r="E1775" s="43" t="inlineStr">
        <is>
          <t>MCGA</t>
        </is>
      </c>
      <c r="F1775" s="43" t="inlineStr">
        <is>
          <t>73-102434-06</t>
        </is>
      </c>
      <c r="G1775" s="43" t="inlineStr">
        <is>
          <t>BOARD_PN_CANDIDATE</t>
        </is>
      </c>
      <c r="H1775" s="43" t="inlineStr"/>
      <c r="I1775" s="43" t="inlineStr">
        <is>
          <t>CCB</t>
        </is>
      </c>
      <c r="J1775" s="32" t="n">
        <v>46398</v>
      </c>
      <c r="K1775" s="32" t="n"/>
      <c r="L1775" s="43" t="inlineStr">
        <is>
          <t>303,1576</t>
        </is>
      </c>
      <c r="M1775" s="43" t="n">
        <v>2</v>
      </c>
      <c r="N1775" s="33" t="inlineStr"/>
      <c r="O1775" s="43" t="inlineStr">
        <is>
          <t>UNVERIFIED</t>
        </is>
      </c>
      <c r="P1775" s="43" t="inlineStr">
        <is>
          <t>Pending Review</t>
        </is>
      </c>
      <c r="Q1775" s="33" t="inlineStr">
        <is>
          <t>Confirmar SKU/PCBA revision, PN exacto en Common DB, WO, BU, vigencia, planta y aprobacion firmada.</t>
        </is>
      </c>
    </row>
    <row r="1776">
      <c r="A1776" s="43" t="inlineStr">
        <is>
          <t>CTANJZ05533</t>
        </is>
      </c>
      <c r="B1776" s="43" t="inlineStr">
        <is>
          <t>D614415</t>
        </is>
      </c>
      <c r="C1776" s="43" t="inlineStr">
        <is>
          <t>037-STBU</t>
        </is>
      </c>
      <c r="D1776" s="43" t="inlineStr">
        <is>
          <t>FJZP</t>
        </is>
      </c>
      <c r="E1776" s="43" t="inlineStr">
        <is>
          <t>MCGA</t>
        </is>
      </c>
      <c r="F1776" s="43" t="inlineStr">
        <is>
          <t>36-0234-01</t>
        </is>
      </c>
      <c r="G1776" s="43" t="inlineStr">
        <is>
          <t>OTHER_SCOPE_ITEM</t>
        </is>
      </c>
      <c r="H1776" s="43" t="inlineStr"/>
      <c r="I1776" s="43" t="inlineStr">
        <is>
          <t>CCB</t>
        </is>
      </c>
      <c r="J1776" s="32" t="n">
        <v>46398</v>
      </c>
      <c r="K1776" s="32" t="n"/>
      <c r="L1776" s="43" t="inlineStr">
        <is>
          <t>283,1571</t>
        </is>
      </c>
      <c r="M1776" s="43" t="n">
        <v>2</v>
      </c>
      <c r="N1776" s="33" t="inlineStr"/>
      <c r="O1776" s="43" t="inlineStr">
        <is>
          <t>UNVERIFIED</t>
        </is>
      </c>
      <c r="P1776" s="43" t="inlineStr">
        <is>
          <t>Pending Review</t>
        </is>
      </c>
      <c r="Q1776" s="33" t="inlineStr">
        <is>
          <t>Confirmar SKU/PCBA revision, PN exacto en Common DB, WO, BU, vigencia, planta y aprobacion firmada.</t>
        </is>
      </c>
    </row>
    <row r="1777">
      <c r="A1777" s="43" t="inlineStr">
        <is>
          <t>CTANJZ05533</t>
        </is>
      </c>
      <c r="B1777" s="43" t="inlineStr">
        <is>
          <t>D614415</t>
        </is>
      </c>
      <c r="C1777" s="43" t="inlineStr">
        <is>
          <t>037-STBU</t>
        </is>
      </c>
      <c r="D1777" s="43" t="inlineStr">
        <is>
          <t>FJZP</t>
        </is>
      </c>
      <c r="E1777" s="43" t="inlineStr">
        <is>
          <t>MCGA</t>
        </is>
      </c>
      <c r="F1777" s="43" t="inlineStr">
        <is>
          <t>73-102434-06</t>
        </is>
      </c>
      <c r="G1777" s="43" t="inlineStr">
        <is>
          <t>BOARD_PN_CANDIDATE</t>
        </is>
      </c>
      <c r="H1777" s="43" t="inlineStr"/>
      <c r="I1777" s="43" t="inlineStr">
        <is>
          <t>CCB</t>
        </is>
      </c>
      <c r="J1777" s="32" t="n">
        <v>46398</v>
      </c>
      <c r="K1777" s="32" t="n"/>
      <c r="L1777" s="43" t="inlineStr">
        <is>
          <t>284,1572</t>
        </is>
      </c>
      <c r="M1777" s="43" t="n">
        <v>2</v>
      </c>
      <c r="N1777" s="33" t="inlineStr"/>
      <c r="O1777" s="43" t="inlineStr">
        <is>
          <t>UNVERIFIED</t>
        </is>
      </c>
      <c r="P1777" s="43" t="inlineStr">
        <is>
          <t>Pending Review</t>
        </is>
      </c>
      <c r="Q1777" s="33" t="inlineStr">
        <is>
          <t>Confirmar SKU/PCBA revision, PN exacto en Common DB, WO, BU, vigencia, planta y aprobacion firmada.</t>
        </is>
      </c>
    </row>
    <row r="1778">
      <c r="A1778" s="43" t="inlineStr">
        <is>
          <t>CTANJZ05533</t>
        </is>
      </c>
      <c r="B1778" s="43" t="inlineStr">
        <is>
          <t>D614415</t>
        </is>
      </c>
      <c r="C1778" s="43" t="inlineStr">
        <is>
          <t>239-CRBU</t>
        </is>
      </c>
      <c r="D1778" s="43" t="inlineStr">
        <is>
          <t>FJZP</t>
        </is>
      </c>
      <c r="E1778" s="43" t="inlineStr">
        <is>
          <t>MCGA</t>
        </is>
      </c>
      <c r="F1778" s="43" t="inlineStr">
        <is>
          <t>36-0234-01</t>
        </is>
      </c>
      <c r="G1778" s="43" t="inlineStr">
        <is>
          <t>OTHER_SCOPE_ITEM</t>
        </is>
      </c>
      <c r="H1778" s="43" t="inlineStr"/>
      <c r="I1778" s="43" t="inlineStr">
        <is>
          <t>Pending</t>
        </is>
      </c>
      <c r="J1778" s="32" t="n">
        <v>46398</v>
      </c>
      <c r="K1778" s="32" t="n"/>
      <c r="L1778" s="43" t="inlineStr">
        <is>
          <t>290,1560</t>
        </is>
      </c>
      <c r="M1778" s="43" t="n">
        <v>2</v>
      </c>
      <c r="N1778" s="33" t="inlineStr"/>
      <c r="O1778" s="43" t="inlineStr">
        <is>
          <t>UNVERIFIED</t>
        </is>
      </c>
      <c r="P1778" s="43" t="inlineStr">
        <is>
          <t>Pending Review</t>
        </is>
      </c>
      <c r="Q1778" s="33" t="inlineStr">
        <is>
          <t>Confirmar SKU/PCBA revision, PN exacto en Common DB, WO, BU, vigencia, planta y aprobacion firmada.</t>
        </is>
      </c>
    </row>
    <row r="1779">
      <c r="A1779" s="43" t="inlineStr">
        <is>
          <t>CTANJZ05533</t>
        </is>
      </c>
      <c r="B1779" s="43" t="inlineStr">
        <is>
          <t>D614415</t>
        </is>
      </c>
      <c r="C1779" s="43" t="inlineStr">
        <is>
          <t>239-CRBU</t>
        </is>
      </c>
      <c r="D1779" s="43" t="inlineStr">
        <is>
          <t>FJZP</t>
        </is>
      </c>
      <c r="E1779" s="43" t="inlineStr">
        <is>
          <t>MCGA</t>
        </is>
      </c>
      <c r="F1779" s="43" t="inlineStr">
        <is>
          <t>73-102434-06</t>
        </is>
      </c>
      <c r="G1779" s="43" t="inlineStr">
        <is>
          <t>BOARD_PN_CANDIDATE</t>
        </is>
      </c>
      <c r="H1779" s="43" t="inlineStr"/>
      <c r="I1779" s="43" t="inlineStr">
        <is>
          <t>Pending</t>
        </is>
      </c>
      <c r="J1779" s="32" t="n">
        <v>46398</v>
      </c>
      <c r="K1779" s="32" t="n"/>
      <c r="L1779" s="43" t="inlineStr">
        <is>
          <t>291,1586</t>
        </is>
      </c>
      <c r="M1779" s="43" t="n">
        <v>2</v>
      </c>
      <c r="N1779" s="33" t="inlineStr"/>
      <c r="O1779" s="43" t="inlineStr">
        <is>
          <t>UNVERIFIED</t>
        </is>
      </c>
      <c r="P1779" s="43" t="inlineStr">
        <is>
          <t>Pending Review</t>
        </is>
      </c>
      <c r="Q1779" s="33" t="inlineStr">
        <is>
          <t>Confirmar SKU/PCBA revision, PN exacto en Common DB, WO, BU, vigencia, planta y aprobacion firmada.</t>
        </is>
      </c>
    </row>
    <row r="1780">
      <c r="A1780" s="43" t="inlineStr">
        <is>
          <t>CTANJZ05534</t>
        </is>
      </c>
      <c r="B1780" s="43" t="inlineStr">
        <is>
          <t>D614416</t>
        </is>
      </c>
      <c r="C1780" s="43" t="inlineStr">
        <is>
          <t>037-STBU</t>
        </is>
      </c>
      <c r="D1780" s="43" t="inlineStr">
        <is>
          <t>FJZP</t>
        </is>
      </c>
      <c r="E1780" s="43" t="inlineStr">
        <is>
          <t>MCGA</t>
        </is>
      </c>
      <c r="F1780" s="43" t="inlineStr">
        <is>
          <t>36-0234-01</t>
        </is>
      </c>
      <c r="G1780" s="43" t="inlineStr">
        <is>
          <t>OTHER_SCOPE_ITEM</t>
        </is>
      </c>
      <c r="H1780" s="43" t="inlineStr"/>
      <c r="I1780" s="43" t="inlineStr">
        <is>
          <t>CCB</t>
        </is>
      </c>
      <c r="J1780" s="32" t="n">
        <v>46398</v>
      </c>
      <c r="K1780" s="32" t="n"/>
      <c r="L1780" s="43" t="inlineStr">
        <is>
          <t>285,1573</t>
        </is>
      </c>
      <c r="M1780" s="43" t="n">
        <v>2</v>
      </c>
      <c r="N1780" s="33" t="inlineStr"/>
      <c r="O1780" s="43" t="inlineStr">
        <is>
          <t>UNVERIFIED</t>
        </is>
      </c>
      <c r="P1780" s="43" t="inlineStr">
        <is>
          <t>Pending Review</t>
        </is>
      </c>
      <c r="Q1780" s="33" t="inlineStr">
        <is>
          <t>Confirmar SKU/PCBA revision, PN exacto en Common DB, WO, BU, vigencia, planta y aprobacion firmada.</t>
        </is>
      </c>
    </row>
    <row r="1781">
      <c r="A1781" s="43" t="inlineStr">
        <is>
          <t>CTANJZ05534</t>
        </is>
      </c>
      <c r="B1781" s="43" t="inlineStr">
        <is>
          <t>D614416</t>
        </is>
      </c>
      <c r="C1781" s="43" t="inlineStr">
        <is>
          <t>037-STBU</t>
        </is>
      </c>
      <c r="D1781" s="43" t="inlineStr">
        <is>
          <t>FJZP</t>
        </is>
      </c>
      <c r="E1781" s="43" t="inlineStr">
        <is>
          <t>MCGA</t>
        </is>
      </c>
      <c r="F1781" s="43" t="inlineStr">
        <is>
          <t>73-20247-06</t>
        </is>
      </c>
      <c r="G1781" s="43" t="inlineStr">
        <is>
          <t>BOARD_PN_CANDIDATE</t>
        </is>
      </c>
      <c r="H1781" s="43" t="inlineStr">
        <is>
          <t>TUFNELL PARK</t>
        </is>
      </c>
      <c r="I1781" s="43" t="inlineStr">
        <is>
          <t>CCB</t>
        </is>
      </c>
      <c r="J1781" s="32" t="n">
        <v>46398</v>
      </c>
      <c r="K1781" s="32" t="n"/>
      <c r="L1781" s="43" t="inlineStr">
        <is>
          <t>286,1574</t>
        </is>
      </c>
      <c r="M1781" s="43" t="n">
        <v>2</v>
      </c>
      <c r="N1781" s="33" t="inlineStr"/>
      <c r="O1781" s="43" t="inlineStr">
        <is>
          <t>UNVERIFIED</t>
        </is>
      </c>
      <c r="P1781" s="43" t="inlineStr">
        <is>
          <t>Pending Review</t>
        </is>
      </c>
      <c r="Q1781" s="33" t="inlineStr">
        <is>
          <t>Confirmar SKU/PCBA revision, PN exacto en Common DB, WO, BU, vigencia, planta y aprobacion firmada.</t>
        </is>
      </c>
    </row>
    <row r="1782">
      <c r="A1782" s="43" t="inlineStr">
        <is>
          <t>CTANJZ05535</t>
        </is>
      </c>
      <c r="B1782" s="43" t="inlineStr">
        <is>
          <t>D614316</t>
        </is>
      </c>
      <c r="C1782" s="43" t="inlineStr">
        <is>
          <t>037-STBU</t>
        </is>
      </c>
      <c r="D1782" s="43" t="inlineStr">
        <is>
          <t>FJZP</t>
        </is>
      </c>
      <c r="E1782" s="43" t="inlineStr">
        <is>
          <t>MCGA</t>
        </is>
      </c>
      <c r="F1782" s="43" t="inlineStr">
        <is>
          <t>15-102870-01</t>
        </is>
      </c>
      <c r="G1782" s="43" t="inlineStr">
        <is>
          <t>OTHER_SCOPE_ITEM</t>
        </is>
      </c>
      <c r="H1782" s="43" t="inlineStr"/>
      <c r="I1782" s="43" t="inlineStr">
        <is>
          <t>CCB</t>
        </is>
      </c>
      <c r="J1782" s="32" t="n">
        <v>46398</v>
      </c>
      <c r="K1782" s="32" t="n"/>
      <c r="L1782" s="43" t="inlineStr">
        <is>
          <t>280,1569</t>
        </is>
      </c>
      <c r="M1782" s="43" t="n">
        <v>2</v>
      </c>
      <c r="N1782" s="33" t="inlineStr"/>
      <c r="O1782" s="43" t="inlineStr">
        <is>
          <t>UNVERIFIED</t>
        </is>
      </c>
      <c r="P1782" s="43" t="inlineStr">
        <is>
          <t>Pending Review</t>
        </is>
      </c>
      <c r="Q1782" s="33" t="inlineStr">
        <is>
          <t>Confirmar SKU/PCBA revision, PN exacto en Common DB, WO, BU, vigencia, planta y aprobacion firmada.</t>
        </is>
      </c>
    </row>
    <row r="1783">
      <c r="A1783" s="43" t="inlineStr">
        <is>
          <t>CTANJZ05535</t>
        </is>
      </c>
      <c r="B1783" s="43" t="inlineStr">
        <is>
          <t>D614316</t>
        </is>
      </c>
      <c r="C1783" s="43" t="inlineStr">
        <is>
          <t>037-STBU</t>
        </is>
      </c>
      <c r="D1783" s="43" t="inlineStr">
        <is>
          <t>FJZP</t>
        </is>
      </c>
      <c r="E1783" s="43" t="inlineStr">
        <is>
          <t>MCGA</t>
        </is>
      </c>
      <c r="F1783" s="43" t="inlineStr">
        <is>
          <t>73-18490-10</t>
        </is>
      </c>
      <c r="G1783" s="43" t="inlineStr">
        <is>
          <t>BOARD_PN_CANDIDATE</t>
        </is>
      </c>
      <c r="H1783" s="43" t="inlineStr"/>
      <c r="I1783" s="43" t="inlineStr">
        <is>
          <t>CCB</t>
        </is>
      </c>
      <c r="J1783" s="32" t="n">
        <v>46398</v>
      </c>
      <c r="K1783" s="32" t="n"/>
      <c r="L1783" s="43" t="inlineStr">
        <is>
          <t>281,1570</t>
        </is>
      </c>
      <c r="M1783" s="43" t="n">
        <v>2</v>
      </c>
      <c r="N1783" s="33" t="inlineStr"/>
      <c r="O1783" s="43" t="inlineStr">
        <is>
          <t>UNVERIFIED</t>
        </is>
      </c>
      <c r="P1783" s="43" t="inlineStr">
        <is>
          <t>Pending Review</t>
        </is>
      </c>
      <c r="Q1783" s="33" t="inlineStr">
        <is>
          <t>Confirmar SKU/PCBA revision, PN exacto en Common DB, WO, BU, vigencia, planta y aprobacion firmada.</t>
        </is>
      </c>
    </row>
    <row r="1784">
      <c r="A1784" s="43" t="inlineStr">
        <is>
          <t>CTANJZ05536</t>
        </is>
      </c>
      <c r="B1784" s="43" t="inlineStr">
        <is>
          <t>D614239</t>
        </is>
      </c>
      <c r="C1784" s="43" t="inlineStr">
        <is>
          <t>018-SRGBU</t>
        </is>
      </c>
      <c r="D1784" s="43" t="inlineStr">
        <is>
          <t>FJZP</t>
        </is>
      </c>
      <c r="E1784" s="43" t="inlineStr">
        <is>
          <t>MCGA</t>
        </is>
      </c>
      <c r="F1784" s="43" t="inlineStr">
        <is>
          <t>20-0743-01</t>
        </is>
      </c>
      <c r="G1784" s="43" t="inlineStr">
        <is>
          <t>OTHER_SCOPE_ITEM</t>
        </is>
      </c>
      <c r="H1784" s="43" t="inlineStr"/>
      <c r="I1784" s="43" t="inlineStr">
        <is>
          <t>CCB</t>
        </is>
      </c>
      <c r="J1784" s="32" t="n">
        <v>46398</v>
      </c>
      <c r="K1784" s="32" t="n"/>
      <c r="L1784" s="43" t="inlineStr">
        <is>
          <t>94,282</t>
        </is>
      </c>
      <c r="M1784" s="43" t="n">
        <v>2</v>
      </c>
      <c r="N1784" s="33" t="inlineStr"/>
      <c r="O1784" s="43" t="inlineStr">
        <is>
          <t>UNVERIFIED</t>
        </is>
      </c>
      <c r="P1784" s="43" t="inlineStr">
        <is>
          <t>Pending Review</t>
        </is>
      </c>
      <c r="Q1784" s="33" t="inlineStr">
        <is>
          <t>Confirmar SKU/PCBA revision, PN exacto en Common DB, WO, BU, vigencia, planta y aprobacion firmada.</t>
        </is>
      </c>
    </row>
    <row r="1785">
      <c r="A1785" s="43" t="inlineStr">
        <is>
          <t>CTANJZ05536</t>
        </is>
      </c>
      <c r="B1785" s="43" t="inlineStr">
        <is>
          <t>D614239</t>
        </is>
      </c>
      <c r="C1785" s="43" t="inlineStr">
        <is>
          <t>018-SRGBU</t>
        </is>
      </c>
      <c r="D1785" s="43" t="inlineStr">
        <is>
          <t>FJZP</t>
        </is>
      </c>
      <c r="E1785" s="43" t="inlineStr">
        <is>
          <t>MCGA</t>
        </is>
      </c>
      <c r="F1785" s="43" t="inlineStr">
        <is>
          <t>73-20198-10</t>
        </is>
      </c>
      <c r="G1785" s="43" t="inlineStr">
        <is>
          <t>BOARD_PN_CANDIDATE</t>
        </is>
      </c>
      <c r="H1785" s="43" t="inlineStr"/>
      <c r="I1785" s="43" t="inlineStr">
        <is>
          <t>Pending</t>
        </is>
      </c>
      <c r="J1785" s="32" t="n">
        <v>46398</v>
      </c>
      <c r="K1785" s="32" t="n"/>
      <c r="L1785" s="43" t="inlineStr">
        <is>
          <t>116,289</t>
        </is>
      </c>
      <c r="M1785" s="43" t="n">
        <v>2</v>
      </c>
      <c r="N1785" s="33" t="inlineStr"/>
      <c r="O1785" s="43" t="inlineStr">
        <is>
          <t>UNVERIFIED</t>
        </is>
      </c>
      <c r="P1785" s="43" t="inlineStr">
        <is>
          <t>Pending Review</t>
        </is>
      </c>
      <c r="Q1785" s="33" t="inlineStr">
        <is>
          <t>Confirmar SKU/PCBA revision, PN exacto en Common DB, WO, BU, vigencia, planta y aprobacion firmada.</t>
        </is>
      </c>
    </row>
    <row r="1786">
      <c r="A1786" s="43" t="inlineStr">
        <is>
          <t>CTANJZ05537</t>
        </is>
      </c>
      <c r="B1786" s="43" t="inlineStr">
        <is>
          <t>D614497</t>
        </is>
      </c>
      <c r="C1786" s="43" t="inlineStr">
        <is>
          <t>239-CRBU</t>
        </is>
      </c>
      <c r="D1786" s="43" t="inlineStr">
        <is>
          <t>FJZP</t>
        </is>
      </c>
      <c r="E1786" s="43" t="inlineStr">
        <is>
          <t>MCGA</t>
        </is>
      </c>
      <c r="F1786" s="43" t="inlineStr">
        <is>
          <t>68-7781-12</t>
        </is>
      </c>
      <c r="G1786" s="43" t="inlineStr">
        <is>
          <t>OTHER_SCOPE_ITEM</t>
        </is>
      </c>
      <c r="H1786" s="43" t="inlineStr"/>
      <c r="I1786" s="43" t="inlineStr">
        <is>
          <t>CCB</t>
        </is>
      </c>
      <c r="J1786" s="32" t="n">
        <v>46399</v>
      </c>
      <c r="K1786" s="32" t="n"/>
      <c r="L1786" s="43" t="inlineStr">
        <is>
          <t>1268</t>
        </is>
      </c>
      <c r="M1786" s="43" t="n">
        <v>1</v>
      </c>
      <c r="N1786" s="33" t="inlineStr"/>
      <c r="O1786" s="43" t="inlineStr">
        <is>
          <t>UNVERIFIED</t>
        </is>
      </c>
      <c r="P1786" s="43" t="inlineStr">
        <is>
          <t>Pending Review</t>
        </is>
      </c>
      <c r="Q1786" s="33" t="inlineStr">
        <is>
          <t>Confirmar SKU/PCBA revision, PN exacto en Common DB, WO, BU, vigencia, planta y aprobacion firmada.</t>
        </is>
      </c>
    </row>
    <row r="1787">
      <c r="A1787" s="43" t="inlineStr">
        <is>
          <t>CTANJZ05537</t>
        </is>
      </c>
      <c r="B1787" s="43" t="inlineStr">
        <is>
          <t>D614497</t>
        </is>
      </c>
      <c r="C1787" s="43" t="inlineStr">
        <is>
          <t>239-CRBU</t>
        </is>
      </c>
      <c r="D1787" s="43" t="inlineStr">
        <is>
          <t>FJZP</t>
        </is>
      </c>
      <c r="E1787" s="43" t="inlineStr">
        <is>
          <t>MCGA</t>
        </is>
      </c>
      <c r="F1787" s="43" t="inlineStr">
        <is>
          <t>68-8178-01</t>
        </is>
      </c>
      <c r="G1787" s="43" t="inlineStr">
        <is>
          <t>OTHER_SCOPE_ITEM</t>
        </is>
      </c>
      <c r="H1787" s="43" t="inlineStr"/>
      <c r="I1787" s="43" t="inlineStr">
        <is>
          <t>CCB</t>
        </is>
      </c>
      <c r="J1787" s="32" t="n">
        <v>46399</v>
      </c>
      <c r="K1787" s="32" t="n"/>
      <c r="L1787" s="43" t="inlineStr">
        <is>
          <t>1269</t>
        </is>
      </c>
      <c r="M1787" s="43" t="n">
        <v>1</v>
      </c>
      <c r="N1787" s="33" t="inlineStr"/>
      <c r="O1787" s="43" t="inlineStr">
        <is>
          <t>UNVERIFIED</t>
        </is>
      </c>
      <c r="P1787" s="43" t="inlineStr">
        <is>
          <t>Pending Review</t>
        </is>
      </c>
      <c r="Q1787" s="33" t="inlineStr">
        <is>
          <t>Confirmar SKU/PCBA revision, PN exacto en Common DB, WO, BU, vigencia, planta y aprobacion firmada.</t>
        </is>
      </c>
    </row>
  </sheetData>
  <printOptions horizontalCentered="0"/>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71777E"/>
    <outlinePr summaryBelow="1" summaryRight="1"/>
    <pageSetUpPr fitToPage="1"/>
  </sheetPr>
  <dimension ref="A1:U1891"/>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7" customWidth="1" min="6" max="6"/>
    <col width="20" customWidth="1" min="7" max="7"/>
    <col width="48" customWidth="1" min="8" max="8"/>
    <col width="17" customWidth="1" min="9" max="9"/>
    <col width="22" customWidth="1" min="10" max="10"/>
    <col width="72" customWidth="1" min="11" max="11"/>
    <col width="14" customWidth="1" min="12" max="12"/>
    <col width="20" customWidth="1" min="13" max="13"/>
    <col width="17" customWidth="1" min="14" max="14"/>
    <col width="19" customWidth="1" min="15" max="15"/>
    <col width="54" customWidth="1" min="16" max="16"/>
    <col width="55" customWidth="1" min="17" max="17"/>
    <col width="19" customWidth="1" min="18" max="18"/>
    <col width="18" customWidth="1" min="19" max="19"/>
    <col width="24" customWidth="1" min="20" max="20"/>
    <col width="42" customWidth="1" min="21" max="21"/>
  </cols>
  <sheetData>
    <row r="1" ht="36" customHeight="1">
      <c r="A1" s="30" t="inlineStr">
        <is>
          <t>CSV Row</t>
        </is>
      </c>
      <c r="B1" s="30" t="inlineStr">
        <is>
          <t>Item #</t>
        </is>
      </c>
      <c r="C1" s="30" t="inlineStr">
        <is>
          <t>Site</t>
        </is>
      </c>
      <c r="D1" s="30" t="inlineStr">
        <is>
          <t>Customer</t>
        </is>
      </c>
      <c r="E1" s="30" t="inlineStr">
        <is>
          <t>Plant</t>
        </is>
      </c>
      <c r="F1" s="30" t="inlineStr">
        <is>
          <t>BU</t>
        </is>
      </c>
      <c r="G1" s="30" t="inlineStr">
        <is>
          <t>Number</t>
        </is>
      </c>
      <c r="H1" s="30" t="inlineStr">
        <is>
          <t>Reason Code</t>
        </is>
      </c>
      <c r="I1" s="30" t="inlineStr">
        <is>
          <t>Deviation Type</t>
        </is>
      </c>
      <c r="J1" s="30" t="inlineStr">
        <is>
          <t>Customer Deviation#</t>
        </is>
      </c>
      <c r="K1" s="30" t="inlineStr">
        <is>
          <t>Descrition of Change</t>
        </is>
      </c>
      <c r="L1" s="30" t="inlineStr">
        <is>
          <t>Status</t>
        </is>
      </c>
      <c r="M1" s="30" t="inlineStr">
        <is>
          <t>Item Number</t>
        </is>
      </c>
      <c r="N1" s="30" t="inlineStr">
        <is>
          <t>Effective From</t>
        </is>
      </c>
      <c r="O1" s="30" t="inlineStr">
        <is>
          <t>Effective To</t>
        </is>
      </c>
      <c r="P1" s="30" t="inlineStr">
        <is>
          <t>Reason Code(Page Two)</t>
        </is>
      </c>
      <c r="Q1" s="30" t="inlineStr">
        <is>
          <t>Marking Instructions</t>
        </is>
      </c>
      <c r="R1" s="30" t="inlineStr">
        <is>
          <t>Date Originated</t>
        </is>
      </c>
      <c r="S1" s="30" t="inlineStr">
        <is>
          <t>Date Released</t>
        </is>
      </c>
      <c r="T1" s="30" t="inlineStr">
        <is>
          <t>Implementation Status</t>
        </is>
      </c>
      <c r="U1" s="30" t="inlineStr">
        <is>
          <t>TE/PE Comment</t>
        </is>
      </c>
    </row>
    <row r="2">
      <c r="A2" s="43" t="n">
        <v>2</v>
      </c>
      <c r="B2" s="43" t="inlineStr">
        <is>
          <t>1</t>
        </is>
      </c>
      <c r="C2" s="43" t="inlineStr">
        <is>
          <t>FJZP</t>
        </is>
      </c>
      <c r="D2" s="43" t="inlineStr">
        <is>
          <t>Cisco</t>
        </is>
      </c>
      <c r="E2" s="43" t="inlineStr">
        <is>
          <t>MCGA</t>
        </is>
      </c>
      <c r="F2" s="43" t="inlineStr">
        <is>
          <t>037-STBU</t>
        </is>
      </c>
      <c r="G2" s="43" t="inlineStr">
        <is>
          <t>CTANJZ04631</t>
        </is>
      </c>
      <c r="H2" s="43" t="inlineStr">
        <is>
          <t>Engineering Qualification Build</t>
        </is>
      </c>
      <c r="I2" s="43" t="inlineStr">
        <is>
          <t>Customer Deviation</t>
        </is>
      </c>
      <c r="J2" s="43" t="inlineStr">
        <is>
          <t>D604068</t>
        </is>
      </c>
      <c r="K2" s="33" t="inlineStr">
        <is>
          <t>D604068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November 2025 to use all the old material</t>
        </is>
      </c>
      <c r="L2" s="43" t="inlineStr">
        <is>
          <t>Expired</t>
        </is>
      </c>
      <c r="M2" s="43" t="inlineStr">
        <is>
          <t>28-102311-04</t>
        </is>
      </c>
      <c r="N2" s="43" t="inlineStr"/>
      <c r="O2" s="43" t="inlineStr">
        <is>
          <t>2025-08-26</t>
        </is>
      </c>
      <c r="P2" s="33" t="inlineStr">
        <is>
          <t>Engineering Qualification Build (EXTENDABLE 2x)</t>
        </is>
      </c>
      <c r="Q2" s="43" t="inlineStr">
        <is>
          <t>Implement first the ECO EA616344 that includes only the replacement of the current connector -29-104201-01 (125 mil solder tail length) with 29-104201-02 (165 mil solder tail length)</t>
        </is>
      </c>
      <c r="R2" s="43" t="inlineStr">
        <is>
          <t>2025-05-29</t>
        </is>
      </c>
      <c r="S2" s="43" t="inlineStr">
        <is>
          <t>2025-06-18</t>
        </is>
      </c>
      <c r="T2" s="43" t="inlineStr"/>
      <c r="U2" s="43" t="inlineStr"/>
    </row>
    <row r="3">
      <c r="A3" s="43" t="n">
        <v>3</v>
      </c>
      <c r="B3" s="43" t="inlineStr">
        <is>
          <t>2</t>
        </is>
      </c>
      <c r="C3" s="43" t="inlineStr">
        <is>
          <t>FJZP</t>
        </is>
      </c>
      <c r="D3" s="43" t="inlineStr">
        <is>
          <t>Cisco</t>
        </is>
      </c>
      <c r="E3" s="43" t="inlineStr">
        <is>
          <t>MCGA</t>
        </is>
      </c>
      <c r="F3" s="43" t="inlineStr">
        <is>
          <t>037-STBU</t>
        </is>
      </c>
      <c r="G3" s="43" t="inlineStr">
        <is>
          <t>CTANJZ04631</t>
        </is>
      </c>
      <c r="H3" s="43" t="inlineStr">
        <is>
          <t>Engineering Qualification Build</t>
        </is>
      </c>
      <c r="I3" s="43" t="inlineStr">
        <is>
          <t>Customer Deviation</t>
        </is>
      </c>
      <c r="J3" s="43" t="inlineStr">
        <is>
          <t>D604068</t>
        </is>
      </c>
      <c r="K3" s="33" t="inlineStr">
        <is>
          <t>D604068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November 2025 to use all the old material</t>
        </is>
      </c>
      <c r="L3" s="43" t="inlineStr">
        <is>
          <t>Expired</t>
        </is>
      </c>
      <c r="M3" s="43" t="inlineStr">
        <is>
          <t>29-104201-01</t>
        </is>
      </c>
      <c r="N3" s="43" t="inlineStr"/>
      <c r="O3" s="43" t="inlineStr">
        <is>
          <t>2025-08-26</t>
        </is>
      </c>
      <c r="P3" s="33" t="inlineStr">
        <is>
          <t>Engineering Qualification Build (EXTENDABLE 2x)</t>
        </is>
      </c>
      <c r="Q3" s="43" t="inlineStr">
        <is>
          <t>Implement first the ECO EA616344 that includes only the replacement of the current connector -29-104201-01 (125 mil solder tail length) with 29-104201-02 (165 mil solder tail length)</t>
        </is>
      </c>
      <c r="R3" s="43" t="inlineStr">
        <is>
          <t>2025-05-29</t>
        </is>
      </c>
      <c r="S3" s="43" t="inlineStr">
        <is>
          <t>2025-06-18</t>
        </is>
      </c>
      <c r="T3" s="43" t="inlineStr"/>
      <c r="U3" s="43" t="inlineStr"/>
    </row>
    <row r="4">
      <c r="A4" s="43" t="n">
        <v>4</v>
      </c>
      <c r="B4" s="43" t="inlineStr">
        <is>
          <t>3</t>
        </is>
      </c>
      <c r="C4" s="43" t="inlineStr">
        <is>
          <t>FJZP</t>
        </is>
      </c>
      <c r="D4" s="43" t="inlineStr">
        <is>
          <t>Cisco</t>
        </is>
      </c>
      <c r="E4" s="43" t="inlineStr">
        <is>
          <t>MCGA</t>
        </is>
      </c>
      <c r="F4" s="43" t="inlineStr">
        <is>
          <t>037-STBU</t>
        </is>
      </c>
      <c r="G4" s="43" t="inlineStr">
        <is>
          <t>CTANJZ04631</t>
        </is>
      </c>
      <c r="H4" s="43" t="inlineStr">
        <is>
          <t>Engineering Qualification Build</t>
        </is>
      </c>
      <c r="I4" s="43" t="inlineStr">
        <is>
          <t>Customer Deviation</t>
        </is>
      </c>
      <c r="J4" s="43" t="inlineStr">
        <is>
          <t>D604068</t>
        </is>
      </c>
      <c r="K4" s="33" t="inlineStr">
        <is>
          <t>D604068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November 2025 to use all the old material</t>
        </is>
      </c>
      <c r="L4" s="43" t="inlineStr">
        <is>
          <t>Expired</t>
        </is>
      </c>
      <c r="M4" s="43" t="inlineStr">
        <is>
          <t>29-104201-02</t>
        </is>
      </c>
      <c r="N4" s="43" t="inlineStr"/>
      <c r="O4" s="43" t="inlineStr">
        <is>
          <t>2025-08-26</t>
        </is>
      </c>
      <c r="P4" s="33" t="inlineStr">
        <is>
          <t>Engineering Qualification Build (EXTENDABLE 2x)</t>
        </is>
      </c>
      <c r="Q4" s="43" t="inlineStr">
        <is>
          <t>Implement first the ECO EA616344 that includes only the replacement of the current connector -29-104201-01 (125 mil solder tail length) with 29-104201-02 (165 mil solder tail length)</t>
        </is>
      </c>
      <c r="R4" s="43" t="inlineStr">
        <is>
          <t>2025-05-29</t>
        </is>
      </c>
      <c r="S4" s="43" t="inlineStr">
        <is>
          <t>2025-06-18</t>
        </is>
      </c>
      <c r="T4" s="43" t="inlineStr"/>
      <c r="U4" s="43" t="inlineStr"/>
    </row>
    <row r="5">
      <c r="A5" s="43" t="n">
        <v>5</v>
      </c>
      <c r="B5" s="43" t="inlineStr">
        <is>
          <t>4</t>
        </is>
      </c>
      <c r="C5" s="43" t="inlineStr">
        <is>
          <t>FJZP</t>
        </is>
      </c>
      <c r="D5" s="43" t="inlineStr">
        <is>
          <t>Cisco</t>
        </is>
      </c>
      <c r="E5" s="43" t="inlineStr">
        <is>
          <t>MCGA</t>
        </is>
      </c>
      <c r="F5" s="43" t="inlineStr">
        <is>
          <t>037-STBU</t>
        </is>
      </c>
      <c r="G5" s="43" t="inlineStr">
        <is>
          <t>CTANJZ04631</t>
        </is>
      </c>
      <c r="H5" s="43" t="inlineStr">
        <is>
          <t>Engineering Qualification Build</t>
        </is>
      </c>
      <c r="I5" s="43" t="inlineStr">
        <is>
          <t>Customer Deviation</t>
        </is>
      </c>
      <c r="J5" s="43" t="inlineStr">
        <is>
          <t>D604068</t>
        </is>
      </c>
      <c r="K5" s="33" t="inlineStr">
        <is>
          <t>D604068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November 2025 to use all the old material</t>
        </is>
      </c>
      <c r="L5" s="43" t="inlineStr">
        <is>
          <t>Expired</t>
        </is>
      </c>
      <c r="M5" s="43" t="inlineStr">
        <is>
          <t>73-102433-04</t>
        </is>
      </c>
      <c r="N5" s="43" t="inlineStr"/>
      <c r="O5" s="43" t="inlineStr">
        <is>
          <t>2025-08-26</t>
        </is>
      </c>
      <c r="P5" s="33" t="inlineStr">
        <is>
          <t>Engineering Qualification Build (EXTENDABLE 2x)</t>
        </is>
      </c>
      <c r="Q5" s="43" t="inlineStr">
        <is>
          <t>Implement first the ECO EA616344 that includes only the replacement of the current connector -29-104201-01 (125 mil solder tail length) with 29-104201-02 (165 mil solder tail length)</t>
        </is>
      </c>
      <c r="R5" s="43" t="inlineStr">
        <is>
          <t>2025-05-29</t>
        </is>
      </c>
      <c r="S5" s="43" t="inlineStr">
        <is>
          <t>2025-06-18</t>
        </is>
      </c>
      <c r="T5" s="43" t="inlineStr"/>
      <c r="U5" s="43" t="inlineStr"/>
    </row>
    <row r="6">
      <c r="A6" s="43" t="n">
        <v>6</v>
      </c>
      <c r="B6" s="43" t="inlineStr">
        <is>
          <t>5</t>
        </is>
      </c>
      <c r="C6" s="43" t="inlineStr">
        <is>
          <t>FJZP</t>
        </is>
      </c>
      <c r="D6" s="43" t="inlineStr">
        <is>
          <t>Cisco</t>
        </is>
      </c>
      <c r="E6" s="43" t="inlineStr">
        <is>
          <t>MCGA</t>
        </is>
      </c>
      <c r="F6" s="43" t="inlineStr">
        <is>
          <t>037-STBU</t>
        </is>
      </c>
      <c r="G6" s="43" t="inlineStr">
        <is>
          <t>CTANJZ04631</t>
        </is>
      </c>
      <c r="H6" s="43" t="inlineStr">
        <is>
          <t>Engineering Qualification Build</t>
        </is>
      </c>
      <c r="I6" s="43" t="inlineStr">
        <is>
          <t>Customer Deviation</t>
        </is>
      </c>
      <c r="J6" s="43" t="inlineStr">
        <is>
          <t>D604068</t>
        </is>
      </c>
      <c r="K6" s="33" t="inlineStr">
        <is>
          <t>D604068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November 2025 to use all the old material</t>
        </is>
      </c>
      <c r="L6" s="43" t="inlineStr">
        <is>
          <t>Expired</t>
        </is>
      </c>
      <c r="M6" s="43" t="inlineStr">
        <is>
          <t>73-102433-05</t>
        </is>
      </c>
      <c r="N6" s="43" t="inlineStr"/>
      <c r="O6" s="43" t="inlineStr">
        <is>
          <t>2025-08-26</t>
        </is>
      </c>
      <c r="P6" s="33" t="inlineStr">
        <is>
          <t>Engineering Qualification Build (EXTENDABLE 2x)</t>
        </is>
      </c>
      <c r="Q6" s="43" t="inlineStr">
        <is>
          <t>Implement first the ECO EA616344 that includes only the replacement of the current connector -29-104201-01 (125 mil solder tail length) with 29-104201-02 (165 mil solder tail length)</t>
        </is>
      </c>
      <c r="R6" s="43" t="inlineStr">
        <is>
          <t>2025-05-29</t>
        </is>
      </c>
      <c r="S6" s="43" t="inlineStr">
        <is>
          <t>2025-06-18</t>
        </is>
      </c>
      <c r="T6" s="43" t="inlineStr"/>
      <c r="U6" s="43" t="inlineStr"/>
    </row>
    <row r="7">
      <c r="A7" s="43" t="n">
        <v>7</v>
      </c>
      <c r="B7" s="43" t="inlineStr">
        <is>
          <t>6</t>
        </is>
      </c>
      <c r="C7" s="43" t="inlineStr">
        <is>
          <t>FJZP</t>
        </is>
      </c>
      <c r="D7" s="43" t="inlineStr">
        <is>
          <t>Cisco</t>
        </is>
      </c>
      <c r="E7" s="43" t="inlineStr">
        <is>
          <t>MCGA</t>
        </is>
      </c>
      <c r="F7" s="43" t="inlineStr">
        <is>
          <t>037-STBU</t>
        </is>
      </c>
      <c r="G7" s="43" t="inlineStr">
        <is>
          <t>CTANJZ04631</t>
        </is>
      </c>
      <c r="H7" s="43" t="inlineStr">
        <is>
          <t>Engineering Qualification Build</t>
        </is>
      </c>
      <c r="I7" s="43" t="inlineStr">
        <is>
          <t>Customer Deviation</t>
        </is>
      </c>
      <c r="J7" s="43" t="inlineStr">
        <is>
          <t>D604068</t>
        </is>
      </c>
      <c r="K7" s="33" t="inlineStr">
        <is>
          <t>D604068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November 2025 to use all the old material</t>
        </is>
      </c>
      <c r="L7" s="43" t="inlineStr">
        <is>
          <t>Expired</t>
        </is>
      </c>
      <c r="M7" s="43" t="inlineStr">
        <is>
          <t>73-102434-04</t>
        </is>
      </c>
      <c r="N7" s="43" t="inlineStr"/>
      <c r="O7" s="43" t="inlineStr">
        <is>
          <t>2025-08-26</t>
        </is>
      </c>
      <c r="P7" s="33" t="inlineStr">
        <is>
          <t>Engineering Qualification Build (EXTENDABLE 2x)</t>
        </is>
      </c>
      <c r="Q7" s="43" t="inlineStr">
        <is>
          <t>Implement first the ECO EA616344 that includes only the replacement of the current connector -29-104201-01 (125 mil solder tail length) with 29-104201-02 (165 mil solder tail length)</t>
        </is>
      </c>
      <c r="R7" s="43" t="inlineStr">
        <is>
          <t>2025-05-29</t>
        </is>
      </c>
      <c r="S7" s="43" t="inlineStr">
        <is>
          <t>2025-06-18</t>
        </is>
      </c>
      <c r="T7" s="43" t="inlineStr"/>
      <c r="U7" s="43" t="inlineStr"/>
    </row>
    <row r="8">
      <c r="A8" s="43" t="n">
        <v>8</v>
      </c>
      <c r="B8" s="43" t="inlineStr">
        <is>
          <t>7</t>
        </is>
      </c>
      <c r="C8" s="43" t="inlineStr">
        <is>
          <t>FJZP</t>
        </is>
      </c>
      <c r="D8" s="43" t="inlineStr">
        <is>
          <t>Cisco</t>
        </is>
      </c>
      <c r="E8" s="43" t="inlineStr">
        <is>
          <t>MCGA</t>
        </is>
      </c>
      <c r="F8" s="43" t="inlineStr">
        <is>
          <t>037-STBU</t>
        </is>
      </c>
      <c r="G8" s="43" t="inlineStr">
        <is>
          <t>CTANJZ04556</t>
        </is>
      </c>
      <c r="H8" s="43" t="inlineStr">
        <is>
          <t>Engineering Qualification Build</t>
        </is>
      </c>
      <c r="I8" s="43" t="inlineStr">
        <is>
          <t>Customer Deviation</t>
        </is>
      </c>
      <c r="J8" s="43" t="inlineStr">
        <is>
          <t>D603102</t>
        </is>
      </c>
      <c r="K8" s="33" t="inlineStr">
        <is>
          <t>D603102 Issue: Rommon change from 1.3.03 to 1.3.05; but the FPGA still showing Golden FPGA Version 0.20.0 and Running FPGA Version 0.21.0 and rommon is waiting for FPGA 0.22.0Validation: All scenarios passed and upgraded ROMMON to 1.3.05 and FPGA golden v21 &amp; running v22A. 1.3.05 - Partially ECO implementation (ROMMON) =&gt; Script downgrade to 1.3.03; upgrade through FW bundle to 1.3.05 and FPGA golden v21 &amp; running v22B. 1.3.03- Partially ECO implementation; manually downgraded ROMMON from 1.3.05 =&gt; upgrade through FW bundle to 1.3.05 and FPGA golden v21 &amp; running v22C. 1.3.03 - Pre-ECO implementation; likely passed P2C already =&gt; upgrade through FW bundle to 1.3.05 and FPGA golden v21 &amp; running v22D. 1.2.X - Previous released pre-programmed =&gt; upgrade through FW bundle to 1.3.05 and FPGA golden v21 &amp; running v22Material availability:1. FJZ is allowed to use the old rev material until we received the new parts to fully implementTo receive in April 2025:17-102041-05 - FPGA CONFIG; SPI17-102043-02 - NIC SPI17-102050-06 - POWER SEQUENCERTo receive in June 2025:17-16001-05 - FPGA+Akido+Secure_JTAGMaterial with new version OH:17-102040-06 - BIOS_ROMMON17-102102-03 - NIC SPI; U85; VER 21.00.022. The parts 17-102041-07 (FPGA CONFIG; SPI) and 17-16001-07 (FPGA+Akido+Secure_JTAG) **must be used** together. No mixing of new versions of these with old version. No exceptions.</t>
        </is>
      </c>
      <c r="L8" s="43" t="inlineStr">
        <is>
          <t>Expired</t>
        </is>
      </c>
      <c r="M8" s="43" t="inlineStr">
        <is>
          <t>17-102041-05</t>
        </is>
      </c>
      <c r="N8" s="43" t="inlineStr"/>
      <c r="O8" s="43" t="inlineStr">
        <is>
          <t>2025-10-06</t>
        </is>
      </c>
      <c r="P8" s="33" t="inlineStr">
        <is>
          <t>Engineering Qualification Build (EXTENDABLE 2x)</t>
        </is>
      </c>
      <c r="Q8" s="43" t="inlineStr">
        <is>
          <t>Material availability:1. FJZ is allowed to use the old rev material until we received the new parts to fully implementTo receive in April 2025:17-102041-05 - FPGA CONFIG; SPI17-102043-02 - NIC SPI; U85; VER 22.00.0417-102050-06 - POWER SEQUENCERTo receive in June 2025:17-16001-05 - FPGA+Akido+Secure_JTAGMaterial with new version OH:17-102040-06 - BIOS_ROMMON17-102102-03 - NIC SPI; U85; VER 21.00.022. The parts 17-102041-07 (FPGA CONFIG; SPI) and 17-16001-07 (FPGA+Ak</t>
        </is>
      </c>
      <c r="R8" s="43" t="inlineStr">
        <is>
          <t>2025-04-10</t>
        </is>
      </c>
      <c r="S8" s="43" t="inlineStr">
        <is>
          <t>2025-04-24</t>
        </is>
      </c>
      <c r="T8" s="43" t="inlineStr"/>
      <c r="U8" s="43" t="inlineStr"/>
    </row>
    <row r="9">
      <c r="A9" s="43" t="n">
        <v>9</v>
      </c>
      <c r="B9" s="43" t="inlineStr">
        <is>
          <t>8</t>
        </is>
      </c>
      <c r="C9" s="43" t="inlineStr">
        <is>
          <t>FJZP</t>
        </is>
      </c>
      <c r="D9" s="43" t="inlineStr">
        <is>
          <t>Cisco</t>
        </is>
      </c>
      <c r="E9" s="43" t="inlineStr">
        <is>
          <t>MCGA</t>
        </is>
      </c>
      <c r="F9" s="43" t="inlineStr">
        <is>
          <t>037-STBU</t>
        </is>
      </c>
      <c r="G9" s="43" t="inlineStr">
        <is>
          <t>CTANJZ04556</t>
        </is>
      </c>
      <c r="H9" s="43" t="inlineStr">
        <is>
          <t>Engineering Qualification Build</t>
        </is>
      </c>
      <c r="I9" s="43" t="inlineStr">
        <is>
          <t>Customer Deviation</t>
        </is>
      </c>
      <c r="J9" s="43" t="inlineStr">
        <is>
          <t>D603102</t>
        </is>
      </c>
      <c r="K9" s="33" t="inlineStr">
        <is>
          <t>D603102 Issue: Rommon change from 1.3.03 to 1.3.05; but the FPGA still showing Golden FPGA Version 0.20.0 and Running FPGA Version 0.21.0 and rommon is waiting for FPGA 0.22.0Validation: All scenarios passed and upgraded ROMMON to 1.3.05 and FPGA golden v21 &amp; running v22A. 1.3.05 - Partially ECO implementation (ROMMON) =&gt; Script downgrade to 1.3.03; upgrade through FW bundle to 1.3.05 and FPGA golden v21 &amp; running v22B. 1.3.03- Partially ECO implementation; manually downgraded ROMMON from 1.3.05 =&gt; upgrade through FW bundle to 1.3.05 and FPGA golden v21 &amp; running v22C. 1.3.03 - Pre-ECO implementation; likely passed P2C already =&gt; upgrade through FW bundle to 1.3.05 and FPGA golden v21 &amp; running v22D. 1.2.X - Previous released pre-programmed =&gt; upgrade through FW bundle to 1.3.05 and FPGA golden v21 &amp; running v22Material availability:1. FJZ is allowed to use the old rev material until we received the new parts to fully implementTo receive in April 2025:17-102041-05 - FPGA CONFIG; SPI17-102043-02 - NIC SPI17-102050-06 - POWER SEQUENCERTo receive in June 2025:17-16001-05 - FPGA+Akido+Secure_JTAGMaterial with new version OH:17-102040-06 - BIOS_ROMMON17-102102-03 - NIC SPI; U85; VER 21.00.022. The parts 17-102041-07 (FPGA CONFIG; SPI) and 17-16001-07 (FPGA+Akido+Secure_JTAG) **must be used** together. No mixing of new versions of these with old version. No exceptions.</t>
        </is>
      </c>
      <c r="L9" s="43" t="inlineStr">
        <is>
          <t>Expired</t>
        </is>
      </c>
      <c r="M9" s="43" t="inlineStr">
        <is>
          <t>17-102043-02</t>
        </is>
      </c>
      <c r="N9" s="43" t="inlineStr"/>
      <c r="O9" s="43" t="inlineStr">
        <is>
          <t>2025-10-06</t>
        </is>
      </c>
      <c r="P9" s="33" t="inlineStr">
        <is>
          <t>Engineering Qualification Build (EXTENDABLE 2x)</t>
        </is>
      </c>
      <c r="Q9" s="43" t="inlineStr">
        <is>
          <t>Material availability:1. FJZ is allowed to use the old rev material until we received the new parts to fully implementTo receive in April 2025:17-102041-05 - FPGA CONFIG; SPI17-102043-02 - NIC SPI; U85; VER 22.00.0417-102050-06 - POWER SEQUENCERTo receive in June 2025:17-16001-05 - FPGA+Akido+Secure_JTAGMaterial with new version OH:17-102040-06 - BIOS_ROMMON17-102102-03 - NIC SPI; U85; VER 21.00.022. The parts 17-102041-07 (FPGA CONFIG; SPI) and 17-16001-07 (FPGA+Ak</t>
        </is>
      </c>
      <c r="R9" s="43" t="inlineStr">
        <is>
          <t>2025-04-10</t>
        </is>
      </c>
      <c r="S9" s="43" t="inlineStr">
        <is>
          <t>2025-04-24</t>
        </is>
      </c>
      <c r="T9" s="43" t="inlineStr"/>
      <c r="U9" s="43" t="inlineStr"/>
    </row>
    <row r="10">
      <c r="A10" s="43" t="n">
        <v>10</v>
      </c>
      <c r="B10" s="43" t="inlineStr">
        <is>
          <t>9</t>
        </is>
      </c>
      <c r="C10" s="43" t="inlineStr">
        <is>
          <t>FJZP</t>
        </is>
      </c>
      <c r="D10" s="43" t="inlineStr">
        <is>
          <t>Cisco</t>
        </is>
      </c>
      <c r="E10" s="43" t="inlineStr">
        <is>
          <t>MCGA</t>
        </is>
      </c>
      <c r="F10" s="43" t="inlineStr">
        <is>
          <t>037-STBU</t>
        </is>
      </c>
      <c r="G10" s="43" t="inlineStr">
        <is>
          <t>CTANJZ04556</t>
        </is>
      </c>
      <c r="H10" s="43" t="inlineStr">
        <is>
          <t>Engineering Qualification Build</t>
        </is>
      </c>
      <c r="I10" s="43" t="inlineStr">
        <is>
          <t>Customer Deviation</t>
        </is>
      </c>
      <c r="J10" s="43" t="inlineStr">
        <is>
          <t>D603102</t>
        </is>
      </c>
      <c r="K10" s="33" t="inlineStr">
        <is>
          <t>D603102 Issue: Rommon change from 1.3.03 to 1.3.05; but the FPGA still showing Golden FPGA Version 0.20.0 and Running FPGA Version 0.21.0 and rommon is waiting for FPGA 0.22.0Validation: All scenarios passed and upgraded ROMMON to 1.3.05 and FPGA golden v21 &amp; running v22A. 1.3.05 - Partially ECO implementation (ROMMON) =&gt; Script downgrade to 1.3.03; upgrade through FW bundle to 1.3.05 and FPGA golden v21 &amp; running v22B. 1.3.03- Partially ECO implementation; manually downgraded ROMMON from 1.3.05 =&gt; upgrade through FW bundle to 1.3.05 and FPGA golden v21 &amp; running v22C. 1.3.03 - Pre-ECO implementation; likely passed P2C already =&gt; upgrade through FW bundle to 1.3.05 and FPGA golden v21 &amp; running v22D. 1.2.X - Previous released pre-programmed =&gt; upgrade through FW bundle to 1.3.05 and FPGA golden v21 &amp; running v22Material availability:1. FJZ is allowed to use the old rev material until we received the new parts to fully implementTo receive in April 2025:17-102041-05 - FPGA CONFIG; SPI17-102043-02 - NIC SPI17-102050-06 - POWER SEQUENCERTo receive in June 2025:17-16001-05 - FPGA+Akido+Secure_JTAGMaterial with new version OH:17-102040-06 - BIOS_ROMMON17-102102-03 - NIC SPI; U85; VER 21.00.022. The parts 17-102041-07 (FPGA CONFIG; SPI) and 17-16001-07 (FPGA+Akido+Secure_JTAG) **must be used** together. No mixing of new versions of these with old version. No exceptions.</t>
        </is>
      </c>
      <c r="L10" s="43" t="inlineStr">
        <is>
          <t>Expired</t>
        </is>
      </c>
      <c r="M10" s="43" t="inlineStr">
        <is>
          <t>17-102050-06</t>
        </is>
      </c>
      <c r="N10" s="43" t="inlineStr"/>
      <c r="O10" s="43" t="inlineStr">
        <is>
          <t>2025-10-06</t>
        </is>
      </c>
      <c r="P10" s="33" t="inlineStr">
        <is>
          <t>Engineering Qualification Build (EXTENDABLE 2x)</t>
        </is>
      </c>
      <c r="Q10" s="43" t="inlineStr">
        <is>
          <t>Material availability:1. FJZ is allowed to use the old rev material until we received the new parts to fully implementTo receive in April 2025:17-102041-05 - FPGA CONFIG; SPI17-102043-02 - NIC SPI; U85; VER 22.00.0417-102050-06 - POWER SEQUENCERTo receive in June 2025:17-16001-05 - FPGA+Akido+Secure_JTAGMaterial with new version OH:17-102040-06 - BIOS_ROMMON17-102102-03 - NIC SPI; U85; VER 21.00.022. The parts 17-102041-07 (FPGA CONFIG; SPI) and 17-16001-07 (FPGA+Ak</t>
        </is>
      </c>
      <c r="R10" s="43" t="inlineStr">
        <is>
          <t>2025-04-10</t>
        </is>
      </c>
      <c r="S10" s="43" t="inlineStr">
        <is>
          <t>2025-04-24</t>
        </is>
      </c>
      <c r="T10" s="43" t="inlineStr"/>
      <c r="U10" s="43" t="inlineStr"/>
    </row>
    <row r="11">
      <c r="A11" s="43" t="n">
        <v>11</v>
      </c>
      <c r="B11" s="43" t="inlineStr">
        <is>
          <t>10</t>
        </is>
      </c>
      <c r="C11" s="43" t="inlineStr">
        <is>
          <t>FJZP</t>
        </is>
      </c>
      <c r="D11" s="43" t="inlineStr">
        <is>
          <t>Cisco</t>
        </is>
      </c>
      <c r="E11" s="43" t="inlineStr">
        <is>
          <t>MCGA</t>
        </is>
      </c>
      <c r="F11" s="43" t="inlineStr">
        <is>
          <t>037-STBU</t>
        </is>
      </c>
      <c r="G11" s="43" t="inlineStr">
        <is>
          <t>CTANJZ04676</t>
        </is>
      </c>
      <c r="H11" s="43" t="inlineStr">
        <is>
          <t>Engineering Qualification Build</t>
        </is>
      </c>
      <c r="I11" s="43" t="inlineStr">
        <is>
          <t>Customer Deviation</t>
        </is>
      </c>
      <c r="J11" s="43" t="inlineStr">
        <is>
          <t>D604366</t>
        </is>
      </c>
      <c r="K11" s="33" t="inlineStr">
        <is>
          <t>D604366 Please see PageThree for details</t>
        </is>
      </c>
      <c r="L11" s="43" t="inlineStr">
        <is>
          <t>Expired</t>
        </is>
      </c>
      <c r="M11" s="43" t="inlineStr">
        <is>
          <t>17-102041-05</t>
        </is>
      </c>
      <c r="N11" s="43" t="inlineStr"/>
      <c r="O11" s="43" t="inlineStr">
        <is>
          <t>2025-09-16</t>
        </is>
      </c>
      <c r="P11" s="33" t="inlineStr">
        <is>
          <t>Engineering Qualification Build (EXTENDABLE 2x)</t>
        </is>
      </c>
      <c r="Q11" s="43" t="inlineStr">
        <is>
          <t>N/A</t>
        </is>
      </c>
      <c r="R11" s="43" t="inlineStr">
        <is>
          <t>2025-06-19</t>
        </is>
      </c>
      <c r="S11" s="43" t="inlineStr">
        <is>
          <t>2025-07-15</t>
        </is>
      </c>
      <c r="T11" s="43" t="inlineStr"/>
      <c r="U11" s="43" t="inlineStr"/>
    </row>
    <row r="12">
      <c r="A12" s="43" t="n">
        <v>12</v>
      </c>
      <c r="B12" s="43" t="inlineStr">
        <is>
          <t>11</t>
        </is>
      </c>
      <c r="C12" s="43" t="inlineStr">
        <is>
          <t>FJZP</t>
        </is>
      </c>
      <c r="D12" s="43" t="inlineStr">
        <is>
          <t>Cisco</t>
        </is>
      </c>
      <c r="E12" s="43" t="inlineStr">
        <is>
          <t>MCGA</t>
        </is>
      </c>
      <c r="F12" s="43" t="inlineStr">
        <is>
          <t>037-STBU</t>
        </is>
      </c>
      <c r="G12" s="43" t="inlineStr">
        <is>
          <t>CTANJZ04676</t>
        </is>
      </c>
      <c r="H12" s="43" t="inlineStr">
        <is>
          <t>Engineering Qualification Build</t>
        </is>
      </c>
      <c r="I12" s="43" t="inlineStr">
        <is>
          <t>Customer Deviation</t>
        </is>
      </c>
      <c r="J12" s="43" t="inlineStr">
        <is>
          <t>D604366</t>
        </is>
      </c>
      <c r="K12" s="33" t="inlineStr">
        <is>
          <t>D604366 Please see PageThree for details</t>
        </is>
      </c>
      <c r="L12" s="43" t="inlineStr">
        <is>
          <t>Expired</t>
        </is>
      </c>
      <c r="M12" s="43" t="inlineStr">
        <is>
          <t>17-102043-02</t>
        </is>
      </c>
      <c r="N12" s="43" t="inlineStr"/>
      <c r="O12" s="43" t="inlineStr">
        <is>
          <t>2025-09-16</t>
        </is>
      </c>
      <c r="P12" s="33" t="inlineStr">
        <is>
          <t>Engineering Qualification Build (EXTENDABLE 2x)</t>
        </is>
      </c>
      <c r="Q12" s="43" t="inlineStr">
        <is>
          <t>N/A</t>
        </is>
      </c>
      <c r="R12" s="43" t="inlineStr">
        <is>
          <t>2025-06-19</t>
        </is>
      </c>
      <c r="S12" s="43" t="inlineStr">
        <is>
          <t>2025-07-15</t>
        </is>
      </c>
      <c r="T12" s="43" t="inlineStr"/>
      <c r="U12" s="43" t="inlineStr"/>
    </row>
    <row r="13">
      <c r="A13" s="43" t="n">
        <v>13</v>
      </c>
      <c r="B13" s="43" t="inlineStr">
        <is>
          <t>12</t>
        </is>
      </c>
      <c r="C13" s="43" t="inlineStr">
        <is>
          <t>FJZP</t>
        </is>
      </c>
      <c r="D13" s="43" t="inlineStr">
        <is>
          <t>Cisco</t>
        </is>
      </c>
      <c r="E13" s="43" t="inlineStr">
        <is>
          <t>MCGA</t>
        </is>
      </c>
      <c r="F13" s="43" t="inlineStr">
        <is>
          <t>037-STBU</t>
        </is>
      </c>
      <c r="G13" s="43" t="inlineStr">
        <is>
          <t>CTANJZ04676</t>
        </is>
      </c>
      <c r="H13" s="43" t="inlineStr">
        <is>
          <t>Engineering Qualification Build</t>
        </is>
      </c>
      <c r="I13" s="43" t="inlineStr">
        <is>
          <t>Customer Deviation</t>
        </is>
      </c>
      <c r="J13" s="43" t="inlineStr">
        <is>
          <t>D604366</t>
        </is>
      </c>
      <c r="K13" s="33" t="inlineStr">
        <is>
          <t>D604366 Please see PageThree for details</t>
        </is>
      </c>
      <c r="L13" s="43" t="inlineStr">
        <is>
          <t>Expired</t>
        </is>
      </c>
      <c r="M13" s="43" t="inlineStr">
        <is>
          <t>17-102050-06</t>
        </is>
      </c>
      <c r="N13" s="43" t="inlineStr"/>
      <c r="O13" s="43" t="inlineStr">
        <is>
          <t>2025-09-16</t>
        </is>
      </c>
      <c r="P13" s="33" t="inlineStr">
        <is>
          <t>Engineering Qualification Build (EXTENDABLE 2x)</t>
        </is>
      </c>
      <c r="Q13" s="43" t="inlineStr">
        <is>
          <t>N/A</t>
        </is>
      </c>
      <c r="R13" s="43" t="inlineStr">
        <is>
          <t>2025-06-19</t>
        </is>
      </c>
      <c r="S13" s="43" t="inlineStr">
        <is>
          <t>2025-07-15</t>
        </is>
      </c>
      <c r="T13" s="43" t="inlineStr"/>
      <c r="U13" s="43" t="inlineStr"/>
    </row>
    <row r="14">
      <c r="A14" s="43" t="n">
        <v>14</v>
      </c>
      <c r="B14" s="43" t="inlineStr">
        <is>
          <t>13</t>
        </is>
      </c>
      <c r="C14" s="43" t="inlineStr">
        <is>
          <t>FJZP</t>
        </is>
      </c>
      <c r="D14" s="43" t="inlineStr">
        <is>
          <t>Cisco</t>
        </is>
      </c>
      <c r="E14" s="43" t="inlineStr">
        <is>
          <t>MCGA</t>
        </is>
      </c>
      <c r="F14" s="43" t="inlineStr">
        <is>
          <t>037-STBU</t>
        </is>
      </c>
      <c r="G14" s="43" t="inlineStr">
        <is>
          <t>CTANJZ04676</t>
        </is>
      </c>
      <c r="H14" s="43" t="inlineStr">
        <is>
          <t>Engineering Qualification Build</t>
        </is>
      </c>
      <c r="I14" s="43" t="inlineStr">
        <is>
          <t>Customer Deviation</t>
        </is>
      </c>
      <c r="J14" s="43" t="inlineStr">
        <is>
          <t>D604366</t>
        </is>
      </c>
      <c r="K14" s="33" t="inlineStr">
        <is>
          <t>D604366 Please see PageThree for details</t>
        </is>
      </c>
      <c r="L14" s="43" t="inlineStr">
        <is>
          <t>Expired</t>
        </is>
      </c>
      <c r="M14" s="43" t="inlineStr">
        <is>
          <t>17-16001-05</t>
        </is>
      </c>
      <c r="N14" s="43" t="inlineStr"/>
      <c r="O14" s="43" t="inlineStr">
        <is>
          <t>2025-09-16</t>
        </is>
      </c>
      <c r="P14" s="33" t="inlineStr">
        <is>
          <t>Engineering Qualification Build (EXTENDABLE 2x)</t>
        </is>
      </c>
      <c r="Q14" s="43" t="inlineStr">
        <is>
          <t>N/A</t>
        </is>
      </c>
      <c r="R14" s="43" t="inlineStr">
        <is>
          <t>2025-06-19</t>
        </is>
      </c>
      <c r="S14" s="43" t="inlineStr">
        <is>
          <t>2025-07-15</t>
        </is>
      </c>
      <c r="T14" s="43" t="inlineStr"/>
      <c r="U14" s="43" t="inlineStr"/>
    </row>
    <row r="15">
      <c r="A15" s="43" t="n">
        <v>15</v>
      </c>
      <c r="B15" s="43" t="inlineStr">
        <is>
          <t>14</t>
        </is>
      </c>
      <c r="C15" s="43" t="inlineStr">
        <is>
          <t>FJZP</t>
        </is>
      </c>
      <c r="D15" s="43" t="inlineStr">
        <is>
          <t>Cisco</t>
        </is>
      </c>
      <c r="E15" s="43" t="inlineStr">
        <is>
          <t>MCGA</t>
        </is>
      </c>
      <c r="F15" s="43" t="inlineStr">
        <is>
          <t>037-STBU</t>
        </is>
      </c>
      <c r="G15" s="43" t="inlineStr">
        <is>
          <t>CTANJZ04676</t>
        </is>
      </c>
      <c r="H15" s="43" t="inlineStr">
        <is>
          <t>Engineering Qualification Build</t>
        </is>
      </c>
      <c r="I15" s="43" t="inlineStr">
        <is>
          <t>Customer Deviation</t>
        </is>
      </c>
      <c r="J15" s="43" t="inlineStr">
        <is>
          <t>D604366</t>
        </is>
      </c>
      <c r="K15" s="33" t="inlineStr">
        <is>
          <t>D604366 Please see PageThree for details</t>
        </is>
      </c>
      <c r="L15" s="43" t="inlineStr">
        <is>
          <t>Expired</t>
        </is>
      </c>
      <c r="M15" s="43" t="inlineStr">
        <is>
          <t>73-20247-05</t>
        </is>
      </c>
      <c r="N15" s="43" t="inlineStr"/>
      <c r="O15" s="43" t="inlineStr">
        <is>
          <t>2025-09-16</t>
        </is>
      </c>
      <c r="P15" s="33" t="inlineStr">
        <is>
          <t>Engineering Qualification Build (EXTENDABLE 2x)</t>
        </is>
      </c>
      <c r="Q15" s="43" t="inlineStr">
        <is>
          <t>N/A</t>
        </is>
      </c>
      <c r="R15" s="43" t="inlineStr">
        <is>
          <t>2025-06-19</t>
        </is>
      </c>
      <c r="S15" s="43" t="inlineStr">
        <is>
          <t>2025-07-15</t>
        </is>
      </c>
      <c r="T15" s="43" t="inlineStr"/>
      <c r="U15" s="43" t="inlineStr"/>
    </row>
    <row r="16">
      <c r="A16" s="43" t="n">
        <v>16</v>
      </c>
      <c r="B16" s="43" t="inlineStr">
        <is>
          <t>15</t>
        </is>
      </c>
      <c r="C16" s="43" t="inlineStr">
        <is>
          <t>FJZP</t>
        </is>
      </c>
      <c r="D16" s="43" t="inlineStr">
        <is>
          <t>Cisco</t>
        </is>
      </c>
      <c r="E16" s="43" t="inlineStr">
        <is>
          <t>MCGA</t>
        </is>
      </c>
      <c r="F16" s="43" t="inlineStr">
        <is>
          <t>037-STBU</t>
        </is>
      </c>
      <c r="G16" s="43" t="inlineStr">
        <is>
          <t>CTANJZ04676</t>
        </is>
      </c>
      <c r="H16" s="43" t="inlineStr">
        <is>
          <t>Engineering Qualification Build</t>
        </is>
      </c>
      <c r="I16" s="43" t="inlineStr">
        <is>
          <t>Customer Deviation</t>
        </is>
      </c>
      <c r="J16" s="43" t="inlineStr">
        <is>
          <t>D604366</t>
        </is>
      </c>
      <c r="K16" s="33" t="inlineStr">
        <is>
          <t>D604366 Please see PageThree for details</t>
        </is>
      </c>
      <c r="L16" s="43" t="inlineStr">
        <is>
          <t>Expired</t>
        </is>
      </c>
      <c r="M16" s="43" t="inlineStr">
        <is>
          <t>73-20249-05</t>
        </is>
      </c>
      <c r="N16" s="43" t="inlineStr"/>
      <c r="O16" s="43" t="inlineStr">
        <is>
          <t>2025-09-16</t>
        </is>
      </c>
      <c r="P16" s="33" t="inlineStr">
        <is>
          <t>Engineering Qualification Build (EXTENDABLE 2x)</t>
        </is>
      </c>
      <c r="Q16" s="43" t="inlineStr">
        <is>
          <t>N/A</t>
        </is>
      </c>
      <c r="R16" s="43" t="inlineStr">
        <is>
          <t>2025-06-19</t>
        </is>
      </c>
      <c r="S16" s="43" t="inlineStr">
        <is>
          <t>2025-07-15</t>
        </is>
      </c>
      <c r="T16" s="43" t="inlineStr"/>
      <c r="U16" s="43" t="inlineStr"/>
    </row>
    <row r="17">
      <c r="A17" s="43" t="n">
        <v>17</v>
      </c>
      <c r="B17" s="43" t="inlineStr">
        <is>
          <t>16</t>
        </is>
      </c>
      <c r="C17" s="43" t="inlineStr">
        <is>
          <t>FJZP</t>
        </is>
      </c>
      <c r="D17" s="43" t="inlineStr">
        <is>
          <t>Cisco</t>
        </is>
      </c>
      <c r="E17" s="43" t="inlineStr">
        <is>
          <t>MCGA</t>
        </is>
      </c>
      <c r="F17" s="43" t="inlineStr">
        <is>
          <t>037-STBU</t>
        </is>
      </c>
      <c r="G17" s="43" t="inlineStr">
        <is>
          <t>CTANJZ04512</t>
        </is>
      </c>
      <c r="H17" s="43" t="inlineStr">
        <is>
          <t>Engineering Qualification Build</t>
        </is>
      </c>
      <c r="I17" s="43" t="inlineStr">
        <is>
          <t>Customer Deviation</t>
        </is>
      </c>
      <c r="J17" s="43" t="inlineStr">
        <is>
          <t>D602969</t>
        </is>
      </c>
      <c r="K17" s="33" t="inlineStr">
        <is>
          <t>D602969 Rommon change from 1.3.03 to 1.3.05; but the FPGA still showing Golden FPGA Version 0.20.0 and Running FPGA Version 0.21.0 and rommon is waiting for FPGA 0.22.0To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t>
        </is>
      </c>
      <c r="L17" s="43" t="inlineStr">
        <is>
          <t>Expired</t>
        </is>
      </c>
      <c r="M17" s="43" t="inlineStr">
        <is>
          <t>17-102040-05</t>
        </is>
      </c>
      <c r="N17" s="43" t="inlineStr"/>
      <c r="O17" s="43" t="inlineStr">
        <is>
          <t>2025-09-20</t>
        </is>
      </c>
      <c r="P17" s="33" t="inlineStr">
        <is>
          <t>Engineering Qualification Build (EXTENDABLE 2x)</t>
        </is>
      </c>
      <c r="Q17" s="43" t="inlineStr">
        <is>
          <t>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0.22.0Validation will be performed with failed and Bone pile unit t</t>
        </is>
      </c>
      <c r="R17" s="43" t="inlineStr">
        <is>
          <t>2025-03-25</t>
        </is>
      </c>
      <c r="S17" s="43" t="inlineStr">
        <is>
          <t>2025-04-03</t>
        </is>
      </c>
      <c r="T17" s="43" t="inlineStr"/>
      <c r="U17" s="43" t="inlineStr"/>
    </row>
    <row r="18">
      <c r="A18" s="43" t="n">
        <v>18</v>
      </c>
      <c r="B18" s="43" t="inlineStr">
        <is>
          <t>17</t>
        </is>
      </c>
      <c r="C18" s="43" t="inlineStr">
        <is>
          <t>FJZP</t>
        </is>
      </c>
      <c r="D18" s="43" t="inlineStr">
        <is>
          <t>Cisco</t>
        </is>
      </c>
      <c r="E18" s="43" t="inlineStr">
        <is>
          <t>MCGA</t>
        </is>
      </c>
      <c r="F18" s="43" t="inlineStr">
        <is>
          <t>037-STBU</t>
        </is>
      </c>
      <c r="G18" s="43" t="inlineStr">
        <is>
          <t>CTANJZ04512</t>
        </is>
      </c>
      <c r="H18" s="43" t="inlineStr">
        <is>
          <t>Engineering Qualification Build</t>
        </is>
      </c>
      <c r="I18" s="43" t="inlineStr">
        <is>
          <t>Customer Deviation</t>
        </is>
      </c>
      <c r="J18" s="43" t="inlineStr">
        <is>
          <t>D602969</t>
        </is>
      </c>
      <c r="K18" s="33" t="inlineStr">
        <is>
          <t>D602969 Rommon change from 1.3.03 to 1.3.05; but the FPGA still showing Golden FPGA Version 0.20.0 and Running FPGA Version 0.21.0 and rommon is waiting for FPGA 0.22.0To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t>
        </is>
      </c>
      <c r="L18" s="43" t="inlineStr">
        <is>
          <t>Expired</t>
        </is>
      </c>
      <c r="M18" s="43" t="inlineStr">
        <is>
          <t>17-102041-05</t>
        </is>
      </c>
      <c r="N18" s="43" t="inlineStr"/>
      <c r="O18" s="43" t="inlineStr">
        <is>
          <t>2025-09-20</t>
        </is>
      </c>
      <c r="P18" s="33" t="inlineStr">
        <is>
          <t>Engineering Qualification Build (EXTENDABLE 2x)</t>
        </is>
      </c>
      <c r="Q18" s="43" t="inlineStr">
        <is>
          <t>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0.22.0Validation will be performed with failed and Bone pile unit t</t>
        </is>
      </c>
      <c r="R18" s="43" t="inlineStr">
        <is>
          <t>2025-03-25</t>
        </is>
      </c>
      <c r="S18" s="43" t="inlineStr">
        <is>
          <t>2025-04-03</t>
        </is>
      </c>
      <c r="T18" s="43" t="inlineStr"/>
      <c r="U18" s="43" t="inlineStr"/>
    </row>
    <row r="19">
      <c r="A19" s="43" t="n">
        <v>19</v>
      </c>
      <c r="B19" s="43" t="inlineStr">
        <is>
          <t>18</t>
        </is>
      </c>
      <c r="C19" s="43" t="inlineStr">
        <is>
          <t>FJZP</t>
        </is>
      </c>
      <c r="D19" s="43" t="inlineStr">
        <is>
          <t>Cisco</t>
        </is>
      </c>
      <c r="E19" s="43" t="inlineStr">
        <is>
          <t>MCGA</t>
        </is>
      </c>
      <c r="F19" s="43" t="inlineStr">
        <is>
          <t>037-STBU</t>
        </is>
      </c>
      <c r="G19" s="43" t="inlineStr">
        <is>
          <t>CTANJZ04512</t>
        </is>
      </c>
      <c r="H19" s="43" t="inlineStr">
        <is>
          <t>Engineering Qualification Build</t>
        </is>
      </c>
      <c r="I19" s="43" t="inlineStr">
        <is>
          <t>Customer Deviation</t>
        </is>
      </c>
      <c r="J19" s="43" t="inlineStr">
        <is>
          <t>D602969</t>
        </is>
      </c>
      <c r="K19" s="33" t="inlineStr">
        <is>
          <t>D602969 Rommon change from 1.3.03 to 1.3.05; but the FPGA still showing Golden FPGA Version 0.20.0 and Running FPGA Version 0.21.0 and rommon is waiting for FPGA 0.22.0To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t>
        </is>
      </c>
      <c r="L19" s="43" t="inlineStr">
        <is>
          <t>Expired</t>
        </is>
      </c>
      <c r="M19" s="43" t="inlineStr">
        <is>
          <t>17-102043-02</t>
        </is>
      </c>
      <c r="N19" s="43" t="inlineStr"/>
      <c r="O19" s="43" t="inlineStr">
        <is>
          <t>2025-09-20</t>
        </is>
      </c>
      <c r="P19" s="33" t="inlineStr">
        <is>
          <t>Engineering Qualification Build (EXTENDABLE 2x)</t>
        </is>
      </c>
      <c r="Q19" s="43" t="inlineStr">
        <is>
          <t>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0.22.0Validation will be performed with failed and Bone pile unit t</t>
        </is>
      </c>
      <c r="R19" s="43" t="inlineStr">
        <is>
          <t>2025-03-25</t>
        </is>
      </c>
      <c r="S19" s="43" t="inlineStr">
        <is>
          <t>2025-04-03</t>
        </is>
      </c>
      <c r="T19" s="43" t="inlineStr"/>
      <c r="U19" s="43" t="inlineStr"/>
    </row>
    <row r="20">
      <c r="A20" s="43" t="n">
        <v>20</v>
      </c>
      <c r="B20" s="43" t="inlineStr">
        <is>
          <t>19</t>
        </is>
      </c>
      <c r="C20" s="43" t="inlineStr">
        <is>
          <t>FJZP</t>
        </is>
      </c>
      <c r="D20" s="43" t="inlineStr">
        <is>
          <t>Cisco</t>
        </is>
      </c>
      <c r="E20" s="43" t="inlineStr">
        <is>
          <t>MCGA</t>
        </is>
      </c>
      <c r="F20" s="43" t="inlineStr">
        <is>
          <t>037-STBU</t>
        </is>
      </c>
      <c r="G20" s="43" t="inlineStr">
        <is>
          <t>CTANJZ04556</t>
        </is>
      </c>
      <c r="H20" s="43" t="inlineStr">
        <is>
          <t>Engineering Qualification Build</t>
        </is>
      </c>
      <c r="I20" s="43" t="inlineStr">
        <is>
          <t>Customer Deviation</t>
        </is>
      </c>
      <c r="J20" s="43" t="inlineStr">
        <is>
          <t>D603102</t>
        </is>
      </c>
      <c r="K20" s="33" t="inlineStr">
        <is>
          <t>D603102 Issue: Rommon change from 1.3.03 to 1.3.05; but the FPGA still showing Golden FPGA Version 0.20.0 and Running FPGA Version 0.21.0 and rommon is waiting for FPGA 0.22.0Validation: All scenarios passed and upgraded ROMMON to 1.3.05 and FPGA golden v21 &amp; running v22A. 1.3.05 - Partially ECO implementation (ROMMON) =&gt; Script downgrade to 1.3.03; upgrade through FW bundle to 1.3.05 and FPGA golden v21 &amp; running v22B. 1.3.03- Partially ECO implementation; manually downgraded ROMMON from 1.3.05 =&gt; upgrade through FW bundle to 1.3.05 and FPGA golden v21 &amp; running v22C. 1.3.03 - Pre-ECO implementation; likely passed P2C already =&gt; upgrade through FW bundle to 1.3.05 and FPGA golden v21 &amp; running v22D. 1.2.X - Previous released pre-programmed =&gt; upgrade through FW bundle to 1.3.05 and FPGA golden v21 &amp; running v22Material availability:1. FJZ is allowed to use the old rev material until we received the new parts to fully implementTo receive in April 2025:17-102041-05 - FPGA CONFIG; SPI17-102043-02 - NIC SPI17-102050-06 - POWER SEQUENCERTo receive in June 2025:17-16001-05 - FPGA+Akido+Secure_JTAGMaterial with new version OH:17-102040-06 - BIOS_ROMMON17-102102-03 - NIC SPI; U85; VER 21.00.022. The parts 17-102041-07 (FPGA CONFIG; SPI) and 17-16001-07 (FPGA+Akido+Secure_JTAG) **must be used** together. No mixing of new versions of these with old version. No exceptions.</t>
        </is>
      </c>
      <c r="L20" s="43" t="inlineStr">
        <is>
          <t>Expired</t>
        </is>
      </c>
      <c r="M20" s="43" t="inlineStr">
        <is>
          <t>17-16001-05</t>
        </is>
      </c>
      <c r="N20" s="43" t="inlineStr"/>
      <c r="O20" s="43" t="inlineStr">
        <is>
          <t>2025-10-06</t>
        </is>
      </c>
      <c r="P20" s="33" t="inlineStr">
        <is>
          <t>Engineering Qualification Build (EXTENDABLE 2x)</t>
        </is>
      </c>
      <c r="Q20" s="43" t="inlineStr">
        <is>
          <t>Material availability:1. FJZ is allowed to use the old rev material until we received the new parts to fully implementTo receive in April 2025:17-102041-05 - FPGA CONFIG; SPI17-102043-02 - NIC SPI; U85; VER 22.00.0417-102050-06 - POWER SEQUENCERTo receive in June 2025:17-16001-05 - FPGA+Akido+Secure_JTAGMaterial with new version OH:17-102040-06 - BIOS_ROMMON17-102102-03 - NIC SPI; U85; VER 21.00.022. The parts 17-102041-07 (FPGA CONFIG; SPI) and 17-16001-07 (FPGA+Ak</t>
        </is>
      </c>
      <c r="R20" s="43" t="inlineStr">
        <is>
          <t>2025-04-10</t>
        </is>
      </c>
      <c r="S20" s="43" t="inlineStr">
        <is>
          <t>2025-04-24</t>
        </is>
      </c>
      <c r="T20" s="43" t="inlineStr"/>
      <c r="U20" s="43" t="inlineStr"/>
    </row>
    <row r="21">
      <c r="A21" s="43" t="n">
        <v>21</v>
      </c>
      <c r="B21" s="43" t="inlineStr">
        <is>
          <t>20</t>
        </is>
      </c>
      <c r="C21" s="43" t="inlineStr">
        <is>
          <t>FJZP</t>
        </is>
      </c>
      <c r="D21" s="43" t="inlineStr">
        <is>
          <t>Cisco</t>
        </is>
      </c>
      <c r="E21" s="43" t="inlineStr">
        <is>
          <t>MCGA</t>
        </is>
      </c>
      <c r="F21" s="43" t="inlineStr">
        <is>
          <t>037-STBU</t>
        </is>
      </c>
      <c r="G21" s="43" t="inlineStr">
        <is>
          <t>CTANJZ04556</t>
        </is>
      </c>
      <c r="H21" s="43" t="inlineStr">
        <is>
          <t>Engineering Qualification Build</t>
        </is>
      </c>
      <c r="I21" s="43" t="inlineStr">
        <is>
          <t>Customer Deviation</t>
        </is>
      </c>
      <c r="J21" s="43" t="inlineStr">
        <is>
          <t>D603102</t>
        </is>
      </c>
      <c r="K21" s="33" t="inlineStr">
        <is>
          <t>D603102 Issue: Rommon change from 1.3.03 to 1.3.05; but the FPGA still showing Golden FPGA Version 0.20.0 and Running FPGA Version 0.21.0 and rommon is waiting for FPGA 0.22.0Validation: All scenarios passed and upgraded ROMMON to 1.3.05 and FPGA golden v21 &amp; running v22A. 1.3.05 - Partially ECO implementation (ROMMON) =&gt; Script downgrade to 1.3.03; upgrade through FW bundle to 1.3.05 and FPGA golden v21 &amp; running v22B. 1.3.03- Partially ECO implementation; manually downgraded ROMMON from 1.3.05 =&gt; upgrade through FW bundle to 1.3.05 and FPGA golden v21 &amp; running v22C. 1.3.03 - Pre-ECO implementation; likely passed P2C already =&gt; upgrade through FW bundle to 1.3.05 and FPGA golden v21 &amp; running v22D. 1.2.X - Previous released pre-programmed =&gt; upgrade through FW bundle to 1.3.05 and FPGA golden v21 &amp; running v22Material availability:1. FJZ is allowed to use the old rev material until we received the new parts to fully implementTo receive in April 2025:17-102041-05 - FPGA CONFIG; SPI17-102043-02 - NIC SPI17-102050-06 - POWER SEQUENCERTo receive in June 2025:17-16001-05 - FPGA+Akido+Secure_JTAGMaterial with new version OH:17-102040-06 - BIOS_ROMMON17-102102-03 - NIC SPI; U85; VER 21.00.022. The parts 17-102041-07 (FPGA CONFIG; SPI) and 17-16001-07 (FPGA+Akido+Secure_JTAG) **must be used** together. No mixing of new versions of these with old version. No exceptions.</t>
        </is>
      </c>
      <c r="L21" s="43" t="inlineStr">
        <is>
          <t>Expired</t>
        </is>
      </c>
      <c r="M21" s="43" t="inlineStr">
        <is>
          <t>73-20247-05</t>
        </is>
      </c>
      <c r="N21" s="43" t="inlineStr"/>
      <c r="O21" s="43" t="inlineStr">
        <is>
          <t>2025-10-06</t>
        </is>
      </c>
      <c r="P21" s="33" t="inlineStr">
        <is>
          <t>Engineering Qualification Build (EXTENDABLE 2x)</t>
        </is>
      </c>
      <c r="Q21" s="43" t="inlineStr">
        <is>
          <t>Material availability:1. FJZ is allowed to use the old rev material until we received the new parts to fully implementTo receive in April 2025:17-102041-05 - FPGA CONFIG; SPI17-102043-02 - NIC SPI; U85; VER 22.00.0417-102050-06 - POWER SEQUENCERTo receive in June 2025:17-16001-05 - FPGA+Akido+Secure_JTAGMaterial with new version OH:17-102040-06 - BIOS_ROMMON17-102102-03 - NIC SPI; U85; VER 21.00.022. The parts 17-102041-07 (FPGA CONFIG; SPI) and 17-16001-07 (FPGA+Ak</t>
        </is>
      </c>
      <c r="R21" s="43" t="inlineStr">
        <is>
          <t>2025-04-10</t>
        </is>
      </c>
      <c r="S21" s="43" t="inlineStr">
        <is>
          <t>2025-04-24</t>
        </is>
      </c>
      <c r="T21" s="43" t="inlineStr"/>
      <c r="U21" s="43" t="inlineStr"/>
    </row>
    <row r="22">
      <c r="A22" s="43" t="n">
        <v>22</v>
      </c>
      <c r="B22" s="43" t="inlineStr">
        <is>
          <t>21</t>
        </is>
      </c>
      <c r="C22" s="43" t="inlineStr">
        <is>
          <t>FJZP</t>
        </is>
      </c>
      <c r="D22" s="43" t="inlineStr">
        <is>
          <t>Cisco</t>
        </is>
      </c>
      <c r="E22" s="43" t="inlineStr">
        <is>
          <t>MCGA</t>
        </is>
      </c>
      <c r="F22" s="43" t="inlineStr">
        <is>
          <t>037-STBU</t>
        </is>
      </c>
      <c r="G22" s="43" t="inlineStr">
        <is>
          <t>CTANJZ04556</t>
        </is>
      </c>
      <c r="H22" s="43" t="inlineStr">
        <is>
          <t>Engineering Qualification Build</t>
        </is>
      </c>
      <c r="I22" s="43" t="inlineStr">
        <is>
          <t>Customer Deviation</t>
        </is>
      </c>
      <c r="J22" s="43" t="inlineStr">
        <is>
          <t>D603102</t>
        </is>
      </c>
      <c r="K22" s="33" t="inlineStr">
        <is>
          <t>D603102 Issue: Rommon change from 1.3.03 to 1.3.05; but the FPGA still showing Golden FPGA Version 0.20.0 and Running FPGA Version 0.21.0 and rommon is waiting for FPGA 0.22.0Validation: All scenarios passed and upgraded ROMMON to 1.3.05 and FPGA golden v21 &amp; running v22A. 1.3.05 - Partially ECO implementation (ROMMON) =&gt; Script downgrade to 1.3.03; upgrade through FW bundle to 1.3.05 and FPGA golden v21 &amp; running v22B. 1.3.03- Partially ECO implementation; manually downgraded ROMMON from 1.3.05 =&gt; upgrade through FW bundle to 1.3.05 and FPGA golden v21 &amp; running v22C. 1.3.03 - Pre-ECO implementation; likely passed P2C already =&gt; upgrade through FW bundle to 1.3.05 and FPGA golden v21 &amp; running v22D. 1.2.X - Previous released pre-programmed =&gt; upgrade through FW bundle to 1.3.05 and FPGA golden v21 &amp; running v22Material availability:1. FJZ is allowed to use the old rev material until we received the new parts to fully implementTo receive in April 2025:17-102041-05 - FPGA CONFIG; SPI17-102043-02 - NIC SPI17-102050-06 - POWER SEQUENCERTo receive in June 2025:17-16001-05 - FPGA+Akido+Secure_JTAGMaterial with new version OH:17-102040-06 - BIOS_ROMMON17-102102-03 - NIC SPI; U85; VER 21.00.022. The parts 17-102041-07 (FPGA CONFIG; SPI) and 17-16001-07 (FPGA+Akido+Secure_JTAG) **must be used** together. No mixing of new versions of these with old version. No exceptions.</t>
        </is>
      </c>
      <c r="L22" s="43" t="inlineStr">
        <is>
          <t>Expired</t>
        </is>
      </c>
      <c r="M22" s="43" t="inlineStr">
        <is>
          <t>73-20249-05</t>
        </is>
      </c>
      <c r="N22" s="43" t="inlineStr"/>
      <c r="O22" s="43" t="inlineStr">
        <is>
          <t>2025-10-06</t>
        </is>
      </c>
      <c r="P22" s="33" t="inlineStr">
        <is>
          <t>Engineering Qualification Build (EXTENDABLE 2x)</t>
        </is>
      </c>
      <c r="Q22" s="43" t="inlineStr">
        <is>
          <t>Material availability:1. FJZ is allowed to use the old rev material until we received the new parts to fully implementTo receive in April 2025:17-102041-05 - FPGA CONFIG; SPI17-102043-02 - NIC SPI; U85; VER 22.00.0417-102050-06 - POWER SEQUENCERTo receive in June 2025:17-16001-05 - FPGA+Akido+Secure_JTAGMaterial with new version OH:17-102040-06 - BIOS_ROMMON17-102102-03 - NIC SPI; U85; VER 21.00.022. The parts 17-102041-07 (FPGA CONFIG; SPI) and 17-16001-07 (FPGA+Ak</t>
        </is>
      </c>
      <c r="R22" s="43" t="inlineStr">
        <is>
          <t>2025-04-10</t>
        </is>
      </c>
      <c r="S22" s="43" t="inlineStr">
        <is>
          <t>2025-04-24</t>
        </is>
      </c>
      <c r="T22" s="43" t="inlineStr"/>
      <c r="U22" s="43" t="inlineStr"/>
    </row>
    <row r="23">
      <c r="A23" s="43" t="n">
        <v>23</v>
      </c>
      <c r="B23" s="43" t="inlineStr">
        <is>
          <t>22</t>
        </is>
      </c>
      <c r="C23" s="43" t="inlineStr">
        <is>
          <t>FJZP</t>
        </is>
      </c>
      <c r="D23" s="43" t="inlineStr">
        <is>
          <t>Cisco</t>
        </is>
      </c>
      <c r="E23" s="43" t="inlineStr">
        <is>
          <t>MCGA</t>
        </is>
      </c>
      <c r="F23" s="43" t="inlineStr">
        <is>
          <t>037-STBU</t>
        </is>
      </c>
      <c r="G23" s="43" t="inlineStr">
        <is>
          <t>CTANJZ04512</t>
        </is>
      </c>
      <c r="H23" s="43" t="inlineStr">
        <is>
          <t>Engineering Qualification Build</t>
        </is>
      </c>
      <c r="I23" s="43" t="inlineStr">
        <is>
          <t>Customer Deviation</t>
        </is>
      </c>
      <c r="J23" s="43" t="inlineStr">
        <is>
          <t>D602969</t>
        </is>
      </c>
      <c r="K23" s="33" t="inlineStr">
        <is>
          <t>D602969 Rommon change from 1.3.03 to 1.3.05; but the FPGA still showing Golden FPGA Version 0.20.0 and Running FPGA Version 0.21.0 and rommon is waiting for FPGA 0.22.0To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t>
        </is>
      </c>
      <c r="L23" s="43" t="inlineStr">
        <is>
          <t>Expired</t>
        </is>
      </c>
      <c r="M23" s="43" t="inlineStr">
        <is>
          <t>17-102050-06</t>
        </is>
      </c>
      <c r="N23" s="43" t="inlineStr"/>
      <c r="O23" s="43" t="inlineStr">
        <is>
          <t>2025-09-20</t>
        </is>
      </c>
      <c r="P23" s="33" t="inlineStr">
        <is>
          <t>Engineering Qualification Build (EXTENDABLE 2x)</t>
        </is>
      </c>
      <c r="Q23" s="43" t="inlineStr">
        <is>
          <t>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0.22.0Validation will be performed with failed and Bone pile unit t</t>
        </is>
      </c>
      <c r="R23" s="43" t="inlineStr">
        <is>
          <t>2025-03-25</t>
        </is>
      </c>
      <c r="S23" s="43" t="inlineStr">
        <is>
          <t>2025-04-03</t>
        </is>
      </c>
      <c r="T23" s="43" t="inlineStr"/>
      <c r="U23" s="43" t="inlineStr"/>
    </row>
    <row r="24">
      <c r="A24" s="43" t="n">
        <v>24</v>
      </c>
      <c r="B24" s="43" t="inlineStr">
        <is>
          <t>23</t>
        </is>
      </c>
      <c r="C24" s="43" t="inlineStr">
        <is>
          <t>FJZP</t>
        </is>
      </c>
      <c r="D24" s="43" t="inlineStr">
        <is>
          <t>Cisco</t>
        </is>
      </c>
      <c r="E24" s="43" t="inlineStr">
        <is>
          <t>MCGA</t>
        </is>
      </c>
      <c r="F24" s="43" t="inlineStr">
        <is>
          <t>037-STBU</t>
        </is>
      </c>
      <c r="G24" s="43" t="inlineStr">
        <is>
          <t>CTANJZ04512</t>
        </is>
      </c>
      <c r="H24" s="43" t="inlineStr">
        <is>
          <t>Engineering Qualification Build</t>
        </is>
      </c>
      <c r="I24" s="43" t="inlineStr">
        <is>
          <t>Customer Deviation</t>
        </is>
      </c>
      <c r="J24" s="43" t="inlineStr">
        <is>
          <t>D602969</t>
        </is>
      </c>
      <c r="K24" s="33" t="inlineStr">
        <is>
          <t>D602969 Rommon change from 1.3.03 to 1.3.05; but the FPGA still showing Golden FPGA Version 0.20.0 and Running FPGA Version 0.21.0 and rommon is waiting for FPGA 0.22.0To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t>
        </is>
      </c>
      <c r="L24" s="43" t="inlineStr">
        <is>
          <t>Expired</t>
        </is>
      </c>
      <c r="M24" s="43" t="inlineStr">
        <is>
          <t>17-102102-02</t>
        </is>
      </c>
      <c r="N24" s="43" t="inlineStr"/>
      <c r="O24" s="43" t="inlineStr">
        <is>
          <t>2025-09-20</t>
        </is>
      </c>
      <c r="P24" s="33" t="inlineStr">
        <is>
          <t>Engineering Qualification Build (EXTENDABLE 2x)</t>
        </is>
      </c>
      <c r="Q24" s="43" t="inlineStr">
        <is>
          <t>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0.22.0Validation will be performed with failed and Bone pile unit t</t>
        </is>
      </c>
      <c r="R24" s="43" t="inlineStr">
        <is>
          <t>2025-03-25</t>
        </is>
      </c>
      <c r="S24" s="43" t="inlineStr">
        <is>
          <t>2025-04-03</t>
        </is>
      </c>
      <c r="T24" s="43" t="inlineStr"/>
      <c r="U24" s="43" t="inlineStr"/>
    </row>
    <row r="25">
      <c r="A25" s="43" t="n">
        <v>25</v>
      </c>
      <c r="B25" s="43" t="inlineStr">
        <is>
          <t>24</t>
        </is>
      </c>
      <c r="C25" s="43" t="inlineStr">
        <is>
          <t>FJZP</t>
        </is>
      </c>
      <c r="D25" s="43" t="inlineStr">
        <is>
          <t>Cisco</t>
        </is>
      </c>
      <c r="E25" s="43" t="inlineStr">
        <is>
          <t>MCGA</t>
        </is>
      </c>
      <c r="F25" s="43" t="inlineStr">
        <is>
          <t>037-STBU</t>
        </is>
      </c>
      <c r="G25" s="43" t="inlineStr">
        <is>
          <t>CTANJZ04512</t>
        </is>
      </c>
      <c r="H25" s="43" t="inlineStr">
        <is>
          <t>Engineering Qualification Build</t>
        </is>
      </c>
      <c r="I25" s="43" t="inlineStr">
        <is>
          <t>Customer Deviation</t>
        </is>
      </c>
      <c r="J25" s="43" t="inlineStr">
        <is>
          <t>D602969</t>
        </is>
      </c>
      <c r="K25" s="33" t="inlineStr">
        <is>
          <t>D602969 Rommon change from 1.3.03 to 1.3.05; but the FPGA still showing Golden FPGA Version 0.20.0 and Running FPGA Version 0.21.0 and rommon is waiting for FPGA 0.22.0To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t>
        </is>
      </c>
      <c r="L25" s="43" t="inlineStr">
        <is>
          <t>Expired</t>
        </is>
      </c>
      <c r="M25" s="43" t="inlineStr">
        <is>
          <t>17-16001-05</t>
        </is>
      </c>
      <c r="N25" s="43" t="inlineStr"/>
      <c r="O25" s="43" t="inlineStr">
        <is>
          <t>2025-09-20</t>
        </is>
      </c>
      <c r="P25" s="33" t="inlineStr">
        <is>
          <t>Engineering Qualification Build (EXTENDABLE 2x)</t>
        </is>
      </c>
      <c r="Q25" s="43" t="inlineStr">
        <is>
          <t>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0.22.0Validation will be performed with failed and Bone pile unit t</t>
        </is>
      </c>
      <c r="R25" s="43" t="inlineStr">
        <is>
          <t>2025-03-25</t>
        </is>
      </c>
      <c r="S25" s="43" t="inlineStr">
        <is>
          <t>2025-04-03</t>
        </is>
      </c>
      <c r="T25" s="43" t="inlineStr"/>
      <c r="U25" s="43" t="inlineStr"/>
    </row>
    <row r="26">
      <c r="A26" s="43" t="n">
        <v>26</v>
      </c>
      <c r="B26" s="43" t="inlineStr">
        <is>
          <t>25</t>
        </is>
      </c>
      <c r="C26" s="43" t="inlineStr">
        <is>
          <t>FJZP</t>
        </is>
      </c>
      <c r="D26" s="43" t="inlineStr">
        <is>
          <t>Cisco</t>
        </is>
      </c>
      <c r="E26" s="43" t="inlineStr">
        <is>
          <t>MCGA</t>
        </is>
      </c>
      <c r="F26" s="43" t="inlineStr">
        <is>
          <t>037-STBU</t>
        </is>
      </c>
      <c r="G26" s="43" t="inlineStr">
        <is>
          <t>CTANJZ04512</t>
        </is>
      </c>
      <c r="H26" s="43" t="inlineStr">
        <is>
          <t>Engineering Qualification Build</t>
        </is>
      </c>
      <c r="I26" s="43" t="inlineStr">
        <is>
          <t>Customer Deviation</t>
        </is>
      </c>
      <c r="J26" s="43" t="inlineStr">
        <is>
          <t>D602969</t>
        </is>
      </c>
      <c r="K26" s="33" t="inlineStr">
        <is>
          <t>D602969 Rommon change from 1.3.03 to 1.3.05; but the FPGA still showing Golden FPGA Version 0.20.0 and Running FPGA Version 0.21.0 and rommon is waiting for FPGA 0.22.0To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t>
        </is>
      </c>
      <c r="L26" s="43" t="inlineStr">
        <is>
          <t>Expired</t>
        </is>
      </c>
      <c r="M26" s="43" t="inlineStr">
        <is>
          <t>73-20247-05</t>
        </is>
      </c>
      <c r="N26" s="43" t="inlineStr"/>
      <c r="O26" s="43" t="inlineStr">
        <is>
          <t>2025-09-20</t>
        </is>
      </c>
      <c r="P26" s="33" t="inlineStr">
        <is>
          <t>Engineering Qualification Build (EXTENDABLE 2x)</t>
        </is>
      </c>
      <c r="Q26" s="43" t="inlineStr">
        <is>
          <t>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0.22.0Validation will be performed with failed and Bone pile unit t</t>
        </is>
      </c>
      <c r="R26" s="43" t="inlineStr">
        <is>
          <t>2025-03-25</t>
        </is>
      </c>
      <c r="S26" s="43" t="inlineStr">
        <is>
          <t>2025-04-03</t>
        </is>
      </c>
      <c r="T26" s="43" t="inlineStr"/>
      <c r="U26" s="43" t="inlineStr"/>
    </row>
    <row r="27">
      <c r="A27" s="43" t="n">
        <v>27</v>
      </c>
      <c r="B27" s="43" t="inlineStr">
        <is>
          <t>26</t>
        </is>
      </c>
      <c r="C27" s="43" t="inlineStr">
        <is>
          <t>FJZP</t>
        </is>
      </c>
      <c r="D27" s="43" t="inlineStr">
        <is>
          <t>Cisco</t>
        </is>
      </c>
      <c r="E27" s="43" t="inlineStr">
        <is>
          <t>MCGA</t>
        </is>
      </c>
      <c r="F27" s="43" t="inlineStr">
        <is>
          <t>037-STBU</t>
        </is>
      </c>
      <c r="G27" s="43" t="inlineStr">
        <is>
          <t>CTANJZ04512</t>
        </is>
      </c>
      <c r="H27" s="43" t="inlineStr">
        <is>
          <t>Engineering Qualification Build</t>
        </is>
      </c>
      <c r="I27" s="43" t="inlineStr">
        <is>
          <t>Customer Deviation</t>
        </is>
      </c>
      <c r="J27" s="43" t="inlineStr">
        <is>
          <t>D602969</t>
        </is>
      </c>
      <c r="K27" s="33" t="inlineStr">
        <is>
          <t>D602969 Rommon change from 1.3.03 to 1.3.05; but the FPGA still showing Golden FPGA Version 0.20.0 and Running FPGA Version 0.21.0 and rommon is waiting for FPGA 0.22.0To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t>
        </is>
      </c>
      <c r="L27" s="43" t="inlineStr">
        <is>
          <t>Expired</t>
        </is>
      </c>
      <c r="M27" s="43" t="inlineStr">
        <is>
          <t>73-20249-05</t>
        </is>
      </c>
      <c r="N27" s="43" t="inlineStr"/>
      <c r="O27" s="43" t="inlineStr">
        <is>
          <t>2025-09-20</t>
        </is>
      </c>
      <c r="P27" s="33" t="inlineStr">
        <is>
          <t>Engineering Qualification Build (EXTENDABLE 2x)</t>
        </is>
      </c>
      <c r="Q27" s="43" t="inlineStr">
        <is>
          <t>To make partial implementation of the ECO we will meet with the following conditions via script:1. Running FPGA Version: 0.21.0; make the upgrade to 0.22.0 via bundle2. Bundle update - fxos-k8-fp3k-firmware.1.6.5.SPAIf the upgrade doesn't work:1. We will need to make rommon downgrade to the version is 1.3.032. Use bundle update - fxos-k8-fp3k-firmware.1.6.5.SPA to upgrade rommon to 1.3.05; and Running FPGA to 0.22.0Validation will be performed with failed and Bone pile unit t</t>
        </is>
      </c>
      <c r="R27" s="43" t="inlineStr">
        <is>
          <t>2025-03-25</t>
        </is>
      </c>
      <c r="S27" s="43" t="inlineStr">
        <is>
          <t>2025-04-03</t>
        </is>
      </c>
      <c r="T27" s="43" t="inlineStr"/>
      <c r="U27" s="43" t="inlineStr"/>
    </row>
    <row r="28">
      <c r="A28" s="43" t="n">
        <v>28</v>
      </c>
      <c r="B28" s="43" t="inlineStr">
        <is>
          <t>27</t>
        </is>
      </c>
      <c r="C28" s="43" t="inlineStr">
        <is>
          <t>FJZP</t>
        </is>
      </c>
      <c r="D28" s="43" t="inlineStr">
        <is>
          <t>Cisco</t>
        </is>
      </c>
      <c r="E28" s="43" t="inlineStr">
        <is>
          <t>MCGA</t>
        </is>
      </c>
      <c r="F28" s="43" t="inlineStr">
        <is>
          <t>037-STBU</t>
        </is>
      </c>
      <c r="G28" s="43" t="inlineStr">
        <is>
          <t>CTANJZ04904</t>
        </is>
      </c>
      <c r="H28" s="43" t="inlineStr">
        <is>
          <t>Engineering Qualification Build</t>
        </is>
      </c>
      <c r="I28" s="43" t="inlineStr">
        <is>
          <t>Customer Deviation</t>
        </is>
      </c>
      <c r="J28" s="43" t="inlineStr">
        <is>
          <t>D606915</t>
        </is>
      </c>
      <c r="K28" s="33" t="inlineStr">
        <is>
          <t>D606915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December 2025 to use all the old material</t>
        </is>
      </c>
      <c r="L28" s="43" t="inlineStr">
        <is>
          <t>Expired</t>
        </is>
      </c>
      <c r="M28" s="43" t="inlineStr">
        <is>
          <t>29-104201-02</t>
        </is>
      </c>
      <c r="N28" s="43" t="inlineStr"/>
      <c r="O28" s="43" t="inlineStr">
        <is>
          <t>2026-01-08</t>
        </is>
      </c>
      <c r="P28" s="33" t="inlineStr">
        <is>
          <t>Engineering Qualification Build (EXTENDABLE 2x)</t>
        </is>
      </c>
      <c r="Q28" s="43" t="inlineStr">
        <is>
          <t>No apply</t>
        </is>
      </c>
      <c r="R28" s="43" t="inlineStr">
        <is>
          <t>2025-10-10</t>
        </is>
      </c>
      <c r="S28" s="43" t="inlineStr">
        <is>
          <t>2025-10-25</t>
        </is>
      </c>
      <c r="T28" s="43" t="inlineStr"/>
      <c r="U28" s="43" t="inlineStr"/>
    </row>
    <row r="29">
      <c r="A29" s="43" t="n">
        <v>29</v>
      </c>
      <c r="B29" s="43" t="inlineStr">
        <is>
          <t>28</t>
        </is>
      </c>
      <c r="C29" s="43" t="inlineStr">
        <is>
          <t>FJZP</t>
        </is>
      </c>
      <c r="D29" s="43" t="inlineStr">
        <is>
          <t>Cisco</t>
        </is>
      </c>
      <c r="E29" s="43" t="inlineStr">
        <is>
          <t>MCGA</t>
        </is>
      </c>
      <c r="F29" s="43" t="inlineStr">
        <is>
          <t>037-STBU</t>
        </is>
      </c>
      <c r="G29" s="43" t="inlineStr">
        <is>
          <t>CTANJZ04904</t>
        </is>
      </c>
      <c r="H29" s="43" t="inlineStr">
        <is>
          <t>Engineering Qualification Build</t>
        </is>
      </c>
      <c r="I29" s="43" t="inlineStr">
        <is>
          <t>Customer Deviation</t>
        </is>
      </c>
      <c r="J29" s="43" t="inlineStr">
        <is>
          <t>D606915</t>
        </is>
      </c>
      <c r="K29" s="33" t="inlineStr">
        <is>
          <t>D606915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December 2025 to use all the old material</t>
        </is>
      </c>
      <c r="L29" s="43" t="inlineStr">
        <is>
          <t>Expired</t>
        </is>
      </c>
      <c r="M29" s="43" t="inlineStr">
        <is>
          <t>73-102433-04</t>
        </is>
      </c>
      <c r="N29" s="43" t="inlineStr"/>
      <c r="O29" s="43" t="inlineStr">
        <is>
          <t>2026-01-08</t>
        </is>
      </c>
      <c r="P29" s="33" t="inlineStr">
        <is>
          <t>Engineering Qualification Build (EXTENDABLE 2x)</t>
        </is>
      </c>
      <c r="Q29" s="43" t="inlineStr">
        <is>
          <t>No apply</t>
        </is>
      </c>
      <c r="R29" s="43" t="inlineStr">
        <is>
          <t>2025-10-10</t>
        </is>
      </c>
      <c r="S29" s="43" t="inlineStr">
        <is>
          <t>2025-10-25</t>
        </is>
      </c>
      <c r="T29" s="43" t="inlineStr"/>
      <c r="U29" s="43" t="inlineStr"/>
    </row>
    <row r="30">
      <c r="A30" s="43" t="n">
        <v>30</v>
      </c>
      <c r="B30" s="43" t="inlineStr">
        <is>
          <t>29</t>
        </is>
      </c>
      <c r="C30" s="43" t="inlineStr">
        <is>
          <t>FJZP</t>
        </is>
      </c>
      <c r="D30" s="43" t="inlineStr">
        <is>
          <t>Cisco</t>
        </is>
      </c>
      <c r="E30" s="43" t="inlineStr">
        <is>
          <t>MCGA</t>
        </is>
      </c>
      <c r="F30" s="43" t="inlineStr">
        <is>
          <t>037-STBU</t>
        </is>
      </c>
      <c r="G30" s="43" t="inlineStr">
        <is>
          <t>CTANJZ04904</t>
        </is>
      </c>
      <c r="H30" s="43" t="inlineStr">
        <is>
          <t>Engineering Qualification Build</t>
        </is>
      </c>
      <c r="I30" s="43" t="inlineStr">
        <is>
          <t>Customer Deviation</t>
        </is>
      </c>
      <c r="J30" s="43" t="inlineStr">
        <is>
          <t>D606915</t>
        </is>
      </c>
      <c r="K30" s="33" t="inlineStr">
        <is>
          <t>D606915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December 2025 to use all the old material</t>
        </is>
      </c>
      <c r="L30" s="43" t="inlineStr">
        <is>
          <t>Expired</t>
        </is>
      </c>
      <c r="M30" s="43" t="inlineStr">
        <is>
          <t>73-102433-05</t>
        </is>
      </c>
      <c r="N30" s="43" t="inlineStr"/>
      <c r="O30" s="43" t="inlineStr">
        <is>
          <t>2026-01-08</t>
        </is>
      </c>
      <c r="P30" s="33" t="inlineStr">
        <is>
          <t>Engineering Qualification Build (EXTENDABLE 2x)</t>
        </is>
      </c>
      <c r="Q30" s="43" t="inlineStr">
        <is>
          <t>No apply</t>
        </is>
      </c>
      <c r="R30" s="43" t="inlineStr">
        <is>
          <t>2025-10-10</t>
        </is>
      </c>
      <c r="S30" s="43" t="inlineStr">
        <is>
          <t>2025-10-25</t>
        </is>
      </c>
      <c r="T30" s="43" t="inlineStr"/>
      <c r="U30" s="43" t="inlineStr"/>
    </row>
    <row r="31">
      <c r="A31" s="43" t="n">
        <v>31</v>
      </c>
      <c r="B31" s="43" t="inlineStr">
        <is>
          <t>30</t>
        </is>
      </c>
      <c r="C31" s="43" t="inlineStr">
        <is>
          <t>FJZP</t>
        </is>
      </c>
      <c r="D31" s="43" t="inlineStr">
        <is>
          <t>Cisco</t>
        </is>
      </c>
      <c r="E31" s="43" t="inlineStr">
        <is>
          <t>MCGA</t>
        </is>
      </c>
      <c r="F31" s="43" t="inlineStr">
        <is>
          <t>037-STBU</t>
        </is>
      </c>
      <c r="G31" s="43" t="inlineStr">
        <is>
          <t>CTANJZ04904</t>
        </is>
      </c>
      <c r="H31" s="43" t="inlineStr">
        <is>
          <t>Engineering Qualification Build</t>
        </is>
      </c>
      <c r="I31" s="43" t="inlineStr">
        <is>
          <t>Customer Deviation</t>
        </is>
      </c>
      <c r="J31" s="43" t="inlineStr">
        <is>
          <t>D606915</t>
        </is>
      </c>
      <c r="K31" s="33" t="inlineStr">
        <is>
          <t>D606915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December 2025 to use all the old material</t>
        </is>
      </c>
      <c r="L31" s="43" t="inlineStr">
        <is>
          <t>Expired</t>
        </is>
      </c>
      <c r="M31" s="43" t="inlineStr">
        <is>
          <t>73-102434-04</t>
        </is>
      </c>
      <c r="N31" s="43" t="inlineStr"/>
      <c r="O31" s="43" t="inlineStr">
        <is>
          <t>2026-01-08</t>
        </is>
      </c>
      <c r="P31" s="33" t="inlineStr">
        <is>
          <t>Engineering Qualification Build (EXTENDABLE 2x)</t>
        </is>
      </c>
      <c r="Q31" s="43" t="inlineStr">
        <is>
          <t>No apply</t>
        </is>
      </c>
      <c r="R31" s="43" t="inlineStr">
        <is>
          <t>2025-10-10</t>
        </is>
      </c>
      <c r="S31" s="43" t="inlineStr">
        <is>
          <t>2025-10-25</t>
        </is>
      </c>
      <c r="T31" s="43" t="inlineStr"/>
      <c r="U31" s="43" t="inlineStr"/>
    </row>
    <row r="32">
      <c r="A32" s="43" t="n">
        <v>32</v>
      </c>
      <c r="B32" s="43" t="inlineStr">
        <is>
          <t>31</t>
        </is>
      </c>
      <c r="C32" s="43" t="inlineStr">
        <is>
          <t>FJZP</t>
        </is>
      </c>
      <c r="D32" s="43" t="inlineStr">
        <is>
          <t>Cisco</t>
        </is>
      </c>
      <c r="E32" s="43" t="inlineStr">
        <is>
          <t>MCGA</t>
        </is>
      </c>
      <c r="F32" s="43" t="inlineStr">
        <is>
          <t>037-STBU</t>
        </is>
      </c>
      <c r="G32" s="43" t="inlineStr">
        <is>
          <t>CTANJZ04904</t>
        </is>
      </c>
      <c r="H32" s="43" t="inlineStr">
        <is>
          <t>Engineering Qualification Build</t>
        </is>
      </c>
      <c r="I32" s="43" t="inlineStr">
        <is>
          <t>Customer Deviation</t>
        </is>
      </c>
      <c r="J32" s="43" t="inlineStr">
        <is>
          <t>D606915</t>
        </is>
      </c>
      <c r="K32" s="33" t="inlineStr">
        <is>
          <t>D606915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December 2025 to use all the old material</t>
        </is>
      </c>
      <c r="L32" s="43" t="inlineStr">
        <is>
          <t>Expired</t>
        </is>
      </c>
      <c r="M32" s="43" t="inlineStr">
        <is>
          <t>73-102434-05</t>
        </is>
      </c>
      <c r="N32" s="43" t="inlineStr"/>
      <c r="O32" s="43" t="inlineStr">
        <is>
          <t>2026-01-08</t>
        </is>
      </c>
      <c r="P32" s="33" t="inlineStr">
        <is>
          <t>Engineering Qualification Build (EXTENDABLE 2x)</t>
        </is>
      </c>
      <c r="Q32" s="43" t="inlineStr">
        <is>
          <t>No apply</t>
        </is>
      </c>
      <c r="R32" s="43" t="inlineStr">
        <is>
          <t>2025-10-10</t>
        </is>
      </c>
      <c r="S32" s="43" t="inlineStr">
        <is>
          <t>2025-10-25</t>
        </is>
      </c>
      <c r="T32" s="43" t="inlineStr"/>
      <c r="U32" s="43" t="inlineStr"/>
    </row>
    <row r="33">
      <c r="A33" s="43" t="n">
        <v>33</v>
      </c>
      <c r="B33" s="43" t="inlineStr">
        <is>
          <t>32</t>
        </is>
      </c>
      <c r="C33" s="43" t="inlineStr">
        <is>
          <t>FJZP</t>
        </is>
      </c>
      <c r="D33" s="43" t="inlineStr">
        <is>
          <t>Cisco</t>
        </is>
      </c>
      <c r="E33" s="43" t="inlineStr">
        <is>
          <t>MCGA</t>
        </is>
      </c>
      <c r="F33" s="43" t="inlineStr">
        <is>
          <t>037-STBU</t>
        </is>
      </c>
      <c r="G33" s="43" t="inlineStr">
        <is>
          <t>CTANJZ04904</t>
        </is>
      </c>
      <c r="H33" s="43" t="inlineStr">
        <is>
          <t>Engineering Qualification Build</t>
        </is>
      </c>
      <c r="I33" s="43" t="inlineStr">
        <is>
          <t>Customer Deviation</t>
        </is>
      </c>
      <c r="J33" s="43" t="inlineStr">
        <is>
          <t>D606915</t>
        </is>
      </c>
      <c r="K33" s="33" t="inlineStr">
        <is>
          <t>D606915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December 2025 to use all the old material</t>
        </is>
      </c>
      <c r="L33" s="43" t="inlineStr">
        <is>
          <t>Expired</t>
        </is>
      </c>
      <c r="M33" s="43" t="inlineStr">
        <is>
          <t>73-102435-04</t>
        </is>
      </c>
      <c r="N33" s="43" t="inlineStr"/>
      <c r="O33" s="43" t="inlineStr">
        <is>
          <t>2026-01-08</t>
        </is>
      </c>
      <c r="P33" s="33" t="inlineStr">
        <is>
          <t>Engineering Qualification Build (EXTENDABLE 2x)</t>
        </is>
      </c>
      <c r="Q33" s="43" t="inlineStr">
        <is>
          <t>No apply</t>
        </is>
      </c>
      <c r="R33" s="43" t="inlineStr">
        <is>
          <t>2025-10-10</t>
        </is>
      </c>
      <c r="S33" s="43" t="inlineStr">
        <is>
          <t>2025-10-25</t>
        </is>
      </c>
      <c r="T33" s="43" t="inlineStr"/>
      <c r="U33" s="43" t="inlineStr"/>
    </row>
    <row r="34">
      <c r="A34" s="43" t="n">
        <v>34</v>
      </c>
      <c r="B34" s="43" t="inlineStr">
        <is>
          <t>33</t>
        </is>
      </c>
      <c r="C34" s="43" t="inlineStr">
        <is>
          <t>FJZP</t>
        </is>
      </c>
      <c r="D34" s="43" t="inlineStr">
        <is>
          <t>Cisco</t>
        </is>
      </c>
      <c r="E34" s="43" t="inlineStr">
        <is>
          <t>MCGA</t>
        </is>
      </c>
      <c r="F34" s="43" t="inlineStr">
        <is>
          <t>037-STBU</t>
        </is>
      </c>
      <c r="G34" s="43" t="inlineStr">
        <is>
          <t>CTANJZ04904</t>
        </is>
      </c>
      <c r="H34" s="43" t="inlineStr">
        <is>
          <t>Engineering Qualification Build</t>
        </is>
      </c>
      <c r="I34" s="43" t="inlineStr">
        <is>
          <t>Customer Deviation</t>
        </is>
      </c>
      <c r="J34" s="43" t="inlineStr">
        <is>
          <t>D606915</t>
        </is>
      </c>
      <c r="K34" s="33" t="inlineStr">
        <is>
          <t>D606915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December 2025 to use all the old material</t>
        </is>
      </c>
      <c r="L34" s="43" t="inlineStr">
        <is>
          <t>Expired</t>
        </is>
      </c>
      <c r="M34" s="43" t="inlineStr">
        <is>
          <t>73-102435-05</t>
        </is>
      </c>
      <c r="N34" s="43" t="inlineStr"/>
      <c r="O34" s="43" t="inlineStr">
        <is>
          <t>2026-01-08</t>
        </is>
      </c>
      <c r="P34" s="33" t="inlineStr">
        <is>
          <t>Engineering Qualification Build (EXTENDABLE 2x)</t>
        </is>
      </c>
      <c r="Q34" s="43" t="inlineStr">
        <is>
          <t>No apply</t>
        </is>
      </c>
      <c r="R34" s="43" t="inlineStr">
        <is>
          <t>2025-10-10</t>
        </is>
      </c>
      <c r="S34" s="43" t="inlineStr">
        <is>
          <t>2025-10-25</t>
        </is>
      </c>
      <c r="T34" s="43" t="inlineStr"/>
      <c r="U34" s="43" t="inlineStr"/>
    </row>
    <row r="35">
      <c r="A35" s="43" t="n">
        <v>35</v>
      </c>
      <c r="B35" s="43" t="inlineStr">
        <is>
          <t>34</t>
        </is>
      </c>
      <c r="C35" s="43" t="inlineStr">
        <is>
          <t>FJZP</t>
        </is>
      </c>
      <c r="D35" s="43" t="inlineStr">
        <is>
          <t>Cisco</t>
        </is>
      </c>
      <c r="E35" s="43" t="inlineStr">
        <is>
          <t>MCGA</t>
        </is>
      </c>
      <c r="F35" s="43" t="inlineStr">
        <is>
          <t>037-STBU</t>
        </is>
      </c>
      <c r="G35" s="43" t="inlineStr">
        <is>
          <t>CTANJZ04631</t>
        </is>
      </c>
      <c r="H35" s="43" t="inlineStr">
        <is>
          <t>Engineering Qualification Build</t>
        </is>
      </c>
      <c r="I35" s="43" t="inlineStr">
        <is>
          <t>Customer Deviation</t>
        </is>
      </c>
      <c r="J35" s="43" t="inlineStr">
        <is>
          <t>D604068</t>
        </is>
      </c>
      <c r="K35" s="33" t="inlineStr">
        <is>
          <t>D604068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November 2025 to use all the old material</t>
        </is>
      </c>
      <c r="L35" s="43" t="inlineStr">
        <is>
          <t>Expired</t>
        </is>
      </c>
      <c r="M35" s="43" t="inlineStr">
        <is>
          <t>73-102434-05</t>
        </is>
      </c>
      <c r="N35" s="43" t="inlineStr"/>
      <c r="O35" s="43" t="inlineStr">
        <is>
          <t>2025-08-26</t>
        </is>
      </c>
      <c r="P35" s="33" t="inlineStr">
        <is>
          <t>Engineering Qualification Build (EXTENDABLE 2x)</t>
        </is>
      </c>
      <c r="Q35" s="43" t="inlineStr">
        <is>
          <t>Implement first the ECO EA616344 that includes only the replacement of the current connector -29-104201-01 (125 mil solder tail length) with 29-104201-02 (165 mil solder tail length)</t>
        </is>
      </c>
      <c r="R35" s="43" t="inlineStr">
        <is>
          <t>2025-05-29</t>
        </is>
      </c>
      <c r="S35" s="43" t="inlineStr">
        <is>
          <t>2025-06-18</t>
        </is>
      </c>
      <c r="T35" s="43" t="inlineStr"/>
      <c r="U35" s="43" t="inlineStr"/>
    </row>
    <row r="36">
      <c r="A36" s="43" t="n">
        <v>36</v>
      </c>
      <c r="B36" s="43" t="inlineStr">
        <is>
          <t>35</t>
        </is>
      </c>
      <c r="C36" s="43" t="inlineStr">
        <is>
          <t>FJZP</t>
        </is>
      </c>
      <c r="D36" s="43" t="inlineStr">
        <is>
          <t>Cisco</t>
        </is>
      </c>
      <c r="E36" s="43" t="inlineStr">
        <is>
          <t>MCGA</t>
        </is>
      </c>
      <c r="F36" s="43" t="inlineStr">
        <is>
          <t>037-STBU</t>
        </is>
      </c>
      <c r="G36" s="43" t="inlineStr">
        <is>
          <t>CTANJZ04631</t>
        </is>
      </c>
      <c r="H36" s="43" t="inlineStr">
        <is>
          <t>Engineering Qualification Build</t>
        </is>
      </c>
      <c r="I36" s="43" t="inlineStr">
        <is>
          <t>Customer Deviation</t>
        </is>
      </c>
      <c r="J36" s="43" t="inlineStr">
        <is>
          <t>D604068</t>
        </is>
      </c>
      <c r="K36" s="33" t="inlineStr">
        <is>
          <t>D604068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November 2025 to use all the old material</t>
        </is>
      </c>
      <c r="L36" s="43" t="inlineStr">
        <is>
          <t>Expired</t>
        </is>
      </c>
      <c r="M36" s="43" t="inlineStr">
        <is>
          <t>73-102435-04</t>
        </is>
      </c>
      <c r="N36" s="43" t="inlineStr"/>
      <c r="O36" s="43" t="inlineStr">
        <is>
          <t>2025-08-26</t>
        </is>
      </c>
      <c r="P36" s="33" t="inlineStr">
        <is>
          <t>Engineering Qualification Build (EXTENDABLE 2x)</t>
        </is>
      </c>
      <c r="Q36" s="43" t="inlineStr">
        <is>
          <t>Implement first the ECO EA616344 that includes only the replacement of the current connector -29-104201-01 (125 mil solder tail length) with 29-104201-02 (165 mil solder tail length)</t>
        </is>
      </c>
      <c r="R36" s="43" t="inlineStr">
        <is>
          <t>2025-05-29</t>
        </is>
      </c>
      <c r="S36" s="43" t="inlineStr">
        <is>
          <t>2025-06-18</t>
        </is>
      </c>
      <c r="T36" s="43" t="inlineStr"/>
      <c r="U36" s="43" t="inlineStr"/>
    </row>
    <row r="37">
      <c r="A37" s="43" t="n">
        <v>37</v>
      </c>
      <c r="B37" s="43" t="inlineStr">
        <is>
          <t>36</t>
        </is>
      </c>
      <c r="C37" s="43" t="inlineStr">
        <is>
          <t>FJZP</t>
        </is>
      </c>
      <c r="D37" s="43" t="inlineStr">
        <is>
          <t>Cisco</t>
        </is>
      </c>
      <c r="E37" s="43" t="inlineStr">
        <is>
          <t>MCGA</t>
        </is>
      </c>
      <c r="F37" s="43" t="inlineStr">
        <is>
          <t>037-STBU</t>
        </is>
      </c>
      <c r="G37" s="43" t="inlineStr">
        <is>
          <t>CTANJZ04631</t>
        </is>
      </c>
      <c r="H37" s="43" t="inlineStr">
        <is>
          <t>Engineering Qualification Build</t>
        </is>
      </c>
      <c r="I37" s="43" t="inlineStr">
        <is>
          <t>Customer Deviation</t>
        </is>
      </c>
      <c r="J37" s="43" t="inlineStr">
        <is>
          <t>D604068</t>
        </is>
      </c>
      <c r="K37" s="33" t="inlineStr">
        <is>
          <t>D604068 Warwick: Current connector solder tail length is 125 mils; while Warwick PCB is ~137 mils thick. This lead protrusion (lack of) making it difficult to inspect Warwick PCBAs; as well as a causing a number of units to have insufficient thru-hole barrel fill.  Longer solder tails will provide better soldering; eliminate thru-hole barrel fill concerns.Deviation is to allow FJZ to implement first the ECO EA616344 that includes only the replacement of the current connector -29-104201-01 (125 mil solder tail length) with 29-104201-02 (165 mil solder tail length)The ECO EA608077 released in December 2024; will be implement in November 2025 to use all the old material</t>
        </is>
      </c>
      <c r="L37" s="43" t="inlineStr">
        <is>
          <t>Expired</t>
        </is>
      </c>
      <c r="M37" s="43" t="inlineStr">
        <is>
          <t>73-102435-05</t>
        </is>
      </c>
      <c r="N37" s="43" t="inlineStr"/>
      <c r="O37" s="43" t="inlineStr">
        <is>
          <t>2025-08-26</t>
        </is>
      </c>
      <c r="P37" s="33" t="inlineStr">
        <is>
          <t>Engineering Qualification Build (EXTENDABLE 2x)</t>
        </is>
      </c>
      <c r="Q37" s="43" t="inlineStr">
        <is>
          <t>Implement first the ECO EA616344 that includes only the replacement of the current connector -29-104201-01 (125 mil solder tail length) with 29-104201-02 (165 mil solder tail length)</t>
        </is>
      </c>
      <c r="R37" s="43" t="inlineStr">
        <is>
          <t>2025-05-29</t>
        </is>
      </c>
      <c r="S37" s="43" t="inlineStr">
        <is>
          <t>2025-06-18</t>
        </is>
      </c>
      <c r="T37" s="43" t="inlineStr"/>
      <c r="U37" s="43" t="inlineStr"/>
    </row>
    <row r="38">
      <c r="A38" s="43" t="n">
        <v>38</v>
      </c>
      <c r="B38" s="43" t="inlineStr">
        <is>
          <t>37</t>
        </is>
      </c>
      <c r="C38" s="43" t="inlineStr">
        <is>
          <t>FJZP</t>
        </is>
      </c>
      <c r="D38" s="43" t="inlineStr">
        <is>
          <t>Cisco</t>
        </is>
      </c>
      <c r="E38" s="43" t="inlineStr">
        <is>
          <t>MCGA</t>
        </is>
      </c>
      <c r="F38" s="43" t="inlineStr">
        <is>
          <t>037-STBU</t>
        </is>
      </c>
      <c r="G38" s="43" t="inlineStr">
        <is>
          <t>CTANJZ04896</t>
        </is>
      </c>
      <c r="H38" s="43" t="inlineStr">
        <is>
          <t>Engineering Qualification Build</t>
        </is>
      </c>
      <c r="I38" s="43" t="inlineStr">
        <is>
          <t>Customer Deviation</t>
        </is>
      </c>
      <c r="J38" s="43" t="inlineStr">
        <is>
          <t>D605020</t>
        </is>
      </c>
      <c r="K38"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38" s="43" t="inlineStr">
        <is>
          <t>Expired</t>
        </is>
      </c>
      <c r="M38" s="43" t="inlineStr">
        <is>
          <t>17-102040-06</t>
        </is>
      </c>
      <c r="N38" s="43" t="inlineStr"/>
      <c r="O38" s="43" t="inlineStr">
        <is>
          <t>2026-01-04</t>
        </is>
      </c>
      <c r="P38" s="33" t="inlineStr">
        <is>
          <t>Engineering Qualification Build (EXTENDABLE 2x)</t>
        </is>
      </c>
      <c r="Q38" s="43"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38" s="43" t="inlineStr">
        <is>
          <t>2025-10-08</t>
        </is>
      </c>
      <c r="S38" s="43" t="inlineStr">
        <is>
          <t>2025-10-21</t>
        </is>
      </c>
      <c r="T38" s="43" t="inlineStr"/>
      <c r="U38" s="43" t="inlineStr"/>
    </row>
    <row r="39">
      <c r="A39" s="43" t="n">
        <v>39</v>
      </c>
      <c r="B39" s="43" t="inlineStr">
        <is>
          <t>38</t>
        </is>
      </c>
      <c r="C39" s="43" t="inlineStr">
        <is>
          <t>FJZP</t>
        </is>
      </c>
      <c r="D39" s="43" t="inlineStr">
        <is>
          <t>Cisco</t>
        </is>
      </c>
      <c r="E39" s="43" t="inlineStr">
        <is>
          <t>MCGA</t>
        </is>
      </c>
      <c r="F39" s="43" t="inlineStr">
        <is>
          <t>037-STBU</t>
        </is>
      </c>
      <c r="G39" s="43" t="inlineStr">
        <is>
          <t>CTANJZ04896</t>
        </is>
      </c>
      <c r="H39" s="43" t="inlineStr">
        <is>
          <t>Engineering Qualification Build</t>
        </is>
      </c>
      <c r="I39" s="43" t="inlineStr">
        <is>
          <t>Customer Deviation</t>
        </is>
      </c>
      <c r="J39" s="43" t="inlineStr">
        <is>
          <t>D605020</t>
        </is>
      </c>
      <c r="K39"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39" s="43" t="inlineStr">
        <is>
          <t>Expired</t>
        </is>
      </c>
      <c r="M39" s="43" t="inlineStr">
        <is>
          <t>17-102041-07</t>
        </is>
      </c>
      <c r="N39" s="43" t="inlineStr"/>
      <c r="O39" s="43" t="inlineStr">
        <is>
          <t>2026-01-04</t>
        </is>
      </c>
      <c r="P39" s="33" t="inlineStr">
        <is>
          <t>Engineering Qualification Build (EXTENDABLE 2x)</t>
        </is>
      </c>
      <c r="Q39" s="43"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39" s="43" t="inlineStr">
        <is>
          <t>2025-10-08</t>
        </is>
      </c>
      <c r="S39" s="43" t="inlineStr">
        <is>
          <t>2025-10-21</t>
        </is>
      </c>
      <c r="T39" s="43" t="inlineStr"/>
      <c r="U39" s="43" t="inlineStr"/>
    </row>
    <row r="40">
      <c r="A40" s="43" t="n">
        <v>40</v>
      </c>
      <c r="B40" s="43" t="inlineStr">
        <is>
          <t>39</t>
        </is>
      </c>
      <c r="C40" s="43" t="inlineStr">
        <is>
          <t>FJZP</t>
        </is>
      </c>
      <c r="D40" s="43" t="inlineStr">
        <is>
          <t>Cisco</t>
        </is>
      </c>
      <c r="E40" s="43" t="inlineStr">
        <is>
          <t>MCGA</t>
        </is>
      </c>
      <c r="F40" s="43" t="inlineStr">
        <is>
          <t>037-STBU</t>
        </is>
      </c>
      <c r="G40" s="43" t="inlineStr">
        <is>
          <t>CTANJZ04896</t>
        </is>
      </c>
      <c r="H40" s="43" t="inlineStr">
        <is>
          <t>Engineering Qualification Build</t>
        </is>
      </c>
      <c r="I40" s="43" t="inlineStr">
        <is>
          <t>Customer Deviation</t>
        </is>
      </c>
      <c r="J40" s="43" t="inlineStr">
        <is>
          <t>D605020</t>
        </is>
      </c>
      <c r="K40"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40" s="43" t="inlineStr">
        <is>
          <t>Expired</t>
        </is>
      </c>
      <c r="M40" s="43" t="inlineStr">
        <is>
          <t>17-102043-03</t>
        </is>
      </c>
      <c r="N40" s="43" t="inlineStr"/>
      <c r="O40" s="43" t="inlineStr">
        <is>
          <t>2026-01-04</t>
        </is>
      </c>
      <c r="P40" s="33" t="inlineStr">
        <is>
          <t>Engineering Qualification Build (EXTENDABLE 2x)</t>
        </is>
      </c>
      <c r="Q40" s="43"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40" s="43" t="inlineStr">
        <is>
          <t>2025-10-08</t>
        </is>
      </c>
      <c r="S40" s="43" t="inlineStr">
        <is>
          <t>2025-10-21</t>
        </is>
      </c>
      <c r="T40" s="43" t="inlineStr"/>
      <c r="U40" s="43" t="inlineStr"/>
    </row>
    <row r="41">
      <c r="A41" s="43" t="n">
        <v>41</v>
      </c>
      <c r="B41" s="43" t="inlineStr">
        <is>
          <t>40</t>
        </is>
      </c>
      <c r="C41" s="43" t="inlineStr">
        <is>
          <t>FJZP</t>
        </is>
      </c>
      <c r="D41" s="43" t="inlineStr">
        <is>
          <t>Cisco</t>
        </is>
      </c>
      <c r="E41" s="43" t="inlineStr">
        <is>
          <t>MCGA</t>
        </is>
      </c>
      <c r="F41" s="43" t="inlineStr">
        <is>
          <t>037-STBU</t>
        </is>
      </c>
      <c r="G41" s="43" t="inlineStr">
        <is>
          <t>CTANJZ04896</t>
        </is>
      </c>
      <c r="H41" s="43" t="inlineStr">
        <is>
          <t>Engineering Qualification Build</t>
        </is>
      </c>
      <c r="I41" s="43" t="inlineStr">
        <is>
          <t>Customer Deviation</t>
        </is>
      </c>
      <c r="J41" s="43" t="inlineStr">
        <is>
          <t>D605020</t>
        </is>
      </c>
      <c r="K41"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41" s="43" t="inlineStr">
        <is>
          <t>Expired</t>
        </is>
      </c>
      <c r="M41" s="43" t="inlineStr">
        <is>
          <t>17-102050-07</t>
        </is>
      </c>
      <c r="N41" s="43" t="inlineStr"/>
      <c r="O41" s="43" t="inlineStr">
        <is>
          <t>2026-01-04</t>
        </is>
      </c>
      <c r="P41" s="33" t="inlineStr">
        <is>
          <t>Engineering Qualification Build (EXTENDABLE 2x)</t>
        </is>
      </c>
      <c r="Q41" s="43"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41" s="43" t="inlineStr">
        <is>
          <t>2025-10-08</t>
        </is>
      </c>
      <c r="S41" s="43" t="inlineStr">
        <is>
          <t>2025-10-21</t>
        </is>
      </c>
      <c r="T41" s="43" t="inlineStr"/>
      <c r="U41" s="43" t="inlineStr"/>
    </row>
    <row r="42">
      <c r="A42" s="43" t="n">
        <v>42</v>
      </c>
      <c r="B42" s="43" t="inlineStr">
        <is>
          <t>41</t>
        </is>
      </c>
      <c r="C42" s="43" t="inlineStr">
        <is>
          <t>FJZP</t>
        </is>
      </c>
      <c r="D42" s="43" t="inlineStr">
        <is>
          <t>Cisco</t>
        </is>
      </c>
      <c r="E42" s="43" t="inlineStr">
        <is>
          <t>MCGA</t>
        </is>
      </c>
      <c r="F42" s="43" t="inlineStr">
        <is>
          <t>037-STBU</t>
        </is>
      </c>
      <c r="G42" s="43" t="inlineStr">
        <is>
          <t>CTANJZ04896</t>
        </is>
      </c>
      <c r="H42" s="43" t="inlineStr">
        <is>
          <t>Engineering Qualification Build</t>
        </is>
      </c>
      <c r="I42" s="43" t="inlineStr">
        <is>
          <t>Customer Deviation</t>
        </is>
      </c>
      <c r="J42" s="43" t="inlineStr">
        <is>
          <t>D605020</t>
        </is>
      </c>
      <c r="K42"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42" s="43" t="inlineStr">
        <is>
          <t>Expired</t>
        </is>
      </c>
      <c r="M42" s="43" t="inlineStr">
        <is>
          <t>17-102102-03</t>
        </is>
      </c>
      <c r="N42" s="43" t="inlineStr"/>
      <c r="O42" s="43" t="inlineStr">
        <is>
          <t>2026-01-04</t>
        </is>
      </c>
      <c r="P42" s="33" t="inlineStr">
        <is>
          <t>Engineering Qualification Build (EXTENDABLE 2x)</t>
        </is>
      </c>
      <c r="Q42" s="43"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42" s="43" t="inlineStr">
        <is>
          <t>2025-10-08</t>
        </is>
      </c>
      <c r="S42" s="43" t="inlineStr">
        <is>
          <t>2025-10-21</t>
        </is>
      </c>
      <c r="T42" s="43" t="inlineStr"/>
      <c r="U42" s="43" t="inlineStr"/>
    </row>
    <row r="43">
      <c r="A43" s="43" t="n">
        <v>43</v>
      </c>
      <c r="B43" s="43" t="inlineStr">
        <is>
          <t>42</t>
        </is>
      </c>
      <c r="C43" s="43" t="inlineStr">
        <is>
          <t>FJZP</t>
        </is>
      </c>
      <c r="D43" s="43" t="inlineStr">
        <is>
          <t>Cisco</t>
        </is>
      </c>
      <c r="E43" s="43" t="inlineStr">
        <is>
          <t>MCGA</t>
        </is>
      </c>
      <c r="F43" s="43" t="inlineStr">
        <is>
          <t>037-STBU</t>
        </is>
      </c>
      <c r="G43" s="43" t="inlineStr">
        <is>
          <t>CTANJZ04896</t>
        </is>
      </c>
      <c r="H43" s="43" t="inlineStr">
        <is>
          <t>Engineering Qualification Build</t>
        </is>
      </c>
      <c r="I43" s="43" t="inlineStr">
        <is>
          <t>Customer Deviation</t>
        </is>
      </c>
      <c r="J43" s="43" t="inlineStr">
        <is>
          <t>D605020</t>
        </is>
      </c>
      <c r="K43"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43" s="43" t="inlineStr">
        <is>
          <t>Expired</t>
        </is>
      </c>
      <c r="M43" s="43" t="inlineStr">
        <is>
          <t>17-16001-07</t>
        </is>
      </c>
      <c r="N43" s="43" t="inlineStr"/>
      <c r="O43" s="43" t="inlineStr">
        <is>
          <t>2026-01-04</t>
        </is>
      </c>
      <c r="P43" s="33" t="inlineStr">
        <is>
          <t>Engineering Qualification Build (EXTENDABLE 2x)</t>
        </is>
      </c>
      <c r="Q43" s="43"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43" s="43" t="inlineStr">
        <is>
          <t>2025-10-08</t>
        </is>
      </c>
      <c r="S43" s="43" t="inlineStr">
        <is>
          <t>2025-10-21</t>
        </is>
      </c>
      <c r="T43" s="43" t="inlineStr"/>
      <c r="U43" s="43" t="inlineStr"/>
    </row>
    <row r="44">
      <c r="A44" s="43" t="n">
        <v>44</v>
      </c>
      <c r="B44" s="43" t="inlineStr">
        <is>
          <t>43</t>
        </is>
      </c>
      <c r="C44" s="43" t="inlineStr">
        <is>
          <t>FJZP</t>
        </is>
      </c>
      <c r="D44" s="43" t="inlineStr">
        <is>
          <t>Cisco</t>
        </is>
      </c>
      <c r="E44" s="43" t="inlineStr">
        <is>
          <t>MCGA</t>
        </is>
      </c>
      <c r="F44" s="43" t="inlineStr">
        <is>
          <t>037-STBU</t>
        </is>
      </c>
      <c r="G44" s="43" t="inlineStr">
        <is>
          <t>CTANJZ04896</t>
        </is>
      </c>
      <c r="H44" s="43" t="inlineStr">
        <is>
          <t>Engineering Qualification Build</t>
        </is>
      </c>
      <c r="I44" s="43" t="inlineStr">
        <is>
          <t>Customer Deviation</t>
        </is>
      </c>
      <c r="J44" s="43" t="inlineStr">
        <is>
          <t>D605020</t>
        </is>
      </c>
      <c r="K44"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44" s="43" t="inlineStr">
        <is>
          <t>Expired</t>
        </is>
      </c>
      <c r="M44" s="43" t="inlineStr">
        <is>
          <t>73-20249-05</t>
        </is>
      </c>
      <c r="N44" s="43" t="inlineStr"/>
      <c r="O44" s="43" t="inlineStr">
        <is>
          <t>2026-01-04</t>
        </is>
      </c>
      <c r="P44" s="33" t="inlineStr">
        <is>
          <t>Engineering Qualification Build (EXTENDABLE 2x)</t>
        </is>
      </c>
      <c r="Q44" s="43"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44" s="43" t="inlineStr">
        <is>
          <t>2025-10-08</t>
        </is>
      </c>
      <c r="S44" s="43" t="inlineStr">
        <is>
          <t>2025-10-21</t>
        </is>
      </c>
      <c r="T44" s="43" t="inlineStr"/>
      <c r="U44" s="43" t="inlineStr"/>
    </row>
    <row r="45">
      <c r="A45" s="43" t="n">
        <v>45</v>
      </c>
      <c r="B45" s="43" t="inlineStr">
        <is>
          <t>44</t>
        </is>
      </c>
      <c r="C45" s="43" t="inlineStr">
        <is>
          <t>FJZP</t>
        </is>
      </c>
      <c r="D45" s="43" t="inlineStr">
        <is>
          <t>Cisco</t>
        </is>
      </c>
      <c r="E45" s="43" t="inlineStr">
        <is>
          <t>MCGA</t>
        </is>
      </c>
      <c r="F45" s="43" t="inlineStr">
        <is>
          <t>037-STBU</t>
        </is>
      </c>
      <c r="G45" s="43" t="inlineStr">
        <is>
          <t>CTANJZ04721</t>
        </is>
      </c>
      <c r="H45" s="43" t="inlineStr">
        <is>
          <t>Engineering Qualification Build</t>
        </is>
      </c>
      <c r="I45" s="43" t="inlineStr">
        <is>
          <t>Customer Deviation</t>
        </is>
      </c>
      <c r="J45" s="43" t="inlineStr">
        <is>
          <t>D605020</t>
        </is>
      </c>
      <c r="K45"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45" s="43" t="inlineStr">
        <is>
          <t>Expired</t>
        </is>
      </c>
      <c r="M45" s="43" t="inlineStr">
        <is>
          <t>17-102040-06</t>
        </is>
      </c>
      <c r="N45" s="43" t="inlineStr"/>
      <c r="O45" s="43" t="inlineStr">
        <is>
          <t>2026-01-05</t>
        </is>
      </c>
      <c r="P45" s="33" t="inlineStr">
        <is>
          <t>Engineering Qualification Build (EXTENDABLE 2x)</t>
        </is>
      </c>
      <c r="Q45" s="43"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45" s="43" t="inlineStr">
        <is>
          <t>2025-07-10</t>
        </is>
      </c>
      <c r="S45" s="43" t="inlineStr">
        <is>
          <t>2025-07-24</t>
        </is>
      </c>
      <c r="T45" s="43" t="inlineStr"/>
      <c r="U45" s="43" t="inlineStr"/>
    </row>
    <row r="46">
      <c r="A46" s="43" t="n">
        <v>46</v>
      </c>
      <c r="B46" s="43" t="inlineStr">
        <is>
          <t>45</t>
        </is>
      </c>
      <c r="C46" s="43" t="inlineStr">
        <is>
          <t>FJZP</t>
        </is>
      </c>
      <c r="D46" s="43" t="inlineStr">
        <is>
          <t>Cisco</t>
        </is>
      </c>
      <c r="E46" s="43" t="inlineStr">
        <is>
          <t>MCGA</t>
        </is>
      </c>
      <c r="F46" s="43" t="inlineStr">
        <is>
          <t>037-STBU</t>
        </is>
      </c>
      <c r="G46" s="43" t="inlineStr">
        <is>
          <t>CTANJZ04721</t>
        </is>
      </c>
      <c r="H46" s="43" t="inlineStr">
        <is>
          <t>Engineering Qualification Build</t>
        </is>
      </c>
      <c r="I46" s="43" t="inlineStr">
        <is>
          <t>Customer Deviation</t>
        </is>
      </c>
      <c r="J46" s="43" t="inlineStr">
        <is>
          <t>D605020</t>
        </is>
      </c>
      <c r="K46"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46" s="43" t="inlineStr">
        <is>
          <t>Expired</t>
        </is>
      </c>
      <c r="M46" s="43" t="inlineStr">
        <is>
          <t>17-102041-07</t>
        </is>
      </c>
      <c r="N46" s="43" t="inlineStr"/>
      <c r="O46" s="43" t="inlineStr">
        <is>
          <t>2026-01-05</t>
        </is>
      </c>
      <c r="P46" s="33" t="inlineStr">
        <is>
          <t>Engineering Qualification Build (EXTENDABLE 2x)</t>
        </is>
      </c>
      <c r="Q46" s="43"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46" s="43" t="inlineStr">
        <is>
          <t>2025-07-10</t>
        </is>
      </c>
      <c r="S46" s="43" t="inlineStr">
        <is>
          <t>2025-07-24</t>
        </is>
      </c>
      <c r="T46" s="43" t="inlineStr"/>
      <c r="U46" s="43" t="inlineStr"/>
    </row>
    <row r="47">
      <c r="A47" s="43" t="n">
        <v>47</v>
      </c>
      <c r="B47" s="43" t="inlineStr">
        <is>
          <t>46</t>
        </is>
      </c>
      <c r="C47" s="43" t="inlineStr">
        <is>
          <t>FJZP</t>
        </is>
      </c>
      <c r="D47" s="43" t="inlineStr">
        <is>
          <t>Cisco</t>
        </is>
      </c>
      <c r="E47" s="43" t="inlineStr">
        <is>
          <t>MCGA</t>
        </is>
      </c>
      <c r="F47" s="43" t="inlineStr">
        <is>
          <t>037-STBU</t>
        </is>
      </c>
      <c r="G47" s="43" t="inlineStr">
        <is>
          <t>CTANJZ04721</t>
        </is>
      </c>
      <c r="H47" s="43" t="inlineStr">
        <is>
          <t>Engineering Qualification Build</t>
        </is>
      </c>
      <c r="I47" s="43" t="inlineStr">
        <is>
          <t>Customer Deviation</t>
        </is>
      </c>
      <c r="J47" s="43" t="inlineStr">
        <is>
          <t>D605020</t>
        </is>
      </c>
      <c r="K47"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47" s="43" t="inlineStr">
        <is>
          <t>Expired</t>
        </is>
      </c>
      <c r="M47" s="43" t="inlineStr">
        <is>
          <t>17-102043-03</t>
        </is>
      </c>
      <c r="N47" s="43" t="inlineStr"/>
      <c r="O47" s="43" t="inlineStr">
        <is>
          <t>2026-01-05</t>
        </is>
      </c>
      <c r="P47" s="33" t="inlineStr">
        <is>
          <t>Engineering Qualification Build (EXTENDABLE 2x)</t>
        </is>
      </c>
      <c r="Q47" s="43"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47" s="43" t="inlineStr">
        <is>
          <t>2025-07-10</t>
        </is>
      </c>
      <c r="S47" s="43" t="inlineStr">
        <is>
          <t>2025-07-24</t>
        </is>
      </c>
      <c r="T47" s="43" t="inlineStr"/>
      <c r="U47" s="43" t="inlineStr"/>
    </row>
    <row r="48">
      <c r="A48" s="43" t="n">
        <v>48</v>
      </c>
      <c r="B48" s="43" t="inlineStr">
        <is>
          <t>47</t>
        </is>
      </c>
      <c r="C48" s="43" t="inlineStr">
        <is>
          <t>FJZP</t>
        </is>
      </c>
      <c r="D48" s="43" t="inlineStr">
        <is>
          <t>Cisco</t>
        </is>
      </c>
      <c r="E48" s="43" t="inlineStr">
        <is>
          <t>MCGA</t>
        </is>
      </c>
      <c r="F48" s="43" t="inlineStr">
        <is>
          <t>037-STBU</t>
        </is>
      </c>
      <c r="G48" s="43" t="inlineStr">
        <is>
          <t>CTANJZ04721</t>
        </is>
      </c>
      <c r="H48" s="43" t="inlineStr">
        <is>
          <t>Engineering Qualification Build</t>
        </is>
      </c>
      <c r="I48" s="43" t="inlineStr">
        <is>
          <t>Customer Deviation</t>
        </is>
      </c>
      <c r="J48" s="43" t="inlineStr">
        <is>
          <t>D605020</t>
        </is>
      </c>
      <c r="K48"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48" s="43" t="inlineStr">
        <is>
          <t>Expired</t>
        </is>
      </c>
      <c r="M48" s="43" t="inlineStr">
        <is>
          <t>17-102050-07</t>
        </is>
      </c>
      <c r="N48" s="43" t="inlineStr"/>
      <c r="O48" s="43" t="inlineStr">
        <is>
          <t>2026-01-05</t>
        </is>
      </c>
      <c r="P48" s="33" t="inlineStr">
        <is>
          <t>Engineering Qualification Build (EXTENDABLE 2x)</t>
        </is>
      </c>
      <c r="Q48" s="43"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48" s="43" t="inlineStr">
        <is>
          <t>2025-07-10</t>
        </is>
      </c>
      <c r="S48" s="43" t="inlineStr">
        <is>
          <t>2025-07-24</t>
        </is>
      </c>
      <c r="T48" s="43" t="inlineStr"/>
      <c r="U48" s="43" t="inlineStr"/>
    </row>
    <row r="49">
      <c r="A49" s="43" t="n">
        <v>49</v>
      </c>
      <c r="B49" s="43" t="inlineStr">
        <is>
          <t>48</t>
        </is>
      </c>
      <c r="C49" s="43" t="inlineStr">
        <is>
          <t>FJZP</t>
        </is>
      </c>
      <c r="D49" s="43" t="inlineStr">
        <is>
          <t>Cisco</t>
        </is>
      </c>
      <c r="E49" s="43" t="inlineStr">
        <is>
          <t>MCGA</t>
        </is>
      </c>
      <c r="F49" s="43" t="inlineStr">
        <is>
          <t>037-STBU</t>
        </is>
      </c>
      <c r="G49" s="43" t="inlineStr">
        <is>
          <t>CTANJZ04721</t>
        </is>
      </c>
      <c r="H49" s="43" t="inlineStr">
        <is>
          <t>Engineering Qualification Build</t>
        </is>
      </c>
      <c r="I49" s="43" t="inlineStr">
        <is>
          <t>Customer Deviation</t>
        </is>
      </c>
      <c r="J49" s="43" t="inlineStr">
        <is>
          <t>D605020</t>
        </is>
      </c>
      <c r="K49"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49" s="43" t="inlineStr">
        <is>
          <t>Expired</t>
        </is>
      </c>
      <c r="M49" s="43" t="inlineStr">
        <is>
          <t>17-102102-03</t>
        </is>
      </c>
      <c r="N49" s="43" t="inlineStr"/>
      <c r="O49" s="43" t="inlineStr">
        <is>
          <t>2026-01-05</t>
        </is>
      </c>
      <c r="P49" s="33" t="inlineStr">
        <is>
          <t>Engineering Qualification Build (EXTENDABLE 2x)</t>
        </is>
      </c>
      <c r="Q49" s="43"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49" s="43" t="inlineStr">
        <is>
          <t>2025-07-10</t>
        </is>
      </c>
      <c r="S49" s="43" t="inlineStr">
        <is>
          <t>2025-07-24</t>
        </is>
      </c>
      <c r="T49" s="43" t="inlineStr"/>
      <c r="U49" s="43" t="inlineStr"/>
    </row>
    <row r="50">
      <c r="A50" s="43" t="n">
        <v>50</v>
      </c>
      <c r="B50" s="43" t="inlineStr">
        <is>
          <t>49</t>
        </is>
      </c>
      <c r="C50" s="43" t="inlineStr">
        <is>
          <t>FJZP</t>
        </is>
      </c>
      <c r="D50" s="43" t="inlineStr">
        <is>
          <t>Cisco</t>
        </is>
      </c>
      <c r="E50" s="43" t="inlineStr">
        <is>
          <t>MCGA</t>
        </is>
      </c>
      <c r="F50" s="43" t="inlineStr">
        <is>
          <t>037-STBU</t>
        </is>
      </c>
      <c r="G50" s="43" t="inlineStr">
        <is>
          <t>CTANJZ04721</t>
        </is>
      </c>
      <c r="H50" s="43" t="inlineStr">
        <is>
          <t>Engineering Qualification Build</t>
        </is>
      </c>
      <c r="I50" s="43" t="inlineStr">
        <is>
          <t>Customer Deviation</t>
        </is>
      </c>
      <c r="J50" s="43" t="inlineStr">
        <is>
          <t>D605020</t>
        </is>
      </c>
      <c r="K50"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50" s="43" t="inlineStr">
        <is>
          <t>Expired</t>
        </is>
      </c>
      <c r="M50" s="43" t="inlineStr">
        <is>
          <t>17-16001-07</t>
        </is>
      </c>
      <c r="N50" s="43" t="inlineStr"/>
      <c r="O50" s="43" t="inlineStr">
        <is>
          <t>2026-01-05</t>
        </is>
      </c>
      <c r="P50" s="33" t="inlineStr">
        <is>
          <t>Engineering Qualification Build (EXTENDABLE 2x)</t>
        </is>
      </c>
      <c r="Q50" s="43"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50" s="43" t="inlineStr">
        <is>
          <t>2025-07-10</t>
        </is>
      </c>
      <c r="S50" s="43" t="inlineStr">
        <is>
          <t>2025-07-24</t>
        </is>
      </c>
      <c r="T50" s="43" t="inlineStr"/>
      <c r="U50" s="43" t="inlineStr"/>
    </row>
    <row r="51">
      <c r="A51" s="43" t="n">
        <v>51</v>
      </c>
      <c r="B51" s="43" t="inlineStr">
        <is>
          <t>50</t>
        </is>
      </c>
      <c r="C51" s="43" t="inlineStr">
        <is>
          <t>FJZP</t>
        </is>
      </c>
      <c r="D51" s="43" t="inlineStr">
        <is>
          <t>Cisco</t>
        </is>
      </c>
      <c r="E51" s="43" t="inlineStr">
        <is>
          <t>MCGA</t>
        </is>
      </c>
      <c r="F51" s="43" t="inlineStr">
        <is>
          <t>037-STBU</t>
        </is>
      </c>
      <c r="G51" s="43" t="inlineStr">
        <is>
          <t>CTANJZ04721</t>
        </is>
      </c>
      <c r="H51" s="43" t="inlineStr">
        <is>
          <t>Engineering Qualification Build</t>
        </is>
      </c>
      <c r="I51" s="43" t="inlineStr">
        <is>
          <t>Customer Deviation</t>
        </is>
      </c>
      <c r="J51" s="43" t="inlineStr">
        <is>
          <t>D605020</t>
        </is>
      </c>
      <c r="K51" s="33" t="inlineStr">
        <is>
          <t>D605020 Build a control run with 10 units using all the new parts to confirm no issues found17-102040-06: BIOS_ROMMON17-102041-07: SYSTEM FPGA CONFIG; SPI17-102043-03: NIC SPI17-102050-07: POWER SEQUENCER17-16001-07: System FPGA Akido Secure JTAG17-102102-03: NIC SPINOTE: The parts 17-102041-07 (FPGA CONFIG; SPI) and 17-16001-07 (FPGA+Akido+Secure_JTAG) **must be used** together. No mixing new versions with old version. No exceptions.</t>
        </is>
      </c>
      <c r="L51" s="43" t="inlineStr">
        <is>
          <t>Expired</t>
        </is>
      </c>
      <c r="M51" s="43" t="inlineStr">
        <is>
          <t>73-20249-05</t>
        </is>
      </c>
      <c r="N51" s="43" t="inlineStr"/>
      <c r="O51" s="43" t="inlineStr">
        <is>
          <t>2026-01-05</t>
        </is>
      </c>
      <c r="P51" s="33" t="inlineStr">
        <is>
          <t>Engineering Qualification Build (EXTENDABLE 2x)</t>
        </is>
      </c>
      <c r="Q51" s="43" t="inlineStr">
        <is>
          <t>Build a control run with 10 units using all the new parts to confirm no issues found (Provide the logs to Cisco with the results)  17-102040-06: BIOS_ROMMON 17-102041-07: SYSTEM FPGA CONFIG; SPI 17-102043-03: NIC SPI 17-102050-07: POWER SEQUENCER 17-16001-07: System FPGA Akido Secure JTAG 17-102102-03: NIC SPI  NOTE: The parts 17-102041-07 (FPGA CONFIG; SPI) and 17-16001-07 (FPGA+Akido+Secure_JTAG) **must be used** together. No mixing new versions with old version. No exceptions.</t>
        </is>
      </c>
      <c r="R51" s="43" t="inlineStr">
        <is>
          <t>2025-07-10</t>
        </is>
      </c>
      <c r="S51" s="43" t="inlineStr">
        <is>
          <t>2025-07-24</t>
        </is>
      </c>
      <c r="T51" s="43" t="inlineStr"/>
      <c r="U51" s="43" t="inlineStr"/>
    </row>
    <row r="52">
      <c r="A52" s="43" t="n">
        <v>52</v>
      </c>
      <c r="B52" s="43" t="inlineStr">
        <is>
          <t>51</t>
        </is>
      </c>
      <c r="C52" s="43" t="inlineStr">
        <is>
          <t>FJZP</t>
        </is>
      </c>
      <c r="D52" s="43" t="inlineStr">
        <is>
          <t>Cisco</t>
        </is>
      </c>
      <c r="E52" s="43" t="inlineStr">
        <is>
          <t>MCGA</t>
        </is>
      </c>
      <c r="F52" s="43" t="inlineStr">
        <is>
          <t>239-CRBU</t>
        </is>
      </c>
      <c r="G52" s="43" t="inlineStr">
        <is>
          <t>CTANJZ05148</t>
        </is>
      </c>
      <c r="H52" s="43" t="inlineStr">
        <is>
          <t>Engineering Qualification Build</t>
        </is>
      </c>
      <c r="I52" s="43" t="inlineStr">
        <is>
          <t>Customer Deviation</t>
        </is>
      </c>
      <c r="J52" s="43" t="inlineStr">
        <is>
          <t>D610094</t>
        </is>
      </c>
      <c r="K52" s="33" t="inlineStr">
        <is>
          <t>D610094 CRBU-8000-GB Mono - Skew Qualification - LC4; LC5 &amp; LC7 -Q200_Combo SKU 268-7406-xx ( use latest production version and revision ) - LC4 - 3 location ASIC - U1_N0;U1_N1; U1_N268-7184-xx ( use latest production version and revision ) - LC5 - 3 location ASIC - U1_N0;U1_N1; U1_N268-7393-xx ( use latest production version and revision ) - LC7 -  2 location ASIC - U1_N0;U1_N1Build :LC4-  5 qty boardsLC5-  5 qty boardsLC7 - 5 qty boardsPCN #: CPCI-1009CCN #: CCN0000116821. Approve FJZ/FVN to build LC4 using the 01-1311-01 in place of  01-1057-04  on the location U1_N0 ; U1_N1 ; U1_N22. Approve FJZ/FVN to build LC5 using the 01-1311-01 in place of  01-1057-04  on the location U1_N0 ; U1_N1 ; U1_N23. Approve FJZ/FVN to build LC7 using the 01-1311-01 in place of  01-1057-04  on the location U1_N0 ; U1_N13. All units must go through MFG/Production Tests + MCVT4. Record and share thermal data during 2C/4C testing for all the ASICs on the board for all corners and share to EPE for review5. Do not ship the board until approved by EPENote : The part 01-1311-01 will be shipped with the deviation number on the label of the outer box and on the moisture barrier bag.</t>
        </is>
      </c>
      <c r="L52" s="43" t="inlineStr">
        <is>
          <t>Expired</t>
        </is>
      </c>
      <c r="M52" s="43" t="inlineStr">
        <is>
          <t>68-7184-09</t>
        </is>
      </c>
      <c r="N52" s="43" t="inlineStr"/>
      <c r="O52" s="43" t="inlineStr">
        <is>
          <t>2026-06-15</t>
        </is>
      </c>
      <c r="P52" s="33" t="inlineStr">
        <is>
          <t>Engineering Qualification Build (EXTENDABLE 2x)</t>
        </is>
      </c>
      <c r="Q52" s="43" t="inlineStr">
        <is>
          <t>Program the EEPROM Place the deviation label Place the WIP label on visible location and DO NOT SHIP OUT UNTIL APPROVED BY EPE</t>
        </is>
      </c>
      <c r="R52" s="43" t="inlineStr">
        <is>
          <t>2026-03-18</t>
        </is>
      </c>
      <c r="S52" s="43" t="inlineStr">
        <is>
          <t>2026-04-21</t>
        </is>
      </c>
      <c r="T52" s="43" t="inlineStr"/>
      <c r="U52" s="43" t="inlineStr"/>
    </row>
    <row r="53">
      <c r="A53" s="43" t="n">
        <v>53</v>
      </c>
      <c r="B53" s="43" t="inlineStr">
        <is>
          <t>52</t>
        </is>
      </c>
      <c r="C53" s="43" t="inlineStr">
        <is>
          <t>FJZP</t>
        </is>
      </c>
      <c r="D53" s="43" t="inlineStr">
        <is>
          <t>Cisco</t>
        </is>
      </c>
      <c r="E53" s="43" t="inlineStr">
        <is>
          <t>MCGA</t>
        </is>
      </c>
      <c r="F53" s="43" t="inlineStr">
        <is>
          <t>018-SRGBU</t>
        </is>
      </c>
      <c r="G53" s="43" t="inlineStr">
        <is>
          <t>CTANJZ04784</t>
        </is>
      </c>
      <c r="H53" s="43" t="inlineStr">
        <is>
          <t>Engineering Qualification Build</t>
        </is>
      </c>
      <c r="I53" s="43" t="inlineStr">
        <is>
          <t>Customer Deviation</t>
        </is>
      </c>
      <c r="J53" s="43" t="inlineStr">
        <is>
          <t>D605463</t>
        </is>
      </c>
      <c r="K53" s="33" t="inlineStr">
        <is>
          <t>D605463 SRGBU Hyperloop E0 Modem FW upgrade:This deviation instructs PCBA site and DF site to upgrade modem FW during MFG test process. DF sites for spare orders do not need to perform this as spares do not go through MFG testing at DF site.current modem FW output of show cellular 0/2/0 firmware:Idx Carrier              FwVersion        PriVersion   Status  1   Generic              32.00.119        1027         Active  2   Verizon              32.00.128        2022         Inactive3   ATT                  32.00.148        4024         Inactive4   TMUS                 32.00.158        5007         InactivePlease see PageThree for details</t>
        </is>
      </c>
      <c r="L53" s="43" t="inlineStr">
        <is>
          <t>Expired</t>
        </is>
      </c>
      <c r="M53" s="43" t="inlineStr">
        <is>
          <t>800-49316-03</t>
        </is>
      </c>
      <c r="N53" s="43" t="inlineStr"/>
      <c r="O53" s="43" t="inlineStr">
        <is>
          <t>2025-11-18</t>
        </is>
      </c>
      <c r="P53" s="33" t="inlineStr">
        <is>
          <t>Engineering Qualification Build (EXTENDABLE 2x)</t>
        </is>
      </c>
      <c r="Q53" s="43" t="inlineStr">
        <is>
          <t>no marking is needed</t>
        </is>
      </c>
      <c r="R53" s="43" t="inlineStr">
        <is>
          <t>2025-08-20</t>
        </is>
      </c>
      <c r="S53" s="43" t="inlineStr">
        <is>
          <t>2025-08-27</t>
        </is>
      </c>
      <c r="T53" s="43" t="inlineStr"/>
      <c r="U53" s="43" t="inlineStr"/>
    </row>
    <row r="54">
      <c r="A54" s="43" t="n">
        <v>54</v>
      </c>
      <c r="B54" s="43" t="inlineStr">
        <is>
          <t>53</t>
        </is>
      </c>
      <c r="C54" s="43" t="inlineStr">
        <is>
          <t>FJZP</t>
        </is>
      </c>
      <c r="D54" s="43" t="inlineStr">
        <is>
          <t>Cisco</t>
        </is>
      </c>
      <c r="E54" s="43" t="inlineStr">
        <is>
          <t>MCGA</t>
        </is>
      </c>
      <c r="F54" s="43" t="inlineStr">
        <is>
          <t>018-SRGBU</t>
        </is>
      </c>
      <c r="G54" s="43" t="inlineStr">
        <is>
          <t>CTANJZ04785</t>
        </is>
      </c>
      <c r="H54" s="43" t="inlineStr">
        <is>
          <t>Engineering Qualification Build</t>
        </is>
      </c>
      <c r="I54" s="43" t="inlineStr">
        <is>
          <t>Customer Deviation</t>
        </is>
      </c>
      <c r="J54" s="43" t="inlineStr">
        <is>
          <t>D605462</t>
        </is>
      </c>
      <c r="K54" s="33" t="inlineStr">
        <is>
          <t>D605462 SRGBU Sears E0 modem FW upgrade:This deviation instructs PCBA site and DF site to upgrade modem FW to "E0" during test process. DF sites for spare orders do not need to perform this as spares do not go through MFG testing at DF site.Please see PageThree for details</t>
        </is>
      </c>
      <c r="L54" s="43" t="inlineStr">
        <is>
          <t>Expired</t>
        </is>
      </c>
      <c r="M54" s="43" t="inlineStr">
        <is>
          <t>800-49952-02</t>
        </is>
      </c>
      <c r="N54" s="43" t="inlineStr"/>
      <c r="O54" s="43" t="inlineStr">
        <is>
          <t>2025-11-18</t>
        </is>
      </c>
      <c r="P54" s="33" t="inlineStr">
        <is>
          <t>Engineering Qualification Build (EXTENDABLE 2x)</t>
        </is>
      </c>
      <c r="Q54" s="43" t="inlineStr">
        <is>
          <t>no marking is needed</t>
        </is>
      </c>
      <c r="R54" s="43" t="inlineStr">
        <is>
          <t>2025-08-20</t>
        </is>
      </c>
      <c r="S54" s="43" t="inlineStr">
        <is>
          <t>2025-08-27</t>
        </is>
      </c>
      <c r="T54" s="43" t="inlineStr"/>
      <c r="U54" s="43" t="inlineStr"/>
    </row>
    <row r="55">
      <c r="A55" s="43" t="n">
        <v>55</v>
      </c>
      <c r="B55" s="43" t="inlineStr">
        <is>
          <t>54</t>
        </is>
      </c>
      <c r="C55" s="43" t="inlineStr">
        <is>
          <t>FJZP</t>
        </is>
      </c>
      <c r="D55" s="43" t="inlineStr">
        <is>
          <t>Cisco</t>
        </is>
      </c>
      <c r="E55" s="43" t="inlineStr">
        <is>
          <t>MCGA</t>
        </is>
      </c>
      <c r="F55" s="43" t="inlineStr">
        <is>
          <t>239-CRBU</t>
        </is>
      </c>
      <c r="G55" s="43" t="inlineStr">
        <is>
          <t>CTANJZ05314</t>
        </is>
      </c>
      <c r="H55" s="43" t="inlineStr">
        <is>
          <t>New Release</t>
        </is>
      </c>
      <c r="I55" s="43" t="inlineStr">
        <is>
          <t>Customer Deviation</t>
        </is>
      </c>
      <c r="J55" s="43" t="inlineStr">
        <is>
          <t>D612107</t>
        </is>
      </c>
      <c r="K55" s="33" t="inlineStr">
        <is>
          <t>D612107 Need to qualify 74AVC2T45FK;LCF(GT on 73-20922-04</t>
        </is>
      </c>
      <c r="L55" s="43" t="inlineStr">
        <is>
          <t>Expired</t>
        </is>
      </c>
      <c r="M55" s="43" t="inlineStr">
        <is>
          <t>73-20922-04</t>
        </is>
      </c>
      <c r="N55" s="43" t="inlineStr"/>
      <c r="O55" s="43" t="inlineStr">
        <is>
          <t>2026-09-22</t>
        </is>
      </c>
      <c r="P55" s="33" t="inlineStr">
        <is>
          <t>Engineering Qualification Build (EXTENDABLE 2x);To track an AML qualification build (EXTENDABLE 2x)</t>
        </is>
      </c>
      <c r="Q55" s="43" t="inlineStr">
        <is>
          <t>NA</t>
        </is>
      </c>
      <c r="R55" s="43" t="inlineStr">
        <is>
          <t>2026-06-25</t>
        </is>
      </c>
      <c r="S55" s="43" t="inlineStr"/>
      <c r="T55" s="43" t="inlineStr"/>
      <c r="U55" s="43" t="inlineStr"/>
    </row>
    <row r="56">
      <c r="A56" s="43" t="n">
        <v>56</v>
      </c>
      <c r="B56" s="43" t="inlineStr">
        <is>
          <t>55</t>
        </is>
      </c>
      <c r="C56" s="43" t="inlineStr">
        <is>
          <t>FJZP</t>
        </is>
      </c>
      <c r="D56" s="43" t="inlineStr">
        <is>
          <t>Cisco</t>
        </is>
      </c>
      <c r="E56" s="43" t="inlineStr">
        <is>
          <t>MCGA</t>
        </is>
      </c>
      <c r="F56" s="43" t="inlineStr">
        <is>
          <t>034-IOTBU</t>
        </is>
      </c>
      <c r="G56" s="43" t="inlineStr">
        <is>
          <t>CTANJZ05182</t>
        </is>
      </c>
      <c r="H56" s="43" t="inlineStr">
        <is>
          <t>Engineering Qualification Build</t>
        </is>
      </c>
      <c r="I56" s="43" t="inlineStr">
        <is>
          <t>Customer Deviation</t>
        </is>
      </c>
      <c r="J56" s="43" t="inlineStr">
        <is>
          <t>D609527</t>
        </is>
      </c>
      <c r="K56" s="33" t="inlineStr">
        <is>
          <t>D609527 IOTBU: Kitty Hawk: PCBFAB: CPN# 28-102878-03: NDAA 851: Build and Test product using PCBFABs produced by non-China NDAA (SEA) friendly countries.Instructions:1. Foxconn is tasked to build QTY=18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73-103098-03Current CPN: 28-102878-03</t>
        </is>
      </c>
      <c r="L56" s="43" t="inlineStr">
        <is>
          <t>Expired</t>
        </is>
      </c>
      <c r="M56" s="43" t="inlineStr">
        <is>
          <t>28-102878-03</t>
        </is>
      </c>
      <c r="N56" s="43" t="inlineStr"/>
      <c r="O56" s="43" t="inlineStr">
        <is>
          <t>2026-06-29</t>
        </is>
      </c>
      <c r="P56" s="33" t="inlineStr">
        <is>
          <t>Engineering Qualification Build (EXTENDABLE 2x)</t>
        </is>
      </c>
      <c r="Q56" s="43" t="inlineStr">
        <is>
          <t>Label PCA; TAN and Boxed PID exhibiting the deviation number.</t>
        </is>
      </c>
      <c r="R56" s="43" t="inlineStr">
        <is>
          <t>2026-04-01</t>
        </is>
      </c>
      <c r="S56" s="43" t="inlineStr">
        <is>
          <t>2026-04-14</t>
        </is>
      </c>
      <c r="T56" s="43" t="inlineStr"/>
      <c r="U56" s="43" t="inlineStr"/>
    </row>
    <row r="57">
      <c r="A57" s="43" t="n">
        <v>57</v>
      </c>
      <c r="B57" s="43" t="inlineStr">
        <is>
          <t>56</t>
        </is>
      </c>
      <c r="C57" s="43" t="inlineStr">
        <is>
          <t>FJZP</t>
        </is>
      </c>
      <c r="D57" s="43" t="inlineStr">
        <is>
          <t>Cisco</t>
        </is>
      </c>
      <c r="E57" s="43" t="inlineStr">
        <is>
          <t>MCGA</t>
        </is>
      </c>
      <c r="F57" s="43" t="inlineStr">
        <is>
          <t>034-IOTBU</t>
        </is>
      </c>
      <c r="G57" s="43" t="inlineStr">
        <is>
          <t>CTANJZ05182</t>
        </is>
      </c>
      <c r="H57" s="43" t="inlineStr">
        <is>
          <t>Engineering Qualification Build</t>
        </is>
      </c>
      <c r="I57" s="43" t="inlineStr">
        <is>
          <t>Customer Deviation</t>
        </is>
      </c>
      <c r="J57" s="43" t="inlineStr">
        <is>
          <t>D609527</t>
        </is>
      </c>
      <c r="K57" s="33" t="inlineStr">
        <is>
          <t>D609527 IOTBU: Kitty Hawk: PCBFAB: CPN# 28-102878-03: NDAA 851: Build and Test product using PCBFABs produced by non-China NDAA (SEA) friendly countries.Instructions:1. Foxconn is tasked to build QTY=18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73-103098-03Current CPN: 28-102878-03</t>
        </is>
      </c>
      <c r="L57" s="43" t="inlineStr">
        <is>
          <t>Expired</t>
        </is>
      </c>
      <c r="M57" s="43" t="inlineStr">
        <is>
          <t>68-104004-01</t>
        </is>
      </c>
      <c r="N57" s="43" t="inlineStr"/>
      <c r="O57" s="43" t="inlineStr">
        <is>
          <t>2026-06-29</t>
        </is>
      </c>
      <c r="P57" s="33" t="inlineStr">
        <is>
          <t>Engineering Qualification Build (EXTENDABLE 2x)</t>
        </is>
      </c>
      <c r="Q57" s="43" t="inlineStr">
        <is>
          <t>Label PCA; TAN and Boxed PID exhibiting the deviation number.</t>
        </is>
      </c>
      <c r="R57" s="43" t="inlineStr">
        <is>
          <t>2026-04-01</t>
        </is>
      </c>
      <c r="S57" s="43" t="inlineStr">
        <is>
          <t>2026-04-14</t>
        </is>
      </c>
      <c r="T57" s="43" t="inlineStr"/>
      <c r="U57" s="43" t="inlineStr"/>
    </row>
    <row r="58">
      <c r="A58" s="43" t="n">
        <v>58</v>
      </c>
      <c r="B58" s="43" t="inlineStr">
        <is>
          <t>57</t>
        </is>
      </c>
      <c r="C58" s="43" t="inlineStr">
        <is>
          <t>FJZP</t>
        </is>
      </c>
      <c r="D58" s="43" t="inlineStr">
        <is>
          <t>Cisco</t>
        </is>
      </c>
      <c r="E58" s="43" t="inlineStr">
        <is>
          <t>MCGA</t>
        </is>
      </c>
      <c r="F58" s="43" t="inlineStr">
        <is>
          <t>034-IOTBU</t>
        </is>
      </c>
      <c r="G58" s="43" t="inlineStr">
        <is>
          <t>CTANJZ05182</t>
        </is>
      </c>
      <c r="H58" s="43" t="inlineStr">
        <is>
          <t>Engineering Qualification Build</t>
        </is>
      </c>
      <c r="I58" s="43" t="inlineStr">
        <is>
          <t>Customer Deviation</t>
        </is>
      </c>
      <c r="J58" s="43" t="inlineStr">
        <is>
          <t>D609527</t>
        </is>
      </c>
      <c r="K58" s="33" t="inlineStr">
        <is>
          <t>D609527 IOTBU: Kitty Hawk: PCBFAB: CPN# 28-102878-03: NDAA 851: Build and Test product using PCBFABs produced by non-China NDAA (SEA) friendly countries.Instructions:1. Foxconn is tasked to build QTY=18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73-103098-03Current CPN: 28-102878-03</t>
        </is>
      </c>
      <c r="L58" s="43" t="inlineStr">
        <is>
          <t>Expired</t>
        </is>
      </c>
      <c r="M58" s="43" t="inlineStr">
        <is>
          <t>73-103098-03</t>
        </is>
      </c>
      <c r="N58" s="43" t="inlineStr"/>
      <c r="O58" s="43" t="inlineStr">
        <is>
          <t>2026-06-29</t>
        </is>
      </c>
      <c r="P58" s="33" t="inlineStr">
        <is>
          <t>Engineering Qualification Build (EXTENDABLE 2x)</t>
        </is>
      </c>
      <c r="Q58" s="43" t="inlineStr">
        <is>
          <t>Label PCA; TAN and Boxed PID exhibiting the deviation number.</t>
        </is>
      </c>
      <c r="R58" s="43" t="inlineStr">
        <is>
          <t>2026-04-01</t>
        </is>
      </c>
      <c r="S58" s="43" t="inlineStr">
        <is>
          <t>2026-04-14</t>
        </is>
      </c>
      <c r="T58" s="43" t="inlineStr"/>
      <c r="U58" s="43" t="inlineStr"/>
    </row>
    <row r="59">
      <c r="A59" s="43" t="n">
        <v>59</v>
      </c>
      <c r="B59" s="43" t="inlineStr">
        <is>
          <t>58</t>
        </is>
      </c>
      <c r="C59" s="43" t="inlineStr">
        <is>
          <t>FJZP</t>
        </is>
      </c>
      <c r="D59" s="43" t="inlineStr">
        <is>
          <t>Cisco</t>
        </is>
      </c>
      <c r="E59" s="43" t="inlineStr">
        <is>
          <t>MCGA</t>
        </is>
      </c>
      <c r="F59" s="43" t="inlineStr">
        <is>
          <t>034-IOTBU</t>
        </is>
      </c>
      <c r="G59" s="43" t="inlineStr">
        <is>
          <t>CTANJZ05181</t>
        </is>
      </c>
      <c r="H59" s="43" t="inlineStr">
        <is>
          <t>Engineering Qualification Build</t>
        </is>
      </c>
      <c r="I59" s="43" t="inlineStr">
        <is>
          <t>Customer Deviation</t>
        </is>
      </c>
      <c r="J59" s="43" t="inlineStr">
        <is>
          <t>D609526</t>
        </is>
      </c>
      <c r="K59" s="33" t="inlineStr">
        <is>
          <t>D609526 IOTBU: Hellcat :PCBFAB: CPN# 28-101582-04:NDAA 851: Build and Test product using PCBFABs produced by non-China NDAA (SEA) friendly countries.Instructions:1. Foxconn is tasked to build QTY=10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73-101439-04Current CPN: 28-101582-04</t>
        </is>
      </c>
      <c r="L59" s="43" t="inlineStr">
        <is>
          <t>Expired</t>
        </is>
      </c>
      <c r="M59" s="43" t="inlineStr">
        <is>
          <t>28-101582-04</t>
        </is>
      </c>
      <c r="N59" s="43" t="inlineStr"/>
      <c r="O59" s="43" t="inlineStr">
        <is>
          <t>2026-06-29</t>
        </is>
      </c>
      <c r="P59" s="33" t="inlineStr">
        <is>
          <t>Engineering Qualification Build (EXTENDABLE 2x)</t>
        </is>
      </c>
      <c r="Q59" s="43" t="inlineStr">
        <is>
          <t>Label PCA; TAN and Boxed PID exhibiting the deviation number.</t>
        </is>
      </c>
      <c r="R59" s="43" t="inlineStr">
        <is>
          <t>2026-04-01</t>
        </is>
      </c>
      <c r="S59" s="43" t="inlineStr">
        <is>
          <t>2026-04-14</t>
        </is>
      </c>
      <c r="T59" s="43" t="inlineStr"/>
      <c r="U59" s="43" t="inlineStr"/>
    </row>
    <row r="60">
      <c r="A60" s="43" t="n">
        <v>60</v>
      </c>
      <c r="B60" s="43" t="inlineStr">
        <is>
          <t>59</t>
        </is>
      </c>
      <c r="C60" s="43" t="inlineStr">
        <is>
          <t>FJZP</t>
        </is>
      </c>
      <c r="D60" s="43" t="inlineStr">
        <is>
          <t>Cisco</t>
        </is>
      </c>
      <c r="E60" s="43" t="inlineStr">
        <is>
          <t>MCGA</t>
        </is>
      </c>
      <c r="F60" s="43" t="inlineStr">
        <is>
          <t>034-IOTBU</t>
        </is>
      </c>
      <c r="G60" s="43" t="inlineStr">
        <is>
          <t>CTANJZ05181</t>
        </is>
      </c>
      <c r="H60" s="43" t="inlineStr">
        <is>
          <t>Engineering Qualification Build</t>
        </is>
      </c>
      <c r="I60" s="43" t="inlineStr">
        <is>
          <t>Customer Deviation</t>
        </is>
      </c>
      <c r="J60" s="43" t="inlineStr">
        <is>
          <t>D609526</t>
        </is>
      </c>
      <c r="K60" s="33" t="inlineStr">
        <is>
          <t>D609526 IOTBU: Hellcat :PCBFAB: CPN# 28-101582-04:NDAA 851: Build and Test product using PCBFABs produced by non-China NDAA (SEA) friendly countries.Instructions:1. Foxconn is tasked to build QTY=10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73-101439-04Current CPN: 28-101582-04</t>
        </is>
      </c>
      <c r="L60" s="43" t="inlineStr">
        <is>
          <t>Expired</t>
        </is>
      </c>
      <c r="M60" s="43" t="inlineStr">
        <is>
          <t>68-101690-01</t>
        </is>
      </c>
      <c r="N60" s="43" t="inlineStr"/>
      <c r="O60" s="43" t="inlineStr">
        <is>
          <t>2026-06-29</t>
        </is>
      </c>
      <c r="P60" s="33" t="inlineStr">
        <is>
          <t>Engineering Qualification Build (EXTENDABLE 2x)</t>
        </is>
      </c>
      <c r="Q60" s="43" t="inlineStr">
        <is>
          <t>Label PCA; TAN and Boxed PID exhibiting the deviation number.</t>
        </is>
      </c>
      <c r="R60" s="43" t="inlineStr">
        <is>
          <t>2026-04-01</t>
        </is>
      </c>
      <c r="S60" s="43" t="inlineStr">
        <is>
          <t>2026-04-14</t>
        </is>
      </c>
      <c r="T60" s="43" t="inlineStr"/>
      <c r="U60" s="43" t="inlineStr"/>
    </row>
    <row r="61">
      <c r="A61" s="43" t="n">
        <v>61</v>
      </c>
      <c r="B61" s="43" t="inlineStr">
        <is>
          <t>60</t>
        </is>
      </c>
      <c r="C61" s="43" t="inlineStr">
        <is>
          <t>FJZP</t>
        </is>
      </c>
      <c r="D61" s="43" t="inlineStr">
        <is>
          <t>Cisco</t>
        </is>
      </c>
      <c r="E61" s="43" t="inlineStr">
        <is>
          <t>MCGA</t>
        </is>
      </c>
      <c r="F61" s="43" t="inlineStr">
        <is>
          <t>037-STBU</t>
        </is>
      </c>
      <c r="G61" s="43" t="inlineStr">
        <is>
          <t>CTANJZ05130</t>
        </is>
      </c>
      <c r="H61" s="43" t="inlineStr">
        <is>
          <t>Engineering Qualification Build</t>
        </is>
      </c>
      <c r="I61" s="43" t="inlineStr">
        <is>
          <t>Customer Deviation</t>
        </is>
      </c>
      <c r="J61" s="43" t="inlineStr">
        <is>
          <t>D608669</t>
        </is>
      </c>
      <c r="K61" s="33" t="inlineStr">
        <is>
          <t>D608669DELTA PCN #2025ECR07000012Delta shall produce and ship 768 units of 341-101114-01/02; EDPS-400BB K Z with the changes that were identified in the PCNThe initial shipments from Delta will support NGFW Q2; January 26 quarter end shipments.  FJZ shall receive the units from DeltaFJZ shall assemble the units per demand; TPK DC PSU configurationsThe units shall run through normal production testing.FJZ shall inform Cisco when 30 systems have been completed.  Record the system S/N and pass/fail results.   Alert Cisco ME; TE; and PLPM team members if any of these units fail Mfg Test prior to completing the 30unit Mfg qual build.</t>
        </is>
      </c>
      <c r="L61" s="43" t="inlineStr">
        <is>
          <t>Expired</t>
        </is>
      </c>
      <c r="M61" s="43" t="inlineStr">
        <is>
          <t>341-101114-02</t>
        </is>
      </c>
      <c r="N61" s="43" t="inlineStr"/>
      <c r="O61" s="43" t="inlineStr">
        <is>
          <t>2026-06-02</t>
        </is>
      </c>
      <c r="P61" s="33" t="inlineStr">
        <is>
          <t>Engineering Qualification Build (EXTENDABLE 2x)</t>
        </is>
      </c>
      <c r="Q61" s="43" t="inlineStr">
        <is>
          <t>For Cisco NGFWBU as Deviation D608649" on carton box and pallet; once they are shipped out; please share us with the SN list for tracking. Space permitting; its best to put a small Deviation Label on the physical unit; perhaps on; or close to the Compliance Label where the Deviation Label will be visible; but not get damaged during assembly and insertion in the system.</t>
        </is>
      </c>
      <c r="R61" s="43" t="inlineStr">
        <is>
          <t>2026-03-05</t>
        </is>
      </c>
      <c r="S61" s="43" t="inlineStr">
        <is>
          <t>2026-03-24</t>
        </is>
      </c>
      <c r="T61" s="43" t="inlineStr"/>
      <c r="U61" s="43" t="inlineStr"/>
    </row>
    <row r="62">
      <c r="A62" s="43" t="n">
        <v>62</v>
      </c>
      <c r="B62" s="43" t="inlineStr">
        <is>
          <t>61</t>
        </is>
      </c>
      <c r="C62" s="43" t="inlineStr">
        <is>
          <t>FJZP</t>
        </is>
      </c>
      <c r="D62" s="43" t="inlineStr">
        <is>
          <t>Cisco</t>
        </is>
      </c>
      <c r="E62" s="43" t="inlineStr">
        <is>
          <t>MCGA</t>
        </is>
      </c>
      <c r="F62" s="43" t="inlineStr">
        <is>
          <t>035-CVEBU</t>
        </is>
      </c>
      <c r="G62" s="43" t="inlineStr">
        <is>
          <t>CTANJZ05209</t>
        </is>
      </c>
      <c r="H62" s="43" t="inlineStr">
        <is>
          <t>Engineering Qualification Build</t>
        </is>
      </c>
      <c r="I62" s="43" t="inlineStr">
        <is>
          <t>Customer Deviation</t>
        </is>
      </c>
      <c r="J62" s="43" t="inlineStr">
        <is>
          <t>D610810</t>
        </is>
      </c>
      <c r="K62" s="33" t="inlineStr">
        <is>
          <t>D610810Add SN-label on to the outside of the glassine bag back of bulk packed boxes with Tyne units. The BTS site needs to scan the Tyne unit (with Glassine bag wrapped around) with serial number. Each unit from Pilot 1; Pilot 2 and later builds must have a scannable label with serial number information to avoid having to open the Glassine bag to then scan the Tyne unit.The addition of this label on the glassine bag of Tyne units is to be a permanent change also applicable for Mass Production.</t>
        </is>
      </c>
      <c r="L62" s="43" t="inlineStr">
        <is>
          <t>Expired</t>
        </is>
      </c>
      <c r="M62" s="43" t="inlineStr">
        <is>
          <t>68-104853-01</t>
        </is>
      </c>
      <c r="N62" s="43" t="inlineStr"/>
      <c r="O62" s="43" t="inlineStr">
        <is>
          <t>2026-07-13</t>
        </is>
      </c>
      <c r="P62" s="33" t="inlineStr">
        <is>
          <t>Engineering Qualification Build (EXTENDABLE 2x)</t>
        </is>
      </c>
      <c r="Q62" s="43" t="inlineStr">
        <is>
          <t>NA</t>
        </is>
      </c>
      <c r="R62" s="43" t="inlineStr">
        <is>
          <t>2026-04-15</t>
        </is>
      </c>
      <c r="S62" s="43" t="inlineStr">
        <is>
          <t>2026-05-16</t>
        </is>
      </c>
      <c r="T62" s="43" t="inlineStr"/>
      <c r="U62" s="43" t="inlineStr"/>
    </row>
    <row r="63">
      <c r="A63" s="43" t="n">
        <v>63</v>
      </c>
      <c r="B63" s="43" t="inlineStr">
        <is>
          <t>62</t>
        </is>
      </c>
      <c r="C63" s="43" t="inlineStr">
        <is>
          <t>FJZP</t>
        </is>
      </c>
      <c r="D63" s="43" t="inlineStr">
        <is>
          <t>Cisco</t>
        </is>
      </c>
      <c r="E63" s="43" t="inlineStr">
        <is>
          <t>MCGA</t>
        </is>
      </c>
      <c r="F63" s="43" t="inlineStr">
        <is>
          <t>035-CVEBU</t>
        </is>
      </c>
      <c r="G63" s="43" t="inlineStr">
        <is>
          <t>CTANJZ05209</t>
        </is>
      </c>
      <c r="H63" s="43" t="inlineStr">
        <is>
          <t>Engineering Qualification Build</t>
        </is>
      </c>
      <c r="I63" s="43" t="inlineStr">
        <is>
          <t>Customer Deviation</t>
        </is>
      </c>
      <c r="J63" s="43" t="inlineStr">
        <is>
          <t>D610810</t>
        </is>
      </c>
      <c r="K63" s="33" t="inlineStr">
        <is>
          <t>D610810Add SN-label on to the outside of the glassine bag back of bulk packed boxes with Tyne units. The BTS site needs to scan the Tyne unit (with Glassine bag wrapped around) with serial number. Each unit from Pilot 1; Pilot 2 and later builds must have a scannable label with serial number information to avoid having to open the Glassine bag to then scan the Tyne unit.The addition of this label on the glassine bag of Tyne units is to be a permanent change also applicable for Mass Production.</t>
        </is>
      </c>
      <c r="L63" s="43" t="inlineStr">
        <is>
          <t>Expired</t>
        </is>
      </c>
      <c r="M63" s="43" t="inlineStr">
        <is>
          <t>68-104854-01</t>
        </is>
      </c>
      <c r="N63" s="43" t="inlineStr"/>
      <c r="O63" s="43" t="inlineStr">
        <is>
          <t>2026-07-13</t>
        </is>
      </c>
      <c r="P63" s="33" t="inlineStr">
        <is>
          <t>Engineering Qualification Build (EXTENDABLE 2x)</t>
        </is>
      </c>
      <c r="Q63" s="43" t="inlineStr">
        <is>
          <t>NA</t>
        </is>
      </c>
      <c r="R63" s="43" t="inlineStr">
        <is>
          <t>2026-04-15</t>
        </is>
      </c>
      <c r="S63" s="43" t="inlineStr">
        <is>
          <t>2026-05-16</t>
        </is>
      </c>
      <c r="T63" s="43" t="inlineStr"/>
      <c r="U63" s="43" t="inlineStr"/>
    </row>
    <row r="64">
      <c r="A64" s="43" t="n">
        <v>64</v>
      </c>
      <c r="B64" s="43" t="inlineStr">
        <is>
          <t>63</t>
        </is>
      </c>
      <c r="C64" s="43" t="inlineStr">
        <is>
          <t>FJZP</t>
        </is>
      </c>
      <c r="D64" s="43" t="inlineStr">
        <is>
          <t>Cisco</t>
        </is>
      </c>
      <c r="E64" s="43" t="inlineStr">
        <is>
          <t>MCGA</t>
        </is>
      </c>
      <c r="F64" s="43" t="inlineStr">
        <is>
          <t>035-CVEBU</t>
        </is>
      </c>
      <c r="G64" s="43" t="inlineStr">
        <is>
          <t>CTANJZ05498</t>
        </is>
      </c>
      <c r="H64" s="43" t="inlineStr">
        <is>
          <t>Engineering Qualification Build</t>
        </is>
      </c>
      <c r="I64" s="43" t="inlineStr">
        <is>
          <t>Customer Deviation</t>
        </is>
      </c>
      <c r="J64" s="43" t="inlineStr">
        <is>
          <t>D614131</t>
        </is>
      </c>
      <c r="K64" s="33" t="inlineStr">
        <is>
          <t>D614131 CVEBU: Pictoris: Do not ship PSU 341-101006-01 with any revisions earlier to Rev -L0 of 68-108085-01 from FVN.Qty: Per demand</t>
        </is>
      </c>
      <c r="L64" s="43" t="inlineStr">
        <is>
          <t>CCB</t>
        </is>
      </c>
      <c r="M64" s="43" t="inlineStr">
        <is>
          <t>341-101006-01</t>
        </is>
      </c>
      <c r="N64" s="43" t="inlineStr"/>
      <c r="O64" s="43" t="inlineStr">
        <is>
          <t>2026-12-19</t>
        </is>
      </c>
      <c r="P64" s="33" t="inlineStr">
        <is>
          <t>Engineering Qualification Build (EXTENDABLE 2x)</t>
        </is>
      </c>
      <c r="Q64" s="43" t="inlineStr">
        <is>
          <t>Paste deviation label on the product packaging</t>
        </is>
      </c>
      <c r="R64" s="43" t="inlineStr">
        <is>
          <t>2026-09-21</t>
        </is>
      </c>
      <c r="S64" s="43" t="inlineStr"/>
      <c r="T64" s="43" t="inlineStr"/>
      <c r="U64" s="43" t="inlineStr"/>
    </row>
    <row r="65">
      <c r="A65" s="43" t="n">
        <v>65</v>
      </c>
      <c r="B65" s="43" t="inlineStr">
        <is>
          <t>64</t>
        </is>
      </c>
      <c r="C65" s="43" t="inlineStr">
        <is>
          <t>FJZP</t>
        </is>
      </c>
      <c r="D65" s="43" t="inlineStr">
        <is>
          <t>Cisco</t>
        </is>
      </c>
      <c r="E65" s="43" t="inlineStr">
        <is>
          <t>MCGA</t>
        </is>
      </c>
      <c r="F65" s="43" t="inlineStr">
        <is>
          <t>035-CVEBU</t>
        </is>
      </c>
      <c r="G65" s="43" t="inlineStr">
        <is>
          <t>CTANJZ05498</t>
        </is>
      </c>
      <c r="H65" s="43" t="inlineStr">
        <is>
          <t>Engineering Qualification Build</t>
        </is>
      </c>
      <c r="I65" s="43" t="inlineStr">
        <is>
          <t>Customer Deviation</t>
        </is>
      </c>
      <c r="J65" s="43" t="inlineStr">
        <is>
          <t>D614131</t>
        </is>
      </c>
      <c r="K65" s="33" t="inlineStr">
        <is>
          <t>D614131 CVEBU: Pictoris: Do not ship PSU 341-101006-01 with any revisions earlier to Rev -L0 of 68-108085-01 from FVN.Qty: Per demand</t>
        </is>
      </c>
      <c r="L65" s="43" t="inlineStr">
        <is>
          <t>CCB</t>
        </is>
      </c>
      <c r="M65" s="43" t="inlineStr">
        <is>
          <t>68-107085-01</t>
        </is>
      </c>
      <c r="N65" s="43" t="inlineStr"/>
      <c r="O65" s="43" t="inlineStr">
        <is>
          <t>2026-12-19</t>
        </is>
      </c>
      <c r="P65" s="33" t="inlineStr">
        <is>
          <t>Engineering Qualification Build (EXTENDABLE 2x)</t>
        </is>
      </c>
      <c r="Q65" s="43" t="inlineStr">
        <is>
          <t>Paste deviation label on the product packaging</t>
        </is>
      </c>
      <c r="R65" s="43" t="inlineStr">
        <is>
          <t>2026-09-21</t>
        </is>
      </c>
      <c r="S65" s="43" t="inlineStr"/>
      <c r="T65" s="43" t="inlineStr"/>
      <c r="U65" s="43" t="inlineStr"/>
    </row>
    <row r="66">
      <c r="A66" s="43" t="n">
        <v>66</v>
      </c>
      <c r="B66" s="43" t="inlineStr">
        <is>
          <t>65</t>
        </is>
      </c>
      <c r="C66" s="43" t="inlineStr">
        <is>
          <t>FJZP</t>
        </is>
      </c>
      <c r="D66" s="43" t="inlineStr">
        <is>
          <t>Cisco</t>
        </is>
      </c>
      <c r="E66" s="43" t="inlineStr">
        <is>
          <t>MCGA</t>
        </is>
      </c>
      <c r="F66" s="43" t="inlineStr">
        <is>
          <t>239-CRBU</t>
        </is>
      </c>
      <c r="G66" s="43" t="inlineStr">
        <is>
          <t>CTANJZ05499</t>
        </is>
      </c>
      <c r="H66" s="43" t="inlineStr">
        <is>
          <t>Engineering Qualification Build</t>
        </is>
      </c>
      <c r="I66" s="43" t="inlineStr">
        <is>
          <t>Customer Deviation</t>
        </is>
      </c>
      <c r="J66" s="43" t="inlineStr">
        <is>
          <t>D612994</t>
        </is>
      </c>
      <c r="K66" s="33" t="inlineStr">
        <is>
          <t>D612994 Need to qualify ISC019N03L5S on 73-102363-05</t>
        </is>
      </c>
      <c r="L66" s="43" t="inlineStr">
        <is>
          <t>Implementation</t>
        </is>
      </c>
      <c r="M66" s="43" t="inlineStr">
        <is>
          <t>20-0788-01</t>
        </is>
      </c>
      <c r="N66" s="43" t="inlineStr"/>
      <c r="O66" s="43" t="inlineStr">
        <is>
          <t>2026-12-19</t>
        </is>
      </c>
      <c r="P66" s="33" t="inlineStr">
        <is>
          <t>Engineering Qualification Build (EXTENDABLE 2x);To track an AML qualification build (EXTENDABLE 2x)</t>
        </is>
      </c>
      <c r="Q66" s="43" t="inlineStr">
        <is>
          <t>NA</t>
        </is>
      </c>
      <c r="R66" s="43" t="inlineStr">
        <is>
          <t>2026-09-22</t>
        </is>
      </c>
      <c r="S66" s="43" t="inlineStr">
        <is>
          <t>2026-10-03</t>
        </is>
      </c>
      <c r="T66" s="43" t="inlineStr"/>
      <c r="U66" s="43" t="inlineStr"/>
    </row>
    <row r="67">
      <c r="A67" s="43" t="n">
        <v>67</v>
      </c>
      <c r="B67" s="43" t="inlineStr">
        <is>
          <t>66</t>
        </is>
      </c>
      <c r="C67" s="43" t="inlineStr">
        <is>
          <t>FJZP</t>
        </is>
      </c>
      <c r="D67" s="43" t="inlineStr">
        <is>
          <t>Cisco</t>
        </is>
      </c>
      <c r="E67" s="43" t="inlineStr">
        <is>
          <t>MCGA</t>
        </is>
      </c>
      <c r="F67" s="43" t="inlineStr">
        <is>
          <t>239-CRBU</t>
        </is>
      </c>
      <c r="G67" s="43" t="inlineStr">
        <is>
          <t>CTANJZ05499</t>
        </is>
      </c>
      <c r="H67" s="43" t="inlineStr">
        <is>
          <t>Engineering Qualification Build</t>
        </is>
      </c>
      <c r="I67" s="43" t="inlineStr">
        <is>
          <t>Customer Deviation</t>
        </is>
      </c>
      <c r="J67" s="43" t="inlineStr">
        <is>
          <t>D612994</t>
        </is>
      </c>
      <c r="K67" s="33" t="inlineStr">
        <is>
          <t>D612994 Need to qualify ISC019N03L5S on 73-102363-05</t>
        </is>
      </c>
      <c r="L67" s="43" t="inlineStr">
        <is>
          <t>Implementation</t>
        </is>
      </c>
      <c r="M67" s="43" t="inlineStr">
        <is>
          <t>73-102363-05</t>
        </is>
      </c>
      <c r="N67" s="43" t="inlineStr"/>
      <c r="O67" s="43" t="inlineStr">
        <is>
          <t>2026-12-19</t>
        </is>
      </c>
      <c r="P67" s="33" t="inlineStr">
        <is>
          <t>Engineering Qualification Build (EXTENDABLE 2x);To track an AML qualification build (EXTENDABLE 2x)</t>
        </is>
      </c>
      <c r="Q67" s="43" t="inlineStr">
        <is>
          <t>NA</t>
        </is>
      </c>
      <c r="R67" s="43" t="inlineStr">
        <is>
          <t>2026-09-22</t>
        </is>
      </c>
      <c r="S67" s="43" t="inlineStr">
        <is>
          <t>2026-10-03</t>
        </is>
      </c>
      <c r="T67" s="43" t="inlineStr"/>
      <c r="U67" s="43" t="inlineStr"/>
    </row>
    <row r="68">
      <c r="A68" s="43" t="n">
        <v>68</v>
      </c>
      <c r="B68" s="43" t="inlineStr">
        <is>
          <t>67</t>
        </is>
      </c>
      <c r="C68" s="43" t="inlineStr">
        <is>
          <t>FJZP</t>
        </is>
      </c>
      <c r="D68" s="43" t="inlineStr">
        <is>
          <t>Cisco</t>
        </is>
      </c>
      <c r="E68" s="43" t="inlineStr">
        <is>
          <t>MCGA</t>
        </is>
      </c>
      <c r="F68" s="43" t="inlineStr">
        <is>
          <t>239-CRBU</t>
        </is>
      </c>
      <c r="G68" s="43" t="inlineStr">
        <is>
          <t>CTANJZ05479</t>
        </is>
      </c>
      <c r="H68" s="43" t="inlineStr">
        <is>
          <t>Engineering Qualification Build</t>
        </is>
      </c>
      <c r="I68" s="43" t="inlineStr">
        <is>
          <t>Customer Deviation</t>
        </is>
      </c>
      <c r="J68" s="43" t="inlineStr">
        <is>
          <t>D613635</t>
        </is>
      </c>
      <c r="K68" s="33" t="inlineStr">
        <is>
          <t>D613635 Need to qualify MX25L3233FM2I-08G on 17-14802-02</t>
        </is>
      </c>
      <c r="L68" s="43" t="inlineStr">
        <is>
          <t>Implementation</t>
        </is>
      </c>
      <c r="M68" s="43" t="inlineStr">
        <is>
          <t>16-100239-01</t>
        </is>
      </c>
      <c r="N68" s="43" t="inlineStr"/>
      <c r="O68" s="43" t="inlineStr">
        <is>
          <t>2026-12-10</t>
        </is>
      </c>
      <c r="P68" s="33" t="inlineStr">
        <is>
          <t>Engineering Qualification Build (EXTENDABLE 2x);To track an AML qualification build (EXTENDABLE 2x)</t>
        </is>
      </c>
      <c r="Q68" s="43" t="inlineStr">
        <is>
          <t>NA</t>
        </is>
      </c>
      <c r="R68" s="43" t="inlineStr">
        <is>
          <t>2026-09-14</t>
        </is>
      </c>
      <c r="S68" s="43" t="inlineStr">
        <is>
          <t>2026-10-03</t>
        </is>
      </c>
      <c r="T68" s="43" t="inlineStr"/>
      <c r="U68" s="43" t="inlineStr"/>
    </row>
    <row r="69">
      <c r="A69" s="43" t="n">
        <v>69</v>
      </c>
      <c r="B69" s="43" t="inlineStr">
        <is>
          <t>68</t>
        </is>
      </c>
      <c r="C69" s="43" t="inlineStr">
        <is>
          <t>FJZP</t>
        </is>
      </c>
      <c r="D69" s="43" t="inlineStr">
        <is>
          <t>Cisco</t>
        </is>
      </c>
      <c r="E69" s="43" t="inlineStr">
        <is>
          <t>MCGA</t>
        </is>
      </c>
      <c r="F69" s="43" t="inlineStr">
        <is>
          <t>239-CRBU</t>
        </is>
      </c>
      <c r="G69" s="43" t="inlineStr">
        <is>
          <t>CTANJZ05479</t>
        </is>
      </c>
      <c r="H69" s="43" t="inlineStr">
        <is>
          <t>Engineering Qualification Build</t>
        </is>
      </c>
      <c r="I69" s="43" t="inlineStr">
        <is>
          <t>Customer Deviation</t>
        </is>
      </c>
      <c r="J69" s="43" t="inlineStr">
        <is>
          <t>D613635</t>
        </is>
      </c>
      <c r="K69" s="33" t="inlineStr">
        <is>
          <t>D613635 Need to qualify MX25L3233FM2I-08G on 17-14802-02</t>
        </is>
      </c>
      <c r="L69" s="43" t="inlineStr">
        <is>
          <t>Implementation</t>
        </is>
      </c>
      <c r="M69" s="43" t="inlineStr">
        <is>
          <t>17-14802-02</t>
        </is>
      </c>
      <c r="N69" s="43" t="inlineStr"/>
      <c r="O69" s="43" t="inlineStr">
        <is>
          <t>2026-12-10</t>
        </is>
      </c>
      <c r="P69" s="33" t="inlineStr">
        <is>
          <t>Engineering Qualification Build (EXTENDABLE 2x);To track an AML qualification build (EXTENDABLE 2x)</t>
        </is>
      </c>
      <c r="Q69" s="43" t="inlineStr">
        <is>
          <t>NA</t>
        </is>
      </c>
      <c r="R69" s="43" t="inlineStr">
        <is>
          <t>2026-09-14</t>
        </is>
      </c>
      <c r="S69" s="43" t="inlineStr">
        <is>
          <t>2026-10-03</t>
        </is>
      </c>
      <c r="T69" s="43" t="inlineStr"/>
      <c r="U69" s="43" t="inlineStr"/>
    </row>
    <row r="70">
      <c r="A70" s="43" t="n">
        <v>70</v>
      </c>
      <c r="B70" s="43" t="inlineStr">
        <is>
          <t>69</t>
        </is>
      </c>
      <c r="C70" s="43" t="inlineStr">
        <is>
          <t>FJZP</t>
        </is>
      </c>
      <c r="D70" s="43" t="inlineStr">
        <is>
          <t>Cisco</t>
        </is>
      </c>
      <c r="E70" s="43" t="inlineStr">
        <is>
          <t>MCGA</t>
        </is>
      </c>
      <c r="F70" s="43" t="inlineStr">
        <is>
          <t>239-CRBU</t>
        </is>
      </c>
      <c r="G70" s="43" t="inlineStr">
        <is>
          <t>CTANJZ05496</t>
        </is>
      </c>
      <c r="H70" s="43" t="inlineStr">
        <is>
          <t>Engineering Qualification Build</t>
        </is>
      </c>
      <c r="I70" s="43" t="inlineStr">
        <is>
          <t>Customer Deviation</t>
        </is>
      </c>
      <c r="J70" s="43" t="inlineStr">
        <is>
          <t>D613740</t>
        </is>
      </c>
      <c r="K70" s="33" t="inlineStr">
        <is>
          <t>D613740 Need to qualify MBP21K400-15R045C on 73-19057-07</t>
        </is>
      </c>
      <c r="L70" s="43" t="inlineStr">
        <is>
          <t>Implementation</t>
        </is>
      </c>
      <c r="M70" s="43" t="inlineStr">
        <is>
          <t>36-0111-02</t>
        </is>
      </c>
      <c r="N70" s="43" t="inlineStr"/>
      <c r="O70" s="43" t="inlineStr">
        <is>
          <t>2027-03-17</t>
        </is>
      </c>
      <c r="P70" s="33" t="inlineStr">
        <is>
          <t>Engineering Qualification Build (EXTENDABLE 2x);To track an AML qualification build (EXTENDABLE 2x)</t>
        </is>
      </c>
      <c r="Q70" s="43" t="inlineStr">
        <is>
          <t>NA</t>
        </is>
      </c>
      <c r="R70" s="43" t="inlineStr">
        <is>
          <t>2026-09-19</t>
        </is>
      </c>
      <c r="S70" s="43" t="inlineStr">
        <is>
          <t>2026-10-03</t>
        </is>
      </c>
      <c r="T70" s="43" t="inlineStr"/>
      <c r="U70" s="43" t="inlineStr"/>
    </row>
    <row r="71">
      <c r="A71" s="43" t="n">
        <v>71</v>
      </c>
      <c r="B71" s="43" t="inlineStr">
        <is>
          <t>70</t>
        </is>
      </c>
      <c r="C71" s="43" t="inlineStr">
        <is>
          <t>FJZP</t>
        </is>
      </c>
      <c r="D71" s="43" t="inlineStr">
        <is>
          <t>Cisco</t>
        </is>
      </c>
      <c r="E71" s="43" t="inlineStr">
        <is>
          <t>MCGA</t>
        </is>
      </c>
      <c r="F71" s="43" t="inlineStr">
        <is>
          <t>239-CRBU</t>
        </is>
      </c>
      <c r="G71" s="43" t="inlineStr">
        <is>
          <t>CTANJZ05458</t>
        </is>
      </c>
      <c r="H71" s="43" t="inlineStr">
        <is>
          <t>Engineering Qualification Build</t>
        </is>
      </c>
      <c r="I71" s="43" t="inlineStr">
        <is>
          <t>Customer Deviation</t>
        </is>
      </c>
      <c r="J71" s="43" t="inlineStr">
        <is>
          <t>D613627</t>
        </is>
      </c>
      <c r="K71" s="33" t="inlineStr">
        <is>
          <t>D613627 Need to qualify MX25L3233FM2I-08G on 17-15768-01</t>
        </is>
      </c>
      <c r="L71" s="43" t="inlineStr">
        <is>
          <t>Implementation</t>
        </is>
      </c>
      <c r="M71" s="43" t="inlineStr">
        <is>
          <t>16-100239-01</t>
        </is>
      </c>
      <c r="N71" s="43" t="inlineStr"/>
      <c r="O71" s="43" t="inlineStr">
        <is>
          <t>2026-12-01</t>
        </is>
      </c>
      <c r="P71" s="33" t="inlineStr">
        <is>
          <t>Engineering Qualification Build (EXTENDABLE 2x);To track an AML qualification build (EXTENDABLE 2x)</t>
        </is>
      </c>
      <c r="Q71" s="43" t="inlineStr">
        <is>
          <t>NA</t>
        </is>
      </c>
      <c r="R71" s="43" t="inlineStr">
        <is>
          <t>2026-09-03</t>
        </is>
      </c>
      <c r="S71" s="43" t="inlineStr">
        <is>
          <t>2026-09-30</t>
        </is>
      </c>
      <c r="T71" s="43" t="inlineStr"/>
      <c r="U71" s="43" t="inlineStr"/>
    </row>
    <row r="72">
      <c r="A72" s="43" t="n">
        <v>72</v>
      </c>
      <c r="B72" s="43" t="inlineStr">
        <is>
          <t>71</t>
        </is>
      </c>
      <c r="C72" s="43" t="inlineStr">
        <is>
          <t>FJZP</t>
        </is>
      </c>
      <c r="D72" s="43" t="inlineStr">
        <is>
          <t>Cisco</t>
        </is>
      </c>
      <c r="E72" s="43" t="inlineStr">
        <is>
          <t>MCGA</t>
        </is>
      </c>
      <c r="F72" s="43" t="inlineStr">
        <is>
          <t>239-CRBU</t>
        </is>
      </c>
      <c r="G72" s="43" t="inlineStr">
        <is>
          <t>CTANJZ05458</t>
        </is>
      </c>
      <c r="H72" s="43" t="inlineStr">
        <is>
          <t>Engineering Qualification Build</t>
        </is>
      </c>
      <c r="I72" s="43" t="inlineStr">
        <is>
          <t>Customer Deviation</t>
        </is>
      </c>
      <c r="J72" s="43" t="inlineStr">
        <is>
          <t>D613627</t>
        </is>
      </c>
      <c r="K72" s="33" t="inlineStr">
        <is>
          <t>D613627 Need to qualify MX25L3233FM2I-08G on 17-15768-01</t>
        </is>
      </c>
      <c r="L72" s="43" t="inlineStr">
        <is>
          <t>Implementation</t>
        </is>
      </c>
      <c r="M72" s="43" t="inlineStr">
        <is>
          <t>17-15768-01</t>
        </is>
      </c>
      <c r="N72" s="43" t="inlineStr"/>
      <c r="O72" s="43" t="inlineStr">
        <is>
          <t>2026-12-01</t>
        </is>
      </c>
      <c r="P72" s="33" t="inlineStr">
        <is>
          <t>Engineering Qualification Build (EXTENDABLE 2x);To track an AML qualification build (EXTENDABLE 2x)</t>
        </is>
      </c>
      <c r="Q72" s="43" t="inlineStr">
        <is>
          <t>NA</t>
        </is>
      </c>
      <c r="R72" s="43" t="inlineStr">
        <is>
          <t>2026-09-03</t>
        </is>
      </c>
      <c r="S72" s="43" t="inlineStr">
        <is>
          <t>2026-09-30</t>
        </is>
      </c>
      <c r="T72" s="43" t="inlineStr"/>
      <c r="U72" s="43" t="inlineStr"/>
    </row>
    <row r="73">
      <c r="A73" s="43" t="n">
        <v>73</v>
      </c>
      <c r="B73" s="43" t="inlineStr">
        <is>
          <t>72</t>
        </is>
      </c>
      <c r="C73" s="43" t="inlineStr">
        <is>
          <t>FJZP</t>
        </is>
      </c>
      <c r="D73" s="43" t="inlineStr">
        <is>
          <t>Cisco</t>
        </is>
      </c>
      <c r="E73" s="43" t="inlineStr">
        <is>
          <t>MCGA</t>
        </is>
      </c>
      <c r="F73" s="43" t="inlineStr">
        <is>
          <t>239-CRBU</t>
        </is>
      </c>
      <c r="G73" s="43" t="inlineStr">
        <is>
          <t>CTANJZ05459</t>
        </is>
      </c>
      <c r="H73" s="43" t="inlineStr">
        <is>
          <t>Engineering Qualification Build</t>
        </is>
      </c>
      <c r="I73" s="43" t="inlineStr">
        <is>
          <t>Customer Deviation</t>
        </is>
      </c>
      <c r="J73" s="43" t="inlineStr">
        <is>
          <t>D613629</t>
        </is>
      </c>
      <c r="K73" s="33" t="inlineStr">
        <is>
          <t>D613629 Need to qualify MX25L3233FM2I-08G on 17-15753-01</t>
        </is>
      </c>
      <c r="L73" s="43" t="inlineStr">
        <is>
          <t>Implementation</t>
        </is>
      </c>
      <c r="M73" s="43" t="inlineStr">
        <is>
          <t>16-100239-01</t>
        </is>
      </c>
      <c r="N73" s="43" t="inlineStr"/>
      <c r="O73" s="43" t="inlineStr">
        <is>
          <t>2026-12-01</t>
        </is>
      </c>
      <c r="P73" s="33" t="inlineStr">
        <is>
          <t>Engineering Qualification Build (EXTENDABLE 2x);To track an AML qualification build (EXTENDABLE 2x)</t>
        </is>
      </c>
      <c r="Q73" s="43" t="inlineStr">
        <is>
          <t>NA</t>
        </is>
      </c>
      <c r="R73" s="43" t="inlineStr">
        <is>
          <t>2026-09-03</t>
        </is>
      </c>
      <c r="S73" s="43" t="inlineStr">
        <is>
          <t>2026-09-30</t>
        </is>
      </c>
      <c r="T73" s="43" t="inlineStr"/>
      <c r="U73" s="43" t="inlineStr"/>
    </row>
    <row r="74">
      <c r="A74" s="43" t="n">
        <v>74</v>
      </c>
      <c r="B74" s="43" t="inlineStr">
        <is>
          <t>73</t>
        </is>
      </c>
      <c r="C74" s="43" t="inlineStr">
        <is>
          <t>FJZP</t>
        </is>
      </c>
      <c r="D74" s="43" t="inlineStr">
        <is>
          <t>Cisco</t>
        </is>
      </c>
      <c r="E74" s="43" t="inlineStr">
        <is>
          <t>MCGA</t>
        </is>
      </c>
      <c r="F74" s="43" t="inlineStr">
        <is>
          <t>239-CRBU</t>
        </is>
      </c>
      <c r="G74" s="43" t="inlineStr">
        <is>
          <t>CTANJZ05459</t>
        </is>
      </c>
      <c r="H74" s="43" t="inlineStr">
        <is>
          <t>Engineering Qualification Build</t>
        </is>
      </c>
      <c r="I74" s="43" t="inlineStr">
        <is>
          <t>Customer Deviation</t>
        </is>
      </c>
      <c r="J74" s="43" t="inlineStr">
        <is>
          <t>D613629</t>
        </is>
      </c>
      <c r="K74" s="33" t="inlineStr">
        <is>
          <t>D613629 Need to qualify MX25L3233FM2I-08G on 17-15753-01</t>
        </is>
      </c>
      <c r="L74" s="43" t="inlineStr">
        <is>
          <t>Implementation</t>
        </is>
      </c>
      <c r="M74" s="43" t="inlineStr">
        <is>
          <t>17-15753-01</t>
        </is>
      </c>
      <c r="N74" s="43" t="inlineStr"/>
      <c r="O74" s="43" t="inlineStr">
        <is>
          <t>2026-12-01</t>
        </is>
      </c>
      <c r="P74" s="33" t="inlineStr">
        <is>
          <t>Engineering Qualification Build (EXTENDABLE 2x);To track an AML qualification build (EXTENDABLE 2x)</t>
        </is>
      </c>
      <c r="Q74" s="43" t="inlineStr">
        <is>
          <t>NA</t>
        </is>
      </c>
      <c r="R74" s="43" t="inlineStr">
        <is>
          <t>2026-09-03</t>
        </is>
      </c>
      <c r="S74" s="43" t="inlineStr">
        <is>
          <t>2026-09-30</t>
        </is>
      </c>
      <c r="T74" s="43" t="inlineStr"/>
      <c r="U74" s="43" t="inlineStr"/>
    </row>
    <row r="75">
      <c r="A75" s="43" t="n">
        <v>75</v>
      </c>
      <c r="B75" s="43" t="inlineStr">
        <is>
          <t>74</t>
        </is>
      </c>
      <c r="C75" s="43" t="inlineStr">
        <is>
          <t>FJZP</t>
        </is>
      </c>
      <c r="D75" s="43" t="inlineStr">
        <is>
          <t>Cisco</t>
        </is>
      </c>
      <c r="E75" s="43" t="inlineStr">
        <is>
          <t>MCGA</t>
        </is>
      </c>
      <c r="F75" s="43" t="inlineStr">
        <is>
          <t>239-CRBU</t>
        </is>
      </c>
      <c r="G75" s="43" t="inlineStr">
        <is>
          <t>CTANJZ05456</t>
        </is>
      </c>
      <c r="H75" s="43" t="inlineStr">
        <is>
          <t>Engineering Qualification Build</t>
        </is>
      </c>
      <c r="I75" s="43" t="inlineStr">
        <is>
          <t>Customer Deviation</t>
        </is>
      </c>
      <c r="J75" s="43" t="inlineStr">
        <is>
          <t>D613567</t>
        </is>
      </c>
      <c r="K75" s="33" t="inlineStr">
        <is>
          <t>D613567 Need to qualify M24C64-RMN6TP on 73-21335-01 for Assy Qual Request # : AQR004744809 Which is a Supplier PCN from M24C64-RMN6TP for PCN TYPE : Process Change on GQR GQR000101798 and AQR AQR004744809</t>
        </is>
      </c>
      <c r="L75" s="43" t="inlineStr">
        <is>
          <t>Implementation</t>
        </is>
      </c>
      <c r="M75" s="43" t="inlineStr">
        <is>
          <t>16-2242-02</t>
        </is>
      </c>
      <c r="N75" s="43" t="inlineStr"/>
      <c r="O75" s="43" t="inlineStr">
        <is>
          <t>2026-12-01</t>
        </is>
      </c>
      <c r="P75" s="33" t="inlineStr">
        <is>
          <t>Engineering Qualification Build (EXTENDABLE 2x);To track an AML qualification build (EXTENDABLE 2x)</t>
        </is>
      </c>
      <c r="Q75" s="43" t="inlineStr">
        <is>
          <t>NA</t>
        </is>
      </c>
      <c r="R75" s="43" t="inlineStr">
        <is>
          <t>2026-09-03</t>
        </is>
      </c>
      <c r="S75" s="43" t="inlineStr">
        <is>
          <t>2026-09-30</t>
        </is>
      </c>
      <c r="T75" s="43" t="inlineStr"/>
      <c r="U75" s="43" t="inlineStr"/>
    </row>
    <row r="76">
      <c r="A76" s="43" t="n">
        <v>76</v>
      </c>
      <c r="B76" s="43" t="inlineStr">
        <is>
          <t>75</t>
        </is>
      </c>
      <c r="C76" s="43" t="inlineStr">
        <is>
          <t>FJZP</t>
        </is>
      </c>
      <c r="D76" s="43" t="inlineStr">
        <is>
          <t>Cisco</t>
        </is>
      </c>
      <c r="E76" s="43" t="inlineStr">
        <is>
          <t>MCGA</t>
        </is>
      </c>
      <c r="F76" s="43" t="inlineStr">
        <is>
          <t>239-CRBU</t>
        </is>
      </c>
      <c r="G76" s="43" t="inlineStr">
        <is>
          <t>CTANJZ05336</t>
        </is>
      </c>
      <c r="H76" s="43" t="inlineStr">
        <is>
          <t>Engineering Qualification Build</t>
        </is>
      </c>
      <c r="I76" s="43" t="inlineStr">
        <is>
          <t>Customer Deviation</t>
        </is>
      </c>
      <c r="J76" s="43" t="inlineStr">
        <is>
          <t>D612122</t>
        </is>
      </c>
      <c r="K76" s="33" t="inlineStr">
        <is>
          <t>D612122 Need to qualify GMLB-201209-0040P-N8CS-RU on 73-102363-05</t>
        </is>
      </c>
      <c r="L76" s="43" t="inlineStr">
        <is>
          <t>Extended</t>
        </is>
      </c>
      <c r="M76" s="43" t="inlineStr">
        <is>
          <t>36-0111-02</t>
        </is>
      </c>
      <c r="N76" s="43" t="inlineStr"/>
      <c r="O76" s="43" t="inlineStr">
        <is>
          <t>2026-12-28</t>
        </is>
      </c>
      <c r="P76" s="33" t="inlineStr">
        <is>
          <t>Engineering Qualification Build (EXTENDABLE 2x);To track an AML qualification build (EXTENDABLE 2x)</t>
        </is>
      </c>
      <c r="Q76" s="43" t="inlineStr">
        <is>
          <t>NA</t>
        </is>
      </c>
      <c r="R76" s="43" t="inlineStr">
        <is>
          <t>2026-07-03</t>
        </is>
      </c>
      <c r="S76" s="43" t="inlineStr">
        <is>
          <t>2026-07-24</t>
        </is>
      </c>
      <c r="T76" s="43" t="inlineStr"/>
      <c r="U76" s="43" t="inlineStr"/>
    </row>
    <row r="77">
      <c r="A77" s="43" t="n">
        <v>77</v>
      </c>
      <c r="B77" s="43" t="inlineStr">
        <is>
          <t>76</t>
        </is>
      </c>
      <c r="C77" s="43" t="inlineStr">
        <is>
          <t>FJZP</t>
        </is>
      </c>
      <c r="D77" s="43" t="inlineStr">
        <is>
          <t>Cisco</t>
        </is>
      </c>
      <c r="E77" s="43" t="inlineStr">
        <is>
          <t>MCGA</t>
        </is>
      </c>
      <c r="F77" s="43" t="inlineStr">
        <is>
          <t>239-CRBU</t>
        </is>
      </c>
      <c r="G77" s="43" t="inlineStr">
        <is>
          <t>CTANJZ05336</t>
        </is>
      </c>
      <c r="H77" s="43" t="inlineStr">
        <is>
          <t>Engineering Qualification Build</t>
        </is>
      </c>
      <c r="I77" s="43" t="inlineStr">
        <is>
          <t>Customer Deviation</t>
        </is>
      </c>
      <c r="J77" s="43" t="inlineStr">
        <is>
          <t>D612122</t>
        </is>
      </c>
      <c r="K77" s="33" t="inlineStr">
        <is>
          <t>D612122 Need to qualify GMLB-201209-0040P-N8CS-RU on 73-102363-05</t>
        </is>
      </c>
      <c r="L77" s="43" t="inlineStr">
        <is>
          <t>Extended</t>
        </is>
      </c>
      <c r="M77" s="43" t="inlineStr">
        <is>
          <t>73-102363-05</t>
        </is>
      </c>
      <c r="N77" s="43" t="inlineStr"/>
      <c r="O77" s="43" t="inlineStr">
        <is>
          <t>2026-12-28</t>
        </is>
      </c>
      <c r="P77" s="33" t="inlineStr">
        <is>
          <t>Engineering Qualification Build (EXTENDABLE 2x);To track an AML qualification build (EXTENDABLE 2x)</t>
        </is>
      </c>
      <c r="Q77" s="43" t="inlineStr">
        <is>
          <t>NA</t>
        </is>
      </c>
      <c r="R77" s="43" t="inlineStr">
        <is>
          <t>2026-07-03</t>
        </is>
      </c>
      <c r="S77" s="43" t="inlineStr">
        <is>
          <t>2026-07-24</t>
        </is>
      </c>
      <c r="T77" s="43" t="inlineStr"/>
      <c r="U77" s="43" t="inlineStr"/>
    </row>
    <row r="78">
      <c r="A78" s="43" t="n">
        <v>78</v>
      </c>
      <c r="B78" s="43" t="inlineStr">
        <is>
          <t>77</t>
        </is>
      </c>
      <c r="C78" s="43" t="inlineStr">
        <is>
          <t>FJZP</t>
        </is>
      </c>
      <c r="D78" s="43" t="inlineStr">
        <is>
          <t>Cisco</t>
        </is>
      </c>
      <c r="E78" s="43" t="inlineStr">
        <is>
          <t>MCGA</t>
        </is>
      </c>
      <c r="F78" s="43" t="inlineStr">
        <is>
          <t>239-CRBU</t>
        </is>
      </c>
      <c r="G78" s="43" t="inlineStr">
        <is>
          <t>CTANJZ05454</t>
        </is>
      </c>
      <c r="H78" s="43" t="inlineStr">
        <is>
          <t>Engineering Qualification Build</t>
        </is>
      </c>
      <c r="I78" s="43" t="inlineStr">
        <is>
          <t>Customer Deviation</t>
        </is>
      </c>
      <c r="J78" s="43" t="inlineStr">
        <is>
          <t>D613632</t>
        </is>
      </c>
      <c r="K78" s="33" t="inlineStr">
        <is>
          <t>D613632 Need to qualify MX25L3233FM2I-08G on 17-102297-01</t>
        </is>
      </c>
      <c r="L78" s="43" t="inlineStr">
        <is>
          <t>Implementation</t>
        </is>
      </c>
      <c r="M78" s="43" t="inlineStr">
        <is>
          <t>16-100239-01</t>
        </is>
      </c>
      <c r="N78" s="43" t="inlineStr"/>
      <c r="O78" s="43" t="inlineStr">
        <is>
          <t>2027-02-28</t>
        </is>
      </c>
      <c r="P78" s="33" t="inlineStr">
        <is>
          <t>Engineering Qualification Build (EXTENDABLE 2x);To track an AML qualification build (EXTENDABLE 2x)</t>
        </is>
      </c>
      <c r="Q78" s="43" t="inlineStr">
        <is>
          <t>NA</t>
        </is>
      </c>
      <c r="R78" s="43" t="inlineStr">
        <is>
          <t>2026-09-03</t>
        </is>
      </c>
      <c r="S78" s="43" t="inlineStr">
        <is>
          <t>2026-09-29</t>
        </is>
      </c>
      <c r="T78" s="43" t="inlineStr"/>
      <c r="U78" s="43" t="inlineStr"/>
    </row>
    <row r="79">
      <c r="A79" s="43" t="n">
        <v>79</v>
      </c>
      <c r="B79" s="43" t="inlineStr">
        <is>
          <t>78</t>
        </is>
      </c>
      <c r="C79" s="43" t="inlineStr">
        <is>
          <t>FJZP</t>
        </is>
      </c>
      <c r="D79" s="43" t="inlineStr">
        <is>
          <t>Cisco</t>
        </is>
      </c>
      <c r="E79" s="43" t="inlineStr">
        <is>
          <t>MCGA</t>
        </is>
      </c>
      <c r="F79" s="43" t="inlineStr">
        <is>
          <t>239-CRBU</t>
        </is>
      </c>
      <c r="G79" s="43" t="inlineStr">
        <is>
          <t>CTANJZ05455</t>
        </is>
      </c>
      <c r="H79" s="43" t="inlineStr">
        <is>
          <t>Engineering Qualification Build</t>
        </is>
      </c>
      <c r="I79" s="43" t="inlineStr">
        <is>
          <t>Customer Deviation</t>
        </is>
      </c>
      <c r="J79" s="43" t="inlineStr">
        <is>
          <t>D613568</t>
        </is>
      </c>
      <c r="K79" s="33" t="inlineStr">
        <is>
          <t>D613568 Need to qualify M24C64-RMN6TP on 73-21633-01 for Assy Qual Request # : AQR004745438 Which is a Supplier PCN from M24C64-RMN6TP for PCN TYPE : Process Change on GQR GQR000101798 and AQR AQR004745438</t>
        </is>
      </c>
      <c r="L79" s="43" t="inlineStr">
        <is>
          <t>Implementation</t>
        </is>
      </c>
      <c r="M79" s="43" t="inlineStr">
        <is>
          <t>16-2242-02</t>
        </is>
      </c>
      <c r="N79" s="43" t="inlineStr"/>
      <c r="O79" s="43" t="inlineStr">
        <is>
          <t>2026-12-01</t>
        </is>
      </c>
      <c r="P79" s="33" t="inlineStr">
        <is>
          <t>Engineering Qualification Build (EXTENDABLE 2x);To track an AML qualification build (EXTENDABLE 2x)</t>
        </is>
      </c>
      <c r="Q79" s="43" t="inlineStr">
        <is>
          <t>NA</t>
        </is>
      </c>
      <c r="R79" s="43" t="inlineStr">
        <is>
          <t>2026-09-03</t>
        </is>
      </c>
      <c r="S79" s="43" t="inlineStr">
        <is>
          <t>2026-09-30</t>
        </is>
      </c>
      <c r="T79" s="43" t="inlineStr"/>
      <c r="U79" s="43" t="inlineStr"/>
    </row>
    <row r="80">
      <c r="A80" s="43" t="n">
        <v>80</v>
      </c>
      <c r="B80" s="43" t="inlineStr">
        <is>
          <t>79</t>
        </is>
      </c>
      <c r="C80" s="43" t="inlineStr">
        <is>
          <t>FJZP</t>
        </is>
      </c>
      <c r="D80" s="43" t="inlineStr">
        <is>
          <t>Cisco</t>
        </is>
      </c>
      <c r="E80" s="43" t="inlineStr">
        <is>
          <t>MCGA</t>
        </is>
      </c>
      <c r="F80" s="43" t="inlineStr">
        <is>
          <t>239-CRBU</t>
        </is>
      </c>
      <c r="G80" s="43" t="inlineStr">
        <is>
          <t>CTANJZ05351</t>
        </is>
      </c>
      <c r="H80" s="43" t="inlineStr">
        <is>
          <t>Engineering Qualification Build</t>
        </is>
      </c>
      <c r="I80" s="43" t="inlineStr">
        <is>
          <t>Customer Deviation</t>
        </is>
      </c>
      <c r="J80" s="43" t="inlineStr">
        <is>
          <t>D612083</t>
        </is>
      </c>
      <c r="K80" s="33" t="inlineStr">
        <is>
          <t>D612083 Need to qualify MBP18ZP331-15C on 73-102363-05</t>
        </is>
      </c>
      <c r="L80" s="43" t="inlineStr">
        <is>
          <t>Extended</t>
        </is>
      </c>
      <c r="M80" s="43" t="inlineStr">
        <is>
          <t>36-0307-01</t>
        </is>
      </c>
      <c r="N80" s="43" t="inlineStr"/>
      <c r="O80" s="43" t="inlineStr">
        <is>
          <t>2027-01-03</t>
        </is>
      </c>
      <c r="P80" s="33" t="inlineStr">
        <is>
          <t>Engineering Qualification Build (EXTENDABLE 2x);To track an AML qualification build (EXTENDABLE 2x)</t>
        </is>
      </c>
      <c r="Q80" s="43" t="inlineStr">
        <is>
          <t>Cookie deviation # on units</t>
        </is>
      </c>
      <c r="R80" s="43" t="inlineStr">
        <is>
          <t>2026-07-10</t>
        </is>
      </c>
      <c r="S80" s="43" t="inlineStr">
        <is>
          <t>2026-07-24</t>
        </is>
      </c>
      <c r="T80" s="43" t="inlineStr"/>
      <c r="U80" s="43" t="inlineStr"/>
    </row>
    <row r="81">
      <c r="A81" s="43" t="n">
        <v>81</v>
      </c>
      <c r="B81" s="43" t="inlineStr">
        <is>
          <t>80</t>
        </is>
      </c>
      <c r="C81" s="43" t="inlineStr">
        <is>
          <t>FJZP</t>
        </is>
      </c>
      <c r="D81" s="43" t="inlineStr">
        <is>
          <t>Cisco</t>
        </is>
      </c>
      <c r="E81" s="43" t="inlineStr">
        <is>
          <t>MCGA</t>
        </is>
      </c>
      <c r="F81" s="43" t="inlineStr">
        <is>
          <t>239-CRBU</t>
        </is>
      </c>
      <c r="G81" s="43" t="inlineStr">
        <is>
          <t>CTANJZ05351</t>
        </is>
      </c>
      <c r="H81" s="43" t="inlineStr">
        <is>
          <t>Engineering Qualification Build</t>
        </is>
      </c>
      <c r="I81" s="43" t="inlineStr">
        <is>
          <t>Customer Deviation</t>
        </is>
      </c>
      <c r="J81" s="43" t="inlineStr">
        <is>
          <t>D612083</t>
        </is>
      </c>
      <c r="K81" s="33" t="inlineStr">
        <is>
          <t>D612083 Need to qualify MBP18ZP331-15C on 73-102363-05</t>
        </is>
      </c>
      <c r="L81" s="43" t="inlineStr">
        <is>
          <t>Extended</t>
        </is>
      </c>
      <c r="M81" s="43" t="inlineStr">
        <is>
          <t>73-102363-05</t>
        </is>
      </c>
      <c r="N81" s="43" t="inlineStr"/>
      <c r="O81" s="43" t="inlineStr">
        <is>
          <t>2027-01-03</t>
        </is>
      </c>
      <c r="P81" s="33" t="inlineStr">
        <is>
          <t>Engineering Qualification Build (EXTENDABLE 2x);To track an AML qualification build (EXTENDABLE 2x)</t>
        </is>
      </c>
      <c r="Q81" s="43" t="inlineStr">
        <is>
          <t>Cookie deviation # on units</t>
        </is>
      </c>
      <c r="R81" s="43" t="inlineStr">
        <is>
          <t>2026-07-10</t>
        </is>
      </c>
      <c r="S81" s="43" t="inlineStr">
        <is>
          <t>2026-07-24</t>
        </is>
      </c>
      <c r="T81" s="43" t="inlineStr"/>
      <c r="U81" s="43" t="inlineStr"/>
    </row>
    <row r="82">
      <c r="A82" s="43" t="n">
        <v>82</v>
      </c>
      <c r="B82" s="43" t="inlineStr">
        <is>
          <t>81</t>
        </is>
      </c>
      <c r="C82" s="43" t="inlineStr">
        <is>
          <t>FJZP</t>
        </is>
      </c>
      <c r="D82" s="43" t="inlineStr">
        <is>
          <t>Cisco</t>
        </is>
      </c>
      <c r="E82" s="43" t="inlineStr">
        <is>
          <t>MCGA</t>
        </is>
      </c>
      <c r="F82" s="43" t="inlineStr">
        <is>
          <t>239-CRBU</t>
        </is>
      </c>
      <c r="G82" s="43" t="inlineStr">
        <is>
          <t>CTANJZ05352</t>
        </is>
      </c>
      <c r="H82" s="43" t="inlineStr">
        <is>
          <t>Engineering Qualification Build</t>
        </is>
      </c>
      <c r="I82" s="43" t="inlineStr">
        <is>
          <t>Customer Deviation</t>
        </is>
      </c>
      <c r="J82" s="43" t="inlineStr">
        <is>
          <t>D611822</t>
        </is>
      </c>
      <c r="K82" s="33" t="inlineStr">
        <is>
          <t>D611822 Need to qualify 102-906-16 on 73-102363-05 for Assy Qual Request # : AQR003710154 Which is a Supplier PCN from 102-906-16 for PCN TYPE : Site Move on GQR GQR000091117 and AQR AQR003710154</t>
        </is>
      </c>
      <c r="L82" s="43" t="inlineStr">
        <is>
          <t>Extended</t>
        </is>
      </c>
      <c r="M82" s="43" t="inlineStr">
        <is>
          <t>29-6175-01</t>
        </is>
      </c>
      <c r="N82" s="43" t="inlineStr"/>
      <c r="O82" s="43" t="inlineStr">
        <is>
          <t>2027-01-03</t>
        </is>
      </c>
      <c r="P82" s="33" t="inlineStr">
        <is>
          <t>Engineering Qualification Build (EXTENDABLE 2x);To track an AML qualification build (EXTENDABLE 2x)</t>
        </is>
      </c>
      <c r="Q82" s="43" t="inlineStr">
        <is>
          <t>NA</t>
        </is>
      </c>
      <c r="R82" s="43" t="inlineStr">
        <is>
          <t>2026-07-10</t>
        </is>
      </c>
      <c r="S82" s="43" t="inlineStr">
        <is>
          <t>2026-07-24</t>
        </is>
      </c>
      <c r="T82" s="43" t="inlineStr"/>
      <c r="U82" s="43" t="inlineStr"/>
    </row>
    <row r="83">
      <c r="A83" s="43" t="n">
        <v>83</v>
      </c>
      <c r="B83" s="43" t="inlineStr">
        <is>
          <t>82</t>
        </is>
      </c>
      <c r="C83" s="43" t="inlineStr">
        <is>
          <t>FJZP</t>
        </is>
      </c>
      <c r="D83" s="43" t="inlineStr">
        <is>
          <t>Cisco</t>
        </is>
      </c>
      <c r="E83" s="43" t="inlineStr">
        <is>
          <t>MCGA</t>
        </is>
      </c>
      <c r="F83" s="43" t="inlineStr">
        <is>
          <t>239-CRBU</t>
        </is>
      </c>
      <c r="G83" s="43" t="inlineStr">
        <is>
          <t>CTANJZ05352</t>
        </is>
      </c>
      <c r="H83" s="43" t="inlineStr">
        <is>
          <t>Engineering Qualification Build</t>
        </is>
      </c>
      <c r="I83" s="43" t="inlineStr">
        <is>
          <t>Customer Deviation</t>
        </is>
      </c>
      <c r="J83" s="43" t="inlineStr">
        <is>
          <t>D611822</t>
        </is>
      </c>
      <c r="K83" s="33" t="inlineStr">
        <is>
          <t>D611822 Need to qualify 102-906-16 on 73-102363-05 for Assy Qual Request # : AQR003710154 Which is a Supplier PCN from 102-906-16 for PCN TYPE : Site Move on GQR GQR000091117 and AQR AQR003710154</t>
        </is>
      </c>
      <c r="L83" s="43" t="inlineStr">
        <is>
          <t>Extended</t>
        </is>
      </c>
      <c r="M83" s="43" t="inlineStr">
        <is>
          <t>73-102363-05</t>
        </is>
      </c>
      <c r="N83" s="43" t="inlineStr"/>
      <c r="O83" s="43" t="inlineStr">
        <is>
          <t>2027-01-03</t>
        </is>
      </c>
      <c r="P83" s="33" t="inlineStr">
        <is>
          <t>Engineering Qualification Build (EXTENDABLE 2x);To track an AML qualification build (EXTENDABLE 2x)</t>
        </is>
      </c>
      <c r="Q83" s="43" t="inlineStr">
        <is>
          <t>NA</t>
        </is>
      </c>
      <c r="R83" s="43" t="inlineStr">
        <is>
          <t>2026-07-10</t>
        </is>
      </c>
      <c r="S83" s="43" t="inlineStr">
        <is>
          <t>2026-07-24</t>
        </is>
      </c>
      <c r="T83" s="43" t="inlineStr"/>
      <c r="U83" s="43" t="inlineStr"/>
    </row>
    <row r="84">
      <c r="A84" s="43" t="n">
        <v>84</v>
      </c>
      <c r="B84" s="43" t="inlineStr">
        <is>
          <t>83</t>
        </is>
      </c>
      <c r="C84" s="43" t="inlineStr">
        <is>
          <t>FJZP</t>
        </is>
      </c>
      <c r="D84" s="43" t="inlineStr">
        <is>
          <t>Cisco</t>
        </is>
      </c>
      <c r="E84" s="43" t="inlineStr">
        <is>
          <t>MCGA</t>
        </is>
      </c>
      <c r="F84" s="43" t="inlineStr">
        <is>
          <t>035-CVEBU</t>
        </is>
      </c>
      <c r="G84" s="43" t="inlineStr">
        <is>
          <t>CTANJZ05449</t>
        </is>
      </c>
      <c r="H84" s="43" t="inlineStr">
        <is>
          <t>Engineering Qualification Build</t>
        </is>
      </c>
      <c r="I84" s="43" t="inlineStr">
        <is>
          <t>Customer Deviation</t>
        </is>
      </c>
      <c r="J84" s="43" t="inlineStr">
        <is>
          <t>D613605</t>
        </is>
      </c>
      <c r="K84" s="33" t="inlineStr">
        <is>
          <t>D613605 CVEBU; Nixie. 2nd source qualification for PCBs for NDAA compliance. 24-AUG-26.FOXCONN JUAREZ shall build and test up to TAN level 68-103291-02 or 68-104808-02.PCB            -                MPN28-102088-05 - 28-102088-05_S606_M202 (ZHUHAI FOUNDER TH)Two units to be shipped toCisco Systems NorwayAttention Jarle AaslandTelephone +47 41633762LYSAKER 1; 2nd floor; 252CMail Stop LYS01/2Philip Pedersens vei 1LYSAKER; AKERSHUS 1366NORWAY       Control builds for Nixie PCB. ORT is mandatory to be used for this qualification.Note: Samples docked at FJZ. Please provide build schedule and quote for two Nixie unitsNote: Build all boards into units.Note: After successful build; and Cisco approval; the units can be shipped to customersContact Cisco: Jose Barraza and Jarle AaslandContact FJZ: Isaias Monreal</t>
        </is>
      </c>
      <c r="L84" s="43" t="inlineStr">
        <is>
          <t>FAI Status</t>
        </is>
      </c>
      <c r="M84" s="43" t="inlineStr">
        <is>
          <t>28-102088-05</t>
        </is>
      </c>
      <c r="N84" s="43" t="inlineStr"/>
      <c r="O84" s="43" t="inlineStr">
        <is>
          <t>2026-11-27</t>
        </is>
      </c>
      <c r="P84" s="33" t="inlineStr">
        <is>
          <t>Engineering Qualification Build (EXTENDABLE 2x)</t>
        </is>
      </c>
      <c r="Q84" s="43" t="inlineStr">
        <is>
          <t>Mark units with this deviation number sticker clearly visible on unit</t>
        </is>
      </c>
      <c r="R84" s="43" t="inlineStr">
        <is>
          <t>2026-08-31</t>
        </is>
      </c>
      <c r="S84" s="43" t="inlineStr">
        <is>
          <t>2026-09-29</t>
        </is>
      </c>
      <c r="T84" s="43" t="inlineStr"/>
      <c r="U84" s="43" t="inlineStr"/>
    </row>
    <row r="85">
      <c r="A85" s="43" t="n">
        <v>85</v>
      </c>
      <c r="B85" s="43" t="inlineStr">
        <is>
          <t>84</t>
        </is>
      </c>
      <c r="C85" s="43" t="inlineStr">
        <is>
          <t>FJZP</t>
        </is>
      </c>
      <c r="D85" s="43" t="inlineStr">
        <is>
          <t>Cisco</t>
        </is>
      </c>
      <c r="E85" s="43" t="inlineStr">
        <is>
          <t>MCGA</t>
        </is>
      </c>
      <c r="F85" s="43" t="inlineStr">
        <is>
          <t>035-CVEBU</t>
        </is>
      </c>
      <c r="G85" s="43" t="inlineStr">
        <is>
          <t>CTANJZ05449</t>
        </is>
      </c>
      <c r="H85" s="43" t="inlineStr">
        <is>
          <t>Engineering Qualification Build</t>
        </is>
      </c>
      <c r="I85" s="43" t="inlineStr">
        <is>
          <t>Customer Deviation</t>
        </is>
      </c>
      <c r="J85" s="43" t="inlineStr">
        <is>
          <t>D613605</t>
        </is>
      </c>
      <c r="K85" s="33" t="inlineStr">
        <is>
          <t>D613605 CVEBU; Nixie. 2nd source qualification for PCBs for NDAA compliance. 24-AUG-26.FOXCONN JUAREZ shall build and test up to TAN level 68-103291-02 or 68-104808-02.PCB            -                MPN28-102088-05 - 28-102088-05_S606_M202 (ZHUHAI FOUNDER TH)Two units to be shipped toCisco Systems NorwayAttention Jarle AaslandTelephone +47 41633762LYSAKER 1; 2nd floor; 252CMail Stop LYS01/2Philip Pedersens vei 1LYSAKER; AKERSHUS 1366NORWAY       Control builds for Nixie PCB. ORT is mandatory to be used for this qualification.Note: Samples docked at FJZ. Please provide build schedule and quote for two Nixie unitsNote: Build all boards into units.Note: After successful build; and Cisco approval; the units can be shipped to customersContact Cisco: Jose Barraza and Jarle AaslandContact FJZ: Isaias Monreal</t>
        </is>
      </c>
      <c r="L85" s="43" t="inlineStr">
        <is>
          <t>FAI Status</t>
        </is>
      </c>
      <c r="M85" s="43" t="inlineStr">
        <is>
          <t>68-105050-01</t>
        </is>
      </c>
      <c r="N85" s="43" t="inlineStr"/>
      <c r="O85" s="43" t="inlineStr">
        <is>
          <t>2026-11-27</t>
        </is>
      </c>
      <c r="P85" s="33" t="inlineStr">
        <is>
          <t>Engineering Qualification Build (EXTENDABLE 2x)</t>
        </is>
      </c>
      <c r="Q85" s="43" t="inlineStr">
        <is>
          <t>Mark units with this deviation number sticker clearly visible on unit</t>
        </is>
      </c>
      <c r="R85" s="43" t="inlineStr">
        <is>
          <t>2026-08-31</t>
        </is>
      </c>
      <c r="S85" s="43" t="inlineStr">
        <is>
          <t>2026-09-29</t>
        </is>
      </c>
      <c r="T85" s="43" t="inlineStr"/>
      <c r="U85" s="43" t="inlineStr"/>
    </row>
    <row r="86">
      <c r="A86" s="43" t="n">
        <v>86</v>
      </c>
      <c r="B86" s="43" t="inlineStr">
        <is>
          <t>85</t>
        </is>
      </c>
      <c r="C86" s="43" t="inlineStr">
        <is>
          <t>FJZP</t>
        </is>
      </c>
      <c r="D86" s="43" t="inlineStr">
        <is>
          <t>Cisco</t>
        </is>
      </c>
      <c r="E86" s="43" t="inlineStr">
        <is>
          <t>MCGA</t>
        </is>
      </c>
      <c r="F86" s="43" t="inlineStr">
        <is>
          <t>239-CRBU</t>
        </is>
      </c>
      <c r="G86" s="43" t="inlineStr">
        <is>
          <t>CTANJZ05446</t>
        </is>
      </c>
      <c r="H86" s="43" t="inlineStr">
        <is>
          <t>Engineering Qualification Build</t>
        </is>
      </c>
      <c r="I86" s="43" t="inlineStr">
        <is>
          <t>Customer Deviation</t>
        </is>
      </c>
      <c r="J86" s="43" t="inlineStr">
        <is>
          <t>D613569</t>
        </is>
      </c>
      <c r="K86" s="33" t="inlineStr">
        <is>
          <t>D613569 Need to qualify M24C32-WMN6P on 73-19152-02 for Assy Qual Request # : AQR004742670 Which is a Supplier PCN from M24C32-WMN6P for PCN TYPE : Process Change on GQR GQR000101811 and AQR AQR004742670</t>
        </is>
      </c>
      <c r="L86" s="43" t="inlineStr">
        <is>
          <t>FAI Status</t>
        </is>
      </c>
      <c r="M86" s="43" t="inlineStr">
        <is>
          <t>16-2665-02</t>
        </is>
      </c>
      <c r="N86" s="43" t="inlineStr"/>
      <c r="O86" s="43" t="inlineStr">
        <is>
          <t>2027-02-23</t>
        </is>
      </c>
      <c r="P86" s="33" t="inlineStr">
        <is>
          <t>Engineering Qualification Build (EXTENDABLE 2x);To track an AML qualification build (EXTENDABLE 2x)</t>
        </is>
      </c>
      <c r="Q86" s="43" t="inlineStr">
        <is>
          <t>NA</t>
        </is>
      </c>
      <c r="R86" s="43" t="inlineStr">
        <is>
          <t>2026-08-29</t>
        </is>
      </c>
      <c r="S86" s="43" t="inlineStr">
        <is>
          <t>2026-09-30</t>
        </is>
      </c>
      <c r="T86" s="43" t="inlineStr"/>
      <c r="U86" s="43" t="inlineStr"/>
    </row>
    <row r="87">
      <c r="A87" s="43" t="n">
        <v>87</v>
      </c>
      <c r="B87" s="43" t="inlineStr">
        <is>
          <t>86</t>
        </is>
      </c>
      <c r="C87" s="43" t="inlineStr">
        <is>
          <t>FJZP</t>
        </is>
      </c>
      <c r="D87" s="43" t="inlineStr">
        <is>
          <t>Cisco</t>
        </is>
      </c>
      <c r="E87" s="43" t="inlineStr">
        <is>
          <t>MCGA</t>
        </is>
      </c>
      <c r="F87" s="43" t="inlineStr">
        <is>
          <t>239-CRBU</t>
        </is>
      </c>
      <c r="G87" s="43" t="inlineStr">
        <is>
          <t>CTANJZ05446</t>
        </is>
      </c>
      <c r="H87" s="43" t="inlineStr">
        <is>
          <t>Engineering Qualification Build</t>
        </is>
      </c>
      <c r="I87" s="43" t="inlineStr">
        <is>
          <t>Customer Deviation</t>
        </is>
      </c>
      <c r="J87" s="43" t="inlineStr">
        <is>
          <t>D613569</t>
        </is>
      </c>
      <c r="K87" s="33" t="inlineStr">
        <is>
          <t>D613569 Need to qualify M24C32-WMN6P on 73-19152-02 for Assy Qual Request # : AQR004742670 Which is a Supplier PCN from M24C32-WMN6P for PCN TYPE : Process Change on GQR GQR000101811 and AQR AQR004742670</t>
        </is>
      </c>
      <c r="L87" s="43" t="inlineStr">
        <is>
          <t>FAI Status</t>
        </is>
      </c>
      <c r="M87" s="43" t="inlineStr">
        <is>
          <t>73-19152-02</t>
        </is>
      </c>
      <c r="N87" s="43" t="inlineStr"/>
      <c r="O87" s="43" t="inlineStr">
        <is>
          <t>2027-02-23</t>
        </is>
      </c>
      <c r="P87" s="33" t="inlineStr">
        <is>
          <t>Engineering Qualification Build (EXTENDABLE 2x);To track an AML qualification build (EXTENDABLE 2x)</t>
        </is>
      </c>
      <c r="Q87" s="43" t="inlineStr">
        <is>
          <t>NA</t>
        </is>
      </c>
      <c r="R87" s="43" t="inlineStr">
        <is>
          <t>2026-08-29</t>
        </is>
      </c>
      <c r="S87" s="43" t="inlineStr">
        <is>
          <t>2026-09-30</t>
        </is>
      </c>
      <c r="T87" s="43" t="inlineStr"/>
      <c r="U87" s="43" t="inlineStr"/>
    </row>
    <row r="88">
      <c r="A88" s="43" t="n">
        <v>88</v>
      </c>
      <c r="B88" s="43" t="inlineStr">
        <is>
          <t>87</t>
        </is>
      </c>
      <c r="C88" s="43" t="inlineStr">
        <is>
          <t>FJZP</t>
        </is>
      </c>
      <c r="D88" s="43" t="inlineStr">
        <is>
          <t>Cisco</t>
        </is>
      </c>
      <c r="E88" s="43" t="inlineStr">
        <is>
          <t>MCGA</t>
        </is>
      </c>
      <c r="F88" s="43" t="inlineStr">
        <is>
          <t>239-CRBU</t>
        </is>
      </c>
      <c r="G88" s="43" t="inlineStr">
        <is>
          <t>CTANJZ05322</t>
        </is>
      </c>
      <c r="H88" s="43" t="inlineStr">
        <is>
          <t>Engineering Qual Build</t>
        </is>
      </c>
      <c r="I88" s="43" t="inlineStr">
        <is>
          <t>Customer Deviation</t>
        </is>
      </c>
      <c r="J88" s="43" t="inlineStr">
        <is>
          <t>D612106</t>
        </is>
      </c>
      <c r="K88" s="33" t="inlineStr">
        <is>
          <t>D612106 Need to qualify 74AVC2T45FK;LCF(GT on 73-102363-05</t>
        </is>
      </c>
      <c r="L88" s="43" t="inlineStr">
        <is>
          <t>Extended</t>
        </is>
      </c>
      <c r="M88" s="43" t="inlineStr">
        <is>
          <t>15-105357-01</t>
        </is>
      </c>
      <c r="N88" s="43" t="inlineStr"/>
      <c r="O88" s="43" t="inlineStr">
        <is>
          <t>2026-12-21</t>
        </is>
      </c>
      <c r="P88" s="33" t="inlineStr">
        <is>
          <t>Engineering Qualification Build (EXTENDABLE 2x);To track an AML qualification build (EXTENDABLE 2x)</t>
        </is>
      </c>
      <c r="Q88" s="43" t="inlineStr">
        <is>
          <t>NA</t>
        </is>
      </c>
      <c r="R88" s="43" t="inlineStr">
        <is>
          <t>2026-06-27</t>
        </is>
      </c>
      <c r="S88" s="43" t="inlineStr">
        <is>
          <t>2026-07-20</t>
        </is>
      </c>
      <c r="T88" s="43" t="inlineStr"/>
      <c r="U88" s="43" t="inlineStr"/>
    </row>
    <row r="89">
      <c r="A89" s="43" t="n">
        <v>89</v>
      </c>
      <c r="B89" s="43" t="inlineStr">
        <is>
          <t>88</t>
        </is>
      </c>
      <c r="C89" s="43" t="inlineStr">
        <is>
          <t>FJZP</t>
        </is>
      </c>
      <c r="D89" s="43" t="inlineStr">
        <is>
          <t>Cisco</t>
        </is>
      </c>
      <c r="E89" s="43" t="inlineStr">
        <is>
          <t>MCGA</t>
        </is>
      </c>
      <c r="F89" s="43" t="inlineStr">
        <is>
          <t>239-CRBU</t>
        </is>
      </c>
      <c r="G89" s="43" t="inlineStr">
        <is>
          <t>CTANJZ05322</t>
        </is>
      </c>
      <c r="H89" s="43" t="inlineStr">
        <is>
          <t>Engineering Qual Build</t>
        </is>
      </c>
      <c r="I89" s="43" t="inlineStr">
        <is>
          <t>Customer Deviation</t>
        </is>
      </c>
      <c r="J89" s="43" t="inlineStr">
        <is>
          <t>D612106</t>
        </is>
      </c>
      <c r="K89" s="33" t="inlineStr">
        <is>
          <t>D612106 Need to qualify 74AVC2T45FK;LCF(GT on 73-102363-05</t>
        </is>
      </c>
      <c r="L89" s="43" t="inlineStr">
        <is>
          <t>Extended</t>
        </is>
      </c>
      <c r="M89" s="43" t="inlineStr">
        <is>
          <t>73-102363-05</t>
        </is>
      </c>
      <c r="N89" s="43" t="inlineStr"/>
      <c r="O89" s="43" t="inlineStr">
        <is>
          <t>2026-12-21</t>
        </is>
      </c>
      <c r="P89" s="33" t="inlineStr">
        <is>
          <t>Engineering Qualification Build (EXTENDABLE 2x);To track an AML qualification build (EXTENDABLE 2x)</t>
        </is>
      </c>
      <c r="Q89" s="43" t="inlineStr">
        <is>
          <t>NA</t>
        </is>
      </c>
      <c r="R89" s="43" t="inlineStr">
        <is>
          <t>2026-06-27</t>
        </is>
      </c>
      <c r="S89" s="43" t="inlineStr">
        <is>
          <t>2026-07-20</t>
        </is>
      </c>
      <c r="T89" s="43" t="inlineStr"/>
      <c r="U89" s="43" t="inlineStr"/>
    </row>
    <row r="90">
      <c r="A90" s="43" t="n">
        <v>90</v>
      </c>
      <c r="B90" s="43" t="inlineStr">
        <is>
          <t>89</t>
        </is>
      </c>
      <c r="C90" s="43" t="inlineStr">
        <is>
          <t>FJZP</t>
        </is>
      </c>
      <c r="D90" s="43" t="inlineStr">
        <is>
          <t>Cisco</t>
        </is>
      </c>
      <c r="E90" s="43" t="inlineStr">
        <is>
          <t>MCGA</t>
        </is>
      </c>
      <c r="F90" s="43" t="inlineStr">
        <is>
          <t>239-CRBU</t>
        </is>
      </c>
      <c r="G90" s="43" t="inlineStr">
        <is>
          <t>CTANJZ05323</t>
        </is>
      </c>
      <c r="H90" s="43" t="inlineStr">
        <is>
          <t>Engineering Qualification Build</t>
        </is>
      </c>
      <c r="I90" s="43" t="inlineStr">
        <is>
          <t>Customer Deviation</t>
        </is>
      </c>
      <c r="J90" s="43" t="inlineStr">
        <is>
          <t>D611825</t>
        </is>
      </c>
      <c r="K90" s="33" t="inlineStr">
        <is>
          <t>D611825 Need to qualify JP30150011 on 73-103802-05 for Assy Qual Request # : AQR003727904 Which is a Supplier PCN from JP30150011 for PCN TYPE : Site Move on GQR GQR000091465 and AQR AQR003727904</t>
        </is>
      </c>
      <c r="L90" s="43" t="inlineStr">
        <is>
          <t>Extended</t>
        </is>
      </c>
      <c r="M90" s="43" t="inlineStr">
        <is>
          <t>29-102696-03</t>
        </is>
      </c>
      <c r="N90" s="43" t="inlineStr"/>
      <c r="O90" s="43" t="inlineStr">
        <is>
          <t>2026-12-22</t>
        </is>
      </c>
      <c r="P90" s="33" t="inlineStr">
        <is>
          <t>Engineering Qualification Build (EXTENDABLE 2x);To track an AML qualification build (EXTENDABLE 2x)</t>
        </is>
      </c>
      <c r="Q90" s="43" t="inlineStr">
        <is>
          <t>NA</t>
        </is>
      </c>
      <c r="R90" s="43" t="inlineStr">
        <is>
          <t>2026-06-27</t>
        </is>
      </c>
      <c r="S90" s="43" t="inlineStr">
        <is>
          <t>2026-07-20</t>
        </is>
      </c>
      <c r="T90" s="43" t="inlineStr"/>
      <c r="U90" s="43" t="inlineStr"/>
    </row>
    <row r="91">
      <c r="A91" s="43" t="n">
        <v>91</v>
      </c>
      <c r="B91" s="43" t="inlineStr">
        <is>
          <t>90</t>
        </is>
      </c>
      <c r="C91" s="43" t="inlineStr">
        <is>
          <t>FJZP</t>
        </is>
      </c>
      <c r="D91" s="43" t="inlineStr">
        <is>
          <t>Cisco</t>
        </is>
      </c>
      <c r="E91" s="43" t="inlineStr">
        <is>
          <t>MCGA</t>
        </is>
      </c>
      <c r="F91" s="43" t="inlineStr">
        <is>
          <t>239-CRBU</t>
        </is>
      </c>
      <c r="G91" s="43" t="inlineStr">
        <is>
          <t>CTANJZ05453</t>
        </is>
      </c>
      <c r="H91" s="43" t="inlineStr">
        <is>
          <t>Engineering Qualification Build</t>
        </is>
      </c>
      <c r="I91" s="43" t="inlineStr">
        <is>
          <t>Customer Deviation</t>
        </is>
      </c>
      <c r="J91" s="43" t="inlineStr">
        <is>
          <t>D613633</t>
        </is>
      </c>
      <c r="K91" s="33" t="inlineStr">
        <is>
          <t>D613633 Need to qualify MX25L3233FM2I-08G on 17-102296-01</t>
        </is>
      </c>
      <c r="L91" s="43" t="inlineStr">
        <is>
          <t>FAI Status</t>
        </is>
      </c>
      <c r="M91" s="43" t="inlineStr">
        <is>
          <t>16-100239-01</t>
        </is>
      </c>
      <c r="N91" s="43" t="inlineStr"/>
      <c r="O91" s="43" t="inlineStr">
        <is>
          <t>2027-02-28</t>
        </is>
      </c>
      <c r="P91" s="33" t="inlineStr">
        <is>
          <t>Engineering Qualification Build (EXTENDABLE 2x);To track an AML qualification build (EXTENDABLE 2x)</t>
        </is>
      </c>
      <c r="Q91" s="43" t="inlineStr">
        <is>
          <t>NA</t>
        </is>
      </c>
      <c r="R91" s="43" t="inlineStr">
        <is>
          <t>2026-09-03</t>
        </is>
      </c>
      <c r="S91" s="43" t="inlineStr">
        <is>
          <t>2026-09-29</t>
        </is>
      </c>
      <c r="T91" s="43" t="inlineStr"/>
      <c r="U91" s="43" t="inlineStr"/>
    </row>
    <row r="92">
      <c r="A92" s="43" t="n">
        <v>92</v>
      </c>
      <c r="B92" s="43" t="inlineStr">
        <is>
          <t>91</t>
        </is>
      </c>
      <c r="C92" s="43" t="inlineStr">
        <is>
          <t>FJZP</t>
        </is>
      </c>
      <c r="D92" s="43" t="inlineStr">
        <is>
          <t>Cisco</t>
        </is>
      </c>
      <c r="E92" s="43" t="inlineStr">
        <is>
          <t>MCGA</t>
        </is>
      </c>
      <c r="F92" s="43" t="inlineStr">
        <is>
          <t>239-CRBU</t>
        </is>
      </c>
      <c r="G92" s="43" t="inlineStr">
        <is>
          <t>CTANJZ05417</t>
        </is>
      </c>
      <c r="H92" s="43" t="inlineStr">
        <is>
          <t>Engineering Qualification Build</t>
        </is>
      </c>
      <c r="I92" s="43" t="inlineStr">
        <is>
          <t>Customer Deviation</t>
        </is>
      </c>
      <c r="J92" s="43" t="inlineStr">
        <is>
          <t>D611851</t>
        </is>
      </c>
      <c r="K92" s="33" t="inlineStr">
        <is>
          <t>D611851 Need to qualify M24C64-RMN6TP on 73-102363-05 for Assy Qual Request # : AQR003705149 Which is a Supplier PCN from M24C64-RMN6TP for PCN TYPE : Process Change on GQR GQR000090943 and AQR AQR003705149</t>
        </is>
      </c>
      <c r="L92" s="43" t="inlineStr">
        <is>
          <t>Extended</t>
        </is>
      </c>
      <c r="M92" s="43" t="inlineStr">
        <is>
          <t>16-2242-02</t>
        </is>
      </c>
      <c r="N92" s="43" t="inlineStr"/>
      <c r="O92" s="43" t="inlineStr">
        <is>
          <t>2027-02-02</t>
        </is>
      </c>
      <c r="P92" s="33" t="inlineStr">
        <is>
          <t>Engineering Qualification Build (EXTENDABLE 2x);To track an AML qualification build (EXTENDABLE 2x)</t>
        </is>
      </c>
      <c r="Q92" s="43" t="inlineStr">
        <is>
          <t>Cookie deviation # on units</t>
        </is>
      </c>
      <c r="R92" s="43" t="inlineStr">
        <is>
          <t>2026-08-08</t>
        </is>
      </c>
      <c r="S92" s="43" t="inlineStr">
        <is>
          <t>2026-08-26</t>
        </is>
      </c>
      <c r="T92" s="43" t="inlineStr"/>
      <c r="U92" s="43" t="inlineStr"/>
    </row>
    <row r="93">
      <c r="A93" s="43" t="n">
        <v>93</v>
      </c>
      <c r="B93" s="43" t="inlineStr">
        <is>
          <t>92</t>
        </is>
      </c>
      <c r="C93" s="43" t="inlineStr">
        <is>
          <t>FJZP</t>
        </is>
      </c>
      <c r="D93" s="43" t="inlineStr">
        <is>
          <t>Cisco</t>
        </is>
      </c>
      <c r="E93" s="43" t="inlineStr">
        <is>
          <t>MCGA</t>
        </is>
      </c>
      <c r="F93" s="43" t="inlineStr">
        <is>
          <t>239-CRBU</t>
        </is>
      </c>
      <c r="G93" s="43" t="inlineStr">
        <is>
          <t>CTANJZ05417</t>
        </is>
      </c>
      <c r="H93" s="43" t="inlineStr">
        <is>
          <t>Engineering Qualification Build</t>
        </is>
      </c>
      <c r="I93" s="43" t="inlineStr">
        <is>
          <t>Customer Deviation</t>
        </is>
      </c>
      <c r="J93" s="43" t="inlineStr">
        <is>
          <t>D611851</t>
        </is>
      </c>
      <c r="K93" s="33" t="inlineStr">
        <is>
          <t>D611851 Need to qualify M24C64-RMN6TP on 73-102363-05 for Assy Qual Request # : AQR003705149 Which is a Supplier PCN from M24C64-RMN6TP for PCN TYPE : Process Change on GQR GQR000090943 and AQR AQR003705149</t>
        </is>
      </c>
      <c r="L93" s="43" t="inlineStr">
        <is>
          <t>Extended</t>
        </is>
      </c>
      <c r="M93" s="43" t="inlineStr">
        <is>
          <t>73-102363-05</t>
        </is>
      </c>
      <c r="N93" s="43" t="inlineStr"/>
      <c r="O93" s="43" t="inlineStr">
        <is>
          <t>2027-02-02</t>
        </is>
      </c>
      <c r="P93" s="33" t="inlineStr">
        <is>
          <t>Engineering Qualification Build (EXTENDABLE 2x);To track an AML qualification build (EXTENDABLE 2x)</t>
        </is>
      </c>
      <c r="Q93" s="43" t="inlineStr">
        <is>
          <t>Cookie deviation # on units</t>
        </is>
      </c>
      <c r="R93" s="43" t="inlineStr">
        <is>
          <t>2026-08-08</t>
        </is>
      </c>
      <c r="S93" s="43" t="inlineStr">
        <is>
          <t>2026-08-26</t>
        </is>
      </c>
      <c r="T93" s="43" t="inlineStr"/>
      <c r="U93" s="43" t="inlineStr"/>
    </row>
    <row r="94">
      <c r="A94" s="43" t="n">
        <v>94</v>
      </c>
      <c r="B94" s="43" t="inlineStr">
        <is>
          <t>93</t>
        </is>
      </c>
      <c r="C94" s="43" t="inlineStr">
        <is>
          <t>FJZP</t>
        </is>
      </c>
      <c r="D94" s="43" t="inlineStr">
        <is>
          <t>Cisco</t>
        </is>
      </c>
      <c r="E94" s="43" t="inlineStr">
        <is>
          <t>MCGA</t>
        </is>
      </c>
      <c r="F94" s="43" t="inlineStr">
        <is>
          <t>018-SRGBU</t>
        </is>
      </c>
      <c r="G94" s="43" t="inlineStr">
        <is>
          <t>CTANJZ05536</t>
        </is>
      </c>
      <c r="H94" s="43" t="inlineStr">
        <is>
          <t>Engineering Qualification Build</t>
        </is>
      </c>
      <c r="I94" s="43" t="inlineStr">
        <is>
          <t>Customer Deviation</t>
        </is>
      </c>
      <c r="J94" s="43" t="inlineStr">
        <is>
          <t>D614239</t>
        </is>
      </c>
      <c r="K94" s="33" t="inlineStr">
        <is>
          <t>D614239 Need to qualify BSZ100N03MS G on 73-20198-10</t>
        </is>
      </c>
      <c r="L94" s="43" t="inlineStr">
        <is>
          <t>CCB</t>
        </is>
      </c>
      <c r="M94" s="43" t="inlineStr">
        <is>
          <t>20-0743-01</t>
        </is>
      </c>
      <c r="N94" s="43" t="inlineStr"/>
      <c r="O94" s="43" t="inlineStr">
        <is>
          <t>2027-01-11</t>
        </is>
      </c>
      <c r="P94" s="33" t="inlineStr">
        <is>
          <t>Engineering Qualification Build (EXTENDABLE 2x);To track an AML qualification build (EXTENDABLE 2x)</t>
        </is>
      </c>
      <c r="Q94" s="43" t="inlineStr">
        <is>
          <t>NA</t>
        </is>
      </c>
      <c r="R94" s="43" t="inlineStr">
        <is>
          <t>2026-10-14</t>
        </is>
      </c>
      <c r="S94" s="43" t="inlineStr"/>
      <c r="T94" s="43" t="inlineStr"/>
      <c r="U94" s="43" t="inlineStr"/>
    </row>
    <row r="95">
      <c r="A95" s="43" t="n">
        <v>95</v>
      </c>
      <c r="B95" s="43" t="inlineStr">
        <is>
          <t>94</t>
        </is>
      </c>
      <c r="C95" s="43" t="inlineStr">
        <is>
          <t>FJZP</t>
        </is>
      </c>
      <c r="D95" s="43" t="inlineStr">
        <is>
          <t>Cisco</t>
        </is>
      </c>
      <c r="E95" s="43" t="inlineStr">
        <is>
          <t>MCGA</t>
        </is>
      </c>
      <c r="F95" s="43" t="inlineStr">
        <is>
          <t>034-IOTBU</t>
        </is>
      </c>
      <c r="G95" s="43" t="inlineStr">
        <is>
          <t>CTANJZ05411</t>
        </is>
      </c>
      <c r="H95" s="43" t="inlineStr">
        <is>
          <t>Engineering Qualification Build</t>
        </is>
      </c>
      <c r="I95" s="43" t="inlineStr">
        <is>
          <t>Customer Deviation</t>
        </is>
      </c>
      <c r="J95" s="43" t="inlineStr">
        <is>
          <t>D613013</t>
        </is>
      </c>
      <c r="K95" s="33" t="inlineStr">
        <is>
          <t>D613013Allow FVN to build/rework 2pcs assy 68-102310-03 with demand(build to current version that production built) with the following components on SumatraGQR000098385/AQR004644133## Qualification BuildAffected TAN(s): 68-102310-03Replacement:19-100521-01;DIODES INC;HX2A333003Ref: U35@73-101926-03</t>
        </is>
      </c>
      <c r="L95" s="43" t="inlineStr">
        <is>
          <t>FAI Status</t>
        </is>
      </c>
      <c r="M95" s="43" t="inlineStr">
        <is>
          <t>19-100521-01</t>
        </is>
      </c>
      <c r="N95" s="43" t="inlineStr"/>
      <c r="O95" s="43" t="inlineStr">
        <is>
          <t>2026-10-27</t>
        </is>
      </c>
      <c r="P95" s="33" t="inlineStr">
        <is>
          <t>Engineering Qualification Build (EXTENDABLE 2x);To track an AML qualification build (EXTENDABLE 2x)</t>
        </is>
      </c>
      <c r="Q95" s="43" t="inlineStr">
        <is>
          <t>Place Deviation label on both PCBA and outer chassis</t>
        </is>
      </c>
      <c r="R95" s="43" t="inlineStr">
        <is>
          <t>2026-07-31</t>
        </is>
      </c>
      <c r="S95" s="43" t="inlineStr">
        <is>
          <t>2026-09-04</t>
        </is>
      </c>
      <c r="T95" s="43" t="inlineStr"/>
      <c r="U95" s="43" t="inlineStr"/>
    </row>
    <row r="96">
      <c r="A96" s="43" t="n">
        <v>96</v>
      </c>
      <c r="B96" s="43" t="inlineStr">
        <is>
          <t>95</t>
        </is>
      </c>
      <c r="C96" s="43" t="inlineStr">
        <is>
          <t>FJZP</t>
        </is>
      </c>
      <c r="D96" s="43" t="inlineStr">
        <is>
          <t>Cisco</t>
        </is>
      </c>
      <c r="E96" s="43" t="inlineStr">
        <is>
          <t>MCGA</t>
        </is>
      </c>
      <c r="F96" s="43" t="inlineStr">
        <is>
          <t>018-SRGBU</t>
        </is>
      </c>
      <c r="G96" s="43" t="inlineStr">
        <is>
          <t>CTANJZ05235</t>
        </is>
      </c>
      <c r="H96" s="43" t="inlineStr">
        <is>
          <t>Engineering Qualification Build</t>
        </is>
      </c>
      <c r="I96" s="43" t="inlineStr">
        <is>
          <t>Customer Deviation</t>
        </is>
      </c>
      <c r="J96" s="43" t="inlineStr">
        <is>
          <t>D610818</t>
        </is>
      </c>
      <c r="K96" s="33" t="inlineStr">
        <is>
          <t>D610818 UABU needs to qualify ONSEMI MOC207M  on 73-20988-05 under 15-7230-01 1.FJZ to build 2pcs Cisco products with below MCN samples; 2. All units need to go through normal manufacturing process; 3. Pls hold the shipment until Cisco's shipment approval; 4. Pls keep EPE Harry Cuong Vi(cuvi@cisco.com) posted if any failures during the process. CCN000005473	GQR000041243	AQR003537700  Build Qty: 2 Affected TAN(s): 68-103948-01 Affected Item(s): 73-20988-05 MFR Name: ONSEMI MPN: MOC207M</t>
        </is>
      </c>
      <c r="L96" s="43" t="inlineStr">
        <is>
          <t>Expired</t>
        </is>
      </c>
      <c r="M96" s="43" t="inlineStr">
        <is>
          <t>15-7230-01</t>
        </is>
      </c>
      <c r="N96" s="43" t="inlineStr"/>
      <c r="O96" s="43" t="inlineStr">
        <is>
          <t>2026-08-05</t>
        </is>
      </c>
      <c r="P96" s="33" t="inlineStr">
        <is>
          <t>Engineering Qualification Build (EXTENDABLE 2x);To track an AML qualification build (EXTENDABLE 2x)</t>
        </is>
      </c>
      <c r="Q96" s="43" t="inlineStr">
        <is>
          <t>NA</t>
        </is>
      </c>
      <c r="R96" s="43" t="inlineStr">
        <is>
          <t>2026-05-08</t>
        </is>
      </c>
      <c r="S96" s="43" t="inlineStr">
        <is>
          <t>2026-05-19</t>
        </is>
      </c>
      <c r="T96" s="43" t="inlineStr"/>
      <c r="U96" s="43" t="inlineStr"/>
    </row>
    <row r="97">
      <c r="A97" s="43" t="n">
        <v>97</v>
      </c>
      <c r="B97" s="43" t="inlineStr">
        <is>
          <t>96</t>
        </is>
      </c>
      <c r="C97" s="43" t="inlineStr">
        <is>
          <t>FJZP</t>
        </is>
      </c>
      <c r="D97" s="43" t="inlineStr">
        <is>
          <t>Cisco</t>
        </is>
      </c>
      <c r="E97" s="43" t="inlineStr">
        <is>
          <t>MCGA</t>
        </is>
      </c>
      <c r="F97" s="43" t="inlineStr">
        <is>
          <t>018-SRGBU</t>
        </is>
      </c>
      <c r="G97" s="43" t="inlineStr">
        <is>
          <t>CTANJZ05235</t>
        </is>
      </c>
      <c r="H97" s="43" t="inlineStr">
        <is>
          <t>Engineering Qualification Build</t>
        </is>
      </c>
      <c r="I97" s="43" t="inlineStr">
        <is>
          <t>Customer Deviation</t>
        </is>
      </c>
      <c r="J97" s="43" t="inlineStr">
        <is>
          <t>D610818</t>
        </is>
      </c>
      <c r="K97" s="33" t="inlineStr">
        <is>
          <t>D610818 UABU needs to qualify ONSEMI MOC207M  on 73-20988-05 under 15-7230-01 1.FJZ to build 2pcs Cisco products with below MCN samples; 2. All units need to go through normal manufacturing process; 3. Pls hold the shipment until Cisco's shipment approval; 4. Pls keep EPE Harry Cuong Vi(cuvi@cisco.com) posted if any failures during the process. CCN000005473	GQR000041243	AQR003537700  Build Qty: 2 Affected TAN(s): 68-103948-01 Affected Item(s): 73-20988-05 MFR Name: ONSEMI MPN: MOC207M</t>
        </is>
      </c>
      <c r="L97" s="43" t="inlineStr">
        <is>
          <t>Expired</t>
        </is>
      </c>
      <c r="M97" s="43" t="inlineStr">
        <is>
          <t>73-20988-05</t>
        </is>
      </c>
      <c r="N97" s="43" t="inlineStr"/>
      <c r="O97" s="43" t="inlineStr">
        <is>
          <t>2026-08-05</t>
        </is>
      </c>
      <c r="P97" s="33" t="inlineStr">
        <is>
          <t>Engineering Qualification Build (EXTENDABLE 2x);To track an AML qualification build (EXTENDABLE 2x)</t>
        </is>
      </c>
      <c r="Q97" s="43" t="inlineStr">
        <is>
          <t>NA</t>
        </is>
      </c>
      <c r="R97" s="43" t="inlineStr">
        <is>
          <t>2026-05-08</t>
        </is>
      </c>
      <c r="S97" s="43" t="inlineStr">
        <is>
          <t>2026-05-19</t>
        </is>
      </c>
      <c r="T97" s="43" t="inlineStr"/>
      <c r="U97" s="43" t="inlineStr"/>
    </row>
    <row r="98">
      <c r="A98" s="43" t="n">
        <v>98</v>
      </c>
      <c r="B98" s="43" t="inlineStr">
        <is>
          <t>97</t>
        </is>
      </c>
      <c r="C98" s="43" t="inlineStr">
        <is>
          <t>FJZP</t>
        </is>
      </c>
      <c r="D98" s="43" t="inlineStr">
        <is>
          <t>Cisco</t>
        </is>
      </c>
      <c r="E98" s="43" t="inlineStr">
        <is>
          <t>MCGA</t>
        </is>
      </c>
      <c r="F98" s="43" t="inlineStr">
        <is>
          <t>239-CRBU</t>
        </is>
      </c>
      <c r="G98" s="43" t="inlineStr">
        <is>
          <t>CTANJZ05347</t>
        </is>
      </c>
      <c r="H98" s="43" t="inlineStr">
        <is>
          <t>Engineering Qualification Build</t>
        </is>
      </c>
      <c r="I98" s="43" t="inlineStr">
        <is>
          <t>Customer Deviation</t>
        </is>
      </c>
      <c r="J98" s="43" t="inlineStr">
        <is>
          <t>D611853</t>
        </is>
      </c>
      <c r="K98" s="33" t="inlineStr">
        <is>
          <t>D611853 Need to qualify 10128798-005RLF on 73-102363-05 for Assy Qual Request # : AQR003717732 Which is a Supplier PCN from 10128798-005RLF for PCN TYPE : Site Move on GQR GQR000091231 and AQR AQR003717732</t>
        </is>
      </c>
      <c r="L98" s="43" t="inlineStr">
        <is>
          <t>Expired</t>
        </is>
      </c>
      <c r="M98" s="43" t="inlineStr">
        <is>
          <t>29-101587-01</t>
        </is>
      </c>
      <c r="N98" s="43" t="inlineStr"/>
      <c r="O98" s="43" t="inlineStr">
        <is>
          <t>2026-10-06</t>
        </is>
      </c>
      <c r="P98" s="33" t="inlineStr">
        <is>
          <t>Engineering Qualification Build (EXTENDABLE 2x);To track an AML qualification build (EXTENDABLE 2x)</t>
        </is>
      </c>
      <c r="Q98" s="43" t="inlineStr">
        <is>
          <t>Cookie deviation # on units</t>
        </is>
      </c>
      <c r="R98" s="43" t="inlineStr">
        <is>
          <t>2026-07-10</t>
        </is>
      </c>
      <c r="S98" s="43" t="inlineStr">
        <is>
          <t>2026-07-24</t>
        </is>
      </c>
      <c r="T98" s="43" t="inlineStr"/>
      <c r="U98" s="43" t="inlineStr"/>
    </row>
    <row r="99">
      <c r="A99" s="43" t="n">
        <v>99</v>
      </c>
      <c r="B99" s="43" t="inlineStr">
        <is>
          <t>98</t>
        </is>
      </c>
      <c r="C99" s="43" t="inlineStr">
        <is>
          <t>FJZP</t>
        </is>
      </c>
      <c r="D99" s="43" t="inlineStr">
        <is>
          <t>Cisco</t>
        </is>
      </c>
      <c r="E99" s="43" t="inlineStr">
        <is>
          <t>MCGA</t>
        </is>
      </c>
      <c r="F99" s="43" t="inlineStr">
        <is>
          <t>239-CRBU</t>
        </is>
      </c>
      <c r="G99" s="43" t="inlineStr">
        <is>
          <t>CTANJZ05347</t>
        </is>
      </c>
      <c r="H99" s="43" t="inlineStr">
        <is>
          <t>Engineering Qualification Build</t>
        </is>
      </c>
      <c r="I99" s="43" t="inlineStr">
        <is>
          <t>Customer Deviation</t>
        </is>
      </c>
      <c r="J99" s="43" t="inlineStr">
        <is>
          <t>D611853</t>
        </is>
      </c>
      <c r="K99" s="33" t="inlineStr">
        <is>
          <t>D611853 Need to qualify 10128798-005RLF on 73-102363-05 for Assy Qual Request # : AQR003717732 Which is a Supplier PCN from 10128798-005RLF for PCN TYPE : Site Move on GQR GQR000091231 and AQR AQR003717732</t>
        </is>
      </c>
      <c r="L99" s="43" t="inlineStr">
        <is>
          <t>Expired</t>
        </is>
      </c>
      <c r="M99" s="43" t="inlineStr">
        <is>
          <t>73-102363-05</t>
        </is>
      </c>
      <c r="N99" s="43" t="inlineStr"/>
      <c r="O99" s="43" t="inlineStr">
        <is>
          <t>2026-10-06</t>
        </is>
      </c>
      <c r="P99" s="33" t="inlineStr">
        <is>
          <t>Engineering Qualification Build (EXTENDABLE 2x);To track an AML qualification build (EXTENDABLE 2x)</t>
        </is>
      </c>
      <c r="Q99" s="43" t="inlineStr">
        <is>
          <t>Cookie deviation # on units</t>
        </is>
      </c>
      <c r="R99" s="43" t="inlineStr">
        <is>
          <t>2026-07-10</t>
        </is>
      </c>
      <c r="S99" s="43" t="inlineStr">
        <is>
          <t>2026-07-24</t>
        </is>
      </c>
      <c r="T99" s="43" t="inlineStr"/>
      <c r="U99" s="43" t="inlineStr"/>
    </row>
    <row r="100">
      <c r="A100" s="43" t="n">
        <v>100</v>
      </c>
      <c r="B100" s="43" t="inlineStr">
        <is>
          <t>99</t>
        </is>
      </c>
      <c r="C100" s="43" t="inlineStr">
        <is>
          <t>FJZP</t>
        </is>
      </c>
      <c r="D100" s="43" t="inlineStr">
        <is>
          <t>Cisco</t>
        </is>
      </c>
      <c r="E100" s="43" t="inlineStr">
        <is>
          <t>MCGA</t>
        </is>
      </c>
      <c r="F100" s="43" t="inlineStr">
        <is>
          <t>239-CRBU</t>
        </is>
      </c>
      <c r="G100" s="43" t="inlineStr">
        <is>
          <t>CTANJZ05137</t>
        </is>
      </c>
      <c r="H100" s="43" t="inlineStr">
        <is>
          <t>Engineering Qualification Build</t>
        </is>
      </c>
      <c r="I100" s="43" t="inlineStr">
        <is>
          <t>Customer Deviation</t>
        </is>
      </c>
      <c r="J100" s="43" t="inlineStr">
        <is>
          <t>D609403</t>
        </is>
      </c>
      <c r="K100" s="33" t="inlineStr">
        <is>
          <t>D609403 Need to qualify 800-111487-03 on 68-7781-12 for Assy Qual Request # : AQR003456311 Which is a Supplier PCN from 800-111487-03 for PCN TYPE : Site Move on GQR GQR000079378 and AQR AQR003456311FVN/FOL/FJZ can arrange MFG qual build with latest PCBA or down version</t>
        </is>
      </c>
      <c r="L100" s="43" t="inlineStr">
        <is>
          <t>Expired</t>
        </is>
      </c>
      <c r="M100" s="43" t="inlineStr">
        <is>
          <t>68-7781-12</t>
        </is>
      </c>
      <c r="N100" s="43" t="inlineStr"/>
      <c r="O100" s="43" t="inlineStr">
        <is>
          <t>2026-09-05</t>
        </is>
      </c>
      <c r="P100" s="33" t="inlineStr">
        <is>
          <t>Engineering Qualification Build (EXTENDABLE 2x);To track an AML qualification build (EXTENDABLE 2x)</t>
        </is>
      </c>
      <c r="Q100" s="43" t="inlineStr">
        <is>
          <t>put deviation number on units</t>
        </is>
      </c>
      <c r="R100" s="43" t="inlineStr">
        <is>
          <t>2026-03-10</t>
        </is>
      </c>
      <c r="S100" s="43" t="inlineStr">
        <is>
          <t>2026-03-25</t>
        </is>
      </c>
      <c r="T100" s="43" t="inlineStr"/>
      <c r="U100" s="43" t="inlineStr"/>
    </row>
    <row r="101">
      <c r="A101" s="43" t="n">
        <v>101</v>
      </c>
      <c r="B101" s="43" t="inlineStr">
        <is>
          <t>100</t>
        </is>
      </c>
      <c r="C101" s="43" t="inlineStr">
        <is>
          <t>FJZP</t>
        </is>
      </c>
      <c r="D101" s="43" t="inlineStr">
        <is>
          <t>Cisco</t>
        </is>
      </c>
      <c r="E101" s="43" t="inlineStr">
        <is>
          <t>MCGA</t>
        </is>
      </c>
      <c r="F101" s="43" t="inlineStr">
        <is>
          <t>239-CRBU</t>
        </is>
      </c>
      <c r="G101" s="43" t="inlineStr">
        <is>
          <t>CTANJZ05137</t>
        </is>
      </c>
      <c r="H101" s="43" t="inlineStr">
        <is>
          <t>Engineering Qualification Build</t>
        </is>
      </c>
      <c r="I101" s="43" t="inlineStr">
        <is>
          <t>Customer Deviation</t>
        </is>
      </c>
      <c r="J101" s="43" t="inlineStr">
        <is>
          <t>D609403</t>
        </is>
      </c>
      <c r="K101" s="33" t="inlineStr">
        <is>
          <t>D609403 Need to qualify 800-111487-03 on 68-7781-12 for Assy Qual Request # : AQR003456311 Which is a Supplier PCN from 800-111487-03 for PCN TYPE : Site Move on GQR GQR000079378 and AQR AQR003456311FVN/FOL/FJZ can arrange MFG qual build with latest PCBA or down version</t>
        </is>
      </c>
      <c r="L101" s="43" t="inlineStr">
        <is>
          <t>Expired</t>
        </is>
      </c>
      <c r="M101" s="43" t="inlineStr">
        <is>
          <t>800-111487-03</t>
        </is>
      </c>
      <c r="N101" s="43" t="inlineStr"/>
      <c r="O101" s="43" t="inlineStr">
        <is>
          <t>2026-09-05</t>
        </is>
      </c>
      <c r="P101" s="33" t="inlineStr">
        <is>
          <t>Engineering Qualification Build (EXTENDABLE 2x);To track an AML qualification build (EXTENDABLE 2x)</t>
        </is>
      </c>
      <c r="Q101" s="43" t="inlineStr">
        <is>
          <t>put deviation number on units</t>
        </is>
      </c>
      <c r="R101" s="43" t="inlineStr">
        <is>
          <t>2026-03-10</t>
        </is>
      </c>
      <c r="S101" s="43" t="inlineStr">
        <is>
          <t>2026-03-25</t>
        </is>
      </c>
      <c r="T101" s="43" t="inlineStr"/>
      <c r="U101" s="43" t="inlineStr"/>
    </row>
    <row r="102">
      <c r="A102" s="43" t="n">
        <v>102</v>
      </c>
      <c r="B102" s="43" t="inlineStr">
        <is>
          <t>101</t>
        </is>
      </c>
      <c r="C102" s="43" t="inlineStr">
        <is>
          <t>FJZP</t>
        </is>
      </c>
      <c r="D102" s="43" t="inlineStr">
        <is>
          <t>Cisco</t>
        </is>
      </c>
      <c r="E102" s="43" t="inlineStr">
        <is>
          <t>MCGA</t>
        </is>
      </c>
      <c r="F102" s="43" t="inlineStr">
        <is>
          <t>239-CRBU</t>
        </is>
      </c>
      <c r="G102" s="43" t="inlineStr">
        <is>
          <t>CTANJZ05148</t>
        </is>
      </c>
      <c r="H102" s="43" t="inlineStr">
        <is>
          <t>Engineering Qualification Build</t>
        </is>
      </c>
      <c r="I102" s="43" t="inlineStr">
        <is>
          <t>Customer Deviation</t>
        </is>
      </c>
      <c r="J102" s="43" t="inlineStr">
        <is>
          <t>D610094</t>
        </is>
      </c>
      <c r="K102" s="33" t="inlineStr">
        <is>
          <t>D610094 CRBU-8000-GB Mono - Skew Qualification - LC4; LC5 &amp; LC7 -Q200_Combo SKU 268-7406-xx ( use latest production version and revision ) - LC4 - 3 location ASIC - U1_N0;U1_N1; U1_N268-7184-xx ( use latest production version and revision ) - LC5 - 3 location ASIC - U1_N0;U1_N1; U1_N268-7393-xx ( use latest production version and revision ) - LC7 -  2 location ASIC - U1_N0;U1_N1Build :LC4-  5 qty boardsLC5-  5 qty boardsLC7 - 5 qty boardsPCN #: CPCI-1009CCN #: CCN0000116821. Approve FJZ/FVN to build LC4 using the 01-1311-01 in place of  01-1057-04  on the location U1_N0 ; U1_N1 ; U1_N22. Approve FJZ/FVN to build LC5 using the 01-1311-01 in place of  01-1057-04  on the location U1_N0 ; U1_N1 ; U1_N23. Approve FJZ/FVN to build LC7 using the 01-1311-01 in place of  01-1057-04  on the location U1_N0 ; U1_N13. All units must go through MFG/Production Tests + MCVT4. Record and share thermal data during 2C/4C testing for all the ASICs on the board for all corners and share to EPE for review5. Do not ship the board until approved by EPENote : The part 01-1311-01 will be shipped with the deviation number on the label of the outer box and on the moisture barrier bag.</t>
        </is>
      </c>
      <c r="L102" s="43" t="inlineStr">
        <is>
          <t>Expired</t>
        </is>
      </c>
      <c r="M102" s="43" t="inlineStr">
        <is>
          <t>68-7393-03</t>
        </is>
      </c>
      <c r="N102" s="43" t="inlineStr"/>
      <c r="O102" s="43" t="inlineStr">
        <is>
          <t>2026-06-15</t>
        </is>
      </c>
      <c r="P102" s="33" t="inlineStr">
        <is>
          <t>Engineering Qualification Build (EXTENDABLE 2x)</t>
        </is>
      </c>
      <c r="Q102" s="43" t="inlineStr">
        <is>
          <t>Program the EEPROM Place the deviation label Place the WIP label on visible location and DO NOT SHIP OUT UNTIL APPROVED BY EPE</t>
        </is>
      </c>
      <c r="R102" s="43" t="inlineStr">
        <is>
          <t>2026-03-18</t>
        </is>
      </c>
      <c r="S102" s="43" t="inlineStr">
        <is>
          <t>2026-04-21</t>
        </is>
      </c>
      <c r="T102" s="43" t="inlineStr"/>
      <c r="U102" s="43" t="inlineStr"/>
    </row>
    <row r="103">
      <c r="A103" s="43" t="n">
        <v>103</v>
      </c>
      <c r="B103" s="43" t="inlineStr">
        <is>
          <t>102</t>
        </is>
      </c>
      <c r="C103" s="43" t="inlineStr">
        <is>
          <t>FJZP</t>
        </is>
      </c>
      <c r="D103" s="43" t="inlineStr">
        <is>
          <t>Cisco</t>
        </is>
      </c>
      <c r="E103" s="43" t="inlineStr">
        <is>
          <t>MCGA</t>
        </is>
      </c>
      <c r="F103" s="43" t="inlineStr">
        <is>
          <t>239-CRBU</t>
        </is>
      </c>
      <c r="G103" s="43" t="inlineStr">
        <is>
          <t>CTANJZ05148</t>
        </is>
      </c>
      <c r="H103" s="43" t="inlineStr">
        <is>
          <t>Engineering Qualification Build</t>
        </is>
      </c>
      <c r="I103" s="43" t="inlineStr">
        <is>
          <t>Customer Deviation</t>
        </is>
      </c>
      <c r="J103" s="43" t="inlineStr">
        <is>
          <t>D610094</t>
        </is>
      </c>
      <c r="K103" s="33" t="inlineStr">
        <is>
          <t>D610094 CRBU-8000-GB Mono - Skew Qualification - LC4; LC5 &amp; LC7 -Q200_Combo SKU 268-7406-xx ( use latest production version and revision ) - LC4 - 3 location ASIC - U1_N0;U1_N1; U1_N268-7184-xx ( use latest production version and revision ) - LC5 - 3 location ASIC - U1_N0;U1_N1; U1_N268-7393-xx ( use latest production version and revision ) - LC7 -  2 location ASIC - U1_N0;U1_N1Build :LC4-  5 qty boardsLC5-  5 qty boardsLC7 - 5 qty boardsPCN #: CPCI-1009CCN #: CCN0000116821. Approve FJZ/FVN to build LC4 using the 01-1311-01 in place of  01-1057-04  on the location U1_N0 ; U1_N1 ; U1_N22. Approve FJZ/FVN to build LC5 using the 01-1311-01 in place of  01-1057-04  on the location U1_N0 ; U1_N1 ; U1_N23. Approve FJZ/FVN to build LC7 using the 01-1311-01 in place of  01-1057-04  on the location U1_N0 ; U1_N13. All units must go through MFG/Production Tests + MCVT4. Record and share thermal data during 2C/4C testing for all the ASICs on the board for all corners and share to EPE for review5. Do not ship the board until approved by EPENote : The part 01-1311-01 will be shipped with the deviation number on the label of the outer box and on the moisture barrier bag.</t>
        </is>
      </c>
      <c r="L103" s="43" t="inlineStr">
        <is>
          <t>Expired</t>
        </is>
      </c>
      <c r="M103" s="43" t="inlineStr">
        <is>
          <t>68-7406-09</t>
        </is>
      </c>
      <c r="N103" s="43" t="inlineStr"/>
      <c r="O103" s="43" t="inlineStr">
        <is>
          <t>2026-06-15</t>
        </is>
      </c>
      <c r="P103" s="33" t="inlineStr">
        <is>
          <t>Engineering Qualification Build (EXTENDABLE 2x)</t>
        </is>
      </c>
      <c r="Q103" s="43" t="inlineStr">
        <is>
          <t>Program the EEPROM Place the deviation label Place the WIP label on visible location and DO NOT SHIP OUT UNTIL APPROVED BY EPE</t>
        </is>
      </c>
      <c r="R103" s="43" t="inlineStr">
        <is>
          <t>2026-03-18</t>
        </is>
      </c>
      <c r="S103" s="43" t="inlineStr">
        <is>
          <t>2026-04-21</t>
        </is>
      </c>
      <c r="T103" s="43" t="inlineStr"/>
      <c r="U103" s="43" t="inlineStr"/>
    </row>
    <row r="104">
      <c r="A104" s="43" t="n">
        <v>104</v>
      </c>
      <c r="B104" s="43" t="inlineStr">
        <is>
          <t>103</t>
        </is>
      </c>
      <c r="C104" s="43" t="inlineStr">
        <is>
          <t>FJZP</t>
        </is>
      </c>
      <c r="D104" s="43" t="inlineStr">
        <is>
          <t>Cisco</t>
        </is>
      </c>
      <c r="E104" s="43" t="inlineStr">
        <is>
          <t>MCGA</t>
        </is>
      </c>
      <c r="F104" s="43" t="inlineStr">
        <is>
          <t>239-CRBU</t>
        </is>
      </c>
      <c r="G104" s="43" t="inlineStr">
        <is>
          <t>CTANJZ05149</t>
        </is>
      </c>
      <c r="H104" s="43" t="inlineStr">
        <is>
          <t>Engineering Qualification Build</t>
        </is>
      </c>
      <c r="I104" s="43" t="inlineStr">
        <is>
          <t>Customer Deviation</t>
        </is>
      </c>
      <c r="J104" s="43" t="inlineStr">
        <is>
          <t>D610093</t>
        </is>
      </c>
      <c r="K104" s="33" t="inlineStr">
        <is>
          <t>D610093 CRBU-8000-GB Mono - Skew Qualification - LS8 &amp; LS4 - Q200L - GB Mono - SKU 368-7195-xx ( use latest production version and revision ) - LS868-7261-xx ( use latest production version and revision ) - LS4Build :LS8- 8qty boardsLS4-8qty boardsPCN #: CPCI-1009CCN #: CCN0000116821. Approve FJZ/FVN to build LS8 using the 08-100233-01 in place of 08-1057-03  on the location U1_N0 &amp; U1_N12. Approve FJZ/FVN to build LS4 using the 08-100233-01 in place of 08-1057-03  on the location U1_N03. All units must go through MFG/Production Tests + MCVT4. Record and share thermal data during 2C/4C testing for all the ASICs on the board for all corners and share to EPE for review5. Do not ship the board until approved by EPENote : The part 08-100233-01 will be shipped with the deviation number on the label of the outer box and on the moisture barrier bag.</t>
        </is>
      </c>
      <c r="L104" s="43" t="inlineStr">
        <is>
          <t>Expired</t>
        </is>
      </c>
      <c r="M104" s="43" t="inlineStr">
        <is>
          <t>68-7195-09</t>
        </is>
      </c>
      <c r="N104" s="43" t="inlineStr"/>
      <c r="O104" s="43" t="inlineStr">
        <is>
          <t>2026-06-15</t>
        </is>
      </c>
      <c r="P104" s="33" t="inlineStr">
        <is>
          <t>Engineering Qualification Build (EXTENDABLE 2x)</t>
        </is>
      </c>
      <c r="Q104" s="43" t="inlineStr">
        <is>
          <t>Program the EEPROM  Place the deviation label  Place the WIP label on visible location and DO NOT SHIP OUT UNTIL APPROVED BY EPE</t>
        </is>
      </c>
      <c r="R104" s="43" t="inlineStr">
        <is>
          <t>2026-03-18</t>
        </is>
      </c>
      <c r="S104" s="43" t="inlineStr">
        <is>
          <t>2026-04-18</t>
        </is>
      </c>
      <c r="T104" s="43" t="inlineStr"/>
      <c r="U104" s="43" t="inlineStr"/>
    </row>
    <row r="105">
      <c r="A105" s="43" t="n">
        <v>105</v>
      </c>
      <c r="B105" s="43" t="inlineStr">
        <is>
          <t>104</t>
        </is>
      </c>
      <c r="C105" s="43" t="inlineStr">
        <is>
          <t>FJZP</t>
        </is>
      </c>
      <c r="D105" s="43" t="inlineStr">
        <is>
          <t>Cisco</t>
        </is>
      </c>
      <c r="E105" s="43" t="inlineStr">
        <is>
          <t>MCGA</t>
        </is>
      </c>
      <c r="F105" s="43" t="inlineStr">
        <is>
          <t>239-CRBU</t>
        </is>
      </c>
      <c r="G105" s="43" t="inlineStr">
        <is>
          <t>CTANJZ05149</t>
        </is>
      </c>
      <c r="H105" s="43" t="inlineStr">
        <is>
          <t>Engineering Qualification Build</t>
        </is>
      </c>
      <c r="I105" s="43" t="inlineStr">
        <is>
          <t>Customer Deviation</t>
        </is>
      </c>
      <c r="J105" s="43" t="inlineStr">
        <is>
          <t>D610093</t>
        </is>
      </c>
      <c r="K105" s="33" t="inlineStr">
        <is>
          <t>D610093 CRBU-8000-GB Mono - Skew Qualification - LS8 &amp; LS4 - Q200L - GB Mono - SKU 368-7195-xx ( use latest production version and revision ) - LS868-7261-xx ( use latest production version and revision ) - LS4Build :LS8- 8qty boardsLS4-8qty boardsPCN #: CPCI-1009CCN #: CCN0000116821. Approve FJZ/FVN to build LS8 using the 08-100233-01 in place of 08-1057-03  on the location U1_N0 &amp; U1_N12. Approve FJZ/FVN to build LS4 using the 08-100233-01 in place of 08-1057-03  on the location U1_N03. All units must go through MFG/Production Tests + MCVT4. Record and share thermal data during 2C/4C testing for all the ASICs on the board for all corners and share to EPE for review5. Do not ship the board until approved by EPENote : The part 08-100233-01 will be shipped with the deviation number on the label of the outer box and on the moisture barrier bag.</t>
        </is>
      </c>
      <c r="L105" s="43" t="inlineStr">
        <is>
          <t>Expired</t>
        </is>
      </c>
      <c r="M105" s="43" t="inlineStr">
        <is>
          <t>68-7261-07</t>
        </is>
      </c>
      <c r="N105" s="43" t="inlineStr"/>
      <c r="O105" s="43" t="inlineStr">
        <is>
          <t>2026-06-15</t>
        </is>
      </c>
      <c r="P105" s="33" t="inlineStr">
        <is>
          <t>Engineering Qualification Build (EXTENDABLE 2x)</t>
        </is>
      </c>
      <c r="Q105" s="43" t="inlineStr">
        <is>
          <t>Program the EEPROM  Place the deviation label  Place the WIP label on visible location and DO NOT SHIP OUT UNTIL APPROVED BY EPE</t>
        </is>
      </c>
      <c r="R105" s="43" t="inlineStr">
        <is>
          <t>2026-03-18</t>
        </is>
      </c>
      <c r="S105" s="43" t="inlineStr">
        <is>
          <t>2026-04-18</t>
        </is>
      </c>
      <c r="T105" s="43" t="inlineStr"/>
      <c r="U105" s="43" t="inlineStr"/>
    </row>
    <row r="106">
      <c r="A106" s="43" t="n">
        <v>106</v>
      </c>
      <c r="B106" s="43" t="inlineStr">
        <is>
          <t>105</t>
        </is>
      </c>
      <c r="C106" s="43" t="inlineStr">
        <is>
          <t>FJZP</t>
        </is>
      </c>
      <c r="D106" s="43" t="inlineStr">
        <is>
          <t>Cisco</t>
        </is>
      </c>
      <c r="E106" s="43" t="inlineStr">
        <is>
          <t>MCGA</t>
        </is>
      </c>
      <c r="F106" s="43" t="inlineStr">
        <is>
          <t>037-STBU</t>
        </is>
      </c>
      <c r="G106" s="43" t="inlineStr">
        <is>
          <t>CTANJZ04604</t>
        </is>
      </c>
      <c r="H106" s="43" t="inlineStr">
        <is>
          <t>Engineering Qualification Build</t>
        </is>
      </c>
      <c r="I106" s="43" t="inlineStr">
        <is>
          <t>Customer Deviation</t>
        </is>
      </c>
      <c r="J106" s="43" t="inlineStr">
        <is>
          <t>D603402</t>
        </is>
      </c>
      <c r="K106" s="33" t="inlineStr">
        <is>
          <t>D603402 Warwick (Extension of dev D597333): Risk buy &amp; use authorization for DIMM socket - 26-100401-01</t>
        </is>
      </c>
      <c r="L106" s="43" t="inlineStr">
        <is>
          <t>Expired</t>
        </is>
      </c>
      <c r="M106" s="43" t="inlineStr">
        <is>
          <t>17-101598-10</t>
        </is>
      </c>
      <c r="N106" s="43" t="inlineStr"/>
      <c r="O106" s="43" t="inlineStr">
        <is>
          <t>2026-02-05</t>
        </is>
      </c>
      <c r="P106" s="33" t="inlineStr">
        <is>
          <t>Engineering Qualification Build (EXTENDABLE 2x)</t>
        </is>
      </c>
      <c r="Q106" s="43" t="inlineStr"/>
      <c r="R106" s="43" t="inlineStr">
        <is>
          <t>2025-05-13</t>
        </is>
      </c>
      <c r="S106" s="43" t="inlineStr">
        <is>
          <t>2025-05-28</t>
        </is>
      </c>
      <c r="T106" s="43" t="inlineStr"/>
      <c r="U106" s="43" t="inlineStr"/>
    </row>
    <row r="107">
      <c r="A107" s="43" t="n">
        <v>107</v>
      </c>
      <c r="B107" s="43" t="inlineStr">
        <is>
          <t>106</t>
        </is>
      </c>
      <c r="C107" s="43" t="inlineStr">
        <is>
          <t>FJZP</t>
        </is>
      </c>
      <c r="D107" s="43" t="inlineStr">
        <is>
          <t>Cisco</t>
        </is>
      </c>
      <c r="E107" s="43" t="inlineStr">
        <is>
          <t>MCGA</t>
        </is>
      </c>
      <c r="F107" s="43" t="inlineStr">
        <is>
          <t>037-STBU</t>
        </is>
      </c>
      <c r="G107" s="43" t="inlineStr">
        <is>
          <t>CTANJZ04604</t>
        </is>
      </c>
      <c r="H107" s="43" t="inlineStr">
        <is>
          <t>Engineering Qualification Build</t>
        </is>
      </c>
      <c r="I107" s="43" t="inlineStr">
        <is>
          <t>Customer Deviation</t>
        </is>
      </c>
      <c r="J107" s="43" t="inlineStr">
        <is>
          <t>D603402</t>
        </is>
      </c>
      <c r="K107" s="33" t="inlineStr">
        <is>
          <t>D603402 Warwick (Extension of dev D597333): Risk buy &amp; use authorization for DIMM socket - 26-100401-01</t>
        </is>
      </c>
      <c r="L107" s="43" t="inlineStr">
        <is>
          <t>Expired</t>
        </is>
      </c>
      <c r="M107" s="43" t="inlineStr">
        <is>
          <t>17-102457-07</t>
        </is>
      </c>
      <c r="N107" s="43" t="inlineStr"/>
      <c r="O107" s="43" t="inlineStr">
        <is>
          <t>2026-02-05</t>
        </is>
      </c>
      <c r="P107" s="33" t="inlineStr">
        <is>
          <t>Engineering Qualification Build (EXTENDABLE 2x)</t>
        </is>
      </c>
      <c r="Q107" s="43" t="inlineStr"/>
      <c r="R107" s="43" t="inlineStr">
        <is>
          <t>2025-05-13</t>
        </is>
      </c>
      <c r="S107" s="43" t="inlineStr">
        <is>
          <t>2025-05-28</t>
        </is>
      </c>
      <c r="T107" s="43" t="inlineStr"/>
      <c r="U107" s="43" t="inlineStr"/>
    </row>
    <row r="108">
      <c r="A108" s="43" t="n">
        <v>108</v>
      </c>
      <c r="B108" s="43" t="inlineStr">
        <is>
          <t>107</t>
        </is>
      </c>
      <c r="C108" s="43" t="inlineStr">
        <is>
          <t>FJZP</t>
        </is>
      </c>
      <c r="D108" s="43" t="inlineStr">
        <is>
          <t>Cisco</t>
        </is>
      </c>
      <c r="E108" s="43" t="inlineStr">
        <is>
          <t>MCGA</t>
        </is>
      </c>
      <c r="F108" s="43" t="inlineStr">
        <is>
          <t>037-STBU</t>
        </is>
      </c>
      <c r="G108" s="43" t="inlineStr">
        <is>
          <t>CTANJZ04604</t>
        </is>
      </c>
      <c r="H108" s="43" t="inlineStr">
        <is>
          <t>Engineering Qualification Build</t>
        </is>
      </c>
      <c r="I108" s="43" t="inlineStr">
        <is>
          <t>Customer Deviation</t>
        </is>
      </c>
      <c r="J108" s="43" t="inlineStr">
        <is>
          <t>D603402</t>
        </is>
      </c>
      <c r="K108" s="33" t="inlineStr">
        <is>
          <t>D603402 Warwick (Extension of dev D597333): Risk buy &amp; use authorization for DIMM socket - 26-100401-01</t>
        </is>
      </c>
      <c r="L108" s="43" t="inlineStr">
        <is>
          <t>Expired</t>
        </is>
      </c>
      <c r="M108" s="43" t="inlineStr">
        <is>
          <t>17-102460-06</t>
        </is>
      </c>
      <c r="N108" s="43" t="inlineStr"/>
      <c r="O108" s="43" t="inlineStr">
        <is>
          <t>2026-02-05</t>
        </is>
      </c>
      <c r="P108" s="33" t="inlineStr">
        <is>
          <t>Engineering Qualification Build (EXTENDABLE 2x)</t>
        </is>
      </c>
      <c r="Q108" s="43" t="inlineStr"/>
      <c r="R108" s="43" t="inlineStr">
        <is>
          <t>2025-05-13</t>
        </is>
      </c>
      <c r="S108" s="43" t="inlineStr">
        <is>
          <t>2025-05-28</t>
        </is>
      </c>
      <c r="T108" s="43" t="inlineStr"/>
      <c r="U108" s="43" t="inlineStr"/>
    </row>
    <row r="109">
      <c r="A109" s="43" t="n">
        <v>109</v>
      </c>
      <c r="B109" s="43" t="inlineStr">
        <is>
          <t>108</t>
        </is>
      </c>
      <c r="C109" s="43" t="inlineStr">
        <is>
          <t>FJZP</t>
        </is>
      </c>
      <c r="D109" s="43" t="inlineStr">
        <is>
          <t>Cisco</t>
        </is>
      </c>
      <c r="E109" s="43" t="inlineStr">
        <is>
          <t>MCGA</t>
        </is>
      </c>
      <c r="F109" s="43" t="inlineStr">
        <is>
          <t>037-STBU</t>
        </is>
      </c>
      <c r="G109" s="43" t="inlineStr">
        <is>
          <t>CTANJZ04604</t>
        </is>
      </c>
      <c r="H109" s="43" t="inlineStr">
        <is>
          <t>Engineering Qualification Build</t>
        </is>
      </c>
      <c r="I109" s="43" t="inlineStr">
        <is>
          <t>Customer Deviation</t>
        </is>
      </c>
      <c r="J109" s="43" t="inlineStr">
        <is>
          <t>D603402</t>
        </is>
      </c>
      <c r="K109" s="33" t="inlineStr">
        <is>
          <t>D603402 Warwick (Extension of dev D597333): Risk buy &amp; use authorization for DIMM socket - 26-100401-01</t>
        </is>
      </c>
      <c r="L109" s="43" t="inlineStr">
        <is>
          <t>Expired</t>
        </is>
      </c>
      <c r="M109" s="43" t="inlineStr">
        <is>
          <t>17-102461-06</t>
        </is>
      </c>
      <c r="N109" s="43" t="inlineStr"/>
      <c r="O109" s="43" t="inlineStr">
        <is>
          <t>2026-02-05</t>
        </is>
      </c>
      <c r="P109" s="33" t="inlineStr">
        <is>
          <t>Engineering Qualification Build (EXTENDABLE 2x)</t>
        </is>
      </c>
      <c r="Q109" s="43" t="inlineStr"/>
      <c r="R109" s="43" t="inlineStr">
        <is>
          <t>2025-05-13</t>
        </is>
      </c>
      <c r="S109" s="43" t="inlineStr">
        <is>
          <t>2025-05-28</t>
        </is>
      </c>
      <c r="T109" s="43" t="inlineStr"/>
      <c r="U109" s="43" t="inlineStr"/>
    </row>
    <row r="110">
      <c r="A110" s="43" t="n">
        <v>110</v>
      </c>
      <c r="B110" s="43" t="inlineStr">
        <is>
          <t>109</t>
        </is>
      </c>
      <c r="C110" s="43" t="inlineStr">
        <is>
          <t>FJZP</t>
        </is>
      </c>
      <c r="D110" s="43" t="inlineStr">
        <is>
          <t>Cisco</t>
        </is>
      </c>
      <c r="E110" s="43" t="inlineStr">
        <is>
          <t>MCGA</t>
        </is>
      </c>
      <c r="F110" s="43" t="inlineStr">
        <is>
          <t>037-STBU</t>
        </is>
      </c>
      <c r="G110" s="43" t="inlineStr">
        <is>
          <t>CTANJZ04604</t>
        </is>
      </c>
      <c r="H110" s="43" t="inlineStr">
        <is>
          <t>Engineering Qualification Build</t>
        </is>
      </c>
      <c r="I110" s="43" t="inlineStr">
        <is>
          <t>Customer Deviation</t>
        </is>
      </c>
      <c r="J110" s="43" t="inlineStr">
        <is>
          <t>D603402</t>
        </is>
      </c>
      <c r="K110" s="33" t="inlineStr">
        <is>
          <t>D603402 Warwick (Extension of dev D597333): Risk buy &amp; use authorization for DIMM socket - 26-100401-01</t>
        </is>
      </c>
      <c r="L110" s="43" t="inlineStr">
        <is>
          <t>Expired</t>
        </is>
      </c>
      <c r="M110" s="43" t="inlineStr">
        <is>
          <t>26-100401-01</t>
        </is>
      </c>
      <c r="N110" s="43" t="inlineStr"/>
      <c r="O110" s="43" t="inlineStr">
        <is>
          <t>2026-02-05</t>
        </is>
      </c>
      <c r="P110" s="33" t="inlineStr">
        <is>
          <t>Engineering Qualification Build (EXTENDABLE 2x)</t>
        </is>
      </c>
      <c r="Q110" s="43" t="inlineStr"/>
      <c r="R110" s="43" t="inlineStr">
        <is>
          <t>2025-05-13</t>
        </is>
      </c>
      <c r="S110" s="43" t="inlineStr">
        <is>
          <t>2025-05-28</t>
        </is>
      </c>
      <c r="T110" s="43" t="inlineStr"/>
      <c r="U110" s="43" t="inlineStr"/>
    </row>
    <row r="111">
      <c r="A111" s="43" t="n">
        <v>111</v>
      </c>
      <c r="B111" s="43" t="inlineStr">
        <is>
          <t>110</t>
        </is>
      </c>
      <c r="C111" s="43" t="inlineStr">
        <is>
          <t>FJZP</t>
        </is>
      </c>
      <c r="D111" s="43" t="inlineStr">
        <is>
          <t>Cisco</t>
        </is>
      </c>
      <c r="E111" s="43" t="inlineStr">
        <is>
          <t>MCGA</t>
        </is>
      </c>
      <c r="F111" s="43" t="inlineStr">
        <is>
          <t>037-STBU</t>
        </is>
      </c>
      <c r="G111" s="43" t="inlineStr">
        <is>
          <t>CTANJZ04604</t>
        </is>
      </c>
      <c r="H111" s="43" t="inlineStr">
        <is>
          <t>Engineering Qualification Build</t>
        </is>
      </c>
      <c r="I111" s="43" t="inlineStr">
        <is>
          <t>Customer Deviation</t>
        </is>
      </c>
      <c r="J111" s="43" t="inlineStr">
        <is>
          <t>D603402</t>
        </is>
      </c>
      <c r="K111" s="33" t="inlineStr">
        <is>
          <t>D603402 Warwick (Extension of dev D597333): Risk buy &amp; use authorization for DIMM socket - 26-100401-01</t>
        </is>
      </c>
      <c r="L111" s="43" t="inlineStr">
        <is>
          <t>Expired</t>
        </is>
      </c>
      <c r="M111" s="43" t="inlineStr">
        <is>
          <t>73-102433-04</t>
        </is>
      </c>
      <c r="N111" s="43" t="inlineStr"/>
      <c r="O111" s="43" t="inlineStr">
        <is>
          <t>2026-02-05</t>
        </is>
      </c>
      <c r="P111" s="33" t="inlineStr">
        <is>
          <t>Engineering Qualification Build (EXTENDABLE 2x)</t>
        </is>
      </c>
      <c r="Q111" s="43" t="inlineStr"/>
      <c r="R111" s="43" t="inlineStr">
        <is>
          <t>2025-05-13</t>
        </is>
      </c>
      <c r="S111" s="43" t="inlineStr">
        <is>
          <t>2025-05-28</t>
        </is>
      </c>
      <c r="T111" s="43" t="inlineStr"/>
      <c r="U111" s="43" t="inlineStr"/>
    </row>
    <row r="112">
      <c r="A112" s="43" t="n">
        <v>112</v>
      </c>
      <c r="B112" s="43" t="inlineStr">
        <is>
          <t>111</t>
        </is>
      </c>
      <c r="C112" s="43" t="inlineStr">
        <is>
          <t>FJZP</t>
        </is>
      </c>
      <c r="D112" s="43" t="inlineStr">
        <is>
          <t>Cisco</t>
        </is>
      </c>
      <c r="E112" s="43" t="inlineStr">
        <is>
          <t>MCGA</t>
        </is>
      </c>
      <c r="F112" s="43" t="inlineStr">
        <is>
          <t>037-STBU</t>
        </is>
      </c>
      <c r="G112" s="43" t="inlineStr">
        <is>
          <t>CTANJZ04604</t>
        </is>
      </c>
      <c r="H112" s="43" t="inlineStr">
        <is>
          <t>Engineering Qualification Build</t>
        </is>
      </c>
      <c r="I112" s="43" t="inlineStr">
        <is>
          <t>Customer Deviation</t>
        </is>
      </c>
      <c r="J112" s="43" t="inlineStr">
        <is>
          <t>D603402</t>
        </is>
      </c>
      <c r="K112" s="33" t="inlineStr">
        <is>
          <t>D603402 Warwick (Extension of dev D597333): Risk buy &amp; use authorization for DIMM socket - 26-100401-01</t>
        </is>
      </c>
      <c r="L112" s="43" t="inlineStr">
        <is>
          <t>Expired</t>
        </is>
      </c>
      <c r="M112" s="43" t="inlineStr">
        <is>
          <t>73-102434-04</t>
        </is>
      </c>
      <c r="N112" s="43" t="inlineStr"/>
      <c r="O112" s="43" t="inlineStr">
        <is>
          <t>2026-02-05</t>
        </is>
      </c>
      <c r="P112" s="33" t="inlineStr">
        <is>
          <t>Engineering Qualification Build (EXTENDABLE 2x)</t>
        </is>
      </c>
      <c r="Q112" s="43" t="inlineStr"/>
      <c r="R112" s="43" t="inlineStr">
        <is>
          <t>2025-05-13</t>
        </is>
      </c>
      <c r="S112" s="43" t="inlineStr">
        <is>
          <t>2025-05-28</t>
        </is>
      </c>
      <c r="T112" s="43" t="inlineStr"/>
      <c r="U112" s="43" t="inlineStr"/>
    </row>
    <row r="113">
      <c r="A113" s="43" t="n">
        <v>113</v>
      </c>
      <c r="B113" s="43" t="inlineStr">
        <is>
          <t>112</t>
        </is>
      </c>
      <c r="C113" s="43" t="inlineStr">
        <is>
          <t>FJZP</t>
        </is>
      </c>
      <c r="D113" s="43" t="inlineStr">
        <is>
          <t>Cisco</t>
        </is>
      </c>
      <c r="E113" s="43" t="inlineStr">
        <is>
          <t>MCGA</t>
        </is>
      </c>
      <c r="F113" s="43" t="inlineStr">
        <is>
          <t>037-STBU</t>
        </is>
      </c>
      <c r="G113" s="43" t="inlineStr">
        <is>
          <t>CTANJZ04604</t>
        </is>
      </c>
      <c r="H113" s="43" t="inlineStr">
        <is>
          <t>Engineering Qualification Build</t>
        </is>
      </c>
      <c r="I113" s="43" t="inlineStr">
        <is>
          <t>Customer Deviation</t>
        </is>
      </c>
      <c r="J113" s="43" t="inlineStr">
        <is>
          <t>D603402</t>
        </is>
      </c>
      <c r="K113" s="33" t="inlineStr">
        <is>
          <t>D603402 Warwick (Extension of dev D597333): Risk buy &amp; use authorization for DIMM socket - 26-100401-01</t>
        </is>
      </c>
      <c r="L113" s="43" t="inlineStr">
        <is>
          <t>Expired</t>
        </is>
      </c>
      <c r="M113" s="43" t="inlineStr">
        <is>
          <t>73-102435-04</t>
        </is>
      </c>
      <c r="N113" s="43" t="inlineStr"/>
      <c r="O113" s="43" t="inlineStr">
        <is>
          <t>2026-02-05</t>
        </is>
      </c>
      <c r="P113" s="33" t="inlineStr">
        <is>
          <t>Engineering Qualification Build (EXTENDABLE 2x)</t>
        </is>
      </c>
      <c r="Q113" s="43" t="inlineStr"/>
      <c r="R113" s="43" t="inlineStr">
        <is>
          <t>2025-05-13</t>
        </is>
      </c>
      <c r="S113" s="43" t="inlineStr">
        <is>
          <t>2025-05-28</t>
        </is>
      </c>
      <c r="T113" s="43" t="inlineStr"/>
      <c r="U113" s="43" t="inlineStr"/>
    </row>
    <row r="114">
      <c r="A114" s="43" t="n">
        <v>114</v>
      </c>
      <c r="B114" s="43" t="inlineStr">
        <is>
          <t>113</t>
        </is>
      </c>
      <c r="C114" s="43" t="inlineStr">
        <is>
          <t>FJZP</t>
        </is>
      </c>
      <c r="D114" s="43" t="inlineStr">
        <is>
          <t>Cisco</t>
        </is>
      </c>
      <c r="E114" s="43" t="inlineStr">
        <is>
          <t>MCGA</t>
        </is>
      </c>
      <c r="F114" s="43" t="inlineStr">
        <is>
          <t>239-CRBU</t>
        </is>
      </c>
      <c r="G114" s="43" t="inlineStr">
        <is>
          <t>CTANJZ05333</t>
        </is>
      </c>
      <c r="H114" s="43" t="inlineStr">
        <is>
          <t>New Release</t>
        </is>
      </c>
      <c r="I114" s="43" t="inlineStr">
        <is>
          <t>Customer Deviation</t>
        </is>
      </c>
      <c r="J114" s="43" t="inlineStr">
        <is>
          <t>D611891</t>
        </is>
      </c>
      <c r="K114" s="33" t="inlineStr">
        <is>
          <t>D611891 Need to qualify JP30150011 on 73-20922-04 for Assy Qual Request # : AQR003727879 Which is a Supplier PCN from JP30150011 for PCN TYPE : Site Move on GQR GQR000091465 and AQR AQR003727879</t>
        </is>
      </c>
      <c r="L114" s="43" t="inlineStr">
        <is>
          <t>Expired</t>
        </is>
      </c>
      <c r="M114" s="43" t="inlineStr">
        <is>
          <t>73-20922-04</t>
        </is>
      </c>
      <c r="N114" s="43" t="inlineStr"/>
      <c r="O114" s="43" t="inlineStr">
        <is>
          <t>2026-09-28</t>
        </is>
      </c>
      <c r="P114" s="33" t="inlineStr">
        <is>
          <t>Engineering Qualification Build (EXTENDABLE 2x);To track an AML qualification build (EXTENDABLE 2x)</t>
        </is>
      </c>
      <c r="Q114" s="43" t="inlineStr">
        <is>
          <t>Cookie deviation # on units</t>
        </is>
      </c>
      <c r="R114" s="43" t="inlineStr">
        <is>
          <t>2026-07-02</t>
        </is>
      </c>
      <c r="S114" s="43" t="inlineStr"/>
      <c r="T114" s="43" t="inlineStr"/>
      <c r="U114" s="43" t="inlineStr"/>
    </row>
    <row r="115">
      <c r="A115" s="43" t="n">
        <v>115</v>
      </c>
      <c r="B115" s="43" t="inlineStr">
        <is>
          <t>114</t>
        </is>
      </c>
      <c r="C115" s="43" t="inlineStr">
        <is>
          <t>FJZP</t>
        </is>
      </c>
      <c r="D115" s="43" t="inlineStr">
        <is>
          <t>Cisco</t>
        </is>
      </c>
      <c r="E115" s="43" t="inlineStr">
        <is>
          <t>MCGA</t>
        </is>
      </c>
      <c r="F115" s="43" t="inlineStr">
        <is>
          <t>239-CRBU</t>
        </is>
      </c>
      <c r="G115" s="43" t="inlineStr">
        <is>
          <t>CTANJZ05390</t>
        </is>
      </c>
      <c r="H115" s="43" t="inlineStr">
        <is>
          <t>Engineering Qualification Build</t>
        </is>
      </c>
      <c r="I115" s="43" t="inlineStr">
        <is>
          <t>Customer Deviation</t>
        </is>
      </c>
      <c r="J115" s="43" t="inlineStr">
        <is>
          <t>D611890</t>
        </is>
      </c>
      <c r="K115" s="33" t="inlineStr">
        <is>
          <t>D611890 Need to qualify JP700 50031 on 73-20922-04 for Assy Qual Request # : AQR003727944 Which is a Supplier PCN from JP700 50031 for PCN TYPE : Site Move on GQR GQR000091463 and AQR AQR003727944</t>
        </is>
      </c>
      <c r="L115" s="43" t="inlineStr">
        <is>
          <t>Expired</t>
        </is>
      </c>
      <c r="M115" s="43" t="inlineStr">
        <is>
          <t>29-105613-01</t>
        </is>
      </c>
      <c r="N115" s="43" t="inlineStr"/>
      <c r="O115" s="43" t="inlineStr">
        <is>
          <t>2026-10-11</t>
        </is>
      </c>
      <c r="P115" s="33" t="inlineStr">
        <is>
          <t>Engineering Qualification Build (EXTENDABLE 2x);To track an AML qualification build (EXTENDABLE 2x)</t>
        </is>
      </c>
      <c r="Q115" s="43" t="inlineStr">
        <is>
          <t>Cookie Deviation # on units</t>
        </is>
      </c>
      <c r="R115" s="43" t="inlineStr">
        <is>
          <t>2026-07-15</t>
        </is>
      </c>
      <c r="S115" s="43" t="inlineStr">
        <is>
          <t>2026-08-08</t>
        </is>
      </c>
      <c r="T115" s="43" t="inlineStr"/>
      <c r="U115" s="43" t="inlineStr"/>
    </row>
    <row r="116">
      <c r="A116" s="43" t="n">
        <v>116</v>
      </c>
      <c r="B116" s="43" t="inlineStr">
        <is>
          <t>115</t>
        </is>
      </c>
      <c r="C116" s="43" t="inlineStr">
        <is>
          <t>FJZP</t>
        </is>
      </c>
      <c r="D116" s="43" t="inlineStr">
        <is>
          <t>Cisco</t>
        </is>
      </c>
      <c r="E116" s="43" t="inlineStr">
        <is>
          <t>MCGA</t>
        </is>
      </c>
      <c r="F116" s="43" t="inlineStr">
        <is>
          <t>018-SRGBU</t>
        </is>
      </c>
      <c r="G116" s="43" t="inlineStr">
        <is>
          <t>CTANJZ05536</t>
        </is>
      </c>
      <c r="H116" s="43" t="inlineStr">
        <is>
          <t>New Release</t>
        </is>
      </c>
      <c r="I116" s="43" t="inlineStr">
        <is>
          <t>Customer Deviation</t>
        </is>
      </c>
      <c r="J116" s="43" t="inlineStr">
        <is>
          <t>D614239</t>
        </is>
      </c>
      <c r="K116" s="33" t="inlineStr">
        <is>
          <t>D614239 Need to qualify BSZ100N03MS G on 73-20198-10</t>
        </is>
      </c>
      <c r="L116" s="43" t="inlineStr">
        <is>
          <t>Pending</t>
        </is>
      </c>
      <c r="M116" s="43" t="inlineStr">
        <is>
          <t>73-20198-10</t>
        </is>
      </c>
      <c r="N116" s="43" t="inlineStr"/>
      <c r="O116" s="43" t="inlineStr">
        <is>
          <t>2027-01-11</t>
        </is>
      </c>
      <c r="P116" s="33" t="inlineStr">
        <is>
          <t>Engineering Qualification Build (EXTENDABLE 2x);To track an AML qualification build (EXTENDABLE 2x)</t>
        </is>
      </c>
      <c r="Q116" s="43" t="inlineStr">
        <is>
          <t>NA</t>
        </is>
      </c>
      <c r="R116" s="43" t="inlineStr">
        <is>
          <t>2026-10-14</t>
        </is>
      </c>
      <c r="S116" s="43" t="inlineStr"/>
      <c r="T116" s="43" t="inlineStr"/>
      <c r="U116" s="43" t="inlineStr"/>
    </row>
    <row r="117">
      <c r="A117" s="43" t="n">
        <v>117</v>
      </c>
      <c r="B117" s="43" t="inlineStr">
        <is>
          <t>116</t>
        </is>
      </c>
      <c r="C117" s="43" t="inlineStr">
        <is>
          <t>FJZP</t>
        </is>
      </c>
      <c r="D117" s="43" t="inlineStr">
        <is>
          <t>Cisco</t>
        </is>
      </c>
      <c r="E117" s="43" t="inlineStr">
        <is>
          <t>MCGA</t>
        </is>
      </c>
      <c r="F117" s="43" t="inlineStr">
        <is>
          <t>035-CVEBU</t>
        </is>
      </c>
      <c r="G117" s="43" t="inlineStr">
        <is>
          <t>CTANJZ05203</t>
        </is>
      </c>
      <c r="H117" s="43" t="inlineStr">
        <is>
          <t>New Release</t>
        </is>
      </c>
      <c r="I117" s="43" t="inlineStr">
        <is>
          <t>Customer Deviation</t>
        </is>
      </c>
      <c r="J117" s="43" t="inlineStr">
        <is>
          <t>D610694</t>
        </is>
      </c>
      <c r="K117" s="33" t="inlineStr">
        <is>
          <t>D610694 CVEBU; Nixie. 2nd source qualification for PCBs for NDAA compliance. FOXCONN JUAREZ shall build and test up to TAN level 68-105050-01; 68-105051-01or similar  PCB            -                MPN 28-102088-05 - 28-102088-05_S606_M202 (ZHUHAI FOUNDER TH)   Control builds for Nixie PCB. ORT is mandatory to be used for this qualification.  Note: Please provide build schedule and follow up FJZ tracker details.  Note: MOQ quantities will be negotiated with supplier; PO placed by FJZ.  Note: Build all boards into units.  Note: After successful build; and Cisco approval; the units can be shipped to customers  Contact Cisco: Jose Barraza and Jarle Aasland Contact FJZ: Cristina Cano</t>
        </is>
      </c>
      <c r="L117" s="43" t="inlineStr">
        <is>
          <t>Expired</t>
        </is>
      </c>
      <c r="M117" s="43" t="inlineStr">
        <is>
          <t>28-102088-05</t>
        </is>
      </c>
      <c r="N117" s="43" t="inlineStr"/>
      <c r="O117" s="43" t="inlineStr">
        <is>
          <t>2026-07-08</t>
        </is>
      </c>
      <c r="P117" s="33" t="inlineStr">
        <is>
          <t>Engineering Qualification Build (EXTENDABLE 2x)</t>
        </is>
      </c>
      <c r="Q117" s="43" t="inlineStr">
        <is>
          <t>Place deviation sticker with this deviation # clearly visible on unit.</t>
        </is>
      </c>
      <c r="R117" s="43" t="inlineStr">
        <is>
          <t>2026-04-10</t>
        </is>
      </c>
      <c r="S117" s="43" t="inlineStr">
        <is>
          <t>2026-04-24</t>
        </is>
      </c>
      <c r="T117" s="43" t="inlineStr"/>
      <c r="U117" s="43" t="inlineStr"/>
    </row>
    <row r="118">
      <c r="A118" s="43" t="n">
        <v>118</v>
      </c>
      <c r="B118" s="43" t="inlineStr">
        <is>
          <t>117</t>
        </is>
      </c>
      <c r="C118" s="43" t="inlineStr">
        <is>
          <t>FJZP</t>
        </is>
      </c>
      <c r="D118" s="43" t="inlineStr">
        <is>
          <t>Cisco</t>
        </is>
      </c>
      <c r="E118" s="43" t="inlineStr">
        <is>
          <t>MCGA</t>
        </is>
      </c>
      <c r="F118" s="43" t="inlineStr">
        <is>
          <t>035-CVEBU</t>
        </is>
      </c>
      <c r="G118" s="43" t="inlineStr">
        <is>
          <t>CTANJZ05203</t>
        </is>
      </c>
      <c r="H118" s="43" t="inlineStr">
        <is>
          <t>New Release</t>
        </is>
      </c>
      <c r="I118" s="43" t="inlineStr">
        <is>
          <t>Customer Deviation</t>
        </is>
      </c>
      <c r="J118" s="43" t="inlineStr">
        <is>
          <t>D610694</t>
        </is>
      </c>
      <c r="K118" s="33" t="inlineStr">
        <is>
          <t>D610694 CVEBU; Nixie. 2nd source qualification for PCBs for NDAA compliance. FOXCONN JUAREZ shall build and test up to TAN level 68-105050-01; 68-105051-01or similar  PCB            -                MPN 28-102088-05 - 28-102088-05_S606_M202 (ZHUHAI FOUNDER TH)   Control builds for Nixie PCB. ORT is mandatory to be used for this qualification.  Note: Please provide build schedule and follow up FJZ tracker details.  Note: MOQ quantities will be negotiated with supplier; PO placed by FJZ.  Note: Build all boards into units.  Note: After successful build; and Cisco approval; the units can be shipped to customers  Contact Cisco: Jose Barraza and Jarle Aasland Contact FJZ: Cristina Cano</t>
        </is>
      </c>
      <c r="L118" s="43" t="inlineStr">
        <is>
          <t>Expired</t>
        </is>
      </c>
      <c r="M118" s="43" t="inlineStr">
        <is>
          <t>68-105050-01</t>
        </is>
      </c>
      <c r="N118" s="43" t="inlineStr"/>
      <c r="O118" s="43" t="inlineStr">
        <is>
          <t>2026-07-08</t>
        </is>
      </c>
      <c r="P118" s="33" t="inlineStr">
        <is>
          <t>Engineering Qualification Build (EXTENDABLE 2x)</t>
        </is>
      </c>
      <c r="Q118" s="43" t="inlineStr">
        <is>
          <t>Place deviation sticker with this deviation # clearly visible on unit.</t>
        </is>
      </c>
      <c r="R118" s="43" t="inlineStr">
        <is>
          <t>2026-04-10</t>
        </is>
      </c>
      <c r="S118" s="43" t="inlineStr">
        <is>
          <t>2026-04-24</t>
        </is>
      </c>
      <c r="T118" s="43" t="inlineStr"/>
      <c r="U118" s="43" t="inlineStr"/>
    </row>
    <row r="119">
      <c r="A119" s="43" t="n">
        <v>119</v>
      </c>
      <c r="B119" s="43" t="inlineStr">
        <is>
          <t>118</t>
        </is>
      </c>
      <c r="C119" s="43" t="inlineStr">
        <is>
          <t>FJZP</t>
        </is>
      </c>
      <c r="D119" s="43" t="inlineStr">
        <is>
          <t>Cisco</t>
        </is>
      </c>
      <c r="E119" s="43" t="inlineStr">
        <is>
          <t>MCGA</t>
        </is>
      </c>
      <c r="F119" s="43" t="inlineStr">
        <is>
          <t>239-CRBU</t>
        </is>
      </c>
      <c r="G119" s="43" t="inlineStr">
        <is>
          <t>CTANJZ05273</t>
        </is>
      </c>
      <c r="H119" s="43" t="inlineStr">
        <is>
          <t>Engineering Qualification Build</t>
        </is>
      </c>
      <c r="I119" s="43" t="inlineStr">
        <is>
          <t>Customer Deviation</t>
        </is>
      </c>
      <c r="J119" s="43" t="inlineStr">
        <is>
          <t>D611453</t>
        </is>
      </c>
      <c r="K119" s="33" t="inlineStr">
        <is>
          <t>D611453 Need to qualify LTP8800-2IPV#PBF on 73-21146-12for Assy Qual Request # : AQR003561763 Which is a Supplier PCN from LTP8800-2IPV#PBF for PCN TYPE : Process Change on GQR GQR000086308 and AQR AQR003561763FVN/FOL/FJZ can arrange MFG qual build-3 boards with latest PCBA or down version</t>
        </is>
      </c>
      <c r="L119" s="43" t="inlineStr">
        <is>
          <t>Expired</t>
        </is>
      </c>
      <c r="M119" s="43" t="inlineStr">
        <is>
          <t>17-102928-03</t>
        </is>
      </c>
      <c r="N119" s="43" t="inlineStr"/>
      <c r="O119" s="43" t="inlineStr">
        <is>
          <t>2026-08-29</t>
        </is>
      </c>
      <c r="P119" s="33" t="inlineStr">
        <is>
          <t>Engineering Qualification Build (EXTENDABLE 2x);To track an AML qualification build (EXTENDABLE 2x)</t>
        </is>
      </c>
      <c r="Q119" s="43" t="inlineStr">
        <is>
          <t>put deviation number on units</t>
        </is>
      </c>
      <c r="R119" s="43" t="inlineStr">
        <is>
          <t>2026-06-02</t>
        </is>
      </c>
      <c r="S119" s="43" t="inlineStr">
        <is>
          <t>2026-07-02</t>
        </is>
      </c>
      <c r="T119" s="43" t="inlineStr"/>
      <c r="U119" s="43" t="inlineStr"/>
    </row>
    <row r="120">
      <c r="A120" s="43" t="n">
        <v>120</v>
      </c>
      <c r="B120" s="43" t="inlineStr">
        <is>
          <t>119</t>
        </is>
      </c>
      <c r="C120" s="43" t="inlineStr">
        <is>
          <t>FJZP</t>
        </is>
      </c>
      <c r="D120" s="43" t="inlineStr">
        <is>
          <t>Cisco</t>
        </is>
      </c>
      <c r="E120" s="43" t="inlineStr">
        <is>
          <t>MCGA</t>
        </is>
      </c>
      <c r="F120" s="43" t="inlineStr">
        <is>
          <t>239-CRBU</t>
        </is>
      </c>
      <c r="G120" s="43" t="inlineStr">
        <is>
          <t>CTANJZ05273</t>
        </is>
      </c>
      <c r="H120" s="43" t="inlineStr">
        <is>
          <t>Engineering Qualification Build</t>
        </is>
      </c>
      <c r="I120" s="43" t="inlineStr">
        <is>
          <t>Customer Deviation</t>
        </is>
      </c>
      <c r="J120" s="43" t="inlineStr">
        <is>
          <t>D611453</t>
        </is>
      </c>
      <c r="K120" s="33" t="inlineStr">
        <is>
          <t>D611453 Need to qualify LTP8800-2IPV#PBF on 73-21146-12for Assy Qual Request # : AQR003561763 Which is a Supplier PCN from LTP8800-2IPV#PBF for PCN TYPE : Process Change on GQR GQR000086308 and AQR AQR003561763FVN/FOL/FJZ can arrange MFG qual build-3 boards with latest PCBA or down version</t>
        </is>
      </c>
      <c r="L120" s="43" t="inlineStr">
        <is>
          <t>Expired</t>
        </is>
      </c>
      <c r="M120" s="43" t="inlineStr">
        <is>
          <t>34-100423-01</t>
        </is>
      </c>
      <c r="N120" s="43" t="inlineStr"/>
      <c r="O120" s="43" t="inlineStr">
        <is>
          <t>2026-08-29</t>
        </is>
      </c>
      <c r="P120" s="33" t="inlineStr">
        <is>
          <t>Engineering Qualification Build (EXTENDABLE 2x);To track an AML qualification build (EXTENDABLE 2x)</t>
        </is>
      </c>
      <c r="Q120" s="43" t="inlineStr">
        <is>
          <t>put deviation number on units</t>
        </is>
      </c>
      <c r="R120" s="43" t="inlineStr">
        <is>
          <t>2026-06-02</t>
        </is>
      </c>
      <c r="S120" s="43" t="inlineStr">
        <is>
          <t>2026-07-02</t>
        </is>
      </c>
      <c r="T120" s="43" t="inlineStr"/>
      <c r="U120" s="43" t="inlineStr"/>
    </row>
    <row r="121">
      <c r="A121" s="43" t="n">
        <v>121</v>
      </c>
      <c r="B121" s="43" t="inlineStr">
        <is>
          <t>120</t>
        </is>
      </c>
      <c r="C121" s="43" t="inlineStr">
        <is>
          <t>FJZP</t>
        </is>
      </c>
      <c r="D121" s="43" t="inlineStr">
        <is>
          <t>Cisco</t>
        </is>
      </c>
      <c r="E121" s="43" t="inlineStr">
        <is>
          <t>MCGA</t>
        </is>
      </c>
      <c r="F121" s="43" t="inlineStr">
        <is>
          <t>239-CRBU</t>
        </is>
      </c>
      <c r="G121" s="43" t="inlineStr">
        <is>
          <t>CTANJZ05273</t>
        </is>
      </c>
      <c r="H121" s="43" t="inlineStr">
        <is>
          <t>Engineering Qualification Build</t>
        </is>
      </c>
      <c r="I121" s="43" t="inlineStr">
        <is>
          <t>Customer Deviation</t>
        </is>
      </c>
      <c r="J121" s="43" t="inlineStr">
        <is>
          <t>D611453</t>
        </is>
      </c>
      <c r="K121" s="33" t="inlineStr">
        <is>
          <t>D611453 Need to qualify LTP8800-2IPV#PBF on 73-21146-12for Assy Qual Request # : AQR003561763 Which is a Supplier PCN from LTP8800-2IPV#PBF for PCN TYPE : Process Change on GQR GQR000086308 and AQR AQR003561763FVN/FOL/FJZ can arrange MFG qual build-3 boards with latest PCBA or down version</t>
        </is>
      </c>
      <c r="L121" s="43" t="inlineStr">
        <is>
          <t>Expired</t>
        </is>
      </c>
      <c r="M121" s="43" t="inlineStr">
        <is>
          <t>73-21146-12</t>
        </is>
      </c>
      <c r="N121" s="43" t="inlineStr"/>
      <c r="O121" s="43" t="inlineStr">
        <is>
          <t>2026-08-29</t>
        </is>
      </c>
      <c r="P121" s="33" t="inlineStr">
        <is>
          <t>Engineering Qualification Build (EXTENDABLE 2x);To track an AML qualification build (EXTENDABLE 2x)</t>
        </is>
      </c>
      <c r="Q121" s="43" t="inlineStr">
        <is>
          <t>put deviation number on units</t>
        </is>
      </c>
      <c r="R121" s="43" t="inlineStr">
        <is>
          <t>2026-06-02</t>
        </is>
      </c>
      <c r="S121" s="43" t="inlineStr">
        <is>
          <t>2026-07-02</t>
        </is>
      </c>
      <c r="T121" s="43" t="inlineStr"/>
      <c r="U121" s="43" t="inlineStr"/>
    </row>
    <row r="122">
      <c r="A122" s="43" t="n">
        <v>122</v>
      </c>
      <c r="B122" s="43" t="inlineStr">
        <is>
          <t>121</t>
        </is>
      </c>
      <c r="C122" s="43" t="inlineStr">
        <is>
          <t>FJZP</t>
        </is>
      </c>
      <c r="D122" s="43" t="inlineStr">
        <is>
          <t>Cisco</t>
        </is>
      </c>
      <c r="E122" s="43" t="inlineStr">
        <is>
          <t>MCGA</t>
        </is>
      </c>
      <c r="F122" s="43" t="inlineStr">
        <is>
          <t>239-CRBU</t>
        </is>
      </c>
      <c r="G122" s="43" t="inlineStr">
        <is>
          <t>CTANJZ05279</t>
        </is>
      </c>
      <c r="H122" s="43" t="inlineStr">
        <is>
          <t>Engineering Qualification Build</t>
        </is>
      </c>
      <c r="I122" s="43" t="inlineStr">
        <is>
          <t>Customer Deviation</t>
        </is>
      </c>
      <c r="J122" s="43" t="inlineStr">
        <is>
          <t>D611450</t>
        </is>
      </c>
      <c r="K122" s="33" t="inlineStr">
        <is>
          <t>D611450 Need to qualify ADP2387ACPZN on 73-21146-12 for Assy Qual Request # : AQR003568133 Which is a Supplier PCN from ADP2387ACPZN for PCN TYPE : Site Move on GQR GQR000086467 and AQR AQR003568133FVN/FOL/FJZ can arrange MFG qual build-3 boards with latest PCBA or down version</t>
        </is>
      </c>
      <c r="L122" s="43" t="inlineStr">
        <is>
          <t>Expired</t>
        </is>
      </c>
      <c r="M122" s="43" t="inlineStr">
        <is>
          <t>15-102846-01</t>
        </is>
      </c>
      <c r="N122" s="43" t="inlineStr"/>
      <c r="O122" s="43" t="inlineStr">
        <is>
          <t>2026-08-29</t>
        </is>
      </c>
      <c r="P122" s="33" t="inlineStr">
        <is>
          <t>Engineering Qualification Build (EXTENDABLE 2x);To track an AML qualification build (EXTENDABLE 2x)</t>
        </is>
      </c>
      <c r="Q122" s="43" t="inlineStr">
        <is>
          <t>put deviation number on units</t>
        </is>
      </c>
      <c r="R122" s="43" t="inlineStr">
        <is>
          <t>2026-06-02</t>
        </is>
      </c>
      <c r="S122" s="43" t="inlineStr">
        <is>
          <t>2026-06-20</t>
        </is>
      </c>
      <c r="T122" s="43" t="inlineStr"/>
      <c r="U122" s="43" t="inlineStr"/>
    </row>
    <row r="123">
      <c r="A123" s="43" t="n">
        <v>123</v>
      </c>
      <c r="B123" s="43" t="inlineStr">
        <is>
          <t>122</t>
        </is>
      </c>
      <c r="C123" s="43" t="inlineStr">
        <is>
          <t>FJZP</t>
        </is>
      </c>
      <c r="D123" s="43" t="inlineStr">
        <is>
          <t>Cisco</t>
        </is>
      </c>
      <c r="E123" s="43" t="inlineStr">
        <is>
          <t>MCGA</t>
        </is>
      </c>
      <c r="F123" s="43" t="inlineStr">
        <is>
          <t>239-CRBU</t>
        </is>
      </c>
      <c r="G123" s="43" t="inlineStr">
        <is>
          <t>CTANJZ05279</t>
        </is>
      </c>
      <c r="H123" s="43" t="inlineStr">
        <is>
          <t>Engineering Qualification Build</t>
        </is>
      </c>
      <c r="I123" s="43" t="inlineStr">
        <is>
          <t>Customer Deviation</t>
        </is>
      </c>
      <c r="J123" s="43" t="inlineStr">
        <is>
          <t>D611450</t>
        </is>
      </c>
      <c r="K123" s="33" t="inlineStr">
        <is>
          <t>D611450 Need to qualify ADP2387ACPZN on 73-21146-12 for Assy Qual Request # : AQR003568133 Which is a Supplier PCN from ADP2387ACPZN for PCN TYPE : Site Move on GQR GQR000086467 and AQR AQR003568133FVN/FOL/FJZ can arrange MFG qual build-3 boards with latest PCBA or down version</t>
        </is>
      </c>
      <c r="L123" s="43" t="inlineStr">
        <is>
          <t>Expired</t>
        </is>
      </c>
      <c r="M123" s="43" t="inlineStr">
        <is>
          <t>73-21146-12</t>
        </is>
      </c>
      <c r="N123" s="43" t="inlineStr"/>
      <c r="O123" s="43" t="inlineStr">
        <is>
          <t>2026-08-29</t>
        </is>
      </c>
      <c r="P123" s="33" t="inlineStr">
        <is>
          <t>Engineering Qualification Build (EXTENDABLE 2x);To track an AML qualification build (EXTENDABLE 2x)</t>
        </is>
      </c>
      <c r="Q123" s="43" t="inlineStr">
        <is>
          <t>put deviation number on units</t>
        </is>
      </c>
      <c r="R123" s="43" t="inlineStr">
        <is>
          <t>2026-06-02</t>
        </is>
      </c>
      <c r="S123" s="43" t="inlineStr">
        <is>
          <t>2026-06-20</t>
        </is>
      </c>
      <c r="T123" s="43" t="inlineStr"/>
      <c r="U123" s="43" t="inlineStr"/>
    </row>
    <row r="124">
      <c r="A124" s="43" t="n">
        <v>124</v>
      </c>
      <c r="B124" s="43" t="inlineStr">
        <is>
          <t>123</t>
        </is>
      </c>
      <c r="C124" s="43" t="inlineStr">
        <is>
          <t>FJZP</t>
        </is>
      </c>
      <c r="D124" s="43" t="inlineStr">
        <is>
          <t>Cisco</t>
        </is>
      </c>
      <c r="E124" s="43" t="inlineStr">
        <is>
          <t>MCGA</t>
        </is>
      </c>
      <c r="F124" s="43" t="inlineStr">
        <is>
          <t>035-CVEBU</t>
        </is>
      </c>
      <c r="G124" s="43" t="inlineStr">
        <is>
          <t>CTANJZ05004</t>
        </is>
      </c>
      <c r="H124" s="43" t="inlineStr">
        <is>
          <t>Engineering Qualification Build</t>
        </is>
      </c>
      <c r="I124" s="43" t="inlineStr">
        <is>
          <t>Customer Deviation</t>
        </is>
      </c>
      <c r="J124" s="43" t="inlineStr">
        <is>
          <t>D607851</t>
        </is>
      </c>
      <c r="K124" s="33" t="inlineStr">
        <is>
          <t>D607851 CVEBU; Nixie. Engineering/Control run build to qualify MPN AT30TSE004A-MA5M from Microchip. 18-Nov. 2025Microchip have sent FJZ 100 pcs of CPN 15-104894-01; MPN AT30TSE004A-MA5M. Position U12.These shall be used in a control build as normal production flow.PCA CPN: 73-102121-01 PCA; NIXIE MIC BOARDFJZ shall do a control run with 100 units. Build &amp; Test to TAN level 68-105050-01 or 68-105051-01After successful build; and Cisco approval; the units can be shipped to customers.Note: BU have already pass EDVT; this build is to pass normal production testNote: Please provide build scheduleNote: Report Yield for this build.Contact Cisco: Irving Contreras and Jarle Aasland</t>
        </is>
      </c>
      <c r="L124" s="43" t="inlineStr">
        <is>
          <t>Expired</t>
        </is>
      </c>
      <c r="M124" s="43" t="inlineStr">
        <is>
          <t>15-104894-01</t>
        </is>
      </c>
      <c r="N124" s="43" t="inlineStr"/>
      <c r="O124" s="43" t="inlineStr">
        <is>
          <t>2026-03-03</t>
        </is>
      </c>
      <c r="P124" s="33" t="inlineStr">
        <is>
          <t>Engineering Qualification Build (EXTENDABLE 2x)</t>
        </is>
      </c>
      <c r="Q124" s="43" t="inlineStr">
        <is>
          <t>Place this deviation sticker clearly visible on the unit</t>
        </is>
      </c>
      <c r="R124" s="43" t="inlineStr">
        <is>
          <t>2025-12-03</t>
        </is>
      </c>
      <c r="S124" s="43" t="inlineStr">
        <is>
          <t>2025-12-16</t>
        </is>
      </c>
      <c r="T124" s="43" t="inlineStr"/>
      <c r="U124" s="43" t="inlineStr"/>
    </row>
    <row r="125">
      <c r="A125" s="43" t="n">
        <v>125</v>
      </c>
      <c r="B125" s="43" t="inlineStr">
        <is>
          <t>124</t>
        </is>
      </c>
      <c r="C125" s="43" t="inlineStr">
        <is>
          <t>FJZP</t>
        </is>
      </c>
      <c r="D125" s="43" t="inlineStr">
        <is>
          <t>Cisco</t>
        </is>
      </c>
      <c r="E125" s="43" t="inlineStr">
        <is>
          <t>MCGA</t>
        </is>
      </c>
      <c r="F125" s="43" t="inlineStr">
        <is>
          <t>035-CVEBU</t>
        </is>
      </c>
      <c r="G125" s="43" t="inlineStr">
        <is>
          <t>CTANJZ05004</t>
        </is>
      </c>
      <c r="H125" s="43" t="inlineStr">
        <is>
          <t>Engineering Qualification Build</t>
        </is>
      </c>
      <c r="I125" s="43" t="inlineStr">
        <is>
          <t>Customer Deviation</t>
        </is>
      </c>
      <c r="J125" s="43" t="inlineStr">
        <is>
          <t>D607851</t>
        </is>
      </c>
      <c r="K125" s="33" t="inlineStr">
        <is>
          <t>D607851 CVEBU; Nixie. Engineering/Control run build to qualify MPN AT30TSE004A-MA5M from Microchip. 18-Nov. 2025Microchip have sent FJZ 100 pcs of CPN 15-104894-01; MPN AT30TSE004A-MA5M. Position U12.These shall be used in a control build as normal production flow.PCA CPN: 73-102121-01 PCA; NIXIE MIC BOARDFJZ shall do a control run with 100 units. Build &amp; Test to TAN level 68-105050-01 or 68-105051-01After successful build; and Cisco approval; the units can be shipped to customers.Note: BU have already pass EDVT; this build is to pass normal production testNote: Please provide build scheduleNote: Report Yield for this build.Contact Cisco: Irving Contreras and Jarle Aasland</t>
        </is>
      </c>
      <c r="L125" s="43" t="inlineStr">
        <is>
          <t>Expired</t>
        </is>
      </c>
      <c r="M125" s="43" t="inlineStr">
        <is>
          <t>73-102121-01</t>
        </is>
      </c>
      <c r="N125" s="43" t="inlineStr"/>
      <c r="O125" s="43" t="inlineStr">
        <is>
          <t>2026-03-03</t>
        </is>
      </c>
      <c r="P125" s="33" t="inlineStr">
        <is>
          <t>Engineering Qualification Build (EXTENDABLE 2x)</t>
        </is>
      </c>
      <c r="Q125" s="43" t="inlineStr">
        <is>
          <t>Place this deviation sticker clearly visible on the unit</t>
        </is>
      </c>
      <c r="R125" s="43" t="inlineStr">
        <is>
          <t>2025-12-03</t>
        </is>
      </c>
      <c r="S125" s="43" t="inlineStr">
        <is>
          <t>2025-12-16</t>
        </is>
      </c>
      <c r="T125" s="43" t="inlineStr"/>
      <c r="U125" s="43" t="inlineStr"/>
    </row>
    <row r="126">
      <c r="A126" s="43" t="n">
        <v>126</v>
      </c>
      <c r="B126" s="43" t="inlineStr">
        <is>
          <t>125</t>
        </is>
      </c>
      <c r="C126" s="43" t="inlineStr">
        <is>
          <t>FJZP</t>
        </is>
      </c>
      <c r="D126" s="43" t="inlineStr">
        <is>
          <t>Cisco</t>
        </is>
      </c>
      <c r="E126" s="43" t="inlineStr">
        <is>
          <t>MCGA</t>
        </is>
      </c>
      <c r="F126" s="43" t="inlineStr">
        <is>
          <t>035-CVEBU</t>
        </is>
      </c>
      <c r="G126" s="43" t="inlineStr">
        <is>
          <t>CTANJZ05011</t>
        </is>
      </c>
      <c r="H126" s="43" t="inlineStr">
        <is>
          <t>Engineering Qualification Build</t>
        </is>
      </c>
      <c r="I126" s="43" t="inlineStr">
        <is>
          <t>Customer Deviation</t>
        </is>
      </c>
      <c r="J126" s="43" t="inlineStr">
        <is>
          <t>D607854</t>
        </is>
      </c>
      <c r="K126" s="33" t="inlineStr">
        <is>
          <t>D607854 CVEBU; Heimdall. Engineering/Control run build. CPN: 06-100786-01; MPN:  Gettop Positions U1-U64. Malaysia site qualification. 18-Nov. 2025PCA CPN: 73-103459-02 PCA;HEIMDALL MIC BOARD260 pcs for qualification have been sent to FJZ.FJZ shall do a control run with 4 units. Build &amp; Test as normal production to TAN level 68-104816-01 or 68-104817-01Note: Report Yield for this small quantity build; and any trend on results close to the limitsNote: Please provide build scheduleAfter successful build; and Cisco approval; the units can be shipped to customers.Contact Cisco: Irving Contreras and Jarle Aasland</t>
        </is>
      </c>
      <c r="L126" s="43" t="inlineStr">
        <is>
          <t>Expired</t>
        </is>
      </c>
      <c r="M126" s="43" t="inlineStr">
        <is>
          <t>06-100786-01</t>
        </is>
      </c>
      <c r="N126" s="43" t="inlineStr"/>
      <c r="O126" s="43" t="inlineStr">
        <is>
          <t>2026-03-05</t>
        </is>
      </c>
      <c r="P126" s="33" t="inlineStr">
        <is>
          <t>Engineering Qualification Build (EXTENDABLE 2x)</t>
        </is>
      </c>
      <c r="Q126" s="43" t="inlineStr">
        <is>
          <t>Place sticker with this deviation # clearly visible on the unit</t>
        </is>
      </c>
      <c r="R126" s="43" t="inlineStr">
        <is>
          <t>2025-12-05</t>
        </is>
      </c>
      <c r="S126" s="43" t="inlineStr">
        <is>
          <t>2025-12-16</t>
        </is>
      </c>
      <c r="T126" s="43" t="inlineStr"/>
      <c r="U126" s="43" t="inlineStr"/>
    </row>
    <row r="127">
      <c r="A127" s="43" t="n">
        <v>127</v>
      </c>
      <c r="B127" s="43" t="inlineStr">
        <is>
          <t>126</t>
        </is>
      </c>
      <c r="C127" s="43" t="inlineStr">
        <is>
          <t>FJZP</t>
        </is>
      </c>
      <c r="D127" s="43" t="inlineStr">
        <is>
          <t>Cisco</t>
        </is>
      </c>
      <c r="E127" s="43" t="inlineStr">
        <is>
          <t>MCGA</t>
        </is>
      </c>
      <c r="F127" s="43" t="inlineStr">
        <is>
          <t>035-CVEBU</t>
        </is>
      </c>
      <c r="G127" s="43" t="inlineStr">
        <is>
          <t>CTANJZ05011</t>
        </is>
      </c>
      <c r="H127" s="43" t="inlineStr">
        <is>
          <t>Engineering Qualification Build</t>
        </is>
      </c>
      <c r="I127" s="43" t="inlineStr">
        <is>
          <t>Customer Deviation</t>
        </is>
      </c>
      <c r="J127" s="43" t="inlineStr">
        <is>
          <t>D607854</t>
        </is>
      </c>
      <c r="K127" s="33" t="inlineStr">
        <is>
          <t>D607854 CVEBU; Heimdall. Engineering/Control run build. CPN: 06-100786-01; MPN:  Gettop Positions U1-U64. Malaysia site qualification. 18-Nov. 2025PCA CPN: 73-103459-02 PCA;HEIMDALL MIC BOARD260 pcs for qualification have been sent to FJZ.FJZ shall do a control run with 4 units. Build &amp; Test as normal production to TAN level 68-104816-01 or 68-104817-01Note: Report Yield for this small quantity build; and any trend on results close to the limitsNote: Please provide build scheduleAfter successful build; and Cisco approval; the units can be shipped to customers.Contact Cisco: Irving Contreras and Jarle Aasland</t>
        </is>
      </c>
      <c r="L127" s="43" t="inlineStr">
        <is>
          <t>Expired</t>
        </is>
      </c>
      <c r="M127" s="43" t="inlineStr">
        <is>
          <t>73-103459-02</t>
        </is>
      </c>
      <c r="N127" s="43" t="inlineStr"/>
      <c r="O127" s="43" t="inlineStr">
        <is>
          <t>2026-03-05</t>
        </is>
      </c>
      <c r="P127" s="33" t="inlineStr">
        <is>
          <t>Engineering Qualification Build (EXTENDABLE 2x)</t>
        </is>
      </c>
      <c r="Q127" s="43" t="inlineStr">
        <is>
          <t>Place sticker with this deviation # clearly visible on the unit</t>
        </is>
      </c>
      <c r="R127" s="43" t="inlineStr">
        <is>
          <t>2025-12-05</t>
        </is>
      </c>
      <c r="S127" s="43" t="inlineStr">
        <is>
          <t>2025-12-16</t>
        </is>
      </c>
      <c r="T127" s="43" t="inlineStr"/>
      <c r="U127" s="43" t="inlineStr"/>
    </row>
    <row r="128">
      <c r="A128" s="43" t="n">
        <v>128</v>
      </c>
      <c r="B128" s="43" t="inlineStr">
        <is>
          <t>127</t>
        </is>
      </c>
      <c r="C128" s="43" t="inlineStr">
        <is>
          <t>FJZP</t>
        </is>
      </c>
      <c r="D128" s="43" t="inlineStr">
        <is>
          <t>Cisco</t>
        </is>
      </c>
      <c r="E128" s="43" t="inlineStr">
        <is>
          <t>MCGA</t>
        </is>
      </c>
      <c r="F128" s="43" t="inlineStr">
        <is>
          <t>239-CRBU</t>
        </is>
      </c>
      <c r="G128" s="43" t="inlineStr">
        <is>
          <t>CTANJZ05314</t>
        </is>
      </c>
      <c r="H128" s="43" t="inlineStr">
        <is>
          <t>Engineering Qualification Build</t>
        </is>
      </c>
      <c r="I128" s="43" t="inlineStr">
        <is>
          <t>Customer Deviation</t>
        </is>
      </c>
      <c r="J128" s="43" t="inlineStr">
        <is>
          <t>D612107</t>
        </is>
      </c>
      <c r="K128" s="33" t="inlineStr">
        <is>
          <t>D612107 Need to qualify 74AVC2T45FK;LCF(GT on 73-20922-04</t>
        </is>
      </c>
      <c r="L128" s="43" t="inlineStr">
        <is>
          <t>Expired</t>
        </is>
      </c>
      <c r="M128" s="43" t="inlineStr">
        <is>
          <t>15-105357-01</t>
        </is>
      </c>
      <c r="N128" s="43" t="inlineStr"/>
      <c r="O128" s="43" t="inlineStr">
        <is>
          <t>2026-09-22</t>
        </is>
      </c>
      <c r="P128" s="33" t="inlineStr">
        <is>
          <t>Engineering Qualification Build (EXTENDABLE 2x);To track an AML qualification build (EXTENDABLE 2x)</t>
        </is>
      </c>
      <c r="Q128" s="43" t="inlineStr">
        <is>
          <t>NA</t>
        </is>
      </c>
      <c r="R128" s="43" t="inlineStr">
        <is>
          <t>2026-06-25</t>
        </is>
      </c>
      <c r="S128" s="43" t="inlineStr">
        <is>
          <t>2026-07-15</t>
        </is>
      </c>
      <c r="T128" s="43" t="inlineStr"/>
      <c r="U128" s="43" t="inlineStr"/>
    </row>
    <row r="129">
      <c r="A129" s="43" t="n">
        <v>129</v>
      </c>
      <c r="B129" s="43" t="inlineStr">
        <is>
          <t>128</t>
        </is>
      </c>
      <c r="C129" s="43" t="inlineStr">
        <is>
          <t>FJZP</t>
        </is>
      </c>
      <c r="D129" s="43" t="inlineStr">
        <is>
          <t>Cisco</t>
        </is>
      </c>
      <c r="E129" s="43" t="inlineStr">
        <is>
          <t>MCGA</t>
        </is>
      </c>
      <c r="F129" s="43" t="inlineStr">
        <is>
          <t>239-CRBU</t>
        </is>
      </c>
      <c r="G129" s="43" t="inlineStr">
        <is>
          <t>CTANJZ05502</t>
        </is>
      </c>
      <c r="H129" s="43" t="inlineStr">
        <is>
          <t>New Release</t>
        </is>
      </c>
      <c r="I129" s="43" t="inlineStr">
        <is>
          <t>Customer Deviation</t>
        </is>
      </c>
      <c r="J129" s="43" t="inlineStr">
        <is>
          <t>D613744</t>
        </is>
      </c>
      <c r="K129" s="33" t="inlineStr">
        <is>
          <t>D613744 Need to qualify MBP21K400-15R045C on 73-21335-01</t>
        </is>
      </c>
      <c r="L129" s="43" t="inlineStr">
        <is>
          <t>Pending</t>
        </is>
      </c>
      <c r="M129" s="43" t="inlineStr">
        <is>
          <t>73-21335-01</t>
        </is>
      </c>
      <c r="N129" s="43" t="inlineStr"/>
      <c r="O129" s="43" t="inlineStr">
        <is>
          <t>2026-12-20</t>
        </is>
      </c>
      <c r="P129" s="33" t="inlineStr">
        <is>
          <t>Engineering Qualification Build (EXTENDABLE 2x);To track an AML qualification build (EXTENDABLE 2x)</t>
        </is>
      </c>
      <c r="Q129" s="43" t="inlineStr">
        <is>
          <t>NA</t>
        </is>
      </c>
      <c r="R129" s="43" t="inlineStr">
        <is>
          <t>2026-09-22</t>
        </is>
      </c>
      <c r="S129" s="43" t="inlineStr"/>
      <c r="T129" s="43" t="inlineStr"/>
      <c r="U129" s="43" t="inlineStr"/>
    </row>
    <row r="130">
      <c r="A130" s="43" t="n">
        <v>130</v>
      </c>
      <c r="B130" s="43" t="inlineStr">
        <is>
          <t>129</t>
        </is>
      </c>
      <c r="C130" s="43" t="inlineStr">
        <is>
          <t>FJZP</t>
        </is>
      </c>
      <c r="D130" s="43" t="inlineStr">
        <is>
          <t>Cisco</t>
        </is>
      </c>
      <c r="E130" s="43" t="inlineStr">
        <is>
          <t>MCGA</t>
        </is>
      </c>
      <c r="F130" s="43" t="inlineStr">
        <is>
          <t>239-CRBU</t>
        </is>
      </c>
      <c r="G130" s="43" t="inlineStr">
        <is>
          <t>CTANJZ05500</t>
        </is>
      </c>
      <c r="H130" s="43" t="inlineStr">
        <is>
          <t>New Release</t>
        </is>
      </c>
      <c r="I130" s="43" t="inlineStr">
        <is>
          <t>Customer Deviation</t>
        </is>
      </c>
      <c r="J130" s="43" t="inlineStr">
        <is>
          <t>D612993</t>
        </is>
      </c>
      <c r="K130" s="33" t="inlineStr">
        <is>
          <t>D612993 Need to qualify ISC019N03L5S on 73-102362-07</t>
        </is>
      </c>
      <c r="L130" s="43" t="inlineStr">
        <is>
          <t>Pending</t>
        </is>
      </c>
      <c r="M130" s="43" t="inlineStr">
        <is>
          <t>73-102362-07</t>
        </is>
      </c>
      <c r="N130" s="43" t="inlineStr"/>
      <c r="O130" s="43" t="inlineStr">
        <is>
          <t>2026-12-19</t>
        </is>
      </c>
      <c r="P130" s="33" t="inlineStr">
        <is>
          <t>Engineering Qualification Build (EXTENDABLE 2x);To track an AML qualification build (EXTENDABLE 2x)</t>
        </is>
      </c>
      <c r="Q130" s="43" t="inlineStr">
        <is>
          <t>NA</t>
        </is>
      </c>
      <c r="R130" s="43" t="inlineStr">
        <is>
          <t>2026-09-22</t>
        </is>
      </c>
      <c r="S130" s="43" t="inlineStr"/>
      <c r="T130" s="43" t="inlineStr"/>
      <c r="U130" s="43" t="inlineStr"/>
    </row>
    <row r="131">
      <c r="A131" s="43" t="n">
        <v>131</v>
      </c>
      <c r="B131" s="43" t="inlineStr">
        <is>
          <t>130</t>
        </is>
      </c>
      <c r="C131" s="43" t="inlineStr">
        <is>
          <t>FJZP</t>
        </is>
      </c>
      <c r="D131" s="43" t="inlineStr">
        <is>
          <t>Cisco</t>
        </is>
      </c>
      <c r="E131" s="43" t="inlineStr">
        <is>
          <t>MCGA</t>
        </is>
      </c>
      <c r="F131" s="43" t="inlineStr">
        <is>
          <t>034-IOTBU</t>
        </is>
      </c>
      <c r="G131" s="43" t="inlineStr">
        <is>
          <t>CTANJZ05181</t>
        </is>
      </c>
      <c r="H131" s="43" t="inlineStr">
        <is>
          <t>Engineering Qualification Build</t>
        </is>
      </c>
      <c r="I131" s="43" t="inlineStr">
        <is>
          <t>Customer Deviation</t>
        </is>
      </c>
      <c r="J131" s="43" t="inlineStr">
        <is>
          <t>D609526</t>
        </is>
      </c>
      <c r="K131" s="33" t="inlineStr">
        <is>
          <t>D609526 IOTBU: Hellcat :PCBFAB: CPN# 28-101582-04:NDAA 851: Build and Test product using PCBFABs produced by non-China NDAA (SEA) friendly countries.Instructions:1. Foxconn is tasked to build QTY=10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73-101439-04Current CPN: 28-101582-04</t>
        </is>
      </c>
      <c r="L131" s="43" t="inlineStr">
        <is>
          <t>Expired</t>
        </is>
      </c>
      <c r="M131" s="43" t="inlineStr">
        <is>
          <t>68-101828-01</t>
        </is>
      </c>
      <c r="N131" s="43" t="inlineStr"/>
      <c r="O131" s="43" t="inlineStr">
        <is>
          <t>2026-06-29</t>
        </is>
      </c>
      <c r="P131" s="33" t="inlineStr">
        <is>
          <t>Engineering Qualification Build (EXTENDABLE 2x)</t>
        </is>
      </c>
      <c r="Q131" s="43" t="inlineStr">
        <is>
          <t>Label PCA; TAN and Boxed PID exhibiting the deviation number.</t>
        </is>
      </c>
      <c r="R131" s="43" t="inlineStr">
        <is>
          <t>2026-04-01</t>
        </is>
      </c>
      <c r="S131" s="43" t="inlineStr">
        <is>
          <t>2026-04-14</t>
        </is>
      </c>
      <c r="T131" s="43" t="inlineStr"/>
      <c r="U131" s="43" t="inlineStr"/>
    </row>
    <row r="132">
      <c r="A132" s="43" t="n">
        <v>132</v>
      </c>
      <c r="B132" s="43" t="inlineStr">
        <is>
          <t>131</t>
        </is>
      </c>
      <c r="C132" s="43" t="inlineStr">
        <is>
          <t>FJZP</t>
        </is>
      </c>
      <c r="D132" s="43" t="inlineStr">
        <is>
          <t>Cisco</t>
        </is>
      </c>
      <c r="E132" s="43" t="inlineStr">
        <is>
          <t>MCGA</t>
        </is>
      </c>
      <c r="F132" s="43" t="inlineStr">
        <is>
          <t>034-IOTBU</t>
        </is>
      </c>
      <c r="G132" s="43" t="inlineStr">
        <is>
          <t>CTANJZ05181</t>
        </is>
      </c>
      <c r="H132" s="43" t="inlineStr">
        <is>
          <t>Engineering Qualification Build</t>
        </is>
      </c>
      <c r="I132" s="43" t="inlineStr">
        <is>
          <t>Customer Deviation</t>
        </is>
      </c>
      <c r="J132" s="43" t="inlineStr">
        <is>
          <t>D609526</t>
        </is>
      </c>
      <c r="K132" s="33" t="inlineStr">
        <is>
          <t>D609526 IOTBU: Hellcat :PCBFAB: CPN# 28-101582-04:NDAA 851: Build and Test product using PCBFABs produced by non-China NDAA (SEA) friendly countries.Instructions:1. Foxconn is tasked to build QTY=10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73-101439-04Current CPN: 28-101582-04</t>
        </is>
      </c>
      <c r="L132" s="43" t="inlineStr">
        <is>
          <t>Expired</t>
        </is>
      </c>
      <c r="M132" s="43" t="inlineStr">
        <is>
          <t>68-102729-01</t>
        </is>
      </c>
      <c r="N132" s="43" t="inlineStr"/>
      <c r="O132" s="43" t="inlineStr">
        <is>
          <t>2026-06-29</t>
        </is>
      </c>
      <c r="P132" s="33" t="inlineStr">
        <is>
          <t>Engineering Qualification Build (EXTENDABLE 2x)</t>
        </is>
      </c>
      <c r="Q132" s="43" t="inlineStr">
        <is>
          <t>Label PCA; TAN and Boxed PID exhibiting the deviation number.</t>
        </is>
      </c>
      <c r="R132" s="43" t="inlineStr">
        <is>
          <t>2026-04-01</t>
        </is>
      </c>
      <c r="S132" s="43" t="inlineStr">
        <is>
          <t>2026-04-14</t>
        </is>
      </c>
      <c r="T132" s="43" t="inlineStr"/>
      <c r="U132" s="43" t="inlineStr"/>
    </row>
    <row r="133">
      <c r="A133" s="43" t="n">
        <v>133</v>
      </c>
      <c r="B133" s="43" t="inlineStr">
        <is>
          <t>132</t>
        </is>
      </c>
      <c r="C133" s="43" t="inlineStr">
        <is>
          <t>FJZP</t>
        </is>
      </c>
      <c r="D133" s="43" t="inlineStr">
        <is>
          <t>Cisco</t>
        </is>
      </c>
      <c r="E133" s="43" t="inlineStr">
        <is>
          <t>MCGA</t>
        </is>
      </c>
      <c r="F133" s="43" t="inlineStr">
        <is>
          <t>034-IOTBU</t>
        </is>
      </c>
      <c r="G133" s="43" t="inlineStr">
        <is>
          <t>CTANJZ05181</t>
        </is>
      </c>
      <c r="H133" s="43" t="inlineStr">
        <is>
          <t>Engineering Qualification Build</t>
        </is>
      </c>
      <c r="I133" s="43" t="inlineStr">
        <is>
          <t>Customer Deviation</t>
        </is>
      </c>
      <c r="J133" s="43" t="inlineStr">
        <is>
          <t>D609526</t>
        </is>
      </c>
      <c r="K133" s="33" t="inlineStr">
        <is>
          <t>D609526 IOTBU: Hellcat :PCBFAB: CPN# 28-101582-04:NDAA 851: Build and Test product using PCBFABs produced by non-China NDAA (SEA) friendly countries.Instructions:1. Foxconn is tasked to build QTY=10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73-101439-04Current CPN: 28-101582-04</t>
        </is>
      </c>
      <c r="L133" s="43" t="inlineStr">
        <is>
          <t>Expired</t>
        </is>
      </c>
      <c r="M133" s="43" t="inlineStr">
        <is>
          <t>68-102730-01</t>
        </is>
      </c>
      <c r="N133" s="43" t="inlineStr"/>
      <c r="O133" s="43" t="inlineStr">
        <is>
          <t>2026-06-29</t>
        </is>
      </c>
      <c r="P133" s="33" t="inlineStr">
        <is>
          <t>Engineering Qualification Build (EXTENDABLE 2x)</t>
        </is>
      </c>
      <c r="Q133" s="43" t="inlineStr">
        <is>
          <t>Label PCA; TAN and Boxed PID exhibiting the deviation number.</t>
        </is>
      </c>
      <c r="R133" s="43" t="inlineStr">
        <is>
          <t>2026-04-01</t>
        </is>
      </c>
      <c r="S133" s="43" t="inlineStr">
        <is>
          <t>2026-04-14</t>
        </is>
      </c>
      <c r="T133" s="43" t="inlineStr"/>
      <c r="U133" s="43" t="inlineStr"/>
    </row>
    <row r="134">
      <c r="A134" s="43" t="n">
        <v>134</v>
      </c>
      <c r="B134" s="43" t="inlineStr">
        <is>
          <t>133</t>
        </is>
      </c>
      <c r="C134" s="43" t="inlineStr">
        <is>
          <t>FJZP</t>
        </is>
      </c>
      <c r="D134" s="43" t="inlineStr">
        <is>
          <t>Cisco</t>
        </is>
      </c>
      <c r="E134" s="43" t="inlineStr">
        <is>
          <t>MCGA</t>
        </is>
      </c>
      <c r="F134" s="43" t="inlineStr">
        <is>
          <t>034-IOTBU</t>
        </is>
      </c>
      <c r="G134" s="43" t="inlineStr">
        <is>
          <t>CTANJZ05181</t>
        </is>
      </c>
      <c r="H134" s="43" t="inlineStr">
        <is>
          <t>Engineering Qualification Build</t>
        </is>
      </c>
      <c r="I134" s="43" t="inlineStr">
        <is>
          <t>Customer Deviation</t>
        </is>
      </c>
      <c r="J134" s="43" t="inlineStr">
        <is>
          <t>D609526</t>
        </is>
      </c>
      <c r="K134" s="33" t="inlineStr">
        <is>
          <t>D609526 IOTBU: Hellcat :PCBFAB: CPN# 28-101582-04:NDAA 851: Build and Test product using PCBFABs produced by non-China NDAA (SEA) friendly countries.Instructions:1. Foxconn is tasked to build QTY=10 Cisco products using PCBFABs built by Tripod (TVB). These products should be built on the current Production released PCBFAB to ensure manufacturing quality.2. Units will go through regular manufacturing test and MCVT.3. Hold the shipment until Cisco approves it.4. Reach out to PE- Valentino De Leon (tino@cisco.com) after test completion.Affected PCA(s): 73-101439-04Current CPN: 28-101582-04</t>
        </is>
      </c>
      <c r="L134" s="43" t="inlineStr">
        <is>
          <t>Expired</t>
        </is>
      </c>
      <c r="M134" s="43" t="inlineStr">
        <is>
          <t>73-101439-04</t>
        </is>
      </c>
      <c r="N134" s="43" t="inlineStr"/>
      <c r="O134" s="43" t="inlineStr">
        <is>
          <t>2026-06-29</t>
        </is>
      </c>
      <c r="P134" s="33" t="inlineStr">
        <is>
          <t>Engineering Qualification Build (EXTENDABLE 2x)</t>
        </is>
      </c>
      <c r="Q134" s="43" t="inlineStr">
        <is>
          <t>Label PCA; TAN and Boxed PID exhibiting the deviation number.</t>
        </is>
      </c>
      <c r="R134" s="43" t="inlineStr">
        <is>
          <t>2026-04-01</t>
        </is>
      </c>
      <c r="S134" s="43" t="inlineStr">
        <is>
          <t>2026-04-14</t>
        </is>
      </c>
      <c r="T134" s="43" t="inlineStr"/>
      <c r="U134" s="43" t="inlineStr"/>
    </row>
    <row r="135">
      <c r="A135" s="43" t="n">
        <v>135</v>
      </c>
      <c r="B135" s="43" t="inlineStr">
        <is>
          <t>134</t>
        </is>
      </c>
      <c r="C135" s="43" t="inlineStr">
        <is>
          <t>FJZP</t>
        </is>
      </c>
      <c r="D135" s="43" t="inlineStr">
        <is>
          <t>Cisco</t>
        </is>
      </c>
      <c r="E135" s="43" t="inlineStr">
        <is>
          <t>MCGA</t>
        </is>
      </c>
      <c r="F135" s="43" t="inlineStr">
        <is>
          <t>239-CRBU</t>
        </is>
      </c>
      <c r="G135" s="43" t="inlineStr">
        <is>
          <t>CTANJZ05503</t>
        </is>
      </c>
      <c r="H135" s="43" t="inlineStr">
        <is>
          <t>New Release</t>
        </is>
      </c>
      <c r="I135" s="43" t="inlineStr">
        <is>
          <t>Customer Deviation</t>
        </is>
      </c>
      <c r="J135" s="43" t="inlineStr">
        <is>
          <t>D612992</t>
        </is>
      </c>
      <c r="K135" s="33" t="inlineStr">
        <is>
          <t>D612992 Need to qualify ISC019N03L5S on 73-20922-04</t>
        </is>
      </c>
      <c r="L135" s="43" t="inlineStr">
        <is>
          <t>Pending</t>
        </is>
      </c>
      <c r="M135" s="43" t="inlineStr">
        <is>
          <t>73-20922-04</t>
        </is>
      </c>
      <c r="N135" s="43" t="inlineStr"/>
      <c r="O135" s="43" t="inlineStr">
        <is>
          <t>2026-12-21</t>
        </is>
      </c>
      <c r="P135" s="33" t="inlineStr">
        <is>
          <t>Engineering Qualification Build (EXTENDABLE 2x);To track an AML qualification build (EXTENDABLE 2x)</t>
        </is>
      </c>
      <c r="Q135" s="43" t="inlineStr">
        <is>
          <t>NA</t>
        </is>
      </c>
      <c r="R135" s="43" t="inlineStr">
        <is>
          <t>2026-09-23</t>
        </is>
      </c>
      <c r="S135" s="43" t="inlineStr"/>
      <c r="T135" s="43" t="inlineStr"/>
      <c r="U135" s="43" t="inlineStr"/>
    </row>
    <row r="136">
      <c r="A136" s="43" t="n">
        <v>136</v>
      </c>
      <c r="B136" s="43" t="inlineStr">
        <is>
          <t>135</t>
        </is>
      </c>
      <c r="C136" s="43" t="inlineStr">
        <is>
          <t>FJZP</t>
        </is>
      </c>
      <c r="D136" s="43" t="inlineStr">
        <is>
          <t>Cisco</t>
        </is>
      </c>
      <c r="E136" s="43" t="inlineStr">
        <is>
          <t>MCGA</t>
        </is>
      </c>
      <c r="F136" s="43" t="inlineStr">
        <is>
          <t>239-CRBU</t>
        </is>
      </c>
      <c r="G136" s="43" t="inlineStr">
        <is>
          <t>CTANJZ05333</t>
        </is>
      </c>
      <c r="H136" s="43" t="inlineStr">
        <is>
          <t>Engineering Qualification Build</t>
        </is>
      </c>
      <c r="I136" s="43" t="inlineStr">
        <is>
          <t>Customer Deviation</t>
        </is>
      </c>
      <c r="J136" s="43" t="inlineStr">
        <is>
          <t>D611891</t>
        </is>
      </c>
      <c r="K136" s="33" t="inlineStr">
        <is>
          <t>D611891 Need to qualify JP30150011 on 73-20922-04 for Assy Qual Request # : AQR003727879 Which is a Supplier PCN from JP30150011 for PCN TYPE : Site Move on GQR GQR000091465 and AQR AQR003727879</t>
        </is>
      </c>
      <c r="L136" s="43" t="inlineStr">
        <is>
          <t>Expired</t>
        </is>
      </c>
      <c r="M136" s="43" t="inlineStr">
        <is>
          <t>29-102696-03</t>
        </is>
      </c>
      <c r="N136" s="43" t="inlineStr"/>
      <c r="O136" s="43" t="inlineStr">
        <is>
          <t>2026-09-28</t>
        </is>
      </c>
      <c r="P136" s="33" t="inlineStr">
        <is>
          <t>Engineering Qualification Build (EXTENDABLE 2x);To track an AML qualification build (EXTENDABLE 2x)</t>
        </is>
      </c>
      <c r="Q136" s="43" t="inlineStr">
        <is>
          <t>Cookie deviation # on units</t>
        </is>
      </c>
      <c r="R136" s="43" t="inlineStr">
        <is>
          <t>2026-07-02</t>
        </is>
      </c>
      <c r="S136" s="43" t="inlineStr">
        <is>
          <t>2026-07-21</t>
        </is>
      </c>
      <c r="T136" s="43" t="inlineStr"/>
      <c r="U136" s="43" t="inlineStr"/>
    </row>
    <row r="137">
      <c r="A137" s="43" t="n">
        <v>137</v>
      </c>
      <c r="B137" s="43" t="inlineStr">
        <is>
          <t>136</t>
        </is>
      </c>
      <c r="C137" s="43" t="inlineStr">
        <is>
          <t>FJZP</t>
        </is>
      </c>
      <c r="D137" s="43" t="inlineStr">
        <is>
          <t>Cisco</t>
        </is>
      </c>
      <c r="E137" s="43" t="inlineStr">
        <is>
          <t>MCGA</t>
        </is>
      </c>
      <c r="F137" s="43" t="inlineStr">
        <is>
          <t>239-CRBU</t>
        </is>
      </c>
      <c r="G137" s="43" t="inlineStr">
        <is>
          <t>CTANJZ05506</t>
        </is>
      </c>
      <c r="H137" s="43" t="inlineStr">
        <is>
          <t>Engineering Qualification Build</t>
        </is>
      </c>
      <c r="I137" s="43" t="inlineStr">
        <is>
          <t>Customer Deviation</t>
        </is>
      </c>
      <c r="J137" s="43" t="inlineStr">
        <is>
          <t>D613418</t>
        </is>
      </c>
      <c r="K137" s="33" t="inlineStr">
        <is>
          <t>D613418 Need to qualify BBPYCS160808601Y00 on 73-102363-05</t>
        </is>
      </c>
      <c r="L137" s="43" t="inlineStr">
        <is>
          <t>Implementation</t>
        </is>
      </c>
      <c r="M137" s="43" t="inlineStr">
        <is>
          <t>36-0148-02</t>
        </is>
      </c>
      <c r="N137" s="43" t="inlineStr"/>
      <c r="O137" s="43" t="inlineStr">
        <is>
          <t>2026-12-22</t>
        </is>
      </c>
      <c r="P137" s="33" t="inlineStr">
        <is>
          <t>Engineering Qualification Build (EXTENDABLE 2x);To track an AML qualification build (EXTENDABLE 2x)</t>
        </is>
      </c>
      <c r="Q137" s="43" t="inlineStr">
        <is>
          <t>NA</t>
        </is>
      </c>
      <c r="R137" s="43" t="inlineStr">
        <is>
          <t>2026-09-24</t>
        </is>
      </c>
      <c r="S137" s="43" t="inlineStr">
        <is>
          <t>2026-10-03</t>
        </is>
      </c>
      <c r="T137" s="43" t="inlineStr"/>
      <c r="U137" s="43" t="inlineStr"/>
    </row>
    <row r="138">
      <c r="A138" s="43" t="n">
        <v>138</v>
      </c>
      <c r="B138" s="43" t="inlineStr">
        <is>
          <t>137</t>
        </is>
      </c>
      <c r="C138" s="43" t="inlineStr">
        <is>
          <t>FJZP</t>
        </is>
      </c>
      <c r="D138" s="43" t="inlineStr">
        <is>
          <t>Cisco</t>
        </is>
      </c>
      <c r="E138" s="43" t="inlineStr">
        <is>
          <t>MCGA</t>
        </is>
      </c>
      <c r="F138" s="43" t="inlineStr">
        <is>
          <t>239-CRBU</t>
        </is>
      </c>
      <c r="G138" s="43" t="inlineStr">
        <is>
          <t>CTANJZ05506</t>
        </is>
      </c>
      <c r="H138" s="43" t="inlineStr">
        <is>
          <t>Engineering Qualification Build</t>
        </is>
      </c>
      <c r="I138" s="43" t="inlineStr">
        <is>
          <t>Customer Deviation</t>
        </is>
      </c>
      <c r="J138" s="43" t="inlineStr">
        <is>
          <t>D613418</t>
        </is>
      </c>
      <c r="K138" s="33" t="inlineStr">
        <is>
          <t>D613418 Need to qualify BBPYCS160808601Y00 on 73-102363-05</t>
        </is>
      </c>
      <c r="L138" s="43" t="inlineStr">
        <is>
          <t>Implementation</t>
        </is>
      </c>
      <c r="M138" s="43" t="inlineStr">
        <is>
          <t>73-102363-05</t>
        </is>
      </c>
      <c r="N138" s="43" t="inlineStr"/>
      <c r="O138" s="43" t="inlineStr">
        <is>
          <t>2026-12-22</t>
        </is>
      </c>
      <c r="P138" s="33" t="inlineStr">
        <is>
          <t>Engineering Qualification Build (EXTENDABLE 2x);To track an AML qualification build (EXTENDABLE 2x)</t>
        </is>
      </c>
      <c r="Q138" s="43" t="inlineStr">
        <is>
          <t>NA</t>
        </is>
      </c>
      <c r="R138" s="43" t="inlineStr">
        <is>
          <t>2026-09-24</t>
        </is>
      </c>
      <c r="S138" s="43" t="inlineStr">
        <is>
          <t>2026-10-03</t>
        </is>
      </c>
      <c r="T138" s="43" t="inlineStr"/>
      <c r="U138" s="43" t="inlineStr"/>
    </row>
    <row r="139">
      <c r="A139" s="43" t="n">
        <v>139</v>
      </c>
      <c r="B139" s="43" t="inlineStr">
        <is>
          <t>138</t>
        </is>
      </c>
      <c r="C139" s="43" t="inlineStr">
        <is>
          <t>FJZP</t>
        </is>
      </c>
      <c r="D139" s="43" t="inlineStr">
        <is>
          <t>Cisco</t>
        </is>
      </c>
      <c r="E139" s="43" t="inlineStr">
        <is>
          <t>MCGA</t>
        </is>
      </c>
      <c r="F139" s="43" t="inlineStr">
        <is>
          <t>239-CRBU</t>
        </is>
      </c>
      <c r="G139" s="43" t="inlineStr">
        <is>
          <t>CTANJZ05507</t>
        </is>
      </c>
      <c r="H139" s="43" t="inlineStr">
        <is>
          <t>Engineering Qualification Build</t>
        </is>
      </c>
      <c r="I139" s="43" t="inlineStr">
        <is>
          <t>Customer Deviation</t>
        </is>
      </c>
      <c r="J139" s="43" t="inlineStr">
        <is>
          <t>D613427</t>
        </is>
      </c>
      <c r="K139" s="33" t="inlineStr">
        <is>
          <t>D613427Need to qualify MBP21K400-15R045C on 73-102363-05</t>
        </is>
      </c>
      <c r="L139" s="43" t="inlineStr">
        <is>
          <t>Implementation</t>
        </is>
      </c>
      <c r="M139" s="43" t="inlineStr">
        <is>
          <t>36-0111-02</t>
        </is>
      </c>
      <c r="N139" s="43" t="inlineStr"/>
      <c r="O139" s="43" t="inlineStr">
        <is>
          <t>2026-12-22</t>
        </is>
      </c>
      <c r="P139" s="33" t="inlineStr">
        <is>
          <t>Engineering Qualification Build (EXTENDABLE 2x);To track an AML qualification build (EXTENDABLE 2x)</t>
        </is>
      </c>
      <c r="Q139" s="43" t="inlineStr">
        <is>
          <t>NA</t>
        </is>
      </c>
      <c r="R139" s="43" t="inlineStr">
        <is>
          <t>2026-09-24</t>
        </is>
      </c>
      <c r="S139" s="43" t="inlineStr">
        <is>
          <t>2026-10-03</t>
        </is>
      </c>
      <c r="T139" s="43" t="inlineStr"/>
      <c r="U139" s="43" t="inlineStr"/>
    </row>
    <row r="140">
      <c r="A140" s="43" t="n">
        <v>140</v>
      </c>
      <c r="B140" s="43" t="inlineStr">
        <is>
          <t>139</t>
        </is>
      </c>
      <c r="C140" s="43" t="inlineStr">
        <is>
          <t>FJZP</t>
        </is>
      </c>
      <c r="D140" s="43" t="inlineStr">
        <is>
          <t>Cisco</t>
        </is>
      </c>
      <c r="E140" s="43" t="inlineStr">
        <is>
          <t>MCGA</t>
        </is>
      </c>
      <c r="F140" s="43" t="inlineStr">
        <is>
          <t>239-CRBU</t>
        </is>
      </c>
      <c r="G140" s="43" t="inlineStr">
        <is>
          <t>CTANJZ05507</t>
        </is>
      </c>
      <c r="H140" s="43" t="inlineStr">
        <is>
          <t>Engineering Qualification Build</t>
        </is>
      </c>
      <c r="I140" s="43" t="inlineStr">
        <is>
          <t>Customer Deviation</t>
        </is>
      </c>
      <c r="J140" s="43" t="inlineStr">
        <is>
          <t>D613427</t>
        </is>
      </c>
      <c r="K140" s="33" t="inlineStr">
        <is>
          <t>D613427Need to qualify MBP21K400-15R045C on 73-102363-05</t>
        </is>
      </c>
      <c r="L140" s="43" t="inlineStr">
        <is>
          <t>Implementation</t>
        </is>
      </c>
      <c r="M140" s="43" t="inlineStr">
        <is>
          <t>73-102363-05</t>
        </is>
      </c>
      <c r="N140" s="43" t="inlineStr"/>
      <c r="O140" s="43" t="inlineStr">
        <is>
          <t>2026-12-22</t>
        </is>
      </c>
      <c r="P140" s="33" t="inlineStr">
        <is>
          <t>Engineering Qualification Build (EXTENDABLE 2x);To track an AML qualification build (EXTENDABLE 2x)</t>
        </is>
      </c>
      <c r="Q140" s="43" t="inlineStr">
        <is>
          <t>NA</t>
        </is>
      </c>
      <c r="R140" s="43" t="inlineStr">
        <is>
          <t>2026-09-24</t>
        </is>
      </c>
      <c r="S140" s="43" t="inlineStr">
        <is>
          <t>2026-10-03</t>
        </is>
      </c>
      <c r="T140" s="43" t="inlineStr"/>
      <c r="U140" s="43" t="inlineStr"/>
    </row>
    <row r="141">
      <c r="A141" s="43" t="n">
        <v>141</v>
      </c>
      <c r="B141" s="43" t="inlineStr">
        <is>
          <t>140</t>
        </is>
      </c>
      <c r="C141" s="43" t="inlineStr">
        <is>
          <t>FJZP</t>
        </is>
      </c>
      <c r="D141" s="43" t="inlineStr">
        <is>
          <t>Cisco</t>
        </is>
      </c>
      <c r="E141" s="43" t="inlineStr">
        <is>
          <t>MCGA</t>
        </is>
      </c>
      <c r="F141" s="43" t="inlineStr">
        <is>
          <t>239-CRBU</t>
        </is>
      </c>
      <c r="G141" s="43" t="inlineStr">
        <is>
          <t>CTANJZ05502</t>
        </is>
      </c>
      <c r="H141" s="43" t="inlineStr">
        <is>
          <t>Engineering Qualification Build</t>
        </is>
      </c>
      <c r="I141" s="43" t="inlineStr">
        <is>
          <t>Customer Deviation</t>
        </is>
      </c>
      <c r="J141" s="43" t="inlineStr">
        <is>
          <t>D613744</t>
        </is>
      </c>
      <c r="K141" s="33" t="inlineStr">
        <is>
          <t>D613744 Need to qualify MBP21K400-15R045C on 73-21335-01</t>
        </is>
      </c>
      <c r="L141" s="43" t="inlineStr">
        <is>
          <t>Implementation</t>
        </is>
      </c>
      <c r="M141" s="43" t="inlineStr">
        <is>
          <t>36-0111-02</t>
        </is>
      </c>
      <c r="N141" s="43" t="inlineStr"/>
      <c r="O141" s="43" t="inlineStr">
        <is>
          <t>2026-12-20</t>
        </is>
      </c>
      <c r="P141" s="33" t="inlineStr">
        <is>
          <t>Engineering Qualification Build (EXTENDABLE 2x);To track an AML qualification build (EXTENDABLE 2x)</t>
        </is>
      </c>
      <c r="Q141" s="43" t="inlineStr">
        <is>
          <t>NA</t>
        </is>
      </c>
      <c r="R141" s="43" t="inlineStr">
        <is>
          <t>2026-09-22</t>
        </is>
      </c>
      <c r="S141" s="43" t="inlineStr">
        <is>
          <t>2026-10-03</t>
        </is>
      </c>
      <c r="T141" s="43" t="inlineStr"/>
      <c r="U141" s="43" t="inlineStr"/>
    </row>
    <row r="142">
      <c r="A142" s="43" t="n">
        <v>142</v>
      </c>
      <c r="B142" s="43" t="inlineStr">
        <is>
          <t>141</t>
        </is>
      </c>
      <c r="C142" s="43" t="inlineStr">
        <is>
          <t>FJZP</t>
        </is>
      </c>
      <c r="D142" s="43" t="inlineStr">
        <is>
          <t>Cisco</t>
        </is>
      </c>
      <c r="E142" s="43" t="inlineStr">
        <is>
          <t>MCGA</t>
        </is>
      </c>
      <c r="F142" s="43" t="inlineStr">
        <is>
          <t>239-CRBU</t>
        </is>
      </c>
      <c r="G142" s="43" t="inlineStr">
        <is>
          <t>CTANJZ05503</t>
        </is>
      </c>
      <c r="H142" s="43" t="inlineStr">
        <is>
          <t>Engineering Qualification Build</t>
        </is>
      </c>
      <c r="I142" s="43" t="inlineStr">
        <is>
          <t>Customer Deviation</t>
        </is>
      </c>
      <c r="J142" s="43" t="inlineStr">
        <is>
          <t>D612992</t>
        </is>
      </c>
      <c r="K142" s="33" t="inlineStr">
        <is>
          <t>D612992 Need to qualify ISC019N03L5S on 73-20922-04</t>
        </is>
      </c>
      <c r="L142" s="43" t="inlineStr">
        <is>
          <t>Implementation</t>
        </is>
      </c>
      <c r="M142" s="43" t="inlineStr">
        <is>
          <t>20-0788-01</t>
        </is>
      </c>
      <c r="N142" s="43" t="inlineStr"/>
      <c r="O142" s="43" t="inlineStr">
        <is>
          <t>2026-12-21</t>
        </is>
      </c>
      <c r="P142" s="33" t="inlineStr">
        <is>
          <t>Engineering Qualification Build (EXTENDABLE 2x);To track an AML qualification build (EXTENDABLE 2x)</t>
        </is>
      </c>
      <c r="Q142" s="43" t="inlineStr">
        <is>
          <t>NA</t>
        </is>
      </c>
      <c r="R142" s="43" t="inlineStr">
        <is>
          <t>2026-09-23</t>
        </is>
      </c>
      <c r="S142" s="43" t="inlineStr">
        <is>
          <t>2026-10-03</t>
        </is>
      </c>
      <c r="T142" s="43" t="inlineStr"/>
      <c r="U142" s="43" t="inlineStr"/>
    </row>
    <row r="143">
      <c r="A143" s="43" t="n">
        <v>143</v>
      </c>
      <c r="B143" s="43" t="inlineStr">
        <is>
          <t>142</t>
        </is>
      </c>
      <c r="C143" s="43" t="inlineStr">
        <is>
          <t>FJZP</t>
        </is>
      </c>
      <c r="D143" s="43" t="inlineStr">
        <is>
          <t>Cisco</t>
        </is>
      </c>
      <c r="E143" s="43" t="inlineStr">
        <is>
          <t>MCGA</t>
        </is>
      </c>
      <c r="F143" s="43" t="inlineStr">
        <is>
          <t>239-CRBU</t>
        </is>
      </c>
      <c r="G143" s="43" t="inlineStr">
        <is>
          <t>CTANJZ05500</t>
        </is>
      </c>
      <c r="H143" s="43" t="inlineStr">
        <is>
          <t>Engineering Qualification Build</t>
        </is>
      </c>
      <c r="I143" s="43" t="inlineStr">
        <is>
          <t>Customer Deviation</t>
        </is>
      </c>
      <c r="J143" s="43" t="inlineStr">
        <is>
          <t>D612993</t>
        </is>
      </c>
      <c r="K143" s="33" t="inlineStr">
        <is>
          <t>D612993 Need to qualify ISC019N03L5S on 73-102362-07</t>
        </is>
      </c>
      <c r="L143" s="43" t="inlineStr">
        <is>
          <t>Implementation</t>
        </is>
      </c>
      <c r="M143" s="43" t="inlineStr">
        <is>
          <t>20-0788-01</t>
        </is>
      </c>
      <c r="N143" s="43" t="inlineStr"/>
      <c r="O143" s="43" t="inlineStr">
        <is>
          <t>2026-12-19</t>
        </is>
      </c>
      <c r="P143" s="33" t="inlineStr">
        <is>
          <t>Engineering Qualification Build (EXTENDABLE 2x);To track an AML qualification build (EXTENDABLE 2x)</t>
        </is>
      </c>
      <c r="Q143" s="43" t="inlineStr">
        <is>
          <t>NA</t>
        </is>
      </c>
      <c r="R143" s="43" t="inlineStr">
        <is>
          <t>2026-09-22</t>
        </is>
      </c>
      <c r="S143" s="43" t="inlineStr">
        <is>
          <t>2026-10-03</t>
        </is>
      </c>
      <c r="T143" s="43" t="inlineStr"/>
      <c r="U143" s="43" t="inlineStr"/>
    </row>
    <row r="144">
      <c r="A144" s="43" t="n">
        <v>144</v>
      </c>
      <c r="B144" s="43" t="inlineStr">
        <is>
          <t>143</t>
        </is>
      </c>
      <c r="C144" s="43" t="inlineStr">
        <is>
          <t>FJZP</t>
        </is>
      </c>
      <c r="D144" s="43" t="inlineStr">
        <is>
          <t>Cisco</t>
        </is>
      </c>
      <c r="E144" s="43" t="inlineStr">
        <is>
          <t>MCGA</t>
        </is>
      </c>
      <c r="F144" s="43" t="inlineStr">
        <is>
          <t>239-CRBU</t>
        </is>
      </c>
      <c r="G144" s="43" t="inlineStr">
        <is>
          <t>CTANJZ05284</t>
        </is>
      </c>
      <c r="H144" s="43" t="inlineStr">
        <is>
          <t>Engineering Qualification Build</t>
        </is>
      </c>
      <c r="I144" s="43" t="inlineStr">
        <is>
          <t>Customer Deviation</t>
        </is>
      </c>
      <c r="J144" s="43" t="inlineStr">
        <is>
          <t>D611785</t>
        </is>
      </c>
      <c r="K144" s="33" t="inlineStr">
        <is>
          <t>D611785 Need to qualify VOS617A-7T on 73-21146-12 for Assy Qual Request # : AQR003707792 Which is a Supplier PCN from VOS617A-7T for PCN TYPE : Process Change on GQR GQR000090455 and AQR AQR003707792FVN/FOL/FJZ can arrange MFG qual build-3 boards with latest PCBA or down version</t>
        </is>
      </c>
      <c r="L144" s="43" t="inlineStr">
        <is>
          <t>Extended</t>
        </is>
      </c>
      <c r="M144" s="43" t="inlineStr">
        <is>
          <t>15-10372-01</t>
        </is>
      </c>
      <c r="N144" s="43" t="inlineStr"/>
      <c r="O144" s="43" t="inlineStr">
        <is>
          <t>2026-12-04</t>
        </is>
      </c>
      <c r="P144" s="33" t="inlineStr">
        <is>
          <t>Engineering Qualification Build (EXTENDABLE 2x);To track an AML qualification build (EXTENDABLE 2x)</t>
        </is>
      </c>
      <c r="Q144" s="43" t="inlineStr">
        <is>
          <t>put deviation number on units</t>
        </is>
      </c>
      <c r="R144" s="43" t="inlineStr">
        <is>
          <t>2026-06-09</t>
        </is>
      </c>
      <c r="S144" s="43" t="inlineStr">
        <is>
          <t>2026-07-02</t>
        </is>
      </c>
      <c r="T144" s="43" t="inlineStr"/>
      <c r="U144" s="43" t="inlineStr"/>
    </row>
    <row r="145">
      <c r="A145" s="43" t="n">
        <v>145</v>
      </c>
      <c r="B145" s="43" t="inlineStr">
        <is>
          <t>144</t>
        </is>
      </c>
      <c r="C145" s="43" t="inlineStr">
        <is>
          <t>FJZP</t>
        </is>
      </c>
      <c r="D145" s="43" t="inlineStr">
        <is>
          <t>Cisco</t>
        </is>
      </c>
      <c r="E145" s="43" t="inlineStr">
        <is>
          <t>MCGA</t>
        </is>
      </c>
      <c r="F145" s="43" t="inlineStr">
        <is>
          <t>239-CRBU</t>
        </is>
      </c>
      <c r="G145" s="43" t="inlineStr">
        <is>
          <t>CTANJZ05284</t>
        </is>
      </c>
      <c r="H145" s="43" t="inlineStr">
        <is>
          <t>Engineering Qualification Build</t>
        </is>
      </c>
      <c r="I145" s="43" t="inlineStr">
        <is>
          <t>Customer Deviation</t>
        </is>
      </c>
      <c r="J145" s="43" t="inlineStr">
        <is>
          <t>D611785</t>
        </is>
      </c>
      <c r="K145" s="33" t="inlineStr">
        <is>
          <t>D611785 Need to qualify VOS617A-7T on 73-21146-12 for Assy Qual Request # : AQR003707792 Which is a Supplier PCN from VOS617A-7T for PCN TYPE : Process Change on GQR GQR000090455 and AQR AQR003707792FVN/FOL/FJZ can arrange MFG qual build-3 boards with latest PCBA or down version</t>
        </is>
      </c>
      <c r="L145" s="43" t="inlineStr">
        <is>
          <t>Extended</t>
        </is>
      </c>
      <c r="M145" s="43" t="inlineStr">
        <is>
          <t>73-21146-12</t>
        </is>
      </c>
      <c r="N145" s="43" t="inlineStr"/>
      <c r="O145" s="43" t="inlineStr">
        <is>
          <t>2026-12-04</t>
        </is>
      </c>
      <c r="P145" s="33" t="inlineStr">
        <is>
          <t>Engineering Qualification Build (EXTENDABLE 2x);To track an AML qualification build (EXTENDABLE 2x)</t>
        </is>
      </c>
      <c r="Q145" s="43" t="inlineStr">
        <is>
          <t>put deviation number on units</t>
        </is>
      </c>
      <c r="R145" s="43" t="inlineStr">
        <is>
          <t>2026-06-09</t>
        </is>
      </c>
      <c r="S145" s="43" t="inlineStr">
        <is>
          <t>2026-07-02</t>
        </is>
      </c>
      <c r="T145" s="43" t="inlineStr"/>
      <c r="U145" s="43" t="inlineStr"/>
    </row>
    <row r="146">
      <c r="A146" s="43" t="n">
        <v>146</v>
      </c>
      <c r="B146" s="43" t="inlineStr">
        <is>
          <t>145</t>
        </is>
      </c>
      <c r="C146" s="43" t="inlineStr">
        <is>
          <t>FJZP</t>
        </is>
      </c>
      <c r="D146" s="43" t="inlineStr">
        <is>
          <t>Cisco</t>
        </is>
      </c>
      <c r="E146" s="43" t="inlineStr">
        <is>
          <t>MCGA</t>
        </is>
      </c>
      <c r="F146" s="43" t="inlineStr">
        <is>
          <t>037-STBU</t>
        </is>
      </c>
      <c r="G146" s="43" t="inlineStr">
        <is>
          <t>CTANJZ04583</t>
        </is>
      </c>
      <c r="H146" s="43" t="inlineStr">
        <is>
          <t>To track an AML qualification build (EXTENDABLE)</t>
        </is>
      </c>
      <c r="I146" s="43" t="inlineStr">
        <is>
          <t>Customer Deviation</t>
        </is>
      </c>
      <c r="J146" s="43" t="inlineStr">
        <is>
          <t>D602497</t>
        </is>
      </c>
      <c r="K146" s="33" t="inlineStr">
        <is>
          <t>D602497 Please see PageThree for details</t>
        </is>
      </c>
      <c r="L146" s="43" t="inlineStr">
        <is>
          <t>Expired</t>
        </is>
      </c>
      <c r="M146" s="43" t="inlineStr">
        <is>
          <t>24-1261-01</t>
        </is>
      </c>
      <c r="N146" s="43" t="inlineStr"/>
      <c r="O146" s="43" t="inlineStr">
        <is>
          <t>2025-07-28</t>
        </is>
      </c>
      <c r="P146" s="33" t="inlineStr">
        <is>
          <t>To track an AML qualification build (EXTENDABLE 2x)</t>
        </is>
      </c>
      <c r="Q146" s="43" t="inlineStr">
        <is>
          <t>Please mark PCBA with this deviation number. Place label on top side of assembly near 68-# label.</t>
        </is>
      </c>
      <c r="R146" s="43" t="inlineStr">
        <is>
          <t>2025-04-30</t>
        </is>
      </c>
      <c r="S146" s="43" t="inlineStr">
        <is>
          <t>2025-05-19</t>
        </is>
      </c>
      <c r="T146" s="43" t="inlineStr"/>
      <c r="U146" s="43" t="inlineStr"/>
    </row>
    <row r="147">
      <c r="A147" s="43" t="n">
        <v>147</v>
      </c>
      <c r="B147" s="43" t="inlineStr">
        <is>
          <t>146</t>
        </is>
      </c>
      <c r="C147" s="43" t="inlineStr">
        <is>
          <t>FJZP</t>
        </is>
      </c>
      <c r="D147" s="43" t="inlineStr">
        <is>
          <t>Cisco</t>
        </is>
      </c>
      <c r="E147" s="43" t="inlineStr">
        <is>
          <t>MCGA</t>
        </is>
      </c>
      <c r="F147" s="43" t="inlineStr">
        <is>
          <t>037-STBU</t>
        </is>
      </c>
      <c r="G147" s="43" t="inlineStr">
        <is>
          <t>CTANJZ04583</t>
        </is>
      </c>
      <c r="H147" s="43" t="inlineStr">
        <is>
          <t>To track an AML qualification build (EXTENDABLE)</t>
        </is>
      </c>
      <c r="I147" s="43" t="inlineStr">
        <is>
          <t>Customer Deviation</t>
        </is>
      </c>
      <c r="J147" s="43" t="inlineStr">
        <is>
          <t>D602497</t>
        </is>
      </c>
      <c r="K147" s="33" t="inlineStr">
        <is>
          <t>D602497 Please see PageThree for details</t>
        </is>
      </c>
      <c r="L147" s="43" t="inlineStr">
        <is>
          <t>Expired</t>
        </is>
      </c>
      <c r="M147" s="43" t="inlineStr">
        <is>
          <t>68-6805-03</t>
        </is>
      </c>
      <c r="N147" s="43" t="inlineStr"/>
      <c r="O147" s="43" t="inlineStr">
        <is>
          <t>2025-07-28</t>
        </is>
      </c>
      <c r="P147" s="33" t="inlineStr">
        <is>
          <t>To track an AML qualification build (EXTENDABLE 2x)</t>
        </is>
      </c>
      <c r="Q147" s="43" t="inlineStr">
        <is>
          <t>Please mark PCBA with this deviation number. Place label on top side of assembly near 68-# label.</t>
        </is>
      </c>
      <c r="R147" s="43" t="inlineStr">
        <is>
          <t>2025-04-30</t>
        </is>
      </c>
      <c r="S147" s="43" t="inlineStr">
        <is>
          <t>2025-05-19</t>
        </is>
      </c>
      <c r="T147" s="43" t="inlineStr"/>
      <c r="U147" s="43" t="inlineStr"/>
    </row>
    <row r="148">
      <c r="A148" s="43" t="n">
        <v>148</v>
      </c>
      <c r="B148" s="43" t="inlineStr">
        <is>
          <t>147</t>
        </is>
      </c>
      <c r="C148" s="43" t="inlineStr">
        <is>
          <t>FJZP</t>
        </is>
      </c>
      <c r="D148" s="43" t="inlineStr">
        <is>
          <t>Cisco</t>
        </is>
      </c>
      <c r="E148" s="43" t="inlineStr">
        <is>
          <t>MCGA</t>
        </is>
      </c>
      <c r="F148" s="43" t="inlineStr">
        <is>
          <t>037-STBU</t>
        </is>
      </c>
      <c r="G148" s="43" t="inlineStr">
        <is>
          <t>CTANJZ04583</t>
        </is>
      </c>
      <c r="H148" s="43" t="inlineStr">
        <is>
          <t>To track an AML qualification build (EXTENDABLE)</t>
        </is>
      </c>
      <c r="I148" s="43" t="inlineStr">
        <is>
          <t>Customer Deviation</t>
        </is>
      </c>
      <c r="J148" s="43" t="inlineStr">
        <is>
          <t>D602497</t>
        </is>
      </c>
      <c r="K148" s="33" t="inlineStr">
        <is>
          <t>D602497 Please see PageThree for details</t>
        </is>
      </c>
      <c r="L148" s="43" t="inlineStr">
        <is>
          <t>Expired</t>
        </is>
      </c>
      <c r="M148" s="43" t="inlineStr">
        <is>
          <t>73-19337-01</t>
        </is>
      </c>
      <c r="N148" s="43" t="inlineStr"/>
      <c r="O148" s="43" t="inlineStr">
        <is>
          <t>2025-07-28</t>
        </is>
      </c>
      <c r="P148" s="33" t="inlineStr">
        <is>
          <t>To track an AML qualification build (EXTENDABLE 2x)</t>
        </is>
      </c>
      <c r="Q148" s="43" t="inlineStr">
        <is>
          <t>Please mark PCBA with this deviation number. Place label on top side of assembly near 68-# label.</t>
        </is>
      </c>
      <c r="R148" s="43" t="inlineStr">
        <is>
          <t>2025-04-30</t>
        </is>
      </c>
      <c r="S148" s="43" t="inlineStr">
        <is>
          <t>2025-05-19</t>
        </is>
      </c>
      <c r="T148" s="43" t="inlineStr"/>
      <c r="U148" s="43" t="inlineStr"/>
    </row>
    <row r="149">
      <c r="A149" s="43" t="n">
        <v>149</v>
      </c>
      <c r="B149" s="43" t="inlineStr">
        <is>
          <t>148</t>
        </is>
      </c>
      <c r="C149" s="43" t="inlineStr">
        <is>
          <t>FJZP</t>
        </is>
      </c>
      <c r="D149" s="43" t="inlineStr">
        <is>
          <t>Cisco</t>
        </is>
      </c>
      <c r="E149" s="43" t="inlineStr">
        <is>
          <t>MCGA</t>
        </is>
      </c>
      <c r="F149" s="43" t="inlineStr">
        <is>
          <t>037-STBU</t>
        </is>
      </c>
      <c r="G149" s="43" t="inlineStr">
        <is>
          <t>CTANJZ04967</t>
        </is>
      </c>
      <c r="H149" s="43" t="inlineStr">
        <is>
          <t>To track an AML qualification build (EXTENDABLE 2x)</t>
        </is>
      </c>
      <c r="I149" s="43" t="inlineStr">
        <is>
          <t>Customer Deviation</t>
        </is>
      </c>
      <c r="J149" s="43" t="inlineStr">
        <is>
          <t>D607705</t>
        </is>
      </c>
      <c r="K149" s="33" t="inlineStr">
        <is>
          <t>D607705 1. For Main Board - 73-103633-05; due to solder bridging seen on 11-101888-04 when using Taiyo Yuden (big body 0402; larger tolerance); FJZ is directed to use Walsin MPN 402X226M6R3 (AVL status = IPQ) on at least 10 PCBAs as part of the Pilot 2 build.  Please note that FJZ has already completed risk buy for this Walsin MPN per previous risk buy deviation (see DP525135). These 10 qual units should also use bare fabs from Gold Circuit (GCE). Note that Pilot 1 was 100% WUS bare fabs.  To reduce exposure to new Walsin CPN usage; all other units should use Kyocera/AVX outside of CPU socket areas if material allows.  Taiyo Yuden should not be used for the Pilot 2 build.  If Walsin qualificationproves successful (which is fully expected due to dimenstional similarity to Kyocera/AVX); we will move to have Taiyo Yuden AVL updated to EOP/NNB status preventing further usage2. For ESW (73-103558-04); CPN 15-107147-01;  Ok to use MPN 98CX8540-A0-BZD4C000; please note that current AVL = MPN 98CX8540A0-BZD4C000; same part; format/MPN nomenclature updated per Marvell request after FJZ Purchase Order placed.3. For 700-138393-01; Ok to use HARDWARE SPECIALTY MPN 1363472 (AVL = Cancelled)4. For SSD assemblies 68-104897-01 (3.8TB) &amp; 68-104898-01 (7.6TB); please make sure to use  new SSD carrier version -03 (800-50525-03); down version carrier material will be used up on Warwick Avenue SSD assemblies per ECO EA620457</t>
        </is>
      </c>
      <c r="L149" s="43" t="inlineStr">
        <is>
          <t>Expired</t>
        </is>
      </c>
      <c r="M149" s="43" t="inlineStr">
        <is>
          <t>11-101888-04</t>
        </is>
      </c>
      <c r="N149" s="43" t="inlineStr"/>
      <c r="O149" s="43" t="inlineStr">
        <is>
          <t>2026-02-16</t>
        </is>
      </c>
      <c r="P149" s="33" t="inlineStr">
        <is>
          <t>To track an AML qualification build (EXTENDABLE 2x)</t>
        </is>
      </c>
      <c r="Q149" s="43" t="inlineStr">
        <is>
          <t>No marking/labeling required.  No Deviation IDPROM programming  required. Please share serial numbers and capacitor build results in CPU socket areas with EPEs and NPPM</t>
        </is>
      </c>
      <c r="R149" s="43" t="inlineStr">
        <is>
          <t>2025-11-18</t>
        </is>
      </c>
      <c r="S149" s="43" t="inlineStr">
        <is>
          <t>2026-01-13</t>
        </is>
      </c>
      <c r="T149" s="43" t="inlineStr"/>
      <c r="U149" s="43" t="inlineStr"/>
    </row>
    <row r="150">
      <c r="A150" s="43" t="n">
        <v>150</v>
      </c>
      <c r="B150" s="43" t="inlineStr">
        <is>
          <t>149</t>
        </is>
      </c>
      <c r="C150" s="43" t="inlineStr">
        <is>
          <t>FJZP</t>
        </is>
      </c>
      <c r="D150" s="43" t="inlineStr">
        <is>
          <t>Cisco</t>
        </is>
      </c>
      <c r="E150" s="43" t="inlineStr">
        <is>
          <t>MCGA</t>
        </is>
      </c>
      <c r="F150" s="43" t="inlineStr">
        <is>
          <t>037-STBU</t>
        </is>
      </c>
      <c r="G150" s="43" t="inlineStr">
        <is>
          <t>CTANJZ04967</t>
        </is>
      </c>
      <c r="H150" s="43" t="inlineStr">
        <is>
          <t>To track an AML qualification build (EXTENDABLE 2x)</t>
        </is>
      </c>
      <c r="I150" s="43" t="inlineStr">
        <is>
          <t>Customer Deviation</t>
        </is>
      </c>
      <c r="J150" s="43" t="inlineStr">
        <is>
          <t>D607705</t>
        </is>
      </c>
      <c r="K150" s="33" t="inlineStr">
        <is>
          <t>D607705 1. For Main Board - 73-103633-05; due to solder bridging seen on 11-101888-04 when using Taiyo Yuden (big body 0402; larger tolerance); FJZ is directed to use Walsin MPN 402X226M6R3 (AVL status = IPQ) on at least 10 PCBAs as part of the Pilot 2 build.  Please note that FJZ has already completed risk buy for this Walsin MPN per previous risk buy deviation (see DP525135). These 10 qual units should also use bare fabs from Gold Circuit (GCE). Note that Pilot 1 was 100% WUS bare fabs.  To reduce exposure to new Walsin CPN usage; all other units should use Kyocera/AVX outside of CPU socket areas if material allows.  Taiyo Yuden should not be used for the Pilot 2 build.  If Walsin qualificationproves successful (which is fully expected due to dimenstional similarity to Kyocera/AVX); we will move to have Taiyo Yuden AVL updated to EOP/NNB status preventing further usage2. For ESW (73-103558-04); CPN 15-107147-01;  Ok to use MPN 98CX8540-A0-BZD4C000; please note that current AVL = MPN 98CX8540A0-BZD4C000; same part; format/MPN nomenclature updated per Marvell request after FJZ Purchase Order placed.3. For 700-138393-01; Ok to use HARDWARE SPECIALTY MPN 1363472 (AVL = Cancelled)4. For SSD assemblies 68-104897-01 (3.8TB) &amp; 68-104898-01 (7.6TB); please make sure to use  new SSD carrier version -03 (800-50525-03); down version carrier material will be used up on Warwick Avenue SSD assemblies per ECO EA620457</t>
        </is>
      </c>
      <c r="L150" s="43" t="inlineStr">
        <is>
          <t>Expired</t>
        </is>
      </c>
      <c r="M150" s="43" t="inlineStr">
        <is>
          <t>68-104897-01</t>
        </is>
      </c>
      <c r="N150" s="43" t="inlineStr"/>
      <c r="O150" s="43" t="inlineStr">
        <is>
          <t>2026-02-16</t>
        </is>
      </c>
      <c r="P150" s="33" t="inlineStr">
        <is>
          <t>To track an AML qualification build (EXTENDABLE 2x)</t>
        </is>
      </c>
      <c r="Q150" s="43" t="inlineStr">
        <is>
          <t>No marking/labeling required.  No Deviation IDPROM programming  required. Please share serial numbers and capacitor build results in CPU socket areas with EPEs and NPPM</t>
        </is>
      </c>
      <c r="R150" s="43" t="inlineStr">
        <is>
          <t>2025-11-18</t>
        </is>
      </c>
      <c r="S150" s="43" t="inlineStr">
        <is>
          <t>2026-01-13</t>
        </is>
      </c>
      <c r="T150" s="43" t="inlineStr"/>
      <c r="U150" s="43" t="inlineStr"/>
    </row>
    <row r="151">
      <c r="A151" s="43" t="n">
        <v>151</v>
      </c>
      <c r="B151" s="43" t="inlineStr">
        <is>
          <t>150</t>
        </is>
      </c>
      <c r="C151" s="43" t="inlineStr">
        <is>
          <t>FJZP</t>
        </is>
      </c>
      <c r="D151" s="43" t="inlineStr">
        <is>
          <t>Cisco</t>
        </is>
      </c>
      <c r="E151" s="43" t="inlineStr">
        <is>
          <t>MCGA</t>
        </is>
      </c>
      <c r="F151" s="43" t="inlineStr">
        <is>
          <t>037-STBU</t>
        </is>
      </c>
      <c r="G151" s="43" t="inlineStr">
        <is>
          <t>CTANJZ04967</t>
        </is>
      </c>
      <c r="H151" s="43" t="inlineStr">
        <is>
          <t>To track an AML qualification build (EXTENDABLE 2x)</t>
        </is>
      </c>
      <c r="I151" s="43" t="inlineStr">
        <is>
          <t>Customer Deviation</t>
        </is>
      </c>
      <c r="J151" s="43" t="inlineStr">
        <is>
          <t>D607705</t>
        </is>
      </c>
      <c r="K151" s="33" t="inlineStr">
        <is>
          <t>D607705 1. For Main Board - 73-103633-05; due to solder bridging seen on 11-101888-04 when using Taiyo Yuden (big body 0402; larger tolerance); FJZ is directed to use Walsin MPN 402X226M6R3 (AVL status = IPQ) on at least 10 PCBAs as part of the Pilot 2 build.  Please note that FJZ has already completed risk buy for this Walsin MPN per previous risk buy deviation (see DP525135). These 10 qual units should also use bare fabs from Gold Circuit (GCE). Note that Pilot 1 was 100% WUS bare fabs.  To reduce exposure to new Walsin CPN usage; all other units should use Kyocera/AVX outside of CPU socket areas if material allows.  Taiyo Yuden should not be used for the Pilot 2 build.  If Walsin qualificationproves successful (which is fully expected due to dimenstional similarity to Kyocera/AVX); we will move to have Taiyo Yuden AVL updated to EOP/NNB status preventing further usage2. For ESW (73-103558-04); CPN 15-107147-01;  Ok to use MPN 98CX8540-A0-BZD4C000; please note that current AVL = MPN 98CX8540A0-BZD4C000; same part; format/MPN nomenclature updated per Marvell request after FJZ Purchase Order placed.3. For 700-138393-01; Ok to use HARDWARE SPECIALTY MPN 1363472 (AVL = Cancelled)4. For SSD assemblies 68-104897-01 (3.8TB) &amp; 68-104898-01 (7.6TB); please make sure to use  new SSD carrier version -03 (800-50525-03); down version carrier material will be used up on Warwick Avenue SSD assemblies per ECO EA620457</t>
        </is>
      </c>
      <c r="L151" s="43" t="inlineStr">
        <is>
          <t>Expired</t>
        </is>
      </c>
      <c r="M151" s="43" t="inlineStr">
        <is>
          <t>68-104898-01</t>
        </is>
      </c>
      <c r="N151" s="43" t="inlineStr"/>
      <c r="O151" s="43" t="inlineStr">
        <is>
          <t>2026-02-16</t>
        </is>
      </c>
      <c r="P151" s="33" t="inlineStr">
        <is>
          <t>To track an AML qualification build (EXTENDABLE 2x)</t>
        </is>
      </c>
      <c r="Q151" s="43" t="inlineStr">
        <is>
          <t>No marking/labeling required.  No Deviation IDPROM programming  required. Please share serial numbers and capacitor build results in CPU socket areas with EPEs and NPPM</t>
        </is>
      </c>
      <c r="R151" s="43" t="inlineStr">
        <is>
          <t>2025-11-18</t>
        </is>
      </c>
      <c r="S151" s="43" t="inlineStr">
        <is>
          <t>2026-01-13</t>
        </is>
      </c>
      <c r="T151" s="43" t="inlineStr"/>
      <c r="U151" s="43" t="inlineStr"/>
    </row>
    <row r="152">
      <c r="A152" s="43" t="n">
        <v>152</v>
      </c>
      <c r="B152" s="43" t="inlineStr">
        <is>
          <t>151</t>
        </is>
      </c>
      <c r="C152" s="43" t="inlineStr">
        <is>
          <t>FJZP</t>
        </is>
      </c>
      <c r="D152" s="43" t="inlineStr">
        <is>
          <t>Cisco</t>
        </is>
      </c>
      <c r="E152" s="43" t="inlineStr">
        <is>
          <t>MCGA</t>
        </is>
      </c>
      <c r="F152" s="43" t="inlineStr">
        <is>
          <t>037-STBU</t>
        </is>
      </c>
      <c r="G152" s="43" t="inlineStr">
        <is>
          <t>CTANJZ04967</t>
        </is>
      </c>
      <c r="H152" s="43" t="inlineStr">
        <is>
          <t>To track an AML qualification build (EXTENDABLE 2x)</t>
        </is>
      </c>
      <c r="I152" s="43" t="inlineStr">
        <is>
          <t>Customer Deviation</t>
        </is>
      </c>
      <c r="J152" s="43" t="inlineStr">
        <is>
          <t>D607705</t>
        </is>
      </c>
      <c r="K152" s="33" t="inlineStr">
        <is>
          <t>D607705 1. For Main Board - 73-103633-05; due to solder bridging seen on 11-101888-04 when using Taiyo Yuden (big body 0402; larger tolerance); FJZ is directed to use Walsin MPN 402X226M6R3 (AVL status = IPQ) on at least 10 PCBAs as part of the Pilot 2 build.  Please note that FJZ has already completed risk buy for this Walsin MPN per previous risk buy deviation (see DP525135). These 10 qual units should also use bare fabs from Gold Circuit (GCE). Note that Pilot 1 was 100% WUS bare fabs.  To reduce exposure to new Walsin CPN usage; all other units should use Kyocera/AVX outside of CPU socket areas if material allows.  Taiyo Yuden should not be used for the Pilot 2 build.  If Walsin qualificationproves successful (which is fully expected due to dimenstional similarity to Kyocera/AVX); we will move to have Taiyo Yuden AVL updated to EOP/NNB status preventing further usage2. For ESW (73-103558-04); CPN 15-107147-01;  Ok to use MPN 98CX8540-A0-BZD4C000; please note that current AVL = MPN 98CX8540A0-BZD4C000; same part; format/MPN nomenclature updated per Marvell request after FJZ Purchase Order placed.3. For 700-138393-01; Ok to use HARDWARE SPECIALTY MPN 1363472 (AVL = Cancelled)4. For SSD assemblies 68-104897-01 (3.8TB) &amp; 68-104898-01 (7.6TB); please make sure to use  new SSD carrier version -03 (800-50525-03); down version carrier material will be used up on Warwick Avenue SSD assemblies per ECO EA620457</t>
        </is>
      </c>
      <c r="L152" s="43" t="inlineStr">
        <is>
          <t>Expired</t>
        </is>
      </c>
      <c r="M152" s="43" t="inlineStr">
        <is>
          <t>700-138393-01</t>
        </is>
      </c>
      <c r="N152" s="43" t="inlineStr"/>
      <c r="O152" s="43" t="inlineStr">
        <is>
          <t>2026-02-16</t>
        </is>
      </c>
      <c r="P152" s="33" t="inlineStr">
        <is>
          <t>To track an AML qualification build (EXTENDABLE 2x)</t>
        </is>
      </c>
      <c r="Q152" s="43" t="inlineStr">
        <is>
          <t>No marking/labeling required.  No Deviation IDPROM programming  required. Please share serial numbers and capacitor build results in CPU socket areas with EPEs and NPPM</t>
        </is>
      </c>
      <c r="R152" s="43" t="inlineStr">
        <is>
          <t>2025-11-18</t>
        </is>
      </c>
      <c r="S152" s="43" t="inlineStr">
        <is>
          <t>2026-01-13</t>
        </is>
      </c>
      <c r="T152" s="43" t="inlineStr"/>
      <c r="U152" s="43" t="inlineStr"/>
    </row>
    <row r="153">
      <c r="A153" s="43" t="n">
        <v>153</v>
      </c>
      <c r="B153" s="43" t="inlineStr">
        <is>
          <t>152</t>
        </is>
      </c>
      <c r="C153" s="43" t="inlineStr">
        <is>
          <t>FJZP</t>
        </is>
      </c>
      <c r="D153" s="43" t="inlineStr">
        <is>
          <t>Cisco</t>
        </is>
      </c>
      <c r="E153" s="43" t="inlineStr">
        <is>
          <t>MCGA</t>
        </is>
      </c>
      <c r="F153" s="43" t="inlineStr">
        <is>
          <t>037-STBU</t>
        </is>
      </c>
      <c r="G153" s="43" t="inlineStr">
        <is>
          <t>CTANJZ04967</t>
        </is>
      </c>
      <c r="H153" s="43" t="inlineStr">
        <is>
          <t>To track an AML qualification build (EXTENDABLE 2x)</t>
        </is>
      </c>
      <c r="I153" s="43" t="inlineStr">
        <is>
          <t>Customer Deviation</t>
        </is>
      </c>
      <c r="J153" s="43" t="inlineStr">
        <is>
          <t>D607705</t>
        </is>
      </c>
      <c r="K153" s="33" t="inlineStr">
        <is>
          <t>D607705 1. For Main Board - 73-103633-05; due to solder bridging seen on 11-101888-04 when using Taiyo Yuden (big body 0402; larger tolerance); FJZ is directed to use Walsin MPN 402X226M6R3 (AVL status = IPQ) on at least 10 PCBAs as part of the Pilot 2 build.  Please note that FJZ has already completed risk buy for this Walsin MPN per previous risk buy deviation (see DP525135). These 10 qual units should also use bare fabs from Gold Circuit (GCE). Note that Pilot 1 was 100% WUS bare fabs.  To reduce exposure to new Walsin CPN usage; all other units should use Kyocera/AVX outside of CPU socket areas if material allows.  Taiyo Yuden should not be used for the Pilot 2 build.  If Walsin qualificationproves successful (which is fully expected due to dimenstional similarity to Kyocera/AVX); we will move to have Taiyo Yuden AVL updated to EOP/NNB status preventing further usage2. For ESW (73-103558-04); CPN 15-107147-01;  Ok to use MPN 98CX8540-A0-BZD4C000; please note that current AVL = MPN 98CX8540A0-BZD4C000; same part; format/MPN nomenclature updated per Marvell request after FJZ Purchase Order placed.3. For 700-138393-01; Ok to use HARDWARE SPECIALTY MPN 1363472 (AVL = Cancelled)4. For SSD assemblies 68-104897-01 (3.8TB) &amp; 68-104898-01 (7.6TB); please make sure to use  new SSD carrier version -03 (800-50525-03); down version carrier material will be used up on Warwick Avenue SSD assemblies per ECO EA620457</t>
        </is>
      </c>
      <c r="L153" s="43" t="inlineStr">
        <is>
          <t>Expired</t>
        </is>
      </c>
      <c r="M153" s="43" t="inlineStr">
        <is>
          <t>73-103558-04</t>
        </is>
      </c>
      <c r="N153" s="43" t="inlineStr"/>
      <c r="O153" s="43" t="inlineStr">
        <is>
          <t>2026-02-16</t>
        </is>
      </c>
      <c r="P153" s="33" t="inlineStr">
        <is>
          <t>To track an AML qualification build (EXTENDABLE 2x)</t>
        </is>
      </c>
      <c r="Q153" s="43" t="inlineStr">
        <is>
          <t>No marking/labeling required.  No Deviation IDPROM programming  required. Please share serial numbers and capacitor build results in CPU socket areas with EPEs and NPPM</t>
        </is>
      </c>
      <c r="R153" s="43" t="inlineStr">
        <is>
          <t>2025-11-18</t>
        </is>
      </c>
      <c r="S153" s="43" t="inlineStr">
        <is>
          <t>2026-01-13</t>
        </is>
      </c>
      <c r="T153" s="43" t="inlineStr"/>
      <c r="U153" s="43" t="inlineStr"/>
    </row>
    <row r="154">
      <c r="A154" s="43" t="n">
        <v>154</v>
      </c>
      <c r="B154" s="43" t="inlineStr">
        <is>
          <t>153</t>
        </is>
      </c>
      <c r="C154" s="43" t="inlineStr">
        <is>
          <t>FJZP</t>
        </is>
      </c>
      <c r="D154" s="43" t="inlineStr">
        <is>
          <t>Cisco</t>
        </is>
      </c>
      <c r="E154" s="43" t="inlineStr">
        <is>
          <t>MCGA</t>
        </is>
      </c>
      <c r="F154" s="43" t="inlineStr">
        <is>
          <t>037-STBU</t>
        </is>
      </c>
      <c r="G154" s="43" t="inlineStr">
        <is>
          <t>CTANJZ04967</t>
        </is>
      </c>
      <c r="H154" s="43" t="inlineStr">
        <is>
          <t>To track an AML qualification build (EXTENDABLE 2x)</t>
        </is>
      </c>
      <c r="I154" s="43" t="inlineStr">
        <is>
          <t>Customer Deviation</t>
        </is>
      </c>
      <c r="J154" s="43" t="inlineStr">
        <is>
          <t>D607705</t>
        </is>
      </c>
      <c r="K154" s="33" t="inlineStr">
        <is>
          <t>D607705 1. For Main Board - 73-103633-05; due to solder bridging seen on 11-101888-04 when using Taiyo Yuden (big body 0402; larger tolerance); FJZ is directed to use Walsin MPN 402X226M6R3 (AVL status = IPQ) on at least 10 PCBAs as part of the Pilot 2 build.  Please note that FJZ has already completed risk buy for this Walsin MPN per previous risk buy deviation (see DP525135). These 10 qual units should also use bare fabs from Gold Circuit (GCE). Note that Pilot 1 was 100% WUS bare fabs.  To reduce exposure to new Walsin CPN usage; all other units should use Kyocera/AVX outside of CPU socket areas if material allows.  Taiyo Yuden should not be used for the Pilot 2 build.  If Walsin qualificationproves successful (which is fully expected due to dimenstional similarity to Kyocera/AVX); we will move to have Taiyo Yuden AVL updated to EOP/NNB status preventing further usage2. For ESW (73-103558-04); CPN 15-107147-01;  Ok to use MPN 98CX8540-A0-BZD4C000; please note that current AVL = MPN 98CX8540A0-BZD4C000; same part; format/MPN nomenclature updated per Marvell request after FJZ Purchase Order placed.3. For 700-138393-01; Ok to use HARDWARE SPECIALTY MPN 1363472 (AVL = Cancelled)4. For SSD assemblies 68-104897-01 (3.8TB) &amp; 68-104898-01 (7.6TB); please make sure to use  new SSD carrier version -03 (800-50525-03); down version carrier material will be used up on Warwick Avenue SSD assemblies per ECO EA620457</t>
        </is>
      </c>
      <c r="L154" s="43" t="inlineStr">
        <is>
          <t>Expired</t>
        </is>
      </c>
      <c r="M154" s="43" t="inlineStr">
        <is>
          <t>73-103633-04</t>
        </is>
      </c>
      <c r="N154" s="43" t="inlineStr"/>
      <c r="O154" s="43" t="inlineStr">
        <is>
          <t>2026-02-16</t>
        </is>
      </c>
      <c r="P154" s="33" t="inlineStr">
        <is>
          <t>To track an AML qualification build (EXTENDABLE 2x)</t>
        </is>
      </c>
      <c r="Q154" s="43" t="inlineStr">
        <is>
          <t>No marking/labeling required.  No Deviation IDPROM programming  required. Please share serial numbers and capacitor build results in CPU socket areas with EPEs and NPPM</t>
        </is>
      </c>
      <c r="R154" s="43" t="inlineStr">
        <is>
          <t>2025-11-18</t>
        </is>
      </c>
      <c r="S154" s="43" t="inlineStr">
        <is>
          <t>2026-01-13</t>
        </is>
      </c>
      <c r="T154" s="43" t="inlineStr"/>
      <c r="U154" s="43" t="inlineStr"/>
    </row>
    <row r="155">
      <c r="A155" s="43" t="n">
        <v>155</v>
      </c>
      <c r="B155" s="43" t="inlineStr">
        <is>
          <t>154</t>
        </is>
      </c>
      <c r="C155" s="43" t="inlineStr">
        <is>
          <t>FJZP</t>
        </is>
      </c>
      <c r="D155" s="43" t="inlineStr">
        <is>
          <t>Cisco</t>
        </is>
      </c>
      <c r="E155" s="43" t="inlineStr">
        <is>
          <t>MCGA</t>
        </is>
      </c>
      <c r="F155" s="43" t="inlineStr">
        <is>
          <t>035-CVEBU</t>
        </is>
      </c>
      <c r="G155" s="43" t="inlineStr">
        <is>
          <t>CTANJZ05041</t>
        </is>
      </c>
      <c r="H155" s="43" t="inlineStr">
        <is>
          <t>To track an AML qualification build (EXTENDABLE)</t>
        </is>
      </c>
      <c r="I155" s="43" t="inlineStr">
        <is>
          <t>Customer Deviation</t>
        </is>
      </c>
      <c r="J155" s="43" t="inlineStr">
        <is>
          <t>DP525661</t>
        </is>
      </c>
      <c r="K155" s="33" t="inlineStr">
        <is>
          <t>DP525661 CVEBU; Bayfront Mainboard Prepilot Proto planner corrections to FJZ 18-DEC-25Build with PCBA 73-103826-04 revision 02 and use use 28-103519-04 revision 04.Cisco contact: Jarle Aasland &lt;jaaaslan@cisco.com&gt;</t>
        </is>
      </c>
      <c r="L155" s="43" t="inlineStr">
        <is>
          <t>Expired</t>
        </is>
      </c>
      <c r="M155" s="43" t="inlineStr">
        <is>
          <t>73-103826-04</t>
        </is>
      </c>
      <c r="N155" s="43" t="inlineStr"/>
      <c r="O155" s="43" t="inlineStr">
        <is>
          <t>2026-02-17</t>
        </is>
      </c>
      <c r="P155" s="33" t="inlineStr"/>
      <c r="Q155" s="43" t="inlineStr">
        <is>
          <t>N/A. Only process instructions</t>
        </is>
      </c>
      <c r="R155" s="43" t="inlineStr">
        <is>
          <t>2025-12-19</t>
        </is>
      </c>
      <c r="S155" s="43" t="inlineStr">
        <is>
          <t>2026-01-23</t>
        </is>
      </c>
      <c r="T155" s="43" t="inlineStr"/>
      <c r="U155" s="43" t="inlineStr"/>
    </row>
    <row r="156">
      <c r="A156" s="43" t="n">
        <v>156</v>
      </c>
      <c r="B156" s="43" t="inlineStr">
        <is>
          <t>155</t>
        </is>
      </c>
      <c r="C156" s="43" t="inlineStr">
        <is>
          <t>FJZP</t>
        </is>
      </c>
      <c r="D156" s="43" t="inlineStr">
        <is>
          <t>Cisco</t>
        </is>
      </c>
      <c r="E156" s="43" t="inlineStr">
        <is>
          <t>MCGA</t>
        </is>
      </c>
      <c r="F156" s="43" t="inlineStr">
        <is>
          <t>037-STBU</t>
        </is>
      </c>
      <c r="G156" s="43" t="inlineStr">
        <is>
          <t>CTANJZ04481</t>
        </is>
      </c>
      <c r="H156" s="43" t="inlineStr">
        <is>
          <t>To track an AML qualification build (EXTENDABLE 2x)</t>
        </is>
      </c>
      <c r="I156" s="43" t="inlineStr">
        <is>
          <t>Customer Deviation</t>
        </is>
      </c>
      <c r="J156" s="43" t="inlineStr">
        <is>
          <t>D600361</t>
        </is>
      </c>
      <c r="K156" s="33" t="inlineStr">
        <is>
          <t>D600361 Please see PageThree for details</t>
        </is>
      </c>
      <c r="L156" s="43" t="inlineStr">
        <is>
          <t>Expired</t>
        </is>
      </c>
      <c r="M156" s="43" t="inlineStr">
        <is>
          <t>15-104340-03</t>
        </is>
      </c>
      <c r="N156" s="43" t="inlineStr"/>
      <c r="O156" s="43" t="inlineStr">
        <is>
          <t>2025-06-01</t>
        </is>
      </c>
      <c r="P156" s="33" t="inlineStr">
        <is>
          <t>To track an AML qualification build (EXTENDABLE 2x)</t>
        </is>
      </c>
      <c r="Q156" s="43" t="inlineStr">
        <is>
          <t>Please mark PCBA with this deviation number. Place label on top side of assembly near 68-# label.</t>
        </is>
      </c>
      <c r="R156" s="43" t="inlineStr">
        <is>
          <t>2025-03-04</t>
        </is>
      </c>
      <c r="S156" s="43" t="inlineStr">
        <is>
          <t>2025-03-20</t>
        </is>
      </c>
      <c r="T156" s="43" t="inlineStr"/>
      <c r="U156" s="43" t="inlineStr"/>
    </row>
    <row r="157">
      <c r="A157" s="43" t="n">
        <v>157</v>
      </c>
      <c r="B157" s="43" t="inlineStr">
        <is>
          <t>156</t>
        </is>
      </c>
      <c r="C157" s="43" t="inlineStr">
        <is>
          <t>FJZP</t>
        </is>
      </c>
      <c r="D157" s="43" t="inlineStr">
        <is>
          <t>Cisco</t>
        </is>
      </c>
      <c r="E157" s="43" t="inlineStr">
        <is>
          <t>MCGA</t>
        </is>
      </c>
      <c r="F157" s="43" t="inlineStr">
        <is>
          <t>037-STBU</t>
        </is>
      </c>
      <c r="G157" s="43" t="inlineStr">
        <is>
          <t>CTANJZ04481</t>
        </is>
      </c>
      <c r="H157" s="43" t="inlineStr">
        <is>
          <t>To track an AML qualification build (EXTENDABLE 2x)</t>
        </is>
      </c>
      <c r="I157" s="43" t="inlineStr">
        <is>
          <t>Customer Deviation</t>
        </is>
      </c>
      <c r="J157" s="43" t="inlineStr">
        <is>
          <t>D600361</t>
        </is>
      </c>
      <c r="K157" s="33" t="inlineStr">
        <is>
          <t>D600361 Please see PageThree for details</t>
        </is>
      </c>
      <c r="L157" s="43" t="inlineStr">
        <is>
          <t>Expired</t>
        </is>
      </c>
      <c r="M157" s="43" t="inlineStr">
        <is>
          <t>68-6803-03</t>
        </is>
      </c>
      <c r="N157" s="43" t="inlineStr"/>
      <c r="O157" s="43" t="inlineStr">
        <is>
          <t>2025-06-01</t>
        </is>
      </c>
      <c r="P157" s="33" t="inlineStr">
        <is>
          <t>To track an AML qualification build (EXTENDABLE 2x)</t>
        </is>
      </c>
      <c r="Q157" s="43" t="inlineStr">
        <is>
          <t>Please mark PCBA with this deviation number. Place label on top side of assembly near 68-# label.</t>
        </is>
      </c>
      <c r="R157" s="43" t="inlineStr">
        <is>
          <t>2025-03-04</t>
        </is>
      </c>
      <c r="S157" s="43" t="inlineStr">
        <is>
          <t>2025-03-20</t>
        </is>
      </c>
      <c r="T157" s="43" t="inlineStr"/>
      <c r="U157" s="43" t="inlineStr"/>
    </row>
    <row r="158">
      <c r="A158" s="43" t="n">
        <v>158</v>
      </c>
      <c r="B158" s="43" t="inlineStr">
        <is>
          <t>157</t>
        </is>
      </c>
      <c r="C158" s="43" t="inlineStr">
        <is>
          <t>FJZP</t>
        </is>
      </c>
      <c r="D158" s="43" t="inlineStr">
        <is>
          <t>Cisco</t>
        </is>
      </c>
      <c r="E158" s="43" t="inlineStr">
        <is>
          <t>MCGA</t>
        </is>
      </c>
      <c r="F158" s="43" t="inlineStr">
        <is>
          <t>037-STBU</t>
        </is>
      </c>
      <c r="G158" s="43" t="inlineStr">
        <is>
          <t>CTANJZ04481</t>
        </is>
      </c>
      <c r="H158" s="43" t="inlineStr">
        <is>
          <t>To track an AML qualification build (EXTENDABLE 2x)</t>
        </is>
      </c>
      <c r="I158" s="43" t="inlineStr">
        <is>
          <t>Customer Deviation</t>
        </is>
      </c>
      <c r="J158" s="43" t="inlineStr">
        <is>
          <t>D600361</t>
        </is>
      </c>
      <c r="K158" s="33" t="inlineStr">
        <is>
          <t>D600361 Please see PageThree for details</t>
        </is>
      </c>
      <c r="L158" s="43" t="inlineStr">
        <is>
          <t>Expired</t>
        </is>
      </c>
      <c r="M158" s="43" t="inlineStr">
        <is>
          <t>73-19332-01</t>
        </is>
      </c>
      <c r="N158" s="43" t="inlineStr"/>
      <c r="O158" s="43" t="inlineStr">
        <is>
          <t>2025-06-01</t>
        </is>
      </c>
      <c r="P158" s="33" t="inlineStr">
        <is>
          <t>To track an AML qualification build (EXTENDABLE 2x)</t>
        </is>
      </c>
      <c r="Q158" s="43" t="inlineStr">
        <is>
          <t>Please mark PCBA with this deviation number. Place label on top side of assembly near 68-# label.</t>
        </is>
      </c>
      <c r="R158" s="43" t="inlineStr">
        <is>
          <t>2025-03-04</t>
        </is>
      </c>
      <c r="S158" s="43" t="inlineStr">
        <is>
          <t>2025-03-20</t>
        </is>
      </c>
      <c r="T158" s="43" t="inlineStr"/>
      <c r="U158" s="43" t="inlineStr"/>
    </row>
    <row r="159">
      <c r="A159" s="43" t="n">
        <v>159</v>
      </c>
      <c r="B159" s="43" t="inlineStr">
        <is>
          <t>158</t>
        </is>
      </c>
      <c r="C159" s="43" t="inlineStr">
        <is>
          <t>FJZP</t>
        </is>
      </c>
      <c r="D159" s="43" t="inlineStr">
        <is>
          <t>Cisco</t>
        </is>
      </c>
      <c r="E159" s="43" t="inlineStr">
        <is>
          <t>MCGA</t>
        </is>
      </c>
      <c r="F159" s="43" t="inlineStr">
        <is>
          <t>035-CVEBU</t>
        </is>
      </c>
      <c r="G159" s="43" t="inlineStr">
        <is>
          <t>CTANJZ04892</t>
        </is>
      </c>
      <c r="H159" s="43" t="inlineStr">
        <is>
          <t>To track an AML qualification build (EXTENDABLE 2x)</t>
        </is>
      </c>
      <c r="I159" s="43" t="inlineStr">
        <is>
          <t>Customer Deviation</t>
        </is>
      </c>
      <c r="J159" s="43" t="inlineStr">
        <is>
          <t>D606672</t>
        </is>
      </c>
      <c r="K159" s="33" t="inlineStr">
        <is>
          <t>D606672 CVEBU;DaVinci800-109542-02 E/M_ASSY_MECH; DAVINCI MAIN BOARD UPD UNIT;TAA  800-109532-03 ASY-ELMECH;CPU;DAVINCI;MAIN BOARD WITH TX2 NX 8GB;TAA  73-102197-02 PCA;DAVINCI MAIN BOARD  In BOM28-102487-05 PCBFAB;14 L;EM-827;OSP;86.6 mil;DAVINCI;MB  Qualified:       Gold 28-102487-05_S102_M202Qualified:       ISU  28-102487-05_S102_M202Qualified:       TTM  28-102487-05_S107_M202IPQ to Qualified:TTM  28-102487-05_S802_M202 (by MCO133407)FJZ is hereby resume their PO#70460025 buying 304 pcs + 40 pcs of28-102487-05_S802_M202Before these PCBs are used in Maas Production; a DaVinci unit control run shall be performed.10 pcs 800-109532-03 / 73-102197-02 PCBAs shall be built and tested.These complete Main Board assemblies shall be used to build complete DaVinci units which needs to pass normal production tests.After a successful control run; 28-102487-05_S802_M202 can be used in Mass Production; even if the MPN is not yet flipped to Qualified</t>
        </is>
      </c>
      <c r="L159" s="43" t="inlineStr">
        <is>
          <t>Expired</t>
        </is>
      </c>
      <c r="M159" s="43" t="inlineStr">
        <is>
          <t>28-102487-05</t>
        </is>
      </c>
      <c r="N159" s="43" t="inlineStr"/>
      <c r="O159" s="43" t="inlineStr">
        <is>
          <t>2025-12-30</t>
        </is>
      </c>
      <c r="P159" s="33" t="inlineStr">
        <is>
          <t>To track an AML qualification build (EXTENDABLE 2x)</t>
        </is>
      </c>
      <c r="Q159" s="43" t="inlineStr">
        <is>
          <t>No FFF-change =&gt; No marking needed; All affected serial numbers for the 10 pcs control run shall be recorded.</t>
        </is>
      </c>
      <c r="R159" s="43" t="inlineStr">
        <is>
          <t>2025-10-07</t>
        </is>
      </c>
      <c r="S159" s="43" t="inlineStr">
        <is>
          <t>2025-10-21</t>
        </is>
      </c>
      <c r="T159" s="43" t="inlineStr"/>
      <c r="U159" s="43" t="inlineStr"/>
    </row>
    <row r="160">
      <c r="A160" s="43" t="n">
        <v>160</v>
      </c>
      <c r="B160" s="43" t="inlineStr">
        <is>
          <t>159</t>
        </is>
      </c>
      <c r="C160" s="43" t="inlineStr">
        <is>
          <t>FJZP</t>
        </is>
      </c>
      <c r="D160" s="43" t="inlineStr">
        <is>
          <t>Cisco</t>
        </is>
      </c>
      <c r="E160" s="43" t="inlineStr">
        <is>
          <t>MCGA</t>
        </is>
      </c>
      <c r="F160" s="43" t="inlineStr">
        <is>
          <t>035-CVEBU</t>
        </is>
      </c>
      <c r="G160" s="43" t="inlineStr">
        <is>
          <t>CTANJZ04892</t>
        </is>
      </c>
      <c r="H160" s="43" t="inlineStr">
        <is>
          <t>To track an AML qualification build (EXTENDABLE 2x)</t>
        </is>
      </c>
      <c r="I160" s="43" t="inlineStr">
        <is>
          <t>Customer Deviation</t>
        </is>
      </c>
      <c r="J160" s="43" t="inlineStr">
        <is>
          <t>D606672</t>
        </is>
      </c>
      <c r="K160" s="33" t="inlineStr">
        <is>
          <t>D606672 CVEBU;DaVinci800-109542-02 E/M_ASSY_MECH; DAVINCI MAIN BOARD UPD UNIT;TAA  800-109532-03 ASY-ELMECH;CPU;DAVINCI;MAIN BOARD WITH TX2 NX 8GB;TAA  73-102197-02 PCA;DAVINCI MAIN BOARD  In BOM28-102487-05 PCBFAB;14 L;EM-827;OSP;86.6 mil;DAVINCI;MB  Qualified:       Gold 28-102487-05_S102_M202Qualified:       ISU  28-102487-05_S102_M202Qualified:       TTM  28-102487-05_S107_M202IPQ to Qualified:TTM  28-102487-05_S802_M202 (by MCO133407)FJZ is hereby resume their PO#70460025 buying 304 pcs + 40 pcs of28-102487-05_S802_M202Before these PCBs are used in Maas Production; a DaVinci unit control run shall be performed.10 pcs 800-109532-03 / 73-102197-02 PCBAs shall be built and tested.These complete Main Board assemblies shall be used to build complete DaVinci units which needs to pass normal production tests.After a successful control run; 28-102487-05_S802_M202 can be used in Mass Production; even if the MPN is not yet flipped to Qualified</t>
        </is>
      </c>
      <c r="L160" s="43" t="inlineStr">
        <is>
          <t>Expired</t>
        </is>
      </c>
      <c r="M160" s="43" t="inlineStr">
        <is>
          <t>73-102197-02</t>
        </is>
      </c>
      <c r="N160" s="43" t="inlineStr"/>
      <c r="O160" s="43" t="inlineStr">
        <is>
          <t>2025-12-30</t>
        </is>
      </c>
      <c r="P160" s="33" t="inlineStr">
        <is>
          <t>To track an AML qualification build (EXTENDABLE 2x)</t>
        </is>
      </c>
      <c r="Q160" s="43" t="inlineStr">
        <is>
          <t>No FFF-change =&gt; No marking needed; All affected serial numbers for the 10 pcs control run shall be recorded.</t>
        </is>
      </c>
      <c r="R160" s="43" t="inlineStr">
        <is>
          <t>2025-10-07</t>
        </is>
      </c>
      <c r="S160" s="43" t="inlineStr">
        <is>
          <t>2025-10-21</t>
        </is>
      </c>
      <c r="T160" s="43" t="inlineStr"/>
      <c r="U160" s="43" t="inlineStr"/>
    </row>
    <row r="161">
      <c r="A161" s="43" t="n">
        <v>161</v>
      </c>
      <c r="B161" s="43" t="inlineStr">
        <is>
          <t>160</t>
        </is>
      </c>
      <c r="C161" s="43" t="inlineStr">
        <is>
          <t>FJZP</t>
        </is>
      </c>
      <c r="D161" s="43" t="inlineStr">
        <is>
          <t>Cisco</t>
        </is>
      </c>
      <c r="E161" s="43" t="inlineStr">
        <is>
          <t>MCGA</t>
        </is>
      </c>
      <c r="F161" s="43" t="inlineStr">
        <is>
          <t>035-CVEBU</t>
        </is>
      </c>
      <c r="G161" s="43" t="inlineStr">
        <is>
          <t>CTANJZ05052</t>
        </is>
      </c>
      <c r="H161" s="43" t="inlineStr">
        <is>
          <t>To track an AML qualification build (EXTENDABLE 2x)</t>
        </is>
      </c>
      <c r="I161" s="43" t="inlineStr">
        <is>
          <t>Customer Deviation</t>
        </is>
      </c>
      <c r="J161" s="43" t="inlineStr">
        <is>
          <t>D607542</t>
        </is>
      </c>
      <c r="K161" s="33" t="inlineStr">
        <is>
          <t>D607542CVEBU; Heimdall. 2nd source qualification for FPCs and NDAA compliance. Supplier name and site; VICTORY GIANT TECHNOLOGY (VGT) MFS (Malaysia)CM shall build and test up to TAN level 68-104607-01 or similarFPC CPN FPC MPNs Description FPCA 73-CC CPN28-103291-01 28-103291-01_S803 Heimdall MB-MIC FPCControl builds for all FPCs. ORT is mandatory to be used for this qualification.Note: Please provide build schedule and quote.Note: MOQ quantities will be negotiated with supplier. Build all boards into units.Contact Cisco: Norris Tse and Jarle Aasland</t>
        </is>
      </c>
      <c r="L161" s="43" t="inlineStr">
        <is>
          <t>Expired</t>
        </is>
      </c>
      <c r="M161" s="43" t="inlineStr">
        <is>
          <t>28-103291-01</t>
        </is>
      </c>
      <c r="N161" s="43" t="inlineStr"/>
      <c r="O161" s="43" t="inlineStr">
        <is>
          <t>2026-03-24</t>
        </is>
      </c>
      <c r="P161" s="33" t="inlineStr">
        <is>
          <t>To track an AML qualification build (EXTENDABLE 2x)</t>
        </is>
      </c>
      <c r="Q161" s="43" t="inlineStr">
        <is>
          <t>Place sticker with this deviation number clearly visible on unit</t>
        </is>
      </c>
      <c r="R161" s="43" t="inlineStr">
        <is>
          <t>2025-12-24</t>
        </is>
      </c>
      <c r="S161" s="43" t="inlineStr">
        <is>
          <t>2026-01-14</t>
        </is>
      </c>
      <c r="T161" s="43" t="inlineStr"/>
      <c r="U161" s="43" t="inlineStr"/>
    </row>
    <row r="162">
      <c r="A162" s="43" t="n">
        <v>162</v>
      </c>
      <c r="B162" s="43" t="inlineStr">
        <is>
          <t>161</t>
        </is>
      </c>
      <c r="C162" s="43" t="inlineStr">
        <is>
          <t>FJZP</t>
        </is>
      </c>
      <c r="D162" s="43" t="inlineStr">
        <is>
          <t>Cisco</t>
        </is>
      </c>
      <c r="E162" s="43" t="inlineStr">
        <is>
          <t>MCGA</t>
        </is>
      </c>
      <c r="F162" s="43" t="inlineStr">
        <is>
          <t>035-CVEBU</t>
        </is>
      </c>
      <c r="G162" s="43" t="inlineStr">
        <is>
          <t>CTANJZ05052</t>
        </is>
      </c>
      <c r="H162" s="43" t="inlineStr">
        <is>
          <t>To track an AML qualification build (EXTENDABLE 2x)</t>
        </is>
      </c>
      <c r="I162" s="43" t="inlineStr">
        <is>
          <t>Customer Deviation</t>
        </is>
      </c>
      <c r="J162" s="43" t="inlineStr">
        <is>
          <t>D607542</t>
        </is>
      </c>
      <c r="K162" s="33" t="inlineStr">
        <is>
          <t>D607542CVEBU; Heimdall. 2nd source qualification for FPCs and NDAA compliance. Supplier name and site; VICTORY GIANT TECHNOLOGY (VGT) MFS (Malaysia)CM shall build and test up to TAN level 68-104607-01 or similarFPC CPN FPC MPNs Description FPCA 73-CC CPN28-103291-01 28-103291-01_S803 Heimdall MB-MIC FPCControl builds for all FPCs. ORT is mandatory to be used for this qualification.Note: Please provide build schedule and quote.Note: MOQ quantities will be negotiated with supplier. Build all boards into units.Contact Cisco: Norris Tse and Jarle Aasland</t>
        </is>
      </c>
      <c r="L162" s="43" t="inlineStr">
        <is>
          <t>Expired</t>
        </is>
      </c>
      <c r="M162" s="43" t="inlineStr">
        <is>
          <t>68-104607-01</t>
        </is>
      </c>
      <c r="N162" s="43" t="inlineStr"/>
      <c r="O162" s="43" t="inlineStr">
        <is>
          <t>2026-03-24</t>
        </is>
      </c>
      <c r="P162" s="33" t="inlineStr">
        <is>
          <t>To track an AML qualification build (EXTENDABLE 2x)</t>
        </is>
      </c>
      <c r="Q162" s="43" t="inlineStr">
        <is>
          <t>Place sticker with this deviation number clearly visible on unit</t>
        </is>
      </c>
      <c r="R162" s="43" t="inlineStr">
        <is>
          <t>2025-12-24</t>
        </is>
      </c>
      <c r="S162" s="43" t="inlineStr">
        <is>
          <t>2026-01-14</t>
        </is>
      </c>
      <c r="T162" s="43" t="inlineStr"/>
      <c r="U162" s="43" t="inlineStr"/>
    </row>
    <row r="163">
      <c r="A163" s="43" t="n">
        <v>163</v>
      </c>
      <c r="B163" s="43" t="inlineStr">
        <is>
          <t>162</t>
        </is>
      </c>
      <c r="C163" s="43" t="inlineStr">
        <is>
          <t>FJZP</t>
        </is>
      </c>
      <c r="D163" s="43" t="inlineStr">
        <is>
          <t>Cisco</t>
        </is>
      </c>
      <c r="E163" s="43" t="inlineStr">
        <is>
          <t>MCGA</t>
        </is>
      </c>
      <c r="F163" s="43" t="inlineStr">
        <is>
          <t>035-CVEBU</t>
        </is>
      </c>
      <c r="G163" s="43" t="inlineStr">
        <is>
          <t>CTANJZ05093</t>
        </is>
      </c>
      <c r="H163" s="43" t="inlineStr">
        <is>
          <t>To track an AML qualification build (EXTENDABLE)</t>
        </is>
      </c>
      <c r="I163" s="43" t="inlineStr">
        <is>
          <t>Customer Deviation</t>
        </is>
      </c>
      <c r="J163" s="43" t="inlineStr">
        <is>
          <t>DP525776</t>
        </is>
      </c>
      <c r="K163" s="33" t="inlineStr">
        <is>
          <t>DP525776 CVEBU; Vasco. Allow Foxconn MPN mismatch with CPNs AVL. Ref. DP525484. 17-JAN 2026.Allow FVN to order and use Following MPNs in P2 builds for CPNs:1. NXP MPN PIMX9596XVTXNAC15-111231-01 IC-COMM;10.0Gb/s;4.0 W;95.0 Tj MAX;FCBGA;548 P;15.0x15.0mm PKGSIZE;0.5mm PITCH;1.8 V;5.0 %;32.0;0 to 95 CInstead of MPN in AVL: MIMX9556CVTXNAC (NXP)2. NXP MPN PPF0900AVNA1ES15-111232-01 IC-LIN;PWRMGT;PMIC;QFN;56P;8x8mm PKGSIZE;0.50mm PITCH;3.300V NOM;-40to125C;Power management IC for IMX95Instead of MPN in AVL: MPF0900AMNA1ES (NXP)3. NXP MPN PPF5302AVNAAEP15-111203-01 IC-LIN;VREG;SW;BUCK;PQFN;24P;4.50x3.50mm PKGSIZE;0.50mm PITCH;5.500V IN;1.200V OUT;3MHz;12A;-40to105CInstead of MPN in AVL: MPF5302AVNAAEP (NXP)4. NXP MPN PPF5301AVNABEP15-111235-01 IC-LIN;PMIC;PQFN;24P;3.50x4.50mm PKGSIZE;0.50mm PITCH;5.500V IN;1.200V OUT;3MHz;8A;-40to125C; I2C bus PMIC chipset for IMX95Instead of MPN in AVL: MPF5301AVNA0ES (NXP)For the upcoming builds.Note: The part is in prototype stage from NXP; so there will be a difference with MPNs until they build MP parts.PE: jaaaslan</t>
        </is>
      </c>
      <c r="L163" s="43" t="inlineStr">
        <is>
          <t>Expired</t>
        </is>
      </c>
      <c r="M163" s="43" t="inlineStr">
        <is>
          <t>15-111203-01</t>
        </is>
      </c>
      <c r="N163" s="43" t="inlineStr"/>
      <c r="O163" s="43" t="inlineStr">
        <is>
          <t>2026-03-28</t>
        </is>
      </c>
      <c r="P163" s="33" t="inlineStr"/>
      <c r="Q163" s="43" t="inlineStr">
        <is>
          <t>N/A; parts are ok; just MPN mismatch</t>
        </is>
      </c>
      <c r="R163" s="43" t="inlineStr">
        <is>
          <t>2026-02-03</t>
        </is>
      </c>
      <c r="S163" s="43" t="inlineStr">
        <is>
          <t>2026-02-11</t>
        </is>
      </c>
      <c r="T163" s="43" t="inlineStr"/>
      <c r="U163" s="43" t="inlineStr"/>
    </row>
    <row r="164">
      <c r="A164" s="43" t="n">
        <v>164</v>
      </c>
      <c r="B164" s="43" t="inlineStr">
        <is>
          <t>163</t>
        </is>
      </c>
      <c r="C164" s="43" t="inlineStr">
        <is>
          <t>FJZP</t>
        </is>
      </c>
      <c r="D164" s="43" t="inlineStr">
        <is>
          <t>Cisco</t>
        </is>
      </c>
      <c r="E164" s="43" t="inlineStr">
        <is>
          <t>MCGA</t>
        </is>
      </c>
      <c r="F164" s="43" t="inlineStr">
        <is>
          <t>035-CVEBU</t>
        </is>
      </c>
      <c r="G164" s="43" t="inlineStr">
        <is>
          <t>CTANJZ05009</t>
        </is>
      </c>
      <c r="H164" s="43" t="inlineStr">
        <is>
          <t>To track an AML qualification build (EXTENDABLE)</t>
        </is>
      </c>
      <c r="I164" s="43" t="inlineStr">
        <is>
          <t>Customer Deviation</t>
        </is>
      </c>
      <c r="J164" s="43" t="inlineStr">
        <is>
          <t>D607538</t>
        </is>
      </c>
      <c r="K164" s="33" t="inlineStr">
        <is>
          <t>D607538 CVEBU; Nixie. 2nd source qualification for FPCs and NDAA compliance. Supplier name and site; VICTORY GIANT TECHNOLOGY (VGT) MFS (Malaysia)CM shall build and test up to TAN level 68-103291-01FPCA: Note; CPNs is finished goods from VGT; no assembly needed for the 73-CC.FPC CPN FPC MPNs Description FPCA 73-CC CPN28-102227-03 28-102227-03_S803 Nixie CAP SENSE FPCA 73-102365-01Control builds for all FPCs. ORT is mandatory to be used for this qualification.Note: Please provide build schedule and quote.Note: MOQ quantities will be negotiated with supplier. Build all boards into units.Contact Cisco: Norris Tse and Jarle Aasland</t>
        </is>
      </c>
      <c r="L164" s="43" t="inlineStr">
        <is>
          <t>Expired</t>
        </is>
      </c>
      <c r="M164" s="43" t="inlineStr">
        <is>
          <t>28-102227-03</t>
        </is>
      </c>
      <c r="N164" s="43" t="inlineStr"/>
      <c r="O164" s="43" t="inlineStr">
        <is>
          <t>2026-03-05</t>
        </is>
      </c>
      <c r="P164" s="33" t="inlineStr">
        <is>
          <t>To track an AML qualification build (EXTENDABLE 2x)</t>
        </is>
      </c>
      <c r="Q164" s="43" t="inlineStr">
        <is>
          <t>Place sticker with this deviation number visible on unit</t>
        </is>
      </c>
      <c r="R164" s="43" t="inlineStr">
        <is>
          <t>2025-12-05</t>
        </is>
      </c>
      <c r="S164" s="43" t="inlineStr">
        <is>
          <t>2025-12-16</t>
        </is>
      </c>
      <c r="T164" s="43" t="inlineStr"/>
      <c r="U164" s="43" t="inlineStr"/>
    </row>
    <row r="165">
      <c r="A165" s="43" t="n">
        <v>165</v>
      </c>
      <c r="B165" s="43" t="inlineStr">
        <is>
          <t>164</t>
        </is>
      </c>
      <c r="C165" s="43" t="inlineStr">
        <is>
          <t>FJZP</t>
        </is>
      </c>
      <c r="D165" s="43" t="inlineStr">
        <is>
          <t>Cisco</t>
        </is>
      </c>
      <c r="E165" s="43" t="inlineStr">
        <is>
          <t>MCGA</t>
        </is>
      </c>
      <c r="F165" s="43" t="inlineStr">
        <is>
          <t>035-CVEBU</t>
        </is>
      </c>
      <c r="G165" s="43" t="inlineStr">
        <is>
          <t>CTANJZ05009</t>
        </is>
      </c>
      <c r="H165" s="43" t="inlineStr">
        <is>
          <t>To track an AML qualification build (EXTENDABLE)</t>
        </is>
      </c>
      <c r="I165" s="43" t="inlineStr">
        <is>
          <t>Customer Deviation</t>
        </is>
      </c>
      <c r="J165" s="43" t="inlineStr">
        <is>
          <t>D607538</t>
        </is>
      </c>
      <c r="K165" s="33" t="inlineStr">
        <is>
          <t>D607538 CVEBU; Nixie. 2nd source qualification for FPCs and NDAA compliance. Supplier name and site; VICTORY GIANT TECHNOLOGY (VGT) MFS (Malaysia)CM shall build and test up to TAN level 68-103291-01FPCA: Note; CPNs is finished goods from VGT; no assembly needed for the 73-CC.FPC CPN FPC MPNs Description FPCA 73-CC CPN28-102227-03 28-102227-03_S803 Nixie CAP SENSE FPCA 73-102365-01Control builds for all FPCs. ORT is mandatory to be used for this qualification.Note: Please provide build schedule and quote.Note: MOQ quantities will be negotiated with supplier. Build all boards into units.Contact Cisco: Norris Tse and Jarle Aasland</t>
        </is>
      </c>
      <c r="L165" s="43" t="inlineStr">
        <is>
          <t>Expired</t>
        </is>
      </c>
      <c r="M165" s="43" t="inlineStr">
        <is>
          <t>73-102365-01</t>
        </is>
      </c>
      <c r="N165" s="43" t="inlineStr"/>
      <c r="O165" s="43" t="inlineStr">
        <is>
          <t>2026-03-05</t>
        </is>
      </c>
      <c r="P165" s="33" t="inlineStr">
        <is>
          <t>To track an AML qualification build (EXTENDABLE 2x)</t>
        </is>
      </c>
      <c r="Q165" s="43" t="inlineStr">
        <is>
          <t>Place sticker with this deviation number visible on unit</t>
        </is>
      </c>
      <c r="R165" s="43" t="inlineStr">
        <is>
          <t>2025-12-05</t>
        </is>
      </c>
      <c r="S165" s="43" t="inlineStr">
        <is>
          <t>2025-12-16</t>
        </is>
      </c>
      <c r="T165" s="43" t="inlineStr"/>
      <c r="U165" s="43" t="inlineStr"/>
    </row>
    <row r="166">
      <c r="A166" s="43" t="n">
        <v>166</v>
      </c>
      <c r="B166" s="43" t="inlineStr">
        <is>
          <t>165</t>
        </is>
      </c>
      <c r="C166" s="43" t="inlineStr">
        <is>
          <t>FJZP</t>
        </is>
      </c>
      <c r="D166" s="43" t="inlineStr">
        <is>
          <t>Cisco</t>
        </is>
      </c>
      <c r="E166" s="43" t="inlineStr">
        <is>
          <t>MCGA</t>
        </is>
      </c>
      <c r="F166" s="43" t="inlineStr">
        <is>
          <t>037-STBU</t>
        </is>
      </c>
      <c r="G166" s="43" t="inlineStr">
        <is>
          <t>CTANJZ05139</t>
        </is>
      </c>
      <c r="H166" s="43" t="inlineStr">
        <is>
          <t>To track an AML qualification build (EXTENDABLE 2x)</t>
        </is>
      </c>
      <c r="I166" s="43" t="inlineStr">
        <is>
          <t>Customer Deviation</t>
        </is>
      </c>
      <c r="J166" s="43" t="inlineStr">
        <is>
          <t>D609791</t>
        </is>
      </c>
      <c r="K166" s="33" t="inlineStr">
        <is>
          <t>D609791 NGFWBU GQR: GQR000076448 Case: AQR003106226 CPN: 15-14518-02; MFR NAME: RICHTEK TECHNOLOGY; MPN: RTQ6059GJ8; WESTMINSTER RACK MOUNT.This deviation instructs Foxconn Juarez (FJZ) to execute a sample buy and conduct a Mfg qual build for the following part(s):BU: NGFWBUPF: FPRLOWAffected TAN(s): 68-7007-02Affected Item(s): 73-18489-08CPN:15-14518-02; MFR NAME: RICHTEK TECHNOLOGY; MPN: RTQ6059GJ8Build Qty: 5Ref Des: U42_PETo execute the above AQR at CM site; should be tested on Model A.</t>
        </is>
      </c>
      <c r="L166" s="43" t="inlineStr">
        <is>
          <t>Expired</t>
        </is>
      </c>
      <c r="M166" s="43" t="inlineStr">
        <is>
          <t>15-14518-02</t>
        </is>
      </c>
      <c r="N166" s="43" t="inlineStr"/>
      <c r="O166" s="43" t="inlineStr">
        <is>
          <t>2026-06-07</t>
        </is>
      </c>
      <c r="P166" s="33" t="inlineStr">
        <is>
          <t>Risk Buy Authorization;To track an AML qualification build (EXTENDABLE 2x)</t>
        </is>
      </c>
      <c r="Q166" s="43" t="inlineStr">
        <is>
          <t>NA</t>
        </is>
      </c>
      <c r="R166" s="43" t="inlineStr">
        <is>
          <t>2026-03-10</t>
        </is>
      </c>
      <c r="S166" s="43" t="inlineStr">
        <is>
          <t>2026-03-24</t>
        </is>
      </c>
      <c r="T166" s="43" t="inlineStr"/>
      <c r="U166" s="43" t="inlineStr"/>
    </row>
    <row r="167">
      <c r="A167" s="43" t="n">
        <v>167</v>
      </c>
      <c r="B167" s="43" t="inlineStr">
        <is>
          <t>166</t>
        </is>
      </c>
      <c r="C167" s="43" t="inlineStr">
        <is>
          <t>FJZP</t>
        </is>
      </c>
      <c r="D167" s="43" t="inlineStr">
        <is>
          <t>Cisco</t>
        </is>
      </c>
      <c r="E167" s="43" t="inlineStr">
        <is>
          <t>MCGA</t>
        </is>
      </c>
      <c r="F167" s="43" t="inlineStr">
        <is>
          <t>037-STBU</t>
        </is>
      </c>
      <c r="G167" s="43" t="inlineStr">
        <is>
          <t>CTANJZ05139</t>
        </is>
      </c>
      <c r="H167" s="43" t="inlineStr">
        <is>
          <t>To track an AML qualification build (EXTENDABLE 2x)</t>
        </is>
      </c>
      <c r="I167" s="43" t="inlineStr">
        <is>
          <t>Customer Deviation</t>
        </is>
      </c>
      <c r="J167" s="43" t="inlineStr">
        <is>
          <t>D609791</t>
        </is>
      </c>
      <c r="K167" s="33" t="inlineStr">
        <is>
          <t>D609791 NGFWBU GQR: GQR000076448 Case: AQR003106226 CPN: 15-14518-02; MFR NAME: RICHTEK TECHNOLOGY; MPN: RTQ6059GJ8; WESTMINSTER RACK MOUNT.This deviation instructs Foxconn Juarez (FJZ) to execute a sample buy and conduct a Mfg qual build for the following part(s):BU: NGFWBUPF: FPRLOWAffected TAN(s): 68-7007-02Affected Item(s): 73-18489-08CPN:15-14518-02; MFR NAME: RICHTEK TECHNOLOGY; MPN: RTQ6059GJ8Build Qty: 5Ref Des: U42_PETo execute the above AQR at CM site; should be tested on Model A.</t>
        </is>
      </c>
      <c r="L167" s="43" t="inlineStr">
        <is>
          <t>Expired</t>
        </is>
      </c>
      <c r="M167" s="43" t="inlineStr">
        <is>
          <t>73-18489-08</t>
        </is>
      </c>
      <c r="N167" s="43" t="inlineStr"/>
      <c r="O167" s="43" t="inlineStr">
        <is>
          <t>2026-06-07</t>
        </is>
      </c>
      <c r="P167" s="33" t="inlineStr">
        <is>
          <t>Risk Buy Authorization;To track an AML qualification build (EXTENDABLE 2x)</t>
        </is>
      </c>
      <c r="Q167" s="43" t="inlineStr">
        <is>
          <t>NA</t>
        </is>
      </c>
      <c r="R167" s="43" t="inlineStr">
        <is>
          <t>2026-03-10</t>
        </is>
      </c>
      <c r="S167" s="43" t="inlineStr">
        <is>
          <t>2026-03-24</t>
        </is>
      </c>
      <c r="T167" s="43" t="inlineStr"/>
      <c r="U167" s="43" t="inlineStr"/>
    </row>
    <row r="168">
      <c r="A168" s="43" t="n">
        <v>168</v>
      </c>
      <c r="B168" s="43" t="inlineStr">
        <is>
          <t>167</t>
        </is>
      </c>
      <c r="C168" s="43" t="inlineStr">
        <is>
          <t>FJZP</t>
        </is>
      </c>
      <c r="D168" s="43" t="inlineStr">
        <is>
          <t>Cisco</t>
        </is>
      </c>
      <c r="E168" s="43" t="inlineStr">
        <is>
          <t>MCGA</t>
        </is>
      </c>
      <c r="F168" s="43" t="inlineStr">
        <is>
          <t>037-STBU</t>
        </is>
      </c>
      <c r="G168" s="43" t="inlineStr">
        <is>
          <t>CTANJZ05140</t>
        </is>
      </c>
      <c r="H168" s="43" t="inlineStr">
        <is>
          <t>Risk Buy Authorization Only ¡V No Build/Shipment Allowed (Sustaining Only)</t>
        </is>
      </c>
      <c r="I168" s="43" t="inlineStr">
        <is>
          <t>Customer Deviation</t>
        </is>
      </c>
      <c r="J168" s="43" t="inlineStr">
        <is>
          <t>D609792</t>
        </is>
      </c>
      <c r="K168" s="33" t="inlineStr">
        <is>
          <t>D609792NGFWBU GQR: GQR000076657 Case: AQR003235642 CPN: 36-0333-01; MFR NAME: MAG LAYERS; MPN: GMLB-160808-0220Y-BK ; WESTMINSTER RACK MOUNT.This deviation instructs Foxconn Juarez (FJZ) to execute a sample buy and conduct a Mfg qual build for the following part(s):BU: NGFWBUPF: F1KLOWAffected TAN(s):68-6432-03Affected Item(s): 73-18489-08CPN: 36-0333-01; MFR NAME: MAG LAYERS; MPN: GMLB-160808-0220Y-BKBuild Qty: 5Ref Des: L34;L38;L39To execute the above AQR at CM site; should be tested on Model A.</t>
        </is>
      </c>
      <c r="L168" s="43" t="inlineStr">
        <is>
          <t>Expired</t>
        </is>
      </c>
      <c r="M168" s="43" t="inlineStr">
        <is>
          <t>36-0333-01</t>
        </is>
      </c>
      <c r="N168" s="43" t="inlineStr"/>
      <c r="O168" s="43" t="inlineStr">
        <is>
          <t>2026-06-07</t>
        </is>
      </c>
      <c r="P168" s="33" t="inlineStr">
        <is>
          <t>Risk Buy Authorization;To track an AML qualification build (EXTENDABLE 2x)</t>
        </is>
      </c>
      <c r="Q168" s="43" t="inlineStr">
        <is>
          <t>NA</t>
        </is>
      </c>
      <c r="R168" s="43" t="inlineStr">
        <is>
          <t>2026-03-10</t>
        </is>
      </c>
      <c r="S168" s="43" t="inlineStr">
        <is>
          <t>2026-03-25</t>
        </is>
      </c>
      <c r="T168" s="43" t="inlineStr"/>
      <c r="U168" s="43" t="inlineStr"/>
    </row>
    <row r="169">
      <c r="A169" s="43" t="n">
        <v>169</v>
      </c>
      <c r="B169" s="43" t="inlineStr">
        <is>
          <t>168</t>
        </is>
      </c>
      <c r="C169" s="43" t="inlineStr">
        <is>
          <t>FJZP</t>
        </is>
      </c>
      <c r="D169" s="43" t="inlineStr">
        <is>
          <t>Cisco</t>
        </is>
      </c>
      <c r="E169" s="43" t="inlineStr">
        <is>
          <t>MCGA</t>
        </is>
      </c>
      <c r="F169" s="43" t="inlineStr">
        <is>
          <t>037-STBU</t>
        </is>
      </c>
      <c r="G169" s="43" t="inlineStr">
        <is>
          <t>CTANJZ05140</t>
        </is>
      </c>
      <c r="H169" s="43" t="inlineStr">
        <is>
          <t>Risk Buy Authorization Only ¡V No Build/Shipment Allowed (Sustaining Only)</t>
        </is>
      </c>
      <c r="I169" s="43" t="inlineStr">
        <is>
          <t>Customer Deviation</t>
        </is>
      </c>
      <c r="J169" s="43" t="inlineStr">
        <is>
          <t>D609792</t>
        </is>
      </c>
      <c r="K169" s="33" t="inlineStr">
        <is>
          <t>D609792NGFWBU GQR: GQR000076657 Case: AQR003235642 CPN: 36-0333-01; MFR NAME: MAG LAYERS; MPN: GMLB-160808-0220Y-BK ; WESTMINSTER RACK MOUNT.This deviation instructs Foxconn Juarez (FJZ) to execute a sample buy and conduct a Mfg qual build for the following part(s):BU: NGFWBUPF: F1KLOWAffected TAN(s):68-6432-03Affected Item(s): 73-18489-08CPN: 36-0333-01; MFR NAME: MAG LAYERS; MPN: GMLB-160808-0220Y-BKBuild Qty: 5Ref Des: L34;L38;L39To execute the above AQR at CM site; should be tested on Model A.</t>
        </is>
      </c>
      <c r="L169" s="43" t="inlineStr">
        <is>
          <t>Expired</t>
        </is>
      </c>
      <c r="M169" s="43" t="inlineStr">
        <is>
          <t>73-18489-08</t>
        </is>
      </c>
      <c r="N169" s="43" t="inlineStr"/>
      <c r="O169" s="43" t="inlineStr">
        <is>
          <t>2026-06-07</t>
        </is>
      </c>
      <c r="P169" s="33" t="inlineStr">
        <is>
          <t>Risk Buy Authorization;To track an AML qualification build (EXTENDABLE 2x)</t>
        </is>
      </c>
      <c r="Q169" s="43" t="inlineStr">
        <is>
          <t>NA</t>
        </is>
      </c>
      <c r="R169" s="43" t="inlineStr">
        <is>
          <t>2026-03-10</t>
        </is>
      </c>
      <c r="S169" s="43" t="inlineStr">
        <is>
          <t>2026-03-25</t>
        </is>
      </c>
      <c r="T169" s="43" t="inlineStr"/>
      <c r="U169" s="43" t="inlineStr"/>
    </row>
    <row r="170">
      <c r="A170" s="43" t="n">
        <v>170</v>
      </c>
      <c r="B170" s="43" t="inlineStr">
        <is>
          <t>169</t>
        </is>
      </c>
      <c r="C170" s="43" t="inlineStr">
        <is>
          <t>FJZP</t>
        </is>
      </c>
      <c r="D170" s="43" t="inlineStr">
        <is>
          <t>Cisco</t>
        </is>
      </c>
      <c r="E170" s="43" t="inlineStr">
        <is>
          <t>MCGA</t>
        </is>
      </c>
      <c r="F170" s="43" t="inlineStr">
        <is>
          <t>037-STBU</t>
        </is>
      </c>
      <c r="G170" s="43" t="inlineStr">
        <is>
          <t>CTANJZ05141</t>
        </is>
      </c>
      <c r="H170" s="43" t="inlineStr">
        <is>
          <t>Risk Buy Authorization Only ¡V No Build/Shipment Allowed (Sustaining Only)</t>
        </is>
      </c>
      <c r="I170" s="43" t="inlineStr">
        <is>
          <t>Customer Deviation</t>
        </is>
      </c>
      <c r="J170" s="43" t="inlineStr">
        <is>
          <t>D609793</t>
        </is>
      </c>
      <c r="K170" s="33" t="inlineStr">
        <is>
          <t>D609793 NGFWBU GQR: GQR000076658 Case: AQR003234979 CPN: 36-0333-01; MFR NAME: TAI-TECH ADVANCED ELECTRONICS; MPN: MB18K221-03R30V2CThis deviation instructs Foxconn Juarez (FJZ) to execute a sample buy and conduct a Mfg qual build for the following part(s):BU: NGFWBUPF: F1KLOWAffected TAN(s):68-6432-03Affected Item(s): 73-18489-08CPN: 36-0333-01; MFR NAME: TAI-TECH ADVANCED ELECTRONICS; MPN: MB18K221-03R30V2CBuild Qty: 5Ref Des: L34;L38;L39To execute the above AQR at CM site; should be tested on Model A.</t>
        </is>
      </c>
      <c r="L170" s="43" t="inlineStr">
        <is>
          <t>Expired</t>
        </is>
      </c>
      <c r="M170" s="43" t="inlineStr">
        <is>
          <t>36-0333-01</t>
        </is>
      </c>
      <c r="N170" s="43" t="inlineStr"/>
      <c r="O170" s="43" t="inlineStr">
        <is>
          <t>2026-06-07</t>
        </is>
      </c>
      <c r="P170" s="33" t="inlineStr">
        <is>
          <t>Risk Buy Authorization;To track an AML qualification build (EXTENDABLE 2x)</t>
        </is>
      </c>
      <c r="Q170" s="43" t="inlineStr">
        <is>
          <t>NA</t>
        </is>
      </c>
      <c r="R170" s="43" t="inlineStr">
        <is>
          <t>2026-03-10</t>
        </is>
      </c>
      <c r="S170" s="43" t="inlineStr">
        <is>
          <t>2026-03-24</t>
        </is>
      </c>
      <c r="T170" s="43" t="inlineStr"/>
      <c r="U170" s="43" t="inlineStr"/>
    </row>
    <row r="171">
      <c r="A171" s="43" t="n">
        <v>171</v>
      </c>
      <c r="B171" s="43" t="inlineStr">
        <is>
          <t>170</t>
        </is>
      </c>
      <c r="C171" s="43" t="inlineStr">
        <is>
          <t>FJZP</t>
        </is>
      </c>
      <c r="D171" s="43" t="inlineStr">
        <is>
          <t>Cisco</t>
        </is>
      </c>
      <c r="E171" s="43" t="inlineStr">
        <is>
          <t>MCGA</t>
        </is>
      </c>
      <c r="F171" s="43" t="inlineStr">
        <is>
          <t>037-STBU</t>
        </is>
      </c>
      <c r="G171" s="43" t="inlineStr">
        <is>
          <t>CTANJZ05169</t>
        </is>
      </c>
      <c r="H171" s="43" t="inlineStr">
        <is>
          <t>To track an AML qualification build (EXTENDABLE 2x)</t>
        </is>
      </c>
      <c r="I171" s="43" t="inlineStr">
        <is>
          <t>Customer Deviation</t>
        </is>
      </c>
      <c r="J171" s="43" t="inlineStr">
        <is>
          <t>D610106</t>
        </is>
      </c>
      <c r="K171" s="33" t="inlineStr">
        <is>
          <t>D610106 NGFWBU GQR: GQR000081537 Case: AQR003508207 CPN: 15-103518-01; MFR NAME: TOSHIBA; MPN: 74AVC1T45FU;LCF(GTThis deviation instructs Foxconn Juarez (FJZ) to execute a sample buy and conduct a Production Qual build for the following part(s):BU: NGFWBUPF: FPRHIGHAffected TAN(s):68-103466-06Affected Item(s): 73-102435-05CPN: 15-103518-01; MFR NAME: TOSHIBA; MPN: 74AVC1T45FU;LCF(GTBuild Qty: 10Ref Des: U228To execute the above AQR at CM site; should be tested on Model A.</t>
        </is>
      </c>
      <c r="L171" s="43" t="inlineStr">
        <is>
          <t>Expired</t>
        </is>
      </c>
      <c r="M171" s="43" t="inlineStr">
        <is>
          <t>15-103518-01</t>
        </is>
      </c>
      <c r="N171" s="43" t="inlineStr"/>
      <c r="O171" s="43" t="inlineStr">
        <is>
          <t>2026-06-25</t>
        </is>
      </c>
      <c r="P171" s="33" t="inlineStr">
        <is>
          <t>To track an AML qualification build (EXTENDABLE 2x);Risk Buy Authorization</t>
        </is>
      </c>
      <c r="Q171" s="43" t="inlineStr">
        <is>
          <t>NA</t>
        </is>
      </c>
      <c r="R171" s="43" t="inlineStr">
        <is>
          <t>2026-03-30</t>
        </is>
      </c>
      <c r="S171" s="43" t="inlineStr">
        <is>
          <t>2026-04-24</t>
        </is>
      </c>
      <c r="T171" s="43" t="inlineStr"/>
      <c r="U171" s="43" t="inlineStr"/>
    </row>
    <row r="172">
      <c r="A172" s="43" t="n">
        <v>172</v>
      </c>
      <c r="B172" s="43" t="inlineStr">
        <is>
          <t>171</t>
        </is>
      </c>
      <c r="C172" s="43" t="inlineStr">
        <is>
          <t>FJZP</t>
        </is>
      </c>
      <c r="D172" s="43" t="inlineStr">
        <is>
          <t>Cisco</t>
        </is>
      </c>
      <c r="E172" s="43" t="inlineStr">
        <is>
          <t>MCGA</t>
        </is>
      </c>
      <c r="F172" s="43" t="inlineStr">
        <is>
          <t>037-STBU</t>
        </is>
      </c>
      <c r="G172" s="43" t="inlineStr">
        <is>
          <t>CTANJZ05169</t>
        </is>
      </c>
      <c r="H172" s="43" t="inlineStr">
        <is>
          <t>To track an AML qualification build (EXTENDABLE 2x)</t>
        </is>
      </c>
      <c r="I172" s="43" t="inlineStr">
        <is>
          <t>Customer Deviation</t>
        </is>
      </c>
      <c r="J172" s="43" t="inlineStr">
        <is>
          <t>D610106</t>
        </is>
      </c>
      <c r="K172" s="33" t="inlineStr">
        <is>
          <t>D610106 NGFWBU GQR: GQR000081537 Case: AQR003508207 CPN: 15-103518-01; MFR NAME: TOSHIBA; MPN: 74AVC1T45FU;LCF(GTThis deviation instructs Foxconn Juarez (FJZ) to execute a sample buy and conduct a Production Qual build for the following part(s):BU: NGFWBUPF: FPRHIGHAffected TAN(s):68-103466-06Affected Item(s): 73-102435-05CPN: 15-103518-01; MFR NAME: TOSHIBA; MPN: 74AVC1T45FU;LCF(GTBuild Qty: 10Ref Des: U228To execute the above AQR at CM site; should be tested on Model A.</t>
        </is>
      </c>
      <c r="L172" s="43" t="inlineStr">
        <is>
          <t>Expired</t>
        </is>
      </c>
      <c r="M172" s="43" t="inlineStr">
        <is>
          <t>73-102435-05</t>
        </is>
      </c>
      <c r="N172" s="43" t="inlineStr"/>
      <c r="O172" s="43" t="inlineStr">
        <is>
          <t>2026-06-25</t>
        </is>
      </c>
      <c r="P172" s="33" t="inlineStr">
        <is>
          <t>To track an AML qualification build (EXTENDABLE 2x);Risk Buy Authorization</t>
        </is>
      </c>
      <c r="Q172" s="43" t="inlineStr">
        <is>
          <t>NA</t>
        </is>
      </c>
      <c r="R172" s="43" t="inlineStr">
        <is>
          <t>2026-03-30</t>
        </is>
      </c>
      <c r="S172" s="43" t="inlineStr">
        <is>
          <t>2026-04-24</t>
        </is>
      </c>
      <c r="T172" s="43" t="inlineStr"/>
      <c r="U172" s="43" t="inlineStr"/>
    </row>
    <row r="173">
      <c r="A173" s="43" t="n">
        <v>173</v>
      </c>
      <c r="B173" s="43" t="inlineStr">
        <is>
          <t>172</t>
        </is>
      </c>
      <c r="C173" s="43" t="inlineStr">
        <is>
          <t>FJZP</t>
        </is>
      </c>
      <c r="D173" s="43" t="inlineStr">
        <is>
          <t>Cisco</t>
        </is>
      </c>
      <c r="E173" s="43" t="inlineStr">
        <is>
          <t>MCGA</t>
        </is>
      </c>
      <c r="F173" s="43" t="inlineStr">
        <is>
          <t>037-STBU</t>
        </is>
      </c>
      <c r="G173" s="43" t="inlineStr">
        <is>
          <t>CTANJZ05171</t>
        </is>
      </c>
      <c r="H173" s="43" t="inlineStr">
        <is>
          <t>To track an AML qualification build (EXTENDABLE 2x)</t>
        </is>
      </c>
      <c r="I173" s="43" t="inlineStr">
        <is>
          <t>Customer Deviation</t>
        </is>
      </c>
      <c r="J173" s="43" t="inlineStr">
        <is>
          <t>D610166</t>
        </is>
      </c>
      <c r="K173" s="33" t="inlineStr">
        <is>
          <t>D610166 NGFWBU GQR: GQR000076808 Case: AQR003149321 CPN: 15-110393-01; MFR NAME: MICRON TECHNOLOGY; MPN: MTC20C2085S1TC56BD1This deviation instructs Foxconn Juarez (FJZ) to execute a sample buy and conduct a Production Qual build for the following part(s):BU: NGFWBUPF: CSF1200Affected TAN(s):68-104744-04Affected Item(s): 74-139982-01CPN: 15-110393-01; MFR NAME: MICRON TECHNOLOGY; MPN: MTC20C2085S1TC56BD1Build Qty: 5Ref Des: DIMM_MOD0;DIMM_MOD1To execute the above AQR at CM site; should be tested on Model A.</t>
        </is>
      </c>
      <c r="L173" s="43" t="inlineStr">
        <is>
          <t>Expired</t>
        </is>
      </c>
      <c r="M173" s="43" t="inlineStr">
        <is>
          <t>15-110393-01</t>
        </is>
      </c>
      <c r="N173" s="43" t="inlineStr"/>
      <c r="O173" s="43" t="inlineStr">
        <is>
          <t>2026-06-25</t>
        </is>
      </c>
      <c r="P173" s="33" t="inlineStr">
        <is>
          <t>To track an AML qualification build (EXTENDABLE 2x);Risk Buy Authorization</t>
        </is>
      </c>
      <c r="Q173" s="43" t="inlineStr">
        <is>
          <t>NA</t>
        </is>
      </c>
      <c r="R173" s="43" t="inlineStr">
        <is>
          <t>2026-03-30</t>
        </is>
      </c>
      <c r="S173" s="43" t="inlineStr">
        <is>
          <t>2026-04-24</t>
        </is>
      </c>
      <c r="T173" s="43" t="inlineStr"/>
      <c r="U173" s="43" t="inlineStr"/>
    </row>
    <row r="174">
      <c r="A174" s="43" t="n">
        <v>174</v>
      </c>
      <c r="B174" s="43" t="inlineStr">
        <is>
          <t>173</t>
        </is>
      </c>
      <c r="C174" s="43" t="inlineStr">
        <is>
          <t>FJZP</t>
        </is>
      </c>
      <c r="D174" s="43" t="inlineStr">
        <is>
          <t>Cisco</t>
        </is>
      </c>
      <c r="E174" s="43" t="inlineStr">
        <is>
          <t>MCGA</t>
        </is>
      </c>
      <c r="F174" s="43" t="inlineStr">
        <is>
          <t>037-STBU</t>
        </is>
      </c>
      <c r="G174" s="43" t="inlineStr">
        <is>
          <t>CTANJZ05171</t>
        </is>
      </c>
      <c r="H174" s="43" t="inlineStr">
        <is>
          <t>To track an AML qualification build (EXTENDABLE 2x)</t>
        </is>
      </c>
      <c r="I174" s="43" t="inlineStr">
        <is>
          <t>Customer Deviation</t>
        </is>
      </c>
      <c r="J174" s="43" t="inlineStr">
        <is>
          <t>D610166</t>
        </is>
      </c>
      <c r="K174" s="33" t="inlineStr">
        <is>
          <t>D610166 NGFWBU GQR: GQR000076808 Case: AQR003149321 CPN: 15-110393-01; MFR NAME: MICRON TECHNOLOGY; MPN: MTC20C2085S1TC56BD1This deviation instructs Foxconn Juarez (FJZ) to execute a sample buy and conduct a Production Qual build for the following part(s):BU: NGFWBUPF: CSF1200Affected TAN(s):68-104744-04Affected Item(s): 74-139982-01CPN: 15-110393-01; MFR NAME: MICRON TECHNOLOGY; MPN: MTC20C2085S1TC56BD1Build Qty: 5Ref Des: DIMM_MOD0;DIMM_MOD1To execute the above AQR at CM site; should be tested on Model A.</t>
        </is>
      </c>
      <c r="L174" s="43" t="inlineStr">
        <is>
          <t>Expired</t>
        </is>
      </c>
      <c r="M174" s="43" t="inlineStr">
        <is>
          <t>74-139982-01</t>
        </is>
      </c>
      <c r="N174" s="43" t="inlineStr"/>
      <c r="O174" s="43" t="inlineStr">
        <is>
          <t>2026-06-25</t>
        </is>
      </c>
      <c r="P174" s="33" t="inlineStr">
        <is>
          <t>To track an AML qualification build (EXTENDABLE 2x);Risk Buy Authorization</t>
        </is>
      </c>
      <c r="Q174" s="43" t="inlineStr">
        <is>
          <t>NA</t>
        </is>
      </c>
      <c r="R174" s="43" t="inlineStr">
        <is>
          <t>2026-03-30</t>
        </is>
      </c>
      <c r="S174" s="43" t="inlineStr">
        <is>
          <t>2026-04-24</t>
        </is>
      </c>
      <c r="T174" s="43" t="inlineStr"/>
      <c r="U174" s="43" t="inlineStr"/>
    </row>
    <row r="175">
      <c r="A175" s="43" t="n">
        <v>175</v>
      </c>
      <c r="B175" s="43" t="inlineStr">
        <is>
          <t>174</t>
        </is>
      </c>
      <c r="C175" s="43" t="inlineStr">
        <is>
          <t>FJZP</t>
        </is>
      </c>
      <c r="D175" s="43" t="inlineStr">
        <is>
          <t>Cisco</t>
        </is>
      </c>
      <c r="E175" s="43" t="inlineStr">
        <is>
          <t>MCGA</t>
        </is>
      </c>
      <c r="F175" s="43" t="inlineStr">
        <is>
          <t>239-CRBU</t>
        </is>
      </c>
      <c r="G175" s="43" t="inlineStr">
        <is>
          <t>CTANJZ05314</t>
        </is>
      </c>
      <c r="H175" s="43" t="inlineStr">
        <is>
          <t>New Release</t>
        </is>
      </c>
      <c r="I175" s="43" t="inlineStr">
        <is>
          <t>Customer Deviation</t>
        </is>
      </c>
      <c r="J175" s="43" t="inlineStr">
        <is>
          <t>D612107</t>
        </is>
      </c>
      <c r="K175" s="33" t="inlineStr">
        <is>
          <t>D612107 Need to qualify 74AVC2T45FK;LCF(GT on 73-20922-04</t>
        </is>
      </c>
      <c r="L175" s="43" t="inlineStr">
        <is>
          <t>Expired</t>
        </is>
      </c>
      <c r="M175" s="43" t="inlineStr">
        <is>
          <t>73-20922-04</t>
        </is>
      </c>
      <c r="N175" s="43" t="inlineStr"/>
      <c r="O175" s="43" t="inlineStr">
        <is>
          <t>2026-09-22</t>
        </is>
      </c>
      <c r="P175" s="33" t="inlineStr">
        <is>
          <t>Engineering Qualification Build (EXTENDABLE 2x);To track an AML qualification build (EXTENDABLE 2x)</t>
        </is>
      </c>
      <c r="Q175" s="43" t="inlineStr">
        <is>
          <t>NA</t>
        </is>
      </c>
      <c r="R175" s="43" t="inlineStr">
        <is>
          <t>2026-06-25</t>
        </is>
      </c>
      <c r="S175" s="43" t="inlineStr"/>
      <c r="T175" s="43" t="inlineStr"/>
      <c r="U175" s="43" t="inlineStr"/>
    </row>
    <row r="176">
      <c r="A176" s="43" t="n">
        <v>176</v>
      </c>
      <c r="B176" s="43" t="inlineStr">
        <is>
          <t>175</t>
        </is>
      </c>
      <c r="C176" s="43" t="inlineStr">
        <is>
          <t>FJZP</t>
        </is>
      </c>
      <c r="D176" s="43" t="inlineStr">
        <is>
          <t>Cisco</t>
        </is>
      </c>
      <c r="E176" s="43" t="inlineStr">
        <is>
          <t>MCGA</t>
        </is>
      </c>
      <c r="F176" s="43" t="inlineStr">
        <is>
          <t>035-CVEBU</t>
        </is>
      </c>
      <c r="G176" s="43" t="inlineStr">
        <is>
          <t>CTANJZ05299</t>
        </is>
      </c>
      <c r="H176" s="43" t="inlineStr">
        <is>
          <t>To track an AML qualification build (EXTENDABLE)</t>
        </is>
      </c>
      <c r="I176" s="43" t="inlineStr">
        <is>
          <t>Customer Deviation</t>
        </is>
      </c>
      <c r="J176" s="43" t="inlineStr">
        <is>
          <t>DP526170</t>
        </is>
      </c>
      <c r="K176" s="33" t="inlineStr">
        <is>
          <t>DP526170CVEBU; Risk buy of NDAA PCBs for Tyne Main Board and Audio Board from Founder ThailandAffected item28-104097-06; PCBFAB; 14L; High Temp FR4; 2.2mm; OSP; Tyne Codec; Main Board; NDAA (28-103367-06)   28-104098-04; PCBFAB; 8L; High Temp FR4; 1.6mm; OSP; Tyne Codec; Audio Board; NDAA (28-103453-04)   Risk buy instruction- FJZ is hereby instructed to place 2 urgent POs to Founder TH   - PO 1: 600 pieces of 28-104097-06/28-103367-06_S606_M604 with fastest possible ETD from Founder   - PO 1: 600 pieces of 28-104098-04/28-103453-04_S606_M604 with fastest possible ETD from Founder   - PO 2: 600 pieces of 28-104097-06/28-103367-06_S606_M604 with ETD from Founder March 1st 2027   - PO 2: 600 pieces of 28-104098-04/28-103453-04_S606_M604 with ETD from Founder March 1st 2027Background- 28-104097-06 is the same PCB as 28-103367-06; but with only Founder TH MPN 28-103367-06_S606_M604 on the AVL- 28-104098-04 is the same PCB as 28-103453-04; but with only Founder TH MPN 28-103453-04_S606_M604 on the AVL- 28-103367-06_S606_M604 and 28-103453-04_S606_M604 will be qualified during summer 2026 through D611479- Due to long LT; this deviation is needed to kick off material sourcing for required NDAA PCBs; in paralell with PCB qualification.- Cisco EPE team will try to coordinate above with Founder TH in parallel- Only FJZ makes these PCBAs; hence FJZ is the only CM that needs to secure this PCB.Cisco contact: Havard Sorensen and Lee Hudson</t>
        </is>
      </c>
      <c r="L176" s="43" t="inlineStr">
        <is>
          <t>Expired</t>
        </is>
      </c>
      <c r="M176" s="43" t="inlineStr">
        <is>
          <t>28-104097-06</t>
        </is>
      </c>
      <c r="N176" s="43" t="inlineStr"/>
      <c r="O176" s="43" t="inlineStr">
        <is>
          <t>2026-07-20</t>
        </is>
      </c>
      <c r="P176" s="33" t="inlineStr"/>
      <c r="Q176" s="43" t="inlineStr">
        <is>
          <t>No marking needed</t>
        </is>
      </c>
      <c r="R176" s="43" t="inlineStr">
        <is>
          <t>2026-06-18</t>
        </is>
      </c>
      <c r="S176" s="43" t="inlineStr"/>
      <c r="T176" s="43" t="inlineStr"/>
      <c r="U176" s="43" t="inlineStr"/>
    </row>
    <row r="177">
      <c r="A177" s="43" t="n">
        <v>177</v>
      </c>
      <c r="B177" s="43" t="inlineStr">
        <is>
          <t>176</t>
        </is>
      </c>
      <c r="C177" s="43" t="inlineStr">
        <is>
          <t>FJZP</t>
        </is>
      </c>
      <c r="D177" s="43" t="inlineStr">
        <is>
          <t>Cisco</t>
        </is>
      </c>
      <c r="E177" s="43" t="inlineStr">
        <is>
          <t>MCGA</t>
        </is>
      </c>
      <c r="F177" s="43" t="inlineStr">
        <is>
          <t>035-CVEBU</t>
        </is>
      </c>
      <c r="G177" s="43" t="inlineStr">
        <is>
          <t>CTANJZ05299</t>
        </is>
      </c>
      <c r="H177" s="43" t="inlineStr">
        <is>
          <t>To track an AML qualification build (EXTENDABLE)</t>
        </is>
      </c>
      <c r="I177" s="43" t="inlineStr">
        <is>
          <t>Customer Deviation</t>
        </is>
      </c>
      <c r="J177" s="43" t="inlineStr">
        <is>
          <t>DP526170</t>
        </is>
      </c>
      <c r="K177" s="33" t="inlineStr">
        <is>
          <t>DP526170CVEBU; Risk buy of NDAA PCBs for Tyne Main Board and Audio Board from Founder ThailandAffected item28-104097-06; PCBFAB; 14L; High Temp FR4; 2.2mm; OSP; Tyne Codec; Main Board; NDAA (28-103367-06)   28-104098-04; PCBFAB; 8L; High Temp FR4; 1.6mm; OSP; Tyne Codec; Audio Board; NDAA (28-103453-04)   Risk buy instruction- FJZ is hereby instructed to place 2 urgent POs to Founder TH   - PO 1: 600 pieces of 28-104097-06/28-103367-06_S606_M604 with fastest possible ETD from Founder   - PO 1: 600 pieces of 28-104098-04/28-103453-04_S606_M604 with fastest possible ETD from Founder   - PO 2: 600 pieces of 28-104097-06/28-103367-06_S606_M604 with ETD from Founder March 1st 2027   - PO 2: 600 pieces of 28-104098-04/28-103453-04_S606_M604 with ETD from Founder March 1st 2027Background- 28-104097-06 is the same PCB as 28-103367-06; but with only Founder TH MPN 28-103367-06_S606_M604 on the AVL- 28-104098-04 is the same PCB as 28-103453-04; but with only Founder TH MPN 28-103453-04_S606_M604 on the AVL- 28-103367-06_S606_M604 and 28-103453-04_S606_M604 will be qualified during summer 2026 through D611479- Due to long LT; this deviation is needed to kick off material sourcing for required NDAA PCBs; in paralell with PCB qualification.- Cisco EPE team will try to coordinate above with Founder TH in parallel- Only FJZ makes these PCBAs; hence FJZ is the only CM that needs to secure this PCB.Cisco contact: Havard Sorensen and Lee Hudson</t>
        </is>
      </c>
      <c r="L177" s="43" t="inlineStr">
        <is>
          <t>Expired</t>
        </is>
      </c>
      <c r="M177" s="43" t="inlineStr">
        <is>
          <t>28-104098-04</t>
        </is>
      </c>
      <c r="N177" s="43" t="inlineStr"/>
      <c r="O177" s="43" t="inlineStr">
        <is>
          <t>2026-07-20</t>
        </is>
      </c>
      <c r="P177" s="33" t="inlineStr"/>
      <c r="Q177" s="43" t="inlineStr">
        <is>
          <t>No marking needed</t>
        </is>
      </c>
      <c r="R177" s="43" t="inlineStr">
        <is>
          <t>2026-06-18</t>
        </is>
      </c>
      <c r="S177" s="43" t="inlineStr"/>
      <c r="T177" s="43" t="inlineStr"/>
      <c r="U177" s="43" t="inlineStr"/>
    </row>
    <row r="178">
      <c r="A178" s="43" t="n">
        <v>178</v>
      </c>
      <c r="B178" s="43" t="inlineStr">
        <is>
          <t>177</t>
        </is>
      </c>
      <c r="C178" s="43" t="inlineStr">
        <is>
          <t>FJZP</t>
        </is>
      </c>
      <c r="D178" s="43" t="inlineStr">
        <is>
          <t>Cisco</t>
        </is>
      </c>
      <c r="E178" s="43" t="inlineStr">
        <is>
          <t>MCGA</t>
        </is>
      </c>
      <c r="F178" s="43" t="inlineStr">
        <is>
          <t>035-CVEBU</t>
        </is>
      </c>
      <c r="G178" s="43" t="inlineStr">
        <is>
          <t>CTANJZ05219</t>
        </is>
      </c>
      <c r="H178" s="43" t="inlineStr">
        <is>
          <t>To track an AML qualification build (EXTENDABLE 2x)</t>
        </is>
      </c>
      <c r="I178" s="43" t="inlineStr">
        <is>
          <t>Customer Deviation</t>
        </is>
      </c>
      <c r="J178" s="43" t="inlineStr">
        <is>
          <t>D610973</t>
        </is>
      </c>
      <c r="K178" s="33" t="inlineStr">
        <is>
          <t>D610973NPI; CVEBU; Tyne; Qualification of VGT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28-103367-06_S122_M604 from VGT   - C4355 in 73-103698-06 BOM shall be populated by 11-3617-01 (instead of 11-2819-01 as today)   - Boards shall undergo ICT; PCBDG and PCBPM test stations prior shipping   - Boards shall be DEV fused (if applicable)- FJZ to build 4x 73-103758-04 where:   - 28-103453-04 in BOM shall be populated by IPQ MPN 28-103453-04_S122_M604 from VGT   - Boards shall undergo ICT test stations prior shipping- FJZ is allowed to use alternative packagingAdditional comments- VGT has delivered 50x 28-103367-06 and 48x 28-103453-04 to FJZ.-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L178" s="43" t="inlineStr">
        <is>
          <t>Expired</t>
        </is>
      </c>
      <c r="M178" s="43" t="inlineStr">
        <is>
          <t>28-103367-06</t>
        </is>
      </c>
      <c r="N178" s="43" t="inlineStr"/>
      <c r="O178" s="43" t="inlineStr">
        <is>
          <t>2026-07-20</t>
        </is>
      </c>
      <c r="P178" s="33" t="inlineStr">
        <is>
          <t>To track an AML qualification build (EXTENDABLE 2x)</t>
        </is>
      </c>
      <c r="Q178" s="43" t="inlineStr">
        <is>
          <t>Mark PCBAs with deviation number</t>
        </is>
      </c>
      <c r="R178" s="43" t="inlineStr">
        <is>
          <t>2026-04-22</t>
        </is>
      </c>
      <c r="S178" s="43" t="inlineStr">
        <is>
          <t>2026-05-05</t>
        </is>
      </c>
      <c r="T178" s="43" t="inlineStr"/>
      <c r="U178" s="43" t="inlineStr"/>
    </row>
    <row r="179">
      <c r="A179" s="43" t="n">
        <v>179</v>
      </c>
      <c r="B179" s="43" t="inlineStr">
        <is>
          <t>178</t>
        </is>
      </c>
      <c r="C179" s="43" t="inlineStr">
        <is>
          <t>FJZP</t>
        </is>
      </c>
      <c r="D179" s="43" t="inlineStr">
        <is>
          <t>Cisco</t>
        </is>
      </c>
      <c r="E179" s="43" t="inlineStr">
        <is>
          <t>MCGA</t>
        </is>
      </c>
      <c r="F179" s="43" t="inlineStr">
        <is>
          <t>035-CVEBU</t>
        </is>
      </c>
      <c r="G179" s="43" t="inlineStr">
        <is>
          <t>CTANJZ05219</t>
        </is>
      </c>
      <c r="H179" s="43" t="inlineStr">
        <is>
          <t>To track an AML qualification build (EXTENDABLE 2x)</t>
        </is>
      </c>
      <c r="I179" s="43" t="inlineStr">
        <is>
          <t>Customer Deviation</t>
        </is>
      </c>
      <c r="J179" s="43" t="inlineStr">
        <is>
          <t>D610973</t>
        </is>
      </c>
      <c r="K179" s="33" t="inlineStr">
        <is>
          <t>D610973NPI; CVEBU; Tyne; Qualification of VGT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28-103367-06_S122_M604 from VGT   - C4355 in 73-103698-06 BOM shall be populated by 11-3617-01 (instead of 11-2819-01 as today)   - Boards shall undergo ICT; PCBDG and PCBPM test stations prior shipping   - Boards shall be DEV fused (if applicable)- FJZ to build 4x 73-103758-04 where:   - 28-103453-04 in BOM shall be populated by IPQ MPN 28-103453-04_S122_M604 from VGT   - Boards shall undergo ICT test stations prior shipping- FJZ is allowed to use alternative packagingAdditional comments- VGT has delivered 50x 28-103367-06 and 48x 28-103453-04 to FJZ.-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L179" s="43" t="inlineStr">
        <is>
          <t>Expired</t>
        </is>
      </c>
      <c r="M179" s="43" t="inlineStr">
        <is>
          <t>28-103453-04</t>
        </is>
      </c>
      <c r="N179" s="43" t="inlineStr"/>
      <c r="O179" s="43" t="inlineStr">
        <is>
          <t>2026-07-20</t>
        </is>
      </c>
      <c r="P179" s="33" t="inlineStr">
        <is>
          <t>To track an AML qualification build (EXTENDABLE 2x)</t>
        </is>
      </c>
      <c r="Q179" s="43" t="inlineStr">
        <is>
          <t>Mark PCBAs with deviation number</t>
        </is>
      </c>
      <c r="R179" s="43" t="inlineStr">
        <is>
          <t>2026-04-22</t>
        </is>
      </c>
      <c r="S179" s="43" t="inlineStr">
        <is>
          <t>2026-05-05</t>
        </is>
      </c>
      <c r="T179" s="43" t="inlineStr"/>
      <c r="U179" s="43" t="inlineStr"/>
    </row>
    <row r="180">
      <c r="A180" s="43" t="n">
        <v>180</v>
      </c>
      <c r="B180" s="43" t="inlineStr">
        <is>
          <t>179</t>
        </is>
      </c>
      <c r="C180" s="43" t="inlineStr">
        <is>
          <t>FJZP</t>
        </is>
      </c>
      <c r="D180" s="43" t="inlineStr">
        <is>
          <t>Cisco</t>
        </is>
      </c>
      <c r="E180" s="43" t="inlineStr">
        <is>
          <t>MCGA</t>
        </is>
      </c>
      <c r="F180" s="43" t="inlineStr">
        <is>
          <t>035-CVEBU</t>
        </is>
      </c>
      <c r="G180" s="43" t="inlineStr">
        <is>
          <t>CTANJZ05219</t>
        </is>
      </c>
      <c r="H180" s="43" t="inlineStr">
        <is>
          <t>To track an AML qualification build (EXTENDABLE 2x)</t>
        </is>
      </c>
      <c r="I180" s="43" t="inlineStr">
        <is>
          <t>Customer Deviation</t>
        </is>
      </c>
      <c r="J180" s="43" t="inlineStr">
        <is>
          <t>D610973</t>
        </is>
      </c>
      <c r="K180" s="33" t="inlineStr">
        <is>
          <t>D610973NPI; CVEBU; Tyne; Qualification of VGT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28-103367-06_S122_M604 from VGT   - C4355 in 73-103698-06 BOM shall be populated by 11-3617-01 (instead of 11-2819-01 as today)   - Boards shall undergo ICT; PCBDG and PCBPM test stations prior shipping   - Boards shall be DEV fused (if applicable)- FJZ to build 4x 73-103758-04 where:   - 28-103453-04 in BOM shall be populated by IPQ MPN 28-103453-04_S122_M604 from VGT   - Boards shall undergo ICT test stations prior shipping- FJZ is allowed to use alternative packagingAdditional comments- VGT has delivered 50x 28-103367-06 and 48x 28-103453-04 to FJZ.-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L180" s="43" t="inlineStr">
        <is>
          <t>Expired</t>
        </is>
      </c>
      <c r="M180" s="43" t="inlineStr">
        <is>
          <t>73-103698-06</t>
        </is>
      </c>
      <c r="N180" s="43" t="inlineStr"/>
      <c r="O180" s="43" t="inlineStr">
        <is>
          <t>2026-07-20</t>
        </is>
      </c>
      <c r="P180" s="33" t="inlineStr">
        <is>
          <t>To track an AML qualification build (EXTENDABLE 2x)</t>
        </is>
      </c>
      <c r="Q180" s="43" t="inlineStr">
        <is>
          <t>Mark PCBAs with deviation number</t>
        </is>
      </c>
      <c r="R180" s="43" t="inlineStr">
        <is>
          <t>2026-04-22</t>
        </is>
      </c>
      <c r="S180" s="43" t="inlineStr">
        <is>
          <t>2026-05-05</t>
        </is>
      </c>
      <c r="T180" s="43" t="inlineStr"/>
      <c r="U180" s="43" t="inlineStr"/>
    </row>
    <row r="181">
      <c r="A181" s="43" t="n">
        <v>181</v>
      </c>
      <c r="B181" s="43" t="inlineStr">
        <is>
          <t>180</t>
        </is>
      </c>
      <c r="C181" s="43" t="inlineStr">
        <is>
          <t>FJZP</t>
        </is>
      </c>
      <c r="D181" s="43" t="inlineStr">
        <is>
          <t>Cisco</t>
        </is>
      </c>
      <c r="E181" s="43" t="inlineStr">
        <is>
          <t>MCGA</t>
        </is>
      </c>
      <c r="F181" s="43" t="inlineStr">
        <is>
          <t>035-CVEBU</t>
        </is>
      </c>
      <c r="G181" s="43" t="inlineStr">
        <is>
          <t>CTANJZ05219</t>
        </is>
      </c>
      <c r="H181" s="43" t="inlineStr">
        <is>
          <t>To track an AML qualification build (EXTENDABLE 2x)</t>
        </is>
      </c>
      <c r="I181" s="43" t="inlineStr">
        <is>
          <t>Customer Deviation</t>
        </is>
      </c>
      <c r="J181" s="43" t="inlineStr">
        <is>
          <t>D610973</t>
        </is>
      </c>
      <c r="K181" s="33" t="inlineStr">
        <is>
          <t>D610973NPI; CVEBU; Tyne; Qualification of VGT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28-103367-06_S122_M604 from VGT   - C4355 in 73-103698-06 BOM shall be populated by 11-3617-01 (instead of 11-2819-01 as today)   - Boards shall undergo ICT; PCBDG and PCBPM test stations prior shipping   - Boards shall be DEV fused (if applicable)- FJZ to build 4x 73-103758-04 where:   - 28-103453-04 in BOM shall be populated by IPQ MPN 28-103453-04_S122_M604 from VGT   - Boards shall undergo ICT test stations prior shipping- FJZ is allowed to use alternative packagingAdditional comments- VGT has delivered 50x 28-103367-06 and 48x 28-103453-04 to FJZ.-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L181" s="43" t="inlineStr">
        <is>
          <t>Expired</t>
        </is>
      </c>
      <c r="M181" s="43" t="inlineStr">
        <is>
          <t>73-103758-04</t>
        </is>
      </c>
      <c r="N181" s="43" t="inlineStr"/>
      <c r="O181" s="43" t="inlineStr">
        <is>
          <t>2026-07-20</t>
        </is>
      </c>
      <c r="P181" s="33" t="inlineStr">
        <is>
          <t>To track an AML qualification build (EXTENDABLE 2x)</t>
        </is>
      </c>
      <c r="Q181" s="43" t="inlineStr">
        <is>
          <t>Mark PCBAs with deviation number</t>
        </is>
      </c>
      <c r="R181" s="43" t="inlineStr">
        <is>
          <t>2026-04-22</t>
        </is>
      </c>
      <c r="S181" s="43" t="inlineStr">
        <is>
          <t>2026-05-05</t>
        </is>
      </c>
      <c r="T181" s="43" t="inlineStr"/>
      <c r="U181" s="43" t="inlineStr"/>
    </row>
    <row r="182">
      <c r="A182" s="43" t="n">
        <v>182</v>
      </c>
      <c r="B182" s="43" t="inlineStr">
        <is>
          <t>181</t>
        </is>
      </c>
      <c r="C182" s="43" t="inlineStr">
        <is>
          <t>FJZP</t>
        </is>
      </c>
      <c r="D182" s="43" t="inlineStr">
        <is>
          <t>Cisco</t>
        </is>
      </c>
      <c r="E182" s="43" t="inlineStr">
        <is>
          <t>MCGA</t>
        </is>
      </c>
      <c r="F182" s="43" t="inlineStr">
        <is>
          <t>035-CVEBU</t>
        </is>
      </c>
      <c r="G182" s="43" t="inlineStr">
        <is>
          <t>CTANJZ05219</t>
        </is>
      </c>
      <c r="H182" s="43" t="inlineStr">
        <is>
          <t>To track an AML qualification build (EXTENDABLE 2x)</t>
        </is>
      </c>
      <c r="I182" s="43" t="inlineStr">
        <is>
          <t>Customer Deviation</t>
        </is>
      </c>
      <c r="J182" s="43" t="inlineStr">
        <is>
          <t>D610973</t>
        </is>
      </c>
      <c r="K182" s="33" t="inlineStr">
        <is>
          <t>D610973NPI; CVEBU; Tyne; Qualification of VGT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28-103367-06_S122_M604 from VGT   - C4355 in 73-103698-06 BOM shall be populated by 11-3617-01 (instead of 11-2819-01 as today)   - Boards shall undergo ICT; PCBDG and PCBPM test stations prior shipping   - Boards shall be DEV fused (if applicable)- FJZ to build 4x 73-103758-04 where:   - 28-103453-04 in BOM shall be populated by IPQ MPN 28-103453-04_S122_M604 from VGT   - Boards shall undergo ICT test stations prior shipping- FJZ is allowed to use alternative packagingAdditional comments- VGT has delivered 50x 28-103367-06 and 48x 28-103453-04 to FJZ.-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L182" s="43" t="inlineStr">
        <is>
          <t>Expired</t>
        </is>
      </c>
      <c r="M182" s="43" t="inlineStr">
        <is>
          <t>800-113103-01</t>
        </is>
      </c>
      <c r="N182" s="43" t="inlineStr"/>
      <c r="O182" s="43" t="inlineStr">
        <is>
          <t>2026-07-20</t>
        </is>
      </c>
      <c r="P182" s="33" t="inlineStr">
        <is>
          <t>To track an AML qualification build (EXTENDABLE 2x)</t>
        </is>
      </c>
      <c r="Q182" s="43" t="inlineStr">
        <is>
          <t>Mark PCBAs with deviation number</t>
        </is>
      </c>
      <c r="R182" s="43" t="inlineStr">
        <is>
          <t>2026-04-22</t>
        </is>
      </c>
      <c r="S182" s="43" t="inlineStr">
        <is>
          <t>2026-05-05</t>
        </is>
      </c>
      <c r="T182" s="43" t="inlineStr"/>
      <c r="U182" s="43" t="inlineStr"/>
    </row>
    <row r="183">
      <c r="A183" s="43" t="n">
        <v>183</v>
      </c>
      <c r="B183" s="43" t="inlineStr">
        <is>
          <t>182</t>
        </is>
      </c>
      <c r="C183" s="43" t="inlineStr">
        <is>
          <t>FJZP</t>
        </is>
      </c>
      <c r="D183" s="43" t="inlineStr">
        <is>
          <t>Cisco</t>
        </is>
      </c>
      <c r="E183" s="43" t="inlineStr">
        <is>
          <t>MCGA</t>
        </is>
      </c>
      <c r="F183" s="43" t="inlineStr">
        <is>
          <t>035-CVEBU</t>
        </is>
      </c>
      <c r="G183" s="43" t="inlineStr">
        <is>
          <t>CTANJZ05326</t>
        </is>
      </c>
      <c r="H183" s="43" t="inlineStr">
        <is>
          <t>To track an AML qualification build (EXTENDABLE)</t>
        </is>
      </c>
      <c r="I183" s="43" t="inlineStr">
        <is>
          <t>Customer Deviation</t>
        </is>
      </c>
      <c r="J183" s="43" t="inlineStr">
        <is>
          <t>DP526159</t>
        </is>
      </c>
      <c r="K183" s="33" t="inlineStr">
        <is>
          <t>DP526159CVEBU; Risk buy of NDAA Taylor PCBs from Founder ThailandAffected item28-104228-04; PCBFAB;12 L;EM-370(Z);OSP;47.2 mil;TAYLOR;2-UP;NDAA (28-103228-04)Risk buy instruction- FJZ is hereby instructed to place 2 urgent POs to Founder TH   - PO 1: 1500 pieces of 28-104228-04/28-103228-04_S606_M210 with fastest possible ETD from Founder   - PO 2: 1500 pieces of 28-104228-04/28-103228-04_S606_M210 with ETD from Founder March 1st 2027.Background- 28-104228-04 is the same PCB as 28-103228-04; but with only Founder TH MPN 28-103228-04_S606_M210 on the AVL- 28-103228-04_S606_M210 will be qualified through samples received from PO 1.- Due to long LT; this deviation is needed to kick off material sourcing for required NDAA Taylor PCBs; in parallell with PCB qualification.- Founder TH is the only PCB fab outside China that can make such HDI PCBs; hence for Pictoris; Tyne and Bayfront; this is the only option for NDAA.- The intention with two POs; is to have raw material ready at Founder TH to kick of production of PO 2 immediately after testing and qualifying PCBs from PO 1.- Cisco EPE team will try to coordinate above with Founder TH in parallel- Only FJZ makes Taylor PCBAs for NDAA; hence FJZ is the only CM that needs to secure this PCB.- Testbuild deviation at FJZ will be provided laterCisco contact: Havard Sorensen and Lee Hudson</t>
        </is>
      </c>
      <c r="L183" s="43" t="inlineStr">
        <is>
          <t>Expired</t>
        </is>
      </c>
      <c r="M183" s="43" t="inlineStr">
        <is>
          <t>28-104228-04</t>
        </is>
      </c>
      <c r="N183" s="43" t="inlineStr"/>
      <c r="O183" s="43" t="inlineStr">
        <is>
          <t>2026-07-20</t>
        </is>
      </c>
      <c r="P183" s="33" t="inlineStr"/>
      <c r="Q183" s="43" t="inlineStr">
        <is>
          <t>No marking needed</t>
        </is>
      </c>
      <c r="R183" s="43" t="inlineStr">
        <is>
          <t>2026-06-30</t>
        </is>
      </c>
      <c r="S183" s="43" t="inlineStr">
        <is>
          <t>2026-07-08</t>
        </is>
      </c>
      <c r="T183" s="43" t="inlineStr"/>
      <c r="U183" s="43" t="inlineStr"/>
    </row>
    <row r="184">
      <c r="A184" s="43" t="n">
        <v>184</v>
      </c>
      <c r="B184" s="43" t="inlineStr">
        <is>
          <t>183</t>
        </is>
      </c>
      <c r="C184" s="43" t="inlineStr">
        <is>
          <t>FJZP</t>
        </is>
      </c>
      <c r="D184" s="43" t="inlineStr">
        <is>
          <t>Cisco</t>
        </is>
      </c>
      <c r="E184" s="43" t="inlineStr">
        <is>
          <t>MCGA</t>
        </is>
      </c>
      <c r="F184" s="43" t="inlineStr">
        <is>
          <t>035-CVEBU</t>
        </is>
      </c>
      <c r="G184" s="43" t="inlineStr">
        <is>
          <t>CTANJZ05289</t>
        </is>
      </c>
      <c r="H184" s="43" t="inlineStr">
        <is>
          <t>To track an AML qualification build (EXTENDABLE)</t>
        </is>
      </c>
      <c r="I184" s="43" t="inlineStr">
        <is>
          <t>Customer Deviation</t>
        </is>
      </c>
      <c r="J184" s="43" t="inlineStr">
        <is>
          <t>DP526170</t>
        </is>
      </c>
      <c r="K184" s="33" t="inlineStr">
        <is>
          <t>DP526170CVEBU; Risk buy of NDAA PCBs for Tyne Main Board and Audio Board from Founder ThailandAffected item28-104097-06; PCBFAB; 14L; High Temp FR4; 2.2mm; OSP; Tyne Codec; Main Board; NDAA (28-103367-06)   28-104098-04; PCBFAB; 8L; High Temp FR4; 1.6mm; OSP; Tyne Codec; Audio Board; NDAA (28-103453-04)   Risk buy instruction- FJZ is hereby instructed to place 2 urgent POs to Founder TH   - PO 1: 600 pieces of 28-104097-06/28-103367-06_S606_M604 with fastest possible ETD from Founder   - PO 1: 600 pieces of 28-104098-04/28-103453-04_S606_M604 with fastest possible ETD from Founder   - PO 2: 600 pieces of 28-104097-06/28-103367-06_S606_M604 with ETD from Founder March 1st 2027   - PO 2: 600 pieces of 28-104098-04/28-103453-04_S606_M604 with ETD from Founder March 1st 2027Background- 28-104097-06 is the same PCB as 28-103367-06; but with only Founder TH MPN 28-103367-06_S606_M604 on the AVL- 28-104098-04 is the same PCB as 28-103453-04; but with only Founder TH MPN 28-103453-04_S606_M604 on the AVL- 28-103367-06_S606_M604 and 28-103453-04_S606_M604 will be qualified during summer 2026 through D611479- Due to long LT; this deviation is needed to kick off material sourcing for required NDAA PCBs; in paralell with PCB qualification.- Cisco EPE team will try to coordinate above with Founder TH in parallel- Only FJZ makes these PCBAs; hence FJZ is the only CM that needs to secure this PCB.Cisco contact: Havard Sorensen and Lee Hudson</t>
        </is>
      </c>
      <c r="L184" s="43" t="inlineStr">
        <is>
          <t>Expired</t>
        </is>
      </c>
      <c r="M184" s="43" t="inlineStr">
        <is>
          <t>28-104097-06</t>
        </is>
      </c>
      <c r="N184" s="43" t="inlineStr"/>
      <c r="O184" s="43" t="inlineStr">
        <is>
          <t>2026-07-20</t>
        </is>
      </c>
      <c r="P184" s="33" t="inlineStr"/>
      <c r="Q184" s="43" t="inlineStr">
        <is>
          <t>No marking needed</t>
        </is>
      </c>
      <c r="R184" s="43" t="inlineStr">
        <is>
          <t>2026-06-11</t>
        </is>
      </c>
      <c r="S184" s="43" t="inlineStr">
        <is>
          <t>2026-07-07</t>
        </is>
      </c>
      <c r="T184" s="43" t="inlineStr"/>
      <c r="U184" s="43" t="inlineStr"/>
    </row>
    <row r="185">
      <c r="A185" s="43" t="n">
        <v>185</v>
      </c>
      <c r="B185" s="43" t="inlineStr">
        <is>
          <t>184</t>
        </is>
      </c>
      <c r="C185" s="43" t="inlineStr">
        <is>
          <t>FJZP</t>
        </is>
      </c>
      <c r="D185" s="43" t="inlineStr">
        <is>
          <t>Cisco</t>
        </is>
      </c>
      <c r="E185" s="43" t="inlineStr">
        <is>
          <t>MCGA</t>
        </is>
      </c>
      <c r="F185" s="43" t="inlineStr">
        <is>
          <t>035-CVEBU</t>
        </is>
      </c>
      <c r="G185" s="43" t="inlineStr">
        <is>
          <t>CTANJZ05289</t>
        </is>
      </c>
      <c r="H185" s="43" t="inlineStr">
        <is>
          <t>To track an AML qualification build (EXTENDABLE)</t>
        </is>
      </c>
      <c r="I185" s="43" t="inlineStr">
        <is>
          <t>Customer Deviation</t>
        </is>
      </c>
      <c r="J185" s="43" t="inlineStr">
        <is>
          <t>DP526170</t>
        </is>
      </c>
      <c r="K185" s="33" t="inlineStr">
        <is>
          <t>DP526170CVEBU; Risk buy of NDAA PCBs for Tyne Main Board and Audio Board from Founder ThailandAffected item28-104097-06; PCBFAB; 14L; High Temp FR4; 2.2mm; OSP; Tyne Codec; Main Board; NDAA (28-103367-06)   28-104098-04; PCBFAB; 8L; High Temp FR4; 1.6mm; OSP; Tyne Codec; Audio Board; NDAA (28-103453-04)   Risk buy instruction- FJZ is hereby instructed to place 2 urgent POs to Founder TH   - PO 1: 600 pieces of 28-104097-06/28-103367-06_S606_M604 with fastest possible ETD from Founder   - PO 1: 600 pieces of 28-104098-04/28-103453-04_S606_M604 with fastest possible ETD from Founder   - PO 2: 600 pieces of 28-104097-06/28-103367-06_S606_M604 with ETD from Founder March 1st 2027   - PO 2: 600 pieces of 28-104098-04/28-103453-04_S606_M604 with ETD from Founder March 1st 2027Background- 28-104097-06 is the same PCB as 28-103367-06; but with only Founder TH MPN 28-103367-06_S606_M604 on the AVL- 28-104098-04 is the same PCB as 28-103453-04; but with only Founder TH MPN 28-103453-04_S606_M604 on the AVL- 28-103367-06_S606_M604 and 28-103453-04_S606_M604 will be qualified during summer 2026 through D611479- Due to long LT; this deviation is needed to kick off material sourcing for required NDAA PCBs; in paralell with PCB qualification.- Cisco EPE team will try to coordinate above with Founder TH in parallel- Only FJZ makes these PCBAs; hence FJZ is the only CM that needs to secure this PCB.Cisco contact: Havard Sorensen and Lee Hudson</t>
        </is>
      </c>
      <c r="L185" s="43" t="inlineStr">
        <is>
          <t>Expired</t>
        </is>
      </c>
      <c r="M185" s="43" t="inlineStr">
        <is>
          <t>28-104098-04</t>
        </is>
      </c>
      <c r="N185" s="43" t="inlineStr"/>
      <c r="O185" s="43" t="inlineStr">
        <is>
          <t>2026-07-20</t>
        </is>
      </c>
      <c r="P185" s="33" t="inlineStr"/>
      <c r="Q185" s="43" t="inlineStr">
        <is>
          <t>No marking needed</t>
        </is>
      </c>
      <c r="R185" s="43" t="inlineStr">
        <is>
          <t>2026-06-11</t>
        </is>
      </c>
      <c r="S185" s="43" t="inlineStr">
        <is>
          <t>2026-07-07</t>
        </is>
      </c>
      <c r="T185" s="43" t="inlineStr"/>
      <c r="U185" s="43" t="inlineStr"/>
    </row>
    <row r="186">
      <c r="A186" s="43" t="n">
        <v>186</v>
      </c>
      <c r="B186" s="43" t="inlineStr">
        <is>
          <t>185</t>
        </is>
      </c>
      <c r="C186" s="43" t="inlineStr">
        <is>
          <t>FJZP</t>
        </is>
      </c>
      <c r="D186" s="43" t="inlineStr">
        <is>
          <t>Cisco</t>
        </is>
      </c>
      <c r="E186" s="43" t="inlineStr">
        <is>
          <t>MCGA</t>
        </is>
      </c>
      <c r="F186" s="43" t="inlineStr">
        <is>
          <t>035-CVEBU</t>
        </is>
      </c>
      <c r="G186" s="43" t="inlineStr">
        <is>
          <t>CTANJZ05093</t>
        </is>
      </c>
      <c r="H186" s="43" t="inlineStr">
        <is>
          <t>To track an AML qualification build (EXTENDABLE)</t>
        </is>
      </c>
      <c r="I186" s="43" t="inlineStr">
        <is>
          <t>Customer Deviation</t>
        </is>
      </c>
      <c r="J186" s="43" t="inlineStr">
        <is>
          <t>DP525776</t>
        </is>
      </c>
      <c r="K186" s="33" t="inlineStr">
        <is>
          <t>DP525776 CVEBU; Vasco. Allow Foxconn MPN mismatch with CPNs AVL. Ref. DP525484. 17-JAN 2026.Allow FVN to order and use Following MPNs in P2 builds for CPNs:1. NXP MPN PIMX9596XVTXNAC15-111231-01 IC-COMM;10.0Gb/s;4.0 W;95.0 Tj MAX;FCBGA;548 P;15.0x15.0mm PKGSIZE;0.5mm PITCH;1.8 V;5.0 %;32.0;0 to 95 CInstead of MPN in AVL: MIMX9556CVTXNAC (NXP)2. NXP MPN PPF0900AVNA1ES15-111232-01 IC-LIN;PWRMGT;PMIC;QFN;56P;8x8mm PKGSIZE;0.50mm PITCH;3.300V NOM;-40to125C;Power management IC for IMX95Instead of MPN in AVL: MPF0900AMNA1ES (NXP)3. NXP MPN PPF5302AVNAAEP15-111203-01 IC-LIN;VREG;SW;BUCK;PQFN;24P;4.50x3.50mm PKGSIZE;0.50mm PITCH;5.500V IN;1.200V OUT;3MHz;12A;-40to105CInstead of MPN in AVL: MPF5302AVNAAEP (NXP)4. NXP MPN PPF5301AVNABEP15-111235-01 IC-LIN;PMIC;PQFN;24P;3.50x4.50mm PKGSIZE;0.50mm PITCH;5.500V IN;1.200V OUT;3MHz;8A;-40to125C; I2C bus PMIC chipset for IMX95Instead of MPN in AVL: MPF5301AVNA0ES (NXP)For the upcoming builds.Note: The part is in prototype stage from NXP; so there will be a difference with MPNs until they build MP parts.PE: jaaaslan</t>
        </is>
      </c>
      <c r="L186" s="43" t="inlineStr">
        <is>
          <t>Expired</t>
        </is>
      </c>
      <c r="M186" s="43" t="inlineStr">
        <is>
          <t>15-111231-01</t>
        </is>
      </c>
      <c r="N186" s="43" t="inlineStr"/>
      <c r="O186" s="43" t="inlineStr">
        <is>
          <t>2026-03-28</t>
        </is>
      </c>
      <c r="P186" s="33" t="inlineStr"/>
      <c r="Q186" s="43" t="inlineStr">
        <is>
          <t>N/A; parts are ok; just MPN mismatch</t>
        </is>
      </c>
      <c r="R186" s="43" t="inlineStr">
        <is>
          <t>2026-02-03</t>
        </is>
      </c>
      <c r="S186" s="43" t="inlineStr">
        <is>
          <t>2026-02-11</t>
        </is>
      </c>
      <c r="T186" s="43" t="inlineStr"/>
      <c r="U186" s="43" t="inlineStr"/>
    </row>
    <row r="187">
      <c r="A187" s="43" t="n">
        <v>187</v>
      </c>
      <c r="B187" s="43" t="inlineStr">
        <is>
          <t>186</t>
        </is>
      </c>
      <c r="C187" s="43" t="inlineStr">
        <is>
          <t>FJZP</t>
        </is>
      </c>
      <c r="D187" s="43" t="inlineStr">
        <is>
          <t>Cisco</t>
        </is>
      </c>
      <c r="E187" s="43" t="inlineStr">
        <is>
          <t>MCGA</t>
        </is>
      </c>
      <c r="F187" s="43" t="inlineStr">
        <is>
          <t>035-CVEBU</t>
        </is>
      </c>
      <c r="G187" s="43" t="inlineStr">
        <is>
          <t>CTANJZ05093</t>
        </is>
      </c>
      <c r="H187" s="43" t="inlineStr">
        <is>
          <t>To track an AML qualification build (EXTENDABLE)</t>
        </is>
      </c>
      <c r="I187" s="43" t="inlineStr">
        <is>
          <t>Customer Deviation</t>
        </is>
      </c>
      <c r="J187" s="43" t="inlineStr">
        <is>
          <t>DP525776</t>
        </is>
      </c>
      <c r="K187" s="33" t="inlineStr">
        <is>
          <t>DP525776 CVEBU; Vasco. Allow Foxconn MPN mismatch with CPNs AVL. Ref. DP525484. 17-JAN 2026.Allow FVN to order and use Following MPNs in P2 builds for CPNs:1. NXP MPN PIMX9596XVTXNAC15-111231-01 IC-COMM;10.0Gb/s;4.0 W;95.0 Tj MAX;FCBGA;548 P;15.0x15.0mm PKGSIZE;0.5mm PITCH;1.8 V;5.0 %;32.0;0 to 95 CInstead of MPN in AVL: MIMX9556CVTXNAC (NXP)2. NXP MPN PPF0900AVNA1ES15-111232-01 IC-LIN;PWRMGT;PMIC;QFN;56P;8x8mm PKGSIZE;0.50mm PITCH;3.300V NOM;-40to125C;Power management IC for IMX95Instead of MPN in AVL: MPF0900AMNA1ES (NXP)3. NXP MPN PPF5302AVNAAEP15-111203-01 IC-LIN;VREG;SW;BUCK;PQFN;24P;4.50x3.50mm PKGSIZE;0.50mm PITCH;5.500V IN;1.200V OUT;3MHz;12A;-40to105CInstead of MPN in AVL: MPF5302AVNAAEP (NXP)4. NXP MPN PPF5301AVNABEP15-111235-01 IC-LIN;PMIC;PQFN;24P;3.50x4.50mm PKGSIZE;0.50mm PITCH;5.500V IN;1.200V OUT;3MHz;8A;-40to125C; I2C bus PMIC chipset for IMX95Instead of MPN in AVL: MPF5301AVNA0ES (NXP)For the upcoming builds.Note: The part is in prototype stage from NXP; so there will be a difference with MPNs until they build MP parts.PE: jaaaslan</t>
        </is>
      </c>
      <c r="L187" s="43" t="inlineStr">
        <is>
          <t>Expired</t>
        </is>
      </c>
      <c r="M187" s="43" t="inlineStr">
        <is>
          <t>15-111232-01</t>
        </is>
      </c>
      <c r="N187" s="43" t="inlineStr"/>
      <c r="O187" s="43" t="inlineStr">
        <is>
          <t>2026-03-28</t>
        </is>
      </c>
      <c r="P187" s="33" t="inlineStr"/>
      <c r="Q187" s="43" t="inlineStr">
        <is>
          <t>N/A; parts are ok; just MPN mismatch</t>
        </is>
      </c>
      <c r="R187" s="43" t="inlineStr">
        <is>
          <t>2026-02-03</t>
        </is>
      </c>
      <c r="S187" s="43" t="inlineStr">
        <is>
          <t>2026-02-11</t>
        </is>
      </c>
      <c r="T187" s="43" t="inlineStr"/>
      <c r="U187" s="43" t="inlineStr"/>
    </row>
    <row r="188">
      <c r="A188" s="43" t="n">
        <v>188</v>
      </c>
      <c r="B188" s="43" t="inlineStr">
        <is>
          <t>187</t>
        </is>
      </c>
      <c r="C188" s="43" t="inlineStr">
        <is>
          <t>FJZP</t>
        </is>
      </c>
      <c r="D188" s="43" t="inlineStr">
        <is>
          <t>Cisco</t>
        </is>
      </c>
      <c r="E188" s="43" t="inlineStr">
        <is>
          <t>MCGA</t>
        </is>
      </c>
      <c r="F188" s="43" t="inlineStr">
        <is>
          <t>035-CVEBU</t>
        </is>
      </c>
      <c r="G188" s="43" t="inlineStr">
        <is>
          <t>CTANJZ05093</t>
        </is>
      </c>
      <c r="H188" s="43" t="inlineStr">
        <is>
          <t>To track an AML qualification build (EXTENDABLE)</t>
        </is>
      </c>
      <c r="I188" s="43" t="inlineStr">
        <is>
          <t>Customer Deviation</t>
        </is>
      </c>
      <c r="J188" s="43" t="inlineStr">
        <is>
          <t>DP525776</t>
        </is>
      </c>
      <c r="K188" s="33" t="inlineStr">
        <is>
          <t>DP525776 CVEBU; Vasco. Allow Foxconn MPN mismatch with CPNs AVL. Ref. DP525484. 17-JAN 2026.Allow FVN to order and use Following MPNs in P2 builds for CPNs:1. NXP MPN PIMX9596XVTXNAC15-111231-01 IC-COMM;10.0Gb/s;4.0 W;95.0 Tj MAX;FCBGA;548 P;15.0x15.0mm PKGSIZE;0.5mm PITCH;1.8 V;5.0 %;32.0;0 to 95 CInstead of MPN in AVL: MIMX9556CVTXNAC (NXP)2. NXP MPN PPF0900AVNA1ES15-111232-01 IC-LIN;PWRMGT;PMIC;QFN;56P;8x8mm PKGSIZE;0.50mm PITCH;3.300V NOM;-40to125C;Power management IC for IMX95Instead of MPN in AVL: MPF0900AMNA1ES (NXP)3. NXP MPN PPF5302AVNAAEP15-111203-01 IC-LIN;VREG;SW;BUCK;PQFN;24P;4.50x3.50mm PKGSIZE;0.50mm PITCH;5.500V IN;1.200V OUT;3MHz;12A;-40to105CInstead of MPN in AVL: MPF5302AVNAAEP (NXP)4. NXP MPN PPF5301AVNABEP15-111235-01 IC-LIN;PMIC;PQFN;24P;3.50x4.50mm PKGSIZE;0.50mm PITCH;5.500V IN;1.200V OUT;3MHz;8A;-40to125C; I2C bus PMIC chipset for IMX95Instead of MPN in AVL: MPF5301AVNA0ES (NXP)For the upcoming builds.Note: The part is in prototype stage from NXP; so there will be a difference with MPNs until they build MP parts.PE: jaaaslan</t>
        </is>
      </c>
      <c r="L188" s="43" t="inlineStr">
        <is>
          <t>Expired</t>
        </is>
      </c>
      <c r="M188" s="43" t="inlineStr">
        <is>
          <t>15-111235-01</t>
        </is>
      </c>
      <c r="N188" s="43" t="inlineStr"/>
      <c r="O188" s="43" t="inlineStr">
        <is>
          <t>2026-03-28</t>
        </is>
      </c>
      <c r="P188" s="33" t="inlineStr"/>
      <c r="Q188" s="43" t="inlineStr">
        <is>
          <t>N/A; parts are ok; just MPN mismatch</t>
        </is>
      </c>
      <c r="R188" s="43" t="inlineStr">
        <is>
          <t>2026-02-03</t>
        </is>
      </c>
      <c r="S188" s="43" t="inlineStr">
        <is>
          <t>2026-02-11</t>
        </is>
      </c>
      <c r="T188" s="43" t="inlineStr"/>
      <c r="U188" s="43" t="inlineStr"/>
    </row>
    <row r="189">
      <c r="A189" s="43" t="n">
        <v>189</v>
      </c>
      <c r="B189" s="43" t="inlineStr">
        <is>
          <t>188</t>
        </is>
      </c>
      <c r="C189" s="43" t="inlineStr">
        <is>
          <t>FJZP</t>
        </is>
      </c>
      <c r="D189" s="43" t="inlineStr">
        <is>
          <t>Cisco</t>
        </is>
      </c>
      <c r="E189" s="43" t="inlineStr">
        <is>
          <t>MCGA</t>
        </is>
      </c>
      <c r="F189" s="43" t="inlineStr">
        <is>
          <t>239-CRBU</t>
        </is>
      </c>
      <c r="G189" s="43" t="inlineStr">
        <is>
          <t>CTANJZ05292</t>
        </is>
      </c>
      <c r="H189" s="43" t="inlineStr">
        <is>
          <t>New Release</t>
        </is>
      </c>
      <c r="I189" s="43" t="inlineStr">
        <is>
          <t>Customer Deviation</t>
        </is>
      </c>
      <c r="J189" s="43" t="inlineStr">
        <is>
          <t>D612032</t>
        </is>
      </c>
      <c r="K189" s="33" t="inlineStr">
        <is>
          <t>D612032 Need to qualify CCN000008819 CCN000009497 CCN000009814 on Wasp1-RP/Wasp1-SC/K2</t>
        </is>
      </c>
      <c r="L189" s="43" t="inlineStr">
        <is>
          <t>Expired</t>
        </is>
      </c>
      <c r="M189" s="43" t="inlineStr">
        <is>
          <t>73-20922-04</t>
        </is>
      </c>
      <c r="N189" s="43" t="inlineStr"/>
      <c r="O189" s="43" t="inlineStr">
        <is>
          <t>2026-09-13</t>
        </is>
      </c>
      <c r="P189" s="33" t="inlineStr">
        <is>
          <t>To track an AML qualification build (EXTENDABLE 2x)</t>
        </is>
      </c>
      <c r="Q189" s="43" t="inlineStr">
        <is>
          <t>Cookie deviation # on units</t>
        </is>
      </c>
      <c r="R189" s="43" t="inlineStr">
        <is>
          <t>2026-06-16</t>
        </is>
      </c>
      <c r="S189" s="43" t="inlineStr"/>
      <c r="T189" s="43" t="inlineStr"/>
      <c r="U189" s="43" t="inlineStr"/>
    </row>
    <row r="190">
      <c r="A190" s="43" t="n">
        <v>190</v>
      </c>
      <c r="B190" s="43" t="inlineStr">
        <is>
          <t>189</t>
        </is>
      </c>
      <c r="C190" s="43" t="inlineStr">
        <is>
          <t>FJZP</t>
        </is>
      </c>
      <c r="D190" s="43" t="inlineStr">
        <is>
          <t>Cisco</t>
        </is>
      </c>
      <c r="E190" s="43" t="inlineStr">
        <is>
          <t>MCGA</t>
        </is>
      </c>
      <c r="F190" s="43" t="inlineStr">
        <is>
          <t>035-CVEBU</t>
        </is>
      </c>
      <c r="G190" s="43" t="inlineStr">
        <is>
          <t>CTANJZ05307</t>
        </is>
      </c>
      <c r="H190" s="43" t="inlineStr">
        <is>
          <t>To track an AML qualification build (EXTENDABLE)</t>
        </is>
      </c>
      <c r="I190" s="43" t="inlineStr">
        <is>
          <t>Customer Deviation</t>
        </is>
      </c>
      <c r="J190" s="43" t="inlineStr">
        <is>
          <t>DP526267</t>
        </is>
      </c>
      <c r="K190" s="33" t="inlineStr">
        <is>
          <t>DP526267 CVEBU; Risk buy of NDAA components for use in PictorisThis risk buy supersede DP526230 as wrong MPN was requested under 28-105096-06 in DP526230Affected items07-100907-02; RF EQUIP;ANTENNA;PICTORIS BT;INTERNAL...GREY CABLE;GREEN MARKING;NDAA07-100914-02; RF EQUIP;ANTENNA;PICTORIS LEFT;INTERNAL...BLACK CABLE;YELLOW MARKING;NDAA07-100915-02; RF EQUIP;ANTENNA;PICTORIS RIGHT;INTERNAL...BLACK CABLE;RED MARKING;NDAA43-100341-03; CAMERA;CMOS;AUTO;4.25 mm FL;1.7;39.74 mm OL;GLASS;0 to 70 C;Narrow FOV 70;NDAA43-100363-02; CAMERA;CMOS;AUTO;2.05 mm FL;2.2;42.0 mm OL;GLASS;0 to 70 C;NDAA43-100362-02; DISPLAY WITH TOUCH;27in;27in TOUCH SIZE;3840x2160;TFT;Capacitive;Multi-touch;NDAA28-104786-03; PCBFAB;4L;S1000-2;OSP;39.4 MIL;POLARIS;MIC1 6 MEMS;NDAA (28-101786-03)28-104791-05; PCBFAB;2 L;EM-827;OSP;32.8 mil;HDC2010 SENSOR;BLACK;32-UP;NDAA (28-102791-05)  28-104796-03; PCBFAB;4 L;ENIG;39.4 mil;PICTORIS;MIC-2 FLEX RIGID;6-UP;NDAA (28-103796-03)28-104785-04; PCBFAB;6 L;EM-827;OSP;62.6 mil;PICTORIS;;CAMERA BASE BOARD;4-UP;NDAA (28-103785-04)  28-104787-05; PCBFAB;4 L;EM-827;OSP;53.7 mil;PICTORIS;SIDE IO BOARD;8-UP;NDAA (28-103787-05)    28-104778-02; PCBFAB;4 L;S1000-2 (Shengyi);OSP;23.6 mil;PICTORIS;CAPSENSE VOL_MUTE;NDAA (28-101778-02)  28-105096-06; PCBFAB;16 L;TU-872SLK;OSP;75.6 mil;PICTORIS;MAIN BOARD;2-UP;NDAA (28-103096-06)  Risk buy instruction to FVN- FVN is hereby instructed to place following risk buy POs   - 1000 pieces of 07-100907-02/OCG497-15-000-R_VN with fastest possible ETD   - 1000 pieces of 07-100907-02/OCG497-15-000-R_VN with ETD March 1st 2027   - 1000 pieces of 07-100914-02/OCG495-15-000-R_VN with fastest possible ETD   - 1000 pieces of 07-100914-02/OCG495-15-000-R_VN with ETD March 1st 2027   - 1000 pieces of 07-100915-02/OCG496-15-000-R_VN with fastest possible ETD   - 1000 pieces of 07-100915-02/OCG496-15-000-R_VN with ETD March 1st 2027   - 2000 pieces of 28-104786-03/28-101786-03_S603_MA01-4 with fastest possible ETD   - 10000 pieces of 28-104791-05/28-102791-05_S603_MA01-4 with fastest possible ETD   - 1000 pieces of 28-104796-03/28-103796-03_S803_M202 with fastest possible ETD   - 1000 pieces of 28-104796-03/28-103796-03_S803_M202 with ETD March 1st 2027   - 2000 pieces of 28-104785-04/28-103785-04_S603_MA01-4 with fastest possible ETD   - 2000 pieces of 28-104787-05/28-103787-05_S603_MA01-4 with fastest possible ETD   - 3000 pieces of 28-104778-02/28-101778-02_S603_MA01-4 with fastest possible ETD   - 3000 pieces of 43-100362-02/UV270QU0-M00 with fastest possible ETD   - 5000 pieces of 43-100341-03/CPALO1120005932LH with fastest possible ETD   - 5000 pieces of 43-100363-02/CJAOC1020005931LH with fastest possible ETDRisk buy instruction to FJZ- FJZ is hereby instructed to place following risk buy POs   - 1000 pieces of 28-105096-06/28-103096-06_S603_M605 with fastest possible ETD   - 1000 pieces of 28-105096-06/28-103096-06_S603_M605 with ETD March 1st 2027</t>
        </is>
      </c>
      <c r="L190" s="43" t="inlineStr">
        <is>
          <t>Expired</t>
        </is>
      </c>
      <c r="M190" s="43" t="inlineStr">
        <is>
          <t>28-105096-06</t>
        </is>
      </c>
      <c r="N190" s="43" t="inlineStr"/>
      <c r="O190" s="43" t="inlineStr">
        <is>
          <t>2026-08-14</t>
        </is>
      </c>
      <c r="P190" s="33" t="inlineStr"/>
      <c r="Q190" s="43" t="inlineStr">
        <is>
          <t>No marking needed</t>
        </is>
      </c>
      <c r="R190" s="43" t="inlineStr">
        <is>
          <t>2026-06-24</t>
        </is>
      </c>
      <c r="S190" s="43" t="inlineStr">
        <is>
          <t>2026-07-02</t>
        </is>
      </c>
      <c r="T190" s="43" t="inlineStr"/>
      <c r="U190" s="43" t="inlineStr"/>
    </row>
    <row r="191">
      <c r="A191" s="43" t="n">
        <v>191</v>
      </c>
      <c r="B191" s="43" t="inlineStr">
        <is>
          <t>190</t>
        </is>
      </c>
      <c r="C191" s="43" t="inlineStr">
        <is>
          <t>FJZP</t>
        </is>
      </c>
      <c r="D191" s="43" t="inlineStr">
        <is>
          <t>Cisco</t>
        </is>
      </c>
      <c r="E191" s="43" t="inlineStr">
        <is>
          <t>MCGA</t>
        </is>
      </c>
      <c r="F191" s="43" t="inlineStr">
        <is>
          <t>035-CVEBU</t>
        </is>
      </c>
      <c r="G191" s="43" t="inlineStr">
        <is>
          <t>CTANJZ05308</t>
        </is>
      </c>
      <c r="H191" s="43" t="inlineStr">
        <is>
          <t>To track an AML qualification build (EXTENDABLE)</t>
        </is>
      </c>
      <c r="I191" s="43" t="inlineStr">
        <is>
          <t>Customer Deviation</t>
        </is>
      </c>
      <c r="J191" s="43" t="inlineStr">
        <is>
          <t>DP526196</t>
        </is>
      </c>
      <c r="K191" s="33" t="inlineStr">
        <is>
          <t>DP526196 CVEBU; Risk buy of NDAA Nixie PCBs from Founder ThailandThis deviation superseedes DP526173 as MOQ was wrong.Affected item28-104119-05; PCBFAB;12L;SYL S1000-2; OSP; 1.7mm NIXIE Mainboard; (28-102088-05);NDAA  Risk buy instruction- FJZ is hereby instructed to place 1 urgent PO to Founder TH   - PO: 1000 pieces of 28-104119-05/28-102088-05_S606_M202 with fastest possible ETD from FounderBackground- 28-104119-05 is the same PCB as 28-102088-05; but with only Founder TH MPN 28-102088-05_S606_M202 on the AVL- 28-102088-05_S606_M202 is estimated to be qualified fall 2026 through D610694 at FJZ.- Due to long LT; this deviation is needed to kick off material sourcing for required NDAA Nixie PCBs; in parallell with PCB qualification.- Founder TH is the only PCB fab outside China that can make such HDI PCBs; hence for Nixie; this is the only option for NDAA.- Only FJZ makes Nixie; hence FJZ is the only CM that needs to secure this PCB.Cisco contact: Jarle Aasland and Lee Hudson</t>
        </is>
      </c>
      <c r="L191" s="43" t="inlineStr">
        <is>
          <t>Expired</t>
        </is>
      </c>
      <c r="M191" s="43" t="inlineStr">
        <is>
          <t>28-104119-05</t>
        </is>
      </c>
      <c r="N191" s="43" t="inlineStr"/>
      <c r="O191" s="43" t="inlineStr">
        <is>
          <t>2026-07-27</t>
        </is>
      </c>
      <c r="P191" s="33" t="inlineStr"/>
      <c r="Q191" s="43" t="inlineStr">
        <is>
          <t>No marking needed</t>
        </is>
      </c>
      <c r="R191" s="43" t="inlineStr">
        <is>
          <t>2026-06-24</t>
        </is>
      </c>
      <c r="S191" s="43" t="inlineStr">
        <is>
          <t>2026-07-02</t>
        </is>
      </c>
      <c r="T191" s="43" t="inlineStr"/>
      <c r="U191" s="43" t="inlineStr"/>
    </row>
    <row r="192">
      <c r="A192" s="43" t="n">
        <v>192</v>
      </c>
      <c r="B192" s="43" t="inlineStr">
        <is>
          <t>191</t>
        </is>
      </c>
      <c r="C192" s="43" t="inlineStr">
        <is>
          <t>FJZP</t>
        </is>
      </c>
      <c r="D192" s="43" t="inlineStr">
        <is>
          <t>Cisco</t>
        </is>
      </c>
      <c r="E192" s="43" t="inlineStr">
        <is>
          <t>MCGA</t>
        </is>
      </c>
      <c r="F192" s="43" t="inlineStr">
        <is>
          <t>035-CVEBU</t>
        </is>
      </c>
      <c r="G192" s="43" t="inlineStr">
        <is>
          <t>CTANJZ05306</t>
        </is>
      </c>
      <c r="H192" s="43" t="inlineStr">
        <is>
          <t>To track an AML qualification build (EXTENDABLE)</t>
        </is>
      </c>
      <c r="I192" s="43" t="inlineStr">
        <is>
          <t>Customer Deviation</t>
        </is>
      </c>
      <c r="J192" s="43" t="inlineStr">
        <is>
          <t>DP526173</t>
        </is>
      </c>
      <c r="K192" s="33" t="inlineStr">
        <is>
          <t>DP526173 CVEBU; Risk buy of NDAA Nixie PCBs from Founder ThailandAffected item28-104119-05; PCBFAB;12L;SYL S1000-2; OSP; 1.7mm NIXIE Mainboard; (28-102088-05);NDAA  Risk buy instruction- FJZ is hereby instructed to place 2 urgent POs to Founder TH   - PO 1: 250 pieces of 28-104119-05/28-102088-05_S606_M202 with fastest possible ETD from Founder   - PO 2: 250 pieces of 28-104119-05/28-102088-05_S606_M202 with ETD from Founder March 1st 2027.Background- 28-104119-05 is the same PCB as 28-102088-05; but with only Founder TH MPN 28-102088-05_S606_M202 on the AVL- 28-102088-05_S606_M202 is estimated to be qualified fall 2026 through D610694 at FJZ.- Due to long LT; this deviation is needed to kick off material sourcing for required NDAA Nixie PCBs; in parallell with PCB qualification.- Founder TH is the only PCB fab outside China that can make such HDI PCBs; hence for Nixie; this is the only option for NDAA.- The intention with two POs; is to have raw material ready at Founder TH to kick of production of PO 2 immediately after testing and qualifying PCBs from PO 1.- Cisco EPE team will try to coordinate above with Founder TH in parallel- Only FJZ makes Nixie; hence FJZ is the only CM that needs to secure this PCB.Cisco contact: Jarle Aasland and Lee Hudson</t>
        </is>
      </c>
      <c r="L192" s="43" t="inlineStr">
        <is>
          <t>Expired</t>
        </is>
      </c>
      <c r="M192" s="43" t="inlineStr">
        <is>
          <t>28-104119-05</t>
        </is>
      </c>
      <c r="N192" s="43" t="inlineStr"/>
      <c r="O192" s="43" t="inlineStr">
        <is>
          <t>2026-07-26</t>
        </is>
      </c>
      <c r="P192" s="33" t="inlineStr"/>
      <c r="Q192" s="43" t="inlineStr">
        <is>
          <t>No marking needed</t>
        </is>
      </c>
      <c r="R192" s="43" t="inlineStr">
        <is>
          <t>2026-06-24</t>
        </is>
      </c>
      <c r="S192" s="43" t="inlineStr">
        <is>
          <t>2026-07-02</t>
        </is>
      </c>
      <c r="T192" s="43" t="inlineStr"/>
      <c r="U192" s="43" t="inlineStr"/>
    </row>
    <row r="193">
      <c r="A193" s="43" t="n">
        <v>193</v>
      </c>
      <c r="B193" s="43" t="inlineStr">
        <is>
          <t>192</t>
        </is>
      </c>
      <c r="C193" s="43" t="inlineStr">
        <is>
          <t>FJZP</t>
        </is>
      </c>
      <c r="D193" s="43" t="inlineStr">
        <is>
          <t>Cisco</t>
        </is>
      </c>
      <c r="E193" s="43" t="inlineStr">
        <is>
          <t>MCGA</t>
        </is>
      </c>
      <c r="F193" s="43" t="inlineStr">
        <is>
          <t>035-CVEBU</t>
        </is>
      </c>
      <c r="G193" s="43" t="inlineStr">
        <is>
          <t>CTANJZ05312</t>
        </is>
      </c>
      <c r="H193" s="43" t="inlineStr">
        <is>
          <t>To track an AML qualification build (EXTENDABLE)</t>
        </is>
      </c>
      <c r="I193" s="43" t="inlineStr">
        <is>
          <t>Customer Deviation</t>
        </is>
      </c>
      <c r="J193" s="43" t="inlineStr">
        <is>
          <t>DP526209</t>
        </is>
      </c>
      <c r="K193" s="33" t="inlineStr">
        <is>
          <t>DP526209 CVEBU; Risk buy of NDAA Nixie internal Microphones from GETTOPAffected item06-100763-02; AUDIO; MIC; Nixie; Microphone Assembly; -20 Deg C to +60 Deg C;NDAARisk buy instruction- FJZ is hereby instructed to place 1 urgent PO to GETTOP   - PO 1: 6480 pieces of 06-100763-02/NIXIE-UM1045(MY) with fastest possible ETD from GETTOPBackground- NIXIE-UM1045(MY) is estimated to be qualified before summer 2026- Due to long LT; this deviation is needed to kick off material sourcing for required NDAA alternative; in parallel with MPN qualification.- Only FJZ makes Nixie; hence FJZ is the only CM that needs to secure this MicrophoneCisco contact: Jarle Aasland and Lee Hudson</t>
        </is>
      </c>
      <c r="L193" s="43" t="inlineStr">
        <is>
          <t>Expired</t>
        </is>
      </c>
      <c r="M193" s="43" t="inlineStr">
        <is>
          <t>06-100763-02</t>
        </is>
      </c>
      <c r="N193" s="43" t="inlineStr"/>
      <c r="O193" s="43" t="inlineStr">
        <is>
          <t>2026-08-01</t>
        </is>
      </c>
      <c r="P193" s="33" t="inlineStr"/>
      <c r="Q193" s="43" t="inlineStr">
        <is>
          <t>No marking needed</t>
        </is>
      </c>
      <c r="R193" s="43" t="inlineStr">
        <is>
          <t>2026-06-24</t>
        </is>
      </c>
      <c r="S193" s="43" t="inlineStr">
        <is>
          <t>2026-07-02</t>
        </is>
      </c>
      <c r="T193" s="43" t="inlineStr"/>
      <c r="U193" s="43" t="inlineStr"/>
    </row>
    <row r="194">
      <c r="A194" s="43" t="n">
        <v>194</v>
      </c>
      <c r="B194" s="43" t="inlineStr">
        <is>
          <t>193</t>
        </is>
      </c>
      <c r="C194" s="43" t="inlineStr">
        <is>
          <t>FJZP</t>
        </is>
      </c>
      <c r="D194" s="43" t="inlineStr">
        <is>
          <t>Cisco</t>
        </is>
      </c>
      <c r="E194" s="43" t="inlineStr">
        <is>
          <t>MCGA</t>
        </is>
      </c>
      <c r="F194" s="43" t="inlineStr">
        <is>
          <t>037-STBU</t>
        </is>
      </c>
      <c r="G194" s="43" t="inlineStr">
        <is>
          <t>CTANJZ05233</t>
        </is>
      </c>
      <c r="H194" s="43" t="inlineStr">
        <is>
          <t>To track an AML qualification build (EXTENDABLE 2x)</t>
        </is>
      </c>
      <c r="I194" s="43" t="inlineStr">
        <is>
          <t>Customer Deviation</t>
        </is>
      </c>
      <c r="J194" s="43" t="inlineStr">
        <is>
          <t>D611098</t>
        </is>
      </c>
      <c r="K194" s="33" t="inlineStr">
        <is>
          <t>D611098 NGFWBU GQR: GQR000089053 Case: AQR003586911 CPN: 29-100625-01; MFR NAME: PULSE; MPN: JG0-0307NLThis deviation instructs Foxconn Juarez (FJZ) to execute a sample buy and conduct a Production Qual build for the following part(s):BU: NGFWBUPF: FPRMID3Affected TAN(s):68-7254-05Affected Item(s): 73-20249-06CPN: 29-100625-01; MFR NAME: PULSE; MPN: JG0-0307NLBuild Qty: 5Ref Des: J3To execute the above AQR at CM site; should be tested on Model A.</t>
        </is>
      </c>
      <c r="L194" s="43" t="inlineStr">
        <is>
          <t>Expired</t>
        </is>
      </c>
      <c r="M194" s="43" t="inlineStr">
        <is>
          <t>29-100625-01</t>
        </is>
      </c>
      <c r="N194" s="43" t="inlineStr"/>
      <c r="O194" s="43" t="inlineStr">
        <is>
          <t>2026-08-02</t>
        </is>
      </c>
      <c r="P194" s="33" t="inlineStr">
        <is>
          <t>To track an AML qualification build (EXTENDABLE 2x);Risk Buy Authorization</t>
        </is>
      </c>
      <c r="Q194" s="43" t="inlineStr">
        <is>
          <t>NA</t>
        </is>
      </c>
      <c r="R194" s="43" t="inlineStr">
        <is>
          <t>2026-05-06</t>
        </is>
      </c>
      <c r="S194" s="43" t="inlineStr">
        <is>
          <t>2026-05-29</t>
        </is>
      </c>
      <c r="T194" s="43" t="inlineStr"/>
      <c r="U194" s="43" t="inlineStr"/>
    </row>
    <row r="195">
      <c r="A195" s="43" t="n">
        <v>195</v>
      </c>
      <c r="B195" s="43" t="inlineStr">
        <is>
          <t>194</t>
        </is>
      </c>
      <c r="C195" s="43" t="inlineStr">
        <is>
          <t>FJZP</t>
        </is>
      </c>
      <c r="D195" s="43" t="inlineStr">
        <is>
          <t>Cisco</t>
        </is>
      </c>
      <c r="E195" s="43" t="inlineStr">
        <is>
          <t>MCGA</t>
        </is>
      </c>
      <c r="F195" s="43" t="inlineStr">
        <is>
          <t>037-STBU</t>
        </is>
      </c>
      <c r="G195" s="43" t="inlineStr">
        <is>
          <t>CTANJZ05233</t>
        </is>
      </c>
      <c r="H195" s="43" t="inlineStr">
        <is>
          <t>To track an AML qualification build (EXTENDABLE 2x)</t>
        </is>
      </c>
      <c r="I195" s="43" t="inlineStr">
        <is>
          <t>Customer Deviation</t>
        </is>
      </c>
      <c r="J195" s="43" t="inlineStr">
        <is>
          <t>D611098</t>
        </is>
      </c>
      <c r="K195" s="33" t="inlineStr">
        <is>
          <t>D611098 NGFWBU GQR: GQR000089053 Case: AQR003586911 CPN: 29-100625-01; MFR NAME: PULSE; MPN: JG0-0307NLThis deviation instructs Foxconn Juarez (FJZ) to execute a sample buy and conduct a Production Qual build for the following part(s):BU: NGFWBUPF: FPRMID3Affected TAN(s):68-7254-05Affected Item(s): 73-20249-06CPN: 29-100625-01; MFR NAME: PULSE; MPN: JG0-0307NLBuild Qty: 5Ref Des: J3To execute the above AQR at CM site; should be tested on Model A.</t>
        </is>
      </c>
      <c r="L195" s="43" t="inlineStr">
        <is>
          <t>Expired</t>
        </is>
      </c>
      <c r="M195" s="43" t="inlineStr">
        <is>
          <t>73-20249-06</t>
        </is>
      </c>
      <c r="N195" s="43" t="inlineStr"/>
      <c r="O195" s="43" t="inlineStr">
        <is>
          <t>2026-08-02</t>
        </is>
      </c>
      <c r="P195" s="33" t="inlineStr">
        <is>
          <t>To track an AML qualification build (EXTENDABLE 2x);Risk Buy Authorization</t>
        </is>
      </c>
      <c r="Q195" s="43" t="inlineStr">
        <is>
          <t>NA</t>
        </is>
      </c>
      <c r="R195" s="43" t="inlineStr">
        <is>
          <t>2026-05-06</t>
        </is>
      </c>
      <c r="S195" s="43" t="inlineStr">
        <is>
          <t>2026-05-29</t>
        </is>
      </c>
      <c r="T195" s="43" t="inlineStr"/>
      <c r="U195" s="43" t="inlineStr"/>
    </row>
    <row r="196">
      <c r="A196" s="43" t="n">
        <v>196</v>
      </c>
      <c r="B196" s="43" t="inlineStr">
        <is>
          <t>195</t>
        </is>
      </c>
      <c r="C196" s="43" t="inlineStr">
        <is>
          <t>FJZP</t>
        </is>
      </c>
      <c r="D196" s="43" t="inlineStr">
        <is>
          <t>Cisco</t>
        </is>
      </c>
      <c r="E196" s="43" t="inlineStr">
        <is>
          <t>MCGA</t>
        </is>
      </c>
      <c r="F196" s="43" t="inlineStr">
        <is>
          <t>037-STBU</t>
        </is>
      </c>
      <c r="G196" s="43" t="inlineStr">
        <is>
          <t>CTANJZ05348</t>
        </is>
      </c>
      <c r="H196" s="43" t="inlineStr">
        <is>
          <t>To track an AML qualification build (EXTENDABLE)</t>
        </is>
      </c>
      <c r="I196" s="43" t="inlineStr">
        <is>
          <t>Customer Deviation</t>
        </is>
      </c>
      <c r="J196" s="43" t="inlineStr">
        <is>
          <t>D612482</t>
        </is>
      </c>
      <c r="K196" s="33" t="inlineStr">
        <is>
          <t>D612482 NGFWBU GQR: GQR000097189 Case: AQR003807047 CPN: 36-0097-01; MFR NAME: TAI-TECH ADVANCED ELECTRONICS; MPN: MBP43K800-60CThis deviation instructs Foxconn Juarez (FJZ) to execute a sample buy and conduct a Production Qual build for the following part(s):BU: NGFWBUPF: FPRMID3Affected TAN(s):68-7253-05Affected Item(s): 73-20249-06CPN: 36-0097-01; MFR NAME: TAI-TECH ADVANCED ELECTRONICS; MPN: MBP43K800-60CBuild Qty: 7Ref Des: L28;L97To execute the above AQR at CM site; should be tested on Model A.</t>
        </is>
      </c>
      <c r="L196" s="43" t="inlineStr">
        <is>
          <t>Expired</t>
        </is>
      </c>
      <c r="M196" s="43" t="inlineStr">
        <is>
          <t>36-0097-01</t>
        </is>
      </c>
      <c r="N196" s="43" t="inlineStr"/>
      <c r="O196" s="43" t="inlineStr">
        <is>
          <t>2026-10-07</t>
        </is>
      </c>
      <c r="P196" s="33" t="inlineStr">
        <is>
          <t>To track an AML qualification build (EXTENDABLE 2x);Risk Buy Authorization</t>
        </is>
      </c>
      <c r="Q196" s="43" t="inlineStr">
        <is>
          <t>NA</t>
        </is>
      </c>
      <c r="R196" s="43" t="inlineStr">
        <is>
          <t>2026-07-10</t>
        </is>
      </c>
      <c r="S196" s="43" t="inlineStr">
        <is>
          <t>2026-07-21</t>
        </is>
      </c>
      <c r="T196" s="43" t="inlineStr"/>
      <c r="U196" s="43" t="inlineStr"/>
    </row>
    <row r="197">
      <c r="A197" s="43" t="n">
        <v>197</v>
      </c>
      <c r="B197" s="43" t="inlineStr">
        <is>
          <t>196</t>
        </is>
      </c>
      <c r="C197" s="43" t="inlineStr">
        <is>
          <t>FJZP</t>
        </is>
      </c>
      <c r="D197" s="43" t="inlineStr">
        <is>
          <t>Cisco</t>
        </is>
      </c>
      <c r="E197" s="43" t="inlineStr">
        <is>
          <t>MCGA</t>
        </is>
      </c>
      <c r="F197" s="43" t="inlineStr">
        <is>
          <t>239-CRBU</t>
        </is>
      </c>
      <c r="G197" s="43" t="inlineStr">
        <is>
          <t>CTANJZ05503</t>
        </is>
      </c>
      <c r="H197" s="43" t="inlineStr">
        <is>
          <t>New Release</t>
        </is>
      </c>
      <c r="I197" s="43" t="inlineStr">
        <is>
          <t>Customer Deviation</t>
        </is>
      </c>
      <c r="J197" s="43" t="inlineStr">
        <is>
          <t>D612992</t>
        </is>
      </c>
      <c r="K197" s="33" t="inlineStr">
        <is>
          <t>D612992 Need to qualify ISC019N03L5S on 73-20922-04</t>
        </is>
      </c>
      <c r="L197" s="43" t="inlineStr">
        <is>
          <t>Pending</t>
        </is>
      </c>
      <c r="M197" s="43" t="inlineStr">
        <is>
          <t>73-20922-04</t>
        </is>
      </c>
      <c r="N197" s="43" t="inlineStr"/>
      <c r="O197" s="43" t="inlineStr">
        <is>
          <t>2026-12-21</t>
        </is>
      </c>
      <c r="P197" s="33" t="inlineStr">
        <is>
          <t>Engineering Qualification Build (EXTENDABLE 2x);To track an AML qualification build (EXTENDABLE 2x)</t>
        </is>
      </c>
      <c r="Q197" s="43" t="inlineStr">
        <is>
          <t>NA</t>
        </is>
      </c>
      <c r="R197" s="43" t="inlineStr">
        <is>
          <t>2026-09-23</t>
        </is>
      </c>
      <c r="S197" s="43" t="inlineStr"/>
      <c r="T197" s="43" t="inlineStr"/>
      <c r="U197" s="43" t="inlineStr"/>
    </row>
    <row r="198">
      <c r="A198" s="43" t="n">
        <v>198</v>
      </c>
      <c r="B198" s="43" t="inlineStr">
        <is>
          <t>197</t>
        </is>
      </c>
      <c r="C198" s="43" t="inlineStr">
        <is>
          <t>FJZP</t>
        </is>
      </c>
      <c r="D198" s="43" t="inlineStr">
        <is>
          <t>Cisco</t>
        </is>
      </c>
      <c r="E198" s="43" t="inlineStr">
        <is>
          <t>MCGA</t>
        </is>
      </c>
      <c r="F198" s="43" t="inlineStr">
        <is>
          <t>239-CRBU</t>
        </is>
      </c>
      <c r="G198" s="43" t="inlineStr">
        <is>
          <t>CTANJZ05333</t>
        </is>
      </c>
      <c r="H198" s="43" t="inlineStr">
        <is>
          <t>Engineering Qualification Build</t>
        </is>
      </c>
      <c r="I198" s="43" t="inlineStr">
        <is>
          <t>Customer Deviation</t>
        </is>
      </c>
      <c r="J198" s="43" t="inlineStr">
        <is>
          <t>D611891</t>
        </is>
      </c>
      <c r="K198" s="33" t="inlineStr">
        <is>
          <t>D611891 Need to qualify JP30150011 on 73-20922-04 for Assy Qual Request # : AQR003727879 Which is a Supplier PCN from JP30150011 for PCN TYPE : Site Move on GQR GQR000091465 and AQR AQR003727879</t>
        </is>
      </c>
      <c r="L198" s="43" t="inlineStr">
        <is>
          <t>Expired</t>
        </is>
      </c>
      <c r="M198" s="43" t="inlineStr">
        <is>
          <t>29-102696-03</t>
        </is>
      </c>
      <c r="N198" s="43" t="inlineStr"/>
      <c r="O198" s="43" t="inlineStr">
        <is>
          <t>2026-09-28</t>
        </is>
      </c>
      <c r="P198" s="33" t="inlineStr">
        <is>
          <t>Engineering Qualification Build (EXTENDABLE 2x);To track an AML qualification build (EXTENDABLE 2x)</t>
        </is>
      </c>
      <c r="Q198" s="43" t="inlineStr">
        <is>
          <t>Cookie deviation # on units</t>
        </is>
      </c>
      <c r="R198" s="43" t="inlineStr">
        <is>
          <t>2026-07-02</t>
        </is>
      </c>
      <c r="S198" s="43" t="inlineStr">
        <is>
          <t>2026-07-21</t>
        </is>
      </c>
      <c r="T198" s="43" t="inlineStr"/>
      <c r="U198" s="43" t="inlineStr"/>
    </row>
    <row r="199">
      <c r="A199" s="43" t="n">
        <v>199</v>
      </c>
      <c r="B199" s="43" t="inlineStr">
        <is>
          <t>198</t>
        </is>
      </c>
      <c r="C199" s="43" t="inlineStr">
        <is>
          <t>FJZP</t>
        </is>
      </c>
      <c r="D199" s="43" t="inlineStr">
        <is>
          <t>Cisco</t>
        </is>
      </c>
      <c r="E199" s="43" t="inlineStr">
        <is>
          <t>MCGA</t>
        </is>
      </c>
      <c r="F199" s="43" t="inlineStr">
        <is>
          <t>037-STBU</t>
        </is>
      </c>
      <c r="G199" s="43" t="inlineStr">
        <is>
          <t>CTANJZ05339</t>
        </is>
      </c>
      <c r="H199" s="43" t="inlineStr">
        <is>
          <t>To track an AML qualification build (EXTENDABLE 2x)</t>
        </is>
      </c>
      <c r="I199" s="43" t="inlineStr">
        <is>
          <t>Customer Deviation</t>
        </is>
      </c>
      <c r="J199" s="43" t="inlineStr">
        <is>
          <t>D612194</t>
        </is>
      </c>
      <c r="K199" s="33" t="inlineStr">
        <is>
          <t>D612194 NGFWBU: CSF12XX DesktopCCN000011971 GQR000082691 AQR003526471Qualification of Nanya MPN# NT5FF2048M8A3-Q5 under the CPN# 15-110890-01:Items Affected:Top Assembly 68-104735-05    ELMECH 74-139971-02 PCBA:  74-134455-06Top Assembly 68-104736-05    ELMECH 74-139972-02 PCBA:  74-134456-06FJZ to Build Two units the following a CSF1210 POE and a CSF1220 with Nanya Discrete DDR5  MPN NT5FF2048M8A3-Q5 for CPN 15-110890-01 @ Ref Des U1800; U1801; U1900; U1901; U2000; U2100; U2101; U2200; U2201; U2300Pass boards through these 2 units need to go through ICT/BST/2C and DF system test. And then hold units for further intstructions. For any all failures please notify Cisco Cross Function Team Below:***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L199" s="43" t="inlineStr">
        <is>
          <t>Expired</t>
        </is>
      </c>
      <c r="M199" s="43" t="inlineStr">
        <is>
          <t>15-110890-01</t>
        </is>
      </c>
      <c r="N199" s="43" t="inlineStr"/>
      <c r="O199" s="43" t="inlineStr">
        <is>
          <t>2026-09-30</t>
        </is>
      </c>
      <c r="P199" s="33" t="inlineStr">
        <is>
          <t>To track an AML qualification build (EXTENDABLE 2x)</t>
        </is>
      </c>
      <c r="Q199" s="43" t="inlineStr">
        <is>
          <t>Place Deviation Label Visibly ; these two boards MUST be tracked.</t>
        </is>
      </c>
      <c r="R199" s="43" t="inlineStr">
        <is>
          <t>2026-07-04</t>
        </is>
      </c>
      <c r="S199" s="43" t="inlineStr">
        <is>
          <t>2026-07-25</t>
        </is>
      </c>
      <c r="T199" s="43" t="inlineStr"/>
      <c r="U199" s="43" t="inlineStr"/>
    </row>
    <row r="200">
      <c r="A200" s="43" t="n">
        <v>200</v>
      </c>
      <c r="B200" s="43" t="inlineStr">
        <is>
          <t>199</t>
        </is>
      </c>
      <c r="C200" s="43" t="inlineStr">
        <is>
          <t>FJZP</t>
        </is>
      </c>
      <c r="D200" s="43" t="inlineStr">
        <is>
          <t>Cisco</t>
        </is>
      </c>
      <c r="E200" s="43" t="inlineStr">
        <is>
          <t>MCGA</t>
        </is>
      </c>
      <c r="F200" s="43" t="inlineStr">
        <is>
          <t>037-STBU</t>
        </is>
      </c>
      <c r="G200" s="43" t="inlineStr">
        <is>
          <t>CTANJZ05339</t>
        </is>
      </c>
      <c r="H200" s="43" t="inlineStr">
        <is>
          <t>To track an AML qualification build (EXTENDABLE 2x)</t>
        </is>
      </c>
      <c r="I200" s="43" t="inlineStr">
        <is>
          <t>Customer Deviation</t>
        </is>
      </c>
      <c r="J200" s="43" t="inlineStr">
        <is>
          <t>D612194</t>
        </is>
      </c>
      <c r="K200" s="33" t="inlineStr">
        <is>
          <t>D612194 NGFWBU: CSF12XX DesktopCCN000011971 GQR000082691 AQR003526471Qualification of Nanya MPN# NT5FF2048M8A3-Q5 under the CPN# 15-110890-01:Items Affected:Top Assembly 68-104735-05    ELMECH 74-139971-02 PCBA:  74-134455-06Top Assembly 68-104736-05    ELMECH 74-139972-02 PCBA:  74-134456-06FJZ to Build Two units the following a CSF1210 POE and a CSF1220 with Nanya Discrete DDR5  MPN NT5FF2048M8A3-Q5 for CPN 15-110890-01 @ Ref Des U1800; U1801; U1900; U1901; U2000; U2100; U2101; U2200; U2201; U2300Pass boards through these 2 units need to go through ICT/BST/2C and DF system test. And then hold units for further intstructions. For any all failures please notify Cisco Cross Function Team Below:***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L200" s="43" t="inlineStr">
        <is>
          <t>Expired</t>
        </is>
      </c>
      <c r="M200" s="43" t="inlineStr">
        <is>
          <t>74-134455-06</t>
        </is>
      </c>
      <c r="N200" s="43" t="inlineStr"/>
      <c r="O200" s="43" t="inlineStr">
        <is>
          <t>2026-09-30</t>
        </is>
      </c>
      <c r="P200" s="33" t="inlineStr">
        <is>
          <t>To track an AML qualification build (EXTENDABLE 2x)</t>
        </is>
      </c>
      <c r="Q200" s="43" t="inlineStr">
        <is>
          <t>Place Deviation Label Visibly ; these two boards MUST be tracked.</t>
        </is>
      </c>
      <c r="R200" s="43" t="inlineStr">
        <is>
          <t>2026-07-04</t>
        </is>
      </c>
      <c r="S200" s="43" t="inlineStr">
        <is>
          <t>2026-07-25</t>
        </is>
      </c>
      <c r="T200" s="43" t="inlineStr"/>
      <c r="U200" s="43" t="inlineStr"/>
    </row>
    <row r="201">
      <c r="A201" s="43" t="n">
        <v>201</v>
      </c>
      <c r="B201" s="43" t="inlineStr">
        <is>
          <t>200</t>
        </is>
      </c>
      <c r="C201" s="43" t="inlineStr">
        <is>
          <t>FJZP</t>
        </is>
      </c>
      <c r="D201" s="43" t="inlineStr">
        <is>
          <t>Cisco</t>
        </is>
      </c>
      <c r="E201" s="43" t="inlineStr">
        <is>
          <t>MCGA</t>
        </is>
      </c>
      <c r="F201" s="43" t="inlineStr">
        <is>
          <t>037-STBU</t>
        </is>
      </c>
      <c r="G201" s="43" t="inlineStr">
        <is>
          <t>CTANJZ05339</t>
        </is>
      </c>
      <c r="H201" s="43" t="inlineStr">
        <is>
          <t>To track an AML qualification build (EXTENDABLE 2x)</t>
        </is>
      </c>
      <c r="I201" s="43" t="inlineStr">
        <is>
          <t>Customer Deviation</t>
        </is>
      </c>
      <c r="J201" s="43" t="inlineStr">
        <is>
          <t>D612194</t>
        </is>
      </c>
      <c r="K201" s="33" t="inlineStr">
        <is>
          <t>D612194 NGFWBU: CSF12XX DesktopCCN000011971 GQR000082691 AQR003526471Qualification of Nanya MPN# NT5FF2048M8A3-Q5 under the CPN# 15-110890-01:Items Affected:Top Assembly 68-104735-05    ELMECH 74-139971-02 PCBA:  74-134455-06Top Assembly 68-104736-05    ELMECH 74-139972-02 PCBA:  74-134456-06FJZ to Build Two units the following a CSF1210 POE and a CSF1220 with Nanya Discrete DDR5  MPN NT5FF2048M8A3-Q5 for CPN 15-110890-01 @ Ref Des U1800; U1801; U1900; U1901; U2000; U2100; U2101; U2200; U2201; U2300Pass boards through these 2 units need to go through ICT/BST/2C and DF system test. And then hold units for further intstructions. For any all failures please notify Cisco Cross Function Team Below:***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L201" s="43" t="inlineStr">
        <is>
          <t>Expired</t>
        </is>
      </c>
      <c r="M201" s="43" t="inlineStr">
        <is>
          <t>74-134456-06</t>
        </is>
      </c>
      <c r="N201" s="43" t="inlineStr"/>
      <c r="O201" s="43" t="inlineStr">
        <is>
          <t>2026-09-30</t>
        </is>
      </c>
      <c r="P201" s="33" t="inlineStr">
        <is>
          <t>To track an AML qualification build (EXTENDABLE 2x)</t>
        </is>
      </c>
      <c r="Q201" s="43" t="inlineStr">
        <is>
          <t>Place Deviation Label Visibly ; these two boards MUST be tracked.</t>
        </is>
      </c>
      <c r="R201" s="43" t="inlineStr">
        <is>
          <t>2026-07-04</t>
        </is>
      </c>
      <c r="S201" s="43" t="inlineStr">
        <is>
          <t>2026-07-25</t>
        </is>
      </c>
      <c r="T201" s="43" t="inlineStr"/>
      <c r="U201" s="43" t="inlineStr"/>
    </row>
    <row r="202">
      <c r="A202" s="43" t="n">
        <v>202</v>
      </c>
      <c r="B202" s="43" t="inlineStr">
        <is>
          <t>201</t>
        </is>
      </c>
      <c r="C202" s="43" t="inlineStr">
        <is>
          <t>FJZP</t>
        </is>
      </c>
      <c r="D202" s="43" t="inlineStr">
        <is>
          <t>Cisco</t>
        </is>
      </c>
      <c r="E202" s="43" t="inlineStr">
        <is>
          <t>MCGA</t>
        </is>
      </c>
      <c r="F202" s="43" t="inlineStr">
        <is>
          <t>239-CRBU</t>
        </is>
      </c>
      <c r="G202" s="43" t="inlineStr">
        <is>
          <t>CTANJZ05347</t>
        </is>
      </c>
      <c r="H202" s="43" t="inlineStr">
        <is>
          <t>Engineering Qualification Build</t>
        </is>
      </c>
      <c r="I202" s="43" t="inlineStr">
        <is>
          <t>Customer Deviation</t>
        </is>
      </c>
      <c r="J202" s="43" t="inlineStr">
        <is>
          <t>D611853</t>
        </is>
      </c>
      <c r="K202" s="33" t="inlineStr">
        <is>
          <t>D611853 Need to qualify 10128798-005RLF on 73-102363-05 for Assy Qual Request # : AQR003717732 Which is a Supplier PCN from 10128798-005RLF for PCN TYPE : Site Move on GQR GQR000091231 and AQR AQR003717732</t>
        </is>
      </c>
      <c r="L202" s="43" t="inlineStr">
        <is>
          <t>Expired</t>
        </is>
      </c>
      <c r="M202" s="43" t="inlineStr">
        <is>
          <t>29-101587-01</t>
        </is>
      </c>
      <c r="N202" s="43" t="inlineStr"/>
      <c r="O202" s="43" t="inlineStr">
        <is>
          <t>2026-10-06</t>
        </is>
      </c>
      <c r="P202" s="33" t="inlineStr">
        <is>
          <t>Engineering Qualification Build (EXTENDABLE 2x);To track an AML qualification build (EXTENDABLE 2x)</t>
        </is>
      </c>
      <c r="Q202" s="43" t="inlineStr">
        <is>
          <t>Cookie deviation # on units</t>
        </is>
      </c>
      <c r="R202" s="43" t="inlineStr">
        <is>
          <t>2026-07-10</t>
        </is>
      </c>
      <c r="S202" s="43" t="inlineStr">
        <is>
          <t>2026-07-24</t>
        </is>
      </c>
      <c r="T202" s="43" t="inlineStr"/>
      <c r="U202" s="43" t="inlineStr"/>
    </row>
    <row r="203">
      <c r="A203" s="43" t="n">
        <v>203</v>
      </c>
      <c r="B203" s="43" t="inlineStr">
        <is>
          <t>202</t>
        </is>
      </c>
      <c r="C203" s="43" t="inlineStr">
        <is>
          <t>FJZP</t>
        </is>
      </c>
      <c r="D203" s="43" t="inlineStr">
        <is>
          <t>Cisco</t>
        </is>
      </c>
      <c r="E203" s="43" t="inlineStr">
        <is>
          <t>MCGA</t>
        </is>
      </c>
      <c r="F203" s="43" t="inlineStr">
        <is>
          <t>239-CRBU</t>
        </is>
      </c>
      <c r="G203" s="43" t="inlineStr">
        <is>
          <t>CTANJZ05347</t>
        </is>
      </c>
      <c r="H203" s="43" t="inlineStr">
        <is>
          <t>Engineering Qualification Build</t>
        </is>
      </c>
      <c r="I203" s="43" t="inlineStr">
        <is>
          <t>Customer Deviation</t>
        </is>
      </c>
      <c r="J203" s="43" t="inlineStr">
        <is>
          <t>D611853</t>
        </is>
      </c>
      <c r="K203" s="33" t="inlineStr">
        <is>
          <t>D611853 Need to qualify 10128798-005RLF on 73-102363-05 for Assy Qual Request # : AQR003717732 Which is a Supplier PCN from 10128798-005RLF for PCN TYPE : Site Move on GQR GQR000091231 and AQR AQR003717732</t>
        </is>
      </c>
      <c r="L203" s="43" t="inlineStr">
        <is>
          <t>Expired</t>
        </is>
      </c>
      <c r="M203" s="43" t="inlineStr">
        <is>
          <t>73-102363-05</t>
        </is>
      </c>
      <c r="N203" s="43" t="inlineStr"/>
      <c r="O203" s="43" t="inlineStr">
        <is>
          <t>2026-10-06</t>
        </is>
      </c>
      <c r="P203" s="33" t="inlineStr">
        <is>
          <t>Engineering Qualification Build (EXTENDABLE 2x);To track an AML qualification build (EXTENDABLE 2x)</t>
        </is>
      </c>
      <c r="Q203" s="43" t="inlineStr">
        <is>
          <t>Cookie deviation # on units</t>
        </is>
      </c>
      <c r="R203" s="43" t="inlineStr">
        <is>
          <t>2026-07-10</t>
        </is>
      </c>
      <c r="S203" s="43" t="inlineStr">
        <is>
          <t>2026-07-24</t>
        </is>
      </c>
      <c r="T203" s="43" t="inlineStr"/>
      <c r="U203" s="43" t="inlineStr"/>
    </row>
    <row r="204">
      <c r="A204" s="43" t="n">
        <v>204</v>
      </c>
      <c r="B204" s="43" t="inlineStr">
        <is>
          <t>203</t>
        </is>
      </c>
      <c r="C204" s="43" t="inlineStr">
        <is>
          <t>FJZP</t>
        </is>
      </c>
      <c r="D204" s="43" t="inlineStr">
        <is>
          <t>Cisco</t>
        </is>
      </c>
      <c r="E204" s="43" t="inlineStr">
        <is>
          <t>MCGA</t>
        </is>
      </c>
      <c r="F204" s="43" t="inlineStr">
        <is>
          <t>037-STBU</t>
        </is>
      </c>
      <c r="G204" s="43" t="inlineStr">
        <is>
          <t>CTANJZ05348</t>
        </is>
      </c>
      <c r="H204" s="43" t="inlineStr">
        <is>
          <t>To track an AML qualification build (EXTENDABLE)</t>
        </is>
      </c>
      <c r="I204" s="43" t="inlineStr">
        <is>
          <t>Customer Deviation</t>
        </is>
      </c>
      <c r="J204" s="43" t="inlineStr">
        <is>
          <t>D612482</t>
        </is>
      </c>
      <c r="K204" s="33" t="inlineStr">
        <is>
          <t>D612482 NGFWBU GQR: GQR000097189 Case: AQR003807047 CPN: 36-0097-01; MFR NAME: TAI-TECH ADVANCED ELECTRONICS; MPN: MBP43K800-60CThis deviation instructs Foxconn Juarez (FJZ) to execute a sample buy and conduct a Production Qual build for the following part(s):BU: NGFWBUPF: FPRMID3Affected TAN(s):68-7253-05Affected Item(s): 73-20249-06CPN: 36-0097-01; MFR NAME: TAI-TECH ADVANCED ELECTRONICS; MPN: MBP43K800-60CBuild Qty: 7Ref Des: L28;L97To execute the above AQR at CM site; should be tested on Model A.</t>
        </is>
      </c>
      <c r="L204" s="43" t="inlineStr">
        <is>
          <t>Expired</t>
        </is>
      </c>
      <c r="M204" s="43" t="inlineStr">
        <is>
          <t>73-20249-06</t>
        </is>
      </c>
      <c r="N204" s="43" t="inlineStr"/>
      <c r="O204" s="43" t="inlineStr">
        <is>
          <t>2026-10-07</t>
        </is>
      </c>
      <c r="P204" s="33" t="inlineStr">
        <is>
          <t>To track an AML qualification build (EXTENDABLE 2x);Risk Buy Authorization</t>
        </is>
      </c>
      <c r="Q204" s="43" t="inlineStr">
        <is>
          <t>NA</t>
        </is>
      </c>
      <c r="R204" s="43" t="inlineStr">
        <is>
          <t>2026-07-10</t>
        </is>
      </c>
      <c r="S204" s="43" t="inlineStr">
        <is>
          <t>2026-07-21</t>
        </is>
      </c>
      <c r="T204" s="43" t="inlineStr"/>
      <c r="U204" s="43" t="inlineStr"/>
    </row>
    <row r="205">
      <c r="A205" s="43" t="n">
        <v>205</v>
      </c>
      <c r="B205" s="43" t="inlineStr">
        <is>
          <t>204</t>
        </is>
      </c>
      <c r="C205" s="43" t="inlineStr">
        <is>
          <t>FJZP</t>
        </is>
      </c>
      <c r="D205" s="43" t="inlineStr">
        <is>
          <t>Cisco</t>
        </is>
      </c>
      <c r="E205" s="43" t="inlineStr">
        <is>
          <t>MCGA</t>
        </is>
      </c>
      <c r="F205" s="43" t="inlineStr">
        <is>
          <t>037-STBU</t>
        </is>
      </c>
      <c r="G205" s="43" t="inlineStr">
        <is>
          <t>CTANJZ05349</t>
        </is>
      </c>
      <c r="H205" s="43" t="inlineStr">
        <is>
          <t>To track an AML qualification build (EXTENDABLE 2x)</t>
        </is>
      </c>
      <c r="I205" s="43" t="inlineStr">
        <is>
          <t>Customer Deviation</t>
        </is>
      </c>
      <c r="J205" s="43" t="inlineStr">
        <is>
          <t>D612481</t>
        </is>
      </c>
      <c r="K205" s="33" t="inlineStr">
        <is>
          <t>D612481 NGFWBU GQR: GQR000097189 Case: AQR003807064 CPN: 36-0097-01; MFR NAME: TAI-TECH ADVANCED ELECTRONICS; MPN: MBP43K800-60CThis deviation instructs Foxconn Juarez (FJZ) to execute a sample buy and conduct a Production Qual build for the following part(s):BU: NGFWBUPF: F1KLOW ; FPRLOWAffected TAN(s):68-7007-02Affected Item(s): 73-18489-08CPN: 36-0097-01; MFR NAME: TAI-TECH ADVANCED ELECTRONICS; MPN: MBP43K800-60CBuild Qty: 7Ref Des: L3_PE;L45_PETo execute the above AQR at CM site; should be tested on Model A.</t>
        </is>
      </c>
      <c r="L205" s="43" t="inlineStr">
        <is>
          <t>Expired</t>
        </is>
      </c>
      <c r="M205" s="43" t="inlineStr">
        <is>
          <t>36-0097-01</t>
        </is>
      </c>
      <c r="N205" s="43" t="inlineStr"/>
      <c r="O205" s="43" t="inlineStr">
        <is>
          <t>2026-10-07</t>
        </is>
      </c>
      <c r="P205" s="33" t="inlineStr">
        <is>
          <t>To track an AML qualification build (EXTENDABLE 2x);Risk Buy Authorization</t>
        </is>
      </c>
      <c r="Q205" s="43" t="inlineStr">
        <is>
          <t>NA</t>
        </is>
      </c>
      <c r="R205" s="43" t="inlineStr">
        <is>
          <t>2026-07-10</t>
        </is>
      </c>
      <c r="S205" s="43" t="inlineStr">
        <is>
          <t>2026-07-21</t>
        </is>
      </c>
      <c r="T205" s="43" t="inlineStr"/>
      <c r="U205" s="43" t="inlineStr"/>
    </row>
    <row r="206">
      <c r="A206" s="43" t="n">
        <v>206</v>
      </c>
      <c r="B206" s="43" t="inlineStr">
        <is>
          <t>205</t>
        </is>
      </c>
      <c r="C206" s="43" t="inlineStr">
        <is>
          <t>FJZP</t>
        </is>
      </c>
      <c r="D206" s="43" t="inlineStr">
        <is>
          <t>Cisco</t>
        </is>
      </c>
      <c r="E206" s="43" t="inlineStr">
        <is>
          <t>MCGA</t>
        </is>
      </c>
      <c r="F206" s="43" t="inlineStr">
        <is>
          <t>037-STBU</t>
        </is>
      </c>
      <c r="G206" s="43" t="inlineStr">
        <is>
          <t>CTANJZ05349</t>
        </is>
      </c>
      <c r="H206" s="43" t="inlineStr">
        <is>
          <t>To track an AML qualification build (EXTENDABLE 2x)</t>
        </is>
      </c>
      <c r="I206" s="43" t="inlineStr">
        <is>
          <t>Customer Deviation</t>
        </is>
      </c>
      <c r="J206" s="43" t="inlineStr">
        <is>
          <t>D612481</t>
        </is>
      </c>
      <c r="K206" s="33" t="inlineStr">
        <is>
          <t>D612481 NGFWBU GQR: GQR000097189 Case: AQR003807064 CPN: 36-0097-01; MFR NAME: TAI-TECH ADVANCED ELECTRONICS; MPN: MBP43K800-60CThis deviation instructs Foxconn Juarez (FJZ) to execute a sample buy and conduct a Production Qual build for the following part(s):BU: NGFWBUPF: F1KLOW ; FPRLOWAffected TAN(s):68-7007-02Affected Item(s): 73-18489-08CPN: 36-0097-01; MFR NAME: TAI-TECH ADVANCED ELECTRONICS; MPN: MBP43K800-60CBuild Qty: 7Ref Des: L3_PE;L45_PETo execute the above AQR at CM site; should be tested on Model A.</t>
        </is>
      </c>
      <c r="L206" s="43" t="inlineStr">
        <is>
          <t>Expired</t>
        </is>
      </c>
      <c r="M206" s="43" t="inlineStr">
        <is>
          <t>73-18489-08</t>
        </is>
      </c>
      <c r="N206" s="43" t="inlineStr"/>
      <c r="O206" s="43" t="inlineStr">
        <is>
          <t>2026-10-07</t>
        </is>
      </c>
      <c r="P206" s="33" t="inlineStr">
        <is>
          <t>To track an AML qualification build (EXTENDABLE 2x);Risk Buy Authorization</t>
        </is>
      </c>
      <c r="Q206" s="43" t="inlineStr">
        <is>
          <t>NA</t>
        </is>
      </c>
      <c r="R206" s="43" t="inlineStr">
        <is>
          <t>2026-07-10</t>
        </is>
      </c>
      <c r="S206" s="43" t="inlineStr">
        <is>
          <t>2026-07-21</t>
        </is>
      </c>
      <c r="T206" s="43" t="inlineStr"/>
      <c r="U206" s="43" t="inlineStr"/>
    </row>
    <row r="207">
      <c r="A207" s="43" t="n">
        <v>207</v>
      </c>
      <c r="B207" s="43" t="inlineStr">
        <is>
          <t>206</t>
        </is>
      </c>
      <c r="C207" s="43" t="inlineStr">
        <is>
          <t>FJZP</t>
        </is>
      </c>
      <c r="D207" s="43" t="inlineStr">
        <is>
          <t>Cisco</t>
        </is>
      </c>
      <c r="E207" s="43" t="inlineStr">
        <is>
          <t>MCGA</t>
        </is>
      </c>
      <c r="F207" s="43" t="inlineStr">
        <is>
          <t>037-STBU</t>
        </is>
      </c>
      <c r="G207" s="43" t="inlineStr">
        <is>
          <t>CTANJZ05353</t>
        </is>
      </c>
      <c r="H207" s="43" t="inlineStr">
        <is>
          <t>To track an AML qualification build (EXTENDABLE 2x)</t>
        </is>
      </c>
      <c r="I207" s="43" t="inlineStr">
        <is>
          <t>Customer Deviation</t>
        </is>
      </c>
      <c r="J207" s="43" t="inlineStr">
        <is>
          <t>D612478</t>
        </is>
      </c>
      <c r="K207" s="33" t="inlineStr">
        <is>
          <t>D612478 NGFWBU GQR: GQR000096134 Case: AQR003756973 CPN: 36-0097-01; MFR NAME: MAG LAYERS; MPN: BBUPCS453215800Y00This deviation instructs Foxconn Juarez (FJZ) to execute a sample buy and conduct a Production Qual build for the following part(s):BU: NGFWBUPF: F1KLOW ; FPRLOWAffected TAN(s):68-7007-02Affected Item(s): 73-18489-08CPN: 36-0097-01; MFR NAME: MAG LAYERS; MPN: BBUPCS453215800Y00Build Qty: 7Ref Des: L3_PE;L45_PETo execute the above AQR at CM site; should be tested on Model A.</t>
        </is>
      </c>
      <c r="L207" s="43" t="inlineStr">
        <is>
          <t>Expired</t>
        </is>
      </c>
      <c r="M207" s="43" t="inlineStr">
        <is>
          <t>36-0097-01</t>
        </is>
      </c>
      <c r="N207" s="43" t="inlineStr"/>
      <c r="O207" s="43" t="inlineStr">
        <is>
          <t>2026-10-07</t>
        </is>
      </c>
      <c r="P207" s="33" t="inlineStr">
        <is>
          <t>To track an AML qualification build (EXTENDABLE 2x);Risk Buy Authorization</t>
        </is>
      </c>
      <c r="Q207" s="43" t="inlineStr">
        <is>
          <t>NA</t>
        </is>
      </c>
      <c r="R207" s="43" t="inlineStr">
        <is>
          <t>2026-07-10</t>
        </is>
      </c>
      <c r="S207" s="43" t="inlineStr">
        <is>
          <t>2026-07-21</t>
        </is>
      </c>
      <c r="T207" s="43" t="inlineStr"/>
      <c r="U207" s="43" t="inlineStr"/>
    </row>
    <row r="208">
      <c r="A208" s="43" t="n">
        <v>208</v>
      </c>
      <c r="B208" s="43" t="inlineStr">
        <is>
          <t>207</t>
        </is>
      </c>
      <c r="C208" s="43" t="inlineStr">
        <is>
          <t>FJZP</t>
        </is>
      </c>
      <c r="D208" s="43" t="inlineStr">
        <is>
          <t>Cisco</t>
        </is>
      </c>
      <c r="E208" s="43" t="inlineStr">
        <is>
          <t>MCGA</t>
        </is>
      </c>
      <c r="F208" s="43" t="inlineStr">
        <is>
          <t>037-STBU</t>
        </is>
      </c>
      <c r="G208" s="43" t="inlineStr">
        <is>
          <t>CTANJZ05353</t>
        </is>
      </c>
      <c r="H208" s="43" t="inlineStr">
        <is>
          <t>To track an AML qualification build (EXTENDABLE 2x)</t>
        </is>
      </c>
      <c r="I208" s="43" t="inlineStr">
        <is>
          <t>Customer Deviation</t>
        </is>
      </c>
      <c r="J208" s="43" t="inlineStr">
        <is>
          <t>D612478</t>
        </is>
      </c>
      <c r="K208" s="33" t="inlineStr">
        <is>
          <t>D612478 NGFWBU GQR: GQR000096134 Case: AQR003756973 CPN: 36-0097-01; MFR NAME: MAG LAYERS; MPN: BBUPCS453215800Y00This deviation instructs Foxconn Juarez (FJZ) to execute a sample buy and conduct a Production Qual build for the following part(s):BU: NGFWBUPF: F1KLOW ; FPRLOWAffected TAN(s):68-7007-02Affected Item(s): 73-18489-08CPN: 36-0097-01; MFR NAME: MAG LAYERS; MPN: BBUPCS453215800Y00Build Qty: 7Ref Des: L3_PE;L45_PETo execute the above AQR at CM site; should be tested on Model A.</t>
        </is>
      </c>
      <c r="L208" s="43" t="inlineStr">
        <is>
          <t>Expired</t>
        </is>
      </c>
      <c r="M208" s="43" t="inlineStr">
        <is>
          <t>73-18489-08</t>
        </is>
      </c>
      <c r="N208" s="43" t="inlineStr"/>
      <c r="O208" s="43" t="inlineStr">
        <is>
          <t>2026-10-07</t>
        </is>
      </c>
      <c r="P208" s="33" t="inlineStr">
        <is>
          <t>To track an AML qualification build (EXTENDABLE 2x);Risk Buy Authorization</t>
        </is>
      </c>
      <c r="Q208" s="43" t="inlineStr">
        <is>
          <t>NA</t>
        </is>
      </c>
      <c r="R208" s="43" t="inlineStr">
        <is>
          <t>2026-07-10</t>
        </is>
      </c>
      <c r="S208" s="43" t="inlineStr">
        <is>
          <t>2026-07-21</t>
        </is>
      </c>
      <c r="T208" s="43" t="inlineStr"/>
      <c r="U208" s="43" t="inlineStr"/>
    </row>
    <row r="209">
      <c r="A209" s="43" t="n">
        <v>209</v>
      </c>
      <c r="B209" s="43" t="inlineStr">
        <is>
          <t>208</t>
        </is>
      </c>
      <c r="C209" s="43" t="inlineStr">
        <is>
          <t>FJZP</t>
        </is>
      </c>
      <c r="D209" s="43" t="inlineStr">
        <is>
          <t>Cisco</t>
        </is>
      </c>
      <c r="E209" s="43" t="inlineStr">
        <is>
          <t>MCGA</t>
        </is>
      </c>
      <c r="F209" s="43" t="inlineStr">
        <is>
          <t>037-STBU</t>
        </is>
      </c>
      <c r="G209" s="43" t="inlineStr">
        <is>
          <t>CTANJZ05350</t>
        </is>
      </c>
      <c r="H209" s="43" t="inlineStr">
        <is>
          <t>To track an AML qualification build (EXTENDABLE 2x)</t>
        </is>
      </c>
      <c r="I209" s="43" t="inlineStr">
        <is>
          <t>Customer Deviation</t>
        </is>
      </c>
      <c r="J209" s="43" t="inlineStr">
        <is>
          <t>D612480</t>
        </is>
      </c>
      <c r="K209" s="33" t="inlineStr">
        <is>
          <t>D612480NGFWBU GQR: GQR000096134 Case: AQR003756958 CPN: 36-0097-01; MFR NAME: MAG LAYERS; MPN: BBUPCS453215800Y00This deviation instructs Foxconn Juarez (FJZ) to execute a sample buy and conduct a Production Qual build for the following part(s):BU: NGFWBUPF: FPRMID3Affected TAN(s):68-7253-05Affected Item(s): 73-20249-06CPN: 36-0097-01; MFR NAME: MAG LAYERS; MPN: BBUPCS453215800Y00Build Qty: 7Ref Des: L28;L97To execute the above AQR at CM site; should be tested on Model A.</t>
        </is>
      </c>
      <c r="L209" s="43" t="inlineStr">
        <is>
          <t>Expired</t>
        </is>
      </c>
      <c r="M209" s="43" t="inlineStr">
        <is>
          <t>36-0097-01</t>
        </is>
      </c>
      <c r="N209" s="43" t="inlineStr"/>
      <c r="O209" s="43" t="inlineStr">
        <is>
          <t>2026-10-07</t>
        </is>
      </c>
      <c r="P209" s="33" t="inlineStr">
        <is>
          <t>To track an AML qualification build (EXTENDABLE 2x);Risk Buy Authorization</t>
        </is>
      </c>
      <c r="Q209" s="43" t="inlineStr">
        <is>
          <t>NA</t>
        </is>
      </c>
      <c r="R209" s="43" t="inlineStr">
        <is>
          <t>2026-07-10</t>
        </is>
      </c>
      <c r="S209" s="43" t="inlineStr">
        <is>
          <t>2026-07-21</t>
        </is>
      </c>
      <c r="T209" s="43" t="inlineStr"/>
      <c r="U209" s="43" t="inlineStr"/>
    </row>
    <row r="210">
      <c r="A210" s="43" t="n">
        <v>210</v>
      </c>
      <c r="B210" s="43" t="inlineStr">
        <is>
          <t>209</t>
        </is>
      </c>
      <c r="C210" s="43" t="inlineStr">
        <is>
          <t>FJZP</t>
        </is>
      </c>
      <c r="D210" s="43" t="inlineStr">
        <is>
          <t>Cisco</t>
        </is>
      </c>
      <c r="E210" s="43" t="inlineStr">
        <is>
          <t>MCGA</t>
        </is>
      </c>
      <c r="F210" s="43" t="inlineStr">
        <is>
          <t>037-STBU</t>
        </is>
      </c>
      <c r="G210" s="43" t="inlineStr">
        <is>
          <t>CTANJZ05350</t>
        </is>
      </c>
      <c r="H210" s="43" t="inlineStr">
        <is>
          <t>To track an AML qualification build (EXTENDABLE 2x)</t>
        </is>
      </c>
      <c r="I210" s="43" t="inlineStr">
        <is>
          <t>Customer Deviation</t>
        </is>
      </c>
      <c r="J210" s="43" t="inlineStr">
        <is>
          <t>D612480</t>
        </is>
      </c>
      <c r="K210" s="33" t="inlineStr">
        <is>
          <t>D612480NGFWBU GQR: GQR000096134 Case: AQR003756958 CPN: 36-0097-01; MFR NAME: MAG LAYERS; MPN: BBUPCS453215800Y00This deviation instructs Foxconn Juarez (FJZ) to execute a sample buy and conduct a Production Qual build for the following part(s):BU: NGFWBUPF: FPRMID3Affected TAN(s):68-7253-05Affected Item(s): 73-20249-06CPN: 36-0097-01; MFR NAME: MAG LAYERS; MPN: BBUPCS453215800Y00Build Qty: 7Ref Des: L28;L97To execute the above AQR at CM site; should be tested on Model A.</t>
        </is>
      </c>
      <c r="L210" s="43" t="inlineStr">
        <is>
          <t>Expired</t>
        </is>
      </c>
      <c r="M210" s="43" t="inlineStr">
        <is>
          <t>73-20249-06</t>
        </is>
      </c>
      <c r="N210" s="43" t="inlineStr"/>
      <c r="O210" s="43" t="inlineStr">
        <is>
          <t>2026-10-07</t>
        </is>
      </c>
      <c r="P210" s="33" t="inlineStr">
        <is>
          <t>To track an AML qualification build (EXTENDABLE 2x);Risk Buy Authorization</t>
        </is>
      </c>
      <c r="Q210" s="43" t="inlineStr">
        <is>
          <t>NA</t>
        </is>
      </c>
      <c r="R210" s="43" t="inlineStr">
        <is>
          <t>2026-07-10</t>
        </is>
      </c>
      <c r="S210" s="43" t="inlineStr">
        <is>
          <t>2026-07-21</t>
        </is>
      </c>
      <c r="T210" s="43" t="inlineStr"/>
      <c r="U210" s="43" t="inlineStr"/>
    </row>
    <row r="211">
      <c r="A211" s="43" t="n">
        <v>211</v>
      </c>
      <c r="B211" s="43" t="inlineStr">
        <is>
          <t>210</t>
        </is>
      </c>
      <c r="C211" s="43" t="inlineStr">
        <is>
          <t>FJZP</t>
        </is>
      </c>
      <c r="D211" s="43" t="inlineStr">
        <is>
          <t>Cisco</t>
        </is>
      </c>
      <c r="E211" s="43" t="inlineStr">
        <is>
          <t>MCGA</t>
        </is>
      </c>
      <c r="F211" s="43" t="inlineStr">
        <is>
          <t>239-CRBU</t>
        </is>
      </c>
      <c r="G211" s="43" t="inlineStr">
        <is>
          <t>CTANJZ05390</t>
        </is>
      </c>
      <c r="H211" s="43" t="inlineStr">
        <is>
          <t>Engineering Qualification Build</t>
        </is>
      </c>
      <c r="I211" s="43" t="inlineStr">
        <is>
          <t>Customer Deviation</t>
        </is>
      </c>
      <c r="J211" s="43" t="inlineStr">
        <is>
          <t>D611890</t>
        </is>
      </c>
      <c r="K211" s="33" t="inlineStr">
        <is>
          <t>D611890 Need to qualify JP700 50031 on 73-20922-04 for Assy Qual Request # : AQR003727944 Which is a Supplier PCN from JP700 50031 for PCN TYPE : Site Move on GQR GQR000091463 and AQR AQR003727944</t>
        </is>
      </c>
      <c r="L211" s="43" t="inlineStr">
        <is>
          <t>Expired</t>
        </is>
      </c>
      <c r="M211" s="43" t="inlineStr">
        <is>
          <t>29-105613-01</t>
        </is>
      </c>
      <c r="N211" s="43" t="inlineStr"/>
      <c r="O211" s="43" t="inlineStr">
        <is>
          <t>2026-10-11</t>
        </is>
      </c>
      <c r="P211" s="33" t="inlineStr">
        <is>
          <t>Engineering Qualification Build (EXTENDABLE 2x);To track an AML qualification build (EXTENDABLE 2x)</t>
        </is>
      </c>
      <c r="Q211" s="43" t="inlineStr">
        <is>
          <t>Cookie Deviation # on units</t>
        </is>
      </c>
      <c r="R211" s="43" t="inlineStr">
        <is>
          <t>2026-07-15</t>
        </is>
      </c>
      <c r="S211" s="43" t="inlineStr">
        <is>
          <t>2026-08-08</t>
        </is>
      </c>
      <c r="T211" s="43" t="inlineStr"/>
      <c r="U211" s="43" t="inlineStr"/>
    </row>
    <row r="212">
      <c r="A212" s="43" t="n">
        <v>212</v>
      </c>
      <c r="B212" s="43" t="inlineStr">
        <is>
          <t>211</t>
        </is>
      </c>
      <c r="C212" s="43" t="inlineStr">
        <is>
          <t>FJZP</t>
        </is>
      </c>
      <c r="D212" s="43" t="inlineStr">
        <is>
          <t>Cisco</t>
        </is>
      </c>
      <c r="E212" s="43" t="inlineStr">
        <is>
          <t>MCGA</t>
        </is>
      </c>
      <c r="F212" s="43" t="inlineStr">
        <is>
          <t>035-CVEBU</t>
        </is>
      </c>
      <c r="G212" s="43" t="inlineStr">
        <is>
          <t>CTANJZ05210</t>
        </is>
      </c>
      <c r="H212" s="43" t="inlineStr">
        <is>
          <t>To track an AML qualification build (EXTENDABLE)</t>
        </is>
      </c>
      <c r="I212" s="43" t="inlineStr">
        <is>
          <t>Customer Deviation</t>
        </is>
      </c>
      <c r="J212" s="43" t="inlineStr">
        <is>
          <t>DP526044</t>
        </is>
      </c>
      <c r="K212" s="33" t="inlineStr">
        <is>
          <t>DP526044 CVEBU; Vasco. Allow Foxconn MPN mismatch with PCB CPN 28-103757-02  15-APR 2026.Tripod has shipped wrong material code: 28-103757-02_S105_M202In Agile: 28-103757-02_S105_M604It is ok to use these boards in Vasco Wall mount builds at FJZ.Assembly: 73-104175-02. VASCO WM INTERFACE BOARDContact Cisco: Jarle Aasland; Contact FJZ:</t>
        </is>
      </c>
      <c r="L212" s="43" t="inlineStr">
        <is>
          <t>Expired</t>
        </is>
      </c>
      <c r="M212" s="43" t="inlineStr">
        <is>
          <t>28-103757-02</t>
        </is>
      </c>
      <c r="N212" s="43" t="inlineStr"/>
      <c r="O212" s="43" t="inlineStr">
        <is>
          <t>2026-06-14</t>
        </is>
      </c>
      <c r="P212" s="33" t="inlineStr"/>
      <c r="Q212" s="43" t="inlineStr">
        <is>
          <t>NA</t>
        </is>
      </c>
      <c r="R212" s="43" t="inlineStr">
        <is>
          <t>2026-04-16</t>
        </is>
      </c>
      <c r="S212" s="43" t="inlineStr">
        <is>
          <t>2026-04-24</t>
        </is>
      </c>
      <c r="T212" s="43" t="inlineStr"/>
      <c r="U212" s="43" t="inlineStr"/>
    </row>
    <row r="213">
      <c r="A213" s="43" t="n">
        <v>213</v>
      </c>
      <c r="B213" s="43" t="inlineStr">
        <is>
          <t>212</t>
        </is>
      </c>
      <c r="C213" s="43" t="inlineStr">
        <is>
          <t>FJZP</t>
        </is>
      </c>
      <c r="D213" s="43" t="inlineStr">
        <is>
          <t>Cisco</t>
        </is>
      </c>
      <c r="E213" s="43" t="inlineStr">
        <is>
          <t>MCGA</t>
        </is>
      </c>
      <c r="F213" s="43" t="inlineStr">
        <is>
          <t>035-CVEBU</t>
        </is>
      </c>
      <c r="G213" s="43" t="inlineStr">
        <is>
          <t>CTANJZ05210</t>
        </is>
      </c>
      <c r="H213" s="43" t="inlineStr">
        <is>
          <t>To track an AML qualification build (EXTENDABLE)</t>
        </is>
      </c>
      <c r="I213" s="43" t="inlineStr">
        <is>
          <t>Customer Deviation</t>
        </is>
      </c>
      <c r="J213" s="43" t="inlineStr">
        <is>
          <t>DP526044</t>
        </is>
      </c>
      <c r="K213" s="33" t="inlineStr">
        <is>
          <t>DP526044 CVEBU; Vasco. Allow Foxconn MPN mismatch with PCB CPN 28-103757-02  15-APR 2026.Tripod has shipped wrong material code: 28-103757-02_S105_M202In Agile: 28-103757-02_S105_M604It is ok to use these boards in Vasco Wall mount builds at FJZ.Assembly: 73-104175-02. VASCO WM INTERFACE BOARDContact Cisco: Jarle Aasland; Contact FJZ:</t>
        </is>
      </c>
      <c r="L213" s="43" t="inlineStr">
        <is>
          <t>Expired</t>
        </is>
      </c>
      <c r="M213" s="43" t="inlineStr">
        <is>
          <t>73-104175-02</t>
        </is>
      </c>
      <c r="N213" s="43" t="inlineStr"/>
      <c r="O213" s="43" t="inlineStr">
        <is>
          <t>2026-06-14</t>
        </is>
      </c>
      <c r="P213" s="33" t="inlineStr"/>
      <c r="Q213" s="43" t="inlineStr">
        <is>
          <t>NA</t>
        </is>
      </c>
      <c r="R213" s="43" t="inlineStr">
        <is>
          <t>2026-04-16</t>
        </is>
      </c>
      <c r="S213" s="43" t="inlineStr">
        <is>
          <t>2026-04-24</t>
        </is>
      </c>
      <c r="T213" s="43" t="inlineStr"/>
      <c r="U213" s="43" t="inlineStr"/>
    </row>
    <row r="214">
      <c r="A214" s="43" t="n">
        <v>214</v>
      </c>
      <c r="B214" s="43" t="inlineStr">
        <is>
          <t>213</t>
        </is>
      </c>
      <c r="C214" s="43" t="inlineStr">
        <is>
          <t>FJZP</t>
        </is>
      </c>
      <c r="D214" s="43" t="inlineStr">
        <is>
          <t>Cisco</t>
        </is>
      </c>
      <c r="E214" s="43" t="inlineStr">
        <is>
          <t>MCGA</t>
        </is>
      </c>
      <c r="F214" s="43" t="inlineStr">
        <is>
          <t>239-CRBU</t>
        </is>
      </c>
      <c r="G214" s="43" t="inlineStr">
        <is>
          <t>CTANJZ05273</t>
        </is>
      </c>
      <c r="H214" s="43" t="inlineStr">
        <is>
          <t>Engineering Qualification Build</t>
        </is>
      </c>
      <c r="I214" s="43" t="inlineStr">
        <is>
          <t>Customer Deviation</t>
        </is>
      </c>
      <c r="J214" s="43" t="inlineStr">
        <is>
          <t>D611453</t>
        </is>
      </c>
      <c r="K214" s="33" t="inlineStr">
        <is>
          <t>D611453 Need to qualify LTP8800-2IPV#PBF on 73-21146-12for Assy Qual Request # : AQR003561763 Which is a Supplier PCN from LTP8800-2IPV#PBF for PCN TYPE : Process Change on GQR GQR000086308 and AQR AQR003561763FVN/FOL/FJZ can arrange MFG qual build-3 boards with latest PCBA or down version</t>
        </is>
      </c>
      <c r="L214" s="43" t="inlineStr">
        <is>
          <t>Expired</t>
        </is>
      </c>
      <c r="M214" s="43" t="inlineStr">
        <is>
          <t>17-102928-03</t>
        </is>
      </c>
      <c r="N214" s="43" t="inlineStr"/>
      <c r="O214" s="43" t="inlineStr">
        <is>
          <t>2026-08-29</t>
        </is>
      </c>
      <c r="P214" s="33" t="inlineStr">
        <is>
          <t>Engineering Qualification Build (EXTENDABLE 2x);To track an AML qualification build (EXTENDABLE 2x)</t>
        </is>
      </c>
      <c r="Q214" s="43" t="inlineStr">
        <is>
          <t>put deviation number on units</t>
        </is>
      </c>
      <c r="R214" s="43" t="inlineStr">
        <is>
          <t>2026-06-02</t>
        </is>
      </c>
      <c r="S214" s="43" t="inlineStr">
        <is>
          <t>2026-07-02</t>
        </is>
      </c>
      <c r="T214" s="43" t="inlineStr"/>
      <c r="U214" s="43" t="inlineStr"/>
    </row>
    <row r="215">
      <c r="A215" s="43" t="n">
        <v>215</v>
      </c>
      <c r="B215" s="43" t="inlineStr">
        <is>
          <t>214</t>
        </is>
      </c>
      <c r="C215" s="43" t="inlineStr">
        <is>
          <t>FJZP</t>
        </is>
      </c>
      <c r="D215" s="43" t="inlineStr">
        <is>
          <t>Cisco</t>
        </is>
      </c>
      <c r="E215" s="43" t="inlineStr">
        <is>
          <t>MCGA</t>
        </is>
      </c>
      <c r="F215" s="43" t="inlineStr">
        <is>
          <t>239-CRBU</t>
        </is>
      </c>
      <c r="G215" s="43" t="inlineStr">
        <is>
          <t>CTANJZ05273</t>
        </is>
      </c>
      <c r="H215" s="43" t="inlineStr">
        <is>
          <t>Engineering Qualification Build</t>
        </is>
      </c>
      <c r="I215" s="43" t="inlineStr">
        <is>
          <t>Customer Deviation</t>
        </is>
      </c>
      <c r="J215" s="43" t="inlineStr">
        <is>
          <t>D611453</t>
        </is>
      </c>
      <c r="K215" s="33" t="inlineStr">
        <is>
          <t>D611453 Need to qualify LTP8800-2IPV#PBF on 73-21146-12for Assy Qual Request # : AQR003561763 Which is a Supplier PCN from LTP8800-2IPV#PBF for PCN TYPE : Process Change on GQR GQR000086308 and AQR AQR003561763FVN/FOL/FJZ can arrange MFG qual build-3 boards with latest PCBA or down version</t>
        </is>
      </c>
      <c r="L215" s="43" t="inlineStr">
        <is>
          <t>Expired</t>
        </is>
      </c>
      <c r="M215" s="43" t="inlineStr">
        <is>
          <t>34-100423-01</t>
        </is>
      </c>
      <c r="N215" s="43" t="inlineStr"/>
      <c r="O215" s="43" t="inlineStr">
        <is>
          <t>2026-08-29</t>
        </is>
      </c>
      <c r="P215" s="33" t="inlineStr">
        <is>
          <t>Engineering Qualification Build (EXTENDABLE 2x);To track an AML qualification build (EXTENDABLE 2x)</t>
        </is>
      </c>
      <c r="Q215" s="43" t="inlineStr">
        <is>
          <t>put deviation number on units</t>
        </is>
      </c>
      <c r="R215" s="43" t="inlineStr">
        <is>
          <t>2026-06-02</t>
        </is>
      </c>
      <c r="S215" s="43" t="inlineStr">
        <is>
          <t>2026-07-02</t>
        </is>
      </c>
      <c r="T215" s="43" t="inlineStr"/>
      <c r="U215" s="43" t="inlineStr"/>
    </row>
    <row r="216">
      <c r="A216" s="43" t="n">
        <v>216</v>
      </c>
      <c r="B216" s="43" t="inlineStr">
        <is>
          <t>215</t>
        </is>
      </c>
      <c r="C216" s="43" t="inlineStr">
        <is>
          <t>FJZP</t>
        </is>
      </c>
      <c r="D216" s="43" t="inlineStr">
        <is>
          <t>Cisco</t>
        </is>
      </c>
      <c r="E216" s="43" t="inlineStr">
        <is>
          <t>MCGA</t>
        </is>
      </c>
      <c r="F216" s="43" t="inlineStr">
        <is>
          <t>239-CRBU</t>
        </is>
      </c>
      <c r="G216" s="43" t="inlineStr">
        <is>
          <t>CTANJZ05273</t>
        </is>
      </c>
      <c r="H216" s="43" t="inlineStr">
        <is>
          <t>Engineering Qualification Build</t>
        </is>
      </c>
      <c r="I216" s="43" t="inlineStr">
        <is>
          <t>Customer Deviation</t>
        </is>
      </c>
      <c r="J216" s="43" t="inlineStr">
        <is>
          <t>D611453</t>
        </is>
      </c>
      <c r="K216" s="33" t="inlineStr">
        <is>
          <t>D611453 Need to qualify LTP8800-2IPV#PBF on 73-21146-12for Assy Qual Request # : AQR003561763 Which is a Supplier PCN from LTP8800-2IPV#PBF for PCN TYPE : Process Change on GQR GQR000086308 and AQR AQR003561763FVN/FOL/FJZ can arrange MFG qual build-3 boards with latest PCBA or down version</t>
        </is>
      </c>
      <c r="L216" s="43" t="inlineStr">
        <is>
          <t>Expired</t>
        </is>
      </c>
      <c r="M216" s="43" t="inlineStr">
        <is>
          <t>73-21146-12</t>
        </is>
      </c>
      <c r="N216" s="43" t="inlineStr"/>
      <c r="O216" s="43" t="inlineStr">
        <is>
          <t>2026-08-29</t>
        </is>
      </c>
      <c r="P216" s="33" t="inlineStr">
        <is>
          <t>Engineering Qualification Build (EXTENDABLE 2x);To track an AML qualification build (EXTENDABLE 2x)</t>
        </is>
      </c>
      <c r="Q216" s="43" t="inlineStr">
        <is>
          <t>put deviation number on units</t>
        </is>
      </c>
      <c r="R216" s="43" t="inlineStr">
        <is>
          <t>2026-06-02</t>
        </is>
      </c>
      <c r="S216" s="43" t="inlineStr">
        <is>
          <t>2026-07-02</t>
        </is>
      </c>
      <c r="T216" s="43" t="inlineStr"/>
      <c r="U216" s="43" t="inlineStr"/>
    </row>
    <row r="217">
      <c r="A217" s="43" t="n">
        <v>217</v>
      </c>
      <c r="B217" s="43" t="inlineStr">
        <is>
          <t>216</t>
        </is>
      </c>
      <c r="C217" s="43" t="inlineStr">
        <is>
          <t>FJZP</t>
        </is>
      </c>
      <c r="D217" s="43" t="inlineStr">
        <is>
          <t>Cisco</t>
        </is>
      </c>
      <c r="E217" s="43" t="inlineStr">
        <is>
          <t>MCGA</t>
        </is>
      </c>
      <c r="F217" s="43" t="inlineStr">
        <is>
          <t>239-CRBU</t>
        </is>
      </c>
      <c r="G217" s="43" t="inlineStr">
        <is>
          <t>CTANJZ05279</t>
        </is>
      </c>
      <c r="H217" s="43" t="inlineStr">
        <is>
          <t>Engineering Qualification Build</t>
        </is>
      </c>
      <c r="I217" s="43" t="inlineStr">
        <is>
          <t>Customer Deviation</t>
        </is>
      </c>
      <c r="J217" s="43" t="inlineStr">
        <is>
          <t>D611450</t>
        </is>
      </c>
      <c r="K217" s="33" t="inlineStr">
        <is>
          <t>D611450 Need to qualify ADP2387ACPZN on 73-21146-12 for Assy Qual Request # : AQR003568133 Which is a Supplier PCN from ADP2387ACPZN for PCN TYPE : Site Move on GQR GQR000086467 and AQR AQR003568133FVN/FOL/FJZ can arrange MFG qual build-3 boards with latest PCBA or down version</t>
        </is>
      </c>
      <c r="L217" s="43" t="inlineStr">
        <is>
          <t>Expired</t>
        </is>
      </c>
      <c r="M217" s="43" t="inlineStr">
        <is>
          <t>15-102846-01</t>
        </is>
      </c>
      <c r="N217" s="43" t="inlineStr"/>
      <c r="O217" s="43" t="inlineStr">
        <is>
          <t>2026-08-29</t>
        </is>
      </c>
      <c r="P217" s="33" t="inlineStr">
        <is>
          <t>Engineering Qualification Build (EXTENDABLE 2x);To track an AML qualification build (EXTENDABLE 2x)</t>
        </is>
      </c>
      <c r="Q217" s="43" t="inlineStr">
        <is>
          <t>put deviation number on units</t>
        </is>
      </c>
      <c r="R217" s="43" t="inlineStr">
        <is>
          <t>2026-06-02</t>
        </is>
      </c>
      <c r="S217" s="43" t="inlineStr">
        <is>
          <t>2026-06-20</t>
        </is>
      </c>
      <c r="T217" s="43" t="inlineStr"/>
      <c r="U217" s="43" t="inlineStr"/>
    </row>
    <row r="218">
      <c r="A218" s="43" t="n">
        <v>218</v>
      </c>
      <c r="B218" s="43" t="inlineStr">
        <is>
          <t>217</t>
        </is>
      </c>
      <c r="C218" s="43" t="inlineStr">
        <is>
          <t>FJZP</t>
        </is>
      </c>
      <c r="D218" s="43" t="inlineStr">
        <is>
          <t>Cisco</t>
        </is>
      </c>
      <c r="E218" s="43" t="inlineStr">
        <is>
          <t>MCGA</t>
        </is>
      </c>
      <c r="F218" s="43" t="inlineStr">
        <is>
          <t>239-CRBU</t>
        </is>
      </c>
      <c r="G218" s="43" t="inlineStr">
        <is>
          <t>CTANJZ05279</t>
        </is>
      </c>
      <c r="H218" s="43" t="inlineStr">
        <is>
          <t>Engineering Qualification Build</t>
        </is>
      </c>
      <c r="I218" s="43" t="inlineStr">
        <is>
          <t>Customer Deviation</t>
        </is>
      </c>
      <c r="J218" s="43" t="inlineStr">
        <is>
          <t>D611450</t>
        </is>
      </c>
      <c r="K218" s="33" t="inlineStr">
        <is>
          <t>D611450 Need to qualify ADP2387ACPZN on 73-21146-12 for Assy Qual Request # : AQR003568133 Which is a Supplier PCN from ADP2387ACPZN for PCN TYPE : Site Move on GQR GQR000086467 and AQR AQR003568133FVN/FOL/FJZ can arrange MFG qual build-3 boards with latest PCBA or down version</t>
        </is>
      </c>
      <c r="L218" s="43" t="inlineStr">
        <is>
          <t>Expired</t>
        </is>
      </c>
      <c r="M218" s="43" t="inlineStr">
        <is>
          <t>73-21146-12</t>
        </is>
      </c>
      <c r="N218" s="43" t="inlineStr"/>
      <c r="O218" s="43" t="inlineStr">
        <is>
          <t>2026-08-29</t>
        </is>
      </c>
      <c r="P218" s="33" t="inlineStr">
        <is>
          <t>Engineering Qualification Build (EXTENDABLE 2x);To track an AML qualification build (EXTENDABLE 2x)</t>
        </is>
      </c>
      <c r="Q218" s="43" t="inlineStr">
        <is>
          <t>put deviation number on units</t>
        </is>
      </c>
      <c r="R218" s="43" t="inlineStr">
        <is>
          <t>2026-06-02</t>
        </is>
      </c>
      <c r="S218" s="43" t="inlineStr">
        <is>
          <t>2026-06-20</t>
        </is>
      </c>
      <c r="T218" s="43" t="inlineStr"/>
      <c r="U218" s="43" t="inlineStr"/>
    </row>
    <row r="219">
      <c r="A219" s="43" t="n">
        <v>219</v>
      </c>
      <c r="B219" s="43" t="inlineStr">
        <is>
          <t>218</t>
        </is>
      </c>
      <c r="C219" s="43" t="inlineStr">
        <is>
          <t>FJZP</t>
        </is>
      </c>
      <c r="D219" s="43" t="inlineStr">
        <is>
          <t>Cisco</t>
        </is>
      </c>
      <c r="E219" s="43" t="inlineStr">
        <is>
          <t>MCGA</t>
        </is>
      </c>
      <c r="F219" s="43" t="inlineStr">
        <is>
          <t>239-CRBU</t>
        </is>
      </c>
      <c r="G219" s="43" t="inlineStr">
        <is>
          <t>CTANJZ05137</t>
        </is>
      </c>
      <c r="H219" s="43" t="inlineStr">
        <is>
          <t>Engineering Qualification Build</t>
        </is>
      </c>
      <c r="I219" s="43" t="inlineStr">
        <is>
          <t>Customer Deviation</t>
        </is>
      </c>
      <c r="J219" s="43" t="inlineStr">
        <is>
          <t>D609403</t>
        </is>
      </c>
      <c r="K219" s="33" t="inlineStr">
        <is>
          <t>D609403 Need to qualify 800-111487-03 on 68-7781-12 for Assy Qual Request # : AQR003456311 Which is a Supplier PCN from 800-111487-03 for PCN TYPE : Site Move on GQR GQR000079378 and AQR AQR003456311FVN/FOL/FJZ can arrange MFG qual build with latest PCBA or down version</t>
        </is>
      </c>
      <c r="L219" s="43" t="inlineStr">
        <is>
          <t>Expired</t>
        </is>
      </c>
      <c r="M219" s="43" t="inlineStr">
        <is>
          <t>68-7781-12</t>
        </is>
      </c>
      <c r="N219" s="43" t="inlineStr"/>
      <c r="O219" s="43" t="inlineStr">
        <is>
          <t>2026-09-05</t>
        </is>
      </c>
      <c r="P219" s="33" t="inlineStr">
        <is>
          <t>Engineering Qualification Build (EXTENDABLE 2x);To track an AML qualification build (EXTENDABLE 2x)</t>
        </is>
      </c>
      <c r="Q219" s="43" t="inlineStr">
        <is>
          <t>put deviation number on units</t>
        </is>
      </c>
      <c r="R219" s="43" t="inlineStr">
        <is>
          <t>2026-03-10</t>
        </is>
      </c>
      <c r="S219" s="43" t="inlineStr">
        <is>
          <t>2026-03-25</t>
        </is>
      </c>
      <c r="T219" s="43" t="inlineStr"/>
      <c r="U219" s="43" t="inlineStr"/>
    </row>
    <row r="220">
      <c r="A220" s="43" t="n">
        <v>220</v>
      </c>
      <c r="B220" s="43" t="inlineStr">
        <is>
          <t>219</t>
        </is>
      </c>
      <c r="C220" s="43" t="inlineStr">
        <is>
          <t>FJZP</t>
        </is>
      </c>
      <c r="D220" s="43" t="inlineStr">
        <is>
          <t>Cisco</t>
        </is>
      </c>
      <c r="E220" s="43" t="inlineStr">
        <is>
          <t>MCGA</t>
        </is>
      </c>
      <c r="F220" s="43" t="inlineStr">
        <is>
          <t>239-CRBU</t>
        </is>
      </c>
      <c r="G220" s="43" t="inlineStr">
        <is>
          <t>CTANJZ05137</t>
        </is>
      </c>
      <c r="H220" s="43" t="inlineStr">
        <is>
          <t>Engineering Qualification Build</t>
        </is>
      </c>
      <c r="I220" s="43" t="inlineStr">
        <is>
          <t>Customer Deviation</t>
        </is>
      </c>
      <c r="J220" s="43" t="inlineStr">
        <is>
          <t>D609403</t>
        </is>
      </c>
      <c r="K220" s="33" t="inlineStr">
        <is>
          <t>D609403 Need to qualify 800-111487-03 on 68-7781-12 for Assy Qual Request # : AQR003456311 Which is a Supplier PCN from 800-111487-03 for PCN TYPE : Site Move on GQR GQR000079378 and AQR AQR003456311FVN/FOL/FJZ can arrange MFG qual build with latest PCBA or down version</t>
        </is>
      </c>
      <c r="L220" s="43" t="inlineStr">
        <is>
          <t>Expired</t>
        </is>
      </c>
      <c r="M220" s="43" t="inlineStr">
        <is>
          <t>800-111487-03</t>
        </is>
      </c>
      <c r="N220" s="43" t="inlineStr"/>
      <c r="O220" s="43" t="inlineStr">
        <is>
          <t>2026-09-05</t>
        </is>
      </c>
      <c r="P220" s="33" t="inlineStr">
        <is>
          <t>Engineering Qualification Build (EXTENDABLE 2x);To track an AML qualification build (EXTENDABLE 2x)</t>
        </is>
      </c>
      <c r="Q220" s="43" t="inlineStr">
        <is>
          <t>put deviation number on units</t>
        </is>
      </c>
      <c r="R220" s="43" t="inlineStr">
        <is>
          <t>2026-03-10</t>
        </is>
      </c>
      <c r="S220" s="43" t="inlineStr">
        <is>
          <t>2026-03-25</t>
        </is>
      </c>
      <c r="T220" s="43" t="inlineStr"/>
      <c r="U220" s="43" t="inlineStr"/>
    </row>
    <row r="221">
      <c r="A221" s="43" t="n">
        <v>221</v>
      </c>
      <c r="B221" s="43" t="inlineStr">
        <is>
          <t>220</t>
        </is>
      </c>
      <c r="C221" s="43" t="inlineStr">
        <is>
          <t>FJZP</t>
        </is>
      </c>
      <c r="D221" s="43" t="inlineStr">
        <is>
          <t>Cisco</t>
        </is>
      </c>
      <c r="E221" s="43" t="inlineStr">
        <is>
          <t>MCGA</t>
        </is>
      </c>
      <c r="F221" s="43" t="inlineStr">
        <is>
          <t>035-CVEBU</t>
        </is>
      </c>
      <c r="G221" s="43" t="inlineStr">
        <is>
          <t>CTANJZ05258</t>
        </is>
      </c>
      <c r="H221" s="43" t="inlineStr">
        <is>
          <t>To track an AML qualification build (EXTENDABLE 2x)</t>
        </is>
      </c>
      <c r="I221" s="43" t="inlineStr">
        <is>
          <t>Customer Deviation</t>
        </is>
      </c>
      <c r="J221" s="43" t="inlineStr">
        <is>
          <t>D611479</t>
        </is>
      </c>
      <c r="K221" s="33" t="inlineStr">
        <is>
          <t>D611479 NPI; CVEBU; Tyne; Qualification of Founder TH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28-103367-06_S606_M604 from Founder TH   - Boards shall undergo ICT; PCBDG and PCBPM test stations prior shipping   - Boards shall be DEV fused (if applicable)- FJZ to build 4x 73-103758-04 where:   - 28-103453-04 in BOM shall be populated by IPQ MPN 28-103453-04_S606_M604 from Founder TH   - Boards shall undergo ICT test stations prior shipping- FJZ is allowed to use alternative packaging- Above PCBAs to be shipped to Christian Kjoelseth in NorwayAdditional comments- Founder TH will delivered 50x 28-103367-06 and 48x 28-103453-04 to FJZ with ETD June 10th-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L221" s="43" t="inlineStr">
        <is>
          <t>Extended</t>
        </is>
      </c>
      <c r="M221" s="43" t="inlineStr">
        <is>
          <t>28-103367-06</t>
        </is>
      </c>
      <c r="N221" s="43" t="inlineStr"/>
      <c r="O221" s="43" t="inlineStr">
        <is>
          <t>2026-11-15</t>
        </is>
      </c>
      <c r="P221" s="33" t="inlineStr">
        <is>
          <t>To track an AML qualification build (EXTENDABLE 2x)</t>
        </is>
      </c>
      <c r="Q221" s="43" t="inlineStr">
        <is>
          <t>Mark PCBAs with deviation number</t>
        </is>
      </c>
      <c r="R221" s="43" t="inlineStr">
        <is>
          <t>2026-05-21</t>
        </is>
      </c>
      <c r="S221" s="43" t="inlineStr">
        <is>
          <t>2026-06-01</t>
        </is>
      </c>
      <c r="T221" s="43" t="inlineStr"/>
      <c r="U221" s="43" t="inlineStr"/>
    </row>
    <row r="222">
      <c r="A222" s="43" t="n">
        <v>222</v>
      </c>
      <c r="B222" s="43" t="inlineStr">
        <is>
          <t>221</t>
        </is>
      </c>
      <c r="C222" s="43" t="inlineStr">
        <is>
          <t>FJZP</t>
        </is>
      </c>
      <c r="D222" s="43" t="inlineStr">
        <is>
          <t>Cisco</t>
        </is>
      </c>
      <c r="E222" s="43" t="inlineStr">
        <is>
          <t>MCGA</t>
        </is>
      </c>
      <c r="F222" s="43" t="inlineStr">
        <is>
          <t>035-CVEBU</t>
        </is>
      </c>
      <c r="G222" s="43" t="inlineStr">
        <is>
          <t>CTANJZ05258</t>
        </is>
      </c>
      <c r="H222" s="43" t="inlineStr">
        <is>
          <t>To track an AML qualification build (EXTENDABLE 2x)</t>
        </is>
      </c>
      <c r="I222" s="43" t="inlineStr">
        <is>
          <t>Customer Deviation</t>
        </is>
      </c>
      <c r="J222" s="43" t="inlineStr">
        <is>
          <t>D611479</t>
        </is>
      </c>
      <c r="K222" s="33" t="inlineStr">
        <is>
          <t>D611479 NPI; CVEBU; Tyne; Qualification of Founder TH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28-103367-06_S606_M604 from Founder TH   - Boards shall undergo ICT; PCBDG and PCBPM test stations prior shipping   - Boards shall be DEV fused (if applicable)- FJZ to build 4x 73-103758-04 where:   - 28-103453-04 in BOM shall be populated by IPQ MPN 28-103453-04_S606_M604 from Founder TH   - Boards shall undergo ICT test stations prior shipping- FJZ is allowed to use alternative packaging- Above PCBAs to be shipped to Christian Kjoelseth in NorwayAdditional comments- Founder TH will delivered 50x 28-103367-06 and 48x 28-103453-04 to FJZ with ETD June 10th-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L222" s="43" t="inlineStr">
        <is>
          <t>Extended</t>
        </is>
      </c>
      <c r="M222" s="43" t="inlineStr">
        <is>
          <t>28-103453-04</t>
        </is>
      </c>
      <c r="N222" s="43" t="inlineStr"/>
      <c r="O222" s="43" t="inlineStr">
        <is>
          <t>2026-11-15</t>
        </is>
      </c>
      <c r="P222" s="33" t="inlineStr">
        <is>
          <t>To track an AML qualification build (EXTENDABLE 2x)</t>
        </is>
      </c>
      <c r="Q222" s="43" t="inlineStr">
        <is>
          <t>Mark PCBAs with deviation number</t>
        </is>
      </c>
      <c r="R222" s="43" t="inlineStr">
        <is>
          <t>2026-05-21</t>
        </is>
      </c>
      <c r="S222" s="43" t="inlineStr">
        <is>
          <t>2026-06-01</t>
        </is>
      </c>
      <c r="T222" s="43" t="inlineStr"/>
      <c r="U222" s="43" t="inlineStr"/>
    </row>
    <row r="223">
      <c r="A223" s="43" t="n">
        <v>223</v>
      </c>
      <c r="B223" s="43" t="inlineStr">
        <is>
          <t>222</t>
        </is>
      </c>
      <c r="C223" s="43" t="inlineStr">
        <is>
          <t>FJZP</t>
        </is>
      </c>
      <c r="D223" s="43" t="inlineStr">
        <is>
          <t>Cisco</t>
        </is>
      </c>
      <c r="E223" s="43" t="inlineStr">
        <is>
          <t>MCGA</t>
        </is>
      </c>
      <c r="F223" s="43" t="inlineStr">
        <is>
          <t>035-CVEBU</t>
        </is>
      </c>
      <c r="G223" s="43" t="inlineStr">
        <is>
          <t>CTANJZ05258</t>
        </is>
      </c>
      <c r="H223" s="43" t="inlineStr">
        <is>
          <t>To track an AML qualification build (EXTENDABLE 2x)</t>
        </is>
      </c>
      <c r="I223" s="43" t="inlineStr">
        <is>
          <t>Customer Deviation</t>
        </is>
      </c>
      <c r="J223" s="43" t="inlineStr">
        <is>
          <t>D611479</t>
        </is>
      </c>
      <c r="K223" s="33" t="inlineStr">
        <is>
          <t>D611479 NPI; CVEBU; Tyne; Qualification of Founder TH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28-103367-06_S606_M604 from Founder TH   - Boards shall undergo ICT; PCBDG and PCBPM test stations prior shipping   - Boards shall be DEV fused (if applicable)- FJZ to build 4x 73-103758-04 where:   - 28-103453-04 in BOM shall be populated by IPQ MPN 28-103453-04_S606_M604 from Founder TH   - Boards shall undergo ICT test stations prior shipping- FJZ is allowed to use alternative packaging- Above PCBAs to be shipped to Christian Kjoelseth in NorwayAdditional comments- Founder TH will delivered 50x 28-103367-06 and 48x 28-103453-04 to FJZ with ETD June 10th-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L223" s="43" t="inlineStr">
        <is>
          <t>Extended</t>
        </is>
      </c>
      <c r="M223" s="43" t="inlineStr">
        <is>
          <t>73-103698-06</t>
        </is>
      </c>
      <c r="N223" s="43" t="inlineStr"/>
      <c r="O223" s="43" t="inlineStr">
        <is>
          <t>2026-11-15</t>
        </is>
      </c>
      <c r="P223" s="33" t="inlineStr">
        <is>
          <t>To track an AML qualification build (EXTENDABLE 2x)</t>
        </is>
      </c>
      <c r="Q223" s="43" t="inlineStr">
        <is>
          <t>Mark PCBAs with deviation number</t>
        </is>
      </c>
      <c r="R223" s="43" t="inlineStr">
        <is>
          <t>2026-05-21</t>
        </is>
      </c>
      <c r="S223" s="43" t="inlineStr">
        <is>
          <t>2026-06-01</t>
        </is>
      </c>
      <c r="T223" s="43" t="inlineStr"/>
      <c r="U223" s="43" t="inlineStr"/>
    </row>
    <row r="224">
      <c r="A224" s="43" t="n">
        <v>224</v>
      </c>
      <c r="B224" s="43" t="inlineStr">
        <is>
          <t>223</t>
        </is>
      </c>
      <c r="C224" s="43" t="inlineStr">
        <is>
          <t>FJZP</t>
        </is>
      </c>
      <c r="D224" s="43" t="inlineStr">
        <is>
          <t>Cisco</t>
        </is>
      </c>
      <c r="E224" s="43" t="inlineStr">
        <is>
          <t>MCGA</t>
        </is>
      </c>
      <c r="F224" s="43" t="inlineStr">
        <is>
          <t>035-CVEBU</t>
        </is>
      </c>
      <c r="G224" s="43" t="inlineStr">
        <is>
          <t>CTANJZ05258</t>
        </is>
      </c>
      <c r="H224" s="43" t="inlineStr">
        <is>
          <t>To track an AML qualification build (EXTENDABLE 2x)</t>
        </is>
      </c>
      <c r="I224" s="43" t="inlineStr">
        <is>
          <t>Customer Deviation</t>
        </is>
      </c>
      <c r="J224" s="43" t="inlineStr">
        <is>
          <t>D611479</t>
        </is>
      </c>
      <c r="K224" s="33" t="inlineStr">
        <is>
          <t>D611479 NPI; CVEBU; Tyne; Qualification of Founder TH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28-103367-06_S606_M604 from Founder TH   - Boards shall undergo ICT; PCBDG and PCBPM test stations prior shipping   - Boards shall be DEV fused (if applicable)- FJZ to build 4x 73-103758-04 where:   - 28-103453-04 in BOM shall be populated by IPQ MPN 28-103453-04_S606_M604 from Founder TH   - Boards shall undergo ICT test stations prior shipping- FJZ is allowed to use alternative packaging- Above PCBAs to be shipped to Christian Kjoelseth in NorwayAdditional comments- Founder TH will delivered 50x 28-103367-06 and 48x 28-103453-04 to FJZ with ETD June 10th-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L224" s="43" t="inlineStr">
        <is>
          <t>Extended</t>
        </is>
      </c>
      <c r="M224" s="43" t="inlineStr">
        <is>
          <t>73-103758-04</t>
        </is>
      </c>
      <c r="N224" s="43" t="inlineStr"/>
      <c r="O224" s="43" t="inlineStr">
        <is>
          <t>2026-11-15</t>
        </is>
      </c>
      <c r="P224" s="33" t="inlineStr">
        <is>
          <t>To track an AML qualification build (EXTENDABLE 2x)</t>
        </is>
      </c>
      <c r="Q224" s="43" t="inlineStr">
        <is>
          <t>Mark PCBAs with deviation number</t>
        </is>
      </c>
      <c r="R224" s="43" t="inlineStr">
        <is>
          <t>2026-05-21</t>
        </is>
      </c>
      <c r="S224" s="43" t="inlineStr">
        <is>
          <t>2026-06-01</t>
        </is>
      </c>
      <c r="T224" s="43" t="inlineStr"/>
      <c r="U224" s="43" t="inlineStr"/>
    </row>
    <row r="225">
      <c r="A225" s="43" t="n">
        <v>225</v>
      </c>
      <c r="B225" s="43" t="inlineStr">
        <is>
          <t>224</t>
        </is>
      </c>
      <c r="C225" s="43" t="inlineStr">
        <is>
          <t>FJZP</t>
        </is>
      </c>
      <c r="D225" s="43" t="inlineStr">
        <is>
          <t>Cisco</t>
        </is>
      </c>
      <c r="E225" s="43" t="inlineStr">
        <is>
          <t>MCGA</t>
        </is>
      </c>
      <c r="F225" s="43" t="inlineStr">
        <is>
          <t>035-CVEBU</t>
        </is>
      </c>
      <c r="G225" s="43" t="inlineStr">
        <is>
          <t>CTANJZ05258</t>
        </is>
      </c>
      <c r="H225" s="43" t="inlineStr">
        <is>
          <t>To track an AML qualification build (EXTENDABLE 2x)</t>
        </is>
      </c>
      <c r="I225" s="43" t="inlineStr">
        <is>
          <t>Customer Deviation</t>
        </is>
      </c>
      <c r="J225" s="43" t="inlineStr">
        <is>
          <t>D611479</t>
        </is>
      </c>
      <c r="K225" s="33" t="inlineStr">
        <is>
          <t>D611479 NPI; CVEBU; Tyne; Qualification of Founder TH PCBs for Main board and Audio BoardAffected items- 800-113103-01; ASY-ELMECH;MODULE; Tyne Codec MB with Taylor; Radio- 73-103698-06; PCBA; Tyne Codec; Main Board; Radio- 28-103367-06; PCBFAB; 14L; High Temp FR4; 2.2mm; OSP; Tyne Codec; Main Board   - 73-103758-04; PCBA; Tyne Codec; Audio Board- 28-103453-04; PCBFAB; 8L; High Temp FR4; 1.6mm; OSP; Tyne Codec; Audio BoardTestbuild instruction- FJZ to build 2x 800-113103-01 where:   - 28-103367-06 in 73-103698-06 BOM shall be populated by IPQ MPN 28-103367-06_S606_M604 from Founder TH   - Boards shall undergo ICT; PCBDG and PCBPM test stations prior shipping   - Boards shall be DEV fused (if applicable)- FJZ to build 4x 73-103758-04 where:   - 28-103453-04 in BOM shall be populated by IPQ MPN 28-103453-04_S606_M604 from Founder TH   - Boards shall undergo ICT test stations prior shipping- FJZ is allowed to use alternative packaging- Above PCBAs to be shipped to Christian Kjoelseth in NorwayAdditional comments- Founder TH will delivered 50x 28-103367-06 and 48x 28-103453-04 to FJZ with ETD June 10th- Reason for not consuming them all in this testbuild is due to shortage of ADI chips; and we don't want to risk using up stock in case testbuild fails.- When testbuild has passed test stations successfully; we can discuss to allow FJZ to populate the remaining 48/44 pieces before SMT line is disassembled</t>
        </is>
      </c>
      <c r="L225" s="43" t="inlineStr">
        <is>
          <t>Extended</t>
        </is>
      </c>
      <c r="M225" s="43" t="inlineStr">
        <is>
          <t>800-113103-01</t>
        </is>
      </c>
      <c r="N225" s="43" t="inlineStr"/>
      <c r="O225" s="43" t="inlineStr">
        <is>
          <t>2026-11-15</t>
        </is>
      </c>
      <c r="P225" s="33" t="inlineStr">
        <is>
          <t>To track an AML qualification build (EXTENDABLE 2x)</t>
        </is>
      </c>
      <c r="Q225" s="43" t="inlineStr">
        <is>
          <t>Mark PCBAs with deviation number</t>
        </is>
      </c>
      <c r="R225" s="43" t="inlineStr">
        <is>
          <t>2026-05-21</t>
        </is>
      </c>
      <c r="S225" s="43" t="inlineStr">
        <is>
          <t>2026-06-01</t>
        </is>
      </c>
      <c r="T225" s="43" t="inlineStr"/>
      <c r="U225" s="43" t="inlineStr"/>
    </row>
    <row r="226">
      <c r="A226" s="43" t="n">
        <v>226</v>
      </c>
      <c r="B226" s="43" t="inlineStr">
        <is>
          <t>225</t>
        </is>
      </c>
      <c r="C226" s="43" t="inlineStr">
        <is>
          <t>FJZP</t>
        </is>
      </c>
      <c r="D226" s="43" t="inlineStr">
        <is>
          <t>Cisco</t>
        </is>
      </c>
      <c r="E226" s="43" t="inlineStr">
        <is>
          <t>MCGA</t>
        </is>
      </c>
      <c r="F226" s="43" t="inlineStr">
        <is>
          <t>239-CRBU</t>
        </is>
      </c>
      <c r="G226" s="43" t="inlineStr">
        <is>
          <t>CTANJZ05499</t>
        </is>
      </c>
      <c r="H226" s="43" t="inlineStr">
        <is>
          <t>Engineering Qualification Build</t>
        </is>
      </c>
      <c r="I226" s="43" t="inlineStr">
        <is>
          <t>Customer Deviation</t>
        </is>
      </c>
      <c r="J226" s="43" t="inlineStr">
        <is>
          <t>D612994</t>
        </is>
      </c>
      <c r="K226" s="33" t="inlineStr">
        <is>
          <t>D612994 Need to qualify ISC019N03L5S on 73-102363-05</t>
        </is>
      </c>
      <c r="L226" s="43" t="inlineStr">
        <is>
          <t>Implementation</t>
        </is>
      </c>
      <c r="M226" s="43" t="inlineStr">
        <is>
          <t>20-0788-01</t>
        </is>
      </c>
      <c r="N226" s="43" t="inlineStr"/>
      <c r="O226" s="43" t="inlineStr">
        <is>
          <t>2026-12-19</t>
        </is>
      </c>
      <c r="P226" s="33" t="inlineStr">
        <is>
          <t>Engineering Qualification Build (EXTENDABLE 2x);To track an AML qualification build (EXTENDABLE 2x)</t>
        </is>
      </c>
      <c r="Q226" s="43" t="inlineStr">
        <is>
          <t>NA</t>
        </is>
      </c>
      <c r="R226" s="43" t="inlineStr">
        <is>
          <t>2026-09-22</t>
        </is>
      </c>
      <c r="S226" s="43" t="inlineStr">
        <is>
          <t>2026-10-03</t>
        </is>
      </c>
      <c r="T226" s="43" t="inlineStr"/>
      <c r="U226" s="43" t="inlineStr"/>
    </row>
    <row r="227">
      <c r="A227" s="43" t="n">
        <v>227</v>
      </c>
      <c r="B227" s="43" t="inlineStr">
        <is>
          <t>226</t>
        </is>
      </c>
      <c r="C227" s="43" t="inlineStr">
        <is>
          <t>FJZP</t>
        </is>
      </c>
      <c r="D227" s="43" t="inlineStr">
        <is>
          <t>Cisco</t>
        </is>
      </c>
      <c r="E227" s="43" t="inlineStr">
        <is>
          <t>MCGA</t>
        </is>
      </c>
      <c r="F227" s="43" t="inlineStr">
        <is>
          <t>239-CRBU</t>
        </is>
      </c>
      <c r="G227" s="43" t="inlineStr">
        <is>
          <t>CTANJZ05499</t>
        </is>
      </c>
      <c r="H227" s="43" t="inlineStr">
        <is>
          <t>Engineering Qualification Build</t>
        </is>
      </c>
      <c r="I227" s="43" t="inlineStr">
        <is>
          <t>Customer Deviation</t>
        </is>
      </c>
      <c r="J227" s="43" t="inlineStr">
        <is>
          <t>D612994</t>
        </is>
      </c>
      <c r="K227" s="33" t="inlineStr">
        <is>
          <t>D612994 Need to qualify ISC019N03L5S on 73-102363-05</t>
        </is>
      </c>
      <c r="L227" s="43" t="inlineStr">
        <is>
          <t>Implementation</t>
        </is>
      </c>
      <c r="M227" s="43" t="inlineStr">
        <is>
          <t>73-102363-05</t>
        </is>
      </c>
      <c r="N227" s="43" t="inlineStr"/>
      <c r="O227" s="43" t="inlineStr">
        <is>
          <t>2026-12-19</t>
        </is>
      </c>
      <c r="P227" s="33" t="inlineStr">
        <is>
          <t>Engineering Qualification Build (EXTENDABLE 2x);To track an AML qualification build (EXTENDABLE 2x)</t>
        </is>
      </c>
      <c r="Q227" s="43" t="inlineStr">
        <is>
          <t>NA</t>
        </is>
      </c>
      <c r="R227" s="43" t="inlineStr">
        <is>
          <t>2026-09-22</t>
        </is>
      </c>
      <c r="S227" s="43" t="inlineStr">
        <is>
          <t>2026-10-03</t>
        </is>
      </c>
      <c r="T227" s="43" t="inlineStr"/>
      <c r="U227" s="43" t="inlineStr"/>
    </row>
    <row r="228">
      <c r="A228" s="43" t="n">
        <v>228</v>
      </c>
      <c r="B228" s="43" t="inlineStr">
        <is>
          <t>227</t>
        </is>
      </c>
      <c r="C228" s="43" t="inlineStr">
        <is>
          <t>FJZP</t>
        </is>
      </c>
      <c r="D228" s="43" t="inlineStr">
        <is>
          <t>Cisco</t>
        </is>
      </c>
      <c r="E228" s="43" t="inlineStr">
        <is>
          <t>MCGA</t>
        </is>
      </c>
      <c r="F228" s="43" t="inlineStr">
        <is>
          <t>037-STBU</t>
        </is>
      </c>
      <c r="G228" s="43" t="inlineStr">
        <is>
          <t>CTANJZ05398</t>
        </is>
      </c>
      <c r="H228" s="43" t="inlineStr">
        <is>
          <t>To track an AML qualification build (EXTENDABLE 2x)</t>
        </is>
      </c>
      <c r="I228" s="43" t="inlineStr">
        <is>
          <t>Customer Deviation</t>
        </is>
      </c>
      <c r="J228" s="43" t="inlineStr">
        <is>
          <t>D612843</t>
        </is>
      </c>
      <c r="K228" s="33" t="inlineStr">
        <is>
          <t>D612843 NGFWBU GQR: GQR000097930 Case: AQR004608289 CPN: 24-101177-01; MFR NAME: MAG LAYERS; MPN: MSI-100612V-R15L-KCS-RUThis deviation instructs Foxconn Juarez (FJZ) to execute a sample buy and conduct a Production Qual build for the following part(s):BU: NGFWBUPF: FPRMID3Affected TAN(s):68-7255-05Affected Item(s): 73-20247-06CPN: 24-101177-01; MFR NAME: MAG LAYERS; MPN: MSI-100612V-R15L-KCS-RUBuild Qty: 7Ref Des: L3;L6To execute the above AQR at CM site; should be tested on Model A.</t>
        </is>
      </c>
      <c r="L228" s="43" t="inlineStr">
        <is>
          <t>FAI Status</t>
        </is>
      </c>
      <c r="M228" s="43" t="inlineStr">
        <is>
          <t>24-101177-01</t>
        </is>
      </c>
      <c r="N228" s="43" t="inlineStr"/>
      <c r="O228" s="43" t="inlineStr">
        <is>
          <t>2026-10-18</t>
        </is>
      </c>
      <c r="P228" s="33" t="inlineStr">
        <is>
          <t>To track an AML qualification build (EXTENDABLE 2x);Risk Buy Authorization</t>
        </is>
      </c>
      <c r="Q228" s="43" t="inlineStr">
        <is>
          <t>NA</t>
        </is>
      </c>
      <c r="R228" s="43" t="inlineStr">
        <is>
          <t>2026-07-21</t>
        </is>
      </c>
      <c r="S228" s="43" t="inlineStr">
        <is>
          <t>2026-08-15</t>
        </is>
      </c>
      <c r="T228" s="43" t="inlineStr"/>
      <c r="U228" s="43" t="inlineStr"/>
    </row>
    <row r="229">
      <c r="A229" s="43" t="n">
        <v>229</v>
      </c>
      <c r="B229" s="43" t="inlineStr">
        <is>
          <t>228</t>
        </is>
      </c>
      <c r="C229" s="43" t="inlineStr">
        <is>
          <t>FJZP</t>
        </is>
      </c>
      <c r="D229" s="43" t="inlineStr">
        <is>
          <t>Cisco</t>
        </is>
      </c>
      <c r="E229" s="43" t="inlineStr">
        <is>
          <t>MCGA</t>
        </is>
      </c>
      <c r="F229" s="43" t="inlineStr">
        <is>
          <t>037-STBU</t>
        </is>
      </c>
      <c r="G229" s="43" t="inlineStr">
        <is>
          <t>CTANJZ05398</t>
        </is>
      </c>
      <c r="H229" s="43" t="inlineStr">
        <is>
          <t>To track an AML qualification build (EXTENDABLE 2x)</t>
        </is>
      </c>
      <c r="I229" s="43" t="inlineStr">
        <is>
          <t>Customer Deviation</t>
        </is>
      </c>
      <c r="J229" s="43" t="inlineStr">
        <is>
          <t>D612843</t>
        </is>
      </c>
      <c r="K229" s="33" t="inlineStr">
        <is>
          <t>D612843 NGFWBU GQR: GQR000097930 Case: AQR004608289 CPN: 24-101177-01; MFR NAME: MAG LAYERS; MPN: MSI-100612V-R15L-KCS-RUThis deviation instructs Foxconn Juarez (FJZ) to execute a sample buy and conduct a Production Qual build for the following part(s):BU: NGFWBUPF: FPRMID3Affected TAN(s):68-7255-05Affected Item(s): 73-20247-06CPN: 24-101177-01; MFR NAME: MAG LAYERS; MPN: MSI-100612V-R15L-KCS-RUBuild Qty: 7Ref Des: L3;L6To execute the above AQR at CM site; should be tested on Model A.</t>
        </is>
      </c>
      <c r="L229" s="43" t="inlineStr">
        <is>
          <t>FAI Status</t>
        </is>
      </c>
      <c r="M229" s="43" t="inlineStr">
        <is>
          <t>73-20247-06</t>
        </is>
      </c>
      <c r="N229" s="43" t="inlineStr"/>
      <c r="O229" s="43" t="inlineStr">
        <is>
          <t>2026-10-18</t>
        </is>
      </c>
      <c r="P229" s="33" t="inlineStr">
        <is>
          <t>To track an AML qualification build (EXTENDABLE 2x);Risk Buy Authorization</t>
        </is>
      </c>
      <c r="Q229" s="43" t="inlineStr">
        <is>
          <t>NA</t>
        </is>
      </c>
      <c r="R229" s="43" t="inlineStr">
        <is>
          <t>2026-07-21</t>
        </is>
      </c>
      <c r="S229" s="43" t="inlineStr">
        <is>
          <t>2026-08-15</t>
        </is>
      </c>
      <c r="T229" s="43" t="inlineStr"/>
      <c r="U229" s="43" t="inlineStr"/>
    </row>
    <row r="230">
      <c r="A230" s="43" t="n">
        <v>230</v>
      </c>
      <c r="B230" s="43" t="inlineStr">
        <is>
          <t>229</t>
        </is>
      </c>
      <c r="C230" s="43" t="inlineStr">
        <is>
          <t>FJZP</t>
        </is>
      </c>
      <c r="D230" s="43" t="inlineStr">
        <is>
          <t>Cisco</t>
        </is>
      </c>
      <c r="E230" s="43" t="inlineStr">
        <is>
          <t>MCGA</t>
        </is>
      </c>
      <c r="F230" s="43" t="inlineStr">
        <is>
          <t>239-CRBU</t>
        </is>
      </c>
      <c r="G230" s="43" t="inlineStr">
        <is>
          <t>CTANJZ05479</t>
        </is>
      </c>
      <c r="H230" s="43" t="inlineStr">
        <is>
          <t>Engineering Qualification Build</t>
        </is>
      </c>
      <c r="I230" s="43" t="inlineStr">
        <is>
          <t>Customer Deviation</t>
        </is>
      </c>
      <c r="J230" s="43" t="inlineStr">
        <is>
          <t>D613635</t>
        </is>
      </c>
      <c r="K230" s="33" t="inlineStr">
        <is>
          <t>D613635 Need to qualify MX25L3233FM2I-08G on 17-14802-02</t>
        </is>
      </c>
      <c r="L230" s="43" t="inlineStr">
        <is>
          <t>Implementation</t>
        </is>
      </c>
      <c r="M230" s="43" t="inlineStr">
        <is>
          <t>16-100239-01</t>
        </is>
      </c>
      <c r="N230" s="43" t="inlineStr"/>
      <c r="O230" s="43" t="inlineStr">
        <is>
          <t>2026-12-10</t>
        </is>
      </c>
      <c r="P230" s="33" t="inlineStr">
        <is>
          <t>Engineering Qualification Build (EXTENDABLE 2x);To track an AML qualification build (EXTENDABLE 2x)</t>
        </is>
      </c>
      <c r="Q230" s="43" t="inlineStr">
        <is>
          <t>NA</t>
        </is>
      </c>
      <c r="R230" s="43" t="inlineStr">
        <is>
          <t>2026-09-14</t>
        </is>
      </c>
      <c r="S230" s="43" t="inlineStr">
        <is>
          <t>2026-10-03</t>
        </is>
      </c>
      <c r="T230" s="43" t="inlineStr"/>
      <c r="U230" s="43" t="inlineStr"/>
    </row>
    <row r="231">
      <c r="A231" s="43" t="n">
        <v>231</v>
      </c>
      <c r="B231" s="43" t="inlineStr">
        <is>
          <t>230</t>
        </is>
      </c>
      <c r="C231" s="43" t="inlineStr">
        <is>
          <t>FJZP</t>
        </is>
      </c>
      <c r="D231" s="43" t="inlineStr">
        <is>
          <t>Cisco</t>
        </is>
      </c>
      <c r="E231" s="43" t="inlineStr">
        <is>
          <t>MCGA</t>
        </is>
      </c>
      <c r="F231" s="43" t="inlineStr">
        <is>
          <t>239-CRBU</t>
        </is>
      </c>
      <c r="G231" s="43" t="inlineStr">
        <is>
          <t>CTANJZ05479</t>
        </is>
      </c>
      <c r="H231" s="43" t="inlineStr">
        <is>
          <t>Engineering Qualification Build</t>
        </is>
      </c>
      <c r="I231" s="43" t="inlineStr">
        <is>
          <t>Customer Deviation</t>
        </is>
      </c>
      <c r="J231" s="43" t="inlineStr">
        <is>
          <t>D613635</t>
        </is>
      </c>
      <c r="K231" s="33" t="inlineStr">
        <is>
          <t>D613635 Need to qualify MX25L3233FM2I-08G on 17-14802-02</t>
        </is>
      </c>
      <c r="L231" s="43" t="inlineStr">
        <is>
          <t>Implementation</t>
        </is>
      </c>
      <c r="M231" s="43" t="inlineStr">
        <is>
          <t>17-14802-02</t>
        </is>
      </c>
      <c r="N231" s="43" t="inlineStr"/>
      <c r="O231" s="43" t="inlineStr">
        <is>
          <t>2026-12-10</t>
        </is>
      </c>
      <c r="P231" s="33" t="inlineStr">
        <is>
          <t>Engineering Qualification Build (EXTENDABLE 2x);To track an AML qualification build (EXTENDABLE 2x)</t>
        </is>
      </c>
      <c r="Q231" s="43" t="inlineStr">
        <is>
          <t>NA</t>
        </is>
      </c>
      <c r="R231" s="43" t="inlineStr">
        <is>
          <t>2026-09-14</t>
        </is>
      </c>
      <c r="S231" s="43" t="inlineStr">
        <is>
          <t>2026-10-03</t>
        </is>
      </c>
      <c r="T231" s="43" t="inlineStr"/>
      <c r="U231" s="43" t="inlineStr"/>
    </row>
    <row r="232">
      <c r="A232" s="43" t="n">
        <v>232</v>
      </c>
      <c r="B232" s="43" t="inlineStr">
        <is>
          <t>231</t>
        </is>
      </c>
      <c r="C232" s="43" t="inlineStr">
        <is>
          <t>FJZP</t>
        </is>
      </c>
      <c r="D232" s="43" t="inlineStr">
        <is>
          <t>Cisco</t>
        </is>
      </c>
      <c r="E232" s="43" t="inlineStr">
        <is>
          <t>MCGA</t>
        </is>
      </c>
      <c r="F232" s="43" t="inlineStr">
        <is>
          <t>037-STBU</t>
        </is>
      </c>
      <c r="G232" s="43" t="inlineStr">
        <is>
          <t>CTANJZ05485</t>
        </is>
      </c>
      <c r="H232" s="43" t="inlineStr">
        <is>
          <t>To track an AML qualification build (EXTENDABLE 2x)</t>
        </is>
      </c>
      <c r="I232" s="43" t="inlineStr">
        <is>
          <t>Customer Deviation</t>
        </is>
      </c>
      <c r="J232" s="43" t="inlineStr">
        <is>
          <t>D613992</t>
        </is>
      </c>
      <c r="K232" s="33" t="inlineStr">
        <is>
          <t>D613992 NGFWBU GQR: GQR000102872 Case: AQR004788029 CPN: 29-101162-01; MFR NAME: FCI; MPN: 61083-181602LFThis deviation instructs Foxconn Juarez (FJZ) to execute a sample buy and conduct a Production Qual build for the following part(s):BU: NGFWBUPF: CSF6100Affected TAN(s):68-104010-02Affected Item(s): 73-102483-02CPN: 29-101162-01; MFR NAME: FCI; MPN: 61083-181602LFBuild Qty: 3Ref Des: J4To execute the above AQR at CM site; should be tested on Model A.</t>
        </is>
      </c>
      <c r="L232" s="43" t="inlineStr">
        <is>
          <t>Implementation</t>
        </is>
      </c>
      <c r="M232" s="43" t="inlineStr">
        <is>
          <t>29-101162-01</t>
        </is>
      </c>
      <c r="N232" s="43" t="inlineStr"/>
      <c r="O232" s="43" t="inlineStr">
        <is>
          <t>2026-12-14</t>
        </is>
      </c>
      <c r="P232" s="33" t="inlineStr">
        <is>
          <t>To track an AML qualification build (EXTENDABLE 2x);Risk Buy Authorization</t>
        </is>
      </c>
      <c r="Q232" s="43" t="inlineStr">
        <is>
          <t>NA</t>
        </is>
      </c>
      <c r="R232" s="43" t="inlineStr">
        <is>
          <t>2026-09-16</t>
        </is>
      </c>
      <c r="S232" s="43" t="inlineStr">
        <is>
          <t>2026-10-14</t>
        </is>
      </c>
      <c r="T232" s="43" t="inlineStr"/>
      <c r="U232" s="43" t="inlineStr"/>
    </row>
    <row r="233">
      <c r="A233" s="43" t="n">
        <v>233</v>
      </c>
      <c r="B233" s="43" t="inlineStr">
        <is>
          <t>232</t>
        </is>
      </c>
      <c r="C233" s="43" t="inlineStr">
        <is>
          <t>FJZP</t>
        </is>
      </c>
      <c r="D233" s="43" t="inlineStr">
        <is>
          <t>Cisco</t>
        </is>
      </c>
      <c r="E233" s="43" t="inlineStr">
        <is>
          <t>MCGA</t>
        </is>
      </c>
      <c r="F233" s="43" t="inlineStr">
        <is>
          <t>037-STBU</t>
        </is>
      </c>
      <c r="G233" s="43" t="inlineStr">
        <is>
          <t>CTANJZ05485</t>
        </is>
      </c>
      <c r="H233" s="43" t="inlineStr">
        <is>
          <t>To track an AML qualification build (EXTENDABLE 2x)</t>
        </is>
      </c>
      <c r="I233" s="43" t="inlineStr">
        <is>
          <t>Customer Deviation</t>
        </is>
      </c>
      <c r="J233" s="43" t="inlineStr">
        <is>
          <t>D613992</t>
        </is>
      </c>
      <c r="K233" s="33" t="inlineStr">
        <is>
          <t>D613992 NGFWBU GQR: GQR000102872 Case: AQR004788029 CPN: 29-101162-01; MFR NAME: FCI; MPN: 61083-181602LFThis deviation instructs Foxconn Juarez (FJZ) to execute a sample buy and conduct a Production Qual build for the following part(s):BU: NGFWBUPF: CSF6100Affected TAN(s):68-104010-02Affected Item(s): 73-102483-02CPN: 29-101162-01; MFR NAME: FCI; MPN: 61083-181602LFBuild Qty: 3Ref Des: J4To execute the above AQR at CM site; should be tested on Model A.</t>
        </is>
      </c>
      <c r="L233" s="43" t="inlineStr">
        <is>
          <t>Implementation</t>
        </is>
      </c>
      <c r="M233" s="43" t="inlineStr">
        <is>
          <t>73-102483-02</t>
        </is>
      </c>
      <c r="N233" s="43" t="inlineStr"/>
      <c r="O233" s="43" t="inlineStr">
        <is>
          <t>2026-12-14</t>
        </is>
      </c>
      <c r="P233" s="33" t="inlineStr">
        <is>
          <t>To track an AML qualification build (EXTENDABLE 2x);Risk Buy Authorization</t>
        </is>
      </c>
      <c r="Q233" s="43" t="inlineStr">
        <is>
          <t>NA</t>
        </is>
      </c>
      <c r="R233" s="43" t="inlineStr">
        <is>
          <t>2026-09-16</t>
        </is>
      </c>
      <c r="S233" s="43" t="inlineStr">
        <is>
          <t>2026-10-14</t>
        </is>
      </c>
      <c r="T233" s="43" t="inlineStr"/>
      <c r="U233" s="43" t="inlineStr"/>
    </row>
    <row r="234">
      <c r="A234" s="43" t="n">
        <v>234</v>
      </c>
      <c r="B234" s="43" t="inlineStr">
        <is>
          <t>233</t>
        </is>
      </c>
      <c r="C234" s="43" t="inlineStr">
        <is>
          <t>FJZP</t>
        </is>
      </c>
      <c r="D234" s="43" t="inlineStr">
        <is>
          <t>Cisco</t>
        </is>
      </c>
      <c r="E234" s="43" t="inlineStr">
        <is>
          <t>MCGA</t>
        </is>
      </c>
      <c r="F234" s="43" t="inlineStr">
        <is>
          <t>239-CRBU</t>
        </is>
      </c>
      <c r="G234" s="43" t="inlineStr">
        <is>
          <t>CTANJZ05496</t>
        </is>
      </c>
      <c r="H234" s="43" t="inlineStr">
        <is>
          <t>Engineering Qualification Build</t>
        </is>
      </c>
      <c r="I234" s="43" t="inlineStr">
        <is>
          <t>Customer Deviation</t>
        </is>
      </c>
      <c r="J234" s="43" t="inlineStr">
        <is>
          <t>D613740</t>
        </is>
      </c>
      <c r="K234" s="33" t="inlineStr">
        <is>
          <t>D613740 Need to qualify MBP21K400-15R045C on 73-19057-07</t>
        </is>
      </c>
      <c r="L234" s="43" t="inlineStr">
        <is>
          <t>Implementation</t>
        </is>
      </c>
      <c r="M234" s="43" t="inlineStr">
        <is>
          <t>36-0111-02</t>
        </is>
      </c>
      <c r="N234" s="43" t="inlineStr"/>
      <c r="O234" s="43" t="inlineStr">
        <is>
          <t>2027-03-17</t>
        </is>
      </c>
      <c r="P234" s="33" t="inlineStr">
        <is>
          <t>Engineering Qualification Build (EXTENDABLE 2x);To track an AML qualification build (EXTENDABLE 2x)</t>
        </is>
      </c>
      <c r="Q234" s="43" t="inlineStr">
        <is>
          <t>NA</t>
        </is>
      </c>
      <c r="R234" s="43" t="inlineStr">
        <is>
          <t>2026-09-19</t>
        </is>
      </c>
      <c r="S234" s="43" t="inlineStr">
        <is>
          <t>2026-10-03</t>
        </is>
      </c>
      <c r="T234" s="43" t="inlineStr"/>
      <c r="U234" s="43" t="inlineStr"/>
    </row>
    <row r="235">
      <c r="A235" s="43" t="n">
        <v>235</v>
      </c>
      <c r="B235" s="43" t="inlineStr">
        <is>
          <t>234</t>
        </is>
      </c>
      <c r="C235" s="43" t="inlineStr">
        <is>
          <t>FJZP</t>
        </is>
      </c>
      <c r="D235" s="43" t="inlineStr">
        <is>
          <t>Cisco</t>
        </is>
      </c>
      <c r="E235" s="43" t="inlineStr">
        <is>
          <t>MCGA</t>
        </is>
      </c>
      <c r="F235" s="43" t="inlineStr">
        <is>
          <t>239-CRBU</t>
        </is>
      </c>
      <c r="G235" s="43" t="inlineStr">
        <is>
          <t>CTANJZ05458</t>
        </is>
      </c>
      <c r="H235" s="43" t="inlineStr">
        <is>
          <t>Engineering Qualification Build</t>
        </is>
      </c>
      <c r="I235" s="43" t="inlineStr">
        <is>
          <t>Customer Deviation</t>
        </is>
      </c>
      <c r="J235" s="43" t="inlineStr">
        <is>
          <t>D613627</t>
        </is>
      </c>
      <c r="K235" s="33" t="inlineStr">
        <is>
          <t>D613627 Need to qualify MX25L3233FM2I-08G on 17-15768-01</t>
        </is>
      </c>
      <c r="L235" s="43" t="inlineStr">
        <is>
          <t>Implementation</t>
        </is>
      </c>
      <c r="M235" s="43" t="inlineStr">
        <is>
          <t>16-100239-01</t>
        </is>
      </c>
      <c r="N235" s="43" t="inlineStr"/>
      <c r="O235" s="43" t="inlineStr">
        <is>
          <t>2026-12-01</t>
        </is>
      </c>
      <c r="P235" s="33" t="inlineStr">
        <is>
          <t>Engineering Qualification Build (EXTENDABLE 2x);To track an AML qualification build (EXTENDABLE 2x)</t>
        </is>
      </c>
      <c r="Q235" s="43" t="inlineStr">
        <is>
          <t>NA</t>
        </is>
      </c>
      <c r="R235" s="43" t="inlineStr">
        <is>
          <t>2026-09-03</t>
        </is>
      </c>
      <c r="S235" s="43" t="inlineStr">
        <is>
          <t>2026-09-30</t>
        </is>
      </c>
      <c r="T235" s="43" t="inlineStr"/>
      <c r="U235" s="43" t="inlineStr"/>
    </row>
    <row r="236">
      <c r="A236" s="43" t="n">
        <v>236</v>
      </c>
      <c r="B236" s="43" t="inlineStr">
        <is>
          <t>235</t>
        </is>
      </c>
      <c r="C236" s="43" t="inlineStr">
        <is>
          <t>FJZP</t>
        </is>
      </c>
      <c r="D236" s="43" t="inlineStr">
        <is>
          <t>Cisco</t>
        </is>
      </c>
      <c r="E236" s="43" t="inlineStr">
        <is>
          <t>MCGA</t>
        </is>
      </c>
      <c r="F236" s="43" t="inlineStr">
        <is>
          <t>239-CRBU</t>
        </is>
      </c>
      <c r="G236" s="43" t="inlineStr">
        <is>
          <t>CTANJZ05458</t>
        </is>
      </c>
      <c r="H236" s="43" t="inlineStr">
        <is>
          <t>Engineering Qualification Build</t>
        </is>
      </c>
      <c r="I236" s="43" t="inlineStr">
        <is>
          <t>Customer Deviation</t>
        </is>
      </c>
      <c r="J236" s="43" t="inlineStr">
        <is>
          <t>D613627</t>
        </is>
      </c>
      <c r="K236" s="33" t="inlineStr">
        <is>
          <t>D613627 Need to qualify MX25L3233FM2I-08G on 17-15768-01</t>
        </is>
      </c>
      <c r="L236" s="43" t="inlineStr">
        <is>
          <t>Implementation</t>
        </is>
      </c>
      <c r="M236" s="43" t="inlineStr">
        <is>
          <t>17-15768-01</t>
        </is>
      </c>
      <c r="N236" s="43" t="inlineStr"/>
      <c r="O236" s="43" t="inlineStr">
        <is>
          <t>2026-12-01</t>
        </is>
      </c>
      <c r="P236" s="33" t="inlineStr">
        <is>
          <t>Engineering Qualification Build (EXTENDABLE 2x);To track an AML qualification build (EXTENDABLE 2x)</t>
        </is>
      </c>
      <c r="Q236" s="43" t="inlineStr">
        <is>
          <t>NA</t>
        </is>
      </c>
      <c r="R236" s="43" t="inlineStr">
        <is>
          <t>2026-09-03</t>
        </is>
      </c>
      <c r="S236" s="43" t="inlineStr">
        <is>
          <t>2026-09-30</t>
        </is>
      </c>
      <c r="T236" s="43" t="inlineStr"/>
      <c r="U236" s="43" t="inlineStr"/>
    </row>
    <row r="237">
      <c r="A237" s="43" t="n">
        <v>237</v>
      </c>
      <c r="B237" s="43" t="inlineStr">
        <is>
          <t>236</t>
        </is>
      </c>
      <c r="C237" s="43" t="inlineStr">
        <is>
          <t>FJZP</t>
        </is>
      </c>
      <c r="D237" s="43" t="inlineStr">
        <is>
          <t>Cisco</t>
        </is>
      </c>
      <c r="E237" s="43" t="inlineStr">
        <is>
          <t>MCGA</t>
        </is>
      </c>
      <c r="F237" s="43" t="inlineStr">
        <is>
          <t>239-CRBU</t>
        </is>
      </c>
      <c r="G237" s="43" t="inlineStr">
        <is>
          <t>CTANJZ05459</t>
        </is>
      </c>
      <c r="H237" s="43" t="inlineStr">
        <is>
          <t>Engineering Qualification Build</t>
        </is>
      </c>
      <c r="I237" s="43" t="inlineStr">
        <is>
          <t>Customer Deviation</t>
        </is>
      </c>
      <c r="J237" s="43" t="inlineStr">
        <is>
          <t>D613629</t>
        </is>
      </c>
      <c r="K237" s="33" t="inlineStr">
        <is>
          <t>D613629 Need to qualify MX25L3233FM2I-08G on 17-15753-01</t>
        </is>
      </c>
      <c r="L237" s="43" t="inlineStr">
        <is>
          <t>Implementation</t>
        </is>
      </c>
      <c r="M237" s="43" t="inlineStr">
        <is>
          <t>16-100239-01</t>
        </is>
      </c>
      <c r="N237" s="43" t="inlineStr"/>
      <c r="O237" s="43" t="inlineStr">
        <is>
          <t>2026-12-01</t>
        </is>
      </c>
      <c r="P237" s="33" t="inlineStr">
        <is>
          <t>Engineering Qualification Build (EXTENDABLE 2x);To track an AML qualification build (EXTENDABLE 2x)</t>
        </is>
      </c>
      <c r="Q237" s="43" t="inlineStr">
        <is>
          <t>NA</t>
        </is>
      </c>
      <c r="R237" s="43" t="inlineStr">
        <is>
          <t>2026-09-03</t>
        </is>
      </c>
      <c r="S237" s="43" t="inlineStr">
        <is>
          <t>2026-09-30</t>
        </is>
      </c>
      <c r="T237" s="43" t="inlineStr"/>
      <c r="U237" s="43" t="inlineStr"/>
    </row>
    <row r="238">
      <c r="A238" s="43" t="n">
        <v>238</v>
      </c>
      <c r="B238" s="43" t="inlineStr">
        <is>
          <t>237</t>
        </is>
      </c>
      <c r="C238" s="43" t="inlineStr">
        <is>
          <t>FJZP</t>
        </is>
      </c>
      <c r="D238" s="43" t="inlineStr">
        <is>
          <t>Cisco</t>
        </is>
      </c>
      <c r="E238" s="43" t="inlineStr">
        <is>
          <t>MCGA</t>
        </is>
      </c>
      <c r="F238" s="43" t="inlineStr">
        <is>
          <t>239-CRBU</t>
        </is>
      </c>
      <c r="G238" s="43" t="inlineStr">
        <is>
          <t>CTANJZ05459</t>
        </is>
      </c>
      <c r="H238" s="43" t="inlineStr">
        <is>
          <t>Engineering Qualification Build</t>
        </is>
      </c>
      <c r="I238" s="43" t="inlineStr">
        <is>
          <t>Customer Deviation</t>
        </is>
      </c>
      <c r="J238" s="43" t="inlineStr">
        <is>
          <t>D613629</t>
        </is>
      </c>
      <c r="K238" s="33" t="inlineStr">
        <is>
          <t>D613629 Need to qualify MX25L3233FM2I-08G on 17-15753-01</t>
        </is>
      </c>
      <c r="L238" s="43" t="inlineStr">
        <is>
          <t>Implementation</t>
        </is>
      </c>
      <c r="M238" s="43" t="inlineStr">
        <is>
          <t>17-15753-01</t>
        </is>
      </c>
      <c r="N238" s="43" t="inlineStr"/>
      <c r="O238" s="43" t="inlineStr">
        <is>
          <t>2026-12-01</t>
        </is>
      </c>
      <c r="P238" s="33" t="inlineStr">
        <is>
          <t>Engineering Qualification Build (EXTENDABLE 2x);To track an AML qualification build (EXTENDABLE 2x)</t>
        </is>
      </c>
      <c r="Q238" s="43" t="inlineStr">
        <is>
          <t>NA</t>
        </is>
      </c>
      <c r="R238" s="43" t="inlineStr">
        <is>
          <t>2026-09-03</t>
        </is>
      </c>
      <c r="S238" s="43" t="inlineStr">
        <is>
          <t>2026-09-30</t>
        </is>
      </c>
      <c r="T238" s="43" t="inlineStr"/>
      <c r="U238" s="43" t="inlineStr"/>
    </row>
    <row r="239">
      <c r="A239" s="43" t="n">
        <v>239</v>
      </c>
      <c r="B239" s="43" t="inlineStr">
        <is>
          <t>238</t>
        </is>
      </c>
      <c r="C239" s="43" t="inlineStr">
        <is>
          <t>FJZP</t>
        </is>
      </c>
      <c r="D239" s="43" t="inlineStr">
        <is>
          <t>Cisco</t>
        </is>
      </c>
      <c r="E239" s="43" t="inlineStr">
        <is>
          <t>MCGA</t>
        </is>
      </c>
      <c r="F239" s="43" t="inlineStr">
        <is>
          <t>239-CRBU</t>
        </is>
      </c>
      <c r="G239" s="43" t="inlineStr">
        <is>
          <t>CTANJZ05456</t>
        </is>
      </c>
      <c r="H239" s="43" t="inlineStr">
        <is>
          <t>Engineering Qualification Build</t>
        </is>
      </c>
      <c r="I239" s="43" t="inlineStr">
        <is>
          <t>Customer Deviation</t>
        </is>
      </c>
      <c r="J239" s="43" t="inlineStr">
        <is>
          <t>D613567</t>
        </is>
      </c>
      <c r="K239" s="33" t="inlineStr">
        <is>
          <t>D613567 Need to qualify M24C64-RMN6TP on 73-21335-01 for Assy Qual Request # : AQR004744809 Which is a Supplier PCN from M24C64-RMN6TP for PCN TYPE : Process Change on GQR GQR000101798 and AQR AQR004744809</t>
        </is>
      </c>
      <c r="L239" s="43" t="inlineStr">
        <is>
          <t>Implementation</t>
        </is>
      </c>
      <c r="M239" s="43" t="inlineStr">
        <is>
          <t>16-2242-02</t>
        </is>
      </c>
      <c r="N239" s="43" t="inlineStr"/>
      <c r="O239" s="43" t="inlineStr">
        <is>
          <t>2026-12-01</t>
        </is>
      </c>
      <c r="P239" s="33" t="inlineStr">
        <is>
          <t>Engineering Qualification Build (EXTENDABLE 2x);To track an AML qualification build (EXTENDABLE 2x)</t>
        </is>
      </c>
      <c r="Q239" s="43" t="inlineStr">
        <is>
          <t>NA</t>
        </is>
      </c>
      <c r="R239" s="43" t="inlineStr">
        <is>
          <t>2026-09-03</t>
        </is>
      </c>
      <c r="S239" s="43" t="inlineStr">
        <is>
          <t>2026-09-30</t>
        </is>
      </c>
      <c r="T239" s="43" t="inlineStr"/>
      <c r="U239" s="43" t="inlineStr"/>
    </row>
    <row r="240">
      <c r="A240" s="43" t="n">
        <v>240</v>
      </c>
      <c r="B240" s="43" t="inlineStr">
        <is>
          <t>239</t>
        </is>
      </c>
      <c r="C240" s="43" t="inlineStr">
        <is>
          <t>FJZP</t>
        </is>
      </c>
      <c r="D240" s="43" t="inlineStr">
        <is>
          <t>Cisco</t>
        </is>
      </c>
      <c r="E240" s="43" t="inlineStr">
        <is>
          <t>MCGA</t>
        </is>
      </c>
      <c r="F240" s="43" t="inlineStr">
        <is>
          <t>239-CRBU</t>
        </is>
      </c>
      <c r="G240" s="43" t="inlineStr">
        <is>
          <t>CTANJZ05336</t>
        </is>
      </c>
      <c r="H240" s="43" t="inlineStr">
        <is>
          <t>Engineering Qualification Build</t>
        </is>
      </c>
      <c r="I240" s="43" t="inlineStr">
        <is>
          <t>Customer Deviation</t>
        </is>
      </c>
      <c r="J240" s="43" t="inlineStr">
        <is>
          <t>D612122</t>
        </is>
      </c>
      <c r="K240" s="33" t="inlineStr">
        <is>
          <t>D612122 Need to qualify GMLB-201209-0040P-N8CS-RU on 73-102363-05</t>
        </is>
      </c>
      <c r="L240" s="43" t="inlineStr">
        <is>
          <t>Extended</t>
        </is>
      </c>
      <c r="M240" s="43" t="inlineStr">
        <is>
          <t>36-0111-02</t>
        </is>
      </c>
      <c r="N240" s="43" t="inlineStr"/>
      <c r="O240" s="43" t="inlineStr">
        <is>
          <t>2026-12-28</t>
        </is>
      </c>
      <c r="P240" s="33" t="inlineStr">
        <is>
          <t>Engineering Qualification Build (EXTENDABLE 2x);To track an AML qualification build (EXTENDABLE 2x)</t>
        </is>
      </c>
      <c r="Q240" s="43" t="inlineStr">
        <is>
          <t>NA</t>
        </is>
      </c>
      <c r="R240" s="43" t="inlineStr">
        <is>
          <t>2026-07-03</t>
        </is>
      </c>
      <c r="S240" s="43" t="inlineStr">
        <is>
          <t>2026-07-24</t>
        </is>
      </c>
      <c r="T240" s="43" t="inlineStr"/>
      <c r="U240" s="43" t="inlineStr"/>
    </row>
    <row r="241">
      <c r="A241" s="43" t="n">
        <v>241</v>
      </c>
      <c r="B241" s="43" t="inlineStr">
        <is>
          <t>240</t>
        </is>
      </c>
      <c r="C241" s="43" t="inlineStr">
        <is>
          <t>FJZP</t>
        </is>
      </c>
      <c r="D241" s="43" t="inlineStr">
        <is>
          <t>Cisco</t>
        </is>
      </c>
      <c r="E241" s="43" t="inlineStr">
        <is>
          <t>MCGA</t>
        </is>
      </c>
      <c r="F241" s="43" t="inlineStr">
        <is>
          <t>239-CRBU</t>
        </is>
      </c>
      <c r="G241" s="43" t="inlineStr">
        <is>
          <t>CTANJZ05336</t>
        </is>
      </c>
      <c r="H241" s="43" t="inlineStr">
        <is>
          <t>Engineering Qualification Build</t>
        </is>
      </c>
      <c r="I241" s="43" t="inlineStr">
        <is>
          <t>Customer Deviation</t>
        </is>
      </c>
      <c r="J241" s="43" t="inlineStr">
        <is>
          <t>D612122</t>
        </is>
      </c>
      <c r="K241" s="33" t="inlineStr">
        <is>
          <t>D612122 Need to qualify GMLB-201209-0040P-N8CS-RU on 73-102363-05</t>
        </is>
      </c>
      <c r="L241" s="43" t="inlineStr">
        <is>
          <t>Extended</t>
        </is>
      </c>
      <c r="M241" s="43" t="inlineStr">
        <is>
          <t>73-102363-05</t>
        </is>
      </c>
      <c r="N241" s="43" t="inlineStr"/>
      <c r="O241" s="43" t="inlineStr">
        <is>
          <t>2026-12-28</t>
        </is>
      </c>
      <c r="P241" s="33" t="inlineStr">
        <is>
          <t>Engineering Qualification Build (EXTENDABLE 2x);To track an AML qualification build (EXTENDABLE 2x)</t>
        </is>
      </c>
      <c r="Q241" s="43" t="inlineStr">
        <is>
          <t>NA</t>
        </is>
      </c>
      <c r="R241" s="43" t="inlineStr">
        <is>
          <t>2026-07-03</t>
        </is>
      </c>
      <c r="S241" s="43" t="inlineStr">
        <is>
          <t>2026-07-24</t>
        </is>
      </c>
      <c r="T241" s="43" t="inlineStr"/>
      <c r="U241" s="43" t="inlineStr"/>
    </row>
    <row r="242">
      <c r="A242" s="43" t="n">
        <v>242</v>
      </c>
      <c r="B242" s="43" t="inlineStr">
        <is>
          <t>241</t>
        </is>
      </c>
      <c r="C242" s="43" t="inlineStr">
        <is>
          <t>FJZP</t>
        </is>
      </c>
      <c r="D242" s="43" t="inlineStr">
        <is>
          <t>Cisco</t>
        </is>
      </c>
      <c r="E242" s="43" t="inlineStr">
        <is>
          <t>MCGA</t>
        </is>
      </c>
      <c r="F242" s="43" t="inlineStr">
        <is>
          <t>239-CRBU</t>
        </is>
      </c>
      <c r="G242" s="43" t="inlineStr">
        <is>
          <t>CTANJZ05454</t>
        </is>
      </c>
      <c r="H242" s="43" t="inlineStr">
        <is>
          <t>Engineering Qualification Build</t>
        </is>
      </c>
      <c r="I242" s="43" t="inlineStr">
        <is>
          <t>Customer Deviation</t>
        </is>
      </c>
      <c r="J242" s="43" t="inlineStr">
        <is>
          <t>D613632</t>
        </is>
      </c>
      <c r="K242" s="33" t="inlineStr">
        <is>
          <t>D613632 Need to qualify MX25L3233FM2I-08G on 17-102297-01</t>
        </is>
      </c>
      <c r="L242" s="43" t="inlineStr">
        <is>
          <t>Implementation</t>
        </is>
      </c>
      <c r="M242" s="43" t="inlineStr">
        <is>
          <t>16-100239-01</t>
        </is>
      </c>
      <c r="N242" s="43" t="inlineStr"/>
      <c r="O242" s="43" t="inlineStr">
        <is>
          <t>2027-02-28</t>
        </is>
      </c>
      <c r="P242" s="33" t="inlineStr">
        <is>
          <t>Engineering Qualification Build (EXTENDABLE 2x);To track an AML qualification build (EXTENDABLE 2x)</t>
        </is>
      </c>
      <c r="Q242" s="43" t="inlineStr">
        <is>
          <t>NA</t>
        </is>
      </c>
      <c r="R242" s="43" t="inlineStr">
        <is>
          <t>2026-09-03</t>
        </is>
      </c>
      <c r="S242" s="43" t="inlineStr">
        <is>
          <t>2026-09-29</t>
        </is>
      </c>
      <c r="T242" s="43" t="inlineStr"/>
      <c r="U242" s="43" t="inlineStr"/>
    </row>
    <row r="243">
      <c r="A243" s="43" t="n">
        <v>243</v>
      </c>
      <c r="B243" s="43" t="inlineStr">
        <is>
          <t>242</t>
        </is>
      </c>
      <c r="C243" s="43" t="inlineStr">
        <is>
          <t>FJZP</t>
        </is>
      </c>
      <c r="D243" s="43" t="inlineStr">
        <is>
          <t>Cisco</t>
        </is>
      </c>
      <c r="E243" s="43" t="inlineStr">
        <is>
          <t>MCGA</t>
        </is>
      </c>
      <c r="F243" s="43" t="inlineStr">
        <is>
          <t>239-CRBU</t>
        </is>
      </c>
      <c r="G243" s="43" t="inlineStr">
        <is>
          <t>CTANJZ05455</t>
        </is>
      </c>
      <c r="H243" s="43" t="inlineStr">
        <is>
          <t>Engineering Qualification Build</t>
        </is>
      </c>
      <c r="I243" s="43" t="inlineStr">
        <is>
          <t>Customer Deviation</t>
        </is>
      </c>
      <c r="J243" s="43" t="inlineStr">
        <is>
          <t>D613568</t>
        </is>
      </c>
      <c r="K243" s="33" t="inlineStr">
        <is>
          <t>D613568 Need to qualify M24C64-RMN6TP on 73-21633-01 for Assy Qual Request # : AQR004745438 Which is a Supplier PCN from M24C64-RMN6TP for PCN TYPE : Process Change on GQR GQR000101798 and AQR AQR004745438</t>
        </is>
      </c>
      <c r="L243" s="43" t="inlineStr">
        <is>
          <t>Implementation</t>
        </is>
      </c>
      <c r="M243" s="43" t="inlineStr">
        <is>
          <t>16-2242-02</t>
        </is>
      </c>
      <c r="N243" s="43" t="inlineStr"/>
      <c r="O243" s="43" t="inlineStr">
        <is>
          <t>2026-12-01</t>
        </is>
      </c>
      <c r="P243" s="33" t="inlineStr">
        <is>
          <t>Engineering Qualification Build (EXTENDABLE 2x);To track an AML qualification build (EXTENDABLE 2x)</t>
        </is>
      </c>
      <c r="Q243" s="43" t="inlineStr">
        <is>
          <t>NA</t>
        </is>
      </c>
      <c r="R243" s="43" t="inlineStr">
        <is>
          <t>2026-09-03</t>
        </is>
      </c>
      <c r="S243" s="43" t="inlineStr">
        <is>
          <t>2026-09-30</t>
        </is>
      </c>
      <c r="T243" s="43" t="inlineStr"/>
      <c r="U243" s="43" t="inlineStr"/>
    </row>
    <row r="244">
      <c r="A244" s="43" t="n">
        <v>244</v>
      </c>
      <c r="B244" s="43" t="inlineStr">
        <is>
          <t>243</t>
        </is>
      </c>
      <c r="C244" s="43" t="inlineStr">
        <is>
          <t>FJZP</t>
        </is>
      </c>
      <c r="D244" s="43" t="inlineStr">
        <is>
          <t>Cisco</t>
        </is>
      </c>
      <c r="E244" s="43" t="inlineStr">
        <is>
          <t>MCGA</t>
        </is>
      </c>
      <c r="F244" s="43" t="inlineStr">
        <is>
          <t>037-STBU</t>
        </is>
      </c>
      <c r="G244" s="43" t="inlineStr">
        <is>
          <t>CTANJZ05468</t>
        </is>
      </c>
      <c r="H244" s="43" t="inlineStr">
        <is>
          <t>To track an AML qualification build (EXTENDABLE 2x)</t>
        </is>
      </c>
      <c r="I244" s="43" t="inlineStr">
        <is>
          <t>Customer Deviation</t>
        </is>
      </c>
      <c r="J244" s="43" t="inlineStr">
        <is>
          <t>D613858</t>
        </is>
      </c>
      <c r="K244" s="33" t="inlineStr">
        <is>
          <t>D613858 NGFWBU GQR: GQR000101798 Case: AQR004745855 CPN: 16-2242-02 ; MFR NAME: ST MICROELECTRONICS; MPN: M24C64-RMN6TPThis deviation instructs Foxconn Juarez (FJZ) to execute a sample buy and conduct a Production Qual build for the following part(s):BU: NGFWBUPF: CSF6100Affected TAN(s):68-104008-02Affected Item(s): 73-102418-04CPN: 16-2242-02; MFR NAME: ST MICROELECTRONICS; MPN: M24C64-RMN6TPBuild Qty: 3Ref Des: U4To execute the above AQR at CM site; should be tested on Model A.</t>
        </is>
      </c>
      <c r="L244" s="43" t="inlineStr">
        <is>
          <t>Implementation</t>
        </is>
      </c>
      <c r="M244" s="43" t="inlineStr">
        <is>
          <t>16-2242-02</t>
        </is>
      </c>
      <c r="N244" s="43" t="inlineStr"/>
      <c r="O244" s="43" t="inlineStr">
        <is>
          <t>2026-12-08</t>
        </is>
      </c>
      <c r="P244" s="33" t="inlineStr">
        <is>
          <t>To track an AML qualification build (EXTENDABLE 2x);Risk Buy Authorization</t>
        </is>
      </c>
      <c r="Q244" s="43" t="inlineStr">
        <is>
          <t>NA</t>
        </is>
      </c>
      <c r="R244" s="43" t="inlineStr">
        <is>
          <t>2026-09-10</t>
        </is>
      </c>
      <c r="S244" s="43" t="inlineStr">
        <is>
          <t>2026-10-03</t>
        </is>
      </c>
      <c r="T244" s="43" t="inlineStr"/>
      <c r="U244" s="43" t="inlineStr"/>
    </row>
    <row r="245">
      <c r="A245" s="43" t="n">
        <v>245</v>
      </c>
      <c r="B245" s="43" t="inlineStr">
        <is>
          <t>244</t>
        </is>
      </c>
      <c r="C245" s="43" t="inlineStr">
        <is>
          <t>FJZP</t>
        </is>
      </c>
      <c r="D245" s="43" t="inlineStr">
        <is>
          <t>Cisco</t>
        </is>
      </c>
      <c r="E245" s="43" t="inlineStr">
        <is>
          <t>MCGA</t>
        </is>
      </c>
      <c r="F245" s="43" t="inlineStr">
        <is>
          <t>037-STBU</t>
        </is>
      </c>
      <c r="G245" s="43" t="inlineStr">
        <is>
          <t>CTANJZ05468</t>
        </is>
      </c>
      <c r="H245" s="43" t="inlineStr">
        <is>
          <t>To track an AML qualification build (EXTENDABLE 2x)</t>
        </is>
      </c>
      <c r="I245" s="43" t="inlineStr">
        <is>
          <t>Customer Deviation</t>
        </is>
      </c>
      <c r="J245" s="43" t="inlineStr">
        <is>
          <t>D613858</t>
        </is>
      </c>
      <c r="K245" s="33" t="inlineStr">
        <is>
          <t>D613858 NGFWBU GQR: GQR000101798 Case: AQR004745855 CPN: 16-2242-02 ; MFR NAME: ST MICROELECTRONICS; MPN: M24C64-RMN6TPThis deviation instructs Foxconn Juarez (FJZ) to execute a sample buy and conduct a Production Qual build for the following part(s):BU: NGFWBUPF: CSF6100Affected TAN(s):68-104008-02Affected Item(s): 73-102418-04CPN: 16-2242-02; MFR NAME: ST MICROELECTRONICS; MPN: M24C64-RMN6TPBuild Qty: 3Ref Des: U4To execute the above AQR at CM site; should be tested on Model A.</t>
        </is>
      </c>
      <c r="L245" s="43" t="inlineStr">
        <is>
          <t>Implementation</t>
        </is>
      </c>
      <c r="M245" s="43" t="inlineStr">
        <is>
          <t>73-102418-04</t>
        </is>
      </c>
      <c r="N245" s="43" t="inlineStr"/>
      <c r="O245" s="43" t="inlineStr">
        <is>
          <t>2026-12-08</t>
        </is>
      </c>
      <c r="P245" s="33" t="inlineStr">
        <is>
          <t>To track an AML qualification build (EXTENDABLE 2x);Risk Buy Authorization</t>
        </is>
      </c>
      <c r="Q245" s="43" t="inlineStr">
        <is>
          <t>NA</t>
        </is>
      </c>
      <c r="R245" s="43" t="inlineStr">
        <is>
          <t>2026-09-10</t>
        </is>
      </c>
      <c r="S245" s="43" t="inlineStr">
        <is>
          <t>2026-10-03</t>
        </is>
      </c>
      <c r="T245" s="43" t="inlineStr"/>
      <c r="U245" s="43" t="inlineStr"/>
    </row>
    <row r="246">
      <c r="A246" s="43" t="n">
        <v>246</v>
      </c>
      <c r="B246" s="43" t="inlineStr">
        <is>
          <t>245</t>
        </is>
      </c>
      <c r="C246" s="43" t="inlineStr">
        <is>
          <t>FJZP</t>
        </is>
      </c>
      <c r="D246" s="43" t="inlineStr">
        <is>
          <t>Cisco</t>
        </is>
      </c>
      <c r="E246" s="43" t="inlineStr">
        <is>
          <t>MCGA</t>
        </is>
      </c>
      <c r="F246" s="43" t="inlineStr">
        <is>
          <t>037-STBU</t>
        </is>
      </c>
      <c r="G246" s="43" t="inlineStr">
        <is>
          <t>CTANJZ05192</t>
        </is>
      </c>
      <c r="H246" s="43" t="inlineStr">
        <is>
          <t>To track an AML qualification build (EXTENDABLE 2x)</t>
        </is>
      </c>
      <c r="I246" s="43" t="inlineStr">
        <is>
          <t>Customer Deviation</t>
        </is>
      </c>
      <c r="J246" s="43" t="inlineStr">
        <is>
          <t>D610167</t>
        </is>
      </c>
      <c r="K246" s="33" t="inlineStr">
        <is>
          <t>D610167 NGFWBU GQR: GQR000076809 Case: AQR003149309 CPN: 15-110388-01; MFR NAME: MICRON TECHNOLOGY; MPN: MTC10C1084S1TC56BD1This deviation instructs Foxconn Juarez (FJZ) to execute a sample buy and conduct a Production Qual build for the following part(s):BU: NGFWBUPF: CSF1200Affected TAN(s):68-104743-04Affected Item(s): 74-139981-01CPN: 15-110388-01; MFR NAME: MICRON TECHNOLOGY; MPN: MTC10C1084S1TC56BD1Build Qty: 5Ref Des: DIMM_MOD0;DIMM_MOD1To execute the above AQR at CM site; should be tested on Model A.</t>
        </is>
      </c>
      <c r="L246" s="43" t="inlineStr">
        <is>
          <t>Expired</t>
        </is>
      </c>
      <c r="M246" s="43" t="inlineStr">
        <is>
          <t>15-110388-01</t>
        </is>
      </c>
      <c r="N246" s="43" t="inlineStr"/>
      <c r="O246" s="43" t="inlineStr">
        <is>
          <t>2026-07-02</t>
        </is>
      </c>
      <c r="P246" s="33" t="inlineStr">
        <is>
          <t>To track an AML qualification build (EXTENDABLE 2x);Risk Buy Authorization</t>
        </is>
      </c>
      <c r="Q246" s="43" t="inlineStr">
        <is>
          <t>NA</t>
        </is>
      </c>
      <c r="R246" s="43" t="inlineStr">
        <is>
          <t>2026-04-07</t>
        </is>
      </c>
      <c r="S246" s="43" t="inlineStr">
        <is>
          <t>2026-04-24</t>
        </is>
      </c>
      <c r="T246" s="43" t="inlineStr"/>
      <c r="U246" s="43" t="inlineStr"/>
    </row>
    <row r="247">
      <c r="A247" s="43" t="n">
        <v>247</v>
      </c>
      <c r="B247" s="43" t="inlineStr">
        <is>
          <t>246</t>
        </is>
      </c>
      <c r="C247" s="43" t="inlineStr">
        <is>
          <t>FJZP</t>
        </is>
      </c>
      <c r="D247" s="43" t="inlineStr">
        <is>
          <t>Cisco</t>
        </is>
      </c>
      <c r="E247" s="43" t="inlineStr">
        <is>
          <t>MCGA</t>
        </is>
      </c>
      <c r="F247" s="43" t="inlineStr">
        <is>
          <t>037-STBU</t>
        </is>
      </c>
      <c r="G247" s="43" t="inlineStr">
        <is>
          <t>CTANJZ05192</t>
        </is>
      </c>
      <c r="H247" s="43" t="inlineStr">
        <is>
          <t>To track an AML qualification build (EXTENDABLE 2x)</t>
        </is>
      </c>
      <c r="I247" s="43" t="inlineStr">
        <is>
          <t>Customer Deviation</t>
        </is>
      </c>
      <c r="J247" s="43" t="inlineStr">
        <is>
          <t>D610167</t>
        </is>
      </c>
      <c r="K247" s="33" t="inlineStr">
        <is>
          <t>D610167 NGFWBU GQR: GQR000076809 Case: AQR003149309 CPN: 15-110388-01; MFR NAME: MICRON TECHNOLOGY; MPN: MTC10C1084S1TC56BD1This deviation instructs Foxconn Juarez (FJZ) to execute a sample buy and conduct a Production Qual build for the following part(s):BU: NGFWBUPF: CSF1200Affected TAN(s):68-104743-04Affected Item(s): 74-139981-01CPN: 15-110388-01; MFR NAME: MICRON TECHNOLOGY; MPN: MTC10C1084S1TC56BD1Build Qty: 5Ref Des: DIMM_MOD0;DIMM_MOD1To execute the above AQR at CM site; should be tested on Model A.</t>
        </is>
      </c>
      <c r="L247" s="43" t="inlineStr">
        <is>
          <t>Expired</t>
        </is>
      </c>
      <c r="M247" s="43" t="inlineStr">
        <is>
          <t>74-139981-01</t>
        </is>
      </c>
      <c r="N247" s="43" t="inlineStr"/>
      <c r="O247" s="43" t="inlineStr">
        <is>
          <t>2026-07-02</t>
        </is>
      </c>
      <c r="P247" s="33" t="inlineStr">
        <is>
          <t>To track an AML qualification build (EXTENDABLE 2x);Risk Buy Authorization</t>
        </is>
      </c>
      <c r="Q247" s="43" t="inlineStr">
        <is>
          <t>NA</t>
        </is>
      </c>
      <c r="R247" s="43" t="inlineStr">
        <is>
          <t>2026-04-07</t>
        </is>
      </c>
      <c r="S247" s="43" t="inlineStr">
        <is>
          <t>2026-04-24</t>
        </is>
      </c>
      <c r="T247" s="43" t="inlineStr"/>
      <c r="U247" s="43" t="inlineStr"/>
    </row>
    <row r="248">
      <c r="A248" s="43" t="n">
        <v>248</v>
      </c>
      <c r="B248" s="43" t="inlineStr">
        <is>
          <t>247</t>
        </is>
      </c>
      <c r="C248" s="43" t="inlineStr">
        <is>
          <t>FJZP</t>
        </is>
      </c>
      <c r="D248" s="43" t="inlineStr">
        <is>
          <t>Cisco</t>
        </is>
      </c>
      <c r="E248" s="43" t="inlineStr">
        <is>
          <t>MCGA</t>
        </is>
      </c>
      <c r="F248" s="43" t="inlineStr">
        <is>
          <t>239-CRBU</t>
        </is>
      </c>
      <c r="G248" s="43" t="inlineStr">
        <is>
          <t>CTANJZ05333</t>
        </is>
      </c>
      <c r="H248" s="43" t="inlineStr">
        <is>
          <t>New Release</t>
        </is>
      </c>
      <c r="I248" s="43" t="inlineStr">
        <is>
          <t>Customer Deviation</t>
        </is>
      </c>
      <c r="J248" s="43" t="inlineStr">
        <is>
          <t>D611891</t>
        </is>
      </c>
      <c r="K248" s="33" t="inlineStr">
        <is>
          <t>D611891 Need to qualify JP30150011 on 73-20922-04 for Assy Qual Request # : AQR003727879 Which is a Supplier PCN from JP30150011 for PCN TYPE : Site Move on GQR GQR000091465 and AQR AQR003727879</t>
        </is>
      </c>
      <c r="L248" s="43" t="inlineStr">
        <is>
          <t>Expired</t>
        </is>
      </c>
      <c r="M248" s="43" t="inlineStr">
        <is>
          <t>73-20922-04</t>
        </is>
      </c>
      <c r="N248" s="43" t="inlineStr"/>
      <c r="O248" s="43" t="inlineStr">
        <is>
          <t>2026-09-28</t>
        </is>
      </c>
      <c r="P248" s="33" t="inlineStr">
        <is>
          <t>Engineering Qualification Build (EXTENDABLE 2x);To track an AML qualification build (EXTENDABLE 2x)</t>
        </is>
      </c>
      <c r="Q248" s="43" t="inlineStr">
        <is>
          <t>Cookie deviation # on units</t>
        </is>
      </c>
      <c r="R248" s="43" t="inlineStr">
        <is>
          <t>2026-07-02</t>
        </is>
      </c>
      <c r="S248" s="43" t="inlineStr"/>
      <c r="T248" s="43" t="inlineStr"/>
      <c r="U248" s="43" t="inlineStr"/>
    </row>
    <row r="249">
      <c r="A249" s="43" t="n">
        <v>249</v>
      </c>
      <c r="B249" s="43" t="inlineStr">
        <is>
          <t>248</t>
        </is>
      </c>
      <c r="C249" s="43" t="inlineStr">
        <is>
          <t>FJZP</t>
        </is>
      </c>
      <c r="D249" s="43" t="inlineStr">
        <is>
          <t>Cisco</t>
        </is>
      </c>
      <c r="E249" s="43" t="inlineStr">
        <is>
          <t>MCGA</t>
        </is>
      </c>
      <c r="F249" s="43" t="inlineStr">
        <is>
          <t>035-CVEBU</t>
        </is>
      </c>
      <c r="G249" s="43" t="inlineStr">
        <is>
          <t>CTANJZ05202</t>
        </is>
      </c>
      <c r="H249" s="43" t="inlineStr">
        <is>
          <t>New Release</t>
        </is>
      </c>
      <c r="I249" s="43" t="inlineStr">
        <is>
          <t>Customer Deviation</t>
        </is>
      </c>
      <c r="J249" s="43" t="inlineStr">
        <is>
          <t>D610693</t>
        </is>
      </c>
      <c r="K249" s="33" t="inlineStr">
        <is>
          <t>D610693 CVEBU; Heimdall. 2nd source qualification for PCBs for NDAA compliance. FOXCONN JUAREZ shall build and test up to TAN level 68-104607-01 or similar  PCB            -                MPN 28-103261-05 - 28-103261-05_S603_M604 (VICTORY GIANT TH)   Control builds for Heimdall PCB. ORT is mandatory to be used for this qualification.  Note: Please provide build schedule and follow up FJZ tracker details.  Note: MOQ quantities will be negotiated with supplier; PO placed by FJZ.  Note: Build all boards into units.  Contact Cisco: Jose Barraza and Jarle Aasland Contact FJZ: Cristina Cano</t>
        </is>
      </c>
      <c r="L249" s="43" t="inlineStr">
        <is>
          <t>Expired</t>
        </is>
      </c>
      <c r="M249" s="43" t="inlineStr">
        <is>
          <t>28-103261-05</t>
        </is>
      </c>
      <c r="N249" s="43" t="inlineStr"/>
      <c r="O249" s="43" t="inlineStr">
        <is>
          <t>2026-07-07</t>
        </is>
      </c>
      <c r="P249" s="33" t="inlineStr">
        <is>
          <t>To track an AML qualification build (EXTENDABLE 2x)</t>
        </is>
      </c>
      <c r="Q249" s="43" t="inlineStr">
        <is>
          <t>Mark units with this deviation # clearly visible on unit</t>
        </is>
      </c>
      <c r="R249" s="43" t="inlineStr">
        <is>
          <t>2026-04-10</t>
        </is>
      </c>
      <c r="S249" s="43" t="inlineStr">
        <is>
          <t>2026-04-24</t>
        </is>
      </c>
      <c r="T249" s="43" t="inlineStr"/>
      <c r="U249" s="43" t="inlineStr"/>
    </row>
    <row r="250">
      <c r="A250" s="43" t="n">
        <v>250</v>
      </c>
      <c r="B250" s="43" t="inlineStr">
        <is>
          <t>249</t>
        </is>
      </c>
      <c r="C250" s="43" t="inlineStr">
        <is>
          <t>FJZP</t>
        </is>
      </c>
      <c r="D250" s="43" t="inlineStr">
        <is>
          <t>Cisco</t>
        </is>
      </c>
      <c r="E250" s="43" t="inlineStr">
        <is>
          <t>MCGA</t>
        </is>
      </c>
      <c r="F250" s="43" t="inlineStr">
        <is>
          <t>035-CVEBU</t>
        </is>
      </c>
      <c r="G250" s="43" t="inlineStr">
        <is>
          <t>CTANJZ05202</t>
        </is>
      </c>
      <c r="H250" s="43" t="inlineStr">
        <is>
          <t>New Release</t>
        </is>
      </c>
      <c r="I250" s="43" t="inlineStr">
        <is>
          <t>Customer Deviation</t>
        </is>
      </c>
      <c r="J250" s="43" t="inlineStr">
        <is>
          <t>D610693</t>
        </is>
      </c>
      <c r="K250" s="33" t="inlineStr">
        <is>
          <t>D610693 CVEBU; Heimdall. 2nd source qualification for PCBs for NDAA compliance. FOXCONN JUAREZ shall build and test up to TAN level 68-104607-01 or similar  PCB            -                MPN 28-103261-05 - 28-103261-05_S603_M604 (VICTORY GIANT TH)   Control builds for Heimdall PCB. ORT is mandatory to be used for this qualification.  Note: Please provide build schedule and follow up FJZ tracker details.  Note: MOQ quantities will be negotiated with supplier; PO placed by FJZ.  Note: Build all boards into units.  Contact Cisco: Jose Barraza and Jarle Aasland Contact FJZ: Cristina Cano</t>
        </is>
      </c>
      <c r="L250" s="43" t="inlineStr">
        <is>
          <t>Expired</t>
        </is>
      </c>
      <c r="M250" s="43" t="inlineStr">
        <is>
          <t>68-104607-01</t>
        </is>
      </c>
      <c r="N250" s="43" t="inlineStr"/>
      <c r="O250" s="43" t="inlineStr">
        <is>
          <t>2026-07-07</t>
        </is>
      </c>
      <c r="P250" s="33" t="inlineStr">
        <is>
          <t>To track an AML qualification build (EXTENDABLE 2x)</t>
        </is>
      </c>
      <c r="Q250" s="43" t="inlineStr">
        <is>
          <t>Mark units with this deviation # clearly visible on unit</t>
        </is>
      </c>
      <c r="R250" s="43" t="inlineStr">
        <is>
          <t>2026-04-10</t>
        </is>
      </c>
      <c r="S250" s="43" t="inlineStr">
        <is>
          <t>2026-04-24</t>
        </is>
      </c>
      <c r="T250" s="43" t="inlineStr"/>
      <c r="U250" s="43" t="inlineStr"/>
    </row>
    <row r="251">
      <c r="A251" s="43" t="n">
        <v>251</v>
      </c>
      <c r="B251" s="43" t="inlineStr">
        <is>
          <t>250</t>
        </is>
      </c>
      <c r="C251" s="43" t="inlineStr">
        <is>
          <t>FJZP</t>
        </is>
      </c>
      <c r="D251" s="43" t="inlineStr">
        <is>
          <t>Cisco</t>
        </is>
      </c>
      <c r="E251" s="43" t="inlineStr">
        <is>
          <t>MCGA</t>
        </is>
      </c>
      <c r="F251" s="43" t="inlineStr">
        <is>
          <t>239-CRBU</t>
        </is>
      </c>
      <c r="G251" s="43" t="inlineStr">
        <is>
          <t>CTANJZ05314</t>
        </is>
      </c>
      <c r="H251" s="43" t="inlineStr">
        <is>
          <t>Engineering Qualification Build</t>
        </is>
      </c>
      <c r="I251" s="43" t="inlineStr">
        <is>
          <t>Customer Deviation</t>
        </is>
      </c>
      <c r="J251" s="43" t="inlineStr">
        <is>
          <t>D612107</t>
        </is>
      </c>
      <c r="K251" s="33" t="inlineStr">
        <is>
          <t>D612107 Need to qualify 74AVC2T45FK;LCF(GT on 73-20922-04</t>
        </is>
      </c>
      <c r="L251" s="43" t="inlineStr">
        <is>
          <t>Expired</t>
        </is>
      </c>
      <c r="M251" s="43" t="inlineStr">
        <is>
          <t>15-105357-01</t>
        </is>
      </c>
      <c r="N251" s="43" t="inlineStr"/>
      <c r="O251" s="43" t="inlineStr">
        <is>
          <t>2026-09-22</t>
        </is>
      </c>
      <c r="P251" s="33" t="inlineStr">
        <is>
          <t>Engineering Qualification Build (EXTENDABLE 2x);To track an AML qualification build (EXTENDABLE 2x)</t>
        </is>
      </c>
      <c r="Q251" s="43" t="inlineStr">
        <is>
          <t>NA</t>
        </is>
      </c>
      <c r="R251" s="43" t="inlineStr">
        <is>
          <t>2026-06-25</t>
        </is>
      </c>
      <c r="S251" s="43" t="inlineStr">
        <is>
          <t>2026-07-15</t>
        </is>
      </c>
      <c r="T251" s="43" t="inlineStr"/>
      <c r="U251" s="43" t="inlineStr"/>
    </row>
    <row r="252">
      <c r="A252" s="43" t="n">
        <v>252</v>
      </c>
      <c r="B252" s="43" t="inlineStr">
        <is>
          <t>251</t>
        </is>
      </c>
      <c r="C252" s="43" t="inlineStr">
        <is>
          <t>FJZP</t>
        </is>
      </c>
      <c r="D252" s="43" t="inlineStr">
        <is>
          <t>Cisco</t>
        </is>
      </c>
      <c r="E252" s="43" t="inlineStr">
        <is>
          <t>MCGA</t>
        </is>
      </c>
      <c r="F252" s="43" t="inlineStr">
        <is>
          <t>239-CRBU</t>
        </is>
      </c>
      <c r="G252" s="43" t="inlineStr">
        <is>
          <t>CTANJZ05502</t>
        </is>
      </c>
      <c r="H252" s="43" t="inlineStr">
        <is>
          <t>New Release</t>
        </is>
      </c>
      <c r="I252" s="43" t="inlineStr">
        <is>
          <t>Customer Deviation</t>
        </is>
      </c>
      <c r="J252" s="43" t="inlineStr">
        <is>
          <t>D613744</t>
        </is>
      </c>
      <c r="K252" s="33" t="inlineStr">
        <is>
          <t>D613744 Need to qualify MBP21K400-15R045C on 73-21335-01</t>
        </is>
      </c>
      <c r="L252" s="43" t="inlineStr">
        <is>
          <t>Pending</t>
        </is>
      </c>
      <c r="M252" s="43" t="inlineStr">
        <is>
          <t>73-21335-01</t>
        </is>
      </c>
      <c r="N252" s="43" t="inlineStr"/>
      <c r="O252" s="43" t="inlineStr">
        <is>
          <t>2026-12-20</t>
        </is>
      </c>
      <c r="P252" s="33" t="inlineStr">
        <is>
          <t>Engineering Qualification Build (EXTENDABLE 2x);To track an AML qualification build (EXTENDABLE 2x)</t>
        </is>
      </c>
      <c r="Q252" s="43" t="inlineStr">
        <is>
          <t>NA</t>
        </is>
      </c>
      <c r="R252" s="43" t="inlineStr">
        <is>
          <t>2026-09-22</t>
        </is>
      </c>
      <c r="S252" s="43" t="inlineStr"/>
      <c r="T252" s="43" t="inlineStr"/>
      <c r="U252" s="43" t="inlineStr"/>
    </row>
    <row r="253">
      <c r="A253" s="43" t="n">
        <v>253</v>
      </c>
      <c r="B253" s="43" t="inlineStr">
        <is>
          <t>252</t>
        </is>
      </c>
      <c r="C253" s="43" t="inlineStr">
        <is>
          <t>FJZP</t>
        </is>
      </c>
      <c r="D253" s="43" t="inlineStr">
        <is>
          <t>Cisco</t>
        </is>
      </c>
      <c r="E253" s="43" t="inlineStr">
        <is>
          <t>MCGA</t>
        </is>
      </c>
      <c r="F253" s="43" t="inlineStr">
        <is>
          <t>239-CRBU</t>
        </is>
      </c>
      <c r="G253" s="43" t="inlineStr">
        <is>
          <t>CTANJZ05500</t>
        </is>
      </c>
      <c r="H253" s="43" t="inlineStr">
        <is>
          <t>New Release</t>
        </is>
      </c>
      <c r="I253" s="43" t="inlineStr">
        <is>
          <t>Customer Deviation</t>
        </is>
      </c>
      <c r="J253" s="43" t="inlineStr">
        <is>
          <t>D612993</t>
        </is>
      </c>
      <c r="K253" s="33" t="inlineStr">
        <is>
          <t>D612993 Need to qualify ISC019N03L5S on 73-102362-07</t>
        </is>
      </c>
      <c r="L253" s="43" t="inlineStr">
        <is>
          <t>Pending</t>
        </is>
      </c>
      <c r="M253" s="43" t="inlineStr">
        <is>
          <t>73-102362-07</t>
        </is>
      </c>
      <c r="N253" s="43" t="inlineStr"/>
      <c r="O253" s="43" t="inlineStr">
        <is>
          <t>2026-12-19</t>
        </is>
      </c>
      <c r="P253" s="33" t="inlineStr">
        <is>
          <t>Engineering Qualification Build (EXTENDABLE 2x);To track an AML qualification build (EXTENDABLE 2x)</t>
        </is>
      </c>
      <c r="Q253" s="43" t="inlineStr">
        <is>
          <t>NA</t>
        </is>
      </c>
      <c r="R253" s="43" t="inlineStr">
        <is>
          <t>2026-09-22</t>
        </is>
      </c>
      <c r="S253" s="43" t="inlineStr"/>
      <c r="T253" s="43" t="inlineStr"/>
      <c r="U253" s="43" t="inlineStr"/>
    </row>
    <row r="254">
      <c r="A254" s="43" t="n">
        <v>254</v>
      </c>
      <c r="B254" s="43" t="inlineStr">
        <is>
          <t>253</t>
        </is>
      </c>
      <c r="C254" s="43" t="inlineStr">
        <is>
          <t>FJZP</t>
        </is>
      </c>
      <c r="D254" s="43" t="inlineStr">
        <is>
          <t>Cisco</t>
        </is>
      </c>
      <c r="E254" s="43" t="inlineStr">
        <is>
          <t>MCGA</t>
        </is>
      </c>
      <c r="F254" s="43" t="inlineStr">
        <is>
          <t>239-CRBU</t>
        </is>
      </c>
      <c r="G254" s="43" t="inlineStr">
        <is>
          <t>CTANJZ05351</t>
        </is>
      </c>
      <c r="H254" s="43" t="inlineStr">
        <is>
          <t>Engineering Qualification Build</t>
        </is>
      </c>
      <c r="I254" s="43" t="inlineStr">
        <is>
          <t>Customer Deviation</t>
        </is>
      </c>
      <c r="J254" s="43" t="inlineStr">
        <is>
          <t>D612083</t>
        </is>
      </c>
      <c r="K254" s="33" t="inlineStr">
        <is>
          <t>D612083 Need to qualify MBP18ZP331-15C on 73-102363-05</t>
        </is>
      </c>
      <c r="L254" s="43" t="inlineStr">
        <is>
          <t>Extended</t>
        </is>
      </c>
      <c r="M254" s="43" t="inlineStr">
        <is>
          <t>36-0307-01</t>
        </is>
      </c>
      <c r="N254" s="43" t="inlineStr"/>
      <c r="O254" s="43" t="inlineStr">
        <is>
          <t>2027-01-03</t>
        </is>
      </c>
      <c r="P254" s="33" t="inlineStr">
        <is>
          <t>Engineering Qualification Build (EXTENDABLE 2x);To track an AML qualification build (EXTENDABLE 2x)</t>
        </is>
      </c>
      <c r="Q254" s="43" t="inlineStr">
        <is>
          <t>Cookie deviation # on units</t>
        </is>
      </c>
      <c r="R254" s="43" t="inlineStr">
        <is>
          <t>2026-07-10</t>
        </is>
      </c>
      <c r="S254" s="43" t="inlineStr">
        <is>
          <t>2026-07-24</t>
        </is>
      </c>
      <c r="T254" s="43" t="inlineStr"/>
      <c r="U254" s="43" t="inlineStr"/>
    </row>
    <row r="255">
      <c r="A255" s="43" t="n">
        <v>255</v>
      </c>
      <c r="B255" s="43" t="inlineStr">
        <is>
          <t>254</t>
        </is>
      </c>
      <c r="C255" s="43" t="inlineStr">
        <is>
          <t>FJZP</t>
        </is>
      </c>
      <c r="D255" s="43" t="inlineStr">
        <is>
          <t>Cisco</t>
        </is>
      </c>
      <c r="E255" s="43" t="inlineStr">
        <is>
          <t>MCGA</t>
        </is>
      </c>
      <c r="F255" s="43" t="inlineStr">
        <is>
          <t>239-CRBU</t>
        </is>
      </c>
      <c r="G255" s="43" t="inlineStr">
        <is>
          <t>CTANJZ05351</t>
        </is>
      </c>
      <c r="H255" s="43" t="inlineStr">
        <is>
          <t>Engineering Qualification Build</t>
        </is>
      </c>
      <c r="I255" s="43" t="inlineStr">
        <is>
          <t>Customer Deviation</t>
        </is>
      </c>
      <c r="J255" s="43" t="inlineStr">
        <is>
          <t>D612083</t>
        </is>
      </c>
      <c r="K255" s="33" t="inlineStr">
        <is>
          <t>D612083 Need to qualify MBP18ZP331-15C on 73-102363-05</t>
        </is>
      </c>
      <c r="L255" s="43" t="inlineStr">
        <is>
          <t>Extended</t>
        </is>
      </c>
      <c r="M255" s="43" t="inlineStr">
        <is>
          <t>73-102363-05</t>
        </is>
      </c>
      <c r="N255" s="43" t="inlineStr"/>
      <c r="O255" s="43" t="inlineStr">
        <is>
          <t>2027-01-03</t>
        </is>
      </c>
      <c r="P255" s="33" t="inlineStr">
        <is>
          <t>Engineering Qualification Build (EXTENDABLE 2x);To track an AML qualification build (EXTENDABLE 2x)</t>
        </is>
      </c>
      <c r="Q255" s="43" t="inlineStr">
        <is>
          <t>Cookie deviation # on units</t>
        </is>
      </c>
      <c r="R255" s="43" t="inlineStr">
        <is>
          <t>2026-07-10</t>
        </is>
      </c>
      <c r="S255" s="43" t="inlineStr">
        <is>
          <t>2026-07-24</t>
        </is>
      </c>
      <c r="T255" s="43" t="inlineStr"/>
      <c r="U255" s="43" t="inlineStr"/>
    </row>
    <row r="256">
      <c r="A256" s="43" t="n">
        <v>256</v>
      </c>
      <c r="B256" s="43" t="inlineStr">
        <is>
          <t>255</t>
        </is>
      </c>
      <c r="C256" s="43" t="inlineStr">
        <is>
          <t>FJZP</t>
        </is>
      </c>
      <c r="D256" s="43" t="inlineStr">
        <is>
          <t>Cisco</t>
        </is>
      </c>
      <c r="E256" s="43" t="inlineStr">
        <is>
          <t>MCGA</t>
        </is>
      </c>
      <c r="F256" s="43" t="inlineStr">
        <is>
          <t>239-CRBU</t>
        </is>
      </c>
      <c r="G256" s="43" t="inlineStr">
        <is>
          <t>CTANJZ05352</t>
        </is>
      </c>
      <c r="H256" s="43" t="inlineStr">
        <is>
          <t>Engineering Qualification Build</t>
        </is>
      </c>
      <c r="I256" s="43" t="inlineStr">
        <is>
          <t>Customer Deviation</t>
        </is>
      </c>
      <c r="J256" s="43" t="inlineStr">
        <is>
          <t>D611822</t>
        </is>
      </c>
      <c r="K256" s="33" t="inlineStr">
        <is>
          <t>D611822 Need to qualify 102-906-16 on 73-102363-05 for Assy Qual Request # : AQR003710154 Which is a Supplier PCN from 102-906-16 for PCN TYPE : Site Move on GQR GQR000091117 and AQR AQR003710154</t>
        </is>
      </c>
      <c r="L256" s="43" t="inlineStr">
        <is>
          <t>Extended</t>
        </is>
      </c>
      <c r="M256" s="43" t="inlineStr">
        <is>
          <t>29-6175-01</t>
        </is>
      </c>
      <c r="N256" s="43" t="inlineStr"/>
      <c r="O256" s="43" t="inlineStr">
        <is>
          <t>2027-01-03</t>
        </is>
      </c>
      <c r="P256" s="33" t="inlineStr">
        <is>
          <t>Engineering Qualification Build (EXTENDABLE 2x);To track an AML qualification build (EXTENDABLE 2x)</t>
        </is>
      </c>
      <c r="Q256" s="43" t="inlineStr">
        <is>
          <t>NA</t>
        </is>
      </c>
      <c r="R256" s="43" t="inlineStr">
        <is>
          <t>2026-07-10</t>
        </is>
      </c>
      <c r="S256" s="43" t="inlineStr">
        <is>
          <t>2026-07-24</t>
        </is>
      </c>
      <c r="T256" s="43" t="inlineStr"/>
      <c r="U256" s="43" t="inlineStr"/>
    </row>
    <row r="257">
      <c r="A257" s="43" t="n">
        <v>257</v>
      </c>
      <c r="B257" s="43" t="inlineStr">
        <is>
          <t>256</t>
        </is>
      </c>
      <c r="C257" s="43" t="inlineStr">
        <is>
          <t>FJZP</t>
        </is>
      </c>
      <c r="D257" s="43" t="inlineStr">
        <is>
          <t>Cisco</t>
        </is>
      </c>
      <c r="E257" s="43" t="inlineStr">
        <is>
          <t>MCGA</t>
        </is>
      </c>
      <c r="F257" s="43" t="inlineStr">
        <is>
          <t>239-CRBU</t>
        </is>
      </c>
      <c r="G257" s="43" t="inlineStr">
        <is>
          <t>CTANJZ05352</t>
        </is>
      </c>
      <c r="H257" s="43" t="inlineStr">
        <is>
          <t>Engineering Qualification Build</t>
        </is>
      </c>
      <c r="I257" s="43" t="inlineStr">
        <is>
          <t>Customer Deviation</t>
        </is>
      </c>
      <c r="J257" s="43" t="inlineStr">
        <is>
          <t>D611822</t>
        </is>
      </c>
      <c r="K257" s="33" t="inlineStr">
        <is>
          <t>D611822 Need to qualify 102-906-16 on 73-102363-05 for Assy Qual Request # : AQR003710154 Which is a Supplier PCN from 102-906-16 for PCN TYPE : Site Move on GQR GQR000091117 and AQR AQR003710154</t>
        </is>
      </c>
      <c r="L257" s="43" t="inlineStr">
        <is>
          <t>Extended</t>
        </is>
      </c>
      <c r="M257" s="43" t="inlineStr">
        <is>
          <t>73-102363-05</t>
        </is>
      </c>
      <c r="N257" s="43" t="inlineStr"/>
      <c r="O257" s="43" t="inlineStr">
        <is>
          <t>2027-01-03</t>
        </is>
      </c>
      <c r="P257" s="33" t="inlineStr">
        <is>
          <t>Engineering Qualification Build (EXTENDABLE 2x);To track an AML qualification build (EXTENDABLE 2x)</t>
        </is>
      </c>
      <c r="Q257" s="43" t="inlineStr">
        <is>
          <t>NA</t>
        </is>
      </c>
      <c r="R257" s="43" t="inlineStr">
        <is>
          <t>2026-07-10</t>
        </is>
      </c>
      <c r="S257" s="43" t="inlineStr">
        <is>
          <t>2026-07-24</t>
        </is>
      </c>
      <c r="T257" s="43" t="inlineStr"/>
      <c r="U257" s="43" t="inlineStr"/>
    </row>
    <row r="258">
      <c r="A258" s="43" t="n">
        <v>258</v>
      </c>
      <c r="B258" s="43" t="inlineStr">
        <is>
          <t>257</t>
        </is>
      </c>
      <c r="C258" s="43" t="inlineStr">
        <is>
          <t>FJZP</t>
        </is>
      </c>
      <c r="D258" s="43" t="inlineStr">
        <is>
          <t>Cisco</t>
        </is>
      </c>
      <c r="E258" s="43" t="inlineStr">
        <is>
          <t>MCGA</t>
        </is>
      </c>
      <c r="F258" s="43" t="inlineStr">
        <is>
          <t>037-STBU</t>
        </is>
      </c>
      <c r="G258" s="43" t="inlineStr">
        <is>
          <t>CTANJZ05470</t>
        </is>
      </c>
      <c r="H258" s="43" t="inlineStr">
        <is>
          <t>To track an AML qualification build (EXTENDABLE 2x)</t>
        </is>
      </c>
      <c r="I258" s="43" t="inlineStr">
        <is>
          <t>Customer Deviation</t>
        </is>
      </c>
      <c r="J258" s="43" t="inlineStr">
        <is>
          <t>D613859</t>
        </is>
      </c>
      <c r="K258" s="33" t="inlineStr">
        <is>
          <t>D613859 NGFWBU GQR: GQR000098291 Case: AQR004634224 CPN: 17-16164-01; MFR NAME: SKYWORKS SOLUTIONS; MPN: SI5394M-A12706-GMThis deviation instructs Foxconn Juarez (FJZ) to execute a sample buy and conduct a Production Qual build for the following part(s):BU: NGFWBUPF: CSF4200Affected TAN(s):68-104010-02Affected Item(s): 73-102482-02CPN: 17-16164-01; MFR NAME: SKYWORKS SOLUTIONS; MPN: SI5394M-A12706-GMBuild Qty: 3Ref Des: U65</t>
        </is>
      </c>
      <c r="L258" s="43" t="inlineStr">
        <is>
          <t>Implementation</t>
        </is>
      </c>
      <c r="M258" s="43" t="inlineStr">
        <is>
          <t>17-16164-01</t>
        </is>
      </c>
      <c r="N258" s="43" t="inlineStr"/>
      <c r="O258" s="43" t="inlineStr">
        <is>
          <t>2026-12-08</t>
        </is>
      </c>
      <c r="P258" s="33" t="inlineStr">
        <is>
          <t>To track an AML qualification build (EXTENDABLE 2x);Risk Buy Authorization</t>
        </is>
      </c>
      <c r="Q258" s="43" t="inlineStr">
        <is>
          <t>NA</t>
        </is>
      </c>
      <c r="R258" s="43" t="inlineStr">
        <is>
          <t>2026-09-10</t>
        </is>
      </c>
      <c r="S258" s="43" t="inlineStr">
        <is>
          <t>2026-10-09</t>
        </is>
      </c>
      <c r="T258" s="43" t="inlineStr"/>
      <c r="U258" s="43" t="inlineStr"/>
    </row>
    <row r="259">
      <c r="A259" s="43" t="n">
        <v>259</v>
      </c>
      <c r="B259" s="43" t="inlineStr">
        <is>
          <t>258</t>
        </is>
      </c>
      <c r="C259" s="43" t="inlineStr">
        <is>
          <t>FJZP</t>
        </is>
      </c>
      <c r="D259" s="43" t="inlineStr">
        <is>
          <t>Cisco</t>
        </is>
      </c>
      <c r="E259" s="43" t="inlineStr">
        <is>
          <t>MCGA</t>
        </is>
      </c>
      <c r="F259" s="43" t="inlineStr">
        <is>
          <t>037-STBU</t>
        </is>
      </c>
      <c r="G259" s="43" t="inlineStr">
        <is>
          <t>CTANJZ05470</t>
        </is>
      </c>
      <c r="H259" s="43" t="inlineStr">
        <is>
          <t>To track an AML qualification build (EXTENDABLE 2x)</t>
        </is>
      </c>
      <c r="I259" s="43" t="inlineStr">
        <is>
          <t>Customer Deviation</t>
        </is>
      </c>
      <c r="J259" s="43" t="inlineStr">
        <is>
          <t>D613859</t>
        </is>
      </c>
      <c r="K259" s="33" t="inlineStr">
        <is>
          <t>D613859 NGFWBU GQR: GQR000098291 Case: AQR004634224 CPN: 17-16164-01; MFR NAME: SKYWORKS SOLUTIONS; MPN: SI5394M-A12706-GMThis deviation instructs Foxconn Juarez (FJZ) to execute a sample buy and conduct a Production Qual build for the following part(s):BU: NGFWBUPF: CSF4200Affected TAN(s):68-104010-02Affected Item(s): 73-102482-02CPN: 17-16164-01; MFR NAME: SKYWORKS SOLUTIONS; MPN: SI5394M-A12706-GMBuild Qty: 3Ref Des: U65</t>
        </is>
      </c>
      <c r="L259" s="43" t="inlineStr">
        <is>
          <t>Implementation</t>
        </is>
      </c>
      <c r="M259" s="43" t="inlineStr">
        <is>
          <t>73-102482-02</t>
        </is>
      </c>
      <c r="N259" s="43" t="inlineStr"/>
      <c r="O259" s="43" t="inlineStr">
        <is>
          <t>2026-12-08</t>
        </is>
      </c>
      <c r="P259" s="33" t="inlineStr">
        <is>
          <t>To track an AML qualification build (EXTENDABLE 2x);Risk Buy Authorization</t>
        </is>
      </c>
      <c r="Q259" s="43" t="inlineStr">
        <is>
          <t>NA</t>
        </is>
      </c>
      <c r="R259" s="43" t="inlineStr">
        <is>
          <t>2026-09-10</t>
        </is>
      </c>
      <c r="S259" s="43" t="inlineStr">
        <is>
          <t>2026-10-09</t>
        </is>
      </c>
      <c r="T259" s="43" t="inlineStr"/>
      <c r="U259" s="43" t="inlineStr"/>
    </row>
    <row r="260">
      <c r="A260" s="43" t="n">
        <v>260</v>
      </c>
      <c r="B260" s="43" t="inlineStr">
        <is>
          <t>259</t>
        </is>
      </c>
      <c r="C260" s="43" t="inlineStr">
        <is>
          <t>FJZP</t>
        </is>
      </c>
      <c r="D260" s="43" t="inlineStr">
        <is>
          <t>Cisco</t>
        </is>
      </c>
      <c r="E260" s="43" t="inlineStr">
        <is>
          <t>MCGA</t>
        </is>
      </c>
      <c r="F260" s="43" t="inlineStr">
        <is>
          <t>037-STBU</t>
        </is>
      </c>
      <c r="G260" s="43" t="inlineStr">
        <is>
          <t>CTANJZ05439</t>
        </is>
      </c>
      <c r="H260" s="43" t="inlineStr">
        <is>
          <t>To track an AML qualification build (EXTENDABLE 2x)</t>
        </is>
      </c>
      <c r="I260" s="43" t="inlineStr">
        <is>
          <t>Customer Deviation</t>
        </is>
      </c>
      <c r="J260" s="43" t="inlineStr">
        <is>
          <t>D613561</t>
        </is>
      </c>
      <c r="K260" s="33" t="inlineStr">
        <is>
          <t>D613561 NGFWBU GQR: GQR000101110 Case: AQR004707739 CPN: 36-0148-02 ; MFR NAME: MAG LAYERS; MPN: BBPYCS160808601Y00This deviation instructs Foxconn Juarez (FJZ) to execute a sample buy and conduct a Production Qual build for the following part(s):BU: NGFWBUPF: F1KLOWAffected TAN(s):68-6432-03Affected Item(s): 73-18489-08CPN: 36-0148-02; MFR NAME: MAG LAYERS; MPN: BBPYCS160808601Y00Build Qty: 5Ref Des: L35;L36;L37;L40;L41;L42;L43;L44;L1_C;L2_C;L3_C;L4_CTo execute the above AQR at CM site; should be tested on Model A.</t>
        </is>
      </c>
      <c r="L260" s="43" t="inlineStr">
        <is>
          <t>Implementation</t>
        </is>
      </c>
      <c r="M260" s="43" t="inlineStr">
        <is>
          <t>36-0148-02</t>
        </is>
      </c>
      <c r="N260" s="43" t="inlineStr"/>
      <c r="O260" s="43" t="inlineStr">
        <is>
          <t>2026-11-24</t>
        </is>
      </c>
      <c r="P260" s="33" t="inlineStr">
        <is>
          <t>To track an AML qualification build (EXTENDABLE 2x);Risk Buy Authorization</t>
        </is>
      </c>
      <c r="Q260" s="43" t="inlineStr">
        <is>
          <t>NA</t>
        </is>
      </c>
      <c r="R260" s="43" t="inlineStr">
        <is>
          <t>2026-08-27</t>
        </is>
      </c>
      <c r="S260" s="43" t="inlineStr">
        <is>
          <t>2026-09-22</t>
        </is>
      </c>
      <c r="T260" s="43" t="inlineStr"/>
      <c r="U260" s="43" t="inlineStr"/>
    </row>
    <row r="261">
      <c r="A261" s="43" t="n">
        <v>261</v>
      </c>
      <c r="B261" s="43" t="inlineStr">
        <is>
          <t>260</t>
        </is>
      </c>
      <c r="C261" s="43" t="inlineStr">
        <is>
          <t>FJZP</t>
        </is>
      </c>
      <c r="D261" s="43" t="inlineStr">
        <is>
          <t>Cisco</t>
        </is>
      </c>
      <c r="E261" s="43" t="inlineStr">
        <is>
          <t>MCGA</t>
        </is>
      </c>
      <c r="F261" s="43" t="inlineStr">
        <is>
          <t>037-STBU</t>
        </is>
      </c>
      <c r="G261" s="43" t="inlineStr">
        <is>
          <t>CTANJZ05439</t>
        </is>
      </c>
      <c r="H261" s="43" t="inlineStr">
        <is>
          <t>To track an AML qualification build (EXTENDABLE 2x)</t>
        </is>
      </c>
      <c r="I261" s="43" t="inlineStr">
        <is>
          <t>Customer Deviation</t>
        </is>
      </c>
      <c r="J261" s="43" t="inlineStr">
        <is>
          <t>D613561</t>
        </is>
      </c>
      <c r="K261" s="33" t="inlineStr">
        <is>
          <t>D613561 NGFWBU GQR: GQR000101110 Case: AQR004707739 CPN: 36-0148-02 ; MFR NAME: MAG LAYERS; MPN: BBPYCS160808601Y00This deviation instructs Foxconn Juarez (FJZ) to execute a sample buy and conduct a Production Qual build for the following part(s):BU: NGFWBUPF: F1KLOWAffected TAN(s):68-6432-03Affected Item(s): 73-18489-08CPN: 36-0148-02; MFR NAME: MAG LAYERS; MPN: BBPYCS160808601Y00Build Qty: 5Ref Des: L35;L36;L37;L40;L41;L42;L43;L44;L1_C;L2_C;L3_C;L4_CTo execute the above AQR at CM site; should be tested on Model A.</t>
        </is>
      </c>
      <c r="L261" s="43" t="inlineStr">
        <is>
          <t>Implementation</t>
        </is>
      </c>
      <c r="M261" s="43" t="inlineStr">
        <is>
          <t>73-18489-08</t>
        </is>
      </c>
      <c r="N261" s="43" t="inlineStr"/>
      <c r="O261" s="43" t="inlineStr">
        <is>
          <t>2026-11-24</t>
        </is>
      </c>
      <c r="P261" s="33" t="inlineStr">
        <is>
          <t>To track an AML qualification build (EXTENDABLE 2x);Risk Buy Authorization</t>
        </is>
      </c>
      <c r="Q261" s="43" t="inlineStr">
        <is>
          <t>NA</t>
        </is>
      </c>
      <c r="R261" s="43" t="inlineStr">
        <is>
          <t>2026-08-27</t>
        </is>
      </c>
      <c r="S261" s="43" t="inlineStr">
        <is>
          <t>2026-09-22</t>
        </is>
      </c>
      <c r="T261" s="43" t="inlineStr"/>
      <c r="U261" s="43" t="inlineStr"/>
    </row>
    <row r="262">
      <c r="A262" s="43" t="n">
        <v>262</v>
      </c>
      <c r="B262" s="43" t="inlineStr">
        <is>
          <t>261</t>
        </is>
      </c>
      <c r="C262" s="43" t="inlineStr">
        <is>
          <t>FJZP</t>
        </is>
      </c>
      <c r="D262" s="43" t="inlineStr">
        <is>
          <t>Cisco</t>
        </is>
      </c>
      <c r="E262" s="43" t="inlineStr">
        <is>
          <t>MCGA</t>
        </is>
      </c>
      <c r="F262" s="43" t="inlineStr">
        <is>
          <t>239-CRBU</t>
        </is>
      </c>
      <c r="G262" s="43" t="inlineStr">
        <is>
          <t>CTANJZ05434</t>
        </is>
      </c>
      <c r="H262" s="43" t="inlineStr">
        <is>
          <t>To track an AML qualification build (EXTENDABLE 2x)</t>
        </is>
      </c>
      <c r="I262" s="43" t="inlineStr">
        <is>
          <t>Customer Deviation</t>
        </is>
      </c>
      <c r="J262" s="43" t="inlineStr">
        <is>
          <t>D613624</t>
        </is>
      </c>
      <c r="K262" s="33" t="inlineStr">
        <is>
          <t>D613624 Extended D611504: CRBU:8000 - CRBU- BB8/ BB4- Approve FOL/FJZ to build and ship boards with ASIC in IPQ ( 08-100199-03)CPN :  08-100199-03Status: IPQMPN : 08-100199-03-A0Product : BB4/ BB8 ( any production version and revision )1. Approve FOL &amp; FJZ to build the boards with ASIC in IPQ status2. Run regular manf. qual and shipout on passing.</t>
        </is>
      </c>
      <c r="L262" s="43" t="inlineStr">
        <is>
          <t>FAI Status</t>
        </is>
      </c>
      <c r="M262" s="43" t="inlineStr">
        <is>
          <t>08-100199-03</t>
        </is>
      </c>
      <c r="N262" s="43" t="inlineStr"/>
      <c r="O262" s="43" t="inlineStr">
        <is>
          <t>2026-11-22</t>
        </is>
      </c>
      <c r="P262" s="33" t="inlineStr">
        <is>
          <t>To track an AML qualification build (EXTENDABLE 2x)</t>
        </is>
      </c>
      <c r="Q262" s="43" t="inlineStr">
        <is>
          <t>Program the deviation number in EEPROM Apply the deviation label</t>
        </is>
      </c>
      <c r="R262" s="43" t="inlineStr">
        <is>
          <t>2026-08-25</t>
        </is>
      </c>
      <c r="S262" s="43" t="inlineStr">
        <is>
          <t>2026-09-25</t>
        </is>
      </c>
      <c r="T262" s="43" t="inlineStr"/>
      <c r="U262" s="43" t="inlineStr"/>
    </row>
    <row r="263">
      <c r="A263" s="43" t="n">
        <v>263</v>
      </c>
      <c r="B263" s="43" t="inlineStr">
        <is>
          <t>262</t>
        </is>
      </c>
      <c r="C263" s="43" t="inlineStr">
        <is>
          <t>FJZP</t>
        </is>
      </c>
      <c r="D263" s="43" t="inlineStr">
        <is>
          <t>Cisco</t>
        </is>
      </c>
      <c r="E263" s="43" t="inlineStr">
        <is>
          <t>MCGA</t>
        </is>
      </c>
      <c r="F263" s="43" t="inlineStr">
        <is>
          <t>239-CRBU</t>
        </is>
      </c>
      <c r="G263" s="43" t="inlineStr">
        <is>
          <t>CTANJZ05434</t>
        </is>
      </c>
      <c r="H263" s="43" t="inlineStr">
        <is>
          <t>To track an AML qualification build (EXTENDABLE 2x)</t>
        </is>
      </c>
      <c r="I263" s="43" t="inlineStr">
        <is>
          <t>Customer Deviation</t>
        </is>
      </c>
      <c r="J263" s="43" t="inlineStr">
        <is>
          <t>D613624</t>
        </is>
      </c>
      <c r="K263" s="33" t="inlineStr">
        <is>
          <t>D613624 Extended D611504: CRBU:8000 - CRBU- BB8/ BB4- Approve FOL/FJZ to build and ship boards with ASIC in IPQ ( 08-100199-03)CPN :  08-100199-03Status: IPQMPN : 08-100199-03-A0Product : BB4/ BB8 ( any production version and revision )1. Approve FOL &amp; FJZ to build the boards with ASIC in IPQ status2. Run regular manf. qual and shipout on passing.</t>
        </is>
      </c>
      <c r="L263" s="43" t="inlineStr">
        <is>
          <t>FAI Status</t>
        </is>
      </c>
      <c r="M263" s="43" t="inlineStr">
        <is>
          <t>73-21144-07</t>
        </is>
      </c>
      <c r="N263" s="43" t="inlineStr"/>
      <c r="O263" s="43" t="inlineStr">
        <is>
          <t>2026-11-22</t>
        </is>
      </c>
      <c r="P263" s="33" t="inlineStr">
        <is>
          <t>To track an AML qualification build (EXTENDABLE 2x)</t>
        </is>
      </c>
      <c r="Q263" s="43" t="inlineStr">
        <is>
          <t>Program the deviation number in EEPROM Apply the deviation label</t>
        </is>
      </c>
      <c r="R263" s="43" t="inlineStr">
        <is>
          <t>2026-08-25</t>
        </is>
      </c>
      <c r="S263" s="43" t="inlineStr">
        <is>
          <t>2026-09-25</t>
        </is>
      </c>
      <c r="T263" s="43" t="inlineStr"/>
      <c r="U263" s="43" t="inlineStr"/>
    </row>
    <row r="264">
      <c r="A264" s="43" t="n">
        <v>264</v>
      </c>
      <c r="B264" s="43" t="inlineStr">
        <is>
          <t>263</t>
        </is>
      </c>
      <c r="C264" s="43" t="inlineStr">
        <is>
          <t>FJZP</t>
        </is>
      </c>
      <c r="D264" s="43" t="inlineStr">
        <is>
          <t>Cisco</t>
        </is>
      </c>
      <c r="E264" s="43" t="inlineStr">
        <is>
          <t>MCGA</t>
        </is>
      </c>
      <c r="F264" s="43" t="inlineStr">
        <is>
          <t>239-CRBU</t>
        </is>
      </c>
      <c r="G264" s="43" t="inlineStr">
        <is>
          <t>CTANJZ05434</t>
        </is>
      </c>
      <c r="H264" s="43" t="inlineStr">
        <is>
          <t>To track an AML qualification build (EXTENDABLE 2x)</t>
        </is>
      </c>
      <c r="I264" s="43" t="inlineStr">
        <is>
          <t>Customer Deviation</t>
        </is>
      </c>
      <c r="J264" s="43" t="inlineStr">
        <is>
          <t>D613624</t>
        </is>
      </c>
      <c r="K264" s="33" t="inlineStr">
        <is>
          <t>D613624 Extended D611504: CRBU:8000 - CRBU- BB8/ BB4- Approve FOL/FJZ to build and ship boards with ASIC in IPQ ( 08-100199-03)CPN :  08-100199-03Status: IPQMPN : 08-100199-03-A0Product : BB4/ BB8 ( any production version and revision )1. Approve FOL &amp; FJZ to build the boards with ASIC in IPQ status2. Run regular manf. qual and shipout on passing.</t>
        </is>
      </c>
      <c r="L264" s="43" t="inlineStr">
        <is>
          <t>FAI Status</t>
        </is>
      </c>
      <c r="M264" s="43" t="inlineStr">
        <is>
          <t>73-21146-10</t>
        </is>
      </c>
      <c r="N264" s="43" t="inlineStr"/>
      <c r="O264" s="43" t="inlineStr">
        <is>
          <t>2026-11-22</t>
        </is>
      </c>
      <c r="P264" s="33" t="inlineStr">
        <is>
          <t>To track an AML qualification build (EXTENDABLE 2x)</t>
        </is>
      </c>
      <c r="Q264" s="43" t="inlineStr">
        <is>
          <t>Program the deviation number in EEPROM Apply the deviation label</t>
        </is>
      </c>
      <c r="R264" s="43" t="inlineStr">
        <is>
          <t>2026-08-25</t>
        </is>
      </c>
      <c r="S264" s="43" t="inlineStr">
        <is>
          <t>2026-09-25</t>
        </is>
      </c>
      <c r="T264" s="43" t="inlineStr"/>
      <c r="U264" s="43" t="inlineStr"/>
    </row>
    <row r="265">
      <c r="A265" s="43" t="n">
        <v>265</v>
      </c>
      <c r="B265" s="43" t="inlineStr">
        <is>
          <t>264</t>
        </is>
      </c>
      <c r="C265" s="43" t="inlineStr">
        <is>
          <t>FJZP</t>
        </is>
      </c>
      <c r="D265" s="43" t="inlineStr">
        <is>
          <t>Cisco</t>
        </is>
      </c>
      <c r="E265" s="43" t="inlineStr">
        <is>
          <t>MCGA</t>
        </is>
      </c>
      <c r="F265" s="43" t="inlineStr">
        <is>
          <t>239-CRBU</t>
        </is>
      </c>
      <c r="G265" s="43" t="inlineStr">
        <is>
          <t>CTANJZ05446</t>
        </is>
      </c>
      <c r="H265" s="43" t="inlineStr">
        <is>
          <t>Engineering Qualification Build</t>
        </is>
      </c>
      <c r="I265" s="43" t="inlineStr">
        <is>
          <t>Customer Deviation</t>
        </is>
      </c>
      <c r="J265" s="43" t="inlineStr">
        <is>
          <t>D613569</t>
        </is>
      </c>
      <c r="K265" s="33" t="inlineStr">
        <is>
          <t>D613569 Need to qualify M24C32-WMN6P on 73-19152-02 for Assy Qual Request # : AQR004742670 Which is a Supplier PCN from M24C32-WMN6P for PCN TYPE : Process Change on GQR GQR000101811 and AQR AQR004742670</t>
        </is>
      </c>
      <c r="L265" s="43" t="inlineStr">
        <is>
          <t>FAI Status</t>
        </is>
      </c>
      <c r="M265" s="43" t="inlineStr">
        <is>
          <t>16-2665-02</t>
        </is>
      </c>
      <c r="N265" s="43" t="inlineStr"/>
      <c r="O265" s="43" t="inlineStr">
        <is>
          <t>2027-02-23</t>
        </is>
      </c>
      <c r="P265" s="33" t="inlineStr">
        <is>
          <t>Engineering Qualification Build (EXTENDABLE 2x);To track an AML qualification build (EXTENDABLE 2x)</t>
        </is>
      </c>
      <c r="Q265" s="43" t="inlineStr">
        <is>
          <t>NA</t>
        </is>
      </c>
      <c r="R265" s="43" t="inlineStr">
        <is>
          <t>2026-08-29</t>
        </is>
      </c>
      <c r="S265" s="43" t="inlineStr">
        <is>
          <t>2026-09-30</t>
        </is>
      </c>
      <c r="T265" s="43" t="inlineStr"/>
      <c r="U265" s="43" t="inlineStr"/>
    </row>
    <row r="266">
      <c r="A266" s="43" t="n">
        <v>266</v>
      </c>
      <c r="B266" s="43" t="inlineStr">
        <is>
          <t>265</t>
        </is>
      </c>
      <c r="C266" s="43" t="inlineStr">
        <is>
          <t>FJZP</t>
        </is>
      </c>
      <c r="D266" s="43" t="inlineStr">
        <is>
          <t>Cisco</t>
        </is>
      </c>
      <c r="E266" s="43" t="inlineStr">
        <is>
          <t>MCGA</t>
        </is>
      </c>
      <c r="F266" s="43" t="inlineStr">
        <is>
          <t>239-CRBU</t>
        </is>
      </c>
      <c r="G266" s="43" t="inlineStr">
        <is>
          <t>CTANJZ05446</t>
        </is>
      </c>
      <c r="H266" s="43" t="inlineStr">
        <is>
          <t>Engineering Qualification Build</t>
        </is>
      </c>
      <c r="I266" s="43" t="inlineStr">
        <is>
          <t>Customer Deviation</t>
        </is>
      </c>
      <c r="J266" s="43" t="inlineStr">
        <is>
          <t>D613569</t>
        </is>
      </c>
      <c r="K266" s="33" t="inlineStr">
        <is>
          <t>D613569 Need to qualify M24C32-WMN6P on 73-19152-02 for Assy Qual Request # : AQR004742670 Which is a Supplier PCN from M24C32-WMN6P for PCN TYPE : Process Change on GQR GQR000101811 and AQR AQR004742670</t>
        </is>
      </c>
      <c r="L266" s="43" t="inlineStr">
        <is>
          <t>FAI Status</t>
        </is>
      </c>
      <c r="M266" s="43" t="inlineStr">
        <is>
          <t>73-19152-02</t>
        </is>
      </c>
      <c r="N266" s="43" t="inlineStr"/>
      <c r="O266" s="43" t="inlineStr">
        <is>
          <t>2027-02-23</t>
        </is>
      </c>
      <c r="P266" s="33" t="inlineStr">
        <is>
          <t>Engineering Qualification Build (EXTENDABLE 2x);To track an AML qualification build (EXTENDABLE 2x)</t>
        </is>
      </c>
      <c r="Q266" s="43" t="inlineStr">
        <is>
          <t>NA</t>
        </is>
      </c>
      <c r="R266" s="43" t="inlineStr">
        <is>
          <t>2026-08-29</t>
        </is>
      </c>
      <c r="S266" s="43" t="inlineStr">
        <is>
          <t>2026-09-30</t>
        </is>
      </c>
      <c r="T266" s="43" t="inlineStr"/>
      <c r="U266" s="43" t="inlineStr"/>
    </row>
    <row r="267">
      <c r="A267" s="43" t="n">
        <v>267</v>
      </c>
      <c r="B267" s="43" t="inlineStr">
        <is>
          <t>266</t>
        </is>
      </c>
      <c r="C267" s="43" t="inlineStr">
        <is>
          <t>FJZP</t>
        </is>
      </c>
      <c r="D267" s="43" t="inlineStr">
        <is>
          <t>Cisco</t>
        </is>
      </c>
      <c r="E267" s="43" t="inlineStr">
        <is>
          <t>MCGA</t>
        </is>
      </c>
      <c r="F267" s="43" t="inlineStr">
        <is>
          <t>239-CRBU</t>
        </is>
      </c>
      <c r="G267" s="43" t="inlineStr">
        <is>
          <t>CTANJZ05322</t>
        </is>
      </c>
      <c r="H267" s="43" t="inlineStr">
        <is>
          <t>Engineering Qual Build</t>
        </is>
      </c>
      <c r="I267" s="43" t="inlineStr">
        <is>
          <t>Customer Deviation</t>
        </is>
      </c>
      <c r="J267" s="43" t="inlineStr">
        <is>
          <t>D612106</t>
        </is>
      </c>
      <c r="K267" s="33" t="inlineStr">
        <is>
          <t>D612106 Need to qualify 74AVC2T45FK;LCF(GT on 73-102363-05</t>
        </is>
      </c>
      <c r="L267" s="43" t="inlineStr">
        <is>
          <t>Extended</t>
        </is>
      </c>
      <c r="M267" s="43" t="inlineStr">
        <is>
          <t>15-105357-01</t>
        </is>
      </c>
      <c r="N267" s="43" t="inlineStr"/>
      <c r="O267" s="43" t="inlineStr">
        <is>
          <t>2026-12-21</t>
        </is>
      </c>
      <c r="P267" s="33" t="inlineStr">
        <is>
          <t>Engineering Qualification Build (EXTENDABLE 2x);To track an AML qualification build (EXTENDABLE 2x)</t>
        </is>
      </c>
      <c r="Q267" s="43" t="inlineStr">
        <is>
          <t>NA</t>
        </is>
      </c>
      <c r="R267" s="43" t="inlineStr">
        <is>
          <t>2026-06-27</t>
        </is>
      </c>
      <c r="S267" s="43" t="inlineStr">
        <is>
          <t>2026-07-20</t>
        </is>
      </c>
      <c r="T267" s="43" t="inlineStr"/>
      <c r="U267" s="43" t="inlineStr"/>
    </row>
    <row r="268">
      <c r="A268" s="43" t="n">
        <v>268</v>
      </c>
      <c r="B268" s="43" t="inlineStr">
        <is>
          <t>267</t>
        </is>
      </c>
      <c r="C268" s="43" t="inlineStr">
        <is>
          <t>FJZP</t>
        </is>
      </c>
      <c r="D268" s="43" t="inlineStr">
        <is>
          <t>Cisco</t>
        </is>
      </c>
      <c r="E268" s="43" t="inlineStr">
        <is>
          <t>MCGA</t>
        </is>
      </c>
      <c r="F268" s="43" t="inlineStr">
        <is>
          <t>239-CRBU</t>
        </is>
      </c>
      <c r="G268" s="43" t="inlineStr">
        <is>
          <t>CTANJZ05322</t>
        </is>
      </c>
      <c r="H268" s="43" t="inlineStr">
        <is>
          <t>Engineering Qual Build</t>
        </is>
      </c>
      <c r="I268" s="43" t="inlineStr">
        <is>
          <t>Customer Deviation</t>
        </is>
      </c>
      <c r="J268" s="43" t="inlineStr">
        <is>
          <t>D612106</t>
        </is>
      </c>
      <c r="K268" s="33" t="inlineStr">
        <is>
          <t>D612106 Need to qualify 74AVC2T45FK;LCF(GT on 73-102363-05</t>
        </is>
      </c>
      <c r="L268" s="43" t="inlineStr">
        <is>
          <t>Extended</t>
        </is>
      </c>
      <c r="M268" s="43" t="inlineStr">
        <is>
          <t>73-102363-05</t>
        </is>
      </c>
      <c r="N268" s="43" t="inlineStr"/>
      <c r="O268" s="43" t="inlineStr">
        <is>
          <t>2026-12-21</t>
        </is>
      </c>
      <c r="P268" s="33" t="inlineStr">
        <is>
          <t>Engineering Qualification Build (EXTENDABLE 2x);To track an AML qualification build (EXTENDABLE 2x)</t>
        </is>
      </c>
      <c r="Q268" s="43" t="inlineStr">
        <is>
          <t>NA</t>
        </is>
      </c>
      <c r="R268" s="43" t="inlineStr">
        <is>
          <t>2026-06-27</t>
        </is>
      </c>
      <c r="S268" s="43" t="inlineStr">
        <is>
          <t>2026-07-20</t>
        </is>
      </c>
      <c r="T268" s="43" t="inlineStr"/>
      <c r="U268" s="43" t="inlineStr"/>
    </row>
    <row r="269">
      <c r="A269" s="43" t="n">
        <v>269</v>
      </c>
      <c r="B269" s="43" t="inlineStr">
        <is>
          <t>268</t>
        </is>
      </c>
      <c r="C269" s="43" t="inlineStr">
        <is>
          <t>FJZP</t>
        </is>
      </c>
      <c r="D269" s="43" t="inlineStr">
        <is>
          <t>Cisco</t>
        </is>
      </c>
      <c r="E269" s="43" t="inlineStr">
        <is>
          <t>MCGA</t>
        </is>
      </c>
      <c r="F269" s="43" t="inlineStr">
        <is>
          <t>239-CRBU</t>
        </is>
      </c>
      <c r="G269" s="43" t="inlineStr">
        <is>
          <t>CTANJZ05323</t>
        </is>
      </c>
      <c r="H269" s="43" t="inlineStr">
        <is>
          <t>Engineering Qualification Build</t>
        </is>
      </c>
      <c r="I269" s="43" t="inlineStr">
        <is>
          <t>Customer Deviation</t>
        </is>
      </c>
      <c r="J269" s="43" t="inlineStr">
        <is>
          <t>D611825</t>
        </is>
      </c>
      <c r="K269" s="33" t="inlineStr">
        <is>
          <t>D611825 Need to qualify JP30150011 on 73-103802-05 for Assy Qual Request # : AQR003727904 Which is a Supplier PCN from JP30150011 for PCN TYPE : Site Move on GQR GQR000091465 and AQR AQR003727904</t>
        </is>
      </c>
      <c r="L269" s="43" t="inlineStr">
        <is>
          <t>Extended</t>
        </is>
      </c>
      <c r="M269" s="43" t="inlineStr">
        <is>
          <t>29-102696-03</t>
        </is>
      </c>
      <c r="N269" s="43" t="inlineStr"/>
      <c r="O269" s="43" t="inlineStr">
        <is>
          <t>2026-12-22</t>
        </is>
      </c>
      <c r="P269" s="33" t="inlineStr">
        <is>
          <t>Engineering Qualification Build (EXTENDABLE 2x);To track an AML qualification build (EXTENDABLE 2x)</t>
        </is>
      </c>
      <c r="Q269" s="43" t="inlineStr">
        <is>
          <t>NA</t>
        </is>
      </c>
      <c r="R269" s="43" t="inlineStr">
        <is>
          <t>2026-06-27</t>
        </is>
      </c>
      <c r="S269" s="43" t="inlineStr">
        <is>
          <t>2026-07-20</t>
        </is>
      </c>
      <c r="T269" s="43" t="inlineStr"/>
      <c r="U269" s="43" t="inlineStr"/>
    </row>
    <row r="270">
      <c r="A270" s="43" t="n">
        <v>270</v>
      </c>
      <c r="B270" s="43" t="inlineStr">
        <is>
          <t>269</t>
        </is>
      </c>
      <c r="C270" s="43" t="inlineStr">
        <is>
          <t>FJZP</t>
        </is>
      </c>
      <c r="D270" s="43" t="inlineStr">
        <is>
          <t>Cisco</t>
        </is>
      </c>
      <c r="E270" s="43" t="inlineStr">
        <is>
          <t>MCGA</t>
        </is>
      </c>
      <c r="F270" s="43" t="inlineStr">
        <is>
          <t>239-CRBU</t>
        </is>
      </c>
      <c r="G270" s="43" t="inlineStr">
        <is>
          <t>CTANJZ05453</t>
        </is>
      </c>
      <c r="H270" s="43" t="inlineStr">
        <is>
          <t>Engineering Qualification Build</t>
        </is>
      </c>
      <c r="I270" s="43" t="inlineStr">
        <is>
          <t>Customer Deviation</t>
        </is>
      </c>
      <c r="J270" s="43" t="inlineStr">
        <is>
          <t>D613633</t>
        </is>
      </c>
      <c r="K270" s="33" t="inlineStr">
        <is>
          <t>D613633 Need to qualify MX25L3233FM2I-08G on 17-102296-01</t>
        </is>
      </c>
      <c r="L270" s="43" t="inlineStr">
        <is>
          <t>FAI Status</t>
        </is>
      </c>
      <c r="M270" s="43" t="inlineStr">
        <is>
          <t>16-100239-01</t>
        </is>
      </c>
      <c r="N270" s="43" t="inlineStr"/>
      <c r="O270" s="43" t="inlineStr">
        <is>
          <t>2027-02-28</t>
        </is>
      </c>
      <c r="P270" s="33" t="inlineStr">
        <is>
          <t>Engineering Qualification Build (EXTENDABLE 2x);To track an AML qualification build (EXTENDABLE 2x)</t>
        </is>
      </c>
      <c r="Q270" s="43" t="inlineStr">
        <is>
          <t>NA</t>
        </is>
      </c>
      <c r="R270" s="43" t="inlineStr">
        <is>
          <t>2026-09-03</t>
        </is>
      </c>
      <c r="S270" s="43" t="inlineStr">
        <is>
          <t>2026-09-29</t>
        </is>
      </c>
      <c r="T270" s="43" t="inlineStr"/>
      <c r="U270" s="43" t="inlineStr"/>
    </row>
    <row r="271">
      <c r="A271" s="43" t="n">
        <v>271</v>
      </c>
      <c r="B271" s="43" t="inlineStr">
        <is>
          <t>270</t>
        </is>
      </c>
      <c r="C271" s="43" t="inlineStr">
        <is>
          <t>FJZP</t>
        </is>
      </c>
      <c r="D271" s="43" t="inlineStr">
        <is>
          <t>Cisco</t>
        </is>
      </c>
      <c r="E271" s="43" t="inlineStr">
        <is>
          <t>MCGA</t>
        </is>
      </c>
      <c r="F271" s="43" t="inlineStr">
        <is>
          <t>035-CVEBU</t>
        </is>
      </c>
      <c r="G271" s="43" t="inlineStr">
        <is>
          <t>CTANJZ05450</t>
        </is>
      </c>
      <c r="H271" s="43" t="inlineStr">
        <is>
          <t>To track an AML qualification build (EXTENDABLE)</t>
        </is>
      </c>
      <c r="I271" s="43" t="inlineStr">
        <is>
          <t>Customer Deviation</t>
        </is>
      </c>
      <c r="J271" s="43" t="inlineStr">
        <is>
          <t>D613609</t>
        </is>
      </c>
      <c r="K271" s="33" t="inlineStr">
        <is>
          <t>D613609 CVEBU; Heimdall. 2nd source qualification for FPCs. Supplier name and site; VICTORY GIANT TECHNOLOGY (VGT) ¡V Malaysia 24-AUG-26. Renewal of D607542CM shall build and test up to 500 units; TAN level 68-104607-01; 68-104690-01 or TAA version.FPC CPN FPC MPNs Description FPCA 73-CC CPN28-103291-01 28-103291-01_S803 Heimdall MB-MIC FPCControl builds for all FPCs. ORT is mandatory to be used for this qualification.Note: Please provide build schedule.Contact Cisco: Jose Barraza and Jarle AaslandContact FJZ: Isaias Monreal</t>
        </is>
      </c>
      <c r="L271" s="43" t="inlineStr">
        <is>
          <t>FAI Status</t>
        </is>
      </c>
      <c r="M271" s="43" t="inlineStr">
        <is>
          <t>28-103291-01</t>
        </is>
      </c>
      <c r="N271" s="43" t="inlineStr"/>
      <c r="O271" s="43" t="inlineStr">
        <is>
          <t>2026-11-29</t>
        </is>
      </c>
      <c r="P271" s="33" t="inlineStr">
        <is>
          <t>To track an AML qualification build (EXTENDABLE 2x)</t>
        </is>
      </c>
      <c r="Q271" s="43" t="inlineStr">
        <is>
          <t>Mark units with a sticker with this deviation number clearly visible on unit</t>
        </is>
      </c>
      <c r="R271" s="43" t="inlineStr">
        <is>
          <t>2026-09-01</t>
        </is>
      </c>
      <c r="S271" s="43" t="inlineStr">
        <is>
          <t>2026-10-01</t>
        </is>
      </c>
      <c r="T271" s="43" t="inlineStr"/>
      <c r="U271" s="43" t="inlineStr"/>
    </row>
    <row r="272">
      <c r="A272" s="43" t="n">
        <v>272</v>
      </c>
      <c r="B272" s="43" t="inlineStr">
        <is>
          <t>271</t>
        </is>
      </c>
      <c r="C272" s="43" t="inlineStr">
        <is>
          <t>FJZP</t>
        </is>
      </c>
      <c r="D272" s="43" t="inlineStr">
        <is>
          <t>Cisco</t>
        </is>
      </c>
      <c r="E272" s="43" t="inlineStr">
        <is>
          <t>MCGA</t>
        </is>
      </c>
      <c r="F272" s="43" t="inlineStr">
        <is>
          <t>035-CVEBU</t>
        </is>
      </c>
      <c r="G272" s="43" t="inlineStr">
        <is>
          <t>CTANJZ05450</t>
        </is>
      </c>
      <c r="H272" s="43" t="inlineStr">
        <is>
          <t>To track an AML qualification build (EXTENDABLE)</t>
        </is>
      </c>
      <c r="I272" s="43" t="inlineStr">
        <is>
          <t>Customer Deviation</t>
        </is>
      </c>
      <c r="J272" s="43" t="inlineStr">
        <is>
          <t>D613609</t>
        </is>
      </c>
      <c r="K272" s="33" t="inlineStr">
        <is>
          <t>D613609 CVEBU; Heimdall. 2nd source qualification for FPCs. Supplier name and site; VICTORY GIANT TECHNOLOGY (VGT) ¡V Malaysia 24-AUG-26. Renewal of D607542CM shall build and test up to 500 units; TAN level 68-104607-01; 68-104690-01 or TAA version.FPC CPN FPC MPNs Description FPCA 73-CC CPN28-103291-01 28-103291-01_S803 Heimdall MB-MIC FPCControl builds for all FPCs. ORT is mandatory to be used for this qualification.Note: Please provide build schedule.Contact Cisco: Jose Barraza and Jarle AaslandContact FJZ: Isaias Monreal</t>
        </is>
      </c>
      <c r="L272" s="43" t="inlineStr">
        <is>
          <t>FAI Status</t>
        </is>
      </c>
      <c r="M272" s="43" t="inlineStr">
        <is>
          <t>68-104607-01</t>
        </is>
      </c>
      <c r="N272" s="43" t="inlineStr"/>
      <c r="O272" s="43" t="inlineStr">
        <is>
          <t>2026-11-29</t>
        </is>
      </c>
      <c r="P272" s="33" t="inlineStr">
        <is>
          <t>To track an AML qualification build (EXTENDABLE 2x)</t>
        </is>
      </c>
      <c r="Q272" s="43" t="inlineStr">
        <is>
          <t>Mark units with a sticker with this deviation number clearly visible on unit</t>
        </is>
      </c>
      <c r="R272" s="43" t="inlineStr">
        <is>
          <t>2026-09-01</t>
        </is>
      </c>
      <c r="S272" s="43" t="inlineStr">
        <is>
          <t>2026-10-01</t>
        </is>
      </c>
      <c r="T272" s="43" t="inlineStr"/>
      <c r="U272" s="43" t="inlineStr"/>
    </row>
    <row r="273">
      <c r="A273" s="43" t="n">
        <v>273</v>
      </c>
      <c r="B273" s="43" t="inlineStr">
        <is>
          <t>272</t>
        </is>
      </c>
      <c r="C273" s="43" t="inlineStr">
        <is>
          <t>FJZP</t>
        </is>
      </c>
      <c r="D273" s="43" t="inlineStr">
        <is>
          <t>Cisco</t>
        </is>
      </c>
      <c r="E273" s="43" t="inlineStr">
        <is>
          <t>MCGA</t>
        </is>
      </c>
      <c r="F273" s="43" t="inlineStr">
        <is>
          <t>035-CVEBU</t>
        </is>
      </c>
      <c r="G273" s="43" t="inlineStr">
        <is>
          <t>CTANJZ05451</t>
        </is>
      </c>
      <c r="H273" s="43" t="inlineStr">
        <is>
          <t>To track an AML qualification build (EXTENDABLE 2x)</t>
        </is>
      </c>
      <c r="I273" s="43" t="inlineStr">
        <is>
          <t>Customer Deviation</t>
        </is>
      </c>
      <c r="J273" s="43" t="inlineStr">
        <is>
          <t>D613618</t>
        </is>
      </c>
      <c r="K273" s="33" t="inlineStr">
        <is>
          <t>D613618CVEBU; Heimdall. 2nd source qualification for PCBs for NDAA compliance.FOXCONN JUAREZ shall build and test up to 200 units. TAN level 68-104607-01; 68-104690-01 or TAA version.PCB            -                MPN28-103261-05 - 28-103261-05_S603_M604 (VICTORY GIANT TH)2 pcs units shall be shipped to me at Lysaker; Norway.Control builds for Heimdall PCB. ORT is mandatory to be used for this qualification.Note: 200 pcs samples are on-hand. Please provide quote for 2 units; and build schedule.Contact Cisco: Jose Barraza and Jarle AaslandContact FJZ: Isaias Monreal</t>
        </is>
      </c>
      <c r="L273" s="43" t="inlineStr">
        <is>
          <t>FAI Status</t>
        </is>
      </c>
      <c r="M273" s="43" t="inlineStr">
        <is>
          <t>28-103261-05</t>
        </is>
      </c>
      <c r="N273" s="43" t="inlineStr"/>
      <c r="O273" s="43" t="inlineStr">
        <is>
          <t>2026-11-29</t>
        </is>
      </c>
      <c r="P273" s="33" t="inlineStr">
        <is>
          <t>To track an AML qualification build (EXTENDABLE 2x)</t>
        </is>
      </c>
      <c r="Q273" s="43" t="inlineStr">
        <is>
          <t>Please mark the units with this deviation number clearly visible on unit</t>
        </is>
      </c>
      <c r="R273" s="43" t="inlineStr">
        <is>
          <t>2026-09-01</t>
        </is>
      </c>
      <c r="S273" s="43" t="inlineStr">
        <is>
          <t>2026-10-02</t>
        </is>
      </c>
      <c r="T273" s="43" t="inlineStr"/>
      <c r="U273" s="43" t="inlineStr"/>
    </row>
    <row r="274">
      <c r="A274" s="43" t="n">
        <v>274</v>
      </c>
      <c r="B274" s="43" t="inlineStr">
        <is>
          <t>273</t>
        </is>
      </c>
      <c r="C274" s="43" t="inlineStr">
        <is>
          <t>FJZP</t>
        </is>
      </c>
      <c r="D274" s="43" t="inlineStr">
        <is>
          <t>Cisco</t>
        </is>
      </c>
      <c r="E274" s="43" t="inlineStr">
        <is>
          <t>MCGA</t>
        </is>
      </c>
      <c r="F274" s="43" t="inlineStr">
        <is>
          <t>035-CVEBU</t>
        </is>
      </c>
      <c r="G274" s="43" t="inlineStr">
        <is>
          <t>CTANJZ05451</t>
        </is>
      </c>
      <c r="H274" s="43" t="inlineStr">
        <is>
          <t>To track an AML qualification build (EXTENDABLE 2x)</t>
        </is>
      </c>
      <c r="I274" s="43" t="inlineStr">
        <is>
          <t>Customer Deviation</t>
        </is>
      </c>
      <c r="J274" s="43" t="inlineStr">
        <is>
          <t>D613618</t>
        </is>
      </c>
      <c r="K274" s="33" t="inlineStr">
        <is>
          <t>D613618CVEBU; Heimdall. 2nd source qualification for PCBs for NDAA compliance.FOXCONN JUAREZ shall build and test up to 200 units. TAN level 68-104607-01; 68-104690-01 or TAA version.PCB            -                MPN28-103261-05 - 28-103261-05_S603_M604 (VICTORY GIANT TH)2 pcs units shall be shipped to me at Lysaker; Norway.Control builds for Heimdall PCB. ORT is mandatory to be used for this qualification.Note: 200 pcs samples are on-hand. Please provide quote for 2 units; and build schedule.Contact Cisco: Jose Barraza and Jarle AaslandContact FJZ: Isaias Monreal</t>
        </is>
      </c>
      <c r="L274" s="43" t="inlineStr">
        <is>
          <t>FAI Status</t>
        </is>
      </c>
      <c r="M274" s="43" t="inlineStr">
        <is>
          <t>68-104607-01</t>
        </is>
      </c>
      <c r="N274" s="43" t="inlineStr"/>
      <c r="O274" s="43" t="inlineStr">
        <is>
          <t>2026-11-29</t>
        </is>
      </c>
      <c r="P274" s="33" t="inlineStr">
        <is>
          <t>To track an AML qualification build (EXTENDABLE 2x)</t>
        </is>
      </c>
      <c r="Q274" s="43" t="inlineStr">
        <is>
          <t>Please mark the units with this deviation number clearly visible on unit</t>
        </is>
      </c>
      <c r="R274" s="43" t="inlineStr">
        <is>
          <t>2026-09-01</t>
        </is>
      </c>
      <c r="S274" s="43" t="inlineStr">
        <is>
          <t>2026-10-02</t>
        </is>
      </c>
      <c r="T274" s="43" t="inlineStr"/>
      <c r="U274" s="43" t="inlineStr"/>
    </row>
    <row r="275">
      <c r="A275" s="43" t="n">
        <v>275</v>
      </c>
      <c r="B275" s="43" t="inlineStr">
        <is>
          <t>274</t>
        </is>
      </c>
      <c r="C275" s="43" t="inlineStr">
        <is>
          <t>FJZP</t>
        </is>
      </c>
      <c r="D275" s="43" t="inlineStr">
        <is>
          <t>Cisco</t>
        </is>
      </c>
      <c r="E275" s="43" t="inlineStr">
        <is>
          <t>MCGA</t>
        </is>
      </c>
      <c r="F275" s="43" t="inlineStr">
        <is>
          <t>037-STBU</t>
        </is>
      </c>
      <c r="G275" s="43" t="inlineStr">
        <is>
          <t>CTANJZ05416</t>
        </is>
      </c>
      <c r="H275" s="43" t="inlineStr">
        <is>
          <t>To track an AML qualification build (EXTENDABLE 2x)</t>
        </is>
      </c>
      <c r="I275" s="43" t="inlineStr">
        <is>
          <t>Customer Deviation</t>
        </is>
      </c>
      <c r="J275" s="43" t="inlineStr">
        <is>
          <t>D612425</t>
        </is>
      </c>
      <c r="K275" s="33" t="inlineStr">
        <is>
          <t>D612425 NGFWBU: CSF12XX DesktopCCN000011710 GQR000081381Qualification of MICRON MPN# MT60B2G8RZ-64B:H under CPN 15-110890-01Items Affected:Top Assembly 68-104735-05    ELMECH 74-139971-02 PCBA:  74-134455-06Top Assembly 68-104736-05    ELMECH 74-139972-02 PCBA:  74-134456-06FJZ to Build Two units the following a CSF1210 POE and a CSF1220 with MICRON Discrete DDR5  MPN MT60B2G8RZ-64B:H  for CPN 15-110890-01 @ Ref Des U1800; U1801; U1900; U1901; U2000; U2100; U2101; U2200; U2201; U2300These units need to go through full ETE testing: ICT/BST/2C and DF system test. FJZ then hold units for further instructions. For any all failures please notify Cisco Cross Function Team Below. Please provide PCBA and Assembled SN to Cisco EPE for tracebility.***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L275" s="43" t="inlineStr">
        <is>
          <t>FAI Status</t>
        </is>
      </c>
      <c r="M275" s="43" t="inlineStr">
        <is>
          <t>15-110890-01</t>
        </is>
      </c>
      <c r="N275" s="43" t="inlineStr"/>
      <c r="O275" s="43" t="inlineStr">
        <is>
          <t>2026-11-03</t>
        </is>
      </c>
      <c r="P275" s="33" t="inlineStr">
        <is>
          <t>To track an AML qualification build (EXTENDABLE 2x)</t>
        </is>
      </c>
      <c r="Q275" s="43" t="inlineStr">
        <is>
          <t>Please Deviation Label Visibly on the PCBA</t>
        </is>
      </c>
      <c r="R275" s="43" t="inlineStr">
        <is>
          <t>2026-08-06</t>
        </is>
      </c>
      <c r="S275" s="43" t="inlineStr">
        <is>
          <t>2026-09-03</t>
        </is>
      </c>
      <c r="T275" s="43" t="inlineStr"/>
      <c r="U275" s="43" t="inlineStr"/>
    </row>
    <row r="276">
      <c r="A276" s="43" t="n">
        <v>276</v>
      </c>
      <c r="B276" s="43" t="inlineStr">
        <is>
          <t>275</t>
        </is>
      </c>
      <c r="C276" s="43" t="inlineStr">
        <is>
          <t>FJZP</t>
        </is>
      </c>
      <c r="D276" s="43" t="inlineStr">
        <is>
          <t>Cisco</t>
        </is>
      </c>
      <c r="E276" s="43" t="inlineStr">
        <is>
          <t>MCGA</t>
        </is>
      </c>
      <c r="F276" s="43" t="inlineStr">
        <is>
          <t>037-STBU</t>
        </is>
      </c>
      <c r="G276" s="43" t="inlineStr">
        <is>
          <t>CTANJZ05416</t>
        </is>
      </c>
      <c r="H276" s="43" t="inlineStr">
        <is>
          <t>To track an AML qualification build (EXTENDABLE 2x)</t>
        </is>
      </c>
      <c r="I276" s="43" t="inlineStr">
        <is>
          <t>Customer Deviation</t>
        </is>
      </c>
      <c r="J276" s="43" t="inlineStr">
        <is>
          <t>D612425</t>
        </is>
      </c>
      <c r="K276" s="33" t="inlineStr">
        <is>
          <t>D612425 NGFWBU: CSF12XX DesktopCCN000011710 GQR000081381Qualification of MICRON MPN# MT60B2G8RZ-64B:H under CPN 15-110890-01Items Affected:Top Assembly 68-104735-05    ELMECH 74-139971-02 PCBA:  74-134455-06Top Assembly 68-104736-05    ELMECH 74-139972-02 PCBA:  74-134456-06FJZ to Build Two units the following a CSF1210 POE and a CSF1220 with MICRON Discrete DDR5  MPN MT60B2G8RZ-64B:H  for CPN 15-110890-01 @ Ref Des U1800; U1801; U1900; U1901; U2000; U2100; U2101; U2200; U2201; U2300These units need to go through full ETE testing: ICT/BST/2C and DF system test. FJZ then hold units for further instructions. For any all failures please notify Cisco Cross Function Team Below. Please provide PCBA and Assembled SN to Cisco EPE for tracebility.***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L276" s="43" t="inlineStr">
        <is>
          <t>FAI Status</t>
        </is>
      </c>
      <c r="M276" s="43" t="inlineStr">
        <is>
          <t>74-134455-06</t>
        </is>
      </c>
      <c r="N276" s="43" t="inlineStr"/>
      <c r="O276" s="43" t="inlineStr">
        <is>
          <t>2026-11-03</t>
        </is>
      </c>
      <c r="P276" s="33" t="inlineStr">
        <is>
          <t>To track an AML qualification build (EXTENDABLE 2x)</t>
        </is>
      </c>
      <c r="Q276" s="43" t="inlineStr">
        <is>
          <t>Please Deviation Label Visibly on the PCBA</t>
        </is>
      </c>
      <c r="R276" s="43" t="inlineStr">
        <is>
          <t>2026-08-06</t>
        </is>
      </c>
      <c r="S276" s="43" t="inlineStr">
        <is>
          <t>2026-09-03</t>
        </is>
      </c>
      <c r="T276" s="43" t="inlineStr"/>
      <c r="U276" s="43" t="inlineStr"/>
    </row>
    <row r="277">
      <c r="A277" s="43" t="n">
        <v>277</v>
      </c>
      <c r="B277" s="43" t="inlineStr">
        <is>
          <t>276</t>
        </is>
      </c>
      <c r="C277" s="43" t="inlineStr">
        <is>
          <t>FJZP</t>
        </is>
      </c>
      <c r="D277" s="43" t="inlineStr">
        <is>
          <t>Cisco</t>
        </is>
      </c>
      <c r="E277" s="43" t="inlineStr">
        <is>
          <t>MCGA</t>
        </is>
      </c>
      <c r="F277" s="43" t="inlineStr">
        <is>
          <t>037-STBU</t>
        </is>
      </c>
      <c r="G277" s="43" t="inlineStr">
        <is>
          <t>CTANJZ05416</t>
        </is>
      </c>
      <c r="H277" s="43" t="inlineStr">
        <is>
          <t>To track an AML qualification build (EXTENDABLE 2x)</t>
        </is>
      </c>
      <c r="I277" s="43" t="inlineStr">
        <is>
          <t>Customer Deviation</t>
        </is>
      </c>
      <c r="J277" s="43" t="inlineStr">
        <is>
          <t>D612425</t>
        </is>
      </c>
      <c r="K277" s="33" t="inlineStr">
        <is>
          <t>D612425 NGFWBU: CSF12XX DesktopCCN000011710 GQR000081381Qualification of MICRON MPN# MT60B2G8RZ-64B:H under CPN 15-110890-01Items Affected:Top Assembly 68-104735-05    ELMECH 74-139971-02 PCBA:  74-134455-06Top Assembly 68-104736-05    ELMECH 74-139972-02 PCBA:  74-134456-06FJZ to Build Two units the following a CSF1210 POE and a CSF1220 with MICRON Discrete DDR5  MPN MT60B2G8RZ-64B:H  for CPN 15-110890-01 @ Ref Des U1800; U1801; U1900; U1901; U2000; U2100; U2101; U2200; U2201; U2300These units need to go through full ETE testing: ICT/BST/2C and DF system test. FJZ then hold units for further instructions. For any all failures please notify Cisco Cross Function Team Below. Please provide PCBA and Assembled SN to Cisco EPE for tracebility.***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L277" s="43" t="inlineStr">
        <is>
          <t>FAI Status</t>
        </is>
      </c>
      <c r="M277" s="43" t="inlineStr">
        <is>
          <t>74-134456-06</t>
        </is>
      </c>
      <c r="N277" s="43" t="inlineStr"/>
      <c r="O277" s="43" t="inlineStr">
        <is>
          <t>2026-11-03</t>
        </is>
      </c>
      <c r="P277" s="33" t="inlineStr">
        <is>
          <t>To track an AML qualification build (EXTENDABLE 2x)</t>
        </is>
      </c>
      <c r="Q277" s="43" t="inlineStr">
        <is>
          <t>Please Deviation Label Visibly on the PCBA</t>
        </is>
      </c>
      <c r="R277" s="43" t="inlineStr">
        <is>
          <t>2026-08-06</t>
        </is>
      </c>
      <c r="S277" s="43" t="inlineStr">
        <is>
          <t>2026-09-03</t>
        </is>
      </c>
      <c r="T277" s="43" t="inlineStr"/>
      <c r="U277" s="43" t="inlineStr"/>
    </row>
    <row r="278">
      <c r="A278" s="43" t="n">
        <v>278</v>
      </c>
      <c r="B278" s="43" t="inlineStr">
        <is>
          <t>277</t>
        </is>
      </c>
      <c r="C278" s="43" t="inlineStr">
        <is>
          <t>FJZP</t>
        </is>
      </c>
      <c r="D278" s="43" t="inlineStr">
        <is>
          <t>Cisco</t>
        </is>
      </c>
      <c r="E278" s="43" t="inlineStr">
        <is>
          <t>MCGA</t>
        </is>
      </c>
      <c r="F278" s="43" t="inlineStr">
        <is>
          <t>239-CRBU</t>
        </is>
      </c>
      <c r="G278" s="43" t="inlineStr">
        <is>
          <t>CTANJZ05417</t>
        </is>
      </c>
      <c r="H278" s="43" t="inlineStr">
        <is>
          <t>Engineering Qualification Build</t>
        </is>
      </c>
      <c r="I278" s="43" t="inlineStr">
        <is>
          <t>Customer Deviation</t>
        </is>
      </c>
      <c r="J278" s="43" t="inlineStr">
        <is>
          <t>D611851</t>
        </is>
      </c>
      <c r="K278" s="33" t="inlineStr">
        <is>
          <t>D611851 Need to qualify M24C64-RMN6TP on 73-102363-05 for Assy Qual Request # : AQR003705149 Which is a Supplier PCN from M24C64-RMN6TP for PCN TYPE : Process Change on GQR GQR000090943 and AQR AQR003705149</t>
        </is>
      </c>
      <c r="L278" s="43" t="inlineStr">
        <is>
          <t>Extended</t>
        </is>
      </c>
      <c r="M278" s="43" t="inlineStr">
        <is>
          <t>16-2242-02</t>
        </is>
      </c>
      <c r="N278" s="43" t="inlineStr"/>
      <c r="O278" s="43" t="inlineStr">
        <is>
          <t>2027-02-02</t>
        </is>
      </c>
      <c r="P278" s="33" t="inlineStr">
        <is>
          <t>Engineering Qualification Build (EXTENDABLE 2x);To track an AML qualification build (EXTENDABLE 2x)</t>
        </is>
      </c>
      <c r="Q278" s="43" t="inlineStr">
        <is>
          <t>Cookie deviation # on units</t>
        </is>
      </c>
      <c r="R278" s="43" t="inlineStr">
        <is>
          <t>2026-08-08</t>
        </is>
      </c>
      <c r="S278" s="43" t="inlineStr">
        <is>
          <t>2026-08-26</t>
        </is>
      </c>
      <c r="T278" s="43" t="inlineStr"/>
      <c r="U278" s="43" t="inlineStr"/>
    </row>
    <row r="279">
      <c r="A279" s="43" t="n">
        <v>279</v>
      </c>
      <c r="B279" s="43" t="inlineStr">
        <is>
          <t>278</t>
        </is>
      </c>
      <c r="C279" s="43" t="inlineStr">
        <is>
          <t>FJZP</t>
        </is>
      </c>
      <c r="D279" s="43" t="inlineStr">
        <is>
          <t>Cisco</t>
        </is>
      </c>
      <c r="E279" s="43" t="inlineStr">
        <is>
          <t>MCGA</t>
        </is>
      </c>
      <c r="F279" s="43" t="inlineStr">
        <is>
          <t>239-CRBU</t>
        </is>
      </c>
      <c r="G279" s="43" t="inlineStr">
        <is>
          <t>CTANJZ05417</t>
        </is>
      </c>
      <c r="H279" s="43" t="inlineStr">
        <is>
          <t>Engineering Qualification Build</t>
        </is>
      </c>
      <c r="I279" s="43" t="inlineStr">
        <is>
          <t>Customer Deviation</t>
        </is>
      </c>
      <c r="J279" s="43" t="inlineStr">
        <is>
          <t>D611851</t>
        </is>
      </c>
      <c r="K279" s="33" t="inlineStr">
        <is>
          <t>D611851 Need to qualify M24C64-RMN6TP on 73-102363-05 for Assy Qual Request # : AQR003705149 Which is a Supplier PCN from M24C64-RMN6TP for PCN TYPE : Process Change on GQR GQR000090943 and AQR AQR003705149</t>
        </is>
      </c>
      <c r="L279" s="43" t="inlineStr">
        <is>
          <t>Extended</t>
        </is>
      </c>
      <c r="M279" s="43" t="inlineStr">
        <is>
          <t>73-102363-05</t>
        </is>
      </c>
      <c r="N279" s="43" t="inlineStr"/>
      <c r="O279" s="43" t="inlineStr">
        <is>
          <t>2027-02-02</t>
        </is>
      </c>
      <c r="P279" s="33" t="inlineStr">
        <is>
          <t>Engineering Qualification Build (EXTENDABLE 2x);To track an AML qualification build (EXTENDABLE 2x)</t>
        </is>
      </c>
      <c r="Q279" s="43" t="inlineStr">
        <is>
          <t>Cookie deviation # on units</t>
        </is>
      </c>
      <c r="R279" s="43" t="inlineStr">
        <is>
          <t>2026-08-08</t>
        </is>
      </c>
      <c r="S279" s="43" t="inlineStr">
        <is>
          <t>2026-08-26</t>
        </is>
      </c>
      <c r="T279" s="43" t="inlineStr"/>
      <c r="U279" s="43" t="inlineStr"/>
    </row>
    <row r="280">
      <c r="A280" s="43" t="n">
        <v>280</v>
      </c>
      <c r="B280" s="43" t="inlineStr">
        <is>
          <t>279</t>
        </is>
      </c>
      <c r="C280" s="43" t="inlineStr">
        <is>
          <t>FJZP</t>
        </is>
      </c>
      <c r="D280" s="43" t="inlineStr">
        <is>
          <t>Cisco</t>
        </is>
      </c>
      <c r="E280" s="43" t="inlineStr">
        <is>
          <t>MCGA</t>
        </is>
      </c>
      <c r="F280" s="43" t="inlineStr">
        <is>
          <t>037-STBU</t>
        </is>
      </c>
      <c r="G280" s="43" t="inlineStr">
        <is>
          <t>CTANJZ05535</t>
        </is>
      </c>
      <c r="H280" s="43" t="inlineStr">
        <is>
          <t>To track an AML qualification build (EXTENDABLE 2x)</t>
        </is>
      </c>
      <c r="I280" s="43" t="inlineStr">
        <is>
          <t>Customer Deviation</t>
        </is>
      </c>
      <c r="J280" s="43" t="inlineStr">
        <is>
          <t>D614316</t>
        </is>
      </c>
      <c r="K280" s="33" t="inlineStr">
        <is>
          <t>D614316 NGFWBU GQR: GQR000103856 Case: AQR004810096 CPN: 15-102870-01 ; MFR NAME: DIODES INC; MPN: LSF0108T20-13This deviation instructs Foxconn Juarez (FJZ) to execute a sample buy and conduct a Production Qual build for the following part(s):BU: NGFWBUPF: F1KLOWAffected TAN(s):68-6191-07Affected Item(s): 73-18490-10CPN: 15-102870-01; MFR NAME: DIODES INC; MPN: LSF0108T20-13Build Qty: 10Ref Des: U52To execute the above AQR at CM site; should be tested on Model A.</t>
        </is>
      </c>
      <c r="L280" s="43" t="inlineStr">
        <is>
          <t>CCB</t>
        </is>
      </c>
      <c r="M280" s="43" t="inlineStr">
        <is>
          <t>15-102870-01</t>
        </is>
      </c>
      <c r="N280" s="43" t="inlineStr"/>
      <c r="O280" s="43" t="inlineStr">
        <is>
          <t>2027-01-11</t>
        </is>
      </c>
      <c r="P280" s="33" t="inlineStr">
        <is>
          <t>To track an AML qualification build (EXTENDABLE 2x);Risk Buy Authorization</t>
        </is>
      </c>
      <c r="Q280" s="43" t="inlineStr">
        <is>
          <t>NA</t>
        </is>
      </c>
      <c r="R280" s="43" t="inlineStr">
        <is>
          <t>2026-10-14</t>
        </is>
      </c>
      <c r="S280" s="43" t="inlineStr"/>
      <c r="T280" s="43" t="inlineStr"/>
      <c r="U280" s="43" t="inlineStr"/>
    </row>
    <row r="281">
      <c r="A281" s="43" t="n">
        <v>281</v>
      </c>
      <c r="B281" s="43" t="inlineStr">
        <is>
          <t>280</t>
        </is>
      </c>
      <c r="C281" s="43" t="inlineStr">
        <is>
          <t>FJZP</t>
        </is>
      </c>
      <c r="D281" s="43" t="inlineStr">
        <is>
          <t>Cisco</t>
        </is>
      </c>
      <c r="E281" s="43" t="inlineStr">
        <is>
          <t>MCGA</t>
        </is>
      </c>
      <c r="F281" s="43" t="inlineStr">
        <is>
          <t>037-STBU</t>
        </is>
      </c>
      <c r="G281" s="43" t="inlineStr">
        <is>
          <t>CTANJZ05535</t>
        </is>
      </c>
      <c r="H281" s="43" t="inlineStr">
        <is>
          <t>To track an AML qualification build (EXTENDABLE 2x)</t>
        </is>
      </c>
      <c r="I281" s="43" t="inlineStr">
        <is>
          <t>Customer Deviation</t>
        </is>
      </c>
      <c r="J281" s="43" t="inlineStr">
        <is>
          <t>D614316</t>
        </is>
      </c>
      <c r="K281" s="33" t="inlineStr">
        <is>
          <t>D614316 NGFWBU GQR: GQR000103856 Case: AQR004810096 CPN: 15-102870-01 ; MFR NAME: DIODES INC; MPN: LSF0108T20-13This deviation instructs Foxconn Juarez (FJZ) to execute a sample buy and conduct a Production Qual build for the following part(s):BU: NGFWBUPF: F1KLOWAffected TAN(s):68-6191-07Affected Item(s): 73-18490-10CPN: 15-102870-01; MFR NAME: DIODES INC; MPN: LSF0108T20-13Build Qty: 10Ref Des: U52To execute the above AQR at CM site; should be tested on Model A.</t>
        </is>
      </c>
      <c r="L281" s="43" t="inlineStr">
        <is>
          <t>CCB</t>
        </is>
      </c>
      <c r="M281" s="43" t="inlineStr">
        <is>
          <t>73-18490-10</t>
        </is>
      </c>
      <c r="N281" s="43" t="inlineStr"/>
      <c r="O281" s="43" t="inlineStr">
        <is>
          <t>2027-01-11</t>
        </is>
      </c>
      <c r="P281" s="33" t="inlineStr">
        <is>
          <t>To track an AML qualification build (EXTENDABLE 2x);Risk Buy Authorization</t>
        </is>
      </c>
      <c r="Q281" s="43" t="inlineStr">
        <is>
          <t>NA</t>
        </is>
      </c>
      <c r="R281" s="43" t="inlineStr">
        <is>
          <t>2026-10-14</t>
        </is>
      </c>
      <c r="S281" s="43" t="inlineStr"/>
      <c r="T281" s="43" t="inlineStr"/>
      <c r="U281" s="43" t="inlineStr"/>
    </row>
    <row r="282">
      <c r="A282" s="43" t="n">
        <v>282</v>
      </c>
      <c r="B282" s="43" t="inlineStr">
        <is>
          <t>281</t>
        </is>
      </c>
      <c r="C282" s="43" t="inlineStr">
        <is>
          <t>FJZP</t>
        </is>
      </c>
      <c r="D282" s="43" t="inlineStr">
        <is>
          <t>Cisco</t>
        </is>
      </c>
      <c r="E282" s="43" t="inlineStr">
        <is>
          <t>MCGA</t>
        </is>
      </c>
      <c r="F282" s="43" t="inlineStr">
        <is>
          <t>018-SRGBU</t>
        </is>
      </c>
      <c r="G282" s="43" t="inlineStr">
        <is>
          <t>CTANJZ05536</t>
        </is>
      </c>
      <c r="H282" s="43" t="inlineStr">
        <is>
          <t>Engineering Qualification Build</t>
        </is>
      </c>
      <c r="I282" s="43" t="inlineStr">
        <is>
          <t>Customer Deviation</t>
        </is>
      </c>
      <c r="J282" s="43" t="inlineStr">
        <is>
          <t>D614239</t>
        </is>
      </c>
      <c r="K282" s="33" t="inlineStr">
        <is>
          <t>D614239 Need to qualify BSZ100N03MS G on 73-20198-10</t>
        </is>
      </c>
      <c r="L282" s="43" t="inlineStr">
        <is>
          <t>CCB</t>
        </is>
      </c>
      <c r="M282" s="43" t="inlineStr">
        <is>
          <t>20-0743-01</t>
        </is>
      </c>
      <c r="N282" s="43" t="inlineStr"/>
      <c r="O282" s="43" t="inlineStr">
        <is>
          <t>2027-01-11</t>
        </is>
      </c>
      <c r="P282" s="33" t="inlineStr">
        <is>
          <t>Engineering Qualification Build (EXTENDABLE 2x);To track an AML qualification build (EXTENDABLE 2x)</t>
        </is>
      </c>
      <c r="Q282" s="43" t="inlineStr">
        <is>
          <t>NA</t>
        </is>
      </c>
      <c r="R282" s="43" t="inlineStr">
        <is>
          <t>2026-10-14</t>
        </is>
      </c>
      <c r="S282" s="43" t="inlineStr"/>
      <c r="T282" s="43" t="inlineStr"/>
      <c r="U282" s="43" t="inlineStr"/>
    </row>
    <row r="283">
      <c r="A283" s="43" t="n">
        <v>283</v>
      </c>
      <c r="B283" s="43" t="inlineStr">
        <is>
          <t>282</t>
        </is>
      </c>
      <c r="C283" s="43" t="inlineStr">
        <is>
          <t>FJZP</t>
        </is>
      </c>
      <c r="D283" s="43" t="inlineStr">
        <is>
          <t>Cisco</t>
        </is>
      </c>
      <c r="E283" s="43" t="inlineStr">
        <is>
          <t>MCGA</t>
        </is>
      </c>
      <c r="F283" s="43" t="inlineStr">
        <is>
          <t>037-STBU</t>
        </is>
      </c>
      <c r="G283" s="43" t="inlineStr">
        <is>
          <t>CTANJZ05533</t>
        </is>
      </c>
      <c r="H283" s="43" t="inlineStr">
        <is>
          <t>To track an AML qualification build (EXTENDABLE 2x)</t>
        </is>
      </c>
      <c r="I283" s="43" t="inlineStr">
        <is>
          <t>Customer Deviation</t>
        </is>
      </c>
      <c r="J283" s="43" t="inlineStr">
        <is>
          <t>D614415</t>
        </is>
      </c>
      <c r="K283" s="33" t="inlineStr">
        <is>
          <t>D614415 NGFWBU GQR: GQR000104252 Case: AQR004829994 CPN: 36-0234-01 ; MFR NAME: MAG LAYERS; MPN: BBUPCS160808221Y00This deviation instructs Foxconn Juarez (FJZ) to execute a sample buy and conduct a Production Qual build for the following part(s):BU: NGFWBUPF: FPRHIGHAffected TAN(s):68-103465-07Affected Item(s): 73-102434-06CPN:36-0234-01; MFR NAME: MAG LAYERS; MPN: BBUPCS160808221Y00Build Qty: 5Ref Des: L31;L32To execute the above AQR at CM site; should be tested on Model A.Note: Can be tested on any Warwick model.</t>
        </is>
      </c>
      <c r="L283" s="43" t="inlineStr">
        <is>
          <t>CCB</t>
        </is>
      </c>
      <c r="M283" s="43" t="inlineStr">
        <is>
          <t>36-0234-01</t>
        </is>
      </c>
      <c r="N283" s="43" t="inlineStr"/>
      <c r="O283" s="43" t="inlineStr">
        <is>
          <t>2027-01-11</t>
        </is>
      </c>
      <c r="P283" s="33" t="inlineStr">
        <is>
          <t>To track an AML qualification build (EXTENDABLE 2x);Risk Buy Authorization</t>
        </is>
      </c>
      <c r="Q283" s="43" t="inlineStr">
        <is>
          <t>NA</t>
        </is>
      </c>
      <c r="R283" s="43" t="inlineStr">
        <is>
          <t>2026-10-14</t>
        </is>
      </c>
      <c r="S283" s="43" t="inlineStr"/>
      <c r="T283" s="43" t="inlineStr"/>
      <c r="U283" s="43" t="inlineStr"/>
    </row>
    <row r="284">
      <c r="A284" s="43" t="n">
        <v>284</v>
      </c>
      <c r="B284" s="43" t="inlineStr">
        <is>
          <t>283</t>
        </is>
      </c>
      <c r="C284" s="43" t="inlineStr">
        <is>
          <t>FJZP</t>
        </is>
      </c>
      <c r="D284" s="43" t="inlineStr">
        <is>
          <t>Cisco</t>
        </is>
      </c>
      <c r="E284" s="43" t="inlineStr">
        <is>
          <t>MCGA</t>
        </is>
      </c>
      <c r="F284" s="43" t="inlineStr">
        <is>
          <t>037-STBU</t>
        </is>
      </c>
      <c r="G284" s="43" t="inlineStr">
        <is>
          <t>CTANJZ05533</t>
        </is>
      </c>
      <c r="H284" s="43" t="inlineStr">
        <is>
          <t>To track an AML qualification build (EXTENDABLE 2x)</t>
        </is>
      </c>
      <c r="I284" s="43" t="inlineStr">
        <is>
          <t>Customer Deviation</t>
        </is>
      </c>
      <c r="J284" s="43" t="inlineStr">
        <is>
          <t>D614415</t>
        </is>
      </c>
      <c r="K284" s="33" t="inlineStr">
        <is>
          <t>D614415 NGFWBU GQR: GQR000104252 Case: AQR004829994 CPN: 36-0234-01 ; MFR NAME: MAG LAYERS; MPN: BBUPCS160808221Y00This deviation instructs Foxconn Juarez (FJZ) to execute a sample buy and conduct a Production Qual build for the following part(s):BU: NGFWBUPF: FPRHIGHAffected TAN(s):68-103465-07Affected Item(s): 73-102434-06CPN:36-0234-01; MFR NAME: MAG LAYERS; MPN: BBUPCS160808221Y00Build Qty: 5Ref Des: L31;L32To execute the above AQR at CM site; should be tested on Model A.Note: Can be tested on any Warwick model.</t>
        </is>
      </c>
      <c r="L284" s="43" t="inlineStr">
        <is>
          <t>CCB</t>
        </is>
      </c>
      <c r="M284" s="43" t="inlineStr">
        <is>
          <t>73-102434-06</t>
        </is>
      </c>
      <c r="N284" s="43" t="inlineStr"/>
      <c r="O284" s="43" t="inlineStr">
        <is>
          <t>2027-01-11</t>
        </is>
      </c>
      <c r="P284" s="33" t="inlineStr">
        <is>
          <t>To track an AML qualification build (EXTENDABLE 2x);Risk Buy Authorization</t>
        </is>
      </c>
      <c r="Q284" s="43" t="inlineStr">
        <is>
          <t>NA</t>
        </is>
      </c>
      <c r="R284" s="43" t="inlineStr">
        <is>
          <t>2026-10-14</t>
        </is>
      </c>
      <c r="S284" s="43" t="inlineStr"/>
      <c r="T284" s="43" t="inlineStr"/>
      <c r="U284" s="43" t="inlineStr"/>
    </row>
    <row r="285">
      <c r="A285" s="43" t="n">
        <v>285</v>
      </c>
      <c r="B285" s="43" t="inlineStr">
        <is>
          <t>284</t>
        </is>
      </c>
      <c r="C285" s="43" t="inlineStr">
        <is>
          <t>FJZP</t>
        </is>
      </c>
      <c r="D285" s="43" t="inlineStr">
        <is>
          <t>Cisco</t>
        </is>
      </c>
      <c r="E285" s="43" t="inlineStr">
        <is>
          <t>MCGA</t>
        </is>
      </c>
      <c r="F285" s="43" t="inlineStr">
        <is>
          <t>037-STBU</t>
        </is>
      </c>
      <c r="G285" s="43" t="inlineStr">
        <is>
          <t>CTANJZ05534</t>
        </is>
      </c>
      <c r="H285" s="43" t="inlineStr">
        <is>
          <t>To track an AML qualification build (EXTENDABLE 2x)</t>
        </is>
      </c>
      <c r="I285" s="43" t="inlineStr">
        <is>
          <t>Customer Deviation</t>
        </is>
      </c>
      <c r="J285" s="43" t="inlineStr">
        <is>
          <t>D614416</t>
        </is>
      </c>
      <c r="K285" s="33" t="inlineStr">
        <is>
          <t>D614416 NGFWBU GQR: GQR000104252 Case: AQR004829764 CPN: 36-0234-01 ; MFR NAME: MAG LAYERS; MPN: BBUPCS160808221Y00This deviation instructs Foxconn Juarez (FJZ) to execute a sample buy and conduct a Production Qual build for the following part(s):BU: NGFWBUPF: FPRMID3Affected TAN(s):68-7256-05Affected Item(s): 73-20247-06CPN: 36-0234-01; MFR NAME: MAG LAYERS; MPN: BBUPCS160808221Y00Build Qty: 30Ref Des: L75To execute the above AQR at CM site; should be tested on Model A.</t>
        </is>
      </c>
      <c r="L285" s="43" t="inlineStr">
        <is>
          <t>CCB</t>
        </is>
      </c>
      <c r="M285" s="43" t="inlineStr">
        <is>
          <t>36-0234-01</t>
        </is>
      </c>
      <c r="N285" s="43" t="inlineStr"/>
      <c r="O285" s="43" t="inlineStr">
        <is>
          <t>2027-01-11</t>
        </is>
      </c>
      <c r="P285" s="33" t="inlineStr">
        <is>
          <t>To track an AML qualification build (EXTENDABLE 2x);Risk Buy Authorization</t>
        </is>
      </c>
      <c r="Q285" s="43" t="inlineStr">
        <is>
          <t>NA</t>
        </is>
      </c>
      <c r="R285" s="43" t="inlineStr">
        <is>
          <t>2026-10-14</t>
        </is>
      </c>
      <c r="S285" s="43" t="inlineStr"/>
      <c r="T285" s="43" t="inlineStr"/>
      <c r="U285" s="43" t="inlineStr"/>
    </row>
    <row r="286">
      <c r="A286" s="43" t="n">
        <v>286</v>
      </c>
      <c r="B286" s="43" t="inlineStr">
        <is>
          <t>285</t>
        </is>
      </c>
      <c r="C286" s="43" t="inlineStr">
        <is>
          <t>FJZP</t>
        </is>
      </c>
      <c r="D286" s="43" t="inlineStr">
        <is>
          <t>Cisco</t>
        </is>
      </c>
      <c r="E286" s="43" t="inlineStr">
        <is>
          <t>MCGA</t>
        </is>
      </c>
      <c r="F286" s="43" t="inlineStr">
        <is>
          <t>037-STBU</t>
        </is>
      </c>
      <c r="G286" s="43" t="inlineStr">
        <is>
          <t>CTANJZ05534</t>
        </is>
      </c>
      <c r="H286" s="43" t="inlineStr">
        <is>
          <t>To track an AML qualification build (EXTENDABLE 2x)</t>
        </is>
      </c>
      <c r="I286" s="43" t="inlineStr">
        <is>
          <t>Customer Deviation</t>
        </is>
      </c>
      <c r="J286" s="43" t="inlineStr">
        <is>
          <t>D614416</t>
        </is>
      </c>
      <c r="K286" s="33" t="inlineStr">
        <is>
          <t>D614416 NGFWBU GQR: GQR000104252 Case: AQR004829764 CPN: 36-0234-01 ; MFR NAME: MAG LAYERS; MPN: BBUPCS160808221Y00This deviation instructs Foxconn Juarez (FJZ) to execute a sample buy and conduct a Production Qual build for the following part(s):BU: NGFWBUPF: FPRMID3Affected TAN(s):68-7256-05Affected Item(s): 73-20247-06CPN: 36-0234-01; MFR NAME: MAG LAYERS; MPN: BBUPCS160808221Y00Build Qty: 30Ref Des: L75To execute the above AQR at CM site; should be tested on Model A.</t>
        </is>
      </c>
      <c r="L286" s="43" t="inlineStr">
        <is>
          <t>CCB</t>
        </is>
      </c>
      <c r="M286" s="43" t="inlineStr">
        <is>
          <t>73-20247-06</t>
        </is>
      </c>
      <c r="N286" s="43" t="inlineStr"/>
      <c r="O286" s="43" t="inlineStr">
        <is>
          <t>2027-01-11</t>
        </is>
      </c>
      <c r="P286" s="33" t="inlineStr">
        <is>
          <t>To track an AML qualification build (EXTENDABLE 2x);Risk Buy Authorization</t>
        </is>
      </c>
      <c r="Q286" s="43" t="inlineStr">
        <is>
          <t>NA</t>
        </is>
      </c>
      <c r="R286" s="43" t="inlineStr">
        <is>
          <t>2026-10-14</t>
        </is>
      </c>
      <c r="S286" s="43" t="inlineStr"/>
      <c r="T286" s="43" t="inlineStr"/>
      <c r="U286" s="43" t="inlineStr"/>
    </row>
    <row r="287">
      <c r="A287" s="43" t="n">
        <v>287</v>
      </c>
      <c r="B287" s="43" t="inlineStr">
        <is>
          <t>286</t>
        </is>
      </c>
      <c r="C287" s="43" t="inlineStr">
        <is>
          <t>FJZP</t>
        </is>
      </c>
      <c r="D287" s="43" t="inlineStr">
        <is>
          <t>Cisco</t>
        </is>
      </c>
      <c r="E287" s="43" t="inlineStr">
        <is>
          <t>MCGA</t>
        </is>
      </c>
      <c r="F287" s="43" t="inlineStr">
        <is>
          <t>037-STBU</t>
        </is>
      </c>
      <c r="G287" s="43" t="inlineStr">
        <is>
          <t>CTANJZ05410</t>
        </is>
      </c>
      <c r="H287" s="43" t="inlineStr">
        <is>
          <t>To track an AML qualification build (EXTENDABLE 2x)</t>
        </is>
      </c>
      <c r="I287" s="43" t="inlineStr">
        <is>
          <t>Customer Deviation</t>
        </is>
      </c>
      <c r="J287" s="43" t="inlineStr">
        <is>
          <t>D612424</t>
        </is>
      </c>
      <c r="K287" s="33" t="inlineStr">
        <is>
          <t>D612424 Please see PageThree for details</t>
        </is>
      </c>
      <c r="L287" s="43" t="inlineStr">
        <is>
          <t>FAI Status</t>
        </is>
      </c>
      <c r="M287" s="43" t="inlineStr">
        <is>
          <t>28-102178-04</t>
        </is>
      </c>
      <c r="N287" s="43" t="inlineStr"/>
      <c r="O287" s="43" t="inlineStr">
        <is>
          <t>2026-10-28</t>
        </is>
      </c>
      <c r="P287" s="33" t="inlineStr">
        <is>
          <t>To track an AML qualification build (EXTENDABLE 2x)</t>
        </is>
      </c>
      <c r="Q287" s="43" t="inlineStr">
        <is>
          <t>Place Deviation Label Visibly</t>
        </is>
      </c>
      <c r="R287" s="43" t="inlineStr">
        <is>
          <t>2026-07-31</t>
        </is>
      </c>
      <c r="S287" s="43" t="inlineStr">
        <is>
          <t>2026-09-03</t>
        </is>
      </c>
      <c r="T287" s="43" t="inlineStr"/>
      <c r="U287" s="43" t="inlineStr"/>
    </row>
    <row r="288">
      <c r="A288" s="43" t="n">
        <v>288</v>
      </c>
      <c r="B288" s="43" t="inlineStr">
        <is>
          <t>287</t>
        </is>
      </c>
      <c r="C288" s="43" t="inlineStr">
        <is>
          <t>FJZP</t>
        </is>
      </c>
      <c r="D288" s="43" t="inlineStr">
        <is>
          <t>Cisco</t>
        </is>
      </c>
      <c r="E288" s="43" t="inlineStr">
        <is>
          <t>MCGA</t>
        </is>
      </c>
      <c r="F288" s="43" t="inlineStr">
        <is>
          <t>037-STBU</t>
        </is>
      </c>
      <c r="G288" s="43" t="inlineStr">
        <is>
          <t>CTANJZ05410</t>
        </is>
      </c>
      <c r="H288" s="43" t="inlineStr">
        <is>
          <t>To track an AML qualification build (EXTENDABLE 2x)</t>
        </is>
      </c>
      <c r="I288" s="43" t="inlineStr">
        <is>
          <t>Customer Deviation</t>
        </is>
      </c>
      <c r="J288" s="43" t="inlineStr">
        <is>
          <t>D612424</t>
        </is>
      </c>
      <c r="K288" s="33" t="inlineStr">
        <is>
          <t>D612424 Please see PageThree for details</t>
        </is>
      </c>
      <c r="L288" s="43" t="inlineStr">
        <is>
          <t>FAI Status</t>
        </is>
      </c>
      <c r="M288" s="43" t="inlineStr">
        <is>
          <t>68-7255-05</t>
        </is>
      </c>
      <c r="N288" s="43" t="inlineStr"/>
      <c r="O288" s="43" t="inlineStr">
        <is>
          <t>2026-10-28</t>
        </is>
      </c>
      <c r="P288" s="33" t="inlineStr">
        <is>
          <t>To track an AML qualification build (EXTENDABLE 2x)</t>
        </is>
      </c>
      <c r="Q288" s="43" t="inlineStr">
        <is>
          <t>Place Deviation Label Visibly</t>
        </is>
      </c>
      <c r="R288" s="43" t="inlineStr">
        <is>
          <t>2026-07-31</t>
        </is>
      </c>
      <c r="S288" s="43" t="inlineStr">
        <is>
          <t>2026-09-03</t>
        </is>
      </c>
      <c r="T288" s="43" t="inlineStr"/>
      <c r="U288" s="43" t="inlineStr"/>
    </row>
    <row r="289">
      <c r="A289" s="43" t="n">
        <v>289</v>
      </c>
      <c r="B289" s="43" t="inlineStr">
        <is>
          <t>288</t>
        </is>
      </c>
      <c r="C289" s="43" t="inlineStr">
        <is>
          <t>FJZP</t>
        </is>
      </c>
      <c r="D289" s="43" t="inlineStr">
        <is>
          <t>Cisco</t>
        </is>
      </c>
      <c r="E289" s="43" t="inlineStr">
        <is>
          <t>MCGA</t>
        </is>
      </c>
      <c r="F289" s="43" t="inlineStr">
        <is>
          <t>018-SRGBU</t>
        </is>
      </c>
      <c r="G289" s="43" t="inlineStr">
        <is>
          <t>CTANJZ05536</t>
        </is>
      </c>
      <c r="H289" s="43" t="inlineStr">
        <is>
          <t>New Release</t>
        </is>
      </c>
      <c r="I289" s="43" t="inlineStr">
        <is>
          <t>Customer Deviation</t>
        </is>
      </c>
      <c r="J289" s="43" t="inlineStr">
        <is>
          <t>D614239</t>
        </is>
      </c>
      <c r="K289" s="33" t="inlineStr">
        <is>
          <t>D614239 Need to qualify BSZ100N03MS G on 73-20198-10</t>
        </is>
      </c>
      <c r="L289" s="43" t="inlineStr">
        <is>
          <t>Pending</t>
        </is>
      </c>
      <c r="M289" s="43" t="inlineStr">
        <is>
          <t>73-20198-10</t>
        </is>
      </c>
      <c r="N289" s="43" t="inlineStr"/>
      <c r="O289" s="43" t="inlineStr">
        <is>
          <t>2027-01-11</t>
        </is>
      </c>
      <c r="P289" s="33" t="inlineStr">
        <is>
          <t>Engineering Qualification Build (EXTENDABLE 2x);To track an AML qualification build (EXTENDABLE 2x)</t>
        </is>
      </c>
      <c r="Q289" s="43" t="inlineStr">
        <is>
          <t>NA</t>
        </is>
      </c>
      <c r="R289" s="43" t="inlineStr">
        <is>
          <t>2026-10-14</t>
        </is>
      </c>
      <c r="S289" s="43" t="inlineStr"/>
      <c r="T289" s="43" t="inlineStr"/>
      <c r="U289" s="43" t="inlineStr"/>
    </row>
    <row r="290">
      <c r="A290" s="43" t="n">
        <v>290</v>
      </c>
      <c r="B290" s="43" t="inlineStr">
        <is>
          <t>289</t>
        </is>
      </c>
      <c r="C290" s="43" t="inlineStr">
        <is>
          <t>FJZP</t>
        </is>
      </c>
      <c r="D290" s="43" t="inlineStr">
        <is>
          <t>Cisco</t>
        </is>
      </c>
      <c r="E290" s="43" t="inlineStr">
        <is>
          <t>MCGA</t>
        </is>
      </c>
      <c r="F290" s="43" t="inlineStr">
        <is>
          <t>239-CRBU</t>
        </is>
      </c>
      <c r="G290" s="43" t="inlineStr">
        <is>
          <t>CTANJZ05533</t>
        </is>
      </c>
      <c r="H290" s="43" t="inlineStr">
        <is>
          <t>New Release</t>
        </is>
      </c>
      <c r="I290" s="43" t="inlineStr">
        <is>
          <t>Customer Deviation</t>
        </is>
      </c>
      <c r="J290" s="43" t="inlineStr">
        <is>
          <t>D614415</t>
        </is>
      </c>
      <c r="K290" s="33" t="inlineStr">
        <is>
          <t>D614415 NGFWBU GQR: GQR000104252 Case: AQR004829994 CPN: 36-0234-01 ; MFR NAME: MAG LAYERS; MPN: BBUPCS160808221Y00  This deviation instructs Foxconn Juarez (FJZ) to execute a sample buy and conduct a Production Qual build for the following part(s):  BU: NGFWBU PF: FPRHIGH Affected TAN(s):68-103465-07 Affected Item(s): 73-102434-06 CPN:36-0234-01; MFR NAME: MAG LAYERS; MPN: BBUPCS160808221Y00 Build Qty: 5 Ref Des: L31;L32  To execute the above AQR at CM site; should be tested on Model A. Note: Can be tested on any Warwick model.</t>
        </is>
      </c>
      <c r="L290" s="43" t="inlineStr">
        <is>
          <t>Pending</t>
        </is>
      </c>
      <c r="M290" s="43" t="inlineStr">
        <is>
          <t>36-0234-01</t>
        </is>
      </c>
      <c r="N290" s="43" t="inlineStr"/>
      <c r="O290" s="43" t="inlineStr">
        <is>
          <t>2027-01-11</t>
        </is>
      </c>
      <c r="P290" s="33" t="inlineStr">
        <is>
          <t>To track an AML qualification build (EXTENDABLE 2x);Risk Buy Authorization</t>
        </is>
      </c>
      <c r="Q290" s="43" t="inlineStr">
        <is>
          <t>NA</t>
        </is>
      </c>
      <c r="R290" s="43" t="inlineStr">
        <is>
          <t>2026-10-14</t>
        </is>
      </c>
      <c r="S290" s="43" t="inlineStr"/>
      <c r="T290" s="43" t="inlineStr"/>
      <c r="U290" s="43" t="inlineStr"/>
    </row>
    <row r="291">
      <c r="A291" s="43" t="n">
        <v>291</v>
      </c>
      <c r="B291" s="43" t="inlineStr">
        <is>
          <t>290</t>
        </is>
      </c>
      <c r="C291" s="43" t="inlineStr">
        <is>
          <t>FJZP</t>
        </is>
      </c>
      <c r="D291" s="43" t="inlineStr">
        <is>
          <t>Cisco</t>
        </is>
      </c>
      <c r="E291" s="43" t="inlineStr">
        <is>
          <t>MCGA</t>
        </is>
      </c>
      <c r="F291" s="43" t="inlineStr">
        <is>
          <t>239-CRBU</t>
        </is>
      </c>
      <c r="G291" s="43" t="inlineStr">
        <is>
          <t>CTANJZ05533</t>
        </is>
      </c>
      <c r="H291" s="43" t="inlineStr">
        <is>
          <t>New Release</t>
        </is>
      </c>
      <c r="I291" s="43" t="inlineStr">
        <is>
          <t>Customer Deviation</t>
        </is>
      </c>
      <c r="J291" s="43" t="inlineStr">
        <is>
          <t>D614415</t>
        </is>
      </c>
      <c r="K291" s="33" t="inlineStr">
        <is>
          <t>D614415 NGFWBU GQR: GQR000104252 Case: AQR004829994 CPN: 36-0234-01 ; MFR NAME: MAG LAYERS; MPN: BBUPCS160808221Y00  This deviation instructs Foxconn Juarez (FJZ) to execute a sample buy and conduct a Production Qual build for the following part(s):  BU: NGFWBU PF: FPRHIGH Affected TAN(s):68-103465-07 Affected Item(s): 73-102434-06 CPN:36-0234-01; MFR NAME: MAG LAYERS; MPN: BBUPCS160808221Y00 Build Qty: 5 Ref Des: L31;L32  To execute the above AQR at CM site; should be tested on Model A. Note: Can be tested on any Warwick model.</t>
        </is>
      </c>
      <c r="L291" s="43" t="inlineStr">
        <is>
          <t>Pending</t>
        </is>
      </c>
      <c r="M291" s="43" t="inlineStr">
        <is>
          <t>73-102434-06</t>
        </is>
      </c>
      <c r="N291" s="43" t="inlineStr"/>
      <c r="O291" s="43" t="inlineStr">
        <is>
          <t>2027-01-11</t>
        </is>
      </c>
      <c r="P291" s="33" t="inlineStr">
        <is>
          <t>To track an AML qualification build (EXTENDABLE 2x);Risk Buy Authorization</t>
        </is>
      </c>
      <c r="Q291" s="43" t="inlineStr">
        <is>
          <t>NA</t>
        </is>
      </c>
      <c r="R291" s="43" t="inlineStr">
        <is>
          <t>2026-10-14</t>
        </is>
      </c>
      <c r="S291" s="43" t="inlineStr"/>
      <c r="T291" s="43" t="inlineStr"/>
      <c r="U291" s="43" t="inlineStr"/>
    </row>
    <row r="292">
      <c r="A292" s="43" t="n">
        <v>292</v>
      </c>
      <c r="B292" s="43" t="inlineStr">
        <is>
          <t>291</t>
        </is>
      </c>
      <c r="C292" s="43" t="inlineStr">
        <is>
          <t>FJZP</t>
        </is>
      </c>
      <c r="D292" s="43" t="inlineStr">
        <is>
          <t>Cisco</t>
        </is>
      </c>
      <c r="E292" s="43" t="inlineStr">
        <is>
          <t>MCGA</t>
        </is>
      </c>
      <c r="F292" s="43" t="inlineStr">
        <is>
          <t>035-CVEBU</t>
        </is>
      </c>
      <c r="G292" s="43" t="inlineStr">
        <is>
          <t>CTANJZ05303</t>
        </is>
      </c>
      <c r="H292" s="43" t="inlineStr">
        <is>
          <t>To track an AML qualification build (EXTENDABLE)</t>
        </is>
      </c>
      <c r="I292" s="43" t="inlineStr">
        <is>
          <t>Customer Deviation</t>
        </is>
      </c>
      <c r="J292" s="43" t="inlineStr">
        <is>
          <t>DP526278</t>
        </is>
      </c>
      <c r="K292" s="33" t="inlineStr">
        <is>
          <t>DP526278 CVEBU; Risk buy of NDAA Stylus for use in PictorisAffected items74-137567-02; TPASY-OTHER;ACCESSORY; DESK PRO STYLUS;NDAA  Risk buy instruction to FJZ DF Site- FJZ DF site is hereby instructed to place following risk buy PO   - 1000 pieces of 74-137567-02/74-137567-02 from Wacom with fastest possible ETD   - 1000 pieces of 74-137567-02/74-137567-02 from Wacom with ETD March 1st 2027</t>
        </is>
      </c>
      <c r="L292" s="43" t="inlineStr">
        <is>
          <t>Expired</t>
        </is>
      </c>
      <c r="M292" s="43" t="inlineStr">
        <is>
          <t>74-137567-02</t>
        </is>
      </c>
      <c r="N292" s="43" t="inlineStr"/>
      <c r="O292" s="43" t="inlineStr">
        <is>
          <t>2026-08-17</t>
        </is>
      </c>
      <c r="P292" s="33" t="inlineStr"/>
      <c r="Q292" s="43" t="inlineStr">
        <is>
          <t>No marking needed</t>
        </is>
      </c>
      <c r="R292" s="43" t="inlineStr">
        <is>
          <t>2026-06-20</t>
        </is>
      </c>
      <c r="S292" s="43" t="inlineStr">
        <is>
          <t>2026-07-02</t>
        </is>
      </c>
      <c r="T292" s="43" t="inlineStr"/>
      <c r="U292" s="43" t="inlineStr"/>
    </row>
    <row r="293">
      <c r="A293" s="43" t="n">
        <v>293</v>
      </c>
      <c r="B293" s="43" t="inlineStr">
        <is>
          <t>292</t>
        </is>
      </c>
      <c r="C293" s="43" t="inlineStr">
        <is>
          <t>FJZP</t>
        </is>
      </c>
      <c r="D293" s="43" t="inlineStr">
        <is>
          <t>Cisco</t>
        </is>
      </c>
      <c r="E293" s="43" t="inlineStr">
        <is>
          <t>MCGA</t>
        </is>
      </c>
      <c r="F293" s="43" t="inlineStr">
        <is>
          <t>035-CVEBU</t>
        </is>
      </c>
      <c r="G293" s="43" t="inlineStr">
        <is>
          <t>CTANJZ05263</t>
        </is>
      </c>
      <c r="H293" s="43" t="inlineStr">
        <is>
          <t>To track an AML qualification build (EXTENDABLE 2x)</t>
        </is>
      </c>
      <c r="I293" s="43" t="inlineStr">
        <is>
          <t>Customer Deviation</t>
        </is>
      </c>
      <c r="J293" s="43" t="inlineStr">
        <is>
          <t>D611492</t>
        </is>
      </c>
      <c r="K293" s="33" t="inlineStr">
        <is>
          <t>D611492 CVEBU;TaylorThis deviation corrects D610922 which addressed FVN to do this test build. It is now decided that it shall be performed by FJZ.800-125478-01 FNLASY-ELMECH;MODULE;PICTORIS UNIT CARBON  In BOM:800-115480-02 ASY-ELMECH;CPU;PICTORIS;MB WITH TAYLOR 16GB LOW  In BOM:800-126978-03  /73-103922-04 -C2 PCA;TAYLOR LOW MODULE WITH HYNIX 16GB LPDDR5  In BOM:28-103228-04 -A0 PCBFAB;12 L;EM-370(Z);OSP;47.2 mil;TAYLOR;2-UPQualified: Gold    28-103228-04_S120_M210Qualified: AKM     28-103228-04_S115_M210IPQ:       Founder 28-103228-04_S606_M210FJZ shall build 10 pcs Taylor PCBAs (5 pcb panels) using the IPQ PCB from Founder.The Taylor LOW PCBAs shall be consumed onto Pictoris Main Board assemblies.2 pcs Pictoris Main Boards shall be DEV fused and sent to Cisco Lysaker Norway for EDVT.After successfull EDVT; the remaining 8 pcs Pictoris Main Board assemblies shall be used to complete 8 pcs Pictoris units. These shall be fed through ORT before shipping to the end-customers.</t>
        </is>
      </c>
      <c r="L293" s="43" t="inlineStr">
        <is>
          <t>Expired</t>
        </is>
      </c>
      <c r="M293" s="43" t="inlineStr">
        <is>
          <t>28-103228-04</t>
        </is>
      </c>
      <c r="N293" s="43" t="inlineStr"/>
      <c r="O293" s="43" t="inlineStr">
        <is>
          <t>2026-08-19</t>
        </is>
      </c>
      <c r="P293" s="33" t="inlineStr">
        <is>
          <t>To track an AML qualification build (EXTENDABLE 2x)</t>
        </is>
      </c>
      <c r="Q293" s="43" t="inlineStr">
        <is>
          <t>Add a label saying Dxxxxxx close to the serial number label on the 2 pcs Pictoris Main Board assemblies sent to Lysaker Norway for EDVT</t>
        </is>
      </c>
      <c r="R293" s="43" t="inlineStr">
        <is>
          <t>2026-05-22</t>
        </is>
      </c>
      <c r="S293" s="43" t="inlineStr">
        <is>
          <t>2026-06-01</t>
        </is>
      </c>
      <c r="T293" s="43" t="inlineStr"/>
      <c r="U293" s="43" t="inlineStr"/>
    </row>
    <row r="294">
      <c r="A294" s="43" t="n">
        <v>294</v>
      </c>
      <c r="B294" s="43" t="inlineStr">
        <is>
          <t>293</t>
        </is>
      </c>
      <c r="C294" s="43" t="inlineStr">
        <is>
          <t>FJZP</t>
        </is>
      </c>
      <c r="D294" s="43" t="inlineStr">
        <is>
          <t>Cisco</t>
        </is>
      </c>
      <c r="E294" s="43" t="inlineStr">
        <is>
          <t>MCGA</t>
        </is>
      </c>
      <c r="F294" s="43" t="inlineStr">
        <is>
          <t>035-CVEBU</t>
        </is>
      </c>
      <c r="G294" s="43" t="inlineStr">
        <is>
          <t>CTANJZ05263</t>
        </is>
      </c>
      <c r="H294" s="43" t="inlineStr">
        <is>
          <t>To track an AML qualification build (EXTENDABLE 2x)</t>
        </is>
      </c>
      <c r="I294" s="43" t="inlineStr">
        <is>
          <t>Customer Deviation</t>
        </is>
      </c>
      <c r="J294" s="43" t="inlineStr">
        <is>
          <t>D611492</t>
        </is>
      </c>
      <c r="K294" s="33" t="inlineStr">
        <is>
          <t>D611492 CVEBU;TaylorThis deviation corrects D610922 which addressed FVN to do this test build. It is now decided that it shall be performed by FJZ.800-125478-01 FNLASY-ELMECH;MODULE;PICTORIS UNIT CARBON  In BOM:800-115480-02 ASY-ELMECH;CPU;PICTORIS;MB WITH TAYLOR 16GB LOW  In BOM:800-126978-03  /73-103922-04 -C2 PCA;TAYLOR LOW MODULE WITH HYNIX 16GB LPDDR5  In BOM:28-103228-04 -A0 PCBFAB;12 L;EM-370(Z);OSP;47.2 mil;TAYLOR;2-UPQualified: Gold    28-103228-04_S120_M210Qualified: AKM     28-103228-04_S115_M210IPQ:       Founder 28-103228-04_S606_M210FJZ shall build 10 pcs Taylor PCBAs (5 pcb panels) using the IPQ PCB from Founder.The Taylor LOW PCBAs shall be consumed onto Pictoris Main Board assemblies.2 pcs Pictoris Main Boards shall be DEV fused and sent to Cisco Lysaker Norway for EDVT.After successfull EDVT; the remaining 8 pcs Pictoris Main Board assemblies shall be used to complete 8 pcs Pictoris units. These shall be fed through ORT before shipping to the end-customers.</t>
        </is>
      </c>
      <c r="L294" s="43" t="inlineStr">
        <is>
          <t>Expired</t>
        </is>
      </c>
      <c r="M294" s="43" t="inlineStr">
        <is>
          <t>73-103922-04</t>
        </is>
      </c>
      <c r="N294" s="43" t="inlineStr"/>
      <c r="O294" s="43" t="inlineStr">
        <is>
          <t>2026-08-19</t>
        </is>
      </c>
      <c r="P294" s="33" t="inlineStr">
        <is>
          <t>To track an AML qualification build (EXTENDABLE 2x)</t>
        </is>
      </c>
      <c r="Q294" s="43" t="inlineStr">
        <is>
          <t>Add a label saying Dxxxxxx close to the serial number label on the 2 pcs Pictoris Main Board assemblies sent to Lysaker Norway for EDVT</t>
        </is>
      </c>
      <c r="R294" s="43" t="inlineStr">
        <is>
          <t>2026-05-22</t>
        </is>
      </c>
      <c r="S294" s="43" t="inlineStr">
        <is>
          <t>2026-06-01</t>
        </is>
      </c>
      <c r="T294" s="43" t="inlineStr"/>
      <c r="U294" s="43" t="inlineStr"/>
    </row>
    <row r="295">
      <c r="A295" s="43" t="n">
        <v>295</v>
      </c>
      <c r="B295" s="43" t="inlineStr">
        <is>
          <t>294</t>
        </is>
      </c>
      <c r="C295" s="43" t="inlineStr">
        <is>
          <t>FJZP</t>
        </is>
      </c>
      <c r="D295" s="43" t="inlineStr">
        <is>
          <t>Cisco</t>
        </is>
      </c>
      <c r="E295" s="43" t="inlineStr">
        <is>
          <t>MCGA</t>
        </is>
      </c>
      <c r="F295" s="43" t="inlineStr">
        <is>
          <t>035-CVEBU</t>
        </is>
      </c>
      <c r="G295" s="43" t="inlineStr">
        <is>
          <t>CTANJZ05346</t>
        </is>
      </c>
      <c r="H295" s="43" t="inlineStr">
        <is>
          <t>To track an AML qualification build (EXTENDABLE)</t>
        </is>
      </c>
      <c r="I295" s="43" t="inlineStr">
        <is>
          <t>Customer Deviation</t>
        </is>
      </c>
      <c r="J295" s="43" t="inlineStr">
        <is>
          <t>DP526305</t>
        </is>
      </c>
      <c r="K295" s="33" t="inlineStr">
        <is>
          <t>DP526305CVEBU; Risk buy of NDAA components for use in HeimdallAffected items28-104144-03; PCBFAB;10 L;NP-175FM;OSP;122x120 MM;HEIMDALL MAINBOARD (28-103260-03);NDAA28-104146-05; PCBFAB;4 L;NP-175FM;OSP ONLY;339x339 MM;HEIMDALL MIC BOARD (28-103261-05);NDAA  Risk buy instruction to FJZ- FJZ is hereby instructed to place following risk buy POs   - 674 pieces of 28-104144-03/28-103260-03_S802_M604 with fastest possible ETD from TTM MY   - 300 pieces of 28-104146-05/28-103261-05_S603_M604 with fastest possible ETD from VGT TH   - 300 pieces of 28-104146-05/28-103261-05_S603_M604 with ETD March 1st 2027 from VGT THCisco Contact: Lee Hudson and Jarle Aasland</t>
        </is>
      </c>
      <c r="L295" s="43" t="inlineStr">
        <is>
          <t>Expired</t>
        </is>
      </c>
      <c r="M295" s="43" t="inlineStr">
        <is>
          <t>28-104144-03</t>
        </is>
      </c>
      <c r="N295" s="43" t="inlineStr"/>
      <c r="O295" s="43" t="inlineStr">
        <is>
          <t>2026-08-23</t>
        </is>
      </c>
      <c r="P295" s="33" t="inlineStr"/>
      <c r="Q295" s="43" t="inlineStr">
        <is>
          <t>No marking needed</t>
        </is>
      </c>
      <c r="R295" s="43" t="inlineStr">
        <is>
          <t>2026-07-10</t>
        </is>
      </c>
      <c r="S295" s="43" t="inlineStr">
        <is>
          <t>2026-07-21</t>
        </is>
      </c>
      <c r="T295" s="43" t="inlineStr"/>
      <c r="U295" s="43" t="inlineStr"/>
    </row>
    <row r="296">
      <c r="A296" s="43" t="n">
        <v>296</v>
      </c>
      <c r="B296" s="43" t="inlineStr">
        <is>
          <t>295</t>
        </is>
      </c>
      <c r="C296" s="43" t="inlineStr">
        <is>
          <t>FJZP</t>
        </is>
      </c>
      <c r="D296" s="43" t="inlineStr">
        <is>
          <t>Cisco</t>
        </is>
      </c>
      <c r="E296" s="43" t="inlineStr">
        <is>
          <t>MCGA</t>
        </is>
      </c>
      <c r="F296" s="43" t="inlineStr">
        <is>
          <t>035-CVEBU</t>
        </is>
      </c>
      <c r="G296" s="43" t="inlineStr">
        <is>
          <t>CTANJZ05346</t>
        </is>
      </c>
      <c r="H296" s="43" t="inlineStr">
        <is>
          <t>To track an AML qualification build (EXTENDABLE)</t>
        </is>
      </c>
      <c r="I296" s="43" t="inlineStr">
        <is>
          <t>Customer Deviation</t>
        </is>
      </c>
      <c r="J296" s="43" t="inlineStr">
        <is>
          <t>DP526305</t>
        </is>
      </c>
      <c r="K296" s="33" t="inlineStr">
        <is>
          <t>DP526305CVEBU; Risk buy of NDAA components for use in HeimdallAffected items28-104144-03; PCBFAB;10 L;NP-175FM;OSP;122x120 MM;HEIMDALL MAINBOARD (28-103260-03);NDAA28-104146-05; PCBFAB;4 L;NP-175FM;OSP ONLY;339x339 MM;HEIMDALL MIC BOARD (28-103261-05);NDAA  Risk buy instruction to FJZ- FJZ is hereby instructed to place following risk buy POs   - 674 pieces of 28-104144-03/28-103260-03_S802_M604 with fastest possible ETD from TTM MY   - 300 pieces of 28-104146-05/28-103261-05_S603_M604 with fastest possible ETD from VGT TH   - 300 pieces of 28-104146-05/28-103261-05_S603_M604 with ETD March 1st 2027 from VGT THCisco Contact: Lee Hudson and Jarle Aasland</t>
        </is>
      </c>
      <c r="L296" s="43" t="inlineStr">
        <is>
          <t>Expired</t>
        </is>
      </c>
      <c r="M296" s="43" t="inlineStr">
        <is>
          <t>28-104146-05</t>
        </is>
      </c>
      <c r="N296" s="43" t="inlineStr"/>
      <c r="O296" s="43" t="inlineStr">
        <is>
          <t>2026-08-23</t>
        </is>
      </c>
      <c r="P296" s="33" t="inlineStr"/>
      <c r="Q296" s="43" t="inlineStr">
        <is>
          <t>No marking needed</t>
        </is>
      </c>
      <c r="R296" s="43" t="inlineStr">
        <is>
          <t>2026-07-10</t>
        </is>
      </c>
      <c r="S296" s="43" t="inlineStr">
        <is>
          <t>2026-07-21</t>
        </is>
      </c>
      <c r="T296" s="43" t="inlineStr"/>
      <c r="U296" s="43" t="inlineStr"/>
    </row>
    <row r="297">
      <c r="A297" s="43" t="n">
        <v>297</v>
      </c>
      <c r="B297" s="43" t="inlineStr">
        <is>
          <t>296</t>
        </is>
      </c>
      <c r="C297" s="43" t="inlineStr">
        <is>
          <t>FJZP</t>
        </is>
      </c>
      <c r="D297" s="43" t="inlineStr">
        <is>
          <t>Cisco</t>
        </is>
      </c>
      <c r="E297" s="43" t="inlineStr">
        <is>
          <t>MCGA</t>
        </is>
      </c>
      <c r="F297" s="43" t="inlineStr">
        <is>
          <t>037-STBU</t>
        </is>
      </c>
      <c r="G297" s="43" t="inlineStr">
        <is>
          <t>CTANJZ05410</t>
        </is>
      </c>
      <c r="H297" s="43" t="inlineStr">
        <is>
          <t>To track an AML qualification build (EXTENDABLE 2x)</t>
        </is>
      </c>
      <c r="I297" s="43" t="inlineStr">
        <is>
          <t>Customer Deviation</t>
        </is>
      </c>
      <c r="J297" s="43" t="inlineStr">
        <is>
          <t>D612424</t>
        </is>
      </c>
      <c r="K297" s="33" t="inlineStr">
        <is>
          <t>D612424 Please see PageThree for details</t>
        </is>
      </c>
      <c r="L297" s="43" t="inlineStr">
        <is>
          <t>FAI Status</t>
        </is>
      </c>
      <c r="M297" s="43" t="inlineStr">
        <is>
          <t>68-7256-05</t>
        </is>
      </c>
      <c r="N297" s="43" t="inlineStr"/>
      <c r="O297" s="43" t="inlineStr">
        <is>
          <t>2026-10-28</t>
        </is>
      </c>
      <c r="P297" s="33" t="inlineStr">
        <is>
          <t>To track an AML qualification build (EXTENDABLE 2x)</t>
        </is>
      </c>
      <c r="Q297" s="43" t="inlineStr">
        <is>
          <t>Place Deviation Label Visibly</t>
        </is>
      </c>
      <c r="R297" s="43" t="inlineStr">
        <is>
          <t>2026-07-31</t>
        </is>
      </c>
      <c r="S297" s="43" t="inlineStr">
        <is>
          <t>2026-09-03</t>
        </is>
      </c>
      <c r="T297" s="43" t="inlineStr"/>
      <c r="U297" s="43" t="inlineStr"/>
    </row>
    <row r="298">
      <c r="A298" s="43" t="n">
        <v>298</v>
      </c>
      <c r="B298" s="43" t="inlineStr">
        <is>
          <t>297</t>
        </is>
      </c>
      <c r="C298" s="43" t="inlineStr">
        <is>
          <t>FJZP</t>
        </is>
      </c>
      <c r="D298" s="43" t="inlineStr">
        <is>
          <t>Cisco</t>
        </is>
      </c>
      <c r="E298" s="43" t="inlineStr">
        <is>
          <t>MCGA</t>
        </is>
      </c>
      <c r="F298" s="43" t="inlineStr">
        <is>
          <t>037-STBU</t>
        </is>
      </c>
      <c r="G298" s="43" t="inlineStr">
        <is>
          <t>CTANJZ05410</t>
        </is>
      </c>
      <c r="H298" s="43" t="inlineStr">
        <is>
          <t>To track an AML qualification build (EXTENDABLE 2x)</t>
        </is>
      </c>
      <c r="I298" s="43" t="inlineStr">
        <is>
          <t>Customer Deviation</t>
        </is>
      </c>
      <c r="J298" s="43" t="inlineStr">
        <is>
          <t>D612424</t>
        </is>
      </c>
      <c r="K298" s="33" t="inlineStr">
        <is>
          <t>D612424 Please see PageThree for details</t>
        </is>
      </c>
      <c r="L298" s="43" t="inlineStr">
        <is>
          <t>FAI Status</t>
        </is>
      </c>
      <c r="M298" s="43" t="inlineStr">
        <is>
          <t>73-20247-06</t>
        </is>
      </c>
      <c r="N298" s="43" t="inlineStr"/>
      <c r="O298" s="43" t="inlineStr">
        <is>
          <t>2026-10-28</t>
        </is>
      </c>
      <c r="P298" s="33" t="inlineStr">
        <is>
          <t>To track an AML qualification build (EXTENDABLE 2x)</t>
        </is>
      </c>
      <c r="Q298" s="43" t="inlineStr">
        <is>
          <t>Place Deviation Label Visibly</t>
        </is>
      </c>
      <c r="R298" s="43" t="inlineStr">
        <is>
          <t>2026-07-31</t>
        </is>
      </c>
      <c r="S298" s="43" t="inlineStr">
        <is>
          <t>2026-09-03</t>
        </is>
      </c>
      <c r="T298" s="43" t="inlineStr"/>
      <c r="U298" s="43" t="inlineStr"/>
    </row>
    <row r="299">
      <c r="A299" s="43" t="n">
        <v>299</v>
      </c>
      <c r="B299" s="43" t="inlineStr">
        <is>
          <t>298</t>
        </is>
      </c>
      <c r="C299" s="43" t="inlineStr">
        <is>
          <t>FJZP</t>
        </is>
      </c>
      <c r="D299" s="43" t="inlineStr">
        <is>
          <t>Cisco</t>
        </is>
      </c>
      <c r="E299" s="43" t="inlineStr">
        <is>
          <t>MCGA</t>
        </is>
      </c>
      <c r="F299" s="43" t="inlineStr">
        <is>
          <t>037-STBU</t>
        </is>
      </c>
      <c r="G299" s="43" t="inlineStr">
        <is>
          <t>CTANJZ05410</t>
        </is>
      </c>
      <c r="H299" s="43" t="inlineStr">
        <is>
          <t>To track an AML qualification build (EXTENDABLE 2x)</t>
        </is>
      </c>
      <c r="I299" s="43" t="inlineStr">
        <is>
          <t>Customer Deviation</t>
        </is>
      </c>
      <c r="J299" s="43" t="inlineStr">
        <is>
          <t>D612424</t>
        </is>
      </c>
      <c r="K299" s="33" t="inlineStr">
        <is>
          <t>D612424 Please see PageThree for details</t>
        </is>
      </c>
      <c r="L299" s="43" t="inlineStr">
        <is>
          <t>FAI Status</t>
        </is>
      </c>
      <c r="M299" s="43" t="inlineStr">
        <is>
          <t>800-108037-05</t>
        </is>
      </c>
      <c r="N299" s="43" t="inlineStr"/>
      <c r="O299" s="43" t="inlineStr">
        <is>
          <t>2026-10-28</t>
        </is>
      </c>
      <c r="P299" s="33" t="inlineStr">
        <is>
          <t>To track an AML qualification build (EXTENDABLE 2x)</t>
        </is>
      </c>
      <c r="Q299" s="43" t="inlineStr">
        <is>
          <t>Place Deviation Label Visibly</t>
        </is>
      </c>
      <c r="R299" s="43" t="inlineStr">
        <is>
          <t>2026-07-31</t>
        </is>
      </c>
      <c r="S299" s="43" t="inlineStr">
        <is>
          <t>2026-09-03</t>
        </is>
      </c>
      <c r="T299" s="43" t="inlineStr"/>
      <c r="U299" s="43" t="inlineStr"/>
    </row>
    <row r="300">
      <c r="A300" s="43" t="n">
        <v>300</v>
      </c>
      <c r="B300" s="43" t="inlineStr">
        <is>
          <t>299</t>
        </is>
      </c>
      <c r="C300" s="43" t="inlineStr">
        <is>
          <t>FJZP</t>
        </is>
      </c>
      <c r="D300" s="43" t="inlineStr">
        <is>
          <t>Cisco</t>
        </is>
      </c>
      <c r="E300" s="43" t="inlineStr">
        <is>
          <t>MCGA</t>
        </is>
      </c>
      <c r="F300" s="43" t="inlineStr">
        <is>
          <t>037-STBU</t>
        </is>
      </c>
      <c r="G300" s="43" t="inlineStr">
        <is>
          <t>CTANJZ05410</t>
        </is>
      </c>
      <c r="H300" s="43" t="inlineStr">
        <is>
          <t>To track an AML qualification build (EXTENDABLE 2x)</t>
        </is>
      </c>
      <c r="I300" s="43" t="inlineStr">
        <is>
          <t>Customer Deviation</t>
        </is>
      </c>
      <c r="J300" s="43" t="inlineStr">
        <is>
          <t>D612424</t>
        </is>
      </c>
      <c r="K300" s="33" t="inlineStr">
        <is>
          <t>D612424 Please see PageThree for details</t>
        </is>
      </c>
      <c r="L300" s="43" t="inlineStr">
        <is>
          <t>FAI Status</t>
        </is>
      </c>
      <c r="M300" s="43" t="inlineStr">
        <is>
          <t>800-108038-05</t>
        </is>
      </c>
      <c r="N300" s="43" t="inlineStr"/>
      <c r="O300" s="43" t="inlineStr">
        <is>
          <t>2026-10-28</t>
        </is>
      </c>
      <c r="P300" s="33" t="inlineStr">
        <is>
          <t>To track an AML qualification build (EXTENDABLE 2x)</t>
        </is>
      </c>
      <c r="Q300" s="43" t="inlineStr">
        <is>
          <t>Place Deviation Label Visibly</t>
        </is>
      </c>
      <c r="R300" s="43" t="inlineStr">
        <is>
          <t>2026-07-31</t>
        </is>
      </c>
      <c r="S300" s="43" t="inlineStr">
        <is>
          <t>2026-09-03</t>
        </is>
      </c>
      <c r="T300" s="43" t="inlineStr"/>
      <c r="U300" s="43" t="inlineStr"/>
    </row>
    <row r="301">
      <c r="A301" s="43" t="n">
        <v>301</v>
      </c>
      <c r="B301" s="43" t="inlineStr">
        <is>
          <t>300</t>
        </is>
      </c>
      <c r="C301" s="43" t="inlineStr">
        <is>
          <t>FJZP</t>
        </is>
      </c>
      <c r="D301" s="43" t="inlineStr">
        <is>
          <t>Cisco</t>
        </is>
      </c>
      <c r="E301" s="43" t="inlineStr">
        <is>
          <t>MCGA</t>
        </is>
      </c>
      <c r="F301" s="43" t="inlineStr">
        <is>
          <t>034-IOTBU</t>
        </is>
      </c>
      <c r="G301" s="43" t="inlineStr">
        <is>
          <t>CTANJZ05411</t>
        </is>
      </c>
      <c r="H301" s="43" t="inlineStr">
        <is>
          <t>Engineering Qualification Build</t>
        </is>
      </c>
      <c r="I301" s="43" t="inlineStr">
        <is>
          <t>Customer Deviation</t>
        </is>
      </c>
      <c r="J301" s="43" t="inlineStr">
        <is>
          <t>D613013</t>
        </is>
      </c>
      <c r="K301" s="33" t="inlineStr">
        <is>
          <t>D613013Allow FVN to build/rework 2pcs assy 68-102310-03 with demand(build to current version that production built) with the following components on SumatraGQR000098385/AQR004644133## Qualification BuildAffected TAN(s): 68-102310-03Replacement:19-100521-01;DIODES INC;HX2A333003Ref: U35@73-101926-03</t>
        </is>
      </c>
      <c r="L301" s="43" t="inlineStr">
        <is>
          <t>FAI Status</t>
        </is>
      </c>
      <c r="M301" s="43" t="inlineStr">
        <is>
          <t>19-100521-01</t>
        </is>
      </c>
      <c r="N301" s="43" t="inlineStr"/>
      <c r="O301" s="43" t="inlineStr">
        <is>
          <t>2026-10-27</t>
        </is>
      </c>
      <c r="P301" s="33" t="inlineStr">
        <is>
          <t>Engineering Qualification Build (EXTENDABLE 2x);To track an AML qualification build (EXTENDABLE 2x)</t>
        </is>
      </c>
      <c r="Q301" s="43" t="inlineStr">
        <is>
          <t>Place Deviation label on both PCBA and outer chassis</t>
        </is>
      </c>
      <c r="R301" s="43" t="inlineStr">
        <is>
          <t>2026-07-31</t>
        </is>
      </c>
      <c r="S301" s="43" t="inlineStr">
        <is>
          <t>2026-09-04</t>
        </is>
      </c>
      <c r="T301" s="43" t="inlineStr"/>
      <c r="U301" s="43" t="inlineStr"/>
    </row>
    <row r="302">
      <c r="A302" s="43" t="n">
        <v>302</v>
      </c>
      <c r="B302" s="43" t="inlineStr">
        <is>
          <t>301</t>
        </is>
      </c>
      <c r="C302" s="43" t="inlineStr">
        <is>
          <t>FJZP</t>
        </is>
      </c>
      <c r="D302" s="43" t="inlineStr">
        <is>
          <t>Cisco</t>
        </is>
      </c>
      <c r="E302" s="43" t="inlineStr">
        <is>
          <t>MCGA</t>
        </is>
      </c>
      <c r="F302" s="43" t="inlineStr">
        <is>
          <t>037-STBU</t>
        </is>
      </c>
      <c r="G302" s="43" t="inlineStr">
        <is>
          <t>CTANJZ05532</t>
        </is>
      </c>
      <c r="H302" s="43" t="inlineStr">
        <is>
          <t>To track an AML qualification build (EXTENDABLE 2x)</t>
        </is>
      </c>
      <c r="I302" s="43" t="inlineStr">
        <is>
          <t>Customer Deviation</t>
        </is>
      </c>
      <c r="J302" s="43" t="inlineStr">
        <is>
          <t>D614414</t>
        </is>
      </c>
      <c r="K302" s="33" t="inlineStr">
        <is>
          <t>D614414 NGFWBU GQR: GQR000104253 Case: AQR004831459 CPN: 36-0148-02 ; MFR NAME: LAIRD TECHNOLOGIES; MPN: HZ0603C601R-12  This deviation instructs Foxconn Juarez (FJZ) to execute a sample buy and conduct a Production Qual build for the following part(s):  BU: NGFWBU PF: FPRHIGH Affected TAN(s):68-103465-07 Affected Item(s): 73-102434-06 CPN: 36-0148-02; MFR NAME: LAIRD TECHNOLOGIES; MPN: HZ0603C601R-12 Build Qty: 5 Ref Des: L18;L19;L20;L21  To execute the above AQR at CM site; should be tested on Model A. Note: Can be tested on any Warwick model.</t>
        </is>
      </c>
      <c r="L302" s="43" t="inlineStr">
        <is>
          <t>CCB</t>
        </is>
      </c>
      <c r="M302" s="43" t="inlineStr">
        <is>
          <t>36-0148-02</t>
        </is>
      </c>
      <c r="N302" s="43" t="inlineStr"/>
      <c r="O302" s="43" t="inlineStr">
        <is>
          <t>2027-01-11</t>
        </is>
      </c>
      <c r="P302" s="33" t="inlineStr">
        <is>
          <t>To track an AML qualification build (EXTENDABLE 2x);Risk Buy Authorization</t>
        </is>
      </c>
      <c r="Q302" s="43" t="inlineStr">
        <is>
          <t>NA</t>
        </is>
      </c>
      <c r="R302" s="43" t="inlineStr">
        <is>
          <t>2026-10-14</t>
        </is>
      </c>
      <c r="S302" s="43" t="inlineStr"/>
      <c r="T302" s="43" t="inlineStr"/>
      <c r="U302" s="43" t="inlineStr"/>
    </row>
    <row r="303">
      <c r="A303" s="43" t="n">
        <v>303</v>
      </c>
      <c r="B303" s="43" t="inlineStr">
        <is>
          <t>302</t>
        </is>
      </c>
      <c r="C303" s="43" t="inlineStr">
        <is>
          <t>FJZP</t>
        </is>
      </c>
      <c r="D303" s="43" t="inlineStr">
        <is>
          <t>Cisco</t>
        </is>
      </c>
      <c r="E303" s="43" t="inlineStr">
        <is>
          <t>MCGA</t>
        </is>
      </c>
      <c r="F303" s="43" t="inlineStr">
        <is>
          <t>037-STBU</t>
        </is>
      </c>
      <c r="G303" s="43" t="inlineStr">
        <is>
          <t>CTANJZ05532</t>
        </is>
      </c>
      <c r="H303" s="43" t="inlineStr">
        <is>
          <t>To track an AML qualification build (EXTENDABLE 2x)</t>
        </is>
      </c>
      <c r="I303" s="43" t="inlineStr">
        <is>
          <t>Customer Deviation</t>
        </is>
      </c>
      <c r="J303" s="43" t="inlineStr">
        <is>
          <t>D614414</t>
        </is>
      </c>
      <c r="K303" s="33" t="inlineStr">
        <is>
          <t>D614414 NGFWBU GQR: GQR000104253 Case: AQR004831459 CPN: 36-0148-02 ; MFR NAME: LAIRD TECHNOLOGIES; MPN: HZ0603C601R-12  This deviation instructs Foxconn Juarez (FJZ) to execute a sample buy and conduct a Production Qual build for the following part(s):  BU: NGFWBU PF: FPRHIGH Affected TAN(s):68-103465-07 Affected Item(s): 73-102434-06 CPN: 36-0148-02; MFR NAME: LAIRD TECHNOLOGIES; MPN: HZ0603C601R-12 Build Qty: 5 Ref Des: L18;L19;L20;L21  To execute the above AQR at CM site; should be tested on Model A. Note: Can be tested on any Warwick model.</t>
        </is>
      </c>
      <c r="L303" s="43" t="inlineStr">
        <is>
          <t>CCB</t>
        </is>
      </c>
      <c r="M303" s="43" t="inlineStr">
        <is>
          <t>73-102434-06</t>
        </is>
      </c>
      <c r="N303" s="43" t="inlineStr"/>
      <c r="O303" s="43" t="inlineStr">
        <is>
          <t>2027-01-11</t>
        </is>
      </c>
      <c r="P303" s="33" t="inlineStr">
        <is>
          <t>To track an AML qualification build (EXTENDABLE 2x);Risk Buy Authorization</t>
        </is>
      </c>
      <c r="Q303" s="43" t="inlineStr">
        <is>
          <t>NA</t>
        </is>
      </c>
      <c r="R303" s="43" t="inlineStr">
        <is>
          <t>2026-10-14</t>
        </is>
      </c>
      <c r="S303" s="43" t="inlineStr"/>
      <c r="T303" s="43" t="inlineStr"/>
      <c r="U303" s="43" t="inlineStr"/>
    </row>
    <row r="304">
      <c r="A304" s="43" t="n">
        <v>304</v>
      </c>
      <c r="B304" s="43" t="inlineStr">
        <is>
          <t>303</t>
        </is>
      </c>
      <c r="C304" s="43" t="inlineStr">
        <is>
          <t>FJZP</t>
        </is>
      </c>
      <c r="D304" s="43" t="inlineStr">
        <is>
          <t>Cisco</t>
        </is>
      </c>
      <c r="E304" s="43" t="inlineStr">
        <is>
          <t>MCGA</t>
        </is>
      </c>
      <c r="F304" s="43" t="inlineStr">
        <is>
          <t>037-STBU</t>
        </is>
      </c>
      <c r="G304" s="43" t="inlineStr">
        <is>
          <t>CTANJZ05426</t>
        </is>
      </c>
      <c r="H304" s="43" t="inlineStr">
        <is>
          <t>To track an AML qualification build (EXTENDABLE 2x)</t>
        </is>
      </c>
      <c r="I304" s="43" t="inlineStr">
        <is>
          <t>Customer Deviation</t>
        </is>
      </c>
      <c r="J304" s="43" t="inlineStr">
        <is>
          <t>D612426</t>
        </is>
      </c>
      <c r="K304" s="33" t="inlineStr">
        <is>
          <t>D612426 NGFWBU: CSF12XX DesktopCCN000011970 GQR000082587Qualification of SAMSUNG MPN#  PDRQL8BCBF12-00 under CPN 15-110890-01Items Affected:Top Assembly 68-104735-05    ELMECH 74-139971-02 PCBA:  74-134455-06Top Assembly 68-104736-05    ELMECH 74-139972-02 PCBA:  74-134456-06FJZ to Build Two units the following a CSF1210 POE and a CSF1220 with SAMSUNG Discrete DDR5 MPN#  PDRQL8BCBF12-00  for CPN 15-110890-01 @ Ref Des U1800; U1801; U1900; U1901; U2000; U2100; U2101; U2200; U2201; U2300These units need to go through full ETE testing: ICT/BST/2C and DF system test. FJZ then hold units for further instructions. For any all failures please notify Cisco Cross Function Team Below. Please provide PCBA and Assembled SN to Cisco EPE for traceability.***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L304" s="43" t="inlineStr">
        <is>
          <t>FAI Status</t>
        </is>
      </c>
      <c r="M304" s="43" t="inlineStr">
        <is>
          <t>15-110890-01</t>
        </is>
      </c>
      <c r="N304" s="43" t="inlineStr"/>
      <c r="O304" s="43" t="inlineStr">
        <is>
          <t>2026-11-17</t>
        </is>
      </c>
      <c r="P304" s="33" t="inlineStr">
        <is>
          <t>To track an AML qualification build (EXTENDABLE 2x)</t>
        </is>
      </c>
      <c r="Q304" s="43" t="inlineStr">
        <is>
          <t>Place Deviation Label Visibly</t>
        </is>
      </c>
      <c r="R304" s="43" t="inlineStr">
        <is>
          <t>2026-08-20</t>
        </is>
      </c>
      <c r="S304" s="43" t="inlineStr">
        <is>
          <t>2026-09-16</t>
        </is>
      </c>
      <c r="T304" s="43" t="inlineStr"/>
      <c r="U304" s="43" t="inlineStr"/>
    </row>
    <row r="305">
      <c r="A305" s="43" t="n">
        <v>305</v>
      </c>
      <c r="B305" s="43" t="inlineStr">
        <is>
          <t>304</t>
        </is>
      </c>
      <c r="C305" s="43" t="inlineStr">
        <is>
          <t>FJZP</t>
        </is>
      </c>
      <c r="D305" s="43" t="inlineStr">
        <is>
          <t>Cisco</t>
        </is>
      </c>
      <c r="E305" s="43" t="inlineStr">
        <is>
          <t>MCGA</t>
        </is>
      </c>
      <c r="F305" s="43" t="inlineStr">
        <is>
          <t>037-STBU</t>
        </is>
      </c>
      <c r="G305" s="43" t="inlineStr">
        <is>
          <t>CTANJZ05426</t>
        </is>
      </c>
      <c r="H305" s="43" t="inlineStr">
        <is>
          <t>To track an AML qualification build (EXTENDABLE 2x)</t>
        </is>
      </c>
      <c r="I305" s="43" t="inlineStr">
        <is>
          <t>Customer Deviation</t>
        </is>
      </c>
      <c r="J305" s="43" t="inlineStr">
        <is>
          <t>D612426</t>
        </is>
      </c>
      <c r="K305" s="33" t="inlineStr">
        <is>
          <t>D612426 NGFWBU: CSF12XX DesktopCCN000011970 GQR000082587Qualification of SAMSUNG MPN#  PDRQL8BCBF12-00 under CPN 15-110890-01Items Affected:Top Assembly 68-104735-05    ELMECH 74-139971-02 PCBA:  74-134455-06Top Assembly 68-104736-05    ELMECH 74-139972-02 PCBA:  74-134456-06FJZ to Build Two units the following a CSF1210 POE and a CSF1220 with SAMSUNG Discrete DDR5 MPN#  PDRQL8BCBF12-00  for CPN 15-110890-01 @ Ref Des U1800; U1801; U1900; U1901; U2000; U2100; U2101; U2200; U2201; U2300These units need to go through full ETE testing: ICT/BST/2C and DF system test. FJZ then hold units for further instructions. For any all failures please notify Cisco Cross Function Team Below. Please provide PCBA and Assembled SN to Cisco EPE for traceability.***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L305" s="43" t="inlineStr">
        <is>
          <t>FAI Status</t>
        </is>
      </c>
      <c r="M305" s="43" t="inlineStr">
        <is>
          <t>74-134455-06</t>
        </is>
      </c>
      <c r="N305" s="43" t="inlineStr"/>
      <c r="O305" s="43" t="inlineStr">
        <is>
          <t>2026-11-17</t>
        </is>
      </c>
      <c r="P305" s="33" t="inlineStr">
        <is>
          <t>To track an AML qualification build (EXTENDABLE 2x)</t>
        </is>
      </c>
      <c r="Q305" s="43" t="inlineStr">
        <is>
          <t>Place Deviation Label Visibly</t>
        </is>
      </c>
      <c r="R305" s="43" t="inlineStr">
        <is>
          <t>2026-08-20</t>
        </is>
      </c>
      <c r="S305" s="43" t="inlineStr">
        <is>
          <t>2026-09-16</t>
        </is>
      </c>
      <c r="T305" s="43" t="inlineStr"/>
      <c r="U305" s="43" t="inlineStr"/>
    </row>
    <row r="306">
      <c r="A306" s="43" t="n">
        <v>306</v>
      </c>
      <c r="B306" s="43" t="inlineStr">
        <is>
          <t>305</t>
        </is>
      </c>
      <c r="C306" s="43" t="inlineStr">
        <is>
          <t>FJZP</t>
        </is>
      </c>
      <c r="D306" s="43" t="inlineStr">
        <is>
          <t>Cisco</t>
        </is>
      </c>
      <c r="E306" s="43" t="inlineStr">
        <is>
          <t>MCGA</t>
        </is>
      </c>
      <c r="F306" s="43" t="inlineStr">
        <is>
          <t>037-STBU</t>
        </is>
      </c>
      <c r="G306" s="43" t="inlineStr">
        <is>
          <t>CTANJZ05426</t>
        </is>
      </c>
      <c r="H306" s="43" t="inlineStr">
        <is>
          <t>To track an AML qualification build (EXTENDABLE 2x)</t>
        </is>
      </c>
      <c r="I306" s="43" t="inlineStr">
        <is>
          <t>Customer Deviation</t>
        </is>
      </c>
      <c r="J306" s="43" t="inlineStr">
        <is>
          <t>D612426</t>
        </is>
      </c>
      <c r="K306" s="33" t="inlineStr">
        <is>
          <t>D612426 NGFWBU: CSF12XX DesktopCCN000011970 GQR000082587Qualification of SAMSUNG MPN#  PDRQL8BCBF12-00 under CPN 15-110890-01Items Affected:Top Assembly 68-104735-05    ELMECH 74-139971-02 PCBA:  74-134455-06Top Assembly 68-104736-05    ELMECH 74-139972-02 PCBA:  74-134456-06FJZ to Build Two units the following a CSF1210 POE and a CSF1220 with SAMSUNG Discrete DDR5 MPN#  PDRQL8BCBF12-00  for CPN 15-110890-01 @ Ref Des U1800; U1801; U1900; U1901; U2000; U2100; U2101; U2200; U2201; U2300These units need to go through full ETE testing: ICT/BST/2C and DF system test. FJZ then hold units for further instructions. For any all failures please notify Cisco Cross Function Team Below. Please provide PCBA and Assembled SN to Cisco EPE for traceability.***  Cisco Support Team ***    PLPM:  Pin Mak (pmak@cisco.com)    EPE:  Aiseosa Omorogieva (Aomorogi@cisco.com)    MPE:    David Albani (daalbani@cisco.com)    ME:      Lluvia Esmeralda Ruvalcaba Torres (llruvalc@cisco.com)    TDE:    Adrian Liu (adrianli@cisco.com)    TE:     Pete Martinez Rangel(petemart@cisco.com)    ICT Eng:  Manuel Romero (manurome@cisco.com)</t>
        </is>
      </c>
      <c r="L306" s="43" t="inlineStr">
        <is>
          <t>FAI Status</t>
        </is>
      </c>
      <c r="M306" s="43" t="inlineStr">
        <is>
          <t>74-134456-06</t>
        </is>
      </c>
      <c r="N306" s="43" t="inlineStr"/>
      <c r="O306" s="43" t="inlineStr">
        <is>
          <t>2026-11-17</t>
        </is>
      </c>
      <c r="P306" s="33" t="inlineStr">
        <is>
          <t>To track an AML qualification build (EXTENDABLE 2x)</t>
        </is>
      </c>
      <c r="Q306" s="43" t="inlineStr">
        <is>
          <t>Place Deviation Label Visibly</t>
        </is>
      </c>
      <c r="R306" s="43" t="inlineStr">
        <is>
          <t>2026-08-20</t>
        </is>
      </c>
      <c r="S306" s="43" t="inlineStr">
        <is>
          <t>2026-09-16</t>
        </is>
      </c>
      <c r="T306" s="43" t="inlineStr"/>
      <c r="U306" s="43" t="inlineStr"/>
    </row>
    <row r="307">
      <c r="A307" s="43" t="n">
        <v>307</v>
      </c>
      <c r="B307" s="43" t="inlineStr">
        <is>
          <t>306</t>
        </is>
      </c>
      <c r="C307" s="43" t="inlineStr">
        <is>
          <t>FJZP</t>
        </is>
      </c>
      <c r="D307" s="43" t="inlineStr">
        <is>
          <t>Cisco</t>
        </is>
      </c>
      <c r="E307" s="43" t="inlineStr">
        <is>
          <t>MCGA</t>
        </is>
      </c>
      <c r="F307" s="43" t="inlineStr">
        <is>
          <t>037-STBU</t>
        </is>
      </c>
      <c r="G307" s="43" t="inlineStr">
        <is>
          <t>CTANJZ05403</t>
        </is>
      </c>
      <c r="H307" s="43" t="inlineStr">
        <is>
          <t>To track an AML qualification build (EXTENDABLE 2x)</t>
        </is>
      </c>
      <c r="I307" s="43" t="inlineStr">
        <is>
          <t>Customer Deviation</t>
        </is>
      </c>
      <c r="J307" s="43" t="inlineStr">
        <is>
          <t>D612842</t>
        </is>
      </c>
      <c r="K307" s="33" t="inlineStr">
        <is>
          <t>D612842 NGFWBU GQR: GQR000097798 Case: AQR004550081 CPN: 15-100109-01; MFR NAME: TOSHIBA; MPN: 74AVC1T45FU;LCF(GTThis deviation instructs Foxconn Juarez (FJZ) to execute a sample buy and conduct a Production Qual build for the following part(s):BU: NGFWBUPF: FPRMID3Affected TAN(s):68-7255-05Affected Item(s): 73-20247-06CPN: 15-100109-01; MFR NAME: TOSHIBA; MPN: 74AVC1T45FU;LCF(GTBuild Qty: 5Ref Des: U43;U68;U70;U74;U132;U198To execute the above AQR at CM site; should be tested on Model A.</t>
        </is>
      </c>
      <c r="L307" s="43" t="inlineStr">
        <is>
          <t>FAI Status</t>
        </is>
      </c>
      <c r="M307" s="43" t="inlineStr">
        <is>
          <t>15-100109-01</t>
        </is>
      </c>
      <c r="N307" s="43" t="inlineStr"/>
      <c r="O307" s="43" t="inlineStr">
        <is>
          <t>2026-10-20</t>
        </is>
      </c>
      <c r="P307" s="33" t="inlineStr">
        <is>
          <t>To track an AML qualification build (EXTENDABLE 2x);Risk Buy Authorization</t>
        </is>
      </c>
      <c r="Q307" s="43" t="inlineStr">
        <is>
          <t>NA</t>
        </is>
      </c>
      <c r="R307" s="43" t="inlineStr">
        <is>
          <t>2026-07-23</t>
        </is>
      </c>
      <c r="S307" s="43" t="inlineStr">
        <is>
          <t>2026-09-03</t>
        </is>
      </c>
      <c r="T307" s="43" t="inlineStr"/>
      <c r="U307" s="43" t="inlineStr"/>
    </row>
    <row r="308">
      <c r="A308" s="43" t="n">
        <v>308</v>
      </c>
      <c r="B308" s="43" t="inlineStr">
        <is>
          <t>307</t>
        </is>
      </c>
      <c r="C308" s="43" t="inlineStr">
        <is>
          <t>FJZP</t>
        </is>
      </c>
      <c r="D308" s="43" t="inlineStr">
        <is>
          <t>Cisco</t>
        </is>
      </c>
      <c r="E308" s="43" t="inlineStr">
        <is>
          <t>MCGA</t>
        </is>
      </c>
      <c r="F308" s="43" t="inlineStr">
        <is>
          <t>037-STBU</t>
        </is>
      </c>
      <c r="G308" s="43" t="inlineStr">
        <is>
          <t>CTANJZ05403</t>
        </is>
      </c>
      <c r="H308" s="43" t="inlineStr">
        <is>
          <t>To track an AML qualification build (EXTENDABLE 2x)</t>
        </is>
      </c>
      <c r="I308" s="43" t="inlineStr">
        <is>
          <t>Customer Deviation</t>
        </is>
      </c>
      <c r="J308" s="43" t="inlineStr">
        <is>
          <t>D612842</t>
        </is>
      </c>
      <c r="K308" s="33" t="inlineStr">
        <is>
          <t>D612842 NGFWBU GQR: GQR000097798 Case: AQR004550081 CPN: 15-100109-01; MFR NAME: TOSHIBA; MPN: 74AVC1T45FU;LCF(GTThis deviation instructs Foxconn Juarez (FJZ) to execute a sample buy and conduct a Production Qual build for the following part(s):BU: NGFWBUPF: FPRMID3Affected TAN(s):68-7255-05Affected Item(s): 73-20247-06CPN: 15-100109-01; MFR NAME: TOSHIBA; MPN: 74AVC1T45FU;LCF(GTBuild Qty: 5Ref Des: U43;U68;U70;U74;U132;U198To execute the above AQR at CM site; should be tested on Model A.</t>
        </is>
      </c>
      <c r="L308" s="43" t="inlineStr">
        <is>
          <t>FAI Status</t>
        </is>
      </c>
      <c r="M308" s="43" t="inlineStr">
        <is>
          <t>73-20247-06</t>
        </is>
      </c>
      <c r="N308" s="43" t="inlineStr"/>
      <c r="O308" s="43" t="inlineStr">
        <is>
          <t>2026-10-20</t>
        </is>
      </c>
      <c r="P308" s="33" t="inlineStr">
        <is>
          <t>To track an AML qualification build (EXTENDABLE 2x);Risk Buy Authorization</t>
        </is>
      </c>
      <c r="Q308" s="43" t="inlineStr">
        <is>
          <t>NA</t>
        </is>
      </c>
      <c r="R308" s="43" t="inlineStr">
        <is>
          <t>2026-07-23</t>
        </is>
      </c>
      <c r="S308" s="43" t="inlineStr">
        <is>
          <t>2026-09-03</t>
        </is>
      </c>
      <c r="T308" s="43" t="inlineStr"/>
      <c r="U308" s="43" t="inlineStr"/>
    </row>
    <row r="309">
      <c r="A309" s="43" t="n">
        <v>309</v>
      </c>
      <c r="B309" s="43" t="inlineStr">
        <is>
          <t>308</t>
        </is>
      </c>
      <c r="C309" s="43" t="inlineStr">
        <is>
          <t>FJZP</t>
        </is>
      </c>
      <c r="D309" s="43" t="inlineStr">
        <is>
          <t>Cisco</t>
        </is>
      </c>
      <c r="E309" s="43" t="inlineStr">
        <is>
          <t>MCGA</t>
        </is>
      </c>
      <c r="F309" s="43" t="inlineStr">
        <is>
          <t>035-CVEBU</t>
        </is>
      </c>
      <c r="G309" s="43" t="inlineStr">
        <is>
          <t>CTANJZ05525</t>
        </is>
      </c>
      <c r="H309" s="43" t="inlineStr">
        <is>
          <t>To track an AML qualification build (EXTENDABLE 2x)</t>
        </is>
      </c>
      <c r="I309" s="43" t="inlineStr">
        <is>
          <t>Customer Deviation</t>
        </is>
      </c>
      <c r="J309" s="43" t="inlineStr">
        <is>
          <t>D614478</t>
        </is>
      </c>
      <c r="K309" s="33" t="inlineStr">
        <is>
          <t>D614478 CVEBU; Nixie; DDR4; Qualification of Winbond MPN W668GG6TB-06 under 15-106924-01? Affected items- 68-103291-02 or 68-104808-02; ASY-ELMECH; Nixie Microphone TAN (carbon black); whatever is most convenient for FJZ- 73-102121-01 PCA; NIXIE MIC BOARD- 15-106924-01; IC-DRAM-D;DDR4;8 Gb(512 Mx16bits);1600 MHz(3200MT/s)...? Testbuild instruction- FJZ to Build &amp; Test up to 18 units of TAN 68-103291-02 or 68-104808-02 where:   - 15-106924-01 on 73-102121-01; position U7 shall be populated by MPN W668GG6TB-06 from Winbond   - Boards shall undergo normal manufacturing tests prior to shipping   - Two units shall be shipped to Jarle Aasland; Lysaker; Norway for further testing   -  After successful tests at BU location; rest of the units can be shipped towards customers as normal? Additional comments- 20 samples has been shipped from Winbond to FJZ; 18 pcs available after TYNE build allocation (D614467)</t>
        </is>
      </c>
      <c r="L309" s="43" t="inlineStr">
        <is>
          <t>CCB</t>
        </is>
      </c>
      <c r="M309" s="43" t="inlineStr">
        <is>
          <t>15-106924-01</t>
        </is>
      </c>
      <c r="N309" s="43" t="inlineStr"/>
      <c r="O309" s="43" t="inlineStr">
        <is>
          <t>2027-01-07</t>
        </is>
      </c>
      <c r="P309" s="33" t="inlineStr">
        <is>
          <t>To track an AML qualification build (EXTENDABLE 2x)</t>
        </is>
      </c>
      <c r="Q309" s="43" t="inlineStr">
        <is>
          <t>Place sticker with this deviation number visible for customers</t>
        </is>
      </c>
      <c r="R309" s="43" t="inlineStr">
        <is>
          <t>2026-10-10</t>
        </is>
      </c>
      <c r="S309" s="43" t="inlineStr"/>
      <c r="T309" s="43" t="inlineStr"/>
      <c r="U309" s="43" t="inlineStr"/>
    </row>
    <row r="310">
      <c r="A310" s="43" t="n">
        <v>310</v>
      </c>
      <c r="B310" s="43" t="inlineStr">
        <is>
          <t>309</t>
        </is>
      </c>
      <c r="C310" s="43" t="inlineStr">
        <is>
          <t>FJZP</t>
        </is>
      </c>
      <c r="D310" s="43" t="inlineStr">
        <is>
          <t>Cisco</t>
        </is>
      </c>
      <c r="E310" s="43" t="inlineStr">
        <is>
          <t>MCGA</t>
        </is>
      </c>
      <c r="F310" s="43" t="inlineStr">
        <is>
          <t>035-CVEBU</t>
        </is>
      </c>
      <c r="G310" s="43" t="inlineStr">
        <is>
          <t>CTANJZ05525</t>
        </is>
      </c>
      <c r="H310" s="43" t="inlineStr">
        <is>
          <t>To track an AML qualification build (EXTENDABLE 2x)</t>
        </is>
      </c>
      <c r="I310" s="43" t="inlineStr">
        <is>
          <t>Customer Deviation</t>
        </is>
      </c>
      <c r="J310" s="43" t="inlineStr">
        <is>
          <t>D614478</t>
        </is>
      </c>
      <c r="K310" s="33" t="inlineStr">
        <is>
          <t>D614478 CVEBU; Nixie; DDR4; Qualification of Winbond MPN W668GG6TB-06 under 15-106924-01? Affected items- 68-103291-02 or 68-104808-02; ASY-ELMECH; Nixie Microphone TAN (carbon black); whatever is most convenient for FJZ- 73-102121-01 PCA; NIXIE MIC BOARD- 15-106924-01; IC-DRAM-D;DDR4;8 Gb(512 Mx16bits);1600 MHz(3200MT/s)...? Testbuild instruction- FJZ to Build &amp; Test up to 18 units of TAN 68-103291-02 or 68-104808-02 where:   - 15-106924-01 on 73-102121-01; position U7 shall be populated by MPN W668GG6TB-06 from Winbond   - Boards shall undergo normal manufacturing tests prior to shipping   - Two units shall be shipped to Jarle Aasland; Lysaker; Norway for further testing   -  After successful tests at BU location; rest of the units can be shipped towards customers as normal? Additional comments- 20 samples has been shipped from Winbond to FJZ; 18 pcs available after TYNE build allocation (D614467)</t>
        </is>
      </c>
      <c r="L310" s="43" t="inlineStr">
        <is>
          <t>CCB</t>
        </is>
      </c>
      <c r="M310" s="43" t="inlineStr">
        <is>
          <t>68-103291-02</t>
        </is>
      </c>
      <c r="N310" s="43" t="inlineStr"/>
      <c r="O310" s="43" t="inlineStr">
        <is>
          <t>2027-01-07</t>
        </is>
      </c>
      <c r="P310" s="33" t="inlineStr">
        <is>
          <t>To track an AML qualification build (EXTENDABLE 2x)</t>
        </is>
      </c>
      <c r="Q310" s="43" t="inlineStr">
        <is>
          <t>Place sticker with this deviation number visible for customers</t>
        </is>
      </c>
      <c r="R310" s="43" t="inlineStr">
        <is>
          <t>2026-10-10</t>
        </is>
      </c>
      <c r="S310" s="43" t="inlineStr"/>
      <c r="T310" s="43" t="inlineStr"/>
      <c r="U310" s="43" t="inlineStr"/>
    </row>
    <row r="311">
      <c r="A311" s="43" t="n">
        <v>311</v>
      </c>
      <c r="B311" s="43" t="inlineStr">
        <is>
          <t>310</t>
        </is>
      </c>
      <c r="C311" s="43" t="inlineStr">
        <is>
          <t>FJZP</t>
        </is>
      </c>
      <c r="D311" s="43" t="inlineStr">
        <is>
          <t>Cisco</t>
        </is>
      </c>
      <c r="E311" s="43" t="inlineStr">
        <is>
          <t>MCGA</t>
        </is>
      </c>
      <c r="F311" s="43" t="inlineStr">
        <is>
          <t>035-CVEBU</t>
        </is>
      </c>
      <c r="G311" s="43" t="inlineStr">
        <is>
          <t>CTANJZ05525</t>
        </is>
      </c>
      <c r="H311" s="43" t="inlineStr">
        <is>
          <t>To track an AML qualification build (EXTENDABLE 2x)</t>
        </is>
      </c>
      <c r="I311" s="43" t="inlineStr">
        <is>
          <t>Customer Deviation</t>
        </is>
      </c>
      <c r="J311" s="43" t="inlineStr">
        <is>
          <t>D614478</t>
        </is>
      </c>
      <c r="K311" s="33" t="inlineStr">
        <is>
          <t>D614478 CVEBU; Nixie; DDR4; Qualification of Winbond MPN W668GG6TB-06 under 15-106924-01? Affected items- 68-103291-02 or 68-104808-02; ASY-ELMECH; Nixie Microphone TAN (carbon black); whatever is most convenient for FJZ- 73-102121-01 PCA; NIXIE MIC BOARD- 15-106924-01; IC-DRAM-D;DDR4;8 Gb(512 Mx16bits);1600 MHz(3200MT/s)...? Testbuild instruction- FJZ to Build &amp; Test up to 18 units of TAN 68-103291-02 or 68-104808-02 where:   - 15-106924-01 on 73-102121-01; position U7 shall be populated by MPN W668GG6TB-06 from Winbond   - Boards shall undergo normal manufacturing tests prior to shipping   - Two units shall be shipped to Jarle Aasland; Lysaker; Norway for further testing   -  After successful tests at BU location; rest of the units can be shipped towards customers as normal? Additional comments- 20 samples has been shipped from Winbond to FJZ; 18 pcs available after TYNE build allocation (D614467)</t>
        </is>
      </c>
      <c r="L311" s="43" t="inlineStr">
        <is>
          <t>CCB</t>
        </is>
      </c>
      <c r="M311" s="43" t="inlineStr">
        <is>
          <t>68-104808-02</t>
        </is>
      </c>
      <c r="N311" s="43" t="inlineStr"/>
      <c r="O311" s="43" t="inlineStr">
        <is>
          <t>2027-01-07</t>
        </is>
      </c>
      <c r="P311" s="33" t="inlineStr">
        <is>
          <t>To track an AML qualification build (EXTENDABLE 2x)</t>
        </is>
      </c>
      <c r="Q311" s="43" t="inlineStr">
        <is>
          <t>Place sticker with this deviation number visible for customers</t>
        </is>
      </c>
      <c r="R311" s="43" t="inlineStr">
        <is>
          <t>2026-10-10</t>
        </is>
      </c>
      <c r="S311" s="43" t="inlineStr"/>
      <c r="T311" s="43" t="inlineStr"/>
      <c r="U311" s="43" t="inlineStr"/>
    </row>
    <row r="312">
      <c r="A312" s="43" t="n">
        <v>312</v>
      </c>
      <c r="B312" s="43" t="inlineStr">
        <is>
          <t>311</t>
        </is>
      </c>
      <c r="C312" s="43" t="inlineStr">
        <is>
          <t>FJZP</t>
        </is>
      </c>
      <c r="D312" s="43" t="inlineStr">
        <is>
          <t>Cisco</t>
        </is>
      </c>
      <c r="E312" s="43" t="inlineStr">
        <is>
          <t>MCGA</t>
        </is>
      </c>
      <c r="F312" s="43" t="inlineStr">
        <is>
          <t>035-CVEBU</t>
        </is>
      </c>
      <c r="G312" s="43" t="inlineStr">
        <is>
          <t>CTANJZ05525</t>
        </is>
      </c>
      <c r="H312" s="43" t="inlineStr">
        <is>
          <t>To track an AML qualification build (EXTENDABLE 2x)</t>
        </is>
      </c>
      <c r="I312" s="43" t="inlineStr">
        <is>
          <t>Customer Deviation</t>
        </is>
      </c>
      <c r="J312" s="43" t="inlineStr">
        <is>
          <t>D614478</t>
        </is>
      </c>
      <c r="K312" s="33" t="inlineStr">
        <is>
          <t>D614478 CVEBU; Nixie; DDR4; Qualification of Winbond MPN W668GG6TB-06 under 15-106924-01? Affected items- 68-103291-02 or 68-104808-02; ASY-ELMECH; Nixie Microphone TAN (carbon black); whatever is most convenient for FJZ- 73-102121-01 PCA; NIXIE MIC BOARD- 15-106924-01; IC-DRAM-D;DDR4;8 Gb(512 Mx16bits);1600 MHz(3200MT/s)...? Testbuild instruction- FJZ to Build &amp; Test up to 18 units of TAN 68-103291-02 or 68-104808-02 where:   - 15-106924-01 on 73-102121-01; position U7 shall be populated by MPN W668GG6TB-06 from Winbond   - Boards shall undergo normal manufacturing tests prior to shipping   - Two units shall be shipped to Jarle Aasland; Lysaker; Norway for further testing   -  After successful tests at BU location; rest of the units can be shipped towards customers as normal? Additional comments- 20 samples has been shipped from Winbond to FJZ; 18 pcs available after TYNE build allocation (D614467)</t>
        </is>
      </c>
      <c r="L312" s="43" t="inlineStr">
        <is>
          <t>CCB</t>
        </is>
      </c>
      <c r="M312" s="43" t="inlineStr">
        <is>
          <t>73-102121-01</t>
        </is>
      </c>
      <c r="N312" s="43" t="inlineStr"/>
      <c r="O312" s="43" t="inlineStr">
        <is>
          <t>2027-01-07</t>
        </is>
      </c>
      <c r="P312" s="33" t="inlineStr">
        <is>
          <t>To track an AML qualification build (EXTENDABLE 2x)</t>
        </is>
      </c>
      <c r="Q312" s="43" t="inlineStr">
        <is>
          <t>Place sticker with this deviation number visible for customers</t>
        </is>
      </c>
      <c r="R312" s="43" t="inlineStr">
        <is>
          <t>2026-10-10</t>
        </is>
      </c>
      <c r="S312" s="43" t="inlineStr"/>
      <c r="T312" s="43" t="inlineStr"/>
      <c r="U312" s="43" t="inlineStr"/>
    </row>
    <row r="313">
      <c r="A313" s="43" t="n">
        <v>313</v>
      </c>
      <c r="B313" s="43" t="inlineStr">
        <is>
          <t>312</t>
        </is>
      </c>
      <c r="C313" s="43" t="inlineStr">
        <is>
          <t>FJZP</t>
        </is>
      </c>
      <c r="D313" s="43" t="inlineStr">
        <is>
          <t>Cisco</t>
        </is>
      </c>
      <c r="E313" s="43" t="inlineStr">
        <is>
          <t>MCGA</t>
        </is>
      </c>
      <c r="F313" s="43" t="inlineStr">
        <is>
          <t>035-CVEBU</t>
        </is>
      </c>
      <c r="G313" s="43" t="inlineStr">
        <is>
          <t>CTANJZ05522</t>
        </is>
      </c>
      <c r="H313" s="43" t="inlineStr">
        <is>
          <t>To track an AML qualification build (EXTENDABLE 2x)</t>
        </is>
      </c>
      <c r="I313" s="43" t="inlineStr">
        <is>
          <t>Customer Deviation</t>
        </is>
      </c>
      <c r="J313" s="43" t="inlineStr">
        <is>
          <t>D614467</t>
        </is>
      </c>
      <c r="K313" s="33" t="inlineStr">
        <is>
          <t>D614467CVEBU; Tyne; DDR4; Qualification of Winbond MPN W668GG6TB-06 under 15-106924-01Affected items- 800-113103-01; ASY-ELMECH;MODULE; Tyne Codec MB with Taylor; Radio- 73-103698-06; PCBA; Tyne Codec; Main Board; Radio- 15-106924-01; IC-DRAM-D;DDR4;8 Gb(512 Mx16bits);1600 MHz(3200MT/s)...Testbuild instruction- FJZ to build 2x 800-113103-01 where:   - 15-106924-01 on 73-103698-06 shall be populated by MPN W668GG6TB-06 from Winbond   - Boards shall undergo ICT; PCBDG and PCBPM test stations prior shipping   - Boards shall be DEV fused (if applicable)   - FJZ is allowed to use alternative packaging; but must ensure that sufficient protection is used. Antistatic bag with bubble wrap around.   - PCBAs to be shipped to Christian Kjoelseth in NorwayAdditional comments- 20 samples has been shipped from Winbond to FJZ- Only 2 samples is needed for this testbuild; the remaining samples shall be used on future Nixie testbuild.</t>
        </is>
      </c>
      <c r="L313" s="43" t="inlineStr">
        <is>
          <t>CCB</t>
        </is>
      </c>
      <c r="M313" s="43" t="inlineStr">
        <is>
          <t>15-106924-01</t>
        </is>
      </c>
      <c r="N313" s="43" t="inlineStr"/>
      <c r="O313" s="43" t="inlineStr">
        <is>
          <t>2027-01-05</t>
        </is>
      </c>
      <c r="P313" s="33" t="inlineStr">
        <is>
          <t>To track an AML qualification build (EXTENDABLE 2x)</t>
        </is>
      </c>
      <c r="Q313" s="43" t="inlineStr">
        <is>
          <t>Mark the PCBAs with deviation number</t>
        </is>
      </c>
      <c r="R313" s="43" t="inlineStr">
        <is>
          <t>2026-10-08</t>
        </is>
      </c>
      <c r="S313" s="43" t="inlineStr"/>
      <c r="T313" s="43" t="inlineStr"/>
      <c r="U313" s="43" t="inlineStr"/>
    </row>
    <row r="314">
      <c r="A314" s="43" t="n">
        <v>314</v>
      </c>
      <c r="B314" s="43" t="inlineStr">
        <is>
          <t>313</t>
        </is>
      </c>
      <c r="C314" s="43" t="inlineStr">
        <is>
          <t>FJZP</t>
        </is>
      </c>
      <c r="D314" s="43" t="inlineStr">
        <is>
          <t>Cisco</t>
        </is>
      </c>
      <c r="E314" s="43" t="inlineStr">
        <is>
          <t>MCGA</t>
        </is>
      </c>
      <c r="F314" s="43" t="inlineStr">
        <is>
          <t>035-CVEBU</t>
        </is>
      </c>
      <c r="G314" s="43" t="inlineStr">
        <is>
          <t>CTANJZ05522</t>
        </is>
      </c>
      <c r="H314" s="43" t="inlineStr">
        <is>
          <t>To track an AML qualification build (EXTENDABLE 2x)</t>
        </is>
      </c>
      <c r="I314" s="43" t="inlineStr">
        <is>
          <t>Customer Deviation</t>
        </is>
      </c>
      <c r="J314" s="43" t="inlineStr">
        <is>
          <t>D614467</t>
        </is>
      </c>
      <c r="K314" s="33" t="inlineStr">
        <is>
          <t>D614467CVEBU; Tyne; DDR4; Qualification of Winbond MPN W668GG6TB-06 under 15-106924-01Affected items- 800-113103-01; ASY-ELMECH;MODULE; Tyne Codec MB with Taylor; Radio- 73-103698-06; PCBA; Tyne Codec; Main Board; Radio- 15-106924-01; IC-DRAM-D;DDR4;8 Gb(512 Mx16bits);1600 MHz(3200MT/s)...Testbuild instruction- FJZ to build 2x 800-113103-01 where:   - 15-106924-01 on 73-103698-06 shall be populated by MPN W668GG6TB-06 from Winbond   - Boards shall undergo ICT; PCBDG and PCBPM test stations prior shipping   - Boards shall be DEV fused (if applicable)   - FJZ is allowed to use alternative packaging; but must ensure that sufficient protection is used. Antistatic bag with bubble wrap around.   - PCBAs to be shipped to Christian Kjoelseth in NorwayAdditional comments- 20 samples has been shipped from Winbond to FJZ- Only 2 samples is needed for this testbuild; the remaining samples shall be used on future Nixie testbuild.</t>
        </is>
      </c>
      <c r="L314" s="43" t="inlineStr">
        <is>
          <t>CCB</t>
        </is>
      </c>
      <c r="M314" s="43" t="inlineStr">
        <is>
          <t>73-103698-06</t>
        </is>
      </c>
      <c r="N314" s="43" t="inlineStr"/>
      <c r="O314" s="43" t="inlineStr">
        <is>
          <t>2027-01-05</t>
        </is>
      </c>
      <c r="P314" s="33" t="inlineStr">
        <is>
          <t>To track an AML qualification build (EXTENDABLE 2x)</t>
        </is>
      </c>
      <c r="Q314" s="43" t="inlineStr">
        <is>
          <t>Mark the PCBAs with deviation number</t>
        </is>
      </c>
      <c r="R314" s="43" t="inlineStr">
        <is>
          <t>2026-10-08</t>
        </is>
      </c>
      <c r="S314" s="43" t="inlineStr"/>
      <c r="T314" s="43" t="inlineStr"/>
      <c r="U314" s="43" t="inlineStr"/>
    </row>
    <row r="315">
      <c r="A315" s="43" t="n">
        <v>315</v>
      </c>
      <c r="B315" s="43" t="inlineStr">
        <is>
          <t>314</t>
        </is>
      </c>
      <c r="C315" s="43" t="inlineStr">
        <is>
          <t>FJZP</t>
        </is>
      </c>
      <c r="D315" s="43" t="inlineStr">
        <is>
          <t>Cisco</t>
        </is>
      </c>
      <c r="E315" s="43" t="inlineStr">
        <is>
          <t>MCGA</t>
        </is>
      </c>
      <c r="F315" s="43" t="inlineStr">
        <is>
          <t>035-CVEBU</t>
        </is>
      </c>
      <c r="G315" s="43" t="inlineStr">
        <is>
          <t>CTANJZ05522</t>
        </is>
      </c>
      <c r="H315" s="43" t="inlineStr">
        <is>
          <t>To track an AML qualification build (EXTENDABLE 2x)</t>
        </is>
      </c>
      <c r="I315" s="43" t="inlineStr">
        <is>
          <t>Customer Deviation</t>
        </is>
      </c>
      <c r="J315" s="43" t="inlineStr">
        <is>
          <t>D614467</t>
        </is>
      </c>
      <c r="K315" s="33" t="inlineStr">
        <is>
          <t>D614467CVEBU; Tyne; DDR4; Qualification of Winbond MPN W668GG6TB-06 under 15-106924-01Affected items- 800-113103-01; ASY-ELMECH;MODULE; Tyne Codec MB with Taylor; Radio- 73-103698-06; PCBA; Tyne Codec; Main Board; Radio- 15-106924-01; IC-DRAM-D;DDR4;8 Gb(512 Mx16bits);1600 MHz(3200MT/s)...Testbuild instruction- FJZ to build 2x 800-113103-01 where:   - 15-106924-01 on 73-103698-06 shall be populated by MPN W668GG6TB-06 from Winbond   - Boards shall undergo ICT; PCBDG and PCBPM test stations prior shipping   - Boards shall be DEV fused (if applicable)   - FJZ is allowed to use alternative packaging; but must ensure that sufficient protection is used. Antistatic bag with bubble wrap around.   - PCBAs to be shipped to Christian Kjoelseth in NorwayAdditional comments- 20 samples has been shipped from Winbond to FJZ- Only 2 samples is needed for this testbuild; the remaining samples shall be used on future Nixie testbuild.</t>
        </is>
      </c>
      <c r="L315" s="43" t="inlineStr">
        <is>
          <t>CCB</t>
        </is>
      </c>
      <c r="M315" s="43" t="inlineStr">
        <is>
          <t>800-113103-01</t>
        </is>
      </c>
      <c r="N315" s="43" t="inlineStr"/>
      <c r="O315" s="43" t="inlineStr">
        <is>
          <t>2027-01-05</t>
        </is>
      </c>
      <c r="P315" s="33" t="inlineStr">
        <is>
          <t>To track an AML qualification build (EXTENDABLE 2x)</t>
        </is>
      </c>
      <c r="Q315" s="43" t="inlineStr">
        <is>
          <t>Mark the PCBAs with deviation number</t>
        </is>
      </c>
      <c r="R315" s="43" t="inlineStr">
        <is>
          <t>2026-10-08</t>
        </is>
      </c>
      <c r="S315" s="43" t="inlineStr"/>
      <c r="T315" s="43" t="inlineStr"/>
      <c r="U315" s="43" t="inlineStr"/>
    </row>
    <row r="316">
      <c r="A316" s="43" t="n">
        <v>316</v>
      </c>
      <c r="B316" s="43" t="inlineStr">
        <is>
          <t>315</t>
        </is>
      </c>
      <c r="C316" s="43" t="inlineStr">
        <is>
          <t>FJZP</t>
        </is>
      </c>
      <c r="D316" s="43" t="inlineStr">
        <is>
          <t>Cisco</t>
        </is>
      </c>
      <c r="E316" s="43" t="inlineStr">
        <is>
          <t>MCGA</t>
        </is>
      </c>
      <c r="F316" s="43" t="inlineStr">
        <is>
          <t>035-CVEBU</t>
        </is>
      </c>
      <c r="G316" s="43" t="inlineStr">
        <is>
          <t>CTANJZ05091</t>
        </is>
      </c>
      <c r="H316" s="43" t="inlineStr">
        <is>
          <t>To track an AML qualification build (EXTENDABLE 2x)</t>
        </is>
      </c>
      <c r="I316" s="43" t="inlineStr">
        <is>
          <t>Customer Deviation</t>
        </is>
      </c>
      <c r="J316" s="43" t="inlineStr">
        <is>
          <t>D609188</t>
        </is>
      </c>
      <c r="K316" s="33" t="inlineStr">
        <is>
          <t>D609188 VEBU;Taylor800-126978-03 / 73-103922-04 PCA;TAYLOR LOW MODULE WITH HYNIX 16GB LPDDR5In 73- BOM refdes Q3820-100665-01 XTR;PNP;40.0 V;200.0 mA;SOT-323;3 P;0.15 W;150 to -55 C  Qualified: Nexperia PMST3906Qualified: Onsemi  MMBT3906WT1GIPQ:       Panjit  MMBT3906W (10 pcs samples on-hand at FVN)Where used: Bailey; TaylorFVN shall perform a test run of 10 pcs Taylor Low Hynix with Q38 transistor using the IPQ alternate from Panjit.If these Taylor modules pass normal production tests; they can be consumed as mass-production units.Special attention must be paid when these modules are mounted on Pictoris MB and tested; Any issues shall be reported back to Cisco.   1) FVN shall provide PO quote asap2) A schedule for execution shall be submitted to Cisco.DE: halkvedaPE: hasorens</t>
        </is>
      </c>
      <c r="L316" s="43" t="inlineStr">
        <is>
          <t>Re-Extended</t>
        </is>
      </c>
      <c r="M316" s="43" t="inlineStr">
        <is>
          <t>20-100665-01</t>
        </is>
      </c>
      <c r="N316" s="43" t="inlineStr"/>
      <c r="O316" s="43" t="inlineStr">
        <is>
          <t>2026-10-25</t>
        </is>
      </c>
      <c r="P316" s="33" t="inlineStr">
        <is>
          <t>To track an AML qualification build (EXTENDABLE 2x)</t>
        </is>
      </c>
      <c r="Q316" s="43" t="inlineStr">
        <is>
          <t>Add a label saying Dxxxxxx close to the 800-126978-03 serial number label.</t>
        </is>
      </c>
      <c r="R316" s="43" t="inlineStr">
        <is>
          <t>2026-01-29</t>
        </is>
      </c>
      <c r="S316" s="43" t="inlineStr">
        <is>
          <t>2026-02-04</t>
        </is>
      </c>
      <c r="T316" s="43" t="inlineStr"/>
      <c r="U316" s="43" t="inlineStr"/>
    </row>
    <row r="317">
      <c r="A317" s="43" t="n">
        <v>317</v>
      </c>
      <c r="B317" s="43" t="inlineStr">
        <is>
          <t>316</t>
        </is>
      </c>
      <c r="C317" s="43" t="inlineStr">
        <is>
          <t>FJZP</t>
        </is>
      </c>
      <c r="D317" s="43" t="inlineStr">
        <is>
          <t>Cisco</t>
        </is>
      </c>
      <c r="E317" s="43" t="inlineStr">
        <is>
          <t>MCGA</t>
        </is>
      </c>
      <c r="F317" s="43" t="inlineStr">
        <is>
          <t>037-STBU</t>
        </is>
      </c>
      <c r="G317" s="43" t="inlineStr">
        <is>
          <t>CTANJZ05141</t>
        </is>
      </c>
      <c r="H317" s="43" t="inlineStr">
        <is>
          <t>Risk Buy Authorization Only ¡V No Build/Shipment Allowed (Sustaining Only)</t>
        </is>
      </c>
      <c r="I317" s="43" t="inlineStr">
        <is>
          <t>Customer Deviation</t>
        </is>
      </c>
      <c r="J317" s="43" t="inlineStr">
        <is>
          <t>D609793</t>
        </is>
      </c>
      <c r="K317" s="33" t="inlineStr">
        <is>
          <t>D609793 NGFWBU GQR: GQR000076658 Case: AQR003234979 CPN: 36-0333-01; MFR NAME: TAI-TECH ADVANCED ELECTRONICS; MPN: MB18K221-03R30V2CThis deviation instructs Foxconn Juarez (FJZ) to execute a sample buy and conduct a Mfg qual build for the following part(s):BU: NGFWBUPF: F1KLOWAffected TAN(s):68-6432-03Affected Item(s): 73-18489-08CPN: 36-0333-01; MFR NAME: TAI-TECH ADVANCED ELECTRONICS; MPN: MB18K221-03R30V2CBuild Qty: 5Ref Des: L34;L38;L39To execute the above AQR at CM site; should be tested on Model A.</t>
        </is>
      </c>
      <c r="L317" s="43" t="inlineStr">
        <is>
          <t>Expired</t>
        </is>
      </c>
      <c r="M317" s="43" t="inlineStr">
        <is>
          <t>73-18489-08</t>
        </is>
      </c>
      <c r="N317" s="43" t="inlineStr"/>
      <c r="O317" s="43" t="inlineStr">
        <is>
          <t>2026-06-07</t>
        </is>
      </c>
      <c r="P317" s="33" t="inlineStr">
        <is>
          <t>Risk Buy Authorization;To track an AML qualification build (EXTENDABLE 2x)</t>
        </is>
      </c>
      <c r="Q317" s="43" t="inlineStr">
        <is>
          <t>NA</t>
        </is>
      </c>
      <c r="R317" s="43" t="inlineStr">
        <is>
          <t>2026-03-10</t>
        </is>
      </c>
      <c r="S317" s="43" t="inlineStr">
        <is>
          <t>2026-03-24</t>
        </is>
      </c>
      <c r="T317" s="43" t="inlineStr"/>
      <c r="U317" s="43" t="inlineStr"/>
    </row>
    <row r="318">
      <c r="A318" s="43" t="n">
        <v>318</v>
      </c>
      <c r="B318" s="43" t="inlineStr">
        <is>
          <t>317</t>
        </is>
      </c>
      <c r="C318" s="43" t="inlineStr">
        <is>
          <t>FJZP</t>
        </is>
      </c>
      <c r="D318" s="43" t="inlineStr">
        <is>
          <t>Cisco</t>
        </is>
      </c>
      <c r="E318" s="43" t="inlineStr">
        <is>
          <t>MCGA</t>
        </is>
      </c>
      <c r="F318" s="43" t="inlineStr">
        <is>
          <t>035-CVEBU</t>
        </is>
      </c>
      <c r="G318" s="43" t="inlineStr">
        <is>
          <t>CTANJZ05310</t>
        </is>
      </c>
      <c r="H318" s="43" t="inlineStr">
        <is>
          <t>To track an AML qualification build (EXTENDABLE)</t>
        </is>
      </c>
      <c r="I318" s="43" t="inlineStr">
        <is>
          <t>Customer Deviation</t>
        </is>
      </c>
      <c r="J318" s="43" t="inlineStr">
        <is>
          <t>DP526230</t>
        </is>
      </c>
      <c r="K318" s="33" t="inlineStr">
        <is>
          <t>DP526230 Please see PageThree for details</t>
        </is>
      </c>
      <c r="L318" s="43" t="inlineStr">
        <is>
          <t>Expired</t>
        </is>
      </c>
      <c r="M318" s="43" t="inlineStr">
        <is>
          <t>28-105096-06</t>
        </is>
      </c>
      <c r="N318" s="43" t="inlineStr"/>
      <c r="O318" s="43" t="inlineStr">
        <is>
          <t>2026-08-04</t>
        </is>
      </c>
      <c r="P318" s="33" t="inlineStr"/>
      <c r="Q318" s="43" t="inlineStr">
        <is>
          <t>No marking needed</t>
        </is>
      </c>
      <c r="R318" s="43" t="inlineStr">
        <is>
          <t>2026-06-24</t>
        </is>
      </c>
      <c r="S318" s="43" t="inlineStr">
        <is>
          <t>2026-07-02</t>
        </is>
      </c>
      <c r="T318" s="43" t="inlineStr"/>
      <c r="U318" s="43" t="inlineStr"/>
    </row>
    <row r="319">
      <c r="A319" s="43" t="n">
        <v>319</v>
      </c>
      <c r="B319" s="43" t="inlineStr">
        <is>
          <t>318</t>
        </is>
      </c>
      <c r="C319" s="43" t="inlineStr">
        <is>
          <t>FJZP</t>
        </is>
      </c>
      <c r="D319" s="43" t="inlineStr">
        <is>
          <t>Cisco</t>
        </is>
      </c>
      <c r="E319" s="43" t="inlineStr">
        <is>
          <t>MCGA</t>
        </is>
      </c>
      <c r="F319" s="43" t="inlineStr">
        <is>
          <t>018-SRGBU</t>
        </is>
      </c>
      <c r="G319" s="43" t="inlineStr">
        <is>
          <t>CTANJZ05235</t>
        </is>
      </c>
      <c r="H319" s="43" t="inlineStr">
        <is>
          <t>Engineering Qualification Build</t>
        </is>
      </c>
      <c r="I319" s="43" t="inlineStr">
        <is>
          <t>Customer Deviation</t>
        </is>
      </c>
      <c r="J319" s="43" t="inlineStr">
        <is>
          <t>D610818</t>
        </is>
      </c>
      <c r="K319" s="33" t="inlineStr">
        <is>
          <t>D610818 UABU needs to qualify ONSEMI MOC207M  on 73-20988-05 under 15-7230-01 1.FJZ to build 2pcs Cisco products with below MCN samples; 2. All units need to go through normal manufacturing process; 3. Pls hold the shipment until Cisco's shipment approval; 4. Pls keep EPE Harry Cuong Vi(cuvi@cisco.com) posted if any failures during the process. CCN000005473	GQR000041243	AQR003537700  Build Qty: 2 Affected TAN(s): 68-103948-01 Affected Item(s): 73-20988-05 MFR Name: ONSEMI MPN: MOC207M</t>
        </is>
      </c>
      <c r="L319" s="43" t="inlineStr">
        <is>
          <t>Expired</t>
        </is>
      </c>
      <c r="M319" s="43" t="inlineStr">
        <is>
          <t>15-7230-01</t>
        </is>
      </c>
      <c r="N319" s="43" t="inlineStr"/>
      <c r="O319" s="43" t="inlineStr">
        <is>
          <t>2026-08-05</t>
        </is>
      </c>
      <c r="P319" s="33" t="inlineStr">
        <is>
          <t>Engineering Qualification Build (EXTENDABLE 2x);To track an AML qualification build (EXTENDABLE 2x)</t>
        </is>
      </c>
      <c r="Q319" s="43" t="inlineStr">
        <is>
          <t>NA</t>
        </is>
      </c>
      <c r="R319" s="43" t="inlineStr">
        <is>
          <t>2026-05-08</t>
        </is>
      </c>
      <c r="S319" s="43" t="inlineStr">
        <is>
          <t>2026-05-19</t>
        </is>
      </c>
      <c r="T319" s="43" t="inlineStr"/>
      <c r="U319" s="43" t="inlineStr"/>
    </row>
    <row r="320">
      <c r="A320" s="43" t="n">
        <v>320</v>
      </c>
      <c r="B320" s="43" t="inlineStr">
        <is>
          <t>319</t>
        </is>
      </c>
      <c r="C320" s="43" t="inlineStr">
        <is>
          <t>FJZP</t>
        </is>
      </c>
      <c r="D320" s="43" t="inlineStr">
        <is>
          <t>Cisco</t>
        </is>
      </c>
      <c r="E320" s="43" t="inlineStr">
        <is>
          <t>MCGA</t>
        </is>
      </c>
      <c r="F320" s="43" t="inlineStr">
        <is>
          <t>018-SRGBU</t>
        </is>
      </c>
      <c r="G320" s="43" t="inlineStr">
        <is>
          <t>CTANJZ05235</t>
        </is>
      </c>
      <c r="H320" s="43" t="inlineStr">
        <is>
          <t>Engineering Qualification Build</t>
        </is>
      </c>
      <c r="I320" s="43" t="inlineStr">
        <is>
          <t>Customer Deviation</t>
        </is>
      </c>
      <c r="J320" s="43" t="inlineStr">
        <is>
          <t>D610818</t>
        </is>
      </c>
      <c r="K320" s="33" t="inlineStr">
        <is>
          <t>D610818 UABU needs to qualify ONSEMI MOC207M  on 73-20988-05 under 15-7230-01 1.FJZ to build 2pcs Cisco products with below MCN samples; 2. All units need to go through normal manufacturing process; 3. Pls hold the shipment until Cisco's shipment approval; 4. Pls keep EPE Harry Cuong Vi(cuvi@cisco.com) posted if any failures during the process. CCN000005473	GQR000041243	AQR003537700  Build Qty: 2 Affected TAN(s): 68-103948-01 Affected Item(s): 73-20988-05 MFR Name: ONSEMI MPN: MOC207M</t>
        </is>
      </c>
      <c r="L320" s="43" t="inlineStr">
        <is>
          <t>Expired</t>
        </is>
      </c>
      <c r="M320" s="43" t="inlineStr">
        <is>
          <t>73-20988-05</t>
        </is>
      </c>
      <c r="N320" s="43" t="inlineStr"/>
      <c r="O320" s="43" t="inlineStr">
        <is>
          <t>2026-08-05</t>
        </is>
      </c>
      <c r="P320" s="33" t="inlineStr">
        <is>
          <t>Engineering Qualification Build (EXTENDABLE 2x);To track an AML qualification build (EXTENDABLE 2x)</t>
        </is>
      </c>
      <c r="Q320" s="43" t="inlineStr">
        <is>
          <t>NA</t>
        </is>
      </c>
      <c r="R320" s="43" t="inlineStr">
        <is>
          <t>2026-05-08</t>
        </is>
      </c>
      <c r="S320" s="43" t="inlineStr">
        <is>
          <t>2026-05-19</t>
        </is>
      </c>
      <c r="T320" s="43" t="inlineStr"/>
      <c r="U320" s="43" t="inlineStr"/>
    </row>
    <row r="321">
      <c r="A321" s="43" t="n">
        <v>321</v>
      </c>
      <c r="B321" s="43" t="inlineStr">
        <is>
          <t>320</t>
        </is>
      </c>
      <c r="C321" s="43" t="inlineStr">
        <is>
          <t>FJZP</t>
        </is>
      </c>
      <c r="D321" s="43" t="inlineStr">
        <is>
          <t>Cisco</t>
        </is>
      </c>
      <c r="E321" s="43" t="inlineStr">
        <is>
          <t>MCGA</t>
        </is>
      </c>
      <c r="F321" s="43" t="inlineStr">
        <is>
          <t>035-CVEBU</t>
        </is>
      </c>
      <c r="G321" s="43" t="inlineStr">
        <is>
          <t>CTANJZ05313</t>
        </is>
      </c>
      <c r="H321" s="43" t="inlineStr">
        <is>
          <t>To track an AML qualification build (EXTENDABLE)</t>
        </is>
      </c>
      <c r="I321" s="43" t="inlineStr">
        <is>
          <t>Customer Deviation</t>
        </is>
      </c>
      <c r="J321" s="43" t="inlineStr">
        <is>
          <t>DP526246</t>
        </is>
      </c>
      <c r="K321" s="33" t="inlineStr">
        <is>
          <t>DP526246 Please see PageThree for details</t>
        </is>
      </c>
      <c r="L321" s="43" t="inlineStr">
        <is>
          <t>Expired</t>
        </is>
      </c>
      <c r="M321" s="43" t="inlineStr">
        <is>
          <t>28-104164-06</t>
        </is>
      </c>
      <c r="N321" s="43" t="inlineStr"/>
      <c r="O321" s="43" t="inlineStr">
        <is>
          <t>2026-08-10</t>
        </is>
      </c>
      <c r="P321" s="33" t="inlineStr"/>
      <c r="Q321" s="43" t="inlineStr">
        <is>
          <t>No marking needed</t>
        </is>
      </c>
      <c r="R321" s="43" t="inlineStr">
        <is>
          <t>2026-06-24</t>
        </is>
      </c>
      <c r="S321" s="43" t="inlineStr">
        <is>
          <t>2026-07-02</t>
        </is>
      </c>
      <c r="T321" s="43" t="inlineStr"/>
      <c r="U321" s="43" t="inlineStr"/>
    </row>
    <row r="322">
      <c r="A322" s="43" t="n">
        <v>322</v>
      </c>
      <c r="B322" s="43" t="inlineStr">
        <is>
          <t>321</t>
        </is>
      </c>
      <c r="C322" s="43" t="inlineStr">
        <is>
          <t>FJZP</t>
        </is>
      </c>
      <c r="D322" s="43" t="inlineStr">
        <is>
          <t>Cisco</t>
        </is>
      </c>
      <c r="E322" s="43" t="inlineStr">
        <is>
          <t>MCGA</t>
        </is>
      </c>
      <c r="F322" s="43" t="inlineStr">
        <is>
          <t>035-CVEBU</t>
        </is>
      </c>
      <c r="G322" s="43" t="inlineStr">
        <is>
          <t>CTANJZ05091</t>
        </is>
      </c>
      <c r="H322" s="43" t="inlineStr">
        <is>
          <t>To track an AML qualification build (EXTENDABLE 2x)</t>
        </is>
      </c>
      <c r="I322" s="43" t="inlineStr">
        <is>
          <t>Customer Deviation</t>
        </is>
      </c>
      <c r="J322" s="43" t="inlineStr">
        <is>
          <t>D609188</t>
        </is>
      </c>
      <c r="K322" s="33" t="inlineStr">
        <is>
          <t>D609188 VEBU;Taylor800-126978-03 / 73-103922-04 PCA;TAYLOR LOW MODULE WITH HYNIX 16GB LPDDR5In 73- BOM refdes Q3820-100665-01 XTR;PNP;40.0 V;200.0 mA;SOT-323;3 P;0.15 W;150 to -55 C  Qualified: Nexperia PMST3906Qualified: Onsemi  MMBT3906WT1GIPQ:       Panjit  MMBT3906W (10 pcs samples on-hand at FVN)Where used: Bailey; TaylorFVN shall perform a test run of 10 pcs Taylor Low Hynix with Q38 transistor using the IPQ alternate from Panjit.If these Taylor modules pass normal production tests; they can be consumed as mass-production units.Special attention must be paid when these modules are mounted on Pictoris MB and tested; Any issues shall be reported back to Cisco.   1) FVN shall provide PO quote asap2) A schedule for execution shall be submitted to Cisco.DE: halkvedaPE: hasorens</t>
        </is>
      </c>
      <c r="L322" s="43" t="inlineStr">
        <is>
          <t>Re-Extended</t>
        </is>
      </c>
      <c r="M322" s="43" t="inlineStr">
        <is>
          <t>73-103922-04</t>
        </is>
      </c>
      <c r="N322" s="43" t="inlineStr"/>
      <c r="O322" s="43" t="inlineStr">
        <is>
          <t>2026-10-25</t>
        </is>
      </c>
      <c r="P322" s="33" t="inlineStr">
        <is>
          <t>To track an AML qualification build (EXTENDABLE 2x)</t>
        </is>
      </c>
      <c r="Q322" s="43" t="inlineStr">
        <is>
          <t>Add a label saying Dxxxxxx close to the 800-126978-03 serial number label.</t>
        </is>
      </c>
      <c r="R322" s="43" t="inlineStr">
        <is>
          <t>2026-01-29</t>
        </is>
      </c>
      <c r="S322" s="43" t="inlineStr">
        <is>
          <t>2026-02-04</t>
        </is>
      </c>
      <c r="T322" s="43" t="inlineStr"/>
      <c r="U322" s="43" t="inlineStr"/>
    </row>
    <row r="323">
      <c r="A323" s="43" t="n">
        <v>323</v>
      </c>
      <c r="B323" s="43" t="inlineStr">
        <is>
          <t>322</t>
        </is>
      </c>
      <c r="C323" s="43" t="inlineStr">
        <is>
          <t>FJZP</t>
        </is>
      </c>
      <c r="D323" s="43" t="inlineStr">
        <is>
          <t>Cisco</t>
        </is>
      </c>
      <c r="E323" s="43" t="inlineStr">
        <is>
          <t>MCGA</t>
        </is>
      </c>
      <c r="F323" s="43" t="inlineStr">
        <is>
          <t>239-CRBU</t>
        </is>
      </c>
      <c r="G323" s="43" t="inlineStr">
        <is>
          <t>CTANJZ05506</t>
        </is>
      </c>
      <c r="H323" s="43" t="inlineStr">
        <is>
          <t>Engineering Qualification Build</t>
        </is>
      </c>
      <c r="I323" s="43" t="inlineStr">
        <is>
          <t>Customer Deviation</t>
        </is>
      </c>
      <c r="J323" s="43" t="inlineStr">
        <is>
          <t>D613418</t>
        </is>
      </c>
      <c r="K323" s="33" t="inlineStr">
        <is>
          <t>D613418 Need to qualify BBPYCS160808601Y00 on 73-102363-05</t>
        </is>
      </c>
      <c r="L323" s="43" t="inlineStr">
        <is>
          <t>Implementation</t>
        </is>
      </c>
      <c r="M323" s="43" t="inlineStr">
        <is>
          <t>36-0148-02</t>
        </is>
      </c>
      <c r="N323" s="43" t="inlineStr"/>
      <c r="O323" s="43" t="inlineStr">
        <is>
          <t>2026-12-22</t>
        </is>
      </c>
      <c r="P323" s="33" t="inlineStr">
        <is>
          <t>Engineering Qualification Build (EXTENDABLE 2x);To track an AML qualification build (EXTENDABLE 2x)</t>
        </is>
      </c>
      <c r="Q323" s="43" t="inlineStr">
        <is>
          <t>NA</t>
        </is>
      </c>
      <c r="R323" s="43" t="inlineStr">
        <is>
          <t>2026-09-24</t>
        </is>
      </c>
      <c r="S323" s="43" t="inlineStr">
        <is>
          <t>2026-10-03</t>
        </is>
      </c>
      <c r="T323" s="43" t="inlineStr"/>
      <c r="U323" s="43" t="inlineStr"/>
    </row>
    <row r="324">
      <c r="A324" s="43" t="n">
        <v>324</v>
      </c>
      <c r="B324" s="43" t="inlineStr">
        <is>
          <t>323</t>
        </is>
      </c>
      <c r="C324" s="43" t="inlineStr">
        <is>
          <t>FJZP</t>
        </is>
      </c>
      <c r="D324" s="43" t="inlineStr">
        <is>
          <t>Cisco</t>
        </is>
      </c>
      <c r="E324" s="43" t="inlineStr">
        <is>
          <t>MCGA</t>
        </is>
      </c>
      <c r="F324" s="43" t="inlineStr">
        <is>
          <t>239-CRBU</t>
        </is>
      </c>
      <c r="G324" s="43" t="inlineStr">
        <is>
          <t>CTANJZ05506</t>
        </is>
      </c>
      <c r="H324" s="43" t="inlineStr">
        <is>
          <t>Engineering Qualification Build</t>
        </is>
      </c>
      <c r="I324" s="43" t="inlineStr">
        <is>
          <t>Customer Deviation</t>
        </is>
      </c>
      <c r="J324" s="43" t="inlineStr">
        <is>
          <t>D613418</t>
        </is>
      </c>
      <c r="K324" s="33" t="inlineStr">
        <is>
          <t>D613418 Need to qualify BBPYCS160808601Y00 on 73-102363-05</t>
        </is>
      </c>
      <c r="L324" s="43" t="inlineStr">
        <is>
          <t>Implementation</t>
        </is>
      </c>
      <c r="M324" s="43" t="inlineStr">
        <is>
          <t>73-102363-05</t>
        </is>
      </c>
      <c r="N324" s="43" t="inlineStr"/>
      <c r="O324" s="43" t="inlineStr">
        <is>
          <t>2026-12-22</t>
        </is>
      </c>
      <c r="P324" s="33" t="inlineStr">
        <is>
          <t>Engineering Qualification Build (EXTENDABLE 2x);To track an AML qualification build (EXTENDABLE 2x)</t>
        </is>
      </c>
      <c r="Q324" s="43" t="inlineStr">
        <is>
          <t>NA</t>
        </is>
      </c>
      <c r="R324" s="43" t="inlineStr">
        <is>
          <t>2026-09-24</t>
        </is>
      </c>
      <c r="S324" s="43" t="inlineStr">
        <is>
          <t>2026-10-03</t>
        </is>
      </c>
      <c r="T324" s="43" t="inlineStr"/>
      <c r="U324" s="43" t="inlineStr"/>
    </row>
    <row r="325">
      <c r="A325" s="43" t="n">
        <v>325</v>
      </c>
      <c r="B325" s="43" t="inlineStr">
        <is>
          <t>324</t>
        </is>
      </c>
      <c r="C325" s="43" t="inlineStr">
        <is>
          <t>FJZP</t>
        </is>
      </c>
      <c r="D325" s="43" t="inlineStr">
        <is>
          <t>Cisco</t>
        </is>
      </c>
      <c r="E325" s="43" t="inlineStr">
        <is>
          <t>MCGA</t>
        </is>
      </c>
      <c r="F325" s="43" t="inlineStr">
        <is>
          <t>239-CRBU</t>
        </is>
      </c>
      <c r="G325" s="43" t="inlineStr">
        <is>
          <t>CTANJZ05507</t>
        </is>
      </c>
      <c r="H325" s="43" t="inlineStr">
        <is>
          <t>Engineering Qualification Build</t>
        </is>
      </c>
      <c r="I325" s="43" t="inlineStr">
        <is>
          <t>Customer Deviation</t>
        </is>
      </c>
      <c r="J325" s="43" t="inlineStr">
        <is>
          <t>D613427</t>
        </is>
      </c>
      <c r="K325" s="33" t="inlineStr">
        <is>
          <t>D613427Need to qualify MBP21K400-15R045C on 73-102363-05</t>
        </is>
      </c>
      <c r="L325" s="43" t="inlineStr">
        <is>
          <t>Implementation</t>
        </is>
      </c>
      <c r="M325" s="43" t="inlineStr">
        <is>
          <t>36-0111-02</t>
        </is>
      </c>
      <c r="N325" s="43" t="inlineStr"/>
      <c r="O325" s="43" t="inlineStr">
        <is>
          <t>2026-12-22</t>
        </is>
      </c>
      <c r="P325" s="33" t="inlineStr">
        <is>
          <t>Engineering Qualification Build (EXTENDABLE 2x);To track an AML qualification build (EXTENDABLE 2x)</t>
        </is>
      </c>
      <c r="Q325" s="43" t="inlineStr">
        <is>
          <t>NA</t>
        </is>
      </c>
      <c r="R325" s="43" t="inlineStr">
        <is>
          <t>2026-09-24</t>
        </is>
      </c>
      <c r="S325" s="43" t="inlineStr">
        <is>
          <t>2026-10-03</t>
        </is>
      </c>
      <c r="T325" s="43" t="inlineStr"/>
      <c r="U325" s="43" t="inlineStr"/>
    </row>
    <row r="326">
      <c r="A326" s="43" t="n">
        <v>326</v>
      </c>
      <c r="B326" s="43" t="inlineStr">
        <is>
          <t>325</t>
        </is>
      </c>
      <c r="C326" s="43" t="inlineStr">
        <is>
          <t>FJZP</t>
        </is>
      </c>
      <c r="D326" s="43" t="inlineStr">
        <is>
          <t>Cisco</t>
        </is>
      </c>
      <c r="E326" s="43" t="inlineStr">
        <is>
          <t>MCGA</t>
        </is>
      </c>
      <c r="F326" s="43" t="inlineStr">
        <is>
          <t>239-CRBU</t>
        </is>
      </c>
      <c r="G326" s="43" t="inlineStr">
        <is>
          <t>CTANJZ05507</t>
        </is>
      </c>
      <c r="H326" s="43" t="inlineStr">
        <is>
          <t>Engineering Qualification Build</t>
        </is>
      </c>
      <c r="I326" s="43" t="inlineStr">
        <is>
          <t>Customer Deviation</t>
        </is>
      </c>
      <c r="J326" s="43" t="inlineStr">
        <is>
          <t>D613427</t>
        </is>
      </c>
      <c r="K326" s="33" t="inlineStr">
        <is>
          <t>D613427Need to qualify MBP21K400-15R045C on 73-102363-05</t>
        </is>
      </c>
      <c r="L326" s="43" t="inlineStr">
        <is>
          <t>Implementation</t>
        </is>
      </c>
      <c r="M326" s="43" t="inlineStr">
        <is>
          <t>73-102363-05</t>
        </is>
      </c>
      <c r="N326" s="43" t="inlineStr"/>
      <c r="O326" s="43" t="inlineStr">
        <is>
          <t>2026-12-22</t>
        </is>
      </c>
      <c r="P326" s="33" t="inlineStr">
        <is>
          <t>Engineering Qualification Build (EXTENDABLE 2x);To track an AML qualification build (EXTENDABLE 2x)</t>
        </is>
      </c>
      <c r="Q326" s="43" t="inlineStr">
        <is>
          <t>NA</t>
        </is>
      </c>
      <c r="R326" s="43" t="inlineStr">
        <is>
          <t>2026-09-24</t>
        </is>
      </c>
      <c r="S326" s="43" t="inlineStr">
        <is>
          <t>2026-10-03</t>
        </is>
      </c>
      <c r="T326" s="43" t="inlineStr"/>
      <c r="U326" s="43" t="inlineStr"/>
    </row>
    <row r="327">
      <c r="A327" s="43" t="n">
        <v>327</v>
      </c>
      <c r="B327" s="43" t="inlineStr">
        <is>
          <t>326</t>
        </is>
      </c>
      <c r="C327" s="43" t="inlineStr">
        <is>
          <t>FJZP</t>
        </is>
      </c>
      <c r="D327" s="43" t="inlineStr">
        <is>
          <t>Cisco</t>
        </is>
      </c>
      <c r="E327" s="43" t="inlineStr">
        <is>
          <t>MCGA</t>
        </is>
      </c>
      <c r="F327" s="43" t="inlineStr">
        <is>
          <t>239-CRBU</t>
        </is>
      </c>
      <c r="G327" s="43" t="inlineStr">
        <is>
          <t>CTANJZ05502</t>
        </is>
      </c>
      <c r="H327" s="43" t="inlineStr">
        <is>
          <t>Engineering Qualification Build</t>
        </is>
      </c>
      <c r="I327" s="43" t="inlineStr">
        <is>
          <t>Customer Deviation</t>
        </is>
      </c>
      <c r="J327" s="43" t="inlineStr">
        <is>
          <t>D613744</t>
        </is>
      </c>
      <c r="K327" s="33" t="inlineStr">
        <is>
          <t>D613744 Need to qualify MBP21K400-15R045C on 73-21335-01</t>
        </is>
      </c>
      <c r="L327" s="43" t="inlineStr">
        <is>
          <t>Implementation</t>
        </is>
      </c>
      <c r="M327" s="43" t="inlineStr">
        <is>
          <t>36-0111-02</t>
        </is>
      </c>
      <c r="N327" s="43" t="inlineStr"/>
      <c r="O327" s="43" t="inlineStr">
        <is>
          <t>2026-12-20</t>
        </is>
      </c>
      <c r="P327" s="33" t="inlineStr">
        <is>
          <t>Engineering Qualification Build (EXTENDABLE 2x);To track an AML qualification build (EXTENDABLE 2x)</t>
        </is>
      </c>
      <c r="Q327" s="43" t="inlineStr">
        <is>
          <t>NA</t>
        </is>
      </c>
      <c r="R327" s="43" t="inlineStr">
        <is>
          <t>2026-09-22</t>
        </is>
      </c>
      <c r="S327" s="43" t="inlineStr">
        <is>
          <t>2026-10-03</t>
        </is>
      </c>
      <c r="T327" s="43" t="inlineStr"/>
      <c r="U327" s="43" t="inlineStr"/>
    </row>
    <row r="328">
      <c r="A328" s="43" t="n">
        <v>328</v>
      </c>
      <c r="B328" s="43" t="inlineStr">
        <is>
          <t>327</t>
        </is>
      </c>
      <c r="C328" s="43" t="inlineStr">
        <is>
          <t>FJZP</t>
        </is>
      </c>
      <c r="D328" s="43" t="inlineStr">
        <is>
          <t>Cisco</t>
        </is>
      </c>
      <c r="E328" s="43" t="inlineStr">
        <is>
          <t>MCGA</t>
        </is>
      </c>
      <c r="F328" s="43" t="inlineStr">
        <is>
          <t>239-CRBU</t>
        </is>
      </c>
      <c r="G328" s="43" t="inlineStr">
        <is>
          <t>CTANJZ05503</t>
        </is>
      </c>
      <c r="H328" s="43" t="inlineStr">
        <is>
          <t>Engineering Qualification Build</t>
        </is>
      </c>
      <c r="I328" s="43" t="inlineStr">
        <is>
          <t>Customer Deviation</t>
        </is>
      </c>
      <c r="J328" s="43" t="inlineStr">
        <is>
          <t>D612992</t>
        </is>
      </c>
      <c r="K328" s="33" t="inlineStr">
        <is>
          <t>D612992 Need to qualify ISC019N03L5S on 73-20922-04</t>
        </is>
      </c>
      <c r="L328" s="43" t="inlineStr">
        <is>
          <t>Implementation</t>
        </is>
      </c>
      <c r="M328" s="43" t="inlineStr">
        <is>
          <t>20-0788-01</t>
        </is>
      </c>
      <c r="N328" s="43" t="inlineStr"/>
      <c r="O328" s="43" t="inlineStr">
        <is>
          <t>2026-12-21</t>
        </is>
      </c>
      <c r="P328" s="33" t="inlineStr">
        <is>
          <t>Engineering Qualification Build (EXTENDABLE 2x);To track an AML qualification build (EXTENDABLE 2x)</t>
        </is>
      </c>
      <c r="Q328" s="43" t="inlineStr">
        <is>
          <t>NA</t>
        </is>
      </c>
      <c r="R328" s="43" t="inlineStr">
        <is>
          <t>2026-09-23</t>
        </is>
      </c>
      <c r="S328" s="43" t="inlineStr">
        <is>
          <t>2026-10-03</t>
        </is>
      </c>
      <c r="T328" s="43" t="inlineStr"/>
      <c r="U328" s="43" t="inlineStr"/>
    </row>
    <row r="329">
      <c r="A329" s="43" t="n">
        <v>329</v>
      </c>
      <c r="B329" s="43" t="inlineStr">
        <is>
          <t>328</t>
        </is>
      </c>
      <c r="C329" s="43" t="inlineStr">
        <is>
          <t>FJZP</t>
        </is>
      </c>
      <c r="D329" s="43" t="inlineStr">
        <is>
          <t>Cisco</t>
        </is>
      </c>
      <c r="E329" s="43" t="inlineStr">
        <is>
          <t>MCGA</t>
        </is>
      </c>
      <c r="F329" s="43" t="inlineStr">
        <is>
          <t>239-CRBU</t>
        </is>
      </c>
      <c r="G329" s="43" t="inlineStr">
        <is>
          <t>CTANJZ05500</t>
        </is>
      </c>
      <c r="H329" s="43" t="inlineStr">
        <is>
          <t>Engineering Qualification Build</t>
        </is>
      </c>
      <c r="I329" s="43" t="inlineStr">
        <is>
          <t>Customer Deviation</t>
        </is>
      </c>
      <c r="J329" s="43" t="inlineStr">
        <is>
          <t>D612993</t>
        </is>
      </c>
      <c r="K329" s="33" t="inlineStr">
        <is>
          <t>D612993 Need to qualify ISC019N03L5S on 73-102362-07</t>
        </is>
      </c>
      <c r="L329" s="43" t="inlineStr">
        <is>
          <t>Implementation</t>
        </is>
      </c>
      <c r="M329" s="43" t="inlineStr">
        <is>
          <t>20-0788-01</t>
        </is>
      </c>
      <c r="N329" s="43" t="inlineStr"/>
      <c r="O329" s="43" t="inlineStr">
        <is>
          <t>2026-12-19</t>
        </is>
      </c>
      <c r="P329" s="33" t="inlineStr">
        <is>
          <t>Engineering Qualification Build (EXTENDABLE 2x);To track an AML qualification build (EXTENDABLE 2x)</t>
        </is>
      </c>
      <c r="Q329" s="43" t="inlineStr">
        <is>
          <t>NA</t>
        </is>
      </c>
      <c r="R329" s="43" t="inlineStr">
        <is>
          <t>2026-09-22</t>
        </is>
      </c>
      <c r="S329" s="43" t="inlineStr">
        <is>
          <t>2026-10-03</t>
        </is>
      </c>
      <c r="T329" s="43" t="inlineStr"/>
      <c r="U329" s="43" t="inlineStr"/>
    </row>
    <row r="330">
      <c r="A330" s="43" t="n">
        <v>330</v>
      </c>
      <c r="B330" s="43" t="inlineStr">
        <is>
          <t>329</t>
        </is>
      </c>
      <c r="C330" s="43" t="inlineStr">
        <is>
          <t>FJZP</t>
        </is>
      </c>
      <c r="D330" s="43" t="inlineStr">
        <is>
          <t>Cisco</t>
        </is>
      </c>
      <c r="E330" s="43" t="inlineStr">
        <is>
          <t>MCGA</t>
        </is>
      </c>
      <c r="F330" s="43" t="inlineStr">
        <is>
          <t>239-CRBU</t>
        </is>
      </c>
      <c r="G330" s="43" t="inlineStr">
        <is>
          <t>CTANJZ05284</t>
        </is>
      </c>
      <c r="H330" s="43" t="inlineStr">
        <is>
          <t>Engineering Qualification Build</t>
        </is>
      </c>
      <c r="I330" s="43" t="inlineStr">
        <is>
          <t>Customer Deviation</t>
        </is>
      </c>
      <c r="J330" s="43" t="inlineStr">
        <is>
          <t>D611785</t>
        </is>
      </c>
      <c r="K330" s="33" t="inlineStr">
        <is>
          <t>D611785 Need to qualify VOS617A-7T on 73-21146-12 for Assy Qual Request # : AQR003707792 Which is a Supplier PCN from VOS617A-7T for PCN TYPE : Process Change on GQR GQR000090455 and AQR AQR003707792FVN/FOL/FJZ can arrange MFG qual build-3 boards with latest PCBA or down version</t>
        </is>
      </c>
      <c r="L330" s="43" t="inlineStr">
        <is>
          <t>Extended</t>
        </is>
      </c>
      <c r="M330" s="43" t="inlineStr">
        <is>
          <t>15-10372-01</t>
        </is>
      </c>
      <c r="N330" s="43" t="inlineStr"/>
      <c r="O330" s="43" t="inlineStr">
        <is>
          <t>2026-12-04</t>
        </is>
      </c>
      <c r="P330" s="33" t="inlineStr">
        <is>
          <t>Engineering Qualification Build (EXTENDABLE 2x);To track an AML qualification build (EXTENDABLE 2x)</t>
        </is>
      </c>
      <c r="Q330" s="43" t="inlineStr">
        <is>
          <t>put deviation number on units</t>
        </is>
      </c>
      <c r="R330" s="43" t="inlineStr">
        <is>
          <t>2026-06-09</t>
        </is>
      </c>
      <c r="S330" s="43" t="inlineStr">
        <is>
          <t>2026-07-02</t>
        </is>
      </c>
      <c r="T330" s="43" t="inlineStr"/>
      <c r="U330" s="43" t="inlineStr"/>
    </row>
    <row r="331">
      <c r="A331" s="43" t="n">
        <v>331</v>
      </c>
      <c r="B331" s="43" t="inlineStr">
        <is>
          <t>330</t>
        </is>
      </c>
      <c r="C331" s="43" t="inlineStr">
        <is>
          <t>FJZP</t>
        </is>
      </c>
      <c r="D331" s="43" t="inlineStr">
        <is>
          <t>Cisco</t>
        </is>
      </c>
      <c r="E331" s="43" t="inlineStr">
        <is>
          <t>MCGA</t>
        </is>
      </c>
      <c r="F331" s="43" t="inlineStr">
        <is>
          <t>239-CRBU</t>
        </is>
      </c>
      <c r="G331" s="43" t="inlineStr">
        <is>
          <t>CTANJZ05284</t>
        </is>
      </c>
      <c r="H331" s="43" t="inlineStr">
        <is>
          <t>Engineering Qualification Build</t>
        </is>
      </c>
      <c r="I331" s="43" t="inlineStr">
        <is>
          <t>Customer Deviation</t>
        </is>
      </c>
      <c r="J331" s="43" t="inlineStr">
        <is>
          <t>D611785</t>
        </is>
      </c>
      <c r="K331" s="33" t="inlineStr">
        <is>
          <t>D611785 Need to qualify VOS617A-7T on 73-21146-12 for Assy Qual Request # : AQR003707792 Which is a Supplier PCN from VOS617A-7T for PCN TYPE : Process Change on GQR GQR000090455 and AQR AQR003707792FVN/FOL/FJZ can arrange MFG qual build-3 boards with latest PCBA or down version</t>
        </is>
      </c>
      <c r="L331" s="43" t="inlineStr">
        <is>
          <t>Extended</t>
        </is>
      </c>
      <c r="M331" s="43" t="inlineStr">
        <is>
          <t>73-21146-12</t>
        </is>
      </c>
      <c r="N331" s="43" t="inlineStr"/>
      <c r="O331" s="43" t="inlineStr">
        <is>
          <t>2026-12-04</t>
        </is>
      </c>
      <c r="P331" s="33" t="inlineStr">
        <is>
          <t>Engineering Qualification Build (EXTENDABLE 2x);To track an AML qualification build (EXTENDABLE 2x)</t>
        </is>
      </c>
      <c r="Q331" s="43" t="inlineStr">
        <is>
          <t>put deviation number on units</t>
        </is>
      </c>
      <c r="R331" s="43" t="inlineStr">
        <is>
          <t>2026-06-09</t>
        </is>
      </c>
      <c r="S331" s="43" t="inlineStr">
        <is>
          <t>2026-07-02</t>
        </is>
      </c>
      <c r="T331" s="43" t="inlineStr"/>
      <c r="U331" s="43" t="inlineStr"/>
    </row>
    <row r="332">
      <c r="A332" s="43" t="n">
        <v>332</v>
      </c>
      <c r="B332" s="43" t="inlineStr">
        <is>
          <t>331</t>
        </is>
      </c>
      <c r="C332" s="43" t="inlineStr">
        <is>
          <t>FJZP</t>
        </is>
      </c>
      <c r="D332" s="43" t="inlineStr">
        <is>
          <t>Cisco</t>
        </is>
      </c>
      <c r="E332" s="43" t="inlineStr">
        <is>
          <t>MCGA</t>
        </is>
      </c>
      <c r="F332" s="43" t="inlineStr">
        <is>
          <t>239-CRBU</t>
        </is>
      </c>
      <c r="G332" s="43" t="inlineStr">
        <is>
          <t>CTANJZ05292</t>
        </is>
      </c>
      <c r="H332" s="43" t="inlineStr">
        <is>
          <t>To track an AML qualification build (EXTENDABLE 2x)</t>
        </is>
      </c>
      <c r="I332" s="43" t="inlineStr">
        <is>
          <t>Customer Deviation</t>
        </is>
      </c>
      <c r="J332" s="43" t="inlineStr">
        <is>
          <t>D612032</t>
        </is>
      </c>
      <c r="K332" s="33" t="inlineStr">
        <is>
          <t>D612032Need to qualify CCN000008819 CCN000009497 CCN000009814 on Wasp1-RP/Wasp1-SC/K2</t>
        </is>
      </c>
      <c r="L332" s="43" t="inlineStr">
        <is>
          <t>Extended</t>
        </is>
      </c>
      <c r="M332" s="43" t="inlineStr">
        <is>
          <t>15-104553-01</t>
        </is>
      </c>
      <c r="N332" s="43" t="inlineStr"/>
      <c r="O332" s="43" t="inlineStr">
        <is>
          <t>2026-12-11</t>
        </is>
      </c>
      <c r="P332" s="33" t="inlineStr">
        <is>
          <t>To track an AML qualification build (EXTENDABLE 2x)</t>
        </is>
      </c>
      <c r="Q332" s="43" t="inlineStr">
        <is>
          <t>Cookie deviation # on units</t>
        </is>
      </c>
      <c r="R332" s="43" t="inlineStr">
        <is>
          <t>2026-06-16</t>
        </is>
      </c>
      <c r="S332" s="43" t="inlineStr">
        <is>
          <t>2026-07-02</t>
        </is>
      </c>
      <c r="T332" s="43" t="inlineStr"/>
      <c r="U332" s="43" t="inlineStr"/>
    </row>
    <row r="333">
      <c r="A333" s="43" t="n">
        <v>333</v>
      </c>
      <c r="B333" s="43" t="inlineStr">
        <is>
          <t>332</t>
        </is>
      </c>
      <c r="C333" s="43" t="inlineStr">
        <is>
          <t>FJZP</t>
        </is>
      </c>
      <c r="D333" s="43" t="inlineStr">
        <is>
          <t>Cisco</t>
        </is>
      </c>
      <c r="E333" s="43" t="inlineStr">
        <is>
          <t>MCGA</t>
        </is>
      </c>
      <c r="F333" s="43" t="inlineStr">
        <is>
          <t>239-CRBU</t>
        </is>
      </c>
      <c r="G333" s="43" t="inlineStr">
        <is>
          <t>CTANJZ05292</t>
        </is>
      </c>
      <c r="H333" s="43" t="inlineStr">
        <is>
          <t>To track an AML qualification build (EXTENDABLE 2x)</t>
        </is>
      </c>
      <c r="I333" s="43" t="inlineStr">
        <is>
          <t>Customer Deviation</t>
        </is>
      </c>
      <c r="J333" s="43" t="inlineStr">
        <is>
          <t>D612032</t>
        </is>
      </c>
      <c r="K333" s="33" t="inlineStr">
        <is>
          <t>D612032Need to qualify CCN000008819 CCN000009497 CCN000009814 on Wasp1-RP/Wasp1-SC/K2</t>
        </is>
      </c>
      <c r="L333" s="43" t="inlineStr">
        <is>
          <t>Extended</t>
        </is>
      </c>
      <c r="M333" s="43" t="inlineStr">
        <is>
          <t>15-8031-01</t>
        </is>
      </c>
      <c r="N333" s="43" t="inlineStr"/>
      <c r="O333" s="43" t="inlineStr">
        <is>
          <t>2026-12-11</t>
        </is>
      </c>
      <c r="P333" s="33" t="inlineStr">
        <is>
          <t>To track an AML qualification build (EXTENDABLE 2x)</t>
        </is>
      </c>
      <c r="Q333" s="43" t="inlineStr">
        <is>
          <t>Cookie deviation # on units</t>
        </is>
      </c>
      <c r="R333" s="43" t="inlineStr">
        <is>
          <t>2026-06-16</t>
        </is>
      </c>
      <c r="S333" s="43" t="inlineStr">
        <is>
          <t>2026-07-02</t>
        </is>
      </c>
      <c r="T333" s="43" t="inlineStr"/>
      <c r="U333" s="43" t="inlineStr"/>
    </row>
    <row r="334">
      <c r="A334" s="43" t="n">
        <v>334</v>
      </c>
      <c r="B334" s="43" t="inlineStr">
        <is>
          <t>333</t>
        </is>
      </c>
      <c r="C334" s="43" t="inlineStr">
        <is>
          <t>FJZP</t>
        </is>
      </c>
      <c r="D334" s="43" t="inlineStr">
        <is>
          <t>Cisco</t>
        </is>
      </c>
      <c r="E334" s="43" t="inlineStr">
        <is>
          <t>MCGA</t>
        </is>
      </c>
      <c r="F334" s="43" t="inlineStr">
        <is>
          <t>239-CRBU</t>
        </is>
      </c>
      <c r="G334" s="43" t="inlineStr">
        <is>
          <t>CTANJZ05292</t>
        </is>
      </c>
      <c r="H334" s="43" t="inlineStr">
        <is>
          <t>To track an AML qualification build (EXTENDABLE 2x)</t>
        </is>
      </c>
      <c r="I334" s="43" t="inlineStr">
        <is>
          <t>Customer Deviation</t>
        </is>
      </c>
      <c r="J334" s="43" t="inlineStr">
        <is>
          <t>D612032</t>
        </is>
      </c>
      <c r="K334" s="33" t="inlineStr">
        <is>
          <t>D612032Need to qualify CCN000008819 CCN000009497 CCN000009814 on Wasp1-RP/Wasp1-SC/K2</t>
        </is>
      </c>
      <c r="L334" s="43" t="inlineStr">
        <is>
          <t>Extended</t>
        </is>
      </c>
      <c r="M334" s="43" t="inlineStr">
        <is>
          <t>15-8031-02</t>
        </is>
      </c>
      <c r="N334" s="43" t="inlineStr"/>
      <c r="O334" s="43" t="inlineStr">
        <is>
          <t>2026-12-11</t>
        </is>
      </c>
      <c r="P334" s="33" t="inlineStr">
        <is>
          <t>To track an AML qualification build (EXTENDABLE 2x)</t>
        </is>
      </c>
      <c r="Q334" s="43" t="inlineStr">
        <is>
          <t>Cookie deviation # on units</t>
        </is>
      </c>
      <c r="R334" s="43" t="inlineStr">
        <is>
          <t>2026-06-16</t>
        </is>
      </c>
      <c r="S334" s="43" t="inlineStr">
        <is>
          <t>2026-07-02</t>
        </is>
      </c>
      <c r="T334" s="43" t="inlineStr"/>
      <c r="U334" s="43" t="inlineStr"/>
    </row>
    <row r="335">
      <c r="A335" s="43" t="n">
        <v>335</v>
      </c>
      <c r="B335" s="43" t="inlineStr">
        <is>
          <t>334</t>
        </is>
      </c>
      <c r="C335" s="43" t="inlineStr">
        <is>
          <t>FJZP</t>
        </is>
      </c>
      <c r="D335" s="43" t="inlineStr">
        <is>
          <t>Cisco</t>
        </is>
      </c>
      <c r="E335" s="43" t="inlineStr">
        <is>
          <t>MCGA</t>
        </is>
      </c>
      <c r="F335" s="43" t="inlineStr">
        <is>
          <t>239-CRBU</t>
        </is>
      </c>
      <c r="G335" s="43" t="inlineStr">
        <is>
          <t>CTANJZ05292</t>
        </is>
      </c>
      <c r="H335" s="43" t="inlineStr">
        <is>
          <t>To track an AML qualification build (EXTENDABLE 2x)</t>
        </is>
      </c>
      <c r="I335" s="43" t="inlineStr">
        <is>
          <t>Customer Deviation</t>
        </is>
      </c>
      <c r="J335" s="43" t="inlineStr">
        <is>
          <t>D612032</t>
        </is>
      </c>
      <c r="K335" s="33" t="inlineStr">
        <is>
          <t>D612032Need to qualify CCN000008819 CCN000009497 CCN000009814 on Wasp1-RP/Wasp1-SC/K2</t>
        </is>
      </c>
      <c r="L335" s="43" t="inlineStr">
        <is>
          <t>Extended</t>
        </is>
      </c>
      <c r="M335" s="43" t="inlineStr">
        <is>
          <t>15-9532-01</t>
        </is>
      </c>
      <c r="N335" s="43" t="inlineStr"/>
      <c r="O335" s="43" t="inlineStr">
        <is>
          <t>2026-12-11</t>
        </is>
      </c>
      <c r="P335" s="33" t="inlineStr">
        <is>
          <t>To track an AML qualification build (EXTENDABLE 2x)</t>
        </is>
      </c>
      <c r="Q335" s="43" t="inlineStr">
        <is>
          <t>Cookie deviation # on units</t>
        </is>
      </c>
      <c r="R335" s="43" t="inlineStr">
        <is>
          <t>2026-06-16</t>
        </is>
      </c>
      <c r="S335" s="43" t="inlineStr">
        <is>
          <t>2026-07-02</t>
        </is>
      </c>
      <c r="T335" s="43" t="inlineStr"/>
      <c r="U335" s="43" t="inlineStr"/>
    </row>
    <row r="336">
      <c r="A336" s="43" t="n">
        <v>336</v>
      </c>
      <c r="B336" s="43" t="inlineStr">
        <is>
          <t>335</t>
        </is>
      </c>
      <c r="C336" s="43" t="inlineStr">
        <is>
          <t>FJZP</t>
        </is>
      </c>
      <c r="D336" s="43" t="inlineStr">
        <is>
          <t>Cisco</t>
        </is>
      </c>
      <c r="E336" s="43" t="inlineStr">
        <is>
          <t>MCGA</t>
        </is>
      </c>
      <c r="F336" s="43" t="inlineStr">
        <is>
          <t>239-CRBU</t>
        </is>
      </c>
      <c r="G336" s="43" t="inlineStr">
        <is>
          <t>CTANJZ05292</t>
        </is>
      </c>
      <c r="H336" s="43" t="inlineStr">
        <is>
          <t>To track an AML qualification build (EXTENDABLE 2x)</t>
        </is>
      </c>
      <c r="I336" s="43" t="inlineStr">
        <is>
          <t>Customer Deviation</t>
        </is>
      </c>
      <c r="J336" s="43" t="inlineStr">
        <is>
          <t>D612032</t>
        </is>
      </c>
      <c r="K336" s="33" t="inlineStr">
        <is>
          <t>D612032Need to qualify CCN000008819 CCN000009497 CCN000009814 on Wasp1-RP/Wasp1-SC/K2</t>
        </is>
      </c>
      <c r="L336" s="43" t="inlineStr">
        <is>
          <t>Extended</t>
        </is>
      </c>
      <c r="M336" s="43" t="inlineStr">
        <is>
          <t>73-102362-05</t>
        </is>
      </c>
      <c r="N336" s="43" t="inlineStr"/>
      <c r="O336" s="43" t="inlineStr">
        <is>
          <t>2026-12-11</t>
        </is>
      </c>
      <c r="P336" s="33" t="inlineStr">
        <is>
          <t>To track an AML qualification build (EXTENDABLE 2x)</t>
        </is>
      </c>
      <c r="Q336" s="43" t="inlineStr">
        <is>
          <t>Cookie deviation # on units</t>
        </is>
      </c>
      <c r="R336" s="43" t="inlineStr">
        <is>
          <t>2026-06-16</t>
        </is>
      </c>
      <c r="S336" s="43" t="inlineStr">
        <is>
          <t>2026-07-02</t>
        </is>
      </c>
      <c r="T336" s="43" t="inlineStr"/>
      <c r="U336" s="43" t="inlineStr"/>
    </row>
    <row r="337">
      <c r="A337" s="43" t="n">
        <v>337</v>
      </c>
      <c r="B337" s="43" t="inlineStr">
        <is>
          <t>336</t>
        </is>
      </c>
      <c r="C337" s="43" t="inlineStr">
        <is>
          <t>FJZP</t>
        </is>
      </c>
      <c r="D337" s="43" t="inlineStr">
        <is>
          <t>Cisco</t>
        </is>
      </c>
      <c r="E337" s="43" t="inlineStr">
        <is>
          <t>MCGA</t>
        </is>
      </c>
      <c r="F337" s="43" t="inlineStr">
        <is>
          <t>239-CRBU</t>
        </is>
      </c>
      <c r="G337" s="43" t="inlineStr">
        <is>
          <t>CTANJZ05292</t>
        </is>
      </c>
      <c r="H337" s="43" t="inlineStr">
        <is>
          <t>To track an AML qualification build (EXTENDABLE 2x)</t>
        </is>
      </c>
      <c r="I337" s="43" t="inlineStr">
        <is>
          <t>Customer Deviation</t>
        </is>
      </c>
      <c r="J337" s="43" t="inlineStr">
        <is>
          <t>D612032</t>
        </is>
      </c>
      <c r="K337" s="33" t="inlineStr">
        <is>
          <t>D612032Need to qualify CCN000008819 CCN000009497 CCN000009814 on Wasp1-RP/Wasp1-SC/K2</t>
        </is>
      </c>
      <c r="L337" s="43" t="inlineStr">
        <is>
          <t>Extended</t>
        </is>
      </c>
      <c r="M337" s="43" t="inlineStr">
        <is>
          <t>73-102363-05</t>
        </is>
      </c>
      <c r="N337" s="43" t="inlineStr"/>
      <c r="O337" s="43" t="inlineStr">
        <is>
          <t>2026-12-11</t>
        </is>
      </c>
      <c r="P337" s="33" t="inlineStr">
        <is>
          <t>To track an AML qualification build (EXTENDABLE 2x)</t>
        </is>
      </c>
      <c r="Q337" s="43" t="inlineStr">
        <is>
          <t>Cookie deviation # on units</t>
        </is>
      </c>
      <c r="R337" s="43" t="inlineStr">
        <is>
          <t>2026-06-16</t>
        </is>
      </c>
      <c r="S337" s="43" t="inlineStr">
        <is>
          <t>2026-07-02</t>
        </is>
      </c>
      <c r="T337" s="43" t="inlineStr"/>
      <c r="U337" s="43" t="inlineStr"/>
    </row>
    <row r="338">
      <c r="A338" s="43" t="n">
        <v>338</v>
      </c>
      <c r="B338" s="43" t="inlineStr">
        <is>
          <t>337</t>
        </is>
      </c>
      <c r="C338" s="43" t="inlineStr">
        <is>
          <t>FJZP</t>
        </is>
      </c>
      <c r="D338" s="43" t="inlineStr">
        <is>
          <t>Cisco</t>
        </is>
      </c>
      <c r="E338" s="43" t="inlineStr">
        <is>
          <t>MCGA</t>
        </is>
      </c>
      <c r="F338" s="43" t="inlineStr">
        <is>
          <t>018-SRGBU</t>
        </is>
      </c>
      <c r="G338" s="43" t="inlineStr">
        <is>
          <t>CTANJZ04475</t>
        </is>
      </c>
      <c r="H338" s="43" t="inlineStr">
        <is>
          <t>For temporary part/material substitution (EXTENDABLE)</t>
        </is>
      </c>
      <c r="I338" s="43" t="inlineStr">
        <is>
          <t>Customer Deviation</t>
        </is>
      </c>
      <c r="J338" s="43" t="inlineStr">
        <is>
          <t>D602181</t>
        </is>
      </c>
      <c r="K338"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38" s="43" t="inlineStr">
        <is>
          <t>Expired</t>
        </is>
      </c>
      <c r="M338" s="43" t="inlineStr">
        <is>
          <t>15-10118-02</t>
        </is>
      </c>
      <c r="N338" s="43" t="inlineStr"/>
      <c r="O338" s="43" t="inlineStr">
        <is>
          <t>2025-05-22</t>
        </is>
      </c>
      <c r="P338" s="33" t="inlineStr">
        <is>
          <t>For temporary part/material substitution (EXTENDABLE 2x)</t>
        </is>
      </c>
      <c r="Q338" s="43" t="inlineStr">
        <is>
          <t>no marking is needed.</t>
        </is>
      </c>
      <c r="R338" s="43" t="inlineStr">
        <is>
          <t>2025-02-22</t>
        </is>
      </c>
      <c r="S338" s="43" t="inlineStr">
        <is>
          <t>2025-03-04</t>
        </is>
      </c>
      <c r="T338" s="43" t="inlineStr"/>
      <c r="U338" s="43" t="inlineStr"/>
    </row>
    <row r="339">
      <c r="A339" s="43" t="n">
        <v>339</v>
      </c>
      <c r="B339" s="43" t="inlineStr">
        <is>
          <t>338</t>
        </is>
      </c>
      <c r="C339" s="43" t="inlineStr">
        <is>
          <t>FJZP</t>
        </is>
      </c>
      <c r="D339" s="43" t="inlineStr">
        <is>
          <t>Cisco</t>
        </is>
      </c>
      <c r="E339" s="43" t="inlineStr">
        <is>
          <t>MCGA</t>
        </is>
      </c>
      <c r="F339" s="43" t="inlineStr">
        <is>
          <t>018-SRGBU</t>
        </is>
      </c>
      <c r="G339" s="43" t="inlineStr">
        <is>
          <t>CTANJZ04475</t>
        </is>
      </c>
      <c r="H339" s="43" t="inlineStr">
        <is>
          <t>For temporary part/material substitution (EXTENDABLE)</t>
        </is>
      </c>
      <c r="I339" s="43" t="inlineStr">
        <is>
          <t>Customer Deviation</t>
        </is>
      </c>
      <c r="J339" s="43" t="inlineStr">
        <is>
          <t>D602181</t>
        </is>
      </c>
      <c r="K339"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39" s="43" t="inlineStr">
        <is>
          <t>Expired</t>
        </is>
      </c>
      <c r="M339" s="43" t="inlineStr">
        <is>
          <t>73-14503-08</t>
        </is>
      </c>
      <c r="N339" s="43" t="inlineStr"/>
      <c r="O339" s="43" t="inlineStr">
        <is>
          <t>2025-05-22</t>
        </is>
      </c>
      <c r="P339" s="33" t="inlineStr">
        <is>
          <t>For temporary part/material substitution (EXTENDABLE 2x)</t>
        </is>
      </c>
      <c r="Q339" s="43" t="inlineStr">
        <is>
          <t>no marking is needed.</t>
        </is>
      </c>
      <c r="R339" s="43" t="inlineStr">
        <is>
          <t>2025-02-22</t>
        </is>
      </c>
      <c r="S339" s="43" t="inlineStr">
        <is>
          <t>2025-03-04</t>
        </is>
      </c>
      <c r="T339" s="43" t="inlineStr"/>
      <c r="U339" s="43" t="inlineStr"/>
    </row>
    <row r="340">
      <c r="A340" s="43" t="n">
        <v>340</v>
      </c>
      <c r="B340" s="43" t="inlineStr">
        <is>
          <t>339</t>
        </is>
      </c>
      <c r="C340" s="43" t="inlineStr">
        <is>
          <t>FJZP</t>
        </is>
      </c>
      <c r="D340" s="43" t="inlineStr">
        <is>
          <t>Cisco</t>
        </is>
      </c>
      <c r="E340" s="43" t="inlineStr">
        <is>
          <t>MCGA</t>
        </is>
      </c>
      <c r="F340" s="43" t="inlineStr">
        <is>
          <t>018-SRGBU</t>
        </is>
      </c>
      <c r="G340" s="43" t="inlineStr">
        <is>
          <t>CTANJZ04475</t>
        </is>
      </c>
      <c r="H340" s="43" t="inlineStr">
        <is>
          <t>For temporary part/material substitution (EXTENDABLE)</t>
        </is>
      </c>
      <c r="I340" s="43" t="inlineStr">
        <is>
          <t>Customer Deviation</t>
        </is>
      </c>
      <c r="J340" s="43" t="inlineStr">
        <is>
          <t>D602181</t>
        </is>
      </c>
      <c r="K340"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40" s="43" t="inlineStr">
        <is>
          <t>Expired</t>
        </is>
      </c>
      <c r="M340" s="43" t="inlineStr">
        <is>
          <t>73-14504-09</t>
        </is>
      </c>
      <c r="N340" s="43" t="inlineStr"/>
      <c r="O340" s="43" t="inlineStr">
        <is>
          <t>2025-05-22</t>
        </is>
      </c>
      <c r="P340" s="33" t="inlineStr">
        <is>
          <t>For temporary part/material substitution (EXTENDABLE 2x)</t>
        </is>
      </c>
      <c r="Q340" s="43" t="inlineStr">
        <is>
          <t>no marking is needed.</t>
        </is>
      </c>
      <c r="R340" s="43" t="inlineStr">
        <is>
          <t>2025-02-22</t>
        </is>
      </c>
      <c r="S340" s="43" t="inlineStr">
        <is>
          <t>2025-03-04</t>
        </is>
      </c>
      <c r="T340" s="43" t="inlineStr"/>
      <c r="U340" s="43" t="inlineStr"/>
    </row>
    <row r="341">
      <c r="A341" s="43" t="n">
        <v>341</v>
      </c>
      <c r="B341" s="43" t="inlineStr">
        <is>
          <t>340</t>
        </is>
      </c>
      <c r="C341" s="43" t="inlineStr">
        <is>
          <t>FJZP</t>
        </is>
      </c>
      <c r="D341" s="43" t="inlineStr">
        <is>
          <t>Cisco</t>
        </is>
      </c>
      <c r="E341" s="43" t="inlineStr">
        <is>
          <t>MCGA</t>
        </is>
      </c>
      <c r="F341" s="43" t="inlineStr">
        <is>
          <t>018-SRGBU</t>
        </is>
      </c>
      <c r="G341" s="43" t="inlineStr">
        <is>
          <t>CTANJZ04475</t>
        </is>
      </c>
      <c r="H341" s="43" t="inlineStr">
        <is>
          <t>For temporary part/material substitution (EXTENDABLE)</t>
        </is>
      </c>
      <c r="I341" s="43" t="inlineStr">
        <is>
          <t>Customer Deviation</t>
        </is>
      </c>
      <c r="J341" s="43" t="inlineStr">
        <is>
          <t>D602181</t>
        </is>
      </c>
      <c r="K341"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41" s="43" t="inlineStr">
        <is>
          <t>Expired</t>
        </is>
      </c>
      <c r="M341" s="43" t="inlineStr">
        <is>
          <t>73-14505-09</t>
        </is>
      </c>
      <c r="N341" s="43" t="inlineStr"/>
      <c r="O341" s="43" t="inlineStr">
        <is>
          <t>2025-05-22</t>
        </is>
      </c>
      <c r="P341" s="33" t="inlineStr">
        <is>
          <t>For temporary part/material substitution (EXTENDABLE 2x)</t>
        </is>
      </c>
      <c r="Q341" s="43" t="inlineStr">
        <is>
          <t>no marking is needed.</t>
        </is>
      </c>
      <c r="R341" s="43" t="inlineStr">
        <is>
          <t>2025-02-22</t>
        </is>
      </c>
      <c r="S341" s="43" t="inlineStr">
        <is>
          <t>2025-03-04</t>
        </is>
      </c>
      <c r="T341" s="43" t="inlineStr"/>
      <c r="U341" s="43" t="inlineStr"/>
    </row>
    <row r="342">
      <c r="A342" s="43" t="n">
        <v>342</v>
      </c>
      <c r="B342" s="43" t="inlineStr">
        <is>
          <t>341</t>
        </is>
      </c>
      <c r="C342" s="43" t="inlineStr">
        <is>
          <t>FJZP</t>
        </is>
      </c>
      <c r="D342" s="43" t="inlineStr">
        <is>
          <t>Cisco</t>
        </is>
      </c>
      <c r="E342" s="43" t="inlineStr">
        <is>
          <t>MCGA</t>
        </is>
      </c>
      <c r="F342" s="43" t="inlineStr">
        <is>
          <t>018-SRGBU</t>
        </is>
      </c>
      <c r="G342" s="43" t="inlineStr">
        <is>
          <t>CTANJZ04475</t>
        </is>
      </c>
      <c r="H342" s="43" t="inlineStr">
        <is>
          <t>For temporary part/material substitution (EXTENDABLE)</t>
        </is>
      </c>
      <c r="I342" s="43" t="inlineStr">
        <is>
          <t>Customer Deviation</t>
        </is>
      </c>
      <c r="J342" s="43" t="inlineStr">
        <is>
          <t>D602181</t>
        </is>
      </c>
      <c r="K342"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42" s="43" t="inlineStr">
        <is>
          <t>Expired</t>
        </is>
      </c>
      <c r="M342" s="43" t="inlineStr">
        <is>
          <t>73-14506-08</t>
        </is>
      </c>
      <c r="N342" s="43" t="inlineStr"/>
      <c r="O342" s="43" t="inlineStr">
        <is>
          <t>2025-05-22</t>
        </is>
      </c>
      <c r="P342" s="33" t="inlineStr">
        <is>
          <t>For temporary part/material substitution (EXTENDABLE 2x)</t>
        </is>
      </c>
      <c r="Q342" s="43" t="inlineStr">
        <is>
          <t>no marking is needed.</t>
        </is>
      </c>
      <c r="R342" s="43" t="inlineStr">
        <is>
          <t>2025-02-22</t>
        </is>
      </c>
      <c r="S342" s="43" t="inlineStr">
        <is>
          <t>2025-03-04</t>
        </is>
      </c>
      <c r="T342" s="43" t="inlineStr"/>
      <c r="U342" s="43" t="inlineStr"/>
    </row>
    <row r="343">
      <c r="A343" s="43" t="n">
        <v>343</v>
      </c>
      <c r="B343" s="43" t="inlineStr">
        <is>
          <t>342</t>
        </is>
      </c>
      <c r="C343" s="43" t="inlineStr">
        <is>
          <t>FJZP</t>
        </is>
      </c>
      <c r="D343" s="43" t="inlineStr">
        <is>
          <t>Cisco</t>
        </is>
      </c>
      <c r="E343" s="43" t="inlineStr">
        <is>
          <t>MCGA</t>
        </is>
      </c>
      <c r="F343" s="43" t="inlineStr">
        <is>
          <t>018-SRGBU</t>
        </is>
      </c>
      <c r="G343" s="43" t="inlineStr">
        <is>
          <t>CTANJZ04475</t>
        </is>
      </c>
      <c r="H343" s="43" t="inlineStr">
        <is>
          <t>For temporary part/material substitution (EXTENDABLE)</t>
        </is>
      </c>
      <c r="I343" s="43" t="inlineStr">
        <is>
          <t>Customer Deviation</t>
        </is>
      </c>
      <c r="J343" s="43" t="inlineStr">
        <is>
          <t>D602181</t>
        </is>
      </c>
      <c r="K343"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43" s="43" t="inlineStr">
        <is>
          <t>Expired</t>
        </is>
      </c>
      <c r="M343" s="43" t="inlineStr">
        <is>
          <t>73-15195-05</t>
        </is>
      </c>
      <c r="N343" s="43" t="inlineStr"/>
      <c r="O343" s="43" t="inlineStr">
        <is>
          <t>2025-05-22</t>
        </is>
      </c>
      <c r="P343" s="33" t="inlineStr">
        <is>
          <t>For temporary part/material substitution (EXTENDABLE 2x)</t>
        </is>
      </c>
      <c r="Q343" s="43" t="inlineStr">
        <is>
          <t>no marking is needed.</t>
        </is>
      </c>
      <c r="R343" s="43" t="inlineStr">
        <is>
          <t>2025-02-22</t>
        </is>
      </c>
      <c r="S343" s="43" t="inlineStr">
        <is>
          <t>2025-03-04</t>
        </is>
      </c>
      <c r="T343" s="43" t="inlineStr"/>
      <c r="U343" s="43" t="inlineStr"/>
    </row>
    <row r="344">
      <c r="A344" s="43" t="n">
        <v>344</v>
      </c>
      <c r="B344" s="43" t="inlineStr">
        <is>
          <t>343</t>
        </is>
      </c>
      <c r="C344" s="43" t="inlineStr">
        <is>
          <t>FJZP</t>
        </is>
      </c>
      <c r="D344" s="43" t="inlineStr">
        <is>
          <t>Cisco</t>
        </is>
      </c>
      <c r="E344" s="43" t="inlineStr">
        <is>
          <t>MCGA</t>
        </is>
      </c>
      <c r="F344" s="43" t="inlineStr">
        <is>
          <t>018-SRGBU</t>
        </is>
      </c>
      <c r="G344" s="43" t="inlineStr">
        <is>
          <t>CTANJZ04475</t>
        </is>
      </c>
      <c r="H344" s="43" t="inlineStr">
        <is>
          <t>For temporary part/material substitution (EXTENDABLE)</t>
        </is>
      </c>
      <c r="I344" s="43" t="inlineStr">
        <is>
          <t>Customer Deviation</t>
        </is>
      </c>
      <c r="J344" s="43" t="inlineStr">
        <is>
          <t>D602181</t>
        </is>
      </c>
      <c r="K344"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44" s="43" t="inlineStr">
        <is>
          <t>Expired</t>
        </is>
      </c>
      <c r="M344" s="43" t="inlineStr">
        <is>
          <t>73-15196-05</t>
        </is>
      </c>
      <c r="N344" s="43" t="inlineStr"/>
      <c r="O344" s="43" t="inlineStr">
        <is>
          <t>2025-05-22</t>
        </is>
      </c>
      <c r="P344" s="33" t="inlineStr">
        <is>
          <t>For temporary part/material substitution (EXTENDABLE 2x)</t>
        </is>
      </c>
      <c r="Q344" s="43" t="inlineStr">
        <is>
          <t>no marking is needed.</t>
        </is>
      </c>
      <c r="R344" s="43" t="inlineStr">
        <is>
          <t>2025-02-22</t>
        </is>
      </c>
      <c r="S344" s="43" t="inlineStr">
        <is>
          <t>2025-03-04</t>
        </is>
      </c>
      <c r="T344" s="43" t="inlineStr"/>
      <c r="U344" s="43" t="inlineStr"/>
    </row>
    <row r="345">
      <c r="A345" s="43" t="n">
        <v>345</v>
      </c>
      <c r="B345" s="43" t="inlineStr">
        <is>
          <t>344</t>
        </is>
      </c>
      <c r="C345" s="43" t="inlineStr">
        <is>
          <t>FJZP</t>
        </is>
      </c>
      <c r="D345" s="43" t="inlineStr">
        <is>
          <t>Cisco</t>
        </is>
      </c>
      <c r="E345" s="43" t="inlineStr">
        <is>
          <t>MCGA</t>
        </is>
      </c>
      <c r="F345" s="43" t="inlineStr">
        <is>
          <t>018-SRGBU</t>
        </is>
      </c>
      <c r="G345" s="43" t="inlineStr">
        <is>
          <t>CTANJZ04475</t>
        </is>
      </c>
      <c r="H345" s="43" t="inlineStr">
        <is>
          <t>For temporary part/material substitution (EXTENDABLE)</t>
        </is>
      </c>
      <c r="I345" s="43" t="inlineStr">
        <is>
          <t>Customer Deviation</t>
        </is>
      </c>
      <c r="J345" s="43" t="inlineStr">
        <is>
          <t>D602181</t>
        </is>
      </c>
      <c r="K345"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45" s="43" t="inlineStr">
        <is>
          <t>Expired</t>
        </is>
      </c>
      <c r="M345" s="43" t="inlineStr">
        <is>
          <t>73-15197-05</t>
        </is>
      </c>
      <c r="N345" s="43" t="inlineStr"/>
      <c r="O345" s="43" t="inlineStr">
        <is>
          <t>2025-05-22</t>
        </is>
      </c>
      <c r="P345" s="33" t="inlineStr">
        <is>
          <t>For temporary part/material substitution (EXTENDABLE 2x)</t>
        </is>
      </c>
      <c r="Q345" s="43" t="inlineStr">
        <is>
          <t>no marking is needed.</t>
        </is>
      </c>
      <c r="R345" s="43" t="inlineStr">
        <is>
          <t>2025-02-22</t>
        </is>
      </c>
      <c r="S345" s="43" t="inlineStr">
        <is>
          <t>2025-03-04</t>
        </is>
      </c>
      <c r="T345" s="43" t="inlineStr"/>
      <c r="U345" s="43" t="inlineStr"/>
    </row>
    <row r="346">
      <c r="A346" s="43" t="n">
        <v>346</v>
      </c>
      <c r="B346" s="43" t="inlineStr">
        <is>
          <t>345</t>
        </is>
      </c>
      <c r="C346" s="43" t="inlineStr">
        <is>
          <t>FJZP</t>
        </is>
      </c>
      <c r="D346" s="43" t="inlineStr">
        <is>
          <t>Cisco</t>
        </is>
      </c>
      <c r="E346" s="43" t="inlineStr">
        <is>
          <t>MCGA</t>
        </is>
      </c>
      <c r="F346" s="43" t="inlineStr">
        <is>
          <t>018-SRGBU</t>
        </is>
      </c>
      <c r="G346" s="43" t="inlineStr">
        <is>
          <t>CTANJZ04475</t>
        </is>
      </c>
      <c r="H346" s="43" t="inlineStr">
        <is>
          <t>For temporary part/material substitution (EXTENDABLE)</t>
        </is>
      </c>
      <c r="I346" s="43" t="inlineStr">
        <is>
          <t>Customer Deviation</t>
        </is>
      </c>
      <c r="J346" s="43" t="inlineStr">
        <is>
          <t>D602181</t>
        </is>
      </c>
      <c r="K346"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46" s="43" t="inlineStr">
        <is>
          <t>Expired</t>
        </is>
      </c>
      <c r="M346" s="43" t="inlineStr">
        <is>
          <t>73-16084-04</t>
        </is>
      </c>
      <c r="N346" s="43" t="inlineStr"/>
      <c r="O346" s="43" t="inlineStr">
        <is>
          <t>2025-05-22</t>
        </is>
      </c>
      <c r="P346" s="33" t="inlineStr">
        <is>
          <t>For temporary part/material substitution (EXTENDABLE 2x)</t>
        </is>
      </c>
      <c r="Q346" s="43" t="inlineStr">
        <is>
          <t>no marking is needed.</t>
        </is>
      </c>
      <c r="R346" s="43" t="inlineStr">
        <is>
          <t>2025-02-22</t>
        </is>
      </c>
      <c r="S346" s="43" t="inlineStr">
        <is>
          <t>2025-03-04</t>
        </is>
      </c>
      <c r="T346" s="43" t="inlineStr"/>
      <c r="U346" s="43" t="inlineStr"/>
    </row>
    <row r="347">
      <c r="A347" s="43" t="n">
        <v>347</v>
      </c>
      <c r="B347" s="43" t="inlineStr">
        <is>
          <t>346</t>
        </is>
      </c>
      <c r="C347" s="43" t="inlineStr">
        <is>
          <t>FJZP</t>
        </is>
      </c>
      <c r="D347" s="43" t="inlineStr">
        <is>
          <t>Cisco</t>
        </is>
      </c>
      <c r="E347" s="43" t="inlineStr">
        <is>
          <t>MCGA</t>
        </is>
      </c>
      <c r="F347" s="43" t="inlineStr">
        <is>
          <t>018-SRGBU</t>
        </is>
      </c>
      <c r="G347" s="43" t="inlineStr">
        <is>
          <t>CTANJZ04475</t>
        </is>
      </c>
      <c r="H347" s="43" t="inlineStr">
        <is>
          <t>For temporary part/material substitution (EXTENDABLE)</t>
        </is>
      </c>
      <c r="I347" s="43" t="inlineStr">
        <is>
          <t>Customer Deviation</t>
        </is>
      </c>
      <c r="J347" s="43" t="inlineStr">
        <is>
          <t>D602181</t>
        </is>
      </c>
      <c r="K347"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47" s="43" t="inlineStr">
        <is>
          <t>Expired</t>
        </is>
      </c>
      <c r="M347" s="43" t="inlineStr">
        <is>
          <t>73-16524-03</t>
        </is>
      </c>
      <c r="N347" s="43" t="inlineStr"/>
      <c r="O347" s="43" t="inlineStr">
        <is>
          <t>2025-05-22</t>
        </is>
      </c>
      <c r="P347" s="33" t="inlineStr">
        <is>
          <t>For temporary part/material substitution (EXTENDABLE 2x)</t>
        </is>
      </c>
      <c r="Q347" s="43" t="inlineStr">
        <is>
          <t>no marking is needed.</t>
        </is>
      </c>
      <c r="R347" s="43" t="inlineStr">
        <is>
          <t>2025-02-22</t>
        </is>
      </c>
      <c r="S347" s="43" t="inlineStr">
        <is>
          <t>2025-03-04</t>
        </is>
      </c>
      <c r="T347" s="43" t="inlineStr"/>
      <c r="U347" s="43" t="inlineStr"/>
    </row>
    <row r="348">
      <c r="A348" s="43" t="n">
        <v>348</v>
      </c>
      <c r="B348" s="43" t="inlineStr">
        <is>
          <t>347</t>
        </is>
      </c>
      <c r="C348" s="43" t="inlineStr">
        <is>
          <t>FJZP</t>
        </is>
      </c>
      <c r="D348" s="43" t="inlineStr">
        <is>
          <t>Cisco</t>
        </is>
      </c>
      <c r="E348" s="43" t="inlineStr">
        <is>
          <t>MCGA</t>
        </is>
      </c>
      <c r="F348" s="43" t="inlineStr">
        <is>
          <t>037-STBU</t>
        </is>
      </c>
      <c r="G348" s="43" t="inlineStr">
        <is>
          <t>CTANJZ04443</t>
        </is>
      </c>
      <c r="H348" s="43" t="inlineStr">
        <is>
          <t>For temporary part/material substitution (EXTENDABLE)</t>
        </is>
      </c>
      <c r="I348" s="43" t="inlineStr">
        <is>
          <t>Customer Deviation</t>
        </is>
      </c>
      <c r="J348" s="43" t="inlineStr">
        <is>
          <t>D601883</t>
        </is>
      </c>
      <c r="K348" s="33" t="inlineStr">
        <is>
          <t>D601883 Allow use the old packaging 84-100494-02 and not use the new end caps 501-102028-01</t>
        </is>
      </c>
      <c r="L348" s="43" t="inlineStr">
        <is>
          <t>Expired</t>
        </is>
      </c>
      <c r="M348" s="43" t="inlineStr">
        <is>
          <t>501-102058-01</t>
        </is>
      </c>
      <c r="N348" s="43" t="inlineStr"/>
      <c r="O348" s="43" t="inlineStr">
        <is>
          <t>2025-05-11</t>
        </is>
      </c>
      <c r="P348" s="33" t="inlineStr">
        <is>
          <t>For temporary part/material substitution (EXTENDABLE 2x)</t>
        </is>
      </c>
      <c r="Q348" s="43" t="inlineStr">
        <is>
          <t>add a label with the DV number on the chassis.</t>
        </is>
      </c>
      <c r="R348" s="43" t="inlineStr">
        <is>
          <t>2025-02-11</t>
        </is>
      </c>
      <c r="S348" s="43" t="inlineStr">
        <is>
          <t>2025-02-21</t>
        </is>
      </c>
      <c r="T348" s="43" t="inlineStr"/>
      <c r="U348" s="43" t="inlineStr"/>
    </row>
    <row r="349">
      <c r="A349" s="43" t="n">
        <v>349</v>
      </c>
      <c r="B349" s="43" t="inlineStr">
        <is>
          <t>348</t>
        </is>
      </c>
      <c r="C349" s="43" t="inlineStr">
        <is>
          <t>FJZP</t>
        </is>
      </c>
      <c r="D349" s="43" t="inlineStr">
        <is>
          <t>Cisco</t>
        </is>
      </c>
      <c r="E349" s="43" t="inlineStr">
        <is>
          <t>MCGA</t>
        </is>
      </c>
      <c r="F349" s="43" t="inlineStr">
        <is>
          <t>037-STBU</t>
        </is>
      </c>
      <c r="G349" s="43" t="inlineStr">
        <is>
          <t>CTANJZ04443</t>
        </is>
      </c>
      <c r="H349" s="43" t="inlineStr">
        <is>
          <t>For temporary part/material substitution (EXTENDABLE)</t>
        </is>
      </c>
      <c r="I349" s="43" t="inlineStr">
        <is>
          <t>Customer Deviation</t>
        </is>
      </c>
      <c r="J349" s="43" t="inlineStr">
        <is>
          <t>D601883</t>
        </is>
      </c>
      <c r="K349" s="33" t="inlineStr">
        <is>
          <t>D601883 Allow use the old packaging 84-100494-02 and not use the new end caps 501-102028-01</t>
        </is>
      </c>
      <c r="L349" s="43" t="inlineStr">
        <is>
          <t>Expired</t>
        </is>
      </c>
      <c r="M349" s="43" t="inlineStr">
        <is>
          <t>84-102023-01</t>
        </is>
      </c>
      <c r="N349" s="43" t="inlineStr"/>
      <c r="O349" s="43" t="inlineStr">
        <is>
          <t>2025-05-11</t>
        </is>
      </c>
      <c r="P349" s="33" t="inlineStr">
        <is>
          <t>For temporary part/material substitution (EXTENDABLE 2x)</t>
        </is>
      </c>
      <c r="Q349" s="43" t="inlineStr">
        <is>
          <t>add a label with the DV number on the chassis.</t>
        </is>
      </c>
      <c r="R349" s="43" t="inlineStr">
        <is>
          <t>2025-02-11</t>
        </is>
      </c>
      <c r="S349" s="43" t="inlineStr">
        <is>
          <t>2025-02-21</t>
        </is>
      </c>
      <c r="T349" s="43" t="inlineStr"/>
      <c r="U349" s="43" t="inlineStr"/>
    </row>
    <row r="350">
      <c r="A350" s="43" t="n">
        <v>350</v>
      </c>
      <c r="B350" s="43" t="inlineStr">
        <is>
          <t>349</t>
        </is>
      </c>
      <c r="C350" s="43" t="inlineStr">
        <is>
          <t>FJZP</t>
        </is>
      </c>
      <c r="D350" s="43" t="inlineStr">
        <is>
          <t>Cisco</t>
        </is>
      </c>
      <c r="E350" s="43" t="inlineStr">
        <is>
          <t>MCGA</t>
        </is>
      </c>
      <c r="F350" s="43" t="inlineStr">
        <is>
          <t>037-STBU</t>
        </is>
      </c>
      <c r="G350" s="43" t="inlineStr">
        <is>
          <t>CTANJZ04524</t>
        </is>
      </c>
      <c r="H350" s="43" t="inlineStr">
        <is>
          <t>To temporarily use parts/materials that do not meet the specifications</t>
        </is>
      </c>
      <c r="I350" s="43" t="inlineStr">
        <is>
          <t>Customer Deviation</t>
        </is>
      </c>
      <c r="J350" s="43" t="inlineStr">
        <is>
          <t>D603036</t>
        </is>
      </c>
      <c r="K350" s="33" t="inlineStr">
        <is>
          <t>D603036 Allow FJZ to use DC with more than 2 Yrs. for part 15-105550-01 used on assembly 68-6723-04 (2245) This component is not exposed to a thermal process is directly attached to a socket.</t>
        </is>
      </c>
      <c r="L350" s="43" t="inlineStr">
        <is>
          <t>Expired</t>
        </is>
      </c>
      <c r="M350" s="43" t="inlineStr">
        <is>
          <t>15-105550-01</t>
        </is>
      </c>
      <c r="N350" s="43" t="inlineStr"/>
      <c r="O350" s="43" t="inlineStr">
        <is>
          <t>2025-06-23</t>
        </is>
      </c>
      <c r="P350" s="33" t="inlineStr">
        <is>
          <t>To temporarily use parts/materials that do not meet the specifications</t>
        </is>
      </c>
      <c r="Q350" s="43" t="inlineStr">
        <is>
          <t>Mark the unit on the PCB where the component is attached with the DV number.</t>
        </is>
      </c>
      <c r="R350" s="43" t="inlineStr">
        <is>
          <t>2025-03-26</t>
        </is>
      </c>
      <c r="S350" s="43" t="inlineStr">
        <is>
          <t>2025-04-04</t>
        </is>
      </c>
      <c r="T350" s="43" t="inlineStr"/>
      <c r="U350" s="43" t="inlineStr"/>
    </row>
    <row r="351">
      <c r="A351" s="43" t="n">
        <v>351</v>
      </c>
      <c r="B351" s="43" t="inlineStr">
        <is>
          <t>350</t>
        </is>
      </c>
      <c r="C351" s="43" t="inlineStr">
        <is>
          <t>FJZP</t>
        </is>
      </c>
      <c r="D351" s="43" t="inlineStr">
        <is>
          <t>Cisco</t>
        </is>
      </c>
      <c r="E351" s="43" t="inlineStr">
        <is>
          <t>MCGA</t>
        </is>
      </c>
      <c r="F351" s="43" t="inlineStr">
        <is>
          <t>037-STBU</t>
        </is>
      </c>
      <c r="G351" s="43" t="inlineStr">
        <is>
          <t>CTANJZ04524</t>
        </is>
      </c>
      <c r="H351" s="43" t="inlineStr">
        <is>
          <t>To temporarily use parts/materials that do not meet the specifications</t>
        </is>
      </c>
      <c r="I351" s="43" t="inlineStr">
        <is>
          <t>Customer Deviation</t>
        </is>
      </c>
      <c r="J351" s="43" t="inlineStr">
        <is>
          <t>D603036</t>
        </is>
      </c>
      <c r="K351" s="33" t="inlineStr">
        <is>
          <t>D603036 Allow FJZ to use DC with more than 2 Yrs. for part 15-105550-01 used on assembly 68-6723-04 (2245) This component is not exposed to a thermal process is directly attached to a socket.</t>
        </is>
      </c>
      <c r="L351" s="43" t="inlineStr">
        <is>
          <t>Expired</t>
        </is>
      </c>
      <c r="M351" s="43" t="inlineStr">
        <is>
          <t>68-6723-04</t>
        </is>
      </c>
      <c r="N351" s="43" t="inlineStr"/>
      <c r="O351" s="43" t="inlineStr">
        <is>
          <t>2025-06-23</t>
        </is>
      </c>
      <c r="P351" s="33" t="inlineStr">
        <is>
          <t>To temporarily use parts/materials that do not meet the specifications</t>
        </is>
      </c>
      <c r="Q351" s="43" t="inlineStr">
        <is>
          <t>Mark the unit on the PCB where the component is attached with the DV number.</t>
        </is>
      </c>
      <c r="R351" s="43" t="inlineStr">
        <is>
          <t>2025-03-26</t>
        </is>
      </c>
      <c r="S351" s="43" t="inlineStr">
        <is>
          <t>2025-04-04</t>
        </is>
      </c>
      <c r="T351" s="43" t="inlineStr"/>
      <c r="U351" s="43" t="inlineStr"/>
    </row>
    <row r="352">
      <c r="A352" s="43" t="n">
        <v>352</v>
      </c>
      <c r="B352" s="43" t="inlineStr">
        <is>
          <t>351</t>
        </is>
      </c>
      <c r="C352" s="43" t="inlineStr">
        <is>
          <t>FJZP</t>
        </is>
      </c>
      <c r="D352" s="43" t="inlineStr">
        <is>
          <t>Cisco</t>
        </is>
      </c>
      <c r="E352" s="43" t="inlineStr">
        <is>
          <t>MCGA</t>
        </is>
      </c>
      <c r="F352" s="43" t="inlineStr">
        <is>
          <t>018-SRGBU</t>
        </is>
      </c>
      <c r="G352" s="43" t="inlineStr">
        <is>
          <t>CTANJZ04587</t>
        </is>
      </c>
      <c r="H352" s="43" t="inlineStr">
        <is>
          <t>For temporary part/material substitution (EXTENDABLE)</t>
        </is>
      </c>
      <c r="I352" s="43" t="inlineStr">
        <is>
          <t>Customer Deviation</t>
        </is>
      </c>
      <c r="J352" s="43" t="inlineStr">
        <is>
          <t>D603571</t>
        </is>
      </c>
      <c r="K352" s="33" t="inlineStr">
        <is>
          <t>D603571 Please see PageThree for details</t>
        </is>
      </c>
      <c r="L352" s="43" t="inlineStr">
        <is>
          <t>Expired</t>
        </is>
      </c>
      <c r="M352" s="43" t="inlineStr">
        <is>
          <t>16-100775-01</t>
        </is>
      </c>
      <c r="N352" s="43" t="inlineStr"/>
      <c r="O352" s="43" t="inlineStr">
        <is>
          <t>2025-07-28</t>
        </is>
      </c>
      <c r="P352" s="33" t="inlineStr">
        <is>
          <t>For temporary part/material substitution (EXTENDABLE 2x)</t>
        </is>
      </c>
      <c r="Q352" s="43" t="inlineStr">
        <is>
          <t>Mark drives with deviation number; and resized size CPN: 16-100775-01; MPN: MTFDDAK480TGB-1BC16ABYY; Resizing: 480GB to 400GB CPN: 16-100809-01; MPN: MTFDDAK240TGA-1BC16ABYY; Resizing: 240GB to 100GB</t>
        </is>
      </c>
      <c r="R352" s="43" t="inlineStr">
        <is>
          <t>2025-05-05</t>
        </is>
      </c>
      <c r="S352" s="43" t="inlineStr">
        <is>
          <t>2025-05-19</t>
        </is>
      </c>
      <c r="T352" s="43" t="inlineStr"/>
      <c r="U352" s="43" t="inlineStr"/>
    </row>
    <row r="353">
      <c r="A353" s="43" t="n">
        <v>353</v>
      </c>
      <c r="B353" s="43" t="inlineStr">
        <is>
          <t>352</t>
        </is>
      </c>
      <c r="C353" s="43" t="inlineStr">
        <is>
          <t>FJZP</t>
        </is>
      </c>
      <c r="D353" s="43" t="inlineStr">
        <is>
          <t>Cisco</t>
        </is>
      </c>
      <c r="E353" s="43" t="inlineStr">
        <is>
          <t>MCGA</t>
        </is>
      </c>
      <c r="F353" s="43" t="inlineStr">
        <is>
          <t>018-SRGBU</t>
        </is>
      </c>
      <c r="G353" s="43" t="inlineStr">
        <is>
          <t>CTANJZ04587</t>
        </is>
      </c>
      <c r="H353" s="43" t="inlineStr">
        <is>
          <t>For temporary part/material substitution (EXTENDABLE)</t>
        </is>
      </c>
      <c r="I353" s="43" t="inlineStr">
        <is>
          <t>Customer Deviation</t>
        </is>
      </c>
      <c r="J353" s="43" t="inlineStr">
        <is>
          <t>D603571</t>
        </is>
      </c>
      <c r="K353" s="33" t="inlineStr">
        <is>
          <t>D603571 Please see PageThree for details</t>
        </is>
      </c>
      <c r="L353" s="43" t="inlineStr">
        <is>
          <t>Expired</t>
        </is>
      </c>
      <c r="M353" s="43" t="inlineStr">
        <is>
          <t>16-100809-01</t>
        </is>
      </c>
      <c r="N353" s="43" t="inlineStr"/>
      <c r="O353" s="43" t="inlineStr">
        <is>
          <t>2025-07-28</t>
        </is>
      </c>
      <c r="P353" s="33" t="inlineStr">
        <is>
          <t>For temporary part/material substitution (EXTENDABLE 2x)</t>
        </is>
      </c>
      <c r="Q353" s="43" t="inlineStr">
        <is>
          <t>Mark drives with deviation number; and resized size CPN: 16-100775-01; MPN: MTFDDAK480TGB-1BC16ABYY; Resizing: 480GB to 400GB CPN: 16-100809-01; MPN: MTFDDAK240TGA-1BC16ABYY; Resizing: 240GB to 100GB</t>
        </is>
      </c>
      <c r="R353" s="43" t="inlineStr">
        <is>
          <t>2025-05-05</t>
        </is>
      </c>
      <c r="S353" s="43" t="inlineStr">
        <is>
          <t>2025-05-19</t>
        </is>
      </c>
      <c r="T353" s="43" t="inlineStr"/>
      <c r="U353" s="43" t="inlineStr"/>
    </row>
    <row r="354">
      <c r="A354" s="43" t="n">
        <v>354</v>
      </c>
      <c r="B354" s="43" t="inlineStr">
        <is>
          <t>353</t>
        </is>
      </c>
      <c r="C354" s="43" t="inlineStr">
        <is>
          <t>FJZP</t>
        </is>
      </c>
      <c r="D354" s="43" t="inlineStr">
        <is>
          <t>Cisco</t>
        </is>
      </c>
      <c r="E354" s="43" t="inlineStr">
        <is>
          <t>MCGA</t>
        </is>
      </c>
      <c r="F354" s="43" t="inlineStr">
        <is>
          <t>037-STBU</t>
        </is>
      </c>
      <c r="G354" s="43" t="inlineStr">
        <is>
          <t>CTANJZ04632</t>
        </is>
      </c>
      <c r="H354" s="43" t="inlineStr">
        <is>
          <t>For temporary part/material substitution (EXTENDABLE)</t>
        </is>
      </c>
      <c r="I354" s="43" t="inlineStr">
        <is>
          <t>Customer Deviation</t>
        </is>
      </c>
      <c r="J354" s="43" t="inlineStr">
        <is>
          <t>DP524922</t>
        </is>
      </c>
      <c r="K354" s="33" t="inlineStr">
        <is>
          <t>DP524922 For Pre-pilot build- FJZ can follow AVL build matrix Provided by PE (Priyanka anshu) for MB; ESW and Mezz</t>
        </is>
      </c>
      <c r="L354" s="43" t="inlineStr">
        <is>
          <t>Expired</t>
        </is>
      </c>
      <c r="M354" s="43" t="inlineStr">
        <is>
          <t>73-103558-04</t>
        </is>
      </c>
      <c r="N354" s="43" t="inlineStr"/>
      <c r="O354" s="43" t="inlineStr">
        <is>
          <t>2025-07-28</t>
        </is>
      </c>
      <c r="P354" s="33" t="inlineStr"/>
      <c r="Q354" s="43" t="inlineStr">
        <is>
          <t>Put Deviation number along with AVL-A and AVL -B group naming on the PCBA at visible place</t>
        </is>
      </c>
      <c r="R354" s="43" t="inlineStr">
        <is>
          <t>2025-05-30</t>
        </is>
      </c>
      <c r="S354" s="43" t="inlineStr">
        <is>
          <t>2025-06-11</t>
        </is>
      </c>
      <c r="T354" s="43" t="inlineStr"/>
      <c r="U354" s="43" t="inlineStr"/>
    </row>
    <row r="355">
      <c r="A355" s="43" t="n">
        <v>355</v>
      </c>
      <c r="B355" s="43" t="inlineStr">
        <is>
          <t>354</t>
        </is>
      </c>
      <c r="C355" s="43" t="inlineStr">
        <is>
          <t>FJZP</t>
        </is>
      </c>
      <c r="D355" s="43" t="inlineStr">
        <is>
          <t>Cisco</t>
        </is>
      </c>
      <c r="E355" s="43" t="inlineStr">
        <is>
          <t>MCGA</t>
        </is>
      </c>
      <c r="F355" s="43" t="inlineStr">
        <is>
          <t>037-STBU</t>
        </is>
      </c>
      <c r="G355" s="43" t="inlineStr">
        <is>
          <t>CTANJZ04632</t>
        </is>
      </c>
      <c r="H355" s="43" t="inlineStr">
        <is>
          <t>For temporary part/material substitution (EXTENDABLE)</t>
        </is>
      </c>
      <c r="I355" s="43" t="inlineStr">
        <is>
          <t>Customer Deviation</t>
        </is>
      </c>
      <c r="J355" s="43" t="inlineStr">
        <is>
          <t>DP524922</t>
        </is>
      </c>
      <c r="K355" s="33" t="inlineStr">
        <is>
          <t>DP524922 For Pre-pilot build- FJZ can follow AVL build matrix Provided by PE (Priyanka anshu) for MB; ESW and Mezz</t>
        </is>
      </c>
      <c r="L355" s="43" t="inlineStr">
        <is>
          <t>Expired</t>
        </is>
      </c>
      <c r="M355" s="43" t="inlineStr">
        <is>
          <t>73-103633-04</t>
        </is>
      </c>
      <c r="N355" s="43" t="inlineStr"/>
      <c r="O355" s="43" t="inlineStr">
        <is>
          <t>2025-07-28</t>
        </is>
      </c>
      <c r="P355" s="33" t="inlineStr"/>
      <c r="Q355" s="43" t="inlineStr">
        <is>
          <t>Put Deviation number along with AVL-A and AVL -B group naming on the PCBA at visible place</t>
        </is>
      </c>
      <c r="R355" s="43" t="inlineStr">
        <is>
          <t>2025-05-30</t>
        </is>
      </c>
      <c r="S355" s="43" t="inlineStr">
        <is>
          <t>2025-06-11</t>
        </is>
      </c>
      <c r="T355" s="43" t="inlineStr"/>
      <c r="U355" s="43" t="inlineStr"/>
    </row>
    <row r="356">
      <c r="A356" s="43" t="n">
        <v>356</v>
      </c>
      <c r="B356" s="43" t="inlineStr">
        <is>
          <t>355</t>
        </is>
      </c>
      <c r="C356" s="43" t="inlineStr">
        <is>
          <t>FJZP</t>
        </is>
      </c>
      <c r="D356" s="43" t="inlineStr">
        <is>
          <t>Cisco</t>
        </is>
      </c>
      <c r="E356" s="43" t="inlineStr">
        <is>
          <t>MCGA</t>
        </is>
      </c>
      <c r="F356" s="43" t="inlineStr">
        <is>
          <t>037-STBU</t>
        </is>
      </c>
      <c r="G356" s="43" t="inlineStr">
        <is>
          <t>CTANJZ04632</t>
        </is>
      </c>
      <c r="H356" s="43" t="inlineStr">
        <is>
          <t>For temporary part/material substitution (EXTENDABLE)</t>
        </is>
      </c>
      <c r="I356" s="43" t="inlineStr">
        <is>
          <t>Customer Deviation</t>
        </is>
      </c>
      <c r="J356" s="43" t="inlineStr">
        <is>
          <t>DP524922</t>
        </is>
      </c>
      <c r="K356" s="33" t="inlineStr">
        <is>
          <t>DP524922 For Pre-pilot build- FJZ can follow AVL build matrix Provided by PE (Priyanka anshu) for MB; ESW and Mezz</t>
        </is>
      </c>
      <c r="L356" s="43" t="inlineStr">
        <is>
          <t>Expired</t>
        </is>
      </c>
      <c r="M356" s="43" t="inlineStr">
        <is>
          <t>73-103648-04</t>
        </is>
      </c>
      <c r="N356" s="43" t="inlineStr"/>
      <c r="O356" s="43" t="inlineStr">
        <is>
          <t>2025-07-28</t>
        </is>
      </c>
      <c r="P356" s="33" t="inlineStr"/>
      <c r="Q356" s="43" t="inlineStr">
        <is>
          <t>Put Deviation number along with AVL-A and AVL -B group naming on the PCBA at visible place</t>
        </is>
      </c>
      <c r="R356" s="43" t="inlineStr">
        <is>
          <t>2025-05-30</t>
        </is>
      </c>
      <c r="S356" s="43" t="inlineStr">
        <is>
          <t>2025-06-11</t>
        </is>
      </c>
      <c r="T356" s="43" t="inlineStr"/>
      <c r="U356" s="43" t="inlineStr"/>
    </row>
    <row r="357">
      <c r="A357" s="43" t="n">
        <v>357</v>
      </c>
      <c r="B357" s="43" t="inlineStr">
        <is>
          <t>356</t>
        </is>
      </c>
      <c r="C357" s="43" t="inlineStr">
        <is>
          <t>FJZP</t>
        </is>
      </c>
      <c r="D357" s="43" t="inlineStr">
        <is>
          <t>Cisco</t>
        </is>
      </c>
      <c r="E357" s="43" t="inlineStr">
        <is>
          <t>MCGA</t>
        </is>
      </c>
      <c r="F357" s="43" t="inlineStr">
        <is>
          <t>018-SRGBU</t>
        </is>
      </c>
      <c r="G357" s="43" t="inlineStr">
        <is>
          <t>CTANJZ04594</t>
        </is>
      </c>
      <c r="H357" s="43" t="inlineStr">
        <is>
          <t>For temporary part/material substitution (EXTENDABLE)</t>
        </is>
      </c>
      <c r="I357" s="43" t="inlineStr">
        <is>
          <t>Customer Deviation</t>
        </is>
      </c>
      <c r="J357" s="43" t="inlineStr">
        <is>
          <t>D603779</t>
        </is>
      </c>
      <c r="K357" s="33" t="inlineStr">
        <is>
          <t>D603779 SRGBU FGUDue to shortages on CPN: 15-107070-01; this deviation allow FGU to use CPN: 15-104536-01 and use them for support build plan.Both CPN uses the same qualified MPNs; and as per FGU the OH of item 15-104536-01 is 98 pcs. ETA for 15-107070-01 is May 26th with 500pcs.MPN qualified:SR5722G822APJDASG0MTA18ASF2G72PDZ-3G2R1M393A2K43EB3-CWEHMAG78EXNRA084N</t>
        </is>
      </c>
      <c r="L357" s="43" t="inlineStr">
        <is>
          <t>Expired</t>
        </is>
      </c>
      <c r="M357" s="43" t="inlineStr">
        <is>
          <t>15-104536-01</t>
        </is>
      </c>
      <c r="N357" s="43" t="inlineStr"/>
      <c r="O357" s="43" t="inlineStr">
        <is>
          <t>2025-08-04</t>
        </is>
      </c>
      <c r="P357" s="33" t="inlineStr">
        <is>
          <t>For temporary part/material substitution (EXTENDABLE 2x)</t>
        </is>
      </c>
      <c r="Q357" s="43" t="inlineStr">
        <is>
          <t>Place deviation label on chassis.</t>
        </is>
      </c>
      <c r="R357" s="43" t="inlineStr">
        <is>
          <t>2025-05-07</t>
        </is>
      </c>
      <c r="S357" s="43" t="inlineStr">
        <is>
          <t>2025-05-21</t>
        </is>
      </c>
      <c r="T357" s="43" t="inlineStr"/>
      <c r="U357" s="43" t="inlineStr"/>
    </row>
    <row r="358">
      <c r="A358" s="43" t="n">
        <v>358</v>
      </c>
      <c r="B358" s="43" t="inlineStr">
        <is>
          <t>357</t>
        </is>
      </c>
      <c r="C358" s="43" t="inlineStr">
        <is>
          <t>FJZP</t>
        </is>
      </c>
      <c r="D358" s="43" t="inlineStr">
        <is>
          <t>Cisco</t>
        </is>
      </c>
      <c r="E358" s="43" t="inlineStr">
        <is>
          <t>MCGA</t>
        </is>
      </c>
      <c r="F358" s="43" t="inlineStr">
        <is>
          <t>018-SRGBU</t>
        </is>
      </c>
      <c r="G358" s="43" t="inlineStr">
        <is>
          <t>CTANJZ04594</t>
        </is>
      </c>
      <c r="H358" s="43" t="inlineStr">
        <is>
          <t>For temporary part/material substitution (EXTENDABLE)</t>
        </is>
      </c>
      <c r="I358" s="43" t="inlineStr">
        <is>
          <t>Customer Deviation</t>
        </is>
      </c>
      <c r="J358" s="43" t="inlineStr">
        <is>
          <t>D603779</t>
        </is>
      </c>
      <c r="K358" s="33" t="inlineStr">
        <is>
          <t>D603779 SRGBU FGUDue to shortages on CPN: 15-107070-01; this deviation allow FGU to use CPN: 15-104536-01 and use them for support build plan.Both CPN uses the same qualified MPNs; and as per FGU the OH of item 15-104536-01 is 98 pcs. ETA for 15-107070-01 is May 26th with 500pcs.MPN qualified:SR5722G822APJDASG0MTA18ASF2G72PDZ-3G2R1M393A2K43EB3-CWEHMAG78EXNRA084N</t>
        </is>
      </c>
      <c r="L358" s="43" t="inlineStr">
        <is>
          <t>Expired</t>
        </is>
      </c>
      <c r="M358" s="43" t="inlineStr">
        <is>
          <t>15-107070-01</t>
        </is>
      </c>
      <c r="N358" s="43" t="inlineStr"/>
      <c r="O358" s="43" t="inlineStr">
        <is>
          <t>2025-08-04</t>
        </is>
      </c>
      <c r="P358" s="33" t="inlineStr">
        <is>
          <t>For temporary part/material substitution (EXTENDABLE 2x)</t>
        </is>
      </c>
      <c r="Q358" s="43" t="inlineStr">
        <is>
          <t>Place deviation label on chassis.</t>
        </is>
      </c>
      <c r="R358" s="43" t="inlineStr">
        <is>
          <t>2025-05-07</t>
        </is>
      </c>
      <c r="S358" s="43" t="inlineStr">
        <is>
          <t>2025-05-21</t>
        </is>
      </c>
      <c r="T358" s="43" t="inlineStr"/>
      <c r="U358" s="43" t="inlineStr"/>
    </row>
    <row r="359">
      <c r="A359" s="43" t="n">
        <v>359</v>
      </c>
      <c r="B359" s="43" t="inlineStr">
        <is>
          <t>358</t>
        </is>
      </c>
      <c r="C359" s="43" t="inlineStr">
        <is>
          <t>FJZP</t>
        </is>
      </c>
      <c r="D359" s="43" t="inlineStr">
        <is>
          <t>Cisco</t>
        </is>
      </c>
      <c r="E359" s="43" t="inlineStr">
        <is>
          <t>MCGA</t>
        </is>
      </c>
      <c r="F359" s="43" t="inlineStr">
        <is>
          <t>018-SRGBU</t>
        </is>
      </c>
      <c r="G359" s="43" t="inlineStr">
        <is>
          <t>CTANJZ04475</t>
        </is>
      </c>
      <c r="H359" s="43" t="inlineStr">
        <is>
          <t>For temporary part/material substitution (EXTENDABLE)</t>
        </is>
      </c>
      <c r="I359" s="43" t="inlineStr">
        <is>
          <t>Customer Deviation</t>
        </is>
      </c>
      <c r="J359" s="43" t="inlineStr">
        <is>
          <t>D602181</t>
        </is>
      </c>
      <c r="K359"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59" s="43" t="inlineStr">
        <is>
          <t>Expired</t>
        </is>
      </c>
      <c r="M359" s="43" t="inlineStr">
        <is>
          <t>73-19107-04</t>
        </is>
      </c>
      <c r="N359" s="43" t="inlineStr"/>
      <c r="O359" s="43" t="inlineStr">
        <is>
          <t>2025-05-22</t>
        </is>
      </c>
      <c r="P359" s="33" t="inlineStr">
        <is>
          <t>For temporary part/material substitution (EXTENDABLE 2x)</t>
        </is>
      </c>
      <c r="Q359" s="43" t="inlineStr">
        <is>
          <t>no marking is needed.</t>
        </is>
      </c>
      <c r="R359" s="43" t="inlineStr">
        <is>
          <t>2025-02-22</t>
        </is>
      </c>
      <c r="S359" s="43" t="inlineStr">
        <is>
          <t>2025-03-04</t>
        </is>
      </c>
      <c r="T359" s="43" t="inlineStr"/>
      <c r="U359" s="43" t="inlineStr"/>
    </row>
    <row r="360">
      <c r="A360" s="43" t="n">
        <v>360</v>
      </c>
      <c r="B360" s="43" t="inlineStr">
        <is>
          <t>359</t>
        </is>
      </c>
      <c r="C360" s="43" t="inlineStr">
        <is>
          <t>FJZP</t>
        </is>
      </c>
      <c r="D360" s="43" t="inlineStr">
        <is>
          <t>Cisco</t>
        </is>
      </c>
      <c r="E360" s="43" t="inlineStr">
        <is>
          <t>MCGA</t>
        </is>
      </c>
      <c r="F360" s="43" t="inlineStr">
        <is>
          <t>018-SRGBU</t>
        </is>
      </c>
      <c r="G360" s="43" t="inlineStr">
        <is>
          <t>CTANJZ04475</t>
        </is>
      </c>
      <c r="H360" s="43" t="inlineStr">
        <is>
          <t>For temporary part/material substitution (EXTENDABLE)</t>
        </is>
      </c>
      <c r="I360" s="43" t="inlineStr">
        <is>
          <t>Customer Deviation</t>
        </is>
      </c>
      <c r="J360" s="43" t="inlineStr">
        <is>
          <t>D602181</t>
        </is>
      </c>
      <c r="K360"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60" s="43" t="inlineStr">
        <is>
          <t>Expired</t>
        </is>
      </c>
      <c r="M360" s="43" t="inlineStr">
        <is>
          <t>74-112300-02</t>
        </is>
      </c>
      <c r="N360" s="43" t="inlineStr"/>
      <c r="O360" s="43" t="inlineStr">
        <is>
          <t>2025-05-22</t>
        </is>
      </c>
      <c r="P360" s="33" t="inlineStr">
        <is>
          <t>For temporary part/material substitution (EXTENDABLE 2x)</t>
        </is>
      </c>
      <c r="Q360" s="43" t="inlineStr">
        <is>
          <t>no marking is needed.</t>
        </is>
      </c>
      <c r="R360" s="43" t="inlineStr">
        <is>
          <t>2025-02-22</t>
        </is>
      </c>
      <c r="S360" s="43" t="inlineStr">
        <is>
          <t>2025-03-04</t>
        </is>
      </c>
      <c r="T360" s="43" t="inlineStr"/>
      <c r="U360" s="43" t="inlineStr"/>
    </row>
    <row r="361">
      <c r="A361" s="43" t="n">
        <v>361</v>
      </c>
      <c r="B361" s="43" t="inlineStr">
        <is>
          <t>360</t>
        </is>
      </c>
      <c r="C361" s="43" t="inlineStr">
        <is>
          <t>FJZP</t>
        </is>
      </c>
      <c r="D361" s="43" t="inlineStr">
        <is>
          <t>Cisco</t>
        </is>
      </c>
      <c r="E361" s="43" t="inlineStr">
        <is>
          <t>MCGA</t>
        </is>
      </c>
      <c r="F361" s="43" t="inlineStr">
        <is>
          <t>018-SRGBU</t>
        </is>
      </c>
      <c r="G361" s="43" t="inlineStr">
        <is>
          <t>CTANJZ04475</t>
        </is>
      </c>
      <c r="H361" s="43" t="inlineStr">
        <is>
          <t>For temporary part/material substitution (EXTENDABLE)</t>
        </is>
      </c>
      <c r="I361" s="43" t="inlineStr">
        <is>
          <t>Customer Deviation</t>
        </is>
      </c>
      <c r="J361" s="43" t="inlineStr">
        <is>
          <t>D602181</t>
        </is>
      </c>
      <c r="K361"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61" s="43" t="inlineStr">
        <is>
          <t>Expired</t>
        </is>
      </c>
      <c r="M361" s="43" t="inlineStr">
        <is>
          <t>74-112308-02</t>
        </is>
      </c>
      <c r="N361" s="43" t="inlineStr"/>
      <c r="O361" s="43" t="inlineStr">
        <is>
          <t>2025-05-22</t>
        </is>
      </c>
      <c r="P361" s="33" t="inlineStr">
        <is>
          <t>For temporary part/material substitution (EXTENDABLE 2x)</t>
        </is>
      </c>
      <c r="Q361" s="43" t="inlineStr">
        <is>
          <t>no marking is needed.</t>
        </is>
      </c>
      <c r="R361" s="43" t="inlineStr">
        <is>
          <t>2025-02-22</t>
        </is>
      </c>
      <c r="S361" s="43" t="inlineStr">
        <is>
          <t>2025-03-04</t>
        </is>
      </c>
      <c r="T361" s="43" t="inlineStr"/>
      <c r="U361" s="43" t="inlineStr"/>
    </row>
    <row r="362">
      <c r="A362" s="43" t="n">
        <v>362</v>
      </c>
      <c r="B362" s="43" t="inlineStr">
        <is>
          <t>361</t>
        </is>
      </c>
      <c r="C362" s="43" t="inlineStr">
        <is>
          <t>FJZP</t>
        </is>
      </c>
      <c r="D362" s="43" t="inlineStr">
        <is>
          <t>Cisco</t>
        </is>
      </c>
      <c r="E362" s="43" t="inlineStr">
        <is>
          <t>MCGA</t>
        </is>
      </c>
      <c r="F362" s="43" t="inlineStr">
        <is>
          <t>018-SRGBU</t>
        </is>
      </c>
      <c r="G362" s="43" t="inlineStr">
        <is>
          <t>CTANJZ04475</t>
        </is>
      </c>
      <c r="H362" s="43" t="inlineStr">
        <is>
          <t>For temporary part/material substitution (EXTENDABLE)</t>
        </is>
      </c>
      <c r="I362" s="43" t="inlineStr">
        <is>
          <t>Customer Deviation</t>
        </is>
      </c>
      <c r="J362" s="43" t="inlineStr">
        <is>
          <t>D602181</t>
        </is>
      </c>
      <c r="K362"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62" s="43" t="inlineStr">
        <is>
          <t>Expired</t>
        </is>
      </c>
      <c r="M362" s="43" t="inlineStr">
        <is>
          <t>74-115081-02</t>
        </is>
      </c>
      <c r="N362" s="43" t="inlineStr"/>
      <c r="O362" s="43" t="inlineStr">
        <is>
          <t>2025-05-22</t>
        </is>
      </c>
      <c r="P362" s="33" t="inlineStr">
        <is>
          <t>For temporary part/material substitution (EXTENDABLE 2x)</t>
        </is>
      </c>
      <c r="Q362" s="43" t="inlineStr">
        <is>
          <t>no marking is needed.</t>
        </is>
      </c>
      <c r="R362" s="43" t="inlineStr">
        <is>
          <t>2025-02-22</t>
        </is>
      </c>
      <c r="S362" s="43" t="inlineStr">
        <is>
          <t>2025-03-04</t>
        </is>
      </c>
      <c r="T362" s="43" t="inlineStr"/>
      <c r="U362" s="43" t="inlineStr"/>
    </row>
    <row r="363">
      <c r="A363" s="43" t="n">
        <v>363</v>
      </c>
      <c r="B363" s="43" t="inlineStr">
        <is>
          <t>362</t>
        </is>
      </c>
      <c r="C363" s="43" t="inlineStr">
        <is>
          <t>FJZP</t>
        </is>
      </c>
      <c r="D363" s="43" t="inlineStr">
        <is>
          <t>Cisco</t>
        </is>
      </c>
      <c r="E363" s="43" t="inlineStr">
        <is>
          <t>MCGA</t>
        </is>
      </c>
      <c r="F363" s="43" t="inlineStr">
        <is>
          <t>018-SRGBU</t>
        </is>
      </c>
      <c r="G363" s="43" t="inlineStr">
        <is>
          <t>CTANJZ04475</t>
        </is>
      </c>
      <c r="H363" s="43" t="inlineStr">
        <is>
          <t>For temporary part/material substitution (EXTENDABLE)</t>
        </is>
      </c>
      <c r="I363" s="43" t="inlineStr">
        <is>
          <t>Customer Deviation</t>
        </is>
      </c>
      <c r="J363" s="43" t="inlineStr">
        <is>
          <t>D602181</t>
        </is>
      </c>
      <c r="K363"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63" s="43" t="inlineStr">
        <is>
          <t>Expired</t>
        </is>
      </c>
      <c r="M363" s="43" t="inlineStr">
        <is>
          <t>74-115425-02</t>
        </is>
      </c>
      <c r="N363" s="43" t="inlineStr"/>
      <c r="O363" s="43" t="inlineStr">
        <is>
          <t>2025-05-22</t>
        </is>
      </c>
      <c r="P363" s="33" t="inlineStr">
        <is>
          <t>For temporary part/material substitution (EXTENDABLE 2x)</t>
        </is>
      </c>
      <c r="Q363" s="43" t="inlineStr">
        <is>
          <t>no marking is needed.</t>
        </is>
      </c>
      <c r="R363" s="43" t="inlineStr">
        <is>
          <t>2025-02-22</t>
        </is>
      </c>
      <c r="S363" s="43" t="inlineStr">
        <is>
          <t>2025-03-04</t>
        </is>
      </c>
      <c r="T363" s="43" t="inlineStr"/>
      <c r="U363" s="43" t="inlineStr"/>
    </row>
    <row r="364">
      <c r="A364" s="43" t="n">
        <v>364</v>
      </c>
      <c r="B364" s="43" t="inlineStr">
        <is>
          <t>363</t>
        </is>
      </c>
      <c r="C364" s="43" t="inlineStr">
        <is>
          <t>FJZP</t>
        </is>
      </c>
      <c r="D364" s="43" t="inlineStr">
        <is>
          <t>Cisco</t>
        </is>
      </c>
      <c r="E364" s="43" t="inlineStr">
        <is>
          <t>MCGA</t>
        </is>
      </c>
      <c r="F364" s="43" t="inlineStr">
        <is>
          <t>018-SRGBU</t>
        </is>
      </c>
      <c r="G364" s="43" t="inlineStr">
        <is>
          <t>CTANJZ04475</t>
        </is>
      </c>
      <c r="H364" s="43" t="inlineStr">
        <is>
          <t>For temporary part/material substitution (EXTENDABLE)</t>
        </is>
      </c>
      <c r="I364" s="43" t="inlineStr">
        <is>
          <t>Customer Deviation</t>
        </is>
      </c>
      <c r="J364" s="43" t="inlineStr">
        <is>
          <t>D602181</t>
        </is>
      </c>
      <c r="K364"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64" s="43" t="inlineStr">
        <is>
          <t>Expired</t>
        </is>
      </c>
      <c r="M364" s="43" t="inlineStr">
        <is>
          <t>74-115426-02</t>
        </is>
      </c>
      <c r="N364" s="43" t="inlineStr"/>
      <c r="O364" s="43" t="inlineStr">
        <is>
          <t>2025-05-22</t>
        </is>
      </c>
      <c r="P364" s="33" t="inlineStr">
        <is>
          <t>For temporary part/material substitution (EXTENDABLE 2x)</t>
        </is>
      </c>
      <c r="Q364" s="43" t="inlineStr">
        <is>
          <t>no marking is needed.</t>
        </is>
      </c>
      <c r="R364" s="43" t="inlineStr">
        <is>
          <t>2025-02-22</t>
        </is>
      </c>
      <c r="S364" s="43" t="inlineStr">
        <is>
          <t>2025-03-04</t>
        </is>
      </c>
      <c r="T364" s="43" t="inlineStr"/>
      <c r="U364" s="43" t="inlineStr"/>
    </row>
    <row r="365">
      <c r="A365" s="43" t="n">
        <v>365</v>
      </c>
      <c r="B365" s="43" t="inlineStr">
        <is>
          <t>364</t>
        </is>
      </c>
      <c r="C365" s="43" t="inlineStr">
        <is>
          <t>FJZP</t>
        </is>
      </c>
      <c r="D365" s="43" t="inlineStr">
        <is>
          <t>Cisco</t>
        </is>
      </c>
      <c r="E365" s="43" t="inlineStr">
        <is>
          <t>MCGA</t>
        </is>
      </c>
      <c r="F365" s="43" t="inlineStr">
        <is>
          <t>018-SRGBU</t>
        </is>
      </c>
      <c r="G365" s="43" t="inlineStr">
        <is>
          <t>CTANJZ04475</t>
        </is>
      </c>
      <c r="H365" s="43" t="inlineStr">
        <is>
          <t>For temporary part/material substitution (EXTENDABLE)</t>
        </is>
      </c>
      <c r="I365" s="43" t="inlineStr">
        <is>
          <t>Customer Deviation</t>
        </is>
      </c>
      <c r="J365" s="43" t="inlineStr">
        <is>
          <t>D602181</t>
        </is>
      </c>
      <c r="K365" s="33" t="inlineStr">
        <is>
          <t>D602181 SRGBU/IOTBU hot plug issue component substitution:This deviation instructs FOL/FVN/FDO/FJZ PCBA to use 15-10118-01 instead of 15-10118-02 for new builds.FOL/FVN/FDO/FJZ PCBA should pipeline material for Renesas QS3VH245QG and TI SN74CBTLV3245ADBQR as diodes PI3B3245QEX will not be used for new builds</t>
        </is>
      </c>
      <c r="L365" s="43" t="inlineStr">
        <is>
          <t>Expired</t>
        </is>
      </c>
      <c r="M365" s="43" t="inlineStr">
        <is>
          <t>74-115427-02</t>
        </is>
      </c>
      <c r="N365" s="43" t="inlineStr"/>
      <c r="O365" s="43" t="inlineStr">
        <is>
          <t>2025-05-22</t>
        </is>
      </c>
      <c r="P365" s="33" t="inlineStr">
        <is>
          <t>For temporary part/material substitution (EXTENDABLE 2x)</t>
        </is>
      </c>
      <c r="Q365" s="43" t="inlineStr">
        <is>
          <t>no marking is needed.</t>
        </is>
      </c>
      <c r="R365" s="43" t="inlineStr">
        <is>
          <t>2025-02-22</t>
        </is>
      </c>
      <c r="S365" s="43" t="inlineStr">
        <is>
          <t>2025-03-04</t>
        </is>
      </c>
      <c r="T365" s="43" t="inlineStr"/>
      <c r="U365" s="43" t="inlineStr"/>
    </row>
    <row r="366">
      <c r="A366" s="43" t="n">
        <v>366</v>
      </c>
      <c r="B366" s="43" t="inlineStr">
        <is>
          <t>365</t>
        </is>
      </c>
      <c r="C366" s="43" t="inlineStr">
        <is>
          <t>FJZP</t>
        </is>
      </c>
      <c r="D366" s="43" t="inlineStr">
        <is>
          <t>Cisco</t>
        </is>
      </c>
      <c r="E366" s="43" t="inlineStr">
        <is>
          <t>MCGA</t>
        </is>
      </c>
      <c r="F366" s="43" t="inlineStr">
        <is>
          <t>035-CVEBU</t>
        </is>
      </c>
      <c r="G366" s="43" t="inlineStr">
        <is>
          <t>CTANJZ04679</t>
        </is>
      </c>
      <c r="H366" s="43" t="inlineStr">
        <is>
          <t>For temporary part/material substitution (EXTENDABLE)</t>
        </is>
      </c>
      <c r="I366" s="43" t="inlineStr">
        <is>
          <t>Customer Deviation</t>
        </is>
      </c>
      <c r="J366" s="43" t="inlineStr">
        <is>
          <t>DP525026</t>
        </is>
      </c>
      <c r="K366" s="33" t="inlineStr">
        <is>
          <t>DP525026 CVEBU;Pictoris73-103103-04 PCA; PICTORIS MAIN BOARD   73-103103-05 PCA; PICTORIS MAIN BOARD  73-103603-04 PCA; PICTORIS MAIN BOARD NR  73-103603-05 PCA; PICTORIS MAIN BOARD NR  In BOMs; refdes U41715-108939-01 IC-MP;Trusted Platform Module 2.0 I2C;33 MHz;VQFP;32 P;5x5 mm PKGSIZE;0.5P;3.3 V NOM;0.63 W;I2C;NO-JTAG;-40 to 105 'CIPQ:       Infinion   SLB 9673AU2.0 FW27.24Qualified: ST Micro   ST33HF2X32AHE3C1Do not use Infinion TPM circuit until the Pictoris AVL 2nd source build is completed and concluded. This is likely to be settled by late August 2025</t>
        </is>
      </c>
      <c r="L366" s="43" t="inlineStr">
        <is>
          <t>Expired</t>
        </is>
      </c>
      <c r="M366" s="43" t="inlineStr">
        <is>
          <t>73-103103-05</t>
        </is>
      </c>
      <c r="N366" s="43" t="inlineStr"/>
      <c r="O366" s="43" t="inlineStr">
        <is>
          <t>2025-08-19</t>
        </is>
      </c>
      <c r="P366" s="33" t="inlineStr"/>
      <c r="Q366" s="43" t="inlineStr">
        <is>
          <t>No FFF change =&gt; No marking needed</t>
        </is>
      </c>
      <c r="R366" s="43" t="inlineStr">
        <is>
          <t>2025-06-21</t>
        </is>
      </c>
      <c r="S366" s="43" t="inlineStr">
        <is>
          <t>2025-07-02</t>
        </is>
      </c>
      <c r="T366" s="43" t="inlineStr"/>
      <c r="U366" s="43" t="inlineStr"/>
    </row>
    <row r="367">
      <c r="A367" s="43" t="n">
        <v>367</v>
      </c>
      <c r="B367" s="43" t="inlineStr">
        <is>
          <t>366</t>
        </is>
      </c>
      <c r="C367" s="43" t="inlineStr">
        <is>
          <t>FJZP</t>
        </is>
      </c>
      <c r="D367" s="43" t="inlineStr">
        <is>
          <t>Cisco</t>
        </is>
      </c>
      <c r="E367" s="43" t="inlineStr">
        <is>
          <t>MCGA</t>
        </is>
      </c>
      <c r="F367" s="43" t="inlineStr">
        <is>
          <t>035-CVEBU</t>
        </is>
      </c>
      <c r="G367" s="43" t="inlineStr">
        <is>
          <t>CTANJZ04679</t>
        </is>
      </c>
      <c r="H367" s="43" t="inlineStr">
        <is>
          <t>For temporary part/material substitution (EXTENDABLE)</t>
        </is>
      </c>
      <c r="I367" s="43" t="inlineStr">
        <is>
          <t>Customer Deviation</t>
        </is>
      </c>
      <c r="J367" s="43" t="inlineStr">
        <is>
          <t>DP525026</t>
        </is>
      </c>
      <c r="K367" s="33" t="inlineStr">
        <is>
          <t>DP525026 CVEBU;Pictoris73-103103-04 PCA; PICTORIS MAIN BOARD   73-103103-05 PCA; PICTORIS MAIN BOARD  73-103603-04 PCA; PICTORIS MAIN BOARD NR  73-103603-05 PCA; PICTORIS MAIN BOARD NR  In BOMs; refdes U41715-108939-01 IC-MP;Trusted Platform Module 2.0 I2C;33 MHz;VQFP;32 P;5x5 mm PKGSIZE;0.5P;3.3 V NOM;0.63 W;I2C;NO-JTAG;-40 to 105 'CIPQ:       Infinion   SLB 9673AU2.0 FW27.24Qualified: ST Micro   ST33HF2X32AHE3C1Do not use Infinion TPM circuit until the Pictoris AVL 2nd source build is completed and concluded. This is likely to be settled by late August 2025</t>
        </is>
      </c>
      <c r="L367" s="43" t="inlineStr">
        <is>
          <t>Expired</t>
        </is>
      </c>
      <c r="M367" s="43" t="inlineStr">
        <is>
          <t>73-103603-05</t>
        </is>
      </c>
      <c r="N367" s="43" t="inlineStr"/>
      <c r="O367" s="43" t="inlineStr">
        <is>
          <t>2025-08-19</t>
        </is>
      </c>
      <c r="P367" s="33" t="inlineStr"/>
      <c r="Q367" s="43" t="inlineStr">
        <is>
          <t>No FFF change =&gt; No marking needed</t>
        </is>
      </c>
      <c r="R367" s="43" t="inlineStr">
        <is>
          <t>2025-06-21</t>
        </is>
      </c>
      <c r="S367" s="43" t="inlineStr">
        <is>
          <t>2025-07-02</t>
        </is>
      </c>
      <c r="T367" s="43" t="inlineStr"/>
      <c r="U367" s="43" t="inlineStr"/>
    </row>
    <row r="368">
      <c r="A368" s="43" t="n">
        <v>368</v>
      </c>
      <c r="B368" s="43" t="inlineStr">
        <is>
          <t>367</t>
        </is>
      </c>
      <c r="C368" s="43" t="inlineStr">
        <is>
          <t>FJZP</t>
        </is>
      </c>
      <c r="D368" s="43" t="inlineStr">
        <is>
          <t>Cisco</t>
        </is>
      </c>
      <c r="E368" s="43" t="inlineStr">
        <is>
          <t>MCGA</t>
        </is>
      </c>
      <c r="F368" s="43" t="inlineStr">
        <is>
          <t>035-CVEBU</t>
        </is>
      </c>
      <c r="G368" s="43" t="inlineStr">
        <is>
          <t>CTANJZ04609</t>
        </is>
      </c>
      <c r="H368" s="43" t="inlineStr">
        <is>
          <t>For temporary part/material substitution (EXTENDABLE)</t>
        </is>
      </c>
      <c r="I368" s="43" t="inlineStr">
        <is>
          <t>Customer Deviation</t>
        </is>
      </c>
      <c r="J368" s="43" t="inlineStr">
        <is>
          <t>DP524872</t>
        </is>
      </c>
      <c r="K368" s="33" t="inlineStr">
        <is>
          <t>DP524872 CVEBU;Taylor73-103720-03 -04 PCA;TAYLOR HIGH MODULE WITH MICRON 16GB LPDDR5  73-103820-03 -04 PCA;TAYLOR HIGH MODULE WITH HYNIX 16GB LPDDR5  73-103920-03 -04 PCA;TAYLOR LOW MODULE WITH MICRON 16GB LPDDR573-103922-03 -04 PCA;TAYLOR LOW MODULE WITH HYNIX 16GB LPDDR5  In BOMs; refdes U1515-11134-01 IC-LIN;VREG;SHUNT;SOT233;ADJ;0.5%;I-TEMPDeplete stock: ONSEMI TLV431BSN1T1GQualified: ST  TS3431BILTQualified: ST TLVH431AIL3TQualified: TI TLVH431BIDBZRQualified: TI TLVH431BQDBZRQ1Until further notice; Foxconn shall avoid using theST Micro TS3431BILT alternate as it pulls a higher shunt current than the other alternates. This part gives a bigger variation to the voltage ICT measures at TP50. See the attached FFF comparsion by Mouser and a small snip from the schematic.</t>
        </is>
      </c>
      <c r="L368" s="43" t="inlineStr">
        <is>
          <t>Expired</t>
        </is>
      </c>
      <c r="M368" s="43" t="inlineStr">
        <is>
          <t>73-103720-03</t>
        </is>
      </c>
      <c r="N368" s="43" t="inlineStr"/>
      <c r="O368" s="43" t="inlineStr">
        <is>
          <t>2025-07-14</t>
        </is>
      </c>
      <c r="P368" s="33" t="inlineStr"/>
      <c r="Q368" s="43" t="inlineStr">
        <is>
          <t>No FFF change =&gt; No marking needed</t>
        </is>
      </c>
      <c r="R368" s="43" t="inlineStr">
        <is>
          <t>2025-05-16</t>
        </is>
      </c>
      <c r="S368" s="43" t="inlineStr">
        <is>
          <t>2025-05-28</t>
        </is>
      </c>
      <c r="T368" s="43" t="inlineStr"/>
      <c r="U368" s="43" t="inlineStr"/>
    </row>
    <row r="369">
      <c r="A369" s="43" t="n">
        <v>369</v>
      </c>
      <c r="B369" s="43" t="inlineStr">
        <is>
          <t>368</t>
        </is>
      </c>
      <c r="C369" s="43" t="inlineStr">
        <is>
          <t>FJZP</t>
        </is>
      </c>
      <c r="D369" s="43" t="inlineStr">
        <is>
          <t>Cisco</t>
        </is>
      </c>
      <c r="E369" s="43" t="inlineStr">
        <is>
          <t>MCGA</t>
        </is>
      </c>
      <c r="F369" s="43" t="inlineStr">
        <is>
          <t>035-CVEBU</t>
        </is>
      </c>
      <c r="G369" s="43" t="inlineStr">
        <is>
          <t>CTANJZ04609</t>
        </is>
      </c>
      <c r="H369" s="43" t="inlineStr">
        <is>
          <t>For temporary part/material substitution (EXTENDABLE)</t>
        </is>
      </c>
      <c r="I369" s="43" t="inlineStr">
        <is>
          <t>Customer Deviation</t>
        </is>
      </c>
      <c r="J369" s="43" t="inlineStr">
        <is>
          <t>DP524872</t>
        </is>
      </c>
      <c r="K369" s="33" t="inlineStr">
        <is>
          <t>DP524872 CVEBU;Taylor73-103720-03 -04 PCA;TAYLOR HIGH MODULE WITH MICRON 16GB LPDDR5  73-103820-03 -04 PCA;TAYLOR HIGH MODULE WITH HYNIX 16GB LPDDR5  73-103920-03 -04 PCA;TAYLOR LOW MODULE WITH MICRON 16GB LPDDR573-103922-03 -04 PCA;TAYLOR LOW MODULE WITH HYNIX 16GB LPDDR5  In BOMs; refdes U1515-11134-01 IC-LIN;VREG;SHUNT;SOT233;ADJ;0.5%;I-TEMPDeplete stock: ONSEMI TLV431BSN1T1GQualified: ST  TS3431BILTQualified: ST TLVH431AIL3TQualified: TI TLVH431BIDBZRQualified: TI TLVH431BQDBZRQ1Until further notice; Foxconn shall avoid using theST Micro TS3431BILT alternate as it pulls a higher shunt current than the other alternates. This part gives a bigger variation to the voltage ICT measures at TP50. See the attached FFF comparsion by Mouser and a small snip from the schematic.</t>
        </is>
      </c>
      <c r="L369" s="43" t="inlineStr">
        <is>
          <t>Expired</t>
        </is>
      </c>
      <c r="M369" s="43" t="inlineStr">
        <is>
          <t>73-103820-03</t>
        </is>
      </c>
      <c r="N369" s="43" t="inlineStr"/>
      <c r="O369" s="43" t="inlineStr">
        <is>
          <t>2025-07-14</t>
        </is>
      </c>
      <c r="P369" s="33" t="inlineStr"/>
      <c r="Q369" s="43" t="inlineStr">
        <is>
          <t>No FFF change =&gt; No marking needed</t>
        </is>
      </c>
      <c r="R369" s="43" t="inlineStr">
        <is>
          <t>2025-05-16</t>
        </is>
      </c>
      <c r="S369" s="43" t="inlineStr">
        <is>
          <t>2025-05-28</t>
        </is>
      </c>
      <c r="T369" s="43" t="inlineStr"/>
      <c r="U369" s="43" t="inlineStr"/>
    </row>
    <row r="370">
      <c r="A370" s="43" t="n">
        <v>370</v>
      </c>
      <c r="B370" s="43" t="inlineStr">
        <is>
          <t>369</t>
        </is>
      </c>
      <c r="C370" s="43" t="inlineStr">
        <is>
          <t>FJZP</t>
        </is>
      </c>
      <c r="D370" s="43" t="inlineStr">
        <is>
          <t>Cisco</t>
        </is>
      </c>
      <c r="E370" s="43" t="inlineStr">
        <is>
          <t>MCGA</t>
        </is>
      </c>
      <c r="F370" s="43" t="inlineStr">
        <is>
          <t>035-CVEBU</t>
        </is>
      </c>
      <c r="G370" s="43" t="inlineStr">
        <is>
          <t>CTANJZ04609</t>
        </is>
      </c>
      <c r="H370" s="43" t="inlineStr">
        <is>
          <t>For temporary part/material substitution (EXTENDABLE)</t>
        </is>
      </c>
      <c r="I370" s="43" t="inlineStr">
        <is>
          <t>Customer Deviation</t>
        </is>
      </c>
      <c r="J370" s="43" t="inlineStr">
        <is>
          <t>DP524872</t>
        </is>
      </c>
      <c r="K370" s="33" t="inlineStr">
        <is>
          <t>DP524872 CVEBU;Taylor73-103720-03 -04 PCA;TAYLOR HIGH MODULE WITH MICRON 16GB LPDDR5  73-103820-03 -04 PCA;TAYLOR HIGH MODULE WITH HYNIX 16GB LPDDR5  73-103920-03 -04 PCA;TAYLOR LOW MODULE WITH MICRON 16GB LPDDR573-103922-03 -04 PCA;TAYLOR LOW MODULE WITH HYNIX 16GB LPDDR5  In BOMs; refdes U1515-11134-01 IC-LIN;VREG;SHUNT;SOT233;ADJ;0.5%;I-TEMPDeplete stock: ONSEMI TLV431BSN1T1GQualified: ST  TS3431BILTQualified: ST TLVH431AIL3TQualified: TI TLVH431BIDBZRQualified: TI TLVH431BQDBZRQ1Until further notice; Foxconn shall avoid using theST Micro TS3431BILT alternate as it pulls a higher shunt current than the other alternates. This part gives a bigger variation to the voltage ICT measures at TP50. See the attached FFF comparsion by Mouser and a small snip from the schematic.</t>
        </is>
      </c>
      <c r="L370" s="43" t="inlineStr">
        <is>
          <t>Expired</t>
        </is>
      </c>
      <c r="M370" s="43" t="inlineStr">
        <is>
          <t>73-103920-03</t>
        </is>
      </c>
      <c r="N370" s="43" t="inlineStr"/>
      <c r="O370" s="43" t="inlineStr">
        <is>
          <t>2025-07-14</t>
        </is>
      </c>
      <c r="P370" s="33" t="inlineStr"/>
      <c r="Q370" s="43" t="inlineStr">
        <is>
          <t>No FFF change =&gt; No marking needed</t>
        </is>
      </c>
      <c r="R370" s="43" t="inlineStr">
        <is>
          <t>2025-05-16</t>
        </is>
      </c>
      <c r="S370" s="43" t="inlineStr">
        <is>
          <t>2025-05-28</t>
        </is>
      </c>
      <c r="T370" s="43" t="inlineStr"/>
      <c r="U370" s="43" t="inlineStr"/>
    </row>
    <row r="371">
      <c r="A371" s="43" t="n">
        <v>371</v>
      </c>
      <c r="B371" s="43" t="inlineStr">
        <is>
          <t>370</t>
        </is>
      </c>
      <c r="C371" s="43" t="inlineStr">
        <is>
          <t>FJZP</t>
        </is>
      </c>
      <c r="D371" s="43" t="inlineStr">
        <is>
          <t>Cisco</t>
        </is>
      </c>
      <c r="E371" s="43" t="inlineStr">
        <is>
          <t>MCGA</t>
        </is>
      </c>
      <c r="F371" s="43" t="inlineStr">
        <is>
          <t>035-CVEBU</t>
        </is>
      </c>
      <c r="G371" s="43" t="inlineStr">
        <is>
          <t>CTANJZ04609</t>
        </is>
      </c>
      <c r="H371" s="43" t="inlineStr">
        <is>
          <t>For temporary part/material substitution (EXTENDABLE)</t>
        </is>
      </c>
      <c r="I371" s="43" t="inlineStr">
        <is>
          <t>Customer Deviation</t>
        </is>
      </c>
      <c r="J371" s="43" t="inlineStr">
        <is>
          <t>DP524872</t>
        </is>
      </c>
      <c r="K371" s="33" t="inlineStr">
        <is>
          <t>DP524872 CVEBU;Taylor73-103720-03 -04 PCA;TAYLOR HIGH MODULE WITH MICRON 16GB LPDDR5  73-103820-03 -04 PCA;TAYLOR HIGH MODULE WITH HYNIX 16GB LPDDR5  73-103920-03 -04 PCA;TAYLOR LOW MODULE WITH MICRON 16GB LPDDR573-103922-03 -04 PCA;TAYLOR LOW MODULE WITH HYNIX 16GB LPDDR5  In BOMs; refdes U1515-11134-01 IC-LIN;VREG;SHUNT;SOT233;ADJ;0.5%;I-TEMPDeplete stock: ONSEMI TLV431BSN1T1GQualified: ST  TS3431BILTQualified: ST TLVH431AIL3TQualified: TI TLVH431BIDBZRQualified: TI TLVH431BQDBZRQ1Until further notice; Foxconn shall avoid using theST Micro TS3431BILT alternate as it pulls a higher shunt current than the other alternates. This part gives a bigger variation to the voltage ICT measures at TP50. See the attached FFF comparsion by Mouser and a small snip from the schematic.</t>
        </is>
      </c>
      <c r="L371" s="43" t="inlineStr">
        <is>
          <t>Expired</t>
        </is>
      </c>
      <c r="M371" s="43" t="inlineStr">
        <is>
          <t>73-103922-03</t>
        </is>
      </c>
      <c r="N371" s="43" t="inlineStr"/>
      <c r="O371" s="43" t="inlineStr">
        <is>
          <t>2025-07-14</t>
        </is>
      </c>
      <c r="P371" s="33" t="inlineStr"/>
      <c r="Q371" s="43" t="inlineStr">
        <is>
          <t>No FFF change =&gt; No marking needed</t>
        </is>
      </c>
      <c r="R371" s="43" t="inlineStr">
        <is>
          <t>2025-05-16</t>
        </is>
      </c>
      <c r="S371" s="43" t="inlineStr">
        <is>
          <t>2025-05-28</t>
        </is>
      </c>
      <c r="T371" s="43" t="inlineStr"/>
      <c r="U371" s="43" t="inlineStr"/>
    </row>
    <row r="372">
      <c r="A372" s="43" t="n">
        <v>372</v>
      </c>
      <c r="B372" s="43" t="inlineStr">
        <is>
          <t>371</t>
        </is>
      </c>
      <c r="C372" s="43" t="inlineStr">
        <is>
          <t>FJZP</t>
        </is>
      </c>
      <c r="D372" s="43" t="inlineStr">
        <is>
          <t>Cisco</t>
        </is>
      </c>
      <c r="E372" s="43" t="inlineStr">
        <is>
          <t>MCGA</t>
        </is>
      </c>
      <c r="F372" s="43" t="inlineStr">
        <is>
          <t>035-CVEBU</t>
        </is>
      </c>
      <c r="G372" s="43" t="inlineStr">
        <is>
          <t>CTANJZ04706</t>
        </is>
      </c>
      <c r="H372" s="43" t="inlineStr">
        <is>
          <t>For temporary part/material substitution (EXTENDABLE)</t>
        </is>
      </c>
      <c r="I372" s="43" t="inlineStr">
        <is>
          <t>Customer Deviation</t>
        </is>
      </c>
      <c r="J372" s="43" t="inlineStr">
        <is>
          <t>DP525064</t>
        </is>
      </c>
      <c r="K372" s="33" t="inlineStr">
        <is>
          <t>DP525064 This deviation allows FJZ to build 68-104855-01 with several deviations that are listed in attached Document.</t>
        </is>
      </c>
      <c r="L372" s="43" t="inlineStr">
        <is>
          <t>Expired</t>
        </is>
      </c>
      <c r="M372" s="43" t="inlineStr">
        <is>
          <t>341-101700-01</t>
        </is>
      </c>
      <c r="N372" s="43" t="inlineStr"/>
      <c r="O372" s="43" t="inlineStr">
        <is>
          <t>2025-08-31</t>
        </is>
      </c>
      <c r="P372" s="33" t="inlineStr"/>
      <c r="Q372" s="43" t="inlineStr">
        <is>
          <t>DV1-unit</t>
        </is>
      </c>
      <c r="R372" s="43" t="inlineStr">
        <is>
          <t>2025-07-03</t>
        </is>
      </c>
      <c r="S372" s="43" t="inlineStr">
        <is>
          <t>2025-07-15</t>
        </is>
      </c>
      <c r="T372" s="43" t="inlineStr"/>
      <c r="U372" s="43" t="inlineStr"/>
    </row>
    <row r="373">
      <c r="A373" s="43" t="n">
        <v>373</v>
      </c>
      <c r="B373" s="43" t="inlineStr">
        <is>
          <t>372</t>
        </is>
      </c>
      <c r="C373" s="43" t="inlineStr">
        <is>
          <t>FJZP</t>
        </is>
      </c>
      <c r="D373" s="43" t="inlineStr">
        <is>
          <t>Cisco</t>
        </is>
      </c>
      <c r="E373" s="43" t="inlineStr">
        <is>
          <t>MCGA</t>
        </is>
      </c>
      <c r="F373" s="43" t="inlineStr">
        <is>
          <t>035-CVEBU</t>
        </is>
      </c>
      <c r="G373" s="43" t="inlineStr">
        <is>
          <t>CTANJZ04706</t>
        </is>
      </c>
      <c r="H373" s="43" t="inlineStr">
        <is>
          <t>For temporary part/material substitution (EXTENDABLE)</t>
        </is>
      </c>
      <c r="I373" s="43" t="inlineStr">
        <is>
          <t>Customer Deviation</t>
        </is>
      </c>
      <c r="J373" s="43" t="inlineStr">
        <is>
          <t>DP525064</t>
        </is>
      </c>
      <c r="K373" s="33" t="inlineStr">
        <is>
          <t>DP525064 This deviation allows FJZ to build 68-104855-01 with several deviations that are listed in attached Document.</t>
        </is>
      </c>
      <c r="L373" s="43" t="inlineStr">
        <is>
          <t>Expired</t>
        </is>
      </c>
      <c r="M373" s="43" t="inlineStr">
        <is>
          <t>51-103504-01</t>
        </is>
      </c>
      <c r="N373" s="43" t="inlineStr"/>
      <c r="O373" s="43" t="inlineStr">
        <is>
          <t>2025-08-31</t>
        </is>
      </c>
      <c r="P373" s="33" t="inlineStr"/>
      <c r="Q373" s="43" t="inlineStr">
        <is>
          <t>DV1-unit</t>
        </is>
      </c>
      <c r="R373" s="43" t="inlineStr">
        <is>
          <t>2025-07-03</t>
        </is>
      </c>
      <c r="S373" s="43" t="inlineStr">
        <is>
          <t>2025-07-15</t>
        </is>
      </c>
      <c r="T373" s="43" t="inlineStr"/>
      <c r="U373" s="43" t="inlineStr"/>
    </row>
    <row r="374">
      <c r="A374" s="43" t="n">
        <v>374</v>
      </c>
      <c r="B374" s="43" t="inlineStr">
        <is>
          <t>373</t>
        </is>
      </c>
      <c r="C374" s="43" t="inlineStr">
        <is>
          <t>FJZP</t>
        </is>
      </c>
      <c r="D374" s="43" t="inlineStr">
        <is>
          <t>Cisco</t>
        </is>
      </c>
      <c r="E374" s="43" t="inlineStr">
        <is>
          <t>MCGA</t>
        </is>
      </c>
      <c r="F374" s="43" t="inlineStr">
        <is>
          <t>035-CVEBU</t>
        </is>
      </c>
      <c r="G374" s="43" t="inlineStr">
        <is>
          <t>CTANJZ04706</t>
        </is>
      </c>
      <c r="H374" s="43" t="inlineStr">
        <is>
          <t>For temporary part/material substitution (EXTENDABLE)</t>
        </is>
      </c>
      <c r="I374" s="43" t="inlineStr">
        <is>
          <t>Customer Deviation</t>
        </is>
      </c>
      <c r="J374" s="43" t="inlineStr">
        <is>
          <t>DP525064</t>
        </is>
      </c>
      <c r="K374" s="33" t="inlineStr">
        <is>
          <t>DP525064 This deviation allows FJZ to build 68-104855-01 with several deviations that are listed in attached Document.</t>
        </is>
      </c>
      <c r="L374" s="43" t="inlineStr">
        <is>
          <t>Expired</t>
        </is>
      </c>
      <c r="M374" s="43" t="inlineStr">
        <is>
          <t>68-104855-01</t>
        </is>
      </c>
      <c r="N374" s="43" t="inlineStr"/>
      <c r="O374" s="43" t="inlineStr">
        <is>
          <t>2025-08-31</t>
        </is>
      </c>
      <c r="P374" s="33" t="inlineStr"/>
      <c r="Q374" s="43" t="inlineStr">
        <is>
          <t>DV1-unit</t>
        </is>
      </c>
      <c r="R374" s="43" t="inlineStr">
        <is>
          <t>2025-07-03</t>
        </is>
      </c>
      <c r="S374" s="43" t="inlineStr">
        <is>
          <t>2025-07-15</t>
        </is>
      </c>
      <c r="T374" s="43" t="inlineStr"/>
      <c r="U374" s="43" t="inlineStr"/>
    </row>
    <row r="375">
      <c r="A375" s="43" t="n">
        <v>375</v>
      </c>
      <c r="B375" s="43" t="inlineStr">
        <is>
          <t>374</t>
        </is>
      </c>
      <c r="C375" s="43" t="inlineStr">
        <is>
          <t>FJZP</t>
        </is>
      </c>
      <c r="D375" s="43" t="inlineStr">
        <is>
          <t>Cisco</t>
        </is>
      </c>
      <c r="E375" s="43" t="inlineStr">
        <is>
          <t>MCGA</t>
        </is>
      </c>
      <c r="F375" s="43" t="inlineStr">
        <is>
          <t>035-CVEBU</t>
        </is>
      </c>
      <c r="G375" s="43" t="inlineStr">
        <is>
          <t>CTANJZ04706</t>
        </is>
      </c>
      <c r="H375" s="43" t="inlineStr">
        <is>
          <t>For temporary part/material substitution (EXTENDABLE)</t>
        </is>
      </c>
      <c r="I375" s="43" t="inlineStr">
        <is>
          <t>Customer Deviation</t>
        </is>
      </c>
      <c r="J375" s="43" t="inlineStr">
        <is>
          <t>DP525064</t>
        </is>
      </c>
      <c r="K375" s="33" t="inlineStr">
        <is>
          <t>DP525064 This deviation allows FJZ to build 68-104855-01 with several deviations that are listed in attached Document.</t>
        </is>
      </c>
      <c r="L375" s="43" t="inlineStr">
        <is>
          <t>Expired</t>
        </is>
      </c>
      <c r="M375" s="43" t="inlineStr">
        <is>
          <t>700-137369-01</t>
        </is>
      </c>
      <c r="N375" s="43" t="inlineStr"/>
      <c r="O375" s="43" t="inlineStr">
        <is>
          <t>2025-08-31</t>
        </is>
      </c>
      <c r="P375" s="33" t="inlineStr"/>
      <c r="Q375" s="43" t="inlineStr">
        <is>
          <t>DV1-unit</t>
        </is>
      </c>
      <c r="R375" s="43" t="inlineStr">
        <is>
          <t>2025-07-03</t>
        </is>
      </c>
      <c r="S375" s="43" t="inlineStr">
        <is>
          <t>2025-07-15</t>
        </is>
      </c>
      <c r="T375" s="43" t="inlineStr"/>
      <c r="U375" s="43" t="inlineStr"/>
    </row>
    <row r="376">
      <c r="A376" s="43" t="n">
        <v>376</v>
      </c>
      <c r="B376" s="43" t="inlineStr">
        <is>
          <t>375</t>
        </is>
      </c>
      <c r="C376" s="43" t="inlineStr">
        <is>
          <t>FJZP</t>
        </is>
      </c>
      <c r="D376" s="43" t="inlineStr">
        <is>
          <t>Cisco</t>
        </is>
      </c>
      <c r="E376" s="43" t="inlineStr">
        <is>
          <t>MCGA</t>
        </is>
      </c>
      <c r="F376" s="43" t="inlineStr">
        <is>
          <t>035-CVEBU</t>
        </is>
      </c>
      <c r="G376" s="43" t="inlineStr">
        <is>
          <t>CTANJZ04706</t>
        </is>
      </c>
      <c r="H376" s="43" t="inlineStr">
        <is>
          <t>For temporary part/material substitution (EXTENDABLE)</t>
        </is>
      </c>
      <c r="I376" s="43" t="inlineStr">
        <is>
          <t>Customer Deviation</t>
        </is>
      </c>
      <c r="J376" s="43" t="inlineStr">
        <is>
          <t>DP525064</t>
        </is>
      </c>
      <c r="K376" s="33" t="inlineStr">
        <is>
          <t>DP525064 This deviation allows FJZ to build 68-104855-01 with several deviations that are listed in attached Document.</t>
        </is>
      </c>
      <c r="L376" s="43" t="inlineStr">
        <is>
          <t>Expired</t>
        </is>
      </c>
      <c r="M376" s="43" t="inlineStr">
        <is>
          <t>700-137370-01</t>
        </is>
      </c>
      <c r="N376" s="43" t="inlineStr"/>
      <c r="O376" s="43" t="inlineStr">
        <is>
          <t>2025-08-31</t>
        </is>
      </c>
      <c r="P376" s="33" t="inlineStr"/>
      <c r="Q376" s="43" t="inlineStr">
        <is>
          <t>DV1-unit</t>
        </is>
      </c>
      <c r="R376" s="43" t="inlineStr">
        <is>
          <t>2025-07-03</t>
        </is>
      </c>
      <c r="S376" s="43" t="inlineStr">
        <is>
          <t>2025-07-15</t>
        </is>
      </c>
      <c r="T376" s="43" t="inlineStr"/>
      <c r="U376" s="43" t="inlineStr"/>
    </row>
    <row r="377">
      <c r="A377" s="43" t="n">
        <v>377</v>
      </c>
      <c r="B377" s="43" t="inlineStr">
        <is>
          <t>376</t>
        </is>
      </c>
      <c r="C377" s="43" t="inlineStr">
        <is>
          <t>FJZP</t>
        </is>
      </c>
      <c r="D377" s="43" t="inlineStr">
        <is>
          <t>Cisco</t>
        </is>
      </c>
      <c r="E377" s="43" t="inlineStr">
        <is>
          <t>MCGA</t>
        </is>
      </c>
      <c r="F377" s="43" t="inlineStr">
        <is>
          <t>034-IOTBU</t>
        </is>
      </c>
      <c r="G377" s="43" t="inlineStr">
        <is>
          <t>CTANJZ04478</t>
        </is>
      </c>
      <c r="H377" s="43" t="inlineStr">
        <is>
          <t>For temporary part/material substitution (EXTENDABLE)</t>
        </is>
      </c>
      <c r="I377" s="43" t="inlineStr">
        <is>
          <t>Customer Deviation</t>
        </is>
      </c>
      <c r="J377" s="43" t="inlineStr">
        <is>
          <t>DP524571</t>
        </is>
      </c>
      <c r="K377" s="33" t="inlineStr">
        <is>
          <t>DP524571IOTBU:KITTY HAWK:PP: Substitute 25-1289-01 for 25-100271-01 on the Carrier PCA (73-103150-03) which report to the following CPNs:.800-111160-01 ASY;ELMECH;ENG DEVELOPMENT;CHASSIS;KITTY HAWK..68-104003-01 FNLASY;ENG DEVELOPMENT;W/KH INSTALLED;KITTY HAWK.800-112601-01 ASY;ELMECH;MFG TEST;CHASSIS;KITTY HAWK..68-104601-01 FNLASY;MFG TEST;W/O KH INSTALLED;KITTY HAWKNote: We are purchasing; building  and shipping to the 68- levels</t>
        </is>
      </c>
      <c r="L377" s="43" t="inlineStr">
        <is>
          <t>Expired</t>
        </is>
      </c>
      <c r="M377" s="43" t="inlineStr">
        <is>
          <t>68-104003-01</t>
        </is>
      </c>
      <c r="N377" s="43" t="inlineStr"/>
      <c r="O377" s="43" t="inlineStr">
        <is>
          <t>2025-04-28</t>
        </is>
      </c>
      <c r="P377" s="33" t="inlineStr"/>
      <c r="Q377" s="43" t="inlineStr">
        <is>
          <t>Mark PCA with label that exhibits this Deviation Prototype Number</t>
        </is>
      </c>
      <c r="R377" s="43" t="inlineStr">
        <is>
          <t>2025-02-28</t>
        </is>
      </c>
      <c r="S377" s="43" t="inlineStr">
        <is>
          <t>2025-03-07</t>
        </is>
      </c>
      <c r="T377" s="43" t="inlineStr"/>
      <c r="U377" s="43" t="inlineStr"/>
    </row>
    <row r="378">
      <c r="A378" s="43" t="n">
        <v>378</v>
      </c>
      <c r="B378" s="43" t="inlineStr">
        <is>
          <t>377</t>
        </is>
      </c>
      <c r="C378" s="43" t="inlineStr">
        <is>
          <t>FJZP</t>
        </is>
      </c>
      <c r="D378" s="43" t="inlineStr">
        <is>
          <t>Cisco</t>
        </is>
      </c>
      <c r="E378" s="43" t="inlineStr">
        <is>
          <t>MCGA</t>
        </is>
      </c>
      <c r="F378" s="43" t="inlineStr">
        <is>
          <t>034-IOTBU</t>
        </is>
      </c>
      <c r="G378" s="43" t="inlineStr">
        <is>
          <t>CTANJZ04478</t>
        </is>
      </c>
      <c r="H378" s="43" t="inlineStr">
        <is>
          <t>For temporary part/material substitution (EXTENDABLE)</t>
        </is>
      </c>
      <c r="I378" s="43" t="inlineStr">
        <is>
          <t>Customer Deviation</t>
        </is>
      </c>
      <c r="J378" s="43" t="inlineStr">
        <is>
          <t>DP524571</t>
        </is>
      </c>
      <c r="K378" s="33" t="inlineStr">
        <is>
          <t>DP524571IOTBU:KITTY HAWK:PP: Substitute 25-1289-01 for 25-100271-01 on the Carrier PCA (73-103150-03) which report to the following CPNs:.800-111160-01 ASY;ELMECH;ENG DEVELOPMENT;CHASSIS;KITTY HAWK..68-104003-01 FNLASY;ENG DEVELOPMENT;W/KH INSTALLED;KITTY HAWK.800-112601-01 ASY;ELMECH;MFG TEST;CHASSIS;KITTY HAWK..68-104601-01 FNLASY;MFG TEST;W/O KH INSTALLED;KITTY HAWKNote: We are purchasing; building  and shipping to the 68- levels</t>
        </is>
      </c>
      <c r="L378" s="43" t="inlineStr">
        <is>
          <t>Expired</t>
        </is>
      </c>
      <c r="M378" s="43" t="inlineStr">
        <is>
          <t>68-104601-01</t>
        </is>
      </c>
      <c r="N378" s="43" t="inlineStr"/>
      <c r="O378" s="43" t="inlineStr">
        <is>
          <t>2025-04-28</t>
        </is>
      </c>
      <c r="P378" s="33" t="inlineStr"/>
      <c r="Q378" s="43" t="inlineStr">
        <is>
          <t>Mark PCA with label that exhibits this Deviation Prototype Number</t>
        </is>
      </c>
      <c r="R378" s="43" t="inlineStr">
        <is>
          <t>2025-02-28</t>
        </is>
      </c>
      <c r="S378" s="43" t="inlineStr">
        <is>
          <t>2025-03-07</t>
        </is>
      </c>
      <c r="T378" s="43" t="inlineStr"/>
      <c r="U378" s="43" t="inlineStr"/>
    </row>
    <row r="379">
      <c r="A379" s="43" t="n">
        <v>379</v>
      </c>
      <c r="B379" s="43" t="inlineStr">
        <is>
          <t>378</t>
        </is>
      </c>
      <c r="C379" s="43" t="inlineStr">
        <is>
          <t>FJZP</t>
        </is>
      </c>
      <c r="D379" s="43" t="inlineStr">
        <is>
          <t>Cisco</t>
        </is>
      </c>
      <c r="E379" s="43" t="inlineStr">
        <is>
          <t>MCGA</t>
        </is>
      </c>
      <c r="F379" s="43" t="inlineStr">
        <is>
          <t>034-IOTBU</t>
        </is>
      </c>
      <c r="G379" s="43" t="inlineStr">
        <is>
          <t>CTANJZ04478</t>
        </is>
      </c>
      <c r="H379" s="43" t="inlineStr">
        <is>
          <t>For temporary part/material substitution (EXTENDABLE)</t>
        </is>
      </c>
      <c r="I379" s="43" t="inlineStr">
        <is>
          <t>Customer Deviation</t>
        </is>
      </c>
      <c r="J379" s="43" t="inlineStr">
        <is>
          <t>DP524571</t>
        </is>
      </c>
      <c r="K379" s="33" t="inlineStr">
        <is>
          <t>DP524571IOTBU:KITTY HAWK:PP: Substitute 25-1289-01 for 25-100271-01 on the Carrier PCA (73-103150-03) which report to the following CPNs:.800-111160-01 ASY;ELMECH;ENG DEVELOPMENT;CHASSIS;KITTY HAWK..68-104003-01 FNLASY;ENG DEVELOPMENT;W/KH INSTALLED;KITTY HAWK.800-112601-01 ASY;ELMECH;MFG TEST;CHASSIS;KITTY HAWK..68-104601-01 FNLASY;MFG TEST;W/O KH INSTALLED;KITTY HAWKNote: We are purchasing; building  and shipping to the 68- levels</t>
        </is>
      </c>
      <c r="L379" s="43" t="inlineStr">
        <is>
          <t>Expired</t>
        </is>
      </c>
      <c r="M379" s="43" t="inlineStr">
        <is>
          <t>73-103150-03</t>
        </is>
      </c>
      <c r="N379" s="43" t="inlineStr"/>
      <c r="O379" s="43" t="inlineStr">
        <is>
          <t>2025-04-28</t>
        </is>
      </c>
      <c r="P379" s="33" t="inlineStr"/>
      <c r="Q379" s="43" t="inlineStr">
        <is>
          <t>Mark PCA with label that exhibits this Deviation Prototype Number</t>
        </is>
      </c>
      <c r="R379" s="43" t="inlineStr">
        <is>
          <t>2025-02-28</t>
        </is>
      </c>
      <c r="S379" s="43" t="inlineStr">
        <is>
          <t>2025-03-07</t>
        </is>
      </c>
      <c r="T379" s="43" t="inlineStr"/>
      <c r="U379" s="43" t="inlineStr"/>
    </row>
    <row r="380">
      <c r="A380" s="43" t="n">
        <v>380</v>
      </c>
      <c r="B380" s="43" t="inlineStr">
        <is>
          <t>379</t>
        </is>
      </c>
      <c r="C380" s="43" t="inlineStr">
        <is>
          <t>FJZP</t>
        </is>
      </c>
      <c r="D380" s="43" t="inlineStr">
        <is>
          <t>Cisco</t>
        </is>
      </c>
      <c r="E380" s="43" t="inlineStr">
        <is>
          <t>MCGA</t>
        </is>
      </c>
      <c r="F380" s="43" t="inlineStr">
        <is>
          <t>034-IOTBU</t>
        </is>
      </c>
      <c r="G380" s="43" t="inlineStr">
        <is>
          <t>CTANJZ04478</t>
        </is>
      </c>
      <c r="H380" s="43" t="inlineStr">
        <is>
          <t>For temporary part/material substitution (EXTENDABLE)</t>
        </is>
      </c>
      <c r="I380" s="43" t="inlineStr">
        <is>
          <t>Customer Deviation</t>
        </is>
      </c>
      <c r="J380" s="43" t="inlineStr">
        <is>
          <t>DP524571</t>
        </is>
      </c>
      <c r="K380" s="33" t="inlineStr">
        <is>
          <t>DP524571IOTBU:KITTY HAWK:PP: Substitute 25-1289-01 for 25-100271-01 on the Carrier PCA (73-103150-03) which report to the following CPNs:.800-111160-01 ASY;ELMECH;ENG DEVELOPMENT;CHASSIS;KITTY HAWK..68-104003-01 FNLASY;ENG DEVELOPMENT;W/KH INSTALLED;KITTY HAWK.800-112601-01 ASY;ELMECH;MFG TEST;CHASSIS;KITTY HAWK..68-104601-01 FNLASY;MFG TEST;W/O KH INSTALLED;KITTY HAWKNote: We are purchasing; building  and shipping to the 68- levels</t>
        </is>
      </c>
      <c r="L380" s="43" t="inlineStr">
        <is>
          <t>Expired</t>
        </is>
      </c>
      <c r="M380" s="43" t="inlineStr">
        <is>
          <t>800-111160-01</t>
        </is>
      </c>
      <c r="N380" s="43" t="inlineStr"/>
      <c r="O380" s="43" t="inlineStr">
        <is>
          <t>2025-04-28</t>
        </is>
      </c>
      <c r="P380" s="33" t="inlineStr"/>
      <c r="Q380" s="43" t="inlineStr">
        <is>
          <t>Mark PCA with label that exhibits this Deviation Prototype Number</t>
        </is>
      </c>
      <c r="R380" s="43" t="inlineStr">
        <is>
          <t>2025-02-28</t>
        </is>
      </c>
      <c r="S380" s="43" t="inlineStr">
        <is>
          <t>2025-03-07</t>
        </is>
      </c>
      <c r="T380" s="43" t="inlineStr"/>
      <c r="U380" s="43" t="inlineStr"/>
    </row>
    <row r="381">
      <c r="A381" s="43" t="n">
        <v>381</v>
      </c>
      <c r="B381" s="43" t="inlineStr">
        <is>
          <t>380</t>
        </is>
      </c>
      <c r="C381" s="43" t="inlineStr">
        <is>
          <t>FJZP</t>
        </is>
      </c>
      <c r="D381" s="43" t="inlineStr">
        <is>
          <t>Cisco</t>
        </is>
      </c>
      <c r="E381" s="43" t="inlineStr">
        <is>
          <t>MCGA</t>
        </is>
      </c>
      <c r="F381" s="43" t="inlineStr">
        <is>
          <t>034-IOTBU</t>
        </is>
      </c>
      <c r="G381" s="43" t="inlineStr">
        <is>
          <t>CTANJZ04478</t>
        </is>
      </c>
      <c r="H381" s="43" t="inlineStr">
        <is>
          <t>For temporary part/material substitution (EXTENDABLE)</t>
        </is>
      </c>
      <c r="I381" s="43" t="inlineStr">
        <is>
          <t>Customer Deviation</t>
        </is>
      </c>
      <c r="J381" s="43" t="inlineStr">
        <is>
          <t>DP524571</t>
        </is>
      </c>
      <c r="K381" s="33" t="inlineStr">
        <is>
          <t>DP524571IOTBU:KITTY HAWK:PP: Substitute 25-1289-01 for 25-100271-01 on the Carrier PCA (73-103150-03) which report to the following CPNs:.800-111160-01 ASY;ELMECH;ENG DEVELOPMENT;CHASSIS;KITTY HAWK..68-104003-01 FNLASY;ENG DEVELOPMENT;W/KH INSTALLED;KITTY HAWK.800-112601-01 ASY;ELMECH;MFG TEST;CHASSIS;KITTY HAWK..68-104601-01 FNLASY;MFG TEST;W/O KH INSTALLED;KITTY HAWKNote: We are purchasing; building  and shipping to the 68- levels</t>
        </is>
      </c>
      <c r="L381" s="43" t="inlineStr">
        <is>
          <t>Expired</t>
        </is>
      </c>
      <c r="M381" s="43" t="inlineStr">
        <is>
          <t>800-112601-01</t>
        </is>
      </c>
      <c r="N381" s="43" t="inlineStr"/>
      <c r="O381" s="43" t="inlineStr">
        <is>
          <t>2025-04-28</t>
        </is>
      </c>
      <c r="P381" s="33" t="inlineStr"/>
      <c r="Q381" s="43" t="inlineStr">
        <is>
          <t>Mark PCA with label that exhibits this Deviation Prototype Number</t>
        </is>
      </c>
      <c r="R381" s="43" t="inlineStr">
        <is>
          <t>2025-02-28</t>
        </is>
      </c>
      <c r="S381" s="43" t="inlineStr">
        <is>
          <t>2025-03-07</t>
        </is>
      </c>
      <c r="T381" s="43" t="inlineStr"/>
      <c r="U381" s="43" t="inlineStr"/>
    </row>
    <row r="382">
      <c r="A382" s="43" t="n">
        <v>382</v>
      </c>
      <c r="B382" s="43" t="inlineStr">
        <is>
          <t>381</t>
        </is>
      </c>
      <c r="C382" s="43" t="inlineStr">
        <is>
          <t>FJZP</t>
        </is>
      </c>
      <c r="D382" s="43" t="inlineStr">
        <is>
          <t>Cisco</t>
        </is>
      </c>
      <c r="E382" s="43" t="inlineStr">
        <is>
          <t>MCGA</t>
        </is>
      </c>
      <c r="F382" s="43" t="inlineStr">
        <is>
          <t>037-STBU</t>
        </is>
      </c>
      <c r="G382" s="43" t="inlineStr">
        <is>
          <t>CTANJZ04733</t>
        </is>
      </c>
      <c r="H382" s="43" t="inlineStr">
        <is>
          <t>To temporarily use parts/materials that do not meet the specifications</t>
        </is>
      </c>
      <c r="I382" s="43" t="inlineStr">
        <is>
          <t>Customer Deviation</t>
        </is>
      </c>
      <c r="J382" s="43" t="inlineStr">
        <is>
          <t>DP525134</t>
        </is>
      </c>
      <c r="K382" s="33" t="inlineStr">
        <is>
          <t>DP525134 FJZ authorized to purchase 15-107726-01 Nanya NT16GA72D8PFX3K-JR which is currently at IPQ status. Please note that HW engineering has completed qualification on both Woodside and Warwick Avenue; and Product Ops will be performing test script support validation in parallel with this risk buy.  Please secure enough inventory to support upcoming Pilot 1; 2 &amp; 3 builds as well as PP build on Model A. (Usage is 4 per Model B/C/D; 2 per Model A)</t>
        </is>
      </c>
      <c r="L382" s="43" t="inlineStr">
        <is>
          <t>Expired</t>
        </is>
      </c>
      <c r="M382" s="43" t="inlineStr">
        <is>
          <t>800-112581-04</t>
        </is>
      </c>
      <c r="N382" s="43" t="inlineStr"/>
      <c r="O382" s="43" t="inlineStr">
        <is>
          <t>2025-09-15</t>
        </is>
      </c>
      <c r="P382" s="33" t="inlineStr">
        <is>
          <t>To temporarily use parts/materials that do not meet the specifications</t>
        </is>
      </c>
      <c r="Q382" s="43" t="inlineStr">
        <is>
          <t>None required</t>
        </is>
      </c>
      <c r="R382" s="43" t="inlineStr">
        <is>
          <t>2025-07-18</t>
        </is>
      </c>
      <c r="S382" s="43" t="inlineStr">
        <is>
          <t>2025-07-25</t>
        </is>
      </c>
      <c r="T382" s="43" t="inlineStr"/>
      <c r="U382" s="43" t="inlineStr"/>
    </row>
    <row r="383">
      <c r="A383" s="43" t="n">
        <v>383</v>
      </c>
      <c r="B383" s="43" t="inlineStr">
        <is>
          <t>382</t>
        </is>
      </c>
      <c r="C383" s="43" t="inlineStr">
        <is>
          <t>FJZP</t>
        </is>
      </c>
      <c r="D383" s="43" t="inlineStr">
        <is>
          <t>Cisco</t>
        </is>
      </c>
      <c r="E383" s="43" t="inlineStr">
        <is>
          <t>MCGA</t>
        </is>
      </c>
      <c r="F383" s="43" t="inlineStr">
        <is>
          <t>037-STBU</t>
        </is>
      </c>
      <c r="G383" s="43" t="inlineStr">
        <is>
          <t>CTANJZ04733</t>
        </is>
      </c>
      <c r="H383" s="43" t="inlineStr">
        <is>
          <t>To temporarily use parts/materials that do not meet the specifications</t>
        </is>
      </c>
      <c r="I383" s="43" t="inlineStr">
        <is>
          <t>Customer Deviation</t>
        </is>
      </c>
      <c r="J383" s="43" t="inlineStr">
        <is>
          <t>DP525134</t>
        </is>
      </c>
      <c r="K383" s="33" t="inlineStr">
        <is>
          <t>DP525134 FJZ authorized to purchase 15-107726-01 Nanya NT16GA72D8PFX3K-JR which is currently at IPQ status. Please note that HW engineering has completed qualification on both Woodside and Warwick Avenue; and Product Ops will be performing test script support validation in parallel with this risk buy.  Please secure enough inventory to support upcoming Pilot 1; 2 &amp; 3 builds as well as PP build on Model A. (Usage is 4 per Model B/C/D; 2 per Model A)</t>
        </is>
      </c>
      <c r="L383" s="43" t="inlineStr">
        <is>
          <t>Expired</t>
        </is>
      </c>
      <c r="M383" s="43" t="inlineStr">
        <is>
          <t>800-112582-04</t>
        </is>
      </c>
      <c r="N383" s="43" t="inlineStr"/>
      <c r="O383" s="43" t="inlineStr">
        <is>
          <t>2025-09-15</t>
        </is>
      </c>
      <c r="P383" s="33" t="inlineStr">
        <is>
          <t>To temporarily use parts/materials that do not meet the specifications</t>
        </is>
      </c>
      <c r="Q383" s="43" t="inlineStr">
        <is>
          <t>None required</t>
        </is>
      </c>
      <c r="R383" s="43" t="inlineStr">
        <is>
          <t>2025-07-18</t>
        </is>
      </c>
      <c r="S383" s="43" t="inlineStr">
        <is>
          <t>2025-07-25</t>
        </is>
      </c>
      <c r="T383" s="43" t="inlineStr"/>
      <c r="U383" s="43" t="inlineStr"/>
    </row>
    <row r="384">
      <c r="A384" s="43" t="n">
        <v>384</v>
      </c>
      <c r="B384" s="43" t="inlineStr">
        <is>
          <t>383</t>
        </is>
      </c>
      <c r="C384" s="43" t="inlineStr">
        <is>
          <t>FJZP</t>
        </is>
      </c>
      <c r="D384" s="43" t="inlineStr">
        <is>
          <t>Cisco</t>
        </is>
      </c>
      <c r="E384" s="43" t="inlineStr">
        <is>
          <t>MCGA</t>
        </is>
      </c>
      <c r="F384" s="43" t="inlineStr">
        <is>
          <t>037-STBU</t>
        </is>
      </c>
      <c r="G384" s="43" t="inlineStr">
        <is>
          <t>CTANJZ04733</t>
        </is>
      </c>
      <c r="H384" s="43" t="inlineStr">
        <is>
          <t>To temporarily use parts/materials that do not meet the specifications</t>
        </is>
      </c>
      <c r="I384" s="43" t="inlineStr">
        <is>
          <t>Customer Deviation</t>
        </is>
      </c>
      <c r="J384" s="43" t="inlineStr">
        <is>
          <t>DP525134</t>
        </is>
      </c>
      <c r="K384" s="33" t="inlineStr">
        <is>
          <t>DP525134 FJZ authorized to purchase 15-107726-01 Nanya NT16GA72D8PFX3K-JR which is currently at IPQ status. Please note that HW engineering has completed qualification on both Woodside and Warwick Avenue; and Product Ops will be performing test script support validation in parallel with this risk buy.  Please secure enough inventory to support upcoming Pilot 1; 2 &amp; 3 builds as well as PP build on Model A. (Usage is 4 per Model B/C/D; 2 per Model A)</t>
        </is>
      </c>
      <c r="L384" s="43" t="inlineStr">
        <is>
          <t>Expired</t>
        </is>
      </c>
      <c r="M384" s="43" t="inlineStr">
        <is>
          <t>800-112583-04</t>
        </is>
      </c>
      <c r="N384" s="43" t="inlineStr"/>
      <c r="O384" s="43" t="inlineStr">
        <is>
          <t>2025-09-15</t>
        </is>
      </c>
      <c r="P384" s="33" t="inlineStr">
        <is>
          <t>To temporarily use parts/materials that do not meet the specifications</t>
        </is>
      </c>
      <c r="Q384" s="43" t="inlineStr">
        <is>
          <t>None required</t>
        </is>
      </c>
      <c r="R384" s="43" t="inlineStr">
        <is>
          <t>2025-07-18</t>
        </is>
      </c>
      <c r="S384" s="43" t="inlineStr">
        <is>
          <t>2025-07-25</t>
        </is>
      </c>
      <c r="T384" s="43" t="inlineStr"/>
      <c r="U384" s="43" t="inlineStr"/>
    </row>
    <row r="385">
      <c r="A385" s="43" t="n">
        <v>385</v>
      </c>
      <c r="B385" s="43" t="inlineStr">
        <is>
          <t>384</t>
        </is>
      </c>
      <c r="C385" s="43" t="inlineStr">
        <is>
          <t>FJZP</t>
        </is>
      </c>
      <c r="D385" s="43" t="inlineStr">
        <is>
          <t>Cisco</t>
        </is>
      </c>
      <c r="E385" s="43" t="inlineStr">
        <is>
          <t>MCGA</t>
        </is>
      </c>
      <c r="F385" s="43" t="inlineStr">
        <is>
          <t>035-CVEBU</t>
        </is>
      </c>
      <c r="G385" s="43" t="inlineStr">
        <is>
          <t>CTANJZ04706</t>
        </is>
      </c>
      <c r="H385" s="43" t="inlineStr">
        <is>
          <t>For temporary part/material substitution (EXTENDABLE)</t>
        </is>
      </c>
      <c r="I385" s="43" t="inlineStr">
        <is>
          <t>Customer Deviation</t>
        </is>
      </c>
      <c r="J385" s="43" t="inlineStr">
        <is>
          <t>DP525064</t>
        </is>
      </c>
      <c r="K385" s="33" t="inlineStr">
        <is>
          <t>DP525064 This deviation allows FJZ to build 68-104855-01 with several deviations that are listed in attached Document.</t>
        </is>
      </c>
      <c r="L385" s="43" t="inlineStr">
        <is>
          <t>Expired</t>
        </is>
      </c>
      <c r="M385" s="43" t="inlineStr">
        <is>
          <t>700-137371-01</t>
        </is>
      </c>
      <c r="N385" s="43" t="inlineStr"/>
      <c r="O385" s="43" t="inlineStr">
        <is>
          <t>2025-08-31</t>
        </is>
      </c>
      <c r="P385" s="33" t="inlineStr"/>
      <c r="Q385" s="43" t="inlineStr">
        <is>
          <t>DV1-unit</t>
        </is>
      </c>
      <c r="R385" s="43" t="inlineStr">
        <is>
          <t>2025-07-03</t>
        </is>
      </c>
      <c r="S385" s="43" t="inlineStr">
        <is>
          <t>2025-07-15</t>
        </is>
      </c>
      <c r="T385" s="43" t="inlineStr"/>
      <c r="U385" s="43" t="inlineStr"/>
    </row>
    <row r="386">
      <c r="A386" s="43" t="n">
        <v>386</v>
      </c>
      <c r="B386" s="43" t="inlineStr">
        <is>
          <t>385</t>
        </is>
      </c>
      <c r="C386" s="43" t="inlineStr">
        <is>
          <t>FJZP</t>
        </is>
      </c>
      <c r="D386" s="43" t="inlineStr">
        <is>
          <t>Cisco</t>
        </is>
      </c>
      <c r="E386" s="43" t="inlineStr">
        <is>
          <t>MCGA</t>
        </is>
      </c>
      <c r="F386" s="43" t="inlineStr">
        <is>
          <t>035-CVEBU</t>
        </is>
      </c>
      <c r="G386" s="43" t="inlineStr">
        <is>
          <t>CTANJZ04706</t>
        </is>
      </c>
      <c r="H386" s="43" t="inlineStr">
        <is>
          <t>For temporary part/material substitution (EXTENDABLE)</t>
        </is>
      </c>
      <c r="I386" s="43" t="inlineStr">
        <is>
          <t>Customer Deviation</t>
        </is>
      </c>
      <c r="J386" s="43" t="inlineStr">
        <is>
          <t>DP525064</t>
        </is>
      </c>
      <c r="K386" s="33" t="inlineStr">
        <is>
          <t>DP525064 This deviation allows FJZ to build 68-104855-01 with several deviations that are listed in attached Document.</t>
        </is>
      </c>
      <c r="L386" s="43" t="inlineStr">
        <is>
          <t>Expired</t>
        </is>
      </c>
      <c r="M386" s="43" t="inlineStr">
        <is>
          <t>700-137397-01</t>
        </is>
      </c>
      <c r="N386" s="43" t="inlineStr"/>
      <c r="O386" s="43" t="inlineStr">
        <is>
          <t>2025-08-31</t>
        </is>
      </c>
      <c r="P386" s="33" t="inlineStr"/>
      <c r="Q386" s="43" t="inlineStr">
        <is>
          <t>DV1-unit</t>
        </is>
      </c>
      <c r="R386" s="43" t="inlineStr">
        <is>
          <t>2025-07-03</t>
        </is>
      </c>
      <c r="S386" s="43" t="inlineStr">
        <is>
          <t>2025-07-15</t>
        </is>
      </c>
      <c r="T386" s="43" t="inlineStr"/>
      <c r="U386" s="43" t="inlineStr"/>
    </row>
    <row r="387">
      <c r="A387" s="43" t="n">
        <v>387</v>
      </c>
      <c r="B387" s="43" t="inlineStr">
        <is>
          <t>386</t>
        </is>
      </c>
      <c r="C387" s="43" t="inlineStr">
        <is>
          <t>FJZP</t>
        </is>
      </c>
      <c r="D387" s="43" t="inlineStr">
        <is>
          <t>Cisco</t>
        </is>
      </c>
      <c r="E387" s="43" t="inlineStr">
        <is>
          <t>MCGA</t>
        </is>
      </c>
      <c r="F387" s="43" t="inlineStr">
        <is>
          <t>035-CVEBU</t>
        </is>
      </c>
      <c r="G387" s="43" t="inlineStr">
        <is>
          <t>CTANJZ04706</t>
        </is>
      </c>
      <c r="H387" s="43" t="inlineStr">
        <is>
          <t>For temporary part/material substitution (EXTENDABLE)</t>
        </is>
      </c>
      <c r="I387" s="43" t="inlineStr">
        <is>
          <t>Customer Deviation</t>
        </is>
      </c>
      <c r="J387" s="43" t="inlineStr">
        <is>
          <t>DP525064</t>
        </is>
      </c>
      <c r="K387" s="33" t="inlineStr">
        <is>
          <t>DP525064 This deviation allows FJZ to build 68-104855-01 with several deviations that are listed in attached Document.</t>
        </is>
      </c>
      <c r="L387" s="43" t="inlineStr">
        <is>
          <t>Expired</t>
        </is>
      </c>
      <c r="M387" s="43" t="inlineStr">
        <is>
          <t>700-137497-01</t>
        </is>
      </c>
      <c r="N387" s="43" t="inlineStr"/>
      <c r="O387" s="43" t="inlineStr">
        <is>
          <t>2025-08-31</t>
        </is>
      </c>
      <c r="P387" s="33" t="inlineStr"/>
      <c r="Q387" s="43" t="inlineStr">
        <is>
          <t>DV1-unit</t>
        </is>
      </c>
      <c r="R387" s="43" t="inlineStr">
        <is>
          <t>2025-07-03</t>
        </is>
      </c>
      <c r="S387" s="43" t="inlineStr">
        <is>
          <t>2025-07-15</t>
        </is>
      </c>
      <c r="T387" s="43" t="inlineStr"/>
      <c r="U387" s="43" t="inlineStr"/>
    </row>
    <row r="388">
      <c r="A388" s="43" t="n">
        <v>388</v>
      </c>
      <c r="B388" s="43" t="inlineStr">
        <is>
          <t>387</t>
        </is>
      </c>
      <c r="C388" s="43" t="inlineStr">
        <is>
          <t>FJZP</t>
        </is>
      </c>
      <c r="D388" s="43" t="inlineStr">
        <is>
          <t>Cisco</t>
        </is>
      </c>
      <c r="E388" s="43" t="inlineStr">
        <is>
          <t>MCGA</t>
        </is>
      </c>
      <c r="F388" s="43" t="inlineStr">
        <is>
          <t>035-CVEBU</t>
        </is>
      </c>
      <c r="G388" s="43" t="inlineStr">
        <is>
          <t>CTANJZ04706</t>
        </is>
      </c>
      <c r="H388" s="43" t="inlineStr">
        <is>
          <t>For temporary part/material substitution (EXTENDABLE)</t>
        </is>
      </c>
      <c r="I388" s="43" t="inlineStr">
        <is>
          <t>Customer Deviation</t>
        </is>
      </c>
      <c r="J388" s="43" t="inlineStr">
        <is>
          <t>DP525064</t>
        </is>
      </c>
      <c r="K388" s="33" t="inlineStr">
        <is>
          <t>DP525064 This deviation allows FJZ to build 68-104855-01 with several deviations that are listed in attached Document.</t>
        </is>
      </c>
      <c r="L388" s="43" t="inlineStr">
        <is>
          <t>Expired</t>
        </is>
      </c>
      <c r="M388" s="43" t="inlineStr">
        <is>
          <t>700-137718-01</t>
        </is>
      </c>
      <c r="N388" s="43" t="inlineStr"/>
      <c r="O388" s="43" t="inlineStr">
        <is>
          <t>2025-08-31</t>
        </is>
      </c>
      <c r="P388" s="33" t="inlineStr"/>
      <c r="Q388" s="43" t="inlineStr">
        <is>
          <t>DV1-unit</t>
        </is>
      </c>
      <c r="R388" s="43" t="inlineStr">
        <is>
          <t>2025-07-03</t>
        </is>
      </c>
      <c r="S388" s="43" t="inlineStr">
        <is>
          <t>2025-07-15</t>
        </is>
      </c>
      <c r="T388" s="43" t="inlineStr"/>
      <c r="U388" s="43" t="inlineStr"/>
    </row>
    <row r="389">
      <c r="A389" s="43" t="n">
        <v>389</v>
      </c>
      <c r="B389" s="43" t="inlineStr">
        <is>
          <t>388</t>
        </is>
      </c>
      <c r="C389" s="43" t="inlineStr">
        <is>
          <t>FJZP</t>
        </is>
      </c>
      <c r="D389" s="43" t="inlineStr">
        <is>
          <t>Cisco</t>
        </is>
      </c>
      <c r="E389" s="43" t="inlineStr">
        <is>
          <t>MCGA</t>
        </is>
      </c>
      <c r="F389" s="43" t="inlineStr">
        <is>
          <t>035-CVEBU</t>
        </is>
      </c>
      <c r="G389" s="43" t="inlineStr">
        <is>
          <t>CTANJZ04706</t>
        </is>
      </c>
      <c r="H389" s="43" t="inlineStr">
        <is>
          <t>For temporary part/material substitution (EXTENDABLE)</t>
        </is>
      </c>
      <c r="I389" s="43" t="inlineStr">
        <is>
          <t>Customer Deviation</t>
        </is>
      </c>
      <c r="J389" s="43" t="inlineStr">
        <is>
          <t>DP525064</t>
        </is>
      </c>
      <c r="K389" s="33" t="inlineStr">
        <is>
          <t>DP525064 This deviation allows FJZ to build 68-104855-01 with several deviations that are listed in attached Document.</t>
        </is>
      </c>
      <c r="L389" s="43" t="inlineStr">
        <is>
          <t>Expired</t>
        </is>
      </c>
      <c r="M389" s="43" t="inlineStr">
        <is>
          <t>700-138278-01</t>
        </is>
      </c>
      <c r="N389" s="43" t="inlineStr"/>
      <c r="O389" s="43" t="inlineStr">
        <is>
          <t>2025-08-31</t>
        </is>
      </c>
      <c r="P389" s="33" t="inlineStr"/>
      <c r="Q389" s="43" t="inlineStr">
        <is>
          <t>DV1-unit</t>
        </is>
      </c>
      <c r="R389" s="43" t="inlineStr">
        <is>
          <t>2025-07-03</t>
        </is>
      </c>
      <c r="S389" s="43" t="inlineStr">
        <is>
          <t>2025-07-15</t>
        </is>
      </c>
      <c r="T389" s="43" t="inlineStr"/>
      <c r="U389" s="43" t="inlineStr"/>
    </row>
    <row r="390">
      <c r="A390" s="43" t="n">
        <v>390</v>
      </c>
      <c r="B390" s="43" t="inlineStr">
        <is>
          <t>389</t>
        </is>
      </c>
      <c r="C390" s="43" t="inlineStr">
        <is>
          <t>FJZP</t>
        </is>
      </c>
      <c r="D390" s="43" t="inlineStr">
        <is>
          <t>Cisco</t>
        </is>
      </c>
      <c r="E390" s="43" t="inlineStr">
        <is>
          <t>MCGA</t>
        </is>
      </c>
      <c r="F390" s="43" t="inlineStr">
        <is>
          <t>035-CVEBU</t>
        </is>
      </c>
      <c r="G390" s="43" t="inlineStr">
        <is>
          <t>CTANJZ04706</t>
        </is>
      </c>
      <c r="H390" s="43" t="inlineStr">
        <is>
          <t>For temporary part/material substitution (EXTENDABLE)</t>
        </is>
      </c>
      <c r="I390" s="43" t="inlineStr">
        <is>
          <t>Customer Deviation</t>
        </is>
      </c>
      <c r="J390" s="43" t="inlineStr">
        <is>
          <t>DP525064</t>
        </is>
      </c>
      <c r="K390" s="33" t="inlineStr">
        <is>
          <t>DP525064 This deviation allows FJZ to build 68-104855-01 with several deviations that are listed in attached Document.</t>
        </is>
      </c>
      <c r="L390" s="43" t="inlineStr">
        <is>
          <t>Expired</t>
        </is>
      </c>
      <c r="M390" s="43" t="inlineStr">
        <is>
          <t>700-138987-01</t>
        </is>
      </c>
      <c r="N390" s="43" t="inlineStr"/>
      <c r="O390" s="43" t="inlineStr">
        <is>
          <t>2025-08-31</t>
        </is>
      </c>
      <c r="P390" s="33" t="inlineStr"/>
      <c r="Q390" s="43" t="inlineStr">
        <is>
          <t>DV1-unit</t>
        </is>
      </c>
      <c r="R390" s="43" t="inlineStr">
        <is>
          <t>2025-07-03</t>
        </is>
      </c>
      <c r="S390" s="43" t="inlineStr">
        <is>
          <t>2025-07-15</t>
        </is>
      </c>
      <c r="T390" s="43" t="inlineStr"/>
      <c r="U390" s="43" t="inlineStr"/>
    </row>
    <row r="391">
      <c r="A391" s="43" t="n">
        <v>391</v>
      </c>
      <c r="B391" s="43" t="inlineStr">
        <is>
          <t>390</t>
        </is>
      </c>
      <c r="C391" s="43" t="inlineStr">
        <is>
          <t>FJZP</t>
        </is>
      </c>
      <c r="D391" s="43" t="inlineStr">
        <is>
          <t>Cisco</t>
        </is>
      </c>
      <c r="E391" s="43" t="inlineStr">
        <is>
          <t>MCGA</t>
        </is>
      </c>
      <c r="F391" s="43" t="inlineStr">
        <is>
          <t>035-CVEBU</t>
        </is>
      </c>
      <c r="G391" s="43" t="inlineStr">
        <is>
          <t>CTANJZ04706</t>
        </is>
      </c>
      <c r="H391" s="43" t="inlineStr">
        <is>
          <t>For temporary part/material substitution (EXTENDABLE)</t>
        </is>
      </c>
      <c r="I391" s="43" t="inlineStr">
        <is>
          <t>Customer Deviation</t>
        </is>
      </c>
      <c r="J391" s="43" t="inlineStr">
        <is>
          <t>DP525064</t>
        </is>
      </c>
      <c r="K391" s="33" t="inlineStr">
        <is>
          <t>DP525064 This deviation allows FJZ to build 68-104855-01 with several deviations that are listed in attached Document.</t>
        </is>
      </c>
      <c r="L391" s="43" t="inlineStr">
        <is>
          <t>Expired</t>
        </is>
      </c>
      <c r="M391" s="43" t="inlineStr">
        <is>
          <t>73-103698-04</t>
        </is>
      </c>
      <c r="N391" s="43" t="inlineStr"/>
      <c r="O391" s="43" t="inlineStr">
        <is>
          <t>2025-08-31</t>
        </is>
      </c>
      <c r="P391" s="33" t="inlineStr"/>
      <c r="Q391" s="43" t="inlineStr">
        <is>
          <t>DV1-unit</t>
        </is>
      </c>
      <c r="R391" s="43" t="inlineStr">
        <is>
          <t>2025-07-03</t>
        </is>
      </c>
      <c r="S391" s="43" t="inlineStr">
        <is>
          <t>2025-07-15</t>
        </is>
      </c>
      <c r="T391" s="43" t="inlineStr"/>
      <c r="U391" s="43" t="inlineStr"/>
    </row>
    <row r="392">
      <c r="A392" s="43" t="n">
        <v>392</v>
      </c>
      <c r="B392" s="43" t="inlineStr">
        <is>
          <t>391</t>
        </is>
      </c>
      <c r="C392" s="43" t="inlineStr">
        <is>
          <t>FJZP</t>
        </is>
      </c>
      <c r="D392" s="43" t="inlineStr">
        <is>
          <t>Cisco</t>
        </is>
      </c>
      <c r="E392" s="43" t="inlineStr">
        <is>
          <t>MCGA</t>
        </is>
      </c>
      <c r="F392" s="43" t="inlineStr">
        <is>
          <t>035-CVEBU</t>
        </is>
      </c>
      <c r="G392" s="43" t="inlineStr">
        <is>
          <t>CTANJZ04706</t>
        </is>
      </c>
      <c r="H392" s="43" t="inlineStr">
        <is>
          <t>For temporary part/material substitution (EXTENDABLE)</t>
        </is>
      </c>
      <c r="I392" s="43" t="inlineStr">
        <is>
          <t>Customer Deviation</t>
        </is>
      </c>
      <c r="J392" s="43" t="inlineStr">
        <is>
          <t>DP525064</t>
        </is>
      </c>
      <c r="K392" s="33" t="inlineStr">
        <is>
          <t>DP525064 This deviation allows FJZ to build 68-104855-01 with several deviations that are listed in attached Document.</t>
        </is>
      </c>
      <c r="L392" s="43" t="inlineStr">
        <is>
          <t>Expired</t>
        </is>
      </c>
      <c r="M392" s="43" t="inlineStr">
        <is>
          <t>73-103758-03</t>
        </is>
      </c>
      <c r="N392" s="43" t="inlineStr"/>
      <c r="O392" s="43" t="inlineStr">
        <is>
          <t>2025-08-31</t>
        </is>
      </c>
      <c r="P392" s="33" t="inlineStr"/>
      <c r="Q392" s="43" t="inlineStr">
        <is>
          <t>DV1-unit</t>
        </is>
      </c>
      <c r="R392" s="43" t="inlineStr">
        <is>
          <t>2025-07-03</t>
        </is>
      </c>
      <c r="S392" s="43" t="inlineStr">
        <is>
          <t>2025-07-15</t>
        </is>
      </c>
      <c r="T392" s="43" t="inlineStr"/>
      <c r="U392" s="43" t="inlineStr"/>
    </row>
    <row r="393">
      <c r="A393" s="43" t="n">
        <v>393</v>
      </c>
      <c r="B393" s="43" t="inlineStr">
        <is>
          <t>392</t>
        </is>
      </c>
      <c r="C393" s="43" t="inlineStr">
        <is>
          <t>FJZP</t>
        </is>
      </c>
      <c r="D393" s="43" t="inlineStr">
        <is>
          <t>Cisco</t>
        </is>
      </c>
      <c r="E393" s="43" t="inlineStr">
        <is>
          <t>MCGA</t>
        </is>
      </c>
      <c r="F393" s="43" t="inlineStr">
        <is>
          <t>035-CVEBU</t>
        </is>
      </c>
      <c r="G393" s="43" t="inlineStr">
        <is>
          <t>CTANJZ04641</t>
        </is>
      </c>
      <c r="H393" s="43" t="inlineStr">
        <is>
          <t>For temporary part/material substitution (EXTENDABLE)</t>
        </is>
      </c>
      <c r="I393" s="43" t="inlineStr">
        <is>
          <t>Customer Deviation</t>
        </is>
      </c>
      <c r="J393" s="43" t="inlineStr">
        <is>
          <t>D604196</t>
        </is>
      </c>
      <c r="K393" s="33" t="inlineStr">
        <is>
          <t>D604196 CVEBUPWR-CORD-IND-F Power Cord for India 5m 10A  PWR-CORD-IND-F= Power Cord for India 5m 10A  SPAREIn BOMs:37-100881-02 POWER CORD;India;STRANDED;250.0 V;6.0 A;5M;GREY;3x 1.0 mm2IPQ: Feller 5122-FE0-0-5100IPQ: Volex  VLX-37-100881-02-MP3PWR-CORD-IND-B Power Cord for India 2m 10A  PWR-CORD-IND-B= Power Cord for India 2m 10A  SPARE37-100894-02 OWER CORD;India;STRANDED;250.0 V;6.0 A;2M;GREY;3x 1.0 mm2IPQ: Volex VLX-37-100894-02-MP3DF and BTS sites are allowed to start sourcing non-China power cords for India which is still in IPQ.</t>
        </is>
      </c>
      <c r="L393" s="43" t="inlineStr">
        <is>
          <t>Expired</t>
        </is>
      </c>
      <c r="M393" s="43" t="inlineStr">
        <is>
          <t>37-100881-02</t>
        </is>
      </c>
      <c r="N393" s="43" t="inlineStr"/>
      <c r="O393" s="43" t="inlineStr">
        <is>
          <t>2025-09-01</t>
        </is>
      </c>
      <c r="P393" s="33" t="inlineStr">
        <is>
          <t>For temporary part/material substitution (EXTENDABLE 2x)</t>
        </is>
      </c>
      <c r="Q393" s="43" t="inlineStr">
        <is>
          <t>No FFF change =&gt; No marking needed.</t>
        </is>
      </c>
      <c r="R393" s="43" t="inlineStr">
        <is>
          <t>2025-06-04</t>
        </is>
      </c>
      <c r="S393" s="43" t="inlineStr">
        <is>
          <t>2025-06-18</t>
        </is>
      </c>
      <c r="T393" s="43" t="inlineStr"/>
      <c r="U393" s="43" t="inlineStr"/>
    </row>
    <row r="394">
      <c r="A394" s="43" t="n">
        <v>394</v>
      </c>
      <c r="B394" s="43" t="inlineStr">
        <is>
          <t>393</t>
        </is>
      </c>
      <c r="C394" s="43" t="inlineStr">
        <is>
          <t>FJZP</t>
        </is>
      </c>
      <c r="D394" s="43" t="inlineStr">
        <is>
          <t>Cisco</t>
        </is>
      </c>
      <c r="E394" s="43" t="inlineStr">
        <is>
          <t>MCGA</t>
        </is>
      </c>
      <c r="F394" s="43" t="inlineStr">
        <is>
          <t>035-CVEBU</t>
        </is>
      </c>
      <c r="G394" s="43" t="inlineStr">
        <is>
          <t>CTANJZ04641</t>
        </is>
      </c>
      <c r="H394" s="43" t="inlineStr">
        <is>
          <t>For temporary part/material substitution (EXTENDABLE)</t>
        </is>
      </c>
      <c r="I394" s="43" t="inlineStr">
        <is>
          <t>Customer Deviation</t>
        </is>
      </c>
      <c r="J394" s="43" t="inlineStr">
        <is>
          <t>D604196</t>
        </is>
      </c>
      <c r="K394" s="33" t="inlineStr">
        <is>
          <t>D604196 CVEBUPWR-CORD-IND-F Power Cord for India 5m 10A  PWR-CORD-IND-F= Power Cord for India 5m 10A  SPAREIn BOMs:37-100881-02 POWER CORD;India;STRANDED;250.0 V;6.0 A;5M;GREY;3x 1.0 mm2IPQ: Feller 5122-FE0-0-5100IPQ: Volex  VLX-37-100881-02-MP3PWR-CORD-IND-B Power Cord for India 2m 10A  PWR-CORD-IND-B= Power Cord for India 2m 10A  SPARE37-100894-02 OWER CORD;India;STRANDED;250.0 V;6.0 A;2M;GREY;3x 1.0 mm2IPQ: Volex VLX-37-100894-02-MP3DF and BTS sites are allowed to start sourcing non-China power cords for India which is still in IPQ.</t>
        </is>
      </c>
      <c r="L394" s="43" t="inlineStr">
        <is>
          <t>Expired</t>
        </is>
      </c>
      <c r="M394" s="43" t="inlineStr">
        <is>
          <t>37-100894-02</t>
        </is>
      </c>
      <c r="N394" s="43" t="inlineStr"/>
      <c r="O394" s="43" t="inlineStr">
        <is>
          <t>2025-09-01</t>
        </is>
      </c>
      <c r="P394" s="33" t="inlineStr">
        <is>
          <t>For temporary part/material substitution (EXTENDABLE 2x)</t>
        </is>
      </c>
      <c r="Q394" s="43" t="inlineStr">
        <is>
          <t>No FFF change =&gt; No marking needed.</t>
        </is>
      </c>
      <c r="R394" s="43" t="inlineStr">
        <is>
          <t>2025-06-04</t>
        </is>
      </c>
      <c r="S394" s="43" t="inlineStr">
        <is>
          <t>2025-06-18</t>
        </is>
      </c>
      <c r="T394" s="43" t="inlineStr"/>
      <c r="U394" s="43" t="inlineStr"/>
    </row>
    <row r="395">
      <c r="A395" s="43" t="n">
        <v>395</v>
      </c>
      <c r="B395" s="43" t="inlineStr">
        <is>
          <t>394</t>
        </is>
      </c>
      <c r="C395" s="43" t="inlineStr">
        <is>
          <t>FJZP</t>
        </is>
      </c>
      <c r="D395" s="43" t="inlineStr">
        <is>
          <t>Cisco</t>
        </is>
      </c>
      <c r="E395" s="43" t="inlineStr">
        <is>
          <t>MCGA</t>
        </is>
      </c>
      <c r="F395" s="43" t="inlineStr">
        <is>
          <t>018-SRGBU</t>
        </is>
      </c>
      <c r="G395" s="43" t="inlineStr">
        <is>
          <t>CTANJZ04747</t>
        </is>
      </c>
      <c r="H395" s="43" t="inlineStr">
        <is>
          <t>For temporary part/material substitution (EXTENDABLE)</t>
        </is>
      </c>
      <c r="I395" s="43" t="inlineStr">
        <is>
          <t>Customer Deviation</t>
        </is>
      </c>
      <c r="J395" s="43" t="inlineStr">
        <is>
          <t>D605207</t>
        </is>
      </c>
      <c r="K395" s="33" t="inlineStr">
        <is>
          <t>D605207CPN 16-100775-01; Micron MPN MTFDDAK480TGB-1BC16ABYY; must be resized during test from the native capacity of 480GB to the required capacity of 400 GB.CPN 16-100809-01; Micron MPN MTFDDAK240TGA-1BC16ABYY; must be resized during test from the native capacity of 240GB to the required capacity of 100 GB.Please see Page Three for details</t>
        </is>
      </c>
      <c r="L395" s="43" t="inlineStr">
        <is>
          <t>Expired</t>
        </is>
      </c>
      <c r="M395" s="43" t="inlineStr">
        <is>
          <t>16-100775-01</t>
        </is>
      </c>
      <c r="N395" s="43" t="inlineStr"/>
      <c r="O395" s="43" t="inlineStr">
        <is>
          <t>2025-10-23</t>
        </is>
      </c>
      <c r="P395" s="33" t="inlineStr">
        <is>
          <t>For temporary part/material substitution (EXTENDABLE 2x)</t>
        </is>
      </c>
      <c r="Q395" s="43" t="inlineStr">
        <is>
          <t>Mark drives with deviation number; and resized sizeCPN: 16-100775-01; MPN: MTFDDAK480TGB-1BC16ABYY; Resizing: 480GB to 400GBCPN: 16-100809-01; MPN: MTFDDAK240TGA-1BC16ABYY; Resizing: 240GB to 100GB</t>
        </is>
      </c>
      <c r="R395" s="43" t="inlineStr">
        <is>
          <t>2025-07-25</t>
        </is>
      </c>
      <c r="S395" s="43" t="inlineStr">
        <is>
          <t>2025-08-05</t>
        </is>
      </c>
      <c r="T395" s="43" t="inlineStr"/>
      <c r="U395" s="43" t="inlineStr"/>
    </row>
    <row r="396">
      <c r="A396" s="43" t="n">
        <v>396</v>
      </c>
      <c r="B396" s="43" t="inlineStr">
        <is>
          <t>395</t>
        </is>
      </c>
      <c r="C396" s="43" t="inlineStr">
        <is>
          <t>FJZP</t>
        </is>
      </c>
      <c r="D396" s="43" t="inlineStr">
        <is>
          <t>Cisco</t>
        </is>
      </c>
      <c r="E396" s="43" t="inlineStr">
        <is>
          <t>MCGA</t>
        </is>
      </c>
      <c r="F396" s="43" t="inlineStr">
        <is>
          <t>018-SRGBU</t>
        </is>
      </c>
      <c r="G396" s="43" t="inlineStr">
        <is>
          <t>CTANJZ04747</t>
        </is>
      </c>
      <c r="H396" s="43" t="inlineStr">
        <is>
          <t>For temporary part/material substitution (EXTENDABLE)</t>
        </is>
      </c>
      <c r="I396" s="43" t="inlineStr">
        <is>
          <t>Customer Deviation</t>
        </is>
      </c>
      <c r="J396" s="43" t="inlineStr">
        <is>
          <t>D605207</t>
        </is>
      </c>
      <c r="K396" s="33" t="inlineStr">
        <is>
          <t>D605207CPN 16-100775-01; Micron MPN MTFDDAK480TGB-1BC16ABYY; must be resized during test from the native capacity of 480GB to the required capacity of 400 GB.CPN 16-100809-01; Micron MPN MTFDDAK240TGA-1BC16ABYY; must be resized during test from the native capacity of 240GB to the required capacity of 100 GB.Please see Page Three for details</t>
        </is>
      </c>
      <c r="L396" s="43" t="inlineStr">
        <is>
          <t>Expired</t>
        </is>
      </c>
      <c r="M396" s="43" t="inlineStr">
        <is>
          <t>16-100809-01</t>
        </is>
      </c>
      <c r="N396" s="43" t="inlineStr"/>
      <c r="O396" s="43" t="inlineStr">
        <is>
          <t>2025-10-23</t>
        </is>
      </c>
      <c r="P396" s="33" t="inlineStr">
        <is>
          <t>For temporary part/material substitution (EXTENDABLE 2x)</t>
        </is>
      </c>
      <c r="Q396" s="43" t="inlineStr">
        <is>
          <t>Mark drives with deviation number; and resized sizeCPN: 16-100775-01; MPN: MTFDDAK480TGB-1BC16ABYY; Resizing: 480GB to 400GBCPN: 16-100809-01; MPN: MTFDDAK240TGA-1BC16ABYY; Resizing: 240GB to 100GB</t>
        </is>
      </c>
      <c r="R396" s="43" t="inlineStr">
        <is>
          <t>2025-07-25</t>
        </is>
      </c>
      <c r="S396" s="43" t="inlineStr">
        <is>
          <t>2025-08-05</t>
        </is>
      </c>
      <c r="T396" s="43" t="inlineStr"/>
      <c r="U396" s="43" t="inlineStr"/>
    </row>
    <row r="397">
      <c r="A397" s="43" t="n">
        <v>397</v>
      </c>
      <c r="B397" s="43" t="inlineStr">
        <is>
          <t>396</t>
        </is>
      </c>
      <c r="C397" s="43" t="inlineStr">
        <is>
          <t>FJZP</t>
        </is>
      </c>
      <c r="D397" s="43" t="inlineStr">
        <is>
          <t>Cisco</t>
        </is>
      </c>
      <c r="E397" s="43" t="inlineStr">
        <is>
          <t>MCGA</t>
        </is>
      </c>
      <c r="F397" s="43" t="inlineStr">
        <is>
          <t>034-IOTBU</t>
        </is>
      </c>
      <c r="G397" s="43" t="inlineStr">
        <is>
          <t>CTANJZ04523</t>
        </is>
      </c>
      <c r="H397" s="43" t="inlineStr">
        <is>
          <t>For temporary part/material substitution (EXTENDABLE)</t>
        </is>
      </c>
      <c r="I397" s="43" t="inlineStr">
        <is>
          <t>Customer Deviation</t>
        </is>
      </c>
      <c r="J397" s="43" t="inlineStr">
        <is>
          <t>DP524680</t>
        </is>
      </c>
      <c r="K397" s="33" t="inlineStr">
        <is>
          <t>DP524680 IOTBU: Kitty Hawk: PCA 73-103098-03: TAN 68-104004-01:Due to the current size of  the PCA  label on PCBA 73-103098-03 and its adjacency placement to a part (15-110493-01) at Ref Des location U45; it is currently causing soldering challenges. Foxconn has requested that our team decrease the size of the label to help prevent the buildup of solder that results in solder bridges.This Deviation Prototype allows the CM (FJZ) to change the label stock used for the PCBA label from 471-100217-01; to 471-100301-01 for the PP build while we work to make the change permanent for Production.  In addition; at the request of our Mech PE; we are also adding 3 more labels to the TAN level for PP.Therefore; all locations and contents for all labels explain above can be found on the attached file to this Deviation.</t>
        </is>
      </c>
      <c r="L397" s="43" t="inlineStr">
        <is>
          <t>Expired</t>
        </is>
      </c>
      <c r="M397" s="43" t="inlineStr">
        <is>
          <t>68-104004-01</t>
        </is>
      </c>
      <c r="N397" s="43" t="inlineStr"/>
      <c r="O397" s="43" t="inlineStr">
        <is>
          <t>2025-05-24</t>
        </is>
      </c>
      <c r="P397" s="33" t="inlineStr"/>
      <c r="Q397" s="43" t="inlineStr">
        <is>
          <t>Place deviation label on the visible location.</t>
        </is>
      </c>
      <c r="R397" s="43" t="inlineStr">
        <is>
          <t>2025-03-26</t>
        </is>
      </c>
      <c r="S397" s="43" t="inlineStr">
        <is>
          <t>2025-04-04</t>
        </is>
      </c>
      <c r="T397" s="43" t="inlineStr"/>
      <c r="U397" s="43" t="inlineStr"/>
    </row>
    <row r="398">
      <c r="A398" s="43" t="n">
        <v>398</v>
      </c>
      <c r="B398" s="43" t="inlineStr">
        <is>
          <t>397</t>
        </is>
      </c>
      <c r="C398" s="43" t="inlineStr">
        <is>
          <t>FJZP</t>
        </is>
      </c>
      <c r="D398" s="43" t="inlineStr">
        <is>
          <t>Cisco</t>
        </is>
      </c>
      <c r="E398" s="43" t="inlineStr">
        <is>
          <t>MCGA</t>
        </is>
      </c>
      <c r="F398" s="43" t="inlineStr">
        <is>
          <t>034-IOTBU</t>
        </is>
      </c>
      <c r="G398" s="43" t="inlineStr">
        <is>
          <t>CTANJZ04523</t>
        </is>
      </c>
      <c r="H398" s="43" t="inlineStr">
        <is>
          <t>For temporary part/material substitution (EXTENDABLE)</t>
        </is>
      </c>
      <c r="I398" s="43" t="inlineStr">
        <is>
          <t>Customer Deviation</t>
        </is>
      </c>
      <c r="J398" s="43" t="inlineStr">
        <is>
          <t>DP524680</t>
        </is>
      </c>
      <c r="K398" s="33" t="inlineStr">
        <is>
          <t>DP524680 IOTBU: Kitty Hawk: PCA 73-103098-03: TAN 68-104004-01:Due to the current size of  the PCA  label on PCBA 73-103098-03 and its adjacency placement to a part (15-110493-01) at Ref Des location U45; it is currently causing soldering challenges. Foxconn has requested that our team decrease the size of the label to help prevent the buildup of solder that results in solder bridges.This Deviation Prototype allows the CM (FJZ) to change the label stock used for the PCBA label from 471-100217-01; to 471-100301-01 for the PP build while we work to make the change permanent for Production.  In addition; at the request of our Mech PE; we are also adding 3 more labels to the TAN level for PP.Therefore; all locations and contents for all labels explain above can be found on the attached file to this Deviation.</t>
        </is>
      </c>
      <c r="L398" s="43" t="inlineStr">
        <is>
          <t>Expired</t>
        </is>
      </c>
      <c r="M398" s="43" t="inlineStr">
        <is>
          <t>73-103098-03</t>
        </is>
      </c>
      <c r="N398" s="43" t="inlineStr"/>
      <c r="O398" s="43" t="inlineStr">
        <is>
          <t>2025-05-24</t>
        </is>
      </c>
      <c r="P398" s="33" t="inlineStr"/>
      <c r="Q398" s="43" t="inlineStr">
        <is>
          <t>Place deviation label on the visible location.</t>
        </is>
      </c>
      <c r="R398" s="43" t="inlineStr">
        <is>
          <t>2025-03-26</t>
        </is>
      </c>
      <c r="S398" s="43" t="inlineStr">
        <is>
          <t>2025-04-04</t>
        </is>
      </c>
      <c r="T398" s="43" t="inlineStr"/>
      <c r="U398" s="43" t="inlineStr"/>
    </row>
    <row r="399">
      <c r="A399" s="43" t="n">
        <v>399</v>
      </c>
      <c r="B399" s="43" t="inlineStr">
        <is>
          <t>398</t>
        </is>
      </c>
      <c r="C399" s="43" t="inlineStr">
        <is>
          <t>FJZP</t>
        </is>
      </c>
      <c r="D399" s="43" t="inlineStr">
        <is>
          <t>Cisco</t>
        </is>
      </c>
      <c r="E399" s="43" t="inlineStr">
        <is>
          <t>MCGA</t>
        </is>
      </c>
      <c r="F399" s="43" t="inlineStr">
        <is>
          <t>018-SRGBU</t>
        </is>
      </c>
      <c r="G399" s="43" t="inlineStr">
        <is>
          <t>CTANJZ04555</t>
        </is>
      </c>
      <c r="H399" s="43" t="inlineStr">
        <is>
          <t>For temporary part/material substitution (EXTENDABLE)</t>
        </is>
      </c>
      <c r="I399" s="43" t="inlineStr">
        <is>
          <t>Customer Deviation</t>
        </is>
      </c>
      <c r="J399" s="43" t="inlineStr">
        <is>
          <t>D603224</t>
        </is>
      </c>
      <c r="K399" s="33" t="inlineStr">
        <is>
          <t>D603224 SRGBU: Tabei-M/Orion: Authorize all DFs to site Balance (SB) by requesting 16-101937-01 and 16-101938-01 (with FW450 or newer) in replacement of 16-102060-01 and 16-102058-01.Note: if those SSD have older fw version; upgrade to FW450 or newer FW.</t>
        </is>
      </c>
      <c r="L399" s="43" t="inlineStr">
        <is>
          <t>Expired</t>
        </is>
      </c>
      <c r="M399" s="43" t="inlineStr">
        <is>
          <t>16-102058-01</t>
        </is>
      </c>
      <c r="N399" s="43" t="inlineStr"/>
      <c r="O399" s="43" t="inlineStr">
        <is>
          <t>2025-07-07</t>
        </is>
      </c>
      <c r="P399" s="33" t="inlineStr">
        <is>
          <t>For temporary part/material substitution (EXTENDABLE 2x)</t>
        </is>
      </c>
      <c r="Q399" s="43" t="inlineStr">
        <is>
          <t>Label all deviated drives with deviation# and relabell deviated drives as 16-102058-01 and 16-102060-01; accordingly.</t>
        </is>
      </c>
      <c r="R399" s="43" t="inlineStr">
        <is>
          <t>2025-04-09</t>
        </is>
      </c>
      <c r="S399" s="43" t="inlineStr">
        <is>
          <t>2025-04-25</t>
        </is>
      </c>
      <c r="T399" s="43" t="inlineStr"/>
      <c r="U399" s="43" t="inlineStr"/>
    </row>
    <row r="400">
      <c r="A400" s="43" t="n">
        <v>400</v>
      </c>
      <c r="B400" s="43" t="inlineStr">
        <is>
          <t>399</t>
        </is>
      </c>
      <c r="C400" s="43" t="inlineStr">
        <is>
          <t>FJZP</t>
        </is>
      </c>
      <c r="D400" s="43" t="inlineStr">
        <is>
          <t>Cisco</t>
        </is>
      </c>
      <c r="E400" s="43" t="inlineStr">
        <is>
          <t>MCGA</t>
        </is>
      </c>
      <c r="F400" s="43" t="inlineStr">
        <is>
          <t>018-SRGBU</t>
        </is>
      </c>
      <c r="G400" s="43" t="inlineStr">
        <is>
          <t>CTANJZ04555</t>
        </is>
      </c>
      <c r="H400" s="43" t="inlineStr">
        <is>
          <t>For temporary part/material substitution (EXTENDABLE)</t>
        </is>
      </c>
      <c r="I400" s="43" t="inlineStr">
        <is>
          <t>Customer Deviation</t>
        </is>
      </c>
      <c r="J400" s="43" t="inlineStr">
        <is>
          <t>D603224</t>
        </is>
      </c>
      <c r="K400" s="33" t="inlineStr">
        <is>
          <t>D603224 SRGBU: Tabei-M/Orion: Authorize all DFs to site Balance (SB) by requesting 16-101937-01 and 16-101938-01 (with FW450 or newer) in replacement of 16-102060-01 and 16-102058-01.Note: if those SSD have older fw version; upgrade to FW450 or newer FW.</t>
        </is>
      </c>
      <c r="L400" s="43" t="inlineStr">
        <is>
          <t>Expired</t>
        </is>
      </c>
      <c r="M400" s="43" t="inlineStr">
        <is>
          <t>16-102060-01</t>
        </is>
      </c>
      <c r="N400" s="43" t="inlineStr"/>
      <c r="O400" s="43" t="inlineStr">
        <is>
          <t>2025-07-07</t>
        </is>
      </c>
      <c r="P400" s="33" t="inlineStr">
        <is>
          <t>For temporary part/material substitution (EXTENDABLE 2x)</t>
        </is>
      </c>
      <c r="Q400" s="43" t="inlineStr">
        <is>
          <t>Label all deviated drives with deviation# and relabell deviated drives as 16-102058-01 and 16-102060-01; accordingly.</t>
        </is>
      </c>
      <c r="R400" s="43" t="inlineStr">
        <is>
          <t>2025-04-09</t>
        </is>
      </c>
      <c r="S400" s="43" t="inlineStr">
        <is>
          <t>2025-04-25</t>
        </is>
      </c>
      <c r="T400" s="43" t="inlineStr"/>
      <c r="U400" s="43" t="inlineStr"/>
    </row>
    <row r="401">
      <c r="A401" s="43" t="n">
        <v>401</v>
      </c>
      <c r="B401" s="43" t="inlineStr">
        <is>
          <t>400</t>
        </is>
      </c>
      <c r="C401" s="43" t="inlineStr">
        <is>
          <t>FJZP</t>
        </is>
      </c>
      <c r="D401" s="43" t="inlineStr">
        <is>
          <t>Cisco</t>
        </is>
      </c>
      <c r="E401" s="43" t="inlineStr">
        <is>
          <t>MCGA</t>
        </is>
      </c>
      <c r="F401" s="43" t="inlineStr">
        <is>
          <t>018-SRGBU</t>
        </is>
      </c>
      <c r="G401" s="43" t="inlineStr">
        <is>
          <t>CTANJZ04555</t>
        </is>
      </c>
      <c r="H401" s="43" t="inlineStr">
        <is>
          <t>For temporary part/material substitution (EXTENDABLE)</t>
        </is>
      </c>
      <c r="I401" s="43" t="inlineStr">
        <is>
          <t>Customer Deviation</t>
        </is>
      </c>
      <c r="J401" s="43" t="inlineStr">
        <is>
          <t>D603224</t>
        </is>
      </c>
      <c r="K401" s="33" t="inlineStr">
        <is>
          <t>D603224 SRGBU: Tabei-M/Orion: Authorize all DFs to site Balance (SB) by requesting 16-101937-01 and 16-101938-01 (with FW450 or newer) in replacement of 16-102060-01 and 16-102058-01.Note: if those SSD have older fw version; upgrade to FW450 or newer FW.</t>
        </is>
      </c>
      <c r="L401" s="43" t="inlineStr">
        <is>
          <t>Expired</t>
        </is>
      </c>
      <c r="M401" s="43" t="inlineStr">
        <is>
          <t>800-50421-02</t>
        </is>
      </c>
      <c r="N401" s="43" t="inlineStr"/>
      <c r="O401" s="43" t="inlineStr">
        <is>
          <t>2025-07-07</t>
        </is>
      </c>
      <c r="P401" s="33" t="inlineStr">
        <is>
          <t>For temporary part/material substitution (EXTENDABLE 2x)</t>
        </is>
      </c>
      <c r="Q401" s="43" t="inlineStr">
        <is>
          <t>Label all deviated drives with deviation# and relabell deviated drives as 16-102058-01 and 16-102060-01; accordingly.</t>
        </is>
      </c>
      <c r="R401" s="43" t="inlineStr">
        <is>
          <t>2025-04-09</t>
        </is>
      </c>
      <c r="S401" s="43" t="inlineStr">
        <is>
          <t>2025-04-25</t>
        </is>
      </c>
      <c r="T401" s="43" t="inlineStr"/>
      <c r="U401" s="43" t="inlineStr"/>
    </row>
    <row r="402">
      <c r="A402" s="43" t="n">
        <v>402</v>
      </c>
      <c r="B402" s="43" t="inlineStr">
        <is>
          <t>401</t>
        </is>
      </c>
      <c r="C402" s="43" t="inlineStr">
        <is>
          <t>FJZP</t>
        </is>
      </c>
      <c r="D402" s="43" t="inlineStr">
        <is>
          <t>Cisco</t>
        </is>
      </c>
      <c r="E402" s="43" t="inlineStr">
        <is>
          <t>MCGA</t>
        </is>
      </c>
      <c r="F402" s="43" t="inlineStr">
        <is>
          <t>018-SRGBU</t>
        </is>
      </c>
      <c r="G402" s="43" t="inlineStr">
        <is>
          <t>CTANJZ04555</t>
        </is>
      </c>
      <c r="H402" s="43" t="inlineStr">
        <is>
          <t>For temporary part/material substitution (EXTENDABLE)</t>
        </is>
      </c>
      <c r="I402" s="43" t="inlineStr">
        <is>
          <t>Customer Deviation</t>
        </is>
      </c>
      <c r="J402" s="43" t="inlineStr">
        <is>
          <t>D603224</t>
        </is>
      </c>
      <c r="K402" s="33" t="inlineStr">
        <is>
          <t>D603224 SRGBU: Tabei-M/Orion: Authorize all DFs to site Balance (SB) by requesting 16-101937-01 and 16-101938-01 (with FW450 or newer) in replacement of 16-102060-01 and 16-102058-01.Note: if those SSD have older fw version; upgrade to FW450 or newer FW.</t>
        </is>
      </c>
      <c r="L402" s="43" t="inlineStr">
        <is>
          <t>Expired</t>
        </is>
      </c>
      <c r="M402" s="43" t="inlineStr">
        <is>
          <t>800-50422-02</t>
        </is>
      </c>
      <c r="N402" s="43" t="inlineStr"/>
      <c r="O402" s="43" t="inlineStr">
        <is>
          <t>2025-07-07</t>
        </is>
      </c>
      <c r="P402" s="33" t="inlineStr">
        <is>
          <t>For temporary part/material substitution (EXTENDABLE 2x)</t>
        </is>
      </c>
      <c r="Q402" s="43" t="inlineStr">
        <is>
          <t>Label all deviated drives with deviation# and relabell deviated drives as 16-102058-01 and 16-102060-01; accordingly.</t>
        </is>
      </c>
      <c r="R402" s="43" t="inlineStr">
        <is>
          <t>2025-04-09</t>
        </is>
      </c>
      <c r="S402" s="43" t="inlineStr">
        <is>
          <t>2025-04-25</t>
        </is>
      </c>
      <c r="T402" s="43" t="inlineStr"/>
      <c r="U402" s="43" t="inlineStr"/>
    </row>
    <row r="403">
      <c r="A403" s="43" t="n">
        <v>403</v>
      </c>
      <c r="B403" s="43" t="inlineStr">
        <is>
          <t>402</t>
        </is>
      </c>
      <c r="C403" s="43" t="inlineStr">
        <is>
          <t>FJZP</t>
        </is>
      </c>
      <c r="D403" s="43" t="inlineStr">
        <is>
          <t>Cisco</t>
        </is>
      </c>
      <c r="E403" s="43" t="inlineStr">
        <is>
          <t>MCGA</t>
        </is>
      </c>
      <c r="F403" s="43" t="inlineStr">
        <is>
          <t>035-CVEBU</t>
        </is>
      </c>
      <c r="G403" s="43" t="inlineStr">
        <is>
          <t>CTANJZ04801</t>
        </is>
      </c>
      <c r="H403" s="43" t="inlineStr">
        <is>
          <t>To temporarily use parts/materials that do not meet the specifications</t>
        </is>
      </c>
      <c r="I403" s="43" t="inlineStr">
        <is>
          <t>Customer Deviation</t>
        </is>
      </c>
      <c r="J403" s="43" t="inlineStr">
        <is>
          <t>D605868</t>
        </is>
      </c>
      <c r="K403" s="33" t="inlineStr">
        <is>
          <t>D605868 CVEBU;Taylor73-103720-04 PCA;TAYLOR HIGH MODULE WITH MICRON 16GB LPDDR5    73-103820-04 PCA;TAYLOR HIGH MODULE WITH HYNIX 16GB LPDDR5    73-103920-04 PCA;TAYLOR LOW MODULE WITH MICRON 16GB LPDDR5  73-103922-04 PCA;TAYLOR LOW MODULE WITH HYNIX 16GB LPDDR5In BOMs20pcsRefdes C80;C85;C572;C686;C687;C690;C691;C692;C693;C694;C695;C740;C741;C794;C67_A;C68_A;C69_A;C67_B;C68_B;C69_B11-3700-01 CAP;CE;10pF;25V;+/-0.5pF;C0G;SM;0201in;MX HGT 0.33mm;PB-FREE;A-TEMP (-40 to 125'C)  Qualified: Murata GRM0335C1E100JA01 (30%) From Mouser 10k pcs with DC1902Qualified: Yageo IC0201J_NPO8BN100 (50%)Qualified: Union    CL0201NPO100JW    (20%)1 pcsRefdes C80711-101945-01 CAP;CE;56.0pF;25.0 V;5.0%;C0G/NP0;SM;0201;0.33mmH;-55 to 125 C  Qualified: Murata GRM0335C1E560JA01 (30%) From Mouser 1k pcs with DC2126Qualified: Yageo  IC0201JNPO8BN560  (70%)FJZ is hereby allowed to source the 10k + 1k  pcs of these two 0201 capacitors with old date code.Before usage; feeding these old DC capacitors into MP volume; a solderability test report shall provided to Cisco CVEBU.</t>
        </is>
      </c>
      <c r="L403" s="43" t="inlineStr">
        <is>
          <t>Expired</t>
        </is>
      </c>
      <c r="M403" s="43" t="inlineStr">
        <is>
          <t>11-101945-01</t>
        </is>
      </c>
      <c r="N403" s="43" t="inlineStr"/>
      <c r="O403" s="43" t="inlineStr">
        <is>
          <t>2025-11-30</t>
        </is>
      </c>
      <c r="P403" s="33" t="inlineStr">
        <is>
          <t>To temporarily use parts/materials that do not meet the specifications</t>
        </is>
      </c>
      <c r="Q403" s="43" t="inlineStr">
        <is>
          <t>No FFF change =&gt; No marking needed</t>
        </is>
      </c>
      <c r="R403" s="43" t="inlineStr">
        <is>
          <t>2025-09-02</t>
        </is>
      </c>
      <c r="S403" s="43" t="inlineStr">
        <is>
          <t>2025-09-17</t>
        </is>
      </c>
      <c r="T403" s="43" t="inlineStr"/>
      <c r="U403" s="43" t="inlineStr"/>
    </row>
    <row r="404">
      <c r="A404" s="43" t="n">
        <v>404</v>
      </c>
      <c r="B404" s="43" t="inlineStr">
        <is>
          <t>403</t>
        </is>
      </c>
      <c r="C404" s="43" t="inlineStr">
        <is>
          <t>FJZP</t>
        </is>
      </c>
      <c r="D404" s="43" t="inlineStr">
        <is>
          <t>Cisco</t>
        </is>
      </c>
      <c r="E404" s="43" t="inlineStr">
        <is>
          <t>MCGA</t>
        </is>
      </c>
      <c r="F404" s="43" t="inlineStr">
        <is>
          <t>035-CVEBU</t>
        </is>
      </c>
      <c r="G404" s="43" t="inlineStr">
        <is>
          <t>CTANJZ04801</t>
        </is>
      </c>
      <c r="H404" s="43" t="inlineStr">
        <is>
          <t>To temporarily use parts/materials that do not meet the specifications</t>
        </is>
      </c>
      <c r="I404" s="43" t="inlineStr">
        <is>
          <t>Customer Deviation</t>
        </is>
      </c>
      <c r="J404" s="43" t="inlineStr">
        <is>
          <t>D605868</t>
        </is>
      </c>
      <c r="K404" s="33" t="inlineStr">
        <is>
          <t>D605868 CVEBU;Taylor73-103720-04 PCA;TAYLOR HIGH MODULE WITH MICRON 16GB LPDDR5    73-103820-04 PCA;TAYLOR HIGH MODULE WITH HYNIX 16GB LPDDR5    73-103920-04 PCA;TAYLOR LOW MODULE WITH MICRON 16GB LPDDR5  73-103922-04 PCA;TAYLOR LOW MODULE WITH HYNIX 16GB LPDDR5In BOMs20pcsRefdes C80;C85;C572;C686;C687;C690;C691;C692;C693;C694;C695;C740;C741;C794;C67_A;C68_A;C69_A;C67_B;C68_B;C69_B11-3700-01 CAP;CE;10pF;25V;+/-0.5pF;C0G;SM;0201in;MX HGT 0.33mm;PB-FREE;A-TEMP (-40 to 125'C)  Qualified: Murata GRM0335C1E100JA01 (30%) From Mouser 10k pcs with DC1902Qualified: Yageo IC0201J_NPO8BN100 (50%)Qualified: Union    CL0201NPO100JW    (20%)1 pcsRefdes C80711-101945-01 CAP;CE;56.0pF;25.0 V;5.0%;C0G/NP0;SM;0201;0.33mmH;-55 to 125 C  Qualified: Murata GRM0335C1E560JA01 (30%) From Mouser 1k pcs with DC2126Qualified: Yageo  IC0201JNPO8BN560  (70%)FJZ is hereby allowed to source the 10k + 1k  pcs of these two 0201 capacitors with old date code.Before usage; feeding these old DC capacitors into MP volume; a solderability test report shall provided to Cisco CVEBU.</t>
        </is>
      </c>
      <c r="L404" s="43" t="inlineStr">
        <is>
          <t>Expired</t>
        </is>
      </c>
      <c r="M404" s="43" t="inlineStr">
        <is>
          <t>11-3700-01</t>
        </is>
      </c>
      <c r="N404" s="43" t="inlineStr"/>
      <c r="O404" s="43" t="inlineStr">
        <is>
          <t>2025-11-30</t>
        </is>
      </c>
      <c r="P404" s="33" t="inlineStr">
        <is>
          <t>To temporarily use parts/materials that do not meet the specifications</t>
        </is>
      </c>
      <c r="Q404" s="43" t="inlineStr">
        <is>
          <t>No FFF change =&gt; No marking needed</t>
        </is>
      </c>
      <c r="R404" s="43" t="inlineStr">
        <is>
          <t>2025-09-02</t>
        </is>
      </c>
      <c r="S404" s="43" t="inlineStr">
        <is>
          <t>2025-09-17</t>
        </is>
      </c>
      <c r="T404" s="43" t="inlineStr"/>
      <c r="U404" s="43" t="inlineStr"/>
    </row>
    <row r="405">
      <c r="A405" s="43" t="n">
        <v>405</v>
      </c>
      <c r="B405" s="43" t="inlineStr">
        <is>
          <t>404</t>
        </is>
      </c>
      <c r="C405" s="43" t="inlineStr">
        <is>
          <t>FJZP</t>
        </is>
      </c>
      <c r="D405" s="43" t="inlineStr">
        <is>
          <t>Cisco</t>
        </is>
      </c>
      <c r="E405" s="43" t="inlineStr">
        <is>
          <t>MCGA</t>
        </is>
      </c>
      <c r="F405" s="43" t="inlineStr">
        <is>
          <t>035-CVEBU</t>
        </is>
      </c>
      <c r="G405" s="43" t="inlineStr">
        <is>
          <t>CTANJZ04801</t>
        </is>
      </c>
      <c r="H405" s="43" t="inlineStr">
        <is>
          <t>To temporarily use parts/materials that do not meet the specifications</t>
        </is>
      </c>
      <c r="I405" s="43" t="inlineStr">
        <is>
          <t>Customer Deviation</t>
        </is>
      </c>
      <c r="J405" s="43" t="inlineStr">
        <is>
          <t>D605868</t>
        </is>
      </c>
      <c r="K405" s="33" t="inlineStr">
        <is>
          <t>D605868 CVEBU;Taylor73-103720-04 PCA;TAYLOR HIGH MODULE WITH MICRON 16GB LPDDR5    73-103820-04 PCA;TAYLOR HIGH MODULE WITH HYNIX 16GB LPDDR5    73-103920-04 PCA;TAYLOR LOW MODULE WITH MICRON 16GB LPDDR5  73-103922-04 PCA;TAYLOR LOW MODULE WITH HYNIX 16GB LPDDR5In BOMs20pcsRefdes C80;C85;C572;C686;C687;C690;C691;C692;C693;C694;C695;C740;C741;C794;C67_A;C68_A;C69_A;C67_B;C68_B;C69_B11-3700-01 CAP;CE;10pF;25V;+/-0.5pF;C0G;SM;0201in;MX HGT 0.33mm;PB-FREE;A-TEMP (-40 to 125'C)  Qualified: Murata GRM0335C1E100JA01 (30%) From Mouser 10k pcs with DC1902Qualified: Yageo IC0201J_NPO8BN100 (50%)Qualified: Union    CL0201NPO100JW    (20%)1 pcsRefdes C80711-101945-01 CAP;CE;56.0pF;25.0 V;5.0%;C0G/NP0;SM;0201;0.33mmH;-55 to 125 C  Qualified: Murata GRM0335C1E560JA01 (30%) From Mouser 1k pcs with DC2126Qualified: Yageo  IC0201JNPO8BN560  (70%)FJZ is hereby allowed to source the 10k + 1k  pcs of these two 0201 capacitors with old date code.Before usage; feeding these old DC capacitors into MP volume; a solderability test report shall provided to Cisco CVEBU.</t>
        </is>
      </c>
      <c r="L405" s="43" t="inlineStr">
        <is>
          <t>Expired</t>
        </is>
      </c>
      <c r="M405" s="43" t="inlineStr">
        <is>
          <t>73-103720-04</t>
        </is>
      </c>
      <c r="N405" s="43" t="inlineStr"/>
      <c r="O405" s="43" t="inlineStr">
        <is>
          <t>2025-11-30</t>
        </is>
      </c>
      <c r="P405" s="33" t="inlineStr">
        <is>
          <t>To temporarily use parts/materials that do not meet the specifications</t>
        </is>
      </c>
      <c r="Q405" s="43" t="inlineStr">
        <is>
          <t>No FFF change =&gt; No marking needed</t>
        </is>
      </c>
      <c r="R405" s="43" t="inlineStr">
        <is>
          <t>2025-09-02</t>
        </is>
      </c>
      <c r="S405" s="43" t="inlineStr">
        <is>
          <t>2025-09-17</t>
        </is>
      </c>
      <c r="T405" s="43" t="inlineStr"/>
      <c r="U405" s="43" t="inlineStr"/>
    </row>
    <row r="406">
      <c r="A406" s="43" t="n">
        <v>406</v>
      </c>
      <c r="B406" s="43" t="inlineStr">
        <is>
          <t>405</t>
        </is>
      </c>
      <c r="C406" s="43" t="inlineStr">
        <is>
          <t>FJZP</t>
        </is>
      </c>
      <c r="D406" s="43" t="inlineStr">
        <is>
          <t>Cisco</t>
        </is>
      </c>
      <c r="E406" s="43" t="inlineStr">
        <is>
          <t>MCGA</t>
        </is>
      </c>
      <c r="F406" s="43" t="inlineStr">
        <is>
          <t>035-CVEBU</t>
        </is>
      </c>
      <c r="G406" s="43" t="inlineStr">
        <is>
          <t>CTANJZ04801</t>
        </is>
      </c>
      <c r="H406" s="43" t="inlineStr">
        <is>
          <t>To temporarily use parts/materials that do not meet the specifications</t>
        </is>
      </c>
      <c r="I406" s="43" t="inlineStr">
        <is>
          <t>Customer Deviation</t>
        </is>
      </c>
      <c r="J406" s="43" t="inlineStr">
        <is>
          <t>D605868</t>
        </is>
      </c>
      <c r="K406" s="33" t="inlineStr">
        <is>
          <t>D605868 CVEBU;Taylor73-103720-04 PCA;TAYLOR HIGH MODULE WITH MICRON 16GB LPDDR5    73-103820-04 PCA;TAYLOR HIGH MODULE WITH HYNIX 16GB LPDDR5    73-103920-04 PCA;TAYLOR LOW MODULE WITH MICRON 16GB LPDDR5  73-103922-04 PCA;TAYLOR LOW MODULE WITH HYNIX 16GB LPDDR5In BOMs20pcsRefdes C80;C85;C572;C686;C687;C690;C691;C692;C693;C694;C695;C740;C741;C794;C67_A;C68_A;C69_A;C67_B;C68_B;C69_B11-3700-01 CAP;CE;10pF;25V;+/-0.5pF;C0G;SM;0201in;MX HGT 0.33mm;PB-FREE;A-TEMP (-40 to 125'C)  Qualified: Murata GRM0335C1E100JA01 (30%) From Mouser 10k pcs with DC1902Qualified: Yageo IC0201J_NPO8BN100 (50%)Qualified: Union    CL0201NPO100JW    (20%)1 pcsRefdes C80711-101945-01 CAP;CE;56.0pF;25.0 V;5.0%;C0G/NP0;SM;0201;0.33mmH;-55 to 125 C  Qualified: Murata GRM0335C1E560JA01 (30%) From Mouser 1k pcs with DC2126Qualified: Yageo  IC0201JNPO8BN560  (70%)FJZ is hereby allowed to source the 10k + 1k  pcs of these two 0201 capacitors with old date code.Before usage; feeding these old DC capacitors into MP volume; a solderability test report shall provided to Cisco CVEBU.</t>
        </is>
      </c>
      <c r="L406" s="43" t="inlineStr">
        <is>
          <t>Expired</t>
        </is>
      </c>
      <c r="M406" s="43" t="inlineStr">
        <is>
          <t>73-103820-04</t>
        </is>
      </c>
      <c r="N406" s="43" t="inlineStr"/>
      <c r="O406" s="43" t="inlineStr">
        <is>
          <t>2025-11-30</t>
        </is>
      </c>
      <c r="P406" s="33" t="inlineStr">
        <is>
          <t>To temporarily use parts/materials that do not meet the specifications</t>
        </is>
      </c>
      <c r="Q406" s="43" t="inlineStr">
        <is>
          <t>No FFF change =&gt; No marking needed</t>
        </is>
      </c>
      <c r="R406" s="43" t="inlineStr">
        <is>
          <t>2025-09-02</t>
        </is>
      </c>
      <c r="S406" s="43" t="inlineStr">
        <is>
          <t>2025-09-17</t>
        </is>
      </c>
      <c r="T406" s="43" t="inlineStr"/>
      <c r="U406" s="43" t="inlineStr"/>
    </row>
    <row r="407">
      <c r="A407" s="43" t="n">
        <v>407</v>
      </c>
      <c r="B407" s="43" t="inlineStr">
        <is>
          <t>406</t>
        </is>
      </c>
      <c r="C407" s="43" t="inlineStr">
        <is>
          <t>FJZP</t>
        </is>
      </c>
      <c r="D407" s="43" t="inlineStr">
        <is>
          <t>Cisco</t>
        </is>
      </c>
      <c r="E407" s="43" t="inlineStr">
        <is>
          <t>MCGA</t>
        </is>
      </c>
      <c r="F407" s="43" t="inlineStr">
        <is>
          <t>035-CVEBU</t>
        </is>
      </c>
      <c r="G407" s="43" t="inlineStr">
        <is>
          <t>CTANJZ04801</t>
        </is>
      </c>
      <c r="H407" s="43" t="inlineStr">
        <is>
          <t>To temporarily use parts/materials that do not meet the specifications</t>
        </is>
      </c>
      <c r="I407" s="43" t="inlineStr">
        <is>
          <t>Customer Deviation</t>
        </is>
      </c>
      <c r="J407" s="43" t="inlineStr">
        <is>
          <t>D605868</t>
        </is>
      </c>
      <c r="K407" s="33" t="inlineStr">
        <is>
          <t>D605868 CVEBU;Taylor73-103720-04 PCA;TAYLOR HIGH MODULE WITH MICRON 16GB LPDDR5    73-103820-04 PCA;TAYLOR HIGH MODULE WITH HYNIX 16GB LPDDR5    73-103920-04 PCA;TAYLOR LOW MODULE WITH MICRON 16GB LPDDR5  73-103922-04 PCA;TAYLOR LOW MODULE WITH HYNIX 16GB LPDDR5In BOMs20pcsRefdes C80;C85;C572;C686;C687;C690;C691;C692;C693;C694;C695;C740;C741;C794;C67_A;C68_A;C69_A;C67_B;C68_B;C69_B11-3700-01 CAP;CE;10pF;25V;+/-0.5pF;C0G;SM;0201in;MX HGT 0.33mm;PB-FREE;A-TEMP (-40 to 125'C)  Qualified: Murata GRM0335C1E100JA01 (30%) From Mouser 10k pcs with DC1902Qualified: Yageo IC0201J_NPO8BN100 (50%)Qualified: Union    CL0201NPO100JW    (20%)1 pcsRefdes C80711-101945-01 CAP;CE;56.0pF;25.0 V;5.0%;C0G/NP0;SM;0201;0.33mmH;-55 to 125 C  Qualified: Murata GRM0335C1E560JA01 (30%) From Mouser 1k pcs with DC2126Qualified: Yageo  IC0201JNPO8BN560  (70%)FJZ is hereby allowed to source the 10k + 1k  pcs of these two 0201 capacitors with old date code.Before usage; feeding these old DC capacitors into MP volume; a solderability test report shall provided to Cisco CVEBU.</t>
        </is>
      </c>
      <c r="L407" s="43" t="inlineStr">
        <is>
          <t>Expired</t>
        </is>
      </c>
      <c r="M407" s="43" t="inlineStr">
        <is>
          <t>73-103920-04</t>
        </is>
      </c>
      <c r="N407" s="43" t="inlineStr"/>
      <c r="O407" s="43" t="inlineStr">
        <is>
          <t>2025-11-30</t>
        </is>
      </c>
      <c r="P407" s="33" t="inlineStr">
        <is>
          <t>To temporarily use parts/materials that do not meet the specifications</t>
        </is>
      </c>
      <c r="Q407" s="43" t="inlineStr">
        <is>
          <t>No FFF change =&gt; No marking needed</t>
        </is>
      </c>
      <c r="R407" s="43" t="inlineStr">
        <is>
          <t>2025-09-02</t>
        </is>
      </c>
      <c r="S407" s="43" t="inlineStr">
        <is>
          <t>2025-09-17</t>
        </is>
      </c>
      <c r="T407" s="43" t="inlineStr"/>
      <c r="U407" s="43" t="inlineStr"/>
    </row>
    <row r="408">
      <c r="A408" s="43" t="n">
        <v>408</v>
      </c>
      <c r="B408" s="43" t="inlineStr">
        <is>
          <t>407</t>
        </is>
      </c>
      <c r="C408" s="43" t="inlineStr">
        <is>
          <t>FJZP</t>
        </is>
      </c>
      <c r="D408" s="43" t="inlineStr">
        <is>
          <t>Cisco</t>
        </is>
      </c>
      <c r="E408" s="43" t="inlineStr">
        <is>
          <t>MCGA</t>
        </is>
      </c>
      <c r="F408" s="43" t="inlineStr">
        <is>
          <t>035-CVEBU</t>
        </is>
      </c>
      <c r="G408" s="43" t="inlineStr">
        <is>
          <t>CTANJZ04801</t>
        </is>
      </c>
      <c r="H408" s="43" t="inlineStr">
        <is>
          <t>To temporarily use parts/materials that do not meet the specifications</t>
        </is>
      </c>
      <c r="I408" s="43" t="inlineStr">
        <is>
          <t>Customer Deviation</t>
        </is>
      </c>
      <c r="J408" s="43" t="inlineStr">
        <is>
          <t>D605868</t>
        </is>
      </c>
      <c r="K408" s="33" t="inlineStr">
        <is>
          <t>D605868 CVEBU;Taylor73-103720-04 PCA;TAYLOR HIGH MODULE WITH MICRON 16GB LPDDR5    73-103820-04 PCA;TAYLOR HIGH MODULE WITH HYNIX 16GB LPDDR5    73-103920-04 PCA;TAYLOR LOW MODULE WITH MICRON 16GB LPDDR5  73-103922-04 PCA;TAYLOR LOW MODULE WITH HYNIX 16GB LPDDR5In BOMs20pcsRefdes C80;C85;C572;C686;C687;C690;C691;C692;C693;C694;C695;C740;C741;C794;C67_A;C68_A;C69_A;C67_B;C68_B;C69_B11-3700-01 CAP;CE;10pF;25V;+/-0.5pF;C0G;SM;0201in;MX HGT 0.33mm;PB-FREE;A-TEMP (-40 to 125'C)  Qualified: Murata GRM0335C1E100JA01 (30%) From Mouser 10k pcs with DC1902Qualified: Yageo IC0201J_NPO8BN100 (50%)Qualified: Union    CL0201NPO100JW    (20%)1 pcsRefdes C80711-101945-01 CAP;CE;56.0pF;25.0 V;5.0%;C0G/NP0;SM;0201;0.33mmH;-55 to 125 C  Qualified: Murata GRM0335C1E560JA01 (30%) From Mouser 1k pcs with DC2126Qualified: Yageo  IC0201JNPO8BN560  (70%)FJZ is hereby allowed to source the 10k + 1k  pcs of these two 0201 capacitors with old date code.Before usage; feeding these old DC capacitors into MP volume; a solderability test report shall provided to Cisco CVEBU.</t>
        </is>
      </c>
      <c r="L408" s="43" t="inlineStr">
        <is>
          <t>Expired</t>
        </is>
      </c>
      <c r="M408" s="43" t="inlineStr">
        <is>
          <t>73-103922-04</t>
        </is>
      </c>
      <c r="N408" s="43" t="inlineStr"/>
      <c r="O408" s="43" t="inlineStr">
        <is>
          <t>2025-11-30</t>
        </is>
      </c>
      <c r="P408" s="33" t="inlineStr">
        <is>
          <t>To temporarily use parts/materials that do not meet the specifications</t>
        </is>
      </c>
      <c r="Q408" s="43" t="inlineStr">
        <is>
          <t>No FFF change =&gt; No marking needed</t>
        </is>
      </c>
      <c r="R408" s="43" t="inlineStr">
        <is>
          <t>2025-09-02</t>
        </is>
      </c>
      <c r="S408" s="43" t="inlineStr">
        <is>
          <t>2025-09-17</t>
        </is>
      </c>
      <c r="T408" s="43" t="inlineStr"/>
      <c r="U408" s="43" t="inlineStr"/>
    </row>
    <row r="409">
      <c r="A409" s="43" t="n">
        <v>409</v>
      </c>
      <c r="B409" s="43" t="inlineStr">
        <is>
          <t>408</t>
        </is>
      </c>
      <c r="C409" s="43" t="inlineStr">
        <is>
          <t>FJZP</t>
        </is>
      </c>
      <c r="D409" s="43" t="inlineStr">
        <is>
          <t>Cisco</t>
        </is>
      </c>
      <c r="E409" s="43" t="inlineStr">
        <is>
          <t>MCGA</t>
        </is>
      </c>
      <c r="F409" s="43" t="inlineStr">
        <is>
          <t>037-STBU</t>
        </is>
      </c>
      <c r="G409" s="43" t="inlineStr">
        <is>
          <t>CTANJZ04733</t>
        </is>
      </c>
      <c r="H409" s="43" t="inlineStr">
        <is>
          <t>To temporarily use parts/materials that do not meet the specifications</t>
        </is>
      </c>
      <c r="I409" s="43" t="inlineStr">
        <is>
          <t>Customer Deviation</t>
        </is>
      </c>
      <c r="J409" s="43" t="inlineStr">
        <is>
          <t>DP525134</t>
        </is>
      </c>
      <c r="K409" s="33" t="inlineStr">
        <is>
          <t>DP525134 FJZ authorized to purchase 15-107726-01 Nanya NT16GA72D8PFX3K-JR which is currently at IPQ status. Please note that HW engineering has completed qualification on both Woodside and Warwick Avenue; and Product Ops will be performing test script support validation in parallel with this risk buy.  Please secure enough inventory to support upcoming Pilot 1; 2 &amp; 3 builds as well as PP build on Model A. (Usage is 4 per Model B/C/D; 2 per Model A)</t>
        </is>
      </c>
      <c r="L409" s="43" t="inlineStr">
        <is>
          <t>Expired</t>
        </is>
      </c>
      <c r="M409" s="43" t="inlineStr">
        <is>
          <t>800-112720-04</t>
        </is>
      </c>
      <c r="N409" s="43" t="inlineStr"/>
      <c r="O409" s="43" t="inlineStr">
        <is>
          <t>2025-09-15</t>
        </is>
      </c>
      <c r="P409" s="33" t="inlineStr">
        <is>
          <t>To temporarily use parts/materials that do not meet the specifications</t>
        </is>
      </c>
      <c r="Q409" s="43" t="inlineStr">
        <is>
          <t>None required</t>
        </is>
      </c>
      <c r="R409" s="43" t="inlineStr">
        <is>
          <t>2025-07-18</t>
        </is>
      </c>
      <c r="S409" s="43" t="inlineStr">
        <is>
          <t>2025-07-25</t>
        </is>
      </c>
      <c r="T409" s="43" t="inlineStr"/>
      <c r="U409" s="43" t="inlineStr"/>
    </row>
    <row r="410">
      <c r="A410" s="43" t="n">
        <v>410</v>
      </c>
      <c r="B410" s="43" t="inlineStr">
        <is>
          <t>409</t>
        </is>
      </c>
      <c r="C410" s="43" t="inlineStr">
        <is>
          <t>FJZP</t>
        </is>
      </c>
      <c r="D410" s="43" t="inlineStr">
        <is>
          <t>Cisco</t>
        </is>
      </c>
      <c r="E410" s="43" t="inlineStr">
        <is>
          <t>MCGA</t>
        </is>
      </c>
      <c r="F410" s="43" t="inlineStr">
        <is>
          <t>037-STBU</t>
        </is>
      </c>
      <c r="G410" s="43" t="inlineStr">
        <is>
          <t>CTANJZ04872</t>
        </is>
      </c>
      <c r="H410" s="43" t="inlineStr">
        <is>
          <t>For temporary part/material substitution (EXTENDABLE)</t>
        </is>
      </c>
      <c r="I410" s="43" t="inlineStr">
        <is>
          <t>Customer Deviation</t>
        </is>
      </c>
      <c r="J410" s="43" t="inlineStr">
        <is>
          <t>D606243</t>
        </is>
      </c>
      <c r="K410" s="33" t="inlineStr">
        <is>
          <t>D606243 NGFWBU::::For FPR3K and CSF4200 on the specific PIDs affected by 32G DDR4 Shortage:FP3105 -800-110666-02FPR3110 -800-108035-05FPR3130 -800-108037-05CSF4115 -800-109498-06Allow FJZ to use 15-109192-01 in place of 15-108159-01 to help the qtr. End commitment.FJZ to use the below specified MPNs on 15-109192-01 in place of 15-108159-01 in spite of the AVL status on 15-109192-01:SAMSUNG SEMICONDUCTORS - M393A4G43CB4-CWEMICRON TECHNOLOGY - MTA18ASF4G72PDZ-3G2F1HYNIX SEMICONDUCTOR - HMAG88DXNRBFJZ to first do a controlled run of 3 units; pass the units through the process (PCBASSY; PCBP2; PCB2C; SYSASSY; SYSHIPOT; SYSFT) to confirm there is not any problem and report if any problem to Cisco PE / Support Team.Set the assemblies aside; if test results are satisfactory and the PE gives approval then units can be mixed with production for customer shipments. If the units FAIL then FJZ need to hold units and notify PE for further instruction.*** Cisco Support Team ***PLPM:   Pin MakPE - Aiseosa OmorogievaME - Lluvia RuvalcabaTE- Patricia ChavezTDE: Nirupama Padmanabhan</t>
        </is>
      </c>
      <c r="L410" s="43" t="inlineStr">
        <is>
          <t>Expired</t>
        </is>
      </c>
      <c r="M410" s="43" t="inlineStr">
        <is>
          <t>15-108159-01</t>
        </is>
      </c>
      <c r="N410" s="43" t="inlineStr"/>
      <c r="O410" s="43" t="inlineStr">
        <is>
          <t>2025-12-24</t>
        </is>
      </c>
      <c r="P410" s="33" t="inlineStr">
        <is>
          <t>For temporary part/material substitution (EXTENDABLE 2x)</t>
        </is>
      </c>
      <c r="Q410" s="43" t="inlineStr">
        <is>
          <t>Place the deviation label "D596590" on the top side on the PCBA and outside the chassis (pull out tag).</t>
        </is>
      </c>
      <c r="R410" s="43" t="inlineStr">
        <is>
          <t>2025-09-25</t>
        </is>
      </c>
      <c r="S410" s="43" t="inlineStr">
        <is>
          <t>2025-10-21</t>
        </is>
      </c>
      <c r="T410" s="43" t="inlineStr"/>
      <c r="U410" s="43" t="inlineStr"/>
    </row>
    <row r="411">
      <c r="A411" s="43" t="n">
        <v>411</v>
      </c>
      <c r="B411" s="43" t="inlineStr">
        <is>
          <t>410</t>
        </is>
      </c>
      <c r="C411" s="43" t="inlineStr">
        <is>
          <t>FJZP</t>
        </is>
      </c>
      <c r="D411" s="43" t="inlineStr">
        <is>
          <t>Cisco</t>
        </is>
      </c>
      <c r="E411" s="43" t="inlineStr">
        <is>
          <t>MCGA</t>
        </is>
      </c>
      <c r="F411" s="43" t="inlineStr">
        <is>
          <t>037-STBU</t>
        </is>
      </c>
      <c r="G411" s="43" t="inlineStr">
        <is>
          <t>CTANJZ04872</t>
        </is>
      </c>
      <c r="H411" s="43" t="inlineStr">
        <is>
          <t>For temporary part/material substitution (EXTENDABLE)</t>
        </is>
      </c>
      <c r="I411" s="43" t="inlineStr">
        <is>
          <t>Customer Deviation</t>
        </is>
      </c>
      <c r="J411" s="43" t="inlineStr">
        <is>
          <t>D606243</t>
        </is>
      </c>
      <c r="K411" s="33" t="inlineStr">
        <is>
          <t>D606243 NGFWBU::::For FPR3K and CSF4200 on the specific PIDs affected by 32G DDR4 Shortage:FP3105 -800-110666-02FPR3110 -800-108035-05FPR3130 -800-108037-05CSF4115 -800-109498-06Allow FJZ to use 15-109192-01 in place of 15-108159-01 to help the qtr. End commitment.FJZ to use the below specified MPNs on 15-109192-01 in place of 15-108159-01 in spite of the AVL status on 15-109192-01:SAMSUNG SEMICONDUCTORS - M393A4G43CB4-CWEMICRON TECHNOLOGY - MTA18ASF4G72PDZ-3G2F1HYNIX SEMICONDUCTOR - HMAG88DXNRBFJZ to first do a controlled run of 3 units; pass the units through the process (PCBASSY; PCBP2; PCB2C; SYSASSY; SYSHIPOT; SYSFT) to confirm there is not any problem and report if any problem to Cisco PE / Support Team.Set the assemblies aside; if test results are satisfactory and the PE gives approval then units can be mixed with production for customer shipments. If the units FAIL then FJZ need to hold units and notify PE for further instruction.*** Cisco Support Team ***PLPM:   Pin MakPE - Aiseosa OmorogievaME - Lluvia RuvalcabaTE- Patricia ChavezTDE: Nirupama Padmanabhan</t>
        </is>
      </c>
      <c r="L411" s="43" t="inlineStr">
        <is>
          <t>Expired</t>
        </is>
      </c>
      <c r="M411" s="43" t="inlineStr">
        <is>
          <t>800-108035-05</t>
        </is>
      </c>
      <c r="N411" s="43" t="inlineStr"/>
      <c r="O411" s="43" t="inlineStr">
        <is>
          <t>2025-12-24</t>
        </is>
      </c>
      <c r="P411" s="33" t="inlineStr">
        <is>
          <t>For temporary part/material substitution (EXTENDABLE 2x)</t>
        </is>
      </c>
      <c r="Q411" s="43" t="inlineStr">
        <is>
          <t>Place the deviation label "D596590" on the top side on the PCBA and outside the chassis (pull out tag).</t>
        </is>
      </c>
      <c r="R411" s="43" t="inlineStr">
        <is>
          <t>2025-09-25</t>
        </is>
      </c>
      <c r="S411" s="43" t="inlineStr">
        <is>
          <t>2025-10-21</t>
        </is>
      </c>
      <c r="T411" s="43" t="inlineStr"/>
      <c r="U411" s="43" t="inlineStr"/>
    </row>
    <row r="412">
      <c r="A412" s="43" t="n">
        <v>412</v>
      </c>
      <c r="B412" s="43" t="inlineStr">
        <is>
          <t>411</t>
        </is>
      </c>
      <c r="C412" s="43" t="inlineStr">
        <is>
          <t>FJZP</t>
        </is>
      </c>
      <c r="D412" s="43" t="inlineStr">
        <is>
          <t>Cisco</t>
        </is>
      </c>
      <c r="E412" s="43" t="inlineStr">
        <is>
          <t>MCGA</t>
        </is>
      </c>
      <c r="F412" s="43" t="inlineStr">
        <is>
          <t>037-STBU</t>
        </is>
      </c>
      <c r="G412" s="43" t="inlineStr">
        <is>
          <t>CTANJZ04872</t>
        </is>
      </c>
      <c r="H412" s="43" t="inlineStr">
        <is>
          <t>For temporary part/material substitution (EXTENDABLE)</t>
        </is>
      </c>
      <c r="I412" s="43" t="inlineStr">
        <is>
          <t>Customer Deviation</t>
        </is>
      </c>
      <c r="J412" s="43" t="inlineStr">
        <is>
          <t>D606243</t>
        </is>
      </c>
      <c r="K412" s="33" t="inlineStr">
        <is>
          <t>D606243 NGFWBU::::For FPR3K and CSF4200 on the specific PIDs affected by 32G DDR4 Shortage:FP3105 -800-110666-02FPR3110 -800-108035-05FPR3130 -800-108037-05CSF4115 -800-109498-06Allow FJZ to use 15-109192-01 in place of 15-108159-01 to help the qtr. End commitment.FJZ to use the below specified MPNs on 15-109192-01 in place of 15-108159-01 in spite of the AVL status on 15-109192-01:SAMSUNG SEMICONDUCTORS - M393A4G43CB4-CWEMICRON TECHNOLOGY - MTA18ASF4G72PDZ-3G2F1HYNIX SEMICONDUCTOR - HMAG88DXNRBFJZ to first do a controlled run of 3 units; pass the units through the process (PCBASSY; PCBP2; PCB2C; SYSASSY; SYSHIPOT; SYSFT) to confirm there is not any problem and report if any problem to Cisco PE / Support Team.Set the assemblies aside; if test results are satisfactory and the PE gives approval then units can be mixed with production for customer shipments. If the units FAIL then FJZ need to hold units and notify PE for further instruction.*** Cisco Support Team ***PLPM:   Pin MakPE - Aiseosa OmorogievaME - Lluvia RuvalcabaTE- Patricia ChavezTDE: Nirupama Padmanabhan</t>
        </is>
      </c>
      <c r="L412" s="43" t="inlineStr">
        <is>
          <t>Expired</t>
        </is>
      </c>
      <c r="M412" s="43" t="inlineStr">
        <is>
          <t>800-108037-05</t>
        </is>
      </c>
      <c r="N412" s="43" t="inlineStr"/>
      <c r="O412" s="43" t="inlineStr">
        <is>
          <t>2025-12-24</t>
        </is>
      </c>
      <c r="P412" s="33" t="inlineStr">
        <is>
          <t>For temporary part/material substitution (EXTENDABLE 2x)</t>
        </is>
      </c>
      <c r="Q412" s="43" t="inlineStr">
        <is>
          <t>Place the deviation label "D596590" on the top side on the PCBA and outside the chassis (pull out tag).</t>
        </is>
      </c>
      <c r="R412" s="43" t="inlineStr">
        <is>
          <t>2025-09-25</t>
        </is>
      </c>
      <c r="S412" s="43" t="inlineStr">
        <is>
          <t>2025-10-21</t>
        </is>
      </c>
      <c r="T412" s="43" t="inlineStr"/>
      <c r="U412" s="43" t="inlineStr"/>
    </row>
    <row r="413">
      <c r="A413" s="43" t="n">
        <v>413</v>
      </c>
      <c r="B413" s="43" t="inlineStr">
        <is>
          <t>412</t>
        </is>
      </c>
      <c r="C413" s="43" t="inlineStr">
        <is>
          <t>FJZP</t>
        </is>
      </c>
      <c r="D413" s="43" t="inlineStr">
        <is>
          <t>Cisco</t>
        </is>
      </c>
      <c r="E413" s="43" t="inlineStr">
        <is>
          <t>MCGA</t>
        </is>
      </c>
      <c r="F413" s="43" t="inlineStr">
        <is>
          <t>037-STBU</t>
        </is>
      </c>
      <c r="G413" s="43" t="inlineStr">
        <is>
          <t>CTANJZ04872</t>
        </is>
      </c>
      <c r="H413" s="43" t="inlineStr">
        <is>
          <t>For temporary part/material substitution (EXTENDABLE)</t>
        </is>
      </c>
      <c r="I413" s="43" t="inlineStr">
        <is>
          <t>Customer Deviation</t>
        </is>
      </c>
      <c r="J413" s="43" t="inlineStr">
        <is>
          <t>D606243</t>
        </is>
      </c>
      <c r="K413" s="33" t="inlineStr">
        <is>
          <t>D606243 NGFWBU::::For FPR3K and CSF4200 on the specific PIDs affected by 32G DDR4 Shortage:FP3105 -800-110666-02FPR3110 -800-108035-05FPR3130 -800-108037-05CSF4115 -800-109498-06Allow FJZ to use 15-109192-01 in place of 15-108159-01 to help the qtr. End commitment.FJZ to use the below specified MPNs on 15-109192-01 in place of 15-108159-01 in spite of the AVL status on 15-109192-01:SAMSUNG SEMICONDUCTORS - M393A4G43CB4-CWEMICRON TECHNOLOGY - MTA18ASF4G72PDZ-3G2F1HYNIX SEMICONDUCTOR - HMAG88DXNRBFJZ to first do a controlled run of 3 units; pass the units through the process (PCBASSY; PCBP2; PCB2C; SYSASSY; SYSHIPOT; SYSFT) to confirm there is not any problem and report if any problem to Cisco PE / Support Team.Set the assemblies aside; if test results are satisfactory and the PE gives approval then units can be mixed with production for customer shipments. If the units FAIL then FJZ need to hold units and notify PE for further instruction.*** Cisco Support Team ***PLPM:   Pin MakPE - Aiseosa OmorogievaME - Lluvia RuvalcabaTE- Patricia ChavezTDE: Nirupama Padmanabhan</t>
        </is>
      </c>
      <c r="L413" s="43" t="inlineStr">
        <is>
          <t>Expired</t>
        </is>
      </c>
      <c r="M413" s="43" t="inlineStr">
        <is>
          <t>800-109498-06</t>
        </is>
      </c>
      <c r="N413" s="43" t="inlineStr"/>
      <c r="O413" s="43" t="inlineStr">
        <is>
          <t>2025-12-24</t>
        </is>
      </c>
      <c r="P413" s="33" t="inlineStr">
        <is>
          <t>For temporary part/material substitution (EXTENDABLE 2x)</t>
        </is>
      </c>
      <c r="Q413" s="43" t="inlineStr">
        <is>
          <t>Place the deviation label "D596590" on the top side on the PCBA and outside the chassis (pull out tag).</t>
        </is>
      </c>
      <c r="R413" s="43" t="inlineStr">
        <is>
          <t>2025-09-25</t>
        </is>
      </c>
      <c r="S413" s="43" t="inlineStr">
        <is>
          <t>2025-10-21</t>
        </is>
      </c>
      <c r="T413" s="43" t="inlineStr"/>
      <c r="U413" s="43" t="inlineStr"/>
    </row>
    <row r="414">
      <c r="A414" s="43" t="n">
        <v>414</v>
      </c>
      <c r="B414" s="43" t="inlineStr">
        <is>
          <t>413</t>
        </is>
      </c>
      <c r="C414" s="43" t="inlineStr">
        <is>
          <t>FJZP</t>
        </is>
      </c>
      <c r="D414" s="43" t="inlineStr">
        <is>
          <t>Cisco</t>
        </is>
      </c>
      <c r="E414" s="43" t="inlineStr">
        <is>
          <t>MCGA</t>
        </is>
      </c>
      <c r="F414" s="43" t="inlineStr">
        <is>
          <t>037-STBU</t>
        </is>
      </c>
      <c r="G414" s="43" t="inlineStr">
        <is>
          <t>CTANJZ04894</t>
        </is>
      </c>
      <c r="H414" s="43" t="inlineStr">
        <is>
          <t>For temporary part/material substitution (EXTENDABLE)</t>
        </is>
      </c>
      <c r="I414" s="43" t="inlineStr">
        <is>
          <t>Customer Deviation</t>
        </is>
      </c>
      <c r="J414" s="43" t="inlineStr">
        <is>
          <t>D606830</t>
        </is>
      </c>
      <c r="K414" s="33" t="inlineStr">
        <is>
          <t>D606830 Please see Page Three for details</t>
        </is>
      </c>
      <c r="L414" s="43" t="inlineStr">
        <is>
          <t>Expired</t>
        </is>
      </c>
      <c r="M414" s="43" t="inlineStr">
        <is>
          <t>15-108159-01</t>
        </is>
      </c>
      <c r="N414" s="43" t="inlineStr"/>
      <c r="O414" s="43" t="inlineStr">
        <is>
          <t>2026-01-05</t>
        </is>
      </c>
      <c r="P414" s="33" t="inlineStr">
        <is>
          <t>For temporary part/material substitution (EXTENDABLE 2x)</t>
        </is>
      </c>
      <c r="Q414" s="43" t="inlineStr">
        <is>
          <t>Place the deviation label "D606830" on the top side on the PCBA and outside the chassis (pull out tag).</t>
        </is>
      </c>
      <c r="R414" s="43" t="inlineStr">
        <is>
          <t>2025-10-07</t>
        </is>
      </c>
      <c r="S414" s="43" t="inlineStr">
        <is>
          <t>2025-10-25</t>
        </is>
      </c>
      <c r="T414" s="43" t="inlineStr"/>
      <c r="U414" s="43" t="inlineStr"/>
    </row>
    <row r="415">
      <c r="A415" s="43" t="n">
        <v>415</v>
      </c>
      <c r="B415" s="43" t="inlineStr">
        <is>
          <t>414</t>
        </is>
      </c>
      <c r="C415" s="43" t="inlineStr">
        <is>
          <t>FJZP</t>
        </is>
      </c>
      <c r="D415" s="43" t="inlineStr">
        <is>
          <t>Cisco</t>
        </is>
      </c>
      <c r="E415" s="43" t="inlineStr">
        <is>
          <t>MCGA</t>
        </is>
      </c>
      <c r="F415" s="43" t="inlineStr">
        <is>
          <t>037-STBU</t>
        </is>
      </c>
      <c r="G415" s="43" t="inlineStr">
        <is>
          <t>CTANJZ04894</t>
        </is>
      </c>
      <c r="H415" s="43" t="inlineStr">
        <is>
          <t>For temporary part/material substitution (EXTENDABLE)</t>
        </is>
      </c>
      <c r="I415" s="43" t="inlineStr">
        <is>
          <t>Customer Deviation</t>
        </is>
      </c>
      <c r="J415" s="43" t="inlineStr">
        <is>
          <t>D606830</t>
        </is>
      </c>
      <c r="K415" s="33" t="inlineStr">
        <is>
          <t>D606830 Please see Page Three for details</t>
        </is>
      </c>
      <c r="L415" s="43" t="inlineStr">
        <is>
          <t>Expired</t>
        </is>
      </c>
      <c r="M415" s="43" t="inlineStr">
        <is>
          <t>800-108035-05</t>
        </is>
      </c>
      <c r="N415" s="43" t="inlineStr"/>
      <c r="O415" s="43" t="inlineStr">
        <is>
          <t>2026-01-05</t>
        </is>
      </c>
      <c r="P415" s="33" t="inlineStr">
        <is>
          <t>For temporary part/material substitution (EXTENDABLE 2x)</t>
        </is>
      </c>
      <c r="Q415" s="43" t="inlineStr">
        <is>
          <t>Place the deviation label "D606830" on the top side on the PCBA and outside the chassis (pull out tag).</t>
        </is>
      </c>
      <c r="R415" s="43" t="inlineStr">
        <is>
          <t>2025-10-07</t>
        </is>
      </c>
      <c r="S415" s="43" t="inlineStr">
        <is>
          <t>2025-10-25</t>
        </is>
      </c>
      <c r="T415" s="43" t="inlineStr"/>
      <c r="U415" s="43" t="inlineStr"/>
    </row>
    <row r="416">
      <c r="A416" s="43" t="n">
        <v>416</v>
      </c>
      <c r="B416" s="43" t="inlineStr">
        <is>
          <t>415</t>
        </is>
      </c>
      <c r="C416" s="43" t="inlineStr">
        <is>
          <t>FJZP</t>
        </is>
      </c>
      <c r="D416" s="43" t="inlineStr">
        <is>
          <t>Cisco</t>
        </is>
      </c>
      <c r="E416" s="43" t="inlineStr">
        <is>
          <t>MCGA</t>
        </is>
      </c>
      <c r="F416" s="43" t="inlineStr">
        <is>
          <t>037-STBU</t>
        </is>
      </c>
      <c r="G416" s="43" t="inlineStr">
        <is>
          <t>CTANJZ04894</t>
        </is>
      </c>
      <c r="H416" s="43" t="inlineStr">
        <is>
          <t>For temporary part/material substitution (EXTENDABLE)</t>
        </is>
      </c>
      <c r="I416" s="43" t="inlineStr">
        <is>
          <t>Customer Deviation</t>
        </is>
      </c>
      <c r="J416" s="43" t="inlineStr">
        <is>
          <t>D606830</t>
        </is>
      </c>
      <c r="K416" s="33" t="inlineStr">
        <is>
          <t>D606830 Please see Page Three for details</t>
        </is>
      </c>
      <c r="L416" s="43" t="inlineStr">
        <is>
          <t>Expired</t>
        </is>
      </c>
      <c r="M416" s="43" t="inlineStr">
        <is>
          <t>800-108037-05</t>
        </is>
      </c>
      <c r="N416" s="43" t="inlineStr"/>
      <c r="O416" s="43" t="inlineStr">
        <is>
          <t>2026-01-05</t>
        </is>
      </c>
      <c r="P416" s="33" t="inlineStr">
        <is>
          <t>For temporary part/material substitution (EXTENDABLE 2x)</t>
        </is>
      </c>
      <c r="Q416" s="43" t="inlineStr">
        <is>
          <t>Place the deviation label "D606830" on the top side on the PCBA and outside the chassis (pull out tag).</t>
        </is>
      </c>
      <c r="R416" s="43" t="inlineStr">
        <is>
          <t>2025-10-07</t>
        </is>
      </c>
      <c r="S416" s="43" t="inlineStr">
        <is>
          <t>2025-10-25</t>
        </is>
      </c>
      <c r="T416" s="43" t="inlineStr"/>
      <c r="U416" s="43" t="inlineStr"/>
    </row>
    <row r="417">
      <c r="A417" s="43" t="n">
        <v>417</v>
      </c>
      <c r="B417" s="43" t="inlineStr">
        <is>
          <t>416</t>
        </is>
      </c>
      <c r="C417" s="43" t="inlineStr">
        <is>
          <t>FJZP</t>
        </is>
      </c>
      <c r="D417" s="43" t="inlineStr">
        <is>
          <t>Cisco</t>
        </is>
      </c>
      <c r="E417" s="43" t="inlineStr">
        <is>
          <t>MCGA</t>
        </is>
      </c>
      <c r="F417" s="43" t="inlineStr">
        <is>
          <t>037-STBU</t>
        </is>
      </c>
      <c r="G417" s="43" t="inlineStr">
        <is>
          <t>CTANJZ04894</t>
        </is>
      </c>
      <c r="H417" s="43" t="inlineStr">
        <is>
          <t>For temporary part/material substitution (EXTENDABLE)</t>
        </is>
      </c>
      <c r="I417" s="43" t="inlineStr">
        <is>
          <t>Customer Deviation</t>
        </is>
      </c>
      <c r="J417" s="43" t="inlineStr">
        <is>
          <t>D606830</t>
        </is>
      </c>
      <c r="K417" s="33" t="inlineStr">
        <is>
          <t>D606830 Please see Page Three for details</t>
        </is>
      </c>
      <c r="L417" s="43" t="inlineStr">
        <is>
          <t>Expired</t>
        </is>
      </c>
      <c r="M417" s="43" t="inlineStr">
        <is>
          <t>800-109498-06</t>
        </is>
      </c>
      <c r="N417" s="43" t="inlineStr"/>
      <c r="O417" s="43" t="inlineStr">
        <is>
          <t>2026-01-05</t>
        </is>
      </c>
      <c r="P417" s="33" t="inlineStr">
        <is>
          <t>For temporary part/material substitution (EXTENDABLE 2x)</t>
        </is>
      </c>
      <c r="Q417" s="43" t="inlineStr">
        <is>
          <t>Place the deviation label "D606830" on the top side on the PCBA and outside the chassis (pull out tag).</t>
        </is>
      </c>
      <c r="R417" s="43" t="inlineStr">
        <is>
          <t>2025-10-07</t>
        </is>
      </c>
      <c r="S417" s="43" t="inlineStr">
        <is>
          <t>2025-10-25</t>
        </is>
      </c>
      <c r="T417" s="43" t="inlineStr"/>
      <c r="U417" s="43" t="inlineStr"/>
    </row>
    <row r="418">
      <c r="A418" s="43" t="n">
        <v>418</v>
      </c>
      <c r="B418" s="43" t="inlineStr">
        <is>
          <t>417</t>
        </is>
      </c>
      <c r="C418" s="43" t="inlineStr">
        <is>
          <t>FJZP</t>
        </is>
      </c>
      <c r="D418" s="43" t="inlineStr">
        <is>
          <t>Cisco</t>
        </is>
      </c>
      <c r="E418" s="43" t="inlineStr">
        <is>
          <t>MCGA</t>
        </is>
      </c>
      <c r="F418" s="43" t="inlineStr">
        <is>
          <t>037-STBU</t>
        </is>
      </c>
      <c r="G418" s="43" t="inlineStr">
        <is>
          <t>CTANJZ04894</t>
        </is>
      </c>
      <c r="H418" s="43" t="inlineStr">
        <is>
          <t>For temporary part/material substitution (EXTENDABLE)</t>
        </is>
      </c>
      <c r="I418" s="43" t="inlineStr">
        <is>
          <t>Customer Deviation</t>
        </is>
      </c>
      <c r="J418" s="43" t="inlineStr">
        <is>
          <t>D606830</t>
        </is>
      </c>
      <c r="K418" s="33" t="inlineStr">
        <is>
          <t>D606830 Please see Page Three for details</t>
        </is>
      </c>
      <c r="L418" s="43" t="inlineStr">
        <is>
          <t>Expired</t>
        </is>
      </c>
      <c r="M418" s="43" t="inlineStr">
        <is>
          <t>800-110666-02</t>
        </is>
      </c>
      <c r="N418" s="43" t="inlineStr"/>
      <c r="O418" s="43" t="inlineStr">
        <is>
          <t>2026-01-05</t>
        </is>
      </c>
      <c r="P418" s="33" t="inlineStr">
        <is>
          <t>For temporary part/material substitution (EXTENDABLE 2x)</t>
        </is>
      </c>
      <c r="Q418" s="43" t="inlineStr">
        <is>
          <t>Place the deviation label "D606830" on the top side on the PCBA and outside the chassis (pull out tag).</t>
        </is>
      </c>
      <c r="R418" s="43" t="inlineStr">
        <is>
          <t>2025-10-07</t>
        </is>
      </c>
      <c r="S418" s="43" t="inlineStr">
        <is>
          <t>2025-10-25</t>
        </is>
      </c>
      <c r="T418" s="43" t="inlineStr"/>
      <c r="U418" s="43" t="inlineStr"/>
    </row>
    <row r="419">
      <c r="A419" s="43" t="n">
        <v>419</v>
      </c>
      <c r="B419" s="43" t="inlineStr">
        <is>
          <t>418</t>
        </is>
      </c>
      <c r="C419" s="43" t="inlineStr">
        <is>
          <t>FJZP</t>
        </is>
      </c>
      <c r="D419" s="43" t="inlineStr">
        <is>
          <t>Cisco</t>
        </is>
      </c>
      <c r="E419" s="43" t="inlineStr">
        <is>
          <t>MCGA</t>
        </is>
      </c>
      <c r="F419" s="43" t="inlineStr">
        <is>
          <t>018-SRGBU</t>
        </is>
      </c>
      <c r="G419" s="43" t="inlineStr">
        <is>
          <t>CTANJZ04893</t>
        </is>
      </c>
      <c r="H419" s="43" t="inlineStr">
        <is>
          <t>To temporarily use parts/materials that do not meet the specifications</t>
        </is>
      </c>
      <c r="I419" s="43" t="inlineStr">
        <is>
          <t>Customer Deviation</t>
        </is>
      </c>
      <c r="J419" s="43" t="inlineStr">
        <is>
          <t>D606870</t>
        </is>
      </c>
      <c r="K419" s="33" t="inlineStr">
        <is>
          <t>D606870 SRGBU: Allow FJZ Site to use 16-102062-01  with date code &gt;2 years (DC 2235).1.- Solderability test is required due to date code &gt;2 years. (One D/CL/C) Total: 3 units2.- If ANY quality problems are presented using this CPN during the evaluation; it needs to notify to Cisco ME (Jose Barraza).3. Foxconn Juarez must  record the impacted SNs using SFCS (shop floor control system) if the component is approved</t>
        </is>
      </c>
      <c r="L419" s="43" t="inlineStr">
        <is>
          <t>Expired</t>
        </is>
      </c>
      <c r="M419" s="43" t="inlineStr">
        <is>
          <t>16-102062-01</t>
        </is>
      </c>
      <c r="N419" s="43" t="inlineStr"/>
      <c r="O419" s="43" t="inlineStr">
        <is>
          <t>2026-01-05</t>
        </is>
      </c>
      <c r="P419" s="33" t="inlineStr">
        <is>
          <t>To temporarily use parts/materials that do not meet the specifications</t>
        </is>
      </c>
      <c r="Q419" s="43" t="inlineStr">
        <is>
          <t>Place deviation label on easily visible location. Foxconn Juarez to record impacted SNs using SFCS (shop floor control system</t>
        </is>
      </c>
      <c r="R419" s="43" t="inlineStr">
        <is>
          <t>2025-10-07</t>
        </is>
      </c>
      <c r="S419" s="43" t="inlineStr">
        <is>
          <t>2025-10-24</t>
        </is>
      </c>
      <c r="T419" s="43" t="inlineStr"/>
      <c r="U419" s="43" t="inlineStr"/>
    </row>
    <row r="420">
      <c r="A420" s="43" t="n">
        <v>420</v>
      </c>
      <c r="B420" s="43" t="inlineStr">
        <is>
          <t>419</t>
        </is>
      </c>
      <c r="C420" s="43" t="inlineStr">
        <is>
          <t>FJZP</t>
        </is>
      </c>
      <c r="D420" s="43" t="inlineStr">
        <is>
          <t>Cisco</t>
        </is>
      </c>
      <c r="E420" s="43" t="inlineStr">
        <is>
          <t>MCGA</t>
        </is>
      </c>
      <c r="F420" s="43" t="inlineStr">
        <is>
          <t>018-SRGBU</t>
        </is>
      </c>
      <c r="G420" s="43" t="inlineStr">
        <is>
          <t>CTANJZ04893</t>
        </is>
      </c>
      <c r="H420" s="43" t="inlineStr">
        <is>
          <t>To temporarily use parts/materials that do not meet the specifications</t>
        </is>
      </c>
      <c r="I420" s="43" t="inlineStr">
        <is>
          <t>Customer Deviation</t>
        </is>
      </c>
      <c r="J420" s="43" t="inlineStr">
        <is>
          <t>D606870</t>
        </is>
      </c>
      <c r="K420" s="33" t="inlineStr">
        <is>
          <t>D606870 SRGBU: Allow FJZ Site to use 16-102062-01  with date code &gt;2 years (DC 2235).1.- Solderability test is required due to date code &gt;2 years. (One D/CL/C) Total: 3 units2.- If ANY quality problems are presented using this CPN during the evaluation; it needs to notify to Cisco ME (Jose Barraza).3. Foxconn Juarez must  record the impacted SNs using SFCS (shop floor control system) if the component is approved</t>
        </is>
      </c>
      <c r="L420" s="43" t="inlineStr">
        <is>
          <t>Expired</t>
        </is>
      </c>
      <c r="M420" s="43" t="inlineStr">
        <is>
          <t>17-103018-01</t>
        </is>
      </c>
      <c r="N420" s="43" t="inlineStr"/>
      <c r="O420" s="43" t="inlineStr">
        <is>
          <t>2026-01-05</t>
        </is>
      </c>
      <c r="P420" s="33" t="inlineStr">
        <is>
          <t>To temporarily use parts/materials that do not meet the specifications</t>
        </is>
      </c>
      <c r="Q420" s="43" t="inlineStr">
        <is>
          <t>Place deviation label on easily visible location. Foxconn Juarez to record impacted SNs using SFCS (shop floor control system</t>
        </is>
      </c>
      <c r="R420" s="43" t="inlineStr">
        <is>
          <t>2025-10-07</t>
        </is>
      </c>
      <c r="S420" s="43" t="inlineStr">
        <is>
          <t>2025-10-24</t>
        </is>
      </c>
      <c r="T420" s="43" t="inlineStr"/>
      <c r="U420" s="43" t="inlineStr"/>
    </row>
    <row r="421">
      <c r="A421" s="43" t="n">
        <v>421</v>
      </c>
      <c r="B421" s="43" t="inlineStr">
        <is>
          <t>420</t>
        </is>
      </c>
      <c r="C421" s="43" t="inlineStr">
        <is>
          <t>FJZP</t>
        </is>
      </c>
      <c r="D421" s="43" t="inlineStr">
        <is>
          <t>Cisco</t>
        </is>
      </c>
      <c r="E421" s="43" t="inlineStr">
        <is>
          <t>MCGA</t>
        </is>
      </c>
      <c r="F421" s="43" t="inlineStr">
        <is>
          <t>018-SRGBU</t>
        </is>
      </c>
      <c r="G421" s="43" t="inlineStr">
        <is>
          <t>CTANJZ04893</t>
        </is>
      </c>
      <c r="H421" s="43" t="inlineStr">
        <is>
          <t>To temporarily use parts/materials that do not meet the specifications</t>
        </is>
      </c>
      <c r="I421" s="43" t="inlineStr">
        <is>
          <t>Customer Deviation</t>
        </is>
      </c>
      <c r="J421" s="43" t="inlineStr">
        <is>
          <t>D606870</t>
        </is>
      </c>
      <c r="K421" s="33" t="inlineStr">
        <is>
          <t>D606870 SRGBU: Allow FJZ Site to use 16-102062-01  with date code &gt;2 years (DC 2235).1.- Solderability test is required due to date code &gt;2 years. (One D/CL/C) Total: 3 units2.- If ANY quality problems are presented using this CPN during the evaluation; it needs to notify to Cisco ME (Jose Barraza).3. Foxconn Juarez must  record the impacted SNs using SFCS (shop floor control system) if the component is approved</t>
        </is>
      </c>
      <c r="L421" s="43" t="inlineStr">
        <is>
          <t>Expired</t>
        </is>
      </c>
      <c r="M421" s="43" t="inlineStr">
        <is>
          <t>74-133408-02</t>
        </is>
      </c>
      <c r="N421" s="43" t="inlineStr"/>
      <c r="O421" s="43" t="inlineStr">
        <is>
          <t>2026-01-05</t>
        </is>
      </c>
      <c r="P421" s="33" t="inlineStr">
        <is>
          <t>To temporarily use parts/materials that do not meet the specifications</t>
        </is>
      </c>
      <c r="Q421" s="43" t="inlineStr">
        <is>
          <t>Place deviation label on easily visible location. Foxconn Juarez to record impacted SNs using SFCS (shop floor control system</t>
        </is>
      </c>
      <c r="R421" s="43" t="inlineStr">
        <is>
          <t>2025-10-07</t>
        </is>
      </c>
      <c r="S421" s="43" t="inlineStr">
        <is>
          <t>2025-10-24</t>
        </is>
      </c>
      <c r="T421" s="43" t="inlineStr"/>
      <c r="U421" s="43" t="inlineStr"/>
    </row>
    <row r="422">
      <c r="A422" s="43" t="n">
        <v>422</v>
      </c>
      <c r="B422" s="43" t="inlineStr">
        <is>
          <t>421</t>
        </is>
      </c>
      <c r="C422" s="43" t="inlineStr">
        <is>
          <t>FJZP</t>
        </is>
      </c>
      <c r="D422" s="43" t="inlineStr">
        <is>
          <t>Cisco</t>
        </is>
      </c>
      <c r="E422" s="43" t="inlineStr">
        <is>
          <t>MCGA</t>
        </is>
      </c>
      <c r="F422" s="43" t="inlineStr">
        <is>
          <t>018-SRGBU</t>
        </is>
      </c>
      <c r="G422" s="43" t="inlineStr">
        <is>
          <t>CTANJZ04893</t>
        </is>
      </c>
      <c r="H422" s="43" t="inlineStr">
        <is>
          <t>To temporarily use parts/materials that do not meet the specifications</t>
        </is>
      </c>
      <c r="I422" s="43" t="inlineStr">
        <is>
          <t>Customer Deviation</t>
        </is>
      </c>
      <c r="J422" s="43" t="inlineStr">
        <is>
          <t>D606870</t>
        </is>
      </c>
      <c r="K422" s="33" t="inlineStr">
        <is>
          <t>D606870 SRGBU: Allow FJZ Site to use 16-102062-01  with date code &gt;2 years (DC 2235).1.- Solderability test is required due to date code &gt;2 years. (One D/CL/C) Total: 3 units2.- If ANY quality problems are presented using this CPN during the evaluation; it needs to notify to Cisco ME (Jose Barraza).3. Foxconn Juarez must  record the impacted SNs using SFCS (shop floor control system) if the component is approved</t>
        </is>
      </c>
      <c r="L422" s="43" t="inlineStr">
        <is>
          <t>Expired</t>
        </is>
      </c>
      <c r="M422" s="43" t="inlineStr">
        <is>
          <t>74-134702-02</t>
        </is>
      </c>
      <c r="N422" s="43" t="inlineStr"/>
      <c r="O422" s="43" t="inlineStr">
        <is>
          <t>2026-01-05</t>
        </is>
      </c>
      <c r="P422" s="33" t="inlineStr">
        <is>
          <t>To temporarily use parts/materials that do not meet the specifications</t>
        </is>
      </c>
      <c r="Q422" s="43" t="inlineStr">
        <is>
          <t>Place deviation label on easily visible location. Foxconn Juarez to record impacted SNs using SFCS (shop floor control system</t>
        </is>
      </c>
      <c r="R422" s="43" t="inlineStr">
        <is>
          <t>2025-10-07</t>
        </is>
      </c>
      <c r="S422" s="43" t="inlineStr">
        <is>
          <t>2025-10-24</t>
        </is>
      </c>
      <c r="T422" s="43" t="inlineStr"/>
      <c r="U422" s="43" t="inlineStr"/>
    </row>
    <row r="423">
      <c r="A423" s="43" t="n">
        <v>423</v>
      </c>
      <c r="B423" s="43" t="inlineStr">
        <is>
          <t>422</t>
        </is>
      </c>
      <c r="C423" s="43" t="inlineStr">
        <is>
          <t>FJZP</t>
        </is>
      </c>
      <c r="D423" s="43" t="inlineStr">
        <is>
          <t>Cisco</t>
        </is>
      </c>
      <c r="E423" s="43" t="inlineStr">
        <is>
          <t>MCGA</t>
        </is>
      </c>
      <c r="F423" s="43" t="inlineStr">
        <is>
          <t>037-STBU</t>
        </is>
      </c>
      <c r="G423" s="43" t="inlineStr">
        <is>
          <t>CTANJZ04907</t>
        </is>
      </c>
      <c r="H423" s="43" t="inlineStr">
        <is>
          <t>For temporary part/material substitution (EXTENDABLE)</t>
        </is>
      </c>
      <c r="I423" s="43" t="inlineStr">
        <is>
          <t>Customer Deviation</t>
        </is>
      </c>
      <c r="J423" s="43" t="inlineStr">
        <is>
          <t>D604685</t>
        </is>
      </c>
      <c r="K423" s="33" t="inlineStr">
        <is>
          <t>D604685 Use DIMM 15-104289-01 instead of 15-104174-01 on Kilburn Park D 800-103845-08. MPN  MTA36ASF4G72PZ-2G6E1 (MICRON TECHNOLOGY) is an approved MPN for 15-104174-01  but vendor sent the part identified with a label as 15-104289-01</t>
        </is>
      </c>
      <c r="L423" s="43" t="inlineStr">
        <is>
          <t>Expired</t>
        </is>
      </c>
      <c r="M423" s="43" t="inlineStr">
        <is>
          <t>15-104174-01</t>
        </is>
      </c>
      <c r="N423" s="43" t="inlineStr"/>
      <c r="O423" s="43" t="inlineStr">
        <is>
          <t>2026-01-08</t>
        </is>
      </c>
      <c r="P423" s="33" t="inlineStr">
        <is>
          <t>For temporary part/material substitution (EXTENDABLE 2x)</t>
        </is>
      </c>
      <c r="Q423" s="43" t="inlineStr">
        <is>
          <t>Please add a label to the DIMM on a visible place not interfering with other marks</t>
        </is>
      </c>
      <c r="R423" s="43" t="inlineStr">
        <is>
          <t>2025-10-10</t>
        </is>
      </c>
      <c r="S423" s="43" t="inlineStr"/>
      <c r="T423" s="43" t="inlineStr"/>
      <c r="U423" s="43" t="inlineStr"/>
    </row>
    <row r="424">
      <c r="A424" s="43" t="n">
        <v>424</v>
      </c>
      <c r="B424" s="43" t="inlineStr">
        <is>
          <t>423</t>
        </is>
      </c>
      <c r="C424" s="43" t="inlineStr">
        <is>
          <t>FJZP</t>
        </is>
      </c>
      <c r="D424" s="43" t="inlineStr">
        <is>
          <t>Cisco</t>
        </is>
      </c>
      <c r="E424" s="43" t="inlineStr">
        <is>
          <t>MCGA</t>
        </is>
      </c>
      <c r="F424" s="43" t="inlineStr">
        <is>
          <t>037-STBU</t>
        </is>
      </c>
      <c r="G424" s="43" t="inlineStr">
        <is>
          <t>CTANJZ04923</t>
        </is>
      </c>
      <c r="H424" s="43" t="inlineStr">
        <is>
          <t>To temporarily use parts/materials that do not meet the specifications</t>
        </is>
      </c>
      <c r="I424" s="43" t="inlineStr">
        <is>
          <t>Customer Deviation</t>
        </is>
      </c>
      <c r="J424" s="43" t="inlineStr">
        <is>
          <t>D607132</t>
        </is>
      </c>
      <c r="K424" s="33" t="inlineStr">
        <is>
          <t>D607132 Trend will rework the existing stock 3;221 pcs total of chassis 800-105431-01 to be used on production.FJZ will modify the current sequence for assembly (Side screws; upper screw and then bottom screws)This Will allow us to use the material with a condition on the screw that Cisco; FJZ and trend agreed that is acceptable.</t>
        </is>
      </c>
      <c r="L424" s="43" t="inlineStr">
        <is>
          <t>Expired</t>
        </is>
      </c>
      <c r="M424" s="43" t="inlineStr">
        <is>
          <t>800-104476-08</t>
        </is>
      </c>
      <c r="N424" s="43" t="inlineStr"/>
      <c r="O424" s="43" t="inlineStr">
        <is>
          <t>2026-01-15</t>
        </is>
      </c>
      <c r="P424" s="33" t="inlineStr">
        <is>
          <t>To temporarily use parts/materials that do not meet the specifications</t>
        </is>
      </c>
      <c r="Q424" s="43" t="inlineStr">
        <is>
          <t>Please add a label to chassis next to serial label</t>
        </is>
      </c>
      <c r="R424" s="43" t="inlineStr">
        <is>
          <t>2025-10-17</t>
        </is>
      </c>
      <c r="S424" s="43" t="inlineStr">
        <is>
          <t>2025-11-05</t>
        </is>
      </c>
      <c r="T424" s="43" t="inlineStr"/>
      <c r="U424" s="43" t="inlineStr"/>
    </row>
    <row r="425">
      <c r="A425" s="43" t="n">
        <v>425</v>
      </c>
      <c r="B425" s="43" t="inlineStr">
        <is>
          <t>424</t>
        </is>
      </c>
      <c r="C425" s="43" t="inlineStr">
        <is>
          <t>FJZP</t>
        </is>
      </c>
      <c r="D425" s="43" t="inlineStr">
        <is>
          <t>Cisco</t>
        </is>
      </c>
      <c r="E425" s="43" t="inlineStr">
        <is>
          <t>MCGA</t>
        </is>
      </c>
      <c r="F425" s="43" t="inlineStr">
        <is>
          <t>037-STBU</t>
        </is>
      </c>
      <c r="G425" s="43" t="inlineStr">
        <is>
          <t>CTANJZ04923</t>
        </is>
      </c>
      <c r="H425" s="43" t="inlineStr">
        <is>
          <t>To temporarily use parts/materials that do not meet the specifications</t>
        </is>
      </c>
      <c r="I425" s="43" t="inlineStr">
        <is>
          <t>Customer Deviation</t>
        </is>
      </c>
      <c r="J425" s="43" t="inlineStr">
        <is>
          <t>D607132</t>
        </is>
      </c>
      <c r="K425" s="33" t="inlineStr">
        <is>
          <t>D607132 Trend will rework the existing stock 3;221 pcs total of chassis 800-105431-01 to be used on production.FJZ will modify the current sequence for assembly (Side screws; upper screw and then bottom screws)This Will allow us to use the material with a condition on the screw that Cisco; FJZ and trend agreed that is acceptable.</t>
        </is>
      </c>
      <c r="L425" s="43" t="inlineStr">
        <is>
          <t>Expired</t>
        </is>
      </c>
      <c r="M425" s="43" t="inlineStr">
        <is>
          <t>800-105430-01</t>
        </is>
      </c>
      <c r="N425" s="43" t="inlineStr"/>
      <c r="O425" s="43" t="inlineStr">
        <is>
          <t>2026-01-15</t>
        </is>
      </c>
      <c r="P425" s="33" t="inlineStr">
        <is>
          <t>To temporarily use parts/materials that do not meet the specifications</t>
        </is>
      </c>
      <c r="Q425" s="43" t="inlineStr">
        <is>
          <t>Please add a label to chassis next to serial label</t>
        </is>
      </c>
      <c r="R425" s="43" t="inlineStr">
        <is>
          <t>2025-10-17</t>
        </is>
      </c>
      <c r="S425" s="43" t="inlineStr">
        <is>
          <t>2025-11-05</t>
        </is>
      </c>
      <c r="T425" s="43" t="inlineStr"/>
      <c r="U425" s="43" t="inlineStr"/>
    </row>
    <row r="426">
      <c r="A426" s="43" t="n">
        <v>426</v>
      </c>
      <c r="B426" s="43" t="inlineStr">
        <is>
          <t>425</t>
        </is>
      </c>
      <c r="C426" s="43" t="inlineStr">
        <is>
          <t>FJZP</t>
        </is>
      </c>
      <c r="D426" s="43" t="inlineStr">
        <is>
          <t>Cisco</t>
        </is>
      </c>
      <c r="E426" s="43" t="inlineStr">
        <is>
          <t>MCGA</t>
        </is>
      </c>
      <c r="F426" s="43" t="inlineStr">
        <is>
          <t>037-STBU</t>
        </is>
      </c>
      <c r="G426" s="43" t="inlineStr">
        <is>
          <t>CTANJZ04923</t>
        </is>
      </c>
      <c r="H426" s="43" t="inlineStr">
        <is>
          <t>To temporarily use parts/materials that do not meet the specifications</t>
        </is>
      </c>
      <c r="I426" s="43" t="inlineStr">
        <is>
          <t>Customer Deviation</t>
        </is>
      </c>
      <c r="J426" s="43" t="inlineStr">
        <is>
          <t>D607132</t>
        </is>
      </c>
      <c r="K426" s="33" t="inlineStr">
        <is>
          <t>D607132 Trend will rework the existing stock 3;221 pcs total of chassis 800-105431-01 to be used on production.FJZ will modify the current sequence for assembly (Side screws; upper screw and then bottom screws)This Will allow us to use the material with a condition on the screw that Cisco; FJZ and trend agreed that is acceptable.</t>
        </is>
      </c>
      <c r="L426" s="43" t="inlineStr">
        <is>
          <t>Expired</t>
        </is>
      </c>
      <c r="M426" s="43" t="inlineStr">
        <is>
          <t>800-105431-01</t>
        </is>
      </c>
      <c r="N426" s="43" t="inlineStr"/>
      <c r="O426" s="43" t="inlineStr">
        <is>
          <t>2026-01-15</t>
        </is>
      </c>
      <c r="P426" s="33" t="inlineStr">
        <is>
          <t>To temporarily use parts/materials that do not meet the specifications</t>
        </is>
      </c>
      <c r="Q426" s="43" t="inlineStr">
        <is>
          <t>Please add a label to chassis next to serial label</t>
        </is>
      </c>
      <c r="R426" s="43" t="inlineStr">
        <is>
          <t>2025-10-17</t>
        </is>
      </c>
      <c r="S426" s="43" t="inlineStr">
        <is>
          <t>2025-11-05</t>
        </is>
      </c>
      <c r="T426" s="43" t="inlineStr"/>
      <c r="U426" s="43" t="inlineStr"/>
    </row>
    <row r="427">
      <c r="A427" s="43" t="n">
        <v>427</v>
      </c>
      <c r="B427" s="43" t="inlineStr">
        <is>
          <t>426</t>
        </is>
      </c>
      <c r="C427" s="43" t="inlineStr">
        <is>
          <t>FJZP</t>
        </is>
      </c>
      <c r="D427" s="43" t="inlineStr">
        <is>
          <t>Cisco</t>
        </is>
      </c>
      <c r="E427" s="43" t="inlineStr">
        <is>
          <t>MCGA</t>
        </is>
      </c>
      <c r="F427" s="43" t="inlineStr">
        <is>
          <t>037-STBU</t>
        </is>
      </c>
      <c r="G427" s="43" t="inlineStr">
        <is>
          <t>CTANJZ04923</t>
        </is>
      </c>
      <c r="H427" s="43" t="inlineStr">
        <is>
          <t>To temporarily use parts/materials that do not meet the specifications</t>
        </is>
      </c>
      <c r="I427" s="43" t="inlineStr">
        <is>
          <t>Customer Deviation</t>
        </is>
      </c>
      <c r="J427" s="43" t="inlineStr">
        <is>
          <t>D607132</t>
        </is>
      </c>
      <c r="K427" s="33" t="inlineStr">
        <is>
          <t>D607132 Trend will rework the existing stock 3;221 pcs total of chassis 800-105431-01 to be used on production.FJZ will modify the current sequence for assembly (Side screws; upper screw and then bottom screws)This Will allow us to use the material with a condition on the screw that Cisco; FJZ and trend agreed that is acceptable.</t>
        </is>
      </c>
      <c r="L427" s="43" t="inlineStr">
        <is>
          <t>Expired</t>
        </is>
      </c>
      <c r="M427" s="43" t="inlineStr">
        <is>
          <t>800-111297-02</t>
        </is>
      </c>
      <c r="N427" s="43" t="inlineStr"/>
      <c r="O427" s="43" t="inlineStr">
        <is>
          <t>2026-01-15</t>
        </is>
      </c>
      <c r="P427" s="33" t="inlineStr">
        <is>
          <t>To temporarily use parts/materials that do not meet the specifications</t>
        </is>
      </c>
      <c r="Q427" s="43" t="inlineStr">
        <is>
          <t>Please add a label to chassis next to serial label</t>
        </is>
      </c>
      <c r="R427" s="43" t="inlineStr">
        <is>
          <t>2025-10-17</t>
        </is>
      </c>
      <c r="S427" s="43" t="inlineStr">
        <is>
          <t>2025-11-05</t>
        </is>
      </c>
      <c r="T427" s="43" t="inlineStr"/>
      <c r="U427" s="43" t="inlineStr"/>
    </row>
    <row r="428">
      <c r="A428" s="43" t="n">
        <v>428</v>
      </c>
      <c r="B428" s="43" t="inlineStr">
        <is>
          <t>427</t>
        </is>
      </c>
      <c r="C428" s="43" t="inlineStr">
        <is>
          <t>FJZP</t>
        </is>
      </c>
      <c r="D428" s="43" t="inlineStr">
        <is>
          <t>Cisco</t>
        </is>
      </c>
      <c r="E428" s="43" t="inlineStr">
        <is>
          <t>MCGA</t>
        </is>
      </c>
      <c r="F428" s="43" t="inlineStr">
        <is>
          <t>037-STBU</t>
        </is>
      </c>
      <c r="G428" s="43" t="inlineStr">
        <is>
          <t>CTANJZ04923</t>
        </is>
      </c>
      <c r="H428" s="43" t="inlineStr">
        <is>
          <t>To temporarily use parts/materials that do not meet the specifications</t>
        </is>
      </c>
      <c r="I428" s="43" t="inlineStr">
        <is>
          <t>Customer Deviation</t>
        </is>
      </c>
      <c r="J428" s="43" t="inlineStr">
        <is>
          <t>D607132</t>
        </is>
      </c>
      <c r="K428" s="33" t="inlineStr">
        <is>
          <t>D607132 Trend will rework the existing stock 3;221 pcs total of chassis 800-105431-01 to be used on production.FJZ will modify the current sequence for assembly (Side screws; upper screw and then bottom screws)This Will allow us to use the material with a condition on the screw that Cisco; FJZ and trend agreed that is acceptable.</t>
        </is>
      </c>
      <c r="L428" s="43" t="inlineStr">
        <is>
          <t>Expired</t>
        </is>
      </c>
      <c r="M428" s="43" t="inlineStr">
        <is>
          <t>800-111338-01</t>
        </is>
      </c>
      <c r="N428" s="43" t="inlineStr"/>
      <c r="O428" s="43" t="inlineStr">
        <is>
          <t>2026-01-15</t>
        </is>
      </c>
      <c r="P428" s="33" t="inlineStr">
        <is>
          <t>To temporarily use parts/materials that do not meet the specifications</t>
        </is>
      </c>
      <c r="Q428" s="43" t="inlineStr">
        <is>
          <t>Please add a label to chassis next to serial label</t>
        </is>
      </c>
      <c r="R428" s="43" t="inlineStr">
        <is>
          <t>2025-10-17</t>
        </is>
      </c>
      <c r="S428" s="43" t="inlineStr">
        <is>
          <t>2025-11-05</t>
        </is>
      </c>
      <c r="T428" s="43" t="inlineStr"/>
      <c r="U428" s="43" t="inlineStr"/>
    </row>
    <row r="429">
      <c r="A429" s="43" t="n">
        <v>429</v>
      </c>
      <c r="B429" s="43" t="inlineStr">
        <is>
          <t>428</t>
        </is>
      </c>
      <c r="C429" s="43" t="inlineStr">
        <is>
          <t>FJZP</t>
        </is>
      </c>
      <c r="D429" s="43" t="inlineStr">
        <is>
          <t>Cisco</t>
        </is>
      </c>
      <c r="E429" s="43" t="inlineStr">
        <is>
          <t>MCGA</t>
        </is>
      </c>
      <c r="F429" s="43" t="inlineStr">
        <is>
          <t>037-STBU</t>
        </is>
      </c>
      <c r="G429" s="43" t="inlineStr">
        <is>
          <t>CTANJZ04863</t>
        </is>
      </c>
      <c r="H429" s="43" t="inlineStr">
        <is>
          <t>For temporary part/material substitution (EXTENDABLE)</t>
        </is>
      </c>
      <c r="I429" s="43" t="inlineStr">
        <is>
          <t>Customer Deviation</t>
        </is>
      </c>
      <c r="J429" s="43" t="inlineStr">
        <is>
          <t>D606223</t>
        </is>
      </c>
      <c r="K429" s="33" t="inlineStr">
        <is>
          <t>D606223 Allow FJZ to use 2;184 pcs of CPN- 15-104142-02 instead of version 01 to complete the qtr. End commitment.Please first make a controlled run of 3 units; pass the units trhough the process (PCBASSY; PCBP2; PCB2C; SYSASSY; SYSHIPOT; SYSFT) to confirm there is not any problem and report if any problem to**  Cisco Support Team ***PLPM:   Pin MakPE - Aiseosa OmorogievaME - Edgar BarronTE- Patricia ChavezTDE: Nirupama PadmanabhanSet the assemblies aside; if test results are satisfactory and the PE gives approval then units can be mixed with production for customer shipments. If the units do not pass test then we need to hold them up and notify PE for further instruction.Once released the material will be used to complete the qtr. end commitment</t>
        </is>
      </c>
      <c r="L429" s="43" t="inlineStr">
        <is>
          <t>Expired</t>
        </is>
      </c>
      <c r="M429" s="43" t="inlineStr">
        <is>
          <t>15-104142-01</t>
        </is>
      </c>
      <c r="N429" s="43" t="inlineStr"/>
      <c r="O429" s="43" t="inlineStr">
        <is>
          <t>2026-01-17</t>
        </is>
      </c>
      <c r="P429" s="33" t="inlineStr">
        <is>
          <t>For temporary part/material substitution (EXTENDABLE 2x)</t>
        </is>
      </c>
      <c r="Q429" s="43" t="inlineStr">
        <is>
          <t>Mark the units with a label on the bottom side of chasis; take care of not interfere with other label position.</t>
        </is>
      </c>
      <c r="R429" s="43" t="inlineStr">
        <is>
          <t>2025-09-18</t>
        </is>
      </c>
      <c r="S429" s="43" t="inlineStr">
        <is>
          <t>2025-10-03</t>
        </is>
      </c>
      <c r="T429" s="43" t="inlineStr"/>
      <c r="U429" s="43" t="inlineStr"/>
    </row>
    <row r="430">
      <c r="A430" s="43" t="n">
        <v>430</v>
      </c>
      <c r="B430" s="43" t="inlineStr">
        <is>
          <t>429</t>
        </is>
      </c>
      <c r="C430" s="43" t="inlineStr">
        <is>
          <t>FJZP</t>
        </is>
      </c>
      <c r="D430" s="43" t="inlineStr">
        <is>
          <t>Cisco</t>
        </is>
      </c>
      <c r="E430" s="43" t="inlineStr">
        <is>
          <t>MCGA</t>
        </is>
      </c>
      <c r="F430" s="43" t="inlineStr">
        <is>
          <t>037-STBU</t>
        </is>
      </c>
      <c r="G430" s="43" t="inlineStr">
        <is>
          <t>CTANJZ04863</t>
        </is>
      </c>
      <c r="H430" s="43" t="inlineStr">
        <is>
          <t>For temporary part/material substitution (EXTENDABLE)</t>
        </is>
      </c>
      <c r="I430" s="43" t="inlineStr">
        <is>
          <t>Customer Deviation</t>
        </is>
      </c>
      <c r="J430" s="43" t="inlineStr">
        <is>
          <t>D606223</t>
        </is>
      </c>
      <c r="K430" s="33" t="inlineStr">
        <is>
          <t>D606223 Allow FJZ to use 2;184 pcs of CPN- 15-104142-02 instead of version 01 to complete the qtr. End commitment.Please first make a controlled run of 3 units; pass the units trhough the process (PCBASSY; PCBP2; PCB2C; SYSASSY; SYSHIPOT; SYSFT) to confirm there is not any problem and report if any problem to**  Cisco Support Team ***PLPM:   Pin MakPE - Aiseosa OmorogievaME - Edgar BarronTE- Patricia ChavezTDE: Nirupama PadmanabhanSet the assemblies aside; if test results are satisfactory and the PE gives approval then units can be mixed with production for customer shipments. If the units do not pass test then we need to hold them up and notify PE for further instruction.Once released the material will be used to complete the qtr. end commitment</t>
        </is>
      </c>
      <c r="L430" s="43" t="inlineStr">
        <is>
          <t>Expired</t>
        </is>
      </c>
      <c r="M430" s="43" t="inlineStr">
        <is>
          <t>800-104788-03</t>
        </is>
      </c>
      <c r="N430" s="43" t="inlineStr"/>
      <c r="O430" s="43" t="inlineStr">
        <is>
          <t>2026-01-17</t>
        </is>
      </c>
      <c r="P430" s="33" t="inlineStr">
        <is>
          <t>For temporary part/material substitution (EXTENDABLE 2x)</t>
        </is>
      </c>
      <c r="Q430" s="43" t="inlineStr">
        <is>
          <t>Mark the units with a label on the bottom side of chasis; take care of not interfere with other label position.</t>
        </is>
      </c>
      <c r="R430" s="43" t="inlineStr">
        <is>
          <t>2025-09-18</t>
        </is>
      </c>
      <c r="S430" s="43" t="inlineStr">
        <is>
          <t>2025-10-03</t>
        </is>
      </c>
      <c r="T430" s="43" t="inlineStr"/>
      <c r="U430" s="43" t="inlineStr"/>
    </row>
    <row r="431">
      <c r="A431" s="43" t="n">
        <v>431</v>
      </c>
      <c r="B431" s="43" t="inlineStr">
        <is>
          <t>430</t>
        </is>
      </c>
      <c r="C431" s="43" t="inlineStr">
        <is>
          <t>FJZP</t>
        </is>
      </c>
      <c r="D431" s="43" t="inlineStr">
        <is>
          <t>Cisco</t>
        </is>
      </c>
      <c r="E431" s="43" t="inlineStr">
        <is>
          <t>MCGA</t>
        </is>
      </c>
      <c r="F431" s="43" t="inlineStr">
        <is>
          <t>037-STBU</t>
        </is>
      </c>
      <c r="G431" s="43" t="inlineStr">
        <is>
          <t>CTANJZ04863</t>
        </is>
      </c>
      <c r="H431" s="43" t="inlineStr">
        <is>
          <t>For temporary part/material substitution (EXTENDABLE)</t>
        </is>
      </c>
      <c r="I431" s="43" t="inlineStr">
        <is>
          <t>Customer Deviation</t>
        </is>
      </c>
      <c r="J431" s="43" t="inlineStr">
        <is>
          <t>D606223</t>
        </is>
      </c>
      <c r="K431" s="33" t="inlineStr">
        <is>
          <t>D606223 Allow FJZ to use 2;184 pcs of CPN- 15-104142-02 instead of version 01 to complete the qtr. End commitment.Please first make a controlled run of 3 units; pass the units trhough the process (PCBASSY; PCBP2; PCB2C; SYSASSY; SYSHIPOT; SYSFT) to confirm there is not any problem and report if any problem to**  Cisco Support Team ***PLPM:   Pin MakPE - Aiseosa OmorogievaME - Edgar BarronTE- Patricia ChavezTDE: Nirupama PadmanabhanSet the assemblies aside; if test results are satisfactory and the PE gives approval then units can be mixed with production for customer shipments. If the units do not pass test then we need to hold them up and notify PE for further instruction.Once released the material will be used to complete the qtr. end commitment</t>
        </is>
      </c>
      <c r="L431" s="43" t="inlineStr">
        <is>
          <t>Expired</t>
        </is>
      </c>
      <c r="M431" s="43" t="inlineStr">
        <is>
          <t>800-104789-03</t>
        </is>
      </c>
      <c r="N431" s="43" t="inlineStr"/>
      <c r="O431" s="43" t="inlineStr">
        <is>
          <t>2026-01-17</t>
        </is>
      </c>
      <c r="P431" s="33" t="inlineStr">
        <is>
          <t>For temporary part/material substitution (EXTENDABLE 2x)</t>
        </is>
      </c>
      <c r="Q431" s="43" t="inlineStr">
        <is>
          <t>Mark the units with a label on the bottom side of chasis; take care of not interfere with other label position.</t>
        </is>
      </c>
      <c r="R431" s="43" t="inlineStr">
        <is>
          <t>2025-09-18</t>
        </is>
      </c>
      <c r="S431" s="43" t="inlineStr">
        <is>
          <t>2025-10-03</t>
        </is>
      </c>
      <c r="T431" s="43" t="inlineStr"/>
      <c r="U431" s="43" t="inlineStr"/>
    </row>
    <row r="432">
      <c r="A432" s="43" t="n">
        <v>432</v>
      </c>
      <c r="B432" s="43" t="inlineStr">
        <is>
          <t>431</t>
        </is>
      </c>
      <c r="C432" s="43" t="inlineStr">
        <is>
          <t>FJZP</t>
        </is>
      </c>
      <c r="D432" s="43" t="inlineStr">
        <is>
          <t>Cisco</t>
        </is>
      </c>
      <c r="E432" s="43" t="inlineStr">
        <is>
          <t>MCGA</t>
        </is>
      </c>
      <c r="F432" s="43" t="inlineStr">
        <is>
          <t>034-IOTBU</t>
        </is>
      </c>
      <c r="G432" s="43" t="inlineStr">
        <is>
          <t>CTANJZ04766</t>
        </is>
      </c>
      <c r="H432" s="43" t="inlineStr">
        <is>
          <t>For temporary part/material substitution (EXTENDABLE)</t>
        </is>
      </c>
      <c r="I432" s="43" t="inlineStr">
        <is>
          <t>Customer Deviation</t>
        </is>
      </c>
      <c r="J432" s="43" t="inlineStr">
        <is>
          <t>DP525199</t>
        </is>
      </c>
      <c r="K432" s="33" t="inlineStr">
        <is>
          <t>DP525199 IoTBU: Allow FJZ to purchase MPN UHE2A221MHD6 which is in Qual Status as End of Production for the build of Test Pallets for Hellcat.</t>
        </is>
      </c>
      <c r="L432" s="43" t="inlineStr">
        <is>
          <t>Expired</t>
        </is>
      </c>
      <c r="M432" s="43" t="inlineStr">
        <is>
          <t>73-101441-05</t>
        </is>
      </c>
      <c r="N432" s="43" t="inlineStr"/>
      <c r="O432" s="43" t="inlineStr">
        <is>
          <t>2025-10-04</t>
        </is>
      </c>
      <c r="P432" s="33" t="inlineStr"/>
      <c r="Q432" s="43" t="inlineStr">
        <is>
          <t>N/A</t>
        </is>
      </c>
      <c r="R432" s="43" t="inlineStr">
        <is>
          <t>2025-08-06</t>
        </is>
      </c>
      <c r="S432" s="43" t="inlineStr">
        <is>
          <t>2025-08-14</t>
        </is>
      </c>
      <c r="T432" s="43" t="inlineStr"/>
      <c r="U432" s="43" t="inlineStr"/>
    </row>
    <row r="433">
      <c r="A433" s="43" t="n">
        <v>433</v>
      </c>
      <c r="B433" s="43" t="inlineStr">
        <is>
          <t>432</t>
        </is>
      </c>
      <c r="C433" s="43" t="inlineStr">
        <is>
          <t>FJZP</t>
        </is>
      </c>
      <c r="D433" s="43" t="inlineStr">
        <is>
          <t>Cisco</t>
        </is>
      </c>
      <c r="E433" s="43" t="inlineStr">
        <is>
          <t>MCGA</t>
        </is>
      </c>
      <c r="F433" s="43" t="inlineStr">
        <is>
          <t>035-CVEBU</t>
        </is>
      </c>
      <c r="G433" s="43" t="inlineStr">
        <is>
          <t>CTANJZ04959</t>
        </is>
      </c>
      <c r="H433" s="43" t="inlineStr">
        <is>
          <t>For temporary part/material substitution (EXTENDABLE)</t>
        </is>
      </c>
      <c r="I433" s="43" t="inlineStr">
        <is>
          <t>Customer Deviation</t>
        </is>
      </c>
      <c r="J433" s="43" t="inlineStr">
        <is>
          <t>D607626</t>
        </is>
      </c>
      <c r="K433" s="33" t="inlineStr">
        <is>
          <t>D607626 CVEBU;Polaris800-105480-01 ASY-ELMECH;CPU;Polaris; Main Board with NVIDIA800-108480-01 ASY-ELMECH;CPU;Polaris; Main Board with NVIDIA; TAA  In 800- BOMs30-100206-01 GRAPHIC CONTROLLER;NVIDIA;12V;PARKER SYSTEM-ON-MODULE;SEARREY 400P;1.9GHz;-25 to 105 C;for CODEC-PRODeplete stock: NVIDIA 600-83310-1000-800LTB:           NVIDIA 900-83310-6200-000As replacements; Foxconn can useeither:30-100206-02 GRAPHIC CONTROLLER;NVIDIA;12V;PARKER SYSTEM-ON-MODULE;SEARREY 400P;1.9GHz;-25 to 105 C;for DESKPRO  Deplete stock: NVIDIA 900-83310-6200-000Deplete stock: NVIDIA 900-83310-6200-001Obsolete:      NVIDIA 900-83310-620A-000Where used:  800-109226-01 ^01 ASY-ELMECH;CPU;MILLENNIUM; Main Board with NVIDIA   or:30-100206-03 -A0 GRAPHIC CONTROLLER;NVIDIA;12V;PARKER SYSTEM-ON-MODULE;SEARREY 400P;1.9GHz;-25 to 105 C;for HELIXDeplete stock: NVIDIA 900-83310-6200-000Obsolete:      NVIDIA 900-83310-620B-000Where used:800-106860-01 ^C0 ASY-ELMECH;CPU;HELIX MAINBOARD W/ NVIDIA  800-110760-01 ^C0 ASY-ELMECH;CPU;HELIX MAINBOARD W/ NVIDIA TAA  The three versions of 30-100206-0x were created for commercial reason; allowing a follow-up per product; Barents;Polaris;and Helix. The alternates under three CPN versions are functionally equal; and fully interchangeable.</t>
        </is>
      </c>
      <c r="L433" s="43" t="inlineStr">
        <is>
          <t>Expired</t>
        </is>
      </c>
      <c r="M433" s="43" t="inlineStr">
        <is>
          <t>30-100206-01</t>
        </is>
      </c>
      <c r="N433" s="43" t="inlineStr"/>
      <c r="O433" s="43" t="inlineStr">
        <is>
          <t>2026-02-10</t>
        </is>
      </c>
      <c r="P433" s="33" t="inlineStr">
        <is>
          <t>For temporary part/material substitution (EXTENDABLE 2x)</t>
        </is>
      </c>
      <c r="Q433" s="43" t="inlineStr">
        <is>
          <t>No FFF change =&gt; No marking needed</t>
        </is>
      </c>
      <c r="R433" s="43" t="inlineStr">
        <is>
          <t>2025-11-11</t>
        </is>
      </c>
      <c r="S433" s="43" t="inlineStr">
        <is>
          <t>2025-11-20</t>
        </is>
      </c>
      <c r="T433" s="43" t="inlineStr"/>
      <c r="U433" s="43" t="inlineStr"/>
    </row>
    <row r="434">
      <c r="A434" s="43" t="n">
        <v>434</v>
      </c>
      <c r="B434" s="43" t="inlineStr">
        <is>
          <t>433</t>
        </is>
      </c>
      <c r="C434" s="43" t="inlineStr">
        <is>
          <t>FJZP</t>
        </is>
      </c>
      <c r="D434" s="43" t="inlineStr">
        <is>
          <t>Cisco</t>
        </is>
      </c>
      <c r="E434" s="43" t="inlineStr">
        <is>
          <t>MCGA</t>
        </is>
      </c>
      <c r="F434" s="43" t="inlineStr">
        <is>
          <t>035-CVEBU</t>
        </is>
      </c>
      <c r="G434" s="43" t="inlineStr">
        <is>
          <t>CTANJZ04959</t>
        </is>
      </c>
      <c r="H434" s="43" t="inlineStr">
        <is>
          <t>For temporary part/material substitution (EXTENDABLE)</t>
        </is>
      </c>
      <c r="I434" s="43" t="inlineStr">
        <is>
          <t>Customer Deviation</t>
        </is>
      </c>
      <c r="J434" s="43" t="inlineStr">
        <is>
          <t>D607626</t>
        </is>
      </c>
      <c r="K434" s="33" t="inlineStr">
        <is>
          <t>D607626 CVEBU;Polaris800-105480-01 ASY-ELMECH;CPU;Polaris; Main Board with NVIDIA800-108480-01 ASY-ELMECH;CPU;Polaris; Main Board with NVIDIA; TAA  In 800- BOMs30-100206-01 GRAPHIC CONTROLLER;NVIDIA;12V;PARKER SYSTEM-ON-MODULE;SEARREY 400P;1.9GHz;-25 to 105 C;for CODEC-PRODeplete stock: NVIDIA 600-83310-1000-800LTB:           NVIDIA 900-83310-6200-000As replacements; Foxconn can useeither:30-100206-02 GRAPHIC CONTROLLER;NVIDIA;12V;PARKER SYSTEM-ON-MODULE;SEARREY 400P;1.9GHz;-25 to 105 C;for DESKPRO  Deplete stock: NVIDIA 900-83310-6200-000Deplete stock: NVIDIA 900-83310-6200-001Obsolete:      NVIDIA 900-83310-620A-000Where used:  800-109226-01 ^01 ASY-ELMECH;CPU;MILLENNIUM; Main Board with NVIDIA   or:30-100206-03 -A0 GRAPHIC CONTROLLER;NVIDIA;12V;PARKER SYSTEM-ON-MODULE;SEARREY 400P;1.9GHz;-25 to 105 C;for HELIXDeplete stock: NVIDIA 900-83310-6200-000Obsolete:      NVIDIA 900-83310-620B-000Where used:800-106860-01 ^C0 ASY-ELMECH;CPU;HELIX MAINBOARD W/ NVIDIA  800-110760-01 ^C0 ASY-ELMECH;CPU;HELIX MAINBOARD W/ NVIDIA TAA  The three versions of 30-100206-0x were created for commercial reason; allowing a follow-up per product; Barents;Polaris;and Helix. The alternates under three CPN versions are functionally equal; and fully interchangeable.</t>
        </is>
      </c>
      <c r="L434" s="43" t="inlineStr">
        <is>
          <t>Expired</t>
        </is>
      </c>
      <c r="M434" s="43" t="inlineStr">
        <is>
          <t>800-108480-01</t>
        </is>
      </c>
      <c r="N434" s="43" t="inlineStr"/>
      <c r="O434" s="43" t="inlineStr">
        <is>
          <t>2026-02-10</t>
        </is>
      </c>
      <c r="P434" s="33" t="inlineStr">
        <is>
          <t>For temporary part/material substitution (EXTENDABLE 2x)</t>
        </is>
      </c>
      <c r="Q434" s="43" t="inlineStr">
        <is>
          <t>No FFF change =&gt; No marking needed</t>
        </is>
      </c>
      <c r="R434" s="43" t="inlineStr">
        <is>
          <t>2025-11-11</t>
        </is>
      </c>
      <c r="S434" s="43" t="inlineStr">
        <is>
          <t>2025-11-20</t>
        </is>
      </c>
      <c r="T434" s="43" t="inlineStr"/>
      <c r="U434" s="43" t="inlineStr"/>
    </row>
    <row r="435">
      <c r="A435" s="43" t="n">
        <v>435</v>
      </c>
      <c r="B435" s="43" t="inlineStr">
        <is>
          <t>434</t>
        </is>
      </c>
      <c r="C435" s="43" t="inlineStr">
        <is>
          <t>FJZP</t>
        </is>
      </c>
      <c r="D435" s="43" t="inlineStr">
        <is>
          <t>Cisco</t>
        </is>
      </c>
      <c r="E435" s="43" t="inlineStr">
        <is>
          <t>MCGA</t>
        </is>
      </c>
      <c r="F435" s="43" t="inlineStr">
        <is>
          <t>035-CVEBU</t>
        </is>
      </c>
      <c r="G435" s="43" t="inlineStr">
        <is>
          <t>CTANJZ04965</t>
        </is>
      </c>
      <c r="H435" s="43" t="inlineStr">
        <is>
          <t>For temporary part/material substitution (EXTENDABLE)</t>
        </is>
      </c>
      <c r="I435" s="43" t="inlineStr">
        <is>
          <t>Customer Deviation</t>
        </is>
      </c>
      <c r="J435" s="43" t="inlineStr">
        <is>
          <t>D607679</t>
        </is>
      </c>
      <c r="K435" s="33" t="inlineStr">
        <is>
          <t>D607679 CVEBU;Polaris NR TAA68-103946-04 ASY-ELMECH;POLARIS UNIT TX2 FUSED NR;TAARemove from BOM:800-118476-04 FNLASY-ELMECH;MODULE;POLARIS UNIT CAM2 TX2 FUSED NR;TAA  Add to BOM:800-108476-04 FNLASY-ELMECH;MODULE;POLARIS UNIT CAM2 TX2 NR;TAAReason: To balance use-up of NVIDIA Tx2 Module remaining stock; FJZ shall change from providing fused NR back to true NR for the NR;TAA Polaris variant</t>
        </is>
      </c>
      <c r="L435" s="43" t="inlineStr">
        <is>
          <t>Expired</t>
        </is>
      </c>
      <c r="M435" s="43" t="inlineStr">
        <is>
          <t>68-103946-04</t>
        </is>
      </c>
      <c r="N435" s="43" t="inlineStr"/>
      <c r="O435" s="43" t="inlineStr">
        <is>
          <t>2026-02-11</t>
        </is>
      </c>
      <c r="P435" s="33" t="inlineStr">
        <is>
          <t>For temporary part/material substitution (EXTENDABLE 2x)</t>
        </is>
      </c>
      <c r="Q435" s="43" t="inlineStr">
        <is>
          <t>No FFF change =&gt; No marking needed</t>
        </is>
      </c>
      <c r="R435" s="43" t="inlineStr">
        <is>
          <t>2025-11-14</t>
        </is>
      </c>
      <c r="S435" s="43" t="inlineStr">
        <is>
          <t>2025-12-09</t>
        </is>
      </c>
      <c r="T435" s="43" t="inlineStr"/>
      <c r="U435" s="43" t="inlineStr"/>
    </row>
    <row r="436">
      <c r="A436" s="43" t="n">
        <v>436</v>
      </c>
      <c r="B436" s="43" t="inlineStr">
        <is>
          <t>435</t>
        </is>
      </c>
      <c r="C436" s="43" t="inlineStr">
        <is>
          <t>FJZP</t>
        </is>
      </c>
      <c r="D436" s="43" t="inlineStr">
        <is>
          <t>Cisco</t>
        </is>
      </c>
      <c r="E436" s="43" t="inlineStr">
        <is>
          <t>MCGA</t>
        </is>
      </c>
      <c r="F436" s="43" t="inlineStr">
        <is>
          <t>037-STBU</t>
        </is>
      </c>
      <c r="G436" s="43" t="inlineStr">
        <is>
          <t>CTANJZ05067</t>
        </is>
      </c>
      <c r="H436" s="43" t="inlineStr">
        <is>
          <t>For temporary part/material substitution (EXTENDABLE)</t>
        </is>
      </c>
      <c r="I436" s="43" t="inlineStr">
        <is>
          <t>Customer Deviation</t>
        </is>
      </c>
      <c r="J436" s="43" t="inlineStr">
        <is>
          <t>D608828</t>
        </is>
      </c>
      <c r="K436" s="33" t="inlineStr">
        <is>
          <t>D608828Use DIMM 15-105736-02 instead of 15-106507-02 on QW. MPN SMART MODULAR SR5722G822APJDASG0 is an approved MPN for 15-106507-02</t>
        </is>
      </c>
      <c r="L436" s="43" t="inlineStr">
        <is>
          <t>Expired</t>
        </is>
      </c>
      <c r="M436" s="43" t="inlineStr">
        <is>
          <t>15-106507-02</t>
        </is>
      </c>
      <c r="N436" s="43" t="inlineStr"/>
      <c r="O436" s="43" t="inlineStr">
        <is>
          <t>2026-04-15</t>
        </is>
      </c>
      <c r="P436" s="33" t="inlineStr">
        <is>
          <t>For temporary part/material substitution (EXTENDABLE 2x)</t>
        </is>
      </c>
      <c r="Q436" s="43" t="inlineStr">
        <is>
          <t>Add the label with the deviation number and part number on the DIMM. Add part number with a barcode for scanning purposes.</t>
        </is>
      </c>
      <c r="R436" s="43" t="inlineStr">
        <is>
          <t>2026-01-16</t>
        </is>
      </c>
      <c r="S436" s="43" t="inlineStr">
        <is>
          <t>2026-01-31</t>
        </is>
      </c>
      <c r="T436" s="43" t="inlineStr"/>
      <c r="U436" s="43" t="inlineStr"/>
    </row>
    <row r="437">
      <c r="A437" s="43" t="n">
        <v>437</v>
      </c>
      <c r="B437" s="43" t="inlineStr">
        <is>
          <t>436</t>
        </is>
      </c>
      <c r="C437" s="43" t="inlineStr">
        <is>
          <t>FJZP</t>
        </is>
      </c>
      <c r="D437" s="43" t="inlineStr">
        <is>
          <t>Cisco</t>
        </is>
      </c>
      <c r="E437" s="43" t="inlineStr">
        <is>
          <t>MCGA</t>
        </is>
      </c>
      <c r="F437" s="43" t="inlineStr">
        <is>
          <t>037-STBU</t>
        </is>
      </c>
      <c r="G437" s="43" t="inlineStr">
        <is>
          <t>CTANJZ05067</t>
        </is>
      </c>
      <c r="H437" s="43" t="inlineStr">
        <is>
          <t>For temporary part/material substitution (EXTENDABLE)</t>
        </is>
      </c>
      <c r="I437" s="43" t="inlineStr">
        <is>
          <t>Customer Deviation</t>
        </is>
      </c>
      <c r="J437" s="43" t="inlineStr">
        <is>
          <t>D608828</t>
        </is>
      </c>
      <c r="K437" s="33" t="inlineStr">
        <is>
          <t>D608828Use DIMM 15-105736-02 instead of 15-106507-02 on QW. MPN SMART MODULAR SR5722G822APJDASG0 is an approved MPN for 15-106507-02</t>
        </is>
      </c>
      <c r="L437" s="43" t="inlineStr">
        <is>
          <t>Expired</t>
        </is>
      </c>
      <c r="M437" s="43" t="inlineStr">
        <is>
          <t>800-105498-03</t>
        </is>
      </c>
      <c r="N437" s="43" t="inlineStr"/>
      <c r="O437" s="43" t="inlineStr">
        <is>
          <t>2026-04-15</t>
        </is>
      </c>
      <c r="P437" s="33" t="inlineStr">
        <is>
          <t>For temporary part/material substitution (EXTENDABLE 2x)</t>
        </is>
      </c>
      <c r="Q437" s="43" t="inlineStr">
        <is>
          <t>Add the label with the deviation number and part number on the DIMM. Add part number with a barcode for scanning purposes.</t>
        </is>
      </c>
      <c r="R437" s="43" t="inlineStr">
        <is>
          <t>2026-01-16</t>
        </is>
      </c>
      <c r="S437" s="43" t="inlineStr">
        <is>
          <t>2026-01-31</t>
        </is>
      </c>
      <c r="T437" s="43" t="inlineStr"/>
      <c r="U437" s="43" t="inlineStr"/>
    </row>
    <row r="438">
      <c r="A438" s="43" t="n">
        <v>438</v>
      </c>
      <c r="B438" s="43" t="inlineStr">
        <is>
          <t>437</t>
        </is>
      </c>
      <c r="C438" s="43" t="inlineStr">
        <is>
          <t>FJZP</t>
        </is>
      </c>
      <c r="D438" s="43" t="inlineStr">
        <is>
          <t>Cisco</t>
        </is>
      </c>
      <c r="E438" s="43" t="inlineStr">
        <is>
          <t>MCGA</t>
        </is>
      </c>
      <c r="F438" s="43" t="inlineStr">
        <is>
          <t>037-STBU</t>
        </is>
      </c>
      <c r="G438" s="43" t="inlineStr">
        <is>
          <t>CTANJZ05067</t>
        </is>
      </c>
      <c r="H438" s="43" t="inlineStr">
        <is>
          <t>For temporary part/material substitution (EXTENDABLE)</t>
        </is>
      </c>
      <c r="I438" s="43" t="inlineStr">
        <is>
          <t>Customer Deviation</t>
        </is>
      </c>
      <c r="J438" s="43" t="inlineStr">
        <is>
          <t>D608828</t>
        </is>
      </c>
      <c r="K438" s="33" t="inlineStr">
        <is>
          <t>D608828Use DIMM 15-105736-02 instead of 15-106507-02 on QW. MPN SMART MODULAR SR5722G822APJDASG0 is an approved MPN for 15-106507-02</t>
        </is>
      </c>
      <c r="L438" s="43" t="inlineStr">
        <is>
          <t>Expired</t>
        </is>
      </c>
      <c r="M438" s="43" t="inlineStr">
        <is>
          <t>800-105499-03</t>
        </is>
      </c>
      <c r="N438" s="43" t="inlineStr"/>
      <c r="O438" s="43" t="inlineStr">
        <is>
          <t>2026-04-15</t>
        </is>
      </c>
      <c r="P438" s="33" t="inlineStr">
        <is>
          <t>For temporary part/material substitution (EXTENDABLE 2x)</t>
        </is>
      </c>
      <c r="Q438" s="43" t="inlineStr">
        <is>
          <t>Add the label with the deviation number and part number on the DIMM. Add part number with a barcode for scanning purposes.</t>
        </is>
      </c>
      <c r="R438" s="43" t="inlineStr">
        <is>
          <t>2026-01-16</t>
        </is>
      </c>
      <c r="S438" s="43" t="inlineStr">
        <is>
          <t>2026-01-31</t>
        </is>
      </c>
      <c r="T438" s="43" t="inlineStr"/>
      <c r="U438" s="43" t="inlineStr"/>
    </row>
    <row r="439">
      <c r="A439" s="43" t="n">
        <v>439</v>
      </c>
      <c r="B439" s="43" t="inlineStr">
        <is>
          <t>438</t>
        </is>
      </c>
      <c r="C439" s="43" t="inlineStr">
        <is>
          <t>FJZP</t>
        </is>
      </c>
      <c r="D439" s="43" t="inlineStr">
        <is>
          <t>Cisco</t>
        </is>
      </c>
      <c r="E439" s="43" t="inlineStr">
        <is>
          <t>MCGA</t>
        </is>
      </c>
      <c r="F439" s="43" t="inlineStr">
        <is>
          <t>037-STBU</t>
        </is>
      </c>
      <c r="G439" s="43" t="inlineStr">
        <is>
          <t>CTANJZ04872</t>
        </is>
      </c>
      <c r="H439" s="43" t="inlineStr">
        <is>
          <t>For temporary part/material substitution (EXTENDABLE)</t>
        </is>
      </c>
      <c r="I439" s="43" t="inlineStr">
        <is>
          <t>Customer Deviation</t>
        </is>
      </c>
      <c r="J439" s="43" t="inlineStr">
        <is>
          <t>D606243</t>
        </is>
      </c>
      <c r="K439" s="33" t="inlineStr">
        <is>
          <t>D606243 NGFWBU::::For FPR3K and CSF4200 on the specific PIDs affected by 32G DDR4 Shortage:FP3105 -800-110666-02FPR3110 -800-108035-05FPR3130 -800-108037-05CSF4115 -800-109498-06Allow FJZ to use 15-109192-01 in place of 15-108159-01 to help the qtr. End commitment.FJZ to use the below specified MPNs on 15-109192-01 in place of 15-108159-01 in spite of the AVL status on 15-109192-01:SAMSUNG SEMICONDUCTORS - M393A4G43CB4-CWEMICRON TECHNOLOGY - MTA18ASF4G72PDZ-3G2F1HYNIX SEMICONDUCTOR - HMAG88DXNRBFJZ to first do a controlled run of 3 units; pass the units through the process (PCBASSY; PCBP2; PCB2C; SYSASSY; SYSHIPOT; SYSFT) to confirm there is not any problem and report if any problem to Cisco PE / Support Team.Set the assemblies aside; if test results are satisfactory and the PE gives approval then units can be mixed with production for customer shipments. If the units FAIL then FJZ need to hold units and notify PE for further instruction.*** Cisco Support Team ***PLPM:   Pin MakPE - Aiseosa OmorogievaME - Lluvia RuvalcabaTE- Patricia ChavezTDE: Nirupama Padmanabhan</t>
        </is>
      </c>
      <c r="L439" s="43" t="inlineStr">
        <is>
          <t>Expired</t>
        </is>
      </c>
      <c r="M439" s="43" t="inlineStr">
        <is>
          <t>800-110666-02</t>
        </is>
      </c>
      <c r="N439" s="43" t="inlineStr"/>
      <c r="O439" s="43" t="inlineStr">
        <is>
          <t>2025-12-24</t>
        </is>
      </c>
      <c r="P439" s="33" t="inlineStr">
        <is>
          <t>For temporary part/material substitution (EXTENDABLE 2x)</t>
        </is>
      </c>
      <c r="Q439" s="43" t="inlineStr">
        <is>
          <t>Place the deviation label "D596590" on the top side on the PCBA and outside the chassis (pull out tag).</t>
        </is>
      </c>
      <c r="R439" s="43" t="inlineStr">
        <is>
          <t>2025-09-25</t>
        </is>
      </c>
      <c r="S439" s="43" t="inlineStr">
        <is>
          <t>2025-10-21</t>
        </is>
      </c>
      <c r="T439" s="43" t="inlineStr"/>
      <c r="U439" s="43" t="inlineStr"/>
    </row>
    <row r="440">
      <c r="A440" s="43" t="n">
        <v>440</v>
      </c>
      <c r="B440" s="43" t="inlineStr">
        <is>
          <t>439</t>
        </is>
      </c>
      <c r="C440" s="43" t="inlineStr">
        <is>
          <t>FJZP</t>
        </is>
      </c>
      <c r="D440" s="43" t="inlineStr">
        <is>
          <t>Cisco</t>
        </is>
      </c>
      <c r="E440" s="43" t="inlineStr">
        <is>
          <t>MCGA</t>
        </is>
      </c>
      <c r="F440" s="43" t="inlineStr">
        <is>
          <t>035-CVEBU</t>
        </is>
      </c>
      <c r="G440" s="43" t="inlineStr">
        <is>
          <t>CTANJZ04884</t>
        </is>
      </c>
      <c r="H440" s="43" t="inlineStr">
        <is>
          <t>For temporary part/material substitution (EXTENDABLE)</t>
        </is>
      </c>
      <c r="I440" s="43" t="inlineStr">
        <is>
          <t>Customer Deviation</t>
        </is>
      </c>
      <c r="J440" s="43" t="inlineStr">
        <is>
          <t>D606680</t>
        </is>
      </c>
      <c r="K440" s="33" t="inlineStr">
        <is>
          <t>D606680 CVEBU;Taylor800-126978-03 / 73-103922-04 PCA;TAYLOR LOW MODULE WITH HYNIX 16GB LPDDR5  In BOM28-103228-04 PCBFAB;12 L;EM-370(Z);OSP;47.2 mil;TAYLOR;2-UP  To avoid E&amp;O; FJZ is allowed to consume their stock of 342 pcs previous version PCBs; namely 28-103228-03.</t>
        </is>
      </c>
      <c r="L440" s="43" t="inlineStr">
        <is>
          <t>Expired</t>
        </is>
      </c>
      <c r="M440" s="43" t="inlineStr">
        <is>
          <t>28-103228-04</t>
        </is>
      </c>
      <c r="N440" s="43" t="inlineStr"/>
      <c r="O440" s="43" t="inlineStr">
        <is>
          <t>2025-12-29</t>
        </is>
      </c>
      <c r="P440" s="33" t="inlineStr">
        <is>
          <t>For temporary part/material substitution (EXTENDABLE 2x)</t>
        </is>
      </c>
      <c r="Q440" s="43" t="inlineStr">
        <is>
          <t>No FFF change =&gt; No marking needed</t>
        </is>
      </c>
      <c r="R440" s="43" t="inlineStr">
        <is>
          <t>2025-09-30</t>
        </is>
      </c>
      <c r="S440" s="43" t="inlineStr">
        <is>
          <t>2025-10-13</t>
        </is>
      </c>
      <c r="T440" s="43" t="inlineStr"/>
      <c r="U440" s="43" t="inlineStr"/>
    </row>
    <row r="441">
      <c r="A441" s="43" t="n">
        <v>441</v>
      </c>
      <c r="B441" s="43" t="inlineStr">
        <is>
          <t>440</t>
        </is>
      </c>
      <c r="C441" s="43" t="inlineStr">
        <is>
          <t>FJZP</t>
        </is>
      </c>
      <c r="D441" s="43" t="inlineStr">
        <is>
          <t>Cisco</t>
        </is>
      </c>
      <c r="E441" s="43" t="inlineStr">
        <is>
          <t>MCGA</t>
        </is>
      </c>
      <c r="F441" s="43" t="inlineStr">
        <is>
          <t>035-CVEBU</t>
        </is>
      </c>
      <c r="G441" s="43" t="inlineStr">
        <is>
          <t>CTANJZ04884</t>
        </is>
      </c>
      <c r="H441" s="43" t="inlineStr">
        <is>
          <t>For temporary part/material substitution (EXTENDABLE)</t>
        </is>
      </c>
      <c r="I441" s="43" t="inlineStr">
        <is>
          <t>Customer Deviation</t>
        </is>
      </c>
      <c r="J441" s="43" t="inlineStr">
        <is>
          <t>D606680</t>
        </is>
      </c>
      <c r="K441" s="33" t="inlineStr">
        <is>
          <t>D606680 CVEBU;Taylor800-126978-03 / 73-103922-04 PCA;TAYLOR LOW MODULE WITH HYNIX 16GB LPDDR5  In BOM28-103228-04 PCBFAB;12 L;EM-370(Z);OSP;47.2 mil;TAYLOR;2-UP  To avoid E&amp;O; FJZ is allowed to consume their stock of 342 pcs previous version PCBs; namely 28-103228-03.</t>
        </is>
      </c>
      <c r="L441" s="43" t="inlineStr">
        <is>
          <t>Expired</t>
        </is>
      </c>
      <c r="M441" s="43" t="inlineStr">
        <is>
          <t>73-103922-04</t>
        </is>
      </c>
      <c r="N441" s="43" t="inlineStr"/>
      <c r="O441" s="43" t="inlineStr">
        <is>
          <t>2025-12-29</t>
        </is>
      </c>
      <c r="P441" s="33" t="inlineStr">
        <is>
          <t>For temporary part/material substitution (EXTENDABLE 2x)</t>
        </is>
      </c>
      <c r="Q441" s="43" t="inlineStr">
        <is>
          <t>No FFF change =&gt; No marking needed</t>
        </is>
      </c>
      <c r="R441" s="43" t="inlineStr">
        <is>
          <t>2025-09-30</t>
        </is>
      </c>
      <c r="S441" s="43" t="inlineStr">
        <is>
          <t>2025-10-13</t>
        </is>
      </c>
      <c r="T441" s="43" t="inlineStr"/>
      <c r="U441" s="43" t="inlineStr"/>
    </row>
    <row r="442">
      <c r="A442" s="43" t="n">
        <v>442</v>
      </c>
      <c r="B442" s="43" t="inlineStr">
        <is>
          <t>441</t>
        </is>
      </c>
      <c r="C442" s="43" t="inlineStr">
        <is>
          <t>FJZP</t>
        </is>
      </c>
      <c r="D442" s="43" t="inlineStr">
        <is>
          <t>Cisco</t>
        </is>
      </c>
      <c r="E442" s="43" t="inlineStr">
        <is>
          <t>MCGA</t>
        </is>
      </c>
      <c r="F442" s="43" t="inlineStr">
        <is>
          <t>018-SRGBU</t>
        </is>
      </c>
      <c r="G442" s="43" t="inlineStr">
        <is>
          <t>CTANJZ04983</t>
        </is>
      </c>
      <c r="H442" s="43" t="inlineStr">
        <is>
          <t>For temporary Manufacturing process change</t>
        </is>
      </c>
      <c r="I442" s="43" t="inlineStr">
        <is>
          <t>Customer Deviation</t>
        </is>
      </c>
      <c r="J442" s="43" t="inlineStr">
        <is>
          <t>D607949</t>
        </is>
      </c>
      <c r="K442" s="33" t="inlineStr">
        <is>
          <t>D607949 SRGBU: Tabei-M/Orion: Authorize all DFs to site Balance (SB) by requesting 16-101937-01/16-102213-01 in replacement of 16-102060-01Note: if those SSD have older fw version; upgrade to FW510 before shipping</t>
        </is>
      </c>
      <c r="L442" s="43" t="inlineStr">
        <is>
          <t>Expired</t>
        </is>
      </c>
      <c r="M442" s="43" t="inlineStr">
        <is>
          <t>16-102060-01</t>
        </is>
      </c>
      <c r="N442" s="43" t="inlineStr"/>
      <c r="O442" s="43" t="inlineStr">
        <is>
          <t>2026-02-24</t>
        </is>
      </c>
      <c r="P442" s="33" t="inlineStr">
        <is>
          <t>For temporary part/material substitution (EXTENDABLE 2x)</t>
        </is>
      </c>
      <c r="Q442" s="43" t="inlineStr">
        <is>
          <t>Label all deviated drives with deviation# and relabel/-re-ID deviated drives as 16-102060-01; accordingly</t>
        </is>
      </c>
      <c r="R442" s="43" t="inlineStr">
        <is>
          <t>2025-11-26</t>
        </is>
      </c>
      <c r="S442" s="43" t="inlineStr">
        <is>
          <t>2025-12-09</t>
        </is>
      </c>
      <c r="T442" s="43" t="inlineStr"/>
      <c r="U442" s="43" t="inlineStr"/>
    </row>
    <row r="443">
      <c r="A443" s="43" t="n">
        <v>443</v>
      </c>
      <c r="B443" s="43" t="inlineStr">
        <is>
          <t>442</t>
        </is>
      </c>
      <c r="C443" s="43" t="inlineStr">
        <is>
          <t>FJZP</t>
        </is>
      </c>
      <c r="D443" s="43" t="inlineStr">
        <is>
          <t>Cisco</t>
        </is>
      </c>
      <c r="E443" s="43" t="inlineStr">
        <is>
          <t>MCGA</t>
        </is>
      </c>
      <c r="F443" s="43" t="inlineStr">
        <is>
          <t>018-SRGBU</t>
        </is>
      </c>
      <c r="G443" s="43" t="inlineStr">
        <is>
          <t>CTANJZ04983</t>
        </is>
      </c>
      <c r="H443" s="43" t="inlineStr">
        <is>
          <t>For temporary Manufacturing process change</t>
        </is>
      </c>
      <c r="I443" s="43" t="inlineStr">
        <is>
          <t>Customer Deviation</t>
        </is>
      </c>
      <c r="J443" s="43" t="inlineStr">
        <is>
          <t>D607949</t>
        </is>
      </c>
      <c r="K443" s="33" t="inlineStr">
        <is>
          <t>D607949 SRGBU: Tabei-M/Orion: Authorize all DFs to site Balance (SB) by requesting 16-101937-01/16-102213-01 in replacement of 16-102060-01Note: if those SSD have older fw version; upgrade to FW510 before shipping</t>
        </is>
      </c>
      <c r="L443" s="43" t="inlineStr">
        <is>
          <t>Expired</t>
        </is>
      </c>
      <c r="M443" s="43" t="inlineStr">
        <is>
          <t>800-50422-02</t>
        </is>
      </c>
      <c r="N443" s="43" t="inlineStr"/>
      <c r="O443" s="43" t="inlineStr">
        <is>
          <t>2026-02-24</t>
        </is>
      </c>
      <c r="P443" s="33" t="inlineStr">
        <is>
          <t>For temporary part/material substitution (EXTENDABLE 2x)</t>
        </is>
      </c>
      <c r="Q443" s="43" t="inlineStr">
        <is>
          <t>Label all deviated drives with deviation# and relabel/-re-ID deviated drives as 16-102060-01; accordingly</t>
        </is>
      </c>
      <c r="R443" s="43" t="inlineStr">
        <is>
          <t>2025-11-26</t>
        </is>
      </c>
      <c r="S443" s="43" t="inlineStr">
        <is>
          <t>2025-12-09</t>
        </is>
      </c>
      <c r="T443" s="43" t="inlineStr"/>
      <c r="U443" s="43" t="inlineStr"/>
    </row>
    <row r="444">
      <c r="A444" s="43" t="n">
        <v>444</v>
      </c>
      <c r="B444" s="43" t="inlineStr">
        <is>
          <t>443</t>
        </is>
      </c>
      <c r="C444" s="43" t="inlineStr">
        <is>
          <t>FJZP</t>
        </is>
      </c>
      <c r="D444" s="43" t="inlineStr">
        <is>
          <t>Cisco</t>
        </is>
      </c>
      <c r="E444" s="43" t="inlineStr">
        <is>
          <t>MCGA</t>
        </is>
      </c>
      <c r="F444" s="43" t="inlineStr">
        <is>
          <t>037-STBU</t>
        </is>
      </c>
      <c r="G444" s="43" t="inlineStr">
        <is>
          <t>CTANJZ05085</t>
        </is>
      </c>
      <c r="H444" s="43" t="inlineStr">
        <is>
          <t>To temporarily use parts/materials that do not meet the specifications</t>
        </is>
      </c>
      <c r="I444" s="43" t="inlineStr">
        <is>
          <t>Customer Deviation</t>
        </is>
      </c>
      <c r="J444" s="43" t="inlineStr">
        <is>
          <t>D609145</t>
        </is>
      </c>
      <c r="K444" s="33" t="inlineStr">
        <is>
          <t>D609145 Foxconn provided several examples units showing the J2400 &amp; J2401 CZT component visual defect. All units pass the LED test without any issues.  From the FJZ QA PCBA and Cisco ME perspective; this cosmetic condition can be considered acceptable.This Deviation supports use of the Connectors with recessed LED Light Pipes with the following conditions:- All production units MUST meet the LED test criteria and PASS the LED Test- Units already assembled with these connectors can be approved for shipment; after the units PASS the LED Test.- The use of these Connectors shall be limited to production demand until the end of Q2/26; only if the existing inventory of "good" connectors is depleted; for new builds.- All systems that are assembled with the 1x4 Connectors with recessed LED shall be identified by Serial Number; maintained by Foxconn Production; published after Q2/26 quarter end.Additional use of these defective Connectors beyond Q2/FY26 quarter end shall be decided upon by Cisco Regional ME and Supply team members; based on material needs.  In all cases; the units shall PASS LED Test; and S/N recorded</t>
        </is>
      </c>
      <c r="L444" s="43" t="inlineStr">
        <is>
          <t>Expired</t>
        </is>
      </c>
      <c r="M444" s="43" t="inlineStr">
        <is>
          <t>74-134454-05</t>
        </is>
      </c>
      <c r="N444" s="43" t="inlineStr"/>
      <c r="O444" s="43" t="inlineStr">
        <is>
          <t>2026-04-23</t>
        </is>
      </c>
      <c r="P444" s="33" t="inlineStr">
        <is>
          <t>To temporarily use parts/materials that do not meet the specifications</t>
        </is>
      </c>
      <c r="Q444" s="43" t="inlineStr">
        <is>
          <t>Apply Deviation Label/Number on the bottom external surface of the Chassis; next to the Mfg PN and S/N Label</t>
        </is>
      </c>
      <c r="R444" s="43" t="inlineStr">
        <is>
          <t>2026-01-23</t>
        </is>
      </c>
      <c r="S444" s="43" t="inlineStr">
        <is>
          <t>2026-02-17</t>
        </is>
      </c>
      <c r="T444" s="43" t="inlineStr"/>
      <c r="U444" s="43" t="inlineStr"/>
    </row>
    <row r="445">
      <c r="A445" s="43" t="n">
        <v>445</v>
      </c>
      <c r="B445" s="43" t="inlineStr">
        <is>
          <t>444</t>
        </is>
      </c>
      <c r="C445" s="43" t="inlineStr">
        <is>
          <t>FJZP</t>
        </is>
      </c>
      <c r="D445" s="43" t="inlineStr">
        <is>
          <t>Cisco</t>
        </is>
      </c>
      <c r="E445" s="43" t="inlineStr">
        <is>
          <t>MCGA</t>
        </is>
      </c>
      <c r="F445" s="43" t="inlineStr">
        <is>
          <t>037-STBU</t>
        </is>
      </c>
      <c r="G445" s="43" t="inlineStr">
        <is>
          <t>CTANJZ05085</t>
        </is>
      </c>
      <c r="H445" s="43" t="inlineStr">
        <is>
          <t>To temporarily use parts/materials that do not meet the specifications</t>
        </is>
      </c>
      <c r="I445" s="43" t="inlineStr">
        <is>
          <t>Customer Deviation</t>
        </is>
      </c>
      <c r="J445" s="43" t="inlineStr">
        <is>
          <t>D609145</t>
        </is>
      </c>
      <c r="K445" s="33" t="inlineStr">
        <is>
          <t>D609145 Foxconn provided several examples units showing the J2400 &amp; J2401 CZT component visual defect. All units pass the LED test without any issues.  From the FJZ QA PCBA and Cisco ME perspective; this cosmetic condition can be considered acceptable.This Deviation supports use of the Connectors with recessed LED Light Pipes with the following conditions:- All production units MUST meet the LED test criteria and PASS the LED Test- Units already assembled with these connectors can be approved for shipment; after the units PASS the LED Test.- The use of these Connectors shall be limited to production demand until the end of Q2/26; only if the existing inventory of "good" connectors is depleted; for new builds.- All systems that are assembled with the 1x4 Connectors with recessed LED shall be identified by Serial Number; maintained by Foxconn Production; published after Q2/26 quarter end.Additional use of these defective Connectors beyond Q2/FY26 quarter end shall be decided upon by Cisco Regional ME and Supply team members; based on material needs.  In all cases; the units shall PASS LED Test; and S/N recorded</t>
        </is>
      </c>
      <c r="L445" s="43" t="inlineStr">
        <is>
          <t>Expired</t>
        </is>
      </c>
      <c r="M445" s="43" t="inlineStr">
        <is>
          <t>74-134455-05</t>
        </is>
      </c>
      <c r="N445" s="43" t="inlineStr"/>
      <c r="O445" s="43" t="inlineStr">
        <is>
          <t>2026-04-23</t>
        </is>
      </c>
      <c r="P445" s="33" t="inlineStr">
        <is>
          <t>To temporarily use parts/materials that do not meet the specifications</t>
        </is>
      </c>
      <c r="Q445" s="43" t="inlineStr">
        <is>
          <t>Apply Deviation Label/Number on the bottom external surface of the Chassis; next to the Mfg PN and S/N Label</t>
        </is>
      </c>
      <c r="R445" s="43" t="inlineStr">
        <is>
          <t>2026-01-23</t>
        </is>
      </c>
      <c r="S445" s="43" t="inlineStr">
        <is>
          <t>2026-02-17</t>
        </is>
      </c>
      <c r="T445" s="43" t="inlineStr"/>
      <c r="U445" s="43" t="inlineStr"/>
    </row>
    <row r="446">
      <c r="A446" s="43" t="n">
        <v>446</v>
      </c>
      <c r="B446" s="43" t="inlineStr">
        <is>
          <t>445</t>
        </is>
      </c>
      <c r="C446" s="43" t="inlineStr">
        <is>
          <t>FJZP</t>
        </is>
      </c>
      <c r="D446" s="43" t="inlineStr">
        <is>
          <t>Cisco</t>
        </is>
      </c>
      <c r="E446" s="43" t="inlineStr">
        <is>
          <t>MCGA</t>
        </is>
      </c>
      <c r="F446" s="43" t="inlineStr">
        <is>
          <t>037-STBU</t>
        </is>
      </c>
      <c r="G446" s="43" t="inlineStr">
        <is>
          <t>CTANJZ05085</t>
        </is>
      </c>
      <c r="H446" s="43" t="inlineStr">
        <is>
          <t>To temporarily use parts/materials that do not meet the specifications</t>
        </is>
      </c>
      <c r="I446" s="43" t="inlineStr">
        <is>
          <t>Customer Deviation</t>
        </is>
      </c>
      <c r="J446" s="43" t="inlineStr">
        <is>
          <t>D609145</t>
        </is>
      </c>
      <c r="K446" s="33" t="inlineStr">
        <is>
          <t>D609145 Foxconn provided several examples units showing the J2400 &amp; J2401 CZT component visual defect. All units pass the LED test without any issues.  From the FJZ QA PCBA and Cisco ME perspective; this cosmetic condition can be considered acceptable.This Deviation supports use of the Connectors with recessed LED Light Pipes with the following conditions:- All production units MUST meet the LED test criteria and PASS the LED Test- Units already assembled with these connectors can be approved for shipment; after the units PASS the LED Test.- The use of these Connectors shall be limited to production demand until the end of Q2/26; only if the existing inventory of "good" connectors is depleted; for new builds.- All systems that are assembled with the 1x4 Connectors with recessed LED shall be identified by Serial Number; maintained by Foxconn Production; published after Q2/26 quarter end.Additional use of these defective Connectors beyond Q2/FY26 quarter end shall be decided upon by Cisco Regional ME and Supply team members; based on material needs.  In all cases; the units shall PASS LED Test; and S/N recorded</t>
        </is>
      </c>
      <c r="L446" s="43" t="inlineStr">
        <is>
          <t>Expired</t>
        </is>
      </c>
      <c r="M446" s="43" t="inlineStr">
        <is>
          <t>74-134456-05</t>
        </is>
      </c>
      <c r="N446" s="43" t="inlineStr"/>
      <c r="O446" s="43" t="inlineStr">
        <is>
          <t>2026-04-23</t>
        </is>
      </c>
      <c r="P446" s="33" t="inlineStr">
        <is>
          <t>To temporarily use parts/materials that do not meet the specifications</t>
        </is>
      </c>
      <c r="Q446" s="43" t="inlineStr">
        <is>
          <t>Apply Deviation Label/Number on the bottom external surface of the Chassis; next to the Mfg PN and S/N Label</t>
        </is>
      </c>
      <c r="R446" s="43" t="inlineStr">
        <is>
          <t>2026-01-23</t>
        </is>
      </c>
      <c r="S446" s="43" t="inlineStr">
        <is>
          <t>2026-02-17</t>
        </is>
      </c>
      <c r="T446" s="43" t="inlineStr"/>
      <c r="U446" s="43" t="inlineStr"/>
    </row>
    <row r="447">
      <c r="A447" s="43" t="n">
        <v>447</v>
      </c>
      <c r="B447" s="43" t="inlineStr">
        <is>
          <t>446</t>
        </is>
      </c>
      <c r="C447" s="43" t="inlineStr">
        <is>
          <t>FJZP</t>
        </is>
      </c>
      <c r="D447" s="43" t="inlineStr">
        <is>
          <t>Cisco</t>
        </is>
      </c>
      <c r="E447" s="43" t="inlineStr">
        <is>
          <t>MCGA</t>
        </is>
      </c>
      <c r="F447" s="43" t="inlineStr">
        <is>
          <t>037-STBU</t>
        </is>
      </c>
      <c r="G447" s="43" t="inlineStr">
        <is>
          <t>CTANJZ05085</t>
        </is>
      </c>
      <c r="H447" s="43" t="inlineStr">
        <is>
          <t>To temporarily use parts/materials that do not meet the specifications</t>
        </is>
      </c>
      <c r="I447" s="43" t="inlineStr">
        <is>
          <t>Customer Deviation</t>
        </is>
      </c>
      <c r="J447" s="43" t="inlineStr">
        <is>
          <t>D609145</t>
        </is>
      </c>
      <c r="K447" s="33" t="inlineStr">
        <is>
          <t>D609145 Foxconn provided several examples units showing the J2400 &amp; J2401 CZT component visual defect. All units pass the LED test without any issues.  From the FJZ QA PCBA and Cisco ME perspective; this cosmetic condition can be considered acceptable.This Deviation supports use of the Connectors with recessed LED Light Pipes with the following conditions:- All production units MUST meet the LED test criteria and PASS the LED Test- Units already assembled with these connectors can be approved for shipment; after the units PASS the LED Test.- The use of these Connectors shall be limited to production demand until the end of Q2/26; only if the existing inventory of "good" connectors is depleted; for new builds.- All systems that are assembled with the 1x4 Connectors with recessed LED shall be identified by Serial Number; maintained by Foxconn Production; published after Q2/26 quarter end.Additional use of these defective Connectors beyond Q2/FY26 quarter end shall be decided upon by Cisco Regional ME and Supply team members; based on material needs.  In all cases; the units shall PASS LED Test; and S/N recorded</t>
        </is>
      </c>
      <c r="L447" s="43" t="inlineStr">
        <is>
          <t>Expired</t>
        </is>
      </c>
      <c r="M447" s="43" t="inlineStr">
        <is>
          <t>74-139970-01</t>
        </is>
      </c>
      <c r="N447" s="43" t="inlineStr"/>
      <c r="O447" s="43" t="inlineStr">
        <is>
          <t>2026-04-23</t>
        </is>
      </c>
      <c r="P447" s="33" t="inlineStr">
        <is>
          <t>To temporarily use parts/materials that do not meet the specifications</t>
        </is>
      </c>
      <c r="Q447" s="43" t="inlineStr">
        <is>
          <t>Apply Deviation Label/Number on the bottom external surface of the Chassis; next to the Mfg PN and S/N Label</t>
        </is>
      </c>
      <c r="R447" s="43" t="inlineStr">
        <is>
          <t>2026-01-23</t>
        </is>
      </c>
      <c r="S447" s="43" t="inlineStr">
        <is>
          <t>2026-02-17</t>
        </is>
      </c>
      <c r="T447" s="43" t="inlineStr"/>
      <c r="U447" s="43" t="inlineStr"/>
    </row>
    <row r="448">
      <c r="A448" s="43" t="n">
        <v>448</v>
      </c>
      <c r="B448" s="43" t="inlineStr">
        <is>
          <t>447</t>
        </is>
      </c>
      <c r="C448" s="43" t="inlineStr">
        <is>
          <t>FJZP</t>
        </is>
      </c>
      <c r="D448" s="43" t="inlineStr">
        <is>
          <t>Cisco</t>
        </is>
      </c>
      <c r="E448" s="43" t="inlineStr">
        <is>
          <t>MCGA</t>
        </is>
      </c>
      <c r="F448" s="43" t="inlineStr">
        <is>
          <t>037-STBU</t>
        </is>
      </c>
      <c r="G448" s="43" t="inlineStr">
        <is>
          <t>CTANJZ05085</t>
        </is>
      </c>
      <c r="H448" s="43" t="inlineStr">
        <is>
          <t>To temporarily use parts/materials that do not meet the specifications</t>
        </is>
      </c>
      <c r="I448" s="43" t="inlineStr">
        <is>
          <t>Customer Deviation</t>
        </is>
      </c>
      <c r="J448" s="43" t="inlineStr">
        <is>
          <t>D609145</t>
        </is>
      </c>
      <c r="K448" s="33" t="inlineStr">
        <is>
          <t>D609145 Foxconn provided several examples units showing the J2400 &amp; J2401 CZT component visual defect. All units pass the LED test without any issues.  From the FJZ QA PCBA and Cisco ME perspective; this cosmetic condition can be considered acceptable.This Deviation supports use of the Connectors with recessed LED Light Pipes with the following conditions:- All production units MUST meet the LED test criteria and PASS the LED Test- Units already assembled with these connectors can be approved for shipment; after the units PASS the LED Test.- The use of these Connectors shall be limited to production demand until the end of Q2/26; only if the existing inventory of "good" connectors is depleted; for new builds.- All systems that are assembled with the 1x4 Connectors with recessed LED shall be identified by Serial Number; maintained by Foxconn Production; published after Q2/26 quarter end.Additional use of these defective Connectors beyond Q2/FY26 quarter end shall be decided upon by Cisco Regional ME and Supply team members; based on material needs.  In all cases; the units shall PASS LED Test; and S/N recorded</t>
        </is>
      </c>
      <c r="L448" s="43" t="inlineStr">
        <is>
          <t>Expired</t>
        </is>
      </c>
      <c r="M448" s="43" t="inlineStr">
        <is>
          <t>74-139971-01</t>
        </is>
      </c>
      <c r="N448" s="43" t="inlineStr"/>
      <c r="O448" s="43" t="inlineStr">
        <is>
          <t>2026-04-23</t>
        </is>
      </c>
      <c r="P448" s="33" t="inlineStr">
        <is>
          <t>To temporarily use parts/materials that do not meet the specifications</t>
        </is>
      </c>
      <c r="Q448" s="43" t="inlineStr">
        <is>
          <t>Apply Deviation Label/Number on the bottom external surface of the Chassis; next to the Mfg PN and S/N Label</t>
        </is>
      </c>
      <c r="R448" s="43" t="inlineStr">
        <is>
          <t>2026-01-23</t>
        </is>
      </c>
      <c r="S448" s="43" t="inlineStr">
        <is>
          <t>2026-02-17</t>
        </is>
      </c>
      <c r="T448" s="43" t="inlineStr"/>
      <c r="U448" s="43" t="inlineStr"/>
    </row>
    <row r="449">
      <c r="A449" s="43" t="n">
        <v>449</v>
      </c>
      <c r="B449" s="43" t="inlineStr">
        <is>
          <t>448</t>
        </is>
      </c>
      <c r="C449" s="43" t="inlineStr">
        <is>
          <t>FJZP</t>
        </is>
      </c>
      <c r="D449" s="43" t="inlineStr">
        <is>
          <t>Cisco</t>
        </is>
      </c>
      <c r="E449" s="43" t="inlineStr">
        <is>
          <t>MCGA</t>
        </is>
      </c>
      <c r="F449" s="43" t="inlineStr">
        <is>
          <t>037-STBU</t>
        </is>
      </c>
      <c r="G449" s="43" t="inlineStr">
        <is>
          <t>CTANJZ05085</t>
        </is>
      </c>
      <c r="H449" s="43" t="inlineStr">
        <is>
          <t>To temporarily use parts/materials that do not meet the specifications</t>
        </is>
      </c>
      <c r="I449" s="43" t="inlineStr">
        <is>
          <t>Customer Deviation</t>
        </is>
      </c>
      <c r="J449" s="43" t="inlineStr">
        <is>
          <t>D609145</t>
        </is>
      </c>
      <c r="K449" s="33" t="inlineStr">
        <is>
          <t>D609145 Foxconn provided several examples units showing the J2400 &amp; J2401 CZT component visual defect. All units pass the LED test without any issues.  From the FJZ QA PCBA and Cisco ME perspective; this cosmetic condition can be considered acceptable.This Deviation supports use of the Connectors with recessed LED Light Pipes with the following conditions:- All production units MUST meet the LED test criteria and PASS the LED Test- Units already assembled with these connectors can be approved for shipment; after the units PASS the LED Test.- The use of these Connectors shall be limited to production demand until the end of Q2/26; only if the existing inventory of "good" connectors is depleted; for new builds.- All systems that are assembled with the 1x4 Connectors with recessed LED shall be identified by Serial Number; maintained by Foxconn Production; published after Q2/26 quarter end.Additional use of these defective Connectors beyond Q2/FY26 quarter end shall be decided upon by Cisco Regional ME and Supply team members; based on material needs.  In all cases; the units shall PASS LED Test; and S/N recorded</t>
        </is>
      </c>
      <c r="L449" s="43" t="inlineStr">
        <is>
          <t>Expired</t>
        </is>
      </c>
      <c r="M449" s="43" t="inlineStr">
        <is>
          <t>74-139972-01</t>
        </is>
      </c>
      <c r="N449" s="43" t="inlineStr"/>
      <c r="O449" s="43" t="inlineStr">
        <is>
          <t>2026-04-23</t>
        </is>
      </c>
      <c r="P449" s="33" t="inlineStr">
        <is>
          <t>To temporarily use parts/materials that do not meet the specifications</t>
        </is>
      </c>
      <c r="Q449" s="43" t="inlineStr">
        <is>
          <t>Apply Deviation Label/Number on the bottom external surface of the Chassis; next to the Mfg PN and S/N Label</t>
        </is>
      </c>
      <c r="R449" s="43" t="inlineStr">
        <is>
          <t>2026-01-23</t>
        </is>
      </c>
      <c r="S449" s="43" t="inlineStr">
        <is>
          <t>2026-02-17</t>
        </is>
      </c>
      <c r="T449" s="43" t="inlineStr"/>
      <c r="U449" s="43" t="inlineStr"/>
    </row>
    <row r="450">
      <c r="A450" s="43" t="n">
        <v>450</v>
      </c>
      <c r="B450" s="43" t="inlineStr">
        <is>
          <t>449</t>
        </is>
      </c>
      <c r="C450" s="43" t="inlineStr">
        <is>
          <t>FJZP</t>
        </is>
      </c>
      <c r="D450" s="43" t="inlineStr">
        <is>
          <t>Cisco</t>
        </is>
      </c>
      <c r="E450" s="43" t="inlineStr">
        <is>
          <t>MCGA</t>
        </is>
      </c>
      <c r="F450" s="43" t="inlineStr">
        <is>
          <t>037-STBU</t>
        </is>
      </c>
      <c r="G450" s="43" t="inlineStr">
        <is>
          <t>CTANJZ04907</t>
        </is>
      </c>
      <c r="H450" s="43" t="inlineStr">
        <is>
          <t>For temporary part/material substitution (EXTENDABLE)</t>
        </is>
      </c>
      <c r="I450" s="43" t="inlineStr">
        <is>
          <t>Customer Deviation</t>
        </is>
      </c>
      <c r="J450" s="43" t="inlineStr">
        <is>
          <t>D604685</t>
        </is>
      </c>
      <c r="K450" s="33" t="inlineStr">
        <is>
          <t>D604685 Use DIMM 15-104289-01 instead of 15-104174-01 on Kilburn Park D 800-103845-08. MPN  MTA36ASF4G72PZ-2G6E1 (MICRON TECHNOLOGY) is an approved MPN for 15-104174-01  but vendor sent the part identified with a label as 15-104289-01</t>
        </is>
      </c>
      <c r="L450" s="43" t="inlineStr">
        <is>
          <t>Expired</t>
        </is>
      </c>
      <c r="M450" s="43" t="inlineStr">
        <is>
          <t>800-103845-08</t>
        </is>
      </c>
      <c r="N450" s="43" t="inlineStr"/>
      <c r="O450" s="43" t="inlineStr">
        <is>
          <t>2026-01-08</t>
        </is>
      </c>
      <c r="P450" s="33" t="inlineStr">
        <is>
          <t>For temporary part/material substitution (EXTENDABLE 2x)</t>
        </is>
      </c>
      <c r="Q450" s="43" t="inlineStr">
        <is>
          <t>Please add a label to the DIMM on a visible place not interfering with other marks</t>
        </is>
      </c>
      <c r="R450" s="43" t="inlineStr">
        <is>
          <t>2025-10-10</t>
        </is>
      </c>
      <c r="S450" s="43" t="inlineStr"/>
      <c r="T450" s="43" t="inlineStr"/>
      <c r="U450" s="43" t="inlineStr"/>
    </row>
    <row r="451">
      <c r="A451" s="43" t="n">
        <v>451</v>
      </c>
      <c r="B451" s="43" t="inlineStr">
        <is>
          <t>450</t>
        </is>
      </c>
      <c r="C451" s="43" t="inlineStr">
        <is>
          <t>FJZP</t>
        </is>
      </c>
      <c r="D451" s="43" t="inlineStr">
        <is>
          <t>Cisco</t>
        </is>
      </c>
      <c r="E451" s="43" t="inlineStr">
        <is>
          <t>MCGA</t>
        </is>
      </c>
      <c r="F451" s="43" t="inlineStr">
        <is>
          <t>037-STBU</t>
        </is>
      </c>
      <c r="G451" s="43" t="inlineStr">
        <is>
          <t>CTANJZ04960</t>
        </is>
      </c>
      <c r="H451" s="43" t="inlineStr">
        <is>
          <t>For temporary part/material substitution (EXTENDABLE)</t>
        </is>
      </c>
      <c r="I451" s="43" t="inlineStr">
        <is>
          <t>Customer Deviation</t>
        </is>
      </c>
      <c r="J451" s="43" t="inlineStr">
        <is>
          <t>DP524662</t>
        </is>
      </c>
      <c r="K451" s="33" t="inlineStr">
        <is>
          <t>DP524662 1) Replace  #17-103261-01 (UFD0;UFD1) with 17-102422-02 dual card (73-103648-03)</t>
        </is>
      </c>
      <c r="L451" s="43" t="inlineStr">
        <is>
          <t>Expired</t>
        </is>
      </c>
      <c r="M451" s="43" t="inlineStr">
        <is>
          <t>73-103648-03</t>
        </is>
      </c>
      <c r="N451" s="43" t="inlineStr"/>
      <c r="O451" s="43" t="inlineStr">
        <is>
          <t>2026-01-09</t>
        </is>
      </c>
      <c r="P451" s="33" t="inlineStr"/>
      <c r="Q451" s="43" t="inlineStr">
        <is>
          <t>Put Deviation label "DP524662" on PCBA and system level at visible location</t>
        </is>
      </c>
      <c r="R451" s="43" t="inlineStr">
        <is>
          <t>2025-11-11</t>
        </is>
      </c>
      <c r="S451" s="43" t="inlineStr"/>
      <c r="T451" s="43" t="inlineStr"/>
      <c r="U451" s="43" t="inlineStr"/>
    </row>
    <row r="452">
      <c r="A452" s="43" t="n">
        <v>452</v>
      </c>
      <c r="B452" s="43" t="inlineStr">
        <is>
          <t>451</t>
        </is>
      </c>
      <c r="C452" s="43" t="inlineStr">
        <is>
          <t>FJZP</t>
        </is>
      </c>
      <c r="D452" s="43" t="inlineStr">
        <is>
          <t>Cisco</t>
        </is>
      </c>
      <c r="E452" s="43" t="inlineStr">
        <is>
          <t>MCGA</t>
        </is>
      </c>
      <c r="F452" s="43" t="inlineStr">
        <is>
          <t>037-STBU</t>
        </is>
      </c>
      <c r="G452" s="43" t="inlineStr">
        <is>
          <t>CTANJZ04909</t>
        </is>
      </c>
      <c r="H452" s="43" t="inlineStr">
        <is>
          <t>For temporary part/material substitution (EXTENDABLE)</t>
        </is>
      </c>
      <c r="I452" s="43" t="inlineStr">
        <is>
          <t>Customer Deviation</t>
        </is>
      </c>
      <c r="J452" s="43" t="inlineStr">
        <is>
          <t>D606967</t>
        </is>
      </c>
      <c r="K452" s="33" t="inlineStr">
        <is>
          <t>D606967 Use DIMM 15-105736-02 instead of 15-106507-02 on QW. MPN SMART MODULAR SR5722G822APJDASG0 is an approved MPN for 15-106507-02</t>
        </is>
      </c>
      <c r="L452" s="43" t="inlineStr">
        <is>
          <t>Expired</t>
        </is>
      </c>
      <c r="M452" s="43" t="inlineStr">
        <is>
          <t>15-106507-02</t>
        </is>
      </c>
      <c r="N452" s="43" t="inlineStr"/>
      <c r="O452" s="43" t="inlineStr">
        <is>
          <t>2026-01-11</t>
        </is>
      </c>
      <c r="P452" s="33" t="inlineStr">
        <is>
          <t>For temporary part/material substitution (EXTENDABLE 2x)</t>
        </is>
      </c>
      <c r="Q452" s="43" t="inlineStr">
        <is>
          <t>Add the label with the deviation number and part number on the DIMM. Add part number with a barcode for scanning purposes.</t>
        </is>
      </c>
      <c r="R452" s="43" t="inlineStr">
        <is>
          <t>2025-10-13</t>
        </is>
      </c>
      <c r="S452" s="43" t="inlineStr">
        <is>
          <t>2025-10-31</t>
        </is>
      </c>
      <c r="T452" s="43" t="inlineStr"/>
      <c r="U452" s="43" t="inlineStr"/>
    </row>
    <row r="453">
      <c r="A453" s="43" t="n">
        <v>453</v>
      </c>
      <c r="B453" s="43" t="inlineStr">
        <is>
          <t>452</t>
        </is>
      </c>
      <c r="C453" s="43" t="inlineStr">
        <is>
          <t>FJZP</t>
        </is>
      </c>
      <c r="D453" s="43" t="inlineStr">
        <is>
          <t>Cisco</t>
        </is>
      </c>
      <c r="E453" s="43" t="inlineStr">
        <is>
          <t>MCGA</t>
        </is>
      </c>
      <c r="F453" s="43" t="inlineStr">
        <is>
          <t>037-STBU</t>
        </is>
      </c>
      <c r="G453" s="43" t="inlineStr">
        <is>
          <t>CTANJZ04909</t>
        </is>
      </c>
      <c r="H453" s="43" t="inlineStr">
        <is>
          <t>For temporary part/material substitution (EXTENDABLE)</t>
        </is>
      </c>
      <c r="I453" s="43" t="inlineStr">
        <is>
          <t>Customer Deviation</t>
        </is>
      </c>
      <c r="J453" s="43" t="inlineStr">
        <is>
          <t>D606967</t>
        </is>
      </c>
      <c r="K453" s="33" t="inlineStr">
        <is>
          <t>D606967 Use DIMM 15-105736-02 instead of 15-106507-02 on QW. MPN SMART MODULAR SR5722G822APJDASG0 is an approved MPN for 15-106507-02</t>
        </is>
      </c>
      <c r="L453" s="43" t="inlineStr">
        <is>
          <t>Expired</t>
        </is>
      </c>
      <c r="M453" s="43" t="inlineStr">
        <is>
          <t>800-105498-03</t>
        </is>
      </c>
      <c r="N453" s="43" t="inlineStr"/>
      <c r="O453" s="43" t="inlineStr">
        <is>
          <t>2026-01-11</t>
        </is>
      </c>
      <c r="P453" s="33" t="inlineStr">
        <is>
          <t>For temporary part/material substitution (EXTENDABLE 2x)</t>
        </is>
      </c>
      <c r="Q453" s="43" t="inlineStr">
        <is>
          <t>Add the label with the deviation number and part number on the DIMM. Add part number with a barcode for scanning purposes.</t>
        </is>
      </c>
      <c r="R453" s="43" t="inlineStr">
        <is>
          <t>2025-10-13</t>
        </is>
      </c>
      <c r="S453" s="43" t="inlineStr">
        <is>
          <t>2025-10-31</t>
        </is>
      </c>
      <c r="T453" s="43" t="inlineStr"/>
      <c r="U453" s="43" t="inlineStr"/>
    </row>
    <row r="454">
      <c r="A454" s="43" t="n">
        <v>454</v>
      </c>
      <c r="B454" s="43" t="inlineStr">
        <is>
          <t>453</t>
        </is>
      </c>
      <c r="C454" s="43" t="inlineStr">
        <is>
          <t>FJZP</t>
        </is>
      </c>
      <c r="D454" s="43" t="inlineStr">
        <is>
          <t>Cisco</t>
        </is>
      </c>
      <c r="E454" s="43" t="inlineStr">
        <is>
          <t>MCGA</t>
        </is>
      </c>
      <c r="F454" s="43" t="inlineStr">
        <is>
          <t>037-STBU</t>
        </is>
      </c>
      <c r="G454" s="43" t="inlineStr">
        <is>
          <t>CTANJZ04909</t>
        </is>
      </c>
      <c r="H454" s="43" t="inlineStr">
        <is>
          <t>For temporary part/material substitution (EXTENDABLE)</t>
        </is>
      </c>
      <c r="I454" s="43" t="inlineStr">
        <is>
          <t>Customer Deviation</t>
        </is>
      </c>
      <c r="J454" s="43" t="inlineStr">
        <is>
          <t>D606967</t>
        </is>
      </c>
      <c r="K454" s="33" t="inlineStr">
        <is>
          <t>D606967 Use DIMM 15-105736-02 instead of 15-106507-02 on QW. MPN SMART MODULAR SR5722G822APJDASG0 is an approved MPN for 15-106507-02</t>
        </is>
      </c>
      <c r="L454" s="43" t="inlineStr">
        <is>
          <t>Expired</t>
        </is>
      </c>
      <c r="M454" s="43" t="inlineStr">
        <is>
          <t>800-105499-03</t>
        </is>
      </c>
      <c r="N454" s="43" t="inlineStr"/>
      <c r="O454" s="43" t="inlineStr">
        <is>
          <t>2026-01-11</t>
        </is>
      </c>
      <c r="P454" s="33" t="inlineStr">
        <is>
          <t>For temporary part/material substitution (EXTENDABLE 2x)</t>
        </is>
      </c>
      <c r="Q454" s="43" t="inlineStr">
        <is>
          <t>Add the label with the deviation number and part number on the DIMM. Add part number with a barcode for scanning purposes.</t>
        </is>
      </c>
      <c r="R454" s="43" t="inlineStr">
        <is>
          <t>2025-10-13</t>
        </is>
      </c>
      <c r="S454" s="43" t="inlineStr">
        <is>
          <t>2025-10-31</t>
        </is>
      </c>
      <c r="T454" s="43" t="inlineStr"/>
      <c r="U454" s="43" t="inlineStr"/>
    </row>
    <row r="455">
      <c r="A455" s="43" t="n">
        <v>455</v>
      </c>
      <c r="B455" s="43" t="inlineStr">
        <is>
          <t>454</t>
        </is>
      </c>
      <c r="C455" s="43" t="inlineStr">
        <is>
          <t>FJZP</t>
        </is>
      </c>
      <c r="D455" s="43" t="inlineStr">
        <is>
          <t>Cisco</t>
        </is>
      </c>
      <c r="E455" s="43" t="inlineStr">
        <is>
          <t>MCGA</t>
        </is>
      </c>
      <c r="F455" s="43" t="inlineStr">
        <is>
          <t>037-STBU</t>
        </is>
      </c>
      <c r="G455" s="43" t="inlineStr">
        <is>
          <t>CTANJZ04909</t>
        </is>
      </c>
      <c r="H455" s="43" t="inlineStr">
        <is>
          <t>For temporary part/material substitution (EXTENDABLE)</t>
        </is>
      </c>
      <c r="I455" s="43" t="inlineStr">
        <is>
          <t>Customer Deviation</t>
        </is>
      </c>
      <c r="J455" s="43" t="inlineStr">
        <is>
          <t>D606967</t>
        </is>
      </c>
      <c r="K455" s="33" t="inlineStr">
        <is>
          <t>D606967 Use DIMM 15-105736-02 instead of 15-106507-02 on QW. MPN SMART MODULAR SR5722G822APJDASG0 is an approved MPN for 15-106507-02</t>
        </is>
      </c>
      <c r="L455" s="43" t="inlineStr">
        <is>
          <t>Expired</t>
        </is>
      </c>
      <c r="M455" s="43" t="inlineStr">
        <is>
          <t>800-106632-03</t>
        </is>
      </c>
      <c r="N455" s="43" t="inlineStr"/>
      <c r="O455" s="43" t="inlineStr">
        <is>
          <t>2026-01-11</t>
        </is>
      </c>
      <c r="P455" s="33" t="inlineStr">
        <is>
          <t>For temporary part/material substitution (EXTENDABLE 2x)</t>
        </is>
      </c>
      <c r="Q455" s="43" t="inlineStr">
        <is>
          <t>Add the label with the deviation number and part number on the DIMM. Add part number with a barcode for scanning purposes.</t>
        </is>
      </c>
      <c r="R455" s="43" t="inlineStr">
        <is>
          <t>2025-10-13</t>
        </is>
      </c>
      <c r="S455" s="43" t="inlineStr">
        <is>
          <t>2025-10-31</t>
        </is>
      </c>
      <c r="T455" s="43" t="inlineStr"/>
      <c r="U455" s="43" t="inlineStr"/>
    </row>
    <row r="456">
      <c r="A456" s="43" t="n">
        <v>456</v>
      </c>
      <c r="B456" s="43" t="inlineStr">
        <is>
          <t>455</t>
        </is>
      </c>
      <c r="C456" s="43" t="inlineStr">
        <is>
          <t>FJZP</t>
        </is>
      </c>
      <c r="D456" s="43" t="inlineStr">
        <is>
          <t>Cisco</t>
        </is>
      </c>
      <c r="E456" s="43" t="inlineStr">
        <is>
          <t>MCGA</t>
        </is>
      </c>
      <c r="F456" s="43" t="inlineStr">
        <is>
          <t>037-STBU</t>
        </is>
      </c>
      <c r="G456" s="43" t="inlineStr">
        <is>
          <t>CTANJZ04909</t>
        </is>
      </c>
      <c r="H456" s="43" t="inlineStr">
        <is>
          <t>For temporary part/material substitution (EXTENDABLE)</t>
        </is>
      </c>
      <c r="I456" s="43" t="inlineStr">
        <is>
          <t>Customer Deviation</t>
        </is>
      </c>
      <c r="J456" s="43" t="inlineStr">
        <is>
          <t>D606967</t>
        </is>
      </c>
      <c r="K456" s="33" t="inlineStr">
        <is>
          <t>D606967 Use DIMM 15-105736-02 instead of 15-106507-02 on QW. MPN SMART MODULAR SR5722G822APJDASG0 is an approved MPN for 15-106507-02</t>
        </is>
      </c>
      <c r="L456" s="43" t="inlineStr">
        <is>
          <t>Expired</t>
        </is>
      </c>
      <c r="M456" s="43" t="inlineStr">
        <is>
          <t>800-106633-03</t>
        </is>
      </c>
      <c r="N456" s="43" t="inlineStr"/>
      <c r="O456" s="43" t="inlineStr">
        <is>
          <t>2026-01-11</t>
        </is>
      </c>
      <c r="P456" s="33" t="inlineStr">
        <is>
          <t>For temporary part/material substitution (EXTENDABLE 2x)</t>
        </is>
      </c>
      <c r="Q456" s="43" t="inlineStr">
        <is>
          <t>Add the label with the deviation number and part number on the DIMM. Add part number with a barcode for scanning purposes.</t>
        </is>
      </c>
      <c r="R456" s="43" t="inlineStr">
        <is>
          <t>2025-10-13</t>
        </is>
      </c>
      <c r="S456" s="43" t="inlineStr">
        <is>
          <t>2025-10-31</t>
        </is>
      </c>
      <c r="T456" s="43" t="inlineStr"/>
      <c r="U456" s="43" t="inlineStr"/>
    </row>
    <row r="457">
      <c r="A457" s="43" t="n">
        <v>457</v>
      </c>
      <c r="B457" s="43" t="inlineStr">
        <is>
          <t>456</t>
        </is>
      </c>
      <c r="C457" s="43" t="inlineStr">
        <is>
          <t>FJZP</t>
        </is>
      </c>
      <c r="D457" s="43" t="inlineStr">
        <is>
          <t>Cisco</t>
        </is>
      </c>
      <c r="E457" s="43" t="inlineStr">
        <is>
          <t>MCGA</t>
        </is>
      </c>
      <c r="F457" s="43" t="inlineStr">
        <is>
          <t>037-STBU</t>
        </is>
      </c>
      <c r="G457" s="43" t="inlineStr">
        <is>
          <t>CTANJZ04909</t>
        </is>
      </c>
      <c r="H457" s="43" t="inlineStr">
        <is>
          <t>For temporary part/material substitution (EXTENDABLE)</t>
        </is>
      </c>
      <c r="I457" s="43" t="inlineStr">
        <is>
          <t>Customer Deviation</t>
        </is>
      </c>
      <c r="J457" s="43" t="inlineStr">
        <is>
          <t>D606967</t>
        </is>
      </c>
      <c r="K457" s="33" t="inlineStr">
        <is>
          <t>D606967 Use DIMM 15-105736-02 instead of 15-106507-02 on QW. MPN SMART MODULAR SR5722G822APJDASG0 is an approved MPN for 15-106507-02</t>
        </is>
      </c>
      <c r="L457" s="43" t="inlineStr">
        <is>
          <t>Expired</t>
        </is>
      </c>
      <c r="M457" s="43" t="inlineStr">
        <is>
          <t>800-106754-02</t>
        </is>
      </c>
      <c r="N457" s="43" t="inlineStr"/>
      <c r="O457" s="43" t="inlineStr">
        <is>
          <t>2026-01-11</t>
        </is>
      </c>
      <c r="P457" s="33" t="inlineStr">
        <is>
          <t>For temporary part/material substitution (EXTENDABLE 2x)</t>
        </is>
      </c>
      <c r="Q457" s="43" t="inlineStr">
        <is>
          <t>Add the label with the deviation number and part number on the DIMM. Add part number with a barcode for scanning purposes.</t>
        </is>
      </c>
      <c r="R457" s="43" t="inlineStr">
        <is>
          <t>2025-10-13</t>
        </is>
      </c>
      <c r="S457" s="43" t="inlineStr">
        <is>
          <t>2025-10-31</t>
        </is>
      </c>
      <c r="T457" s="43" t="inlineStr"/>
      <c r="U457" s="43" t="inlineStr"/>
    </row>
    <row r="458">
      <c r="A458" s="43" t="n">
        <v>458</v>
      </c>
      <c r="B458" s="43" t="inlineStr">
        <is>
          <t>457</t>
        </is>
      </c>
      <c r="C458" s="43" t="inlineStr">
        <is>
          <t>FJZP</t>
        </is>
      </c>
      <c r="D458" s="43" t="inlineStr">
        <is>
          <t>Cisco</t>
        </is>
      </c>
      <c r="E458" s="43" t="inlineStr">
        <is>
          <t>MCGA</t>
        </is>
      </c>
      <c r="F458" s="43" t="inlineStr">
        <is>
          <t>037-STBU</t>
        </is>
      </c>
      <c r="G458" s="43" t="inlineStr">
        <is>
          <t>CTANJZ04909</t>
        </is>
      </c>
      <c r="H458" s="43" t="inlineStr">
        <is>
          <t>For temporary part/material substitution (EXTENDABLE)</t>
        </is>
      </c>
      <c r="I458" s="43" t="inlineStr">
        <is>
          <t>Customer Deviation</t>
        </is>
      </c>
      <c r="J458" s="43" t="inlineStr">
        <is>
          <t>D606967</t>
        </is>
      </c>
      <c r="K458" s="33" t="inlineStr">
        <is>
          <t>D606967 Use DIMM 15-105736-02 instead of 15-106507-02 on QW. MPN SMART MODULAR SR5722G822APJDASG0 is an approved MPN for 15-106507-02</t>
        </is>
      </c>
      <c r="L458" s="43" t="inlineStr">
        <is>
          <t>Expired</t>
        </is>
      </c>
      <c r="M458" s="43" t="inlineStr">
        <is>
          <t>800-106838-02</t>
        </is>
      </c>
      <c r="N458" s="43" t="inlineStr"/>
      <c r="O458" s="43" t="inlineStr">
        <is>
          <t>2026-01-11</t>
        </is>
      </c>
      <c r="P458" s="33" t="inlineStr">
        <is>
          <t>For temporary part/material substitution (EXTENDABLE 2x)</t>
        </is>
      </c>
      <c r="Q458" s="43" t="inlineStr">
        <is>
          <t>Add the label with the deviation number and part number on the DIMM. Add part number with a barcode for scanning purposes.</t>
        </is>
      </c>
      <c r="R458" s="43" t="inlineStr">
        <is>
          <t>2025-10-13</t>
        </is>
      </c>
      <c r="S458" s="43" t="inlineStr">
        <is>
          <t>2025-10-31</t>
        </is>
      </c>
      <c r="T458" s="43" t="inlineStr"/>
      <c r="U458" s="43" t="inlineStr"/>
    </row>
    <row r="459">
      <c r="A459" s="43" t="n">
        <v>459</v>
      </c>
      <c r="B459" s="43" t="inlineStr">
        <is>
          <t>458</t>
        </is>
      </c>
      <c r="C459" s="43" t="inlineStr">
        <is>
          <t>FJZP</t>
        </is>
      </c>
      <c r="D459" s="43" t="inlineStr">
        <is>
          <t>Cisco</t>
        </is>
      </c>
      <c r="E459" s="43" t="inlineStr">
        <is>
          <t>MCGA</t>
        </is>
      </c>
      <c r="F459" s="43" t="inlineStr">
        <is>
          <t>018-SRGBU</t>
        </is>
      </c>
      <c r="G459" s="43" t="inlineStr">
        <is>
          <t>CTANJZ05024</t>
        </is>
      </c>
      <c r="H459" s="43" t="inlineStr">
        <is>
          <t>For temporary part/material substitution (EXTENDABLE)</t>
        </is>
      </c>
      <c r="I459" s="43" t="inlineStr">
        <is>
          <t>Customer Deviation</t>
        </is>
      </c>
      <c r="J459" s="43" t="inlineStr">
        <is>
          <t>D608212</t>
        </is>
      </c>
      <c r="K459" s="33" t="inlineStr">
        <is>
          <t>D608212 Allow FJZ to use DDR4 TAN 15-109066-01 in place of 15-109388-01 on Spatha TAN 68-7623-06 for the following MPNs ONLY:1. Smart Modular MPN SR5724G822APJDAMF02. Micron Tech MPN MTA18ASF4G72PDZ-3G2F1</t>
        </is>
      </c>
      <c r="L459" s="43" t="inlineStr">
        <is>
          <t>Expired</t>
        </is>
      </c>
      <c r="M459" s="43" t="inlineStr">
        <is>
          <t>15-109388-01</t>
        </is>
      </c>
      <c r="N459" s="43" t="inlineStr"/>
      <c r="O459" s="43" t="inlineStr">
        <is>
          <t>2026-03-11</t>
        </is>
      </c>
      <c r="P459" s="33" t="inlineStr">
        <is>
          <t>For temporary part/material substitution (EXTENDABLE 2x)</t>
        </is>
      </c>
      <c r="Q459" s="43" t="inlineStr">
        <is>
          <t>Label boards with deviation number and program deviation in cookie</t>
        </is>
      </c>
      <c r="R459" s="43" t="inlineStr">
        <is>
          <t>2025-12-11</t>
        </is>
      </c>
      <c r="S459" s="43" t="inlineStr">
        <is>
          <t>2026-01-13</t>
        </is>
      </c>
      <c r="T459" s="43" t="inlineStr"/>
      <c r="U459" s="43" t="inlineStr"/>
    </row>
    <row r="460">
      <c r="A460" s="43" t="n">
        <v>460</v>
      </c>
      <c r="B460" s="43" t="inlineStr">
        <is>
          <t>459</t>
        </is>
      </c>
      <c r="C460" s="43" t="inlineStr">
        <is>
          <t>FJZP</t>
        </is>
      </c>
      <c r="D460" s="43" t="inlineStr">
        <is>
          <t>Cisco</t>
        </is>
      </c>
      <c r="E460" s="43" t="inlineStr">
        <is>
          <t>MCGA</t>
        </is>
      </c>
      <c r="F460" s="43" t="inlineStr">
        <is>
          <t>035-CVEBU</t>
        </is>
      </c>
      <c r="G460" s="43" t="inlineStr">
        <is>
          <t>CTANJZ05086</t>
        </is>
      </c>
      <c r="H460" s="43" t="inlineStr">
        <is>
          <t>For temporary part/material substitution (EXTENDABLE)</t>
        </is>
      </c>
      <c r="I460" s="43" t="inlineStr">
        <is>
          <t>Customer Deviation</t>
        </is>
      </c>
      <c r="J460" s="43" t="inlineStr">
        <is>
          <t>D609139</t>
        </is>
      </c>
      <c r="K460"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60" s="43" t="inlineStr">
        <is>
          <t>Expired</t>
        </is>
      </c>
      <c r="M460" s="43" t="inlineStr">
        <is>
          <t>13-100045-01</t>
        </is>
      </c>
      <c r="N460" s="43" t="inlineStr"/>
      <c r="O460" s="43" t="inlineStr">
        <is>
          <t>2026-04-24</t>
        </is>
      </c>
      <c r="P460" s="33" t="inlineStr">
        <is>
          <t>For temporary part/material substitution (EXTENDABLE 2x)</t>
        </is>
      </c>
      <c r="Q460" s="43" t="inlineStr">
        <is>
          <t>No FFF change =&gt; No marking needed</t>
        </is>
      </c>
      <c r="R460" s="43" t="inlineStr">
        <is>
          <t>2026-01-26</t>
        </is>
      </c>
      <c r="S460" s="43" t="inlineStr">
        <is>
          <t>2026-01-31</t>
        </is>
      </c>
      <c r="T460" s="43" t="inlineStr"/>
      <c r="U460" s="43" t="inlineStr"/>
    </row>
    <row r="461">
      <c r="A461" s="43" t="n">
        <v>461</v>
      </c>
      <c r="B461" s="43" t="inlineStr">
        <is>
          <t>460</t>
        </is>
      </c>
      <c r="C461" s="43" t="inlineStr">
        <is>
          <t>FJZP</t>
        </is>
      </c>
      <c r="D461" s="43" t="inlineStr">
        <is>
          <t>Cisco</t>
        </is>
      </c>
      <c r="E461" s="43" t="inlineStr">
        <is>
          <t>MCGA</t>
        </is>
      </c>
      <c r="F461" s="43" t="inlineStr">
        <is>
          <t>035-CVEBU</t>
        </is>
      </c>
      <c r="G461" s="43" t="inlineStr">
        <is>
          <t>CTANJZ05086</t>
        </is>
      </c>
      <c r="H461" s="43" t="inlineStr">
        <is>
          <t>For temporary part/material substitution (EXTENDABLE)</t>
        </is>
      </c>
      <c r="I461" s="43" t="inlineStr">
        <is>
          <t>Customer Deviation</t>
        </is>
      </c>
      <c r="J461" s="43" t="inlineStr">
        <is>
          <t>D609139</t>
        </is>
      </c>
      <c r="K461"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61" s="43" t="inlineStr">
        <is>
          <t>Expired</t>
        </is>
      </c>
      <c r="M461" s="43" t="inlineStr">
        <is>
          <t>73-102022-02</t>
        </is>
      </c>
      <c r="N461" s="43" t="inlineStr"/>
      <c r="O461" s="43" t="inlineStr">
        <is>
          <t>2026-04-24</t>
        </is>
      </c>
      <c r="P461" s="33" t="inlineStr">
        <is>
          <t>For temporary part/material substitution (EXTENDABLE 2x)</t>
        </is>
      </c>
      <c r="Q461" s="43" t="inlineStr">
        <is>
          <t>No FFF change =&gt; No marking needed</t>
        </is>
      </c>
      <c r="R461" s="43" t="inlineStr">
        <is>
          <t>2026-01-26</t>
        </is>
      </c>
      <c r="S461" s="43" t="inlineStr">
        <is>
          <t>2026-01-31</t>
        </is>
      </c>
      <c r="T461" s="43" t="inlineStr"/>
      <c r="U461" s="43" t="inlineStr"/>
    </row>
    <row r="462">
      <c r="A462" s="43" t="n">
        <v>462</v>
      </c>
      <c r="B462" s="43" t="inlineStr">
        <is>
          <t>461</t>
        </is>
      </c>
      <c r="C462" s="43" t="inlineStr">
        <is>
          <t>FJZP</t>
        </is>
      </c>
      <c r="D462" s="43" t="inlineStr">
        <is>
          <t>Cisco</t>
        </is>
      </c>
      <c r="E462" s="43" t="inlineStr">
        <is>
          <t>MCGA</t>
        </is>
      </c>
      <c r="F462" s="43" t="inlineStr">
        <is>
          <t>035-CVEBU</t>
        </is>
      </c>
      <c r="G462" s="43" t="inlineStr">
        <is>
          <t>CTANJZ05086</t>
        </is>
      </c>
      <c r="H462" s="43" t="inlineStr">
        <is>
          <t>For temporary part/material substitution (EXTENDABLE)</t>
        </is>
      </c>
      <c r="I462" s="43" t="inlineStr">
        <is>
          <t>Customer Deviation</t>
        </is>
      </c>
      <c r="J462" s="43" t="inlineStr">
        <is>
          <t>D609139</t>
        </is>
      </c>
      <c r="K462"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62" s="43" t="inlineStr">
        <is>
          <t>Expired</t>
        </is>
      </c>
      <c r="M462" s="43" t="inlineStr">
        <is>
          <t>73-102197-02</t>
        </is>
      </c>
      <c r="N462" s="43" t="inlineStr"/>
      <c r="O462" s="43" t="inlineStr">
        <is>
          <t>2026-04-24</t>
        </is>
      </c>
      <c r="P462" s="33" t="inlineStr">
        <is>
          <t>For temporary part/material substitution (EXTENDABLE 2x)</t>
        </is>
      </c>
      <c r="Q462" s="43" t="inlineStr">
        <is>
          <t>No FFF change =&gt; No marking needed</t>
        </is>
      </c>
      <c r="R462" s="43" t="inlineStr">
        <is>
          <t>2026-01-26</t>
        </is>
      </c>
      <c r="S462" s="43" t="inlineStr">
        <is>
          <t>2026-01-31</t>
        </is>
      </c>
      <c r="T462" s="43" t="inlineStr"/>
      <c r="U462" s="43" t="inlineStr"/>
    </row>
    <row r="463">
      <c r="A463" s="43" t="n">
        <v>463</v>
      </c>
      <c r="B463" s="43" t="inlineStr">
        <is>
          <t>462</t>
        </is>
      </c>
      <c r="C463" s="43" t="inlineStr">
        <is>
          <t>FJZP</t>
        </is>
      </c>
      <c r="D463" s="43" t="inlineStr">
        <is>
          <t>Cisco</t>
        </is>
      </c>
      <c r="E463" s="43" t="inlineStr">
        <is>
          <t>MCGA</t>
        </is>
      </c>
      <c r="F463" s="43" t="inlineStr">
        <is>
          <t>035-CVEBU</t>
        </is>
      </c>
      <c r="G463" s="43" t="inlineStr">
        <is>
          <t>CTANJZ05086</t>
        </is>
      </c>
      <c r="H463" s="43" t="inlineStr">
        <is>
          <t>For temporary part/material substitution (EXTENDABLE)</t>
        </is>
      </c>
      <c r="I463" s="43" t="inlineStr">
        <is>
          <t>Customer Deviation</t>
        </is>
      </c>
      <c r="J463" s="43" t="inlineStr">
        <is>
          <t>D609139</t>
        </is>
      </c>
      <c r="K463"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63" s="43" t="inlineStr">
        <is>
          <t>Expired</t>
        </is>
      </c>
      <c r="M463" s="43" t="inlineStr">
        <is>
          <t>73-102226-06</t>
        </is>
      </c>
      <c r="N463" s="43" t="inlineStr"/>
      <c r="O463" s="43" t="inlineStr">
        <is>
          <t>2026-04-24</t>
        </is>
      </c>
      <c r="P463" s="33" t="inlineStr">
        <is>
          <t>For temporary part/material substitution (EXTENDABLE 2x)</t>
        </is>
      </c>
      <c r="Q463" s="43" t="inlineStr">
        <is>
          <t>No FFF change =&gt; No marking needed</t>
        </is>
      </c>
      <c r="R463" s="43" t="inlineStr">
        <is>
          <t>2026-01-26</t>
        </is>
      </c>
      <c r="S463" s="43" t="inlineStr">
        <is>
          <t>2026-01-31</t>
        </is>
      </c>
      <c r="T463" s="43" t="inlineStr"/>
      <c r="U463" s="43" t="inlineStr"/>
    </row>
    <row r="464">
      <c r="A464" s="43" t="n">
        <v>464</v>
      </c>
      <c r="B464" s="43" t="inlineStr">
        <is>
          <t>463</t>
        </is>
      </c>
      <c r="C464" s="43" t="inlineStr">
        <is>
          <t>FJZP</t>
        </is>
      </c>
      <c r="D464" s="43" t="inlineStr">
        <is>
          <t>Cisco</t>
        </is>
      </c>
      <c r="E464" s="43" t="inlineStr">
        <is>
          <t>MCGA</t>
        </is>
      </c>
      <c r="F464" s="43" t="inlineStr">
        <is>
          <t>035-CVEBU</t>
        </is>
      </c>
      <c r="G464" s="43" t="inlineStr">
        <is>
          <t>CTANJZ05086</t>
        </is>
      </c>
      <c r="H464" s="43" t="inlineStr">
        <is>
          <t>For temporary part/material substitution (EXTENDABLE)</t>
        </is>
      </c>
      <c r="I464" s="43" t="inlineStr">
        <is>
          <t>Customer Deviation</t>
        </is>
      </c>
      <c r="J464" s="43" t="inlineStr">
        <is>
          <t>D609139</t>
        </is>
      </c>
      <c r="K464"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64" s="43" t="inlineStr">
        <is>
          <t>Expired</t>
        </is>
      </c>
      <c r="M464" s="43" t="inlineStr">
        <is>
          <t>73-102797-02</t>
        </is>
      </c>
      <c r="N464" s="43" t="inlineStr"/>
      <c r="O464" s="43" t="inlineStr">
        <is>
          <t>2026-04-24</t>
        </is>
      </c>
      <c r="P464" s="33" t="inlineStr">
        <is>
          <t>For temporary part/material substitution (EXTENDABLE 2x)</t>
        </is>
      </c>
      <c r="Q464" s="43" t="inlineStr">
        <is>
          <t>No FFF change =&gt; No marking needed</t>
        </is>
      </c>
      <c r="R464" s="43" t="inlineStr">
        <is>
          <t>2026-01-26</t>
        </is>
      </c>
      <c r="S464" s="43" t="inlineStr">
        <is>
          <t>2026-01-31</t>
        </is>
      </c>
      <c r="T464" s="43" t="inlineStr"/>
      <c r="U464" s="43" t="inlineStr"/>
    </row>
    <row r="465">
      <c r="A465" s="43" t="n">
        <v>465</v>
      </c>
      <c r="B465" s="43" t="inlineStr">
        <is>
          <t>464</t>
        </is>
      </c>
      <c r="C465" s="43" t="inlineStr">
        <is>
          <t>FJZP</t>
        </is>
      </c>
      <c r="D465" s="43" t="inlineStr">
        <is>
          <t>Cisco</t>
        </is>
      </c>
      <c r="E465" s="43" t="inlineStr">
        <is>
          <t>MCGA</t>
        </is>
      </c>
      <c r="F465" s="43" t="inlineStr">
        <is>
          <t>035-CVEBU</t>
        </is>
      </c>
      <c r="G465" s="43" t="inlineStr">
        <is>
          <t>CTANJZ05086</t>
        </is>
      </c>
      <c r="H465" s="43" t="inlineStr">
        <is>
          <t>For temporary part/material substitution (EXTENDABLE)</t>
        </is>
      </c>
      <c r="I465" s="43" t="inlineStr">
        <is>
          <t>Customer Deviation</t>
        </is>
      </c>
      <c r="J465" s="43" t="inlineStr">
        <is>
          <t>D609139</t>
        </is>
      </c>
      <c r="K465"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65" s="43" t="inlineStr">
        <is>
          <t>Expired</t>
        </is>
      </c>
      <c r="M465" s="43" t="inlineStr">
        <is>
          <t>73-103226-06</t>
        </is>
      </c>
      <c r="N465" s="43" t="inlineStr"/>
      <c r="O465" s="43" t="inlineStr">
        <is>
          <t>2026-04-24</t>
        </is>
      </c>
      <c r="P465" s="33" t="inlineStr">
        <is>
          <t>For temporary part/material substitution (EXTENDABLE 2x)</t>
        </is>
      </c>
      <c r="Q465" s="43" t="inlineStr">
        <is>
          <t>No FFF change =&gt; No marking needed</t>
        </is>
      </c>
      <c r="R465" s="43" t="inlineStr">
        <is>
          <t>2026-01-26</t>
        </is>
      </c>
      <c r="S465" s="43" t="inlineStr">
        <is>
          <t>2026-01-31</t>
        </is>
      </c>
      <c r="T465" s="43" t="inlineStr"/>
      <c r="U465" s="43" t="inlineStr"/>
    </row>
    <row r="466">
      <c r="A466" s="43" t="n">
        <v>466</v>
      </c>
      <c r="B466" s="43" t="inlineStr">
        <is>
          <t>465</t>
        </is>
      </c>
      <c r="C466" s="43" t="inlineStr">
        <is>
          <t>FJZP</t>
        </is>
      </c>
      <c r="D466" s="43" t="inlineStr">
        <is>
          <t>Cisco</t>
        </is>
      </c>
      <c r="E466" s="43" t="inlineStr">
        <is>
          <t>MCGA</t>
        </is>
      </c>
      <c r="F466" s="43" t="inlineStr">
        <is>
          <t>035-CVEBU</t>
        </is>
      </c>
      <c r="G466" s="43" t="inlineStr">
        <is>
          <t>CTANJZ05086</t>
        </is>
      </c>
      <c r="H466" s="43" t="inlineStr">
        <is>
          <t>For temporary part/material substitution (EXTENDABLE)</t>
        </is>
      </c>
      <c r="I466" s="43" t="inlineStr">
        <is>
          <t>Customer Deviation</t>
        </is>
      </c>
      <c r="J466" s="43" t="inlineStr">
        <is>
          <t>D609139</t>
        </is>
      </c>
      <c r="K466"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66" s="43" t="inlineStr">
        <is>
          <t>Expired</t>
        </is>
      </c>
      <c r="M466" s="43" t="inlineStr">
        <is>
          <t>73-103698-06</t>
        </is>
      </c>
      <c r="N466" s="43" t="inlineStr"/>
      <c r="O466" s="43" t="inlineStr">
        <is>
          <t>2026-04-24</t>
        </is>
      </c>
      <c r="P466" s="33" t="inlineStr">
        <is>
          <t>For temporary part/material substitution (EXTENDABLE 2x)</t>
        </is>
      </c>
      <c r="Q466" s="43" t="inlineStr">
        <is>
          <t>No FFF change =&gt; No marking needed</t>
        </is>
      </c>
      <c r="R466" s="43" t="inlineStr">
        <is>
          <t>2026-01-26</t>
        </is>
      </c>
      <c r="S466" s="43" t="inlineStr">
        <is>
          <t>2026-01-31</t>
        </is>
      </c>
      <c r="T466" s="43" t="inlineStr"/>
      <c r="U466" s="43" t="inlineStr"/>
    </row>
    <row r="467">
      <c r="A467" s="43" t="n">
        <v>467</v>
      </c>
      <c r="B467" s="43" t="inlineStr">
        <is>
          <t>466</t>
        </is>
      </c>
      <c r="C467" s="43" t="inlineStr">
        <is>
          <t>FJZP</t>
        </is>
      </c>
      <c r="D467" s="43" t="inlineStr">
        <is>
          <t>Cisco</t>
        </is>
      </c>
      <c r="E467" s="43" t="inlineStr">
        <is>
          <t>MCGA</t>
        </is>
      </c>
      <c r="F467" s="43" t="inlineStr">
        <is>
          <t>035-CVEBU</t>
        </is>
      </c>
      <c r="G467" s="43" t="inlineStr">
        <is>
          <t>CTANJZ05086</t>
        </is>
      </c>
      <c r="H467" s="43" t="inlineStr">
        <is>
          <t>For temporary part/material substitution (EXTENDABLE)</t>
        </is>
      </c>
      <c r="I467" s="43" t="inlineStr">
        <is>
          <t>Customer Deviation</t>
        </is>
      </c>
      <c r="J467" s="43" t="inlineStr">
        <is>
          <t>D609139</t>
        </is>
      </c>
      <c r="K467"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67" s="43" t="inlineStr">
        <is>
          <t>Expired</t>
        </is>
      </c>
      <c r="M467" s="43" t="inlineStr">
        <is>
          <t>73-103826-05</t>
        </is>
      </c>
      <c r="N467" s="43" t="inlineStr"/>
      <c r="O467" s="43" t="inlineStr">
        <is>
          <t>2026-04-24</t>
        </is>
      </c>
      <c r="P467" s="33" t="inlineStr">
        <is>
          <t>For temporary part/material substitution (EXTENDABLE 2x)</t>
        </is>
      </c>
      <c r="Q467" s="43" t="inlineStr">
        <is>
          <t>No FFF change =&gt; No marking needed</t>
        </is>
      </c>
      <c r="R467" s="43" t="inlineStr">
        <is>
          <t>2026-01-26</t>
        </is>
      </c>
      <c r="S467" s="43" t="inlineStr">
        <is>
          <t>2026-01-31</t>
        </is>
      </c>
      <c r="T467" s="43" t="inlineStr"/>
      <c r="U467" s="43" t="inlineStr"/>
    </row>
    <row r="468">
      <c r="A468" s="43" t="n">
        <v>468</v>
      </c>
      <c r="B468" s="43" t="inlineStr">
        <is>
          <t>467</t>
        </is>
      </c>
      <c r="C468" s="43" t="inlineStr">
        <is>
          <t>FJZP</t>
        </is>
      </c>
      <c r="D468" s="43" t="inlineStr">
        <is>
          <t>Cisco</t>
        </is>
      </c>
      <c r="E468" s="43" t="inlineStr">
        <is>
          <t>MCGA</t>
        </is>
      </c>
      <c r="F468" s="43" t="inlineStr">
        <is>
          <t>035-CVEBU</t>
        </is>
      </c>
      <c r="G468" s="43" t="inlineStr">
        <is>
          <t>CTANJZ05086</t>
        </is>
      </c>
      <c r="H468" s="43" t="inlineStr">
        <is>
          <t>For temporary part/material substitution (EXTENDABLE)</t>
        </is>
      </c>
      <c r="I468" s="43" t="inlineStr">
        <is>
          <t>Customer Deviation</t>
        </is>
      </c>
      <c r="J468" s="43" t="inlineStr">
        <is>
          <t>D609139</t>
        </is>
      </c>
      <c r="K468"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68" s="43" t="inlineStr">
        <is>
          <t>Expired</t>
        </is>
      </c>
      <c r="M468" s="43" t="inlineStr">
        <is>
          <t>73-103940-06</t>
        </is>
      </c>
      <c r="N468" s="43" t="inlineStr"/>
      <c r="O468" s="43" t="inlineStr">
        <is>
          <t>2026-04-24</t>
        </is>
      </c>
      <c r="P468" s="33" t="inlineStr">
        <is>
          <t>For temporary part/material substitution (EXTENDABLE 2x)</t>
        </is>
      </c>
      <c r="Q468" s="43" t="inlineStr">
        <is>
          <t>No FFF change =&gt; No marking needed</t>
        </is>
      </c>
      <c r="R468" s="43" t="inlineStr">
        <is>
          <t>2026-01-26</t>
        </is>
      </c>
      <c r="S468" s="43" t="inlineStr">
        <is>
          <t>2026-01-31</t>
        </is>
      </c>
      <c r="T468" s="43" t="inlineStr"/>
      <c r="U468" s="43" t="inlineStr"/>
    </row>
    <row r="469">
      <c r="A469" s="43" t="n">
        <v>469</v>
      </c>
      <c r="B469" s="43" t="inlineStr">
        <is>
          <t>468</t>
        </is>
      </c>
      <c r="C469" s="43" t="inlineStr">
        <is>
          <t>FJZP</t>
        </is>
      </c>
      <c r="D469" s="43" t="inlineStr">
        <is>
          <t>Cisco</t>
        </is>
      </c>
      <c r="E469" s="43" t="inlineStr">
        <is>
          <t>MCGA</t>
        </is>
      </c>
      <c r="F469" s="43" t="inlineStr">
        <is>
          <t>035-CVEBU</t>
        </is>
      </c>
      <c r="G469" s="43" t="inlineStr">
        <is>
          <t>CTANJZ05086</t>
        </is>
      </c>
      <c r="H469" s="43" t="inlineStr">
        <is>
          <t>For temporary part/material substitution (EXTENDABLE)</t>
        </is>
      </c>
      <c r="I469" s="43" t="inlineStr">
        <is>
          <t>Customer Deviation</t>
        </is>
      </c>
      <c r="J469" s="43" t="inlineStr">
        <is>
          <t>D609139</t>
        </is>
      </c>
      <c r="K469"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69" s="43" t="inlineStr">
        <is>
          <t>Expired</t>
        </is>
      </c>
      <c r="M469" s="43" t="inlineStr">
        <is>
          <t>73-103950-01</t>
        </is>
      </c>
      <c r="N469" s="43" t="inlineStr"/>
      <c r="O469" s="43" t="inlineStr">
        <is>
          <t>2026-04-24</t>
        </is>
      </c>
      <c r="P469" s="33" t="inlineStr">
        <is>
          <t>For temporary part/material substitution (EXTENDABLE 2x)</t>
        </is>
      </c>
      <c r="Q469" s="43" t="inlineStr">
        <is>
          <t>No FFF change =&gt; No marking needed</t>
        </is>
      </c>
      <c r="R469" s="43" t="inlineStr">
        <is>
          <t>2026-01-26</t>
        </is>
      </c>
      <c r="S469" s="43" t="inlineStr">
        <is>
          <t>2026-01-31</t>
        </is>
      </c>
      <c r="T469" s="43" t="inlineStr"/>
      <c r="U469" s="43" t="inlineStr"/>
    </row>
    <row r="470">
      <c r="A470" s="43" t="n">
        <v>470</v>
      </c>
      <c r="B470" s="43" t="inlineStr">
        <is>
          <t>469</t>
        </is>
      </c>
      <c r="C470" s="43" t="inlineStr">
        <is>
          <t>FJZP</t>
        </is>
      </c>
      <c r="D470" s="43" t="inlineStr">
        <is>
          <t>Cisco</t>
        </is>
      </c>
      <c r="E470" s="43" t="inlineStr">
        <is>
          <t>MCGA</t>
        </is>
      </c>
      <c r="F470" s="43" t="inlineStr">
        <is>
          <t>035-CVEBU</t>
        </is>
      </c>
      <c r="G470" s="43" t="inlineStr">
        <is>
          <t>CTANJZ05086</t>
        </is>
      </c>
      <c r="H470" s="43" t="inlineStr">
        <is>
          <t>For temporary part/material substitution (EXTENDABLE)</t>
        </is>
      </c>
      <c r="I470" s="43" t="inlineStr">
        <is>
          <t>Customer Deviation</t>
        </is>
      </c>
      <c r="J470" s="43" t="inlineStr">
        <is>
          <t>D609139</t>
        </is>
      </c>
      <c r="K470"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470" s="43" t="inlineStr">
        <is>
          <t>Expired</t>
        </is>
      </c>
      <c r="M470" s="43" t="inlineStr">
        <is>
          <t>73-103951-01</t>
        </is>
      </c>
      <c r="N470" s="43" t="inlineStr"/>
      <c r="O470" s="43" t="inlineStr">
        <is>
          <t>2026-04-24</t>
        </is>
      </c>
      <c r="P470" s="33" t="inlineStr">
        <is>
          <t>For temporary part/material substitution (EXTENDABLE 2x)</t>
        </is>
      </c>
      <c r="Q470" s="43" t="inlineStr">
        <is>
          <t>No FFF change =&gt; No marking needed</t>
        </is>
      </c>
      <c r="R470" s="43" t="inlineStr">
        <is>
          <t>2026-01-26</t>
        </is>
      </c>
      <c r="S470" s="43" t="inlineStr">
        <is>
          <t>2026-01-31</t>
        </is>
      </c>
      <c r="T470" s="43" t="inlineStr"/>
      <c r="U470" s="43" t="inlineStr"/>
    </row>
    <row r="471">
      <c r="A471" s="43" t="n">
        <v>471</v>
      </c>
      <c r="B471" s="43" t="inlineStr">
        <is>
          <t>470</t>
        </is>
      </c>
      <c r="C471" s="43" t="inlineStr">
        <is>
          <t>FJZP</t>
        </is>
      </c>
      <c r="D471" s="43" t="inlineStr">
        <is>
          <t>Cisco</t>
        </is>
      </c>
      <c r="E471" s="43" t="inlineStr">
        <is>
          <t>MCGA</t>
        </is>
      </c>
      <c r="F471" s="43" t="inlineStr">
        <is>
          <t>037-STBU</t>
        </is>
      </c>
      <c r="G471" s="43" t="inlineStr">
        <is>
          <t>CTANJZ04430</t>
        </is>
      </c>
      <c r="H471" s="43" t="inlineStr">
        <is>
          <t>For temporary part/material substitution (EXTENDABLE)</t>
        </is>
      </c>
      <c r="I471" s="43" t="inlineStr">
        <is>
          <t>Customer Deviation</t>
        </is>
      </c>
      <c r="J471" s="43" t="inlineStr">
        <is>
          <t>D601838</t>
        </is>
      </c>
      <c r="K471" s="33" t="inlineStr">
        <is>
          <t>D601838 Use 16-100671-01 MPN MTFDDAK480TGB-1BC16ABYY in place of 16-100670-01.</t>
        </is>
      </c>
      <c r="L471" s="43" t="inlineStr">
        <is>
          <t>Expired</t>
        </is>
      </c>
      <c r="M471" s="43" t="inlineStr">
        <is>
          <t>16-100670-01</t>
        </is>
      </c>
      <c r="N471" s="43" t="inlineStr"/>
      <c r="O471" s="43" t="inlineStr">
        <is>
          <t>2025-05-06</t>
        </is>
      </c>
      <c r="P471" s="33" t="inlineStr">
        <is>
          <t>For temporary part/material substitution (EXTENDABLE 2x)</t>
        </is>
      </c>
      <c r="Q471" s="43" t="inlineStr">
        <is>
          <t>Add a label with the number of the DV in a visible place</t>
        </is>
      </c>
      <c r="R471" s="43" t="inlineStr">
        <is>
          <t>2025-02-06</t>
        </is>
      </c>
      <c r="S471" s="43" t="inlineStr">
        <is>
          <t>2025-02-21</t>
        </is>
      </c>
      <c r="T471" s="43" t="inlineStr"/>
      <c r="U471" s="43" t="inlineStr"/>
    </row>
    <row r="472">
      <c r="A472" s="43" t="n">
        <v>472</v>
      </c>
      <c r="B472" s="43" t="inlineStr">
        <is>
          <t>471</t>
        </is>
      </c>
      <c r="C472" s="43" t="inlineStr">
        <is>
          <t>FJZP</t>
        </is>
      </c>
      <c r="D472" s="43" t="inlineStr">
        <is>
          <t>Cisco</t>
        </is>
      </c>
      <c r="E472" s="43" t="inlineStr">
        <is>
          <t>MCGA</t>
        </is>
      </c>
      <c r="F472" s="43" t="inlineStr">
        <is>
          <t>018-SRGBU</t>
        </is>
      </c>
      <c r="G472" s="43" t="inlineStr">
        <is>
          <t>CTANJZ04432</t>
        </is>
      </c>
      <c r="H472" s="43" t="inlineStr">
        <is>
          <t>For temporary part/material substitution (EXTENDABLE)</t>
        </is>
      </c>
      <c r="I472" s="43" t="inlineStr">
        <is>
          <t>Customer Deviation</t>
        </is>
      </c>
      <c r="J472" s="43" t="inlineStr">
        <is>
          <t>D601971</t>
        </is>
      </c>
      <c r="K472" s="33" t="inlineStr">
        <is>
          <t>D601971 Please see PageThree for details</t>
        </is>
      </c>
      <c r="L472" s="43" t="inlineStr">
        <is>
          <t>Expired</t>
        </is>
      </c>
      <c r="M472" s="43" t="inlineStr">
        <is>
          <t>16-100775-01</t>
        </is>
      </c>
      <c r="N472" s="43" t="inlineStr"/>
      <c r="O472" s="43" t="inlineStr">
        <is>
          <t>2025-05-06</t>
        </is>
      </c>
      <c r="P472" s="33" t="inlineStr">
        <is>
          <t>For temporary part/material substitution (EXTENDABLE 2x)</t>
        </is>
      </c>
      <c r="Q472" s="43" t="inlineStr">
        <is>
          <t>Mark drives with deviation number; and resized size CPN: 16-100775-01; MPN: MTFDDAK480TGB-1BC16ABYY; Resizing: 480GB to 400GB CPN: 16-100809-01; MPN: MTFDDAK240TGA-1BC16ABYY; Resizing: 240GB to 100GB</t>
        </is>
      </c>
      <c r="R472" s="43" t="inlineStr">
        <is>
          <t>2025-02-06</t>
        </is>
      </c>
      <c r="S472" s="43" t="inlineStr">
        <is>
          <t>2025-02-21</t>
        </is>
      </c>
      <c r="T472" s="43" t="inlineStr"/>
      <c r="U472" s="43" t="inlineStr"/>
    </row>
    <row r="473">
      <c r="A473" s="43" t="n">
        <v>473</v>
      </c>
      <c r="B473" s="43" t="inlineStr">
        <is>
          <t>472</t>
        </is>
      </c>
      <c r="C473" s="43" t="inlineStr">
        <is>
          <t>FJZP</t>
        </is>
      </c>
      <c r="D473" s="43" t="inlineStr">
        <is>
          <t>Cisco</t>
        </is>
      </c>
      <c r="E473" s="43" t="inlineStr">
        <is>
          <t>MCGA</t>
        </is>
      </c>
      <c r="F473" s="43" t="inlineStr">
        <is>
          <t>018-SRGBU</t>
        </is>
      </c>
      <c r="G473" s="43" t="inlineStr">
        <is>
          <t>CTANJZ04432</t>
        </is>
      </c>
      <c r="H473" s="43" t="inlineStr">
        <is>
          <t>For temporary part/material substitution (EXTENDABLE)</t>
        </is>
      </c>
      <c r="I473" s="43" t="inlineStr">
        <is>
          <t>Customer Deviation</t>
        </is>
      </c>
      <c r="J473" s="43" t="inlineStr">
        <is>
          <t>D601971</t>
        </is>
      </c>
      <c r="K473" s="33" t="inlineStr">
        <is>
          <t>D601971 Please see PageThree for details</t>
        </is>
      </c>
      <c r="L473" s="43" t="inlineStr">
        <is>
          <t>Expired</t>
        </is>
      </c>
      <c r="M473" s="43" t="inlineStr">
        <is>
          <t>16-100809-01</t>
        </is>
      </c>
      <c r="N473" s="43" t="inlineStr"/>
      <c r="O473" s="43" t="inlineStr">
        <is>
          <t>2025-05-06</t>
        </is>
      </c>
      <c r="P473" s="33" t="inlineStr">
        <is>
          <t>For temporary part/material substitution (EXTENDABLE 2x)</t>
        </is>
      </c>
      <c r="Q473" s="43" t="inlineStr">
        <is>
          <t>Mark drives with deviation number; and resized size CPN: 16-100775-01; MPN: MTFDDAK480TGB-1BC16ABYY; Resizing: 480GB to 400GB CPN: 16-100809-01; MPN: MTFDDAK240TGA-1BC16ABYY; Resizing: 240GB to 100GB</t>
        </is>
      </c>
      <c r="R473" s="43" t="inlineStr">
        <is>
          <t>2025-02-06</t>
        </is>
      </c>
      <c r="S473" s="43" t="inlineStr">
        <is>
          <t>2025-02-21</t>
        </is>
      </c>
      <c r="T473" s="43" t="inlineStr"/>
      <c r="U473" s="43" t="inlineStr"/>
    </row>
    <row r="474">
      <c r="A474" s="43" t="n">
        <v>474</v>
      </c>
      <c r="B474" s="43" t="inlineStr">
        <is>
          <t>473</t>
        </is>
      </c>
      <c r="C474" s="43" t="inlineStr">
        <is>
          <t>FJZP</t>
        </is>
      </c>
      <c r="D474" s="43" t="inlineStr">
        <is>
          <t>Cisco</t>
        </is>
      </c>
      <c r="E474" s="43" t="inlineStr">
        <is>
          <t>MCGA</t>
        </is>
      </c>
      <c r="F474" s="43" t="inlineStr">
        <is>
          <t>035-CVEBU</t>
        </is>
      </c>
      <c r="G474" s="43" t="inlineStr">
        <is>
          <t>CTANJZ04699</t>
        </is>
      </c>
      <c r="H474" s="43" t="inlineStr">
        <is>
          <t>For temporary part/material substitution (EXTENDABLE)</t>
        </is>
      </c>
      <c r="I474" s="43" t="inlineStr">
        <is>
          <t>Customer Deviation</t>
        </is>
      </c>
      <c r="J474" s="43" t="inlineStr">
        <is>
          <t>D604620</t>
        </is>
      </c>
      <c r="K474" s="33" t="inlineStr">
        <is>
          <t>D604620 CVEBU;HeliosCS-PWR-INJ-30W   Power Injector 802.3at PoE+ 30W  CS-PWR-INJ-30W=  Power Injector 802.3at PoE+ 30W - SPAREIn BOMs341-100456-03 PWRSPLY-ADAPTER;ISOLATED;POE;AC;30.0 W...IPQ:       Microchip PD-9001GR/AT/AC-CSIQualified: Phihong   POE29U-1AT(PL)C-R ZSince the Microchip alternate is not yet qualified; and the Phihong alternate is not yet on-hand at DF sites; the DF sites are temporarily allowed to use the previous version:341-100456-02 PWRSPLY-ADAPTER;ISOLATED;POE;AC;30.0 W..Qualified: Microchip PD-9001GR/AT/AC-WN ZQualified: Phihong   POE29U-1AT(PL)C-R ZUsing Microchip PD-9001GR/AT/AC-WN Z together with Brooklyn and Helios; may cause an extra Helios re-boot at first start-up. This allows temporarily use of this alternate.</t>
        </is>
      </c>
      <c r="L474" s="43" t="inlineStr">
        <is>
          <t>Expired</t>
        </is>
      </c>
      <c r="M474" s="43" t="inlineStr">
        <is>
          <t>341-100456-03</t>
        </is>
      </c>
      <c r="N474" s="43" t="inlineStr"/>
      <c r="O474" s="43" t="inlineStr">
        <is>
          <t>2025-09-23</t>
        </is>
      </c>
      <c r="P474" s="33" t="inlineStr">
        <is>
          <t>For temporary part/material substitution (EXTENDABLE 2x)</t>
        </is>
      </c>
      <c r="Q474" s="43" t="inlineStr">
        <is>
          <t>No FFF change =&gt; No marking needed</t>
        </is>
      </c>
      <c r="R474" s="43" t="inlineStr">
        <is>
          <t>2025-07-02</t>
        </is>
      </c>
      <c r="S474" s="43" t="inlineStr">
        <is>
          <t>2025-07-15</t>
        </is>
      </c>
      <c r="T474" s="43" t="inlineStr"/>
      <c r="U474" s="43" t="inlineStr"/>
    </row>
    <row r="475">
      <c r="A475" s="43" t="n">
        <v>475</v>
      </c>
      <c r="B475" s="43" t="inlineStr">
        <is>
          <t>474</t>
        </is>
      </c>
      <c r="C475" s="43" t="inlineStr">
        <is>
          <t>FJZP</t>
        </is>
      </c>
      <c r="D475" s="43" t="inlineStr">
        <is>
          <t>Cisco</t>
        </is>
      </c>
      <c r="E475" s="43" t="inlineStr">
        <is>
          <t>MCGA</t>
        </is>
      </c>
      <c r="F475" s="43" t="inlineStr">
        <is>
          <t>037-STBU</t>
        </is>
      </c>
      <c r="G475" s="43" t="inlineStr">
        <is>
          <t>CTANJZ04759</t>
        </is>
      </c>
      <c r="H475" s="43" t="inlineStr">
        <is>
          <t>To temporarily use parts/materials that do not meet the specifications</t>
        </is>
      </c>
      <c r="I475" s="43" t="inlineStr">
        <is>
          <t>Customer Deviation</t>
        </is>
      </c>
      <c r="J475" s="43" t="inlineStr">
        <is>
          <t>DP525171</t>
        </is>
      </c>
      <c r="K475" s="33" t="inlineStr">
        <is>
          <t>DP525171FJZ has 13 damaged heatsinks with suspected shipping damage.  (CPN 700-138284-01; Mfg'r = AVC) In parallel with pursuing root cause &amp; corrective action with AVC; FJZ is directed to use 9 of these 13 to complete Pre-Pilot build on Model C &amp; D. (4 SKU C &amp; 5 SKU D). Units should be marked with Deviation number on top of pull-out tab at front of chassis &amp; serial numbers tracked/shared in DBN.Summary? 9 units to be built with the heat sinks that are validated by Cisco on-site support? 7 units to be tested and shipped.? 2 units to remain at FJZ (1 SKU-C and 1 SKU-D) and be used to validate the new fixture &amp; tools improvements.? FJZ to track/share serial numbers once available.</t>
        </is>
      </c>
      <c r="L475" s="43" t="inlineStr">
        <is>
          <t>Expired</t>
        </is>
      </c>
      <c r="M475" s="43" t="inlineStr">
        <is>
          <t>800-112583-04</t>
        </is>
      </c>
      <c r="N475" s="43" t="inlineStr"/>
      <c r="O475" s="43" t="inlineStr">
        <is>
          <t>2025-09-28</t>
        </is>
      </c>
      <c r="P475" s="33" t="inlineStr">
        <is>
          <t>To temporarily use parts/materials that do not meet the specifications</t>
        </is>
      </c>
      <c r="Q475" s="43" t="inlineStr">
        <is>
          <t>Please label unit on top-side of pullout tab with Deviation Number</t>
        </is>
      </c>
      <c r="R475" s="43" t="inlineStr">
        <is>
          <t>2025-07-31</t>
        </is>
      </c>
      <c r="S475" s="43" t="inlineStr">
        <is>
          <t>2025-08-06</t>
        </is>
      </c>
      <c r="T475" s="43" t="inlineStr"/>
      <c r="U475" s="43" t="inlineStr"/>
    </row>
    <row r="476">
      <c r="A476" s="43" t="n">
        <v>476</v>
      </c>
      <c r="B476" s="43" t="inlineStr">
        <is>
          <t>475</t>
        </is>
      </c>
      <c r="C476" s="43" t="inlineStr">
        <is>
          <t>FJZP</t>
        </is>
      </c>
      <c r="D476" s="43" t="inlineStr">
        <is>
          <t>Cisco</t>
        </is>
      </c>
      <c r="E476" s="43" t="inlineStr">
        <is>
          <t>MCGA</t>
        </is>
      </c>
      <c r="F476" s="43" t="inlineStr">
        <is>
          <t>037-STBU</t>
        </is>
      </c>
      <c r="G476" s="43" t="inlineStr">
        <is>
          <t>CTANJZ04759</t>
        </is>
      </c>
      <c r="H476" s="43" t="inlineStr">
        <is>
          <t>To temporarily use parts/materials that do not meet the specifications</t>
        </is>
      </c>
      <c r="I476" s="43" t="inlineStr">
        <is>
          <t>Customer Deviation</t>
        </is>
      </c>
      <c r="J476" s="43" t="inlineStr">
        <is>
          <t>DP525171</t>
        </is>
      </c>
      <c r="K476" s="33" t="inlineStr">
        <is>
          <t>DP525171FJZ has 13 damaged heatsinks with suspected shipping damage.  (CPN 700-138284-01; Mfg'r = AVC) In parallel with pursuing root cause &amp; corrective action with AVC; FJZ is directed to use 9 of these 13 to complete Pre-Pilot build on Model C &amp; D. (4 SKU C &amp; 5 SKU D). Units should be marked with Deviation number on top of pull-out tab at front of chassis &amp; serial numbers tracked/shared in DBN.Summary? 9 units to be built with the heat sinks that are validated by Cisco on-site support? 7 units to be tested and shipped.? 2 units to remain at FJZ (1 SKU-C and 1 SKU-D) and be used to validate the new fixture &amp; tools improvements.? FJZ to track/share serial numbers once available.</t>
        </is>
      </c>
      <c r="L476" s="43" t="inlineStr">
        <is>
          <t>Expired</t>
        </is>
      </c>
      <c r="M476" s="43" t="inlineStr">
        <is>
          <t>800-112720-04</t>
        </is>
      </c>
      <c r="N476" s="43" t="inlineStr"/>
      <c r="O476" s="43" t="inlineStr">
        <is>
          <t>2025-09-28</t>
        </is>
      </c>
      <c r="P476" s="33" t="inlineStr">
        <is>
          <t>To temporarily use parts/materials that do not meet the specifications</t>
        </is>
      </c>
      <c r="Q476" s="43" t="inlineStr">
        <is>
          <t>Please label unit on top-side of pullout tab with Deviation Number</t>
        </is>
      </c>
      <c r="R476" s="43" t="inlineStr">
        <is>
          <t>2025-07-31</t>
        </is>
      </c>
      <c r="S476" s="43" t="inlineStr">
        <is>
          <t>2025-08-06</t>
        </is>
      </c>
      <c r="T476" s="43" t="inlineStr"/>
      <c r="U476" s="43" t="inlineStr"/>
    </row>
    <row r="477">
      <c r="A477" s="43" t="n">
        <v>477</v>
      </c>
      <c r="B477" s="43" t="inlineStr">
        <is>
          <t>476</t>
        </is>
      </c>
      <c r="C477" s="43" t="inlineStr">
        <is>
          <t>FJZP</t>
        </is>
      </c>
      <c r="D477" s="43" t="inlineStr">
        <is>
          <t>Cisco</t>
        </is>
      </c>
      <c r="E477" s="43" t="inlineStr">
        <is>
          <t>MCGA</t>
        </is>
      </c>
      <c r="F477" s="43" t="inlineStr">
        <is>
          <t>035-CVEBU</t>
        </is>
      </c>
      <c r="G477" s="43" t="inlineStr">
        <is>
          <t>CTANJZ05087</t>
        </is>
      </c>
      <c r="H477" s="43" t="inlineStr">
        <is>
          <t>To temporarily use parts/materials that do not meet the specifications</t>
        </is>
      </c>
      <c r="I477" s="43" t="inlineStr">
        <is>
          <t>Customer Deviation</t>
        </is>
      </c>
      <c r="J477" s="43" t="inlineStr">
        <is>
          <t>D609115</t>
        </is>
      </c>
      <c r="K477" s="33" t="inlineStr">
        <is>
          <t>D609115CVEBU;Brooklyn;DaVinci;Millennium73-102022-02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D602313 which allowed 13k pcs old DC parts to be consumed.FOL is hereby allowed to source and use in total 43554 pcs LIFCL-17-7BG256C with old Date Codes CY2022 and slightly newer Date CodesBefore usage in MP; FOL shall perform a solderability test and issue a simple test report.Since the affected Date Codes are almost the same; it is sufficient to run the solderability report with samples from one of the oldest component lots.CVEBU encourages Foxconn and Cisco GSM to put heavy pressure on Lattice to get on track providing only fresh Date Code parts.</t>
        </is>
      </c>
      <c r="L477" s="43" t="inlineStr">
        <is>
          <t>Expired</t>
        </is>
      </c>
      <c r="M477" s="43" t="inlineStr">
        <is>
          <t>16-101838-01</t>
        </is>
      </c>
      <c r="N477" s="43" t="inlineStr"/>
      <c r="O477" s="43" t="inlineStr">
        <is>
          <t>2026-04-28</t>
        </is>
      </c>
      <c r="P477" s="33" t="inlineStr">
        <is>
          <t>To temporarily use parts/materials that do not meet the specifications</t>
        </is>
      </c>
      <c r="Q477" s="43" t="inlineStr">
        <is>
          <t>No FFF change =&gt; No marking needed</t>
        </is>
      </c>
      <c r="R477" s="43" t="inlineStr">
        <is>
          <t>2026-01-28</t>
        </is>
      </c>
      <c r="S477" s="43" t="inlineStr">
        <is>
          <t>2026-02-11</t>
        </is>
      </c>
      <c r="T477" s="43" t="inlineStr"/>
      <c r="U477" s="43" t="inlineStr"/>
    </row>
    <row r="478">
      <c r="A478" s="43" t="n">
        <v>478</v>
      </c>
      <c r="B478" s="43" t="inlineStr">
        <is>
          <t>477</t>
        </is>
      </c>
      <c r="C478" s="43" t="inlineStr">
        <is>
          <t>FJZP</t>
        </is>
      </c>
      <c r="D478" s="43" t="inlineStr">
        <is>
          <t>Cisco</t>
        </is>
      </c>
      <c r="E478" s="43" t="inlineStr">
        <is>
          <t>MCGA</t>
        </is>
      </c>
      <c r="F478" s="43" t="inlineStr">
        <is>
          <t>035-CVEBU</t>
        </is>
      </c>
      <c r="G478" s="43" t="inlineStr">
        <is>
          <t>CTANJZ05087</t>
        </is>
      </c>
      <c r="H478" s="43" t="inlineStr">
        <is>
          <t>To temporarily use parts/materials that do not meet the specifications</t>
        </is>
      </c>
      <c r="I478" s="43" t="inlineStr">
        <is>
          <t>Customer Deviation</t>
        </is>
      </c>
      <c r="J478" s="43" t="inlineStr">
        <is>
          <t>D609115</t>
        </is>
      </c>
      <c r="K478" s="33" t="inlineStr">
        <is>
          <t>D609115CVEBU;Brooklyn;DaVinci;Millennium73-102022-02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D602313 which allowed 13k pcs old DC parts to be consumed.FOL is hereby allowed to source and use in total 43554 pcs LIFCL-17-7BG256C with old Date Codes CY2022 and slightly newer Date CodesBefore usage in MP; FOL shall perform a solderability test and issue a simple test report.Since the affected Date Codes are almost the same; it is sufficient to run the solderability report with samples from one of the oldest component lots.CVEBU encourages Foxconn and Cisco GSM to put heavy pressure on Lattice to get on track providing only fresh Date Code parts.</t>
        </is>
      </c>
      <c r="L478" s="43" t="inlineStr">
        <is>
          <t>Expired</t>
        </is>
      </c>
      <c r="M478" s="43" t="inlineStr">
        <is>
          <t>73-102022-02</t>
        </is>
      </c>
      <c r="N478" s="43" t="inlineStr"/>
      <c r="O478" s="43" t="inlineStr">
        <is>
          <t>2026-04-28</t>
        </is>
      </c>
      <c r="P478" s="33" t="inlineStr">
        <is>
          <t>To temporarily use parts/materials that do not meet the specifications</t>
        </is>
      </c>
      <c r="Q478" s="43" t="inlineStr">
        <is>
          <t>No FFF change =&gt; No marking needed</t>
        </is>
      </c>
      <c r="R478" s="43" t="inlineStr">
        <is>
          <t>2026-01-28</t>
        </is>
      </c>
      <c r="S478" s="43" t="inlineStr">
        <is>
          <t>2026-02-11</t>
        </is>
      </c>
      <c r="T478" s="43" t="inlineStr"/>
      <c r="U478" s="43" t="inlineStr"/>
    </row>
    <row r="479">
      <c r="A479" s="43" t="n">
        <v>479</v>
      </c>
      <c r="B479" s="43" t="inlineStr">
        <is>
          <t>478</t>
        </is>
      </c>
      <c r="C479" s="43" t="inlineStr">
        <is>
          <t>FJZP</t>
        </is>
      </c>
      <c r="D479" s="43" t="inlineStr">
        <is>
          <t>Cisco</t>
        </is>
      </c>
      <c r="E479" s="43" t="inlineStr">
        <is>
          <t>MCGA</t>
        </is>
      </c>
      <c r="F479" s="43" t="inlineStr">
        <is>
          <t>035-CVEBU</t>
        </is>
      </c>
      <c r="G479" s="43" t="inlineStr">
        <is>
          <t>CTANJZ05087</t>
        </is>
      </c>
      <c r="H479" s="43" t="inlineStr">
        <is>
          <t>To temporarily use parts/materials that do not meet the specifications</t>
        </is>
      </c>
      <c r="I479" s="43" t="inlineStr">
        <is>
          <t>Customer Deviation</t>
        </is>
      </c>
      <c r="J479" s="43" t="inlineStr">
        <is>
          <t>D609115</t>
        </is>
      </c>
      <c r="K479" s="33" t="inlineStr">
        <is>
          <t>D609115CVEBU;Brooklyn;DaVinci;Millennium73-102022-02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D602313 which allowed 13k pcs old DC parts to be consumed.FOL is hereby allowed to source and use in total 43554 pcs LIFCL-17-7BG256C with old Date Codes CY2022 and slightly newer Date CodesBefore usage in MP; FOL shall perform a solderability test and issue a simple test report.Since the affected Date Codes are almost the same; it is sufficient to run the solderability report with samples from one of the oldest component lots.CVEBU encourages Foxconn and Cisco GSM to put heavy pressure on Lattice to get on track providing only fresh Date Code parts.</t>
        </is>
      </c>
      <c r="L479" s="43" t="inlineStr">
        <is>
          <t>Expired</t>
        </is>
      </c>
      <c r="M479" s="43" t="inlineStr">
        <is>
          <t>73-102197-02</t>
        </is>
      </c>
      <c r="N479" s="43" t="inlineStr"/>
      <c r="O479" s="43" t="inlineStr">
        <is>
          <t>2026-04-28</t>
        </is>
      </c>
      <c r="P479" s="33" t="inlineStr">
        <is>
          <t>To temporarily use parts/materials that do not meet the specifications</t>
        </is>
      </c>
      <c r="Q479" s="43" t="inlineStr">
        <is>
          <t>No FFF change =&gt; No marking needed</t>
        </is>
      </c>
      <c r="R479" s="43" t="inlineStr">
        <is>
          <t>2026-01-28</t>
        </is>
      </c>
      <c r="S479" s="43" t="inlineStr">
        <is>
          <t>2026-02-11</t>
        </is>
      </c>
      <c r="T479" s="43" t="inlineStr"/>
      <c r="U479" s="43" t="inlineStr"/>
    </row>
    <row r="480">
      <c r="A480" s="43" t="n">
        <v>480</v>
      </c>
      <c r="B480" s="43" t="inlineStr">
        <is>
          <t>479</t>
        </is>
      </c>
      <c r="C480" s="43" t="inlineStr">
        <is>
          <t>FJZP</t>
        </is>
      </c>
      <c r="D480" s="43" t="inlineStr">
        <is>
          <t>Cisco</t>
        </is>
      </c>
      <c r="E480" s="43" t="inlineStr">
        <is>
          <t>MCGA</t>
        </is>
      </c>
      <c r="F480" s="43" t="inlineStr">
        <is>
          <t>035-CVEBU</t>
        </is>
      </c>
      <c r="G480" s="43" t="inlineStr">
        <is>
          <t>CTANJZ05087</t>
        </is>
      </c>
      <c r="H480" s="43" t="inlineStr">
        <is>
          <t>To temporarily use parts/materials that do not meet the specifications</t>
        </is>
      </c>
      <c r="I480" s="43" t="inlineStr">
        <is>
          <t>Customer Deviation</t>
        </is>
      </c>
      <c r="J480" s="43" t="inlineStr">
        <is>
          <t>D609115</t>
        </is>
      </c>
      <c r="K480" s="33" t="inlineStr">
        <is>
          <t>D609115CVEBU;Brooklyn;DaVinci;Millennium73-102022-02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D602313 which allowed 13k pcs old DC parts to be consumed.FOL is hereby allowed to source and use in total 43554 pcs LIFCL-17-7BG256C with old Date Codes CY2022 and slightly newer Date CodesBefore usage in MP; FOL shall perform a solderability test and issue a simple test report.Since the affected Date Codes are almost the same; it is sufficient to run the solderability report with samples from one of the oldest component lots.CVEBU encourages Foxconn and Cisco GSM to put heavy pressure on Lattice to get on track providing only fresh Date Code parts.</t>
        </is>
      </c>
      <c r="L480" s="43" t="inlineStr">
        <is>
          <t>Expired</t>
        </is>
      </c>
      <c r="M480" s="43" t="inlineStr">
        <is>
          <t>73-102226-06</t>
        </is>
      </c>
      <c r="N480" s="43" t="inlineStr"/>
      <c r="O480" s="43" t="inlineStr">
        <is>
          <t>2026-04-28</t>
        </is>
      </c>
      <c r="P480" s="33" t="inlineStr">
        <is>
          <t>To temporarily use parts/materials that do not meet the specifications</t>
        </is>
      </c>
      <c r="Q480" s="43" t="inlineStr">
        <is>
          <t>No FFF change =&gt; No marking needed</t>
        </is>
      </c>
      <c r="R480" s="43" t="inlineStr">
        <is>
          <t>2026-01-28</t>
        </is>
      </c>
      <c r="S480" s="43" t="inlineStr">
        <is>
          <t>2026-02-11</t>
        </is>
      </c>
      <c r="T480" s="43" t="inlineStr"/>
      <c r="U480" s="43" t="inlineStr"/>
    </row>
    <row r="481">
      <c r="A481" s="43" t="n">
        <v>481</v>
      </c>
      <c r="B481" s="43" t="inlineStr">
        <is>
          <t>480</t>
        </is>
      </c>
      <c r="C481" s="43" t="inlineStr">
        <is>
          <t>FJZP</t>
        </is>
      </c>
      <c r="D481" s="43" t="inlineStr">
        <is>
          <t>Cisco</t>
        </is>
      </c>
      <c r="E481" s="43" t="inlineStr">
        <is>
          <t>MCGA</t>
        </is>
      </c>
      <c r="F481" s="43" t="inlineStr">
        <is>
          <t>035-CVEBU</t>
        </is>
      </c>
      <c r="G481" s="43" t="inlineStr">
        <is>
          <t>CTANJZ05087</t>
        </is>
      </c>
      <c r="H481" s="43" t="inlineStr">
        <is>
          <t>To temporarily use parts/materials that do not meet the specifications</t>
        </is>
      </c>
      <c r="I481" s="43" t="inlineStr">
        <is>
          <t>Customer Deviation</t>
        </is>
      </c>
      <c r="J481" s="43" t="inlineStr">
        <is>
          <t>D609115</t>
        </is>
      </c>
      <c r="K481" s="33" t="inlineStr">
        <is>
          <t>D609115CVEBU;Brooklyn;DaVinci;Millennium73-102022-02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D602313 which allowed 13k pcs old DC parts to be consumed.FOL is hereby allowed to source and use in total 43554 pcs LIFCL-17-7BG256C with old Date Codes CY2022 and slightly newer Date CodesBefore usage in MP; FOL shall perform a solderability test and issue a simple test report.Since the affected Date Codes are almost the same; it is sufficient to run the solderability report with samples from one of the oldest component lots.CVEBU encourages Foxconn and Cisco GSM to put heavy pressure on Lattice to get on track providing only fresh Date Code parts.</t>
        </is>
      </c>
      <c r="L481" s="43" t="inlineStr">
        <is>
          <t>Expired</t>
        </is>
      </c>
      <c r="M481" s="43" t="inlineStr">
        <is>
          <t>73-102797-02</t>
        </is>
      </c>
      <c r="N481" s="43" t="inlineStr"/>
      <c r="O481" s="43" t="inlineStr">
        <is>
          <t>2026-04-28</t>
        </is>
      </c>
      <c r="P481" s="33" t="inlineStr">
        <is>
          <t>To temporarily use parts/materials that do not meet the specifications</t>
        </is>
      </c>
      <c r="Q481" s="43" t="inlineStr">
        <is>
          <t>No FFF change =&gt; No marking needed</t>
        </is>
      </c>
      <c r="R481" s="43" t="inlineStr">
        <is>
          <t>2026-01-28</t>
        </is>
      </c>
      <c r="S481" s="43" t="inlineStr">
        <is>
          <t>2026-02-11</t>
        </is>
      </c>
      <c r="T481" s="43" t="inlineStr"/>
      <c r="U481" s="43" t="inlineStr"/>
    </row>
    <row r="482">
      <c r="A482" s="43" t="n">
        <v>482</v>
      </c>
      <c r="B482" s="43" t="inlineStr">
        <is>
          <t>481</t>
        </is>
      </c>
      <c r="C482" s="43" t="inlineStr">
        <is>
          <t>FJZP</t>
        </is>
      </c>
      <c r="D482" s="43" t="inlineStr">
        <is>
          <t>Cisco</t>
        </is>
      </c>
      <c r="E482" s="43" t="inlineStr">
        <is>
          <t>MCGA</t>
        </is>
      </c>
      <c r="F482" s="43" t="inlineStr">
        <is>
          <t>035-CVEBU</t>
        </is>
      </c>
      <c r="G482" s="43" t="inlineStr">
        <is>
          <t>CTANJZ05087</t>
        </is>
      </c>
      <c r="H482" s="43" t="inlineStr">
        <is>
          <t>To temporarily use parts/materials that do not meet the specifications</t>
        </is>
      </c>
      <c r="I482" s="43" t="inlineStr">
        <is>
          <t>Customer Deviation</t>
        </is>
      </c>
      <c r="J482" s="43" t="inlineStr">
        <is>
          <t>D609115</t>
        </is>
      </c>
      <c r="K482" s="33" t="inlineStr">
        <is>
          <t>D609115CVEBU;Brooklyn;DaVinci;Millennium73-102022-02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D602313 which allowed 13k pcs old DC parts to be consumed.FOL is hereby allowed to source and use in total 43554 pcs LIFCL-17-7BG256C with old Date Codes CY2022 and slightly newer Date CodesBefore usage in MP; FOL shall perform a solderability test and issue a simple test report.Since the affected Date Codes are almost the same; it is sufficient to run the solderability report with samples from one of the oldest component lots.CVEBU encourages Foxconn and Cisco GSM to put heavy pressure on Lattice to get on track providing only fresh Date Code parts.</t>
        </is>
      </c>
      <c r="L482" s="43" t="inlineStr">
        <is>
          <t>Expired</t>
        </is>
      </c>
      <c r="M482" s="43" t="inlineStr">
        <is>
          <t>73-103226-06</t>
        </is>
      </c>
      <c r="N482" s="43" t="inlineStr"/>
      <c r="O482" s="43" t="inlineStr">
        <is>
          <t>2026-04-28</t>
        </is>
      </c>
      <c r="P482" s="33" t="inlineStr">
        <is>
          <t>To temporarily use parts/materials that do not meet the specifications</t>
        </is>
      </c>
      <c r="Q482" s="43" t="inlineStr">
        <is>
          <t>No FFF change =&gt; No marking needed</t>
        </is>
      </c>
      <c r="R482" s="43" t="inlineStr">
        <is>
          <t>2026-01-28</t>
        </is>
      </c>
      <c r="S482" s="43" t="inlineStr">
        <is>
          <t>2026-02-11</t>
        </is>
      </c>
      <c r="T482" s="43" t="inlineStr"/>
      <c r="U482" s="43" t="inlineStr"/>
    </row>
    <row r="483">
      <c r="A483" s="43" t="n">
        <v>483</v>
      </c>
      <c r="B483" s="43" t="inlineStr">
        <is>
          <t>482</t>
        </is>
      </c>
      <c r="C483" s="43" t="inlineStr">
        <is>
          <t>FJZP</t>
        </is>
      </c>
      <c r="D483" s="43" t="inlineStr">
        <is>
          <t>Cisco</t>
        </is>
      </c>
      <c r="E483" s="43" t="inlineStr">
        <is>
          <t>MCGA</t>
        </is>
      </c>
      <c r="F483" s="43" t="inlineStr">
        <is>
          <t>037-STBU</t>
        </is>
      </c>
      <c r="G483" s="43" t="inlineStr">
        <is>
          <t>CTANJZ05067</t>
        </is>
      </c>
      <c r="H483" s="43" t="inlineStr">
        <is>
          <t>For temporary part/material substitution (EXTENDABLE)</t>
        </is>
      </c>
      <c r="I483" s="43" t="inlineStr">
        <is>
          <t>Customer Deviation</t>
        </is>
      </c>
      <c r="J483" s="43" t="inlineStr">
        <is>
          <t>D608828</t>
        </is>
      </c>
      <c r="K483" s="33" t="inlineStr">
        <is>
          <t>D608828Use DIMM 15-105736-02 instead of 15-106507-02 on QW. MPN SMART MODULAR SR5722G822APJDASG0 is an approved MPN for 15-106507-02</t>
        </is>
      </c>
      <c r="L483" s="43" t="inlineStr">
        <is>
          <t>Expired</t>
        </is>
      </c>
      <c r="M483" s="43" t="inlineStr">
        <is>
          <t>800-106632-03</t>
        </is>
      </c>
      <c r="N483" s="43" t="inlineStr"/>
      <c r="O483" s="43" t="inlineStr">
        <is>
          <t>2026-04-15</t>
        </is>
      </c>
      <c r="P483" s="33" t="inlineStr">
        <is>
          <t>For temporary part/material substitution (EXTENDABLE 2x)</t>
        </is>
      </c>
      <c r="Q483" s="43" t="inlineStr">
        <is>
          <t>Add the label with the deviation number and part number on the DIMM. Add part number with a barcode for scanning purposes.</t>
        </is>
      </c>
      <c r="R483" s="43" t="inlineStr">
        <is>
          <t>2026-01-16</t>
        </is>
      </c>
      <c r="S483" s="43" t="inlineStr">
        <is>
          <t>2026-01-31</t>
        </is>
      </c>
      <c r="T483" s="43" t="inlineStr"/>
      <c r="U483" s="43" t="inlineStr"/>
    </row>
    <row r="484">
      <c r="A484" s="43" t="n">
        <v>484</v>
      </c>
      <c r="B484" s="43" t="inlineStr">
        <is>
          <t>483</t>
        </is>
      </c>
      <c r="C484" s="43" t="inlineStr">
        <is>
          <t>FJZP</t>
        </is>
      </c>
      <c r="D484" s="43" t="inlineStr">
        <is>
          <t>Cisco</t>
        </is>
      </c>
      <c r="E484" s="43" t="inlineStr">
        <is>
          <t>MCGA</t>
        </is>
      </c>
      <c r="F484" s="43" t="inlineStr">
        <is>
          <t>037-STBU</t>
        </is>
      </c>
      <c r="G484" s="43" t="inlineStr">
        <is>
          <t>CTANJZ05067</t>
        </is>
      </c>
      <c r="H484" s="43" t="inlineStr">
        <is>
          <t>For temporary part/material substitution (EXTENDABLE)</t>
        </is>
      </c>
      <c r="I484" s="43" t="inlineStr">
        <is>
          <t>Customer Deviation</t>
        </is>
      </c>
      <c r="J484" s="43" t="inlineStr">
        <is>
          <t>D608828</t>
        </is>
      </c>
      <c r="K484" s="33" t="inlineStr">
        <is>
          <t>D608828Use DIMM 15-105736-02 instead of 15-106507-02 on QW. MPN SMART MODULAR SR5722G822APJDASG0 is an approved MPN for 15-106507-02</t>
        </is>
      </c>
      <c r="L484" s="43" t="inlineStr">
        <is>
          <t>Expired</t>
        </is>
      </c>
      <c r="M484" s="43" t="inlineStr">
        <is>
          <t>800-106633-03</t>
        </is>
      </c>
      <c r="N484" s="43" t="inlineStr"/>
      <c r="O484" s="43" t="inlineStr">
        <is>
          <t>2026-04-15</t>
        </is>
      </c>
      <c r="P484" s="33" t="inlineStr">
        <is>
          <t>For temporary part/material substitution (EXTENDABLE 2x)</t>
        </is>
      </c>
      <c r="Q484" s="43" t="inlineStr">
        <is>
          <t>Add the label with the deviation number and part number on the DIMM. Add part number with a barcode for scanning purposes.</t>
        </is>
      </c>
      <c r="R484" s="43" t="inlineStr">
        <is>
          <t>2026-01-16</t>
        </is>
      </c>
      <c r="S484" s="43" t="inlineStr">
        <is>
          <t>2026-01-31</t>
        </is>
      </c>
      <c r="T484" s="43" t="inlineStr"/>
      <c r="U484" s="43" t="inlineStr"/>
    </row>
    <row r="485">
      <c r="A485" s="43" t="n">
        <v>485</v>
      </c>
      <c r="B485" s="43" t="inlineStr">
        <is>
          <t>484</t>
        </is>
      </c>
      <c r="C485" s="43" t="inlineStr">
        <is>
          <t>FJZP</t>
        </is>
      </c>
      <c r="D485" s="43" t="inlineStr">
        <is>
          <t>Cisco</t>
        </is>
      </c>
      <c r="E485" s="43" t="inlineStr">
        <is>
          <t>MCGA</t>
        </is>
      </c>
      <c r="F485" s="43" t="inlineStr">
        <is>
          <t>037-STBU</t>
        </is>
      </c>
      <c r="G485" s="43" t="inlineStr">
        <is>
          <t>CTANJZ05067</t>
        </is>
      </c>
      <c r="H485" s="43" t="inlineStr">
        <is>
          <t>For temporary part/material substitution (EXTENDABLE)</t>
        </is>
      </c>
      <c r="I485" s="43" t="inlineStr">
        <is>
          <t>Customer Deviation</t>
        </is>
      </c>
      <c r="J485" s="43" t="inlineStr">
        <is>
          <t>D608828</t>
        </is>
      </c>
      <c r="K485" s="33" t="inlineStr">
        <is>
          <t>D608828Use DIMM 15-105736-02 instead of 15-106507-02 on QW. MPN SMART MODULAR SR5722G822APJDASG0 is an approved MPN for 15-106507-02</t>
        </is>
      </c>
      <c r="L485" s="43" t="inlineStr">
        <is>
          <t>Expired</t>
        </is>
      </c>
      <c r="M485" s="43" t="inlineStr">
        <is>
          <t>800-106754-02</t>
        </is>
      </c>
      <c r="N485" s="43" t="inlineStr"/>
      <c r="O485" s="43" t="inlineStr">
        <is>
          <t>2026-04-15</t>
        </is>
      </c>
      <c r="P485" s="33" t="inlineStr">
        <is>
          <t>For temporary part/material substitution (EXTENDABLE 2x)</t>
        </is>
      </c>
      <c r="Q485" s="43" t="inlineStr">
        <is>
          <t>Add the label with the deviation number and part number on the DIMM. Add part number with a barcode for scanning purposes.</t>
        </is>
      </c>
      <c r="R485" s="43" t="inlineStr">
        <is>
          <t>2026-01-16</t>
        </is>
      </c>
      <c r="S485" s="43" t="inlineStr">
        <is>
          <t>2026-01-31</t>
        </is>
      </c>
      <c r="T485" s="43" t="inlineStr"/>
      <c r="U485" s="43" t="inlineStr"/>
    </row>
    <row r="486">
      <c r="A486" s="43" t="n">
        <v>486</v>
      </c>
      <c r="B486" s="43" t="inlineStr">
        <is>
          <t>485</t>
        </is>
      </c>
      <c r="C486" s="43" t="inlineStr">
        <is>
          <t>FJZP</t>
        </is>
      </c>
      <c r="D486" s="43" t="inlineStr">
        <is>
          <t>Cisco</t>
        </is>
      </c>
      <c r="E486" s="43" t="inlineStr">
        <is>
          <t>MCGA</t>
        </is>
      </c>
      <c r="F486" s="43" t="inlineStr">
        <is>
          <t>037-STBU</t>
        </is>
      </c>
      <c r="G486" s="43" t="inlineStr">
        <is>
          <t>CTANJZ05067</t>
        </is>
      </c>
      <c r="H486" s="43" t="inlineStr">
        <is>
          <t>For temporary part/material substitution (EXTENDABLE)</t>
        </is>
      </c>
      <c r="I486" s="43" t="inlineStr">
        <is>
          <t>Customer Deviation</t>
        </is>
      </c>
      <c r="J486" s="43" t="inlineStr">
        <is>
          <t>D608828</t>
        </is>
      </c>
      <c r="K486" s="33" t="inlineStr">
        <is>
          <t>D608828Use DIMM 15-105736-02 instead of 15-106507-02 on QW. MPN SMART MODULAR SR5722G822APJDASG0 is an approved MPN for 15-106507-02</t>
        </is>
      </c>
      <c r="L486" s="43" t="inlineStr">
        <is>
          <t>Expired</t>
        </is>
      </c>
      <c r="M486" s="43" t="inlineStr">
        <is>
          <t>800-106838-02</t>
        </is>
      </c>
      <c r="N486" s="43" t="inlineStr"/>
      <c r="O486" s="43" t="inlineStr">
        <is>
          <t>2026-04-15</t>
        </is>
      </c>
      <c r="P486" s="33" t="inlineStr">
        <is>
          <t>For temporary part/material substitution (EXTENDABLE 2x)</t>
        </is>
      </c>
      <c r="Q486" s="43" t="inlineStr">
        <is>
          <t>Add the label with the deviation number and part number on the DIMM. Add part number with a barcode for scanning purposes.</t>
        </is>
      </c>
      <c r="R486" s="43" t="inlineStr">
        <is>
          <t>2026-01-16</t>
        </is>
      </c>
      <c r="S486" s="43" t="inlineStr">
        <is>
          <t>2026-01-31</t>
        </is>
      </c>
      <c r="T486" s="43" t="inlineStr"/>
      <c r="U486" s="43" t="inlineStr"/>
    </row>
    <row r="487">
      <c r="A487" s="43" t="n">
        <v>487</v>
      </c>
      <c r="B487" s="43" t="inlineStr">
        <is>
          <t>486</t>
        </is>
      </c>
      <c r="C487" s="43" t="inlineStr">
        <is>
          <t>FJZP</t>
        </is>
      </c>
      <c r="D487" s="43" t="inlineStr">
        <is>
          <t>Cisco</t>
        </is>
      </c>
      <c r="E487" s="43" t="inlineStr">
        <is>
          <t>MCGA</t>
        </is>
      </c>
      <c r="F487" s="43" t="inlineStr">
        <is>
          <t>035-CVEBU</t>
        </is>
      </c>
      <c r="G487" s="43" t="inlineStr">
        <is>
          <t>CTANJZ05114</t>
        </is>
      </c>
      <c r="H487" s="43" t="inlineStr">
        <is>
          <t>To temporarily use parts/materials that do not meet the specifications</t>
        </is>
      </c>
      <c r="I487" s="43" t="inlineStr">
        <is>
          <t>Customer Deviation</t>
        </is>
      </c>
      <c r="J487" s="43" t="inlineStr">
        <is>
          <t>D609653</t>
        </is>
      </c>
      <c r="K487" s="33" t="inlineStr">
        <is>
          <t>D609653 NPI; CVEBU; Tyne Pilot 1 Build; Use of ADI IPQ MPN under 15-110893-01Affected items68-104853-0168-104854-0173-103698-0673-103940-0615-110893-01Deviation- For Pilot 1 build at FJZ; FJZ is allowed; and must use IPQ MPN ADV7537JBCZ-10 under 15-110893-01.Comment:Author of this deviation does not know if Pilot 1 build will consists of both Radio and Non-Radio units; hence allowing use of Maglayer MPNs in both assemblies.</t>
        </is>
      </c>
      <c r="L487" s="43" t="inlineStr">
        <is>
          <t>Expired</t>
        </is>
      </c>
      <c r="M487" s="43" t="inlineStr">
        <is>
          <t>15-110893-01</t>
        </is>
      </c>
      <c r="N487" s="43" t="inlineStr"/>
      <c r="O487" s="43" t="inlineStr">
        <is>
          <t>2026-05-19</t>
        </is>
      </c>
      <c r="P487" s="33" t="inlineStr">
        <is>
          <t>To temporarily use parts/materials that do not meet the specifications</t>
        </is>
      </c>
      <c r="Q487" s="43" t="inlineStr">
        <is>
          <t>No marking needed</t>
        </is>
      </c>
      <c r="R487" s="43" t="inlineStr">
        <is>
          <t>2026-02-24</t>
        </is>
      </c>
      <c r="S487" s="43" t="inlineStr">
        <is>
          <t>2026-03-03</t>
        </is>
      </c>
      <c r="T487" s="43" t="inlineStr"/>
      <c r="U487" s="43" t="inlineStr"/>
    </row>
    <row r="488">
      <c r="A488" s="43" t="n">
        <v>488</v>
      </c>
      <c r="B488" s="43" t="inlineStr">
        <is>
          <t>487</t>
        </is>
      </c>
      <c r="C488" s="43" t="inlineStr">
        <is>
          <t>FJZP</t>
        </is>
      </c>
      <c r="D488" s="43" t="inlineStr">
        <is>
          <t>Cisco</t>
        </is>
      </c>
      <c r="E488" s="43" t="inlineStr">
        <is>
          <t>MCGA</t>
        </is>
      </c>
      <c r="F488" s="43" t="inlineStr">
        <is>
          <t>035-CVEBU</t>
        </is>
      </c>
      <c r="G488" s="43" t="inlineStr">
        <is>
          <t>CTANJZ05114</t>
        </is>
      </c>
      <c r="H488" s="43" t="inlineStr">
        <is>
          <t>To temporarily use parts/materials that do not meet the specifications</t>
        </is>
      </c>
      <c r="I488" s="43" t="inlineStr">
        <is>
          <t>Customer Deviation</t>
        </is>
      </c>
      <c r="J488" s="43" t="inlineStr">
        <is>
          <t>D609653</t>
        </is>
      </c>
      <c r="K488" s="33" t="inlineStr">
        <is>
          <t>D609653 NPI; CVEBU; Tyne Pilot 1 Build; Use of ADI IPQ MPN under 15-110893-01Affected items68-104853-0168-104854-0173-103698-0673-103940-0615-110893-01Deviation- For Pilot 1 build at FJZ; FJZ is allowed; and must use IPQ MPN ADV7537JBCZ-10 under 15-110893-01.Comment:Author of this deviation does not know if Pilot 1 build will consists of both Radio and Non-Radio units; hence allowing use of Maglayer MPNs in both assemblies.</t>
        </is>
      </c>
      <c r="L488" s="43" t="inlineStr">
        <is>
          <t>Expired</t>
        </is>
      </c>
      <c r="M488" s="43" t="inlineStr">
        <is>
          <t>68-104853-01</t>
        </is>
      </c>
      <c r="N488" s="43" t="inlineStr"/>
      <c r="O488" s="43" t="inlineStr">
        <is>
          <t>2026-05-19</t>
        </is>
      </c>
      <c r="P488" s="33" t="inlineStr">
        <is>
          <t>To temporarily use parts/materials that do not meet the specifications</t>
        </is>
      </c>
      <c r="Q488" s="43" t="inlineStr">
        <is>
          <t>No marking needed</t>
        </is>
      </c>
      <c r="R488" s="43" t="inlineStr">
        <is>
          <t>2026-02-24</t>
        </is>
      </c>
      <c r="S488" s="43" t="inlineStr">
        <is>
          <t>2026-03-03</t>
        </is>
      </c>
      <c r="T488" s="43" t="inlineStr"/>
      <c r="U488" s="43" t="inlineStr"/>
    </row>
    <row r="489">
      <c r="A489" s="43" t="n">
        <v>489</v>
      </c>
      <c r="B489" s="43" t="inlineStr">
        <is>
          <t>488</t>
        </is>
      </c>
      <c r="C489" s="43" t="inlineStr">
        <is>
          <t>FJZP</t>
        </is>
      </c>
      <c r="D489" s="43" t="inlineStr">
        <is>
          <t>Cisco</t>
        </is>
      </c>
      <c r="E489" s="43" t="inlineStr">
        <is>
          <t>MCGA</t>
        </is>
      </c>
      <c r="F489" s="43" t="inlineStr">
        <is>
          <t>035-CVEBU</t>
        </is>
      </c>
      <c r="G489" s="43" t="inlineStr">
        <is>
          <t>CTANJZ05114</t>
        </is>
      </c>
      <c r="H489" s="43" t="inlineStr">
        <is>
          <t>To temporarily use parts/materials that do not meet the specifications</t>
        </is>
      </c>
      <c r="I489" s="43" t="inlineStr">
        <is>
          <t>Customer Deviation</t>
        </is>
      </c>
      <c r="J489" s="43" t="inlineStr">
        <is>
          <t>D609653</t>
        </is>
      </c>
      <c r="K489" s="33" t="inlineStr">
        <is>
          <t>D609653 NPI; CVEBU; Tyne Pilot 1 Build; Use of ADI IPQ MPN under 15-110893-01Affected items68-104853-0168-104854-0173-103698-0673-103940-0615-110893-01Deviation- For Pilot 1 build at FJZ; FJZ is allowed; and must use IPQ MPN ADV7537JBCZ-10 under 15-110893-01.Comment:Author of this deviation does not know if Pilot 1 build will consists of both Radio and Non-Radio units; hence allowing use of Maglayer MPNs in both assemblies.</t>
        </is>
      </c>
      <c r="L489" s="43" t="inlineStr">
        <is>
          <t>Expired</t>
        </is>
      </c>
      <c r="M489" s="43" t="inlineStr">
        <is>
          <t>68-104854-01</t>
        </is>
      </c>
      <c r="N489" s="43" t="inlineStr"/>
      <c r="O489" s="43" t="inlineStr">
        <is>
          <t>2026-05-19</t>
        </is>
      </c>
      <c r="P489" s="33" t="inlineStr">
        <is>
          <t>To temporarily use parts/materials that do not meet the specifications</t>
        </is>
      </c>
      <c r="Q489" s="43" t="inlineStr">
        <is>
          <t>No marking needed</t>
        </is>
      </c>
      <c r="R489" s="43" t="inlineStr">
        <is>
          <t>2026-02-24</t>
        </is>
      </c>
      <c r="S489" s="43" t="inlineStr">
        <is>
          <t>2026-03-03</t>
        </is>
      </c>
      <c r="T489" s="43" t="inlineStr"/>
      <c r="U489" s="43" t="inlineStr"/>
    </row>
    <row r="490">
      <c r="A490" s="43" t="n">
        <v>490</v>
      </c>
      <c r="B490" s="43" t="inlineStr">
        <is>
          <t>489</t>
        </is>
      </c>
      <c r="C490" s="43" t="inlineStr">
        <is>
          <t>FJZP</t>
        </is>
      </c>
      <c r="D490" s="43" t="inlineStr">
        <is>
          <t>Cisco</t>
        </is>
      </c>
      <c r="E490" s="43" t="inlineStr">
        <is>
          <t>MCGA</t>
        </is>
      </c>
      <c r="F490" s="43" t="inlineStr">
        <is>
          <t>035-CVEBU</t>
        </is>
      </c>
      <c r="G490" s="43" t="inlineStr">
        <is>
          <t>CTANJZ05114</t>
        </is>
      </c>
      <c r="H490" s="43" t="inlineStr">
        <is>
          <t>To temporarily use parts/materials that do not meet the specifications</t>
        </is>
      </c>
      <c r="I490" s="43" t="inlineStr">
        <is>
          <t>Customer Deviation</t>
        </is>
      </c>
      <c r="J490" s="43" t="inlineStr">
        <is>
          <t>D609653</t>
        </is>
      </c>
      <c r="K490" s="33" t="inlineStr">
        <is>
          <t>D609653 NPI; CVEBU; Tyne Pilot 1 Build; Use of ADI IPQ MPN under 15-110893-01Affected items68-104853-0168-104854-0173-103698-0673-103940-0615-110893-01Deviation- For Pilot 1 build at FJZ; FJZ is allowed; and must use IPQ MPN ADV7537JBCZ-10 under 15-110893-01.Comment:Author of this deviation does not know if Pilot 1 build will consists of both Radio and Non-Radio units; hence allowing use of Maglayer MPNs in both assemblies.</t>
        </is>
      </c>
      <c r="L490" s="43" t="inlineStr">
        <is>
          <t>Expired</t>
        </is>
      </c>
      <c r="M490" s="43" t="inlineStr">
        <is>
          <t>73-103698-06</t>
        </is>
      </c>
      <c r="N490" s="43" t="inlineStr"/>
      <c r="O490" s="43" t="inlineStr">
        <is>
          <t>2026-05-19</t>
        </is>
      </c>
      <c r="P490" s="33" t="inlineStr">
        <is>
          <t>To temporarily use parts/materials that do not meet the specifications</t>
        </is>
      </c>
      <c r="Q490" s="43" t="inlineStr">
        <is>
          <t>No marking needed</t>
        </is>
      </c>
      <c r="R490" s="43" t="inlineStr">
        <is>
          <t>2026-02-24</t>
        </is>
      </c>
      <c r="S490" s="43" t="inlineStr">
        <is>
          <t>2026-03-03</t>
        </is>
      </c>
      <c r="T490" s="43" t="inlineStr"/>
      <c r="U490" s="43" t="inlineStr"/>
    </row>
    <row r="491">
      <c r="A491" s="43" t="n">
        <v>491</v>
      </c>
      <c r="B491" s="43" t="inlineStr">
        <is>
          <t>490</t>
        </is>
      </c>
      <c r="C491" s="43" t="inlineStr">
        <is>
          <t>FJZP</t>
        </is>
      </c>
      <c r="D491" s="43" t="inlineStr">
        <is>
          <t>Cisco</t>
        </is>
      </c>
      <c r="E491" s="43" t="inlineStr">
        <is>
          <t>MCGA</t>
        </is>
      </c>
      <c r="F491" s="43" t="inlineStr">
        <is>
          <t>035-CVEBU</t>
        </is>
      </c>
      <c r="G491" s="43" t="inlineStr">
        <is>
          <t>CTANJZ05114</t>
        </is>
      </c>
      <c r="H491" s="43" t="inlineStr">
        <is>
          <t>To temporarily use parts/materials that do not meet the specifications</t>
        </is>
      </c>
      <c r="I491" s="43" t="inlineStr">
        <is>
          <t>Customer Deviation</t>
        </is>
      </c>
      <c r="J491" s="43" t="inlineStr">
        <is>
          <t>D609653</t>
        </is>
      </c>
      <c r="K491" s="33" t="inlineStr">
        <is>
          <t>D609653 NPI; CVEBU; Tyne Pilot 1 Build; Use of ADI IPQ MPN under 15-110893-01Affected items68-104853-0168-104854-0173-103698-0673-103940-0615-110893-01Deviation- For Pilot 1 build at FJZ; FJZ is allowed; and must use IPQ MPN ADV7537JBCZ-10 under 15-110893-01.Comment:Author of this deviation does not know if Pilot 1 build will consists of both Radio and Non-Radio units; hence allowing use of Maglayer MPNs in both assemblies.</t>
        </is>
      </c>
      <c r="L491" s="43" t="inlineStr">
        <is>
          <t>Expired</t>
        </is>
      </c>
      <c r="M491" s="43" t="inlineStr">
        <is>
          <t>73-103940-06</t>
        </is>
      </c>
      <c r="N491" s="43" t="inlineStr"/>
      <c r="O491" s="43" t="inlineStr">
        <is>
          <t>2026-05-19</t>
        </is>
      </c>
      <c r="P491" s="33" t="inlineStr">
        <is>
          <t>To temporarily use parts/materials that do not meet the specifications</t>
        </is>
      </c>
      <c r="Q491" s="43" t="inlineStr">
        <is>
          <t>No marking needed</t>
        </is>
      </c>
      <c r="R491" s="43" t="inlineStr">
        <is>
          <t>2026-02-24</t>
        </is>
      </c>
      <c r="S491" s="43" t="inlineStr">
        <is>
          <t>2026-03-03</t>
        </is>
      </c>
      <c r="T491" s="43" t="inlineStr"/>
      <c r="U491" s="43" t="inlineStr"/>
    </row>
    <row r="492">
      <c r="A492" s="43" t="n">
        <v>492</v>
      </c>
      <c r="B492" s="43" t="inlineStr">
        <is>
          <t>491</t>
        </is>
      </c>
      <c r="C492" s="43" t="inlineStr">
        <is>
          <t>FJZP</t>
        </is>
      </c>
      <c r="D492" s="43" t="inlineStr">
        <is>
          <t>Cisco</t>
        </is>
      </c>
      <c r="E492" s="43" t="inlineStr">
        <is>
          <t>MCGA</t>
        </is>
      </c>
      <c r="F492" s="43" t="inlineStr">
        <is>
          <t>037-STBU</t>
        </is>
      </c>
      <c r="G492" s="43" t="inlineStr">
        <is>
          <t>CTANJZ04665</t>
        </is>
      </c>
      <c r="H492" s="43" t="inlineStr">
        <is>
          <t>To temporarily use parts/materials that do not meet the specifications</t>
        </is>
      </c>
      <c r="I492" s="43" t="inlineStr">
        <is>
          <t>Customer Deviation</t>
        </is>
      </c>
      <c r="J492" s="43" t="inlineStr">
        <is>
          <t>D603650</t>
        </is>
      </c>
      <c r="K492" s="33" t="inlineStr">
        <is>
          <t>D603650 Allow FJZ to use DC with more than 2 Yrs. for part 15-105587-01 used on assembly 68-6724-03 (2244) This component is not exposed to a thermal process is directly attached to a socket.</t>
        </is>
      </c>
      <c r="L492" s="43" t="inlineStr">
        <is>
          <t>Expired</t>
        </is>
      </c>
      <c r="M492" s="43" t="inlineStr">
        <is>
          <t>15-105587-01</t>
        </is>
      </c>
      <c r="N492" s="43" t="inlineStr"/>
      <c r="O492" s="43" t="inlineStr">
        <is>
          <t>2025-09-12</t>
        </is>
      </c>
      <c r="P492" s="33" t="inlineStr">
        <is>
          <t>To temporarily use parts/materials that do not meet the specifications</t>
        </is>
      </c>
      <c r="Q492" s="43" t="inlineStr">
        <is>
          <t>Mark the unit on thee PCBA where the component is attached with the deviation number.</t>
        </is>
      </c>
      <c r="R492" s="43" t="inlineStr">
        <is>
          <t>2025-06-14</t>
        </is>
      </c>
      <c r="S492" s="43" t="inlineStr">
        <is>
          <t>2025-06-26</t>
        </is>
      </c>
      <c r="T492" s="43" t="inlineStr"/>
      <c r="U492" s="43" t="inlineStr"/>
    </row>
    <row r="493">
      <c r="A493" s="43" t="n">
        <v>493</v>
      </c>
      <c r="B493" s="43" t="inlineStr">
        <is>
          <t>492</t>
        </is>
      </c>
      <c r="C493" s="43" t="inlineStr">
        <is>
          <t>FJZP</t>
        </is>
      </c>
      <c r="D493" s="43" t="inlineStr">
        <is>
          <t>Cisco</t>
        </is>
      </c>
      <c r="E493" s="43" t="inlineStr">
        <is>
          <t>MCGA</t>
        </is>
      </c>
      <c r="F493" s="43" t="inlineStr">
        <is>
          <t>037-STBU</t>
        </is>
      </c>
      <c r="G493" s="43" t="inlineStr">
        <is>
          <t>CTANJZ04665</t>
        </is>
      </c>
      <c r="H493" s="43" t="inlineStr">
        <is>
          <t>To temporarily use parts/materials that do not meet the specifications</t>
        </is>
      </c>
      <c r="I493" s="43" t="inlineStr">
        <is>
          <t>Customer Deviation</t>
        </is>
      </c>
      <c r="J493" s="43" t="inlineStr">
        <is>
          <t>D603650</t>
        </is>
      </c>
      <c r="K493" s="33" t="inlineStr">
        <is>
          <t>D603650 Allow FJZ to use DC with more than 2 Yrs. for part 15-105587-01 used on assembly 68-6724-03 (2244) This component is not exposed to a thermal process is directly attached to a socket.</t>
        </is>
      </c>
      <c r="L493" s="43" t="inlineStr">
        <is>
          <t>Expired</t>
        </is>
      </c>
      <c r="M493" s="43" t="inlineStr">
        <is>
          <t>68-6724-04</t>
        </is>
      </c>
      <c r="N493" s="43" t="inlineStr"/>
      <c r="O493" s="43" t="inlineStr">
        <is>
          <t>2025-09-12</t>
        </is>
      </c>
      <c r="P493" s="33" t="inlineStr">
        <is>
          <t>To temporarily use parts/materials that do not meet the specifications</t>
        </is>
      </c>
      <c r="Q493" s="43" t="inlineStr">
        <is>
          <t>Mark the unit on thee PCBA where the component is attached with the deviation number.</t>
        </is>
      </c>
      <c r="R493" s="43" t="inlineStr">
        <is>
          <t>2025-06-14</t>
        </is>
      </c>
      <c r="S493" s="43" t="inlineStr">
        <is>
          <t>2025-06-26</t>
        </is>
      </c>
      <c r="T493" s="43" t="inlineStr"/>
      <c r="U493" s="43" t="inlineStr"/>
    </row>
    <row r="494">
      <c r="A494" s="43" t="n">
        <v>494</v>
      </c>
      <c r="B494" s="43" t="inlineStr">
        <is>
          <t>493</t>
        </is>
      </c>
      <c r="C494" s="43" t="inlineStr">
        <is>
          <t>FJZP</t>
        </is>
      </c>
      <c r="D494" s="43" t="inlineStr">
        <is>
          <t>Cisco</t>
        </is>
      </c>
      <c r="E494" s="43" t="inlineStr">
        <is>
          <t>MCGA</t>
        </is>
      </c>
      <c r="F494" s="43" t="inlineStr">
        <is>
          <t>035-CVEBU</t>
        </is>
      </c>
      <c r="G494" s="43" t="inlineStr">
        <is>
          <t>CTANJZ04731</t>
        </is>
      </c>
      <c r="H494" s="43" t="inlineStr">
        <is>
          <t>To temporarily use parts/materials that do not meet the specifications</t>
        </is>
      </c>
      <c r="I494" s="43" t="inlineStr">
        <is>
          <t>Customer Deviation</t>
        </is>
      </c>
      <c r="J494" s="43" t="inlineStr">
        <is>
          <t>DP525122</t>
        </is>
      </c>
      <c r="K494" s="33" t="inlineStr">
        <is>
          <t>DP525122 This deviation allows FJZ to bulid 68-104855-01-07 with audio board 73-103758-02-10 without 22-100431-01.</t>
        </is>
      </c>
      <c r="L494" s="43" t="inlineStr">
        <is>
          <t>Expired</t>
        </is>
      </c>
      <c r="M494" s="43" t="inlineStr">
        <is>
          <t>68-104855-01</t>
        </is>
      </c>
      <c r="N494" s="43" t="inlineStr"/>
      <c r="O494" s="43" t="inlineStr">
        <is>
          <t>2025-09-13</t>
        </is>
      </c>
      <c r="P494" s="33" t="inlineStr">
        <is>
          <t>To temporarily use parts/materials that do not meet the specifications</t>
        </is>
      </c>
      <c r="Q494" s="43" t="inlineStr">
        <is>
          <t>This deviation allows FJZ to bulid 68-104855-01-07 with audio board 73-103758-02-10 without 22-100431-01.</t>
        </is>
      </c>
      <c r="R494" s="43" t="inlineStr">
        <is>
          <t>2025-07-16</t>
        </is>
      </c>
      <c r="S494" s="43" t="inlineStr">
        <is>
          <t>2025-07-24</t>
        </is>
      </c>
      <c r="T494" s="43" t="inlineStr"/>
      <c r="U494" s="43" t="inlineStr"/>
    </row>
    <row r="495">
      <c r="A495" s="43" t="n">
        <v>495</v>
      </c>
      <c r="B495" s="43" t="inlineStr">
        <is>
          <t>494</t>
        </is>
      </c>
      <c r="C495" s="43" t="inlineStr">
        <is>
          <t>FJZP</t>
        </is>
      </c>
      <c r="D495" s="43" t="inlineStr">
        <is>
          <t>Cisco</t>
        </is>
      </c>
      <c r="E495" s="43" t="inlineStr">
        <is>
          <t>MCGA</t>
        </is>
      </c>
      <c r="F495" s="43" t="inlineStr">
        <is>
          <t>037-STBU</t>
        </is>
      </c>
      <c r="G495" s="43" t="inlineStr">
        <is>
          <t>CTANJZ04864</t>
        </is>
      </c>
      <c r="H495" s="43" t="inlineStr">
        <is>
          <t>For temporary part/material substitution (EXTENDABLE)</t>
        </is>
      </c>
      <c r="I495" s="43" t="inlineStr">
        <is>
          <t>Customer Deviation</t>
        </is>
      </c>
      <c r="J495" s="43" t="inlineStr">
        <is>
          <t>D606346</t>
        </is>
      </c>
      <c r="K495" s="33" t="inlineStr">
        <is>
          <t>D606346 NGFWBU:Woodside Park Model Pilot - Allow usage of consigned AMD CPUs with cancelled MPN AVL status</t>
        </is>
      </c>
      <c r="L495" s="43" t="inlineStr">
        <is>
          <t>Expired</t>
        </is>
      </c>
      <c r="M495" s="43" t="inlineStr">
        <is>
          <t>15-111071-01</t>
        </is>
      </c>
      <c r="N495" s="43" t="inlineStr"/>
      <c r="O495" s="43" t="inlineStr">
        <is>
          <t>2025-12-17</t>
        </is>
      </c>
      <c r="P495" s="33" t="inlineStr">
        <is>
          <t>For temporary part/material substitution (EXTENDABLE 2x)</t>
        </is>
      </c>
      <c r="Q495" s="43" t="inlineStr">
        <is>
          <t>Please label units with Deviation number</t>
        </is>
      </c>
      <c r="R495" s="43" t="inlineStr">
        <is>
          <t>2025-09-18</t>
        </is>
      </c>
      <c r="S495" s="43" t="inlineStr">
        <is>
          <t>2025-10-03</t>
        </is>
      </c>
      <c r="T495" s="43" t="inlineStr"/>
      <c r="U495" s="43" t="inlineStr"/>
    </row>
    <row r="496">
      <c r="A496" s="43" t="n">
        <v>496</v>
      </c>
      <c r="B496" s="43" t="inlineStr">
        <is>
          <t>495</t>
        </is>
      </c>
      <c r="C496" s="43" t="inlineStr">
        <is>
          <t>FJZP</t>
        </is>
      </c>
      <c r="D496" s="43" t="inlineStr">
        <is>
          <t>Cisco</t>
        </is>
      </c>
      <c r="E496" s="43" t="inlineStr">
        <is>
          <t>MCGA</t>
        </is>
      </c>
      <c r="F496" s="43" t="inlineStr">
        <is>
          <t>037-STBU</t>
        </is>
      </c>
      <c r="G496" s="43" t="inlineStr">
        <is>
          <t>CTANJZ04864</t>
        </is>
      </c>
      <c r="H496" s="43" t="inlineStr">
        <is>
          <t>For temporary part/material substitution (EXTENDABLE)</t>
        </is>
      </c>
      <c r="I496" s="43" t="inlineStr">
        <is>
          <t>Customer Deviation</t>
        </is>
      </c>
      <c r="J496" s="43" t="inlineStr">
        <is>
          <t>D606346</t>
        </is>
      </c>
      <c r="K496" s="33" t="inlineStr">
        <is>
          <t>D606346 NGFWBU:Woodside Park Model Pilot - Allow usage of consigned AMD CPUs with cancelled MPN AVL status</t>
        </is>
      </c>
      <c r="L496" s="43" t="inlineStr">
        <is>
          <t>Expired</t>
        </is>
      </c>
      <c r="M496" s="43" t="inlineStr">
        <is>
          <t>15-111072-01</t>
        </is>
      </c>
      <c r="N496" s="43" t="inlineStr"/>
      <c r="O496" s="43" t="inlineStr">
        <is>
          <t>2025-12-17</t>
        </is>
      </c>
      <c r="P496" s="33" t="inlineStr">
        <is>
          <t>For temporary part/material substitution (EXTENDABLE 2x)</t>
        </is>
      </c>
      <c r="Q496" s="43" t="inlineStr">
        <is>
          <t>Please label units with Deviation number</t>
        </is>
      </c>
      <c r="R496" s="43" t="inlineStr">
        <is>
          <t>2025-09-18</t>
        </is>
      </c>
      <c r="S496" s="43" t="inlineStr">
        <is>
          <t>2025-10-03</t>
        </is>
      </c>
      <c r="T496" s="43" t="inlineStr"/>
      <c r="U496" s="43" t="inlineStr"/>
    </row>
    <row r="497">
      <c r="A497" s="43" t="n">
        <v>497</v>
      </c>
      <c r="B497" s="43" t="inlineStr">
        <is>
          <t>496</t>
        </is>
      </c>
      <c r="C497" s="43" t="inlineStr">
        <is>
          <t>FJZP</t>
        </is>
      </c>
      <c r="D497" s="43" t="inlineStr">
        <is>
          <t>Cisco</t>
        </is>
      </c>
      <c r="E497" s="43" t="inlineStr">
        <is>
          <t>MCGA</t>
        </is>
      </c>
      <c r="F497" s="43" t="inlineStr">
        <is>
          <t>037-STBU</t>
        </is>
      </c>
      <c r="G497" s="43" t="inlineStr">
        <is>
          <t>CTANJZ04864</t>
        </is>
      </c>
      <c r="H497" s="43" t="inlineStr">
        <is>
          <t>For temporary part/material substitution (EXTENDABLE)</t>
        </is>
      </c>
      <c r="I497" s="43" t="inlineStr">
        <is>
          <t>Customer Deviation</t>
        </is>
      </c>
      <c r="J497" s="43" t="inlineStr">
        <is>
          <t>D606346</t>
        </is>
      </c>
      <c r="K497" s="33" t="inlineStr">
        <is>
          <t>D606346 NGFWBU:Woodside Park Model Pilot - Allow usage of consigned AMD CPUs with cancelled MPN AVL status</t>
        </is>
      </c>
      <c r="L497" s="43" t="inlineStr">
        <is>
          <t>Expired</t>
        </is>
      </c>
      <c r="M497" s="43" t="inlineStr">
        <is>
          <t>800-112583-04</t>
        </is>
      </c>
      <c r="N497" s="43" t="inlineStr"/>
      <c r="O497" s="43" t="inlineStr">
        <is>
          <t>2025-12-17</t>
        </is>
      </c>
      <c r="P497" s="33" t="inlineStr">
        <is>
          <t>For temporary part/material substitution (EXTENDABLE 2x)</t>
        </is>
      </c>
      <c r="Q497" s="43" t="inlineStr">
        <is>
          <t>Please label units with Deviation number</t>
        </is>
      </c>
      <c r="R497" s="43" t="inlineStr">
        <is>
          <t>2025-09-18</t>
        </is>
      </c>
      <c r="S497" s="43" t="inlineStr">
        <is>
          <t>2025-10-03</t>
        </is>
      </c>
      <c r="T497" s="43" t="inlineStr"/>
      <c r="U497" s="43" t="inlineStr"/>
    </row>
    <row r="498">
      <c r="A498" s="43" t="n">
        <v>498</v>
      </c>
      <c r="B498" s="43" t="inlineStr">
        <is>
          <t>497</t>
        </is>
      </c>
      <c r="C498" s="43" t="inlineStr">
        <is>
          <t>FJZP</t>
        </is>
      </c>
      <c r="D498" s="43" t="inlineStr">
        <is>
          <t>Cisco</t>
        </is>
      </c>
      <c r="E498" s="43" t="inlineStr">
        <is>
          <t>MCGA</t>
        </is>
      </c>
      <c r="F498" s="43" t="inlineStr">
        <is>
          <t>037-STBU</t>
        </is>
      </c>
      <c r="G498" s="43" t="inlineStr">
        <is>
          <t>CTANJZ04864</t>
        </is>
      </c>
      <c r="H498" s="43" t="inlineStr">
        <is>
          <t>For temporary part/material substitution (EXTENDABLE)</t>
        </is>
      </c>
      <c r="I498" s="43" t="inlineStr">
        <is>
          <t>Customer Deviation</t>
        </is>
      </c>
      <c r="J498" s="43" t="inlineStr">
        <is>
          <t>D606346</t>
        </is>
      </c>
      <c r="K498" s="33" t="inlineStr">
        <is>
          <t>D606346 NGFWBU:Woodside Park Model Pilot - Allow usage of consigned AMD CPUs with cancelled MPN AVL status</t>
        </is>
      </c>
      <c r="L498" s="43" t="inlineStr">
        <is>
          <t>Expired</t>
        </is>
      </c>
      <c r="M498" s="43" t="inlineStr">
        <is>
          <t>800-112720-04</t>
        </is>
      </c>
      <c r="N498" s="43" t="inlineStr"/>
      <c r="O498" s="43" t="inlineStr">
        <is>
          <t>2025-12-17</t>
        </is>
      </c>
      <c r="P498" s="33" t="inlineStr">
        <is>
          <t>For temporary part/material substitution (EXTENDABLE 2x)</t>
        </is>
      </c>
      <c r="Q498" s="43" t="inlineStr">
        <is>
          <t>Please label units with Deviation number</t>
        </is>
      </c>
      <c r="R498" s="43" t="inlineStr">
        <is>
          <t>2025-09-18</t>
        </is>
      </c>
      <c r="S498" s="43" t="inlineStr">
        <is>
          <t>2025-10-03</t>
        </is>
      </c>
      <c r="T498" s="43" t="inlineStr"/>
      <c r="U498" s="43" t="inlineStr"/>
    </row>
    <row r="499">
      <c r="A499" s="43" t="n">
        <v>499</v>
      </c>
      <c r="B499" s="43" t="inlineStr">
        <is>
          <t>498</t>
        </is>
      </c>
      <c r="C499" s="43" t="inlineStr">
        <is>
          <t>FJZP</t>
        </is>
      </c>
      <c r="D499" s="43" t="inlineStr">
        <is>
          <t>Cisco</t>
        </is>
      </c>
      <c r="E499" s="43" t="inlineStr">
        <is>
          <t>MCGA</t>
        </is>
      </c>
      <c r="F499" s="43" t="inlineStr">
        <is>
          <t>037-STBU</t>
        </is>
      </c>
      <c r="G499" s="43" t="inlineStr">
        <is>
          <t>CTANJZ05151</t>
        </is>
      </c>
      <c r="H499" s="43" t="inlineStr">
        <is>
          <t>For temporary part/material substitution (EXTENDABLE)</t>
        </is>
      </c>
      <c r="I499" s="43" t="inlineStr">
        <is>
          <t>Customer Deviation</t>
        </is>
      </c>
      <c r="J499" s="43" t="inlineStr">
        <is>
          <t>DP525933</t>
        </is>
      </c>
      <c r="K499" s="33" t="inlineStr">
        <is>
          <t>DP525933 Use 700-136522-05 instead of 700-136522-04 due to material shortage to continue build of Monument</t>
        </is>
      </c>
      <c r="L499" s="43" t="inlineStr">
        <is>
          <t>Expired</t>
        </is>
      </c>
      <c r="M499" s="43" t="inlineStr">
        <is>
          <t>68-104813-04</t>
        </is>
      </c>
      <c r="N499" s="43" t="inlineStr"/>
      <c r="O499" s="43" t="inlineStr">
        <is>
          <t>2026-05-16</t>
        </is>
      </c>
      <c r="P499" s="33" t="inlineStr"/>
      <c r="Q499" s="43" t="inlineStr">
        <is>
          <t>NA</t>
        </is>
      </c>
      <c r="R499" s="43" t="inlineStr">
        <is>
          <t>2026-03-18</t>
        </is>
      </c>
      <c r="S499" s="43" t="inlineStr">
        <is>
          <t>2026-04-01</t>
        </is>
      </c>
      <c r="T499" s="43" t="inlineStr"/>
      <c r="U499" s="43" t="inlineStr"/>
    </row>
    <row r="500">
      <c r="A500" s="43" t="n">
        <v>500</v>
      </c>
      <c r="B500" s="43" t="inlineStr">
        <is>
          <t>499</t>
        </is>
      </c>
      <c r="C500" s="43" t="inlineStr">
        <is>
          <t>FJZP</t>
        </is>
      </c>
      <c r="D500" s="43" t="inlineStr">
        <is>
          <t>Cisco</t>
        </is>
      </c>
      <c r="E500" s="43" t="inlineStr">
        <is>
          <t>MCGA</t>
        </is>
      </c>
      <c r="F500" s="43" t="inlineStr">
        <is>
          <t>037-STBU</t>
        </is>
      </c>
      <c r="G500" s="43" t="inlineStr">
        <is>
          <t>CTANJZ05151</t>
        </is>
      </c>
      <c r="H500" s="43" t="inlineStr">
        <is>
          <t>For temporary part/material substitution (EXTENDABLE)</t>
        </is>
      </c>
      <c r="I500" s="43" t="inlineStr">
        <is>
          <t>Customer Deviation</t>
        </is>
      </c>
      <c r="J500" s="43" t="inlineStr">
        <is>
          <t>DP525933</t>
        </is>
      </c>
      <c r="K500" s="33" t="inlineStr">
        <is>
          <t>DP525933 Use 700-136522-05 instead of 700-136522-04 due to material shortage to continue build of Monument</t>
        </is>
      </c>
      <c r="L500" s="43" t="inlineStr">
        <is>
          <t>Expired</t>
        </is>
      </c>
      <c r="M500" s="43" t="inlineStr">
        <is>
          <t>700-136522-05</t>
        </is>
      </c>
      <c r="N500" s="43" t="inlineStr"/>
      <c r="O500" s="43" t="inlineStr">
        <is>
          <t>2026-05-16</t>
        </is>
      </c>
      <c r="P500" s="33" t="inlineStr"/>
      <c r="Q500" s="43" t="inlineStr">
        <is>
          <t>NA</t>
        </is>
      </c>
      <c r="R500" s="43" t="inlineStr">
        <is>
          <t>2026-03-18</t>
        </is>
      </c>
      <c r="S500" s="43" t="inlineStr">
        <is>
          <t>2026-04-01</t>
        </is>
      </c>
      <c r="T500" s="43" t="inlineStr"/>
      <c r="U500" s="43" t="inlineStr"/>
    </row>
    <row r="501">
      <c r="A501" s="43" t="n">
        <v>501</v>
      </c>
      <c r="B501" s="43" t="inlineStr">
        <is>
          <t>500</t>
        </is>
      </c>
      <c r="C501" s="43" t="inlineStr">
        <is>
          <t>FJZP</t>
        </is>
      </c>
      <c r="D501" s="43" t="inlineStr">
        <is>
          <t>Cisco</t>
        </is>
      </c>
      <c r="E501" s="43" t="inlineStr">
        <is>
          <t>MCGA</t>
        </is>
      </c>
      <c r="F501" s="43" t="inlineStr">
        <is>
          <t>018-SRGBU</t>
        </is>
      </c>
      <c r="G501" s="43" t="inlineStr">
        <is>
          <t>CTANJZ05241</t>
        </is>
      </c>
      <c r="H501" s="43" t="inlineStr">
        <is>
          <t>New Release</t>
        </is>
      </c>
      <c r="I501" s="43" t="inlineStr">
        <is>
          <t>Customer Deviation</t>
        </is>
      </c>
      <c r="J501" s="43" t="inlineStr">
        <is>
          <t>D611381</t>
        </is>
      </c>
      <c r="K501" s="33" t="inlineStr">
        <is>
          <t>D611381 CRBU Tornado package change for Tornado and its install kit: 1.74-138066-03 - Replace 504-101489-01 with 84-102626-01 x 0.025 (40-pack) and added 502-100392-01 x 1(qty) as Bag 2.74-138185-01 - Replace 504-101530-01 with 55-106170-01 x 1 single-pack; 55-106171-01 x 0.0625 over-pack and 502-00127-01x 2(qty) 3.8101-INSTKIT-C01(=) - Replace 504-101530-01 with 55-106170-01 x 0 single-pack (reuse)  Packaging changes to move out from the Single Pack Inbound to 40-Pack multi pack shipment and Insta KIT updated to accommodate the 40 Pack packaging; EA624996 is released to reflected these changes; however  84-102626-01/55-106170-01/55-106171-01 are in IPQ with restricted production.   As CE Fernando confirmed; current FAI documents which were provided to Wistron by Stephen Gould; is sufficient to transition to new package. This deviation is intiated for Wistron to implement new packages even they are in IPQ.</t>
        </is>
      </c>
      <c r="L501" s="43" t="inlineStr">
        <is>
          <t>Expired</t>
        </is>
      </c>
      <c r="M501" s="43" t="inlineStr">
        <is>
          <t>55-106170-01</t>
        </is>
      </c>
      <c r="N501" s="43" t="inlineStr"/>
      <c r="O501" s="43" t="inlineStr">
        <is>
          <t>2026-08-11</t>
        </is>
      </c>
      <c r="P501" s="33" t="inlineStr">
        <is>
          <t>To temporarily use parts/materials that do not meet the specifications</t>
        </is>
      </c>
      <c r="Q501" s="43" t="inlineStr">
        <is>
          <t>No deviation label needed.</t>
        </is>
      </c>
      <c r="R501" s="43" t="inlineStr">
        <is>
          <t>2026-05-15</t>
        </is>
      </c>
      <c r="S501" s="43" t="inlineStr"/>
      <c r="T501" s="43" t="inlineStr"/>
      <c r="U501" s="43" t="inlineStr"/>
    </row>
    <row r="502">
      <c r="A502" s="43" t="n">
        <v>502</v>
      </c>
      <c r="B502" s="43" t="inlineStr">
        <is>
          <t>501</t>
        </is>
      </c>
      <c r="C502" s="43" t="inlineStr">
        <is>
          <t>FJZP</t>
        </is>
      </c>
      <c r="D502" s="43" t="inlineStr">
        <is>
          <t>Cisco</t>
        </is>
      </c>
      <c r="E502" s="43" t="inlineStr">
        <is>
          <t>MCGA</t>
        </is>
      </c>
      <c r="F502" s="43" t="inlineStr">
        <is>
          <t>037-STBU</t>
        </is>
      </c>
      <c r="G502" s="43" t="inlineStr">
        <is>
          <t>CTANJZ05153</t>
        </is>
      </c>
      <c r="H502" s="43" t="inlineStr">
        <is>
          <t>For temporary part/material substitution (EXTENDABLE)</t>
        </is>
      </c>
      <c r="I502" s="43" t="inlineStr">
        <is>
          <t>Customer Deviation</t>
        </is>
      </c>
      <c r="J502" s="43" t="inlineStr">
        <is>
          <t>DP525940</t>
        </is>
      </c>
      <c r="K502" s="33" t="inlineStr">
        <is>
          <t>DP525940 Use 700-136522-05 instead of 700-136522-04 due to material shortage to continue build of Monument</t>
        </is>
      </c>
      <c r="L502" s="43" t="inlineStr">
        <is>
          <t>Expired</t>
        </is>
      </c>
      <c r="M502" s="43" t="inlineStr">
        <is>
          <t>68-104813-03</t>
        </is>
      </c>
      <c r="N502" s="43" t="inlineStr"/>
      <c r="O502" s="43" t="inlineStr">
        <is>
          <t>2026-05-17</t>
        </is>
      </c>
      <c r="P502" s="33" t="inlineStr"/>
      <c r="Q502" s="43" t="inlineStr">
        <is>
          <t>NA</t>
        </is>
      </c>
      <c r="R502" s="43" t="inlineStr">
        <is>
          <t>2026-03-19</t>
        </is>
      </c>
      <c r="S502" s="43" t="inlineStr">
        <is>
          <t>2026-04-01</t>
        </is>
      </c>
      <c r="T502" s="43" t="inlineStr"/>
      <c r="U502" s="43" t="inlineStr"/>
    </row>
    <row r="503">
      <c r="A503" s="43" t="n">
        <v>503</v>
      </c>
      <c r="B503" s="43" t="inlineStr">
        <is>
          <t>502</t>
        </is>
      </c>
      <c r="C503" s="43" t="inlineStr">
        <is>
          <t>FJZP</t>
        </is>
      </c>
      <c r="D503" s="43" t="inlineStr">
        <is>
          <t>Cisco</t>
        </is>
      </c>
      <c r="E503" s="43" t="inlineStr">
        <is>
          <t>MCGA</t>
        </is>
      </c>
      <c r="F503" s="43" t="inlineStr">
        <is>
          <t>037-STBU</t>
        </is>
      </c>
      <c r="G503" s="43" t="inlineStr">
        <is>
          <t>CTANJZ05153</t>
        </is>
      </c>
      <c r="H503" s="43" t="inlineStr">
        <is>
          <t>For temporary part/material substitution (EXTENDABLE)</t>
        </is>
      </c>
      <c r="I503" s="43" t="inlineStr">
        <is>
          <t>Customer Deviation</t>
        </is>
      </c>
      <c r="J503" s="43" t="inlineStr">
        <is>
          <t>DP525940</t>
        </is>
      </c>
      <c r="K503" s="33" t="inlineStr">
        <is>
          <t>DP525940 Use 700-136522-05 instead of 700-136522-04 due to material shortage to continue build of Monument</t>
        </is>
      </c>
      <c r="L503" s="43" t="inlineStr">
        <is>
          <t>Expired</t>
        </is>
      </c>
      <c r="M503" s="43" t="inlineStr">
        <is>
          <t>700-136522-04</t>
        </is>
      </c>
      <c r="N503" s="43" t="inlineStr"/>
      <c r="O503" s="43" t="inlineStr">
        <is>
          <t>2026-05-17</t>
        </is>
      </c>
      <c r="P503" s="33" t="inlineStr"/>
      <c r="Q503" s="43" t="inlineStr">
        <is>
          <t>NA</t>
        </is>
      </c>
      <c r="R503" s="43" t="inlineStr">
        <is>
          <t>2026-03-19</t>
        </is>
      </c>
      <c r="S503" s="43" t="inlineStr">
        <is>
          <t>2026-04-01</t>
        </is>
      </c>
      <c r="T503" s="43" t="inlineStr"/>
      <c r="U503" s="43" t="inlineStr"/>
    </row>
    <row r="504">
      <c r="A504" s="43" t="n">
        <v>504</v>
      </c>
      <c r="B504" s="43" t="inlineStr">
        <is>
          <t>503</t>
        </is>
      </c>
      <c r="C504" s="43" t="inlineStr">
        <is>
          <t>FJZP</t>
        </is>
      </c>
      <c r="D504" s="43" t="inlineStr">
        <is>
          <t>Cisco</t>
        </is>
      </c>
      <c r="E504" s="43" t="inlineStr">
        <is>
          <t>MCGA</t>
        </is>
      </c>
      <c r="F504" s="43" t="inlineStr">
        <is>
          <t>035-CVEBU</t>
        </is>
      </c>
      <c r="G504" s="43" t="inlineStr">
        <is>
          <t>CTANJZ05108</t>
        </is>
      </c>
      <c r="H504" s="43" t="inlineStr">
        <is>
          <t>To temporarily use parts/materials that do not meet the specifications</t>
        </is>
      </c>
      <c r="I504" s="43" t="inlineStr">
        <is>
          <t>Customer Deviation</t>
        </is>
      </c>
      <c r="J504" s="43" t="inlineStr">
        <is>
          <t>D609649</t>
        </is>
      </c>
      <c r="K504" s="33" t="inlineStr">
        <is>
          <t>D609649 NPI; CVEBU; Tyne Pilot 1 Build; Use of Maglayer MPN under 24-101509-01 and Dev/REL fuse instruction.Affected items68-104853-0168-104854-0173-103698-0673-103940-0624-101509-01Deviation- For Pilot 1 build at FJZ; FJZ is allowed to use IPQ MPN RT1GSCMCS-RU under 24-101509-01 as long as only Lot Code D5900150005 or later lot codes are used.- The 75 Pilot 1 units to be shipped to Norway must be dev fused while the remaining 25 must be release fused.Comment:Author of this deviation does not know if Pilot 1 build will consists of both Radio and Non-Radio units; hence allowing use of Maglayer MPNs in both assemblies.</t>
        </is>
      </c>
      <c r="L504" s="43" t="inlineStr">
        <is>
          <t>Expired</t>
        </is>
      </c>
      <c r="M504" s="43" t="inlineStr">
        <is>
          <t>24-101509-01</t>
        </is>
      </c>
      <c r="N504" s="43" t="inlineStr"/>
      <c r="O504" s="43" t="inlineStr">
        <is>
          <t>2026-05-18</t>
        </is>
      </c>
      <c r="P504" s="33" t="inlineStr">
        <is>
          <t>To temporarily use parts/materials that do not meet the specifications</t>
        </is>
      </c>
      <c r="Q504" s="43" t="inlineStr">
        <is>
          <t>No marking required</t>
        </is>
      </c>
      <c r="R504" s="43" t="inlineStr">
        <is>
          <t>2026-02-24</t>
        </is>
      </c>
      <c r="S504" s="43" t="inlineStr">
        <is>
          <t>2026-03-03</t>
        </is>
      </c>
      <c r="T504" s="43" t="inlineStr"/>
      <c r="U504" s="43" t="inlineStr"/>
    </row>
    <row r="505">
      <c r="A505" s="43" t="n">
        <v>505</v>
      </c>
      <c r="B505" s="43" t="inlineStr">
        <is>
          <t>504</t>
        </is>
      </c>
      <c r="C505" s="43" t="inlineStr">
        <is>
          <t>FJZP</t>
        </is>
      </c>
      <c r="D505" s="43" t="inlineStr">
        <is>
          <t>Cisco</t>
        </is>
      </c>
      <c r="E505" s="43" t="inlineStr">
        <is>
          <t>MCGA</t>
        </is>
      </c>
      <c r="F505" s="43" t="inlineStr">
        <is>
          <t>035-CVEBU</t>
        </is>
      </c>
      <c r="G505" s="43" t="inlineStr">
        <is>
          <t>CTANJZ05108</t>
        </is>
      </c>
      <c r="H505" s="43" t="inlineStr">
        <is>
          <t>To temporarily use parts/materials that do not meet the specifications</t>
        </is>
      </c>
      <c r="I505" s="43" t="inlineStr">
        <is>
          <t>Customer Deviation</t>
        </is>
      </c>
      <c r="J505" s="43" t="inlineStr">
        <is>
          <t>D609649</t>
        </is>
      </c>
      <c r="K505" s="33" t="inlineStr">
        <is>
          <t>D609649 NPI; CVEBU; Tyne Pilot 1 Build; Use of Maglayer MPN under 24-101509-01 and Dev/REL fuse instruction.Affected items68-104853-0168-104854-0173-103698-0673-103940-0624-101509-01Deviation- For Pilot 1 build at FJZ; FJZ is allowed to use IPQ MPN RT1GSCMCS-RU under 24-101509-01 as long as only Lot Code D5900150005 or later lot codes are used.- The 75 Pilot 1 units to be shipped to Norway must be dev fused while the remaining 25 must be release fused.Comment:Author of this deviation does not know if Pilot 1 build will consists of both Radio and Non-Radio units; hence allowing use of Maglayer MPNs in both assemblies.</t>
        </is>
      </c>
      <c r="L505" s="43" t="inlineStr">
        <is>
          <t>Expired</t>
        </is>
      </c>
      <c r="M505" s="43" t="inlineStr">
        <is>
          <t>68-104853-01</t>
        </is>
      </c>
      <c r="N505" s="43" t="inlineStr"/>
      <c r="O505" s="43" t="inlineStr">
        <is>
          <t>2026-05-18</t>
        </is>
      </c>
      <c r="P505" s="33" t="inlineStr">
        <is>
          <t>To temporarily use parts/materials that do not meet the specifications</t>
        </is>
      </c>
      <c r="Q505" s="43" t="inlineStr">
        <is>
          <t>No marking required</t>
        </is>
      </c>
      <c r="R505" s="43" t="inlineStr">
        <is>
          <t>2026-02-24</t>
        </is>
      </c>
      <c r="S505" s="43" t="inlineStr">
        <is>
          <t>2026-03-03</t>
        </is>
      </c>
      <c r="T505" s="43" t="inlineStr"/>
      <c r="U505" s="43" t="inlineStr"/>
    </row>
    <row r="506">
      <c r="A506" s="43" t="n">
        <v>506</v>
      </c>
      <c r="B506" s="43" t="inlineStr">
        <is>
          <t>505</t>
        </is>
      </c>
      <c r="C506" s="43" t="inlineStr">
        <is>
          <t>FJZP</t>
        </is>
      </c>
      <c r="D506" s="43" t="inlineStr">
        <is>
          <t>Cisco</t>
        </is>
      </c>
      <c r="E506" s="43" t="inlineStr">
        <is>
          <t>MCGA</t>
        </is>
      </c>
      <c r="F506" s="43" t="inlineStr">
        <is>
          <t>035-CVEBU</t>
        </is>
      </c>
      <c r="G506" s="43" t="inlineStr">
        <is>
          <t>CTANJZ05108</t>
        </is>
      </c>
      <c r="H506" s="43" t="inlineStr">
        <is>
          <t>To temporarily use parts/materials that do not meet the specifications</t>
        </is>
      </c>
      <c r="I506" s="43" t="inlineStr">
        <is>
          <t>Customer Deviation</t>
        </is>
      </c>
      <c r="J506" s="43" t="inlineStr">
        <is>
          <t>D609649</t>
        </is>
      </c>
      <c r="K506" s="33" t="inlineStr">
        <is>
          <t>D609649 NPI; CVEBU; Tyne Pilot 1 Build; Use of Maglayer MPN under 24-101509-01 and Dev/REL fuse instruction.Affected items68-104853-0168-104854-0173-103698-0673-103940-0624-101509-01Deviation- For Pilot 1 build at FJZ; FJZ is allowed to use IPQ MPN RT1GSCMCS-RU under 24-101509-01 as long as only Lot Code D5900150005 or later lot codes are used.- The 75 Pilot 1 units to be shipped to Norway must be dev fused while the remaining 25 must be release fused.Comment:Author of this deviation does not know if Pilot 1 build will consists of both Radio and Non-Radio units; hence allowing use of Maglayer MPNs in both assemblies.</t>
        </is>
      </c>
      <c r="L506" s="43" t="inlineStr">
        <is>
          <t>Expired</t>
        </is>
      </c>
      <c r="M506" s="43" t="inlineStr">
        <is>
          <t>68-104854-01</t>
        </is>
      </c>
      <c r="N506" s="43" t="inlineStr"/>
      <c r="O506" s="43" t="inlineStr">
        <is>
          <t>2026-05-18</t>
        </is>
      </c>
      <c r="P506" s="33" t="inlineStr">
        <is>
          <t>To temporarily use parts/materials that do not meet the specifications</t>
        </is>
      </c>
      <c r="Q506" s="43" t="inlineStr">
        <is>
          <t>No marking required</t>
        </is>
      </c>
      <c r="R506" s="43" t="inlineStr">
        <is>
          <t>2026-02-24</t>
        </is>
      </c>
      <c r="S506" s="43" t="inlineStr">
        <is>
          <t>2026-03-03</t>
        </is>
      </c>
      <c r="T506" s="43" t="inlineStr"/>
      <c r="U506" s="43" t="inlineStr"/>
    </row>
    <row r="507">
      <c r="A507" s="43" t="n">
        <v>507</v>
      </c>
      <c r="B507" s="43" t="inlineStr">
        <is>
          <t>506</t>
        </is>
      </c>
      <c r="C507" s="43" t="inlineStr">
        <is>
          <t>FJZP</t>
        </is>
      </c>
      <c r="D507" s="43" t="inlineStr">
        <is>
          <t>Cisco</t>
        </is>
      </c>
      <c r="E507" s="43" t="inlineStr">
        <is>
          <t>MCGA</t>
        </is>
      </c>
      <c r="F507" s="43" t="inlineStr">
        <is>
          <t>035-CVEBU</t>
        </is>
      </c>
      <c r="G507" s="43" t="inlineStr">
        <is>
          <t>CTANJZ05108</t>
        </is>
      </c>
      <c r="H507" s="43" t="inlineStr">
        <is>
          <t>To temporarily use parts/materials that do not meet the specifications</t>
        </is>
      </c>
      <c r="I507" s="43" t="inlineStr">
        <is>
          <t>Customer Deviation</t>
        </is>
      </c>
      <c r="J507" s="43" t="inlineStr">
        <is>
          <t>D609649</t>
        </is>
      </c>
      <c r="K507" s="33" t="inlineStr">
        <is>
          <t>D609649 NPI; CVEBU; Tyne Pilot 1 Build; Use of Maglayer MPN under 24-101509-01 and Dev/REL fuse instruction.Affected items68-104853-0168-104854-0173-103698-0673-103940-0624-101509-01Deviation- For Pilot 1 build at FJZ; FJZ is allowed to use IPQ MPN RT1GSCMCS-RU under 24-101509-01 as long as only Lot Code D5900150005 or later lot codes are used.- The 75 Pilot 1 units to be shipped to Norway must be dev fused while the remaining 25 must be release fused.Comment:Author of this deviation does not know if Pilot 1 build will consists of both Radio and Non-Radio units; hence allowing use of Maglayer MPNs in both assemblies.</t>
        </is>
      </c>
      <c r="L507" s="43" t="inlineStr">
        <is>
          <t>Expired</t>
        </is>
      </c>
      <c r="M507" s="43" t="inlineStr">
        <is>
          <t>73-103698-06</t>
        </is>
      </c>
      <c r="N507" s="43" t="inlineStr"/>
      <c r="O507" s="43" t="inlineStr">
        <is>
          <t>2026-05-18</t>
        </is>
      </c>
      <c r="P507" s="33" t="inlineStr">
        <is>
          <t>To temporarily use parts/materials that do not meet the specifications</t>
        </is>
      </c>
      <c r="Q507" s="43" t="inlineStr">
        <is>
          <t>No marking required</t>
        </is>
      </c>
      <c r="R507" s="43" t="inlineStr">
        <is>
          <t>2026-02-24</t>
        </is>
      </c>
      <c r="S507" s="43" t="inlineStr">
        <is>
          <t>2026-03-03</t>
        </is>
      </c>
      <c r="T507" s="43" t="inlineStr"/>
      <c r="U507" s="43" t="inlineStr"/>
    </row>
    <row r="508">
      <c r="A508" s="43" t="n">
        <v>508</v>
      </c>
      <c r="B508" s="43" t="inlineStr">
        <is>
          <t>507</t>
        </is>
      </c>
      <c r="C508" s="43" t="inlineStr">
        <is>
          <t>FJZP</t>
        </is>
      </c>
      <c r="D508" s="43" t="inlineStr">
        <is>
          <t>Cisco</t>
        </is>
      </c>
      <c r="E508" s="43" t="inlineStr">
        <is>
          <t>MCGA</t>
        </is>
      </c>
      <c r="F508" s="43" t="inlineStr">
        <is>
          <t>035-CVEBU</t>
        </is>
      </c>
      <c r="G508" s="43" t="inlineStr">
        <is>
          <t>CTANJZ05108</t>
        </is>
      </c>
      <c r="H508" s="43" t="inlineStr">
        <is>
          <t>To temporarily use parts/materials that do not meet the specifications</t>
        </is>
      </c>
      <c r="I508" s="43" t="inlineStr">
        <is>
          <t>Customer Deviation</t>
        </is>
      </c>
      <c r="J508" s="43" t="inlineStr">
        <is>
          <t>D609649</t>
        </is>
      </c>
      <c r="K508" s="33" t="inlineStr">
        <is>
          <t>D609649 NPI; CVEBU; Tyne Pilot 1 Build; Use of Maglayer MPN under 24-101509-01 and Dev/REL fuse instruction.Affected items68-104853-0168-104854-0173-103698-0673-103940-0624-101509-01Deviation- For Pilot 1 build at FJZ; FJZ is allowed to use IPQ MPN RT1GSCMCS-RU under 24-101509-01 as long as only Lot Code D5900150005 or later lot codes are used.- The 75 Pilot 1 units to be shipped to Norway must be dev fused while the remaining 25 must be release fused.Comment:Author of this deviation does not know if Pilot 1 build will consists of both Radio and Non-Radio units; hence allowing use of Maglayer MPNs in both assemblies.</t>
        </is>
      </c>
      <c r="L508" s="43" t="inlineStr">
        <is>
          <t>Expired</t>
        </is>
      </c>
      <c r="M508" s="43" t="inlineStr">
        <is>
          <t>73-103940-06</t>
        </is>
      </c>
      <c r="N508" s="43" t="inlineStr"/>
      <c r="O508" s="43" t="inlineStr">
        <is>
          <t>2026-05-18</t>
        </is>
      </c>
      <c r="P508" s="33" t="inlineStr">
        <is>
          <t>To temporarily use parts/materials that do not meet the specifications</t>
        </is>
      </c>
      <c r="Q508" s="43" t="inlineStr">
        <is>
          <t>No marking required</t>
        </is>
      </c>
      <c r="R508" s="43" t="inlineStr">
        <is>
          <t>2026-02-24</t>
        </is>
      </c>
      <c r="S508" s="43" t="inlineStr">
        <is>
          <t>2026-03-03</t>
        </is>
      </c>
      <c r="T508" s="43" t="inlineStr"/>
      <c r="U508" s="43" t="inlineStr"/>
    </row>
    <row r="509">
      <c r="A509" s="43" t="n">
        <v>509</v>
      </c>
      <c r="B509" s="43" t="inlineStr">
        <is>
          <t>508</t>
        </is>
      </c>
      <c r="C509" s="43" t="inlineStr">
        <is>
          <t>FJZP</t>
        </is>
      </c>
      <c r="D509" s="43" t="inlineStr">
        <is>
          <t>Cisco</t>
        </is>
      </c>
      <c r="E509" s="43" t="inlineStr">
        <is>
          <t>MCGA</t>
        </is>
      </c>
      <c r="F509" s="43" t="inlineStr">
        <is>
          <t>035-CVEBU</t>
        </is>
      </c>
      <c r="G509" s="43" t="inlineStr">
        <is>
          <t>CTANJZ05108</t>
        </is>
      </c>
      <c r="H509" s="43" t="inlineStr">
        <is>
          <t>To temporarily use parts/materials that do not meet the specifications</t>
        </is>
      </c>
      <c r="I509" s="43" t="inlineStr">
        <is>
          <t>Customer Deviation</t>
        </is>
      </c>
      <c r="J509" s="43" t="inlineStr">
        <is>
          <t>D609649</t>
        </is>
      </c>
      <c r="K509" s="33" t="inlineStr">
        <is>
          <t>D609649 NPI; CVEBU; Tyne Pilot 1 Build; Use of Maglayer MPN under 24-101509-01 and Dev/REL fuse instruction.Affected items68-104853-0168-104854-0173-103698-0673-103940-0624-101509-01Deviation- For Pilot 1 build at FJZ; FJZ is allowed to use IPQ MPN RT1GSCMCS-RU under 24-101509-01 as long as only Lot Code D5900150005 or later lot codes are used.- The 75 Pilot 1 units to be shipped to Norway must be dev fused while the remaining 25 must be release fused.Comment:Author of this deviation does not know if Pilot 1 build will consists of both Radio and Non-Radio units; hence allowing use of Maglayer MPNs in both assemblies.</t>
        </is>
      </c>
      <c r="L509" s="43" t="inlineStr">
        <is>
          <t>Expired</t>
        </is>
      </c>
      <c r="M509" s="43" t="inlineStr">
        <is>
          <t>800-113105-01</t>
        </is>
      </c>
      <c r="N509" s="43" t="inlineStr"/>
      <c r="O509" s="43" t="inlineStr">
        <is>
          <t>2026-05-18</t>
        </is>
      </c>
      <c r="P509" s="33" t="inlineStr">
        <is>
          <t>To temporarily use parts/materials that do not meet the specifications</t>
        </is>
      </c>
      <c r="Q509" s="43" t="inlineStr">
        <is>
          <t>No marking required</t>
        </is>
      </c>
      <c r="R509" s="43" t="inlineStr">
        <is>
          <t>2026-02-24</t>
        </is>
      </c>
      <c r="S509" s="43" t="inlineStr">
        <is>
          <t>2026-03-03</t>
        </is>
      </c>
      <c r="T509" s="43" t="inlineStr"/>
      <c r="U509" s="43" t="inlineStr"/>
    </row>
    <row r="510">
      <c r="A510" s="43" t="n">
        <v>510</v>
      </c>
      <c r="B510" s="43" t="inlineStr">
        <is>
          <t>509</t>
        </is>
      </c>
      <c r="C510" s="43" t="inlineStr">
        <is>
          <t>FJZP</t>
        </is>
      </c>
      <c r="D510" s="43" t="inlineStr">
        <is>
          <t>Cisco</t>
        </is>
      </c>
      <c r="E510" s="43" t="inlineStr">
        <is>
          <t>MCGA</t>
        </is>
      </c>
      <c r="F510" s="43" t="inlineStr">
        <is>
          <t>035-CVEBU</t>
        </is>
      </c>
      <c r="G510" s="43" t="inlineStr">
        <is>
          <t>CTANJZ05086</t>
        </is>
      </c>
      <c r="H510" s="43" t="inlineStr">
        <is>
          <t>For temporary part/material substitution (EXTENDABLE)</t>
        </is>
      </c>
      <c r="I510" s="43" t="inlineStr">
        <is>
          <t>Customer Deviation</t>
        </is>
      </c>
      <c r="J510" s="43" t="inlineStr">
        <is>
          <t>D609139</t>
        </is>
      </c>
      <c r="K510" s="33" t="inlineStr">
        <is>
          <t>D609139 CVEBU;Multiple products73-102022-02 PCA;BROOKLYN MAIN BOARD  73-104022-01 PCA;BROOKLYN MAIN BOARD NR  73-102197-02 PCA;DAVINCI MAIN BOARD  73-102797-02 PCA;DAVINCI MAIN BOARD NR73-102226-06 PCA; Millennium Codec Main Board    73-103226-06 PCA; Millennium Codec Main Board NR73-103698-06 PCBA; Tyne Codec; Main Board73-103940-06 PCBA; Tyne Codec; Main Board NR73-103826-05 PCA; BAYFRONT MAIN BOARD  73-103880-05 PCA; BAYFRONT MAIN BOARD NR73-103950-01 PCA;ALT COMP PRI SET FELIX MAIN BOARD73-103951-01 PCA;ALT COMP PRI SET FELIX MAIN BOARD NR  In the above 73-CC CVEBU BOMs (Tyne contains 3 pcs per PCBA; Others 1 pcs per PCBA):13-100045-01 DIO;SH;10MQ100N;100V/1A;SMAIPQ:       Diodes  B1100-13-93-FObsolete:  Diodes  B1100-93-F  (Still Qualified under 13-100039-01 and 13-1268-01)Deplete:   Diodes  B1100-13-FQualified: ONSEMI  MBRS1100T3GQualified: ONSEMI  S100Qualified: Vishay  SS1H10-E3FVN and FJZ is hereby allowed to source and use the IPQ part from Diodes IncMPN B1100-93-F is the same as B1100-13-93-F; just with reel size 13" characters removed.</t>
        </is>
      </c>
      <c r="L510" s="43" t="inlineStr">
        <is>
          <t>Expired</t>
        </is>
      </c>
      <c r="M510" s="43" t="inlineStr">
        <is>
          <t>73-104022-01</t>
        </is>
      </c>
      <c r="N510" s="43" t="inlineStr"/>
      <c r="O510" s="43" t="inlineStr">
        <is>
          <t>2026-04-24</t>
        </is>
      </c>
      <c r="P510" s="33" t="inlineStr">
        <is>
          <t>For temporary part/material substitution (EXTENDABLE 2x)</t>
        </is>
      </c>
      <c r="Q510" s="43" t="inlineStr">
        <is>
          <t>No FFF change =&gt; No marking needed</t>
        </is>
      </c>
      <c r="R510" s="43" t="inlineStr">
        <is>
          <t>2026-01-26</t>
        </is>
      </c>
      <c r="S510" s="43" t="inlineStr">
        <is>
          <t>2026-01-31</t>
        </is>
      </c>
      <c r="T510" s="43" t="inlineStr"/>
      <c r="U510" s="43" t="inlineStr"/>
    </row>
    <row r="511">
      <c r="A511" s="43" t="n">
        <v>511</v>
      </c>
      <c r="B511" s="43" t="inlineStr">
        <is>
          <t>510</t>
        </is>
      </c>
      <c r="C511" s="43" t="inlineStr">
        <is>
          <t>FJZP</t>
        </is>
      </c>
      <c r="D511" s="43" t="inlineStr">
        <is>
          <t>Cisco</t>
        </is>
      </c>
      <c r="E511" s="43" t="inlineStr">
        <is>
          <t>MCGA</t>
        </is>
      </c>
      <c r="F511" s="43" t="inlineStr">
        <is>
          <t>035-CVEBU</t>
        </is>
      </c>
      <c r="G511" s="43" t="inlineStr">
        <is>
          <t>CTANJZ05138</t>
        </is>
      </c>
      <c r="H511" s="43" t="inlineStr">
        <is>
          <t>To temporarily use parts/materials that do not meet the specifications</t>
        </is>
      </c>
      <c r="I511" s="43" t="inlineStr">
        <is>
          <t>Customer Deviation</t>
        </is>
      </c>
      <c r="J511" s="43" t="inlineStr">
        <is>
          <t>D609929</t>
        </is>
      </c>
      <c r="K511" s="33" t="inlineStr">
        <is>
          <t>D609929CVEBU;Tyne; Millennium73-102226-06 -B0 PCA; Millennium Codec Main Board; Radio  73-103226-06 -B0 PCA; Millennium Codec Main Board; Non-Radio  73-103698-06  -A0 PCBA; Tyne Codec; Main Board; Radio    73-103940-06 -A0 PCBA; Tyne Codec; Main Board; Non-Radio  In BOMs; refdes U38615-109766-01 IC-LIN;VREG;TSOT23;6 P;2.9x2.8mm PKGSIZE;0.95mm PITCH;60.0 V IN;28.0 V OUT;0.4 MHz;0.5 A;-40 to 125 CDC/DC STEP-DOWN BUCK REGULATOR  Qualified: Renesas RAA2116054GP3#JA0Qualified: TI      LMR51606XDBVRWhere used: Millennium; Tyne; YpsilonFJZ is allowed to source 3000pcs DC2221 15-109766-01/RAA2116054GP3#JA0 for Millennium and Tyne.These parts can be consumed after a successful solderability test.</t>
        </is>
      </c>
      <c r="L511" s="43" t="inlineStr">
        <is>
          <t>Expired</t>
        </is>
      </c>
      <c r="M511" s="43" t="inlineStr">
        <is>
          <t>15-109766-01</t>
        </is>
      </c>
      <c r="N511" s="43" t="inlineStr"/>
      <c r="O511" s="43" t="inlineStr">
        <is>
          <t>2026-06-07</t>
        </is>
      </c>
      <c r="P511" s="33" t="inlineStr">
        <is>
          <t>To temporarily use parts/materials that do not meet the specifications</t>
        </is>
      </c>
      <c r="Q511" s="43" t="inlineStr">
        <is>
          <t>No FFF change =&gt; No marking needed</t>
        </is>
      </c>
      <c r="R511" s="43" t="inlineStr">
        <is>
          <t>2026-03-10</t>
        </is>
      </c>
      <c r="S511" s="43" t="inlineStr">
        <is>
          <t>2026-03-19</t>
        </is>
      </c>
      <c r="T511" s="43" t="inlineStr"/>
      <c r="U511" s="43" t="inlineStr"/>
    </row>
    <row r="512">
      <c r="A512" s="43" t="n">
        <v>512</v>
      </c>
      <c r="B512" s="43" t="inlineStr">
        <is>
          <t>511</t>
        </is>
      </c>
      <c r="C512" s="43" t="inlineStr">
        <is>
          <t>FJZP</t>
        </is>
      </c>
      <c r="D512" s="43" t="inlineStr">
        <is>
          <t>Cisco</t>
        </is>
      </c>
      <c r="E512" s="43" t="inlineStr">
        <is>
          <t>MCGA</t>
        </is>
      </c>
      <c r="F512" s="43" t="inlineStr">
        <is>
          <t>035-CVEBU</t>
        </is>
      </c>
      <c r="G512" s="43" t="inlineStr">
        <is>
          <t>CTANJZ05138</t>
        </is>
      </c>
      <c r="H512" s="43" t="inlineStr">
        <is>
          <t>To temporarily use parts/materials that do not meet the specifications</t>
        </is>
      </c>
      <c r="I512" s="43" t="inlineStr">
        <is>
          <t>Customer Deviation</t>
        </is>
      </c>
      <c r="J512" s="43" t="inlineStr">
        <is>
          <t>D609929</t>
        </is>
      </c>
      <c r="K512" s="33" t="inlineStr">
        <is>
          <t>D609929CVEBU;Tyne; Millennium73-102226-06 -B0 PCA; Millennium Codec Main Board; Radio  73-103226-06 -B0 PCA; Millennium Codec Main Board; Non-Radio  73-103698-06  -A0 PCBA; Tyne Codec; Main Board; Radio    73-103940-06 -A0 PCBA; Tyne Codec; Main Board; Non-Radio  In BOMs; refdes U38615-109766-01 IC-LIN;VREG;TSOT23;6 P;2.9x2.8mm PKGSIZE;0.95mm PITCH;60.0 V IN;28.0 V OUT;0.4 MHz;0.5 A;-40 to 125 CDC/DC STEP-DOWN BUCK REGULATOR  Qualified: Renesas RAA2116054GP3#JA0Qualified: TI      LMR51606XDBVRWhere used: Millennium; Tyne; YpsilonFJZ is allowed to source 3000pcs DC2221 15-109766-01/RAA2116054GP3#JA0 for Millennium and Tyne.These parts can be consumed after a successful solderability test.</t>
        </is>
      </c>
      <c r="L512" s="43" t="inlineStr">
        <is>
          <t>Expired</t>
        </is>
      </c>
      <c r="M512" s="43" t="inlineStr">
        <is>
          <t>73-102226-06</t>
        </is>
      </c>
      <c r="N512" s="43" t="inlineStr"/>
      <c r="O512" s="43" t="inlineStr">
        <is>
          <t>2026-06-07</t>
        </is>
      </c>
      <c r="P512" s="33" t="inlineStr">
        <is>
          <t>To temporarily use parts/materials that do not meet the specifications</t>
        </is>
      </c>
      <c r="Q512" s="43" t="inlineStr">
        <is>
          <t>No FFF change =&gt; No marking needed</t>
        </is>
      </c>
      <c r="R512" s="43" t="inlineStr">
        <is>
          <t>2026-03-10</t>
        </is>
      </c>
      <c r="S512" s="43" t="inlineStr">
        <is>
          <t>2026-03-19</t>
        </is>
      </c>
      <c r="T512" s="43" t="inlineStr"/>
      <c r="U512" s="43" t="inlineStr"/>
    </row>
    <row r="513">
      <c r="A513" s="43" t="n">
        <v>513</v>
      </c>
      <c r="B513" s="43" t="inlineStr">
        <is>
          <t>512</t>
        </is>
      </c>
      <c r="C513" s="43" t="inlineStr">
        <is>
          <t>FJZP</t>
        </is>
      </c>
      <c r="D513" s="43" t="inlineStr">
        <is>
          <t>Cisco</t>
        </is>
      </c>
      <c r="E513" s="43" t="inlineStr">
        <is>
          <t>MCGA</t>
        </is>
      </c>
      <c r="F513" s="43" t="inlineStr">
        <is>
          <t>035-CVEBU</t>
        </is>
      </c>
      <c r="G513" s="43" t="inlineStr">
        <is>
          <t>CTANJZ05138</t>
        </is>
      </c>
      <c r="H513" s="43" t="inlineStr">
        <is>
          <t>To temporarily use parts/materials that do not meet the specifications</t>
        </is>
      </c>
      <c r="I513" s="43" t="inlineStr">
        <is>
          <t>Customer Deviation</t>
        </is>
      </c>
      <c r="J513" s="43" t="inlineStr">
        <is>
          <t>D609929</t>
        </is>
      </c>
      <c r="K513" s="33" t="inlineStr">
        <is>
          <t>D609929CVEBU;Tyne; Millennium73-102226-06 -B0 PCA; Millennium Codec Main Board; Radio  73-103226-06 -B0 PCA; Millennium Codec Main Board; Non-Radio  73-103698-06  -A0 PCBA; Tyne Codec; Main Board; Radio    73-103940-06 -A0 PCBA; Tyne Codec; Main Board; Non-Radio  In BOMs; refdes U38615-109766-01 IC-LIN;VREG;TSOT23;6 P;2.9x2.8mm PKGSIZE;0.95mm PITCH;60.0 V IN;28.0 V OUT;0.4 MHz;0.5 A;-40 to 125 CDC/DC STEP-DOWN BUCK REGULATOR  Qualified: Renesas RAA2116054GP3#JA0Qualified: TI      LMR51606XDBVRWhere used: Millennium; Tyne; YpsilonFJZ is allowed to source 3000pcs DC2221 15-109766-01/RAA2116054GP3#JA0 for Millennium and Tyne.These parts can be consumed after a successful solderability test.</t>
        </is>
      </c>
      <c r="L513" s="43" t="inlineStr">
        <is>
          <t>Expired</t>
        </is>
      </c>
      <c r="M513" s="43" t="inlineStr">
        <is>
          <t>73-103226-06</t>
        </is>
      </c>
      <c r="N513" s="43" t="inlineStr"/>
      <c r="O513" s="43" t="inlineStr">
        <is>
          <t>2026-06-07</t>
        </is>
      </c>
      <c r="P513" s="33" t="inlineStr">
        <is>
          <t>To temporarily use parts/materials that do not meet the specifications</t>
        </is>
      </c>
      <c r="Q513" s="43" t="inlineStr">
        <is>
          <t>No FFF change =&gt; No marking needed</t>
        </is>
      </c>
      <c r="R513" s="43" t="inlineStr">
        <is>
          <t>2026-03-10</t>
        </is>
      </c>
      <c r="S513" s="43" t="inlineStr">
        <is>
          <t>2026-03-19</t>
        </is>
      </c>
      <c r="T513" s="43" t="inlineStr"/>
      <c r="U513" s="43" t="inlineStr"/>
    </row>
    <row r="514">
      <c r="A514" s="43" t="n">
        <v>514</v>
      </c>
      <c r="B514" s="43" t="inlineStr">
        <is>
          <t>513</t>
        </is>
      </c>
      <c r="C514" s="43" t="inlineStr">
        <is>
          <t>FJZP</t>
        </is>
      </c>
      <c r="D514" s="43" t="inlineStr">
        <is>
          <t>Cisco</t>
        </is>
      </c>
      <c r="E514" s="43" t="inlineStr">
        <is>
          <t>MCGA</t>
        </is>
      </c>
      <c r="F514" s="43" t="inlineStr">
        <is>
          <t>035-CVEBU</t>
        </is>
      </c>
      <c r="G514" s="43" t="inlineStr">
        <is>
          <t>CTANJZ05138</t>
        </is>
      </c>
      <c r="H514" s="43" t="inlineStr">
        <is>
          <t>To temporarily use parts/materials that do not meet the specifications</t>
        </is>
      </c>
      <c r="I514" s="43" t="inlineStr">
        <is>
          <t>Customer Deviation</t>
        </is>
      </c>
      <c r="J514" s="43" t="inlineStr">
        <is>
          <t>D609929</t>
        </is>
      </c>
      <c r="K514" s="33" t="inlineStr">
        <is>
          <t>D609929CVEBU;Tyne; Millennium73-102226-06 -B0 PCA; Millennium Codec Main Board; Radio  73-103226-06 -B0 PCA; Millennium Codec Main Board; Non-Radio  73-103698-06  -A0 PCBA; Tyne Codec; Main Board; Radio    73-103940-06 -A0 PCBA; Tyne Codec; Main Board; Non-Radio  In BOMs; refdes U38615-109766-01 IC-LIN;VREG;TSOT23;6 P;2.9x2.8mm PKGSIZE;0.95mm PITCH;60.0 V IN;28.0 V OUT;0.4 MHz;0.5 A;-40 to 125 CDC/DC STEP-DOWN BUCK REGULATOR  Qualified: Renesas RAA2116054GP3#JA0Qualified: TI      LMR51606XDBVRWhere used: Millennium; Tyne; YpsilonFJZ is allowed to source 3000pcs DC2221 15-109766-01/RAA2116054GP3#JA0 for Millennium and Tyne.These parts can be consumed after a successful solderability test.</t>
        </is>
      </c>
      <c r="L514" s="43" t="inlineStr">
        <is>
          <t>Expired</t>
        </is>
      </c>
      <c r="M514" s="43" t="inlineStr">
        <is>
          <t>73-103698-06</t>
        </is>
      </c>
      <c r="N514" s="43" t="inlineStr"/>
      <c r="O514" s="43" t="inlineStr">
        <is>
          <t>2026-06-07</t>
        </is>
      </c>
      <c r="P514" s="33" t="inlineStr">
        <is>
          <t>To temporarily use parts/materials that do not meet the specifications</t>
        </is>
      </c>
      <c r="Q514" s="43" t="inlineStr">
        <is>
          <t>No FFF change =&gt; No marking needed</t>
        </is>
      </c>
      <c r="R514" s="43" t="inlineStr">
        <is>
          <t>2026-03-10</t>
        </is>
      </c>
      <c r="S514" s="43" t="inlineStr">
        <is>
          <t>2026-03-19</t>
        </is>
      </c>
      <c r="T514" s="43" t="inlineStr"/>
      <c r="U514" s="43" t="inlineStr"/>
    </row>
    <row r="515">
      <c r="A515" s="43" t="n">
        <v>515</v>
      </c>
      <c r="B515" s="43" t="inlineStr">
        <is>
          <t>514</t>
        </is>
      </c>
      <c r="C515" s="43" t="inlineStr">
        <is>
          <t>FJZP</t>
        </is>
      </c>
      <c r="D515" s="43" t="inlineStr">
        <is>
          <t>Cisco</t>
        </is>
      </c>
      <c r="E515" s="43" t="inlineStr">
        <is>
          <t>MCGA</t>
        </is>
      </c>
      <c r="F515" s="43" t="inlineStr">
        <is>
          <t>035-CVEBU</t>
        </is>
      </c>
      <c r="G515" s="43" t="inlineStr">
        <is>
          <t>CTANJZ05138</t>
        </is>
      </c>
      <c r="H515" s="43" t="inlineStr">
        <is>
          <t>To temporarily use parts/materials that do not meet the specifications</t>
        </is>
      </c>
      <c r="I515" s="43" t="inlineStr">
        <is>
          <t>Customer Deviation</t>
        </is>
      </c>
      <c r="J515" s="43" t="inlineStr">
        <is>
          <t>D609929</t>
        </is>
      </c>
      <c r="K515" s="33" t="inlineStr">
        <is>
          <t>D609929CVEBU;Tyne; Millennium73-102226-06 -B0 PCA; Millennium Codec Main Board; Radio  73-103226-06 -B0 PCA; Millennium Codec Main Board; Non-Radio  73-103698-06  -A0 PCBA; Tyne Codec; Main Board; Radio    73-103940-06 -A0 PCBA; Tyne Codec; Main Board; Non-Radio  In BOMs; refdes U38615-109766-01 IC-LIN;VREG;TSOT23;6 P;2.9x2.8mm PKGSIZE;0.95mm PITCH;60.0 V IN;28.0 V OUT;0.4 MHz;0.5 A;-40 to 125 CDC/DC STEP-DOWN BUCK REGULATOR  Qualified: Renesas RAA2116054GP3#JA0Qualified: TI      LMR51606XDBVRWhere used: Millennium; Tyne; YpsilonFJZ is allowed to source 3000pcs DC2221 15-109766-01/RAA2116054GP3#JA0 for Millennium and Tyne.These parts can be consumed after a successful solderability test.</t>
        </is>
      </c>
      <c r="L515" s="43" t="inlineStr">
        <is>
          <t>Expired</t>
        </is>
      </c>
      <c r="M515" s="43" t="inlineStr">
        <is>
          <t>73-103940-06</t>
        </is>
      </c>
      <c r="N515" s="43" t="inlineStr"/>
      <c r="O515" s="43" t="inlineStr">
        <is>
          <t>2026-06-07</t>
        </is>
      </c>
      <c r="P515" s="33" t="inlineStr">
        <is>
          <t>To temporarily use parts/materials that do not meet the specifications</t>
        </is>
      </c>
      <c r="Q515" s="43" t="inlineStr">
        <is>
          <t>No FFF change =&gt; No marking needed</t>
        </is>
      </c>
      <c r="R515" s="43" t="inlineStr">
        <is>
          <t>2026-03-10</t>
        </is>
      </c>
      <c r="S515" s="43" t="inlineStr">
        <is>
          <t>2026-03-19</t>
        </is>
      </c>
      <c r="T515" s="43" t="inlineStr"/>
      <c r="U515" s="43" t="inlineStr"/>
    </row>
    <row r="516">
      <c r="A516" s="43" t="n">
        <v>516</v>
      </c>
      <c r="B516" s="43" t="inlineStr">
        <is>
          <t>515</t>
        </is>
      </c>
      <c r="C516" s="43" t="inlineStr">
        <is>
          <t>FJZP</t>
        </is>
      </c>
      <c r="D516" s="43" t="inlineStr">
        <is>
          <t>Cisco</t>
        </is>
      </c>
      <c r="E516" s="43" t="inlineStr">
        <is>
          <t>MCGA</t>
        </is>
      </c>
      <c r="F516" s="43" t="inlineStr">
        <is>
          <t>034-IOTBU</t>
        </is>
      </c>
      <c r="G516" s="43" t="inlineStr">
        <is>
          <t>CTANJZ04802</t>
        </is>
      </c>
      <c r="H516" s="43" t="inlineStr">
        <is>
          <t>For temporary part/material substitution (EXTENDABLE)</t>
        </is>
      </c>
      <c r="I516" s="43" t="inlineStr">
        <is>
          <t>Customer Deviation</t>
        </is>
      </c>
      <c r="J516" s="43" t="inlineStr">
        <is>
          <t>D605759</t>
        </is>
      </c>
      <c r="K516" s="33" t="inlineStr">
        <is>
          <t>D605759 IOTBU: Sonic/Turbo: Allowing CM site to purchase and use below IPQ MPN's of CPN #11-101911-01 on Sonic/Turbo Production PCA's.Supplier                MPN                              StatusTDK       CGA3E2X7R1E154K080_A In Process - QualYAGEO AC0603K_X7R8BB154         In Process - QualMURATA   GCM188R71E154KA37             Deplete Stock</t>
        </is>
      </c>
      <c r="L516" s="43" t="inlineStr">
        <is>
          <t>Expired</t>
        </is>
      </c>
      <c r="M516" s="43" t="inlineStr">
        <is>
          <t>11-101911-01</t>
        </is>
      </c>
      <c r="N516" s="43" t="inlineStr"/>
      <c r="O516" s="43" t="inlineStr">
        <is>
          <t>2025-12-02</t>
        </is>
      </c>
      <c r="P516" s="33" t="inlineStr">
        <is>
          <t>For temporary part/material substitution (EXTENDABLE 2x)</t>
        </is>
      </c>
      <c r="Q516" s="43" t="inlineStr">
        <is>
          <t>Please ensure that the deviation label remains in the visible area.</t>
        </is>
      </c>
      <c r="R516" s="43" t="inlineStr">
        <is>
          <t>2025-09-03</t>
        </is>
      </c>
      <c r="S516" s="43" t="inlineStr">
        <is>
          <t>2025-09-18</t>
        </is>
      </c>
      <c r="T516" s="43" t="inlineStr"/>
      <c r="U516" s="43" t="inlineStr"/>
    </row>
    <row r="517">
      <c r="A517" s="43" t="n">
        <v>517</v>
      </c>
      <c r="B517" s="43" t="inlineStr">
        <is>
          <t>516</t>
        </is>
      </c>
      <c r="C517" s="43" t="inlineStr">
        <is>
          <t>FJZP</t>
        </is>
      </c>
      <c r="D517" s="43" t="inlineStr">
        <is>
          <t>Cisco</t>
        </is>
      </c>
      <c r="E517" s="43" t="inlineStr">
        <is>
          <t>MCGA</t>
        </is>
      </c>
      <c r="F517" s="43" t="inlineStr">
        <is>
          <t>035-CVEBU</t>
        </is>
      </c>
      <c r="G517" s="43" t="inlineStr">
        <is>
          <t>CTANJZ04995</t>
        </is>
      </c>
      <c r="H517" s="43" t="inlineStr">
        <is>
          <t>For temporary part/material substitution (EXTENDABLE)</t>
        </is>
      </c>
      <c r="I517" s="43" t="inlineStr">
        <is>
          <t>Customer Deviation</t>
        </is>
      </c>
      <c r="J517" s="43" t="inlineStr">
        <is>
          <t>DP525581</t>
        </is>
      </c>
      <c r="K517" s="33" t="inlineStr">
        <is>
          <t>DP525581 NPI; Tyne; Approval for FJZ to build Pre-Pilot 1 with old Main Board VersionAffected item68-104853-01; ASY-ELMECH; Tyne Codec; Radio   68-104854-01; ASY-ELMECH; Tyne Codec; Non-Radio   73-103698-04; PCBA; Tyne Codec; Main Board; Radio (Rev D)73-103698-05; PCBA; Tyne Codec; Main Board; Radio (Rev E)73-103940-04; PCBA; Tyne Codec; Main Board; Non-Radio (Rev D)73-103940-05; PCBA; Tyne Codec; Main Board; Non-Radio (Rev E)Deviation:- This deviation instructs FJZ to replace 73-103698-05 with 73-103698-04 on upcoming Pre-Pilot 1 build of 15x 68-104853-01- This deviation instructs FJZ to replace 73-103940-05 with 73-103940-04 on upcoming Pre-Pilot 1 build of 30x 68-104854-01- This deviation instructs FJZ to build Pre-Pilot 1 and Pre-Pilot 2 according to attached allocation planCisco Contact: Christian KjoelsethFJZ Contact: Fernando Valdez</t>
        </is>
      </c>
      <c r="L517" s="43" t="inlineStr">
        <is>
          <t>Expired</t>
        </is>
      </c>
      <c r="M517" s="43" t="inlineStr">
        <is>
          <t>68-104853-01</t>
        </is>
      </c>
      <c r="N517" s="43" t="inlineStr"/>
      <c r="O517" s="43" t="inlineStr">
        <is>
          <t>2026-01-30</t>
        </is>
      </c>
      <c r="P517" s="33" t="inlineStr"/>
      <c r="Q517" s="43" t="inlineStr">
        <is>
          <t>Mark according to attachment</t>
        </is>
      </c>
      <c r="R517" s="43" t="inlineStr">
        <is>
          <t>2025-12-02</t>
        </is>
      </c>
      <c r="S517" s="43" t="inlineStr">
        <is>
          <t>2025-12-09</t>
        </is>
      </c>
      <c r="T517" s="43" t="inlineStr"/>
      <c r="U517" s="43" t="inlineStr"/>
    </row>
    <row r="518">
      <c r="A518" s="43" t="n">
        <v>518</v>
      </c>
      <c r="B518" s="43" t="inlineStr">
        <is>
          <t>517</t>
        </is>
      </c>
      <c r="C518" s="43" t="inlineStr">
        <is>
          <t>FJZP</t>
        </is>
      </c>
      <c r="D518" s="43" t="inlineStr">
        <is>
          <t>Cisco</t>
        </is>
      </c>
      <c r="E518" s="43" t="inlineStr">
        <is>
          <t>MCGA</t>
        </is>
      </c>
      <c r="F518" s="43" t="inlineStr">
        <is>
          <t>035-CVEBU</t>
        </is>
      </c>
      <c r="G518" s="43" t="inlineStr">
        <is>
          <t>CTANJZ04995</t>
        </is>
      </c>
      <c r="H518" s="43" t="inlineStr">
        <is>
          <t>For temporary part/material substitution (EXTENDABLE)</t>
        </is>
      </c>
      <c r="I518" s="43" t="inlineStr">
        <is>
          <t>Customer Deviation</t>
        </is>
      </c>
      <c r="J518" s="43" t="inlineStr">
        <is>
          <t>DP525581</t>
        </is>
      </c>
      <c r="K518" s="33" t="inlineStr">
        <is>
          <t>DP525581 NPI; Tyne; Approval for FJZ to build Pre-Pilot 1 with old Main Board VersionAffected item68-104853-01; ASY-ELMECH; Tyne Codec; Radio   68-104854-01; ASY-ELMECH; Tyne Codec; Non-Radio   73-103698-04; PCBA; Tyne Codec; Main Board; Radio (Rev D)73-103698-05; PCBA; Tyne Codec; Main Board; Radio (Rev E)73-103940-04; PCBA; Tyne Codec; Main Board; Non-Radio (Rev D)73-103940-05; PCBA; Tyne Codec; Main Board; Non-Radio (Rev E)Deviation:- This deviation instructs FJZ to replace 73-103698-05 with 73-103698-04 on upcoming Pre-Pilot 1 build of 15x 68-104853-01- This deviation instructs FJZ to replace 73-103940-05 with 73-103940-04 on upcoming Pre-Pilot 1 build of 30x 68-104854-01- This deviation instructs FJZ to build Pre-Pilot 1 and Pre-Pilot 2 according to attached allocation planCisco Contact: Christian KjoelsethFJZ Contact: Fernando Valdez</t>
        </is>
      </c>
      <c r="L518" s="43" t="inlineStr">
        <is>
          <t>Expired</t>
        </is>
      </c>
      <c r="M518" s="43" t="inlineStr">
        <is>
          <t>68-104854-01</t>
        </is>
      </c>
      <c r="N518" s="43" t="inlineStr"/>
      <c r="O518" s="43" t="inlineStr">
        <is>
          <t>2026-01-30</t>
        </is>
      </c>
      <c r="P518" s="33" t="inlineStr"/>
      <c r="Q518" s="43" t="inlineStr">
        <is>
          <t>Mark according to attachment</t>
        </is>
      </c>
      <c r="R518" s="43" t="inlineStr">
        <is>
          <t>2025-12-02</t>
        </is>
      </c>
      <c r="S518" s="43" t="inlineStr">
        <is>
          <t>2025-12-09</t>
        </is>
      </c>
      <c r="T518" s="43" t="inlineStr"/>
      <c r="U518" s="43" t="inlineStr"/>
    </row>
    <row r="519">
      <c r="A519" s="43" t="n">
        <v>519</v>
      </c>
      <c r="B519" s="43" t="inlineStr">
        <is>
          <t>518</t>
        </is>
      </c>
      <c r="C519" s="43" t="inlineStr">
        <is>
          <t>FJZP</t>
        </is>
      </c>
      <c r="D519" s="43" t="inlineStr">
        <is>
          <t>Cisco</t>
        </is>
      </c>
      <c r="E519" s="43" t="inlineStr">
        <is>
          <t>MCGA</t>
        </is>
      </c>
      <c r="F519" s="43" t="inlineStr">
        <is>
          <t>035-CVEBU</t>
        </is>
      </c>
      <c r="G519" s="43" t="inlineStr">
        <is>
          <t>CTANJZ04995</t>
        </is>
      </c>
      <c r="H519" s="43" t="inlineStr">
        <is>
          <t>For temporary part/material substitution (EXTENDABLE)</t>
        </is>
      </c>
      <c r="I519" s="43" t="inlineStr">
        <is>
          <t>Customer Deviation</t>
        </is>
      </c>
      <c r="J519" s="43" t="inlineStr">
        <is>
          <t>DP525581</t>
        </is>
      </c>
      <c r="K519" s="33" t="inlineStr">
        <is>
          <t>DP525581 NPI; Tyne; Approval for FJZ to build Pre-Pilot 1 with old Main Board VersionAffected item68-104853-01; ASY-ELMECH; Tyne Codec; Radio   68-104854-01; ASY-ELMECH; Tyne Codec; Non-Radio   73-103698-04; PCBA; Tyne Codec; Main Board; Radio (Rev D)73-103698-05; PCBA; Tyne Codec; Main Board; Radio (Rev E)73-103940-04; PCBA; Tyne Codec; Main Board; Non-Radio (Rev D)73-103940-05; PCBA; Tyne Codec; Main Board; Non-Radio (Rev E)Deviation:- This deviation instructs FJZ to replace 73-103698-05 with 73-103698-04 on upcoming Pre-Pilot 1 build of 15x 68-104853-01- This deviation instructs FJZ to replace 73-103940-05 with 73-103940-04 on upcoming Pre-Pilot 1 build of 30x 68-104854-01- This deviation instructs FJZ to build Pre-Pilot 1 and Pre-Pilot 2 according to attached allocation planCisco Contact: Christian KjoelsethFJZ Contact: Fernando Valdez</t>
        </is>
      </c>
      <c r="L519" s="43" t="inlineStr">
        <is>
          <t>Expired</t>
        </is>
      </c>
      <c r="M519" s="43" t="inlineStr">
        <is>
          <t>800-113105-01</t>
        </is>
      </c>
      <c r="N519" s="43" t="inlineStr"/>
      <c r="O519" s="43" t="inlineStr">
        <is>
          <t>2026-01-30</t>
        </is>
      </c>
      <c r="P519" s="33" t="inlineStr"/>
      <c r="Q519" s="43" t="inlineStr">
        <is>
          <t>Mark according to attachment</t>
        </is>
      </c>
      <c r="R519" s="43" t="inlineStr">
        <is>
          <t>2025-12-02</t>
        </is>
      </c>
      <c r="S519" s="43" t="inlineStr">
        <is>
          <t>2025-12-09</t>
        </is>
      </c>
      <c r="T519" s="43" t="inlineStr"/>
      <c r="U519" s="43" t="inlineStr"/>
    </row>
    <row r="520">
      <c r="A520" s="43" t="n">
        <v>520</v>
      </c>
      <c r="B520" s="43" t="inlineStr">
        <is>
          <t>519</t>
        </is>
      </c>
      <c r="C520" s="43" t="inlineStr">
        <is>
          <t>FJZP</t>
        </is>
      </c>
      <c r="D520" s="43" t="inlineStr">
        <is>
          <t>Cisco</t>
        </is>
      </c>
      <c r="E520" s="43" t="inlineStr">
        <is>
          <t>MCGA</t>
        </is>
      </c>
      <c r="F520" s="43" t="inlineStr">
        <is>
          <t>035-CVEBU</t>
        </is>
      </c>
      <c r="G520" s="43" t="inlineStr">
        <is>
          <t>CTANJZ04995</t>
        </is>
      </c>
      <c r="H520" s="43" t="inlineStr">
        <is>
          <t>For temporary part/material substitution (EXTENDABLE)</t>
        </is>
      </c>
      <c r="I520" s="43" t="inlineStr">
        <is>
          <t>Customer Deviation</t>
        </is>
      </c>
      <c r="J520" s="43" t="inlineStr">
        <is>
          <t>DP525581</t>
        </is>
      </c>
      <c r="K520" s="33" t="inlineStr">
        <is>
          <t>DP525581 NPI; Tyne; Approval for FJZ to build Pre-Pilot 1 with old Main Board VersionAffected item68-104853-01; ASY-ELMECH; Tyne Codec; Radio   68-104854-01; ASY-ELMECH; Tyne Codec; Non-Radio   73-103698-04; PCBA; Tyne Codec; Main Board; Radio (Rev D)73-103698-05; PCBA; Tyne Codec; Main Board; Radio (Rev E)73-103940-04; PCBA; Tyne Codec; Main Board; Non-Radio (Rev D)73-103940-05; PCBA; Tyne Codec; Main Board; Non-Radio (Rev E)Deviation:- This deviation instructs FJZ to replace 73-103698-05 with 73-103698-04 on upcoming Pre-Pilot 1 build of 15x 68-104853-01- This deviation instructs FJZ to replace 73-103940-05 with 73-103940-04 on upcoming Pre-Pilot 1 build of 30x 68-104854-01- This deviation instructs FJZ to build Pre-Pilot 1 and Pre-Pilot 2 according to attached allocation planCisco Contact: Christian KjoelsethFJZ Contact: Fernando Valdez</t>
        </is>
      </c>
      <c r="L520" s="43" t="inlineStr">
        <is>
          <t>Expired</t>
        </is>
      </c>
      <c r="M520" s="43" t="inlineStr">
        <is>
          <t>800-113255-01</t>
        </is>
      </c>
      <c r="N520" s="43" t="inlineStr"/>
      <c r="O520" s="43" t="inlineStr">
        <is>
          <t>2026-01-30</t>
        </is>
      </c>
      <c r="P520" s="33" t="inlineStr"/>
      <c r="Q520" s="43" t="inlineStr">
        <is>
          <t>Mark according to attachment</t>
        </is>
      </c>
      <c r="R520" s="43" t="inlineStr">
        <is>
          <t>2025-12-02</t>
        </is>
      </c>
      <c r="S520" s="43" t="inlineStr">
        <is>
          <t>2025-12-09</t>
        </is>
      </c>
      <c r="T520" s="43" t="inlineStr"/>
      <c r="U520" s="43" t="inlineStr"/>
    </row>
    <row r="521">
      <c r="A521" s="43" t="n">
        <v>521</v>
      </c>
      <c r="B521" s="43" t="inlineStr">
        <is>
          <t>520</t>
        </is>
      </c>
      <c r="C521" s="43" t="inlineStr">
        <is>
          <t>FJZP</t>
        </is>
      </c>
      <c r="D521" s="43" t="inlineStr">
        <is>
          <t>Cisco</t>
        </is>
      </c>
      <c r="E521" s="43" t="inlineStr">
        <is>
          <t>MCGA</t>
        </is>
      </c>
      <c r="F521" s="43" t="inlineStr">
        <is>
          <t>037-STBU</t>
        </is>
      </c>
      <c r="G521" s="43" t="inlineStr">
        <is>
          <t>CTANJZ05155</t>
        </is>
      </c>
      <c r="H521" s="43" t="inlineStr">
        <is>
          <t>To temporarily use parts/materials that do not meet the specifications</t>
        </is>
      </c>
      <c r="I521" s="43" t="inlineStr">
        <is>
          <t>Customer Deviation</t>
        </is>
      </c>
      <c r="J521" s="43" t="inlineStr">
        <is>
          <t>D610128</t>
        </is>
      </c>
      <c r="K521" s="33" t="inlineStr">
        <is>
          <t>D610128 Allow FJZ to use DC  2231 for programmed component  17-13481-01 - Raw part 15-102934-01 (MPN# CY7C64215-28PVXI). The component was approved to risk buy and now will be used after programming. FJZ plans to purchase 1800 pcs of raw part 15-102934-01</t>
        </is>
      </c>
      <c r="L521" s="43" t="inlineStr">
        <is>
          <t>Expired</t>
        </is>
      </c>
      <c r="M521" s="43" t="inlineStr">
        <is>
          <t>15-102934-01</t>
        </is>
      </c>
      <c r="N521" s="43" t="inlineStr"/>
      <c r="O521" s="43" t="inlineStr">
        <is>
          <t>2026-06-16</t>
        </is>
      </c>
      <c r="P521" s="33" t="inlineStr">
        <is>
          <t>To temporarily use parts/materials that do not meet the specifications</t>
        </is>
      </c>
      <c r="Q521" s="43" t="inlineStr">
        <is>
          <t>The programmed material will be marked as required adding the deviation number to identify that can be used</t>
        </is>
      </c>
      <c r="R521" s="43" t="inlineStr">
        <is>
          <t>2026-03-19</t>
        </is>
      </c>
      <c r="S521" s="43" t="inlineStr">
        <is>
          <t>2026-04-17</t>
        </is>
      </c>
      <c r="T521" s="43" t="inlineStr"/>
      <c r="U521" s="43" t="inlineStr"/>
    </row>
    <row r="522">
      <c r="A522" s="43" t="n">
        <v>522</v>
      </c>
      <c r="B522" s="43" t="inlineStr">
        <is>
          <t>521</t>
        </is>
      </c>
      <c r="C522" s="43" t="inlineStr">
        <is>
          <t>FJZP</t>
        </is>
      </c>
      <c r="D522" s="43" t="inlineStr">
        <is>
          <t>Cisco</t>
        </is>
      </c>
      <c r="E522" s="43" t="inlineStr">
        <is>
          <t>MCGA</t>
        </is>
      </c>
      <c r="F522" s="43" t="inlineStr">
        <is>
          <t>037-STBU</t>
        </is>
      </c>
      <c r="G522" s="43" t="inlineStr">
        <is>
          <t>CTANJZ05155</t>
        </is>
      </c>
      <c r="H522" s="43" t="inlineStr">
        <is>
          <t>To temporarily use parts/materials that do not meet the specifications</t>
        </is>
      </c>
      <c r="I522" s="43" t="inlineStr">
        <is>
          <t>Customer Deviation</t>
        </is>
      </c>
      <c r="J522" s="43" t="inlineStr">
        <is>
          <t>D610128</t>
        </is>
      </c>
      <c r="K522" s="33" t="inlineStr">
        <is>
          <t>D610128 Allow FJZ to use DC  2231 for programmed component  17-13481-01 - Raw part 15-102934-01 (MPN# CY7C64215-28PVXI). The component was approved to risk buy and now will be used after programming. FJZ plans to purchase 1800 pcs of raw part 15-102934-01</t>
        </is>
      </c>
      <c r="L522" s="43" t="inlineStr">
        <is>
          <t>Expired</t>
        </is>
      </c>
      <c r="M522" s="43" t="inlineStr">
        <is>
          <t>17-13481-01</t>
        </is>
      </c>
      <c r="N522" s="43" t="inlineStr"/>
      <c r="O522" s="43" t="inlineStr">
        <is>
          <t>2026-06-16</t>
        </is>
      </c>
      <c r="P522" s="33" t="inlineStr">
        <is>
          <t>To temporarily use parts/materials that do not meet the specifications</t>
        </is>
      </c>
      <c r="Q522" s="43" t="inlineStr">
        <is>
          <t>The programmed material will be marked as required adding the deviation number to identify that can be used</t>
        </is>
      </c>
      <c r="R522" s="43" t="inlineStr">
        <is>
          <t>2026-03-19</t>
        </is>
      </c>
      <c r="S522" s="43" t="inlineStr">
        <is>
          <t>2026-04-17</t>
        </is>
      </c>
      <c r="T522" s="43" t="inlineStr"/>
      <c r="U522" s="43" t="inlineStr"/>
    </row>
    <row r="523">
      <c r="A523" s="43" t="n">
        <v>523</v>
      </c>
      <c r="B523" s="43" t="inlineStr">
        <is>
          <t>522</t>
        </is>
      </c>
      <c r="C523" s="43" t="inlineStr">
        <is>
          <t>FJZP</t>
        </is>
      </c>
      <c r="D523" s="43" t="inlineStr">
        <is>
          <t>Cisco</t>
        </is>
      </c>
      <c r="E523" s="43" t="inlineStr">
        <is>
          <t>MCGA</t>
        </is>
      </c>
      <c r="F523" s="43" t="inlineStr">
        <is>
          <t>035-CVEBU</t>
        </is>
      </c>
      <c r="G523" s="43" t="inlineStr">
        <is>
          <t>CTANJZ04809</t>
        </is>
      </c>
      <c r="H523" s="43" t="inlineStr">
        <is>
          <t>For temporary part/material substitution (EXTENDABLE)</t>
        </is>
      </c>
      <c r="I523" s="43" t="inlineStr">
        <is>
          <t>Customer Deviation</t>
        </is>
      </c>
      <c r="J523" s="43" t="inlineStr">
        <is>
          <t>D606156</t>
        </is>
      </c>
      <c r="K523" s="33" t="inlineStr">
        <is>
          <t>D606156 CVEBU;Taylor800-115882-01  (with 73-103103-05) ASY-ELMECH;CPU;PICTORIS; MB WITH TAYLOR 16GB LOW;TAA  800-115884-01 (with 73-103603-05 )ASY-ELMECH;CPU;PICTORIS;MB NR WITH TAYLOR 16GB LOW;TAA  In BOMs:800-126978-03 -B0 (with 73-103922-03) E/M_ASSY_MECH;TAYLOR LOW MODULE;HYNIX 16GB LPDDR5  Instead FJZ is hereby allowed to consume their stock (approx 150 pcs) of the previous version:800-126978-02 ^01 (with 73-103922-03  ^05) E/M_ASSY_MECH;TAYLOR LOW MODULE;HYNIX 16GB LPDDR5</t>
        </is>
      </c>
      <c r="L523" s="43" t="inlineStr">
        <is>
          <t>Expired</t>
        </is>
      </c>
      <c r="M523" s="43" t="inlineStr">
        <is>
          <t>800-115882-01</t>
        </is>
      </c>
      <c r="N523" s="43" t="inlineStr"/>
      <c r="O523" s="43" t="inlineStr">
        <is>
          <t>2025-12-06</t>
        </is>
      </c>
      <c r="P523" s="33" t="inlineStr">
        <is>
          <t>For temporary part/material substitution (EXTENDABLE 2x)</t>
        </is>
      </c>
      <c r="Q523" s="43" t="inlineStr">
        <is>
          <t>No FFF chang =&gt; No marking needed.FJZ shall record all affected serial numbers</t>
        </is>
      </c>
      <c r="R523" s="43" t="inlineStr">
        <is>
          <t>2025-09-09</t>
        </is>
      </c>
      <c r="S523" s="43" t="inlineStr">
        <is>
          <t>2025-09-29</t>
        </is>
      </c>
      <c r="T523" s="43" t="inlineStr"/>
      <c r="U523" s="43" t="inlineStr"/>
    </row>
    <row r="524">
      <c r="A524" s="43" t="n">
        <v>524</v>
      </c>
      <c r="B524" s="43" t="inlineStr">
        <is>
          <t>523</t>
        </is>
      </c>
      <c r="C524" s="43" t="inlineStr">
        <is>
          <t>FJZP</t>
        </is>
      </c>
      <c r="D524" s="43" t="inlineStr">
        <is>
          <t>Cisco</t>
        </is>
      </c>
      <c r="E524" s="43" t="inlineStr">
        <is>
          <t>MCGA</t>
        </is>
      </c>
      <c r="F524" s="43" t="inlineStr">
        <is>
          <t>035-CVEBU</t>
        </is>
      </c>
      <c r="G524" s="43" t="inlineStr">
        <is>
          <t>CTANJZ04809</t>
        </is>
      </c>
      <c r="H524" s="43" t="inlineStr">
        <is>
          <t>For temporary part/material substitution (EXTENDABLE)</t>
        </is>
      </c>
      <c r="I524" s="43" t="inlineStr">
        <is>
          <t>Customer Deviation</t>
        </is>
      </c>
      <c r="J524" s="43" t="inlineStr">
        <is>
          <t>D606156</t>
        </is>
      </c>
      <c r="K524" s="33" t="inlineStr">
        <is>
          <t>D606156 CVEBU;Taylor800-115882-01  (with 73-103103-05) ASY-ELMECH;CPU;PICTORIS; MB WITH TAYLOR 16GB LOW;TAA  800-115884-01 (with 73-103603-05 )ASY-ELMECH;CPU;PICTORIS;MB NR WITH TAYLOR 16GB LOW;TAA  In BOMs:800-126978-03 -B0 (with 73-103922-03) E/M_ASSY_MECH;TAYLOR LOW MODULE;HYNIX 16GB LPDDR5  Instead FJZ is hereby allowed to consume their stock (approx 150 pcs) of the previous version:800-126978-02 ^01 (with 73-103922-03  ^05) E/M_ASSY_MECH;TAYLOR LOW MODULE;HYNIX 16GB LPDDR5</t>
        </is>
      </c>
      <c r="L524" s="43" t="inlineStr">
        <is>
          <t>Expired</t>
        </is>
      </c>
      <c r="M524" s="43" t="inlineStr">
        <is>
          <t>800-115884-01</t>
        </is>
      </c>
      <c r="N524" s="43" t="inlineStr"/>
      <c r="O524" s="43" t="inlineStr">
        <is>
          <t>2025-12-06</t>
        </is>
      </c>
      <c r="P524" s="33" t="inlineStr">
        <is>
          <t>For temporary part/material substitution (EXTENDABLE 2x)</t>
        </is>
      </c>
      <c r="Q524" s="43" t="inlineStr">
        <is>
          <t>No FFF chang =&gt; No marking needed.FJZ shall record all affected serial numbers</t>
        </is>
      </c>
      <c r="R524" s="43" t="inlineStr">
        <is>
          <t>2025-09-09</t>
        </is>
      </c>
      <c r="S524" s="43" t="inlineStr">
        <is>
          <t>2025-09-29</t>
        </is>
      </c>
      <c r="T524" s="43" t="inlineStr"/>
      <c r="U524" s="43" t="inlineStr"/>
    </row>
    <row r="525">
      <c r="A525" s="43" t="n">
        <v>525</v>
      </c>
      <c r="B525" s="43" t="inlineStr">
        <is>
          <t>524</t>
        </is>
      </c>
      <c r="C525" s="43" t="inlineStr">
        <is>
          <t>FJZP</t>
        </is>
      </c>
      <c r="D525" s="43" t="inlineStr">
        <is>
          <t>Cisco</t>
        </is>
      </c>
      <c r="E525" s="43" t="inlineStr">
        <is>
          <t>MCGA</t>
        </is>
      </c>
      <c r="F525" s="43" t="inlineStr">
        <is>
          <t>035-CVEBU</t>
        </is>
      </c>
      <c r="G525" s="43" t="inlineStr">
        <is>
          <t>CTANJZ04809</t>
        </is>
      </c>
      <c r="H525" s="43" t="inlineStr">
        <is>
          <t>For temporary part/material substitution (EXTENDABLE)</t>
        </is>
      </c>
      <c r="I525" s="43" t="inlineStr">
        <is>
          <t>Customer Deviation</t>
        </is>
      </c>
      <c r="J525" s="43" t="inlineStr">
        <is>
          <t>D606156</t>
        </is>
      </c>
      <c r="K525" s="33" t="inlineStr">
        <is>
          <t>D606156 CVEBU;Taylor800-115882-01  (with 73-103103-05) ASY-ELMECH;CPU;PICTORIS; MB WITH TAYLOR 16GB LOW;TAA  800-115884-01 (with 73-103603-05 )ASY-ELMECH;CPU;PICTORIS;MB NR WITH TAYLOR 16GB LOW;TAA  In BOMs:800-126978-03 -B0 (with 73-103922-03) E/M_ASSY_MECH;TAYLOR LOW MODULE;HYNIX 16GB LPDDR5  Instead FJZ is hereby allowed to consume their stock (approx 150 pcs) of the previous version:800-126978-02 ^01 (with 73-103922-03  ^05) E/M_ASSY_MECH;TAYLOR LOW MODULE;HYNIX 16GB LPDDR5</t>
        </is>
      </c>
      <c r="L525" s="43" t="inlineStr">
        <is>
          <t>Expired</t>
        </is>
      </c>
      <c r="M525" s="43" t="inlineStr">
        <is>
          <t>800-126978-03</t>
        </is>
      </c>
      <c r="N525" s="43" t="inlineStr"/>
      <c r="O525" s="43" t="inlineStr">
        <is>
          <t>2025-12-06</t>
        </is>
      </c>
      <c r="P525" s="33" t="inlineStr">
        <is>
          <t>For temporary part/material substitution (EXTENDABLE 2x)</t>
        </is>
      </c>
      <c r="Q525" s="43" t="inlineStr">
        <is>
          <t>No FFF chang =&gt; No marking needed.FJZ shall record all affected serial numbers</t>
        </is>
      </c>
      <c r="R525" s="43" t="inlineStr">
        <is>
          <t>2025-09-09</t>
        </is>
      </c>
      <c r="S525" s="43" t="inlineStr">
        <is>
          <t>2025-09-29</t>
        </is>
      </c>
      <c r="T525" s="43" t="inlineStr"/>
      <c r="U525" s="43" t="inlineStr"/>
    </row>
    <row r="526">
      <c r="A526" s="43" t="n">
        <v>526</v>
      </c>
      <c r="B526" s="43" t="inlineStr">
        <is>
          <t>525</t>
        </is>
      </c>
      <c r="C526" s="43" t="inlineStr">
        <is>
          <t>FJZP</t>
        </is>
      </c>
      <c r="D526" s="43" t="inlineStr">
        <is>
          <t>Cisco</t>
        </is>
      </c>
      <c r="E526" s="43" t="inlineStr">
        <is>
          <t>MCGA</t>
        </is>
      </c>
      <c r="F526" s="43" t="inlineStr">
        <is>
          <t>035-CVEBU</t>
        </is>
      </c>
      <c r="G526" s="43" t="inlineStr">
        <is>
          <t>CTANJZ05101</t>
        </is>
      </c>
      <c r="H526" s="43" t="inlineStr">
        <is>
          <t>To temporarily use parts/materials that do not meet the specifications</t>
        </is>
      </c>
      <c r="I526" s="43" t="inlineStr">
        <is>
          <t>Customer Deviation</t>
        </is>
      </c>
      <c r="J526" s="43" t="inlineStr">
        <is>
          <t>D609457</t>
        </is>
      </c>
      <c r="K526" s="33" t="inlineStr">
        <is>
          <t>D609457 CVEBU;Pictoris800-115884-01 -A0 ASY-ELMECH;CPU;PICTORIS;MB NR WITH TAYLOR 16GB LOW;TAA  Qualified: Foxconn 800-115884-0147 pcs of these Main Board assemblies manufactured at FJZ have been wrongly marked as rev -B0. Correct marking is -A0.10 pcs are on-hand at FVN and 37 pcs are in the progress of being shipped from FJZ to FVN.Even if the revision marking is wrong; FVN is hereby allowed to accept and to consume these 47 pcs main board assemblies to build47 pcs 800-125884-01 FNLASY-ELMECH;MODULE;PICTORIS UNIT NR;TAA CARBON</t>
        </is>
      </c>
      <c r="L526" s="43" t="inlineStr">
        <is>
          <t>Expired</t>
        </is>
      </c>
      <c r="M526" s="43" t="inlineStr">
        <is>
          <t>800-115884-01</t>
        </is>
      </c>
      <c r="N526" s="43" t="inlineStr"/>
      <c r="O526" s="43" t="inlineStr">
        <is>
          <t>2026-05-06</t>
        </is>
      </c>
      <c r="P526" s="33" t="inlineStr">
        <is>
          <t>To temporarily use parts/materials that do not meet the specifications</t>
        </is>
      </c>
      <c r="Q526" s="43" t="inlineStr">
        <is>
          <t>Add a label saying Dxxxxxx close to the 800-125884-01 serial number label. All affected serial number shall be recorded by FVN</t>
        </is>
      </c>
      <c r="R526" s="43" t="inlineStr">
        <is>
          <t>2026-02-06</t>
        </is>
      </c>
      <c r="S526" s="43" t="inlineStr">
        <is>
          <t>2026-02-17</t>
        </is>
      </c>
      <c r="T526" s="43" t="inlineStr"/>
      <c r="U526" s="43" t="inlineStr"/>
    </row>
    <row r="527">
      <c r="A527" s="43" t="n">
        <v>527</v>
      </c>
      <c r="B527" s="43" t="inlineStr">
        <is>
          <t>526</t>
        </is>
      </c>
      <c r="C527" s="43" t="inlineStr">
        <is>
          <t>FJZP</t>
        </is>
      </c>
      <c r="D527" s="43" t="inlineStr">
        <is>
          <t>Cisco</t>
        </is>
      </c>
      <c r="E527" s="43" t="inlineStr">
        <is>
          <t>MCGA</t>
        </is>
      </c>
      <c r="F527" s="43" t="inlineStr">
        <is>
          <t>018-SRGBU</t>
        </is>
      </c>
      <c r="G527" s="43" t="inlineStr">
        <is>
          <t>CTANJZ05225</t>
        </is>
      </c>
      <c r="H527" s="43" t="inlineStr">
        <is>
          <t>To temporarily use parts/materials that do not meet the specifications</t>
        </is>
      </c>
      <c r="I527" s="43" t="inlineStr">
        <is>
          <t>Customer Deviation</t>
        </is>
      </c>
      <c r="J527" s="43" t="inlineStr">
        <is>
          <t>DP526083</t>
        </is>
      </c>
      <c r="K527" s="33" t="inlineStr">
        <is>
          <t>DP526083 SRGBU: Alduin: 74?141119?01 PP2 (Pre?Pilot #2) build:To allow use of Foxconn part number C066.00670.005 in place of Cisco part number 15?111384?01 to a quantity of 52 pieces.Both parts share the same manufacturer part number family and are functionally identical; with the only difference being packaging. The components are manufactured by Renesas Electronics; and no impact to form; fit; or function.Foxconn Part Number - C066.00670.005Foxconn MPN - RC21008B17KGND#BB0Cisco Part Number - 15-111384-01Cisco MPN - RC21008B17KGND#KB0Manufacturer - Renesas Electronics</t>
        </is>
      </c>
      <c r="L527" s="43" t="inlineStr">
        <is>
          <t>Expired</t>
        </is>
      </c>
      <c r="M527" s="43" t="inlineStr">
        <is>
          <t>74-141119-01</t>
        </is>
      </c>
      <c r="N527" s="43" t="inlineStr"/>
      <c r="O527" s="43" t="inlineStr">
        <is>
          <t>2026-06-23</t>
        </is>
      </c>
      <c r="P527" s="33" t="inlineStr">
        <is>
          <t>To temporarily use parts/materials that do not meet the specifications</t>
        </is>
      </c>
      <c r="Q527" s="43" t="inlineStr">
        <is>
          <t>No marking is needed.</t>
        </is>
      </c>
      <c r="R527" s="43" t="inlineStr">
        <is>
          <t>2026-04-25</t>
        </is>
      </c>
      <c r="S527" s="43" t="inlineStr">
        <is>
          <t>2026-05-16</t>
        </is>
      </c>
      <c r="T527" s="43" t="inlineStr"/>
      <c r="U527" s="43" t="inlineStr"/>
    </row>
    <row r="528">
      <c r="A528" s="43" t="n">
        <v>528</v>
      </c>
      <c r="B528" s="43" t="inlineStr">
        <is>
          <t>527</t>
        </is>
      </c>
      <c r="C528" s="43" t="inlineStr">
        <is>
          <t>FJZP</t>
        </is>
      </c>
      <c r="D528" s="43" t="inlineStr">
        <is>
          <t>Cisco</t>
        </is>
      </c>
      <c r="E528" s="43" t="inlineStr">
        <is>
          <t>MCGA</t>
        </is>
      </c>
      <c r="F528" s="43" t="inlineStr">
        <is>
          <t>035-CVEBU</t>
        </is>
      </c>
      <c r="G528" s="43" t="inlineStr">
        <is>
          <t>CTANJZ05302</t>
        </is>
      </c>
      <c r="H528" s="43" t="inlineStr">
        <is>
          <t>New Release</t>
        </is>
      </c>
      <c r="I528" s="43" t="inlineStr">
        <is>
          <t>Customer Deviation</t>
        </is>
      </c>
      <c r="J528" s="43" t="inlineStr">
        <is>
          <t>D611944</t>
        </is>
      </c>
      <c r="K528" s="33" t="inlineStr">
        <is>
          <t>D611944 CVEBU;Mimir + all other CVEBU products 73-103946-03 -06	PCA;MIMIR BOARD   In BOM    15-107243-01 IC-TIMING;GENERATOR;VFQFPN;24 P;4.0x4.0mm PKGSIZE;0.5mm PITCH;1.8V to 3.3V;-40 to 85 C;un-programmed Obsolete:  Renesas 5P49V6965A000NLGI (Unprogrammed)(To obsolete by MCO106791) Qualified: Renesas 5P49V6965A001NLGI (Pre-programmed)  Due to shortage; Foxconn is allowed to source from brookers and use the Obsoleted part in all affected CVEBU products.</t>
        </is>
      </c>
      <c r="L528" s="43" t="inlineStr">
        <is>
          <t>Expired</t>
        </is>
      </c>
      <c r="M528" s="43" t="inlineStr">
        <is>
          <t>73-102038-03</t>
        </is>
      </c>
      <c r="N528" s="43" t="inlineStr"/>
      <c r="O528" s="43" t="inlineStr">
        <is>
          <t>2026-09-16</t>
        </is>
      </c>
      <c r="P528" s="33" t="inlineStr">
        <is>
          <t>For temporary part/material substitution (EXTENDABLE 2x)</t>
        </is>
      </c>
      <c r="Q528" s="43" t="inlineStr">
        <is>
          <t>No FFF = &gt; No marking needed</t>
        </is>
      </c>
      <c r="R528" s="43" t="inlineStr">
        <is>
          <t>2026-06-20</t>
        </is>
      </c>
      <c r="S528" s="43" t="inlineStr"/>
      <c r="T528" s="43" t="inlineStr"/>
      <c r="U528" s="43" t="inlineStr"/>
    </row>
    <row r="529">
      <c r="A529" s="43" t="n">
        <v>529</v>
      </c>
      <c r="B529" s="43" t="inlineStr">
        <is>
          <t>528</t>
        </is>
      </c>
      <c r="C529" s="43" t="inlineStr">
        <is>
          <t>FJZP</t>
        </is>
      </c>
      <c r="D529" s="43" t="inlineStr">
        <is>
          <t>Cisco</t>
        </is>
      </c>
      <c r="E529" s="43" t="inlineStr">
        <is>
          <t>MCGA</t>
        </is>
      </c>
      <c r="F529" s="43" t="inlineStr">
        <is>
          <t>035-CVEBU</t>
        </is>
      </c>
      <c r="G529" s="43" t="inlineStr">
        <is>
          <t>CTANJZ05167</t>
        </is>
      </c>
      <c r="H529" s="43" t="inlineStr">
        <is>
          <t>To temporarily use parts/materials that do not meet the specifications</t>
        </is>
      </c>
      <c r="I529" s="43" t="inlineStr">
        <is>
          <t>Customer Deviation</t>
        </is>
      </c>
      <c r="J529" s="43" t="inlineStr">
        <is>
          <t>D610433</t>
        </is>
      </c>
      <c r="K529" s="33" t="inlineStr">
        <is>
          <t>D610433 NPI; CVEBU; Tyne Pilot 1 Build; Use of ADI IPQ MPN under 15-110893-01Affected items68-104853-0168-104854-0173-103698-0673-103940-0615-110893-0124-101509-01Deviation- For Pilot 2 build at FJZ and onwords; FJZ is allowed    - and must use IPQ MPN ADV7537JBCZ-10 under 15-110893-01    - to use IPQ MPN RT1GSCMCS-RU under 24-101509-01 as long as only Lot Code D5900150005 or later lot codes are used.Comment:Author of this deviation does not know if Pilot 1 build will consists of both Radio and Non-Radio units; hence allowing usage in both assemblies.</t>
        </is>
      </c>
      <c r="L529" s="43" t="inlineStr">
        <is>
          <t>Expired</t>
        </is>
      </c>
      <c r="M529" s="43" t="inlineStr">
        <is>
          <t>15-110893-01</t>
        </is>
      </c>
      <c r="N529" s="43" t="inlineStr"/>
      <c r="O529" s="43" t="inlineStr">
        <is>
          <t>2026-06-24</t>
        </is>
      </c>
      <c r="P529" s="33" t="inlineStr">
        <is>
          <t>To temporarily use parts/materials that do not meet the specifications</t>
        </is>
      </c>
      <c r="Q529" s="43" t="inlineStr">
        <is>
          <t>No marking needed</t>
        </is>
      </c>
      <c r="R529" s="43" t="inlineStr">
        <is>
          <t>2026-03-27</t>
        </is>
      </c>
      <c r="S529" s="43" t="inlineStr">
        <is>
          <t>2026-04-17</t>
        </is>
      </c>
      <c r="T529" s="43" t="inlineStr"/>
      <c r="U529" s="43" t="inlineStr"/>
    </row>
    <row r="530">
      <c r="A530" s="43" t="n">
        <v>530</v>
      </c>
      <c r="B530" s="43" t="inlineStr">
        <is>
          <t>529</t>
        </is>
      </c>
      <c r="C530" s="43" t="inlineStr">
        <is>
          <t>FJZP</t>
        </is>
      </c>
      <c r="D530" s="43" t="inlineStr">
        <is>
          <t>Cisco</t>
        </is>
      </c>
      <c r="E530" s="43" t="inlineStr">
        <is>
          <t>MCGA</t>
        </is>
      </c>
      <c r="F530" s="43" t="inlineStr">
        <is>
          <t>035-CVEBU</t>
        </is>
      </c>
      <c r="G530" s="43" t="inlineStr">
        <is>
          <t>CTANJZ05167</t>
        </is>
      </c>
      <c r="H530" s="43" t="inlineStr">
        <is>
          <t>To temporarily use parts/materials that do not meet the specifications</t>
        </is>
      </c>
      <c r="I530" s="43" t="inlineStr">
        <is>
          <t>Customer Deviation</t>
        </is>
      </c>
      <c r="J530" s="43" t="inlineStr">
        <is>
          <t>D610433</t>
        </is>
      </c>
      <c r="K530" s="33" t="inlineStr">
        <is>
          <t>D610433 NPI; CVEBU; Tyne Pilot 1 Build; Use of ADI IPQ MPN under 15-110893-01Affected items68-104853-0168-104854-0173-103698-0673-103940-0615-110893-0124-101509-01Deviation- For Pilot 2 build at FJZ and onwords; FJZ is allowed    - and must use IPQ MPN ADV7537JBCZ-10 under 15-110893-01    - to use IPQ MPN RT1GSCMCS-RU under 24-101509-01 as long as only Lot Code D5900150005 or later lot codes are used.Comment:Author of this deviation does not know if Pilot 1 build will consists of both Radio and Non-Radio units; hence allowing usage in both assemblies.</t>
        </is>
      </c>
      <c r="L530" s="43" t="inlineStr">
        <is>
          <t>Expired</t>
        </is>
      </c>
      <c r="M530" s="43" t="inlineStr">
        <is>
          <t>24-101509-01</t>
        </is>
      </c>
      <c r="N530" s="43" t="inlineStr"/>
      <c r="O530" s="43" t="inlineStr">
        <is>
          <t>2026-06-24</t>
        </is>
      </c>
      <c r="P530" s="33" t="inlineStr">
        <is>
          <t>To temporarily use parts/materials that do not meet the specifications</t>
        </is>
      </c>
      <c r="Q530" s="43" t="inlineStr">
        <is>
          <t>No marking needed</t>
        </is>
      </c>
      <c r="R530" s="43" t="inlineStr">
        <is>
          <t>2026-03-27</t>
        </is>
      </c>
      <c r="S530" s="43" t="inlineStr">
        <is>
          <t>2026-04-17</t>
        </is>
      </c>
      <c r="T530" s="43" t="inlineStr"/>
      <c r="U530" s="43" t="inlineStr"/>
    </row>
    <row r="531">
      <c r="A531" s="43" t="n">
        <v>531</v>
      </c>
      <c r="B531" s="43" t="inlineStr">
        <is>
          <t>530</t>
        </is>
      </c>
      <c r="C531" s="43" t="inlineStr">
        <is>
          <t>FJZP</t>
        </is>
      </c>
      <c r="D531" s="43" t="inlineStr">
        <is>
          <t>Cisco</t>
        </is>
      </c>
      <c r="E531" s="43" t="inlineStr">
        <is>
          <t>MCGA</t>
        </is>
      </c>
      <c r="F531" s="43" t="inlineStr">
        <is>
          <t>035-CVEBU</t>
        </is>
      </c>
      <c r="G531" s="43" t="inlineStr">
        <is>
          <t>CTANJZ05167</t>
        </is>
      </c>
      <c r="H531" s="43" t="inlineStr">
        <is>
          <t>To temporarily use parts/materials that do not meet the specifications</t>
        </is>
      </c>
      <c r="I531" s="43" t="inlineStr">
        <is>
          <t>Customer Deviation</t>
        </is>
      </c>
      <c r="J531" s="43" t="inlineStr">
        <is>
          <t>D610433</t>
        </is>
      </c>
      <c r="K531" s="33" t="inlineStr">
        <is>
          <t>D610433 NPI; CVEBU; Tyne Pilot 1 Build; Use of ADI IPQ MPN under 15-110893-01Affected items68-104853-0168-104854-0173-103698-0673-103940-0615-110893-0124-101509-01Deviation- For Pilot 2 build at FJZ and onwords; FJZ is allowed    - and must use IPQ MPN ADV7537JBCZ-10 under 15-110893-01    - to use IPQ MPN RT1GSCMCS-RU under 24-101509-01 as long as only Lot Code D5900150005 or later lot codes are used.Comment:Author of this deviation does not know if Pilot 1 build will consists of both Radio and Non-Radio units; hence allowing usage in both assemblies.</t>
        </is>
      </c>
      <c r="L531" s="43" t="inlineStr">
        <is>
          <t>Expired</t>
        </is>
      </c>
      <c r="M531" s="43" t="inlineStr">
        <is>
          <t>68-104853-01</t>
        </is>
      </c>
      <c r="N531" s="43" t="inlineStr"/>
      <c r="O531" s="43" t="inlineStr">
        <is>
          <t>2026-06-24</t>
        </is>
      </c>
      <c r="P531" s="33" t="inlineStr">
        <is>
          <t>To temporarily use parts/materials that do not meet the specifications</t>
        </is>
      </c>
      <c r="Q531" s="43" t="inlineStr">
        <is>
          <t>No marking needed</t>
        </is>
      </c>
      <c r="R531" s="43" t="inlineStr">
        <is>
          <t>2026-03-27</t>
        </is>
      </c>
      <c r="S531" s="43" t="inlineStr">
        <is>
          <t>2026-04-17</t>
        </is>
      </c>
      <c r="T531" s="43" t="inlineStr"/>
      <c r="U531" s="43" t="inlineStr"/>
    </row>
    <row r="532">
      <c r="A532" s="43" t="n">
        <v>532</v>
      </c>
      <c r="B532" s="43" t="inlineStr">
        <is>
          <t>531</t>
        </is>
      </c>
      <c r="C532" s="43" t="inlineStr">
        <is>
          <t>FJZP</t>
        </is>
      </c>
      <c r="D532" s="43" t="inlineStr">
        <is>
          <t>Cisco</t>
        </is>
      </c>
      <c r="E532" s="43" t="inlineStr">
        <is>
          <t>MCGA</t>
        </is>
      </c>
      <c r="F532" s="43" t="inlineStr">
        <is>
          <t>035-CVEBU</t>
        </is>
      </c>
      <c r="G532" s="43" t="inlineStr">
        <is>
          <t>CTANJZ05167</t>
        </is>
      </c>
      <c r="H532" s="43" t="inlineStr">
        <is>
          <t>To temporarily use parts/materials that do not meet the specifications</t>
        </is>
      </c>
      <c r="I532" s="43" t="inlineStr">
        <is>
          <t>Customer Deviation</t>
        </is>
      </c>
      <c r="J532" s="43" t="inlineStr">
        <is>
          <t>D610433</t>
        </is>
      </c>
      <c r="K532" s="33" t="inlineStr">
        <is>
          <t>D610433 NPI; CVEBU; Tyne Pilot 1 Build; Use of ADI IPQ MPN under 15-110893-01Affected items68-104853-0168-104854-0173-103698-0673-103940-0615-110893-0124-101509-01Deviation- For Pilot 2 build at FJZ and onwords; FJZ is allowed    - and must use IPQ MPN ADV7537JBCZ-10 under 15-110893-01    - to use IPQ MPN RT1GSCMCS-RU under 24-101509-01 as long as only Lot Code D5900150005 or later lot codes are used.Comment:Author of this deviation does not know if Pilot 1 build will consists of both Radio and Non-Radio units; hence allowing usage in both assemblies.</t>
        </is>
      </c>
      <c r="L532" s="43" t="inlineStr">
        <is>
          <t>Expired</t>
        </is>
      </c>
      <c r="M532" s="43" t="inlineStr">
        <is>
          <t>68-104854-01</t>
        </is>
      </c>
      <c r="N532" s="43" t="inlineStr"/>
      <c r="O532" s="43" t="inlineStr">
        <is>
          <t>2026-06-24</t>
        </is>
      </c>
      <c r="P532" s="33" t="inlineStr">
        <is>
          <t>To temporarily use parts/materials that do not meet the specifications</t>
        </is>
      </c>
      <c r="Q532" s="43" t="inlineStr">
        <is>
          <t>No marking needed</t>
        </is>
      </c>
      <c r="R532" s="43" t="inlineStr">
        <is>
          <t>2026-03-27</t>
        </is>
      </c>
      <c r="S532" s="43" t="inlineStr">
        <is>
          <t>2026-04-17</t>
        </is>
      </c>
      <c r="T532" s="43" t="inlineStr"/>
      <c r="U532" s="43" t="inlineStr"/>
    </row>
    <row r="533">
      <c r="A533" s="43" t="n">
        <v>533</v>
      </c>
      <c r="B533" s="43" t="inlineStr">
        <is>
          <t>532</t>
        </is>
      </c>
      <c r="C533" s="43" t="inlineStr">
        <is>
          <t>FJZP</t>
        </is>
      </c>
      <c r="D533" s="43" t="inlineStr">
        <is>
          <t>Cisco</t>
        </is>
      </c>
      <c r="E533" s="43" t="inlineStr">
        <is>
          <t>MCGA</t>
        </is>
      </c>
      <c r="F533" s="43" t="inlineStr">
        <is>
          <t>035-CVEBU</t>
        </is>
      </c>
      <c r="G533" s="43" t="inlineStr">
        <is>
          <t>CTANJZ05167</t>
        </is>
      </c>
      <c r="H533" s="43" t="inlineStr">
        <is>
          <t>To temporarily use parts/materials that do not meet the specifications</t>
        </is>
      </c>
      <c r="I533" s="43" t="inlineStr">
        <is>
          <t>Customer Deviation</t>
        </is>
      </c>
      <c r="J533" s="43" t="inlineStr">
        <is>
          <t>D610433</t>
        </is>
      </c>
      <c r="K533" s="33" t="inlineStr">
        <is>
          <t>D610433 NPI; CVEBU; Tyne Pilot 1 Build; Use of ADI IPQ MPN under 15-110893-01Affected items68-104853-0168-104854-0173-103698-0673-103940-0615-110893-0124-101509-01Deviation- For Pilot 2 build at FJZ and onwords; FJZ is allowed    - and must use IPQ MPN ADV7537JBCZ-10 under 15-110893-01    - to use IPQ MPN RT1GSCMCS-RU under 24-101509-01 as long as only Lot Code D5900150005 or later lot codes are used.Comment:Author of this deviation does not know if Pilot 1 build will consists of both Radio and Non-Radio units; hence allowing usage in both assemblies.</t>
        </is>
      </c>
      <c r="L533" s="43" t="inlineStr">
        <is>
          <t>Expired</t>
        </is>
      </c>
      <c r="M533" s="43" t="inlineStr">
        <is>
          <t>73-103698-06</t>
        </is>
      </c>
      <c r="N533" s="43" t="inlineStr"/>
      <c r="O533" s="43" t="inlineStr">
        <is>
          <t>2026-06-24</t>
        </is>
      </c>
      <c r="P533" s="33" t="inlineStr">
        <is>
          <t>To temporarily use parts/materials that do not meet the specifications</t>
        </is>
      </c>
      <c r="Q533" s="43" t="inlineStr">
        <is>
          <t>No marking needed</t>
        </is>
      </c>
      <c r="R533" s="43" t="inlineStr">
        <is>
          <t>2026-03-27</t>
        </is>
      </c>
      <c r="S533" s="43" t="inlineStr">
        <is>
          <t>2026-04-17</t>
        </is>
      </c>
      <c r="T533" s="43" t="inlineStr"/>
      <c r="U533" s="43" t="inlineStr"/>
    </row>
    <row r="534">
      <c r="A534" s="43" t="n">
        <v>534</v>
      </c>
      <c r="B534" s="43" t="inlineStr">
        <is>
          <t>533</t>
        </is>
      </c>
      <c r="C534" s="43" t="inlineStr">
        <is>
          <t>FJZP</t>
        </is>
      </c>
      <c r="D534" s="43" t="inlineStr">
        <is>
          <t>Cisco</t>
        </is>
      </c>
      <c r="E534" s="43" t="inlineStr">
        <is>
          <t>MCGA</t>
        </is>
      </c>
      <c r="F534" s="43" t="inlineStr">
        <is>
          <t>035-CVEBU</t>
        </is>
      </c>
      <c r="G534" s="43" t="inlineStr">
        <is>
          <t>CTANJZ05167</t>
        </is>
      </c>
      <c r="H534" s="43" t="inlineStr">
        <is>
          <t>To temporarily use parts/materials that do not meet the specifications</t>
        </is>
      </c>
      <c r="I534" s="43" t="inlineStr">
        <is>
          <t>Customer Deviation</t>
        </is>
      </c>
      <c r="J534" s="43" t="inlineStr">
        <is>
          <t>D610433</t>
        </is>
      </c>
      <c r="K534" s="33" t="inlineStr">
        <is>
          <t>D610433 NPI; CVEBU; Tyne Pilot 1 Build; Use of ADI IPQ MPN under 15-110893-01Affected items68-104853-0168-104854-0173-103698-0673-103940-0615-110893-0124-101509-01Deviation- For Pilot 2 build at FJZ and onwords; FJZ is allowed    - and must use IPQ MPN ADV7537JBCZ-10 under 15-110893-01    - to use IPQ MPN RT1GSCMCS-RU under 24-101509-01 as long as only Lot Code D5900150005 or later lot codes are used.Comment:Author of this deviation does not know if Pilot 1 build will consists of both Radio and Non-Radio units; hence allowing usage in both assemblies.</t>
        </is>
      </c>
      <c r="L534" s="43" t="inlineStr">
        <is>
          <t>Expired</t>
        </is>
      </c>
      <c r="M534" s="43" t="inlineStr">
        <is>
          <t>73-103940-06</t>
        </is>
      </c>
      <c r="N534" s="43" t="inlineStr"/>
      <c r="O534" s="43" t="inlineStr">
        <is>
          <t>2026-06-24</t>
        </is>
      </c>
      <c r="P534" s="33" t="inlineStr">
        <is>
          <t>To temporarily use parts/materials that do not meet the specifications</t>
        </is>
      </c>
      <c r="Q534" s="43" t="inlineStr">
        <is>
          <t>No marking needed</t>
        </is>
      </c>
      <c r="R534" s="43" t="inlineStr">
        <is>
          <t>2026-03-27</t>
        </is>
      </c>
      <c r="S534" s="43" t="inlineStr">
        <is>
          <t>2026-04-17</t>
        </is>
      </c>
      <c r="T534" s="43" t="inlineStr"/>
      <c r="U534" s="43" t="inlineStr"/>
    </row>
    <row r="535">
      <c r="A535" s="43" t="n">
        <v>535</v>
      </c>
      <c r="B535" s="43" t="inlineStr">
        <is>
          <t>534</t>
        </is>
      </c>
      <c r="C535" s="43" t="inlineStr">
        <is>
          <t>FJZP</t>
        </is>
      </c>
      <c r="D535" s="43" t="inlineStr">
        <is>
          <t>Cisco</t>
        </is>
      </c>
      <c r="E535" s="43" t="inlineStr">
        <is>
          <t>MCGA</t>
        </is>
      </c>
      <c r="F535" s="43" t="inlineStr">
        <is>
          <t>035-CVEBU</t>
        </is>
      </c>
      <c r="G535" s="43" t="inlineStr">
        <is>
          <t>CTANJZ05167</t>
        </is>
      </c>
      <c r="H535" s="43" t="inlineStr">
        <is>
          <t>To temporarily use parts/materials that do not meet the specifications</t>
        </is>
      </c>
      <c r="I535" s="43" t="inlineStr">
        <is>
          <t>Customer Deviation</t>
        </is>
      </c>
      <c r="J535" s="43" t="inlineStr">
        <is>
          <t>D610433</t>
        </is>
      </c>
      <c r="K535" s="33" t="inlineStr">
        <is>
          <t>D610433 NPI; CVEBU; Tyne Pilot 1 Build; Use of ADI IPQ MPN under 15-110893-01Affected items68-104853-0168-104854-0173-103698-0673-103940-0615-110893-0124-101509-01Deviation- For Pilot 2 build at FJZ and onwords; FJZ is allowed    - and must use IPQ MPN ADV7537JBCZ-10 under 15-110893-01    - to use IPQ MPN RT1GSCMCS-RU under 24-101509-01 as long as only Lot Code D5900150005 or later lot codes are used.Comment:Author of this deviation does not know if Pilot 1 build will consists of both Radio and Non-Radio units; hence allowing usage in both assemblies.</t>
        </is>
      </c>
      <c r="L535" s="43" t="inlineStr">
        <is>
          <t>Expired</t>
        </is>
      </c>
      <c r="M535" s="43" t="inlineStr">
        <is>
          <t>800-113105-01</t>
        </is>
      </c>
      <c r="N535" s="43" t="inlineStr"/>
      <c r="O535" s="43" t="inlineStr">
        <is>
          <t>2026-06-24</t>
        </is>
      </c>
      <c r="P535" s="33" t="inlineStr">
        <is>
          <t>To temporarily use parts/materials that do not meet the specifications</t>
        </is>
      </c>
      <c r="Q535" s="43" t="inlineStr">
        <is>
          <t>No marking needed</t>
        </is>
      </c>
      <c r="R535" s="43" t="inlineStr">
        <is>
          <t>2026-03-27</t>
        </is>
      </c>
      <c r="S535" s="43" t="inlineStr">
        <is>
          <t>2026-04-17</t>
        </is>
      </c>
      <c r="T535" s="43" t="inlineStr"/>
      <c r="U535" s="43" t="inlineStr"/>
    </row>
    <row r="536">
      <c r="A536" s="43" t="n">
        <v>536</v>
      </c>
      <c r="B536" s="43" t="inlineStr">
        <is>
          <t>535</t>
        </is>
      </c>
      <c r="C536" s="43" t="inlineStr">
        <is>
          <t>FJZP</t>
        </is>
      </c>
      <c r="D536" s="43" t="inlineStr">
        <is>
          <t>Cisco</t>
        </is>
      </c>
      <c r="E536" s="43" t="inlineStr">
        <is>
          <t>MCGA</t>
        </is>
      </c>
      <c r="F536" s="43" t="inlineStr">
        <is>
          <t>035-CVEBU</t>
        </is>
      </c>
      <c r="G536" s="43" t="inlineStr">
        <is>
          <t>CTANJZ05167</t>
        </is>
      </c>
      <c r="H536" s="43" t="inlineStr">
        <is>
          <t>To temporarily use parts/materials that do not meet the specifications</t>
        </is>
      </c>
      <c r="I536" s="43" t="inlineStr">
        <is>
          <t>Customer Deviation</t>
        </is>
      </c>
      <c r="J536" s="43" t="inlineStr">
        <is>
          <t>D610433</t>
        </is>
      </c>
      <c r="K536" s="33" t="inlineStr">
        <is>
          <t>D610433 NPI; CVEBU; Tyne Pilot 1 Build; Use of ADI IPQ MPN under 15-110893-01Affected items68-104853-0168-104854-0173-103698-0673-103940-0615-110893-0124-101509-01Deviation- For Pilot 2 build at FJZ and onwords; FJZ is allowed    - and must use IPQ MPN ADV7537JBCZ-10 under 15-110893-01    - to use IPQ MPN RT1GSCMCS-RU under 24-101509-01 as long as only Lot Code D5900150005 or later lot codes are used.Comment:Author of this deviation does not know if Pilot 1 build will consists of both Radio and Non-Radio units; hence allowing usage in both assemblies.</t>
        </is>
      </c>
      <c r="L536" s="43" t="inlineStr">
        <is>
          <t>Expired</t>
        </is>
      </c>
      <c r="M536" s="43" t="inlineStr">
        <is>
          <t>800-113255-01</t>
        </is>
      </c>
      <c r="N536" s="43" t="inlineStr"/>
      <c r="O536" s="43" t="inlineStr">
        <is>
          <t>2026-06-24</t>
        </is>
      </c>
      <c r="P536" s="33" t="inlineStr">
        <is>
          <t>To temporarily use parts/materials that do not meet the specifications</t>
        </is>
      </c>
      <c r="Q536" s="43" t="inlineStr">
        <is>
          <t>No marking needed</t>
        </is>
      </c>
      <c r="R536" s="43" t="inlineStr">
        <is>
          <t>2026-03-27</t>
        </is>
      </c>
      <c r="S536" s="43" t="inlineStr">
        <is>
          <t>2026-04-17</t>
        </is>
      </c>
      <c r="T536" s="43" t="inlineStr"/>
      <c r="U536" s="43" t="inlineStr"/>
    </row>
    <row r="537">
      <c r="A537" s="43" t="n">
        <v>537</v>
      </c>
      <c r="B537" s="43" t="inlineStr">
        <is>
          <t>536</t>
        </is>
      </c>
      <c r="C537" s="43" t="inlineStr">
        <is>
          <t>FJZP</t>
        </is>
      </c>
      <c r="D537" s="43" t="inlineStr">
        <is>
          <t>Cisco</t>
        </is>
      </c>
      <c r="E537" s="43" t="inlineStr">
        <is>
          <t>MCGA</t>
        </is>
      </c>
      <c r="F537" s="43" t="inlineStr">
        <is>
          <t>035-CVEBU</t>
        </is>
      </c>
      <c r="G537" s="43" t="inlineStr">
        <is>
          <t>CTANJZ05108</t>
        </is>
      </c>
      <c r="H537" s="43" t="inlineStr">
        <is>
          <t>To temporarily use parts/materials that do not meet the specifications</t>
        </is>
      </c>
      <c r="I537" s="43" t="inlineStr">
        <is>
          <t>Customer Deviation</t>
        </is>
      </c>
      <c r="J537" s="43" t="inlineStr">
        <is>
          <t>D609649</t>
        </is>
      </c>
      <c r="K537" s="33" t="inlineStr">
        <is>
          <t>D609649 NPI; CVEBU; Tyne Pilot 1 Build; Use of Maglayer MPN under 24-101509-01 and Dev/REL fuse instruction.Affected items68-104853-0168-104854-0173-103698-0673-103940-0624-101509-01Deviation- For Pilot 1 build at FJZ; FJZ is allowed to use IPQ MPN RT1GSCMCS-RU under 24-101509-01 as long as only Lot Code D5900150005 or later lot codes are used.- The 75 Pilot 1 units to be shipped to Norway must be dev fused while the remaining 25 must be release fused.Comment:Author of this deviation does not know if Pilot 1 build will consists of both Radio and Non-Radio units; hence allowing use of Maglayer MPNs in both assemblies.</t>
        </is>
      </c>
      <c r="L537" s="43" t="inlineStr">
        <is>
          <t>Expired</t>
        </is>
      </c>
      <c r="M537" s="43" t="inlineStr">
        <is>
          <t>800-113255-01</t>
        </is>
      </c>
      <c r="N537" s="43" t="inlineStr"/>
      <c r="O537" s="43" t="inlineStr">
        <is>
          <t>2026-05-18</t>
        </is>
      </c>
      <c r="P537" s="33" t="inlineStr">
        <is>
          <t>To temporarily use parts/materials that do not meet the specifications</t>
        </is>
      </c>
      <c r="Q537" s="43" t="inlineStr">
        <is>
          <t>No marking required</t>
        </is>
      </c>
      <c r="R537" s="43" t="inlineStr">
        <is>
          <t>2026-02-24</t>
        </is>
      </c>
      <c r="S537" s="43" t="inlineStr">
        <is>
          <t>2026-03-03</t>
        </is>
      </c>
      <c r="T537" s="43" t="inlineStr"/>
      <c r="U537" s="43" t="inlineStr"/>
    </row>
    <row r="538">
      <c r="A538" s="43" t="n">
        <v>538</v>
      </c>
      <c r="B538" s="43" t="inlineStr">
        <is>
          <t>537</t>
        </is>
      </c>
      <c r="C538" s="43" t="inlineStr">
        <is>
          <t>FJZP</t>
        </is>
      </c>
      <c r="D538" s="43" t="inlineStr">
        <is>
          <t>Cisco</t>
        </is>
      </c>
      <c r="E538" s="43" t="inlineStr">
        <is>
          <t>MCGA</t>
        </is>
      </c>
      <c r="F538" s="43" t="inlineStr">
        <is>
          <t>035-CVEBU</t>
        </is>
      </c>
      <c r="G538" s="43" t="inlineStr">
        <is>
          <t>CTANJZ05234</t>
        </is>
      </c>
      <c r="H538" s="43" t="inlineStr">
        <is>
          <t>For temporary part/material substitution (EXTENDABLE)</t>
        </is>
      </c>
      <c r="I538" s="43" t="inlineStr">
        <is>
          <t>Customer Deviation</t>
        </is>
      </c>
      <c r="J538" s="43" t="inlineStr">
        <is>
          <t>D611192</t>
        </is>
      </c>
      <c r="K538" s="33" t="inlineStr">
        <is>
          <t>D611192 CVEBU;Taylor73-103720-04 PCA;TAYLOR HIGH MODULE WITH MICRON 16GB LPDDR5  73-103920-04 PCA;TAYLOR LOW MODULE WITH MICRON 16GB LPDDR5  In BOMs refdes M1_A; M1_B (2 pcs)15-110522-01 IC-DRAM-D;LPDDR5;64Gb(1Gx64bits);3200MHz(6400MT/s);0.5V NOM;-40 to 95 C;TFBGA;441P;8K CyclesQualified:  Micron  MT62F1G64D4EK-023 WT:C  (-25 to  85C)In case of shortage; the same part can be sourced from NVIDIA under the below listed CPN/MPN:74-142935-01 IC-DRAM-D;LPDDR5;64Gb(1Gx64bits);3200MHz(6400MT/s);0.5V NOM;-40 to 95 C;TFBGA;441P;8K CyclesIPQ: NVIDIA 161-0568-900 (Contains Micron MT62F1G64D4EK-023 WT:C)Ref. JF04378 which justifies this action by CVEBU directors</t>
        </is>
      </c>
      <c r="L538" s="43" t="inlineStr">
        <is>
          <t>Expired</t>
        </is>
      </c>
      <c r="M538" s="43" t="inlineStr">
        <is>
          <t>15-110522-01</t>
        </is>
      </c>
      <c r="N538" s="43" t="inlineStr"/>
      <c r="O538" s="43" t="inlineStr">
        <is>
          <t>2026-08-02</t>
        </is>
      </c>
      <c r="P538" s="33" t="inlineStr">
        <is>
          <t>For temporary part/material substitution (EXTENDABLE 2x)</t>
        </is>
      </c>
      <c r="Q538" s="43" t="inlineStr">
        <is>
          <t>No FFF change =&gt; No marking needed</t>
        </is>
      </c>
      <c r="R538" s="43" t="inlineStr">
        <is>
          <t>2026-05-06</t>
        </is>
      </c>
      <c r="S538" s="43" t="inlineStr">
        <is>
          <t>2026-05-15</t>
        </is>
      </c>
      <c r="T538" s="43" t="inlineStr"/>
      <c r="U538" s="43" t="inlineStr"/>
    </row>
    <row r="539">
      <c r="A539" s="43" t="n">
        <v>539</v>
      </c>
      <c r="B539" s="43" t="inlineStr">
        <is>
          <t>538</t>
        </is>
      </c>
      <c r="C539" s="43" t="inlineStr">
        <is>
          <t>FJZP</t>
        </is>
      </c>
      <c r="D539" s="43" t="inlineStr">
        <is>
          <t>Cisco</t>
        </is>
      </c>
      <c r="E539" s="43" t="inlineStr">
        <is>
          <t>MCGA</t>
        </is>
      </c>
      <c r="F539" s="43" t="inlineStr">
        <is>
          <t>035-CVEBU</t>
        </is>
      </c>
      <c r="G539" s="43" t="inlineStr">
        <is>
          <t>CTANJZ05234</t>
        </is>
      </c>
      <c r="H539" s="43" t="inlineStr">
        <is>
          <t>For temporary part/material substitution (EXTENDABLE)</t>
        </is>
      </c>
      <c r="I539" s="43" t="inlineStr">
        <is>
          <t>Customer Deviation</t>
        </is>
      </c>
      <c r="J539" s="43" t="inlineStr">
        <is>
          <t>D611192</t>
        </is>
      </c>
      <c r="K539" s="33" t="inlineStr">
        <is>
          <t>D611192 CVEBU;Taylor73-103720-04 PCA;TAYLOR HIGH MODULE WITH MICRON 16GB LPDDR5  73-103920-04 PCA;TAYLOR LOW MODULE WITH MICRON 16GB LPDDR5  In BOMs refdes M1_A; M1_B (2 pcs)15-110522-01 IC-DRAM-D;LPDDR5;64Gb(1Gx64bits);3200MHz(6400MT/s);0.5V NOM;-40 to 95 C;TFBGA;441P;8K CyclesQualified:  Micron  MT62F1G64D4EK-023 WT:C  (-25 to  85C)In case of shortage; the same part can be sourced from NVIDIA under the below listed CPN/MPN:74-142935-01 IC-DRAM-D;LPDDR5;64Gb(1Gx64bits);3200MHz(6400MT/s);0.5V NOM;-40 to 95 C;TFBGA;441P;8K CyclesIPQ: NVIDIA 161-0568-900 (Contains Micron MT62F1G64D4EK-023 WT:C)Ref. JF04378 which justifies this action by CVEBU directors</t>
        </is>
      </c>
      <c r="L539" s="43" t="inlineStr">
        <is>
          <t>Expired</t>
        </is>
      </c>
      <c r="M539" s="43" t="inlineStr">
        <is>
          <t>73-103720-04</t>
        </is>
      </c>
      <c r="N539" s="43" t="inlineStr"/>
      <c r="O539" s="43" t="inlineStr">
        <is>
          <t>2026-08-02</t>
        </is>
      </c>
      <c r="P539" s="33" t="inlineStr">
        <is>
          <t>For temporary part/material substitution (EXTENDABLE 2x)</t>
        </is>
      </c>
      <c r="Q539" s="43" t="inlineStr">
        <is>
          <t>No FFF change =&gt; No marking needed</t>
        </is>
      </c>
      <c r="R539" s="43" t="inlineStr">
        <is>
          <t>2026-05-06</t>
        </is>
      </c>
      <c r="S539" s="43" t="inlineStr">
        <is>
          <t>2026-05-15</t>
        </is>
      </c>
      <c r="T539" s="43" t="inlineStr"/>
      <c r="U539" s="43" t="inlineStr"/>
    </row>
    <row r="540">
      <c r="A540" s="43" t="n">
        <v>540</v>
      </c>
      <c r="B540" s="43" t="inlineStr">
        <is>
          <t>539</t>
        </is>
      </c>
      <c r="C540" s="43" t="inlineStr">
        <is>
          <t>FJZP</t>
        </is>
      </c>
      <c r="D540" s="43" t="inlineStr">
        <is>
          <t>Cisco</t>
        </is>
      </c>
      <c r="E540" s="43" t="inlineStr">
        <is>
          <t>MCGA</t>
        </is>
      </c>
      <c r="F540" s="43" t="inlineStr">
        <is>
          <t>035-CVEBU</t>
        </is>
      </c>
      <c r="G540" s="43" t="inlineStr">
        <is>
          <t>CTANJZ05234</t>
        </is>
      </c>
      <c r="H540" s="43" t="inlineStr">
        <is>
          <t>For temporary part/material substitution (EXTENDABLE)</t>
        </is>
      </c>
      <c r="I540" s="43" t="inlineStr">
        <is>
          <t>Customer Deviation</t>
        </is>
      </c>
      <c r="J540" s="43" t="inlineStr">
        <is>
          <t>D611192</t>
        </is>
      </c>
      <c r="K540" s="33" t="inlineStr">
        <is>
          <t>D611192 CVEBU;Taylor73-103720-04 PCA;TAYLOR HIGH MODULE WITH MICRON 16GB LPDDR5  73-103920-04 PCA;TAYLOR LOW MODULE WITH MICRON 16GB LPDDR5  In BOMs refdes M1_A; M1_B (2 pcs)15-110522-01 IC-DRAM-D;LPDDR5;64Gb(1Gx64bits);3200MHz(6400MT/s);0.5V NOM;-40 to 95 C;TFBGA;441P;8K CyclesQualified:  Micron  MT62F1G64D4EK-023 WT:C  (-25 to  85C)In case of shortage; the same part can be sourced from NVIDIA under the below listed CPN/MPN:74-142935-01 IC-DRAM-D;LPDDR5;64Gb(1Gx64bits);3200MHz(6400MT/s);0.5V NOM;-40 to 95 C;TFBGA;441P;8K CyclesIPQ: NVIDIA 161-0568-900 (Contains Micron MT62F1G64D4EK-023 WT:C)Ref. JF04378 which justifies this action by CVEBU directors</t>
        </is>
      </c>
      <c r="L540" s="43" t="inlineStr">
        <is>
          <t>Expired</t>
        </is>
      </c>
      <c r="M540" s="43" t="inlineStr">
        <is>
          <t>73-103920-04</t>
        </is>
      </c>
      <c r="N540" s="43" t="inlineStr"/>
      <c r="O540" s="43" t="inlineStr">
        <is>
          <t>2026-08-02</t>
        </is>
      </c>
      <c r="P540" s="33" t="inlineStr">
        <is>
          <t>For temporary part/material substitution (EXTENDABLE 2x)</t>
        </is>
      </c>
      <c r="Q540" s="43" t="inlineStr">
        <is>
          <t>No FFF change =&gt; No marking needed</t>
        </is>
      </c>
      <c r="R540" s="43" t="inlineStr">
        <is>
          <t>2026-05-06</t>
        </is>
      </c>
      <c r="S540" s="43" t="inlineStr">
        <is>
          <t>2026-05-15</t>
        </is>
      </c>
      <c r="T540" s="43" t="inlineStr"/>
      <c r="U540" s="43" t="inlineStr"/>
    </row>
    <row r="541">
      <c r="A541" s="43" t="n">
        <v>541</v>
      </c>
      <c r="B541" s="43" t="inlineStr">
        <is>
          <t>540</t>
        </is>
      </c>
      <c r="C541" s="43" t="inlineStr">
        <is>
          <t>FJZP</t>
        </is>
      </c>
      <c r="D541" s="43" t="inlineStr">
        <is>
          <t>Cisco</t>
        </is>
      </c>
      <c r="E541" s="43" t="inlineStr">
        <is>
          <t>MCGA</t>
        </is>
      </c>
      <c r="F541" s="43" t="inlineStr">
        <is>
          <t>035-CVEBU</t>
        </is>
      </c>
      <c r="G541" s="43" t="inlineStr">
        <is>
          <t>CTANJZ05237</t>
        </is>
      </c>
      <c r="H541" s="43" t="inlineStr">
        <is>
          <t>To temporarily use parts/materials that do not meet the specifications</t>
        </is>
      </c>
      <c r="I541" s="43" t="inlineStr">
        <is>
          <t>Customer Deviation</t>
        </is>
      </c>
      <c r="J541" s="43" t="inlineStr">
        <is>
          <t>D611227</t>
        </is>
      </c>
      <c r="K541" s="33" t="inlineStr">
        <is>
          <t>D611227 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D609115 which allowed 43.5k pcs old DC parts to be consumed.FOL is hereby allowed to use in total 2392 pcs LIFCL-17-7BG256C with old Date Codes CY2022.695 pcs with DC 9D2201; and 1697 pcs with DC 9D2218.Since solderability test was requested in D609115; and FVN is still consuming from the same batch of components; this deviation does not require an additional solderability test rerport.</t>
        </is>
      </c>
      <c r="L541" s="43" t="inlineStr">
        <is>
          <t>Expired</t>
        </is>
      </c>
      <c r="M541" s="43" t="inlineStr">
        <is>
          <t>16-101838-01</t>
        </is>
      </c>
      <c r="N541" s="43" t="inlineStr"/>
      <c r="O541" s="43" t="inlineStr">
        <is>
          <t>2026-08-06</t>
        </is>
      </c>
      <c r="P541" s="33" t="inlineStr">
        <is>
          <t>To temporarily use parts/materials that do not meet the specifications</t>
        </is>
      </c>
      <c r="Q541" s="43" t="inlineStr">
        <is>
          <t>No FFF change =&gt; No marking needed</t>
        </is>
      </c>
      <c r="R541" s="43" t="inlineStr">
        <is>
          <t>2026-05-09</t>
        </is>
      </c>
      <c r="S541" s="43" t="inlineStr">
        <is>
          <t>2026-05-22</t>
        </is>
      </c>
      <c r="T541" s="43" t="inlineStr"/>
      <c r="U541" s="43" t="inlineStr"/>
    </row>
    <row r="542">
      <c r="A542" s="43" t="n">
        <v>542</v>
      </c>
      <c r="B542" s="43" t="inlineStr">
        <is>
          <t>541</t>
        </is>
      </c>
      <c r="C542" s="43" t="inlineStr">
        <is>
          <t>FJZP</t>
        </is>
      </c>
      <c r="D542" s="43" t="inlineStr">
        <is>
          <t>Cisco</t>
        </is>
      </c>
      <c r="E542" s="43" t="inlineStr">
        <is>
          <t>MCGA</t>
        </is>
      </c>
      <c r="F542" s="43" t="inlineStr">
        <is>
          <t>035-CVEBU</t>
        </is>
      </c>
      <c r="G542" s="43" t="inlineStr">
        <is>
          <t>CTANJZ05237</t>
        </is>
      </c>
      <c r="H542" s="43" t="inlineStr">
        <is>
          <t>To temporarily use parts/materials that do not meet the specifications</t>
        </is>
      </c>
      <c r="I542" s="43" t="inlineStr">
        <is>
          <t>Customer Deviation</t>
        </is>
      </c>
      <c r="J542" s="43" t="inlineStr">
        <is>
          <t>D611227</t>
        </is>
      </c>
      <c r="K542" s="33" t="inlineStr">
        <is>
          <t>D611227 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D609115 which allowed 43.5k pcs old DC parts to be consumed.FOL is hereby allowed to use in total 2392 pcs LIFCL-17-7BG256C with old Date Codes CY2022.695 pcs with DC 9D2201; and 1697 pcs with DC 9D2218.Since solderability test was requested in D609115; and FVN is still consuming from the same batch of components; this deviation does not require an additional solderability test rerport.</t>
        </is>
      </c>
      <c r="L542" s="43" t="inlineStr">
        <is>
          <t>Expired</t>
        </is>
      </c>
      <c r="M542" s="43" t="inlineStr">
        <is>
          <t>73-102022-02</t>
        </is>
      </c>
      <c r="N542" s="43" t="inlineStr"/>
      <c r="O542" s="43" t="inlineStr">
        <is>
          <t>2026-08-06</t>
        </is>
      </c>
      <c r="P542" s="33" t="inlineStr">
        <is>
          <t>To temporarily use parts/materials that do not meet the specifications</t>
        </is>
      </c>
      <c r="Q542" s="43" t="inlineStr">
        <is>
          <t>No FFF change =&gt; No marking needed</t>
        </is>
      </c>
      <c r="R542" s="43" t="inlineStr">
        <is>
          <t>2026-05-09</t>
        </is>
      </c>
      <c r="S542" s="43" t="inlineStr">
        <is>
          <t>2026-05-22</t>
        </is>
      </c>
      <c r="T542" s="43" t="inlineStr"/>
      <c r="U542" s="43" t="inlineStr"/>
    </row>
    <row r="543">
      <c r="A543" s="43" t="n">
        <v>543</v>
      </c>
      <c r="B543" s="43" t="inlineStr">
        <is>
          <t>542</t>
        </is>
      </c>
      <c r="C543" s="43" t="inlineStr">
        <is>
          <t>FJZP</t>
        </is>
      </c>
      <c r="D543" s="43" t="inlineStr">
        <is>
          <t>Cisco</t>
        </is>
      </c>
      <c r="E543" s="43" t="inlineStr">
        <is>
          <t>MCGA</t>
        </is>
      </c>
      <c r="F543" s="43" t="inlineStr">
        <is>
          <t>035-CVEBU</t>
        </is>
      </c>
      <c r="G543" s="43" t="inlineStr">
        <is>
          <t>CTANJZ05237</t>
        </is>
      </c>
      <c r="H543" s="43" t="inlineStr">
        <is>
          <t>To temporarily use parts/materials that do not meet the specifications</t>
        </is>
      </c>
      <c r="I543" s="43" t="inlineStr">
        <is>
          <t>Customer Deviation</t>
        </is>
      </c>
      <c r="J543" s="43" t="inlineStr">
        <is>
          <t>D611227</t>
        </is>
      </c>
      <c r="K543" s="33" t="inlineStr">
        <is>
          <t>D611227 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D609115 which allowed 43.5k pcs old DC parts to be consumed.FOL is hereby allowed to use in total 2392 pcs LIFCL-17-7BG256C with old Date Codes CY2022.695 pcs with DC 9D2201; and 1697 pcs with DC 9D2218.Since solderability test was requested in D609115; and FVN is still consuming from the same batch of components; this deviation does not require an additional solderability test rerport.</t>
        </is>
      </c>
      <c r="L543" s="43" t="inlineStr">
        <is>
          <t>Expired</t>
        </is>
      </c>
      <c r="M543" s="43" t="inlineStr">
        <is>
          <t>73-102197-02</t>
        </is>
      </c>
      <c r="N543" s="43" t="inlineStr"/>
      <c r="O543" s="43" t="inlineStr">
        <is>
          <t>2026-08-06</t>
        </is>
      </c>
      <c r="P543" s="33" t="inlineStr">
        <is>
          <t>To temporarily use parts/materials that do not meet the specifications</t>
        </is>
      </c>
      <c r="Q543" s="43" t="inlineStr">
        <is>
          <t>No FFF change =&gt; No marking needed</t>
        </is>
      </c>
      <c r="R543" s="43" t="inlineStr">
        <is>
          <t>2026-05-09</t>
        </is>
      </c>
      <c r="S543" s="43" t="inlineStr">
        <is>
          <t>2026-05-22</t>
        </is>
      </c>
      <c r="T543" s="43" t="inlineStr"/>
      <c r="U543" s="43" t="inlineStr"/>
    </row>
    <row r="544">
      <c r="A544" s="43" t="n">
        <v>544</v>
      </c>
      <c r="B544" s="43" t="inlineStr">
        <is>
          <t>543</t>
        </is>
      </c>
      <c r="C544" s="43" t="inlineStr">
        <is>
          <t>FJZP</t>
        </is>
      </c>
      <c r="D544" s="43" t="inlineStr">
        <is>
          <t>Cisco</t>
        </is>
      </c>
      <c r="E544" s="43" t="inlineStr">
        <is>
          <t>MCGA</t>
        </is>
      </c>
      <c r="F544" s="43" t="inlineStr">
        <is>
          <t>035-CVEBU</t>
        </is>
      </c>
      <c r="G544" s="43" t="inlineStr">
        <is>
          <t>CTANJZ05237</t>
        </is>
      </c>
      <c r="H544" s="43" t="inlineStr">
        <is>
          <t>To temporarily use parts/materials that do not meet the specifications</t>
        </is>
      </c>
      <c r="I544" s="43" t="inlineStr">
        <is>
          <t>Customer Deviation</t>
        </is>
      </c>
      <c r="J544" s="43" t="inlineStr">
        <is>
          <t>D611227</t>
        </is>
      </c>
      <c r="K544" s="33" t="inlineStr">
        <is>
          <t>D611227 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D609115 which allowed 43.5k pcs old DC parts to be consumed.FOL is hereby allowed to use in total 2392 pcs LIFCL-17-7BG256C with old Date Codes CY2022.695 pcs with DC 9D2201; and 1697 pcs with DC 9D2218.Since solderability test was requested in D609115; and FVN is still consuming from the same batch of components; this deviation does not require an additional solderability test rerport.</t>
        </is>
      </c>
      <c r="L544" s="43" t="inlineStr">
        <is>
          <t>Expired</t>
        </is>
      </c>
      <c r="M544" s="43" t="inlineStr">
        <is>
          <t>73-102226-06</t>
        </is>
      </c>
      <c r="N544" s="43" t="inlineStr"/>
      <c r="O544" s="43" t="inlineStr">
        <is>
          <t>2026-08-06</t>
        </is>
      </c>
      <c r="P544" s="33" t="inlineStr">
        <is>
          <t>To temporarily use parts/materials that do not meet the specifications</t>
        </is>
      </c>
      <c r="Q544" s="43" t="inlineStr">
        <is>
          <t>No FFF change =&gt; No marking needed</t>
        </is>
      </c>
      <c r="R544" s="43" t="inlineStr">
        <is>
          <t>2026-05-09</t>
        </is>
      </c>
      <c r="S544" s="43" t="inlineStr">
        <is>
          <t>2026-05-22</t>
        </is>
      </c>
      <c r="T544" s="43" t="inlineStr"/>
      <c r="U544" s="43" t="inlineStr"/>
    </row>
    <row r="545">
      <c r="A545" s="43" t="n">
        <v>545</v>
      </c>
      <c r="B545" s="43" t="inlineStr">
        <is>
          <t>544</t>
        </is>
      </c>
      <c r="C545" s="43" t="inlineStr">
        <is>
          <t>FJZP</t>
        </is>
      </c>
      <c r="D545" s="43" t="inlineStr">
        <is>
          <t>Cisco</t>
        </is>
      </c>
      <c r="E545" s="43" t="inlineStr">
        <is>
          <t>MCGA</t>
        </is>
      </c>
      <c r="F545" s="43" t="inlineStr">
        <is>
          <t>035-CVEBU</t>
        </is>
      </c>
      <c r="G545" s="43" t="inlineStr">
        <is>
          <t>CTANJZ05237</t>
        </is>
      </c>
      <c r="H545" s="43" t="inlineStr">
        <is>
          <t>To temporarily use parts/materials that do not meet the specifications</t>
        </is>
      </c>
      <c r="I545" s="43" t="inlineStr">
        <is>
          <t>Customer Deviation</t>
        </is>
      </c>
      <c r="J545" s="43" t="inlineStr">
        <is>
          <t>D611227</t>
        </is>
      </c>
      <c r="K545" s="33" t="inlineStr">
        <is>
          <t>D611227 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D609115 which allowed 43.5k pcs old DC parts to be consumed.FOL is hereby allowed to use in total 2392 pcs LIFCL-17-7BG256C with old Date Codes CY2022.695 pcs with DC 9D2201; and 1697 pcs with DC 9D2218.Since solderability test was requested in D609115; and FVN is still consuming from the same batch of components; this deviation does not require an additional solderability test rerport.</t>
        </is>
      </c>
      <c r="L545" s="43" t="inlineStr">
        <is>
          <t>Expired</t>
        </is>
      </c>
      <c r="M545" s="43" t="inlineStr">
        <is>
          <t>73-102797-02</t>
        </is>
      </c>
      <c r="N545" s="43" t="inlineStr"/>
      <c r="O545" s="43" t="inlineStr">
        <is>
          <t>2026-08-06</t>
        </is>
      </c>
      <c r="P545" s="33" t="inlineStr">
        <is>
          <t>To temporarily use parts/materials that do not meet the specifications</t>
        </is>
      </c>
      <c r="Q545" s="43" t="inlineStr">
        <is>
          <t>No FFF change =&gt; No marking needed</t>
        </is>
      </c>
      <c r="R545" s="43" t="inlineStr">
        <is>
          <t>2026-05-09</t>
        </is>
      </c>
      <c r="S545" s="43" t="inlineStr">
        <is>
          <t>2026-05-22</t>
        </is>
      </c>
      <c r="T545" s="43" t="inlineStr"/>
      <c r="U545" s="43" t="inlineStr"/>
    </row>
    <row r="546">
      <c r="A546" s="43" t="n">
        <v>546</v>
      </c>
      <c r="B546" s="43" t="inlineStr">
        <is>
          <t>545</t>
        </is>
      </c>
      <c r="C546" s="43" t="inlineStr">
        <is>
          <t>FJZP</t>
        </is>
      </c>
      <c r="D546" s="43" t="inlineStr">
        <is>
          <t>Cisco</t>
        </is>
      </c>
      <c r="E546" s="43" t="inlineStr">
        <is>
          <t>MCGA</t>
        </is>
      </c>
      <c r="F546" s="43" t="inlineStr">
        <is>
          <t>035-CVEBU</t>
        </is>
      </c>
      <c r="G546" s="43" t="inlineStr">
        <is>
          <t>CTANJZ05237</t>
        </is>
      </c>
      <c r="H546" s="43" t="inlineStr">
        <is>
          <t>To temporarily use parts/materials that do not meet the specifications</t>
        </is>
      </c>
      <c r="I546" s="43" t="inlineStr">
        <is>
          <t>Customer Deviation</t>
        </is>
      </c>
      <c r="J546" s="43" t="inlineStr">
        <is>
          <t>D611227</t>
        </is>
      </c>
      <c r="K546" s="33" t="inlineStr">
        <is>
          <t>D611227 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D609115 which allowed 43.5k pcs old DC parts to be consumed.FOL is hereby allowed to use in total 2392 pcs LIFCL-17-7BG256C with old Date Codes CY2022.695 pcs with DC 9D2201; and 1697 pcs with DC 9D2218.Since solderability test was requested in D609115; and FVN is still consuming from the same batch of components; this deviation does not require an additional solderability test rerport.</t>
        </is>
      </c>
      <c r="L546" s="43" t="inlineStr">
        <is>
          <t>Expired</t>
        </is>
      </c>
      <c r="M546" s="43" t="inlineStr">
        <is>
          <t>73-103226-06</t>
        </is>
      </c>
      <c r="N546" s="43" t="inlineStr"/>
      <c r="O546" s="43" t="inlineStr">
        <is>
          <t>2026-08-06</t>
        </is>
      </c>
      <c r="P546" s="33" t="inlineStr">
        <is>
          <t>To temporarily use parts/materials that do not meet the specifications</t>
        </is>
      </c>
      <c r="Q546" s="43" t="inlineStr">
        <is>
          <t>No FFF change =&gt; No marking needed</t>
        </is>
      </c>
      <c r="R546" s="43" t="inlineStr">
        <is>
          <t>2026-05-09</t>
        </is>
      </c>
      <c r="S546" s="43" t="inlineStr">
        <is>
          <t>2026-05-22</t>
        </is>
      </c>
      <c r="T546" s="43" t="inlineStr"/>
      <c r="U546" s="43" t="inlineStr"/>
    </row>
    <row r="547">
      <c r="A547" s="43" t="n">
        <v>547</v>
      </c>
      <c r="B547" s="43" t="inlineStr">
        <is>
          <t>546</t>
        </is>
      </c>
      <c r="C547" s="43" t="inlineStr">
        <is>
          <t>FJZP</t>
        </is>
      </c>
      <c r="D547" s="43" t="inlineStr">
        <is>
          <t>Cisco</t>
        </is>
      </c>
      <c r="E547" s="43" t="inlineStr">
        <is>
          <t>MCGA</t>
        </is>
      </c>
      <c r="F547" s="43" t="inlineStr">
        <is>
          <t>035-CVEBU</t>
        </is>
      </c>
      <c r="G547" s="43" t="inlineStr">
        <is>
          <t>CTANJZ05237</t>
        </is>
      </c>
      <c r="H547" s="43" t="inlineStr">
        <is>
          <t>To temporarily use parts/materials that do not meet the specifications</t>
        </is>
      </c>
      <c r="I547" s="43" t="inlineStr">
        <is>
          <t>Customer Deviation</t>
        </is>
      </c>
      <c r="J547" s="43" t="inlineStr">
        <is>
          <t>D611227</t>
        </is>
      </c>
      <c r="K547" s="33" t="inlineStr">
        <is>
          <t>D611227 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D609115 which allowed 43.5k pcs old DC parts to be consumed.FOL is hereby allowed to use in total 2392 pcs LIFCL-17-7BG256C with old Date Codes CY2022.695 pcs with DC 9D2201; and 1697 pcs with DC 9D2218.Since solderability test was requested in D609115; and FVN is still consuming from the same batch of components; this deviation does not require an additional solderability test rerport.</t>
        </is>
      </c>
      <c r="L547" s="43" t="inlineStr">
        <is>
          <t>Expired</t>
        </is>
      </c>
      <c r="M547" s="43" t="inlineStr">
        <is>
          <t>73-104022-01</t>
        </is>
      </c>
      <c r="N547" s="43" t="inlineStr"/>
      <c r="O547" s="43" t="inlineStr">
        <is>
          <t>2026-08-06</t>
        </is>
      </c>
      <c r="P547" s="33" t="inlineStr">
        <is>
          <t>To temporarily use parts/materials that do not meet the specifications</t>
        </is>
      </c>
      <c r="Q547" s="43" t="inlineStr">
        <is>
          <t>No FFF change =&gt; No marking needed</t>
        </is>
      </c>
      <c r="R547" s="43" t="inlineStr">
        <is>
          <t>2026-05-09</t>
        </is>
      </c>
      <c r="S547" s="43" t="inlineStr">
        <is>
          <t>2026-05-22</t>
        </is>
      </c>
      <c r="T547" s="43" t="inlineStr"/>
      <c r="U547" s="43" t="inlineStr"/>
    </row>
    <row r="548">
      <c r="A548" s="43" t="n">
        <v>548</v>
      </c>
      <c r="B548" s="43" t="inlineStr">
        <is>
          <t>547</t>
        </is>
      </c>
      <c r="C548" s="43" t="inlineStr">
        <is>
          <t>FJZP</t>
        </is>
      </c>
      <c r="D548" s="43" t="inlineStr">
        <is>
          <t>Cisco</t>
        </is>
      </c>
      <c r="E548" s="43" t="inlineStr">
        <is>
          <t>MCGA</t>
        </is>
      </c>
      <c r="F548" s="43" t="inlineStr">
        <is>
          <t>035-CVEBU</t>
        </is>
      </c>
      <c r="G548" s="43" t="inlineStr">
        <is>
          <t>CTANJZ05302</t>
        </is>
      </c>
      <c r="H548" s="43" t="inlineStr">
        <is>
          <t>For temporary part/material substitution (EXTENDABLE)</t>
        </is>
      </c>
      <c r="I548" s="43" t="inlineStr">
        <is>
          <t>Customer Deviation</t>
        </is>
      </c>
      <c r="J548" s="43" t="inlineStr">
        <is>
          <t>D611944</t>
        </is>
      </c>
      <c r="K548"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48" s="43" t="inlineStr">
        <is>
          <t>Expired</t>
        </is>
      </c>
      <c r="M548" s="43" t="inlineStr">
        <is>
          <t>15-107243-01</t>
        </is>
      </c>
      <c r="N548" s="43" t="inlineStr"/>
      <c r="O548" s="43" t="inlineStr">
        <is>
          <t>2026-09-16</t>
        </is>
      </c>
      <c r="P548" s="33" t="inlineStr">
        <is>
          <t>For temporary part/material substitution (EXTENDABLE 2x)</t>
        </is>
      </c>
      <c r="Q548" s="43" t="inlineStr">
        <is>
          <t>No FFF = &gt; No marking needed</t>
        </is>
      </c>
      <c r="R548" s="43" t="inlineStr">
        <is>
          <t>2026-06-20</t>
        </is>
      </c>
      <c r="S548" s="43" t="inlineStr">
        <is>
          <t>2026-06-30</t>
        </is>
      </c>
      <c r="T548" s="43" t="inlineStr"/>
      <c r="U548" s="43" t="inlineStr"/>
    </row>
    <row r="549">
      <c r="A549" s="43" t="n">
        <v>549</v>
      </c>
      <c r="B549" s="43" t="inlineStr">
        <is>
          <t>548</t>
        </is>
      </c>
      <c r="C549" s="43" t="inlineStr">
        <is>
          <t>FJZP</t>
        </is>
      </c>
      <c r="D549" s="43" t="inlineStr">
        <is>
          <t>Cisco</t>
        </is>
      </c>
      <c r="E549" s="43" t="inlineStr">
        <is>
          <t>MCGA</t>
        </is>
      </c>
      <c r="F549" s="43" t="inlineStr">
        <is>
          <t>035-CVEBU</t>
        </is>
      </c>
      <c r="G549" s="43" t="inlineStr">
        <is>
          <t>CTANJZ05302</t>
        </is>
      </c>
      <c r="H549" s="43" t="inlineStr">
        <is>
          <t>For temporary part/material substitution (EXTENDABLE)</t>
        </is>
      </c>
      <c r="I549" s="43" t="inlineStr">
        <is>
          <t>Customer Deviation</t>
        </is>
      </c>
      <c r="J549" s="43" t="inlineStr">
        <is>
          <t>D611944</t>
        </is>
      </c>
      <c r="K549"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49" s="43" t="inlineStr">
        <is>
          <t>Expired</t>
        </is>
      </c>
      <c r="M549" s="43" t="inlineStr">
        <is>
          <t>73-102022-02</t>
        </is>
      </c>
      <c r="N549" s="43" t="inlineStr"/>
      <c r="O549" s="43" t="inlineStr">
        <is>
          <t>2026-09-16</t>
        </is>
      </c>
      <c r="P549" s="33" t="inlineStr">
        <is>
          <t>For temporary part/material substitution (EXTENDABLE 2x)</t>
        </is>
      </c>
      <c r="Q549" s="43" t="inlineStr">
        <is>
          <t>No FFF = &gt; No marking needed</t>
        </is>
      </c>
      <c r="R549" s="43" t="inlineStr">
        <is>
          <t>2026-06-20</t>
        </is>
      </c>
      <c r="S549" s="43" t="inlineStr">
        <is>
          <t>2026-06-30</t>
        </is>
      </c>
      <c r="T549" s="43" t="inlineStr"/>
      <c r="U549" s="43" t="inlineStr"/>
    </row>
    <row r="550">
      <c r="A550" s="43" t="n">
        <v>550</v>
      </c>
      <c r="B550" s="43" t="inlineStr">
        <is>
          <t>549</t>
        </is>
      </c>
      <c r="C550" s="43" t="inlineStr">
        <is>
          <t>FJZP</t>
        </is>
      </c>
      <c r="D550" s="43" t="inlineStr">
        <is>
          <t>Cisco</t>
        </is>
      </c>
      <c r="E550" s="43" t="inlineStr">
        <is>
          <t>MCGA</t>
        </is>
      </c>
      <c r="F550" s="43" t="inlineStr">
        <is>
          <t>035-CVEBU</t>
        </is>
      </c>
      <c r="G550" s="43" t="inlineStr">
        <is>
          <t>CTANJZ05302</t>
        </is>
      </c>
      <c r="H550" s="43" t="inlineStr">
        <is>
          <t>For temporary part/material substitution (EXTENDABLE)</t>
        </is>
      </c>
      <c r="I550" s="43" t="inlineStr">
        <is>
          <t>Customer Deviation</t>
        </is>
      </c>
      <c r="J550" s="43" t="inlineStr">
        <is>
          <t>D611944</t>
        </is>
      </c>
      <c r="K550"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50" s="43" t="inlineStr">
        <is>
          <t>Expired</t>
        </is>
      </c>
      <c r="M550" s="43" t="inlineStr">
        <is>
          <t>73-102121-01</t>
        </is>
      </c>
      <c r="N550" s="43" t="inlineStr"/>
      <c r="O550" s="43" t="inlineStr">
        <is>
          <t>2026-09-16</t>
        </is>
      </c>
      <c r="P550" s="33" t="inlineStr">
        <is>
          <t>For temporary part/material substitution (EXTENDABLE 2x)</t>
        </is>
      </c>
      <c r="Q550" s="43" t="inlineStr">
        <is>
          <t>No FFF = &gt; No marking needed</t>
        </is>
      </c>
      <c r="R550" s="43" t="inlineStr">
        <is>
          <t>2026-06-20</t>
        </is>
      </c>
      <c r="S550" s="43" t="inlineStr">
        <is>
          <t>2026-06-30</t>
        </is>
      </c>
      <c r="T550" s="43" t="inlineStr"/>
      <c r="U550" s="43" t="inlineStr"/>
    </row>
    <row r="551">
      <c r="A551" s="43" t="n">
        <v>551</v>
      </c>
      <c r="B551" s="43" t="inlineStr">
        <is>
          <t>550</t>
        </is>
      </c>
      <c r="C551" s="43" t="inlineStr">
        <is>
          <t>FJZP</t>
        </is>
      </c>
      <c r="D551" s="43" t="inlineStr">
        <is>
          <t>Cisco</t>
        </is>
      </c>
      <c r="E551" s="43" t="inlineStr">
        <is>
          <t>MCGA</t>
        </is>
      </c>
      <c r="F551" s="43" t="inlineStr">
        <is>
          <t>035-CVEBU</t>
        </is>
      </c>
      <c r="G551" s="43" t="inlineStr">
        <is>
          <t>CTANJZ05302</t>
        </is>
      </c>
      <c r="H551" s="43" t="inlineStr">
        <is>
          <t>For temporary part/material substitution (EXTENDABLE)</t>
        </is>
      </c>
      <c r="I551" s="43" t="inlineStr">
        <is>
          <t>Customer Deviation</t>
        </is>
      </c>
      <c r="J551" s="43" t="inlineStr">
        <is>
          <t>D611944</t>
        </is>
      </c>
      <c r="K551"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51" s="43" t="inlineStr">
        <is>
          <t>Expired</t>
        </is>
      </c>
      <c r="M551" s="43" t="inlineStr">
        <is>
          <t>73-102197-02</t>
        </is>
      </c>
      <c r="N551" s="43" t="inlineStr"/>
      <c r="O551" s="43" t="inlineStr">
        <is>
          <t>2026-09-16</t>
        </is>
      </c>
      <c r="P551" s="33" t="inlineStr">
        <is>
          <t>For temporary part/material substitution (EXTENDABLE 2x)</t>
        </is>
      </c>
      <c r="Q551" s="43" t="inlineStr">
        <is>
          <t>No FFF = &gt; No marking needed</t>
        </is>
      </c>
      <c r="R551" s="43" t="inlineStr">
        <is>
          <t>2026-06-20</t>
        </is>
      </c>
      <c r="S551" s="43" t="inlineStr">
        <is>
          <t>2026-06-30</t>
        </is>
      </c>
      <c r="T551" s="43" t="inlineStr"/>
      <c r="U551" s="43" t="inlineStr"/>
    </row>
    <row r="552">
      <c r="A552" s="43" t="n">
        <v>552</v>
      </c>
      <c r="B552" s="43" t="inlineStr">
        <is>
          <t>551</t>
        </is>
      </c>
      <c r="C552" s="43" t="inlineStr">
        <is>
          <t>FJZP</t>
        </is>
      </c>
      <c r="D552" s="43" t="inlineStr">
        <is>
          <t>Cisco</t>
        </is>
      </c>
      <c r="E552" s="43" t="inlineStr">
        <is>
          <t>MCGA</t>
        </is>
      </c>
      <c r="F552" s="43" t="inlineStr">
        <is>
          <t>035-CVEBU</t>
        </is>
      </c>
      <c r="G552" s="43" t="inlineStr">
        <is>
          <t>CTANJZ05302</t>
        </is>
      </c>
      <c r="H552" s="43" t="inlineStr">
        <is>
          <t>For temporary part/material substitution (EXTENDABLE)</t>
        </is>
      </c>
      <c r="I552" s="43" t="inlineStr">
        <is>
          <t>Customer Deviation</t>
        </is>
      </c>
      <c r="J552" s="43" t="inlineStr">
        <is>
          <t>D611944</t>
        </is>
      </c>
      <c r="K552"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52" s="43" t="inlineStr">
        <is>
          <t>Expired</t>
        </is>
      </c>
      <c r="M552" s="43" t="inlineStr">
        <is>
          <t>73-102226-06</t>
        </is>
      </c>
      <c r="N552" s="43" t="inlineStr"/>
      <c r="O552" s="43" t="inlineStr">
        <is>
          <t>2026-09-16</t>
        </is>
      </c>
      <c r="P552" s="33" t="inlineStr">
        <is>
          <t>For temporary part/material substitution (EXTENDABLE 2x)</t>
        </is>
      </c>
      <c r="Q552" s="43" t="inlineStr">
        <is>
          <t>No FFF = &gt; No marking needed</t>
        </is>
      </c>
      <c r="R552" s="43" t="inlineStr">
        <is>
          <t>2026-06-20</t>
        </is>
      </c>
      <c r="S552" s="43" t="inlineStr">
        <is>
          <t>2026-06-30</t>
        </is>
      </c>
      <c r="T552" s="43" t="inlineStr"/>
      <c r="U552" s="43" t="inlineStr"/>
    </row>
    <row r="553">
      <c r="A553" s="43" t="n">
        <v>553</v>
      </c>
      <c r="B553" s="43" t="inlineStr">
        <is>
          <t>552</t>
        </is>
      </c>
      <c r="C553" s="43" t="inlineStr">
        <is>
          <t>FJZP</t>
        </is>
      </c>
      <c r="D553" s="43" t="inlineStr">
        <is>
          <t>Cisco</t>
        </is>
      </c>
      <c r="E553" s="43" t="inlineStr">
        <is>
          <t>MCGA</t>
        </is>
      </c>
      <c r="F553" s="43" t="inlineStr">
        <is>
          <t>035-CVEBU</t>
        </is>
      </c>
      <c r="G553" s="43" t="inlineStr">
        <is>
          <t>CTANJZ05302</t>
        </is>
      </c>
      <c r="H553" s="43" t="inlineStr">
        <is>
          <t>For temporary part/material substitution (EXTENDABLE)</t>
        </is>
      </c>
      <c r="I553" s="43" t="inlineStr">
        <is>
          <t>Customer Deviation</t>
        </is>
      </c>
      <c r="J553" s="43" t="inlineStr">
        <is>
          <t>D611944</t>
        </is>
      </c>
      <c r="K553"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53" s="43" t="inlineStr">
        <is>
          <t>Expired</t>
        </is>
      </c>
      <c r="M553" s="43" t="inlineStr">
        <is>
          <t>73-102797-02</t>
        </is>
      </c>
      <c r="N553" s="43" t="inlineStr"/>
      <c r="O553" s="43" t="inlineStr">
        <is>
          <t>2026-09-16</t>
        </is>
      </c>
      <c r="P553" s="33" t="inlineStr">
        <is>
          <t>For temporary part/material substitution (EXTENDABLE 2x)</t>
        </is>
      </c>
      <c r="Q553" s="43" t="inlineStr">
        <is>
          <t>No FFF = &gt; No marking needed</t>
        </is>
      </c>
      <c r="R553" s="43" t="inlineStr">
        <is>
          <t>2026-06-20</t>
        </is>
      </c>
      <c r="S553" s="43" t="inlineStr">
        <is>
          <t>2026-06-30</t>
        </is>
      </c>
      <c r="T553" s="43" t="inlineStr"/>
      <c r="U553" s="43" t="inlineStr"/>
    </row>
    <row r="554">
      <c r="A554" s="43" t="n">
        <v>554</v>
      </c>
      <c r="B554" s="43" t="inlineStr">
        <is>
          <t>553</t>
        </is>
      </c>
      <c r="C554" s="43" t="inlineStr">
        <is>
          <t>FJZP</t>
        </is>
      </c>
      <c r="D554" s="43" t="inlineStr">
        <is>
          <t>Cisco</t>
        </is>
      </c>
      <c r="E554" s="43" t="inlineStr">
        <is>
          <t>MCGA</t>
        </is>
      </c>
      <c r="F554" s="43" t="inlineStr">
        <is>
          <t>035-CVEBU</t>
        </is>
      </c>
      <c r="G554" s="43" t="inlineStr">
        <is>
          <t>CTANJZ05302</t>
        </is>
      </c>
      <c r="H554" s="43" t="inlineStr">
        <is>
          <t>For temporary part/material substitution (EXTENDABLE)</t>
        </is>
      </c>
      <c r="I554" s="43" t="inlineStr">
        <is>
          <t>Customer Deviation</t>
        </is>
      </c>
      <c r="J554" s="43" t="inlineStr">
        <is>
          <t>D611944</t>
        </is>
      </c>
      <c r="K554"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54" s="43" t="inlineStr">
        <is>
          <t>Expired</t>
        </is>
      </c>
      <c r="M554" s="43" t="inlineStr">
        <is>
          <t>73-103103-06</t>
        </is>
      </c>
      <c r="N554" s="43" t="inlineStr"/>
      <c r="O554" s="43" t="inlineStr">
        <is>
          <t>2026-09-16</t>
        </is>
      </c>
      <c r="P554" s="33" t="inlineStr">
        <is>
          <t>For temporary part/material substitution (EXTENDABLE 2x)</t>
        </is>
      </c>
      <c r="Q554" s="43" t="inlineStr">
        <is>
          <t>No FFF = &gt; No marking needed</t>
        </is>
      </c>
      <c r="R554" s="43" t="inlineStr">
        <is>
          <t>2026-06-20</t>
        </is>
      </c>
      <c r="S554" s="43" t="inlineStr">
        <is>
          <t>2026-06-30</t>
        </is>
      </c>
      <c r="T554" s="43" t="inlineStr"/>
      <c r="U554" s="43" t="inlineStr"/>
    </row>
    <row r="555">
      <c r="A555" s="43" t="n">
        <v>555</v>
      </c>
      <c r="B555" s="43" t="inlineStr">
        <is>
          <t>554</t>
        </is>
      </c>
      <c r="C555" s="43" t="inlineStr">
        <is>
          <t>FJZP</t>
        </is>
      </c>
      <c r="D555" s="43" t="inlineStr">
        <is>
          <t>Cisco</t>
        </is>
      </c>
      <c r="E555" s="43" t="inlineStr">
        <is>
          <t>MCGA</t>
        </is>
      </c>
      <c r="F555" s="43" t="inlineStr">
        <is>
          <t>035-CVEBU</t>
        </is>
      </c>
      <c r="G555" s="43" t="inlineStr">
        <is>
          <t>CTANJZ05302</t>
        </is>
      </c>
      <c r="H555" s="43" t="inlineStr">
        <is>
          <t>For temporary part/material substitution (EXTENDABLE)</t>
        </is>
      </c>
      <c r="I555" s="43" t="inlineStr">
        <is>
          <t>Customer Deviation</t>
        </is>
      </c>
      <c r="J555" s="43" t="inlineStr">
        <is>
          <t>D611944</t>
        </is>
      </c>
      <c r="K555"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55" s="43" t="inlineStr">
        <is>
          <t>Expired</t>
        </is>
      </c>
      <c r="M555" s="43" t="inlineStr">
        <is>
          <t>73-103226-06</t>
        </is>
      </c>
      <c r="N555" s="43" t="inlineStr"/>
      <c r="O555" s="43" t="inlineStr">
        <is>
          <t>2026-09-16</t>
        </is>
      </c>
      <c r="P555" s="33" t="inlineStr">
        <is>
          <t>For temporary part/material substitution (EXTENDABLE 2x)</t>
        </is>
      </c>
      <c r="Q555" s="43" t="inlineStr">
        <is>
          <t>No FFF = &gt; No marking needed</t>
        </is>
      </c>
      <c r="R555" s="43" t="inlineStr">
        <is>
          <t>2026-06-20</t>
        </is>
      </c>
      <c r="S555" s="43" t="inlineStr">
        <is>
          <t>2026-06-30</t>
        </is>
      </c>
      <c r="T555" s="43" t="inlineStr"/>
      <c r="U555" s="43" t="inlineStr"/>
    </row>
    <row r="556">
      <c r="A556" s="43" t="n">
        <v>556</v>
      </c>
      <c r="B556" s="43" t="inlineStr">
        <is>
          <t>555</t>
        </is>
      </c>
      <c r="C556" s="43" t="inlineStr">
        <is>
          <t>FJZP</t>
        </is>
      </c>
      <c r="D556" s="43" t="inlineStr">
        <is>
          <t>Cisco</t>
        </is>
      </c>
      <c r="E556" s="43" t="inlineStr">
        <is>
          <t>MCGA</t>
        </is>
      </c>
      <c r="F556" s="43" t="inlineStr">
        <is>
          <t>035-CVEBU</t>
        </is>
      </c>
      <c r="G556" s="43" t="inlineStr">
        <is>
          <t>CTANJZ05302</t>
        </is>
      </c>
      <c r="H556" s="43" t="inlineStr">
        <is>
          <t>For temporary part/material substitution (EXTENDABLE)</t>
        </is>
      </c>
      <c r="I556" s="43" t="inlineStr">
        <is>
          <t>Customer Deviation</t>
        </is>
      </c>
      <c r="J556" s="43" t="inlineStr">
        <is>
          <t>D611944</t>
        </is>
      </c>
      <c r="K556"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56" s="43" t="inlineStr">
        <is>
          <t>Expired</t>
        </is>
      </c>
      <c r="M556" s="43" t="inlineStr">
        <is>
          <t>73-103450-01</t>
        </is>
      </c>
      <c r="N556" s="43" t="inlineStr"/>
      <c r="O556" s="43" t="inlineStr">
        <is>
          <t>2026-09-16</t>
        </is>
      </c>
      <c r="P556" s="33" t="inlineStr">
        <is>
          <t>For temporary part/material substitution (EXTENDABLE 2x)</t>
        </is>
      </c>
      <c r="Q556" s="43" t="inlineStr">
        <is>
          <t>No FFF = &gt; No marking needed</t>
        </is>
      </c>
      <c r="R556" s="43" t="inlineStr">
        <is>
          <t>2026-06-20</t>
        </is>
      </c>
      <c r="S556" s="43" t="inlineStr">
        <is>
          <t>2026-06-30</t>
        </is>
      </c>
      <c r="T556" s="43" t="inlineStr"/>
      <c r="U556" s="43" t="inlineStr"/>
    </row>
    <row r="557">
      <c r="A557" s="43" t="n">
        <v>557</v>
      </c>
      <c r="B557" s="43" t="inlineStr">
        <is>
          <t>556</t>
        </is>
      </c>
      <c r="C557" s="43" t="inlineStr">
        <is>
          <t>FJZP</t>
        </is>
      </c>
      <c r="D557" s="43" t="inlineStr">
        <is>
          <t>Cisco</t>
        </is>
      </c>
      <c r="E557" s="43" t="inlineStr">
        <is>
          <t>MCGA</t>
        </is>
      </c>
      <c r="F557" s="43" t="inlineStr">
        <is>
          <t>035-CVEBU</t>
        </is>
      </c>
      <c r="G557" s="43" t="inlineStr">
        <is>
          <t>CTANJZ05302</t>
        </is>
      </c>
      <c r="H557" s="43" t="inlineStr">
        <is>
          <t>For temporary part/material substitution (EXTENDABLE)</t>
        </is>
      </c>
      <c r="I557" s="43" t="inlineStr">
        <is>
          <t>Customer Deviation</t>
        </is>
      </c>
      <c r="J557" s="43" t="inlineStr">
        <is>
          <t>D611944</t>
        </is>
      </c>
      <c r="K557"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57" s="43" t="inlineStr">
        <is>
          <t>Expired</t>
        </is>
      </c>
      <c r="M557" s="43" t="inlineStr">
        <is>
          <t>73-103603-06</t>
        </is>
      </c>
      <c r="N557" s="43" t="inlineStr"/>
      <c r="O557" s="43" t="inlineStr">
        <is>
          <t>2026-09-16</t>
        </is>
      </c>
      <c r="P557" s="33" t="inlineStr">
        <is>
          <t>For temporary part/material substitution (EXTENDABLE 2x)</t>
        </is>
      </c>
      <c r="Q557" s="43" t="inlineStr">
        <is>
          <t>No FFF = &gt; No marking needed</t>
        </is>
      </c>
      <c r="R557" s="43" t="inlineStr">
        <is>
          <t>2026-06-20</t>
        </is>
      </c>
      <c r="S557" s="43" t="inlineStr">
        <is>
          <t>2026-06-30</t>
        </is>
      </c>
      <c r="T557" s="43" t="inlineStr"/>
      <c r="U557" s="43" t="inlineStr"/>
    </row>
    <row r="558">
      <c r="A558" s="43" t="n">
        <v>558</v>
      </c>
      <c r="B558" s="43" t="inlineStr">
        <is>
          <t>557</t>
        </is>
      </c>
      <c r="C558" s="43" t="inlineStr">
        <is>
          <t>FJZP</t>
        </is>
      </c>
      <c r="D558" s="43" t="inlineStr">
        <is>
          <t>Cisco</t>
        </is>
      </c>
      <c r="E558" s="43" t="inlineStr">
        <is>
          <t>MCGA</t>
        </is>
      </c>
      <c r="F558" s="43" t="inlineStr">
        <is>
          <t>035-CVEBU</t>
        </is>
      </c>
      <c r="G558" s="43" t="inlineStr">
        <is>
          <t>CTANJZ05302</t>
        </is>
      </c>
      <c r="H558" s="43" t="inlineStr">
        <is>
          <t>For temporary part/material substitution (EXTENDABLE)</t>
        </is>
      </c>
      <c r="I558" s="43" t="inlineStr">
        <is>
          <t>Customer Deviation</t>
        </is>
      </c>
      <c r="J558" s="43" t="inlineStr">
        <is>
          <t>D611944</t>
        </is>
      </c>
      <c r="K558"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58" s="43" t="inlineStr">
        <is>
          <t>Expired</t>
        </is>
      </c>
      <c r="M558" s="43" t="inlineStr">
        <is>
          <t>73-103698-06</t>
        </is>
      </c>
      <c r="N558" s="43" t="inlineStr"/>
      <c r="O558" s="43" t="inlineStr">
        <is>
          <t>2026-09-16</t>
        </is>
      </c>
      <c r="P558" s="33" t="inlineStr">
        <is>
          <t>For temporary part/material substitution (EXTENDABLE 2x)</t>
        </is>
      </c>
      <c r="Q558" s="43" t="inlineStr">
        <is>
          <t>No FFF = &gt; No marking needed</t>
        </is>
      </c>
      <c r="R558" s="43" t="inlineStr">
        <is>
          <t>2026-06-20</t>
        </is>
      </c>
      <c r="S558" s="43" t="inlineStr">
        <is>
          <t>2026-06-30</t>
        </is>
      </c>
      <c r="T558" s="43" t="inlineStr"/>
      <c r="U558" s="43" t="inlineStr"/>
    </row>
    <row r="559">
      <c r="A559" s="43" t="n">
        <v>559</v>
      </c>
      <c r="B559" s="43" t="inlineStr">
        <is>
          <t>558</t>
        </is>
      </c>
      <c r="C559" s="43" t="inlineStr">
        <is>
          <t>FJZP</t>
        </is>
      </c>
      <c r="D559" s="43" t="inlineStr">
        <is>
          <t>Cisco</t>
        </is>
      </c>
      <c r="E559" s="43" t="inlineStr">
        <is>
          <t>MCGA</t>
        </is>
      </c>
      <c r="F559" s="43" t="inlineStr">
        <is>
          <t>035-CVEBU</t>
        </is>
      </c>
      <c r="G559" s="43" t="inlineStr">
        <is>
          <t>CTANJZ05302</t>
        </is>
      </c>
      <c r="H559" s="43" t="inlineStr">
        <is>
          <t>For temporary part/material substitution (EXTENDABLE)</t>
        </is>
      </c>
      <c r="I559" s="43" t="inlineStr">
        <is>
          <t>Customer Deviation</t>
        </is>
      </c>
      <c r="J559" s="43" t="inlineStr">
        <is>
          <t>D611944</t>
        </is>
      </c>
      <c r="K559"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59" s="43" t="inlineStr">
        <is>
          <t>Expired</t>
        </is>
      </c>
      <c r="M559" s="43" t="inlineStr">
        <is>
          <t>73-103826-05</t>
        </is>
      </c>
      <c r="N559" s="43" t="inlineStr"/>
      <c r="O559" s="43" t="inlineStr">
        <is>
          <t>2026-09-16</t>
        </is>
      </c>
      <c r="P559" s="33" t="inlineStr">
        <is>
          <t>For temporary part/material substitution (EXTENDABLE 2x)</t>
        </is>
      </c>
      <c r="Q559" s="43" t="inlineStr">
        <is>
          <t>No FFF = &gt; No marking needed</t>
        </is>
      </c>
      <c r="R559" s="43" t="inlineStr">
        <is>
          <t>2026-06-20</t>
        </is>
      </c>
      <c r="S559" s="43" t="inlineStr">
        <is>
          <t>2026-06-30</t>
        </is>
      </c>
      <c r="T559" s="43" t="inlineStr"/>
      <c r="U559" s="43" t="inlineStr"/>
    </row>
    <row r="560">
      <c r="A560" s="43" t="n">
        <v>560</v>
      </c>
      <c r="B560" s="43" t="inlineStr">
        <is>
          <t>559</t>
        </is>
      </c>
      <c r="C560" s="43" t="inlineStr">
        <is>
          <t>FJZP</t>
        </is>
      </c>
      <c r="D560" s="43" t="inlineStr">
        <is>
          <t>Cisco</t>
        </is>
      </c>
      <c r="E560" s="43" t="inlineStr">
        <is>
          <t>MCGA</t>
        </is>
      </c>
      <c r="F560" s="43" t="inlineStr">
        <is>
          <t>035-CVEBU</t>
        </is>
      </c>
      <c r="G560" s="43" t="inlineStr">
        <is>
          <t>CTANJZ05302</t>
        </is>
      </c>
      <c r="H560" s="43" t="inlineStr">
        <is>
          <t>For temporary part/material substitution (EXTENDABLE)</t>
        </is>
      </c>
      <c r="I560" s="43" t="inlineStr">
        <is>
          <t>Customer Deviation</t>
        </is>
      </c>
      <c r="J560" s="43" t="inlineStr">
        <is>
          <t>D611944</t>
        </is>
      </c>
      <c r="K560"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60" s="43" t="inlineStr">
        <is>
          <t>Expired</t>
        </is>
      </c>
      <c r="M560" s="43" t="inlineStr">
        <is>
          <t>73-103880-05</t>
        </is>
      </c>
      <c r="N560" s="43" t="inlineStr"/>
      <c r="O560" s="43" t="inlineStr">
        <is>
          <t>2026-09-16</t>
        </is>
      </c>
      <c r="P560" s="33" t="inlineStr">
        <is>
          <t>For temporary part/material substitution (EXTENDABLE 2x)</t>
        </is>
      </c>
      <c r="Q560" s="43" t="inlineStr">
        <is>
          <t>No FFF = &gt; No marking needed</t>
        </is>
      </c>
      <c r="R560" s="43" t="inlineStr">
        <is>
          <t>2026-06-20</t>
        </is>
      </c>
      <c r="S560" s="43" t="inlineStr">
        <is>
          <t>2026-06-30</t>
        </is>
      </c>
      <c r="T560" s="43" t="inlineStr"/>
      <c r="U560" s="43" t="inlineStr"/>
    </row>
    <row r="561">
      <c r="A561" s="43" t="n">
        <v>561</v>
      </c>
      <c r="B561" s="43" t="inlineStr">
        <is>
          <t>560</t>
        </is>
      </c>
      <c r="C561" s="43" t="inlineStr">
        <is>
          <t>FJZP</t>
        </is>
      </c>
      <c r="D561" s="43" t="inlineStr">
        <is>
          <t>Cisco</t>
        </is>
      </c>
      <c r="E561" s="43" t="inlineStr">
        <is>
          <t>MCGA</t>
        </is>
      </c>
      <c r="F561" s="43" t="inlineStr">
        <is>
          <t>035-CVEBU</t>
        </is>
      </c>
      <c r="G561" s="43" t="inlineStr">
        <is>
          <t>CTANJZ05302</t>
        </is>
      </c>
      <c r="H561" s="43" t="inlineStr">
        <is>
          <t>For temporary part/material substitution (EXTENDABLE)</t>
        </is>
      </c>
      <c r="I561" s="43" t="inlineStr">
        <is>
          <t>Customer Deviation</t>
        </is>
      </c>
      <c r="J561" s="43" t="inlineStr">
        <is>
          <t>D611944</t>
        </is>
      </c>
      <c r="K561"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61" s="43" t="inlineStr">
        <is>
          <t>Expired</t>
        </is>
      </c>
      <c r="M561" s="43" t="inlineStr">
        <is>
          <t>73-103940-06</t>
        </is>
      </c>
      <c r="N561" s="43" t="inlineStr"/>
      <c r="O561" s="43" t="inlineStr">
        <is>
          <t>2026-09-16</t>
        </is>
      </c>
      <c r="P561" s="33" t="inlineStr">
        <is>
          <t>For temporary part/material substitution (EXTENDABLE 2x)</t>
        </is>
      </c>
      <c r="Q561" s="43" t="inlineStr">
        <is>
          <t>No FFF = &gt; No marking needed</t>
        </is>
      </c>
      <c r="R561" s="43" t="inlineStr">
        <is>
          <t>2026-06-20</t>
        </is>
      </c>
      <c r="S561" s="43" t="inlineStr">
        <is>
          <t>2026-06-30</t>
        </is>
      </c>
      <c r="T561" s="43" t="inlineStr"/>
      <c r="U561" s="43" t="inlineStr"/>
    </row>
    <row r="562">
      <c r="A562" s="43" t="n">
        <v>562</v>
      </c>
      <c r="B562" s="43" t="inlineStr">
        <is>
          <t>561</t>
        </is>
      </c>
      <c r="C562" s="43" t="inlineStr">
        <is>
          <t>FJZP</t>
        </is>
      </c>
      <c r="D562" s="43" t="inlineStr">
        <is>
          <t>Cisco</t>
        </is>
      </c>
      <c r="E562" s="43" t="inlineStr">
        <is>
          <t>MCGA</t>
        </is>
      </c>
      <c r="F562" s="43" t="inlineStr">
        <is>
          <t>035-CVEBU</t>
        </is>
      </c>
      <c r="G562" s="43" t="inlineStr">
        <is>
          <t>CTANJZ05302</t>
        </is>
      </c>
      <c r="H562" s="43" t="inlineStr">
        <is>
          <t>For temporary part/material substitution (EXTENDABLE)</t>
        </is>
      </c>
      <c r="I562" s="43" t="inlineStr">
        <is>
          <t>Customer Deviation</t>
        </is>
      </c>
      <c r="J562" s="43" t="inlineStr">
        <is>
          <t>D611944</t>
        </is>
      </c>
      <c r="K562"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62" s="43" t="inlineStr">
        <is>
          <t>Expired</t>
        </is>
      </c>
      <c r="M562" s="43" t="inlineStr">
        <is>
          <t>73-103951-01</t>
        </is>
      </c>
      <c r="N562" s="43" t="inlineStr"/>
      <c r="O562" s="43" t="inlineStr">
        <is>
          <t>2026-09-16</t>
        </is>
      </c>
      <c r="P562" s="33" t="inlineStr">
        <is>
          <t>For temporary part/material substitution (EXTENDABLE 2x)</t>
        </is>
      </c>
      <c r="Q562" s="43" t="inlineStr">
        <is>
          <t>No FFF = &gt; No marking needed</t>
        </is>
      </c>
      <c r="R562" s="43" t="inlineStr">
        <is>
          <t>2026-06-20</t>
        </is>
      </c>
      <c r="S562" s="43" t="inlineStr">
        <is>
          <t>2026-06-30</t>
        </is>
      </c>
      <c r="T562" s="43" t="inlineStr"/>
      <c r="U562" s="43" t="inlineStr"/>
    </row>
    <row r="563">
      <c r="A563" s="43" t="n">
        <v>563</v>
      </c>
      <c r="B563" s="43" t="inlineStr">
        <is>
          <t>562</t>
        </is>
      </c>
      <c r="C563" s="43" t="inlineStr">
        <is>
          <t>FJZP</t>
        </is>
      </c>
      <c r="D563" s="43" t="inlineStr">
        <is>
          <t>Cisco</t>
        </is>
      </c>
      <c r="E563" s="43" t="inlineStr">
        <is>
          <t>MCGA</t>
        </is>
      </c>
      <c r="F563" s="43" t="inlineStr">
        <is>
          <t>035-CVEBU</t>
        </is>
      </c>
      <c r="G563" s="43" t="inlineStr">
        <is>
          <t>CTANJZ05302</t>
        </is>
      </c>
      <c r="H563" s="43" t="inlineStr">
        <is>
          <t>For temporary part/material substitution (EXTENDABLE)</t>
        </is>
      </c>
      <c r="I563" s="43" t="inlineStr">
        <is>
          <t>Customer Deviation</t>
        </is>
      </c>
      <c r="J563" s="43" t="inlineStr">
        <is>
          <t>D611944</t>
        </is>
      </c>
      <c r="K563" s="33" t="inlineStr">
        <is>
          <t>D611944 CVEBU;Mimir + all other CVEBU products73-103946-03 -06 PCA;MIMIR BOARD  In BOM   15-107243-01 IC-TIMING;GENERATOR;VFQFPN;24 P;4.0x4.0mm PKGSIZE;0.5mm PITCH;1.8V to 3.3V;-40 to 85 C;un-programmedObsolete:  Renesas 5P49V6965A000NLGI (Unprogrammed)(To obsolete by MCO106791)Qualified: Renesas 5P49V6965A001NLGI (Pre-programmed)Due to shortage; Foxconn is allowed to source from brookers and use the Obsoleted part in all affected CVEBU products.</t>
        </is>
      </c>
      <c r="L563" s="43" t="inlineStr">
        <is>
          <t>Expired</t>
        </is>
      </c>
      <c r="M563" s="43" t="inlineStr">
        <is>
          <t>73-104022-01</t>
        </is>
      </c>
      <c r="N563" s="43" t="inlineStr"/>
      <c r="O563" s="43" t="inlineStr">
        <is>
          <t>2026-09-16</t>
        </is>
      </c>
      <c r="P563" s="33" t="inlineStr">
        <is>
          <t>For temporary part/material substitution (EXTENDABLE 2x)</t>
        </is>
      </c>
      <c r="Q563" s="43" t="inlineStr">
        <is>
          <t>No FFF = &gt; No marking needed</t>
        </is>
      </c>
      <c r="R563" s="43" t="inlineStr">
        <is>
          <t>2026-06-20</t>
        </is>
      </c>
      <c r="S563" s="43" t="inlineStr">
        <is>
          <t>2026-06-30</t>
        </is>
      </c>
      <c r="T563" s="43" t="inlineStr"/>
      <c r="U563" s="43" t="inlineStr"/>
    </row>
    <row r="564">
      <c r="A564" s="43" t="n">
        <v>564</v>
      </c>
      <c r="B564" s="43" t="inlineStr">
        <is>
          <t>563</t>
        </is>
      </c>
      <c r="C564" s="43" t="inlineStr">
        <is>
          <t>FJZP</t>
        </is>
      </c>
      <c r="D564" s="43" t="inlineStr">
        <is>
          <t>Cisco</t>
        </is>
      </c>
      <c r="E564" s="43" t="inlineStr">
        <is>
          <t>MCGA</t>
        </is>
      </c>
      <c r="F564" s="43" t="inlineStr">
        <is>
          <t>035-CVEBU</t>
        </is>
      </c>
      <c r="G564" s="43" t="inlineStr">
        <is>
          <t>CTANJZ05087</t>
        </is>
      </c>
      <c r="H564" s="43" t="inlineStr">
        <is>
          <t>To temporarily use parts/materials that do not meet the specifications</t>
        </is>
      </c>
      <c r="I564" s="43" t="inlineStr">
        <is>
          <t>Customer Deviation</t>
        </is>
      </c>
      <c r="J564" s="43" t="inlineStr">
        <is>
          <t>D609115</t>
        </is>
      </c>
      <c r="K564" s="33" t="inlineStr">
        <is>
          <t>D609115CVEBU;Brooklyn;DaVinci;Millennium73-102022-02 PCA;BROOKLYN MAIN BOARD73-104022-01 PCA;BROOKLYN MAIN BOARD NR   73-102197-02 PCA;DAVINCI MAIN BOARD  73-102797-02 PCA;DAVINCI MAIN BOARD NR  73-102226-06 PCA; Millennium Codec Main Board; Radio  73-103226-06 PCA; Millennium Codec Main Board; Non-Radio  In BOMs:16-101838-01 IC-FPGA;LIFCL-17-7BG256C-7.0;CABGA;256 P;0.8 mm;65nm;1.0 VCORE;YES-JTAG;3.3 V I/O;500.0 MHz;0 to 85 C;WITH 2.5G MIPI D-PHYQualified: Lattice    LIFCL-17-7BG256C      Old DC issue 43554pcsIPQ:       Lattice    LIFCL-17-7BG256IThis is a follow-up to D602313 which allowed 13k pcs old DC parts to be consumed.FOL is hereby allowed to source and use in total 43554 pcs LIFCL-17-7BG256C with old Date Codes CY2022 and slightly newer Date CodesBefore usage in MP; FOL shall perform a solderability test and issue a simple test report.Since the affected Date Codes are almost the same; it is sufficient to run the solderability report with samples from one of the oldest component lots.CVEBU encourages Foxconn and Cisco GSM to put heavy pressure on Lattice to get on track providing only fresh Date Code parts.</t>
        </is>
      </c>
      <c r="L564" s="43" t="inlineStr">
        <is>
          <t>Expired</t>
        </is>
      </c>
      <c r="M564" s="43" t="inlineStr">
        <is>
          <t>73-104022-01</t>
        </is>
      </c>
      <c r="N564" s="43" t="inlineStr"/>
      <c r="O564" s="43" t="inlineStr">
        <is>
          <t>2026-04-28</t>
        </is>
      </c>
      <c r="P564" s="33" t="inlineStr">
        <is>
          <t>To temporarily use parts/materials that do not meet the specifications</t>
        </is>
      </c>
      <c r="Q564" s="43" t="inlineStr">
        <is>
          <t>No FFF change =&gt; No marking needed</t>
        </is>
      </c>
      <c r="R564" s="43" t="inlineStr">
        <is>
          <t>2026-01-28</t>
        </is>
      </c>
      <c r="S564" s="43" t="inlineStr">
        <is>
          <t>2026-02-11</t>
        </is>
      </c>
      <c r="T564" s="43" t="inlineStr"/>
      <c r="U564" s="43" t="inlineStr"/>
    </row>
    <row r="565">
      <c r="A565" s="43" t="n">
        <v>565</v>
      </c>
      <c r="B565" s="43" t="inlineStr">
        <is>
          <t>564</t>
        </is>
      </c>
      <c r="C565" s="43" t="inlineStr">
        <is>
          <t>FJZP</t>
        </is>
      </c>
      <c r="D565" s="43" t="inlineStr">
        <is>
          <t>Cisco</t>
        </is>
      </c>
      <c r="E565" s="43" t="inlineStr">
        <is>
          <t>MCGA</t>
        </is>
      </c>
      <c r="F565" s="43" t="inlineStr">
        <is>
          <t>018-SRGBU</t>
        </is>
      </c>
      <c r="G565" s="43" t="inlineStr">
        <is>
          <t>CTANJZ04943</t>
        </is>
      </c>
      <c r="H565" s="43" t="inlineStr">
        <is>
          <t>For temporary part/material substitution (EXTENDABLE)</t>
        </is>
      </c>
      <c r="I565" s="43" t="inlineStr">
        <is>
          <t>Customer Deviation</t>
        </is>
      </c>
      <c r="J565" s="43" t="inlineStr">
        <is>
          <t>D607210</t>
        </is>
      </c>
      <c r="K565" s="33" t="inlineStr">
        <is>
          <t>D607210 Please see Page Three for details</t>
        </is>
      </c>
      <c r="L565" s="43" t="inlineStr">
        <is>
          <t>Expired</t>
        </is>
      </c>
      <c r="M565" s="43" t="inlineStr">
        <is>
          <t>16-100775-01</t>
        </is>
      </c>
      <c r="N565" s="43" t="inlineStr"/>
      <c r="O565" s="43" t="inlineStr">
        <is>
          <t>2026-07-26</t>
        </is>
      </c>
      <c r="P565" s="33" t="inlineStr">
        <is>
          <t>For temporary part/material substitution (EXTENDABLE 2x)</t>
        </is>
      </c>
      <c r="Q565" s="43" t="inlineStr">
        <is>
          <t>Mark drives with deviation number; and resized size CPN: 16-100775-01; MPN: MTFDDAK480TGB-1BC16ABYY; Resizing: 480GB to 400GB CPN: 16-100809-01; MPN: MTFDDAK240TGA-1BC16ABYY; Resizing: 240GB to 100GB</t>
        </is>
      </c>
      <c r="R565" s="43" t="inlineStr">
        <is>
          <t>2025-10-30</t>
        </is>
      </c>
      <c r="S565" s="43" t="inlineStr">
        <is>
          <t>2025-11-14</t>
        </is>
      </c>
      <c r="T565" s="43" t="inlineStr"/>
      <c r="U565" s="43" t="inlineStr"/>
    </row>
    <row r="566">
      <c r="A566" s="43" t="n">
        <v>566</v>
      </c>
      <c r="B566" s="43" t="inlineStr">
        <is>
          <t>565</t>
        </is>
      </c>
      <c r="C566" s="43" t="inlineStr">
        <is>
          <t>FJZP</t>
        </is>
      </c>
      <c r="D566" s="43" t="inlineStr">
        <is>
          <t>Cisco</t>
        </is>
      </c>
      <c r="E566" s="43" t="inlineStr">
        <is>
          <t>MCGA</t>
        </is>
      </c>
      <c r="F566" s="43" t="inlineStr">
        <is>
          <t>018-SRGBU</t>
        </is>
      </c>
      <c r="G566" s="43" t="inlineStr">
        <is>
          <t>CTANJZ04943</t>
        </is>
      </c>
      <c r="H566" s="43" t="inlineStr">
        <is>
          <t>For temporary part/material substitution (EXTENDABLE)</t>
        </is>
      </c>
      <c r="I566" s="43" t="inlineStr">
        <is>
          <t>Customer Deviation</t>
        </is>
      </c>
      <c r="J566" s="43" t="inlineStr">
        <is>
          <t>D607210</t>
        </is>
      </c>
      <c r="K566" s="33" t="inlineStr">
        <is>
          <t>D607210 Please see Page Three for details</t>
        </is>
      </c>
      <c r="L566" s="43" t="inlineStr">
        <is>
          <t>Expired</t>
        </is>
      </c>
      <c r="M566" s="43" t="inlineStr">
        <is>
          <t>16-100809-01</t>
        </is>
      </c>
      <c r="N566" s="43" t="inlineStr"/>
      <c r="O566" s="43" t="inlineStr">
        <is>
          <t>2026-07-26</t>
        </is>
      </c>
      <c r="P566" s="33" t="inlineStr">
        <is>
          <t>For temporary part/material substitution (EXTENDABLE 2x)</t>
        </is>
      </c>
      <c r="Q566" s="43" t="inlineStr">
        <is>
          <t>Mark drives with deviation number; and resized size CPN: 16-100775-01; MPN: MTFDDAK480TGB-1BC16ABYY; Resizing: 480GB to 400GB CPN: 16-100809-01; MPN: MTFDDAK240TGA-1BC16ABYY; Resizing: 240GB to 100GB</t>
        </is>
      </c>
      <c r="R566" s="43" t="inlineStr">
        <is>
          <t>2025-10-30</t>
        </is>
      </c>
      <c r="S566" s="43" t="inlineStr">
        <is>
          <t>2025-11-14</t>
        </is>
      </c>
      <c r="T566" s="43" t="inlineStr"/>
      <c r="U566" s="43" t="inlineStr"/>
    </row>
    <row r="567">
      <c r="A567" s="43" t="n">
        <v>567</v>
      </c>
      <c r="B567" s="43" t="inlineStr">
        <is>
          <t>566</t>
        </is>
      </c>
      <c r="C567" s="43" t="inlineStr">
        <is>
          <t>FJZP</t>
        </is>
      </c>
      <c r="D567" s="43" t="inlineStr">
        <is>
          <t>Cisco</t>
        </is>
      </c>
      <c r="E567" s="43" t="inlineStr">
        <is>
          <t>MCGA</t>
        </is>
      </c>
      <c r="F567" s="43" t="inlineStr">
        <is>
          <t>035-CVEBU</t>
        </is>
      </c>
      <c r="G567" s="43" t="inlineStr">
        <is>
          <t>CTANJZ05311</t>
        </is>
      </c>
      <c r="H567" s="43" t="inlineStr">
        <is>
          <t>To temporarily use parts/materials that do not meet the specifications</t>
        </is>
      </c>
      <c r="I567" s="43" t="inlineStr">
        <is>
          <t>Customer Deviation</t>
        </is>
      </c>
      <c r="J567" s="43" t="inlineStr">
        <is>
          <t>D612169</t>
        </is>
      </c>
      <c r="K567" s="33" t="inlineStr">
        <is>
          <t>D612169 CVEBU; Tyne - Allowing FJZ to utilize ADI IPQ MPN; ADV7537JBCZ-10 under 15-110893-01Extension of D610433Affected items68-104853-0168-104854-0173-103698-0673-103940-0615-110893-01</t>
        </is>
      </c>
      <c r="L567" s="43" t="inlineStr">
        <is>
          <t>Expired</t>
        </is>
      </c>
      <c r="M567" s="43" t="inlineStr">
        <is>
          <t>15-110893-01</t>
        </is>
      </c>
      <c r="N567" s="43" t="inlineStr"/>
      <c r="O567" s="43" t="inlineStr">
        <is>
          <t>2026-09-20</t>
        </is>
      </c>
      <c r="P567" s="33" t="inlineStr">
        <is>
          <t>To temporarily use parts/materials that do not meet the specifications</t>
        </is>
      </c>
      <c r="Q567" s="43" t="inlineStr">
        <is>
          <t>N/A</t>
        </is>
      </c>
      <c r="R567" s="43" t="inlineStr">
        <is>
          <t>2026-06-24</t>
        </is>
      </c>
      <c r="S567" s="43" t="inlineStr">
        <is>
          <t>2026-07-02</t>
        </is>
      </c>
      <c r="T567" s="43" t="inlineStr"/>
      <c r="U567" s="43" t="inlineStr"/>
    </row>
    <row r="568">
      <c r="A568" s="43" t="n">
        <v>568</v>
      </c>
      <c r="B568" s="43" t="inlineStr">
        <is>
          <t>567</t>
        </is>
      </c>
      <c r="C568" s="43" t="inlineStr">
        <is>
          <t>FJZP</t>
        </is>
      </c>
      <c r="D568" s="43" t="inlineStr">
        <is>
          <t>Cisco</t>
        </is>
      </c>
      <c r="E568" s="43" t="inlineStr">
        <is>
          <t>MCGA</t>
        </is>
      </c>
      <c r="F568" s="43" t="inlineStr">
        <is>
          <t>035-CVEBU</t>
        </is>
      </c>
      <c r="G568" s="43" t="inlineStr">
        <is>
          <t>CTANJZ05311</t>
        </is>
      </c>
      <c r="H568" s="43" t="inlineStr">
        <is>
          <t>To temporarily use parts/materials that do not meet the specifications</t>
        </is>
      </c>
      <c r="I568" s="43" t="inlineStr">
        <is>
          <t>Customer Deviation</t>
        </is>
      </c>
      <c r="J568" s="43" t="inlineStr">
        <is>
          <t>D612169</t>
        </is>
      </c>
      <c r="K568" s="33" t="inlineStr">
        <is>
          <t>D612169 CVEBU; Tyne - Allowing FJZ to utilize ADI IPQ MPN; ADV7537JBCZ-10 under 15-110893-01Extension of D610433Affected items68-104853-0168-104854-0173-103698-0673-103940-0615-110893-01</t>
        </is>
      </c>
      <c r="L568" s="43" t="inlineStr">
        <is>
          <t>Expired</t>
        </is>
      </c>
      <c r="M568" s="43" t="inlineStr">
        <is>
          <t>68-104853-01</t>
        </is>
      </c>
      <c r="N568" s="43" t="inlineStr"/>
      <c r="O568" s="43" t="inlineStr">
        <is>
          <t>2026-09-20</t>
        </is>
      </c>
      <c r="P568" s="33" t="inlineStr">
        <is>
          <t>To temporarily use parts/materials that do not meet the specifications</t>
        </is>
      </c>
      <c r="Q568" s="43" t="inlineStr">
        <is>
          <t>N/A</t>
        </is>
      </c>
      <c r="R568" s="43" t="inlineStr">
        <is>
          <t>2026-06-24</t>
        </is>
      </c>
      <c r="S568" s="43" t="inlineStr">
        <is>
          <t>2026-07-02</t>
        </is>
      </c>
      <c r="T568" s="43" t="inlineStr"/>
      <c r="U568" s="43" t="inlineStr"/>
    </row>
    <row r="569">
      <c r="A569" s="43" t="n">
        <v>569</v>
      </c>
      <c r="B569" s="43" t="inlineStr">
        <is>
          <t>568</t>
        </is>
      </c>
      <c r="C569" s="43" t="inlineStr">
        <is>
          <t>FJZP</t>
        </is>
      </c>
      <c r="D569" s="43" t="inlineStr">
        <is>
          <t>Cisco</t>
        </is>
      </c>
      <c r="E569" s="43" t="inlineStr">
        <is>
          <t>MCGA</t>
        </is>
      </c>
      <c r="F569" s="43" t="inlineStr">
        <is>
          <t>035-CVEBU</t>
        </is>
      </c>
      <c r="G569" s="43" t="inlineStr">
        <is>
          <t>CTANJZ05311</t>
        </is>
      </c>
      <c r="H569" s="43" t="inlineStr">
        <is>
          <t>To temporarily use parts/materials that do not meet the specifications</t>
        </is>
      </c>
      <c r="I569" s="43" t="inlineStr">
        <is>
          <t>Customer Deviation</t>
        </is>
      </c>
      <c r="J569" s="43" t="inlineStr">
        <is>
          <t>D612169</t>
        </is>
      </c>
      <c r="K569" s="33" t="inlineStr">
        <is>
          <t>D612169 CVEBU; Tyne - Allowing FJZ to utilize ADI IPQ MPN; ADV7537JBCZ-10 under 15-110893-01Extension of D610433Affected items68-104853-0168-104854-0173-103698-0673-103940-0615-110893-01</t>
        </is>
      </c>
      <c r="L569" s="43" t="inlineStr">
        <is>
          <t>Expired</t>
        </is>
      </c>
      <c r="M569" s="43" t="inlineStr">
        <is>
          <t>68-104854-01</t>
        </is>
      </c>
      <c r="N569" s="43" t="inlineStr"/>
      <c r="O569" s="43" t="inlineStr">
        <is>
          <t>2026-09-20</t>
        </is>
      </c>
      <c r="P569" s="33" t="inlineStr">
        <is>
          <t>To temporarily use parts/materials that do not meet the specifications</t>
        </is>
      </c>
      <c r="Q569" s="43" t="inlineStr">
        <is>
          <t>N/A</t>
        </is>
      </c>
      <c r="R569" s="43" t="inlineStr">
        <is>
          <t>2026-06-24</t>
        </is>
      </c>
      <c r="S569" s="43" t="inlineStr">
        <is>
          <t>2026-07-02</t>
        </is>
      </c>
      <c r="T569" s="43" t="inlineStr"/>
      <c r="U569" s="43" t="inlineStr"/>
    </row>
    <row r="570">
      <c r="A570" s="43" t="n">
        <v>570</v>
      </c>
      <c r="B570" s="43" t="inlineStr">
        <is>
          <t>569</t>
        </is>
      </c>
      <c r="C570" s="43" t="inlineStr">
        <is>
          <t>FJZP</t>
        </is>
      </c>
      <c r="D570" s="43" t="inlineStr">
        <is>
          <t>Cisco</t>
        </is>
      </c>
      <c r="E570" s="43" t="inlineStr">
        <is>
          <t>MCGA</t>
        </is>
      </c>
      <c r="F570" s="43" t="inlineStr">
        <is>
          <t>035-CVEBU</t>
        </is>
      </c>
      <c r="G570" s="43" t="inlineStr">
        <is>
          <t>CTANJZ05311</t>
        </is>
      </c>
      <c r="H570" s="43" t="inlineStr">
        <is>
          <t>To temporarily use parts/materials that do not meet the specifications</t>
        </is>
      </c>
      <c r="I570" s="43" t="inlineStr">
        <is>
          <t>Customer Deviation</t>
        </is>
      </c>
      <c r="J570" s="43" t="inlineStr">
        <is>
          <t>D612169</t>
        </is>
      </c>
      <c r="K570" s="33" t="inlineStr">
        <is>
          <t>D612169 CVEBU; Tyne - Allowing FJZ to utilize ADI IPQ MPN; ADV7537JBCZ-10 under 15-110893-01Extension of D610433Affected items68-104853-0168-104854-0173-103698-0673-103940-0615-110893-01</t>
        </is>
      </c>
      <c r="L570" s="43" t="inlineStr">
        <is>
          <t>Expired</t>
        </is>
      </c>
      <c r="M570" s="43" t="inlineStr">
        <is>
          <t>73-103698-06</t>
        </is>
      </c>
      <c r="N570" s="43" t="inlineStr"/>
      <c r="O570" s="43" t="inlineStr">
        <is>
          <t>2026-09-20</t>
        </is>
      </c>
      <c r="P570" s="33" t="inlineStr">
        <is>
          <t>To temporarily use parts/materials that do not meet the specifications</t>
        </is>
      </c>
      <c r="Q570" s="43" t="inlineStr">
        <is>
          <t>N/A</t>
        </is>
      </c>
      <c r="R570" s="43" t="inlineStr">
        <is>
          <t>2026-06-24</t>
        </is>
      </c>
      <c r="S570" s="43" t="inlineStr">
        <is>
          <t>2026-07-02</t>
        </is>
      </c>
      <c r="T570" s="43" t="inlineStr"/>
      <c r="U570" s="43" t="inlineStr"/>
    </row>
    <row r="571">
      <c r="A571" s="43" t="n">
        <v>571</v>
      </c>
      <c r="B571" s="43" t="inlineStr">
        <is>
          <t>570</t>
        </is>
      </c>
      <c r="C571" s="43" t="inlineStr">
        <is>
          <t>FJZP</t>
        </is>
      </c>
      <c r="D571" s="43" t="inlineStr">
        <is>
          <t>Cisco</t>
        </is>
      </c>
      <c r="E571" s="43" t="inlineStr">
        <is>
          <t>MCGA</t>
        </is>
      </c>
      <c r="F571" s="43" t="inlineStr">
        <is>
          <t>035-CVEBU</t>
        </is>
      </c>
      <c r="G571" s="43" t="inlineStr">
        <is>
          <t>CTANJZ05311</t>
        </is>
      </c>
      <c r="H571" s="43" t="inlineStr">
        <is>
          <t>To temporarily use parts/materials that do not meet the specifications</t>
        </is>
      </c>
      <c r="I571" s="43" t="inlineStr">
        <is>
          <t>Customer Deviation</t>
        </is>
      </c>
      <c r="J571" s="43" t="inlineStr">
        <is>
          <t>D612169</t>
        </is>
      </c>
      <c r="K571" s="33" t="inlineStr">
        <is>
          <t>D612169 CVEBU; Tyne - Allowing FJZ to utilize ADI IPQ MPN; ADV7537JBCZ-10 under 15-110893-01Extension of D610433Affected items68-104853-0168-104854-0173-103698-0673-103940-0615-110893-01</t>
        </is>
      </c>
      <c r="L571" s="43" t="inlineStr">
        <is>
          <t>Expired</t>
        </is>
      </c>
      <c r="M571" s="43" t="inlineStr">
        <is>
          <t>73-103940-06</t>
        </is>
      </c>
      <c r="N571" s="43" t="inlineStr"/>
      <c r="O571" s="43" t="inlineStr">
        <is>
          <t>2026-09-20</t>
        </is>
      </c>
      <c r="P571" s="33" t="inlineStr">
        <is>
          <t>To temporarily use parts/materials that do not meet the specifications</t>
        </is>
      </c>
      <c r="Q571" s="43" t="inlineStr">
        <is>
          <t>N/A</t>
        </is>
      </c>
      <c r="R571" s="43" t="inlineStr">
        <is>
          <t>2026-06-24</t>
        </is>
      </c>
      <c r="S571" s="43" t="inlineStr">
        <is>
          <t>2026-07-02</t>
        </is>
      </c>
      <c r="T571" s="43" t="inlineStr"/>
      <c r="U571" s="43" t="inlineStr"/>
    </row>
    <row r="572">
      <c r="A572" s="43" t="n">
        <v>572</v>
      </c>
      <c r="B572" s="43" t="inlineStr">
        <is>
          <t>571</t>
        </is>
      </c>
      <c r="C572" s="43" t="inlineStr">
        <is>
          <t>FJZP</t>
        </is>
      </c>
      <c r="D572" s="43" t="inlineStr">
        <is>
          <t>Cisco</t>
        </is>
      </c>
      <c r="E572" s="43" t="inlineStr">
        <is>
          <t>MCGA</t>
        </is>
      </c>
      <c r="F572" s="43" t="inlineStr">
        <is>
          <t>035-CVEBU</t>
        </is>
      </c>
      <c r="G572" s="43" t="inlineStr">
        <is>
          <t>CTANJZ05311</t>
        </is>
      </c>
      <c r="H572" s="43" t="inlineStr">
        <is>
          <t>To temporarily use parts/materials that do not meet the specifications</t>
        </is>
      </c>
      <c r="I572" s="43" t="inlineStr">
        <is>
          <t>Customer Deviation</t>
        </is>
      </c>
      <c r="J572" s="43" t="inlineStr">
        <is>
          <t>D612169</t>
        </is>
      </c>
      <c r="K572" s="33" t="inlineStr">
        <is>
          <t>D612169 CVEBU; Tyne - Allowing FJZ to utilize ADI IPQ MPN; ADV7537JBCZ-10 under 15-110893-01Extension of D610433Affected items68-104853-0168-104854-0173-103698-0673-103940-0615-110893-01</t>
        </is>
      </c>
      <c r="L572" s="43" t="inlineStr">
        <is>
          <t>Expired</t>
        </is>
      </c>
      <c r="M572" s="43" t="inlineStr">
        <is>
          <t>800-113105-01</t>
        </is>
      </c>
      <c r="N572" s="43" t="inlineStr"/>
      <c r="O572" s="43" t="inlineStr">
        <is>
          <t>2026-09-20</t>
        </is>
      </c>
      <c r="P572" s="33" t="inlineStr">
        <is>
          <t>To temporarily use parts/materials that do not meet the specifications</t>
        </is>
      </c>
      <c r="Q572" s="43" t="inlineStr">
        <is>
          <t>N/A</t>
        </is>
      </c>
      <c r="R572" s="43" t="inlineStr">
        <is>
          <t>2026-06-24</t>
        </is>
      </c>
      <c r="S572" s="43" t="inlineStr">
        <is>
          <t>2026-07-02</t>
        </is>
      </c>
      <c r="T572" s="43" t="inlineStr"/>
      <c r="U572" s="43" t="inlineStr"/>
    </row>
    <row r="573">
      <c r="A573" s="43" t="n">
        <v>573</v>
      </c>
      <c r="B573" s="43" t="inlineStr">
        <is>
          <t>572</t>
        </is>
      </c>
      <c r="C573" s="43" t="inlineStr">
        <is>
          <t>FJZP</t>
        </is>
      </c>
      <c r="D573" s="43" t="inlineStr">
        <is>
          <t>Cisco</t>
        </is>
      </c>
      <c r="E573" s="43" t="inlineStr">
        <is>
          <t>MCGA</t>
        </is>
      </c>
      <c r="F573" s="43" t="inlineStr">
        <is>
          <t>035-CVEBU</t>
        </is>
      </c>
      <c r="G573" s="43" t="inlineStr">
        <is>
          <t>CTANJZ05311</t>
        </is>
      </c>
      <c r="H573" s="43" t="inlineStr">
        <is>
          <t>To temporarily use parts/materials that do not meet the specifications</t>
        </is>
      </c>
      <c r="I573" s="43" t="inlineStr">
        <is>
          <t>Customer Deviation</t>
        </is>
      </c>
      <c r="J573" s="43" t="inlineStr">
        <is>
          <t>D612169</t>
        </is>
      </c>
      <c r="K573" s="33" t="inlineStr">
        <is>
          <t>D612169 CVEBU; Tyne - Allowing FJZ to utilize ADI IPQ MPN; ADV7537JBCZ-10 under 15-110893-01Extension of D610433Affected items68-104853-0168-104854-0173-103698-0673-103940-0615-110893-01</t>
        </is>
      </c>
      <c r="L573" s="43" t="inlineStr">
        <is>
          <t>Expired</t>
        </is>
      </c>
      <c r="M573" s="43" t="inlineStr">
        <is>
          <t>800-113255-01</t>
        </is>
      </c>
      <c r="N573" s="43" t="inlineStr"/>
      <c r="O573" s="43" t="inlineStr">
        <is>
          <t>2026-09-20</t>
        </is>
      </c>
      <c r="P573" s="33" t="inlineStr">
        <is>
          <t>To temporarily use parts/materials that do not meet the specifications</t>
        </is>
      </c>
      <c r="Q573" s="43" t="inlineStr">
        <is>
          <t>N/A</t>
        </is>
      </c>
      <c r="R573" s="43" t="inlineStr">
        <is>
          <t>2026-06-24</t>
        </is>
      </c>
      <c r="S573" s="43" t="inlineStr">
        <is>
          <t>2026-07-02</t>
        </is>
      </c>
      <c r="T573" s="43" t="inlineStr"/>
      <c r="U573" s="43" t="inlineStr"/>
    </row>
    <row r="574">
      <c r="A574" s="43" t="n">
        <v>574</v>
      </c>
      <c r="B574" s="43" t="inlineStr">
        <is>
          <t>573</t>
        </is>
      </c>
      <c r="C574" s="43" t="inlineStr">
        <is>
          <t>FJZP</t>
        </is>
      </c>
      <c r="D574" s="43" t="inlineStr">
        <is>
          <t>Cisco</t>
        </is>
      </c>
      <c r="E574" s="43" t="inlineStr">
        <is>
          <t>MCGA</t>
        </is>
      </c>
      <c r="F574" s="43" t="inlineStr">
        <is>
          <t>037-STBU</t>
        </is>
      </c>
      <c r="G574" s="43" t="inlineStr">
        <is>
          <t>CTANJZ05174</t>
        </is>
      </c>
      <c r="H574" s="43" t="inlineStr">
        <is>
          <t>For temporary part/material substitution (EXTENDABLE)</t>
        </is>
      </c>
      <c r="I574" s="43" t="inlineStr">
        <is>
          <t>Customer Deviation</t>
        </is>
      </c>
      <c r="J574" s="43" t="inlineStr">
        <is>
          <t>D609996</t>
        </is>
      </c>
      <c r="K574" s="33" t="inlineStr">
        <is>
          <t>D609996 FJZ is requesting to use the 15-104142-01 instead of the -02 version (qty=908)</t>
        </is>
      </c>
      <c r="L574" s="43" t="inlineStr">
        <is>
          <t>Expired</t>
        </is>
      </c>
      <c r="M574" s="43" t="inlineStr">
        <is>
          <t>15-104142-02</t>
        </is>
      </c>
      <c r="N574" s="43" t="inlineStr"/>
      <c r="O574" s="43" t="inlineStr">
        <is>
          <t>2026-06-25</t>
        </is>
      </c>
      <c r="P574" s="33" t="inlineStr">
        <is>
          <t>For temporary part/material substitution (EXTENDABLE 2x)</t>
        </is>
      </c>
      <c r="Q574" s="43" t="inlineStr">
        <is>
          <t>Mark the PCBA with a label and the number on it.</t>
        </is>
      </c>
      <c r="R574" s="43" t="inlineStr">
        <is>
          <t>2026-03-30</t>
        </is>
      </c>
      <c r="S574" s="43" t="inlineStr">
        <is>
          <t>2026-04-18</t>
        </is>
      </c>
      <c r="T574" s="43" t="inlineStr"/>
      <c r="U574" s="43" t="inlineStr"/>
    </row>
    <row r="575">
      <c r="A575" s="43" t="n">
        <v>575</v>
      </c>
      <c r="B575" s="43" t="inlineStr">
        <is>
          <t>574</t>
        </is>
      </c>
      <c r="C575" s="43" t="inlineStr">
        <is>
          <t>FJZP</t>
        </is>
      </c>
      <c r="D575" s="43" t="inlineStr">
        <is>
          <t>Cisco</t>
        </is>
      </c>
      <c r="E575" s="43" t="inlineStr">
        <is>
          <t>MCGA</t>
        </is>
      </c>
      <c r="F575" s="43" t="inlineStr">
        <is>
          <t>037-STBU</t>
        </is>
      </c>
      <c r="G575" s="43" t="inlineStr">
        <is>
          <t>CTANJZ05174</t>
        </is>
      </c>
      <c r="H575" s="43" t="inlineStr">
        <is>
          <t>For temporary part/material substitution (EXTENDABLE)</t>
        </is>
      </c>
      <c r="I575" s="43" t="inlineStr">
        <is>
          <t>Customer Deviation</t>
        </is>
      </c>
      <c r="J575" s="43" t="inlineStr">
        <is>
          <t>D609996</t>
        </is>
      </c>
      <c r="K575" s="33" t="inlineStr">
        <is>
          <t>D609996 FJZ is requesting to use the 15-104142-01 instead of the -02 version (qty=908)</t>
        </is>
      </c>
      <c r="L575" s="43" t="inlineStr">
        <is>
          <t>Expired</t>
        </is>
      </c>
      <c r="M575" s="43" t="inlineStr">
        <is>
          <t>800-104788-04</t>
        </is>
      </c>
      <c r="N575" s="43" t="inlineStr"/>
      <c r="O575" s="43" t="inlineStr">
        <is>
          <t>2026-06-25</t>
        </is>
      </c>
      <c r="P575" s="33" t="inlineStr">
        <is>
          <t>For temporary part/material substitution (EXTENDABLE 2x)</t>
        </is>
      </c>
      <c r="Q575" s="43" t="inlineStr">
        <is>
          <t>Mark the PCBA with a label and the number on it.</t>
        </is>
      </c>
      <c r="R575" s="43" t="inlineStr">
        <is>
          <t>2026-03-30</t>
        </is>
      </c>
      <c r="S575" s="43" t="inlineStr">
        <is>
          <t>2026-04-18</t>
        </is>
      </c>
      <c r="T575" s="43" t="inlineStr"/>
      <c r="U575" s="43" t="inlineStr"/>
    </row>
    <row r="576">
      <c r="A576" s="43" t="n">
        <v>576</v>
      </c>
      <c r="B576" s="43" t="inlineStr">
        <is>
          <t>575</t>
        </is>
      </c>
      <c r="C576" s="43" t="inlineStr">
        <is>
          <t>FJZP</t>
        </is>
      </c>
      <c r="D576" s="43" t="inlineStr">
        <is>
          <t>Cisco</t>
        </is>
      </c>
      <c r="E576" s="43" t="inlineStr">
        <is>
          <t>MCGA</t>
        </is>
      </c>
      <c r="F576" s="43" t="inlineStr">
        <is>
          <t>037-STBU</t>
        </is>
      </c>
      <c r="G576" s="43" t="inlineStr">
        <is>
          <t>CTANJZ05174</t>
        </is>
      </c>
      <c r="H576" s="43" t="inlineStr">
        <is>
          <t>For temporary part/material substitution (EXTENDABLE)</t>
        </is>
      </c>
      <c r="I576" s="43" t="inlineStr">
        <is>
          <t>Customer Deviation</t>
        </is>
      </c>
      <c r="J576" s="43" t="inlineStr">
        <is>
          <t>D609996</t>
        </is>
      </c>
      <c r="K576" s="33" t="inlineStr">
        <is>
          <t>D609996 FJZ is requesting to use the 15-104142-01 instead of the -02 version (qty=908)</t>
        </is>
      </c>
      <c r="L576" s="43" t="inlineStr">
        <is>
          <t>Expired</t>
        </is>
      </c>
      <c r="M576" s="43" t="inlineStr">
        <is>
          <t>800-104789-04</t>
        </is>
      </c>
      <c r="N576" s="43" t="inlineStr"/>
      <c r="O576" s="43" t="inlineStr">
        <is>
          <t>2026-06-25</t>
        </is>
      </c>
      <c r="P576" s="33" t="inlineStr">
        <is>
          <t>For temporary part/material substitution (EXTENDABLE 2x)</t>
        </is>
      </c>
      <c r="Q576" s="43" t="inlineStr">
        <is>
          <t>Mark the PCBA with a label and the number on it.</t>
        </is>
      </c>
      <c r="R576" s="43" t="inlineStr">
        <is>
          <t>2026-03-30</t>
        </is>
      </c>
      <c r="S576" s="43" t="inlineStr">
        <is>
          <t>2026-04-18</t>
        </is>
      </c>
      <c r="T576" s="43" t="inlineStr"/>
      <c r="U576" s="43" t="inlineStr"/>
    </row>
    <row r="577">
      <c r="A577" s="43" t="n">
        <v>577</v>
      </c>
      <c r="B577" s="43" t="inlineStr">
        <is>
          <t>576</t>
        </is>
      </c>
      <c r="C577" s="43" t="inlineStr">
        <is>
          <t>FJZP</t>
        </is>
      </c>
      <c r="D577" s="43" t="inlineStr">
        <is>
          <t>Cisco</t>
        </is>
      </c>
      <c r="E577" s="43" t="inlineStr">
        <is>
          <t>MCGA</t>
        </is>
      </c>
      <c r="F577" s="43" t="inlineStr">
        <is>
          <t>035-CVEBU</t>
        </is>
      </c>
      <c r="G577" s="43" t="inlineStr">
        <is>
          <t>CTANJZ05245</t>
        </is>
      </c>
      <c r="H577" s="43" t="inlineStr">
        <is>
          <t>To temporarily use parts/materials that do not meet the specifications</t>
        </is>
      </c>
      <c r="I577" s="43" t="inlineStr">
        <is>
          <t>Customer Deviation</t>
        </is>
      </c>
      <c r="J577" s="43" t="inlineStr">
        <is>
          <t>D611365</t>
        </is>
      </c>
      <c r="K577" s="33" t="inlineStr">
        <is>
          <t>D611365Allow to ship the units with a stress mark on the cosmetic surface of the rear cover 700-135777-01</t>
        </is>
      </c>
      <c r="L577" s="43" t="inlineStr">
        <is>
          <t>Expired</t>
        </is>
      </c>
      <c r="M577" s="43" t="inlineStr">
        <is>
          <t>68-107082-01</t>
        </is>
      </c>
      <c r="N577" s="43" t="inlineStr"/>
      <c r="O577" s="43" t="inlineStr">
        <is>
          <t>2026-08-13</t>
        </is>
      </c>
      <c r="P577" s="33" t="inlineStr">
        <is>
          <t>To temporarily use parts/materials that do not meet the specifications</t>
        </is>
      </c>
      <c r="Q577" s="43" t="inlineStr">
        <is>
          <t>No marking required</t>
        </is>
      </c>
      <c r="R577" s="43" t="inlineStr">
        <is>
          <t>2026-05-18</t>
        </is>
      </c>
      <c r="S577" s="43" t="inlineStr">
        <is>
          <t>2026-05-29</t>
        </is>
      </c>
      <c r="T577" s="43" t="inlineStr"/>
      <c r="U577" s="43" t="inlineStr"/>
    </row>
    <row r="578">
      <c r="A578" s="43" t="n">
        <v>578</v>
      </c>
      <c r="B578" s="43" t="inlineStr">
        <is>
          <t>577</t>
        </is>
      </c>
      <c r="C578" s="43" t="inlineStr">
        <is>
          <t>FJZP</t>
        </is>
      </c>
      <c r="D578" s="43" t="inlineStr">
        <is>
          <t>Cisco</t>
        </is>
      </c>
      <c r="E578" s="43" t="inlineStr">
        <is>
          <t>MCGA</t>
        </is>
      </c>
      <c r="F578" s="43" t="inlineStr">
        <is>
          <t>035-CVEBU</t>
        </is>
      </c>
      <c r="G578" s="43" t="inlineStr">
        <is>
          <t>CTANJZ05245</t>
        </is>
      </c>
      <c r="H578" s="43" t="inlineStr">
        <is>
          <t>To temporarily use parts/materials that do not meet the specifications</t>
        </is>
      </c>
      <c r="I578" s="43" t="inlineStr">
        <is>
          <t>Customer Deviation</t>
        </is>
      </c>
      <c r="J578" s="43" t="inlineStr">
        <is>
          <t>D611365</t>
        </is>
      </c>
      <c r="K578" s="33" t="inlineStr">
        <is>
          <t>D611365Allow to ship the units with a stress mark on the cosmetic surface of the rear cover 700-135777-01</t>
        </is>
      </c>
      <c r="L578" s="43" t="inlineStr">
        <is>
          <t>Expired</t>
        </is>
      </c>
      <c r="M578" s="43" t="inlineStr">
        <is>
          <t>68-107083-01</t>
        </is>
      </c>
      <c r="N578" s="43" t="inlineStr"/>
      <c r="O578" s="43" t="inlineStr">
        <is>
          <t>2026-08-13</t>
        </is>
      </c>
      <c r="P578" s="33" t="inlineStr">
        <is>
          <t>To temporarily use parts/materials that do not meet the specifications</t>
        </is>
      </c>
      <c r="Q578" s="43" t="inlineStr">
        <is>
          <t>No marking required</t>
        </is>
      </c>
      <c r="R578" s="43" t="inlineStr">
        <is>
          <t>2026-05-18</t>
        </is>
      </c>
      <c r="S578" s="43" t="inlineStr">
        <is>
          <t>2026-05-29</t>
        </is>
      </c>
      <c r="T578" s="43" t="inlineStr"/>
      <c r="U578" s="43" t="inlineStr"/>
    </row>
    <row r="579">
      <c r="A579" s="43" t="n">
        <v>579</v>
      </c>
      <c r="B579" s="43" t="inlineStr">
        <is>
          <t>578</t>
        </is>
      </c>
      <c r="C579" s="43" t="inlineStr">
        <is>
          <t>FJZP</t>
        </is>
      </c>
      <c r="D579" s="43" t="inlineStr">
        <is>
          <t>Cisco</t>
        </is>
      </c>
      <c r="E579" s="43" t="inlineStr">
        <is>
          <t>MCGA</t>
        </is>
      </c>
      <c r="F579" s="43" t="inlineStr">
        <is>
          <t>035-CVEBU</t>
        </is>
      </c>
      <c r="G579" s="43" t="inlineStr">
        <is>
          <t>CTANJZ05245</t>
        </is>
      </c>
      <c r="H579" s="43" t="inlineStr">
        <is>
          <t>To temporarily use parts/materials that do not meet the specifications</t>
        </is>
      </c>
      <c r="I579" s="43" t="inlineStr">
        <is>
          <t>Customer Deviation</t>
        </is>
      </c>
      <c r="J579" s="43" t="inlineStr">
        <is>
          <t>D611365</t>
        </is>
      </c>
      <c r="K579" s="33" t="inlineStr">
        <is>
          <t>D611365Allow to ship the units with a stress mark on the cosmetic surface of the rear cover 700-135777-01</t>
        </is>
      </c>
      <c r="L579" s="43" t="inlineStr">
        <is>
          <t>Expired</t>
        </is>
      </c>
      <c r="M579" s="43" t="inlineStr">
        <is>
          <t>68-107084-01</t>
        </is>
      </c>
      <c r="N579" s="43" t="inlineStr"/>
      <c r="O579" s="43" t="inlineStr">
        <is>
          <t>2026-08-13</t>
        </is>
      </c>
      <c r="P579" s="33" t="inlineStr">
        <is>
          <t>To temporarily use parts/materials that do not meet the specifications</t>
        </is>
      </c>
      <c r="Q579" s="43" t="inlineStr">
        <is>
          <t>No marking required</t>
        </is>
      </c>
      <c r="R579" s="43" t="inlineStr">
        <is>
          <t>2026-05-18</t>
        </is>
      </c>
      <c r="S579" s="43" t="inlineStr">
        <is>
          <t>2026-05-29</t>
        </is>
      </c>
      <c r="T579" s="43" t="inlineStr"/>
      <c r="U579" s="43" t="inlineStr"/>
    </row>
    <row r="580">
      <c r="A580" s="43" t="n">
        <v>580</v>
      </c>
      <c r="B580" s="43" t="inlineStr">
        <is>
          <t>579</t>
        </is>
      </c>
      <c r="C580" s="43" t="inlineStr">
        <is>
          <t>FJZP</t>
        </is>
      </c>
      <c r="D580" s="43" t="inlineStr">
        <is>
          <t>Cisco</t>
        </is>
      </c>
      <c r="E580" s="43" t="inlineStr">
        <is>
          <t>MCGA</t>
        </is>
      </c>
      <c r="F580" s="43" t="inlineStr">
        <is>
          <t>035-CVEBU</t>
        </is>
      </c>
      <c r="G580" s="43" t="inlineStr">
        <is>
          <t>CTANJZ05245</t>
        </is>
      </c>
      <c r="H580" s="43" t="inlineStr">
        <is>
          <t>To temporarily use parts/materials that do not meet the specifications</t>
        </is>
      </c>
      <c r="I580" s="43" t="inlineStr">
        <is>
          <t>Customer Deviation</t>
        </is>
      </c>
      <c r="J580" s="43" t="inlineStr">
        <is>
          <t>D611365</t>
        </is>
      </c>
      <c r="K580" s="33" t="inlineStr">
        <is>
          <t>D611365Allow to ship the units with a stress mark on the cosmetic surface of the rear cover 700-135777-01</t>
        </is>
      </c>
      <c r="L580" s="43" t="inlineStr">
        <is>
          <t>Expired</t>
        </is>
      </c>
      <c r="M580" s="43" t="inlineStr">
        <is>
          <t>68-107085-01</t>
        </is>
      </c>
      <c r="N580" s="43" t="inlineStr"/>
      <c r="O580" s="43" t="inlineStr">
        <is>
          <t>2026-08-13</t>
        </is>
      </c>
      <c r="P580" s="33" t="inlineStr">
        <is>
          <t>To temporarily use parts/materials that do not meet the specifications</t>
        </is>
      </c>
      <c r="Q580" s="43" t="inlineStr">
        <is>
          <t>No marking required</t>
        </is>
      </c>
      <c r="R580" s="43" t="inlineStr">
        <is>
          <t>2026-05-18</t>
        </is>
      </c>
      <c r="S580" s="43" t="inlineStr">
        <is>
          <t>2026-05-29</t>
        </is>
      </c>
      <c r="T580" s="43" t="inlineStr"/>
      <c r="U580" s="43" t="inlineStr"/>
    </row>
    <row r="581">
      <c r="A581" s="43" t="n">
        <v>581</v>
      </c>
      <c r="B581" s="43" t="inlineStr">
        <is>
          <t>580</t>
        </is>
      </c>
      <c r="C581" s="43" t="inlineStr">
        <is>
          <t>FJZP</t>
        </is>
      </c>
      <c r="D581" s="43" t="inlineStr">
        <is>
          <t>Cisco</t>
        </is>
      </c>
      <c r="E581" s="43" t="inlineStr">
        <is>
          <t>MCGA</t>
        </is>
      </c>
      <c r="F581" s="43" t="inlineStr">
        <is>
          <t>035-CVEBU</t>
        </is>
      </c>
      <c r="G581" s="43" t="inlineStr">
        <is>
          <t>CTANJZ05245</t>
        </is>
      </c>
      <c r="H581" s="43" t="inlineStr">
        <is>
          <t>To temporarily use parts/materials that do not meet the specifications</t>
        </is>
      </c>
      <c r="I581" s="43" t="inlineStr">
        <is>
          <t>Customer Deviation</t>
        </is>
      </c>
      <c r="J581" s="43" t="inlineStr">
        <is>
          <t>D611365</t>
        </is>
      </c>
      <c r="K581" s="33" t="inlineStr">
        <is>
          <t>D611365Allow to ship the units with a stress mark on the cosmetic surface of the rear cover 700-135777-01</t>
        </is>
      </c>
      <c r="L581" s="43" t="inlineStr">
        <is>
          <t>Expired</t>
        </is>
      </c>
      <c r="M581" s="43" t="inlineStr">
        <is>
          <t>68-108083-01</t>
        </is>
      </c>
      <c r="N581" s="43" t="inlineStr"/>
      <c r="O581" s="43" t="inlineStr">
        <is>
          <t>2026-08-13</t>
        </is>
      </c>
      <c r="P581" s="33" t="inlineStr">
        <is>
          <t>To temporarily use parts/materials that do not meet the specifications</t>
        </is>
      </c>
      <c r="Q581" s="43" t="inlineStr">
        <is>
          <t>No marking required</t>
        </is>
      </c>
      <c r="R581" s="43" t="inlineStr">
        <is>
          <t>2026-05-18</t>
        </is>
      </c>
      <c r="S581" s="43" t="inlineStr">
        <is>
          <t>2026-05-29</t>
        </is>
      </c>
      <c r="T581" s="43" t="inlineStr"/>
      <c r="U581" s="43" t="inlineStr"/>
    </row>
    <row r="582">
      <c r="A582" s="43" t="n">
        <v>582</v>
      </c>
      <c r="B582" s="43" t="inlineStr">
        <is>
          <t>581</t>
        </is>
      </c>
      <c r="C582" s="43" t="inlineStr">
        <is>
          <t>FJZP</t>
        </is>
      </c>
      <c r="D582" s="43" t="inlineStr">
        <is>
          <t>Cisco</t>
        </is>
      </c>
      <c r="E582" s="43" t="inlineStr">
        <is>
          <t>MCGA</t>
        </is>
      </c>
      <c r="F582" s="43" t="inlineStr">
        <is>
          <t>035-CVEBU</t>
        </is>
      </c>
      <c r="G582" s="43" t="inlineStr">
        <is>
          <t>CTANJZ05245</t>
        </is>
      </c>
      <c r="H582" s="43" t="inlineStr">
        <is>
          <t>To temporarily use parts/materials that do not meet the specifications</t>
        </is>
      </c>
      <c r="I582" s="43" t="inlineStr">
        <is>
          <t>Customer Deviation</t>
        </is>
      </c>
      <c r="J582" s="43" t="inlineStr">
        <is>
          <t>D611365</t>
        </is>
      </c>
      <c r="K582" s="33" t="inlineStr">
        <is>
          <t>D611365Allow to ship the units with a stress mark on the cosmetic surface of the rear cover 700-135777-01</t>
        </is>
      </c>
      <c r="L582" s="43" t="inlineStr">
        <is>
          <t>Expired</t>
        </is>
      </c>
      <c r="M582" s="43" t="inlineStr">
        <is>
          <t>68-108085-01</t>
        </is>
      </c>
      <c r="N582" s="43" t="inlineStr"/>
      <c r="O582" s="43" t="inlineStr">
        <is>
          <t>2026-08-13</t>
        </is>
      </c>
      <c r="P582" s="33" t="inlineStr">
        <is>
          <t>To temporarily use parts/materials that do not meet the specifications</t>
        </is>
      </c>
      <c r="Q582" s="43" t="inlineStr">
        <is>
          <t>No marking required</t>
        </is>
      </c>
      <c r="R582" s="43" t="inlineStr">
        <is>
          <t>2026-05-18</t>
        </is>
      </c>
      <c r="S582" s="43" t="inlineStr">
        <is>
          <t>2026-05-29</t>
        </is>
      </c>
      <c r="T582" s="43" t="inlineStr"/>
      <c r="U582" s="43" t="inlineStr"/>
    </row>
    <row r="583">
      <c r="A583" s="43" t="n">
        <v>583</v>
      </c>
      <c r="B583" s="43" t="inlineStr">
        <is>
          <t>582</t>
        </is>
      </c>
      <c r="C583" s="43" t="inlineStr">
        <is>
          <t>FJZP</t>
        </is>
      </c>
      <c r="D583" s="43" t="inlineStr">
        <is>
          <t>Cisco</t>
        </is>
      </c>
      <c r="E583" s="43" t="inlineStr">
        <is>
          <t>MCGA</t>
        </is>
      </c>
      <c r="F583" s="43" t="inlineStr">
        <is>
          <t>239-CRBU</t>
        </is>
      </c>
      <c r="G583" s="43" t="inlineStr">
        <is>
          <t>CTANJZ05504</t>
        </is>
      </c>
      <c r="H583" s="43" t="inlineStr">
        <is>
          <t>For temporary part/material substitution (EXTENDABLE)</t>
        </is>
      </c>
      <c r="I583" s="43" t="inlineStr">
        <is>
          <t>Customer Deviation</t>
        </is>
      </c>
      <c r="J583" s="43" t="inlineStr">
        <is>
          <t>D611865</t>
        </is>
      </c>
      <c r="K583" s="33" t="inlineStr">
        <is>
          <t>D611865 UABU-Foxconn Juarez (FJZ)  is allowed to purchase and use VISHAY Mfg. Part Si1902DL-T1-GE3  (Lead (Pb)-free and Halogen-free)  instead of Si1902DL-T1-E3 (Pb)-free with Tape and Reel) for CPN 20-0405-01.CPN: 20-0405-01MPN: Si1902DL-T1-GE3Component will be present on the boards in the attachment for each PF:NyquistQuakeMobiusDie HardEOTARCADE</t>
        </is>
      </c>
      <c r="L583" s="43" t="inlineStr">
        <is>
          <t>CCB</t>
        </is>
      </c>
      <c r="M583" s="43" t="inlineStr">
        <is>
          <t>20-0405-01</t>
        </is>
      </c>
      <c r="N583" s="43" t="inlineStr"/>
      <c r="O583" s="43" t="inlineStr">
        <is>
          <t>2026-12-21</t>
        </is>
      </c>
      <c r="P583" s="33" t="inlineStr">
        <is>
          <t>For temporary part/material substitution (EXTENDABLE 2x)</t>
        </is>
      </c>
      <c r="Q583" s="43" t="inlineStr">
        <is>
          <t>N/A</t>
        </is>
      </c>
      <c r="R583" s="43" t="inlineStr">
        <is>
          <t>2026-09-23</t>
        </is>
      </c>
      <c r="S583" s="43" t="inlineStr"/>
      <c r="T583" s="43" t="inlineStr"/>
      <c r="U583" s="43" t="inlineStr"/>
    </row>
    <row r="584">
      <c r="A584" s="43" t="n">
        <v>584</v>
      </c>
      <c r="B584" s="43" t="inlineStr">
        <is>
          <t>583</t>
        </is>
      </c>
      <c r="C584" s="43" t="inlineStr">
        <is>
          <t>FJZP</t>
        </is>
      </c>
      <c r="D584" s="43" t="inlineStr">
        <is>
          <t>Cisco</t>
        </is>
      </c>
      <c r="E584" s="43" t="inlineStr">
        <is>
          <t>MCGA</t>
        </is>
      </c>
      <c r="F584" s="43" t="inlineStr">
        <is>
          <t>239-CRBU</t>
        </is>
      </c>
      <c r="G584" s="43" t="inlineStr">
        <is>
          <t>CTANJZ05504</t>
        </is>
      </c>
      <c r="H584" s="43" t="inlineStr">
        <is>
          <t>For temporary part/material substitution (EXTENDABLE)</t>
        </is>
      </c>
      <c r="I584" s="43" t="inlineStr">
        <is>
          <t>Customer Deviation</t>
        </is>
      </c>
      <c r="J584" s="43" t="inlineStr">
        <is>
          <t>D611865</t>
        </is>
      </c>
      <c r="K584" s="33" t="inlineStr">
        <is>
          <t>D611865 UABU-Foxconn Juarez (FJZ)  is allowed to purchase and use VISHAY Mfg. Part Si1902DL-T1-GE3  (Lead (Pb)-free and Halogen-free)  instead of Si1902DL-T1-E3 (Pb)-free with Tape and Reel) for CPN 20-0405-01.CPN: 20-0405-01MPN: Si1902DL-T1-GE3Component will be present on the boards in the attachment for each PF:NyquistQuakeMobiusDie HardEOTARCADE</t>
        </is>
      </c>
      <c r="L584" s="43" t="inlineStr">
        <is>
          <t>CCB</t>
        </is>
      </c>
      <c r="M584" s="43" t="inlineStr">
        <is>
          <t>73-19911-07</t>
        </is>
      </c>
      <c r="N584" s="43" t="inlineStr"/>
      <c r="O584" s="43" t="inlineStr">
        <is>
          <t>2026-12-21</t>
        </is>
      </c>
      <c r="P584" s="33" t="inlineStr">
        <is>
          <t>For temporary part/material substitution (EXTENDABLE 2x)</t>
        </is>
      </c>
      <c r="Q584" s="43" t="inlineStr">
        <is>
          <t>N/A</t>
        </is>
      </c>
      <c r="R584" s="43" t="inlineStr">
        <is>
          <t>2026-09-23</t>
        </is>
      </c>
      <c r="S584" s="43" t="inlineStr"/>
      <c r="T584" s="43" t="inlineStr"/>
      <c r="U584" s="43" t="inlineStr"/>
    </row>
    <row r="585">
      <c r="A585" s="43" t="n">
        <v>585</v>
      </c>
      <c r="B585" s="43" t="inlineStr">
        <is>
          <t>584</t>
        </is>
      </c>
      <c r="C585" s="43" t="inlineStr">
        <is>
          <t>FJZP</t>
        </is>
      </c>
      <c r="D585" s="43" t="inlineStr">
        <is>
          <t>Cisco</t>
        </is>
      </c>
      <c r="E585" s="43" t="inlineStr">
        <is>
          <t>MCGA</t>
        </is>
      </c>
      <c r="F585" s="43" t="inlineStr">
        <is>
          <t>037-STBU</t>
        </is>
      </c>
      <c r="G585" s="43" t="inlineStr">
        <is>
          <t>CTANJZ05395</t>
        </is>
      </c>
      <c r="H585" s="43" t="inlineStr">
        <is>
          <t>To temporarily use parts/materials that do not meet the specifications</t>
        </is>
      </c>
      <c r="I585" s="43" t="inlineStr">
        <is>
          <t>Customer Deviation</t>
        </is>
      </c>
      <c r="J585" s="43" t="inlineStr">
        <is>
          <t>D612689</t>
        </is>
      </c>
      <c r="K585" s="33" t="inlineStr">
        <is>
          <t>D612689 Solidgm SSDs secured by Cisco will not have the Cisco CPN label affixed to the drives.The labels without the Cisco CPN will be the physical labels on the SSD devices and the inner cartons.Script modification is not needed as the QR/Barcodes are missing the MPN. The MPN need to be printed on a separate label and the operators can scan the SN label and the MPN label on the current master script</t>
        </is>
      </c>
      <c r="L585" s="43" t="inlineStr">
        <is>
          <t>Expired</t>
        </is>
      </c>
      <c r="M585" s="43" t="inlineStr">
        <is>
          <t>16-101234-01</t>
        </is>
      </c>
      <c r="N585" s="43" t="inlineStr"/>
      <c r="O585" s="43" t="inlineStr">
        <is>
          <t>2026-10-14</t>
        </is>
      </c>
      <c r="P585" s="33" t="inlineStr">
        <is>
          <t>To temporarily use parts/materials that do not meet the specifications</t>
        </is>
      </c>
      <c r="Q585" s="43" t="inlineStr">
        <is>
          <t>Add a label next to chassis label with the deviation number</t>
        </is>
      </c>
      <c r="R585" s="43" t="inlineStr">
        <is>
          <t>2026-07-17</t>
        </is>
      </c>
      <c r="S585" s="43" t="inlineStr">
        <is>
          <t>2026-08-15</t>
        </is>
      </c>
      <c r="T585" s="43" t="inlineStr"/>
      <c r="U585" s="43" t="inlineStr"/>
    </row>
    <row r="586">
      <c r="A586" s="43" t="n">
        <v>586</v>
      </c>
      <c r="B586" s="43" t="inlineStr">
        <is>
          <t>585</t>
        </is>
      </c>
      <c r="C586" s="43" t="inlineStr">
        <is>
          <t>FJZP</t>
        </is>
      </c>
      <c r="D586" s="43" t="inlineStr">
        <is>
          <t>Cisco</t>
        </is>
      </c>
      <c r="E586" s="43" t="inlineStr">
        <is>
          <t>MCGA</t>
        </is>
      </c>
      <c r="F586" s="43" t="inlineStr">
        <is>
          <t>035-CVEBU</t>
        </is>
      </c>
      <c r="G586" s="43" t="inlineStr">
        <is>
          <t>CTANJZ05114</t>
        </is>
      </c>
      <c r="H586" s="43" t="inlineStr">
        <is>
          <t>To temporarily use parts/materials that do not meet the specifications</t>
        </is>
      </c>
      <c r="I586" s="43" t="inlineStr">
        <is>
          <t>Customer Deviation</t>
        </is>
      </c>
      <c r="J586" s="43" t="inlineStr">
        <is>
          <t>D609653</t>
        </is>
      </c>
      <c r="K586" s="33" t="inlineStr">
        <is>
          <t>D609653 NPI; CVEBU; Tyne Pilot 1 Build; Use of ADI IPQ MPN under 15-110893-01Affected items68-104853-0168-104854-0173-103698-0673-103940-0615-110893-01Deviation- For Pilot 1 build at FJZ; FJZ is allowed; and must use IPQ MPN ADV7537JBCZ-10 under 15-110893-01.Comment:Author of this deviation does not know if Pilot 1 build will consists of both Radio and Non-Radio units; hence allowing use of Maglayer MPNs in both assemblies.</t>
        </is>
      </c>
      <c r="L586" s="43" t="inlineStr">
        <is>
          <t>Expired</t>
        </is>
      </c>
      <c r="M586" s="43" t="inlineStr">
        <is>
          <t>800-113105-01</t>
        </is>
      </c>
      <c r="N586" s="43" t="inlineStr"/>
      <c r="O586" s="43" t="inlineStr">
        <is>
          <t>2026-05-19</t>
        </is>
      </c>
      <c r="P586" s="33" t="inlineStr">
        <is>
          <t>To temporarily use parts/materials that do not meet the specifications</t>
        </is>
      </c>
      <c r="Q586" s="43" t="inlineStr">
        <is>
          <t>No marking needed</t>
        </is>
      </c>
      <c r="R586" s="43" t="inlineStr">
        <is>
          <t>2026-02-24</t>
        </is>
      </c>
      <c r="S586" s="43" t="inlineStr">
        <is>
          <t>2026-03-03</t>
        </is>
      </c>
      <c r="T586" s="43" t="inlineStr"/>
      <c r="U586" s="43" t="inlineStr"/>
    </row>
    <row r="587">
      <c r="A587" s="43" t="n">
        <v>587</v>
      </c>
      <c r="B587" s="43" t="inlineStr">
        <is>
          <t>586</t>
        </is>
      </c>
      <c r="C587" s="43" t="inlineStr">
        <is>
          <t>FJZP</t>
        </is>
      </c>
      <c r="D587" s="43" t="inlineStr">
        <is>
          <t>Cisco</t>
        </is>
      </c>
      <c r="E587" s="43" t="inlineStr">
        <is>
          <t>MCGA</t>
        </is>
      </c>
      <c r="F587" s="43" t="inlineStr">
        <is>
          <t>035-CVEBU</t>
        </is>
      </c>
      <c r="G587" s="43" t="inlineStr">
        <is>
          <t>CTANJZ05114</t>
        </is>
      </c>
      <c r="H587" s="43" t="inlineStr">
        <is>
          <t>To temporarily use parts/materials that do not meet the specifications</t>
        </is>
      </c>
      <c r="I587" s="43" t="inlineStr">
        <is>
          <t>Customer Deviation</t>
        </is>
      </c>
      <c r="J587" s="43" t="inlineStr">
        <is>
          <t>D609653</t>
        </is>
      </c>
      <c r="K587" s="33" t="inlineStr">
        <is>
          <t>D609653 NPI; CVEBU; Tyne Pilot 1 Build; Use of ADI IPQ MPN under 15-110893-01Affected items68-104853-0168-104854-0173-103698-0673-103940-0615-110893-01Deviation- For Pilot 1 build at FJZ; FJZ is allowed; and must use IPQ MPN ADV7537JBCZ-10 under 15-110893-01.Comment:Author of this deviation does not know if Pilot 1 build will consists of both Radio and Non-Radio units; hence allowing use of Maglayer MPNs in both assemblies.</t>
        </is>
      </c>
      <c r="L587" s="43" t="inlineStr">
        <is>
          <t>Expired</t>
        </is>
      </c>
      <c r="M587" s="43" t="inlineStr">
        <is>
          <t>800-113255-01</t>
        </is>
      </c>
      <c r="N587" s="43" t="inlineStr"/>
      <c r="O587" s="43" t="inlineStr">
        <is>
          <t>2026-05-19</t>
        </is>
      </c>
      <c r="P587" s="33" t="inlineStr">
        <is>
          <t>To temporarily use parts/materials that do not meet the specifications</t>
        </is>
      </c>
      <c r="Q587" s="43" t="inlineStr">
        <is>
          <t>No marking needed</t>
        </is>
      </c>
      <c r="R587" s="43" t="inlineStr">
        <is>
          <t>2026-02-24</t>
        </is>
      </c>
      <c r="S587" s="43" t="inlineStr">
        <is>
          <t>2026-03-03</t>
        </is>
      </c>
      <c r="T587" s="43" t="inlineStr"/>
      <c r="U587" s="43" t="inlineStr"/>
    </row>
    <row r="588">
      <c r="A588" s="43" t="n">
        <v>588</v>
      </c>
      <c r="B588" s="43" t="inlineStr">
        <is>
          <t>587</t>
        </is>
      </c>
      <c r="C588" s="43" t="inlineStr">
        <is>
          <t>FJZP</t>
        </is>
      </c>
      <c r="D588" s="43" t="inlineStr">
        <is>
          <t>Cisco</t>
        </is>
      </c>
      <c r="E588" s="43" t="inlineStr">
        <is>
          <t>MCGA</t>
        </is>
      </c>
      <c r="F588" s="43" t="inlineStr">
        <is>
          <t>037-STBU</t>
        </is>
      </c>
      <c r="G588" s="43" t="inlineStr">
        <is>
          <t>CTANJZ05187</t>
        </is>
      </c>
      <c r="H588" s="43" t="inlineStr">
        <is>
          <t>For temporary part/material substitution (EXTENDABLE)</t>
        </is>
      </c>
      <c r="I588" s="43" t="inlineStr">
        <is>
          <t>Customer Deviation</t>
        </is>
      </c>
      <c r="J588" s="43" t="inlineStr">
        <is>
          <t>D610412</t>
        </is>
      </c>
      <c r="K588" s="33" t="inlineStr">
        <is>
          <t>D610412Use Molex MPN 44068-0287 instead of 44068-0265 for PN# 29-100530-01</t>
        </is>
      </c>
      <c r="L588" s="43" t="inlineStr">
        <is>
          <t>Expired</t>
        </is>
      </c>
      <c r="M588" s="43" t="inlineStr">
        <is>
          <t>29-100530-01</t>
        </is>
      </c>
      <c r="N588" s="43" t="inlineStr"/>
      <c r="O588" s="43" t="inlineStr">
        <is>
          <t>2026-07-02</t>
        </is>
      </c>
      <c r="P588" s="33" t="inlineStr"/>
      <c r="Q588" s="43" t="inlineStr">
        <is>
          <t>Add a label to the PCBs using this altern component</t>
        </is>
      </c>
      <c r="R588" s="43" t="inlineStr">
        <is>
          <t>2026-04-06</t>
        </is>
      </c>
      <c r="S588" s="43" t="inlineStr">
        <is>
          <t>2026-04-24</t>
        </is>
      </c>
      <c r="T588" s="43" t="inlineStr"/>
      <c r="U588" s="43" t="inlineStr"/>
    </row>
    <row r="589">
      <c r="A589" s="43" t="n">
        <v>589</v>
      </c>
      <c r="B589" s="43" t="inlineStr">
        <is>
          <t>588</t>
        </is>
      </c>
      <c r="C589" s="43" t="inlineStr">
        <is>
          <t>FJZP</t>
        </is>
      </c>
      <c r="D589" s="43" t="inlineStr">
        <is>
          <t>Cisco</t>
        </is>
      </c>
      <c r="E589" s="43" t="inlineStr">
        <is>
          <t>MCGA</t>
        </is>
      </c>
      <c r="F589" s="43" t="inlineStr">
        <is>
          <t>037-STBU</t>
        </is>
      </c>
      <c r="G589" s="43" t="inlineStr">
        <is>
          <t>CTANJZ05187</t>
        </is>
      </c>
      <c r="H589" s="43" t="inlineStr">
        <is>
          <t>For temporary part/material substitution (EXTENDABLE)</t>
        </is>
      </c>
      <c r="I589" s="43" t="inlineStr">
        <is>
          <t>Customer Deviation</t>
        </is>
      </c>
      <c r="J589" s="43" t="inlineStr">
        <is>
          <t>D610412</t>
        </is>
      </c>
      <c r="K589" s="33" t="inlineStr">
        <is>
          <t>D610412Use Molex MPN 44068-0287 instead of 44068-0265 for PN# 29-100530-01</t>
        </is>
      </c>
      <c r="L589" s="43" t="inlineStr">
        <is>
          <t>Expired</t>
        </is>
      </c>
      <c r="M589" s="43" t="inlineStr">
        <is>
          <t>73-17757-01</t>
        </is>
      </c>
      <c r="N589" s="43" t="inlineStr"/>
      <c r="O589" s="43" t="inlineStr">
        <is>
          <t>2026-07-02</t>
        </is>
      </c>
      <c r="P589" s="33" t="inlineStr"/>
      <c r="Q589" s="43" t="inlineStr">
        <is>
          <t>Add a label to the PCBs using this altern component</t>
        </is>
      </c>
      <c r="R589" s="43" t="inlineStr">
        <is>
          <t>2026-04-06</t>
        </is>
      </c>
      <c r="S589" s="43" t="inlineStr">
        <is>
          <t>2026-04-24</t>
        </is>
      </c>
      <c r="T589" s="43" t="inlineStr"/>
      <c r="U589" s="43" t="inlineStr"/>
    </row>
    <row r="590">
      <c r="A590" s="43" t="n">
        <v>590</v>
      </c>
      <c r="B590" s="43" t="inlineStr">
        <is>
          <t>589</t>
        </is>
      </c>
      <c r="C590" s="43" t="inlineStr">
        <is>
          <t>FJZP</t>
        </is>
      </c>
      <c r="D590" s="43" t="inlineStr">
        <is>
          <t>Cisco</t>
        </is>
      </c>
      <c r="E590" s="43" t="inlineStr">
        <is>
          <t>MCGA</t>
        </is>
      </c>
      <c r="F590" s="43" t="inlineStr">
        <is>
          <t>037-STBU</t>
        </is>
      </c>
      <c r="G590" s="43" t="inlineStr">
        <is>
          <t>CTANJZ05205</t>
        </is>
      </c>
      <c r="H590" s="43" t="inlineStr">
        <is>
          <t>For temporary part/material substitution (EXTENDABLE)</t>
        </is>
      </c>
      <c r="I590" s="43" t="inlineStr">
        <is>
          <t>Customer Deviation</t>
        </is>
      </c>
      <c r="J590" s="43" t="inlineStr">
        <is>
          <t>D610308</t>
        </is>
      </c>
      <c r="K590" s="33" t="inlineStr">
        <is>
          <t>D610308 NGFWBU:Woodside Park Pilot 2 - Allow usage of consigned AMD CPUs with cancelled MPN AVL status</t>
        </is>
      </c>
      <c r="L590" s="43" t="inlineStr">
        <is>
          <t>Expired</t>
        </is>
      </c>
      <c r="M590" s="43" t="inlineStr">
        <is>
          <t>15-111072-01</t>
        </is>
      </c>
      <c r="N590" s="43" t="inlineStr"/>
      <c r="O590" s="43" t="inlineStr">
        <is>
          <t>2026-07-09</t>
        </is>
      </c>
      <c r="P590" s="33" t="inlineStr">
        <is>
          <t>For temporary part/material substitution (EXTENDABLE 2x)</t>
        </is>
      </c>
      <c r="Q590" s="43" t="inlineStr">
        <is>
          <t>Please label units with Deviation number</t>
        </is>
      </c>
      <c r="R590" s="43" t="inlineStr">
        <is>
          <t>2026-04-11</t>
        </is>
      </c>
      <c r="S590" s="43" t="inlineStr">
        <is>
          <t>2026-05-05</t>
        </is>
      </c>
      <c r="T590" s="43" t="inlineStr"/>
      <c r="U590" s="43" t="inlineStr"/>
    </row>
    <row r="591">
      <c r="A591" s="43" t="n">
        <v>591</v>
      </c>
      <c r="B591" s="43" t="inlineStr">
        <is>
          <t>590</t>
        </is>
      </c>
      <c r="C591" s="43" t="inlineStr">
        <is>
          <t>FJZP</t>
        </is>
      </c>
      <c r="D591" s="43" t="inlineStr">
        <is>
          <t>Cisco</t>
        </is>
      </c>
      <c r="E591" s="43" t="inlineStr">
        <is>
          <t>MCGA</t>
        </is>
      </c>
      <c r="F591" s="43" t="inlineStr">
        <is>
          <t>037-STBU</t>
        </is>
      </c>
      <c r="G591" s="43" t="inlineStr">
        <is>
          <t>CTANJZ05205</t>
        </is>
      </c>
      <c r="H591" s="43" t="inlineStr">
        <is>
          <t>For temporary part/material substitution (EXTENDABLE)</t>
        </is>
      </c>
      <c r="I591" s="43" t="inlineStr">
        <is>
          <t>Customer Deviation</t>
        </is>
      </c>
      <c r="J591" s="43" t="inlineStr">
        <is>
          <t>D610308</t>
        </is>
      </c>
      <c r="K591" s="33" t="inlineStr">
        <is>
          <t>D610308 NGFWBU:Woodside Park Pilot 2 - Allow usage of consigned AMD CPUs with cancelled MPN AVL status</t>
        </is>
      </c>
      <c r="L591" s="43" t="inlineStr">
        <is>
          <t>Expired</t>
        </is>
      </c>
      <c r="M591" s="43" t="inlineStr">
        <is>
          <t>800-112720-04</t>
        </is>
      </c>
      <c r="N591" s="43" t="inlineStr"/>
      <c r="O591" s="43" t="inlineStr">
        <is>
          <t>2026-07-09</t>
        </is>
      </c>
      <c r="P591" s="33" t="inlineStr">
        <is>
          <t>For temporary part/material substitution (EXTENDABLE 2x)</t>
        </is>
      </c>
      <c r="Q591" s="43" t="inlineStr">
        <is>
          <t>Please label units with Deviation number</t>
        </is>
      </c>
      <c r="R591" s="43" t="inlineStr">
        <is>
          <t>2026-04-11</t>
        </is>
      </c>
      <c r="S591" s="43" t="inlineStr">
        <is>
          <t>2026-05-05</t>
        </is>
      </c>
      <c r="T591" s="43" t="inlineStr"/>
      <c r="U591" s="43" t="inlineStr"/>
    </row>
    <row r="592">
      <c r="A592" s="43" t="n">
        <v>592</v>
      </c>
      <c r="B592" s="43" t="inlineStr">
        <is>
          <t>591</t>
        </is>
      </c>
      <c r="C592" s="43" t="inlineStr">
        <is>
          <t>FJZP</t>
        </is>
      </c>
      <c r="D592" s="43" t="inlineStr">
        <is>
          <t>Cisco</t>
        </is>
      </c>
      <c r="E592" s="43" t="inlineStr">
        <is>
          <t>MCGA</t>
        </is>
      </c>
      <c r="F592" s="43" t="inlineStr">
        <is>
          <t>035-CVEBU</t>
        </is>
      </c>
      <c r="G592" s="43" t="inlineStr">
        <is>
          <t>CTANJZ05476</t>
        </is>
      </c>
      <c r="H592" s="43" t="inlineStr">
        <is>
          <t>For temporary part/material substitution (EXTENDABLE)</t>
        </is>
      </c>
      <c r="I592" s="43" t="inlineStr">
        <is>
          <t>Customer Deviation</t>
        </is>
      </c>
      <c r="J592" s="43" t="inlineStr">
        <is>
          <t>D614007</t>
        </is>
      </c>
      <c r="K592" s="33" t="inlineStr">
        <is>
          <t>D614007 CVEBU;TaylorThis is a follow-up deviation to D611192 which expired Aug 2nd 202673-103720-04 PCA;TAYLOR HIGH MODULE WITH MICRON 16GB LPDDR573-103920-04 PCA;TAYLOR LOW MODULE WITH MICRON 16GB LPDDR5In BOMs refdes M1_A; M1_B (2 pcs)15-110522-01 IC-DRAM-D;LPDDR5;64Gb(1Gx64bits);3200MHz(6400MT/s);0.5V NOM;-40 to 95 C;TFBGA;441P;8K CyclesQualified:  Micron  MT62F1G64D4EK-023 WT:C  (-25 to  85C)In case of shortage; the same part can be sourced from NVIDIA under the below listed CPN/MPN:74-142935-01 IC-DRAM-D;LPDDR5;64Gb(1Gx64bits);3200MHz(6400MT/s);0.5V NOM;-40 to 95 C;TFBGA;441P;8K CyclesIPQ: NVIDIA 161-0568-900 (Contains Micron MT62F1G64D4EK-023 WT:C)Ref. JF04378 which justifies this action by CVEBU directors</t>
        </is>
      </c>
      <c r="L592" s="43" t="inlineStr">
        <is>
          <t>FAI Status</t>
        </is>
      </c>
      <c r="M592" s="43" t="inlineStr">
        <is>
          <t>15-110522-01</t>
        </is>
      </c>
      <c r="N592" s="43" t="inlineStr"/>
      <c r="O592" s="43" t="inlineStr">
        <is>
          <t>2026-12-09</t>
        </is>
      </c>
      <c r="P592" s="33" t="inlineStr">
        <is>
          <t>For temporary part/material substitution (EXTENDABLE 2x)</t>
        </is>
      </c>
      <c r="Q592" s="43" t="inlineStr">
        <is>
          <t>No FFF change =&gt; No marking needed</t>
        </is>
      </c>
      <c r="R592" s="43" t="inlineStr">
        <is>
          <t>2026-09-11</t>
        </is>
      </c>
      <c r="S592" s="43" t="inlineStr">
        <is>
          <t>2026-10-03</t>
        </is>
      </c>
      <c r="T592" s="43" t="inlineStr"/>
      <c r="U592" s="43" t="inlineStr"/>
    </row>
    <row r="593">
      <c r="A593" s="43" t="n">
        <v>593</v>
      </c>
      <c r="B593" s="43" t="inlineStr">
        <is>
          <t>592</t>
        </is>
      </c>
      <c r="C593" s="43" t="inlineStr">
        <is>
          <t>FJZP</t>
        </is>
      </c>
      <c r="D593" s="43" t="inlineStr">
        <is>
          <t>Cisco</t>
        </is>
      </c>
      <c r="E593" s="43" t="inlineStr">
        <is>
          <t>MCGA</t>
        </is>
      </c>
      <c r="F593" s="43" t="inlineStr">
        <is>
          <t>035-CVEBU</t>
        </is>
      </c>
      <c r="G593" s="43" t="inlineStr">
        <is>
          <t>CTANJZ05476</t>
        </is>
      </c>
      <c r="H593" s="43" t="inlineStr">
        <is>
          <t>For temporary part/material substitution (EXTENDABLE)</t>
        </is>
      </c>
      <c r="I593" s="43" t="inlineStr">
        <is>
          <t>Customer Deviation</t>
        </is>
      </c>
      <c r="J593" s="43" t="inlineStr">
        <is>
          <t>D614007</t>
        </is>
      </c>
      <c r="K593" s="33" t="inlineStr">
        <is>
          <t>D614007 CVEBU;TaylorThis is a follow-up deviation to D611192 which expired Aug 2nd 202673-103720-04 PCA;TAYLOR HIGH MODULE WITH MICRON 16GB LPDDR573-103920-04 PCA;TAYLOR LOW MODULE WITH MICRON 16GB LPDDR5In BOMs refdes M1_A; M1_B (2 pcs)15-110522-01 IC-DRAM-D;LPDDR5;64Gb(1Gx64bits);3200MHz(6400MT/s);0.5V NOM;-40 to 95 C;TFBGA;441P;8K CyclesQualified:  Micron  MT62F1G64D4EK-023 WT:C  (-25 to  85C)In case of shortage; the same part can be sourced from NVIDIA under the below listed CPN/MPN:74-142935-01 IC-DRAM-D;LPDDR5;64Gb(1Gx64bits);3200MHz(6400MT/s);0.5V NOM;-40 to 95 C;TFBGA;441P;8K CyclesIPQ: NVIDIA 161-0568-900 (Contains Micron MT62F1G64D4EK-023 WT:C)Ref. JF04378 which justifies this action by CVEBU directors</t>
        </is>
      </c>
      <c r="L593" s="43" t="inlineStr">
        <is>
          <t>FAI Status</t>
        </is>
      </c>
      <c r="M593" s="43" t="inlineStr">
        <is>
          <t>73-103720-04</t>
        </is>
      </c>
      <c r="N593" s="43" t="inlineStr"/>
      <c r="O593" s="43" t="inlineStr">
        <is>
          <t>2026-12-09</t>
        </is>
      </c>
      <c r="P593" s="33" t="inlineStr">
        <is>
          <t>For temporary part/material substitution (EXTENDABLE 2x)</t>
        </is>
      </c>
      <c r="Q593" s="43" t="inlineStr">
        <is>
          <t>No FFF change =&gt; No marking needed</t>
        </is>
      </c>
      <c r="R593" s="43" t="inlineStr">
        <is>
          <t>2026-09-11</t>
        </is>
      </c>
      <c r="S593" s="43" t="inlineStr">
        <is>
          <t>2026-10-03</t>
        </is>
      </c>
      <c r="T593" s="43" t="inlineStr"/>
      <c r="U593" s="43" t="inlineStr"/>
    </row>
    <row r="594">
      <c r="A594" s="43" t="n">
        <v>594</v>
      </c>
      <c r="B594" s="43" t="inlineStr">
        <is>
          <t>593</t>
        </is>
      </c>
      <c r="C594" s="43" t="inlineStr">
        <is>
          <t>FJZP</t>
        </is>
      </c>
      <c r="D594" s="43" t="inlineStr">
        <is>
          <t>Cisco</t>
        </is>
      </c>
      <c r="E594" s="43" t="inlineStr">
        <is>
          <t>MCGA</t>
        </is>
      </c>
      <c r="F594" s="43" t="inlineStr">
        <is>
          <t>035-CVEBU</t>
        </is>
      </c>
      <c r="G594" s="43" t="inlineStr">
        <is>
          <t>CTANJZ05476</t>
        </is>
      </c>
      <c r="H594" s="43" t="inlineStr">
        <is>
          <t>For temporary part/material substitution (EXTENDABLE)</t>
        </is>
      </c>
      <c r="I594" s="43" t="inlineStr">
        <is>
          <t>Customer Deviation</t>
        </is>
      </c>
      <c r="J594" s="43" t="inlineStr">
        <is>
          <t>D614007</t>
        </is>
      </c>
      <c r="K594" s="33" t="inlineStr">
        <is>
          <t>D614007 CVEBU;TaylorThis is a follow-up deviation to D611192 which expired Aug 2nd 202673-103720-04 PCA;TAYLOR HIGH MODULE WITH MICRON 16GB LPDDR573-103920-04 PCA;TAYLOR LOW MODULE WITH MICRON 16GB LPDDR5In BOMs refdes M1_A; M1_B (2 pcs)15-110522-01 IC-DRAM-D;LPDDR5;64Gb(1Gx64bits);3200MHz(6400MT/s);0.5V NOM;-40 to 95 C;TFBGA;441P;8K CyclesQualified:  Micron  MT62F1G64D4EK-023 WT:C  (-25 to  85C)In case of shortage; the same part can be sourced from NVIDIA under the below listed CPN/MPN:74-142935-01 IC-DRAM-D;LPDDR5;64Gb(1Gx64bits);3200MHz(6400MT/s);0.5V NOM;-40 to 95 C;TFBGA;441P;8K CyclesIPQ: NVIDIA 161-0568-900 (Contains Micron MT62F1G64D4EK-023 WT:C)Ref. JF04378 which justifies this action by CVEBU directors</t>
        </is>
      </c>
      <c r="L594" s="43" t="inlineStr">
        <is>
          <t>FAI Status</t>
        </is>
      </c>
      <c r="M594" s="43" t="inlineStr">
        <is>
          <t>73-103920-04</t>
        </is>
      </c>
      <c r="N594" s="43" t="inlineStr"/>
      <c r="O594" s="43" t="inlineStr">
        <is>
          <t>2026-12-09</t>
        </is>
      </c>
      <c r="P594" s="33" t="inlineStr">
        <is>
          <t>For temporary part/material substitution (EXTENDABLE 2x)</t>
        </is>
      </c>
      <c r="Q594" s="43" t="inlineStr">
        <is>
          <t>No FFF change =&gt; No marking needed</t>
        </is>
      </c>
      <c r="R594" s="43" t="inlineStr">
        <is>
          <t>2026-09-11</t>
        </is>
      </c>
      <c r="S594" s="43" t="inlineStr">
        <is>
          <t>2026-10-03</t>
        </is>
      </c>
      <c r="T594" s="43" t="inlineStr"/>
      <c r="U594" s="43" t="inlineStr"/>
    </row>
    <row r="595">
      <c r="A595" s="43" t="n">
        <v>595</v>
      </c>
      <c r="B595" s="43" t="inlineStr">
        <is>
          <t>594</t>
        </is>
      </c>
      <c r="C595" s="43" t="inlineStr">
        <is>
          <t>FJZP</t>
        </is>
      </c>
      <c r="D595" s="43" t="inlineStr">
        <is>
          <t>Cisco</t>
        </is>
      </c>
      <c r="E595" s="43" t="inlineStr">
        <is>
          <t>MCGA</t>
        </is>
      </c>
      <c r="F595" s="43" t="inlineStr">
        <is>
          <t>037-STBU</t>
        </is>
      </c>
      <c r="G595" s="43" t="inlineStr">
        <is>
          <t>CTANJZ05492</t>
        </is>
      </c>
      <c r="H595" s="43" t="inlineStr">
        <is>
          <t>For temporary part/material substitution (EXTENDABLE)</t>
        </is>
      </c>
      <c r="I595" s="43" t="inlineStr">
        <is>
          <t>Customer Deviation</t>
        </is>
      </c>
      <c r="J595" s="43" t="inlineStr">
        <is>
          <t>D613573</t>
        </is>
      </c>
      <c r="K595" s="33" t="inlineStr">
        <is>
          <t>D613573NGFWBU (Extension of dev D606243):For FPR3K and CSF4200 on the specific PIDs affected by 32G DDR4 Shortage:FP3105 -800-110666-02FPR3110 -800-108035-05FPR3130 -800-108037-05CSF4115 -800-109498-06Allow FJZ to use 15-109192-01 in place of 15-108159-01 to help use up the 835 pcs OHFJZ to use the below specified MPNs on 15-109192-01 in place of 15-108159-01 in spite of the AVL status on 15-109192-01:SAMSUNG SEMICONDUCTORS - M393A4G43CB4-CWEMICRON TECHNOLOGY - MTA18ASF4G72PDZ-3G2F1HYNIX SEMICONDUCTOR - HMAG88DXNRBValidation was performed last year under the deviation: D606243</t>
        </is>
      </c>
      <c r="L595" s="43" t="inlineStr">
        <is>
          <t>CCB</t>
        </is>
      </c>
      <c r="M595" s="43" t="inlineStr">
        <is>
          <t>15-108159-01</t>
        </is>
      </c>
      <c r="N595" s="43" t="inlineStr"/>
      <c r="O595" s="43" t="inlineStr">
        <is>
          <t>2026-12-16</t>
        </is>
      </c>
      <c r="P595" s="33" t="inlineStr">
        <is>
          <t>For temporary part/material substitution (EXTENDABLE 2x)</t>
        </is>
      </c>
      <c r="Q595" s="43" t="inlineStr">
        <is>
          <t>Place deviation label in a visible place of the board</t>
        </is>
      </c>
      <c r="R595" s="43" t="inlineStr">
        <is>
          <t>2026-09-18</t>
        </is>
      </c>
      <c r="S595" s="43" t="inlineStr"/>
      <c r="T595" s="43" t="inlineStr"/>
      <c r="U595" s="43" t="inlineStr"/>
    </row>
    <row r="596">
      <c r="A596" s="43" t="n">
        <v>596</v>
      </c>
      <c r="B596" s="43" t="inlineStr">
        <is>
          <t>595</t>
        </is>
      </c>
      <c r="C596" s="43" t="inlineStr">
        <is>
          <t>FJZP</t>
        </is>
      </c>
      <c r="D596" s="43" t="inlineStr">
        <is>
          <t>Cisco</t>
        </is>
      </c>
      <c r="E596" s="43" t="inlineStr">
        <is>
          <t>MCGA</t>
        </is>
      </c>
      <c r="F596" s="43" t="inlineStr">
        <is>
          <t>037-STBU</t>
        </is>
      </c>
      <c r="G596" s="43" t="inlineStr">
        <is>
          <t>CTANJZ05492</t>
        </is>
      </c>
      <c r="H596" s="43" t="inlineStr">
        <is>
          <t>For temporary part/material substitution (EXTENDABLE)</t>
        </is>
      </c>
      <c r="I596" s="43" t="inlineStr">
        <is>
          <t>Customer Deviation</t>
        </is>
      </c>
      <c r="J596" s="43" t="inlineStr">
        <is>
          <t>D613573</t>
        </is>
      </c>
      <c r="K596" s="33" t="inlineStr">
        <is>
          <t>D613573NGFWBU (Extension of dev D606243):For FPR3K and CSF4200 on the specific PIDs affected by 32G DDR4 Shortage:FP3105 -800-110666-02FPR3110 -800-108035-05FPR3130 -800-108037-05CSF4115 -800-109498-06Allow FJZ to use 15-109192-01 in place of 15-108159-01 to help use up the 835 pcs OHFJZ to use the below specified MPNs on 15-109192-01 in place of 15-108159-01 in spite of the AVL status on 15-109192-01:SAMSUNG SEMICONDUCTORS - M393A4G43CB4-CWEMICRON TECHNOLOGY - MTA18ASF4G72PDZ-3G2F1HYNIX SEMICONDUCTOR - HMAG88DXNRBValidation was performed last year under the deviation: D606243</t>
        </is>
      </c>
      <c r="L596" s="43" t="inlineStr">
        <is>
          <t>CCB</t>
        </is>
      </c>
      <c r="M596" s="43" t="inlineStr">
        <is>
          <t>800-108035-05</t>
        </is>
      </c>
      <c r="N596" s="43" t="inlineStr"/>
      <c r="O596" s="43" t="inlineStr">
        <is>
          <t>2026-12-16</t>
        </is>
      </c>
      <c r="P596" s="33" t="inlineStr">
        <is>
          <t>For temporary part/material substitution (EXTENDABLE 2x)</t>
        </is>
      </c>
      <c r="Q596" s="43" t="inlineStr">
        <is>
          <t>Place deviation label in a visible place of the board</t>
        </is>
      </c>
      <c r="R596" s="43" t="inlineStr">
        <is>
          <t>2026-09-18</t>
        </is>
      </c>
      <c r="S596" s="43" t="inlineStr"/>
      <c r="T596" s="43" t="inlineStr"/>
      <c r="U596" s="43" t="inlineStr"/>
    </row>
    <row r="597">
      <c r="A597" s="43" t="n">
        <v>597</v>
      </c>
      <c r="B597" s="43" t="inlineStr">
        <is>
          <t>596</t>
        </is>
      </c>
      <c r="C597" s="43" t="inlineStr">
        <is>
          <t>FJZP</t>
        </is>
      </c>
      <c r="D597" s="43" t="inlineStr">
        <is>
          <t>Cisco</t>
        </is>
      </c>
      <c r="E597" s="43" t="inlineStr">
        <is>
          <t>MCGA</t>
        </is>
      </c>
      <c r="F597" s="43" t="inlineStr">
        <is>
          <t>037-STBU</t>
        </is>
      </c>
      <c r="G597" s="43" t="inlineStr">
        <is>
          <t>CTANJZ05492</t>
        </is>
      </c>
      <c r="H597" s="43" t="inlineStr">
        <is>
          <t>For temporary part/material substitution (EXTENDABLE)</t>
        </is>
      </c>
      <c r="I597" s="43" t="inlineStr">
        <is>
          <t>Customer Deviation</t>
        </is>
      </c>
      <c r="J597" s="43" t="inlineStr">
        <is>
          <t>D613573</t>
        </is>
      </c>
      <c r="K597" s="33" t="inlineStr">
        <is>
          <t>D613573NGFWBU (Extension of dev D606243):For FPR3K and CSF4200 on the specific PIDs affected by 32G DDR4 Shortage:FP3105 -800-110666-02FPR3110 -800-108035-05FPR3130 -800-108037-05CSF4115 -800-109498-06Allow FJZ to use 15-109192-01 in place of 15-108159-01 to help use up the 835 pcs OHFJZ to use the below specified MPNs on 15-109192-01 in place of 15-108159-01 in spite of the AVL status on 15-109192-01:SAMSUNG SEMICONDUCTORS - M393A4G43CB4-CWEMICRON TECHNOLOGY - MTA18ASF4G72PDZ-3G2F1HYNIX SEMICONDUCTOR - HMAG88DXNRBValidation was performed last year under the deviation: D606243</t>
        </is>
      </c>
      <c r="L597" s="43" t="inlineStr">
        <is>
          <t>CCB</t>
        </is>
      </c>
      <c r="M597" s="43" t="inlineStr">
        <is>
          <t>800-108037-05</t>
        </is>
      </c>
      <c r="N597" s="43" t="inlineStr"/>
      <c r="O597" s="43" t="inlineStr">
        <is>
          <t>2026-12-16</t>
        </is>
      </c>
      <c r="P597" s="33" t="inlineStr">
        <is>
          <t>For temporary part/material substitution (EXTENDABLE 2x)</t>
        </is>
      </c>
      <c r="Q597" s="43" t="inlineStr">
        <is>
          <t>Place deviation label in a visible place of the board</t>
        </is>
      </c>
      <c r="R597" s="43" t="inlineStr">
        <is>
          <t>2026-09-18</t>
        </is>
      </c>
      <c r="S597" s="43" t="inlineStr"/>
      <c r="T597" s="43" t="inlineStr"/>
      <c r="U597" s="43" t="inlineStr"/>
    </row>
    <row r="598">
      <c r="A598" s="43" t="n">
        <v>598</v>
      </c>
      <c r="B598" s="43" t="inlineStr">
        <is>
          <t>597</t>
        </is>
      </c>
      <c r="C598" s="43" t="inlineStr">
        <is>
          <t>FJZP</t>
        </is>
      </c>
      <c r="D598" s="43" t="inlineStr">
        <is>
          <t>Cisco</t>
        </is>
      </c>
      <c r="E598" s="43" t="inlineStr">
        <is>
          <t>MCGA</t>
        </is>
      </c>
      <c r="F598" s="43" t="inlineStr">
        <is>
          <t>037-STBU</t>
        </is>
      </c>
      <c r="G598" s="43" t="inlineStr">
        <is>
          <t>CTANJZ05492</t>
        </is>
      </c>
      <c r="H598" s="43" t="inlineStr">
        <is>
          <t>For temporary part/material substitution (EXTENDABLE)</t>
        </is>
      </c>
      <c r="I598" s="43" t="inlineStr">
        <is>
          <t>Customer Deviation</t>
        </is>
      </c>
      <c r="J598" s="43" t="inlineStr">
        <is>
          <t>D613573</t>
        </is>
      </c>
      <c r="K598" s="33" t="inlineStr">
        <is>
          <t>D613573NGFWBU (Extension of dev D606243):For FPR3K and CSF4200 on the specific PIDs affected by 32G DDR4 Shortage:FP3105 -800-110666-02FPR3110 -800-108035-05FPR3130 -800-108037-05CSF4115 -800-109498-06Allow FJZ to use 15-109192-01 in place of 15-108159-01 to help use up the 835 pcs OHFJZ to use the below specified MPNs on 15-109192-01 in place of 15-108159-01 in spite of the AVL status on 15-109192-01:SAMSUNG SEMICONDUCTORS - M393A4G43CB4-CWEMICRON TECHNOLOGY - MTA18ASF4G72PDZ-3G2F1HYNIX SEMICONDUCTOR - HMAG88DXNRBValidation was performed last year under the deviation: D606243</t>
        </is>
      </c>
      <c r="L598" s="43" t="inlineStr">
        <is>
          <t>CCB</t>
        </is>
      </c>
      <c r="M598" s="43" t="inlineStr">
        <is>
          <t>800-109498-06</t>
        </is>
      </c>
      <c r="N598" s="43" t="inlineStr"/>
      <c r="O598" s="43" t="inlineStr">
        <is>
          <t>2026-12-16</t>
        </is>
      </c>
      <c r="P598" s="33" t="inlineStr">
        <is>
          <t>For temporary part/material substitution (EXTENDABLE 2x)</t>
        </is>
      </c>
      <c r="Q598" s="43" t="inlineStr">
        <is>
          <t>Place deviation label in a visible place of the board</t>
        </is>
      </c>
      <c r="R598" s="43" t="inlineStr">
        <is>
          <t>2026-09-18</t>
        </is>
      </c>
      <c r="S598" s="43" t="inlineStr"/>
      <c r="T598" s="43" t="inlineStr"/>
      <c r="U598" s="43" t="inlineStr"/>
    </row>
    <row r="599">
      <c r="A599" s="43" t="n">
        <v>599</v>
      </c>
      <c r="B599" s="43" t="inlineStr">
        <is>
          <t>598</t>
        </is>
      </c>
      <c r="C599" s="43" t="inlineStr">
        <is>
          <t>FJZP</t>
        </is>
      </c>
      <c r="D599" s="43" t="inlineStr">
        <is>
          <t>Cisco</t>
        </is>
      </c>
      <c r="E599" s="43" t="inlineStr">
        <is>
          <t>MCGA</t>
        </is>
      </c>
      <c r="F599" s="43" t="inlineStr">
        <is>
          <t>037-STBU</t>
        </is>
      </c>
      <c r="G599" s="43" t="inlineStr">
        <is>
          <t>CTANJZ05492</t>
        </is>
      </c>
      <c r="H599" s="43" t="inlineStr">
        <is>
          <t>For temporary part/material substitution (EXTENDABLE)</t>
        </is>
      </c>
      <c r="I599" s="43" t="inlineStr">
        <is>
          <t>Customer Deviation</t>
        </is>
      </c>
      <c r="J599" s="43" t="inlineStr">
        <is>
          <t>D613573</t>
        </is>
      </c>
      <c r="K599" s="33" t="inlineStr">
        <is>
          <t>D613573NGFWBU (Extension of dev D606243):For FPR3K and CSF4200 on the specific PIDs affected by 32G DDR4 Shortage:FP3105 -800-110666-02FPR3110 -800-108035-05FPR3130 -800-108037-05CSF4115 -800-109498-06Allow FJZ to use 15-109192-01 in place of 15-108159-01 to help use up the 835 pcs OHFJZ to use the below specified MPNs on 15-109192-01 in place of 15-108159-01 in spite of the AVL status on 15-109192-01:SAMSUNG SEMICONDUCTORS - M393A4G43CB4-CWEMICRON TECHNOLOGY - MTA18ASF4G72PDZ-3G2F1HYNIX SEMICONDUCTOR - HMAG88DXNRBValidation was performed last year under the deviation: D606243</t>
        </is>
      </c>
      <c r="L599" s="43" t="inlineStr">
        <is>
          <t>CCB</t>
        </is>
      </c>
      <c r="M599" s="43" t="inlineStr">
        <is>
          <t>800-110666-02</t>
        </is>
      </c>
      <c r="N599" s="43" t="inlineStr"/>
      <c r="O599" s="43" t="inlineStr">
        <is>
          <t>2026-12-16</t>
        </is>
      </c>
      <c r="P599" s="33" t="inlineStr">
        <is>
          <t>For temporary part/material substitution (EXTENDABLE 2x)</t>
        </is>
      </c>
      <c r="Q599" s="43" t="inlineStr">
        <is>
          <t>Place deviation label in a visible place of the board</t>
        </is>
      </c>
      <c r="R599" s="43" t="inlineStr">
        <is>
          <t>2026-09-18</t>
        </is>
      </c>
      <c r="S599" s="43" t="inlineStr"/>
      <c r="T599" s="43" t="inlineStr"/>
      <c r="U599" s="43" t="inlineStr"/>
    </row>
    <row r="600">
      <c r="A600" s="43" t="n">
        <v>600</v>
      </c>
      <c r="B600" s="43" t="inlineStr">
        <is>
          <t>599</t>
        </is>
      </c>
      <c r="C600" s="43" t="inlineStr">
        <is>
          <t>FJZP</t>
        </is>
      </c>
      <c r="D600" s="43" t="inlineStr">
        <is>
          <t>Cisco</t>
        </is>
      </c>
      <c r="E600" s="43" t="inlineStr">
        <is>
          <t>MCGA</t>
        </is>
      </c>
      <c r="F600" s="43" t="inlineStr">
        <is>
          <t>035-CVEBU</t>
        </is>
      </c>
      <c r="G600" s="43" t="inlineStr">
        <is>
          <t>CTANJZ05341</t>
        </is>
      </c>
      <c r="H600" s="43" t="inlineStr">
        <is>
          <t>For temporary part/material substitution (EXTENDABLE)</t>
        </is>
      </c>
      <c r="I600" s="43" t="inlineStr">
        <is>
          <t>Customer Deviation</t>
        </is>
      </c>
      <c r="J600" s="43" t="inlineStr">
        <is>
          <t>D612354</t>
        </is>
      </c>
      <c r="K600" s="33" t="inlineStr">
        <is>
          <t>D612354 Please see PageThree for details</t>
        </is>
      </c>
      <c r="L600" s="43" t="inlineStr">
        <is>
          <t>Extended</t>
        </is>
      </c>
      <c r="M600" s="43" t="inlineStr">
        <is>
          <t>800-115882-01</t>
        </is>
      </c>
      <c r="N600" s="43" t="inlineStr"/>
      <c r="O600" s="43" t="inlineStr">
        <is>
          <t>2027-01-02</t>
        </is>
      </c>
      <c r="P600" s="33" t="inlineStr">
        <is>
          <t>For temporary part/material substitution (EXTENDABLE 2x)</t>
        </is>
      </c>
      <c r="Q600" s="43" t="inlineStr">
        <is>
          <t>No FFF change =&gt; No marking needed</t>
        </is>
      </c>
      <c r="R600" s="43" t="inlineStr">
        <is>
          <t>2026-07-08</t>
        </is>
      </c>
      <c r="S600" s="43" t="inlineStr">
        <is>
          <t>2026-07-21</t>
        </is>
      </c>
      <c r="T600" s="43" t="inlineStr"/>
      <c r="U600" s="43" t="inlineStr"/>
    </row>
    <row r="601">
      <c r="A601" s="43" t="n">
        <v>601</v>
      </c>
      <c r="B601" s="43" t="inlineStr">
        <is>
          <t>600</t>
        </is>
      </c>
      <c r="C601" s="43" t="inlineStr">
        <is>
          <t>FJZP</t>
        </is>
      </c>
      <c r="D601" s="43" t="inlineStr">
        <is>
          <t>Cisco</t>
        </is>
      </c>
      <c r="E601" s="43" t="inlineStr">
        <is>
          <t>MCGA</t>
        </is>
      </c>
      <c r="F601" s="43" t="inlineStr">
        <is>
          <t>035-CVEBU</t>
        </is>
      </c>
      <c r="G601" s="43" t="inlineStr">
        <is>
          <t>CTANJZ05341</t>
        </is>
      </c>
      <c r="H601" s="43" t="inlineStr">
        <is>
          <t>For temporary part/material substitution (EXTENDABLE)</t>
        </is>
      </c>
      <c r="I601" s="43" t="inlineStr">
        <is>
          <t>Customer Deviation</t>
        </is>
      </c>
      <c r="J601" s="43" t="inlineStr">
        <is>
          <t>D612354</t>
        </is>
      </c>
      <c r="K601" s="33" t="inlineStr">
        <is>
          <t>D612354 Please see PageThree for details</t>
        </is>
      </c>
      <c r="L601" s="43" t="inlineStr">
        <is>
          <t>Extended</t>
        </is>
      </c>
      <c r="M601" s="43" t="inlineStr">
        <is>
          <t>800-115884-01</t>
        </is>
      </c>
      <c r="N601" s="43" t="inlineStr"/>
      <c r="O601" s="43" t="inlineStr">
        <is>
          <t>2027-01-02</t>
        </is>
      </c>
      <c r="P601" s="33" t="inlineStr">
        <is>
          <t>For temporary part/material substitution (EXTENDABLE 2x)</t>
        </is>
      </c>
      <c r="Q601" s="43" t="inlineStr">
        <is>
          <t>No FFF change =&gt; No marking needed</t>
        </is>
      </c>
      <c r="R601" s="43" t="inlineStr">
        <is>
          <t>2026-07-08</t>
        </is>
      </c>
      <c r="S601" s="43" t="inlineStr">
        <is>
          <t>2026-07-21</t>
        </is>
      </c>
      <c r="T601" s="43" t="inlineStr"/>
      <c r="U601" s="43" t="inlineStr"/>
    </row>
    <row r="602">
      <c r="A602" s="43" t="n">
        <v>602</v>
      </c>
      <c r="B602" s="43" t="inlineStr">
        <is>
          <t>601</t>
        </is>
      </c>
      <c r="C602" s="43" t="inlineStr">
        <is>
          <t>FJZP</t>
        </is>
      </c>
      <c r="D602" s="43" t="inlineStr">
        <is>
          <t>Cisco</t>
        </is>
      </c>
      <c r="E602" s="43" t="inlineStr">
        <is>
          <t>MCGA</t>
        </is>
      </c>
      <c r="F602" s="43" t="inlineStr">
        <is>
          <t>035-CVEBU</t>
        </is>
      </c>
      <c r="G602" s="43" t="inlineStr">
        <is>
          <t>CTANJZ05341</t>
        </is>
      </c>
      <c r="H602" s="43" t="inlineStr">
        <is>
          <t>For temporary part/material substitution (EXTENDABLE)</t>
        </is>
      </c>
      <c r="I602" s="43" t="inlineStr">
        <is>
          <t>Customer Deviation</t>
        </is>
      </c>
      <c r="J602" s="43" t="inlineStr">
        <is>
          <t>D612354</t>
        </is>
      </c>
      <c r="K602" s="33" t="inlineStr">
        <is>
          <t>D612354 Please see PageThree for details</t>
        </is>
      </c>
      <c r="L602" s="43" t="inlineStr">
        <is>
          <t>Extended</t>
        </is>
      </c>
      <c r="M602" s="43" t="inlineStr">
        <is>
          <t>800-116002-01</t>
        </is>
      </c>
      <c r="N602" s="43" t="inlineStr"/>
      <c r="O602" s="43" t="inlineStr">
        <is>
          <t>2027-01-02</t>
        </is>
      </c>
      <c r="P602" s="33" t="inlineStr">
        <is>
          <t>For temporary part/material substitution (EXTENDABLE 2x)</t>
        </is>
      </c>
      <c r="Q602" s="43" t="inlineStr">
        <is>
          <t>No FFF change =&gt; No marking needed</t>
        </is>
      </c>
      <c r="R602" s="43" t="inlineStr">
        <is>
          <t>2026-07-08</t>
        </is>
      </c>
      <c r="S602" s="43" t="inlineStr">
        <is>
          <t>2026-07-21</t>
        </is>
      </c>
      <c r="T602" s="43" t="inlineStr"/>
      <c r="U602" s="43" t="inlineStr"/>
    </row>
    <row r="603">
      <c r="A603" s="43" t="n">
        <v>603</v>
      </c>
      <c r="B603" s="43" t="inlineStr">
        <is>
          <t>602</t>
        </is>
      </c>
      <c r="C603" s="43" t="inlineStr">
        <is>
          <t>FJZP</t>
        </is>
      </c>
      <c r="D603" s="43" t="inlineStr">
        <is>
          <t>Cisco</t>
        </is>
      </c>
      <c r="E603" s="43" t="inlineStr">
        <is>
          <t>MCGA</t>
        </is>
      </c>
      <c r="F603" s="43" t="inlineStr">
        <is>
          <t>035-CVEBU</t>
        </is>
      </c>
      <c r="G603" s="43" t="inlineStr">
        <is>
          <t>CTANJZ05341</t>
        </is>
      </c>
      <c r="H603" s="43" t="inlineStr">
        <is>
          <t>For temporary part/material substitution (EXTENDABLE)</t>
        </is>
      </c>
      <c r="I603" s="43" t="inlineStr">
        <is>
          <t>Customer Deviation</t>
        </is>
      </c>
      <c r="J603" s="43" t="inlineStr">
        <is>
          <t>D612354</t>
        </is>
      </c>
      <c r="K603" s="33" t="inlineStr">
        <is>
          <t>D612354 Please see PageThree for details</t>
        </is>
      </c>
      <c r="L603" s="43" t="inlineStr">
        <is>
          <t>Extended</t>
        </is>
      </c>
      <c r="M603" s="43" t="inlineStr">
        <is>
          <t>800-116003-01</t>
        </is>
      </c>
      <c r="N603" s="43" t="inlineStr"/>
      <c r="O603" s="43" t="inlineStr">
        <is>
          <t>2027-01-02</t>
        </is>
      </c>
      <c r="P603" s="33" t="inlineStr">
        <is>
          <t>For temporary part/material substitution (EXTENDABLE 2x)</t>
        </is>
      </c>
      <c r="Q603" s="43" t="inlineStr">
        <is>
          <t>No FFF change =&gt; No marking needed</t>
        </is>
      </c>
      <c r="R603" s="43" t="inlineStr">
        <is>
          <t>2026-07-08</t>
        </is>
      </c>
      <c r="S603" s="43" t="inlineStr">
        <is>
          <t>2026-07-21</t>
        </is>
      </c>
      <c r="T603" s="43" t="inlineStr"/>
      <c r="U603" s="43" t="inlineStr"/>
    </row>
    <row r="604">
      <c r="A604" s="43" t="n">
        <v>604</v>
      </c>
      <c r="B604" s="43" t="inlineStr">
        <is>
          <t>603</t>
        </is>
      </c>
      <c r="C604" s="43" t="inlineStr">
        <is>
          <t>FJZP</t>
        </is>
      </c>
      <c r="D604" s="43" t="inlineStr">
        <is>
          <t>Cisco</t>
        </is>
      </c>
      <c r="E604" s="43" t="inlineStr">
        <is>
          <t>MCGA</t>
        </is>
      </c>
      <c r="F604" s="43" t="inlineStr">
        <is>
          <t>035-CVEBU</t>
        </is>
      </c>
      <c r="G604" s="43" t="inlineStr">
        <is>
          <t>CTANJZ05341</t>
        </is>
      </c>
      <c r="H604" s="43" t="inlineStr">
        <is>
          <t>For temporary part/material substitution (EXTENDABLE)</t>
        </is>
      </c>
      <c r="I604" s="43" t="inlineStr">
        <is>
          <t>Customer Deviation</t>
        </is>
      </c>
      <c r="J604" s="43" t="inlineStr">
        <is>
          <t>D612354</t>
        </is>
      </c>
      <c r="K604" s="33" t="inlineStr">
        <is>
          <t>D612354 Please see PageThree for details</t>
        </is>
      </c>
      <c r="L604" s="43" t="inlineStr">
        <is>
          <t>Extended</t>
        </is>
      </c>
      <c r="M604" s="43" t="inlineStr">
        <is>
          <t>800-118978-03</t>
        </is>
      </c>
      <c r="N604" s="43" t="inlineStr"/>
      <c r="O604" s="43" t="inlineStr">
        <is>
          <t>2027-01-02</t>
        </is>
      </c>
      <c r="P604" s="33" t="inlineStr">
        <is>
          <t>For temporary part/material substitution (EXTENDABLE 2x)</t>
        </is>
      </c>
      <c r="Q604" s="43" t="inlineStr">
        <is>
          <t>No FFF change =&gt; No marking needed</t>
        </is>
      </c>
      <c r="R604" s="43" t="inlineStr">
        <is>
          <t>2026-07-08</t>
        </is>
      </c>
      <c r="S604" s="43" t="inlineStr">
        <is>
          <t>2026-07-21</t>
        </is>
      </c>
      <c r="T604" s="43" t="inlineStr"/>
      <c r="U604" s="43" t="inlineStr"/>
    </row>
    <row r="605">
      <c r="A605" s="43" t="n">
        <v>605</v>
      </c>
      <c r="B605" s="43" t="inlineStr">
        <is>
          <t>604</t>
        </is>
      </c>
      <c r="C605" s="43" t="inlineStr">
        <is>
          <t>FJZP</t>
        </is>
      </c>
      <c r="D605" s="43" t="inlineStr">
        <is>
          <t>Cisco</t>
        </is>
      </c>
      <c r="E605" s="43" t="inlineStr">
        <is>
          <t>MCGA</t>
        </is>
      </c>
      <c r="F605" s="43" t="inlineStr">
        <is>
          <t>035-CVEBU</t>
        </is>
      </c>
      <c r="G605" s="43" t="inlineStr">
        <is>
          <t>CTANJZ05341</t>
        </is>
      </c>
      <c r="H605" s="43" t="inlineStr">
        <is>
          <t>For temporary part/material substitution (EXTENDABLE)</t>
        </is>
      </c>
      <c r="I605" s="43" t="inlineStr">
        <is>
          <t>Customer Deviation</t>
        </is>
      </c>
      <c r="J605" s="43" t="inlineStr">
        <is>
          <t>D612354</t>
        </is>
      </c>
      <c r="K605" s="33" t="inlineStr">
        <is>
          <t>D612354 Please see PageThree for details</t>
        </is>
      </c>
      <c r="L605" s="43" t="inlineStr">
        <is>
          <t>Extended</t>
        </is>
      </c>
      <c r="M605" s="43" t="inlineStr">
        <is>
          <t>800-126978-03</t>
        </is>
      </c>
      <c r="N605" s="43" t="inlineStr"/>
      <c r="O605" s="43" t="inlineStr">
        <is>
          <t>2027-01-02</t>
        </is>
      </c>
      <c r="P605" s="33" t="inlineStr">
        <is>
          <t>For temporary part/material substitution (EXTENDABLE 2x)</t>
        </is>
      </c>
      <c r="Q605" s="43" t="inlineStr">
        <is>
          <t>No FFF change =&gt; No marking needed</t>
        </is>
      </c>
      <c r="R605" s="43" t="inlineStr">
        <is>
          <t>2026-07-08</t>
        </is>
      </c>
      <c r="S605" s="43" t="inlineStr">
        <is>
          <t>2026-07-21</t>
        </is>
      </c>
      <c r="T605" s="43" t="inlineStr"/>
      <c r="U605" s="43" t="inlineStr"/>
    </row>
    <row r="606">
      <c r="A606" s="43" t="n">
        <v>606</v>
      </c>
      <c r="B606" s="43" t="inlineStr">
        <is>
          <t>605</t>
        </is>
      </c>
      <c r="C606" s="43" t="inlineStr">
        <is>
          <t>FJZP</t>
        </is>
      </c>
      <c r="D606" s="43" t="inlineStr">
        <is>
          <t>Cisco</t>
        </is>
      </c>
      <c r="E606" s="43" t="inlineStr">
        <is>
          <t>MCGA</t>
        </is>
      </c>
      <c r="F606" s="43" t="inlineStr">
        <is>
          <t>037-STBU</t>
        </is>
      </c>
      <c r="G606" s="43" t="inlineStr">
        <is>
          <t>CTANJZ05467</t>
        </is>
      </c>
      <c r="H606" s="43" t="inlineStr">
        <is>
          <t>For temporary part/material substitution (EXTENDABLE)</t>
        </is>
      </c>
      <c r="I606" s="43" t="inlineStr">
        <is>
          <t>Customer Deviation</t>
        </is>
      </c>
      <c r="J606" s="43" t="inlineStr">
        <is>
          <t>DP526581</t>
        </is>
      </c>
      <c r="K606" s="33" t="inlineStr">
        <is>
          <t>DP526581For P1B build; please follow below-1) for CPN - 16-102575-01 ; FJZ can use MPN "MTFDKBA960TFR-1BC15ABYY" as consigned part .2)  The 8 available e-Fused/programmed parts (17-series) will be used exclusively on A3 SKU (74-142749-01). The part usage will be tracked via serial number (SN) for full traceability.3) It is okay to use the TPK bracket accessory kit (53-101510-03) in place of the NPK-specific kit (53-102150-01) for this build.</t>
        </is>
      </c>
      <c r="L606" s="43" t="inlineStr">
        <is>
          <t>FAI Status</t>
        </is>
      </c>
      <c r="M606" s="43" t="inlineStr">
        <is>
          <t>74-142749-01</t>
        </is>
      </c>
      <c r="N606" s="43" t="inlineStr"/>
      <c r="O606" s="43" t="inlineStr">
        <is>
          <t>2026-11-08</t>
        </is>
      </c>
      <c r="P606" s="33" t="inlineStr"/>
      <c r="Q606" s="43" t="inlineStr">
        <is>
          <t>Put Deviation label on visible place</t>
        </is>
      </c>
      <c r="R606" s="43" t="inlineStr">
        <is>
          <t>2026-09-10</t>
        </is>
      </c>
      <c r="S606" s="43" t="inlineStr">
        <is>
          <t>2026-10-01</t>
        </is>
      </c>
      <c r="T606" s="43" t="inlineStr"/>
      <c r="U606" s="43" t="inlineStr"/>
    </row>
    <row r="607">
      <c r="A607" s="43" t="n">
        <v>607</v>
      </c>
      <c r="B607" s="43" t="inlineStr">
        <is>
          <t>606</t>
        </is>
      </c>
      <c r="C607" s="43" t="inlineStr">
        <is>
          <t>FJZP</t>
        </is>
      </c>
      <c r="D607" s="43" t="inlineStr">
        <is>
          <t>Cisco</t>
        </is>
      </c>
      <c r="E607" s="43" t="inlineStr">
        <is>
          <t>MCGA</t>
        </is>
      </c>
      <c r="F607" s="43" t="inlineStr">
        <is>
          <t>037-STBU</t>
        </is>
      </c>
      <c r="G607" s="43" t="inlineStr">
        <is>
          <t>CTANJZ05467</t>
        </is>
      </c>
      <c r="H607" s="43" t="inlineStr">
        <is>
          <t>For temporary part/material substitution (EXTENDABLE)</t>
        </is>
      </c>
      <c r="I607" s="43" t="inlineStr">
        <is>
          <t>Customer Deviation</t>
        </is>
      </c>
      <c r="J607" s="43" t="inlineStr">
        <is>
          <t>DP526581</t>
        </is>
      </c>
      <c r="K607" s="33" t="inlineStr">
        <is>
          <t>DP526581For P1B build; please follow below-1) for CPN - 16-102575-01 ; FJZ can use MPN "MTFDKBA960TFR-1BC15ABYY" as consigned part .2)  The 8 available e-Fused/programmed parts (17-series) will be used exclusively on A3 SKU (74-142749-01). The part usage will be tracked via serial number (SN) for full traceability.3) It is okay to use the TPK bracket accessory kit (53-101510-03) in place of the NPK-specific kit (53-102150-01) for this build.</t>
        </is>
      </c>
      <c r="L607" s="43" t="inlineStr">
        <is>
          <t>FAI Status</t>
        </is>
      </c>
      <c r="M607" s="43" t="inlineStr">
        <is>
          <t>74-142930-01</t>
        </is>
      </c>
      <c r="N607" s="43" t="inlineStr"/>
      <c r="O607" s="43" t="inlineStr">
        <is>
          <t>2026-11-08</t>
        </is>
      </c>
      <c r="P607" s="33" t="inlineStr"/>
      <c r="Q607" s="43" t="inlineStr">
        <is>
          <t>Put Deviation label on visible place</t>
        </is>
      </c>
      <c r="R607" s="43" t="inlineStr">
        <is>
          <t>2026-09-10</t>
        </is>
      </c>
      <c r="S607" s="43" t="inlineStr">
        <is>
          <t>2026-10-01</t>
        </is>
      </c>
      <c r="T607" s="43" t="inlineStr"/>
      <c r="U607" s="43" t="inlineStr"/>
    </row>
    <row r="608">
      <c r="A608" s="43" t="n">
        <v>608</v>
      </c>
      <c r="B608" s="43" t="inlineStr">
        <is>
          <t>607</t>
        </is>
      </c>
      <c r="C608" s="43" t="inlineStr">
        <is>
          <t>FJZP</t>
        </is>
      </c>
      <c r="D608" s="43" t="inlineStr">
        <is>
          <t>Cisco</t>
        </is>
      </c>
      <c r="E608" s="43" t="inlineStr">
        <is>
          <t>MCGA</t>
        </is>
      </c>
      <c r="F608" s="43" t="inlineStr">
        <is>
          <t>035-CVEBU</t>
        </is>
      </c>
      <c r="G608" s="43" t="inlineStr">
        <is>
          <t>CTANJZ05466</t>
        </is>
      </c>
      <c r="H608" s="43" t="inlineStr">
        <is>
          <t>To temporarily use parts/materials that do not meet the specifications</t>
        </is>
      </c>
      <c r="I608" s="43" t="inlineStr">
        <is>
          <t>Customer Deviation</t>
        </is>
      </c>
      <c r="J608" s="43" t="inlineStr">
        <is>
          <t>D613946</t>
        </is>
      </c>
      <c r="K608" s="33" t="inlineStr">
        <is>
          <t>D613946 CVEBU; Tyne - Allowing FJZ to utilize ANALOG DEVICES IPQ MPN: ADV7537JBCZ-10 under 15-110893-01This deviation is an extension of D610433 and D612169Affected items: -15-110893-01; IC-COMM;48.0Gb/s;125.0 Tj MAX; BGA;145 P;9.0x9.0mm PKGSIZE;0.65mm PITCH;1.8 V;5.0 %;0 to 70 C; HDMI to MIPI CSI-2 Bridge68-104853-01; ASY-ELMECH; Tyne Codec; Radio68-104854-01; ASY-ELMECH; Tyne Codec; Non-Radio73-103698-06; PCBA; Tyne Codec; Main Board; Radio73-103940-06; PCBA; Tyne Codec; Main Board; Non-Radio</t>
        </is>
      </c>
      <c r="L608" s="43" t="inlineStr">
        <is>
          <t>FAI Status</t>
        </is>
      </c>
      <c r="M608" s="43" t="inlineStr">
        <is>
          <t>15-110893-01</t>
        </is>
      </c>
      <c r="N608" s="43" t="inlineStr"/>
      <c r="O608" s="43" t="inlineStr">
        <is>
          <t>2026-12-07</t>
        </is>
      </c>
      <c r="P608" s="33" t="inlineStr">
        <is>
          <t>To temporarily use parts/materials that do not meet the specifications</t>
        </is>
      </c>
      <c r="Q608" s="43" t="inlineStr">
        <is>
          <t>NA</t>
        </is>
      </c>
      <c r="R608" s="43" t="inlineStr">
        <is>
          <t>2026-09-09</t>
        </is>
      </c>
      <c r="S608" s="43" t="inlineStr">
        <is>
          <t>2026-10-03</t>
        </is>
      </c>
      <c r="T608" s="43" t="inlineStr"/>
      <c r="U608" s="43" t="inlineStr"/>
    </row>
    <row r="609">
      <c r="A609" s="43" t="n">
        <v>609</v>
      </c>
      <c r="B609" s="43" t="inlineStr">
        <is>
          <t>608</t>
        </is>
      </c>
      <c r="C609" s="43" t="inlineStr">
        <is>
          <t>FJZP</t>
        </is>
      </c>
      <c r="D609" s="43" t="inlineStr">
        <is>
          <t>Cisco</t>
        </is>
      </c>
      <c r="E609" s="43" t="inlineStr">
        <is>
          <t>MCGA</t>
        </is>
      </c>
      <c r="F609" s="43" t="inlineStr">
        <is>
          <t>035-CVEBU</t>
        </is>
      </c>
      <c r="G609" s="43" t="inlineStr">
        <is>
          <t>CTANJZ05466</t>
        </is>
      </c>
      <c r="H609" s="43" t="inlineStr">
        <is>
          <t>To temporarily use parts/materials that do not meet the specifications</t>
        </is>
      </c>
      <c r="I609" s="43" t="inlineStr">
        <is>
          <t>Customer Deviation</t>
        </is>
      </c>
      <c r="J609" s="43" t="inlineStr">
        <is>
          <t>D613946</t>
        </is>
      </c>
      <c r="K609" s="33" t="inlineStr">
        <is>
          <t>D613946 CVEBU; Tyne - Allowing FJZ to utilize ANALOG DEVICES IPQ MPN: ADV7537JBCZ-10 under 15-110893-01This deviation is an extension of D610433 and D612169Affected items: -15-110893-01; IC-COMM;48.0Gb/s;125.0 Tj MAX; BGA;145 P;9.0x9.0mm PKGSIZE;0.65mm PITCH;1.8 V;5.0 %;0 to 70 C; HDMI to MIPI CSI-2 Bridge68-104853-01; ASY-ELMECH; Tyne Codec; Radio68-104854-01; ASY-ELMECH; Tyne Codec; Non-Radio73-103698-06; PCBA; Tyne Codec; Main Board; Radio73-103940-06; PCBA; Tyne Codec; Main Board; Non-Radio</t>
        </is>
      </c>
      <c r="L609" s="43" t="inlineStr">
        <is>
          <t>FAI Status</t>
        </is>
      </c>
      <c r="M609" s="43" t="inlineStr">
        <is>
          <t>68-104853-01</t>
        </is>
      </c>
      <c r="N609" s="43" t="inlineStr"/>
      <c r="O609" s="43" t="inlineStr">
        <is>
          <t>2026-12-07</t>
        </is>
      </c>
      <c r="P609" s="33" t="inlineStr">
        <is>
          <t>To temporarily use parts/materials that do not meet the specifications</t>
        </is>
      </c>
      <c r="Q609" s="43" t="inlineStr">
        <is>
          <t>NA</t>
        </is>
      </c>
      <c r="R609" s="43" t="inlineStr">
        <is>
          <t>2026-09-09</t>
        </is>
      </c>
      <c r="S609" s="43" t="inlineStr">
        <is>
          <t>2026-10-03</t>
        </is>
      </c>
      <c r="T609" s="43" t="inlineStr"/>
      <c r="U609" s="43" t="inlineStr"/>
    </row>
    <row r="610">
      <c r="A610" s="43" t="n">
        <v>610</v>
      </c>
      <c r="B610" s="43" t="inlineStr">
        <is>
          <t>609</t>
        </is>
      </c>
      <c r="C610" s="43" t="inlineStr">
        <is>
          <t>FJZP</t>
        </is>
      </c>
      <c r="D610" s="43" t="inlineStr">
        <is>
          <t>Cisco</t>
        </is>
      </c>
      <c r="E610" s="43" t="inlineStr">
        <is>
          <t>MCGA</t>
        </is>
      </c>
      <c r="F610" s="43" t="inlineStr">
        <is>
          <t>035-CVEBU</t>
        </is>
      </c>
      <c r="G610" s="43" t="inlineStr">
        <is>
          <t>CTANJZ05466</t>
        </is>
      </c>
      <c r="H610" s="43" t="inlineStr">
        <is>
          <t>To temporarily use parts/materials that do not meet the specifications</t>
        </is>
      </c>
      <c r="I610" s="43" t="inlineStr">
        <is>
          <t>Customer Deviation</t>
        </is>
      </c>
      <c r="J610" s="43" t="inlineStr">
        <is>
          <t>D613946</t>
        </is>
      </c>
      <c r="K610" s="33" t="inlineStr">
        <is>
          <t>D613946 CVEBU; Tyne - Allowing FJZ to utilize ANALOG DEVICES IPQ MPN: ADV7537JBCZ-10 under 15-110893-01This deviation is an extension of D610433 and D612169Affected items: -15-110893-01; IC-COMM;48.0Gb/s;125.0 Tj MAX; BGA;145 P;9.0x9.0mm PKGSIZE;0.65mm PITCH;1.8 V;5.0 %;0 to 70 C; HDMI to MIPI CSI-2 Bridge68-104853-01; ASY-ELMECH; Tyne Codec; Radio68-104854-01; ASY-ELMECH; Tyne Codec; Non-Radio73-103698-06; PCBA; Tyne Codec; Main Board; Radio73-103940-06; PCBA; Tyne Codec; Main Board; Non-Radio</t>
        </is>
      </c>
      <c r="L610" s="43" t="inlineStr">
        <is>
          <t>FAI Status</t>
        </is>
      </c>
      <c r="M610" s="43" t="inlineStr">
        <is>
          <t>68-104854-01</t>
        </is>
      </c>
      <c r="N610" s="43" t="inlineStr"/>
      <c r="O610" s="43" t="inlineStr">
        <is>
          <t>2026-12-07</t>
        </is>
      </c>
      <c r="P610" s="33" t="inlineStr">
        <is>
          <t>To temporarily use parts/materials that do not meet the specifications</t>
        </is>
      </c>
      <c r="Q610" s="43" t="inlineStr">
        <is>
          <t>NA</t>
        </is>
      </c>
      <c r="R610" s="43" t="inlineStr">
        <is>
          <t>2026-09-09</t>
        </is>
      </c>
      <c r="S610" s="43" t="inlineStr">
        <is>
          <t>2026-10-03</t>
        </is>
      </c>
      <c r="T610" s="43" t="inlineStr"/>
      <c r="U610" s="43" t="inlineStr"/>
    </row>
    <row r="611">
      <c r="A611" s="43" t="n">
        <v>611</v>
      </c>
      <c r="B611" s="43" t="inlineStr">
        <is>
          <t>610</t>
        </is>
      </c>
      <c r="C611" s="43" t="inlineStr">
        <is>
          <t>FJZP</t>
        </is>
      </c>
      <c r="D611" s="43" t="inlineStr">
        <is>
          <t>Cisco</t>
        </is>
      </c>
      <c r="E611" s="43" t="inlineStr">
        <is>
          <t>MCGA</t>
        </is>
      </c>
      <c r="F611" s="43" t="inlineStr">
        <is>
          <t>035-CVEBU</t>
        </is>
      </c>
      <c r="G611" s="43" t="inlineStr">
        <is>
          <t>CTANJZ05466</t>
        </is>
      </c>
      <c r="H611" s="43" t="inlineStr">
        <is>
          <t>To temporarily use parts/materials that do not meet the specifications</t>
        </is>
      </c>
      <c r="I611" s="43" t="inlineStr">
        <is>
          <t>Customer Deviation</t>
        </is>
      </c>
      <c r="J611" s="43" t="inlineStr">
        <is>
          <t>D613946</t>
        </is>
      </c>
      <c r="K611" s="33" t="inlineStr">
        <is>
          <t>D613946 CVEBU; Tyne - Allowing FJZ to utilize ANALOG DEVICES IPQ MPN: ADV7537JBCZ-10 under 15-110893-01This deviation is an extension of D610433 and D612169Affected items: -15-110893-01; IC-COMM;48.0Gb/s;125.0 Tj MAX; BGA;145 P;9.0x9.0mm PKGSIZE;0.65mm PITCH;1.8 V;5.0 %;0 to 70 C; HDMI to MIPI CSI-2 Bridge68-104853-01; ASY-ELMECH; Tyne Codec; Radio68-104854-01; ASY-ELMECH; Tyne Codec; Non-Radio73-103698-06; PCBA; Tyne Codec; Main Board; Radio73-103940-06; PCBA; Tyne Codec; Main Board; Non-Radio</t>
        </is>
      </c>
      <c r="L611" s="43" t="inlineStr">
        <is>
          <t>FAI Status</t>
        </is>
      </c>
      <c r="M611" s="43" t="inlineStr">
        <is>
          <t>73-103698-06</t>
        </is>
      </c>
      <c r="N611" s="43" t="inlineStr"/>
      <c r="O611" s="43" t="inlineStr">
        <is>
          <t>2026-12-07</t>
        </is>
      </c>
      <c r="P611" s="33" t="inlineStr">
        <is>
          <t>To temporarily use parts/materials that do not meet the specifications</t>
        </is>
      </c>
      <c r="Q611" s="43" t="inlineStr">
        <is>
          <t>NA</t>
        </is>
      </c>
      <c r="R611" s="43" t="inlineStr">
        <is>
          <t>2026-09-09</t>
        </is>
      </c>
      <c r="S611" s="43" t="inlineStr">
        <is>
          <t>2026-10-03</t>
        </is>
      </c>
      <c r="T611" s="43" t="inlineStr"/>
      <c r="U611" s="43" t="inlineStr"/>
    </row>
    <row r="612">
      <c r="A612" s="43" t="n">
        <v>612</v>
      </c>
      <c r="B612" s="43" t="inlineStr">
        <is>
          <t>611</t>
        </is>
      </c>
      <c r="C612" s="43" t="inlineStr">
        <is>
          <t>FJZP</t>
        </is>
      </c>
      <c r="D612" s="43" t="inlineStr">
        <is>
          <t>Cisco</t>
        </is>
      </c>
      <c r="E612" s="43" t="inlineStr">
        <is>
          <t>MCGA</t>
        </is>
      </c>
      <c r="F612" s="43" t="inlineStr">
        <is>
          <t>035-CVEBU</t>
        </is>
      </c>
      <c r="G612" s="43" t="inlineStr">
        <is>
          <t>CTANJZ05466</t>
        </is>
      </c>
      <c r="H612" s="43" t="inlineStr">
        <is>
          <t>To temporarily use parts/materials that do not meet the specifications</t>
        </is>
      </c>
      <c r="I612" s="43" t="inlineStr">
        <is>
          <t>Customer Deviation</t>
        </is>
      </c>
      <c r="J612" s="43" t="inlineStr">
        <is>
          <t>D613946</t>
        </is>
      </c>
      <c r="K612" s="33" t="inlineStr">
        <is>
          <t>D613946 CVEBU; Tyne - Allowing FJZ to utilize ANALOG DEVICES IPQ MPN: ADV7537JBCZ-10 under 15-110893-01This deviation is an extension of D610433 and D612169Affected items: -15-110893-01; IC-COMM;48.0Gb/s;125.0 Tj MAX; BGA;145 P;9.0x9.0mm PKGSIZE;0.65mm PITCH;1.8 V;5.0 %;0 to 70 C; HDMI to MIPI CSI-2 Bridge68-104853-01; ASY-ELMECH; Tyne Codec; Radio68-104854-01; ASY-ELMECH; Tyne Codec; Non-Radio73-103698-06; PCBA; Tyne Codec; Main Board; Radio73-103940-06; PCBA; Tyne Codec; Main Board; Non-Radio</t>
        </is>
      </c>
      <c r="L612" s="43" t="inlineStr">
        <is>
          <t>FAI Status</t>
        </is>
      </c>
      <c r="M612" s="43" t="inlineStr">
        <is>
          <t>73-103940-06</t>
        </is>
      </c>
      <c r="N612" s="43" t="inlineStr"/>
      <c r="O612" s="43" t="inlineStr">
        <is>
          <t>2026-12-07</t>
        </is>
      </c>
      <c r="P612" s="33" t="inlineStr">
        <is>
          <t>To temporarily use parts/materials that do not meet the specifications</t>
        </is>
      </c>
      <c r="Q612" s="43" t="inlineStr">
        <is>
          <t>NA</t>
        </is>
      </c>
      <c r="R612" s="43" t="inlineStr">
        <is>
          <t>2026-09-09</t>
        </is>
      </c>
      <c r="S612" s="43" t="inlineStr">
        <is>
          <t>2026-10-03</t>
        </is>
      </c>
      <c r="T612" s="43" t="inlineStr"/>
      <c r="U612" s="43" t="inlineStr"/>
    </row>
    <row r="613">
      <c r="A613" s="43" t="n">
        <v>613</v>
      </c>
      <c r="B613" s="43" t="inlineStr">
        <is>
          <t>612</t>
        </is>
      </c>
      <c r="C613" s="43" t="inlineStr">
        <is>
          <t>FJZP</t>
        </is>
      </c>
      <c r="D613" s="43" t="inlineStr">
        <is>
          <t>Cisco</t>
        </is>
      </c>
      <c r="E613" s="43" t="inlineStr">
        <is>
          <t>MCGA</t>
        </is>
      </c>
      <c r="F613" s="43" t="inlineStr">
        <is>
          <t>035-CVEBU</t>
        </is>
      </c>
      <c r="G613" s="43" t="inlineStr">
        <is>
          <t>CTANJZ05466</t>
        </is>
      </c>
      <c r="H613" s="43" t="inlineStr">
        <is>
          <t>To temporarily use parts/materials that do not meet the specifications</t>
        </is>
      </c>
      <c r="I613" s="43" t="inlineStr">
        <is>
          <t>Customer Deviation</t>
        </is>
      </c>
      <c r="J613" s="43" t="inlineStr">
        <is>
          <t>D613946</t>
        </is>
      </c>
      <c r="K613" s="33" t="inlineStr">
        <is>
          <t>D613946 CVEBU; Tyne - Allowing FJZ to utilize ANALOG DEVICES IPQ MPN: ADV7537JBCZ-10 under 15-110893-01This deviation is an extension of D610433 and D612169Affected items: -15-110893-01; IC-COMM;48.0Gb/s;125.0 Tj MAX; BGA;145 P;9.0x9.0mm PKGSIZE;0.65mm PITCH;1.8 V;5.0 %;0 to 70 C; HDMI to MIPI CSI-2 Bridge68-104853-01; ASY-ELMECH; Tyne Codec; Radio68-104854-01; ASY-ELMECH; Tyne Codec; Non-Radio73-103698-06; PCBA; Tyne Codec; Main Board; Radio73-103940-06; PCBA; Tyne Codec; Main Board; Non-Radio</t>
        </is>
      </c>
      <c r="L613" s="43" t="inlineStr">
        <is>
          <t>FAI Status</t>
        </is>
      </c>
      <c r="M613" s="43" t="inlineStr">
        <is>
          <t>800-113105-01</t>
        </is>
      </c>
      <c r="N613" s="43" t="inlineStr"/>
      <c r="O613" s="43" t="inlineStr">
        <is>
          <t>2026-12-07</t>
        </is>
      </c>
      <c r="P613" s="33" t="inlineStr">
        <is>
          <t>To temporarily use parts/materials that do not meet the specifications</t>
        </is>
      </c>
      <c r="Q613" s="43" t="inlineStr">
        <is>
          <t>NA</t>
        </is>
      </c>
      <c r="R613" s="43" t="inlineStr">
        <is>
          <t>2026-09-09</t>
        </is>
      </c>
      <c r="S613" s="43" t="inlineStr">
        <is>
          <t>2026-10-03</t>
        </is>
      </c>
      <c r="T613" s="43" t="inlineStr"/>
      <c r="U613" s="43" t="inlineStr"/>
    </row>
    <row r="614">
      <c r="A614" s="43" t="n">
        <v>614</v>
      </c>
      <c r="B614" s="43" t="inlineStr">
        <is>
          <t>613</t>
        </is>
      </c>
      <c r="C614" s="43" t="inlineStr">
        <is>
          <t>FJZP</t>
        </is>
      </c>
      <c r="D614" s="43" t="inlineStr">
        <is>
          <t>Cisco</t>
        </is>
      </c>
      <c r="E614" s="43" t="inlineStr">
        <is>
          <t>MCGA</t>
        </is>
      </c>
      <c r="F614" s="43" t="inlineStr">
        <is>
          <t>035-CVEBU</t>
        </is>
      </c>
      <c r="G614" s="43" t="inlineStr">
        <is>
          <t>CTANJZ05466</t>
        </is>
      </c>
      <c r="H614" s="43" t="inlineStr">
        <is>
          <t>To temporarily use parts/materials that do not meet the specifications</t>
        </is>
      </c>
      <c r="I614" s="43" t="inlineStr">
        <is>
          <t>Customer Deviation</t>
        </is>
      </c>
      <c r="J614" s="43" t="inlineStr">
        <is>
          <t>D613946</t>
        </is>
      </c>
      <c r="K614" s="33" t="inlineStr">
        <is>
          <t>D613946 CVEBU; Tyne - Allowing FJZ to utilize ANALOG DEVICES IPQ MPN: ADV7537JBCZ-10 under 15-110893-01This deviation is an extension of D610433 and D612169Affected items: -15-110893-01; IC-COMM;48.0Gb/s;125.0 Tj MAX; BGA;145 P;9.0x9.0mm PKGSIZE;0.65mm PITCH;1.8 V;5.0 %;0 to 70 C; HDMI to MIPI CSI-2 Bridge68-104853-01; ASY-ELMECH; Tyne Codec; Radio68-104854-01; ASY-ELMECH; Tyne Codec; Non-Radio73-103698-06; PCBA; Tyne Codec; Main Board; Radio73-103940-06; PCBA; Tyne Codec; Main Board; Non-Radio</t>
        </is>
      </c>
      <c r="L614" s="43" t="inlineStr">
        <is>
          <t>FAI Status</t>
        </is>
      </c>
      <c r="M614" s="43" t="inlineStr">
        <is>
          <t>800-113255-01</t>
        </is>
      </c>
      <c r="N614" s="43" t="inlineStr"/>
      <c r="O614" s="43" t="inlineStr">
        <is>
          <t>2026-12-07</t>
        </is>
      </c>
      <c r="P614" s="33" t="inlineStr">
        <is>
          <t>To temporarily use parts/materials that do not meet the specifications</t>
        </is>
      </c>
      <c r="Q614" s="43" t="inlineStr">
        <is>
          <t>NA</t>
        </is>
      </c>
      <c r="R614" s="43" t="inlineStr">
        <is>
          <t>2026-09-09</t>
        </is>
      </c>
      <c r="S614" s="43" t="inlineStr">
        <is>
          <t>2026-10-03</t>
        </is>
      </c>
      <c r="T614" s="43" t="inlineStr"/>
      <c r="U614" s="43" t="inlineStr"/>
    </row>
    <row r="615">
      <c r="A615" s="43" t="n">
        <v>615</v>
      </c>
      <c r="B615" s="43" t="inlineStr">
        <is>
          <t>614</t>
        </is>
      </c>
      <c r="C615" s="43" t="inlineStr">
        <is>
          <t>FJZP</t>
        </is>
      </c>
      <c r="D615" s="43" t="inlineStr">
        <is>
          <t>Cisco</t>
        </is>
      </c>
      <c r="E615" s="43" t="inlineStr">
        <is>
          <t>MCGA</t>
        </is>
      </c>
      <c r="F615" s="43" t="inlineStr">
        <is>
          <t>018-SRGBU</t>
        </is>
      </c>
      <c r="G615" s="43" t="inlineStr">
        <is>
          <t>CTANJZ05433</t>
        </is>
      </c>
      <c r="H615" s="43" t="inlineStr">
        <is>
          <t>For temporary part/material substitution (EXTENDABLE)</t>
        </is>
      </c>
      <c r="I615" s="43" t="inlineStr">
        <is>
          <t>Customer Deviation</t>
        </is>
      </c>
      <c r="J615" s="43" t="inlineStr">
        <is>
          <t>D613553</t>
        </is>
      </c>
      <c r="K615" s="33" t="inlineStr">
        <is>
          <t>D613553 Allow FJZ to use DDR4 TAN 15-109066-01 in place of 15-109388-01 on Spatha TAN 68-7623-06 for the following MPNs ONLY:1. Smart Modular MPN SR5724G822APJDAMF02. Micron Tech MPN MTA18ASF4G72PDZ-3G2F1This Deviation is an extension for D608212</t>
        </is>
      </c>
      <c r="L615" s="43" t="inlineStr">
        <is>
          <t>Implementation</t>
        </is>
      </c>
      <c r="M615" s="43" t="inlineStr">
        <is>
          <t>15-109388-01</t>
        </is>
      </c>
      <c r="N615" s="43" t="inlineStr"/>
      <c r="O615" s="43" t="inlineStr">
        <is>
          <t>2026-11-22</t>
        </is>
      </c>
      <c r="P615" s="33" t="inlineStr">
        <is>
          <t>For temporary part/material substitution (EXTENDABLE 2x)</t>
        </is>
      </c>
      <c r="Q615" s="43" t="inlineStr">
        <is>
          <t>Label boards with deviation number and program deviation in cookie</t>
        </is>
      </c>
      <c r="R615" s="43" t="inlineStr">
        <is>
          <t>2026-08-25</t>
        </is>
      </c>
      <c r="S615" s="43" t="inlineStr">
        <is>
          <t>2026-09-16</t>
        </is>
      </c>
      <c r="T615" s="43" t="inlineStr"/>
      <c r="U615" s="43" t="inlineStr"/>
    </row>
    <row r="616">
      <c r="A616" s="43" t="n">
        <v>616</v>
      </c>
      <c r="B616" s="43" t="inlineStr">
        <is>
          <t>615</t>
        </is>
      </c>
      <c r="C616" s="43" t="inlineStr">
        <is>
          <t>FJZP</t>
        </is>
      </c>
      <c r="D616" s="43" t="inlineStr">
        <is>
          <t>Cisco</t>
        </is>
      </c>
      <c r="E616" s="43" t="inlineStr">
        <is>
          <t>MCGA</t>
        </is>
      </c>
      <c r="F616" s="43" t="inlineStr">
        <is>
          <t>037-STBU</t>
        </is>
      </c>
      <c r="G616" s="43" t="inlineStr">
        <is>
          <t>CTANJZ05442</t>
        </is>
      </c>
      <c r="H616" s="43" t="inlineStr">
        <is>
          <t>To temporarily use parts/materials that do not meet the specifications</t>
        </is>
      </c>
      <c r="I616" s="43" t="inlineStr">
        <is>
          <t>Customer Deviation</t>
        </is>
      </c>
      <c r="J616" s="43" t="inlineStr">
        <is>
          <t>D613519</t>
        </is>
      </c>
      <c r="K616" s="33" t="inlineStr">
        <is>
          <t>D613519 Use  PN 11-1970-01 from supplier KYOCERA AVX COMPONENTS CORP (MPN: 04025C271KAT2A) to allow FJZ to use it to meet with the last 18 pcs of the model MIO (73-16682-05 and 73-16681-10) part status is End of Production</t>
        </is>
      </c>
      <c r="L616" s="43" t="inlineStr">
        <is>
          <t>FAI Status</t>
        </is>
      </c>
      <c r="M616" s="43" t="inlineStr">
        <is>
          <t>11-1970-01</t>
        </is>
      </c>
      <c r="N616" s="43" t="inlineStr"/>
      <c r="O616" s="43" t="inlineStr">
        <is>
          <t>2026-11-24</t>
        </is>
      </c>
      <c r="P616" s="33" t="inlineStr">
        <is>
          <t>To temporarily use parts/materials that do not meet the specifications</t>
        </is>
      </c>
      <c r="Q616" s="43" t="inlineStr">
        <is>
          <t>Add a label to the PCB with the deviation number</t>
        </is>
      </c>
      <c r="R616" s="43" t="inlineStr">
        <is>
          <t>2026-08-27</t>
        </is>
      </c>
      <c r="S616" s="43" t="inlineStr">
        <is>
          <t>2026-09-16</t>
        </is>
      </c>
      <c r="T616" s="43" t="inlineStr"/>
      <c r="U616" s="43" t="inlineStr"/>
    </row>
    <row r="617">
      <c r="A617" s="43" t="n">
        <v>617</v>
      </c>
      <c r="B617" s="43" t="inlineStr">
        <is>
          <t>616</t>
        </is>
      </c>
      <c r="C617" s="43" t="inlineStr">
        <is>
          <t>FJZP</t>
        </is>
      </c>
      <c r="D617" s="43" t="inlineStr">
        <is>
          <t>Cisco</t>
        </is>
      </c>
      <c r="E617" s="43" t="inlineStr">
        <is>
          <t>MCGA</t>
        </is>
      </c>
      <c r="F617" s="43" t="inlineStr">
        <is>
          <t>037-STBU</t>
        </is>
      </c>
      <c r="G617" s="43" t="inlineStr">
        <is>
          <t>CTANJZ05442</t>
        </is>
      </c>
      <c r="H617" s="43" t="inlineStr">
        <is>
          <t>To temporarily use parts/materials that do not meet the specifications</t>
        </is>
      </c>
      <c r="I617" s="43" t="inlineStr">
        <is>
          <t>Customer Deviation</t>
        </is>
      </c>
      <c r="J617" s="43" t="inlineStr">
        <is>
          <t>D613519</t>
        </is>
      </c>
      <c r="K617" s="33" t="inlineStr">
        <is>
          <t>D613519 Use  PN 11-1970-01 from supplier KYOCERA AVX COMPONENTS CORP (MPN: 04025C271KAT2A) to allow FJZ to use it to meet with the last 18 pcs of the model MIO (73-16682-05 and 73-16681-10) part status is End of Production</t>
        </is>
      </c>
      <c r="L617" s="43" t="inlineStr">
        <is>
          <t>FAI Status</t>
        </is>
      </c>
      <c r="M617" s="43" t="inlineStr">
        <is>
          <t>73-16681-10</t>
        </is>
      </c>
      <c r="N617" s="43" t="inlineStr"/>
      <c r="O617" s="43" t="inlineStr">
        <is>
          <t>2026-11-24</t>
        </is>
      </c>
      <c r="P617" s="33" t="inlineStr">
        <is>
          <t>To temporarily use parts/materials that do not meet the specifications</t>
        </is>
      </c>
      <c r="Q617" s="43" t="inlineStr">
        <is>
          <t>Add a label to the PCB with the deviation number</t>
        </is>
      </c>
      <c r="R617" s="43" t="inlineStr">
        <is>
          <t>2026-08-27</t>
        </is>
      </c>
      <c r="S617" s="43" t="inlineStr">
        <is>
          <t>2026-09-16</t>
        </is>
      </c>
      <c r="T617" s="43" t="inlineStr"/>
      <c r="U617" s="43" t="inlineStr"/>
    </row>
    <row r="618">
      <c r="A618" s="43" t="n">
        <v>618</v>
      </c>
      <c r="B618" s="43" t="inlineStr">
        <is>
          <t>617</t>
        </is>
      </c>
      <c r="C618" s="43" t="inlineStr">
        <is>
          <t>FJZP</t>
        </is>
      </c>
      <c r="D618" s="43" t="inlineStr">
        <is>
          <t>Cisco</t>
        </is>
      </c>
      <c r="E618" s="43" t="inlineStr">
        <is>
          <t>MCGA</t>
        </is>
      </c>
      <c r="F618" s="43" t="inlineStr">
        <is>
          <t>037-STBU</t>
        </is>
      </c>
      <c r="G618" s="43" t="inlineStr">
        <is>
          <t>CTANJZ05442</t>
        </is>
      </c>
      <c r="H618" s="43" t="inlineStr">
        <is>
          <t>To temporarily use parts/materials that do not meet the specifications</t>
        </is>
      </c>
      <c r="I618" s="43" t="inlineStr">
        <is>
          <t>Customer Deviation</t>
        </is>
      </c>
      <c r="J618" s="43" t="inlineStr">
        <is>
          <t>D613519</t>
        </is>
      </c>
      <c r="K618" s="33" t="inlineStr">
        <is>
          <t>D613519 Use  PN 11-1970-01 from supplier KYOCERA AVX COMPONENTS CORP (MPN: 04025C271KAT2A) to allow FJZ to use it to meet with the last 18 pcs of the model MIO (73-16682-05 and 73-16681-10) part status is End of Production</t>
        </is>
      </c>
      <c r="L618" s="43" t="inlineStr">
        <is>
          <t>FAI Status</t>
        </is>
      </c>
      <c r="M618" s="43" t="inlineStr">
        <is>
          <t>73-16682-05</t>
        </is>
      </c>
      <c r="N618" s="43" t="inlineStr"/>
      <c r="O618" s="43" t="inlineStr">
        <is>
          <t>2026-11-24</t>
        </is>
      </c>
      <c r="P618" s="33" t="inlineStr">
        <is>
          <t>To temporarily use parts/materials that do not meet the specifications</t>
        </is>
      </c>
      <c r="Q618" s="43" t="inlineStr">
        <is>
          <t>Add a label to the PCB with the deviation number</t>
        </is>
      </c>
      <c r="R618" s="43" t="inlineStr">
        <is>
          <t>2026-08-27</t>
        </is>
      </c>
      <c r="S618" s="43" t="inlineStr">
        <is>
          <t>2026-09-16</t>
        </is>
      </c>
      <c r="T618" s="43" t="inlineStr"/>
      <c r="U618" s="43" t="inlineStr"/>
    </row>
    <row r="619">
      <c r="A619" s="43" t="n">
        <v>619</v>
      </c>
      <c r="B619" s="43" t="inlineStr">
        <is>
          <t>618</t>
        </is>
      </c>
      <c r="C619" s="43" t="inlineStr">
        <is>
          <t>FJZP</t>
        </is>
      </c>
      <c r="D619" s="43" t="inlineStr">
        <is>
          <t>Cisco</t>
        </is>
      </c>
      <c r="E619" s="43" t="inlineStr">
        <is>
          <t>MCGA</t>
        </is>
      </c>
      <c r="F619" s="43" t="inlineStr">
        <is>
          <t>037-STBU</t>
        </is>
      </c>
      <c r="G619" s="43" t="inlineStr">
        <is>
          <t>CTANJZ05412</t>
        </is>
      </c>
      <c r="H619" s="43" t="inlineStr">
        <is>
          <t>For temporary part/material substitution (EXTENDABLE)</t>
        </is>
      </c>
      <c r="I619" s="43" t="inlineStr">
        <is>
          <t>Customer Deviation</t>
        </is>
      </c>
      <c r="J619" s="43" t="inlineStr">
        <is>
          <t>D613005</t>
        </is>
      </c>
      <c r="K619" s="33" t="inlineStr">
        <is>
          <t>D613005 FJZ is requesting to use the 15-104142-01 instead of the -02 version (qty=750)</t>
        </is>
      </c>
      <c r="L619" s="43" t="inlineStr">
        <is>
          <t>FAI Status</t>
        </is>
      </c>
      <c r="M619" s="43" t="inlineStr">
        <is>
          <t>15-104142-02</t>
        </is>
      </c>
      <c r="N619" s="43" t="inlineStr"/>
      <c r="O619" s="43" t="inlineStr">
        <is>
          <t>2026-10-28</t>
        </is>
      </c>
      <c r="P619" s="33" t="inlineStr">
        <is>
          <t>For temporary part/material substitution (EXTENDABLE 2x)</t>
        </is>
      </c>
      <c r="Q619" s="43" t="inlineStr">
        <is>
          <t>Mark the PCB with a label with the deviation number printed</t>
        </is>
      </c>
      <c r="R619" s="43" t="inlineStr">
        <is>
          <t>2026-07-31</t>
        </is>
      </c>
      <c r="S619" s="43" t="inlineStr">
        <is>
          <t>2026-09-03</t>
        </is>
      </c>
      <c r="T619" s="43" t="inlineStr"/>
      <c r="U619" s="43" t="inlineStr"/>
    </row>
    <row r="620">
      <c r="A620" s="43" t="n">
        <v>620</v>
      </c>
      <c r="B620" s="43" t="inlineStr">
        <is>
          <t>619</t>
        </is>
      </c>
      <c r="C620" s="43" t="inlineStr">
        <is>
          <t>FJZP</t>
        </is>
      </c>
      <c r="D620" s="43" t="inlineStr">
        <is>
          <t>Cisco</t>
        </is>
      </c>
      <c r="E620" s="43" t="inlineStr">
        <is>
          <t>MCGA</t>
        </is>
      </c>
      <c r="F620" s="43" t="inlineStr">
        <is>
          <t>037-STBU</t>
        </is>
      </c>
      <c r="G620" s="43" t="inlineStr">
        <is>
          <t>CTANJZ05412</t>
        </is>
      </c>
      <c r="H620" s="43" t="inlineStr">
        <is>
          <t>For temporary part/material substitution (EXTENDABLE)</t>
        </is>
      </c>
      <c r="I620" s="43" t="inlineStr">
        <is>
          <t>Customer Deviation</t>
        </is>
      </c>
      <c r="J620" s="43" t="inlineStr">
        <is>
          <t>D613005</t>
        </is>
      </c>
      <c r="K620" s="33" t="inlineStr">
        <is>
          <t>D613005 FJZ is requesting to use the 15-104142-01 instead of the -02 version (qty=750)</t>
        </is>
      </c>
      <c r="L620" s="43" t="inlineStr">
        <is>
          <t>FAI Status</t>
        </is>
      </c>
      <c r="M620" s="43" t="inlineStr">
        <is>
          <t>800-104788-04</t>
        </is>
      </c>
      <c r="N620" s="43" t="inlineStr"/>
      <c r="O620" s="43" t="inlineStr">
        <is>
          <t>2026-10-28</t>
        </is>
      </c>
      <c r="P620" s="33" t="inlineStr">
        <is>
          <t>For temporary part/material substitution (EXTENDABLE 2x)</t>
        </is>
      </c>
      <c r="Q620" s="43" t="inlineStr">
        <is>
          <t>Mark the PCB with a label with the deviation number printed</t>
        </is>
      </c>
      <c r="R620" s="43" t="inlineStr">
        <is>
          <t>2026-07-31</t>
        </is>
      </c>
      <c r="S620" s="43" t="inlineStr">
        <is>
          <t>2026-09-03</t>
        </is>
      </c>
      <c r="T620" s="43" t="inlineStr"/>
      <c r="U620" s="43" t="inlineStr"/>
    </row>
    <row r="621">
      <c r="A621" s="43" t="n">
        <v>621</v>
      </c>
      <c r="B621" s="43" t="inlineStr">
        <is>
          <t>620</t>
        </is>
      </c>
      <c r="C621" s="43" t="inlineStr">
        <is>
          <t>FJZP</t>
        </is>
      </c>
      <c r="D621" s="43" t="inlineStr">
        <is>
          <t>Cisco</t>
        </is>
      </c>
      <c r="E621" s="43" t="inlineStr">
        <is>
          <t>MCGA</t>
        </is>
      </c>
      <c r="F621" s="43" t="inlineStr">
        <is>
          <t>037-STBU</t>
        </is>
      </c>
      <c r="G621" s="43" t="inlineStr">
        <is>
          <t>CTANJZ05412</t>
        </is>
      </c>
      <c r="H621" s="43" t="inlineStr">
        <is>
          <t>For temporary part/material substitution (EXTENDABLE)</t>
        </is>
      </c>
      <c r="I621" s="43" t="inlineStr">
        <is>
          <t>Customer Deviation</t>
        </is>
      </c>
      <c r="J621" s="43" t="inlineStr">
        <is>
          <t>D613005</t>
        </is>
      </c>
      <c r="K621" s="33" t="inlineStr">
        <is>
          <t>D613005 FJZ is requesting to use the 15-104142-01 instead of the -02 version (qty=750)</t>
        </is>
      </c>
      <c r="L621" s="43" t="inlineStr">
        <is>
          <t>FAI Status</t>
        </is>
      </c>
      <c r="M621" s="43" t="inlineStr">
        <is>
          <t>800-104789-04</t>
        </is>
      </c>
      <c r="N621" s="43" t="inlineStr"/>
      <c r="O621" s="43" t="inlineStr">
        <is>
          <t>2026-10-28</t>
        </is>
      </c>
      <c r="P621" s="33" t="inlineStr">
        <is>
          <t>For temporary part/material substitution (EXTENDABLE 2x)</t>
        </is>
      </c>
      <c r="Q621" s="43" t="inlineStr">
        <is>
          <t>Mark the PCB with a label with the deviation number printed</t>
        </is>
      </c>
      <c r="R621" s="43" t="inlineStr">
        <is>
          <t>2026-07-31</t>
        </is>
      </c>
      <c r="S621" s="43" t="inlineStr">
        <is>
          <t>2026-09-03</t>
        </is>
      </c>
      <c r="T621" s="43" t="inlineStr"/>
      <c r="U621" s="43" t="inlineStr"/>
    </row>
    <row r="622">
      <c r="A622" s="43" t="n">
        <v>622</v>
      </c>
      <c r="B622" s="43" t="inlineStr">
        <is>
          <t>621</t>
        </is>
      </c>
      <c r="C622" s="43" t="inlineStr">
        <is>
          <t>FJZP</t>
        </is>
      </c>
      <c r="D622" s="43" t="inlineStr">
        <is>
          <t>Cisco</t>
        </is>
      </c>
      <c r="E622" s="43" t="inlineStr">
        <is>
          <t>MCGA</t>
        </is>
      </c>
      <c r="F622" s="43" t="inlineStr">
        <is>
          <t>239-CRBU</t>
        </is>
      </c>
      <c r="G622" s="43" t="inlineStr">
        <is>
          <t>CTANJZ05413</t>
        </is>
      </c>
      <c r="H622" s="43" t="inlineStr">
        <is>
          <t>To temporarily use parts/materials that do not meet the specifications</t>
        </is>
      </c>
      <c r="I622" s="43" t="inlineStr">
        <is>
          <t>Customer Deviation</t>
        </is>
      </c>
      <c r="J622" s="43" t="inlineStr">
        <is>
          <t>D613063</t>
        </is>
      </c>
      <c r="K622" s="33" t="inlineStr">
        <is>
          <t>D613063allow usage of Iron and GB (Mono/2.5D) ASICs showing DPPMs over their goal</t>
        </is>
      </c>
      <c r="L622" s="43" t="inlineStr">
        <is>
          <t>FAI Status</t>
        </is>
      </c>
      <c r="M622" s="43" t="inlineStr">
        <is>
          <t>01-1057-03</t>
        </is>
      </c>
      <c r="N622" s="43" t="inlineStr"/>
      <c r="O622" s="43" t="inlineStr">
        <is>
          <t>2026-10-29</t>
        </is>
      </c>
      <c r="P622" s="33" t="inlineStr">
        <is>
          <t>To temporarily use parts/materials that do not meet the specifications</t>
        </is>
      </c>
      <c r="Q622" s="43" t="inlineStr">
        <is>
          <t>no marking needed</t>
        </is>
      </c>
      <c r="R622" s="43" t="inlineStr">
        <is>
          <t>2026-08-03</t>
        </is>
      </c>
      <c r="S622" s="43" t="inlineStr">
        <is>
          <t>2026-08-18</t>
        </is>
      </c>
      <c r="T622" s="43" t="inlineStr"/>
      <c r="U622" s="43" t="inlineStr"/>
    </row>
    <row r="623">
      <c r="A623" s="43" t="n">
        <v>623</v>
      </c>
      <c r="B623" s="43" t="inlineStr">
        <is>
          <t>622</t>
        </is>
      </c>
      <c r="C623" s="43" t="inlineStr">
        <is>
          <t>FJZP</t>
        </is>
      </c>
      <c r="D623" s="43" t="inlineStr">
        <is>
          <t>Cisco</t>
        </is>
      </c>
      <c r="E623" s="43" t="inlineStr">
        <is>
          <t>MCGA</t>
        </is>
      </c>
      <c r="F623" s="43" t="inlineStr">
        <is>
          <t>239-CRBU</t>
        </is>
      </c>
      <c r="G623" s="43" t="inlineStr">
        <is>
          <t>CTANJZ05413</t>
        </is>
      </c>
      <c r="H623" s="43" t="inlineStr">
        <is>
          <t>To temporarily use parts/materials that do not meet the specifications</t>
        </is>
      </c>
      <c r="I623" s="43" t="inlineStr">
        <is>
          <t>Customer Deviation</t>
        </is>
      </c>
      <c r="J623" s="43" t="inlineStr">
        <is>
          <t>D613063</t>
        </is>
      </c>
      <c r="K623" s="33" t="inlineStr">
        <is>
          <t>D613063allow usage of Iron and GB (Mono/2.5D) ASICs showing DPPMs over their goal</t>
        </is>
      </c>
      <c r="L623" s="43" t="inlineStr">
        <is>
          <t>FAI Status</t>
        </is>
      </c>
      <c r="M623" s="43" t="inlineStr">
        <is>
          <t>08-100199-03</t>
        </is>
      </c>
      <c r="N623" s="43" t="inlineStr"/>
      <c r="O623" s="43" t="inlineStr">
        <is>
          <t>2026-10-29</t>
        </is>
      </c>
      <c r="P623" s="33" t="inlineStr">
        <is>
          <t>To temporarily use parts/materials that do not meet the specifications</t>
        </is>
      </c>
      <c r="Q623" s="43" t="inlineStr">
        <is>
          <t>no marking needed</t>
        </is>
      </c>
      <c r="R623" s="43" t="inlineStr">
        <is>
          <t>2026-08-03</t>
        </is>
      </c>
      <c r="S623" s="43" t="inlineStr">
        <is>
          <t>2026-08-18</t>
        </is>
      </c>
      <c r="T623" s="43" t="inlineStr"/>
      <c r="U623" s="43" t="inlineStr"/>
    </row>
    <row r="624">
      <c r="A624" s="43" t="n">
        <v>624</v>
      </c>
      <c r="B624" s="43" t="inlineStr">
        <is>
          <t>623</t>
        </is>
      </c>
      <c r="C624" s="43" t="inlineStr">
        <is>
          <t>FJZP</t>
        </is>
      </c>
      <c r="D624" s="43" t="inlineStr">
        <is>
          <t>Cisco</t>
        </is>
      </c>
      <c r="E624" s="43" t="inlineStr">
        <is>
          <t>MCGA</t>
        </is>
      </c>
      <c r="F624" s="43" t="inlineStr">
        <is>
          <t>239-CRBU</t>
        </is>
      </c>
      <c r="G624" s="43" t="inlineStr">
        <is>
          <t>CTANJZ05413</t>
        </is>
      </c>
      <c r="H624" s="43" t="inlineStr">
        <is>
          <t>To temporarily use parts/materials that do not meet the specifications</t>
        </is>
      </c>
      <c r="I624" s="43" t="inlineStr">
        <is>
          <t>Customer Deviation</t>
        </is>
      </c>
      <c r="J624" s="43" t="inlineStr">
        <is>
          <t>D613063</t>
        </is>
      </c>
      <c r="K624" s="33" t="inlineStr">
        <is>
          <t>D613063allow usage of Iron and GB (Mono/2.5D) ASICs showing DPPMs over their goal</t>
        </is>
      </c>
      <c r="L624" s="43" t="inlineStr">
        <is>
          <t>FAI Status</t>
        </is>
      </c>
      <c r="M624" s="43" t="inlineStr">
        <is>
          <t>08-1057-03</t>
        </is>
      </c>
      <c r="N624" s="43" t="inlineStr"/>
      <c r="O624" s="43" t="inlineStr">
        <is>
          <t>2026-10-29</t>
        </is>
      </c>
      <c r="P624" s="33" t="inlineStr">
        <is>
          <t>To temporarily use parts/materials that do not meet the specifications</t>
        </is>
      </c>
      <c r="Q624" s="43" t="inlineStr">
        <is>
          <t>no marking needed</t>
        </is>
      </c>
      <c r="R624" s="43" t="inlineStr">
        <is>
          <t>2026-08-03</t>
        </is>
      </c>
      <c r="S624" s="43" t="inlineStr">
        <is>
          <t>2026-08-18</t>
        </is>
      </c>
      <c r="T624" s="43" t="inlineStr"/>
      <c r="U624" s="43" t="inlineStr"/>
    </row>
    <row r="625">
      <c r="A625" s="43" t="n">
        <v>625</v>
      </c>
      <c r="B625" s="43" t="inlineStr">
        <is>
          <t>624</t>
        </is>
      </c>
      <c r="C625" s="43" t="inlineStr">
        <is>
          <t>FJZP</t>
        </is>
      </c>
      <c r="D625" s="43" t="inlineStr">
        <is>
          <t>Cisco</t>
        </is>
      </c>
      <c r="E625" s="43" t="inlineStr">
        <is>
          <t>MCGA</t>
        </is>
      </c>
      <c r="F625" s="43" t="inlineStr">
        <is>
          <t>239-CRBU</t>
        </is>
      </c>
      <c r="G625" s="43" t="inlineStr">
        <is>
          <t>CTANJZ05413</t>
        </is>
      </c>
      <c r="H625" s="43" t="inlineStr">
        <is>
          <t>To temporarily use parts/materials that do not meet the specifications</t>
        </is>
      </c>
      <c r="I625" s="43" t="inlineStr">
        <is>
          <t>Customer Deviation</t>
        </is>
      </c>
      <c r="J625" s="43" t="inlineStr">
        <is>
          <t>D613063</t>
        </is>
      </c>
      <c r="K625" s="33" t="inlineStr">
        <is>
          <t>D613063allow usage of Iron and GB (Mono/2.5D) ASICs showing DPPMs over their goal</t>
        </is>
      </c>
      <c r="L625" s="43" t="inlineStr">
        <is>
          <t>FAI Status</t>
        </is>
      </c>
      <c r="M625" s="43" t="inlineStr">
        <is>
          <t>73-20176-06</t>
        </is>
      </c>
      <c r="N625" s="43" t="inlineStr"/>
      <c r="O625" s="43" t="inlineStr">
        <is>
          <t>2026-10-29</t>
        </is>
      </c>
      <c r="P625" s="33" t="inlineStr">
        <is>
          <t>To temporarily use parts/materials that do not meet the specifications</t>
        </is>
      </c>
      <c r="Q625" s="43" t="inlineStr">
        <is>
          <t>no marking needed</t>
        </is>
      </c>
      <c r="R625" s="43" t="inlineStr">
        <is>
          <t>2026-08-03</t>
        </is>
      </c>
      <c r="S625" s="43" t="inlineStr">
        <is>
          <t>2026-08-18</t>
        </is>
      </c>
      <c r="T625" s="43" t="inlineStr"/>
      <c r="U625" s="43" t="inlineStr"/>
    </row>
    <row r="626">
      <c r="A626" s="43" t="n">
        <v>626</v>
      </c>
      <c r="B626" s="43" t="inlineStr">
        <is>
          <t>625</t>
        </is>
      </c>
      <c r="C626" s="43" t="inlineStr">
        <is>
          <t>FJZP</t>
        </is>
      </c>
      <c r="D626" s="43" t="inlineStr">
        <is>
          <t>Cisco</t>
        </is>
      </c>
      <c r="E626" s="43" t="inlineStr">
        <is>
          <t>MCGA</t>
        </is>
      </c>
      <c r="F626" s="43" t="inlineStr">
        <is>
          <t>239-CRBU</t>
        </is>
      </c>
      <c r="G626" s="43" t="inlineStr">
        <is>
          <t>CTANJZ05413</t>
        </is>
      </c>
      <c r="H626" s="43" t="inlineStr">
        <is>
          <t>To temporarily use parts/materials that do not meet the specifications</t>
        </is>
      </c>
      <c r="I626" s="43" t="inlineStr">
        <is>
          <t>Customer Deviation</t>
        </is>
      </c>
      <c r="J626" s="43" t="inlineStr">
        <is>
          <t>D613063</t>
        </is>
      </c>
      <c r="K626" s="33" t="inlineStr">
        <is>
          <t>D613063allow usage of Iron and GB (Mono/2.5D) ASICs showing DPPMs over their goal</t>
        </is>
      </c>
      <c r="L626" s="43" t="inlineStr">
        <is>
          <t>FAI Status</t>
        </is>
      </c>
      <c r="M626" s="43" t="inlineStr">
        <is>
          <t>73-20193-09</t>
        </is>
      </c>
      <c r="N626" s="43" t="inlineStr"/>
      <c r="O626" s="43" t="inlineStr">
        <is>
          <t>2026-10-29</t>
        </is>
      </c>
      <c r="P626" s="33" t="inlineStr">
        <is>
          <t>To temporarily use parts/materials that do not meet the specifications</t>
        </is>
      </c>
      <c r="Q626" s="43" t="inlineStr">
        <is>
          <t>no marking needed</t>
        </is>
      </c>
      <c r="R626" s="43" t="inlineStr">
        <is>
          <t>2026-08-03</t>
        </is>
      </c>
      <c r="S626" s="43" t="inlineStr">
        <is>
          <t>2026-08-18</t>
        </is>
      </c>
      <c r="T626" s="43" t="inlineStr"/>
      <c r="U626" s="43" t="inlineStr"/>
    </row>
    <row r="627">
      <c r="A627" s="43" t="n">
        <v>627</v>
      </c>
      <c r="B627" s="43" t="inlineStr">
        <is>
          <t>626</t>
        </is>
      </c>
      <c r="C627" s="43" t="inlineStr">
        <is>
          <t>FJZP</t>
        </is>
      </c>
      <c r="D627" s="43" t="inlineStr">
        <is>
          <t>Cisco</t>
        </is>
      </c>
      <c r="E627" s="43" t="inlineStr">
        <is>
          <t>MCGA</t>
        </is>
      </c>
      <c r="F627" s="43" t="inlineStr">
        <is>
          <t>239-CRBU</t>
        </is>
      </c>
      <c r="G627" s="43" t="inlineStr">
        <is>
          <t>CTANJZ05413</t>
        </is>
      </c>
      <c r="H627" s="43" t="inlineStr">
        <is>
          <t>To temporarily use parts/materials that do not meet the specifications</t>
        </is>
      </c>
      <c r="I627" s="43" t="inlineStr">
        <is>
          <t>Customer Deviation</t>
        </is>
      </c>
      <c r="J627" s="43" t="inlineStr">
        <is>
          <t>D613063</t>
        </is>
      </c>
      <c r="K627" s="33" t="inlineStr">
        <is>
          <t>D613063allow usage of Iron and GB (Mono/2.5D) ASICs showing DPPMs over their goal</t>
        </is>
      </c>
      <c r="L627" s="43" t="inlineStr">
        <is>
          <t>FAI Status</t>
        </is>
      </c>
      <c r="M627" s="43" t="inlineStr">
        <is>
          <t>73-20513-06</t>
        </is>
      </c>
      <c r="N627" s="43" t="inlineStr"/>
      <c r="O627" s="43" t="inlineStr">
        <is>
          <t>2026-10-29</t>
        </is>
      </c>
      <c r="P627" s="33" t="inlineStr">
        <is>
          <t>To temporarily use parts/materials that do not meet the specifications</t>
        </is>
      </c>
      <c r="Q627" s="43" t="inlineStr">
        <is>
          <t>no marking needed</t>
        </is>
      </c>
      <c r="R627" s="43" t="inlineStr">
        <is>
          <t>2026-08-03</t>
        </is>
      </c>
      <c r="S627" s="43" t="inlineStr">
        <is>
          <t>2026-08-18</t>
        </is>
      </c>
      <c r="T627" s="43" t="inlineStr"/>
      <c r="U627" s="43" t="inlineStr"/>
    </row>
    <row r="628">
      <c r="A628" s="43" t="n">
        <v>628</v>
      </c>
      <c r="B628" s="43" t="inlineStr">
        <is>
          <t>627</t>
        </is>
      </c>
      <c r="C628" s="43" t="inlineStr">
        <is>
          <t>FJZP</t>
        </is>
      </c>
      <c r="D628" s="43" t="inlineStr">
        <is>
          <t>Cisco</t>
        </is>
      </c>
      <c r="E628" s="43" t="inlineStr">
        <is>
          <t>MCGA</t>
        </is>
      </c>
      <c r="F628" s="43" t="inlineStr">
        <is>
          <t>239-CRBU</t>
        </is>
      </c>
      <c r="G628" s="43" t="inlineStr">
        <is>
          <t>CTANJZ05413</t>
        </is>
      </c>
      <c r="H628" s="43" t="inlineStr">
        <is>
          <t>To temporarily use parts/materials that do not meet the specifications</t>
        </is>
      </c>
      <c r="I628" s="43" t="inlineStr">
        <is>
          <t>Customer Deviation</t>
        </is>
      </c>
      <c r="J628" s="43" t="inlineStr">
        <is>
          <t>D613063</t>
        </is>
      </c>
      <c r="K628" s="33" t="inlineStr">
        <is>
          <t>D613063allow usage of Iron and GB (Mono/2.5D) ASICs showing DPPMs over their goal</t>
        </is>
      </c>
      <c r="L628" s="43" t="inlineStr">
        <is>
          <t>FAI Status</t>
        </is>
      </c>
      <c r="M628" s="43" t="inlineStr">
        <is>
          <t>73-21144-07</t>
        </is>
      </c>
      <c r="N628" s="43" t="inlineStr"/>
      <c r="O628" s="43" t="inlineStr">
        <is>
          <t>2026-10-29</t>
        </is>
      </c>
      <c r="P628" s="33" t="inlineStr">
        <is>
          <t>To temporarily use parts/materials that do not meet the specifications</t>
        </is>
      </c>
      <c r="Q628" s="43" t="inlineStr">
        <is>
          <t>no marking needed</t>
        </is>
      </c>
      <c r="R628" s="43" t="inlineStr">
        <is>
          <t>2026-08-03</t>
        </is>
      </c>
      <c r="S628" s="43" t="inlineStr">
        <is>
          <t>2026-08-18</t>
        </is>
      </c>
      <c r="T628" s="43" t="inlineStr"/>
      <c r="U628" s="43" t="inlineStr"/>
    </row>
    <row r="629">
      <c r="A629" s="43" t="n">
        <v>629</v>
      </c>
      <c r="B629" s="43" t="inlineStr">
        <is>
          <t>628</t>
        </is>
      </c>
      <c r="C629" s="43" t="inlineStr">
        <is>
          <t>FJZP</t>
        </is>
      </c>
      <c r="D629" s="43" t="inlineStr">
        <is>
          <t>Cisco</t>
        </is>
      </c>
      <c r="E629" s="43" t="inlineStr">
        <is>
          <t>MCGA</t>
        </is>
      </c>
      <c r="F629" s="43" t="inlineStr">
        <is>
          <t>239-CRBU</t>
        </is>
      </c>
      <c r="G629" s="43" t="inlineStr">
        <is>
          <t>CTANJZ05413</t>
        </is>
      </c>
      <c r="H629" s="43" t="inlineStr">
        <is>
          <t>To temporarily use parts/materials that do not meet the specifications</t>
        </is>
      </c>
      <c r="I629" s="43" t="inlineStr">
        <is>
          <t>Customer Deviation</t>
        </is>
      </c>
      <c r="J629" s="43" t="inlineStr">
        <is>
          <t>D613063</t>
        </is>
      </c>
      <c r="K629" s="33" t="inlineStr">
        <is>
          <t>D613063allow usage of Iron and GB (Mono/2.5D) ASICs showing DPPMs over their goal</t>
        </is>
      </c>
      <c r="L629" s="43" t="inlineStr">
        <is>
          <t>FAI Status</t>
        </is>
      </c>
      <c r="M629" s="43" t="inlineStr">
        <is>
          <t>73-21146-12</t>
        </is>
      </c>
      <c r="N629" s="43" t="inlineStr"/>
      <c r="O629" s="43" t="inlineStr">
        <is>
          <t>2026-10-29</t>
        </is>
      </c>
      <c r="P629" s="33" t="inlineStr">
        <is>
          <t>To temporarily use parts/materials that do not meet the specifications</t>
        </is>
      </c>
      <c r="Q629" s="43" t="inlineStr">
        <is>
          <t>no marking needed</t>
        </is>
      </c>
      <c r="R629" s="43" t="inlineStr">
        <is>
          <t>2026-08-03</t>
        </is>
      </c>
      <c r="S629" s="43" t="inlineStr">
        <is>
          <t>2026-08-18</t>
        </is>
      </c>
      <c r="T629" s="43" t="inlineStr"/>
      <c r="U629" s="43" t="inlineStr"/>
    </row>
    <row r="630">
      <c r="A630" s="43" t="n">
        <v>630</v>
      </c>
      <c r="B630" s="43" t="inlineStr">
        <is>
          <t>629</t>
        </is>
      </c>
      <c r="C630" s="43" t="inlineStr">
        <is>
          <t>FJZP</t>
        </is>
      </c>
      <c r="D630" s="43" t="inlineStr">
        <is>
          <t>Cisco</t>
        </is>
      </c>
      <c r="E630" s="43" t="inlineStr">
        <is>
          <t>MCGA</t>
        </is>
      </c>
      <c r="F630" s="43" t="inlineStr">
        <is>
          <t>035-CVEBU</t>
        </is>
      </c>
      <c r="G630" s="43" t="inlineStr">
        <is>
          <t>CTANJZ05430</t>
        </is>
      </c>
      <c r="H630" s="43" t="inlineStr">
        <is>
          <t>For temporary part/material substitution (EXTENDABLE)</t>
        </is>
      </c>
      <c r="I630" s="43" t="inlineStr">
        <is>
          <t>Customer Deviation</t>
        </is>
      </c>
      <c r="J630" s="43" t="inlineStr">
        <is>
          <t>D613562</t>
        </is>
      </c>
      <c r="K630" s="33" t="inlineStr">
        <is>
          <t>D613562 CVEBU;OctavioCS-DESK-NR-K9  Cisco Desk; NoRadio; First Light (White)In BOM:68-103055-03 ASY-ELMECH;OCTAVIO UNIT 8GB NRIn BOM:800-109400-02 FNLASY-ELMECH;MODULE;OCTAVIO UNIT 8GB NR  In BOM800-109398-02 ASY-ELMECH;CPU;OCTAVIO;MAIN BOARD WITH TX2 NX 8GB NRInstead of the above 800- CPN; FVN is allowed to build 92 pcs Qctavio units using TAA version:800-109399-02 ASY-ELMECH;CPU;OCTAVIO;MAIN BOARD WITH TX2 NX 8GB NR;TAA</t>
        </is>
      </c>
      <c r="L630" s="43" t="inlineStr">
        <is>
          <t>FAI Status</t>
        </is>
      </c>
      <c r="M630" s="43" t="inlineStr">
        <is>
          <t>800-109398-02</t>
        </is>
      </c>
      <c r="N630" s="43" t="inlineStr"/>
      <c r="O630" s="43" t="inlineStr">
        <is>
          <t>2026-11-18</t>
        </is>
      </c>
      <c r="P630" s="33" t="inlineStr">
        <is>
          <t>For temporary part/material substitution (EXTENDABLE 2x)</t>
        </is>
      </c>
      <c r="Q630" s="43" t="inlineStr">
        <is>
          <t>Change the COO from "Made in Vietnam" to "Assembly in Vietnam¡§ on rating label of 56-106298-13 for 68-103055-03.</t>
        </is>
      </c>
      <c r="R630" s="43" t="inlineStr">
        <is>
          <t>2026-08-22</t>
        </is>
      </c>
      <c r="S630" s="43" t="inlineStr">
        <is>
          <t>2026-09-22</t>
        </is>
      </c>
      <c r="T630" s="43" t="inlineStr"/>
      <c r="U630" s="43" t="inlineStr"/>
    </row>
    <row r="631">
      <c r="A631" s="43" t="n">
        <v>631</v>
      </c>
      <c r="B631" s="43" t="inlineStr">
        <is>
          <t>630</t>
        </is>
      </c>
      <c r="C631" s="43" t="inlineStr">
        <is>
          <t>FJZP</t>
        </is>
      </c>
      <c r="D631" s="43" t="inlineStr">
        <is>
          <t>Cisco</t>
        </is>
      </c>
      <c r="E631" s="43" t="inlineStr">
        <is>
          <t>MCGA</t>
        </is>
      </c>
      <c r="F631" s="43" t="inlineStr">
        <is>
          <t>035-CVEBU</t>
        </is>
      </c>
      <c r="G631" s="43" t="inlineStr">
        <is>
          <t>CTANJZ05430</t>
        </is>
      </c>
      <c r="H631" s="43" t="inlineStr">
        <is>
          <t>For temporary part/material substitution (EXTENDABLE)</t>
        </is>
      </c>
      <c r="I631" s="43" t="inlineStr">
        <is>
          <t>Customer Deviation</t>
        </is>
      </c>
      <c r="J631" s="43" t="inlineStr">
        <is>
          <t>D613562</t>
        </is>
      </c>
      <c r="K631" s="33" t="inlineStr">
        <is>
          <t>D613562 CVEBU;OctavioCS-DESK-NR-K9  Cisco Desk; NoRadio; First Light (White)In BOM:68-103055-03 ASY-ELMECH;OCTAVIO UNIT 8GB NRIn BOM:800-109400-02 FNLASY-ELMECH;MODULE;OCTAVIO UNIT 8GB NR  In BOM800-109398-02 ASY-ELMECH;CPU;OCTAVIO;MAIN BOARD WITH TX2 NX 8GB NRInstead of the above 800- CPN; FVN is allowed to build 92 pcs Qctavio units using TAA version:800-109399-02 ASY-ELMECH;CPU;OCTAVIO;MAIN BOARD WITH TX2 NX 8GB NR;TAA</t>
        </is>
      </c>
      <c r="L631" s="43" t="inlineStr">
        <is>
          <t>FAI Status</t>
        </is>
      </c>
      <c r="M631" s="43" t="inlineStr">
        <is>
          <t>800-109400-02</t>
        </is>
      </c>
      <c r="N631" s="43" t="inlineStr"/>
      <c r="O631" s="43" t="inlineStr">
        <is>
          <t>2026-11-18</t>
        </is>
      </c>
      <c r="P631" s="33" t="inlineStr">
        <is>
          <t>For temporary part/material substitution (EXTENDABLE 2x)</t>
        </is>
      </c>
      <c r="Q631" s="43" t="inlineStr">
        <is>
          <t>Change the COO from "Made in Vietnam" to "Assembly in Vietnam¡§ on rating label of 56-106298-13 for 68-103055-03.</t>
        </is>
      </c>
      <c r="R631" s="43" t="inlineStr">
        <is>
          <t>2026-08-22</t>
        </is>
      </c>
      <c r="S631" s="43" t="inlineStr">
        <is>
          <t>2026-09-22</t>
        </is>
      </c>
      <c r="T631" s="43" t="inlineStr"/>
      <c r="U631" s="43" t="inlineStr"/>
    </row>
    <row r="632">
      <c r="A632" s="43" t="n">
        <v>632</v>
      </c>
      <c r="B632" s="43" t="inlineStr">
        <is>
          <t>631</t>
        </is>
      </c>
      <c r="C632" s="43" t="inlineStr">
        <is>
          <t>FJZP</t>
        </is>
      </c>
      <c r="D632" s="43" t="inlineStr">
        <is>
          <t>Cisco</t>
        </is>
      </c>
      <c r="E632" s="43" t="inlineStr">
        <is>
          <t>MCGA</t>
        </is>
      </c>
      <c r="F632" s="43" t="inlineStr">
        <is>
          <t>035-CVEBU</t>
        </is>
      </c>
      <c r="G632" s="43" t="inlineStr">
        <is>
          <t>CTANJZ05519</t>
        </is>
      </c>
      <c r="H632" s="43" t="inlineStr">
        <is>
          <t>For temporary part/material substitution (EXTENDABLE)</t>
        </is>
      </c>
      <c r="I632" s="43" t="inlineStr">
        <is>
          <t>Customer Deviation</t>
        </is>
      </c>
      <c r="J632" s="43" t="inlineStr">
        <is>
          <t>D614380</t>
        </is>
      </c>
      <c r="K632" s="33" t="inlineStr">
        <is>
          <t>D614380 CVEBU;Pictoris73-103103-05 B0 PCA; PICTORIS MAIN BOARD  73-103603-05 B0 PCA; PICTORIS MAIN BOARD NR  For refdes U417Remove from BOM15-108939-01 TPM 2.0 I2C with STO's Advanced feature set supported. I-temp only supported  3.3 VQualified: Infinion SLB 9673AU2.0 FW27.24Qualified: ST Micro ST33HF2X32AHE3C1Add to BOM15-108939-03 IC-MP;TPM 2.0 I2C;33 MHz;VQFP;32 P;5x5 mm PKGSIZE;0.5mmP;3.3 V NOM;0.63 W;I2C;NO-JTAG;-40 to 105 'CQualified: Infinion SLB 9673AU2.0 FW27.24Pictoris MB ver -05 is still being manufactured at Foxconn.No FFF change; but need to avoid the ST Micro alternate to improve production yield.</t>
        </is>
      </c>
      <c r="L632" s="43" t="inlineStr">
        <is>
          <t>CCB</t>
        </is>
      </c>
      <c r="M632" s="43" t="inlineStr">
        <is>
          <t>15-108939-01</t>
        </is>
      </c>
      <c r="N632" s="43" t="inlineStr"/>
      <c r="O632" s="43" t="inlineStr">
        <is>
          <t>2027-01-01</t>
        </is>
      </c>
      <c r="P632" s="33" t="inlineStr">
        <is>
          <t>For temporary part/material substitution (EXTENDABLE 2x)</t>
        </is>
      </c>
      <c r="Q632" s="43" t="inlineStr">
        <is>
          <t>No FFF change =&gt; No marking needed</t>
        </is>
      </c>
      <c r="R632" s="43" t="inlineStr">
        <is>
          <t>2026-10-08</t>
        </is>
      </c>
      <c r="S632" s="43" t="inlineStr"/>
      <c r="T632" s="43" t="inlineStr"/>
      <c r="U632" s="43" t="inlineStr"/>
    </row>
    <row r="633">
      <c r="A633" s="43" t="n">
        <v>633</v>
      </c>
      <c r="B633" s="43" t="inlineStr">
        <is>
          <t>632</t>
        </is>
      </c>
      <c r="C633" s="43" t="inlineStr">
        <is>
          <t>FJZP</t>
        </is>
      </c>
      <c r="D633" s="43" t="inlineStr">
        <is>
          <t>Cisco</t>
        </is>
      </c>
      <c r="E633" s="43" t="inlineStr">
        <is>
          <t>MCGA</t>
        </is>
      </c>
      <c r="F633" s="43" t="inlineStr">
        <is>
          <t>035-CVEBU</t>
        </is>
      </c>
      <c r="G633" s="43" t="inlineStr">
        <is>
          <t>CTANJZ05519</t>
        </is>
      </c>
      <c r="H633" s="43" t="inlineStr">
        <is>
          <t>For temporary part/material substitution (EXTENDABLE)</t>
        </is>
      </c>
      <c r="I633" s="43" t="inlineStr">
        <is>
          <t>Customer Deviation</t>
        </is>
      </c>
      <c r="J633" s="43" t="inlineStr">
        <is>
          <t>D614380</t>
        </is>
      </c>
      <c r="K633" s="33" t="inlineStr">
        <is>
          <t>D614380 CVEBU;Pictoris73-103103-05 B0 PCA; PICTORIS MAIN BOARD  73-103603-05 B0 PCA; PICTORIS MAIN BOARD NR  For refdes U417Remove from BOM15-108939-01 TPM 2.0 I2C with STO's Advanced feature set supported. I-temp only supported  3.3 VQualified: Infinion SLB 9673AU2.0 FW27.24Qualified: ST Micro ST33HF2X32AHE3C1Add to BOM15-108939-03 IC-MP;TPM 2.0 I2C;33 MHz;VQFP;32 P;5x5 mm PKGSIZE;0.5mmP;3.3 V NOM;0.63 W;I2C;NO-JTAG;-40 to 105 'CQualified: Infinion SLB 9673AU2.0 FW27.24Pictoris MB ver -05 is still being manufactured at Foxconn.No FFF change; but need to avoid the ST Micro alternate to improve production yield.</t>
        </is>
      </c>
      <c r="L633" s="43" t="inlineStr">
        <is>
          <t>CCB</t>
        </is>
      </c>
      <c r="M633" s="43" t="inlineStr">
        <is>
          <t>73-103103-05</t>
        </is>
      </c>
      <c r="N633" s="43" t="inlineStr"/>
      <c r="O633" s="43" t="inlineStr">
        <is>
          <t>2027-01-01</t>
        </is>
      </c>
      <c r="P633" s="33" t="inlineStr">
        <is>
          <t>For temporary part/material substitution (EXTENDABLE 2x)</t>
        </is>
      </c>
      <c r="Q633" s="43" t="inlineStr">
        <is>
          <t>No FFF change =&gt; No marking needed</t>
        </is>
      </c>
      <c r="R633" s="43" t="inlineStr">
        <is>
          <t>2026-10-08</t>
        </is>
      </c>
      <c r="S633" s="43" t="inlineStr"/>
      <c r="T633" s="43" t="inlineStr"/>
      <c r="U633" s="43" t="inlineStr"/>
    </row>
    <row r="634">
      <c r="A634" s="43" t="n">
        <v>634</v>
      </c>
      <c r="B634" s="43" t="inlineStr">
        <is>
          <t>633</t>
        </is>
      </c>
      <c r="C634" s="43" t="inlineStr">
        <is>
          <t>FJZP</t>
        </is>
      </c>
      <c r="D634" s="43" t="inlineStr">
        <is>
          <t>Cisco</t>
        </is>
      </c>
      <c r="E634" s="43" t="inlineStr">
        <is>
          <t>MCGA</t>
        </is>
      </c>
      <c r="F634" s="43" t="inlineStr">
        <is>
          <t>035-CVEBU</t>
        </is>
      </c>
      <c r="G634" s="43" t="inlineStr">
        <is>
          <t>CTANJZ05519</t>
        </is>
      </c>
      <c r="H634" s="43" t="inlineStr">
        <is>
          <t>For temporary part/material substitution (EXTENDABLE)</t>
        </is>
      </c>
      <c r="I634" s="43" t="inlineStr">
        <is>
          <t>Customer Deviation</t>
        </is>
      </c>
      <c r="J634" s="43" t="inlineStr">
        <is>
          <t>D614380</t>
        </is>
      </c>
      <c r="K634" s="33" t="inlineStr">
        <is>
          <t>D614380 CVEBU;Pictoris73-103103-05 B0 PCA; PICTORIS MAIN BOARD  73-103603-05 B0 PCA; PICTORIS MAIN BOARD NR  For refdes U417Remove from BOM15-108939-01 TPM 2.0 I2C with STO's Advanced feature set supported. I-temp only supported  3.3 VQualified: Infinion SLB 9673AU2.0 FW27.24Qualified: ST Micro ST33HF2X32AHE3C1Add to BOM15-108939-03 IC-MP;TPM 2.0 I2C;33 MHz;VQFP;32 P;5x5 mm PKGSIZE;0.5mmP;3.3 V NOM;0.63 W;I2C;NO-JTAG;-40 to 105 'CQualified: Infinion SLB 9673AU2.0 FW27.24Pictoris MB ver -05 is still being manufactured at Foxconn.No FFF change; but need to avoid the ST Micro alternate to improve production yield.</t>
        </is>
      </c>
      <c r="L634" s="43" t="inlineStr">
        <is>
          <t>CCB</t>
        </is>
      </c>
      <c r="M634" s="43" t="inlineStr">
        <is>
          <t>73-103603-05</t>
        </is>
      </c>
      <c r="N634" s="43" t="inlineStr"/>
      <c r="O634" s="43" t="inlineStr">
        <is>
          <t>2027-01-01</t>
        </is>
      </c>
      <c r="P634" s="33" t="inlineStr">
        <is>
          <t>For temporary part/material substitution (EXTENDABLE 2x)</t>
        </is>
      </c>
      <c r="Q634" s="43" t="inlineStr">
        <is>
          <t>No FFF change =&gt; No marking needed</t>
        </is>
      </c>
      <c r="R634" s="43" t="inlineStr">
        <is>
          <t>2026-10-08</t>
        </is>
      </c>
      <c r="S634" s="43" t="inlineStr"/>
      <c r="T634" s="43" t="inlineStr"/>
      <c r="U634" s="43" t="inlineStr"/>
    </row>
    <row r="635">
      <c r="A635" s="43" t="n">
        <v>635</v>
      </c>
      <c r="B635" s="43" t="inlineStr">
        <is>
          <t>634</t>
        </is>
      </c>
      <c r="C635" s="43" t="inlineStr">
        <is>
          <t>FJZP</t>
        </is>
      </c>
      <c r="D635" s="43" t="inlineStr">
        <is>
          <t>Cisco</t>
        </is>
      </c>
      <c r="E635" s="43" t="inlineStr">
        <is>
          <t>MCGA</t>
        </is>
      </c>
      <c r="F635" s="43" t="inlineStr">
        <is>
          <t>035-CVEBU</t>
        </is>
      </c>
      <c r="G635" s="43" t="inlineStr">
        <is>
          <t>CTANJZ05409</t>
        </is>
      </c>
      <c r="H635" s="43" t="inlineStr">
        <is>
          <t>To temporarily use parts/materials that do not meet the specifications</t>
        </is>
      </c>
      <c r="I635" s="43" t="inlineStr">
        <is>
          <t>Customer Deviation</t>
        </is>
      </c>
      <c r="J635" s="43" t="inlineStr">
        <is>
          <t>D613059</t>
        </is>
      </c>
      <c r="K635" s="33" t="inlineStr">
        <is>
          <t>D613059 CVEBU; Tyne; Allow broker buy and usage of 15-111341-01/PI3EQX1002E2ZREXAffected items15-111341-01; IC-LIN;INTFC DRVR;TQFN;24 P;2.5x2.5mm PKGSIZE;0.35mm PITCH;3.3 V NOM;-40C to 85C;1-port USB3.2 10Gbps Redriver73-103698-06; PCBA; Tyne Codec; Main Board; Radio  73-103940-06; PCBA; Tyne Codec; Main Board; Non-RadioDeviation- FJZ is hereby allowed to secure and use 3500 pieces of PI3EQX1002E2ZREX from broker Newpower at $0.89 cost each- FJZ must perform a successful control run before usage in regular production</t>
        </is>
      </c>
      <c r="L635" s="43" t="inlineStr">
        <is>
          <t>FAI Status</t>
        </is>
      </c>
      <c r="M635" s="43" t="inlineStr">
        <is>
          <t>15-111341-01</t>
        </is>
      </c>
      <c r="N635" s="43" t="inlineStr"/>
      <c r="O635" s="43" t="inlineStr">
        <is>
          <t>2026-10-27</t>
        </is>
      </c>
      <c r="P635" s="33" t="inlineStr">
        <is>
          <t>To temporarily use parts/materials that do not meet the specifications</t>
        </is>
      </c>
      <c r="Q635" s="43" t="inlineStr">
        <is>
          <t>No marking needed</t>
        </is>
      </c>
      <c r="R635" s="43" t="inlineStr">
        <is>
          <t>2026-07-30</t>
        </is>
      </c>
      <c r="S635" s="43" t="inlineStr">
        <is>
          <t>2026-08-29</t>
        </is>
      </c>
      <c r="T635" s="43" t="inlineStr"/>
      <c r="U635" s="43" t="inlineStr"/>
    </row>
    <row r="636">
      <c r="A636" s="43" t="n">
        <v>636</v>
      </c>
      <c r="B636" s="43" t="inlineStr">
        <is>
          <t>635</t>
        </is>
      </c>
      <c r="C636" s="43" t="inlineStr">
        <is>
          <t>FJZP</t>
        </is>
      </c>
      <c r="D636" s="43" t="inlineStr">
        <is>
          <t>Cisco</t>
        </is>
      </c>
      <c r="E636" s="43" t="inlineStr">
        <is>
          <t>MCGA</t>
        </is>
      </c>
      <c r="F636" s="43" t="inlineStr">
        <is>
          <t>035-CVEBU</t>
        </is>
      </c>
      <c r="G636" s="43" t="inlineStr">
        <is>
          <t>CTANJZ05409</t>
        </is>
      </c>
      <c r="H636" s="43" t="inlineStr">
        <is>
          <t>To temporarily use parts/materials that do not meet the specifications</t>
        </is>
      </c>
      <c r="I636" s="43" t="inlineStr">
        <is>
          <t>Customer Deviation</t>
        </is>
      </c>
      <c r="J636" s="43" t="inlineStr">
        <is>
          <t>D613059</t>
        </is>
      </c>
      <c r="K636" s="33" t="inlineStr">
        <is>
          <t>D613059 CVEBU; Tyne; Allow broker buy and usage of 15-111341-01/PI3EQX1002E2ZREXAffected items15-111341-01; IC-LIN;INTFC DRVR;TQFN;24 P;2.5x2.5mm PKGSIZE;0.35mm PITCH;3.3 V NOM;-40C to 85C;1-port USB3.2 10Gbps Redriver73-103698-06; PCBA; Tyne Codec; Main Board; Radio  73-103940-06; PCBA; Tyne Codec; Main Board; Non-RadioDeviation- FJZ is hereby allowed to secure and use 3500 pieces of PI3EQX1002E2ZREX from broker Newpower at $0.89 cost each- FJZ must perform a successful control run before usage in regular production</t>
        </is>
      </c>
      <c r="L636" s="43" t="inlineStr">
        <is>
          <t>FAI Status</t>
        </is>
      </c>
      <c r="M636" s="43" t="inlineStr">
        <is>
          <t>73-103698-06</t>
        </is>
      </c>
      <c r="N636" s="43" t="inlineStr"/>
      <c r="O636" s="43" t="inlineStr">
        <is>
          <t>2026-10-27</t>
        </is>
      </c>
      <c r="P636" s="33" t="inlineStr">
        <is>
          <t>To temporarily use parts/materials that do not meet the specifications</t>
        </is>
      </c>
      <c r="Q636" s="43" t="inlineStr">
        <is>
          <t>No marking needed</t>
        </is>
      </c>
      <c r="R636" s="43" t="inlineStr">
        <is>
          <t>2026-07-30</t>
        </is>
      </c>
      <c r="S636" s="43" t="inlineStr">
        <is>
          <t>2026-08-29</t>
        </is>
      </c>
      <c r="T636" s="43" t="inlineStr"/>
      <c r="U636" s="43" t="inlineStr"/>
    </row>
    <row r="637">
      <c r="A637" s="43" t="n">
        <v>637</v>
      </c>
      <c r="B637" s="43" t="inlineStr">
        <is>
          <t>636</t>
        </is>
      </c>
      <c r="C637" s="43" t="inlineStr">
        <is>
          <t>FJZP</t>
        </is>
      </c>
      <c r="D637" s="43" t="inlineStr">
        <is>
          <t>Cisco</t>
        </is>
      </c>
      <c r="E637" s="43" t="inlineStr">
        <is>
          <t>MCGA</t>
        </is>
      </c>
      <c r="F637" s="43" t="inlineStr">
        <is>
          <t>035-CVEBU</t>
        </is>
      </c>
      <c r="G637" s="43" t="inlineStr">
        <is>
          <t>CTANJZ05409</t>
        </is>
      </c>
      <c r="H637" s="43" t="inlineStr">
        <is>
          <t>To temporarily use parts/materials that do not meet the specifications</t>
        </is>
      </c>
      <c r="I637" s="43" t="inlineStr">
        <is>
          <t>Customer Deviation</t>
        </is>
      </c>
      <c r="J637" s="43" t="inlineStr">
        <is>
          <t>D613059</t>
        </is>
      </c>
      <c r="K637" s="33" t="inlineStr">
        <is>
          <t>D613059 CVEBU; Tyne; Allow broker buy and usage of 15-111341-01/PI3EQX1002E2ZREXAffected items15-111341-01; IC-LIN;INTFC DRVR;TQFN;24 P;2.5x2.5mm PKGSIZE;0.35mm PITCH;3.3 V NOM;-40C to 85C;1-port USB3.2 10Gbps Redriver73-103698-06; PCBA; Tyne Codec; Main Board; Radio  73-103940-06; PCBA; Tyne Codec; Main Board; Non-RadioDeviation- FJZ is hereby allowed to secure and use 3500 pieces of PI3EQX1002E2ZREX from broker Newpower at $0.89 cost each- FJZ must perform a successful control run before usage in regular production</t>
        </is>
      </c>
      <c r="L637" s="43" t="inlineStr">
        <is>
          <t>FAI Status</t>
        </is>
      </c>
      <c r="M637" s="43" t="inlineStr">
        <is>
          <t>73-103940-06</t>
        </is>
      </c>
      <c r="N637" s="43" t="inlineStr"/>
      <c r="O637" s="43" t="inlineStr">
        <is>
          <t>2026-10-27</t>
        </is>
      </c>
      <c r="P637" s="33" t="inlineStr">
        <is>
          <t>To temporarily use parts/materials that do not meet the specifications</t>
        </is>
      </c>
      <c r="Q637" s="43" t="inlineStr">
        <is>
          <t>No marking needed</t>
        </is>
      </c>
      <c r="R637" s="43" t="inlineStr">
        <is>
          <t>2026-07-30</t>
        </is>
      </c>
      <c r="S637" s="43" t="inlineStr">
        <is>
          <t>2026-08-29</t>
        </is>
      </c>
      <c r="T637" s="43" t="inlineStr"/>
      <c r="U637" s="43" t="inlineStr"/>
    </row>
    <row r="638">
      <c r="A638" s="43" t="n">
        <v>638</v>
      </c>
      <c r="B638" s="43" t="inlineStr">
        <is>
          <t>637</t>
        </is>
      </c>
      <c r="C638" s="43" t="inlineStr">
        <is>
          <t>FJZP</t>
        </is>
      </c>
      <c r="D638" s="43" t="inlineStr">
        <is>
          <t>Cisco</t>
        </is>
      </c>
      <c r="E638" s="43" t="inlineStr">
        <is>
          <t>MCGA</t>
        </is>
      </c>
      <c r="F638" s="43" t="inlineStr">
        <is>
          <t>018-SRGBU</t>
        </is>
      </c>
      <c r="G638" s="43" t="inlineStr">
        <is>
          <t>CTANJZ05527</t>
        </is>
      </c>
      <c r="H638" s="43" t="inlineStr">
        <is>
          <t>For temporary part/material substitution (EXTENDABLE)</t>
        </is>
      </c>
      <c r="I638" s="43" t="inlineStr">
        <is>
          <t>Customer Deviation</t>
        </is>
      </c>
      <c r="J638" s="43" t="inlineStr">
        <is>
          <t>D614253</t>
        </is>
      </c>
      <c r="K638" s="33" t="inlineStr">
        <is>
          <t>D614253 CNGBU/SRGBU: Authorize CM to use-up 74-135544-02 for Alduin 74-141119-02 and PoE Daughtercard C82G2-POE-DC-F option for Arata</t>
        </is>
      </c>
      <c r="L638" s="43" t="inlineStr">
        <is>
          <t>CCB</t>
        </is>
      </c>
      <c r="M638" s="43" t="inlineStr">
        <is>
          <t>74-135544-03</t>
        </is>
      </c>
      <c r="N638" s="43" t="inlineStr"/>
      <c r="O638" s="43" t="inlineStr">
        <is>
          <t>2027-01-10</t>
        </is>
      </c>
      <c r="P638" s="33" t="inlineStr">
        <is>
          <t>For temporary part/material substitution (EXTENDABLE 2x)</t>
        </is>
      </c>
      <c r="Q638" s="43" t="inlineStr">
        <is>
          <t>Label all deviated units with deviation label and program deviation number into the cookie</t>
        </is>
      </c>
      <c r="R638" s="43" t="inlineStr">
        <is>
          <t>2026-10-13</t>
        </is>
      </c>
      <c r="S638" s="43" t="inlineStr"/>
      <c r="T638" s="43" t="inlineStr"/>
      <c r="U638" s="43" t="inlineStr"/>
    </row>
    <row r="639">
      <c r="A639" s="43" t="n">
        <v>639</v>
      </c>
      <c r="B639" s="43" t="inlineStr">
        <is>
          <t>638</t>
        </is>
      </c>
      <c r="C639" s="43" t="inlineStr">
        <is>
          <t>FJZP</t>
        </is>
      </c>
      <c r="D639" s="43" t="inlineStr">
        <is>
          <t>Cisco</t>
        </is>
      </c>
      <c r="E639" s="43" t="inlineStr">
        <is>
          <t>MCGA</t>
        </is>
      </c>
      <c r="F639" s="43" t="inlineStr">
        <is>
          <t>018-SRGBU</t>
        </is>
      </c>
      <c r="G639" s="43" t="inlineStr">
        <is>
          <t>CTANJZ05527</t>
        </is>
      </c>
      <c r="H639" s="43" t="inlineStr">
        <is>
          <t>For temporary part/material substitution (EXTENDABLE)</t>
        </is>
      </c>
      <c r="I639" s="43" t="inlineStr">
        <is>
          <t>Customer Deviation</t>
        </is>
      </c>
      <c r="J639" s="43" t="inlineStr">
        <is>
          <t>D614253</t>
        </is>
      </c>
      <c r="K639" s="33" t="inlineStr">
        <is>
          <t>D614253 CNGBU/SRGBU: Authorize CM to use-up 74-135544-02 for Alduin 74-141119-02 and PoE Daughtercard C82G2-POE-DC-F option for Arata</t>
        </is>
      </c>
      <c r="L639" s="43" t="inlineStr">
        <is>
          <t>CCB</t>
        </is>
      </c>
      <c r="M639" s="43" t="inlineStr">
        <is>
          <t>74-141119-02</t>
        </is>
      </c>
      <c r="N639" s="43" t="inlineStr"/>
      <c r="O639" s="43" t="inlineStr">
        <is>
          <t>2027-01-10</t>
        </is>
      </c>
      <c r="P639" s="33" t="inlineStr">
        <is>
          <t>For temporary part/material substitution (EXTENDABLE 2x)</t>
        </is>
      </c>
      <c r="Q639" s="43" t="inlineStr">
        <is>
          <t>Label all deviated units with deviation label and program deviation number into the cookie</t>
        </is>
      </c>
      <c r="R639" s="43" t="inlineStr">
        <is>
          <t>2026-10-13</t>
        </is>
      </c>
      <c r="S639" s="43" t="inlineStr"/>
      <c r="T639" s="43" t="inlineStr"/>
      <c r="U639" s="43" t="inlineStr"/>
    </row>
    <row r="640">
      <c r="A640" s="43" t="n">
        <v>640</v>
      </c>
      <c r="B640" s="43" t="inlineStr">
        <is>
          <t>639</t>
        </is>
      </c>
      <c r="C640" s="43" t="inlineStr">
        <is>
          <t>FJZP</t>
        </is>
      </c>
      <c r="D640" s="43" t="inlineStr">
        <is>
          <t>Cisco</t>
        </is>
      </c>
      <c r="E640" s="43" t="inlineStr">
        <is>
          <t>MCGA</t>
        </is>
      </c>
      <c r="F640" s="43" t="inlineStr">
        <is>
          <t>018-SRGBU</t>
        </is>
      </c>
      <c r="G640" s="43" t="inlineStr">
        <is>
          <t>CTANJZ05402</t>
        </is>
      </c>
      <c r="H640" s="43" t="inlineStr">
        <is>
          <t>For temporary part/material substitution (EXTENDABLE)</t>
        </is>
      </c>
      <c r="I640" s="43" t="inlineStr">
        <is>
          <t>Customer Deviation</t>
        </is>
      </c>
      <c r="J640" s="43" t="inlineStr">
        <is>
          <t>D612802</t>
        </is>
      </c>
      <c r="K640" s="33" t="inlineStr">
        <is>
          <t>D612802 Please see PageThree for details</t>
        </is>
      </c>
      <c r="L640" s="43" t="inlineStr">
        <is>
          <t>FAI Status</t>
        </is>
      </c>
      <c r="M640" s="43" t="inlineStr">
        <is>
          <t>16-100775-01</t>
        </is>
      </c>
      <c r="N640" s="43" t="inlineStr"/>
      <c r="O640" s="43" t="inlineStr">
        <is>
          <t>2026-10-19</t>
        </is>
      </c>
      <c r="P640" s="33" t="inlineStr">
        <is>
          <t>For temporary part/material substitution (EXTENDABLE 2x)</t>
        </is>
      </c>
      <c r="Q640" s="43" t="inlineStr">
        <is>
          <t>Mark drives with deviation number; and resized size CPN: 16-100775-01; MPN: MTFDDAK480TGB-1BC16ABYY; Resizing: 480GB to 400GB CPN: 16-100809-01; MPN: MTFDDAK240TGA-1BC16ABYY; Resizing: 240GB to 100GB</t>
        </is>
      </c>
      <c r="R640" s="43" t="inlineStr">
        <is>
          <t>2026-07-23</t>
        </is>
      </c>
      <c r="S640" s="43" t="inlineStr">
        <is>
          <t>2026-08-08</t>
        </is>
      </c>
      <c r="T640" s="43" t="inlineStr"/>
      <c r="U640" s="43" t="inlineStr"/>
    </row>
    <row r="641">
      <c r="A641" s="43" t="n">
        <v>641</v>
      </c>
      <c r="B641" s="43" t="inlineStr">
        <is>
          <t>640</t>
        </is>
      </c>
      <c r="C641" s="43" t="inlineStr">
        <is>
          <t>FJZP</t>
        </is>
      </c>
      <c r="D641" s="43" t="inlineStr">
        <is>
          <t>Cisco</t>
        </is>
      </c>
      <c r="E641" s="43" t="inlineStr">
        <is>
          <t>MCGA</t>
        </is>
      </c>
      <c r="F641" s="43" t="inlineStr">
        <is>
          <t>018-SRGBU</t>
        </is>
      </c>
      <c r="G641" s="43" t="inlineStr">
        <is>
          <t>CTANJZ05402</t>
        </is>
      </c>
      <c r="H641" s="43" t="inlineStr">
        <is>
          <t>For temporary part/material substitution (EXTENDABLE)</t>
        </is>
      </c>
      <c r="I641" s="43" t="inlineStr">
        <is>
          <t>Customer Deviation</t>
        </is>
      </c>
      <c r="J641" s="43" t="inlineStr">
        <is>
          <t>D612802</t>
        </is>
      </c>
      <c r="K641" s="33" t="inlineStr">
        <is>
          <t>D612802 Please see PageThree for details</t>
        </is>
      </c>
      <c r="L641" s="43" t="inlineStr">
        <is>
          <t>FAI Status</t>
        </is>
      </c>
      <c r="M641" s="43" t="inlineStr">
        <is>
          <t>16-100809-01</t>
        </is>
      </c>
      <c r="N641" s="43" t="inlineStr"/>
      <c r="O641" s="43" t="inlineStr">
        <is>
          <t>2026-10-19</t>
        </is>
      </c>
      <c r="P641" s="33" t="inlineStr">
        <is>
          <t>For temporary part/material substitution (EXTENDABLE 2x)</t>
        </is>
      </c>
      <c r="Q641" s="43" t="inlineStr">
        <is>
          <t>Mark drives with deviation number; and resized size CPN: 16-100775-01; MPN: MTFDDAK480TGB-1BC16ABYY; Resizing: 480GB to 400GB CPN: 16-100809-01; MPN: MTFDDAK240TGA-1BC16ABYY; Resizing: 240GB to 100GB</t>
        </is>
      </c>
      <c r="R641" s="43" t="inlineStr">
        <is>
          <t>2026-07-23</t>
        </is>
      </c>
      <c r="S641" s="43" t="inlineStr">
        <is>
          <t>2026-08-08</t>
        </is>
      </c>
      <c r="T641" s="43" t="inlineStr"/>
      <c r="U641" s="43" t="inlineStr"/>
    </row>
    <row r="642">
      <c r="A642" s="43" t="n">
        <v>642</v>
      </c>
      <c r="B642" s="43" t="inlineStr">
        <is>
          <t>641</t>
        </is>
      </c>
      <c r="C642" s="43" t="inlineStr">
        <is>
          <t>FJZP</t>
        </is>
      </c>
      <c r="D642" s="43" t="inlineStr">
        <is>
          <t>Cisco</t>
        </is>
      </c>
      <c r="E642" s="43" t="inlineStr">
        <is>
          <t>MCGA</t>
        </is>
      </c>
      <c r="F642" s="43" t="inlineStr">
        <is>
          <t>035-CVEBU</t>
        </is>
      </c>
      <c r="G642" s="43" t="inlineStr">
        <is>
          <t>CTANJZ05290</t>
        </is>
      </c>
      <c r="H642" s="43" t="inlineStr">
        <is>
          <t>New Release</t>
        </is>
      </c>
      <c r="I642" s="43" t="inlineStr">
        <is>
          <t>Customer Deviation</t>
        </is>
      </c>
      <c r="J642" s="43" t="inlineStr">
        <is>
          <t>D612021</t>
        </is>
      </c>
      <c r="K642" s="33" t="inlineStr">
        <is>
          <t>D612021 CVEBU: TyneDue to quality issues on Taylor Modules produced at FJZ; Cisco would like FVN to support FJZ with Taylor Modules for an INTERIM period until quality issues at FJZ are under control800-117978-03 E/M_ASSY_MECH;TAYLOR HIGH MODULE;MICRON 16GB LPDDR5Where used: Tyne800-118978-03 E/M_ASSY_MECH;TAYLOR HIGH MODULE;HYNIX 16GB LPDDR5Where used: BayfrontFJZ is allowed to use 800-118978-03 instead of 800-117978-03 for all Tyne Radio units 68-104853-01.FJZ must clearly label units that have built with FVN modules (800-118978-03) and prepare such shipments to any BTS site on a separate pallet. FJZ must inform Cisco and the BTS site about when such a shipment takes place so Cisco can do proper arrangements.</t>
        </is>
      </c>
      <c r="L642" s="43" t="inlineStr">
        <is>
          <t>Extended</t>
        </is>
      </c>
      <c r="M642" s="43" t="inlineStr">
        <is>
          <t>68-104853-01</t>
        </is>
      </c>
      <c r="N642" s="43" t="inlineStr"/>
      <c r="O642" s="43" t="inlineStr">
        <is>
          <t>2026-12-07</t>
        </is>
      </c>
      <c r="P642" s="33" t="inlineStr">
        <is>
          <t>For temporary part/material substitution (EXTENDABLE 2x)</t>
        </is>
      </c>
      <c r="Q642" s="43" t="inlineStr">
        <is>
          <t>FJZ must clearly label units that have built with FVN modules.</t>
        </is>
      </c>
      <c r="R642" s="43" t="inlineStr">
        <is>
          <t>2026-06-12</t>
        </is>
      </c>
      <c r="S642" s="43" t="inlineStr">
        <is>
          <t>2026-06-20</t>
        </is>
      </c>
      <c r="T642" s="43" t="inlineStr"/>
      <c r="U642" s="43" t="inlineStr"/>
    </row>
    <row r="643">
      <c r="A643" s="43" t="n">
        <v>643</v>
      </c>
      <c r="B643" s="43" t="inlineStr">
        <is>
          <t>642</t>
        </is>
      </c>
      <c r="C643" s="43" t="inlineStr">
        <is>
          <t>FJZP</t>
        </is>
      </c>
      <c r="D643" s="43" t="inlineStr">
        <is>
          <t>Cisco</t>
        </is>
      </c>
      <c r="E643" s="43" t="inlineStr">
        <is>
          <t>MCGA</t>
        </is>
      </c>
      <c r="F643" s="43" t="inlineStr">
        <is>
          <t>035-CVEBU</t>
        </is>
      </c>
      <c r="G643" s="43" t="inlineStr">
        <is>
          <t>CTANJZ05290</t>
        </is>
      </c>
      <c r="H643" s="43" t="inlineStr">
        <is>
          <t>New Release</t>
        </is>
      </c>
      <c r="I643" s="43" t="inlineStr">
        <is>
          <t>Customer Deviation</t>
        </is>
      </c>
      <c r="J643" s="43" t="inlineStr">
        <is>
          <t>D612021</t>
        </is>
      </c>
      <c r="K643" s="33" t="inlineStr">
        <is>
          <t>D612021 CVEBU: TyneDue to quality issues on Taylor Modules produced at FJZ; Cisco would like FVN to support FJZ with Taylor Modules for an INTERIM period until quality issues at FJZ are under control800-117978-03 E/M_ASSY_MECH;TAYLOR HIGH MODULE;MICRON 16GB LPDDR5Where used: Tyne800-118978-03 E/M_ASSY_MECH;TAYLOR HIGH MODULE;HYNIX 16GB LPDDR5Where used: BayfrontFJZ is allowed to use 800-118978-03 instead of 800-117978-03 for all Tyne Radio units 68-104853-01.FJZ must clearly label units that have built with FVN modules (800-118978-03) and prepare such shipments to any BTS site on a separate pallet. FJZ must inform Cisco and the BTS site about when such a shipment takes place so Cisco can do proper arrangements.</t>
        </is>
      </c>
      <c r="L643" s="43" t="inlineStr">
        <is>
          <t>Extended</t>
        </is>
      </c>
      <c r="M643" s="43" t="inlineStr">
        <is>
          <t>800-113103-01</t>
        </is>
      </c>
      <c r="N643" s="43" t="inlineStr"/>
      <c r="O643" s="43" t="inlineStr">
        <is>
          <t>2026-12-07</t>
        </is>
      </c>
      <c r="P643" s="33" t="inlineStr">
        <is>
          <t>For temporary part/material substitution (EXTENDABLE 2x)</t>
        </is>
      </c>
      <c r="Q643" s="43" t="inlineStr">
        <is>
          <t>FJZ must clearly label units that have built with FVN modules.</t>
        </is>
      </c>
      <c r="R643" s="43" t="inlineStr">
        <is>
          <t>2026-06-12</t>
        </is>
      </c>
      <c r="S643" s="43" t="inlineStr">
        <is>
          <t>2026-06-20</t>
        </is>
      </c>
      <c r="T643" s="43" t="inlineStr"/>
      <c r="U643" s="43" t="inlineStr"/>
    </row>
    <row r="644">
      <c r="A644" s="43" t="n">
        <v>644</v>
      </c>
      <c r="B644" s="43" t="inlineStr">
        <is>
          <t>643</t>
        </is>
      </c>
      <c r="C644" s="43" t="inlineStr">
        <is>
          <t>FJZP</t>
        </is>
      </c>
      <c r="D644" s="43" t="inlineStr">
        <is>
          <t>Cisco</t>
        </is>
      </c>
      <c r="E644" s="43" t="inlineStr">
        <is>
          <t>MCGA</t>
        </is>
      </c>
      <c r="F644" s="43" t="inlineStr">
        <is>
          <t>035-CVEBU</t>
        </is>
      </c>
      <c r="G644" s="43" t="inlineStr">
        <is>
          <t>CTANJZ05290</t>
        </is>
      </c>
      <c r="H644" s="43" t="inlineStr">
        <is>
          <t>New Release</t>
        </is>
      </c>
      <c r="I644" s="43" t="inlineStr">
        <is>
          <t>Customer Deviation</t>
        </is>
      </c>
      <c r="J644" s="43" t="inlineStr">
        <is>
          <t>D612021</t>
        </is>
      </c>
      <c r="K644" s="33" t="inlineStr">
        <is>
          <t>D612021 CVEBU: TyneDue to quality issues on Taylor Modules produced at FJZ; Cisco would like FVN to support FJZ with Taylor Modules for an INTERIM period until quality issues at FJZ are under control800-117978-03 E/M_ASSY_MECH;TAYLOR HIGH MODULE;MICRON 16GB LPDDR5Where used: Tyne800-118978-03 E/M_ASSY_MECH;TAYLOR HIGH MODULE;HYNIX 16GB LPDDR5Where used: BayfrontFJZ is allowed to use 800-118978-03 instead of 800-117978-03 for all Tyne Radio units 68-104853-01.FJZ must clearly label units that have built with FVN modules (800-118978-03) and prepare such shipments to any BTS site on a separate pallet. FJZ must inform Cisco and the BTS site about when such a shipment takes place so Cisco can do proper arrangements.</t>
        </is>
      </c>
      <c r="L644" s="43" t="inlineStr">
        <is>
          <t>Extended</t>
        </is>
      </c>
      <c r="M644" s="43" t="inlineStr">
        <is>
          <t>800-117978-03</t>
        </is>
      </c>
      <c r="N644" s="43" t="inlineStr"/>
      <c r="O644" s="43" t="inlineStr">
        <is>
          <t>2026-12-07</t>
        </is>
      </c>
      <c r="P644" s="33" t="inlineStr">
        <is>
          <t>For temporary part/material substitution (EXTENDABLE 2x)</t>
        </is>
      </c>
      <c r="Q644" s="43" t="inlineStr">
        <is>
          <t>FJZ must clearly label units that have built with FVN modules.</t>
        </is>
      </c>
      <c r="R644" s="43" t="inlineStr">
        <is>
          <t>2026-06-12</t>
        </is>
      </c>
      <c r="S644" s="43" t="inlineStr">
        <is>
          <t>2026-06-20</t>
        </is>
      </c>
      <c r="T644" s="43" t="inlineStr"/>
      <c r="U644" s="43" t="inlineStr"/>
    </row>
    <row r="645">
      <c r="A645" s="43" t="n">
        <v>645</v>
      </c>
      <c r="B645" s="43" t="inlineStr">
        <is>
          <t>644</t>
        </is>
      </c>
      <c r="C645" s="43" t="inlineStr">
        <is>
          <t>FJZP</t>
        </is>
      </c>
      <c r="D645" s="43" t="inlineStr">
        <is>
          <t>Cisco</t>
        </is>
      </c>
      <c r="E645" s="43" t="inlineStr">
        <is>
          <t>MCGA</t>
        </is>
      </c>
      <c r="F645" s="43" t="inlineStr">
        <is>
          <t>035-CVEBU</t>
        </is>
      </c>
      <c r="G645" s="43" t="inlineStr">
        <is>
          <t>CTANJZ05290</t>
        </is>
      </c>
      <c r="H645" s="43" t="inlineStr">
        <is>
          <t>New Release</t>
        </is>
      </c>
      <c r="I645" s="43" t="inlineStr">
        <is>
          <t>Customer Deviation</t>
        </is>
      </c>
      <c r="J645" s="43" t="inlineStr">
        <is>
          <t>D612021</t>
        </is>
      </c>
      <c r="K645" s="33" t="inlineStr">
        <is>
          <t>D612021 CVEBU: TyneDue to quality issues on Taylor Modules produced at FJZ; Cisco would like FVN to support FJZ with Taylor Modules for an INTERIM period until quality issues at FJZ are under control800-117978-03 E/M_ASSY_MECH;TAYLOR HIGH MODULE;MICRON 16GB LPDDR5Where used: Tyne800-118978-03 E/M_ASSY_MECH;TAYLOR HIGH MODULE;HYNIX 16GB LPDDR5Where used: BayfrontFJZ is allowed to use 800-118978-03 instead of 800-117978-03 for all Tyne Radio units 68-104853-01.FJZ must clearly label units that have built with FVN modules (800-118978-03) and prepare such shipments to any BTS site on a separate pallet. FJZ must inform Cisco and the BTS site about when such a shipment takes place so Cisco can do proper arrangements.</t>
        </is>
      </c>
      <c r="L645" s="43" t="inlineStr">
        <is>
          <t>Extended</t>
        </is>
      </c>
      <c r="M645" s="43" t="inlineStr">
        <is>
          <t>800-118978-03</t>
        </is>
      </c>
      <c r="N645" s="43" t="inlineStr"/>
      <c r="O645" s="43" t="inlineStr">
        <is>
          <t>2026-12-07</t>
        </is>
      </c>
      <c r="P645" s="33" t="inlineStr">
        <is>
          <t>For temporary part/material substitution (EXTENDABLE 2x)</t>
        </is>
      </c>
      <c r="Q645" s="43" t="inlineStr">
        <is>
          <t>FJZ must clearly label units that have built with FVN modules.</t>
        </is>
      </c>
      <c r="R645" s="43" t="inlineStr">
        <is>
          <t>2026-06-12</t>
        </is>
      </c>
      <c r="S645" s="43" t="inlineStr">
        <is>
          <t>2026-06-20</t>
        </is>
      </c>
      <c r="T645" s="43" t="inlineStr"/>
      <c r="U645" s="43" t="inlineStr"/>
    </row>
    <row r="646">
      <c r="A646" s="43" t="n">
        <v>646</v>
      </c>
      <c r="B646" s="43" t="inlineStr">
        <is>
          <t>645</t>
        </is>
      </c>
      <c r="C646" s="43" t="inlineStr">
        <is>
          <t>FJZP</t>
        </is>
      </c>
      <c r="D646" s="43" t="inlineStr">
        <is>
          <t>Cisco</t>
        </is>
      </c>
      <c r="E646" s="43" t="inlineStr">
        <is>
          <t>MCGA</t>
        </is>
      </c>
      <c r="F646" s="43" t="inlineStr">
        <is>
          <t>035-CVEBU</t>
        </is>
      </c>
      <c r="G646" s="43" t="inlineStr">
        <is>
          <t>CTANJZ05136</t>
        </is>
      </c>
      <c r="H646" s="43" t="inlineStr">
        <is>
          <t>For temporary part/material substitution (EXTENDABLE)</t>
        </is>
      </c>
      <c r="I646" s="43" t="inlineStr">
        <is>
          <t>Customer Deviation</t>
        </is>
      </c>
      <c r="J646" s="43" t="inlineStr">
        <is>
          <t>D609987</t>
        </is>
      </c>
      <c r="K646" s="33" t="inlineStr">
        <is>
          <t>D609987 CVEBU;Polaris NR TAAThis is a follow-up deviation to D607679 which expired Feb 11th 2026.68-103946-04 ASY-ELMECH;POLARIS UNIT TX2 FUSED NR;TAARemove from BOM:800-118476-04 (with 800-108480-01) FNLASY-ELMECH;MODULE;POLARIS UNIT CAM2 TX2 FUSED NR;TAA  Add to BOM:800-108476-04 (with 800-108480-02)  FNLASY-ELMECH;MODULE;POLARIS UNIT CAM2 TX2 NR;TAA</t>
        </is>
      </c>
      <c r="L646" s="43" t="inlineStr">
        <is>
          <t>Expired</t>
        </is>
      </c>
      <c r="M646" s="43" t="inlineStr">
        <is>
          <t>68-103946-04</t>
        </is>
      </c>
      <c r="N646" s="43" t="inlineStr"/>
      <c r="O646" s="43" t="inlineStr">
        <is>
          <t>2026-06-07</t>
        </is>
      </c>
      <c r="P646" s="33" t="inlineStr">
        <is>
          <t>For temporary part/material substitution (EXTENDABLE 2x)</t>
        </is>
      </c>
      <c r="Q646" s="43" t="inlineStr">
        <is>
          <t>No FFF change =&gt; No marking needed</t>
        </is>
      </c>
      <c r="R646" s="43" t="inlineStr">
        <is>
          <t>2026-03-09</t>
        </is>
      </c>
      <c r="S646" s="43" t="inlineStr">
        <is>
          <t>2026-03-20</t>
        </is>
      </c>
      <c r="T646" s="43" t="inlineStr"/>
      <c r="U646" s="43" t="inlineStr"/>
    </row>
    <row r="647">
      <c r="A647" s="43" t="n">
        <v>647</v>
      </c>
      <c r="B647" s="43" t="inlineStr">
        <is>
          <t>646</t>
        </is>
      </c>
      <c r="C647" s="43" t="inlineStr">
        <is>
          <t>FJZP</t>
        </is>
      </c>
      <c r="D647" s="43" t="inlineStr">
        <is>
          <t>Cisco</t>
        </is>
      </c>
      <c r="E647" s="43" t="inlineStr">
        <is>
          <t>MCGA</t>
        </is>
      </c>
      <c r="F647" s="43" t="inlineStr">
        <is>
          <t>037-STBU</t>
        </is>
      </c>
      <c r="G647" s="43" t="inlineStr">
        <is>
          <t>CTANJZ05395</t>
        </is>
      </c>
      <c r="H647" s="43" t="inlineStr">
        <is>
          <t>To temporarily use parts/materials that do not meet the specifications</t>
        </is>
      </c>
      <c r="I647" s="43" t="inlineStr">
        <is>
          <t>Customer Deviation</t>
        </is>
      </c>
      <c r="J647" s="43" t="inlineStr">
        <is>
          <t>D612689</t>
        </is>
      </c>
      <c r="K647" s="33" t="inlineStr">
        <is>
          <t>D612689 Solidgm SSDs secured by Cisco will not have the Cisco CPN label affixed to the drives.The labels without the Cisco CPN will be the physical labels on the SSD devices and the inner cartons.Script modification is not needed as the QR/Barcodes are missing the MPN. The MPN need to be printed on a separate label and the operators can scan the SN label and the MPN label on the current master script</t>
        </is>
      </c>
      <c r="L647" s="43" t="inlineStr">
        <is>
          <t>Expired</t>
        </is>
      </c>
      <c r="M647" s="43" t="inlineStr">
        <is>
          <t>800-104476-08</t>
        </is>
      </c>
      <c r="N647" s="43" t="inlineStr"/>
      <c r="O647" s="43" t="inlineStr">
        <is>
          <t>2026-10-14</t>
        </is>
      </c>
      <c r="P647" s="33" t="inlineStr">
        <is>
          <t>To temporarily use parts/materials that do not meet the specifications</t>
        </is>
      </c>
      <c r="Q647" s="43" t="inlineStr">
        <is>
          <t>Add a label next to chassis label with the deviation number</t>
        </is>
      </c>
      <c r="R647" s="43" t="inlineStr">
        <is>
          <t>2026-07-17</t>
        </is>
      </c>
      <c r="S647" s="43" t="inlineStr">
        <is>
          <t>2026-08-15</t>
        </is>
      </c>
      <c r="T647" s="43" t="inlineStr"/>
      <c r="U647" s="43" t="inlineStr"/>
    </row>
    <row r="648">
      <c r="A648" s="43" t="n">
        <v>648</v>
      </c>
      <c r="B648" s="43" t="inlineStr">
        <is>
          <t>647</t>
        </is>
      </c>
      <c r="C648" s="43" t="inlineStr">
        <is>
          <t>FJZP</t>
        </is>
      </c>
      <c r="D648" s="43" t="inlineStr">
        <is>
          <t>Cisco</t>
        </is>
      </c>
      <c r="E648" s="43" t="inlineStr">
        <is>
          <t>MCGA</t>
        </is>
      </c>
      <c r="F648" s="43" t="inlineStr">
        <is>
          <t>037-STBU</t>
        </is>
      </c>
      <c r="G648" s="43" t="inlineStr">
        <is>
          <t>CTANJZ05395</t>
        </is>
      </c>
      <c r="H648" s="43" t="inlineStr">
        <is>
          <t>To temporarily use parts/materials that do not meet the specifications</t>
        </is>
      </c>
      <c r="I648" s="43" t="inlineStr">
        <is>
          <t>Customer Deviation</t>
        </is>
      </c>
      <c r="J648" s="43" t="inlineStr">
        <is>
          <t>D612689</t>
        </is>
      </c>
      <c r="K648" s="33" t="inlineStr">
        <is>
          <t>D612689 Solidgm SSDs secured by Cisco will not have the Cisco CPN label affixed to the drives.The labels without the Cisco CPN will be the physical labels on the SSD devices and the inner cartons.Script modification is not needed as the QR/Barcodes are missing the MPN. The MPN need to be printed on a separate label and the operators can scan the SN label and the MPN label on the current master script</t>
        </is>
      </c>
      <c r="L648" s="43" t="inlineStr">
        <is>
          <t>Expired</t>
        </is>
      </c>
      <c r="M648" s="43" t="inlineStr">
        <is>
          <t>800-111297-02</t>
        </is>
      </c>
      <c r="N648" s="43" t="inlineStr"/>
      <c r="O648" s="43" t="inlineStr">
        <is>
          <t>2026-10-14</t>
        </is>
      </c>
      <c r="P648" s="33" t="inlineStr">
        <is>
          <t>To temporarily use parts/materials that do not meet the specifications</t>
        </is>
      </c>
      <c r="Q648" s="43" t="inlineStr">
        <is>
          <t>Add a label next to chassis label with the deviation number</t>
        </is>
      </c>
      <c r="R648" s="43" t="inlineStr">
        <is>
          <t>2026-07-17</t>
        </is>
      </c>
      <c r="S648" s="43" t="inlineStr">
        <is>
          <t>2026-08-15</t>
        </is>
      </c>
      <c r="T648" s="43" t="inlineStr"/>
      <c r="U648" s="43" t="inlineStr"/>
    </row>
    <row r="649">
      <c r="A649" s="43" t="n">
        <v>649</v>
      </c>
      <c r="B649" s="43" t="inlineStr">
        <is>
          <t>648</t>
        </is>
      </c>
      <c r="C649" s="43" t="inlineStr">
        <is>
          <t>FJZP</t>
        </is>
      </c>
      <c r="D649" s="43" t="inlineStr">
        <is>
          <t>Cisco</t>
        </is>
      </c>
      <c r="E649" s="43" t="inlineStr">
        <is>
          <t>MCGA</t>
        </is>
      </c>
      <c r="F649" s="43" t="inlineStr">
        <is>
          <t>035-CVEBU</t>
        </is>
      </c>
      <c r="G649" s="43" t="inlineStr">
        <is>
          <t>CTANJZ05330</t>
        </is>
      </c>
      <c r="H649" s="43" t="inlineStr">
        <is>
          <t>For temporary part/material substitution (EXTENDABLE)</t>
        </is>
      </c>
      <c r="I649" s="43" t="inlineStr">
        <is>
          <t>Customer Deviation</t>
        </is>
      </c>
      <c r="J649" s="43" t="inlineStr">
        <is>
          <t>D612291</t>
        </is>
      </c>
      <c r="K649" s="33" t="inlineStr">
        <is>
          <t>D612291 CVEBU;Taylor73-103820-04 PCA;TAYLOR HIGH MODULE WITH HYNIX 16GB LPDDR5  73-103922-04 PCA;TAYLOR LOW  MODULE WITH HYNIX 16GB LPDDR5In BOMs; refdes M1_A;M1_B  (2 pcs)15-110522-02 IC-DRAM-D;LPDDR5;64Gb(1Gx64bits);4266MHz(8533MT/s);0.5V NOM;-25 to 85 C;TFBGA;441P;8K Cycles;HYNIX;CVEBU ONLY  Qualified: Hynix H58G66BK8BX105IPQ:       Hynix H58G66BK8QX105Due to the current LPDDR5 shortage; FJZ and FVN are allowed to source and use the IPQ automotive variant.</t>
        </is>
      </c>
      <c r="L649" s="43" t="inlineStr">
        <is>
          <t>Expired</t>
        </is>
      </c>
      <c r="M649" s="43" t="inlineStr">
        <is>
          <t>15-110522-02</t>
        </is>
      </c>
      <c r="N649" s="43" t="inlineStr"/>
      <c r="O649" s="43" t="inlineStr">
        <is>
          <t>2026-09-28</t>
        </is>
      </c>
      <c r="P649" s="33" t="inlineStr">
        <is>
          <t>For temporary part/material substitution (EXTENDABLE 2x)</t>
        </is>
      </c>
      <c r="Q649" s="43" t="inlineStr">
        <is>
          <t>No FFF change =&gt; No marking needed</t>
        </is>
      </c>
      <c r="R649" s="43" t="inlineStr">
        <is>
          <t>2026-07-01</t>
        </is>
      </c>
      <c r="S649" s="43" t="inlineStr">
        <is>
          <t>2026-07-15</t>
        </is>
      </c>
      <c r="T649" s="43" t="inlineStr"/>
      <c r="U649" s="43" t="inlineStr"/>
    </row>
    <row r="650">
      <c r="A650" s="43" t="n">
        <v>650</v>
      </c>
      <c r="B650" s="43" t="inlineStr">
        <is>
          <t>649</t>
        </is>
      </c>
      <c r="C650" s="43" t="inlineStr">
        <is>
          <t>FJZP</t>
        </is>
      </c>
      <c r="D650" s="43" t="inlineStr">
        <is>
          <t>Cisco</t>
        </is>
      </c>
      <c r="E650" s="43" t="inlineStr">
        <is>
          <t>MCGA</t>
        </is>
      </c>
      <c r="F650" s="43" t="inlineStr">
        <is>
          <t>035-CVEBU</t>
        </is>
      </c>
      <c r="G650" s="43" t="inlineStr">
        <is>
          <t>CTANJZ05330</t>
        </is>
      </c>
      <c r="H650" s="43" t="inlineStr">
        <is>
          <t>For temporary part/material substitution (EXTENDABLE)</t>
        </is>
      </c>
      <c r="I650" s="43" t="inlineStr">
        <is>
          <t>Customer Deviation</t>
        </is>
      </c>
      <c r="J650" s="43" t="inlineStr">
        <is>
          <t>D612291</t>
        </is>
      </c>
      <c r="K650" s="33" t="inlineStr">
        <is>
          <t>D612291 CVEBU;Taylor73-103820-04 PCA;TAYLOR HIGH MODULE WITH HYNIX 16GB LPDDR5  73-103922-04 PCA;TAYLOR LOW  MODULE WITH HYNIX 16GB LPDDR5In BOMs; refdes M1_A;M1_B  (2 pcs)15-110522-02 IC-DRAM-D;LPDDR5;64Gb(1Gx64bits);4266MHz(8533MT/s);0.5V NOM;-25 to 85 C;TFBGA;441P;8K Cycles;HYNIX;CVEBU ONLY  Qualified: Hynix H58G66BK8BX105IPQ:       Hynix H58G66BK8QX105Due to the current LPDDR5 shortage; FJZ and FVN are allowed to source and use the IPQ automotive variant.</t>
        </is>
      </c>
      <c r="L650" s="43" t="inlineStr">
        <is>
          <t>Expired</t>
        </is>
      </c>
      <c r="M650" s="43" t="inlineStr">
        <is>
          <t>73-103820-04</t>
        </is>
      </c>
      <c r="N650" s="43" t="inlineStr"/>
      <c r="O650" s="43" t="inlineStr">
        <is>
          <t>2026-09-28</t>
        </is>
      </c>
      <c r="P650" s="33" t="inlineStr">
        <is>
          <t>For temporary part/material substitution (EXTENDABLE 2x)</t>
        </is>
      </c>
      <c r="Q650" s="43" t="inlineStr">
        <is>
          <t>No FFF change =&gt; No marking needed</t>
        </is>
      </c>
      <c r="R650" s="43" t="inlineStr">
        <is>
          <t>2026-07-01</t>
        </is>
      </c>
      <c r="S650" s="43" t="inlineStr">
        <is>
          <t>2026-07-15</t>
        </is>
      </c>
      <c r="T650" s="43" t="inlineStr"/>
      <c r="U650" s="43" t="inlineStr"/>
    </row>
    <row r="651">
      <c r="A651" s="43" t="n">
        <v>651</v>
      </c>
      <c r="B651" s="43" t="inlineStr">
        <is>
          <t>650</t>
        </is>
      </c>
      <c r="C651" s="43" t="inlineStr">
        <is>
          <t>FJZP</t>
        </is>
      </c>
      <c r="D651" s="43" t="inlineStr">
        <is>
          <t>Cisco</t>
        </is>
      </c>
      <c r="E651" s="43" t="inlineStr">
        <is>
          <t>MCGA</t>
        </is>
      </c>
      <c r="F651" s="43" t="inlineStr">
        <is>
          <t>035-CVEBU</t>
        </is>
      </c>
      <c r="G651" s="43" t="inlineStr">
        <is>
          <t>CTANJZ05330</t>
        </is>
      </c>
      <c r="H651" s="43" t="inlineStr">
        <is>
          <t>For temporary part/material substitution (EXTENDABLE)</t>
        </is>
      </c>
      <c r="I651" s="43" t="inlineStr">
        <is>
          <t>Customer Deviation</t>
        </is>
      </c>
      <c r="J651" s="43" t="inlineStr">
        <is>
          <t>D612291</t>
        </is>
      </c>
      <c r="K651" s="33" t="inlineStr">
        <is>
          <t>D612291 CVEBU;Taylor73-103820-04 PCA;TAYLOR HIGH MODULE WITH HYNIX 16GB LPDDR5  73-103922-04 PCA;TAYLOR LOW  MODULE WITH HYNIX 16GB LPDDR5In BOMs; refdes M1_A;M1_B  (2 pcs)15-110522-02 IC-DRAM-D;LPDDR5;64Gb(1Gx64bits);4266MHz(8533MT/s);0.5V NOM;-25 to 85 C;TFBGA;441P;8K Cycles;HYNIX;CVEBU ONLY  Qualified: Hynix H58G66BK8BX105IPQ:       Hynix H58G66BK8QX105Due to the current LPDDR5 shortage; FJZ and FVN are allowed to source and use the IPQ automotive variant.</t>
        </is>
      </c>
      <c r="L651" s="43" t="inlineStr">
        <is>
          <t>Expired</t>
        </is>
      </c>
      <c r="M651" s="43" t="inlineStr">
        <is>
          <t>73-103922-04</t>
        </is>
      </c>
      <c r="N651" s="43" t="inlineStr"/>
      <c r="O651" s="43" t="inlineStr">
        <is>
          <t>2026-09-28</t>
        </is>
      </c>
      <c r="P651" s="33" t="inlineStr">
        <is>
          <t>For temporary part/material substitution (EXTENDABLE 2x)</t>
        </is>
      </c>
      <c r="Q651" s="43" t="inlineStr">
        <is>
          <t>No FFF change =&gt; No marking needed</t>
        </is>
      </c>
      <c r="R651" s="43" t="inlineStr">
        <is>
          <t>2026-07-01</t>
        </is>
      </c>
      <c r="S651" s="43" t="inlineStr">
        <is>
          <t>2026-07-15</t>
        </is>
      </c>
      <c r="T651" s="43" t="inlineStr"/>
      <c r="U651" s="43" t="inlineStr"/>
    </row>
    <row r="652">
      <c r="A652" s="43" t="n">
        <v>652</v>
      </c>
      <c r="B652" s="43" t="inlineStr">
        <is>
          <t>651</t>
        </is>
      </c>
      <c r="C652" s="43" t="inlineStr">
        <is>
          <t>FJZP</t>
        </is>
      </c>
      <c r="D652" s="43" t="inlineStr">
        <is>
          <t>Cisco</t>
        </is>
      </c>
      <c r="E652" s="43" t="inlineStr">
        <is>
          <t>MCGA</t>
        </is>
      </c>
      <c r="F652" s="43" t="inlineStr">
        <is>
          <t>037-STBU</t>
        </is>
      </c>
      <c r="G652" s="43" t="inlineStr">
        <is>
          <t>CTANJZ05183</t>
        </is>
      </c>
      <c r="H652" s="43" t="inlineStr">
        <is>
          <t>To temporarily use parts/materials that do not meet the specifications</t>
        </is>
      </c>
      <c r="I652" s="43" t="inlineStr">
        <is>
          <t>Customer Deviation</t>
        </is>
      </c>
      <c r="J652" s="43" t="inlineStr">
        <is>
          <t>DP525974</t>
        </is>
      </c>
      <c r="K652" s="33" t="inlineStr">
        <is>
          <t>DP525974 Please proceed with the following for PCBA build 73-103633-05:1) Build 2 boards (73-level); complete ICT testing; and ship to Eng SJ lab.2) No CPU installation required.3) No DDR installation required.4) Complete edge bonding.5) Install all heatsinks except CPU heatsinks; include CPU heatsinks in the shipment.6) FJZ may use 28-103225-05 (currently in process).7) FJZ may use SN74AVC4T245BQBR or SN74AVC4T245BQB for CPN# 15-111159-01 based on availability.</t>
        </is>
      </c>
      <c r="L652" s="43" t="inlineStr">
        <is>
          <t>Expired</t>
        </is>
      </c>
      <c r="M652" s="43" t="inlineStr">
        <is>
          <t>73-103633-05</t>
        </is>
      </c>
      <c r="N652" s="43" t="inlineStr"/>
      <c r="O652" s="43" t="inlineStr">
        <is>
          <t>2026-05-30</t>
        </is>
      </c>
      <c r="P652" s="33" t="inlineStr">
        <is>
          <t>To temporarily use parts/materials that do not meet the specifications</t>
        </is>
      </c>
      <c r="Q652" s="43" t="inlineStr">
        <is>
          <t>Put Deviation number label on PCBA</t>
        </is>
      </c>
      <c r="R652" s="43" t="inlineStr">
        <is>
          <t>2026-04-01</t>
        </is>
      </c>
      <c r="S652" s="43" t="inlineStr">
        <is>
          <t>2026-04-18</t>
        </is>
      </c>
      <c r="T652" s="43" t="inlineStr"/>
      <c r="U652" s="43" t="inlineStr"/>
    </row>
    <row r="653">
      <c r="A653" s="43" t="n">
        <v>653</v>
      </c>
      <c r="B653" s="43" t="inlineStr">
        <is>
          <t>652</t>
        </is>
      </c>
      <c r="C653" s="43" t="inlineStr">
        <is>
          <t>FJZP</t>
        </is>
      </c>
      <c r="D653" s="43" t="inlineStr">
        <is>
          <t>Cisco</t>
        </is>
      </c>
      <c r="E653" s="43" t="inlineStr">
        <is>
          <t>MCGA</t>
        </is>
      </c>
      <c r="F653" s="43" t="inlineStr">
        <is>
          <t>018-SRGBU</t>
        </is>
      </c>
      <c r="G653" s="43" t="inlineStr">
        <is>
          <t>CTANJZ04441</t>
        </is>
      </c>
      <c r="H653" s="43" t="inlineStr">
        <is>
          <t>For temporary Manufacturing process change</t>
        </is>
      </c>
      <c r="I653" s="43" t="inlineStr">
        <is>
          <t>Customer Deviation</t>
        </is>
      </c>
      <c r="J653" s="43" t="inlineStr">
        <is>
          <t>D601899</t>
        </is>
      </c>
      <c r="K653" s="33" t="inlineStr">
        <is>
          <t>D601899 SRGBU: VG410 - Allow FOC to use non A0 parts to ship to customer.There is no HW difference from PP to Pilot; and the RDT units can be shipped to customer.Below are the CPNs and qtys:       CPN          Rev QTY      MPN74-129859-01 -05 28 74-129859-0174-129860-01 -05 29 74-129860-01800-51476-01 -01 43 74-130046-01</t>
        </is>
      </c>
      <c r="L653" s="43" t="inlineStr">
        <is>
          <t>Expired</t>
        </is>
      </c>
      <c r="M653" s="43" t="inlineStr">
        <is>
          <t>74-129859-01</t>
        </is>
      </c>
      <c r="N653" s="43" t="inlineStr"/>
      <c r="O653" s="43" t="inlineStr">
        <is>
          <t>2025-05-11</t>
        </is>
      </c>
      <c r="P653" s="33" t="inlineStr">
        <is>
          <t>For temporary Manufacturing process change</t>
        </is>
      </c>
      <c r="Q653" s="43" t="inlineStr">
        <is>
          <t>Place deviation label at the appropriate location on the unit.</t>
        </is>
      </c>
      <c r="R653" s="43" t="inlineStr">
        <is>
          <t>2025-02-11</t>
        </is>
      </c>
      <c r="S653" s="43" t="inlineStr">
        <is>
          <t>2025-02-25</t>
        </is>
      </c>
      <c r="T653" s="43" t="inlineStr"/>
      <c r="U653" s="43" t="inlineStr"/>
    </row>
    <row r="654">
      <c r="A654" s="43" t="n">
        <v>654</v>
      </c>
      <c r="B654" s="43" t="inlineStr">
        <is>
          <t>653</t>
        </is>
      </c>
      <c r="C654" s="43" t="inlineStr">
        <is>
          <t>FJZP</t>
        </is>
      </c>
      <c r="D654" s="43" t="inlineStr">
        <is>
          <t>Cisco</t>
        </is>
      </c>
      <c r="E654" s="43" t="inlineStr">
        <is>
          <t>MCGA</t>
        </is>
      </c>
      <c r="F654" s="43" t="inlineStr">
        <is>
          <t>018-SRGBU</t>
        </is>
      </c>
      <c r="G654" s="43" t="inlineStr">
        <is>
          <t>CTANJZ04441</t>
        </is>
      </c>
      <c r="H654" s="43" t="inlineStr">
        <is>
          <t>For temporary Manufacturing process change</t>
        </is>
      </c>
      <c r="I654" s="43" t="inlineStr">
        <is>
          <t>Customer Deviation</t>
        </is>
      </c>
      <c r="J654" s="43" t="inlineStr">
        <is>
          <t>D601899</t>
        </is>
      </c>
      <c r="K654" s="33" t="inlineStr">
        <is>
          <t>D601899 SRGBU: VG410 - Allow FOC to use non A0 parts to ship to customer.There is no HW difference from PP to Pilot; and the RDT units can be shipped to customer.Below are the CPNs and qtys:       CPN          Rev QTY      MPN74-129859-01 -05 28 74-129859-0174-129860-01 -05 29 74-129860-01800-51476-01 -01 43 74-130046-01</t>
        </is>
      </c>
      <c r="L654" s="43" t="inlineStr">
        <is>
          <t>Expired</t>
        </is>
      </c>
      <c r="M654" s="43" t="inlineStr">
        <is>
          <t>74-129860-01</t>
        </is>
      </c>
      <c r="N654" s="43" t="inlineStr"/>
      <c r="O654" s="43" t="inlineStr">
        <is>
          <t>2025-05-11</t>
        </is>
      </c>
      <c r="P654" s="33" t="inlineStr">
        <is>
          <t>For temporary Manufacturing process change</t>
        </is>
      </c>
      <c r="Q654" s="43" t="inlineStr">
        <is>
          <t>Place deviation label at the appropriate location on the unit.</t>
        </is>
      </c>
      <c r="R654" s="43" t="inlineStr">
        <is>
          <t>2025-02-11</t>
        </is>
      </c>
      <c r="S654" s="43" t="inlineStr">
        <is>
          <t>2025-02-25</t>
        </is>
      </c>
      <c r="T654" s="43" t="inlineStr"/>
      <c r="U654" s="43" t="inlineStr"/>
    </row>
    <row r="655">
      <c r="A655" s="43" t="n">
        <v>655</v>
      </c>
      <c r="B655" s="43" t="inlineStr">
        <is>
          <t>654</t>
        </is>
      </c>
      <c r="C655" s="43" t="inlineStr">
        <is>
          <t>FJZP</t>
        </is>
      </c>
      <c r="D655" s="43" t="inlineStr">
        <is>
          <t>Cisco</t>
        </is>
      </c>
      <c r="E655" s="43" t="inlineStr">
        <is>
          <t>MCGA</t>
        </is>
      </c>
      <c r="F655" s="43" t="inlineStr">
        <is>
          <t>018-SRGBU</t>
        </is>
      </c>
      <c r="G655" s="43" t="inlineStr">
        <is>
          <t>CTANJZ04441</t>
        </is>
      </c>
      <c r="H655" s="43" t="inlineStr">
        <is>
          <t>For temporary Manufacturing process change</t>
        </is>
      </c>
      <c r="I655" s="43" t="inlineStr">
        <is>
          <t>Customer Deviation</t>
        </is>
      </c>
      <c r="J655" s="43" t="inlineStr">
        <is>
          <t>D601899</t>
        </is>
      </c>
      <c r="K655" s="33" t="inlineStr">
        <is>
          <t>D601899 SRGBU: VG410 - Allow FOC to use non A0 parts to ship to customer.There is no HW difference from PP to Pilot; and the RDT units can be shipped to customer.Below are the CPNs and qtys:       CPN          Rev QTY      MPN74-129859-01 -05 28 74-129859-0174-129860-01 -05 29 74-129860-01800-51476-01 -01 43 74-130046-01</t>
        </is>
      </c>
      <c r="L655" s="43" t="inlineStr">
        <is>
          <t>Expired</t>
        </is>
      </c>
      <c r="M655" s="43" t="inlineStr">
        <is>
          <t>800-51476-01</t>
        </is>
      </c>
      <c r="N655" s="43" t="inlineStr"/>
      <c r="O655" s="43" t="inlineStr">
        <is>
          <t>2025-05-11</t>
        </is>
      </c>
      <c r="P655" s="33" t="inlineStr">
        <is>
          <t>For temporary Manufacturing process change</t>
        </is>
      </c>
      <c r="Q655" s="43" t="inlineStr">
        <is>
          <t>Place deviation label at the appropriate location on the unit.</t>
        </is>
      </c>
      <c r="R655" s="43" t="inlineStr">
        <is>
          <t>2025-02-11</t>
        </is>
      </c>
      <c r="S655" s="43" t="inlineStr">
        <is>
          <t>2025-02-25</t>
        </is>
      </c>
      <c r="T655" s="43" t="inlineStr"/>
      <c r="U655" s="43" t="inlineStr"/>
    </row>
    <row r="656">
      <c r="A656" s="43" t="n">
        <v>656</v>
      </c>
      <c r="B656" s="43" t="inlineStr">
        <is>
          <t>655</t>
        </is>
      </c>
      <c r="C656" s="43" t="inlineStr">
        <is>
          <t>FJZP</t>
        </is>
      </c>
      <c r="D656" s="43" t="inlineStr">
        <is>
          <t>Cisco</t>
        </is>
      </c>
      <c r="E656" s="43" t="inlineStr">
        <is>
          <t>MCGA</t>
        </is>
      </c>
      <c r="F656" s="43" t="inlineStr">
        <is>
          <t>037-STBU</t>
        </is>
      </c>
      <c r="G656" s="43" t="inlineStr">
        <is>
          <t>CTANJZ04449</t>
        </is>
      </c>
      <c r="H656" s="43" t="inlineStr">
        <is>
          <t>For temporary Manufacturing process change</t>
        </is>
      </c>
      <c r="I656" s="43" t="inlineStr">
        <is>
          <t>Customer Deviation</t>
        </is>
      </c>
      <c r="J656" s="43" t="inlineStr">
        <is>
          <t>D602143</t>
        </is>
      </c>
      <c r="K656" s="33" t="inlineStr">
        <is>
          <t>D602143FJZ will to change the battery placement to 800-level on assy area for the KP products and do a manual discharge before placing the battery.</t>
        </is>
      </c>
      <c r="L656" s="43" t="inlineStr">
        <is>
          <t>Expired</t>
        </is>
      </c>
      <c r="M656" s="43" t="inlineStr">
        <is>
          <t>35-0038-01</t>
        </is>
      </c>
      <c r="N656" s="43" t="inlineStr"/>
      <c r="O656" s="43" t="inlineStr">
        <is>
          <t>2025-05-12</t>
        </is>
      </c>
      <c r="P656" s="33" t="inlineStr">
        <is>
          <t>For temporary Manufacturing process change</t>
        </is>
      </c>
      <c r="Q656" s="43" t="inlineStr">
        <is>
          <t>Place the DV number on the PCB</t>
        </is>
      </c>
      <c r="R656" s="43" t="inlineStr">
        <is>
          <t>2025-02-12</t>
        </is>
      </c>
      <c r="S656" s="43" t="inlineStr">
        <is>
          <t>2025-02-21</t>
        </is>
      </c>
      <c r="T656" s="43" t="inlineStr"/>
      <c r="U656" s="43" t="inlineStr"/>
    </row>
    <row r="657">
      <c r="A657" s="43" t="n">
        <v>657</v>
      </c>
      <c r="B657" s="43" t="inlineStr">
        <is>
          <t>656</t>
        </is>
      </c>
      <c r="C657" s="43" t="inlineStr">
        <is>
          <t>FJZP</t>
        </is>
      </c>
      <c r="D657" s="43" t="inlineStr">
        <is>
          <t>Cisco</t>
        </is>
      </c>
      <c r="E657" s="43" t="inlineStr">
        <is>
          <t>MCGA</t>
        </is>
      </c>
      <c r="F657" s="43" t="inlineStr">
        <is>
          <t>037-STBU</t>
        </is>
      </c>
      <c r="G657" s="43" t="inlineStr">
        <is>
          <t>CTANJZ04449</t>
        </is>
      </c>
      <c r="H657" s="43" t="inlineStr">
        <is>
          <t>For temporary Manufacturing process change</t>
        </is>
      </c>
      <c r="I657" s="43" t="inlineStr">
        <is>
          <t>Customer Deviation</t>
        </is>
      </c>
      <c r="J657" s="43" t="inlineStr">
        <is>
          <t>D602143</t>
        </is>
      </c>
      <c r="K657" s="33" t="inlineStr">
        <is>
          <t>D602143FJZ will to change the battery placement to 800-level on assy area for the KP products and do a manual discharge before placing the battery.</t>
        </is>
      </c>
      <c r="L657" s="43" t="inlineStr">
        <is>
          <t>Expired</t>
        </is>
      </c>
      <c r="M657" s="43" t="inlineStr">
        <is>
          <t>73-17567-12</t>
        </is>
      </c>
      <c r="N657" s="43" t="inlineStr"/>
      <c r="O657" s="43" t="inlineStr">
        <is>
          <t>2025-05-12</t>
        </is>
      </c>
      <c r="P657" s="33" t="inlineStr">
        <is>
          <t>For temporary Manufacturing process change</t>
        </is>
      </c>
      <c r="Q657" s="43" t="inlineStr">
        <is>
          <t>Place the DV number on the PCB</t>
        </is>
      </c>
      <c r="R657" s="43" t="inlineStr">
        <is>
          <t>2025-02-12</t>
        </is>
      </c>
      <c r="S657" s="43" t="inlineStr">
        <is>
          <t>2025-02-21</t>
        </is>
      </c>
      <c r="T657" s="43" t="inlineStr"/>
      <c r="U657" s="43" t="inlineStr"/>
    </row>
    <row r="658">
      <c r="A658" s="43" t="n">
        <v>658</v>
      </c>
      <c r="B658" s="43" t="inlineStr">
        <is>
          <t>657</t>
        </is>
      </c>
      <c r="C658" s="43" t="inlineStr">
        <is>
          <t>FJZP</t>
        </is>
      </c>
      <c r="D658" s="43" t="inlineStr">
        <is>
          <t>Cisco</t>
        </is>
      </c>
      <c r="E658" s="43" t="inlineStr">
        <is>
          <t>MCGA</t>
        </is>
      </c>
      <c r="F658" s="43" t="inlineStr">
        <is>
          <t>037-STBU</t>
        </is>
      </c>
      <c r="G658" s="43" t="inlineStr">
        <is>
          <t>CTANJZ04449</t>
        </is>
      </c>
      <c r="H658" s="43" t="inlineStr">
        <is>
          <t>For temporary Manufacturing process change</t>
        </is>
      </c>
      <c r="I658" s="43" t="inlineStr">
        <is>
          <t>Customer Deviation</t>
        </is>
      </c>
      <c r="J658" s="43" t="inlineStr">
        <is>
          <t>D602143</t>
        </is>
      </c>
      <c r="K658" s="33" t="inlineStr">
        <is>
          <t>D602143FJZ will to change the battery placement to 800-level on assy area for the KP products and do a manual discharge before placing the battery.</t>
        </is>
      </c>
      <c r="L658" s="43" t="inlineStr">
        <is>
          <t>Expired</t>
        </is>
      </c>
      <c r="M658" s="43" t="inlineStr">
        <is>
          <t>73-17568-12</t>
        </is>
      </c>
      <c r="N658" s="43" t="inlineStr"/>
      <c r="O658" s="43" t="inlineStr">
        <is>
          <t>2025-05-12</t>
        </is>
      </c>
      <c r="P658" s="33" t="inlineStr">
        <is>
          <t>For temporary Manufacturing process change</t>
        </is>
      </c>
      <c r="Q658" s="43" t="inlineStr">
        <is>
          <t>Place the DV number on the PCB</t>
        </is>
      </c>
      <c r="R658" s="43" t="inlineStr">
        <is>
          <t>2025-02-12</t>
        </is>
      </c>
      <c r="S658" s="43" t="inlineStr">
        <is>
          <t>2025-02-21</t>
        </is>
      </c>
      <c r="T658" s="43" t="inlineStr"/>
      <c r="U658" s="43" t="inlineStr"/>
    </row>
    <row r="659">
      <c r="A659" s="43" t="n">
        <v>659</v>
      </c>
      <c r="B659" s="43" t="inlineStr">
        <is>
          <t>658</t>
        </is>
      </c>
      <c r="C659" s="43" t="inlineStr">
        <is>
          <t>FJZP</t>
        </is>
      </c>
      <c r="D659" s="43" t="inlineStr">
        <is>
          <t>Cisco</t>
        </is>
      </c>
      <c r="E659" s="43" t="inlineStr">
        <is>
          <t>MCGA</t>
        </is>
      </c>
      <c r="F659" s="43" t="inlineStr">
        <is>
          <t>037-STBU</t>
        </is>
      </c>
      <c r="G659" s="43" t="inlineStr">
        <is>
          <t>CTANJZ04449</t>
        </is>
      </c>
      <c r="H659" s="43" t="inlineStr">
        <is>
          <t>For temporary Manufacturing process change</t>
        </is>
      </c>
      <c r="I659" s="43" t="inlineStr">
        <is>
          <t>Customer Deviation</t>
        </is>
      </c>
      <c r="J659" s="43" t="inlineStr">
        <is>
          <t>D602143</t>
        </is>
      </c>
      <c r="K659" s="33" t="inlineStr">
        <is>
          <t>D602143FJZ will to change the battery placement to 800-level on assy area for the KP products and do a manual discharge before placing the battery.</t>
        </is>
      </c>
      <c r="L659" s="43" t="inlineStr">
        <is>
          <t>Expired</t>
        </is>
      </c>
      <c r="M659" s="43" t="inlineStr">
        <is>
          <t>73-17569-10</t>
        </is>
      </c>
      <c r="N659" s="43" t="inlineStr"/>
      <c r="O659" s="43" t="inlineStr">
        <is>
          <t>2025-05-12</t>
        </is>
      </c>
      <c r="P659" s="33" t="inlineStr">
        <is>
          <t>For temporary Manufacturing process change</t>
        </is>
      </c>
      <c r="Q659" s="43" t="inlineStr">
        <is>
          <t>Place the DV number on the PCB</t>
        </is>
      </c>
      <c r="R659" s="43" t="inlineStr">
        <is>
          <t>2025-02-12</t>
        </is>
      </c>
      <c r="S659" s="43" t="inlineStr">
        <is>
          <t>2025-02-21</t>
        </is>
      </c>
      <c r="T659" s="43" t="inlineStr"/>
      <c r="U659" s="43" t="inlineStr"/>
    </row>
    <row r="660">
      <c r="A660" s="43" t="n">
        <v>660</v>
      </c>
      <c r="B660" s="43" t="inlineStr">
        <is>
          <t>659</t>
        </is>
      </c>
      <c r="C660" s="43" t="inlineStr">
        <is>
          <t>FJZP</t>
        </is>
      </c>
      <c r="D660" s="43" t="inlineStr">
        <is>
          <t>Cisco</t>
        </is>
      </c>
      <c r="E660" s="43" t="inlineStr">
        <is>
          <t>MCGA</t>
        </is>
      </c>
      <c r="F660" s="43" t="inlineStr">
        <is>
          <t>037-STBU</t>
        </is>
      </c>
      <c r="G660" s="43" t="inlineStr">
        <is>
          <t>CTANJZ04449</t>
        </is>
      </c>
      <c r="H660" s="43" t="inlineStr">
        <is>
          <t>For temporary Manufacturing process change</t>
        </is>
      </c>
      <c r="I660" s="43" t="inlineStr">
        <is>
          <t>Customer Deviation</t>
        </is>
      </c>
      <c r="J660" s="43" t="inlineStr">
        <is>
          <t>D602143</t>
        </is>
      </c>
      <c r="K660" s="33" t="inlineStr">
        <is>
          <t>D602143FJZ will to change the battery placement to 800-level on assy area for the KP products and do a manual discharge before placing the battery.</t>
        </is>
      </c>
      <c r="L660" s="43" t="inlineStr">
        <is>
          <t>Expired</t>
        </is>
      </c>
      <c r="M660" s="43" t="inlineStr">
        <is>
          <t>73-17570-10</t>
        </is>
      </c>
      <c r="N660" s="43" t="inlineStr"/>
      <c r="O660" s="43" t="inlineStr">
        <is>
          <t>2025-05-12</t>
        </is>
      </c>
      <c r="P660" s="33" t="inlineStr">
        <is>
          <t>For temporary Manufacturing process change</t>
        </is>
      </c>
      <c r="Q660" s="43" t="inlineStr">
        <is>
          <t>Place the DV number on the PCB</t>
        </is>
      </c>
      <c r="R660" s="43" t="inlineStr">
        <is>
          <t>2025-02-12</t>
        </is>
      </c>
      <c r="S660" s="43" t="inlineStr">
        <is>
          <t>2025-02-21</t>
        </is>
      </c>
      <c r="T660" s="43" t="inlineStr"/>
      <c r="U660" s="43" t="inlineStr"/>
    </row>
    <row r="661">
      <c r="A661" s="43" t="n">
        <v>661</v>
      </c>
      <c r="B661" s="43" t="inlineStr">
        <is>
          <t>660</t>
        </is>
      </c>
      <c r="C661" s="43" t="inlineStr">
        <is>
          <t>FJZP</t>
        </is>
      </c>
      <c r="D661" s="43" t="inlineStr">
        <is>
          <t>Cisco</t>
        </is>
      </c>
      <c r="E661" s="43" t="inlineStr">
        <is>
          <t>MCGA</t>
        </is>
      </c>
      <c r="F661" s="43" t="inlineStr">
        <is>
          <t>037-STBU</t>
        </is>
      </c>
      <c r="G661" s="43" t="inlineStr">
        <is>
          <t>CTANJZ04449</t>
        </is>
      </c>
      <c r="H661" s="43" t="inlineStr">
        <is>
          <t>For temporary Manufacturing process change</t>
        </is>
      </c>
      <c r="I661" s="43" t="inlineStr">
        <is>
          <t>Customer Deviation</t>
        </is>
      </c>
      <c r="J661" s="43" t="inlineStr">
        <is>
          <t>D602143</t>
        </is>
      </c>
      <c r="K661" s="33" t="inlineStr">
        <is>
          <t>D602143FJZ will to change the battery placement to 800-level on assy area for the KP products and do a manual discharge before placing the battery.</t>
        </is>
      </c>
      <c r="L661" s="43" t="inlineStr">
        <is>
          <t>Expired</t>
        </is>
      </c>
      <c r="M661" s="43" t="inlineStr">
        <is>
          <t>800-103842-08</t>
        </is>
      </c>
      <c r="N661" s="43" t="inlineStr"/>
      <c r="O661" s="43" t="inlineStr">
        <is>
          <t>2025-05-12</t>
        </is>
      </c>
      <c r="P661" s="33" t="inlineStr">
        <is>
          <t>For temporary Manufacturing process change</t>
        </is>
      </c>
      <c r="Q661" s="43" t="inlineStr">
        <is>
          <t>Place the DV number on the PCB</t>
        </is>
      </c>
      <c r="R661" s="43" t="inlineStr">
        <is>
          <t>2025-02-12</t>
        </is>
      </c>
      <c r="S661" s="43" t="inlineStr">
        <is>
          <t>2025-02-21</t>
        </is>
      </c>
      <c r="T661" s="43" t="inlineStr"/>
      <c r="U661" s="43" t="inlineStr"/>
    </row>
    <row r="662">
      <c r="A662" s="43" t="n">
        <v>662</v>
      </c>
      <c r="B662" s="43" t="inlineStr">
        <is>
          <t>661</t>
        </is>
      </c>
      <c r="C662" s="43" t="inlineStr">
        <is>
          <t>FJZP</t>
        </is>
      </c>
      <c r="D662" s="43" t="inlineStr">
        <is>
          <t>Cisco</t>
        </is>
      </c>
      <c r="E662" s="43" t="inlineStr">
        <is>
          <t>MCGA</t>
        </is>
      </c>
      <c r="F662" s="43" t="inlineStr">
        <is>
          <t>037-STBU</t>
        </is>
      </c>
      <c r="G662" s="43" t="inlineStr">
        <is>
          <t>CTANJZ04449</t>
        </is>
      </c>
      <c r="H662" s="43" t="inlineStr">
        <is>
          <t>For temporary Manufacturing process change</t>
        </is>
      </c>
      <c r="I662" s="43" t="inlineStr">
        <is>
          <t>Customer Deviation</t>
        </is>
      </c>
      <c r="J662" s="43" t="inlineStr">
        <is>
          <t>D602143</t>
        </is>
      </c>
      <c r="K662" s="33" t="inlineStr">
        <is>
          <t>D602143FJZ will to change the battery placement to 800-level on assy area for the KP products and do a manual discharge before placing the battery.</t>
        </is>
      </c>
      <c r="L662" s="43" t="inlineStr">
        <is>
          <t>Expired</t>
        </is>
      </c>
      <c r="M662" s="43" t="inlineStr">
        <is>
          <t>800-103843-08</t>
        </is>
      </c>
      <c r="N662" s="43" t="inlineStr"/>
      <c r="O662" s="43" t="inlineStr">
        <is>
          <t>2025-05-12</t>
        </is>
      </c>
      <c r="P662" s="33" t="inlineStr">
        <is>
          <t>For temporary Manufacturing process change</t>
        </is>
      </c>
      <c r="Q662" s="43" t="inlineStr">
        <is>
          <t>Place the DV number on the PCB</t>
        </is>
      </c>
      <c r="R662" s="43" t="inlineStr">
        <is>
          <t>2025-02-12</t>
        </is>
      </c>
      <c r="S662" s="43" t="inlineStr">
        <is>
          <t>2025-02-21</t>
        </is>
      </c>
      <c r="T662" s="43" t="inlineStr"/>
      <c r="U662" s="43" t="inlineStr"/>
    </row>
    <row r="663">
      <c r="A663" s="43" t="n">
        <v>663</v>
      </c>
      <c r="B663" s="43" t="inlineStr">
        <is>
          <t>662</t>
        </is>
      </c>
      <c r="C663" s="43" t="inlineStr">
        <is>
          <t>FJZP</t>
        </is>
      </c>
      <c r="D663" s="43" t="inlineStr">
        <is>
          <t>Cisco</t>
        </is>
      </c>
      <c r="E663" s="43" t="inlineStr">
        <is>
          <t>MCGA</t>
        </is>
      </c>
      <c r="F663" s="43" t="inlineStr">
        <is>
          <t>037-STBU</t>
        </is>
      </c>
      <c r="G663" s="43" t="inlineStr">
        <is>
          <t>CTANJZ04449</t>
        </is>
      </c>
      <c r="H663" s="43" t="inlineStr">
        <is>
          <t>For temporary Manufacturing process change</t>
        </is>
      </c>
      <c r="I663" s="43" t="inlineStr">
        <is>
          <t>Customer Deviation</t>
        </is>
      </c>
      <c r="J663" s="43" t="inlineStr">
        <is>
          <t>D602143</t>
        </is>
      </c>
      <c r="K663" s="33" t="inlineStr">
        <is>
          <t>D602143FJZ will to change the battery placement to 800-level on assy area for the KP products and do a manual discharge before placing the battery.</t>
        </is>
      </c>
      <c r="L663" s="43" t="inlineStr">
        <is>
          <t>Expired</t>
        </is>
      </c>
      <c r="M663" s="43" t="inlineStr">
        <is>
          <t>800-103844-08</t>
        </is>
      </c>
      <c r="N663" s="43" t="inlineStr"/>
      <c r="O663" s="43" t="inlineStr">
        <is>
          <t>2025-05-12</t>
        </is>
      </c>
      <c r="P663" s="33" t="inlineStr">
        <is>
          <t>For temporary Manufacturing process change</t>
        </is>
      </c>
      <c r="Q663" s="43" t="inlineStr">
        <is>
          <t>Place the DV number on the PCB</t>
        </is>
      </c>
      <c r="R663" s="43" t="inlineStr">
        <is>
          <t>2025-02-12</t>
        </is>
      </c>
      <c r="S663" s="43" t="inlineStr">
        <is>
          <t>2025-02-21</t>
        </is>
      </c>
      <c r="T663" s="43" t="inlineStr"/>
      <c r="U663" s="43" t="inlineStr"/>
    </row>
    <row r="664">
      <c r="A664" s="43" t="n">
        <v>664</v>
      </c>
      <c r="B664" s="43" t="inlineStr">
        <is>
          <t>663</t>
        </is>
      </c>
      <c r="C664" s="43" t="inlineStr">
        <is>
          <t>FJZP</t>
        </is>
      </c>
      <c r="D664" s="43" t="inlineStr">
        <is>
          <t>Cisco</t>
        </is>
      </c>
      <c r="E664" s="43" t="inlineStr">
        <is>
          <t>MCGA</t>
        </is>
      </c>
      <c r="F664" s="43" t="inlineStr">
        <is>
          <t>037-STBU</t>
        </is>
      </c>
      <c r="G664" s="43" t="inlineStr">
        <is>
          <t>CTANJZ04449</t>
        </is>
      </c>
      <c r="H664" s="43" t="inlineStr">
        <is>
          <t>For temporary Manufacturing process change</t>
        </is>
      </c>
      <c r="I664" s="43" t="inlineStr">
        <is>
          <t>Customer Deviation</t>
        </is>
      </c>
      <c r="J664" s="43" t="inlineStr">
        <is>
          <t>D602143</t>
        </is>
      </c>
      <c r="K664" s="33" t="inlineStr">
        <is>
          <t>D602143FJZ will to change the battery placement to 800-level on assy area for the KP products and do a manual discharge before placing the battery.</t>
        </is>
      </c>
      <c r="L664" s="43" t="inlineStr">
        <is>
          <t>Expired</t>
        </is>
      </c>
      <c r="M664" s="43" t="inlineStr">
        <is>
          <t>800-103845-08</t>
        </is>
      </c>
      <c r="N664" s="43" t="inlineStr"/>
      <c r="O664" s="43" t="inlineStr">
        <is>
          <t>2025-05-12</t>
        </is>
      </c>
      <c r="P664" s="33" t="inlineStr">
        <is>
          <t>For temporary Manufacturing process change</t>
        </is>
      </c>
      <c r="Q664" s="43" t="inlineStr">
        <is>
          <t>Place the DV number on the PCB</t>
        </is>
      </c>
      <c r="R664" s="43" t="inlineStr">
        <is>
          <t>2025-02-12</t>
        </is>
      </c>
      <c r="S664" s="43" t="inlineStr">
        <is>
          <t>2025-02-21</t>
        </is>
      </c>
      <c r="T664" s="43" t="inlineStr"/>
      <c r="U664" s="43" t="inlineStr"/>
    </row>
    <row r="665">
      <c r="A665" s="43" t="n">
        <v>665</v>
      </c>
      <c r="B665" s="43" t="inlineStr">
        <is>
          <t>664</t>
        </is>
      </c>
      <c r="C665" s="43" t="inlineStr">
        <is>
          <t>FJZP</t>
        </is>
      </c>
      <c r="D665" s="43" t="inlineStr">
        <is>
          <t>Cisco</t>
        </is>
      </c>
      <c r="E665" s="43" t="inlineStr">
        <is>
          <t>MCGA</t>
        </is>
      </c>
      <c r="F665" s="43" t="inlineStr">
        <is>
          <t>037-STBU</t>
        </is>
      </c>
      <c r="G665" s="43" t="inlineStr">
        <is>
          <t>CTANJZ04537</t>
        </is>
      </c>
      <c r="H665" s="43" t="inlineStr">
        <is>
          <t>For temporary Manufacturing process change</t>
        </is>
      </c>
      <c r="I665" s="43" t="inlineStr">
        <is>
          <t>Customer Deviation</t>
        </is>
      </c>
      <c r="J665" s="43" t="inlineStr">
        <is>
          <t>D602319</t>
        </is>
      </c>
      <c r="K665" s="33" t="inlineStr">
        <is>
          <t>D602319 Deviation created to allow FJZ to test Tufnell units from Bone Pile with old revision for temporary manufacturing process changes.</t>
        </is>
      </c>
      <c r="L665" s="43" t="inlineStr">
        <is>
          <t>Expired</t>
        </is>
      </c>
      <c r="M665" s="43" t="inlineStr">
        <is>
          <t>68-7253-04</t>
        </is>
      </c>
      <c r="N665" s="43" t="inlineStr"/>
      <c r="O665" s="43" t="inlineStr">
        <is>
          <t>2025-06-29</t>
        </is>
      </c>
      <c r="P665" s="33" t="inlineStr">
        <is>
          <t>For temporary Manufacturing process change</t>
        </is>
      </c>
      <c r="Q665" s="43" t="inlineStr"/>
      <c r="R665" s="43" t="inlineStr">
        <is>
          <t>2025-04-01</t>
        </is>
      </c>
      <c r="S665" s="43" t="inlineStr">
        <is>
          <t>2025-04-15</t>
        </is>
      </c>
      <c r="T665" s="43" t="inlineStr"/>
      <c r="U665" s="43" t="inlineStr"/>
    </row>
    <row r="666">
      <c r="A666" s="43" t="n">
        <v>666</v>
      </c>
      <c r="B666" s="43" t="inlineStr">
        <is>
          <t>665</t>
        </is>
      </c>
      <c r="C666" s="43" t="inlineStr">
        <is>
          <t>FJZP</t>
        </is>
      </c>
      <c r="D666" s="43" t="inlineStr">
        <is>
          <t>Cisco</t>
        </is>
      </c>
      <c r="E666" s="43" t="inlineStr">
        <is>
          <t>MCGA</t>
        </is>
      </c>
      <c r="F666" s="43" t="inlineStr">
        <is>
          <t>037-STBU</t>
        </is>
      </c>
      <c r="G666" s="43" t="inlineStr">
        <is>
          <t>CTANJZ04537</t>
        </is>
      </c>
      <c r="H666" s="43" t="inlineStr">
        <is>
          <t>For temporary Manufacturing process change</t>
        </is>
      </c>
      <c r="I666" s="43" t="inlineStr">
        <is>
          <t>Customer Deviation</t>
        </is>
      </c>
      <c r="J666" s="43" t="inlineStr">
        <is>
          <t>D602319</t>
        </is>
      </c>
      <c r="K666" s="33" t="inlineStr">
        <is>
          <t>D602319 Deviation created to allow FJZ to test Tufnell units from Bone Pile with old revision for temporary manufacturing process changes.</t>
        </is>
      </c>
      <c r="L666" s="43" t="inlineStr">
        <is>
          <t>Expired</t>
        </is>
      </c>
      <c r="M666" s="43" t="inlineStr">
        <is>
          <t>68-7254-04</t>
        </is>
      </c>
      <c r="N666" s="43" t="inlineStr"/>
      <c r="O666" s="43" t="inlineStr">
        <is>
          <t>2025-06-29</t>
        </is>
      </c>
      <c r="P666" s="33" t="inlineStr">
        <is>
          <t>For temporary Manufacturing process change</t>
        </is>
      </c>
      <c r="Q666" s="43" t="inlineStr"/>
      <c r="R666" s="43" t="inlineStr">
        <is>
          <t>2025-04-01</t>
        </is>
      </c>
      <c r="S666" s="43" t="inlineStr">
        <is>
          <t>2025-04-15</t>
        </is>
      </c>
      <c r="T666" s="43" t="inlineStr"/>
      <c r="U666" s="43" t="inlineStr"/>
    </row>
    <row r="667">
      <c r="A667" s="43" t="n">
        <v>667</v>
      </c>
      <c r="B667" s="43" t="inlineStr">
        <is>
          <t>666</t>
        </is>
      </c>
      <c r="C667" s="43" t="inlineStr">
        <is>
          <t>FJZP</t>
        </is>
      </c>
      <c r="D667" s="43" t="inlineStr">
        <is>
          <t>Cisco</t>
        </is>
      </c>
      <c r="E667" s="43" t="inlineStr">
        <is>
          <t>MCGA</t>
        </is>
      </c>
      <c r="F667" s="43" t="inlineStr">
        <is>
          <t>037-STBU</t>
        </is>
      </c>
      <c r="G667" s="43" t="inlineStr">
        <is>
          <t>CTANJZ04537</t>
        </is>
      </c>
      <c r="H667" s="43" t="inlineStr">
        <is>
          <t>For temporary Manufacturing process change</t>
        </is>
      </c>
      <c r="I667" s="43" t="inlineStr">
        <is>
          <t>Customer Deviation</t>
        </is>
      </c>
      <c r="J667" s="43" t="inlineStr">
        <is>
          <t>D602319</t>
        </is>
      </c>
      <c r="K667" s="33" t="inlineStr">
        <is>
          <t>D602319 Deviation created to allow FJZ to test Tufnell units from Bone Pile with old revision for temporary manufacturing process changes.</t>
        </is>
      </c>
      <c r="L667" s="43" t="inlineStr">
        <is>
          <t>Expired</t>
        </is>
      </c>
      <c r="M667" s="43" t="inlineStr">
        <is>
          <t>68-7255-04</t>
        </is>
      </c>
      <c r="N667" s="43" t="inlineStr"/>
      <c r="O667" s="43" t="inlineStr">
        <is>
          <t>2025-06-29</t>
        </is>
      </c>
      <c r="P667" s="33" t="inlineStr">
        <is>
          <t>For temporary Manufacturing process change</t>
        </is>
      </c>
      <c r="Q667" s="43" t="inlineStr"/>
      <c r="R667" s="43" t="inlineStr">
        <is>
          <t>2025-04-01</t>
        </is>
      </c>
      <c r="S667" s="43" t="inlineStr">
        <is>
          <t>2025-04-15</t>
        </is>
      </c>
      <c r="T667" s="43" t="inlineStr"/>
      <c r="U667" s="43" t="inlineStr"/>
    </row>
    <row r="668">
      <c r="A668" s="43" t="n">
        <v>668</v>
      </c>
      <c r="B668" s="43" t="inlineStr">
        <is>
          <t>667</t>
        </is>
      </c>
      <c r="C668" s="43" t="inlineStr">
        <is>
          <t>FJZP</t>
        </is>
      </c>
      <c r="D668" s="43" t="inlineStr">
        <is>
          <t>Cisco</t>
        </is>
      </c>
      <c r="E668" s="43" t="inlineStr">
        <is>
          <t>MCGA</t>
        </is>
      </c>
      <c r="F668" s="43" t="inlineStr">
        <is>
          <t>037-STBU</t>
        </is>
      </c>
      <c r="G668" s="43" t="inlineStr">
        <is>
          <t>CTANJZ04537</t>
        </is>
      </c>
      <c r="H668" s="43" t="inlineStr">
        <is>
          <t>For temporary Manufacturing process change</t>
        </is>
      </c>
      <c r="I668" s="43" t="inlineStr">
        <is>
          <t>Customer Deviation</t>
        </is>
      </c>
      <c r="J668" s="43" t="inlineStr">
        <is>
          <t>D602319</t>
        </is>
      </c>
      <c r="K668" s="33" t="inlineStr">
        <is>
          <t>D602319 Deviation created to allow FJZ to test Tufnell units from Bone Pile with old revision for temporary manufacturing process changes.</t>
        </is>
      </c>
      <c r="L668" s="43" t="inlineStr">
        <is>
          <t>Expired</t>
        </is>
      </c>
      <c r="M668" s="43" t="inlineStr">
        <is>
          <t>68-7256-04</t>
        </is>
      </c>
      <c r="N668" s="43" t="inlineStr"/>
      <c r="O668" s="43" t="inlineStr">
        <is>
          <t>2025-06-29</t>
        </is>
      </c>
      <c r="P668" s="33" t="inlineStr">
        <is>
          <t>For temporary Manufacturing process change</t>
        </is>
      </c>
      <c r="Q668" s="43" t="inlineStr"/>
      <c r="R668" s="43" t="inlineStr">
        <is>
          <t>2025-04-01</t>
        </is>
      </c>
      <c r="S668" s="43" t="inlineStr">
        <is>
          <t>2025-04-15</t>
        </is>
      </c>
      <c r="T668" s="43" t="inlineStr"/>
      <c r="U668" s="43" t="inlineStr"/>
    </row>
    <row r="669">
      <c r="A669" s="43" t="n">
        <v>669</v>
      </c>
      <c r="B669" s="43" t="inlineStr">
        <is>
          <t>668</t>
        </is>
      </c>
      <c r="C669" s="43" t="inlineStr">
        <is>
          <t>FJZP</t>
        </is>
      </c>
      <c r="D669" s="43" t="inlineStr">
        <is>
          <t>Cisco</t>
        </is>
      </c>
      <c r="E669" s="43" t="inlineStr">
        <is>
          <t>MCGA</t>
        </is>
      </c>
      <c r="F669" s="43" t="inlineStr">
        <is>
          <t>037-STBU</t>
        </is>
      </c>
      <c r="G669" s="43" t="inlineStr">
        <is>
          <t>CTANJZ04537</t>
        </is>
      </c>
      <c r="H669" s="43" t="inlineStr">
        <is>
          <t>For temporary Manufacturing process change</t>
        </is>
      </c>
      <c r="I669" s="43" t="inlineStr">
        <is>
          <t>Customer Deviation</t>
        </is>
      </c>
      <c r="J669" s="43" t="inlineStr">
        <is>
          <t>D602319</t>
        </is>
      </c>
      <c r="K669" s="33" t="inlineStr">
        <is>
          <t>D602319 Deviation created to allow FJZ to test Tufnell units from Bone Pile with old revision for temporary manufacturing process changes.</t>
        </is>
      </c>
      <c r="L669" s="43" t="inlineStr">
        <is>
          <t>Expired</t>
        </is>
      </c>
      <c r="M669" s="43" t="inlineStr">
        <is>
          <t>68-7638-01</t>
        </is>
      </c>
      <c r="N669" s="43" t="inlineStr"/>
      <c r="O669" s="43" t="inlineStr">
        <is>
          <t>2025-06-29</t>
        </is>
      </c>
      <c r="P669" s="33" t="inlineStr">
        <is>
          <t>For temporary Manufacturing process change</t>
        </is>
      </c>
      <c r="Q669" s="43" t="inlineStr"/>
      <c r="R669" s="43" t="inlineStr">
        <is>
          <t>2025-04-01</t>
        </is>
      </c>
      <c r="S669" s="43" t="inlineStr">
        <is>
          <t>2025-04-15</t>
        </is>
      </c>
      <c r="T669" s="43" t="inlineStr"/>
      <c r="U669" s="43" t="inlineStr"/>
    </row>
    <row r="670">
      <c r="A670" s="43" t="n">
        <v>670</v>
      </c>
      <c r="B670" s="43" t="inlineStr">
        <is>
          <t>669</t>
        </is>
      </c>
      <c r="C670" s="43" t="inlineStr">
        <is>
          <t>FJZP</t>
        </is>
      </c>
      <c r="D670" s="43" t="inlineStr">
        <is>
          <t>Cisco</t>
        </is>
      </c>
      <c r="E670" s="43" t="inlineStr">
        <is>
          <t>MCGA</t>
        </is>
      </c>
      <c r="F670" s="43" t="inlineStr">
        <is>
          <t>037-STBU</t>
        </is>
      </c>
      <c r="G670" s="43" t="inlineStr">
        <is>
          <t>CTANJZ04537</t>
        </is>
      </c>
      <c r="H670" s="43" t="inlineStr">
        <is>
          <t>For temporary Manufacturing process change</t>
        </is>
      </c>
      <c r="I670" s="43" t="inlineStr">
        <is>
          <t>Customer Deviation</t>
        </is>
      </c>
      <c r="J670" s="43" t="inlineStr">
        <is>
          <t>D602319</t>
        </is>
      </c>
      <c r="K670" s="33" t="inlineStr">
        <is>
          <t>D602319 Deviation created to allow FJZ to test Tufnell units from Bone Pile with old revision for temporary manufacturing process changes.</t>
        </is>
      </c>
      <c r="L670" s="43" t="inlineStr">
        <is>
          <t>Expired</t>
        </is>
      </c>
      <c r="M670" s="43" t="inlineStr">
        <is>
          <t>73-20247-05</t>
        </is>
      </c>
      <c r="N670" s="43" t="inlineStr"/>
      <c r="O670" s="43" t="inlineStr">
        <is>
          <t>2025-06-29</t>
        </is>
      </c>
      <c r="P670" s="33" t="inlineStr">
        <is>
          <t>For temporary Manufacturing process change</t>
        </is>
      </c>
      <c r="Q670" s="43" t="inlineStr"/>
      <c r="R670" s="43" t="inlineStr">
        <is>
          <t>2025-04-01</t>
        </is>
      </c>
      <c r="S670" s="43" t="inlineStr">
        <is>
          <t>2025-04-15</t>
        </is>
      </c>
      <c r="T670" s="43" t="inlineStr"/>
      <c r="U670" s="43" t="inlineStr"/>
    </row>
    <row r="671">
      <c r="A671" s="43" t="n">
        <v>671</v>
      </c>
      <c r="B671" s="43" t="inlineStr">
        <is>
          <t>670</t>
        </is>
      </c>
      <c r="C671" s="43" t="inlineStr">
        <is>
          <t>FJZP</t>
        </is>
      </c>
      <c r="D671" s="43" t="inlineStr">
        <is>
          <t>Cisco</t>
        </is>
      </c>
      <c r="E671" s="43" t="inlineStr">
        <is>
          <t>MCGA</t>
        </is>
      </c>
      <c r="F671" s="43" t="inlineStr">
        <is>
          <t>037-STBU</t>
        </is>
      </c>
      <c r="G671" s="43" t="inlineStr">
        <is>
          <t>CTANJZ04537</t>
        </is>
      </c>
      <c r="H671" s="43" t="inlineStr">
        <is>
          <t>For temporary Manufacturing process change</t>
        </is>
      </c>
      <c r="I671" s="43" t="inlineStr">
        <is>
          <t>Customer Deviation</t>
        </is>
      </c>
      <c r="J671" s="43" t="inlineStr">
        <is>
          <t>D602319</t>
        </is>
      </c>
      <c r="K671" s="33" t="inlineStr">
        <is>
          <t>D602319 Deviation created to allow FJZ to test Tufnell units from Bone Pile with old revision for temporary manufacturing process changes.</t>
        </is>
      </c>
      <c r="L671" s="43" t="inlineStr">
        <is>
          <t>Expired</t>
        </is>
      </c>
      <c r="M671" s="43" t="inlineStr">
        <is>
          <t>73-20249-05</t>
        </is>
      </c>
      <c r="N671" s="43" t="inlineStr"/>
      <c r="O671" s="43" t="inlineStr">
        <is>
          <t>2025-06-29</t>
        </is>
      </c>
      <c r="P671" s="33" t="inlineStr">
        <is>
          <t>For temporary Manufacturing process change</t>
        </is>
      </c>
      <c r="Q671" s="43" t="inlineStr"/>
      <c r="R671" s="43" t="inlineStr">
        <is>
          <t>2025-04-01</t>
        </is>
      </c>
      <c r="S671" s="43" t="inlineStr">
        <is>
          <t>2025-04-15</t>
        </is>
      </c>
      <c r="T671" s="43" t="inlineStr"/>
      <c r="U671" s="43" t="inlineStr"/>
    </row>
    <row r="672">
      <c r="A672" s="43" t="n">
        <v>672</v>
      </c>
      <c r="B672" s="43" t="inlineStr">
        <is>
          <t>671</t>
        </is>
      </c>
      <c r="C672" s="43" t="inlineStr">
        <is>
          <t>FJZP</t>
        </is>
      </c>
      <c r="D672" s="43" t="inlineStr">
        <is>
          <t>Cisco</t>
        </is>
      </c>
      <c r="E672" s="43" t="inlineStr">
        <is>
          <t>MCGA</t>
        </is>
      </c>
      <c r="F672" s="43" t="inlineStr">
        <is>
          <t>037-STBU</t>
        </is>
      </c>
      <c r="G672" s="43" t="inlineStr">
        <is>
          <t>CTANJZ04537</t>
        </is>
      </c>
      <c r="H672" s="43" t="inlineStr">
        <is>
          <t>For temporary Manufacturing process change</t>
        </is>
      </c>
      <c r="I672" s="43" t="inlineStr">
        <is>
          <t>Customer Deviation</t>
        </is>
      </c>
      <c r="J672" s="43" t="inlineStr">
        <is>
          <t>D602319</t>
        </is>
      </c>
      <c r="K672" s="33" t="inlineStr">
        <is>
          <t>D602319 Deviation created to allow FJZ to test Tufnell units from Bone Pile with old revision for temporary manufacturing process changes.</t>
        </is>
      </c>
      <c r="L672" s="43" t="inlineStr">
        <is>
          <t>Expired</t>
        </is>
      </c>
      <c r="M672" s="43" t="inlineStr">
        <is>
          <t>800-108035-04</t>
        </is>
      </c>
      <c r="N672" s="43" t="inlineStr"/>
      <c r="O672" s="43" t="inlineStr">
        <is>
          <t>2025-06-29</t>
        </is>
      </c>
      <c r="P672" s="33" t="inlineStr">
        <is>
          <t>For temporary Manufacturing process change</t>
        </is>
      </c>
      <c r="Q672" s="43" t="inlineStr"/>
      <c r="R672" s="43" t="inlineStr">
        <is>
          <t>2025-04-01</t>
        </is>
      </c>
      <c r="S672" s="43" t="inlineStr">
        <is>
          <t>2025-04-15</t>
        </is>
      </c>
      <c r="T672" s="43" t="inlineStr"/>
      <c r="U672" s="43" t="inlineStr"/>
    </row>
    <row r="673">
      <c r="A673" s="43" t="n">
        <v>673</v>
      </c>
      <c r="B673" s="43" t="inlineStr">
        <is>
          <t>672</t>
        </is>
      </c>
      <c r="C673" s="43" t="inlineStr">
        <is>
          <t>FJZP</t>
        </is>
      </c>
      <c r="D673" s="43" t="inlineStr">
        <is>
          <t>Cisco</t>
        </is>
      </c>
      <c r="E673" s="43" t="inlineStr">
        <is>
          <t>MCGA</t>
        </is>
      </c>
      <c r="F673" s="43" t="inlineStr">
        <is>
          <t>037-STBU</t>
        </is>
      </c>
      <c r="G673" s="43" t="inlineStr">
        <is>
          <t>CTANJZ04537</t>
        </is>
      </c>
      <c r="H673" s="43" t="inlineStr">
        <is>
          <t>For temporary Manufacturing process change</t>
        </is>
      </c>
      <c r="I673" s="43" t="inlineStr">
        <is>
          <t>Customer Deviation</t>
        </is>
      </c>
      <c r="J673" s="43" t="inlineStr">
        <is>
          <t>D602319</t>
        </is>
      </c>
      <c r="K673" s="33" t="inlineStr">
        <is>
          <t>D602319 Deviation created to allow FJZ to test Tufnell units from Bone Pile with old revision for temporary manufacturing process changes.</t>
        </is>
      </c>
      <c r="L673" s="43" t="inlineStr">
        <is>
          <t>Expired</t>
        </is>
      </c>
      <c r="M673" s="43" t="inlineStr">
        <is>
          <t>800-108036-04</t>
        </is>
      </c>
      <c r="N673" s="43" t="inlineStr"/>
      <c r="O673" s="43" t="inlineStr">
        <is>
          <t>2025-06-29</t>
        </is>
      </c>
      <c r="P673" s="33" t="inlineStr">
        <is>
          <t>For temporary Manufacturing process change</t>
        </is>
      </c>
      <c r="Q673" s="43" t="inlineStr"/>
      <c r="R673" s="43" t="inlineStr">
        <is>
          <t>2025-04-01</t>
        </is>
      </c>
      <c r="S673" s="43" t="inlineStr">
        <is>
          <t>2025-04-15</t>
        </is>
      </c>
      <c r="T673" s="43" t="inlineStr"/>
      <c r="U673" s="43" t="inlineStr"/>
    </row>
    <row r="674">
      <c r="A674" s="43" t="n">
        <v>674</v>
      </c>
      <c r="B674" s="43" t="inlineStr">
        <is>
          <t>673</t>
        </is>
      </c>
      <c r="C674" s="43" t="inlineStr">
        <is>
          <t>FJZP</t>
        </is>
      </c>
      <c r="D674" s="43" t="inlineStr">
        <is>
          <t>Cisco</t>
        </is>
      </c>
      <c r="E674" s="43" t="inlineStr">
        <is>
          <t>MCGA</t>
        </is>
      </c>
      <c r="F674" s="43" t="inlineStr">
        <is>
          <t>037-STBU</t>
        </is>
      </c>
      <c r="G674" s="43" t="inlineStr">
        <is>
          <t>CTANJZ04537</t>
        </is>
      </c>
      <c r="H674" s="43" t="inlineStr">
        <is>
          <t>For temporary Manufacturing process change</t>
        </is>
      </c>
      <c r="I674" s="43" t="inlineStr">
        <is>
          <t>Customer Deviation</t>
        </is>
      </c>
      <c r="J674" s="43" t="inlineStr">
        <is>
          <t>D602319</t>
        </is>
      </c>
      <c r="K674" s="33" t="inlineStr">
        <is>
          <t>D602319 Deviation created to allow FJZ to test Tufnell units from Bone Pile with old revision for temporary manufacturing process changes.</t>
        </is>
      </c>
      <c r="L674" s="43" t="inlineStr">
        <is>
          <t>Expired</t>
        </is>
      </c>
      <c r="M674" s="43" t="inlineStr">
        <is>
          <t>800-108037-04</t>
        </is>
      </c>
      <c r="N674" s="43" t="inlineStr"/>
      <c r="O674" s="43" t="inlineStr">
        <is>
          <t>2025-06-29</t>
        </is>
      </c>
      <c r="P674" s="33" t="inlineStr">
        <is>
          <t>For temporary Manufacturing process change</t>
        </is>
      </c>
      <c r="Q674" s="43" t="inlineStr"/>
      <c r="R674" s="43" t="inlineStr">
        <is>
          <t>2025-04-01</t>
        </is>
      </c>
      <c r="S674" s="43" t="inlineStr">
        <is>
          <t>2025-04-15</t>
        </is>
      </c>
      <c r="T674" s="43" t="inlineStr"/>
      <c r="U674" s="43" t="inlineStr"/>
    </row>
    <row r="675">
      <c r="A675" s="43" t="n">
        <v>675</v>
      </c>
      <c r="B675" s="43" t="inlineStr">
        <is>
          <t>674</t>
        </is>
      </c>
      <c r="C675" s="43" t="inlineStr">
        <is>
          <t>FJZP</t>
        </is>
      </c>
      <c r="D675" s="43" t="inlineStr">
        <is>
          <t>Cisco</t>
        </is>
      </c>
      <c r="E675" s="43" t="inlineStr">
        <is>
          <t>MCGA</t>
        </is>
      </c>
      <c r="F675" s="43" t="inlineStr">
        <is>
          <t>037-STBU</t>
        </is>
      </c>
      <c r="G675" s="43" t="inlineStr">
        <is>
          <t>CTANJZ04537</t>
        </is>
      </c>
      <c r="H675" s="43" t="inlineStr">
        <is>
          <t>For temporary Manufacturing process change</t>
        </is>
      </c>
      <c r="I675" s="43" t="inlineStr">
        <is>
          <t>Customer Deviation</t>
        </is>
      </c>
      <c r="J675" s="43" t="inlineStr">
        <is>
          <t>D602319</t>
        </is>
      </c>
      <c r="K675" s="33" t="inlineStr">
        <is>
          <t>D602319 Deviation created to allow FJZ to test Tufnell units from Bone Pile with old revision for temporary manufacturing process changes.</t>
        </is>
      </c>
      <c r="L675" s="43" t="inlineStr">
        <is>
          <t>Expired</t>
        </is>
      </c>
      <c r="M675" s="43" t="inlineStr">
        <is>
          <t>800-108038-04</t>
        </is>
      </c>
      <c r="N675" s="43" t="inlineStr"/>
      <c r="O675" s="43" t="inlineStr">
        <is>
          <t>2025-06-29</t>
        </is>
      </c>
      <c r="P675" s="33" t="inlineStr">
        <is>
          <t>For temporary Manufacturing process change</t>
        </is>
      </c>
      <c r="Q675" s="43" t="inlineStr"/>
      <c r="R675" s="43" t="inlineStr">
        <is>
          <t>2025-04-01</t>
        </is>
      </c>
      <c r="S675" s="43" t="inlineStr">
        <is>
          <t>2025-04-15</t>
        </is>
      </c>
      <c r="T675" s="43" t="inlineStr"/>
      <c r="U675" s="43" t="inlineStr"/>
    </row>
    <row r="676">
      <c r="A676" s="43" t="n">
        <v>676</v>
      </c>
      <c r="B676" s="43" t="inlineStr">
        <is>
          <t>675</t>
        </is>
      </c>
      <c r="C676" s="43" t="inlineStr">
        <is>
          <t>FJZP</t>
        </is>
      </c>
      <c r="D676" s="43" t="inlineStr">
        <is>
          <t>Cisco</t>
        </is>
      </c>
      <c r="E676" s="43" t="inlineStr">
        <is>
          <t>MCGA</t>
        </is>
      </c>
      <c r="F676" s="43" t="inlineStr">
        <is>
          <t>037-STBU</t>
        </is>
      </c>
      <c r="G676" s="43" t="inlineStr">
        <is>
          <t>CTANJZ04537</t>
        </is>
      </c>
      <c r="H676" s="43" t="inlineStr">
        <is>
          <t>For temporary Manufacturing process change</t>
        </is>
      </c>
      <c r="I676" s="43" t="inlineStr">
        <is>
          <t>Customer Deviation</t>
        </is>
      </c>
      <c r="J676" s="43" t="inlineStr">
        <is>
          <t>D602319</t>
        </is>
      </c>
      <c r="K676" s="33" t="inlineStr">
        <is>
          <t>D602319 Deviation created to allow FJZ to test Tufnell units from Bone Pile with old revision for temporary manufacturing process changes.</t>
        </is>
      </c>
      <c r="L676" s="43" t="inlineStr">
        <is>
          <t>Expired</t>
        </is>
      </c>
      <c r="M676" s="43" t="inlineStr">
        <is>
          <t>800-110666-01</t>
        </is>
      </c>
      <c r="N676" s="43" t="inlineStr"/>
      <c r="O676" s="43" t="inlineStr">
        <is>
          <t>2025-06-29</t>
        </is>
      </c>
      <c r="P676" s="33" t="inlineStr">
        <is>
          <t>For temporary Manufacturing process change</t>
        </is>
      </c>
      <c r="Q676" s="43" t="inlineStr"/>
      <c r="R676" s="43" t="inlineStr">
        <is>
          <t>2025-04-01</t>
        </is>
      </c>
      <c r="S676" s="43" t="inlineStr">
        <is>
          <t>2025-04-15</t>
        </is>
      </c>
      <c r="T676" s="43" t="inlineStr"/>
      <c r="U676" s="43" t="inlineStr"/>
    </row>
    <row r="677">
      <c r="A677" s="43" t="n">
        <v>677</v>
      </c>
      <c r="B677" s="43" t="inlineStr">
        <is>
          <t>676</t>
        </is>
      </c>
      <c r="C677" s="43" t="inlineStr">
        <is>
          <t>FJZP</t>
        </is>
      </c>
      <c r="D677" s="43" t="inlineStr">
        <is>
          <t>Cisco</t>
        </is>
      </c>
      <c r="E677" s="43" t="inlineStr">
        <is>
          <t>MCGA</t>
        </is>
      </c>
      <c r="F677" s="43" t="inlineStr">
        <is>
          <t>037-STBU</t>
        </is>
      </c>
      <c r="G677" s="43" t="inlineStr">
        <is>
          <t>CTANJZ04552</t>
        </is>
      </c>
      <c r="H677" s="43" t="inlineStr">
        <is>
          <t>For temporary Manufacturing process change</t>
        </is>
      </c>
      <c r="I677" s="43" t="inlineStr">
        <is>
          <t>Customer Deviation</t>
        </is>
      </c>
      <c r="J677" s="43" t="inlineStr">
        <is>
          <t>D603244</t>
        </is>
      </c>
      <c r="K677" s="33" t="inlineStr">
        <is>
          <t>D603244 FJZ will to change the battery placement to 800-level on assy area for the KP products and do a manual discharge before placing the battery.Currently the D602143 allows FJZ to make the discharge and they are using 30 for the discharge; this deviation will request to do the discharge by 50 seconds because there are around 10% of failures on production line that are fixed by doing the discharge for 50 seconds; we intend to replicate this on production line to avoid the rework</t>
        </is>
      </c>
      <c r="L677" s="43" t="inlineStr">
        <is>
          <t>Expired</t>
        </is>
      </c>
      <c r="M677" s="43" t="inlineStr">
        <is>
          <t>35-0038-01</t>
        </is>
      </c>
      <c r="N677" s="43" t="inlineStr"/>
      <c r="O677" s="43" t="inlineStr">
        <is>
          <t>2025-07-07</t>
        </is>
      </c>
      <c r="P677" s="33" t="inlineStr">
        <is>
          <t>For temporary Manufacturing process change</t>
        </is>
      </c>
      <c r="Q677" s="43" t="inlineStr">
        <is>
          <t>Place DV number on the PCB</t>
        </is>
      </c>
      <c r="R677" s="43" t="inlineStr">
        <is>
          <t>2025-04-09</t>
        </is>
      </c>
      <c r="S677" s="43" t="inlineStr">
        <is>
          <t>2025-04-24</t>
        </is>
      </c>
      <c r="T677" s="43" t="inlineStr"/>
      <c r="U677" s="43" t="inlineStr"/>
    </row>
    <row r="678">
      <c r="A678" s="43" t="n">
        <v>678</v>
      </c>
      <c r="B678" s="43" t="inlineStr">
        <is>
          <t>677</t>
        </is>
      </c>
      <c r="C678" s="43" t="inlineStr">
        <is>
          <t>FJZP</t>
        </is>
      </c>
      <c r="D678" s="43" t="inlineStr">
        <is>
          <t>Cisco</t>
        </is>
      </c>
      <c r="E678" s="43" t="inlineStr">
        <is>
          <t>MCGA</t>
        </is>
      </c>
      <c r="F678" s="43" t="inlineStr">
        <is>
          <t>037-STBU</t>
        </is>
      </c>
      <c r="G678" s="43" t="inlineStr">
        <is>
          <t>CTANJZ04552</t>
        </is>
      </c>
      <c r="H678" s="43" t="inlineStr">
        <is>
          <t>For temporary Manufacturing process change</t>
        </is>
      </c>
      <c r="I678" s="43" t="inlineStr">
        <is>
          <t>Customer Deviation</t>
        </is>
      </c>
      <c r="J678" s="43" t="inlineStr">
        <is>
          <t>D603244</t>
        </is>
      </c>
      <c r="K678" s="33" t="inlineStr">
        <is>
          <t>D603244 FJZ will to change the battery placement to 800-level on assy area for the KP products and do a manual discharge before placing the battery.Currently the D602143 allows FJZ to make the discharge and they are using 30 for the discharge; this deviation will request to do the discharge by 50 seconds because there are around 10% of failures on production line that are fixed by doing the discharge for 50 seconds; we intend to replicate this on production line to avoid the rework</t>
        </is>
      </c>
      <c r="L678" s="43" t="inlineStr">
        <is>
          <t>Expired</t>
        </is>
      </c>
      <c r="M678" s="43" t="inlineStr">
        <is>
          <t>73-17567-12</t>
        </is>
      </c>
      <c r="N678" s="43" t="inlineStr"/>
      <c r="O678" s="43" t="inlineStr">
        <is>
          <t>2025-07-07</t>
        </is>
      </c>
      <c r="P678" s="33" t="inlineStr">
        <is>
          <t>For temporary Manufacturing process change</t>
        </is>
      </c>
      <c r="Q678" s="43" t="inlineStr">
        <is>
          <t>Place DV number on the PCB</t>
        </is>
      </c>
      <c r="R678" s="43" t="inlineStr">
        <is>
          <t>2025-04-09</t>
        </is>
      </c>
      <c r="S678" s="43" t="inlineStr">
        <is>
          <t>2025-04-24</t>
        </is>
      </c>
      <c r="T678" s="43" t="inlineStr"/>
      <c r="U678" s="43" t="inlineStr"/>
    </row>
    <row r="679">
      <c r="A679" s="43" t="n">
        <v>679</v>
      </c>
      <c r="B679" s="43" t="inlineStr">
        <is>
          <t>678</t>
        </is>
      </c>
      <c r="C679" s="43" t="inlineStr">
        <is>
          <t>FJZP</t>
        </is>
      </c>
      <c r="D679" s="43" t="inlineStr">
        <is>
          <t>Cisco</t>
        </is>
      </c>
      <c r="E679" s="43" t="inlineStr">
        <is>
          <t>MCGA</t>
        </is>
      </c>
      <c r="F679" s="43" t="inlineStr">
        <is>
          <t>037-STBU</t>
        </is>
      </c>
      <c r="G679" s="43" t="inlineStr">
        <is>
          <t>CTANJZ04450</t>
        </is>
      </c>
      <c r="H679" s="43" t="inlineStr">
        <is>
          <t>For temporary Manufacturing process change</t>
        </is>
      </c>
      <c r="I679" s="43" t="inlineStr">
        <is>
          <t>Customer Deviation</t>
        </is>
      </c>
      <c r="J679" s="43" t="inlineStr">
        <is>
          <t>D602145</t>
        </is>
      </c>
      <c r="K679" s="33" t="inlineStr">
        <is>
          <t>D602145Use 74-126726-01 as substitute of 74-113291-01 on DF</t>
        </is>
      </c>
      <c r="L679" s="43" t="inlineStr">
        <is>
          <t>Expired</t>
        </is>
      </c>
      <c r="M679" s="43" t="inlineStr">
        <is>
          <t>68-7253-04</t>
        </is>
      </c>
      <c r="N679" s="43" t="inlineStr"/>
      <c r="O679" s="43" t="inlineStr">
        <is>
          <t>2025-05-12</t>
        </is>
      </c>
      <c r="P679" s="33" t="inlineStr">
        <is>
          <t>For temporary Manufacturing process change</t>
        </is>
      </c>
      <c r="Q679" s="43" t="inlineStr">
        <is>
          <t>Stick dev label on chassis (easy visible location)</t>
        </is>
      </c>
      <c r="R679" s="43" t="inlineStr">
        <is>
          <t>2025-02-12</t>
        </is>
      </c>
      <c r="S679" s="43" t="inlineStr">
        <is>
          <t>2025-02-25</t>
        </is>
      </c>
      <c r="T679" s="43" t="inlineStr"/>
      <c r="U679" s="43" t="inlineStr"/>
    </row>
    <row r="680">
      <c r="A680" s="43" t="n">
        <v>680</v>
      </c>
      <c r="B680" s="43" t="inlineStr">
        <is>
          <t>679</t>
        </is>
      </c>
      <c r="C680" s="43" t="inlineStr">
        <is>
          <t>FJZP</t>
        </is>
      </c>
      <c r="D680" s="43" t="inlineStr">
        <is>
          <t>Cisco</t>
        </is>
      </c>
      <c r="E680" s="43" t="inlineStr">
        <is>
          <t>MCGA</t>
        </is>
      </c>
      <c r="F680" s="43" t="inlineStr">
        <is>
          <t>037-STBU</t>
        </is>
      </c>
      <c r="G680" s="43" t="inlineStr">
        <is>
          <t>CTANJZ04450</t>
        </is>
      </c>
      <c r="H680" s="43" t="inlineStr">
        <is>
          <t>For temporary Manufacturing process change</t>
        </is>
      </c>
      <c r="I680" s="43" t="inlineStr">
        <is>
          <t>Customer Deviation</t>
        </is>
      </c>
      <c r="J680" s="43" t="inlineStr">
        <is>
          <t>D602145</t>
        </is>
      </c>
      <c r="K680" s="33" t="inlineStr">
        <is>
          <t>D602145Use 74-126726-01 as substitute of 74-113291-01 on DF</t>
        </is>
      </c>
      <c r="L680" s="43" t="inlineStr">
        <is>
          <t>Expired</t>
        </is>
      </c>
      <c r="M680" s="43" t="inlineStr">
        <is>
          <t>68-7254-04</t>
        </is>
      </c>
      <c r="N680" s="43" t="inlineStr"/>
      <c r="O680" s="43" t="inlineStr">
        <is>
          <t>2025-05-12</t>
        </is>
      </c>
      <c r="P680" s="33" t="inlineStr">
        <is>
          <t>For temporary Manufacturing process change</t>
        </is>
      </c>
      <c r="Q680" s="43" t="inlineStr">
        <is>
          <t>Stick dev label on chassis (easy visible location)</t>
        </is>
      </c>
      <c r="R680" s="43" t="inlineStr">
        <is>
          <t>2025-02-12</t>
        </is>
      </c>
      <c r="S680" s="43" t="inlineStr">
        <is>
          <t>2025-02-25</t>
        </is>
      </c>
      <c r="T680" s="43" t="inlineStr"/>
      <c r="U680" s="43" t="inlineStr"/>
    </row>
    <row r="681">
      <c r="A681" s="43" t="n">
        <v>681</v>
      </c>
      <c r="B681" s="43" t="inlineStr">
        <is>
          <t>680</t>
        </is>
      </c>
      <c r="C681" s="43" t="inlineStr">
        <is>
          <t>FJZP</t>
        </is>
      </c>
      <c r="D681" s="43" t="inlineStr">
        <is>
          <t>Cisco</t>
        </is>
      </c>
      <c r="E681" s="43" t="inlineStr">
        <is>
          <t>MCGA</t>
        </is>
      </c>
      <c r="F681" s="43" t="inlineStr">
        <is>
          <t>037-STBU</t>
        </is>
      </c>
      <c r="G681" s="43" t="inlineStr">
        <is>
          <t>CTANJZ04450</t>
        </is>
      </c>
      <c r="H681" s="43" t="inlineStr">
        <is>
          <t>For temporary Manufacturing process change</t>
        </is>
      </c>
      <c r="I681" s="43" t="inlineStr">
        <is>
          <t>Customer Deviation</t>
        </is>
      </c>
      <c r="J681" s="43" t="inlineStr">
        <is>
          <t>D602145</t>
        </is>
      </c>
      <c r="K681" s="33" t="inlineStr">
        <is>
          <t>D602145Use 74-126726-01 as substitute of 74-113291-01 on DF</t>
        </is>
      </c>
      <c r="L681" s="43" t="inlineStr">
        <is>
          <t>Expired</t>
        </is>
      </c>
      <c r="M681" s="43" t="inlineStr">
        <is>
          <t>68-7255-04</t>
        </is>
      </c>
      <c r="N681" s="43" t="inlineStr"/>
      <c r="O681" s="43" t="inlineStr">
        <is>
          <t>2025-05-12</t>
        </is>
      </c>
      <c r="P681" s="33" t="inlineStr">
        <is>
          <t>For temporary Manufacturing process change</t>
        </is>
      </c>
      <c r="Q681" s="43" t="inlineStr">
        <is>
          <t>Stick dev label on chassis (easy visible location)</t>
        </is>
      </c>
      <c r="R681" s="43" t="inlineStr">
        <is>
          <t>2025-02-12</t>
        </is>
      </c>
      <c r="S681" s="43" t="inlineStr">
        <is>
          <t>2025-02-25</t>
        </is>
      </c>
      <c r="T681" s="43" t="inlineStr"/>
      <c r="U681" s="43" t="inlineStr"/>
    </row>
    <row r="682">
      <c r="A682" s="43" t="n">
        <v>682</v>
      </c>
      <c r="B682" s="43" t="inlineStr">
        <is>
          <t>681</t>
        </is>
      </c>
      <c r="C682" s="43" t="inlineStr">
        <is>
          <t>FJZP</t>
        </is>
      </c>
      <c r="D682" s="43" t="inlineStr">
        <is>
          <t>Cisco</t>
        </is>
      </c>
      <c r="E682" s="43" t="inlineStr">
        <is>
          <t>MCGA</t>
        </is>
      </c>
      <c r="F682" s="43" t="inlineStr">
        <is>
          <t>037-STBU</t>
        </is>
      </c>
      <c r="G682" s="43" t="inlineStr">
        <is>
          <t>CTANJZ04450</t>
        </is>
      </c>
      <c r="H682" s="43" t="inlineStr">
        <is>
          <t>For temporary Manufacturing process change</t>
        </is>
      </c>
      <c r="I682" s="43" t="inlineStr">
        <is>
          <t>Customer Deviation</t>
        </is>
      </c>
      <c r="J682" s="43" t="inlineStr">
        <is>
          <t>D602145</t>
        </is>
      </c>
      <c r="K682" s="33" t="inlineStr">
        <is>
          <t>D602145Use 74-126726-01 as substitute of 74-113291-01 on DF</t>
        </is>
      </c>
      <c r="L682" s="43" t="inlineStr">
        <is>
          <t>Expired</t>
        </is>
      </c>
      <c r="M682" s="43" t="inlineStr">
        <is>
          <t>68-7256-04</t>
        </is>
      </c>
      <c r="N682" s="43" t="inlineStr"/>
      <c r="O682" s="43" t="inlineStr">
        <is>
          <t>2025-05-12</t>
        </is>
      </c>
      <c r="P682" s="33" t="inlineStr">
        <is>
          <t>For temporary Manufacturing process change</t>
        </is>
      </c>
      <c r="Q682" s="43" t="inlineStr">
        <is>
          <t>Stick dev label on chassis (easy visible location)</t>
        </is>
      </c>
      <c r="R682" s="43" t="inlineStr">
        <is>
          <t>2025-02-12</t>
        </is>
      </c>
      <c r="S682" s="43" t="inlineStr">
        <is>
          <t>2025-02-25</t>
        </is>
      </c>
      <c r="T682" s="43" t="inlineStr"/>
      <c r="U682" s="43" t="inlineStr"/>
    </row>
    <row r="683">
      <c r="A683" s="43" t="n">
        <v>683</v>
      </c>
      <c r="B683" s="43" t="inlineStr">
        <is>
          <t>682</t>
        </is>
      </c>
      <c r="C683" s="43" t="inlineStr">
        <is>
          <t>FJZP</t>
        </is>
      </c>
      <c r="D683" s="43" t="inlineStr">
        <is>
          <t>Cisco</t>
        </is>
      </c>
      <c r="E683" s="43" t="inlineStr">
        <is>
          <t>MCGA</t>
        </is>
      </c>
      <c r="F683" s="43" t="inlineStr">
        <is>
          <t>037-STBU</t>
        </is>
      </c>
      <c r="G683" s="43" t="inlineStr">
        <is>
          <t>CTANJZ04450</t>
        </is>
      </c>
      <c r="H683" s="43" t="inlineStr">
        <is>
          <t>For temporary Manufacturing process change</t>
        </is>
      </c>
      <c r="I683" s="43" t="inlineStr">
        <is>
          <t>Customer Deviation</t>
        </is>
      </c>
      <c r="J683" s="43" t="inlineStr">
        <is>
          <t>D602145</t>
        </is>
      </c>
      <c r="K683" s="33" t="inlineStr">
        <is>
          <t>D602145Use 74-126726-01 as substitute of 74-113291-01 on DF</t>
        </is>
      </c>
      <c r="L683" s="43" t="inlineStr">
        <is>
          <t>Expired</t>
        </is>
      </c>
      <c r="M683" s="43" t="inlineStr">
        <is>
          <t>68-7638-01</t>
        </is>
      </c>
      <c r="N683" s="43" t="inlineStr"/>
      <c r="O683" s="43" t="inlineStr">
        <is>
          <t>2025-05-12</t>
        </is>
      </c>
      <c r="P683" s="33" t="inlineStr">
        <is>
          <t>For temporary Manufacturing process change</t>
        </is>
      </c>
      <c r="Q683" s="43" t="inlineStr">
        <is>
          <t>Stick dev label on chassis (easy visible location)</t>
        </is>
      </c>
      <c r="R683" s="43" t="inlineStr">
        <is>
          <t>2025-02-12</t>
        </is>
      </c>
      <c r="S683" s="43" t="inlineStr">
        <is>
          <t>2025-02-25</t>
        </is>
      </c>
      <c r="T683" s="43" t="inlineStr"/>
      <c r="U683" s="43" t="inlineStr"/>
    </row>
    <row r="684">
      <c r="A684" s="43" t="n">
        <v>684</v>
      </c>
      <c r="B684" s="43" t="inlineStr">
        <is>
          <t>683</t>
        </is>
      </c>
      <c r="C684" s="43" t="inlineStr">
        <is>
          <t>FJZP</t>
        </is>
      </c>
      <c r="D684" s="43" t="inlineStr">
        <is>
          <t>Cisco</t>
        </is>
      </c>
      <c r="E684" s="43" t="inlineStr">
        <is>
          <t>MCGA</t>
        </is>
      </c>
      <c r="F684" s="43" t="inlineStr">
        <is>
          <t>037-STBU</t>
        </is>
      </c>
      <c r="G684" s="43" t="inlineStr">
        <is>
          <t>CTANJZ04450</t>
        </is>
      </c>
      <c r="H684" s="43" t="inlineStr">
        <is>
          <t>For temporary Manufacturing process change</t>
        </is>
      </c>
      <c r="I684" s="43" t="inlineStr">
        <is>
          <t>Customer Deviation</t>
        </is>
      </c>
      <c r="J684" s="43" t="inlineStr">
        <is>
          <t>D602145</t>
        </is>
      </c>
      <c r="K684" s="33" t="inlineStr">
        <is>
          <t>D602145Use 74-126726-01 as substitute of 74-113291-01 on DF</t>
        </is>
      </c>
      <c r="L684" s="43" t="inlineStr">
        <is>
          <t>Expired</t>
        </is>
      </c>
      <c r="M684" s="43" t="inlineStr">
        <is>
          <t>74-113291-01</t>
        </is>
      </c>
      <c r="N684" s="43" t="inlineStr"/>
      <c r="O684" s="43" t="inlineStr">
        <is>
          <t>2025-05-12</t>
        </is>
      </c>
      <c r="P684" s="33" t="inlineStr">
        <is>
          <t>For temporary Manufacturing process change</t>
        </is>
      </c>
      <c r="Q684" s="43" t="inlineStr">
        <is>
          <t>Stick dev label on chassis (easy visible location)</t>
        </is>
      </c>
      <c r="R684" s="43" t="inlineStr">
        <is>
          <t>2025-02-12</t>
        </is>
      </c>
      <c r="S684" s="43" t="inlineStr">
        <is>
          <t>2025-02-25</t>
        </is>
      </c>
      <c r="T684" s="43" t="inlineStr"/>
      <c r="U684" s="43" t="inlineStr"/>
    </row>
    <row r="685">
      <c r="A685" s="43" t="n">
        <v>685</v>
      </c>
      <c r="B685" s="43" t="inlineStr">
        <is>
          <t>684</t>
        </is>
      </c>
      <c r="C685" s="43" t="inlineStr">
        <is>
          <t>FJZP</t>
        </is>
      </c>
      <c r="D685" s="43" t="inlineStr">
        <is>
          <t>Cisco</t>
        </is>
      </c>
      <c r="E685" s="43" t="inlineStr">
        <is>
          <t>MCGA</t>
        </is>
      </c>
      <c r="F685" s="43" t="inlineStr">
        <is>
          <t>037-STBU</t>
        </is>
      </c>
      <c r="G685" s="43" t="inlineStr">
        <is>
          <t>CTANJZ04450</t>
        </is>
      </c>
      <c r="H685" s="43" t="inlineStr">
        <is>
          <t>For temporary Manufacturing process change</t>
        </is>
      </c>
      <c r="I685" s="43" t="inlineStr">
        <is>
          <t>Customer Deviation</t>
        </is>
      </c>
      <c r="J685" s="43" t="inlineStr">
        <is>
          <t>D602145</t>
        </is>
      </c>
      <c r="K685" s="33" t="inlineStr">
        <is>
          <t>D602145Use 74-126726-01 as substitute of 74-113291-01 on DF</t>
        </is>
      </c>
      <c r="L685" s="43" t="inlineStr">
        <is>
          <t>Expired</t>
        </is>
      </c>
      <c r="M685" s="43" t="inlineStr">
        <is>
          <t>74-126726-01</t>
        </is>
      </c>
      <c r="N685" s="43" t="inlineStr"/>
      <c r="O685" s="43" t="inlineStr">
        <is>
          <t>2025-05-12</t>
        </is>
      </c>
      <c r="P685" s="33" t="inlineStr">
        <is>
          <t>For temporary Manufacturing process change</t>
        </is>
      </c>
      <c r="Q685" s="43" t="inlineStr">
        <is>
          <t>Stick dev label on chassis (easy visible location)</t>
        </is>
      </c>
      <c r="R685" s="43" t="inlineStr">
        <is>
          <t>2025-02-12</t>
        </is>
      </c>
      <c r="S685" s="43" t="inlineStr">
        <is>
          <t>2025-02-25</t>
        </is>
      </c>
      <c r="T685" s="43" t="inlineStr"/>
      <c r="U685" s="43" t="inlineStr"/>
    </row>
    <row r="686">
      <c r="A686" s="43" t="n">
        <v>686</v>
      </c>
      <c r="B686" s="43" t="inlineStr">
        <is>
          <t>685</t>
        </is>
      </c>
      <c r="C686" s="43" t="inlineStr">
        <is>
          <t>FJZP</t>
        </is>
      </c>
      <c r="D686" s="43" t="inlineStr">
        <is>
          <t>Cisco</t>
        </is>
      </c>
      <c r="E686" s="43" t="inlineStr">
        <is>
          <t>MCGA</t>
        </is>
      </c>
      <c r="F686" s="43" t="inlineStr">
        <is>
          <t>037-STBU</t>
        </is>
      </c>
      <c r="G686" s="43" t="inlineStr">
        <is>
          <t>CTANJZ04652</t>
        </is>
      </c>
      <c r="H686" s="43" t="inlineStr">
        <is>
          <t>For temporary Manufacturing process change</t>
        </is>
      </c>
      <c r="I686" s="43" t="inlineStr">
        <is>
          <t>Customer Deviation</t>
        </is>
      </c>
      <c r="J686" s="43" t="inlineStr">
        <is>
          <t>DP524450</t>
        </is>
      </c>
      <c r="K686" s="33" t="inlineStr">
        <is>
          <t>DP524450 Please see PageThree for details</t>
        </is>
      </c>
      <c r="L686" s="43" t="inlineStr">
        <is>
          <t>Expired</t>
        </is>
      </c>
      <c r="M686" s="43" t="inlineStr">
        <is>
          <t>68-104576-02</t>
        </is>
      </c>
      <c r="N686" s="43" t="inlineStr"/>
      <c r="O686" s="43" t="inlineStr">
        <is>
          <t>2025-08-04</t>
        </is>
      </c>
      <c r="P686" s="33" t="inlineStr">
        <is>
          <t>For temporary Manufacturing process change</t>
        </is>
      </c>
      <c r="Q686" s="43" t="inlineStr">
        <is>
          <t>None</t>
        </is>
      </c>
      <c r="R686" s="43" t="inlineStr">
        <is>
          <t>2025-06-06</t>
        </is>
      </c>
      <c r="S686" s="43" t="inlineStr">
        <is>
          <t>2025-06-26</t>
        </is>
      </c>
      <c r="T686" s="43" t="inlineStr"/>
      <c r="U686" s="43" t="inlineStr"/>
    </row>
    <row r="687">
      <c r="A687" s="43" t="n">
        <v>687</v>
      </c>
      <c r="B687" s="43" t="inlineStr">
        <is>
          <t>686</t>
        </is>
      </c>
      <c r="C687" s="43" t="inlineStr">
        <is>
          <t>FJZP</t>
        </is>
      </c>
      <c r="D687" s="43" t="inlineStr">
        <is>
          <t>Cisco</t>
        </is>
      </c>
      <c r="E687" s="43" t="inlineStr">
        <is>
          <t>MCGA</t>
        </is>
      </c>
      <c r="F687" s="43" t="inlineStr">
        <is>
          <t>037-STBU</t>
        </is>
      </c>
      <c r="G687" s="43" t="inlineStr">
        <is>
          <t>CTANJZ04652</t>
        </is>
      </c>
      <c r="H687" s="43" t="inlineStr">
        <is>
          <t>For temporary Manufacturing process change</t>
        </is>
      </c>
      <c r="I687" s="43" t="inlineStr">
        <is>
          <t>Customer Deviation</t>
        </is>
      </c>
      <c r="J687" s="43" t="inlineStr">
        <is>
          <t>DP524450</t>
        </is>
      </c>
      <c r="K687" s="33" t="inlineStr">
        <is>
          <t>DP524450 Please see PageThree for details</t>
        </is>
      </c>
      <c r="L687" s="43" t="inlineStr">
        <is>
          <t>Expired</t>
        </is>
      </c>
      <c r="M687" s="43" t="inlineStr">
        <is>
          <t>68-104621-02</t>
        </is>
      </c>
      <c r="N687" s="43" t="inlineStr"/>
      <c r="O687" s="43" t="inlineStr">
        <is>
          <t>2025-08-04</t>
        </is>
      </c>
      <c r="P687" s="33" t="inlineStr">
        <is>
          <t>For temporary Manufacturing process change</t>
        </is>
      </c>
      <c r="Q687" s="43" t="inlineStr">
        <is>
          <t>None</t>
        </is>
      </c>
      <c r="R687" s="43" t="inlineStr">
        <is>
          <t>2025-06-06</t>
        </is>
      </c>
      <c r="S687" s="43" t="inlineStr">
        <is>
          <t>2025-06-26</t>
        </is>
      </c>
      <c r="T687" s="43" t="inlineStr"/>
      <c r="U687" s="43" t="inlineStr"/>
    </row>
    <row r="688">
      <c r="A688" s="43" t="n">
        <v>688</v>
      </c>
      <c r="B688" s="43" t="inlineStr">
        <is>
          <t>687</t>
        </is>
      </c>
      <c r="C688" s="43" t="inlineStr">
        <is>
          <t>FJZP</t>
        </is>
      </c>
      <c r="D688" s="43" t="inlineStr">
        <is>
          <t>Cisco</t>
        </is>
      </c>
      <c r="E688" s="43" t="inlineStr">
        <is>
          <t>MCGA</t>
        </is>
      </c>
      <c r="F688" s="43" t="inlineStr">
        <is>
          <t>037-STBU</t>
        </is>
      </c>
      <c r="G688" s="43" t="inlineStr">
        <is>
          <t>CTANJZ04652</t>
        </is>
      </c>
      <c r="H688" s="43" t="inlineStr">
        <is>
          <t>For temporary Manufacturing process change</t>
        </is>
      </c>
      <c r="I688" s="43" t="inlineStr">
        <is>
          <t>Customer Deviation</t>
        </is>
      </c>
      <c r="J688" s="43" t="inlineStr">
        <is>
          <t>DP524450</t>
        </is>
      </c>
      <c r="K688" s="33" t="inlineStr">
        <is>
          <t>DP524450 Please see PageThree for details</t>
        </is>
      </c>
      <c r="L688" s="43" t="inlineStr">
        <is>
          <t>Expired</t>
        </is>
      </c>
      <c r="M688" s="43" t="inlineStr">
        <is>
          <t>800-112583-02</t>
        </is>
      </c>
      <c r="N688" s="43" t="inlineStr"/>
      <c r="O688" s="43" t="inlineStr">
        <is>
          <t>2025-08-04</t>
        </is>
      </c>
      <c r="P688" s="33" t="inlineStr">
        <is>
          <t>For temporary Manufacturing process change</t>
        </is>
      </c>
      <c r="Q688" s="43" t="inlineStr">
        <is>
          <t>None</t>
        </is>
      </c>
      <c r="R688" s="43" t="inlineStr">
        <is>
          <t>2025-06-06</t>
        </is>
      </c>
      <c r="S688" s="43" t="inlineStr">
        <is>
          <t>2025-06-26</t>
        </is>
      </c>
      <c r="T688" s="43" t="inlineStr"/>
      <c r="U688" s="43" t="inlineStr"/>
    </row>
    <row r="689">
      <c r="A689" s="43" t="n">
        <v>689</v>
      </c>
      <c r="B689" s="43" t="inlineStr">
        <is>
          <t>688</t>
        </is>
      </c>
      <c r="C689" s="43" t="inlineStr">
        <is>
          <t>FJZP</t>
        </is>
      </c>
      <c r="D689" s="43" t="inlineStr">
        <is>
          <t>Cisco</t>
        </is>
      </c>
      <c r="E689" s="43" t="inlineStr">
        <is>
          <t>MCGA</t>
        </is>
      </c>
      <c r="F689" s="43" t="inlineStr">
        <is>
          <t>037-STBU</t>
        </is>
      </c>
      <c r="G689" s="43" t="inlineStr">
        <is>
          <t>CTANJZ04652</t>
        </is>
      </c>
      <c r="H689" s="43" t="inlineStr">
        <is>
          <t>For temporary Manufacturing process change</t>
        </is>
      </c>
      <c r="I689" s="43" t="inlineStr">
        <is>
          <t>Customer Deviation</t>
        </is>
      </c>
      <c r="J689" s="43" t="inlineStr">
        <is>
          <t>DP524450</t>
        </is>
      </c>
      <c r="K689" s="33" t="inlineStr">
        <is>
          <t>DP524450 Please see PageThree for details</t>
        </is>
      </c>
      <c r="L689" s="43" t="inlineStr">
        <is>
          <t>Expired</t>
        </is>
      </c>
      <c r="M689" s="43" t="inlineStr">
        <is>
          <t>800-112720-02</t>
        </is>
      </c>
      <c r="N689" s="43" t="inlineStr"/>
      <c r="O689" s="43" t="inlineStr">
        <is>
          <t>2025-08-04</t>
        </is>
      </c>
      <c r="P689" s="33" t="inlineStr">
        <is>
          <t>For temporary Manufacturing process change</t>
        </is>
      </c>
      <c r="Q689" s="43" t="inlineStr">
        <is>
          <t>None</t>
        </is>
      </c>
      <c r="R689" s="43" t="inlineStr">
        <is>
          <t>2025-06-06</t>
        </is>
      </c>
      <c r="S689" s="43" t="inlineStr">
        <is>
          <t>2025-06-26</t>
        </is>
      </c>
      <c r="T689" s="43" t="inlineStr"/>
      <c r="U689" s="43" t="inlineStr"/>
    </row>
    <row r="690">
      <c r="A690" s="43" t="n">
        <v>690</v>
      </c>
      <c r="B690" s="43" t="inlineStr">
        <is>
          <t>689</t>
        </is>
      </c>
      <c r="C690" s="43" t="inlineStr">
        <is>
          <t>FJZP</t>
        </is>
      </c>
      <c r="D690" s="43" t="inlineStr">
        <is>
          <t>Cisco</t>
        </is>
      </c>
      <c r="E690" s="43" t="inlineStr">
        <is>
          <t>MCGA</t>
        </is>
      </c>
      <c r="F690" s="43" t="inlineStr">
        <is>
          <t>037-STBU</t>
        </is>
      </c>
      <c r="G690" s="43" t="inlineStr">
        <is>
          <t>CTANJZ04651</t>
        </is>
      </c>
      <c r="H690" s="43" t="inlineStr">
        <is>
          <t>For temporary Manufacturing process change</t>
        </is>
      </c>
      <c r="I690" s="43" t="inlineStr">
        <is>
          <t>Customer Deviation</t>
        </is>
      </c>
      <c r="J690" s="43" t="inlineStr">
        <is>
          <t>DP524724</t>
        </is>
      </c>
      <c r="K690" s="33" t="inlineStr">
        <is>
          <t>DP524724 Please see PageThree for details</t>
        </is>
      </c>
      <c r="L690" s="43" t="inlineStr">
        <is>
          <t>Expired</t>
        </is>
      </c>
      <c r="M690" s="43" t="inlineStr">
        <is>
          <t>68-104574-03</t>
        </is>
      </c>
      <c r="N690" s="43" t="inlineStr"/>
      <c r="O690" s="43" t="inlineStr">
        <is>
          <t>2025-08-04</t>
        </is>
      </c>
      <c r="P690" s="33" t="inlineStr">
        <is>
          <t>For temporary Manufacturing process change</t>
        </is>
      </c>
      <c r="Q690" s="43" t="inlineStr">
        <is>
          <t>None</t>
        </is>
      </c>
      <c r="R690" s="43" t="inlineStr">
        <is>
          <t>2025-06-06</t>
        </is>
      </c>
      <c r="S690" s="43" t="inlineStr">
        <is>
          <t>2025-06-26</t>
        </is>
      </c>
      <c r="T690" s="43" t="inlineStr"/>
      <c r="U690" s="43" t="inlineStr"/>
    </row>
    <row r="691">
      <c r="A691" s="43" t="n">
        <v>691</v>
      </c>
      <c r="B691" s="43" t="inlineStr">
        <is>
          <t>690</t>
        </is>
      </c>
      <c r="C691" s="43" t="inlineStr">
        <is>
          <t>FJZP</t>
        </is>
      </c>
      <c r="D691" s="43" t="inlineStr">
        <is>
          <t>Cisco</t>
        </is>
      </c>
      <c r="E691" s="43" t="inlineStr">
        <is>
          <t>MCGA</t>
        </is>
      </c>
      <c r="F691" s="43" t="inlineStr">
        <is>
          <t>037-STBU</t>
        </is>
      </c>
      <c r="G691" s="43" t="inlineStr">
        <is>
          <t>CTANJZ04651</t>
        </is>
      </c>
      <c r="H691" s="43" t="inlineStr">
        <is>
          <t>For temporary Manufacturing process change</t>
        </is>
      </c>
      <c r="I691" s="43" t="inlineStr">
        <is>
          <t>Customer Deviation</t>
        </is>
      </c>
      <c r="J691" s="43" t="inlineStr">
        <is>
          <t>DP524724</t>
        </is>
      </c>
      <c r="K691" s="33" t="inlineStr">
        <is>
          <t>DP524724 Please see PageThree for details</t>
        </is>
      </c>
      <c r="L691" s="43" t="inlineStr">
        <is>
          <t>Expired</t>
        </is>
      </c>
      <c r="M691" s="43" t="inlineStr">
        <is>
          <t>68-104576-03</t>
        </is>
      </c>
      <c r="N691" s="43" t="inlineStr"/>
      <c r="O691" s="43" t="inlineStr">
        <is>
          <t>2025-08-04</t>
        </is>
      </c>
      <c r="P691" s="33" t="inlineStr">
        <is>
          <t>For temporary Manufacturing process change</t>
        </is>
      </c>
      <c r="Q691" s="43" t="inlineStr">
        <is>
          <t>None</t>
        </is>
      </c>
      <c r="R691" s="43" t="inlineStr">
        <is>
          <t>2025-06-06</t>
        </is>
      </c>
      <c r="S691" s="43" t="inlineStr">
        <is>
          <t>2025-06-26</t>
        </is>
      </c>
      <c r="T691" s="43" t="inlineStr"/>
      <c r="U691" s="43" t="inlineStr"/>
    </row>
    <row r="692">
      <c r="A692" s="43" t="n">
        <v>692</v>
      </c>
      <c r="B692" s="43" t="inlineStr">
        <is>
          <t>691</t>
        </is>
      </c>
      <c r="C692" s="43" t="inlineStr">
        <is>
          <t>FJZP</t>
        </is>
      </c>
      <c r="D692" s="43" t="inlineStr">
        <is>
          <t>Cisco</t>
        </is>
      </c>
      <c r="E692" s="43" t="inlineStr">
        <is>
          <t>MCGA</t>
        </is>
      </c>
      <c r="F692" s="43" t="inlineStr">
        <is>
          <t>037-STBU</t>
        </is>
      </c>
      <c r="G692" s="43" t="inlineStr">
        <is>
          <t>CTANJZ04651</t>
        </is>
      </c>
      <c r="H692" s="43" t="inlineStr">
        <is>
          <t>For temporary Manufacturing process change</t>
        </is>
      </c>
      <c r="I692" s="43" t="inlineStr">
        <is>
          <t>Customer Deviation</t>
        </is>
      </c>
      <c r="J692" s="43" t="inlineStr">
        <is>
          <t>DP524724</t>
        </is>
      </c>
      <c r="K692" s="33" t="inlineStr">
        <is>
          <t>DP524724 Please see PageThree for details</t>
        </is>
      </c>
      <c r="L692" s="43" t="inlineStr">
        <is>
          <t>Expired</t>
        </is>
      </c>
      <c r="M692" s="43" t="inlineStr">
        <is>
          <t>68-104621-03</t>
        </is>
      </c>
      <c r="N692" s="43" t="inlineStr"/>
      <c r="O692" s="43" t="inlineStr">
        <is>
          <t>2025-08-04</t>
        </is>
      </c>
      <c r="P692" s="33" t="inlineStr">
        <is>
          <t>For temporary Manufacturing process change</t>
        </is>
      </c>
      <c r="Q692" s="43" t="inlineStr">
        <is>
          <t>None</t>
        </is>
      </c>
      <c r="R692" s="43" t="inlineStr">
        <is>
          <t>2025-06-06</t>
        </is>
      </c>
      <c r="S692" s="43" t="inlineStr">
        <is>
          <t>2025-06-26</t>
        </is>
      </c>
      <c r="T692" s="43" t="inlineStr"/>
      <c r="U692" s="43" t="inlineStr"/>
    </row>
    <row r="693">
      <c r="A693" s="43" t="n">
        <v>693</v>
      </c>
      <c r="B693" s="43" t="inlineStr">
        <is>
          <t>692</t>
        </is>
      </c>
      <c r="C693" s="43" t="inlineStr">
        <is>
          <t>FJZP</t>
        </is>
      </c>
      <c r="D693" s="43" t="inlineStr">
        <is>
          <t>Cisco</t>
        </is>
      </c>
      <c r="E693" s="43" t="inlineStr">
        <is>
          <t>MCGA</t>
        </is>
      </c>
      <c r="F693" s="43" t="inlineStr">
        <is>
          <t>037-STBU</t>
        </is>
      </c>
      <c r="G693" s="43" t="inlineStr">
        <is>
          <t>CTANJZ04651</t>
        </is>
      </c>
      <c r="H693" s="43" t="inlineStr">
        <is>
          <t>For temporary Manufacturing process change</t>
        </is>
      </c>
      <c r="I693" s="43" t="inlineStr">
        <is>
          <t>Customer Deviation</t>
        </is>
      </c>
      <c r="J693" s="43" t="inlineStr">
        <is>
          <t>DP524724</t>
        </is>
      </c>
      <c r="K693" s="33" t="inlineStr">
        <is>
          <t>DP524724 Please see PageThree for details</t>
        </is>
      </c>
      <c r="L693" s="43" t="inlineStr">
        <is>
          <t>Expired</t>
        </is>
      </c>
      <c r="M693" s="43" t="inlineStr">
        <is>
          <t>73-103557-03</t>
        </is>
      </c>
      <c r="N693" s="43" t="inlineStr"/>
      <c r="O693" s="43" t="inlineStr">
        <is>
          <t>2025-08-04</t>
        </is>
      </c>
      <c r="P693" s="33" t="inlineStr">
        <is>
          <t>For temporary Manufacturing process change</t>
        </is>
      </c>
      <c r="Q693" s="43" t="inlineStr">
        <is>
          <t>None</t>
        </is>
      </c>
      <c r="R693" s="43" t="inlineStr">
        <is>
          <t>2025-06-06</t>
        </is>
      </c>
      <c r="S693" s="43" t="inlineStr">
        <is>
          <t>2025-06-26</t>
        </is>
      </c>
      <c r="T693" s="43" t="inlineStr"/>
      <c r="U693" s="43" t="inlineStr"/>
    </row>
    <row r="694">
      <c r="A694" s="43" t="n">
        <v>694</v>
      </c>
      <c r="B694" s="43" t="inlineStr">
        <is>
          <t>693</t>
        </is>
      </c>
      <c r="C694" s="43" t="inlineStr">
        <is>
          <t>FJZP</t>
        </is>
      </c>
      <c r="D694" s="43" t="inlineStr">
        <is>
          <t>Cisco</t>
        </is>
      </c>
      <c r="E694" s="43" t="inlineStr">
        <is>
          <t>MCGA</t>
        </is>
      </c>
      <c r="F694" s="43" t="inlineStr">
        <is>
          <t>037-STBU</t>
        </is>
      </c>
      <c r="G694" s="43" t="inlineStr">
        <is>
          <t>CTANJZ04651</t>
        </is>
      </c>
      <c r="H694" s="43" t="inlineStr">
        <is>
          <t>For temporary Manufacturing process change</t>
        </is>
      </c>
      <c r="I694" s="43" t="inlineStr">
        <is>
          <t>Customer Deviation</t>
        </is>
      </c>
      <c r="J694" s="43" t="inlineStr">
        <is>
          <t>DP524724</t>
        </is>
      </c>
      <c r="K694" s="33" t="inlineStr">
        <is>
          <t>DP524724 Please see PageThree for details</t>
        </is>
      </c>
      <c r="L694" s="43" t="inlineStr">
        <is>
          <t>Expired</t>
        </is>
      </c>
      <c r="M694" s="43" t="inlineStr">
        <is>
          <t>73-103633-03</t>
        </is>
      </c>
      <c r="N694" s="43" t="inlineStr"/>
      <c r="O694" s="43" t="inlineStr">
        <is>
          <t>2025-08-04</t>
        </is>
      </c>
      <c r="P694" s="33" t="inlineStr">
        <is>
          <t>For temporary Manufacturing process change</t>
        </is>
      </c>
      <c r="Q694" s="43" t="inlineStr">
        <is>
          <t>None</t>
        </is>
      </c>
      <c r="R694" s="43" t="inlineStr">
        <is>
          <t>2025-06-06</t>
        </is>
      </c>
      <c r="S694" s="43" t="inlineStr">
        <is>
          <t>2025-06-26</t>
        </is>
      </c>
      <c r="T694" s="43" t="inlineStr"/>
      <c r="U694" s="43" t="inlineStr"/>
    </row>
    <row r="695">
      <c r="A695" s="43" t="n">
        <v>695</v>
      </c>
      <c r="B695" s="43" t="inlineStr">
        <is>
          <t>694</t>
        </is>
      </c>
      <c r="C695" s="43" t="inlineStr">
        <is>
          <t>FJZP</t>
        </is>
      </c>
      <c r="D695" s="43" t="inlineStr">
        <is>
          <t>Cisco</t>
        </is>
      </c>
      <c r="E695" s="43" t="inlineStr">
        <is>
          <t>MCGA</t>
        </is>
      </c>
      <c r="F695" s="43" t="inlineStr">
        <is>
          <t>037-STBU</t>
        </is>
      </c>
      <c r="G695" s="43" t="inlineStr">
        <is>
          <t>CTANJZ04568</t>
        </is>
      </c>
      <c r="H695" s="43" t="inlineStr">
        <is>
          <t>For temporary Manufacturing process change</t>
        </is>
      </c>
      <c r="I695" s="43" t="inlineStr">
        <is>
          <t>Customer Deviation</t>
        </is>
      </c>
      <c r="J695" s="43" t="inlineStr">
        <is>
          <t>D603037</t>
        </is>
      </c>
      <c r="K695" s="33" t="inlineStr">
        <is>
          <t>D603037 Allow FJZ to test material on hand with old revision and paste expired period</t>
        </is>
      </c>
      <c r="L695" s="43" t="inlineStr">
        <is>
          <t>Expired</t>
        </is>
      </c>
      <c r="M695" s="43" t="inlineStr">
        <is>
          <t>68-100283-05</t>
        </is>
      </c>
      <c r="N695" s="43" t="inlineStr"/>
      <c r="O695" s="43" t="inlineStr">
        <is>
          <t>2025-07-15</t>
        </is>
      </c>
      <c r="P695" s="33" t="inlineStr">
        <is>
          <t>For temporary Manufacturing process change</t>
        </is>
      </c>
      <c r="Q695" s="43" t="inlineStr">
        <is>
          <t>Add the DV number to chassis</t>
        </is>
      </c>
      <c r="R695" s="43" t="inlineStr">
        <is>
          <t>2025-04-17</t>
        </is>
      </c>
      <c r="S695" s="43" t="inlineStr">
        <is>
          <t>2025-05-02</t>
        </is>
      </c>
      <c r="T695" s="43" t="inlineStr"/>
      <c r="U695" s="43" t="inlineStr"/>
    </row>
    <row r="696">
      <c r="A696" s="43" t="n">
        <v>696</v>
      </c>
      <c r="B696" s="43" t="inlineStr">
        <is>
          <t>695</t>
        </is>
      </c>
      <c r="C696" s="43" t="inlineStr">
        <is>
          <t>FJZP</t>
        </is>
      </c>
      <c r="D696" s="43" t="inlineStr">
        <is>
          <t>Cisco</t>
        </is>
      </c>
      <c r="E696" s="43" t="inlineStr">
        <is>
          <t>MCGA</t>
        </is>
      </c>
      <c r="F696" s="43" t="inlineStr">
        <is>
          <t>037-STBU</t>
        </is>
      </c>
      <c r="G696" s="43" t="inlineStr">
        <is>
          <t>CTANJZ04568</t>
        </is>
      </c>
      <c r="H696" s="43" t="inlineStr">
        <is>
          <t>For temporary Manufacturing process change</t>
        </is>
      </c>
      <c r="I696" s="43" t="inlineStr">
        <is>
          <t>Customer Deviation</t>
        </is>
      </c>
      <c r="J696" s="43" t="inlineStr">
        <is>
          <t>D603037</t>
        </is>
      </c>
      <c r="K696" s="33" t="inlineStr">
        <is>
          <t>D603037 Allow FJZ to test material on hand with old revision and paste expired period</t>
        </is>
      </c>
      <c r="L696" s="43" t="inlineStr">
        <is>
          <t>Expired</t>
        </is>
      </c>
      <c r="M696" s="43" t="inlineStr">
        <is>
          <t>68-100284-05</t>
        </is>
      </c>
      <c r="N696" s="43" t="inlineStr"/>
      <c r="O696" s="43" t="inlineStr">
        <is>
          <t>2025-07-15</t>
        </is>
      </c>
      <c r="P696" s="33" t="inlineStr">
        <is>
          <t>For temporary Manufacturing process change</t>
        </is>
      </c>
      <c r="Q696" s="43" t="inlineStr">
        <is>
          <t>Add the DV number to chassis</t>
        </is>
      </c>
      <c r="R696" s="43" t="inlineStr">
        <is>
          <t>2025-04-17</t>
        </is>
      </c>
      <c r="S696" s="43" t="inlineStr">
        <is>
          <t>2025-05-02</t>
        </is>
      </c>
      <c r="T696" s="43" t="inlineStr"/>
      <c r="U696" s="43" t="inlineStr"/>
    </row>
    <row r="697">
      <c r="A697" s="43" t="n">
        <v>697</v>
      </c>
      <c r="B697" s="43" t="inlineStr">
        <is>
          <t>696</t>
        </is>
      </c>
      <c r="C697" s="43" t="inlineStr">
        <is>
          <t>FJZP</t>
        </is>
      </c>
      <c r="D697" s="43" t="inlineStr">
        <is>
          <t>Cisco</t>
        </is>
      </c>
      <c r="E697" s="43" t="inlineStr">
        <is>
          <t>MCGA</t>
        </is>
      </c>
      <c r="F697" s="43" t="inlineStr">
        <is>
          <t>037-STBU</t>
        </is>
      </c>
      <c r="G697" s="43" t="inlineStr">
        <is>
          <t>CTANJZ04568</t>
        </is>
      </c>
      <c r="H697" s="43" t="inlineStr">
        <is>
          <t>For temporary Manufacturing process change</t>
        </is>
      </c>
      <c r="I697" s="43" t="inlineStr">
        <is>
          <t>Customer Deviation</t>
        </is>
      </c>
      <c r="J697" s="43" t="inlineStr">
        <is>
          <t>D603037</t>
        </is>
      </c>
      <c r="K697" s="33" t="inlineStr">
        <is>
          <t>D603037 Allow FJZ to test material on hand with old revision and paste expired period</t>
        </is>
      </c>
      <c r="L697" s="43" t="inlineStr">
        <is>
          <t>Expired</t>
        </is>
      </c>
      <c r="M697" s="43" t="inlineStr">
        <is>
          <t>68-100699-02</t>
        </is>
      </c>
      <c r="N697" s="43" t="inlineStr"/>
      <c r="O697" s="43" t="inlineStr">
        <is>
          <t>2025-07-15</t>
        </is>
      </c>
      <c r="P697" s="33" t="inlineStr">
        <is>
          <t>For temporary Manufacturing process change</t>
        </is>
      </c>
      <c r="Q697" s="43" t="inlineStr">
        <is>
          <t>Add the DV number to chassis</t>
        </is>
      </c>
      <c r="R697" s="43" t="inlineStr">
        <is>
          <t>2025-04-17</t>
        </is>
      </c>
      <c r="S697" s="43" t="inlineStr">
        <is>
          <t>2025-05-02</t>
        </is>
      </c>
      <c r="T697" s="43" t="inlineStr"/>
      <c r="U697" s="43" t="inlineStr"/>
    </row>
    <row r="698">
      <c r="A698" s="43" t="n">
        <v>698</v>
      </c>
      <c r="B698" s="43" t="inlineStr">
        <is>
          <t>697</t>
        </is>
      </c>
      <c r="C698" s="43" t="inlineStr">
        <is>
          <t>FJZP</t>
        </is>
      </c>
      <c r="D698" s="43" t="inlineStr">
        <is>
          <t>Cisco</t>
        </is>
      </c>
      <c r="E698" s="43" t="inlineStr">
        <is>
          <t>MCGA</t>
        </is>
      </c>
      <c r="F698" s="43" t="inlineStr">
        <is>
          <t>037-STBU</t>
        </is>
      </c>
      <c r="G698" s="43" t="inlineStr">
        <is>
          <t>CTANJZ04568</t>
        </is>
      </c>
      <c r="H698" s="43" t="inlineStr">
        <is>
          <t>For temporary Manufacturing process change</t>
        </is>
      </c>
      <c r="I698" s="43" t="inlineStr">
        <is>
          <t>Customer Deviation</t>
        </is>
      </c>
      <c r="J698" s="43" t="inlineStr">
        <is>
          <t>D603037</t>
        </is>
      </c>
      <c r="K698" s="33" t="inlineStr">
        <is>
          <t>D603037 Allow FJZ to test material on hand with old revision and paste expired period</t>
        </is>
      </c>
      <c r="L698" s="43" t="inlineStr">
        <is>
          <t>Expired</t>
        </is>
      </c>
      <c r="M698" s="43" t="inlineStr">
        <is>
          <t>68-100700-02</t>
        </is>
      </c>
      <c r="N698" s="43" t="inlineStr"/>
      <c r="O698" s="43" t="inlineStr">
        <is>
          <t>2025-07-15</t>
        </is>
      </c>
      <c r="P698" s="33" t="inlineStr">
        <is>
          <t>For temporary Manufacturing process change</t>
        </is>
      </c>
      <c r="Q698" s="43" t="inlineStr">
        <is>
          <t>Add the DV number to chassis</t>
        </is>
      </c>
      <c r="R698" s="43" t="inlineStr">
        <is>
          <t>2025-04-17</t>
        </is>
      </c>
      <c r="S698" s="43" t="inlineStr">
        <is>
          <t>2025-05-02</t>
        </is>
      </c>
      <c r="T698" s="43" t="inlineStr"/>
      <c r="U698" s="43" t="inlineStr"/>
    </row>
    <row r="699">
      <c r="A699" s="43" t="n">
        <v>699</v>
      </c>
      <c r="B699" s="43" t="inlineStr">
        <is>
          <t>698</t>
        </is>
      </c>
      <c r="C699" s="43" t="inlineStr">
        <is>
          <t>FJZP</t>
        </is>
      </c>
      <c r="D699" s="43" t="inlineStr">
        <is>
          <t>Cisco</t>
        </is>
      </c>
      <c r="E699" s="43" t="inlineStr">
        <is>
          <t>MCGA</t>
        </is>
      </c>
      <c r="F699" s="43" t="inlineStr">
        <is>
          <t>037-STBU</t>
        </is>
      </c>
      <c r="G699" s="43" t="inlineStr">
        <is>
          <t>CTANJZ04568</t>
        </is>
      </c>
      <c r="H699" s="43" t="inlineStr">
        <is>
          <t>For temporary Manufacturing process change</t>
        </is>
      </c>
      <c r="I699" s="43" t="inlineStr">
        <is>
          <t>Customer Deviation</t>
        </is>
      </c>
      <c r="J699" s="43" t="inlineStr">
        <is>
          <t>D603037</t>
        </is>
      </c>
      <c r="K699" s="33" t="inlineStr">
        <is>
          <t>D603037 Allow FJZ to test material on hand with old revision and paste expired period</t>
        </is>
      </c>
      <c r="L699" s="43" t="inlineStr">
        <is>
          <t>Expired</t>
        </is>
      </c>
      <c r="M699" s="43" t="inlineStr">
        <is>
          <t>68-100702-01</t>
        </is>
      </c>
      <c r="N699" s="43" t="inlineStr"/>
      <c r="O699" s="43" t="inlineStr">
        <is>
          <t>2025-07-15</t>
        </is>
      </c>
      <c r="P699" s="33" t="inlineStr">
        <is>
          <t>For temporary Manufacturing process change</t>
        </is>
      </c>
      <c r="Q699" s="43" t="inlineStr">
        <is>
          <t>Add the DV number to chassis</t>
        </is>
      </c>
      <c r="R699" s="43" t="inlineStr">
        <is>
          <t>2025-04-17</t>
        </is>
      </c>
      <c r="S699" s="43" t="inlineStr">
        <is>
          <t>2025-05-02</t>
        </is>
      </c>
      <c r="T699" s="43" t="inlineStr"/>
      <c r="U699" s="43" t="inlineStr"/>
    </row>
    <row r="700">
      <c r="A700" s="43" t="n">
        <v>700</v>
      </c>
      <c r="B700" s="43" t="inlineStr">
        <is>
          <t>699</t>
        </is>
      </c>
      <c r="C700" s="43" t="inlineStr">
        <is>
          <t>FJZP</t>
        </is>
      </c>
      <c r="D700" s="43" t="inlineStr">
        <is>
          <t>Cisco</t>
        </is>
      </c>
      <c r="E700" s="43" t="inlineStr">
        <is>
          <t>MCGA</t>
        </is>
      </c>
      <c r="F700" s="43" t="inlineStr">
        <is>
          <t>037-STBU</t>
        </is>
      </c>
      <c r="G700" s="43" t="inlineStr">
        <is>
          <t>CTANJZ04568</t>
        </is>
      </c>
      <c r="H700" s="43" t="inlineStr">
        <is>
          <t>For temporary Manufacturing process change</t>
        </is>
      </c>
      <c r="I700" s="43" t="inlineStr">
        <is>
          <t>Customer Deviation</t>
        </is>
      </c>
      <c r="J700" s="43" t="inlineStr">
        <is>
          <t>D603037</t>
        </is>
      </c>
      <c r="K700" s="33" t="inlineStr">
        <is>
          <t>D603037 Allow FJZ to test material on hand with old revision and paste expired period</t>
        </is>
      </c>
      <c r="L700" s="43" t="inlineStr">
        <is>
          <t>Expired</t>
        </is>
      </c>
      <c r="M700" s="43" t="inlineStr">
        <is>
          <t>68-101218-02</t>
        </is>
      </c>
      <c r="N700" s="43" t="inlineStr"/>
      <c r="O700" s="43" t="inlineStr">
        <is>
          <t>2025-07-15</t>
        </is>
      </c>
      <c r="P700" s="33" t="inlineStr">
        <is>
          <t>For temporary Manufacturing process change</t>
        </is>
      </c>
      <c r="Q700" s="43" t="inlineStr">
        <is>
          <t>Add the DV number to chassis</t>
        </is>
      </c>
      <c r="R700" s="43" t="inlineStr">
        <is>
          <t>2025-04-17</t>
        </is>
      </c>
      <c r="S700" s="43" t="inlineStr">
        <is>
          <t>2025-05-02</t>
        </is>
      </c>
      <c r="T700" s="43" t="inlineStr"/>
      <c r="U700" s="43" t="inlineStr"/>
    </row>
    <row r="701">
      <c r="A701" s="43" t="n">
        <v>701</v>
      </c>
      <c r="B701" s="43" t="inlineStr">
        <is>
          <t>700</t>
        </is>
      </c>
      <c r="C701" s="43" t="inlineStr">
        <is>
          <t>FJZP</t>
        </is>
      </c>
      <c r="D701" s="43" t="inlineStr">
        <is>
          <t>Cisco</t>
        </is>
      </c>
      <c r="E701" s="43" t="inlineStr">
        <is>
          <t>MCGA</t>
        </is>
      </c>
      <c r="F701" s="43" t="inlineStr">
        <is>
          <t>037-STBU</t>
        </is>
      </c>
      <c r="G701" s="43" t="inlineStr">
        <is>
          <t>CTANJZ04568</t>
        </is>
      </c>
      <c r="H701" s="43" t="inlineStr">
        <is>
          <t>For temporary Manufacturing process change</t>
        </is>
      </c>
      <c r="I701" s="43" t="inlineStr">
        <is>
          <t>Customer Deviation</t>
        </is>
      </c>
      <c r="J701" s="43" t="inlineStr">
        <is>
          <t>D603037</t>
        </is>
      </c>
      <c r="K701" s="33" t="inlineStr">
        <is>
          <t>D603037 Allow FJZ to test material on hand with old revision and paste expired period</t>
        </is>
      </c>
      <c r="L701" s="43" t="inlineStr">
        <is>
          <t>Expired</t>
        </is>
      </c>
      <c r="M701" s="43" t="inlineStr">
        <is>
          <t>68-5876-03</t>
        </is>
      </c>
      <c r="N701" s="43" t="inlineStr"/>
      <c r="O701" s="43" t="inlineStr">
        <is>
          <t>2025-07-15</t>
        </is>
      </c>
      <c r="P701" s="33" t="inlineStr">
        <is>
          <t>For temporary Manufacturing process change</t>
        </is>
      </c>
      <c r="Q701" s="43" t="inlineStr">
        <is>
          <t>Add the DV number to chassis</t>
        </is>
      </c>
      <c r="R701" s="43" t="inlineStr">
        <is>
          <t>2025-04-17</t>
        </is>
      </c>
      <c r="S701" s="43" t="inlineStr">
        <is>
          <t>2025-05-02</t>
        </is>
      </c>
      <c r="T701" s="43" t="inlineStr"/>
      <c r="U701" s="43" t="inlineStr"/>
    </row>
    <row r="702">
      <c r="A702" s="43" t="n">
        <v>702</v>
      </c>
      <c r="B702" s="43" t="inlineStr">
        <is>
          <t>701</t>
        </is>
      </c>
      <c r="C702" s="43" t="inlineStr">
        <is>
          <t>FJZP</t>
        </is>
      </c>
      <c r="D702" s="43" t="inlineStr">
        <is>
          <t>Cisco</t>
        </is>
      </c>
      <c r="E702" s="43" t="inlineStr">
        <is>
          <t>MCGA</t>
        </is>
      </c>
      <c r="F702" s="43" t="inlineStr">
        <is>
          <t>037-STBU</t>
        </is>
      </c>
      <c r="G702" s="43" t="inlineStr">
        <is>
          <t>CTANJZ04568</t>
        </is>
      </c>
      <c r="H702" s="43" t="inlineStr">
        <is>
          <t>For temporary Manufacturing process change</t>
        </is>
      </c>
      <c r="I702" s="43" t="inlineStr">
        <is>
          <t>Customer Deviation</t>
        </is>
      </c>
      <c r="J702" s="43" t="inlineStr">
        <is>
          <t>D603037</t>
        </is>
      </c>
      <c r="K702" s="33" t="inlineStr">
        <is>
          <t>D603037 Allow FJZ to test material on hand with old revision and paste expired period</t>
        </is>
      </c>
      <c r="L702" s="43" t="inlineStr">
        <is>
          <t>Expired</t>
        </is>
      </c>
      <c r="M702" s="43" t="inlineStr">
        <is>
          <t>68-6724-03</t>
        </is>
      </c>
      <c r="N702" s="43" t="inlineStr"/>
      <c r="O702" s="43" t="inlineStr">
        <is>
          <t>2025-07-15</t>
        </is>
      </c>
      <c r="P702" s="33" t="inlineStr">
        <is>
          <t>For temporary Manufacturing process change</t>
        </is>
      </c>
      <c r="Q702" s="43" t="inlineStr">
        <is>
          <t>Add the DV number to chassis</t>
        </is>
      </c>
      <c r="R702" s="43" t="inlineStr">
        <is>
          <t>2025-04-17</t>
        </is>
      </c>
      <c r="S702" s="43" t="inlineStr">
        <is>
          <t>2025-05-02</t>
        </is>
      </c>
      <c r="T702" s="43" t="inlineStr"/>
      <c r="U702" s="43" t="inlineStr"/>
    </row>
    <row r="703">
      <c r="A703" s="43" t="n">
        <v>703</v>
      </c>
      <c r="B703" s="43" t="inlineStr">
        <is>
          <t>702</t>
        </is>
      </c>
      <c r="C703" s="43" t="inlineStr">
        <is>
          <t>FJZP</t>
        </is>
      </c>
      <c r="D703" s="43" t="inlineStr">
        <is>
          <t>Cisco</t>
        </is>
      </c>
      <c r="E703" s="43" t="inlineStr">
        <is>
          <t>MCGA</t>
        </is>
      </c>
      <c r="F703" s="43" t="inlineStr">
        <is>
          <t>037-STBU</t>
        </is>
      </c>
      <c r="G703" s="43" t="inlineStr">
        <is>
          <t>CTANJZ04568</t>
        </is>
      </c>
      <c r="H703" s="43" t="inlineStr">
        <is>
          <t>For temporary Manufacturing process change</t>
        </is>
      </c>
      <c r="I703" s="43" t="inlineStr">
        <is>
          <t>Customer Deviation</t>
        </is>
      </c>
      <c r="J703" s="43" t="inlineStr">
        <is>
          <t>D603037</t>
        </is>
      </c>
      <c r="K703" s="33" t="inlineStr">
        <is>
          <t>D603037 Allow FJZ to test material on hand with old revision and paste expired period</t>
        </is>
      </c>
      <c r="L703" s="43" t="inlineStr">
        <is>
          <t>Expired</t>
        </is>
      </c>
      <c r="M703" s="43" t="inlineStr">
        <is>
          <t>69-100685-01</t>
        </is>
      </c>
      <c r="N703" s="43" t="inlineStr"/>
      <c r="O703" s="43" t="inlineStr">
        <is>
          <t>2025-07-15</t>
        </is>
      </c>
      <c r="P703" s="33" t="inlineStr">
        <is>
          <t>For temporary Manufacturing process change</t>
        </is>
      </c>
      <c r="Q703" s="43" t="inlineStr">
        <is>
          <t>Add the DV number to chassis</t>
        </is>
      </c>
      <c r="R703" s="43" t="inlineStr">
        <is>
          <t>2025-04-17</t>
        </is>
      </c>
      <c r="S703" s="43" t="inlineStr">
        <is>
          <t>2025-05-02</t>
        </is>
      </c>
      <c r="T703" s="43" t="inlineStr"/>
      <c r="U703" s="43" t="inlineStr"/>
    </row>
    <row r="704">
      <c r="A704" s="43" t="n">
        <v>704</v>
      </c>
      <c r="B704" s="43" t="inlineStr">
        <is>
          <t>703</t>
        </is>
      </c>
      <c r="C704" s="43" t="inlineStr">
        <is>
          <t>FJZP</t>
        </is>
      </c>
      <c r="D704" s="43" t="inlineStr">
        <is>
          <t>Cisco</t>
        </is>
      </c>
      <c r="E704" s="43" t="inlineStr">
        <is>
          <t>MCGA</t>
        </is>
      </c>
      <c r="F704" s="43" t="inlineStr">
        <is>
          <t>037-STBU</t>
        </is>
      </c>
      <c r="G704" s="43" t="inlineStr">
        <is>
          <t>CTANJZ04568</t>
        </is>
      </c>
      <c r="H704" s="43" t="inlineStr">
        <is>
          <t>For temporary Manufacturing process change</t>
        </is>
      </c>
      <c r="I704" s="43" t="inlineStr">
        <is>
          <t>Customer Deviation</t>
        </is>
      </c>
      <c r="J704" s="43" t="inlineStr">
        <is>
          <t>D603037</t>
        </is>
      </c>
      <c r="K704" s="33" t="inlineStr">
        <is>
          <t>D603037 Allow FJZ to test material on hand with old revision and paste expired period</t>
        </is>
      </c>
      <c r="L704" s="43" t="inlineStr">
        <is>
          <t>Expired</t>
        </is>
      </c>
      <c r="M704" s="43" t="inlineStr">
        <is>
          <t>800-103842-08</t>
        </is>
      </c>
      <c r="N704" s="43" t="inlineStr"/>
      <c r="O704" s="43" t="inlineStr">
        <is>
          <t>2025-07-15</t>
        </is>
      </c>
      <c r="P704" s="33" t="inlineStr">
        <is>
          <t>For temporary Manufacturing process change</t>
        </is>
      </c>
      <c r="Q704" s="43" t="inlineStr">
        <is>
          <t>Add the DV number to chassis</t>
        </is>
      </c>
      <c r="R704" s="43" t="inlineStr">
        <is>
          <t>2025-04-17</t>
        </is>
      </c>
      <c r="S704" s="43" t="inlineStr">
        <is>
          <t>2025-05-02</t>
        </is>
      </c>
      <c r="T704" s="43" t="inlineStr"/>
      <c r="U704" s="43" t="inlineStr"/>
    </row>
    <row r="705">
      <c r="A705" s="43" t="n">
        <v>705</v>
      </c>
      <c r="B705" s="43" t="inlineStr">
        <is>
          <t>704</t>
        </is>
      </c>
      <c r="C705" s="43" t="inlineStr">
        <is>
          <t>FJZP</t>
        </is>
      </c>
      <c r="D705" s="43" t="inlineStr">
        <is>
          <t>Cisco</t>
        </is>
      </c>
      <c r="E705" s="43" t="inlineStr">
        <is>
          <t>MCGA</t>
        </is>
      </c>
      <c r="F705" s="43" t="inlineStr">
        <is>
          <t>037-STBU</t>
        </is>
      </c>
      <c r="G705" s="43" t="inlineStr">
        <is>
          <t>CTANJZ04568</t>
        </is>
      </c>
      <c r="H705" s="43" t="inlineStr">
        <is>
          <t>For temporary Manufacturing process change</t>
        </is>
      </c>
      <c r="I705" s="43" t="inlineStr">
        <is>
          <t>Customer Deviation</t>
        </is>
      </c>
      <c r="J705" s="43" t="inlineStr">
        <is>
          <t>D603037</t>
        </is>
      </c>
      <c r="K705" s="33" t="inlineStr">
        <is>
          <t>D603037 Allow FJZ to test material on hand with old revision and paste expired period</t>
        </is>
      </c>
      <c r="L705" s="43" t="inlineStr">
        <is>
          <t>Expired</t>
        </is>
      </c>
      <c r="M705" s="43" t="inlineStr">
        <is>
          <t>800-103844-08</t>
        </is>
      </c>
      <c r="N705" s="43" t="inlineStr"/>
      <c r="O705" s="43" t="inlineStr">
        <is>
          <t>2025-07-15</t>
        </is>
      </c>
      <c r="P705" s="33" t="inlineStr">
        <is>
          <t>For temporary Manufacturing process change</t>
        </is>
      </c>
      <c r="Q705" s="43" t="inlineStr">
        <is>
          <t>Add the DV number to chassis</t>
        </is>
      </c>
      <c r="R705" s="43" t="inlineStr">
        <is>
          <t>2025-04-17</t>
        </is>
      </c>
      <c r="S705" s="43" t="inlineStr">
        <is>
          <t>2025-05-02</t>
        </is>
      </c>
      <c r="T705" s="43" t="inlineStr"/>
      <c r="U705" s="43" t="inlineStr"/>
    </row>
    <row r="706">
      <c r="A706" s="43" t="n">
        <v>706</v>
      </c>
      <c r="B706" s="43" t="inlineStr">
        <is>
          <t>705</t>
        </is>
      </c>
      <c r="C706" s="43" t="inlineStr">
        <is>
          <t>FJZP</t>
        </is>
      </c>
      <c r="D706" s="43" t="inlineStr">
        <is>
          <t>Cisco</t>
        </is>
      </c>
      <c r="E706" s="43" t="inlineStr">
        <is>
          <t>MCGA</t>
        </is>
      </c>
      <c r="F706" s="43" t="inlineStr">
        <is>
          <t>037-STBU</t>
        </is>
      </c>
      <c r="G706" s="43" t="inlineStr">
        <is>
          <t>CTANJZ04568</t>
        </is>
      </c>
      <c r="H706" s="43" t="inlineStr">
        <is>
          <t>For temporary Manufacturing process change</t>
        </is>
      </c>
      <c r="I706" s="43" t="inlineStr">
        <is>
          <t>Customer Deviation</t>
        </is>
      </c>
      <c r="J706" s="43" t="inlineStr">
        <is>
          <t>D603037</t>
        </is>
      </c>
      <c r="K706" s="33" t="inlineStr">
        <is>
          <t>D603037 Allow FJZ to test material on hand with old revision and paste expired period</t>
        </is>
      </c>
      <c r="L706" s="43" t="inlineStr">
        <is>
          <t>Expired</t>
        </is>
      </c>
      <c r="M706" s="43" t="inlineStr">
        <is>
          <t>800-103845-08</t>
        </is>
      </c>
      <c r="N706" s="43" t="inlineStr"/>
      <c r="O706" s="43" t="inlineStr">
        <is>
          <t>2025-07-15</t>
        </is>
      </c>
      <c r="P706" s="33" t="inlineStr">
        <is>
          <t>For temporary Manufacturing process change</t>
        </is>
      </c>
      <c r="Q706" s="43" t="inlineStr">
        <is>
          <t>Add the DV number to chassis</t>
        </is>
      </c>
      <c r="R706" s="43" t="inlineStr">
        <is>
          <t>2025-04-17</t>
        </is>
      </c>
      <c r="S706" s="43" t="inlineStr">
        <is>
          <t>2025-05-02</t>
        </is>
      </c>
      <c r="T706" s="43" t="inlineStr"/>
      <c r="U706" s="43" t="inlineStr"/>
    </row>
    <row r="707">
      <c r="A707" s="43" t="n">
        <v>707</v>
      </c>
      <c r="B707" s="43" t="inlineStr">
        <is>
          <t>706</t>
        </is>
      </c>
      <c r="C707" s="43" t="inlineStr">
        <is>
          <t>FJZP</t>
        </is>
      </c>
      <c r="D707" s="43" t="inlineStr">
        <is>
          <t>Cisco</t>
        </is>
      </c>
      <c r="E707" s="43" t="inlineStr">
        <is>
          <t>MCGA</t>
        </is>
      </c>
      <c r="F707" s="43" t="inlineStr">
        <is>
          <t>037-STBU</t>
        </is>
      </c>
      <c r="G707" s="43" t="inlineStr">
        <is>
          <t>CTANJZ04568</t>
        </is>
      </c>
      <c r="H707" s="43" t="inlineStr">
        <is>
          <t>For temporary Manufacturing process change</t>
        </is>
      </c>
      <c r="I707" s="43" t="inlineStr">
        <is>
          <t>Customer Deviation</t>
        </is>
      </c>
      <c r="J707" s="43" t="inlineStr">
        <is>
          <t>D603037</t>
        </is>
      </c>
      <c r="K707" s="33" t="inlineStr">
        <is>
          <t>D603037 Allow FJZ to test material on hand with old revision and paste expired period</t>
        </is>
      </c>
      <c r="L707" s="43" t="inlineStr">
        <is>
          <t>Expired</t>
        </is>
      </c>
      <c r="M707" s="43" t="inlineStr">
        <is>
          <t>800-104476-06</t>
        </is>
      </c>
      <c r="N707" s="43" t="inlineStr"/>
      <c r="O707" s="43" t="inlineStr">
        <is>
          <t>2025-07-15</t>
        </is>
      </c>
      <c r="P707" s="33" t="inlineStr">
        <is>
          <t>For temporary Manufacturing process change</t>
        </is>
      </c>
      <c r="Q707" s="43" t="inlineStr">
        <is>
          <t>Add the DV number to chassis</t>
        </is>
      </c>
      <c r="R707" s="43" t="inlineStr">
        <is>
          <t>2025-04-17</t>
        </is>
      </c>
      <c r="S707" s="43" t="inlineStr">
        <is>
          <t>2025-05-02</t>
        </is>
      </c>
      <c r="T707" s="43" t="inlineStr"/>
      <c r="U707" s="43" t="inlineStr"/>
    </row>
    <row r="708">
      <c r="A708" s="43" t="n">
        <v>708</v>
      </c>
      <c r="B708" s="43" t="inlineStr">
        <is>
          <t>707</t>
        </is>
      </c>
      <c r="C708" s="43" t="inlineStr">
        <is>
          <t>FJZP</t>
        </is>
      </c>
      <c r="D708" s="43" t="inlineStr">
        <is>
          <t>Cisco</t>
        </is>
      </c>
      <c r="E708" s="43" t="inlineStr">
        <is>
          <t>MCGA</t>
        </is>
      </c>
      <c r="F708" s="43" t="inlineStr">
        <is>
          <t>037-STBU</t>
        </is>
      </c>
      <c r="G708" s="43" t="inlineStr">
        <is>
          <t>CTANJZ04568</t>
        </is>
      </c>
      <c r="H708" s="43" t="inlineStr">
        <is>
          <t>For temporary Manufacturing process change</t>
        </is>
      </c>
      <c r="I708" s="43" t="inlineStr">
        <is>
          <t>Customer Deviation</t>
        </is>
      </c>
      <c r="J708" s="43" t="inlineStr">
        <is>
          <t>D603037</t>
        </is>
      </c>
      <c r="K708" s="33" t="inlineStr">
        <is>
          <t>D603037 Allow FJZ to test material on hand with old revision and paste expired period</t>
        </is>
      </c>
      <c r="L708" s="43" t="inlineStr">
        <is>
          <t>Expired</t>
        </is>
      </c>
      <c r="M708" s="43" t="inlineStr">
        <is>
          <t>800-104788-03</t>
        </is>
      </c>
      <c r="N708" s="43" t="inlineStr"/>
      <c r="O708" s="43" t="inlineStr">
        <is>
          <t>2025-07-15</t>
        </is>
      </c>
      <c r="P708" s="33" t="inlineStr">
        <is>
          <t>For temporary Manufacturing process change</t>
        </is>
      </c>
      <c r="Q708" s="43" t="inlineStr">
        <is>
          <t>Add the DV number to chassis</t>
        </is>
      </c>
      <c r="R708" s="43" t="inlineStr">
        <is>
          <t>2025-04-17</t>
        </is>
      </c>
      <c r="S708" s="43" t="inlineStr">
        <is>
          <t>2025-05-02</t>
        </is>
      </c>
      <c r="T708" s="43" t="inlineStr"/>
      <c r="U708" s="43" t="inlineStr"/>
    </row>
    <row r="709">
      <c r="A709" s="43" t="n">
        <v>709</v>
      </c>
      <c r="B709" s="43" t="inlineStr">
        <is>
          <t>708</t>
        </is>
      </c>
      <c r="C709" s="43" t="inlineStr">
        <is>
          <t>FJZP</t>
        </is>
      </c>
      <c r="D709" s="43" t="inlineStr">
        <is>
          <t>Cisco</t>
        </is>
      </c>
      <c r="E709" s="43" t="inlineStr">
        <is>
          <t>MCGA</t>
        </is>
      </c>
      <c r="F709" s="43" t="inlineStr">
        <is>
          <t>037-STBU</t>
        </is>
      </c>
      <c r="G709" s="43" t="inlineStr">
        <is>
          <t>CTANJZ04568</t>
        </is>
      </c>
      <c r="H709" s="43" t="inlineStr">
        <is>
          <t>For temporary Manufacturing process change</t>
        </is>
      </c>
      <c r="I709" s="43" t="inlineStr">
        <is>
          <t>Customer Deviation</t>
        </is>
      </c>
      <c r="J709" s="43" t="inlineStr">
        <is>
          <t>D603037</t>
        </is>
      </c>
      <c r="K709" s="33" t="inlineStr">
        <is>
          <t>D603037 Allow FJZ to test material on hand with old revision and paste expired period</t>
        </is>
      </c>
      <c r="L709" s="43" t="inlineStr">
        <is>
          <t>Expired</t>
        </is>
      </c>
      <c r="M709" s="43" t="inlineStr">
        <is>
          <t>800-104789-03</t>
        </is>
      </c>
      <c r="N709" s="43" t="inlineStr"/>
      <c r="O709" s="43" t="inlineStr">
        <is>
          <t>2025-07-15</t>
        </is>
      </c>
      <c r="P709" s="33" t="inlineStr">
        <is>
          <t>For temporary Manufacturing process change</t>
        </is>
      </c>
      <c r="Q709" s="43" t="inlineStr">
        <is>
          <t>Add the DV number to chassis</t>
        </is>
      </c>
      <c r="R709" s="43" t="inlineStr">
        <is>
          <t>2025-04-17</t>
        </is>
      </c>
      <c r="S709" s="43" t="inlineStr">
        <is>
          <t>2025-05-02</t>
        </is>
      </c>
      <c r="T709" s="43" t="inlineStr"/>
      <c r="U709" s="43" t="inlineStr"/>
    </row>
    <row r="710">
      <c r="A710" s="43" t="n">
        <v>710</v>
      </c>
      <c r="B710" s="43" t="inlineStr">
        <is>
          <t>709</t>
        </is>
      </c>
      <c r="C710" s="43" t="inlineStr">
        <is>
          <t>FJZP</t>
        </is>
      </c>
      <c r="D710" s="43" t="inlineStr">
        <is>
          <t>Cisco</t>
        </is>
      </c>
      <c r="E710" s="43" t="inlineStr">
        <is>
          <t>MCGA</t>
        </is>
      </c>
      <c r="F710" s="43" t="inlineStr">
        <is>
          <t>037-STBU</t>
        </is>
      </c>
      <c r="G710" s="43" t="inlineStr">
        <is>
          <t>CTANJZ04431</t>
        </is>
      </c>
      <c r="H710" s="43" t="inlineStr">
        <is>
          <t>For temporary Manufacturing process change</t>
        </is>
      </c>
      <c r="I710" s="43" t="inlineStr">
        <is>
          <t>Customer Deviation</t>
        </is>
      </c>
      <c r="J710" s="43" t="inlineStr">
        <is>
          <t>D601949</t>
        </is>
      </c>
      <c r="K710" s="33" t="inlineStr">
        <is>
          <t>D601949 Allow FJZ to use material that change qual status to Cancel for the MCO113085:17-102102-0217-102040-0517-16001-05</t>
        </is>
      </c>
      <c r="L710" s="43" t="inlineStr">
        <is>
          <t>Expired</t>
        </is>
      </c>
      <c r="M710" s="43" t="inlineStr">
        <is>
          <t>17-102040-05</t>
        </is>
      </c>
      <c r="N710" s="43" t="inlineStr"/>
      <c r="O710" s="43" t="inlineStr">
        <is>
          <t>2025-05-06</t>
        </is>
      </c>
      <c r="P710" s="33" t="inlineStr">
        <is>
          <t>For temporary Manufacturing process change</t>
        </is>
      </c>
      <c r="Q710" s="43" t="inlineStr">
        <is>
          <t>Stick a deviation label in the board</t>
        </is>
      </c>
      <c r="R710" s="43" t="inlineStr">
        <is>
          <t>2025-02-06</t>
        </is>
      </c>
      <c r="S710" s="43" t="inlineStr">
        <is>
          <t>2025-02-25</t>
        </is>
      </c>
      <c r="T710" s="43" t="inlineStr"/>
      <c r="U710" s="43" t="inlineStr"/>
    </row>
    <row r="711">
      <c r="A711" s="43" t="n">
        <v>711</v>
      </c>
      <c r="B711" s="43" t="inlineStr">
        <is>
          <t>710</t>
        </is>
      </c>
      <c r="C711" s="43" t="inlineStr">
        <is>
          <t>FJZP</t>
        </is>
      </c>
      <c r="D711" s="43" t="inlineStr">
        <is>
          <t>Cisco</t>
        </is>
      </c>
      <c r="E711" s="43" t="inlineStr">
        <is>
          <t>MCGA</t>
        </is>
      </c>
      <c r="F711" s="43" t="inlineStr">
        <is>
          <t>037-STBU</t>
        </is>
      </c>
      <c r="G711" s="43" t="inlineStr">
        <is>
          <t>CTANJZ04431</t>
        </is>
      </c>
      <c r="H711" s="43" t="inlineStr">
        <is>
          <t>For temporary Manufacturing process change</t>
        </is>
      </c>
      <c r="I711" s="43" t="inlineStr">
        <is>
          <t>Customer Deviation</t>
        </is>
      </c>
      <c r="J711" s="43" t="inlineStr">
        <is>
          <t>D601949</t>
        </is>
      </c>
      <c r="K711" s="33" t="inlineStr">
        <is>
          <t>D601949 Allow FJZ to use material that change qual status to Cancel for the MCO113085:17-102102-0217-102040-0517-16001-05</t>
        </is>
      </c>
      <c r="L711" s="43" t="inlineStr">
        <is>
          <t>Expired</t>
        </is>
      </c>
      <c r="M711" s="43" t="inlineStr">
        <is>
          <t>17-102102-02</t>
        </is>
      </c>
      <c r="N711" s="43" t="inlineStr"/>
      <c r="O711" s="43" t="inlineStr">
        <is>
          <t>2025-05-06</t>
        </is>
      </c>
      <c r="P711" s="33" t="inlineStr">
        <is>
          <t>For temporary Manufacturing process change</t>
        </is>
      </c>
      <c r="Q711" s="43" t="inlineStr">
        <is>
          <t>Stick a deviation label in the board</t>
        </is>
      </c>
      <c r="R711" s="43" t="inlineStr">
        <is>
          <t>2025-02-06</t>
        </is>
      </c>
      <c r="S711" s="43" t="inlineStr">
        <is>
          <t>2025-02-25</t>
        </is>
      </c>
      <c r="T711" s="43" t="inlineStr"/>
      <c r="U711" s="43" t="inlineStr"/>
    </row>
    <row r="712">
      <c r="A712" s="43" t="n">
        <v>712</v>
      </c>
      <c r="B712" s="43" t="inlineStr">
        <is>
          <t>711</t>
        </is>
      </c>
      <c r="C712" s="43" t="inlineStr">
        <is>
          <t>FJZP</t>
        </is>
      </c>
      <c r="D712" s="43" t="inlineStr">
        <is>
          <t>Cisco</t>
        </is>
      </c>
      <c r="E712" s="43" t="inlineStr">
        <is>
          <t>MCGA</t>
        </is>
      </c>
      <c r="F712" s="43" t="inlineStr">
        <is>
          <t>037-STBU</t>
        </is>
      </c>
      <c r="G712" s="43" t="inlineStr">
        <is>
          <t>CTANJZ04431</t>
        </is>
      </c>
      <c r="H712" s="43" t="inlineStr">
        <is>
          <t>For temporary Manufacturing process change</t>
        </is>
      </c>
      <c r="I712" s="43" t="inlineStr">
        <is>
          <t>Customer Deviation</t>
        </is>
      </c>
      <c r="J712" s="43" t="inlineStr">
        <is>
          <t>D601949</t>
        </is>
      </c>
      <c r="K712" s="33" t="inlineStr">
        <is>
          <t>D601949 Allow FJZ to use material that change qual status to Cancel for the MCO113085:17-102102-0217-102040-0517-16001-05</t>
        </is>
      </c>
      <c r="L712" s="43" t="inlineStr">
        <is>
          <t>Expired</t>
        </is>
      </c>
      <c r="M712" s="43" t="inlineStr">
        <is>
          <t>17-16001-05</t>
        </is>
      </c>
      <c r="N712" s="43" t="inlineStr"/>
      <c r="O712" s="43" t="inlineStr">
        <is>
          <t>2025-05-06</t>
        </is>
      </c>
      <c r="P712" s="33" t="inlineStr">
        <is>
          <t>For temporary Manufacturing process change</t>
        </is>
      </c>
      <c r="Q712" s="43" t="inlineStr">
        <is>
          <t>Stick a deviation label in the board</t>
        </is>
      </c>
      <c r="R712" s="43" t="inlineStr">
        <is>
          <t>2025-02-06</t>
        </is>
      </c>
      <c r="S712" s="43" t="inlineStr">
        <is>
          <t>2025-02-25</t>
        </is>
      </c>
      <c r="T712" s="43" t="inlineStr"/>
      <c r="U712" s="43" t="inlineStr"/>
    </row>
    <row r="713">
      <c r="A713" s="43" t="n">
        <v>713</v>
      </c>
      <c r="B713" s="43" t="inlineStr">
        <is>
          <t>712</t>
        </is>
      </c>
      <c r="C713" s="43" t="inlineStr">
        <is>
          <t>FJZP</t>
        </is>
      </c>
      <c r="D713" s="43" t="inlineStr">
        <is>
          <t>Cisco</t>
        </is>
      </c>
      <c r="E713" s="43" t="inlineStr">
        <is>
          <t>MCGA</t>
        </is>
      </c>
      <c r="F713" s="43" t="inlineStr">
        <is>
          <t>037-STBU</t>
        </is>
      </c>
      <c r="G713" s="43" t="inlineStr">
        <is>
          <t>CTANJZ04431</t>
        </is>
      </c>
      <c r="H713" s="43" t="inlineStr">
        <is>
          <t>For temporary Manufacturing process change</t>
        </is>
      </c>
      <c r="I713" s="43" t="inlineStr">
        <is>
          <t>Customer Deviation</t>
        </is>
      </c>
      <c r="J713" s="43" t="inlineStr">
        <is>
          <t>D601949</t>
        </is>
      </c>
      <c r="K713" s="33" t="inlineStr">
        <is>
          <t>D601949 Allow FJZ to use material that change qual status to Cancel for the MCO113085:17-102102-0217-102040-0517-16001-05</t>
        </is>
      </c>
      <c r="L713" s="43" t="inlineStr">
        <is>
          <t>Expired</t>
        </is>
      </c>
      <c r="M713" s="43" t="inlineStr">
        <is>
          <t>73-20247-05</t>
        </is>
      </c>
      <c r="N713" s="43" t="inlineStr"/>
      <c r="O713" s="43" t="inlineStr">
        <is>
          <t>2025-05-06</t>
        </is>
      </c>
      <c r="P713" s="33" t="inlineStr">
        <is>
          <t>For temporary Manufacturing process change</t>
        </is>
      </c>
      <c r="Q713" s="43" t="inlineStr">
        <is>
          <t>Stick a deviation label in the board</t>
        </is>
      </c>
      <c r="R713" s="43" t="inlineStr">
        <is>
          <t>2025-02-06</t>
        </is>
      </c>
      <c r="S713" s="43" t="inlineStr">
        <is>
          <t>2025-02-25</t>
        </is>
      </c>
      <c r="T713" s="43" t="inlineStr"/>
      <c r="U713" s="43" t="inlineStr"/>
    </row>
    <row r="714">
      <c r="A714" s="43" t="n">
        <v>714</v>
      </c>
      <c r="B714" s="43" t="inlineStr">
        <is>
          <t>713</t>
        </is>
      </c>
      <c r="C714" s="43" t="inlineStr">
        <is>
          <t>FJZP</t>
        </is>
      </c>
      <c r="D714" s="43" t="inlineStr">
        <is>
          <t>Cisco</t>
        </is>
      </c>
      <c r="E714" s="43" t="inlineStr">
        <is>
          <t>MCGA</t>
        </is>
      </c>
      <c r="F714" s="43" t="inlineStr">
        <is>
          <t>037-STBU</t>
        </is>
      </c>
      <c r="G714" s="43" t="inlineStr">
        <is>
          <t>CTANJZ04431</t>
        </is>
      </c>
      <c r="H714" s="43" t="inlineStr">
        <is>
          <t>For temporary Manufacturing process change</t>
        </is>
      </c>
      <c r="I714" s="43" t="inlineStr">
        <is>
          <t>Customer Deviation</t>
        </is>
      </c>
      <c r="J714" s="43" t="inlineStr">
        <is>
          <t>D601949</t>
        </is>
      </c>
      <c r="K714" s="33" t="inlineStr">
        <is>
          <t>D601949 Allow FJZ to use material that change qual status to Cancel for the MCO113085:17-102102-0217-102040-0517-16001-05</t>
        </is>
      </c>
      <c r="L714" s="43" t="inlineStr">
        <is>
          <t>Expired</t>
        </is>
      </c>
      <c r="M714" s="43" t="inlineStr">
        <is>
          <t>73-20249-05</t>
        </is>
      </c>
      <c r="N714" s="43" t="inlineStr"/>
      <c r="O714" s="43" t="inlineStr">
        <is>
          <t>2025-05-06</t>
        </is>
      </c>
      <c r="P714" s="33" t="inlineStr">
        <is>
          <t>For temporary Manufacturing process change</t>
        </is>
      </c>
      <c r="Q714" s="43" t="inlineStr">
        <is>
          <t>Stick a deviation label in the board</t>
        </is>
      </c>
      <c r="R714" s="43" t="inlineStr">
        <is>
          <t>2025-02-06</t>
        </is>
      </c>
      <c r="S714" s="43" t="inlineStr">
        <is>
          <t>2025-02-25</t>
        </is>
      </c>
      <c r="T714" s="43" t="inlineStr"/>
      <c r="U714" s="43" t="inlineStr"/>
    </row>
    <row r="715">
      <c r="A715" s="43" t="n">
        <v>715</v>
      </c>
      <c r="B715" s="43" t="inlineStr">
        <is>
          <t>714</t>
        </is>
      </c>
      <c r="C715" s="43" t="inlineStr">
        <is>
          <t>FJZP</t>
        </is>
      </c>
      <c r="D715" s="43" t="inlineStr">
        <is>
          <t>Cisco</t>
        </is>
      </c>
      <c r="E715" s="43" t="inlineStr">
        <is>
          <t>MCGA</t>
        </is>
      </c>
      <c r="F715" s="43" t="inlineStr">
        <is>
          <t>018-SRGBU</t>
        </is>
      </c>
      <c r="G715" s="43" t="inlineStr">
        <is>
          <t>CTANJZ04580</t>
        </is>
      </c>
      <c r="H715" s="43" t="inlineStr">
        <is>
          <t>For temporary Manufacturing process change</t>
        </is>
      </c>
      <c r="I715" s="43" t="inlineStr">
        <is>
          <t>Customer Deviation</t>
        </is>
      </c>
      <c r="J715" s="43" t="inlineStr">
        <is>
          <t>D603575</t>
        </is>
      </c>
      <c r="K715" s="33" t="inlineStr">
        <is>
          <t>D603575 Allow FJZ to use ONLY the MPN=MTA18ASF2G72PDZ-2G6E1; Supplier=  Micron of the 15-106507-02; instead of 15-107070-01; in the PIDs:MEM-C8200-16GBMEM-C8300-16GBMEM-C8500-32GBMEM-C8500L-16GB</t>
        </is>
      </c>
      <c r="L715" s="43" t="inlineStr">
        <is>
          <t>Expired</t>
        </is>
      </c>
      <c r="M715" s="43" t="inlineStr">
        <is>
          <t>15-107070-01</t>
        </is>
      </c>
      <c r="N715" s="43" t="inlineStr"/>
      <c r="O715" s="43" t="inlineStr">
        <is>
          <t>2025-07-27</t>
        </is>
      </c>
      <c r="P715" s="33" t="inlineStr">
        <is>
          <t>For temporary Manufacturing process change</t>
        </is>
      </c>
      <c r="Q715" s="43" t="inlineStr">
        <is>
          <t>Add Deviation number on affected DIMMs</t>
        </is>
      </c>
      <c r="R715" s="43" t="inlineStr">
        <is>
          <t>2025-04-29</t>
        </is>
      </c>
      <c r="S715" s="43" t="inlineStr">
        <is>
          <t>2025-05-14</t>
        </is>
      </c>
      <c r="T715" s="43" t="inlineStr"/>
      <c r="U715" s="43" t="inlineStr"/>
    </row>
    <row r="716">
      <c r="A716" s="43" t="n">
        <v>716</v>
      </c>
      <c r="B716" s="43" t="inlineStr">
        <is>
          <t>715</t>
        </is>
      </c>
      <c r="C716" s="43" t="inlineStr">
        <is>
          <t>FJZP</t>
        </is>
      </c>
      <c r="D716" s="43" t="inlineStr">
        <is>
          <t>Cisco</t>
        </is>
      </c>
      <c r="E716" s="43" t="inlineStr">
        <is>
          <t>MCGA</t>
        </is>
      </c>
      <c r="F716" s="43" t="inlineStr">
        <is>
          <t>018-SRGBU</t>
        </is>
      </c>
      <c r="G716" s="43" t="inlineStr">
        <is>
          <t>CTANJZ04588</t>
        </is>
      </c>
      <c r="H716" s="43" t="inlineStr">
        <is>
          <t>For temporary Manufacturing process change</t>
        </is>
      </c>
      <c r="I716" s="43" t="inlineStr">
        <is>
          <t>Customer Deviation</t>
        </is>
      </c>
      <c r="J716" s="43" t="inlineStr">
        <is>
          <t>D603105</t>
        </is>
      </c>
      <c r="K716" s="33" t="inlineStr">
        <is>
          <t>D603105 DF site to immediately implement 56-102310-01 rev. E0 on Betelgeuse PIDs</t>
        </is>
      </c>
      <c r="L716" s="43" t="inlineStr">
        <is>
          <t>Expired</t>
        </is>
      </c>
      <c r="M716" s="43" t="inlineStr">
        <is>
          <t>47-103163-01</t>
        </is>
      </c>
      <c r="N716" s="43" t="inlineStr"/>
      <c r="O716" s="43" t="inlineStr">
        <is>
          <t>2025-07-30</t>
        </is>
      </c>
      <c r="P716" s="33" t="inlineStr">
        <is>
          <t>For temporary Manufacturing process change</t>
        </is>
      </c>
      <c r="Q716" s="43" t="inlineStr">
        <is>
          <t>no marking is required</t>
        </is>
      </c>
      <c r="R716" s="43" t="inlineStr">
        <is>
          <t>2025-05-05</t>
        </is>
      </c>
      <c r="S716" s="43" t="inlineStr">
        <is>
          <t>2025-05-19</t>
        </is>
      </c>
      <c r="T716" s="43" t="inlineStr"/>
      <c r="U716" s="43" t="inlineStr"/>
    </row>
    <row r="717">
      <c r="A717" s="43" t="n">
        <v>717</v>
      </c>
      <c r="B717" s="43" t="inlineStr">
        <is>
          <t>716</t>
        </is>
      </c>
      <c r="C717" s="43" t="inlineStr">
        <is>
          <t>FJZP</t>
        </is>
      </c>
      <c r="D717" s="43" t="inlineStr">
        <is>
          <t>Cisco</t>
        </is>
      </c>
      <c r="E717" s="43" t="inlineStr">
        <is>
          <t>MCGA</t>
        </is>
      </c>
      <c r="F717" s="43" t="inlineStr">
        <is>
          <t>018-SRGBU</t>
        </is>
      </c>
      <c r="G717" s="43" t="inlineStr">
        <is>
          <t>CTANJZ04588</t>
        </is>
      </c>
      <c r="H717" s="43" t="inlineStr">
        <is>
          <t>For temporary Manufacturing process change</t>
        </is>
      </c>
      <c r="I717" s="43" t="inlineStr">
        <is>
          <t>Customer Deviation</t>
        </is>
      </c>
      <c r="J717" s="43" t="inlineStr">
        <is>
          <t>D603105</t>
        </is>
      </c>
      <c r="K717" s="33" t="inlineStr">
        <is>
          <t>D603105 DF site to immediately implement 56-102310-01 rev. E0 on Betelgeuse PIDs</t>
        </is>
      </c>
      <c r="L717" s="43" t="inlineStr">
        <is>
          <t>Expired</t>
        </is>
      </c>
      <c r="M717" s="43" t="inlineStr">
        <is>
          <t>800-49798-02</t>
        </is>
      </c>
      <c r="N717" s="43" t="inlineStr"/>
      <c r="O717" s="43" t="inlineStr">
        <is>
          <t>2025-07-30</t>
        </is>
      </c>
      <c r="P717" s="33" t="inlineStr">
        <is>
          <t>For temporary Manufacturing process change</t>
        </is>
      </c>
      <c r="Q717" s="43" t="inlineStr">
        <is>
          <t>no marking is required</t>
        </is>
      </c>
      <c r="R717" s="43" t="inlineStr">
        <is>
          <t>2025-05-05</t>
        </is>
      </c>
      <c r="S717" s="43" t="inlineStr">
        <is>
          <t>2025-05-19</t>
        </is>
      </c>
      <c r="T717" s="43" t="inlineStr"/>
      <c r="U717" s="43" t="inlineStr"/>
    </row>
    <row r="718">
      <c r="A718" s="43" t="n">
        <v>718</v>
      </c>
      <c r="B718" s="43" t="inlineStr">
        <is>
          <t>717</t>
        </is>
      </c>
      <c r="C718" s="43" t="inlineStr">
        <is>
          <t>FJZP</t>
        </is>
      </c>
      <c r="D718" s="43" t="inlineStr">
        <is>
          <t>Cisco</t>
        </is>
      </c>
      <c r="E718" s="43" t="inlineStr">
        <is>
          <t>MCGA</t>
        </is>
      </c>
      <c r="F718" s="43" t="inlineStr">
        <is>
          <t>018-SRGBU</t>
        </is>
      </c>
      <c r="G718" s="43" t="inlineStr">
        <is>
          <t>CTANJZ04588</t>
        </is>
      </c>
      <c r="H718" s="43" t="inlineStr">
        <is>
          <t>For temporary Manufacturing process change</t>
        </is>
      </c>
      <c r="I718" s="43" t="inlineStr">
        <is>
          <t>Customer Deviation</t>
        </is>
      </c>
      <c r="J718" s="43" t="inlineStr">
        <is>
          <t>D603105</t>
        </is>
      </c>
      <c r="K718" s="33" t="inlineStr">
        <is>
          <t>D603105 DF site to immediately implement 56-102310-01 rev. E0 on Betelgeuse PIDs</t>
        </is>
      </c>
      <c r="L718" s="43" t="inlineStr">
        <is>
          <t>Expired</t>
        </is>
      </c>
      <c r="M718" s="43" t="inlineStr">
        <is>
          <t>800-49799-02</t>
        </is>
      </c>
      <c r="N718" s="43" t="inlineStr"/>
      <c r="O718" s="43" t="inlineStr">
        <is>
          <t>2025-07-30</t>
        </is>
      </c>
      <c r="P718" s="33" t="inlineStr">
        <is>
          <t>For temporary Manufacturing process change</t>
        </is>
      </c>
      <c r="Q718" s="43" t="inlineStr">
        <is>
          <t>no marking is required</t>
        </is>
      </c>
      <c r="R718" s="43" t="inlineStr">
        <is>
          <t>2025-05-05</t>
        </is>
      </c>
      <c r="S718" s="43" t="inlineStr">
        <is>
          <t>2025-05-19</t>
        </is>
      </c>
      <c r="T718" s="43" t="inlineStr"/>
      <c r="U718" s="43" t="inlineStr"/>
    </row>
    <row r="719">
      <c r="A719" s="43" t="n">
        <v>719</v>
      </c>
      <c r="B719" s="43" t="inlineStr">
        <is>
          <t>718</t>
        </is>
      </c>
      <c r="C719" s="43" t="inlineStr">
        <is>
          <t>FJZP</t>
        </is>
      </c>
      <c r="D719" s="43" t="inlineStr">
        <is>
          <t>Cisco</t>
        </is>
      </c>
      <c r="E719" s="43" t="inlineStr">
        <is>
          <t>MCGA</t>
        </is>
      </c>
      <c r="F719" s="43" t="inlineStr">
        <is>
          <t>018-SRGBU</t>
        </is>
      </c>
      <c r="G719" s="43" t="inlineStr">
        <is>
          <t>CTANJZ04588</t>
        </is>
      </c>
      <c r="H719" s="43" t="inlineStr">
        <is>
          <t>For temporary Manufacturing process change</t>
        </is>
      </c>
      <c r="I719" s="43" t="inlineStr">
        <is>
          <t>Customer Deviation</t>
        </is>
      </c>
      <c r="J719" s="43" t="inlineStr">
        <is>
          <t>D603105</t>
        </is>
      </c>
      <c r="K719" s="33" t="inlineStr">
        <is>
          <t>D603105 DF site to immediately implement 56-102310-01 rev. E0 on Betelgeuse PIDs</t>
        </is>
      </c>
      <c r="L719" s="43" t="inlineStr">
        <is>
          <t>Expired</t>
        </is>
      </c>
      <c r="M719" s="43" t="inlineStr">
        <is>
          <t>800-49800-02</t>
        </is>
      </c>
      <c r="N719" s="43" t="inlineStr"/>
      <c r="O719" s="43" t="inlineStr">
        <is>
          <t>2025-07-30</t>
        </is>
      </c>
      <c r="P719" s="33" t="inlineStr">
        <is>
          <t>For temporary Manufacturing process change</t>
        </is>
      </c>
      <c r="Q719" s="43" t="inlineStr">
        <is>
          <t>no marking is required</t>
        </is>
      </c>
      <c r="R719" s="43" t="inlineStr">
        <is>
          <t>2025-05-05</t>
        </is>
      </c>
      <c r="S719" s="43" t="inlineStr">
        <is>
          <t>2025-05-19</t>
        </is>
      </c>
      <c r="T719" s="43" t="inlineStr"/>
      <c r="U719" s="43" t="inlineStr"/>
    </row>
    <row r="720">
      <c r="A720" s="43" t="n">
        <v>720</v>
      </c>
      <c r="B720" s="43" t="inlineStr">
        <is>
          <t>719</t>
        </is>
      </c>
      <c r="C720" s="43" t="inlineStr">
        <is>
          <t>FJZP</t>
        </is>
      </c>
      <c r="D720" s="43" t="inlineStr">
        <is>
          <t>Cisco</t>
        </is>
      </c>
      <c r="E720" s="43" t="inlineStr">
        <is>
          <t>MCGA</t>
        </is>
      </c>
      <c r="F720" s="43" t="inlineStr">
        <is>
          <t>018-SRGBU</t>
        </is>
      </c>
      <c r="G720" s="43" t="inlineStr">
        <is>
          <t>CTANJZ04588</t>
        </is>
      </c>
      <c r="H720" s="43" t="inlineStr">
        <is>
          <t>For temporary Manufacturing process change</t>
        </is>
      </c>
      <c r="I720" s="43" t="inlineStr">
        <is>
          <t>Customer Deviation</t>
        </is>
      </c>
      <c r="J720" s="43" t="inlineStr">
        <is>
          <t>D603105</t>
        </is>
      </c>
      <c r="K720" s="33" t="inlineStr">
        <is>
          <t>D603105 DF site to immediately implement 56-102310-01 rev. E0 on Betelgeuse PIDs</t>
        </is>
      </c>
      <c r="L720" s="43" t="inlineStr">
        <is>
          <t>Expired</t>
        </is>
      </c>
      <c r="M720" s="43" t="inlineStr">
        <is>
          <t>800-49801-02</t>
        </is>
      </c>
      <c r="N720" s="43" t="inlineStr"/>
      <c r="O720" s="43" t="inlineStr">
        <is>
          <t>2025-07-30</t>
        </is>
      </c>
      <c r="P720" s="33" t="inlineStr">
        <is>
          <t>For temporary Manufacturing process change</t>
        </is>
      </c>
      <c r="Q720" s="43" t="inlineStr">
        <is>
          <t>no marking is required</t>
        </is>
      </c>
      <c r="R720" s="43" t="inlineStr">
        <is>
          <t>2025-05-05</t>
        </is>
      </c>
      <c r="S720" s="43" t="inlineStr">
        <is>
          <t>2025-05-19</t>
        </is>
      </c>
      <c r="T720" s="43" t="inlineStr"/>
      <c r="U720" s="43" t="inlineStr"/>
    </row>
    <row r="721">
      <c r="A721" s="43" t="n">
        <v>721</v>
      </c>
      <c r="B721" s="43" t="inlineStr">
        <is>
          <t>720</t>
        </is>
      </c>
      <c r="C721" s="43" t="inlineStr">
        <is>
          <t>FJZP</t>
        </is>
      </c>
      <c r="D721" s="43" t="inlineStr">
        <is>
          <t>Cisco</t>
        </is>
      </c>
      <c r="E721" s="43" t="inlineStr">
        <is>
          <t>MCGA</t>
        </is>
      </c>
      <c r="F721" s="43" t="inlineStr">
        <is>
          <t>018-SRGBU</t>
        </is>
      </c>
      <c r="G721" s="43" t="inlineStr">
        <is>
          <t>CTANJZ04588</t>
        </is>
      </c>
      <c r="H721" s="43" t="inlineStr">
        <is>
          <t>For temporary Manufacturing process change</t>
        </is>
      </c>
      <c r="I721" s="43" t="inlineStr">
        <is>
          <t>Customer Deviation</t>
        </is>
      </c>
      <c r="J721" s="43" t="inlineStr">
        <is>
          <t>D603105</t>
        </is>
      </c>
      <c r="K721" s="33" t="inlineStr">
        <is>
          <t>D603105 DF site to immediately implement 56-102310-01 rev. E0 on Betelgeuse PIDs</t>
        </is>
      </c>
      <c r="L721" s="43" t="inlineStr">
        <is>
          <t>Expired</t>
        </is>
      </c>
      <c r="M721" s="43" t="inlineStr">
        <is>
          <t>800-49802-02</t>
        </is>
      </c>
      <c r="N721" s="43" t="inlineStr"/>
      <c r="O721" s="43" t="inlineStr">
        <is>
          <t>2025-07-30</t>
        </is>
      </c>
      <c r="P721" s="33" t="inlineStr">
        <is>
          <t>For temporary Manufacturing process change</t>
        </is>
      </c>
      <c r="Q721" s="43" t="inlineStr">
        <is>
          <t>no marking is required</t>
        </is>
      </c>
      <c r="R721" s="43" t="inlineStr">
        <is>
          <t>2025-05-05</t>
        </is>
      </c>
      <c r="S721" s="43" t="inlineStr">
        <is>
          <t>2025-05-19</t>
        </is>
      </c>
      <c r="T721" s="43" t="inlineStr"/>
      <c r="U721" s="43" t="inlineStr"/>
    </row>
    <row r="722">
      <c r="A722" s="43" t="n">
        <v>722</v>
      </c>
      <c r="B722" s="43" t="inlineStr">
        <is>
          <t>721</t>
        </is>
      </c>
      <c r="C722" s="43" t="inlineStr">
        <is>
          <t>FJZP</t>
        </is>
      </c>
      <c r="D722" s="43" t="inlineStr">
        <is>
          <t>Cisco</t>
        </is>
      </c>
      <c r="E722" s="43" t="inlineStr">
        <is>
          <t>MCGA</t>
        </is>
      </c>
      <c r="F722" s="43" t="inlineStr">
        <is>
          <t>018-SRGBU</t>
        </is>
      </c>
      <c r="G722" s="43" t="inlineStr">
        <is>
          <t>CTANJZ04588</t>
        </is>
      </c>
      <c r="H722" s="43" t="inlineStr">
        <is>
          <t>For temporary Manufacturing process change</t>
        </is>
      </c>
      <c r="I722" s="43" t="inlineStr">
        <is>
          <t>Customer Deviation</t>
        </is>
      </c>
      <c r="J722" s="43" t="inlineStr">
        <is>
          <t>D603105</t>
        </is>
      </c>
      <c r="K722" s="33" t="inlineStr">
        <is>
          <t>D603105 DF site to immediately implement 56-102310-01 rev. E0 on Betelgeuse PIDs</t>
        </is>
      </c>
      <c r="L722" s="43" t="inlineStr">
        <is>
          <t>Expired</t>
        </is>
      </c>
      <c r="M722" s="43" t="inlineStr">
        <is>
          <t>800-49805-03</t>
        </is>
      </c>
      <c r="N722" s="43" t="inlineStr"/>
      <c r="O722" s="43" t="inlineStr">
        <is>
          <t>2025-07-30</t>
        </is>
      </c>
      <c r="P722" s="33" t="inlineStr">
        <is>
          <t>For temporary Manufacturing process change</t>
        </is>
      </c>
      <c r="Q722" s="43" t="inlineStr">
        <is>
          <t>no marking is required</t>
        </is>
      </c>
      <c r="R722" s="43" t="inlineStr">
        <is>
          <t>2025-05-05</t>
        </is>
      </c>
      <c r="S722" s="43" t="inlineStr">
        <is>
          <t>2025-05-19</t>
        </is>
      </c>
      <c r="T722" s="43" t="inlineStr"/>
      <c r="U722" s="43" t="inlineStr"/>
    </row>
    <row r="723">
      <c r="A723" s="43" t="n">
        <v>723</v>
      </c>
      <c r="B723" s="43" t="inlineStr">
        <is>
          <t>722</t>
        </is>
      </c>
      <c r="C723" s="43" t="inlineStr">
        <is>
          <t>FJZP</t>
        </is>
      </c>
      <c r="D723" s="43" t="inlineStr">
        <is>
          <t>Cisco</t>
        </is>
      </c>
      <c r="E723" s="43" t="inlineStr">
        <is>
          <t>MCGA</t>
        </is>
      </c>
      <c r="F723" s="43" t="inlineStr">
        <is>
          <t>018-SRGBU</t>
        </is>
      </c>
      <c r="G723" s="43" t="inlineStr">
        <is>
          <t>CTANJZ04588</t>
        </is>
      </c>
      <c r="H723" s="43" t="inlineStr">
        <is>
          <t>For temporary Manufacturing process change</t>
        </is>
      </c>
      <c r="I723" s="43" t="inlineStr">
        <is>
          <t>Customer Deviation</t>
        </is>
      </c>
      <c r="J723" s="43" t="inlineStr">
        <is>
          <t>D603105</t>
        </is>
      </c>
      <c r="K723" s="33" t="inlineStr">
        <is>
          <t>D603105 DF site to immediately implement 56-102310-01 rev. E0 on Betelgeuse PIDs</t>
        </is>
      </c>
      <c r="L723" s="43" t="inlineStr">
        <is>
          <t>Expired</t>
        </is>
      </c>
      <c r="M723" s="43" t="inlineStr">
        <is>
          <t>800-49806-03</t>
        </is>
      </c>
      <c r="N723" s="43" t="inlineStr"/>
      <c r="O723" s="43" t="inlineStr">
        <is>
          <t>2025-07-30</t>
        </is>
      </c>
      <c r="P723" s="33" t="inlineStr">
        <is>
          <t>For temporary Manufacturing process change</t>
        </is>
      </c>
      <c r="Q723" s="43" t="inlineStr">
        <is>
          <t>no marking is required</t>
        </is>
      </c>
      <c r="R723" s="43" t="inlineStr">
        <is>
          <t>2025-05-05</t>
        </is>
      </c>
      <c r="S723" s="43" t="inlineStr">
        <is>
          <t>2025-05-19</t>
        </is>
      </c>
      <c r="T723" s="43" t="inlineStr"/>
      <c r="U723" s="43" t="inlineStr"/>
    </row>
    <row r="724">
      <c r="A724" s="43" t="n">
        <v>724</v>
      </c>
      <c r="B724" s="43" t="inlineStr">
        <is>
          <t>723</t>
        </is>
      </c>
      <c r="C724" s="43" t="inlineStr">
        <is>
          <t>FJZP</t>
        </is>
      </c>
      <c r="D724" s="43" t="inlineStr">
        <is>
          <t>Cisco</t>
        </is>
      </c>
      <c r="E724" s="43" t="inlineStr">
        <is>
          <t>MCGA</t>
        </is>
      </c>
      <c r="F724" s="43" t="inlineStr">
        <is>
          <t>037-STBU</t>
        </is>
      </c>
      <c r="G724" s="43" t="inlineStr">
        <is>
          <t>CTANJZ04651</t>
        </is>
      </c>
      <c r="H724" s="43" t="inlineStr">
        <is>
          <t>For temporary Manufacturing process change</t>
        </is>
      </c>
      <c r="I724" s="43" t="inlineStr">
        <is>
          <t>Customer Deviation</t>
        </is>
      </c>
      <c r="J724" s="43" t="inlineStr">
        <is>
          <t>DP524724</t>
        </is>
      </c>
      <c r="K724" s="33" t="inlineStr">
        <is>
          <t>DP524724 Please see PageThree for details</t>
        </is>
      </c>
      <c r="L724" s="43" t="inlineStr">
        <is>
          <t>Expired</t>
        </is>
      </c>
      <c r="M724" s="43" t="inlineStr">
        <is>
          <t>800-112581-03</t>
        </is>
      </c>
      <c r="N724" s="43" t="inlineStr"/>
      <c r="O724" s="43" t="inlineStr">
        <is>
          <t>2025-08-04</t>
        </is>
      </c>
      <c r="P724" s="33" t="inlineStr">
        <is>
          <t>For temporary Manufacturing process change</t>
        </is>
      </c>
      <c r="Q724" s="43" t="inlineStr">
        <is>
          <t>None</t>
        </is>
      </c>
      <c r="R724" s="43" t="inlineStr">
        <is>
          <t>2025-06-06</t>
        </is>
      </c>
      <c r="S724" s="43" t="inlineStr">
        <is>
          <t>2025-06-26</t>
        </is>
      </c>
      <c r="T724" s="43" t="inlineStr"/>
      <c r="U724" s="43" t="inlineStr"/>
    </row>
    <row r="725">
      <c r="A725" s="43" t="n">
        <v>725</v>
      </c>
      <c r="B725" s="43" t="inlineStr">
        <is>
          <t>724</t>
        </is>
      </c>
      <c r="C725" s="43" t="inlineStr">
        <is>
          <t>FJZP</t>
        </is>
      </c>
      <c r="D725" s="43" t="inlineStr">
        <is>
          <t>Cisco</t>
        </is>
      </c>
      <c r="E725" s="43" t="inlineStr">
        <is>
          <t>MCGA</t>
        </is>
      </c>
      <c r="F725" s="43" t="inlineStr">
        <is>
          <t>037-STBU</t>
        </is>
      </c>
      <c r="G725" s="43" t="inlineStr">
        <is>
          <t>CTANJZ04651</t>
        </is>
      </c>
      <c r="H725" s="43" t="inlineStr">
        <is>
          <t>For temporary Manufacturing process change</t>
        </is>
      </c>
      <c r="I725" s="43" t="inlineStr">
        <is>
          <t>Customer Deviation</t>
        </is>
      </c>
      <c r="J725" s="43" t="inlineStr">
        <is>
          <t>DP524724</t>
        </is>
      </c>
      <c r="K725" s="33" t="inlineStr">
        <is>
          <t>DP524724 Please see PageThree for details</t>
        </is>
      </c>
      <c r="L725" s="43" t="inlineStr">
        <is>
          <t>Expired</t>
        </is>
      </c>
      <c r="M725" s="43" t="inlineStr">
        <is>
          <t>800-112583-03</t>
        </is>
      </c>
      <c r="N725" s="43" t="inlineStr"/>
      <c r="O725" s="43" t="inlineStr">
        <is>
          <t>2025-08-04</t>
        </is>
      </c>
      <c r="P725" s="33" t="inlineStr">
        <is>
          <t>For temporary Manufacturing process change</t>
        </is>
      </c>
      <c r="Q725" s="43" t="inlineStr">
        <is>
          <t>None</t>
        </is>
      </c>
      <c r="R725" s="43" t="inlineStr">
        <is>
          <t>2025-06-06</t>
        </is>
      </c>
      <c r="S725" s="43" t="inlineStr">
        <is>
          <t>2025-06-26</t>
        </is>
      </c>
      <c r="T725" s="43" t="inlineStr"/>
      <c r="U725" s="43" t="inlineStr"/>
    </row>
    <row r="726">
      <c r="A726" s="43" t="n">
        <v>726</v>
      </c>
      <c r="B726" s="43" t="inlineStr">
        <is>
          <t>725</t>
        </is>
      </c>
      <c r="C726" s="43" t="inlineStr">
        <is>
          <t>FJZP</t>
        </is>
      </c>
      <c r="D726" s="43" t="inlineStr">
        <is>
          <t>Cisco</t>
        </is>
      </c>
      <c r="E726" s="43" t="inlineStr">
        <is>
          <t>MCGA</t>
        </is>
      </c>
      <c r="F726" s="43" t="inlineStr">
        <is>
          <t>037-STBU</t>
        </is>
      </c>
      <c r="G726" s="43" t="inlineStr">
        <is>
          <t>CTANJZ04651</t>
        </is>
      </c>
      <c r="H726" s="43" t="inlineStr">
        <is>
          <t>For temporary Manufacturing process change</t>
        </is>
      </c>
      <c r="I726" s="43" t="inlineStr">
        <is>
          <t>Customer Deviation</t>
        </is>
      </c>
      <c r="J726" s="43" t="inlineStr">
        <is>
          <t>DP524724</t>
        </is>
      </c>
      <c r="K726" s="33" t="inlineStr">
        <is>
          <t>DP524724 Please see PageThree for details</t>
        </is>
      </c>
      <c r="L726" s="43" t="inlineStr">
        <is>
          <t>Expired</t>
        </is>
      </c>
      <c r="M726" s="43" t="inlineStr">
        <is>
          <t>800-112720-03</t>
        </is>
      </c>
      <c r="N726" s="43" t="inlineStr"/>
      <c r="O726" s="43" t="inlineStr">
        <is>
          <t>2025-08-04</t>
        </is>
      </c>
      <c r="P726" s="33" t="inlineStr">
        <is>
          <t>For temporary Manufacturing process change</t>
        </is>
      </c>
      <c r="Q726" s="43" t="inlineStr">
        <is>
          <t>None</t>
        </is>
      </c>
      <c r="R726" s="43" t="inlineStr">
        <is>
          <t>2025-06-06</t>
        </is>
      </c>
      <c r="S726" s="43" t="inlineStr">
        <is>
          <t>2025-06-26</t>
        </is>
      </c>
      <c r="T726" s="43" t="inlineStr"/>
      <c r="U726" s="43" t="inlineStr"/>
    </row>
    <row r="727">
      <c r="A727" s="43" t="n">
        <v>727</v>
      </c>
      <c r="B727" s="43" t="inlineStr">
        <is>
          <t>726</t>
        </is>
      </c>
      <c r="C727" s="43" t="inlineStr">
        <is>
          <t>FJZP</t>
        </is>
      </c>
      <c r="D727" s="43" t="inlineStr">
        <is>
          <t>Cisco</t>
        </is>
      </c>
      <c r="E727" s="43" t="inlineStr">
        <is>
          <t>MCGA</t>
        </is>
      </c>
      <c r="F727" s="43" t="inlineStr">
        <is>
          <t>037-STBU</t>
        </is>
      </c>
      <c r="G727" s="43" t="inlineStr">
        <is>
          <t>CTANJZ04654</t>
        </is>
      </c>
      <c r="H727" s="43" t="inlineStr">
        <is>
          <t>For temporary Manufacturing process change</t>
        </is>
      </c>
      <c r="I727" s="43" t="inlineStr">
        <is>
          <t>Customer Deviation</t>
        </is>
      </c>
      <c r="J727" s="43" t="inlineStr">
        <is>
          <t>DP524962</t>
        </is>
      </c>
      <c r="K727" s="33" t="inlineStr">
        <is>
          <t>DP524962 Current MPN OH is 98CX8540-A0-BZD4C000 and proposed MPN is 98CX8540A0-BZD4C000</t>
        </is>
      </c>
      <c r="L727" s="43" t="inlineStr">
        <is>
          <t>Expired</t>
        </is>
      </c>
      <c r="M727" s="43" t="inlineStr">
        <is>
          <t>73-103558-04</t>
        </is>
      </c>
      <c r="N727" s="43" t="inlineStr"/>
      <c r="O727" s="43" t="inlineStr">
        <is>
          <t>2025-08-05</t>
        </is>
      </c>
      <c r="P727" s="33" t="inlineStr">
        <is>
          <t>For temporary Manufacturing process change</t>
        </is>
      </c>
      <c r="Q727" s="43" t="inlineStr">
        <is>
          <t>Allow FJZ to use the PN 15-107147-01 with MPN 98CX8540-A0-BZD4C000 that's cancelled instead 98CX8540A0-BZD4C000</t>
        </is>
      </c>
      <c r="R727" s="43" t="inlineStr">
        <is>
          <t>2025-06-09</t>
        </is>
      </c>
      <c r="S727" s="43" t="inlineStr">
        <is>
          <t>2025-06-26</t>
        </is>
      </c>
      <c r="T727" s="43" t="inlineStr"/>
      <c r="U727" s="43" t="inlineStr"/>
    </row>
    <row r="728">
      <c r="A728" s="43" t="n">
        <v>728</v>
      </c>
      <c r="B728" s="43" t="inlineStr">
        <is>
          <t>727</t>
        </is>
      </c>
      <c r="C728" s="43" t="inlineStr">
        <is>
          <t>FJZP</t>
        </is>
      </c>
      <c r="D728" s="43" t="inlineStr">
        <is>
          <t>Cisco</t>
        </is>
      </c>
      <c r="E728" s="43" t="inlineStr">
        <is>
          <t>MCGA</t>
        </is>
      </c>
      <c r="F728" s="43" t="inlineStr">
        <is>
          <t>018-SRGBU</t>
        </is>
      </c>
      <c r="G728" s="43" t="inlineStr">
        <is>
          <t>CTANJZ04600</t>
        </is>
      </c>
      <c r="H728" s="43" t="inlineStr">
        <is>
          <t>For temporary Manufacturing process change</t>
        </is>
      </c>
      <c r="I728" s="43" t="inlineStr">
        <is>
          <t>Customer Deviation</t>
        </is>
      </c>
      <c r="J728" s="43" t="inlineStr">
        <is>
          <t>D603808</t>
        </is>
      </c>
      <c r="K728" s="33" t="inlineStr">
        <is>
          <t>D603808Allow FJZ to use the MPN=MTA18ASF2G72PDZ-2G6E1 from Micron technology and SR5722G822APGDASC0 from Smart Modular of the  15-104536-01; instead of 15-107070-01; in the PIDs:MEM-C8200-16GBMEM-C8300-16GBMEM-C8500-32GBMEM-C8500L-16GB</t>
        </is>
      </c>
      <c r="L728" s="43" t="inlineStr">
        <is>
          <t>Expired</t>
        </is>
      </c>
      <c r="M728" s="43" t="inlineStr">
        <is>
          <t>15-107070-01</t>
        </is>
      </c>
      <c r="N728" s="43" t="inlineStr"/>
      <c r="O728" s="43" t="inlineStr">
        <is>
          <t>2025-08-06</t>
        </is>
      </c>
      <c r="P728" s="33" t="inlineStr">
        <is>
          <t>For temporary Manufacturing process change</t>
        </is>
      </c>
      <c r="Q728" s="43" t="inlineStr">
        <is>
          <t>Add small label with the deviation number</t>
        </is>
      </c>
      <c r="R728" s="43" t="inlineStr">
        <is>
          <t>2025-05-09</t>
        </is>
      </c>
      <c r="S728" s="43" t="inlineStr">
        <is>
          <t>2025-05-21</t>
        </is>
      </c>
      <c r="T728" s="43" t="inlineStr"/>
      <c r="U728" s="43" t="inlineStr"/>
    </row>
    <row r="729">
      <c r="A729" s="43" t="n">
        <v>729</v>
      </c>
      <c r="B729" s="43" t="inlineStr">
        <is>
          <t>728</t>
        </is>
      </c>
      <c r="C729" s="43" t="inlineStr">
        <is>
          <t>FJZP</t>
        </is>
      </c>
      <c r="D729" s="43" t="inlineStr">
        <is>
          <t>Cisco</t>
        </is>
      </c>
      <c r="E729" s="43" t="inlineStr">
        <is>
          <t>MCGA</t>
        </is>
      </c>
      <c r="F729" s="43" t="inlineStr">
        <is>
          <t>037-STBU</t>
        </is>
      </c>
      <c r="G729" s="43" t="inlineStr">
        <is>
          <t>CTANJZ04607</t>
        </is>
      </c>
      <c r="H729" s="43" t="inlineStr">
        <is>
          <t>For temporary Manufacturing process change</t>
        </is>
      </c>
      <c r="I729" s="43" t="inlineStr">
        <is>
          <t>Customer Deviation</t>
        </is>
      </c>
      <c r="J729" s="43" t="inlineStr">
        <is>
          <t>D603592</t>
        </is>
      </c>
      <c r="K729" s="33" t="inlineStr">
        <is>
          <t>D603592 NGFWBU: Net mod Gen2 - PCAMAP/TANMAP update to correct the VPA power consumption NMs:Maryland 40GBrentwood 10GBrentwood 25GShenfieldUpdate is in test script for TXT to HEX value:BoroughTempleEA618472 was released to correct hex value in IDPROM. No impact to field.  All HW already addressed ahead of FCS. Allows documentation to 'catch up' with as-built products.</t>
        </is>
      </c>
      <c r="L729" s="43" t="inlineStr">
        <is>
          <t>Expired</t>
        </is>
      </c>
      <c r="M729" s="43" t="inlineStr">
        <is>
          <t>68-102608-04</t>
        </is>
      </c>
      <c r="N729" s="43" t="inlineStr"/>
      <c r="O729" s="43" t="inlineStr">
        <is>
          <t>2025-08-12</t>
        </is>
      </c>
      <c r="P729" s="33" t="inlineStr">
        <is>
          <t>For temporary Manufacturing process change</t>
        </is>
      </c>
      <c r="Q729" s="43" t="inlineStr">
        <is>
          <t>FJZ needs to do the validation with 5 units of each NMs and provide the hexdumps to PCO to ensure the product is being programmed correctly.   Maryland 40G - 51.00 Watts Brentwood 10G - 42.00 Watts Brentwood 25G - 42.00 Watts Borough - 19.00 Watts Shenfield - 60.00 Watts Temple - 38.00 Watts</t>
        </is>
      </c>
      <c r="R729" s="43" t="inlineStr">
        <is>
          <t>2025-05-15</t>
        </is>
      </c>
      <c r="S729" s="43" t="inlineStr">
        <is>
          <t>2025-05-30</t>
        </is>
      </c>
      <c r="T729" s="43" t="inlineStr"/>
      <c r="U729" s="43" t="inlineStr"/>
    </row>
    <row r="730">
      <c r="A730" s="43" t="n">
        <v>730</v>
      </c>
      <c r="B730" s="43" t="inlineStr">
        <is>
          <t>729</t>
        </is>
      </c>
      <c r="C730" s="43" t="inlineStr">
        <is>
          <t>FJZP</t>
        </is>
      </c>
      <c r="D730" s="43" t="inlineStr">
        <is>
          <t>Cisco</t>
        </is>
      </c>
      <c r="E730" s="43" t="inlineStr">
        <is>
          <t>MCGA</t>
        </is>
      </c>
      <c r="F730" s="43" t="inlineStr">
        <is>
          <t>037-STBU</t>
        </is>
      </c>
      <c r="G730" s="43" t="inlineStr">
        <is>
          <t>CTANJZ04607</t>
        </is>
      </c>
      <c r="H730" s="43" t="inlineStr">
        <is>
          <t>For temporary Manufacturing process change</t>
        </is>
      </c>
      <c r="I730" s="43" t="inlineStr">
        <is>
          <t>Customer Deviation</t>
        </is>
      </c>
      <c r="J730" s="43" t="inlineStr">
        <is>
          <t>D603592</t>
        </is>
      </c>
      <c r="K730" s="33" t="inlineStr">
        <is>
          <t>D603592 NGFWBU: Net mod Gen2 - PCAMAP/TANMAP update to correct the VPA power consumption NMs:Maryland 40GBrentwood 10GBrentwood 25GShenfieldUpdate is in test script for TXT to HEX value:BoroughTempleEA618472 was released to correct hex value in IDPROM. No impact to field.  All HW already addressed ahead of FCS. Allows documentation to 'catch up' with as-built products.</t>
        </is>
      </c>
      <c r="L730" s="43" t="inlineStr">
        <is>
          <t>Expired</t>
        </is>
      </c>
      <c r="M730" s="43" t="inlineStr">
        <is>
          <t>68-102707-04</t>
        </is>
      </c>
      <c r="N730" s="43" t="inlineStr"/>
      <c r="O730" s="43" t="inlineStr">
        <is>
          <t>2025-08-12</t>
        </is>
      </c>
      <c r="P730" s="33" t="inlineStr">
        <is>
          <t>For temporary Manufacturing process change</t>
        </is>
      </c>
      <c r="Q730" s="43" t="inlineStr">
        <is>
          <t>FJZ needs to do the validation with 5 units of each NMs and provide the hexdumps to PCO to ensure the product is being programmed correctly.   Maryland 40G - 51.00 Watts Brentwood 10G - 42.00 Watts Brentwood 25G - 42.00 Watts Borough - 19.00 Watts Shenfield - 60.00 Watts Temple - 38.00 Watts</t>
        </is>
      </c>
      <c r="R730" s="43" t="inlineStr">
        <is>
          <t>2025-05-15</t>
        </is>
      </c>
      <c r="S730" s="43" t="inlineStr">
        <is>
          <t>2025-05-30</t>
        </is>
      </c>
      <c r="T730" s="43" t="inlineStr"/>
      <c r="U730" s="43" t="inlineStr"/>
    </row>
    <row r="731">
      <c r="A731" s="43" t="n">
        <v>731</v>
      </c>
      <c r="B731" s="43" t="inlineStr">
        <is>
          <t>730</t>
        </is>
      </c>
      <c r="C731" s="43" t="inlineStr">
        <is>
          <t>FJZP</t>
        </is>
      </c>
      <c r="D731" s="43" t="inlineStr">
        <is>
          <t>Cisco</t>
        </is>
      </c>
      <c r="E731" s="43" t="inlineStr">
        <is>
          <t>MCGA</t>
        </is>
      </c>
      <c r="F731" s="43" t="inlineStr">
        <is>
          <t>037-STBU</t>
        </is>
      </c>
      <c r="G731" s="43" t="inlineStr">
        <is>
          <t>CTANJZ04607</t>
        </is>
      </c>
      <c r="H731" s="43" t="inlineStr">
        <is>
          <t>For temporary Manufacturing process change</t>
        </is>
      </c>
      <c r="I731" s="43" t="inlineStr">
        <is>
          <t>Customer Deviation</t>
        </is>
      </c>
      <c r="J731" s="43" t="inlineStr">
        <is>
          <t>D603592</t>
        </is>
      </c>
      <c r="K731" s="33" t="inlineStr">
        <is>
          <t>D603592 NGFWBU: Net mod Gen2 - PCAMAP/TANMAP update to correct the VPA power consumption NMs:Maryland 40GBrentwood 10GBrentwood 25GShenfieldUpdate is in test script for TXT to HEX value:BoroughTempleEA618472 was released to correct hex value in IDPROM. No impact to field.  All HW already addressed ahead of FCS. Allows documentation to 'catch up' with as-built products.</t>
        </is>
      </c>
      <c r="L731" s="43" t="inlineStr">
        <is>
          <t>Expired</t>
        </is>
      </c>
      <c r="M731" s="43" t="inlineStr">
        <is>
          <t>68-102763-04</t>
        </is>
      </c>
      <c r="N731" s="43" t="inlineStr"/>
      <c r="O731" s="43" t="inlineStr">
        <is>
          <t>2025-08-12</t>
        </is>
      </c>
      <c r="P731" s="33" t="inlineStr">
        <is>
          <t>For temporary Manufacturing process change</t>
        </is>
      </c>
      <c r="Q731" s="43" t="inlineStr">
        <is>
          <t>FJZ needs to do the validation with 5 units of each NMs and provide the hexdumps to PCO to ensure the product is being programmed correctly.   Maryland 40G - 51.00 Watts Brentwood 10G - 42.00 Watts Brentwood 25G - 42.00 Watts Borough - 19.00 Watts Shenfield - 60.00 Watts Temple - 38.00 Watts</t>
        </is>
      </c>
      <c r="R731" s="43" t="inlineStr">
        <is>
          <t>2025-05-15</t>
        </is>
      </c>
      <c r="S731" s="43" t="inlineStr">
        <is>
          <t>2025-05-30</t>
        </is>
      </c>
      <c r="T731" s="43" t="inlineStr"/>
      <c r="U731" s="43" t="inlineStr"/>
    </row>
    <row r="732">
      <c r="A732" s="43" t="n">
        <v>732</v>
      </c>
      <c r="B732" s="43" t="inlineStr">
        <is>
          <t>731</t>
        </is>
      </c>
      <c r="C732" s="43" t="inlineStr">
        <is>
          <t>FJZP</t>
        </is>
      </c>
      <c r="D732" s="43" t="inlineStr">
        <is>
          <t>Cisco</t>
        </is>
      </c>
      <c r="E732" s="43" t="inlineStr">
        <is>
          <t>MCGA</t>
        </is>
      </c>
      <c r="F732" s="43" t="inlineStr">
        <is>
          <t>037-STBU</t>
        </is>
      </c>
      <c r="G732" s="43" t="inlineStr">
        <is>
          <t>CTANJZ04607</t>
        </is>
      </c>
      <c r="H732" s="43" t="inlineStr">
        <is>
          <t>For temporary Manufacturing process change</t>
        </is>
      </c>
      <c r="I732" s="43" t="inlineStr">
        <is>
          <t>Customer Deviation</t>
        </is>
      </c>
      <c r="J732" s="43" t="inlineStr">
        <is>
          <t>D603592</t>
        </is>
      </c>
      <c r="K732" s="33" t="inlineStr">
        <is>
          <t>D603592 NGFWBU: Net mod Gen2 - PCAMAP/TANMAP update to correct the VPA power consumption NMs:Maryland 40GBrentwood 10GBrentwood 25GShenfieldUpdate is in test script for TXT to HEX value:BoroughTempleEA618472 was released to correct hex value in IDPROM. No impact to field.  All HW already addressed ahead of FCS. Allows documentation to 'catch up' with as-built products.</t>
        </is>
      </c>
      <c r="L732" s="43" t="inlineStr">
        <is>
          <t>Expired</t>
        </is>
      </c>
      <c r="M732" s="43" t="inlineStr">
        <is>
          <t>68-103908-02</t>
        </is>
      </c>
      <c r="N732" s="43" t="inlineStr"/>
      <c r="O732" s="43" t="inlineStr">
        <is>
          <t>2025-08-12</t>
        </is>
      </c>
      <c r="P732" s="33" t="inlineStr">
        <is>
          <t>For temporary Manufacturing process change</t>
        </is>
      </c>
      <c r="Q732" s="43" t="inlineStr">
        <is>
          <t>FJZ needs to do the validation with 5 units of each NMs and provide the hexdumps to PCO to ensure the product is being programmed correctly.   Maryland 40G - 51.00 Watts Brentwood 10G - 42.00 Watts Brentwood 25G - 42.00 Watts Borough - 19.00 Watts Shenfield - 60.00 Watts Temple - 38.00 Watts</t>
        </is>
      </c>
      <c r="R732" s="43" t="inlineStr">
        <is>
          <t>2025-05-15</t>
        </is>
      </c>
      <c r="S732" s="43" t="inlineStr">
        <is>
          <t>2025-05-30</t>
        </is>
      </c>
      <c r="T732" s="43" t="inlineStr"/>
      <c r="U732" s="43" t="inlineStr"/>
    </row>
    <row r="733">
      <c r="A733" s="43" t="n">
        <v>733</v>
      </c>
      <c r="B733" s="43" t="inlineStr">
        <is>
          <t>732</t>
        </is>
      </c>
      <c r="C733" s="43" t="inlineStr">
        <is>
          <t>FJZP</t>
        </is>
      </c>
      <c r="D733" s="43" t="inlineStr">
        <is>
          <t>Cisco</t>
        </is>
      </c>
      <c r="E733" s="43" t="inlineStr">
        <is>
          <t>MCGA</t>
        </is>
      </c>
      <c r="F733" s="43" t="inlineStr">
        <is>
          <t>037-STBU</t>
        </is>
      </c>
      <c r="G733" s="43" t="inlineStr">
        <is>
          <t>CTANJZ04607</t>
        </is>
      </c>
      <c r="H733" s="43" t="inlineStr">
        <is>
          <t>For temporary Manufacturing process change</t>
        </is>
      </c>
      <c r="I733" s="43" t="inlineStr">
        <is>
          <t>Customer Deviation</t>
        </is>
      </c>
      <c r="J733" s="43" t="inlineStr">
        <is>
          <t>D603592</t>
        </is>
      </c>
      <c r="K733" s="33" t="inlineStr">
        <is>
          <t>D603592 NGFWBU: Net mod Gen2 - PCAMAP/TANMAP update to correct the VPA power consumption NMs:Maryland 40GBrentwood 10GBrentwood 25GShenfieldUpdate is in test script for TXT to HEX value:BoroughTempleEA618472 was released to correct hex value in IDPROM. No impact to field.  All HW already addressed ahead of FCS. Allows documentation to 'catch up' with as-built products.</t>
        </is>
      </c>
      <c r="L733" s="43" t="inlineStr">
        <is>
          <t>Expired</t>
        </is>
      </c>
      <c r="M733" s="43" t="inlineStr">
        <is>
          <t>68-104009-02</t>
        </is>
      </c>
      <c r="N733" s="43" t="inlineStr"/>
      <c r="O733" s="43" t="inlineStr">
        <is>
          <t>2025-08-12</t>
        </is>
      </c>
      <c r="P733" s="33" t="inlineStr">
        <is>
          <t>For temporary Manufacturing process change</t>
        </is>
      </c>
      <c r="Q733" s="43" t="inlineStr">
        <is>
          <t>FJZ needs to do the validation with 5 units of each NMs and provide the hexdumps to PCO to ensure the product is being programmed correctly.   Maryland 40G - 51.00 Watts Brentwood 10G - 42.00 Watts Brentwood 25G - 42.00 Watts Borough - 19.00 Watts Shenfield - 60.00 Watts Temple - 38.00 Watts</t>
        </is>
      </c>
      <c r="R733" s="43" t="inlineStr">
        <is>
          <t>2025-05-15</t>
        </is>
      </c>
      <c r="S733" s="43" t="inlineStr">
        <is>
          <t>2025-05-30</t>
        </is>
      </c>
      <c r="T733" s="43" t="inlineStr"/>
      <c r="U733" s="43" t="inlineStr"/>
    </row>
    <row r="734">
      <c r="A734" s="43" t="n">
        <v>734</v>
      </c>
      <c r="B734" s="43" t="inlineStr">
        <is>
          <t>733</t>
        </is>
      </c>
      <c r="C734" s="43" t="inlineStr">
        <is>
          <t>FJZP</t>
        </is>
      </c>
      <c r="D734" s="43" t="inlineStr">
        <is>
          <t>Cisco</t>
        </is>
      </c>
      <c r="E734" s="43" t="inlineStr">
        <is>
          <t>MCGA</t>
        </is>
      </c>
      <c r="F734" s="43" t="inlineStr">
        <is>
          <t>037-STBU</t>
        </is>
      </c>
      <c r="G734" s="43" t="inlineStr">
        <is>
          <t>CTANJZ04607</t>
        </is>
      </c>
      <c r="H734" s="43" t="inlineStr">
        <is>
          <t>For temporary Manufacturing process change</t>
        </is>
      </c>
      <c r="I734" s="43" t="inlineStr">
        <is>
          <t>Customer Deviation</t>
        </is>
      </c>
      <c r="J734" s="43" t="inlineStr">
        <is>
          <t>D603592</t>
        </is>
      </c>
      <c r="K734" s="33" t="inlineStr">
        <is>
          <t>D603592 NGFWBU: Net mod Gen2 - PCAMAP/TANMAP update to correct the VPA power consumption NMs:Maryland 40GBrentwood 10GBrentwood 25GShenfieldUpdate is in test script for TXT to HEX value:BoroughTempleEA618472 was released to correct hex value in IDPROM. No impact to field.  All HW already addressed ahead of FCS. Allows documentation to 'catch up' with as-built products.</t>
        </is>
      </c>
      <c r="L734" s="43" t="inlineStr">
        <is>
          <t>Expired</t>
        </is>
      </c>
      <c r="M734" s="43" t="inlineStr">
        <is>
          <t>68-104010-01</t>
        </is>
      </c>
      <c r="N734" s="43" t="inlineStr"/>
      <c r="O734" s="43" t="inlineStr">
        <is>
          <t>2025-08-12</t>
        </is>
      </c>
      <c r="P734" s="33" t="inlineStr">
        <is>
          <t>For temporary Manufacturing process change</t>
        </is>
      </c>
      <c r="Q734" s="43" t="inlineStr">
        <is>
          <t>FJZ needs to do the validation with 5 units of each NMs and provide the hexdumps to PCO to ensure the product is being programmed correctly.   Maryland 40G - 51.00 Watts Brentwood 10G - 42.00 Watts Brentwood 25G - 42.00 Watts Borough - 19.00 Watts Shenfield - 60.00 Watts Temple - 38.00 Watts</t>
        </is>
      </c>
      <c r="R734" s="43" t="inlineStr">
        <is>
          <t>2025-05-15</t>
        </is>
      </c>
      <c r="S734" s="43" t="inlineStr">
        <is>
          <t>2025-05-30</t>
        </is>
      </c>
      <c r="T734" s="43" t="inlineStr"/>
      <c r="U734" s="43" t="inlineStr"/>
    </row>
    <row r="735">
      <c r="A735" s="43" t="n">
        <v>735</v>
      </c>
      <c r="B735" s="43" t="inlineStr">
        <is>
          <t>734</t>
        </is>
      </c>
      <c r="C735" s="43" t="inlineStr">
        <is>
          <t>FJZP</t>
        </is>
      </c>
      <c r="D735" s="43" t="inlineStr">
        <is>
          <t>Cisco</t>
        </is>
      </c>
      <c r="E735" s="43" t="inlineStr">
        <is>
          <t>MCGA</t>
        </is>
      </c>
      <c r="F735" s="43" t="inlineStr">
        <is>
          <t>018-SRGBU</t>
        </is>
      </c>
      <c r="G735" s="43" t="inlineStr">
        <is>
          <t>CTANJZ04612</t>
        </is>
      </c>
      <c r="H735" s="43" t="inlineStr">
        <is>
          <t>For temporary Manufacturing process change</t>
        </is>
      </c>
      <c r="I735" s="43" t="inlineStr">
        <is>
          <t>Customer Deviation</t>
        </is>
      </c>
      <c r="J735" s="43" t="inlineStr">
        <is>
          <t>D603710</t>
        </is>
      </c>
      <c r="K735" s="33" t="inlineStr">
        <is>
          <t>D603710 SRGBU: VG410 - Allow FOC to use non A0 parts to ship to customer.There is no HW difference from PP to Pilot; and the RDT units can be shipped to customer.Below are the CPNs and qtys:       CPN          Rev QTY      MPN74-129859-01 -05 28 74-129859-0174-129860-01 -05 29 74-129860-01800-51476-01 -01 43 74-130046-01</t>
        </is>
      </c>
      <c r="L735" s="43" t="inlineStr">
        <is>
          <t>Expired</t>
        </is>
      </c>
      <c r="M735" s="43" t="inlineStr">
        <is>
          <t>74-129859-01</t>
        </is>
      </c>
      <c r="N735" s="43" t="inlineStr"/>
      <c r="O735" s="43" t="inlineStr">
        <is>
          <t>2025-08-17</t>
        </is>
      </c>
      <c r="P735" s="33" t="inlineStr">
        <is>
          <t>For temporary Manufacturing process change</t>
        </is>
      </c>
      <c r="Q735" s="43" t="inlineStr">
        <is>
          <t>Place deviation label at the appropriate location on the unit.</t>
        </is>
      </c>
      <c r="R735" s="43" t="inlineStr">
        <is>
          <t>2025-05-20</t>
        </is>
      </c>
      <c r="S735" s="43" t="inlineStr">
        <is>
          <t>2025-06-03</t>
        </is>
      </c>
      <c r="T735" s="43" t="inlineStr"/>
      <c r="U735" s="43" t="inlineStr"/>
    </row>
    <row r="736">
      <c r="A736" s="43" t="n">
        <v>736</v>
      </c>
      <c r="B736" s="43" t="inlineStr">
        <is>
          <t>735</t>
        </is>
      </c>
      <c r="C736" s="43" t="inlineStr">
        <is>
          <t>FJZP</t>
        </is>
      </c>
      <c r="D736" s="43" t="inlineStr">
        <is>
          <t>Cisco</t>
        </is>
      </c>
      <c r="E736" s="43" t="inlineStr">
        <is>
          <t>MCGA</t>
        </is>
      </c>
      <c r="F736" s="43" t="inlineStr">
        <is>
          <t>018-SRGBU</t>
        </is>
      </c>
      <c r="G736" s="43" t="inlineStr">
        <is>
          <t>CTANJZ04612</t>
        </is>
      </c>
      <c r="H736" s="43" t="inlineStr">
        <is>
          <t>For temporary Manufacturing process change</t>
        </is>
      </c>
      <c r="I736" s="43" t="inlineStr">
        <is>
          <t>Customer Deviation</t>
        </is>
      </c>
      <c r="J736" s="43" t="inlineStr">
        <is>
          <t>D603710</t>
        </is>
      </c>
      <c r="K736" s="33" t="inlineStr">
        <is>
          <t>D603710 SRGBU: VG410 - Allow FOC to use non A0 parts to ship to customer.There is no HW difference from PP to Pilot; and the RDT units can be shipped to customer.Below are the CPNs and qtys:       CPN          Rev QTY      MPN74-129859-01 -05 28 74-129859-0174-129860-01 -05 29 74-129860-01800-51476-01 -01 43 74-130046-01</t>
        </is>
      </c>
      <c r="L736" s="43" t="inlineStr">
        <is>
          <t>Expired</t>
        </is>
      </c>
      <c r="M736" s="43" t="inlineStr">
        <is>
          <t>74-129860-01</t>
        </is>
      </c>
      <c r="N736" s="43" t="inlineStr"/>
      <c r="O736" s="43" t="inlineStr">
        <is>
          <t>2025-08-17</t>
        </is>
      </c>
      <c r="P736" s="33" t="inlineStr">
        <is>
          <t>For temporary Manufacturing process change</t>
        </is>
      </c>
      <c r="Q736" s="43" t="inlineStr">
        <is>
          <t>Place deviation label at the appropriate location on the unit.</t>
        </is>
      </c>
      <c r="R736" s="43" t="inlineStr">
        <is>
          <t>2025-05-20</t>
        </is>
      </c>
      <c r="S736" s="43" t="inlineStr">
        <is>
          <t>2025-06-03</t>
        </is>
      </c>
      <c r="T736" s="43" t="inlineStr"/>
      <c r="U736" s="43" t="inlineStr"/>
    </row>
    <row r="737">
      <c r="A737" s="43" t="n">
        <v>737</v>
      </c>
      <c r="B737" s="43" t="inlineStr">
        <is>
          <t>736</t>
        </is>
      </c>
      <c r="C737" s="43" t="inlineStr">
        <is>
          <t>FJZP</t>
        </is>
      </c>
      <c r="D737" s="43" t="inlineStr">
        <is>
          <t>Cisco</t>
        </is>
      </c>
      <c r="E737" s="43" t="inlineStr">
        <is>
          <t>MCGA</t>
        </is>
      </c>
      <c r="F737" s="43" t="inlineStr">
        <is>
          <t>018-SRGBU</t>
        </is>
      </c>
      <c r="G737" s="43" t="inlineStr">
        <is>
          <t>CTANJZ04612</t>
        </is>
      </c>
      <c r="H737" s="43" t="inlineStr">
        <is>
          <t>For temporary Manufacturing process change</t>
        </is>
      </c>
      <c r="I737" s="43" t="inlineStr">
        <is>
          <t>Customer Deviation</t>
        </is>
      </c>
      <c r="J737" s="43" t="inlineStr">
        <is>
          <t>D603710</t>
        </is>
      </c>
      <c r="K737" s="33" t="inlineStr">
        <is>
          <t>D603710 SRGBU: VG410 - Allow FOC to use non A0 parts to ship to customer.There is no HW difference from PP to Pilot; and the RDT units can be shipped to customer.Below are the CPNs and qtys:       CPN          Rev QTY      MPN74-129859-01 -05 28 74-129859-0174-129860-01 -05 29 74-129860-01800-51476-01 -01 43 74-130046-01</t>
        </is>
      </c>
      <c r="L737" s="43" t="inlineStr">
        <is>
          <t>Expired</t>
        </is>
      </c>
      <c r="M737" s="43" t="inlineStr">
        <is>
          <t>800-51476-01</t>
        </is>
      </c>
      <c r="N737" s="43" t="inlineStr"/>
      <c r="O737" s="43" t="inlineStr">
        <is>
          <t>2025-08-17</t>
        </is>
      </c>
      <c r="P737" s="33" t="inlineStr">
        <is>
          <t>For temporary Manufacturing process change</t>
        </is>
      </c>
      <c r="Q737" s="43" t="inlineStr">
        <is>
          <t>Place deviation label at the appropriate location on the unit.</t>
        </is>
      </c>
      <c r="R737" s="43" t="inlineStr">
        <is>
          <t>2025-05-20</t>
        </is>
      </c>
      <c r="S737" s="43" t="inlineStr">
        <is>
          <t>2025-06-03</t>
        </is>
      </c>
      <c r="T737" s="43" t="inlineStr"/>
      <c r="U737" s="43" t="inlineStr"/>
    </row>
    <row r="738">
      <c r="A738" s="43" t="n">
        <v>738</v>
      </c>
      <c r="B738" s="43" t="inlineStr">
        <is>
          <t>737</t>
        </is>
      </c>
      <c r="C738" s="43" t="inlineStr">
        <is>
          <t>FJZP</t>
        </is>
      </c>
      <c r="D738" s="43" t="inlineStr">
        <is>
          <t>Cisco</t>
        </is>
      </c>
      <c r="E738" s="43" t="inlineStr">
        <is>
          <t>MCGA</t>
        </is>
      </c>
      <c r="F738" s="43" t="inlineStr">
        <is>
          <t>035-CVEBU</t>
        </is>
      </c>
      <c r="G738" s="43" t="inlineStr">
        <is>
          <t>CTANJZ04613</t>
        </is>
      </c>
      <c r="H738" s="43" t="inlineStr">
        <is>
          <t>For temporary Manufacturing process change</t>
        </is>
      </c>
      <c r="I738" s="43" t="inlineStr">
        <is>
          <t>Customer Deviation</t>
        </is>
      </c>
      <c r="J738" s="43" t="inlineStr">
        <is>
          <t>D603986</t>
        </is>
      </c>
      <c r="K738"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L738" s="43" t="inlineStr">
        <is>
          <t>Expired</t>
        </is>
      </c>
      <c r="M738" s="43" t="inlineStr">
        <is>
          <t>29-101677-01</t>
        </is>
      </c>
      <c r="N738" s="43" t="inlineStr"/>
      <c r="O738" s="43" t="inlineStr">
        <is>
          <t>2025-08-17</t>
        </is>
      </c>
      <c r="P738" s="33" t="inlineStr">
        <is>
          <t>For temporary Manufacturing process change</t>
        </is>
      </c>
      <c r="Q738" s="43" t="inlineStr">
        <is>
          <t>No FFF change =&gt; No marking needed</t>
        </is>
      </c>
      <c r="R738" s="43" t="inlineStr">
        <is>
          <t>2025-05-20</t>
        </is>
      </c>
      <c r="S738" s="43" t="inlineStr">
        <is>
          <t>2025-06-03</t>
        </is>
      </c>
      <c r="T738" s="43" t="inlineStr"/>
      <c r="U738" s="43" t="inlineStr"/>
    </row>
    <row r="739">
      <c r="A739" s="43" t="n">
        <v>739</v>
      </c>
      <c r="B739" s="43" t="inlineStr">
        <is>
          <t>738</t>
        </is>
      </c>
      <c r="C739" s="43" t="inlineStr">
        <is>
          <t>FJZP</t>
        </is>
      </c>
      <c r="D739" s="43" t="inlineStr">
        <is>
          <t>Cisco</t>
        </is>
      </c>
      <c r="E739" s="43" t="inlineStr">
        <is>
          <t>MCGA</t>
        </is>
      </c>
      <c r="F739" s="43" t="inlineStr">
        <is>
          <t>035-CVEBU</t>
        </is>
      </c>
      <c r="G739" s="43" t="inlineStr">
        <is>
          <t>CTANJZ04613</t>
        </is>
      </c>
      <c r="H739" s="43" t="inlineStr">
        <is>
          <t>For temporary Manufacturing process change</t>
        </is>
      </c>
      <c r="I739" s="43" t="inlineStr">
        <is>
          <t>Customer Deviation</t>
        </is>
      </c>
      <c r="J739" s="43" t="inlineStr">
        <is>
          <t>D603986</t>
        </is>
      </c>
      <c r="K739"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L739" s="43" t="inlineStr">
        <is>
          <t>Expired</t>
        </is>
      </c>
      <c r="M739" s="43" t="inlineStr">
        <is>
          <t>73-101504-01</t>
        </is>
      </c>
      <c r="N739" s="43" t="inlineStr"/>
      <c r="O739" s="43" t="inlineStr">
        <is>
          <t>2025-08-17</t>
        </is>
      </c>
      <c r="P739" s="33" t="inlineStr">
        <is>
          <t>For temporary Manufacturing process change</t>
        </is>
      </c>
      <c r="Q739" s="43" t="inlineStr">
        <is>
          <t>No FFF change =&gt; No marking needed</t>
        </is>
      </c>
      <c r="R739" s="43" t="inlineStr">
        <is>
          <t>2025-05-20</t>
        </is>
      </c>
      <c r="S739" s="43" t="inlineStr">
        <is>
          <t>2025-06-03</t>
        </is>
      </c>
      <c r="T739" s="43" t="inlineStr"/>
      <c r="U739" s="43" t="inlineStr"/>
    </row>
    <row r="740">
      <c r="A740" s="43" t="n">
        <v>740</v>
      </c>
      <c r="B740" s="43" t="inlineStr">
        <is>
          <t>739</t>
        </is>
      </c>
      <c r="C740" s="43" t="inlineStr">
        <is>
          <t>FJZP</t>
        </is>
      </c>
      <c r="D740" s="43" t="inlineStr">
        <is>
          <t>Cisco</t>
        </is>
      </c>
      <c r="E740" s="43" t="inlineStr">
        <is>
          <t>MCGA</t>
        </is>
      </c>
      <c r="F740" s="43" t="inlineStr">
        <is>
          <t>035-CVEBU</t>
        </is>
      </c>
      <c r="G740" s="43" t="inlineStr">
        <is>
          <t>CTANJZ04613</t>
        </is>
      </c>
      <c r="H740" s="43" t="inlineStr">
        <is>
          <t>For temporary Manufacturing process change</t>
        </is>
      </c>
      <c r="I740" s="43" t="inlineStr">
        <is>
          <t>Customer Deviation</t>
        </is>
      </c>
      <c r="J740" s="43" t="inlineStr">
        <is>
          <t>D603986</t>
        </is>
      </c>
      <c r="K740"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L740" s="43" t="inlineStr">
        <is>
          <t>Expired</t>
        </is>
      </c>
      <c r="M740" s="43" t="inlineStr">
        <is>
          <t>73-102022-02</t>
        </is>
      </c>
      <c r="N740" s="43" t="inlineStr"/>
      <c r="O740" s="43" t="inlineStr">
        <is>
          <t>2025-08-17</t>
        </is>
      </c>
      <c r="P740" s="33" t="inlineStr">
        <is>
          <t>For temporary Manufacturing process change</t>
        </is>
      </c>
      <c r="Q740" s="43" t="inlineStr">
        <is>
          <t>No FFF change =&gt; No marking needed</t>
        </is>
      </c>
      <c r="R740" s="43" t="inlineStr">
        <is>
          <t>2025-05-20</t>
        </is>
      </c>
      <c r="S740" s="43" t="inlineStr">
        <is>
          <t>2025-06-03</t>
        </is>
      </c>
      <c r="T740" s="43" t="inlineStr"/>
      <c r="U740" s="43" t="inlineStr"/>
    </row>
    <row r="741">
      <c r="A741" s="43" t="n">
        <v>741</v>
      </c>
      <c r="B741" s="43" t="inlineStr">
        <is>
          <t>740</t>
        </is>
      </c>
      <c r="C741" s="43" t="inlineStr">
        <is>
          <t>FJZP</t>
        </is>
      </c>
      <c r="D741" s="43" t="inlineStr">
        <is>
          <t>Cisco</t>
        </is>
      </c>
      <c r="E741" s="43" t="inlineStr">
        <is>
          <t>MCGA</t>
        </is>
      </c>
      <c r="F741" s="43" t="inlineStr">
        <is>
          <t>037-STBU</t>
        </is>
      </c>
      <c r="G741" s="43" t="inlineStr">
        <is>
          <t>CTANJZ04552</t>
        </is>
      </c>
      <c r="H741" s="43" t="inlineStr">
        <is>
          <t>For temporary Manufacturing process change</t>
        </is>
      </c>
      <c r="I741" s="43" t="inlineStr">
        <is>
          <t>Customer Deviation</t>
        </is>
      </c>
      <c r="J741" s="43" t="inlineStr">
        <is>
          <t>D603244</t>
        </is>
      </c>
      <c r="K741" s="33" t="inlineStr">
        <is>
          <t>D603244 FJZ will to change the battery placement to 800-level on assy area for the KP products and do a manual discharge before placing the battery.Currently the D602143 allows FJZ to make the discharge and they are using 30 for the discharge; this deviation will request to do the discharge by 50 seconds because there are around 10% of failures on production line that are fixed by doing the discharge for 50 seconds; we intend to replicate this on production line to avoid the rework</t>
        </is>
      </c>
      <c r="L741" s="43" t="inlineStr">
        <is>
          <t>Expired</t>
        </is>
      </c>
      <c r="M741" s="43" t="inlineStr">
        <is>
          <t>73-17568-12</t>
        </is>
      </c>
      <c r="N741" s="43" t="inlineStr"/>
      <c r="O741" s="43" t="inlineStr">
        <is>
          <t>2025-07-07</t>
        </is>
      </c>
      <c r="P741" s="33" t="inlineStr">
        <is>
          <t>For temporary Manufacturing process change</t>
        </is>
      </c>
      <c r="Q741" s="43" t="inlineStr">
        <is>
          <t>Place DV number on the PCB</t>
        </is>
      </c>
      <c r="R741" s="43" t="inlineStr">
        <is>
          <t>2025-04-09</t>
        </is>
      </c>
      <c r="S741" s="43" t="inlineStr">
        <is>
          <t>2025-04-24</t>
        </is>
      </c>
      <c r="T741" s="43" t="inlineStr"/>
      <c r="U741" s="43" t="inlineStr"/>
    </row>
    <row r="742">
      <c r="A742" s="43" t="n">
        <v>742</v>
      </c>
      <c r="B742" s="43" t="inlineStr">
        <is>
          <t>741</t>
        </is>
      </c>
      <c r="C742" s="43" t="inlineStr">
        <is>
          <t>FJZP</t>
        </is>
      </c>
      <c r="D742" s="43" t="inlineStr">
        <is>
          <t>Cisco</t>
        </is>
      </c>
      <c r="E742" s="43" t="inlineStr">
        <is>
          <t>MCGA</t>
        </is>
      </c>
      <c r="F742" s="43" t="inlineStr">
        <is>
          <t>037-STBU</t>
        </is>
      </c>
      <c r="G742" s="43" t="inlineStr">
        <is>
          <t>CTANJZ04552</t>
        </is>
      </c>
      <c r="H742" s="43" t="inlineStr">
        <is>
          <t>For temporary Manufacturing process change</t>
        </is>
      </c>
      <c r="I742" s="43" t="inlineStr">
        <is>
          <t>Customer Deviation</t>
        </is>
      </c>
      <c r="J742" s="43" t="inlineStr">
        <is>
          <t>D603244</t>
        </is>
      </c>
      <c r="K742" s="33" t="inlineStr">
        <is>
          <t>D603244 FJZ will to change the battery placement to 800-level on assy area for the KP products and do a manual discharge before placing the battery.Currently the D602143 allows FJZ to make the discharge and they are using 30 for the discharge; this deviation will request to do the discharge by 50 seconds because there are around 10% of failures on production line that are fixed by doing the discharge for 50 seconds; we intend to replicate this on production line to avoid the rework</t>
        </is>
      </c>
      <c r="L742" s="43" t="inlineStr">
        <is>
          <t>Expired</t>
        </is>
      </c>
      <c r="M742" s="43" t="inlineStr">
        <is>
          <t>73-17569-10</t>
        </is>
      </c>
      <c r="N742" s="43" t="inlineStr"/>
      <c r="O742" s="43" t="inlineStr">
        <is>
          <t>2025-07-07</t>
        </is>
      </c>
      <c r="P742" s="33" t="inlineStr">
        <is>
          <t>For temporary Manufacturing process change</t>
        </is>
      </c>
      <c r="Q742" s="43" t="inlineStr">
        <is>
          <t>Place DV number on the PCB</t>
        </is>
      </c>
      <c r="R742" s="43" t="inlineStr">
        <is>
          <t>2025-04-09</t>
        </is>
      </c>
      <c r="S742" s="43" t="inlineStr">
        <is>
          <t>2025-04-24</t>
        </is>
      </c>
      <c r="T742" s="43" t="inlineStr"/>
      <c r="U742" s="43" t="inlineStr"/>
    </row>
    <row r="743">
      <c r="A743" s="43" t="n">
        <v>743</v>
      </c>
      <c r="B743" s="43" t="inlineStr">
        <is>
          <t>742</t>
        </is>
      </c>
      <c r="C743" s="43" t="inlineStr">
        <is>
          <t>FJZP</t>
        </is>
      </c>
      <c r="D743" s="43" t="inlineStr">
        <is>
          <t>Cisco</t>
        </is>
      </c>
      <c r="E743" s="43" t="inlineStr">
        <is>
          <t>MCGA</t>
        </is>
      </c>
      <c r="F743" s="43" t="inlineStr">
        <is>
          <t>037-STBU</t>
        </is>
      </c>
      <c r="G743" s="43" t="inlineStr">
        <is>
          <t>CTANJZ04552</t>
        </is>
      </c>
      <c r="H743" s="43" t="inlineStr">
        <is>
          <t>For temporary Manufacturing process change</t>
        </is>
      </c>
      <c r="I743" s="43" t="inlineStr">
        <is>
          <t>Customer Deviation</t>
        </is>
      </c>
      <c r="J743" s="43" t="inlineStr">
        <is>
          <t>D603244</t>
        </is>
      </c>
      <c r="K743" s="33" t="inlineStr">
        <is>
          <t>D603244 FJZ will to change the battery placement to 800-level on assy area for the KP products and do a manual discharge before placing the battery.Currently the D602143 allows FJZ to make the discharge and they are using 30 for the discharge; this deviation will request to do the discharge by 50 seconds because there are around 10% of failures on production line that are fixed by doing the discharge for 50 seconds; we intend to replicate this on production line to avoid the rework</t>
        </is>
      </c>
      <c r="L743" s="43" t="inlineStr">
        <is>
          <t>Expired</t>
        </is>
      </c>
      <c r="M743" s="43" t="inlineStr">
        <is>
          <t>73-17570-10</t>
        </is>
      </c>
      <c r="N743" s="43" t="inlineStr"/>
      <c r="O743" s="43" t="inlineStr">
        <is>
          <t>2025-07-07</t>
        </is>
      </c>
      <c r="P743" s="33" t="inlineStr">
        <is>
          <t>For temporary Manufacturing process change</t>
        </is>
      </c>
      <c r="Q743" s="43" t="inlineStr">
        <is>
          <t>Place DV number on the PCB</t>
        </is>
      </c>
      <c r="R743" s="43" t="inlineStr">
        <is>
          <t>2025-04-09</t>
        </is>
      </c>
      <c r="S743" s="43" t="inlineStr">
        <is>
          <t>2025-04-24</t>
        </is>
      </c>
      <c r="T743" s="43" t="inlineStr"/>
      <c r="U743" s="43" t="inlineStr"/>
    </row>
    <row r="744">
      <c r="A744" s="43" t="n">
        <v>744</v>
      </c>
      <c r="B744" s="43" t="inlineStr">
        <is>
          <t>743</t>
        </is>
      </c>
      <c r="C744" s="43" t="inlineStr">
        <is>
          <t>FJZP</t>
        </is>
      </c>
      <c r="D744" s="43" t="inlineStr">
        <is>
          <t>Cisco</t>
        </is>
      </c>
      <c r="E744" s="43" t="inlineStr">
        <is>
          <t>MCGA</t>
        </is>
      </c>
      <c r="F744" s="43" t="inlineStr">
        <is>
          <t>037-STBU</t>
        </is>
      </c>
      <c r="G744" s="43" t="inlineStr">
        <is>
          <t>CTANJZ04552</t>
        </is>
      </c>
      <c r="H744" s="43" t="inlineStr">
        <is>
          <t>For temporary Manufacturing process change</t>
        </is>
      </c>
      <c r="I744" s="43" t="inlineStr">
        <is>
          <t>Customer Deviation</t>
        </is>
      </c>
      <c r="J744" s="43" t="inlineStr">
        <is>
          <t>D603244</t>
        </is>
      </c>
      <c r="K744" s="33" t="inlineStr">
        <is>
          <t>D603244 FJZ will to change the battery placement to 800-level on assy area for the KP products and do a manual discharge before placing the battery.Currently the D602143 allows FJZ to make the discharge and they are using 30 for the discharge; this deviation will request to do the discharge by 50 seconds because there are around 10% of failures on production line that are fixed by doing the discharge for 50 seconds; we intend to replicate this on production line to avoid the rework</t>
        </is>
      </c>
      <c r="L744" s="43" t="inlineStr">
        <is>
          <t>Expired</t>
        </is>
      </c>
      <c r="M744" s="43" t="inlineStr">
        <is>
          <t>800-103842-08</t>
        </is>
      </c>
      <c r="N744" s="43" t="inlineStr"/>
      <c r="O744" s="43" t="inlineStr">
        <is>
          <t>2025-07-07</t>
        </is>
      </c>
      <c r="P744" s="33" t="inlineStr">
        <is>
          <t>For temporary Manufacturing process change</t>
        </is>
      </c>
      <c r="Q744" s="43" t="inlineStr">
        <is>
          <t>Place DV number on the PCB</t>
        </is>
      </c>
      <c r="R744" s="43" t="inlineStr">
        <is>
          <t>2025-04-09</t>
        </is>
      </c>
      <c r="S744" s="43" t="inlineStr">
        <is>
          <t>2025-04-24</t>
        </is>
      </c>
      <c r="T744" s="43" t="inlineStr"/>
      <c r="U744" s="43" t="inlineStr"/>
    </row>
    <row r="745">
      <c r="A745" s="43" t="n">
        <v>745</v>
      </c>
      <c r="B745" s="43" t="inlineStr">
        <is>
          <t>744</t>
        </is>
      </c>
      <c r="C745" s="43" t="inlineStr">
        <is>
          <t>FJZP</t>
        </is>
      </c>
      <c r="D745" s="43" t="inlineStr">
        <is>
          <t>Cisco</t>
        </is>
      </c>
      <c r="E745" s="43" t="inlineStr">
        <is>
          <t>MCGA</t>
        </is>
      </c>
      <c r="F745" s="43" t="inlineStr">
        <is>
          <t>037-STBU</t>
        </is>
      </c>
      <c r="G745" s="43" t="inlineStr">
        <is>
          <t>CTANJZ04552</t>
        </is>
      </c>
      <c r="H745" s="43" t="inlineStr">
        <is>
          <t>For temporary Manufacturing process change</t>
        </is>
      </c>
      <c r="I745" s="43" t="inlineStr">
        <is>
          <t>Customer Deviation</t>
        </is>
      </c>
      <c r="J745" s="43" t="inlineStr">
        <is>
          <t>D603244</t>
        </is>
      </c>
      <c r="K745" s="33" t="inlineStr">
        <is>
          <t>D603244 FJZ will to change the battery placement to 800-level on assy area for the KP products and do a manual discharge before placing the battery.Currently the D602143 allows FJZ to make the discharge and they are using 30 for the discharge; this deviation will request to do the discharge by 50 seconds because there are around 10% of failures on production line that are fixed by doing the discharge for 50 seconds; we intend to replicate this on production line to avoid the rework</t>
        </is>
      </c>
      <c r="L745" s="43" t="inlineStr">
        <is>
          <t>Expired</t>
        </is>
      </c>
      <c r="M745" s="43" t="inlineStr">
        <is>
          <t>800-103843-08</t>
        </is>
      </c>
      <c r="N745" s="43" t="inlineStr"/>
      <c r="O745" s="43" t="inlineStr">
        <is>
          <t>2025-07-07</t>
        </is>
      </c>
      <c r="P745" s="33" t="inlineStr">
        <is>
          <t>For temporary Manufacturing process change</t>
        </is>
      </c>
      <c r="Q745" s="43" t="inlineStr">
        <is>
          <t>Place DV number on the PCB</t>
        </is>
      </c>
      <c r="R745" s="43" t="inlineStr">
        <is>
          <t>2025-04-09</t>
        </is>
      </c>
      <c r="S745" s="43" t="inlineStr">
        <is>
          <t>2025-04-24</t>
        </is>
      </c>
      <c r="T745" s="43" t="inlineStr"/>
      <c r="U745" s="43" t="inlineStr"/>
    </row>
    <row r="746">
      <c r="A746" s="43" t="n">
        <v>746</v>
      </c>
      <c r="B746" s="43" t="inlineStr">
        <is>
          <t>745</t>
        </is>
      </c>
      <c r="C746" s="43" t="inlineStr">
        <is>
          <t>FJZP</t>
        </is>
      </c>
      <c r="D746" s="43" t="inlineStr">
        <is>
          <t>Cisco</t>
        </is>
      </c>
      <c r="E746" s="43" t="inlineStr">
        <is>
          <t>MCGA</t>
        </is>
      </c>
      <c r="F746" s="43" t="inlineStr">
        <is>
          <t>037-STBU</t>
        </is>
      </c>
      <c r="G746" s="43" t="inlineStr">
        <is>
          <t>CTANJZ04552</t>
        </is>
      </c>
      <c r="H746" s="43" t="inlineStr">
        <is>
          <t>For temporary Manufacturing process change</t>
        </is>
      </c>
      <c r="I746" s="43" t="inlineStr">
        <is>
          <t>Customer Deviation</t>
        </is>
      </c>
      <c r="J746" s="43" t="inlineStr">
        <is>
          <t>D603244</t>
        </is>
      </c>
      <c r="K746" s="33" t="inlineStr">
        <is>
          <t>D603244 FJZ will to change the battery placement to 800-level on assy area for the KP products and do a manual discharge before placing the battery.Currently the D602143 allows FJZ to make the discharge and they are using 30 for the discharge; this deviation will request to do the discharge by 50 seconds because there are around 10% of failures on production line that are fixed by doing the discharge for 50 seconds; we intend to replicate this on production line to avoid the rework</t>
        </is>
      </c>
      <c r="L746" s="43" t="inlineStr">
        <is>
          <t>Expired</t>
        </is>
      </c>
      <c r="M746" s="43" t="inlineStr">
        <is>
          <t>800-103844-08</t>
        </is>
      </c>
      <c r="N746" s="43" t="inlineStr"/>
      <c r="O746" s="43" t="inlineStr">
        <is>
          <t>2025-07-07</t>
        </is>
      </c>
      <c r="P746" s="33" t="inlineStr">
        <is>
          <t>For temporary Manufacturing process change</t>
        </is>
      </c>
      <c r="Q746" s="43" t="inlineStr">
        <is>
          <t>Place DV number on the PCB</t>
        </is>
      </c>
      <c r="R746" s="43" t="inlineStr">
        <is>
          <t>2025-04-09</t>
        </is>
      </c>
      <c r="S746" s="43" t="inlineStr">
        <is>
          <t>2025-04-24</t>
        </is>
      </c>
      <c r="T746" s="43" t="inlineStr"/>
      <c r="U746" s="43" t="inlineStr"/>
    </row>
    <row r="747">
      <c r="A747" s="43" t="n">
        <v>747</v>
      </c>
      <c r="B747" s="43" t="inlineStr">
        <is>
          <t>746</t>
        </is>
      </c>
      <c r="C747" s="43" t="inlineStr">
        <is>
          <t>FJZP</t>
        </is>
      </c>
      <c r="D747" s="43" t="inlineStr">
        <is>
          <t>Cisco</t>
        </is>
      </c>
      <c r="E747" s="43" t="inlineStr">
        <is>
          <t>MCGA</t>
        </is>
      </c>
      <c r="F747" s="43" t="inlineStr">
        <is>
          <t>037-STBU</t>
        </is>
      </c>
      <c r="G747" s="43" t="inlineStr">
        <is>
          <t>CTANJZ04552</t>
        </is>
      </c>
      <c r="H747" s="43" t="inlineStr">
        <is>
          <t>For temporary Manufacturing process change</t>
        </is>
      </c>
      <c r="I747" s="43" t="inlineStr">
        <is>
          <t>Customer Deviation</t>
        </is>
      </c>
      <c r="J747" s="43" t="inlineStr">
        <is>
          <t>D603244</t>
        </is>
      </c>
      <c r="K747" s="33" t="inlineStr">
        <is>
          <t>D603244 FJZ will to change the battery placement to 800-level on assy area for the KP products and do a manual discharge before placing the battery.Currently the D602143 allows FJZ to make the discharge and they are using 30 for the discharge; this deviation will request to do the discharge by 50 seconds because there are around 10% of failures on production line that are fixed by doing the discharge for 50 seconds; we intend to replicate this on production line to avoid the rework</t>
        </is>
      </c>
      <c r="L747" s="43" t="inlineStr">
        <is>
          <t>Expired</t>
        </is>
      </c>
      <c r="M747" s="43" t="inlineStr">
        <is>
          <t>800-103845-08</t>
        </is>
      </c>
      <c r="N747" s="43" t="inlineStr"/>
      <c r="O747" s="43" t="inlineStr">
        <is>
          <t>2025-07-07</t>
        </is>
      </c>
      <c r="P747" s="33" t="inlineStr">
        <is>
          <t>For temporary Manufacturing process change</t>
        </is>
      </c>
      <c r="Q747" s="43" t="inlineStr">
        <is>
          <t>Place DV number on the PCB</t>
        </is>
      </c>
      <c r="R747" s="43" t="inlineStr">
        <is>
          <t>2025-04-09</t>
        </is>
      </c>
      <c r="S747" s="43" t="inlineStr">
        <is>
          <t>2025-04-24</t>
        </is>
      </c>
      <c r="T747" s="43" t="inlineStr"/>
      <c r="U747" s="43" t="inlineStr"/>
    </row>
    <row r="748">
      <c r="A748" s="43" t="n">
        <v>748</v>
      </c>
      <c r="B748" s="43" t="inlineStr">
        <is>
          <t>747</t>
        </is>
      </c>
      <c r="C748" s="43" t="inlineStr">
        <is>
          <t>FJZP</t>
        </is>
      </c>
      <c r="D748" s="43" t="inlineStr">
        <is>
          <t>Cisco</t>
        </is>
      </c>
      <c r="E748" s="43" t="inlineStr">
        <is>
          <t>MCGA</t>
        </is>
      </c>
      <c r="F748" s="43" t="inlineStr">
        <is>
          <t>018-SRGBU</t>
        </is>
      </c>
      <c r="G748" s="43" t="inlineStr">
        <is>
          <t>CTANJZ04830</t>
        </is>
      </c>
      <c r="H748" s="43" t="inlineStr">
        <is>
          <t>For temporary Manufacturing process change</t>
        </is>
      </c>
      <c r="I748" s="43" t="inlineStr">
        <is>
          <t>Customer Deviation</t>
        </is>
      </c>
      <c r="J748" s="43" t="inlineStr">
        <is>
          <t>D604917</t>
        </is>
      </c>
      <c r="K748" s="33" t="inlineStr">
        <is>
          <t>D604917 Allow Foxconn to perform a 300-piece small batch verification build of Roku 5G using part number 700-124423-01 (Sears version without USB port hole) instead of part number 700-132589-01 (Roku 5G version with USB port). The TAN associated with this change is 68-7799-03.</t>
        </is>
      </c>
      <c r="L748" s="43" t="inlineStr">
        <is>
          <t>Expired</t>
        </is>
      </c>
      <c r="M748" s="43" t="inlineStr">
        <is>
          <t>68-7799-03</t>
        </is>
      </c>
      <c r="N748" s="43" t="inlineStr"/>
      <c r="O748" s="43" t="inlineStr">
        <is>
          <t>2025-10-02</t>
        </is>
      </c>
      <c r="P748" s="33" t="inlineStr">
        <is>
          <t>For temporary Manufacturing process change</t>
        </is>
      </c>
      <c r="Q748" s="43" t="inlineStr">
        <is>
          <t>No marking required.</t>
        </is>
      </c>
      <c r="R748" s="43" t="inlineStr">
        <is>
          <t>2025-09-12</t>
        </is>
      </c>
      <c r="S748" s="43" t="inlineStr">
        <is>
          <t>2025-09-24</t>
        </is>
      </c>
      <c r="T748" s="43" t="inlineStr"/>
      <c r="U748" s="43" t="inlineStr"/>
    </row>
    <row r="749">
      <c r="A749" s="43" t="n">
        <v>749</v>
      </c>
      <c r="B749" s="43" t="inlineStr">
        <is>
          <t>748</t>
        </is>
      </c>
      <c r="C749" s="43" t="inlineStr">
        <is>
          <t>FJZP</t>
        </is>
      </c>
      <c r="D749" s="43" t="inlineStr">
        <is>
          <t>Cisco</t>
        </is>
      </c>
      <c r="E749" s="43" t="inlineStr">
        <is>
          <t>MCGA</t>
        </is>
      </c>
      <c r="F749" s="43" t="inlineStr">
        <is>
          <t>035-CVEBU</t>
        </is>
      </c>
      <c r="G749" s="43" t="inlineStr">
        <is>
          <t>CTANJZ04613</t>
        </is>
      </c>
      <c r="H749" s="43" t="inlineStr">
        <is>
          <t>For temporary Manufacturing process change</t>
        </is>
      </c>
      <c r="I749" s="43" t="inlineStr">
        <is>
          <t>Customer Deviation</t>
        </is>
      </c>
      <c r="J749" s="43" t="inlineStr">
        <is>
          <t>D603986</t>
        </is>
      </c>
      <c r="K749"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L749" s="43" t="inlineStr">
        <is>
          <t>Expired</t>
        </is>
      </c>
      <c r="M749" s="43" t="inlineStr">
        <is>
          <t>73-102197-02</t>
        </is>
      </c>
      <c r="N749" s="43" t="inlineStr"/>
      <c r="O749" s="43" t="inlineStr">
        <is>
          <t>2025-08-17</t>
        </is>
      </c>
      <c r="P749" s="33" t="inlineStr">
        <is>
          <t>For temporary Manufacturing process change</t>
        </is>
      </c>
      <c r="Q749" s="43" t="inlineStr">
        <is>
          <t>No FFF change =&gt; No marking needed</t>
        </is>
      </c>
      <c r="R749" s="43" t="inlineStr">
        <is>
          <t>2025-05-20</t>
        </is>
      </c>
      <c r="S749" s="43" t="inlineStr">
        <is>
          <t>2025-06-03</t>
        </is>
      </c>
      <c r="T749" s="43" t="inlineStr"/>
      <c r="U749" s="43" t="inlineStr"/>
    </row>
    <row r="750">
      <c r="A750" s="43" t="n">
        <v>750</v>
      </c>
      <c r="B750" s="43" t="inlineStr">
        <is>
          <t>749</t>
        </is>
      </c>
      <c r="C750" s="43" t="inlineStr">
        <is>
          <t>FJZP</t>
        </is>
      </c>
      <c r="D750" s="43" t="inlineStr">
        <is>
          <t>Cisco</t>
        </is>
      </c>
      <c r="E750" s="43" t="inlineStr">
        <is>
          <t>MCGA</t>
        </is>
      </c>
      <c r="F750" s="43" t="inlineStr">
        <is>
          <t>035-CVEBU</t>
        </is>
      </c>
      <c r="G750" s="43" t="inlineStr">
        <is>
          <t>CTANJZ04613</t>
        </is>
      </c>
      <c r="H750" s="43" t="inlineStr">
        <is>
          <t>For temporary Manufacturing process change</t>
        </is>
      </c>
      <c r="I750" s="43" t="inlineStr">
        <is>
          <t>Customer Deviation</t>
        </is>
      </c>
      <c r="J750" s="43" t="inlineStr">
        <is>
          <t>D603986</t>
        </is>
      </c>
      <c r="K750"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L750" s="43" t="inlineStr">
        <is>
          <t>Expired</t>
        </is>
      </c>
      <c r="M750" s="43" t="inlineStr">
        <is>
          <t>73-102226-06</t>
        </is>
      </c>
      <c r="N750" s="43" t="inlineStr"/>
      <c r="O750" s="43" t="inlineStr">
        <is>
          <t>2025-08-17</t>
        </is>
      </c>
      <c r="P750" s="33" t="inlineStr">
        <is>
          <t>For temporary Manufacturing process change</t>
        </is>
      </c>
      <c r="Q750" s="43" t="inlineStr">
        <is>
          <t>No FFF change =&gt; No marking needed</t>
        </is>
      </c>
      <c r="R750" s="43" t="inlineStr">
        <is>
          <t>2025-05-20</t>
        </is>
      </c>
      <c r="S750" s="43" t="inlineStr">
        <is>
          <t>2025-06-03</t>
        </is>
      </c>
      <c r="T750" s="43" t="inlineStr"/>
      <c r="U750" s="43" t="inlineStr"/>
    </row>
    <row r="751">
      <c r="A751" s="43" t="n">
        <v>751</v>
      </c>
      <c r="B751" s="43" t="inlineStr">
        <is>
          <t>750</t>
        </is>
      </c>
      <c r="C751" s="43" t="inlineStr">
        <is>
          <t>FJZP</t>
        </is>
      </c>
      <c r="D751" s="43" t="inlineStr">
        <is>
          <t>Cisco</t>
        </is>
      </c>
      <c r="E751" s="43" t="inlineStr">
        <is>
          <t>MCGA</t>
        </is>
      </c>
      <c r="F751" s="43" t="inlineStr">
        <is>
          <t>035-CVEBU</t>
        </is>
      </c>
      <c r="G751" s="43" t="inlineStr">
        <is>
          <t>CTANJZ04613</t>
        </is>
      </c>
      <c r="H751" s="43" t="inlineStr">
        <is>
          <t>For temporary Manufacturing process change</t>
        </is>
      </c>
      <c r="I751" s="43" t="inlineStr">
        <is>
          <t>Customer Deviation</t>
        </is>
      </c>
      <c r="J751" s="43" t="inlineStr">
        <is>
          <t>D603986</t>
        </is>
      </c>
      <c r="K751"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L751" s="43" t="inlineStr">
        <is>
          <t>Expired</t>
        </is>
      </c>
      <c r="M751" s="43" t="inlineStr">
        <is>
          <t>73-102797-02</t>
        </is>
      </c>
      <c r="N751" s="43" t="inlineStr"/>
      <c r="O751" s="43" t="inlineStr">
        <is>
          <t>2025-08-17</t>
        </is>
      </c>
      <c r="P751" s="33" t="inlineStr">
        <is>
          <t>For temporary Manufacturing process change</t>
        </is>
      </c>
      <c r="Q751" s="43" t="inlineStr">
        <is>
          <t>No FFF change =&gt; No marking needed</t>
        </is>
      </c>
      <c r="R751" s="43" t="inlineStr">
        <is>
          <t>2025-05-20</t>
        </is>
      </c>
      <c r="S751" s="43" t="inlineStr">
        <is>
          <t>2025-06-03</t>
        </is>
      </c>
      <c r="T751" s="43" t="inlineStr"/>
      <c r="U751" s="43" t="inlineStr"/>
    </row>
    <row r="752">
      <c r="A752" s="43" t="n">
        <v>752</v>
      </c>
      <c r="B752" s="43" t="inlineStr">
        <is>
          <t>751</t>
        </is>
      </c>
      <c r="C752" s="43" t="inlineStr">
        <is>
          <t>FJZP</t>
        </is>
      </c>
      <c r="D752" s="43" t="inlineStr">
        <is>
          <t>Cisco</t>
        </is>
      </c>
      <c r="E752" s="43" t="inlineStr">
        <is>
          <t>MCGA</t>
        </is>
      </c>
      <c r="F752" s="43" t="inlineStr">
        <is>
          <t>035-CVEBU</t>
        </is>
      </c>
      <c r="G752" s="43" t="inlineStr">
        <is>
          <t>CTANJZ04613</t>
        </is>
      </c>
      <c r="H752" s="43" t="inlineStr">
        <is>
          <t>For temporary Manufacturing process change</t>
        </is>
      </c>
      <c r="I752" s="43" t="inlineStr">
        <is>
          <t>Customer Deviation</t>
        </is>
      </c>
      <c r="J752" s="43" t="inlineStr">
        <is>
          <t>D603986</t>
        </is>
      </c>
      <c r="K752"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L752" s="43" t="inlineStr">
        <is>
          <t>Expired</t>
        </is>
      </c>
      <c r="M752" s="43" t="inlineStr">
        <is>
          <t>73-103103-04</t>
        </is>
      </c>
      <c r="N752" s="43" t="inlineStr"/>
      <c r="O752" s="43" t="inlineStr">
        <is>
          <t>2025-08-17</t>
        </is>
      </c>
      <c r="P752" s="33" t="inlineStr">
        <is>
          <t>For temporary Manufacturing process change</t>
        </is>
      </c>
      <c r="Q752" s="43" t="inlineStr">
        <is>
          <t>No FFF change =&gt; No marking needed</t>
        </is>
      </c>
      <c r="R752" s="43" t="inlineStr">
        <is>
          <t>2025-05-20</t>
        </is>
      </c>
      <c r="S752" s="43" t="inlineStr">
        <is>
          <t>2025-06-03</t>
        </is>
      </c>
      <c r="T752" s="43" t="inlineStr"/>
      <c r="U752" s="43" t="inlineStr"/>
    </row>
    <row r="753">
      <c r="A753" s="43" t="n">
        <v>753</v>
      </c>
      <c r="B753" s="43" t="inlineStr">
        <is>
          <t>752</t>
        </is>
      </c>
      <c r="C753" s="43" t="inlineStr">
        <is>
          <t>FJZP</t>
        </is>
      </c>
      <c r="D753" s="43" t="inlineStr">
        <is>
          <t>Cisco</t>
        </is>
      </c>
      <c r="E753" s="43" t="inlineStr">
        <is>
          <t>MCGA</t>
        </is>
      </c>
      <c r="F753" s="43" t="inlineStr">
        <is>
          <t>035-CVEBU</t>
        </is>
      </c>
      <c r="G753" s="43" t="inlineStr">
        <is>
          <t>CTANJZ04613</t>
        </is>
      </c>
      <c r="H753" s="43" t="inlineStr">
        <is>
          <t>For temporary Manufacturing process change</t>
        </is>
      </c>
      <c r="I753" s="43" t="inlineStr">
        <is>
          <t>Customer Deviation</t>
        </is>
      </c>
      <c r="J753" s="43" t="inlineStr">
        <is>
          <t>D603986</t>
        </is>
      </c>
      <c r="K753"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L753" s="43" t="inlineStr">
        <is>
          <t>Expired</t>
        </is>
      </c>
      <c r="M753" s="43" t="inlineStr">
        <is>
          <t>73-103226-06</t>
        </is>
      </c>
      <c r="N753" s="43" t="inlineStr"/>
      <c r="O753" s="43" t="inlineStr">
        <is>
          <t>2025-08-17</t>
        </is>
      </c>
      <c r="P753" s="33" t="inlineStr">
        <is>
          <t>For temporary Manufacturing process change</t>
        </is>
      </c>
      <c r="Q753" s="43" t="inlineStr">
        <is>
          <t>No FFF change =&gt; No marking needed</t>
        </is>
      </c>
      <c r="R753" s="43" t="inlineStr">
        <is>
          <t>2025-05-20</t>
        </is>
      </c>
      <c r="S753" s="43" t="inlineStr">
        <is>
          <t>2025-06-03</t>
        </is>
      </c>
      <c r="T753" s="43" t="inlineStr"/>
      <c r="U753" s="43" t="inlineStr"/>
    </row>
    <row r="754">
      <c r="A754" s="43" t="n">
        <v>754</v>
      </c>
      <c r="B754" s="43" t="inlineStr">
        <is>
          <t>753</t>
        </is>
      </c>
      <c r="C754" s="43" t="inlineStr">
        <is>
          <t>FJZP</t>
        </is>
      </c>
      <c r="D754" s="43" t="inlineStr">
        <is>
          <t>Cisco</t>
        </is>
      </c>
      <c r="E754" s="43" t="inlineStr">
        <is>
          <t>MCGA</t>
        </is>
      </c>
      <c r="F754" s="43" t="inlineStr">
        <is>
          <t>037-STBU</t>
        </is>
      </c>
      <c r="G754" s="43" t="inlineStr">
        <is>
          <t>CTANJZ04515</t>
        </is>
      </c>
      <c r="H754" s="43" t="inlineStr">
        <is>
          <t>For temporary Manufacturing process change</t>
        </is>
      </c>
      <c r="I754" s="43" t="inlineStr">
        <is>
          <t>Customer Deviation</t>
        </is>
      </c>
      <c r="J754" s="43" t="inlineStr">
        <is>
          <t>D602888</t>
        </is>
      </c>
      <c r="K754" s="33" t="inlineStr">
        <is>
          <t>D602888 To re-program the IDPROM at PCBA functional test with the following command:diag nm2 program idprom write type-i d7 format-t dec data-w 4200This will provide a TLV setting of d7421068 at the IDPROM address of the VPA Power Consumption.</t>
        </is>
      </c>
      <c r="L754" s="43" t="inlineStr">
        <is>
          <t>Expired</t>
        </is>
      </c>
      <c r="M754" s="43" t="inlineStr">
        <is>
          <t>68-102707-04</t>
        </is>
      </c>
      <c r="N754" s="43" t="inlineStr"/>
      <c r="O754" s="43" t="inlineStr">
        <is>
          <t>2025-06-22</t>
        </is>
      </c>
      <c r="P754" s="33" t="inlineStr">
        <is>
          <t>For temporary Manufacturing process change</t>
        </is>
      </c>
      <c r="Q754" s="43" t="inlineStr">
        <is>
          <t>Put a deviation label on PCBA/ Chassis</t>
        </is>
      </c>
      <c r="R754" s="43" t="inlineStr">
        <is>
          <t>2025-03-25</t>
        </is>
      </c>
      <c r="S754" s="43" t="inlineStr">
        <is>
          <t>2025-04-03</t>
        </is>
      </c>
      <c r="T754" s="43" t="inlineStr"/>
      <c r="U754" s="43" t="inlineStr"/>
    </row>
    <row r="755">
      <c r="A755" s="43" t="n">
        <v>755</v>
      </c>
      <c r="B755" s="43" t="inlineStr">
        <is>
          <t>754</t>
        </is>
      </c>
      <c r="C755" s="43" t="inlineStr">
        <is>
          <t>FJZP</t>
        </is>
      </c>
      <c r="D755" s="43" t="inlineStr">
        <is>
          <t>Cisco</t>
        </is>
      </c>
      <c r="E755" s="43" t="inlineStr">
        <is>
          <t>MCGA</t>
        </is>
      </c>
      <c r="F755" s="43" t="inlineStr">
        <is>
          <t>035-CVEBU</t>
        </is>
      </c>
      <c r="G755" s="43" t="inlineStr">
        <is>
          <t>CTANJZ04518</t>
        </is>
      </c>
      <c r="H755" s="43" t="inlineStr">
        <is>
          <t>For temporary Manufacturing process change</t>
        </is>
      </c>
      <c r="I755" s="43" t="inlineStr">
        <is>
          <t>Customer Deviation</t>
        </is>
      </c>
      <c r="J755" s="43" t="inlineStr">
        <is>
          <t>D602944</t>
        </is>
      </c>
      <c r="K755" s="33" t="inlineStr">
        <is>
          <t>D602944 CVEBU: CS-CAM-PTZ4K+; add a prefix SVP in front of the manufacturer Serial number. This is an extension of D600834.</t>
        </is>
      </c>
      <c r="L755" s="43" t="inlineStr">
        <is>
          <t>Expired</t>
        </is>
      </c>
      <c r="M755" s="43" t="inlineStr">
        <is>
          <t>74-126086-02</t>
        </is>
      </c>
      <c r="N755" s="43" t="inlineStr"/>
      <c r="O755" s="43" t="inlineStr">
        <is>
          <t>2025-06-23</t>
        </is>
      </c>
      <c r="P755" s="33" t="inlineStr">
        <is>
          <t>For temporary Manufacturing process change</t>
        </is>
      </c>
      <c r="Q755" s="43" t="inlineStr">
        <is>
          <t>N/A</t>
        </is>
      </c>
      <c r="R755" s="43" t="inlineStr">
        <is>
          <t>2025-03-26</t>
        </is>
      </c>
      <c r="S755" s="43" t="inlineStr">
        <is>
          <t>2025-04-04</t>
        </is>
      </c>
      <c r="T755" s="43" t="inlineStr"/>
      <c r="U755" s="43" t="inlineStr"/>
    </row>
    <row r="756">
      <c r="A756" s="43" t="n">
        <v>756</v>
      </c>
      <c r="B756" s="43" t="inlineStr">
        <is>
          <t>755</t>
        </is>
      </c>
      <c r="C756" s="43" t="inlineStr">
        <is>
          <t>FJZP</t>
        </is>
      </c>
      <c r="D756" s="43" t="inlineStr">
        <is>
          <t>Cisco</t>
        </is>
      </c>
      <c r="E756" s="43" t="inlineStr">
        <is>
          <t>MCGA</t>
        </is>
      </c>
      <c r="F756" s="43" t="inlineStr">
        <is>
          <t>037-STBU</t>
        </is>
      </c>
      <c r="G756" s="43" t="inlineStr">
        <is>
          <t>CTANJZ04526</t>
        </is>
      </c>
      <c r="H756" s="43" t="inlineStr">
        <is>
          <t>For temporary Manufacturing process change</t>
        </is>
      </c>
      <c r="I756" s="43" t="inlineStr">
        <is>
          <t>Customer Deviation</t>
        </is>
      </c>
      <c r="J756" s="43" t="inlineStr">
        <is>
          <t>D603054</t>
        </is>
      </c>
      <c r="K756" s="33" t="inlineStr">
        <is>
          <t>D603054 NGFWBU: Netmod Gen-2 - To re-program the IDPROM at PCBA functional test to correct the VPA power consumption Hex value with the following command:Brentwood 10G : diag nm2 program idprom write type-i d7 format-t dec data-w 4200Brentwood 25G : diag nm2 program idprom write type-i d7 format-t dec data-w 5000Maryland 40G : diag nm2 program idprom write type-i d7 format-t dec data-w 5100Shenfield : diag nm2 program idprom write type-i d7 format-t dec data-w 6000</t>
        </is>
      </c>
      <c r="L756" s="43" t="inlineStr">
        <is>
          <t>Expired</t>
        </is>
      </c>
      <c r="M756" s="43" t="inlineStr">
        <is>
          <t>68-102608-04</t>
        </is>
      </c>
      <c r="N756" s="43" t="inlineStr"/>
      <c r="O756" s="43" t="inlineStr">
        <is>
          <t>2025-06-24</t>
        </is>
      </c>
      <c r="P756" s="33" t="inlineStr">
        <is>
          <t>For temporary Manufacturing process change</t>
        </is>
      </c>
      <c r="Q756" s="43" t="inlineStr">
        <is>
          <t>Put a deviation label at PCBA</t>
        </is>
      </c>
      <c r="R756" s="43" t="inlineStr">
        <is>
          <t>2025-03-27</t>
        </is>
      </c>
      <c r="S756" s="43" t="inlineStr">
        <is>
          <t>2025-04-05</t>
        </is>
      </c>
      <c r="T756" s="43" t="inlineStr"/>
      <c r="U756" s="43" t="inlineStr"/>
    </row>
    <row r="757">
      <c r="A757" s="43" t="n">
        <v>757</v>
      </c>
      <c r="B757" s="43" t="inlineStr">
        <is>
          <t>756</t>
        </is>
      </c>
      <c r="C757" s="43" t="inlineStr">
        <is>
          <t>FJZP</t>
        </is>
      </c>
      <c r="D757" s="43" t="inlineStr">
        <is>
          <t>Cisco</t>
        </is>
      </c>
      <c r="E757" s="43" t="inlineStr">
        <is>
          <t>MCGA</t>
        </is>
      </c>
      <c r="F757" s="43" t="inlineStr">
        <is>
          <t>037-STBU</t>
        </is>
      </c>
      <c r="G757" s="43" t="inlineStr">
        <is>
          <t>CTANJZ04526</t>
        </is>
      </c>
      <c r="H757" s="43" t="inlineStr">
        <is>
          <t>For temporary Manufacturing process change</t>
        </is>
      </c>
      <c r="I757" s="43" t="inlineStr">
        <is>
          <t>Customer Deviation</t>
        </is>
      </c>
      <c r="J757" s="43" t="inlineStr">
        <is>
          <t>D603054</t>
        </is>
      </c>
      <c r="K757" s="33" t="inlineStr">
        <is>
          <t>D603054 NGFWBU: Netmod Gen-2 - To re-program the IDPROM at PCBA functional test to correct the VPA power consumption Hex value with the following command:Brentwood 10G : diag nm2 program idprom write type-i d7 format-t dec data-w 4200Brentwood 25G : diag nm2 program idprom write type-i d7 format-t dec data-w 5000Maryland 40G : diag nm2 program idprom write type-i d7 format-t dec data-w 5100Shenfield : diag nm2 program idprom write type-i d7 format-t dec data-w 6000</t>
        </is>
      </c>
      <c r="L757" s="43" t="inlineStr">
        <is>
          <t>Expired</t>
        </is>
      </c>
      <c r="M757" s="43" t="inlineStr">
        <is>
          <t>68-102707-04</t>
        </is>
      </c>
      <c r="N757" s="43" t="inlineStr"/>
      <c r="O757" s="43" t="inlineStr">
        <is>
          <t>2025-06-24</t>
        </is>
      </c>
      <c r="P757" s="33" t="inlineStr">
        <is>
          <t>For temporary Manufacturing process change</t>
        </is>
      </c>
      <c r="Q757" s="43" t="inlineStr">
        <is>
          <t>Put a deviation label at PCBA</t>
        </is>
      </c>
      <c r="R757" s="43" t="inlineStr">
        <is>
          <t>2025-03-27</t>
        </is>
      </c>
      <c r="S757" s="43" t="inlineStr">
        <is>
          <t>2025-04-05</t>
        </is>
      </c>
      <c r="T757" s="43" t="inlineStr"/>
      <c r="U757" s="43" t="inlineStr"/>
    </row>
    <row r="758">
      <c r="A758" s="43" t="n">
        <v>758</v>
      </c>
      <c r="B758" s="43" t="inlineStr">
        <is>
          <t>757</t>
        </is>
      </c>
      <c r="C758" s="43" t="inlineStr">
        <is>
          <t>FJZP</t>
        </is>
      </c>
      <c r="D758" s="43" t="inlineStr">
        <is>
          <t>Cisco</t>
        </is>
      </c>
      <c r="E758" s="43" t="inlineStr">
        <is>
          <t>MCGA</t>
        </is>
      </c>
      <c r="F758" s="43" t="inlineStr">
        <is>
          <t>037-STBU</t>
        </is>
      </c>
      <c r="G758" s="43" t="inlineStr">
        <is>
          <t>CTANJZ04526</t>
        </is>
      </c>
      <c r="H758" s="43" t="inlineStr">
        <is>
          <t>For temporary Manufacturing process change</t>
        </is>
      </c>
      <c r="I758" s="43" t="inlineStr">
        <is>
          <t>Customer Deviation</t>
        </is>
      </c>
      <c r="J758" s="43" t="inlineStr">
        <is>
          <t>D603054</t>
        </is>
      </c>
      <c r="K758" s="33" t="inlineStr">
        <is>
          <t>D603054 NGFWBU: Netmod Gen-2 - To re-program the IDPROM at PCBA functional test to correct the VPA power consumption Hex value with the following command:Brentwood 10G : diag nm2 program idprom write type-i d7 format-t dec data-w 4200Brentwood 25G : diag nm2 program idprom write type-i d7 format-t dec data-w 5000Maryland 40G : diag nm2 program idprom write type-i d7 format-t dec data-w 5100Shenfield : diag nm2 program idprom write type-i d7 format-t dec data-w 6000</t>
        </is>
      </c>
      <c r="L758" s="43" t="inlineStr">
        <is>
          <t>Expired</t>
        </is>
      </c>
      <c r="M758" s="43" t="inlineStr">
        <is>
          <t>68-102763-04</t>
        </is>
      </c>
      <c r="N758" s="43" t="inlineStr"/>
      <c r="O758" s="43" t="inlineStr">
        <is>
          <t>2025-06-24</t>
        </is>
      </c>
      <c r="P758" s="33" t="inlineStr">
        <is>
          <t>For temporary Manufacturing process change</t>
        </is>
      </c>
      <c r="Q758" s="43" t="inlineStr">
        <is>
          <t>Put a deviation label at PCBA</t>
        </is>
      </c>
      <c r="R758" s="43" t="inlineStr">
        <is>
          <t>2025-03-27</t>
        </is>
      </c>
      <c r="S758" s="43" t="inlineStr">
        <is>
          <t>2025-04-05</t>
        </is>
      </c>
      <c r="T758" s="43" t="inlineStr"/>
      <c r="U758" s="43" t="inlineStr"/>
    </row>
    <row r="759">
      <c r="A759" s="43" t="n">
        <v>759</v>
      </c>
      <c r="B759" s="43" t="inlineStr">
        <is>
          <t>758</t>
        </is>
      </c>
      <c r="C759" s="43" t="inlineStr">
        <is>
          <t>FJZP</t>
        </is>
      </c>
      <c r="D759" s="43" t="inlineStr">
        <is>
          <t>Cisco</t>
        </is>
      </c>
      <c r="E759" s="43" t="inlineStr">
        <is>
          <t>MCGA</t>
        </is>
      </c>
      <c r="F759" s="43" t="inlineStr">
        <is>
          <t>037-STBU</t>
        </is>
      </c>
      <c r="G759" s="43" t="inlineStr">
        <is>
          <t>CTANJZ04526</t>
        </is>
      </c>
      <c r="H759" s="43" t="inlineStr">
        <is>
          <t>For temporary Manufacturing process change</t>
        </is>
      </c>
      <c r="I759" s="43" t="inlineStr">
        <is>
          <t>Customer Deviation</t>
        </is>
      </c>
      <c r="J759" s="43" t="inlineStr">
        <is>
          <t>D603054</t>
        </is>
      </c>
      <c r="K759" s="33" t="inlineStr">
        <is>
          <t>D603054 NGFWBU: Netmod Gen-2 - To re-program the IDPROM at PCBA functional test to correct the VPA power consumption Hex value with the following command:Brentwood 10G : diag nm2 program idprom write type-i d7 format-t dec data-w 4200Brentwood 25G : diag nm2 program idprom write type-i d7 format-t dec data-w 5000Maryland 40G : diag nm2 program idprom write type-i d7 format-t dec data-w 5100Shenfield : diag nm2 program idprom write type-i d7 format-t dec data-w 6000</t>
        </is>
      </c>
      <c r="L759" s="43" t="inlineStr">
        <is>
          <t>Expired</t>
        </is>
      </c>
      <c r="M759" s="43" t="inlineStr">
        <is>
          <t>68-103908-02</t>
        </is>
      </c>
      <c r="N759" s="43" t="inlineStr"/>
      <c r="O759" s="43" t="inlineStr">
        <is>
          <t>2025-06-24</t>
        </is>
      </c>
      <c r="P759" s="33" t="inlineStr">
        <is>
          <t>For temporary Manufacturing process change</t>
        </is>
      </c>
      <c r="Q759" s="43" t="inlineStr">
        <is>
          <t>Put a deviation label at PCBA</t>
        </is>
      </c>
      <c r="R759" s="43" t="inlineStr">
        <is>
          <t>2025-03-27</t>
        </is>
      </c>
      <c r="S759" s="43" t="inlineStr">
        <is>
          <t>2025-04-05</t>
        </is>
      </c>
      <c r="T759" s="43" t="inlineStr"/>
      <c r="U759" s="43" t="inlineStr"/>
    </row>
    <row r="760">
      <c r="A760" s="43" t="n">
        <v>760</v>
      </c>
      <c r="B760" s="43" t="inlineStr">
        <is>
          <t>759</t>
        </is>
      </c>
      <c r="C760" s="43" t="inlineStr">
        <is>
          <t>FJZP</t>
        </is>
      </c>
      <c r="D760" s="43" t="inlineStr">
        <is>
          <t>Cisco</t>
        </is>
      </c>
      <c r="E760" s="43" t="inlineStr">
        <is>
          <t>MCGA</t>
        </is>
      </c>
      <c r="F760" s="43" t="inlineStr">
        <is>
          <t>037-STBU</t>
        </is>
      </c>
      <c r="G760" s="43" t="inlineStr">
        <is>
          <t>CTANJZ04691</t>
        </is>
      </c>
      <c r="H760" s="43" t="inlineStr">
        <is>
          <t>For temporary Manufacturing process change</t>
        </is>
      </c>
      <c r="I760" s="43" t="inlineStr">
        <is>
          <t>Customer Deviation</t>
        </is>
      </c>
      <c r="J760" s="43" t="inlineStr">
        <is>
          <t>D604637</t>
        </is>
      </c>
      <c r="K760" s="33" t="inlineStr">
        <is>
          <t>D604637 Deviation created to allow FJZ to test Tufnell units from Bone Pile with old revision for temporary manufacturing process changes.</t>
        </is>
      </c>
      <c r="L760" s="43" t="inlineStr">
        <is>
          <t>Expired</t>
        </is>
      </c>
      <c r="M760" s="43" t="inlineStr">
        <is>
          <t>68-7253-04</t>
        </is>
      </c>
      <c r="N760" s="43" t="inlineStr"/>
      <c r="O760" s="43" t="inlineStr">
        <is>
          <t>2025-09-23</t>
        </is>
      </c>
      <c r="P760" s="33" t="inlineStr">
        <is>
          <t>For temporary Manufacturing process change</t>
        </is>
      </c>
      <c r="Q760" s="43" t="inlineStr">
        <is>
          <t>Stick the dev label in a visible place of the unit</t>
        </is>
      </c>
      <c r="R760" s="43" t="inlineStr">
        <is>
          <t>2025-06-26</t>
        </is>
      </c>
      <c r="S760" s="43" t="inlineStr">
        <is>
          <t>2025-07-15</t>
        </is>
      </c>
      <c r="T760" s="43" t="inlineStr"/>
      <c r="U760" s="43" t="inlineStr"/>
    </row>
    <row r="761">
      <c r="A761" s="43" t="n">
        <v>761</v>
      </c>
      <c r="B761" s="43" t="inlineStr">
        <is>
          <t>760</t>
        </is>
      </c>
      <c r="C761" s="43" t="inlineStr">
        <is>
          <t>FJZP</t>
        </is>
      </c>
      <c r="D761" s="43" t="inlineStr">
        <is>
          <t>Cisco</t>
        </is>
      </c>
      <c r="E761" s="43" t="inlineStr">
        <is>
          <t>MCGA</t>
        </is>
      </c>
      <c r="F761" s="43" t="inlineStr">
        <is>
          <t>037-STBU</t>
        </is>
      </c>
      <c r="G761" s="43" t="inlineStr">
        <is>
          <t>CTANJZ04691</t>
        </is>
      </c>
      <c r="H761" s="43" t="inlineStr">
        <is>
          <t>For temporary Manufacturing process change</t>
        </is>
      </c>
      <c r="I761" s="43" t="inlineStr">
        <is>
          <t>Customer Deviation</t>
        </is>
      </c>
      <c r="J761" s="43" t="inlineStr">
        <is>
          <t>D604637</t>
        </is>
      </c>
      <c r="K761" s="33" t="inlineStr">
        <is>
          <t>D604637 Deviation created to allow FJZ to test Tufnell units from Bone Pile with old revision for temporary manufacturing process changes.</t>
        </is>
      </c>
      <c r="L761" s="43" t="inlineStr">
        <is>
          <t>Expired</t>
        </is>
      </c>
      <c r="M761" s="43" t="inlineStr">
        <is>
          <t>68-7254-04</t>
        </is>
      </c>
      <c r="N761" s="43" t="inlineStr"/>
      <c r="O761" s="43" t="inlineStr">
        <is>
          <t>2025-09-23</t>
        </is>
      </c>
      <c r="P761" s="33" t="inlineStr">
        <is>
          <t>For temporary Manufacturing process change</t>
        </is>
      </c>
      <c r="Q761" s="43" t="inlineStr">
        <is>
          <t>Stick the dev label in a visible place of the unit</t>
        </is>
      </c>
      <c r="R761" s="43" t="inlineStr">
        <is>
          <t>2025-06-26</t>
        </is>
      </c>
      <c r="S761" s="43" t="inlineStr">
        <is>
          <t>2025-07-15</t>
        </is>
      </c>
      <c r="T761" s="43" t="inlineStr"/>
      <c r="U761" s="43" t="inlineStr"/>
    </row>
    <row r="762">
      <c r="A762" s="43" t="n">
        <v>762</v>
      </c>
      <c r="B762" s="43" t="inlineStr">
        <is>
          <t>761</t>
        </is>
      </c>
      <c r="C762" s="43" t="inlineStr">
        <is>
          <t>FJZP</t>
        </is>
      </c>
      <c r="D762" s="43" t="inlineStr">
        <is>
          <t>Cisco</t>
        </is>
      </c>
      <c r="E762" s="43" t="inlineStr">
        <is>
          <t>MCGA</t>
        </is>
      </c>
      <c r="F762" s="43" t="inlineStr">
        <is>
          <t>037-STBU</t>
        </is>
      </c>
      <c r="G762" s="43" t="inlineStr">
        <is>
          <t>CTANJZ04691</t>
        </is>
      </c>
      <c r="H762" s="43" t="inlineStr">
        <is>
          <t>For temporary Manufacturing process change</t>
        </is>
      </c>
      <c r="I762" s="43" t="inlineStr">
        <is>
          <t>Customer Deviation</t>
        </is>
      </c>
      <c r="J762" s="43" t="inlineStr">
        <is>
          <t>D604637</t>
        </is>
      </c>
      <c r="K762" s="33" t="inlineStr">
        <is>
          <t>D604637 Deviation created to allow FJZ to test Tufnell units from Bone Pile with old revision for temporary manufacturing process changes.</t>
        </is>
      </c>
      <c r="L762" s="43" t="inlineStr">
        <is>
          <t>Expired</t>
        </is>
      </c>
      <c r="M762" s="43" t="inlineStr">
        <is>
          <t>68-7255-04</t>
        </is>
      </c>
      <c r="N762" s="43" t="inlineStr"/>
      <c r="O762" s="43" t="inlineStr">
        <is>
          <t>2025-09-23</t>
        </is>
      </c>
      <c r="P762" s="33" t="inlineStr">
        <is>
          <t>For temporary Manufacturing process change</t>
        </is>
      </c>
      <c r="Q762" s="43" t="inlineStr">
        <is>
          <t>Stick the dev label in a visible place of the unit</t>
        </is>
      </c>
      <c r="R762" s="43" t="inlineStr">
        <is>
          <t>2025-06-26</t>
        </is>
      </c>
      <c r="S762" s="43" t="inlineStr">
        <is>
          <t>2025-07-15</t>
        </is>
      </c>
      <c r="T762" s="43" t="inlineStr"/>
      <c r="U762" s="43" t="inlineStr"/>
    </row>
    <row r="763">
      <c r="A763" s="43" t="n">
        <v>763</v>
      </c>
      <c r="B763" s="43" t="inlineStr">
        <is>
          <t>762</t>
        </is>
      </c>
      <c r="C763" s="43" t="inlineStr">
        <is>
          <t>FJZP</t>
        </is>
      </c>
      <c r="D763" s="43" t="inlineStr">
        <is>
          <t>Cisco</t>
        </is>
      </c>
      <c r="E763" s="43" t="inlineStr">
        <is>
          <t>MCGA</t>
        </is>
      </c>
      <c r="F763" s="43" t="inlineStr">
        <is>
          <t>037-STBU</t>
        </is>
      </c>
      <c r="G763" s="43" t="inlineStr">
        <is>
          <t>CTANJZ04691</t>
        </is>
      </c>
      <c r="H763" s="43" t="inlineStr">
        <is>
          <t>For temporary Manufacturing process change</t>
        </is>
      </c>
      <c r="I763" s="43" t="inlineStr">
        <is>
          <t>Customer Deviation</t>
        </is>
      </c>
      <c r="J763" s="43" t="inlineStr">
        <is>
          <t>D604637</t>
        </is>
      </c>
      <c r="K763" s="33" t="inlineStr">
        <is>
          <t>D604637 Deviation created to allow FJZ to test Tufnell units from Bone Pile with old revision for temporary manufacturing process changes.</t>
        </is>
      </c>
      <c r="L763" s="43" t="inlineStr">
        <is>
          <t>Expired</t>
        </is>
      </c>
      <c r="M763" s="43" t="inlineStr">
        <is>
          <t>68-7256-04</t>
        </is>
      </c>
      <c r="N763" s="43" t="inlineStr"/>
      <c r="O763" s="43" t="inlineStr">
        <is>
          <t>2025-09-23</t>
        </is>
      </c>
      <c r="P763" s="33" t="inlineStr">
        <is>
          <t>For temporary Manufacturing process change</t>
        </is>
      </c>
      <c r="Q763" s="43" t="inlineStr">
        <is>
          <t>Stick the dev label in a visible place of the unit</t>
        </is>
      </c>
      <c r="R763" s="43" t="inlineStr">
        <is>
          <t>2025-06-26</t>
        </is>
      </c>
      <c r="S763" s="43" t="inlineStr">
        <is>
          <t>2025-07-15</t>
        </is>
      </c>
      <c r="T763" s="43" t="inlineStr"/>
      <c r="U763" s="43" t="inlineStr"/>
    </row>
    <row r="764">
      <c r="A764" s="43" t="n">
        <v>764</v>
      </c>
      <c r="B764" s="43" t="inlineStr">
        <is>
          <t>763</t>
        </is>
      </c>
      <c r="C764" s="43" t="inlineStr">
        <is>
          <t>FJZP</t>
        </is>
      </c>
      <c r="D764" s="43" t="inlineStr">
        <is>
          <t>Cisco</t>
        </is>
      </c>
      <c r="E764" s="43" t="inlineStr">
        <is>
          <t>MCGA</t>
        </is>
      </c>
      <c r="F764" s="43" t="inlineStr">
        <is>
          <t>018-SRGBU</t>
        </is>
      </c>
      <c r="G764" s="43" t="inlineStr">
        <is>
          <t>CTANJZ04588</t>
        </is>
      </c>
      <c r="H764" s="43" t="inlineStr">
        <is>
          <t>For temporary Manufacturing process change</t>
        </is>
      </c>
      <c r="I764" s="43" t="inlineStr">
        <is>
          <t>Customer Deviation</t>
        </is>
      </c>
      <c r="J764" s="43" t="inlineStr">
        <is>
          <t>D603105</t>
        </is>
      </c>
      <c r="K764" s="33" t="inlineStr">
        <is>
          <t>D603105 DF site to immediately implement 56-102310-01 rev. E0 on Betelgeuse PIDs</t>
        </is>
      </c>
      <c r="L764" s="43" t="inlineStr">
        <is>
          <t>Expired</t>
        </is>
      </c>
      <c r="M764" s="43" t="inlineStr">
        <is>
          <t>800-49807-03</t>
        </is>
      </c>
      <c r="N764" s="43" t="inlineStr"/>
      <c r="O764" s="43" t="inlineStr">
        <is>
          <t>2025-07-30</t>
        </is>
      </c>
      <c r="P764" s="33" t="inlineStr">
        <is>
          <t>For temporary Manufacturing process change</t>
        </is>
      </c>
      <c r="Q764" s="43" t="inlineStr">
        <is>
          <t>no marking is required</t>
        </is>
      </c>
      <c r="R764" s="43" t="inlineStr">
        <is>
          <t>2025-05-05</t>
        </is>
      </c>
      <c r="S764" s="43" t="inlineStr">
        <is>
          <t>2025-05-19</t>
        </is>
      </c>
      <c r="T764" s="43" t="inlineStr"/>
      <c r="U764" s="43" t="inlineStr"/>
    </row>
    <row r="765">
      <c r="A765" s="43" t="n">
        <v>765</v>
      </c>
      <c r="B765" s="43" t="inlineStr">
        <is>
          <t>764</t>
        </is>
      </c>
      <c r="C765" s="43" t="inlineStr">
        <is>
          <t>FJZP</t>
        </is>
      </c>
      <c r="D765" s="43" t="inlineStr">
        <is>
          <t>Cisco</t>
        </is>
      </c>
      <c r="E765" s="43" t="inlineStr">
        <is>
          <t>MCGA</t>
        </is>
      </c>
      <c r="F765" s="43" t="inlineStr">
        <is>
          <t>018-SRGBU</t>
        </is>
      </c>
      <c r="G765" s="43" t="inlineStr">
        <is>
          <t>CTANJZ04588</t>
        </is>
      </c>
      <c r="H765" s="43" t="inlineStr">
        <is>
          <t>For temporary Manufacturing process change</t>
        </is>
      </c>
      <c r="I765" s="43" t="inlineStr">
        <is>
          <t>Customer Deviation</t>
        </is>
      </c>
      <c r="J765" s="43" t="inlineStr">
        <is>
          <t>D603105</t>
        </is>
      </c>
      <c r="K765" s="33" t="inlineStr">
        <is>
          <t>D603105 DF site to immediately implement 56-102310-01 rev. E0 on Betelgeuse PIDs</t>
        </is>
      </c>
      <c r="L765" s="43" t="inlineStr">
        <is>
          <t>Expired</t>
        </is>
      </c>
      <c r="M765" s="43" t="inlineStr">
        <is>
          <t>800-49808-03</t>
        </is>
      </c>
      <c r="N765" s="43" t="inlineStr"/>
      <c r="O765" s="43" t="inlineStr">
        <is>
          <t>2025-07-30</t>
        </is>
      </c>
      <c r="P765" s="33" t="inlineStr">
        <is>
          <t>For temporary Manufacturing process change</t>
        </is>
      </c>
      <c r="Q765" s="43" t="inlineStr">
        <is>
          <t>no marking is required</t>
        </is>
      </c>
      <c r="R765" s="43" t="inlineStr">
        <is>
          <t>2025-05-05</t>
        </is>
      </c>
      <c r="S765" s="43" t="inlineStr">
        <is>
          <t>2025-05-19</t>
        </is>
      </c>
      <c r="T765" s="43" t="inlineStr"/>
      <c r="U765" s="43" t="inlineStr"/>
    </row>
    <row r="766">
      <c r="A766" s="43" t="n">
        <v>766</v>
      </c>
      <c r="B766" s="43" t="inlineStr">
        <is>
          <t>765</t>
        </is>
      </c>
      <c r="C766" s="43" t="inlineStr">
        <is>
          <t>FJZP</t>
        </is>
      </c>
      <c r="D766" s="43" t="inlineStr">
        <is>
          <t>Cisco</t>
        </is>
      </c>
      <c r="E766" s="43" t="inlineStr">
        <is>
          <t>MCGA</t>
        </is>
      </c>
      <c r="F766" s="43" t="inlineStr">
        <is>
          <t>037-STBU</t>
        </is>
      </c>
      <c r="G766" s="43" t="inlineStr">
        <is>
          <t>CTANJZ04640</t>
        </is>
      </c>
      <c r="H766" s="43" t="inlineStr">
        <is>
          <t>For temporary Manufacturing process change</t>
        </is>
      </c>
      <c r="I766" s="43" t="inlineStr">
        <is>
          <t>Customer Deviation</t>
        </is>
      </c>
      <c r="J766" s="43" t="inlineStr">
        <is>
          <t>DP524361</t>
        </is>
      </c>
      <c r="K766" s="33" t="inlineStr">
        <is>
          <t>DP524361 Please see PageThree for details</t>
        </is>
      </c>
      <c r="L766" s="43" t="inlineStr">
        <is>
          <t>Expired</t>
        </is>
      </c>
      <c r="M766" s="43" t="inlineStr">
        <is>
          <t>68-104576-02</t>
        </is>
      </c>
      <c r="N766" s="43" t="inlineStr"/>
      <c r="O766" s="43" t="inlineStr">
        <is>
          <t>2025-08-02</t>
        </is>
      </c>
      <c r="P766" s="33" t="inlineStr">
        <is>
          <t>For temporary Manufacturing process change</t>
        </is>
      </c>
      <c r="Q766" s="43" t="inlineStr">
        <is>
          <t>Place deviation label on chassis</t>
        </is>
      </c>
      <c r="R766" s="43" t="inlineStr">
        <is>
          <t>2025-06-04</t>
        </is>
      </c>
      <c r="S766" s="43" t="inlineStr">
        <is>
          <t>2025-06-26</t>
        </is>
      </c>
      <c r="T766" s="43" t="inlineStr"/>
      <c r="U766" s="43" t="inlineStr"/>
    </row>
    <row r="767">
      <c r="A767" s="43" t="n">
        <v>767</v>
      </c>
      <c r="B767" s="43" t="inlineStr">
        <is>
          <t>766</t>
        </is>
      </c>
      <c r="C767" s="43" t="inlineStr">
        <is>
          <t>FJZP</t>
        </is>
      </c>
      <c r="D767" s="43" t="inlineStr">
        <is>
          <t>Cisco</t>
        </is>
      </c>
      <c r="E767" s="43" t="inlineStr">
        <is>
          <t>MCGA</t>
        </is>
      </c>
      <c r="F767" s="43" t="inlineStr">
        <is>
          <t>037-STBU</t>
        </is>
      </c>
      <c r="G767" s="43" t="inlineStr">
        <is>
          <t>CTANJZ04640</t>
        </is>
      </c>
      <c r="H767" s="43" t="inlineStr">
        <is>
          <t>For temporary Manufacturing process change</t>
        </is>
      </c>
      <c r="I767" s="43" t="inlineStr">
        <is>
          <t>Customer Deviation</t>
        </is>
      </c>
      <c r="J767" s="43" t="inlineStr">
        <is>
          <t>DP524361</t>
        </is>
      </c>
      <c r="K767" s="33" t="inlineStr">
        <is>
          <t>DP524361 Please see PageThree for details</t>
        </is>
      </c>
      <c r="L767" s="43" t="inlineStr">
        <is>
          <t>Expired</t>
        </is>
      </c>
      <c r="M767" s="43" t="inlineStr">
        <is>
          <t>68-104621-02</t>
        </is>
      </c>
      <c r="N767" s="43" t="inlineStr"/>
      <c r="O767" s="43" t="inlineStr">
        <is>
          <t>2025-08-02</t>
        </is>
      </c>
      <c r="P767" s="33" t="inlineStr">
        <is>
          <t>For temporary Manufacturing process change</t>
        </is>
      </c>
      <c r="Q767" s="43" t="inlineStr">
        <is>
          <t>Place deviation label on chassis</t>
        </is>
      </c>
      <c r="R767" s="43" t="inlineStr">
        <is>
          <t>2025-06-04</t>
        </is>
      </c>
      <c r="S767" s="43" t="inlineStr">
        <is>
          <t>2025-06-26</t>
        </is>
      </c>
      <c r="T767" s="43" t="inlineStr"/>
      <c r="U767" s="43" t="inlineStr"/>
    </row>
    <row r="768">
      <c r="A768" s="43" t="n">
        <v>768</v>
      </c>
      <c r="B768" s="43" t="inlineStr">
        <is>
          <t>767</t>
        </is>
      </c>
      <c r="C768" s="43" t="inlineStr">
        <is>
          <t>FJZP</t>
        </is>
      </c>
      <c r="D768" s="43" t="inlineStr">
        <is>
          <t>Cisco</t>
        </is>
      </c>
      <c r="E768" s="43" t="inlineStr">
        <is>
          <t>MCGA</t>
        </is>
      </c>
      <c r="F768" s="43" t="inlineStr">
        <is>
          <t>037-STBU</t>
        </is>
      </c>
      <c r="G768" s="43" t="inlineStr">
        <is>
          <t>CTANJZ04640</t>
        </is>
      </c>
      <c r="H768" s="43" t="inlineStr">
        <is>
          <t>For temporary Manufacturing process change</t>
        </is>
      </c>
      <c r="I768" s="43" t="inlineStr">
        <is>
          <t>Customer Deviation</t>
        </is>
      </c>
      <c r="J768" s="43" t="inlineStr">
        <is>
          <t>DP524361</t>
        </is>
      </c>
      <c r="K768" s="33" t="inlineStr">
        <is>
          <t>DP524361 Please see PageThree for details</t>
        </is>
      </c>
      <c r="L768" s="43" t="inlineStr">
        <is>
          <t>Expired</t>
        </is>
      </c>
      <c r="M768" s="43" t="inlineStr">
        <is>
          <t>73-103633-02</t>
        </is>
      </c>
      <c r="N768" s="43" t="inlineStr"/>
      <c r="O768" s="43" t="inlineStr">
        <is>
          <t>2025-08-02</t>
        </is>
      </c>
      <c r="P768" s="33" t="inlineStr">
        <is>
          <t>For temporary Manufacturing process change</t>
        </is>
      </c>
      <c r="Q768" s="43" t="inlineStr">
        <is>
          <t>Place deviation label on chassis</t>
        </is>
      </c>
      <c r="R768" s="43" t="inlineStr">
        <is>
          <t>2025-06-04</t>
        </is>
      </c>
      <c r="S768" s="43" t="inlineStr">
        <is>
          <t>2025-06-26</t>
        </is>
      </c>
      <c r="T768" s="43" t="inlineStr"/>
      <c r="U768" s="43" t="inlineStr"/>
    </row>
    <row r="769">
      <c r="A769" s="43" t="n">
        <v>769</v>
      </c>
      <c r="B769" s="43" t="inlineStr">
        <is>
          <t>768</t>
        </is>
      </c>
      <c r="C769" s="43" t="inlineStr">
        <is>
          <t>FJZP</t>
        </is>
      </c>
      <c r="D769" s="43" t="inlineStr">
        <is>
          <t>Cisco</t>
        </is>
      </c>
      <c r="E769" s="43" t="inlineStr">
        <is>
          <t>MCGA</t>
        </is>
      </c>
      <c r="F769" s="43" t="inlineStr">
        <is>
          <t>037-STBU</t>
        </is>
      </c>
      <c r="G769" s="43" t="inlineStr">
        <is>
          <t>CTANJZ04640</t>
        </is>
      </c>
      <c r="H769" s="43" t="inlineStr">
        <is>
          <t>For temporary Manufacturing process change</t>
        </is>
      </c>
      <c r="I769" s="43" t="inlineStr">
        <is>
          <t>Customer Deviation</t>
        </is>
      </c>
      <c r="J769" s="43" t="inlineStr">
        <is>
          <t>DP524361</t>
        </is>
      </c>
      <c r="K769" s="33" t="inlineStr">
        <is>
          <t>DP524361 Please see PageThree for details</t>
        </is>
      </c>
      <c r="L769" s="43" t="inlineStr">
        <is>
          <t>Expired</t>
        </is>
      </c>
      <c r="M769" s="43" t="inlineStr">
        <is>
          <t>800-112583-02</t>
        </is>
      </c>
      <c r="N769" s="43" t="inlineStr"/>
      <c r="O769" s="43" t="inlineStr">
        <is>
          <t>2025-08-02</t>
        </is>
      </c>
      <c r="P769" s="33" t="inlineStr">
        <is>
          <t>For temporary Manufacturing process change</t>
        </is>
      </c>
      <c r="Q769" s="43" t="inlineStr">
        <is>
          <t>Place deviation label on chassis</t>
        </is>
      </c>
      <c r="R769" s="43" t="inlineStr">
        <is>
          <t>2025-06-04</t>
        </is>
      </c>
      <c r="S769" s="43" t="inlineStr">
        <is>
          <t>2025-06-26</t>
        </is>
      </c>
      <c r="T769" s="43" t="inlineStr"/>
      <c r="U769" s="43" t="inlineStr"/>
    </row>
    <row r="770">
      <c r="A770" s="43" t="n">
        <v>770</v>
      </c>
      <c r="B770" s="43" t="inlineStr">
        <is>
          <t>769</t>
        </is>
      </c>
      <c r="C770" s="43" t="inlineStr">
        <is>
          <t>FJZP</t>
        </is>
      </c>
      <c r="D770" s="43" t="inlineStr">
        <is>
          <t>Cisco</t>
        </is>
      </c>
      <c r="E770" s="43" t="inlineStr">
        <is>
          <t>MCGA</t>
        </is>
      </c>
      <c r="F770" s="43" t="inlineStr">
        <is>
          <t>037-STBU</t>
        </is>
      </c>
      <c r="G770" s="43" t="inlineStr">
        <is>
          <t>CTANJZ04640</t>
        </is>
      </c>
      <c r="H770" s="43" t="inlineStr">
        <is>
          <t>For temporary Manufacturing process change</t>
        </is>
      </c>
      <c r="I770" s="43" t="inlineStr">
        <is>
          <t>Customer Deviation</t>
        </is>
      </c>
      <c r="J770" s="43" t="inlineStr">
        <is>
          <t>DP524361</t>
        </is>
      </c>
      <c r="K770" s="33" t="inlineStr">
        <is>
          <t>DP524361 Please see PageThree for details</t>
        </is>
      </c>
      <c r="L770" s="43" t="inlineStr">
        <is>
          <t>Expired</t>
        </is>
      </c>
      <c r="M770" s="43" t="inlineStr">
        <is>
          <t>800-112720-02</t>
        </is>
      </c>
      <c r="N770" s="43" t="inlineStr"/>
      <c r="O770" s="43" t="inlineStr">
        <is>
          <t>2025-08-02</t>
        </is>
      </c>
      <c r="P770" s="33" t="inlineStr">
        <is>
          <t>For temporary Manufacturing process change</t>
        </is>
      </c>
      <c r="Q770" s="43" t="inlineStr">
        <is>
          <t>Place deviation label on chassis</t>
        </is>
      </c>
      <c r="R770" s="43" t="inlineStr">
        <is>
          <t>2025-06-04</t>
        </is>
      </c>
      <c r="S770" s="43" t="inlineStr">
        <is>
          <t>2025-06-26</t>
        </is>
      </c>
      <c r="T770" s="43" t="inlineStr"/>
      <c r="U770" s="43" t="inlineStr"/>
    </row>
    <row r="771">
      <c r="A771" s="43" t="n">
        <v>771</v>
      </c>
      <c r="B771" s="43" t="inlineStr">
        <is>
          <t>770</t>
        </is>
      </c>
      <c r="C771" s="43" t="inlineStr">
        <is>
          <t>FJZP</t>
        </is>
      </c>
      <c r="D771" s="43" t="inlineStr">
        <is>
          <t>Cisco</t>
        </is>
      </c>
      <c r="E771" s="43" t="inlineStr">
        <is>
          <t>MCGA</t>
        </is>
      </c>
      <c r="F771" s="43" t="inlineStr">
        <is>
          <t>037-STBU</t>
        </is>
      </c>
      <c r="G771" s="43" t="inlineStr">
        <is>
          <t>CTANJZ04645</t>
        </is>
      </c>
      <c r="H771" s="43" t="inlineStr">
        <is>
          <t>For temporary Manufacturing process change</t>
        </is>
      </c>
      <c r="I771" s="43" t="inlineStr">
        <is>
          <t>Customer Deviation</t>
        </is>
      </c>
      <c r="J771" s="43" t="inlineStr">
        <is>
          <t>DP524944</t>
        </is>
      </c>
      <c r="K771" s="33" t="inlineStr">
        <is>
          <t>DP524944 Please see PageThree for details</t>
        </is>
      </c>
      <c r="L771" s="43" t="inlineStr">
        <is>
          <t>Expired</t>
        </is>
      </c>
      <c r="M771" s="43" t="inlineStr">
        <is>
          <t>68-104574-04</t>
        </is>
      </c>
      <c r="N771" s="43" t="inlineStr"/>
      <c r="O771" s="43" t="inlineStr">
        <is>
          <t>2025-08-03</t>
        </is>
      </c>
      <c r="P771" s="33" t="inlineStr">
        <is>
          <t>For temporary Manufacturing process change</t>
        </is>
      </c>
      <c r="Q771" s="43" t="inlineStr">
        <is>
          <t>None</t>
        </is>
      </c>
      <c r="R771" s="43" t="inlineStr">
        <is>
          <t>2025-06-05</t>
        </is>
      </c>
      <c r="S771" s="43" t="inlineStr">
        <is>
          <t>2025-06-26</t>
        </is>
      </c>
      <c r="T771" s="43" t="inlineStr"/>
      <c r="U771" s="43" t="inlineStr"/>
    </row>
    <row r="772">
      <c r="A772" s="43" t="n">
        <v>772</v>
      </c>
      <c r="B772" s="43" t="inlineStr">
        <is>
          <t>771</t>
        </is>
      </c>
      <c r="C772" s="43" t="inlineStr">
        <is>
          <t>FJZP</t>
        </is>
      </c>
      <c r="D772" s="43" t="inlineStr">
        <is>
          <t>Cisco</t>
        </is>
      </c>
      <c r="E772" s="43" t="inlineStr">
        <is>
          <t>MCGA</t>
        </is>
      </c>
      <c r="F772" s="43" t="inlineStr">
        <is>
          <t>037-STBU</t>
        </is>
      </c>
      <c r="G772" s="43" t="inlineStr">
        <is>
          <t>CTANJZ04645</t>
        </is>
      </c>
      <c r="H772" s="43" t="inlineStr">
        <is>
          <t>For temporary Manufacturing process change</t>
        </is>
      </c>
      <c r="I772" s="43" t="inlineStr">
        <is>
          <t>Customer Deviation</t>
        </is>
      </c>
      <c r="J772" s="43" t="inlineStr">
        <is>
          <t>DP524944</t>
        </is>
      </c>
      <c r="K772" s="33" t="inlineStr">
        <is>
          <t>DP524944 Please see PageThree for details</t>
        </is>
      </c>
      <c r="L772" s="43" t="inlineStr">
        <is>
          <t>Expired</t>
        </is>
      </c>
      <c r="M772" s="43" t="inlineStr">
        <is>
          <t>68-104575-04</t>
        </is>
      </c>
      <c r="N772" s="43" t="inlineStr"/>
      <c r="O772" s="43" t="inlineStr">
        <is>
          <t>2025-08-03</t>
        </is>
      </c>
      <c r="P772" s="33" t="inlineStr">
        <is>
          <t>For temporary Manufacturing process change</t>
        </is>
      </c>
      <c r="Q772" s="43" t="inlineStr">
        <is>
          <t>None</t>
        </is>
      </c>
      <c r="R772" s="43" t="inlineStr">
        <is>
          <t>2025-06-05</t>
        </is>
      </c>
      <c r="S772" s="43" t="inlineStr">
        <is>
          <t>2025-06-26</t>
        </is>
      </c>
      <c r="T772" s="43" t="inlineStr"/>
      <c r="U772" s="43" t="inlineStr"/>
    </row>
    <row r="773">
      <c r="A773" s="43" t="n">
        <v>773</v>
      </c>
      <c r="B773" s="43" t="inlineStr">
        <is>
          <t>772</t>
        </is>
      </c>
      <c r="C773" s="43" t="inlineStr">
        <is>
          <t>FJZP</t>
        </is>
      </c>
      <c r="D773" s="43" t="inlineStr">
        <is>
          <t>Cisco</t>
        </is>
      </c>
      <c r="E773" s="43" t="inlineStr">
        <is>
          <t>MCGA</t>
        </is>
      </c>
      <c r="F773" s="43" t="inlineStr">
        <is>
          <t>037-STBU</t>
        </is>
      </c>
      <c r="G773" s="43" t="inlineStr">
        <is>
          <t>CTANJZ04645</t>
        </is>
      </c>
      <c r="H773" s="43" t="inlineStr">
        <is>
          <t>For temporary Manufacturing process change</t>
        </is>
      </c>
      <c r="I773" s="43" t="inlineStr">
        <is>
          <t>Customer Deviation</t>
        </is>
      </c>
      <c r="J773" s="43" t="inlineStr">
        <is>
          <t>DP524944</t>
        </is>
      </c>
      <c r="K773" s="33" t="inlineStr">
        <is>
          <t>DP524944 Please see PageThree for details</t>
        </is>
      </c>
      <c r="L773" s="43" t="inlineStr">
        <is>
          <t>Expired</t>
        </is>
      </c>
      <c r="M773" s="43" t="inlineStr">
        <is>
          <t>68-104576-04</t>
        </is>
      </c>
      <c r="N773" s="43" t="inlineStr"/>
      <c r="O773" s="43" t="inlineStr">
        <is>
          <t>2025-08-03</t>
        </is>
      </c>
      <c r="P773" s="33" t="inlineStr">
        <is>
          <t>For temporary Manufacturing process change</t>
        </is>
      </c>
      <c r="Q773" s="43" t="inlineStr">
        <is>
          <t>None</t>
        </is>
      </c>
      <c r="R773" s="43" t="inlineStr">
        <is>
          <t>2025-06-05</t>
        </is>
      </c>
      <c r="S773" s="43" t="inlineStr">
        <is>
          <t>2025-06-26</t>
        </is>
      </c>
      <c r="T773" s="43" t="inlineStr"/>
      <c r="U773" s="43" t="inlineStr"/>
    </row>
    <row r="774">
      <c r="A774" s="43" t="n">
        <v>774</v>
      </c>
      <c r="B774" s="43" t="inlineStr">
        <is>
          <t>773</t>
        </is>
      </c>
      <c r="C774" s="43" t="inlineStr">
        <is>
          <t>FJZP</t>
        </is>
      </c>
      <c r="D774" s="43" t="inlineStr">
        <is>
          <t>Cisco</t>
        </is>
      </c>
      <c r="E774" s="43" t="inlineStr">
        <is>
          <t>MCGA</t>
        </is>
      </c>
      <c r="F774" s="43" t="inlineStr">
        <is>
          <t>037-STBU</t>
        </is>
      </c>
      <c r="G774" s="43" t="inlineStr">
        <is>
          <t>CTANJZ04645</t>
        </is>
      </c>
      <c r="H774" s="43" t="inlineStr">
        <is>
          <t>For temporary Manufacturing process change</t>
        </is>
      </c>
      <c r="I774" s="43" t="inlineStr">
        <is>
          <t>Customer Deviation</t>
        </is>
      </c>
      <c r="J774" s="43" t="inlineStr">
        <is>
          <t>DP524944</t>
        </is>
      </c>
      <c r="K774" s="33" t="inlineStr">
        <is>
          <t>DP524944 Please see PageThree for details</t>
        </is>
      </c>
      <c r="L774" s="43" t="inlineStr">
        <is>
          <t>Expired</t>
        </is>
      </c>
      <c r="M774" s="43" t="inlineStr">
        <is>
          <t>68-104621-04</t>
        </is>
      </c>
      <c r="N774" s="43" t="inlineStr"/>
      <c r="O774" s="43" t="inlineStr">
        <is>
          <t>2025-08-03</t>
        </is>
      </c>
      <c r="P774" s="33" t="inlineStr">
        <is>
          <t>For temporary Manufacturing process change</t>
        </is>
      </c>
      <c r="Q774" s="43" t="inlineStr">
        <is>
          <t>None</t>
        </is>
      </c>
      <c r="R774" s="43" t="inlineStr">
        <is>
          <t>2025-06-05</t>
        </is>
      </c>
      <c r="S774" s="43" t="inlineStr">
        <is>
          <t>2025-06-26</t>
        </is>
      </c>
      <c r="T774" s="43" t="inlineStr"/>
      <c r="U774" s="43" t="inlineStr"/>
    </row>
    <row r="775">
      <c r="A775" s="43" t="n">
        <v>775</v>
      </c>
      <c r="B775" s="43" t="inlineStr">
        <is>
          <t>774</t>
        </is>
      </c>
      <c r="C775" s="43" t="inlineStr">
        <is>
          <t>FJZP</t>
        </is>
      </c>
      <c r="D775" s="43" t="inlineStr">
        <is>
          <t>Cisco</t>
        </is>
      </c>
      <c r="E775" s="43" t="inlineStr">
        <is>
          <t>MCGA</t>
        </is>
      </c>
      <c r="F775" s="43" t="inlineStr">
        <is>
          <t>037-STBU</t>
        </is>
      </c>
      <c r="G775" s="43" t="inlineStr">
        <is>
          <t>CTANJZ04645</t>
        </is>
      </c>
      <c r="H775" s="43" t="inlineStr">
        <is>
          <t>For temporary Manufacturing process change</t>
        </is>
      </c>
      <c r="I775" s="43" t="inlineStr">
        <is>
          <t>Customer Deviation</t>
        </is>
      </c>
      <c r="J775" s="43" t="inlineStr">
        <is>
          <t>DP524944</t>
        </is>
      </c>
      <c r="K775" s="33" t="inlineStr">
        <is>
          <t>DP524944 Please see PageThree for details</t>
        </is>
      </c>
      <c r="L775" s="43" t="inlineStr">
        <is>
          <t>Expired</t>
        </is>
      </c>
      <c r="M775" s="43" t="inlineStr">
        <is>
          <t>800-112581-04</t>
        </is>
      </c>
      <c r="N775" s="43" t="inlineStr"/>
      <c r="O775" s="43" t="inlineStr">
        <is>
          <t>2025-08-03</t>
        </is>
      </c>
      <c r="P775" s="33" t="inlineStr">
        <is>
          <t>For temporary Manufacturing process change</t>
        </is>
      </c>
      <c r="Q775" s="43" t="inlineStr">
        <is>
          <t>None</t>
        </is>
      </c>
      <c r="R775" s="43" t="inlineStr">
        <is>
          <t>2025-06-05</t>
        </is>
      </c>
      <c r="S775" s="43" t="inlineStr">
        <is>
          <t>2025-06-26</t>
        </is>
      </c>
      <c r="T775" s="43" t="inlineStr"/>
      <c r="U775" s="43" t="inlineStr"/>
    </row>
    <row r="776">
      <c r="A776" s="43" t="n">
        <v>776</v>
      </c>
      <c r="B776" s="43" t="inlineStr">
        <is>
          <t>775</t>
        </is>
      </c>
      <c r="C776" s="43" t="inlineStr">
        <is>
          <t>FJZP</t>
        </is>
      </c>
      <c r="D776" s="43" t="inlineStr">
        <is>
          <t>Cisco</t>
        </is>
      </c>
      <c r="E776" s="43" t="inlineStr">
        <is>
          <t>MCGA</t>
        </is>
      </c>
      <c r="F776" s="43" t="inlineStr">
        <is>
          <t>037-STBU</t>
        </is>
      </c>
      <c r="G776" s="43" t="inlineStr">
        <is>
          <t>CTANJZ04645</t>
        </is>
      </c>
      <c r="H776" s="43" t="inlineStr">
        <is>
          <t>For temporary Manufacturing process change</t>
        </is>
      </c>
      <c r="I776" s="43" t="inlineStr">
        <is>
          <t>Customer Deviation</t>
        </is>
      </c>
      <c r="J776" s="43" t="inlineStr">
        <is>
          <t>DP524944</t>
        </is>
      </c>
      <c r="K776" s="33" t="inlineStr">
        <is>
          <t>DP524944 Please see PageThree for details</t>
        </is>
      </c>
      <c r="L776" s="43" t="inlineStr">
        <is>
          <t>Expired</t>
        </is>
      </c>
      <c r="M776" s="43" t="inlineStr">
        <is>
          <t>800-112582-04</t>
        </is>
      </c>
      <c r="N776" s="43" t="inlineStr"/>
      <c r="O776" s="43" t="inlineStr">
        <is>
          <t>2025-08-03</t>
        </is>
      </c>
      <c r="P776" s="33" t="inlineStr">
        <is>
          <t>For temporary Manufacturing process change</t>
        </is>
      </c>
      <c r="Q776" s="43" t="inlineStr">
        <is>
          <t>None</t>
        </is>
      </c>
      <c r="R776" s="43" t="inlineStr">
        <is>
          <t>2025-06-05</t>
        </is>
      </c>
      <c r="S776" s="43" t="inlineStr">
        <is>
          <t>2025-06-26</t>
        </is>
      </c>
      <c r="T776" s="43" t="inlineStr"/>
      <c r="U776" s="43" t="inlineStr"/>
    </row>
    <row r="777">
      <c r="A777" s="43" t="n">
        <v>777</v>
      </c>
      <c r="B777" s="43" t="inlineStr">
        <is>
          <t>776</t>
        </is>
      </c>
      <c r="C777" s="43" t="inlineStr">
        <is>
          <t>FJZP</t>
        </is>
      </c>
      <c r="D777" s="43" t="inlineStr">
        <is>
          <t>Cisco</t>
        </is>
      </c>
      <c r="E777" s="43" t="inlineStr">
        <is>
          <t>MCGA</t>
        </is>
      </c>
      <c r="F777" s="43" t="inlineStr">
        <is>
          <t>037-STBU</t>
        </is>
      </c>
      <c r="G777" s="43" t="inlineStr">
        <is>
          <t>CTANJZ04645</t>
        </is>
      </c>
      <c r="H777" s="43" t="inlineStr">
        <is>
          <t>For temporary Manufacturing process change</t>
        </is>
      </c>
      <c r="I777" s="43" t="inlineStr">
        <is>
          <t>Customer Deviation</t>
        </is>
      </c>
      <c r="J777" s="43" t="inlineStr">
        <is>
          <t>DP524944</t>
        </is>
      </c>
      <c r="K777" s="33" t="inlineStr">
        <is>
          <t>DP524944 Please see PageThree for details</t>
        </is>
      </c>
      <c r="L777" s="43" t="inlineStr">
        <is>
          <t>Expired</t>
        </is>
      </c>
      <c r="M777" s="43" t="inlineStr">
        <is>
          <t>800-112583-04</t>
        </is>
      </c>
      <c r="N777" s="43" t="inlineStr"/>
      <c r="O777" s="43" t="inlineStr">
        <is>
          <t>2025-08-03</t>
        </is>
      </c>
      <c r="P777" s="33" t="inlineStr">
        <is>
          <t>For temporary Manufacturing process change</t>
        </is>
      </c>
      <c r="Q777" s="43" t="inlineStr">
        <is>
          <t>None</t>
        </is>
      </c>
      <c r="R777" s="43" t="inlineStr">
        <is>
          <t>2025-06-05</t>
        </is>
      </c>
      <c r="S777" s="43" t="inlineStr">
        <is>
          <t>2025-06-26</t>
        </is>
      </c>
      <c r="T777" s="43" t="inlineStr"/>
      <c r="U777" s="43" t="inlineStr"/>
    </row>
    <row r="778">
      <c r="A778" s="43" t="n">
        <v>778</v>
      </c>
      <c r="B778" s="43" t="inlineStr">
        <is>
          <t>777</t>
        </is>
      </c>
      <c r="C778" s="43" t="inlineStr">
        <is>
          <t>FJZP</t>
        </is>
      </c>
      <c r="D778" s="43" t="inlineStr">
        <is>
          <t>Cisco</t>
        </is>
      </c>
      <c r="E778" s="43" t="inlineStr">
        <is>
          <t>MCGA</t>
        </is>
      </c>
      <c r="F778" s="43" t="inlineStr">
        <is>
          <t>037-STBU</t>
        </is>
      </c>
      <c r="G778" s="43" t="inlineStr">
        <is>
          <t>CTANJZ04645</t>
        </is>
      </c>
      <c r="H778" s="43" t="inlineStr">
        <is>
          <t>For temporary Manufacturing process change</t>
        </is>
      </c>
      <c r="I778" s="43" t="inlineStr">
        <is>
          <t>Customer Deviation</t>
        </is>
      </c>
      <c r="J778" s="43" t="inlineStr">
        <is>
          <t>DP524944</t>
        </is>
      </c>
      <c r="K778" s="33" t="inlineStr">
        <is>
          <t>DP524944 Please see PageThree for details</t>
        </is>
      </c>
      <c r="L778" s="43" t="inlineStr">
        <is>
          <t>Expired</t>
        </is>
      </c>
      <c r="M778" s="43" t="inlineStr">
        <is>
          <t>800-112720-04</t>
        </is>
      </c>
      <c r="N778" s="43" t="inlineStr"/>
      <c r="O778" s="43" t="inlineStr">
        <is>
          <t>2025-08-03</t>
        </is>
      </c>
      <c r="P778" s="33" t="inlineStr">
        <is>
          <t>For temporary Manufacturing process change</t>
        </is>
      </c>
      <c r="Q778" s="43" t="inlineStr">
        <is>
          <t>None</t>
        </is>
      </c>
      <c r="R778" s="43" t="inlineStr">
        <is>
          <t>2025-06-05</t>
        </is>
      </c>
      <c r="S778" s="43" t="inlineStr">
        <is>
          <t>2025-06-26</t>
        </is>
      </c>
      <c r="T778" s="43" t="inlineStr"/>
      <c r="U778" s="43" t="inlineStr"/>
    </row>
    <row r="779">
      <c r="A779" s="43" t="n">
        <v>779</v>
      </c>
      <c r="B779" s="43" t="inlineStr">
        <is>
          <t>778</t>
        </is>
      </c>
      <c r="C779" s="43" t="inlineStr">
        <is>
          <t>FJZP</t>
        </is>
      </c>
      <c r="D779" s="43" t="inlineStr">
        <is>
          <t>Cisco</t>
        </is>
      </c>
      <c r="E779" s="43" t="inlineStr">
        <is>
          <t>MCGA</t>
        </is>
      </c>
      <c r="F779" s="43" t="inlineStr">
        <is>
          <t>018-SRGBU</t>
        </is>
      </c>
      <c r="G779" s="43" t="inlineStr">
        <is>
          <t>CTANJZ04852</t>
        </is>
      </c>
      <c r="H779" s="43" t="inlineStr">
        <is>
          <t>For temporary Manufacturing process change</t>
        </is>
      </c>
      <c r="I779" s="43" t="inlineStr">
        <is>
          <t>Customer Deviation</t>
        </is>
      </c>
      <c r="J779" s="43" t="inlineStr">
        <is>
          <t>D605275</t>
        </is>
      </c>
      <c r="K779" s="33" t="inlineStr">
        <is>
          <t>D605275 Allow FJZ to use the MPN= MTA18ASF2G72PDZ-3G2R1   from Micron of the  15-108743-01; instead of 15-107070-01; in the PIDs:MEM-C8200-16GBMEM-C8200-16GB=MEM-C8500-32GBMEM-C8500-32GB=MEM-C8500L-16GBMEM-C8500L-16GB=</t>
        </is>
      </c>
      <c r="L779" s="43" t="inlineStr">
        <is>
          <t>Expired</t>
        </is>
      </c>
      <c r="M779" s="43" t="inlineStr">
        <is>
          <t>15-107070-01</t>
        </is>
      </c>
      <c r="N779" s="43" t="inlineStr"/>
      <c r="O779" s="43" t="inlineStr">
        <is>
          <t>2025-10-21</t>
        </is>
      </c>
      <c r="P779" s="33" t="inlineStr">
        <is>
          <t>For temporary Manufacturing process change</t>
        </is>
      </c>
      <c r="Q779" s="43" t="inlineStr">
        <is>
          <t>Add small label with the deviation number</t>
        </is>
      </c>
      <c r="R779" s="43" t="inlineStr">
        <is>
          <t>2025-09-13</t>
        </is>
      </c>
      <c r="S779" s="43" t="inlineStr">
        <is>
          <t>2025-09-24</t>
        </is>
      </c>
      <c r="T779" s="43" t="inlineStr"/>
      <c r="U779" s="43" t="inlineStr"/>
    </row>
    <row r="780">
      <c r="A780" s="43" t="n">
        <v>780</v>
      </c>
      <c r="B780" s="43" t="inlineStr">
        <is>
          <t>779</t>
        </is>
      </c>
      <c r="C780" s="43" t="inlineStr">
        <is>
          <t>FJZP</t>
        </is>
      </c>
      <c r="D780" s="43" t="inlineStr">
        <is>
          <t>Cisco</t>
        </is>
      </c>
      <c r="E780" s="43" t="inlineStr">
        <is>
          <t>MCGA</t>
        </is>
      </c>
      <c r="F780" s="43" t="inlineStr">
        <is>
          <t>037-STBU</t>
        </is>
      </c>
      <c r="G780" s="43" t="inlineStr">
        <is>
          <t>CTANJZ04763</t>
        </is>
      </c>
      <c r="H780" s="43" t="inlineStr">
        <is>
          <t>For temporary Manufacturing process change</t>
        </is>
      </c>
      <c r="I780" s="43" t="inlineStr">
        <is>
          <t>Customer Deviation</t>
        </is>
      </c>
      <c r="J780" s="43" t="inlineStr">
        <is>
          <t>DP525137</t>
        </is>
      </c>
      <c r="K780" s="33" t="inlineStr">
        <is>
          <t>DP525137 This Prototype deviation will be used for Woodside Park Pre-Pilot build at FJZ Mexico.1. Pleas use new the two pieces of 800-112578-01 and 800-112756-01 to validate the updated PBP design that should make it easier to install and remove the assembled PBP.</t>
        </is>
      </c>
      <c r="L780" s="43" t="inlineStr">
        <is>
          <t>Expired</t>
        </is>
      </c>
      <c r="M780" s="43" t="inlineStr">
        <is>
          <t>68-104574-04</t>
        </is>
      </c>
      <c r="N780" s="43" t="inlineStr"/>
      <c r="O780" s="43" t="inlineStr">
        <is>
          <t>2025-10-02</t>
        </is>
      </c>
      <c r="P780" s="33" t="inlineStr">
        <is>
          <t>For temporary Manufacturing process change</t>
        </is>
      </c>
      <c r="Q780" s="43" t="inlineStr">
        <is>
          <t>Place label somewhere visible on chassis.</t>
        </is>
      </c>
      <c r="R780" s="43" t="inlineStr">
        <is>
          <t>2025-08-05</t>
        </is>
      </c>
      <c r="S780" s="43" t="inlineStr">
        <is>
          <t>2025-08-14</t>
        </is>
      </c>
      <c r="T780" s="43" t="inlineStr"/>
      <c r="U780" s="43" t="inlineStr"/>
    </row>
    <row r="781">
      <c r="A781" s="43" t="n">
        <v>781</v>
      </c>
      <c r="B781" s="43" t="inlineStr">
        <is>
          <t>780</t>
        </is>
      </c>
      <c r="C781" s="43" t="inlineStr">
        <is>
          <t>FJZP</t>
        </is>
      </c>
      <c r="D781" s="43" t="inlineStr">
        <is>
          <t>Cisco</t>
        </is>
      </c>
      <c r="E781" s="43" t="inlineStr">
        <is>
          <t>MCGA</t>
        </is>
      </c>
      <c r="F781" s="43" t="inlineStr">
        <is>
          <t>037-STBU</t>
        </is>
      </c>
      <c r="G781" s="43" t="inlineStr">
        <is>
          <t>CTANJZ04763</t>
        </is>
      </c>
      <c r="H781" s="43" t="inlineStr">
        <is>
          <t>For temporary Manufacturing process change</t>
        </is>
      </c>
      <c r="I781" s="43" t="inlineStr">
        <is>
          <t>Customer Deviation</t>
        </is>
      </c>
      <c r="J781" s="43" t="inlineStr">
        <is>
          <t>DP525137</t>
        </is>
      </c>
      <c r="K781" s="33" t="inlineStr">
        <is>
          <t>DP525137 This Prototype deviation will be used for Woodside Park Pre-Pilot build at FJZ Mexico.1. Pleas use new the two pieces of 800-112578-01 and 800-112756-01 to validate the updated PBP design that should make it easier to install and remove the assembled PBP.</t>
        </is>
      </c>
      <c r="L781" s="43" t="inlineStr">
        <is>
          <t>Expired</t>
        </is>
      </c>
      <c r="M781" s="43" t="inlineStr">
        <is>
          <t>68-104575-04</t>
        </is>
      </c>
      <c r="N781" s="43" t="inlineStr"/>
      <c r="O781" s="43" t="inlineStr">
        <is>
          <t>2025-10-02</t>
        </is>
      </c>
      <c r="P781" s="33" t="inlineStr">
        <is>
          <t>For temporary Manufacturing process change</t>
        </is>
      </c>
      <c r="Q781" s="43" t="inlineStr">
        <is>
          <t>Place label somewhere visible on chassis.</t>
        </is>
      </c>
      <c r="R781" s="43" t="inlineStr">
        <is>
          <t>2025-08-05</t>
        </is>
      </c>
      <c r="S781" s="43" t="inlineStr">
        <is>
          <t>2025-08-14</t>
        </is>
      </c>
      <c r="T781" s="43" t="inlineStr"/>
      <c r="U781" s="43" t="inlineStr"/>
    </row>
    <row r="782">
      <c r="A782" s="43" t="n">
        <v>782</v>
      </c>
      <c r="B782" s="43" t="inlineStr">
        <is>
          <t>781</t>
        </is>
      </c>
      <c r="C782" s="43" t="inlineStr">
        <is>
          <t>FJZP</t>
        </is>
      </c>
      <c r="D782" s="43" t="inlineStr">
        <is>
          <t>Cisco</t>
        </is>
      </c>
      <c r="E782" s="43" t="inlineStr">
        <is>
          <t>MCGA</t>
        </is>
      </c>
      <c r="F782" s="43" t="inlineStr">
        <is>
          <t>037-STBU</t>
        </is>
      </c>
      <c r="G782" s="43" t="inlineStr">
        <is>
          <t>CTANJZ04763</t>
        </is>
      </c>
      <c r="H782" s="43" t="inlineStr">
        <is>
          <t>For temporary Manufacturing process change</t>
        </is>
      </c>
      <c r="I782" s="43" t="inlineStr">
        <is>
          <t>Customer Deviation</t>
        </is>
      </c>
      <c r="J782" s="43" t="inlineStr">
        <is>
          <t>DP525137</t>
        </is>
      </c>
      <c r="K782" s="33" t="inlineStr">
        <is>
          <t>DP525137 This Prototype deviation will be used for Woodside Park Pre-Pilot build at FJZ Mexico.1. Pleas use new the two pieces of 800-112578-01 and 800-112756-01 to validate the updated PBP design that should make it easier to install and remove the assembled PBP.</t>
        </is>
      </c>
      <c r="L782" s="43" t="inlineStr">
        <is>
          <t>Expired</t>
        </is>
      </c>
      <c r="M782" s="43" t="inlineStr">
        <is>
          <t>68-104576-04</t>
        </is>
      </c>
      <c r="N782" s="43" t="inlineStr"/>
      <c r="O782" s="43" t="inlineStr">
        <is>
          <t>2025-10-02</t>
        </is>
      </c>
      <c r="P782" s="33" t="inlineStr">
        <is>
          <t>For temporary Manufacturing process change</t>
        </is>
      </c>
      <c r="Q782" s="43" t="inlineStr">
        <is>
          <t>Place label somewhere visible on chassis.</t>
        </is>
      </c>
      <c r="R782" s="43" t="inlineStr">
        <is>
          <t>2025-08-05</t>
        </is>
      </c>
      <c r="S782" s="43" t="inlineStr">
        <is>
          <t>2025-08-14</t>
        </is>
      </c>
      <c r="T782" s="43" t="inlineStr"/>
      <c r="U782" s="43" t="inlineStr"/>
    </row>
    <row r="783">
      <c r="A783" s="43" t="n">
        <v>783</v>
      </c>
      <c r="B783" s="43" t="inlineStr">
        <is>
          <t>782</t>
        </is>
      </c>
      <c r="C783" s="43" t="inlineStr">
        <is>
          <t>FJZP</t>
        </is>
      </c>
      <c r="D783" s="43" t="inlineStr">
        <is>
          <t>Cisco</t>
        </is>
      </c>
      <c r="E783" s="43" t="inlineStr">
        <is>
          <t>MCGA</t>
        </is>
      </c>
      <c r="F783" s="43" t="inlineStr">
        <is>
          <t>037-STBU</t>
        </is>
      </c>
      <c r="G783" s="43" t="inlineStr">
        <is>
          <t>CTANJZ04763</t>
        </is>
      </c>
      <c r="H783" s="43" t="inlineStr">
        <is>
          <t>For temporary Manufacturing process change</t>
        </is>
      </c>
      <c r="I783" s="43" t="inlineStr">
        <is>
          <t>Customer Deviation</t>
        </is>
      </c>
      <c r="J783" s="43" t="inlineStr">
        <is>
          <t>DP525137</t>
        </is>
      </c>
      <c r="K783" s="33" t="inlineStr">
        <is>
          <t>DP525137 This Prototype deviation will be used for Woodside Park Pre-Pilot build at FJZ Mexico.1. Pleas use new the two pieces of 800-112578-01 and 800-112756-01 to validate the updated PBP design that should make it easier to install and remove the assembled PBP.</t>
        </is>
      </c>
      <c r="L783" s="43" t="inlineStr">
        <is>
          <t>Expired</t>
        </is>
      </c>
      <c r="M783" s="43" t="inlineStr">
        <is>
          <t>68-104621-04</t>
        </is>
      </c>
      <c r="N783" s="43" t="inlineStr"/>
      <c r="O783" s="43" t="inlineStr">
        <is>
          <t>2025-10-02</t>
        </is>
      </c>
      <c r="P783" s="33" t="inlineStr">
        <is>
          <t>For temporary Manufacturing process change</t>
        </is>
      </c>
      <c r="Q783" s="43" t="inlineStr">
        <is>
          <t>Place label somewhere visible on chassis.</t>
        </is>
      </c>
      <c r="R783" s="43" t="inlineStr">
        <is>
          <t>2025-08-05</t>
        </is>
      </c>
      <c r="S783" s="43" t="inlineStr">
        <is>
          <t>2025-08-14</t>
        </is>
      </c>
      <c r="T783" s="43" t="inlineStr"/>
      <c r="U783" s="43" t="inlineStr"/>
    </row>
    <row r="784">
      <c r="A784" s="43" t="n">
        <v>784</v>
      </c>
      <c r="B784" s="43" t="inlineStr">
        <is>
          <t>783</t>
        </is>
      </c>
      <c r="C784" s="43" t="inlineStr">
        <is>
          <t>FJZP</t>
        </is>
      </c>
      <c r="D784" s="43" t="inlineStr">
        <is>
          <t>Cisco</t>
        </is>
      </c>
      <c r="E784" s="43" t="inlineStr">
        <is>
          <t>MCGA</t>
        </is>
      </c>
      <c r="F784" s="43" t="inlineStr">
        <is>
          <t>037-STBU</t>
        </is>
      </c>
      <c r="G784" s="43" t="inlineStr">
        <is>
          <t>CTANJZ04763</t>
        </is>
      </c>
      <c r="H784" s="43" t="inlineStr">
        <is>
          <t>For temporary Manufacturing process change</t>
        </is>
      </c>
      <c r="I784" s="43" t="inlineStr">
        <is>
          <t>Customer Deviation</t>
        </is>
      </c>
      <c r="J784" s="43" t="inlineStr">
        <is>
          <t>DP525137</t>
        </is>
      </c>
      <c r="K784" s="33" t="inlineStr">
        <is>
          <t>DP525137 This Prototype deviation will be used for Woodside Park Pre-Pilot build at FJZ Mexico.1. Pleas use new the two pieces of 800-112578-01 and 800-112756-01 to validate the updated PBP design that should make it easier to install and remove the assembled PBP.</t>
        </is>
      </c>
      <c r="L784" s="43" t="inlineStr">
        <is>
          <t>Expired</t>
        </is>
      </c>
      <c r="M784" s="43" t="inlineStr">
        <is>
          <t>800-112581-04</t>
        </is>
      </c>
      <c r="N784" s="43" t="inlineStr"/>
      <c r="O784" s="43" t="inlineStr">
        <is>
          <t>2025-10-02</t>
        </is>
      </c>
      <c r="P784" s="33" t="inlineStr">
        <is>
          <t>For temporary Manufacturing process change</t>
        </is>
      </c>
      <c r="Q784" s="43" t="inlineStr">
        <is>
          <t>Place label somewhere visible on chassis.</t>
        </is>
      </c>
      <c r="R784" s="43" t="inlineStr">
        <is>
          <t>2025-08-05</t>
        </is>
      </c>
      <c r="S784" s="43" t="inlineStr">
        <is>
          <t>2025-08-14</t>
        </is>
      </c>
      <c r="T784" s="43" t="inlineStr"/>
      <c r="U784" s="43" t="inlineStr"/>
    </row>
    <row r="785">
      <c r="A785" s="43" t="n">
        <v>785</v>
      </c>
      <c r="B785" s="43" t="inlineStr">
        <is>
          <t>784</t>
        </is>
      </c>
      <c r="C785" s="43" t="inlineStr">
        <is>
          <t>FJZP</t>
        </is>
      </c>
      <c r="D785" s="43" t="inlineStr">
        <is>
          <t>Cisco</t>
        </is>
      </c>
      <c r="E785" s="43" t="inlineStr">
        <is>
          <t>MCGA</t>
        </is>
      </c>
      <c r="F785" s="43" t="inlineStr">
        <is>
          <t>037-STBU</t>
        </is>
      </c>
      <c r="G785" s="43" t="inlineStr">
        <is>
          <t>CTANJZ04763</t>
        </is>
      </c>
      <c r="H785" s="43" t="inlineStr">
        <is>
          <t>For temporary Manufacturing process change</t>
        </is>
      </c>
      <c r="I785" s="43" t="inlineStr">
        <is>
          <t>Customer Deviation</t>
        </is>
      </c>
      <c r="J785" s="43" t="inlineStr">
        <is>
          <t>DP525137</t>
        </is>
      </c>
      <c r="K785" s="33" t="inlineStr">
        <is>
          <t>DP525137 This Prototype deviation will be used for Woodside Park Pre-Pilot build at FJZ Mexico.1. Pleas use new the two pieces of 800-112578-01 and 800-112756-01 to validate the updated PBP design that should make it easier to install and remove the assembled PBP.</t>
        </is>
      </c>
      <c r="L785" s="43" t="inlineStr">
        <is>
          <t>Expired</t>
        </is>
      </c>
      <c r="M785" s="43" t="inlineStr">
        <is>
          <t>800-112582-04</t>
        </is>
      </c>
      <c r="N785" s="43" t="inlineStr"/>
      <c r="O785" s="43" t="inlineStr">
        <is>
          <t>2025-10-02</t>
        </is>
      </c>
      <c r="P785" s="33" t="inlineStr">
        <is>
          <t>For temporary Manufacturing process change</t>
        </is>
      </c>
      <c r="Q785" s="43" t="inlineStr">
        <is>
          <t>Place label somewhere visible on chassis.</t>
        </is>
      </c>
      <c r="R785" s="43" t="inlineStr">
        <is>
          <t>2025-08-05</t>
        </is>
      </c>
      <c r="S785" s="43" t="inlineStr">
        <is>
          <t>2025-08-14</t>
        </is>
      </c>
      <c r="T785" s="43" t="inlineStr"/>
      <c r="U785" s="43" t="inlineStr"/>
    </row>
    <row r="786">
      <c r="A786" s="43" t="n">
        <v>786</v>
      </c>
      <c r="B786" s="43" t="inlineStr">
        <is>
          <t>785</t>
        </is>
      </c>
      <c r="C786" s="43" t="inlineStr">
        <is>
          <t>FJZP</t>
        </is>
      </c>
      <c r="D786" s="43" t="inlineStr">
        <is>
          <t>Cisco</t>
        </is>
      </c>
      <c r="E786" s="43" t="inlineStr">
        <is>
          <t>MCGA</t>
        </is>
      </c>
      <c r="F786" s="43" t="inlineStr">
        <is>
          <t>037-STBU</t>
        </is>
      </c>
      <c r="G786" s="43" t="inlineStr">
        <is>
          <t>CTANJZ04763</t>
        </is>
      </c>
      <c r="H786" s="43" t="inlineStr">
        <is>
          <t>For temporary Manufacturing process change</t>
        </is>
      </c>
      <c r="I786" s="43" t="inlineStr">
        <is>
          <t>Customer Deviation</t>
        </is>
      </c>
      <c r="J786" s="43" t="inlineStr">
        <is>
          <t>DP525137</t>
        </is>
      </c>
      <c r="K786" s="33" t="inlineStr">
        <is>
          <t>DP525137 This Prototype deviation will be used for Woodside Park Pre-Pilot build at FJZ Mexico.1. Pleas use new the two pieces of 800-112578-01 and 800-112756-01 to validate the updated PBP design that should make it easier to install and remove the assembled PBP.</t>
        </is>
      </c>
      <c r="L786" s="43" t="inlineStr">
        <is>
          <t>Expired</t>
        </is>
      </c>
      <c r="M786" s="43" t="inlineStr">
        <is>
          <t>800-112583-04</t>
        </is>
      </c>
      <c r="N786" s="43" t="inlineStr"/>
      <c r="O786" s="43" t="inlineStr">
        <is>
          <t>2025-10-02</t>
        </is>
      </c>
      <c r="P786" s="33" t="inlineStr">
        <is>
          <t>For temporary Manufacturing process change</t>
        </is>
      </c>
      <c r="Q786" s="43" t="inlineStr">
        <is>
          <t>Place label somewhere visible on chassis.</t>
        </is>
      </c>
      <c r="R786" s="43" t="inlineStr">
        <is>
          <t>2025-08-05</t>
        </is>
      </c>
      <c r="S786" s="43" t="inlineStr">
        <is>
          <t>2025-08-14</t>
        </is>
      </c>
      <c r="T786" s="43" t="inlineStr"/>
      <c r="U786" s="43" t="inlineStr"/>
    </row>
    <row r="787">
      <c r="A787" s="43" t="n">
        <v>787</v>
      </c>
      <c r="B787" s="43" t="inlineStr">
        <is>
          <t>786</t>
        </is>
      </c>
      <c r="C787" s="43" t="inlineStr">
        <is>
          <t>FJZP</t>
        </is>
      </c>
      <c r="D787" s="43" t="inlineStr">
        <is>
          <t>Cisco</t>
        </is>
      </c>
      <c r="E787" s="43" t="inlineStr">
        <is>
          <t>MCGA</t>
        </is>
      </c>
      <c r="F787" s="43" t="inlineStr">
        <is>
          <t>037-STBU</t>
        </is>
      </c>
      <c r="G787" s="43" t="inlineStr">
        <is>
          <t>CTANJZ04763</t>
        </is>
      </c>
      <c r="H787" s="43" t="inlineStr">
        <is>
          <t>For temporary Manufacturing process change</t>
        </is>
      </c>
      <c r="I787" s="43" t="inlineStr">
        <is>
          <t>Customer Deviation</t>
        </is>
      </c>
      <c r="J787" s="43" t="inlineStr">
        <is>
          <t>DP525137</t>
        </is>
      </c>
      <c r="K787" s="33" t="inlineStr">
        <is>
          <t>DP525137 This Prototype deviation will be used for Woodside Park Pre-Pilot build at FJZ Mexico.1. Pleas use new the two pieces of 800-112578-01 and 800-112756-01 to validate the updated PBP design that should make it easier to install and remove the assembled PBP.</t>
        </is>
      </c>
      <c r="L787" s="43" t="inlineStr">
        <is>
          <t>Expired</t>
        </is>
      </c>
      <c r="M787" s="43" t="inlineStr">
        <is>
          <t>800-112720-04</t>
        </is>
      </c>
      <c r="N787" s="43" t="inlineStr"/>
      <c r="O787" s="43" t="inlineStr">
        <is>
          <t>2025-10-02</t>
        </is>
      </c>
      <c r="P787" s="33" t="inlineStr">
        <is>
          <t>For temporary Manufacturing process change</t>
        </is>
      </c>
      <c r="Q787" s="43" t="inlineStr">
        <is>
          <t>Place label somewhere visible on chassis.</t>
        </is>
      </c>
      <c r="R787" s="43" t="inlineStr">
        <is>
          <t>2025-08-05</t>
        </is>
      </c>
      <c r="S787" s="43" t="inlineStr">
        <is>
          <t>2025-08-14</t>
        </is>
      </c>
      <c r="T787" s="43" t="inlineStr"/>
      <c r="U787" s="43" t="inlineStr"/>
    </row>
    <row r="788">
      <c r="A788" s="43" t="n">
        <v>788</v>
      </c>
      <c r="B788" s="43" t="inlineStr">
        <is>
          <t>787</t>
        </is>
      </c>
      <c r="C788" s="43" t="inlineStr">
        <is>
          <t>FJZP</t>
        </is>
      </c>
      <c r="D788" s="43" t="inlineStr">
        <is>
          <t>Cisco</t>
        </is>
      </c>
      <c r="E788" s="43" t="inlineStr">
        <is>
          <t>MCGA</t>
        </is>
      </c>
      <c r="F788" s="43" t="inlineStr">
        <is>
          <t>018-SRGBU</t>
        </is>
      </c>
      <c r="G788" s="43" t="inlineStr">
        <is>
          <t>CTANJZ04837</t>
        </is>
      </c>
      <c r="H788" s="43" t="inlineStr">
        <is>
          <t>For temporary Manufacturing process change</t>
        </is>
      </c>
      <c r="I788" s="43" t="inlineStr">
        <is>
          <t>Customer Deviation</t>
        </is>
      </c>
      <c r="J788" s="43" t="inlineStr">
        <is>
          <t>D604535</t>
        </is>
      </c>
      <c r="K788" s="33" t="inlineStr">
        <is>
          <t>D604535 Roku5G C0 modem FW upgrade:This deviation instructs FOL PCBA site and DF sites to upgrade modem FW on Roku5G.Current FW information:Idx Carrier              FwVersion        PriVersion1   GENERIC              02.13.08.00      030.047_000OEM PRI VERSION = 001.002New FW information:Idx Carrier              FwVersion        PriVersion1   ATT                  02.15.01.00      030.059_0002   GENERIC              02.15.01.00      030.054_0013   TMO                  02.15.01.00      030.017_0004   VERIZON              02.16.05.00      030.077_000OEM PRI version = 001.003Note: DF sites will only need to perform upgrade until all OH inventory already comes upgraded from PCBA site.This deviation is being released as D602439 is expired and PCBA site still has 16 units in inventory with old modem that need to be upgraded.</t>
        </is>
      </c>
      <c r="L788" s="43" t="inlineStr">
        <is>
          <t>Expired</t>
        </is>
      </c>
      <c r="M788" s="43" t="inlineStr">
        <is>
          <t>68-7799-03</t>
        </is>
      </c>
      <c r="N788" s="43" t="inlineStr"/>
      <c r="O788" s="43" t="inlineStr">
        <is>
          <t>2025-10-06</t>
        </is>
      </c>
      <c r="P788" s="33" t="inlineStr">
        <is>
          <t>For temporary Manufacturing process change</t>
        </is>
      </c>
      <c r="Q788" s="43" t="inlineStr">
        <is>
          <t>For PCBA: Place deviation label on chassis and program deviation# into IDPROM For DF: Place deviation label on Chassis and program deviation# into IDPROM only if upgrade is performed. If already upgraded by PCBA site; no need to place deviation label or program deviation#</t>
        </is>
      </c>
      <c r="R788" s="43" t="inlineStr">
        <is>
          <t>2025-09-13</t>
        </is>
      </c>
      <c r="S788" s="43" t="inlineStr">
        <is>
          <t>2025-09-24</t>
        </is>
      </c>
      <c r="T788" s="43" t="inlineStr"/>
      <c r="U788" s="43" t="inlineStr"/>
    </row>
    <row r="789">
      <c r="A789" s="43" t="n">
        <v>789</v>
      </c>
      <c r="B789" s="43" t="inlineStr">
        <is>
          <t>788</t>
        </is>
      </c>
      <c r="C789" s="43" t="inlineStr">
        <is>
          <t>FJZP</t>
        </is>
      </c>
      <c r="D789" s="43" t="inlineStr">
        <is>
          <t>Cisco</t>
        </is>
      </c>
      <c r="E789" s="43" t="inlineStr">
        <is>
          <t>MCGA</t>
        </is>
      </c>
      <c r="F789" s="43" t="inlineStr">
        <is>
          <t>037-STBU</t>
        </is>
      </c>
      <c r="G789" s="43" t="inlineStr">
        <is>
          <t>CTANJZ04568</t>
        </is>
      </c>
      <c r="H789" s="43" t="inlineStr">
        <is>
          <t>For temporary Manufacturing process change</t>
        </is>
      </c>
      <c r="I789" s="43" t="inlineStr">
        <is>
          <t>Customer Deviation</t>
        </is>
      </c>
      <c r="J789" s="43" t="inlineStr">
        <is>
          <t>D603037</t>
        </is>
      </c>
      <c r="K789" s="33" t="inlineStr">
        <is>
          <t>D603037 Allow FJZ to test material on hand with old revision and paste expired period</t>
        </is>
      </c>
      <c r="L789" s="43" t="inlineStr">
        <is>
          <t>Expired</t>
        </is>
      </c>
      <c r="M789" s="43" t="inlineStr">
        <is>
          <t>800-105498-03</t>
        </is>
      </c>
      <c r="N789" s="43" t="inlineStr"/>
      <c r="O789" s="43" t="inlineStr">
        <is>
          <t>2025-07-15</t>
        </is>
      </c>
      <c r="P789" s="33" t="inlineStr">
        <is>
          <t>For temporary Manufacturing process change</t>
        </is>
      </c>
      <c r="Q789" s="43" t="inlineStr">
        <is>
          <t>Add the DV number to chassis</t>
        </is>
      </c>
      <c r="R789" s="43" t="inlineStr">
        <is>
          <t>2025-04-17</t>
        </is>
      </c>
      <c r="S789" s="43" t="inlineStr">
        <is>
          <t>2025-05-02</t>
        </is>
      </c>
      <c r="T789" s="43" t="inlineStr"/>
      <c r="U789" s="43" t="inlineStr"/>
    </row>
    <row r="790">
      <c r="A790" s="43" t="n">
        <v>790</v>
      </c>
      <c r="B790" s="43" t="inlineStr">
        <is>
          <t>789</t>
        </is>
      </c>
      <c r="C790" s="43" t="inlineStr">
        <is>
          <t>FJZP</t>
        </is>
      </c>
      <c r="D790" s="43" t="inlineStr">
        <is>
          <t>Cisco</t>
        </is>
      </c>
      <c r="E790" s="43" t="inlineStr">
        <is>
          <t>MCGA</t>
        </is>
      </c>
      <c r="F790" s="43" t="inlineStr">
        <is>
          <t>037-STBU</t>
        </is>
      </c>
      <c r="G790" s="43" t="inlineStr">
        <is>
          <t>CTANJZ04568</t>
        </is>
      </c>
      <c r="H790" s="43" t="inlineStr">
        <is>
          <t>For temporary Manufacturing process change</t>
        </is>
      </c>
      <c r="I790" s="43" t="inlineStr">
        <is>
          <t>Customer Deviation</t>
        </is>
      </c>
      <c r="J790" s="43" t="inlineStr">
        <is>
          <t>D603037</t>
        </is>
      </c>
      <c r="K790" s="33" t="inlineStr">
        <is>
          <t>D603037 Allow FJZ to test material on hand with old revision and paste expired period</t>
        </is>
      </c>
      <c r="L790" s="43" t="inlineStr">
        <is>
          <t>Expired</t>
        </is>
      </c>
      <c r="M790" s="43" t="inlineStr">
        <is>
          <t>800-105499-03</t>
        </is>
      </c>
      <c r="N790" s="43" t="inlineStr"/>
      <c r="O790" s="43" t="inlineStr">
        <is>
          <t>2025-07-15</t>
        </is>
      </c>
      <c r="P790" s="33" t="inlineStr">
        <is>
          <t>For temporary Manufacturing process change</t>
        </is>
      </c>
      <c r="Q790" s="43" t="inlineStr">
        <is>
          <t>Add the DV number to chassis</t>
        </is>
      </c>
      <c r="R790" s="43" t="inlineStr">
        <is>
          <t>2025-04-17</t>
        </is>
      </c>
      <c r="S790" s="43" t="inlineStr">
        <is>
          <t>2025-05-02</t>
        </is>
      </c>
      <c r="T790" s="43" t="inlineStr"/>
      <c r="U790" s="43" t="inlineStr"/>
    </row>
    <row r="791">
      <c r="A791" s="43" t="n">
        <v>791</v>
      </c>
      <c r="B791" s="43" t="inlineStr">
        <is>
          <t>790</t>
        </is>
      </c>
      <c r="C791" s="43" t="inlineStr">
        <is>
          <t>FJZP</t>
        </is>
      </c>
      <c r="D791" s="43" t="inlineStr">
        <is>
          <t>Cisco</t>
        </is>
      </c>
      <c r="E791" s="43" t="inlineStr">
        <is>
          <t>MCGA</t>
        </is>
      </c>
      <c r="F791" s="43" t="inlineStr">
        <is>
          <t>037-STBU</t>
        </is>
      </c>
      <c r="G791" s="43" t="inlineStr">
        <is>
          <t>CTANJZ04568</t>
        </is>
      </c>
      <c r="H791" s="43" t="inlineStr">
        <is>
          <t>For temporary Manufacturing process change</t>
        </is>
      </c>
      <c r="I791" s="43" t="inlineStr">
        <is>
          <t>Customer Deviation</t>
        </is>
      </c>
      <c r="J791" s="43" t="inlineStr">
        <is>
          <t>D603037</t>
        </is>
      </c>
      <c r="K791" s="33" t="inlineStr">
        <is>
          <t>D603037 Allow FJZ to test material on hand with old revision and paste expired period</t>
        </is>
      </c>
      <c r="L791" s="43" t="inlineStr">
        <is>
          <t>Expired</t>
        </is>
      </c>
      <c r="M791" s="43" t="inlineStr">
        <is>
          <t>800-105500-03</t>
        </is>
      </c>
      <c r="N791" s="43" t="inlineStr"/>
      <c r="O791" s="43" t="inlineStr">
        <is>
          <t>2025-07-15</t>
        </is>
      </c>
      <c r="P791" s="33" t="inlineStr">
        <is>
          <t>For temporary Manufacturing process change</t>
        </is>
      </c>
      <c r="Q791" s="43" t="inlineStr">
        <is>
          <t>Add the DV number to chassis</t>
        </is>
      </c>
      <c r="R791" s="43" t="inlineStr">
        <is>
          <t>2025-04-17</t>
        </is>
      </c>
      <c r="S791" s="43" t="inlineStr">
        <is>
          <t>2025-05-02</t>
        </is>
      </c>
      <c r="T791" s="43" t="inlineStr"/>
      <c r="U791" s="43" t="inlineStr"/>
    </row>
    <row r="792">
      <c r="A792" s="43" t="n">
        <v>792</v>
      </c>
      <c r="B792" s="43" t="inlineStr">
        <is>
          <t>791</t>
        </is>
      </c>
      <c r="C792" s="43" t="inlineStr">
        <is>
          <t>FJZP</t>
        </is>
      </c>
      <c r="D792" s="43" t="inlineStr">
        <is>
          <t>Cisco</t>
        </is>
      </c>
      <c r="E792" s="43" t="inlineStr">
        <is>
          <t>MCGA</t>
        </is>
      </c>
      <c r="F792" s="43" t="inlineStr">
        <is>
          <t>037-STBU</t>
        </is>
      </c>
      <c r="G792" s="43" t="inlineStr">
        <is>
          <t>CTANJZ04568</t>
        </is>
      </c>
      <c r="H792" s="43" t="inlineStr">
        <is>
          <t>For temporary Manufacturing process change</t>
        </is>
      </c>
      <c r="I792" s="43" t="inlineStr">
        <is>
          <t>Customer Deviation</t>
        </is>
      </c>
      <c r="J792" s="43" t="inlineStr">
        <is>
          <t>D603037</t>
        </is>
      </c>
      <c r="K792" s="33" t="inlineStr">
        <is>
          <t>D603037 Allow FJZ to test material on hand with old revision and paste expired period</t>
        </is>
      </c>
      <c r="L792" s="43" t="inlineStr">
        <is>
          <t>Expired</t>
        </is>
      </c>
      <c r="M792" s="43" t="inlineStr">
        <is>
          <t>800-106634-02</t>
        </is>
      </c>
      <c r="N792" s="43" t="inlineStr"/>
      <c r="O792" s="43" t="inlineStr">
        <is>
          <t>2025-07-15</t>
        </is>
      </c>
      <c r="P792" s="33" t="inlineStr">
        <is>
          <t>For temporary Manufacturing process change</t>
        </is>
      </c>
      <c r="Q792" s="43" t="inlineStr">
        <is>
          <t>Add the DV number to chassis</t>
        </is>
      </c>
      <c r="R792" s="43" t="inlineStr">
        <is>
          <t>2025-04-17</t>
        </is>
      </c>
      <c r="S792" s="43" t="inlineStr">
        <is>
          <t>2025-05-02</t>
        </is>
      </c>
      <c r="T792" s="43" t="inlineStr"/>
      <c r="U792" s="43" t="inlineStr"/>
    </row>
    <row r="793">
      <c r="A793" s="43" t="n">
        <v>793</v>
      </c>
      <c r="B793" s="43" t="inlineStr">
        <is>
          <t>792</t>
        </is>
      </c>
      <c r="C793" s="43" t="inlineStr">
        <is>
          <t>FJZP</t>
        </is>
      </c>
      <c r="D793" s="43" t="inlineStr">
        <is>
          <t>Cisco</t>
        </is>
      </c>
      <c r="E793" s="43" t="inlineStr">
        <is>
          <t>MCGA</t>
        </is>
      </c>
      <c r="F793" s="43" t="inlineStr">
        <is>
          <t>037-STBU</t>
        </is>
      </c>
      <c r="G793" s="43" t="inlineStr">
        <is>
          <t>CTANJZ04568</t>
        </is>
      </c>
      <c r="H793" s="43" t="inlineStr">
        <is>
          <t>For temporary Manufacturing process change</t>
        </is>
      </c>
      <c r="I793" s="43" t="inlineStr">
        <is>
          <t>Customer Deviation</t>
        </is>
      </c>
      <c r="J793" s="43" t="inlineStr">
        <is>
          <t>D603037</t>
        </is>
      </c>
      <c r="K793" s="33" t="inlineStr">
        <is>
          <t>D603037 Allow FJZ to test material on hand with old revision and paste expired period</t>
        </is>
      </c>
      <c r="L793" s="43" t="inlineStr">
        <is>
          <t>Expired</t>
        </is>
      </c>
      <c r="M793" s="43" t="inlineStr">
        <is>
          <t>800-106754-02</t>
        </is>
      </c>
      <c r="N793" s="43" t="inlineStr"/>
      <c r="O793" s="43" t="inlineStr">
        <is>
          <t>2025-07-15</t>
        </is>
      </c>
      <c r="P793" s="33" t="inlineStr">
        <is>
          <t>For temporary Manufacturing process change</t>
        </is>
      </c>
      <c r="Q793" s="43" t="inlineStr">
        <is>
          <t>Add the DV number to chassis</t>
        </is>
      </c>
      <c r="R793" s="43" t="inlineStr">
        <is>
          <t>2025-04-17</t>
        </is>
      </c>
      <c r="S793" s="43" t="inlineStr">
        <is>
          <t>2025-05-02</t>
        </is>
      </c>
      <c r="T793" s="43" t="inlineStr"/>
      <c r="U793" s="43" t="inlineStr"/>
    </row>
    <row r="794">
      <c r="A794" s="43" t="n">
        <v>794</v>
      </c>
      <c r="B794" s="43" t="inlineStr">
        <is>
          <t>793</t>
        </is>
      </c>
      <c r="C794" s="43" t="inlineStr">
        <is>
          <t>FJZP</t>
        </is>
      </c>
      <c r="D794" s="43" t="inlineStr">
        <is>
          <t>Cisco</t>
        </is>
      </c>
      <c r="E794" s="43" t="inlineStr">
        <is>
          <t>MCGA</t>
        </is>
      </c>
      <c r="F794" s="43" t="inlineStr">
        <is>
          <t>037-STBU</t>
        </is>
      </c>
      <c r="G794" s="43" t="inlineStr">
        <is>
          <t>CTANJZ04568</t>
        </is>
      </c>
      <c r="H794" s="43" t="inlineStr">
        <is>
          <t>For temporary Manufacturing process change</t>
        </is>
      </c>
      <c r="I794" s="43" t="inlineStr">
        <is>
          <t>Customer Deviation</t>
        </is>
      </c>
      <c r="J794" s="43" t="inlineStr">
        <is>
          <t>D603037</t>
        </is>
      </c>
      <c r="K794" s="33" t="inlineStr">
        <is>
          <t>D603037 Allow FJZ to test material on hand with old revision and paste expired period</t>
        </is>
      </c>
      <c r="L794" s="43" t="inlineStr">
        <is>
          <t>Expired</t>
        </is>
      </c>
      <c r="M794" s="43" t="inlineStr">
        <is>
          <t>800-106838-02</t>
        </is>
      </c>
      <c r="N794" s="43" t="inlineStr"/>
      <c r="O794" s="43" t="inlineStr">
        <is>
          <t>2025-07-15</t>
        </is>
      </c>
      <c r="P794" s="33" t="inlineStr">
        <is>
          <t>For temporary Manufacturing process change</t>
        </is>
      </c>
      <c r="Q794" s="43" t="inlineStr">
        <is>
          <t>Add the DV number to chassis</t>
        </is>
      </c>
      <c r="R794" s="43" t="inlineStr">
        <is>
          <t>2025-04-17</t>
        </is>
      </c>
      <c r="S794" s="43" t="inlineStr">
        <is>
          <t>2025-05-02</t>
        </is>
      </c>
      <c r="T794" s="43" t="inlineStr"/>
      <c r="U794" s="43" t="inlineStr"/>
    </row>
    <row r="795">
      <c r="A795" s="43" t="n">
        <v>795</v>
      </c>
      <c r="B795" s="43" t="inlineStr">
        <is>
          <t>794</t>
        </is>
      </c>
      <c r="C795" s="43" t="inlineStr">
        <is>
          <t>FJZP</t>
        </is>
      </c>
      <c r="D795" s="43" t="inlineStr">
        <is>
          <t>Cisco</t>
        </is>
      </c>
      <c r="E795" s="43" t="inlineStr">
        <is>
          <t>MCGA</t>
        </is>
      </c>
      <c r="F795" s="43" t="inlineStr">
        <is>
          <t>037-STBU</t>
        </is>
      </c>
      <c r="G795" s="43" t="inlineStr">
        <is>
          <t>CTANJZ04568</t>
        </is>
      </c>
      <c r="H795" s="43" t="inlineStr">
        <is>
          <t>For temporary Manufacturing process change</t>
        </is>
      </c>
      <c r="I795" s="43" t="inlineStr">
        <is>
          <t>Customer Deviation</t>
        </is>
      </c>
      <c r="J795" s="43" t="inlineStr">
        <is>
          <t>D603037</t>
        </is>
      </c>
      <c r="K795" s="33" t="inlineStr">
        <is>
          <t>D603037 Allow FJZ to test material on hand with old revision and paste expired period</t>
        </is>
      </c>
      <c r="L795" s="43" t="inlineStr">
        <is>
          <t>Expired</t>
        </is>
      </c>
      <c r="M795" s="43" t="inlineStr">
        <is>
          <t>800-107605-01</t>
        </is>
      </c>
      <c r="N795" s="43" t="inlineStr"/>
      <c r="O795" s="43" t="inlineStr">
        <is>
          <t>2025-07-15</t>
        </is>
      </c>
      <c r="P795" s="33" t="inlineStr">
        <is>
          <t>For temporary Manufacturing process change</t>
        </is>
      </c>
      <c r="Q795" s="43" t="inlineStr">
        <is>
          <t>Add the DV number to chassis</t>
        </is>
      </c>
      <c r="R795" s="43" t="inlineStr">
        <is>
          <t>2025-04-17</t>
        </is>
      </c>
      <c r="S795" s="43" t="inlineStr">
        <is>
          <t>2025-05-02</t>
        </is>
      </c>
      <c r="T795" s="43" t="inlineStr"/>
      <c r="U795" s="43" t="inlineStr"/>
    </row>
    <row r="796">
      <c r="A796" s="43" t="n">
        <v>796</v>
      </c>
      <c r="B796" s="43" t="inlineStr">
        <is>
          <t>795</t>
        </is>
      </c>
      <c r="C796" s="43" t="inlineStr">
        <is>
          <t>FJZP</t>
        </is>
      </c>
      <c r="D796" s="43" t="inlineStr">
        <is>
          <t>Cisco</t>
        </is>
      </c>
      <c r="E796" s="43" t="inlineStr">
        <is>
          <t>MCGA</t>
        </is>
      </c>
      <c r="F796" s="43" t="inlineStr">
        <is>
          <t>037-STBU</t>
        </is>
      </c>
      <c r="G796" s="43" t="inlineStr">
        <is>
          <t>CTANJZ04568</t>
        </is>
      </c>
      <c r="H796" s="43" t="inlineStr">
        <is>
          <t>For temporary Manufacturing process change</t>
        </is>
      </c>
      <c r="I796" s="43" t="inlineStr">
        <is>
          <t>Customer Deviation</t>
        </is>
      </c>
      <c r="J796" s="43" t="inlineStr">
        <is>
          <t>D603037</t>
        </is>
      </c>
      <c r="K796" s="33" t="inlineStr">
        <is>
          <t>D603037 Allow FJZ to test material on hand with old revision and paste expired period</t>
        </is>
      </c>
      <c r="L796" s="43" t="inlineStr">
        <is>
          <t>Expired</t>
        </is>
      </c>
      <c r="M796" s="43" t="inlineStr">
        <is>
          <t>800-111297-01</t>
        </is>
      </c>
      <c r="N796" s="43" t="inlineStr"/>
      <c r="O796" s="43" t="inlineStr">
        <is>
          <t>2025-07-15</t>
        </is>
      </c>
      <c r="P796" s="33" t="inlineStr">
        <is>
          <t>For temporary Manufacturing process change</t>
        </is>
      </c>
      <c r="Q796" s="43" t="inlineStr">
        <is>
          <t>Add the DV number to chassis</t>
        </is>
      </c>
      <c r="R796" s="43" t="inlineStr">
        <is>
          <t>2025-04-17</t>
        </is>
      </c>
      <c r="S796" s="43" t="inlineStr">
        <is>
          <t>2025-05-02</t>
        </is>
      </c>
      <c r="T796" s="43" t="inlineStr"/>
      <c r="U796" s="43" t="inlineStr"/>
    </row>
    <row r="797">
      <c r="A797" s="43" t="n">
        <v>797</v>
      </c>
      <c r="B797" s="43" t="inlineStr">
        <is>
          <t>796</t>
        </is>
      </c>
      <c r="C797" s="43" t="inlineStr">
        <is>
          <t>FJZP</t>
        </is>
      </c>
      <c r="D797" s="43" t="inlineStr">
        <is>
          <t>Cisco</t>
        </is>
      </c>
      <c r="E797" s="43" t="inlineStr">
        <is>
          <t>MCGA</t>
        </is>
      </c>
      <c r="F797" s="43" t="inlineStr">
        <is>
          <t>034-IOTBU</t>
        </is>
      </c>
      <c r="G797" s="43" t="inlineStr">
        <is>
          <t>CTANJZ04571</t>
        </is>
      </c>
      <c r="H797" s="43" t="inlineStr">
        <is>
          <t>For temporary Manufacturing process change</t>
        </is>
      </c>
      <c r="I797" s="43" t="inlineStr">
        <is>
          <t>Customer Deviation</t>
        </is>
      </c>
      <c r="J797" s="43" t="inlineStr">
        <is>
          <t>D603340</t>
        </is>
      </c>
      <c r="K797" s="33" t="inlineStr">
        <is>
          <t>D603340 IOTBU: Sonic: Use up Proto materialFoxconn can use up below prototype revisions in the production builds.For 08-1171-04 Rev. A0; use up Rev. 01For 17-102990-02 Rev. A0; use up Rev. 01For 28-103007-04 Rev. A0; use up Rev. 02For 28-103008-04 Rev. A0; use up Rev. 01For 28-103010-03 Rev. A0; use up Rev. 02For 28-103011-05 Rev. A0; use up Rev. 01For 28-103012-03 Rev. A0; use up Rev. 02For 28-103013-04 Rev. A0; use up Rev. 02For 28-103014-05 Rev. A0; use up Rev. 01For 28-103370-02 Rev. A0; use up Rev. 02</t>
        </is>
      </c>
      <c r="L797" s="43" t="inlineStr">
        <is>
          <t>Expired</t>
        </is>
      </c>
      <c r="M797" s="43" t="inlineStr">
        <is>
          <t>08-1171-04</t>
        </is>
      </c>
      <c r="N797" s="43" t="inlineStr"/>
      <c r="O797" s="43" t="inlineStr">
        <is>
          <t>2025-07-17</t>
        </is>
      </c>
      <c r="P797" s="33" t="inlineStr">
        <is>
          <t>For temporary Manufacturing process change</t>
        </is>
      </c>
      <c r="Q797" s="43" t="inlineStr">
        <is>
          <t>Apply deviation label on visible location.</t>
        </is>
      </c>
      <c r="R797" s="43" t="inlineStr">
        <is>
          <t>2025-04-21</t>
        </is>
      </c>
      <c r="S797" s="43" t="inlineStr">
        <is>
          <t>2025-04-26</t>
        </is>
      </c>
      <c r="T797" s="43" t="inlineStr"/>
      <c r="U797" s="43" t="inlineStr"/>
    </row>
    <row r="798">
      <c r="A798" s="43" t="n">
        <v>798</v>
      </c>
      <c r="B798" s="43" t="inlineStr">
        <is>
          <t>797</t>
        </is>
      </c>
      <c r="C798" s="43" t="inlineStr">
        <is>
          <t>FJZP</t>
        </is>
      </c>
      <c r="D798" s="43" t="inlineStr">
        <is>
          <t>Cisco</t>
        </is>
      </c>
      <c r="E798" s="43" t="inlineStr">
        <is>
          <t>MCGA</t>
        </is>
      </c>
      <c r="F798" s="43" t="inlineStr">
        <is>
          <t>018-SRGBU</t>
        </is>
      </c>
      <c r="G798" s="43" t="inlineStr">
        <is>
          <t>CTANJZ04573</t>
        </is>
      </c>
      <c r="H798" s="43" t="inlineStr">
        <is>
          <t>For temporary Manufacturing process change</t>
        </is>
      </c>
      <c r="I798" s="43" t="inlineStr">
        <is>
          <t>Customer Deviation</t>
        </is>
      </c>
      <c r="J798" s="43" t="inlineStr">
        <is>
          <t>D603428</t>
        </is>
      </c>
      <c r="K798" s="33" t="inlineStr">
        <is>
          <t>D603428 Allow FJZ to use ONLY the MPN M393A2K43EB3-CWE of the 15-106507-02; instead of 15-107070-01; in the PIDs:MEM-C8200-16GBMEM-C8300-16GBMEM-C8500-32GBMEM-C8500L-16GB</t>
        </is>
      </c>
      <c r="L798" s="43" t="inlineStr">
        <is>
          <t>Expired</t>
        </is>
      </c>
      <c r="M798" s="43" t="inlineStr">
        <is>
          <t>15-107070-01</t>
        </is>
      </c>
      <c r="N798" s="43" t="inlineStr"/>
      <c r="O798" s="43" t="inlineStr">
        <is>
          <t>2025-07-20</t>
        </is>
      </c>
      <c r="P798" s="33" t="inlineStr">
        <is>
          <t>For temporary Manufacturing process change</t>
        </is>
      </c>
      <c r="Q798" s="43" t="inlineStr">
        <is>
          <t>Add D603428 label on affected DIMMs</t>
        </is>
      </c>
      <c r="R798" s="43" t="inlineStr">
        <is>
          <t>2025-04-22</t>
        </is>
      </c>
      <c r="S798" s="43" t="inlineStr">
        <is>
          <t>2025-05-02</t>
        </is>
      </c>
      <c r="T798" s="43" t="inlineStr"/>
      <c r="U798" s="43" t="inlineStr"/>
    </row>
    <row r="799">
      <c r="A799" s="43" t="n">
        <v>799</v>
      </c>
      <c r="B799" s="43" t="inlineStr">
        <is>
          <t>798</t>
        </is>
      </c>
      <c r="C799" s="43" t="inlineStr">
        <is>
          <t>FJZP</t>
        </is>
      </c>
      <c r="D799" s="43" t="inlineStr">
        <is>
          <t>Cisco</t>
        </is>
      </c>
      <c r="E799" s="43" t="inlineStr">
        <is>
          <t>MCGA</t>
        </is>
      </c>
      <c r="F799" s="43" t="inlineStr">
        <is>
          <t>018-SRGBU</t>
        </is>
      </c>
      <c r="G799" s="43" t="inlineStr">
        <is>
          <t>CTANJZ04575</t>
        </is>
      </c>
      <c r="H799" s="43" t="inlineStr">
        <is>
          <t>For temporary Manufacturing process change</t>
        </is>
      </c>
      <c r="I799" s="43" t="inlineStr">
        <is>
          <t>Customer Deviation</t>
        </is>
      </c>
      <c r="J799" s="43" t="inlineStr">
        <is>
          <t>D603354</t>
        </is>
      </c>
      <c r="K799" s="33" t="inlineStr">
        <is>
          <t>D603354 FAI for 84-1474-01 from Stephen Gould is being approved. CE checked and he agreed to use this box while the FAI process is fully approved</t>
        </is>
      </c>
      <c r="L799" s="43" t="inlineStr">
        <is>
          <t>Expired</t>
        </is>
      </c>
      <c r="M799" s="43" t="inlineStr">
        <is>
          <t>84-1474-01</t>
        </is>
      </c>
      <c r="N799" s="43" t="inlineStr"/>
      <c r="O799" s="43" t="inlineStr">
        <is>
          <t>2025-07-20</t>
        </is>
      </c>
      <c r="P799" s="33" t="inlineStr">
        <is>
          <t>For temporary Manufacturing process change</t>
        </is>
      </c>
      <c r="Q799" s="43" t="inlineStr">
        <is>
          <t>NO marking needed</t>
        </is>
      </c>
      <c r="R799" s="43" t="inlineStr">
        <is>
          <t>2025-04-22</t>
        </is>
      </c>
      <c r="S799" s="43" t="inlineStr">
        <is>
          <t>2025-05-02</t>
        </is>
      </c>
      <c r="T799" s="43" t="inlineStr"/>
      <c r="U799" s="43" t="inlineStr"/>
    </row>
    <row r="800">
      <c r="A800" s="43" t="n">
        <v>800</v>
      </c>
      <c r="B800" s="43" t="inlineStr">
        <is>
          <t>799</t>
        </is>
      </c>
      <c r="C800" s="43" t="inlineStr">
        <is>
          <t>FJZP</t>
        </is>
      </c>
      <c r="D800" s="43" t="inlineStr">
        <is>
          <t>Cisco</t>
        </is>
      </c>
      <c r="E800" s="43" t="inlineStr">
        <is>
          <t>MCGA</t>
        </is>
      </c>
      <c r="F800" s="43" t="inlineStr">
        <is>
          <t>037-STBU</t>
        </is>
      </c>
      <c r="G800" s="43" t="inlineStr">
        <is>
          <t>CTANJZ04732</t>
        </is>
      </c>
      <c r="H800" s="43" t="inlineStr">
        <is>
          <t>For temporary Manufacturing process change</t>
        </is>
      </c>
      <c r="I800" s="43" t="inlineStr">
        <is>
          <t>Customer Deviation</t>
        </is>
      </c>
      <c r="J800" s="43" t="inlineStr">
        <is>
          <t>D604140</t>
        </is>
      </c>
      <c r="K800" s="33" t="inlineStr">
        <is>
          <t>D604140 Allow FJZ to use the box 55-2999-01 to ship the spare PID CSF1200-BRKT=. ECO is ongoing to include the packaging in the BOM</t>
        </is>
      </c>
      <c r="L800" s="43" t="inlineStr">
        <is>
          <t>Expired</t>
        </is>
      </c>
      <c r="M800" s="43" t="inlineStr">
        <is>
          <t>55-2999-01</t>
        </is>
      </c>
      <c r="N800" s="43" t="inlineStr"/>
      <c r="O800" s="43" t="inlineStr">
        <is>
          <t>2025-10-14</t>
        </is>
      </c>
      <c r="P800" s="33" t="inlineStr">
        <is>
          <t>For temporary Manufacturing process change</t>
        </is>
      </c>
      <c r="Q800" s="43" t="inlineStr">
        <is>
          <t>Use the box 55-2999-01 to ship the spare PID CSF1200-BRKT=. ECO is ongoing to include the packaging in the BOM</t>
        </is>
      </c>
      <c r="R800" s="43" t="inlineStr">
        <is>
          <t>2025-07-17</t>
        </is>
      </c>
      <c r="S800" s="43" t="inlineStr">
        <is>
          <t>2025-07-28</t>
        </is>
      </c>
      <c r="T800" s="43" t="inlineStr"/>
      <c r="U800" s="43" t="inlineStr"/>
    </row>
    <row r="801">
      <c r="A801" s="43" t="n">
        <v>801</v>
      </c>
      <c r="B801" s="43" t="inlineStr">
        <is>
          <t>800</t>
        </is>
      </c>
      <c r="C801" s="43" t="inlineStr">
        <is>
          <t>FJZP</t>
        </is>
      </c>
      <c r="D801" s="43" t="inlineStr">
        <is>
          <t>Cisco</t>
        </is>
      </c>
      <c r="E801" s="43" t="inlineStr">
        <is>
          <t>MCGA</t>
        </is>
      </c>
      <c r="F801" s="43" t="inlineStr">
        <is>
          <t>037-STBU</t>
        </is>
      </c>
      <c r="G801" s="43" t="inlineStr">
        <is>
          <t>CTANJZ04739</t>
        </is>
      </c>
      <c r="H801" s="43" t="inlineStr">
        <is>
          <t>For temporary Manufacturing process change</t>
        </is>
      </c>
      <c r="I801" s="43" t="inlineStr">
        <is>
          <t>Customer Deviation</t>
        </is>
      </c>
      <c r="J801" s="43" t="inlineStr">
        <is>
          <t>D605179</t>
        </is>
      </c>
      <c r="K801" s="33" t="inlineStr">
        <is>
          <t>D605179 Allow FJZ to rework 60 units with missing internal LED gasket and without label guides</t>
        </is>
      </c>
      <c r="L801" s="43" t="inlineStr">
        <is>
          <t>Expired</t>
        </is>
      </c>
      <c r="M801" s="43" t="inlineStr">
        <is>
          <t>800-111171-02</t>
        </is>
      </c>
      <c r="N801" s="43" t="inlineStr"/>
      <c r="O801" s="43" t="inlineStr">
        <is>
          <t>2025-10-16</t>
        </is>
      </c>
      <c r="P801" s="33" t="inlineStr">
        <is>
          <t>For temporary Manufacturing process change</t>
        </is>
      </c>
      <c r="Q801" s="43" t="inlineStr">
        <is>
          <t>1. Trend will rework the 60 units with missing internal LED gasket2. Quality team to inspect the labels are aligned due the carriers with defect are without line guides3. Stick the dev label in the carrier</t>
        </is>
      </c>
      <c r="R801" s="43" t="inlineStr">
        <is>
          <t>2025-07-21</t>
        </is>
      </c>
      <c r="S801" s="43" t="inlineStr">
        <is>
          <t>2025-07-30</t>
        </is>
      </c>
      <c r="T801" s="43" t="inlineStr"/>
      <c r="U801" s="43" t="inlineStr"/>
    </row>
    <row r="802">
      <c r="A802" s="43" t="n">
        <v>802</v>
      </c>
      <c r="B802" s="43" t="inlineStr">
        <is>
          <t>801</t>
        </is>
      </c>
      <c r="C802" s="43" t="inlineStr">
        <is>
          <t>FJZP</t>
        </is>
      </c>
      <c r="D802" s="43" t="inlineStr">
        <is>
          <t>Cisco</t>
        </is>
      </c>
      <c r="E802" s="43" t="inlineStr">
        <is>
          <t>MCGA</t>
        </is>
      </c>
      <c r="F802" s="43" t="inlineStr">
        <is>
          <t>037-STBU</t>
        </is>
      </c>
      <c r="G802" s="43" t="inlineStr">
        <is>
          <t>CTANJZ04532</t>
        </is>
      </c>
      <c r="H802" s="43" t="inlineStr">
        <is>
          <t>For temporary Manufacturing process change</t>
        </is>
      </c>
      <c r="I802" s="43" t="inlineStr">
        <is>
          <t>Customer Deviation</t>
        </is>
      </c>
      <c r="J802" s="43" t="inlineStr">
        <is>
          <t>DP524725</t>
        </is>
      </c>
      <c r="K802" s="33" t="inlineStr">
        <is>
          <t>DP524725 For ESW-P3 build - FJZ can skip Edge Bonding process step for all P3 units</t>
        </is>
      </c>
      <c r="L802" s="43" t="inlineStr">
        <is>
          <t>Expired</t>
        </is>
      </c>
      <c r="M802" s="43" t="inlineStr">
        <is>
          <t>73-103558-03</t>
        </is>
      </c>
      <c r="N802" s="43" t="inlineStr"/>
      <c r="O802" s="43" t="inlineStr">
        <is>
          <t>2025-05-27</t>
        </is>
      </c>
      <c r="P802" s="33" t="inlineStr">
        <is>
          <t>For temporary Manufacturing process change</t>
        </is>
      </c>
      <c r="Q802" s="43" t="inlineStr">
        <is>
          <t>No deviation label is required as it is applicable for all P3 qty</t>
        </is>
      </c>
      <c r="R802" s="43" t="inlineStr">
        <is>
          <t>2025-03-31</t>
        </is>
      </c>
      <c r="S802" s="43" t="inlineStr">
        <is>
          <t>2025-04-05</t>
        </is>
      </c>
      <c r="T802" s="43" t="inlineStr"/>
      <c r="U802" s="43" t="inlineStr"/>
    </row>
    <row r="803">
      <c r="A803" s="43" t="n">
        <v>803</v>
      </c>
      <c r="B803" s="43" t="inlineStr">
        <is>
          <t>802</t>
        </is>
      </c>
      <c r="C803" s="43" t="inlineStr">
        <is>
          <t>FJZP</t>
        </is>
      </c>
      <c r="D803" s="43" t="inlineStr">
        <is>
          <t>Cisco</t>
        </is>
      </c>
      <c r="E803" s="43" t="inlineStr">
        <is>
          <t>MCGA</t>
        </is>
      </c>
      <c r="F803" s="43" t="inlineStr">
        <is>
          <t>018-SRGBU</t>
        </is>
      </c>
      <c r="G803" s="43" t="inlineStr">
        <is>
          <t>CTANJZ04487</t>
        </is>
      </c>
      <c r="H803" s="43" t="inlineStr">
        <is>
          <t>For temporary Manufacturing process change</t>
        </is>
      </c>
      <c r="I803" s="43" t="inlineStr">
        <is>
          <t>Customer Deviation</t>
        </is>
      </c>
      <c r="J803" s="43" t="inlineStr">
        <is>
          <t>D602439</t>
        </is>
      </c>
      <c r="K803" s="33" t="inlineStr">
        <is>
          <t>D602439 Roku5G C0 modem FW upgrade:This deviation instructs FOL PCBA site and DF sites to upgrade modem FW on Roku5G.Current FW information:Idx Carrier              FwVersion        PriVersion1   GENERIC              02.13.08.00      030.047_000OEM PRI VERSION = 001.002New FW information:Idx Carrier              FwVersion        PriVersion1   ATT                  02.15.01.00      030.059_0002   GENERIC              02.15.01.00      030.054_0013   TMO                  02.15.01.00      030.017_0004   VERIZON              02.16.05.00      030.077_000OEM PRI version = 001.003Note: DF sites will only need to perform upgrade until all OH inventory already comes upgraded from PCBA site.</t>
        </is>
      </c>
      <c r="L803" s="43" t="inlineStr">
        <is>
          <t>Expired</t>
        </is>
      </c>
      <c r="M803" s="43" t="inlineStr">
        <is>
          <t>68-7799-03</t>
        </is>
      </c>
      <c r="N803" s="43" t="inlineStr"/>
      <c r="O803" s="43" t="inlineStr">
        <is>
          <t>2025-06-02</t>
        </is>
      </c>
      <c r="P803" s="33" t="inlineStr">
        <is>
          <t>For temporary Manufacturing process change</t>
        </is>
      </c>
      <c r="Q803" s="43" t="inlineStr">
        <is>
          <t>For PCBA: Place deviation label on chassis and program deviation# into IDPROM For DF: Place deviation label on Chassis and program deviation# into IDPROM only if upgrade is performed. If already upgraded by PCBA site; no need to place deviation label or program deviation#</t>
        </is>
      </c>
      <c r="R803" s="43" t="inlineStr">
        <is>
          <t>2025-03-06</t>
        </is>
      </c>
      <c r="S803" s="43" t="inlineStr">
        <is>
          <t>2025-03-16</t>
        </is>
      </c>
      <c r="T803" s="43" t="inlineStr"/>
      <c r="U803" s="43" t="inlineStr"/>
    </row>
    <row r="804">
      <c r="A804" s="43" t="n">
        <v>804</v>
      </c>
      <c r="B804" s="43" t="inlineStr">
        <is>
          <t>803</t>
        </is>
      </c>
      <c r="C804" s="43" t="inlineStr">
        <is>
          <t>FJZP</t>
        </is>
      </c>
      <c r="D804" s="43" t="inlineStr">
        <is>
          <t>Cisco</t>
        </is>
      </c>
      <c r="E804" s="43" t="inlineStr">
        <is>
          <t>MCGA</t>
        </is>
      </c>
      <c r="F804" s="43" t="inlineStr">
        <is>
          <t>035-CVEBU</t>
        </is>
      </c>
      <c r="G804" s="43" t="inlineStr">
        <is>
          <t>CTANJZ04617</t>
        </is>
      </c>
      <c r="H804" s="43" t="inlineStr">
        <is>
          <t>For temporary Manufacturing process change</t>
        </is>
      </c>
      <c r="I804" s="43" t="inlineStr">
        <is>
          <t>Customer Deviation</t>
        </is>
      </c>
      <c r="J804" s="43" t="inlineStr">
        <is>
          <t>D604044</t>
        </is>
      </c>
      <c r="K804" s="33" t="inlineStr">
        <is>
          <t>D604044 Allow AVer to use 50% recycled plastic bag to pack the camera and 35% recycled plastic bag to pack cable cover</t>
        </is>
      </c>
      <c r="L804" s="43" t="inlineStr">
        <is>
          <t>Expired</t>
        </is>
      </c>
      <c r="M804" s="43" t="inlineStr">
        <is>
          <t>74-140219-01</t>
        </is>
      </c>
      <c r="N804" s="43" t="inlineStr"/>
      <c r="O804" s="43" t="inlineStr">
        <is>
          <t>2025-08-20</t>
        </is>
      </c>
      <c r="P804" s="33" t="inlineStr">
        <is>
          <t>For temporary Manufacturing process change</t>
        </is>
      </c>
      <c r="Q804" s="43" t="inlineStr">
        <is>
          <t>No marking required</t>
        </is>
      </c>
      <c r="R804" s="43" t="inlineStr">
        <is>
          <t>2025-05-23</t>
        </is>
      </c>
      <c r="S804" s="43" t="inlineStr">
        <is>
          <t>2025-06-18</t>
        </is>
      </c>
      <c r="T804" s="43" t="inlineStr"/>
      <c r="U804" s="43" t="inlineStr"/>
    </row>
    <row r="805">
      <c r="A805" s="43" t="n">
        <v>805</v>
      </c>
      <c r="B805" s="43" t="inlineStr">
        <is>
          <t>804</t>
        </is>
      </c>
      <c r="C805" s="43" t="inlineStr">
        <is>
          <t>FJZP</t>
        </is>
      </c>
      <c r="D805" s="43" t="inlineStr">
        <is>
          <t>Cisco</t>
        </is>
      </c>
      <c r="E805" s="43" t="inlineStr">
        <is>
          <t>MCGA</t>
        </is>
      </c>
      <c r="F805" s="43" t="inlineStr">
        <is>
          <t>035-CVEBU</t>
        </is>
      </c>
      <c r="G805" s="43" t="inlineStr">
        <is>
          <t>CTANJZ04617</t>
        </is>
      </c>
      <c r="H805" s="43" t="inlineStr">
        <is>
          <t>For temporary Manufacturing process change</t>
        </is>
      </c>
      <c r="I805" s="43" t="inlineStr">
        <is>
          <t>Customer Deviation</t>
        </is>
      </c>
      <c r="J805" s="43" t="inlineStr">
        <is>
          <t>D604044</t>
        </is>
      </c>
      <c r="K805" s="33" t="inlineStr">
        <is>
          <t>D604044 Allow AVer to use 50% recycled plastic bag to pack the camera and 35% recycled plastic bag to pack cable cover</t>
        </is>
      </c>
      <c r="L805" s="43" t="inlineStr">
        <is>
          <t>Expired</t>
        </is>
      </c>
      <c r="M805" s="43" t="inlineStr">
        <is>
          <t>74-146086-01</t>
        </is>
      </c>
      <c r="N805" s="43" t="inlineStr"/>
      <c r="O805" s="43" t="inlineStr">
        <is>
          <t>2025-08-20</t>
        </is>
      </c>
      <c r="P805" s="33" t="inlineStr">
        <is>
          <t>For temporary Manufacturing process change</t>
        </is>
      </c>
      <c r="Q805" s="43" t="inlineStr">
        <is>
          <t>No marking required</t>
        </is>
      </c>
      <c r="R805" s="43" t="inlineStr">
        <is>
          <t>2025-05-23</t>
        </is>
      </c>
      <c r="S805" s="43" t="inlineStr">
        <is>
          <t>2025-06-18</t>
        </is>
      </c>
      <c r="T805" s="43" t="inlineStr"/>
      <c r="U805" s="43" t="inlineStr"/>
    </row>
    <row r="806">
      <c r="A806" s="43" t="n">
        <v>806</v>
      </c>
      <c r="B806" s="43" t="inlineStr">
        <is>
          <t>805</t>
        </is>
      </c>
      <c r="C806" s="43" t="inlineStr">
        <is>
          <t>FJZP</t>
        </is>
      </c>
      <c r="D806" s="43" t="inlineStr">
        <is>
          <t>Cisco</t>
        </is>
      </c>
      <c r="E806" s="43" t="inlineStr">
        <is>
          <t>MCGA</t>
        </is>
      </c>
      <c r="F806" s="43" t="inlineStr">
        <is>
          <t>037-STBU</t>
        </is>
      </c>
      <c r="G806" s="43" t="inlineStr">
        <is>
          <t>CTANJZ04684</t>
        </is>
      </c>
      <c r="H806" s="43" t="inlineStr">
        <is>
          <t>For temporary Manufacturing process change</t>
        </is>
      </c>
      <c r="I806" s="43" t="inlineStr">
        <is>
          <t>Customer Deviation</t>
        </is>
      </c>
      <c r="J806" s="43" t="inlineStr">
        <is>
          <t>DP524972</t>
        </is>
      </c>
      <c r="K806" s="33" t="inlineStr">
        <is>
          <t>DP524972 This Prototype deviation will be used for Woodside Park Pre-Pilot chassis material at Likom.1. 10 chassis from Likom will be using the Old front logo label without the "Secure" wording due to new labels being lost. Likom will cut in the new labels for the rest of the units that will be shipped to FJZ once they have been received.</t>
        </is>
      </c>
      <c r="L806" s="43" t="inlineStr">
        <is>
          <t>Expired</t>
        </is>
      </c>
      <c r="M806" s="43" t="inlineStr">
        <is>
          <t>800-112578-01</t>
        </is>
      </c>
      <c r="N806" s="43" t="inlineStr"/>
      <c r="O806" s="43" t="inlineStr">
        <is>
          <t>2025-08-23</t>
        </is>
      </c>
      <c r="P806" s="33" t="inlineStr">
        <is>
          <t>For temporary Manufacturing process change</t>
        </is>
      </c>
      <c r="Q806" s="43" t="inlineStr">
        <is>
          <t>Place deviation label on a visible part of the chassis in which will not obstruct operations at FJZ.</t>
        </is>
      </c>
      <c r="R806" s="43" t="inlineStr">
        <is>
          <t>2025-06-25</t>
        </is>
      </c>
      <c r="S806" s="43" t="inlineStr">
        <is>
          <t>2025-07-15</t>
        </is>
      </c>
      <c r="T806" s="43" t="inlineStr"/>
      <c r="U806" s="43" t="inlineStr"/>
    </row>
    <row r="807">
      <c r="A807" s="43" t="n">
        <v>807</v>
      </c>
      <c r="B807" s="43" t="inlineStr">
        <is>
          <t>806</t>
        </is>
      </c>
      <c r="C807" s="43" t="inlineStr">
        <is>
          <t>FJZP</t>
        </is>
      </c>
      <c r="D807" s="43" t="inlineStr">
        <is>
          <t>Cisco</t>
        </is>
      </c>
      <c r="E807" s="43" t="inlineStr">
        <is>
          <t>MCGA</t>
        </is>
      </c>
      <c r="F807" s="43" t="inlineStr">
        <is>
          <t>037-STBU</t>
        </is>
      </c>
      <c r="G807" s="43" t="inlineStr">
        <is>
          <t>CTANJZ04634</t>
        </is>
      </c>
      <c r="H807" s="43" t="inlineStr">
        <is>
          <t>For temporary Manufacturing process change</t>
        </is>
      </c>
      <c r="I807" s="43" t="inlineStr">
        <is>
          <t>Customer Deviation</t>
        </is>
      </c>
      <c r="J807" s="43" t="inlineStr">
        <is>
          <t>D604208</t>
        </is>
      </c>
      <c r="K807" s="33" t="inlineStr">
        <is>
          <t>D604208 FJZ to change the stock of the part 15-104142-01 to 15-104142-02 for MPN HMA82GU7DJR8N-XN (28 units)  and SR5722G822AUJUMME1 (2840 units) these M]PNs are used on both parts and can be converted from -01 to be used as -02</t>
        </is>
      </c>
      <c r="L807" s="43" t="inlineStr">
        <is>
          <t>Expired</t>
        </is>
      </c>
      <c r="M807" s="43" t="inlineStr">
        <is>
          <t>15-104142-01</t>
        </is>
      </c>
      <c r="N807" s="43" t="inlineStr"/>
      <c r="O807" s="43" t="inlineStr">
        <is>
          <t>2025-08-27</t>
        </is>
      </c>
      <c r="P807" s="33" t="inlineStr">
        <is>
          <t>For temporary Manufacturing process change</t>
        </is>
      </c>
      <c r="Q807" s="43" t="inlineStr">
        <is>
          <t>No need for mark the product since for Cisco the MPN is approved. This is only for FJZ to make their inventory adjustment.</t>
        </is>
      </c>
      <c r="R807" s="43" t="inlineStr">
        <is>
          <t>2025-05-30</t>
        </is>
      </c>
      <c r="S807" s="43" t="inlineStr">
        <is>
          <t>2025-06-18</t>
        </is>
      </c>
      <c r="T807" s="43" t="inlineStr"/>
      <c r="U807" s="43" t="inlineStr"/>
    </row>
    <row r="808">
      <c r="A808" s="43" t="n">
        <v>808</v>
      </c>
      <c r="B808" s="43" t="inlineStr">
        <is>
          <t>807</t>
        </is>
      </c>
      <c r="C808" s="43" t="inlineStr">
        <is>
          <t>FJZP</t>
        </is>
      </c>
      <c r="D808" s="43" t="inlineStr">
        <is>
          <t>Cisco</t>
        </is>
      </c>
      <c r="E808" s="43" t="inlineStr">
        <is>
          <t>MCGA</t>
        </is>
      </c>
      <c r="F808" s="43" t="inlineStr">
        <is>
          <t>037-STBU</t>
        </is>
      </c>
      <c r="G808" s="43" t="inlineStr">
        <is>
          <t>CTANJZ04634</t>
        </is>
      </c>
      <c r="H808" s="43" t="inlineStr">
        <is>
          <t>For temporary Manufacturing process change</t>
        </is>
      </c>
      <c r="I808" s="43" t="inlineStr">
        <is>
          <t>Customer Deviation</t>
        </is>
      </c>
      <c r="J808" s="43" t="inlineStr">
        <is>
          <t>D604208</t>
        </is>
      </c>
      <c r="K808" s="33" t="inlineStr">
        <is>
          <t>D604208 FJZ to change the stock of the part 15-104142-01 to 15-104142-02 for MPN HMA82GU7DJR8N-XN (28 units)  and SR5722G822AUJUMME1 (2840 units) these M]PNs are used on both parts and can be converted from -01 to be used as -02</t>
        </is>
      </c>
      <c r="L808" s="43" t="inlineStr">
        <is>
          <t>Expired</t>
        </is>
      </c>
      <c r="M808" s="43" t="inlineStr">
        <is>
          <t>15-104142-02</t>
        </is>
      </c>
      <c r="N808" s="43" t="inlineStr"/>
      <c r="O808" s="43" t="inlineStr">
        <is>
          <t>2025-08-27</t>
        </is>
      </c>
      <c r="P808" s="33" t="inlineStr">
        <is>
          <t>For temporary Manufacturing process change</t>
        </is>
      </c>
      <c r="Q808" s="43" t="inlineStr">
        <is>
          <t>No need for mark the product since for Cisco the MPN is approved. This is only for FJZ to make their inventory adjustment.</t>
        </is>
      </c>
      <c r="R808" s="43" t="inlineStr">
        <is>
          <t>2025-05-30</t>
        </is>
      </c>
      <c r="S808" s="43" t="inlineStr">
        <is>
          <t>2025-06-18</t>
        </is>
      </c>
      <c r="T808" s="43" t="inlineStr"/>
      <c r="U808" s="43" t="inlineStr"/>
    </row>
    <row r="809">
      <c r="A809" s="43" t="n">
        <v>809</v>
      </c>
      <c r="B809" s="43" t="inlineStr">
        <is>
          <t>808</t>
        </is>
      </c>
      <c r="C809" s="43" t="inlineStr">
        <is>
          <t>FJZP</t>
        </is>
      </c>
      <c r="D809" s="43" t="inlineStr">
        <is>
          <t>Cisco</t>
        </is>
      </c>
      <c r="E809" s="43" t="inlineStr">
        <is>
          <t>MCGA</t>
        </is>
      </c>
      <c r="F809" s="43" t="inlineStr">
        <is>
          <t>037-STBU</t>
        </is>
      </c>
      <c r="G809" s="43" t="inlineStr">
        <is>
          <t>CTANJZ04901</t>
        </is>
      </c>
      <c r="H809" s="43" t="inlineStr">
        <is>
          <t>For temporary Manufacturing process change</t>
        </is>
      </c>
      <c r="I809" s="43" t="inlineStr">
        <is>
          <t>Customer Deviation</t>
        </is>
      </c>
      <c r="J809" s="43" t="inlineStr">
        <is>
          <t>DP525192</t>
        </is>
      </c>
      <c r="K809" s="33" t="inlineStr">
        <is>
          <t>DP525192 This Prototype deviation will be used for Woodside Park Pre-Pilot build at FJZ Mexico.1. For Batch units; please run them normally on LED/P2/2C (scanning the 800-pn and FJZ SN)o Provide a list of all FJZ Serial Numbers in this batch process to Adrian Liu.o This is needed in order to start batch process.o Reference email from Adrian Liu for extra context on this process.2.     FAI suggested Fixtures will arrive Aug 11. Please follow deviation on disposition of these units.o All SKU-A goes thru DIMM automationo 5 SKU-B goes thru DIMM automation toolo 5 SKU-B thru new fixtures.3. RETEST UNIT: deviation coming up.o Please bring back 10 units from DF and any new units passed 2C hold off for this control runo Any units that pass that  2C 8/1 - 8/2 include in retest control run.o Identify all Serial number before batch test start. Add a tab to DBN to monitor test. Ricardo by 8/2/25o Control Test RUN per agreement should start on 8/5/25o DO NOT RUN ANY OTHER UNITS AT TEST UNTIL THESE CONTROL RUN IS COMPLETED.o The control run retest units are to be run from PCBLED thru 2C.    ? No disassociation of units.    ? Any new failure contact Adrian ASAP.4.     FJZ is allowed to use cancelled status MPN 3A61-780-WPR for 800-112718-02.        FJZ can use revision -06 of the accessory kit 53-101728-01.5.     FJZ is allowed to use 700-138393-01 with cancelled Hardware Specialty Comp MPN: 1363472.</t>
        </is>
      </c>
      <c r="L809" s="43" t="inlineStr">
        <is>
          <t>Expired</t>
        </is>
      </c>
      <c r="M809" s="43" t="inlineStr">
        <is>
          <t>800-112582-04</t>
        </is>
      </c>
      <c r="N809" s="43" t="inlineStr"/>
      <c r="O809" s="43" t="inlineStr">
        <is>
          <t>2025-12-08</t>
        </is>
      </c>
      <c r="P809" s="33" t="inlineStr">
        <is>
          <t>For temporary Manufacturing process change</t>
        </is>
      </c>
      <c r="Q809" s="43" t="inlineStr">
        <is>
          <t>Place deviation label on pull tab.</t>
        </is>
      </c>
      <c r="R809" s="43" t="inlineStr">
        <is>
          <t>2025-10-09</t>
        </is>
      </c>
      <c r="S809" s="43" t="inlineStr">
        <is>
          <t>2025-10-25</t>
        </is>
      </c>
      <c r="T809" s="43" t="inlineStr"/>
      <c r="U809" s="43" t="inlineStr"/>
    </row>
    <row r="810">
      <c r="A810" s="43" t="n">
        <v>810</v>
      </c>
      <c r="B810" s="43" t="inlineStr">
        <is>
          <t>809</t>
        </is>
      </c>
      <c r="C810" s="43" t="inlineStr">
        <is>
          <t>FJZP</t>
        </is>
      </c>
      <c r="D810" s="43" t="inlineStr">
        <is>
          <t>Cisco</t>
        </is>
      </c>
      <c r="E810" s="43" t="inlineStr">
        <is>
          <t>MCGA</t>
        </is>
      </c>
      <c r="F810" s="43" t="inlineStr">
        <is>
          <t>018-SRGBU</t>
        </is>
      </c>
      <c r="G810" s="43" t="inlineStr">
        <is>
          <t>CTANJZ04653</t>
        </is>
      </c>
      <c r="H810" s="43" t="inlineStr">
        <is>
          <t>For temporary Manufacturing process change</t>
        </is>
      </c>
      <c r="I810" s="43" t="inlineStr">
        <is>
          <t>Customer Deviation</t>
        </is>
      </c>
      <c r="J810" s="43" t="inlineStr">
        <is>
          <t>D604323</t>
        </is>
      </c>
      <c r="K810" s="33" t="inlineStr">
        <is>
          <t>D604323 Allow FJZ to use the MPN=MTA36ASF4G72PZ-2G6E1  from Micron technology  of the  15-104289-01; instead of 15-107071-01; in the PIDs:MEM-C8500-64GBMEM-C8500L-32GBMEM-C8500L-64GB</t>
        </is>
      </c>
      <c r="L810" s="43" t="inlineStr">
        <is>
          <t>Expired</t>
        </is>
      </c>
      <c r="M810" s="43" t="inlineStr">
        <is>
          <t>15-107071-01</t>
        </is>
      </c>
      <c r="N810" s="43" t="inlineStr"/>
      <c r="O810" s="43" t="inlineStr">
        <is>
          <t>2025-09-03</t>
        </is>
      </c>
      <c r="P810" s="33" t="inlineStr">
        <is>
          <t>For temporary Manufacturing process change</t>
        </is>
      </c>
      <c r="Q810" s="43" t="inlineStr">
        <is>
          <t>Add a small label with the deviation number</t>
        </is>
      </c>
      <c r="R810" s="43" t="inlineStr">
        <is>
          <t>2025-06-06</t>
        </is>
      </c>
      <c r="S810" s="43" t="inlineStr">
        <is>
          <t>2025-06-18</t>
        </is>
      </c>
      <c r="T810" s="43" t="inlineStr"/>
      <c r="U810" s="43" t="inlineStr"/>
    </row>
    <row r="811">
      <c r="A811" s="43" t="n">
        <v>811</v>
      </c>
      <c r="B811" s="43" t="inlineStr">
        <is>
          <t>810</t>
        </is>
      </c>
      <c r="C811" s="43" t="inlineStr">
        <is>
          <t>FJZP</t>
        </is>
      </c>
      <c r="D811" s="43" t="inlineStr">
        <is>
          <t>Cisco</t>
        </is>
      </c>
      <c r="E811" s="43" t="inlineStr">
        <is>
          <t>MCGA</t>
        </is>
      </c>
      <c r="F811" s="43" t="inlineStr">
        <is>
          <t>018-SRGBU</t>
        </is>
      </c>
      <c r="G811" s="43" t="inlineStr">
        <is>
          <t>CTANJZ04655</t>
        </is>
      </c>
      <c r="H811" s="43" t="inlineStr">
        <is>
          <t>For temporary Manufacturing process change</t>
        </is>
      </c>
      <c r="I811" s="43" t="inlineStr">
        <is>
          <t>Customer Deviation</t>
        </is>
      </c>
      <c r="J811" s="43" t="inlineStr">
        <is>
          <t>D604352</t>
        </is>
      </c>
      <c r="K811" s="33" t="inlineStr">
        <is>
          <t>D604352 Allow FJZ to use the MPN=HMAG84EXNRA084N  from Hynix  of the  15-105664-01; instead of 15-107071-01; in the PIDs:MEM-C8200-32GBMEM-C8500-64GBMEM-C8500L-32GBMEM-C8500L-64GB</t>
        </is>
      </c>
      <c r="L811" s="43" t="inlineStr">
        <is>
          <t>Expired</t>
        </is>
      </c>
      <c r="M811" s="43" t="inlineStr">
        <is>
          <t>15-107071-01</t>
        </is>
      </c>
      <c r="N811" s="43" t="inlineStr"/>
      <c r="O811" s="43" t="inlineStr">
        <is>
          <t>2025-09-04</t>
        </is>
      </c>
      <c r="P811" s="33" t="inlineStr">
        <is>
          <t>For temporary Manufacturing process change</t>
        </is>
      </c>
      <c r="Q811" s="43" t="inlineStr">
        <is>
          <t>Add a small label with the deviation number</t>
        </is>
      </c>
      <c r="R811" s="43" t="inlineStr">
        <is>
          <t>2025-06-09</t>
        </is>
      </c>
      <c r="S811" s="43" t="inlineStr">
        <is>
          <t>2025-06-18</t>
        </is>
      </c>
      <c r="T811" s="43" t="inlineStr"/>
      <c r="U811" s="43" t="inlineStr"/>
    </row>
    <row r="812">
      <c r="A812" s="43" t="n">
        <v>812</v>
      </c>
      <c r="B812" s="43" t="inlineStr">
        <is>
          <t>811</t>
        </is>
      </c>
      <c r="C812" s="43" t="inlineStr">
        <is>
          <t>FJZP</t>
        </is>
      </c>
      <c r="D812" s="43" t="inlineStr">
        <is>
          <t>Cisco</t>
        </is>
      </c>
      <c r="E812" s="43" t="inlineStr">
        <is>
          <t>MCGA</t>
        </is>
      </c>
      <c r="F812" s="43" t="inlineStr">
        <is>
          <t>037-STBU</t>
        </is>
      </c>
      <c r="G812" s="43" t="inlineStr">
        <is>
          <t>CTANJZ04663</t>
        </is>
      </c>
      <c r="H812" s="43" t="inlineStr">
        <is>
          <t>For temporary Manufacturing process change</t>
        </is>
      </c>
      <c r="I812" s="43" t="inlineStr">
        <is>
          <t>Customer Deviation</t>
        </is>
      </c>
      <c r="J812" s="43" t="inlineStr">
        <is>
          <t>D603477</t>
        </is>
      </c>
      <c r="K812" s="33" t="inlineStr">
        <is>
          <t>D603477 NGFWBU: NETMODS - Allow to FJZ to use the Standoff 50-1605-01 instead the PN 50-2002-01 in these NM to complete urgent orders68-102608-0468-103988-0168-102707-0468-102763-04WK12: 35 UnitsWK13: 95 UnitsWK01: 55 UnitsNOTE: Material will arrive on May 2</t>
        </is>
      </c>
      <c r="L812" s="43" t="inlineStr">
        <is>
          <t>Expired</t>
        </is>
      </c>
      <c r="M812" s="43" t="inlineStr">
        <is>
          <t>50-1605-01</t>
        </is>
      </c>
      <c r="N812" s="43" t="inlineStr"/>
      <c r="O812" s="43" t="inlineStr">
        <is>
          <t>2025-09-10</t>
        </is>
      </c>
      <c r="P812" s="33" t="inlineStr">
        <is>
          <t>For temporary Manufacturing process change</t>
        </is>
      </c>
      <c r="Q812" s="43" t="inlineStr">
        <is>
          <t>1. FJZ cut the thread length to 4mm of the PN 50-1605-01 to use it in 185 units of the urgent orders 2. Stick the dev label in a visible part of the chassis</t>
        </is>
      </c>
      <c r="R812" s="43" t="inlineStr">
        <is>
          <t>2025-06-13</t>
        </is>
      </c>
      <c r="S812" s="43" t="inlineStr">
        <is>
          <t>2025-06-26</t>
        </is>
      </c>
      <c r="T812" s="43" t="inlineStr"/>
      <c r="U812" s="43" t="inlineStr"/>
    </row>
    <row r="813">
      <c r="A813" s="43" t="n">
        <v>813</v>
      </c>
      <c r="B813" s="43" t="inlineStr">
        <is>
          <t>812</t>
        </is>
      </c>
      <c r="C813" s="43" t="inlineStr">
        <is>
          <t>FJZP</t>
        </is>
      </c>
      <c r="D813" s="43" t="inlineStr">
        <is>
          <t>Cisco</t>
        </is>
      </c>
      <c r="E813" s="43" t="inlineStr">
        <is>
          <t>MCGA</t>
        </is>
      </c>
      <c r="F813" s="43" t="inlineStr">
        <is>
          <t>037-STBU</t>
        </is>
      </c>
      <c r="G813" s="43" t="inlineStr">
        <is>
          <t>CTANJZ04663</t>
        </is>
      </c>
      <c r="H813" s="43" t="inlineStr">
        <is>
          <t>For temporary Manufacturing process change</t>
        </is>
      </c>
      <c r="I813" s="43" t="inlineStr">
        <is>
          <t>Customer Deviation</t>
        </is>
      </c>
      <c r="J813" s="43" t="inlineStr">
        <is>
          <t>D603477</t>
        </is>
      </c>
      <c r="K813" s="33" t="inlineStr">
        <is>
          <t>D603477 NGFWBU: NETMODS - Allow to FJZ to use the Standoff 50-1605-01 instead the PN 50-2002-01 in these NM to complete urgent orders68-102608-0468-103988-0168-102707-0468-102763-04WK12: 35 UnitsWK13: 95 UnitsWK01: 55 UnitsNOTE: Material will arrive on May 2</t>
        </is>
      </c>
      <c r="L813" s="43" t="inlineStr">
        <is>
          <t>Expired</t>
        </is>
      </c>
      <c r="M813" s="43" t="inlineStr">
        <is>
          <t>50-2002-01</t>
        </is>
      </c>
      <c r="N813" s="43" t="inlineStr"/>
      <c r="O813" s="43" t="inlineStr">
        <is>
          <t>2025-09-10</t>
        </is>
      </c>
      <c r="P813" s="33" t="inlineStr">
        <is>
          <t>For temporary Manufacturing process change</t>
        </is>
      </c>
      <c r="Q813" s="43" t="inlineStr">
        <is>
          <t>1. FJZ cut the thread length to 4mm of the PN 50-1605-01 to use it in 185 units of the urgent orders 2. Stick the dev label in a visible part of the chassis</t>
        </is>
      </c>
      <c r="R813" s="43" t="inlineStr">
        <is>
          <t>2025-06-13</t>
        </is>
      </c>
      <c r="S813" s="43" t="inlineStr">
        <is>
          <t>2025-06-26</t>
        </is>
      </c>
      <c r="T813" s="43" t="inlineStr"/>
      <c r="U813" s="43" t="inlineStr"/>
    </row>
    <row r="814">
      <c r="A814" s="43" t="n">
        <v>814</v>
      </c>
      <c r="B814" s="43" t="inlineStr">
        <is>
          <t>813</t>
        </is>
      </c>
      <c r="C814" s="43" t="inlineStr">
        <is>
          <t>FJZP</t>
        </is>
      </c>
      <c r="D814" s="43" t="inlineStr">
        <is>
          <t>Cisco</t>
        </is>
      </c>
      <c r="E814" s="43" t="inlineStr">
        <is>
          <t>MCGA</t>
        </is>
      </c>
      <c r="F814" s="43" t="inlineStr">
        <is>
          <t>037-STBU</t>
        </is>
      </c>
      <c r="G814" s="43" t="inlineStr">
        <is>
          <t>CTANJZ04663</t>
        </is>
      </c>
      <c r="H814" s="43" t="inlineStr">
        <is>
          <t>For temporary Manufacturing process change</t>
        </is>
      </c>
      <c r="I814" s="43" t="inlineStr">
        <is>
          <t>Customer Deviation</t>
        </is>
      </c>
      <c r="J814" s="43" t="inlineStr">
        <is>
          <t>D603477</t>
        </is>
      </c>
      <c r="K814" s="33" t="inlineStr">
        <is>
          <t>D603477 NGFWBU: NETMODS - Allow to FJZ to use the Standoff 50-1605-01 instead the PN 50-2002-01 in these NM to complete urgent orders68-102608-0468-103988-0168-102707-0468-102763-04WK12: 35 UnitsWK13: 95 UnitsWK01: 55 UnitsNOTE: Material will arrive on May 2</t>
        </is>
      </c>
      <c r="L814" s="43" t="inlineStr">
        <is>
          <t>Expired</t>
        </is>
      </c>
      <c r="M814" s="43" t="inlineStr">
        <is>
          <t>68-102608-04</t>
        </is>
      </c>
      <c r="N814" s="43" t="inlineStr"/>
      <c r="O814" s="43" t="inlineStr">
        <is>
          <t>2025-09-10</t>
        </is>
      </c>
      <c r="P814" s="33" t="inlineStr">
        <is>
          <t>For temporary Manufacturing process change</t>
        </is>
      </c>
      <c r="Q814" s="43" t="inlineStr">
        <is>
          <t>1. FJZ cut the thread length to 4mm of the PN 50-1605-01 to use it in 185 units of the urgent orders 2. Stick the dev label in a visible part of the chassis</t>
        </is>
      </c>
      <c r="R814" s="43" t="inlineStr">
        <is>
          <t>2025-06-13</t>
        </is>
      </c>
      <c r="S814" s="43" t="inlineStr">
        <is>
          <t>2025-06-26</t>
        </is>
      </c>
      <c r="T814" s="43" t="inlineStr"/>
      <c r="U814" s="43" t="inlineStr"/>
    </row>
    <row r="815">
      <c r="A815" s="43" t="n">
        <v>815</v>
      </c>
      <c r="B815" s="43" t="inlineStr">
        <is>
          <t>814</t>
        </is>
      </c>
      <c r="C815" s="43" t="inlineStr">
        <is>
          <t>FJZP</t>
        </is>
      </c>
      <c r="D815" s="43" t="inlineStr">
        <is>
          <t>Cisco</t>
        </is>
      </c>
      <c r="E815" s="43" t="inlineStr">
        <is>
          <t>MCGA</t>
        </is>
      </c>
      <c r="F815" s="43" t="inlineStr">
        <is>
          <t>037-STBU</t>
        </is>
      </c>
      <c r="G815" s="43" t="inlineStr">
        <is>
          <t>CTANJZ04663</t>
        </is>
      </c>
      <c r="H815" s="43" t="inlineStr">
        <is>
          <t>For temporary Manufacturing process change</t>
        </is>
      </c>
      <c r="I815" s="43" t="inlineStr">
        <is>
          <t>Customer Deviation</t>
        </is>
      </c>
      <c r="J815" s="43" t="inlineStr">
        <is>
          <t>D603477</t>
        </is>
      </c>
      <c r="K815" s="33" t="inlineStr">
        <is>
          <t>D603477 NGFWBU: NETMODS - Allow to FJZ to use the Standoff 50-1605-01 instead the PN 50-2002-01 in these NM to complete urgent orders68-102608-0468-103988-0168-102707-0468-102763-04WK12: 35 UnitsWK13: 95 UnitsWK01: 55 UnitsNOTE: Material will arrive on May 2</t>
        </is>
      </c>
      <c r="L815" s="43" t="inlineStr">
        <is>
          <t>Expired</t>
        </is>
      </c>
      <c r="M815" s="43" t="inlineStr">
        <is>
          <t>68-102763-04</t>
        </is>
      </c>
      <c r="N815" s="43" t="inlineStr"/>
      <c r="O815" s="43" t="inlineStr">
        <is>
          <t>2025-09-10</t>
        </is>
      </c>
      <c r="P815" s="33" t="inlineStr">
        <is>
          <t>For temporary Manufacturing process change</t>
        </is>
      </c>
      <c r="Q815" s="43" t="inlineStr">
        <is>
          <t>1. FJZ cut the thread length to 4mm of the PN 50-1605-01 to use it in 185 units of the urgent orders 2. Stick the dev label in a visible part of the chassis</t>
        </is>
      </c>
      <c r="R815" s="43" t="inlineStr">
        <is>
          <t>2025-06-13</t>
        </is>
      </c>
      <c r="S815" s="43" t="inlineStr">
        <is>
          <t>2025-06-26</t>
        </is>
      </c>
      <c r="T815" s="43" t="inlineStr"/>
      <c r="U815" s="43" t="inlineStr"/>
    </row>
    <row r="816">
      <c r="A816" s="43" t="n">
        <v>816</v>
      </c>
      <c r="B816" s="43" t="inlineStr">
        <is>
          <t>815</t>
        </is>
      </c>
      <c r="C816" s="43" t="inlineStr">
        <is>
          <t>FJZP</t>
        </is>
      </c>
      <c r="D816" s="43" t="inlineStr">
        <is>
          <t>Cisco</t>
        </is>
      </c>
      <c r="E816" s="43" t="inlineStr">
        <is>
          <t>MCGA</t>
        </is>
      </c>
      <c r="F816" s="43" t="inlineStr">
        <is>
          <t>035-CVEBU</t>
        </is>
      </c>
      <c r="G816" s="43" t="inlineStr">
        <is>
          <t>CTANJZ04767</t>
        </is>
      </c>
      <c r="H816" s="43" t="inlineStr">
        <is>
          <t>For temporary Manufacturing process change</t>
        </is>
      </c>
      <c r="I816" s="43" t="inlineStr">
        <is>
          <t>Customer Deviation</t>
        </is>
      </c>
      <c r="J816" s="43" t="inlineStr">
        <is>
          <t>D605590</t>
        </is>
      </c>
      <c r="K816" s="33" t="inlineStr">
        <is>
          <t>D605590 CVEBU: Helios: Cancel the taping of the packaging box at AVer. AVer is instructed to ship the Helios camera units to DFs without taping the box.  This Deviation is extension of the Deviation# D603822</t>
        </is>
      </c>
      <c r="L816" s="43" t="inlineStr">
        <is>
          <t>Expired</t>
        </is>
      </c>
      <c r="M816" s="43" t="inlineStr">
        <is>
          <t>74-146086-01</t>
        </is>
      </c>
      <c r="N816" s="43" t="inlineStr"/>
      <c r="O816" s="43" t="inlineStr">
        <is>
          <t>2025-11-04</t>
        </is>
      </c>
      <c r="P816" s="33" t="inlineStr">
        <is>
          <t>For temporary Manufacturing process change</t>
        </is>
      </c>
      <c r="Q816" s="43" t="inlineStr">
        <is>
          <t>No deviation label required</t>
        </is>
      </c>
      <c r="R816" s="43" t="inlineStr">
        <is>
          <t>2025-08-07</t>
        </is>
      </c>
      <c r="S816" s="43" t="inlineStr">
        <is>
          <t>2025-08-14</t>
        </is>
      </c>
      <c r="T816" s="43" t="inlineStr"/>
      <c r="U816" s="43" t="inlineStr"/>
    </row>
    <row r="817">
      <c r="A817" s="43" t="n">
        <v>817</v>
      </c>
      <c r="B817" s="43" t="inlineStr">
        <is>
          <t>816</t>
        </is>
      </c>
      <c r="C817" s="43" t="inlineStr">
        <is>
          <t>FJZP</t>
        </is>
      </c>
      <c r="D817" s="43" t="inlineStr">
        <is>
          <t>Cisco</t>
        </is>
      </c>
      <c r="E817" s="43" t="inlineStr">
        <is>
          <t>MCGA</t>
        </is>
      </c>
      <c r="F817" s="43" t="inlineStr">
        <is>
          <t>018-SRGBU</t>
        </is>
      </c>
      <c r="G817" s="43" t="inlineStr">
        <is>
          <t>CTANJZ04772</t>
        </is>
      </c>
      <c r="H817" s="43" t="inlineStr">
        <is>
          <t>For temporary Manufacturing process change</t>
        </is>
      </c>
      <c r="I817" s="43" t="inlineStr">
        <is>
          <t>Customer Deviation</t>
        </is>
      </c>
      <c r="J817" s="43" t="inlineStr">
        <is>
          <t>D605688</t>
        </is>
      </c>
      <c r="K817" s="33" t="inlineStr">
        <is>
          <t>D605688 SRGBU-Arata: Upgrade FPGA 17-103018-01 to V139 before shipping to customers</t>
        </is>
      </c>
      <c r="L817" s="43" t="inlineStr">
        <is>
          <t>Expired</t>
        </is>
      </c>
      <c r="M817" s="43" t="inlineStr">
        <is>
          <t>74-133408-02</t>
        </is>
      </c>
      <c r="N817" s="43" t="inlineStr"/>
      <c r="O817" s="43" t="inlineStr">
        <is>
          <t>2025-11-10</t>
        </is>
      </c>
      <c r="P817" s="33" t="inlineStr">
        <is>
          <t>For temporary Manufacturing process change</t>
        </is>
      </c>
      <c r="Q817" s="43" t="inlineStr">
        <is>
          <t>Place label and program cookie with dev #</t>
        </is>
      </c>
      <c r="R817" s="43" t="inlineStr">
        <is>
          <t>2025-08-13</t>
        </is>
      </c>
      <c r="S817" s="43" t="inlineStr">
        <is>
          <t>2025-08-18</t>
        </is>
      </c>
      <c r="T817" s="43" t="inlineStr"/>
      <c r="U817" s="43" t="inlineStr"/>
    </row>
    <row r="818">
      <c r="A818" s="43" t="n">
        <v>818</v>
      </c>
      <c r="B818" s="43" t="inlineStr">
        <is>
          <t>817</t>
        </is>
      </c>
      <c r="C818" s="43" t="inlineStr">
        <is>
          <t>FJZP</t>
        </is>
      </c>
      <c r="D818" s="43" t="inlineStr">
        <is>
          <t>Cisco</t>
        </is>
      </c>
      <c r="E818" s="43" t="inlineStr">
        <is>
          <t>MCGA</t>
        </is>
      </c>
      <c r="F818" s="43" t="inlineStr">
        <is>
          <t>018-SRGBU</t>
        </is>
      </c>
      <c r="G818" s="43" t="inlineStr">
        <is>
          <t>CTANJZ04772</t>
        </is>
      </c>
      <c r="H818" s="43" t="inlineStr">
        <is>
          <t>For temporary Manufacturing process change</t>
        </is>
      </c>
      <c r="I818" s="43" t="inlineStr">
        <is>
          <t>Customer Deviation</t>
        </is>
      </c>
      <c r="J818" s="43" t="inlineStr">
        <is>
          <t>D605688</t>
        </is>
      </c>
      <c r="K818" s="33" t="inlineStr">
        <is>
          <t>D605688 SRGBU-Arata: Upgrade FPGA 17-103018-01 to V139 before shipping to customers</t>
        </is>
      </c>
      <c r="L818" s="43" t="inlineStr">
        <is>
          <t>Expired</t>
        </is>
      </c>
      <c r="M818" s="43" t="inlineStr">
        <is>
          <t>74-134702-02</t>
        </is>
      </c>
      <c r="N818" s="43" t="inlineStr"/>
      <c r="O818" s="43" t="inlineStr">
        <is>
          <t>2025-11-10</t>
        </is>
      </c>
      <c r="P818" s="33" t="inlineStr">
        <is>
          <t>For temporary Manufacturing process change</t>
        </is>
      </c>
      <c r="Q818" s="43" t="inlineStr">
        <is>
          <t>Place label and program cookie with dev #</t>
        </is>
      </c>
      <c r="R818" s="43" t="inlineStr">
        <is>
          <t>2025-08-13</t>
        </is>
      </c>
      <c r="S818" s="43" t="inlineStr">
        <is>
          <t>2025-08-18</t>
        </is>
      </c>
      <c r="T818" s="43" t="inlineStr"/>
      <c r="U818" s="43" t="inlineStr"/>
    </row>
    <row r="819">
      <c r="A819" s="43" t="n">
        <v>819</v>
      </c>
      <c r="B819" s="43" t="inlineStr">
        <is>
          <t>818</t>
        </is>
      </c>
      <c r="C819" s="43" t="inlineStr">
        <is>
          <t>FJZP</t>
        </is>
      </c>
      <c r="D819" s="43" t="inlineStr">
        <is>
          <t>Cisco</t>
        </is>
      </c>
      <c r="E819" s="43" t="inlineStr">
        <is>
          <t>MCGA</t>
        </is>
      </c>
      <c r="F819" s="43" t="inlineStr">
        <is>
          <t>018-SRGBU</t>
        </is>
      </c>
      <c r="G819" s="43" t="inlineStr">
        <is>
          <t>CTANJZ04859</t>
        </is>
      </c>
      <c r="H819" s="43" t="inlineStr">
        <is>
          <t>For temporary Manufacturing process change</t>
        </is>
      </c>
      <c r="I819" s="43" t="inlineStr">
        <is>
          <t>Customer Deviation</t>
        </is>
      </c>
      <c r="J819" s="43" t="inlineStr">
        <is>
          <t>D605688</t>
        </is>
      </c>
      <c r="K819" s="33" t="inlineStr">
        <is>
          <t>D605688 SRGBU-Arata: Upgrade FPGA 17-103018-01 to V139 before shipping to customers</t>
        </is>
      </c>
      <c r="L819" s="43" t="inlineStr">
        <is>
          <t>Expired</t>
        </is>
      </c>
      <c r="M819" s="43" t="inlineStr">
        <is>
          <t>74-133408-02</t>
        </is>
      </c>
      <c r="N819" s="43" t="inlineStr"/>
      <c r="O819" s="43" t="inlineStr">
        <is>
          <t>2025-11-11</t>
        </is>
      </c>
      <c r="P819" s="33" t="inlineStr">
        <is>
          <t>For temporary Manufacturing process change</t>
        </is>
      </c>
      <c r="Q819" s="43" t="inlineStr">
        <is>
          <t>Place label and program cookie with dev #</t>
        </is>
      </c>
      <c r="R819" s="43" t="inlineStr">
        <is>
          <t>2025-09-17</t>
        </is>
      </c>
      <c r="S819" s="43" t="inlineStr">
        <is>
          <t>2025-09-24</t>
        </is>
      </c>
      <c r="T819" s="43" t="inlineStr"/>
      <c r="U819" s="43" t="inlineStr"/>
    </row>
    <row r="820">
      <c r="A820" s="43" t="n">
        <v>820</v>
      </c>
      <c r="B820" s="43" t="inlineStr">
        <is>
          <t>819</t>
        </is>
      </c>
      <c r="C820" s="43" t="inlineStr">
        <is>
          <t>FJZP</t>
        </is>
      </c>
      <c r="D820" s="43" t="inlineStr">
        <is>
          <t>Cisco</t>
        </is>
      </c>
      <c r="E820" s="43" t="inlineStr">
        <is>
          <t>MCGA</t>
        </is>
      </c>
      <c r="F820" s="43" t="inlineStr">
        <is>
          <t>018-SRGBU</t>
        </is>
      </c>
      <c r="G820" s="43" t="inlineStr">
        <is>
          <t>CTANJZ04859</t>
        </is>
      </c>
      <c r="H820" s="43" t="inlineStr">
        <is>
          <t>For temporary Manufacturing process change</t>
        </is>
      </c>
      <c r="I820" s="43" t="inlineStr">
        <is>
          <t>Customer Deviation</t>
        </is>
      </c>
      <c r="J820" s="43" t="inlineStr">
        <is>
          <t>D605688</t>
        </is>
      </c>
      <c r="K820" s="33" t="inlineStr">
        <is>
          <t>D605688 SRGBU-Arata: Upgrade FPGA 17-103018-01 to V139 before shipping to customers</t>
        </is>
      </c>
      <c r="L820" s="43" t="inlineStr">
        <is>
          <t>Expired</t>
        </is>
      </c>
      <c r="M820" s="43" t="inlineStr">
        <is>
          <t>74-134702-02</t>
        </is>
      </c>
      <c r="N820" s="43" t="inlineStr"/>
      <c r="O820" s="43" t="inlineStr">
        <is>
          <t>2025-11-11</t>
        </is>
      </c>
      <c r="P820" s="33" t="inlineStr">
        <is>
          <t>For temporary Manufacturing process change</t>
        </is>
      </c>
      <c r="Q820" s="43" t="inlineStr">
        <is>
          <t>Place label and program cookie with dev #</t>
        </is>
      </c>
      <c r="R820" s="43" t="inlineStr">
        <is>
          <t>2025-09-17</t>
        </is>
      </c>
      <c r="S820" s="43" t="inlineStr">
        <is>
          <t>2025-09-24</t>
        </is>
      </c>
      <c r="T820" s="43" t="inlineStr"/>
      <c r="U820" s="43" t="inlineStr"/>
    </row>
    <row r="821">
      <c r="A821" s="43" t="n">
        <v>821</v>
      </c>
      <c r="B821" s="43" t="inlineStr">
        <is>
          <t>820</t>
        </is>
      </c>
      <c r="C821" s="43" t="inlineStr">
        <is>
          <t>FJZP</t>
        </is>
      </c>
      <c r="D821" s="43" t="inlineStr">
        <is>
          <t>Cisco</t>
        </is>
      </c>
      <c r="E821" s="43" t="inlineStr">
        <is>
          <t>MCGA</t>
        </is>
      </c>
      <c r="F821" s="43" t="inlineStr">
        <is>
          <t>035-CVEBU</t>
        </is>
      </c>
      <c r="G821" s="43" t="inlineStr">
        <is>
          <t>CTANJZ04781</t>
        </is>
      </c>
      <c r="H821" s="43" t="inlineStr">
        <is>
          <t>For temporary Manufacturing process change</t>
        </is>
      </c>
      <c r="I821" s="43" t="inlineStr">
        <is>
          <t>Customer Deviation</t>
        </is>
      </c>
      <c r="J821" s="43" t="inlineStr">
        <is>
          <t>DP525216</t>
        </is>
      </c>
      <c r="K821" s="33" t="inlineStr">
        <is>
          <t>DP525216 Tyne. DV1-build at FJZ.This deviation allows to use 51-103064-01 instead of 51-103504-01.1pcs 51-103064-01 replaces 4pcs 51-103504-01.Do not install 51-103504-01 under PSU (page 14 in 95-118330-01-06).See more instructions in attached document.</t>
        </is>
      </c>
      <c r="L821" s="43" t="inlineStr">
        <is>
          <t>Expired</t>
        </is>
      </c>
      <c r="M821" s="43" t="inlineStr">
        <is>
          <t>51-103504-01</t>
        </is>
      </c>
      <c r="N821" s="43" t="inlineStr"/>
      <c r="O821" s="43" t="inlineStr">
        <is>
          <t>2025-10-19</t>
        </is>
      </c>
      <c r="P821" s="33" t="inlineStr">
        <is>
          <t>For temporary Manufacturing process change</t>
        </is>
      </c>
      <c r="Q821" s="43" t="inlineStr">
        <is>
          <t>Not required.</t>
        </is>
      </c>
      <c r="R821" s="43" t="inlineStr">
        <is>
          <t>2025-08-20</t>
        </is>
      </c>
      <c r="S821" s="43" t="inlineStr">
        <is>
          <t>2025-08-26</t>
        </is>
      </c>
      <c r="T821" s="43" t="inlineStr"/>
      <c r="U821" s="43" t="inlineStr"/>
    </row>
    <row r="822">
      <c r="A822" s="43" t="n">
        <v>822</v>
      </c>
      <c r="B822" s="43" t="inlineStr">
        <is>
          <t>821</t>
        </is>
      </c>
      <c r="C822" s="43" t="inlineStr">
        <is>
          <t>FJZP</t>
        </is>
      </c>
      <c r="D822" s="43" t="inlineStr">
        <is>
          <t>Cisco</t>
        </is>
      </c>
      <c r="E822" s="43" t="inlineStr">
        <is>
          <t>MCGA</t>
        </is>
      </c>
      <c r="F822" s="43" t="inlineStr">
        <is>
          <t>035-CVEBU</t>
        </is>
      </c>
      <c r="G822" s="43" t="inlineStr">
        <is>
          <t>CTANJZ04781</t>
        </is>
      </c>
      <c r="H822" s="43" t="inlineStr">
        <is>
          <t>For temporary Manufacturing process change</t>
        </is>
      </c>
      <c r="I822" s="43" t="inlineStr">
        <is>
          <t>Customer Deviation</t>
        </is>
      </c>
      <c r="J822" s="43" t="inlineStr">
        <is>
          <t>DP525216</t>
        </is>
      </c>
      <c r="K822" s="33" t="inlineStr">
        <is>
          <t>DP525216 Tyne. DV1-build at FJZ.This deviation allows to use 51-103064-01 instead of 51-103504-01.1pcs 51-103064-01 replaces 4pcs 51-103504-01.Do not install 51-103504-01 under PSU (page 14 in 95-118330-01-06).See more instructions in attached document.</t>
        </is>
      </c>
      <c r="L822" s="43" t="inlineStr">
        <is>
          <t>Expired</t>
        </is>
      </c>
      <c r="M822" s="43" t="inlineStr">
        <is>
          <t>800-113252-01</t>
        </is>
      </c>
      <c r="N822" s="43" t="inlineStr"/>
      <c r="O822" s="43" t="inlineStr">
        <is>
          <t>2025-10-19</t>
        </is>
      </c>
      <c r="P822" s="33" t="inlineStr">
        <is>
          <t>For temporary Manufacturing process change</t>
        </is>
      </c>
      <c r="Q822" s="43" t="inlineStr">
        <is>
          <t>Not required.</t>
        </is>
      </c>
      <c r="R822" s="43" t="inlineStr">
        <is>
          <t>2025-08-20</t>
        </is>
      </c>
      <c r="S822" s="43" t="inlineStr">
        <is>
          <t>2025-08-26</t>
        </is>
      </c>
      <c r="T822" s="43" t="inlineStr"/>
      <c r="U822" s="43" t="inlineStr"/>
    </row>
    <row r="823">
      <c r="A823" s="43" t="n">
        <v>823</v>
      </c>
      <c r="B823" s="43" t="inlineStr">
        <is>
          <t>822</t>
        </is>
      </c>
      <c r="C823" s="43" t="inlineStr">
        <is>
          <t>FJZP</t>
        </is>
      </c>
      <c r="D823" s="43" t="inlineStr">
        <is>
          <t>Cisco</t>
        </is>
      </c>
      <c r="E823" s="43" t="inlineStr">
        <is>
          <t>MCGA</t>
        </is>
      </c>
      <c r="F823" s="43" t="inlineStr">
        <is>
          <t>018-SRGBU</t>
        </is>
      </c>
      <c r="G823" s="43" t="inlineStr">
        <is>
          <t>CTANJZ04745</t>
        </is>
      </c>
      <c r="H823" s="43" t="inlineStr">
        <is>
          <t>For temporary Manufacturing process change</t>
        </is>
      </c>
      <c r="I823" s="43" t="inlineStr">
        <is>
          <t>Customer Deviation</t>
        </is>
      </c>
      <c r="J823" s="43" t="inlineStr">
        <is>
          <t>D605275</t>
        </is>
      </c>
      <c r="K823" s="33" t="inlineStr">
        <is>
          <t>D605275 Allow FJZ to use the MPN= MTA18ASF2G72PDZ-3G2R1   from Micron of the  15-108743-01; instead of 15-107070-01; in the PIDs:MEM-C8200-16GBMEM-C8200-16GB=MEM-C8500-32GBMEM-C8500-32GB=MEM-C8500L-16GBMEM-C8500L-16GB=</t>
        </is>
      </c>
      <c r="L823" s="43" t="inlineStr">
        <is>
          <t>Expired</t>
        </is>
      </c>
      <c r="M823" s="43" t="inlineStr">
        <is>
          <t>15-107070-01</t>
        </is>
      </c>
      <c r="N823" s="43" t="inlineStr"/>
      <c r="O823" s="43" t="inlineStr">
        <is>
          <t>2025-10-20</t>
        </is>
      </c>
      <c r="P823" s="33" t="inlineStr">
        <is>
          <t>For temporary Manufacturing process change</t>
        </is>
      </c>
      <c r="Q823" s="43" t="inlineStr">
        <is>
          <t>Add small label with the deviation number</t>
        </is>
      </c>
      <c r="R823" s="43" t="inlineStr">
        <is>
          <t>2025-07-23</t>
        </is>
      </c>
      <c r="S823" s="43" t="inlineStr">
        <is>
          <t>2025-07-28</t>
        </is>
      </c>
      <c r="T823" s="43" t="inlineStr"/>
      <c r="U823" s="43" t="inlineStr"/>
    </row>
    <row r="824">
      <c r="A824" s="43" t="n">
        <v>824</v>
      </c>
      <c r="B824" s="43" t="inlineStr">
        <is>
          <t>823</t>
        </is>
      </c>
      <c r="C824" s="43" t="inlineStr">
        <is>
          <t>FJZP</t>
        </is>
      </c>
      <c r="D824" s="43" t="inlineStr">
        <is>
          <t>Cisco</t>
        </is>
      </c>
      <c r="E824" s="43" t="inlineStr">
        <is>
          <t>MCGA</t>
        </is>
      </c>
      <c r="F824" s="43" t="inlineStr">
        <is>
          <t>037-STBU</t>
        </is>
      </c>
      <c r="G824" s="43" t="inlineStr">
        <is>
          <t>CTANJZ04741</t>
        </is>
      </c>
      <c r="H824" s="43" t="inlineStr">
        <is>
          <t>For temporary Manufacturing process change</t>
        </is>
      </c>
      <c r="I824" s="43" t="inlineStr">
        <is>
          <t>Customer Deviation</t>
        </is>
      </c>
      <c r="J824" s="43" t="inlineStr">
        <is>
          <t>D605272</t>
        </is>
      </c>
      <c r="K824" s="33" t="inlineStr">
        <is>
          <t>D605272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824" s="43" t="inlineStr">
        <is>
          <t>Expired</t>
        </is>
      </c>
      <c r="M824" s="43" t="inlineStr">
        <is>
          <t>800-103091-01</t>
        </is>
      </c>
      <c r="N824" s="43" t="inlineStr"/>
      <c r="O824" s="43" t="inlineStr">
        <is>
          <t>2025-10-20</t>
        </is>
      </c>
      <c r="P824" s="33" t="inlineStr">
        <is>
          <t>For temporary Manufacturing process change</t>
        </is>
      </c>
      <c r="Q824" s="43" t="inlineStr">
        <is>
          <t>Add the deviation number on the chassis next to serial number label</t>
        </is>
      </c>
      <c r="R824" s="43" t="inlineStr">
        <is>
          <t>2025-07-22</t>
        </is>
      </c>
      <c r="S824" s="43" t="inlineStr">
        <is>
          <t>2025-08-05</t>
        </is>
      </c>
      <c r="T824" s="43" t="inlineStr"/>
      <c r="U824" s="43" t="inlineStr"/>
    </row>
    <row r="825">
      <c r="A825" s="43" t="n">
        <v>825</v>
      </c>
      <c r="B825" s="43" t="inlineStr">
        <is>
          <t>824</t>
        </is>
      </c>
      <c r="C825" s="43" t="inlineStr">
        <is>
          <t>FJZP</t>
        </is>
      </c>
      <c r="D825" s="43" t="inlineStr">
        <is>
          <t>Cisco</t>
        </is>
      </c>
      <c r="E825" s="43" t="inlineStr">
        <is>
          <t>MCGA</t>
        </is>
      </c>
      <c r="F825" s="43" t="inlineStr">
        <is>
          <t>037-STBU</t>
        </is>
      </c>
      <c r="G825" s="43" t="inlineStr">
        <is>
          <t>CTANJZ04741</t>
        </is>
      </c>
      <c r="H825" s="43" t="inlineStr">
        <is>
          <t>For temporary Manufacturing process change</t>
        </is>
      </c>
      <c r="I825" s="43" t="inlineStr">
        <is>
          <t>Customer Deviation</t>
        </is>
      </c>
      <c r="J825" s="43" t="inlineStr">
        <is>
          <t>D605272</t>
        </is>
      </c>
      <c r="K825" s="33" t="inlineStr">
        <is>
          <t>D605272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825" s="43" t="inlineStr">
        <is>
          <t>Expired</t>
        </is>
      </c>
      <c r="M825" s="43" t="inlineStr">
        <is>
          <t>800-105498-03</t>
        </is>
      </c>
      <c r="N825" s="43" t="inlineStr"/>
      <c r="O825" s="43" t="inlineStr">
        <is>
          <t>2025-10-20</t>
        </is>
      </c>
      <c r="P825" s="33" t="inlineStr">
        <is>
          <t>For temporary Manufacturing process change</t>
        </is>
      </c>
      <c r="Q825" s="43" t="inlineStr">
        <is>
          <t>Add the deviation number on the chassis next to serial number label</t>
        </is>
      </c>
      <c r="R825" s="43" t="inlineStr">
        <is>
          <t>2025-07-22</t>
        </is>
      </c>
      <c r="S825" s="43" t="inlineStr">
        <is>
          <t>2025-08-05</t>
        </is>
      </c>
      <c r="T825" s="43" t="inlineStr"/>
      <c r="U825" s="43" t="inlineStr"/>
    </row>
    <row r="826">
      <c r="A826" s="43" t="n">
        <v>826</v>
      </c>
      <c r="B826" s="43" t="inlineStr">
        <is>
          <t>825</t>
        </is>
      </c>
      <c r="C826" s="43" t="inlineStr">
        <is>
          <t>FJZP</t>
        </is>
      </c>
      <c r="D826" s="43" t="inlineStr">
        <is>
          <t>Cisco</t>
        </is>
      </c>
      <c r="E826" s="43" t="inlineStr">
        <is>
          <t>MCGA</t>
        </is>
      </c>
      <c r="F826" s="43" t="inlineStr">
        <is>
          <t>037-STBU</t>
        </is>
      </c>
      <c r="G826" s="43" t="inlineStr">
        <is>
          <t>CTANJZ04741</t>
        </is>
      </c>
      <c r="H826" s="43" t="inlineStr">
        <is>
          <t>For temporary Manufacturing process change</t>
        </is>
      </c>
      <c r="I826" s="43" t="inlineStr">
        <is>
          <t>Customer Deviation</t>
        </is>
      </c>
      <c r="J826" s="43" t="inlineStr">
        <is>
          <t>D605272</t>
        </is>
      </c>
      <c r="K826" s="33" t="inlineStr">
        <is>
          <t>D605272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826" s="43" t="inlineStr">
        <is>
          <t>Expired</t>
        </is>
      </c>
      <c r="M826" s="43" t="inlineStr">
        <is>
          <t>800-105499-03</t>
        </is>
      </c>
      <c r="N826" s="43" t="inlineStr"/>
      <c r="O826" s="43" t="inlineStr">
        <is>
          <t>2025-10-20</t>
        </is>
      </c>
      <c r="P826" s="33" t="inlineStr">
        <is>
          <t>For temporary Manufacturing process change</t>
        </is>
      </c>
      <c r="Q826" s="43" t="inlineStr">
        <is>
          <t>Add the deviation number on the chassis next to serial number label</t>
        </is>
      </c>
      <c r="R826" s="43" t="inlineStr">
        <is>
          <t>2025-07-22</t>
        </is>
      </c>
      <c r="S826" s="43" t="inlineStr">
        <is>
          <t>2025-08-05</t>
        </is>
      </c>
      <c r="T826" s="43" t="inlineStr"/>
      <c r="U826" s="43" t="inlineStr"/>
    </row>
    <row r="827">
      <c r="A827" s="43" t="n">
        <v>827</v>
      </c>
      <c r="B827" s="43" t="inlineStr">
        <is>
          <t>826</t>
        </is>
      </c>
      <c r="C827" s="43" t="inlineStr">
        <is>
          <t>FJZP</t>
        </is>
      </c>
      <c r="D827" s="43" t="inlineStr">
        <is>
          <t>Cisco</t>
        </is>
      </c>
      <c r="E827" s="43" t="inlineStr">
        <is>
          <t>MCGA</t>
        </is>
      </c>
      <c r="F827" s="43" t="inlineStr">
        <is>
          <t>037-STBU</t>
        </is>
      </c>
      <c r="G827" s="43" t="inlineStr">
        <is>
          <t>CTANJZ04741</t>
        </is>
      </c>
      <c r="H827" s="43" t="inlineStr">
        <is>
          <t>For temporary Manufacturing process change</t>
        </is>
      </c>
      <c r="I827" s="43" t="inlineStr">
        <is>
          <t>Customer Deviation</t>
        </is>
      </c>
      <c r="J827" s="43" t="inlineStr">
        <is>
          <t>D605272</t>
        </is>
      </c>
      <c r="K827" s="33" t="inlineStr">
        <is>
          <t>D605272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827" s="43" t="inlineStr">
        <is>
          <t>Expired</t>
        </is>
      </c>
      <c r="M827" s="43" t="inlineStr">
        <is>
          <t>800-105500-03</t>
        </is>
      </c>
      <c r="N827" s="43" t="inlineStr"/>
      <c r="O827" s="43" t="inlineStr">
        <is>
          <t>2025-10-20</t>
        </is>
      </c>
      <c r="P827" s="33" t="inlineStr">
        <is>
          <t>For temporary Manufacturing process change</t>
        </is>
      </c>
      <c r="Q827" s="43" t="inlineStr">
        <is>
          <t>Add the deviation number on the chassis next to serial number label</t>
        </is>
      </c>
      <c r="R827" s="43" t="inlineStr">
        <is>
          <t>2025-07-22</t>
        </is>
      </c>
      <c r="S827" s="43" t="inlineStr">
        <is>
          <t>2025-08-05</t>
        </is>
      </c>
      <c r="T827" s="43" t="inlineStr"/>
      <c r="U827" s="43" t="inlineStr"/>
    </row>
    <row r="828">
      <c r="A828" s="43" t="n">
        <v>828</v>
      </c>
      <c r="B828" s="43" t="inlineStr">
        <is>
          <t>827</t>
        </is>
      </c>
      <c r="C828" s="43" t="inlineStr">
        <is>
          <t>FJZP</t>
        </is>
      </c>
      <c r="D828" s="43" t="inlineStr">
        <is>
          <t>Cisco</t>
        </is>
      </c>
      <c r="E828" s="43" t="inlineStr">
        <is>
          <t>MCGA</t>
        </is>
      </c>
      <c r="F828" s="43" t="inlineStr">
        <is>
          <t>037-STBU</t>
        </is>
      </c>
      <c r="G828" s="43" t="inlineStr">
        <is>
          <t>CTANJZ04741</t>
        </is>
      </c>
      <c r="H828" s="43" t="inlineStr">
        <is>
          <t>For temporary Manufacturing process change</t>
        </is>
      </c>
      <c r="I828" s="43" t="inlineStr">
        <is>
          <t>Customer Deviation</t>
        </is>
      </c>
      <c r="J828" s="43" t="inlineStr">
        <is>
          <t>D605272</t>
        </is>
      </c>
      <c r="K828" s="33" t="inlineStr">
        <is>
          <t>D605272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828" s="43" t="inlineStr">
        <is>
          <t>Expired</t>
        </is>
      </c>
      <c r="M828" s="43" t="inlineStr">
        <is>
          <t>800-106634-02</t>
        </is>
      </c>
      <c r="N828" s="43" t="inlineStr"/>
      <c r="O828" s="43" t="inlineStr">
        <is>
          <t>2025-10-20</t>
        </is>
      </c>
      <c r="P828" s="33" t="inlineStr">
        <is>
          <t>For temporary Manufacturing process change</t>
        </is>
      </c>
      <c r="Q828" s="43" t="inlineStr">
        <is>
          <t>Add the deviation number on the chassis next to serial number label</t>
        </is>
      </c>
      <c r="R828" s="43" t="inlineStr">
        <is>
          <t>2025-07-22</t>
        </is>
      </c>
      <c r="S828" s="43" t="inlineStr">
        <is>
          <t>2025-08-05</t>
        </is>
      </c>
      <c r="T828" s="43" t="inlineStr"/>
      <c r="U828" s="43" t="inlineStr"/>
    </row>
    <row r="829">
      <c r="A829" s="43" t="n">
        <v>829</v>
      </c>
      <c r="B829" s="43" t="inlineStr">
        <is>
          <t>828</t>
        </is>
      </c>
      <c r="C829" s="43" t="inlineStr">
        <is>
          <t>FJZP</t>
        </is>
      </c>
      <c r="D829" s="43" t="inlineStr">
        <is>
          <t>Cisco</t>
        </is>
      </c>
      <c r="E829" s="43" t="inlineStr">
        <is>
          <t>MCGA</t>
        </is>
      </c>
      <c r="F829" s="43" t="inlineStr">
        <is>
          <t>037-STBU</t>
        </is>
      </c>
      <c r="G829" s="43" t="inlineStr">
        <is>
          <t>CTANJZ04741</t>
        </is>
      </c>
      <c r="H829" s="43" t="inlineStr">
        <is>
          <t>For temporary Manufacturing process change</t>
        </is>
      </c>
      <c r="I829" s="43" t="inlineStr">
        <is>
          <t>Customer Deviation</t>
        </is>
      </c>
      <c r="J829" s="43" t="inlineStr">
        <is>
          <t>D605272</t>
        </is>
      </c>
      <c r="K829" s="33" t="inlineStr">
        <is>
          <t>D605272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829" s="43" t="inlineStr">
        <is>
          <t>Expired</t>
        </is>
      </c>
      <c r="M829" s="43" t="inlineStr">
        <is>
          <t>800-106754-02</t>
        </is>
      </c>
      <c r="N829" s="43" t="inlineStr"/>
      <c r="O829" s="43" t="inlineStr">
        <is>
          <t>2025-10-20</t>
        </is>
      </c>
      <c r="P829" s="33" t="inlineStr">
        <is>
          <t>For temporary Manufacturing process change</t>
        </is>
      </c>
      <c r="Q829" s="43" t="inlineStr">
        <is>
          <t>Add the deviation number on the chassis next to serial number label</t>
        </is>
      </c>
      <c r="R829" s="43" t="inlineStr">
        <is>
          <t>2025-07-22</t>
        </is>
      </c>
      <c r="S829" s="43" t="inlineStr">
        <is>
          <t>2025-08-05</t>
        </is>
      </c>
      <c r="T829" s="43" t="inlineStr"/>
      <c r="U829" s="43" t="inlineStr"/>
    </row>
    <row r="830">
      <c r="A830" s="43" t="n">
        <v>830</v>
      </c>
      <c r="B830" s="43" t="inlineStr">
        <is>
          <t>829</t>
        </is>
      </c>
      <c r="C830" s="43" t="inlineStr">
        <is>
          <t>FJZP</t>
        </is>
      </c>
      <c r="D830" s="43" t="inlineStr">
        <is>
          <t>Cisco</t>
        </is>
      </c>
      <c r="E830" s="43" t="inlineStr">
        <is>
          <t>MCGA</t>
        </is>
      </c>
      <c r="F830" s="43" t="inlineStr">
        <is>
          <t>035-CVEBU</t>
        </is>
      </c>
      <c r="G830" s="43" t="inlineStr">
        <is>
          <t>CTANJZ04768</t>
        </is>
      </c>
      <c r="H830" s="43" t="inlineStr">
        <is>
          <t>For temporary Manufacturing process change</t>
        </is>
      </c>
      <c r="I830" s="43" t="inlineStr">
        <is>
          <t>Customer Deviation</t>
        </is>
      </c>
      <c r="J830" s="43" t="inlineStr">
        <is>
          <t>DP525211</t>
        </is>
      </c>
      <c r="K830" s="33" t="inlineStr">
        <is>
          <t>DP525211Tyne. DV1-build at FJZ.This deviation allows FJZ to build 68-104855-01-07 with several deviations that are listed in attached Document.This deviation supersedes DP525064.</t>
        </is>
      </c>
      <c r="L830" s="43" t="inlineStr">
        <is>
          <t>Expired</t>
        </is>
      </c>
      <c r="M830" s="43" t="inlineStr">
        <is>
          <t>800-113103-01</t>
        </is>
      </c>
      <c r="N830" s="43" t="inlineStr"/>
      <c r="O830" s="43" t="inlineStr">
        <is>
          <t>2025-10-06</t>
        </is>
      </c>
      <c r="P830" s="33" t="inlineStr">
        <is>
          <t>For temporary Manufacturing process change</t>
        </is>
      </c>
      <c r="Q830" s="43" t="inlineStr">
        <is>
          <t>Not required</t>
        </is>
      </c>
      <c r="R830" s="43" t="inlineStr">
        <is>
          <t>2025-08-08</t>
        </is>
      </c>
      <c r="S830" s="43" t="inlineStr">
        <is>
          <t>2025-08-14</t>
        </is>
      </c>
      <c r="T830" s="43" t="inlineStr"/>
      <c r="U830" s="43" t="inlineStr"/>
    </row>
    <row r="831">
      <c r="A831" s="43" t="n">
        <v>831</v>
      </c>
      <c r="B831" s="43" t="inlineStr">
        <is>
          <t>830</t>
        </is>
      </c>
      <c r="C831" s="43" t="inlineStr">
        <is>
          <t>FJZP</t>
        </is>
      </c>
      <c r="D831" s="43" t="inlineStr">
        <is>
          <t>Cisco</t>
        </is>
      </c>
      <c r="E831" s="43" t="inlineStr">
        <is>
          <t>MCGA</t>
        </is>
      </c>
      <c r="F831" s="43" t="inlineStr">
        <is>
          <t>035-CVEBU</t>
        </is>
      </c>
      <c r="G831" s="43" t="inlineStr">
        <is>
          <t>CTANJZ04768</t>
        </is>
      </c>
      <c r="H831" s="43" t="inlineStr">
        <is>
          <t>For temporary Manufacturing process change</t>
        </is>
      </c>
      <c r="I831" s="43" t="inlineStr">
        <is>
          <t>Customer Deviation</t>
        </is>
      </c>
      <c r="J831" s="43" t="inlineStr">
        <is>
          <t>DP525211</t>
        </is>
      </c>
      <c r="K831" s="33" t="inlineStr">
        <is>
          <t>DP525211Tyne. DV1-build at FJZ.This deviation allows FJZ to build 68-104855-01-07 with several deviations that are listed in attached Document.This deviation supersedes DP525064.</t>
        </is>
      </c>
      <c r="L831" s="43" t="inlineStr">
        <is>
          <t>Expired</t>
        </is>
      </c>
      <c r="M831" s="43" t="inlineStr">
        <is>
          <t>800-113104-01</t>
        </is>
      </c>
      <c r="N831" s="43" t="inlineStr"/>
      <c r="O831" s="43" t="inlineStr">
        <is>
          <t>2025-10-06</t>
        </is>
      </c>
      <c r="P831" s="33" t="inlineStr">
        <is>
          <t>For temporary Manufacturing process change</t>
        </is>
      </c>
      <c r="Q831" s="43" t="inlineStr">
        <is>
          <t>Not required</t>
        </is>
      </c>
      <c r="R831" s="43" t="inlineStr">
        <is>
          <t>2025-08-08</t>
        </is>
      </c>
      <c r="S831" s="43" t="inlineStr">
        <is>
          <t>2025-08-14</t>
        </is>
      </c>
      <c r="T831" s="43" t="inlineStr"/>
      <c r="U831" s="43" t="inlineStr"/>
    </row>
    <row r="832">
      <c r="A832" s="43" t="n">
        <v>832</v>
      </c>
      <c r="B832" s="43" t="inlineStr">
        <is>
          <t>831</t>
        </is>
      </c>
      <c r="C832" s="43" t="inlineStr">
        <is>
          <t>FJZP</t>
        </is>
      </c>
      <c r="D832" s="43" t="inlineStr">
        <is>
          <t>Cisco</t>
        </is>
      </c>
      <c r="E832" s="43" t="inlineStr">
        <is>
          <t>MCGA</t>
        </is>
      </c>
      <c r="F832" s="43" t="inlineStr">
        <is>
          <t>035-CVEBU</t>
        </is>
      </c>
      <c r="G832" s="43" t="inlineStr">
        <is>
          <t>CTANJZ04768</t>
        </is>
      </c>
      <c r="H832" s="43" t="inlineStr">
        <is>
          <t>For temporary Manufacturing process change</t>
        </is>
      </c>
      <c r="I832" s="43" t="inlineStr">
        <is>
          <t>Customer Deviation</t>
        </is>
      </c>
      <c r="J832" s="43" t="inlineStr">
        <is>
          <t>DP525211</t>
        </is>
      </c>
      <c r="K832" s="33" t="inlineStr">
        <is>
          <t>DP525211Tyne. DV1-build at FJZ.This deviation allows FJZ to build 68-104855-01-07 with several deviations that are listed in attached Document.This deviation supersedes DP525064.</t>
        </is>
      </c>
      <c r="L832" s="43" t="inlineStr">
        <is>
          <t>Expired</t>
        </is>
      </c>
      <c r="M832" s="43" t="inlineStr">
        <is>
          <t>800-113252-01</t>
        </is>
      </c>
      <c r="N832" s="43" t="inlineStr"/>
      <c r="O832" s="43" t="inlineStr">
        <is>
          <t>2025-10-06</t>
        </is>
      </c>
      <c r="P832" s="33" t="inlineStr">
        <is>
          <t>For temporary Manufacturing process change</t>
        </is>
      </c>
      <c r="Q832" s="43" t="inlineStr">
        <is>
          <t>Not required</t>
        </is>
      </c>
      <c r="R832" s="43" t="inlineStr">
        <is>
          <t>2025-08-08</t>
        </is>
      </c>
      <c r="S832" s="43" t="inlineStr">
        <is>
          <t>2025-08-14</t>
        </is>
      </c>
      <c r="T832" s="43" t="inlineStr"/>
      <c r="U832" s="43" t="inlineStr"/>
    </row>
    <row r="833">
      <c r="A833" s="43" t="n">
        <v>833</v>
      </c>
      <c r="B833" s="43" t="inlineStr">
        <is>
          <t>832</t>
        </is>
      </c>
      <c r="C833" s="43" t="inlineStr">
        <is>
          <t>FJZP</t>
        </is>
      </c>
      <c r="D833" s="43" t="inlineStr">
        <is>
          <t>Cisco</t>
        </is>
      </c>
      <c r="E833" s="43" t="inlineStr">
        <is>
          <t>MCGA</t>
        </is>
      </c>
      <c r="F833" s="43" t="inlineStr">
        <is>
          <t>018-SRGBU</t>
        </is>
      </c>
      <c r="G833" s="43" t="inlineStr">
        <is>
          <t>CTANJZ04838</t>
        </is>
      </c>
      <c r="H833" s="43" t="inlineStr">
        <is>
          <t>For temporary Manufacturing process change</t>
        </is>
      </c>
      <c r="I833" s="43" t="inlineStr">
        <is>
          <t>Customer Deviation</t>
        </is>
      </c>
      <c r="J833" s="43" t="inlineStr">
        <is>
          <t>D604931</t>
        </is>
      </c>
      <c r="K833" s="33" t="inlineStr">
        <is>
          <t>D604931 SRGBU-Arata; FCS build programming imagesAllow Foxconn to use the following images for the Arata FCS build:ROMMON: C8000-NG-S1-17-18-1_4r.pkgFPGA: arata_top_signed_rel_token_250605_V136.jed;           arata_top_250220.fea; Mirabile2_SOC_CSK_PUB.pem upgradeMCU: Arata_pwrseq_V0306_250610_MCUV_REL.binCPN affected are 74-134702-02 and 74-133408-02.</t>
        </is>
      </c>
      <c r="L833" s="43" t="inlineStr">
        <is>
          <t>Expired</t>
        </is>
      </c>
      <c r="M833" s="43" t="inlineStr">
        <is>
          <t>74-133408-02</t>
        </is>
      </c>
      <c r="N833" s="43" t="inlineStr"/>
      <c r="O833" s="43" t="inlineStr">
        <is>
          <t>2025-10-08</t>
        </is>
      </c>
      <c r="P833" s="33" t="inlineStr">
        <is>
          <t>For temporary Manufacturing process change</t>
        </is>
      </c>
      <c r="Q833" s="43" t="inlineStr">
        <is>
          <t>Place deviation label and program cookie with deviation # in hex.</t>
        </is>
      </c>
      <c r="R833" s="43" t="inlineStr">
        <is>
          <t>2025-09-13</t>
        </is>
      </c>
      <c r="S833" s="43" t="inlineStr">
        <is>
          <t>2025-09-24</t>
        </is>
      </c>
      <c r="T833" s="43" t="inlineStr"/>
      <c r="U833" s="43" t="inlineStr"/>
    </row>
    <row r="834">
      <c r="A834" s="43" t="n">
        <v>834</v>
      </c>
      <c r="B834" s="43" t="inlineStr">
        <is>
          <t>833</t>
        </is>
      </c>
      <c r="C834" s="43" t="inlineStr">
        <is>
          <t>FJZP</t>
        </is>
      </c>
      <c r="D834" s="43" t="inlineStr">
        <is>
          <t>Cisco</t>
        </is>
      </c>
      <c r="E834" s="43" t="inlineStr">
        <is>
          <t>MCGA</t>
        </is>
      </c>
      <c r="F834" s="43" t="inlineStr">
        <is>
          <t>018-SRGBU</t>
        </is>
      </c>
      <c r="G834" s="43" t="inlineStr">
        <is>
          <t>CTANJZ04838</t>
        </is>
      </c>
      <c r="H834" s="43" t="inlineStr">
        <is>
          <t>For temporary Manufacturing process change</t>
        </is>
      </c>
      <c r="I834" s="43" t="inlineStr">
        <is>
          <t>Customer Deviation</t>
        </is>
      </c>
      <c r="J834" s="43" t="inlineStr">
        <is>
          <t>D604931</t>
        </is>
      </c>
      <c r="K834" s="33" t="inlineStr">
        <is>
          <t>D604931 SRGBU-Arata; FCS build programming imagesAllow Foxconn to use the following images for the Arata FCS build:ROMMON: C8000-NG-S1-17-18-1_4r.pkgFPGA: arata_top_signed_rel_token_250605_V136.jed;           arata_top_250220.fea; Mirabile2_SOC_CSK_PUB.pem upgradeMCU: Arata_pwrseq_V0306_250610_MCUV_REL.binCPN affected are 74-134702-02 and 74-133408-02.</t>
        </is>
      </c>
      <c r="L834" s="43" t="inlineStr">
        <is>
          <t>Expired</t>
        </is>
      </c>
      <c r="M834" s="43" t="inlineStr">
        <is>
          <t>74-134702-02</t>
        </is>
      </c>
      <c r="N834" s="43" t="inlineStr"/>
      <c r="O834" s="43" t="inlineStr">
        <is>
          <t>2025-10-08</t>
        </is>
      </c>
      <c r="P834" s="33" t="inlineStr">
        <is>
          <t>For temporary Manufacturing process change</t>
        </is>
      </c>
      <c r="Q834" s="43" t="inlineStr">
        <is>
          <t>Place deviation label and program cookie with deviation # in hex.</t>
        </is>
      </c>
      <c r="R834" s="43" t="inlineStr">
        <is>
          <t>2025-09-13</t>
        </is>
      </c>
      <c r="S834" s="43" t="inlineStr">
        <is>
          <t>2025-09-24</t>
        </is>
      </c>
      <c r="T834" s="43" t="inlineStr"/>
      <c r="U834" s="43" t="inlineStr"/>
    </row>
    <row r="835">
      <c r="A835" s="43" t="n">
        <v>835</v>
      </c>
      <c r="B835" s="43" t="inlineStr">
        <is>
          <t>834</t>
        </is>
      </c>
      <c r="C835" s="43" t="inlineStr">
        <is>
          <t>FJZP</t>
        </is>
      </c>
      <c r="D835" s="43" t="inlineStr">
        <is>
          <t>Cisco</t>
        </is>
      </c>
      <c r="E835" s="43" t="inlineStr">
        <is>
          <t>MCGA</t>
        </is>
      </c>
      <c r="F835" s="43" t="inlineStr">
        <is>
          <t>037-STBU</t>
        </is>
      </c>
      <c r="G835" s="43" t="inlineStr">
        <is>
          <t>CTANJZ04773</t>
        </is>
      </c>
      <c r="H835" s="43" t="inlineStr">
        <is>
          <t>For temporary Manufacturing process change</t>
        </is>
      </c>
      <c r="I835" s="43" t="inlineStr">
        <is>
          <t>Customer Deviation</t>
        </is>
      </c>
      <c r="J835" s="43" t="inlineStr">
        <is>
          <t>DP525235</t>
        </is>
      </c>
      <c r="K835" s="33" t="inlineStr">
        <is>
          <t>DP525235 NGFWBU:Woodside Park Model A/B Pre-Pilot - Allow usage of consigned AMD CPUs with cancelled MPN AVL status.</t>
        </is>
      </c>
      <c r="L835" s="43" t="inlineStr">
        <is>
          <t>Expired</t>
        </is>
      </c>
      <c r="M835" s="43" t="inlineStr">
        <is>
          <t>73-103557-04</t>
        </is>
      </c>
      <c r="N835" s="43" t="inlineStr"/>
      <c r="O835" s="43" t="inlineStr">
        <is>
          <t>2025-10-12</t>
        </is>
      </c>
      <c r="P835" s="33" t="inlineStr"/>
      <c r="Q835" s="43" t="inlineStr">
        <is>
          <t>None required.</t>
        </is>
      </c>
      <c r="R835" s="43" t="inlineStr">
        <is>
          <t>2025-08-14</t>
        </is>
      </c>
      <c r="S835" s="43" t="inlineStr">
        <is>
          <t>2025-08-26</t>
        </is>
      </c>
      <c r="T835" s="43" t="inlineStr"/>
      <c r="U835" s="43" t="inlineStr"/>
    </row>
    <row r="836">
      <c r="A836" s="43" t="n">
        <v>836</v>
      </c>
      <c r="B836" s="43" t="inlineStr">
        <is>
          <t>835</t>
        </is>
      </c>
      <c r="C836" s="43" t="inlineStr">
        <is>
          <t>FJZP</t>
        </is>
      </c>
      <c r="D836" s="43" t="inlineStr">
        <is>
          <t>Cisco</t>
        </is>
      </c>
      <c r="E836" s="43" t="inlineStr">
        <is>
          <t>MCGA</t>
        </is>
      </c>
      <c r="F836" s="43" t="inlineStr">
        <is>
          <t>037-STBU</t>
        </is>
      </c>
      <c r="G836" s="43" t="inlineStr">
        <is>
          <t>CTANJZ04773</t>
        </is>
      </c>
      <c r="H836" s="43" t="inlineStr">
        <is>
          <t>For temporary Manufacturing process change</t>
        </is>
      </c>
      <c r="I836" s="43" t="inlineStr">
        <is>
          <t>Customer Deviation</t>
        </is>
      </c>
      <c r="J836" s="43" t="inlineStr">
        <is>
          <t>DP525235</t>
        </is>
      </c>
      <c r="K836" s="33" t="inlineStr">
        <is>
          <t>DP525235 NGFWBU:Woodside Park Model A/B Pre-Pilot - Allow usage of consigned AMD CPUs with cancelled MPN AVL status.</t>
        </is>
      </c>
      <c r="L836" s="43" t="inlineStr">
        <is>
          <t>Expired</t>
        </is>
      </c>
      <c r="M836" s="43" t="inlineStr">
        <is>
          <t>73-103633-04</t>
        </is>
      </c>
      <c r="N836" s="43" t="inlineStr"/>
      <c r="O836" s="43" t="inlineStr">
        <is>
          <t>2025-10-12</t>
        </is>
      </c>
      <c r="P836" s="33" t="inlineStr"/>
      <c r="Q836" s="43" t="inlineStr">
        <is>
          <t>None required.</t>
        </is>
      </c>
      <c r="R836" s="43" t="inlineStr">
        <is>
          <t>2025-08-14</t>
        </is>
      </c>
      <c r="S836" s="43" t="inlineStr">
        <is>
          <t>2025-08-26</t>
        </is>
      </c>
      <c r="T836" s="43" t="inlineStr"/>
      <c r="U836" s="43" t="inlineStr"/>
    </row>
    <row r="837">
      <c r="A837" s="43" t="n">
        <v>837</v>
      </c>
      <c r="B837" s="43" t="inlineStr">
        <is>
          <t>836</t>
        </is>
      </c>
      <c r="C837" s="43" t="inlineStr">
        <is>
          <t>FJZP</t>
        </is>
      </c>
      <c r="D837" s="43" t="inlineStr">
        <is>
          <t>Cisco</t>
        </is>
      </c>
      <c r="E837" s="43" t="inlineStr">
        <is>
          <t>MCGA</t>
        </is>
      </c>
      <c r="F837" s="43" t="inlineStr">
        <is>
          <t>037-STBU</t>
        </is>
      </c>
      <c r="G837" s="43" t="inlineStr">
        <is>
          <t>CTANJZ04773</t>
        </is>
      </c>
      <c r="H837" s="43" t="inlineStr">
        <is>
          <t>For temporary Manufacturing process change</t>
        </is>
      </c>
      <c r="I837" s="43" t="inlineStr">
        <is>
          <t>Customer Deviation</t>
        </is>
      </c>
      <c r="J837" s="43" t="inlineStr">
        <is>
          <t>DP525235</t>
        </is>
      </c>
      <c r="K837" s="33" t="inlineStr">
        <is>
          <t>DP525235 NGFWBU:Woodside Park Model A/B Pre-Pilot - Allow usage of consigned AMD CPUs with cancelled MPN AVL status.</t>
        </is>
      </c>
      <c r="L837" s="43" t="inlineStr">
        <is>
          <t>Expired</t>
        </is>
      </c>
      <c r="M837" s="43" t="inlineStr">
        <is>
          <t>800-112581-04</t>
        </is>
      </c>
      <c r="N837" s="43" t="inlineStr"/>
      <c r="O837" s="43" t="inlineStr">
        <is>
          <t>2025-10-12</t>
        </is>
      </c>
      <c r="P837" s="33" t="inlineStr"/>
      <c r="Q837" s="43" t="inlineStr">
        <is>
          <t>None required.</t>
        </is>
      </c>
      <c r="R837" s="43" t="inlineStr">
        <is>
          <t>2025-08-14</t>
        </is>
      </c>
      <c r="S837" s="43" t="inlineStr">
        <is>
          <t>2025-08-26</t>
        </is>
      </c>
      <c r="T837" s="43" t="inlineStr"/>
      <c r="U837" s="43" t="inlineStr"/>
    </row>
    <row r="838">
      <c r="A838" s="43" t="n">
        <v>838</v>
      </c>
      <c r="B838" s="43" t="inlineStr">
        <is>
          <t>837</t>
        </is>
      </c>
      <c r="C838" s="43" t="inlineStr">
        <is>
          <t>FJZP</t>
        </is>
      </c>
      <c r="D838" s="43" t="inlineStr">
        <is>
          <t>Cisco</t>
        </is>
      </c>
      <c r="E838" s="43" t="inlineStr">
        <is>
          <t>MCGA</t>
        </is>
      </c>
      <c r="F838" s="43" t="inlineStr">
        <is>
          <t>037-STBU</t>
        </is>
      </c>
      <c r="G838" s="43" t="inlineStr">
        <is>
          <t>CTANJZ04773</t>
        </is>
      </c>
      <c r="H838" s="43" t="inlineStr">
        <is>
          <t>For temporary Manufacturing process change</t>
        </is>
      </c>
      <c r="I838" s="43" t="inlineStr">
        <is>
          <t>Customer Deviation</t>
        </is>
      </c>
      <c r="J838" s="43" t="inlineStr">
        <is>
          <t>DP525235</t>
        </is>
      </c>
      <c r="K838" s="33" t="inlineStr">
        <is>
          <t>DP525235 NGFWBU:Woodside Park Model A/B Pre-Pilot - Allow usage of consigned AMD CPUs with cancelled MPN AVL status.</t>
        </is>
      </c>
      <c r="L838" s="43" t="inlineStr">
        <is>
          <t>Expired</t>
        </is>
      </c>
      <c r="M838" s="43" t="inlineStr">
        <is>
          <t>800-112582-04</t>
        </is>
      </c>
      <c r="N838" s="43" t="inlineStr"/>
      <c r="O838" s="43" t="inlineStr">
        <is>
          <t>2025-10-12</t>
        </is>
      </c>
      <c r="P838" s="33" t="inlineStr"/>
      <c r="Q838" s="43" t="inlineStr">
        <is>
          <t>None required.</t>
        </is>
      </c>
      <c r="R838" s="43" t="inlineStr">
        <is>
          <t>2025-08-14</t>
        </is>
      </c>
      <c r="S838" s="43" t="inlineStr">
        <is>
          <t>2025-08-26</t>
        </is>
      </c>
      <c r="T838" s="43" t="inlineStr"/>
      <c r="U838" s="43" t="inlineStr"/>
    </row>
    <row r="839">
      <c r="A839" s="43" t="n">
        <v>839</v>
      </c>
      <c r="B839" s="43" t="inlineStr">
        <is>
          <t>838</t>
        </is>
      </c>
      <c r="C839" s="43" t="inlineStr">
        <is>
          <t>FJZP</t>
        </is>
      </c>
      <c r="D839" s="43" t="inlineStr">
        <is>
          <t>Cisco</t>
        </is>
      </c>
      <c r="E839" s="43" t="inlineStr">
        <is>
          <t>MCGA</t>
        </is>
      </c>
      <c r="F839" s="43" t="inlineStr">
        <is>
          <t>018-SRGBU</t>
        </is>
      </c>
      <c r="G839" s="43" t="inlineStr">
        <is>
          <t>CTANJZ04871</t>
        </is>
      </c>
      <c r="H839" s="43" t="inlineStr">
        <is>
          <t>For temporary Manufacturing process change</t>
        </is>
      </c>
      <c r="I839" s="43" t="inlineStr">
        <is>
          <t>Customer Deviation</t>
        </is>
      </c>
      <c r="J839" s="43" t="inlineStr">
        <is>
          <t>D606244</t>
        </is>
      </c>
      <c r="K839" s="33" t="inlineStr">
        <is>
          <t>D606244 SRGBU:Promethium:Promethium-L:Update image on part number 17-101533-01 from curie_sb_4.6.0 to curie_sb_4.8.0</t>
        </is>
      </c>
      <c r="L839" s="43" t="inlineStr">
        <is>
          <t>Expired</t>
        </is>
      </c>
      <c r="M839" s="43" t="inlineStr">
        <is>
          <t>74-122543-05</t>
        </is>
      </c>
      <c r="N839" s="43" t="inlineStr"/>
      <c r="O839" s="43" t="inlineStr">
        <is>
          <t>2025-12-23</t>
        </is>
      </c>
      <c r="P839" s="33" t="inlineStr">
        <is>
          <t>For temporary Manufacturing process change</t>
        </is>
      </c>
      <c r="Q839" s="43" t="inlineStr">
        <is>
          <t>All units are to labeled with this deviation number All units are to have the cookie updated with this deviation number</t>
        </is>
      </c>
      <c r="R839" s="43" t="inlineStr">
        <is>
          <t>2025-09-25</t>
        </is>
      </c>
      <c r="S839" s="43" t="inlineStr">
        <is>
          <t>2025-10-23</t>
        </is>
      </c>
      <c r="T839" s="43" t="inlineStr"/>
      <c r="U839" s="43" t="inlineStr"/>
    </row>
    <row r="840">
      <c r="A840" s="43" t="n">
        <v>840</v>
      </c>
      <c r="B840" s="43" t="inlineStr">
        <is>
          <t>839</t>
        </is>
      </c>
      <c r="C840" s="43" t="inlineStr">
        <is>
          <t>FJZP</t>
        </is>
      </c>
      <c r="D840" s="43" t="inlineStr">
        <is>
          <t>Cisco</t>
        </is>
      </c>
      <c r="E840" s="43" t="inlineStr">
        <is>
          <t>MCGA</t>
        </is>
      </c>
      <c r="F840" s="43" t="inlineStr">
        <is>
          <t>018-SRGBU</t>
        </is>
      </c>
      <c r="G840" s="43" t="inlineStr">
        <is>
          <t>CTANJZ04871</t>
        </is>
      </c>
      <c r="H840" s="43" t="inlineStr">
        <is>
          <t>For temporary Manufacturing process change</t>
        </is>
      </c>
      <c r="I840" s="43" t="inlineStr">
        <is>
          <t>Customer Deviation</t>
        </is>
      </c>
      <c r="J840" s="43" t="inlineStr">
        <is>
          <t>D606244</t>
        </is>
      </c>
      <c r="K840" s="33" t="inlineStr">
        <is>
          <t>D606244 SRGBU:Promethium:Promethium-L:Update image on part number 17-101533-01 from curie_sb_4.6.0 to curie_sb_4.8.0</t>
        </is>
      </c>
      <c r="L840" s="43" t="inlineStr">
        <is>
          <t>Expired</t>
        </is>
      </c>
      <c r="M840" s="43" t="inlineStr">
        <is>
          <t>74-125686-04</t>
        </is>
      </c>
      <c r="N840" s="43" t="inlineStr"/>
      <c r="O840" s="43" t="inlineStr">
        <is>
          <t>2025-12-23</t>
        </is>
      </c>
      <c r="P840" s="33" t="inlineStr">
        <is>
          <t>For temporary Manufacturing process change</t>
        </is>
      </c>
      <c r="Q840" s="43" t="inlineStr">
        <is>
          <t>All units are to labeled with this deviation number All units are to have the cookie updated with this deviation number</t>
        </is>
      </c>
      <c r="R840" s="43" t="inlineStr">
        <is>
          <t>2025-09-25</t>
        </is>
      </c>
      <c r="S840" s="43" t="inlineStr">
        <is>
          <t>2025-10-23</t>
        </is>
      </c>
      <c r="T840" s="43" t="inlineStr"/>
      <c r="U840" s="43" t="inlineStr"/>
    </row>
    <row r="841">
      <c r="A841" s="43" t="n">
        <v>841</v>
      </c>
      <c r="B841" s="43" t="inlineStr">
        <is>
          <t>840</t>
        </is>
      </c>
      <c r="C841" s="43" t="inlineStr">
        <is>
          <t>FJZP</t>
        </is>
      </c>
      <c r="D841" s="43" t="inlineStr">
        <is>
          <t>Cisco</t>
        </is>
      </c>
      <c r="E841" s="43" t="inlineStr">
        <is>
          <t>MCGA</t>
        </is>
      </c>
      <c r="F841" s="43" t="inlineStr">
        <is>
          <t>037-STBU</t>
        </is>
      </c>
      <c r="G841" s="43" t="inlineStr">
        <is>
          <t>CTANJZ04873</t>
        </is>
      </c>
      <c r="H841" s="43" t="inlineStr">
        <is>
          <t>For temporary Manufacturing process change</t>
        </is>
      </c>
      <c r="I841" s="43" t="inlineStr">
        <is>
          <t>Customer Deviation</t>
        </is>
      </c>
      <c r="J841" s="43" t="inlineStr">
        <is>
          <t>D606385</t>
        </is>
      </c>
      <c r="K841" s="33" t="inlineStr">
        <is>
          <t>D606385 This Deviaiton will be used for the Woodside Park Pilot 1 build at FJZ; Mexico. See material notes below for materials to use new version or old revision of material.1. 800-50525-03 SSD carrier will be used for Woodside Park Pilot builds.2. 700-138393-01 qty in stock can be used up with MPN 1363472.3. 800-112989-01 Revision 02 can be used for the Pilot builds.4. 700-138289-01 revision 07 can be used for the Pilot builds.5. 700-138284-01 revision 08 can be used for the Pilot builds.6. 700-137009-01 revision 02 can be used for the Pilot builds.7. 47-111061-01 revision 03 samples can be used for the Pilot builds.</t>
        </is>
      </c>
      <c r="L841" s="43" t="inlineStr">
        <is>
          <t>Expired</t>
        </is>
      </c>
      <c r="M841" s="43" t="inlineStr">
        <is>
          <t>68-104576-04</t>
        </is>
      </c>
      <c r="N841" s="43" t="inlineStr"/>
      <c r="O841" s="43" t="inlineStr">
        <is>
          <t>2025-12-23</t>
        </is>
      </c>
      <c r="P841" s="33" t="inlineStr">
        <is>
          <t>For temporary Manufacturing process change</t>
        </is>
      </c>
      <c r="Q841" s="43" t="inlineStr">
        <is>
          <t>None required</t>
        </is>
      </c>
      <c r="R841" s="43" t="inlineStr">
        <is>
          <t>2025-09-25</t>
        </is>
      </c>
      <c r="S841" s="43" t="inlineStr">
        <is>
          <t>2025-10-03</t>
        </is>
      </c>
      <c r="T841" s="43" t="inlineStr"/>
      <c r="U841" s="43" t="inlineStr"/>
    </row>
    <row r="842">
      <c r="A842" s="43" t="n">
        <v>842</v>
      </c>
      <c r="B842" s="43" t="inlineStr">
        <is>
          <t>841</t>
        </is>
      </c>
      <c r="C842" s="43" t="inlineStr">
        <is>
          <t>FJZP</t>
        </is>
      </c>
      <c r="D842" s="43" t="inlineStr">
        <is>
          <t>Cisco</t>
        </is>
      </c>
      <c r="E842" s="43" t="inlineStr">
        <is>
          <t>MCGA</t>
        </is>
      </c>
      <c r="F842" s="43" t="inlineStr">
        <is>
          <t>035-CVEBU</t>
        </is>
      </c>
      <c r="G842" s="43" t="inlineStr">
        <is>
          <t>CTANJZ04613</t>
        </is>
      </c>
      <c r="H842" s="43" t="inlineStr">
        <is>
          <t>For temporary Manufacturing process change</t>
        </is>
      </c>
      <c r="I842" s="43" t="inlineStr">
        <is>
          <t>Customer Deviation</t>
        </is>
      </c>
      <c r="J842" s="43" t="inlineStr">
        <is>
          <t>D603986</t>
        </is>
      </c>
      <c r="K842"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L842" s="43" t="inlineStr">
        <is>
          <t>Expired</t>
        </is>
      </c>
      <c r="M842" s="43" t="inlineStr">
        <is>
          <t>73-103603-04</t>
        </is>
      </c>
      <c r="N842" s="43" t="inlineStr"/>
      <c r="O842" s="43" t="inlineStr">
        <is>
          <t>2025-08-17</t>
        </is>
      </c>
      <c r="P842" s="33" t="inlineStr">
        <is>
          <t>For temporary Manufacturing process change</t>
        </is>
      </c>
      <c r="Q842" s="43" t="inlineStr">
        <is>
          <t>No FFF change =&gt; No marking needed</t>
        </is>
      </c>
      <c r="R842" s="43" t="inlineStr">
        <is>
          <t>2025-05-20</t>
        </is>
      </c>
      <c r="S842" s="43" t="inlineStr">
        <is>
          <t>2025-06-03</t>
        </is>
      </c>
      <c r="T842" s="43" t="inlineStr"/>
      <c r="U842" s="43" t="inlineStr"/>
    </row>
    <row r="843">
      <c r="A843" s="43" t="n">
        <v>843</v>
      </c>
      <c r="B843" s="43" t="inlineStr">
        <is>
          <t>842</t>
        </is>
      </c>
      <c r="C843" s="43" t="inlineStr">
        <is>
          <t>FJZP</t>
        </is>
      </c>
      <c r="D843" s="43" t="inlineStr">
        <is>
          <t>Cisco</t>
        </is>
      </c>
      <c r="E843" s="43" t="inlineStr">
        <is>
          <t>MCGA</t>
        </is>
      </c>
      <c r="F843" s="43" t="inlineStr">
        <is>
          <t>035-CVEBU</t>
        </is>
      </c>
      <c r="G843" s="43" t="inlineStr">
        <is>
          <t>CTANJZ04613</t>
        </is>
      </c>
      <c r="H843" s="43" t="inlineStr">
        <is>
          <t>For temporary Manufacturing process change</t>
        </is>
      </c>
      <c r="I843" s="43" t="inlineStr">
        <is>
          <t>Customer Deviation</t>
        </is>
      </c>
      <c r="J843" s="43" t="inlineStr">
        <is>
          <t>D603986</t>
        </is>
      </c>
      <c r="K843" s="33" t="inlineStr">
        <is>
          <t>D603986CVEBU;Pictoris73-101504-01 -E2 PCA; POLARIS MAIN BOARD  73-102197-02 -A2 PCA;DAVINCI MAIN BOARD  73-102797-02 -A2 PCA;DAVINCI MAIN BOARD NR73-102022-02 -B4 PCA;BROOKLYN MAIN BOARD  73-104022-01 -B4 PCA;BROOKLYN MAIN BOARD NR  73-102226-06 -B0 PCA; Millennium Codec Main Board; Radio  73-103226-06 -B0 PCA; Millennium Codec Main Board; Non-Radio  73-103103-04 -05 PCA; PICTORIS MAIN BOARD  73-103603-04 -05 PCA; PICTORIS MAIN BOARD NR  In BOMs; 1 pcs per BOM:29-101677-01 CON;USB TYPE C;R;RA;SMT-NON-BGA;2 R;24 Pmm ML;0.5mm Cx8.95 Wx9.2 Lmm;4 GP;SM  Qualified: Amphenol GSB3C31331DJHR  (PSL preferred; 15% split; USD 0.54)Qualified  FIT      UT12113-11601-7H (PSL Lim Dev;   50% split; USD 0.45)Qualified: Wieson  G3518E024-001    (Non-PSL;       35% split; USD 0.48)There is a SCQO case issued related to FJZ's use of the FIT alternate.FJZ struggles to make this connector sit correctly during assembly.FOL has found a mitigation to this issue. Until their learning is properly transferred to FJZ; FJZ shall not use Foxconn UT12113-11601-7H.</t>
        </is>
      </c>
      <c r="L843" s="43" t="inlineStr">
        <is>
          <t>Expired</t>
        </is>
      </c>
      <c r="M843" s="43" t="inlineStr">
        <is>
          <t>73-104022-01</t>
        </is>
      </c>
      <c r="N843" s="43" t="inlineStr"/>
      <c r="O843" s="43" t="inlineStr">
        <is>
          <t>2025-08-17</t>
        </is>
      </c>
      <c r="P843" s="33" t="inlineStr">
        <is>
          <t>For temporary Manufacturing process change</t>
        </is>
      </c>
      <c r="Q843" s="43" t="inlineStr">
        <is>
          <t>No FFF change =&gt; No marking needed</t>
        </is>
      </c>
      <c r="R843" s="43" t="inlineStr">
        <is>
          <t>2025-05-20</t>
        </is>
      </c>
      <c r="S843" s="43" t="inlineStr">
        <is>
          <t>2025-06-03</t>
        </is>
      </c>
      <c r="T843" s="43" t="inlineStr"/>
      <c r="U843" s="43" t="inlineStr"/>
    </row>
    <row r="844">
      <c r="A844" s="43" t="n">
        <v>844</v>
      </c>
      <c r="B844" s="43" t="inlineStr">
        <is>
          <t>843</t>
        </is>
      </c>
      <c r="C844" s="43" t="inlineStr">
        <is>
          <t>FJZP</t>
        </is>
      </c>
      <c r="D844" s="43" t="inlineStr">
        <is>
          <t>Cisco</t>
        </is>
      </c>
      <c r="E844" s="43" t="inlineStr">
        <is>
          <t>MCGA</t>
        </is>
      </c>
      <c r="F844" s="43" t="inlineStr">
        <is>
          <t>037-STBU</t>
        </is>
      </c>
      <c r="G844" s="43" t="inlineStr">
        <is>
          <t>CTANJZ04806</t>
        </is>
      </c>
      <c r="H844" s="43" t="inlineStr">
        <is>
          <t>For temporary Manufacturing process change</t>
        </is>
      </c>
      <c r="I844" s="43" t="inlineStr">
        <is>
          <t>Customer Deviation</t>
        </is>
      </c>
      <c r="J844" s="43" t="inlineStr">
        <is>
          <t>D605896</t>
        </is>
      </c>
      <c r="K844" s="33" t="inlineStr">
        <is>
          <t>D605896 NGFWBU-Westminster-FPR1000 Series:This deviation is to allow the CM FJZ to do the following to run a control build of WM DT and WM RM to validate changes on EA616081 as specified belowFor all Westminster ProductsFPR-1010 ( Build 5 SKU)FPR-1120 ( Build 5 SKU)FPR-1140 ( Build 5 SKU)FPR-1150 ( Build 3 SKU)FJZ CM to apply the following changes:1.) FJZ to upgrade the ROMMON FW 1.0.25 U7B_U8B; 17-100951-16 to  ROMMON FW 1.0.28 U7B_U8B; 17-100951-17 @ P2C with  fxos-k8-fp1k-firmware.1028.0207.SPARun all control product units through normal Manufacturing test all the way until DF and tested with all combination of SWProvide the test results with serial number to PE Aiseosa Omorogieva(Aomorogi) for reviewingSet boards assemblies aside; if test results are satisfactory and the PE gives approval then units can be mixed with production for customer shipments. If the units do not pass test then we need to hold them up and notify PE for further instruction.**  Cisco Support Team ***PLPM:   Pin MakEPE:    Aiseosa OmorogievaMPE: David AlbaniME:       Edgar BarronTE: Patricia ChavezTDE: Nirupama Padmanabhan</t>
        </is>
      </c>
      <c r="L844" s="43" t="inlineStr">
        <is>
          <t>Expired</t>
        </is>
      </c>
      <c r="M844" s="43" t="inlineStr">
        <is>
          <t>73-18488-07</t>
        </is>
      </c>
      <c r="N844" s="43" t="inlineStr"/>
      <c r="O844" s="43" t="inlineStr">
        <is>
          <t>2025-12-03</t>
        </is>
      </c>
      <c r="P844" s="33" t="inlineStr">
        <is>
          <t>For temporary Manufacturing process change</t>
        </is>
      </c>
      <c r="Q844" s="43" t="inlineStr">
        <is>
          <t>Place the deviation label on the top side on the PCBA and outside the chassis (pull out tag).</t>
        </is>
      </c>
      <c r="R844" s="43" t="inlineStr">
        <is>
          <t>2025-09-05</t>
        </is>
      </c>
      <c r="S844" s="43" t="inlineStr">
        <is>
          <t>2025-09-29</t>
        </is>
      </c>
      <c r="T844" s="43" t="inlineStr"/>
      <c r="U844" s="43" t="inlineStr"/>
    </row>
    <row r="845">
      <c r="A845" s="43" t="n">
        <v>845</v>
      </c>
      <c r="B845" s="43" t="inlineStr">
        <is>
          <t>844</t>
        </is>
      </c>
      <c r="C845" s="43" t="inlineStr">
        <is>
          <t>FJZP</t>
        </is>
      </c>
      <c r="D845" s="43" t="inlineStr">
        <is>
          <t>Cisco</t>
        </is>
      </c>
      <c r="E845" s="43" t="inlineStr">
        <is>
          <t>MCGA</t>
        </is>
      </c>
      <c r="F845" s="43" t="inlineStr">
        <is>
          <t>037-STBU</t>
        </is>
      </c>
      <c r="G845" s="43" t="inlineStr">
        <is>
          <t>CTANJZ04806</t>
        </is>
      </c>
      <c r="H845" s="43" t="inlineStr">
        <is>
          <t>For temporary Manufacturing process change</t>
        </is>
      </c>
      <c r="I845" s="43" t="inlineStr">
        <is>
          <t>Customer Deviation</t>
        </is>
      </c>
      <c r="J845" s="43" t="inlineStr">
        <is>
          <t>D605896</t>
        </is>
      </c>
      <c r="K845" s="33" t="inlineStr">
        <is>
          <t>D605896 NGFWBU-Westminster-FPR1000 Series:This deviation is to allow the CM FJZ to do the following to run a control build of WM DT and WM RM to validate changes on EA616081 as specified belowFor all Westminster ProductsFPR-1010 ( Build 5 SKU)FPR-1120 ( Build 5 SKU)FPR-1140 ( Build 5 SKU)FPR-1150 ( Build 3 SKU)FJZ CM to apply the following changes:1.) FJZ to upgrade the ROMMON FW 1.0.25 U7B_U8B; 17-100951-16 to  ROMMON FW 1.0.28 U7B_U8B; 17-100951-17 @ P2C with  fxos-k8-fp1k-firmware.1028.0207.SPARun all control product units through normal Manufacturing test all the way until DF and tested with all combination of SWProvide the test results with serial number to PE Aiseosa Omorogieva(Aomorogi) for reviewingSet boards assemblies aside; if test results are satisfactory and the PE gives approval then units can be mixed with production for customer shipments. If the units do not pass test then we need to hold them up and notify PE for further instruction.**  Cisco Support Team ***PLPM:   Pin MakEPE:    Aiseosa OmorogievaMPE: David AlbaniME:       Edgar BarronTE: Patricia ChavezTDE: Nirupama Padmanabhan</t>
        </is>
      </c>
      <c r="L845" s="43" t="inlineStr">
        <is>
          <t>Expired</t>
        </is>
      </c>
      <c r="M845" s="43" t="inlineStr">
        <is>
          <t>73-18489-07</t>
        </is>
      </c>
      <c r="N845" s="43" t="inlineStr"/>
      <c r="O845" s="43" t="inlineStr">
        <is>
          <t>2025-12-03</t>
        </is>
      </c>
      <c r="P845" s="33" t="inlineStr">
        <is>
          <t>For temporary Manufacturing process change</t>
        </is>
      </c>
      <c r="Q845" s="43" t="inlineStr">
        <is>
          <t>Place the deviation label on the top side on the PCBA and outside the chassis (pull out tag).</t>
        </is>
      </c>
      <c r="R845" s="43" t="inlineStr">
        <is>
          <t>2025-09-05</t>
        </is>
      </c>
      <c r="S845" s="43" t="inlineStr">
        <is>
          <t>2025-09-29</t>
        </is>
      </c>
      <c r="T845" s="43" t="inlineStr"/>
      <c r="U845" s="43" t="inlineStr"/>
    </row>
    <row r="846">
      <c r="A846" s="43" t="n">
        <v>846</v>
      </c>
      <c r="B846" s="43" t="inlineStr">
        <is>
          <t>845</t>
        </is>
      </c>
      <c r="C846" s="43" t="inlineStr">
        <is>
          <t>FJZP</t>
        </is>
      </c>
      <c r="D846" s="43" t="inlineStr">
        <is>
          <t>Cisco</t>
        </is>
      </c>
      <c r="E846" s="43" t="inlineStr">
        <is>
          <t>MCGA</t>
        </is>
      </c>
      <c r="F846" s="43" t="inlineStr">
        <is>
          <t>037-STBU</t>
        </is>
      </c>
      <c r="G846" s="43" t="inlineStr">
        <is>
          <t>CTANJZ04806</t>
        </is>
      </c>
      <c r="H846" s="43" t="inlineStr">
        <is>
          <t>For temporary Manufacturing process change</t>
        </is>
      </c>
      <c r="I846" s="43" t="inlineStr">
        <is>
          <t>Customer Deviation</t>
        </is>
      </c>
      <c r="J846" s="43" t="inlineStr">
        <is>
          <t>D605896</t>
        </is>
      </c>
      <c r="K846" s="33" t="inlineStr">
        <is>
          <t>D605896 NGFWBU-Westminster-FPR1000 Series:This deviation is to allow the CM FJZ to do the following to run a control build of WM DT and WM RM to validate changes on EA616081 as specified belowFor all Westminster ProductsFPR-1010 ( Build 5 SKU)FPR-1120 ( Build 5 SKU)FPR-1140 ( Build 5 SKU)FPR-1150 ( Build 3 SKU)FJZ CM to apply the following changes:1.) FJZ to upgrade the ROMMON FW 1.0.25 U7B_U8B; 17-100951-16 to  ROMMON FW 1.0.28 U7B_U8B; 17-100951-17 @ P2C with  fxos-k8-fp1k-firmware.1028.0207.SPARun all control product units through normal Manufacturing test all the way until DF and tested with all combination of SWProvide the test results with serial number to PE Aiseosa Omorogieva(Aomorogi) for reviewingSet boards assemblies aside; if test results are satisfactory and the PE gives approval then units can be mixed with production for customer shipments. If the units do not pass test then we need to hold them up and notify PE for further instruction.**  Cisco Support Team ***PLPM:   Pin MakEPE:    Aiseosa OmorogievaMPE: David AlbaniME:       Edgar BarronTE: Patricia ChavezTDE: Nirupama Padmanabhan</t>
        </is>
      </c>
      <c r="L846" s="43" t="inlineStr">
        <is>
          <t>Expired</t>
        </is>
      </c>
      <c r="M846" s="43" t="inlineStr">
        <is>
          <t>73-18490-09</t>
        </is>
      </c>
      <c r="N846" s="43" t="inlineStr"/>
      <c r="O846" s="43" t="inlineStr">
        <is>
          <t>2025-12-03</t>
        </is>
      </c>
      <c r="P846" s="33" t="inlineStr">
        <is>
          <t>For temporary Manufacturing process change</t>
        </is>
      </c>
      <c r="Q846" s="43" t="inlineStr">
        <is>
          <t>Place the deviation label on the top side on the PCBA and outside the chassis (pull out tag).</t>
        </is>
      </c>
      <c r="R846" s="43" t="inlineStr">
        <is>
          <t>2025-09-05</t>
        </is>
      </c>
      <c r="S846" s="43" t="inlineStr">
        <is>
          <t>2025-09-29</t>
        </is>
      </c>
      <c r="T846" s="43" t="inlineStr"/>
      <c r="U846" s="43" t="inlineStr"/>
    </row>
    <row r="847">
      <c r="A847" s="43" t="n">
        <v>847</v>
      </c>
      <c r="B847" s="43" t="inlineStr">
        <is>
          <t>846</t>
        </is>
      </c>
      <c r="C847" s="43" t="inlineStr">
        <is>
          <t>FJZP</t>
        </is>
      </c>
      <c r="D847" s="43" t="inlineStr">
        <is>
          <t>Cisco</t>
        </is>
      </c>
      <c r="E847" s="43" t="inlineStr">
        <is>
          <t>MCGA</t>
        </is>
      </c>
      <c r="F847" s="43" t="inlineStr">
        <is>
          <t>037-STBU</t>
        </is>
      </c>
      <c r="G847" s="43" t="inlineStr">
        <is>
          <t>CTANJZ04806</t>
        </is>
      </c>
      <c r="H847" s="43" t="inlineStr">
        <is>
          <t>For temporary Manufacturing process change</t>
        </is>
      </c>
      <c r="I847" s="43" t="inlineStr">
        <is>
          <t>Customer Deviation</t>
        </is>
      </c>
      <c r="J847" s="43" t="inlineStr">
        <is>
          <t>D605896</t>
        </is>
      </c>
      <c r="K847" s="33" t="inlineStr">
        <is>
          <t>D605896 NGFWBU-Westminster-FPR1000 Series:This deviation is to allow the CM FJZ to do the following to run a control build of WM DT and WM RM to validate changes on EA616081 as specified belowFor all Westminster ProductsFPR-1010 ( Build 5 SKU)FPR-1120 ( Build 5 SKU)FPR-1140 ( Build 5 SKU)FPR-1150 ( Build 3 SKU)FJZ CM to apply the following changes:1.) FJZ to upgrade the ROMMON FW 1.0.25 U7B_U8B; 17-100951-16 to  ROMMON FW 1.0.28 U7B_U8B; 17-100951-17 @ P2C with  fxos-k8-fp1k-firmware.1028.0207.SPARun all control product units through normal Manufacturing test all the way until DF and tested with all combination of SWProvide the test results with serial number to PE Aiseosa Omorogieva(Aomorogi) for reviewingSet boards assemblies aside; if test results are satisfactory and the PE gives approval then units can be mixed with production for customer shipments. If the units do not pass test then we need to hold them up and notify PE for further instruction.**  Cisco Support Team ***PLPM:   Pin MakEPE:    Aiseosa OmorogievaMPE: David AlbaniME:       Edgar BarronTE: Patricia ChavezTDE: Nirupama Padmanabhan</t>
        </is>
      </c>
      <c r="L847" s="43" t="inlineStr">
        <is>
          <t>Expired</t>
        </is>
      </c>
      <c r="M847" s="43" t="inlineStr">
        <is>
          <t>73-21007-02</t>
        </is>
      </c>
      <c r="N847" s="43" t="inlineStr"/>
      <c r="O847" s="43" t="inlineStr">
        <is>
          <t>2025-12-03</t>
        </is>
      </c>
      <c r="P847" s="33" t="inlineStr">
        <is>
          <t>For temporary Manufacturing process change</t>
        </is>
      </c>
      <c r="Q847" s="43" t="inlineStr">
        <is>
          <t>Place the deviation label on the top side on the PCBA and outside the chassis (pull out tag).</t>
        </is>
      </c>
      <c r="R847" s="43" t="inlineStr">
        <is>
          <t>2025-09-05</t>
        </is>
      </c>
      <c r="S847" s="43" t="inlineStr">
        <is>
          <t>2025-09-29</t>
        </is>
      </c>
      <c r="T847" s="43" t="inlineStr"/>
      <c r="U847" s="43" t="inlineStr"/>
    </row>
    <row r="848">
      <c r="A848" s="43" t="n">
        <v>848</v>
      </c>
      <c r="B848" s="43" t="inlineStr">
        <is>
          <t>847</t>
        </is>
      </c>
      <c r="C848" s="43" t="inlineStr">
        <is>
          <t>FJZP</t>
        </is>
      </c>
      <c r="D848" s="43" t="inlineStr">
        <is>
          <t>Cisco</t>
        </is>
      </c>
      <c r="E848" s="43" t="inlineStr">
        <is>
          <t>MCGA</t>
        </is>
      </c>
      <c r="F848" s="43" t="inlineStr">
        <is>
          <t>037-STBU</t>
        </is>
      </c>
      <c r="G848" s="43" t="inlineStr">
        <is>
          <t>CTANJZ04806</t>
        </is>
      </c>
      <c r="H848" s="43" t="inlineStr">
        <is>
          <t>For temporary Manufacturing process change</t>
        </is>
      </c>
      <c r="I848" s="43" t="inlineStr">
        <is>
          <t>Customer Deviation</t>
        </is>
      </c>
      <c r="J848" s="43" t="inlineStr">
        <is>
          <t>D605896</t>
        </is>
      </c>
      <c r="K848" s="33" t="inlineStr">
        <is>
          <t>D605896 NGFWBU-Westminster-FPR1000 Series:This deviation is to allow the CM FJZ to do the following to run a control build of WM DT and WM RM to validate changes on EA616081 as specified belowFor all Westminster ProductsFPR-1010 ( Build 5 SKU)FPR-1120 ( Build 5 SKU)FPR-1140 ( Build 5 SKU)FPR-1150 ( Build 3 SKU)FJZ CM to apply the following changes:1.) FJZ to upgrade the ROMMON FW 1.0.25 U7B_U8B; 17-100951-16 to  ROMMON FW 1.0.28 U7B_U8B; 17-100951-17 @ P2C with  fxos-k8-fp1k-firmware.1028.0207.SPARun all control product units through normal Manufacturing test all the way until DF and tested with all combination of SWProvide the test results with serial number to PE Aiseosa Omorogieva(Aomorogi) for reviewingSet boards assemblies aside; if test results are satisfactory and the PE gives approval then units can be mixed with production for customer shipments. If the units do not pass test then we need to hold them up and notify PE for further instruction.**  Cisco Support Team ***PLPM:   Pin MakEPE:    Aiseosa OmorogievaMPE: David AlbaniME:       Edgar BarronTE: Patricia ChavezTDE: Nirupama Padmanabhan</t>
        </is>
      </c>
      <c r="L848" s="43" t="inlineStr">
        <is>
          <t>Expired</t>
        </is>
      </c>
      <c r="M848" s="43" t="inlineStr">
        <is>
          <t>800-104476-07</t>
        </is>
      </c>
      <c r="N848" s="43" t="inlineStr"/>
      <c r="O848" s="43" t="inlineStr">
        <is>
          <t>2025-12-03</t>
        </is>
      </c>
      <c r="P848" s="33" t="inlineStr">
        <is>
          <t>For temporary Manufacturing process change</t>
        </is>
      </c>
      <c r="Q848" s="43" t="inlineStr">
        <is>
          <t>Place the deviation label on the top side on the PCBA and outside the chassis (pull out tag).</t>
        </is>
      </c>
      <c r="R848" s="43" t="inlineStr">
        <is>
          <t>2025-09-05</t>
        </is>
      </c>
      <c r="S848" s="43" t="inlineStr">
        <is>
          <t>2025-09-29</t>
        </is>
      </c>
      <c r="T848" s="43" t="inlineStr"/>
      <c r="U848" s="43" t="inlineStr"/>
    </row>
    <row r="849">
      <c r="A849" s="43" t="n">
        <v>849</v>
      </c>
      <c r="B849" s="43" t="inlineStr">
        <is>
          <t>848</t>
        </is>
      </c>
      <c r="C849" s="43" t="inlineStr">
        <is>
          <t>FJZP</t>
        </is>
      </c>
      <c r="D849" s="43" t="inlineStr">
        <is>
          <t>Cisco</t>
        </is>
      </c>
      <c r="E849" s="43" t="inlineStr">
        <is>
          <t>MCGA</t>
        </is>
      </c>
      <c r="F849" s="43" t="inlineStr">
        <is>
          <t>037-STBU</t>
        </is>
      </c>
      <c r="G849" s="43" t="inlineStr">
        <is>
          <t>CTANJZ04806</t>
        </is>
      </c>
      <c r="H849" s="43" t="inlineStr">
        <is>
          <t>For temporary Manufacturing process change</t>
        </is>
      </c>
      <c r="I849" s="43" t="inlineStr">
        <is>
          <t>Customer Deviation</t>
        </is>
      </c>
      <c r="J849" s="43" t="inlineStr">
        <is>
          <t>D605896</t>
        </is>
      </c>
      <c r="K849" s="33" t="inlineStr">
        <is>
          <t>D605896 NGFWBU-Westminster-FPR1000 Series:This deviation is to allow the CM FJZ to do the following to run a control build of WM DT and WM RM to validate changes on EA616081 as specified belowFor all Westminster ProductsFPR-1010 ( Build 5 SKU)FPR-1120 ( Build 5 SKU)FPR-1140 ( Build 5 SKU)FPR-1150 ( Build 3 SKU)FJZ CM to apply the following changes:1.) FJZ to upgrade the ROMMON FW 1.0.25 U7B_U8B; 17-100951-16 to  ROMMON FW 1.0.28 U7B_U8B; 17-100951-17 @ P2C with  fxos-k8-fp1k-firmware.1028.0207.SPARun all control product units through normal Manufacturing test all the way until DF and tested with all combination of SWProvide the test results with serial number to PE Aiseosa Omorogieva(Aomorogi) for reviewingSet boards assemblies aside; if test results are satisfactory and the PE gives approval then units can be mixed with production for customer shipments. If the units do not pass test then we need to hold them up and notify PE for further instruction.**  Cisco Support Team ***PLPM:   Pin MakEPE:    Aiseosa OmorogievaMPE: David AlbaniME:       Edgar BarronTE: Patricia ChavezTDE: Nirupama Padmanabhan</t>
        </is>
      </c>
      <c r="L849" s="43" t="inlineStr">
        <is>
          <t>Expired</t>
        </is>
      </c>
      <c r="M849" s="43" t="inlineStr">
        <is>
          <t>800-104788-03</t>
        </is>
      </c>
      <c r="N849" s="43" t="inlineStr"/>
      <c r="O849" s="43" t="inlineStr">
        <is>
          <t>2025-12-03</t>
        </is>
      </c>
      <c r="P849" s="33" t="inlineStr">
        <is>
          <t>For temporary Manufacturing process change</t>
        </is>
      </c>
      <c r="Q849" s="43" t="inlineStr">
        <is>
          <t>Place the deviation label on the top side on the PCBA and outside the chassis (pull out tag).</t>
        </is>
      </c>
      <c r="R849" s="43" t="inlineStr">
        <is>
          <t>2025-09-05</t>
        </is>
      </c>
      <c r="S849" s="43" t="inlineStr">
        <is>
          <t>2025-09-29</t>
        </is>
      </c>
      <c r="T849" s="43" t="inlineStr"/>
      <c r="U849" s="43" t="inlineStr"/>
    </row>
    <row r="850">
      <c r="A850" s="43" t="n">
        <v>850</v>
      </c>
      <c r="B850" s="43" t="inlineStr">
        <is>
          <t>849</t>
        </is>
      </c>
      <c r="C850" s="43" t="inlineStr">
        <is>
          <t>FJZP</t>
        </is>
      </c>
      <c r="D850" s="43" t="inlineStr">
        <is>
          <t>Cisco</t>
        </is>
      </c>
      <c r="E850" s="43" t="inlineStr">
        <is>
          <t>MCGA</t>
        </is>
      </c>
      <c r="F850" s="43" t="inlineStr">
        <is>
          <t>037-STBU</t>
        </is>
      </c>
      <c r="G850" s="43" t="inlineStr">
        <is>
          <t>CTANJZ04806</t>
        </is>
      </c>
      <c r="H850" s="43" t="inlineStr">
        <is>
          <t>For temporary Manufacturing process change</t>
        </is>
      </c>
      <c r="I850" s="43" t="inlineStr">
        <is>
          <t>Customer Deviation</t>
        </is>
      </c>
      <c r="J850" s="43" t="inlineStr">
        <is>
          <t>D605896</t>
        </is>
      </c>
      <c r="K850" s="33" t="inlineStr">
        <is>
          <t>D605896 NGFWBU-Westminster-FPR1000 Series:This deviation is to allow the CM FJZ to do the following to run a control build of WM DT and WM RM to validate changes on EA616081 as specified belowFor all Westminster ProductsFPR-1010 ( Build 5 SKU)FPR-1120 ( Build 5 SKU)FPR-1140 ( Build 5 SKU)FPR-1150 ( Build 3 SKU)FJZ CM to apply the following changes:1.) FJZ to upgrade the ROMMON FW 1.0.25 U7B_U8B; 17-100951-16 to  ROMMON FW 1.0.28 U7B_U8B; 17-100951-17 @ P2C with  fxos-k8-fp1k-firmware.1028.0207.SPARun all control product units through normal Manufacturing test all the way until DF and tested with all combination of SWProvide the test results with serial number to PE Aiseosa Omorogieva(Aomorogi) for reviewingSet boards assemblies aside; if test results are satisfactory and the PE gives approval then units can be mixed with production for customer shipments. If the units do not pass test then we need to hold them up and notify PE for further instruction.**  Cisco Support Team ***PLPM:   Pin MakEPE:    Aiseosa OmorogievaMPE: David AlbaniME:       Edgar BarronTE: Patricia ChavezTDE: Nirupama Padmanabhan</t>
        </is>
      </c>
      <c r="L850" s="43" t="inlineStr">
        <is>
          <t>Expired</t>
        </is>
      </c>
      <c r="M850" s="43" t="inlineStr">
        <is>
          <t>800-104789-03</t>
        </is>
      </c>
      <c r="N850" s="43" t="inlineStr"/>
      <c r="O850" s="43" t="inlineStr">
        <is>
          <t>2025-12-03</t>
        </is>
      </c>
      <c r="P850" s="33" t="inlineStr">
        <is>
          <t>For temporary Manufacturing process change</t>
        </is>
      </c>
      <c r="Q850" s="43" t="inlineStr">
        <is>
          <t>Place the deviation label on the top side on the PCBA and outside the chassis (pull out tag).</t>
        </is>
      </c>
      <c r="R850" s="43" t="inlineStr">
        <is>
          <t>2025-09-05</t>
        </is>
      </c>
      <c r="S850" s="43" t="inlineStr">
        <is>
          <t>2025-09-29</t>
        </is>
      </c>
      <c r="T850" s="43" t="inlineStr"/>
      <c r="U850" s="43" t="inlineStr"/>
    </row>
    <row r="851">
      <c r="A851" s="43" t="n">
        <v>851</v>
      </c>
      <c r="B851" s="43" t="inlineStr">
        <is>
          <t>850</t>
        </is>
      </c>
      <c r="C851" s="43" t="inlineStr">
        <is>
          <t>FJZP</t>
        </is>
      </c>
      <c r="D851" s="43" t="inlineStr">
        <is>
          <t>Cisco</t>
        </is>
      </c>
      <c r="E851" s="43" t="inlineStr">
        <is>
          <t>MCGA</t>
        </is>
      </c>
      <c r="F851" s="43" t="inlineStr">
        <is>
          <t>037-STBU</t>
        </is>
      </c>
      <c r="G851" s="43" t="inlineStr">
        <is>
          <t>CTANJZ04806</t>
        </is>
      </c>
      <c r="H851" s="43" t="inlineStr">
        <is>
          <t>For temporary Manufacturing process change</t>
        </is>
      </c>
      <c r="I851" s="43" t="inlineStr">
        <is>
          <t>Customer Deviation</t>
        </is>
      </c>
      <c r="J851" s="43" t="inlineStr">
        <is>
          <t>D605896</t>
        </is>
      </c>
      <c r="K851" s="33" t="inlineStr">
        <is>
          <t>D605896 NGFWBU-Westminster-FPR1000 Series:This deviation is to allow the CM FJZ to do the following to run a control build of WM DT and WM RM to validate changes on EA616081 as specified belowFor all Westminster ProductsFPR-1010 ( Build 5 SKU)FPR-1120 ( Build 5 SKU)FPR-1140 ( Build 5 SKU)FPR-1150 ( Build 3 SKU)FJZ CM to apply the following changes:1.) FJZ to upgrade the ROMMON FW 1.0.25 U7B_U8B; 17-100951-16 to  ROMMON FW 1.0.28 U7B_U8B; 17-100951-17 @ P2C with  fxos-k8-fp1k-firmware.1028.0207.SPARun all control product units through normal Manufacturing test all the way until DF and tested with all combination of SWProvide the test results with serial number to PE Aiseosa Omorogieva(Aomorogi) for reviewingSet boards assemblies aside; if test results are satisfactory and the PE gives approval then units can be mixed with production for customer shipments. If the units do not pass test then we need to hold them up and notify PE for further instruction.**  Cisco Support Team ***PLPM:   Pin MakEPE:    Aiseosa OmorogievaMPE: David AlbaniME:       Edgar BarronTE: Patricia ChavezTDE: Nirupama Padmanabhan</t>
        </is>
      </c>
      <c r="L851" s="43" t="inlineStr">
        <is>
          <t>Expired</t>
        </is>
      </c>
      <c r="M851" s="43" t="inlineStr">
        <is>
          <t>800-106375-02</t>
        </is>
      </c>
      <c r="N851" s="43" t="inlineStr"/>
      <c r="O851" s="43" t="inlineStr">
        <is>
          <t>2025-12-03</t>
        </is>
      </c>
      <c r="P851" s="33" t="inlineStr">
        <is>
          <t>For temporary Manufacturing process change</t>
        </is>
      </c>
      <c r="Q851" s="43" t="inlineStr">
        <is>
          <t>Place the deviation label on the top side on the PCBA and outside the chassis (pull out tag).</t>
        </is>
      </c>
      <c r="R851" s="43" t="inlineStr">
        <is>
          <t>2025-09-05</t>
        </is>
      </c>
      <c r="S851" s="43" t="inlineStr">
        <is>
          <t>2025-09-29</t>
        </is>
      </c>
      <c r="T851" s="43" t="inlineStr"/>
      <c r="U851" s="43" t="inlineStr"/>
    </row>
    <row r="852">
      <c r="A852" s="43" t="n">
        <v>852</v>
      </c>
      <c r="B852" s="43" t="inlineStr">
        <is>
          <t>851</t>
        </is>
      </c>
      <c r="C852" s="43" t="inlineStr">
        <is>
          <t>FJZP</t>
        </is>
      </c>
      <c r="D852" s="43" t="inlineStr">
        <is>
          <t>Cisco</t>
        </is>
      </c>
      <c r="E852" s="43" t="inlineStr">
        <is>
          <t>MCGA</t>
        </is>
      </c>
      <c r="F852" s="43" t="inlineStr">
        <is>
          <t>037-STBU</t>
        </is>
      </c>
      <c r="G852" s="43" t="inlineStr">
        <is>
          <t>CTANJZ04741</t>
        </is>
      </c>
      <c r="H852" s="43" t="inlineStr">
        <is>
          <t>For temporary Manufacturing process change</t>
        </is>
      </c>
      <c r="I852" s="43" t="inlineStr">
        <is>
          <t>Customer Deviation</t>
        </is>
      </c>
      <c r="J852" s="43" t="inlineStr">
        <is>
          <t>D605272</t>
        </is>
      </c>
      <c r="K852" s="33" t="inlineStr">
        <is>
          <t>D605272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852" s="43" t="inlineStr">
        <is>
          <t>Expired</t>
        </is>
      </c>
      <c r="M852" s="43" t="inlineStr">
        <is>
          <t>800-106838-02</t>
        </is>
      </c>
      <c r="N852" s="43" t="inlineStr"/>
      <c r="O852" s="43" t="inlineStr">
        <is>
          <t>2025-10-20</t>
        </is>
      </c>
      <c r="P852" s="33" t="inlineStr">
        <is>
          <t>For temporary Manufacturing process change</t>
        </is>
      </c>
      <c r="Q852" s="43" t="inlineStr">
        <is>
          <t>Add the deviation number on the chassis next to serial number label</t>
        </is>
      </c>
      <c r="R852" s="43" t="inlineStr">
        <is>
          <t>2025-07-22</t>
        </is>
      </c>
      <c r="S852" s="43" t="inlineStr">
        <is>
          <t>2025-08-05</t>
        </is>
      </c>
      <c r="T852" s="43" t="inlineStr"/>
      <c r="U852" s="43" t="inlineStr"/>
    </row>
    <row r="853">
      <c r="A853" s="43" t="n">
        <v>853</v>
      </c>
      <c r="B853" s="43" t="inlineStr">
        <is>
          <t>852</t>
        </is>
      </c>
      <c r="C853" s="43" t="inlineStr">
        <is>
          <t>FJZP</t>
        </is>
      </c>
      <c r="D853" s="43" t="inlineStr">
        <is>
          <t>Cisco</t>
        </is>
      </c>
      <c r="E853" s="43" t="inlineStr">
        <is>
          <t>MCGA</t>
        </is>
      </c>
      <c r="F853" s="43" t="inlineStr">
        <is>
          <t>037-STBU</t>
        </is>
      </c>
      <c r="G853" s="43" t="inlineStr">
        <is>
          <t>CTANJZ04899</t>
        </is>
      </c>
      <c r="H853" s="43" t="inlineStr">
        <is>
          <t>For temporary Manufacturing process change</t>
        </is>
      </c>
      <c r="I853" s="43" t="inlineStr">
        <is>
          <t>Customer Deviation</t>
        </is>
      </c>
      <c r="J853" s="43" t="inlineStr">
        <is>
          <t>D606900</t>
        </is>
      </c>
      <c r="K853" s="33" t="inlineStr">
        <is>
          <t>D606900 FJZ has 855 PCBAs on 73- level that have expired tests and 358 with a parent still associated to them.All units will have to go back to the PCBA process to be assembled again on the QW units. The units that are associated to a parent will need to be disassociated to be used on manufacturing.PCQO will add this deviation to script and provide a fix to do the disassociation.</t>
        </is>
      </c>
      <c r="L853" s="43" t="inlineStr">
        <is>
          <t>Expired</t>
        </is>
      </c>
      <c r="M853" s="43" t="inlineStr">
        <is>
          <t>73-17497-04</t>
        </is>
      </c>
      <c r="N853" s="43" t="inlineStr"/>
      <c r="O853" s="43" t="inlineStr">
        <is>
          <t>2026-01-07</t>
        </is>
      </c>
      <c r="P853" s="33" t="inlineStr">
        <is>
          <t>For temporary Manufacturing process change</t>
        </is>
      </c>
      <c r="Q853" s="43" t="inlineStr">
        <is>
          <t>Place a label on the board used on a visible place</t>
        </is>
      </c>
      <c r="R853" s="43" t="inlineStr">
        <is>
          <t>2025-10-09</t>
        </is>
      </c>
      <c r="S853" s="43" t="inlineStr">
        <is>
          <t>2025-10-25</t>
        </is>
      </c>
      <c r="T853" s="43" t="inlineStr"/>
      <c r="U853" s="43" t="inlineStr"/>
    </row>
    <row r="854">
      <c r="A854" s="43" t="n">
        <v>854</v>
      </c>
      <c r="B854" s="43" t="inlineStr">
        <is>
          <t>853</t>
        </is>
      </c>
      <c r="C854" s="43" t="inlineStr">
        <is>
          <t>FJZP</t>
        </is>
      </c>
      <c r="D854" s="43" t="inlineStr">
        <is>
          <t>Cisco</t>
        </is>
      </c>
      <c r="E854" s="43" t="inlineStr">
        <is>
          <t>MCGA</t>
        </is>
      </c>
      <c r="F854" s="43" t="inlineStr">
        <is>
          <t>037-STBU</t>
        </is>
      </c>
      <c r="G854" s="43" t="inlineStr">
        <is>
          <t>CTANJZ04899</t>
        </is>
      </c>
      <c r="H854" s="43" t="inlineStr">
        <is>
          <t>For temporary Manufacturing process change</t>
        </is>
      </c>
      <c r="I854" s="43" t="inlineStr">
        <is>
          <t>Customer Deviation</t>
        </is>
      </c>
      <c r="J854" s="43" t="inlineStr">
        <is>
          <t>D606900</t>
        </is>
      </c>
      <c r="K854" s="33" t="inlineStr">
        <is>
          <t>D606900 FJZ has 855 PCBAs on 73- level that have expired tests and 358 with a parent still associated to them.All units will have to go back to the PCBA process to be assembled again on the QW units. The units that are associated to a parent will need to be disassociated to be used on manufacturing.PCQO will add this deviation to script and provide a fix to do the disassociation.</t>
        </is>
      </c>
      <c r="L854" s="43" t="inlineStr">
        <is>
          <t>Expired</t>
        </is>
      </c>
      <c r="M854" s="43" t="inlineStr">
        <is>
          <t>73-17498-04</t>
        </is>
      </c>
      <c r="N854" s="43" t="inlineStr"/>
      <c r="O854" s="43" t="inlineStr">
        <is>
          <t>2026-01-07</t>
        </is>
      </c>
      <c r="P854" s="33" t="inlineStr">
        <is>
          <t>For temporary Manufacturing process change</t>
        </is>
      </c>
      <c r="Q854" s="43" t="inlineStr">
        <is>
          <t>Place a label on the board used on a visible place</t>
        </is>
      </c>
      <c r="R854" s="43" t="inlineStr">
        <is>
          <t>2025-10-09</t>
        </is>
      </c>
      <c r="S854" s="43" t="inlineStr">
        <is>
          <t>2025-10-25</t>
        </is>
      </c>
      <c r="T854" s="43" t="inlineStr"/>
      <c r="U854" s="43" t="inlineStr"/>
    </row>
    <row r="855">
      <c r="A855" s="43" t="n">
        <v>855</v>
      </c>
      <c r="B855" s="43" t="inlineStr">
        <is>
          <t>854</t>
        </is>
      </c>
      <c r="C855" s="43" t="inlineStr">
        <is>
          <t>FJZP</t>
        </is>
      </c>
      <c r="D855" s="43" t="inlineStr">
        <is>
          <t>Cisco</t>
        </is>
      </c>
      <c r="E855" s="43" t="inlineStr">
        <is>
          <t>MCGA</t>
        </is>
      </c>
      <c r="F855" s="43" t="inlineStr">
        <is>
          <t>037-STBU</t>
        </is>
      </c>
      <c r="G855" s="43" t="inlineStr">
        <is>
          <t>CTANJZ04899</t>
        </is>
      </c>
      <c r="H855" s="43" t="inlineStr">
        <is>
          <t>For temporary Manufacturing process change</t>
        </is>
      </c>
      <c r="I855" s="43" t="inlineStr">
        <is>
          <t>Customer Deviation</t>
        </is>
      </c>
      <c r="J855" s="43" t="inlineStr">
        <is>
          <t>D606900</t>
        </is>
      </c>
      <c r="K855" s="33" t="inlineStr">
        <is>
          <t>D606900 FJZ has 855 PCBAs on 73- level that have expired tests and 358 with a parent still associated to them.All units will have to go back to the PCBA process to be assembled again on the QW units. The units that are associated to a parent will need to be disassociated to be used on manufacturing.PCQO will add this deviation to script and provide a fix to do the disassociation.</t>
        </is>
      </c>
      <c r="L855" s="43" t="inlineStr">
        <is>
          <t>Expired</t>
        </is>
      </c>
      <c r="M855" s="43" t="inlineStr">
        <is>
          <t>73-17499-07</t>
        </is>
      </c>
      <c r="N855" s="43" t="inlineStr"/>
      <c r="O855" s="43" t="inlineStr">
        <is>
          <t>2026-01-07</t>
        </is>
      </c>
      <c r="P855" s="33" t="inlineStr">
        <is>
          <t>For temporary Manufacturing process change</t>
        </is>
      </c>
      <c r="Q855" s="43" t="inlineStr">
        <is>
          <t>Place a label on the board used on a visible place</t>
        </is>
      </c>
      <c r="R855" s="43" t="inlineStr">
        <is>
          <t>2025-10-09</t>
        </is>
      </c>
      <c r="S855" s="43" t="inlineStr">
        <is>
          <t>2025-10-25</t>
        </is>
      </c>
      <c r="T855" s="43" t="inlineStr"/>
      <c r="U855" s="43" t="inlineStr"/>
    </row>
    <row r="856">
      <c r="A856" s="43" t="n">
        <v>856</v>
      </c>
      <c r="B856" s="43" t="inlineStr">
        <is>
          <t>855</t>
        </is>
      </c>
      <c r="C856" s="43" t="inlineStr">
        <is>
          <t>FJZP</t>
        </is>
      </c>
      <c r="D856" s="43" t="inlineStr">
        <is>
          <t>Cisco</t>
        </is>
      </c>
      <c r="E856" s="43" t="inlineStr">
        <is>
          <t>MCGA</t>
        </is>
      </c>
      <c r="F856" s="43" t="inlineStr">
        <is>
          <t>037-STBU</t>
        </is>
      </c>
      <c r="G856" s="43" t="inlineStr">
        <is>
          <t>CTANJZ04899</t>
        </is>
      </c>
      <c r="H856" s="43" t="inlineStr">
        <is>
          <t>For temporary Manufacturing process change</t>
        </is>
      </c>
      <c r="I856" s="43" t="inlineStr">
        <is>
          <t>Customer Deviation</t>
        </is>
      </c>
      <c r="J856" s="43" t="inlineStr">
        <is>
          <t>D606900</t>
        </is>
      </c>
      <c r="K856" s="33" t="inlineStr">
        <is>
          <t>D606900 FJZ has 855 PCBAs on 73- level that have expired tests and 358 with a parent still associated to them.All units will have to go back to the PCBA process to be assembled again on the QW units. The units that are associated to a parent will need to be disassociated to be used on manufacturing.PCQO will add this deviation to script and provide a fix to do the disassociation.</t>
        </is>
      </c>
      <c r="L856" s="43" t="inlineStr">
        <is>
          <t>Expired</t>
        </is>
      </c>
      <c r="M856" s="43" t="inlineStr">
        <is>
          <t>73-17510-02</t>
        </is>
      </c>
      <c r="N856" s="43" t="inlineStr"/>
      <c r="O856" s="43" t="inlineStr">
        <is>
          <t>2026-01-07</t>
        </is>
      </c>
      <c r="P856" s="33" t="inlineStr">
        <is>
          <t>For temporary Manufacturing process change</t>
        </is>
      </c>
      <c r="Q856" s="43" t="inlineStr">
        <is>
          <t>Place a label on the board used on a visible place</t>
        </is>
      </c>
      <c r="R856" s="43" t="inlineStr">
        <is>
          <t>2025-10-09</t>
        </is>
      </c>
      <c r="S856" s="43" t="inlineStr">
        <is>
          <t>2025-10-25</t>
        </is>
      </c>
      <c r="T856" s="43" t="inlineStr"/>
      <c r="U856" s="43" t="inlineStr"/>
    </row>
    <row r="857">
      <c r="A857" s="43" t="n">
        <v>857</v>
      </c>
      <c r="B857" s="43" t="inlineStr">
        <is>
          <t>856</t>
        </is>
      </c>
      <c r="C857" s="43" t="inlineStr">
        <is>
          <t>FJZP</t>
        </is>
      </c>
      <c r="D857" s="43" t="inlineStr">
        <is>
          <t>Cisco</t>
        </is>
      </c>
      <c r="E857" s="43" t="inlineStr">
        <is>
          <t>MCGA</t>
        </is>
      </c>
      <c r="F857" s="43" t="inlineStr">
        <is>
          <t>037-STBU</t>
        </is>
      </c>
      <c r="G857" s="43" t="inlineStr">
        <is>
          <t>CTANJZ04899</t>
        </is>
      </c>
      <c r="H857" s="43" t="inlineStr">
        <is>
          <t>For temporary Manufacturing process change</t>
        </is>
      </c>
      <c r="I857" s="43" t="inlineStr">
        <is>
          <t>Customer Deviation</t>
        </is>
      </c>
      <c r="J857" s="43" t="inlineStr">
        <is>
          <t>D606900</t>
        </is>
      </c>
      <c r="K857" s="33" t="inlineStr">
        <is>
          <t>D606900 FJZ has 855 PCBAs on 73- level that have expired tests and 358 with a parent still associated to them.All units will have to go back to the PCBA process to be assembled again on the QW units. The units that are associated to a parent will need to be disassociated to be used on manufacturing.PCQO will add this deviation to script and provide a fix to do the disassociation.</t>
        </is>
      </c>
      <c r="L857" s="43" t="inlineStr">
        <is>
          <t>Expired</t>
        </is>
      </c>
      <c r="M857" s="43" t="inlineStr">
        <is>
          <t>73-17514-02</t>
        </is>
      </c>
      <c r="N857" s="43" t="inlineStr"/>
      <c r="O857" s="43" t="inlineStr">
        <is>
          <t>2026-01-07</t>
        </is>
      </c>
      <c r="P857" s="33" t="inlineStr">
        <is>
          <t>For temporary Manufacturing process change</t>
        </is>
      </c>
      <c r="Q857" s="43" t="inlineStr">
        <is>
          <t>Place a label on the board used on a visible place</t>
        </is>
      </c>
      <c r="R857" s="43" t="inlineStr">
        <is>
          <t>2025-10-09</t>
        </is>
      </c>
      <c r="S857" s="43" t="inlineStr">
        <is>
          <t>2025-10-25</t>
        </is>
      </c>
      <c r="T857" s="43" t="inlineStr"/>
      <c r="U857" s="43" t="inlineStr"/>
    </row>
    <row r="858">
      <c r="A858" s="43" t="n">
        <v>858</v>
      </c>
      <c r="B858" s="43" t="inlineStr">
        <is>
          <t>857</t>
        </is>
      </c>
      <c r="C858" s="43" t="inlineStr">
        <is>
          <t>FJZP</t>
        </is>
      </c>
      <c r="D858" s="43" t="inlineStr">
        <is>
          <t>Cisco</t>
        </is>
      </c>
      <c r="E858" s="43" t="inlineStr">
        <is>
          <t>MCGA</t>
        </is>
      </c>
      <c r="F858" s="43" t="inlineStr">
        <is>
          <t>037-STBU</t>
        </is>
      </c>
      <c r="G858" s="43" t="inlineStr">
        <is>
          <t>CTANJZ04899</t>
        </is>
      </c>
      <c r="H858" s="43" t="inlineStr">
        <is>
          <t>For temporary Manufacturing process change</t>
        </is>
      </c>
      <c r="I858" s="43" t="inlineStr">
        <is>
          <t>Customer Deviation</t>
        </is>
      </c>
      <c r="J858" s="43" t="inlineStr">
        <is>
          <t>D606900</t>
        </is>
      </c>
      <c r="K858" s="33" t="inlineStr">
        <is>
          <t>D606900 FJZ has 855 PCBAs on 73- level that have expired tests and 358 with a parent still associated to them.All units will have to go back to the PCBA process to be assembled again on the QW units. The units that are associated to a parent will need to be disassociated to be used on manufacturing.PCQO will add this deviation to script and provide a fix to do the disassociation.</t>
        </is>
      </c>
      <c r="L858" s="43" t="inlineStr">
        <is>
          <t>Expired</t>
        </is>
      </c>
      <c r="M858" s="43" t="inlineStr">
        <is>
          <t>73-17530-02</t>
        </is>
      </c>
      <c r="N858" s="43" t="inlineStr"/>
      <c r="O858" s="43" t="inlineStr">
        <is>
          <t>2026-01-07</t>
        </is>
      </c>
      <c r="P858" s="33" t="inlineStr">
        <is>
          <t>For temporary Manufacturing process change</t>
        </is>
      </c>
      <c r="Q858" s="43" t="inlineStr">
        <is>
          <t>Place a label on the board used on a visible place</t>
        </is>
      </c>
      <c r="R858" s="43" t="inlineStr">
        <is>
          <t>2025-10-09</t>
        </is>
      </c>
      <c r="S858" s="43" t="inlineStr">
        <is>
          <t>2025-10-25</t>
        </is>
      </c>
      <c r="T858" s="43" t="inlineStr"/>
      <c r="U858" s="43" t="inlineStr"/>
    </row>
    <row r="859">
      <c r="A859" s="43" t="n">
        <v>859</v>
      </c>
      <c r="B859" s="43" t="inlineStr">
        <is>
          <t>858</t>
        </is>
      </c>
      <c r="C859" s="43" t="inlineStr">
        <is>
          <t>FJZP</t>
        </is>
      </c>
      <c r="D859" s="43" t="inlineStr">
        <is>
          <t>Cisco</t>
        </is>
      </c>
      <c r="E859" s="43" t="inlineStr">
        <is>
          <t>MCGA</t>
        </is>
      </c>
      <c r="F859" s="43" t="inlineStr">
        <is>
          <t>037-STBU</t>
        </is>
      </c>
      <c r="G859" s="43" t="inlineStr">
        <is>
          <t>CTANJZ04899</t>
        </is>
      </c>
      <c r="H859" s="43" t="inlineStr">
        <is>
          <t>For temporary Manufacturing process change</t>
        </is>
      </c>
      <c r="I859" s="43" t="inlineStr">
        <is>
          <t>Customer Deviation</t>
        </is>
      </c>
      <c r="J859" s="43" t="inlineStr">
        <is>
          <t>D606900</t>
        </is>
      </c>
      <c r="K859" s="33" t="inlineStr">
        <is>
          <t>D606900 FJZ has 855 PCBAs on 73- level that have expired tests and 358 with a parent still associated to them.All units will have to go back to the PCBA process to be assembled again on the QW units. The units that are associated to a parent will need to be disassociated to be used on manufacturing.PCQO will add this deviation to script and provide a fix to do the disassociation.</t>
        </is>
      </c>
      <c r="L859" s="43" t="inlineStr">
        <is>
          <t>Expired</t>
        </is>
      </c>
      <c r="M859" s="43" t="inlineStr">
        <is>
          <t>73-18626-04</t>
        </is>
      </c>
      <c r="N859" s="43" t="inlineStr"/>
      <c r="O859" s="43" t="inlineStr">
        <is>
          <t>2026-01-07</t>
        </is>
      </c>
      <c r="P859" s="33" t="inlineStr">
        <is>
          <t>For temporary Manufacturing process change</t>
        </is>
      </c>
      <c r="Q859" s="43" t="inlineStr">
        <is>
          <t>Place a label on the board used on a visible place</t>
        </is>
      </c>
      <c r="R859" s="43" t="inlineStr">
        <is>
          <t>2025-10-09</t>
        </is>
      </c>
      <c r="S859" s="43" t="inlineStr">
        <is>
          <t>2025-10-25</t>
        </is>
      </c>
      <c r="T859" s="43" t="inlineStr"/>
      <c r="U859" s="43" t="inlineStr"/>
    </row>
    <row r="860">
      <c r="A860" s="43" t="n">
        <v>860</v>
      </c>
      <c r="B860" s="43" t="inlineStr">
        <is>
          <t>859</t>
        </is>
      </c>
      <c r="C860" s="43" t="inlineStr">
        <is>
          <t>FJZP</t>
        </is>
      </c>
      <c r="D860" s="43" t="inlineStr">
        <is>
          <t>Cisco</t>
        </is>
      </c>
      <c r="E860" s="43" t="inlineStr">
        <is>
          <t>MCGA</t>
        </is>
      </c>
      <c r="F860" s="43" t="inlineStr">
        <is>
          <t>037-STBU</t>
        </is>
      </c>
      <c r="G860" s="43" t="inlineStr">
        <is>
          <t>CTANJZ04899</t>
        </is>
      </c>
      <c r="H860" s="43" t="inlineStr">
        <is>
          <t>For temporary Manufacturing process change</t>
        </is>
      </c>
      <c r="I860" s="43" t="inlineStr">
        <is>
          <t>Customer Deviation</t>
        </is>
      </c>
      <c r="J860" s="43" t="inlineStr">
        <is>
          <t>D606900</t>
        </is>
      </c>
      <c r="K860" s="33" t="inlineStr">
        <is>
          <t>D606900 FJZ has 855 PCBAs on 73- level that have expired tests and 358 with a parent still associated to them.All units will have to go back to the PCBA process to be assembled again on the QW units. The units that are associated to a parent will need to be disassociated to be used on manufacturing.PCQO will add this deviation to script and provide a fix to do the disassociation.</t>
        </is>
      </c>
      <c r="L860" s="43" t="inlineStr">
        <is>
          <t>Expired</t>
        </is>
      </c>
      <c r="M860" s="43" t="inlineStr">
        <is>
          <t>73-19361-01</t>
        </is>
      </c>
      <c r="N860" s="43" t="inlineStr"/>
      <c r="O860" s="43" t="inlineStr">
        <is>
          <t>2026-01-07</t>
        </is>
      </c>
      <c r="P860" s="33" t="inlineStr">
        <is>
          <t>For temporary Manufacturing process change</t>
        </is>
      </c>
      <c r="Q860" s="43" t="inlineStr">
        <is>
          <t>Place a label on the board used on a visible place</t>
        </is>
      </c>
      <c r="R860" s="43" t="inlineStr">
        <is>
          <t>2025-10-09</t>
        </is>
      </c>
      <c r="S860" s="43" t="inlineStr">
        <is>
          <t>2025-10-25</t>
        </is>
      </c>
      <c r="T860" s="43" t="inlineStr"/>
      <c r="U860" s="43" t="inlineStr"/>
    </row>
    <row r="861">
      <c r="A861" s="43" t="n">
        <v>861</v>
      </c>
      <c r="B861" s="43" t="inlineStr">
        <is>
          <t>860</t>
        </is>
      </c>
      <c r="C861" s="43" t="inlineStr">
        <is>
          <t>FJZP</t>
        </is>
      </c>
      <c r="D861" s="43" t="inlineStr">
        <is>
          <t>Cisco</t>
        </is>
      </c>
      <c r="E861" s="43" t="inlineStr">
        <is>
          <t>MCGA</t>
        </is>
      </c>
      <c r="F861" s="43" t="inlineStr">
        <is>
          <t>018-SRGBU</t>
        </is>
      </c>
      <c r="G861" s="43" t="inlineStr">
        <is>
          <t>CTANJZ04774</t>
        </is>
      </c>
      <c r="H861" s="43" t="inlineStr">
        <is>
          <t>For temporary Manufacturing process change</t>
        </is>
      </c>
      <c r="I861" s="43" t="inlineStr">
        <is>
          <t>Customer Deviation</t>
        </is>
      </c>
      <c r="J861" s="43" t="inlineStr">
        <is>
          <t>D605647</t>
        </is>
      </c>
      <c r="K861" s="33" t="inlineStr">
        <is>
          <t>D605647 Allow FOL;FVN and FJZ to use MPN 08-1210-01-A0 under CPN 08-1210-01 to support mass production build till furthuer instruction from Cisco.</t>
        </is>
      </c>
      <c r="L861" s="43" t="inlineStr">
        <is>
          <t>Expired</t>
        </is>
      </c>
      <c r="M861" s="43" t="inlineStr">
        <is>
          <t>73-21204-06</t>
        </is>
      </c>
      <c r="N861" s="43" t="inlineStr"/>
      <c r="O861" s="43" t="inlineStr">
        <is>
          <t>2025-11-11</t>
        </is>
      </c>
      <c r="P861" s="33" t="inlineStr">
        <is>
          <t>For temporary Manufacturing process change</t>
        </is>
      </c>
      <c r="Q861" s="43" t="inlineStr">
        <is>
          <t>No deviation label required</t>
        </is>
      </c>
      <c r="R861" s="43" t="inlineStr">
        <is>
          <t>2025-08-14</t>
        </is>
      </c>
      <c r="S861" s="43" t="inlineStr">
        <is>
          <t>2025-08-21</t>
        </is>
      </c>
      <c r="T861" s="43" t="inlineStr"/>
      <c r="U861" s="43" t="inlineStr"/>
    </row>
    <row r="862">
      <c r="A862" s="43" t="n">
        <v>862</v>
      </c>
      <c r="B862" s="43" t="inlineStr">
        <is>
          <t>861</t>
        </is>
      </c>
      <c r="C862" s="43" t="inlineStr">
        <is>
          <t>FJZP</t>
        </is>
      </c>
      <c r="D862" s="43" t="inlineStr">
        <is>
          <t>Cisco</t>
        </is>
      </c>
      <c r="E862" s="43" t="inlineStr">
        <is>
          <t>MCGA</t>
        </is>
      </c>
      <c r="F862" s="43" t="inlineStr">
        <is>
          <t>018-SRGBU</t>
        </is>
      </c>
      <c r="G862" s="43" t="inlineStr">
        <is>
          <t>CTANJZ04774</t>
        </is>
      </c>
      <c r="H862" s="43" t="inlineStr">
        <is>
          <t>For temporary Manufacturing process change</t>
        </is>
      </c>
      <c r="I862" s="43" t="inlineStr">
        <is>
          <t>Customer Deviation</t>
        </is>
      </c>
      <c r="J862" s="43" t="inlineStr">
        <is>
          <t>D605647</t>
        </is>
      </c>
      <c r="K862" s="33" t="inlineStr">
        <is>
          <t>D605647 Allow FOL;FVN and FJZ to use MPN 08-1210-01-A0 under CPN 08-1210-01 to support mass production build till furthuer instruction from Cisco.</t>
        </is>
      </c>
      <c r="L862" s="43" t="inlineStr">
        <is>
          <t>Expired</t>
        </is>
      </c>
      <c r="M862" s="43" t="inlineStr">
        <is>
          <t>73-21231-05</t>
        </is>
      </c>
      <c r="N862" s="43" t="inlineStr"/>
      <c r="O862" s="43" t="inlineStr">
        <is>
          <t>2025-11-11</t>
        </is>
      </c>
      <c r="P862" s="33" t="inlineStr">
        <is>
          <t>For temporary Manufacturing process change</t>
        </is>
      </c>
      <c r="Q862" s="43" t="inlineStr">
        <is>
          <t>No deviation label required</t>
        </is>
      </c>
      <c r="R862" s="43" t="inlineStr">
        <is>
          <t>2025-08-14</t>
        </is>
      </c>
      <c r="S862" s="43" t="inlineStr">
        <is>
          <t>2025-08-21</t>
        </is>
      </c>
      <c r="T862" s="43" t="inlineStr"/>
      <c r="U862" s="43" t="inlineStr"/>
    </row>
    <row r="863">
      <c r="A863" s="43" t="n">
        <v>863</v>
      </c>
      <c r="B863" s="43" t="inlineStr">
        <is>
          <t>862</t>
        </is>
      </c>
      <c r="C863" s="43" t="inlineStr">
        <is>
          <t>FJZP</t>
        </is>
      </c>
      <c r="D863" s="43" t="inlineStr">
        <is>
          <t>Cisco</t>
        </is>
      </c>
      <c r="E863" s="43" t="inlineStr">
        <is>
          <t>MCGA</t>
        </is>
      </c>
      <c r="F863" s="43" t="inlineStr">
        <is>
          <t>018-SRGBU</t>
        </is>
      </c>
      <c r="G863" s="43" t="inlineStr">
        <is>
          <t>CTANJZ04774</t>
        </is>
      </c>
      <c r="H863" s="43" t="inlineStr">
        <is>
          <t>For temporary Manufacturing process change</t>
        </is>
      </c>
      <c r="I863" s="43" t="inlineStr">
        <is>
          <t>Customer Deviation</t>
        </is>
      </c>
      <c r="J863" s="43" t="inlineStr">
        <is>
          <t>D605647</t>
        </is>
      </c>
      <c r="K863" s="33" t="inlineStr">
        <is>
          <t>D605647 Allow FOL;FVN and FJZ to use MPN 08-1210-01-A0 under CPN 08-1210-01 to support mass production build till furthuer instruction from Cisco.</t>
        </is>
      </c>
      <c r="L863" s="43" t="inlineStr">
        <is>
          <t>Expired</t>
        </is>
      </c>
      <c r="M863" s="43" t="inlineStr">
        <is>
          <t>73-21417-05</t>
        </is>
      </c>
      <c r="N863" s="43" t="inlineStr"/>
      <c r="O863" s="43" t="inlineStr">
        <is>
          <t>2025-11-11</t>
        </is>
      </c>
      <c r="P863" s="33" t="inlineStr">
        <is>
          <t>For temporary Manufacturing process change</t>
        </is>
      </c>
      <c r="Q863" s="43" t="inlineStr">
        <is>
          <t>No deviation label required</t>
        </is>
      </c>
      <c r="R863" s="43" t="inlineStr">
        <is>
          <t>2025-08-14</t>
        </is>
      </c>
      <c r="S863" s="43" t="inlineStr">
        <is>
          <t>2025-08-21</t>
        </is>
      </c>
      <c r="T863" s="43" t="inlineStr"/>
      <c r="U863" s="43" t="inlineStr"/>
    </row>
    <row r="864">
      <c r="A864" s="43" t="n">
        <v>864</v>
      </c>
      <c r="B864" s="43" t="inlineStr">
        <is>
          <t>863</t>
        </is>
      </c>
      <c r="C864" s="43" t="inlineStr">
        <is>
          <t>FJZP</t>
        </is>
      </c>
      <c r="D864" s="43" t="inlineStr">
        <is>
          <t>Cisco</t>
        </is>
      </c>
      <c r="E864" s="43" t="inlineStr">
        <is>
          <t>MCGA</t>
        </is>
      </c>
      <c r="F864" s="43" t="inlineStr">
        <is>
          <t>037-STBU</t>
        </is>
      </c>
      <c r="G864" s="43" t="inlineStr">
        <is>
          <t>CTANJZ04922</t>
        </is>
      </c>
      <c r="H864" s="43" t="inlineStr">
        <is>
          <t>For temporary Manufacturing process change</t>
        </is>
      </c>
      <c r="I864" s="43" t="inlineStr">
        <is>
          <t>Customer Deviation</t>
        </is>
      </c>
      <c r="J864" s="43" t="inlineStr">
        <is>
          <t>D607082</t>
        </is>
      </c>
      <c r="K864" s="33" t="inlineStr">
        <is>
          <t>D607082 Allow FJZ to ship the LED connector (J5400; PN: C334.00084.005) with cosmetic issue during QEnd; due it's not presenting issue during PCBLED test</t>
        </is>
      </c>
      <c r="L864" s="43" t="inlineStr">
        <is>
          <t>Expired</t>
        </is>
      </c>
      <c r="M864" s="43" t="inlineStr">
        <is>
          <t>74-139970-01</t>
        </is>
      </c>
      <c r="N864" s="43" t="inlineStr"/>
      <c r="O864" s="43" t="inlineStr">
        <is>
          <t>2026-01-14</t>
        </is>
      </c>
      <c r="P864" s="33" t="inlineStr">
        <is>
          <t>For temporary Manufacturing process change</t>
        </is>
      </c>
      <c r="Q864" s="43" t="inlineStr">
        <is>
          <t>FJZ to provide the list of the SN affected to Cisco</t>
        </is>
      </c>
      <c r="R864" s="43" t="inlineStr">
        <is>
          <t>2025-10-17</t>
        </is>
      </c>
      <c r="S864" s="43" t="inlineStr">
        <is>
          <t>2025-11-15</t>
        </is>
      </c>
      <c r="T864" s="43" t="inlineStr"/>
      <c r="U864" s="43" t="inlineStr"/>
    </row>
    <row r="865">
      <c r="A865" s="43" t="n">
        <v>865</v>
      </c>
      <c r="B865" s="43" t="inlineStr">
        <is>
          <t>864</t>
        </is>
      </c>
      <c r="C865" s="43" t="inlineStr">
        <is>
          <t>FJZP</t>
        </is>
      </c>
      <c r="D865" s="43" t="inlineStr">
        <is>
          <t>Cisco</t>
        </is>
      </c>
      <c r="E865" s="43" t="inlineStr">
        <is>
          <t>MCGA</t>
        </is>
      </c>
      <c r="F865" s="43" t="inlineStr">
        <is>
          <t>037-STBU</t>
        </is>
      </c>
      <c r="G865" s="43" t="inlineStr">
        <is>
          <t>CTANJZ04922</t>
        </is>
      </c>
      <c r="H865" s="43" t="inlineStr">
        <is>
          <t>For temporary Manufacturing process change</t>
        </is>
      </c>
      <c r="I865" s="43" t="inlineStr">
        <is>
          <t>Customer Deviation</t>
        </is>
      </c>
      <c r="J865" s="43" t="inlineStr">
        <is>
          <t>D607082</t>
        </is>
      </c>
      <c r="K865" s="33" t="inlineStr">
        <is>
          <t>D607082 Allow FJZ to ship the LED connector (J5400; PN: C334.00084.005) with cosmetic issue during QEnd; due it's not presenting issue during PCBLED test</t>
        </is>
      </c>
      <c r="L865" s="43" t="inlineStr">
        <is>
          <t>Expired</t>
        </is>
      </c>
      <c r="M865" s="43" t="inlineStr">
        <is>
          <t>74-139971-01</t>
        </is>
      </c>
      <c r="N865" s="43" t="inlineStr"/>
      <c r="O865" s="43" t="inlineStr">
        <is>
          <t>2026-01-14</t>
        </is>
      </c>
      <c r="P865" s="33" t="inlineStr">
        <is>
          <t>For temporary Manufacturing process change</t>
        </is>
      </c>
      <c r="Q865" s="43" t="inlineStr">
        <is>
          <t>FJZ to provide the list of the SN affected to Cisco</t>
        </is>
      </c>
      <c r="R865" s="43" t="inlineStr">
        <is>
          <t>2025-10-17</t>
        </is>
      </c>
      <c r="S865" s="43" t="inlineStr">
        <is>
          <t>2025-11-15</t>
        </is>
      </c>
      <c r="T865" s="43" t="inlineStr"/>
      <c r="U865" s="43" t="inlineStr"/>
    </row>
    <row r="866">
      <c r="A866" s="43" t="n">
        <v>866</v>
      </c>
      <c r="B866" s="43" t="inlineStr">
        <is>
          <t>865</t>
        </is>
      </c>
      <c r="C866" s="43" t="inlineStr">
        <is>
          <t>FJZP</t>
        </is>
      </c>
      <c r="D866" s="43" t="inlineStr">
        <is>
          <t>Cisco</t>
        </is>
      </c>
      <c r="E866" s="43" t="inlineStr">
        <is>
          <t>MCGA</t>
        </is>
      </c>
      <c r="F866" s="43" t="inlineStr">
        <is>
          <t>037-STBU</t>
        </is>
      </c>
      <c r="G866" s="43" t="inlineStr">
        <is>
          <t>CTANJZ04922</t>
        </is>
      </c>
      <c r="H866" s="43" t="inlineStr">
        <is>
          <t>For temporary Manufacturing process change</t>
        </is>
      </c>
      <c r="I866" s="43" t="inlineStr">
        <is>
          <t>Customer Deviation</t>
        </is>
      </c>
      <c r="J866" s="43" t="inlineStr">
        <is>
          <t>D607082</t>
        </is>
      </c>
      <c r="K866" s="33" t="inlineStr">
        <is>
          <t>D607082 Allow FJZ to ship the LED connector (J5400; PN: C334.00084.005) with cosmetic issue during QEnd; due it's not presenting issue during PCBLED test</t>
        </is>
      </c>
      <c r="L866" s="43" t="inlineStr">
        <is>
          <t>Expired</t>
        </is>
      </c>
      <c r="M866" s="43" t="inlineStr">
        <is>
          <t>74-139972-01</t>
        </is>
      </c>
      <c r="N866" s="43" t="inlineStr"/>
      <c r="O866" s="43" t="inlineStr">
        <is>
          <t>2026-01-14</t>
        </is>
      </c>
      <c r="P866" s="33" t="inlineStr">
        <is>
          <t>For temporary Manufacturing process change</t>
        </is>
      </c>
      <c r="Q866" s="43" t="inlineStr">
        <is>
          <t>FJZ to provide the list of the SN affected to Cisco</t>
        </is>
      </c>
      <c r="R866" s="43" t="inlineStr">
        <is>
          <t>2025-10-17</t>
        </is>
      </c>
      <c r="S866" s="43" t="inlineStr">
        <is>
          <t>2025-11-15</t>
        </is>
      </c>
      <c r="T866" s="43" t="inlineStr"/>
      <c r="U866" s="43" t="inlineStr"/>
    </row>
    <row r="867">
      <c r="A867" s="43" t="n">
        <v>867</v>
      </c>
      <c r="B867" s="43" t="inlineStr">
        <is>
          <t>866</t>
        </is>
      </c>
      <c r="C867" s="43" t="inlineStr">
        <is>
          <t>FJZP</t>
        </is>
      </c>
      <c r="D867" s="43" t="inlineStr">
        <is>
          <t>Cisco</t>
        </is>
      </c>
      <c r="E867" s="43" t="inlineStr">
        <is>
          <t>MCGA</t>
        </is>
      </c>
      <c r="F867" s="43" t="inlineStr">
        <is>
          <t>037-STBU</t>
        </is>
      </c>
      <c r="G867" s="43" t="inlineStr">
        <is>
          <t>CTANJZ04922</t>
        </is>
      </c>
      <c r="H867" s="43" t="inlineStr">
        <is>
          <t>For temporary Manufacturing process change</t>
        </is>
      </c>
      <c r="I867" s="43" t="inlineStr">
        <is>
          <t>Customer Deviation</t>
        </is>
      </c>
      <c r="J867" s="43" t="inlineStr">
        <is>
          <t>D607082</t>
        </is>
      </c>
      <c r="K867" s="33" t="inlineStr">
        <is>
          <t>D607082 Allow FJZ to ship the LED connector (J5400; PN: C334.00084.005) with cosmetic issue during QEnd; due it's not presenting issue during PCBLED test</t>
        </is>
      </c>
      <c r="L867" s="43" t="inlineStr">
        <is>
          <t>Expired</t>
        </is>
      </c>
      <c r="M867" s="43" t="inlineStr">
        <is>
          <t>74-139979-01</t>
        </is>
      </c>
      <c r="N867" s="43" t="inlineStr"/>
      <c r="O867" s="43" t="inlineStr">
        <is>
          <t>2026-01-14</t>
        </is>
      </c>
      <c r="P867" s="33" t="inlineStr">
        <is>
          <t>For temporary Manufacturing process change</t>
        </is>
      </c>
      <c r="Q867" s="43" t="inlineStr">
        <is>
          <t>FJZ to provide the list of the SN affected to Cisco</t>
        </is>
      </c>
      <c r="R867" s="43" t="inlineStr">
        <is>
          <t>2025-10-17</t>
        </is>
      </c>
      <c r="S867" s="43" t="inlineStr">
        <is>
          <t>2025-11-15</t>
        </is>
      </c>
      <c r="T867" s="43" t="inlineStr"/>
      <c r="U867" s="43" t="inlineStr"/>
    </row>
    <row r="868">
      <c r="A868" s="43" t="n">
        <v>868</v>
      </c>
      <c r="B868" s="43" t="inlineStr">
        <is>
          <t>867</t>
        </is>
      </c>
      <c r="C868" s="43" t="inlineStr">
        <is>
          <t>FJZP</t>
        </is>
      </c>
      <c r="D868" s="43" t="inlineStr">
        <is>
          <t>Cisco</t>
        </is>
      </c>
      <c r="E868" s="43" t="inlineStr">
        <is>
          <t>MCGA</t>
        </is>
      </c>
      <c r="F868" s="43" t="inlineStr">
        <is>
          <t>037-STBU</t>
        </is>
      </c>
      <c r="G868" s="43" t="inlineStr">
        <is>
          <t>CTANJZ04922</t>
        </is>
      </c>
      <c r="H868" s="43" t="inlineStr">
        <is>
          <t>For temporary Manufacturing process change</t>
        </is>
      </c>
      <c r="I868" s="43" t="inlineStr">
        <is>
          <t>Customer Deviation</t>
        </is>
      </c>
      <c r="J868" s="43" t="inlineStr">
        <is>
          <t>D607082</t>
        </is>
      </c>
      <c r="K868" s="33" t="inlineStr">
        <is>
          <t>D607082 Allow FJZ to ship the LED connector (J5400; PN: C334.00084.005) with cosmetic issue during QEnd; due it's not presenting issue during PCBLED test</t>
        </is>
      </c>
      <c r="L868" s="43" t="inlineStr">
        <is>
          <t>Expired</t>
        </is>
      </c>
      <c r="M868" s="43" t="inlineStr">
        <is>
          <t>74-139980-01</t>
        </is>
      </c>
      <c r="N868" s="43" t="inlineStr"/>
      <c r="O868" s="43" t="inlineStr">
        <is>
          <t>2026-01-14</t>
        </is>
      </c>
      <c r="P868" s="33" t="inlineStr">
        <is>
          <t>For temporary Manufacturing process change</t>
        </is>
      </c>
      <c r="Q868" s="43" t="inlineStr">
        <is>
          <t>FJZ to provide the list of the SN affected to Cisco</t>
        </is>
      </c>
      <c r="R868" s="43" t="inlineStr">
        <is>
          <t>2025-10-17</t>
        </is>
      </c>
      <c r="S868" s="43" t="inlineStr">
        <is>
          <t>2025-11-15</t>
        </is>
      </c>
      <c r="T868" s="43" t="inlineStr"/>
      <c r="U868" s="43" t="inlineStr"/>
    </row>
    <row r="869">
      <c r="A869" s="43" t="n">
        <v>869</v>
      </c>
      <c r="B869" s="43" t="inlineStr">
        <is>
          <t>868</t>
        </is>
      </c>
      <c r="C869" s="43" t="inlineStr">
        <is>
          <t>FJZP</t>
        </is>
      </c>
      <c r="D869" s="43" t="inlineStr">
        <is>
          <t>Cisco</t>
        </is>
      </c>
      <c r="E869" s="43" t="inlineStr">
        <is>
          <t>MCGA</t>
        </is>
      </c>
      <c r="F869" s="43" t="inlineStr">
        <is>
          <t>037-STBU</t>
        </is>
      </c>
      <c r="G869" s="43" t="inlineStr">
        <is>
          <t>CTANJZ04922</t>
        </is>
      </c>
      <c r="H869" s="43" t="inlineStr">
        <is>
          <t>For temporary Manufacturing process change</t>
        </is>
      </c>
      <c r="I869" s="43" t="inlineStr">
        <is>
          <t>Customer Deviation</t>
        </is>
      </c>
      <c r="J869" s="43" t="inlineStr">
        <is>
          <t>D607082</t>
        </is>
      </c>
      <c r="K869" s="33" t="inlineStr">
        <is>
          <t>D607082 Allow FJZ to ship the LED connector (J5400; PN: C334.00084.005) with cosmetic issue during QEnd; due it's not presenting issue during PCBLED test</t>
        </is>
      </c>
      <c r="L869" s="43" t="inlineStr">
        <is>
          <t>Expired</t>
        </is>
      </c>
      <c r="M869" s="43" t="inlineStr">
        <is>
          <t>74-139981-01</t>
        </is>
      </c>
      <c r="N869" s="43" t="inlineStr"/>
      <c r="O869" s="43" t="inlineStr">
        <is>
          <t>2026-01-14</t>
        </is>
      </c>
      <c r="P869" s="33" t="inlineStr">
        <is>
          <t>For temporary Manufacturing process change</t>
        </is>
      </c>
      <c r="Q869" s="43" t="inlineStr">
        <is>
          <t>FJZ to provide the list of the SN affected to Cisco</t>
        </is>
      </c>
      <c r="R869" s="43" t="inlineStr">
        <is>
          <t>2025-10-17</t>
        </is>
      </c>
      <c r="S869" s="43" t="inlineStr">
        <is>
          <t>2025-11-15</t>
        </is>
      </c>
      <c r="T869" s="43" t="inlineStr"/>
      <c r="U869" s="43" t="inlineStr"/>
    </row>
    <row r="870">
      <c r="A870" s="43" t="n">
        <v>870</v>
      </c>
      <c r="B870" s="43" t="inlineStr">
        <is>
          <t>869</t>
        </is>
      </c>
      <c r="C870" s="43" t="inlineStr">
        <is>
          <t>FJZP</t>
        </is>
      </c>
      <c r="D870" s="43" t="inlineStr">
        <is>
          <t>Cisco</t>
        </is>
      </c>
      <c r="E870" s="43" t="inlineStr">
        <is>
          <t>MCGA</t>
        </is>
      </c>
      <c r="F870" s="43" t="inlineStr">
        <is>
          <t>037-STBU</t>
        </is>
      </c>
      <c r="G870" s="43" t="inlineStr">
        <is>
          <t>CTANJZ04922</t>
        </is>
      </c>
      <c r="H870" s="43" t="inlineStr">
        <is>
          <t>For temporary Manufacturing process change</t>
        </is>
      </c>
      <c r="I870" s="43" t="inlineStr">
        <is>
          <t>Customer Deviation</t>
        </is>
      </c>
      <c r="J870" s="43" t="inlineStr">
        <is>
          <t>D607082</t>
        </is>
      </c>
      <c r="K870" s="33" t="inlineStr">
        <is>
          <t>D607082 Allow FJZ to ship the LED connector (J5400; PN: C334.00084.005) with cosmetic issue during QEnd; due it's not presenting issue during PCBLED test</t>
        </is>
      </c>
      <c r="L870" s="43" t="inlineStr">
        <is>
          <t>Expired</t>
        </is>
      </c>
      <c r="M870" s="43" t="inlineStr">
        <is>
          <t>74-139982-01</t>
        </is>
      </c>
      <c r="N870" s="43" t="inlineStr"/>
      <c r="O870" s="43" t="inlineStr">
        <is>
          <t>2026-01-14</t>
        </is>
      </c>
      <c r="P870" s="33" t="inlineStr">
        <is>
          <t>For temporary Manufacturing process change</t>
        </is>
      </c>
      <c r="Q870" s="43" t="inlineStr">
        <is>
          <t>FJZ to provide the list of the SN affected to Cisco</t>
        </is>
      </c>
      <c r="R870" s="43" t="inlineStr">
        <is>
          <t>2025-10-17</t>
        </is>
      </c>
      <c r="S870" s="43" t="inlineStr">
        <is>
          <t>2025-11-15</t>
        </is>
      </c>
      <c r="T870" s="43" t="inlineStr"/>
      <c r="U870" s="43" t="inlineStr"/>
    </row>
    <row r="871">
      <c r="A871" s="43" t="n">
        <v>871</v>
      </c>
      <c r="B871" s="43" t="inlineStr">
        <is>
          <t>870</t>
        </is>
      </c>
      <c r="C871" s="43" t="inlineStr">
        <is>
          <t>FJZP</t>
        </is>
      </c>
      <c r="D871" s="43" t="inlineStr">
        <is>
          <t>Cisco</t>
        </is>
      </c>
      <c r="E871" s="43" t="inlineStr">
        <is>
          <t>MCGA</t>
        </is>
      </c>
      <c r="F871" s="43" t="inlineStr">
        <is>
          <t>037-STBU</t>
        </is>
      </c>
      <c r="G871" s="43" t="inlineStr">
        <is>
          <t>CTANJZ04915</t>
        </is>
      </c>
      <c r="H871" s="43" t="inlineStr">
        <is>
          <t>For temporary Manufacturing process change</t>
        </is>
      </c>
      <c r="I871" s="43" t="inlineStr">
        <is>
          <t>Customer Deviation</t>
        </is>
      </c>
      <c r="J871" s="43" t="inlineStr">
        <is>
          <t>D606919</t>
        </is>
      </c>
      <c r="K871" s="33" t="inlineStr">
        <is>
          <t>D606919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871" s="43" t="inlineStr">
        <is>
          <t>Expired</t>
        </is>
      </c>
      <c r="M871" s="43" t="inlineStr">
        <is>
          <t>800-103091-01</t>
        </is>
      </c>
      <c r="N871" s="43" t="inlineStr"/>
      <c r="O871" s="43" t="inlineStr">
        <is>
          <t>2026-01-14</t>
        </is>
      </c>
      <c r="P871" s="33" t="inlineStr">
        <is>
          <t>For temporary Manufacturing process change</t>
        </is>
      </c>
      <c r="Q871" s="43" t="inlineStr">
        <is>
          <t>Add the deviation D605272 number on the chassis next to serial number label</t>
        </is>
      </c>
      <c r="R871" s="43" t="inlineStr">
        <is>
          <t>2025-10-16</t>
        </is>
      </c>
      <c r="S871" s="43" t="inlineStr">
        <is>
          <t>2025-11-05</t>
        </is>
      </c>
      <c r="T871" s="43" t="inlineStr"/>
      <c r="U871" s="43" t="inlineStr"/>
    </row>
    <row r="872">
      <c r="A872" s="43" t="n">
        <v>872</v>
      </c>
      <c r="B872" s="43" t="inlineStr">
        <is>
          <t>871</t>
        </is>
      </c>
      <c r="C872" s="43" t="inlineStr">
        <is>
          <t>FJZP</t>
        </is>
      </c>
      <c r="D872" s="43" t="inlineStr">
        <is>
          <t>Cisco</t>
        </is>
      </c>
      <c r="E872" s="43" t="inlineStr">
        <is>
          <t>MCGA</t>
        </is>
      </c>
      <c r="F872" s="43" t="inlineStr">
        <is>
          <t>037-STBU</t>
        </is>
      </c>
      <c r="G872" s="43" t="inlineStr">
        <is>
          <t>CTANJZ04915</t>
        </is>
      </c>
      <c r="H872" s="43" t="inlineStr">
        <is>
          <t>For temporary Manufacturing process change</t>
        </is>
      </c>
      <c r="I872" s="43" t="inlineStr">
        <is>
          <t>Customer Deviation</t>
        </is>
      </c>
      <c r="J872" s="43" t="inlineStr">
        <is>
          <t>D606919</t>
        </is>
      </c>
      <c r="K872" s="33" t="inlineStr">
        <is>
          <t>D606919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872" s="43" t="inlineStr">
        <is>
          <t>Expired</t>
        </is>
      </c>
      <c r="M872" s="43" t="inlineStr">
        <is>
          <t>800-105498-03</t>
        </is>
      </c>
      <c r="N872" s="43" t="inlineStr"/>
      <c r="O872" s="43" t="inlineStr">
        <is>
          <t>2026-01-14</t>
        </is>
      </c>
      <c r="P872" s="33" t="inlineStr">
        <is>
          <t>For temporary Manufacturing process change</t>
        </is>
      </c>
      <c r="Q872" s="43" t="inlineStr">
        <is>
          <t>Add the deviation D605272 number on the chassis next to serial number label</t>
        </is>
      </c>
      <c r="R872" s="43" t="inlineStr">
        <is>
          <t>2025-10-16</t>
        </is>
      </c>
      <c r="S872" s="43" t="inlineStr">
        <is>
          <t>2025-11-05</t>
        </is>
      </c>
      <c r="T872" s="43" t="inlineStr"/>
      <c r="U872" s="43" t="inlineStr"/>
    </row>
    <row r="873">
      <c r="A873" s="43" t="n">
        <v>873</v>
      </c>
      <c r="B873" s="43" t="inlineStr">
        <is>
          <t>872</t>
        </is>
      </c>
      <c r="C873" s="43" t="inlineStr">
        <is>
          <t>FJZP</t>
        </is>
      </c>
      <c r="D873" s="43" t="inlineStr">
        <is>
          <t>Cisco</t>
        </is>
      </c>
      <c r="E873" s="43" t="inlineStr">
        <is>
          <t>MCGA</t>
        </is>
      </c>
      <c r="F873" s="43" t="inlineStr">
        <is>
          <t>018-SRGBU</t>
        </is>
      </c>
      <c r="G873" s="43" t="inlineStr">
        <is>
          <t>CTANJZ04506</t>
        </is>
      </c>
      <c r="H873" s="43" t="inlineStr">
        <is>
          <t>For temporary Manufacturing process change</t>
        </is>
      </c>
      <c r="I873" s="43" t="inlineStr">
        <is>
          <t>Customer Deviation</t>
        </is>
      </c>
      <c r="J873" s="43" t="inlineStr">
        <is>
          <t>D602909</t>
        </is>
      </c>
      <c r="K873" s="33" t="inlineStr">
        <is>
          <t>D602909 Foxconn does not use 16-4458-01 Kioxia THGBMUG8C2LBAIL eMMC (Qualified) until CIMC is updated on Tabei-M and Orion:</t>
        </is>
      </c>
      <c r="L873" s="43" t="inlineStr">
        <is>
          <t>Expired</t>
        </is>
      </c>
      <c r="M873" s="43" t="inlineStr">
        <is>
          <t>16-4458-01</t>
        </is>
      </c>
      <c r="N873" s="43" t="inlineStr"/>
      <c r="O873" s="43" t="inlineStr">
        <is>
          <t>2025-06-18</t>
        </is>
      </c>
      <c r="P873" s="33" t="inlineStr">
        <is>
          <t>For temporary Manufacturing process change</t>
        </is>
      </c>
      <c r="Q873" s="43" t="inlineStr">
        <is>
          <t>N/A</t>
        </is>
      </c>
      <c r="R873" s="43" t="inlineStr">
        <is>
          <t>2025-03-21</t>
        </is>
      </c>
      <c r="S873" s="43" t="inlineStr">
        <is>
          <t>2025-04-01</t>
        </is>
      </c>
      <c r="T873" s="43" t="inlineStr"/>
      <c r="U873" s="43" t="inlineStr"/>
    </row>
    <row r="874">
      <c r="A874" s="43" t="n">
        <v>874</v>
      </c>
      <c r="B874" s="43" t="inlineStr">
        <is>
          <t>873</t>
        </is>
      </c>
      <c r="C874" s="43" t="inlineStr">
        <is>
          <t>FJZP</t>
        </is>
      </c>
      <c r="D874" s="43" t="inlineStr">
        <is>
          <t>Cisco</t>
        </is>
      </c>
      <c r="E874" s="43" t="inlineStr">
        <is>
          <t>MCGA</t>
        </is>
      </c>
      <c r="F874" s="43" t="inlineStr">
        <is>
          <t>018-SRGBU</t>
        </is>
      </c>
      <c r="G874" s="43" t="inlineStr">
        <is>
          <t>CTANJZ04506</t>
        </is>
      </c>
      <c r="H874" s="43" t="inlineStr">
        <is>
          <t>For temporary Manufacturing process change</t>
        </is>
      </c>
      <c r="I874" s="43" t="inlineStr">
        <is>
          <t>Customer Deviation</t>
        </is>
      </c>
      <c r="J874" s="43" t="inlineStr">
        <is>
          <t>D602909</t>
        </is>
      </c>
      <c r="K874" s="33" t="inlineStr">
        <is>
          <t>D602909 Foxconn does not use 16-4458-01 Kioxia THGBMUG8C2LBAIL eMMC (Qualified) until CIMC is updated on Tabei-M and Orion:</t>
        </is>
      </c>
      <c r="L874" s="43" t="inlineStr">
        <is>
          <t>Expired</t>
        </is>
      </c>
      <c r="M874" s="43" t="inlineStr">
        <is>
          <t>74-125442-04</t>
        </is>
      </c>
      <c r="N874" s="43" t="inlineStr"/>
      <c r="O874" s="43" t="inlineStr">
        <is>
          <t>2025-06-18</t>
        </is>
      </c>
      <c r="P874" s="33" t="inlineStr">
        <is>
          <t>For temporary Manufacturing process change</t>
        </is>
      </c>
      <c r="Q874" s="43" t="inlineStr">
        <is>
          <t>N/A</t>
        </is>
      </c>
      <c r="R874" s="43" t="inlineStr">
        <is>
          <t>2025-03-21</t>
        </is>
      </c>
      <c r="S874" s="43" t="inlineStr">
        <is>
          <t>2025-04-01</t>
        </is>
      </c>
      <c r="T874" s="43" t="inlineStr"/>
      <c r="U874" s="43" t="inlineStr"/>
    </row>
    <row r="875">
      <c r="A875" s="43" t="n">
        <v>875</v>
      </c>
      <c r="B875" s="43" t="inlineStr">
        <is>
          <t>874</t>
        </is>
      </c>
      <c r="C875" s="43" t="inlineStr">
        <is>
          <t>FJZP</t>
        </is>
      </c>
      <c r="D875" s="43" t="inlineStr">
        <is>
          <t>Cisco</t>
        </is>
      </c>
      <c r="E875" s="43" t="inlineStr">
        <is>
          <t>MCGA</t>
        </is>
      </c>
      <c r="F875" s="43" t="inlineStr">
        <is>
          <t>037-STBU</t>
        </is>
      </c>
      <c r="G875" s="43" t="inlineStr">
        <is>
          <t>CTANJZ04734</t>
        </is>
      </c>
      <c r="H875" s="43" t="inlineStr">
        <is>
          <t>For temporary Manufacturing process change</t>
        </is>
      </c>
      <c r="I875" s="43" t="inlineStr">
        <is>
          <t>Customer Deviation</t>
        </is>
      </c>
      <c r="J875" s="43" t="inlineStr">
        <is>
          <t>DP525135</t>
        </is>
      </c>
      <c r="K875" s="33" t="inlineStr">
        <is>
          <t>DP525135 Due to solder bridging seen on 11-101888-04 when using Taiyo Yuden; there are several actions for FJZ on the upcoming Pilot 1; 2 &amp; 3 builds.Please see PageThree for details</t>
        </is>
      </c>
      <c r="L875" s="43" t="inlineStr">
        <is>
          <t>Expired</t>
        </is>
      </c>
      <c r="M875" s="43" t="inlineStr">
        <is>
          <t>73-103633-04</t>
        </is>
      </c>
      <c r="N875" s="43" t="inlineStr"/>
      <c r="O875" s="43" t="inlineStr">
        <is>
          <t>2025-09-15</t>
        </is>
      </c>
      <c r="P875" s="33" t="inlineStr"/>
      <c r="Q875" s="43" t="inlineStr">
        <is>
          <t>None required</t>
        </is>
      </c>
      <c r="R875" s="43" t="inlineStr">
        <is>
          <t>2025-07-18</t>
        </is>
      </c>
      <c r="S875" s="43" t="inlineStr">
        <is>
          <t>2025-07-25</t>
        </is>
      </c>
      <c r="T875" s="43" t="inlineStr"/>
      <c r="U875" s="43" t="inlineStr"/>
    </row>
    <row r="876">
      <c r="A876" s="43" t="n">
        <v>876</v>
      </c>
      <c r="B876" s="43" t="inlineStr">
        <is>
          <t>875</t>
        </is>
      </c>
      <c r="C876" s="43" t="inlineStr">
        <is>
          <t>FJZP</t>
        </is>
      </c>
      <c r="D876" s="43" t="inlineStr">
        <is>
          <t>Cisco</t>
        </is>
      </c>
      <c r="E876" s="43" t="inlineStr">
        <is>
          <t>MCGA</t>
        </is>
      </c>
      <c r="F876" s="43" t="inlineStr">
        <is>
          <t>018-SRGBU</t>
        </is>
      </c>
      <c r="G876" s="43" t="inlineStr">
        <is>
          <t>CTANJZ04673</t>
        </is>
      </c>
      <c r="H876" s="43" t="inlineStr">
        <is>
          <t>For temporary Manufacturing process change</t>
        </is>
      </c>
      <c r="I876" s="43" t="inlineStr">
        <is>
          <t>Customer Deviation</t>
        </is>
      </c>
      <c r="J876" s="43" t="inlineStr">
        <is>
          <t>D604622</t>
        </is>
      </c>
      <c r="K876" s="33" t="inlineStr">
        <is>
          <t>D604622 Allow Foxconn to use 30-100290-01 Rev B0 for Roku CAT 7 production builds.</t>
        </is>
      </c>
      <c r="L876" s="43" t="inlineStr">
        <is>
          <t>Expired</t>
        </is>
      </c>
      <c r="M876" s="43" t="inlineStr">
        <is>
          <t>68-7809-01</t>
        </is>
      </c>
      <c r="N876" s="43" t="inlineStr"/>
      <c r="O876" s="43" t="inlineStr">
        <is>
          <t>2025-09-15</t>
        </is>
      </c>
      <c r="P876" s="33" t="inlineStr">
        <is>
          <t>For temporary Manufacturing process change</t>
        </is>
      </c>
      <c r="Q876" s="43" t="inlineStr">
        <is>
          <t>Add deviation number on chassis and in the IDPROM.</t>
        </is>
      </c>
      <c r="R876" s="43" t="inlineStr">
        <is>
          <t>2025-06-19</t>
        </is>
      </c>
      <c r="S876" s="43" t="inlineStr">
        <is>
          <t>2025-07-01</t>
        </is>
      </c>
      <c r="T876" s="43" t="inlineStr"/>
      <c r="U876" s="43" t="inlineStr"/>
    </row>
    <row r="877">
      <c r="A877" s="43" t="n">
        <v>877</v>
      </c>
      <c r="B877" s="43" t="inlineStr">
        <is>
          <t>876</t>
        </is>
      </c>
      <c r="C877" s="43" t="inlineStr">
        <is>
          <t>FJZP</t>
        </is>
      </c>
      <c r="D877" s="43" t="inlineStr">
        <is>
          <t>Cisco</t>
        </is>
      </c>
      <c r="E877" s="43" t="inlineStr">
        <is>
          <t>MCGA</t>
        </is>
      </c>
      <c r="F877" s="43" t="inlineStr">
        <is>
          <t>035-CVEBU</t>
        </is>
      </c>
      <c r="G877" s="43" t="inlineStr">
        <is>
          <t>CTANJZ04678</t>
        </is>
      </c>
      <c r="H877" s="43" t="inlineStr">
        <is>
          <t>For temporary Manufacturing process change</t>
        </is>
      </c>
      <c r="I877" s="43" t="inlineStr">
        <is>
          <t>Customer Deviation</t>
        </is>
      </c>
      <c r="J877" s="43" t="inlineStr">
        <is>
          <t>D604665</t>
        </is>
      </c>
      <c r="K877" s="33" t="inlineStr">
        <is>
          <t>D604665 CVEBU;HeliosCS-CAM-RVPTZ-C Cisco Room Vision PTZ Camera; Carbon Black  74-146086-01 CAMERA MODULE;4k;PTZ;HELIOS;CARBON BLACKSelectable option via Config sheet:CS-PWR-INJ-30W Power Injector 802.3at PoE+ 30W  341-100456-03 PWRSPLY-ADAPTER;ISOLATED;POE;AC;30.0 W...IPQ to Qualified: Microchip PD-9001GR/AT/AC-CSIQualified:        Phihong   POE29U-1AT(PL)C-R ZDue missing availability FCZ and FJZ is allowed to use instead:AIR-PWRINJ6 Power Injector (802.3at)  for Aironet Access Points  341-100456-02 PWRSPLY-ADAPTER;ISOLATED;POE;AC;30.0 W..Qualified: Microchip PD-9001GR/AT/AC-WN ZQualified: Phihong   POE29U-1AT(PL)C-R Z</t>
        </is>
      </c>
      <c r="L877" s="43" t="inlineStr">
        <is>
          <t>Expired</t>
        </is>
      </c>
      <c r="M877" s="43" t="inlineStr">
        <is>
          <t>74-146086-01</t>
        </is>
      </c>
      <c r="N877" s="43" t="inlineStr"/>
      <c r="O877" s="43" t="inlineStr">
        <is>
          <t>2025-09-17</t>
        </is>
      </c>
      <c r="P877" s="33" t="inlineStr">
        <is>
          <t>For temporary Manufacturing process change</t>
        </is>
      </c>
      <c r="Q877" s="43" t="inlineStr">
        <is>
          <t>No FFF change = &gt; No marking needed</t>
        </is>
      </c>
      <c r="R877" s="43" t="inlineStr">
        <is>
          <t>2025-06-20</t>
        </is>
      </c>
      <c r="S877" s="43" t="inlineStr">
        <is>
          <t>2025-07-01</t>
        </is>
      </c>
      <c r="T877" s="43" t="inlineStr"/>
      <c r="U877" s="43" t="inlineStr"/>
    </row>
    <row r="878">
      <c r="A878" s="43" t="n">
        <v>878</v>
      </c>
      <c r="B878" s="43" t="inlineStr">
        <is>
          <t>877</t>
        </is>
      </c>
      <c r="C878" s="43" t="inlineStr">
        <is>
          <t>FJZP</t>
        </is>
      </c>
      <c r="D878" s="43" t="inlineStr">
        <is>
          <t>Cisco</t>
        </is>
      </c>
      <c r="E878" s="43" t="inlineStr">
        <is>
          <t>MCGA</t>
        </is>
      </c>
      <c r="F878" s="43" t="inlineStr">
        <is>
          <t>035-CVEBU</t>
        </is>
      </c>
      <c r="G878" s="43" t="inlineStr">
        <is>
          <t>CTANJZ04680</t>
        </is>
      </c>
      <c r="H878" s="43" t="inlineStr">
        <is>
          <t>For temporary Manufacturing process change</t>
        </is>
      </c>
      <c r="I878" s="43" t="inlineStr">
        <is>
          <t>Customer Deviation</t>
        </is>
      </c>
      <c r="J878" s="43" t="inlineStr">
        <is>
          <t>D604676</t>
        </is>
      </c>
      <c r="K878" s="33" t="inlineStr">
        <is>
          <t>D604676 CVEBU;HeliosCS-CAM-RVPTZ-C Cisco Room Vision PTZ Camera; Carbon Black  74-146086-01 CAMERA MODULE;4k;PTZ;HELIOS;CARBON BLACKSelectable option via Config sheet:CS-PWR-INJ-30W Power Injector 802.3at PoE+ 30W  341-100456-03 PWRSPLY-ADAPTER;ISOLATED;POE;AC;30.0 W...IPQ:       Microchip PD-9001GR/AT/AC-CSIQualified: Phihong   POE29U-1AT(PL)C-R ZDue missing availability; FCZ and FJZ are allowed to use same Phihong MPN; but with previous version CPN:AIR-PWRINJ6 Power Injector (802.3at)  for Aironet Access Points  341-100456-02 PWRSPLY-ADAPTER;ISOLATED;POE;AC;30.0 W..Qualified: Phihong   POE29U-1AT(PL)C-R Z (100 pcs site balanced from FVE)</t>
        </is>
      </c>
      <c r="L878" s="43" t="inlineStr">
        <is>
          <t>Expired</t>
        </is>
      </c>
      <c r="M878" s="43" t="inlineStr">
        <is>
          <t>74-146086-01</t>
        </is>
      </c>
      <c r="N878" s="43" t="inlineStr"/>
      <c r="O878" s="43" t="inlineStr">
        <is>
          <t>2025-09-18</t>
        </is>
      </c>
      <c r="P878" s="33" t="inlineStr">
        <is>
          <t>For temporary Manufacturing process change</t>
        </is>
      </c>
      <c r="Q878" s="43" t="inlineStr">
        <is>
          <t>No FFF change =&gt; No marking needed</t>
        </is>
      </c>
      <c r="R878" s="43" t="inlineStr">
        <is>
          <t>2025-06-21</t>
        </is>
      </c>
      <c r="S878" s="43" t="inlineStr">
        <is>
          <t>2025-07-08</t>
        </is>
      </c>
      <c r="T878" s="43" t="inlineStr"/>
      <c r="U878" s="43" t="inlineStr"/>
    </row>
    <row r="879">
      <c r="A879" s="43" t="n">
        <v>879</v>
      </c>
      <c r="B879" s="43" t="inlineStr">
        <is>
          <t>878</t>
        </is>
      </c>
      <c r="C879" s="43" t="inlineStr">
        <is>
          <t>FJZP</t>
        </is>
      </c>
      <c r="D879" s="43" t="inlineStr">
        <is>
          <t>Cisco</t>
        </is>
      </c>
      <c r="E879" s="43" t="inlineStr">
        <is>
          <t>MCGA</t>
        </is>
      </c>
      <c r="F879" s="43" t="inlineStr">
        <is>
          <t>035-CVEBU</t>
        </is>
      </c>
      <c r="G879" s="43" t="inlineStr">
        <is>
          <t>CTANJZ04787</t>
        </is>
      </c>
      <c r="H879" s="43" t="inlineStr">
        <is>
          <t>For temporary Manufacturing process change</t>
        </is>
      </c>
      <c r="I879" s="43" t="inlineStr">
        <is>
          <t>Customer Deviation</t>
        </is>
      </c>
      <c r="J879" s="43" t="inlineStr">
        <is>
          <t>D605781</t>
        </is>
      </c>
      <c r="K879" s="33" t="inlineStr">
        <is>
          <t>D605781 CVEBU: Helios: Allow AVer to use 50% recycled plastic bag to pack the camera and 35% recycled plastic bag to pack cable cover.This Deviation is extension of the deviation# D604044</t>
        </is>
      </c>
      <c r="L879" s="43" t="inlineStr">
        <is>
          <t>Expired</t>
        </is>
      </c>
      <c r="M879" s="43" t="inlineStr">
        <is>
          <t>74-140219-01</t>
        </is>
      </c>
      <c r="N879" s="43" t="inlineStr"/>
      <c r="O879" s="43" t="inlineStr">
        <is>
          <t>2025-11-18</t>
        </is>
      </c>
      <c r="P879" s="33" t="inlineStr">
        <is>
          <t>For temporary Manufacturing process change</t>
        </is>
      </c>
      <c r="Q879" s="43" t="inlineStr">
        <is>
          <t>No marking required</t>
        </is>
      </c>
      <c r="R879" s="43" t="inlineStr">
        <is>
          <t>2025-08-21</t>
        </is>
      </c>
      <c r="S879" s="43" t="inlineStr">
        <is>
          <t>2025-08-28</t>
        </is>
      </c>
      <c r="T879" s="43" t="inlineStr"/>
      <c r="U879" s="43" t="inlineStr"/>
    </row>
    <row r="880">
      <c r="A880" s="43" t="n">
        <v>880</v>
      </c>
      <c r="B880" s="43" t="inlineStr">
        <is>
          <t>879</t>
        </is>
      </c>
      <c r="C880" s="43" t="inlineStr">
        <is>
          <t>FJZP</t>
        </is>
      </c>
      <c r="D880" s="43" t="inlineStr">
        <is>
          <t>Cisco</t>
        </is>
      </c>
      <c r="E880" s="43" t="inlineStr">
        <is>
          <t>MCGA</t>
        </is>
      </c>
      <c r="F880" s="43" t="inlineStr">
        <is>
          <t>035-CVEBU</t>
        </is>
      </c>
      <c r="G880" s="43" t="inlineStr">
        <is>
          <t>CTANJZ04787</t>
        </is>
      </c>
      <c r="H880" s="43" t="inlineStr">
        <is>
          <t>For temporary Manufacturing process change</t>
        </is>
      </c>
      <c r="I880" s="43" t="inlineStr">
        <is>
          <t>Customer Deviation</t>
        </is>
      </c>
      <c r="J880" s="43" t="inlineStr">
        <is>
          <t>D605781</t>
        </is>
      </c>
      <c r="K880" s="33" t="inlineStr">
        <is>
          <t>D605781 CVEBU: Helios: Allow AVer to use 50% recycled plastic bag to pack the camera and 35% recycled plastic bag to pack cable cover.This Deviation is extension of the deviation# D604044</t>
        </is>
      </c>
      <c r="L880" s="43" t="inlineStr">
        <is>
          <t>Expired</t>
        </is>
      </c>
      <c r="M880" s="43" t="inlineStr">
        <is>
          <t>74-140221-01</t>
        </is>
      </c>
      <c r="N880" s="43" t="inlineStr"/>
      <c r="O880" s="43" t="inlineStr">
        <is>
          <t>2025-11-18</t>
        </is>
      </c>
      <c r="P880" s="33" t="inlineStr">
        <is>
          <t>For temporary Manufacturing process change</t>
        </is>
      </c>
      <c r="Q880" s="43" t="inlineStr">
        <is>
          <t>No marking required</t>
        </is>
      </c>
      <c r="R880" s="43" t="inlineStr">
        <is>
          <t>2025-08-21</t>
        </is>
      </c>
      <c r="S880" s="43" t="inlineStr">
        <is>
          <t>2025-08-28</t>
        </is>
      </c>
      <c r="T880" s="43" t="inlineStr"/>
      <c r="U880" s="43" t="inlineStr"/>
    </row>
    <row r="881">
      <c r="A881" s="43" t="n">
        <v>881</v>
      </c>
      <c r="B881" s="43" t="inlineStr">
        <is>
          <t>880</t>
        </is>
      </c>
      <c r="C881" s="43" t="inlineStr">
        <is>
          <t>FJZP</t>
        </is>
      </c>
      <c r="D881" s="43" t="inlineStr">
        <is>
          <t>Cisco</t>
        </is>
      </c>
      <c r="E881" s="43" t="inlineStr">
        <is>
          <t>MCGA</t>
        </is>
      </c>
      <c r="F881" s="43" t="inlineStr">
        <is>
          <t>035-CVEBU</t>
        </is>
      </c>
      <c r="G881" s="43" t="inlineStr">
        <is>
          <t>CTANJZ04787</t>
        </is>
      </c>
      <c r="H881" s="43" t="inlineStr">
        <is>
          <t>For temporary Manufacturing process change</t>
        </is>
      </c>
      <c r="I881" s="43" t="inlineStr">
        <is>
          <t>Customer Deviation</t>
        </is>
      </c>
      <c r="J881" s="43" t="inlineStr">
        <is>
          <t>D605781</t>
        </is>
      </c>
      <c r="K881" s="33" t="inlineStr">
        <is>
          <t>D605781 CVEBU: Helios: Allow AVer to use 50% recycled plastic bag to pack the camera and 35% recycled plastic bag to pack cable cover.This Deviation is extension of the deviation# D604044</t>
        </is>
      </c>
      <c r="L881" s="43" t="inlineStr">
        <is>
          <t>Expired</t>
        </is>
      </c>
      <c r="M881" s="43" t="inlineStr">
        <is>
          <t>74-146086-01</t>
        </is>
      </c>
      <c r="N881" s="43" t="inlineStr"/>
      <c r="O881" s="43" t="inlineStr">
        <is>
          <t>2025-11-18</t>
        </is>
      </c>
      <c r="P881" s="33" t="inlineStr">
        <is>
          <t>For temporary Manufacturing process change</t>
        </is>
      </c>
      <c r="Q881" s="43" t="inlineStr">
        <is>
          <t>No marking required</t>
        </is>
      </c>
      <c r="R881" s="43" t="inlineStr">
        <is>
          <t>2025-08-21</t>
        </is>
      </c>
      <c r="S881" s="43" t="inlineStr">
        <is>
          <t>2025-08-28</t>
        </is>
      </c>
      <c r="T881" s="43" t="inlineStr"/>
      <c r="U881" s="43" t="inlineStr"/>
    </row>
    <row r="882">
      <c r="A882" s="43" t="n">
        <v>882</v>
      </c>
      <c r="B882" s="43" t="inlineStr">
        <is>
          <t>881</t>
        </is>
      </c>
      <c r="C882" s="43" t="inlineStr">
        <is>
          <t>FJZP</t>
        </is>
      </c>
      <c r="D882" s="43" t="inlineStr">
        <is>
          <t>Cisco</t>
        </is>
      </c>
      <c r="E882" s="43" t="inlineStr">
        <is>
          <t>MCGA</t>
        </is>
      </c>
      <c r="F882" s="43" t="inlineStr">
        <is>
          <t>035-CVEBU</t>
        </is>
      </c>
      <c r="G882" s="43" t="inlineStr">
        <is>
          <t>CTANJZ04787</t>
        </is>
      </c>
      <c r="H882" s="43" t="inlineStr">
        <is>
          <t>For temporary Manufacturing process change</t>
        </is>
      </c>
      <c r="I882" s="43" t="inlineStr">
        <is>
          <t>Customer Deviation</t>
        </is>
      </c>
      <c r="J882" s="43" t="inlineStr">
        <is>
          <t>D605781</t>
        </is>
      </c>
      <c r="K882" s="33" t="inlineStr">
        <is>
          <t>D605781 CVEBU: Helios: Allow AVer to use 50% recycled plastic bag to pack the camera and 35% recycled plastic bag to pack cable cover.This Deviation is extension of the deviation# D604044</t>
        </is>
      </c>
      <c r="L882" s="43" t="inlineStr">
        <is>
          <t>Expired</t>
        </is>
      </c>
      <c r="M882" s="43" t="inlineStr">
        <is>
          <t>74-146088-01</t>
        </is>
      </c>
      <c r="N882" s="43" t="inlineStr"/>
      <c r="O882" s="43" t="inlineStr">
        <is>
          <t>2025-11-18</t>
        </is>
      </c>
      <c r="P882" s="33" t="inlineStr">
        <is>
          <t>For temporary Manufacturing process change</t>
        </is>
      </c>
      <c r="Q882" s="43" t="inlineStr">
        <is>
          <t>No marking required</t>
        </is>
      </c>
      <c r="R882" s="43" t="inlineStr">
        <is>
          <t>2025-08-21</t>
        </is>
      </c>
      <c r="S882" s="43" t="inlineStr">
        <is>
          <t>2025-08-28</t>
        </is>
      </c>
      <c r="T882" s="43" t="inlineStr"/>
      <c r="U882" s="43" t="inlineStr"/>
    </row>
    <row r="883">
      <c r="A883" s="43" t="n">
        <v>883</v>
      </c>
      <c r="B883" s="43" t="inlineStr">
        <is>
          <t>882</t>
        </is>
      </c>
      <c r="C883" s="43" t="inlineStr">
        <is>
          <t>FJZP</t>
        </is>
      </c>
      <c r="D883" s="43" t="inlineStr">
        <is>
          <t>Cisco</t>
        </is>
      </c>
      <c r="E883" s="43" t="inlineStr">
        <is>
          <t>MCGA</t>
        </is>
      </c>
      <c r="F883" s="43" t="inlineStr">
        <is>
          <t>037-STBU</t>
        </is>
      </c>
      <c r="G883" s="43" t="inlineStr">
        <is>
          <t>CTANJZ04782</t>
        </is>
      </c>
      <c r="H883" s="43" t="inlineStr">
        <is>
          <t>For temporary Manufacturing process change</t>
        </is>
      </c>
      <c r="I883" s="43" t="inlineStr">
        <is>
          <t>Customer Deviation</t>
        </is>
      </c>
      <c r="J883" s="43" t="inlineStr">
        <is>
          <t>D605645</t>
        </is>
      </c>
      <c r="K883" s="33" t="inlineStr">
        <is>
          <t>D605645 FJZ can't ship AVC Fans (MPN: GND0456A70); until we know what the RC is of the 2C failures at cold tempEngineering is requesting additional information to discard FPGA Version issue</t>
        </is>
      </c>
      <c r="L883" s="43" t="inlineStr">
        <is>
          <t>Expired</t>
        </is>
      </c>
      <c r="M883" s="43" t="inlineStr">
        <is>
          <t>68-7253-05</t>
        </is>
      </c>
      <c r="N883" s="43" t="inlineStr"/>
      <c r="O883" s="43" t="inlineStr">
        <is>
          <t>2025-11-18</t>
        </is>
      </c>
      <c r="P883" s="33" t="inlineStr">
        <is>
          <t>For temporary Manufacturing process change</t>
        </is>
      </c>
      <c r="Q883" s="43" t="inlineStr">
        <is>
          <t>Don't ship AVC Fans with TPK 05 Version units</t>
        </is>
      </c>
      <c r="R883" s="43" t="inlineStr">
        <is>
          <t>2025-08-20</t>
        </is>
      </c>
      <c r="S883" s="43" t="inlineStr">
        <is>
          <t>2025-08-29</t>
        </is>
      </c>
      <c r="T883" s="43" t="inlineStr"/>
      <c r="U883" s="43" t="inlineStr"/>
    </row>
    <row r="884">
      <c r="A884" s="43" t="n">
        <v>884</v>
      </c>
      <c r="B884" s="43" t="inlineStr">
        <is>
          <t>883</t>
        </is>
      </c>
      <c r="C884" s="43" t="inlineStr">
        <is>
          <t>FJZP</t>
        </is>
      </c>
      <c r="D884" s="43" t="inlineStr">
        <is>
          <t>Cisco</t>
        </is>
      </c>
      <c r="E884" s="43" t="inlineStr">
        <is>
          <t>MCGA</t>
        </is>
      </c>
      <c r="F884" s="43" t="inlineStr">
        <is>
          <t>037-STBU</t>
        </is>
      </c>
      <c r="G884" s="43" t="inlineStr">
        <is>
          <t>CTANJZ04806</t>
        </is>
      </c>
      <c r="H884" s="43" t="inlineStr">
        <is>
          <t>For temporary Manufacturing process change</t>
        </is>
      </c>
      <c r="I884" s="43" t="inlineStr">
        <is>
          <t>Customer Deviation</t>
        </is>
      </c>
      <c r="J884" s="43" t="inlineStr">
        <is>
          <t>D605896</t>
        </is>
      </c>
      <c r="K884" s="33" t="inlineStr">
        <is>
          <t>D605896 NGFWBU-Westminster-FPR1000 Series:This deviation is to allow the CM FJZ to do the following to run a control build of WM DT and WM RM to validate changes on EA616081 as specified belowFor all Westminster ProductsFPR-1010 ( Build 5 SKU)FPR-1120 ( Build 5 SKU)FPR-1140 ( Build 5 SKU)FPR-1150 ( Build 3 SKU)FJZ CM to apply the following changes:1.) FJZ to upgrade the ROMMON FW 1.0.25 U7B_U8B; 17-100951-16 to  ROMMON FW 1.0.28 U7B_U8B; 17-100951-17 @ P2C with  fxos-k8-fp1k-firmware.1028.0207.SPARun all control product units through normal Manufacturing test all the way until DF and tested with all combination of SWProvide the test results with serial number to PE Aiseosa Omorogieva(Aomorogi) for reviewingSet boards assemblies aside; if test results are satisfactory and the PE gives approval then units can be mixed with production for customer shipments. If the units do not pass test then we need to hold them up and notify PE for further instruction.**  Cisco Support Team ***PLPM:   Pin MakEPE:    Aiseosa OmorogievaMPE: David AlbaniME:       Edgar BarronTE: Patricia ChavezTDE: Nirupama Padmanabhan</t>
        </is>
      </c>
      <c r="L884" s="43" t="inlineStr">
        <is>
          <t>Expired</t>
        </is>
      </c>
      <c r="M884" s="43" t="inlineStr">
        <is>
          <t>800-111297-01</t>
        </is>
      </c>
      <c r="N884" s="43" t="inlineStr"/>
      <c r="O884" s="43" t="inlineStr">
        <is>
          <t>2025-12-03</t>
        </is>
      </c>
      <c r="P884" s="33" t="inlineStr">
        <is>
          <t>For temporary Manufacturing process change</t>
        </is>
      </c>
      <c r="Q884" s="43" t="inlineStr">
        <is>
          <t>Place the deviation label on the top side on the PCBA and outside the chassis (pull out tag).</t>
        </is>
      </c>
      <c r="R884" s="43" t="inlineStr">
        <is>
          <t>2025-09-05</t>
        </is>
      </c>
      <c r="S884" s="43" t="inlineStr">
        <is>
          <t>2025-09-29</t>
        </is>
      </c>
      <c r="T884" s="43" t="inlineStr"/>
      <c r="U884" s="43" t="inlineStr"/>
    </row>
    <row r="885">
      <c r="A885" s="43" t="n">
        <v>885</v>
      </c>
      <c r="B885" s="43" t="inlineStr">
        <is>
          <t>884</t>
        </is>
      </c>
      <c r="C885" s="43" t="inlineStr">
        <is>
          <t>FJZP</t>
        </is>
      </c>
      <c r="D885" s="43" t="inlineStr">
        <is>
          <t>Cisco</t>
        </is>
      </c>
      <c r="E885" s="43" t="inlineStr">
        <is>
          <t>MCGA</t>
        </is>
      </c>
      <c r="F885" s="43" t="inlineStr">
        <is>
          <t>035-CVEBU</t>
        </is>
      </c>
      <c r="G885" s="43" t="inlineStr">
        <is>
          <t>CTANJZ04805</t>
        </is>
      </c>
      <c r="H885" s="43" t="inlineStr">
        <is>
          <t>For temporary Manufacturing process change</t>
        </is>
      </c>
      <c r="I885" s="43" t="inlineStr">
        <is>
          <t>Customer Deviation</t>
        </is>
      </c>
      <c r="J885" s="43" t="inlineStr">
        <is>
          <t>D605923</t>
        </is>
      </c>
      <c r="K885" s="33" t="inlineStr">
        <is>
          <t>D605923 CVEBU: CS-CAM-PTZ4K+; add a prefix SVP in front of the manufacturer Serial number. This is an extension of D602944</t>
        </is>
      </c>
      <c r="L885" s="43" t="inlineStr">
        <is>
          <t>Expired</t>
        </is>
      </c>
      <c r="M885" s="43" t="inlineStr">
        <is>
          <t>74-126086-02</t>
        </is>
      </c>
      <c r="N885" s="43" t="inlineStr"/>
      <c r="O885" s="43" t="inlineStr">
        <is>
          <t>2025-12-03</t>
        </is>
      </c>
      <c r="P885" s="33" t="inlineStr">
        <is>
          <t>For temporary Manufacturing process change</t>
        </is>
      </c>
      <c r="Q885" s="43" t="inlineStr">
        <is>
          <t>N/A</t>
        </is>
      </c>
      <c r="R885" s="43" t="inlineStr">
        <is>
          <t>2025-09-05</t>
        </is>
      </c>
      <c r="S885" s="43" t="inlineStr">
        <is>
          <t>2025-09-18</t>
        </is>
      </c>
      <c r="T885" s="43" t="inlineStr"/>
      <c r="U885" s="43" t="inlineStr"/>
    </row>
    <row r="886">
      <c r="A886" s="43" t="n">
        <v>886</v>
      </c>
      <c r="B886" s="43" t="inlineStr">
        <is>
          <t>885</t>
        </is>
      </c>
      <c r="C886" s="43" t="inlineStr">
        <is>
          <t>FJZP</t>
        </is>
      </c>
      <c r="D886" s="43" t="inlineStr">
        <is>
          <t>Cisco</t>
        </is>
      </c>
      <c r="E886" s="43" t="inlineStr">
        <is>
          <t>MCGA</t>
        </is>
      </c>
      <c r="F886" s="43" t="inlineStr">
        <is>
          <t>037-STBU</t>
        </is>
      </c>
      <c r="G886" s="43" t="inlineStr">
        <is>
          <t>CTANJZ04898</t>
        </is>
      </c>
      <c r="H886" s="43" t="inlineStr">
        <is>
          <t>For temporary Manufacturing process change</t>
        </is>
      </c>
      <c r="I886" s="43" t="inlineStr">
        <is>
          <t>Customer Deviation</t>
        </is>
      </c>
      <c r="J886" s="43" t="inlineStr">
        <is>
          <t>DP525313</t>
        </is>
      </c>
      <c r="K886" s="33" t="inlineStr">
        <is>
          <t>DP525313 This Prototype deviation will be used for Woodside Park P4 build at FJZ Mexico.1.     10 A0 PSUs(341-101623-02) and 2 A0 Fans(800-112580-01) will be used to finished the remaining P4 build SKU B 68-104575-04 only.</t>
        </is>
      </c>
      <c r="L886" s="43" t="inlineStr">
        <is>
          <t>Expired</t>
        </is>
      </c>
      <c r="M886" s="43" t="inlineStr">
        <is>
          <t>68-104575-04</t>
        </is>
      </c>
      <c r="N886" s="43" t="inlineStr"/>
      <c r="O886" s="43" t="inlineStr">
        <is>
          <t>2025-12-08</t>
        </is>
      </c>
      <c r="P886" s="33" t="inlineStr">
        <is>
          <t>For temporary Manufacturing process change</t>
        </is>
      </c>
      <c r="Q886" s="43" t="inlineStr">
        <is>
          <t>Place label on chassis where it is visible.</t>
        </is>
      </c>
      <c r="R886" s="43" t="inlineStr">
        <is>
          <t>2025-10-09</t>
        </is>
      </c>
      <c r="S886" s="43" t="inlineStr">
        <is>
          <t>2025-10-21</t>
        </is>
      </c>
      <c r="T886" s="43" t="inlineStr"/>
      <c r="U886" s="43" t="inlineStr"/>
    </row>
    <row r="887">
      <c r="A887" s="43" t="n">
        <v>887</v>
      </c>
      <c r="B887" s="43" t="inlineStr">
        <is>
          <t>886</t>
        </is>
      </c>
      <c r="C887" s="43" t="inlineStr">
        <is>
          <t>FJZP</t>
        </is>
      </c>
      <c r="D887" s="43" t="inlineStr">
        <is>
          <t>Cisco</t>
        </is>
      </c>
      <c r="E887" s="43" t="inlineStr">
        <is>
          <t>MCGA</t>
        </is>
      </c>
      <c r="F887" s="43" t="inlineStr">
        <is>
          <t>037-STBU</t>
        </is>
      </c>
      <c r="G887" s="43" t="inlineStr">
        <is>
          <t>CTANJZ04898</t>
        </is>
      </c>
      <c r="H887" s="43" t="inlineStr">
        <is>
          <t>For temporary Manufacturing process change</t>
        </is>
      </c>
      <c r="I887" s="43" t="inlineStr">
        <is>
          <t>Customer Deviation</t>
        </is>
      </c>
      <c r="J887" s="43" t="inlineStr">
        <is>
          <t>DP525313</t>
        </is>
      </c>
      <c r="K887" s="33" t="inlineStr">
        <is>
          <t>DP525313 This Prototype deviation will be used for Woodside Park P4 build at FJZ Mexico.1.     10 A0 PSUs(341-101623-02) and 2 A0 Fans(800-112580-01) will be used to finished the remaining P4 build SKU B 68-104575-04 only.</t>
        </is>
      </c>
      <c r="L887" s="43" t="inlineStr">
        <is>
          <t>Expired</t>
        </is>
      </c>
      <c r="M887" s="43" t="inlineStr">
        <is>
          <t>800-112582-04</t>
        </is>
      </c>
      <c r="N887" s="43" t="inlineStr"/>
      <c r="O887" s="43" t="inlineStr">
        <is>
          <t>2025-12-08</t>
        </is>
      </c>
      <c r="P887" s="33" t="inlineStr">
        <is>
          <t>For temporary Manufacturing process change</t>
        </is>
      </c>
      <c r="Q887" s="43" t="inlineStr">
        <is>
          <t>Place label on chassis where it is visible.</t>
        </is>
      </c>
      <c r="R887" s="43" t="inlineStr">
        <is>
          <t>2025-10-09</t>
        </is>
      </c>
      <c r="S887" s="43" t="inlineStr">
        <is>
          <t>2025-10-21</t>
        </is>
      </c>
      <c r="T887" s="43" t="inlineStr"/>
      <c r="U887" s="43" t="inlineStr"/>
    </row>
    <row r="888">
      <c r="A888" s="43" t="n">
        <v>888</v>
      </c>
      <c r="B888" s="43" t="inlineStr">
        <is>
          <t>887</t>
        </is>
      </c>
      <c r="C888" s="43" t="inlineStr">
        <is>
          <t>FJZP</t>
        </is>
      </c>
      <c r="D888" s="43" t="inlineStr">
        <is>
          <t>Cisco</t>
        </is>
      </c>
      <c r="E888" s="43" t="inlineStr">
        <is>
          <t>MCGA</t>
        </is>
      </c>
      <c r="F888" s="43" t="inlineStr">
        <is>
          <t>037-STBU</t>
        </is>
      </c>
      <c r="G888" s="43" t="inlineStr">
        <is>
          <t>CTANJZ04901</t>
        </is>
      </c>
      <c r="H888" s="43" t="inlineStr">
        <is>
          <t>For temporary Manufacturing process change</t>
        </is>
      </c>
      <c r="I888" s="43" t="inlineStr">
        <is>
          <t>Customer Deviation</t>
        </is>
      </c>
      <c r="J888" s="43" t="inlineStr">
        <is>
          <t>DP525192</t>
        </is>
      </c>
      <c r="K888" s="33" t="inlineStr">
        <is>
          <t>DP525192 This Prototype deviation will be used for Woodside Park Pre-Pilot build at FJZ Mexico.1. For Batch units; please run them normally on LED/P2/2C (scanning the 800-pn and FJZ SN)o Provide a list of all FJZ Serial Numbers in this batch process to Adrian Liu.o This is needed in order to start batch process.o Reference email from Adrian Liu for extra context on this process.2.     FAI suggested Fixtures will arrive Aug 11. Please follow deviation on disposition of these units.o All SKU-A goes thru DIMM automationo 5 SKU-B goes thru DIMM automation toolo 5 SKU-B thru new fixtures.3. RETEST UNIT: deviation coming up.o Please bring back 10 units from DF and any new units passed 2C hold off for this control runo Any units that pass that  2C 8/1 - 8/2 include in retest control run.o Identify all Serial number before batch test start. Add a tab to DBN to monitor test. Ricardo by 8/2/25o Control Test RUN per agreement should start on 8/5/25o DO NOT RUN ANY OTHER UNITS AT TEST UNTIL THESE CONTROL RUN IS COMPLETED.o The control run retest units are to be run from PCBLED thru 2C.    ? No disassociation of units.    ? Any new failure contact Adrian ASAP.4.     FJZ is allowed to use cancelled status MPN 3A61-780-WPR for 800-112718-02.        FJZ can use revision -06 of the accessory kit 53-101728-01.5.     FJZ is allowed to use 700-138393-01 with cancelled Hardware Specialty Comp MPN: 1363472.</t>
        </is>
      </c>
      <c r="L888" s="43" t="inlineStr">
        <is>
          <t>Expired</t>
        </is>
      </c>
      <c r="M888" s="43" t="inlineStr">
        <is>
          <t>68-104574-04</t>
        </is>
      </c>
      <c r="N888" s="43" t="inlineStr"/>
      <c r="O888" s="43" t="inlineStr">
        <is>
          <t>2025-12-08</t>
        </is>
      </c>
      <c r="P888" s="33" t="inlineStr">
        <is>
          <t>For temporary Manufacturing process change</t>
        </is>
      </c>
      <c r="Q888" s="43" t="inlineStr">
        <is>
          <t>Place deviation label on pull tab.</t>
        </is>
      </c>
      <c r="R888" s="43" t="inlineStr">
        <is>
          <t>2025-10-09</t>
        </is>
      </c>
      <c r="S888" s="43" t="inlineStr">
        <is>
          <t>2025-10-25</t>
        </is>
      </c>
      <c r="T888" s="43" t="inlineStr"/>
      <c r="U888" s="43" t="inlineStr"/>
    </row>
    <row r="889">
      <c r="A889" s="43" t="n">
        <v>889</v>
      </c>
      <c r="B889" s="43" t="inlineStr">
        <is>
          <t>888</t>
        </is>
      </c>
      <c r="C889" s="43" t="inlineStr">
        <is>
          <t>FJZP</t>
        </is>
      </c>
      <c r="D889" s="43" t="inlineStr">
        <is>
          <t>Cisco</t>
        </is>
      </c>
      <c r="E889" s="43" t="inlineStr">
        <is>
          <t>MCGA</t>
        </is>
      </c>
      <c r="F889" s="43" t="inlineStr">
        <is>
          <t>037-STBU</t>
        </is>
      </c>
      <c r="G889" s="43" t="inlineStr">
        <is>
          <t>CTANJZ04901</t>
        </is>
      </c>
      <c r="H889" s="43" t="inlineStr">
        <is>
          <t>For temporary Manufacturing process change</t>
        </is>
      </c>
      <c r="I889" s="43" t="inlineStr">
        <is>
          <t>Customer Deviation</t>
        </is>
      </c>
      <c r="J889" s="43" t="inlineStr">
        <is>
          <t>DP525192</t>
        </is>
      </c>
      <c r="K889" s="33" t="inlineStr">
        <is>
          <t>DP525192 This Prototype deviation will be used for Woodside Park Pre-Pilot build at FJZ Mexico.1. For Batch units; please run them normally on LED/P2/2C (scanning the 800-pn and FJZ SN)o Provide a list of all FJZ Serial Numbers in this batch process to Adrian Liu.o This is needed in order to start batch process.o Reference email from Adrian Liu for extra context on this process.2.     FAI suggested Fixtures will arrive Aug 11. Please follow deviation on disposition of these units.o All SKU-A goes thru DIMM automationo 5 SKU-B goes thru DIMM automation toolo 5 SKU-B thru new fixtures.3. RETEST UNIT: deviation coming up.o Please bring back 10 units from DF and any new units passed 2C hold off for this control runo Any units that pass that  2C 8/1 - 8/2 include in retest control run.o Identify all Serial number before batch test start. Add a tab to DBN to monitor test. Ricardo by 8/2/25o Control Test RUN per agreement should start on 8/5/25o DO NOT RUN ANY OTHER UNITS AT TEST UNTIL THESE CONTROL RUN IS COMPLETED.o The control run retest units are to be run from PCBLED thru 2C.    ? No disassociation of units.    ? Any new failure contact Adrian ASAP.4.     FJZ is allowed to use cancelled status MPN 3A61-780-WPR for 800-112718-02.        FJZ can use revision -06 of the accessory kit 53-101728-01.5.     FJZ is allowed to use 700-138393-01 with cancelled Hardware Specialty Comp MPN: 1363472.</t>
        </is>
      </c>
      <c r="L889" s="43" t="inlineStr">
        <is>
          <t>Expired</t>
        </is>
      </c>
      <c r="M889" s="43" t="inlineStr">
        <is>
          <t>68-104575-04</t>
        </is>
      </c>
      <c r="N889" s="43" t="inlineStr"/>
      <c r="O889" s="43" t="inlineStr">
        <is>
          <t>2025-12-08</t>
        </is>
      </c>
      <c r="P889" s="33" t="inlineStr">
        <is>
          <t>For temporary Manufacturing process change</t>
        </is>
      </c>
      <c r="Q889" s="43" t="inlineStr">
        <is>
          <t>Place deviation label on pull tab.</t>
        </is>
      </c>
      <c r="R889" s="43" t="inlineStr">
        <is>
          <t>2025-10-09</t>
        </is>
      </c>
      <c r="S889" s="43" t="inlineStr">
        <is>
          <t>2025-10-25</t>
        </is>
      </c>
      <c r="T889" s="43" t="inlineStr"/>
      <c r="U889" s="43" t="inlineStr"/>
    </row>
    <row r="890">
      <c r="A890" s="43" t="n">
        <v>890</v>
      </c>
      <c r="B890" s="43" t="inlineStr">
        <is>
          <t>889</t>
        </is>
      </c>
      <c r="C890" s="43" t="inlineStr">
        <is>
          <t>FJZP</t>
        </is>
      </c>
      <c r="D890" s="43" t="inlineStr">
        <is>
          <t>Cisco</t>
        </is>
      </c>
      <c r="E890" s="43" t="inlineStr">
        <is>
          <t>MCGA</t>
        </is>
      </c>
      <c r="F890" s="43" t="inlineStr">
        <is>
          <t>018-SRGBU</t>
        </is>
      </c>
      <c r="G890" s="43" t="inlineStr">
        <is>
          <t>CTANJZ04749</t>
        </is>
      </c>
      <c r="H890" s="43" t="inlineStr">
        <is>
          <t>For temporary Manufacturing process change</t>
        </is>
      </c>
      <c r="I890" s="43" t="inlineStr">
        <is>
          <t>Customer Deviation</t>
        </is>
      </c>
      <c r="J890" s="43" t="inlineStr">
        <is>
          <t>D603796</t>
        </is>
      </c>
      <c r="K890" s="33" t="inlineStr">
        <is>
          <t>D603796 Allow FJZ to upgrade the Firmware of the 16-102058-01  ( 800-50421-02) to FW 450 or newer</t>
        </is>
      </c>
      <c r="L890" s="43" t="inlineStr">
        <is>
          <t>Expired</t>
        </is>
      </c>
      <c r="M890" s="43" t="inlineStr">
        <is>
          <t>16-102058-01</t>
        </is>
      </c>
      <c r="N890" s="43" t="inlineStr"/>
      <c r="O890" s="43" t="inlineStr">
        <is>
          <t>2025-10-26</t>
        </is>
      </c>
      <c r="P890" s="33" t="inlineStr">
        <is>
          <t>For temporary Manufacturing process change</t>
        </is>
      </c>
      <c r="Q890" s="43" t="inlineStr">
        <is>
          <t>Add small label  with the deviation number in the SSD</t>
        </is>
      </c>
      <c r="R890" s="43" t="inlineStr">
        <is>
          <t>2025-07-28</t>
        </is>
      </c>
      <c r="S890" s="43" t="inlineStr">
        <is>
          <t>2025-08-05</t>
        </is>
      </c>
      <c r="T890" s="43" t="inlineStr"/>
      <c r="U890" s="43" t="inlineStr"/>
    </row>
    <row r="891">
      <c r="A891" s="43" t="n">
        <v>891</v>
      </c>
      <c r="B891" s="43" t="inlineStr">
        <is>
          <t>890</t>
        </is>
      </c>
      <c r="C891" s="43" t="inlineStr">
        <is>
          <t>FJZP</t>
        </is>
      </c>
      <c r="D891" s="43" t="inlineStr">
        <is>
          <t>Cisco</t>
        </is>
      </c>
      <c r="E891" s="43" t="inlineStr">
        <is>
          <t>MCGA</t>
        </is>
      </c>
      <c r="F891" s="43" t="inlineStr">
        <is>
          <t>018-SRGBU</t>
        </is>
      </c>
      <c r="G891" s="43" t="inlineStr">
        <is>
          <t>CTANJZ04749</t>
        </is>
      </c>
      <c r="H891" s="43" t="inlineStr">
        <is>
          <t>For temporary Manufacturing process change</t>
        </is>
      </c>
      <c r="I891" s="43" t="inlineStr">
        <is>
          <t>Customer Deviation</t>
        </is>
      </c>
      <c r="J891" s="43" t="inlineStr">
        <is>
          <t>D603796</t>
        </is>
      </c>
      <c r="K891" s="33" t="inlineStr">
        <is>
          <t>D603796 Allow FJZ to upgrade the Firmware of the 16-102058-01  ( 800-50421-02) to FW 450 or newer</t>
        </is>
      </c>
      <c r="L891" s="43" t="inlineStr">
        <is>
          <t>Expired</t>
        </is>
      </c>
      <c r="M891" s="43" t="inlineStr">
        <is>
          <t>800-50421-02</t>
        </is>
      </c>
      <c r="N891" s="43" t="inlineStr"/>
      <c r="O891" s="43" t="inlineStr">
        <is>
          <t>2025-10-26</t>
        </is>
      </c>
      <c r="P891" s="33" t="inlineStr">
        <is>
          <t>For temporary Manufacturing process change</t>
        </is>
      </c>
      <c r="Q891" s="43" t="inlineStr">
        <is>
          <t>Add small label  with the deviation number in the SSD</t>
        </is>
      </c>
      <c r="R891" s="43" t="inlineStr">
        <is>
          <t>2025-07-28</t>
        </is>
      </c>
      <c r="S891" s="43" t="inlineStr">
        <is>
          <t>2025-08-05</t>
        </is>
      </c>
      <c r="T891" s="43" t="inlineStr"/>
      <c r="U891" s="43" t="inlineStr"/>
    </row>
    <row r="892">
      <c r="A892" s="43" t="n">
        <v>892</v>
      </c>
      <c r="B892" s="43" t="inlineStr">
        <is>
          <t>891</t>
        </is>
      </c>
      <c r="C892" s="43" t="inlineStr">
        <is>
          <t>FJZP</t>
        </is>
      </c>
      <c r="D892" s="43" t="inlineStr">
        <is>
          <t>Cisco</t>
        </is>
      </c>
      <c r="E892" s="43" t="inlineStr">
        <is>
          <t>MCGA</t>
        </is>
      </c>
      <c r="F892" s="43" t="inlineStr">
        <is>
          <t>037-STBU</t>
        </is>
      </c>
      <c r="G892" s="43" t="inlineStr">
        <is>
          <t>CTANJZ04754</t>
        </is>
      </c>
      <c r="H892" s="43" t="inlineStr">
        <is>
          <t>For temporary Manufacturing process change</t>
        </is>
      </c>
      <c r="I892" s="43" t="inlineStr">
        <is>
          <t>Customer Deviation</t>
        </is>
      </c>
      <c r="J892" s="43" t="inlineStr">
        <is>
          <t>D605279</t>
        </is>
      </c>
      <c r="K892" s="33" t="inlineStr">
        <is>
          <t>D605279 Allow FJZ to reidentify the carrier 800-110793-01 rev 03 for 800-110793-01 rev A0</t>
        </is>
      </c>
      <c r="L892" s="43" t="inlineStr">
        <is>
          <t>Expired</t>
        </is>
      </c>
      <c r="M892" s="43" t="inlineStr">
        <is>
          <t>800-110793-01</t>
        </is>
      </c>
      <c r="N892" s="43" t="inlineStr"/>
      <c r="O892" s="43" t="inlineStr">
        <is>
          <t>2025-10-27</t>
        </is>
      </c>
      <c r="P892" s="33" t="inlineStr">
        <is>
          <t>For temporary Manufacturing process change</t>
        </is>
      </c>
      <c r="Q892" s="43" t="inlineStr">
        <is>
          <t>1. FJZ change the label with rev 03 for rev A0 of the carrier 800-110793-01</t>
        </is>
      </c>
      <c r="R892" s="43" t="inlineStr">
        <is>
          <t>2025-07-29</t>
        </is>
      </c>
      <c r="S892" s="43" t="inlineStr">
        <is>
          <t>2025-08-14</t>
        </is>
      </c>
      <c r="T892" s="43" t="inlineStr"/>
      <c r="U892" s="43" t="inlineStr"/>
    </row>
    <row r="893">
      <c r="A893" s="43" t="n">
        <v>893</v>
      </c>
      <c r="B893" s="43" t="inlineStr">
        <is>
          <t>892</t>
        </is>
      </c>
      <c r="C893" s="43" t="inlineStr">
        <is>
          <t>FJZP</t>
        </is>
      </c>
      <c r="D893" s="43" t="inlineStr">
        <is>
          <t>Cisco</t>
        </is>
      </c>
      <c r="E893" s="43" t="inlineStr">
        <is>
          <t>MCGA</t>
        </is>
      </c>
      <c r="F893" s="43" t="inlineStr">
        <is>
          <t>034-IOTBU</t>
        </is>
      </c>
      <c r="G893" s="43" t="inlineStr">
        <is>
          <t>CTANJZ04758</t>
        </is>
      </c>
      <c r="H893" s="43" t="inlineStr">
        <is>
          <t>For temporary Manufacturing process change</t>
        </is>
      </c>
      <c r="I893" s="43" t="inlineStr">
        <is>
          <t>Customer Deviation</t>
        </is>
      </c>
      <c r="J893" s="43" t="inlineStr">
        <is>
          <t>D605395</t>
        </is>
      </c>
      <c r="K893" s="33" t="inlineStr">
        <is>
          <t>D605395 To authorize the use of SAMSUNG SEMICONDUCTORS K4A8G085WG-BIWE which was risk purchased under deviation no- D605288 currently listed in IPQ status under CPN 15-105197-01.</t>
        </is>
      </c>
      <c r="L893" s="43" t="inlineStr">
        <is>
          <t>Expired</t>
        </is>
      </c>
      <c r="M893" s="43" t="inlineStr">
        <is>
          <t>15-105197-01</t>
        </is>
      </c>
      <c r="N893" s="43" t="inlineStr"/>
      <c r="O893" s="43" t="inlineStr">
        <is>
          <t>2025-10-29</t>
        </is>
      </c>
      <c r="P893" s="33" t="inlineStr">
        <is>
          <t>For temporary Manufacturing process change</t>
        </is>
      </c>
      <c r="Q893" s="43" t="inlineStr">
        <is>
          <t>Apply label to PCBA and TAN exhibiting the Deviation number.</t>
        </is>
      </c>
      <c r="R893" s="43" t="inlineStr">
        <is>
          <t>2025-07-31</t>
        </is>
      </c>
      <c r="S893" s="43" t="inlineStr">
        <is>
          <t>2025-08-06</t>
        </is>
      </c>
      <c r="T893" s="43" t="inlineStr"/>
      <c r="U893" s="43" t="inlineStr"/>
    </row>
    <row r="894">
      <c r="A894" s="43" t="n">
        <v>894</v>
      </c>
      <c r="B894" s="43" t="inlineStr">
        <is>
          <t>893</t>
        </is>
      </c>
      <c r="C894" s="43" t="inlineStr">
        <is>
          <t>FJZP</t>
        </is>
      </c>
      <c r="D894" s="43" t="inlineStr">
        <is>
          <t>Cisco</t>
        </is>
      </c>
      <c r="E894" s="43" t="inlineStr">
        <is>
          <t>MCGA</t>
        </is>
      </c>
      <c r="F894" s="43" t="inlineStr">
        <is>
          <t>034-IOTBU</t>
        </is>
      </c>
      <c r="G894" s="43" t="inlineStr">
        <is>
          <t>CTANJZ04758</t>
        </is>
      </c>
      <c r="H894" s="43" t="inlineStr">
        <is>
          <t>For temporary Manufacturing process change</t>
        </is>
      </c>
      <c r="I894" s="43" t="inlineStr">
        <is>
          <t>Customer Deviation</t>
        </is>
      </c>
      <c r="J894" s="43" t="inlineStr">
        <is>
          <t>D605395</t>
        </is>
      </c>
      <c r="K894" s="33" t="inlineStr">
        <is>
          <t>D605395 To authorize the use of SAMSUNG SEMICONDUCTORS K4A8G085WG-BIWE which was risk purchased under deviation no- D605288 currently listed in IPQ status under CPN 15-105197-01.</t>
        </is>
      </c>
      <c r="L894" s="43" t="inlineStr">
        <is>
          <t>Expired</t>
        </is>
      </c>
      <c r="M894" s="43" t="inlineStr">
        <is>
          <t>68-101690-01</t>
        </is>
      </c>
      <c r="N894" s="43" t="inlineStr"/>
      <c r="O894" s="43" t="inlineStr">
        <is>
          <t>2025-10-29</t>
        </is>
      </c>
      <c r="P894" s="33" t="inlineStr">
        <is>
          <t>For temporary Manufacturing process change</t>
        </is>
      </c>
      <c r="Q894" s="43" t="inlineStr">
        <is>
          <t>Apply label to PCBA and TAN exhibiting the Deviation number.</t>
        </is>
      </c>
      <c r="R894" s="43" t="inlineStr">
        <is>
          <t>2025-07-31</t>
        </is>
      </c>
      <c r="S894" s="43" t="inlineStr">
        <is>
          <t>2025-08-06</t>
        </is>
      </c>
      <c r="T894" s="43" t="inlineStr"/>
      <c r="U894" s="43" t="inlineStr"/>
    </row>
    <row r="895">
      <c r="A895" s="43" t="n">
        <v>895</v>
      </c>
      <c r="B895" s="43" t="inlineStr">
        <is>
          <t>894</t>
        </is>
      </c>
      <c r="C895" s="43" t="inlineStr">
        <is>
          <t>FJZP</t>
        </is>
      </c>
      <c r="D895" s="43" t="inlineStr">
        <is>
          <t>Cisco</t>
        </is>
      </c>
      <c r="E895" s="43" t="inlineStr">
        <is>
          <t>MCGA</t>
        </is>
      </c>
      <c r="F895" s="43" t="inlineStr">
        <is>
          <t>034-IOTBU</t>
        </is>
      </c>
      <c r="G895" s="43" t="inlineStr">
        <is>
          <t>CTANJZ04758</t>
        </is>
      </c>
      <c r="H895" s="43" t="inlineStr">
        <is>
          <t>For temporary Manufacturing process change</t>
        </is>
      </c>
      <c r="I895" s="43" t="inlineStr">
        <is>
          <t>Customer Deviation</t>
        </is>
      </c>
      <c r="J895" s="43" t="inlineStr">
        <is>
          <t>D605395</t>
        </is>
      </c>
      <c r="K895" s="33" t="inlineStr">
        <is>
          <t>D605395 To authorize the use of SAMSUNG SEMICONDUCTORS K4A8G085WG-BIWE which was risk purchased under deviation no- D605288 currently listed in IPQ status under CPN 15-105197-01.</t>
        </is>
      </c>
      <c r="L895" s="43" t="inlineStr">
        <is>
          <t>Expired</t>
        </is>
      </c>
      <c r="M895" s="43" t="inlineStr">
        <is>
          <t>68-101828-01</t>
        </is>
      </c>
      <c r="N895" s="43" t="inlineStr"/>
      <c r="O895" s="43" t="inlineStr">
        <is>
          <t>2025-10-29</t>
        </is>
      </c>
      <c r="P895" s="33" t="inlineStr">
        <is>
          <t>For temporary Manufacturing process change</t>
        </is>
      </c>
      <c r="Q895" s="43" t="inlineStr">
        <is>
          <t>Apply label to PCBA and TAN exhibiting the Deviation number.</t>
        </is>
      </c>
      <c r="R895" s="43" t="inlineStr">
        <is>
          <t>2025-07-31</t>
        </is>
      </c>
      <c r="S895" s="43" t="inlineStr">
        <is>
          <t>2025-08-06</t>
        </is>
      </c>
      <c r="T895" s="43" t="inlineStr"/>
      <c r="U895" s="43" t="inlineStr"/>
    </row>
    <row r="896">
      <c r="A896" s="43" t="n">
        <v>896</v>
      </c>
      <c r="B896" s="43" t="inlineStr">
        <is>
          <t>895</t>
        </is>
      </c>
      <c r="C896" s="43" t="inlineStr">
        <is>
          <t>FJZP</t>
        </is>
      </c>
      <c r="D896" s="43" t="inlineStr">
        <is>
          <t>Cisco</t>
        </is>
      </c>
      <c r="E896" s="43" t="inlineStr">
        <is>
          <t>MCGA</t>
        </is>
      </c>
      <c r="F896" s="43" t="inlineStr">
        <is>
          <t>034-IOTBU</t>
        </is>
      </c>
      <c r="G896" s="43" t="inlineStr">
        <is>
          <t>CTANJZ04758</t>
        </is>
      </c>
      <c r="H896" s="43" t="inlineStr">
        <is>
          <t>For temporary Manufacturing process change</t>
        </is>
      </c>
      <c r="I896" s="43" t="inlineStr">
        <is>
          <t>Customer Deviation</t>
        </is>
      </c>
      <c r="J896" s="43" t="inlineStr">
        <is>
          <t>D605395</t>
        </is>
      </c>
      <c r="K896" s="33" t="inlineStr">
        <is>
          <t>D605395 To authorize the use of SAMSUNG SEMICONDUCTORS K4A8G085WG-BIWE which was risk purchased under deviation no- D605288 currently listed in IPQ status under CPN 15-105197-01.</t>
        </is>
      </c>
      <c r="L896" s="43" t="inlineStr">
        <is>
          <t>Expired</t>
        </is>
      </c>
      <c r="M896" s="43" t="inlineStr">
        <is>
          <t>68-102729-01</t>
        </is>
      </c>
      <c r="N896" s="43" t="inlineStr"/>
      <c r="O896" s="43" t="inlineStr">
        <is>
          <t>2025-10-29</t>
        </is>
      </c>
      <c r="P896" s="33" t="inlineStr">
        <is>
          <t>For temporary Manufacturing process change</t>
        </is>
      </c>
      <c r="Q896" s="43" t="inlineStr">
        <is>
          <t>Apply label to PCBA and TAN exhibiting the Deviation number.</t>
        </is>
      </c>
      <c r="R896" s="43" t="inlineStr">
        <is>
          <t>2025-07-31</t>
        </is>
      </c>
      <c r="S896" s="43" t="inlineStr">
        <is>
          <t>2025-08-06</t>
        </is>
      </c>
      <c r="T896" s="43" t="inlineStr"/>
      <c r="U896" s="43" t="inlineStr"/>
    </row>
    <row r="897">
      <c r="A897" s="43" t="n">
        <v>897</v>
      </c>
      <c r="B897" s="43" t="inlineStr">
        <is>
          <t>896</t>
        </is>
      </c>
      <c r="C897" s="43" t="inlineStr">
        <is>
          <t>FJZP</t>
        </is>
      </c>
      <c r="D897" s="43" t="inlineStr">
        <is>
          <t>Cisco</t>
        </is>
      </c>
      <c r="E897" s="43" t="inlineStr">
        <is>
          <t>MCGA</t>
        </is>
      </c>
      <c r="F897" s="43" t="inlineStr">
        <is>
          <t>034-IOTBU</t>
        </is>
      </c>
      <c r="G897" s="43" t="inlineStr">
        <is>
          <t>CTANJZ04758</t>
        </is>
      </c>
      <c r="H897" s="43" t="inlineStr">
        <is>
          <t>For temporary Manufacturing process change</t>
        </is>
      </c>
      <c r="I897" s="43" t="inlineStr">
        <is>
          <t>Customer Deviation</t>
        </is>
      </c>
      <c r="J897" s="43" t="inlineStr">
        <is>
          <t>D605395</t>
        </is>
      </c>
      <c r="K897" s="33" t="inlineStr">
        <is>
          <t>D605395 To authorize the use of SAMSUNG SEMICONDUCTORS K4A8G085WG-BIWE which was risk purchased under deviation no- D605288 currently listed in IPQ status under CPN 15-105197-01.</t>
        </is>
      </c>
      <c r="L897" s="43" t="inlineStr">
        <is>
          <t>Expired</t>
        </is>
      </c>
      <c r="M897" s="43" t="inlineStr">
        <is>
          <t>68-102730-01</t>
        </is>
      </c>
      <c r="N897" s="43" t="inlineStr"/>
      <c r="O897" s="43" t="inlineStr">
        <is>
          <t>2025-10-29</t>
        </is>
      </c>
      <c r="P897" s="33" t="inlineStr">
        <is>
          <t>For temporary Manufacturing process change</t>
        </is>
      </c>
      <c r="Q897" s="43" t="inlineStr">
        <is>
          <t>Apply label to PCBA and TAN exhibiting the Deviation number.</t>
        </is>
      </c>
      <c r="R897" s="43" t="inlineStr">
        <is>
          <t>2025-07-31</t>
        </is>
      </c>
      <c r="S897" s="43" t="inlineStr">
        <is>
          <t>2025-08-06</t>
        </is>
      </c>
      <c r="T897" s="43" t="inlineStr"/>
      <c r="U897" s="43" t="inlineStr"/>
    </row>
    <row r="898">
      <c r="A898" s="43" t="n">
        <v>898</v>
      </c>
      <c r="B898" s="43" t="inlineStr">
        <is>
          <t>897</t>
        </is>
      </c>
      <c r="C898" s="43" t="inlineStr">
        <is>
          <t>FJZP</t>
        </is>
      </c>
      <c r="D898" s="43" t="inlineStr">
        <is>
          <t>Cisco</t>
        </is>
      </c>
      <c r="E898" s="43" t="inlineStr">
        <is>
          <t>MCGA</t>
        </is>
      </c>
      <c r="F898" s="43" t="inlineStr">
        <is>
          <t>034-IOTBU</t>
        </is>
      </c>
      <c r="G898" s="43" t="inlineStr">
        <is>
          <t>CTANJZ04758</t>
        </is>
      </c>
      <c r="H898" s="43" t="inlineStr">
        <is>
          <t>For temporary Manufacturing process change</t>
        </is>
      </c>
      <c r="I898" s="43" t="inlineStr">
        <is>
          <t>Customer Deviation</t>
        </is>
      </c>
      <c r="J898" s="43" t="inlineStr">
        <is>
          <t>D605395</t>
        </is>
      </c>
      <c r="K898" s="33" t="inlineStr">
        <is>
          <t>D605395 To authorize the use of SAMSUNG SEMICONDUCTORS K4A8G085WG-BIWE which was risk purchased under deviation no- D605288 currently listed in IPQ status under CPN 15-105197-01.</t>
        </is>
      </c>
      <c r="L898" s="43" t="inlineStr">
        <is>
          <t>Expired</t>
        </is>
      </c>
      <c r="M898" s="43" t="inlineStr">
        <is>
          <t>68-102799-01</t>
        </is>
      </c>
      <c r="N898" s="43" t="inlineStr"/>
      <c r="O898" s="43" t="inlineStr">
        <is>
          <t>2025-10-29</t>
        </is>
      </c>
      <c r="P898" s="33" t="inlineStr">
        <is>
          <t>For temporary Manufacturing process change</t>
        </is>
      </c>
      <c r="Q898" s="43" t="inlineStr">
        <is>
          <t>Apply label to PCBA and TAN exhibiting the Deviation number.</t>
        </is>
      </c>
      <c r="R898" s="43" t="inlineStr">
        <is>
          <t>2025-07-31</t>
        </is>
      </c>
      <c r="S898" s="43" t="inlineStr">
        <is>
          <t>2025-08-06</t>
        </is>
      </c>
      <c r="T898" s="43" t="inlineStr"/>
      <c r="U898" s="43" t="inlineStr"/>
    </row>
    <row r="899">
      <c r="A899" s="43" t="n">
        <v>899</v>
      </c>
      <c r="B899" s="43" t="inlineStr">
        <is>
          <t>898</t>
        </is>
      </c>
      <c r="C899" s="43" t="inlineStr">
        <is>
          <t>FJZP</t>
        </is>
      </c>
      <c r="D899" s="43" t="inlineStr">
        <is>
          <t>Cisco</t>
        </is>
      </c>
      <c r="E899" s="43" t="inlineStr">
        <is>
          <t>MCGA</t>
        </is>
      </c>
      <c r="F899" s="43" t="inlineStr">
        <is>
          <t>034-IOTBU</t>
        </is>
      </c>
      <c r="G899" s="43" t="inlineStr">
        <is>
          <t>CTANJZ04758</t>
        </is>
      </c>
      <c r="H899" s="43" t="inlineStr">
        <is>
          <t>For temporary Manufacturing process change</t>
        </is>
      </c>
      <c r="I899" s="43" t="inlineStr">
        <is>
          <t>Customer Deviation</t>
        </is>
      </c>
      <c r="J899" s="43" t="inlineStr">
        <is>
          <t>D605395</t>
        </is>
      </c>
      <c r="K899" s="33" t="inlineStr">
        <is>
          <t>D605395 To authorize the use of SAMSUNG SEMICONDUCTORS K4A8G085WG-BIWE which was risk purchased under deviation no- D605288 currently listed in IPQ status under CPN 15-105197-01.</t>
        </is>
      </c>
      <c r="L899" s="43" t="inlineStr">
        <is>
          <t>Expired</t>
        </is>
      </c>
      <c r="M899" s="43" t="inlineStr">
        <is>
          <t>68-104004-01</t>
        </is>
      </c>
      <c r="N899" s="43" t="inlineStr"/>
      <c r="O899" s="43" t="inlineStr">
        <is>
          <t>2025-10-29</t>
        </is>
      </c>
      <c r="P899" s="33" t="inlineStr">
        <is>
          <t>For temporary Manufacturing process change</t>
        </is>
      </c>
      <c r="Q899" s="43" t="inlineStr">
        <is>
          <t>Apply label to PCBA and TAN exhibiting the Deviation number.</t>
        </is>
      </c>
      <c r="R899" s="43" t="inlineStr">
        <is>
          <t>2025-07-31</t>
        </is>
      </c>
      <c r="S899" s="43" t="inlineStr">
        <is>
          <t>2025-08-06</t>
        </is>
      </c>
      <c r="T899" s="43" t="inlineStr"/>
      <c r="U899" s="43" t="inlineStr"/>
    </row>
    <row r="900">
      <c r="A900" s="43" t="n">
        <v>900</v>
      </c>
      <c r="B900" s="43" t="inlineStr">
        <is>
          <t>899</t>
        </is>
      </c>
      <c r="C900" s="43" t="inlineStr">
        <is>
          <t>FJZP</t>
        </is>
      </c>
      <c r="D900" s="43" t="inlineStr">
        <is>
          <t>Cisco</t>
        </is>
      </c>
      <c r="E900" s="43" t="inlineStr">
        <is>
          <t>MCGA</t>
        </is>
      </c>
      <c r="F900" s="43" t="inlineStr">
        <is>
          <t>034-IOTBU</t>
        </is>
      </c>
      <c r="G900" s="43" t="inlineStr">
        <is>
          <t>CTANJZ04758</t>
        </is>
      </c>
      <c r="H900" s="43" t="inlineStr">
        <is>
          <t>For temporary Manufacturing process change</t>
        </is>
      </c>
      <c r="I900" s="43" t="inlineStr">
        <is>
          <t>Customer Deviation</t>
        </is>
      </c>
      <c r="J900" s="43" t="inlineStr">
        <is>
          <t>D605395</t>
        </is>
      </c>
      <c r="K900" s="33" t="inlineStr">
        <is>
          <t>D605395 To authorize the use of SAMSUNG SEMICONDUCTORS K4A8G085WG-BIWE which was risk purchased under deviation no- D605288 currently listed in IPQ status under CPN 15-105197-01.</t>
        </is>
      </c>
      <c r="L900" s="43" t="inlineStr">
        <is>
          <t>Expired</t>
        </is>
      </c>
      <c r="M900" s="43" t="inlineStr">
        <is>
          <t>73-101439-04</t>
        </is>
      </c>
      <c r="N900" s="43" t="inlineStr"/>
      <c r="O900" s="43" t="inlineStr">
        <is>
          <t>2025-10-29</t>
        </is>
      </c>
      <c r="P900" s="33" t="inlineStr">
        <is>
          <t>For temporary Manufacturing process change</t>
        </is>
      </c>
      <c r="Q900" s="43" t="inlineStr">
        <is>
          <t>Apply label to PCBA and TAN exhibiting the Deviation number.</t>
        </is>
      </c>
      <c r="R900" s="43" t="inlineStr">
        <is>
          <t>2025-07-31</t>
        </is>
      </c>
      <c r="S900" s="43" t="inlineStr">
        <is>
          <t>2025-08-06</t>
        </is>
      </c>
      <c r="T900" s="43" t="inlineStr"/>
      <c r="U900" s="43" t="inlineStr"/>
    </row>
    <row r="901">
      <c r="A901" s="43" t="n">
        <v>901</v>
      </c>
      <c r="B901" s="43" t="inlineStr">
        <is>
          <t>900</t>
        </is>
      </c>
      <c r="C901" s="43" t="inlineStr">
        <is>
          <t>FJZP</t>
        </is>
      </c>
      <c r="D901" s="43" t="inlineStr">
        <is>
          <t>Cisco</t>
        </is>
      </c>
      <c r="E901" s="43" t="inlineStr">
        <is>
          <t>MCGA</t>
        </is>
      </c>
      <c r="F901" s="43" t="inlineStr">
        <is>
          <t>034-IOTBU</t>
        </is>
      </c>
      <c r="G901" s="43" t="inlineStr">
        <is>
          <t>CTANJZ04758</t>
        </is>
      </c>
      <c r="H901" s="43" t="inlineStr">
        <is>
          <t>For temporary Manufacturing process change</t>
        </is>
      </c>
      <c r="I901" s="43" t="inlineStr">
        <is>
          <t>Customer Deviation</t>
        </is>
      </c>
      <c r="J901" s="43" t="inlineStr">
        <is>
          <t>D605395</t>
        </is>
      </c>
      <c r="K901" s="33" t="inlineStr">
        <is>
          <t>D605395 To authorize the use of SAMSUNG SEMICONDUCTORS K4A8G085WG-BIWE which was risk purchased under deviation no- D605288 currently listed in IPQ status under CPN 15-105197-01.</t>
        </is>
      </c>
      <c r="L901" s="43" t="inlineStr">
        <is>
          <t>Expired</t>
        </is>
      </c>
      <c r="M901" s="43" t="inlineStr">
        <is>
          <t>73-102239-04</t>
        </is>
      </c>
      <c r="N901" s="43" t="inlineStr"/>
      <c r="O901" s="43" t="inlineStr">
        <is>
          <t>2025-10-29</t>
        </is>
      </c>
      <c r="P901" s="33" t="inlineStr">
        <is>
          <t>For temporary Manufacturing process change</t>
        </is>
      </c>
      <c r="Q901" s="43" t="inlineStr">
        <is>
          <t>Apply label to PCBA and TAN exhibiting the Deviation number.</t>
        </is>
      </c>
      <c r="R901" s="43" t="inlineStr">
        <is>
          <t>2025-07-31</t>
        </is>
      </c>
      <c r="S901" s="43" t="inlineStr">
        <is>
          <t>2025-08-06</t>
        </is>
      </c>
      <c r="T901" s="43" t="inlineStr"/>
      <c r="U901" s="43" t="inlineStr"/>
    </row>
    <row r="902">
      <c r="A902" s="43" t="n">
        <v>902</v>
      </c>
      <c r="B902" s="43" t="inlineStr">
        <is>
          <t>901</t>
        </is>
      </c>
      <c r="C902" s="43" t="inlineStr">
        <is>
          <t>FJZP</t>
        </is>
      </c>
      <c r="D902" s="43" t="inlineStr">
        <is>
          <t>Cisco</t>
        </is>
      </c>
      <c r="E902" s="43" t="inlineStr">
        <is>
          <t>MCGA</t>
        </is>
      </c>
      <c r="F902" s="43" t="inlineStr">
        <is>
          <t>037-STBU</t>
        </is>
      </c>
      <c r="G902" s="43" t="inlineStr">
        <is>
          <t>CTANJZ04873</t>
        </is>
      </c>
      <c r="H902" s="43" t="inlineStr">
        <is>
          <t>For temporary Manufacturing process change</t>
        </is>
      </c>
      <c r="I902" s="43" t="inlineStr">
        <is>
          <t>Customer Deviation</t>
        </is>
      </c>
      <c r="J902" s="43" t="inlineStr">
        <is>
          <t>D606385</t>
        </is>
      </c>
      <c r="K902" s="33" t="inlineStr">
        <is>
          <t>D606385 This Deviaiton will be used for the Woodside Park Pilot 1 build at FJZ; Mexico. See material notes below for materials to use new version or old revision of material.1. 800-50525-03 SSD carrier will be used for Woodside Park Pilot builds.2. 700-138393-01 qty in stock can be used up with MPN 1363472.3. 800-112989-01 Revision 02 can be used for the Pilot builds.4. 700-138289-01 revision 07 can be used for the Pilot builds.5. 700-138284-01 revision 08 can be used for the Pilot builds.6. 700-137009-01 revision 02 can be used for the Pilot builds.7. 47-111061-01 revision 03 samples can be used for the Pilot builds.</t>
        </is>
      </c>
      <c r="L902" s="43" t="inlineStr">
        <is>
          <t>Expired</t>
        </is>
      </c>
      <c r="M902" s="43" t="inlineStr">
        <is>
          <t>68-104621-04</t>
        </is>
      </c>
      <c r="N902" s="43" t="inlineStr"/>
      <c r="O902" s="43" t="inlineStr">
        <is>
          <t>2025-12-23</t>
        </is>
      </c>
      <c r="P902" s="33" t="inlineStr">
        <is>
          <t>For temporary Manufacturing process change</t>
        </is>
      </c>
      <c r="Q902" s="43" t="inlineStr">
        <is>
          <t>None required</t>
        </is>
      </c>
      <c r="R902" s="43" t="inlineStr">
        <is>
          <t>2025-09-25</t>
        </is>
      </c>
      <c r="S902" s="43" t="inlineStr">
        <is>
          <t>2025-10-03</t>
        </is>
      </c>
      <c r="T902" s="43" t="inlineStr"/>
      <c r="U902" s="43" t="inlineStr"/>
    </row>
    <row r="903">
      <c r="A903" s="43" t="n">
        <v>903</v>
      </c>
      <c r="B903" s="43" t="inlineStr">
        <is>
          <t>902</t>
        </is>
      </c>
      <c r="C903" s="43" t="inlineStr">
        <is>
          <t>FJZP</t>
        </is>
      </c>
      <c r="D903" s="43" t="inlineStr">
        <is>
          <t>Cisco</t>
        </is>
      </c>
      <c r="E903" s="43" t="inlineStr">
        <is>
          <t>MCGA</t>
        </is>
      </c>
      <c r="F903" s="43" t="inlineStr">
        <is>
          <t>037-STBU</t>
        </is>
      </c>
      <c r="G903" s="43" t="inlineStr">
        <is>
          <t>CTANJZ04873</t>
        </is>
      </c>
      <c r="H903" s="43" t="inlineStr">
        <is>
          <t>For temporary Manufacturing process change</t>
        </is>
      </c>
      <c r="I903" s="43" t="inlineStr">
        <is>
          <t>Customer Deviation</t>
        </is>
      </c>
      <c r="J903" s="43" t="inlineStr">
        <is>
          <t>D606385</t>
        </is>
      </c>
      <c r="K903" s="33" t="inlineStr">
        <is>
          <t>D606385 This Deviaiton will be used for the Woodside Park Pilot 1 build at FJZ; Mexico. See material notes below for materials to use new version or old revision of material.1. 800-50525-03 SSD carrier will be used for Woodside Park Pilot builds.2. 700-138393-01 qty in stock can be used up with MPN 1363472.3. 800-112989-01 Revision 02 can be used for the Pilot builds.4. 700-138289-01 revision 07 can be used for the Pilot builds.5. 700-138284-01 revision 08 can be used for the Pilot builds.6. 700-137009-01 revision 02 can be used for the Pilot builds.7. 47-111061-01 revision 03 samples can be used for the Pilot builds.</t>
        </is>
      </c>
      <c r="L903" s="43" t="inlineStr">
        <is>
          <t>Expired</t>
        </is>
      </c>
      <c r="M903" s="43" t="inlineStr">
        <is>
          <t>800-112583-04</t>
        </is>
      </c>
      <c r="N903" s="43" t="inlineStr"/>
      <c r="O903" s="43" t="inlineStr">
        <is>
          <t>2025-12-23</t>
        </is>
      </c>
      <c r="P903" s="33" t="inlineStr">
        <is>
          <t>For temporary Manufacturing process change</t>
        </is>
      </c>
      <c r="Q903" s="43" t="inlineStr">
        <is>
          <t>None required</t>
        </is>
      </c>
      <c r="R903" s="43" t="inlineStr">
        <is>
          <t>2025-09-25</t>
        </is>
      </c>
      <c r="S903" s="43" t="inlineStr">
        <is>
          <t>2025-10-03</t>
        </is>
      </c>
      <c r="T903" s="43" t="inlineStr"/>
      <c r="U903" s="43" t="inlineStr"/>
    </row>
    <row r="904">
      <c r="A904" s="43" t="n">
        <v>904</v>
      </c>
      <c r="B904" s="43" t="inlineStr">
        <is>
          <t>903</t>
        </is>
      </c>
      <c r="C904" s="43" t="inlineStr">
        <is>
          <t>FJZP</t>
        </is>
      </c>
      <c r="D904" s="43" t="inlineStr">
        <is>
          <t>Cisco</t>
        </is>
      </c>
      <c r="E904" s="43" t="inlineStr">
        <is>
          <t>MCGA</t>
        </is>
      </c>
      <c r="F904" s="43" t="inlineStr">
        <is>
          <t>037-STBU</t>
        </is>
      </c>
      <c r="G904" s="43" t="inlineStr">
        <is>
          <t>CTANJZ04873</t>
        </is>
      </c>
      <c r="H904" s="43" t="inlineStr">
        <is>
          <t>For temporary Manufacturing process change</t>
        </is>
      </c>
      <c r="I904" s="43" t="inlineStr">
        <is>
          <t>Customer Deviation</t>
        </is>
      </c>
      <c r="J904" s="43" t="inlineStr">
        <is>
          <t>D606385</t>
        </is>
      </c>
      <c r="K904" s="33" t="inlineStr">
        <is>
          <t>D606385 This Deviaiton will be used for the Woodside Park Pilot 1 build at FJZ; Mexico. See material notes below for materials to use new version or old revision of material.1. 800-50525-03 SSD carrier will be used for Woodside Park Pilot builds.2. 700-138393-01 qty in stock can be used up with MPN 1363472.3. 800-112989-01 Revision 02 can be used for the Pilot builds.4. 700-138289-01 revision 07 can be used for the Pilot builds.5. 700-138284-01 revision 08 can be used for the Pilot builds.6. 700-137009-01 revision 02 can be used for the Pilot builds.7. 47-111061-01 revision 03 samples can be used for the Pilot builds.</t>
        </is>
      </c>
      <c r="L904" s="43" t="inlineStr">
        <is>
          <t>Expired</t>
        </is>
      </c>
      <c r="M904" s="43" t="inlineStr">
        <is>
          <t>800-112720-04</t>
        </is>
      </c>
      <c r="N904" s="43" t="inlineStr"/>
      <c r="O904" s="43" t="inlineStr">
        <is>
          <t>2025-12-23</t>
        </is>
      </c>
      <c r="P904" s="33" t="inlineStr">
        <is>
          <t>For temporary Manufacturing process change</t>
        </is>
      </c>
      <c r="Q904" s="43" t="inlineStr">
        <is>
          <t>None required</t>
        </is>
      </c>
      <c r="R904" s="43" t="inlineStr">
        <is>
          <t>2025-09-25</t>
        </is>
      </c>
      <c r="S904" s="43" t="inlineStr">
        <is>
          <t>2025-10-03</t>
        </is>
      </c>
      <c r="T904" s="43" t="inlineStr"/>
      <c r="U904" s="43" t="inlineStr"/>
    </row>
    <row r="905">
      <c r="A905" s="43" t="n">
        <v>905</v>
      </c>
      <c r="B905" s="43" t="inlineStr">
        <is>
          <t>904</t>
        </is>
      </c>
      <c r="C905" s="43" t="inlineStr">
        <is>
          <t>FJZP</t>
        </is>
      </c>
      <c r="D905" s="43" t="inlineStr">
        <is>
          <t>Cisco</t>
        </is>
      </c>
      <c r="E905" s="43" t="inlineStr">
        <is>
          <t>MCGA</t>
        </is>
      </c>
      <c r="F905" s="43" t="inlineStr">
        <is>
          <t>037-STBU</t>
        </is>
      </c>
      <c r="G905" s="43" t="inlineStr">
        <is>
          <t>CTANJZ04881</t>
        </is>
      </c>
      <c r="H905" s="43" t="inlineStr">
        <is>
          <t>For temporary Manufacturing process change</t>
        </is>
      </c>
      <c r="I905" s="43" t="inlineStr">
        <is>
          <t>Customer Deviation</t>
        </is>
      </c>
      <c r="J905" s="43" t="inlineStr">
        <is>
          <t>D606269</t>
        </is>
      </c>
      <c r="K905" s="33" t="inlineStr">
        <is>
          <t>D606269 For ESW- Pilot -1; please follow below for SMT build1. For PN# 15-107147-01; MPN 98CX8540-A0-BZD4C000 and MPN 98CX8540A0-BZD4C000 are exactly same. Had to update MPN nomenclature as per Marvell request to match their MPN name.2. 11-3347-01 ¡V You can use Rev A0 ; for only Qualified MPN under it.3. 17-103220-03 / 17-103221-01 / 17-103222-02 ¡V Rev 01 and Rev A0 programming are same. CPN was moved to A0 after the PO release because of high L/T.</t>
        </is>
      </c>
      <c r="L905" s="43" t="inlineStr">
        <is>
          <t>Expired</t>
        </is>
      </c>
      <c r="M905" s="43" t="inlineStr">
        <is>
          <t>73-103558-04</t>
        </is>
      </c>
      <c r="N905" s="43" t="inlineStr"/>
      <c r="O905" s="43" t="inlineStr">
        <is>
          <t>2025-12-25</t>
        </is>
      </c>
      <c r="P905" s="33" t="inlineStr">
        <is>
          <t>For temporary Manufacturing process change</t>
        </is>
      </c>
      <c r="Q905" s="43" t="inlineStr">
        <is>
          <t>No Label required</t>
        </is>
      </c>
      <c r="R905" s="43" t="inlineStr">
        <is>
          <t>2025-09-26</t>
        </is>
      </c>
      <c r="S905" s="43" t="inlineStr">
        <is>
          <t>2025-10-25</t>
        </is>
      </c>
      <c r="T905" s="43" t="inlineStr"/>
      <c r="U905" s="43" t="inlineStr"/>
    </row>
    <row r="906">
      <c r="A906" s="43" t="n">
        <v>906</v>
      </c>
      <c r="B906" s="43" t="inlineStr">
        <is>
          <t>905</t>
        </is>
      </c>
      <c r="C906" s="43" t="inlineStr">
        <is>
          <t>FJZP</t>
        </is>
      </c>
      <c r="D906" s="43" t="inlineStr">
        <is>
          <t>Cisco</t>
        </is>
      </c>
      <c r="E906" s="43" t="inlineStr">
        <is>
          <t>MCGA</t>
        </is>
      </c>
      <c r="F906" s="43" t="inlineStr">
        <is>
          <t>037-STBU</t>
        </is>
      </c>
      <c r="G906" s="43" t="inlineStr">
        <is>
          <t>CTANJZ04944</t>
        </is>
      </c>
      <c r="H906" s="43" t="inlineStr">
        <is>
          <t>For temporary Manufacturing process change</t>
        </is>
      </c>
      <c r="I906" s="43" t="inlineStr">
        <is>
          <t>Customer Deviation</t>
        </is>
      </c>
      <c r="J906" s="43" t="inlineStr">
        <is>
          <t>DP525176</t>
        </is>
      </c>
      <c r="K906" s="33" t="inlineStr">
        <is>
          <t>DP525176 This Prototype deviation will be used for Woodside Park Pre-Pilot build at FJZ Mexico.1. Change usage of 49-0574-01 from 12pcs to 6pcs under 800-112578-01 Rev:A02. Adding the the circle and enlarge of the Power icon for 800-112578-01 Rev:A03. Reduce the the material on 700-134990-01 Rev: A0 per DFM proposal for 800-112578-01 Rev:A0</t>
        </is>
      </c>
      <c r="L906" s="43" t="inlineStr">
        <is>
          <t>Expired</t>
        </is>
      </c>
      <c r="M906" s="43" t="inlineStr">
        <is>
          <t>68-104574-04</t>
        </is>
      </c>
      <c r="N906" s="43" t="inlineStr"/>
      <c r="O906" s="43" t="inlineStr">
        <is>
          <t>2025-12-29</t>
        </is>
      </c>
      <c r="P906" s="33" t="inlineStr">
        <is>
          <t>For temporary Manufacturing process change</t>
        </is>
      </c>
      <c r="Q906" s="43" t="inlineStr">
        <is>
          <t>Mark at supplier discretion.</t>
        </is>
      </c>
      <c r="R906" s="43" t="inlineStr">
        <is>
          <t>2025-10-31</t>
        </is>
      </c>
      <c r="S906" s="43" t="inlineStr">
        <is>
          <t>2025-11-21</t>
        </is>
      </c>
      <c r="T906" s="43" t="inlineStr"/>
      <c r="U906" s="43" t="inlineStr"/>
    </row>
    <row r="907">
      <c r="A907" s="43" t="n">
        <v>907</v>
      </c>
      <c r="B907" s="43" t="inlineStr">
        <is>
          <t>906</t>
        </is>
      </c>
      <c r="C907" s="43" t="inlineStr">
        <is>
          <t>FJZP</t>
        </is>
      </c>
      <c r="D907" s="43" t="inlineStr">
        <is>
          <t>Cisco</t>
        </is>
      </c>
      <c r="E907" s="43" t="inlineStr">
        <is>
          <t>MCGA</t>
        </is>
      </c>
      <c r="F907" s="43" t="inlineStr">
        <is>
          <t>037-STBU</t>
        </is>
      </c>
      <c r="G907" s="43" t="inlineStr">
        <is>
          <t>CTANJZ04944</t>
        </is>
      </c>
      <c r="H907" s="43" t="inlineStr">
        <is>
          <t>For temporary Manufacturing process change</t>
        </is>
      </c>
      <c r="I907" s="43" t="inlineStr">
        <is>
          <t>Customer Deviation</t>
        </is>
      </c>
      <c r="J907" s="43" t="inlineStr">
        <is>
          <t>DP525176</t>
        </is>
      </c>
      <c r="K907" s="33" t="inlineStr">
        <is>
          <t>DP525176 This Prototype deviation will be used for Woodside Park Pre-Pilot build at FJZ Mexico.1. Change usage of 49-0574-01 from 12pcs to 6pcs under 800-112578-01 Rev:A02. Adding the the circle and enlarge of the Power icon for 800-112578-01 Rev:A03. Reduce the the material on 700-134990-01 Rev: A0 per DFM proposal for 800-112578-01 Rev:A0</t>
        </is>
      </c>
      <c r="L907" s="43" t="inlineStr">
        <is>
          <t>Expired</t>
        </is>
      </c>
      <c r="M907" s="43" t="inlineStr">
        <is>
          <t>68-104575-04</t>
        </is>
      </c>
      <c r="N907" s="43" t="inlineStr"/>
      <c r="O907" s="43" t="inlineStr">
        <is>
          <t>2025-12-29</t>
        </is>
      </c>
      <c r="P907" s="33" t="inlineStr">
        <is>
          <t>For temporary Manufacturing process change</t>
        </is>
      </c>
      <c r="Q907" s="43" t="inlineStr">
        <is>
          <t>Mark at supplier discretion.</t>
        </is>
      </c>
      <c r="R907" s="43" t="inlineStr">
        <is>
          <t>2025-10-31</t>
        </is>
      </c>
      <c r="S907" s="43" t="inlineStr">
        <is>
          <t>2025-11-21</t>
        </is>
      </c>
      <c r="T907" s="43" t="inlineStr"/>
      <c r="U907" s="43" t="inlineStr"/>
    </row>
    <row r="908">
      <c r="A908" s="43" t="n">
        <v>908</v>
      </c>
      <c r="B908" s="43" t="inlineStr">
        <is>
          <t>907</t>
        </is>
      </c>
      <c r="C908" s="43" t="inlineStr">
        <is>
          <t>FJZP</t>
        </is>
      </c>
      <c r="D908" s="43" t="inlineStr">
        <is>
          <t>Cisco</t>
        </is>
      </c>
      <c r="E908" s="43" t="inlineStr">
        <is>
          <t>MCGA</t>
        </is>
      </c>
      <c r="F908" s="43" t="inlineStr">
        <is>
          <t>037-STBU</t>
        </is>
      </c>
      <c r="G908" s="43" t="inlineStr">
        <is>
          <t>CTANJZ04944</t>
        </is>
      </c>
      <c r="H908" s="43" t="inlineStr">
        <is>
          <t>For temporary Manufacturing process change</t>
        </is>
      </c>
      <c r="I908" s="43" t="inlineStr">
        <is>
          <t>Customer Deviation</t>
        </is>
      </c>
      <c r="J908" s="43" t="inlineStr">
        <is>
          <t>DP525176</t>
        </is>
      </c>
      <c r="K908" s="33" t="inlineStr">
        <is>
          <t>DP525176 This Prototype deviation will be used for Woodside Park Pre-Pilot build at FJZ Mexico.1. Change usage of 49-0574-01 from 12pcs to 6pcs under 800-112578-01 Rev:A02. Adding the the circle and enlarge of the Power icon for 800-112578-01 Rev:A03. Reduce the the material on 700-134990-01 Rev: A0 per DFM proposal for 800-112578-01 Rev:A0</t>
        </is>
      </c>
      <c r="L908" s="43" t="inlineStr">
        <is>
          <t>Expired</t>
        </is>
      </c>
      <c r="M908" s="43" t="inlineStr">
        <is>
          <t>68-104576-04</t>
        </is>
      </c>
      <c r="N908" s="43" t="inlineStr"/>
      <c r="O908" s="43" t="inlineStr">
        <is>
          <t>2025-12-29</t>
        </is>
      </c>
      <c r="P908" s="33" t="inlineStr">
        <is>
          <t>For temporary Manufacturing process change</t>
        </is>
      </c>
      <c r="Q908" s="43" t="inlineStr">
        <is>
          <t>Mark at supplier discretion.</t>
        </is>
      </c>
      <c r="R908" s="43" t="inlineStr">
        <is>
          <t>2025-10-31</t>
        </is>
      </c>
      <c r="S908" s="43" t="inlineStr">
        <is>
          <t>2025-11-21</t>
        </is>
      </c>
      <c r="T908" s="43" t="inlineStr"/>
      <c r="U908" s="43" t="inlineStr"/>
    </row>
    <row r="909">
      <c r="A909" s="43" t="n">
        <v>909</v>
      </c>
      <c r="B909" s="43" t="inlineStr">
        <is>
          <t>908</t>
        </is>
      </c>
      <c r="C909" s="43" t="inlineStr">
        <is>
          <t>FJZP</t>
        </is>
      </c>
      <c r="D909" s="43" t="inlineStr">
        <is>
          <t>Cisco</t>
        </is>
      </c>
      <c r="E909" s="43" t="inlineStr">
        <is>
          <t>MCGA</t>
        </is>
      </c>
      <c r="F909" s="43" t="inlineStr">
        <is>
          <t>037-STBU</t>
        </is>
      </c>
      <c r="G909" s="43" t="inlineStr">
        <is>
          <t>CTANJZ04944</t>
        </is>
      </c>
      <c r="H909" s="43" t="inlineStr">
        <is>
          <t>For temporary Manufacturing process change</t>
        </is>
      </c>
      <c r="I909" s="43" t="inlineStr">
        <is>
          <t>Customer Deviation</t>
        </is>
      </c>
      <c r="J909" s="43" t="inlineStr">
        <is>
          <t>DP525176</t>
        </is>
      </c>
      <c r="K909" s="33" t="inlineStr">
        <is>
          <t>DP525176 This Prototype deviation will be used for Woodside Park Pre-Pilot build at FJZ Mexico.1. Change usage of 49-0574-01 from 12pcs to 6pcs under 800-112578-01 Rev:A02. Adding the the circle and enlarge of the Power icon for 800-112578-01 Rev:A03. Reduce the the material on 700-134990-01 Rev: A0 per DFM proposal for 800-112578-01 Rev:A0</t>
        </is>
      </c>
      <c r="L909" s="43" t="inlineStr">
        <is>
          <t>Expired</t>
        </is>
      </c>
      <c r="M909" s="43" t="inlineStr">
        <is>
          <t>68-104621-04</t>
        </is>
      </c>
      <c r="N909" s="43" t="inlineStr"/>
      <c r="O909" s="43" t="inlineStr">
        <is>
          <t>2025-12-29</t>
        </is>
      </c>
      <c r="P909" s="33" t="inlineStr">
        <is>
          <t>For temporary Manufacturing process change</t>
        </is>
      </c>
      <c r="Q909" s="43" t="inlineStr">
        <is>
          <t>Mark at supplier discretion.</t>
        </is>
      </c>
      <c r="R909" s="43" t="inlineStr">
        <is>
          <t>2025-10-31</t>
        </is>
      </c>
      <c r="S909" s="43" t="inlineStr">
        <is>
          <t>2025-11-21</t>
        </is>
      </c>
      <c r="T909" s="43" t="inlineStr"/>
      <c r="U909" s="43" t="inlineStr"/>
    </row>
    <row r="910">
      <c r="A910" s="43" t="n">
        <v>910</v>
      </c>
      <c r="B910" s="43" t="inlineStr">
        <is>
          <t>909</t>
        </is>
      </c>
      <c r="C910" s="43" t="inlineStr">
        <is>
          <t>FJZP</t>
        </is>
      </c>
      <c r="D910" s="43" t="inlineStr">
        <is>
          <t>Cisco</t>
        </is>
      </c>
      <c r="E910" s="43" t="inlineStr">
        <is>
          <t>MCGA</t>
        </is>
      </c>
      <c r="F910" s="43" t="inlineStr">
        <is>
          <t>037-STBU</t>
        </is>
      </c>
      <c r="G910" s="43" t="inlineStr">
        <is>
          <t>CTANJZ04915</t>
        </is>
      </c>
      <c r="H910" s="43" t="inlineStr">
        <is>
          <t>For temporary Manufacturing process change</t>
        </is>
      </c>
      <c r="I910" s="43" t="inlineStr">
        <is>
          <t>Customer Deviation</t>
        </is>
      </c>
      <c r="J910" s="43" t="inlineStr">
        <is>
          <t>D606919</t>
        </is>
      </c>
      <c r="K910" s="33" t="inlineStr">
        <is>
          <t>D606919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910" s="43" t="inlineStr">
        <is>
          <t>Expired</t>
        </is>
      </c>
      <c r="M910" s="43" t="inlineStr">
        <is>
          <t>800-105499-03</t>
        </is>
      </c>
      <c r="N910" s="43" t="inlineStr"/>
      <c r="O910" s="43" t="inlineStr">
        <is>
          <t>2026-01-14</t>
        </is>
      </c>
      <c r="P910" s="33" t="inlineStr">
        <is>
          <t>For temporary Manufacturing process change</t>
        </is>
      </c>
      <c r="Q910" s="43" t="inlineStr">
        <is>
          <t>Add the deviation D605272 number on the chassis next to serial number label</t>
        </is>
      </c>
      <c r="R910" s="43" t="inlineStr">
        <is>
          <t>2025-10-16</t>
        </is>
      </c>
      <c r="S910" s="43" t="inlineStr">
        <is>
          <t>2025-11-05</t>
        </is>
      </c>
      <c r="T910" s="43" t="inlineStr"/>
      <c r="U910" s="43" t="inlineStr"/>
    </row>
    <row r="911">
      <c r="A911" s="43" t="n">
        <v>911</v>
      </c>
      <c r="B911" s="43" t="inlineStr">
        <is>
          <t>910</t>
        </is>
      </c>
      <c r="C911" s="43" t="inlineStr">
        <is>
          <t>FJZP</t>
        </is>
      </c>
      <c r="D911" s="43" t="inlineStr">
        <is>
          <t>Cisco</t>
        </is>
      </c>
      <c r="E911" s="43" t="inlineStr">
        <is>
          <t>MCGA</t>
        </is>
      </c>
      <c r="F911" s="43" t="inlineStr">
        <is>
          <t>037-STBU</t>
        </is>
      </c>
      <c r="G911" s="43" t="inlineStr">
        <is>
          <t>CTANJZ04915</t>
        </is>
      </c>
      <c r="H911" s="43" t="inlineStr">
        <is>
          <t>For temporary Manufacturing process change</t>
        </is>
      </c>
      <c r="I911" s="43" t="inlineStr">
        <is>
          <t>Customer Deviation</t>
        </is>
      </c>
      <c r="J911" s="43" t="inlineStr">
        <is>
          <t>D606919</t>
        </is>
      </c>
      <c r="K911" s="33" t="inlineStr">
        <is>
          <t>D606919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911" s="43" t="inlineStr">
        <is>
          <t>Expired</t>
        </is>
      </c>
      <c r="M911" s="43" t="inlineStr">
        <is>
          <t>800-105500-03</t>
        </is>
      </c>
      <c r="N911" s="43" t="inlineStr"/>
      <c r="O911" s="43" t="inlineStr">
        <is>
          <t>2026-01-14</t>
        </is>
      </c>
      <c r="P911" s="33" t="inlineStr">
        <is>
          <t>For temporary Manufacturing process change</t>
        </is>
      </c>
      <c r="Q911" s="43" t="inlineStr">
        <is>
          <t>Add the deviation D605272 number on the chassis next to serial number label</t>
        </is>
      </c>
      <c r="R911" s="43" t="inlineStr">
        <is>
          <t>2025-10-16</t>
        </is>
      </c>
      <c r="S911" s="43" t="inlineStr">
        <is>
          <t>2025-11-05</t>
        </is>
      </c>
      <c r="T911" s="43" t="inlineStr"/>
      <c r="U911" s="43" t="inlineStr"/>
    </row>
    <row r="912">
      <c r="A912" s="43" t="n">
        <v>912</v>
      </c>
      <c r="B912" s="43" t="inlineStr">
        <is>
          <t>911</t>
        </is>
      </c>
      <c r="C912" s="43" t="inlineStr">
        <is>
          <t>FJZP</t>
        </is>
      </c>
      <c r="D912" s="43" t="inlineStr">
        <is>
          <t>Cisco</t>
        </is>
      </c>
      <c r="E912" s="43" t="inlineStr">
        <is>
          <t>MCGA</t>
        </is>
      </c>
      <c r="F912" s="43" t="inlineStr">
        <is>
          <t>037-STBU</t>
        </is>
      </c>
      <c r="G912" s="43" t="inlineStr">
        <is>
          <t>CTANJZ04915</t>
        </is>
      </c>
      <c r="H912" s="43" t="inlineStr">
        <is>
          <t>For temporary Manufacturing process change</t>
        </is>
      </c>
      <c r="I912" s="43" t="inlineStr">
        <is>
          <t>Customer Deviation</t>
        </is>
      </c>
      <c r="J912" s="43" t="inlineStr">
        <is>
          <t>D606919</t>
        </is>
      </c>
      <c r="K912" s="33" t="inlineStr">
        <is>
          <t>D606919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912" s="43" t="inlineStr">
        <is>
          <t>Expired</t>
        </is>
      </c>
      <c r="M912" s="43" t="inlineStr">
        <is>
          <t>800-106634-02</t>
        </is>
      </c>
      <c r="N912" s="43" t="inlineStr"/>
      <c r="O912" s="43" t="inlineStr">
        <is>
          <t>2026-01-14</t>
        </is>
      </c>
      <c r="P912" s="33" t="inlineStr">
        <is>
          <t>For temporary Manufacturing process change</t>
        </is>
      </c>
      <c r="Q912" s="43" t="inlineStr">
        <is>
          <t>Add the deviation D605272 number on the chassis next to serial number label</t>
        </is>
      </c>
      <c r="R912" s="43" t="inlineStr">
        <is>
          <t>2025-10-16</t>
        </is>
      </c>
      <c r="S912" s="43" t="inlineStr">
        <is>
          <t>2025-11-05</t>
        </is>
      </c>
      <c r="T912" s="43" t="inlineStr"/>
      <c r="U912" s="43" t="inlineStr"/>
    </row>
    <row r="913">
      <c r="A913" s="43" t="n">
        <v>913</v>
      </c>
      <c r="B913" s="43" t="inlineStr">
        <is>
          <t>912</t>
        </is>
      </c>
      <c r="C913" s="43" t="inlineStr">
        <is>
          <t>FJZP</t>
        </is>
      </c>
      <c r="D913" s="43" t="inlineStr">
        <is>
          <t>Cisco</t>
        </is>
      </c>
      <c r="E913" s="43" t="inlineStr">
        <is>
          <t>MCGA</t>
        </is>
      </c>
      <c r="F913" s="43" t="inlineStr">
        <is>
          <t>037-STBU</t>
        </is>
      </c>
      <c r="G913" s="43" t="inlineStr">
        <is>
          <t>CTANJZ04915</t>
        </is>
      </c>
      <c r="H913" s="43" t="inlineStr">
        <is>
          <t>For temporary Manufacturing process change</t>
        </is>
      </c>
      <c r="I913" s="43" t="inlineStr">
        <is>
          <t>Customer Deviation</t>
        </is>
      </c>
      <c r="J913" s="43" t="inlineStr">
        <is>
          <t>D606919</t>
        </is>
      </c>
      <c r="K913" s="33" t="inlineStr">
        <is>
          <t>D606919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913" s="43" t="inlineStr">
        <is>
          <t>Expired</t>
        </is>
      </c>
      <c r="M913" s="43" t="inlineStr">
        <is>
          <t>800-106754-02</t>
        </is>
      </c>
      <c r="N913" s="43" t="inlineStr"/>
      <c r="O913" s="43" t="inlineStr">
        <is>
          <t>2026-01-14</t>
        </is>
      </c>
      <c r="P913" s="33" t="inlineStr">
        <is>
          <t>For temporary Manufacturing process change</t>
        </is>
      </c>
      <c r="Q913" s="43" t="inlineStr">
        <is>
          <t>Add the deviation D605272 number on the chassis next to serial number label</t>
        </is>
      </c>
      <c r="R913" s="43" t="inlineStr">
        <is>
          <t>2025-10-16</t>
        </is>
      </c>
      <c r="S913" s="43" t="inlineStr">
        <is>
          <t>2025-11-05</t>
        </is>
      </c>
      <c r="T913" s="43" t="inlineStr"/>
      <c r="U913" s="43" t="inlineStr"/>
    </row>
    <row r="914">
      <c r="A914" s="43" t="n">
        <v>914</v>
      </c>
      <c r="B914" s="43" t="inlineStr">
        <is>
          <t>913</t>
        </is>
      </c>
      <c r="C914" s="43" t="inlineStr">
        <is>
          <t>FJZP</t>
        </is>
      </c>
      <c r="D914" s="43" t="inlineStr">
        <is>
          <t>Cisco</t>
        </is>
      </c>
      <c r="E914" s="43" t="inlineStr">
        <is>
          <t>MCGA</t>
        </is>
      </c>
      <c r="F914" s="43" t="inlineStr">
        <is>
          <t>037-STBU</t>
        </is>
      </c>
      <c r="G914" s="43" t="inlineStr">
        <is>
          <t>CTANJZ04915</t>
        </is>
      </c>
      <c r="H914" s="43" t="inlineStr">
        <is>
          <t>For temporary Manufacturing process change</t>
        </is>
      </c>
      <c r="I914" s="43" t="inlineStr">
        <is>
          <t>Customer Deviation</t>
        </is>
      </c>
      <c r="J914" s="43" t="inlineStr">
        <is>
          <t>D606919</t>
        </is>
      </c>
      <c r="K914" s="33" t="inlineStr">
        <is>
          <t>D606919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914" s="43" t="inlineStr">
        <is>
          <t>Expired</t>
        </is>
      </c>
      <c r="M914" s="43" t="inlineStr">
        <is>
          <t>800-106838-02</t>
        </is>
      </c>
      <c r="N914" s="43" t="inlineStr"/>
      <c r="O914" s="43" t="inlineStr">
        <is>
          <t>2026-01-14</t>
        </is>
      </c>
      <c r="P914" s="33" t="inlineStr">
        <is>
          <t>For temporary Manufacturing process change</t>
        </is>
      </c>
      <c r="Q914" s="43" t="inlineStr">
        <is>
          <t>Add the deviation D605272 number on the chassis next to serial number label</t>
        </is>
      </c>
      <c r="R914" s="43" t="inlineStr">
        <is>
          <t>2025-10-16</t>
        </is>
      </c>
      <c r="S914" s="43" t="inlineStr">
        <is>
          <t>2025-11-05</t>
        </is>
      </c>
      <c r="T914" s="43" t="inlineStr"/>
      <c r="U914" s="43" t="inlineStr"/>
    </row>
    <row r="915">
      <c r="A915" s="43" t="n">
        <v>915</v>
      </c>
      <c r="B915" s="43" t="inlineStr">
        <is>
          <t>914</t>
        </is>
      </c>
      <c r="C915" s="43" t="inlineStr">
        <is>
          <t>FJZP</t>
        </is>
      </c>
      <c r="D915" s="43" t="inlineStr">
        <is>
          <t>Cisco</t>
        </is>
      </c>
      <c r="E915" s="43" t="inlineStr">
        <is>
          <t>MCGA</t>
        </is>
      </c>
      <c r="F915" s="43" t="inlineStr">
        <is>
          <t>037-STBU</t>
        </is>
      </c>
      <c r="G915" s="43" t="inlineStr">
        <is>
          <t>CTANJZ04921</t>
        </is>
      </c>
      <c r="H915" s="43" t="inlineStr">
        <is>
          <t>For temporary Manufacturing process change</t>
        </is>
      </c>
      <c r="I915" s="43" t="inlineStr">
        <is>
          <t>Customer Deviation</t>
        </is>
      </c>
      <c r="J915" s="43" t="inlineStr">
        <is>
          <t>D607106</t>
        </is>
      </c>
      <c r="K915" s="33" t="inlineStr">
        <is>
          <t>D607106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FPR3120-NGFW-K9SNs: TSP2942ABZZ &amp; TSP2942ABZUSO: 119112143-1</t>
        </is>
      </c>
      <c r="L915" s="43" t="inlineStr">
        <is>
          <t>Expired</t>
        </is>
      </c>
      <c r="M915" s="43" t="inlineStr">
        <is>
          <t>68-7253-05</t>
        </is>
      </c>
      <c r="N915" s="43" t="inlineStr"/>
      <c r="O915" s="43" t="inlineStr">
        <is>
          <t>2026-01-15</t>
        </is>
      </c>
      <c r="P915" s="33" t="inlineStr">
        <is>
          <t>For temporary Manufacturing process change</t>
        </is>
      </c>
      <c r="Q915" s="43" t="inlineStr">
        <is>
          <t>Only Delta fans are allowed to use with the new versions of Tufnell Park:  800-108035-05 800-108036-05 800-108037-05 800-108038-05 800-110666-02  Note: TSP is allowed to ship AVC fan only for the order below while still restricting use of GND0456A70 while Cisco works with AVC  PID: FPR3120-NGFW-K9 SNs: TSP2942ABZZ &amp; TSP2942ABZU SO: 119112143-1</t>
        </is>
      </c>
      <c r="R915" s="43" t="inlineStr">
        <is>
          <t>2025-10-17</t>
        </is>
      </c>
      <c r="S915" s="43" t="inlineStr">
        <is>
          <t>2025-11-05</t>
        </is>
      </c>
      <c r="T915" s="43" t="inlineStr"/>
      <c r="U915" s="43" t="inlineStr"/>
    </row>
    <row r="916">
      <c r="A916" s="43" t="n">
        <v>916</v>
      </c>
      <c r="B916" s="43" t="inlineStr">
        <is>
          <t>915</t>
        </is>
      </c>
      <c r="C916" s="43" t="inlineStr">
        <is>
          <t>FJZP</t>
        </is>
      </c>
      <c r="D916" s="43" t="inlineStr">
        <is>
          <t>Cisco</t>
        </is>
      </c>
      <c r="E916" s="43" t="inlineStr">
        <is>
          <t>MCGA</t>
        </is>
      </c>
      <c r="F916" s="43" t="inlineStr">
        <is>
          <t>037-STBU</t>
        </is>
      </c>
      <c r="G916" s="43" t="inlineStr">
        <is>
          <t>CTANJZ04921</t>
        </is>
      </c>
      <c r="H916" s="43" t="inlineStr">
        <is>
          <t>For temporary Manufacturing process change</t>
        </is>
      </c>
      <c r="I916" s="43" t="inlineStr">
        <is>
          <t>Customer Deviation</t>
        </is>
      </c>
      <c r="J916" s="43" t="inlineStr">
        <is>
          <t>D607106</t>
        </is>
      </c>
      <c r="K916" s="33" t="inlineStr">
        <is>
          <t>D607106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FPR3120-NGFW-K9SNs: TSP2942ABZZ &amp; TSP2942ABZUSO: 119112143-1</t>
        </is>
      </c>
      <c r="L916" s="43" t="inlineStr">
        <is>
          <t>Expired</t>
        </is>
      </c>
      <c r="M916" s="43" t="inlineStr">
        <is>
          <t>68-7254-05</t>
        </is>
      </c>
      <c r="N916" s="43" t="inlineStr"/>
      <c r="O916" s="43" t="inlineStr">
        <is>
          <t>2026-01-15</t>
        </is>
      </c>
      <c r="P916" s="33" t="inlineStr">
        <is>
          <t>For temporary Manufacturing process change</t>
        </is>
      </c>
      <c r="Q916" s="43" t="inlineStr">
        <is>
          <t>Only Delta fans are allowed to use with the new versions of Tufnell Park:  800-108035-05 800-108036-05 800-108037-05 800-108038-05 800-110666-02  Note: TSP is allowed to ship AVC fan only for the order below while still restricting use of GND0456A70 while Cisco works with AVC  PID: FPR3120-NGFW-K9 SNs: TSP2942ABZZ &amp; TSP2942ABZU SO: 119112143-1</t>
        </is>
      </c>
      <c r="R916" s="43" t="inlineStr">
        <is>
          <t>2025-10-17</t>
        </is>
      </c>
      <c r="S916" s="43" t="inlineStr">
        <is>
          <t>2025-11-05</t>
        </is>
      </c>
      <c r="T916" s="43" t="inlineStr"/>
      <c r="U916" s="43" t="inlineStr"/>
    </row>
    <row r="917">
      <c r="A917" s="43" t="n">
        <v>917</v>
      </c>
      <c r="B917" s="43" t="inlineStr">
        <is>
          <t>916</t>
        </is>
      </c>
      <c r="C917" s="43" t="inlineStr">
        <is>
          <t>FJZP</t>
        </is>
      </c>
      <c r="D917" s="43" t="inlineStr">
        <is>
          <t>Cisco</t>
        </is>
      </c>
      <c r="E917" s="43" t="inlineStr">
        <is>
          <t>MCGA</t>
        </is>
      </c>
      <c r="F917" s="43" t="inlineStr">
        <is>
          <t>034-IOTBU</t>
        </is>
      </c>
      <c r="G917" s="43" t="inlineStr">
        <is>
          <t>CTANJZ04758</t>
        </is>
      </c>
      <c r="H917" s="43" t="inlineStr">
        <is>
          <t>For temporary Manufacturing process change</t>
        </is>
      </c>
      <c r="I917" s="43" t="inlineStr">
        <is>
          <t>Customer Deviation</t>
        </is>
      </c>
      <c r="J917" s="43" t="inlineStr">
        <is>
          <t>D605395</t>
        </is>
      </c>
      <c r="K917" s="33" t="inlineStr">
        <is>
          <t>D605395 To authorize the use of SAMSUNG SEMICONDUCTORS K4A8G085WG-BIWE which was risk purchased under deviation no- D605288 currently listed in IPQ status under CPN 15-105197-01.</t>
        </is>
      </c>
      <c r="L917" s="43" t="inlineStr">
        <is>
          <t>Expired</t>
        </is>
      </c>
      <c r="M917" s="43" t="inlineStr">
        <is>
          <t>73-103098-03</t>
        </is>
      </c>
      <c r="N917" s="43" t="inlineStr"/>
      <c r="O917" s="43" t="inlineStr">
        <is>
          <t>2025-10-29</t>
        </is>
      </c>
      <c r="P917" s="33" t="inlineStr">
        <is>
          <t>For temporary Manufacturing process change</t>
        </is>
      </c>
      <c r="Q917" s="43" t="inlineStr">
        <is>
          <t>Apply label to PCBA and TAN exhibiting the Deviation number.</t>
        </is>
      </c>
      <c r="R917" s="43" t="inlineStr">
        <is>
          <t>2025-07-31</t>
        </is>
      </c>
      <c r="S917" s="43" t="inlineStr">
        <is>
          <t>2025-08-06</t>
        </is>
      </c>
      <c r="T917" s="43" t="inlineStr"/>
      <c r="U917" s="43" t="inlineStr"/>
    </row>
    <row r="918">
      <c r="A918" s="43" t="n">
        <v>918</v>
      </c>
      <c r="B918" s="43" t="inlineStr">
        <is>
          <t>917</t>
        </is>
      </c>
      <c r="C918" s="43" t="inlineStr">
        <is>
          <t>FJZP</t>
        </is>
      </c>
      <c r="D918" s="43" t="inlineStr">
        <is>
          <t>Cisco</t>
        </is>
      </c>
      <c r="E918" s="43" t="inlineStr">
        <is>
          <t>MCGA</t>
        </is>
      </c>
      <c r="F918" s="43" t="inlineStr">
        <is>
          <t>018-SRGBU</t>
        </is>
      </c>
      <c r="G918" s="43" t="inlineStr">
        <is>
          <t>CTANJZ04980</t>
        </is>
      </c>
      <c r="H918" s="43" t="inlineStr">
        <is>
          <t>For temporary Manufacturing process change</t>
        </is>
      </c>
      <c r="I918" s="43" t="inlineStr">
        <is>
          <t>Customer Deviation</t>
        </is>
      </c>
      <c r="J918" s="43" t="inlineStr">
        <is>
          <t>D607758</t>
        </is>
      </c>
      <c r="K918" s="33" t="inlineStr">
        <is>
          <t>D607758SRGBU Sears E0 modem FW upgrade:This deviation instructs PCBA site and DF site to upgrade modem FW to "E0" during test process. DF sites for spare orders do not need to perform this as spares do not go through MFG testing at DF site.Current output of show cell 0/2/0 firmware:Idx Carrier              FwVersion        PriVersion   Status2   Generic PTCRB        M0H.030202       1080         Activecurrent output of show cellular 0/2/0 hardware:Modem Firmware Version = M0H.030202Host Firmware Version = A0H.000302PRI version = 1080-115; Carrier = Generic PTCRBOEM PRI version = 1080-115output of at#getFW after performing upgrade:HOST FIRMWARE  : A0H.000312SLOT   STATUS     CARRIER  VERSION         TMCFG1      Activated  Generic  M0H.030202      1083-1162                 empty    empty           emptyOKoutput of at#cfvr after performing upgrade:#CFVR: 4OKoutput of at#dhcprelay? after performing upgrade:#DHCPRELAY: 1OKOutput of show cell 0/2/0 firmware after performing FW upgrade:2   Generic PTCRB        M0H.030202       1083         ActiveOutput of show cellular 0/2/0 hardware after performing upgrade:Modem Firmware Version = M0H.030202Host Firmware Version = A0H.000312PRI version = 1083-116; Carrier = Generic PTCRBOEM PRI version = 1083-116DMESG log should also be captured during the modem FW upgrade for these units and shared in the event of a FW upgrade failureMFG qual for this upgrade was done through D603953. The units used for this mfg qual FOC2923041Q and FOC291902B0 can be used as normal production unit</t>
        </is>
      </c>
      <c r="L918" s="43" t="inlineStr">
        <is>
          <t>Expired</t>
        </is>
      </c>
      <c r="M918" s="43" t="inlineStr">
        <is>
          <t>800-49952-02</t>
        </is>
      </c>
      <c r="N918" s="43" t="inlineStr"/>
      <c r="O918" s="43" t="inlineStr">
        <is>
          <t>2026-02-23</t>
        </is>
      </c>
      <c r="P918" s="33" t="inlineStr">
        <is>
          <t>For temporary Manufacturing process change</t>
        </is>
      </c>
      <c r="Q918" s="43" t="inlineStr">
        <is>
          <t>no markings needed</t>
        </is>
      </c>
      <c r="R918" s="43" t="inlineStr">
        <is>
          <t>2025-11-25</t>
        </is>
      </c>
      <c r="S918" s="43" t="inlineStr">
        <is>
          <t>2025-12-09</t>
        </is>
      </c>
      <c r="T918" s="43" t="inlineStr"/>
      <c r="U918" s="43" t="inlineStr"/>
    </row>
    <row r="919">
      <c r="A919" s="43" t="n">
        <v>919</v>
      </c>
      <c r="B919" s="43" t="inlineStr">
        <is>
          <t>918</t>
        </is>
      </c>
      <c r="C919" s="43" t="inlineStr">
        <is>
          <t>FJZP</t>
        </is>
      </c>
      <c r="D919" s="43" t="inlineStr">
        <is>
          <t>Cisco</t>
        </is>
      </c>
      <c r="E919" s="43" t="inlineStr">
        <is>
          <t>MCGA</t>
        </is>
      </c>
      <c r="F919" s="43" t="inlineStr">
        <is>
          <t>037-STBU</t>
        </is>
      </c>
      <c r="G919" s="43" t="inlineStr">
        <is>
          <t>CTANJZ04981</t>
        </is>
      </c>
      <c r="H919" s="43" t="inlineStr">
        <is>
          <t>For temporary Manufacturing process change</t>
        </is>
      </c>
      <c r="I919" s="43" t="inlineStr">
        <is>
          <t>Customer Deviation</t>
        </is>
      </c>
      <c r="J919" s="43" t="inlineStr">
        <is>
          <t>D607861</t>
        </is>
      </c>
      <c r="K919" s="33" t="inlineStr">
        <is>
          <t>D607861 Allow FJZ to use the MPN with DC &gt;= 245115-106779-01 (CSD95495QVM)15-106360-01 (CSD95485RWJ)15-105515-01 (CSD95496QVM)15-105514-01 (CSD95492QVM)15-103921-01 (CSD95480RWJ)</t>
        </is>
      </c>
      <c r="L919" s="43" t="inlineStr">
        <is>
          <t>Expired</t>
        </is>
      </c>
      <c r="M919" s="43" t="inlineStr">
        <is>
          <t>15-103921-01</t>
        </is>
      </c>
      <c r="N919" s="43" t="inlineStr"/>
      <c r="O919" s="43" t="inlineStr">
        <is>
          <t>2026-02-23</t>
        </is>
      </c>
      <c r="P919" s="33" t="inlineStr">
        <is>
          <t>For temporary Manufacturing process change</t>
        </is>
      </c>
      <c r="Q919" s="43" t="inlineStr">
        <is>
          <t>Allow FJZ to use the MPN with DC &gt;= 2451  15-106779-01 (CSD95495QVM) 15-106360-01 (CSD95485RWJ) 15-105515-01 (CSD95496QVM) 15-105514-01 (CSD95492QVM) 15-103921-01 (CSD95480RWJ)</t>
        </is>
      </c>
      <c r="R919" s="43" t="inlineStr">
        <is>
          <t>2025-11-25</t>
        </is>
      </c>
      <c r="S919" s="43" t="inlineStr">
        <is>
          <t>2026-01-14</t>
        </is>
      </c>
      <c r="T919" s="43" t="inlineStr"/>
      <c r="U919" s="43" t="inlineStr"/>
    </row>
    <row r="920">
      <c r="A920" s="43" t="n">
        <v>920</v>
      </c>
      <c r="B920" s="43" t="inlineStr">
        <is>
          <t>919</t>
        </is>
      </c>
      <c r="C920" s="43" t="inlineStr">
        <is>
          <t>FJZP</t>
        </is>
      </c>
      <c r="D920" s="43" t="inlineStr">
        <is>
          <t>Cisco</t>
        </is>
      </c>
      <c r="E920" s="43" t="inlineStr">
        <is>
          <t>MCGA</t>
        </is>
      </c>
      <c r="F920" s="43" t="inlineStr">
        <is>
          <t>037-STBU</t>
        </is>
      </c>
      <c r="G920" s="43" t="inlineStr">
        <is>
          <t>CTANJZ04981</t>
        </is>
      </c>
      <c r="H920" s="43" t="inlineStr">
        <is>
          <t>For temporary Manufacturing process change</t>
        </is>
      </c>
      <c r="I920" s="43" t="inlineStr">
        <is>
          <t>Customer Deviation</t>
        </is>
      </c>
      <c r="J920" s="43" t="inlineStr">
        <is>
          <t>D607861</t>
        </is>
      </c>
      <c r="K920" s="33" t="inlineStr">
        <is>
          <t>D607861 Allow FJZ to use the MPN with DC &gt;= 245115-106779-01 (CSD95495QVM)15-106360-01 (CSD95485RWJ)15-105515-01 (CSD95496QVM)15-105514-01 (CSD95492QVM)15-103921-01 (CSD95480RWJ)</t>
        </is>
      </c>
      <c r="L920" s="43" t="inlineStr">
        <is>
          <t>Expired</t>
        </is>
      </c>
      <c r="M920" s="43" t="inlineStr">
        <is>
          <t>15-105514-01</t>
        </is>
      </c>
      <c r="N920" s="43" t="inlineStr"/>
      <c r="O920" s="43" t="inlineStr">
        <is>
          <t>2026-02-23</t>
        </is>
      </c>
      <c r="P920" s="33" t="inlineStr">
        <is>
          <t>For temporary Manufacturing process change</t>
        </is>
      </c>
      <c r="Q920" s="43" t="inlineStr">
        <is>
          <t>Allow FJZ to use the MPN with DC &gt;= 2451  15-106779-01 (CSD95495QVM) 15-106360-01 (CSD95485RWJ) 15-105515-01 (CSD95496QVM) 15-105514-01 (CSD95492QVM) 15-103921-01 (CSD95480RWJ)</t>
        </is>
      </c>
      <c r="R920" s="43" t="inlineStr">
        <is>
          <t>2025-11-25</t>
        </is>
      </c>
      <c r="S920" s="43" t="inlineStr">
        <is>
          <t>2026-01-14</t>
        </is>
      </c>
      <c r="T920" s="43" t="inlineStr"/>
      <c r="U920" s="43" t="inlineStr"/>
    </row>
    <row r="921">
      <c r="A921" s="43" t="n">
        <v>921</v>
      </c>
      <c r="B921" s="43" t="inlineStr">
        <is>
          <t>920</t>
        </is>
      </c>
      <c r="C921" s="43" t="inlineStr">
        <is>
          <t>FJZP</t>
        </is>
      </c>
      <c r="D921" s="43" t="inlineStr">
        <is>
          <t>Cisco</t>
        </is>
      </c>
      <c r="E921" s="43" t="inlineStr">
        <is>
          <t>MCGA</t>
        </is>
      </c>
      <c r="F921" s="43" t="inlineStr">
        <is>
          <t>037-STBU</t>
        </is>
      </c>
      <c r="G921" s="43" t="inlineStr">
        <is>
          <t>CTANJZ04981</t>
        </is>
      </c>
      <c r="H921" s="43" t="inlineStr">
        <is>
          <t>For temporary Manufacturing process change</t>
        </is>
      </c>
      <c r="I921" s="43" t="inlineStr">
        <is>
          <t>Customer Deviation</t>
        </is>
      </c>
      <c r="J921" s="43" t="inlineStr">
        <is>
          <t>D607861</t>
        </is>
      </c>
      <c r="K921" s="33" t="inlineStr">
        <is>
          <t>D607861 Allow FJZ to use the MPN with DC &gt;= 245115-106779-01 (CSD95495QVM)15-106360-01 (CSD95485RWJ)15-105515-01 (CSD95496QVM)15-105514-01 (CSD95492QVM)15-103921-01 (CSD95480RWJ)</t>
        </is>
      </c>
      <c r="L921" s="43" t="inlineStr">
        <is>
          <t>Expired</t>
        </is>
      </c>
      <c r="M921" s="43" t="inlineStr">
        <is>
          <t>15-105515-01</t>
        </is>
      </c>
      <c r="N921" s="43" t="inlineStr"/>
      <c r="O921" s="43" t="inlineStr">
        <is>
          <t>2026-02-23</t>
        </is>
      </c>
      <c r="P921" s="33" t="inlineStr">
        <is>
          <t>For temporary Manufacturing process change</t>
        </is>
      </c>
      <c r="Q921" s="43" t="inlineStr">
        <is>
          <t>Allow FJZ to use the MPN with DC &gt;= 2451  15-106779-01 (CSD95495QVM) 15-106360-01 (CSD95485RWJ) 15-105515-01 (CSD95496QVM) 15-105514-01 (CSD95492QVM) 15-103921-01 (CSD95480RWJ)</t>
        </is>
      </c>
      <c r="R921" s="43" t="inlineStr">
        <is>
          <t>2025-11-25</t>
        </is>
      </c>
      <c r="S921" s="43" t="inlineStr">
        <is>
          <t>2026-01-14</t>
        </is>
      </c>
      <c r="T921" s="43" t="inlineStr"/>
      <c r="U921" s="43" t="inlineStr"/>
    </row>
    <row r="922">
      <c r="A922" s="43" t="n">
        <v>922</v>
      </c>
      <c r="B922" s="43" t="inlineStr">
        <is>
          <t>921</t>
        </is>
      </c>
      <c r="C922" s="43" t="inlineStr">
        <is>
          <t>FJZP</t>
        </is>
      </c>
      <c r="D922" s="43" t="inlineStr">
        <is>
          <t>Cisco</t>
        </is>
      </c>
      <c r="E922" s="43" t="inlineStr">
        <is>
          <t>MCGA</t>
        </is>
      </c>
      <c r="F922" s="43" t="inlineStr">
        <is>
          <t>037-STBU</t>
        </is>
      </c>
      <c r="G922" s="43" t="inlineStr">
        <is>
          <t>CTANJZ04981</t>
        </is>
      </c>
      <c r="H922" s="43" t="inlineStr">
        <is>
          <t>For temporary Manufacturing process change</t>
        </is>
      </c>
      <c r="I922" s="43" t="inlineStr">
        <is>
          <t>Customer Deviation</t>
        </is>
      </c>
      <c r="J922" s="43" t="inlineStr">
        <is>
          <t>D607861</t>
        </is>
      </c>
      <c r="K922" s="33" t="inlineStr">
        <is>
          <t>D607861 Allow FJZ to use the MPN with DC &gt;= 245115-106779-01 (CSD95495QVM)15-106360-01 (CSD95485RWJ)15-105515-01 (CSD95496QVM)15-105514-01 (CSD95492QVM)15-103921-01 (CSD95480RWJ)</t>
        </is>
      </c>
      <c r="L922" s="43" t="inlineStr">
        <is>
          <t>Expired</t>
        </is>
      </c>
      <c r="M922" s="43" t="inlineStr">
        <is>
          <t>15-106360-01</t>
        </is>
      </c>
      <c r="N922" s="43" t="inlineStr"/>
      <c r="O922" s="43" t="inlineStr">
        <is>
          <t>2026-02-23</t>
        </is>
      </c>
      <c r="P922" s="33" t="inlineStr">
        <is>
          <t>For temporary Manufacturing process change</t>
        </is>
      </c>
      <c r="Q922" s="43" t="inlineStr">
        <is>
          <t>Allow FJZ to use the MPN with DC &gt;= 2451  15-106779-01 (CSD95495QVM) 15-106360-01 (CSD95485RWJ) 15-105515-01 (CSD95496QVM) 15-105514-01 (CSD95492QVM) 15-103921-01 (CSD95480RWJ)</t>
        </is>
      </c>
      <c r="R922" s="43" t="inlineStr">
        <is>
          <t>2025-11-25</t>
        </is>
      </c>
      <c r="S922" s="43" t="inlineStr">
        <is>
          <t>2026-01-14</t>
        </is>
      </c>
      <c r="T922" s="43" t="inlineStr"/>
      <c r="U922" s="43" t="inlineStr"/>
    </row>
    <row r="923">
      <c r="A923" s="43" t="n">
        <v>923</v>
      </c>
      <c r="B923" s="43" t="inlineStr">
        <is>
          <t>922</t>
        </is>
      </c>
      <c r="C923" s="43" t="inlineStr">
        <is>
          <t>FJZP</t>
        </is>
      </c>
      <c r="D923" s="43" t="inlineStr">
        <is>
          <t>Cisco</t>
        </is>
      </c>
      <c r="E923" s="43" t="inlineStr">
        <is>
          <t>MCGA</t>
        </is>
      </c>
      <c r="F923" s="43" t="inlineStr">
        <is>
          <t>037-STBU</t>
        </is>
      </c>
      <c r="G923" s="43" t="inlineStr">
        <is>
          <t>CTANJZ04981</t>
        </is>
      </c>
      <c r="H923" s="43" t="inlineStr">
        <is>
          <t>For temporary Manufacturing process change</t>
        </is>
      </c>
      <c r="I923" s="43" t="inlineStr">
        <is>
          <t>Customer Deviation</t>
        </is>
      </c>
      <c r="J923" s="43" t="inlineStr">
        <is>
          <t>D607861</t>
        </is>
      </c>
      <c r="K923" s="33" t="inlineStr">
        <is>
          <t>D607861 Allow FJZ to use the MPN with DC &gt;= 245115-106779-01 (CSD95495QVM)15-106360-01 (CSD95485RWJ)15-105515-01 (CSD95496QVM)15-105514-01 (CSD95492QVM)15-103921-01 (CSD95480RWJ)</t>
        </is>
      </c>
      <c r="L923" s="43" t="inlineStr">
        <is>
          <t>Expired</t>
        </is>
      </c>
      <c r="M923" s="43" t="inlineStr">
        <is>
          <t>15-106779-01</t>
        </is>
      </c>
      <c r="N923" s="43" t="inlineStr"/>
      <c r="O923" s="43" t="inlineStr">
        <is>
          <t>2026-02-23</t>
        </is>
      </c>
      <c r="P923" s="33" t="inlineStr">
        <is>
          <t>For temporary Manufacturing process change</t>
        </is>
      </c>
      <c r="Q923" s="43" t="inlineStr">
        <is>
          <t>Allow FJZ to use the MPN with DC &gt;= 2451  15-106779-01 (CSD95495QVM) 15-106360-01 (CSD95485RWJ) 15-105515-01 (CSD95496QVM) 15-105514-01 (CSD95492QVM) 15-103921-01 (CSD95480RWJ)</t>
        </is>
      </c>
      <c r="R923" s="43" t="inlineStr">
        <is>
          <t>2025-11-25</t>
        </is>
      </c>
      <c r="S923" s="43" t="inlineStr">
        <is>
          <t>2026-01-14</t>
        </is>
      </c>
      <c r="T923" s="43" t="inlineStr"/>
      <c r="U923" s="43" t="inlineStr"/>
    </row>
    <row r="924">
      <c r="A924" s="43" t="n">
        <v>924</v>
      </c>
      <c r="B924" s="43" t="inlineStr">
        <is>
          <t>923</t>
        </is>
      </c>
      <c r="C924" s="43" t="inlineStr">
        <is>
          <t>FJZP</t>
        </is>
      </c>
      <c r="D924" s="43" t="inlineStr">
        <is>
          <t>Cisco</t>
        </is>
      </c>
      <c r="E924" s="43" t="inlineStr">
        <is>
          <t>MCGA</t>
        </is>
      </c>
      <c r="F924" s="43" t="inlineStr">
        <is>
          <t>037-STBU</t>
        </is>
      </c>
      <c r="G924" s="43" t="inlineStr">
        <is>
          <t>CTANJZ04981</t>
        </is>
      </c>
      <c r="H924" s="43" t="inlineStr">
        <is>
          <t>For temporary Manufacturing process change</t>
        </is>
      </c>
      <c r="I924" s="43" t="inlineStr">
        <is>
          <t>Customer Deviation</t>
        </is>
      </c>
      <c r="J924" s="43" t="inlineStr">
        <is>
          <t>D607861</t>
        </is>
      </c>
      <c r="K924" s="33" t="inlineStr">
        <is>
          <t>D607861 Allow FJZ to use the MPN with DC &gt;= 245115-106779-01 (CSD95495QVM)15-106360-01 (CSD95485RWJ)15-105515-01 (CSD95496QVM)15-105514-01 (CSD95492QVM)15-103921-01 (CSD95480RWJ)</t>
        </is>
      </c>
      <c r="L924" s="43" t="inlineStr">
        <is>
          <t>Expired</t>
        </is>
      </c>
      <c r="M924" s="43" t="inlineStr">
        <is>
          <t>73-102433-05</t>
        </is>
      </c>
      <c r="N924" s="43" t="inlineStr"/>
      <c r="O924" s="43" t="inlineStr">
        <is>
          <t>2026-02-23</t>
        </is>
      </c>
      <c r="P924" s="33" t="inlineStr">
        <is>
          <t>For temporary Manufacturing process change</t>
        </is>
      </c>
      <c r="Q924" s="43" t="inlineStr">
        <is>
          <t>Allow FJZ to use the MPN with DC &gt;= 2451  15-106779-01 (CSD95495QVM) 15-106360-01 (CSD95485RWJ) 15-105515-01 (CSD95496QVM) 15-105514-01 (CSD95492QVM) 15-103921-01 (CSD95480RWJ)</t>
        </is>
      </c>
      <c r="R924" s="43" t="inlineStr">
        <is>
          <t>2025-11-25</t>
        </is>
      </c>
      <c r="S924" s="43" t="inlineStr">
        <is>
          <t>2026-01-14</t>
        </is>
      </c>
      <c r="T924" s="43" t="inlineStr"/>
      <c r="U924" s="43" t="inlineStr"/>
    </row>
    <row r="925">
      <c r="A925" s="43" t="n">
        <v>925</v>
      </c>
      <c r="B925" s="43" t="inlineStr">
        <is>
          <t>924</t>
        </is>
      </c>
      <c r="C925" s="43" t="inlineStr">
        <is>
          <t>FJZP</t>
        </is>
      </c>
      <c r="D925" s="43" t="inlineStr">
        <is>
          <t>Cisco</t>
        </is>
      </c>
      <c r="E925" s="43" t="inlineStr">
        <is>
          <t>MCGA</t>
        </is>
      </c>
      <c r="F925" s="43" t="inlineStr">
        <is>
          <t>037-STBU</t>
        </is>
      </c>
      <c r="G925" s="43" t="inlineStr">
        <is>
          <t>CTANJZ04691</t>
        </is>
      </c>
      <c r="H925" s="43" t="inlineStr">
        <is>
          <t>For temporary Manufacturing process change</t>
        </is>
      </c>
      <c r="I925" s="43" t="inlineStr">
        <is>
          <t>Customer Deviation</t>
        </is>
      </c>
      <c r="J925" s="43" t="inlineStr">
        <is>
          <t>D604637</t>
        </is>
      </c>
      <c r="K925" s="33" t="inlineStr">
        <is>
          <t>D604637 Deviation created to allow FJZ to test Tufnell units from Bone Pile with old revision for temporary manufacturing process changes.</t>
        </is>
      </c>
      <c r="L925" s="43" t="inlineStr">
        <is>
          <t>Expired</t>
        </is>
      </c>
      <c r="M925" s="43" t="inlineStr">
        <is>
          <t>68-7638-01</t>
        </is>
      </c>
      <c r="N925" s="43" t="inlineStr"/>
      <c r="O925" s="43" t="inlineStr">
        <is>
          <t>2025-09-23</t>
        </is>
      </c>
      <c r="P925" s="33" t="inlineStr">
        <is>
          <t>For temporary Manufacturing process change</t>
        </is>
      </c>
      <c r="Q925" s="43" t="inlineStr">
        <is>
          <t>Stick the dev label in a visible place of the unit</t>
        </is>
      </c>
      <c r="R925" s="43" t="inlineStr">
        <is>
          <t>2025-06-26</t>
        </is>
      </c>
      <c r="S925" s="43" t="inlineStr">
        <is>
          <t>2025-07-15</t>
        </is>
      </c>
      <c r="T925" s="43" t="inlineStr"/>
      <c r="U925" s="43" t="inlineStr"/>
    </row>
    <row r="926">
      <c r="A926" s="43" t="n">
        <v>926</v>
      </c>
      <c r="B926" s="43" t="inlineStr">
        <is>
          <t>925</t>
        </is>
      </c>
      <c r="C926" s="43" t="inlineStr">
        <is>
          <t>FJZP</t>
        </is>
      </c>
      <c r="D926" s="43" t="inlineStr">
        <is>
          <t>Cisco</t>
        </is>
      </c>
      <c r="E926" s="43" t="inlineStr">
        <is>
          <t>MCGA</t>
        </is>
      </c>
      <c r="F926" s="43" t="inlineStr">
        <is>
          <t>037-STBU</t>
        </is>
      </c>
      <c r="G926" s="43" t="inlineStr">
        <is>
          <t>CTANJZ04691</t>
        </is>
      </c>
      <c r="H926" s="43" t="inlineStr">
        <is>
          <t>For temporary Manufacturing process change</t>
        </is>
      </c>
      <c r="I926" s="43" t="inlineStr">
        <is>
          <t>Customer Deviation</t>
        </is>
      </c>
      <c r="J926" s="43" t="inlineStr">
        <is>
          <t>D604637</t>
        </is>
      </c>
      <c r="K926" s="33" t="inlineStr">
        <is>
          <t>D604637 Deviation created to allow FJZ to test Tufnell units from Bone Pile with old revision for temporary manufacturing process changes.</t>
        </is>
      </c>
      <c r="L926" s="43" t="inlineStr">
        <is>
          <t>Expired</t>
        </is>
      </c>
      <c r="M926" s="43" t="inlineStr">
        <is>
          <t>73-20247-05</t>
        </is>
      </c>
      <c r="N926" s="43" t="inlineStr"/>
      <c r="O926" s="43" t="inlineStr">
        <is>
          <t>2025-09-23</t>
        </is>
      </c>
      <c r="P926" s="33" t="inlineStr">
        <is>
          <t>For temporary Manufacturing process change</t>
        </is>
      </c>
      <c r="Q926" s="43" t="inlineStr">
        <is>
          <t>Stick the dev label in a visible place of the unit</t>
        </is>
      </c>
      <c r="R926" s="43" t="inlineStr">
        <is>
          <t>2025-06-26</t>
        </is>
      </c>
      <c r="S926" s="43" t="inlineStr">
        <is>
          <t>2025-07-15</t>
        </is>
      </c>
      <c r="T926" s="43" t="inlineStr"/>
      <c r="U926" s="43" t="inlineStr"/>
    </row>
    <row r="927">
      <c r="A927" s="43" t="n">
        <v>927</v>
      </c>
      <c r="B927" s="43" t="inlineStr">
        <is>
          <t>926</t>
        </is>
      </c>
      <c r="C927" s="43" t="inlineStr">
        <is>
          <t>FJZP</t>
        </is>
      </c>
      <c r="D927" s="43" t="inlineStr">
        <is>
          <t>Cisco</t>
        </is>
      </c>
      <c r="E927" s="43" t="inlineStr">
        <is>
          <t>MCGA</t>
        </is>
      </c>
      <c r="F927" s="43" t="inlineStr">
        <is>
          <t>037-STBU</t>
        </is>
      </c>
      <c r="G927" s="43" t="inlineStr">
        <is>
          <t>CTANJZ04691</t>
        </is>
      </c>
      <c r="H927" s="43" t="inlineStr">
        <is>
          <t>For temporary Manufacturing process change</t>
        </is>
      </c>
      <c r="I927" s="43" t="inlineStr">
        <is>
          <t>Customer Deviation</t>
        </is>
      </c>
      <c r="J927" s="43" t="inlineStr">
        <is>
          <t>D604637</t>
        </is>
      </c>
      <c r="K927" s="33" t="inlineStr">
        <is>
          <t>D604637 Deviation created to allow FJZ to test Tufnell units from Bone Pile with old revision for temporary manufacturing process changes.</t>
        </is>
      </c>
      <c r="L927" s="43" t="inlineStr">
        <is>
          <t>Expired</t>
        </is>
      </c>
      <c r="M927" s="43" t="inlineStr">
        <is>
          <t>73-20249-05</t>
        </is>
      </c>
      <c r="N927" s="43" t="inlineStr"/>
      <c r="O927" s="43" t="inlineStr">
        <is>
          <t>2025-09-23</t>
        </is>
      </c>
      <c r="P927" s="33" t="inlineStr">
        <is>
          <t>For temporary Manufacturing process change</t>
        </is>
      </c>
      <c r="Q927" s="43" t="inlineStr">
        <is>
          <t>Stick the dev label in a visible place of the unit</t>
        </is>
      </c>
      <c r="R927" s="43" t="inlineStr">
        <is>
          <t>2025-06-26</t>
        </is>
      </c>
      <c r="S927" s="43" t="inlineStr">
        <is>
          <t>2025-07-15</t>
        </is>
      </c>
      <c r="T927" s="43" t="inlineStr"/>
      <c r="U927" s="43" t="inlineStr"/>
    </row>
    <row r="928">
      <c r="A928" s="43" t="n">
        <v>928</v>
      </c>
      <c r="B928" s="43" t="inlineStr">
        <is>
          <t>927</t>
        </is>
      </c>
      <c r="C928" s="43" t="inlineStr">
        <is>
          <t>FJZP</t>
        </is>
      </c>
      <c r="D928" s="43" t="inlineStr">
        <is>
          <t>Cisco</t>
        </is>
      </c>
      <c r="E928" s="43" t="inlineStr">
        <is>
          <t>MCGA</t>
        </is>
      </c>
      <c r="F928" s="43" t="inlineStr">
        <is>
          <t>037-STBU</t>
        </is>
      </c>
      <c r="G928" s="43" t="inlineStr">
        <is>
          <t>CTANJZ04691</t>
        </is>
      </c>
      <c r="H928" s="43" t="inlineStr">
        <is>
          <t>For temporary Manufacturing process change</t>
        </is>
      </c>
      <c r="I928" s="43" t="inlineStr">
        <is>
          <t>Customer Deviation</t>
        </is>
      </c>
      <c r="J928" s="43" t="inlineStr">
        <is>
          <t>D604637</t>
        </is>
      </c>
      <c r="K928" s="33" t="inlineStr">
        <is>
          <t>D604637 Deviation created to allow FJZ to test Tufnell units from Bone Pile with old revision for temporary manufacturing process changes.</t>
        </is>
      </c>
      <c r="L928" s="43" t="inlineStr">
        <is>
          <t>Expired</t>
        </is>
      </c>
      <c r="M928" s="43" t="inlineStr">
        <is>
          <t>800-108035-04</t>
        </is>
      </c>
      <c r="N928" s="43" t="inlineStr"/>
      <c r="O928" s="43" t="inlineStr">
        <is>
          <t>2025-09-23</t>
        </is>
      </c>
      <c r="P928" s="33" t="inlineStr">
        <is>
          <t>For temporary Manufacturing process change</t>
        </is>
      </c>
      <c r="Q928" s="43" t="inlineStr">
        <is>
          <t>Stick the dev label in a visible place of the unit</t>
        </is>
      </c>
      <c r="R928" s="43" t="inlineStr">
        <is>
          <t>2025-06-26</t>
        </is>
      </c>
      <c r="S928" s="43" t="inlineStr">
        <is>
          <t>2025-07-15</t>
        </is>
      </c>
      <c r="T928" s="43" t="inlineStr"/>
      <c r="U928" s="43" t="inlineStr"/>
    </row>
    <row r="929">
      <c r="A929" s="43" t="n">
        <v>929</v>
      </c>
      <c r="B929" s="43" t="inlineStr">
        <is>
          <t>928</t>
        </is>
      </c>
      <c r="C929" s="43" t="inlineStr">
        <is>
          <t>FJZP</t>
        </is>
      </c>
      <c r="D929" s="43" t="inlineStr">
        <is>
          <t>Cisco</t>
        </is>
      </c>
      <c r="E929" s="43" t="inlineStr">
        <is>
          <t>MCGA</t>
        </is>
      </c>
      <c r="F929" s="43" t="inlineStr">
        <is>
          <t>037-STBU</t>
        </is>
      </c>
      <c r="G929" s="43" t="inlineStr">
        <is>
          <t>CTANJZ04691</t>
        </is>
      </c>
      <c r="H929" s="43" t="inlineStr">
        <is>
          <t>For temporary Manufacturing process change</t>
        </is>
      </c>
      <c r="I929" s="43" t="inlineStr">
        <is>
          <t>Customer Deviation</t>
        </is>
      </c>
      <c r="J929" s="43" t="inlineStr">
        <is>
          <t>D604637</t>
        </is>
      </c>
      <c r="K929" s="33" t="inlineStr">
        <is>
          <t>D604637 Deviation created to allow FJZ to test Tufnell units from Bone Pile with old revision for temporary manufacturing process changes.</t>
        </is>
      </c>
      <c r="L929" s="43" t="inlineStr">
        <is>
          <t>Expired</t>
        </is>
      </c>
      <c r="M929" s="43" t="inlineStr">
        <is>
          <t>800-108036-04</t>
        </is>
      </c>
      <c r="N929" s="43" t="inlineStr"/>
      <c r="O929" s="43" t="inlineStr">
        <is>
          <t>2025-09-23</t>
        </is>
      </c>
      <c r="P929" s="33" t="inlineStr">
        <is>
          <t>For temporary Manufacturing process change</t>
        </is>
      </c>
      <c r="Q929" s="43" t="inlineStr">
        <is>
          <t>Stick the dev label in a visible place of the unit</t>
        </is>
      </c>
      <c r="R929" s="43" t="inlineStr">
        <is>
          <t>2025-06-26</t>
        </is>
      </c>
      <c r="S929" s="43" t="inlineStr">
        <is>
          <t>2025-07-15</t>
        </is>
      </c>
      <c r="T929" s="43" t="inlineStr"/>
      <c r="U929" s="43" t="inlineStr"/>
    </row>
    <row r="930">
      <c r="A930" s="43" t="n">
        <v>930</v>
      </c>
      <c r="B930" s="43" t="inlineStr">
        <is>
          <t>929</t>
        </is>
      </c>
      <c r="C930" s="43" t="inlineStr">
        <is>
          <t>FJZP</t>
        </is>
      </c>
      <c r="D930" s="43" t="inlineStr">
        <is>
          <t>Cisco</t>
        </is>
      </c>
      <c r="E930" s="43" t="inlineStr">
        <is>
          <t>MCGA</t>
        </is>
      </c>
      <c r="F930" s="43" t="inlineStr">
        <is>
          <t>037-STBU</t>
        </is>
      </c>
      <c r="G930" s="43" t="inlineStr">
        <is>
          <t>CTANJZ04691</t>
        </is>
      </c>
      <c r="H930" s="43" t="inlineStr">
        <is>
          <t>For temporary Manufacturing process change</t>
        </is>
      </c>
      <c r="I930" s="43" t="inlineStr">
        <is>
          <t>Customer Deviation</t>
        </is>
      </c>
      <c r="J930" s="43" t="inlineStr">
        <is>
          <t>D604637</t>
        </is>
      </c>
      <c r="K930" s="33" t="inlineStr">
        <is>
          <t>D604637 Deviation created to allow FJZ to test Tufnell units from Bone Pile with old revision for temporary manufacturing process changes.</t>
        </is>
      </c>
      <c r="L930" s="43" t="inlineStr">
        <is>
          <t>Expired</t>
        </is>
      </c>
      <c r="M930" s="43" t="inlineStr">
        <is>
          <t>800-108037-04</t>
        </is>
      </c>
      <c r="N930" s="43" t="inlineStr"/>
      <c r="O930" s="43" t="inlineStr">
        <is>
          <t>2025-09-23</t>
        </is>
      </c>
      <c r="P930" s="33" t="inlineStr">
        <is>
          <t>For temporary Manufacturing process change</t>
        </is>
      </c>
      <c r="Q930" s="43" t="inlineStr">
        <is>
          <t>Stick the dev label in a visible place of the unit</t>
        </is>
      </c>
      <c r="R930" s="43" t="inlineStr">
        <is>
          <t>2025-06-26</t>
        </is>
      </c>
      <c r="S930" s="43" t="inlineStr">
        <is>
          <t>2025-07-15</t>
        </is>
      </c>
      <c r="T930" s="43" t="inlineStr"/>
      <c r="U930" s="43" t="inlineStr"/>
    </row>
    <row r="931">
      <c r="A931" s="43" t="n">
        <v>931</v>
      </c>
      <c r="B931" s="43" t="inlineStr">
        <is>
          <t>930</t>
        </is>
      </c>
      <c r="C931" s="43" t="inlineStr">
        <is>
          <t>FJZP</t>
        </is>
      </c>
      <c r="D931" s="43" t="inlineStr">
        <is>
          <t>Cisco</t>
        </is>
      </c>
      <c r="E931" s="43" t="inlineStr">
        <is>
          <t>MCGA</t>
        </is>
      </c>
      <c r="F931" s="43" t="inlineStr">
        <is>
          <t>037-STBU</t>
        </is>
      </c>
      <c r="G931" s="43" t="inlineStr">
        <is>
          <t>CTANJZ04691</t>
        </is>
      </c>
      <c r="H931" s="43" t="inlineStr">
        <is>
          <t>For temporary Manufacturing process change</t>
        </is>
      </c>
      <c r="I931" s="43" t="inlineStr">
        <is>
          <t>Customer Deviation</t>
        </is>
      </c>
      <c r="J931" s="43" t="inlineStr">
        <is>
          <t>D604637</t>
        </is>
      </c>
      <c r="K931" s="33" t="inlineStr">
        <is>
          <t>D604637 Deviation created to allow FJZ to test Tufnell units from Bone Pile with old revision for temporary manufacturing process changes.</t>
        </is>
      </c>
      <c r="L931" s="43" t="inlineStr">
        <is>
          <t>Expired</t>
        </is>
      </c>
      <c r="M931" s="43" t="inlineStr">
        <is>
          <t>800-108038-04</t>
        </is>
      </c>
      <c r="N931" s="43" t="inlineStr"/>
      <c r="O931" s="43" t="inlineStr">
        <is>
          <t>2025-09-23</t>
        </is>
      </c>
      <c r="P931" s="33" t="inlineStr">
        <is>
          <t>For temporary Manufacturing process change</t>
        </is>
      </c>
      <c r="Q931" s="43" t="inlineStr">
        <is>
          <t>Stick the dev label in a visible place of the unit</t>
        </is>
      </c>
      <c r="R931" s="43" t="inlineStr">
        <is>
          <t>2025-06-26</t>
        </is>
      </c>
      <c r="S931" s="43" t="inlineStr">
        <is>
          <t>2025-07-15</t>
        </is>
      </c>
      <c r="T931" s="43" t="inlineStr"/>
      <c r="U931" s="43" t="inlineStr"/>
    </row>
    <row r="932">
      <c r="A932" s="43" t="n">
        <v>932</v>
      </c>
      <c r="B932" s="43" t="inlineStr">
        <is>
          <t>931</t>
        </is>
      </c>
      <c r="C932" s="43" t="inlineStr">
        <is>
          <t>FJZP</t>
        </is>
      </c>
      <c r="D932" s="43" t="inlineStr">
        <is>
          <t>Cisco</t>
        </is>
      </c>
      <c r="E932" s="43" t="inlineStr">
        <is>
          <t>MCGA</t>
        </is>
      </c>
      <c r="F932" s="43" t="inlineStr">
        <is>
          <t>037-STBU</t>
        </is>
      </c>
      <c r="G932" s="43" t="inlineStr">
        <is>
          <t>CTANJZ04691</t>
        </is>
      </c>
      <c r="H932" s="43" t="inlineStr">
        <is>
          <t>For temporary Manufacturing process change</t>
        </is>
      </c>
      <c r="I932" s="43" t="inlineStr">
        <is>
          <t>Customer Deviation</t>
        </is>
      </c>
      <c r="J932" s="43" t="inlineStr">
        <is>
          <t>D604637</t>
        </is>
      </c>
      <c r="K932" s="33" t="inlineStr">
        <is>
          <t>D604637 Deviation created to allow FJZ to test Tufnell units from Bone Pile with old revision for temporary manufacturing process changes.</t>
        </is>
      </c>
      <c r="L932" s="43" t="inlineStr">
        <is>
          <t>Expired</t>
        </is>
      </c>
      <c r="M932" s="43" t="inlineStr">
        <is>
          <t>800-110666-01</t>
        </is>
      </c>
      <c r="N932" s="43" t="inlineStr"/>
      <c r="O932" s="43" t="inlineStr">
        <is>
          <t>2025-09-23</t>
        </is>
      </c>
      <c r="P932" s="33" t="inlineStr">
        <is>
          <t>For temporary Manufacturing process change</t>
        </is>
      </c>
      <c r="Q932" s="43" t="inlineStr">
        <is>
          <t>Stick the dev label in a visible place of the unit</t>
        </is>
      </c>
      <c r="R932" s="43" t="inlineStr">
        <is>
          <t>2025-06-26</t>
        </is>
      </c>
      <c r="S932" s="43" t="inlineStr">
        <is>
          <t>2025-07-15</t>
        </is>
      </c>
      <c r="T932" s="43" t="inlineStr"/>
      <c r="U932" s="43" t="inlineStr"/>
    </row>
    <row r="933">
      <c r="A933" s="43" t="n">
        <v>933</v>
      </c>
      <c r="B933" s="43" t="inlineStr">
        <is>
          <t>932</t>
        </is>
      </c>
      <c r="C933" s="43" t="inlineStr">
        <is>
          <t>FJZP</t>
        </is>
      </c>
      <c r="D933" s="43" t="inlineStr">
        <is>
          <t>Cisco</t>
        </is>
      </c>
      <c r="E933" s="43" t="inlineStr">
        <is>
          <t>MCGA</t>
        </is>
      </c>
      <c r="F933" s="43" t="inlineStr">
        <is>
          <t>037-STBU</t>
        </is>
      </c>
      <c r="G933" s="43" t="inlineStr">
        <is>
          <t>CTANJZ04945</t>
        </is>
      </c>
      <c r="H933" s="43" t="inlineStr">
        <is>
          <t>For temporary Manufacturing process change</t>
        </is>
      </c>
      <c r="I933" s="43" t="inlineStr">
        <is>
          <t>Customer Deviation</t>
        </is>
      </c>
      <c r="J933" s="43" t="inlineStr">
        <is>
          <t>D607354</t>
        </is>
      </c>
      <c r="K933" s="33" t="inlineStr">
        <is>
          <t>D607354 Use 74-126726-01 as substitute of 74-113291-01 on DF</t>
        </is>
      </c>
      <c r="L933" s="43" t="inlineStr">
        <is>
          <t>Expired</t>
        </is>
      </c>
      <c r="M933" s="43" t="inlineStr">
        <is>
          <t>68-7253-04</t>
        </is>
      </c>
      <c r="N933" s="43" t="inlineStr"/>
      <c r="O933" s="43" t="inlineStr">
        <is>
          <t>2026-01-28</t>
        </is>
      </c>
      <c r="P933" s="33" t="inlineStr">
        <is>
          <t>For temporary Manufacturing process change</t>
        </is>
      </c>
      <c r="Q933" s="43" t="inlineStr">
        <is>
          <t>Stick dev label on chassis (easy visible location)</t>
        </is>
      </c>
      <c r="R933" s="43" t="inlineStr">
        <is>
          <t>2025-10-31</t>
        </is>
      </c>
      <c r="S933" s="43" t="inlineStr">
        <is>
          <t>2025-11-29</t>
        </is>
      </c>
      <c r="T933" s="43" t="inlineStr"/>
      <c r="U933" s="43" t="inlineStr"/>
    </row>
    <row r="934">
      <c r="A934" s="43" t="n">
        <v>934</v>
      </c>
      <c r="B934" s="43" t="inlineStr">
        <is>
          <t>933</t>
        </is>
      </c>
      <c r="C934" s="43" t="inlineStr">
        <is>
          <t>FJZP</t>
        </is>
      </c>
      <c r="D934" s="43" t="inlineStr">
        <is>
          <t>Cisco</t>
        </is>
      </c>
      <c r="E934" s="43" t="inlineStr">
        <is>
          <t>MCGA</t>
        </is>
      </c>
      <c r="F934" s="43" t="inlineStr">
        <is>
          <t>037-STBU</t>
        </is>
      </c>
      <c r="G934" s="43" t="inlineStr">
        <is>
          <t>CTANJZ04945</t>
        </is>
      </c>
      <c r="H934" s="43" t="inlineStr">
        <is>
          <t>For temporary Manufacturing process change</t>
        </is>
      </c>
      <c r="I934" s="43" t="inlineStr">
        <is>
          <t>Customer Deviation</t>
        </is>
      </c>
      <c r="J934" s="43" t="inlineStr">
        <is>
          <t>D607354</t>
        </is>
      </c>
      <c r="K934" s="33" t="inlineStr">
        <is>
          <t>D607354 Use 74-126726-01 as substitute of 74-113291-01 on DF</t>
        </is>
      </c>
      <c r="L934" s="43" t="inlineStr">
        <is>
          <t>Expired</t>
        </is>
      </c>
      <c r="M934" s="43" t="inlineStr">
        <is>
          <t>68-7254-04</t>
        </is>
      </c>
      <c r="N934" s="43" t="inlineStr"/>
      <c r="O934" s="43" t="inlineStr">
        <is>
          <t>2026-01-28</t>
        </is>
      </c>
      <c r="P934" s="33" t="inlineStr">
        <is>
          <t>For temporary Manufacturing process change</t>
        </is>
      </c>
      <c r="Q934" s="43" t="inlineStr">
        <is>
          <t>Stick dev label on chassis (easy visible location)</t>
        </is>
      </c>
      <c r="R934" s="43" t="inlineStr">
        <is>
          <t>2025-10-31</t>
        </is>
      </c>
      <c r="S934" s="43" t="inlineStr">
        <is>
          <t>2025-11-29</t>
        </is>
      </c>
      <c r="T934" s="43" t="inlineStr"/>
      <c r="U934" s="43" t="inlineStr"/>
    </row>
    <row r="935">
      <c r="A935" s="43" t="n">
        <v>935</v>
      </c>
      <c r="B935" s="43" t="inlineStr">
        <is>
          <t>934</t>
        </is>
      </c>
      <c r="C935" s="43" t="inlineStr">
        <is>
          <t>FJZP</t>
        </is>
      </c>
      <c r="D935" s="43" t="inlineStr">
        <is>
          <t>Cisco</t>
        </is>
      </c>
      <c r="E935" s="43" t="inlineStr">
        <is>
          <t>MCGA</t>
        </is>
      </c>
      <c r="F935" s="43" t="inlineStr">
        <is>
          <t>037-STBU</t>
        </is>
      </c>
      <c r="G935" s="43" t="inlineStr">
        <is>
          <t>CTANJZ04945</t>
        </is>
      </c>
      <c r="H935" s="43" t="inlineStr">
        <is>
          <t>For temporary Manufacturing process change</t>
        </is>
      </c>
      <c r="I935" s="43" t="inlineStr">
        <is>
          <t>Customer Deviation</t>
        </is>
      </c>
      <c r="J935" s="43" t="inlineStr">
        <is>
          <t>D607354</t>
        </is>
      </c>
      <c r="K935" s="33" t="inlineStr">
        <is>
          <t>D607354 Use 74-126726-01 as substitute of 74-113291-01 on DF</t>
        </is>
      </c>
      <c r="L935" s="43" t="inlineStr">
        <is>
          <t>Expired</t>
        </is>
      </c>
      <c r="M935" s="43" t="inlineStr">
        <is>
          <t>68-7255-04</t>
        </is>
      </c>
      <c r="N935" s="43" t="inlineStr"/>
      <c r="O935" s="43" t="inlineStr">
        <is>
          <t>2026-01-28</t>
        </is>
      </c>
      <c r="P935" s="33" t="inlineStr">
        <is>
          <t>For temporary Manufacturing process change</t>
        </is>
      </c>
      <c r="Q935" s="43" t="inlineStr">
        <is>
          <t>Stick dev label on chassis (easy visible location)</t>
        </is>
      </c>
      <c r="R935" s="43" t="inlineStr">
        <is>
          <t>2025-10-31</t>
        </is>
      </c>
      <c r="S935" s="43" t="inlineStr">
        <is>
          <t>2025-11-29</t>
        </is>
      </c>
      <c r="T935" s="43" t="inlineStr"/>
      <c r="U935" s="43" t="inlineStr"/>
    </row>
    <row r="936">
      <c r="A936" s="43" t="n">
        <v>936</v>
      </c>
      <c r="B936" s="43" t="inlineStr">
        <is>
          <t>935</t>
        </is>
      </c>
      <c r="C936" s="43" t="inlineStr">
        <is>
          <t>FJZP</t>
        </is>
      </c>
      <c r="D936" s="43" t="inlineStr">
        <is>
          <t>Cisco</t>
        </is>
      </c>
      <c r="E936" s="43" t="inlineStr">
        <is>
          <t>MCGA</t>
        </is>
      </c>
      <c r="F936" s="43" t="inlineStr">
        <is>
          <t>037-STBU</t>
        </is>
      </c>
      <c r="G936" s="43" t="inlineStr">
        <is>
          <t>CTANJZ04945</t>
        </is>
      </c>
      <c r="H936" s="43" t="inlineStr">
        <is>
          <t>For temporary Manufacturing process change</t>
        </is>
      </c>
      <c r="I936" s="43" t="inlineStr">
        <is>
          <t>Customer Deviation</t>
        </is>
      </c>
      <c r="J936" s="43" t="inlineStr">
        <is>
          <t>D607354</t>
        </is>
      </c>
      <c r="K936" s="33" t="inlineStr">
        <is>
          <t>D607354 Use 74-126726-01 as substitute of 74-113291-01 on DF</t>
        </is>
      </c>
      <c r="L936" s="43" t="inlineStr">
        <is>
          <t>Expired</t>
        </is>
      </c>
      <c r="M936" s="43" t="inlineStr">
        <is>
          <t>68-7256-04</t>
        </is>
      </c>
      <c r="N936" s="43" t="inlineStr"/>
      <c r="O936" s="43" t="inlineStr">
        <is>
          <t>2026-01-28</t>
        </is>
      </c>
      <c r="P936" s="33" t="inlineStr">
        <is>
          <t>For temporary Manufacturing process change</t>
        </is>
      </c>
      <c r="Q936" s="43" t="inlineStr">
        <is>
          <t>Stick dev label on chassis (easy visible location)</t>
        </is>
      </c>
      <c r="R936" s="43" t="inlineStr">
        <is>
          <t>2025-10-31</t>
        </is>
      </c>
      <c r="S936" s="43" t="inlineStr">
        <is>
          <t>2025-11-29</t>
        </is>
      </c>
      <c r="T936" s="43" t="inlineStr"/>
      <c r="U936" s="43" t="inlineStr"/>
    </row>
    <row r="937">
      <c r="A937" s="43" t="n">
        <v>937</v>
      </c>
      <c r="B937" s="43" t="inlineStr">
        <is>
          <t>936</t>
        </is>
      </c>
      <c r="C937" s="43" t="inlineStr">
        <is>
          <t>FJZP</t>
        </is>
      </c>
      <c r="D937" s="43" t="inlineStr">
        <is>
          <t>Cisco</t>
        </is>
      </c>
      <c r="E937" s="43" t="inlineStr">
        <is>
          <t>MCGA</t>
        </is>
      </c>
      <c r="F937" s="43" t="inlineStr">
        <is>
          <t>037-STBU</t>
        </is>
      </c>
      <c r="G937" s="43" t="inlineStr">
        <is>
          <t>CTANJZ04945</t>
        </is>
      </c>
      <c r="H937" s="43" t="inlineStr">
        <is>
          <t>For temporary Manufacturing process change</t>
        </is>
      </c>
      <c r="I937" s="43" t="inlineStr">
        <is>
          <t>Customer Deviation</t>
        </is>
      </c>
      <c r="J937" s="43" t="inlineStr">
        <is>
          <t>D607354</t>
        </is>
      </c>
      <c r="K937" s="33" t="inlineStr">
        <is>
          <t>D607354 Use 74-126726-01 as substitute of 74-113291-01 on DF</t>
        </is>
      </c>
      <c r="L937" s="43" t="inlineStr">
        <is>
          <t>Expired</t>
        </is>
      </c>
      <c r="M937" s="43" t="inlineStr">
        <is>
          <t>68-7638-01</t>
        </is>
      </c>
      <c r="N937" s="43" t="inlineStr"/>
      <c r="O937" s="43" t="inlineStr">
        <is>
          <t>2026-01-28</t>
        </is>
      </c>
      <c r="P937" s="33" t="inlineStr">
        <is>
          <t>For temporary Manufacturing process change</t>
        </is>
      </c>
      <c r="Q937" s="43" t="inlineStr">
        <is>
          <t>Stick dev label on chassis (easy visible location)</t>
        </is>
      </c>
      <c r="R937" s="43" t="inlineStr">
        <is>
          <t>2025-10-31</t>
        </is>
      </c>
      <c r="S937" s="43" t="inlineStr">
        <is>
          <t>2025-11-29</t>
        </is>
      </c>
      <c r="T937" s="43" t="inlineStr"/>
      <c r="U937" s="43" t="inlineStr"/>
    </row>
    <row r="938">
      <c r="A938" s="43" t="n">
        <v>938</v>
      </c>
      <c r="B938" s="43" t="inlineStr">
        <is>
          <t>937</t>
        </is>
      </c>
      <c r="C938" s="43" t="inlineStr">
        <is>
          <t>FJZP</t>
        </is>
      </c>
      <c r="D938" s="43" t="inlineStr">
        <is>
          <t>Cisco</t>
        </is>
      </c>
      <c r="E938" s="43" t="inlineStr">
        <is>
          <t>MCGA</t>
        </is>
      </c>
      <c r="F938" s="43" t="inlineStr">
        <is>
          <t>037-STBU</t>
        </is>
      </c>
      <c r="G938" s="43" t="inlineStr">
        <is>
          <t>CTANJZ04944</t>
        </is>
      </c>
      <c r="H938" s="43" t="inlineStr">
        <is>
          <t>For temporary Manufacturing process change</t>
        </is>
      </c>
      <c r="I938" s="43" t="inlineStr">
        <is>
          <t>Customer Deviation</t>
        </is>
      </c>
      <c r="J938" s="43" t="inlineStr">
        <is>
          <t>DP525176</t>
        </is>
      </c>
      <c r="K938" s="33" t="inlineStr">
        <is>
          <t>DP525176 This Prototype deviation will be used for Woodside Park Pre-Pilot build at FJZ Mexico.1. Change usage of 49-0574-01 from 12pcs to 6pcs under 800-112578-01 Rev:A02. Adding the the circle and enlarge of the Power icon for 800-112578-01 Rev:A03. Reduce the the material on 700-134990-01 Rev: A0 per DFM proposal for 800-112578-01 Rev:A0</t>
        </is>
      </c>
      <c r="L938" s="43" t="inlineStr">
        <is>
          <t>Expired</t>
        </is>
      </c>
      <c r="M938" s="43" t="inlineStr">
        <is>
          <t>800-112581-04</t>
        </is>
      </c>
      <c r="N938" s="43" t="inlineStr"/>
      <c r="O938" s="43" t="inlineStr">
        <is>
          <t>2025-12-29</t>
        </is>
      </c>
      <c r="P938" s="33" t="inlineStr">
        <is>
          <t>For temporary Manufacturing process change</t>
        </is>
      </c>
      <c r="Q938" s="43" t="inlineStr">
        <is>
          <t>Mark at supplier discretion.</t>
        </is>
      </c>
      <c r="R938" s="43" t="inlineStr">
        <is>
          <t>2025-10-31</t>
        </is>
      </c>
      <c r="S938" s="43" t="inlineStr">
        <is>
          <t>2025-11-21</t>
        </is>
      </c>
      <c r="T938" s="43" t="inlineStr"/>
      <c r="U938" s="43" t="inlineStr"/>
    </row>
    <row r="939">
      <c r="A939" s="43" t="n">
        <v>939</v>
      </c>
      <c r="B939" s="43" t="inlineStr">
        <is>
          <t>938</t>
        </is>
      </c>
      <c r="C939" s="43" t="inlineStr">
        <is>
          <t>FJZP</t>
        </is>
      </c>
      <c r="D939" s="43" t="inlineStr">
        <is>
          <t>Cisco</t>
        </is>
      </c>
      <c r="E939" s="43" t="inlineStr">
        <is>
          <t>MCGA</t>
        </is>
      </c>
      <c r="F939" s="43" t="inlineStr">
        <is>
          <t>037-STBU</t>
        </is>
      </c>
      <c r="G939" s="43" t="inlineStr">
        <is>
          <t>CTANJZ04944</t>
        </is>
      </c>
      <c r="H939" s="43" t="inlineStr">
        <is>
          <t>For temporary Manufacturing process change</t>
        </is>
      </c>
      <c r="I939" s="43" t="inlineStr">
        <is>
          <t>Customer Deviation</t>
        </is>
      </c>
      <c r="J939" s="43" t="inlineStr">
        <is>
          <t>DP525176</t>
        </is>
      </c>
      <c r="K939" s="33" t="inlineStr">
        <is>
          <t>DP525176 This Prototype deviation will be used for Woodside Park Pre-Pilot build at FJZ Mexico.1. Change usage of 49-0574-01 from 12pcs to 6pcs under 800-112578-01 Rev:A02. Adding the the circle and enlarge of the Power icon for 800-112578-01 Rev:A03. Reduce the the material on 700-134990-01 Rev: A0 per DFM proposal for 800-112578-01 Rev:A0</t>
        </is>
      </c>
      <c r="L939" s="43" t="inlineStr">
        <is>
          <t>Expired</t>
        </is>
      </c>
      <c r="M939" s="43" t="inlineStr">
        <is>
          <t>800-112582-04</t>
        </is>
      </c>
      <c r="N939" s="43" t="inlineStr"/>
      <c r="O939" s="43" t="inlineStr">
        <is>
          <t>2025-12-29</t>
        </is>
      </c>
      <c r="P939" s="33" t="inlineStr">
        <is>
          <t>For temporary Manufacturing process change</t>
        </is>
      </c>
      <c r="Q939" s="43" t="inlineStr">
        <is>
          <t>Mark at supplier discretion.</t>
        </is>
      </c>
      <c r="R939" s="43" t="inlineStr">
        <is>
          <t>2025-10-31</t>
        </is>
      </c>
      <c r="S939" s="43" t="inlineStr">
        <is>
          <t>2025-11-21</t>
        </is>
      </c>
      <c r="T939" s="43" t="inlineStr"/>
      <c r="U939" s="43" t="inlineStr"/>
    </row>
    <row r="940">
      <c r="A940" s="43" t="n">
        <v>940</v>
      </c>
      <c r="B940" s="43" t="inlineStr">
        <is>
          <t>939</t>
        </is>
      </c>
      <c r="C940" s="43" t="inlineStr">
        <is>
          <t>FJZP</t>
        </is>
      </c>
      <c r="D940" s="43" t="inlineStr">
        <is>
          <t>Cisco</t>
        </is>
      </c>
      <c r="E940" s="43" t="inlineStr">
        <is>
          <t>MCGA</t>
        </is>
      </c>
      <c r="F940" s="43" t="inlineStr">
        <is>
          <t>037-STBU</t>
        </is>
      </c>
      <c r="G940" s="43" t="inlineStr">
        <is>
          <t>CTANJZ04944</t>
        </is>
      </c>
      <c r="H940" s="43" t="inlineStr">
        <is>
          <t>For temporary Manufacturing process change</t>
        </is>
      </c>
      <c r="I940" s="43" t="inlineStr">
        <is>
          <t>Customer Deviation</t>
        </is>
      </c>
      <c r="J940" s="43" t="inlineStr">
        <is>
          <t>DP525176</t>
        </is>
      </c>
      <c r="K940" s="33" t="inlineStr">
        <is>
          <t>DP525176 This Prototype deviation will be used for Woodside Park Pre-Pilot build at FJZ Mexico.1. Change usage of 49-0574-01 from 12pcs to 6pcs under 800-112578-01 Rev:A02. Adding the the circle and enlarge of the Power icon for 800-112578-01 Rev:A03. Reduce the the material on 700-134990-01 Rev: A0 per DFM proposal for 800-112578-01 Rev:A0</t>
        </is>
      </c>
      <c r="L940" s="43" t="inlineStr">
        <is>
          <t>Expired</t>
        </is>
      </c>
      <c r="M940" s="43" t="inlineStr">
        <is>
          <t>800-112583-04</t>
        </is>
      </c>
      <c r="N940" s="43" t="inlineStr"/>
      <c r="O940" s="43" t="inlineStr">
        <is>
          <t>2025-12-29</t>
        </is>
      </c>
      <c r="P940" s="33" t="inlineStr">
        <is>
          <t>For temporary Manufacturing process change</t>
        </is>
      </c>
      <c r="Q940" s="43" t="inlineStr">
        <is>
          <t>Mark at supplier discretion.</t>
        </is>
      </c>
      <c r="R940" s="43" t="inlineStr">
        <is>
          <t>2025-10-31</t>
        </is>
      </c>
      <c r="S940" s="43" t="inlineStr">
        <is>
          <t>2025-11-21</t>
        </is>
      </c>
      <c r="T940" s="43" t="inlineStr"/>
      <c r="U940" s="43" t="inlineStr"/>
    </row>
    <row r="941">
      <c r="A941" s="43" t="n">
        <v>941</v>
      </c>
      <c r="B941" s="43" t="inlineStr">
        <is>
          <t>940</t>
        </is>
      </c>
      <c r="C941" s="43" t="inlineStr">
        <is>
          <t>FJZP</t>
        </is>
      </c>
      <c r="D941" s="43" t="inlineStr">
        <is>
          <t>Cisco</t>
        </is>
      </c>
      <c r="E941" s="43" t="inlineStr">
        <is>
          <t>MCGA</t>
        </is>
      </c>
      <c r="F941" s="43" t="inlineStr">
        <is>
          <t>037-STBU</t>
        </is>
      </c>
      <c r="G941" s="43" t="inlineStr">
        <is>
          <t>CTANJZ04944</t>
        </is>
      </c>
      <c r="H941" s="43" t="inlineStr">
        <is>
          <t>For temporary Manufacturing process change</t>
        </is>
      </c>
      <c r="I941" s="43" t="inlineStr">
        <is>
          <t>Customer Deviation</t>
        </is>
      </c>
      <c r="J941" s="43" t="inlineStr">
        <is>
          <t>DP525176</t>
        </is>
      </c>
      <c r="K941" s="33" t="inlineStr">
        <is>
          <t>DP525176 This Prototype deviation will be used for Woodside Park Pre-Pilot build at FJZ Mexico.1. Change usage of 49-0574-01 from 12pcs to 6pcs under 800-112578-01 Rev:A02. Adding the the circle and enlarge of the Power icon for 800-112578-01 Rev:A03. Reduce the the material on 700-134990-01 Rev: A0 per DFM proposal for 800-112578-01 Rev:A0</t>
        </is>
      </c>
      <c r="L941" s="43" t="inlineStr">
        <is>
          <t>Expired</t>
        </is>
      </c>
      <c r="M941" s="43" t="inlineStr">
        <is>
          <t>800-112720-04</t>
        </is>
      </c>
      <c r="N941" s="43" t="inlineStr"/>
      <c r="O941" s="43" t="inlineStr">
        <is>
          <t>2025-12-29</t>
        </is>
      </c>
      <c r="P941" s="33" t="inlineStr">
        <is>
          <t>For temporary Manufacturing process change</t>
        </is>
      </c>
      <c r="Q941" s="43" t="inlineStr">
        <is>
          <t>Mark at supplier discretion.</t>
        </is>
      </c>
      <c r="R941" s="43" t="inlineStr">
        <is>
          <t>2025-10-31</t>
        </is>
      </c>
      <c r="S941" s="43" t="inlineStr">
        <is>
          <t>2025-11-21</t>
        </is>
      </c>
      <c r="T941" s="43" t="inlineStr"/>
      <c r="U941" s="43" t="inlineStr"/>
    </row>
    <row r="942">
      <c r="A942" s="43" t="n">
        <v>942</v>
      </c>
      <c r="B942" s="43" t="inlineStr">
        <is>
          <t>941</t>
        </is>
      </c>
      <c r="C942" s="43" t="inlineStr">
        <is>
          <t>FJZP</t>
        </is>
      </c>
      <c r="D942" s="43" t="inlineStr">
        <is>
          <t>Cisco</t>
        </is>
      </c>
      <c r="E942" s="43" t="inlineStr">
        <is>
          <t>MCGA</t>
        </is>
      </c>
      <c r="F942" s="43" t="inlineStr">
        <is>
          <t>037-STBU</t>
        </is>
      </c>
      <c r="G942" s="43" t="inlineStr">
        <is>
          <t>CTANJZ04887</t>
        </is>
      </c>
      <c r="H942" s="43" t="inlineStr">
        <is>
          <t>For temporary Manufacturing process change</t>
        </is>
      </c>
      <c r="I942" s="43" t="inlineStr">
        <is>
          <t>Customer Deviation</t>
        </is>
      </c>
      <c r="J942" s="43" t="inlineStr">
        <is>
          <t>D606802</t>
        </is>
      </c>
      <c r="K942" s="33" t="inlineStr">
        <is>
          <t>D606802NGFWBU:Woodside Park - Test Direction for Initial Pilot 1 units</t>
        </is>
      </c>
      <c r="L942" s="43" t="inlineStr">
        <is>
          <t>Expired</t>
        </is>
      </c>
      <c r="M942" s="43" t="inlineStr">
        <is>
          <t>73-103633-04</t>
        </is>
      </c>
      <c r="N942" s="43" t="inlineStr"/>
      <c r="O942" s="43" t="inlineStr">
        <is>
          <t>2026-01-02</t>
        </is>
      </c>
      <c r="P942" s="33" t="inlineStr">
        <is>
          <t>For temporary Manufacturing process change</t>
        </is>
      </c>
      <c r="Q942" s="43" t="inlineStr">
        <is>
          <t>No marking required.</t>
        </is>
      </c>
      <c r="R942" s="43" t="inlineStr">
        <is>
          <t>2025-10-07</t>
        </is>
      </c>
      <c r="S942" s="43" t="inlineStr">
        <is>
          <t>2025-10-29</t>
        </is>
      </c>
      <c r="T942" s="43" t="inlineStr"/>
      <c r="U942" s="43" t="inlineStr"/>
    </row>
    <row r="943">
      <c r="A943" s="43" t="n">
        <v>943</v>
      </c>
      <c r="B943" s="43" t="inlineStr">
        <is>
          <t>942</t>
        </is>
      </c>
      <c r="C943" s="43" t="inlineStr">
        <is>
          <t>FJZP</t>
        </is>
      </c>
      <c r="D943" s="43" t="inlineStr">
        <is>
          <t>Cisco</t>
        </is>
      </c>
      <c r="E943" s="43" t="inlineStr">
        <is>
          <t>MCGA</t>
        </is>
      </c>
      <c r="F943" s="43" t="inlineStr">
        <is>
          <t>037-STBU</t>
        </is>
      </c>
      <c r="G943" s="43" t="inlineStr">
        <is>
          <t>CTANJZ04887</t>
        </is>
      </c>
      <c r="H943" s="43" t="inlineStr">
        <is>
          <t>For temporary Manufacturing process change</t>
        </is>
      </c>
      <c r="I943" s="43" t="inlineStr">
        <is>
          <t>Customer Deviation</t>
        </is>
      </c>
      <c r="J943" s="43" t="inlineStr">
        <is>
          <t>D606802</t>
        </is>
      </c>
      <c r="K943" s="33" t="inlineStr">
        <is>
          <t>D606802NGFWBU:Woodside Park - Test Direction for Initial Pilot 1 units</t>
        </is>
      </c>
      <c r="L943" s="43" t="inlineStr">
        <is>
          <t>Expired</t>
        </is>
      </c>
      <c r="M943" s="43" t="inlineStr">
        <is>
          <t>800-112720-04</t>
        </is>
      </c>
      <c r="N943" s="43" t="inlineStr"/>
      <c r="O943" s="43" t="inlineStr">
        <is>
          <t>2026-01-02</t>
        </is>
      </c>
      <c r="P943" s="33" t="inlineStr">
        <is>
          <t>For temporary Manufacturing process change</t>
        </is>
      </c>
      <c r="Q943" s="43" t="inlineStr">
        <is>
          <t>No marking required.</t>
        </is>
      </c>
      <c r="R943" s="43" t="inlineStr">
        <is>
          <t>2025-10-07</t>
        </is>
      </c>
      <c r="S943" s="43" t="inlineStr">
        <is>
          <t>2025-10-29</t>
        </is>
      </c>
      <c r="T943" s="43" t="inlineStr"/>
      <c r="U943" s="43" t="inlineStr"/>
    </row>
    <row r="944">
      <c r="A944" s="43" t="n">
        <v>944</v>
      </c>
      <c r="B944" s="43" t="inlineStr">
        <is>
          <t>943</t>
        </is>
      </c>
      <c r="C944" s="43" t="inlineStr">
        <is>
          <t>FJZP</t>
        </is>
      </c>
      <c r="D944" s="43" t="inlineStr">
        <is>
          <t>Cisco</t>
        </is>
      </c>
      <c r="E944" s="43" t="inlineStr">
        <is>
          <t>MCGA</t>
        </is>
      </c>
      <c r="F944" s="43" t="inlineStr">
        <is>
          <t>018-SRGBU</t>
        </is>
      </c>
      <c r="G944" s="43" t="inlineStr">
        <is>
          <t>CTANJZ04889</t>
        </is>
      </c>
      <c r="H944" s="43" t="inlineStr">
        <is>
          <t>For temporary Manufacturing process change</t>
        </is>
      </c>
      <c r="I944" s="43" t="inlineStr">
        <is>
          <t>Customer Deviation</t>
        </is>
      </c>
      <c r="J944" s="43" t="inlineStr">
        <is>
          <t>D606833</t>
        </is>
      </c>
      <c r="K944" s="33" t="inlineStr">
        <is>
          <t>D606833 Allow Foxconn to use 30-100290-01 Rev B0 for Roku CAT 7 production builds.</t>
        </is>
      </c>
      <c r="L944" s="43" t="inlineStr">
        <is>
          <t>Expired</t>
        </is>
      </c>
      <c r="M944" s="43" t="inlineStr">
        <is>
          <t>68-7809-01</t>
        </is>
      </c>
      <c r="N944" s="43" t="inlineStr"/>
      <c r="O944" s="43" t="inlineStr">
        <is>
          <t>2026-01-02</t>
        </is>
      </c>
      <c r="P944" s="33" t="inlineStr">
        <is>
          <t>For temporary Manufacturing process change</t>
        </is>
      </c>
      <c r="Q944" s="43" t="inlineStr">
        <is>
          <t>N/A</t>
        </is>
      </c>
      <c r="R944" s="43" t="inlineStr">
        <is>
          <t>2025-10-07</t>
        </is>
      </c>
      <c r="S944" s="43" t="inlineStr">
        <is>
          <t>2025-10-24</t>
        </is>
      </c>
      <c r="T944" s="43" t="inlineStr"/>
      <c r="U944" s="43" t="inlineStr"/>
    </row>
    <row r="945">
      <c r="A945" s="43" t="n">
        <v>945</v>
      </c>
      <c r="B945" s="43" t="inlineStr">
        <is>
          <t>944</t>
        </is>
      </c>
      <c r="C945" s="43" t="inlineStr">
        <is>
          <t>FJZP</t>
        </is>
      </c>
      <c r="D945" s="43" t="inlineStr">
        <is>
          <t>Cisco</t>
        </is>
      </c>
      <c r="E945" s="43" t="inlineStr">
        <is>
          <t>MCGA</t>
        </is>
      </c>
      <c r="F945" s="43" t="inlineStr">
        <is>
          <t>018-SRGBU</t>
        </is>
      </c>
      <c r="G945" s="43" t="inlineStr">
        <is>
          <t>CTANJZ04968</t>
        </is>
      </c>
      <c r="H945" s="43" t="inlineStr">
        <is>
          <t>For temporary Manufacturing process change</t>
        </is>
      </c>
      <c r="I945" s="43" t="inlineStr">
        <is>
          <t>Customer Deviation</t>
        </is>
      </c>
      <c r="J945" s="43" t="inlineStr">
        <is>
          <t>D607803</t>
        </is>
      </c>
      <c r="K945" s="33" t="inlineStr">
        <is>
          <t>D607803 SRGBU-Fugazi: Rommon 26.1(1r) upgrade</t>
        </is>
      </c>
      <c r="L945" s="43" t="inlineStr">
        <is>
          <t>Expired</t>
        </is>
      </c>
      <c r="M945" s="43" t="inlineStr">
        <is>
          <t>800-50273-01</t>
        </is>
      </c>
      <c r="N945" s="43" t="inlineStr"/>
      <c r="O945" s="43" t="inlineStr">
        <is>
          <t>2026-02-16</t>
        </is>
      </c>
      <c r="P945" s="33" t="inlineStr">
        <is>
          <t>For temporary Manufacturing process change</t>
        </is>
      </c>
      <c r="Q945" s="43" t="inlineStr">
        <is>
          <t>Progam deviation number and label all deviated units with deviation label. Note: A Fugazi unit with multiple deviations; please program this deviation number into the cookie and place all deviatoin labels on PCBA and Chassis at visible location (ex: A Fugazi unit with D606096; place labels of D606096 and this deviation# on PCBA and Chassis and program this deviation into cookie)</t>
        </is>
      </c>
      <c r="R945" s="43" t="inlineStr">
        <is>
          <t>2025-11-18</t>
        </is>
      </c>
      <c r="S945" s="43" t="inlineStr">
        <is>
          <t>2025-11-21</t>
        </is>
      </c>
      <c r="T945" s="43" t="inlineStr"/>
      <c r="U945" s="43" t="inlineStr"/>
    </row>
    <row r="946">
      <c r="A946" s="43" t="n">
        <v>946</v>
      </c>
      <c r="B946" s="43" t="inlineStr">
        <is>
          <t>945</t>
        </is>
      </c>
      <c r="C946" s="43" t="inlineStr">
        <is>
          <t>FJZP</t>
        </is>
      </c>
      <c r="D946" s="43" t="inlineStr">
        <is>
          <t>Cisco</t>
        </is>
      </c>
      <c r="E946" s="43" t="inlineStr">
        <is>
          <t>MCGA</t>
        </is>
      </c>
      <c r="F946" s="43" t="inlineStr">
        <is>
          <t>018-SRGBU</t>
        </is>
      </c>
      <c r="G946" s="43" t="inlineStr">
        <is>
          <t>CTANJZ04972</t>
        </is>
      </c>
      <c r="H946" s="43" t="inlineStr">
        <is>
          <t>For temporary Manufacturing process change</t>
        </is>
      </c>
      <c r="I946" s="43" t="inlineStr">
        <is>
          <t>Customer Deviation</t>
        </is>
      </c>
      <c r="J946" s="43" t="inlineStr">
        <is>
          <t>D607766</t>
        </is>
      </c>
      <c r="K946" s="33" t="inlineStr">
        <is>
          <t>D607766 This deviation is an extension of Deviation D605688.SRGBU-Arata: Upgrade FPGA 17-103018-01 to V139 before shipping to customers</t>
        </is>
      </c>
      <c r="L946" s="43" t="inlineStr">
        <is>
          <t>Expired</t>
        </is>
      </c>
      <c r="M946" s="43" t="inlineStr">
        <is>
          <t>74-133408-02</t>
        </is>
      </c>
      <c r="N946" s="43" t="inlineStr"/>
      <c r="O946" s="43" t="inlineStr">
        <is>
          <t>2026-02-17</t>
        </is>
      </c>
      <c r="P946" s="33" t="inlineStr">
        <is>
          <t>For temporary Manufacturing process change</t>
        </is>
      </c>
      <c r="Q946" s="43" t="inlineStr">
        <is>
          <t>Place label and program cookie with dev #</t>
        </is>
      </c>
      <c r="R946" s="43" t="inlineStr">
        <is>
          <t>2025-11-19</t>
        </is>
      </c>
      <c r="S946" s="43" t="inlineStr">
        <is>
          <t>2025-12-03</t>
        </is>
      </c>
      <c r="T946" s="43" t="inlineStr"/>
      <c r="U946" s="43" t="inlineStr"/>
    </row>
    <row r="947">
      <c r="A947" s="43" t="n">
        <v>947</v>
      </c>
      <c r="B947" s="43" t="inlineStr">
        <is>
          <t>946</t>
        </is>
      </c>
      <c r="C947" s="43" t="inlineStr">
        <is>
          <t>FJZP</t>
        </is>
      </c>
      <c r="D947" s="43" t="inlineStr">
        <is>
          <t>Cisco</t>
        </is>
      </c>
      <c r="E947" s="43" t="inlineStr">
        <is>
          <t>MCGA</t>
        </is>
      </c>
      <c r="F947" s="43" t="inlineStr">
        <is>
          <t>018-SRGBU</t>
        </is>
      </c>
      <c r="G947" s="43" t="inlineStr">
        <is>
          <t>CTANJZ04972</t>
        </is>
      </c>
      <c r="H947" s="43" t="inlineStr">
        <is>
          <t>For temporary Manufacturing process change</t>
        </is>
      </c>
      <c r="I947" s="43" t="inlineStr">
        <is>
          <t>Customer Deviation</t>
        </is>
      </c>
      <c r="J947" s="43" t="inlineStr">
        <is>
          <t>D607766</t>
        </is>
      </c>
      <c r="K947" s="33" t="inlineStr">
        <is>
          <t>D607766 This deviation is an extension of Deviation D605688.SRGBU-Arata: Upgrade FPGA 17-103018-01 to V139 before shipping to customers</t>
        </is>
      </c>
      <c r="L947" s="43" t="inlineStr">
        <is>
          <t>Expired</t>
        </is>
      </c>
      <c r="M947" s="43" t="inlineStr">
        <is>
          <t>74-134702-02</t>
        </is>
      </c>
      <c r="N947" s="43" t="inlineStr"/>
      <c r="O947" s="43" t="inlineStr">
        <is>
          <t>2026-02-17</t>
        </is>
      </c>
      <c r="P947" s="33" t="inlineStr">
        <is>
          <t>For temporary Manufacturing process change</t>
        </is>
      </c>
      <c r="Q947" s="43" t="inlineStr">
        <is>
          <t>Place label and program cookie with dev #</t>
        </is>
      </c>
      <c r="R947" s="43" t="inlineStr">
        <is>
          <t>2025-11-19</t>
        </is>
      </c>
      <c r="S947" s="43" t="inlineStr">
        <is>
          <t>2025-12-03</t>
        </is>
      </c>
      <c r="T947" s="43" t="inlineStr"/>
      <c r="U947" s="43" t="inlineStr"/>
    </row>
    <row r="948">
      <c r="A948" s="43" t="n">
        <v>948</v>
      </c>
      <c r="B948" s="43" t="inlineStr">
        <is>
          <t>947</t>
        </is>
      </c>
      <c r="C948" s="43" t="inlineStr">
        <is>
          <t>FJZP</t>
        </is>
      </c>
      <c r="D948" s="43" t="inlineStr">
        <is>
          <t>Cisco</t>
        </is>
      </c>
      <c r="E948" s="43" t="inlineStr">
        <is>
          <t>MCGA</t>
        </is>
      </c>
      <c r="F948" s="43" t="inlineStr">
        <is>
          <t>018-SRGBU</t>
        </is>
      </c>
      <c r="G948" s="43" t="inlineStr">
        <is>
          <t>CTANJZ04973</t>
        </is>
      </c>
      <c r="H948" s="43" t="inlineStr">
        <is>
          <t>For temporary Manufacturing process change</t>
        </is>
      </c>
      <c r="I948" s="43" t="inlineStr">
        <is>
          <t>Customer Deviation</t>
        </is>
      </c>
      <c r="J948" s="43" t="inlineStr">
        <is>
          <t>D607838</t>
        </is>
      </c>
      <c r="K948" s="33" t="inlineStr">
        <is>
          <t>D607838 SRGBU: Nightwatch: Restrict MFG to use the MPN# TI CSD95485RWJ of CPN # 15-106360-01. Date code 2450 or older caused field failure. Details can be found in SCQO case SQA-1257.Please find the SCQO link:https://scqo.cisco.com/#/process-detail?triggerType=SQA&amp;processInstanceId=2372440&amp;caseId=SQA-1257&amp;domainId=SQA-1257</t>
        </is>
      </c>
      <c r="L948" s="43" t="inlineStr">
        <is>
          <t>Expired</t>
        </is>
      </c>
      <c r="M948" s="43" t="inlineStr">
        <is>
          <t>15-106360-01</t>
        </is>
      </c>
      <c r="N948" s="43" t="inlineStr"/>
      <c r="O948" s="43" t="inlineStr">
        <is>
          <t>2026-02-18</t>
        </is>
      </c>
      <c r="P948" s="33" t="inlineStr">
        <is>
          <t>For temporary Manufacturing process change</t>
        </is>
      </c>
      <c r="Q948" s="43" t="inlineStr">
        <is>
          <t>No Markings needed.</t>
        </is>
      </c>
      <c r="R948" s="43" t="inlineStr">
        <is>
          <t>2025-11-20</t>
        </is>
      </c>
      <c r="S948" s="43" t="inlineStr">
        <is>
          <t>2025-12-09</t>
        </is>
      </c>
      <c r="T948" s="43" t="inlineStr"/>
      <c r="U948" s="43" t="inlineStr"/>
    </row>
    <row r="949">
      <c r="A949" s="43" t="n">
        <v>949</v>
      </c>
      <c r="B949" s="43" t="inlineStr">
        <is>
          <t>948</t>
        </is>
      </c>
      <c r="C949" s="43" t="inlineStr">
        <is>
          <t>FJZP</t>
        </is>
      </c>
      <c r="D949" s="43" t="inlineStr">
        <is>
          <t>Cisco</t>
        </is>
      </c>
      <c r="E949" s="43" t="inlineStr">
        <is>
          <t>MCGA</t>
        </is>
      </c>
      <c r="F949" s="43" t="inlineStr">
        <is>
          <t>037-STBU</t>
        </is>
      </c>
      <c r="G949" s="43" t="inlineStr">
        <is>
          <t>CTANJZ04902</t>
        </is>
      </c>
      <c r="H949" s="43" t="inlineStr">
        <is>
          <t>For temporary Manufacturing process change</t>
        </is>
      </c>
      <c r="I949" s="43" t="inlineStr">
        <is>
          <t>Customer Deviation</t>
        </is>
      </c>
      <c r="J949" s="43" t="inlineStr">
        <is>
          <t>D606660</t>
        </is>
      </c>
      <c r="K949" s="33" t="inlineStr">
        <is>
          <t>D606660 MAC Block Size ¡V Value (four MAC address per port) Hex value is incorrect and needs to be modify from "16" to "8"</t>
        </is>
      </c>
      <c r="L949" s="43" t="inlineStr">
        <is>
          <t>Expired</t>
        </is>
      </c>
      <c r="M949" s="43" t="inlineStr">
        <is>
          <t>73-102482-02</t>
        </is>
      </c>
      <c r="N949" s="43" t="inlineStr"/>
      <c r="O949" s="43" t="inlineStr">
        <is>
          <t>2026-01-07</t>
        </is>
      </c>
      <c r="P949" s="33" t="inlineStr">
        <is>
          <t>For temporary Manufacturing process change</t>
        </is>
      </c>
      <c r="Q949" s="43" t="inlineStr">
        <is>
          <t>1. PCAMAP Hex value to be modify from "16" to "8" - Priyanka A 2. When prompt in P2C to reprogram the unit appears; FJZ needs to click "Yes" to reprogram the MAC Block Size- FJZ</t>
        </is>
      </c>
      <c r="R949" s="43" t="inlineStr">
        <is>
          <t>2025-10-09</t>
        </is>
      </c>
      <c r="S949" s="43" t="inlineStr">
        <is>
          <t>2025-10-24</t>
        </is>
      </c>
      <c r="T949" s="43" t="inlineStr"/>
      <c r="U949" s="43" t="inlineStr"/>
    </row>
    <row r="950">
      <c r="A950" s="43" t="n">
        <v>950</v>
      </c>
      <c r="B950" s="43" t="inlineStr">
        <is>
          <t>949</t>
        </is>
      </c>
      <c r="C950" s="43" t="inlineStr">
        <is>
          <t>FJZP</t>
        </is>
      </c>
      <c r="D950" s="43" t="inlineStr">
        <is>
          <t>Cisco</t>
        </is>
      </c>
      <c r="E950" s="43" t="inlineStr">
        <is>
          <t>MCGA</t>
        </is>
      </c>
      <c r="F950" s="43" t="inlineStr">
        <is>
          <t>037-STBU</t>
        </is>
      </c>
      <c r="G950" s="43" t="inlineStr">
        <is>
          <t>CTANJZ04900</t>
        </is>
      </c>
      <c r="H950" s="43" t="inlineStr">
        <is>
          <t>For temporary Manufacturing process change</t>
        </is>
      </c>
      <c r="I950" s="43" t="inlineStr">
        <is>
          <t>Customer Deviation</t>
        </is>
      </c>
      <c r="J950" s="43" t="inlineStr">
        <is>
          <t>D606855</t>
        </is>
      </c>
      <c r="K950" s="33" t="inlineStr">
        <is>
          <t>D606855 This Deviaiton will be used for the Woodside Park Pilot 1 build at FJZ; Mexico. See material notes below for materials to use new version or old revision of material.700-136450-02 Revision 04 can be used for the Pilot builds.700-135337-01 Revision 08 can be used for the Pilot builds.</t>
        </is>
      </c>
      <c r="L950" s="43" t="inlineStr">
        <is>
          <t>Expired</t>
        </is>
      </c>
      <c r="M950" s="43" t="inlineStr">
        <is>
          <t>68-104576-04</t>
        </is>
      </c>
      <c r="N950" s="43" t="inlineStr"/>
      <c r="O950" s="43" t="inlineStr">
        <is>
          <t>2026-01-07</t>
        </is>
      </c>
      <c r="P950" s="33" t="inlineStr">
        <is>
          <t>For temporary Manufacturing process change</t>
        </is>
      </c>
      <c r="Q950" s="43" t="inlineStr">
        <is>
          <t>None</t>
        </is>
      </c>
      <c r="R950" s="43" t="inlineStr">
        <is>
          <t>2025-10-09</t>
        </is>
      </c>
      <c r="S950" s="43" t="inlineStr">
        <is>
          <t>2025-10-25</t>
        </is>
      </c>
      <c r="T950" s="43" t="inlineStr"/>
      <c r="U950" s="43" t="inlineStr"/>
    </row>
    <row r="951">
      <c r="A951" s="43" t="n">
        <v>951</v>
      </c>
      <c r="B951" s="43" t="inlineStr">
        <is>
          <t>950</t>
        </is>
      </c>
      <c r="C951" s="43" t="inlineStr">
        <is>
          <t>FJZP</t>
        </is>
      </c>
      <c r="D951" s="43" t="inlineStr">
        <is>
          <t>Cisco</t>
        </is>
      </c>
      <c r="E951" s="43" t="inlineStr">
        <is>
          <t>MCGA</t>
        </is>
      </c>
      <c r="F951" s="43" t="inlineStr">
        <is>
          <t>037-STBU</t>
        </is>
      </c>
      <c r="G951" s="43" t="inlineStr">
        <is>
          <t>CTANJZ04900</t>
        </is>
      </c>
      <c r="H951" s="43" t="inlineStr">
        <is>
          <t>For temporary Manufacturing process change</t>
        </is>
      </c>
      <c r="I951" s="43" t="inlineStr">
        <is>
          <t>Customer Deviation</t>
        </is>
      </c>
      <c r="J951" s="43" t="inlineStr">
        <is>
          <t>D606855</t>
        </is>
      </c>
      <c r="K951" s="33" t="inlineStr">
        <is>
          <t>D606855 This Deviaiton will be used for the Woodside Park Pilot 1 build at FJZ; Mexico. See material notes below for materials to use new version or old revision of material.700-136450-02 Revision 04 can be used for the Pilot builds.700-135337-01 Revision 08 can be used for the Pilot builds.</t>
        </is>
      </c>
      <c r="L951" s="43" t="inlineStr">
        <is>
          <t>Expired</t>
        </is>
      </c>
      <c r="M951" s="43" t="inlineStr">
        <is>
          <t>68-104621-04</t>
        </is>
      </c>
      <c r="N951" s="43" t="inlineStr"/>
      <c r="O951" s="43" t="inlineStr">
        <is>
          <t>2026-01-07</t>
        </is>
      </c>
      <c r="P951" s="33" t="inlineStr">
        <is>
          <t>For temporary Manufacturing process change</t>
        </is>
      </c>
      <c r="Q951" s="43" t="inlineStr">
        <is>
          <t>None</t>
        </is>
      </c>
      <c r="R951" s="43" t="inlineStr">
        <is>
          <t>2025-10-09</t>
        </is>
      </c>
      <c r="S951" s="43" t="inlineStr">
        <is>
          <t>2025-10-25</t>
        </is>
      </c>
      <c r="T951" s="43" t="inlineStr"/>
      <c r="U951" s="43" t="inlineStr"/>
    </row>
    <row r="952">
      <c r="A952" s="43" t="n">
        <v>952</v>
      </c>
      <c r="B952" s="43" t="inlineStr">
        <is>
          <t>951</t>
        </is>
      </c>
      <c r="C952" s="43" t="inlineStr">
        <is>
          <t>FJZP</t>
        </is>
      </c>
      <c r="D952" s="43" t="inlineStr">
        <is>
          <t>Cisco</t>
        </is>
      </c>
      <c r="E952" s="43" t="inlineStr">
        <is>
          <t>MCGA</t>
        </is>
      </c>
      <c r="F952" s="43" t="inlineStr">
        <is>
          <t>037-STBU</t>
        </is>
      </c>
      <c r="G952" s="43" t="inlineStr">
        <is>
          <t>CTANJZ04900</t>
        </is>
      </c>
      <c r="H952" s="43" t="inlineStr">
        <is>
          <t>For temporary Manufacturing process change</t>
        </is>
      </c>
      <c r="I952" s="43" t="inlineStr">
        <is>
          <t>Customer Deviation</t>
        </is>
      </c>
      <c r="J952" s="43" t="inlineStr">
        <is>
          <t>D606855</t>
        </is>
      </c>
      <c r="K952" s="33" t="inlineStr">
        <is>
          <t>D606855 This Deviaiton will be used for the Woodside Park Pilot 1 build at FJZ; Mexico. See material notes below for materials to use new version or old revision of material.700-136450-02 Revision 04 can be used for the Pilot builds.700-135337-01 Revision 08 can be used for the Pilot builds.</t>
        </is>
      </c>
      <c r="L952" s="43" t="inlineStr">
        <is>
          <t>Expired</t>
        </is>
      </c>
      <c r="M952" s="43" t="inlineStr">
        <is>
          <t>800-112583-04</t>
        </is>
      </c>
      <c r="N952" s="43" t="inlineStr"/>
      <c r="O952" s="43" t="inlineStr">
        <is>
          <t>2026-01-07</t>
        </is>
      </c>
      <c r="P952" s="33" t="inlineStr">
        <is>
          <t>For temporary Manufacturing process change</t>
        </is>
      </c>
      <c r="Q952" s="43" t="inlineStr">
        <is>
          <t>None</t>
        </is>
      </c>
      <c r="R952" s="43" t="inlineStr">
        <is>
          <t>2025-10-09</t>
        </is>
      </c>
      <c r="S952" s="43" t="inlineStr">
        <is>
          <t>2025-10-25</t>
        </is>
      </c>
      <c r="T952" s="43" t="inlineStr"/>
      <c r="U952" s="43" t="inlineStr"/>
    </row>
    <row r="953">
      <c r="A953" s="43" t="n">
        <v>953</v>
      </c>
      <c r="B953" s="43" t="inlineStr">
        <is>
          <t>952</t>
        </is>
      </c>
      <c r="C953" s="43" t="inlineStr">
        <is>
          <t>FJZP</t>
        </is>
      </c>
      <c r="D953" s="43" t="inlineStr">
        <is>
          <t>Cisco</t>
        </is>
      </c>
      <c r="E953" s="43" t="inlineStr">
        <is>
          <t>MCGA</t>
        </is>
      </c>
      <c r="F953" s="43" t="inlineStr">
        <is>
          <t>037-STBU</t>
        </is>
      </c>
      <c r="G953" s="43" t="inlineStr">
        <is>
          <t>CTANJZ04900</t>
        </is>
      </c>
      <c r="H953" s="43" t="inlineStr">
        <is>
          <t>For temporary Manufacturing process change</t>
        </is>
      </c>
      <c r="I953" s="43" t="inlineStr">
        <is>
          <t>Customer Deviation</t>
        </is>
      </c>
      <c r="J953" s="43" t="inlineStr">
        <is>
          <t>D606855</t>
        </is>
      </c>
      <c r="K953" s="33" t="inlineStr">
        <is>
          <t>D606855 This Deviaiton will be used for the Woodside Park Pilot 1 build at FJZ; Mexico. See material notes below for materials to use new version or old revision of material.700-136450-02 Revision 04 can be used for the Pilot builds.700-135337-01 Revision 08 can be used for the Pilot builds.</t>
        </is>
      </c>
      <c r="L953" s="43" t="inlineStr">
        <is>
          <t>Expired</t>
        </is>
      </c>
      <c r="M953" s="43" t="inlineStr">
        <is>
          <t>800-112720-04</t>
        </is>
      </c>
      <c r="N953" s="43" t="inlineStr"/>
      <c r="O953" s="43" t="inlineStr">
        <is>
          <t>2026-01-07</t>
        </is>
      </c>
      <c r="P953" s="33" t="inlineStr">
        <is>
          <t>For temporary Manufacturing process change</t>
        </is>
      </c>
      <c r="Q953" s="43" t="inlineStr">
        <is>
          <t>None</t>
        </is>
      </c>
      <c r="R953" s="43" t="inlineStr">
        <is>
          <t>2025-10-09</t>
        </is>
      </c>
      <c r="S953" s="43" t="inlineStr">
        <is>
          <t>2025-10-25</t>
        </is>
      </c>
      <c r="T953" s="43" t="inlineStr"/>
      <c r="U953" s="43" t="inlineStr"/>
    </row>
    <row r="954">
      <c r="A954" s="43" t="n">
        <v>954</v>
      </c>
      <c r="B954" s="43" t="inlineStr">
        <is>
          <t>953</t>
        </is>
      </c>
      <c r="C954" s="43" t="inlineStr">
        <is>
          <t>FJZP</t>
        </is>
      </c>
      <c r="D954" s="43" t="inlineStr">
        <is>
          <t>Cisco</t>
        </is>
      </c>
      <c r="E954" s="43" t="inlineStr">
        <is>
          <t>MCGA</t>
        </is>
      </c>
      <c r="F954" s="43" t="inlineStr">
        <is>
          <t>034-IOTBU</t>
        </is>
      </c>
      <c r="G954" s="43" t="inlineStr">
        <is>
          <t>CTANJZ04962</t>
        </is>
      </c>
      <c r="H954" s="43" t="inlineStr">
        <is>
          <t>For temporary Manufacturing process change</t>
        </is>
      </c>
      <c r="I954" s="43" t="inlineStr">
        <is>
          <t>Customer Deviation</t>
        </is>
      </c>
      <c r="J954" s="43" t="inlineStr">
        <is>
          <t>DP525527</t>
        </is>
      </c>
      <c r="K954" s="33" t="inlineStr">
        <is>
          <t>DP525527 IoTBU: Allow FJZ to purchase MPN UHE2A221MHD6 which is in Qual Status as End of Production for the build of Test Pallets for Hellcat. This is an extension of DP525199.</t>
        </is>
      </c>
      <c r="L954" s="43" t="inlineStr">
        <is>
          <t>Expired</t>
        </is>
      </c>
      <c r="M954" s="43" t="inlineStr">
        <is>
          <t>73-101441-05</t>
        </is>
      </c>
      <c r="N954" s="43" t="inlineStr"/>
      <c r="O954" s="43" t="inlineStr">
        <is>
          <t>2026-01-12</t>
        </is>
      </c>
      <c r="P954" s="33" t="inlineStr">
        <is>
          <t>For temporary Manufacturing process change</t>
        </is>
      </c>
      <c r="Q954" s="43" t="inlineStr">
        <is>
          <t>N/A</t>
        </is>
      </c>
      <c r="R954" s="43" t="inlineStr">
        <is>
          <t>2025-11-14</t>
        </is>
      </c>
      <c r="S954" s="43" t="inlineStr">
        <is>
          <t>2025-12-09</t>
        </is>
      </c>
      <c r="T954" s="43" t="inlineStr"/>
      <c r="U954" s="43" t="inlineStr"/>
    </row>
    <row r="955">
      <c r="A955" s="43" t="n">
        <v>955</v>
      </c>
      <c r="B955" s="43" t="inlineStr">
        <is>
          <t>954</t>
        </is>
      </c>
      <c r="C955" s="43" t="inlineStr">
        <is>
          <t>FJZP</t>
        </is>
      </c>
      <c r="D955" s="43" t="inlineStr">
        <is>
          <t>Cisco</t>
        </is>
      </c>
      <c r="E955" s="43" t="inlineStr">
        <is>
          <t>MCGA</t>
        </is>
      </c>
      <c r="F955" s="43" t="inlineStr">
        <is>
          <t>034-IOTBU</t>
        </is>
      </c>
      <c r="G955" s="43" t="inlineStr">
        <is>
          <t>CTANJZ04962</t>
        </is>
      </c>
      <c r="H955" s="43" t="inlineStr">
        <is>
          <t>For temporary Manufacturing process change</t>
        </is>
      </c>
      <c r="I955" s="43" t="inlineStr">
        <is>
          <t>Customer Deviation</t>
        </is>
      </c>
      <c r="J955" s="43" t="inlineStr">
        <is>
          <t>DP525527</t>
        </is>
      </c>
      <c r="K955" s="33" t="inlineStr">
        <is>
          <t>DP525527 IoTBU: Allow FJZ to purchase MPN UHE2A221MHD6 which is in Qual Status as End of Production for the build of Test Pallets for Hellcat. This is an extension of DP525199.</t>
        </is>
      </c>
      <c r="L955" s="43" t="inlineStr">
        <is>
          <t>Expired</t>
        </is>
      </c>
      <c r="M955" s="43" t="inlineStr">
        <is>
          <t>800-104857-01</t>
        </is>
      </c>
      <c r="N955" s="43" t="inlineStr"/>
      <c r="O955" s="43" t="inlineStr">
        <is>
          <t>2026-01-12</t>
        </is>
      </c>
      <c r="P955" s="33" t="inlineStr">
        <is>
          <t>For temporary Manufacturing process change</t>
        </is>
      </c>
      <c r="Q955" s="43" t="inlineStr">
        <is>
          <t>N/A</t>
        </is>
      </c>
      <c r="R955" s="43" t="inlineStr">
        <is>
          <t>2025-11-14</t>
        </is>
      </c>
      <c r="S955" s="43" t="inlineStr">
        <is>
          <t>2025-12-09</t>
        </is>
      </c>
      <c r="T955" s="43" t="inlineStr"/>
      <c r="U955" s="43" t="inlineStr"/>
    </row>
    <row r="956">
      <c r="A956" s="43" t="n">
        <v>956</v>
      </c>
      <c r="B956" s="43" t="inlineStr">
        <is>
          <t>955</t>
        </is>
      </c>
      <c r="C956" s="43" t="inlineStr">
        <is>
          <t>FJZP</t>
        </is>
      </c>
      <c r="D956" s="43" t="inlineStr">
        <is>
          <t>Cisco</t>
        </is>
      </c>
      <c r="E956" s="43" t="inlineStr">
        <is>
          <t>MCGA</t>
        </is>
      </c>
      <c r="F956" s="43" t="inlineStr">
        <is>
          <t>037-STBU</t>
        </is>
      </c>
      <c r="G956" s="43" t="inlineStr">
        <is>
          <t>CTANJZ05045</t>
        </is>
      </c>
      <c r="H956" s="43" t="inlineStr">
        <is>
          <t>For temporary Manufacturing process change</t>
        </is>
      </c>
      <c r="I956" s="43" t="inlineStr">
        <is>
          <t>Customer Deviation</t>
        </is>
      </c>
      <c r="J956" s="43" t="inlineStr">
        <is>
          <t>D607856</t>
        </is>
      </c>
      <c r="K956" s="33" t="inlineStr">
        <is>
          <t>D607856 FJZ to perform a validation of AVC Fans in PCB2C due issue was presenting in July at cold temperature; after have the results will be define if the material can continue be use in production floorValidation:5 units of Tufnell Park10 AVC fansRun a cycle in PCB2C and provide the results to Cisco PE and ME</t>
        </is>
      </c>
      <c r="L956" s="43" t="inlineStr">
        <is>
          <t>Expired</t>
        </is>
      </c>
      <c r="M956" s="43" t="inlineStr">
        <is>
          <t>800-108035-05</t>
        </is>
      </c>
      <c r="N956" s="43" t="inlineStr"/>
      <c r="O956" s="43" t="inlineStr">
        <is>
          <t>2026-03-23</t>
        </is>
      </c>
      <c r="P956" s="33" t="inlineStr">
        <is>
          <t>For temporary Manufacturing process change</t>
        </is>
      </c>
      <c r="Q956" s="43" t="inlineStr">
        <is>
          <t>FJZ to follow the instructions:  1. Use 5 units of Tufnell Park 2. Use 10 AVC fans 3. Run 1 cycle in PCB2C 4. Provide the logs to Cisco PE and ME</t>
        </is>
      </c>
      <c r="R956" s="43" t="inlineStr">
        <is>
          <t>2025-12-23</t>
        </is>
      </c>
      <c r="S956" s="43" t="inlineStr">
        <is>
          <t>2026-01-27</t>
        </is>
      </c>
      <c r="T956" s="43" t="inlineStr"/>
      <c r="U956" s="43" t="inlineStr"/>
    </row>
    <row r="957">
      <c r="A957" s="43" t="n">
        <v>957</v>
      </c>
      <c r="B957" s="43" t="inlineStr">
        <is>
          <t>956</t>
        </is>
      </c>
      <c r="C957" s="43" t="inlineStr">
        <is>
          <t>FJZP</t>
        </is>
      </c>
      <c r="D957" s="43" t="inlineStr">
        <is>
          <t>Cisco</t>
        </is>
      </c>
      <c r="E957" s="43" t="inlineStr">
        <is>
          <t>MCGA</t>
        </is>
      </c>
      <c r="F957" s="43" t="inlineStr">
        <is>
          <t>037-STBU</t>
        </is>
      </c>
      <c r="G957" s="43" t="inlineStr">
        <is>
          <t>CTANJZ05045</t>
        </is>
      </c>
      <c r="H957" s="43" t="inlineStr">
        <is>
          <t>For temporary Manufacturing process change</t>
        </is>
      </c>
      <c r="I957" s="43" t="inlineStr">
        <is>
          <t>Customer Deviation</t>
        </is>
      </c>
      <c r="J957" s="43" t="inlineStr">
        <is>
          <t>D607856</t>
        </is>
      </c>
      <c r="K957" s="33" t="inlineStr">
        <is>
          <t>D607856 FJZ to perform a validation of AVC Fans in PCB2C due issue was presenting in July at cold temperature; after have the results will be define if the material can continue be use in production floorValidation:5 units of Tufnell Park10 AVC fansRun a cycle in PCB2C and provide the results to Cisco PE and ME</t>
        </is>
      </c>
      <c r="L957" s="43" t="inlineStr">
        <is>
          <t>Expired</t>
        </is>
      </c>
      <c r="M957" s="43" t="inlineStr">
        <is>
          <t>800-108036-05</t>
        </is>
      </c>
      <c r="N957" s="43" t="inlineStr"/>
      <c r="O957" s="43" t="inlineStr">
        <is>
          <t>2026-03-23</t>
        </is>
      </c>
      <c r="P957" s="33" t="inlineStr">
        <is>
          <t>For temporary Manufacturing process change</t>
        </is>
      </c>
      <c r="Q957" s="43" t="inlineStr">
        <is>
          <t>FJZ to follow the instructions:  1. Use 5 units of Tufnell Park 2. Use 10 AVC fans 3. Run 1 cycle in PCB2C 4. Provide the logs to Cisco PE and ME</t>
        </is>
      </c>
      <c r="R957" s="43" t="inlineStr">
        <is>
          <t>2025-12-23</t>
        </is>
      </c>
      <c r="S957" s="43" t="inlineStr">
        <is>
          <t>2026-01-27</t>
        </is>
      </c>
      <c r="T957" s="43" t="inlineStr"/>
      <c r="U957" s="43" t="inlineStr"/>
    </row>
    <row r="958">
      <c r="A958" s="43" t="n">
        <v>958</v>
      </c>
      <c r="B958" s="43" t="inlineStr">
        <is>
          <t>957</t>
        </is>
      </c>
      <c r="C958" s="43" t="inlineStr">
        <is>
          <t>FJZP</t>
        </is>
      </c>
      <c r="D958" s="43" t="inlineStr">
        <is>
          <t>Cisco</t>
        </is>
      </c>
      <c r="E958" s="43" t="inlineStr">
        <is>
          <t>MCGA</t>
        </is>
      </c>
      <c r="F958" s="43" t="inlineStr">
        <is>
          <t>037-STBU</t>
        </is>
      </c>
      <c r="G958" s="43" t="inlineStr">
        <is>
          <t>CTANJZ05045</t>
        </is>
      </c>
      <c r="H958" s="43" t="inlineStr">
        <is>
          <t>For temporary Manufacturing process change</t>
        </is>
      </c>
      <c r="I958" s="43" t="inlineStr">
        <is>
          <t>Customer Deviation</t>
        </is>
      </c>
      <c r="J958" s="43" t="inlineStr">
        <is>
          <t>D607856</t>
        </is>
      </c>
      <c r="K958" s="33" t="inlineStr">
        <is>
          <t>D607856 FJZ to perform a validation of AVC Fans in PCB2C due issue was presenting in July at cold temperature; after have the results will be define if the material can continue be use in production floorValidation:5 units of Tufnell Park10 AVC fansRun a cycle in PCB2C and provide the results to Cisco PE and ME</t>
        </is>
      </c>
      <c r="L958" s="43" t="inlineStr">
        <is>
          <t>Expired</t>
        </is>
      </c>
      <c r="M958" s="43" t="inlineStr">
        <is>
          <t>800-108037-05</t>
        </is>
      </c>
      <c r="N958" s="43" t="inlineStr"/>
      <c r="O958" s="43" t="inlineStr">
        <is>
          <t>2026-03-23</t>
        </is>
      </c>
      <c r="P958" s="33" t="inlineStr">
        <is>
          <t>For temporary Manufacturing process change</t>
        </is>
      </c>
      <c r="Q958" s="43" t="inlineStr">
        <is>
          <t>FJZ to follow the instructions:  1. Use 5 units of Tufnell Park 2. Use 10 AVC fans 3. Run 1 cycle in PCB2C 4. Provide the logs to Cisco PE and ME</t>
        </is>
      </c>
      <c r="R958" s="43" t="inlineStr">
        <is>
          <t>2025-12-23</t>
        </is>
      </c>
      <c r="S958" s="43" t="inlineStr">
        <is>
          <t>2026-01-27</t>
        </is>
      </c>
      <c r="T958" s="43" t="inlineStr"/>
      <c r="U958" s="43" t="inlineStr"/>
    </row>
    <row r="959">
      <c r="A959" s="43" t="n">
        <v>959</v>
      </c>
      <c r="B959" s="43" t="inlineStr">
        <is>
          <t>958</t>
        </is>
      </c>
      <c r="C959" s="43" t="inlineStr">
        <is>
          <t>FJZP</t>
        </is>
      </c>
      <c r="D959" s="43" t="inlineStr">
        <is>
          <t>Cisco</t>
        </is>
      </c>
      <c r="E959" s="43" t="inlineStr">
        <is>
          <t>MCGA</t>
        </is>
      </c>
      <c r="F959" s="43" t="inlineStr">
        <is>
          <t>037-STBU</t>
        </is>
      </c>
      <c r="G959" s="43" t="inlineStr">
        <is>
          <t>CTANJZ04901</t>
        </is>
      </c>
      <c r="H959" s="43" t="inlineStr">
        <is>
          <t>For temporary Manufacturing process change</t>
        </is>
      </c>
      <c r="I959" s="43" t="inlineStr">
        <is>
          <t>Customer Deviation</t>
        </is>
      </c>
      <c r="J959" s="43" t="inlineStr">
        <is>
          <t>DP525192</t>
        </is>
      </c>
      <c r="K959" s="33" t="inlineStr">
        <is>
          <t>DP525192 This Prototype deviation will be used for Woodside Park Pre-Pilot build at FJZ Mexico.1. For Batch units; please run them normally on LED/P2/2C (scanning the 800-pn and FJZ SN)o Provide a list of all FJZ Serial Numbers in this batch process to Adrian Liu.o This is needed in order to start batch process.o Reference email from Adrian Liu for extra context on this process.2.     FAI suggested Fixtures will arrive Aug 11. Please follow deviation on disposition of these units.o All SKU-A goes thru DIMM automationo 5 SKU-B goes thru DIMM automation toolo 5 SKU-B thru new fixtures.3. RETEST UNIT: deviation coming up.o Please bring back 10 units from DF and any new units passed 2C hold off for this control runo Any units that pass that  2C 8/1 - 8/2 include in retest control run.o Identify all Serial number before batch test start. Add a tab to DBN to monitor test. Ricardo by 8/2/25o Control Test RUN per agreement should start on 8/5/25o DO NOT RUN ANY OTHER UNITS AT TEST UNTIL THESE CONTROL RUN IS COMPLETED.o The control run retest units are to be run from PCBLED thru 2C.    ? No disassociation of units.    ? Any new failure contact Adrian ASAP.4.     FJZ is allowed to use cancelled status MPN 3A61-780-WPR for 800-112718-02.        FJZ can use revision -06 of the accessory kit 53-101728-01.5.     FJZ is allowed to use 700-138393-01 with cancelled Hardware Specialty Comp MPN: 1363472.</t>
        </is>
      </c>
      <c r="L959" s="43" t="inlineStr">
        <is>
          <t>Expired</t>
        </is>
      </c>
      <c r="M959" s="43" t="inlineStr">
        <is>
          <t>800-112583-04</t>
        </is>
      </c>
      <c r="N959" s="43" t="inlineStr"/>
      <c r="O959" s="43" t="inlineStr">
        <is>
          <t>2025-12-08</t>
        </is>
      </c>
      <c r="P959" s="33" t="inlineStr">
        <is>
          <t>For temporary Manufacturing process change</t>
        </is>
      </c>
      <c r="Q959" s="43" t="inlineStr">
        <is>
          <t>Place deviation label on pull tab.</t>
        </is>
      </c>
      <c r="R959" s="43" t="inlineStr">
        <is>
          <t>2025-10-09</t>
        </is>
      </c>
      <c r="S959" s="43" t="inlineStr">
        <is>
          <t>2025-10-25</t>
        </is>
      </c>
      <c r="T959" s="43" t="inlineStr"/>
      <c r="U959" s="43" t="inlineStr"/>
    </row>
    <row r="960">
      <c r="A960" s="43" t="n">
        <v>960</v>
      </c>
      <c r="B960" s="43" t="inlineStr">
        <is>
          <t>959</t>
        </is>
      </c>
      <c r="C960" s="43" t="inlineStr">
        <is>
          <t>FJZP</t>
        </is>
      </c>
      <c r="D960" s="43" t="inlineStr">
        <is>
          <t>Cisco</t>
        </is>
      </c>
      <c r="E960" s="43" t="inlineStr">
        <is>
          <t>MCGA</t>
        </is>
      </c>
      <c r="F960" s="43" t="inlineStr">
        <is>
          <t>037-STBU</t>
        </is>
      </c>
      <c r="G960" s="43" t="inlineStr">
        <is>
          <t>CTANJZ04901</t>
        </is>
      </c>
      <c r="H960" s="43" t="inlineStr">
        <is>
          <t>For temporary Manufacturing process change</t>
        </is>
      </c>
      <c r="I960" s="43" t="inlineStr">
        <is>
          <t>Customer Deviation</t>
        </is>
      </c>
      <c r="J960" s="43" t="inlineStr">
        <is>
          <t>DP525192</t>
        </is>
      </c>
      <c r="K960" s="33" t="inlineStr">
        <is>
          <t>DP525192 This Prototype deviation will be used for Woodside Park Pre-Pilot build at FJZ Mexico.1. For Batch units; please run them normally on LED/P2/2C (scanning the 800-pn and FJZ SN)o Provide a list of all FJZ Serial Numbers in this batch process to Adrian Liu.o This is needed in order to start batch process.o Reference email from Adrian Liu for extra context on this process.2.     FAI suggested Fixtures will arrive Aug 11. Please follow deviation on disposition of these units.o All SKU-A goes thru DIMM automationo 5 SKU-B goes thru DIMM automation toolo 5 SKU-B thru new fixtures.3. RETEST UNIT: deviation coming up.o Please bring back 10 units from DF and any new units passed 2C hold off for this control runo Any units that pass that  2C 8/1 - 8/2 include in retest control run.o Identify all Serial number before batch test start. Add a tab to DBN to monitor test. Ricardo by 8/2/25o Control Test RUN per agreement should start on 8/5/25o DO NOT RUN ANY OTHER UNITS AT TEST UNTIL THESE CONTROL RUN IS COMPLETED.o The control run retest units are to be run from PCBLED thru 2C.    ? No disassociation of units.    ? Any new failure contact Adrian ASAP.4.     FJZ is allowed to use cancelled status MPN 3A61-780-WPR for 800-112718-02.        FJZ can use revision -06 of the accessory kit 53-101728-01.5.     FJZ is allowed to use 700-138393-01 with cancelled Hardware Specialty Comp MPN: 1363472.</t>
        </is>
      </c>
      <c r="L960" s="43" t="inlineStr">
        <is>
          <t>Expired</t>
        </is>
      </c>
      <c r="M960" s="43" t="inlineStr">
        <is>
          <t>800-112720-04</t>
        </is>
      </c>
      <c r="N960" s="43" t="inlineStr"/>
      <c r="O960" s="43" t="inlineStr">
        <is>
          <t>2025-12-08</t>
        </is>
      </c>
      <c r="P960" s="33" t="inlineStr">
        <is>
          <t>For temporary Manufacturing process change</t>
        </is>
      </c>
      <c r="Q960" s="43" t="inlineStr">
        <is>
          <t>Place deviation label on pull tab.</t>
        </is>
      </c>
      <c r="R960" s="43" t="inlineStr">
        <is>
          <t>2025-10-09</t>
        </is>
      </c>
      <c r="S960" s="43" t="inlineStr">
        <is>
          <t>2025-10-25</t>
        </is>
      </c>
      <c r="T960" s="43" t="inlineStr"/>
      <c r="U960" s="43" t="inlineStr"/>
    </row>
    <row r="961">
      <c r="A961" s="43" t="n">
        <v>961</v>
      </c>
      <c r="B961" s="43" t="inlineStr">
        <is>
          <t>960</t>
        </is>
      </c>
      <c r="C961" s="43" t="inlineStr">
        <is>
          <t>FJZP</t>
        </is>
      </c>
      <c r="D961" s="43" t="inlineStr">
        <is>
          <t>Cisco</t>
        </is>
      </c>
      <c r="E961" s="43" t="inlineStr">
        <is>
          <t>MCGA</t>
        </is>
      </c>
      <c r="F961" s="43" t="inlineStr">
        <is>
          <t>035-CVEBU</t>
        </is>
      </c>
      <c r="G961" s="43" t="inlineStr">
        <is>
          <t>CTANJZ04867</t>
        </is>
      </c>
      <c r="H961" s="43" t="inlineStr">
        <is>
          <t>For temporary Manufacturing process change</t>
        </is>
      </c>
      <c r="I961" s="43" t="inlineStr">
        <is>
          <t>Customer Deviation</t>
        </is>
      </c>
      <c r="J961" s="43" t="inlineStr">
        <is>
          <t>D606464</t>
        </is>
      </c>
      <c r="K961" s="33" t="inlineStr">
        <is>
          <t>D606464 CVEBU: Helios: To allow FCZ and FJZ to use -02 revision of 74-140219-01.DF site qty are (FJZ:200pcs; FCZ:100pcs)</t>
        </is>
      </c>
      <c r="L961" s="43" t="inlineStr">
        <is>
          <t>Expired</t>
        </is>
      </c>
      <c r="M961" s="43" t="inlineStr">
        <is>
          <t>74-140219-01</t>
        </is>
      </c>
      <c r="N961" s="43" t="inlineStr"/>
      <c r="O961" s="43" t="inlineStr">
        <is>
          <t>2025-12-16</t>
        </is>
      </c>
      <c r="P961" s="33" t="inlineStr">
        <is>
          <t>For temporary Manufacturing process change</t>
        </is>
      </c>
      <c r="Q961" s="43" t="inlineStr">
        <is>
          <t>No marking is required.</t>
        </is>
      </c>
      <c r="R961" s="43" t="inlineStr">
        <is>
          <t>2025-09-19</t>
        </is>
      </c>
      <c r="S961" s="43" t="inlineStr">
        <is>
          <t>2025-10-13</t>
        </is>
      </c>
      <c r="T961" s="43" t="inlineStr"/>
      <c r="U961" s="43" t="inlineStr"/>
    </row>
    <row r="962">
      <c r="A962" s="43" t="n">
        <v>962</v>
      </c>
      <c r="B962" s="43" t="inlineStr">
        <is>
          <t>961</t>
        </is>
      </c>
      <c r="C962" s="43" t="inlineStr">
        <is>
          <t>FJZP</t>
        </is>
      </c>
      <c r="D962" s="43" t="inlineStr">
        <is>
          <t>Cisco</t>
        </is>
      </c>
      <c r="E962" s="43" t="inlineStr">
        <is>
          <t>MCGA</t>
        </is>
      </c>
      <c r="F962" s="43" t="inlineStr">
        <is>
          <t>037-STBU</t>
        </is>
      </c>
      <c r="G962" s="43" t="inlineStr">
        <is>
          <t>CTANJZ04865</t>
        </is>
      </c>
      <c r="H962" s="43" t="inlineStr">
        <is>
          <t>For temporary Manufacturing process change</t>
        </is>
      </c>
      <c r="I962" s="43" t="inlineStr">
        <is>
          <t>Customer Deviation</t>
        </is>
      </c>
      <c r="J962" s="43" t="inlineStr">
        <is>
          <t>D606401</t>
        </is>
      </c>
      <c r="K962" s="33" t="inlineStr">
        <is>
          <t>D606401 NGFWBU:Woodside Park - Changes needed to support Pilot 1</t>
        </is>
      </c>
      <c r="L962" s="43" t="inlineStr">
        <is>
          <t>Expired</t>
        </is>
      </c>
      <c r="M962" s="43" t="inlineStr">
        <is>
          <t>17-103167-03</t>
        </is>
      </c>
      <c r="N962" s="43" t="inlineStr"/>
      <c r="O962" s="43" t="inlineStr">
        <is>
          <t>2025-12-17</t>
        </is>
      </c>
      <c r="P962" s="33" t="inlineStr">
        <is>
          <t>For temporary Manufacturing process change</t>
        </is>
      </c>
      <c r="Q962" s="43" t="inlineStr">
        <is>
          <t>Please label unit with deviation number; no IDPROM programming of Deviation number required.</t>
        </is>
      </c>
      <c r="R962" s="43" t="inlineStr">
        <is>
          <t>2025-09-18</t>
        </is>
      </c>
      <c r="S962" s="43" t="inlineStr">
        <is>
          <t>2025-10-23</t>
        </is>
      </c>
      <c r="T962" s="43" t="inlineStr"/>
      <c r="U962" s="43" t="inlineStr"/>
    </row>
    <row r="963">
      <c r="A963" s="43" t="n">
        <v>963</v>
      </c>
      <c r="B963" s="43" t="inlineStr">
        <is>
          <t>962</t>
        </is>
      </c>
      <c r="C963" s="43" t="inlineStr">
        <is>
          <t>FJZP</t>
        </is>
      </c>
      <c r="D963" s="43" t="inlineStr">
        <is>
          <t>Cisco</t>
        </is>
      </c>
      <c r="E963" s="43" t="inlineStr">
        <is>
          <t>MCGA</t>
        </is>
      </c>
      <c r="F963" s="43" t="inlineStr">
        <is>
          <t>037-STBU</t>
        </is>
      </c>
      <c r="G963" s="43" t="inlineStr">
        <is>
          <t>CTANJZ04865</t>
        </is>
      </c>
      <c r="H963" s="43" t="inlineStr">
        <is>
          <t>For temporary Manufacturing process change</t>
        </is>
      </c>
      <c r="I963" s="43" t="inlineStr">
        <is>
          <t>Customer Deviation</t>
        </is>
      </c>
      <c r="J963" s="43" t="inlineStr">
        <is>
          <t>D606401</t>
        </is>
      </c>
      <c r="K963" s="33" t="inlineStr">
        <is>
          <t>D606401 NGFWBU:Woodside Park - Changes needed to support Pilot 1</t>
        </is>
      </c>
      <c r="L963" s="43" t="inlineStr">
        <is>
          <t>Expired</t>
        </is>
      </c>
      <c r="M963" s="43" t="inlineStr">
        <is>
          <t>73-103633-04</t>
        </is>
      </c>
      <c r="N963" s="43" t="inlineStr"/>
      <c r="O963" s="43" t="inlineStr">
        <is>
          <t>2025-12-17</t>
        </is>
      </c>
      <c r="P963" s="33" t="inlineStr">
        <is>
          <t>For temporary Manufacturing process change</t>
        </is>
      </c>
      <c r="Q963" s="43" t="inlineStr">
        <is>
          <t>Please label unit with deviation number; no IDPROM programming of Deviation number required.</t>
        </is>
      </c>
      <c r="R963" s="43" t="inlineStr">
        <is>
          <t>2025-09-18</t>
        </is>
      </c>
      <c r="S963" s="43" t="inlineStr">
        <is>
          <t>2025-10-23</t>
        </is>
      </c>
      <c r="T963" s="43" t="inlineStr"/>
      <c r="U963" s="43" t="inlineStr"/>
    </row>
    <row r="964">
      <c r="A964" s="43" t="n">
        <v>964</v>
      </c>
      <c r="B964" s="43" t="inlineStr">
        <is>
          <t>963</t>
        </is>
      </c>
      <c r="C964" s="43" t="inlineStr">
        <is>
          <t>FJZP</t>
        </is>
      </c>
      <c r="D964" s="43" t="inlineStr">
        <is>
          <t>Cisco</t>
        </is>
      </c>
      <c r="E964" s="43" t="inlineStr">
        <is>
          <t>MCGA</t>
        </is>
      </c>
      <c r="F964" s="43" t="inlineStr">
        <is>
          <t>037-STBU</t>
        </is>
      </c>
      <c r="G964" s="43" t="inlineStr">
        <is>
          <t>CTANJZ04866</t>
        </is>
      </c>
      <c r="H964" s="43" t="inlineStr">
        <is>
          <t>For temporary Manufacturing process change</t>
        </is>
      </c>
      <c r="I964" s="43" t="inlineStr">
        <is>
          <t>Customer Deviation</t>
        </is>
      </c>
      <c r="J964" s="43" t="inlineStr">
        <is>
          <t>D604888</t>
        </is>
      </c>
      <c r="K964" s="33" t="inlineStr">
        <is>
          <t>D604888 Allow FJZ to test material on hand with expired period since are required for the commit of this qtr. These 9 units were produced more than 12 months ago but there was no requirement until now.</t>
        </is>
      </c>
      <c r="L964" s="43" t="inlineStr">
        <is>
          <t>Expired</t>
        </is>
      </c>
      <c r="M964" s="43" t="inlineStr">
        <is>
          <t>68-101185-01</t>
        </is>
      </c>
      <c r="N964" s="43" t="inlineStr"/>
      <c r="O964" s="43" t="inlineStr">
        <is>
          <t>2025-12-18</t>
        </is>
      </c>
      <c r="P964" s="33" t="inlineStr">
        <is>
          <t>For temporary Manufacturing process change</t>
        </is>
      </c>
      <c r="Q964" s="43" t="inlineStr">
        <is>
          <t>Place a label with the deviation number on the chassis on a visible place.</t>
        </is>
      </c>
      <c r="R964" s="43" t="inlineStr">
        <is>
          <t>2025-09-19</t>
        </is>
      </c>
      <c r="S964" s="43" t="inlineStr">
        <is>
          <t>2025-10-21</t>
        </is>
      </c>
      <c r="T964" s="43" t="inlineStr"/>
      <c r="U964" s="43" t="inlineStr"/>
    </row>
    <row r="965">
      <c r="A965" s="43" t="n">
        <v>965</v>
      </c>
      <c r="B965" s="43" t="inlineStr">
        <is>
          <t>964</t>
        </is>
      </c>
      <c r="C965" s="43" t="inlineStr">
        <is>
          <t>FJZP</t>
        </is>
      </c>
      <c r="D965" s="43" t="inlineStr">
        <is>
          <t>Cisco</t>
        </is>
      </c>
      <c r="E965" s="43" t="inlineStr">
        <is>
          <t>MCGA</t>
        </is>
      </c>
      <c r="F965" s="43" t="inlineStr">
        <is>
          <t>037-STBU</t>
        </is>
      </c>
      <c r="G965" s="43" t="inlineStr">
        <is>
          <t>CTANJZ05029</t>
        </is>
      </c>
      <c r="H965" s="43" t="inlineStr">
        <is>
          <t>For temporary Manufacturing process change</t>
        </is>
      </c>
      <c r="I965" s="43" t="inlineStr">
        <is>
          <t>Customer Deviation</t>
        </is>
      </c>
      <c r="J965" s="43" t="inlineStr">
        <is>
          <t>D608309</t>
        </is>
      </c>
      <c r="K965" s="33" t="inlineStr">
        <is>
          <t>D608309 Woodside Park Main Board Pilot 2 units are failing 100% at ICT for U208.</t>
        </is>
      </c>
      <c r="L965" s="43" t="inlineStr">
        <is>
          <t>Expired</t>
        </is>
      </c>
      <c r="M965" s="43" t="inlineStr">
        <is>
          <t>73-103633-04</t>
        </is>
      </c>
      <c r="N965" s="43" t="inlineStr"/>
      <c r="O965" s="43" t="inlineStr">
        <is>
          <t>2026-03-11</t>
        </is>
      </c>
      <c r="P965" s="33" t="inlineStr">
        <is>
          <t>For temporary Manufacturing process change</t>
        </is>
      </c>
      <c r="Q965" s="43" t="inlineStr">
        <is>
          <t>None required.  Units will be disassembled &amp; returned to SMT for Edge Bonding once FW  upgrades have been performed and results evaluated.</t>
        </is>
      </c>
      <c r="R965" s="43" t="inlineStr">
        <is>
          <t>2025-12-12</t>
        </is>
      </c>
      <c r="S965" s="43" t="inlineStr">
        <is>
          <t>2026-01-27</t>
        </is>
      </c>
      <c r="T965" s="43" t="inlineStr"/>
      <c r="U965" s="43" t="inlineStr"/>
    </row>
    <row r="966">
      <c r="A966" s="43" t="n">
        <v>966</v>
      </c>
      <c r="B966" s="43" t="inlineStr">
        <is>
          <t>965</t>
        </is>
      </c>
      <c r="C966" s="43" t="inlineStr">
        <is>
          <t>FJZP</t>
        </is>
      </c>
      <c r="D966" s="43" t="inlineStr">
        <is>
          <t>Cisco</t>
        </is>
      </c>
      <c r="E966" s="43" t="inlineStr">
        <is>
          <t>MCGA</t>
        </is>
      </c>
      <c r="F966" s="43" t="inlineStr">
        <is>
          <t>037-STBU</t>
        </is>
      </c>
      <c r="G966" s="43" t="inlineStr">
        <is>
          <t>CTANJZ05029</t>
        </is>
      </c>
      <c r="H966" s="43" t="inlineStr">
        <is>
          <t>For temporary Manufacturing process change</t>
        </is>
      </c>
      <c r="I966" s="43" t="inlineStr">
        <is>
          <t>Customer Deviation</t>
        </is>
      </c>
      <c r="J966" s="43" t="inlineStr">
        <is>
          <t>D608309</t>
        </is>
      </c>
      <c r="K966" s="33" t="inlineStr">
        <is>
          <t>D608309 Woodside Park Main Board Pilot 2 units are failing 100% at ICT for U208.</t>
        </is>
      </c>
      <c r="L966" s="43" t="inlineStr">
        <is>
          <t>Expired</t>
        </is>
      </c>
      <c r="M966" s="43" t="inlineStr">
        <is>
          <t>800-112720-04</t>
        </is>
      </c>
      <c r="N966" s="43" t="inlineStr"/>
      <c r="O966" s="43" t="inlineStr">
        <is>
          <t>2026-03-11</t>
        </is>
      </c>
      <c r="P966" s="33" t="inlineStr">
        <is>
          <t>For temporary Manufacturing process change</t>
        </is>
      </c>
      <c r="Q966" s="43" t="inlineStr">
        <is>
          <t>None required.  Units will be disassembled &amp; returned to SMT for Edge Bonding once FW  upgrades have been performed and results evaluated.</t>
        </is>
      </c>
      <c r="R966" s="43" t="inlineStr">
        <is>
          <t>2025-12-12</t>
        </is>
      </c>
      <c r="S966" s="43" t="inlineStr">
        <is>
          <t>2026-01-27</t>
        </is>
      </c>
      <c r="T966" s="43" t="inlineStr"/>
      <c r="U966" s="43" t="inlineStr"/>
    </row>
    <row r="967">
      <c r="A967" s="43" t="n">
        <v>967</v>
      </c>
      <c r="B967" s="43" t="inlineStr">
        <is>
          <t>966</t>
        </is>
      </c>
      <c r="C967" s="43" t="inlineStr">
        <is>
          <t>FJZP</t>
        </is>
      </c>
      <c r="D967" s="43" t="inlineStr">
        <is>
          <t>Cisco</t>
        </is>
      </c>
      <c r="E967" s="43" t="inlineStr">
        <is>
          <t>MCGA</t>
        </is>
      </c>
      <c r="F967" s="43" t="inlineStr">
        <is>
          <t>037-STBU</t>
        </is>
      </c>
      <c r="G967" s="43" t="inlineStr">
        <is>
          <t>CTANJZ04921</t>
        </is>
      </c>
      <c r="H967" s="43" t="inlineStr">
        <is>
          <t>For temporary Manufacturing process change</t>
        </is>
      </c>
      <c r="I967" s="43" t="inlineStr">
        <is>
          <t>Customer Deviation</t>
        </is>
      </c>
      <c r="J967" s="43" t="inlineStr">
        <is>
          <t>D607106</t>
        </is>
      </c>
      <c r="K967" s="33" t="inlineStr">
        <is>
          <t>D607106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FPR3120-NGFW-K9SNs: TSP2942ABZZ &amp; TSP2942ABZUSO: 119112143-1</t>
        </is>
      </c>
      <c r="L967" s="43" t="inlineStr">
        <is>
          <t>Expired</t>
        </is>
      </c>
      <c r="M967" s="43" t="inlineStr">
        <is>
          <t>68-7255-05</t>
        </is>
      </c>
      <c r="N967" s="43" t="inlineStr"/>
      <c r="O967" s="43" t="inlineStr">
        <is>
          <t>2026-01-15</t>
        </is>
      </c>
      <c r="P967" s="33" t="inlineStr">
        <is>
          <t>For temporary Manufacturing process change</t>
        </is>
      </c>
      <c r="Q967" s="43" t="inlineStr">
        <is>
          <t>Only Delta fans are allowed to use with the new versions of Tufnell Park:  800-108035-05 800-108036-05 800-108037-05 800-108038-05 800-110666-02  Note: TSP is allowed to ship AVC fan only for the order below while still restricting use of GND0456A70 while Cisco works with AVC  PID: FPR3120-NGFW-K9 SNs: TSP2942ABZZ &amp; TSP2942ABZU SO: 119112143-1</t>
        </is>
      </c>
      <c r="R967" s="43" t="inlineStr">
        <is>
          <t>2025-10-17</t>
        </is>
      </c>
      <c r="S967" s="43" t="inlineStr">
        <is>
          <t>2025-11-05</t>
        </is>
      </c>
      <c r="T967" s="43" t="inlineStr"/>
      <c r="U967" s="43" t="inlineStr"/>
    </row>
    <row r="968">
      <c r="A968" s="43" t="n">
        <v>968</v>
      </c>
      <c r="B968" s="43" t="inlineStr">
        <is>
          <t>967</t>
        </is>
      </c>
      <c r="C968" s="43" t="inlineStr">
        <is>
          <t>FJZP</t>
        </is>
      </c>
      <c r="D968" s="43" t="inlineStr">
        <is>
          <t>Cisco</t>
        </is>
      </c>
      <c r="E968" s="43" t="inlineStr">
        <is>
          <t>MCGA</t>
        </is>
      </c>
      <c r="F968" s="43" t="inlineStr">
        <is>
          <t>037-STBU</t>
        </is>
      </c>
      <c r="G968" s="43" t="inlineStr">
        <is>
          <t>CTANJZ04921</t>
        </is>
      </c>
      <c r="H968" s="43" t="inlineStr">
        <is>
          <t>For temporary Manufacturing process change</t>
        </is>
      </c>
      <c r="I968" s="43" t="inlineStr">
        <is>
          <t>Customer Deviation</t>
        </is>
      </c>
      <c r="J968" s="43" t="inlineStr">
        <is>
          <t>D607106</t>
        </is>
      </c>
      <c r="K968" s="33" t="inlineStr">
        <is>
          <t>D607106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FPR3120-NGFW-K9SNs: TSP2942ABZZ &amp; TSP2942ABZUSO: 119112143-1</t>
        </is>
      </c>
      <c r="L968" s="43" t="inlineStr">
        <is>
          <t>Expired</t>
        </is>
      </c>
      <c r="M968" s="43" t="inlineStr">
        <is>
          <t>68-7256-05</t>
        </is>
      </c>
      <c r="N968" s="43" t="inlineStr"/>
      <c r="O968" s="43" t="inlineStr">
        <is>
          <t>2026-01-15</t>
        </is>
      </c>
      <c r="P968" s="33" t="inlineStr">
        <is>
          <t>For temporary Manufacturing process change</t>
        </is>
      </c>
      <c r="Q968" s="43" t="inlineStr">
        <is>
          <t>Only Delta fans are allowed to use with the new versions of Tufnell Park:  800-108035-05 800-108036-05 800-108037-05 800-108038-05 800-110666-02  Note: TSP is allowed to ship AVC fan only for the order below while still restricting use of GND0456A70 while Cisco works with AVC  PID: FPR3120-NGFW-K9 SNs: TSP2942ABZZ &amp; TSP2942ABZU SO: 119112143-1</t>
        </is>
      </c>
      <c r="R968" s="43" t="inlineStr">
        <is>
          <t>2025-10-17</t>
        </is>
      </c>
      <c r="S968" s="43" t="inlineStr">
        <is>
          <t>2025-11-05</t>
        </is>
      </c>
      <c r="T968" s="43" t="inlineStr"/>
      <c r="U968" s="43" t="inlineStr"/>
    </row>
    <row r="969">
      <c r="A969" s="43" t="n">
        <v>969</v>
      </c>
      <c r="B969" s="43" t="inlineStr">
        <is>
          <t>968</t>
        </is>
      </c>
      <c r="C969" s="43" t="inlineStr">
        <is>
          <t>FJZP</t>
        </is>
      </c>
      <c r="D969" s="43" t="inlineStr">
        <is>
          <t>Cisco</t>
        </is>
      </c>
      <c r="E969" s="43" t="inlineStr">
        <is>
          <t>MCGA</t>
        </is>
      </c>
      <c r="F969" s="43" t="inlineStr">
        <is>
          <t>037-STBU</t>
        </is>
      </c>
      <c r="G969" s="43" t="inlineStr">
        <is>
          <t>CTANJZ04921</t>
        </is>
      </c>
      <c r="H969" s="43" t="inlineStr">
        <is>
          <t>For temporary Manufacturing process change</t>
        </is>
      </c>
      <c r="I969" s="43" t="inlineStr">
        <is>
          <t>Customer Deviation</t>
        </is>
      </c>
      <c r="J969" s="43" t="inlineStr">
        <is>
          <t>D607106</t>
        </is>
      </c>
      <c r="K969" s="33" t="inlineStr">
        <is>
          <t>D607106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FPR3120-NGFW-K9SNs: TSP2942ABZZ &amp; TSP2942ABZUSO: 119112143-1</t>
        </is>
      </c>
      <c r="L969" s="43" t="inlineStr">
        <is>
          <t>Expired</t>
        </is>
      </c>
      <c r="M969" s="43" t="inlineStr">
        <is>
          <t>68-7638-02</t>
        </is>
      </c>
      <c r="N969" s="43" t="inlineStr"/>
      <c r="O969" s="43" t="inlineStr">
        <is>
          <t>2026-01-15</t>
        </is>
      </c>
      <c r="P969" s="33" t="inlineStr">
        <is>
          <t>For temporary Manufacturing process change</t>
        </is>
      </c>
      <c r="Q969" s="43" t="inlineStr">
        <is>
          <t>Only Delta fans are allowed to use with the new versions of Tufnell Park:  800-108035-05 800-108036-05 800-108037-05 800-108038-05 800-110666-02  Note: TSP is allowed to ship AVC fan only for the order below while still restricting use of GND0456A70 while Cisco works with AVC  PID: FPR3120-NGFW-K9 SNs: TSP2942ABZZ &amp; TSP2942ABZU SO: 119112143-1</t>
        </is>
      </c>
      <c r="R969" s="43" t="inlineStr">
        <is>
          <t>2025-10-17</t>
        </is>
      </c>
      <c r="S969" s="43" t="inlineStr">
        <is>
          <t>2025-11-05</t>
        </is>
      </c>
      <c r="T969" s="43" t="inlineStr"/>
      <c r="U969" s="43" t="inlineStr"/>
    </row>
    <row r="970">
      <c r="A970" s="43" t="n">
        <v>970</v>
      </c>
      <c r="B970" s="43" t="inlineStr">
        <is>
          <t>969</t>
        </is>
      </c>
      <c r="C970" s="43" t="inlineStr">
        <is>
          <t>FJZP</t>
        </is>
      </c>
      <c r="D970" s="43" t="inlineStr">
        <is>
          <t>Cisco</t>
        </is>
      </c>
      <c r="E970" s="43" t="inlineStr">
        <is>
          <t>MCGA</t>
        </is>
      </c>
      <c r="F970" s="43" t="inlineStr">
        <is>
          <t>037-STBU</t>
        </is>
      </c>
      <c r="G970" s="43" t="inlineStr">
        <is>
          <t>CTANJZ04921</t>
        </is>
      </c>
      <c r="H970" s="43" t="inlineStr">
        <is>
          <t>For temporary Manufacturing process change</t>
        </is>
      </c>
      <c r="I970" s="43" t="inlineStr">
        <is>
          <t>Customer Deviation</t>
        </is>
      </c>
      <c r="J970" s="43" t="inlineStr">
        <is>
          <t>D607106</t>
        </is>
      </c>
      <c r="K970" s="33" t="inlineStr">
        <is>
          <t>D607106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FPR3120-NGFW-K9SNs: TSP2942ABZZ &amp; TSP2942ABZUSO: 119112143-1</t>
        </is>
      </c>
      <c r="L970" s="43" t="inlineStr">
        <is>
          <t>Expired</t>
        </is>
      </c>
      <c r="M970" s="43" t="inlineStr">
        <is>
          <t>800-109483-01</t>
        </is>
      </c>
      <c r="N970" s="43" t="inlineStr"/>
      <c r="O970" s="43" t="inlineStr">
        <is>
          <t>2026-01-15</t>
        </is>
      </c>
      <c r="P970" s="33" t="inlineStr">
        <is>
          <t>For temporary Manufacturing process change</t>
        </is>
      </c>
      <c r="Q970" s="43" t="inlineStr">
        <is>
          <t>Only Delta fans are allowed to use with the new versions of Tufnell Park:  800-108035-05 800-108036-05 800-108037-05 800-108038-05 800-110666-02  Note: TSP is allowed to ship AVC fan only for the order below while still restricting use of GND0456A70 while Cisco works with AVC  PID: FPR3120-NGFW-K9 SNs: TSP2942ABZZ &amp; TSP2942ABZU SO: 119112143-1</t>
        </is>
      </c>
      <c r="R970" s="43" t="inlineStr">
        <is>
          <t>2025-10-17</t>
        </is>
      </c>
      <c r="S970" s="43" t="inlineStr">
        <is>
          <t>2025-11-05</t>
        </is>
      </c>
      <c r="T970" s="43" t="inlineStr"/>
      <c r="U970" s="43" t="inlineStr"/>
    </row>
    <row r="971">
      <c r="A971" s="43" t="n">
        <v>971</v>
      </c>
      <c r="B971" s="43" t="inlineStr">
        <is>
          <t>970</t>
        </is>
      </c>
      <c r="C971" s="43" t="inlineStr">
        <is>
          <t>FJZP</t>
        </is>
      </c>
      <c r="D971" s="43" t="inlineStr">
        <is>
          <t>Cisco</t>
        </is>
      </c>
      <c r="E971" s="43" t="inlineStr">
        <is>
          <t>MCGA</t>
        </is>
      </c>
      <c r="F971" s="43" t="inlineStr">
        <is>
          <t>037-STBU</t>
        </is>
      </c>
      <c r="G971" s="43" t="inlineStr">
        <is>
          <t>CTANJZ05107</t>
        </is>
      </c>
      <c r="H971" s="43" t="inlineStr">
        <is>
          <t>For temporary Manufacturing process change</t>
        </is>
      </c>
      <c r="I971" s="43" t="inlineStr">
        <is>
          <t>Customer Deviation</t>
        </is>
      </c>
      <c r="J971" s="43" t="inlineStr">
        <is>
          <t>DP525818</t>
        </is>
      </c>
      <c r="K971" s="33" t="inlineStr">
        <is>
          <t>DP525818Please follow the items below for the upcoming Pre-Pilot build for assembly #73-103557-04_rev10 and #73-103633-04 B0 -&gt;1) PCB #28-103225-04 ¡V FJZ can use 19 pcs FAB from WUS (Rev.03) after solderability testing.2) PCB #28-103230-02 and #28-103304-02 ¡V Use 35 pcs TGCE; and WUS (Rev.02). No need to run solderability test as there is no SMT component on this board.3) for PCB- FJZ can use 35pcs TGCE and all remaining quantity from WUS.4) Cisco consigned parts (17-103121-01; 15-111069-01; 15-111070-01; 15-110830-01) ¡V FJZ may use the ¡§Z-suffix¡¨ part numbers for the Pre-Pilot build (#17-103121-01Z; #15-111069-01Z; #15-111070-01Z; #15-110830-01Z).5) Cisco consigned parts #15-111069-01 and #15-111070-01 ¡V FJZ may use MPNs #100-000001695-00 ;100-000001695 (without -00); and  #100-000001693-00; 100-000001693 (without -00) which currently have a qualification status of ¡§Cancelled.¡¨6) DIMM socket #26-100403-01 ¡V Do not use the TE part.7) Stand-off #700-138393-01 ¡V FJZ is allowed to use existing hardware MPN #1363472 (status: ¡§Cancelled¡¨) until stock is depleted.8) PCAMAP ¡V Use 61-107744-04 Rev 03 for Model A.9) TANMAP ¡V Please use the following documents; as these PNs are not yet structured in PID:#95-119598-01 Rev 01 (TANMAP; Woodside Park; CSF-6120)#95-119599-01 Rev 01 (TANMAP; Woodside Park; CSF-6130)10) For Smart Programmed Parts (17-103160-05 and 17-103161-05); FJZ can ignore the part number marked on the component itself and follow the part number on the outer box label for the Pre-Pilot build.</t>
        </is>
      </c>
      <c r="L971" s="43" t="inlineStr">
        <is>
          <t>Expired</t>
        </is>
      </c>
      <c r="M971" s="43" t="inlineStr">
        <is>
          <t>73-103557-04</t>
        </is>
      </c>
      <c r="N971" s="43" t="inlineStr"/>
      <c r="O971" s="43" t="inlineStr">
        <is>
          <t>2026-04-14</t>
        </is>
      </c>
      <c r="P971" s="33" t="inlineStr"/>
      <c r="Q971" s="43" t="inlineStr"/>
      <c r="R971" s="43" t="inlineStr">
        <is>
          <t>2026-02-20</t>
        </is>
      </c>
      <c r="S971" s="43" t="inlineStr">
        <is>
          <t>2026-03-05</t>
        </is>
      </c>
      <c r="T971" s="43" t="inlineStr"/>
      <c r="U971" s="43" t="inlineStr"/>
    </row>
    <row r="972">
      <c r="A972" s="43" t="n">
        <v>972</v>
      </c>
      <c r="B972" s="43" t="inlineStr">
        <is>
          <t>971</t>
        </is>
      </c>
      <c r="C972" s="43" t="inlineStr">
        <is>
          <t>FJZP</t>
        </is>
      </c>
      <c r="D972" s="43" t="inlineStr">
        <is>
          <t>Cisco</t>
        </is>
      </c>
      <c r="E972" s="43" t="inlineStr">
        <is>
          <t>MCGA</t>
        </is>
      </c>
      <c r="F972" s="43" t="inlineStr">
        <is>
          <t>037-STBU</t>
        </is>
      </c>
      <c r="G972" s="43" t="inlineStr">
        <is>
          <t>CTANJZ04901</t>
        </is>
      </c>
      <c r="H972" s="43" t="inlineStr">
        <is>
          <t>For temporary Manufacturing process change</t>
        </is>
      </c>
      <c r="I972" s="43" t="inlineStr">
        <is>
          <t>Customer Deviation</t>
        </is>
      </c>
      <c r="J972" s="43" t="inlineStr">
        <is>
          <t>DP525192</t>
        </is>
      </c>
      <c r="K972" s="33" t="inlineStr">
        <is>
          <t>DP525192 This Prototype deviation will be used for Woodside Park Pre-Pilot build at FJZ Mexico.1. For Batch units; please run them normally on LED/P2/2C (scanning the 800-pn and FJZ SN)o Provide a list of all FJZ Serial Numbers in this batch process to Adrian Liu.o This is needed in order to start batch process.o Reference email from Adrian Liu for extra context on this process.2.     FAI suggested Fixtures will arrive Aug 11. Please follow deviation on disposition of these units.o All SKU-A goes thru DIMM automationo 5 SKU-B goes thru DIMM automation toolo 5 SKU-B thru new fixtures.3. RETEST UNIT: deviation coming up.o Please bring back 10 units from DF and any new units passed 2C hold off for this control runo Any units that pass that  2C 8/1 - 8/2 include in retest control run.o Identify all Serial number before batch test start. Add a tab to DBN to monitor test. Ricardo by 8/2/25o Control Test RUN per agreement should start on 8/5/25o DO NOT RUN ANY OTHER UNITS AT TEST UNTIL THESE CONTROL RUN IS COMPLETED.o The control run retest units are to be run from PCBLED thru 2C.    ? No disassociation of units.    ? Any new failure contact Adrian ASAP.4.     FJZ is allowed to use cancelled status MPN 3A61-780-WPR for 800-112718-02.        FJZ can use revision -06 of the accessory kit 53-101728-01.5.     FJZ is allowed to use 700-138393-01 with cancelled Hardware Specialty Comp MPN: 1363472.</t>
        </is>
      </c>
      <c r="L972" s="43" t="inlineStr">
        <is>
          <t>Expired</t>
        </is>
      </c>
      <c r="M972" s="43" t="inlineStr">
        <is>
          <t>68-104576-04</t>
        </is>
      </c>
      <c r="N972" s="43" t="inlineStr"/>
      <c r="O972" s="43" t="inlineStr">
        <is>
          <t>2025-12-08</t>
        </is>
      </c>
      <c r="P972" s="33" t="inlineStr">
        <is>
          <t>For temporary Manufacturing process change</t>
        </is>
      </c>
      <c r="Q972" s="43" t="inlineStr">
        <is>
          <t>Place deviation label on pull tab.</t>
        </is>
      </c>
      <c r="R972" s="43" t="inlineStr">
        <is>
          <t>2025-10-09</t>
        </is>
      </c>
      <c r="S972" s="43" t="inlineStr">
        <is>
          <t>2025-10-25</t>
        </is>
      </c>
      <c r="T972" s="43" t="inlineStr"/>
      <c r="U972" s="43" t="inlineStr"/>
    </row>
    <row r="973">
      <c r="A973" s="43" t="n">
        <v>973</v>
      </c>
      <c r="B973" s="43" t="inlineStr">
        <is>
          <t>972</t>
        </is>
      </c>
      <c r="C973" s="43" t="inlineStr">
        <is>
          <t>FJZP</t>
        </is>
      </c>
      <c r="D973" s="43" t="inlineStr">
        <is>
          <t>Cisco</t>
        </is>
      </c>
      <c r="E973" s="43" t="inlineStr">
        <is>
          <t>MCGA</t>
        </is>
      </c>
      <c r="F973" s="43" t="inlineStr">
        <is>
          <t>037-STBU</t>
        </is>
      </c>
      <c r="G973" s="43" t="inlineStr">
        <is>
          <t>CTANJZ04901</t>
        </is>
      </c>
      <c r="H973" s="43" t="inlineStr">
        <is>
          <t>For temporary Manufacturing process change</t>
        </is>
      </c>
      <c r="I973" s="43" t="inlineStr">
        <is>
          <t>Customer Deviation</t>
        </is>
      </c>
      <c r="J973" s="43" t="inlineStr">
        <is>
          <t>DP525192</t>
        </is>
      </c>
      <c r="K973" s="33" t="inlineStr">
        <is>
          <t>DP525192 This Prototype deviation will be used for Woodside Park Pre-Pilot build at FJZ Mexico.1. For Batch units; please run them normally on LED/P2/2C (scanning the 800-pn and FJZ SN)o Provide a list of all FJZ Serial Numbers in this batch process to Adrian Liu.o This is needed in order to start batch process.o Reference email from Adrian Liu for extra context on this process.2.     FAI suggested Fixtures will arrive Aug 11. Please follow deviation on disposition of these units.o All SKU-A goes thru DIMM automationo 5 SKU-B goes thru DIMM automation toolo 5 SKU-B thru new fixtures.3. RETEST UNIT: deviation coming up.o Please bring back 10 units from DF and any new units passed 2C hold off for this control runo Any units that pass that  2C 8/1 - 8/2 include in retest control run.o Identify all Serial number before batch test start. Add a tab to DBN to monitor test. Ricardo by 8/2/25o Control Test RUN per agreement should start on 8/5/25o DO NOT RUN ANY OTHER UNITS AT TEST UNTIL THESE CONTROL RUN IS COMPLETED.o The control run retest units are to be run from PCBLED thru 2C.    ? No disassociation of units.    ? Any new failure contact Adrian ASAP.4.     FJZ is allowed to use cancelled status MPN 3A61-780-WPR for 800-112718-02.        FJZ can use revision -06 of the accessory kit 53-101728-01.5.     FJZ is allowed to use 700-138393-01 with cancelled Hardware Specialty Comp MPN: 1363472.</t>
        </is>
      </c>
      <c r="L973" s="43" t="inlineStr">
        <is>
          <t>Expired</t>
        </is>
      </c>
      <c r="M973" s="43" t="inlineStr">
        <is>
          <t>68-104621-04</t>
        </is>
      </c>
      <c r="N973" s="43" t="inlineStr"/>
      <c r="O973" s="43" t="inlineStr">
        <is>
          <t>2025-12-08</t>
        </is>
      </c>
      <c r="P973" s="33" t="inlineStr">
        <is>
          <t>For temporary Manufacturing process change</t>
        </is>
      </c>
      <c r="Q973" s="43" t="inlineStr">
        <is>
          <t>Place deviation label on pull tab.</t>
        </is>
      </c>
      <c r="R973" s="43" t="inlineStr">
        <is>
          <t>2025-10-09</t>
        </is>
      </c>
      <c r="S973" s="43" t="inlineStr">
        <is>
          <t>2025-10-25</t>
        </is>
      </c>
      <c r="T973" s="43" t="inlineStr"/>
      <c r="U973" s="43" t="inlineStr"/>
    </row>
    <row r="974">
      <c r="A974" s="43" t="n">
        <v>974</v>
      </c>
      <c r="B974" s="43" t="inlineStr">
        <is>
          <t>973</t>
        </is>
      </c>
      <c r="C974" s="43" t="inlineStr">
        <is>
          <t>FJZP</t>
        </is>
      </c>
      <c r="D974" s="43" t="inlineStr">
        <is>
          <t>Cisco</t>
        </is>
      </c>
      <c r="E974" s="43" t="inlineStr">
        <is>
          <t>MCGA</t>
        </is>
      </c>
      <c r="F974" s="43" t="inlineStr">
        <is>
          <t>037-STBU</t>
        </is>
      </c>
      <c r="G974" s="43" t="inlineStr">
        <is>
          <t>CTANJZ04901</t>
        </is>
      </c>
      <c r="H974" s="43" t="inlineStr">
        <is>
          <t>For temporary Manufacturing process change</t>
        </is>
      </c>
      <c r="I974" s="43" t="inlineStr">
        <is>
          <t>Customer Deviation</t>
        </is>
      </c>
      <c r="J974" s="43" t="inlineStr">
        <is>
          <t>DP525192</t>
        </is>
      </c>
      <c r="K974" s="33" t="inlineStr">
        <is>
          <t>DP525192 This Prototype deviation will be used for Woodside Park Pre-Pilot build at FJZ Mexico.1. For Batch units; please run them normally on LED/P2/2C (scanning the 800-pn and FJZ SN)o Provide a list of all FJZ Serial Numbers in this batch process to Adrian Liu.o This is needed in order to start batch process.o Reference email from Adrian Liu for extra context on this process.2.     FAI suggested Fixtures will arrive Aug 11. Please follow deviation on disposition of these units.o All SKU-A goes thru DIMM automationo 5 SKU-B goes thru DIMM automation toolo 5 SKU-B thru new fixtures.3. RETEST UNIT: deviation coming up.o Please bring back 10 units from DF and any new units passed 2C hold off for this control runo Any units that pass that  2C 8/1 - 8/2 include in retest control run.o Identify all Serial number before batch test start. Add a tab to DBN to monitor test. Ricardo by 8/2/25o Control Test RUN per agreement should start on 8/5/25o DO NOT RUN ANY OTHER UNITS AT TEST UNTIL THESE CONTROL RUN IS COMPLETED.o The control run retest units are to be run from PCBLED thru 2C.    ? No disassociation of units.    ? Any new failure contact Adrian ASAP.4.     FJZ is allowed to use cancelled status MPN 3A61-780-WPR for 800-112718-02.        FJZ can use revision -06 of the accessory kit 53-101728-01.5.     FJZ is allowed to use 700-138393-01 with cancelled Hardware Specialty Comp MPN: 1363472.</t>
        </is>
      </c>
      <c r="L974" s="43" t="inlineStr">
        <is>
          <t>Expired</t>
        </is>
      </c>
      <c r="M974" s="43" t="inlineStr">
        <is>
          <t>800-112581-04</t>
        </is>
      </c>
      <c r="N974" s="43" t="inlineStr"/>
      <c r="O974" s="43" t="inlineStr">
        <is>
          <t>2025-12-08</t>
        </is>
      </c>
      <c r="P974" s="33" t="inlineStr">
        <is>
          <t>For temporary Manufacturing process change</t>
        </is>
      </c>
      <c r="Q974" s="43" t="inlineStr">
        <is>
          <t>Place deviation label on pull tab.</t>
        </is>
      </c>
      <c r="R974" s="43" t="inlineStr">
        <is>
          <t>2025-10-09</t>
        </is>
      </c>
      <c r="S974" s="43" t="inlineStr">
        <is>
          <t>2025-10-25</t>
        </is>
      </c>
      <c r="T974" s="43" t="inlineStr"/>
      <c r="U974" s="43" t="inlineStr"/>
    </row>
    <row r="975">
      <c r="A975" s="43" t="n">
        <v>975</v>
      </c>
      <c r="B975" s="43" t="inlineStr">
        <is>
          <t>974</t>
        </is>
      </c>
      <c r="C975" s="43" t="inlineStr">
        <is>
          <t>FJZP</t>
        </is>
      </c>
      <c r="D975" s="43" t="inlineStr">
        <is>
          <t>Cisco</t>
        </is>
      </c>
      <c r="E975" s="43" t="inlineStr">
        <is>
          <t>MCGA</t>
        </is>
      </c>
      <c r="F975" s="43" t="inlineStr">
        <is>
          <t>018-SRGBU</t>
        </is>
      </c>
      <c r="G975" s="43" t="inlineStr">
        <is>
          <t>CTANJZ04963</t>
        </is>
      </c>
      <c r="H975" s="43" t="inlineStr">
        <is>
          <t>For temporary Manufacturing process change</t>
        </is>
      </c>
      <c r="I975" s="43" t="inlineStr">
        <is>
          <t>Customer Deviation</t>
        </is>
      </c>
      <c r="J975" s="43" t="inlineStr">
        <is>
          <t>D607703</t>
        </is>
      </c>
      <c r="K975" s="33" t="inlineStr">
        <is>
          <t>D607703 SRGBU: Tabei-M production (74-125442-04/ 68-7717-01) to use CIMC_4.15.0.2R version (extension of D605611)</t>
        </is>
      </c>
      <c r="L975" s="43" t="inlineStr">
        <is>
          <t>Expired</t>
        </is>
      </c>
      <c r="M975" s="43" t="inlineStr">
        <is>
          <t>74-125442-04</t>
        </is>
      </c>
      <c r="N975" s="43" t="inlineStr"/>
      <c r="O975" s="43" t="inlineStr">
        <is>
          <t>2026-02-11</t>
        </is>
      </c>
      <c r="P975" s="33" t="inlineStr">
        <is>
          <t>For temporary Manufacturing process change</t>
        </is>
      </c>
      <c r="Q975" s="43" t="inlineStr">
        <is>
          <t>Label all deviated units with deviation# and program deviation # into the cookie</t>
        </is>
      </c>
      <c r="R975" s="43" t="inlineStr">
        <is>
          <t>2025-11-14</t>
        </is>
      </c>
      <c r="S975" s="43" t="inlineStr">
        <is>
          <t>2025-11-20</t>
        </is>
      </c>
      <c r="T975" s="43" t="inlineStr"/>
      <c r="U975" s="43" t="inlineStr"/>
    </row>
    <row r="976">
      <c r="A976" s="43" t="n">
        <v>976</v>
      </c>
      <c r="B976" s="43" t="inlineStr">
        <is>
          <t>975</t>
        </is>
      </c>
      <c r="C976" s="43" t="inlineStr">
        <is>
          <t>FJZP</t>
        </is>
      </c>
      <c r="D976" s="43" t="inlineStr">
        <is>
          <t>Cisco</t>
        </is>
      </c>
      <c r="E976" s="43" t="inlineStr">
        <is>
          <t>MCGA</t>
        </is>
      </c>
      <c r="F976" s="43" t="inlineStr">
        <is>
          <t>018-SRGBU</t>
        </is>
      </c>
      <c r="G976" s="43" t="inlineStr">
        <is>
          <t>CTANJZ05096</t>
        </is>
      </c>
      <c r="H976" s="43" t="inlineStr">
        <is>
          <t>For temporary Manufacturing process change</t>
        </is>
      </c>
      <c r="I976" s="43" t="inlineStr">
        <is>
          <t>Customer Deviation</t>
        </is>
      </c>
      <c r="J976" s="43" t="inlineStr">
        <is>
          <t>D609350</t>
        </is>
      </c>
      <c r="K976" s="33" t="inlineStr">
        <is>
          <t>D609350 SRGBU-Nutella: Upgrade to Rommon version 17.15.(1r) and use eMMC KLMCG1RCTE-B041</t>
        </is>
      </c>
      <c r="L976" s="43" t="inlineStr">
        <is>
          <t>Expired</t>
        </is>
      </c>
      <c r="M976" s="43" t="inlineStr">
        <is>
          <t>17-15632-01</t>
        </is>
      </c>
      <c r="N976" s="43" t="inlineStr"/>
      <c r="O976" s="43" t="inlineStr">
        <is>
          <t>2026-05-04</t>
        </is>
      </c>
      <c r="P976" s="33" t="inlineStr">
        <is>
          <t>For temporary Manufacturing process change</t>
        </is>
      </c>
      <c r="Q976" s="43" t="inlineStr">
        <is>
          <t>Label all deviated units with deviation label and program deviation number into cookie</t>
        </is>
      </c>
      <c r="R976" s="43" t="inlineStr">
        <is>
          <t>2026-02-03</t>
        </is>
      </c>
      <c r="S976" s="43" t="inlineStr">
        <is>
          <t>2026-02-20</t>
        </is>
      </c>
      <c r="T976" s="43" t="inlineStr"/>
      <c r="U976" s="43" t="inlineStr"/>
    </row>
    <row r="977">
      <c r="A977" s="43" t="n">
        <v>977</v>
      </c>
      <c r="B977" s="43" t="inlineStr">
        <is>
          <t>976</t>
        </is>
      </c>
      <c r="C977" s="43" t="inlineStr">
        <is>
          <t>FJZP</t>
        </is>
      </c>
      <c r="D977" s="43" t="inlineStr">
        <is>
          <t>Cisco</t>
        </is>
      </c>
      <c r="E977" s="43" t="inlineStr">
        <is>
          <t>MCGA</t>
        </is>
      </c>
      <c r="F977" s="43" t="inlineStr">
        <is>
          <t>037-STBU</t>
        </is>
      </c>
      <c r="G977" s="43" t="inlineStr">
        <is>
          <t>CTANJZ04945</t>
        </is>
      </c>
      <c r="H977" s="43" t="inlineStr">
        <is>
          <t>For temporary Manufacturing process change</t>
        </is>
      </c>
      <c r="I977" s="43" t="inlineStr">
        <is>
          <t>Customer Deviation</t>
        </is>
      </c>
      <c r="J977" s="43" t="inlineStr">
        <is>
          <t>D607354</t>
        </is>
      </c>
      <c r="K977" s="33" t="inlineStr">
        <is>
          <t>D607354 Use 74-126726-01 as substitute of 74-113291-01 on DF</t>
        </is>
      </c>
      <c r="L977" s="43" t="inlineStr">
        <is>
          <t>Expired</t>
        </is>
      </c>
      <c r="M977" s="43" t="inlineStr">
        <is>
          <t>74-113291-01</t>
        </is>
      </c>
      <c r="N977" s="43" t="inlineStr"/>
      <c r="O977" s="43" t="inlineStr">
        <is>
          <t>2026-01-28</t>
        </is>
      </c>
      <c r="P977" s="33" t="inlineStr">
        <is>
          <t>For temporary Manufacturing process change</t>
        </is>
      </c>
      <c r="Q977" s="43" t="inlineStr">
        <is>
          <t>Stick dev label on chassis (easy visible location)</t>
        </is>
      </c>
      <c r="R977" s="43" t="inlineStr">
        <is>
          <t>2025-10-31</t>
        </is>
      </c>
      <c r="S977" s="43" t="inlineStr">
        <is>
          <t>2025-11-29</t>
        </is>
      </c>
      <c r="T977" s="43" t="inlineStr"/>
      <c r="U977" s="43" t="inlineStr"/>
    </row>
    <row r="978">
      <c r="A978" s="43" t="n">
        <v>978</v>
      </c>
      <c r="B978" s="43" t="inlineStr">
        <is>
          <t>977</t>
        </is>
      </c>
      <c r="C978" s="43" t="inlineStr">
        <is>
          <t>FJZP</t>
        </is>
      </c>
      <c r="D978" s="43" t="inlineStr">
        <is>
          <t>Cisco</t>
        </is>
      </c>
      <c r="E978" s="43" t="inlineStr">
        <is>
          <t>MCGA</t>
        </is>
      </c>
      <c r="F978" s="43" t="inlineStr">
        <is>
          <t>037-STBU</t>
        </is>
      </c>
      <c r="G978" s="43" t="inlineStr">
        <is>
          <t>CTANJZ04945</t>
        </is>
      </c>
      <c r="H978" s="43" t="inlineStr">
        <is>
          <t>For temporary Manufacturing process change</t>
        </is>
      </c>
      <c r="I978" s="43" t="inlineStr">
        <is>
          <t>Customer Deviation</t>
        </is>
      </c>
      <c r="J978" s="43" t="inlineStr">
        <is>
          <t>D607354</t>
        </is>
      </c>
      <c r="K978" s="33" t="inlineStr">
        <is>
          <t>D607354 Use 74-126726-01 as substitute of 74-113291-01 on DF</t>
        </is>
      </c>
      <c r="L978" s="43" t="inlineStr">
        <is>
          <t>Expired</t>
        </is>
      </c>
      <c r="M978" s="43" t="inlineStr">
        <is>
          <t>74-126726-01</t>
        </is>
      </c>
      <c r="N978" s="43" t="inlineStr"/>
      <c r="O978" s="43" t="inlineStr">
        <is>
          <t>2026-01-28</t>
        </is>
      </c>
      <c r="P978" s="33" t="inlineStr">
        <is>
          <t>For temporary Manufacturing process change</t>
        </is>
      </c>
      <c r="Q978" s="43" t="inlineStr">
        <is>
          <t>Stick dev label on chassis (easy visible location)</t>
        </is>
      </c>
      <c r="R978" s="43" t="inlineStr">
        <is>
          <t>2025-10-31</t>
        </is>
      </c>
      <c r="S978" s="43" t="inlineStr">
        <is>
          <t>2025-11-29</t>
        </is>
      </c>
      <c r="T978" s="43" t="inlineStr"/>
      <c r="U978" s="43" t="inlineStr"/>
    </row>
    <row r="979">
      <c r="A979" s="43" t="n">
        <v>979</v>
      </c>
      <c r="B979" s="43" t="inlineStr">
        <is>
          <t>978</t>
        </is>
      </c>
      <c r="C979" s="43" t="inlineStr">
        <is>
          <t>FJZP</t>
        </is>
      </c>
      <c r="D979" s="43" t="inlineStr">
        <is>
          <t>Cisco</t>
        </is>
      </c>
      <c r="E979" s="43" t="inlineStr">
        <is>
          <t>MCGA</t>
        </is>
      </c>
      <c r="F979" s="43" t="inlineStr">
        <is>
          <t>037-STBU</t>
        </is>
      </c>
      <c r="G979" s="43" t="inlineStr">
        <is>
          <t>CTANJZ04950</t>
        </is>
      </c>
      <c r="H979" s="43" t="inlineStr">
        <is>
          <t>For temporary Manufacturing process change</t>
        </is>
      </c>
      <c r="I979" s="43" t="inlineStr">
        <is>
          <t>Customer Deviation</t>
        </is>
      </c>
      <c r="J979" s="43" t="inlineStr">
        <is>
          <t>D607497</t>
        </is>
      </c>
      <c r="K979" s="33" t="inlineStr">
        <is>
          <t>D607497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FPR3110-NGFW-K9Qty: 2SO: 119264367-6</t>
        </is>
      </c>
      <c r="L979" s="43" t="inlineStr">
        <is>
          <t>Expired</t>
        </is>
      </c>
      <c r="M979" s="43" t="inlineStr">
        <is>
          <t>68-7253-05</t>
        </is>
      </c>
      <c r="N979" s="43" t="inlineStr"/>
      <c r="O979" s="43" t="inlineStr">
        <is>
          <t>2026-02-01</t>
        </is>
      </c>
      <c r="P979" s="33" t="inlineStr">
        <is>
          <t>For temporary Manufacturing process change</t>
        </is>
      </c>
      <c r="Q979" s="43" t="inlineStr">
        <is>
          <t>Attach the deviation label below the POD compliance label</t>
        </is>
      </c>
      <c r="R979" s="43" t="inlineStr">
        <is>
          <t>2025-11-05</t>
        </is>
      </c>
      <c r="S979" s="43" t="inlineStr">
        <is>
          <t>2025-12-11</t>
        </is>
      </c>
      <c r="T979" s="43" t="inlineStr"/>
      <c r="U979" s="43" t="inlineStr"/>
    </row>
    <row r="980">
      <c r="A980" s="43" t="n">
        <v>980</v>
      </c>
      <c r="B980" s="43" t="inlineStr">
        <is>
          <t>979</t>
        </is>
      </c>
      <c r="C980" s="43" t="inlineStr">
        <is>
          <t>FJZP</t>
        </is>
      </c>
      <c r="D980" s="43" t="inlineStr">
        <is>
          <t>Cisco</t>
        </is>
      </c>
      <c r="E980" s="43" t="inlineStr">
        <is>
          <t>MCGA</t>
        </is>
      </c>
      <c r="F980" s="43" t="inlineStr">
        <is>
          <t>037-STBU</t>
        </is>
      </c>
      <c r="G980" s="43" t="inlineStr">
        <is>
          <t>CTANJZ04950</t>
        </is>
      </c>
      <c r="H980" s="43" t="inlineStr">
        <is>
          <t>For temporary Manufacturing process change</t>
        </is>
      </c>
      <c r="I980" s="43" t="inlineStr">
        <is>
          <t>Customer Deviation</t>
        </is>
      </c>
      <c r="J980" s="43" t="inlineStr">
        <is>
          <t>D607497</t>
        </is>
      </c>
      <c r="K980" s="33" t="inlineStr">
        <is>
          <t>D607497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FPR3110-NGFW-K9Qty: 2SO: 119264367-6</t>
        </is>
      </c>
      <c r="L980" s="43" t="inlineStr">
        <is>
          <t>Expired</t>
        </is>
      </c>
      <c r="M980" s="43" t="inlineStr">
        <is>
          <t>68-7254-05</t>
        </is>
      </c>
      <c r="N980" s="43" t="inlineStr"/>
      <c r="O980" s="43" t="inlineStr">
        <is>
          <t>2026-02-01</t>
        </is>
      </c>
      <c r="P980" s="33" t="inlineStr">
        <is>
          <t>For temporary Manufacturing process change</t>
        </is>
      </c>
      <c r="Q980" s="43" t="inlineStr">
        <is>
          <t>Attach the deviation label below the POD compliance label</t>
        </is>
      </c>
      <c r="R980" s="43" t="inlineStr">
        <is>
          <t>2025-11-05</t>
        </is>
      </c>
      <c r="S980" s="43" t="inlineStr">
        <is>
          <t>2025-12-11</t>
        </is>
      </c>
      <c r="T980" s="43" t="inlineStr"/>
      <c r="U980" s="43" t="inlineStr"/>
    </row>
    <row r="981">
      <c r="A981" s="43" t="n">
        <v>981</v>
      </c>
      <c r="B981" s="43" t="inlineStr">
        <is>
          <t>980</t>
        </is>
      </c>
      <c r="C981" s="43" t="inlineStr">
        <is>
          <t>FJZP</t>
        </is>
      </c>
      <c r="D981" s="43" t="inlineStr">
        <is>
          <t>Cisco</t>
        </is>
      </c>
      <c r="E981" s="43" t="inlineStr">
        <is>
          <t>MCGA</t>
        </is>
      </c>
      <c r="F981" s="43" t="inlineStr">
        <is>
          <t>037-STBU</t>
        </is>
      </c>
      <c r="G981" s="43" t="inlineStr">
        <is>
          <t>CTANJZ04950</t>
        </is>
      </c>
      <c r="H981" s="43" t="inlineStr">
        <is>
          <t>For temporary Manufacturing process change</t>
        </is>
      </c>
      <c r="I981" s="43" t="inlineStr">
        <is>
          <t>Customer Deviation</t>
        </is>
      </c>
      <c r="J981" s="43" t="inlineStr">
        <is>
          <t>D607497</t>
        </is>
      </c>
      <c r="K981" s="33" t="inlineStr">
        <is>
          <t>D607497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FPR3110-NGFW-K9Qty: 2SO: 119264367-6</t>
        </is>
      </c>
      <c r="L981" s="43" t="inlineStr">
        <is>
          <t>Expired</t>
        </is>
      </c>
      <c r="M981" s="43" t="inlineStr">
        <is>
          <t>68-7255-05</t>
        </is>
      </c>
      <c r="N981" s="43" t="inlineStr"/>
      <c r="O981" s="43" t="inlineStr">
        <is>
          <t>2026-02-01</t>
        </is>
      </c>
      <c r="P981" s="33" t="inlineStr">
        <is>
          <t>For temporary Manufacturing process change</t>
        </is>
      </c>
      <c r="Q981" s="43" t="inlineStr">
        <is>
          <t>Attach the deviation label below the POD compliance label</t>
        </is>
      </c>
      <c r="R981" s="43" t="inlineStr">
        <is>
          <t>2025-11-05</t>
        </is>
      </c>
      <c r="S981" s="43" t="inlineStr">
        <is>
          <t>2025-12-11</t>
        </is>
      </c>
      <c r="T981" s="43" t="inlineStr"/>
      <c r="U981" s="43" t="inlineStr"/>
    </row>
    <row r="982">
      <c r="A982" s="43" t="n">
        <v>982</v>
      </c>
      <c r="B982" s="43" t="inlineStr">
        <is>
          <t>981</t>
        </is>
      </c>
      <c r="C982" s="43" t="inlineStr">
        <is>
          <t>FJZP</t>
        </is>
      </c>
      <c r="D982" s="43" t="inlineStr">
        <is>
          <t>Cisco</t>
        </is>
      </c>
      <c r="E982" s="43" t="inlineStr">
        <is>
          <t>MCGA</t>
        </is>
      </c>
      <c r="F982" s="43" t="inlineStr">
        <is>
          <t>037-STBU</t>
        </is>
      </c>
      <c r="G982" s="43" t="inlineStr">
        <is>
          <t>CTANJZ04950</t>
        </is>
      </c>
      <c r="H982" s="43" t="inlineStr">
        <is>
          <t>For temporary Manufacturing process change</t>
        </is>
      </c>
      <c r="I982" s="43" t="inlineStr">
        <is>
          <t>Customer Deviation</t>
        </is>
      </c>
      <c r="J982" s="43" t="inlineStr">
        <is>
          <t>D607497</t>
        </is>
      </c>
      <c r="K982" s="33" t="inlineStr">
        <is>
          <t>D607497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FPR3110-NGFW-K9Qty: 2SO: 119264367-6</t>
        </is>
      </c>
      <c r="L982" s="43" t="inlineStr">
        <is>
          <t>Expired</t>
        </is>
      </c>
      <c r="M982" s="43" t="inlineStr">
        <is>
          <t>68-7256-05</t>
        </is>
      </c>
      <c r="N982" s="43" t="inlineStr"/>
      <c r="O982" s="43" t="inlineStr">
        <is>
          <t>2026-02-01</t>
        </is>
      </c>
      <c r="P982" s="33" t="inlineStr">
        <is>
          <t>For temporary Manufacturing process change</t>
        </is>
      </c>
      <c r="Q982" s="43" t="inlineStr">
        <is>
          <t>Attach the deviation label below the POD compliance label</t>
        </is>
      </c>
      <c r="R982" s="43" t="inlineStr">
        <is>
          <t>2025-11-05</t>
        </is>
      </c>
      <c r="S982" s="43" t="inlineStr">
        <is>
          <t>2025-12-11</t>
        </is>
      </c>
      <c r="T982" s="43" t="inlineStr"/>
      <c r="U982" s="43" t="inlineStr"/>
    </row>
    <row r="983">
      <c r="A983" s="43" t="n">
        <v>983</v>
      </c>
      <c r="B983" s="43" t="inlineStr">
        <is>
          <t>982</t>
        </is>
      </c>
      <c r="C983" s="43" t="inlineStr">
        <is>
          <t>FJZP</t>
        </is>
      </c>
      <c r="D983" s="43" t="inlineStr">
        <is>
          <t>Cisco</t>
        </is>
      </c>
      <c r="E983" s="43" t="inlineStr">
        <is>
          <t>MCGA</t>
        </is>
      </c>
      <c r="F983" s="43" t="inlineStr">
        <is>
          <t>037-STBU</t>
        </is>
      </c>
      <c r="G983" s="43" t="inlineStr">
        <is>
          <t>CTANJZ04950</t>
        </is>
      </c>
      <c r="H983" s="43" t="inlineStr">
        <is>
          <t>For temporary Manufacturing process change</t>
        </is>
      </c>
      <c r="I983" s="43" t="inlineStr">
        <is>
          <t>Customer Deviation</t>
        </is>
      </c>
      <c r="J983" s="43" t="inlineStr">
        <is>
          <t>D607497</t>
        </is>
      </c>
      <c r="K983" s="33" t="inlineStr">
        <is>
          <t>D607497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FPR3110-NGFW-K9Qty: 2SO: 119264367-6</t>
        </is>
      </c>
      <c r="L983" s="43" t="inlineStr">
        <is>
          <t>Expired</t>
        </is>
      </c>
      <c r="M983" s="43" t="inlineStr">
        <is>
          <t>68-7638-02</t>
        </is>
      </c>
      <c r="N983" s="43" t="inlineStr"/>
      <c r="O983" s="43" t="inlineStr">
        <is>
          <t>2026-02-01</t>
        </is>
      </c>
      <c r="P983" s="33" t="inlineStr">
        <is>
          <t>For temporary Manufacturing process change</t>
        </is>
      </c>
      <c r="Q983" s="43" t="inlineStr">
        <is>
          <t>Attach the deviation label below the POD compliance label</t>
        </is>
      </c>
      <c r="R983" s="43" t="inlineStr">
        <is>
          <t>2025-11-05</t>
        </is>
      </c>
      <c r="S983" s="43" t="inlineStr">
        <is>
          <t>2025-12-11</t>
        </is>
      </c>
      <c r="T983" s="43" t="inlineStr"/>
      <c r="U983" s="43" t="inlineStr"/>
    </row>
    <row r="984">
      <c r="A984" s="43" t="n">
        <v>984</v>
      </c>
      <c r="B984" s="43" t="inlineStr">
        <is>
          <t>983</t>
        </is>
      </c>
      <c r="C984" s="43" t="inlineStr">
        <is>
          <t>FJZP</t>
        </is>
      </c>
      <c r="D984" s="43" t="inlineStr">
        <is>
          <t>Cisco</t>
        </is>
      </c>
      <c r="E984" s="43" t="inlineStr">
        <is>
          <t>MCGA</t>
        </is>
      </c>
      <c r="F984" s="43" t="inlineStr">
        <is>
          <t>037-STBU</t>
        </is>
      </c>
      <c r="G984" s="43" t="inlineStr">
        <is>
          <t>CTANJZ04950</t>
        </is>
      </c>
      <c r="H984" s="43" t="inlineStr">
        <is>
          <t>For temporary Manufacturing process change</t>
        </is>
      </c>
      <c r="I984" s="43" t="inlineStr">
        <is>
          <t>Customer Deviation</t>
        </is>
      </c>
      <c r="J984" s="43" t="inlineStr">
        <is>
          <t>D607497</t>
        </is>
      </c>
      <c r="K984" s="33" t="inlineStr">
        <is>
          <t>D607497 For the new versions of Tufnell Park; can't use AVC Fans (MPN: GND0456A70); until we know what the RC is of the 2C failures at cold temp- Cisco Eng can duplicate the failure- Some samples were ship to AVC; but failure can't be duplicate; FJZ working to send additional samples to AVCNote: TSP is allowed to ship AVC fan only for the order below while still restricting use of GND0456A70 while Cisco works with AVCPID: FPR3110-NGFW-K9Qty: 2SO: 119264367-6</t>
        </is>
      </c>
      <c r="L984" s="43" t="inlineStr">
        <is>
          <t>Expired</t>
        </is>
      </c>
      <c r="M984" s="43" t="inlineStr">
        <is>
          <t>800-109483-01</t>
        </is>
      </c>
      <c r="N984" s="43" t="inlineStr"/>
      <c r="O984" s="43" t="inlineStr">
        <is>
          <t>2026-02-01</t>
        </is>
      </c>
      <c r="P984" s="33" t="inlineStr">
        <is>
          <t>For temporary Manufacturing process change</t>
        </is>
      </c>
      <c r="Q984" s="43" t="inlineStr">
        <is>
          <t>Attach the deviation label below the POD compliance label</t>
        </is>
      </c>
      <c r="R984" s="43" t="inlineStr">
        <is>
          <t>2025-11-05</t>
        </is>
      </c>
      <c r="S984" s="43" t="inlineStr">
        <is>
          <t>2025-12-11</t>
        </is>
      </c>
      <c r="T984" s="43" t="inlineStr"/>
      <c r="U984" s="43" t="inlineStr"/>
    </row>
    <row r="985">
      <c r="A985" s="43" t="n">
        <v>985</v>
      </c>
      <c r="B985" s="43" t="inlineStr">
        <is>
          <t>984</t>
        </is>
      </c>
      <c r="C985" s="43" t="inlineStr">
        <is>
          <t>FJZP</t>
        </is>
      </c>
      <c r="D985" s="43" t="inlineStr">
        <is>
          <t>Cisco</t>
        </is>
      </c>
      <c r="E985" s="43" t="inlineStr">
        <is>
          <t>MCGA</t>
        </is>
      </c>
      <c r="F985" s="43" t="inlineStr">
        <is>
          <t>035-CVEBU</t>
        </is>
      </c>
      <c r="G985" s="43" t="inlineStr">
        <is>
          <t>CTANJZ05008</t>
        </is>
      </c>
      <c r="H985" s="43" t="inlineStr">
        <is>
          <t>For temporary Manufacturing process change</t>
        </is>
      </c>
      <c r="I985" s="43" t="inlineStr">
        <is>
          <t>Customer Deviation</t>
        </is>
      </c>
      <c r="J985" s="43" t="inlineStr">
        <is>
          <t>DP525595</t>
        </is>
      </c>
      <c r="K985" s="33" t="inlineStr">
        <is>
          <t>DP525595 This deviation allows to use 502-100456-01 rev 01 and rev A0 in Pre-pilot build at FJZ.</t>
        </is>
      </c>
      <c r="L985" s="43" t="inlineStr">
        <is>
          <t>Expired</t>
        </is>
      </c>
      <c r="M985" s="43" t="inlineStr">
        <is>
          <t>68-104853-01</t>
        </is>
      </c>
      <c r="N985" s="43" t="inlineStr"/>
      <c r="O985" s="43" t="inlineStr">
        <is>
          <t>2026-02-02</t>
        </is>
      </c>
      <c r="P985" s="33" t="inlineStr">
        <is>
          <t>For temporary Manufacturing process change</t>
        </is>
      </c>
      <c r="Q985" s="43" t="inlineStr">
        <is>
          <t>Not required.</t>
        </is>
      </c>
      <c r="R985" s="43" t="inlineStr">
        <is>
          <t>2025-12-04</t>
        </is>
      </c>
      <c r="S985" s="43" t="inlineStr">
        <is>
          <t>2025-12-16</t>
        </is>
      </c>
      <c r="T985" s="43" t="inlineStr"/>
      <c r="U985" s="43" t="inlineStr"/>
    </row>
    <row r="986">
      <c r="A986" s="43" t="n">
        <v>986</v>
      </c>
      <c r="B986" s="43" t="inlineStr">
        <is>
          <t>985</t>
        </is>
      </c>
      <c r="C986" s="43" t="inlineStr">
        <is>
          <t>FJZP</t>
        </is>
      </c>
      <c r="D986" s="43" t="inlineStr">
        <is>
          <t>Cisco</t>
        </is>
      </c>
      <c r="E986" s="43" t="inlineStr">
        <is>
          <t>MCGA</t>
        </is>
      </c>
      <c r="F986" s="43" t="inlineStr">
        <is>
          <t>037-STBU</t>
        </is>
      </c>
      <c r="G986" s="43" t="inlineStr">
        <is>
          <t>CTANJZ04981</t>
        </is>
      </c>
      <c r="H986" s="43" t="inlineStr">
        <is>
          <t>For temporary Manufacturing process change</t>
        </is>
      </c>
      <c r="I986" s="43" t="inlineStr">
        <is>
          <t>Customer Deviation</t>
        </is>
      </c>
      <c r="J986" s="43" t="inlineStr">
        <is>
          <t>D607861</t>
        </is>
      </c>
      <c r="K986" s="33" t="inlineStr">
        <is>
          <t>D607861 Allow FJZ to use the MPN with DC &gt;= 245115-106779-01 (CSD95495QVM)15-106360-01 (CSD95485RWJ)15-105515-01 (CSD95496QVM)15-105514-01 (CSD95492QVM)15-103921-01 (CSD95480RWJ)</t>
        </is>
      </c>
      <c r="L986" s="43" t="inlineStr">
        <is>
          <t>Expired</t>
        </is>
      </c>
      <c r="M986" s="43" t="inlineStr">
        <is>
          <t>73-20249-06</t>
        </is>
      </c>
      <c r="N986" s="43" t="inlineStr"/>
      <c r="O986" s="43" t="inlineStr">
        <is>
          <t>2026-02-23</t>
        </is>
      </c>
      <c r="P986" s="33" t="inlineStr">
        <is>
          <t>For temporary Manufacturing process change</t>
        </is>
      </c>
      <c r="Q986" s="43" t="inlineStr">
        <is>
          <t>Allow FJZ to use the MPN with DC &gt;= 2451  15-106779-01 (CSD95495QVM) 15-106360-01 (CSD95485RWJ) 15-105515-01 (CSD95496QVM) 15-105514-01 (CSD95492QVM) 15-103921-01 (CSD95480RWJ)</t>
        </is>
      </c>
      <c r="R986" s="43" t="inlineStr">
        <is>
          <t>2025-11-25</t>
        </is>
      </c>
      <c r="S986" s="43" t="inlineStr">
        <is>
          <t>2026-01-14</t>
        </is>
      </c>
      <c r="T986" s="43" t="inlineStr"/>
      <c r="U986" s="43" t="inlineStr"/>
    </row>
    <row r="987">
      <c r="A987" s="43" t="n">
        <v>987</v>
      </c>
      <c r="B987" s="43" t="inlineStr">
        <is>
          <t>986</t>
        </is>
      </c>
      <c r="C987" s="43" t="inlineStr">
        <is>
          <t>FJZP</t>
        </is>
      </c>
      <c r="D987" s="43" t="inlineStr">
        <is>
          <t>Cisco</t>
        </is>
      </c>
      <c r="E987" s="43" t="inlineStr">
        <is>
          <t>MCGA</t>
        </is>
      </c>
      <c r="F987" s="43" t="inlineStr">
        <is>
          <t>035-CVEBU</t>
        </is>
      </c>
      <c r="G987" s="43" t="inlineStr">
        <is>
          <t>CTANJZ04984</t>
        </is>
      </c>
      <c r="H987" s="43" t="inlineStr">
        <is>
          <t>For temporary Manufacturing process change</t>
        </is>
      </c>
      <c r="I987" s="43" t="inlineStr">
        <is>
          <t>Customer Deviation</t>
        </is>
      </c>
      <c r="J987" s="43" t="inlineStr">
        <is>
          <t>D604760</t>
        </is>
      </c>
      <c r="K987" s="33" t="inlineStr">
        <is>
          <t>D604760 CVEBU: Sourcing deviation for FOL; FOC and SHK. Extension of D598063 &amp; D599926  Affected Item used in multiple products:CPN: 341-100574-01MPN: ADF019-790G Z from ACBELPID PSU-12VDC-70W-GRACBEL PSU will not be compliant for Chinese market effective 31st July 2024. This impacts the importation of the PSU into China; moving from bonded area and outbound shipment of finished goods to Chinese customers.With immediate effect; no orders to be placed with ACBEL (MPN -  ADF019-790G Z ) for PSU 341-100574-01 by FOC; FOL and SHK.  Only source new orders from FSP going forward (MPN- FSP070-AHAN2_9NA0701500-Z)Note; adding PID to affected item for DF/BTS site working on PID level.Contact Cisco: Annette McCarthy and Jarle Aasland</t>
        </is>
      </c>
      <c r="L987" s="43" t="inlineStr">
        <is>
          <t>Expired</t>
        </is>
      </c>
      <c r="M987" s="43" t="inlineStr">
        <is>
          <t>341-100574-01</t>
        </is>
      </c>
      <c r="N987" s="43" t="inlineStr"/>
      <c r="O987" s="43" t="inlineStr">
        <is>
          <t>2026-02-24</t>
        </is>
      </c>
      <c r="P987" s="33" t="inlineStr">
        <is>
          <t>For temporary Manufacturing process change</t>
        </is>
      </c>
      <c r="Q987" s="43" t="inlineStr">
        <is>
          <t>NA. Sourcing deviation only</t>
        </is>
      </c>
      <c r="R987" s="43" t="inlineStr">
        <is>
          <t>2025-11-26</t>
        </is>
      </c>
      <c r="S987" s="43" t="inlineStr">
        <is>
          <t>2025-12-09</t>
        </is>
      </c>
      <c r="T987" s="43" t="inlineStr"/>
      <c r="U987" s="43" t="inlineStr"/>
    </row>
    <row r="988">
      <c r="A988" s="43" t="n">
        <v>988</v>
      </c>
      <c r="B988" s="43" t="inlineStr">
        <is>
          <t>987</t>
        </is>
      </c>
      <c r="C988" s="43" t="inlineStr">
        <is>
          <t>FJZP</t>
        </is>
      </c>
      <c r="D988" s="43" t="inlineStr">
        <is>
          <t>Cisco</t>
        </is>
      </c>
      <c r="E988" s="43" t="inlineStr">
        <is>
          <t>MCGA</t>
        </is>
      </c>
      <c r="F988" s="43" t="inlineStr">
        <is>
          <t>018-SRGBU</t>
        </is>
      </c>
      <c r="G988" s="43" t="inlineStr">
        <is>
          <t>CTANJZ04990</t>
        </is>
      </c>
      <c r="H988" s="43" t="inlineStr">
        <is>
          <t>For temporary Manufacturing process change</t>
        </is>
      </c>
      <c r="I988" s="43" t="inlineStr">
        <is>
          <t>Customer Deviation</t>
        </is>
      </c>
      <c r="J988" s="43" t="inlineStr">
        <is>
          <t>D607247</t>
        </is>
      </c>
      <c r="K988" s="33" t="inlineStr">
        <is>
          <t>D607247 This deviation is an extension of Deviation D605647.Allow FOL;FVN and FJZ to use MPN 08-1210-01-A0 under CPN 08-1210-01 to support mass production build till furthuer instruction from Cisco.</t>
        </is>
      </c>
      <c r="L988" s="43" t="inlineStr">
        <is>
          <t>Expired</t>
        </is>
      </c>
      <c r="M988" s="43" t="inlineStr">
        <is>
          <t>73-21204-06</t>
        </is>
      </c>
      <c r="N988" s="43" t="inlineStr"/>
      <c r="O988" s="43" t="inlineStr">
        <is>
          <t>2026-02-26</t>
        </is>
      </c>
      <c r="P988" s="33" t="inlineStr">
        <is>
          <t>For temporary Manufacturing process change</t>
        </is>
      </c>
      <c r="Q988" s="43" t="inlineStr">
        <is>
          <t>No deviation label required</t>
        </is>
      </c>
      <c r="R988" s="43" t="inlineStr">
        <is>
          <t>2025-11-28</t>
        </is>
      </c>
      <c r="S988" s="43" t="inlineStr">
        <is>
          <t>2025-12-09</t>
        </is>
      </c>
      <c r="T988" s="43" t="inlineStr"/>
      <c r="U988" s="43" t="inlineStr"/>
    </row>
    <row r="989">
      <c r="A989" s="43" t="n">
        <v>989</v>
      </c>
      <c r="B989" s="43" t="inlineStr">
        <is>
          <t>988</t>
        </is>
      </c>
      <c r="C989" s="43" t="inlineStr">
        <is>
          <t>FJZP</t>
        </is>
      </c>
      <c r="D989" s="43" t="inlineStr">
        <is>
          <t>Cisco</t>
        </is>
      </c>
      <c r="E989" s="43" t="inlineStr">
        <is>
          <t>MCGA</t>
        </is>
      </c>
      <c r="F989" s="43" t="inlineStr">
        <is>
          <t>018-SRGBU</t>
        </is>
      </c>
      <c r="G989" s="43" t="inlineStr">
        <is>
          <t>CTANJZ04990</t>
        </is>
      </c>
      <c r="H989" s="43" t="inlineStr">
        <is>
          <t>For temporary Manufacturing process change</t>
        </is>
      </c>
      <c r="I989" s="43" t="inlineStr">
        <is>
          <t>Customer Deviation</t>
        </is>
      </c>
      <c r="J989" s="43" t="inlineStr">
        <is>
          <t>D607247</t>
        </is>
      </c>
      <c r="K989" s="33" t="inlineStr">
        <is>
          <t>D607247 This deviation is an extension of Deviation D605647.Allow FOL;FVN and FJZ to use MPN 08-1210-01-A0 under CPN 08-1210-01 to support mass production build till furthuer instruction from Cisco.</t>
        </is>
      </c>
      <c r="L989" s="43" t="inlineStr">
        <is>
          <t>Expired</t>
        </is>
      </c>
      <c r="M989" s="43" t="inlineStr">
        <is>
          <t>73-21231-05</t>
        </is>
      </c>
      <c r="N989" s="43" t="inlineStr"/>
      <c r="O989" s="43" t="inlineStr">
        <is>
          <t>2026-02-26</t>
        </is>
      </c>
      <c r="P989" s="33" t="inlineStr">
        <is>
          <t>For temporary Manufacturing process change</t>
        </is>
      </c>
      <c r="Q989" s="43" t="inlineStr">
        <is>
          <t>No deviation label required</t>
        </is>
      </c>
      <c r="R989" s="43" t="inlineStr">
        <is>
          <t>2025-11-28</t>
        </is>
      </c>
      <c r="S989" s="43" t="inlineStr">
        <is>
          <t>2025-12-09</t>
        </is>
      </c>
      <c r="T989" s="43" t="inlineStr"/>
      <c r="U989" s="43" t="inlineStr"/>
    </row>
    <row r="990">
      <c r="A990" s="43" t="n">
        <v>990</v>
      </c>
      <c r="B990" s="43" t="inlineStr">
        <is>
          <t>989</t>
        </is>
      </c>
      <c r="C990" s="43" t="inlineStr">
        <is>
          <t>FJZP</t>
        </is>
      </c>
      <c r="D990" s="43" t="inlineStr">
        <is>
          <t>Cisco</t>
        </is>
      </c>
      <c r="E990" s="43" t="inlineStr">
        <is>
          <t>MCGA</t>
        </is>
      </c>
      <c r="F990" s="43" t="inlineStr">
        <is>
          <t>018-SRGBU</t>
        </is>
      </c>
      <c r="G990" s="43" t="inlineStr">
        <is>
          <t>CTANJZ04990</t>
        </is>
      </c>
      <c r="H990" s="43" t="inlineStr">
        <is>
          <t>For temporary Manufacturing process change</t>
        </is>
      </c>
      <c r="I990" s="43" t="inlineStr">
        <is>
          <t>Customer Deviation</t>
        </is>
      </c>
      <c r="J990" s="43" t="inlineStr">
        <is>
          <t>D607247</t>
        </is>
      </c>
      <c r="K990" s="33" t="inlineStr">
        <is>
          <t>D607247 This deviation is an extension of Deviation D605647.Allow FOL;FVN and FJZ to use MPN 08-1210-01-A0 under CPN 08-1210-01 to support mass production build till furthuer instruction from Cisco.</t>
        </is>
      </c>
      <c r="L990" s="43" t="inlineStr">
        <is>
          <t>Expired</t>
        </is>
      </c>
      <c r="M990" s="43" t="inlineStr">
        <is>
          <t>73-21417-05</t>
        </is>
      </c>
      <c r="N990" s="43" t="inlineStr"/>
      <c r="O990" s="43" t="inlineStr">
        <is>
          <t>2026-02-26</t>
        </is>
      </c>
      <c r="P990" s="33" t="inlineStr">
        <is>
          <t>For temporary Manufacturing process change</t>
        </is>
      </c>
      <c r="Q990" s="43" t="inlineStr">
        <is>
          <t>No deviation label required</t>
        </is>
      </c>
      <c r="R990" s="43" t="inlineStr">
        <is>
          <t>2025-11-28</t>
        </is>
      </c>
      <c r="S990" s="43" t="inlineStr">
        <is>
          <t>2025-12-09</t>
        </is>
      </c>
      <c r="T990" s="43" t="inlineStr"/>
      <c r="U990" s="43" t="inlineStr"/>
    </row>
    <row r="991">
      <c r="A991" s="43" t="n">
        <v>991</v>
      </c>
      <c r="B991" s="43" t="inlineStr">
        <is>
          <t>990</t>
        </is>
      </c>
      <c r="C991" s="43" t="inlineStr">
        <is>
          <t>FJZP</t>
        </is>
      </c>
      <c r="D991" s="43" t="inlineStr">
        <is>
          <t>Cisco</t>
        </is>
      </c>
      <c r="E991" s="43" t="inlineStr">
        <is>
          <t>MCGA</t>
        </is>
      </c>
      <c r="F991" s="43" t="inlineStr">
        <is>
          <t>037-STBU</t>
        </is>
      </c>
      <c r="G991" s="43" t="inlineStr">
        <is>
          <t>CTANJZ04997</t>
        </is>
      </c>
      <c r="H991" s="43" t="inlineStr">
        <is>
          <t>For temporary Manufacturing process change</t>
        </is>
      </c>
      <c r="I991" s="43" t="inlineStr">
        <is>
          <t>Customer Deviation</t>
        </is>
      </c>
      <c r="J991" s="43" t="inlineStr">
        <is>
          <t>D608035</t>
        </is>
      </c>
      <c r="K991" s="33" t="inlineStr">
        <is>
          <t>D608035 During release of ECO EA622285; several programmable device AVL entries were inadvertently left at IPQ. These AVL sources were fully qualified for usage on Pilot 2.   This Deviation directs Foxconn (FJZ) to use the following CPN/MPN combinations that are currently at IPQ status for Pilot 2 material requirements.  Please note that MCO135340 has been submitted to correct this oversight.73-103648-04 / 73-103559-0417-103223-04-MICROCHIP Ok to use73-103633-0417-103265-03 SMART MODULAR Ok to use17-103273-04 SMART MODULAR Ok to use17-103272-03 SMART MODULAR Ok to use</t>
        </is>
      </c>
      <c r="L991" s="43" t="inlineStr">
        <is>
          <t>Expired</t>
        </is>
      </c>
      <c r="M991" s="43" t="inlineStr">
        <is>
          <t>73-103559-04</t>
        </is>
      </c>
      <c r="N991" s="43" t="inlineStr"/>
      <c r="O991" s="43" t="inlineStr">
        <is>
          <t>2026-03-02</t>
        </is>
      </c>
      <c r="P991" s="33" t="inlineStr">
        <is>
          <t>For temporary Manufacturing process change</t>
        </is>
      </c>
      <c r="Q991" s="43" t="inlineStr">
        <is>
          <t>None required; no IDPROM programming needed.</t>
        </is>
      </c>
      <c r="R991" s="43" t="inlineStr">
        <is>
          <t>2025-12-02</t>
        </is>
      </c>
      <c r="S991" s="43" t="inlineStr">
        <is>
          <t>2026-01-13</t>
        </is>
      </c>
      <c r="T991" s="43" t="inlineStr"/>
      <c r="U991" s="43" t="inlineStr"/>
    </row>
    <row r="992">
      <c r="A992" s="43" t="n">
        <v>992</v>
      </c>
      <c r="B992" s="43" t="inlineStr">
        <is>
          <t>991</t>
        </is>
      </c>
      <c r="C992" s="43" t="inlineStr">
        <is>
          <t>FJZP</t>
        </is>
      </c>
      <c r="D992" s="43" t="inlineStr">
        <is>
          <t>Cisco</t>
        </is>
      </c>
      <c r="E992" s="43" t="inlineStr">
        <is>
          <t>MCGA</t>
        </is>
      </c>
      <c r="F992" s="43" t="inlineStr">
        <is>
          <t>037-STBU</t>
        </is>
      </c>
      <c r="G992" s="43" t="inlineStr">
        <is>
          <t>CTANJZ04997</t>
        </is>
      </c>
      <c r="H992" s="43" t="inlineStr">
        <is>
          <t>For temporary Manufacturing process change</t>
        </is>
      </c>
      <c r="I992" s="43" t="inlineStr">
        <is>
          <t>Customer Deviation</t>
        </is>
      </c>
      <c r="J992" s="43" t="inlineStr">
        <is>
          <t>D608035</t>
        </is>
      </c>
      <c r="K992" s="33" t="inlineStr">
        <is>
          <t>D608035 During release of ECO EA622285; several programmable device AVL entries were inadvertently left at IPQ. These AVL sources were fully qualified for usage on Pilot 2.   This Deviation directs Foxconn (FJZ) to use the following CPN/MPN combinations that are currently at IPQ status for Pilot 2 material requirements.  Please note that MCO135340 has been submitted to correct this oversight.73-103648-04 / 73-103559-0417-103223-04-MICROCHIP Ok to use73-103633-0417-103265-03 SMART MODULAR Ok to use17-103273-04 SMART MODULAR Ok to use17-103272-03 SMART MODULAR Ok to use</t>
        </is>
      </c>
      <c r="L992" s="43" t="inlineStr">
        <is>
          <t>Expired</t>
        </is>
      </c>
      <c r="M992" s="43" t="inlineStr">
        <is>
          <t>73-103633-04</t>
        </is>
      </c>
      <c r="N992" s="43" t="inlineStr"/>
      <c r="O992" s="43" t="inlineStr">
        <is>
          <t>2026-03-02</t>
        </is>
      </c>
      <c r="P992" s="33" t="inlineStr">
        <is>
          <t>For temporary Manufacturing process change</t>
        </is>
      </c>
      <c r="Q992" s="43" t="inlineStr">
        <is>
          <t>None required; no IDPROM programming needed.</t>
        </is>
      </c>
      <c r="R992" s="43" t="inlineStr">
        <is>
          <t>2025-12-02</t>
        </is>
      </c>
      <c r="S992" s="43" t="inlineStr">
        <is>
          <t>2026-01-13</t>
        </is>
      </c>
      <c r="T992" s="43" t="inlineStr"/>
      <c r="U992" s="43" t="inlineStr"/>
    </row>
    <row r="993">
      <c r="A993" s="43" t="n">
        <v>993</v>
      </c>
      <c r="B993" s="43" t="inlineStr">
        <is>
          <t>992</t>
        </is>
      </c>
      <c r="C993" s="43" t="inlineStr">
        <is>
          <t>FJZP</t>
        </is>
      </c>
      <c r="D993" s="43" t="inlineStr">
        <is>
          <t>Cisco</t>
        </is>
      </c>
      <c r="E993" s="43" t="inlineStr">
        <is>
          <t>MCGA</t>
        </is>
      </c>
      <c r="F993" s="43" t="inlineStr">
        <is>
          <t>037-STBU</t>
        </is>
      </c>
      <c r="G993" s="43" t="inlineStr">
        <is>
          <t>CTANJZ04997</t>
        </is>
      </c>
      <c r="H993" s="43" t="inlineStr">
        <is>
          <t>For temporary Manufacturing process change</t>
        </is>
      </c>
      <c r="I993" s="43" t="inlineStr">
        <is>
          <t>Customer Deviation</t>
        </is>
      </c>
      <c r="J993" s="43" t="inlineStr">
        <is>
          <t>D608035</t>
        </is>
      </c>
      <c r="K993" s="33" t="inlineStr">
        <is>
          <t>D608035 During release of ECO EA622285; several programmable device AVL entries were inadvertently left at IPQ. These AVL sources were fully qualified for usage on Pilot 2.   This Deviation directs Foxconn (FJZ) to use the following CPN/MPN combinations that are currently at IPQ status for Pilot 2 material requirements.  Please note that MCO135340 has been submitted to correct this oversight.73-103648-04 / 73-103559-0417-103223-04-MICROCHIP Ok to use73-103633-0417-103265-03 SMART MODULAR Ok to use17-103273-04 SMART MODULAR Ok to use17-103272-03 SMART MODULAR Ok to use</t>
        </is>
      </c>
      <c r="L993" s="43" t="inlineStr">
        <is>
          <t>Expired</t>
        </is>
      </c>
      <c r="M993" s="43" t="inlineStr">
        <is>
          <t>73-103648-04</t>
        </is>
      </c>
      <c r="N993" s="43" t="inlineStr"/>
      <c r="O993" s="43" t="inlineStr">
        <is>
          <t>2026-03-02</t>
        </is>
      </c>
      <c r="P993" s="33" t="inlineStr">
        <is>
          <t>For temporary Manufacturing process change</t>
        </is>
      </c>
      <c r="Q993" s="43" t="inlineStr">
        <is>
          <t>None required; no IDPROM programming needed.</t>
        </is>
      </c>
      <c r="R993" s="43" t="inlineStr">
        <is>
          <t>2025-12-02</t>
        </is>
      </c>
      <c r="S993" s="43" t="inlineStr">
        <is>
          <t>2026-01-13</t>
        </is>
      </c>
      <c r="T993" s="43" t="inlineStr"/>
      <c r="U993" s="43" t="inlineStr"/>
    </row>
    <row r="994">
      <c r="A994" s="43" t="n">
        <v>994</v>
      </c>
      <c r="B994" s="43" t="inlineStr">
        <is>
          <t>993</t>
        </is>
      </c>
      <c r="C994" s="43" t="inlineStr">
        <is>
          <t>FJZP</t>
        </is>
      </c>
      <c r="D994" s="43" t="inlineStr">
        <is>
          <t>Cisco</t>
        </is>
      </c>
      <c r="E994" s="43" t="inlineStr">
        <is>
          <t>MCGA</t>
        </is>
      </c>
      <c r="F994" s="43" t="inlineStr">
        <is>
          <t>037-STBU</t>
        </is>
      </c>
      <c r="G994" s="43" t="inlineStr">
        <is>
          <t>CTANJZ04996</t>
        </is>
      </c>
      <c r="H994" s="43" t="inlineStr">
        <is>
          <t>For temporary Manufacturing process change</t>
        </is>
      </c>
      <c r="I994" s="43" t="inlineStr">
        <is>
          <t>Customer Deviation</t>
        </is>
      </c>
      <c r="J994" s="43" t="inlineStr">
        <is>
          <t>D607987</t>
        </is>
      </c>
      <c r="K994" s="33" t="inlineStr">
        <is>
          <t>D607987 The SSD label in the side placed from Hynix; it's been damaging during the assembly of the SSD. Cisco Mechanical engineer to review with the supplier another location to place the label in the SSD</t>
        </is>
      </c>
      <c r="L994" s="43" t="inlineStr">
        <is>
          <t>Expired</t>
        </is>
      </c>
      <c r="M994" s="43" t="inlineStr">
        <is>
          <t>68-104897-01</t>
        </is>
      </c>
      <c r="N994" s="43" t="inlineStr"/>
      <c r="O994" s="43" t="inlineStr">
        <is>
          <t>2026-03-02</t>
        </is>
      </c>
      <c r="P994" s="33" t="inlineStr">
        <is>
          <t>For temporary Manufacturing process change</t>
        </is>
      </c>
      <c r="Q994" s="43" t="inlineStr">
        <is>
          <t>FJZ to remove the label placed in the side of the 2 SSD that are part of the Prod Ops FAI (FJC29471MRS)</t>
        </is>
      </c>
      <c r="R994" s="43" t="inlineStr">
        <is>
          <t>2025-12-02</t>
        </is>
      </c>
      <c r="S994" s="43" t="inlineStr">
        <is>
          <t>2026-01-13</t>
        </is>
      </c>
      <c r="T994" s="43" t="inlineStr"/>
      <c r="U994" s="43" t="inlineStr"/>
    </row>
    <row r="995">
      <c r="A995" s="43" t="n">
        <v>995</v>
      </c>
      <c r="B995" s="43" t="inlineStr">
        <is>
          <t>994</t>
        </is>
      </c>
      <c r="C995" s="43" t="inlineStr">
        <is>
          <t>FJZP</t>
        </is>
      </c>
      <c r="D995" s="43" t="inlineStr">
        <is>
          <t>Cisco</t>
        </is>
      </c>
      <c r="E995" s="43" t="inlineStr">
        <is>
          <t>MCGA</t>
        </is>
      </c>
      <c r="F995" s="43" t="inlineStr">
        <is>
          <t>037-STBU</t>
        </is>
      </c>
      <c r="G995" s="43" t="inlineStr">
        <is>
          <t>CTANJZ05106</t>
        </is>
      </c>
      <c r="H995" s="43" t="inlineStr">
        <is>
          <t>For temporary Manufacturing process change</t>
        </is>
      </c>
      <c r="I995" s="43" t="inlineStr">
        <is>
          <t>Customer Deviation</t>
        </is>
      </c>
      <c r="J995" s="43" t="inlineStr">
        <is>
          <t>D609154</t>
        </is>
      </c>
      <c r="K995" s="33" t="inlineStr">
        <is>
          <t>D609154 For the orders that required 341-101280-02; FJZ is allowed to ship 341-101280-01 due there are no major changes between version 01 and 02EA617631: The reason for versioning up the 341-power supply for Tufnell is due to the PSOne initiative to standardize common base power supply. This standardization effort will help to reduce COGS for similar power suppliesThe material disposition for this ECO is USE AS IS</t>
        </is>
      </c>
      <c r="L995" s="43" t="inlineStr">
        <is>
          <t>Expired</t>
        </is>
      </c>
      <c r="M995" s="43" t="inlineStr">
        <is>
          <t>341-101280-01</t>
        </is>
      </c>
      <c r="N995" s="43" t="inlineStr"/>
      <c r="O995" s="43" t="inlineStr">
        <is>
          <t>2026-05-12</t>
        </is>
      </c>
      <c r="P995" s="33" t="inlineStr">
        <is>
          <t>For temporary Manufacturing process change</t>
        </is>
      </c>
      <c r="Q995" s="43" t="inlineStr">
        <is>
          <t>Use all the material OH with version 01 before implement 02</t>
        </is>
      </c>
      <c r="R995" s="43" t="inlineStr">
        <is>
          <t>2026-02-11</t>
        </is>
      </c>
      <c r="S995" s="43" t="inlineStr">
        <is>
          <t>2026-03-11</t>
        </is>
      </c>
      <c r="T995" s="43" t="inlineStr"/>
      <c r="U995" s="43" t="inlineStr"/>
    </row>
    <row r="996">
      <c r="A996" s="43" t="n">
        <v>996</v>
      </c>
      <c r="B996" s="43" t="inlineStr">
        <is>
          <t>995</t>
        </is>
      </c>
      <c r="C996" s="43" t="inlineStr">
        <is>
          <t>FJZP</t>
        </is>
      </c>
      <c r="D996" s="43" t="inlineStr">
        <is>
          <t>Cisco</t>
        </is>
      </c>
      <c r="E996" s="43" t="inlineStr">
        <is>
          <t>MCGA</t>
        </is>
      </c>
      <c r="F996" s="43" t="inlineStr">
        <is>
          <t>037-STBU</t>
        </is>
      </c>
      <c r="G996" s="43" t="inlineStr">
        <is>
          <t>CTANJZ05106</t>
        </is>
      </c>
      <c r="H996" s="43" t="inlineStr">
        <is>
          <t>For temporary Manufacturing process change</t>
        </is>
      </c>
      <c r="I996" s="43" t="inlineStr">
        <is>
          <t>Customer Deviation</t>
        </is>
      </c>
      <c r="J996" s="43" t="inlineStr">
        <is>
          <t>D609154</t>
        </is>
      </c>
      <c r="K996" s="33" t="inlineStr">
        <is>
          <t>D609154 For the orders that required 341-101280-02; FJZ is allowed to ship 341-101280-01 due there are no major changes between version 01 and 02EA617631: The reason for versioning up the 341-power supply for Tufnell is due to the PSOne initiative to standardize common base power supply. This standardization effort will help to reduce COGS for similar power suppliesThe material disposition for this ECO is USE AS IS</t>
        </is>
      </c>
      <c r="L996" s="43" t="inlineStr">
        <is>
          <t>Expired</t>
        </is>
      </c>
      <c r="M996" s="43" t="inlineStr">
        <is>
          <t>341-101280-02</t>
        </is>
      </c>
      <c r="N996" s="43" t="inlineStr"/>
      <c r="O996" s="43" t="inlineStr">
        <is>
          <t>2026-05-12</t>
        </is>
      </c>
      <c r="P996" s="33" t="inlineStr">
        <is>
          <t>For temporary Manufacturing process change</t>
        </is>
      </c>
      <c r="Q996" s="43" t="inlineStr">
        <is>
          <t>Use all the material OH with version 01 before implement 02</t>
        </is>
      </c>
      <c r="R996" s="43" t="inlineStr">
        <is>
          <t>2026-02-11</t>
        </is>
      </c>
      <c r="S996" s="43" t="inlineStr">
        <is>
          <t>2026-03-11</t>
        </is>
      </c>
      <c r="T996" s="43" t="inlineStr"/>
      <c r="U996" s="43" t="inlineStr"/>
    </row>
    <row r="997">
      <c r="A997" s="43" t="n">
        <v>997</v>
      </c>
      <c r="B997" s="43" t="inlineStr">
        <is>
          <t>996</t>
        </is>
      </c>
      <c r="C997" s="43" t="inlineStr">
        <is>
          <t>FJZP</t>
        </is>
      </c>
      <c r="D997" s="43" t="inlineStr">
        <is>
          <t>Cisco</t>
        </is>
      </c>
      <c r="E997" s="43" t="inlineStr">
        <is>
          <t>MCGA</t>
        </is>
      </c>
      <c r="F997" s="43" t="inlineStr">
        <is>
          <t>037-STBU</t>
        </is>
      </c>
      <c r="G997" s="43" t="inlineStr">
        <is>
          <t>CTANJZ05110</t>
        </is>
      </c>
      <c r="H997" s="43" t="inlineStr">
        <is>
          <t>For temporary Manufacturing process change</t>
        </is>
      </c>
      <c r="I997" s="43" t="inlineStr">
        <is>
          <t>Customer Deviation</t>
        </is>
      </c>
      <c r="J997" s="43" t="inlineStr">
        <is>
          <t>D609549</t>
        </is>
      </c>
      <c r="K997" s="33" t="inlineStr">
        <is>
          <t>D609549? Last week FJZ communicate to have a huge shortage from Renesas given the Earthquake occurred on last December; CPN C066.00531.005.? FJZ found 2 parts to substitute this CPN with; C064.00350.005 and C031.00691.005 (MFG RC21008A000GND#BB0).? From the above parts; FJZ has a broker buy by 8K with Mouser to cover C064.00350.005 but limited options to cover C031.00691.005 (MFG RC21008A000GND#BB0).? C031.00691.005 (MFG RC21008A000GND#BB0); supplier will be shipping 490 units next week; and following deliveries until April 16th</t>
        </is>
      </c>
      <c r="L997" s="43" t="inlineStr">
        <is>
          <t>Expired</t>
        </is>
      </c>
      <c r="M997" s="43" t="inlineStr">
        <is>
          <t>74-139970-01</t>
        </is>
      </c>
      <c r="N997" s="43" t="inlineStr"/>
      <c r="O997" s="43" t="inlineStr">
        <is>
          <t>2026-05-15</t>
        </is>
      </c>
      <c r="P997" s="33" t="inlineStr">
        <is>
          <t>For temporary Manufacturing process change</t>
        </is>
      </c>
      <c r="Q997" s="43" t="inlineStr">
        <is>
          <t>1. Stick the deviation label in a visually place of the board</t>
        </is>
      </c>
      <c r="R997" s="43" t="inlineStr">
        <is>
          <t>2026-02-24</t>
        </is>
      </c>
      <c r="S997" s="43" t="inlineStr">
        <is>
          <t>2026-03-11</t>
        </is>
      </c>
      <c r="T997" s="43" t="inlineStr"/>
      <c r="U997" s="43" t="inlineStr"/>
    </row>
    <row r="998">
      <c r="A998" s="43" t="n">
        <v>998</v>
      </c>
      <c r="B998" s="43" t="inlineStr">
        <is>
          <t>997</t>
        </is>
      </c>
      <c r="C998" s="43" t="inlineStr">
        <is>
          <t>FJZP</t>
        </is>
      </c>
      <c r="D998" s="43" t="inlineStr">
        <is>
          <t>Cisco</t>
        </is>
      </c>
      <c r="E998" s="43" t="inlineStr">
        <is>
          <t>MCGA</t>
        </is>
      </c>
      <c r="F998" s="43" t="inlineStr">
        <is>
          <t>037-STBU</t>
        </is>
      </c>
      <c r="G998" s="43" t="inlineStr">
        <is>
          <t>CTANJZ05110</t>
        </is>
      </c>
      <c r="H998" s="43" t="inlineStr">
        <is>
          <t>For temporary Manufacturing process change</t>
        </is>
      </c>
      <c r="I998" s="43" t="inlineStr">
        <is>
          <t>Customer Deviation</t>
        </is>
      </c>
      <c r="J998" s="43" t="inlineStr">
        <is>
          <t>D609549</t>
        </is>
      </c>
      <c r="K998" s="33" t="inlineStr">
        <is>
          <t>D609549? Last week FJZ communicate to have a huge shortage from Renesas given the Earthquake occurred on last December; CPN C066.00531.005.? FJZ found 2 parts to substitute this CPN with; C064.00350.005 and C031.00691.005 (MFG RC21008A000GND#BB0).? From the above parts; FJZ has a broker buy by 8K with Mouser to cover C064.00350.005 but limited options to cover C031.00691.005 (MFG RC21008A000GND#BB0).? C031.00691.005 (MFG RC21008A000GND#BB0); supplier will be shipping 490 units next week; and following deliveries until April 16th</t>
        </is>
      </c>
      <c r="L998" s="43" t="inlineStr">
        <is>
          <t>Expired</t>
        </is>
      </c>
      <c r="M998" s="43" t="inlineStr">
        <is>
          <t>74-139971-01</t>
        </is>
      </c>
      <c r="N998" s="43" t="inlineStr"/>
      <c r="O998" s="43" t="inlineStr">
        <is>
          <t>2026-05-15</t>
        </is>
      </c>
      <c r="P998" s="33" t="inlineStr">
        <is>
          <t>For temporary Manufacturing process change</t>
        </is>
      </c>
      <c r="Q998" s="43" t="inlineStr">
        <is>
          <t>1. Stick the deviation label in a visually place of the board</t>
        </is>
      </c>
      <c r="R998" s="43" t="inlineStr">
        <is>
          <t>2026-02-24</t>
        </is>
      </c>
      <c r="S998" s="43" t="inlineStr">
        <is>
          <t>2026-03-11</t>
        </is>
      </c>
      <c r="T998" s="43" t="inlineStr"/>
      <c r="U998" s="43" t="inlineStr"/>
    </row>
    <row r="999">
      <c r="A999" s="43" t="n">
        <v>999</v>
      </c>
      <c r="B999" s="43" t="inlineStr">
        <is>
          <t>998</t>
        </is>
      </c>
      <c r="C999" s="43" t="inlineStr">
        <is>
          <t>FJZP</t>
        </is>
      </c>
      <c r="D999" s="43" t="inlineStr">
        <is>
          <t>Cisco</t>
        </is>
      </c>
      <c r="E999" s="43" t="inlineStr">
        <is>
          <t>MCGA</t>
        </is>
      </c>
      <c r="F999" s="43" t="inlineStr">
        <is>
          <t>037-STBU</t>
        </is>
      </c>
      <c r="G999" s="43" t="inlineStr">
        <is>
          <t>CTANJZ05110</t>
        </is>
      </c>
      <c r="H999" s="43" t="inlineStr">
        <is>
          <t>For temporary Manufacturing process change</t>
        </is>
      </c>
      <c r="I999" s="43" t="inlineStr">
        <is>
          <t>Customer Deviation</t>
        </is>
      </c>
      <c r="J999" s="43" t="inlineStr">
        <is>
          <t>D609549</t>
        </is>
      </c>
      <c r="K999" s="33" t="inlineStr">
        <is>
          <t>D609549? Last week FJZ communicate to have a huge shortage from Renesas given the Earthquake occurred on last December; CPN C066.00531.005.? FJZ found 2 parts to substitute this CPN with; C064.00350.005 and C031.00691.005 (MFG RC21008A000GND#BB0).? From the above parts; FJZ has a broker buy by 8K with Mouser to cover C064.00350.005 but limited options to cover C031.00691.005 (MFG RC21008A000GND#BB0).? C031.00691.005 (MFG RC21008A000GND#BB0); supplier will be shipping 490 units next week; and following deliveries until April 16th</t>
        </is>
      </c>
      <c r="L999" s="43" t="inlineStr">
        <is>
          <t>Expired</t>
        </is>
      </c>
      <c r="M999" s="43" t="inlineStr">
        <is>
          <t>74-139972-01</t>
        </is>
      </c>
      <c r="N999" s="43" t="inlineStr"/>
      <c r="O999" s="43" t="inlineStr">
        <is>
          <t>2026-05-15</t>
        </is>
      </c>
      <c r="P999" s="33" t="inlineStr">
        <is>
          <t>For temporary Manufacturing process change</t>
        </is>
      </c>
      <c r="Q999" s="43" t="inlineStr">
        <is>
          <t>1. Stick the deviation label in a visually place of the board</t>
        </is>
      </c>
      <c r="R999" s="43" t="inlineStr">
        <is>
          <t>2026-02-24</t>
        </is>
      </c>
      <c r="S999" s="43" t="inlineStr">
        <is>
          <t>2026-03-11</t>
        </is>
      </c>
      <c r="T999" s="43" t="inlineStr"/>
      <c r="U999" s="43" t="inlineStr"/>
    </row>
    <row r="1000">
      <c r="A1000" s="43" t="n">
        <v>1000</v>
      </c>
      <c r="B1000" s="43" t="inlineStr">
        <is>
          <t>999</t>
        </is>
      </c>
      <c r="C1000" s="43" t="inlineStr">
        <is>
          <t>FJZP</t>
        </is>
      </c>
      <c r="D1000" s="43" t="inlineStr">
        <is>
          <t>Cisco</t>
        </is>
      </c>
      <c r="E1000" s="43" t="inlineStr">
        <is>
          <t>MCGA</t>
        </is>
      </c>
      <c r="F1000" s="43" t="inlineStr">
        <is>
          <t>037-STBU</t>
        </is>
      </c>
      <c r="G1000" s="43" t="inlineStr">
        <is>
          <t>CTANJZ05110</t>
        </is>
      </c>
      <c r="H1000" s="43" t="inlineStr">
        <is>
          <t>For temporary Manufacturing process change</t>
        </is>
      </c>
      <c r="I1000" s="43" t="inlineStr">
        <is>
          <t>Customer Deviation</t>
        </is>
      </c>
      <c r="J1000" s="43" t="inlineStr">
        <is>
          <t>D609549</t>
        </is>
      </c>
      <c r="K1000" s="33" t="inlineStr">
        <is>
          <t>D609549? Last week FJZ communicate to have a huge shortage from Renesas given the Earthquake occurred on last December; CPN C066.00531.005.? FJZ found 2 parts to substitute this CPN with; C064.00350.005 and C031.00691.005 (MFG RC21008A000GND#BB0).? From the above parts; FJZ has a broker buy by 8K with Mouser to cover C064.00350.005 but limited options to cover C031.00691.005 (MFG RC21008A000GND#BB0).? C031.00691.005 (MFG RC21008A000GND#BB0); supplier will be shipping 490 units next week; and following deliveries until April 16th</t>
        </is>
      </c>
      <c r="L1000" s="43" t="inlineStr">
        <is>
          <t>Expired</t>
        </is>
      </c>
      <c r="M1000" s="43" t="inlineStr">
        <is>
          <t>74-139979-01</t>
        </is>
      </c>
      <c r="N1000" s="43" t="inlineStr"/>
      <c r="O1000" s="43" t="inlineStr">
        <is>
          <t>2026-05-15</t>
        </is>
      </c>
      <c r="P1000" s="33" t="inlineStr">
        <is>
          <t>For temporary Manufacturing process change</t>
        </is>
      </c>
      <c r="Q1000" s="43" t="inlineStr">
        <is>
          <t>1. Stick the deviation label in a visually place of the board</t>
        </is>
      </c>
      <c r="R1000" s="43" t="inlineStr">
        <is>
          <t>2026-02-24</t>
        </is>
      </c>
      <c r="S1000" s="43" t="inlineStr">
        <is>
          <t>2026-03-11</t>
        </is>
      </c>
      <c r="T1000" s="43" t="inlineStr"/>
      <c r="U1000" s="43" t="inlineStr"/>
    </row>
    <row r="1001">
      <c r="A1001" s="43" t="n">
        <v>1001</v>
      </c>
      <c r="B1001" s="43" t="inlineStr">
        <is>
          <t>1000</t>
        </is>
      </c>
      <c r="C1001" s="43" t="inlineStr">
        <is>
          <t>FJZP</t>
        </is>
      </c>
      <c r="D1001" s="43" t="inlineStr">
        <is>
          <t>Cisco</t>
        </is>
      </c>
      <c r="E1001" s="43" t="inlineStr">
        <is>
          <t>MCGA</t>
        </is>
      </c>
      <c r="F1001" s="43" t="inlineStr">
        <is>
          <t>037-STBU</t>
        </is>
      </c>
      <c r="G1001" s="43" t="inlineStr">
        <is>
          <t>CTANJZ05110</t>
        </is>
      </c>
      <c r="H1001" s="43" t="inlineStr">
        <is>
          <t>For temporary Manufacturing process change</t>
        </is>
      </c>
      <c r="I1001" s="43" t="inlineStr">
        <is>
          <t>Customer Deviation</t>
        </is>
      </c>
      <c r="J1001" s="43" t="inlineStr">
        <is>
          <t>D609549</t>
        </is>
      </c>
      <c r="K1001" s="33" t="inlineStr">
        <is>
          <t>D609549? Last week FJZ communicate to have a huge shortage from Renesas given the Earthquake occurred on last December; CPN C066.00531.005.? FJZ found 2 parts to substitute this CPN with; C064.00350.005 and C031.00691.005 (MFG RC21008A000GND#BB0).? From the above parts; FJZ has a broker buy by 8K with Mouser to cover C064.00350.005 but limited options to cover C031.00691.005 (MFG RC21008A000GND#BB0).? C031.00691.005 (MFG RC21008A000GND#BB0); supplier will be shipping 490 units next week; and following deliveries until April 16th</t>
        </is>
      </c>
      <c r="L1001" s="43" t="inlineStr">
        <is>
          <t>Expired</t>
        </is>
      </c>
      <c r="M1001" s="43" t="inlineStr">
        <is>
          <t>74-139980-01</t>
        </is>
      </c>
      <c r="N1001" s="43" t="inlineStr"/>
      <c r="O1001" s="43" t="inlineStr">
        <is>
          <t>2026-05-15</t>
        </is>
      </c>
      <c r="P1001" s="33" t="inlineStr">
        <is>
          <t>For temporary Manufacturing process change</t>
        </is>
      </c>
      <c r="Q1001" s="43" t="inlineStr">
        <is>
          <t>1. Stick the deviation label in a visually place of the board</t>
        </is>
      </c>
      <c r="R1001" s="43" t="inlineStr">
        <is>
          <t>2026-02-24</t>
        </is>
      </c>
      <c r="S1001" s="43" t="inlineStr">
        <is>
          <t>2026-03-11</t>
        </is>
      </c>
      <c r="T1001" s="43" t="inlineStr"/>
      <c r="U1001" s="43" t="inlineStr"/>
    </row>
    <row r="1002">
      <c r="A1002" s="43" t="n">
        <v>1002</v>
      </c>
      <c r="B1002" s="43" t="inlineStr">
        <is>
          <t>1001</t>
        </is>
      </c>
      <c r="C1002" s="43" t="inlineStr">
        <is>
          <t>FJZP</t>
        </is>
      </c>
      <c r="D1002" s="43" t="inlineStr">
        <is>
          <t>Cisco</t>
        </is>
      </c>
      <c r="E1002" s="43" t="inlineStr">
        <is>
          <t>MCGA</t>
        </is>
      </c>
      <c r="F1002" s="43" t="inlineStr">
        <is>
          <t>037-STBU</t>
        </is>
      </c>
      <c r="G1002" s="43" t="inlineStr">
        <is>
          <t>CTANJZ05110</t>
        </is>
      </c>
      <c r="H1002" s="43" t="inlineStr">
        <is>
          <t>For temporary Manufacturing process change</t>
        </is>
      </c>
      <c r="I1002" s="43" t="inlineStr">
        <is>
          <t>Customer Deviation</t>
        </is>
      </c>
      <c r="J1002" s="43" t="inlineStr">
        <is>
          <t>D609549</t>
        </is>
      </c>
      <c r="K1002" s="33" t="inlineStr">
        <is>
          <t>D609549? Last week FJZ communicate to have a huge shortage from Renesas given the Earthquake occurred on last December; CPN C066.00531.005.? FJZ found 2 parts to substitute this CPN with; C064.00350.005 and C031.00691.005 (MFG RC21008A000GND#BB0).? From the above parts; FJZ has a broker buy by 8K with Mouser to cover C064.00350.005 but limited options to cover C031.00691.005 (MFG RC21008A000GND#BB0).? C031.00691.005 (MFG RC21008A000GND#BB0); supplier will be shipping 490 units next week; and following deliveries until April 16th</t>
        </is>
      </c>
      <c r="L1002" s="43" t="inlineStr">
        <is>
          <t>Expired</t>
        </is>
      </c>
      <c r="M1002" s="43" t="inlineStr">
        <is>
          <t>74-139981-01</t>
        </is>
      </c>
      <c r="N1002" s="43" t="inlineStr"/>
      <c r="O1002" s="43" t="inlineStr">
        <is>
          <t>2026-05-15</t>
        </is>
      </c>
      <c r="P1002" s="33" t="inlineStr">
        <is>
          <t>For temporary Manufacturing process change</t>
        </is>
      </c>
      <c r="Q1002" s="43" t="inlineStr">
        <is>
          <t>1. Stick the deviation label in a visually place of the board</t>
        </is>
      </c>
      <c r="R1002" s="43" t="inlineStr">
        <is>
          <t>2026-02-24</t>
        </is>
      </c>
      <c r="S1002" s="43" t="inlineStr">
        <is>
          <t>2026-03-11</t>
        </is>
      </c>
      <c r="T1002" s="43" t="inlineStr"/>
      <c r="U1002" s="43" t="inlineStr"/>
    </row>
    <row r="1003">
      <c r="A1003" s="43" t="n">
        <v>1003</v>
      </c>
      <c r="B1003" s="43" t="inlineStr">
        <is>
          <t>1002</t>
        </is>
      </c>
      <c r="C1003" s="43" t="inlineStr">
        <is>
          <t>FJZP</t>
        </is>
      </c>
      <c r="D1003" s="43" t="inlineStr">
        <is>
          <t>Cisco</t>
        </is>
      </c>
      <c r="E1003" s="43" t="inlineStr">
        <is>
          <t>MCGA</t>
        </is>
      </c>
      <c r="F1003" s="43" t="inlineStr">
        <is>
          <t>018-SRGBU</t>
        </is>
      </c>
      <c r="G1003" s="43" t="inlineStr">
        <is>
          <t>CTANJZ05096</t>
        </is>
      </c>
      <c r="H1003" s="43" t="inlineStr">
        <is>
          <t>For temporary Manufacturing process change</t>
        </is>
      </c>
      <c r="I1003" s="43" t="inlineStr">
        <is>
          <t>Customer Deviation</t>
        </is>
      </c>
      <c r="J1003" s="43" t="inlineStr">
        <is>
          <t>D609350</t>
        </is>
      </c>
      <c r="K1003" s="33" t="inlineStr">
        <is>
          <t>D609350 SRGBU-Nutella: Upgrade to Rommon version 17.15.(1r) and use eMMC KLMCG1RCTE-B041</t>
        </is>
      </c>
      <c r="L1003" s="43" t="inlineStr">
        <is>
          <t>Expired</t>
        </is>
      </c>
      <c r="M1003" s="43" t="inlineStr">
        <is>
          <t>17-15632-02</t>
        </is>
      </c>
      <c r="N1003" s="43" t="inlineStr"/>
      <c r="O1003" s="43" t="inlineStr">
        <is>
          <t>2026-05-04</t>
        </is>
      </c>
      <c r="P1003" s="33" t="inlineStr">
        <is>
          <t>For temporary Manufacturing process change</t>
        </is>
      </c>
      <c r="Q1003" s="43" t="inlineStr">
        <is>
          <t>Label all deviated units with deviation label and program deviation number into cookie</t>
        </is>
      </c>
      <c r="R1003" s="43" t="inlineStr">
        <is>
          <t>2026-02-03</t>
        </is>
      </c>
      <c r="S1003" s="43" t="inlineStr">
        <is>
          <t>2026-02-20</t>
        </is>
      </c>
      <c r="T1003" s="43" t="inlineStr"/>
      <c r="U1003" s="43" t="inlineStr"/>
    </row>
    <row r="1004">
      <c r="A1004" s="43" t="n">
        <v>1004</v>
      </c>
      <c r="B1004" s="43" t="inlineStr">
        <is>
          <t>1003</t>
        </is>
      </c>
      <c r="C1004" s="43" t="inlineStr">
        <is>
          <t>FJZP</t>
        </is>
      </c>
      <c r="D1004" s="43" t="inlineStr">
        <is>
          <t>Cisco</t>
        </is>
      </c>
      <c r="E1004" s="43" t="inlineStr">
        <is>
          <t>MCGA</t>
        </is>
      </c>
      <c r="F1004" s="43" t="inlineStr">
        <is>
          <t>018-SRGBU</t>
        </is>
      </c>
      <c r="G1004" s="43" t="inlineStr">
        <is>
          <t>CTANJZ05096</t>
        </is>
      </c>
      <c r="H1004" s="43" t="inlineStr">
        <is>
          <t>For temporary Manufacturing process change</t>
        </is>
      </c>
      <c r="I1004" s="43" t="inlineStr">
        <is>
          <t>Customer Deviation</t>
        </is>
      </c>
      <c r="J1004" s="43" t="inlineStr">
        <is>
          <t>D609350</t>
        </is>
      </c>
      <c r="K1004" s="33" t="inlineStr">
        <is>
          <t>D609350 SRGBU-Nutella: Upgrade to Rommon version 17.15.(1r) and use eMMC KLMCG1RCTE-B041</t>
        </is>
      </c>
      <c r="L1004" s="43" t="inlineStr">
        <is>
          <t>Expired</t>
        </is>
      </c>
      <c r="M1004" s="43" t="inlineStr">
        <is>
          <t>74-122742-01</t>
        </is>
      </c>
      <c r="N1004" s="43" t="inlineStr"/>
      <c r="O1004" s="43" t="inlineStr">
        <is>
          <t>2026-05-04</t>
        </is>
      </c>
      <c r="P1004" s="33" t="inlineStr">
        <is>
          <t>For temporary Manufacturing process change</t>
        </is>
      </c>
      <c r="Q1004" s="43" t="inlineStr">
        <is>
          <t>Label all deviated units with deviation label and program deviation number into cookie</t>
        </is>
      </c>
      <c r="R1004" s="43" t="inlineStr">
        <is>
          <t>2026-02-03</t>
        </is>
      </c>
      <c r="S1004" s="43" t="inlineStr">
        <is>
          <t>2026-02-20</t>
        </is>
      </c>
      <c r="T1004" s="43" t="inlineStr"/>
      <c r="U1004" s="43" t="inlineStr"/>
    </row>
    <row r="1005">
      <c r="A1005" s="43" t="n">
        <v>1005</v>
      </c>
      <c r="B1005" s="43" t="inlineStr">
        <is>
          <t>1004</t>
        </is>
      </c>
      <c r="C1005" s="43" t="inlineStr">
        <is>
          <t>FJZP</t>
        </is>
      </c>
      <c r="D1005" s="43" t="inlineStr">
        <is>
          <t>Cisco</t>
        </is>
      </c>
      <c r="E1005" s="43" t="inlineStr">
        <is>
          <t>MCGA</t>
        </is>
      </c>
      <c r="F1005" s="43" t="inlineStr">
        <is>
          <t>018-SRGBU</t>
        </is>
      </c>
      <c r="G1005" s="43" t="inlineStr">
        <is>
          <t>CTANJZ05096</t>
        </is>
      </c>
      <c r="H1005" s="43" t="inlineStr">
        <is>
          <t>For temporary Manufacturing process change</t>
        </is>
      </c>
      <c r="I1005" s="43" t="inlineStr">
        <is>
          <t>Customer Deviation</t>
        </is>
      </c>
      <c r="J1005" s="43" t="inlineStr">
        <is>
          <t>D609350</t>
        </is>
      </c>
      <c r="K1005" s="33" t="inlineStr">
        <is>
          <t>D609350 SRGBU-Nutella: Upgrade to Rommon version 17.15.(1r) and use eMMC KLMCG1RCTE-B041</t>
        </is>
      </c>
      <c r="L1005" s="43" t="inlineStr">
        <is>
          <t>Expired</t>
        </is>
      </c>
      <c r="M1005" s="43" t="inlineStr">
        <is>
          <t>74-122743-01</t>
        </is>
      </c>
      <c r="N1005" s="43" t="inlineStr"/>
      <c r="O1005" s="43" t="inlineStr">
        <is>
          <t>2026-05-04</t>
        </is>
      </c>
      <c r="P1005" s="33" t="inlineStr">
        <is>
          <t>For temporary Manufacturing process change</t>
        </is>
      </c>
      <c r="Q1005" s="43" t="inlineStr">
        <is>
          <t>Label all deviated units with deviation label and program deviation number into cookie</t>
        </is>
      </c>
      <c r="R1005" s="43" t="inlineStr">
        <is>
          <t>2026-02-03</t>
        </is>
      </c>
      <c r="S1005" s="43" t="inlineStr">
        <is>
          <t>2026-02-20</t>
        </is>
      </c>
      <c r="T1005" s="43" t="inlineStr"/>
      <c r="U1005" s="43" t="inlineStr"/>
    </row>
    <row r="1006">
      <c r="A1006" s="43" t="n">
        <v>1006</v>
      </c>
      <c r="B1006" s="43" t="inlineStr">
        <is>
          <t>1005</t>
        </is>
      </c>
      <c r="C1006" s="43" t="inlineStr">
        <is>
          <t>FJZP</t>
        </is>
      </c>
      <c r="D1006" s="43" t="inlineStr">
        <is>
          <t>Cisco</t>
        </is>
      </c>
      <c r="E1006" s="43" t="inlineStr">
        <is>
          <t>MCGA</t>
        </is>
      </c>
      <c r="F1006" s="43" t="inlineStr">
        <is>
          <t>018-SRGBU</t>
        </is>
      </c>
      <c r="G1006" s="43" t="inlineStr">
        <is>
          <t>CTANJZ05096</t>
        </is>
      </c>
      <c r="H1006" s="43" t="inlineStr">
        <is>
          <t>For temporary Manufacturing process change</t>
        </is>
      </c>
      <c r="I1006" s="43" t="inlineStr">
        <is>
          <t>Customer Deviation</t>
        </is>
      </c>
      <c r="J1006" s="43" t="inlineStr">
        <is>
          <t>D609350</t>
        </is>
      </c>
      <c r="K1006" s="33" t="inlineStr">
        <is>
          <t>D609350 SRGBU-Nutella: Upgrade to Rommon version 17.15.(1r) and use eMMC KLMCG1RCTE-B041</t>
        </is>
      </c>
      <c r="L1006" s="43" t="inlineStr">
        <is>
          <t>Expired</t>
        </is>
      </c>
      <c r="M1006" s="43" t="inlineStr">
        <is>
          <t>74-122744-01</t>
        </is>
      </c>
      <c r="N1006" s="43" t="inlineStr"/>
      <c r="O1006" s="43" t="inlineStr">
        <is>
          <t>2026-05-04</t>
        </is>
      </c>
      <c r="P1006" s="33" t="inlineStr">
        <is>
          <t>For temporary Manufacturing process change</t>
        </is>
      </c>
      <c r="Q1006" s="43" t="inlineStr">
        <is>
          <t>Label all deviated units with deviation label and program deviation number into cookie</t>
        </is>
      </c>
      <c r="R1006" s="43" t="inlineStr">
        <is>
          <t>2026-02-03</t>
        </is>
      </c>
      <c r="S1006" s="43" t="inlineStr">
        <is>
          <t>2026-02-20</t>
        </is>
      </c>
      <c r="T1006" s="43" t="inlineStr"/>
      <c r="U1006" s="43" t="inlineStr"/>
    </row>
    <row r="1007">
      <c r="A1007" s="43" t="n">
        <v>1007</v>
      </c>
      <c r="B1007" s="43" t="inlineStr">
        <is>
          <t>1006</t>
        </is>
      </c>
      <c r="C1007" s="43" t="inlineStr">
        <is>
          <t>FJZP</t>
        </is>
      </c>
      <c r="D1007" s="43" t="inlineStr">
        <is>
          <t>Cisco</t>
        </is>
      </c>
      <c r="E1007" s="43" t="inlineStr">
        <is>
          <t>MCGA</t>
        </is>
      </c>
      <c r="F1007" s="43" t="inlineStr">
        <is>
          <t>018-SRGBU</t>
        </is>
      </c>
      <c r="G1007" s="43" t="inlineStr">
        <is>
          <t>CTANJZ05096</t>
        </is>
      </c>
      <c r="H1007" s="43" t="inlineStr">
        <is>
          <t>For temporary Manufacturing process change</t>
        </is>
      </c>
      <c r="I1007" s="43" t="inlineStr">
        <is>
          <t>Customer Deviation</t>
        </is>
      </c>
      <c r="J1007" s="43" t="inlineStr">
        <is>
          <t>D609350</t>
        </is>
      </c>
      <c r="K1007" s="33" t="inlineStr">
        <is>
          <t>D609350 SRGBU-Nutella: Upgrade to Rommon version 17.15.(1r) and use eMMC KLMCG1RCTE-B041</t>
        </is>
      </c>
      <c r="L1007" s="43" t="inlineStr">
        <is>
          <t>Expired</t>
        </is>
      </c>
      <c r="M1007" s="43" t="inlineStr">
        <is>
          <t>74-122859-01</t>
        </is>
      </c>
      <c r="N1007" s="43" t="inlineStr"/>
      <c r="O1007" s="43" t="inlineStr">
        <is>
          <t>2026-05-04</t>
        </is>
      </c>
      <c r="P1007" s="33" t="inlineStr">
        <is>
          <t>For temporary Manufacturing process change</t>
        </is>
      </c>
      <c r="Q1007" s="43" t="inlineStr">
        <is>
          <t>Label all deviated units with deviation label and program deviation number into cookie</t>
        </is>
      </c>
      <c r="R1007" s="43" t="inlineStr">
        <is>
          <t>2026-02-03</t>
        </is>
      </c>
      <c r="S1007" s="43" t="inlineStr">
        <is>
          <t>2026-02-20</t>
        </is>
      </c>
      <c r="T1007" s="43" t="inlineStr"/>
      <c r="U1007" s="43" t="inlineStr"/>
    </row>
    <row r="1008">
      <c r="A1008" s="43" t="n">
        <v>1008</v>
      </c>
      <c r="B1008" s="43" t="inlineStr">
        <is>
          <t>1007</t>
        </is>
      </c>
      <c r="C1008" s="43" t="inlineStr">
        <is>
          <t>FJZP</t>
        </is>
      </c>
      <c r="D1008" s="43" t="inlineStr">
        <is>
          <t>Cisco</t>
        </is>
      </c>
      <c r="E1008" s="43" t="inlineStr">
        <is>
          <t>MCGA</t>
        </is>
      </c>
      <c r="F1008" s="43" t="inlineStr">
        <is>
          <t>018-SRGBU</t>
        </is>
      </c>
      <c r="G1008" s="43" t="inlineStr">
        <is>
          <t>CTANJZ05096</t>
        </is>
      </c>
      <c r="H1008" s="43" t="inlineStr">
        <is>
          <t>For temporary Manufacturing process change</t>
        </is>
      </c>
      <c r="I1008" s="43" t="inlineStr">
        <is>
          <t>Customer Deviation</t>
        </is>
      </c>
      <c r="J1008" s="43" t="inlineStr">
        <is>
          <t>D609350</t>
        </is>
      </c>
      <c r="K1008" s="33" t="inlineStr">
        <is>
          <t>D609350 SRGBU-Nutella: Upgrade to Rommon version 17.15.(1r) and use eMMC KLMCG1RCTE-B041</t>
        </is>
      </c>
      <c r="L1008" s="43" t="inlineStr">
        <is>
          <t>Expired</t>
        </is>
      </c>
      <c r="M1008" s="43" t="inlineStr">
        <is>
          <t>74-123836-01</t>
        </is>
      </c>
      <c r="N1008" s="43" t="inlineStr"/>
      <c r="O1008" s="43" t="inlineStr">
        <is>
          <t>2026-05-04</t>
        </is>
      </c>
      <c r="P1008" s="33" t="inlineStr">
        <is>
          <t>For temporary Manufacturing process change</t>
        </is>
      </c>
      <c r="Q1008" s="43" t="inlineStr">
        <is>
          <t>Label all deviated units with deviation label and program deviation number into cookie</t>
        </is>
      </c>
      <c r="R1008" s="43" t="inlineStr">
        <is>
          <t>2026-02-03</t>
        </is>
      </c>
      <c r="S1008" s="43" t="inlineStr">
        <is>
          <t>2026-02-20</t>
        </is>
      </c>
      <c r="T1008" s="43" t="inlineStr"/>
      <c r="U1008" s="43" t="inlineStr"/>
    </row>
    <row r="1009">
      <c r="A1009" s="43" t="n">
        <v>1009</v>
      </c>
      <c r="B1009" s="43" t="inlineStr">
        <is>
          <t>1008</t>
        </is>
      </c>
      <c r="C1009" s="43" t="inlineStr">
        <is>
          <t>FJZP</t>
        </is>
      </c>
      <c r="D1009" s="43" t="inlineStr">
        <is>
          <t>Cisco</t>
        </is>
      </c>
      <c r="E1009" s="43" t="inlineStr">
        <is>
          <t>MCGA</t>
        </is>
      </c>
      <c r="F1009" s="43" t="inlineStr">
        <is>
          <t>018-SRGBU</t>
        </is>
      </c>
      <c r="G1009" s="43" t="inlineStr">
        <is>
          <t>CTANJZ05096</t>
        </is>
      </c>
      <c r="H1009" s="43" t="inlineStr">
        <is>
          <t>For temporary Manufacturing process change</t>
        </is>
      </c>
      <c r="I1009" s="43" t="inlineStr">
        <is>
          <t>Customer Deviation</t>
        </is>
      </c>
      <c r="J1009" s="43" t="inlineStr">
        <is>
          <t>D609350</t>
        </is>
      </c>
      <c r="K1009" s="33" t="inlineStr">
        <is>
          <t>D609350 SRGBU-Nutella: Upgrade to Rommon version 17.15.(1r) and use eMMC KLMCG1RCTE-B041</t>
        </is>
      </c>
      <c r="L1009" s="43" t="inlineStr">
        <is>
          <t>Expired</t>
        </is>
      </c>
      <c r="M1009" s="43" t="inlineStr">
        <is>
          <t>74-123837-01</t>
        </is>
      </c>
      <c r="N1009" s="43" t="inlineStr"/>
      <c r="O1009" s="43" t="inlineStr">
        <is>
          <t>2026-05-04</t>
        </is>
      </c>
      <c r="P1009" s="33" t="inlineStr">
        <is>
          <t>For temporary Manufacturing process change</t>
        </is>
      </c>
      <c r="Q1009" s="43" t="inlineStr">
        <is>
          <t>Label all deviated units with deviation label and program deviation number into cookie</t>
        </is>
      </c>
      <c r="R1009" s="43" t="inlineStr">
        <is>
          <t>2026-02-03</t>
        </is>
      </c>
      <c r="S1009" s="43" t="inlineStr">
        <is>
          <t>2026-02-20</t>
        </is>
      </c>
      <c r="T1009" s="43" t="inlineStr"/>
      <c r="U1009" s="43" t="inlineStr"/>
    </row>
    <row r="1010">
      <c r="A1010" s="43" t="n">
        <v>1010</v>
      </c>
      <c r="B1010" s="43" t="inlineStr">
        <is>
          <t>1009</t>
        </is>
      </c>
      <c r="C1010" s="43" t="inlineStr">
        <is>
          <t>FJZP</t>
        </is>
      </c>
      <c r="D1010" s="43" t="inlineStr">
        <is>
          <t>Cisco</t>
        </is>
      </c>
      <c r="E1010" s="43" t="inlineStr">
        <is>
          <t>MCGA</t>
        </is>
      </c>
      <c r="F1010" s="43" t="inlineStr">
        <is>
          <t>239-CRBU</t>
        </is>
      </c>
      <c r="G1010" s="43" t="inlineStr">
        <is>
          <t>CTANJZ05105</t>
        </is>
      </c>
      <c r="H1010" s="43" t="inlineStr">
        <is>
          <t>For temporary Manufacturing process change</t>
        </is>
      </c>
      <c r="I1010" s="43" t="inlineStr">
        <is>
          <t>Customer Deviation</t>
        </is>
      </c>
      <c r="J1010" s="43" t="inlineStr">
        <is>
          <t>D609558</t>
        </is>
      </c>
      <c r="K1010" s="33" t="inlineStr">
        <is>
          <t>D609558 CRBU:8000 - CRBU- BB8 &amp; BB4- Approve FOL/FJZ to build and ship boards with ASIC in IPQ ( 08-100199-03)CPN :  08-100199-03Status: IPQMPN : 08-100199-03-A01. Approve FOL &amp; FJZ to build the boards with ASIC in IPQ status2. Run regular manf. qual and shipout on passing.Note : Approved to build any production versions and revisions using this deviation.</t>
        </is>
      </c>
      <c r="L1010" s="43" t="inlineStr">
        <is>
          <t>Expired</t>
        </is>
      </c>
      <c r="M1010" s="43" t="inlineStr">
        <is>
          <t>08-100199-03</t>
        </is>
      </c>
      <c r="N1010" s="43" t="inlineStr"/>
      <c r="O1010" s="43" t="inlineStr">
        <is>
          <t>2026-05-11</t>
        </is>
      </c>
      <c r="P1010" s="33" t="inlineStr">
        <is>
          <t>For temporary Manufacturing process change</t>
        </is>
      </c>
      <c r="Q1010" s="43" t="inlineStr">
        <is>
          <t>Program the EEPROM Apply the deviation label</t>
        </is>
      </c>
      <c r="R1010" s="43" t="inlineStr">
        <is>
          <t>2026-02-11</t>
        </is>
      </c>
      <c r="S1010" s="43" t="inlineStr">
        <is>
          <t>2026-03-03</t>
        </is>
      </c>
      <c r="T1010" s="43" t="inlineStr"/>
      <c r="U1010" s="43" t="inlineStr"/>
    </row>
    <row r="1011">
      <c r="A1011" s="43" t="n">
        <v>1011</v>
      </c>
      <c r="B1011" s="43" t="inlineStr">
        <is>
          <t>1010</t>
        </is>
      </c>
      <c r="C1011" s="43" t="inlineStr">
        <is>
          <t>FJZP</t>
        </is>
      </c>
      <c r="D1011" s="43" t="inlineStr">
        <is>
          <t>Cisco</t>
        </is>
      </c>
      <c r="E1011" s="43" t="inlineStr">
        <is>
          <t>MCGA</t>
        </is>
      </c>
      <c r="F1011" s="43" t="inlineStr">
        <is>
          <t>239-CRBU</t>
        </is>
      </c>
      <c r="G1011" s="43" t="inlineStr">
        <is>
          <t>CTANJZ05105</t>
        </is>
      </c>
      <c r="H1011" s="43" t="inlineStr">
        <is>
          <t>For temporary Manufacturing process change</t>
        </is>
      </c>
      <c r="I1011" s="43" t="inlineStr">
        <is>
          <t>Customer Deviation</t>
        </is>
      </c>
      <c r="J1011" s="43" t="inlineStr">
        <is>
          <t>D609558</t>
        </is>
      </c>
      <c r="K1011" s="33" t="inlineStr">
        <is>
          <t>D609558 CRBU:8000 - CRBU- BB8 &amp; BB4- Approve FOL/FJZ to build and ship boards with ASIC in IPQ ( 08-100199-03)CPN :  08-100199-03Status: IPQMPN : 08-100199-03-A01. Approve FOL &amp; FJZ to build the boards with ASIC in IPQ status2. Run regular manf. qual and shipout on passing.Note : Approved to build any production versions and revisions using this deviation.</t>
        </is>
      </c>
      <c r="L1011" s="43" t="inlineStr">
        <is>
          <t>Expired</t>
        </is>
      </c>
      <c r="M1011" s="43" t="inlineStr">
        <is>
          <t>73-21144-06</t>
        </is>
      </c>
      <c r="N1011" s="43" t="inlineStr"/>
      <c r="O1011" s="43" t="inlineStr">
        <is>
          <t>2026-05-11</t>
        </is>
      </c>
      <c r="P1011" s="33" t="inlineStr">
        <is>
          <t>For temporary Manufacturing process change</t>
        </is>
      </c>
      <c r="Q1011" s="43" t="inlineStr">
        <is>
          <t>Program the EEPROM Apply the deviation label</t>
        </is>
      </c>
      <c r="R1011" s="43" t="inlineStr">
        <is>
          <t>2026-02-11</t>
        </is>
      </c>
      <c r="S1011" s="43" t="inlineStr">
        <is>
          <t>2026-03-03</t>
        </is>
      </c>
      <c r="T1011" s="43" t="inlineStr"/>
      <c r="U1011" s="43" t="inlineStr"/>
    </row>
    <row r="1012">
      <c r="A1012" s="43" t="n">
        <v>1012</v>
      </c>
      <c r="B1012" s="43" t="inlineStr">
        <is>
          <t>1011</t>
        </is>
      </c>
      <c r="C1012" s="43" t="inlineStr">
        <is>
          <t>FJZP</t>
        </is>
      </c>
      <c r="D1012" s="43" t="inlineStr">
        <is>
          <t>Cisco</t>
        </is>
      </c>
      <c r="E1012" s="43" t="inlineStr">
        <is>
          <t>MCGA</t>
        </is>
      </c>
      <c r="F1012" s="43" t="inlineStr">
        <is>
          <t>239-CRBU</t>
        </is>
      </c>
      <c r="G1012" s="43" t="inlineStr">
        <is>
          <t>CTANJZ05105</t>
        </is>
      </c>
      <c r="H1012" s="43" t="inlineStr">
        <is>
          <t>For temporary Manufacturing process change</t>
        </is>
      </c>
      <c r="I1012" s="43" t="inlineStr">
        <is>
          <t>Customer Deviation</t>
        </is>
      </c>
      <c r="J1012" s="43" t="inlineStr">
        <is>
          <t>D609558</t>
        </is>
      </c>
      <c r="K1012" s="33" t="inlineStr">
        <is>
          <t>D609558 CRBU:8000 - CRBU- BB8 &amp; BB4- Approve FOL/FJZ to build and ship boards with ASIC in IPQ ( 08-100199-03)CPN :  08-100199-03Status: IPQMPN : 08-100199-03-A01. Approve FOL &amp; FJZ to build the boards with ASIC in IPQ status2. Run regular manf. qual and shipout on passing.Note : Approved to build any production versions and revisions using this deviation.</t>
        </is>
      </c>
      <c r="L1012" s="43" t="inlineStr">
        <is>
          <t>Expired</t>
        </is>
      </c>
      <c r="M1012" s="43" t="inlineStr">
        <is>
          <t>73-21146-05</t>
        </is>
      </c>
      <c r="N1012" s="43" t="inlineStr"/>
      <c r="O1012" s="43" t="inlineStr">
        <is>
          <t>2026-05-11</t>
        </is>
      </c>
      <c r="P1012" s="33" t="inlineStr">
        <is>
          <t>For temporary Manufacturing process change</t>
        </is>
      </c>
      <c r="Q1012" s="43" t="inlineStr">
        <is>
          <t>Program the EEPROM Apply the deviation label</t>
        </is>
      </c>
      <c r="R1012" s="43" t="inlineStr">
        <is>
          <t>2026-02-11</t>
        </is>
      </c>
      <c r="S1012" s="43" t="inlineStr">
        <is>
          <t>2026-03-03</t>
        </is>
      </c>
      <c r="T1012" s="43" t="inlineStr"/>
      <c r="U1012" s="43" t="inlineStr"/>
    </row>
    <row r="1013">
      <c r="A1013" s="43" t="n">
        <v>1013</v>
      </c>
      <c r="B1013" s="43" t="inlineStr">
        <is>
          <t>1012</t>
        </is>
      </c>
      <c r="C1013" s="43" t="inlineStr">
        <is>
          <t>FJZP</t>
        </is>
      </c>
      <c r="D1013" s="43" t="inlineStr">
        <is>
          <t>Cisco</t>
        </is>
      </c>
      <c r="E1013" s="43" t="inlineStr">
        <is>
          <t>MCGA</t>
        </is>
      </c>
      <c r="F1013" s="43" t="inlineStr">
        <is>
          <t>239-CRBU</t>
        </is>
      </c>
      <c r="G1013" s="43" t="inlineStr">
        <is>
          <t>CTANJZ05105</t>
        </is>
      </c>
      <c r="H1013" s="43" t="inlineStr">
        <is>
          <t>For temporary Manufacturing process change</t>
        </is>
      </c>
      <c r="I1013" s="43" t="inlineStr">
        <is>
          <t>Customer Deviation</t>
        </is>
      </c>
      <c r="J1013" s="43" t="inlineStr">
        <is>
          <t>D609558</t>
        </is>
      </c>
      <c r="K1013" s="33" t="inlineStr">
        <is>
          <t>D609558 CRBU:8000 - CRBU- BB8 &amp; BB4- Approve FOL/FJZ to build and ship boards with ASIC in IPQ ( 08-100199-03)CPN :  08-100199-03Status: IPQMPN : 08-100199-03-A01. Approve FOL &amp; FJZ to build the boards with ASIC in IPQ status2. Run regular manf. qual and shipout on passing.Note : Approved to build any production versions and revisions using this deviation.</t>
        </is>
      </c>
      <c r="L1013" s="43" t="inlineStr">
        <is>
          <t>Expired</t>
        </is>
      </c>
      <c r="M1013" s="43" t="inlineStr">
        <is>
          <t>73-21146-12</t>
        </is>
      </c>
      <c r="N1013" s="43" t="inlineStr"/>
      <c r="O1013" s="43" t="inlineStr">
        <is>
          <t>2026-05-11</t>
        </is>
      </c>
      <c r="P1013" s="33" t="inlineStr">
        <is>
          <t>For temporary Manufacturing process change</t>
        </is>
      </c>
      <c r="Q1013" s="43" t="inlineStr">
        <is>
          <t>Program the EEPROM Apply the deviation label</t>
        </is>
      </c>
      <c r="R1013" s="43" t="inlineStr">
        <is>
          <t>2026-02-11</t>
        </is>
      </c>
      <c r="S1013" s="43" t="inlineStr">
        <is>
          <t>2026-03-03</t>
        </is>
      </c>
      <c r="T1013" s="43" t="inlineStr"/>
      <c r="U1013" s="43" t="inlineStr"/>
    </row>
    <row r="1014">
      <c r="A1014" s="43" t="n">
        <v>1014</v>
      </c>
      <c r="B1014" s="43" t="inlineStr">
        <is>
          <t>1013</t>
        </is>
      </c>
      <c r="C1014" s="43" t="inlineStr">
        <is>
          <t>FJZP</t>
        </is>
      </c>
      <c r="D1014" s="43" t="inlineStr">
        <is>
          <t>Cisco</t>
        </is>
      </c>
      <c r="E1014" s="43" t="inlineStr">
        <is>
          <t>MCGA</t>
        </is>
      </c>
      <c r="F1014" s="43" t="inlineStr">
        <is>
          <t>037-STBU</t>
        </is>
      </c>
      <c r="G1014" s="43" t="inlineStr">
        <is>
          <t>CTANJZ05073</t>
        </is>
      </c>
      <c r="H1014" s="43" t="inlineStr">
        <is>
          <t>For temporary Manufacturing process change</t>
        </is>
      </c>
      <c r="I1014" s="43" t="inlineStr">
        <is>
          <t>Customer Deviation</t>
        </is>
      </c>
      <c r="J1014" s="43" t="inlineStr">
        <is>
          <t>D609045</t>
        </is>
      </c>
      <c r="K1014" s="33" t="inlineStr">
        <is>
          <t>D609045 During QEnd; for Shenfield there are short of PN 29-102749-02 (MPN: 2027180102; MOLEX); this deviation is to allow FJZ to use 29-102749-01 (MPN: 2027180102; MOLEX)The drawing and description no show any differences between the versions:29-102749-01 Description: CON;QSFP-DD;CON ONLY;1x1;R;RA;SMT;76P;23.2Lx18.2Wx7.3H29-102749-02 Description: CON;QSFP-DD;CON ONLY;1x1;R;RA;SMT;76P;23.2Lx18.2Wx7.3H</t>
        </is>
      </c>
      <c r="L1014" s="43" t="inlineStr">
        <is>
          <t>Expired</t>
        </is>
      </c>
      <c r="M1014" s="43" t="inlineStr">
        <is>
          <t>29-102749-01</t>
        </is>
      </c>
      <c r="N1014" s="43" t="inlineStr"/>
      <c r="O1014" s="43" t="inlineStr">
        <is>
          <t>2026-04-19</t>
        </is>
      </c>
      <c r="P1014" s="33" t="inlineStr">
        <is>
          <t>For temporary Manufacturing process change</t>
        </is>
      </c>
      <c r="Q1014" s="43" t="inlineStr">
        <is>
          <t>1. Place a label deviation in a visible place of the board</t>
        </is>
      </c>
      <c r="R1014" s="43" t="inlineStr">
        <is>
          <t>2026-01-20</t>
        </is>
      </c>
      <c r="S1014" s="43" t="inlineStr">
        <is>
          <t>2026-02-11</t>
        </is>
      </c>
      <c r="T1014" s="43" t="inlineStr"/>
      <c r="U1014" s="43" t="inlineStr"/>
    </row>
    <row r="1015">
      <c r="A1015" s="43" t="n">
        <v>1015</v>
      </c>
      <c r="B1015" s="43" t="inlineStr">
        <is>
          <t>1014</t>
        </is>
      </c>
      <c r="C1015" s="43" t="inlineStr">
        <is>
          <t>FJZP</t>
        </is>
      </c>
      <c r="D1015" s="43" t="inlineStr">
        <is>
          <t>Cisco</t>
        </is>
      </c>
      <c r="E1015" s="43" t="inlineStr">
        <is>
          <t>MCGA</t>
        </is>
      </c>
      <c r="F1015" s="43" t="inlineStr">
        <is>
          <t>037-STBU</t>
        </is>
      </c>
      <c r="G1015" s="43" t="inlineStr">
        <is>
          <t>CTANJZ05073</t>
        </is>
      </c>
      <c r="H1015" s="43" t="inlineStr">
        <is>
          <t>For temporary Manufacturing process change</t>
        </is>
      </c>
      <c r="I1015" s="43" t="inlineStr">
        <is>
          <t>Customer Deviation</t>
        </is>
      </c>
      <c r="J1015" s="43" t="inlineStr">
        <is>
          <t>D609045</t>
        </is>
      </c>
      <c r="K1015" s="33" t="inlineStr">
        <is>
          <t>D609045 During QEnd; for Shenfield there are short of PN 29-102749-02 (MPN: 2027180102; MOLEX); this deviation is to allow FJZ to use 29-102749-01 (MPN: 2027180102; MOLEX)The drawing and description no show any differences between the versions:29-102749-01 Description: CON;QSFP-DD;CON ONLY;1x1;R;RA;SMT;76P;23.2Lx18.2Wx7.3H29-102749-02 Description: CON;QSFP-DD;CON ONLY;1x1;R;RA;SMT;76P;23.2Lx18.2Wx7.3H</t>
        </is>
      </c>
      <c r="L1015" s="43" t="inlineStr">
        <is>
          <t>Expired</t>
        </is>
      </c>
      <c r="M1015" s="43" t="inlineStr">
        <is>
          <t>73-103125-02</t>
        </is>
      </c>
      <c r="N1015" s="43" t="inlineStr"/>
      <c r="O1015" s="43" t="inlineStr">
        <is>
          <t>2026-04-19</t>
        </is>
      </c>
      <c r="P1015" s="33" t="inlineStr">
        <is>
          <t>For temporary Manufacturing process change</t>
        </is>
      </c>
      <c r="Q1015" s="43" t="inlineStr">
        <is>
          <t>1. Place a label deviation in a visible place of the board</t>
        </is>
      </c>
      <c r="R1015" s="43" t="inlineStr">
        <is>
          <t>2026-01-20</t>
        </is>
      </c>
      <c r="S1015" s="43" t="inlineStr">
        <is>
          <t>2026-02-11</t>
        </is>
      </c>
      <c r="T1015" s="43" t="inlineStr"/>
      <c r="U1015" s="43" t="inlineStr"/>
    </row>
    <row r="1016">
      <c r="A1016" s="43" t="n">
        <v>1016</v>
      </c>
      <c r="B1016" s="43" t="inlineStr">
        <is>
          <t>1015</t>
        </is>
      </c>
      <c r="C1016" s="43" t="inlineStr">
        <is>
          <t>FJZP</t>
        </is>
      </c>
      <c r="D1016" s="43" t="inlineStr">
        <is>
          <t>Cisco</t>
        </is>
      </c>
      <c r="E1016" s="43" t="inlineStr">
        <is>
          <t>MCGA</t>
        </is>
      </c>
      <c r="F1016" s="43" t="inlineStr">
        <is>
          <t>018-SRGBU</t>
        </is>
      </c>
      <c r="G1016" s="43" t="inlineStr">
        <is>
          <t>CTANJZ05079</t>
        </is>
      </c>
      <c r="H1016" s="43" t="inlineStr">
        <is>
          <t>For temporary Manufacturing process change</t>
        </is>
      </c>
      <c r="I1016" s="43" t="inlineStr">
        <is>
          <t>Customer Deviation</t>
        </is>
      </c>
      <c r="J1016" s="43" t="inlineStr">
        <is>
          <t>D608804</t>
        </is>
      </c>
      <c r="K1016" s="33" t="inlineStr">
        <is>
          <t>D608804 Allow FJZ to rename  Samsung Semiconductors MPN M393A2K43EB3-CWE  from the 15-106879-01   as 15-108743-01; in the PIDs:MEM-C85G2-32GBMEM-C85G2-32GB=</t>
        </is>
      </c>
      <c r="L1016" s="43" t="inlineStr">
        <is>
          <t>Expired</t>
        </is>
      </c>
      <c r="M1016" s="43" t="inlineStr">
        <is>
          <t>15-108743-01</t>
        </is>
      </c>
      <c r="N1016" s="43" t="inlineStr"/>
      <c r="O1016" s="43" t="inlineStr">
        <is>
          <t>2026-04-21</t>
        </is>
      </c>
      <c r="P1016" s="33" t="inlineStr">
        <is>
          <t>For temporary Manufacturing process change</t>
        </is>
      </c>
      <c r="Q1016" s="43" t="inlineStr">
        <is>
          <t>Add a small label with the deviation number</t>
        </is>
      </c>
      <c r="R1016" s="43" t="inlineStr">
        <is>
          <t>2026-01-22</t>
        </is>
      </c>
      <c r="S1016" s="43" t="inlineStr">
        <is>
          <t>2026-01-31</t>
        </is>
      </c>
      <c r="T1016" s="43" t="inlineStr"/>
      <c r="U1016" s="43" t="inlineStr"/>
    </row>
    <row r="1017">
      <c r="A1017" s="43" t="n">
        <v>1017</v>
      </c>
      <c r="B1017" s="43" t="inlineStr">
        <is>
          <t>1016</t>
        </is>
      </c>
      <c r="C1017" s="43" t="inlineStr">
        <is>
          <t>FJZP</t>
        </is>
      </c>
      <c r="D1017" s="43" t="inlineStr">
        <is>
          <t>Cisco</t>
        </is>
      </c>
      <c r="E1017" s="43" t="inlineStr">
        <is>
          <t>MCGA</t>
        </is>
      </c>
      <c r="F1017" s="43" t="inlineStr">
        <is>
          <t>037-STBU</t>
        </is>
      </c>
      <c r="G1017" s="43" t="inlineStr">
        <is>
          <t>CTANJZ05145</t>
        </is>
      </c>
      <c r="H1017" s="43" t="inlineStr">
        <is>
          <t>For temporary Manufacturing process change</t>
        </is>
      </c>
      <c r="I1017" s="43" t="inlineStr">
        <is>
          <t>Customer Deviation</t>
        </is>
      </c>
      <c r="J1017" s="43" t="inlineStr">
        <is>
          <t>D609994</t>
        </is>
      </c>
      <c r="K1017" s="33" t="inlineStr">
        <is>
          <t>D609994 A. Restriction of AVL for CPN 16-101652-01:RESTRICT/DO NOT USE: Micron MPN MTFDKCC950TFR-1BC15ABCC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part(MTFDKCC950TFR-1BC15ABCC) must be reworked to replace the drive with the approved Samsung MPN (MZQL2960HCJR-00A07) to allow FPR3K SKUs to continue on the DF side.This deviation applies to MPNs at both PCBA and DF Sites at FJZ effective immediately.</t>
        </is>
      </c>
      <c r="L1017" s="43" t="inlineStr">
        <is>
          <t>Expired</t>
        </is>
      </c>
      <c r="M1017" s="43" t="inlineStr">
        <is>
          <t>16-101652-01</t>
        </is>
      </c>
      <c r="N1017" s="43" t="inlineStr"/>
      <c r="O1017" s="43" t="inlineStr">
        <is>
          <t>2026-06-10</t>
        </is>
      </c>
      <c r="P1017" s="33" t="inlineStr">
        <is>
          <t>For temporary Manufacturing process change</t>
        </is>
      </c>
      <c r="Q1017" s="43" t="inlineStr">
        <is>
          <t>Place Deviation Label Visibly on pull out tab</t>
        </is>
      </c>
      <c r="R1017" s="43" t="inlineStr">
        <is>
          <t>2026-03-13</t>
        </is>
      </c>
      <c r="S1017" s="43" t="inlineStr">
        <is>
          <t>2026-04-09</t>
        </is>
      </c>
      <c r="T1017" s="43" t="inlineStr"/>
      <c r="U1017" s="43" t="inlineStr"/>
    </row>
    <row r="1018">
      <c r="A1018" s="43" t="n">
        <v>1018</v>
      </c>
      <c r="B1018" s="43" t="inlineStr">
        <is>
          <t>1017</t>
        </is>
      </c>
      <c r="C1018" s="43" t="inlineStr">
        <is>
          <t>FJZP</t>
        </is>
      </c>
      <c r="D1018" s="43" t="inlineStr">
        <is>
          <t>Cisco</t>
        </is>
      </c>
      <c r="E1018" s="43" t="inlineStr">
        <is>
          <t>MCGA</t>
        </is>
      </c>
      <c r="F1018" s="43" t="inlineStr">
        <is>
          <t>037-STBU</t>
        </is>
      </c>
      <c r="G1018" s="43" t="inlineStr">
        <is>
          <t>CTANJZ05145</t>
        </is>
      </c>
      <c r="H1018" s="43" t="inlineStr">
        <is>
          <t>For temporary Manufacturing process change</t>
        </is>
      </c>
      <c r="I1018" s="43" t="inlineStr">
        <is>
          <t>Customer Deviation</t>
        </is>
      </c>
      <c r="J1018" s="43" t="inlineStr">
        <is>
          <t>D609994</t>
        </is>
      </c>
      <c r="K1018" s="33" t="inlineStr">
        <is>
          <t>D609994 A. Restriction of AVL for CPN 16-101652-01:RESTRICT/DO NOT USE: Micron MPN MTFDKCC950TFR-1BC15ABCC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part(MTFDKCC950TFR-1BC15ABCC) must be reworked to replace the drive with the approved Samsung MPN (MZQL2960HCJR-00A07) to allow FPR3K SKUs to continue on the DF side.This deviation applies to MPNs at both PCBA and DF Sites at FJZ effective immediately.</t>
        </is>
      </c>
      <c r="L1018" s="43" t="inlineStr">
        <is>
          <t>Expired</t>
        </is>
      </c>
      <c r="M1018" s="43" t="inlineStr">
        <is>
          <t>68-103418-01</t>
        </is>
      </c>
      <c r="N1018" s="43" t="inlineStr"/>
      <c r="O1018" s="43" t="inlineStr">
        <is>
          <t>2026-06-10</t>
        </is>
      </c>
      <c r="P1018" s="33" t="inlineStr">
        <is>
          <t>For temporary Manufacturing process change</t>
        </is>
      </c>
      <c r="Q1018" s="43" t="inlineStr">
        <is>
          <t>Place Deviation Label Visibly on pull out tab</t>
        </is>
      </c>
      <c r="R1018" s="43" t="inlineStr">
        <is>
          <t>2026-03-13</t>
        </is>
      </c>
      <c r="S1018" s="43" t="inlineStr">
        <is>
          <t>2026-04-09</t>
        </is>
      </c>
      <c r="T1018" s="43" t="inlineStr"/>
      <c r="U1018" s="43" t="inlineStr"/>
    </row>
    <row r="1019">
      <c r="A1019" s="43" t="n">
        <v>1019</v>
      </c>
      <c r="B1019" s="43" t="inlineStr">
        <is>
          <t>1018</t>
        </is>
      </c>
      <c r="C1019" s="43" t="inlineStr">
        <is>
          <t>FJZP</t>
        </is>
      </c>
      <c r="D1019" s="43" t="inlineStr">
        <is>
          <t>Cisco</t>
        </is>
      </c>
      <c r="E1019" s="43" t="inlineStr">
        <is>
          <t>MCGA</t>
        </is>
      </c>
      <c r="F1019" s="43" t="inlineStr">
        <is>
          <t>037-STBU</t>
        </is>
      </c>
      <c r="G1019" s="43" t="inlineStr">
        <is>
          <t>CTANJZ05145</t>
        </is>
      </c>
      <c r="H1019" s="43" t="inlineStr">
        <is>
          <t>For temporary Manufacturing process change</t>
        </is>
      </c>
      <c r="I1019" s="43" t="inlineStr">
        <is>
          <t>Customer Deviation</t>
        </is>
      </c>
      <c r="J1019" s="43" t="inlineStr">
        <is>
          <t>D609994</t>
        </is>
      </c>
      <c r="K1019" s="33" t="inlineStr">
        <is>
          <t>D609994 A. Restriction of AVL for CPN 16-101652-01:RESTRICT/DO NOT USE: Micron MPN MTFDKCC950TFR-1BC15ABCC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part(MTFDKCC950TFR-1BC15ABCC) must be reworked to replace the drive with the approved Samsung MPN (MZQL2960HCJR-00A07) to allow FPR3K SKUs to continue on the DF side.This deviation applies to MPNs at both PCBA and DF Sites at FJZ effective immediately.</t>
        </is>
      </c>
      <c r="L1019" s="43" t="inlineStr">
        <is>
          <t>Expired</t>
        </is>
      </c>
      <c r="M1019" s="43" t="inlineStr">
        <is>
          <t>68-7253-05</t>
        </is>
      </c>
      <c r="N1019" s="43" t="inlineStr"/>
      <c r="O1019" s="43" t="inlineStr">
        <is>
          <t>2026-06-10</t>
        </is>
      </c>
      <c r="P1019" s="33" t="inlineStr">
        <is>
          <t>For temporary Manufacturing process change</t>
        </is>
      </c>
      <c r="Q1019" s="43" t="inlineStr">
        <is>
          <t>Place Deviation Label Visibly on pull out tab</t>
        </is>
      </c>
      <c r="R1019" s="43" t="inlineStr">
        <is>
          <t>2026-03-13</t>
        </is>
      </c>
      <c r="S1019" s="43" t="inlineStr">
        <is>
          <t>2026-04-09</t>
        </is>
      </c>
      <c r="T1019" s="43" t="inlineStr"/>
      <c r="U1019" s="43" t="inlineStr"/>
    </row>
    <row r="1020">
      <c r="A1020" s="43" t="n">
        <v>1020</v>
      </c>
      <c r="B1020" s="43" t="inlineStr">
        <is>
          <t>1019</t>
        </is>
      </c>
      <c r="C1020" s="43" t="inlineStr">
        <is>
          <t>FJZP</t>
        </is>
      </c>
      <c r="D1020" s="43" t="inlineStr">
        <is>
          <t>Cisco</t>
        </is>
      </c>
      <c r="E1020" s="43" t="inlineStr">
        <is>
          <t>MCGA</t>
        </is>
      </c>
      <c r="F1020" s="43" t="inlineStr">
        <is>
          <t>037-STBU</t>
        </is>
      </c>
      <c r="G1020" s="43" t="inlineStr">
        <is>
          <t>CTANJZ05145</t>
        </is>
      </c>
      <c r="H1020" s="43" t="inlineStr">
        <is>
          <t>For temporary Manufacturing process change</t>
        </is>
      </c>
      <c r="I1020" s="43" t="inlineStr">
        <is>
          <t>Customer Deviation</t>
        </is>
      </c>
      <c r="J1020" s="43" t="inlineStr">
        <is>
          <t>D609994</t>
        </is>
      </c>
      <c r="K1020" s="33" t="inlineStr">
        <is>
          <t>D609994 A. Restriction of AVL for CPN 16-101652-01:RESTRICT/DO NOT USE: Micron MPN MTFDKCC950TFR-1BC15ABCC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part(MTFDKCC950TFR-1BC15ABCC) must be reworked to replace the drive with the approved Samsung MPN (MZQL2960HCJR-00A07) to allow FPR3K SKUs to continue on the DF side.This deviation applies to MPNs at both PCBA and DF Sites at FJZ effective immediately.</t>
        </is>
      </c>
      <c r="L1020" s="43" t="inlineStr">
        <is>
          <t>Expired</t>
        </is>
      </c>
      <c r="M1020" s="43" t="inlineStr">
        <is>
          <t>68-7254-05</t>
        </is>
      </c>
      <c r="N1020" s="43" t="inlineStr"/>
      <c r="O1020" s="43" t="inlineStr">
        <is>
          <t>2026-06-10</t>
        </is>
      </c>
      <c r="P1020" s="33" t="inlineStr">
        <is>
          <t>For temporary Manufacturing process change</t>
        </is>
      </c>
      <c r="Q1020" s="43" t="inlineStr">
        <is>
          <t>Place Deviation Label Visibly on pull out tab</t>
        </is>
      </c>
      <c r="R1020" s="43" t="inlineStr">
        <is>
          <t>2026-03-13</t>
        </is>
      </c>
      <c r="S1020" s="43" t="inlineStr">
        <is>
          <t>2026-04-09</t>
        </is>
      </c>
      <c r="T1020" s="43" t="inlineStr"/>
      <c r="U1020" s="43" t="inlineStr"/>
    </row>
    <row r="1021">
      <c r="A1021" s="43" t="n">
        <v>1021</v>
      </c>
      <c r="B1021" s="43" t="inlineStr">
        <is>
          <t>1020</t>
        </is>
      </c>
      <c r="C1021" s="43" t="inlineStr">
        <is>
          <t>FJZP</t>
        </is>
      </c>
      <c r="D1021" s="43" t="inlineStr">
        <is>
          <t>Cisco</t>
        </is>
      </c>
      <c r="E1021" s="43" t="inlineStr">
        <is>
          <t>MCGA</t>
        </is>
      </c>
      <c r="F1021" s="43" t="inlineStr">
        <is>
          <t>037-STBU</t>
        </is>
      </c>
      <c r="G1021" s="43" t="inlineStr">
        <is>
          <t>CTANJZ04782</t>
        </is>
      </c>
      <c r="H1021" s="43" t="inlineStr">
        <is>
          <t>For temporary Manufacturing process change</t>
        </is>
      </c>
      <c r="I1021" s="43" t="inlineStr">
        <is>
          <t>Customer Deviation</t>
        </is>
      </c>
      <c r="J1021" s="43" t="inlineStr">
        <is>
          <t>D605645</t>
        </is>
      </c>
      <c r="K1021" s="33" t="inlineStr">
        <is>
          <t>D605645 FJZ can't ship AVC Fans (MPN: GND0456A70); until we know what the RC is of the 2C failures at cold tempEngineering is requesting additional information to discard FPGA Version issue</t>
        </is>
      </c>
      <c r="L1021" s="43" t="inlineStr">
        <is>
          <t>Expired</t>
        </is>
      </c>
      <c r="M1021" s="43" t="inlineStr">
        <is>
          <t>68-7254-05</t>
        </is>
      </c>
      <c r="N1021" s="43" t="inlineStr"/>
      <c r="O1021" s="43" t="inlineStr">
        <is>
          <t>2025-11-18</t>
        </is>
      </c>
      <c r="P1021" s="33" t="inlineStr">
        <is>
          <t>For temporary Manufacturing process change</t>
        </is>
      </c>
      <c r="Q1021" s="43" t="inlineStr">
        <is>
          <t>Don't ship AVC Fans with TPK 05 Version units</t>
        </is>
      </c>
      <c r="R1021" s="43" t="inlineStr">
        <is>
          <t>2025-08-20</t>
        </is>
      </c>
      <c r="S1021" s="43" t="inlineStr">
        <is>
          <t>2025-08-29</t>
        </is>
      </c>
      <c r="T1021" s="43" t="inlineStr"/>
      <c r="U1021" s="43" t="inlineStr"/>
    </row>
    <row r="1022">
      <c r="A1022" s="43" t="n">
        <v>1022</v>
      </c>
      <c r="B1022" s="43" t="inlineStr">
        <is>
          <t>1021</t>
        </is>
      </c>
      <c r="C1022" s="43" t="inlineStr">
        <is>
          <t>FJZP</t>
        </is>
      </c>
      <c r="D1022" s="43" t="inlineStr">
        <is>
          <t>Cisco</t>
        </is>
      </c>
      <c r="E1022" s="43" t="inlineStr">
        <is>
          <t>MCGA</t>
        </is>
      </c>
      <c r="F1022" s="43" t="inlineStr">
        <is>
          <t>037-STBU</t>
        </is>
      </c>
      <c r="G1022" s="43" t="inlineStr">
        <is>
          <t>CTANJZ04782</t>
        </is>
      </c>
      <c r="H1022" s="43" t="inlineStr">
        <is>
          <t>For temporary Manufacturing process change</t>
        </is>
      </c>
      <c r="I1022" s="43" t="inlineStr">
        <is>
          <t>Customer Deviation</t>
        </is>
      </c>
      <c r="J1022" s="43" t="inlineStr">
        <is>
          <t>D605645</t>
        </is>
      </c>
      <c r="K1022" s="33" t="inlineStr">
        <is>
          <t>D605645 FJZ can't ship AVC Fans (MPN: GND0456A70); until we know what the RC is of the 2C failures at cold tempEngineering is requesting additional information to discard FPGA Version issue</t>
        </is>
      </c>
      <c r="L1022" s="43" t="inlineStr">
        <is>
          <t>Expired</t>
        </is>
      </c>
      <c r="M1022" s="43" t="inlineStr">
        <is>
          <t>68-7255-05</t>
        </is>
      </c>
      <c r="N1022" s="43" t="inlineStr"/>
      <c r="O1022" s="43" t="inlineStr">
        <is>
          <t>2025-11-18</t>
        </is>
      </c>
      <c r="P1022" s="33" t="inlineStr">
        <is>
          <t>For temporary Manufacturing process change</t>
        </is>
      </c>
      <c r="Q1022" s="43" t="inlineStr">
        <is>
          <t>Don't ship AVC Fans with TPK 05 Version units</t>
        </is>
      </c>
      <c r="R1022" s="43" t="inlineStr">
        <is>
          <t>2025-08-20</t>
        </is>
      </c>
      <c r="S1022" s="43" t="inlineStr">
        <is>
          <t>2025-08-29</t>
        </is>
      </c>
      <c r="T1022" s="43" t="inlineStr"/>
      <c r="U1022" s="43" t="inlineStr"/>
    </row>
    <row r="1023">
      <c r="A1023" s="43" t="n">
        <v>1023</v>
      </c>
      <c r="B1023" s="43" t="inlineStr">
        <is>
          <t>1022</t>
        </is>
      </c>
      <c r="C1023" s="43" t="inlineStr">
        <is>
          <t>FJZP</t>
        </is>
      </c>
      <c r="D1023" s="43" t="inlineStr">
        <is>
          <t>Cisco</t>
        </is>
      </c>
      <c r="E1023" s="43" t="inlineStr">
        <is>
          <t>MCGA</t>
        </is>
      </c>
      <c r="F1023" s="43" t="inlineStr">
        <is>
          <t>037-STBU</t>
        </is>
      </c>
      <c r="G1023" s="43" t="inlineStr">
        <is>
          <t>CTANJZ04782</t>
        </is>
      </c>
      <c r="H1023" s="43" t="inlineStr">
        <is>
          <t>For temporary Manufacturing process change</t>
        </is>
      </c>
      <c r="I1023" s="43" t="inlineStr">
        <is>
          <t>Customer Deviation</t>
        </is>
      </c>
      <c r="J1023" s="43" t="inlineStr">
        <is>
          <t>D605645</t>
        </is>
      </c>
      <c r="K1023" s="33" t="inlineStr">
        <is>
          <t>D605645 FJZ can't ship AVC Fans (MPN: GND0456A70); until we know what the RC is of the 2C failures at cold tempEngineering is requesting additional information to discard FPGA Version issue</t>
        </is>
      </c>
      <c r="L1023" s="43" t="inlineStr">
        <is>
          <t>Expired</t>
        </is>
      </c>
      <c r="M1023" s="43" t="inlineStr">
        <is>
          <t>68-7256-05</t>
        </is>
      </c>
      <c r="N1023" s="43" t="inlineStr"/>
      <c r="O1023" s="43" t="inlineStr">
        <is>
          <t>2025-11-18</t>
        </is>
      </c>
      <c r="P1023" s="33" t="inlineStr">
        <is>
          <t>For temporary Manufacturing process change</t>
        </is>
      </c>
      <c r="Q1023" s="43" t="inlineStr">
        <is>
          <t>Don't ship AVC Fans with TPK 05 Version units</t>
        </is>
      </c>
      <c r="R1023" s="43" t="inlineStr">
        <is>
          <t>2025-08-20</t>
        </is>
      </c>
      <c r="S1023" s="43" t="inlineStr">
        <is>
          <t>2025-08-29</t>
        </is>
      </c>
      <c r="T1023" s="43" t="inlineStr"/>
      <c r="U1023" s="43" t="inlineStr"/>
    </row>
    <row r="1024">
      <c r="A1024" s="43" t="n">
        <v>1024</v>
      </c>
      <c r="B1024" s="43" t="inlineStr">
        <is>
          <t>1023</t>
        </is>
      </c>
      <c r="C1024" s="43" t="inlineStr">
        <is>
          <t>FJZP</t>
        </is>
      </c>
      <c r="D1024" s="43" t="inlineStr">
        <is>
          <t>Cisco</t>
        </is>
      </c>
      <c r="E1024" s="43" t="inlineStr">
        <is>
          <t>MCGA</t>
        </is>
      </c>
      <c r="F1024" s="43" t="inlineStr">
        <is>
          <t>037-STBU</t>
        </is>
      </c>
      <c r="G1024" s="43" t="inlineStr">
        <is>
          <t>CTANJZ04782</t>
        </is>
      </c>
      <c r="H1024" s="43" t="inlineStr">
        <is>
          <t>For temporary Manufacturing process change</t>
        </is>
      </c>
      <c r="I1024" s="43" t="inlineStr">
        <is>
          <t>Customer Deviation</t>
        </is>
      </c>
      <c r="J1024" s="43" t="inlineStr">
        <is>
          <t>D605645</t>
        </is>
      </c>
      <c r="K1024" s="33" t="inlineStr">
        <is>
          <t>D605645 FJZ can't ship AVC Fans (MPN: GND0456A70); until we know what the RC is of the 2C failures at cold tempEngineering is requesting additional information to discard FPGA Version issue</t>
        </is>
      </c>
      <c r="L1024" s="43" t="inlineStr">
        <is>
          <t>Expired</t>
        </is>
      </c>
      <c r="M1024" s="43" t="inlineStr">
        <is>
          <t>68-7638-02</t>
        </is>
      </c>
      <c r="N1024" s="43" t="inlineStr"/>
      <c r="O1024" s="43" t="inlineStr">
        <is>
          <t>2025-11-18</t>
        </is>
      </c>
      <c r="P1024" s="33" t="inlineStr">
        <is>
          <t>For temporary Manufacturing process change</t>
        </is>
      </c>
      <c r="Q1024" s="43" t="inlineStr">
        <is>
          <t>Don't ship AVC Fans with TPK 05 Version units</t>
        </is>
      </c>
      <c r="R1024" s="43" t="inlineStr">
        <is>
          <t>2025-08-20</t>
        </is>
      </c>
      <c r="S1024" s="43" t="inlineStr">
        <is>
          <t>2025-08-29</t>
        </is>
      </c>
      <c r="T1024" s="43" t="inlineStr"/>
      <c r="U1024" s="43" t="inlineStr"/>
    </row>
    <row r="1025">
      <c r="A1025" s="43" t="n">
        <v>1025</v>
      </c>
      <c r="B1025" s="43" t="inlineStr">
        <is>
          <t>1024</t>
        </is>
      </c>
      <c r="C1025" s="43" t="inlineStr">
        <is>
          <t>FJZP</t>
        </is>
      </c>
      <c r="D1025" s="43" t="inlineStr">
        <is>
          <t>Cisco</t>
        </is>
      </c>
      <c r="E1025" s="43" t="inlineStr">
        <is>
          <t>MCGA</t>
        </is>
      </c>
      <c r="F1025" s="43" t="inlineStr">
        <is>
          <t>037-STBU</t>
        </is>
      </c>
      <c r="G1025" s="43" t="inlineStr">
        <is>
          <t>CTANJZ04782</t>
        </is>
      </c>
      <c r="H1025" s="43" t="inlineStr">
        <is>
          <t>For temporary Manufacturing process change</t>
        </is>
      </c>
      <c r="I1025" s="43" t="inlineStr">
        <is>
          <t>Customer Deviation</t>
        </is>
      </c>
      <c r="J1025" s="43" t="inlineStr">
        <is>
          <t>D605645</t>
        </is>
      </c>
      <c r="K1025" s="33" t="inlineStr">
        <is>
          <t>D605645 FJZ can't ship AVC Fans (MPN: GND0456A70); until we know what the RC is of the 2C failures at cold tempEngineering is requesting additional information to discard FPGA Version issue</t>
        </is>
      </c>
      <c r="L1025" s="43" t="inlineStr">
        <is>
          <t>Expired</t>
        </is>
      </c>
      <c r="M1025" s="43" t="inlineStr">
        <is>
          <t>800-109483-01</t>
        </is>
      </c>
      <c r="N1025" s="43" t="inlineStr"/>
      <c r="O1025" s="43" t="inlineStr">
        <is>
          <t>2025-11-18</t>
        </is>
      </c>
      <c r="P1025" s="33" t="inlineStr">
        <is>
          <t>For temporary Manufacturing process change</t>
        </is>
      </c>
      <c r="Q1025" s="43" t="inlineStr">
        <is>
          <t>Don't ship AVC Fans with TPK 05 Version units</t>
        </is>
      </c>
      <c r="R1025" s="43" t="inlineStr">
        <is>
          <t>2025-08-20</t>
        </is>
      </c>
      <c r="S1025" s="43" t="inlineStr">
        <is>
          <t>2025-08-29</t>
        </is>
      </c>
      <c r="T1025" s="43" t="inlineStr"/>
      <c r="U1025" s="43" t="inlineStr"/>
    </row>
    <row r="1026">
      <c r="A1026" s="43" t="n">
        <v>1026</v>
      </c>
      <c r="B1026" s="43" t="inlineStr">
        <is>
          <t>1025</t>
        </is>
      </c>
      <c r="C1026" s="43" t="inlineStr">
        <is>
          <t>FJZP</t>
        </is>
      </c>
      <c r="D1026" s="43" t="inlineStr">
        <is>
          <t>Cisco</t>
        </is>
      </c>
      <c r="E1026" s="43" t="inlineStr">
        <is>
          <t>MCGA</t>
        </is>
      </c>
      <c r="F1026" s="43" t="inlineStr">
        <is>
          <t>037-STBU</t>
        </is>
      </c>
      <c r="G1026" s="43" t="inlineStr">
        <is>
          <t>CTANJZ05090</t>
        </is>
      </c>
      <c r="H1026" s="43" t="inlineStr">
        <is>
          <t>For temporary Manufacturing process change</t>
        </is>
      </c>
      <c r="I1026" s="43" t="inlineStr">
        <is>
          <t>Customer Deviation</t>
        </is>
      </c>
      <c r="J1026" s="43" t="inlineStr">
        <is>
          <t>D608351</t>
        </is>
      </c>
      <c r="K1026" s="33" t="inlineStr">
        <is>
          <t>D608351 Please see PageThree for details</t>
        </is>
      </c>
      <c r="L1026" s="43" t="inlineStr">
        <is>
          <t>Expired</t>
        </is>
      </c>
      <c r="M1026" s="43" t="inlineStr">
        <is>
          <t>73-18488-07</t>
        </is>
      </c>
      <c r="N1026" s="43" t="inlineStr"/>
      <c r="O1026" s="43" t="inlineStr">
        <is>
          <t>2026-04-29</t>
        </is>
      </c>
      <c r="P1026" s="33" t="inlineStr">
        <is>
          <t>For temporary Manufacturing process change</t>
        </is>
      </c>
      <c r="Q1026" s="43" t="inlineStr">
        <is>
          <t>Place the deviation label on the top side on the PCBA and outside the chassis</t>
        </is>
      </c>
      <c r="R1026" s="43" t="inlineStr">
        <is>
          <t>2026-01-29</t>
        </is>
      </c>
      <c r="S1026" s="43" t="inlineStr">
        <is>
          <t>2026-02-20</t>
        </is>
      </c>
      <c r="T1026" s="43" t="inlineStr"/>
      <c r="U1026" s="43" t="inlineStr"/>
    </row>
    <row r="1027">
      <c r="A1027" s="43" t="n">
        <v>1027</v>
      </c>
      <c r="B1027" s="43" t="inlineStr">
        <is>
          <t>1026</t>
        </is>
      </c>
      <c r="C1027" s="43" t="inlineStr">
        <is>
          <t>FJZP</t>
        </is>
      </c>
      <c r="D1027" s="43" t="inlineStr">
        <is>
          <t>Cisco</t>
        </is>
      </c>
      <c r="E1027" s="43" t="inlineStr">
        <is>
          <t>MCGA</t>
        </is>
      </c>
      <c r="F1027" s="43" t="inlineStr">
        <is>
          <t>037-STBU</t>
        </is>
      </c>
      <c r="G1027" s="43" t="inlineStr">
        <is>
          <t>CTANJZ05090</t>
        </is>
      </c>
      <c r="H1027" s="43" t="inlineStr">
        <is>
          <t>For temporary Manufacturing process change</t>
        </is>
      </c>
      <c r="I1027" s="43" t="inlineStr">
        <is>
          <t>Customer Deviation</t>
        </is>
      </c>
      <c r="J1027" s="43" t="inlineStr">
        <is>
          <t>D608351</t>
        </is>
      </c>
      <c r="K1027" s="33" t="inlineStr">
        <is>
          <t>D608351 Please see PageThree for details</t>
        </is>
      </c>
      <c r="L1027" s="43" t="inlineStr">
        <is>
          <t>Expired</t>
        </is>
      </c>
      <c r="M1027" s="43" t="inlineStr">
        <is>
          <t>73-18489-07</t>
        </is>
      </c>
      <c r="N1027" s="43" t="inlineStr"/>
      <c r="O1027" s="43" t="inlineStr">
        <is>
          <t>2026-04-29</t>
        </is>
      </c>
      <c r="P1027" s="33" t="inlineStr">
        <is>
          <t>For temporary Manufacturing process change</t>
        </is>
      </c>
      <c r="Q1027" s="43" t="inlineStr">
        <is>
          <t>Place the deviation label on the top side on the PCBA and outside the chassis</t>
        </is>
      </c>
      <c r="R1027" s="43" t="inlineStr">
        <is>
          <t>2026-01-29</t>
        </is>
      </c>
      <c r="S1027" s="43" t="inlineStr">
        <is>
          <t>2026-02-20</t>
        </is>
      </c>
      <c r="T1027" s="43" t="inlineStr"/>
      <c r="U1027" s="43" t="inlineStr"/>
    </row>
    <row r="1028">
      <c r="A1028" s="43" t="n">
        <v>1028</v>
      </c>
      <c r="B1028" s="43" t="inlineStr">
        <is>
          <t>1027</t>
        </is>
      </c>
      <c r="C1028" s="43" t="inlineStr">
        <is>
          <t>FJZP</t>
        </is>
      </c>
      <c r="D1028" s="43" t="inlineStr">
        <is>
          <t>Cisco</t>
        </is>
      </c>
      <c r="E1028" s="43" t="inlineStr">
        <is>
          <t>MCGA</t>
        </is>
      </c>
      <c r="F1028" s="43" t="inlineStr">
        <is>
          <t>037-STBU</t>
        </is>
      </c>
      <c r="G1028" s="43" t="inlineStr">
        <is>
          <t>CTANJZ05090</t>
        </is>
      </c>
      <c r="H1028" s="43" t="inlineStr">
        <is>
          <t>For temporary Manufacturing process change</t>
        </is>
      </c>
      <c r="I1028" s="43" t="inlineStr">
        <is>
          <t>Customer Deviation</t>
        </is>
      </c>
      <c r="J1028" s="43" t="inlineStr">
        <is>
          <t>D608351</t>
        </is>
      </c>
      <c r="K1028" s="33" t="inlineStr">
        <is>
          <t>D608351 Please see PageThree for details</t>
        </is>
      </c>
      <c r="L1028" s="43" t="inlineStr">
        <is>
          <t>Expired</t>
        </is>
      </c>
      <c r="M1028" s="43" t="inlineStr">
        <is>
          <t>73-18490-09</t>
        </is>
      </c>
      <c r="N1028" s="43" t="inlineStr"/>
      <c r="O1028" s="43" t="inlineStr">
        <is>
          <t>2026-04-29</t>
        </is>
      </c>
      <c r="P1028" s="33" t="inlineStr">
        <is>
          <t>For temporary Manufacturing process change</t>
        </is>
      </c>
      <c r="Q1028" s="43" t="inlineStr">
        <is>
          <t>Place the deviation label on the top side on the PCBA and outside the chassis</t>
        </is>
      </c>
      <c r="R1028" s="43" t="inlineStr">
        <is>
          <t>2026-01-29</t>
        </is>
      </c>
      <c r="S1028" s="43" t="inlineStr">
        <is>
          <t>2026-02-20</t>
        </is>
      </c>
      <c r="T1028" s="43" t="inlineStr"/>
      <c r="U1028" s="43" t="inlineStr"/>
    </row>
    <row r="1029">
      <c r="A1029" s="43" t="n">
        <v>1029</v>
      </c>
      <c r="B1029" s="43" t="inlineStr">
        <is>
          <t>1028</t>
        </is>
      </c>
      <c r="C1029" s="43" t="inlineStr">
        <is>
          <t>FJZP</t>
        </is>
      </c>
      <c r="D1029" s="43" t="inlineStr">
        <is>
          <t>Cisco</t>
        </is>
      </c>
      <c r="E1029" s="43" t="inlineStr">
        <is>
          <t>MCGA</t>
        </is>
      </c>
      <c r="F1029" s="43" t="inlineStr">
        <is>
          <t>037-STBU</t>
        </is>
      </c>
      <c r="G1029" s="43" t="inlineStr">
        <is>
          <t>CTANJZ05090</t>
        </is>
      </c>
      <c r="H1029" s="43" t="inlineStr">
        <is>
          <t>For temporary Manufacturing process change</t>
        </is>
      </c>
      <c r="I1029" s="43" t="inlineStr">
        <is>
          <t>Customer Deviation</t>
        </is>
      </c>
      <c r="J1029" s="43" t="inlineStr">
        <is>
          <t>D608351</t>
        </is>
      </c>
      <c r="K1029" s="33" t="inlineStr">
        <is>
          <t>D608351 Please see PageThree for details</t>
        </is>
      </c>
      <c r="L1029" s="43" t="inlineStr">
        <is>
          <t>Expired</t>
        </is>
      </c>
      <c r="M1029" s="43" t="inlineStr">
        <is>
          <t>73-21007-02</t>
        </is>
      </c>
      <c r="N1029" s="43" t="inlineStr"/>
      <c r="O1029" s="43" t="inlineStr">
        <is>
          <t>2026-04-29</t>
        </is>
      </c>
      <c r="P1029" s="33" t="inlineStr">
        <is>
          <t>For temporary Manufacturing process change</t>
        </is>
      </c>
      <c r="Q1029" s="43" t="inlineStr">
        <is>
          <t>Place the deviation label on the top side on the PCBA and outside the chassis</t>
        </is>
      </c>
      <c r="R1029" s="43" t="inlineStr">
        <is>
          <t>2026-01-29</t>
        </is>
      </c>
      <c r="S1029" s="43" t="inlineStr">
        <is>
          <t>2026-02-20</t>
        </is>
      </c>
      <c r="T1029" s="43" t="inlineStr"/>
      <c r="U1029" s="43" t="inlineStr"/>
    </row>
    <row r="1030">
      <c r="A1030" s="43" t="n">
        <v>1030</v>
      </c>
      <c r="B1030" s="43" t="inlineStr">
        <is>
          <t>1029</t>
        </is>
      </c>
      <c r="C1030" s="43" t="inlineStr">
        <is>
          <t>FJZP</t>
        </is>
      </c>
      <c r="D1030" s="43" t="inlineStr">
        <is>
          <t>Cisco</t>
        </is>
      </c>
      <c r="E1030" s="43" t="inlineStr">
        <is>
          <t>MCGA</t>
        </is>
      </c>
      <c r="F1030" s="43" t="inlineStr">
        <is>
          <t>037-STBU</t>
        </is>
      </c>
      <c r="G1030" s="43" t="inlineStr">
        <is>
          <t>CTANJZ05090</t>
        </is>
      </c>
      <c r="H1030" s="43" t="inlineStr">
        <is>
          <t>For temporary Manufacturing process change</t>
        </is>
      </c>
      <c r="I1030" s="43" t="inlineStr">
        <is>
          <t>Customer Deviation</t>
        </is>
      </c>
      <c r="J1030" s="43" t="inlineStr">
        <is>
          <t>D608351</t>
        </is>
      </c>
      <c r="K1030" s="33" t="inlineStr">
        <is>
          <t>D608351 Please see PageThree for details</t>
        </is>
      </c>
      <c r="L1030" s="43" t="inlineStr">
        <is>
          <t>Expired</t>
        </is>
      </c>
      <c r="M1030" s="43" t="inlineStr">
        <is>
          <t>800-104476-07</t>
        </is>
      </c>
      <c r="N1030" s="43" t="inlineStr"/>
      <c r="O1030" s="43" t="inlineStr">
        <is>
          <t>2026-04-29</t>
        </is>
      </c>
      <c r="P1030" s="33" t="inlineStr">
        <is>
          <t>For temporary Manufacturing process change</t>
        </is>
      </c>
      <c r="Q1030" s="43" t="inlineStr">
        <is>
          <t>Place the deviation label on the top side on the PCBA and outside the chassis</t>
        </is>
      </c>
      <c r="R1030" s="43" t="inlineStr">
        <is>
          <t>2026-01-29</t>
        </is>
      </c>
      <c r="S1030" s="43" t="inlineStr">
        <is>
          <t>2026-02-20</t>
        </is>
      </c>
      <c r="T1030" s="43" t="inlineStr"/>
      <c r="U1030" s="43" t="inlineStr"/>
    </row>
    <row r="1031">
      <c r="A1031" s="43" t="n">
        <v>1031</v>
      </c>
      <c r="B1031" s="43" t="inlineStr">
        <is>
          <t>1030</t>
        </is>
      </c>
      <c r="C1031" s="43" t="inlineStr">
        <is>
          <t>FJZP</t>
        </is>
      </c>
      <c r="D1031" s="43" t="inlineStr">
        <is>
          <t>Cisco</t>
        </is>
      </c>
      <c r="E1031" s="43" t="inlineStr">
        <is>
          <t>MCGA</t>
        </is>
      </c>
      <c r="F1031" s="43" t="inlineStr">
        <is>
          <t>037-STBU</t>
        </is>
      </c>
      <c r="G1031" s="43" t="inlineStr">
        <is>
          <t>CTANJZ05090</t>
        </is>
      </c>
      <c r="H1031" s="43" t="inlineStr">
        <is>
          <t>For temporary Manufacturing process change</t>
        </is>
      </c>
      <c r="I1031" s="43" t="inlineStr">
        <is>
          <t>Customer Deviation</t>
        </is>
      </c>
      <c r="J1031" s="43" t="inlineStr">
        <is>
          <t>D608351</t>
        </is>
      </c>
      <c r="K1031" s="33" t="inlineStr">
        <is>
          <t>D608351 Please see PageThree for details</t>
        </is>
      </c>
      <c r="L1031" s="43" t="inlineStr">
        <is>
          <t>Expired</t>
        </is>
      </c>
      <c r="M1031" s="43" t="inlineStr">
        <is>
          <t>800-104788-03</t>
        </is>
      </c>
      <c r="N1031" s="43" t="inlineStr"/>
      <c r="O1031" s="43" t="inlineStr">
        <is>
          <t>2026-04-29</t>
        </is>
      </c>
      <c r="P1031" s="33" t="inlineStr">
        <is>
          <t>For temporary Manufacturing process change</t>
        </is>
      </c>
      <c r="Q1031" s="43" t="inlineStr">
        <is>
          <t>Place the deviation label on the top side on the PCBA and outside the chassis</t>
        </is>
      </c>
      <c r="R1031" s="43" t="inlineStr">
        <is>
          <t>2026-01-29</t>
        </is>
      </c>
      <c r="S1031" s="43" t="inlineStr">
        <is>
          <t>2026-02-20</t>
        </is>
      </c>
      <c r="T1031" s="43" t="inlineStr"/>
      <c r="U1031" s="43" t="inlineStr"/>
    </row>
    <row r="1032">
      <c r="A1032" s="43" t="n">
        <v>1032</v>
      </c>
      <c r="B1032" s="43" t="inlineStr">
        <is>
          <t>1031</t>
        </is>
      </c>
      <c r="C1032" s="43" t="inlineStr">
        <is>
          <t>FJZP</t>
        </is>
      </c>
      <c r="D1032" s="43" t="inlineStr">
        <is>
          <t>Cisco</t>
        </is>
      </c>
      <c r="E1032" s="43" t="inlineStr">
        <is>
          <t>MCGA</t>
        </is>
      </c>
      <c r="F1032" s="43" t="inlineStr">
        <is>
          <t>037-STBU</t>
        </is>
      </c>
      <c r="G1032" s="43" t="inlineStr">
        <is>
          <t>CTANJZ05090</t>
        </is>
      </c>
      <c r="H1032" s="43" t="inlineStr">
        <is>
          <t>For temporary Manufacturing process change</t>
        </is>
      </c>
      <c r="I1032" s="43" t="inlineStr">
        <is>
          <t>Customer Deviation</t>
        </is>
      </c>
      <c r="J1032" s="43" t="inlineStr">
        <is>
          <t>D608351</t>
        </is>
      </c>
      <c r="K1032" s="33" t="inlineStr">
        <is>
          <t>D608351 Please see PageThree for details</t>
        </is>
      </c>
      <c r="L1032" s="43" t="inlineStr">
        <is>
          <t>Expired</t>
        </is>
      </c>
      <c r="M1032" s="43" t="inlineStr">
        <is>
          <t>800-104789-03</t>
        </is>
      </c>
      <c r="N1032" s="43" t="inlineStr"/>
      <c r="O1032" s="43" t="inlineStr">
        <is>
          <t>2026-04-29</t>
        </is>
      </c>
      <c r="P1032" s="33" t="inlineStr">
        <is>
          <t>For temporary Manufacturing process change</t>
        </is>
      </c>
      <c r="Q1032" s="43" t="inlineStr">
        <is>
          <t>Place the deviation label on the top side on the PCBA and outside the chassis</t>
        </is>
      </c>
      <c r="R1032" s="43" t="inlineStr">
        <is>
          <t>2026-01-29</t>
        </is>
      </c>
      <c r="S1032" s="43" t="inlineStr">
        <is>
          <t>2026-02-20</t>
        </is>
      </c>
      <c r="T1032" s="43" t="inlineStr"/>
      <c r="U1032" s="43" t="inlineStr"/>
    </row>
    <row r="1033">
      <c r="A1033" s="43" t="n">
        <v>1033</v>
      </c>
      <c r="B1033" s="43" t="inlineStr">
        <is>
          <t>1032</t>
        </is>
      </c>
      <c r="C1033" s="43" t="inlineStr">
        <is>
          <t>FJZP</t>
        </is>
      </c>
      <c r="D1033" s="43" t="inlineStr">
        <is>
          <t>Cisco</t>
        </is>
      </c>
      <c r="E1033" s="43" t="inlineStr">
        <is>
          <t>MCGA</t>
        </is>
      </c>
      <c r="F1033" s="43" t="inlineStr">
        <is>
          <t>037-STBU</t>
        </is>
      </c>
      <c r="G1033" s="43" t="inlineStr">
        <is>
          <t>CTANJZ05090</t>
        </is>
      </c>
      <c r="H1033" s="43" t="inlineStr">
        <is>
          <t>For temporary Manufacturing process change</t>
        </is>
      </c>
      <c r="I1033" s="43" t="inlineStr">
        <is>
          <t>Customer Deviation</t>
        </is>
      </c>
      <c r="J1033" s="43" t="inlineStr">
        <is>
          <t>D608351</t>
        </is>
      </c>
      <c r="K1033" s="33" t="inlineStr">
        <is>
          <t>D608351 Please see PageThree for details</t>
        </is>
      </c>
      <c r="L1033" s="43" t="inlineStr">
        <is>
          <t>Expired</t>
        </is>
      </c>
      <c r="M1033" s="43" t="inlineStr">
        <is>
          <t>800-106375-02</t>
        </is>
      </c>
      <c r="N1033" s="43" t="inlineStr"/>
      <c r="O1033" s="43" t="inlineStr">
        <is>
          <t>2026-04-29</t>
        </is>
      </c>
      <c r="P1033" s="33" t="inlineStr">
        <is>
          <t>For temporary Manufacturing process change</t>
        </is>
      </c>
      <c r="Q1033" s="43" t="inlineStr">
        <is>
          <t>Place the deviation label on the top side on the PCBA and outside the chassis</t>
        </is>
      </c>
      <c r="R1033" s="43" t="inlineStr">
        <is>
          <t>2026-01-29</t>
        </is>
      </c>
      <c r="S1033" s="43" t="inlineStr">
        <is>
          <t>2026-02-20</t>
        </is>
      </c>
      <c r="T1033" s="43" t="inlineStr"/>
      <c r="U1033" s="43" t="inlineStr"/>
    </row>
    <row r="1034">
      <c r="A1034" s="43" t="n">
        <v>1034</v>
      </c>
      <c r="B1034" s="43" t="inlineStr">
        <is>
          <t>1033</t>
        </is>
      </c>
      <c r="C1034" s="43" t="inlineStr">
        <is>
          <t>FJZP</t>
        </is>
      </c>
      <c r="D1034" s="43" t="inlineStr">
        <is>
          <t>Cisco</t>
        </is>
      </c>
      <c r="E1034" s="43" t="inlineStr">
        <is>
          <t>MCGA</t>
        </is>
      </c>
      <c r="F1034" s="43" t="inlineStr">
        <is>
          <t>034-IOTBU</t>
        </is>
      </c>
      <c r="G1034" s="43" t="inlineStr">
        <is>
          <t>CTANJZ05026</t>
        </is>
      </c>
      <c r="H1034" s="43" t="inlineStr">
        <is>
          <t>For temporary Manufacturing process change</t>
        </is>
      </c>
      <c r="I1034" s="43" t="inlineStr">
        <is>
          <t>Customer Deviation</t>
        </is>
      </c>
      <c r="J1034" s="43" t="inlineStr">
        <is>
          <t>D608324</t>
        </is>
      </c>
      <c r="K1034" s="33" t="inlineStr">
        <is>
          <t>D608324 Please see PageThree for details</t>
        </is>
      </c>
      <c r="L1034" s="43" t="inlineStr">
        <is>
          <t>Expired</t>
        </is>
      </c>
      <c r="M1034" s="43" t="inlineStr">
        <is>
          <t>16-101333-01</t>
        </is>
      </c>
      <c r="N1034" s="43" t="inlineStr"/>
      <c r="O1034" s="43" t="inlineStr">
        <is>
          <t>2026-03-11</t>
        </is>
      </c>
      <c r="P1034" s="33" t="inlineStr">
        <is>
          <t>For temporary Manufacturing process change</t>
        </is>
      </c>
      <c r="Q1034" s="43" t="inlineStr">
        <is>
          <t>Add / Place a Label exhibiting this Deviation onto the TANs affected.</t>
        </is>
      </c>
      <c r="R1034" s="43" t="inlineStr">
        <is>
          <t>2025-12-11</t>
        </is>
      </c>
      <c r="S1034" s="43" t="inlineStr">
        <is>
          <t>2026-01-14</t>
        </is>
      </c>
      <c r="T1034" s="43" t="inlineStr"/>
      <c r="U1034" s="43" t="inlineStr"/>
    </row>
    <row r="1035">
      <c r="A1035" s="43" t="n">
        <v>1035</v>
      </c>
      <c r="B1035" s="43" t="inlineStr">
        <is>
          <t>1034</t>
        </is>
      </c>
      <c r="C1035" s="43" t="inlineStr">
        <is>
          <t>FJZP</t>
        </is>
      </c>
      <c r="D1035" s="43" t="inlineStr">
        <is>
          <t>Cisco</t>
        </is>
      </c>
      <c r="E1035" s="43" t="inlineStr">
        <is>
          <t>MCGA</t>
        </is>
      </c>
      <c r="F1035" s="43" t="inlineStr">
        <is>
          <t>034-IOTBU</t>
        </is>
      </c>
      <c r="G1035" s="43" t="inlineStr">
        <is>
          <t>CTANJZ05026</t>
        </is>
      </c>
      <c r="H1035" s="43" t="inlineStr">
        <is>
          <t>For temporary Manufacturing process change</t>
        </is>
      </c>
      <c r="I1035" s="43" t="inlineStr">
        <is>
          <t>Customer Deviation</t>
        </is>
      </c>
      <c r="J1035" s="43" t="inlineStr">
        <is>
          <t>D608324</t>
        </is>
      </c>
      <c r="K1035" s="33" t="inlineStr">
        <is>
          <t>D608324 Please see PageThree for details</t>
        </is>
      </c>
      <c r="L1035" s="43" t="inlineStr">
        <is>
          <t>Expired</t>
        </is>
      </c>
      <c r="M1035" s="43" t="inlineStr">
        <is>
          <t>16-101387-01</t>
        </is>
      </c>
      <c r="N1035" s="43" t="inlineStr"/>
      <c r="O1035" s="43" t="inlineStr">
        <is>
          <t>2026-03-11</t>
        </is>
      </c>
      <c r="P1035" s="33" t="inlineStr">
        <is>
          <t>For temporary Manufacturing process change</t>
        </is>
      </c>
      <c r="Q1035" s="43" t="inlineStr">
        <is>
          <t>Add / Place a Label exhibiting this Deviation onto the TANs affected.</t>
        </is>
      </c>
      <c r="R1035" s="43" t="inlineStr">
        <is>
          <t>2025-12-11</t>
        </is>
      </c>
      <c r="S1035" s="43" t="inlineStr">
        <is>
          <t>2026-01-14</t>
        </is>
      </c>
      <c r="T1035" s="43" t="inlineStr"/>
      <c r="U1035" s="43" t="inlineStr"/>
    </row>
    <row r="1036">
      <c r="A1036" s="43" t="n">
        <v>1036</v>
      </c>
      <c r="B1036" s="43" t="inlineStr">
        <is>
          <t>1035</t>
        </is>
      </c>
      <c r="C1036" s="43" t="inlineStr">
        <is>
          <t>FJZP</t>
        </is>
      </c>
      <c r="D1036" s="43" t="inlineStr">
        <is>
          <t>Cisco</t>
        </is>
      </c>
      <c r="E1036" s="43" t="inlineStr">
        <is>
          <t>MCGA</t>
        </is>
      </c>
      <c r="F1036" s="43" t="inlineStr">
        <is>
          <t>034-IOTBU</t>
        </is>
      </c>
      <c r="G1036" s="43" t="inlineStr">
        <is>
          <t>CTANJZ05026</t>
        </is>
      </c>
      <c r="H1036" s="43" t="inlineStr">
        <is>
          <t>For temporary Manufacturing process change</t>
        </is>
      </c>
      <c r="I1036" s="43" t="inlineStr">
        <is>
          <t>Customer Deviation</t>
        </is>
      </c>
      <c r="J1036" s="43" t="inlineStr">
        <is>
          <t>D608324</t>
        </is>
      </c>
      <c r="K1036" s="33" t="inlineStr">
        <is>
          <t>D608324 Please see PageThree for details</t>
        </is>
      </c>
      <c r="L1036" s="43" t="inlineStr">
        <is>
          <t>Expired</t>
        </is>
      </c>
      <c r="M1036" s="43" t="inlineStr">
        <is>
          <t>16-101666-01</t>
        </is>
      </c>
      <c r="N1036" s="43" t="inlineStr"/>
      <c r="O1036" s="43" t="inlineStr">
        <is>
          <t>2026-03-11</t>
        </is>
      </c>
      <c r="P1036" s="33" t="inlineStr">
        <is>
          <t>For temporary Manufacturing process change</t>
        </is>
      </c>
      <c r="Q1036" s="43" t="inlineStr">
        <is>
          <t>Add / Place a Label exhibiting this Deviation onto the TANs affected.</t>
        </is>
      </c>
      <c r="R1036" s="43" t="inlineStr">
        <is>
          <t>2025-12-11</t>
        </is>
      </c>
      <c r="S1036" s="43" t="inlineStr">
        <is>
          <t>2026-01-14</t>
        </is>
      </c>
      <c r="T1036" s="43" t="inlineStr"/>
      <c r="U1036" s="43" t="inlineStr"/>
    </row>
    <row r="1037">
      <c r="A1037" s="43" t="n">
        <v>1037</v>
      </c>
      <c r="B1037" s="43" t="inlineStr">
        <is>
          <t>1036</t>
        </is>
      </c>
      <c r="C1037" s="43" t="inlineStr">
        <is>
          <t>FJZP</t>
        </is>
      </c>
      <c r="D1037" s="43" t="inlineStr">
        <is>
          <t>Cisco</t>
        </is>
      </c>
      <c r="E1037" s="43" t="inlineStr">
        <is>
          <t>MCGA</t>
        </is>
      </c>
      <c r="F1037" s="43" t="inlineStr">
        <is>
          <t>034-IOTBU</t>
        </is>
      </c>
      <c r="G1037" s="43" t="inlineStr">
        <is>
          <t>CTANJZ05026</t>
        </is>
      </c>
      <c r="H1037" s="43" t="inlineStr">
        <is>
          <t>For temporary Manufacturing process change</t>
        </is>
      </c>
      <c r="I1037" s="43" t="inlineStr">
        <is>
          <t>Customer Deviation</t>
        </is>
      </c>
      <c r="J1037" s="43" t="inlineStr">
        <is>
          <t>D608324</t>
        </is>
      </c>
      <c r="K1037" s="33" t="inlineStr">
        <is>
          <t>D608324 Please see PageThree for details</t>
        </is>
      </c>
      <c r="L1037" s="43" t="inlineStr">
        <is>
          <t>Expired</t>
        </is>
      </c>
      <c r="M1037" s="43" t="inlineStr">
        <is>
          <t>68-101690-01</t>
        </is>
      </c>
      <c r="N1037" s="43" t="inlineStr"/>
      <c r="O1037" s="43" t="inlineStr">
        <is>
          <t>2026-03-11</t>
        </is>
      </c>
      <c r="P1037" s="33" t="inlineStr">
        <is>
          <t>For temporary Manufacturing process change</t>
        </is>
      </c>
      <c r="Q1037" s="43" t="inlineStr">
        <is>
          <t>Add / Place a Label exhibiting this Deviation onto the TANs affected.</t>
        </is>
      </c>
      <c r="R1037" s="43" t="inlineStr">
        <is>
          <t>2025-12-11</t>
        </is>
      </c>
      <c r="S1037" s="43" t="inlineStr">
        <is>
          <t>2026-01-14</t>
        </is>
      </c>
      <c r="T1037" s="43" t="inlineStr"/>
      <c r="U1037" s="43" t="inlineStr"/>
    </row>
    <row r="1038">
      <c r="A1038" s="43" t="n">
        <v>1038</v>
      </c>
      <c r="B1038" s="43" t="inlineStr">
        <is>
          <t>1037</t>
        </is>
      </c>
      <c r="C1038" s="43" t="inlineStr">
        <is>
          <t>FJZP</t>
        </is>
      </c>
      <c r="D1038" s="43" t="inlineStr">
        <is>
          <t>Cisco</t>
        </is>
      </c>
      <c r="E1038" s="43" t="inlineStr">
        <is>
          <t>MCGA</t>
        </is>
      </c>
      <c r="F1038" s="43" t="inlineStr">
        <is>
          <t>034-IOTBU</t>
        </is>
      </c>
      <c r="G1038" s="43" t="inlineStr">
        <is>
          <t>CTANJZ05026</t>
        </is>
      </c>
      <c r="H1038" s="43" t="inlineStr">
        <is>
          <t>For temporary Manufacturing process change</t>
        </is>
      </c>
      <c r="I1038" s="43" t="inlineStr">
        <is>
          <t>Customer Deviation</t>
        </is>
      </c>
      <c r="J1038" s="43" t="inlineStr">
        <is>
          <t>D608324</t>
        </is>
      </c>
      <c r="K1038" s="33" t="inlineStr">
        <is>
          <t>D608324 Please see PageThree for details</t>
        </is>
      </c>
      <c r="L1038" s="43" t="inlineStr">
        <is>
          <t>Expired</t>
        </is>
      </c>
      <c r="M1038" s="43" t="inlineStr">
        <is>
          <t>68-101828-01</t>
        </is>
      </c>
      <c r="N1038" s="43" t="inlineStr"/>
      <c r="O1038" s="43" t="inlineStr">
        <is>
          <t>2026-03-11</t>
        </is>
      </c>
      <c r="P1038" s="33" t="inlineStr">
        <is>
          <t>For temporary Manufacturing process change</t>
        </is>
      </c>
      <c r="Q1038" s="43" t="inlineStr">
        <is>
          <t>Add / Place a Label exhibiting this Deviation onto the TANs affected.</t>
        </is>
      </c>
      <c r="R1038" s="43" t="inlineStr">
        <is>
          <t>2025-12-11</t>
        </is>
      </c>
      <c r="S1038" s="43" t="inlineStr">
        <is>
          <t>2026-01-14</t>
        </is>
      </c>
      <c r="T1038" s="43" t="inlineStr"/>
      <c r="U1038" s="43" t="inlineStr"/>
    </row>
    <row r="1039">
      <c r="A1039" s="43" t="n">
        <v>1039</v>
      </c>
      <c r="B1039" s="43" t="inlineStr">
        <is>
          <t>1038</t>
        </is>
      </c>
      <c r="C1039" s="43" t="inlineStr">
        <is>
          <t>FJZP</t>
        </is>
      </c>
      <c r="D1039" s="43" t="inlineStr">
        <is>
          <t>Cisco</t>
        </is>
      </c>
      <c r="E1039" s="43" t="inlineStr">
        <is>
          <t>MCGA</t>
        </is>
      </c>
      <c r="F1039" s="43" t="inlineStr">
        <is>
          <t>034-IOTBU</t>
        </is>
      </c>
      <c r="G1039" s="43" t="inlineStr">
        <is>
          <t>CTANJZ05026</t>
        </is>
      </c>
      <c r="H1039" s="43" t="inlineStr">
        <is>
          <t>For temporary Manufacturing process change</t>
        </is>
      </c>
      <c r="I1039" s="43" t="inlineStr">
        <is>
          <t>Customer Deviation</t>
        </is>
      </c>
      <c r="J1039" s="43" t="inlineStr">
        <is>
          <t>D608324</t>
        </is>
      </c>
      <c r="K1039" s="33" t="inlineStr">
        <is>
          <t>D608324 Please see PageThree for details</t>
        </is>
      </c>
      <c r="L1039" s="43" t="inlineStr">
        <is>
          <t>Expired</t>
        </is>
      </c>
      <c r="M1039" s="43" t="inlineStr">
        <is>
          <t>68-102729-01</t>
        </is>
      </c>
      <c r="N1039" s="43" t="inlineStr"/>
      <c r="O1039" s="43" t="inlineStr">
        <is>
          <t>2026-03-11</t>
        </is>
      </c>
      <c r="P1039" s="33" t="inlineStr">
        <is>
          <t>For temporary Manufacturing process change</t>
        </is>
      </c>
      <c r="Q1039" s="43" t="inlineStr">
        <is>
          <t>Add / Place a Label exhibiting this Deviation onto the TANs affected.</t>
        </is>
      </c>
      <c r="R1039" s="43" t="inlineStr">
        <is>
          <t>2025-12-11</t>
        </is>
      </c>
      <c r="S1039" s="43" t="inlineStr">
        <is>
          <t>2026-01-14</t>
        </is>
      </c>
      <c r="T1039" s="43" t="inlineStr"/>
      <c r="U1039" s="43" t="inlineStr"/>
    </row>
    <row r="1040">
      <c r="A1040" s="43" t="n">
        <v>1040</v>
      </c>
      <c r="B1040" s="43" t="inlineStr">
        <is>
          <t>1039</t>
        </is>
      </c>
      <c r="C1040" s="43" t="inlineStr">
        <is>
          <t>FJZP</t>
        </is>
      </c>
      <c r="D1040" s="43" t="inlineStr">
        <is>
          <t>Cisco</t>
        </is>
      </c>
      <c r="E1040" s="43" t="inlineStr">
        <is>
          <t>MCGA</t>
        </is>
      </c>
      <c r="F1040" s="43" t="inlineStr">
        <is>
          <t>034-IOTBU</t>
        </is>
      </c>
      <c r="G1040" s="43" t="inlineStr">
        <is>
          <t>CTANJZ05026</t>
        </is>
      </c>
      <c r="H1040" s="43" t="inlineStr">
        <is>
          <t>For temporary Manufacturing process change</t>
        </is>
      </c>
      <c r="I1040" s="43" t="inlineStr">
        <is>
          <t>Customer Deviation</t>
        </is>
      </c>
      <c r="J1040" s="43" t="inlineStr">
        <is>
          <t>D608324</t>
        </is>
      </c>
      <c r="K1040" s="33" t="inlineStr">
        <is>
          <t>D608324 Please see PageThree for details</t>
        </is>
      </c>
      <c r="L1040" s="43" t="inlineStr">
        <is>
          <t>Expired</t>
        </is>
      </c>
      <c r="M1040" s="43" t="inlineStr">
        <is>
          <t>68-102730-01</t>
        </is>
      </c>
      <c r="N1040" s="43" t="inlineStr"/>
      <c r="O1040" s="43" t="inlineStr">
        <is>
          <t>2026-03-11</t>
        </is>
      </c>
      <c r="P1040" s="33" t="inlineStr">
        <is>
          <t>For temporary Manufacturing process change</t>
        </is>
      </c>
      <c r="Q1040" s="43" t="inlineStr">
        <is>
          <t>Add / Place a Label exhibiting this Deviation onto the TANs affected.</t>
        </is>
      </c>
      <c r="R1040" s="43" t="inlineStr">
        <is>
          <t>2025-12-11</t>
        </is>
      </c>
      <c r="S1040" s="43" t="inlineStr">
        <is>
          <t>2026-01-14</t>
        </is>
      </c>
      <c r="T1040" s="43" t="inlineStr"/>
      <c r="U1040" s="43" t="inlineStr"/>
    </row>
    <row r="1041">
      <c r="A1041" s="43" t="n">
        <v>1041</v>
      </c>
      <c r="B1041" s="43" t="inlineStr">
        <is>
          <t>1040</t>
        </is>
      </c>
      <c r="C1041" s="43" t="inlineStr">
        <is>
          <t>FJZP</t>
        </is>
      </c>
      <c r="D1041" s="43" t="inlineStr">
        <is>
          <t>Cisco</t>
        </is>
      </c>
      <c r="E1041" s="43" t="inlineStr">
        <is>
          <t>MCGA</t>
        </is>
      </c>
      <c r="F1041" s="43" t="inlineStr">
        <is>
          <t>034-IOTBU</t>
        </is>
      </c>
      <c r="G1041" s="43" t="inlineStr">
        <is>
          <t>CTANJZ05026</t>
        </is>
      </c>
      <c r="H1041" s="43" t="inlineStr">
        <is>
          <t>For temporary Manufacturing process change</t>
        </is>
      </c>
      <c r="I1041" s="43" t="inlineStr">
        <is>
          <t>Customer Deviation</t>
        </is>
      </c>
      <c r="J1041" s="43" t="inlineStr">
        <is>
          <t>D608324</t>
        </is>
      </c>
      <c r="K1041" s="33" t="inlineStr">
        <is>
          <t>D608324 Please see PageThree for details</t>
        </is>
      </c>
      <c r="L1041" s="43" t="inlineStr">
        <is>
          <t>Expired</t>
        </is>
      </c>
      <c r="M1041" s="43" t="inlineStr">
        <is>
          <t>68-104004-01</t>
        </is>
      </c>
      <c r="N1041" s="43" t="inlineStr"/>
      <c r="O1041" s="43" t="inlineStr">
        <is>
          <t>2026-03-11</t>
        </is>
      </c>
      <c r="P1041" s="33" t="inlineStr">
        <is>
          <t>For temporary Manufacturing process change</t>
        </is>
      </c>
      <c r="Q1041" s="43" t="inlineStr">
        <is>
          <t>Add / Place a Label exhibiting this Deviation onto the TANs affected.</t>
        </is>
      </c>
      <c r="R1041" s="43" t="inlineStr">
        <is>
          <t>2025-12-11</t>
        </is>
      </c>
      <c r="S1041" s="43" t="inlineStr">
        <is>
          <t>2026-01-14</t>
        </is>
      </c>
      <c r="T1041" s="43" t="inlineStr"/>
      <c r="U1041" s="43" t="inlineStr"/>
    </row>
    <row r="1042">
      <c r="A1042" s="43" t="n">
        <v>1042</v>
      </c>
      <c r="B1042" s="43" t="inlineStr">
        <is>
          <t>1041</t>
        </is>
      </c>
      <c r="C1042" s="43" t="inlineStr">
        <is>
          <t>FJZP</t>
        </is>
      </c>
      <c r="D1042" s="43" t="inlineStr">
        <is>
          <t>Cisco</t>
        </is>
      </c>
      <c r="E1042" s="43" t="inlineStr">
        <is>
          <t>MCGA</t>
        </is>
      </c>
      <c r="F1042" s="43" t="inlineStr">
        <is>
          <t>034-IOTBU</t>
        </is>
      </c>
      <c r="G1042" s="43" t="inlineStr">
        <is>
          <t>CTANJZ05026</t>
        </is>
      </c>
      <c r="H1042" s="43" t="inlineStr">
        <is>
          <t>For temporary Manufacturing process change</t>
        </is>
      </c>
      <c r="I1042" s="43" t="inlineStr">
        <is>
          <t>Customer Deviation</t>
        </is>
      </c>
      <c r="J1042" s="43" t="inlineStr">
        <is>
          <t>D608324</t>
        </is>
      </c>
      <c r="K1042" s="33" t="inlineStr">
        <is>
          <t>D608324 Please see PageThree for details</t>
        </is>
      </c>
      <c r="L1042" s="43" t="inlineStr">
        <is>
          <t>Expired</t>
        </is>
      </c>
      <c r="M1042" s="43" t="inlineStr">
        <is>
          <t>73-101439-04</t>
        </is>
      </c>
      <c r="N1042" s="43" t="inlineStr"/>
      <c r="O1042" s="43" t="inlineStr">
        <is>
          <t>2026-03-11</t>
        </is>
      </c>
      <c r="P1042" s="33" t="inlineStr">
        <is>
          <t>For temporary Manufacturing process change</t>
        </is>
      </c>
      <c r="Q1042" s="43" t="inlineStr">
        <is>
          <t>Add / Place a Label exhibiting this Deviation onto the TANs affected.</t>
        </is>
      </c>
      <c r="R1042" s="43" t="inlineStr">
        <is>
          <t>2025-12-11</t>
        </is>
      </c>
      <c r="S1042" s="43" t="inlineStr">
        <is>
          <t>2026-01-14</t>
        </is>
      </c>
      <c r="T1042" s="43" t="inlineStr"/>
      <c r="U1042" s="43" t="inlineStr"/>
    </row>
    <row r="1043">
      <c r="A1043" s="43" t="n">
        <v>1043</v>
      </c>
      <c r="B1043" s="43" t="inlineStr">
        <is>
          <t>1042</t>
        </is>
      </c>
      <c r="C1043" s="43" t="inlineStr">
        <is>
          <t>FJZP</t>
        </is>
      </c>
      <c r="D1043" s="43" t="inlineStr">
        <is>
          <t>Cisco</t>
        </is>
      </c>
      <c r="E1043" s="43" t="inlineStr">
        <is>
          <t>MCGA</t>
        </is>
      </c>
      <c r="F1043" s="43" t="inlineStr">
        <is>
          <t>034-IOTBU</t>
        </is>
      </c>
      <c r="G1043" s="43" t="inlineStr">
        <is>
          <t>CTANJZ05026</t>
        </is>
      </c>
      <c r="H1043" s="43" t="inlineStr">
        <is>
          <t>For temporary Manufacturing process change</t>
        </is>
      </c>
      <c r="I1043" s="43" t="inlineStr">
        <is>
          <t>Customer Deviation</t>
        </is>
      </c>
      <c r="J1043" s="43" t="inlineStr">
        <is>
          <t>D608324</t>
        </is>
      </c>
      <c r="K1043" s="33" t="inlineStr">
        <is>
          <t>D608324 Please see PageThree for details</t>
        </is>
      </c>
      <c r="L1043" s="43" t="inlineStr">
        <is>
          <t>Expired</t>
        </is>
      </c>
      <c r="M1043" s="43" t="inlineStr">
        <is>
          <t>73-102239-04</t>
        </is>
      </c>
      <c r="N1043" s="43" t="inlineStr"/>
      <c r="O1043" s="43" t="inlineStr">
        <is>
          <t>2026-03-11</t>
        </is>
      </c>
      <c r="P1043" s="33" t="inlineStr">
        <is>
          <t>For temporary Manufacturing process change</t>
        </is>
      </c>
      <c r="Q1043" s="43" t="inlineStr">
        <is>
          <t>Add / Place a Label exhibiting this Deviation onto the TANs affected.</t>
        </is>
      </c>
      <c r="R1043" s="43" t="inlineStr">
        <is>
          <t>2025-12-11</t>
        </is>
      </c>
      <c r="S1043" s="43" t="inlineStr">
        <is>
          <t>2026-01-14</t>
        </is>
      </c>
      <c r="T1043" s="43" t="inlineStr"/>
      <c r="U1043" s="43" t="inlineStr"/>
    </row>
    <row r="1044">
      <c r="A1044" s="43" t="n">
        <v>1044</v>
      </c>
      <c r="B1044" s="43" t="inlineStr">
        <is>
          <t>1043</t>
        </is>
      </c>
      <c r="C1044" s="43" t="inlineStr">
        <is>
          <t>FJZP</t>
        </is>
      </c>
      <c r="D1044" s="43" t="inlineStr">
        <is>
          <t>Cisco</t>
        </is>
      </c>
      <c r="E1044" s="43" t="inlineStr">
        <is>
          <t>MCGA</t>
        </is>
      </c>
      <c r="F1044" s="43" t="inlineStr">
        <is>
          <t>034-IOTBU</t>
        </is>
      </c>
      <c r="G1044" s="43" t="inlineStr">
        <is>
          <t>CTANJZ05026</t>
        </is>
      </c>
      <c r="H1044" s="43" t="inlineStr">
        <is>
          <t>For temporary Manufacturing process change</t>
        </is>
      </c>
      <c r="I1044" s="43" t="inlineStr">
        <is>
          <t>Customer Deviation</t>
        </is>
      </c>
      <c r="J1044" s="43" t="inlineStr">
        <is>
          <t>D608324</t>
        </is>
      </c>
      <c r="K1044" s="33" t="inlineStr">
        <is>
          <t>D608324 Please see PageThree for details</t>
        </is>
      </c>
      <c r="L1044" s="43" t="inlineStr">
        <is>
          <t>Expired</t>
        </is>
      </c>
      <c r="M1044" s="43" t="inlineStr">
        <is>
          <t>73-103098-03</t>
        </is>
      </c>
      <c r="N1044" s="43" t="inlineStr"/>
      <c r="O1044" s="43" t="inlineStr">
        <is>
          <t>2026-03-11</t>
        </is>
      </c>
      <c r="P1044" s="33" t="inlineStr">
        <is>
          <t>For temporary Manufacturing process change</t>
        </is>
      </c>
      <c r="Q1044" s="43" t="inlineStr">
        <is>
          <t>Add / Place a Label exhibiting this Deviation onto the TANs affected.</t>
        </is>
      </c>
      <c r="R1044" s="43" t="inlineStr">
        <is>
          <t>2025-12-11</t>
        </is>
      </c>
      <c r="S1044" s="43" t="inlineStr">
        <is>
          <t>2026-01-14</t>
        </is>
      </c>
      <c r="T1044" s="43" t="inlineStr"/>
      <c r="U1044" s="43" t="inlineStr"/>
    </row>
    <row r="1045">
      <c r="A1045" s="43" t="n">
        <v>1045</v>
      </c>
      <c r="B1045" s="43" t="inlineStr">
        <is>
          <t>1044</t>
        </is>
      </c>
      <c r="C1045" s="43" t="inlineStr">
        <is>
          <t>FJZP</t>
        </is>
      </c>
      <c r="D1045" s="43" t="inlineStr">
        <is>
          <t>Cisco</t>
        </is>
      </c>
      <c r="E1045" s="43" t="inlineStr">
        <is>
          <t>MCGA</t>
        </is>
      </c>
      <c r="F1045" s="43" t="inlineStr">
        <is>
          <t>018-SRGBU</t>
        </is>
      </c>
      <c r="G1045" s="43" t="inlineStr">
        <is>
          <t>CTANJZ05046</t>
        </is>
      </c>
      <c r="H1045" s="43" t="inlineStr">
        <is>
          <t>For temporary Manufacturing process change</t>
        </is>
      </c>
      <c r="I1045" s="43" t="inlineStr">
        <is>
          <t>Customer Deviation</t>
        </is>
      </c>
      <c r="J1045" s="43" t="inlineStr">
        <is>
          <t>D608209</t>
        </is>
      </c>
      <c r="K1045" s="33" t="inlineStr">
        <is>
          <t>D608209 SRGBU-ACE: All DFs are prohibited from shipping ACE units containing the old Date Code (D/C=&lt;2450) of TI CSD95485RWJ (15-106360-01); to Amazon customers.Serial Number (S/N) list of ACE units containing the old Date Code is attached to this deviation for reference.Note: Amazon customers define as GUID End-To = AMAZONCOM INC</t>
        </is>
      </c>
      <c r="L1045" s="43" t="inlineStr">
        <is>
          <t>Expired</t>
        </is>
      </c>
      <c r="M1045" s="43" t="inlineStr">
        <is>
          <t>68-7017-02</t>
        </is>
      </c>
      <c r="N1045" s="43" t="inlineStr"/>
      <c r="O1045" s="43" t="inlineStr">
        <is>
          <t>2026-03-20</t>
        </is>
      </c>
      <c r="P1045" s="33" t="inlineStr">
        <is>
          <t>For temporary Manufacturing process change</t>
        </is>
      </c>
      <c r="Q1045" s="43" t="inlineStr">
        <is>
          <t>N/A</t>
        </is>
      </c>
      <c r="R1045" s="43" t="inlineStr">
        <is>
          <t>2025-12-23</t>
        </is>
      </c>
      <c r="S1045" s="43" t="inlineStr">
        <is>
          <t>2026-01-17</t>
        </is>
      </c>
      <c r="T1045" s="43" t="inlineStr"/>
      <c r="U1045" s="43" t="inlineStr"/>
    </row>
    <row r="1046">
      <c r="A1046" s="43" t="n">
        <v>1046</v>
      </c>
      <c r="B1046" s="43" t="inlineStr">
        <is>
          <t>1045</t>
        </is>
      </c>
      <c r="C1046" s="43" t="inlineStr">
        <is>
          <t>FJZP</t>
        </is>
      </c>
      <c r="D1046" s="43" t="inlineStr">
        <is>
          <t>Cisco</t>
        </is>
      </c>
      <c r="E1046" s="43" t="inlineStr">
        <is>
          <t>MCGA</t>
        </is>
      </c>
      <c r="F1046" s="43" t="inlineStr">
        <is>
          <t>037-STBU</t>
        </is>
      </c>
      <c r="G1046" s="43" t="inlineStr">
        <is>
          <t>CTANJZ05050</t>
        </is>
      </c>
      <c r="H1046" s="43" t="inlineStr">
        <is>
          <t>For temporary Manufacturing process change</t>
        </is>
      </c>
      <c r="I1046" s="43" t="inlineStr">
        <is>
          <t>Customer Deviation</t>
        </is>
      </c>
      <c r="J1046" s="43" t="inlineStr">
        <is>
          <t>D608532</t>
        </is>
      </c>
      <c r="K1046" s="33" t="inlineStr">
        <is>
          <t>D608532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046" s="43" t="inlineStr">
        <is>
          <t>Expired</t>
        </is>
      </c>
      <c r="M1046" s="43" t="inlineStr">
        <is>
          <t>68-100282-13</t>
        </is>
      </c>
      <c r="N1046" s="43" t="inlineStr"/>
      <c r="O1046" s="43" t="inlineStr">
        <is>
          <t>2026-03-20</t>
        </is>
      </c>
      <c r="P1046" s="33" t="inlineStr">
        <is>
          <t>For temporary Manufacturing process change</t>
        </is>
      </c>
      <c r="Q1046" s="43" t="inlineStr">
        <is>
          <t>Add the deviation D605272 number on the chassis next to serial number label</t>
        </is>
      </c>
      <c r="R1046" s="43" t="inlineStr">
        <is>
          <t>2025-12-23</t>
        </is>
      </c>
      <c r="S1046" s="43" t="inlineStr">
        <is>
          <t>2026-01-27</t>
        </is>
      </c>
      <c r="T1046" s="43" t="inlineStr"/>
      <c r="U1046" s="43" t="inlineStr"/>
    </row>
    <row r="1047">
      <c r="A1047" s="43" t="n">
        <v>1047</v>
      </c>
      <c r="B1047" s="43" t="inlineStr">
        <is>
          <t>1046</t>
        </is>
      </c>
      <c r="C1047" s="43" t="inlineStr">
        <is>
          <t>FJZP</t>
        </is>
      </c>
      <c r="D1047" s="43" t="inlineStr">
        <is>
          <t>Cisco</t>
        </is>
      </c>
      <c r="E1047" s="43" t="inlineStr">
        <is>
          <t>MCGA</t>
        </is>
      </c>
      <c r="F1047" s="43" t="inlineStr">
        <is>
          <t>239-CRBU</t>
        </is>
      </c>
      <c r="G1047" s="43" t="inlineStr">
        <is>
          <t>CTANJZ05156</t>
        </is>
      </c>
      <c r="H1047" s="43" t="inlineStr">
        <is>
          <t>For temporary Manufacturing process change</t>
        </is>
      </c>
      <c r="I1047" s="43" t="inlineStr">
        <is>
          <t>Customer Deviation</t>
        </is>
      </c>
      <c r="J1047" s="43" t="inlineStr">
        <is>
          <t>D608513</t>
        </is>
      </c>
      <c r="K1047" s="33" t="inlineStr">
        <is>
          <t>D608513 Please see PageThree for details</t>
        </is>
      </c>
      <c r="L1047" s="43" t="inlineStr">
        <is>
          <t>Expired</t>
        </is>
      </c>
      <c r="M1047" s="43" t="inlineStr">
        <is>
          <t>68-7195-06</t>
        </is>
      </c>
      <c r="N1047" s="43" t="inlineStr"/>
      <c r="O1047" s="43" t="inlineStr">
        <is>
          <t>2026-06-16</t>
        </is>
      </c>
      <c r="P1047" s="33" t="inlineStr">
        <is>
          <t>For temporary Manufacturing process change</t>
        </is>
      </c>
      <c r="Q1047" s="43" t="inlineStr">
        <is>
          <t>place deviation label to the unit ;  program deviatoin number to the EEPROM</t>
        </is>
      </c>
      <c r="R1047" s="43" t="inlineStr">
        <is>
          <t>2026-03-19</t>
        </is>
      </c>
      <c r="S1047" s="43" t="inlineStr">
        <is>
          <t>2026-04-18</t>
        </is>
      </c>
      <c r="T1047" s="43" t="inlineStr"/>
      <c r="U1047" s="43" t="inlineStr"/>
    </row>
    <row r="1048">
      <c r="A1048" s="43" t="n">
        <v>1048</v>
      </c>
      <c r="B1048" s="43" t="inlineStr">
        <is>
          <t>1047</t>
        </is>
      </c>
      <c r="C1048" s="43" t="inlineStr">
        <is>
          <t>FJZP</t>
        </is>
      </c>
      <c r="D1048" s="43" t="inlineStr">
        <is>
          <t>Cisco</t>
        </is>
      </c>
      <c r="E1048" s="43" t="inlineStr">
        <is>
          <t>MCGA</t>
        </is>
      </c>
      <c r="F1048" s="43" t="inlineStr">
        <is>
          <t>239-CRBU</t>
        </is>
      </c>
      <c r="G1048" s="43" t="inlineStr">
        <is>
          <t>CTANJZ05156</t>
        </is>
      </c>
      <c r="H1048" s="43" t="inlineStr">
        <is>
          <t>For temporary Manufacturing process change</t>
        </is>
      </c>
      <c r="I1048" s="43" t="inlineStr">
        <is>
          <t>Customer Deviation</t>
        </is>
      </c>
      <c r="J1048" s="43" t="inlineStr">
        <is>
          <t>D608513</t>
        </is>
      </c>
      <c r="K1048" s="33" t="inlineStr">
        <is>
          <t>D608513 Please see PageThree for details</t>
        </is>
      </c>
      <c r="L1048" s="43" t="inlineStr">
        <is>
          <t>Expired</t>
        </is>
      </c>
      <c r="M1048" s="43" t="inlineStr">
        <is>
          <t>68-7195-07</t>
        </is>
      </c>
      <c r="N1048" s="43" t="inlineStr"/>
      <c r="O1048" s="43" t="inlineStr">
        <is>
          <t>2026-06-16</t>
        </is>
      </c>
      <c r="P1048" s="33" t="inlineStr">
        <is>
          <t>For temporary Manufacturing process change</t>
        </is>
      </c>
      <c r="Q1048" s="43" t="inlineStr">
        <is>
          <t>place deviation label to the unit ;  program deviatoin number to the EEPROM</t>
        </is>
      </c>
      <c r="R1048" s="43" t="inlineStr">
        <is>
          <t>2026-03-19</t>
        </is>
      </c>
      <c r="S1048" s="43" t="inlineStr">
        <is>
          <t>2026-04-18</t>
        </is>
      </c>
      <c r="T1048" s="43" t="inlineStr"/>
      <c r="U1048" s="43" t="inlineStr"/>
    </row>
    <row r="1049">
      <c r="A1049" s="43" t="n">
        <v>1049</v>
      </c>
      <c r="B1049" s="43" t="inlineStr">
        <is>
          <t>1048</t>
        </is>
      </c>
      <c r="C1049" s="43" t="inlineStr">
        <is>
          <t>FJZP</t>
        </is>
      </c>
      <c r="D1049" s="43" t="inlineStr">
        <is>
          <t>Cisco</t>
        </is>
      </c>
      <c r="E1049" s="43" t="inlineStr">
        <is>
          <t>MCGA</t>
        </is>
      </c>
      <c r="F1049" s="43" t="inlineStr">
        <is>
          <t>239-CRBU</t>
        </is>
      </c>
      <c r="G1049" s="43" t="inlineStr">
        <is>
          <t>CTANJZ05156</t>
        </is>
      </c>
      <c r="H1049" s="43" t="inlineStr">
        <is>
          <t>For temporary Manufacturing process change</t>
        </is>
      </c>
      <c r="I1049" s="43" t="inlineStr">
        <is>
          <t>Customer Deviation</t>
        </is>
      </c>
      <c r="J1049" s="43" t="inlineStr">
        <is>
          <t>D608513</t>
        </is>
      </c>
      <c r="K1049" s="33" t="inlineStr">
        <is>
          <t>D608513 Please see PageThree for details</t>
        </is>
      </c>
      <c r="L1049" s="43" t="inlineStr">
        <is>
          <t>Expired</t>
        </is>
      </c>
      <c r="M1049" s="43" t="inlineStr">
        <is>
          <t>68-7195-08</t>
        </is>
      </c>
      <c r="N1049" s="43" t="inlineStr"/>
      <c r="O1049" s="43" t="inlineStr">
        <is>
          <t>2026-06-16</t>
        </is>
      </c>
      <c r="P1049" s="33" t="inlineStr">
        <is>
          <t>For temporary Manufacturing process change</t>
        </is>
      </c>
      <c r="Q1049" s="43" t="inlineStr">
        <is>
          <t>place deviation label to the unit ;  program deviatoin number to the EEPROM</t>
        </is>
      </c>
      <c r="R1049" s="43" t="inlineStr">
        <is>
          <t>2026-03-19</t>
        </is>
      </c>
      <c r="S1049" s="43" t="inlineStr">
        <is>
          <t>2026-04-18</t>
        </is>
      </c>
      <c r="T1049" s="43" t="inlineStr"/>
      <c r="U1049" s="43" t="inlineStr"/>
    </row>
    <row r="1050">
      <c r="A1050" s="43" t="n">
        <v>1050</v>
      </c>
      <c r="B1050" s="43" t="inlineStr">
        <is>
          <t>1049</t>
        </is>
      </c>
      <c r="C1050" s="43" t="inlineStr">
        <is>
          <t>FJZP</t>
        </is>
      </c>
      <c r="D1050" s="43" t="inlineStr">
        <is>
          <t>Cisco</t>
        </is>
      </c>
      <c r="E1050" s="43" t="inlineStr">
        <is>
          <t>MCGA</t>
        </is>
      </c>
      <c r="F1050" s="43" t="inlineStr">
        <is>
          <t>037-STBU</t>
        </is>
      </c>
      <c r="G1050" s="43" t="inlineStr">
        <is>
          <t>CTANJZ05154</t>
        </is>
      </c>
      <c r="H1050" s="43" t="inlineStr">
        <is>
          <t>For temporary Manufacturing process change</t>
        </is>
      </c>
      <c r="I1050" s="43" t="inlineStr">
        <is>
          <t>Customer Deviation</t>
        </is>
      </c>
      <c r="J1050" s="43" t="inlineStr">
        <is>
          <t>D610130</t>
        </is>
      </c>
      <c r="K1050" s="33" t="inlineStr">
        <is>
          <t>D610130 FJZ to reprogram in ICT the Renesas part 17-102052-01 for TPK Low and TPK HighThese are the actions on going:1. Testplan to be modified to add IC programming2. Fixtures TPK Low 73-20249 and TPK High 73-20247 to be wired to adapt Renesas programmer3. Use UABU (Line 3) TRI machine due is the only one that supports Renesas programmer using Windows 10 due drivers used4. FJZ to debug the equipment5. Receive remotely support from Bojay team to program the file (17-102052-01_A0.zip)      a) FJZ to run a validation with 2 TPK Low units from ICT to PCBP2 and provide to Cisco EPE; TE and ME the test logs      b) FJZ to run a validation with 2 TPK High units from ICT to PCBP2 and provide to Cisco EPE; TE and ME the test logs6. 240 pcs for TPK Low and 80 pcs for TPK High to be reprogram in ICT (Quantity can be change depending on lead time of the point 7)7. Reviewing with Renesas 2 different options for the 4000 pcs OH with no programmed part      a) Send back to Renesas the 4K pcs to be reprogram      b) Renesas to expedite shipment for the part 17-102052-01 already programmed</t>
        </is>
      </c>
      <c r="L1050" s="43" t="inlineStr">
        <is>
          <t>Expired</t>
        </is>
      </c>
      <c r="M1050" s="43" t="inlineStr">
        <is>
          <t>17-102052-01</t>
        </is>
      </c>
      <c r="N1050" s="43" t="inlineStr"/>
      <c r="O1050" s="43" t="inlineStr">
        <is>
          <t>2026-06-16</t>
        </is>
      </c>
      <c r="P1050" s="33" t="inlineStr">
        <is>
          <t>For temporary Manufacturing process change</t>
        </is>
      </c>
      <c r="Q1050" s="43" t="inlineStr">
        <is>
          <t>1. FJZ to stick the dev label in a visible place of the board 2. FJZ to run a validation with 2 TPK Low units from ICT to PCBP2 and provide to Cisco EPE; TE and ME the test logs 3. FJZ to run a validation with 2 TPK High units from ICT to PCBP2 and provide to Cisco EPE; TE and ME the test logs 4. If Cisco approves; FJZ can continue testing ICT for reprogramming</t>
        </is>
      </c>
      <c r="R1050" s="43" t="inlineStr">
        <is>
          <t>2026-03-19</t>
        </is>
      </c>
      <c r="S1050" s="43" t="inlineStr">
        <is>
          <t>2026-04-09</t>
        </is>
      </c>
      <c r="T1050" s="43" t="inlineStr"/>
      <c r="U1050" s="43" t="inlineStr"/>
    </row>
    <row r="1051">
      <c r="A1051" s="43" t="n">
        <v>1051</v>
      </c>
      <c r="B1051" s="43" t="inlineStr">
        <is>
          <t>1050</t>
        </is>
      </c>
      <c r="C1051" s="43" t="inlineStr">
        <is>
          <t>FJZP</t>
        </is>
      </c>
      <c r="D1051" s="43" t="inlineStr">
        <is>
          <t>Cisco</t>
        </is>
      </c>
      <c r="E1051" s="43" t="inlineStr">
        <is>
          <t>MCGA</t>
        </is>
      </c>
      <c r="F1051" s="43" t="inlineStr">
        <is>
          <t>037-STBU</t>
        </is>
      </c>
      <c r="G1051" s="43" t="inlineStr">
        <is>
          <t>CTANJZ05154</t>
        </is>
      </c>
      <c r="H1051" s="43" t="inlineStr">
        <is>
          <t>For temporary Manufacturing process change</t>
        </is>
      </c>
      <c r="I1051" s="43" t="inlineStr">
        <is>
          <t>Customer Deviation</t>
        </is>
      </c>
      <c r="J1051" s="43" t="inlineStr">
        <is>
          <t>D610130</t>
        </is>
      </c>
      <c r="K1051" s="33" t="inlineStr">
        <is>
          <t>D610130 FJZ to reprogram in ICT the Renesas part 17-102052-01 for TPK Low and TPK HighThese are the actions on going:1. Testplan to be modified to add IC programming2. Fixtures TPK Low 73-20249 and TPK High 73-20247 to be wired to adapt Renesas programmer3. Use UABU (Line 3) TRI machine due is the only one that supports Renesas programmer using Windows 10 due drivers used4. FJZ to debug the equipment5. Receive remotely support from Bojay team to program the file (17-102052-01_A0.zip)      a) FJZ to run a validation with 2 TPK Low units from ICT to PCBP2 and provide to Cisco EPE; TE and ME the test logs      b) FJZ to run a validation with 2 TPK High units from ICT to PCBP2 and provide to Cisco EPE; TE and ME the test logs6. 240 pcs for TPK Low and 80 pcs for TPK High to be reprogram in ICT (Quantity can be change depending on lead time of the point 7)7. Reviewing with Renesas 2 different options for the 4000 pcs OH with no programmed part      a) Send back to Renesas the 4K pcs to be reprogram      b) Renesas to expedite shipment for the part 17-102052-01 already programmed</t>
        </is>
      </c>
      <c r="L1051" s="43" t="inlineStr">
        <is>
          <t>Expired</t>
        </is>
      </c>
      <c r="M1051" s="43" t="inlineStr">
        <is>
          <t>73-20247-06</t>
        </is>
      </c>
      <c r="N1051" s="43" t="inlineStr"/>
      <c r="O1051" s="43" t="inlineStr">
        <is>
          <t>2026-06-16</t>
        </is>
      </c>
      <c r="P1051" s="33" t="inlineStr">
        <is>
          <t>For temporary Manufacturing process change</t>
        </is>
      </c>
      <c r="Q1051" s="43" t="inlineStr">
        <is>
          <t>1. FJZ to stick the dev label in a visible place of the board 2. FJZ to run a validation with 2 TPK Low units from ICT to PCBP2 and provide to Cisco EPE; TE and ME the test logs 3. FJZ to run a validation with 2 TPK High units from ICT to PCBP2 and provide to Cisco EPE; TE and ME the test logs 4. If Cisco approves; FJZ can continue testing ICT for reprogramming</t>
        </is>
      </c>
      <c r="R1051" s="43" t="inlineStr">
        <is>
          <t>2026-03-19</t>
        </is>
      </c>
      <c r="S1051" s="43" t="inlineStr">
        <is>
          <t>2026-04-09</t>
        </is>
      </c>
      <c r="T1051" s="43" t="inlineStr"/>
      <c r="U1051" s="43" t="inlineStr"/>
    </row>
    <row r="1052">
      <c r="A1052" s="43" t="n">
        <v>1052</v>
      </c>
      <c r="B1052" s="43" t="inlineStr">
        <is>
          <t>1051</t>
        </is>
      </c>
      <c r="C1052" s="43" t="inlineStr">
        <is>
          <t>FJZP</t>
        </is>
      </c>
      <c r="D1052" s="43" t="inlineStr">
        <is>
          <t>Cisco</t>
        </is>
      </c>
      <c r="E1052" s="43" t="inlineStr">
        <is>
          <t>MCGA</t>
        </is>
      </c>
      <c r="F1052" s="43" t="inlineStr">
        <is>
          <t>037-STBU</t>
        </is>
      </c>
      <c r="G1052" s="43" t="inlineStr">
        <is>
          <t>CTANJZ05154</t>
        </is>
      </c>
      <c r="H1052" s="43" t="inlineStr">
        <is>
          <t>For temporary Manufacturing process change</t>
        </is>
      </c>
      <c r="I1052" s="43" t="inlineStr">
        <is>
          <t>Customer Deviation</t>
        </is>
      </c>
      <c r="J1052" s="43" t="inlineStr">
        <is>
          <t>D610130</t>
        </is>
      </c>
      <c r="K1052" s="33" t="inlineStr">
        <is>
          <t>D610130 FJZ to reprogram in ICT the Renesas part 17-102052-01 for TPK Low and TPK HighThese are the actions on going:1. Testplan to be modified to add IC programming2. Fixtures TPK Low 73-20249 and TPK High 73-20247 to be wired to adapt Renesas programmer3. Use UABU (Line 3) TRI machine due is the only one that supports Renesas programmer using Windows 10 due drivers used4. FJZ to debug the equipment5. Receive remotely support from Bojay team to program the file (17-102052-01_A0.zip)      a) FJZ to run a validation with 2 TPK Low units from ICT to PCBP2 and provide to Cisco EPE; TE and ME the test logs      b) FJZ to run a validation with 2 TPK High units from ICT to PCBP2 and provide to Cisco EPE; TE and ME the test logs6. 240 pcs for TPK Low and 80 pcs for TPK High to be reprogram in ICT (Quantity can be change depending on lead time of the point 7)7. Reviewing with Renesas 2 different options for the 4000 pcs OH with no programmed part      a) Send back to Renesas the 4K pcs to be reprogram      b) Renesas to expedite shipment for the part 17-102052-01 already programmed</t>
        </is>
      </c>
      <c r="L1052" s="43" t="inlineStr">
        <is>
          <t>Expired</t>
        </is>
      </c>
      <c r="M1052" s="43" t="inlineStr">
        <is>
          <t>73-20249-06</t>
        </is>
      </c>
      <c r="N1052" s="43" t="inlineStr"/>
      <c r="O1052" s="43" t="inlineStr">
        <is>
          <t>2026-06-16</t>
        </is>
      </c>
      <c r="P1052" s="33" t="inlineStr">
        <is>
          <t>For temporary Manufacturing process change</t>
        </is>
      </c>
      <c r="Q1052" s="43" t="inlineStr">
        <is>
          <t>1. FJZ to stick the dev label in a visible place of the board 2. FJZ to run a validation with 2 TPK Low units from ICT to PCBP2 and provide to Cisco EPE; TE and ME the test logs 3. FJZ to run a validation with 2 TPK High units from ICT to PCBP2 and provide to Cisco EPE; TE and ME the test logs 4. If Cisco approves; FJZ can continue testing ICT for reprogramming</t>
        </is>
      </c>
      <c r="R1052" s="43" t="inlineStr">
        <is>
          <t>2026-03-19</t>
        </is>
      </c>
      <c r="S1052" s="43" t="inlineStr">
        <is>
          <t>2026-04-09</t>
        </is>
      </c>
      <c r="T1052" s="43" t="inlineStr"/>
      <c r="U1052" s="43" t="inlineStr"/>
    </row>
    <row r="1053">
      <c r="A1053" s="43" t="n">
        <v>1053</v>
      </c>
      <c r="B1053" s="43" t="inlineStr">
        <is>
          <t>1052</t>
        </is>
      </c>
      <c r="C1053" s="43" t="inlineStr">
        <is>
          <t>FJZP</t>
        </is>
      </c>
      <c r="D1053" s="43" t="inlineStr">
        <is>
          <t>Cisco</t>
        </is>
      </c>
      <c r="E1053" s="43" t="inlineStr">
        <is>
          <t>MCGA</t>
        </is>
      </c>
      <c r="F1053" s="43" t="inlineStr">
        <is>
          <t>037-STBU</t>
        </is>
      </c>
      <c r="G1053" s="43" t="inlineStr">
        <is>
          <t>CTANJZ05050</t>
        </is>
      </c>
      <c r="H1053" s="43" t="inlineStr">
        <is>
          <t>For temporary Manufacturing process change</t>
        </is>
      </c>
      <c r="I1053" s="43" t="inlineStr">
        <is>
          <t>Customer Deviation</t>
        </is>
      </c>
      <c r="J1053" s="43" t="inlineStr">
        <is>
          <t>D608532</t>
        </is>
      </c>
      <c r="K1053" s="33" t="inlineStr">
        <is>
          <t>D608532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053" s="43" t="inlineStr">
        <is>
          <t>Expired</t>
        </is>
      </c>
      <c r="M1053" s="43" t="inlineStr">
        <is>
          <t>800-103091-01</t>
        </is>
      </c>
      <c r="N1053" s="43" t="inlineStr"/>
      <c r="O1053" s="43" t="inlineStr">
        <is>
          <t>2026-03-20</t>
        </is>
      </c>
      <c r="P1053" s="33" t="inlineStr">
        <is>
          <t>For temporary Manufacturing process change</t>
        </is>
      </c>
      <c r="Q1053" s="43" t="inlineStr">
        <is>
          <t>Add the deviation D605272 number on the chassis next to serial number label</t>
        </is>
      </c>
      <c r="R1053" s="43" t="inlineStr">
        <is>
          <t>2025-12-23</t>
        </is>
      </c>
      <c r="S1053" s="43" t="inlineStr">
        <is>
          <t>2026-01-27</t>
        </is>
      </c>
      <c r="T1053" s="43" t="inlineStr"/>
      <c r="U1053" s="43" t="inlineStr"/>
    </row>
    <row r="1054">
      <c r="A1054" s="43" t="n">
        <v>1054</v>
      </c>
      <c r="B1054" s="43" t="inlineStr">
        <is>
          <t>1053</t>
        </is>
      </c>
      <c r="C1054" s="43" t="inlineStr">
        <is>
          <t>FJZP</t>
        </is>
      </c>
      <c r="D1054" s="43" t="inlineStr">
        <is>
          <t>Cisco</t>
        </is>
      </c>
      <c r="E1054" s="43" t="inlineStr">
        <is>
          <t>MCGA</t>
        </is>
      </c>
      <c r="F1054" s="43" t="inlineStr">
        <is>
          <t>037-STBU</t>
        </is>
      </c>
      <c r="G1054" s="43" t="inlineStr">
        <is>
          <t>CTANJZ05050</t>
        </is>
      </c>
      <c r="H1054" s="43" t="inlineStr">
        <is>
          <t>For temporary Manufacturing process change</t>
        </is>
      </c>
      <c r="I1054" s="43" t="inlineStr">
        <is>
          <t>Customer Deviation</t>
        </is>
      </c>
      <c r="J1054" s="43" t="inlineStr">
        <is>
          <t>D608532</t>
        </is>
      </c>
      <c r="K1054" s="33" t="inlineStr">
        <is>
          <t>D608532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054" s="43" t="inlineStr">
        <is>
          <t>Expired</t>
        </is>
      </c>
      <c r="M1054" s="43" t="inlineStr">
        <is>
          <t>800-105498-03</t>
        </is>
      </c>
      <c r="N1054" s="43" t="inlineStr"/>
      <c r="O1054" s="43" t="inlineStr">
        <is>
          <t>2026-03-20</t>
        </is>
      </c>
      <c r="P1054" s="33" t="inlineStr">
        <is>
          <t>For temporary Manufacturing process change</t>
        </is>
      </c>
      <c r="Q1054" s="43" t="inlineStr">
        <is>
          <t>Add the deviation D605272 number on the chassis next to serial number label</t>
        </is>
      </c>
      <c r="R1054" s="43" t="inlineStr">
        <is>
          <t>2025-12-23</t>
        </is>
      </c>
      <c r="S1054" s="43" t="inlineStr">
        <is>
          <t>2026-01-27</t>
        </is>
      </c>
      <c r="T1054" s="43" t="inlineStr"/>
      <c r="U1054" s="43" t="inlineStr"/>
    </row>
    <row r="1055">
      <c r="A1055" s="43" t="n">
        <v>1055</v>
      </c>
      <c r="B1055" s="43" t="inlineStr">
        <is>
          <t>1054</t>
        </is>
      </c>
      <c r="C1055" s="43" t="inlineStr">
        <is>
          <t>FJZP</t>
        </is>
      </c>
      <c r="D1055" s="43" t="inlineStr">
        <is>
          <t>Cisco</t>
        </is>
      </c>
      <c r="E1055" s="43" t="inlineStr">
        <is>
          <t>MCGA</t>
        </is>
      </c>
      <c r="F1055" s="43" t="inlineStr">
        <is>
          <t>037-STBU</t>
        </is>
      </c>
      <c r="G1055" s="43" t="inlineStr">
        <is>
          <t>CTANJZ05050</t>
        </is>
      </c>
      <c r="H1055" s="43" t="inlineStr">
        <is>
          <t>For temporary Manufacturing process change</t>
        </is>
      </c>
      <c r="I1055" s="43" t="inlineStr">
        <is>
          <t>Customer Deviation</t>
        </is>
      </c>
      <c r="J1055" s="43" t="inlineStr">
        <is>
          <t>D608532</t>
        </is>
      </c>
      <c r="K1055" s="33" t="inlineStr">
        <is>
          <t>D608532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055" s="43" t="inlineStr">
        <is>
          <t>Expired</t>
        </is>
      </c>
      <c r="M1055" s="43" t="inlineStr">
        <is>
          <t>800-105499-03</t>
        </is>
      </c>
      <c r="N1055" s="43" t="inlineStr"/>
      <c r="O1055" s="43" t="inlineStr">
        <is>
          <t>2026-03-20</t>
        </is>
      </c>
      <c r="P1055" s="33" t="inlineStr">
        <is>
          <t>For temporary Manufacturing process change</t>
        </is>
      </c>
      <c r="Q1055" s="43" t="inlineStr">
        <is>
          <t>Add the deviation D605272 number on the chassis next to serial number label</t>
        </is>
      </c>
      <c r="R1055" s="43" t="inlineStr">
        <is>
          <t>2025-12-23</t>
        </is>
      </c>
      <c r="S1055" s="43" t="inlineStr">
        <is>
          <t>2026-01-27</t>
        </is>
      </c>
      <c r="T1055" s="43" t="inlineStr"/>
      <c r="U1055" s="43" t="inlineStr"/>
    </row>
    <row r="1056">
      <c r="A1056" s="43" t="n">
        <v>1056</v>
      </c>
      <c r="B1056" s="43" t="inlineStr">
        <is>
          <t>1055</t>
        </is>
      </c>
      <c r="C1056" s="43" t="inlineStr">
        <is>
          <t>FJZP</t>
        </is>
      </c>
      <c r="D1056" s="43" t="inlineStr">
        <is>
          <t>Cisco</t>
        </is>
      </c>
      <c r="E1056" s="43" t="inlineStr">
        <is>
          <t>MCGA</t>
        </is>
      </c>
      <c r="F1056" s="43" t="inlineStr">
        <is>
          <t>037-STBU</t>
        </is>
      </c>
      <c r="G1056" s="43" t="inlineStr">
        <is>
          <t>CTANJZ05050</t>
        </is>
      </c>
      <c r="H1056" s="43" t="inlineStr">
        <is>
          <t>For temporary Manufacturing process change</t>
        </is>
      </c>
      <c r="I1056" s="43" t="inlineStr">
        <is>
          <t>Customer Deviation</t>
        </is>
      </c>
      <c r="J1056" s="43" t="inlineStr">
        <is>
          <t>D608532</t>
        </is>
      </c>
      <c r="K1056" s="33" t="inlineStr">
        <is>
          <t>D608532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056" s="43" t="inlineStr">
        <is>
          <t>Expired</t>
        </is>
      </c>
      <c r="M1056" s="43" t="inlineStr">
        <is>
          <t>800-105500-03</t>
        </is>
      </c>
      <c r="N1056" s="43" t="inlineStr"/>
      <c r="O1056" s="43" t="inlineStr">
        <is>
          <t>2026-03-20</t>
        </is>
      </c>
      <c r="P1056" s="33" t="inlineStr">
        <is>
          <t>For temporary Manufacturing process change</t>
        </is>
      </c>
      <c r="Q1056" s="43" t="inlineStr">
        <is>
          <t>Add the deviation D605272 number on the chassis next to serial number label</t>
        </is>
      </c>
      <c r="R1056" s="43" t="inlineStr">
        <is>
          <t>2025-12-23</t>
        </is>
      </c>
      <c r="S1056" s="43" t="inlineStr">
        <is>
          <t>2026-01-27</t>
        </is>
      </c>
      <c r="T1056" s="43" t="inlineStr"/>
      <c r="U1056" s="43" t="inlineStr"/>
    </row>
    <row r="1057">
      <c r="A1057" s="43" t="n">
        <v>1057</v>
      </c>
      <c r="B1057" s="43" t="inlineStr">
        <is>
          <t>1056</t>
        </is>
      </c>
      <c r="C1057" s="43" t="inlineStr">
        <is>
          <t>FJZP</t>
        </is>
      </c>
      <c r="D1057" s="43" t="inlineStr">
        <is>
          <t>Cisco</t>
        </is>
      </c>
      <c r="E1057" s="43" t="inlineStr">
        <is>
          <t>MCGA</t>
        </is>
      </c>
      <c r="F1057" s="43" t="inlineStr">
        <is>
          <t>037-STBU</t>
        </is>
      </c>
      <c r="G1057" s="43" t="inlineStr">
        <is>
          <t>CTANJZ05050</t>
        </is>
      </c>
      <c r="H1057" s="43" t="inlineStr">
        <is>
          <t>For temporary Manufacturing process change</t>
        </is>
      </c>
      <c r="I1057" s="43" t="inlineStr">
        <is>
          <t>Customer Deviation</t>
        </is>
      </c>
      <c r="J1057" s="43" t="inlineStr">
        <is>
          <t>D608532</t>
        </is>
      </c>
      <c r="K1057" s="33" t="inlineStr">
        <is>
          <t>D608532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057" s="43" t="inlineStr">
        <is>
          <t>Expired</t>
        </is>
      </c>
      <c r="M1057" s="43" t="inlineStr">
        <is>
          <t>800-106634-02</t>
        </is>
      </c>
      <c r="N1057" s="43" t="inlineStr"/>
      <c r="O1057" s="43" t="inlineStr">
        <is>
          <t>2026-03-20</t>
        </is>
      </c>
      <c r="P1057" s="33" t="inlineStr">
        <is>
          <t>For temporary Manufacturing process change</t>
        </is>
      </c>
      <c r="Q1057" s="43" t="inlineStr">
        <is>
          <t>Add the deviation D605272 number on the chassis next to serial number label</t>
        </is>
      </c>
      <c r="R1057" s="43" t="inlineStr">
        <is>
          <t>2025-12-23</t>
        </is>
      </c>
      <c r="S1057" s="43" t="inlineStr">
        <is>
          <t>2026-01-27</t>
        </is>
      </c>
      <c r="T1057" s="43" t="inlineStr"/>
      <c r="U1057" s="43" t="inlineStr"/>
    </row>
    <row r="1058">
      <c r="A1058" s="43" t="n">
        <v>1058</v>
      </c>
      <c r="B1058" s="43" t="inlineStr">
        <is>
          <t>1057</t>
        </is>
      </c>
      <c r="C1058" s="43" t="inlineStr">
        <is>
          <t>FJZP</t>
        </is>
      </c>
      <c r="D1058" s="43" t="inlineStr">
        <is>
          <t>Cisco</t>
        </is>
      </c>
      <c r="E1058" s="43" t="inlineStr">
        <is>
          <t>MCGA</t>
        </is>
      </c>
      <c r="F1058" s="43" t="inlineStr">
        <is>
          <t>037-STBU</t>
        </is>
      </c>
      <c r="G1058" s="43" t="inlineStr">
        <is>
          <t>CTANJZ05050</t>
        </is>
      </c>
      <c r="H1058" s="43" t="inlineStr">
        <is>
          <t>For temporary Manufacturing process change</t>
        </is>
      </c>
      <c r="I1058" s="43" t="inlineStr">
        <is>
          <t>Customer Deviation</t>
        </is>
      </c>
      <c r="J1058" s="43" t="inlineStr">
        <is>
          <t>D608532</t>
        </is>
      </c>
      <c r="K1058" s="33" t="inlineStr">
        <is>
          <t>D608532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058" s="43" t="inlineStr">
        <is>
          <t>Expired</t>
        </is>
      </c>
      <c r="M1058" s="43" t="inlineStr">
        <is>
          <t>800-106754-02</t>
        </is>
      </c>
      <c r="N1058" s="43" t="inlineStr"/>
      <c r="O1058" s="43" t="inlineStr">
        <is>
          <t>2026-03-20</t>
        </is>
      </c>
      <c r="P1058" s="33" t="inlineStr">
        <is>
          <t>For temporary Manufacturing process change</t>
        </is>
      </c>
      <c r="Q1058" s="43" t="inlineStr">
        <is>
          <t>Add the deviation D605272 number on the chassis next to serial number label</t>
        </is>
      </c>
      <c r="R1058" s="43" t="inlineStr">
        <is>
          <t>2025-12-23</t>
        </is>
      </c>
      <c r="S1058" s="43" t="inlineStr">
        <is>
          <t>2026-01-27</t>
        </is>
      </c>
      <c r="T1058" s="43" t="inlineStr"/>
      <c r="U1058" s="43" t="inlineStr"/>
    </row>
    <row r="1059">
      <c r="A1059" s="43" t="n">
        <v>1059</v>
      </c>
      <c r="B1059" s="43" t="inlineStr">
        <is>
          <t>1058</t>
        </is>
      </c>
      <c r="C1059" s="43" t="inlineStr">
        <is>
          <t>FJZP</t>
        </is>
      </c>
      <c r="D1059" s="43" t="inlineStr">
        <is>
          <t>Cisco</t>
        </is>
      </c>
      <c r="E1059" s="43" t="inlineStr">
        <is>
          <t>MCGA</t>
        </is>
      </c>
      <c r="F1059" s="43" t="inlineStr">
        <is>
          <t>037-STBU</t>
        </is>
      </c>
      <c r="G1059" s="43" t="inlineStr">
        <is>
          <t>CTANJZ05050</t>
        </is>
      </c>
      <c r="H1059" s="43" t="inlineStr">
        <is>
          <t>For temporary Manufacturing process change</t>
        </is>
      </c>
      <c r="I1059" s="43" t="inlineStr">
        <is>
          <t>Customer Deviation</t>
        </is>
      </c>
      <c r="J1059" s="43" t="inlineStr">
        <is>
          <t>D608532</t>
        </is>
      </c>
      <c r="K1059" s="33" t="inlineStr">
        <is>
          <t>D608532 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059" s="43" t="inlineStr">
        <is>
          <t>Expired</t>
        </is>
      </c>
      <c r="M1059" s="43" t="inlineStr">
        <is>
          <t>800-106838-02</t>
        </is>
      </c>
      <c r="N1059" s="43" t="inlineStr"/>
      <c r="O1059" s="43" t="inlineStr">
        <is>
          <t>2026-03-20</t>
        </is>
      </c>
      <c r="P1059" s="33" t="inlineStr">
        <is>
          <t>For temporary Manufacturing process change</t>
        </is>
      </c>
      <c r="Q1059" s="43" t="inlineStr">
        <is>
          <t>Add the deviation D605272 number on the chassis next to serial number label</t>
        </is>
      </c>
      <c r="R1059" s="43" t="inlineStr">
        <is>
          <t>2025-12-23</t>
        </is>
      </c>
      <c r="S1059" s="43" t="inlineStr">
        <is>
          <t>2026-01-27</t>
        </is>
      </c>
      <c r="T1059" s="43" t="inlineStr"/>
      <c r="U1059" s="43" t="inlineStr"/>
    </row>
    <row r="1060">
      <c r="A1060" s="43" t="n">
        <v>1060</v>
      </c>
      <c r="B1060" s="43" t="inlineStr">
        <is>
          <t>1059</t>
        </is>
      </c>
      <c r="C1060" s="43" t="inlineStr">
        <is>
          <t>FJZP</t>
        </is>
      </c>
      <c r="D1060" s="43" t="inlineStr">
        <is>
          <t>Cisco</t>
        </is>
      </c>
      <c r="E1060" s="43" t="inlineStr">
        <is>
          <t>MCGA</t>
        </is>
      </c>
      <c r="F1060" s="43" t="inlineStr">
        <is>
          <t>037-STBU</t>
        </is>
      </c>
      <c r="G1060" s="43" t="inlineStr">
        <is>
          <t>CTANJZ05045</t>
        </is>
      </c>
      <c r="H1060" s="43" t="inlineStr">
        <is>
          <t>For temporary Manufacturing process change</t>
        </is>
      </c>
      <c r="I1060" s="43" t="inlineStr">
        <is>
          <t>Customer Deviation</t>
        </is>
      </c>
      <c r="J1060" s="43" t="inlineStr">
        <is>
          <t>D607856</t>
        </is>
      </c>
      <c r="K1060" s="33" t="inlineStr">
        <is>
          <t>D607856 FJZ to perform a validation of AVC Fans in PCB2C due issue was presenting in July at cold temperature; after have the results will be define if the material can continue be use in production floorValidation:5 units of Tufnell Park10 AVC fansRun a cycle in PCB2C and provide the results to Cisco PE and ME</t>
        </is>
      </c>
      <c r="L1060" s="43" t="inlineStr">
        <is>
          <t>Expired</t>
        </is>
      </c>
      <c r="M1060" s="43" t="inlineStr">
        <is>
          <t>800-108038-05</t>
        </is>
      </c>
      <c r="N1060" s="43" t="inlineStr"/>
      <c r="O1060" s="43" t="inlineStr">
        <is>
          <t>2026-03-23</t>
        </is>
      </c>
      <c r="P1060" s="33" t="inlineStr">
        <is>
          <t>For temporary Manufacturing process change</t>
        </is>
      </c>
      <c r="Q1060" s="43" t="inlineStr">
        <is>
          <t>FJZ to follow the instructions:  1. Use 5 units of Tufnell Park 2. Use 10 AVC fans 3. Run 1 cycle in PCB2C 4. Provide the logs to Cisco PE and ME</t>
        </is>
      </c>
      <c r="R1060" s="43" t="inlineStr">
        <is>
          <t>2025-12-23</t>
        </is>
      </c>
      <c r="S1060" s="43" t="inlineStr">
        <is>
          <t>2026-01-27</t>
        </is>
      </c>
      <c r="T1060" s="43" t="inlineStr"/>
      <c r="U1060" s="43" t="inlineStr"/>
    </row>
    <row r="1061">
      <c r="A1061" s="43" t="n">
        <v>1061</v>
      </c>
      <c r="B1061" s="43" t="inlineStr">
        <is>
          <t>1060</t>
        </is>
      </c>
      <c r="C1061" s="43" t="inlineStr">
        <is>
          <t>FJZP</t>
        </is>
      </c>
      <c r="D1061" s="43" t="inlineStr">
        <is>
          <t>Cisco</t>
        </is>
      </c>
      <c r="E1061" s="43" t="inlineStr">
        <is>
          <t>MCGA</t>
        </is>
      </c>
      <c r="F1061" s="43" t="inlineStr">
        <is>
          <t>037-STBU</t>
        </is>
      </c>
      <c r="G1061" s="43" t="inlineStr">
        <is>
          <t>CTANJZ05045</t>
        </is>
      </c>
      <c r="H1061" s="43" t="inlineStr">
        <is>
          <t>For temporary Manufacturing process change</t>
        </is>
      </c>
      <c r="I1061" s="43" t="inlineStr">
        <is>
          <t>Customer Deviation</t>
        </is>
      </c>
      <c r="J1061" s="43" t="inlineStr">
        <is>
          <t>D607856</t>
        </is>
      </c>
      <c r="K1061" s="33" t="inlineStr">
        <is>
          <t>D607856 FJZ to perform a validation of AVC Fans in PCB2C due issue was presenting in July at cold temperature; after have the results will be define if the material can continue be use in production floorValidation:5 units of Tufnell Park10 AVC fansRun a cycle in PCB2C and provide the results to Cisco PE and ME</t>
        </is>
      </c>
      <c r="L1061" s="43" t="inlineStr">
        <is>
          <t>Expired</t>
        </is>
      </c>
      <c r="M1061" s="43" t="inlineStr">
        <is>
          <t>800-109483-01</t>
        </is>
      </c>
      <c r="N1061" s="43" t="inlineStr"/>
      <c r="O1061" s="43" t="inlineStr">
        <is>
          <t>2026-03-23</t>
        </is>
      </c>
      <c r="P1061" s="33" t="inlineStr">
        <is>
          <t>For temporary Manufacturing process change</t>
        </is>
      </c>
      <c r="Q1061" s="43" t="inlineStr">
        <is>
          <t>FJZ to follow the instructions:  1. Use 5 units of Tufnell Park 2. Use 10 AVC fans 3. Run 1 cycle in PCB2C 4. Provide the logs to Cisco PE and ME</t>
        </is>
      </c>
      <c r="R1061" s="43" t="inlineStr">
        <is>
          <t>2025-12-23</t>
        </is>
      </c>
      <c r="S1061" s="43" t="inlineStr">
        <is>
          <t>2026-01-27</t>
        </is>
      </c>
      <c r="T1061" s="43" t="inlineStr"/>
      <c r="U1061" s="43" t="inlineStr"/>
    </row>
    <row r="1062">
      <c r="A1062" s="43" t="n">
        <v>1062</v>
      </c>
      <c r="B1062" s="43" t="inlineStr">
        <is>
          <t>1061</t>
        </is>
      </c>
      <c r="C1062" s="43" t="inlineStr">
        <is>
          <t>FJZP</t>
        </is>
      </c>
      <c r="D1062" s="43" t="inlineStr">
        <is>
          <t>Cisco</t>
        </is>
      </c>
      <c r="E1062" s="43" t="inlineStr">
        <is>
          <t>MCGA</t>
        </is>
      </c>
      <c r="F1062" s="43" t="inlineStr">
        <is>
          <t>037-STBU</t>
        </is>
      </c>
      <c r="G1062" s="43" t="inlineStr">
        <is>
          <t>CTANJZ05045</t>
        </is>
      </c>
      <c r="H1062" s="43" t="inlineStr">
        <is>
          <t>For temporary Manufacturing process change</t>
        </is>
      </c>
      <c r="I1062" s="43" t="inlineStr">
        <is>
          <t>Customer Deviation</t>
        </is>
      </c>
      <c r="J1062" s="43" t="inlineStr">
        <is>
          <t>D607856</t>
        </is>
      </c>
      <c r="K1062" s="33" t="inlineStr">
        <is>
          <t>D607856 FJZ to perform a validation of AVC Fans in PCB2C due issue was presenting in July at cold temperature; after have the results will be define if the material can continue be use in production floorValidation:5 units of Tufnell Park10 AVC fansRun a cycle in PCB2C and provide the results to Cisco PE and ME</t>
        </is>
      </c>
      <c r="L1062" s="43" t="inlineStr">
        <is>
          <t>Expired</t>
        </is>
      </c>
      <c r="M1062" s="43" t="inlineStr">
        <is>
          <t>800-110666-02</t>
        </is>
      </c>
      <c r="N1062" s="43" t="inlineStr"/>
      <c r="O1062" s="43" t="inlineStr">
        <is>
          <t>2026-03-23</t>
        </is>
      </c>
      <c r="P1062" s="33" t="inlineStr">
        <is>
          <t>For temporary Manufacturing process change</t>
        </is>
      </c>
      <c r="Q1062" s="43" t="inlineStr">
        <is>
          <t>FJZ to follow the instructions:  1. Use 5 units of Tufnell Park 2. Use 10 AVC fans 3. Run 1 cycle in PCB2C 4. Provide the logs to Cisco PE and ME</t>
        </is>
      </c>
      <c r="R1062" s="43" t="inlineStr">
        <is>
          <t>2025-12-23</t>
        </is>
      </c>
      <c r="S1062" s="43" t="inlineStr">
        <is>
          <t>2026-01-27</t>
        </is>
      </c>
      <c r="T1062" s="43" t="inlineStr"/>
      <c r="U1062" s="43" t="inlineStr"/>
    </row>
    <row r="1063">
      <c r="A1063" s="43" t="n">
        <v>1063</v>
      </c>
      <c r="B1063" s="43" t="inlineStr">
        <is>
          <t>1062</t>
        </is>
      </c>
      <c r="C1063" s="43" t="inlineStr">
        <is>
          <t>FJZP</t>
        </is>
      </c>
      <c r="D1063" s="43" t="inlineStr">
        <is>
          <t>Cisco</t>
        </is>
      </c>
      <c r="E1063" s="43" t="inlineStr">
        <is>
          <t>MCGA</t>
        </is>
      </c>
      <c r="F1063" s="43" t="inlineStr">
        <is>
          <t>018-SRGBU</t>
        </is>
      </c>
      <c r="G1063" s="43" t="inlineStr">
        <is>
          <t>CTANJZ05051</t>
        </is>
      </c>
      <c r="H1063" s="43" t="inlineStr">
        <is>
          <t>For temporary Manufacturing process change</t>
        </is>
      </c>
      <c r="I1063" s="43" t="inlineStr">
        <is>
          <t>Customer Deviation</t>
        </is>
      </c>
      <c r="J1063" s="43" t="inlineStr">
        <is>
          <t>D608434</t>
        </is>
      </c>
      <c r="K1063" s="33" t="inlineStr">
        <is>
          <t>D608434 SRGBU:Promethium:Promethium-L:Extension of D606244Update image on part number 17-101533-01 from curie_sb_4.6.0 to curie_sb_4.8.0</t>
        </is>
      </c>
      <c r="L1063" s="43" t="inlineStr">
        <is>
          <t>Expired</t>
        </is>
      </c>
      <c r="M1063" s="43" t="inlineStr">
        <is>
          <t>74-122543-05</t>
        </is>
      </c>
      <c r="N1063" s="43" t="inlineStr"/>
      <c r="O1063" s="43" t="inlineStr">
        <is>
          <t>2026-03-23</t>
        </is>
      </c>
      <c r="P1063" s="33" t="inlineStr">
        <is>
          <t>For temporary Manufacturing process change</t>
        </is>
      </c>
      <c r="Q1063" s="43" t="inlineStr">
        <is>
          <t>Each assy with the deviation number from this deviation Input in the ID PROM the deviation label from this deviation</t>
        </is>
      </c>
      <c r="R1063" s="43" t="inlineStr">
        <is>
          <t>2025-12-23</t>
        </is>
      </c>
      <c r="S1063" s="43" t="inlineStr">
        <is>
          <t>2026-01-23</t>
        </is>
      </c>
      <c r="T1063" s="43" t="inlineStr"/>
      <c r="U1063" s="43" t="inlineStr"/>
    </row>
    <row r="1064">
      <c r="A1064" s="43" t="n">
        <v>1064</v>
      </c>
      <c r="B1064" s="43" t="inlineStr">
        <is>
          <t>1063</t>
        </is>
      </c>
      <c r="C1064" s="43" t="inlineStr">
        <is>
          <t>FJZP</t>
        </is>
      </c>
      <c r="D1064" s="43" t="inlineStr">
        <is>
          <t>Cisco</t>
        </is>
      </c>
      <c r="E1064" s="43" t="inlineStr">
        <is>
          <t>MCGA</t>
        </is>
      </c>
      <c r="F1064" s="43" t="inlineStr">
        <is>
          <t>018-SRGBU</t>
        </is>
      </c>
      <c r="G1064" s="43" t="inlineStr">
        <is>
          <t>CTANJZ05051</t>
        </is>
      </c>
      <c r="H1064" s="43" t="inlineStr">
        <is>
          <t>For temporary Manufacturing process change</t>
        </is>
      </c>
      <c r="I1064" s="43" t="inlineStr">
        <is>
          <t>Customer Deviation</t>
        </is>
      </c>
      <c r="J1064" s="43" t="inlineStr">
        <is>
          <t>D608434</t>
        </is>
      </c>
      <c r="K1064" s="33" t="inlineStr">
        <is>
          <t>D608434 SRGBU:Promethium:Promethium-L:Extension of D606244Update image on part number 17-101533-01 from curie_sb_4.6.0 to curie_sb_4.8.0</t>
        </is>
      </c>
      <c r="L1064" s="43" t="inlineStr">
        <is>
          <t>Expired</t>
        </is>
      </c>
      <c r="M1064" s="43" t="inlineStr">
        <is>
          <t>74-125686-04</t>
        </is>
      </c>
      <c r="N1064" s="43" t="inlineStr"/>
      <c r="O1064" s="43" t="inlineStr">
        <is>
          <t>2026-03-23</t>
        </is>
      </c>
      <c r="P1064" s="33" t="inlineStr">
        <is>
          <t>For temporary Manufacturing process change</t>
        </is>
      </c>
      <c r="Q1064" s="43" t="inlineStr">
        <is>
          <t>Each assy with the deviation number from this deviation Input in the ID PROM the deviation label from this deviation</t>
        </is>
      </c>
      <c r="R1064" s="43" t="inlineStr">
        <is>
          <t>2025-12-23</t>
        </is>
      </c>
      <c r="S1064" s="43" t="inlineStr">
        <is>
          <t>2026-01-23</t>
        </is>
      </c>
      <c r="T1064" s="43" t="inlineStr"/>
      <c r="U1064" s="43" t="inlineStr"/>
    </row>
    <row r="1065">
      <c r="A1065" s="43" t="n">
        <v>1065</v>
      </c>
      <c r="B1065" s="43" t="inlineStr">
        <is>
          <t>1064</t>
        </is>
      </c>
      <c r="C1065" s="43" t="inlineStr">
        <is>
          <t>FJZP</t>
        </is>
      </c>
      <c r="D1065" s="43" t="inlineStr">
        <is>
          <t>Cisco</t>
        </is>
      </c>
      <c r="E1065" s="43" t="inlineStr">
        <is>
          <t>MCGA</t>
        </is>
      </c>
      <c r="F1065" s="43" t="inlineStr">
        <is>
          <t>018-SRGBU</t>
        </is>
      </c>
      <c r="G1065" s="43" t="inlineStr">
        <is>
          <t>CTANJZ05056</t>
        </is>
      </c>
      <c r="H1065" s="43" t="inlineStr">
        <is>
          <t>For temporary Manufacturing process change</t>
        </is>
      </c>
      <c r="I1065" s="43" t="inlineStr">
        <is>
          <t>Customer Deviation</t>
        </is>
      </c>
      <c r="J1065" s="43" t="inlineStr">
        <is>
          <t>D608410</t>
        </is>
      </c>
      <c r="K1065" s="33" t="inlineStr">
        <is>
          <t>D608410 Allow Foxconn to perform a 300-piece small batch verification build of Roku 5G using part number 700-124423-01 (Sears version without USB port hole) instead of part number 700-132589-01 (Roku 5G version with USB port). The TAN associated with this change is 68-7799-03 and 68-7799-04</t>
        </is>
      </c>
      <c r="L1065" s="43" t="inlineStr">
        <is>
          <t>Expired</t>
        </is>
      </c>
      <c r="M1065" s="43" t="inlineStr">
        <is>
          <t>68-7799-03</t>
        </is>
      </c>
      <c r="N1065" s="43" t="inlineStr"/>
      <c r="O1065" s="43" t="inlineStr">
        <is>
          <t>2026-03-31</t>
        </is>
      </c>
      <c r="P1065" s="33" t="inlineStr">
        <is>
          <t>For temporary Manufacturing process change</t>
        </is>
      </c>
      <c r="Q1065" s="43" t="inlineStr">
        <is>
          <t>Place the deviation label in visible area.</t>
        </is>
      </c>
      <c r="R1065" s="43" t="inlineStr">
        <is>
          <t>2026-01-05</t>
        </is>
      </c>
      <c r="S1065" s="43" t="inlineStr">
        <is>
          <t>2026-01-23</t>
        </is>
      </c>
      <c r="T1065" s="43" t="inlineStr"/>
      <c r="U1065" s="43" t="inlineStr"/>
    </row>
    <row r="1066">
      <c r="A1066" s="43" t="n">
        <v>1066</v>
      </c>
      <c r="B1066" s="43" t="inlineStr">
        <is>
          <t>1065</t>
        </is>
      </c>
      <c r="C1066" s="43" t="inlineStr">
        <is>
          <t>FJZP</t>
        </is>
      </c>
      <c r="D1066" s="43" t="inlineStr">
        <is>
          <t>Cisco</t>
        </is>
      </c>
      <c r="E1066" s="43" t="inlineStr">
        <is>
          <t>MCGA</t>
        </is>
      </c>
      <c r="F1066" s="43" t="inlineStr">
        <is>
          <t>018-SRGBU</t>
        </is>
      </c>
      <c r="G1066" s="43" t="inlineStr">
        <is>
          <t>CTANJZ05056</t>
        </is>
      </c>
      <c r="H1066" s="43" t="inlineStr">
        <is>
          <t>For temporary Manufacturing process change</t>
        </is>
      </c>
      <c r="I1066" s="43" t="inlineStr">
        <is>
          <t>Customer Deviation</t>
        </is>
      </c>
      <c r="J1066" s="43" t="inlineStr">
        <is>
          <t>D608410</t>
        </is>
      </c>
      <c r="K1066" s="33" t="inlineStr">
        <is>
          <t>D608410 Allow Foxconn to perform a 300-piece small batch verification build of Roku 5G using part number 700-124423-01 (Sears version without USB port hole) instead of part number 700-132589-01 (Roku 5G version with USB port). The TAN associated with this change is 68-7799-03 and 68-7799-04</t>
        </is>
      </c>
      <c r="L1066" s="43" t="inlineStr">
        <is>
          <t>Expired</t>
        </is>
      </c>
      <c r="M1066" s="43" t="inlineStr">
        <is>
          <t>68-7799-04</t>
        </is>
      </c>
      <c r="N1066" s="43" t="inlineStr"/>
      <c r="O1066" s="43" t="inlineStr">
        <is>
          <t>2026-03-31</t>
        </is>
      </c>
      <c r="P1066" s="33" t="inlineStr">
        <is>
          <t>For temporary Manufacturing process change</t>
        </is>
      </c>
      <c r="Q1066" s="43" t="inlineStr">
        <is>
          <t>Place the deviation label in visible area.</t>
        </is>
      </c>
      <c r="R1066" s="43" t="inlineStr">
        <is>
          <t>2026-01-05</t>
        </is>
      </c>
      <c r="S1066" s="43" t="inlineStr">
        <is>
          <t>2026-01-23</t>
        </is>
      </c>
      <c r="T1066" s="43" t="inlineStr"/>
      <c r="U1066" s="43" t="inlineStr"/>
    </row>
    <row r="1067">
      <c r="A1067" s="43" t="n">
        <v>1067</v>
      </c>
      <c r="B1067" s="43" t="inlineStr">
        <is>
          <t>1066</t>
        </is>
      </c>
      <c r="C1067" s="43" t="inlineStr">
        <is>
          <t>FJZP</t>
        </is>
      </c>
      <c r="D1067" s="43" t="inlineStr">
        <is>
          <t>Cisco</t>
        </is>
      </c>
      <c r="E1067" s="43" t="inlineStr">
        <is>
          <t>MCGA</t>
        </is>
      </c>
      <c r="F1067" s="43" t="inlineStr">
        <is>
          <t>037-STBU</t>
        </is>
      </c>
      <c r="G1067" s="43" t="inlineStr">
        <is>
          <t>CTANJZ05172</t>
        </is>
      </c>
      <c r="H1067" s="43" t="inlineStr">
        <is>
          <t>For temporary Manufacturing process change</t>
        </is>
      </c>
      <c r="I1067" s="43" t="inlineStr">
        <is>
          <t>Customer Deviation</t>
        </is>
      </c>
      <c r="J1067" s="43" t="inlineStr">
        <is>
          <t>D610410</t>
        </is>
      </c>
      <c r="K1067" s="33" t="inlineStr">
        <is>
          <t>D610410 Allow to FJZ to put the accessories in a different place of the box (not specified in the drawing 62-116056-01); to the box can be closed correctly; with the condition to use double tape in the top of the box to ensure the box will not open</t>
        </is>
      </c>
      <c r="L1067" s="43" t="inlineStr">
        <is>
          <t>Expired</t>
        </is>
      </c>
      <c r="M1067" s="43" t="inlineStr">
        <is>
          <t>84-102476-01</t>
        </is>
      </c>
      <c r="N1067" s="43" t="inlineStr"/>
      <c r="O1067" s="43" t="inlineStr">
        <is>
          <t>2026-06-26</t>
        </is>
      </c>
      <c r="P1067" s="33" t="inlineStr">
        <is>
          <t>For temporary Manufacturing process change</t>
        </is>
      </c>
      <c r="Q1067" s="43" t="inlineStr">
        <is>
          <t>Use double tape to close de box</t>
        </is>
      </c>
      <c r="R1067" s="43" t="inlineStr">
        <is>
          <t>2026-03-30</t>
        </is>
      </c>
      <c r="S1067" s="43" t="inlineStr">
        <is>
          <t>2026-04-24</t>
        </is>
      </c>
      <c r="T1067" s="43" t="inlineStr"/>
      <c r="U1067" s="43" t="inlineStr"/>
    </row>
    <row r="1068">
      <c r="A1068" s="43" t="n">
        <v>1068</v>
      </c>
      <c r="B1068" s="43" t="inlineStr">
        <is>
          <t>1067</t>
        </is>
      </c>
      <c r="C1068" s="43" t="inlineStr">
        <is>
          <t>FJZP</t>
        </is>
      </c>
      <c r="D1068" s="43" t="inlineStr">
        <is>
          <t>Cisco</t>
        </is>
      </c>
      <c r="E1068" s="43" t="inlineStr">
        <is>
          <t>MCGA</t>
        </is>
      </c>
      <c r="F1068" s="43" t="inlineStr">
        <is>
          <t>239-CRBU</t>
        </is>
      </c>
      <c r="G1068" s="43" t="inlineStr">
        <is>
          <t>CTANJZ05179</t>
        </is>
      </c>
      <c r="H1068" s="43" t="inlineStr">
        <is>
          <t>For temporary Manufacturing process change</t>
        </is>
      </c>
      <c r="I1068" s="43" t="inlineStr">
        <is>
          <t>Customer Deviation</t>
        </is>
      </c>
      <c r="J1068" s="43" t="inlineStr">
        <is>
          <t>D610254</t>
        </is>
      </c>
      <c r="K1068" s="33" t="inlineStr">
        <is>
          <t>D610254 CRBU: 8000- RP2-S -25.4.1 FPD versions - SNT implementationRP2-S ( latest production version and revision ) - 68-8066-011.Deviation is to tract the first Serial number of the board which implement the 25.4.1 for all the products listed above.2.Changes between the XR 7.3.6 vs 25.4.1 is listed in the attachment.</t>
        </is>
      </c>
      <c r="L1068" s="43" t="inlineStr">
        <is>
          <t>Expired</t>
        </is>
      </c>
      <c r="M1068" s="43" t="inlineStr">
        <is>
          <t>68-8066-01</t>
        </is>
      </c>
      <c r="N1068" s="43" t="inlineStr"/>
      <c r="O1068" s="43" t="inlineStr">
        <is>
          <t>2026-06-28</t>
        </is>
      </c>
      <c r="P1068" s="33" t="inlineStr">
        <is>
          <t>For temporary Manufacturing process change</t>
        </is>
      </c>
      <c r="Q1068" s="43" t="inlineStr">
        <is>
          <t>Program the deviation number  Apply the deviation label</t>
        </is>
      </c>
      <c r="R1068" s="43" t="inlineStr">
        <is>
          <t>2026-03-31</t>
        </is>
      </c>
      <c r="S1068" s="43" t="inlineStr">
        <is>
          <t>2026-05-20</t>
        </is>
      </c>
      <c r="T1068" s="43" t="inlineStr"/>
      <c r="U1068" s="43" t="inlineStr"/>
    </row>
    <row r="1069">
      <c r="A1069" s="43" t="n">
        <v>1069</v>
      </c>
      <c r="B1069" s="43" t="inlineStr">
        <is>
          <t>1068</t>
        </is>
      </c>
      <c r="C1069" s="43" t="inlineStr">
        <is>
          <t>FJZP</t>
        </is>
      </c>
      <c r="D1069" s="43" t="inlineStr">
        <is>
          <t>Cisco</t>
        </is>
      </c>
      <c r="E1069" s="43" t="inlineStr">
        <is>
          <t>MCGA</t>
        </is>
      </c>
      <c r="F1069" s="43" t="inlineStr">
        <is>
          <t>239-CRBU</t>
        </is>
      </c>
      <c r="G1069" s="43" t="inlineStr">
        <is>
          <t>CTANJZ05177</t>
        </is>
      </c>
      <c r="H1069" s="43" t="inlineStr">
        <is>
          <t>For temporary Manufacturing process change</t>
        </is>
      </c>
      <c r="I1069" s="43" t="inlineStr">
        <is>
          <t>Customer Deviation</t>
        </is>
      </c>
      <c r="J1069" s="43" t="inlineStr">
        <is>
          <t>D610236</t>
        </is>
      </c>
      <c r="K1069" s="33" t="inlineStr">
        <is>
          <t>D610236 CRBU: 8000- LS4;8;18 &amp; LC4;5;7; RP1 &amp; RP2 -25.4.1 FPD versions - SNT implementationLC4: 68-7406 ( latest production version &amp; revision )LC5: 68-7184 ( latest production version &amp; revision )LC7 :68-7393 ( latest production version &amp; revision )LS4 : 68-7261 ( latest production version &amp; revision )LS8 : 68-7195 ( latest production version &amp; revision )  LS18 : 68-7202 ( latest production version &amp; revision )RP1 : 68-6597 ( latest production version &amp; revision )RP2: 800-51482-01 ( latest production version &amp; revision )1.Deviation is to tract the first Serial number of the board which implement the 25.4.1 for all the products listed above.2.Changes between the XR 7.3.6 vs 25.4.1 is listed in the attachment.</t>
        </is>
      </c>
      <c r="L1069" s="43" t="inlineStr">
        <is>
          <t>Expired</t>
        </is>
      </c>
      <c r="M1069" s="43" t="inlineStr">
        <is>
          <t>68-6597-07</t>
        </is>
      </c>
      <c r="N1069" s="43" t="inlineStr"/>
      <c r="O1069" s="43" t="inlineStr">
        <is>
          <t>2026-06-28</t>
        </is>
      </c>
      <c r="P1069" s="33" t="inlineStr">
        <is>
          <t>For temporary Manufacturing process change</t>
        </is>
      </c>
      <c r="Q1069" s="43" t="inlineStr">
        <is>
          <t>Program the deviation number  Place the deviation label</t>
        </is>
      </c>
      <c r="R1069" s="43" t="inlineStr">
        <is>
          <t>2026-03-31</t>
        </is>
      </c>
      <c r="S1069" s="43" t="inlineStr">
        <is>
          <t>2026-05-20</t>
        </is>
      </c>
      <c r="T1069" s="43" t="inlineStr"/>
      <c r="U1069" s="43" t="inlineStr"/>
    </row>
    <row r="1070">
      <c r="A1070" s="43" t="n">
        <v>1070</v>
      </c>
      <c r="B1070" s="43" t="inlineStr">
        <is>
          <t>1069</t>
        </is>
      </c>
      <c r="C1070" s="43" t="inlineStr">
        <is>
          <t>FJZP</t>
        </is>
      </c>
      <c r="D1070" s="43" t="inlineStr">
        <is>
          <t>Cisco</t>
        </is>
      </c>
      <c r="E1070" s="43" t="inlineStr">
        <is>
          <t>MCGA</t>
        </is>
      </c>
      <c r="F1070" s="43" t="inlineStr">
        <is>
          <t>239-CRBU</t>
        </is>
      </c>
      <c r="G1070" s="43" t="inlineStr">
        <is>
          <t>CTANJZ05177</t>
        </is>
      </c>
      <c r="H1070" s="43" t="inlineStr">
        <is>
          <t>For temporary Manufacturing process change</t>
        </is>
      </c>
      <c r="I1070" s="43" t="inlineStr">
        <is>
          <t>Customer Deviation</t>
        </is>
      </c>
      <c r="J1070" s="43" t="inlineStr">
        <is>
          <t>D610236</t>
        </is>
      </c>
      <c r="K1070" s="33" t="inlineStr">
        <is>
          <t>D610236 CRBU: 8000- LS4;8;18 &amp; LC4;5;7; RP1 &amp; RP2 -25.4.1 FPD versions - SNT implementationLC4: 68-7406 ( latest production version &amp; revision )LC5: 68-7184 ( latest production version &amp; revision )LC7 :68-7393 ( latest production version &amp; revision )LS4 : 68-7261 ( latest production version &amp; revision )LS8 : 68-7195 ( latest production version &amp; revision )  LS18 : 68-7202 ( latest production version &amp; revision )RP1 : 68-6597 ( latest production version &amp; revision )RP2: 800-51482-01 ( latest production version &amp; revision )1.Deviation is to tract the first Serial number of the board which implement the 25.4.1 for all the products listed above.2.Changes between the XR 7.3.6 vs 25.4.1 is listed in the attachment.</t>
        </is>
      </c>
      <c r="L1070" s="43" t="inlineStr">
        <is>
          <t>Expired</t>
        </is>
      </c>
      <c r="M1070" s="43" t="inlineStr">
        <is>
          <t>68-7184-09</t>
        </is>
      </c>
      <c r="N1070" s="43" t="inlineStr"/>
      <c r="O1070" s="43" t="inlineStr">
        <is>
          <t>2026-06-28</t>
        </is>
      </c>
      <c r="P1070" s="33" t="inlineStr">
        <is>
          <t>For temporary Manufacturing process change</t>
        </is>
      </c>
      <c r="Q1070" s="43" t="inlineStr">
        <is>
          <t>Program the deviation number  Place the deviation label</t>
        </is>
      </c>
      <c r="R1070" s="43" t="inlineStr">
        <is>
          <t>2026-03-31</t>
        </is>
      </c>
      <c r="S1070" s="43" t="inlineStr">
        <is>
          <t>2026-05-20</t>
        </is>
      </c>
      <c r="T1070" s="43" t="inlineStr"/>
      <c r="U1070" s="43" t="inlineStr"/>
    </row>
    <row r="1071">
      <c r="A1071" s="43" t="n">
        <v>1071</v>
      </c>
      <c r="B1071" s="43" t="inlineStr">
        <is>
          <t>1070</t>
        </is>
      </c>
      <c r="C1071" s="43" t="inlineStr">
        <is>
          <t>FJZP</t>
        </is>
      </c>
      <c r="D1071" s="43" t="inlineStr">
        <is>
          <t>Cisco</t>
        </is>
      </c>
      <c r="E1071" s="43" t="inlineStr">
        <is>
          <t>MCGA</t>
        </is>
      </c>
      <c r="F1071" s="43" t="inlineStr">
        <is>
          <t>239-CRBU</t>
        </is>
      </c>
      <c r="G1071" s="43" t="inlineStr">
        <is>
          <t>CTANJZ05177</t>
        </is>
      </c>
      <c r="H1071" s="43" t="inlineStr">
        <is>
          <t>For temporary Manufacturing process change</t>
        </is>
      </c>
      <c r="I1071" s="43" t="inlineStr">
        <is>
          <t>Customer Deviation</t>
        </is>
      </c>
      <c r="J1071" s="43" t="inlineStr">
        <is>
          <t>D610236</t>
        </is>
      </c>
      <c r="K1071" s="33" t="inlineStr">
        <is>
          <t>D610236 CRBU: 8000- LS4;8;18 &amp; LC4;5;7; RP1 &amp; RP2 -25.4.1 FPD versions - SNT implementationLC4: 68-7406 ( latest production version &amp; revision )LC5: 68-7184 ( latest production version &amp; revision )LC7 :68-7393 ( latest production version &amp; revision )LS4 : 68-7261 ( latest production version &amp; revision )LS8 : 68-7195 ( latest production version &amp; revision )  LS18 : 68-7202 ( latest production version &amp; revision )RP1 : 68-6597 ( latest production version &amp; revision )RP2: 800-51482-01 ( latest production version &amp; revision )1.Deviation is to tract the first Serial number of the board which implement the 25.4.1 for all the products listed above.2.Changes between the XR 7.3.6 vs 25.4.1 is listed in the attachment.</t>
        </is>
      </c>
      <c r="L1071" s="43" t="inlineStr">
        <is>
          <t>Expired</t>
        </is>
      </c>
      <c r="M1071" s="43" t="inlineStr">
        <is>
          <t>68-7195-09</t>
        </is>
      </c>
      <c r="N1071" s="43" t="inlineStr"/>
      <c r="O1071" s="43" t="inlineStr">
        <is>
          <t>2026-06-28</t>
        </is>
      </c>
      <c r="P1071" s="33" t="inlineStr">
        <is>
          <t>For temporary Manufacturing process change</t>
        </is>
      </c>
      <c r="Q1071" s="43" t="inlineStr">
        <is>
          <t>Program the deviation number  Place the deviation label</t>
        </is>
      </c>
      <c r="R1071" s="43" t="inlineStr">
        <is>
          <t>2026-03-31</t>
        </is>
      </c>
      <c r="S1071" s="43" t="inlineStr">
        <is>
          <t>2026-05-20</t>
        </is>
      </c>
      <c r="T1071" s="43" t="inlineStr"/>
      <c r="U1071" s="43" t="inlineStr"/>
    </row>
    <row r="1072">
      <c r="A1072" s="43" t="n">
        <v>1072</v>
      </c>
      <c r="B1072" s="43" t="inlineStr">
        <is>
          <t>1071</t>
        </is>
      </c>
      <c r="C1072" s="43" t="inlineStr">
        <is>
          <t>FJZP</t>
        </is>
      </c>
      <c r="D1072" s="43" t="inlineStr">
        <is>
          <t>Cisco</t>
        </is>
      </c>
      <c r="E1072" s="43" t="inlineStr">
        <is>
          <t>MCGA</t>
        </is>
      </c>
      <c r="F1072" s="43" t="inlineStr">
        <is>
          <t>239-CRBU</t>
        </is>
      </c>
      <c r="G1072" s="43" t="inlineStr">
        <is>
          <t>CTANJZ05177</t>
        </is>
      </c>
      <c r="H1072" s="43" t="inlineStr">
        <is>
          <t>For temporary Manufacturing process change</t>
        </is>
      </c>
      <c r="I1072" s="43" t="inlineStr">
        <is>
          <t>Customer Deviation</t>
        </is>
      </c>
      <c r="J1072" s="43" t="inlineStr">
        <is>
          <t>D610236</t>
        </is>
      </c>
      <c r="K1072" s="33" t="inlineStr">
        <is>
          <t>D610236 CRBU: 8000- LS4;8;18 &amp; LC4;5;7; RP1 &amp; RP2 -25.4.1 FPD versions - SNT implementationLC4: 68-7406 ( latest production version &amp; revision )LC5: 68-7184 ( latest production version &amp; revision )LC7 :68-7393 ( latest production version &amp; revision )LS4 : 68-7261 ( latest production version &amp; revision )LS8 : 68-7195 ( latest production version &amp; revision )  LS18 : 68-7202 ( latest production version &amp; revision )RP1 : 68-6597 ( latest production version &amp; revision )RP2: 800-51482-01 ( latest production version &amp; revision )1.Deviation is to tract the first Serial number of the board which implement the 25.4.1 for all the products listed above.2.Changes between the XR 7.3.6 vs 25.4.1 is listed in the attachment.</t>
        </is>
      </c>
      <c r="L1072" s="43" t="inlineStr">
        <is>
          <t>Expired</t>
        </is>
      </c>
      <c r="M1072" s="43" t="inlineStr">
        <is>
          <t>68-7202-09</t>
        </is>
      </c>
      <c r="N1072" s="43" t="inlineStr"/>
      <c r="O1072" s="43" t="inlineStr">
        <is>
          <t>2026-06-28</t>
        </is>
      </c>
      <c r="P1072" s="33" t="inlineStr">
        <is>
          <t>For temporary Manufacturing process change</t>
        </is>
      </c>
      <c r="Q1072" s="43" t="inlineStr">
        <is>
          <t>Program the deviation number  Place the deviation label</t>
        </is>
      </c>
      <c r="R1072" s="43" t="inlineStr">
        <is>
          <t>2026-03-31</t>
        </is>
      </c>
      <c r="S1072" s="43" t="inlineStr">
        <is>
          <t>2026-05-20</t>
        </is>
      </c>
      <c r="T1072" s="43" t="inlineStr"/>
      <c r="U1072" s="43" t="inlineStr"/>
    </row>
    <row r="1073">
      <c r="A1073" s="43" t="n">
        <v>1073</v>
      </c>
      <c r="B1073" s="43" t="inlineStr">
        <is>
          <t>1072</t>
        </is>
      </c>
      <c r="C1073" s="43" t="inlineStr">
        <is>
          <t>FJZP</t>
        </is>
      </c>
      <c r="D1073" s="43" t="inlineStr">
        <is>
          <t>Cisco</t>
        </is>
      </c>
      <c r="E1073" s="43" t="inlineStr">
        <is>
          <t>MCGA</t>
        </is>
      </c>
      <c r="F1073" s="43" t="inlineStr">
        <is>
          <t>239-CRBU</t>
        </is>
      </c>
      <c r="G1073" s="43" t="inlineStr">
        <is>
          <t>CTANJZ05177</t>
        </is>
      </c>
      <c r="H1073" s="43" t="inlineStr">
        <is>
          <t>For temporary Manufacturing process change</t>
        </is>
      </c>
      <c r="I1073" s="43" t="inlineStr">
        <is>
          <t>Customer Deviation</t>
        </is>
      </c>
      <c r="J1073" s="43" t="inlineStr">
        <is>
          <t>D610236</t>
        </is>
      </c>
      <c r="K1073" s="33" t="inlineStr">
        <is>
          <t>D610236 CRBU: 8000- LS4;8;18 &amp; LC4;5;7; RP1 &amp; RP2 -25.4.1 FPD versions - SNT implementationLC4: 68-7406 ( latest production version &amp; revision )LC5: 68-7184 ( latest production version &amp; revision )LC7 :68-7393 ( latest production version &amp; revision )LS4 : 68-7261 ( latest production version &amp; revision )LS8 : 68-7195 ( latest production version &amp; revision )  LS18 : 68-7202 ( latest production version &amp; revision )RP1 : 68-6597 ( latest production version &amp; revision )RP2: 800-51482-01 ( latest production version &amp; revision )1.Deviation is to tract the first Serial number of the board which implement the 25.4.1 for all the products listed above.2.Changes between the XR 7.3.6 vs 25.4.1 is listed in the attachment.</t>
        </is>
      </c>
      <c r="L1073" s="43" t="inlineStr">
        <is>
          <t>Expired</t>
        </is>
      </c>
      <c r="M1073" s="43" t="inlineStr">
        <is>
          <t>68-7261-07</t>
        </is>
      </c>
      <c r="N1073" s="43" t="inlineStr"/>
      <c r="O1073" s="43" t="inlineStr">
        <is>
          <t>2026-06-28</t>
        </is>
      </c>
      <c r="P1073" s="33" t="inlineStr">
        <is>
          <t>For temporary Manufacturing process change</t>
        </is>
      </c>
      <c r="Q1073" s="43" t="inlineStr">
        <is>
          <t>Program the deviation number  Place the deviation label</t>
        </is>
      </c>
      <c r="R1073" s="43" t="inlineStr">
        <is>
          <t>2026-03-31</t>
        </is>
      </c>
      <c r="S1073" s="43" t="inlineStr">
        <is>
          <t>2026-05-20</t>
        </is>
      </c>
      <c r="T1073" s="43" t="inlineStr"/>
      <c r="U1073" s="43" t="inlineStr"/>
    </row>
    <row r="1074">
      <c r="A1074" s="43" t="n">
        <v>1074</v>
      </c>
      <c r="B1074" s="43" t="inlineStr">
        <is>
          <t>1073</t>
        </is>
      </c>
      <c r="C1074" s="43" t="inlineStr">
        <is>
          <t>FJZP</t>
        </is>
      </c>
      <c r="D1074" s="43" t="inlineStr">
        <is>
          <t>Cisco</t>
        </is>
      </c>
      <c r="E1074" s="43" t="inlineStr">
        <is>
          <t>MCGA</t>
        </is>
      </c>
      <c r="F1074" s="43" t="inlineStr">
        <is>
          <t>239-CRBU</t>
        </is>
      </c>
      <c r="G1074" s="43" t="inlineStr">
        <is>
          <t>CTANJZ05177</t>
        </is>
      </c>
      <c r="H1074" s="43" t="inlineStr">
        <is>
          <t>For temporary Manufacturing process change</t>
        </is>
      </c>
      <c r="I1074" s="43" t="inlineStr">
        <is>
          <t>Customer Deviation</t>
        </is>
      </c>
      <c r="J1074" s="43" t="inlineStr">
        <is>
          <t>D610236</t>
        </is>
      </c>
      <c r="K1074" s="33" t="inlineStr">
        <is>
          <t>D610236 CRBU: 8000- LS4;8;18 &amp; LC4;5;7; RP1 &amp; RP2 -25.4.1 FPD versions - SNT implementationLC4: 68-7406 ( latest production version &amp; revision )LC5: 68-7184 ( latest production version &amp; revision )LC7 :68-7393 ( latest production version &amp; revision )LS4 : 68-7261 ( latest production version &amp; revision )LS8 : 68-7195 ( latest production version &amp; revision )  LS18 : 68-7202 ( latest production version &amp; revision )RP1 : 68-6597 ( latest production version &amp; revision )RP2: 800-51482-01 ( latest production version &amp; revision )1.Deviation is to tract the first Serial number of the board which implement the 25.4.1 for all the products listed above.2.Changes between the XR 7.3.6 vs 25.4.1 is listed in the attachment.</t>
        </is>
      </c>
      <c r="L1074" s="43" t="inlineStr">
        <is>
          <t>Expired</t>
        </is>
      </c>
      <c r="M1074" s="43" t="inlineStr">
        <is>
          <t>68-7393-03</t>
        </is>
      </c>
      <c r="N1074" s="43" t="inlineStr"/>
      <c r="O1074" s="43" t="inlineStr">
        <is>
          <t>2026-06-28</t>
        </is>
      </c>
      <c r="P1074" s="33" t="inlineStr">
        <is>
          <t>For temporary Manufacturing process change</t>
        </is>
      </c>
      <c r="Q1074" s="43" t="inlineStr">
        <is>
          <t>Program the deviation number  Place the deviation label</t>
        </is>
      </c>
      <c r="R1074" s="43" t="inlineStr">
        <is>
          <t>2026-03-31</t>
        </is>
      </c>
      <c r="S1074" s="43" t="inlineStr">
        <is>
          <t>2026-05-20</t>
        </is>
      </c>
      <c r="T1074" s="43" t="inlineStr"/>
      <c r="U1074" s="43" t="inlineStr"/>
    </row>
    <row r="1075">
      <c r="A1075" s="43" t="n">
        <v>1075</v>
      </c>
      <c r="B1075" s="43" t="inlineStr">
        <is>
          <t>1074</t>
        </is>
      </c>
      <c r="C1075" s="43" t="inlineStr">
        <is>
          <t>FJZP</t>
        </is>
      </c>
      <c r="D1075" s="43" t="inlineStr">
        <is>
          <t>Cisco</t>
        </is>
      </c>
      <c r="E1075" s="43" t="inlineStr">
        <is>
          <t>MCGA</t>
        </is>
      </c>
      <c r="F1075" s="43" t="inlineStr">
        <is>
          <t>239-CRBU</t>
        </is>
      </c>
      <c r="G1075" s="43" t="inlineStr">
        <is>
          <t>CTANJZ05177</t>
        </is>
      </c>
      <c r="H1075" s="43" t="inlineStr">
        <is>
          <t>For temporary Manufacturing process change</t>
        </is>
      </c>
      <c r="I1075" s="43" t="inlineStr">
        <is>
          <t>Customer Deviation</t>
        </is>
      </c>
      <c r="J1075" s="43" t="inlineStr">
        <is>
          <t>D610236</t>
        </is>
      </c>
      <c r="K1075" s="33" t="inlineStr">
        <is>
          <t>D610236 CRBU: 8000- LS4;8;18 &amp; LC4;5;7; RP1 &amp; RP2 -25.4.1 FPD versions - SNT implementationLC4: 68-7406 ( latest production version &amp; revision )LC5: 68-7184 ( latest production version &amp; revision )LC7 :68-7393 ( latest production version &amp; revision )LS4 : 68-7261 ( latest production version &amp; revision )LS8 : 68-7195 ( latest production version &amp; revision )  LS18 : 68-7202 ( latest production version &amp; revision )RP1 : 68-6597 ( latest production version &amp; revision )RP2: 800-51482-01 ( latest production version &amp; revision )1.Deviation is to tract the first Serial number of the board which implement the 25.4.1 for all the products listed above.2.Changes between the XR 7.3.6 vs 25.4.1 is listed in the attachment.</t>
        </is>
      </c>
      <c r="L1075" s="43" t="inlineStr">
        <is>
          <t>Expired</t>
        </is>
      </c>
      <c r="M1075" s="43" t="inlineStr">
        <is>
          <t>68-7406-09</t>
        </is>
      </c>
      <c r="N1075" s="43" t="inlineStr"/>
      <c r="O1075" s="43" t="inlineStr">
        <is>
          <t>2026-06-28</t>
        </is>
      </c>
      <c r="P1075" s="33" t="inlineStr">
        <is>
          <t>For temporary Manufacturing process change</t>
        </is>
      </c>
      <c r="Q1075" s="43" t="inlineStr">
        <is>
          <t>Program the deviation number  Place the deviation label</t>
        </is>
      </c>
      <c r="R1075" s="43" t="inlineStr">
        <is>
          <t>2026-03-31</t>
        </is>
      </c>
      <c r="S1075" s="43" t="inlineStr">
        <is>
          <t>2026-05-20</t>
        </is>
      </c>
      <c r="T1075" s="43" t="inlineStr"/>
      <c r="U1075" s="43" t="inlineStr"/>
    </row>
    <row r="1076">
      <c r="A1076" s="43" t="n">
        <v>1076</v>
      </c>
      <c r="B1076" s="43" t="inlineStr">
        <is>
          <t>1075</t>
        </is>
      </c>
      <c r="C1076" s="43" t="inlineStr">
        <is>
          <t>FJZP</t>
        </is>
      </c>
      <c r="D1076" s="43" t="inlineStr">
        <is>
          <t>Cisco</t>
        </is>
      </c>
      <c r="E1076" s="43" t="inlineStr">
        <is>
          <t>MCGA</t>
        </is>
      </c>
      <c r="F1076" s="43" t="inlineStr">
        <is>
          <t>037-STBU</t>
        </is>
      </c>
      <c r="G1076" s="43" t="inlineStr">
        <is>
          <t>CTANJZ05145</t>
        </is>
      </c>
      <c r="H1076" s="43" t="inlineStr">
        <is>
          <t>For temporary Manufacturing process change</t>
        </is>
      </c>
      <c r="I1076" s="43" t="inlineStr">
        <is>
          <t>Customer Deviation</t>
        </is>
      </c>
      <c r="J1076" s="43" t="inlineStr">
        <is>
          <t>D609994</t>
        </is>
      </c>
      <c r="K1076" s="33" t="inlineStr">
        <is>
          <t>D609994 A. Restriction of AVL for CPN 16-101652-01:RESTRICT/DO NOT USE: Micron MPN MTFDKCC950TFR-1BC15ABCC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part(MTFDKCC950TFR-1BC15ABCC) must be reworked to replace the drive with the approved Samsung MPN (MZQL2960HCJR-00A07) to allow FPR3K SKUs to continue on the DF side.This deviation applies to MPNs at both PCBA and DF Sites at FJZ effective immediately.</t>
        </is>
      </c>
      <c r="L1076" s="43" t="inlineStr">
        <is>
          <t>Expired</t>
        </is>
      </c>
      <c r="M1076" s="43" t="inlineStr">
        <is>
          <t>68-7255-05</t>
        </is>
      </c>
      <c r="N1076" s="43" t="inlineStr"/>
      <c r="O1076" s="43" t="inlineStr">
        <is>
          <t>2026-06-10</t>
        </is>
      </c>
      <c r="P1076" s="33" t="inlineStr">
        <is>
          <t>For temporary Manufacturing process change</t>
        </is>
      </c>
      <c r="Q1076" s="43" t="inlineStr">
        <is>
          <t>Place Deviation Label Visibly on pull out tab</t>
        </is>
      </c>
      <c r="R1076" s="43" t="inlineStr">
        <is>
          <t>2026-03-13</t>
        </is>
      </c>
      <c r="S1076" s="43" t="inlineStr">
        <is>
          <t>2026-04-09</t>
        </is>
      </c>
      <c r="T1076" s="43" t="inlineStr"/>
      <c r="U1076" s="43" t="inlineStr"/>
    </row>
    <row r="1077">
      <c r="A1077" s="43" t="n">
        <v>1077</v>
      </c>
      <c r="B1077" s="43" t="inlineStr">
        <is>
          <t>1076</t>
        </is>
      </c>
      <c r="C1077" s="43" t="inlineStr">
        <is>
          <t>FJZP</t>
        </is>
      </c>
      <c r="D1077" s="43" t="inlineStr">
        <is>
          <t>Cisco</t>
        </is>
      </c>
      <c r="E1077" s="43" t="inlineStr">
        <is>
          <t>MCGA</t>
        </is>
      </c>
      <c r="F1077" s="43" t="inlineStr">
        <is>
          <t>037-STBU</t>
        </is>
      </c>
      <c r="G1077" s="43" t="inlineStr">
        <is>
          <t>CTANJZ05145</t>
        </is>
      </c>
      <c r="H1077" s="43" t="inlineStr">
        <is>
          <t>For temporary Manufacturing process change</t>
        </is>
      </c>
      <c r="I1077" s="43" t="inlineStr">
        <is>
          <t>Customer Deviation</t>
        </is>
      </c>
      <c r="J1077" s="43" t="inlineStr">
        <is>
          <t>D609994</t>
        </is>
      </c>
      <c r="K1077" s="33" t="inlineStr">
        <is>
          <t>D609994 A. Restriction of AVL for CPN 16-101652-01:RESTRICT/DO NOT USE: Micron MPN MTFDKCC950TFR-1BC15ABCC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part(MTFDKCC950TFR-1BC15ABCC) must be reworked to replace the drive with the approved Samsung MPN (MZQL2960HCJR-00A07) to allow FPR3K SKUs to continue on the DF side.This deviation applies to MPNs at both PCBA and DF Sites at FJZ effective immediately.</t>
        </is>
      </c>
      <c r="L1077" s="43" t="inlineStr">
        <is>
          <t>Expired</t>
        </is>
      </c>
      <c r="M1077" s="43" t="inlineStr">
        <is>
          <t>68-7256-05</t>
        </is>
      </c>
      <c r="N1077" s="43" t="inlineStr"/>
      <c r="O1077" s="43" t="inlineStr">
        <is>
          <t>2026-06-10</t>
        </is>
      </c>
      <c r="P1077" s="33" t="inlineStr">
        <is>
          <t>For temporary Manufacturing process change</t>
        </is>
      </c>
      <c r="Q1077" s="43" t="inlineStr">
        <is>
          <t>Place Deviation Label Visibly on pull out tab</t>
        </is>
      </c>
      <c r="R1077" s="43" t="inlineStr">
        <is>
          <t>2026-03-13</t>
        </is>
      </c>
      <c r="S1077" s="43" t="inlineStr">
        <is>
          <t>2026-04-09</t>
        </is>
      </c>
      <c r="T1077" s="43" t="inlineStr"/>
      <c r="U1077" s="43" t="inlineStr"/>
    </row>
    <row r="1078">
      <c r="A1078" s="43" t="n">
        <v>1078</v>
      </c>
      <c r="B1078" s="43" t="inlineStr">
        <is>
          <t>1077</t>
        </is>
      </c>
      <c r="C1078" s="43" t="inlineStr">
        <is>
          <t>FJZP</t>
        </is>
      </c>
      <c r="D1078" s="43" t="inlineStr">
        <is>
          <t>Cisco</t>
        </is>
      </c>
      <c r="E1078" s="43" t="inlineStr">
        <is>
          <t>MCGA</t>
        </is>
      </c>
      <c r="F1078" s="43" t="inlineStr">
        <is>
          <t>037-STBU</t>
        </is>
      </c>
      <c r="G1078" s="43" t="inlineStr">
        <is>
          <t>CTANJZ05145</t>
        </is>
      </c>
      <c r="H1078" s="43" t="inlineStr">
        <is>
          <t>For temporary Manufacturing process change</t>
        </is>
      </c>
      <c r="I1078" s="43" t="inlineStr">
        <is>
          <t>Customer Deviation</t>
        </is>
      </c>
      <c r="J1078" s="43" t="inlineStr">
        <is>
          <t>D609994</t>
        </is>
      </c>
      <c r="K1078" s="33" t="inlineStr">
        <is>
          <t>D609994 A. Restriction of AVL for CPN 16-101652-01:RESTRICT/DO NOT USE: Micron MPN MTFDKCC950TFR-1BC15ABCC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part(MTFDKCC950TFR-1BC15ABCC) must be reworked to replace the drive with the approved Samsung MPN (MZQL2960HCJR-00A07) to allow FPR3K SKUs to continue on the DF side.This deviation applies to MPNs at both PCBA and DF Sites at FJZ effective immediately.</t>
        </is>
      </c>
      <c r="L1078" s="43" t="inlineStr">
        <is>
          <t>Expired</t>
        </is>
      </c>
      <c r="M1078" s="43" t="inlineStr">
        <is>
          <t>68-7638-02</t>
        </is>
      </c>
      <c r="N1078" s="43" t="inlineStr"/>
      <c r="O1078" s="43" t="inlineStr">
        <is>
          <t>2026-06-10</t>
        </is>
      </c>
      <c r="P1078" s="33" t="inlineStr">
        <is>
          <t>For temporary Manufacturing process change</t>
        </is>
      </c>
      <c r="Q1078" s="43" t="inlineStr">
        <is>
          <t>Place Deviation Label Visibly on pull out tab</t>
        </is>
      </c>
      <c r="R1078" s="43" t="inlineStr">
        <is>
          <t>2026-03-13</t>
        </is>
      </c>
      <c r="S1078" s="43" t="inlineStr">
        <is>
          <t>2026-04-09</t>
        </is>
      </c>
      <c r="T1078" s="43" t="inlineStr"/>
      <c r="U1078" s="43" t="inlineStr"/>
    </row>
    <row r="1079">
      <c r="A1079" s="43" t="n">
        <v>1079</v>
      </c>
      <c r="B1079" s="43" t="inlineStr">
        <is>
          <t>1078</t>
        </is>
      </c>
      <c r="C1079" s="43" t="inlineStr">
        <is>
          <t>FJZP</t>
        </is>
      </c>
      <c r="D1079" s="43" t="inlineStr">
        <is>
          <t>Cisco</t>
        </is>
      </c>
      <c r="E1079" s="43" t="inlineStr">
        <is>
          <t>MCGA</t>
        </is>
      </c>
      <c r="F1079" s="43" t="inlineStr">
        <is>
          <t>037-STBU</t>
        </is>
      </c>
      <c r="G1079" s="43" t="inlineStr">
        <is>
          <t>CTANJZ05145</t>
        </is>
      </c>
      <c r="H1079" s="43" t="inlineStr">
        <is>
          <t>For temporary Manufacturing process change</t>
        </is>
      </c>
      <c r="I1079" s="43" t="inlineStr">
        <is>
          <t>Customer Deviation</t>
        </is>
      </c>
      <c r="J1079" s="43" t="inlineStr">
        <is>
          <t>D609994</t>
        </is>
      </c>
      <c r="K1079" s="33" t="inlineStr">
        <is>
          <t>D609994 A. Restriction of AVL for CPN 16-101652-01:RESTRICT/DO NOT USE: Micron MPN MTFDKCC950TFR-1BC15ABCC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part(MTFDKCC950TFR-1BC15ABCC) must be reworked to replace the drive with the approved Samsung MPN (MZQL2960HCJR-00A07) to allow FPR3K SKUs to continue on the DF side.This deviation applies to MPNs at both PCBA and DF Sites at FJZ effective immediately.</t>
        </is>
      </c>
      <c r="L1079" s="43" t="inlineStr">
        <is>
          <t>Expired</t>
        </is>
      </c>
      <c r="M1079" s="43" t="inlineStr">
        <is>
          <t>74-126726-01</t>
        </is>
      </c>
      <c r="N1079" s="43" t="inlineStr"/>
      <c r="O1079" s="43" t="inlineStr">
        <is>
          <t>2026-06-10</t>
        </is>
      </c>
      <c r="P1079" s="33" t="inlineStr">
        <is>
          <t>For temporary Manufacturing process change</t>
        </is>
      </c>
      <c r="Q1079" s="43" t="inlineStr">
        <is>
          <t>Place Deviation Label Visibly on pull out tab</t>
        </is>
      </c>
      <c r="R1079" s="43" t="inlineStr">
        <is>
          <t>2026-03-13</t>
        </is>
      </c>
      <c r="S1079" s="43" t="inlineStr">
        <is>
          <t>2026-04-09</t>
        </is>
      </c>
      <c r="T1079" s="43" t="inlineStr"/>
      <c r="U1079" s="43" t="inlineStr"/>
    </row>
    <row r="1080">
      <c r="A1080" s="43" t="n">
        <v>1080</v>
      </c>
      <c r="B1080" s="43" t="inlineStr">
        <is>
          <t>1079</t>
        </is>
      </c>
      <c r="C1080" s="43" t="inlineStr">
        <is>
          <t>FJZP</t>
        </is>
      </c>
      <c r="D1080" s="43" t="inlineStr">
        <is>
          <t>Cisco</t>
        </is>
      </c>
      <c r="E1080" s="43" t="inlineStr">
        <is>
          <t>MCGA</t>
        </is>
      </c>
      <c r="F1080" s="43" t="inlineStr">
        <is>
          <t>239-CRBU</t>
        </is>
      </c>
      <c r="G1080" s="43" t="inlineStr">
        <is>
          <t>CTANJZ05146</t>
        </is>
      </c>
      <c r="H1080" s="43" t="inlineStr">
        <is>
          <t>For temporary Manufacturing process change</t>
        </is>
      </c>
      <c r="I1080" s="43" t="inlineStr">
        <is>
          <t>Customer Deviation</t>
        </is>
      </c>
      <c r="J1080" s="43" t="inlineStr">
        <is>
          <t>D610073</t>
        </is>
      </c>
      <c r="K1080" s="33" t="inlineStr">
        <is>
          <t>D610073 CRBU - Allow FVN &amp; FJZ to Risk Buy  51-103496-01 - 5K Each site.Approved to risk buy 51-103496-01 based on demand on below programs.LS18; LS8; LS4; LC7; LC6; LC6E; LC1; FC12</t>
        </is>
      </c>
      <c r="L1080" s="43" t="inlineStr">
        <is>
          <t>Expired</t>
        </is>
      </c>
      <c r="M1080" s="43" t="inlineStr">
        <is>
          <t>51-103496-01</t>
        </is>
      </c>
      <c r="N1080" s="43" t="inlineStr"/>
      <c r="O1080" s="43" t="inlineStr">
        <is>
          <t>2026-06-13</t>
        </is>
      </c>
      <c r="P1080" s="33" t="inlineStr">
        <is>
          <t>For temporary Manufacturing process change</t>
        </is>
      </c>
      <c r="Q1080" s="43" t="inlineStr">
        <is>
          <t>NA</t>
        </is>
      </c>
      <c r="R1080" s="43" t="inlineStr">
        <is>
          <t>2026-03-16</t>
        </is>
      </c>
      <c r="S1080" s="43" t="inlineStr">
        <is>
          <t>2026-03-26</t>
        </is>
      </c>
      <c r="T1080" s="43" t="inlineStr"/>
      <c r="U1080" s="43" t="inlineStr"/>
    </row>
    <row r="1081">
      <c r="A1081" s="43" t="n">
        <v>1081</v>
      </c>
      <c r="B1081" s="43" t="inlineStr">
        <is>
          <t>1080</t>
        </is>
      </c>
      <c r="C1081" s="43" t="inlineStr">
        <is>
          <t>FJZP</t>
        </is>
      </c>
      <c r="D1081" s="43" t="inlineStr">
        <is>
          <t>Cisco</t>
        </is>
      </c>
      <c r="E1081" s="43" t="inlineStr">
        <is>
          <t>MCGA</t>
        </is>
      </c>
      <c r="F1081" s="43" t="inlineStr">
        <is>
          <t>239-CRBU</t>
        </is>
      </c>
      <c r="G1081" s="43" t="inlineStr">
        <is>
          <t>CTANJZ05146</t>
        </is>
      </c>
      <c r="H1081" s="43" t="inlineStr">
        <is>
          <t>For temporary Manufacturing process change</t>
        </is>
      </c>
      <c r="I1081" s="43" t="inlineStr">
        <is>
          <t>Customer Deviation</t>
        </is>
      </c>
      <c r="J1081" s="43" t="inlineStr">
        <is>
          <t>D610073</t>
        </is>
      </c>
      <c r="K1081" s="33" t="inlineStr">
        <is>
          <t>D610073 CRBU - Allow FVN &amp; FJZ to Risk Buy  51-103496-01 - 5K Each site.Approved to risk buy 51-103496-01 based on demand on below programs.LS18; LS8; LS4; LC7; LC6; LC6E; LC1; FC12</t>
        </is>
      </c>
      <c r="L1081" s="43" t="inlineStr">
        <is>
          <t>Expired</t>
        </is>
      </c>
      <c r="M1081" s="43" t="inlineStr">
        <is>
          <t>68-6577-12</t>
        </is>
      </c>
      <c r="N1081" s="43" t="inlineStr"/>
      <c r="O1081" s="43" t="inlineStr">
        <is>
          <t>2026-06-13</t>
        </is>
      </c>
      <c r="P1081" s="33" t="inlineStr">
        <is>
          <t>For temporary Manufacturing process change</t>
        </is>
      </c>
      <c r="Q1081" s="43" t="inlineStr">
        <is>
          <t>NA</t>
        </is>
      </c>
      <c r="R1081" s="43" t="inlineStr">
        <is>
          <t>2026-03-16</t>
        </is>
      </c>
      <c r="S1081" s="43" t="inlineStr">
        <is>
          <t>2026-03-26</t>
        </is>
      </c>
      <c r="T1081" s="43" t="inlineStr"/>
      <c r="U1081" s="43" t="inlineStr"/>
    </row>
    <row r="1082">
      <c r="A1082" s="43" t="n">
        <v>1082</v>
      </c>
      <c r="B1082" s="43" t="inlineStr">
        <is>
          <t>1081</t>
        </is>
      </c>
      <c r="C1082" s="43" t="inlineStr">
        <is>
          <t>FJZP</t>
        </is>
      </c>
      <c r="D1082" s="43" t="inlineStr">
        <is>
          <t>Cisco</t>
        </is>
      </c>
      <c r="E1082" s="43" t="inlineStr">
        <is>
          <t>MCGA</t>
        </is>
      </c>
      <c r="F1082" s="43" t="inlineStr">
        <is>
          <t>239-CRBU</t>
        </is>
      </c>
      <c r="G1082" s="43" t="inlineStr">
        <is>
          <t>CTANJZ05146</t>
        </is>
      </c>
      <c r="H1082" s="43" t="inlineStr">
        <is>
          <t>For temporary Manufacturing process change</t>
        </is>
      </c>
      <c r="I1082" s="43" t="inlineStr">
        <is>
          <t>Customer Deviation</t>
        </is>
      </c>
      <c r="J1082" s="43" t="inlineStr">
        <is>
          <t>D610073</t>
        </is>
      </c>
      <c r="K1082" s="33" t="inlineStr">
        <is>
          <t>D610073 CRBU - Allow FVN &amp; FJZ to Risk Buy  51-103496-01 - 5K Each site.Approved to risk buy 51-103496-01 based on demand on below programs.LS18; LS8; LS4; LC7; LC6; LC6E; LC1; FC12</t>
        </is>
      </c>
      <c r="L1082" s="43" t="inlineStr">
        <is>
          <t>Expired</t>
        </is>
      </c>
      <c r="M1082" s="43" t="inlineStr">
        <is>
          <t>68-6686-08</t>
        </is>
      </c>
      <c r="N1082" s="43" t="inlineStr"/>
      <c r="O1082" s="43" t="inlineStr">
        <is>
          <t>2026-06-13</t>
        </is>
      </c>
      <c r="P1082" s="33" t="inlineStr">
        <is>
          <t>For temporary Manufacturing process change</t>
        </is>
      </c>
      <c r="Q1082" s="43" t="inlineStr">
        <is>
          <t>NA</t>
        </is>
      </c>
      <c r="R1082" s="43" t="inlineStr">
        <is>
          <t>2026-03-16</t>
        </is>
      </c>
      <c r="S1082" s="43" t="inlineStr">
        <is>
          <t>2026-03-26</t>
        </is>
      </c>
      <c r="T1082" s="43" t="inlineStr"/>
      <c r="U1082" s="43" t="inlineStr"/>
    </row>
    <row r="1083">
      <c r="A1083" s="43" t="n">
        <v>1083</v>
      </c>
      <c r="B1083" s="43" t="inlineStr">
        <is>
          <t>1082</t>
        </is>
      </c>
      <c r="C1083" s="43" t="inlineStr">
        <is>
          <t>FJZP</t>
        </is>
      </c>
      <c r="D1083" s="43" t="inlineStr">
        <is>
          <t>Cisco</t>
        </is>
      </c>
      <c r="E1083" s="43" t="inlineStr">
        <is>
          <t>MCGA</t>
        </is>
      </c>
      <c r="F1083" s="43" t="inlineStr">
        <is>
          <t>239-CRBU</t>
        </is>
      </c>
      <c r="G1083" s="43" t="inlineStr">
        <is>
          <t>CTANJZ05146</t>
        </is>
      </c>
      <c r="H1083" s="43" t="inlineStr">
        <is>
          <t>For temporary Manufacturing process change</t>
        </is>
      </c>
      <c r="I1083" s="43" t="inlineStr">
        <is>
          <t>Customer Deviation</t>
        </is>
      </c>
      <c r="J1083" s="43" t="inlineStr">
        <is>
          <t>D610073</t>
        </is>
      </c>
      <c r="K1083" s="33" t="inlineStr">
        <is>
          <t>D610073 CRBU - Allow FVN &amp; FJZ to Risk Buy  51-103496-01 - 5K Each site.Approved to risk buy 51-103496-01 based on demand on below programs.LS18; LS8; LS4; LC7; LC6; LC6E; LC1; FC12</t>
        </is>
      </c>
      <c r="L1083" s="43" t="inlineStr">
        <is>
          <t>Expired</t>
        </is>
      </c>
      <c r="M1083" s="43" t="inlineStr">
        <is>
          <t>68-7195-09</t>
        </is>
      </c>
      <c r="N1083" s="43" t="inlineStr"/>
      <c r="O1083" s="43" t="inlineStr">
        <is>
          <t>2026-06-13</t>
        </is>
      </c>
      <c r="P1083" s="33" t="inlineStr">
        <is>
          <t>For temporary Manufacturing process change</t>
        </is>
      </c>
      <c r="Q1083" s="43" t="inlineStr">
        <is>
          <t>NA</t>
        </is>
      </c>
      <c r="R1083" s="43" t="inlineStr">
        <is>
          <t>2026-03-16</t>
        </is>
      </c>
      <c r="S1083" s="43" t="inlineStr">
        <is>
          <t>2026-03-26</t>
        </is>
      </c>
      <c r="T1083" s="43" t="inlineStr"/>
      <c r="U1083" s="43" t="inlineStr"/>
    </row>
    <row r="1084">
      <c r="A1084" s="43" t="n">
        <v>1084</v>
      </c>
      <c r="B1084" s="43" t="inlineStr">
        <is>
          <t>1083</t>
        </is>
      </c>
      <c r="C1084" s="43" t="inlineStr">
        <is>
          <t>FJZP</t>
        </is>
      </c>
      <c r="D1084" s="43" t="inlineStr">
        <is>
          <t>Cisco</t>
        </is>
      </c>
      <c r="E1084" s="43" t="inlineStr">
        <is>
          <t>MCGA</t>
        </is>
      </c>
      <c r="F1084" s="43" t="inlineStr">
        <is>
          <t>037-STBU</t>
        </is>
      </c>
      <c r="G1084" s="43" t="inlineStr">
        <is>
          <t>CTANJZ05166</t>
        </is>
      </c>
      <c r="H1084" s="43" t="inlineStr">
        <is>
          <t>For temporary Manufacturing process change</t>
        </is>
      </c>
      <c r="I1084" s="43" t="inlineStr">
        <is>
          <t>Customer Deviation</t>
        </is>
      </c>
      <c r="J1084" s="43" t="inlineStr">
        <is>
          <t>DP525902</t>
        </is>
      </c>
      <c r="K1084" s="33" t="inlineStr">
        <is>
          <t>DP525902his deviation will be used for the following instructions for Woodside Park SKU A &amp; B Pre-Pilot build.Pre Pilot A/B build Plan:35 SKU A-19 have been built and tested or in process of being tested. These units will have PSU; FANs; SSD to be shipped as extra accessory. DO NOT SHIP WITH GOLD ACCESSORY-16 SKU A units will be built and tested with the raw material (accessory list material) and will not use gold material31 SKU B-20 have been built and tested or in process of being tested. These units will have PSU; FANs; SSD to be shipped as extra accessory. DO NOT SHIP WITH GOLD ACCESSORY-11 SKU B units will be built and tested with the raw material (accessory list material) and will not use gold material</t>
        </is>
      </c>
      <c r="L1084" s="43" t="inlineStr">
        <is>
          <t>Expired</t>
        </is>
      </c>
      <c r="M1084" s="43" t="inlineStr">
        <is>
          <t>68-104574-04</t>
        </is>
      </c>
      <c r="N1084" s="43" t="inlineStr"/>
      <c r="O1084" s="43" t="inlineStr">
        <is>
          <t>2026-05-24</t>
        </is>
      </c>
      <c r="P1084" s="33" t="inlineStr">
        <is>
          <t>For temporary Manufacturing process change</t>
        </is>
      </c>
      <c r="Q1084" s="43" t="inlineStr">
        <is>
          <t>Place deviation label on the underside of the pull tab.</t>
        </is>
      </c>
      <c r="R1084" s="43" t="inlineStr">
        <is>
          <t>2026-03-26</t>
        </is>
      </c>
      <c r="S1084" s="43" t="inlineStr">
        <is>
          <t>2026-04-24</t>
        </is>
      </c>
      <c r="T1084" s="43" t="inlineStr"/>
      <c r="U1084" s="43" t="inlineStr"/>
    </row>
    <row r="1085">
      <c r="A1085" s="43" t="n">
        <v>1085</v>
      </c>
      <c r="B1085" s="43" t="inlineStr">
        <is>
          <t>1084</t>
        </is>
      </c>
      <c r="C1085" s="43" t="inlineStr">
        <is>
          <t>FJZP</t>
        </is>
      </c>
      <c r="D1085" s="43" t="inlineStr">
        <is>
          <t>Cisco</t>
        </is>
      </c>
      <c r="E1085" s="43" t="inlineStr">
        <is>
          <t>MCGA</t>
        </is>
      </c>
      <c r="F1085" s="43" t="inlineStr">
        <is>
          <t>037-STBU</t>
        </is>
      </c>
      <c r="G1085" s="43" t="inlineStr">
        <is>
          <t>CTANJZ05166</t>
        </is>
      </c>
      <c r="H1085" s="43" t="inlineStr">
        <is>
          <t>For temporary Manufacturing process change</t>
        </is>
      </c>
      <c r="I1085" s="43" t="inlineStr">
        <is>
          <t>Customer Deviation</t>
        </is>
      </c>
      <c r="J1085" s="43" t="inlineStr">
        <is>
          <t>DP525902</t>
        </is>
      </c>
      <c r="K1085" s="33" t="inlineStr">
        <is>
          <t>DP525902his deviation will be used for the following instructions for Woodside Park SKU A &amp; B Pre-Pilot build.Pre Pilot A/B build Plan:35 SKU A-19 have been built and tested or in process of being tested. These units will have PSU; FANs; SSD to be shipped as extra accessory. DO NOT SHIP WITH GOLD ACCESSORY-16 SKU A units will be built and tested with the raw material (accessory list material) and will not use gold material31 SKU B-20 have been built and tested or in process of being tested. These units will have PSU; FANs; SSD to be shipped as extra accessory. DO NOT SHIP WITH GOLD ACCESSORY-11 SKU B units will be built and tested with the raw material (accessory list material) and will not use gold material</t>
        </is>
      </c>
      <c r="L1085" s="43" t="inlineStr">
        <is>
          <t>Expired</t>
        </is>
      </c>
      <c r="M1085" s="43" t="inlineStr">
        <is>
          <t>68-104575-04</t>
        </is>
      </c>
      <c r="N1085" s="43" t="inlineStr"/>
      <c r="O1085" s="43" t="inlineStr">
        <is>
          <t>2026-05-24</t>
        </is>
      </c>
      <c r="P1085" s="33" t="inlineStr">
        <is>
          <t>For temporary Manufacturing process change</t>
        </is>
      </c>
      <c r="Q1085" s="43" t="inlineStr">
        <is>
          <t>Place deviation label on the underside of the pull tab.</t>
        </is>
      </c>
      <c r="R1085" s="43" t="inlineStr">
        <is>
          <t>2026-03-26</t>
        </is>
      </c>
      <c r="S1085" s="43" t="inlineStr">
        <is>
          <t>2026-04-24</t>
        </is>
      </c>
      <c r="T1085" s="43" t="inlineStr"/>
      <c r="U1085" s="43" t="inlineStr"/>
    </row>
    <row r="1086">
      <c r="A1086" s="43" t="n">
        <v>1086</v>
      </c>
      <c r="B1086" s="43" t="inlineStr">
        <is>
          <t>1085</t>
        </is>
      </c>
      <c r="C1086" s="43" t="inlineStr">
        <is>
          <t>FJZP</t>
        </is>
      </c>
      <c r="D1086" s="43" t="inlineStr">
        <is>
          <t>Cisco</t>
        </is>
      </c>
      <c r="E1086" s="43" t="inlineStr">
        <is>
          <t>MCGA</t>
        </is>
      </c>
      <c r="F1086" s="43" t="inlineStr">
        <is>
          <t>037-STBU</t>
        </is>
      </c>
      <c r="G1086" s="43" t="inlineStr">
        <is>
          <t>CTANJZ05166</t>
        </is>
      </c>
      <c r="H1086" s="43" t="inlineStr">
        <is>
          <t>For temporary Manufacturing process change</t>
        </is>
      </c>
      <c r="I1086" s="43" t="inlineStr">
        <is>
          <t>Customer Deviation</t>
        </is>
      </c>
      <c r="J1086" s="43" t="inlineStr">
        <is>
          <t>DP525902</t>
        </is>
      </c>
      <c r="K1086" s="33" t="inlineStr">
        <is>
          <t>DP525902his deviation will be used for the following instructions for Woodside Park SKU A &amp; B Pre-Pilot build.Pre Pilot A/B build Plan:35 SKU A-19 have been built and tested or in process of being tested. These units will have PSU; FANs; SSD to be shipped as extra accessory. DO NOT SHIP WITH GOLD ACCESSORY-16 SKU A units will be built and tested with the raw material (accessory list material) and will not use gold material31 SKU B-20 have been built and tested or in process of being tested. These units will have PSU; FANs; SSD to be shipped as extra accessory. DO NOT SHIP WITH GOLD ACCESSORY-11 SKU B units will be built and tested with the raw material (accessory list material) and will not use gold material</t>
        </is>
      </c>
      <c r="L1086" s="43" t="inlineStr">
        <is>
          <t>Expired</t>
        </is>
      </c>
      <c r="M1086" s="43" t="inlineStr">
        <is>
          <t>800-112581-04</t>
        </is>
      </c>
      <c r="N1086" s="43" t="inlineStr"/>
      <c r="O1086" s="43" t="inlineStr">
        <is>
          <t>2026-05-24</t>
        </is>
      </c>
      <c r="P1086" s="33" t="inlineStr">
        <is>
          <t>For temporary Manufacturing process change</t>
        </is>
      </c>
      <c r="Q1086" s="43" t="inlineStr">
        <is>
          <t>Place deviation label on the underside of the pull tab.</t>
        </is>
      </c>
      <c r="R1086" s="43" t="inlineStr">
        <is>
          <t>2026-03-26</t>
        </is>
      </c>
      <c r="S1086" s="43" t="inlineStr">
        <is>
          <t>2026-04-24</t>
        </is>
      </c>
      <c r="T1086" s="43" t="inlineStr"/>
      <c r="U1086" s="43" t="inlineStr"/>
    </row>
    <row r="1087">
      <c r="A1087" s="43" t="n">
        <v>1087</v>
      </c>
      <c r="B1087" s="43" t="inlineStr">
        <is>
          <t>1086</t>
        </is>
      </c>
      <c r="C1087" s="43" t="inlineStr">
        <is>
          <t>FJZP</t>
        </is>
      </c>
      <c r="D1087" s="43" t="inlineStr">
        <is>
          <t>Cisco</t>
        </is>
      </c>
      <c r="E1087" s="43" t="inlineStr">
        <is>
          <t>MCGA</t>
        </is>
      </c>
      <c r="F1087" s="43" t="inlineStr">
        <is>
          <t>037-STBU</t>
        </is>
      </c>
      <c r="G1087" s="43" t="inlineStr">
        <is>
          <t>CTANJZ05166</t>
        </is>
      </c>
      <c r="H1087" s="43" t="inlineStr">
        <is>
          <t>For temporary Manufacturing process change</t>
        </is>
      </c>
      <c r="I1087" s="43" t="inlineStr">
        <is>
          <t>Customer Deviation</t>
        </is>
      </c>
      <c r="J1087" s="43" t="inlineStr">
        <is>
          <t>DP525902</t>
        </is>
      </c>
      <c r="K1087" s="33" t="inlineStr">
        <is>
          <t>DP525902his deviation will be used for the following instructions for Woodside Park SKU A &amp; B Pre-Pilot build.Pre Pilot A/B build Plan:35 SKU A-19 have been built and tested or in process of being tested. These units will have PSU; FANs; SSD to be shipped as extra accessory. DO NOT SHIP WITH GOLD ACCESSORY-16 SKU A units will be built and tested with the raw material (accessory list material) and will not use gold material31 SKU B-20 have been built and tested or in process of being tested. These units will have PSU; FANs; SSD to be shipped as extra accessory. DO NOT SHIP WITH GOLD ACCESSORY-11 SKU B units will be built and tested with the raw material (accessory list material) and will not use gold material</t>
        </is>
      </c>
      <c r="L1087" s="43" t="inlineStr">
        <is>
          <t>Expired</t>
        </is>
      </c>
      <c r="M1087" s="43" t="inlineStr">
        <is>
          <t>800-112582-04</t>
        </is>
      </c>
      <c r="N1087" s="43" t="inlineStr"/>
      <c r="O1087" s="43" t="inlineStr">
        <is>
          <t>2026-05-24</t>
        </is>
      </c>
      <c r="P1087" s="33" t="inlineStr">
        <is>
          <t>For temporary Manufacturing process change</t>
        </is>
      </c>
      <c r="Q1087" s="43" t="inlineStr">
        <is>
          <t>Place deviation label on the underside of the pull tab.</t>
        </is>
      </c>
      <c r="R1087" s="43" t="inlineStr">
        <is>
          <t>2026-03-26</t>
        </is>
      </c>
      <c r="S1087" s="43" t="inlineStr">
        <is>
          <t>2026-04-24</t>
        </is>
      </c>
      <c r="T1087" s="43" t="inlineStr"/>
      <c r="U1087" s="43" t="inlineStr"/>
    </row>
    <row r="1088">
      <c r="A1088" s="43" t="n">
        <v>1088</v>
      </c>
      <c r="B1088" s="43" t="inlineStr">
        <is>
          <t>1087</t>
        </is>
      </c>
      <c r="C1088" s="43" t="inlineStr">
        <is>
          <t>FJZP</t>
        </is>
      </c>
      <c r="D1088" s="43" t="inlineStr">
        <is>
          <t>Cisco</t>
        </is>
      </c>
      <c r="E1088" s="43" t="inlineStr">
        <is>
          <t>MCGA</t>
        </is>
      </c>
      <c r="F1088" s="43" t="inlineStr">
        <is>
          <t>037-STBU</t>
        </is>
      </c>
      <c r="G1088" s="43" t="inlineStr">
        <is>
          <t>CTANJZ05200</t>
        </is>
      </c>
      <c r="H1088" s="43" t="inlineStr">
        <is>
          <t>For temporary Manufacturing process change</t>
        </is>
      </c>
      <c r="I1088" s="43" t="inlineStr">
        <is>
          <t>Customer Deviation</t>
        </is>
      </c>
      <c r="J1088" s="43" t="inlineStr">
        <is>
          <t>D610511</t>
        </is>
      </c>
      <c r="K1088" s="33" t="inlineStr">
        <is>
          <t>D610511Risk buy of presidios to re label the parts. There is a need to convert Presidios PCBs from a 73- part to another; this it's already covered in the TANMAPs; FJZ needs to do inventory transfers from one part number to another.FJZ needs to make sure the units have not been tested previously on functional test; then they will relabel with the same SN; but with the 73- part that is required; they will keep the tracking and provide the list of the serial numbers that were converted and what part will be used on.The records needs to be sent to Cisco TE; PE and ME</t>
        </is>
      </c>
      <c r="L1088" s="43" t="inlineStr">
        <is>
          <t>Expired</t>
        </is>
      </c>
      <c r="M1088" s="43" t="inlineStr">
        <is>
          <t>471-00325-01</t>
        </is>
      </c>
      <c r="N1088" s="43" t="inlineStr"/>
      <c r="O1088" s="43" t="inlineStr">
        <is>
          <t>2026-07-06</t>
        </is>
      </c>
      <c r="P1088" s="33" t="inlineStr">
        <is>
          <t>For temporary Manufacturing process change</t>
        </is>
      </c>
      <c r="Q1088" s="43" t="inlineStr">
        <is>
          <t>N/A. The boards will be marked when be re labeled this is only for risk buy</t>
        </is>
      </c>
      <c r="R1088" s="43" t="inlineStr">
        <is>
          <t>2026-04-09</t>
        </is>
      </c>
      <c r="S1088" s="43" t="inlineStr">
        <is>
          <t>2026-05-05</t>
        </is>
      </c>
      <c r="T1088" s="43" t="inlineStr"/>
      <c r="U1088" s="43" t="inlineStr"/>
    </row>
    <row r="1089">
      <c r="A1089" s="43" t="n">
        <v>1089</v>
      </c>
      <c r="B1089" s="43" t="inlineStr">
        <is>
          <t>1088</t>
        </is>
      </c>
      <c r="C1089" s="43" t="inlineStr">
        <is>
          <t>FJZP</t>
        </is>
      </c>
      <c r="D1089" s="43" t="inlineStr">
        <is>
          <t>Cisco</t>
        </is>
      </c>
      <c r="E1089" s="43" t="inlineStr">
        <is>
          <t>MCGA</t>
        </is>
      </c>
      <c r="F1089" s="43" t="inlineStr">
        <is>
          <t>037-STBU</t>
        </is>
      </c>
      <c r="G1089" s="43" t="inlineStr">
        <is>
          <t>CTANJZ05200</t>
        </is>
      </c>
      <c r="H1089" s="43" t="inlineStr">
        <is>
          <t>For temporary Manufacturing process change</t>
        </is>
      </c>
      <c r="I1089" s="43" t="inlineStr">
        <is>
          <t>Customer Deviation</t>
        </is>
      </c>
      <c r="J1089" s="43" t="inlineStr">
        <is>
          <t>D610511</t>
        </is>
      </c>
      <c r="K1089" s="33" t="inlineStr">
        <is>
          <t>D610511Risk buy of presidios to re label the parts. There is a need to convert Presidios PCBs from a 73- part to another; this it's already covered in the TANMAPs; FJZ needs to do inventory transfers from one part number to another.FJZ needs to make sure the units have not been tested previously on functional test; then they will relabel with the same SN; but with the 73- part that is required; they will keep the tracking and provide the list of the serial numbers that were converted and what part will be used on.The records needs to be sent to Cisco TE; PE and ME</t>
        </is>
      </c>
      <c r="L1089" s="43" t="inlineStr">
        <is>
          <t>Expired</t>
        </is>
      </c>
      <c r="M1089" s="43" t="inlineStr">
        <is>
          <t>73-18850-01</t>
        </is>
      </c>
      <c r="N1089" s="43" t="inlineStr"/>
      <c r="O1089" s="43" t="inlineStr">
        <is>
          <t>2026-07-06</t>
        </is>
      </c>
      <c r="P1089" s="33" t="inlineStr">
        <is>
          <t>For temporary Manufacturing process change</t>
        </is>
      </c>
      <c r="Q1089" s="43" t="inlineStr">
        <is>
          <t>N/A. The boards will be marked when be re labeled this is only for risk buy</t>
        </is>
      </c>
      <c r="R1089" s="43" t="inlineStr">
        <is>
          <t>2026-04-09</t>
        </is>
      </c>
      <c r="S1089" s="43" t="inlineStr">
        <is>
          <t>2026-05-05</t>
        </is>
      </c>
      <c r="T1089" s="43" t="inlineStr"/>
      <c r="U1089" s="43" t="inlineStr"/>
    </row>
    <row r="1090">
      <c r="A1090" s="43" t="n">
        <v>1090</v>
      </c>
      <c r="B1090" s="43" t="inlineStr">
        <is>
          <t>1089</t>
        </is>
      </c>
      <c r="C1090" s="43" t="inlineStr">
        <is>
          <t>FJZP</t>
        </is>
      </c>
      <c r="D1090" s="43" t="inlineStr">
        <is>
          <t>Cisco</t>
        </is>
      </c>
      <c r="E1090" s="43" t="inlineStr">
        <is>
          <t>MCGA</t>
        </is>
      </c>
      <c r="F1090" s="43" t="inlineStr">
        <is>
          <t>239-CRBU</t>
        </is>
      </c>
      <c r="G1090" s="43" t="inlineStr">
        <is>
          <t>CTANJZ05146</t>
        </is>
      </c>
      <c r="H1090" s="43" t="inlineStr">
        <is>
          <t>For temporary Manufacturing process change</t>
        </is>
      </c>
      <c r="I1090" s="43" t="inlineStr">
        <is>
          <t>Customer Deviation</t>
        </is>
      </c>
      <c r="J1090" s="43" t="inlineStr">
        <is>
          <t>D610073</t>
        </is>
      </c>
      <c r="K1090" s="33" t="inlineStr">
        <is>
          <t>D610073 CRBU - Allow FVN &amp; FJZ to Risk Buy  51-103496-01 - 5K Each site.Approved to risk buy 51-103496-01 based on demand on below programs.LS18; LS8; LS4; LC7; LC6; LC6E; LC1; FC12</t>
        </is>
      </c>
      <c r="L1090" s="43" t="inlineStr">
        <is>
          <t>Expired</t>
        </is>
      </c>
      <c r="M1090" s="43" t="inlineStr">
        <is>
          <t>68-7202-09</t>
        </is>
      </c>
      <c r="N1090" s="43" t="inlineStr"/>
      <c r="O1090" s="43" t="inlineStr">
        <is>
          <t>2026-06-13</t>
        </is>
      </c>
      <c r="P1090" s="33" t="inlineStr">
        <is>
          <t>For temporary Manufacturing process change</t>
        </is>
      </c>
      <c r="Q1090" s="43" t="inlineStr">
        <is>
          <t>NA</t>
        </is>
      </c>
      <c r="R1090" s="43" t="inlineStr">
        <is>
          <t>2026-03-16</t>
        </is>
      </c>
      <c r="S1090" s="43" t="inlineStr">
        <is>
          <t>2026-03-26</t>
        </is>
      </c>
      <c r="T1090" s="43" t="inlineStr"/>
      <c r="U1090" s="43" t="inlineStr"/>
    </row>
    <row r="1091">
      <c r="A1091" s="43" t="n">
        <v>1091</v>
      </c>
      <c r="B1091" s="43" t="inlineStr">
        <is>
          <t>1090</t>
        </is>
      </c>
      <c r="C1091" s="43" t="inlineStr">
        <is>
          <t>FJZP</t>
        </is>
      </c>
      <c r="D1091" s="43" t="inlineStr">
        <is>
          <t>Cisco</t>
        </is>
      </c>
      <c r="E1091" s="43" t="inlineStr">
        <is>
          <t>MCGA</t>
        </is>
      </c>
      <c r="F1091" s="43" t="inlineStr">
        <is>
          <t>239-CRBU</t>
        </is>
      </c>
      <c r="G1091" s="43" t="inlineStr">
        <is>
          <t>CTANJZ05146</t>
        </is>
      </c>
      <c r="H1091" s="43" t="inlineStr">
        <is>
          <t>For temporary Manufacturing process change</t>
        </is>
      </c>
      <c r="I1091" s="43" t="inlineStr">
        <is>
          <t>Customer Deviation</t>
        </is>
      </c>
      <c r="J1091" s="43" t="inlineStr">
        <is>
          <t>D610073</t>
        </is>
      </c>
      <c r="K1091" s="33" t="inlineStr">
        <is>
          <t>D610073 CRBU - Allow FVN &amp; FJZ to Risk Buy  51-103496-01 - 5K Each site.Approved to risk buy 51-103496-01 based on demand on below programs.LS18; LS8; LS4; LC7; LC6; LC6E; LC1; FC12</t>
        </is>
      </c>
      <c r="L1091" s="43" t="inlineStr">
        <is>
          <t>Expired</t>
        </is>
      </c>
      <c r="M1091" s="43" t="inlineStr">
        <is>
          <t>68-7261-07</t>
        </is>
      </c>
      <c r="N1091" s="43" t="inlineStr"/>
      <c r="O1091" s="43" t="inlineStr">
        <is>
          <t>2026-06-13</t>
        </is>
      </c>
      <c r="P1091" s="33" t="inlineStr">
        <is>
          <t>For temporary Manufacturing process change</t>
        </is>
      </c>
      <c r="Q1091" s="43" t="inlineStr">
        <is>
          <t>NA</t>
        </is>
      </c>
      <c r="R1091" s="43" t="inlineStr">
        <is>
          <t>2026-03-16</t>
        </is>
      </c>
      <c r="S1091" s="43" t="inlineStr">
        <is>
          <t>2026-03-26</t>
        </is>
      </c>
      <c r="T1091" s="43" t="inlineStr"/>
      <c r="U1091" s="43" t="inlineStr"/>
    </row>
    <row r="1092">
      <c r="A1092" s="43" t="n">
        <v>1092</v>
      </c>
      <c r="B1092" s="43" t="inlineStr">
        <is>
          <t>1091</t>
        </is>
      </c>
      <c r="C1092" s="43" t="inlineStr">
        <is>
          <t>FJZP</t>
        </is>
      </c>
      <c r="D1092" s="43" t="inlineStr">
        <is>
          <t>Cisco</t>
        </is>
      </c>
      <c r="E1092" s="43" t="inlineStr">
        <is>
          <t>MCGA</t>
        </is>
      </c>
      <c r="F1092" s="43" t="inlineStr">
        <is>
          <t>239-CRBU</t>
        </is>
      </c>
      <c r="G1092" s="43" t="inlineStr">
        <is>
          <t>CTANJZ05146</t>
        </is>
      </c>
      <c r="H1092" s="43" t="inlineStr">
        <is>
          <t>For temporary Manufacturing process change</t>
        </is>
      </c>
      <c r="I1092" s="43" t="inlineStr">
        <is>
          <t>Customer Deviation</t>
        </is>
      </c>
      <c r="J1092" s="43" t="inlineStr">
        <is>
          <t>D610073</t>
        </is>
      </c>
      <c r="K1092" s="33" t="inlineStr">
        <is>
          <t>D610073 CRBU - Allow FVN &amp; FJZ to Risk Buy  51-103496-01 - 5K Each site.Approved to risk buy 51-103496-01 based on demand on below programs.LS18; LS8; LS4; LC7; LC6; LC6E; LC1; FC12</t>
        </is>
      </c>
      <c r="L1092" s="43" t="inlineStr">
        <is>
          <t>Expired</t>
        </is>
      </c>
      <c r="M1092" s="43" t="inlineStr">
        <is>
          <t>68-7262-10</t>
        </is>
      </c>
      <c r="N1092" s="43" t="inlineStr"/>
      <c r="O1092" s="43" t="inlineStr">
        <is>
          <t>2026-06-13</t>
        </is>
      </c>
      <c r="P1092" s="33" t="inlineStr">
        <is>
          <t>For temporary Manufacturing process change</t>
        </is>
      </c>
      <c r="Q1092" s="43" t="inlineStr">
        <is>
          <t>NA</t>
        </is>
      </c>
      <c r="R1092" s="43" t="inlineStr">
        <is>
          <t>2026-03-16</t>
        </is>
      </c>
      <c r="S1092" s="43" t="inlineStr">
        <is>
          <t>2026-03-26</t>
        </is>
      </c>
      <c r="T1092" s="43" t="inlineStr"/>
      <c r="U1092" s="43" t="inlineStr"/>
    </row>
    <row r="1093">
      <c r="A1093" s="43" t="n">
        <v>1093</v>
      </c>
      <c r="B1093" s="43" t="inlineStr">
        <is>
          <t>1092</t>
        </is>
      </c>
      <c r="C1093" s="43" t="inlineStr">
        <is>
          <t>FJZP</t>
        </is>
      </c>
      <c r="D1093" s="43" t="inlineStr">
        <is>
          <t>Cisco</t>
        </is>
      </c>
      <c r="E1093" s="43" t="inlineStr">
        <is>
          <t>MCGA</t>
        </is>
      </c>
      <c r="F1093" s="43" t="inlineStr">
        <is>
          <t>239-CRBU</t>
        </is>
      </c>
      <c r="G1093" s="43" t="inlineStr">
        <is>
          <t>CTANJZ05146</t>
        </is>
      </c>
      <c r="H1093" s="43" t="inlineStr">
        <is>
          <t>For temporary Manufacturing process change</t>
        </is>
      </c>
      <c r="I1093" s="43" t="inlineStr">
        <is>
          <t>Customer Deviation</t>
        </is>
      </c>
      <c r="J1093" s="43" t="inlineStr">
        <is>
          <t>D610073</t>
        </is>
      </c>
      <c r="K1093" s="33" t="inlineStr">
        <is>
          <t>D610073 CRBU - Allow FVN &amp; FJZ to Risk Buy  51-103496-01 - 5K Each site.Approved to risk buy 51-103496-01 based on demand on below programs.LS18; LS8; LS4; LC7; LC6; LC6E; LC1; FC12</t>
        </is>
      </c>
      <c r="L1093" s="43" t="inlineStr">
        <is>
          <t>Expired</t>
        </is>
      </c>
      <c r="M1093" s="43" t="inlineStr">
        <is>
          <t>68-7393-03</t>
        </is>
      </c>
      <c r="N1093" s="43" t="inlineStr"/>
      <c r="O1093" s="43" t="inlineStr">
        <is>
          <t>2026-06-13</t>
        </is>
      </c>
      <c r="P1093" s="33" t="inlineStr">
        <is>
          <t>For temporary Manufacturing process change</t>
        </is>
      </c>
      <c r="Q1093" s="43" t="inlineStr">
        <is>
          <t>NA</t>
        </is>
      </c>
      <c r="R1093" s="43" t="inlineStr">
        <is>
          <t>2026-03-16</t>
        </is>
      </c>
      <c r="S1093" s="43" t="inlineStr">
        <is>
          <t>2026-03-26</t>
        </is>
      </c>
      <c r="T1093" s="43" t="inlineStr"/>
      <c r="U1093" s="43" t="inlineStr"/>
    </row>
    <row r="1094">
      <c r="A1094" s="43" t="n">
        <v>1094</v>
      </c>
      <c r="B1094" s="43" t="inlineStr">
        <is>
          <t>1093</t>
        </is>
      </c>
      <c r="C1094" s="43" t="inlineStr">
        <is>
          <t>FJZP</t>
        </is>
      </c>
      <c r="D1094" s="43" t="inlineStr">
        <is>
          <t>Cisco</t>
        </is>
      </c>
      <c r="E1094" s="43" t="inlineStr">
        <is>
          <t>MCGA</t>
        </is>
      </c>
      <c r="F1094" s="43" t="inlineStr">
        <is>
          <t>239-CRBU</t>
        </is>
      </c>
      <c r="G1094" s="43" t="inlineStr">
        <is>
          <t>CTANJZ05146</t>
        </is>
      </c>
      <c r="H1094" s="43" t="inlineStr">
        <is>
          <t>For temporary Manufacturing process change</t>
        </is>
      </c>
      <c r="I1094" s="43" t="inlineStr">
        <is>
          <t>Customer Deviation</t>
        </is>
      </c>
      <c r="J1094" s="43" t="inlineStr">
        <is>
          <t>D610073</t>
        </is>
      </c>
      <c r="K1094" s="33" t="inlineStr">
        <is>
          <t>D610073 CRBU - Allow FVN &amp; FJZ to Risk Buy  51-103496-01 - 5K Each site.Approved to risk buy 51-103496-01 based on demand on below programs.LS18; LS8; LS4; LC7; LC6; LC6E; LC1; FC12</t>
        </is>
      </c>
      <c r="L1094" s="43" t="inlineStr">
        <is>
          <t>Expired</t>
        </is>
      </c>
      <c r="M1094" s="43" t="inlineStr">
        <is>
          <t>68-7571-05</t>
        </is>
      </c>
      <c r="N1094" s="43" t="inlineStr"/>
      <c r="O1094" s="43" t="inlineStr">
        <is>
          <t>2026-06-13</t>
        </is>
      </c>
      <c r="P1094" s="33" t="inlineStr">
        <is>
          <t>For temporary Manufacturing process change</t>
        </is>
      </c>
      <c r="Q1094" s="43" t="inlineStr">
        <is>
          <t>NA</t>
        </is>
      </c>
      <c r="R1094" s="43" t="inlineStr">
        <is>
          <t>2026-03-16</t>
        </is>
      </c>
      <c r="S1094" s="43" t="inlineStr">
        <is>
          <t>2026-03-26</t>
        </is>
      </c>
      <c r="T1094" s="43" t="inlineStr"/>
      <c r="U1094" s="43" t="inlineStr"/>
    </row>
    <row r="1095">
      <c r="A1095" s="43" t="n">
        <v>1095</v>
      </c>
      <c r="B1095" s="43" t="inlineStr">
        <is>
          <t>1094</t>
        </is>
      </c>
      <c r="C1095" s="43" t="inlineStr">
        <is>
          <t>FJZP</t>
        </is>
      </c>
      <c r="D1095" s="43" t="inlineStr">
        <is>
          <t>Cisco</t>
        </is>
      </c>
      <c r="E1095" s="43" t="inlineStr">
        <is>
          <t>MCGA</t>
        </is>
      </c>
      <c r="F1095" s="43" t="inlineStr">
        <is>
          <t>037-STBU</t>
        </is>
      </c>
      <c r="G1095" s="43" t="inlineStr">
        <is>
          <t>CTANJZ05150</t>
        </is>
      </c>
      <c r="H1095" s="43" t="inlineStr">
        <is>
          <t>For temporary Manufacturing process change</t>
        </is>
      </c>
      <c r="I1095" s="43" t="inlineStr">
        <is>
          <t>Customer Deviation</t>
        </is>
      </c>
      <c r="J1095" s="43" t="inlineStr">
        <is>
          <t>D610122</t>
        </is>
      </c>
      <c r="K1095" s="33" t="inlineStr">
        <is>
          <t>D610122 NGFWBU:::: CSF1200::::Foxconn PN: C066.00531.005Manufacturer Part Number (MPN) :RC21008B175GND#BB0Quantity: 1;000 piecesDue to a critical material shortage of PN C066.00531.005; FJZ requests approval to use 1;000 pcs of Renesas devices that have a different top marking than standard production material. This deviation allows for such.The devices were originally manufactured as blank devices (RC21008BENGGND#BB0) and were programmed by Renesas to the required configuration RC21008B175GND#BB0 prior to shipment. The only difference is the top marking; which reflects the original blank device marking.Standard Material:MPN: RC21008B175GND#BB0Top Marking: Includes ¡§B175GND¡¨ (per Renesas marking diagram)Deviated Material:Final MPN: RC21008B175GND#BB0 (programmed by Renesas)Original Blank MPN: RC21008BENGGND#BB0Top Marking: Includes ¡§BENG¡¨ instead of ¡§B175GND¡¨No impact to FFF or quality as parts have been screen by Renesas...</t>
        </is>
      </c>
      <c r="L1095" s="43" t="inlineStr">
        <is>
          <t>Expired</t>
        </is>
      </c>
      <c r="M1095" s="43" t="inlineStr">
        <is>
          <t>74-139970-02</t>
        </is>
      </c>
      <c r="N1095" s="43" t="inlineStr"/>
      <c r="O1095" s="43" t="inlineStr">
        <is>
          <t>2026-06-15</t>
        </is>
      </c>
      <c r="P1095" s="33" t="inlineStr">
        <is>
          <t>For temporary Manufacturing process change</t>
        </is>
      </c>
      <c r="Q1095" s="43" t="inlineStr">
        <is>
          <t>Place deviation Label Visibly</t>
        </is>
      </c>
      <c r="R1095" s="43" t="inlineStr">
        <is>
          <t>2026-03-18</t>
        </is>
      </c>
      <c r="S1095" s="43" t="inlineStr">
        <is>
          <t>2026-04-17</t>
        </is>
      </c>
      <c r="T1095" s="43" t="inlineStr"/>
      <c r="U1095" s="43" t="inlineStr"/>
    </row>
    <row r="1096">
      <c r="A1096" s="43" t="n">
        <v>1096</v>
      </c>
      <c r="B1096" s="43" t="inlineStr">
        <is>
          <t>1095</t>
        </is>
      </c>
      <c r="C1096" s="43" t="inlineStr">
        <is>
          <t>FJZP</t>
        </is>
      </c>
      <c r="D1096" s="43" t="inlineStr">
        <is>
          <t>Cisco</t>
        </is>
      </c>
      <c r="E1096" s="43" t="inlineStr">
        <is>
          <t>MCGA</t>
        </is>
      </c>
      <c r="F1096" s="43" t="inlineStr">
        <is>
          <t>037-STBU</t>
        </is>
      </c>
      <c r="G1096" s="43" t="inlineStr">
        <is>
          <t>CTANJZ05150</t>
        </is>
      </c>
      <c r="H1096" s="43" t="inlineStr">
        <is>
          <t>For temporary Manufacturing process change</t>
        </is>
      </c>
      <c r="I1096" s="43" t="inlineStr">
        <is>
          <t>Customer Deviation</t>
        </is>
      </c>
      <c r="J1096" s="43" t="inlineStr">
        <is>
          <t>D610122</t>
        </is>
      </c>
      <c r="K1096" s="33" t="inlineStr">
        <is>
          <t>D610122 NGFWBU:::: CSF1200::::Foxconn PN: C066.00531.005Manufacturer Part Number (MPN) :RC21008B175GND#BB0Quantity: 1;000 piecesDue to a critical material shortage of PN C066.00531.005; FJZ requests approval to use 1;000 pcs of Renesas devices that have a different top marking than standard production material. This deviation allows for such.The devices were originally manufactured as blank devices (RC21008BENGGND#BB0) and were programmed by Renesas to the required configuration RC21008B175GND#BB0 prior to shipment. The only difference is the top marking; which reflects the original blank device marking.Standard Material:MPN: RC21008B175GND#BB0Top Marking: Includes ¡§B175GND¡¨ (per Renesas marking diagram)Deviated Material:Final MPN: RC21008B175GND#BB0 (programmed by Renesas)Original Blank MPN: RC21008BENGGND#BB0Top Marking: Includes ¡§BENG¡¨ instead of ¡§B175GND¡¨No impact to FFF or quality as parts have been screen by Renesas...</t>
        </is>
      </c>
      <c r="L1096" s="43" t="inlineStr">
        <is>
          <t>Expired</t>
        </is>
      </c>
      <c r="M1096" s="43" t="inlineStr">
        <is>
          <t>74-139971-02</t>
        </is>
      </c>
      <c r="N1096" s="43" t="inlineStr"/>
      <c r="O1096" s="43" t="inlineStr">
        <is>
          <t>2026-06-15</t>
        </is>
      </c>
      <c r="P1096" s="33" t="inlineStr">
        <is>
          <t>For temporary Manufacturing process change</t>
        </is>
      </c>
      <c r="Q1096" s="43" t="inlineStr">
        <is>
          <t>Place deviation Label Visibly</t>
        </is>
      </c>
      <c r="R1096" s="43" t="inlineStr">
        <is>
          <t>2026-03-18</t>
        </is>
      </c>
      <c r="S1096" s="43" t="inlineStr">
        <is>
          <t>2026-04-17</t>
        </is>
      </c>
      <c r="T1096" s="43" t="inlineStr"/>
      <c r="U1096" s="43" t="inlineStr"/>
    </row>
    <row r="1097">
      <c r="A1097" s="43" t="n">
        <v>1097</v>
      </c>
      <c r="B1097" s="43" t="inlineStr">
        <is>
          <t>1096</t>
        </is>
      </c>
      <c r="C1097" s="43" t="inlineStr">
        <is>
          <t>FJZP</t>
        </is>
      </c>
      <c r="D1097" s="43" t="inlineStr">
        <is>
          <t>Cisco</t>
        </is>
      </c>
      <c r="E1097" s="43" t="inlineStr">
        <is>
          <t>MCGA</t>
        </is>
      </c>
      <c r="F1097" s="43" t="inlineStr">
        <is>
          <t>037-STBU</t>
        </is>
      </c>
      <c r="G1097" s="43" t="inlineStr">
        <is>
          <t>CTANJZ05150</t>
        </is>
      </c>
      <c r="H1097" s="43" t="inlineStr">
        <is>
          <t>For temporary Manufacturing process change</t>
        </is>
      </c>
      <c r="I1097" s="43" t="inlineStr">
        <is>
          <t>Customer Deviation</t>
        </is>
      </c>
      <c r="J1097" s="43" t="inlineStr">
        <is>
          <t>D610122</t>
        </is>
      </c>
      <c r="K1097" s="33" t="inlineStr">
        <is>
          <t>D610122 NGFWBU:::: CSF1200::::Foxconn PN: C066.00531.005Manufacturer Part Number (MPN) :RC21008B175GND#BB0Quantity: 1;000 piecesDue to a critical material shortage of PN C066.00531.005; FJZ requests approval to use 1;000 pcs of Renesas devices that have a different top marking than standard production material. This deviation allows for such.The devices were originally manufactured as blank devices (RC21008BENGGND#BB0) and were programmed by Renesas to the required configuration RC21008B175GND#BB0 prior to shipment. The only difference is the top marking; which reflects the original blank device marking.Standard Material:MPN: RC21008B175GND#BB0Top Marking: Includes ¡§B175GND¡¨ (per Renesas marking diagram)Deviated Material:Final MPN: RC21008B175GND#BB0 (programmed by Renesas)Original Blank MPN: RC21008BENGGND#BB0Top Marking: Includes ¡§BENG¡¨ instead of ¡§B175GND¡¨No impact to FFF or quality as parts have been screen by Renesas...</t>
        </is>
      </c>
      <c r="L1097" s="43" t="inlineStr">
        <is>
          <t>Expired</t>
        </is>
      </c>
      <c r="M1097" s="43" t="inlineStr">
        <is>
          <t>74-139972-02</t>
        </is>
      </c>
      <c r="N1097" s="43" t="inlineStr"/>
      <c r="O1097" s="43" t="inlineStr">
        <is>
          <t>2026-06-15</t>
        </is>
      </c>
      <c r="P1097" s="33" t="inlineStr">
        <is>
          <t>For temporary Manufacturing process change</t>
        </is>
      </c>
      <c r="Q1097" s="43" t="inlineStr">
        <is>
          <t>Place deviation Label Visibly</t>
        </is>
      </c>
      <c r="R1097" s="43" t="inlineStr">
        <is>
          <t>2026-03-18</t>
        </is>
      </c>
      <c r="S1097" s="43" t="inlineStr">
        <is>
          <t>2026-04-17</t>
        </is>
      </c>
      <c r="T1097" s="43" t="inlineStr"/>
      <c r="U1097" s="43" t="inlineStr"/>
    </row>
    <row r="1098">
      <c r="A1098" s="43" t="n">
        <v>1098</v>
      </c>
      <c r="B1098" s="43" t="inlineStr">
        <is>
          <t>1097</t>
        </is>
      </c>
      <c r="C1098" s="43" t="inlineStr">
        <is>
          <t>FJZP</t>
        </is>
      </c>
      <c r="D1098" s="43" t="inlineStr">
        <is>
          <t>Cisco</t>
        </is>
      </c>
      <c r="E1098" s="43" t="inlineStr">
        <is>
          <t>MCGA</t>
        </is>
      </c>
      <c r="F1098" s="43" t="inlineStr">
        <is>
          <t>018-SRGBU</t>
        </is>
      </c>
      <c r="G1098" s="43" t="inlineStr">
        <is>
          <t>CTANJZ05017</t>
        </is>
      </c>
      <c r="H1098" s="43" t="inlineStr">
        <is>
          <t>For temporary Manufacturing process change</t>
        </is>
      </c>
      <c r="I1098" s="43" t="inlineStr">
        <is>
          <t>Customer Deviation</t>
        </is>
      </c>
      <c r="J1098" s="43" t="inlineStr">
        <is>
          <t>D608183</t>
        </is>
      </c>
      <c r="K1098" s="33" t="inlineStr">
        <is>
          <t>D608183 Allow FJZ to rename  Micron MPN= MTA36ASF4G72PZ-3G2R1 of the  15-104174-01  and 15-104289-01  ; as 15-107071-01; in the PIDs:MEM-C8200-32GBMEM-C8200-32GB=MEM-8300-32GBMEM-8300-32GB=MEM-C8500-32GBMEM-C8500-64GBMEM-C8500-64GB=MEM-C8500L-32GBMEM-C8500L-32GB=MEM-C8500L-64GBMEM-C8500L-64GB=</t>
        </is>
      </c>
      <c r="L1098" s="43" t="inlineStr">
        <is>
          <t>Expired</t>
        </is>
      </c>
      <c r="M1098" s="43" t="inlineStr">
        <is>
          <t>15-107071-01</t>
        </is>
      </c>
      <c r="N1098" s="43" t="inlineStr"/>
      <c r="O1098" s="43" t="inlineStr">
        <is>
          <t>2026-03-06</t>
        </is>
      </c>
      <c r="P1098" s="33" t="inlineStr">
        <is>
          <t>For temporary Manufacturing process change</t>
        </is>
      </c>
      <c r="Q1098" s="43" t="inlineStr">
        <is>
          <t>Add a small label with deviation number</t>
        </is>
      </c>
      <c r="R1098" s="43" t="inlineStr">
        <is>
          <t>2025-12-08</t>
        </is>
      </c>
      <c r="S1098" s="43" t="inlineStr">
        <is>
          <t>2026-01-13</t>
        </is>
      </c>
      <c r="T1098" s="43" t="inlineStr"/>
      <c r="U1098" s="43" t="inlineStr"/>
    </row>
    <row r="1099">
      <c r="A1099" s="43" t="n">
        <v>1099</v>
      </c>
      <c r="B1099" s="43" t="inlineStr">
        <is>
          <t>1098</t>
        </is>
      </c>
      <c r="C1099" s="43" t="inlineStr">
        <is>
          <t>FJZP</t>
        </is>
      </c>
      <c r="D1099" s="43" t="inlineStr">
        <is>
          <t>Cisco</t>
        </is>
      </c>
      <c r="E1099" s="43" t="inlineStr">
        <is>
          <t>MCGA</t>
        </is>
      </c>
      <c r="F1099" s="43" t="inlineStr">
        <is>
          <t>034-IOTBU</t>
        </is>
      </c>
      <c r="G1099" s="43" t="inlineStr">
        <is>
          <t>CTANJZ05015</t>
        </is>
      </c>
      <c r="H1099" s="43" t="inlineStr">
        <is>
          <t>For temporary Manufacturing process change</t>
        </is>
      </c>
      <c r="I1099" s="43" t="inlineStr">
        <is>
          <t>Customer Deviation</t>
        </is>
      </c>
      <c r="J1099" s="43" t="inlineStr">
        <is>
          <t>D607988</t>
        </is>
      </c>
      <c r="K1099" s="33" t="inlineStr">
        <is>
          <t>D607988 IoTBU: Allow FJZ to purchase MPN 65-00-GEL30-0300 (51-101214-01) as an alternate due to a short and a long LT of MPN 65-00-GEL30-0030 (51-103322-01).</t>
        </is>
      </c>
      <c r="L1099" s="43" t="inlineStr">
        <is>
          <t>Expired</t>
        </is>
      </c>
      <c r="M1099" s="43" t="inlineStr">
        <is>
          <t>68-101650-01</t>
        </is>
      </c>
      <c r="N1099" s="43" t="inlineStr"/>
      <c r="O1099" s="43" t="inlineStr">
        <is>
          <t>2026-03-06</t>
        </is>
      </c>
      <c r="P1099" s="33" t="inlineStr">
        <is>
          <t>For temporary Manufacturing process change</t>
        </is>
      </c>
      <c r="Q1099" s="43" t="inlineStr">
        <is>
          <t>N/A</t>
        </is>
      </c>
      <c r="R1099" s="43" t="inlineStr">
        <is>
          <t>2025-12-08</t>
        </is>
      </c>
      <c r="S1099" s="43" t="inlineStr">
        <is>
          <t>2026-01-14</t>
        </is>
      </c>
      <c r="T1099" s="43" t="inlineStr"/>
      <c r="U1099" s="43" t="inlineStr"/>
    </row>
    <row r="1100">
      <c r="A1100" s="43" t="n">
        <v>1100</v>
      </c>
      <c r="B1100" s="43" t="inlineStr">
        <is>
          <t>1099</t>
        </is>
      </c>
      <c r="C1100" s="43" t="inlineStr">
        <is>
          <t>FJZP</t>
        </is>
      </c>
      <c r="D1100" s="43" t="inlineStr">
        <is>
          <t>Cisco</t>
        </is>
      </c>
      <c r="E1100" s="43" t="inlineStr">
        <is>
          <t>MCGA</t>
        </is>
      </c>
      <c r="F1100" s="43" t="inlineStr">
        <is>
          <t>034-IOTBU</t>
        </is>
      </c>
      <c r="G1100" s="43" t="inlineStr">
        <is>
          <t>CTANJZ05015</t>
        </is>
      </c>
      <c r="H1100" s="43" t="inlineStr">
        <is>
          <t>For temporary Manufacturing process change</t>
        </is>
      </c>
      <c r="I1100" s="43" t="inlineStr">
        <is>
          <t>Customer Deviation</t>
        </is>
      </c>
      <c r="J1100" s="43" t="inlineStr">
        <is>
          <t>D607988</t>
        </is>
      </c>
      <c r="K1100" s="33" t="inlineStr">
        <is>
          <t>D607988 IoTBU: Allow FJZ to purchase MPN 65-00-GEL30-0300 (51-101214-01) as an alternate due to a short and a long LT of MPN 65-00-GEL30-0030 (51-103322-01).</t>
        </is>
      </c>
      <c r="L1100" s="43" t="inlineStr">
        <is>
          <t>Expired</t>
        </is>
      </c>
      <c r="M1100" s="43" t="inlineStr">
        <is>
          <t>68-101690-01</t>
        </is>
      </c>
      <c r="N1100" s="43" t="inlineStr"/>
      <c r="O1100" s="43" t="inlineStr">
        <is>
          <t>2026-03-06</t>
        </is>
      </c>
      <c r="P1100" s="33" t="inlineStr">
        <is>
          <t>For temporary Manufacturing process change</t>
        </is>
      </c>
      <c r="Q1100" s="43" t="inlineStr">
        <is>
          <t>N/A</t>
        </is>
      </c>
      <c r="R1100" s="43" t="inlineStr">
        <is>
          <t>2025-12-08</t>
        </is>
      </c>
      <c r="S1100" s="43" t="inlineStr">
        <is>
          <t>2026-01-14</t>
        </is>
      </c>
      <c r="T1100" s="43" t="inlineStr"/>
      <c r="U1100" s="43" t="inlineStr"/>
    </row>
    <row r="1101">
      <c r="A1101" s="43" t="n">
        <v>1101</v>
      </c>
      <c r="B1101" s="43" t="inlineStr">
        <is>
          <t>1100</t>
        </is>
      </c>
      <c r="C1101" s="43" t="inlineStr">
        <is>
          <t>FJZP</t>
        </is>
      </c>
      <c r="D1101" s="43" t="inlineStr">
        <is>
          <t>Cisco</t>
        </is>
      </c>
      <c r="E1101" s="43" t="inlineStr">
        <is>
          <t>MCGA</t>
        </is>
      </c>
      <c r="F1101" s="43" t="inlineStr">
        <is>
          <t>034-IOTBU</t>
        </is>
      </c>
      <c r="G1101" s="43" t="inlineStr">
        <is>
          <t>CTANJZ05015</t>
        </is>
      </c>
      <c r="H1101" s="43" t="inlineStr">
        <is>
          <t>For temporary Manufacturing process change</t>
        </is>
      </c>
      <c r="I1101" s="43" t="inlineStr">
        <is>
          <t>Customer Deviation</t>
        </is>
      </c>
      <c r="J1101" s="43" t="inlineStr">
        <is>
          <t>D607988</t>
        </is>
      </c>
      <c r="K1101" s="33" t="inlineStr">
        <is>
          <t>D607988 IoTBU: Allow FJZ to purchase MPN 65-00-GEL30-0300 (51-101214-01) as an alternate due to a short and a long LT of MPN 65-00-GEL30-0030 (51-103322-01).</t>
        </is>
      </c>
      <c r="L1101" s="43" t="inlineStr">
        <is>
          <t>Expired</t>
        </is>
      </c>
      <c r="M1101" s="43" t="inlineStr">
        <is>
          <t>800-104781-01</t>
        </is>
      </c>
      <c r="N1101" s="43" t="inlineStr"/>
      <c r="O1101" s="43" t="inlineStr">
        <is>
          <t>2026-03-06</t>
        </is>
      </c>
      <c r="P1101" s="33" t="inlineStr">
        <is>
          <t>For temporary Manufacturing process change</t>
        </is>
      </c>
      <c r="Q1101" s="43" t="inlineStr">
        <is>
          <t>N/A</t>
        </is>
      </c>
      <c r="R1101" s="43" t="inlineStr">
        <is>
          <t>2025-12-08</t>
        </is>
      </c>
      <c r="S1101" s="43" t="inlineStr">
        <is>
          <t>2026-01-14</t>
        </is>
      </c>
      <c r="T1101" s="43" t="inlineStr"/>
      <c r="U1101" s="43" t="inlineStr"/>
    </row>
    <row r="1102">
      <c r="A1102" s="43" t="n">
        <v>1102</v>
      </c>
      <c r="B1102" s="43" t="inlineStr">
        <is>
          <t>1101</t>
        </is>
      </c>
      <c r="C1102" s="43" t="inlineStr">
        <is>
          <t>FJZP</t>
        </is>
      </c>
      <c r="D1102" s="43" t="inlineStr">
        <is>
          <t>Cisco</t>
        </is>
      </c>
      <c r="E1102" s="43" t="inlineStr">
        <is>
          <t>MCGA</t>
        </is>
      </c>
      <c r="F1102" s="43" t="inlineStr">
        <is>
          <t>034-IOTBU</t>
        </is>
      </c>
      <c r="G1102" s="43" t="inlineStr">
        <is>
          <t>CTANJZ05015</t>
        </is>
      </c>
      <c r="H1102" s="43" t="inlineStr">
        <is>
          <t>For temporary Manufacturing process change</t>
        </is>
      </c>
      <c r="I1102" s="43" t="inlineStr">
        <is>
          <t>Customer Deviation</t>
        </is>
      </c>
      <c r="J1102" s="43" t="inlineStr">
        <is>
          <t>D607988</t>
        </is>
      </c>
      <c r="K1102" s="33" t="inlineStr">
        <is>
          <t>D607988 IoTBU: Allow FJZ to purchase MPN 65-00-GEL30-0300 (51-101214-01) as an alternate due to a short and a long LT of MPN 65-00-GEL30-0030 (51-103322-01).</t>
        </is>
      </c>
      <c r="L1102" s="43" t="inlineStr">
        <is>
          <t>Expired</t>
        </is>
      </c>
      <c r="M1102" s="43" t="inlineStr">
        <is>
          <t>800-104853-01</t>
        </is>
      </c>
      <c r="N1102" s="43" t="inlineStr"/>
      <c r="O1102" s="43" t="inlineStr">
        <is>
          <t>2026-03-06</t>
        </is>
      </c>
      <c r="P1102" s="33" t="inlineStr">
        <is>
          <t>For temporary Manufacturing process change</t>
        </is>
      </c>
      <c r="Q1102" s="43" t="inlineStr">
        <is>
          <t>N/A</t>
        </is>
      </c>
      <c r="R1102" s="43" t="inlineStr">
        <is>
          <t>2025-12-08</t>
        </is>
      </c>
      <c r="S1102" s="43" t="inlineStr">
        <is>
          <t>2026-01-14</t>
        </is>
      </c>
      <c r="T1102" s="43" t="inlineStr"/>
      <c r="U1102" s="43" t="inlineStr"/>
    </row>
    <row r="1103">
      <c r="A1103" s="43" t="n">
        <v>1103</v>
      </c>
      <c r="B1103" s="43" t="inlineStr">
        <is>
          <t>1102</t>
        </is>
      </c>
      <c r="C1103" s="43" t="inlineStr">
        <is>
          <t>FJZP</t>
        </is>
      </c>
      <c r="D1103" s="43" t="inlineStr">
        <is>
          <t>Cisco</t>
        </is>
      </c>
      <c r="E1103" s="43" t="inlineStr">
        <is>
          <t>MCGA</t>
        </is>
      </c>
      <c r="F1103" s="43" t="inlineStr">
        <is>
          <t>035-CVEBU</t>
        </is>
      </c>
      <c r="G1103" s="43" t="inlineStr">
        <is>
          <t>CTANJZ05211</t>
        </is>
      </c>
      <c r="H1103" s="43" t="inlineStr">
        <is>
          <t>For temporary Manufacturing process change</t>
        </is>
      </c>
      <c r="I1103" s="43" t="inlineStr">
        <is>
          <t>Customer Deviation</t>
        </is>
      </c>
      <c r="J1103" s="43" t="inlineStr">
        <is>
          <t>D610813</t>
        </is>
      </c>
      <c r="K1103" s="33" t="inlineStr">
        <is>
          <t>D610813CVEBU; Allow FJZ to use parts that does not show the test path correct in Cesium; however based on supplier`s data the units are OK to ship</t>
        </is>
      </c>
      <c r="L1103" s="43" t="inlineStr">
        <is>
          <t>Expired</t>
        </is>
      </c>
      <c r="M1103" s="43" t="inlineStr">
        <is>
          <t>74-146088-01</t>
        </is>
      </c>
      <c r="N1103" s="43" t="inlineStr"/>
      <c r="O1103" s="43" t="inlineStr">
        <is>
          <t>2026-07-14</t>
        </is>
      </c>
      <c r="P1103" s="33" t="inlineStr">
        <is>
          <t>For temporary Manufacturing process change</t>
        </is>
      </c>
      <c r="Q1103" s="43" t="inlineStr">
        <is>
          <t>Add small label with the deviation number aside of the product</t>
        </is>
      </c>
      <c r="R1103" s="43" t="inlineStr">
        <is>
          <t>2026-04-16</t>
        </is>
      </c>
      <c r="S1103" s="43" t="inlineStr">
        <is>
          <t>2026-04-28</t>
        </is>
      </c>
      <c r="T1103" s="43" t="inlineStr"/>
      <c r="U1103" s="43" t="inlineStr"/>
    </row>
    <row r="1104">
      <c r="A1104" s="43" t="n">
        <v>1104</v>
      </c>
      <c r="B1104" s="43" t="inlineStr">
        <is>
          <t>1103</t>
        </is>
      </c>
      <c r="C1104" s="43" t="inlineStr">
        <is>
          <t>FJZP</t>
        </is>
      </c>
      <c r="D1104" s="43" t="inlineStr">
        <is>
          <t>Cisco</t>
        </is>
      </c>
      <c r="E1104" s="43" t="inlineStr">
        <is>
          <t>MCGA</t>
        </is>
      </c>
      <c r="F1104" s="43" t="inlineStr">
        <is>
          <t>037-STBU</t>
        </is>
      </c>
      <c r="G1104" s="43" t="inlineStr">
        <is>
          <t>CTANJZ05218</t>
        </is>
      </c>
      <c r="H1104" s="43" t="inlineStr">
        <is>
          <t>For temporary Manufacturing process change</t>
        </is>
      </c>
      <c r="I1104" s="43" t="inlineStr">
        <is>
          <t>Customer Deviation</t>
        </is>
      </c>
      <c r="J1104" s="43" t="inlineStr">
        <is>
          <t>D610760</t>
        </is>
      </c>
      <c r="K1104" s="33" t="inlineStr">
        <is>
          <t>D6107601.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104" s="43" t="inlineStr">
        <is>
          <t>Expired</t>
        </is>
      </c>
      <c r="M1104" s="43" t="inlineStr">
        <is>
          <t>73-17499-07</t>
        </is>
      </c>
      <c r="N1104" s="43" t="inlineStr"/>
      <c r="O1104" s="43" t="inlineStr">
        <is>
          <t>2026-07-20</t>
        </is>
      </c>
      <c r="P1104" s="33" t="inlineStr">
        <is>
          <t>For temporary Manufacturing process change</t>
        </is>
      </c>
      <c r="Q1104" s="43" t="inlineStr">
        <is>
          <t>Mark the PCBA with the deviation number</t>
        </is>
      </c>
      <c r="R1104" s="43" t="inlineStr">
        <is>
          <t>2026-04-22</t>
        </is>
      </c>
      <c r="S1104" s="43" t="inlineStr">
        <is>
          <t>2026-05-21</t>
        </is>
      </c>
      <c r="T1104" s="43" t="inlineStr"/>
      <c r="U1104" s="43" t="inlineStr"/>
    </row>
    <row r="1105">
      <c r="A1105" s="43" t="n">
        <v>1105</v>
      </c>
      <c r="B1105" s="43" t="inlineStr">
        <is>
          <t>1104</t>
        </is>
      </c>
      <c r="C1105" s="43" t="inlineStr">
        <is>
          <t>FJZP</t>
        </is>
      </c>
      <c r="D1105" s="43" t="inlineStr">
        <is>
          <t>Cisco</t>
        </is>
      </c>
      <c r="E1105" s="43" t="inlineStr">
        <is>
          <t>MCGA</t>
        </is>
      </c>
      <c r="F1105" s="43" t="inlineStr">
        <is>
          <t>037-STBU</t>
        </is>
      </c>
      <c r="G1105" s="43" t="inlineStr">
        <is>
          <t>CTANJZ05218</t>
        </is>
      </c>
      <c r="H1105" s="43" t="inlineStr">
        <is>
          <t>For temporary Manufacturing process change</t>
        </is>
      </c>
      <c r="I1105" s="43" t="inlineStr">
        <is>
          <t>Customer Deviation</t>
        </is>
      </c>
      <c r="J1105" s="43" t="inlineStr">
        <is>
          <t>D610760</t>
        </is>
      </c>
      <c r="K1105" s="33" t="inlineStr">
        <is>
          <t>D6107601.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105" s="43" t="inlineStr">
        <is>
          <t>Expired</t>
        </is>
      </c>
      <c r="M1105" s="43" t="inlineStr">
        <is>
          <t>800-105498-03</t>
        </is>
      </c>
      <c r="N1105" s="43" t="inlineStr"/>
      <c r="O1105" s="43" t="inlineStr">
        <is>
          <t>2026-07-20</t>
        </is>
      </c>
      <c r="P1105" s="33" t="inlineStr">
        <is>
          <t>For temporary Manufacturing process change</t>
        </is>
      </c>
      <c r="Q1105" s="43" t="inlineStr">
        <is>
          <t>Mark the PCBA with the deviation number</t>
        </is>
      </c>
      <c r="R1105" s="43" t="inlineStr">
        <is>
          <t>2026-04-22</t>
        </is>
      </c>
      <c r="S1105" s="43" t="inlineStr">
        <is>
          <t>2026-05-21</t>
        </is>
      </c>
      <c r="T1105" s="43" t="inlineStr"/>
      <c r="U1105" s="43" t="inlineStr"/>
    </row>
    <row r="1106">
      <c r="A1106" s="43" t="n">
        <v>1106</v>
      </c>
      <c r="B1106" s="43" t="inlineStr">
        <is>
          <t>1105</t>
        </is>
      </c>
      <c r="C1106" s="43" t="inlineStr">
        <is>
          <t>FJZP</t>
        </is>
      </c>
      <c r="D1106" s="43" t="inlineStr">
        <is>
          <t>Cisco</t>
        </is>
      </c>
      <c r="E1106" s="43" t="inlineStr">
        <is>
          <t>MCGA</t>
        </is>
      </c>
      <c r="F1106" s="43" t="inlineStr">
        <is>
          <t>037-STBU</t>
        </is>
      </c>
      <c r="G1106" s="43" t="inlineStr">
        <is>
          <t>CTANJZ05218</t>
        </is>
      </c>
      <c r="H1106" s="43" t="inlineStr">
        <is>
          <t>For temporary Manufacturing process change</t>
        </is>
      </c>
      <c r="I1106" s="43" t="inlineStr">
        <is>
          <t>Customer Deviation</t>
        </is>
      </c>
      <c r="J1106" s="43" t="inlineStr">
        <is>
          <t>D610760</t>
        </is>
      </c>
      <c r="K1106" s="33" t="inlineStr">
        <is>
          <t>D6107601.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106" s="43" t="inlineStr">
        <is>
          <t>Expired</t>
        </is>
      </c>
      <c r="M1106" s="43" t="inlineStr">
        <is>
          <t>800-106633-03</t>
        </is>
      </c>
      <c r="N1106" s="43" t="inlineStr"/>
      <c r="O1106" s="43" t="inlineStr">
        <is>
          <t>2026-07-20</t>
        </is>
      </c>
      <c r="P1106" s="33" t="inlineStr">
        <is>
          <t>For temporary Manufacturing process change</t>
        </is>
      </c>
      <c r="Q1106" s="43" t="inlineStr">
        <is>
          <t>Mark the PCBA with the deviation number</t>
        </is>
      </c>
      <c r="R1106" s="43" t="inlineStr">
        <is>
          <t>2026-04-22</t>
        </is>
      </c>
      <c r="S1106" s="43" t="inlineStr">
        <is>
          <t>2026-05-21</t>
        </is>
      </c>
      <c r="T1106" s="43" t="inlineStr"/>
      <c r="U1106" s="43" t="inlineStr"/>
    </row>
    <row r="1107">
      <c r="A1107" s="43" t="n">
        <v>1107</v>
      </c>
      <c r="B1107" s="43" t="inlineStr">
        <is>
          <t>1106</t>
        </is>
      </c>
      <c r="C1107" s="43" t="inlineStr">
        <is>
          <t>FJZP</t>
        </is>
      </c>
      <c r="D1107" s="43" t="inlineStr">
        <is>
          <t>Cisco</t>
        </is>
      </c>
      <c r="E1107" s="43" t="inlineStr">
        <is>
          <t>MCGA</t>
        </is>
      </c>
      <c r="F1107" s="43" t="inlineStr">
        <is>
          <t>037-STBU</t>
        </is>
      </c>
      <c r="G1107" s="43" t="inlineStr">
        <is>
          <t>CTANJZ05215</t>
        </is>
      </c>
      <c r="H1107" s="43" t="inlineStr">
        <is>
          <t>For temporary Manufacturing process change</t>
        </is>
      </c>
      <c r="I1107" s="43" t="inlineStr">
        <is>
          <t>Customer Deviation</t>
        </is>
      </c>
      <c r="J1107" s="43" t="inlineStr">
        <is>
          <t>D610740</t>
        </is>
      </c>
      <c r="K1107" s="33" t="inlineStr">
        <is>
          <t>D610740 his deviation allows FJZ to use CPN 15-109516-01 in substitute of 15-107676-01 (Hynix -"HMAG94DXNRB204N / HMAG94DXNRB205N and MICRON -MTA36ASF8G72PZ-3G2F1; MTA36ASF8G72PZ-3G2E1) for FPR3120/FPR3140 and CSF4225/CSF4245 Units that are short materialInstructions:1. FJZ needs to override the 15-109516-01 for 15-107676-01 in the Auto DIMM machine2. Place deviation label in visible area of the board3. Deviation labels MUST be scanned at PCBP2 for traceability</t>
        </is>
      </c>
      <c r="L1107" s="43" t="inlineStr">
        <is>
          <t>Expired</t>
        </is>
      </c>
      <c r="M1107" s="43" t="inlineStr">
        <is>
          <t>15-107676-01</t>
        </is>
      </c>
      <c r="N1107" s="43" t="inlineStr"/>
      <c r="O1107" s="43" t="inlineStr">
        <is>
          <t>2026-07-19</t>
        </is>
      </c>
      <c r="P1107" s="33" t="inlineStr">
        <is>
          <t>For temporary Manufacturing process change</t>
        </is>
      </c>
      <c r="Q1107" s="43" t="inlineStr">
        <is>
          <t>1. FJZ needs to override the 15-109516-01 for 15-107676-01 in the Auto DIMM machine 2. Place deviation label in visible area of the board 3. Deviation labels MUST be scanned at PCBP2 for traceability</t>
        </is>
      </c>
      <c r="R1107" s="43" t="inlineStr">
        <is>
          <t>2026-04-21</t>
        </is>
      </c>
      <c r="S1107" s="43" t="inlineStr">
        <is>
          <t>2026-05-19</t>
        </is>
      </c>
      <c r="T1107" s="43" t="inlineStr"/>
      <c r="U1107" s="43" t="inlineStr"/>
    </row>
    <row r="1108">
      <c r="A1108" s="43" t="n">
        <v>1108</v>
      </c>
      <c r="B1108" s="43" t="inlineStr">
        <is>
          <t>1107</t>
        </is>
      </c>
      <c r="C1108" s="43" t="inlineStr">
        <is>
          <t>FJZP</t>
        </is>
      </c>
      <c r="D1108" s="43" t="inlineStr">
        <is>
          <t>Cisco</t>
        </is>
      </c>
      <c r="E1108" s="43" t="inlineStr">
        <is>
          <t>MCGA</t>
        </is>
      </c>
      <c r="F1108" s="43" t="inlineStr">
        <is>
          <t>037-STBU</t>
        </is>
      </c>
      <c r="G1108" s="43" t="inlineStr">
        <is>
          <t>CTANJZ05200</t>
        </is>
      </c>
      <c r="H1108" s="43" t="inlineStr">
        <is>
          <t>For temporary Manufacturing process change</t>
        </is>
      </c>
      <c r="I1108" s="43" t="inlineStr">
        <is>
          <t>Customer Deviation</t>
        </is>
      </c>
      <c r="J1108" s="43" t="inlineStr">
        <is>
          <t>D610511</t>
        </is>
      </c>
      <c r="K1108" s="33" t="inlineStr">
        <is>
          <t>D610511Risk buy of presidios to re label the parts. There is a need to convert Presidios PCBs from a 73- part to another; this it's already covered in the TANMAPs; FJZ needs to do inventory transfers from one part number to another.FJZ needs to make sure the units have not been tested previously on functional test; then they will relabel with the same SN; but with the 73- part that is required; they will keep the tracking and provide the list of the serial numbers that were converted and what part will be used on.The records needs to be sent to Cisco TE; PE and ME</t>
        </is>
      </c>
      <c r="L1108" s="43" t="inlineStr">
        <is>
          <t>Expired</t>
        </is>
      </c>
      <c r="M1108" s="43" t="inlineStr">
        <is>
          <t>73-19232-01</t>
        </is>
      </c>
      <c r="N1108" s="43" t="inlineStr"/>
      <c r="O1108" s="43" t="inlineStr">
        <is>
          <t>2026-07-06</t>
        </is>
      </c>
      <c r="P1108" s="33" t="inlineStr">
        <is>
          <t>For temporary Manufacturing process change</t>
        </is>
      </c>
      <c r="Q1108" s="43" t="inlineStr">
        <is>
          <t>N/A. The boards will be marked when be re labeled this is only for risk buy</t>
        </is>
      </c>
      <c r="R1108" s="43" t="inlineStr">
        <is>
          <t>2026-04-09</t>
        </is>
      </c>
      <c r="S1108" s="43" t="inlineStr">
        <is>
          <t>2026-05-05</t>
        </is>
      </c>
      <c r="T1108" s="43" t="inlineStr"/>
      <c r="U1108" s="43" t="inlineStr"/>
    </row>
    <row r="1109">
      <c r="A1109" s="43" t="n">
        <v>1109</v>
      </c>
      <c r="B1109" s="43" t="inlineStr">
        <is>
          <t>1108</t>
        </is>
      </c>
      <c r="C1109" s="43" t="inlineStr">
        <is>
          <t>FJZP</t>
        </is>
      </c>
      <c r="D1109" s="43" t="inlineStr">
        <is>
          <t>Cisco</t>
        </is>
      </c>
      <c r="E1109" s="43" t="inlineStr">
        <is>
          <t>MCGA</t>
        </is>
      </c>
      <c r="F1109" s="43" t="inlineStr">
        <is>
          <t>037-STBU</t>
        </is>
      </c>
      <c r="G1109" s="43" t="inlineStr">
        <is>
          <t>CTANJZ05200</t>
        </is>
      </c>
      <c r="H1109" s="43" t="inlineStr">
        <is>
          <t>For temporary Manufacturing process change</t>
        </is>
      </c>
      <c r="I1109" s="43" t="inlineStr">
        <is>
          <t>Customer Deviation</t>
        </is>
      </c>
      <c r="J1109" s="43" t="inlineStr">
        <is>
          <t>D610511</t>
        </is>
      </c>
      <c r="K1109" s="33" t="inlineStr">
        <is>
          <t>D610511Risk buy of presidios to re label the parts. There is a need to convert Presidios PCBs from a 73- part to another; this it's already covered in the TANMAPs; FJZ needs to do inventory transfers from one part number to another.FJZ needs to make sure the units have not been tested previously on functional test; then they will relabel with the same SN; but with the 73- part that is required; they will keep the tracking and provide the list of the serial numbers that were converted and what part will be used on.The records needs to be sent to Cisco TE; PE and ME</t>
        </is>
      </c>
      <c r="L1109" s="43" t="inlineStr">
        <is>
          <t>Expired</t>
        </is>
      </c>
      <c r="M1109" s="43" t="inlineStr">
        <is>
          <t>73-19233-01</t>
        </is>
      </c>
      <c r="N1109" s="43" t="inlineStr"/>
      <c r="O1109" s="43" t="inlineStr">
        <is>
          <t>2026-07-06</t>
        </is>
      </c>
      <c r="P1109" s="33" t="inlineStr">
        <is>
          <t>For temporary Manufacturing process change</t>
        </is>
      </c>
      <c r="Q1109" s="43" t="inlineStr">
        <is>
          <t>N/A. The boards will be marked when be re labeled this is only for risk buy</t>
        </is>
      </c>
      <c r="R1109" s="43" t="inlineStr">
        <is>
          <t>2026-04-09</t>
        </is>
      </c>
      <c r="S1109" s="43" t="inlineStr">
        <is>
          <t>2026-05-05</t>
        </is>
      </c>
      <c r="T1109" s="43" t="inlineStr"/>
      <c r="U1109" s="43" t="inlineStr"/>
    </row>
    <row r="1110">
      <c r="A1110" s="43" t="n">
        <v>1110</v>
      </c>
      <c r="B1110" s="43" t="inlineStr">
        <is>
          <t>1109</t>
        </is>
      </c>
      <c r="C1110" s="43" t="inlineStr">
        <is>
          <t>FJZP</t>
        </is>
      </c>
      <c r="D1110" s="43" t="inlineStr">
        <is>
          <t>Cisco</t>
        </is>
      </c>
      <c r="E1110" s="43" t="inlineStr">
        <is>
          <t>MCGA</t>
        </is>
      </c>
      <c r="F1110" s="43" t="inlineStr">
        <is>
          <t>018-SRGBU</t>
        </is>
      </c>
      <c r="G1110" s="43" t="inlineStr">
        <is>
          <t>CTANJZ05198</t>
        </is>
      </c>
      <c r="H1110" s="43" t="inlineStr">
        <is>
          <t>For temporary Manufacturing process change</t>
        </is>
      </c>
      <c r="I1110" s="43" t="inlineStr">
        <is>
          <t>Customer Deviation</t>
        </is>
      </c>
      <c r="J1110" s="43" t="inlineStr">
        <is>
          <t>D610616</t>
        </is>
      </c>
      <c r="K1110" s="33" t="inlineStr">
        <is>
          <t>D610616 SRGBU:Site Balance was performed under deviation D608183; but the DIMMs were not re-labeled only the boxes.</t>
        </is>
      </c>
      <c r="L1110" s="43" t="inlineStr">
        <is>
          <t>Expired</t>
        </is>
      </c>
      <c r="M1110" s="43" t="inlineStr">
        <is>
          <t>15-104174-01</t>
        </is>
      </c>
      <c r="N1110" s="43" t="inlineStr"/>
      <c r="O1110" s="43" t="inlineStr">
        <is>
          <t>2026-07-06</t>
        </is>
      </c>
      <c r="P1110" s="33" t="inlineStr">
        <is>
          <t>For temporary Manufacturing process change</t>
        </is>
      </c>
      <c r="Q1110" s="43" t="inlineStr">
        <is>
          <t>No Marking Instructions</t>
        </is>
      </c>
      <c r="R1110" s="43" t="inlineStr">
        <is>
          <t>2026-04-09</t>
        </is>
      </c>
      <c r="S1110" s="43" t="inlineStr">
        <is>
          <t>2026-04-24</t>
        </is>
      </c>
      <c r="T1110" s="43" t="inlineStr"/>
      <c r="U1110" s="43" t="inlineStr"/>
    </row>
    <row r="1111">
      <c r="A1111" s="43" t="n">
        <v>1111</v>
      </c>
      <c r="B1111" s="43" t="inlineStr">
        <is>
          <t>1110</t>
        </is>
      </c>
      <c r="C1111" s="43" t="inlineStr">
        <is>
          <t>FJZP</t>
        </is>
      </c>
      <c r="D1111" s="43" t="inlineStr">
        <is>
          <t>Cisco</t>
        </is>
      </c>
      <c r="E1111" s="43" t="inlineStr">
        <is>
          <t>MCGA</t>
        </is>
      </c>
      <c r="F1111" s="43" t="inlineStr">
        <is>
          <t>018-SRGBU</t>
        </is>
      </c>
      <c r="G1111" s="43" t="inlineStr">
        <is>
          <t>CTANJZ05198</t>
        </is>
      </c>
      <c r="H1111" s="43" t="inlineStr">
        <is>
          <t>For temporary Manufacturing process change</t>
        </is>
      </c>
      <c r="I1111" s="43" t="inlineStr">
        <is>
          <t>Customer Deviation</t>
        </is>
      </c>
      <c r="J1111" s="43" t="inlineStr">
        <is>
          <t>D610616</t>
        </is>
      </c>
      <c r="K1111" s="33" t="inlineStr">
        <is>
          <t>D610616 SRGBU:Site Balance was performed under deviation D608183; but the DIMMs were not re-labeled only the boxes.</t>
        </is>
      </c>
      <c r="L1111" s="43" t="inlineStr">
        <is>
          <t>Expired</t>
        </is>
      </c>
      <c r="M1111" s="43" t="inlineStr">
        <is>
          <t>15-107071-01</t>
        </is>
      </c>
      <c r="N1111" s="43" t="inlineStr"/>
      <c r="O1111" s="43" t="inlineStr">
        <is>
          <t>2026-07-06</t>
        </is>
      </c>
      <c r="P1111" s="33" t="inlineStr">
        <is>
          <t>For temporary Manufacturing process change</t>
        </is>
      </c>
      <c r="Q1111" s="43" t="inlineStr">
        <is>
          <t>No Marking Instructions</t>
        </is>
      </c>
      <c r="R1111" s="43" t="inlineStr">
        <is>
          <t>2026-04-09</t>
        </is>
      </c>
      <c r="S1111" s="43" t="inlineStr">
        <is>
          <t>2026-04-24</t>
        </is>
      </c>
      <c r="T1111" s="43" t="inlineStr"/>
      <c r="U1111" s="43" t="inlineStr"/>
    </row>
    <row r="1112">
      <c r="A1112" s="43" t="n">
        <v>1112</v>
      </c>
      <c r="B1112" s="43" t="inlineStr">
        <is>
          <t>1111</t>
        </is>
      </c>
      <c r="C1112" s="43" t="inlineStr">
        <is>
          <t>FJZP</t>
        </is>
      </c>
      <c r="D1112" s="43" t="inlineStr">
        <is>
          <t>Cisco</t>
        </is>
      </c>
      <c r="E1112" s="43" t="inlineStr">
        <is>
          <t>MCGA</t>
        </is>
      </c>
      <c r="F1112" s="43" t="inlineStr">
        <is>
          <t>239-CRBU</t>
        </is>
      </c>
      <c r="G1112" s="43" t="inlineStr">
        <is>
          <t>CTANJZ05204</t>
        </is>
      </c>
      <c r="H1112" s="43" t="inlineStr">
        <is>
          <t>For temporary Manufacturing process change</t>
        </is>
      </c>
      <c r="I1112" s="43" t="inlineStr">
        <is>
          <t>Customer Deviation</t>
        </is>
      </c>
      <c r="J1112" s="43" t="inlineStr">
        <is>
          <t>D610600</t>
        </is>
      </c>
      <c r="K1112" s="33" t="inlineStr">
        <is>
          <t>D610600 CRBU-Chassis- 8s chassis rework - Allow FJZ to RMA 112 qty of (800-48223-02) 8808 Chassis to Likom with DC 2523 x-cede connector for rework ; MID Plane with DC 2523 Should be shipped to FOL for rework &amp; follow SCQO- MY1943Likom to rework these 112 Qty 8808 Chassis with latest improved x-cede connector from DC 2601For Likom side-1.?The chassis version and CPN will not change after rework.2. The chassis serial number (SN) will not change after rework.3. The reworked chassis will be replaced with a new RPMP (backplate); while other components (piece part and sub-assembly) will remain unchanged; retaining the part number; version; and SN. It will be shipped after testing.In FOL side for RPMP rework once received from FJZ1.  Replace all old DC2523 x-connector with latest improved new connector from DC 2601 ; keep original SN  2. Paste deviation label after rework on boardFVN should also follow as per SCQO- MY1943</t>
        </is>
      </c>
      <c r="L1112" s="43" t="inlineStr">
        <is>
          <t>Expired</t>
        </is>
      </c>
      <c r="M1112" s="43" t="inlineStr">
        <is>
          <t>68-6198-02</t>
        </is>
      </c>
      <c r="N1112" s="43" t="inlineStr"/>
      <c r="O1112" s="43" t="inlineStr">
        <is>
          <t>2026-07-09</t>
        </is>
      </c>
      <c r="P1112" s="33" t="inlineStr">
        <is>
          <t>For temporary Manufacturing process change</t>
        </is>
      </c>
      <c r="Q1112" s="43" t="inlineStr">
        <is>
          <t>Please use label as deviation</t>
        </is>
      </c>
      <c r="R1112" s="43" t="inlineStr">
        <is>
          <t>2026-04-11</t>
        </is>
      </c>
      <c r="S1112" s="43" t="inlineStr">
        <is>
          <t>2026-05-08</t>
        </is>
      </c>
      <c r="T1112" s="43" t="inlineStr"/>
      <c r="U1112" s="43" t="inlineStr"/>
    </row>
    <row r="1113">
      <c r="A1113" s="43" t="n">
        <v>1113</v>
      </c>
      <c r="B1113" s="43" t="inlineStr">
        <is>
          <t>1112</t>
        </is>
      </c>
      <c r="C1113" s="43" t="inlineStr">
        <is>
          <t>FJZP</t>
        </is>
      </c>
      <c r="D1113" s="43" t="inlineStr">
        <is>
          <t>Cisco</t>
        </is>
      </c>
      <c r="E1113" s="43" t="inlineStr">
        <is>
          <t>MCGA</t>
        </is>
      </c>
      <c r="F1113" s="43" t="inlineStr">
        <is>
          <t>239-CRBU</t>
        </is>
      </c>
      <c r="G1113" s="43" t="inlineStr">
        <is>
          <t>CTANJZ05204</t>
        </is>
      </c>
      <c r="H1113" s="43" t="inlineStr">
        <is>
          <t>For temporary Manufacturing process change</t>
        </is>
      </c>
      <c r="I1113" s="43" t="inlineStr">
        <is>
          <t>Customer Deviation</t>
        </is>
      </c>
      <c r="J1113" s="43" t="inlineStr">
        <is>
          <t>D610600</t>
        </is>
      </c>
      <c r="K1113" s="33" t="inlineStr">
        <is>
          <t>D610600 CRBU-Chassis- 8s chassis rework - Allow FJZ to RMA 112 qty of (800-48223-02) 8808 Chassis to Likom with DC 2523 x-cede connector for rework ; MID Plane with DC 2523 Should be shipped to FOL for rework &amp; follow SCQO- MY1943Likom to rework these 112 Qty 8808 Chassis with latest improved x-cede connector from DC 2601For Likom side-1.?The chassis version and CPN will not change after rework.2. The chassis serial number (SN) will not change after rework.3. The reworked chassis will be replaced with a new RPMP (backplate); while other components (piece part and sub-assembly) will remain unchanged; retaining the part number; version; and SN. It will be shipped after testing.In FOL side for RPMP rework once received from FJZ1.  Replace all old DC2523 x-connector with latest improved new connector from DC 2601 ; keep original SN  2. Paste deviation label after rework on boardFVN should also follow as per SCQO- MY1943</t>
        </is>
      </c>
      <c r="L1113" s="43" t="inlineStr">
        <is>
          <t>Expired</t>
        </is>
      </c>
      <c r="M1113" s="43" t="inlineStr">
        <is>
          <t>73-18706-04</t>
        </is>
      </c>
      <c r="N1113" s="43" t="inlineStr"/>
      <c r="O1113" s="43" t="inlineStr">
        <is>
          <t>2026-07-09</t>
        </is>
      </c>
      <c r="P1113" s="33" t="inlineStr">
        <is>
          <t>For temporary Manufacturing process change</t>
        </is>
      </c>
      <c r="Q1113" s="43" t="inlineStr">
        <is>
          <t>Please use label as deviation</t>
        </is>
      </c>
      <c r="R1113" s="43" t="inlineStr">
        <is>
          <t>2026-04-11</t>
        </is>
      </c>
      <c r="S1113" s="43" t="inlineStr">
        <is>
          <t>2026-05-08</t>
        </is>
      </c>
      <c r="T1113" s="43" t="inlineStr"/>
      <c r="U1113" s="43" t="inlineStr"/>
    </row>
    <row r="1114">
      <c r="A1114" s="43" t="n">
        <v>1114</v>
      </c>
      <c r="B1114" s="43" t="inlineStr">
        <is>
          <t>1113</t>
        </is>
      </c>
      <c r="C1114" s="43" t="inlineStr">
        <is>
          <t>FJZP</t>
        </is>
      </c>
      <c r="D1114" s="43" t="inlineStr">
        <is>
          <t>Cisco</t>
        </is>
      </c>
      <c r="E1114" s="43" t="inlineStr">
        <is>
          <t>MCGA</t>
        </is>
      </c>
      <c r="F1114" s="43" t="inlineStr">
        <is>
          <t>239-CRBU</t>
        </is>
      </c>
      <c r="G1114" s="43" t="inlineStr">
        <is>
          <t>CTANJZ05204</t>
        </is>
      </c>
      <c r="H1114" s="43" t="inlineStr">
        <is>
          <t>For temporary Manufacturing process change</t>
        </is>
      </c>
      <c r="I1114" s="43" t="inlineStr">
        <is>
          <t>Customer Deviation</t>
        </is>
      </c>
      <c r="J1114" s="43" t="inlineStr">
        <is>
          <t>D610600</t>
        </is>
      </c>
      <c r="K1114" s="33" t="inlineStr">
        <is>
          <t>D610600 CRBU-Chassis- 8s chassis rework - Allow FJZ to RMA 112 qty of (800-48223-02) 8808 Chassis to Likom with DC 2523 x-cede connector for rework ; MID Plane with DC 2523 Should be shipped to FOL for rework &amp; follow SCQO- MY1943Likom to rework these 112 Qty 8808 Chassis with latest improved x-cede connector from DC 2601For Likom side-1.?The chassis version and CPN will not change after rework.2. The chassis serial number (SN) will not change after rework.3. The reworked chassis will be replaced with a new RPMP (backplate); while other components (piece part and sub-assembly) will remain unchanged; retaining the part number; version; and SN. It will be shipped after testing.In FOL side for RPMP rework once received from FJZ1.  Replace all old DC2523 x-connector with latest improved new connector from DC 2601 ; keep original SN  2. Paste deviation label after rework on boardFVN should also follow as per SCQO- MY1943</t>
        </is>
      </c>
      <c r="L1114" s="43" t="inlineStr">
        <is>
          <t>Expired</t>
        </is>
      </c>
      <c r="M1114" s="43" t="inlineStr">
        <is>
          <t>800-48223-02</t>
        </is>
      </c>
      <c r="N1114" s="43" t="inlineStr"/>
      <c r="O1114" s="43" t="inlineStr">
        <is>
          <t>2026-07-09</t>
        </is>
      </c>
      <c r="P1114" s="33" t="inlineStr">
        <is>
          <t>For temporary Manufacturing process change</t>
        </is>
      </c>
      <c r="Q1114" s="43" t="inlineStr">
        <is>
          <t>Please use label as deviation</t>
        </is>
      </c>
      <c r="R1114" s="43" t="inlineStr">
        <is>
          <t>2026-04-11</t>
        </is>
      </c>
      <c r="S1114" s="43" t="inlineStr">
        <is>
          <t>2026-05-08</t>
        </is>
      </c>
      <c r="T1114" s="43" t="inlineStr"/>
      <c r="U1114" s="43" t="inlineStr"/>
    </row>
    <row r="1115">
      <c r="A1115" s="43" t="n">
        <v>1115</v>
      </c>
      <c r="B1115" s="43" t="inlineStr">
        <is>
          <t>1114</t>
        </is>
      </c>
      <c r="C1115" s="43" t="inlineStr">
        <is>
          <t>FJZP</t>
        </is>
      </c>
      <c r="D1115" s="43" t="inlineStr">
        <is>
          <t>Cisco</t>
        </is>
      </c>
      <c r="E1115" s="43" t="inlineStr">
        <is>
          <t>MCGA</t>
        </is>
      </c>
      <c r="F1115" s="43" t="inlineStr">
        <is>
          <t>239-CRBU</t>
        </is>
      </c>
      <c r="G1115" s="43" t="inlineStr">
        <is>
          <t>CTANJZ05177</t>
        </is>
      </c>
      <c r="H1115" s="43" t="inlineStr">
        <is>
          <t>For temporary Manufacturing process change</t>
        </is>
      </c>
      <c r="I1115" s="43" t="inlineStr">
        <is>
          <t>Customer Deviation</t>
        </is>
      </c>
      <c r="J1115" s="43" t="inlineStr">
        <is>
          <t>D610236</t>
        </is>
      </c>
      <c r="K1115" s="33" t="inlineStr">
        <is>
          <t>D610236 CRBU: 8000- LS4;8;18 &amp; LC4;5;7; RP1 &amp; RP2 -25.4.1 FPD versions - SNT implementationLC4: 68-7406 ( latest production version &amp; revision )LC5: 68-7184 ( latest production version &amp; revision )LC7 :68-7393 ( latest production version &amp; revision )LS4 : 68-7261 ( latest production version &amp; revision )LS8 : 68-7195 ( latest production version &amp; revision )  LS18 : 68-7202 ( latest production version &amp; revision )RP1 : 68-6597 ( latest production version &amp; revision )RP2: 800-51482-01 ( latest production version &amp; revision )1.Deviation is to tract the first Serial number of the board which implement the 25.4.1 for all the products listed above.2.Changes between the XR 7.3.6 vs 25.4.1 is listed in the attachment.</t>
        </is>
      </c>
      <c r="L1115" s="43" t="inlineStr">
        <is>
          <t>Expired</t>
        </is>
      </c>
      <c r="M1115" s="43" t="inlineStr">
        <is>
          <t>800-51482-01</t>
        </is>
      </c>
      <c r="N1115" s="43" t="inlineStr"/>
      <c r="O1115" s="43" t="inlineStr">
        <is>
          <t>2026-06-28</t>
        </is>
      </c>
      <c r="P1115" s="33" t="inlineStr">
        <is>
          <t>For temporary Manufacturing process change</t>
        </is>
      </c>
      <c r="Q1115" s="43" t="inlineStr">
        <is>
          <t>Program the deviation number  Place the deviation label</t>
        </is>
      </c>
      <c r="R1115" s="43" t="inlineStr">
        <is>
          <t>2026-03-31</t>
        </is>
      </c>
      <c r="S1115" s="43" t="inlineStr">
        <is>
          <t>2026-05-20</t>
        </is>
      </c>
      <c r="T1115" s="43" t="inlineStr"/>
      <c r="U1115" s="43" t="inlineStr"/>
    </row>
    <row r="1116">
      <c r="A1116" s="43" t="n">
        <v>1116</v>
      </c>
      <c r="B1116" s="43" t="inlineStr">
        <is>
          <t>1115</t>
        </is>
      </c>
      <c r="C1116" s="43" t="inlineStr">
        <is>
          <t>FJZP</t>
        </is>
      </c>
      <c r="D1116" s="43" t="inlineStr">
        <is>
          <t>Cisco</t>
        </is>
      </c>
      <c r="E1116" s="43" t="inlineStr">
        <is>
          <t>MCGA</t>
        </is>
      </c>
      <c r="F1116" s="43" t="inlineStr">
        <is>
          <t>037-STBU</t>
        </is>
      </c>
      <c r="G1116" s="43" t="inlineStr">
        <is>
          <t>CTANJZ05178</t>
        </is>
      </c>
      <c r="H1116" s="43" t="inlineStr">
        <is>
          <t>For temporary Manufacturing process change</t>
        </is>
      </c>
      <c r="I1116" s="43" t="inlineStr">
        <is>
          <t>Customer Deviation</t>
        </is>
      </c>
      <c r="J1116" s="43" t="inlineStr">
        <is>
          <t>D609813</t>
        </is>
      </c>
      <c r="K1116" s="33" t="inlineStr">
        <is>
          <t>D609813 Allow FJZ to use under deviation the label 471-100986-01 as substitute while we receive the label 471-100989-01 for the Victoria DT product</t>
        </is>
      </c>
      <c r="L1116" s="43" t="inlineStr">
        <is>
          <t>Expired</t>
        </is>
      </c>
      <c r="M1116" s="43" t="inlineStr">
        <is>
          <t>471-100986-01</t>
        </is>
      </c>
      <c r="N1116" s="43" t="inlineStr"/>
      <c r="O1116" s="43" t="inlineStr">
        <is>
          <t>2026-06-28</t>
        </is>
      </c>
      <c r="P1116" s="33" t="inlineStr">
        <is>
          <t>For temporary Manufacturing process change</t>
        </is>
      </c>
      <c r="Q1116" s="43" t="inlineStr">
        <is>
          <t>No additional instructions required</t>
        </is>
      </c>
      <c r="R1116" s="43" t="inlineStr">
        <is>
          <t>2026-03-31</t>
        </is>
      </c>
      <c r="S1116" s="43" t="inlineStr">
        <is>
          <t>2026-04-24</t>
        </is>
      </c>
      <c r="T1116" s="43" t="inlineStr"/>
      <c r="U1116" s="43" t="inlineStr"/>
    </row>
    <row r="1117">
      <c r="A1117" s="43" t="n">
        <v>1117</v>
      </c>
      <c r="B1117" s="43" t="inlineStr">
        <is>
          <t>1116</t>
        </is>
      </c>
      <c r="C1117" s="43" t="inlineStr">
        <is>
          <t>FJZP</t>
        </is>
      </c>
      <c r="D1117" s="43" t="inlineStr">
        <is>
          <t>Cisco</t>
        </is>
      </c>
      <c r="E1117" s="43" t="inlineStr">
        <is>
          <t>MCGA</t>
        </is>
      </c>
      <c r="F1117" s="43" t="inlineStr">
        <is>
          <t>037-STBU</t>
        </is>
      </c>
      <c r="G1117" s="43" t="inlineStr">
        <is>
          <t>CTANJZ05178</t>
        </is>
      </c>
      <c r="H1117" s="43" t="inlineStr">
        <is>
          <t>For temporary Manufacturing process change</t>
        </is>
      </c>
      <c r="I1117" s="43" t="inlineStr">
        <is>
          <t>Customer Deviation</t>
        </is>
      </c>
      <c r="J1117" s="43" t="inlineStr">
        <is>
          <t>D609813</t>
        </is>
      </c>
      <c r="K1117" s="33" t="inlineStr">
        <is>
          <t>D609813 Allow FJZ to use under deviation the label 471-100986-01 as substitute while we receive the label 471-100989-01 for the Victoria DT product</t>
        </is>
      </c>
      <c r="L1117" s="43" t="inlineStr">
        <is>
          <t>Expired</t>
        </is>
      </c>
      <c r="M1117" s="43" t="inlineStr">
        <is>
          <t>471-100989-01</t>
        </is>
      </c>
      <c r="N1117" s="43" t="inlineStr"/>
      <c r="O1117" s="43" t="inlineStr">
        <is>
          <t>2026-06-28</t>
        </is>
      </c>
      <c r="P1117" s="33" t="inlineStr">
        <is>
          <t>For temporary Manufacturing process change</t>
        </is>
      </c>
      <c r="Q1117" s="43" t="inlineStr">
        <is>
          <t>No additional instructions required</t>
        </is>
      </c>
      <c r="R1117" s="43" t="inlineStr">
        <is>
          <t>2026-03-31</t>
        </is>
      </c>
      <c r="S1117" s="43" t="inlineStr">
        <is>
          <t>2026-04-24</t>
        </is>
      </c>
      <c r="T1117" s="43" t="inlineStr"/>
      <c r="U1117" s="43" t="inlineStr"/>
    </row>
    <row r="1118">
      <c r="A1118" s="43" t="n">
        <v>1118</v>
      </c>
      <c r="B1118" s="43" t="inlineStr">
        <is>
          <t>1117</t>
        </is>
      </c>
      <c r="C1118" s="43" t="inlineStr">
        <is>
          <t>FJZP</t>
        </is>
      </c>
      <c r="D1118" s="43" t="inlineStr">
        <is>
          <t>Cisco</t>
        </is>
      </c>
      <c r="E1118" s="43" t="inlineStr">
        <is>
          <t>MCGA</t>
        </is>
      </c>
      <c r="F1118" s="43" t="inlineStr">
        <is>
          <t>239-CRBU</t>
        </is>
      </c>
      <c r="G1118" s="43" t="inlineStr">
        <is>
          <t>CTANJZ05175</t>
        </is>
      </c>
      <c r="H1118" s="43" t="inlineStr">
        <is>
          <t>For temporary Manufacturing process change</t>
        </is>
      </c>
      <c r="I1118" s="43" t="inlineStr">
        <is>
          <t>Customer Deviation</t>
        </is>
      </c>
      <c r="J1118" s="43" t="inlineStr">
        <is>
          <t>D610401</t>
        </is>
      </c>
      <c r="K1118" s="33" t="inlineStr">
        <is>
          <t>D610401 CRBU:8000 - CRBU- LS4; LS8 &amp; LS18 - ASIC - Replacing the 08-1057 with 08-100210-01CPN :  08-1057-xxAlternate CPN : 08-100210-01Product : LS4; LS8; &amp; LS181. Approve FJZ and FVN to build LS4;LS8 &amp; LS18 boards with the 08-100210-01 part in place of 08-1057-xx2. Run regular manufacturing qual and ship out on passing.Note : Approved to build any production versions and revisions using this deviation.</t>
        </is>
      </c>
      <c r="L1118" s="43" t="inlineStr">
        <is>
          <t>Expired</t>
        </is>
      </c>
      <c r="M1118" s="43" t="inlineStr">
        <is>
          <t>73-20193-09</t>
        </is>
      </c>
      <c r="N1118" s="43" t="inlineStr"/>
      <c r="O1118" s="43" t="inlineStr">
        <is>
          <t>2026-06-28</t>
        </is>
      </c>
      <c r="P1118" s="33" t="inlineStr">
        <is>
          <t>For temporary Manufacturing process change</t>
        </is>
      </c>
      <c r="Q1118" s="43" t="inlineStr">
        <is>
          <t>Program the deviation number  Place the deviation label in visible location</t>
        </is>
      </c>
      <c r="R1118" s="43" t="inlineStr">
        <is>
          <t>2026-03-31</t>
        </is>
      </c>
      <c r="S1118" s="43" t="inlineStr">
        <is>
          <t>2026-05-01</t>
        </is>
      </c>
      <c r="T1118" s="43" t="inlineStr"/>
      <c r="U1118" s="43" t="inlineStr"/>
    </row>
    <row r="1119">
      <c r="A1119" s="43" t="n">
        <v>1119</v>
      </c>
      <c r="B1119" s="43" t="inlineStr">
        <is>
          <t>1118</t>
        </is>
      </c>
      <c r="C1119" s="43" t="inlineStr">
        <is>
          <t>FJZP</t>
        </is>
      </c>
      <c r="D1119" s="43" t="inlineStr">
        <is>
          <t>Cisco</t>
        </is>
      </c>
      <c r="E1119" s="43" t="inlineStr">
        <is>
          <t>MCGA</t>
        </is>
      </c>
      <c r="F1119" s="43" t="inlineStr">
        <is>
          <t>037-STBU</t>
        </is>
      </c>
      <c r="G1119" s="43" t="inlineStr">
        <is>
          <t>CTANJZ05176</t>
        </is>
      </c>
      <c r="H1119" s="43" t="inlineStr">
        <is>
          <t>For temporary Manufacturing process change</t>
        </is>
      </c>
      <c r="I1119" s="43" t="inlineStr">
        <is>
          <t>Customer Deviation</t>
        </is>
      </c>
      <c r="J1119" s="43" t="inlineStr">
        <is>
          <t>D610506</t>
        </is>
      </c>
      <c r="K1119" s="33" t="inlineStr">
        <is>
          <t>D610506FJZ to reprogram in ICT the Renesas part 17-102052-01 for TPK Low and TPK HighFJZ to reprogram:73-20249-06 --&gt; 1200pcs73-20247-06 --&gt; 600pcsSocket to arrive on April 09</t>
        </is>
      </c>
      <c r="L1119" s="43" t="inlineStr">
        <is>
          <t>Expired</t>
        </is>
      </c>
      <c r="M1119" s="43" t="inlineStr">
        <is>
          <t>17-102052-01</t>
        </is>
      </c>
      <c r="N1119" s="43" t="inlineStr"/>
      <c r="O1119" s="43" t="inlineStr">
        <is>
          <t>2026-06-28</t>
        </is>
      </c>
      <c r="P1119" s="33" t="inlineStr">
        <is>
          <t>For temporary Manufacturing process change</t>
        </is>
      </c>
      <c r="Q1119" s="43" t="inlineStr">
        <is>
          <t>1. Place a label in the visible part of the board</t>
        </is>
      </c>
      <c r="R1119" s="43" t="inlineStr">
        <is>
          <t>2026-03-31</t>
        </is>
      </c>
      <c r="S1119" s="43" t="inlineStr">
        <is>
          <t>2026-04-24</t>
        </is>
      </c>
      <c r="T1119" s="43" t="inlineStr"/>
      <c r="U1119" s="43" t="inlineStr"/>
    </row>
    <row r="1120">
      <c r="A1120" s="43" t="n">
        <v>1120</v>
      </c>
      <c r="B1120" s="43" t="inlineStr">
        <is>
          <t>1119</t>
        </is>
      </c>
      <c r="C1120" s="43" t="inlineStr">
        <is>
          <t>FJZP</t>
        </is>
      </c>
      <c r="D1120" s="43" t="inlineStr">
        <is>
          <t>Cisco</t>
        </is>
      </c>
      <c r="E1120" s="43" t="inlineStr">
        <is>
          <t>MCGA</t>
        </is>
      </c>
      <c r="F1120" s="43" t="inlineStr">
        <is>
          <t>037-STBU</t>
        </is>
      </c>
      <c r="G1120" s="43" t="inlineStr">
        <is>
          <t>CTANJZ05176</t>
        </is>
      </c>
      <c r="H1120" s="43" t="inlineStr">
        <is>
          <t>For temporary Manufacturing process change</t>
        </is>
      </c>
      <c r="I1120" s="43" t="inlineStr">
        <is>
          <t>Customer Deviation</t>
        </is>
      </c>
      <c r="J1120" s="43" t="inlineStr">
        <is>
          <t>D610506</t>
        </is>
      </c>
      <c r="K1120" s="33" t="inlineStr">
        <is>
          <t>D610506FJZ to reprogram in ICT the Renesas part 17-102052-01 for TPK Low and TPK HighFJZ to reprogram:73-20249-06 --&gt; 1200pcs73-20247-06 --&gt; 600pcsSocket to arrive on April 09</t>
        </is>
      </c>
      <c r="L1120" s="43" t="inlineStr">
        <is>
          <t>Expired</t>
        </is>
      </c>
      <c r="M1120" s="43" t="inlineStr">
        <is>
          <t>73-20247-06</t>
        </is>
      </c>
      <c r="N1120" s="43" t="inlineStr"/>
      <c r="O1120" s="43" t="inlineStr">
        <is>
          <t>2026-06-28</t>
        </is>
      </c>
      <c r="P1120" s="33" t="inlineStr">
        <is>
          <t>For temporary Manufacturing process change</t>
        </is>
      </c>
      <c r="Q1120" s="43" t="inlineStr">
        <is>
          <t>1. Place a label in the visible part of the board</t>
        </is>
      </c>
      <c r="R1120" s="43" t="inlineStr">
        <is>
          <t>2026-03-31</t>
        </is>
      </c>
      <c r="S1120" s="43" t="inlineStr">
        <is>
          <t>2026-04-24</t>
        </is>
      </c>
      <c r="T1120" s="43" t="inlineStr"/>
      <c r="U1120" s="43" t="inlineStr"/>
    </row>
    <row r="1121">
      <c r="A1121" s="43" t="n">
        <v>1121</v>
      </c>
      <c r="B1121" s="43" t="inlineStr">
        <is>
          <t>1120</t>
        </is>
      </c>
      <c r="C1121" s="43" t="inlineStr">
        <is>
          <t>FJZP</t>
        </is>
      </c>
      <c r="D1121" s="43" t="inlineStr">
        <is>
          <t>Cisco</t>
        </is>
      </c>
      <c r="E1121" s="43" t="inlineStr">
        <is>
          <t>MCGA</t>
        </is>
      </c>
      <c r="F1121" s="43" t="inlineStr">
        <is>
          <t>037-STBU</t>
        </is>
      </c>
      <c r="G1121" s="43" t="inlineStr">
        <is>
          <t>CTANJZ05176</t>
        </is>
      </c>
      <c r="H1121" s="43" t="inlineStr">
        <is>
          <t>For temporary Manufacturing process change</t>
        </is>
      </c>
      <c r="I1121" s="43" t="inlineStr">
        <is>
          <t>Customer Deviation</t>
        </is>
      </c>
      <c r="J1121" s="43" t="inlineStr">
        <is>
          <t>D610506</t>
        </is>
      </c>
      <c r="K1121" s="33" t="inlineStr">
        <is>
          <t>D610506FJZ to reprogram in ICT the Renesas part 17-102052-01 for TPK Low and TPK HighFJZ to reprogram:73-20249-06 --&gt; 1200pcs73-20247-06 --&gt; 600pcsSocket to arrive on April 09</t>
        </is>
      </c>
      <c r="L1121" s="43" t="inlineStr">
        <is>
          <t>Expired</t>
        </is>
      </c>
      <c r="M1121" s="43" t="inlineStr">
        <is>
          <t>73-20249-06</t>
        </is>
      </c>
      <c r="N1121" s="43" t="inlineStr"/>
      <c r="O1121" s="43" t="inlineStr">
        <is>
          <t>2026-06-28</t>
        </is>
      </c>
      <c r="P1121" s="33" t="inlineStr">
        <is>
          <t>For temporary Manufacturing process change</t>
        </is>
      </c>
      <c r="Q1121" s="43" t="inlineStr">
        <is>
          <t>1. Place a label in the visible part of the board</t>
        </is>
      </c>
      <c r="R1121" s="43" t="inlineStr">
        <is>
          <t>2026-03-31</t>
        </is>
      </c>
      <c r="S1121" s="43" t="inlineStr">
        <is>
          <t>2026-04-24</t>
        </is>
      </c>
      <c r="T1121" s="43" t="inlineStr"/>
      <c r="U1121" s="43" t="inlineStr"/>
    </row>
    <row r="1122">
      <c r="A1122" s="43" t="n">
        <v>1122</v>
      </c>
      <c r="B1122" s="43" t="inlineStr">
        <is>
          <t>1121</t>
        </is>
      </c>
      <c r="C1122" s="43" t="inlineStr">
        <is>
          <t>FJZP</t>
        </is>
      </c>
      <c r="D1122" s="43" t="inlineStr">
        <is>
          <t>Cisco</t>
        </is>
      </c>
      <c r="E1122" s="43" t="inlineStr">
        <is>
          <t>MCGA</t>
        </is>
      </c>
      <c r="F1122" s="43" t="inlineStr">
        <is>
          <t>037-STBU</t>
        </is>
      </c>
      <c r="G1122" s="43" t="inlineStr">
        <is>
          <t>CTANJZ05184</t>
        </is>
      </c>
      <c r="H1122" s="43" t="inlineStr">
        <is>
          <t>For temporary Manufacturing process change</t>
        </is>
      </c>
      <c r="I1122" s="43" t="inlineStr">
        <is>
          <t>Customer Deviation</t>
        </is>
      </c>
      <c r="J1122" s="43" t="inlineStr">
        <is>
          <t>D610411</t>
        </is>
      </c>
      <c r="K1122" s="33" t="inlineStr">
        <is>
          <t>D610411 There is a need to convert Presidios PCBs from a 73- part to another; this it's already covered in the TANMAPs; FJZ needs to do inventory transfers from one part number to another.FJZ needs to make sure the units have not been tested previously on functional test; then they will relabel with the same SN; but with the 73- part that is required; they will keep the tracking and provide the list of the serial numbers that were converted and what part will be used on.The records needs to be sent to Cisco TE; PE and ME</t>
        </is>
      </c>
      <c r="L1122" s="43" t="inlineStr">
        <is>
          <t>Expired</t>
        </is>
      </c>
      <c r="M1122" s="43" t="inlineStr">
        <is>
          <t>471-00325-01</t>
        </is>
      </c>
      <c r="N1122" s="43" t="inlineStr"/>
      <c r="O1122" s="43" t="inlineStr">
        <is>
          <t>2026-06-29</t>
        </is>
      </c>
      <c r="P1122" s="33" t="inlineStr">
        <is>
          <t>For temporary Manufacturing process change</t>
        </is>
      </c>
      <c r="Q1122" s="43" t="inlineStr">
        <is>
          <t>Mark the Presidio boards with the label number</t>
        </is>
      </c>
      <c r="R1122" s="43" t="inlineStr">
        <is>
          <t>2026-04-01</t>
        </is>
      </c>
      <c r="S1122" s="43" t="inlineStr">
        <is>
          <t>2026-05-05</t>
        </is>
      </c>
      <c r="T1122" s="43" t="inlineStr"/>
      <c r="U1122" s="43" t="inlineStr"/>
    </row>
    <row r="1123">
      <c r="A1123" s="43" t="n">
        <v>1123</v>
      </c>
      <c r="B1123" s="43" t="inlineStr">
        <is>
          <t>1122</t>
        </is>
      </c>
      <c r="C1123" s="43" t="inlineStr">
        <is>
          <t>FJZP</t>
        </is>
      </c>
      <c r="D1123" s="43" t="inlineStr">
        <is>
          <t>Cisco</t>
        </is>
      </c>
      <c r="E1123" s="43" t="inlineStr">
        <is>
          <t>MCGA</t>
        </is>
      </c>
      <c r="F1123" s="43" t="inlineStr">
        <is>
          <t>037-STBU</t>
        </is>
      </c>
      <c r="G1123" s="43" t="inlineStr">
        <is>
          <t>CTANJZ05184</t>
        </is>
      </c>
      <c r="H1123" s="43" t="inlineStr">
        <is>
          <t>For temporary Manufacturing process change</t>
        </is>
      </c>
      <c r="I1123" s="43" t="inlineStr">
        <is>
          <t>Customer Deviation</t>
        </is>
      </c>
      <c r="J1123" s="43" t="inlineStr">
        <is>
          <t>D610411</t>
        </is>
      </c>
      <c r="K1123" s="33" t="inlineStr">
        <is>
          <t>D610411 There is a need to convert Presidios PCBs from a 73- part to another; this it's already covered in the TANMAPs; FJZ needs to do inventory transfers from one part number to another.FJZ needs to make sure the units have not been tested previously on functional test; then they will relabel with the same SN; but with the 73- part that is required; they will keep the tracking and provide the list of the serial numbers that were converted and what part will be used on.The records needs to be sent to Cisco TE; PE and ME</t>
        </is>
      </c>
      <c r="L1123" s="43" t="inlineStr">
        <is>
          <t>Expired</t>
        </is>
      </c>
      <c r="M1123" s="43" t="inlineStr">
        <is>
          <t>73-18850-01</t>
        </is>
      </c>
      <c r="N1123" s="43" t="inlineStr"/>
      <c r="O1123" s="43" t="inlineStr">
        <is>
          <t>2026-06-29</t>
        </is>
      </c>
      <c r="P1123" s="33" t="inlineStr">
        <is>
          <t>For temporary Manufacturing process change</t>
        </is>
      </c>
      <c r="Q1123" s="43" t="inlineStr">
        <is>
          <t>Mark the Presidio boards with the label number</t>
        </is>
      </c>
      <c r="R1123" s="43" t="inlineStr">
        <is>
          <t>2026-04-01</t>
        </is>
      </c>
      <c r="S1123" s="43" t="inlineStr">
        <is>
          <t>2026-05-05</t>
        </is>
      </c>
      <c r="T1123" s="43" t="inlineStr"/>
      <c r="U1123" s="43" t="inlineStr"/>
    </row>
    <row r="1124">
      <c r="A1124" s="43" t="n">
        <v>1124</v>
      </c>
      <c r="B1124" s="43" t="inlineStr">
        <is>
          <t>1123</t>
        </is>
      </c>
      <c r="C1124" s="43" t="inlineStr">
        <is>
          <t>FJZP</t>
        </is>
      </c>
      <c r="D1124" s="43" t="inlineStr">
        <is>
          <t>Cisco</t>
        </is>
      </c>
      <c r="E1124" s="43" t="inlineStr">
        <is>
          <t>MCGA</t>
        </is>
      </c>
      <c r="F1124" s="43" t="inlineStr">
        <is>
          <t>018-SRGBU</t>
        </is>
      </c>
      <c r="G1124" s="43" t="inlineStr">
        <is>
          <t>CTANJZ05159</t>
        </is>
      </c>
      <c r="H1124" s="43" t="inlineStr">
        <is>
          <t>For temporary Manufacturing process change</t>
        </is>
      </c>
      <c r="I1124" s="43" t="inlineStr">
        <is>
          <t>Customer Deviation</t>
        </is>
      </c>
      <c r="J1124" s="43" t="inlineStr">
        <is>
          <t>D609704</t>
        </is>
      </c>
      <c r="K1124" s="33" t="inlineStr">
        <is>
          <t>D609704 Allow FJZ to rename  Samsung Semiconductors MPN MTA18ASF2G72PDZ-3G2R1  from the 15-105176-01    as 15-108743-01; in the PIDs:MEM-C85G2-32GBMEM-C85G2-32GB=</t>
        </is>
      </c>
      <c r="L1124" s="43" t="inlineStr">
        <is>
          <t>Expired</t>
        </is>
      </c>
      <c r="M1124" s="43" t="inlineStr">
        <is>
          <t>15-108743-01</t>
        </is>
      </c>
      <c r="N1124" s="43" t="inlineStr"/>
      <c r="O1124" s="43" t="inlineStr">
        <is>
          <t>2026-06-17</t>
        </is>
      </c>
      <c r="P1124" s="33" t="inlineStr">
        <is>
          <t>For temporary Manufacturing process change</t>
        </is>
      </c>
      <c r="Q1124" s="43" t="inlineStr">
        <is>
          <t>Add small label with the deviation number</t>
        </is>
      </c>
      <c r="R1124" s="43" t="inlineStr">
        <is>
          <t>2026-03-20</t>
        </is>
      </c>
      <c r="S1124" s="43" t="inlineStr">
        <is>
          <t>2026-04-16</t>
        </is>
      </c>
      <c r="T1124" s="43" t="inlineStr"/>
      <c r="U1124" s="43" t="inlineStr"/>
    </row>
    <row r="1125">
      <c r="A1125" s="43" t="n">
        <v>1125</v>
      </c>
      <c r="B1125" s="43" t="inlineStr">
        <is>
          <t>1124</t>
        </is>
      </c>
      <c r="C1125" s="43" t="inlineStr">
        <is>
          <t>FJZP</t>
        </is>
      </c>
      <c r="D1125" s="43" t="inlineStr">
        <is>
          <t>Cisco</t>
        </is>
      </c>
      <c r="E1125" s="43" t="inlineStr">
        <is>
          <t>MCGA</t>
        </is>
      </c>
      <c r="F1125" s="43" t="inlineStr">
        <is>
          <t>037-STBU</t>
        </is>
      </c>
      <c r="G1125" s="43" t="inlineStr">
        <is>
          <t>CTANJZ05160</t>
        </is>
      </c>
      <c r="H1125" s="43" t="inlineStr">
        <is>
          <t>For temporary Manufacturing process change</t>
        </is>
      </c>
      <c r="I1125" s="43" t="inlineStr">
        <is>
          <t>Customer Deviation</t>
        </is>
      </c>
      <c r="J1125" s="43" t="inlineStr">
        <is>
          <t>D610237</t>
        </is>
      </c>
      <c r="K1125" s="33" t="inlineStr">
        <is>
          <t>D610237 FJZ can reprogram on site the part 17-102457-07 to prevent decommit 273 units (File is in the attachments). 5 units needs to be test in ICT/ P2 and provide the test logs to Cisco EPE; TDE; TE and ME to confirm everything is correct</t>
        </is>
      </c>
      <c r="L1125" s="43" t="inlineStr">
        <is>
          <t>Expired</t>
        </is>
      </c>
      <c r="M1125" s="43" t="inlineStr">
        <is>
          <t>17-102457-07</t>
        </is>
      </c>
      <c r="N1125" s="43" t="inlineStr"/>
      <c r="O1125" s="43" t="inlineStr">
        <is>
          <t>2026-06-17</t>
        </is>
      </c>
      <c r="P1125" s="33" t="inlineStr">
        <is>
          <t>For temporary Manufacturing process change</t>
        </is>
      </c>
      <c r="Q1125" s="43" t="inlineStr">
        <is>
          <t>5 units needs to be test in ICT/ P2 and provide the test logs to Cisco EPE; TDE; TE and ME to confirm everything is correct</t>
        </is>
      </c>
      <c r="R1125" s="43" t="inlineStr">
        <is>
          <t>2026-03-20</t>
        </is>
      </c>
      <c r="S1125" s="43" t="inlineStr">
        <is>
          <t>2026-04-18</t>
        </is>
      </c>
      <c r="T1125" s="43" t="inlineStr"/>
      <c r="U1125" s="43" t="inlineStr"/>
    </row>
    <row r="1126">
      <c r="A1126" s="43" t="n">
        <v>1126</v>
      </c>
      <c r="B1126" s="43" t="inlineStr">
        <is>
          <t>1125</t>
        </is>
      </c>
      <c r="C1126" s="43" t="inlineStr">
        <is>
          <t>FJZP</t>
        </is>
      </c>
      <c r="D1126" s="43" t="inlineStr">
        <is>
          <t>Cisco</t>
        </is>
      </c>
      <c r="E1126" s="43" t="inlineStr">
        <is>
          <t>MCGA</t>
        </is>
      </c>
      <c r="F1126" s="43" t="inlineStr">
        <is>
          <t>037-STBU</t>
        </is>
      </c>
      <c r="G1126" s="43" t="inlineStr">
        <is>
          <t>CTANJZ05160</t>
        </is>
      </c>
      <c r="H1126" s="43" t="inlineStr">
        <is>
          <t>For temporary Manufacturing process change</t>
        </is>
      </c>
      <c r="I1126" s="43" t="inlineStr">
        <is>
          <t>Customer Deviation</t>
        </is>
      </c>
      <c r="J1126" s="43" t="inlineStr">
        <is>
          <t>D610237</t>
        </is>
      </c>
      <c r="K1126" s="33" t="inlineStr">
        <is>
          <t>D610237 FJZ can reprogram on site the part 17-102457-07 to prevent decommit 273 units (File is in the attachments). 5 units needs to be test in ICT/ P2 and provide the test logs to Cisco EPE; TDE; TE and ME to confirm everything is correct</t>
        </is>
      </c>
      <c r="L1126" s="43" t="inlineStr">
        <is>
          <t>Expired</t>
        </is>
      </c>
      <c r="M1126" s="43" t="inlineStr">
        <is>
          <t>73-102433-05</t>
        </is>
      </c>
      <c r="N1126" s="43" t="inlineStr"/>
      <c r="O1126" s="43" t="inlineStr">
        <is>
          <t>2026-06-17</t>
        </is>
      </c>
      <c r="P1126" s="33" t="inlineStr">
        <is>
          <t>For temporary Manufacturing process change</t>
        </is>
      </c>
      <c r="Q1126" s="43" t="inlineStr">
        <is>
          <t>5 units needs to be test in ICT/ P2 and provide the test logs to Cisco EPE; TDE; TE and ME to confirm everything is correct</t>
        </is>
      </c>
      <c r="R1126" s="43" t="inlineStr">
        <is>
          <t>2026-03-20</t>
        </is>
      </c>
      <c r="S1126" s="43" t="inlineStr">
        <is>
          <t>2026-04-18</t>
        </is>
      </c>
      <c r="T1126" s="43" t="inlineStr"/>
      <c r="U1126" s="43" t="inlineStr"/>
    </row>
    <row r="1127">
      <c r="A1127" s="43" t="n">
        <v>1127</v>
      </c>
      <c r="B1127" s="43" t="inlineStr">
        <is>
          <t>1126</t>
        </is>
      </c>
      <c r="C1127" s="43" t="inlineStr">
        <is>
          <t>FJZP</t>
        </is>
      </c>
      <c r="D1127" s="43" t="inlineStr">
        <is>
          <t>Cisco</t>
        </is>
      </c>
      <c r="E1127" s="43" t="inlineStr">
        <is>
          <t>MCGA</t>
        </is>
      </c>
      <c r="F1127" s="43" t="inlineStr">
        <is>
          <t>037-STBU</t>
        </is>
      </c>
      <c r="G1127" s="43" t="inlineStr">
        <is>
          <t>CTANJZ05160</t>
        </is>
      </c>
      <c r="H1127" s="43" t="inlineStr">
        <is>
          <t>For temporary Manufacturing process change</t>
        </is>
      </c>
      <c r="I1127" s="43" t="inlineStr">
        <is>
          <t>Customer Deviation</t>
        </is>
      </c>
      <c r="J1127" s="43" t="inlineStr">
        <is>
          <t>D610237</t>
        </is>
      </c>
      <c r="K1127" s="33" t="inlineStr">
        <is>
          <t>D610237 FJZ can reprogram on site the part 17-102457-07 to prevent decommit 273 units (File is in the attachments). 5 units needs to be test in ICT/ P2 and provide the test logs to Cisco EPE; TDE; TE and ME to confirm everything is correct</t>
        </is>
      </c>
      <c r="L1127" s="43" t="inlineStr">
        <is>
          <t>Expired</t>
        </is>
      </c>
      <c r="M1127" s="43" t="inlineStr">
        <is>
          <t>73-102434-05</t>
        </is>
      </c>
      <c r="N1127" s="43" t="inlineStr"/>
      <c r="O1127" s="43" t="inlineStr">
        <is>
          <t>2026-06-17</t>
        </is>
      </c>
      <c r="P1127" s="33" t="inlineStr">
        <is>
          <t>For temporary Manufacturing process change</t>
        </is>
      </c>
      <c r="Q1127" s="43" t="inlineStr">
        <is>
          <t>5 units needs to be test in ICT/ P2 and provide the test logs to Cisco EPE; TDE; TE and ME to confirm everything is correct</t>
        </is>
      </c>
      <c r="R1127" s="43" t="inlineStr">
        <is>
          <t>2026-03-20</t>
        </is>
      </c>
      <c r="S1127" s="43" t="inlineStr">
        <is>
          <t>2026-04-18</t>
        </is>
      </c>
      <c r="T1127" s="43" t="inlineStr"/>
      <c r="U1127" s="43" t="inlineStr"/>
    </row>
    <row r="1128">
      <c r="A1128" s="43" t="n">
        <v>1128</v>
      </c>
      <c r="B1128" s="43" t="inlineStr">
        <is>
          <t>1127</t>
        </is>
      </c>
      <c r="C1128" s="43" t="inlineStr">
        <is>
          <t>FJZP</t>
        </is>
      </c>
      <c r="D1128" s="43" t="inlineStr">
        <is>
          <t>Cisco</t>
        </is>
      </c>
      <c r="E1128" s="43" t="inlineStr">
        <is>
          <t>MCGA</t>
        </is>
      </c>
      <c r="F1128" s="43" t="inlineStr">
        <is>
          <t>037-STBU</t>
        </is>
      </c>
      <c r="G1128" s="43" t="inlineStr">
        <is>
          <t>CTANJZ05160</t>
        </is>
      </c>
      <c r="H1128" s="43" t="inlineStr">
        <is>
          <t>For temporary Manufacturing process change</t>
        </is>
      </c>
      <c r="I1128" s="43" t="inlineStr">
        <is>
          <t>Customer Deviation</t>
        </is>
      </c>
      <c r="J1128" s="43" t="inlineStr">
        <is>
          <t>D610237</t>
        </is>
      </c>
      <c r="K1128" s="33" t="inlineStr">
        <is>
          <t>D610237 FJZ can reprogram on site the part 17-102457-07 to prevent decommit 273 units (File is in the attachments). 5 units needs to be test in ICT/ P2 and provide the test logs to Cisco EPE; TDE; TE and ME to confirm everything is correct</t>
        </is>
      </c>
      <c r="L1128" s="43" t="inlineStr">
        <is>
          <t>Expired</t>
        </is>
      </c>
      <c r="M1128" s="43" t="inlineStr">
        <is>
          <t>73-102435-05</t>
        </is>
      </c>
      <c r="N1128" s="43" t="inlineStr"/>
      <c r="O1128" s="43" t="inlineStr">
        <is>
          <t>2026-06-17</t>
        </is>
      </c>
      <c r="P1128" s="33" t="inlineStr">
        <is>
          <t>For temporary Manufacturing process change</t>
        </is>
      </c>
      <c r="Q1128" s="43" t="inlineStr">
        <is>
          <t>5 units needs to be test in ICT/ P2 and provide the test logs to Cisco EPE; TDE; TE and ME to confirm everything is correct</t>
        </is>
      </c>
      <c r="R1128" s="43" t="inlineStr">
        <is>
          <t>2026-03-20</t>
        </is>
      </c>
      <c r="S1128" s="43" t="inlineStr">
        <is>
          <t>2026-04-18</t>
        </is>
      </c>
      <c r="T1128" s="43" t="inlineStr"/>
      <c r="U1128" s="43" t="inlineStr"/>
    </row>
    <row r="1129">
      <c r="A1129" s="43" t="n">
        <v>1129</v>
      </c>
      <c r="B1129" s="43" t="inlineStr">
        <is>
          <t>1128</t>
        </is>
      </c>
      <c r="C1129" s="43" t="inlineStr">
        <is>
          <t>FJZP</t>
        </is>
      </c>
      <c r="D1129" s="43" t="inlineStr">
        <is>
          <t>Cisco</t>
        </is>
      </c>
      <c r="E1129" s="43" t="inlineStr">
        <is>
          <t>MCGA</t>
        </is>
      </c>
      <c r="F1129" s="43" t="inlineStr">
        <is>
          <t>239-CRBU</t>
        </is>
      </c>
      <c r="G1129" s="43" t="inlineStr">
        <is>
          <t>CTANJZ05301</t>
        </is>
      </c>
      <c r="H1129" s="43" t="inlineStr">
        <is>
          <t>New Release</t>
        </is>
      </c>
      <c r="I1129" s="43" t="inlineStr">
        <is>
          <t>Customer Deviation</t>
        </is>
      </c>
      <c r="J1129" s="43" t="inlineStr">
        <is>
          <t>D611612</t>
        </is>
      </c>
      <c r="K1129" s="33" t="inlineStr">
        <is>
          <t>D611612 Please see PageThree for details</t>
        </is>
      </c>
      <c r="L1129" s="43" t="inlineStr">
        <is>
          <t>Expired</t>
        </is>
      </c>
      <c r="M1129" s="43" t="inlineStr">
        <is>
          <t>15-14484-01</t>
        </is>
      </c>
      <c r="N1129" s="43" t="inlineStr"/>
      <c r="O1129" s="43" t="inlineStr">
        <is>
          <t>2026-09-16</t>
        </is>
      </c>
      <c r="P1129" s="33" t="inlineStr">
        <is>
          <t>For temporary Manufacturing process change</t>
        </is>
      </c>
      <c r="Q1129" s="43" t="inlineStr">
        <is>
          <t>No marking required as the failed and passed units are being reworked with NXP or Diodes Inc part.</t>
        </is>
      </c>
      <c r="R1129" s="43" t="inlineStr">
        <is>
          <t>2026-06-20</t>
        </is>
      </c>
      <c r="S1129" s="43" t="inlineStr"/>
      <c r="T1129" s="43" t="inlineStr"/>
      <c r="U1129" s="43" t="inlineStr"/>
    </row>
    <row r="1130">
      <c r="A1130" s="43" t="n">
        <v>1130</v>
      </c>
      <c r="B1130" s="43" t="inlineStr">
        <is>
          <t>1129</t>
        </is>
      </c>
      <c r="C1130" s="43" t="inlineStr">
        <is>
          <t>FJZP</t>
        </is>
      </c>
      <c r="D1130" s="43" t="inlineStr">
        <is>
          <t>Cisco</t>
        </is>
      </c>
      <c r="E1130" s="43" t="inlineStr">
        <is>
          <t>MCGA</t>
        </is>
      </c>
      <c r="F1130" s="43" t="inlineStr">
        <is>
          <t>239-CRBU</t>
        </is>
      </c>
      <c r="G1130" s="43" t="inlineStr">
        <is>
          <t>CTANJZ05301</t>
        </is>
      </c>
      <c r="H1130" s="43" t="inlineStr">
        <is>
          <t>New Release</t>
        </is>
      </c>
      <c r="I1130" s="43" t="inlineStr">
        <is>
          <t>Customer Deviation</t>
        </is>
      </c>
      <c r="J1130" s="43" t="inlineStr">
        <is>
          <t>D611612</t>
        </is>
      </c>
      <c r="K1130" s="33" t="inlineStr">
        <is>
          <t>D611612 Please see PageThree for details</t>
        </is>
      </c>
      <c r="L1130" s="43" t="inlineStr">
        <is>
          <t>Expired</t>
        </is>
      </c>
      <c r="M1130" s="43" t="inlineStr">
        <is>
          <t>73-101492-04</t>
        </is>
      </c>
      <c r="N1130" s="43" t="inlineStr"/>
      <c r="O1130" s="43" t="inlineStr">
        <is>
          <t>2026-09-16</t>
        </is>
      </c>
      <c r="P1130" s="33" t="inlineStr">
        <is>
          <t>For temporary Manufacturing process change</t>
        </is>
      </c>
      <c r="Q1130" s="43" t="inlineStr">
        <is>
          <t>No marking required as the failed and passed units are being reworked with NXP or Diodes Inc part.</t>
        </is>
      </c>
      <c r="R1130" s="43" t="inlineStr">
        <is>
          <t>2026-06-20</t>
        </is>
      </c>
      <c r="S1130" s="43" t="inlineStr"/>
      <c r="T1130" s="43" t="inlineStr"/>
      <c r="U1130" s="43" t="inlineStr"/>
    </row>
    <row r="1131">
      <c r="A1131" s="43" t="n">
        <v>1131</v>
      </c>
      <c r="B1131" s="43" t="inlineStr">
        <is>
          <t>1130</t>
        </is>
      </c>
      <c r="C1131" s="43" t="inlineStr">
        <is>
          <t>FJZP</t>
        </is>
      </c>
      <c r="D1131" s="43" t="inlineStr">
        <is>
          <t>Cisco</t>
        </is>
      </c>
      <c r="E1131" s="43" t="inlineStr">
        <is>
          <t>MCGA</t>
        </is>
      </c>
      <c r="F1131" s="43" t="inlineStr">
        <is>
          <t>239-CRBU</t>
        </is>
      </c>
      <c r="G1131" s="43" t="inlineStr">
        <is>
          <t>CTANJZ05301</t>
        </is>
      </c>
      <c r="H1131" s="43" t="inlineStr">
        <is>
          <t>New Release</t>
        </is>
      </c>
      <c r="I1131" s="43" t="inlineStr">
        <is>
          <t>Customer Deviation</t>
        </is>
      </c>
      <c r="J1131" s="43" t="inlineStr">
        <is>
          <t>D611612</t>
        </is>
      </c>
      <c r="K1131" s="33" t="inlineStr">
        <is>
          <t>D611612 Please see PageThree for details</t>
        </is>
      </c>
      <c r="L1131" s="43" t="inlineStr">
        <is>
          <t>Expired</t>
        </is>
      </c>
      <c r="M1131" s="43" t="inlineStr">
        <is>
          <t>73-101882-03</t>
        </is>
      </c>
      <c r="N1131" s="43" t="inlineStr"/>
      <c r="O1131" s="43" t="inlineStr">
        <is>
          <t>2026-09-16</t>
        </is>
      </c>
      <c r="P1131" s="33" t="inlineStr">
        <is>
          <t>For temporary Manufacturing process change</t>
        </is>
      </c>
      <c r="Q1131" s="43" t="inlineStr">
        <is>
          <t>No marking required as the failed and passed units are being reworked with NXP or Diodes Inc part.</t>
        </is>
      </c>
      <c r="R1131" s="43" t="inlineStr">
        <is>
          <t>2026-06-20</t>
        </is>
      </c>
      <c r="S1131" s="43" t="inlineStr"/>
      <c r="T1131" s="43" t="inlineStr"/>
      <c r="U1131" s="43" t="inlineStr"/>
    </row>
    <row r="1132">
      <c r="A1132" s="43" t="n">
        <v>1132</v>
      </c>
      <c r="B1132" s="43" t="inlineStr">
        <is>
          <t>1131</t>
        </is>
      </c>
      <c r="C1132" s="43" t="inlineStr">
        <is>
          <t>FJZP</t>
        </is>
      </c>
      <c r="D1132" s="43" t="inlineStr">
        <is>
          <t>Cisco</t>
        </is>
      </c>
      <c r="E1132" s="43" t="inlineStr">
        <is>
          <t>MCGA</t>
        </is>
      </c>
      <c r="F1132" s="43" t="inlineStr">
        <is>
          <t>239-CRBU</t>
        </is>
      </c>
      <c r="G1132" s="43" t="inlineStr">
        <is>
          <t>CTANJZ05301</t>
        </is>
      </c>
      <c r="H1132" s="43" t="inlineStr">
        <is>
          <t>New Release</t>
        </is>
      </c>
      <c r="I1132" s="43" t="inlineStr">
        <is>
          <t>Customer Deviation</t>
        </is>
      </c>
      <c r="J1132" s="43" t="inlineStr">
        <is>
          <t>D611612</t>
        </is>
      </c>
      <c r="K1132" s="33" t="inlineStr">
        <is>
          <t>D611612 Please see PageThree for details</t>
        </is>
      </c>
      <c r="L1132" s="43" t="inlineStr">
        <is>
          <t>Expired</t>
        </is>
      </c>
      <c r="M1132" s="43" t="inlineStr">
        <is>
          <t>73-101883-03</t>
        </is>
      </c>
      <c r="N1132" s="43" t="inlineStr"/>
      <c r="O1132" s="43" t="inlineStr">
        <is>
          <t>2026-09-16</t>
        </is>
      </c>
      <c r="P1132" s="33" t="inlineStr">
        <is>
          <t>For temporary Manufacturing process change</t>
        </is>
      </c>
      <c r="Q1132" s="43" t="inlineStr">
        <is>
          <t>No marking required as the failed and passed units are being reworked with NXP or Diodes Inc part.</t>
        </is>
      </c>
      <c r="R1132" s="43" t="inlineStr">
        <is>
          <t>2026-06-20</t>
        </is>
      </c>
      <c r="S1132" s="43" t="inlineStr"/>
      <c r="T1132" s="43" t="inlineStr"/>
      <c r="U1132" s="43" t="inlineStr"/>
    </row>
    <row r="1133">
      <c r="A1133" s="43" t="n">
        <v>1133</v>
      </c>
      <c r="B1133" s="43" t="inlineStr">
        <is>
          <t>1132</t>
        </is>
      </c>
      <c r="C1133" s="43" t="inlineStr">
        <is>
          <t>FJZP</t>
        </is>
      </c>
      <c r="D1133" s="43" t="inlineStr">
        <is>
          <t>Cisco</t>
        </is>
      </c>
      <c r="E1133" s="43" t="inlineStr">
        <is>
          <t>MCGA</t>
        </is>
      </c>
      <c r="F1133" s="43" t="inlineStr">
        <is>
          <t>239-CRBU</t>
        </is>
      </c>
      <c r="G1133" s="43" t="inlineStr">
        <is>
          <t>CTANJZ05301</t>
        </is>
      </c>
      <c r="H1133" s="43" t="inlineStr">
        <is>
          <t>New Release</t>
        </is>
      </c>
      <c r="I1133" s="43" t="inlineStr">
        <is>
          <t>Customer Deviation</t>
        </is>
      </c>
      <c r="J1133" s="43" t="inlineStr">
        <is>
          <t>D611612</t>
        </is>
      </c>
      <c r="K1133" s="33" t="inlineStr">
        <is>
          <t>D611612 Please see PageThree for details</t>
        </is>
      </c>
      <c r="L1133" s="43" t="inlineStr">
        <is>
          <t>Expired</t>
        </is>
      </c>
      <c r="M1133" s="43" t="inlineStr">
        <is>
          <t>73-19985-06</t>
        </is>
      </c>
      <c r="N1133" s="43" t="inlineStr"/>
      <c r="O1133" s="43" t="inlineStr">
        <is>
          <t>2026-09-16</t>
        </is>
      </c>
      <c r="P1133" s="33" t="inlineStr">
        <is>
          <t>For temporary Manufacturing process change</t>
        </is>
      </c>
      <c r="Q1133" s="43" t="inlineStr">
        <is>
          <t>No marking required as the failed and passed units are being reworked with NXP or Diodes Inc part.</t>
        </is>
      </c>
      <c r="R1133" s="43" t="inlineStr">
        <is>
          <t>2026-06-20</t>
        </is>
      </c>
      <c r="S1133" s="43" t="inlineStr"/>
      <c r="T1133" s="43" t="inlineStr"/>
      <c r="U1133" s="43" t="inlineStr"/>
    </row>
    <row r="1134">
      <c r="A1134" s="43" t="n">
        <v>1134</v>
      </c>
      <c r="B1134" s="43" t="inlineStr">
        <is>
          <t>1133</t>
        </is>
      </c>
      <c r="C1134" s="43" t="inlineStr">
        <is>
          <t>FJZP</t>
        </is>
      </c>
      <c r="D1134" s="43" t="inlineStr">
        <is>
          <t>Cisco</t>
        </is>
      </c>
      <c r="E1134" s="43" t="inlineStr">
        <is>
          <t>MCGA</t>
        </is>
      </c>
      <c r="F1134" s="43" t="inlineStr">
        <is>
          <t>239-CRBU</t>
        </is>
      </c>
      <c r="G1134" s="43" t="inlineStr">
        <is>
          <t>CTANJZ05301</t>
        </is>
      </c>
      <c r="H1134" s="43" t="inlineStr">
        <is>
          <t>New Release</t>
        </is>
      </c>
      <c r="I1134" s="43" t="inlineStr">
        <is>
          <t>Customer Deviation</t>
        </is>
      </c>
      <c r="J1134" s="43" t="inlineStr">
        <is>
          <t>D611612</t>
        </is>
      </c>
      <c r="K1134" s="33" t="inlineStr">
        <is>
          <t>D611612 Please see PageThree for details</t>
        </is>
      </c>
      <c r="L1134" s="43" t="inlineStr">
        <is>
          <t>Expired</t>
        </is>
      </c>
      <c r="M1134" s="43" t="inlineStr">
        <is>
          <t>73-19986-06</t>
        </is>
      </c>
      <c r="N1134" s="43" t="inlineStr"/>
      <c r="O1134" s="43" t="inlineStr">
        <is>
          <t>2026-09-16</t>
        </is>
      </c>
      <c r="P1134" s="33" t="inlineStr">
        <is>
          <t>For temporary Manufacturing process change</t>
        </is>
      </c>
      <c r="Q1134" s="43" t="inlineStr">
        <is>
          <t>No marking required as the failed and passed units are being reworked with NXP or Diodes Inc part.</t>
        </is>
      </c>
      <c r="R1134" s="43" t="inlineStr">
        <is>
          <t>2026-06-20</t>
        </is>
      </c>
      <c r="S1134" s="43" t="inlineStr"/>
      <c r="T1134" s="43" t="inlineStr"/>
      <c r="U1134" s="43" t="inlineStr"/>
    </row>
    <row r="1135">
      <c r="A1135" s="43" t="n">
        <v>1135</v>
      </c>
      <c r="B1135" s="43" t="inlineStr">
        <is>
          <t>1134</t>
        </is>
      </c>
      <c r="C1135" s="43" t="inlineStr">
        <is>
          <t>FJZP</t>
        </is>
      </c>
      <c r="D1135" s="43" t="inlineStr">
        <is>
          <t>Cisco</t>
        </is>
      </c>
      <c r="E1135" s="43" t="inlineStr">
        <is>
          <t>MCGA</t>
        </is>
      </c>
      <c r="F1135" s="43" t="inlineStr">
        <is>
          <t>239-CRBU</t>
        </is>
      </c>
      <c r="G1135" s="43" t="inlineStr">
        <is>
          <t>CTANJZ05301</t>
        </is>
      </c>
      <c r="H1135" s="43" t="inlineStr">
        <is>
          <t>New Release</t>
        </is>
      </c>
      <c r="I1135" s="43" t="inlineStr">
        <is>
          <t>Customer Deviation</t>
        </is>
      </c>
      <c r="J1135" s="43" t="inlineStr">
        <is>
          <t>D611612</t>
        </is>
      </c>
      <c r="K1135" s="33" t="inlineStr">
        <is>
          <t>D611612 Please see PageThree for details</t>
        </is>
      </c>
      <c r="L1135" s="43" t="inlineStr">
        <is>
          <t>Expired</t>
        </is>
      </c>
      <c r="M1135" s="43" t="inlineStr">
        <is>
          <t>73-20327-06</t>
        </is>
      </c>
      <c r="N1135" s="43" t="inlineStr"/>
      <c r="O1135" s="43" t="inlineStr">
        <is>
          <t>2026-09-16</t>
        </is>
      </c>
      <c r="P1135" s="33" t="inlineStr">
        <is>
          <t>For temporary Manufacturing process change</t>
        </is>
      </c>
      <c r="Q1135" s="43" t="inlineStr">
        <is>
          <t>No marking required as the failed and passed units are being reworked with NXP or Diodes Inc part.</t>
        </is>
      </c>
      <c r="R1135" s="43" t="inlineStr">
        <is>
          <t>2026-06-20</t>
        </is>
      </c>
      <c r="S1135" s="43" t="inlineStr"/>
      <c r="T1135" s="43" t="inlineStr"/>
      <c r="U1135" s="43" t="inlineStr"/>
    </row>
    <row r="1136">
      <c r="A1136" s="43" t="n">
        <v>1136</v>
      </c>
      <c r="B1136" s="43" t="inlineStr">
        <is>
          <t>1135</t>
        </is>
      </c>
      <c r="C1136" s="43" t="inlineStr">
        <is>
          <t>FJZP</t>
        </is>
      </c>
      <c r="D1136" s="43" t="inlineStr">
        <is>
          <t>Cisco</t>
        </is>
      </c>
      <c r="E1136" s="43" t="inlineStr">
        <is>
          <t>MCGA</t>
        </is>
      </c>
      <c r="F1136" s="43" t="inlineStr">
        <is>
          <t>239-CRBU</t>
        </is>
      </c>
      <c r="G1136" s="43" t="inlineStr">
        <is>
          <t>CTANJZ05301</t>
        </is>
      </c>
      <c r="H1136" s="43" t="inlineStr">
        <is>
          <t>New Release</t>
        </is>
      </c>
      <c r="I1136" s="43" t="inlineStr">
        <is>
          <t>Customer Deviation</t>
        </is>
      </c>
      <c r="J1136" s="43" t="inlineStr">
        <is>
          <t>D611612</t>
        </is>
      </c>
      <c r="K1136" s="33" t="inlineStr">
        <is>
          <t>D611612 Please see PageThree for details</t>
        </is>
      </c>
      <c r="L1136" s="43" t="inlineStr">
        <is>
          <t>Expired</t>
        </is>
      </c>
      <c r="M1136" s="43" t="inlineStr">
        <is>
          <t>73-20664-04</t>
        </is>
      </c>
      <c r="N1136" s="43" t="inlineStr"/>
      <c r="O1136" s="43" t="inlineStr">
        <is>
          <t>2026-09-16</t>
        </is>
      </c>
      <c r="P1136" s="33" t="inlineStr">
        <is>
          <t>For temporary Manufacturing process change</t>
        </is>
      </c>
      <c r="Q1136" s="43" t="inlineStr">
        <is>
          <t>No marking required as the failed and passed units are being reworked with NXP or Diodes Inc part.</t>
        </is>
      </c>
      <c r="R1136" s="43" t="inlineStr">
        <is>
          <t>2026-06-20</t>
        </is>
      </c>
      <c r="S1136" s="43" t="inlineStr"/>
      <c r="T1136" s="43" t="inlineStr"/>
      <c r="U1136" s="43" t="inlineStr"/>
    </row>
    <row r="1137">
      <c r="A1137" s="43" t="n">
        <v>1137</v>
      </c>
      <c r="B1137" s="43" t="inlineStr">
        <is>
          <t>1136</t>
        </is>
      </c>
      <c r="C1137" s="43" t="inlineStr">
        <is>
          <t>FJZP</t>
        </is>
      </c>
      <c r="D1137" s="43" t="inlineStr">
        <is>
          <t>Cisco</t>
        </is>
      </c>
      <c r="E1137" s="43" t="inlineStr">
        <is>
          <t>MCGA</t>
        </is>
      </c>
      <c r="F1137" s="43" t="inlineStr">
        <is>
          <t>035-CVEBU</t>
        </is>
      </c>
      <c r="G1137" s="43" t="inlineStr">
        <is>
          <t>CTANJZ05008</t>
        </is>
      </c>
      <c r="H1137" s="43" t="inlineStr">
        <is>
          <t>For temporary Manufacturing process change</t>
        </is>
      </c>
      <c r="I1137" s="43" t="inlineStr">
        <is>
          <t>Customer Deviation</t>
        </is>
      </c>
      <c r="J1137" s="43" t="inlineStr">
        <is>
          <t>DP525595</t>
        </is>
      </c>
      <c r="K1137" s="33" t="inlineStr">
        <is>
          <t>DP525595 This deviation allows to use 502-100456-01 rev 01 and rev A0 in Pre-pilot build at FJZ.</t>
        </is>
      </c>
      <c r="L1137" s="43" t="inlineStr">
        <is>
          <t>Expired</t>
        </is>
      </c>
      <c r="M1137" s="43" t="inlineStr">
        <is>
          <t>68-104854-01</t>
        </is>
      </c>
      <c r="N1137" s="43" t="inlineStr"/>
      <c r="O1137" s="43" t="inlineStr">
        <is>
          <t>2026-02-02</t>
        </is>
      </c>
      <c r="P1137" s="33" t="inlineStr">
        <is>
          <t>For temporary Manufacturing process change</t>
        </is>
      </c>
      <c r="Q1137" s="43" t="inlineStr">
        <is>
          <t>Not required.</t>
        </is>
      </c>
      <c r="R1137" s="43" t="inlineStr">
        <is>
          <t>2025-12-04</t>
        </is>
      </c>
      <c r="S1137" s="43" t="inlineStr">
        <is>
          <t>2025-12-16</t>
        </is>
      </c>
      <c r="T1137" s="43" t="inlineStr"/>
      <c r="U1137" s="43" t="inlineStr"/>
    </row>
    <row r="1138">
      <c r="A1138" s="43" t="n">
        <v>1138</v>
      </c>
      <c r="B1138" s="43" t="inlineStr">
        <is>
          <t>1137</t>
        </is>
      </c>
      <c r="C1138" s="43" t="inlineStr">
        <is>
          <t>FJZP</t>
        </is>
      </c>
      <c r="D1138" s="43" t="inlineStr">
        <is>
          <t>Cisco</t>
        </is>
      </c>
      <c r="E1138" s="43" t="inlineStr">
        <is>
          <t>MCGA</t>
        </is>
      </c>
      <c r="F1138" s="43" t="inlineStr">
        <is>
          <t>034-IOTBU</t>
        </is>
      </c>
      <c r="G1138" s="43" t="inlineStr">
        <is>
          <t>CTANJZ05129</t>
        </is>
      </c>
      <c r="H1138" s="43" t="inlineStr">
        <is>
          <t>For temporary Manufacturing process change</t>
        </is>
      </c>
      <c r="I1138" s="43" t="inlineStr">
        <is>
          <t>Customer Deviation</t>
        </is>
      </c>
      <c r="J1138" s="43" t="inlineStr">
        <is>
          <t>D609917</t>
        </is>
      </c>
      <c r="K1138" s="33" t="inlineStr">
        <is>
          <t>D609917 Please see PageThree for details</t>
        </is>
      </c>
      <c r="L1138" s="43" t="inlineStr">
        <is>
          <t>Expired</t>
        </is>
      </c>
      <c r="M1138" s="43" t="inlineStr">
        <is>
          <t>16-101333-01</t>
        </is>
      </c>
      <c r="N1138" s="43" t="inlineStr"/>
      <c r="O1138" s="43" t="inlineStr">
        <is>
          <t>2026-06-02</t>
        </is>
      </c>
      <c r="P1138" s="33" t="inlineStr">
        <is>
          <t>For temporary Manufacturing process change</t>
        </is>
      </c>
      <c r="Q1138" s="43" t="inlineStr">
        <is>
          <t>Please place the deviation label in visible area.</t>
        </is>
      </c>
      <c r="R1138" s="43" t="inlineStr">
        <is>
          <t>2026-03-05</t>
        </is>
      </c>
      <c r="S1138" s="43" t="inlineStr">
        <is>
          <t>2026-03-11</t>
        </is>
      </c>
      <c r="T1138" s="43" t="inlineStr"/>
      <c r="U1138" s="43" t="inlineStr"/>
    </row>
    <row r="1139">
      <c r="A1139" s="43" t="n">
        <v>1139</v>
      </c>
      <c r="B1139" s="43" t="inlineStr">
        <is>
          <t>1138</t>
        </is>
      </c>
      <c r="C1139" s="43" t="inlineStr">
        <is>
          <t>FJZP</t>
        </is>
      </c>
      <c r="D1139" s="43" t="inlineStr">
        <is>
          <t>Cisco</t>
        </is>
      </c>
      <c r="E1139" s="43" t="inlineStr">
        <is>
          <t>MCGA</t>
        </is>
      </c>
      <c r="F1139" s="43" t="inlineStr">
        <is>
          <t>034-IOTBU</t>
        </is>
      </c>
      <c r="G1139" s="43" t="inlineStr">
        <is>
          <t>CTANJZ05129</t>
        </is>
      </c>
      <c r="H1139" s="43" t="inlineStr">
        <is>
          <t>For temporary Manufacturing process change</t>
        </is>
      </c>
      <c r="I1139" s="43" t="inlineStr">
        <is>
          <t>Customer Deviation</t>
        </is>
      </c>
      <c r="J1139" s="43" t="inlineStr">
        <is>
          <t>D609917</t>
        </is>
      </c>
      <c r="K1139" s="33" t="inlineStr">
        <is>
          <t>D609917 Please see PageThree for details</t>
        </is>
      </c>
      <c r="L1139" s="43" t="inlineStr">
        <is>
          <t>Expired</t>
        </is>
      </c>
      <c r="M1139" s="43" t="inlineStr">
        <is>
          <t>16-101387-01</t>
        </is>
      </c>
      <c r="N1139" s="43" t="inlineStr"/>
      <c r="O1139" s="43" t="inlineStr">
        <is>
          <t>2026-06-02</t>
        </is>
      </c>
      <c r="P1139" s="33" t="inlineStr">
        <is>
          <t>For temporary Manufacturing process change</t>
        </is>
      </c>
      <c r="Q1139" s="43" t="inlineStr">
        <is>
          <t>Please place the deviation label in visible area.</t>
        </is>
      </c>
      <c r="R1139" s="43" t="inlineStr">
        <is>
          <t>2026-03-05</t>
        </is>
      </c>
      <c r="S1139" s="43" t="inlineStr">
        <is>
          <t>2026-03-11</t>
        </is>
      </c>
      <c r="T1139" s="43" t="inlineStr"/>
      <c r="U1139" s="43" t="inlineStr"/>
    </row>
    <row r="1140">
      <c r="A1140" s="43" t="n">
        <v>1140</v>
      </c>
      <c r="B1140" s="43" t="inlineStr">
        <is>
          <t>1139</t>
        </is>
      </c>
      <c r="C1140" s="43" t="inlineStr">
        <is>
          <t>FJZP</t>
        </is>
      </c>
      <c r="D1140" s="43" t="inlineStr">
        <is>
          <t>Cisco</t>
        </is>
      </c>
      <c r="E1140" s="43" t="inlineStr">
        <is>
          <t>MCGA</t>
        </is>
      </c>
      <c r="F1140" s="43" t="inlineStr">
        <is>
          <t>034-IOTBU</t>
        </is>
      </c>
      <c r="G1140" s="43" t="inlineStr">
        <is>
          <t>CTANJZ05129</t>
        </is>
      </c>
      <c r="H1140" s="43" t="inlineStr">
        <is>
          <t>For temporary Manufacturing process change</t>
        </is>
      </c>
      <c r="I1140" s="43" t="inlineStr">
        <is>
          <t>Customer Deviation</t>
        </is>
      </c>
      <c r="J1140" s="43" t="inlineStr">
        <is>
          <t>D609917</t>
        </is>
      </c>
      <c r="K1140" s="33" t="inlineStr">
        <is>
          <t>D609917 Please see PageThree for details</t>
        </is>
      </c>
      <c r="L1140" s="43" t="inlineStr">
        <is>
          <t>Expired</t>
        </is>
      </c>
      <c r="M1140" s="43" t="inlineStr">
        <is>
          <t>16-101666-01</t>
        </is>
      </c>
      <c r="N1140" s="43" t="inlineStr"/>
      <c r="O1140" s="43" t="inlineStr">
        <is>
          <t>2026-06-02</t>
        </is>
      </c>
      <c r="P1140" s="33" t="inlineStr">
        <is>
          <t>For temporary Manufacturing process change</t>
        </is>
      </c>
      <c r="Q1140" s="43" t="inlineStr">
        <is>
          <t>Please place the deviation label in visible area.</t>
        </is>
      </c>
      <c r="R1140" s="43" t="inlineStr">
        <is>
          <t>2026-03-05</t>
        </is>
      </c>
      <c r="S1140" s="43" t="inlineStr">
        <is>
          <t>2026-03-11</t>
        </is>
      </c>
      <c r="T1140" s="43" t="inlineStr"/>
      <c r="U1140" s="43" t="inlineStr"/>
    </row>
    <row r="1141">
      <c r="A1141" s="43" t="n">
        <v>1141</v>
      </c>
      <c r="B1141" s="43" t="inlineStr">
        <is>
          <t>1140</t>
        </is>
      </c>
      <c r="C1141" s="43" t="inlineStr">
        <is>
          <t>FJZP</t>
        </is>
      </c>
      <c r="D1141" s="43" t="inlineStr">
        <is>
          <t>Cisco</t>
        </is>
      </c>
      <c r="E1141" s="43" t="inlineStr">
        <is>
          <t>MCGA</t>
        </is>
      </c>
      <c r="F1141" s="43" t="inlineStr">
        <is>
          <t>034-IOTBU</t>
        </is>
      </c>
      <c r="G1141" s="43" t="inlineStr">
        <is>
          <t>CTANJZ05129</t>
        </is>
      </c>
      <c r="H1141" s="43" t="inlineStr">
        <is>
          <t>For temporary Manufacturing process change</t>
        </is>
      </c>
      <c r="I1141" s="43" t="inlineStr">
        <is>
          <t>Customer Deviation</t>
        </is>
      </c>
      <c r="J1141" s="43" t="inlineStr">
        <is>
          <t>D609917</t>
        </is>
      </c>
      <c r="K1141" s="33" t="inlineStr">
        <is>
          <t>D609917 Please see PageThree for details</t>
        </is>
      </c>
      <c r="L1141" s="43" t="inlineStr">
        <is>
          <t>Expired</t>
        </is>
      </c>
      <c r="M1141" s="43" t="inlineStr">
        <is>
          <t>68-101690-01</t>
        </is>
      </c>
      <c r="N1141" s="43" t="inlineStr"/>
      <c r="O1141" s="43" t="inlineStr">
        <is>
          <t>2026-06-02</t>
        </is>
      </c>
      <c r="P1141" s="33" t="inlineStr">
        <is>
          <t>For temporary Manufacturing process change</t>
        </is>
      </c>
      <c r="Q1141" s="43" t="inlineStr">
        <is>
          <t>Please place the deviation label in visible area.</t>
        </is>
      </c>
      <c r="R1141" s="43" t="inlineStr">
        <is>
          <t>2026-03-05</t>
        </is>
      </c>
      <c r="S1141" s="43" t="inlineStr">
        <is>
          <t>2026-03-11</t>
        </is>
      </c>
      <c r="T1141" s="43" t="inlineStr"/>
      <c r="U1141" s="43" t="inlineStr"/>
    </row>
    <row r="1142">
      <c r="A1142" s="43" t="n">
        <v>1142</v>
      </c>
      <c r="B1142" s="43" t="inlineStr">
        <is>
          <t>1141</t>
        </is>
      </c>
      <c r="C1142" s="43" t="inlineStr">
        <is>
          <t>FJZP</t>
        </is>
      </c>
      <c r="D1142" s="43" t="inlineStr">
        <is>
          <t>Cisco</t>
        </is>
      </c>
      <c r="E1142" s="43" t="inlineStr">
        <is>
          <t>MCGA</t>
        </is>
      </c>
      <c r="F1142" s="43" t="inlineStr">
        <is>
          <t>034-IOTBU</t>
        </is>
      </c>
      <c r="G1142" s="43" t="inlineStr">
        <is>
          <t>CTANJZ05129</t>
        </is>
      </c>
      <c r="H1142" s="43" t="inlineStr">
        <is>
          <t>For temporary Manufacturing process change</t>
        </is>
      </c>
      <c r="I1142" s="43" t="inlineStr">
        <is>
          <t>Customer Deviation</t>
        </is>
      </c>
      <c r="J1142" s="43" t="inlineStr">
        <is>
          <t>D609917</t>
        </is>
      </c>
      <c r="K1142" s="33" t="inlineStr">
        <is>
          <t>D609917 Please see PageThree for details</t>
        </is>
      </c>
      <c r="L1142" s="43" t="inlineStr">
        <is>
          <t>Expired</t>
        </is>
      </c>
      <c r="M1142" s="43" t="inlineStr">
        <is>
          <t>68-101828-01</t>
        </is>
      </c>
      <c r="N1142" s="43" t="inlineStr"/>
      <c r="O1142" s="43" t="inlineStr">
        <is>
          <t>2026-06-02</t>
        </is>
      </c>
      <c r="P1142" s="33" t="inlineStr">
        <is>
          <t>For temporary Manufacturing process change</t>
        </is>
      </c>
      <c r="Q1142" s="43" t="inlineStr">
        <is>
          <t>Please place the deviation label in visible area.</t>
        </is>
      </c>
      <c r="R1142" s="43" t="inlineStr">
        <is>
          <t>2026-03-05</t>
        </is>
      </c>
      <c r="S1142" s="43" t="inlineStr">
        <is>
          <t>2026-03-11</t>
        </is>
      </c>
      <c r="T1142" s="43" t="inlineStr"/>
      <c r="U1142" s="43" t="inlineStr"/>
    </row>
    <row r="1143">
      <c r="A1143" s="43" t="n">
        <v>1143</v>
      </c>
      <c r="B1143" s="43" t="inlineStr">
        <is>
          <t>1142</t>
        </is>
      </c>
      <c r="C1143" s="43" t="inlineStr">
        <is>
          <t>FJZP</t>
        </is>
      </c>
      <c r="D1143" s="43" t="inlineStr">
        <is>
          <t>Cisco</t>
        </is>
      </c>
      <c r="E1143" s="43" t="inlineStr">
        <is>
          <t>MCGA</t>
        </is>
      </c>
      <c r="F1143" s="43" t="inlineStr">
        <is>
          <t>034-IOTBU</t>
        </is>
      </c>
      <c r="G1143" s="43" t="inlineStr">
        <is>
          <t>CTANJZ05129</t>
        </is>
      </c>
      <c r="H1143" s="43" t="inlineStr">
        <is>
          <t>For temporary Manufacturing process change</t>
        </is>
      </c>
      <c r="I1143" s="43" t="inlineStr">
        <is>
          <t>Customer Deviation</t>
        </is>
      </c>
      <c r="J1143" s="43" t="inlineStr">
        <is>
          <t>D609917</t>
        </is>
      </c>
      <c r="K1143" s="33" t="inlineStr">
        <is>
          <t>D609917 Please see PageThree for details</t>
        </is>
      </c>
      <c r="L1143" s="43" t="inlineStr">
        <is>
          <t>Expired</t>
        </is>
      </c>
      <c r="M1143" s="43" t="inlineStr">
        <is>
          <t>68-102729-01</t>
        </is>
      </c>
      <c r="N1143" s="43" t="inlineStr"/>
      <c r="O1143" s="43" t="inlineStr">
        <is>
          <t>2026-06-02</t>
        </is>
      </c>
      <c r="P1143" s="33" t="inlineStr">
        <is>
          <t>For temporary Manufacturing process change</t>
        </is>
      </c>
      <c r="Q1143" s="43" t="inlineStr">
        <is>
          <t>Please place the deviation label in visible area.</t>
        </is>
      </c>
      <c r="R1143" s="43" t="inlineStr">
        <is>
          <t>2026-03-05</t>
        </is>
      </c>
      <c r="S1143" s="43" t="inlineStr">
        <is>
          <t>2026-03-11</t>
        </is>
      </c>
      <c r="T1143" s="43" t="inlineStr"/>
      <c r="U1143" s="43" t="inlineStr"/>
    </row>
    <row r="1144">
      <c r="A1144" s="43" t="n">
        <v>1144</v>
      </c>
      <c r="B1144" s="43" t="inlineStr">
        <is>
          <t>1143</t>
        </is>
      </c>
      <c r="C1144" s="43" t="inlineStr">
        <is>
          <t>FJZP</t>
        </is>
      </c>
      <c r="D1144" s="43" t="inlineStr">
        <is>
          <t>Cisco</t>
        </is>
      </c>
      <c r="E1144" s="43" t="inlineStr">
        <is>
          <t>MCGA</t>
        </is>
      </c>
      <c r="F1144" s="43" t="inlineStr">
        <is>
          <t>034-IOTBU</t>
        </is>
      </c>
      <c r="G1144" s="43" t="inlineStr">
        <is>
          <t>CTANJZ05129</t>
        </is>
      </c>
      <c r="H1144" s="43" t="inlineStr">
        <is>
          <t>For temporary Manufacturing process change</t>
        </is>
      </c>
      <c r="I1144" s="43" t="inlineStr">
        <is>
          <t>Customer Deviation</t>
        </is>
      </c>
      <c r="J1144" s="43" t="inlineStr">
        <is>
          <t>D609917</t>
        </is>
      </c>
      <c r="K1144" s="33" t="inlineStr">
        <is>
          <t>D609917 Please see PageThree for details</t>
        </is>
      </c>
      <c r="L1144" s="43" t="inlineStr">
        <is>
          <t>Expired</t>
        </is>
      </c>
      <c r="M1144" s="43" t="inlineStr">
        <is>
          <t>68-102730-01</t>
        </is>
      </c>
      <c r="N1144" s="43" t="inlineStr"/>
      <c r="O1144" s="43" t="inlineStr">
        <is>
          <t>2026-06-02</t>
        </is>
      </c>
      <c r="P1144" s="33" t="inlineStr">
        <is>
          <t>For temporary Manufacturing process change</t>
        </is>
      </c>
      <c r="Q1144" s="43" t="inlineStr">
        <is>
          <t>Please place the deviation label in visible area.</t>
        </is>
      </c>
      <c r="R1144" s="43" t="inlineStr">
        <is>
          <t>2026-03-05</t>
        </is>
      </c>
      <c r="S1144" s="43" t="inlineStr">
        <is>
          <t>2026-03-11</t>
        </is>
      </c>
      <c r="T1144" s="43" t="inlineStr"/>
      <c r="U1144" s="43" t="inlineStr"/>
    </row>
    <row r="1145">
      <c r="A1145" s="43" t="n">
        <v>1145</v>
      </c>
      <c r="B1145" s="43" t="inlineStr">
        <is>
          <t>1144</t>
        </is>
      </c>
      <c r="C1145" s="43" t="inlineStr">
        <is>
          <t>FJZP</t>
        </is>
      </c>
      <c r="D1145" s="43" t="inlineStr">
        <is>
          <t>Cisco</t>
        </is>
      </c>
      <c r="E1145" s="43" t="inlineStr">
        <is>
          <t>MCGA</t>
        </is>
      </c>
      <c r="F1145" s="43" t="inlineStr">
        <is>
          <t>034-IOTBU</t>
        </is>
      </c>
      <c r="G1145" s="43" t="inlineStr">
        <is>
          <t>CTANJZ05129</t>
        </is>
      </c>
      <c r="H1145" s="43" t="inlineStr">
        <is>
          <t>For temporary Manufacturing process change</t>
        </is>
      </c>
      <c r="I1145" s="43" t="inlineStr">
        <is>
          <t>Customer Deviation</t>
        </is>
      </c>
      <c r="J1145" s="43" t="inlineStr">
        <is>
          <t>D609917</t>
        </is>
      </c>
      <c r="K1145" s="33" t="inlineStr">
        <is>
          <t>D609917 Please see PageThree for details</t>
        </is>
      </c>
      <c r="L1145" s="43" t="inlineStr">
        <is>
          <t>Expired</t>
        </is>
      </c>
      <c r="M1145" s="43" t="inlineStr">
        <is>
          <t>68-102799-01</t>
        </is>
      </c>
      <c r="N1145" s="43" t="inlineStr"/>
      <c r="O1145" s="43" t="inlineStr">
        <is>
          <t>2026-06-02</t>
        </is>
      </c>
      <c r="P1145" s="33" t="inlineStr">
        <is>
          <t>For temporary Manufacturing process change</t>
        </is>
      </c>
      <c r="Q1145" s="43" t="inlineStr">
        <is>
          <t>Please place the deviation label in visible area.</t>
        </is>
      </c>
      <c r="R1145" s="43" t="inlineStr">
        <is>
          <t>2026-03-05</t>
        </is>
      </c>
      <c r="S1145" s="43" t="inlineStr">
        <is>
          <t>2026-03-11</t>
        </is>
      </c>
      <c r="T1145" s="43" t="inlineStr"/>
      <c r="U1145" s="43" t="inlineStr"/>
    </row>
    <row r="1146">
      <c r="A1146" s="43" t="n">
        <v>1146</v>
      </c>
      <c r="B1146" s="43" t="inlineStr">
        <is>
          <t>1145</t>
        </is>
      </c>
      <c r="C1146" s="43" t="inlineStr">
        <is>
          <t>FJZP</t>
        </is>
      </c>
      <c r="D1146" s="43" t="inlineStr">
        <is>
          <t>Cisco</t>
        </is>
      </c>
      <c r="E1146" s="43" t="inlineStr">
        <is>
          <t>MCGA</t>
        </is>
      </c>
      <c r="F1146" s="43" t="inlineStr">
        <is>
          <t>034-IOTBU</t>
        </is>
      </c>
      <c r="G1146" s="43" t="inlineStr">
        <is>
          <t>CTANJZ05129</t>
        </is>
      </c>
      <c r="H1146" s="43" t="inlineStr">
        <is>
          <t>For temporary Manufacturing process change</t>
        </is>
      </c>
      <c r="I1146" s="43" t="inlineStr">
        <is>
          <t>Customer Deviation</t>
        </is>
      </c>
      <c r="J1146" s="43" t="inlineStr">
        <is>
          <t>D609917</t>
        </is>
      </c>
      <c r="K1146" s="33" t="inlineStr">
        <is>
          <t>D609917 Please see PageThree for details</t>
        </is>
      </c>
      <c r="L1146" s="43" t="inlineStr">
        <is>
          <t>Expired</t>
        </is>
      </c>
      <c r="M1146" s="43" t="inlineStr">
        <is>
          <t>68-104004-01</t>
        </is>
      </c>
      <c r="N1146" s="43" t="inlineStr"/>
      <c r="O1146" s="43" t="inlineStr">
        <is>
          <t>2026-06-02</t>
        </is>
      </c>
      <c r="P1146" s="33" t="inlineStr">
        <is>
          <t>For temporary Manufacturing process change</t>
        </is>
      </c>
      <c r="Q1146" s="43" t="inlineStr">
        <is>
          <t>Please place the deviation label in visible area.</t>
        </is>
      </c>
      <c r="R1146" s="43" t="inlineStr">
        <is>
          <t>2026-03-05</t>
        </is>
      </c>
      <c r="S1146" s="43" t="inlineStr">
        <is>
          <t>2026-03-11</t>
        </is>
      </c>
      <c r="T1146" s="43" t="inlineStr"/>
      <c r="U1146" s="43" t="inlineStr"/>
    </row>
    <row r="1147">
      <c r="A1147" s="43" t="n">
        <v>1147</v>
      </c>
      <c r="B1147" s="43" t="inlineStr">
        <is>
          <t>1146</t>
        </is>
      </c>
      <c r="C1147" s="43" t="inlineStr">
        <is>
          <t>FJZP</t>
        </is>
      </c>
      <c r="D1147" s="43" t="inlineStr">
        <is>
          <t>Cisco</t>
        </is>
      </c>
      <c r="E1147" s="43" t="inlineStr">
        <is>
          <t>MCGA</t>
        </is>
      </c>
      <c r="F1147" s="43" t="inlineStr">
        <is>
          <t>034-IOTBU</t>
        </is>
      </c>
      <c r="G1147" s="43" t="inlineStr">
        <is>
          <t>CTANJZ05129</t>
        </is>
      </c>
      <c r="H1147" s="43" t="inlineStr">
        <is>
          <t>For temporary Manufacturing process change</t>
        </is>
      </c>
      <c r="I1147" s="43" t="inlineStr">
        <is>
          <t>Customer Deviation</t>
        </is>
      </c>
      <c r="J1147" s="43" t="inlineStr">
        <is>
          <t>D609917</t>
        </is>
      </c>
      <c r="K1147" s="33" t="inlineStr">
        <is>
          <t>D609917 Please see PageThree for details</t>
        </is>
      </c>
      <c r="L1147" s="43" t="inlineStr">
        <is>
          <t>Expired</t>
        </is>
      </c>
      <c r="M1147" s="43" t="inlineStr">
        <is>
          <t>73-101439-04</t>
        </is>
      </c>
      <c r="N1147" s="43" t="inlineStr"/>
      <c r="O1147" s="43" t="inlineStr">
        <is>
          <t>2026-06-02</t>
        </is>
      </c>
      <c r="P1147" s="33" t="inlineStr">
        <is>
          <t>For temporary Manufacturing process change</t>
        </is>
      </c>
      <c r="Q1147" s="43" t="inlineStr">
        <is>
          <t>Please place the deviation label in visible area.</t>
        </is>
      </c>
      <c r="R1147" s="43" t="inlineStr">
        <is>
          <t>2026-03-05</t>
        </is>
      </c>
      <c r="S1147" s="43" t="inlineStr">
        <is>
          <t>2026-03-11</t>
        </is>
      </c>
      <c r="T1147" s="43" t="inlineStr"/>
      <c r="U1147" s="43" t="inlineStr"/>
    </row>
    <row r="1148">
      <c r="A1148" s="43" t="n">
        <v>1148</v>
      </c>
      <c r="B1148" s="43" t="inlineStr">
        <is>
          <t>1147</t>
        </is>
      </c>
      <c r="C1148" s="43" t="inlineStr">
        <is>
          <t>FJZP</t>
        </is>
      </c>
      <c r="D1148" s="43" t="inlineStr">
        <is>
          <t>Cisco</t>
        </is>
      </c>
      <c r="E1148" s="43" t="inlineStr">
        <is>
          <t>MCGA</t>
        </is>
      </c>
      <c r="F1148" s="43" t="inlineStr">
        <is>
          <t>034-IOTBU</t>
        </is>
      </c>
      <c r="G1148" s="43" t="inlineStr">
        <is>
          <t>CTANJZ05129</t>
        </is>
      </c>
      <c r="H1148" s="43" t="inlineStr">
        <is>
          <t>For temporary Manufacturing process change</t>
        </is>
      </c>
      <c r="I1148" s="43" t="inlineStr">
        <is>
          <t>Customer Deviation</t>
        </is>
      </c>
      <c r="J1148" s="43" t="inlineStr">
        <is>
          <t>D609917</t>
        </is>
      </c>
      <c r="K1148" s="33" t="inlineStr">
        <is>
          <t>D609917 Please see PageThree for details</t>
        </is>
      </c>
      <c r="L1148" s="43" t="inlineStr">
        <is>
          <t>Expired</t>
        </is>
      </c>
      <c r="M1148" s="43" t="inlineStr">
        <is>
          <t>73-102239-04</t>
        </is>
      </c>
      <c r="N1148" s="43" t="inlineStr"/>
      <c r="O1148" s="43" t="inlineStr">
        <is>
          <t>2026-06-02</t>
        </is>
      </c>
      <c r="P1148" s="33" t="inlineStr">
        <is>
          <t>For temporary Manufacturing process change</t>
        </is>
      </c>
      <c r="Q1148" s="43" t="inlineStr">
        <is>
          <t>Please place the deviation label in visible area.</t>
        </is>
      </c>
      <c r="R1148" s="43" t="inlineStr">
        <is>
          <t>2026-03-05</t>
        </is>
      </c>
      <c r="S1148" s="43" t="inlineStr">
        <is>
          <t>2026-03-11</t>
        </is>
      </c>
      <c r="T1148" s="43" t="inlineStr"/>
      <c r="U1148" s="43" t="inlineStr"/>
    </row>
    <row r="1149">
      <c r="A1149" s="43" t="n">
        <v>1149</v>
      </c>
      <c r="B1149" s="43" t="inlineStr">
        <is>
          <t>1148</t>
        </is>
      </c>
      <c r="C1149" s="43" t="inlineStr">
        <is>
          <t>FJZP</t>
        </is>
      </c>
      <c r="D1149" s="43" t="inlineStr">
        <is>
          <t>Cisco</t>
        </is>
      </c>
      <c r="E1149" s="43" t="inlineStr">
        <is>
          <t>MCGA</t>
        </is>
      </c>
      <c r="F1149" s="43" t="inlineStr">
        <is>
          <t>034-IOTBU</t>
        </is>
      </c>
      <c r="G1149" s="43" t="inlineStr">
        <is>
          <t>CTANJZ05129</t>
        </is>
      </c>
      <c r="H1149" s="43" t="inlineStr">
        <is>
          <t>For temporary Manufacturing process change</t>
        </is>
      </c>
      <c r="I1149" s="43" t="inlineStr">
        <is>
          <t>Customer Deviation</t>
        </is>
      </c>
      <c r="J1149" s="43" t="inlineStr">
        <is>
          <t>D609917</t>
        </is>
      </c>
      <c r="K1149" s="33" t="inlineStr">
        <is>
          <t>D609917 Please see PageThree for details</t>
        </is>
      </c>
      <c r="L1149" s="43" t="inlineStr">
        <is>
          <t>Expired</t>
        </is>
      </c>
      <c r="M1149" s="43" t="inlineStr">
        <is>
          <t>73-103098-03</t>
        </is>
      </c>
      <c r="N1149" s="43" t="inlineStr"/>
      <c r="O1149" s="43" t="inlineStr">
        <is>
          <t>2026-06-02</t>
        </is>
      </c>
      <c r="P1149" s="33" t="inlineStr">
        <is>
          <t>For temporary Manufacturing process change</t>
        </is>
      </c>
      <c r="Q1149" s="43" t="inlineStr">
        <is>
          <t>Please place the deviation label in visible area.</t>
        </is>
      </c>
      <c r="R1149" s="43" t="inlineStr">
        <is>
          <t>2026-03-05</t>
        </is>
      </c>
      <c r="S1149" s="43" t="inlineStr">
        <is>
          <t>2026-03-11</t>
        </is>
      </c>
      <c r="T1149" s="43" t="inlineStr"/>
      <c r="U1149" s="43" t="inlineStr"/>
    </row>
    <row r="1150">
      <c r="A1150" s="43" t="n">
        <v>1150</v>
      </c>
      <c r="B1150" s="43" t="inlineStr">
        <is>
          <t>1149</t>
        </is>
      </c>
      <c r="C1150" s="43" t="inlineStr">
        <is>
          <t>FJZP</t>
        </is>
      </c>
      <c r="D1150" s="43" t="inlineStr">
        <is>
          <t>Cisco</t>
        </is>
      </c>
      <c r="E1150" s="43" t="inlineStr">
        <is>
          <t>MCGA</t>
        </is>
      </c>
      <c r="F1150" s="43" t="inlineStr">
        <is>
          <t>035-CVEBU</t>
        </is>
      </c>
      <c r="G1150" s="43" t="inlineStr">
        <is>
          <t>CTANJZ05144</t>
        </is>
      </c>
      <c r="H1150" s="43" t="inlineStr">
        <is>
          <t>For temporary Manufacturing process change</t>
        </is>
      </c>
      <c r="I1150" s="43" t="inlineStr">
        <is>
          <t>Customer Deviation</t>
        </is>
      </c>
      <c r="J1150" s="43" t="inlineStr">
        <is>
          <t>D610061</t>
        </is>
      </c>
      <c r="K1150" s="33" t="inlineStr">
        <is>
          <t>D610061 CVEBU: Bayfront Pilot build. Deviation to allow use IPQ and old Date Codes parts. March 2026.Foxconn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150" s="43" t="inlineStr">
        <is>
          <t>Expired</t>
        </is>
      </c>
      <c r="M1150" s="43" t="inlineStr">
        <is>
          <t>15-110893-01</t>
        </is>
      </c>
      <c r="N1150" s="43" t="inlineStr"/>
      <c r="O1150" s="43" t="inlineStr">
        <is>
          <t>2026-06-08</t>
        </is>
      </c>
      <c r="P1150" s="33" t="inlineStr">
        <is>
          <t>For temporary Manufacturing process change</t>
        </is>
      </c>
      <c r="Q1150" s="43" t="inlineStr">
        <is>
          <t>MARK units with this deviation number visible on unit</t>
        </is>
      </c>
      <c r="R1150" s="43" t="inlineStr">
        <is>
          <t>2026-03-12</t>
        </is>
      </c>
      <c r="S1150" s="43" t="inlineStr">
        <is>
          <t>2026-03-19</t>
        </is>
      </c>
      <c r="T1150" s="43" t="inlineStr"/>
      <c r="U1150" s="43" t="inlineStr"/>
    </row>
    <row r="1151">
      <c r="A1151" s="43" t="n">
        <v>1151</v>
      </c>
      <c r="B1151" s="43" t="inlineStr">
        <is>
          <t>1150</t>
        </is>
      </c>
      <c r="C1151" s="43" t="inlineStr">
        <is>
          <t>FJZP</t>
        </is>
      </c>
      <c r="D1151" s="43" t="inlineStr">
        <is>
          <t>Cisco</t>
        </is>
      </c>
      <c r="E1151" s="43" t="inlineStr">
        <is>
          <t>MCGA</t>
        </is>
      </c>
      <c r="F1151" s="43" t="inlineStr">
        <is>
          <t>037-STBU</t>
        </is>
      </c>
      <c r="G1151" s="43" t="inlineStr">
        <is>
          <t>CTANJZ05150</t>
        </is>
      </c>
      <c r="H1151" s="43" t="inlineStr">
        <is>
          <t>For temporary Manufacturing process change</t>
        </is>
      </c>
      <c r="I1151" s="43" t="inlineStr">
        <is>
          <t>Customer Deviation</t>
        </is>
      </c>
      <c r="J1151" s="43" t="inlineStr">
        <is>
          <t>D610122</t>
        </is>
      </c>
      <c r="K1151" s="33" t="inlineStr">
        <is>
          <t>D610122 NGFWBU:::: CSF1200::::Foxconn PN: C066.00531.005Manufacturer Part Number (MPN) :RC21008B175GND#BB0Quantity: 1;000 piecesDue to a critical material shortage of PN C066.00531.005; FJZ requests approval to use 1;000 pcs of Renesas devices that have a different top marking than standard production material. This deviation allows for such.The devices were originally manufactured as blank devices (RC21008BENGGND#BB0) and were programmed by Renesas to the required configuration RC21008B175GND#BB0 prior to shipment. The only difference is the top marking; which reflects the original blank device marking.Standard Material:MPN: RC21008B175GND#BB0Top Marking: Includes ¡§B175GND¡¨ (per Renesas marking diagram)Deviated Material:Final MPN: RC21008B175GND#BB0 (programmed by Renesas)Original Blank MPN: RC21008BENGGND#BB0Top Marking: Includes ¡§BENG¡¨ instead of ¡§B175GND¡¨No impact to FFF or quality as parts have been screen by Renesas...</t>
        </is>
      </c>
      <c r="L1151" s="43" t="inlineStr">
        <is>
          <t>Expired</t>
        </is>
      </c>
      <c r="M1151" s="43" t="inlineStr">
        <is>
          <t>74-139979-01</t>
        </is>
      </c>
      <c r="N1151" s="43" t="inlineStr"/>
      <c r="O1151" s="43" t="inlineStr">
        <is>
          <t>2026-06-15</t>
        </is>
      </c>
      <c r="P1151" s="33" t="inlineStr">
        <is>
          <t>For temporary Manufacturing process change</t>
        </is>
      </c>
      <c r="Q1151" s="43" t="inlineStr">
        <is>
          <t>Place deviation Label Visibly</t>
        </is>
      </c>
      <c r="R1151" s="43" t="inlineStr">
        <is>
          <t>2026-03-18</t>
        </is>
      </c>
      <c r="S1151" s="43" t="inlineStr">
        <is>
          <t>2026-04-17</t>
        </is>
      </c>
      <c r="T1151" s="43" t="inlineStr"/>
      <c r="U1151" s="43" t="inlineStr"/>
    </row>
    <row r="1152">
      <c r="A1152" s="43" t="n">
        <v>1152</v>
      </c>
      <c r="B1152" s="43" t="inlineStr">
        <is>
          <t>1151</t>
        </is>
      </c>
      <c r="C1152" s="43" t="inlineStr">
        <is>
          <t>FJZP</t>
        </is>
      </c>
      <c r="D1152" s="43" t="inlineStr">
        <is>
          <t>Cisco</t>
        </is>
      </c>
      <c r="E1152" s="43" t="inlineStr">
        <is>
          <t>MCGA</t>
        </is>
      </c>
      <c r="F1152" s="43" t="inlineStr">
        <is>
          <t>037-STBU</t>
        </is>
      </c>
      <c r="G1152" s="43" t="inlineStr">
        <is>
          <t>CTANJZ05150</t>
        </is>
      </c>
      <c r="H1152" s="43" t="inlineStr">
        <is>
          <t>For temporary Manufacturing process change</t>
        </is>
      </c>
      <c r="I1152" s="43" t="inlineStr">
        <is>
          <t>Customer Deviation</t>
        </is>
      </c>
      <c r="J1152" s="43" t="inlineStr">
        <is>
          <t>D610122</t>
        </is>
      </c>
      <c r="K1152" s="33" t="inlineStr">
        <is>
          <t>D610122 NGFWBU:::: CSF1200::::Foxconn PN: C066.00531.005Manufacturer Part Number (MPN) :RC21008B175GND#BB0Quantity: 1;000 piecesDue to a critical material shortage of PN C066.00531.005; FJZ requests approval to use 1;000 pcs of Renesas devices that have a different top marking than standard production material. This deviation allows for such.The devices were originally manufactured as blank devices (RC21008BENGGND#BB0) and were programmed by Renesas to the required configuration RC21008B175GND#BB0 prior to shipment. The only difference is the top marking; which reflects the original blank device marking.Standard Material:MPN: RC21008B175GND#BB0Top Marking: Includes ¡§B175GND¡¨ (per Renesas marking diagram)Deviated Material:Final MPN: RC21008B175GND#BB0 (programmed by Renesas)Original Blank MPN: RC21008BENGGND#BB0Top Marking: Includes ¡§BENG¡¨ instead of ¡§B175GND¡¨No impact to FFF or quality as parts have been screen by Renesas...</t>
        </is>
      </c>
      <c r="L1152" s="43" t="inlineStr">
        <is>
          <t>Expired</t>
        </is>
      </c>
      <c r="M1152" s="43" t="inlineStr">
        <is>
          <t>74-139980-01</t>
        </is>
      </c>
      <c r="N1152" s="43" t="inlineStr"/>
      <c r="O1152" s="43" t="inlineStr">
        <is>
          <t>2026-06-15</t>
        </is>
      </c>
      <c r="P1152" s="33" t="inlineStr">
        <is>
          <t>For temporary Manufacturing process change</t>
        </is>
      </c>
      <c r="Q1152" s="43" t="inlineStr">
        <is>
          <t>Place deviation Label Visibly</t>
        </is>
      </c>
      <c r="R1152" s="43" t="inlineStr">
        <is>
          <t>2026-03-18</t>
        </is>
      </c>
      <c r="S1152" s="43" t="inlineStr">
        <is>
          <t>2026-04-17</t>
        </is>
      </c>
      <c r="T1152" s="43" t="inlineStr"/>
      <c r="U1152" s="43" t="inlineStr"/>
    </row>
    <row r="1153">
      <c r="A1153" s="43" t="n">
        <v>1153</v>
      </c>
      <c r="B1153" s="43" t="inlineStr">
        <is>
          <t>1152</t>
        </is>
      </c>
      <c r="C1153" s="43" t="inlineStr">
        <is>
          <t>FJZP</t>
        </is>
      </c>
      <c r="D1153" s="43" t="inlineStr">
        <is>
          <t>Cisco</t>
        </is>
      </c>
      <c r="E1153" s="43" t="inlineStr">
        <is>
          <t>MCGA</t>
        </is>
      </c>
      <c r="F1153" s="43" t="inlineStr">
        <is>
          <t>037-STBU</t>
        </is>
      </c>
      <c r="G1153" s="43" t="inlineStr">
        <is>
          <t>CTANJZ05150</t>
        </is>
      </c>
      <c r="H1153" s="43" t="inlineStr">
        <is>
          <t>For temporary Manufacturing process change</t>
        </is>
      </c>
      <c r="I1153" s="43" t="inlineStr">
        <is>
          <t>Customer Deviation</t>
        </is>
      </c>
      <c r="J1153" s="43" t="inlineStr">
        <is>
          <t>D610122</t>
        </is>
      </c>
      <c r="K1153" s="33" t="inlineStr">
        <is>
          <t>D610122 NGFWBU:::: CSF1200::::Foxconn PN: C066.00531.005Manufacturer Part Number (MPN) :RC21008B175GND#BB0Quantity: 1;000 piecesDue to a critical material shortage of PN C066.00531.005; FJZ requests approval to use 1;000 pcs of Renesas devices that have a different top marking than standard production material. This deviation allows for such.The devices were originally manufactured as blank devices (RC21008BENGGND#BB0) and were programmed by Renesas to the required configuration RC21008B175GND#BB0 prior to shipment. The only difference is the top marking; which reflects the original blank device marking.Standard Material:MPN: RC21008B175GND#BB0Top Marking: Includes ¡§B175GND¡¨ (per Renesas marking diagram)Deviated Material:Final MPN: RC21008B175GND#BB0 (programmed by Renesas)Original Blank MPN: RC21008BENGGND#BB0Top Marking: Includes ¡§BENG¡¨ instead of ¡§B175GND¡¨No impact to FFF or quality as parts have been screen by Renesas...</t>
        </is>
      </c>
      <c r="L1153" s="43" t="inlineStr">
        <is>
          <t>Expired</t>
        </is>
      </c>
      <c r="M1153" s="43" t="inlineStr">
        <is>
          <t>74-139981-01</t>
        </is>
      </c>
      <c r="N1153" s="43" t="inlineStr"/>
      <c r="O1153" s="43" t="inlineStr">
        <is>
          <t>2026-06-15</t>
        </is>
      </c>
      <c r="P1153" s="33" t="inlineStr">
        <is>
          <t>For temporary Manufacturing process change</t>
        </is>
      </c>
      <c r="Q1153" s="43" t="inlineStr">
        <is>
          <t>Place deviation Label Visibly</t>
        </is>
      </c>
      <c r="R1153" s="43" t="inlineStr">
        <is>
          <t>2026-03-18</t>
        </is>
      </c>
      <c r="S1153" s="43" t="inlineStr">
        <is>
          <t>2026-04-17</t>
        </is>
      </c>
      <c r="T1153" s="43" t="inlineStr"/>
      <c r="U1153" s="43" t="inlineStr"/>
    </row>
    <row r="1154">
      <c r="A1154" s="43" t="n">
        <v>1154</v>
      </c>
      <c r="B1154" s="43" t="inlineStr">
        <is>
          <t>1153</t>
        </is>
      </c>
      <c r="C1154" s="43" t="inlineStr">
        <is>
          <t>FJZP</t>
        </is>
      </c>
      <c r="D1154" s="43" t="inlineStr">
        <is>
          <t>Cisco</t>
        </is>
      </c>
      <c r="E1154" s="43" t="inlineStr">
        <is>
          <t>MCGA</t>
        </is>
      </c>
      <c r="F1154" s="43" t="inlineStr">
        <is>
          <t>037-STBU</t>
        </is>
      </c>
      <c r="G1154" s="43" t="inlineStr">
        <is>
          <t>CTANJZ05266</t>
        </is>
      </c>
      <c r="H1154" s="43" t="inlineStr">
        <is>
          <t>For temporary Manufacturing process change</t>
        </is>
      </c>
      <c r="I1154" s="43" t="inlineStr">
        <is>
          <t>Customer Deviation</t>
        </is>
      </c>
      <c r="J1154" s="43" t="inlineStr">
        <is>
          <t>D611591</t>
        </is>
      </c>
      <c r="K1154" s="33" t="inlineStr">
        <is>
          <t>D611591 Allow FJZ to reprogram on site 2000 pcs of the part 17-102041-05 to convert it 17-102041-07 to avoid short of material during Q4</t>
        </is>
      </c>
      <c r="L1154" s="43" t="inlineStr">
        <is>
          <t>Expired</t>
        </is>
      </c>
      <c r="M1154" s="43" t="inlineStr">
        <is>
          <t>17-102041-05</t>
        </is>
      </c>
      <c r="N1154" s="43" t="inlineStr"/>
      <c r="O1154" s="43" t="inlineStr">
        <is>
          <t>2026-08-24</t>
        </is>
      </c>
      <c r="P1154" s="33" t="inlineStr">
        <is>
          <t>For temporary Manufacturing process change</t>
        </is>
      </c>
      <c r="Q1154" s="43" t="inlineStr">
        <is>
          <t>1. Use the socket to reprogram the material on site 2. Use 1 part to test it in ICT and provide the logs to Cisco EPE and ME 3. Once Cisco EPE approves the programmed parts can be use in production</t>
        </is>
      </c>
      <c r="R1154" s="43" t="inlineStr">
        <is>
          <t>2026-05-27</t>
        </is>
      </c>
      <c r="S1154" s="43" t="inlineStr">
        <is>
          <t>2026-07-02</t>
        </is>
      </c>
      <c r="T1154" s="43" t="inlineStr"/>
      <c r="U1154" s="43" t="inlineStr"/>
    </row>
    <row r="1155">
      <c r="A1155" s="43" t="n">
        <v>1155</v>
      </c>
      <c r="B1155" s="43" t="inlineStr">
        <is>
          <t>1154</t>
        </is>
      </c>
      <c r="C1155" s="43" t="inlineStr">
        <is>
          <t>FJZP</t>
        </is>
      </c>
      <c r="D1155" s="43" t="inlineStr">
        <is>
          <t>Cisco</t>
        </is>
      </c>
      <c r="E1155" s="43" t="inlineStr">
        <is>
          <t>MCGA</t>
        </is>
      </c>
      <c r="F1155" s="43" t="inlineStr">
        <is>
          <t>037-STBU</t>
        </is>
      </c>
      <c r="G1155" s="43" t="inlineStr">
        <is>
          <t>CTANJZ05266</t>
        </is>
      </c>
      <c r="H1155" s="43" t="inlineStr">
        <is>
          <t>For temporary Manufacturing process change</t>
        </is>
      </c>
      <c r="I1155" s="43" t="inlineStr">
        <is>
          <t>Customer Deviation</t>
        </is>
      </c>
      <c r="J1155" s="43" t="inlineStr">
        <is>
          <t>D611591</t>
        </is>
      </c>
      <c r="K1155" s="33" t="inlineStr">
        <is>
          <t>D611591 Allow FJZ to reprogram on site 2000 pcs of the part 17-102041-05 to convert it 17-102041-07 to avoid short of material during Q4</t>
        </is>
      </c>
      <c r="L1155" s="43" t="inlineStr">
        <is>
          <t>Expired</t>
        </is>
      </c>
      <c r="M1155" s="43" t="inlineStr">
        <is>
          <t>17-102041-07</t>
        </is>
      </c>
      <c r="N1155" s="43" t="inlineStr"/>
      <c r="O1155" s="43" t="inlineStr">
        <is>
          <t>2026-08-24</t>
        </is>
      </c>
      <c r="P1155" s="33" t="inlineStr">
        <is>
          <t>For temporary Manufacturing process change</t>
        </is>
      </c>
      <c r="Q1155" s="43" t="inlineStr">
        <is>
          <t>1. Use the socket to reprogram the material on site 2. Use 1 part to test it in ICT and provide the logs to Cisco EPE and ME 3. Once Cisco EPE approves the programmed parts can be use in production</t>
        </is>
      </c>
      <c r="R1155" s="43" t="inlineStr">
        <is>
          <t>2026-05-27</t>
        </is>
      </c>
      <c r="S1155" s="43" t="inlineStr">
        <is>
          <t>2026-07-02</t>
        </is>
      </c>
      <c r="T1155" s="43" t="inlineStr"/>
      <c r="U1155" s="43" t="inlineStr"/>
    </row>
    <row r="1156">
      <c r="A1156" s="43" t="n">
        <v>1156</v>
      </c>
      <c r="B1156" s="43" t="inlineStr">
        <is>
          <t>1155</t>
        </is>
      </c>
      <c r="C1156" s="43" t="inlineStr">
        <is>
          <t>FJZP</t>
        </is>
      </c>
      <c r="D1156" s="43" t="inlineStr">
        <is>
          <t>Cisco</t>
        </is>
      </c>
      <c r="E1156" s="43" t="inlineStr">
        <is>
          <t>MCGA</t>
        </is>
      </c>
      <c r="F1156" s="43" t="inlineStr">
        <is>
          <t>037-STBU</t>
        </is>
      </c>
      <c r="G1156" s="43" t="inlineStr">
        <is>
          <t>CTANJZ05266</t>
        </is>
      </c>
      <c r="H1156" s="43" t="inlineStr">
        <is>
          <t>For temporary Manufacturing process change</t>
        </is>
      </c>
      <c r="I1156" s="43" t="inlineStr">
        <is>
          <t>Customer Deviation</t>
        </is>
      </c>
      <c r="J1156" s="43" t="inlineStr">
        <is>
          <t>D611591</t>
        </is>
      </c>
      <c r="K1156" s="33" t="inlineStr">
        <is>
          <t>D611591 Allow FJZ to reprogram on site 2000 pcs of the part 17-102041-05 to convert it 17-102041-07 to avoid short of material during Q4</t>
        </is>
      </c>
      <c r="L1156" s="43" t="inlineStr">
        <is>
          <t>Expired</t>
        </is>
      </c>
      <c r="M1156" s="43" t="inlineStr">
        <is>
          <t>73-20247-06</t>
        </is>
      </c>
      <c r="N1156" s="43" t="inlineStr"/>
      <c r="O1156" s="43" t="inlineStr">
        <is>
          <t>2026-08-24</t>
        </is>
      </c>
      <c r="P1156" s="33" t="inlineStr">
        <is>
          <t>For temporary Manufacturing process change</t>
        </is>
      </c>
      <c r="Q1156" s="43" t="inlineStr">
        <is>
          <t>1. Use the socket to reprogram the material on site 2. Use 1 part to test it in ICT and provide the logs to Cisco EPE and ME 3. Once Cisco EPE approves the programmed parts can be use in production</t>
        </is>
      </c>
      <c r="R1156" s="43" t="inlineStr">
        <is>
          <t>2026-05-27</t>
        </is>
      </c>
      <c r="S1156" s="43" t="inlineStr">
        <is>
          <t>2026-07-02</t>
        </is>
      </c>
      <c r="T1156" s="43" t="inlineStr"/>
      <c r="U1156" s="43" t="inlineStr"/>
    </row>
    <row r="1157">
      <c r="A1157" s="43" t="n">
        <v>1157</v>
      </c>
      <c r="B1157" s="43" t="inlineStr">
        <is>
          <t>1156</t>
        </is>
      </c>
      <c r="C1157" s="43" t="inlineStr">
        <is>
          <t>FJZP</t>
        </is>
      </c>
      <c r="D1157" s="43" t="inlineStr">
        <is>
          <t>Cisco</t>
        </is>
      </c>
      <c r="E1157" s="43" t="inlineStr">
        <is>
          <t>MCGA</t>
        </is>
      </c>
      <c r="F1157" s="43" t="inlineStr">
        <is>
          <t>037-STBU</t>
        </is>
      </c>
      <c r="G1157" s="43" t="inlineStr">
        <is>
          <t>CTANJZ05266</t>
        </is>
      </c>
      <c r="H1157" s="43" t="inlineStr">
        <is>
          <t>For temporary Manufacturing process change</t>
        </is>
      </c>
      <c r="I1157" s="43" t="inlineStr">
        <is>
          <t>Customer Deviation</t>
        </is>
      </c>
      <c r="J1157" s="43" t="inlineStr">
        <is>
          <t>D611591</t>
        </is>
      </c>
      <c r="K1157" s="33" t="inlineStr">
        <is>
          <t>D611591 Allow FJZ to reprogram on site 2000 pcs of the part 17-102041-05 to convert it 17-102041-07 to avoid short of material during Q4</t>
        </is>
      </c>
      <c r="L1157" s="43" t="inlineStr">
        <is>
          <t>Expired</t>
        </is>
      </c>
      <c r="M1157" s="43" t="inlineStr">
        <is>
          <t>73-20249-06</t>
        </is>
      </c>
      <c r="N1157" s="43" t="inlineStr"/>
      <c r="O1157" s="43" t="inlineStr">
        <is>
          <t>2026-08-24</t>
        </is>
      </c>
      <c r="P1157" s="33" t="inlineStr">
        <is>
          <t>For temporary Manufacturing process change</t>
        </is>
      </c>
      <c r="Q1157" s="43" t="inlineStr">
        <is>
          <t>1. Use the socket to reprogram the material on site 2. Use 1 part to test it in ICT and provide the logs to Cisco EPE and ME 3. Once Cisco EPE approves the programmed parts can be use in production</t>
        </is>
      </c>
      <c r="R1157" s="43" t="inlineStr">
        <is>
          <t>2026-05-27</t>
        </is>
      </c>
      <c r="S1157" s="43" t="inlineStr">
        <is>
          <t>2026-07-02</t>
        </is>
      </c>
      <c r="T1157" s="43" t="inlineStr"/>
      <c r="U1157" s="43" t="inlineStr"/>
    </row>
    <row r="1158">
      <c r="A1158" s="43" t="n">
        <v>1158</v>
      </c>
      <c r="B1158" s="43" t="inlineStr">
        <is>
          <t>1157</t>
        </is>
      </c>
      <c r="C1158" s="43" t="inlineStr">
        <is>
          <t>FJZP</t>
        </is>
      </c>
      <c r="D1158" s="43" t="inlineStr">
        <is>
          <t>Cisco</t>
        </is>
      </c>
      <c r="E1158" s="43" t="inlineStr">
        <is>
          <t>MCGA</t>
        </is>
      </c>
      <c r="F1158" s="43" t="inlineStr">
        <is>
          <t>035-CVEBU</t>
        </is>
      </c>
      <c r="G1158" s="43" t="inlineStr">
        <is>
          <t>CTANJZ05236</t>
        </is>
      </c>
      <c r="H1158" s="43" t="inlineStr">
        <is>
          <t>For temporary Manufacturing process change</t>
        </is>
      </c>
      <c r="I1158" s="43" t="inlineStr">
        <is>
          <t>Customer Deviation</t>
        </is>
      </c>
      <c r="J1158" s="43" t="inlineStr">
        <is>
          <t>D610747</t>
        </is>
      </c>
      <c r="K1158" s="33" t="inlineStr">
        <is>
          <t>D610747 Bayfront Pilot build. Deviation to allow use CPN version not in BOM. March 2026.Foxconn is allowed to use the following part? 12-2213 version -02. CPN is FFF with version -01 which is in the BOMIn Assemblies73-103826-05 PCA; BAYFRONT MAIN BOARD73-103880-05 PCA; BAYFRONT MAIN BOARD NRContact Cisco: Jarle Aasland</t>
        </is>
      </c>
      <c r="L1158" s="43" t="inlineStr">
        <is>
          <t>Expired</t>
        </is>
      </c>
      <c r="M1158" s="43" t="inlineStr">
        <is>
          <t>12-2213-01</t>
        </is>
      </c>
      <c r="N1158" s="43" t="inlineStr"/>
      <c r="O1158" s="43" t="inlineStr">
        <is>
          <t>2026-08-05</t>
        </is>
      </c>
      <c r="P1158" s="33" t="inlineStr">
        <is>
          <t>For temporary Manufacturing process change</t>
        </is>
      </c>
      <c r="Q1158" s="43" t="inlineStr">
        <is>
          <t>No need for traceability. Parts are FFF</t>
        </is>
      </c>
      <c r="R1158" s="43" t="inlineStr">
        <is>
          <t>2026-05-08</t>
        </is>
      </c>
      <c r="S1158" s="43" t="inlineStr">
        <is>
          <t>2026-05-16</t>
        </is>
      </c>
      <c r="T1158" s="43" t="inlineStr"/>
      <c r="U1158" s="43" t="inlineStr"/>
    </row>
    <row r="1159">
      <c r="A1159" s="43" t="n">
        <v>1159</v>
      </c>
      <c r="B1159" s="43" t="inlineStr">
        <is>
          <t>1158</t>
        </is>
      </c>
      <c r="C1159" s="43" t="inlineStr">
        <is>
          <t>FJZP</t>
        </is>
      </c>
      <c r="D1159" s="43" t="inlineStr">
        <is>
          <t>Cisco</t>
        </is>
      </c>
      <c r="E1159" s="43" t="inlineStr">
        <is>
          <t>MCGA</t>
        </is>
      </c>
      <c r="F1159" s="43" t="inlineStr">
        <is>
          <t>035-CVEBU</t>
        </is>
      </c>
      <c r="G1159" s="43" t="inlineStr">
        <is>
          <t>CTANJZ05236</t>
        </is>
      </c>
      <c r="H1159" s="43" t="inlineStr">
        <is>
          <t>For temporary Manufacturing process change</t>
        </is>
      </c>
      <c r="I1159" s="43" t="inlineStr">
        <is>
          <t>Customer Deviation</t>
        </is>
      </c>
      <c r="J1159" s="43" t="inlineStr">
        <is>
          <t>D610747</t>
        </is>
      </c>
      <c r="K1159" s="33" t="inlineStr">
        <is>
          <t>D610747 Bayfront Pilot build. Deviation to allow use CPN version not in BOM. March 2026.Foxconn is allowed to use the following part? 12-2213 version -02. CPN is FFF with version -01 which is in the BOMIn Assemblies73-103826-05 PCA; BAYFRONT MAIN BOARD73-103880-05 PCA; BAYFRONT MAIN BOARD NRContact Cisco: Jarle Aasland</t>
        </is>
      </c>
      <c r="L1159" s="43" t="inlineStr">
        <is>
          <t>Expired</t>
        </is>
      </c>
      <c r="M1159" s="43" t="inlineStr">
        <is>
          <t>73-103826-05</t>
        </is>
      </c>
      <c r="N1159" s="43" t="inlineStr"/>
      <c r="O1159" s="43" t="inlineStr">
        <is>
          <t>2026-08-05</t>
        </is>
      </c>
      <c r="P1159" s="33" t="inlineStr">
        <is>
          <t>For temporary Manufacturing process change</t>
        </is>
      </c>
      <c r="Q1159" s="43" t="inlineStr">
        <is>
          <t>No need for traceability. Parts are FFF</t>
        </is>
      </c>
      <c r="R1159" s="43" t="inlineStr">
        <is>
          <t>2026-05-08</t>
        </is>
      </c>
      <c r="S1159" s="43" t="inlineStr">
        <is>
          <t>2026-05-16</t>
        </is>
      </c>
      <c r="T1159" s="43" t="inlineStr"/>
      <c r="U1159" s="43" t="inlineStr"/>
    </row>
    <row r="1160">
      <c r="A1160" s="43" t="n">
        <v>1160</v>
      </c>
      <c r="B1160" s="43" t="inlineStr">
        <is>
          <t>1159</t>
        </is>
      </c>
      <c r="C1160" s="43" t="inlineStr">
        <is>
          <t>FJZP</t>
        </is>
      </c>
      <c r="D1160" s="43" t="inlineStr">
        <is>
          <t>Cisco</t>
        </is>
      </c>
      <c r="E1160" s="43" t="inlineStr">
        <is>
          <t>MCGA</t>
        </is>
      </c>
      <c r="F1160" s="43" t="inlineStr">
        <is>
          <t>035-CVEBU</t>
        </is>
      </c>
      <c r="G1160" s="43" t="inlineStr">
        <is>
          <t>CTANJZ05236</t>
        </is>
      </c>
      <c r="H1160" s="43" t="inlineStr">
        <is>
          <t>For temporary Manufacturing process change</t>
        </is>
      </c>
      <c r="I1160" s="43" t="inlineStr">
        <is>
          <t>Customer Deviation</t>
        </is>
      </c>
      <c r="J1160" s="43" t="inlineStr">
        <is>
          <t>D610747</t>
        </is>
      </c>
      <c r="K1160" s="33" t="inlineStr">
        <is>
          <t>D610747 Bayfront Pilot build. Deviation to allow use CPN version not in BOM. March 2026.Foxconn is allowed to use the following part? 12-2213 version -02. CPN is FFF with version -01 which is in the BOMIn Assemblies73-103826-05 PCA; BAYFRONT MAIN BOARD73-103880-05 PCA; BAYFRONT MAIN BOARD NRContact Cisco: Jarle Aasland</t>
        </is>
      </c>
      <c r="L1160" s="43" t="inlineStr">
        <is>
          <t>Expired</t>
        </is>
      </c>
      <c r="M1160" s="43" t="inlineStr">
        <is>
          <t>73-103880-05</t>
        </is>
      </c>
      <c r="N1160" s="43" t="inlineStr"/>
      <c r="O1160" s="43" t="inlineStr">
        <is>
          <t>2026-08-05</t>
        </is>
      </c>
      <c r="P1160" s="33" t="inlineStr">
        <is>
          <t>For temporary Manufacturing process change</t>
        </is>
      </c>
      <c r="Q1160" s="43" t="inlineStr">
        <is>
          <t>No need for traceability. Parts are FFF</t>
        </is>
      </c>
      <c r="R1160" s="43" t="inlineStr">
        <is>
          <t>2026-05-08</t>
        </is>
      </c>
      <c r="S1160" s="43" t="inlineStr">
        <is>
          <t>2026-05-16</t>
        </is>
      </c>
      <c r="T1160" s="43" t="inlineStr"/>
      <c r="U1160" s="43" t="inlineStr"/>
    </row>
    <row r="1161">
      <c r="A1161" s="43" t="n">
        <v>1161</v>
      </c>
      <c r="B1161" s="43" t="inlineStr">
        <is>
          <t>1160</t>
        </is>
      </c>
      <c r="C1161" s="43" t="inlineStr">
        <is>
          <t>FJZP</t>
        </is>
      </c>
      <c r="D1161" s="43" t="inlineStr">
        <is>
          <t>Cisco</t>
        </is>
      </c>
      <c r="E1161" s="43" t="inlineStr">
        <is>
          <t>MCGA</t>
        </is>
      </c>
      <c r="F1161" s="43" t="inlineStr">
        <is>
          <t>018-SRGBU</t>
        </is>
      </c>
      <c r="G1161" s="43" t="inlineStr">
        <is>
          <t>CTANJZ05240</t>
        </is>
      </c>
      <c r="H1161" s="43" t="inlineStr">
        <is>
          <t>For temporary Manufacturing process change</t>
        </is>
      </c>
      <c r="I1161" s="43" t="inlineStr">
        <is>
          <t>Customer Deviation</t>
        </is>
      </c>
      <c r="J1161" s="43" t="inlineStr">
        <is>
          <t>D611208</t>
        </is>
      </c>
      <c r="K1161" s="33" t="inlineStr">
        <is>
          <t>D611208 SRGBU-Nutella: Upgrade to Rommon version 17.15.(1r) and use eMMC KLMCG1RCTE-B041 NOTE: This is an extension deviation of D609350.</t>
        </is>
      </c>
      <c r="L1161" s="43" t="inlineStr">
        <is>
          <t>Expired</t>
        </is>
      </c>
      <c r="M1161" s="43" t="inlineStr">
        <is>
          <t>17-15632-01</t>
        </is>
      </c>
      <c r="N1161" s="43" t="inlineStr"/>
      <c r="O1161" s="43" t="inlineStr">
        <is>
          <t>2026-08-09</t>
        </is>
      </c>
      <c r="P1161" s="33" t="inlineStr">
        <is>
          <t>For temporary Manufacturing process change</t>
        </is>
      </c>
      <c r="Q1161" s="43" t="inlineStr">
        <is>
          <t>Please Place the deviation label in visible area.</t>
        </is>
      </c>
      <c r="R1161" s="43" t="inlineStr">
        <is>
          <t>2026-05-13</t>
        </is>
      </c>
      <c r="S1161" s="43" t="inlineStr">
        <is>
          <t>2026-05-19</t>
        </is>
      </c>
      <c r="T1161" s="43" t="inlineStr"/>
      <c r="U1161" s="43" t="inlineStr"/>
    </row>
    <row r="1162">
      <c r="A1162" s="43" t="n">
        <v>1162</v>
      </c>
      <c r="B1162" s="43" t="inlineStr">
        <is>
          <t>1161</t>
        </is>
      </c>
      <c r="C1162" s="43" t="inlineStr">
        <is>
          <t>FJZP</t>
        </is>
      </c>
      <c r="D1162" s="43" t="inlineStr">
        <is>
          <t>Cisco</t>
        </is>
      </c>
      <c r="E1162" s="43" t="inlineStr">
        <is>
          <t>MCGA</t>
        </is>
      </c>
      <c r="F1162" s="43" t="inlineStr">
        <is>
          <t>018-SRGBU</t>
        </is>
      </c>
      <c r="G1162" s="43" t="inlineStr">
        <is>
          <t>CTANJZ05240</t>
        </is>
      </c>
      <c r="H1162" s="43" t="inlineStr">
        <is>
          <t>For temporary Manufacturing process change</t>
        </is>
      </c>
      <c r="I1162" s="43" t="inlineStr">
        <is>
          <t>Customer Deviation</t>
        </is>
      </c>
      <c r="J1162" s="43" t="inlineStr">
        <is>
          <t>D611208</t>
        </is>
      </c>
      <c r="K1162" s="33" t="inlineStr">
        <is>
          <t>D611208 SRGBU-Nutella: Upgrade to Rommon version 17.15.(1r) and use eMMC KLMCG1RCTE-B041 NOTE: This is an extension deviation of D609350.</t>
        </is>
      </c>
      <c r="L1162" s="43" t="inlineStr">
        <is>
          <t>Expired</t>
        </is>
      </c>
      <c r="M1162" s="43" t="inlineStr">
        <is>
          <t>17-15632-02</t>
        </is>
      </c>
      <c r="N1162" s="43" t="inlineStr"/>
      <c r="O1162" s="43" t="inlineStr">
        <is>
          <t>2026-08-09</t>
        </is>
      </c>
      <c r="P1162" s="33" t="inlineStr">
        <is>
          <t>For temporary Manufacturing process change</t>
        </is>
      </c>
      <c r="Q1162" s="43" t="inlineStr">
        <is>
          <t>Please Place the deviation label in visible area.</t>
        </is>
      </c>
      <c r="R1162" s="43" t="inlineStr">
        <is>
          <t>2026-05-13</t>
        </is>
      </c>
      <c r="S1162" s="43" t="inlineStr">
        <is>
          <t>2026-05-19</t>
        </is>
      </c>
      <c r="T1162" s="43" t="inlineStr"/>
      <c r="U1162" s="43" t="inlineStr"/>
    </row>
    <row r="1163">
      <c r="A1163" s="43" t="n">
        <v>1163</v>
      </c>
      <c r="B1163" s="43" t="inlineStr">
        <is>
          <t>1162</t>
        </is>
      </c>
      <c r="C1163" s="43" t="inlineStr">
        <is>
          <t>FJZP</t>
        </is>
      </c>
      <c r="D1163" s="43" t="inlineStr">
        <is>
          <t>Cisco</t>
        </is>
      </c>
      <c r="E1163" s="43" t="inlineStr">
        <is>
          <t>MCGA</t>
        </is>
      </c>
      <c r="F1163" s="43" t="inlineStr">
        <is>
          <t>018-SRGBU</t>
        </is>
      </c>
      <c r="G1163" s="43" t="inlineStr">
        <is>
          <t>CTANJZ05240</t>
        </is>
      </c>
      <c r="H1163" s="43" t="inlineStr">
        <is>
          <t>For temporary Manufacturing process change</t>
        </is>
      </c>
      <c r="I1163" s="43" t="inlineStr">
        <is>
          <t>Customer Deviation</t>
        </is>
      </c>
      <c r="J1163" s="43" t="inlineStr">
        <is>
          <t>D611208</t>
        </is>
      </c>
      <c r="K1163" s="33" t="inlineStr">
        <is>
          <t>D611208 SRGBU-Nutella: Upgrade to Rommon version 17.15.(1r) and use eMMC KLMCG1RCTE-B041 NOTE: This is an extension deviation of D609350.</t>
        </is>
      </c>
      <c r="L1163" s="43" t="inlineStr">
        <is>
          <t>Expired</t>
        </is>
      </c>
      <c r="M1163" s="43" t="inlineStr">
        <is>
          <t>74-122742-01</t>
        </is>
      </c>
      <c r="N1163" s="43" t="inlineStr"/>
      <c r="O1163" s="43" t="inlineStr">
        <is>
          <t>2026-08-09</t>
        </is>
      </c>
      <c r="P1163" s="33" t="inlineStr">
        <is>
          <t>For temporary Manufacturing process change</t>
        </is>
      </c>
      <c r="Q1163" s="43" t="inlineStr">
        <is>
          <t>Please Place the deviation label in visible area.</t>
        </is>
      </c>
      <c r="R1163" s="43" t="inlineStr">
        <is>
          <t>2026-05-13</t>
        </is>
      </c>
      <c r="S1163" s="43" t="inlineStr">
        <is>
          <t>2026-05-19</t>
        </is>
      </c>
      <c r="T1163" s="43" t="inlineStr"/>
      <c r="U1163" s="43" t="inlineStr"/>
    </row>
    <row r="1164">
      <c r="A1164" s="43" t="n">
        <v>1164</v>
      </c>
      <c r="B1164" s="43" t="inlineStr">
        <is>
          <t>1163</t>
        </is>
      </c>
      <c r="C1164" s="43" t="inlineStr">
        <is>
          <t>FJZP</t>
        </is>
      </c>
      <c r="D1164" s="43" t="inlineStr">
        <is>
          <t>Cisco</t>
        </is>
      </c>
      <c r="E1164" s="43" t="inlineStr">
        <is>
          <t>MCGA</t>
        </is>
      </c>
      <c r="F1164" s="43" t="inlineStr">
        <is>
          <t>018-SRGBU</t>
        </is>
      </c>
      <c r="G1164" s="43" t="inlineStr">
        <is>
          <t>CTANJZ05240</t>
        </is>
      </c>
      <c r="H1164" s="43" t="inlineStr">
        <is>
          <t>For temporary Manufacturing process change</t>
        </is>
      </c>
      <c r="I1164" s="43" t="inlineStr">
        <is>
          <t>Customer Deviation</t>
        </is>
      </c>
      <c r="J1164" s="43" t="inlineStr">
        <is>
          <t>D611208</t>
        </is>
      </c>
      <c r="K1164" s="33" t="inlineStr">
        <is>
          <t>D611208 SRGBU-Nutella: Upgrade to Rommon version 17.15.(1r) and use eMMC KLMCG1RCTE-B041 NOTE: This is an extension deviation of D609350.</t>
        </is>
      </c>
      <c r="L1164" s="43" t="inlineStr">
        <is>
          <t>Expired</t>
        </is>
      </c>
      <c r="M1164" s="43" t="inlineStr">
        <is>
          <t>74-122743-01</t>
        </is>
      </c>
      <c r="N1164" s="43" t="inlineStr"/>
      <c r="O1164" s="43" t="inlineStr">
        <is>
          <t>2026-08-09</t>
        </is>
      </c>
      <c r="P1164" s="33" t="inlineStr">
        <is>
          <t>For temporary Manufacturing process change</t>
        </is>
      </c>
      <c r="Q1164" s="43" t="inlineStr">
        <is>
          <t>Please Place the deviation label in visible area.</t>
        </is>
      </c>
      <c r="R1164" s="43" t="inlineStr">
        <is>
          <t>2026-05-13</t>
        </is>
      </c>
      <c r="S1164" s="43" t="inlineStr">
        <is>
          <t>2026-05-19</t>
        </is>
      </c>
      <c r="T1164" s="43" t="inlineStr"/>
      <c r="U1164" s="43" t="inlineStr"/>
    </row>
    <row r="1165">
      <c r="A1165" s="43" t="n">
        <v>1165</v>
      </c>
      <c r="B1165" s="43" t="inlineStr">
        <is>
          <t>1164</t>
        </is>
      </c>
      <c r="C1165" s="43" t="inlineStr">
        <is>
          <t>FJZP</t>
        </is>
      </c>
      <c r="D1165" s="43" t="inlineStr">
        <is>
          <t>Cisco</t>
        </is>
      </c>
      <c r="E1165" s="43" t="inlineStr">
        <is>
          <t>MCGA</t>
        </is>
      </c>
      <c r="F1165" s="43" t="inlineStr">
        <is>
          <t>018-SRGBU</t>
        </is>
      </c>
      <c r="G1165" s="43" t="inlineStr">
        <is>
          <t>CTANJZ05240</t>
        </is>
      </c>
      <c r="H1165" s="43" t="inlineStr">
        <is>
          <t>For temporary Manufacturing process change</t>
        </is>
      </c>
      <c r="I1165" s="43" t="inlineStr">
        <is>
          <t>Customer Deviation</t>
        </is>
      </c>
      <c r="J1165" s="43" t="inlineStr">
        <is>
          <t>D611208</t>
        </is>
      </c>
      <c r="K1165" s="33" t="inlineStr">
        <is>
          <t>D611208 SRGBU-Nutella: Upgrade to Rommon version 17.15.(1r) and use eMMC KLMCG1RCTE-B041 NOTE: This is an extension deviation of D609350.</t>
        </is>
      </c>
      <c r="L1165" s="43" t="inlineStr">
        <is>
          <t>Expired</t>
        </is>
      </c>
      <c r="M1165" s="43" t="inlineStr">
        <is>
          <t>74-122744-01</t>
        </is>
      </c>
      <c r="N1165" s="43" t="inlineStr"/>
      <c r="O1165" s="43" t="inlineStr">
        <is>
          <t>2026-08-09</t>
        </is>
      </c>
      <c r="P1165" s="33" t="inlineStr">
        <is>
          <t>For temporary Manufacturing process change</t>
        </is>
      </c>
      <c r="Q1165" s="43" t="inlineStr">
        <is>
          <t>Please Place the deviation label in visible area.</t>
        </is>
      </c>
      <c r="R1165" s="43" t="inlineStr">
        <is>
          <t>2026-05-13</t>
        </is>
      </c>
      <c r="S1165" s="43" t="inlineStr">
        <is>
          <t>2026-05-19</t>
        </is>
      </c>
      <c r="T1165" s="43" t="inlineStr"/>
      <c r="U1165" s="43" t="inlineStr"/>
    </row>
    <row r="1166">
      <c r="A1166" s="43" t="n">
        <v>1166</v>
      </c>
      <c r="B1166" s="43" t="inlineStr">
        <is>
          <t>1165</t>
        </is>
      </c>
      <c r="C1166" s="43" t="inlineStr">
        <is>
          <t>FJZP</t>
        </is>
      </c>
      <c r="D1166" s="43" t="inlineStr">
        <is>
          <t>Cisco</t>
        </is>
      </c>
      <c r="E1166" s="43" t="inlineStr">
        <is>
          <t>MCGA</t>
        </is>
      </c>
      <c r="F1166" s="43" t="inlineStr">
        <is>
          <t>018-SRGBU</t>
        </is>
      </c>
      <c r="G1166" s="43" t="inlineStr">
        <is>
          <t>CTANJZ05240</t>
        </is>
      </c>
      <c r="H1166" s="43" t="inlineStr">
        <is>
          <t>For temporary Manufacturing process change</t>
        </is>
      </c>
      <c r="I1166" s="43" t="inlineStr">
        <is>
          <t>Customer Deviation</t>
        </is>
      </c>
      <c r="J1166" s="43" t="inlineStr">
        <is>
          <t>D611208</t>
        </is>
      </c>
      <c r="K1166" s="33" t="inlineStr">
        <is>
          <t>D611208 SRGBU-Nutella: Upgrade to Rommon version 17.15.(1r) and use eMMC KLMCG1RCTE-B041 NOTE: This is an extension deviation of D609350.</t>
        </is>
      </c>
      <c r="L1166" s="43" t="inlineStr">
        <is>
          <t>Expired</t>
        </is>
      </c>
      <c r="M1166" s="43" t="inlineStr">
        <is>
          <t>74-122859-01</t>
        </is>
      </c>
      <c r="N1166" s="43" t="inlineStr"/>
      <c r="O1166" s="43" t="inlineStr">
        <is>
          <t>2026-08-09</t>
        </is>
      </c>
      <c r="P1166" s="33" t="inlineStr">
        <is>
          <t>For temporary Manufacturing process change</t>
        </is>
      </c>
      <c r="Q1166" s="43" t="inlineStr">
        <is>
          <t>Please Place the deviation label in visible area.</t>
        </is>
      </c>
      <c r="R1166" s="43" t="inlineStr">
        <is>
          <t>2026-05-13</t>
        </is>
      </c>
      <c r="S1166" s="43" t="inlineStr">
        <is>
          <t>2026-05-19</t>
        </is>
      </c>
      <c r="T1166" s="43" t="inlineStr"/>
      <c r="U1166" s="43" t="inlineStr"/>
    </row>
    <row r="1167">
      <c r="A1167" s="43" t="n">
        <v>1167</v>
      </c>
      <c r="B1167" s="43" t="inlineStr">
        <is>
          <t>1166</t>
        </is>
      </c>
      <c r="C1167" s="43" t="inlineStr">
        <is>
          <t>FJZP</t>
        </is>
      </c>
      <c r="D1167" s="43" t="inlineStr">
        <is>
          <t>Cisco</t>
        </is>
      </c>
      <c r="E1167" s="43" t="inlineStr">
        <is>
          <t>MCGA</t>
        </is>
      </c>
      <c r="F1167" s="43" t="inlineStr">
        <is>
          <t>018-SRGBU</t>
        </is>
      </c>
      <c r="G1167" s="43" t="inlineStr">
        <is>
          <t>CTANJZ05240</t>
        </is>
      </c>
      <c r="H1167" s="43" t="inlineStr">
        <is>
          <t>For temporary Manufacturing process change</t>
        </is>
      </c>
      <c r="I1167" s="43" t="inlineStr">
        <is>
          <t>Customer Deviation</t>
        </is>
      </c>
      <c r="J1167" s="43" t="inlineStr">
        <is>
          <t>D611208</t>
        </is>
      </c>
      <c r="K1167" s="33" t="inlineStr">
        <is>
          <t>D611208 SRGBU-Nutella: Upgrade to Rommon version 17.15.(1r) and use eMMC KLMCG1RCTE-B041 NOTE: This is an extension deviation of D609350.</t>
        </is>
      </c>
      <c r="L1167" s="43" t="inlineStr">
        <is>
          <t>Expired</t>
        </is>
      </c>
      <c r="M1167" s="43" t="inlineStr">
        <is>
          <t>74-123836-01</t>
        </is>
      </c>
      <c r="N1167" s="43" t="inlineStr"/>
      <c r="O1167" s="43" t="inlineStr">
        <is>
          <t>2026-08-09</t>
        </is>
      </c>
      <c r="P1167" s="33" t="inlineStr">
        <is>
          <t>For temporary Manufacturing process change</t>
        </is>
      </c>
      <c r="Q1167" s="43" t="inlineStr">
        <is>
          <t>Please Place the deviation label in visible area.</t>
        </is>
      </c>
      <c r="R1167" s="43" t="inlineStr">
        <is>
          <t>2026-05-13</t>
        </is>
      </c>
      <c r="S1167" s="43" t="inlineStr">
        <is>
          <t>2026-05-19</t>
        </is>
      </c>
      <c r="T1167" s="43" t="inlineStr"/>
      <c r="U1167" s="43" t="inlineStr"/>
    </row>
    <row r="1168">
      <c r="A1168" s="43" t="n">
        <v>1168</v>
      </c>
      <c r="B1168" s="43" t="inlineStr">
        <is>
          <t>1167</t>
        </is>
      </c>
      <c r="C1168" s="43" t="inlineStr">
        <is>
          <t>FJZP</t>
        </is>
      </c>
      <c r="D1168" s="43" t="inlineStr">
        <is>
          <t>Cisco</t>
        </is>
      </c>
      <c r="E1168" s="43" t="inlineStr">
        <is>
          <t>MCGA</t>
        </is>
      </c>
      <c r="F1168" s="43" t="inlineStr">
        <is>
          <t>018-SRGBU</t>
        </is>
      </c>
      <c r="G1168" s="43" t="inlineStr">
        <is>
          <t>CTANJZ05240</t>
        </is>
      </c>
      <c r="H1168" s="43" t="inlineStr">
        <is>
          <t>For temporary Manufacturing process change</t>
        </is>
      </c>
      <c r="I1168" s="43" t="inlineStr">
        <is>
          <t>Customer Deviation</t>
        </is>
      </c>
      <c r="J1168" s="43" t="inlineStr">
        <is>
          <t>D611208</t>
        </is>
      </c>
      <c r="K1168" s="33" t="inlineStr">
        <is>
          <t>D611208 SRGBU-Nutella: Upgrade to Rommon version 17.15.(1r) and use eMMC KLMCG1RCTE-B041 NOTE: This is an extension deviation of D609350.</t>
        </is>
      </c>
      <c r="L1168" s="43" t="inlineStr">
        <is>
          <t>Expired</t>
        </is>
      </c>
      <c r="M1168" s="43" t="inlineStr">
        <is>
          <t>74-123837-01</t>
        </is>
      </c>
      <c r="N1168" s="43" t="inlineStr"/>
      <c r="O1168" s="43" t="inlineStr">
        <is>
          <t>2026-08-09</t>
        </is>
      </c>
      <c r="P1168" s="33" t="inlineStr">
        <is>
          <t>For temporary Manufacturing process change</t>
        </is>
      </c>
      <c r="Q1168" s="43" t="inlineStr">
        <is>
          <t>Please Place the deviation label in visible area.</t>
        </is>
      </c>
      <c r="R1168" s="43" t="inlineStr">
        <is>
          <t>2026-05-13</t>
        </is>
      </c>
      <c r="S1168" s="43" t="inlineStr">
        <is>
          <t>2026-05-19</t>
        </is>
      </c>
      <c r="T1168" s="43" t="inlineStr"/>
      <c r="U1168" s="43" t="inlineStr"/>
    </row>
    <row r="1169">
      <c r="A1169" s="43" t="n">
        <v>1169</v>
      </c>
      <c r="B1169" s="43" t="inlineStr">
        <is>
          <t>1168</t>
        </is>
      </c>
      <c r="C1169" s="43" t="inlineStr">
        <is>
          <t>FJZP</t>
        </is>
      </c>
      <c r="D1169" s="43" t="inlineStr">
        <is>
          <t>Cisco</t>
        </is>
      </c>
      <c r="E1169" s="43" t="inlineStr">
        <is>
          <t>MCGA</t>
        </is>
      </c>
      <c r="F1169" s="43" t="inlineStr">
        <is>
          <t>037-STBU</t>
        </is>
      </c>
      <c r="G1169" s="43" t="inlineStr">
        <is>
          <t>CTANJZ05243</t>
        </is>
      </c>
      <c r="H1169" s="43" t="inlineStr">
        <is>
          <t>For temporary Manufacturing process change</t>
        </is>
      </c>
      <c r="I1169" s="43" t="inlineStr">
        <is>
          <t>Customer Deviation</t>
        </is>
      </c>
      <c r="J1169" s="43" t="inlineStr">
        <is>
          <t>D611346</t>
        </is>
      </c>
      <c r="K1169" s="33" t="inlineStr">
        <is>
          <t>D611346 PCBA needs to use a packaging to keep the units prior to move it to DF; as 84 is not include in version 06; we allow to FJZ use the packaging 84-102476-01 in this old version until FJZ implement the 07 version (EA618260) that is planning to be implement in Aug 2026</t>
        </is>
      </c>
      <c r="L1169" s="43" t="inlineStr">
        <is>
          <t>Expired</t>
        </is>
      </c>
      <c r="M1169" s="43" t="inlineStr">
        <is>
          <t>68-103464-06</t>
        </is>
      </c>
      <c r="N1169" s="43" t="inlineStr"/>
      <c r="O1169" s="43" t="inlineStr">
        <is>
          <t>2026-08-12</t>
        </is>
      </c>
      <c r="P1169" s="33" t="inlineStr">
        <is>
          <t>For temporary Manufacturing process change</t>
        </is>
      </c>
      <c r="Q1169" s="43" t="inlineStr">
        <is>
          <t>No additional instructions</t>
        </is>
      </c>
      <c r="R1169" s="43" t="inlineStr">
        <is>
          <t>2026-05-15</t>
        </is>
      </c>
      <c r="S1169" s="43" t="inlineStr">
        <is>
          <t>2026-06-03</t>
        </is>
      </c>
      <c r="T1169" s="43" t="inlineStr"/>
      <c r="U1169" s="43" t="inlineStr"/>
    </row>
    <row r="1170">
      <c r="A1170" s="43" t="n">
        <v>1170</v>
      </c>
      <c r="B1170" s="43" t="inlineStr">
        <is>
          <t>1169</t>
        </is>
      </c>
      <c r="C1170" s="43" t="inlineStr">
        <is>
          <t>FJZP</t>
        </is>
      </c>
      <c r="D1170" s="43" t="inlineStr">
        <is>
          <t>Cisco</t>
        </is>
      </c>
      <c r="E1170" s="43" t="inlineStr">
        <is>
          <t>MCGA</t>
        </is>
      </c>
      <c r="F1170" s="43" t="inlineStr">
        <is>
          <t>239-CRBU</t>
        </is>
      </c>
      <c r="G1170" s="43" t="inlineStr">
        <is>
          <t>CTANJZ05204</t>
        </is>
      </c>
      <c r="H1170" s="43" t="inlineStr">
        <is>
          <t>For temporary Manufacturing process change</t>
        </is>
      </c>
      <c r="I1170" s="43" t="inlineStr">
        <is>
          <t>Customer Deviation</t>
        </is>
      </c>
      <c r="J1170" s="43" t="inlineStr">
        <is>
          <t>D610600</t>
        </is>
      </c>
      <c r="K1170" s="33" t="inlineStr">
        <is>
          <t>D610600 CRBU-Chassis- 8s chassis rework - Allow FJZ to RMA 112 qty of (800-48223-02) 8808 Chassis to Likom with DC 2523 x-cede connector for rework ; MID Plane with DC 2523 Should be shipped to FOL for rework &amp; follow SCQO- MY1943Likom to rework these 112 Qty 8808 Chassis with latest improved x-cede connector from DC 2601For Likom side-1.?The chassis version and CPN will not change after rework.2. The chassis serial number (SN) will not change after rework.3. The reworked chassis will be replaced with a new RPMP (backplate); while other components (piece part and sub-assembly) will remain unchanged; retaining the part number; version; and SN. It will be shipped after testing.In FOL side for RPMP rework once received from FJZ1.  Replace all old DC2523 x-connector with latest improved new connector from DC 2601 ; keep original SN  2. Paste deviation label after rework on boardFVN should also follow as per SCQO- MY1943</t>
        </is>
      </c>
      <c r="L1170" s="43" t="inlineStr">
        <is>
          <t>Expired</t>
        </is>
      </c>
      <c r="M1170" s="43" t="inlineStr">
        <is>
          <t>800-48268-03</t>
        </is>
      </c>
      <c r="N1170" s="43" t="inlineStr"/>
      <c r="O1170" s="43" t="inlineStr">
        <is>
          <t>2026-07-09</t>
        </is>
      </c>
      <c r="P1170" s="33" t="inlineStr">
        <is>
          <t>For temporary Manufacturing process change</t>
        </is>
      </c>
      <c r="Q1170" s="43" t="inlineStr">
        <is>
          <t>Please use label as deviation</t>
        </is>
      </c>
      <c r="R1170" s="43" t="inlineStr">
        <is>
          <t>2026-04-11</t>
        </is>
      </c>
      <c r="S1170" s="43" t="inlineStr">
        <is>
          <t>2026-05-08</t>
        </is>
      </c>
      <c r="T1170" s="43" t="inlineStr"/>
      <c r="U1170" s="43" t="inlineStr"/>
    </row>
    <row r="1171">
      <c r="A1171" s="43" t="n">
        <v>1171</v>
      </c>
      <c r="B1171" s="43" t="inlineStr">
        <is>
          <t>1170</t>
        </is>
      </c>
      <c r="C1171" s="43" t="inlineStr">
        <is>
          <t>FJZP</t>
        </is>
      </c>
      <c r="D1171" s="43" t="inlineStr">
        <is>
          <t>Cisco</t>
        </is>
      </c>
      <c r="E1171" s="43" t="inlineStr">
        <is>
          <t>MCGA</t>
        </is>
      </c>
      <c r="F1171" s="43" t="inlineStr">
        <is>
          <t>037-STBU</t>
        </is>
      </c>
      <c r="G1171" s="43" t="inlineStr">
        <is>
          <t>CTANJZ05276</t>
        </is>
      </c>
      <c r="H1171" s="43" t="inlineStr">
        <is>
          <t>For temporary Manufacturing process change</t>
        </is>
      </c>
      <c r="I1171" s="43" t="inlineStr">
        <is>
          <t>Customer Deviation</t>
        </is>
      </c>
      <c r="J1171" s="43" t="inlineStr">
        <is>
          <t>D610509</t>
        </is>
      </c>
      <c r="K1171" s="33" t="inlineStr">
        <is>
          <t>D610509 Woodside Park - CSF6100 SeriesAdding a bag (502-00154-01) to the Woodside Park Spare Fan PID.</t>
        </is>
      </c>
      <c r="L1171" s="43" t="inlineStr">
        <is>
          <t>Expired</t>
        </is>
      </c>
      <c r="M1171" s="43" t="inlineStr">
        <is>
          <t>800-112580-02</t>
        </is>
      </c>
      <c r="N1171" s="43" t="inlineStr"/>
      <c r="O1171" s="43" t="inlineStr">
        <is>
          <t>2026-08-30</t>
        </is>
      </c>
      <c r="P1171" s="33" t="inlineStr">
        <is>
          <t>For temporary Manufacturing process change</t>
        </is>
      </c>
      <c r="Q1171" s="43" t="inlineStr">
        <is>
          <t>NA</t>
        </is>
      </c>
      <c r="R1171" s="43" t="inlineStr">
        <is>
          <t>2026-06-02</t>
        </is>
      </c>
      <c r="S1171" s="43" t="inlineStr">
        <is>
          <t>2026-06-16</t>
        </is>
      </c>
      <c r="T1171" s="43" t="inlineStr"/>
      <c r="U1171" s="43" t="inlineStr"/>
    </row>
    <row r="1172">
      <c r="A1172" s="43" t="n">
        <v>1172</v>
      </c>
      <c r="B1172" s="43" t="inlineStr">
        <is>
          <t>1171</t>
        </is>
      </c>
      <c r="C1172" s="43" t="inlineStr">
        <is>
          <t>FJZP</t>
        </is>
      </c>
      <c r="D1172" s="43" t="inlineStr">
        <is>
          <t>Cisco</t>
        </is>
      </c>
      <c r="E1172" s="43" t="inlineStr">
        <is>
          <t>MCGA</t>
        </is>
      </c>
      <c r="F1172" s="43" t="inlineStr">
        <is>
          <t>037-STBU</t>
        </is>
      </c>
      <c r="G1172" s="43" t="inlineStr">
        <is>
          <t>CTANJZ05277</t>
        </is>
      </c>
      <c r="H1172" s="43" t="inlineStr">
        <is>
          <t>For temporary Manufacturing process change</t>
        </is>
      </c>
      <c r="I1172" s="43" t="inlineStr">
        <is>
          <t>Customer Deviation</t>
        </is>
      </c>
      <c r="J1172" s="43" t="inlineStr">
        <is>
          <t>D611714</t>
        </is>
      </c>
      <c r="K1172" s="33" t="inlineStr">
        <is>
          <t>D611714 During 2023; EDI for 68-104009-02 was overstated which made FJZ to build a lot of units but booking did not come. After noticing EDI was adjusted way down; these units remained as excess. Now that some customers have asked for these modules on their systems; we need to use this old stock; otherwise orders can be cancelledAs there are already escalations for the orders; we need to fulfill them as needed</t>
        </is>
      </c>
      <c r="L1172" s="43" t="inlineStr">
        <is>
          <t>Expired</t>
        </is>
      </c>
      <c r="M1172" s="43" t="inlineStr">
        <is>
          <t>68-104009-02</t>
        </is>
      </c>
      <c r="N1172" s="43" t="inlineStr"/>
      <c r="O1172" s="43" t="inlineStr">
        <is>
          <t>2026-08-30</t>
        </is>
      </c>
      <c r="P1172" s="33" t="inlineStr">
        <is>
          <t>For temporary Manufacturing process change</t>
        </is>
      </c>
      <c r="Q1172" s="43" t="inlineStr">
        <is>
          <t>1. Please scan the deviation to have the record of the unit</t>
        </is>
      </c>
      <c r="R1172" s="43" t="inlineStr">
        <is>
          <t>2026-06-02</t>
        </is>
      </c>
      <c r="S1172" s="43" t="inlineStr">
        <is>
          <t>2026-06-27</t>
        </is>
      </c>
      <c r="T1172" s="43" t="inlineStr"/>
      <c r="U1172" s="43" t="inlineStr"/>
    </row>
    <row r="1173">
      <c r="A1173" s="43" t="n">
        <v>1173</v>
      </c>
      <c r="B1173" s="43" t="inlineStr">
        <is>
          <t>1172</t>
        </is>
      </c>
      <c r="C1173" s="43" t="inlineStr">
        <is>
          <t>FJZP</t>
        </is>
      </c>
      <c r="D1173" s="43" t="inlineStr">
        <is>
          <t>Cisco</t>
        </is>
      </c>
      <c r="E1173" s="43" t="inlineStr">
        <is>
          <t>MCGA</t>
        </is>
      </c>
      <c r="F1173" s="43" t="inlineStr">
        <is>
          <t>037-STBU</t>
        </is>
      </c>
      <c r="G1173" s="43" t="inlineStr">
        <is>
          <t>CTANJZ05274</t>
        </is>
      </c>
      <c r="H1173" s="43" t="inlineStr">
        <is>
          <t>For temporary Manufacturing process change</t>
        </is>
      </c>
      <c r="I1173" s="43" t="inlineStr">
        <is>
          <t>Customer Deviation</t>
        </is>
      </c>
      <c r="J1173" s="43" t="inlineStr">
        <is>
          <t>D610621</t>
        </is>
      </c>
      <c r="K1173" s="33" t="inlineStr">
        <is>
          <t>D610621 Woodside Park - CSF6100 SeriesThe purpose of this deviation is to allow for the customer document (78-102258-01) and envelope (502-00194-01) to be used for the sales orders 119901344; 119901345; and 119901347 for the Woodside Park DC PSU (341-101794-01).</t>
        </is>
      </c>
      <c r="L1173" s="43" t="inlineStr">
        <is>
          <t>Expired</t>
        </is>
      </c>
      <c r="M1173" s="43" t="inlineStr">
        <is>
          <t>341-101794-01</t>
        </is>
      </c>
      <c r="N1173" s="43" t="inlineStr"/>
      <c r="O1173" s="43" t="inlineStr">
        <is>
          <t>2026-08-30</t>
        </is>
      </c>
      <c r="P1173" s="33" t="inlineStr">
        <is>
          <t>For temporary Manufacturing process change</t>
        </is>
      </c>
      <c r="Q1173" s="43" t="inlineStr">
        <is>
          <t>NA</t>
        </is>
      </c>
      <c r="R1173" s="43" t="inlineStr">
        <is>
          <t>2026-06-02</t>
        </is>
      </c>
      <c r="S1173" s="43" t="inlineStr">
        <is>
          <t>2026-06-16</t>
        </is>
      </c>
      <c r="T1173" s="43" t="inlineStr"/>
      <c r="U1173" s="43" t="inlineStr"/>
    </row>
    <row r="1174">
      <c r="A1174" s="43" t="n">
        <v>1174</v>
      </c>
      <c r="B1174" s="43" t="inlineStr">
        <is>
          <t>1173</t>
        </is>
      </c>
      <c r="C1174" s="43" t="inlineStr">
        <is>
          <t>FJZP</t>
        </is>
      </c>
      <c r="D1174" s="43" t="inlineStr">
        <is>
          <t>Cisco</t>
        </is>
      </c>
      <c r="E1174" s="43" t="inlineStr">
        <is>
          <t>MCGA</t>
        </is>
      </c>
      <c r="F1174" s="43" t="inlineStr">
        <is>
          <t>034-IOTBU</t>
        </is>
      </c>
      <c r="G1174" s="43" t="inlineStr">
        <is>
          <t>CTANJZ05281</t>
        </is>
      </c>
      <c r="H1174" s="43" t="inlineStr">
        <is>
          <t>For temporary Manufacturing process change</t>
        </is>
      </c>
      <c r="I1174" s="43" t="inlineStr">
        <is>
          <t>Customer Deviation</t>
        </is>
      </c>
      <c r="J1174" s="43" t="inlineStr">
        <is>
          <t>D611764</t>
        </is>
      </c>
      <c r="K1174" s="33" t="inlineStr">
        <is>
          <t>D611764 Please see PageThree for details</t>
        </is>
      </c>
      <c r="L1174" s="43" t="inlineStr">
        <is>
          <t>Expired</t>
        </is>
      </c>
      <c r="M1174" s="43" t="inlineStr">
        <is>
          <t>16-101333-01</t>
        </is>
      </c>
      <c r="N1174" s="43" t="inlineStr"/>
      <c r="O1174" s="43" t="inlineStr">
        <is>
          <t>2026-08-31</t>
        </is>
      </c>
      <c r="P1174" s="33" t="inlineStr">
        <is>
          <t>For temporary Manufacturing process change</t>
        </is>
      </c>
      <c r="Q1174" s="43" t="inlineStr">
        <is>
          <t>Please place the deviation label in visible area.</t>
        </is>
      </c>
      <c r="R1174" s="43" t="inlineStr">
        <is>
          <t>2026-06-03</t>
        </is>
      </c>
      <c r="S1174" s="43" t="inlineStr">
        <is>
          <t>2026-06-16</t>
        </is>
      </c>
      <c r="T1174" s="43" t="inlineStr"/>
      <c r="U1174" s="43" t="inlineStr"/>
    </row>
    <row r="1175">
      <c r="A1175" s="43" t="n">
        <v>1175</v>
      </c>
      <c r="B1175" s="43" t="inlineStr">
        <is>
          <t>1174</t>
        </is>
      </c>
      <c r="C1175" s="43" t="inlineStr">
        <is>
          <t>FJZP</t>
        </is>
      </c>
      <c r="D1175" s="43" t="inlineStr">
        <is>
          <t>Cisco</t>
        </is>
      </c>
      <c r="E1175" s="43" t="inlineStr">
        <is>
          <t>MCGA</t>
        </is>
      </c>
      <c r="F1175" s="43" t="inlineStr">
        <is>
          <t>034-IOTBU</t>
        </is>
      </c>
      <c r="G1175" s="43" t="inlineStr">
        <is>
          <t>CTANJZ05281</t>
        </is>
      </c>
      <c r="H1175" s="43" t="inlineStr">
        <is>
          <t>For temporary Manufacturing process change</t>
        </is>
      </c>
      <c r="I1175" s="43" t="inlineStr">
        <is>
          <t>Customer Deviation</t>
        </is>
      </c>
      <c r="J1175" s="43" t="inlineStr">
        <is>
          <t>D611764</t>
        </is>
      </c>
      <c r="K1175" s="33" t="inlineStr">
        <is>
          <t>D611764 Please see PageThree for details</t>
        </is>
      </c>
      <c r="L1175" s="43" t="inlineStr">
        <is>
          <t>Expired</t>
        </is>
      </c>
      <c r="M1175" s="43" t="inlineStr">
        <is>
          <t>16-101387-01</t>
        </is>
      </c>
      <c r="N1175" s="43" t="inlineStr"/>
      <c r="O1175" s="43" t="inlineStr">
        <is>
          <t>2026-08-31</t>
        </is>
      </c>
      <c r="P1175" s="33" t="inlineStr">
        <is>
          <t>For temporary Manufacturing process change</t>
        </is>
      </c>
      <c r="Q1175" s="43" t="inlineStr">
        <is>
          <t>Please place the deviation label in visible area.</t>
        </is>
      </c>
      <c r="R1175" s="43" t="inlineStr">
        <is>
          <t>2026-06-03</t>
        </is>
      </c>
      <c r="S1175" s="43" t="inlineStr">
        <is>
          <t>2026-06-16</t>
        </is>
      </c>
      <c r="T1175" s="43" t="inlineStr"/>
      <c r="U1175" s="43" t="inlineStr"/>
    </row>
    <row r="1176">
      <c r="A1176" s="43" t="n">
        <v>1176</v>
      </c>
      <c r="B1176" s="43" t="inlineStr">
        <is>
          <t>1175</t>
        </is>
      </c>
      <c r="C1176" s="43" t="inlineStr">
        <is>
          <t>FJZP</t>
        </is>
      </c>
      <c r="D1176" s="43" t="inlineStr">
        <is>
          <t>Cisco</t>
        </is>
      </c>
      <c r="E1176" s="43" t="inlineStr">
        <is>
          <t>MCGA</t>
        </is>
      </c>
      <c r="F1176" s="43" t="inlineStr">
        <is>
          <t>034-IOTBU</t>
        </is>
      </c>
      <c r="G1176" s="43" t="inlineStr">
        <is>
          <t>CTANJZ05281</t>
        </is>
      </c>
      <c r="H1176" s="43" t="inlineStr">
        <is>
          <t>For temporary Manufacturing process change</t>
        </is>
      </c>
      <c r="I1176" s="43" t="inlineStr">
        <is>
          <t>Customer Deviation</t>
        </is>
      </c>
      <c r="J1176" s="43" t="inlineStr">
        <is>
          <t>D611764</t>
        </is>
      </c>
      <c r="K1176" s="33" t="inlineStr">
        <is>
          <t>D611764 Please see PageThree for details</t>
        </is>
      </c>
      <c r="L1176" s="43" t="inlineStr">
        <is>
          <t>Expired</t>
        </is>
      </c>
      <c r="M1176" s="43" t="inlineStr">
        <is>
          <t>16-101666-01</t>
        </is>
      </c>
      <c r="N1176" s="43" t="inlineStr"/>
      <c r="O1176" s="43" t="inlineStr">
        <is>
          <t>2026-08-31</t>
        </is>
      </c>
      <c r="P1176" s="33" t="inlineStr">
        <is>
          <t>For temporary Manufacturing process change</t>
        </is>
      </c>
      <c r="Q1176" s="43" t="inlineStr">
        <is>
          <t>Please place the deviation label in visible area.</t>
        </is>
      </c>
      <c r="R1176" s="43" t="inlineStr">
        <is>
          <t>2026-06-03</t>
        </is>
      </c>
      <c r="S1176" s="43" t="inlineStr">
        <is>
          <t>2026-06-16</t>
        </is>
      </c>
      <c r="T1176" s="43" t="inlineStr"/>
      <c r="U1176" s="43" t="inlineStr"/>
    </row>
    <row r="1177">
      <c r="A1177" s="43" t="n">
        <v>1177</v>
      </c>
      <c r="B1177" s="43" t="inlineStr">
        <is>
          <t>1176</t>
        </is>
      </c>
      <c r="C1177" s="43" t="inlineStr">
        <is>
          <t>FJZP</t>
        </is>
      </c>
      <c r="D1177" s="43" t="inlineStr">
        <is>
          <t>Cisco</t>
        </is>
      </c>
      <c r="E1177" s="43" t="inlineStr">
        <is>
          <t>MCGA</t>
        </is>
      </c>
      <c r="F1177" s="43" t="inlineStr">
        <is>
          <t>034-IOTBU</t>
        </is>
      </c>
      <c r="G1177" s="43" t="inlineStr">
        <is>
          <t>CTANJZ05281</t>
        </is>
      </c>
      <c r="H1177" s="43" t="inlineStr">
        <is>
          <t>For temporary Manufacturing process change</t>
        </is>
      </c>
      <c r="I1177" s="43" t="inlineStr">
        <is>
          <t>Customer Deviation</t>
        </is>
      </c>
      <c r="J1177" s="43" t="inlineStr">
        <is>
          <t>D611764</t>
        </is>
      </c>
      <c r="K1177" s="33" t="inlineStr">
        <is>
          <t>D611764 Please see PageThree for details</t>
        </is>
      </c>
      <c r="L1177" s="43" t="inlineStr">
        <is>
          <t>Expired</t>
        </is>
      </c>
      <c r="M1177" s="43" t="inlineStr">
        <is>
          <t>68-101690-01</t>
        </is>
      </c>
      <c r="N1177" s="43" t="inlineStr"/>
      <c r="O1177" s="43" t="inlineStr">
        <is>
          <t>2026-08-31</t>
        </is>
      </c>
      <c r="P1177" s="33" t="inlineStr">
        <is>
          <t>For temporary Manufacturing process change</t>
        </is>
      </c>
      <c r="Q1177" s="43" t="inlineStr">
        <is>
          <t>Please place the deviation label in visible area.</t>
        </is>
      </c>
      <c r="R1177" s="43" t="inlineStr">
        <is>
          <t>2026-06-03</t>
        </is>
      </c>
      <c r="S1177" s="43" t="inlineStr">
        <is>
          <t>2026-06-16</t>
        </is>
      </c>
      <c r="T1177" s="43" t="inlineStr"/>
      <c r="U1177" s="43" t="inlineStr"/>
    </row>
    <row r="1178">
      <c r="A1178" s="43" t="n">
        <v>1178</v>
      </c>
      <c r="B1178" s="43" t="inlineStr">
        <is>
          <t>1177</t>
        </is>
      </c>
      <c r="C1178" s="43" t="inlineStr">
        <is>
          <t>FJZP</t>
        </is>
      </c>
      <c r="D1178" s="43" t="inlineStr">
        <is>
          <t>Cisco</t>
        </is>
      </c>
      <c r="E1178" s="43" t="inlineStr">
        <is>
          <t>MCGA</t>
        </is>
      </c>
      <c r="F1178" s="43" t="inlineStr">
        <is>
          <t>034-IOTBU</t>
        </is>
      </c>
      <c r="G1178" s="43" t="inlineStr">
        <is>
          <t>CTANJZ05281</t>
        </is>
      </c>
      <c r="H1178" s="43" t="inlineStr">
        <is>
          <t>For temporary Manufacturing process change</t>
        </is>
      </c>
      <c r="I1178" s="43" t="inlineStr">
        <is>
          <t>Customer Deviation</t>
        </is>
      </c>
      <c r="J1178" s="43" t="inlineStr">
        <is>
          <t>D611764</t>
        </is>
      </c>
      <c r="K1178" s="33" t="inlineStr">
        <is>
          <t>D611764 Please see PageThree for details</t>
        </is>
      </c>
      <c r="L1178" s="43" t="inlineStr">
        <is>
          <t>Expired</t>
        </is>
      </c>
      <c r="M1178" s="43" t="inlineStr">
        <is>
          <t>68-101828-01</t>
        </is>
      </c>
      <c r="N1178" s="43" t="inlineStr"/>
      <c r="O1178" s="43" t="inlineStr">
        <is>
          <t>2026-08-31</t>
        </is>
      </c>
      <c r="P1178" s="33" t="inlineStr">
        <is>
          <t>For temporary Manufacturing process change</t>
        </is>
      </c>
      <c r="Q1178" s="43" t="inlineStr">
        <is>
          <t>Please place the deviation label in visible area.</t>
        </is>
      </c>
      <c r="R1178" s="43" t="inlineStr">
        <is>
          <t>2026-06-03</t>
        </is>
      </c>
      <c r="S1178" s="43" t="inlineStr">
        <is>
          <t>2026-06-16</t>
        </is>
      </c>
      <c r="T1178" s="43" t="inlineStr"/>
      <c r="U1178" s="43" t="inlineStr"/>
    </row>
    <row r="1179">
      <c r="A1179" s="43" t="n">
        <v>1179</v>
      </c>
      <c r="B1179" s="43" t="inlineStr">
        <is>
          <t>1178</t>
        </is>
      </c>
      <c r="C1179" s="43" t="inlineStr">
        <is>
          <t>FJZP</t>
        </is>
      </c>
      <c r="D1179" s="43" t="inlineStr">
        <is>
          <t>Cisco</t>
        </is>
      </c>
      <c r="E1179" s="43" t="inlineStr">
        <is>
          <t>MCGA</t>
        </is>
      </c>
      <c r="F1179" s="43" t="inlineStr">
        <is>
          <t>034-IOTBU</t>
        </is>
      </c>
      <c r="G1179" s="43" t="inlineStr">
        <is>
          <t>CTANJZ05281</t>
        </is>
      </c>
      <c r="H1179" s="43" t="inlineStr">
        <is>
          <t>For temporary Manufacturing process change</t>
        </is>
      </c>
      <c r="I1179" s="43" t="inlineStr">
        <is>
          <t>Customer Deviation</t>
        </is>
      </c>
      <c r="J1179" s="43" t="inlineStr">
        <is>
          <t>D611764</t>
        </is>
      </c>
      <c r="K1179" s="33" t="inlineStr">
        <is>
          <t>D611764 Please see PageThree for details</t>
        </is>
      </c>
      <c r="L1179" s="43" t="inlineStr">
        <is>
          <t>Expired</t>
        </is>
      </c>
      <c r="M1179" s="43" t="inlineStr">
        <is>
          <t>68-102729-01</t>
        </is>
      </c>
      <c r="N1179" s="43" t="inlineStr"/>
      <c r="O1179" s="43" t="inlineStr">
        <is>
          <t>2026-08-31</t>
        </is>
      </c>
      <c r="P1179" s="33" t="inlineStr">
        <is>
          <t>For temporary Manufacturing process change</t>
        </is>
      </c>
      <c r="Q1179" s="43" t="inlineStr">
        <is>
          <t>Please place the deviation label in visible area.</t>
        </is>
      </c>
      <c r="R1179" s="43" t="inlineStr">
        <is>
          <t>2026-06-03</t>
        </is>
      </c>
      <c r="S1179" s="43" t="inlineStr">
        <is>
          <t>2026-06-16</t>
        </is>
      </c>
      <c r="T1179" s="43" t="inlineStr"/>
      <c r="U1179" s="43" t="inlineStr"/>
    </row>
    <row r="1180">
      <c r="A1180" s="43" t="n">
        <v>1180</v>
      </c>
      <c r="B1180" s="43" t="inlineStr">
        <is>
          <t>1179</t>
        </is>
      </c>
      <c r="C1180" s="43" t="inlineStr">
        <is>
          <t>FJZP</t>
        </is>
      </c>
      <c r="D1180" s="43" t="inlineStr">
        <is>
          <t>Cisco</t>
        </is>
      </c>
      <c r="E1180" s="43" t="inlineStr">
        <is>
          <t>MCGA</t>
        </is>
      </c>
      <c r="F1180" s="43" t="inlineStr">
        <is>
          <t>034-IOTBU</t>
        </is>
      </c>
      <c r="G1180" s="43" t="inlineStr">
        <is>
          <t>CTANJZ05281</t>
        </is>
      </c>
      <c r="H1180" s="43" t="inlineStr">
        <is>
          <t>For temporary Manufacturing process change</t>
        </is>
      </c>
      <c r="I1180" s="43" t="inlineStr">
        <is>
          <t>Customer Deviation</t>
        </is>
      </c>
      <c r="J1180" s="43" t="inlineStr">
        <is>
          <t>D611764</t>
        </is>
      </c>
      <c r="K1180" s="33" t="inlineStr">
        <is>
          <t>D611764 Please see PageThree for details</t>
        </is>
      </c>
      <c r="L1180" s="43" t="inlineStr">
        <is>
          <t>Expired</t>
        </is>
      </c>
      <c r="M1180" s="43" t="inlineStr">
        <is>
          <t>68-102730-01</t>
        </is>
      </c>
      <c r="N1180" s="43" t="inlineStr"/>
      <c r="O1180" s="43" t="inlineStr">
        <is>
          <t>2026-08-31</t>
        </is>
      </c>
      <c r="P1180" s="33" t="inlineStr">
        <is>
          <t>For temporary Manufacturing process change</t>
        </is>
      </c>
      <c r="Q1180" s="43" t="inlineStr">
        <is>
          <t>Please place the deviation label in visible area.</t>
        </is>
      </c>
      <c r="R1180" s="43" t="inlineStr">
        <is>
          <t>2026-06-03</t>
        </is>
      </c>
      <c r="S1180" s="43" t="inlineStr">
        <is>
          <t>2026-06-16</t>
        </is>
      </c>
      <c r="T1180" s="43" t="inlineStr"/>
      <c r="U1180" s="43" t="inlineStr"/>
    </row>
    <row r="1181">
      <c r="A1181" s="43" t="n">
        <v>1181</v>
      </c>
      <c r="B1181" s="43" t="inlineStr">
        <is>
          <t>1180</t>
        </is>
      </c>
      <c r="C1181" s="43" t="inlineStr">
        <is>
          <t>FJZP</t>
        </is>
      </c>
      <c r="D1181" s="43" t="inlineStr">
        <is>
          <t>Cisco</t>
        </is>
      </c>
      <c r="E1181" s="43" t="inlineStr">
        <is>
          <t>MCGA</t>
        </is>
      </c>
      <c r="F1181" s="43" t="inlineStr">
        <is>
          <t>034-IOTBU</t>
        </is>
      </c>
      <c r="G1181" s="43" t="inlineStr">
        <is>
          <t>CTANJZ05281</t>
        </is>
      </c>
      <c r="H1181" s="43" t="inlineStr">
        <is>
          <t>For temporary Manufacturing process change</t>
        </is>
      </c>
      <c r="I1181" s="43" t="inlineStr">
        <is>
          <t>Customer Deviation</t>
        </is>
      </c>
      <c r="J1181" s="43" t="inlineStr">
        <is>
          <t>D611764</t>
        </is>
      </c>
      <c r="K1181" s="33" t="inlineStr">
        <is>
          <t>D611764 Please see PageThree for details</t>
        </is>
      </c>
      <c r="L1181" s="43" t="inlineStr">
        <is>
          <t>Expired</t>
        </is>
      </c>
      <c r="M1181" s="43" t="inlineStr">
        <is>
          <t>68-102799-01</t>
        </is>
      </c>
      <c r="N1181" s="43" t="inlineStr"/>
      <c r="O1181" s="43" t="inlineStr">
        <is>
          <t>2026-08-31</t>
        </is>
      </c>
      <c r="P1181" s="33" t="inlineStr">
        <is>
          <t>For temporary Manufacturing process change</t>
        </is>
      </c>
      <c r="Q1181" s="43" t="inlineStr">
        <is>
          <t>Please place the deviation label in visible area.</t>
        </is>
      </c>
      <c r="R1181" s="43" t="inlineStr">
        <is>
          <t>2026-06-03</t>
        </is>
      </c>
      <c r="S1181" s="43" t="inlineStr">
        <is>
          <t>2026-06-16</t>
        </is>
      </c>
      <c r="T1181" s="43" t="inlineStr"/>
      <c r="U1181" s="43" t="inlineStr"/>
    </row>
    <row r="1182">
      <c r="A1182" s="43" t="n">
        <v>1182</v>
      </c>
      <c r="B1182" s="43" t="inlineStr">
        <is>
          <t>1181</t>
        </is>
      </c>
      <c r="C1182" s="43" t="inlineStr">
        <is>
          <t>FJZP</t>
        </is>
      </c>
      <c r="D1182" s="43" t="inlineStr">
        <is>
          <t>Cisco</t>
        </is>
      </c>
      <c r="E1182" s="43" t="inlineStr">
        <is>
          <t>MCGA</t>
        </is>
      </c>
      <c r="F1182" s="43" t="inlineStr">
        <is>
          <t>037-STBU</t>
        </is>
      </c>
      <c r="G1182" s="43" t="inlineStr">
        <is>
          <t>CTANJZ05090</t>
        </is>
      </c>
      <c r="H1182" s="43" t="inlineStr">
        <is>
          <t>For temporary Manufacturing process change</t>
        </is>
      </c>
      <c r="I1182" s="43" t="inlineStr">
        <is>
          <t>Customer Deviation</t>
        </is>
      </c>
      <c r="J1182" s="43" t="inlineStr">
        <is>
          <t>D608351</t>
        </is>
      </c>
      <c r="K1182" s="33" t="inlineStr">
        <is>
          <t>D608351 Please see PageThree for details</t>
        </is>
      </c>
      <c r="L1182" s="43" t="inlineStr">
        <is>
          <t>Expired</t>
        </is>
      </c>
      <c r="M1182" s="43" t="inlineStr">
        <is>
          <t>800-111297-01</t>
        </is>
      </c>
      <c r="N1182" s="43" t="inlineStr"/>
      <c r="O1182" s="43" t="inlineStr">
        <is>
          <t>2026-04-29</t>
        </is>
      </c>
      <c r="P1182" s="33" t="inlineStr">
        <is>
          <t>For temporary Manufacturing process change</t>
        </is>
      </c>
      <c r="Q1182" s="43" t="inlineStr">
        <is>
          <t>Place the deviation label on the top side on the PCBA and outside the chassis</t>
        </is>
      </c>
      <c r="R1182" s="43" t="inlineStr">
        <is>
          <t>2026-01-29</t>
        </is>
      </c>
      <c r="S1182" s="43" t="inlineStr">
        <is>
          <t>2026-02-20</t>
        </is>
      </c>
      <c r="T1182" s="43" t="inlineStr"/>
      <c r="U1182" s="43" t="inlineStr"/>
    </row>
    <row r="1183">
      <c r="A1183" s="43" t="n">
        <v>1183</v>
      </c>
      <c r="B1183" s="43" t="inlineStr">
        <is>
          <t>1182</t>
        </is>
      </c>
      <c r="C1183" s="43" t="inlineStr">
        <is>
          <t>FJZP</t>
        </is>
      </c>
      <c r="D1183" s="43" t="inlineStr">
        <is>
          <t>Cisco</t>
        </is>
      </c>
      <c r="E1183" s="43" t="inlineStr">
        <is>
          <t>MCGA</t>
        </is>
      </c>
      <c r="F1183" s="43" t="inlineStr">
        <is>
          <t>037-STBU</t>
        </is>
      </c>
      <c r="G1183" s="43" t="inlineStr">
        <is>
          <t>CTANJZ05229</t>
        </is>
      </c>
      <c r="H1183" s="43" t="inlineStr">
        <is>
          <t>For temporary Manufacturing process change</t>
        </is>
      </c>
      <c r="I1183" s="43" t="inlineStr">
        <is>
          <t>Customer Deviation</t>
        </is>
      </c>
      <c r="J1183" s="43" t="inlineStr">
        <is>
          <t>D611135</t>
        </is>
      </c>
      <c r="K1183" s="33" t="inlineStr">
        <is>
          <t>D611135 Allow FJZ to use the accessory kit 53-101728-01 without Cisco tape with the condition to FJZ include an envelope lid with Cisco tape to ensure the kit doesn't openAt moment 90 pcs were found with same issue; but FJZ SQE is doing quality inspection on the rest of the material</t>
        </is>
      </c>
      <c r="L1183" s="43" t="inlineStr">
        <is>
          <t>Expired</t>
        </is>
      </c>
      <c r="M1183" s="43" t="inlineStr">
        <is>
          <t>53-101728-01</t>
        </is>
      </c>
      <c r="N1183" s="43" t="inlineStr"/>
      <c r="O1183" s="43" t="inlineStr">
        <is>
          <t>2026-07-29</t>
        </is>
      </c>
      <c r="P1183" s="33" t="inlineStr">
        <is>
          <t>For temporary Manufacturing process change</t>
        </is>
      </c>
      <c r="Q1183" s="43" t="inlineStr">
        <is>
          <t>1. FJZ must seal the envelope lid with Cisco tape; per 95-116406-01; SPEC; INSTRUCTIONS; ENVELOPE CLOSURE; ACCKIT</t>
        </is>
      </c>
      <c r="R1183" s="43" t="inlineStr">
        <is>
          <t>2026-04-30</t>
        </is>
      </c>
      <c r="S1183" s="43" t="inlineStr">
        <is>
          <t>2026-05-23</t>
        </is>
      </c>
      <c r="T1183" s="43" t="inlineStr"/>
      <c r="U1183" s="43" t="inlineStr"/>
    </row>
    <row r="1184">
      <c r="A1184" s="43" t="n">
        <v>1184</v>
      </c>
      <c r="B1184" s="43" t="inlineStr">
        <is>
          <t>1183</t>
        </is>
      </c>
      <c r="C1184" s="43" t="inlineStr">
        <is>
          <t>FJZP</t>
        </is>
      </c>
      <c r="D1184" s="43" t="inlineStr">
        <is>
          <t>Cisco</t>
        </is>
      </c>
      <c r="E1184" s="43" t="inlineStr">
        <is>
          <t>MCGA</t>
        </is>
      </c>
      <c r="F1184" s="43" t="inlineStr">
        <is>
          <t>018-SRGBU</t>
        </is>
      </c>
      <c r="G1184" s="43" t="inlineStr">
        <is>
          <t>CTANJZ05230</t>
        </is>
      </c>
      <c r="H1184" s="43" t="inlineStr">
        <is>
          <t>For temporary Manufacturing process change</t>
        </is>
      </c>
      <c r="I1184" s="43" t="inlineStr">
        <is>
          <t>Customer Deviation</t>
        </is>
      </c>
      <c r="J1184" s="43" t="inlineStr">
        <is>
          <t>D611061</t>
        </is>
      </c>
      <c r="K1184" s="33" t="inlineStr">
        <is>
          <t>D611061SRGBU: ROKU: To allow the use of I?Pex part 8CCZ921300000001D2 as a substitute for the currently constrained I?Pex part 8CCEN81500000001D2 on PN 72?102318?01 (refer to attached drawings).Both parts utilize the same jumper; and the substitution is limited to the use of existing excess inventory. The only differences between the two parts are cable length and cable manufacturer; with no impact to functional performance. This deviation is intended to support shipment of up to 3;000 units.</t>
        </is>
      </c>
      <c r="L1184" s="43" t="inlineStr">
        <is>
          <t>Expired</t>
        </is>
      </c>
      <c r="M1184" s="43" t="inlineStr">
        <is>
          <t>68-7799-04</t>
        </is>
      </c>
      <c r="N1184" s="43" t="inlineStr"/>
      <c r="O1184" s="43" t="inlineStr">
        <is>
          <t>2026-07-31</t>
        </is>
      </c>
      <c r="P1184" s="33" t="inlineStr"/>
      <c r="Q1184" s="43" t="inlineStr">
        <is>
          <t>Please; Place the deviation label in visible area</t>
        </is>
      </c>
      <c r="R1184" s="43" t="inlineStr">
        <is>
          <t>2026-05-05</t>
        </is>
      </c>
      <c r="S1184" s="43" t="inlineStr">
        <is>
          <t>2026-05-16</t>
        </is>
      </c>
      <c r="T1184" s="43" t="inlineStr"/>
      <c r="U1184" s="43" t="inlineStr"/>
    </row>
    <row r="1185">
      <c r="A1185" s="43" t="n">
        <v>1185</v>
      </c>
      <c r="B1185" s="43" t="inlineStr">
        <is>
          <t>1184</t>
        </is>
      </c>
      <c r="C1185" s="43" t="inlineStr">
        <is>
          <t>FJZP</t>
        </is>
      </c>
      <c r="D1185" s="43" t="inlineStr">
        <is>
          <t>Cisco</t>
        </is>
      </c>
      <c r="E1185" s="43" t="inlineStr">
        <is>
          <t>MCGA</t>
        </is>
      </c>
      <c r="F1185" s="43" t="inlineStr">
        <is>
          <t>018-SRGBU</t>
        </is>
      </c>
      <c r="G1185" s="43" t="inlineStr">
        <is>
          <t>CTANJZ05340</t>
        </is>
      </c>
      <c r="H1185" s="43" t="inlineStr">
        <is>
          <t>For temporary Manufacturing process change</t>
        </is>
      </c>
      <c r="I1185" s="43" t="inlineStr">
        <is>
          <t>Customer Deviation</t>
        </is>
      </c>
      <c r="J1185" s="43" t="inlineStr">
        <is>
          <t>D611387</t>
        </is>
      </c>
      <c r="K1185" s="33" t="inlineStr">
        <is>
          <t>D611387 Allow FJZ to rename  Micron Technology MPN MTA18ASF4G72PDZ-3G2F1  from the 15-108159-01  as 15-109388-01 ; in the PIDs:MEM-C85G2-64GB  MEM-C85G2-64GB=</t>
        </is>
      </c>
      <c r="L1185" s="43" t="inlineStr">
        <is>
          <t>Expired</t>
        </is>
      </c>
      <c r="M1185" s="43" t="inlineStr">
        <is>
          <t>15-109388-01</t>
        </is>
      </c>
      <c r="N1185" s="43" t="inlineStr"/>
      <c r="O1185" s="43" t="inlineStr">
        <is>
          <t>2026-10-04</t>
        </is>
      </c>
      <c r="P1185" s="33" t="inlineStr">
        <is>
          <t>For temporary Manufacturing process change</t>
        </is>
      </c>
      <c r="Q1185" s="43" t="inlineStr">
        <is>
          <t>Add small label with the deviation number</t>
        </is>
      </c>
      <c r="R1185" s="43" t="inlineStr">
        <is>
          <t>2026-07-07</t>
        </is>
      </c>
      <c r="S1185" s="43" t="inlineStr">
        <is>
          <t>2026-07-20</t>
        </is>
      </c>
      <c r="T1185" s="43" t="inlineStr"/>
      <c r="U1185" s="43" t="inlineStr"/>
    </row>
    <row r="1186">
      <c r="A1186" s="43" t="n">
        <v>1186</v>
      </c>
      <c r="B1186" s="43" t="inlineStr">
        <is>
          <t>1185</t>
        </is>
      </c>
      <c r="C1186" s="43" t="inlineStr">
        <is>
          <t>FJZP</t>
        </is>
      </c>
      <c r="D1186" s="43" t="inlineStr">
        <is>
          <t>Cisco</t>
        </is>
      </c>
      <c r="E1186" s="43" t="inlineStr">
        <is>
          <t>MCGA</t>
        </is>
      </c>
      <c r="F1186" s="43" t="inlineStr">
        <is>
          <t>037-STBU</t>
        </is>
      </c>
      <c r="G1186" s="43" t="inlineStr">
        <is>
          <t>CTANJZ05343</t>
        </is>
      </c>
      <c r="H1186" s="43" t="inlineStr">
        <is>
          <t>For temporary Manufacturing process change</t>
        </is>
      </c>
      <c r="I1186" s="43" t="inlineStr">
        <is>
          <t>Customer Deviation</t>
        </is>
      </c>
      <c r="J1186" s="43" t="inlineStr">
        <is>
          <t>D612246</t>
        </is>
      </c>
      <c r="K1186" s="33" t="inlineStr">
        <is>
          <t>D612246 A. Restriction of AVL for CPN 16-101652-01:RESTRICT/DO NOT USE: Micron MPN MTFDKCC960TFR-1BC15ABCC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 (MTFDKCC960TFR-1BC15ABCC) must be reworked to replace the drive with the approved Samsung MPN (MZQL2960HCJR-00A07) to allow FPR3K SKUs to continue on the DF side.This deviation applies to MPNs at both PCBA and DF Sites at FJZ effective immediately.</t>
        </is>
      </c>
      <c r="L1186" s="43" t="inlineStr">
        <is>
          <t>Expired</t>
        </is>
      </c>
      <c r="M1186" s="43" t="inlineStr">
        <is>
          <t>16-101652-01</t>
        </is>
      </c>
      <c r="N1186" s="43" t="inlineStr"/>
      <c r="O1186" s="43" t="inlineStr">
        <is>
          <t>2026-10-05</t>
        </is>
      </c>
      <c r="P1186" s="33" t="inlineStr">
        <is>
          <t>For temporary Manufacturing process change</t>
        </is>
      </c>
      <c r="Q1186" s="43" t="inlineStr">
        <is>
          <t>No additional actions need it</t>
        </is>
      </c>
      <c r="R1186" s="43" t="inlineStr">
        <is>
          <t>2026-07-08</t>
        </is>
      </c>
      <c r="S1186" s="43" t="inlineStr">
        <is>
          <t>2026-07-24</t>
        </is>
      </c>
      <c r="T1186" s="43" t="inlineStr"/>
      <c r="U1186" s="43" t="inlineStr"/>
    </row>
    <row r="1187">
      <c r="A1187" s="43" t="n">
        <v>1187</v>
      </c>
      <c r="B1187" s="43" t="inlineStr">
        <is>
          <t>1186</t>
        </is>
      </c>
      <c r="C1187" s="43" t="inlineStr">
        <is>
          <t>FJZP</t>
        </is>
      </c>
      <c r="D1187" s="43" t="inlineStr">
        <is>
          <t>Cisco</t>
        </is>
      </c>
      <c r="E1187" s="43" t="inlineStr">
        <is>
          <t>MCGA</t>
        </is>
      </c>
      <c r="F1187" s="43" t="inlineStr">
        <is>
          <t>037-STBU</t>
        </is>
      </c>
      <c r="G1187" s="43" t="inlineStr">
        <is>
          <t>CTANJZ05343</t>
        </is>
      </c>
      <c r="H1187" s="43" t="inlineStr">
        <is>
          <t>For temporary Manufacturing process change</t>
        </is>
      </c>
      <c r="I1187" s="43" t="inlineStr">
        <is>
          <t>Customer Deviation</t>
        </is>
      </c>
      <c r="J1187" s="43" t="inlineStr">
        <is>
          <t>D612246</t>
        </is>
      </c>
      <c r="K1187" s="33" t="inlineStr">
        <is>
          <t>D612246 A. Restriction of AVL for CPN 16-101652-01:RESTRICT/DO NOT USE: Micron MPN MTFDKCC960TFR-1BC15ABCC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 (MTFDKCC960TFR-1BC15ABCC) must be reworked to replace the drive with the approved Samsung MPN (MZQL2960HCJR-00A07) to allow FPR3K SKUs to continue on the DF side.This deviation applies to MPNs at both PCBA and DF Sites at FJZ effective immediately.</t>
        </is>
      </c>
      <c r="L1187" s="43" t="inlineStr">
        <is>
          <t>Expired</t>
        </is>
      </c>
      <c r="M1187" s="43" t="inlineStr">
        <is>
          <t>68-103418-01</t>
        </is>
      </c>
      <c r="N1187" s="43" t="inlineStr"/>
      <c r="O1187" s="43" t="inlineStr">
        <is>
          <t>2026-10-05</t>
        </is>
      </c>
      <c r="P1187" s="33" t="inlineStr">
        <is>
          <t>For temporary Manufacturing process change</t>
        </is>
      </c>
      <c r="Q1187" s="43" t="inlineStr">
        <is>
          <t>No additional actions need it</t>
        </is>
      </c>
      <c r="R1187" s="43" t="inlineStr">
        <is>
          <t>2026-07-08</t>
        </is>
      </c>
      <c r="S1187" s="43" t="inlineStr">
        <is>
          <t>2026-07-24</t>
        </is>
      </c>
      <c r="T1187" s="43" t="inlineStr"/>
      <c r="U1187" s="43" t="inlineStr"/>
    </row>
    <row r="1188">
      <c r="A1188" s="43" t="n">
        <v>1188</v>
      </c>
      <c r="B1188" s="43" t="inlineStr">
        <is>
          <t>1187</t>
        </is>
      </c>
      <c r="C1188" s="43" t="inlineStr">
        <is>
          <t>FJZP</t>
        </is>
      </c>
      <c r="D1188" s="43" t="inlineStr">
        <is>
          <t>Cisco</t>
        </is>
      </c>
      <c r="E1188" s="43" t="inlineStr">
        <is>
          <t>MCGA</t>
        </is>
      </c>
      <c r="F1188" s="43" t="inlineStr">
        <is>
          <t>037-STBU</t>
        </is>
      </c>
      <c r="G1188" s="43" t="inlineStr">
        <is>
          <t>CTANJZ05343</t>
        </is>
      </c>
      <c r="H1188" s="43" t="inlineStr">
        <is>
          <t>For temporary Manufacturing process change</t>
        </is>
      </c>
      <c r="I1188" s="43" t="inlineStr">
        <is>
          <t>Customer Deviation</t>
        </is>
      </c>
      <c r="J1188" s="43" t="inlineStr">
        <is>
          <t>D612246</t>
        </is>
      </c>
      <c r="K1188" s="33" t="inlineStr">
        <is>
          <t>D612246 A. Restriction of AVL for CPN 16-101652-01:RESTRICT/DO NOT USE: Micron MPN MTFDKCC960TFR-1BC15ABCC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 (MTFDKCC960TFR-1BC15ABCC) must be reworked to replace the drive with the approved Samsung MPN (MZQL2960HCJR-00A07) to allow FPR3K SKUs to continue on the DF side.This deviation applies to MPNs at both PCBA and DF Sites at FJZ effective immediately.</t>
        </is>
      </c>
      <c r="L1188" s="43" t="inlineStr">
        <is>
          <t>Expired</t>
        </is>
      </c>
      <c r="M1188" s="43" t="inlineStr">
        <is>
          <t>68-7253-05</t>
        </is>
      </c>
      <c r="N1188" s="43" t="inlineStr"/>
      <c r="O1188" s="43" t="inlineStr">
        <is>
          <t>2026-10-05</t>
        </is>
      </c>
      <c r="P1188" s="33" t="inlineStr">
        <is>
          <t>For temporary Manufacturing process change</t>
        </is>
      </c>
      <c r="Q1188" s="43" t="inlineStr">
        <is>
          <t>No additional actions need it</t>
        </is>
      </c>
      <c r="R1188" s="43" t="inlineStr">
        <is>
          <t>2026-07-08</t>
        </is>
      </c>
      <c r="S1188" s="43" t="inlineStr">
        <is>
          <t>2026-07-24</t>
        </is>
      </c>
      <c r="T1188" s="43" t="inlineStr"/>
      <c r="U1188" s="43" t="inlineStr"/>
    </row>
    <row r="1189">
      <c r="A1189" s="43" t="n">
        <v>1189</v>
      </c>
      <c r="B1189" s="43" t="inlineStr">
        <is>
          <t>1188</t>
        </is>
      </c>
      <c r="C1189" s="43" t="inlineStr">
        <is>
          <t>FJZP</t>
        </is>
      </c>
      <c r="D1189" s="43" t="inlineStr">
        <is>
          <t>Cisco</t>
        </is>
      </c>
      <c r="E1189" s="43" t="inlineStr">
        <is>
          <t>MCGA</t>
        </is>
      </c>
      <c r="F1189" s="43" t="inlineStr">
        <is>
          <t>037-STBU</t>
        </is>
      </c>
      <c r="G1189" s="43" t="inlineStr">
        <is>
          <t>CTANJZ05343</t>
        </is>
      </c>
      <c r="H1189" s="43" t="inlineStr">
        <is>
          <t>For temporary Manufacturing process change</t>
        </is>
      </c>
      <c r="I1189" s="43" t="inlineStr">
        <is>
          <t>Customer Deviation</t>
        </is>
      </c>
      <c r="J1189" s="43" t="inlineStr">
        <is>
          <t>D612246</t>
        </is>
      </c>
      <c r="K1189" s="33" t="inlineStr">
        <is>
          <t>D612246 A. Restriction of AVL for CPN 16-101652-01:RESTRICT/DO NOT USE: Micron MPN MTFDKCC960TFR-1BC15ABCC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 (MTFDKCC960TFR-1BC15ABCC) must be reworked to replace the drive with the approved Samsung MPN (MZQL2960HCJR-00A07) to allow FPR3K SKUs to continue on the DF side.This deviation applies to MPNs at both PCBA and DF Sites at FJZ effective immediately.</t>
        </is>
      </c>
      <c r="L1189" s="43" t="inlineStr">
        <is>
          <t>Expired</t>
        </is>
      </c>
      <c r="M1189" s="43" t="inlineStr">
        <is>
          <t>68-7254-05</t>
        </is>
      </c>
      <c r="N1189" s="43" t="inlineStr"/>
      <c r="O1189" s="43" t="inlineStr">
        <is>
          <t>2026-10-05</t>
        </is>
      </c>
      <c r="P1189" s="33" t="inlineStr">
        <is>
          <t>For temporary Manufacturing process change</t>
        </is>
      </c>
      <c r="Q1189" s="43" t="inlineStr">
        <is>
          <t>No additional actions need it</t>
        </is>
      </c>
      <c r="R1189" s="43" t="inlineStr">
        <is>
          <t>2026-07-08</t>
        </is>
      </c>
      <c r="S1189" s="43" t="inlineStr">
        <is>
          <t>2026-07-24</t>
        </is>
      </c>
      <c r="T1189" s="43" t="inlineStr"/>
      <c r="U1189" s="43" t="inlineStr"/>
    </row>
    <row r="1190">
      <c r="A1190" s="43" t="n">
        <v>1190</v>
      </c>
      <c r="B1190" s="43" t="inlineStr">
        <is>
          <t>1189</t>
        </is>
      </c>
      <c r="C1190" s="43" t="inlineStr">
        <is>
          <t>FJZP</t>
        </is>
      </c>
      <c r="D1190" s="43" t="inlineStr">
        <is>
          <t>Cisco</t>
        </is>
      </c>
      <c r="E1190" s="43" t="inlineStr">
        <is>
          <t>MCGA</t>
        </is>
      </c>
      <c r="F1190" s="43" t="inlineStr">
        <is>
          <t>035-CVEBU</t>
        </is>
      </c>
      <c r="G1190" s="43" t="inlineStr">
        <is>
          <t>CTANJZ05144</t>
        </is>
      </c>
      <c r="H1190" s="43" t="inlineStr">
        <is>
          <t>For temporary Manufacturing process change</t>
        </is>
      </c>
      <c r="I1190" s="43" t="inlineStr">
        <is>
          <t>Customer Deviation</t>
        </is>
      </c>
      <c r="J1190" s="43" t="inlineStr">
        <is>
          <t>D610061</t>
        </is>
      </c>
      <c r="K1190" s="33" t="inlineStr">
        <is>
          <t>D610061 CVEBU: Bayfront Pilot build. Deviation to allow use IPQ and old Date Codes parts. March 2026.Foxconn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190" s="43" t="inlineStr">
        <is>
          <t>Expired</t>
        </is>
      </c>
      <c r="M1190" s="43" t="inlineStr">
        <is>
          <t>15-110981-01</t>
        </is>
      </c>
      <c r="N1190" s="43" t="inlineStr"/>
      <c r="O1190" s="43" t="inlineStr">
        <is>
          <t>2026-06-08</t>
        </is>
      </c>
      <c r="P1190" s="33" t="inlineStr">
        <is>
          <t>For temporary Manufacturing process change</t>
        </is>
      </c>
      <c r="Q1190" s="43" t="inlineStr">
        <is>
          <t>MARK units with this deviation number visible on unit</t>
        </is>
      </c>
      <c r="R1190" s="43" t="inlineStr">
        <is>
          <t>2026-03-12</t>
        </is>
      </c>
      <c r="S1190" s="43" t="inlineStr">
        <is>
          <t>2026-03-19</t>
        </is>
      </c>
      <c r="T1190" s="43" t="inlineStr"/>
      <c r="U1190" s="43" t="inlineStr"/>
    </row>
    <row r="1191">
      <c r="A1191" s="43" t="n">
        <v>1191</v>
      </c>
      <c r="B1191" s="43" t="inlineStr">
        <is>
          <t>1190</t>
        </is>
      </c>
      <c r="C1191" s="43" t="inlineStr">
        <is>
          <t>FJZP</t>
        </is>
      </c>
      <c r="D1191" s="43" t="inlineStr">
        <is>
          <t>Cisco</t>
        </is>
      </c>
      <c r="E1191" s="43" t="inlineStr">
        <is>
          <t>MCGA</t>
        </is>
      </c>
      <c r="F1191" s="43" t="inlineStr">
        <is>
          <t>035-CVEBU</t>
        </is>
      </c>
      <c r="G1191" s="43" t="inlineStr">
        <is>
          <t>CTANJZ05144</t>
        </is>
      </c>
      <c r="H1191" s="43" t="inlineStr">
        <is>
          <t>For temporary Manufacturing process change</t>
        </is>
      </c>
      <c r="I1191" s="43" t="inlineStr">
        <is>
          <t>Customer Deviation</t>
        </is>
      </c>
      <c r="J1191" s="43" t="inlineStr">
        <is>
          <t>D610061</t>
        </is>
      </c>
      <c r="K1191" s="33" t="inlineStr">
        <is>
          <t>D610061 CVEBU: Bayfront Pilot build. Deviation to allow use IPQ and old Date Codes parts. March 2026.Foxconn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191" s="43" t="inlineStr">
        <is>
          <t>Expired</t>
        </is>
      </c>
      <c r="M1191" s="43" t="inlineStr">
        <is>
          <t>73-103826-05</t>
        </is>
      </c>
      <c r="N1191" s="43" t="inlineStr"/>
      <c r="O1191" s="43" t="inlineStr">
        <is>
          <t>2026-06-08</t>
        </is>
      </c>
      <c r="P1191" s="33" t="inlineStr">
        <is>
          <t>For temporary Manufacturing process change</t>
        </is>
      </c>
      <c r="Q1191" s="43" t="inlineStr">
        <is>
          <t>MARK units with this deviation number visible on unit</t>
        </is>
      </c>
      <c r="R1191" s="43" t="inlineStr">
        <is>
          <t>2026-03-12</t>
        </is>
      </c>
      <c r="S1191" s="43" t="inlineStr">
        <is>
          <t>2026-03-19</t>
        </is>
      </c>
      <c r="T1191" s="43" t="inlineStr"/>
      <c r="U1191" s="43" t="inlineStr"/>
    </row>
    <row r="1192">
      <c r="A1192" s="43" t="n">
        <v>1192</v>
      </c>
      <c r="B1192" s="43" t="inlineStr">
        <is>
          <t>1191</t>
        </is>
      </c>
      <c r="C1192" s="43" t="inlineStr">
        <is>
          <t>FJZP</t>
        </is>
      </c>
      <c r="D1192" s="43" t="inlineStr">
        <is>
          <t>Cisco</t>
        </is>
      </c>
      <c r="E1192" s="43" t="inlineStr">
        <is>
          <t>MCGA</t>
        </is>
      </c>
      <c r="F1192" s="43" t="inlineStr">
        <is>
          <t>037-STBU</t>
        </is>
      </c>
      <c r="G1192" s="43" t="inlineStr">
        <is>
          <t>CTANJZ05142</t>
        </is>
      </c>
      <c r="H1192" s="43" t="inlineStr">
        <is>
          <t>For temporary Manufacturing process change</t>
        </is>
      </c>
      <c r="I1192" s="43" t="inlineStr">
        <is>
          <t>Customer Deviation</t>
        </is>
      </c>
      <c r="J1192" s="43" t="inlineStr">
        <is>
          <t>D609946</t>
        </is>
      </c>
      <c r="K1192" s="33" t="inlineStr">
        <is>
          <t>D609946 Allow FJZ to rework the SSD 68-103418-01; from Micron to Samsung to continue building in DF side</t>
        </is>
      </c>
      <c r="L1192" s="43" t="inlineStr">
        <is>
          <t>Expired</t>
        </is>
      </c>
      <c r="M1192" s="43" t="inlineStr">
        <is>
          <t>16-101652-01</t>
        </is>
      </c>
      <c r="N1192" s="43" t="inlineStr"/>
      <c r="O1192" s="43" t="inlineStr">
        <is>
          <t>2026-06-08</t>
        </is>
      </c>
      <c r="P1192" s="33" t="inlineStr">
        <is>
          <t>For temporary Manufacturing process change</t>
        </is>
      </c>
      <c r="Q1192" s="43" t="inlineStr">
        <is>
          <t>1. Return the SSD Micron from DF to PCBA 2. FJZ to do all the internal modifications in the system to allow the disassociation of the SSD 3. Remove the carrier 74-126726-01; and install the Samsung SSD 4. Follow normal process to complete the assembly and generate SN</t>
        </is>
      </c>
      <c r="R1192" s="43" t="inlineStr">
        <is>
          <t>2026-03-11</t>
        </is>
      </c>
      <c r="S1192" s="43" t="inlineStr">
        <is>
          <t>2026-04-09</t>
        </is>
      </c>
      <c r="T1192" s="43" t="inlineStr"/>
      <c r="U1192" s="43" t="inlineStr"/>
    </row>
    <row r="1193">
      <c r="A1193" s="43" t="n">
        <v>1193</v>
      </c>
      <c r="B1193" s="43" t="inlineStr">
        <is>
          <t>1192</t>
        </is>
      </c>
      <c r="C1193" s="43" t="inlineStr">
        <is>
          <t>FJZP</t>
        </is>
      </c>
      <c r="D1193" s="43" t="inlineStr">
        <is>
          <t>Cisco</t>
        </is>
      </c>
      <c r="E1193" s="43" t="inlineStr">
        <is>
          <t>MCGA</t>
        </is>
      </c>
      <c r="F1193" s="43" t="inlineStr">
        <is>
          <t>037-STBU</t>
        </is>
      </c>
      <c r="G1193" s="43" t="inlineStr">
        <is>
          <t>CTANJZ05142</t>
        </is>
      </c>
      <c r="H1193" s="43" t="inlineStr">
        <is>
          <t>For temporary Manufacturing process change</t>
        </is>
      </c>
      <c r="I1193" s="43" t="inlineStr">
        <is>
          <t>Customer Deviation</t>
        </is>
      </c>
      <c r="J1193" s="43" t="inlineStr">
        <is>
          <t>D609946</t>
        </is>
      </c>
      <c r="K1193" s="33" t="inlineStr">
        <is>
          <t>D609946 Allow FJZ to rework the SSD 68-103418-01; from Micron to Samsung to continue building in DF side</t>
        </is>
      </c>
      <c r="L1193" s="43" t="inlineStr">
        <is>
          <t>Expired</t>
        </is>
      </c>
      <c r="M1193" s="43" t="inlineStr">
        <is>
          <t>68-103418-01</t>
        </is>
      </c>
      <c r="N1193" s="43" t="inlineStr"/>
      <c r="O1193" s="43" t="inlineStr">
        <is>
          <t>2026-06-08</t>
        </is>
      </c>
      <c r="P1193" s="33" t="inlineStr">
        <is>
          <t>For temporary Manufacturing process change</t>
        </is>
      </c>
      <c r="Q1193" s="43" t="inlineStr">
        <is>
          <t>1. Return the SSD Micron from DF to PCBA 2. FJZ to do all the internal modifications in the system to allow the disassociation of the SSD 3. Remove the carrier 74-126726-01; and install the Samsung SSD 4. Follow normal process to complete the assembly and generate SN</t>
        </is>
      </c>
      <c r="R1193" s="43" t="inlineStr">
        <is>
          <t>2026-03-11</t>
        </is>
      </c>
      <c r="S1193" s="43" t="inlineStr">
        <is>
          <t>2026-04-09</t>
        </is>
      </c>
      <c r="T1193" s="43" t="inlineStr"/>
      <c r="U1193" s="43" t="inlineStr"/>
    </row>
    <row r="1194">
      <c r="A1194" s="43" t="n">
        <v>1194</v>
      </c>
      <c r="B1194" s="43" t="inlineStr">
        <is>
          <t>1193</t>
        </is>
      </c>
      <c r="C1194" s="43" t="inlineStr">
        <is>
          <t>FJZP</t>
        </is>
      </c>
      <c r="D1194" s="43" t="inlineStr">
        <is>
          <t>Cisco</t>
        </is>
      </c>
      <c r="E1194" s="43" t="inlineStr">
        <is>
          <t>MCGA</t>
        </is>
      </c>
      <c r="F1194" s="43" t="inlineStr">
        <is>
          <t>037-STBU</t>
        </is>
      </c>
      <c r="G1194" s="43" t="inlineStr">
        <is>
          <t>CTANJZ05142</t>
        </is>
      </c>
      <c r="H1194" s="43" t="inlineStr">
        <is>
          <t>For temporary Manufacturing process change</t>
        </is>
      </c>
      <c r="I1194" s="43" t="inlineStr">
        <is>
          <t>Customer Deviation</t>
        </is>
      </c>
      <c r="J1194" s="43" t="inlineStr">
        <is>
          <t>D609946</t>
        </is>
      </c>
      <c r="K1194" s="33" t="inlineStr">
        <is>
          <t>D609946 Allow FJZ to rework the SSD 68-103418-01; from Micron to Samsung to continue building in DF side</t>
        </is>
      </c>
      <c r="L1194" s="43" t="inlineStr">
        <is>
          <t>Expired</t>
        </is>
      </c>
      <c r="M1194" s="43" t="inlineStr">
        <is>
          <t>74-126726-01</t>
        </is>
      </c>
      <c r="N1194" s="43" t="inlineStr"/>
      <c r="O1194" s="43" t="inlineStr">
        <is>
          <t>2026-06-08</t>
        </is>
      </c>
      <c r="P1194" s="33" t="inlineStr">
        <is>
          <t>For temporary Manufacturing process change</t>
        </is>
      </c>
      <c r="Q1194" s="43" t="inlineStr">
        <is>
          <t>1. Return the SSD Micron from DF to PCBA 2. FJZ to do all the internal modifications in the system to allow the disassociation of the SSD 3. Remove the carrier 74-126726-01; and install the Samsung SSD 4. Follow normal process to complete the assembly and generate SN</t>
        </is>
      </c>
      <c r="R1194" s="43" t="inlineStr">
        <is>
          <t>2026-03-11</t>
        </is>
      </c>
      <c r="S1194" s="43" t="inlineStr">
        <is>
          <t>2026-04-09</t>
        </is>
      </c>
      <c r="T1194" s="43" t="inlineStr"/>
      <c r="U1194" s="43" t="inlineStr"/>
    </row>
    <row r="1195">
      <c r="A1195" s="43" t="n">
        <v>1195</v>
      </c>
      <c r="B1195" s="43" t="inlineStr">
        <is>
          <t>1194</t>
        </is>
      </c>
      <c r="C1195" s="43" t="inlineStr">
        <is>
          <t>FJZP</t>
        </is>
      </c>
      <c r="D1195" s="43" t="inlineStr">
        <is>
          <t>Cisco</t>
        </is>
      </c>
      <c r="E1195" s="43" t="inlineStr">
        <is>
          <t>MCGA</t>
        </is>
      </c>
      <c r="F1195" s="43" t="inlineStr">
        <is>
          <t>037-STBU</t>
        </is>
      </c>
      <c r="G1195" s="43" t="inlineStr">
        <is>
          <t>CTANJZ05143</t>
        </is>
      </c>
      <c r="H1195" s="43" t="inlineStr">
        <is>
          <t>For temporary Manufacturing process change</t>
        </is>
      </c>
      <c r="I1195" s="43" t="inlineStr">
        <is>
          <t>Customer Deviation</t>
        </is>
      </c>
      <c r="J1195" s="43" t="inlineStr">
        <is>
          <t>D608560</t>
        </is>
      </c>
      <c r="K1195" s="33" t="inlineStr">
        <is>
          <t>D608560 Allow them to use this box (55-0584-01) as substitute of 55-103733</t>
        </is>
      </c>
      <c r="L1195" s="43" t="inlineStr">
        <is>
          <t>Expired</t>
        </is>
      </c>
      <c r="M1195" s="43" t="inlineStr">
        <is>
          <t>55-0584-01</t>
        </is>
      </c>
      <c r="N1195" s="43" t="inlineStr"/>
      <c r="O1195" s="43" t="inlineStr">
        <is>
          <t>2026-06-08</t>
        </is>
      </c>
      <c r="P1195" s="33" t="inlineStr">
        <is>
          <t>For temporary Manufacturing process change</t>
        </is>
      </c>
      <c r="Q1195" s="43" t="inlineStr">
        <is>
          <t>No additional instructions need it</t>
        </is>
      </c>
      <c r="R1195" s="43" t="inlineStr">
        <is>
          <t>2026-03-11</t>
        </is>
      </c>
      <c r="S1195" s="43" t="inlineStr">
        <is>
          <t>2026-04-09</t>
        </is>
      </c>
      <c r="T1195" s="43" t="inlineStr"/>
      <c r="U1195" s="43" t="inlineStr"/>
    </row>
    <row r="1196">
      <c r="A1196" s="43" t="n">
        <v>1196</v>
      </c>
      <c r="B1196" s="43" t="inlineStr">
        <is>
          <t>1195</t>
        </is>
      </c>
      <c r="C1196" s="43" t="inlineStr">
        <is>
          <t>FJZP</t>
        </is>
      </c>
      <c r="D1196" s="43" t="inlineStr">
        <is>
          <t>Cisco</t>
        </is>
      </c>
      <c r="E1196" s="43" t="inlineStr">
        <is>
          <t>MCGA</t>
        </is>
      </c>
      <c r="F1196" s="43" t="inlineStr">
        <is>
          <t>037-STBU</t>
        </is>
      </c>
      <c r="G1196" s="43" t="inlineStr">
        <is>
          <t>CTANJZ05143</t>
        </is>
      </c>
      <c r="H1196" s="43" t="inlineStr">
        <is>
          <t>For temporary Manufacturing process change</t>
        </is>
      </c>
      <c r="I1196" s="43" t="inlineStr">
        <is>
          <t>Customer Deviation</t>
        </is>
      </c>
      <c r="J1196" s="43" t="inlineStr">
        <is>
          <t>D608560</t>
        </is>
      </c>
      <c r="K1196" s="33" t="inlineStr">
        <is>
          <t>D608560 Allow them to use this box (55-0584-01) as substitute of 55-103733</t>
        </is>
      </c>
      <c r="L1196" s="43" t="inlineStr">
        <is>
          <t>Expired</t>
        </is>
      </c>
      <c r="M1196" s="43" t="inlineStr">
        <is>
          <t>55-103733-01</t>
        </is>
      </c>
      <c r="N1196" s="43" t="inlineStr"/>
      <c r="O1196" s="43" t="inlineStr">
        <is>
          <t>2026-06-08</t>
        </is>
      </c>
      <c r="P1196" s="33" t="inlineStr">
        <is>
          <t>For temporary Manufacturing process change</t>
        </is>
      </c>
      <c r="Q1196" s="43" t="inlineStr">
        <is>
          <t>No additional instructions need it</t>
        </is>
      </c>
      <c r="R1196" s="43" t="inlineStr">
        <is>
          <t>2026-03-11</t>
        </is>
      </c>
      <c r="S1196" s="43" t="inlineStr">
        <is>
          <t>2026-04-09</t>
        </is>
      </c>
      <c r="T1196" s="43" t="inlineStr"/>
      <c r="U1196" s="43" t="inlineStr"/>
    </row>
    <row r="1197">
      <c r="A1197" s="43" t="n">
        <v>1197</v>
      </c>
      <c r="B1197" s="43" t="inlineStr">
        <is>
          <t>1196</t>
        </is>
      </c>
      <c r="C1197" s="43" t="inlineStr">
        <is>
          <t>FJZP</t>
        </is>
      </c>
      <c r="D1197" s="43" t="inlineStr">
        <is>
          <t>Cisco</t>
        </is>
      </c>
      <c r="E1197" s="43" t="inlineStr">
        <is>
          <t>MCGA</t>
        </is>
      </c>
      <c r="F1197" s="43" t="inlineStr">
        <is>
          <t>035-CVEBU</t>
        </is>
      </c>
      <c r="G1197" s="43" t="inlineStr">
        <is>
          <t>CTANJZ05325</t>
        </is>
      </c>
      <c r="H1197" s="43" t="inlineStr">
        <is>
          <t>For temporary Manufacturing process change</t>
        </is>
      </c>
      <c r="I1197" s="43" t="inlineStr">
        <is>
          <t>Customer Deviation</t>
        </is>
      </c>
      <c r="J1197" s="43" t="inlineStr">
        <is>
          <t>D611994</t>
        </is>
      </c>
      <c r="K1197" s="33" t="inlineStr">
        <is>
          <t>D611994 CVEBU: Bayfront Pilot build. Deviation to allow use IPQ and old Date Codes parts. May 2026. Replacement of expired deviation D610061.Foxconn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197" s="43" t="inlineStr">
        <is>
          <t>Expired</t>
        </is>
      </c>
      <c r="M1197" s="43" t="inlineStr">
        <is>
          <t>15-110893-01</t>
        </is>
      </c>
      <c r="N1197" s="43" t="inlineStr"/>
      <c r="O1197" s="43" t="inlineStr">
        <is>
          <t>2026-09-24</t>
        </is>
      </c>
      <c r="P1197" s="33" t="inlineStr">
        <is>
          <t>For temporary Manufacturing process change</t>
        </is>
      </c>
      <c r="Q1197" s="43" t="inlineStr">
        <is>
          <t>Mark units with this deviation clearly visible on unit.</t>
        </is>
      </c>
      <c r="R1197" s="43" t="inlineStr">
        <is>
          <t>2026-06-27</t>
        </is>
      </c>
      <c r="S1197" s="43" t="inlineStr">
        <is>
          <t>2026-07-15</t>
        </is>
      </c>
      <c r="T1197" s="43" t="inlineStr"/>
      <c r="U1197" s="43" t="inlineStr"/>
    </row>
    <row r="1198">
      <c r="A1198" s="43" t="n">
        <v>1198</v>
      </c>
      <c r="B1198" s="43" t="inlineStr">
        <is>
          <t>1197</t>
        </is>
      </c>
      <c r="C1198" s="43" t="inlineStr">
        <is>
          <t>FJZP</t>
        </is>
      </c>
      <c r="D1198" s="43" t="inlineStr">
        <is>
          <t>Cisco</t>
        </is>
      </c>
      <c r="E1198" s="43" t="inlineStr">
        <is>
          <t>MCGA</t>
        </is>
      </c>
      <c r="F1198" s="43" t="inlineStr">
        <is>
          <t>035-CVEBU</t>
        </is>
      </c>
      <c r="G1198" s="43" t="inlineStr">
        <is>
          <t>CTANJZ05325</t>
        </is>
      </c>
      <c r="H1198" s="43" t="inlineStr">
        <is>
          <t>For temporary Manufacturing process change</t>
        </is>
      </c>
      <c r="I1198" s="43" t="inlineStr">
        <is>
          <t>Customer Deviation</t>
        </is>
      </c>
      <c r="J1198" s="43" t="inlineStr">
        <is>
          <t>D611994</t>
        </is>
      </c>
      <c r="K1198" s="33" t="inlineStr">
        <is>
          <t>D611994 CVEBU: Bayfront Pilot build. Deviation to allow use IPQ and old Date Codes parts. May 2026. Replacement of expired deviation D610061.Foxconn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198" s="43" t="inlineStr">
        <is>
          <t>Expired</t>
        </is>
      </c>
      <c r="M1198" s="43" t="inlineStr">
        <is>
          <t>15-110981-01</t>
        </is>
      </c>
      <c r="N1198" s="43" t="inlineStr"/>
      <c r="O1198" s="43" t="inlineStr">
        <is>
          <t>2026-09-24</t>
        </is>
      </c>
      <c r="P1198" s="33" t="inlineStr">
        <is>
          <t>For temporary Manufacturing process change</t>
        </is>
      </c>
      <c r="Q1198" s="43" t="inlineStr">
        <is>
          <t>Mark units with this deviation clearly visible on unit.</t>
        </is>
      </c>
      <c r="R1198" s="43" t="inlineStr">
        <is>
          <t>2026-06-27</t>
        </is>
      </c>
      <c r="S1198" s="43" t="inlineStr">
        <is>
          <t>2026-07-15</t>
        </is>
      </c>
      <c r="T1198" s="43" t="inlineStr"/>
      <c r="U1198" s="43" t="inlineStr"/>
    </row>
    <row r="1199">
      <c r="A1199" s="43" t="n">
        <v>1199</v>
      </c>
      <c r="B1199" s="43" t="inlineStr">
        <is>
          <t>1198</t>
        </is>
      </c>
      <c r="C1199" s="43" t="inlineStr">
        <is>
          <t>FJZP</t>
        </is>
      </c>
      <c r="D1199" s="43" t="inlineStr">
        <is>
          <t>Cisco</t>
        </is>
      </c>
      <c r="E1199" s="43" t="inlineStr">
        <is>
          <t>MCGA</t>
        </is>
      </c>
      <c r="F1199" s="43" t="inlineStr">
        <is>
          <t>037-STBU</t>
        </is>
      </c>
      <c r="G1199" s="43" t="inlineStr">
        <is>
          <t>CTANJZ05243</t>
        </is>
      </c>
      <c r="H1199" s="43" t="inlineStr">
        <is>
          <t>For temporary Manufacturing process change</t>
        </is>
      </c>
      <c r="I1199" s="43" t="inlineStr">
        <is>
          <t>Customer Deviation</t>
        </is>
      </c>
      <c r="J1199" s="43" t="inlineStr">
        <is>
          <t>D611346</t>
        </is>
      </c>
      <c r="K1199" s="33" t="inlineStr">
        <is>
          <t>D611346 PCBA needs to use a packaging to keep the units prior to move it to DF; as 84 is not include in version 06; we allow to FJZ use the packaging 84-102476-01 in this old version until FJZ implement the 07 version (EA618260) that is planning to be implement in Aug 2026</t>
        </is>
      </c>
      <c r="L1199" s="43" t="inlineStr">
        <is>
          <t>Expired</t>
        </is>
      </c>
      <c r="M1199" s="43" t="inlineStr">
        <is>
          <t>68-103465-06</t>
        </is>
      </c>
      <c r="N1199" s="43" t="inlineStr"/>
      <c r="O1199" s="43" t="inlineStr">
        <is>
          <t>2026-08-12</t>
        </is>
      </c>
      <c r="P1199" s="33" t="inlineStr">
        <is>
          <t>For temporary Manufacturing process change</t>
        </is>
      </c>
      <c r="Q1199" s="43" t="inlineStr">
        <is>
          <t>No additional instructions</t>
        </is>
      </c>
      <c r="R1199" s="43" t="inlineStr">
        <is>
          <t>2026-05-15</t>
        </is>
      </c>
      <c r="S1199" s="43" t="inlineStr">
        <is>
          <t>2026-06-03</t>
        </is>
      </c>
      <c r="T1199" s="43" t="inlineStr"/>
      <c r="U1199" s="43" t="inlineStr"/>
    </row>
    <row r="1200">
      <c r="A1200" s="43" t="n">
        <v>1200</v>
      </c>
      <c r="B1200" s="43" t="inlineStr">
        <is>
          <t>1199</t>
        </is>
      </c>
      <c r="C1200" s="43" t="inlineStr">
        <is>
          <t>FJZP</t>
        </is>
      </c>
      <c r="D1200" s="43" t="inlineStr">
        <is>
          <t>Cisco</t>
        </is>
      </c>
      <c r="E1200" s="43" t="inlineStr">
        <is>
          <t>MCGA</t>
        </is>
      </c>
      <c r="F1200" s="43" t="inlineStr">
        <is>
          <t>037-STBU</t>
        </is>
      </c>
      <c r="G1200" s="43" t="inlineStr">
        <is>
          <t>CTANJZ05243</t>
        </is>
      </c>
      <c r="H1200" s="43" t="inlineStr">
        <is>
          <t>For temporary Manufacturing process change</t>
        </is>
      </c>
      <c r="I1200" s="43" t="inlineStr">
        <is>
          <t>Customer Deviation</t>
        </is>
      </c>
      <c r="J1200" s="43" t="inlineStr">
        <is>
          <t>D611346</t>
        </is>
      </c>
      <c r="K1200" s="33" t="inlineStr">
        <is>
          <t>D611346 PCBA needs to use a packaging to keep the units prior to move it to DF; as 84 is not include in version 06; we allow to FJZ use the packaging 84-102476-01 in this old version until FJZ implement the 07 version (EA618260) that is planning to be implement in Aug 2026</t>
        </is>
      </c>
      <c r="L1200" s="43" t="inlineStr">
        <is>
          <t>Expired</t>
        </is>
      </c>
      <c r="M1200" s="43" t="inlineStr">
        <is>
          <t>68-103466-06</t>
        </is>
      </c>
      <c r="N1200" s="43" t="inlineStr"/>
      <c r="O1200" s="43" t="inlineStr">
        <is>
          <t>2026-08-12</t>
        </is>
      </c>
      <c r="P1200" s="33" t="inlineStr">
        <is>
          <t>For temporary Manufacturing process change</t>
        </is>
      </c>
      <c r="Q1200" s="43" t="inlineStr">
        <is>
          <t>No additional instructions</t>
        </is>
      </c>
      <c r="R1200" s="43" t="inlineStr">
        <is>
          <t>2026-05-15</t>
        </is>
      </c>
      <c r="S1200" s="43" t="inlineStr">
        <is>
          <t>2026-06-03</t>
        </is>
      </c>
      <c r="T1200" s="43" t="inlineStr"/>
      <c r="U1200" s="43" t="inlineStr"/>
    </row>
    <row r="1201">
      <c r="A1201" s="43" t="n">
        <v>1201</v>
      </c>
      <c r="B1201" s="43" t="inlineStr">
        <is>
          <t>1200</t>
        </is>
      </c>
      <c r="C1201" s="43" t="inlineStr">
        <is>
          <t>FJZP</t>
        </is>
      </c>
      <c r="D1201" s="43" t="inlineStr">
        <is>
          <t>Cisco</t>
        </is>
      </c>
      <c r="E1201" s="43" t="inlineStr">
        <is>
          <t>MCGA</t>
        </is>
      </c>
      <c r="F1201" s="43" t="inlineStr">
        <is>
          <t>037-STBU</t>
        </is>
      </c>
      <c r="G1201" s="43" t="inlineStr">
        <is>
          <t>CTANJZ05243</t>
        </is>
      </c>
      <c r="H1201" s="43" t="inlineStr">
        <is>
          <t>For temporary Manufacturing process change</t>
        </is>
      </c>
      <c r="I1201" s="43" t="inlineStr">
        <is>
          <t>Customer Deviation</t>
        </is>
      </c>
      <c r="J1201" s="43" t="inlineStr">
        <is>
          <t>D611346</t>
        </is>
      </c>
      <c r="K1201" s="33" t="inlineStr">
        <is>
          <t>D611346 PCBA needs to use a packaging to keep the units prior to move it to DF; as 84 is not include in version 06; we allow to FJZ use the packaging 84-102476-01 in this old version until FJZ implement the 07 version (EA618260) that is planning to be implement in Aug 2026</t>
        </is>
      </c>
      <c r="L1201" s="43" t="inlineStr">
        <is>
          <t>Expired</t>
        </is>
      </c>
      <c r="M1201" s="43" t="inlineStr">
        <is>
          <t>84-102476-01</t>
        </is>
      </c>
      <c r="N1201" s="43" t="inlineStr"/>
      <c r="O1201" s="43" t="inlineStr">
        <is>
          <t>2026-08-12</t>
        </is>
      </c>
      <c r="P1201" s="33" t="inlineStr">
        <is>
          <t>For temporary Manufacturing process change</t>
        </is>
      </c>
      <c r="Q1201" s="43" t="inlineStr">
        <is>
          <t>No additional instructions</t>
        </is>
      </c>
      <c r="R1201" s="43" t="inlineStr">
        <is>
          <t>2026-05-15</t>
        </is>
      </c>
      <c r="S1201" s="43" t="inlineStr">
        <is>
          <t>2026-06-03</t>
        </is>
      </c>
      <c r="T1201" s="43" t="inlineStr"/>
      <c r="U1201" s="43" t="inlineStr"/>
    </row>
    <row r="1202">
      <c r="A1202" s="43" t="n">
        <v>1202</v>
      </c>
      <c r="B1202" s="43" t="inlineStr">
        <is>
          <t>1201</t>
        </is>
      </c>
      <c r="C1202" s="43" t="inlineStr">
        <is>
          <t>FJZP</t>
        </is>
      </c>
      <c r="D1202" s="43" t="inlineStr">
        <is>
          <t>Cisco</t>
        </is>
      </c>
      <c r="E1202" s="43" t="inlineStr">
        <is>
          <t>MCGA</t>
        </is>
      </c>
      <c r="F1202" s="43" t="inlineStr">
        <is>
          <t>037-STBU</t>
        </is>
      </c>
      <c r="G1202" s="43" t="inlineStr">
        <is>
          <t>CTANJZ05256</t>
        </is>
      </c>
      <c r="H1202" s="43" t="inlineStr">
        <is>
          <t>For temporary Manufacturing process change</t>
        </is>
      </c>
      <c r="I1202" s="43" t="inlineStr">
        <is>
          <t>Customer Deviation</t>
        </is>
      </c>
      <c r="J1202" s="43" t="inlineStr">
        <is>
          <t>D611345</t>
        </is>
      </c>
      <c r="K1202" s="33" t="inlineStr">
        <is>
          <t>D611345 During 2023; EDI for 68-104008-02 was overstated which made FJZ to build a lot of units but booking did not come. After noticing EDI was adjusted way down; these units remained as excess. Now that some customers have asked for these modules on their systems; we need to use this old stock; otherwise orders can be cancelledAs there are already escalations for the orders; we need to fulfill them as needed</t>
        </is>
      </c>
      <c r="L1202" s="43" t="inlineStr">
        <is>
          <t>Expired</t>
        </is>
      </c>
      <c r="M1202" s="43" t="inlineStr">
        <is>
          <t>68-104008-02</t>
        </is>
      </c>
      <c r="N1202" s="43" t="inlineStr"/>
      <c r="O1202" s="43" t="inlineStr">
        <is>
          <t>2026-08-17</t>
        </is>
      </c>
      <c r="P1202" s="33" t="inlineStr">
        <is>
          <t>For temporary Manufacturing process change</t>
        </is>
      </c>
      <c r="Q1202" s="43" t="inlineStr">
        <is>
          <t>1. Scan the deviation in all the stations to have traceability on these units</t>
        </is>
      </c>
      <c r="R1202" s="43" t="inlineStr">
        <is>
          <t>2026-05-20</t>
        </is>
      </c>
      <c r="S1202" s="43" t="inlineStr">
        <is>
          <t>2026-06-10</t>
        </is>
      </c>
      <c r="T1202" s="43" t="inlineStr"/>
      <c r="U1202" s="43" t="inlineStr"/>
    </row>
    <row r="1203">
      <c r="A1203" s="43" t="n">
        <v>1203</v>
      </c>
      <c r="B1203" s="43" t="inlineStr">
        <is>
          <t>1202</t>
        </is>
      </c>
      <c r="C1203" s="43" t="inlineStr">
        <is>
          <t>FJZP</t>
        </is>
      </c>
      <c r="D1203" s="43" t="inlineStr">
        <is>
          <t>Cisco</t>
        </is>
      </c>
      <c r="E1203" s="43" t="inlineStr">
        <is>
          <t>MCGA</t>
        </is>
      </c>
      <c r="F1203" s="43" t="inlineStr">
        <is>
          <t>037-STBU</t>
        </is>
      </c>
      <c r="G1203" s="43" t="inlineStr">
        <is>
          <t>CTANJZ05247</t>
        </is>
      </c>
      <c r="H1203" s="43" t="inlineStr">
        <is>
          <t>For temporary Manufacturing process change</t>
        </is>
      </c>
      <c r="I1203" s="43" t="inlineStr">
        <is>
          <t>Customer Deviation</t>
        </is>
      </c>
      <c r="J1203" s="43" t="inlineStr">
        <is>
          <t>D611179</t>
        </is>
      </c>
      <c r="K1203" s="33" t="inlineStr">
        <is>
          <t>D611179 NGFBWU:Queensway - SSD risk buy and subsequent re-identification to meet current demand</t>
        </is>
      </c>
      <c r="L1203" s="43" t="inlineStr">
        <is>
          <t>Expired</t>
        </is>
      </c>
      <c r="M1203" s="43" t="inlineStr">
        <is>
          <t>16-100671-01</t>
        </is>
      </c>
      <c r="N1203" s="43" t="inlineStr"/>
      <c r="O1203" s="43" t="inlineStr">
        <is>
          <t>2026-08-16</t>
        </is>
      </c>
      <c r="P1203" s="33" t="inlineStr">
        <is>
          <t>For temporary Manufacturing process change</t>
        </is>
      </c>
      <c r="Q1203" s="43" t="inlineStr">
        <is>
          <t>Since parts are the same; no further marking requirements beyond the SSD CPN re-labeling.</t>
        </is>
      </c>
      <c r="R1203" s="43" t="inlineStr">
        <is>
          <t>2026-05-19</t>
        </is>
      </c>
      <c r="S1203" s="43" t="inlineStr">
        <is>
          <t>2026-06-04</t>
        </is>
      </c>
      <c r="T1203" s="43" t="inlineStr"/>
      <c r="U1203" s="43" t="inlineStr"/>
    </row>
    <row r="1204">
      <c r="A1204" s="43" t="n">
        <v>1204</v>
      </c>
      <c r="B1204" s="43" t="inlineStr">
        <is>
          <t>1203</t>
        </is>
      </c>
      <c r="C1204" s="43" t="inlineStr">
        <is>
          <t>FJZP</t>
        </is>
      </c>
      <c r="D1204" s="43" t="inlineStr">
        <is>
          <t>Cisco</t>
        </is>
      </c>
      <c r="E1204" s="43" t="inlineStr">
        <is>
          <t>MCGA</t>
        </is>
      </c>
      <c r="F1204" s="43" t="inlineStr">
        <is>
          <t>037-STBU</t>
        </is>
      </c>
      <c r="G1204" s="43" t="inlineStr">
        <is>
          <t>CTANJZ05247</t>
        </is>
      </c>
      <c r="H1204" s="43" t="inlineStr">
        <is>
          <t>For temporary Manufacturing process change</t>
        </is>
      </c>
      <c r="I1204" s="43" t="inlineStr">
        <is>
          <t>Customer Deviation</t>
        </is>
      </c>
      <c r="J1204" s="43" t="inlineStr">
        <is>
          <t>D611179</t>
        </is>
      </c>
      <c r="K1204" s="33" t="inlineStr">
        <is>
          <t>D611179 NGFBWU:Queensway - SSD risk buy and subsequent re-identification to meet current demand</t>
        </is>
      </c>
      <c r="L1204" s="43" t="inlineStr">
        <is>
          <t>Expired</t>
        </is>
      </c>
      <c r="M1204" s="43" t="inlineStr">
        <is>
          <t>800-102881-02</t>
        </is>
      </c>
      <c r="N1204" s="43" t="inlineStr"/>
      <c r="O1204" s="43" t="inlineStr">
        <is>
          <t>2026-08-16</t>
        </is>
      </c>
      <c r="P1204" s="33" t="inlineStr">
        <is>
          <t>For temporary Manufacturing process change</t>
        </is>
      </c>
      <c r="Q1204" s="43" t="inlineStr">
        <is>
          <t>Since parts are the same; no further marking requirements beyond the SSD CPN re-labeling.</t>
        </is>
      </c>
      <c r="R1204" s="43" t="inlineStr">
        <is>
          <t>2026-05-19</t>
        </is>
      </c>
      <c r="S1204" s="43" t="inlineStr">
        <is>
          <t>2026-06-04</t>
        </is>
      </c>
      <c r="T1204" s="43" t="inlineStr"/>
      <c r="U1204" s="43" t="inlineStr"/>
    </row>
    <row r="1205">
      <c r="A1205" s="43" t="n">
        <v>1205</v>
      </c>
      <c r="B1205" s="43" t="inlineStr">
        <is>
          <t>1204</t>
        </is>
      </c>
      <c r="C1205" s="43" t="inlineStr">
        <is>
          <t>FJZP</t>
        </is>
      </c>
      <c r="D1205" s="43" t="inlineStr">
        <is>
          <t>Cisco</t>
        </is>
      </c>
      <c r="E1205" s="43" t="inlineStr">
        <is>
          <t>MCGA</t>
        </is>
      </c>
      <c r="F1205" s="43" t="inlineStr">
        <is>
          <t>037-STBU</t>
        </is>
      </c>
      <c r="G1205" s="43" t="inlineStr">
        <is>
          <t>CTANJZ05252</t>
        </is>
      </c>
      <c r="H1205" s="43" t="inlineStr">
        <is>
          <t>For temporary Manufacturing process change</t>
        </is>
      </c>
      <c r="I1205" s="43" t="inlineStr">
        <is>
          <t>Customer Deviation</t>
        </is>
      </c>
      <c r="J1205" s="43" t="inlineStr">
        <is>
          <t>D611133</t>
        </is>
      </c>
      <c r="K1205"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05" s="43" t="inlineStr">
        <is>
          <t>Expired</t>
        </is>
      </c>
      <c r="M1205" s="43" t="inlineStr">
        <is>
          <t>73-16681-10</t>
        </is>
      </c>
      <c r="N1205" s="43" t="inlineStr"/>
      <c r="O1205" s="43" t="inlineStr">
        <is>
          <t>2026-08-17</t>
        </is>
      </c>
      <c r="P1205" s="33" t="inlineStr">
        <is>
          <t>For temporary Manufacturing process change</t>
        </is>
      </c>
      <c r="Q1205" s="43"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05" s="43" t="inlineStr">
        <is>
          <t>2026-05-20</t>
        </is>
      </c>
      <c r="S1205" s="43" t="inlineStr">
        <is>
          <t>2026-06-10</t>
        </is>
      </c>
      <c r="T1205" s="43" t="inlineStr"/>
      <c r="U1205" s="43" t="inlineStr"/>
    </row>
    <row r="1206">
      <c r="A1206" s="43" t="n">
        <v>1206</v>
      </c>
      <c r="B1206" s="43" t="inlineStr">
        <is>
          <t>1205</t>
        </is>
      </c>
      <c r="C1206" s="43" t="inlineStr">
        <is>
          <t>FJZP</t>
        </is>
      </c>
      <c r="D1206" s="43" t="inlineStr">
        <is>
          <t>Cisco</t>
        </is>
      </c>
      <c r="E1206" s="43" t="inlineStr">
        <is>
          <t>MCGA</t>
        </is>
      </c>
      <c r="F1206" s="43" t="inlineStr">
        <is>
          <t>037-STBU</t>
        </is>
      </c>
      <c r="G1206" s="43" t="inlineStr">
        <is>
          <t>CTANJZ05252</t>
        </is>
      </c>
      <c r="H1206" s="43" t="inlineStr">
        <is>
          <t>For temporary Manufacturing process change</t>
        </is>
      </c>
      <c r="I1206" s="43" t="inlineStr">
        <is>
          <t>Customer Deviation</t>
        </is>
      </c>
      <c r="J1206" s="43" t="inlineStr">
        <is>
          <t>D611133</t>
        </is>
      </c>
      <c r="K1206"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06" s="43" t="inlineStr">
        <is>
          <t>Expired</t>
        </is>
      </c>
      <c r="M1206" s="43" t="inlineStr">
        <is>
          <t>73-17497-04</t>
        </is>
      </c>
      <c r="N1206" s="43" t="inlineStr"/>
      <c r="O1206" s="43" t="inlineStr">
        <is>
          <t>2026-08-17</t>
        </is>
      </c>
      <c r="P1206" s="33" t="inlineStr">
        <is>
          <t>For temporary Manufacturing process change</t>
        </is>
      </c>
      <c r="Q1206" s="43"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06" s="43" t="inlineStr">
        <is>
          <t>2026-05-20</t>
        </is>
      </c>
      <c r="S1206" s="43" t="inlineStr">
        <is>
          <t>2026-06-10</t>
        </is>
      </c>
      <c r="T1206" s="43" t="inlineStr"/>
      <c r="U1206" s="43" t="inlineStr"/>
    </row>
    <row r="1207">
      <c r="A1207" s="43" t="n">
        <v>1207</v>
      </c>
      <c r="B1207" s="43" t="inlineStr">
        <is>
          <t>1206</t>
        </is>
      </c>
      <c r="C1207" s="43" t="inlineStr">
        <is>
          <t>FJZP</t>
        </is>
      </c>
      <c r="D1207" s="43" t="inlineStr">
        <is>
          <t>Cisco</t>
        </is>
      </c>
      <c r="E1207" s="43" t="inlineStr">
        <is>
          <t>MCGA</t>
        </is>
      </c>
      <c r="F1207" s="43" t="inlineStr">
        <is>
          <t>037-STBU</t>
        </is>
      </c>
      <c r="G1207" s="43" t="inlineStr">
        <is>
          <t>CTANJZ05252</t>
        </is>
      </c>
      <c r="H1207" s="43" t="inlineStr">
        <is>
          <t>For temporary Manufacturing process change</t>
        </is>
      </c>
      <c r="I1207" s="43" t="inlineStr">
        <is>
          <t>Customer Deviation</t>
        </is>
      </c>
      <c r="J1207" s="43" t="inlineStr">
        <is>
          <t>D611133</t>
        </is>
      </c>
      <c r="K1207"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07" s="43" t="inlineStr">
        <is>
          <t>Expired</t>
        </is>
      </c>
      <c r="M1207" s="43" t="inlineStr">
        <is>
          <t>73-17498-04</t>
        </is>
      </c>
      <c r="N1207" s="43" t="inlineStr"/>
      <c r="O1207" s="43" t="inlineStr">
        <is>
          <t>2026-08-17</t>
        </is>
      </c>
      <c r="P1207" s="33" t="inlineStr">
        <is>
          <t>For temporary Manufacturing process change</t>
        </is>
      </c>
      <c r="Q1207" s="43"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07" s="43" t="inlineStr">
        <is>
          <t>2026-05-20</t>
        </is>
      </c>
      <c r="S1207" s="43" t="inlineStr">
        <is>
          <t>2026-06-10</t>
        </is>
      </c>
      <c r="T1207" s="43" t="inlineStr"/>
      <c r="U1207" s="43" t="inlineStr"/>
    </row>
    <row r="1208">
      <c r="A1208" s="43" t="n">
        <v>1208</v>
      </c>
      <c r="B1208" s="43" t="inlineStr">
        <is>
          <t>1207</t>
        </is>
      </c>
      <c r="C1208" s="43" t="inlineStr">
        <is>
          <t>FJZP</t>
        </is>
      </c>
      <c r="D1208" s="43" t="inlineStr">
        <is>
          <t>Cisco</t>
        </is>
      </c>
      <c r="E1208" s="43" t="inlineStr">
        <is>
          <t>MCGA</t>
        </is>
      </c>
      <c r="F1208" s="43" t="inlineStr">
        <is>
          <t>034-IOTBU</t>
        </is>
      </c>
      <c r="G1208" s="43" t="inlineStr">
        <is>
          <t>CTANJZ05281</t>
        </is>
      </c>
      <c r="H1208" s="43" t="inlineStr">
        <is>
          <t>For temporary Manufacturing process change</t>
        </is>
      </c>
      <c r="I1208" s="43" t="inlineStr">
        <is>
          <t>Customer Deviation</t>
        </is>
      </c>
      <c r="J1208" s="43" t="inlineStr">
        <is>
          <t>D611764</t>
        </is>
      </c>
      <c r="K1208" s="33" t="inlineStr">
        <is>
          <t>D611764 Please see PageThree for details</t>
        </is>
      </c>
      <c r="L1208" s="43" t="inlineStr">
        <is>
          <t>Expired</t>
        </is>
      </c>
      <c r="M1208" s="43" t="inlineStr">
        <is>
          <t>68-104004-01</t>
        </is>
      </c>
      <c r="N1208" s="43" t="inlineStr"/>
      <c r="O1208" s="43" t="inlineStr">
        <is>
          <t>2026-08-31</t>
        </is>
      </c>
      <c r="P1208" s="33" t="inlineStr">
        <is>
          <t>For temporary Manufacturing process change</t>
        </is>
      </c>
      <c r="Q1208" s="43" t="inlineStr">
        <is>
          <t>Please place the deviation label in visible area.</t>
        </is>
      </c>
      <c r="R1208" s="43" t="inlineStr">
        <is>
          <t>2026-06-03</t>
        </is>
      </c>
      <c r="S1208" s="43" t="inlineStr">
        <is>
          <t>2026-06-16</t>
        </is>
      </c>
      <c r="T1208" s="43" t="inlineStr"/>
      <c r="U1208" s="43" t="inlineStr"/>
    </row>
    <row r="1209">
      <c r="A1209" s="43" t="n">
        <v>1209</v>
      </c>
      <c r="B1209" s="43" t="inlineStr">
        <is>
          <t>1208</t>
        </is>
      </c>
      <c r="C1209" s="43" t="inlineStr">
        <is>
          <t>FJZP</t>
        </is>
      </c>
      <c r="D1209" s="43" t="inlineStr">
        <is>
          <t>Cisco</t>
        </is>
      </c>
      <c r="E1209" s="43" t="inlineStr">
        <is>
          <t>MCGA</t>
        </is>
      </c>
      <c r="F1209" s="43" t="inlineStr">
        <is>
          <t>034-IOTBU</t>
        </is>
      </c>
      <c r="G1209" s="43" t="inlineStr">
        <is>
          <t>CTANJZ05281</t>
        </is>
      </c>
      <c r="H1209" s="43" t="inlineStr">
        <is>
          <t>For temporary Manufacturing process change</t>
        </is>
      </c>
      <c r="I1209" s="43" t="inlineStr">
        <is>
          <t>Customer Deviation</t>
        </is>
      </c>
      <c r="J1209" s="43" t="inlineStr">
        <is>
          <t>D611764</t>
        </is>
      </c>
      <c r="K1209" s="33" t="inlineStr">
        <is>
          <t>D611764 Please see PageThree for details</t>
        </is>
      </c>
      <c r="L1209" s="43" t="inlineStr">
        <is>
          <t>Expired</t>
        </is>
      </c>
      <c r="M1209" s="43" t="inlineStr">
        <is>
          <t>73-101439-04</t>
        </is>
      </c>
      <c r="N1209" s="43" t="inlineStr"/>
      <c r="O1209" s="43" t="inlineStr">
        <is>
          <t>2026-08-31</t>
        </is>
      </c>
      <c r="P1209" s="33" t="inlineStr">
        <is>
          <t>For temporary Manufacturing process change</t>
        </is>
      </c>
      <c r="Q1209" s="43" t="inlineStr">
        <is>
          <t>Please place the deviation label in visible area.</t>
        </is>
      </c>
      <c r="R1209" s="43" t="inlineStr">
        <is>
          <t>2026-06-03</t>
        </is>
      </c>
      <c r="S1209" s="43" t="inlineStr">
        <is>
          <t>2026-06-16</t>
        </is>
      </c>
      <c r="T1209" s="43" t="inlineStr"/>
      <c r="U1209" s="43" t="inlineStr"/>
    </row>
    <row r="1210">
      <c r="A1210" s="43" t="n">
        <v>1210</v>
      </c>
      <c r="B1210" s="43" t="inlineStr">
        <is>
          <t>1209</t>
        </is>
      </c>
      <c r="C1210" s="43" t="inlineStr">
        <is>
          <t>FJZP</t>
        </is>
      </c>
      <c r="D1210" s="43" t="inlineStr">
        <is>
          <t>Cisco</t>
        </is>
      </c>
      <c r="E1210" s="43" t="inlineStr">
        <is>
          <t>MCGA</t>
        </is>
      </c>
      <c r="F1210" s="43" t="inlineStr">
        <is>
          <t>034-IOTBU</t>
        </is>
      </c>
      <c r="G1210" s="43" t="inlineStr">
        <is>
          <t>CTANJZ05281</t>
        </is>
      </c>
      <c r="H1210" s="43" t="inlineStr">
        <is>
          <t>For temporary Manufacturing process change</t>
        </is>
      </c>
      <c r="I1210" s="43" t="inlineStr">
        <is>
          <t>Customer Deviation</t>
        </is>
      </c>
      <c r="J1210" s="43" t="inlineStr">
        <is>
          <t>D611764</t>
        </is>
      </c>
      <c r="K1210" s="33" t="inlineStr">
        <is>
          <t>D611764 Please see PageThree for details</t>
        </is>
      </c>
      <c r="L1210" s="43" t="inlineStr">
        <is>
          <t>Expired</t>
        </is>
      </c>
      <c r="M1210" s="43" t="inlineStr">
        <is>
          <t>73-102239-04</t>
        </is>
      </c>
      <c r="N1210" s="43" t="inlineStr"/>
      <c r="O1210" s="43" t="inlineStr">
        <is>
          <t>2026-08-31</t>
        </is>
      </c>
      <c r="P1210" s="33" t="inlineStr">
        <is>
          <t>For temporary Manufacturing process change</t>
        </is>
      </c>
      <c r="Q1210" s="43" t="inlineStr">
        <is>
          <t>Please place the deviation label in visible area.</t>
        </is>
      </c>
      <c r="R1210" s="43" t="inlineStr">
        <is>
          <t>2026-06-03</t>
        </is>
      </c>
      <c r="S1210" s="43" t="inlineStr">
        <is>
          <t>2026-06-16</t>
        </is>
      </c>
      <c r="T1210" s="43" t="inlineStr"/>
      <c r="U1210" s="43" t="inlineStr"/>
    </row>
    <row r="1211">
      <c r="A1211" s="43" t="n">
        <v>1211</v>
      </c>
      <c r="B1211" s="43" t="inlineStr">
        <is>
          <t>1210</t>
        </is>
      </c>
      <c r="C1211" s="43" t="inlineStr">
        <is>
          <t>FJZP</t>
        </is>
      </c>
      <c r="D1211" s="43" t="inlineStr">
        <is>
          <t>Cisco</t>
        </is>
      </c>
      <c r="E1211" s="43" t="inlineStr">
        <is>
          <t>MCGA</t>
        </is>
      </c>
      <c r="F1211" s="43" t="inlineStr">
        <is>
          <t>034-IOTBU</t>
        </is>
      </c>
      <c r="G1211" s="43" t="inlineStr">
        <is>
          <t>CTANJZ05281</t>
        </is>
      </c>
      <c r="H1211" s="43" t="inlineStr">
        <is>
          <t>For temporary Manufacturing process change</t>
        </is>
      </c>
      <c r="I1211" s="43" t="inlineStr">
        <is>
          <t>Customer Deviation</t>
        </is>
      </c>
      <c r="J1211" s="43" t="inlineStr">
        <is>
          <t>D611764</t>
        </is>
      </c>
      <c r="K1211" s="33" t="inlineStr">
        <is>
          <t>D611764 Please see PageThree for details</t>
        </is>
      </c>
      <c r="L1211" s="43" t="inlineStr">
        <is>
          <t>Expired</t>
        </is>
      </c>
      <c r="M1211" s="43" t="inlineStr">
        <is>
          <t>73-103098-03</t>
        </is>
      </c>
      <c r="N1211" s="43" t="inlineStr"/>
      <c r="O1211" s="43" t="inlineStr">
        <is>
          <t>2026-08-31</t>
        </is>
      </c>
      <c r="P1211" s="33" t="inlineStr">
        <is>
          <t>For temporary Manufacturing process change</t>
        </is>
      </c>
      <c r="Q1211" s="43" t="inlineStr">
        <is>
          <t>Please place the deviation label in visible area.</t>
        </is>
      </c>
      <c r="R1211" s="43" t="inlineStr">
        <is>
          <t>2026-06-03</t>
        </is>
      </c>
      <c r="S1211" s="43" t="inlineStr">
        <is>
          <t>2026-06-16</t>
        </is>
      </c>
      <c r="T1211" s="43" t="inlineStr"/>
      <c r="U1211" s="43" t="inlineStr"/>
    </row>
    <row r="1212">
      <c r="A1212" s="43" t="n">
        <v>1212</v>
      </c>
      <c r="B1212" s="43" t="inlineStr">
        <is>
          <t>1211</t>
        </is>
      </c>
      <c r="C1212" s="43" t="inlineStr">
        <is>
          <t>FJZP</t>
        </is>
      </c>
      <c r="D1212" s="43" t="inlineStr">
        <is>
          <t>Cisco</t>
        </is>
      </c>
      <c r="E1212" s="43" t="inlineStr">
        <is>
          <t>MCGA</t>
        </is>
      </c>
      <c r="F1212" s="43" t="inlineStr">
        <is>
          <t>037-STBU</t>
        </is>
      </c>
      <c r="G1212" s="43" t="inlineStr">
        <is>
          <t>CTANJZ05304</t>
        </is>
      </c>
      <c r="H1212" s="43" t="inlineStr">
        <is>
          <t>For temporary Manufacturing process change</t>
        </is>
      </c>
      <c r="I1212" s="43" t="inlineStr">
        <is>
          <t>Customer Deviation</t>
        </is>
      </c>
      <c r="J1212" s="43" t="inlineStr">
        <is>
          <t>D611712</t>
        </is>
      </c>
      <c r="K1212" s="33" t="inlineStr">
        <is>
          <t>D611712 Due shortage material; we allow FJZ to use the PN 24-2954-01 to replace 24-2954-02 with this specific MPN XCL7050-222MEC (COILCRAFT Supplier)</t>
        </is>
      </c>
      <c r="L1212" s="43" t="inlineStr">
        <is>
          <t>Expired</t>
        </is>
      </c>
      <c r="M1212" s="43" t="inlineStr">
        <is>
          <t>24-2954-01</t>
        </is>
      </c>
      <c r="N1212" s="43" t="inlineStr"/>
      <c r="O1212" s="43" t="inlineStr">
        <is>
          <t>2026-09-16</t>
        </is>
      </c>
      <c r="P1212" s="33" t="inlineStr">
        <is>
          <t>For temporary Manufacturing process change</t>
        </is>
      </c>
      <c r="Q1212" s="43" t="inlineStr">
        <is>
          <t>No additional instructions need it</t>
        </is>
      </c>
      <c r="R1212" s="43" t="inlineStr">
        <is>
          <t>2026-06-20</t>
        </is>
      </c>
      <c r="S1212" s="43" t="inlineStr">
        <is>
          <t>2026-07-08</t>
        </is>
      </c>
      <c r="T1212" s="43" t="inlineStr"/>
      <c r="U1212" s="43" t="inlineStr"/>
    </row>
    <row r="1213">
      <c r="A1213" s="43" t="n">
        <v>1213</v>
      </c>
      <c r="B1213" s="43" t="inlineStr">
        <is>
          <t>1212</t>
        </is>
      </c>
      <c r="C1213" s="43" t="inlineStr">
        <is>
          <t>FJZP</t>
        </is>
      </c>
      <c r="D1213" s="43" t="inlineStr">
        <is>
          <t>Cisco</t>
        </is>
      </c>
      <c r="E1213" s="43" t="inlineStr">
        <is>
          <t>MCGA</t>
        </is>
      </c>
      <c r="F1213" s="43" t="inlineStr">
        <is>
          <t>037-STBU</t>
        </is>
      </c>
      <c r="G1213" s="43" t="inlineStr">
        <is>
          <t>CTANJZ05304</t>
        </is>
      </c>
      <c r="H1213" s="43" t="inlineStr">
        <is>
          <t>For temporary Manufacturing process change</t>
        </is>
      </c>
      <c r="I1213" s="43" t="inlineStr">
        <is>
          <t>Customer Deviation</t>
        </is>
      </c>
      <c r="J1213" s="43" t="inlineStr">
        <is>
          <t>D611712</t>
        </is>
      </c>
      <c r="K1213" s="33" t="inlineStr">
        <is>
          <t>D611712 Due shortage material; we allow FJZ to use the PN 24-2954-01 to replace 24-2954-02 with this specific MPN XCL7050-222MEC (COILCRAFT Supplier)</t>
        </is>
      </c>
      <c r="L1213" s="43" t="inlineStr">
        <is>
          <t>Expired</t>
        </is>
      </c>
      <c r="M1213" s="43" t="inlineStr">
        <is>
          <t>24-2954-02</t>
        </is>
      </c>
      <c r="N1213" s="43" t="inlineStr"/>
      <c r="O1213" s="43" t="inlineStr">
        <is>
          <t>2026-09-16</t>
        </is>
      </c>
      <c r="P1213" s="33" t="inlineStr">
        <is>
          <t>For temporary Manufacturing process change</t>
        </is>
      </c>
      <c r="Q1213" s="43" t="inlineStr">
        <is>
          <t>No additional instructions need it</t>
        </is>
      </c>
      <c r="R1213" s="43" t="inlineStr">
        <is>
          <t>2026-06-20</t>
        </is>
      </c>
      <c r="S1213" s="43" t="inlineStr">
        <is>
          <t>2026-07-08</t>
        </is>
      </c>
      <c r="T1213" s="43" t="inlineStr"/>
      <c r="U1213" s="43" t="inlineStr"/>
    </row>
    <row r="1214">
      <c r="A1214" s="43" t="n">
        <v>1214</v>
      </c>
      <c r="B1214" s="43" t="inlineStr">
        <is>
          <t>1213</t>
        </is>
      </c>
      <c r="C1214" s="43" t="inlineStr">
        <is>
          <t>FJZP</t>
        </is>
      </c>
      <c r="D1214" s="43" t="inlineStr">
        <is>
          <t>Cisco</t>
        </is>
      </c>
      <c r="E1214" s="43" t="inlineStr">
        <is>
          <t>MCGA</t>
        </is>
      </c>
      <c r="F1214" s="43" t="inlineStr">
        <is>
          <t>037-STBU</t>
        </is>
      </c>
      <c r="G1214" s="43" t="inlineStr">
        <is>
          <t>CTANJZ05304</t>
        </is>
      </c>
      <c r="H1214" s="43" t="inlineStr">
        <is>
          <t>For temporary Manufacturing process change</t>
        </is>
      </c>
      <c r="I1214" s="43" t="inlineStr">
        <is>
          <t>Customer Deviation</t>
        </is>
      </c>
      <c r="J1214" s="43" t="inlineStr">
        <is>
          <t>D611712</t>
        </is>
      </c>
      <c r="K1214" s="33" t="inlineStr">
        <is>
          <t>D611712 Due shortage material; we allow FJZ to use the PN 24-2954-01 to replace 24-2954-02 with this specific MPN XCL7050-222MEC (COILCRAFT Supplier)</t>
        </is>
      </c>
      <c r="L1214" s="43" t="inlineStr">
        <is>
          <t>Expired</t>
        </is>
      </c>
      <c r="M1214" s="43" t="inlineStr">
        <is>
          <t>73-20247-06</t>
        </is>
      </c>
      <c r="N1214" s="43" t="inlineStr"/>
      <c r="O1214" s="43" t="inlineStr">
        <is>
          <t>2026-09-16</t>
        </is>
      </c>
      <c r="P1214" s="33" t="inlineStr">
        <is>
          <t>For temporary Manufacturing process change</t>
        </is>
      </c>
      <c r="Q1214" s="43" t="inlineStr">
        <is>
          <t>No additional instructions need it</t>
        </is>
      </c>
      <c r="R1214" s="43" t="inlineStr">
        <is>
          <t>2026-06-20</t>
        </is>
      </c>
      <c r="S1214" s="43" t="inlineStr">
        <is>
          <t>2026-07-08</t>
        </is>
      </c>
      <c r="T1214" s="43" t="inlineStr"/>
      <c r="U1214" s="43" t="inlineStr"/>
    </row>
    <row r="1215">
      <c r="A1215" s="43" t="n">
        <v>1215</v>
      </c>
      <c r="B1215" s="43" t="inlineStr">
        <is>
          <t>1214</t>
        </is>
      </c>
      <c r="C1215" s="43" t="inlineStr">
        <is>
          <t>FJZP</t>
        </is>
      </c>
      <c r="D1215" s="43" t="inlineStr">
        <is>
          <t>Cisco</t>
        </is>
      </c>
      <c r="E1215" s="43" t="inlineStr">
        <is>
          <t>MCGA</t>
        </is>
      </c>
      <c r="F1215" s="43" t="inlineStr">
        <is>
          <t>037-STBU</t>
        </is>
      </c>
      <c r="G1215" s="43" t="inlineStr">
        <is>
          <t>CTANJZ05304</t>
        </is>
      </c>
      <c r="H1215" s="43" t="inlineStr">
        <is>
          <t>For temporary Manufacturing process change</t>
        </is>
      </c>
      <c r="I1215" s="43" t="inlineStr">
        <is>
          <t>Customer Deviation</t>
        </is>
      </c>
      <c r="J1215" s="43" t="inlineStr">
        <is>
          <t>D611712</t>
        </is>
      </c>
      <c r="K1215" s="33" t="inlineStr">
        <is>
          <t>D611712 Due shortage material; we allow FJZ to use the PN 24-2954-01 to replace 24-2954-02 with this specific MPN XCL7050-222MEC (COILCRAFT Supplier)</t>
        </is>
      </c>
      <c r="L1215" s="43" t="inlineStr">
        <is>
          <t>Expired</t>
        </is>
      </c>
      <c r="M1215" s="43" t="inlineStr">
        <is>
          <t>73-20249-06</t>
        </is>
      </c>
      <c r="N1215" s="43" t="inlineStr"/>
      <c r="O1215" s="43" t="inlineStr">
        <is>
          <t>2026-09-16</t>
        </is>
      </c>
      <c r="P1215" s="33" t="inlineStr">
        <is>
          <t>For temporary Manufacturing process change</t>
        </is>
      </c>
      <c r="Q1215" s="43" t="inlineStr">
        <is>
          <t>No additional instructions need it</t>
        </is>
      </c>
      <c r="R1215" s="43" t="inlineStr">
        <is>
          <t>2026-06-20</t>
        </is>
      </c>
      <c r="S1215" s="43" t="inlineStr">
        <is>
          <t>2026-07-08</t>
        </is>
      </c>
      <c r="T1215" s="43" t="inlineStr"/>
      <c r="U1215" s="43" t="inlineStr"/>
    </row>
    <row r="1216">
      <c r="A1216" s="43" t="n">
        <v>1216</v>
      </c>
      <c r="B1216" s="43" t="inlineStr">
        <is>
          <t>1215</t>
        </is>
      </c>
      <c r="C1216" s="43" t="inlineStr">
        <is>
          <t>FJZP</t>
        </is>
      </c>
      <c r="D1216" s="43" t="inlineStr">
        <is>
          <t>Cisco</t>
        </is>
      </c>
      <c r="E1216" s="43" t="inlineStr">
        <is>
          <t>MCGA</t>
        </is>
      </c>
      <c r="F1216" s="43" t="inlineStr">
        <is>
          <t>035-CVEBU</t>
        </is>
      </c>
      <c r="G1216" s="43" t="inlineStr">
        <is>
          <t>CTANJZ05305</t>
        </is>
      </c>
      <c r="H1216" s="43" t="inlineStr">
        <is>
          <t>For temporary Manufacturing process change</t>
        </is>
      </c>
      <c r="I1216" s="43" t="inlineStr">
        <is>
          <t>Customer Deviation</t>
        </is>
      </c>
      <c r="J1216" s="43" t="inlineStr">
        <is>
          <t>D612126</t>
        </is>
      </c>
      <c r="K1216" s="33" t="inlineStr">
        <is>
          <t>D612126 CVEBU: DaVinci; Brooklyn; Pictoris; Esperan?a; MilleniumApply label 47-111352-01 only on units being shipped to Chile</t>
        </is>
      </c>
      <c r="L1216" s="43" t="inlineStr">
        <is>
          <t>Expired</t>
        </is>
      </c>
      <c r="M1216" s="43" t="inlineStr">
        <is>
          <t>47-111352-01</t>
        </is>
      </c>
      <c r="N1216" s="43" t="inlineStr"/>
      <c r="O1216" s="43" t="inlineStr">
        <is>
          <t>2026-09-15</t>
        </is>
      </c>
      <c r="P1216" s="33" t="inlineStr">
        <is>
          <t>For temporary Manufacturing process change</t>
        </is>
      </c>
      <c r="Q1216" s="43" t="inlineStr">
        <is>
          <t>N/A</t>
        </is>
      </c>
      <c r="R1216" s="43" t="inlineStr">
        <is>
          <t>2026-06-20</t>
        </is>
      </c>
      <c r="S1216" s="43" t="inlineStr">
        <is>
          <t>2026-07-02</t>
        </is>
      </c>
      <c r="T1216" s="43" t="inlineStr"/>
      <c r="U1216" s="43" t="inlineStr"/>
    </row>
    <row r="1217">
      <c r="A1217" s="43" t="n">
        <v>1217</v>
      </c>
      <c r="B1217" s="43" t="inlineStr">
        <is>
          <t>1216</t>
        </is>
      </c>
      <c r="C1217" s="43" t="inlineStr">
        <is>
          <t>FJZP</t>
        </is>
      </c>
      <c r="D1217" s="43" t="inlineStr">
        <is>
          <t>Cisco</t>
        </is>
      </c>
      <c r="E1217" s="43" t="inlineStr">
        <is>
          <t>MCGA</t>
        </is>
      </c>
      <c r="F1217" s="43" t="inlineStr">
        <is>
          <t>037-STBU</t>
        </is>
      </c>
      <c r="G1217" s="43" t="inlineStr">
        <is>
          <t>CTANJZ05286</t>
        </is>
      </c>
      <c r="H1217" s="43" t="inlineStr">
        <is>
          <t>For temporary Manufacturing process change</t>
        </is>
      </c>
      <c r="I1217" s="43" t="inlineStr">
        <is>
          <t>Customer Deviation</t>
        </is>
      </c>
      <c r="J1217" s="43" t="inlineStr">
        <is>
          <t>D611905</t>
        </is>
      </c>
      <c r="K1217"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217" s="43" t="inlineStr">
        <is>
          <t>Expired</t>
        </is>
      </c>
      <c r="M1217" s="43" t="inlineStr">
        <is>
          <t>20-0405-01</t>
        </is>
      </c>
      <c r="N1217" s="43" t="inlineStr"/>
      <c r="O1217" s="43" t="inlineStr">
        <is>
          <t>2026-09-07</t>
        </is>
      </c>
      <c r="P1217" s="33" t="inlineStr">
        <is>
          <t>For temporary Manufacturing process change</t>
        </is>
      </c>
      <c r="Q1217" s="43"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217" s="43" t="inlineStr">
        <is>
          <t>2026-06-10</t>
        </is>
      </c>
      <c r="S1217" s="43" t="inlineStr">
        <is>
          <t>2026-07-07</t>
        </is>
      </c>
      <c r="T1217" s="43" t="inlineStr"/>
      <c r="U1217" s="43" t="inlineStr"/>
    </row>
    <row r="1218">
      <c r="A1218" s="43" t="n">
        <v>1218</v>
      </c>
      <c r="B1218" s="43" t="inlineStr">
        <is>
          <t>1217</t>
        </is>
      </c>
      <c r="C1218" s="43" t="inlineStr">
        <is>
          <t>FJZP</t>
        </is>
      </c>
      <c r="D1218" s="43" t="inlineStr">
        <is>
          <t>Cisco</t>
        </is>
      </c>
      <c r="E1218" s="43" t="inlineStr">
        <is>
          <t>MCGA</t>
        </is>
      </c>
      <c r="F1218" s="43" t="inlineStr">
        <is>
          <t>037-STBU</t>
        </is>
      </c>
      <c r="G1218" s="43" t="inlineStr">
        <is>
          <t>CTANJZ05286</t>
        </is>
      </c>
      <c r="H1218" s="43" t="inlineStr">
        <is>
          <t>For temporary Manufacturing process change</t>
        </is>
      </c>
      <c r="I1218" s="43" t="inlineStr">
        <is>
          <t>Customer Deviation</t>
        </is>
      </c>
      <c r="J1218" s="43" t="inlineStr">
        <is>
          <t>D611905</t>
        </is>
      </c>
      <c r="K1218"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218" s="43" t="inlineStr">
        <is>
          <t>Expired</t>
        </is>
      </c>
      <c r="M1218" s="43" t="inlineStr">
        <is>
          <t>20-100690-01</t>
        </is>
      </c>
      <c r="N1218" s="43" t="inlineStr"/>
      <c r="O1218" s="43" t="inlineStr">
        <is>
          <t>2026-09-07</t>
        </is>
      </c>
      <c r="P1218" s="33" t="inlineStr">
        <is>
          <t>For temporary Manufacturing process change</t>
        </is>
      </c>
      <c r="Q1218" s="43"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218" s="43" t="inlineStr">
        <is>
          <t>2026-06-10</t>
        </is>
      </c>
      <c r="S1218" s="43" t="inlineStr">
        <is>
          <t>2026-07-07</t>
        </is>
      </c>
      <c r="T1218" s="43" t="inlineStr"/>
      <c r="U1218" s="43" t="inlineStr"/>
    </row>
    <row r="1219">
      <c r="A1219" s="43" t="n">
        <v>1219</v>
      </c>
      <c r="B1219" s="43" t="inlineStr">
        <is>
          <t>1218</t>
        </is>
      </c>
      <c r="C1219" s="43" t="inlineStr">
        <is>
          <t>FJZP</t>
        </is>
      </c>
      <c r="D1219" s="43" t="inlineStr">
        <is>
          <t>Cisco</t>
        </is>
      </c>
      <c r="E1219" s="43" t="inlineStr">
        <is>
          <t>MCGA</t>
        </is>
      </c>
      <c r="F1219" s="43" t="inlineStr">
        <is>
          <t>037-STBU</t>
        </is>
      </c>
      <c r="G1219" s="43" t="inlineStr">
        <is>
          <t>CTANJZ05184</t>
        </is>
      </c>
      <c r="H1219" s="43" t="inlineStr">
        <is>
          <t>For temporary Manufacturing process change</t>
        </is>
      </c>
      <c r="I1219" s="43" t="inlineStr">
        <is>
          <t>Customer Deviation</t>
        </is>
      </c>
      <c r="J1219" s="43" t="inlineStr">
        <is>
          <t>D610411</t>
        </is>
      </c>
      <c r="K1219" s="33" t="inlineStr">
        <is>
          <t>D610411 There is a need to convert Presidios PCBs from a 73- part to another; this it's already covered in the TANMAPs; FJZ needs to do inventory transfers from one part number to another.FJZ needs to make sure the units have not been tested previously on functional test; then they will relabel with the same SN; but with the 73- part that is required; they will keep the tracking and provide the list of the serial numbers that were converted and what part will be used on.The records needs to be sent to Cisco TE; PE and ME</t>
        </is>
      </c>
      <c r="L1219" s="43" t="inlineStr">
        <is>
          <t>Expired</t>
        </is>
      </c>
      <c r="M1219" s="43" t="inlineStr">
        <is>
          <t>73-19232-01</t>
        </is>
      </c>
      <c r="N1219" s="43" t="inlineStr"/>
      <c r="O1219" s="43" t="inlineStr">
        <is>
          <t>2026-06-29</t>
        </is>
      </c>
      <c r="P1219" s="33" t="inlineStr">
        <is>
          <t>For temporary Manufacturing process change</t>
        </is>
      </c>
      <c r="Q1219" s="43" t="inlineStr">
        <is>
          <t>Mark the Presidio boards with the label number</t>
        </is>
      </c>
      <c r="R1219" s="43" t="inlineStr">
        <is>
          <t>2026-04-01</t>
        </is>
      </c>
      <c r="S1219" s="43" t="inlineStr">
        <is>
          <t>2026-05-05</t>
        </is>
      </c>
      <c r="T1219" s="43" t="inlineStr"/>
      <c r="U1219" s="43" t="inlineStr"/>
    </row>
    <row r="1220">
      <c r="A1220" s="43" t="n">
        <v>1220</v>
      </c>
      <c r="B1220" s="43" t="inlineStr">
        <is>
          <t>1219</t>
        </is>
      </c>
      <c r="C1220" s="43" t="inlineStr">
        <is>
          <t>FJZP</t>
        </is>
      </c>
      <c r="D1220" s="43" t="inlineStr">
        <is>
          <t>Cisco</t>
        </is>
      </c>
      <c r="E1220" s="43" t="inlineStr">
        <is>
          <t>MCGA</t>
        </is>
      </c>
      <c r="F1220" s="43" t="inlineStr">
        <is>
          <t>037-STBU</t>
        </is>
      </c>
      <c r="G1220" s="43" t="inlineStr">
        <is>
          <t>CTANJZ05184</t>
        </is>
      </c>
      <c r="H1220" s="43" t="inlineStr">
        <is>
          <t>For temporary Manufacturing process change</t>
        </is>
      </c>
      <c r="I1220" s="43" t="inlineStr">
        <is>
          <t>Customer Deviation</t>
        </is>
      </c>
      <c r="J1220" s="43" t="inlineStr">
        <is>
          <t>D610411</t>
        </is>
      </c>
      <c r="K1220" s="33" t="inlineStr">
        <is>
          <t>D610411 There is a need to convert Presidios PCBs from a 73- part to another; this it's already covered in the TANMAPs; FJZ needs to do inventory transfers from one part number to another.FJZ needs to make sure the units have not been tested previously on functional test; then they will relabel with the same SN; but with the 73- part that is required; they will keep the tracking and provide the list of the serial numbers that were converted and what part will be used on.The records needs to be sent to Cisco TE; PE and ME</t>
        </is>
      </c>
      <c r="L1220" s="43" t="inlineStr">
        <is>
          <t>Expired</t>
        </is>
      </c>
      <c r="M1220" s="43" t="inlineStr">
        <is>
          <t>73-19233-01</t>
        </is>
      </c>
      <c r="N1220" s="43" t="inlineStr"/>
      <c r="O1220" s="43" t="inlineStr">
        <is>
          <t>2026-06-29</t>
        </is>
      </c>
      <c r="P1220" s="33" t="inlineStr">
        <is>
          <t>For temporary Manufacturing process change</t>
        </is>
      </c>
      <c r="Q1220" s="43" t="inlineStr">
        <is>
          <t>Mark the Presidio boards with the label number</t>
        </is>
      </c>
      <c r="R1220" s="43" t="inlineStr">
        <is>
          <t>2026-04-01</t>
        </is>
      </c>
      <c r="S1220" s="43" t="inlineStr">
        <is>
          <t>2026-05-05</t>
        </is>
      </c>
      <c r="T1220" s="43" t="inlineStr"/>
      <c r="U1220" s="43" t="inlineStr"/>
    </row>
    <row r="1221">
      <c r="A1221" s="43" t="n">
        <v>1221</v>
      </c>
      <c r="B1221" s="43" t="inlineStr">
        <is>
          <t>1220</t>
        </is>
      </c>
      <c r="C1221" s="43" t="inlineStr">
        <is>
          <t>FJZP</t>
        </is>
      </c>
      <c r="D1221" s="43" t="inlineStr">
        <is>
          <t>Cisco</t>
        </is>
      </c>
      <c r="E1221" s="43" t="inlineStr">
        <is>
          <t>MCGA</t>
        </is>
      </c>
      <c r="F1221" s="43" t="inlineStr">
        <is>
          <t>037-STBU</t>
        </is>
      </c>
      <c r="G1221" s="43" t="inlineStr">
        <is>
          <t>CTANJZ05185</t>
        </is>
      </c>
      <c r="H1221" s="43" t="inlineStr">
        <is>
          <t>For temporary Manufacturing process change</t>
        </is>
      </c>
      <c r="I1221" s="43" t="inlineStr">
        <is>
          <t>Customer Deviation</t>
        </is>
      </c>
      <c r="J1221" s="43" t="inlineStr">
        <is>
          <t>D610453</t>
        </is>
      </c>
      <c r="K1221" s="33" t="inlineStr">
        <is>
          <t>D610453 Woodside Park - CSF6100 SeriesThe purpose of this deviation is to allow for the customer document (78-102258-01) and envelope (502-00194-01) to be used for the sales orders 119901344; 119901345; and 119901347 for the Woodside Park DC PSU.</t>
        </is>
      </c>
      <c r="L1221" s="43" t="inlineStr">
        <is>
          <t>Expired</t>
        </is>
      </c>
      <c r="M1221" s="43" t="inlineStr">
        <is>
          <t>341-101794-02</t>
        </is>
      </c>
      <c r="N1221" s="43" t="inlineStr"/>
      <c r="O1221" s="43" t="inlineStr">
        <is>
          <t>2026-06-29</t>
        </is>
      </c>
      <c r="P1221" s="33" t="inlineStr">
        <is>
          <t>For temporary Manufacturing process change</t>
        </is>
      </c>
      <c r="Q1221" s="43" t="inlineStr">
        <is>
          <t>NA</t>
        </is>
      </c>
      <c r="R1221" s="43" t="inlineStr">
        <is>
          <t>2026-04-01</t>
        </is>
      </c>
      <c r="S1221" s="43" t="inlineStr">
        <is>
          <t>2026-05-05</t>
        </is>
      </c>
      <c r="T1221" s="43" t="inlineStr"/>
      <c r="U1221" s="43" t="inlineStr"/>
    </row>
    <row r="1222">
      <c r="A1222" s="43" t="n">
        <v>1222</v>
      </c>
      <c r="B1222" s="43" t="inlineStr">
        <is>
          <t>1221</t>
        </is>
      </c>
      <c r="C1222" s="43" t="inlineStr">
        <is>
          <t>FJZP</t>
        </is>
      </c>
      <c r="D1222" s="43" t="inlineStr">
        <is>
          <t>Cisco</t>
        </is>
      </c>
      <c r="E1222" s="43" t="inlineStr">
        <is>
          <t>MCGA</t>
        </is>
      </c>
      <c r="F1222" s="43" t="inlineStr">
        <is>
          <t>037-STBU</t>
        </is>
      </c>
      <c r="G1222" s="43" t="inlineStr">
        <is>
          <t>CTANJZ05394</t>
        </is>
      </c>
      <c r="H1222" s="43" t="inlineStr">
        <is>
          <t>For temporary Manufacturing process change</t>
        </is>
      </c>
      <c r="I1222" s="43" t="inlineStr">
        <is>
          <t>Customer Deviation</t>
        </is>
      </c>
      <c r="J1222" s="43" t="inlineStr">
        <is>
          <t>D612245</t>
        </is>
      </c>
      <c r="K1222" s="33" t="inlineStr">
        <is>
          <t>D6122451.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222" s="43" t="inlineStr">
        <is>
          <t>Expired</t>
        </is>
      </c>
      <c r="M1222" s="43" t="inlineStr">
        <is>
          <t>800-106632-03</t>
        </is>
      </c>
      <c r="N1222" s="43" t="inlineStr"/>
      <c r="O1222" s="43" t="inlineStr">
        <is>
          <t>2026-10-13</t>
        </is>
      </c>
      <c r="P1222" s="33" t="inlineStr">
        <is>
          <t>For temporary Manufacturing process change</t>
        </is>
      </c>
      <c r="Q1222" s="43" t="inlineStr">
        <is>
          <t>Add the number of this deviation on the chassis next to serial label</t>
        </is>
      </c>
      <c r="R1222" s="43" t="inlineStr">
        <is>
          <t>2026-07-16</t>
        </is>
      </c>
      <c r="S1222" s="43" t="inlineStr">
        <is>
          <t>2026-08-15</t>
        </is>
      </c>
      <c r="T1222" s="43" t="inlineStr"/>
      <c r="U1222" s="43" t="inlineStr"/>
    </row>
    <row r="1223">
      <c r="A1223" s="43" t="n">
        <v>1223</v>
      </c>
      <c r="B1223" s="43" t="inlineStr">
        <is>
          <t>1222</t>
        </is>
      </c>
      <c r="C1223" s="43" t="inlineStr">
        <is>
          <t>FJZP</t>
        </is>
      </c>
      <c r="D1223" s="43" t="inlineStr">
        <is>
          <t>Cisco</t>
        </is>
      </c>
      <c r="E1223" s="43" t="inlineStr">
        <is>
          <t>MCGA</t>
        </is>
      </c>
      <c r="F1223" s="43" t="inlineStr">
        <is>
          <t>037-STBU</t>
        </is>
      </c>
      <c r="G1223" s="43" t="inlineStr">
        <is>
          <t>CTANJZ05394</t>
        </is>
      </c>
      <c r="H1223" s="43" t="inlineStr">
        <is>
          <t>For temporary Manufacturing process change</t>
        </is>
      </c>
      <c r="I1223" s="43" t="inlineStr">
        <is>
          <t>Customer Deviation</t>
        </is>
      </c>
      <c r="J1223" s="43" t="inlineStr">
        <is>
          <t>D612245</t>
        </is>
      </c>
      <c r="K1223" s="33" t="inlineStr">
        <is>
          <t>D6122451. Units will return to PCBA from DF2. FJZ provided the 73- level serials of the units of complete genealogy to be reworked so PCO can add those serials to the script3. Unit will be disassembled and disassociated so it be re processed again on PCBA area. The boards and components to be used on the assembly must be inspected to ensure that are on good conditions.4. The units Will run all the assembly process; P2 ; 2C on the PCBA area5. The unit will be sent to DF so can be processed as needed.</t>
        </is>
      </c>
      <c r="L1223" s="43" t="inlineStr">
        <is>
          <t>Expired</t>
        </is>
      </c>
      <c r="M1223" s="43" t="inlineStr">
        <is>
          <t>800-106633-03</t>
        </is>
      </c>
      <c r="N1223" s="43" t="inlineStr"/>
      <c r="O1223" s="43" t="inlineStr">
        <is>
          <t>2026-10-13</t>
        </is>
      </c>
      <c r="P1223" s="33" t="inlineStr">
        <is>
          <t>For temporary Manufacturing process change</t>
        </is>
      </c>
      <c r="Q1223" s="43" t="inlineStr">
        <is>
          <t>Add the number of this deviation on the chassis next to serial label</t>
        </is>
      </c>
      <c r="R1223" s="43" t="inlineStr">
        <is>
          <t>2026-07-16</t>
        </is>
      </c>
      <c r="S1223" s="43" t="inlineStr">
        <is>
          <t>2026-08-15</t>
        </is>
      </c>
      <c r="T1223" s="43" t="inlineStr"/>
      <c r="U1223" s="43" t="inlineStr"/>
    </row>
    <row r="1224">
      <c r="A1224" s="43" t="n">
        <v>1224</v>
      </c>
      <c r="B1224" s="43" t="inlineStr">
        <is>
          <t>1223</t>
        </is>
      </c>
      <c r="C1224" s="43" t="inlineStr">
        <is>
          <t>FJZP</t>
        </is>
      </c>
      <c r="D1224" s="43" t="inlineStr">
        <is>
          <t>Cisco</t>
        </is>
      </c>
      <c r="E1224" s="43" t="inlineStr">
        <is>
          <t>MCGA</t>
        </is>
      </c>
      <c r="F1224" s="43" t="inlineStr">
        <is>
          <t>035-CVEBU</t>
        </is>
      </c>
      <c r="G1224" s="43" t="inlineStr">
        <is>
          <t>CTANJZ05484</t>
        </is>
      </c>
      <c r="H1224" s="43" t="inlineStr">
        <is>
          <t>For temporary Manufacturing process change</t>
        </is>
      </c>
      <c r="I1224" s="43" t="inlineStr">
        <is>
          <t>Customer Deviation</t>
        </is>
      </c>
      <c r="J1224" s="43" t="inlineStr">
        <is>
          <t>D614019</t>
        </is>
      </c>
      <c r="K1224" s="33" t="inlineStr">
        <is>
          <t>D614019 CVEBU: Bayfront Pilot build. Deviation to allow use IPQ and old Date Codes parts. Sep 2026. Replacement of expired deviation D610061;D611994Foxconn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224" s="43" t="inlineStr">
        <is>
          <t>FAI Status</t>
        </is>
      </c>
      <c r="M1224" s="43" t="inlineStr">
        <is>
          <t>15-110893-01</t>
        </is>
      </c>
      <c r="N1224" s="43" t="inlineStr"/>
      <c r="O1224" s="43" t="inlineStr">
        <is>
          <t>2026-12-14</t>
        </is>
      </c>
      <c r="P1224" s="33" t="inlineStr">
        <is>
          <t>For temporary Manufacturing process change</t>
        </is>
      </c>
      <c r="Q1224" s="43" t="inlineStr">
        <is>
          <t>Place this deviation number sticker clearly visible on unit</t>
        </is>
      </c>
      <c r="R1224" s="43" t="inlineStr">
        <is>
          <t>2026-09-16</t>
        </is>
      </c>
      <c r="S1224" s="43" t="inlineStr">
        <is>
          <t>2026-10-03</t>
        </is>
      </c>
      <c r="T1224" s="43" t="inlineStr"/>
      <c r="U1224" s="43" t="inlineStr"/>
    </row>
    <row r="1225">
      <c r="A1225" s="43" t="n">
        <v>1225</v>
      </c>
      <c r="B1225" s="43" t="inlineStr">
        <is>
          <t>1224</t>
        </is>
      </c>
      <c r="C1225" s="43" t="inlineStr">
        <is>
          <t>FJZP</t>
        </is>
      </c>
      <c r="D1225" s="43" t="inlineStr">
        <is>
          <t>Cisco</t>
        </is>
      </c>
      <c r="E1225" s="43" t="inlineStr">
        <is>
          <t>MCGA</t>
        </is>
      </c>
      <c r="F1225" s="43" t="inlineStr">
        <is>
          <t>035-CVEBU</t>
        </is>
      </c>
      <c r="G1225" s="43" t="inlineStr">
        <is>
          <t>CTANJZ05484</t>
        </is>
      </c>
      <c r="H1225" s="43" t="inlineStr">
        <is>
          <t>For temporary Manufacturing process change</t>
        </is>
      </c>
      <c r="I1225" s="43" t="inlineStr">
        <is>
          <t>Customer Deviation</t>
        </is>
      </c>
      <c r="J1225" s="43" t="inlineStr">
        <is>
          <t>D614019</t>
        </is>
      </c>
      <c r="K1225" s="33" t="inlineStr">
        <is>
          <t>D614019 CVEBU: Bayfront Pilot build. Deviation to allow use IPQ and old Date Codes parts. Sep 2026. Replacement of expired deviation D610061;D611994Foxconn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225" s="43" t="inlineStr">
        <is>
          <t>FAI Status</t>
        </is>
      </c>
      <c r="M1225" s="43" t="inlineStr">
        <is>
          <t>15-110981-01</t>
        </is>
      </c>
      <c r="N1225" s="43" t="inlineStr"/>
      <c r="O1225" s="43" t="inlineStr">
        <is>
          <t>2026-12-14</t>
        </is>
      </c>
      <c r="P1225" s="33" t="inlineStr">
        <is>
          <t>For temporary Manufacturing process change</t>
        </is>
      </c>
      <c r="Q1225" s="43" t="inlineStr">
        <is>
          <t>Place this deviation number sticker clearly visible on unit</t>
        </is>
      </c>
      <c r="R1225" s="43" t="inlineStr">
        <is>
          <t>2026-09-16</t>
        </is>
      </c>
      <c r="S1225" s="43" t="inlineStr">
        <is>
          <t>2026-10-03</t>
        </is>
      </c>
      <c r="T1225" s="43" t="inlineStr"/>
      <c r="U1225" s="43" t="inlineStr"/>
    </row>
    <row r="1226">
      <c r="A1226" s="43" t="n">
        <v>1226</v>
      </c>
      <c r="B1226" s="43" t="inlineStr">
        <is>
          <t>1225</t>
        </is>
      </c>
      <c r="C1226" s="43" t="inlineStr">
        <is>
          <t>FJZP</t>
        </is>
      </c>
      <c r="D1226" s="43" t="inlineStr">
        <is>
          <t>Cisco</t>
        </is>
      </c>
      <c r="E1226" s="43" t="inlineStr">
        <is>
          <t>MCGA</t>
        </is>
      </c>
      <c r="F1226" s="43" t="inlineStr">
        <is>
          <t>035-CVEBU</t>
        </is>
      </c>
      <c r="G1226" s="43" t="inlineStr">
        <is>
          <t>CTANJZ05484</t>
        </is>
      </c>
      <c r="H1226" s="43" t="inlineStr">
        <is>
          <t>For temporary Manufacturing process change</t>
        </is>
      </c>
      <c r="I1226" s="43" t="inlineStr">
        <is>
          <t>Customer Deviation</t>
        </is>
      </c>
      <c r="J1226" s="43" t="inlineStr">
        <is>
          <t>D614019</t>
        </is>
      </c>
      <c r="K1226" s="33" t="inlineStr">
        <is>
          <t>D614019 CVEBU: Bayfront Pilot build. Deviation to allow use IPQ and old Date Codes parts. Sep 2026. Replacement of expired deviation D610061;D611994Foxconn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226" s="43" t="inlineStr">
        <is>
          <t>FAI Status</t>
        </is>
      </c>
      <c r="M1226" s="43" t="inlineStr">
        <is>
          <t>73-103826-05</t>
        </is>
      </c>
      <c r="N1226" s="43" t="inlineStr"/>
      <c r="O1226" s="43" t="inlineStr">
        <is>
          <t>2026-12-14</t>
        </is>
      </c>
      <c r="P1226" s="33" t="inlineStr">
        <is>
          <t>For temporary Manufacturing process change</t>
        </is>
      </c>
      <c r="Q1226" s="43" t="inlineStr">
        <is>
          <t>Place this deviation number sticker clearly visible on unit</t>
        </is>
      </c>
      <c r="R1226" s="43" t="inlineStr">
        <is>
          <t>2026-09-16</t>
        </is>
      </c>
      <c r="S1226" s="43" t="inlineStr">
        <is>
          <t>2026-10-03</t>
        </is>
      </c>
      <c r="T1226" s="43" t="inlineStr"/>
      <c r="U1226" s="43" t="inlineStr"/>
    </row>
    <row r="1227">
      <c r="A1227" s="43" t="n">
        <v>1227</v>
      </c>
      <c r="B1227" s="43" t="inlineStr">
        <is>
          <t>1226</t>
        </is>
      </c>
      <c r="C1227" s="43" t="inlineStr">
        <is>
          <t>FJZP</t>
        </is>
      </c>
      <c r="D1227" s="43" t="inlineStr">
        <is>
          <t>Cisco</t>
        </is>
      </c>
      <c r="E1227" s="43" t="inlineStr">
        <is>
          <t>MCGA</t>
        </is>
      </c>
      <c r="F1227" s="43" t="inlineStr">
        <is>
          <t>037-STBU</t>
        </is>
      </c>
      <c r="G1227" s="43" t="inlineStr">
        <is>
          <t>CTANJZ05252</t>
        </is>
      </c>
      <c r="H1227" s="43" t="inlineStr">
        <is>
          <t>For temporary Manufacturing process change</t>
        </is>
      </c>
      <c r="I1227" s="43" t="inlineStr">
        <is>
          <t>Customer Deviation</t>
        </is>
      </c>
      <c r="J1227" s="43" t="inlineStr">
        <is>
          <t>D611133</t>
        </is>
      </c>
      <c r="K1227"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27" s="43" t="inlineStr">
        <is>
          <t>Expired</t>
        </is>
      </c>
      <c r="M1227" s="43" t="inlineStr">
        <is>
          <t>73-17499-07</t>
        </is>
      </c>
      <c r="N1227" s="43" t="inlineStr"/>
      <c r="O1227" s="43" t="inlineStr">
        <is>
          <t>2026-08-17</t>
        </is>
      </c>
      <c r="P1227" s="33" t="inlineStr">
        <is>
          <t>For temporary Manufacturing process change</t>
        </is>
      </c>
      <c r="Q1227" s="43"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27" s="43" t="inlineStr">
        <is>
          <t>2026-05-20</t>
        </is>
      </c>
      <c r="S1227" s="43" t="inlineStr">
        <is>
          <t>2026-06-10</t>
        </is>
      </c>
      <c r="T1227" s="43" t="inlineStr"/>
      <c r="U1227" s="43" t="inlineStr"/>
    </row>
    <row r="1228">
      <c r="A1228" s="43" t="n">
        <v>1228</v>
      </c>
      <c r="B1228" s="43" t="inlineStr">
        <is>
          <t>1227</t>
        </is>
      </c>
      <c r="C1228" s="43" t="inlineStr">
        <is>
          <t>FJZP</t>
        </is>
      </c>
      <c r="D1228" s="43" t="inlineStr">
        <is>
          <t>Cisco</t>
        </is>
      </c>
      <c r="E1228" s="43" t="inlineStr">
        <is>
          <t>MCGA</t>
        </is>
      </c>
      <c r="F1228" s="43" t="inlineStr">
        <is>
          <t>037-STBU</t>
        </is>
      </c>
      <c r="G1228" s="43" t="inlineStr">
        <is>
          <t>CTANJZ05252</t>
        </is>
      </c>
      <c r="H1228" s="43" t="inlineStr">
        <is>
          <t>For temporary Manufacturing process change</t>
        </is>
      </c>
      <c r="I1228" s="43" t="inlineStr">
        <is>
          <t>Customer Deviation</t>
        </is>
      </c>
      <c r="J1228" s="43" t="inlineStr">
        <is>
          <t>D611133</t>
        </is>
      </c>
      <c r="K1228"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28" s="43" t="inlineStr">
        <is>
          <t>Expired</t>
        </is>
      </c>
      <c r="M1228" s="43" t="inlineStr">
        <is>
          <t>73-17530-02</t>
        </is>
      </c>
      <c r="N1228" s="43" t="inlineStr"/>
      <c r="O1228" s="43" t="inlineStr">
        <is>
          <t>2026-08-17</t>
        </is>
      </c>
      <c r="P1228" s="33" t="inlineStr">
        <is>
          <t>For temporary Manufacturing process change</t>
        </is>
      </c>
      <c r="Q1228" s="43"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28" s="43" t="inlineStr">
        <is>
          <t>2026-05-20</t>
        </is>
      </c>
      <c r="S1228" s="43" t="inlineStr">
        <is>
          <t>2026-06-10</t>
        </is>
      </c>
      <c r="T1228" s="43" t="inlineStr"/>
      <c r="U1228" s="43" t="inlineStr"/>
    </row>
    <row r="1229">
      <c r="A1229" s="43" t="n">
        <v>1229</v>
      </c>
      <c r="B1229" s="43" t="inlineStr">
        <is>
          <t>1228</t>
        </is>
      </c>
      <c r="C1229" s="43" t="inlineStr">
        <is>
          <t>FJZP</t>
        </is>
      </c>
      <c r="D1229" s="43" t="inlineStr">
        <is>
          <t>Cisco</t>
        </is>
      </c>
      <c r="E1229" s="43" t="inlineStr">
        <is>
          <t>MCGA</t>
        </is>
      </c>
      <c r="F1229" s="43" t="inlineStr">
        <is>
          <t>037-STBU</t>
        </is>
      </c>
      <c r="G1229" s="43" t="inlineStr">
        <is>
          <t>CTANJZ05252</t>
        </is>
      </c>
      <c r="H1229" s="43" t="inlineStr">
        <is>
          <t>For temporary Manufacturing process change</t>
        </is>
      </c>
      <c r="I1229" s="43" t="inlineStr">
        <is>
          <t>Customer Deviation</t>
        </is>
      </c>
      <c r="J1229" s="43" t="inlineStr">
        <is>
          <t>D611133</t>
        </is>
      </c>
      <c r="K1229"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29" s="43" t="inlineStr">
        <is>
          <t>Expired</t>
        </is>
      </c>
      <c r="M1229" s="43" t="inlineStr">
        <is>
          <t>73-17757-01</t>
        </is>
      </c>
      <c r="N1229" s="43" t="inlineStr"/>
      <c r="O1229" s="43" t="inlineStr">
        <is>
          <t>2026-08-17</t>
        </is>
      </c>
      <c r="P1229" s="33" t="inlineStr">
        <is>
          <t>For temporary Manufacturing process change</t>
        </is>
      </c>
      <c r="Q1229" s="43"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29" s="43" t="inlineStr">
        <is>
          <t>2026-05-20</t>
        </is>
      </c>
      <c r="S1229" s="43" t="inlineStr">
        <is>
          <t>2026-06-10</t>
        </is>
      </c>
      <c r="T1229" s="43" t="inlineStr"/>
      <c r="U1229" s="43" t="inlineStr"/>
    </row>
    <row r="1230">
      <c r="A1230" s="43" t="n">
        <v>1230</v>
      </c>
      <c r="B1230" s="43" t="inlineStr">
        <is>
          <t>1229</t>
        </is>
      </c>
      <c r="C1230" s="43" t="inlineStr">
        <is>
          <t>FJZP</t>
        </is>
      </c>
      <c r="D1230" s="43" t="inlineStr">
        <is>
          <t>Cisco</t>
        </is>
      </c>
      <c r="E1230" s="43" t="inlineStr">
        <is>
          <t>MCGA</t>
        </is>
      </c>
      <c r="F1230" s="43" t="inlineStr">
        <is>
          <t>037-STBU</t>
        </is>
      </c>
      <c r="G1230" s="43" t="inlineStr">
        <is>
          <t>CTANJZ05252</t>
        </is>
      </c>
      <c r="H1230" s="43" t="inlineStr">
        <is>
          <t>For temporary Manufacturing process change</t>
        </is>
      </c>
      <c r="I1230" s="43" t="inlineStr">
        <is>
          <t>Customer Deviation</t>
        </is>
      </c>
      <c r="J1230" s="43" t="inlineStr">
        <is>
          <t>D611133</t>
        </is>
      </c>
      <c r="K1230"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30" s="43" t="inlineStr">
        <is>
          <t>Expired</t>
        </is>
      </c>
      <c r="M1230" s="43" t="inlineStr">
        <is>
          <t>73-18488-06</t>
        </is>
      </c>
      <c r="N1230" s="43" t="inlineStr"/>
      <c r="O1230" s="43" t="inlineStr">
        <is>
          <t>2026-08-17</t>
        </is>
      </c>
      <c r="P1230" s="33" t="inlineStr">
        <is>
          <t>For temporary Manufacturing process change</t>
        </is>
      </c>
      <c r="Q1230" s="43"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30" s="43" t="inlineStr">
        <is>
          <t>2026-05-20</t>
        </is>
      </c>
      <c r="S1230" s="43" t="inlineStr">
        <is>
          <t>2026-06-10</t>
        </is>
      </c>
      <c r="T1230" s="43" t="inlineStr"/>
      <c r="U1230" s="43" t="inlineStr"/>
    </row>
    <row r="1231">
      <c r="A1231" s="43" t="n">
        <v>1231</v>
      </c>
      <c r="B1231" s="43" t="inlineStr">
        <is>
          <t>1230</t>
        </is>
      </c>
      <c r="C1231" s="43" t="inlineStr">
        <is>
          <t>FJZP</t>
        </is>
      </c>
      <c r="D1231" s="43" t="inlineStr">
        <is>
          <t>Cisco</t>
        </is>
      </c>
      <c r="E1231" s="43" t="inlineStr">
        <is>
          <t>MCGA</t>
        </is>
      </c>
      <c r="F1231" s="43" t="inlineStr">
        <is>
          <t>037-STBU</t>
        </is>
      </c>
      <c r="G1231" s="43" t="inlineStr">
        <is>
          <t>CTANJZ05252</t>
        </is>
      </c>
      <c r="H1231" s="43" t="inlineStr">
        <is>
          <t>For temporary Manufacturing process change</t>
        </is>
      </c>
      <c r="I1231" s="43" t="inlineStr">
        <is>
          <t>Customer Deviation</t>
        </is>
      </c>
      <c r="J1231" s="43" t="inlineStr">
        <is>
          <t>D611133</t>
        </is>
      </c>
      <c r="K1231"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31" s="43" t="inlineStr">
        <is>
          <t>Expired</t>
        </is>
      </c>
      <c r="M1231" s="43" t="inlineStr">
        <is>
          <t>73-18488-07</t>
        </is>
      </c>
      <c r="N1231" s="43" t="inlineStr"/>
      <c r="O1231" s="43" t="inlineStr">
        <is>
          <t>2026-08-17</t>
        </is>
      </c>
      <c r="P1231" s="33" t="inlineStr">
        <is>
          <t>For temporary Manufacturing process change</t>
        </is>
      </c>
      <c r="Q1231" s="43"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31" s="43" t="inlineStr">
        <is>
          <t>2026-05-20</t>
        </is>
      </c>
      <c r="S1231" s="43" t="inlineStr">
        <is>
          <t>2026-06-10</t>
        </is>
      </c>
      <c r="T1231" s="43" t="inlineStr"/>
      <c r="U1231" s="43" t="inlineStr"/>
    </row>
    <row r="1232">
      <c r="A1232" s="43" t="n">
        <v>1232</v>
      </c>
      <c r="B1232" s="43" t="inlineStr">
        <is>
          <t>1231</t>
        </is>
      </c>
      <c r="C1232" s="43" t="inlineStr">
        <is>
          <t>FJZP</t>
        </is>
      </c>
      <c r="D1232" s="43" t="inlineStr">
        <is>
          <t>Cisco</t>
        </is>
      </c>
      <c r="E1232" s="43" t="inlineStr">
        <is>
          <t>MCGA</t>
        </is>
      </c>
      <c r="F1232" s="43" t="inlineStr">
        <is>
          <t>037-STBU</t>
        </is>
      </c>
      <c r="G1232" s="43" t="inlineStr">
        <is>
          <t>CTANJZ05252</t>
        </is>
      </c>
      <c r="H1232" s="43" t="inlineStr">
        <is>
          <t>For temporary Manufacturing process change</t>
        </is>
      </c>
      <c r="I1232" s="43" t="inlineStr">
        <is>
          <t>Customer Deviation</t>
        </is>
      </c>
      <c r="J1232" s="43" t="inlineStr">
        <is>
          <t>D611133</t>
        </is>
      </c>
      <c r="K1232"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32" s="43" t="inlineStr">
        <is>
          <t>Expired</t>
        </is>
      </c>
      <c r="M1232" s="43" t="inlineStr">
        <is>
          <t>73-18489-06</t>
        </is>
      </c>
      <c r="N1232" s="43" t="inlineStr"/>
      <c r="O1232" s="43" t="inlineStr">
        <is>
          <t>2026-08-17</t>
        </is>
      </c>
      <c r="P1232" s="33" t="inlineStr">
        <is>
          <t>For temporary Manufacturing process change</t>
        </is>
      </c>
      <c r="Q1232" s="43"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32" s="43" t="inlineStr">
        <is>
          <t>2026-05-20</t>
        </is>
      </c>
      <c r="S1232" s="43" t="inlineStr">
        <is>
          <t>2026-06-10</t>
        </is>
      </c>
      <c r="T1232" s="43" t="inlineStr"/>
      <c r="U1232" s="43" t="inlineStr"/>
    </row>
    <row r="1233">
      <c r="A1233" s="43" t="n">
        <v>1233</v>
      </c>
      <c r="B1233" s="43" t="inlineStr">
        <is>
          <t>1232</t>
        </is>
      </c>
      <c r="C1233" s="43" t="inlineStr">
        <is>
          <t>FJZP</t>
        </is>
      </c>
      <c r="D1233" s="43" t="inlineStr">
        <is>
          <t>Cisco</t>
        </is>
      </c>
      <c r="E1233" s="43" t="inlineStr">
        <is>
          <t>MCGA</t>
        </is>
      </c>
      <c r="F1233" s="43" t="inlineStr">
        <is>
          <t>037-STBU</t>
        </is>
      </c>
      <c r="G1233" s="43" t="inlineStr">
        <is>
          <t>CTANJZ05252</t>
        </is>
      </c>
      <c r="H1233" s="43" t="inlineStr">
        <is>
          <t>For temporary Manufacturing process change</t>
        </is>
      </c>
      <c r="I1233" s="43" t="inlineStr">
        <is>
          <t>Customer Deviation</t>
        </is>
      </c>
      <c r="J1233" s="43" t="inlineStr">
        <is>
          <t>D611133</t>
        </is>
      </c>
      <c r="K1233"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33" s="43" t="inlineStr">
        <is>
          <t>Expired</t>
        </is>
      </c>
      <c r="M1233" s="43" t="inlineStr">
        <is>
          <t>73-18489-07</t>
        </is>
      </c>
      <c r="N1233" s="43" t="inlineStr"/>
      <c r="O1233" s="43" t="inlineStr">
        <is>
          <t>2026-08-17</t>
        </is>
      </c>
      <c r="P1233" s="33" t="inlineStr">
        <is>
          <t>For temporary Manufacturing process change</t>
        </is>
      </c>
      <c r="Q1233" s="43"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33" s="43" t="inlineStr">
        <is>
          <t>2026-05-20</t>
        </is>
      </c>
      <c r="S1233" s="43" t="inlineStr">
        <is>
          <t>2026-06-10</t>
        </is>
      </c>
      <c r="T1233" s="43" t="inlineStr"/>
      <c r="U1233" s="43" t="inlineStr"/>
    </row>
    <row r="1234">
      <c r="A1234" s="43" t="n">
        <v>1234</v>
      </c>
      <c r="B1234" s="43" t="inlineStr">
        <is>
          <t>1233</t>
        </is>
      </c>
      <c r="C1234" s="43" t="inlineStr">
        <is>
          <t>FJZP</t>
        </is>
      </c>
      <c r="D1234" s="43" t="inlineStr">
        <is>
          <t>Cisco</t>
        </is>
      </c>
      <c r="E1234" s="43" t="inlineStr">
        <is>
          <t>MCGA</t>
        </is>
      </c>
      <c r="F1234" s="43" t="inlineStr">
        <is>
          <t>037-STBU</t>
        </is>
      </c>
      <c r="G1234" s="43" t="inlineStr">
        <is>
          <t>CTANJZ05252</t>
        </is>
      </c>
      <c r="H1234" s="43" t="inlineStr">
        <is>
          <t>For temporary Manufacturing process change</t>
        </is>
      </c>
      <c r="I1234" s="43" t="inlineStr">
        <is>
          <t>Customer Deviation</t>
        </is>
      </c>
      <c r="J1234" s="43" t="inlineStr">
        <is>
          <t>D611133</t>
        </is>
      </c>
      <c r="K1234"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34" s="43" t="inlineStr">
        <is>
          <t>Expired</t>
        </is>
      </c>
      <c r="M1234" s="43" t="inlineStr">
        <is>
          <t>73-18490-08</t>
        </is>
      </c>
      <c r="N1234" s="43" t="inlineStr"/>
      <c r="O1234" s="43" t="inlineStr">
        <is>
          <t>2026-08-17</t>
        </is>
      </c>
      <c r="P1234" s="33" t="inlineStr">
        <is>
          <t>For temporary Manufacturing process change</t>
        </is>
      </c>
      <c r="Q1234" s="43"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34" s="43" t="inlineStr">
        <is>
          <t>2026-05-20</t>
        </is>
      </c>
      <c r="S1234" s="43" t="inlineStr">
        <is>
          <t>2026-06-10</t>
        </is>
      </c>
      <c r="T1234" s="43" t="inlineStr"/>
      <c r="U1234" s="43" t="inlineStr"/>
    </row>
    <row r="1235">
      <c r="A1235" s="43" t="n">
        <v>1235</v>
      </c>
      <c r="B1235" s="43" t="inlineStr">
        <is>
          <t>1234</t>
        </is>
      </c>
      <c r="C1235" s="43" t="inlineStr">
        <is>
          <t>FJZP</t>
        </is>
      </c>
      <c r="D1235" s="43" t="inlineStr">
        <is>
          <t>Cisco</t>
        </is>
      </c>
      <c r="E1235" s="43" t="inlineStr">
        <is>
          <t>MCGA</t>
        </is>
      </c>
      <c r="F1235" s="43" t="inlineStr">
        <is>
          <t>037-STBU</t>
        </is>
      </c>
      <c r="G1235" s="43" t="inlineStr">
        <is>
          <t>CTANJZ05252</t>
        </is>
      </c>
      <c r="H1235" s="43" t="inlineStr">
        <is>
          <t>For temporary Manufacturing process change</t>
        </is>
      </c>
      <c r="I1235" s="43" t="inlineStr">
        <is>
          <t>Customer Deviation</t>
        </is>
      </c>
      <c r="J1235" s="43" t="inlineStr">
        <is>
          <t>D611133</t>
        </is>
      </c>
      <c r="K1235"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35" s="43" t="inlineStr">
        <is>
          <t>Expired</t>
        </is>
      </c>
      <c r="M1235" s="43" t="inlineStr">
        <is>
          <t>73-18490-09</t>
        </is>
      </c>
      <c r="N1235" s="43" t="inlineStr"/>
      <c r="O1235" s="43" t="inlineStr">
        <is>
          <t>2026-08-17</t>
        </is>
      </c>
      <c r="P1235" s="33" t="inlineStr">
        <is>
          <t>For temporary Manufacturing process change</t>
        </is>
      </c>
      <c r="Q1235" s="43"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35" s="43" t="inlineStr">
        <is>
          <t>2026-05-20</t>
        </is>
      </c>
      <c r="S1235" s="43" t="inlineStr">
        <is>
          <t>2026-06-10</t>
        </is>
      </c>
      <c r="T1235" s="43" t="inlineStr"/>
      <c r="U1235" s="43" t="inlineStr"/>
    </row>
    <row r="1236">
      <c r="A1236" s="43" t="n">
        <v>1236</v>
      </c>
      <c r="B1236" s="43" t="inlineStr">
        <is>
          <t>1235</t>
        </is>
      </c>
      <c r="C1236" s="43" t="inlineStr">
        <is>
          <t>FJZP</t>
        </is>
      </c>
      <c r="D1236" s="43" t="inlineStr">
        <is>
          <t>Cisco</t>
        </is>
      </c>
      <c r="E1236" s="43" t="inlineStr">
        <is>
          <t>MCGA</t>
        </is>
      </c>
      <c r="F1236" s="43" t="inlineStr">
        <is>
          <t>037-STBU</t>
        </is>
      </c>
      <c r="G1236" s="43" t="inlineStr">
        <is>
          <t>CTANJZ05252</t>
        </is>
      </c>
      <c r="H1236" s="43" t="inlineStr">
        <is>
          <t>For temporary Manufacturing process change</t>
        </is>
      </c>
      <c r="I1236" s="43" t="inlineStr">
        <is>
          <t>Customer Deviation</t>
        </is>
      </c>
      <c r="J1236" s="43" t="inlineStr">
        <is>
          <t>D611133</t>
        </is>
      </c>
      <c r="K1236"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36" s="43" t="inlineStr">
        <is>
          <t>Expired</t>
        </is>
      </c>
      <c r="M1236" s="43" t="inlineStr">
        <is>
          <t>73-18626-04</t>
        </is>
      </c>
      <c r="N1236" s="43" t="inlineStr"/>
      <c r="O1236" s="43" t="inlineStr">
        <is>
          <t>2026-08-17</t>
        </is>
      </c>
      <c r="P1236" s="33" t="inlineStr">
        <is>
          <t>For temporary Manufacturing process change</t>
        </is>
      </c>
      <c r="Q1236" s="43"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36" s="43" t="inlineStr">
        <is>
          <t>2026-05-20</t>
        </is>
      </c>
      <c r="S1236" s="43" t="inlineStr">
        <is>
          <t>2026-06-10</t>
        </is>
      </c>
      <c r="T1236" s="43" t="inlineStr"/>
      <c r="U1236" s="43" t="inlineStr"/>
    </row>
    <row r="1237">
      <c r="A1237" s="43" t="n">
        <v>1237</v>
      </c>
      <c r="B1237" s="43" t="inlineStr">
        <is>
          <t>1236</t>
        </is>
      </c>
      <c r="C1237" s="43" t="inlineStr">
        <is>
          <t>FJZP</t>
        </is>
      </c>
      <c r="D1237" s="43" t="inlineStr">
        <is>
          <t>Cisco</t>
        </is>
      </c>
      <c r="E1237" s="43" t="inlineStr">
        <is>
          <t>MCGA</t>
        </is>
      </c>
      <c r="F1237" s="43" t="inlineStr">
        <is>
          <t>037-STBU</t>
        </is>
      </c>
      <c r="G1237" s="43" t="inlineStr">
        <is>
          <t>CTANJZ05252</t>
        </is>
      </c>
      <c r="H1237" s="43" t="inlineStr">
        <is>
          <t>For temporary Manufacturing process change</t>
        </is>
      </c>
      <c r="I1237" s="43" t="inlineStr">
        <is>
          <t>Customer Deviation</t>
        </is>
      </c>
      <c r="J1237" s="43" t="inlineStr">
        <is>
          <t>D611133</t>
        </is>
      </c>
      <c r="K1237"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37" s="43" t="inlineStr">
        <is>
          <t>Expired</t>
        </is>
      </c>
      <c r="M1237" s="43" t="inlineStr">
        <is>
          <t>73-21007-01</t>
        </is>
      </c>
      <c r="N1237" s="43" t="inlineStr"/>
      <c r="O1237" s="43" t="inlineStr">
        <is>
          <t>2026-08-17</t>
        </is>
      </c>
      <c r="P1237" s="33" t="inlineStr">
        <is>
          <t>For temporary Manufacturing process change</t>
        </is>
      </c>
      <c r="Q1237" s="43"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37" s="43" t="inlineStr">
        <is>
          <t>2026-05-20</t>
        </is>
      </c>
      <c r="S1237" s="43" t="inlineStr">
        <is>
          <t>2026-06-10</t>
        </is>
      </c>
      <c r="T1237" s="43" t="inlineStr"/>
      <c r="U1237" s="43" t="inlineStr"/>
    </row>
    <row r="1238">
      <c r="A1238" s="43" t="n">
        <v>1238</v>
      </c>
      <c r="B1238" s="43" t="inlineStr">
        <is>
          <t>1237</t>
        </is>
      </c>
      <c r="C1238" s="43" t="inlineStr">
        <is>
          <t>FJZP</t>
        </is>
      </c>
      <c r="D1238" s="43" t="inlineStr">
        <is>
          <t>Cisco</t>
        </is>
      </c>
      <c r="E1238" s="43" t="inlineStr">
        <is>
          <t>MCGA</t>
        </is>
      </c>
      <c r="F1238" s="43" t="inlineStr">
        <is>
          <t>037-STBU</t>
        </is>
      </c>
      <c r="G1238" s="43" t="inlineStr">
        <is>
          <t>CTANJZ05252</t>
        </is>
      </c>
      <c r="H1238" s="43" t="inlineStr">
        <is>
          <t>For temporary Manufacturing process change</t>
        </is>
      </c>
      <c r="I1238" s="43" t="inlineStr">
        <is>
          <t>Customer Deviation</t>
        </is>
      </c>
      <c r="J1238" s="43" t="inlineStr">
        <is>
          <t>D611133</t>
        </is>
      </c>
      <c r="K1238" s="33" t="inlineStr">
        <is>
          <t>D611133 Legacy products. - Create deviation to allow FJZ to process the units that excess the time of PASTE/ICT/XRAY of 12 monthsHow to process these units:ALL PRODUCTS EXCEPT NETMODS: Needs to reprocess the units for all the assy stations and all the test process for PCBA/DFNM: Needs to reprocess only in functional test (P2C) and for DF needs to follow normal process</t>
        </is>
      </c>
      <c r="L1238" s="43" t="inlineStr">
        <is>
          <t>Expired</t>
        </is>
      </c>
      <c r="M1238" s="43" t="inlineStr">
        <is>
          <t>73-21007-02</t>
        </is>
      </c>
      <c r="N1238" s="43" t="inlineStr"/>
      <c r="O1238" s="43" t="inlineStr">
        <is>
          <t>2026-08-17</t>
        </is>
      </c>
      <c r="P1238" s="33" t="inlineStr">
        <is>
          <t>For temporary Manufacturing process change</t>
        </is>
      </c>
      <c r="Q1238" s="43" t="inlineStr">
        <is>
          <t>1. Cisco TDE to make a script change to ask for the deviation to units with Paste due can be tested 2. FJZ needs to process the units with below instructions:  ALL PRODUCTS EXCEPT NETMODS: Needs to reprocess the units for all the assy stations and all the test process for PCBA/DF  NM: Needs to reprocess only in functional test (P2C) and for DF needs to follow normal process</t>
        </is>
      </c>
      <c r="R1238" s="43" t="inlineStr">
        <is>
          <t>2026-05-20</t>
        </is>
      </c>
      <c r="S1238" s="43" t="inlineStr">
        <is>
          <t>2026-06-10</t>
        </is>
      </c>
      <c r="T1238" s="43" t="inlineStr"/>
      <c r="U1238" s="43" t="inlineStr"/>
    </row>
    <row r="1239">
      <c r="A1239" s="43" t="n">
        <v>1239</v>
      </c>
      <c r="B1239" s="43" t="inlineStr">
        <is>
          <t>1238</t>
        </is>
      </c>
      <c r="C1239" s="43" t="inlineStr">
        <is>
          <t>FJZP</t>
        </is>
      </c>
      <c r="D1239" s="43" t="inlineStr">
        <is>
          <t>Cisco</t>
        </is>
      </c>
      <c r="E1239" s="43" t="inlineStr">
        <is>
          <t>MCGA</t>
        </is>
      </c>
      <c r="F1239" s="43" t="inlineStr">
        <is>
          <t>037-STBU</t>
        </is>
      </c>
      <c r="G1239" s="43" t="inlineStr">
        <is>
          <t>CTANJZ05267</t>
        </is>
      </c>
      <c r="H1239" s="43" t="inlineStr">
        <is>
          <t>For temporary Manufacturing process change</t>
        </is>
      </c>
      <c r="I1239" s="43" t="inlineStr">
        <is>
          <t>Customer Deviation</t>
        </is>
      </c>
      <c r="J1239" s="43" t="inlineStr">
        <is>
          <t>D611503</t>
        </is>
      </c>
      <c r="K1239" s="33" t="inlineStr">
        <is>
          <t>D611503 Due shortage material; we allow FJZ to use the PN 29-102749-02 to replace 29-102749-01 with this specific MPN (Molex: 2027180102)</t>
        </is>
      </c>
      <c r="L1239" s="43" t="inlineStr">
        <is>
          <t>Expired</t>
        </is>
      </c>
      <c r="M1239" s="43" t="inlineStr">
        <is>
          <t>29-102749-01</t>
        </is>
      </c>
      <c r="N1239" s="43" t="inlineStr"/>
      <c r="O1239" s="43" t="inlineStr">
        <is>
          <t>2026-08-24</t>
        </is>
      </c>
      <c r="P1239" s="33" t="inlineStr">
        <is>
          <t>For temporary Manufacturing process change</t>
        </is>
      </c>
      <c r="Q1239" s="43" t="inlineStr">
        <is>
          <t>Only this specific MPN is allowing to be use (Molex: 2027180102)</t>
        </is>
      </c>
      <c r="R1239" s="43" t="inlineStr">
        <is>
          <t>2026-05-27</t>
        </is>
      </c>
      <c r="S1239" s="43" t="inlineStr">
        <is>
          <t>2026-06-27</t>
        </is>
      </c>
      <c r="T1239" s="43" t="inlineStr"/>
      <c r="U1239" s="43" t="inlineStr"/>
    </row>
    <row r="1240">
      <c r="A1240" s="43" t="n">
        <v>1240</v>
      </c>
      <c r="B1240" s="43" t="inlineStr">
        <is>
          <t>1239</t>
        </is>
      </c>
      <c r="C1240" s="43" t="inlineStr">
        <is>
          <t>FJZP</t>
        </is>
      </c>
      <c r="D1240" s="43" t="inlineStr">
        <is>
          <t>Cisco</t>
        </is>
      </c>
      <c r="E1240" s="43" t="inlineStr">
        <is>
          <t>MCGA</t>
        </is>
      </c>
      <c r="F1240" s="43" t="inlineStr">
        <is>
          <t>037-STBU</t>
        </is>
      </c>
      <c r="G1240" s="43" t="inlineStr">
        <is>
          <t>CTANJZ05267</t>
        </is>
      </c>
      <c r="H1240" s="43" t="inlineStr">
        <is>
          <t>For temporary Manufacturing process change</t>
        </is>
      </c>
      <c r="I1240" s="43" t="inlineStr">
        <is>
          <t>Customer Deviation</t>
        </is>
      </c>
      <c r="J1240" s="43" t="inlineStr">
        <is>
          <t>D611503</t>
        </is>
      </c>
      <c r="K1240" s="33" t="inlineStr">
        <is>
          <t>D611503 Due shortage material; we allow FJZ to use the PN 29-102749-02 to replace 29-102749-01 with this specific MPN (Molex: 2027180102)</t>
        </is>
      </c>
      <c r="L1240" s="43" t="inlineStr">
        <is>
          <t>Expired</t>
        </is>
      </c>
      <c r="M1240" s="43" t="inlineStr">
        <is>
          <t>29-102749-02</t>
        </is>
      </c>
      <c r="N1240" s="43" t="inlineStr"/>
      <c r="O1240" s="43" t="inlineStr">
        <is>
          <t>2026-08-24</t>
        </is>
      </c>
      <c r="P1240" s="33" t="inlineStr">
        <is>
          <t>For temporary Manufacturing process change</t>
        </is>
      </c>
      <c r="Q1240" s="43" t="inlineStr">
        <is>
          <t>Only this specific MPN is allowing to be use (Molex: 2027180102)</t>
        </is>
      </c>
      <c r="R1240" s="43" t="inlineStr">
        <is>
          <t>2026-05-27</t>
        </is>
      </c>
      <c r="S1240" s="43" t="inlineStr">
        <is>
          <t>2026-06-27</t>
        </is>
      </c>
      <c r="T1240" s="43" t="inlineStr"/>
      <c r="U1240" s="43" t="inlineStr"/>
    </row>
    <row r="1241">
      <c r="A1241" s="43" t="n">
        <v>1241</v>
      </c>
      <c r="B1241" s="43" t="inlineStr">
        <is>
          <t>1240</t>
        </is>
      </c>
      <c r="C1241" s="43" t="inlineStr">
        <is>
          <t>FJZP</t>
        </is>
      </c>
      <c r="D1241" s="43" t="inlineStr">
        <is>
          <t>Cisco</t>
        </is>
      </c>
      <c r="E1241" s="43" t="inlineStr">
        <is>
          <t>MCGA</t>
        </is>
      </c>
      <c r="F1241" s="43" t="inlineStr">
        <is>
          <t>037-STBU</t>
        </is>
      </c>
      <c r="G1241" s="43" t="inlineStr">
        <is>
          <t>CTANJZ05267</t>
        </is>
      </c>
      <c r="H1241" s="43" t="inlineStr">
        <is>
          <t>For temporary Manufacturing process change</t>
        </is>
      </c>
      <c r="I1241" s="43" t="inlineStr">
        <is>
          <t>Customer Deviation</t>
        </is>
      </c>
      <c r="J1241" s="43" t="inlineStr">
        <is>
          <t>D611503</t>
        </is>
      </c>
      <c r="K1241" s="33" t="inlineStr">
        <is>
          <t>D611503 Due shortage material; we allow FJZ to use the PN 29-102749-02 to replace 29-102749-01 with this specific MPN (Molex: 2027180102)</t>
        </is>
      </c>
      <c r="L1241" s="43" t="inlineStr">
        <is>
          <t>Expired</t>
        </is>
      </c>
      <c r="M1241" s="43" t="inlineStr">
        <is>
          <t>68-103908-02</t>
        </is>
      </c>
      <c r="N1241" s="43" t="inlineStr"/>
      <c r="O1241" s="43" t="inlineStr">
        <is>
          <t>2026-08-24</t>
        </is>
      </c>
      <c r="P1241" s="33" t="inlineStr">
        <is>
          <t>For temporary Manufacturing process change</t>
        </is>
      </c>
      <c r="Q1241" s="43" t="inlineStr">
        <is>
          <t>Only this specific MPN is allowing to be use (Molex: 2027180102)</t>
        </is>
      </c>
      <c r="R1241" s="43" t="inlineStr">
        <is>
          <t>2026-05-27</t>
        </is>
      </c>
      <c r="S1241" s="43" t="inlineStr">
        <is>
          <t>2026-06-27</t>
        </is>
      </c>
      <c r="T1241" s="43" t="inlineStr"/>
      <c r="U1241" s="43" t="inlineStr"/>
    </row>
    <row r="1242">
      <c r="A1242" s="43" t="n">
        <v>1242</v>
      </c>
      <c r="B1242" s="43" t="inlineStr">
        <is>
          <t>1241</t>
        </is>
      </c>
      <c r="C1242" s="43" t="inlineStr">
        <is>
          <t>FJZP</t>
        </is>
      </c>
      <c r="D1242" s="43" t="inlineStr">
        <is>
          <t>Cisco</t>
        </is>
      </c>
      <c r="E1242" s="43" t="inlineStr">
        <is>
          <t>MCGA</t>
        </is>
      </c>
      <c r="F1242" s="43" t="inlineStr">
        <is>
          <t>018-SRGBU</t>
        </is>
      </c>
      <c r="G1242" s="43" t="inlineStr">
        <is>
          <t>CTANJZ05272</t>
        </is>
      </c>
      <c r="H1242" s="43" t="inlineStr">
        <is>
          <t>For temporary Manufacturing process change</t>
        </is>
      </c>
      <c r="I1242" s="43" t="inlineStr">
        <is>
          <t>Customer Deviation</t>
        </is>
      </c>
      <c r="J1242" s="43" t="inlineStr">
        <is>
          <t>D611391</t>
        </is>
      </c>
      <c r="K1242" s="33" t="inlineStr">
        <is>
          <t>D611391 SRGBU-DDR4 MemoryThe CM has received CPN 15-106879-01 in place of 15-107070-01The outer boxes were labeled with the correct CPN to be used 15-107070-01; but the part number insides the packaging was 15-106879-01Both CPNs have the same AMLsThis Deviation will allow the use of 15-106879-01 in place of 15-107070-01The CM has received CPN 15-104174-01 in place of 15-107071-01The outer boxes were labeled with the correct CPN to be used 15-107071-01; but the part number inside the package was 15-104174-01Both CPNs have the same AMLThis deviation will allow the use of 15-104174-01 in place of 15-107071-01</t>
        </is>
      </c>
      <c r="L1242" s="43" t="inlineStr">
        <is>
          <t>Expired</t>
        </is>
      </c>
      <c r="M1242" s="43" t="inlineStr">
        <is>
          <t>15-107070-01</t>
        </is>
      </c>
      <c r="N1242" s="43" t="inlineStr"/>
      <c r="O1242" s="43" t="inlineStr">
        <is>
          <t>2026-08-27</t>
        </is>
      </c>
      <c r="P1242" s="33" t="inlineStr">
        <is>
          <t>For temporary Manufacturing process change</t>
        </is>
      </c>
      <c r="Q1242" s="43" t="inlineStr">
        <is>
          <t>All DDR memory DIMMS are to be re-id</t>
        </is>
      </c>
      <c r="R1242" s="43" t="inlineStr">
        <is>
          <t>2026-05-30</t>
        </is>
      </c>
      <c r="S1242" s="43" t="inlineStr">
        <is>
          <t>2026-06-13</t>
        </is>
      </c>
      <c r="T1242" s="43" t="inlineStr"/>
      <c r="U1242" s="43" t="inlineStr"/>
    </row>
    <row r="1243">
      <c r="A1243" s="43" t="n">
        <v>1243</v>
      </c>
      <c r="B1243" s="43" t="inlineStr">
        <is>
          <t>1242</t>
        </is>
      </c>
      <c r="C1243" s="43" t="inlineStr">
        <is>
          <t>FJZP</t>
        </is>
      </c>
      <c r="D1243" s="43" t="inlineStr">
        <is>
          <t>Cisco</t>
        </is>
      </c>
      <c r="E1243" s="43" t="inlineStr">
        <is>
          <t>MCGA</t>
        </is>
      </c>
      <c r="F1243" s="43" t="inlineStr">
        <is>
          <t>018-SRGBU</t>
        </is>
      </c>
      <c r="G1243" s="43" t="inlineStr">
        <is>
          <t>CTANJZ05272</t>
        </is>
      </c>
      <c r="H1243" s="43" t="inlineStr">
        <is>
          <t>For temporary Manufacturing process change</t>
        </is>
      </c>
      <c r="I1243" s="43" t="inlineStr">
        <is>
          <t>Customer Deviation</t>
        </is>
      </c>
      <c r="J1243" s="43" t="inlineStr">
        <is>
          <t>D611391</t>
        </is>
      </c>
      <c r="K1243" s="33" t="inlineStr">
        <is>
          <t>D611391 SRGBU-DDR4 MemoryThe CM has received CPN 15-106879-01 in place of 15-107070-01The outer boxes were labeled with the correct CPN to be used 15-107070-01; but the part number insides the packaging was 15-106879-01Both CPNs have the same AMLsThis Deviation will allow the use of 15-106879-01 in place of 15-107070-01The CM has received CPN 15-104174-01 in place of 15-107071-01The outer boxes were labeled with the correct CPN to be used 15-107071-01; but the part number inside the package was 15-104174-01Both CPNs have the same AMLThis deviation will allow the use of 15-104174-01 in place of 15-107071-01</t>
        </is>
      </c>
      <c r="L1243" s="43" t="inlineStr">
        <is>
          <t>Expired</t>
        </is>
      </c>
      <c r="M1243" s="43" t="inlineStr">
        <is>
          <t>15-107071-01</t>
        </is>
      </c>
      <c r="N1243" s="43" t="inlineStr"/>
      <c r="O1243" s="43" t="inlineStr">
        <is>
          <t>2026-08-27</t>
        </is>
      </c>
      <c r="P1243" s="33" t="inlineStr">
        <is>
          <t>For temporary Manufacturing process change</t>
        </is>
      </c>
      <c r="Q1243" s="43" t="inlineStr">
        <is>
          <t>All DDR memory DIMMS are to be re-id</t>
        </is>
      </c>
      <c r="R1243" s="43" t="inlineStr">
        <is>
          <t>2026-05-30</t>
        </is>
      </c>
      <c r="S1243" s="43" t="inlineStr">
        <is>
          <t>2026-06-13</t>
        </is>
      </c>
      <c r="T1243" s="43" t="inlineStr"/>
      <c r="U1243" s="43" t="inlineStr"/>
    </row>
    <row r="1244">
      <c r="A1244" s="43" t="n">
        <v>1244</v>
      </c>
      <c r="B1244" s="43" t="inlineStr">
        <is>
          <t>1243</t>
        </is>
      </c>
      <c r="C1244" s="43" t="inlineStr">
        <is>
          <t>FJZP</t>
        </is>
      </c>
      <c r="D1244" s="43" t="inlineStr">
        <is>
          <t>Cisco</t>
        </is>
      </c>
      <c r="E1244" s="43" t="inlineStr">
        <is>
          <t>MCGA</t>
        </is>
      </c>
      <c r="F1244" s="43" t="inlineStr">
        <is>
          <t>035-CVEBU</t>
        </is>
      </c>
      <c r="G1244" s="43" t="inlineStr">
        <is>
          <t>CTANJZ05484</t>
        </is>
      </c>
      <c r="H1244" s="43" t="inlineStr">
        <is>
          <t>For temporary Manufacturing process change</t>
        </is>
      </c>
      <c r="I1244" s="43" t="inlineStr">
        <is>
          <t>Customer Deviation</t>
        </is>
      </c>
      <c r="J1244" s="43" t="inlineStr">
        <is>
          <t>D614019</t>
        </is>
      </c>
      <c r="K1244" s="33" t="inlineStr">
        <is>
          <t>D614019 CVEBU: Bayfront Pilot build. Deviation to allow use IPQ and old Date Codes parts. Sep 2026. Replacement of expired deviation D610061;D611994Foxconn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244" s="43" t="inlineStr">
        <is>
          <t>FAI Status</t>
        </is>
      </c>
      <c r="M1244" s="43" t="inlineStr">
        <is>
          <t>73-103880-05</t>
        </is>
      </c>
      <c r="N1244" s="43" t="inlineStr"/>
      <c r="O1244" s="43" t="inlineStr">
        <is>
          <t>2026-12-14</t>
        </is>
      </c>
      <c r="P1244" s="33" t="inlineStr">
        <is>
          <t>For temporary Manufacturing process change</t>
        </is>
      </c>
      <c r="Q1244" s="43" t="inlineStr">
        <is>
          <t>Place this deviation number sticker clearly visible on unit</t>
        </is>
      </c>
      <c r="R1244" s="43" t="inlineStr">
        <is>
          <t>2026-09-16</t>
        </is>
      </c>
      <c r="S1244" s="43" t="inlineStr">
        <is>
          <t>2026-10-03</t>
        </is>
      </c>
      <c r="T1244" s="43" t="inlineStr"/>
      <c r="U1244" s="43" t="inlineStr"/>
    </row>
    <row r="1245">
      <c r="A1245" s="43" t="n">
        <v>1245</v>
      </c>
      <c r="B1245" s="43" t="inlineStr">
        <is>
          <t>1244</t>
        </is>
      </c>
      <c r="C1245" s="43" t="inlineStr">
        <is>
          <t>FJZP</t>
        </is>
      </c>
      <c r="D1245" s="43" t="inlineStr">
        <is>
          <t>Cisco</t>
        </is>
      </c>
      <c r="E1245" s="43" t="inlineStr">
        <is>
          <t>MCGA</t>
        </is>
      </c>
      <c r="F1245" s="43" t="inlineStr">
        <is>
          <t>018-SRGBU</t>
        </is>
      </c>
      <c r="G1245" s="43" t="inlineStr">
        <is>
          <t>CTANJZ05482</t>
        </is>
      </c>
      <c r="H1245" s="43" t="inlineStr">
        <is>
          <t>For temporary Manufacturing process change</t>
        </is>
      </c>
      <c r="I1245" s="43" t="inlineStr">
        <is>
          <t>Customer Deviation</t>
        </is>
      </c>
      <c r="J1245" s="43" t="inlineStr">
        <is>
          <t>D614055</t>
        </is>
      </c>
      <c r="K1245" s="33" t="inlineStr">
        <is>
          <t>D614055 341-101113-02 PSU with Liteon label printed with Model PS-2401-1SA7 can be used as is</t>
        </is>
      </c>
      <c r="L1245" s="43" t="inlineStr">
        <is>
          <t>FAI Status</t>
        </is>
      </c>
      <c r="M1245" s="43" t="inlineStr">
        <is>
          <t>341-101113-02</t>
        </is>
      </c>
      <c r="N1245" s="43" t="inlineStr"/>
      <c r="O1245" s="43" t="inlineStr">
        <is>
          <t>2026-12-13</t>
        </is>
      </c>
      <c r="P1245" s="33" t="inlineStr">
        <is>
          <t>For temporary Manufacturing process change</t>
        </is>
      </c>
      <c r="Q1245" s="43" t="inlineStr">
        <is>
          <t>no marking is required</t>
        </is>
      </c>
      <c r="R1245" s="43" t="inlineStr">
        <is>
          <t>2026-09-16</t>
        </is>
      </c>
      <c r="S1245" s="43" t="inlineStr">
        <is>
          <t>2026-10-09</t>
        </is>
      </c>
      <c r="T1245" s="43" t="inlineStr"/>
      <c r="U1245" s="43" t="inlineStr"/>
    </row>
    <row r="1246">
      <c r="A1246" s="43" t="n">
        <v>1246</v>
      </c>
      <c r="B1246" s="43" t="inlineStr">
        <is>
          <t>1245</t>
        </is>
      </c>
      <c r="C1246" s="43" t="inlineStr">
        <is>
          <t>FJZP</t>
        </is>
      </c>
      <c r="D1246" s="43" t="inlineStr">
        <is>
          <t>Cisco</t>
        </is>
      </c>
      <c r="E1246" s="43" t="inlineStr">
        <is>
          <t>MCGA</t>
        </is>
      </c>
      <c r="F1246" s="43" t="inlineStr">
        <is>
          <t>018-SRGBU</t>
        </is>
      </c>
      <c r="G1246" s="43" t="inlineStr">
        <is>
          <t>CTANJZ05489</t>
        </is>
      </c>
      <c r="H1246" s="43" t="inlineStr">
        <is>
          <t>For temporary Manufacturing process change</t>
        </is>
      </c>
      <c r="I1246" s="43" t="inlineStr">
        <is>
          <t>Customer Deviation</t>
        </is>
      </c>
      <c r="J1246" s="43" t="inlineStr">
        <is>
          <t>D613845</t>
        </is>
      </c>
      <c r="K1246" s="33" t="inlineStr">
        <is>
          <t>D613845 SRGBU; Allow FJZ to use  MPN SR57212812APJDANE0 from 15-103551-01 instead of 15-108111-01For the following PIDs:C8200-1N-4TC8200L-1N-4T</t>
        </is>
      </c>
      <c r="L1246" s="43" t="inlineStr">
        <is>
          <t>CCB</t>
        </is>
      </c>
      <c r="M1246" s="43" t="inlineStr">
        <is>
          <t>15-108111-01</t>
        </is>
      </c>
      <c r="N1246" s="43" t="inlineStr"/>
      <c r="O1246" s="43" t="inlineStr">
        <is>
          <t>2026-12-15</t>
        </is>
      </c>
      <c r="P1246" s="33" t="inlineStr">
        <is>
          <t>For temporary Manufacturing process change</t>
        </is>
      </c>
      <c r="Q1246" s="43" t="inlineStr">
        <is>
          <t>n/a</t>
        </is>
      </c>
      <c r="R1246" s="43" t="inlineStr">
        <is>
          <t>2026-09-17</t>
        </is>
      </c>
      <c r="S1246" s="43" t="inlineStr"/>
      <c r="T1246" s="43" t="inlineStr"/>
      <c r="U1246" s="43" t="inlineStr"/>
    </row>
    <row r="1247">
      <c r="A1247" s="43" t="n">
        <v>1247</v>
      </c>
      <c r="B1247" s="43" t="inlineStr">
        <is>
          <t>1246</t>
        </is>
      </c>
      <c r="C1247" s="43" t="inlineStr">
        <is>
          <t>FJZP</t>
        </is>
      </c>
      <c r="D1247" s="43" t="inlineStr">
        <is>
          <t>Cisco</t>
        </is>
      </c>
      <c r="E1247" s="43" t="inlineStr">
        <is>
          <t>MCGA</t>
        </is>
      </c>
      <c r="F1247" s="43" t="inlineStr">
        <is>
          <t>037-STBU</t>
        </is>
      </c>
      <c r="G1247" s="43" t="inlineStr">
        <is>
          <t>CTANJZ05457</t>
        </is>
      </c>
      <c r="H1247" s="43" t="inlineStr">
        <is>
          <t>For temporary Manufacturing process change</t>
        </is>
      </c>
      <c r="I1247" s="43" t="inlineStr">
        <is>
          <t>Customer Deviation</t>
        </is>
      </c>
      <c r="J1247" s="43" t="inlineStr">
        <is>
          <t>D613736</t>
        </is>
      </c>
      <c r="K1247" s="33" t="inlineStr">
        <is>
          <t>D613736 CSF4200.- Due shortage material of the 10-3317-04 and backlog orders; we allow FJZ to use 10-3317-03 (MPN SFBR-89BDDZ-CS4)*No script change needs it*</t>
        </is>
      </c>
      <c r="L1247" s="43" t="inlineStr">
        <is>
          <t>Implementation</t>
        </is>
      </c>
      <c r="M1247" s="43" t="inlineStr">
        <is>
          <t>10-3317-03</t>
        </is>
      </c>
      <c r="N1247" s="43" t="inlineStr"/>
      <c r="O1247" s="43" t="inlineStr">
        <is>
          <t>2026-12-01</t>
        </is>
      </c>
      <c r="P1247" s="33" t="inlineStr">
        <is>
          <t>For temporary Manufacturing process change</t>
        </is>
      </c>
      <c r="Q1247" s="43" t="inlineStr">
        <is>
          <t>NA</t>
        </is>
      </c>
      <c r="R1247" s="43" t="inlineStr">
        <is>
          <t>2026-09-03</t>
        </is>
      </c>
      <c r="S1247" s="43" t="inlineStr">
        <is>
          <t>2026-10-02</t>
        </is>
      </c>
      <c r="T1247" s="43" t="inlineStr"/>
      <c r="U1247" s="43" t="inlineStr"/>
    </row>
    <row r="1248">
      <c r="A1248" s="43" t="n">
        <v>1248</v>
      </c>
      <c r="B1248" s="43" t="inlineStr">
        <is>
          <t>1247</t>
        </is>
      </c>
      <c r="C1248" s="43" t="inlineStr">
        <is>
          <t>FJZP</t>
        </is>
      </c>
      <c r="D1248" s="43" t="inlineStr">
        <is>
          <t>Cisco</t>
        </is>
      </c>
      <c r="E1248" s="43" t="inlineStr">
        <is>
          <t>MCGA</t>
        </is>
      </c>
      <c r="F1248" s="43" t="inlineStr">
        <is>
          <t>037-STBU</t>
        </is>
      </c>
      <c r="G1248" s="43" t="inlineStr">
        <is>
          <t>CTANJZ05457</t>
        </is>
      </c>
      <c r="H1248" s="43" t="inlineStr">
        <is>
          <t>For temporary Manufacturing process change</t>
        </is>
      </c>
      <c r="I1248" s="43" t="inlineStr">
        <is>
          <t>Customer Deviation</t>
        </is>
      </c>
      <c r="J1248" s="43" t="inlineStr">
        <is>
          <t>D613736</t>
        </is>
      </c>
      <c r="K1248" s="33" t="inlineStr">
        <is>
          <t>D613736 CSF4200.- Due shortage material of the 10-3317-04 and backlog orders; we allow FJZ to use 10-3317-03 (MPN SFBR-89BDDZ-CS4)*No script change needs it*</t>
        </is>
      </c>
      <c r="L1248" s="43" t="inlineStr">
        <is>
          <t>Implementation</t>
        </is>
      </c>
      <c r="M1248" s="43" t="inlineStr">
        <is>
          <t>10-3317-04</t>
        </is>
      </c>
      <c r="N1248" s="43" t="inlineStr"/>
      <c r="O1248" s="43" t="inlineStr">
        <is>
          <t>2026-12-01</t>
        </is>
      </c>
      <c r="P1248" s="33" t="inlineStr">
        <is>
          <t>For temporary Manufacturing process change</t>
        </is>
      </c>
      <c r="Q1248" s="43" t="inlineStr">
        <is>
          <t>NA</t>
        </is>
      </c>
      <c r="R1248" s="43" t="inlineStr">
        <is>
          <t>2026-09-03</t>
        </is>
      </c>
      <c r="S1248" s="43" t="inlineStr">
        <is>
          <t>2026-10-02</t>
        </is>
      </c>
      <c r="T1248" s="43" t="inlineStr"/>
      <c r="U1248" s="43" t="inlineStr"/>
    </row>
    <row r="1249">
      <c r="A1249" s="43" t="n">
        <v>1249</v>
      </c>
      <c r="B1249" s="43" t="inlineStr">
        <is>
          <t>1248</t>
        </is>
      </c>
      <c r="C1249" s="43" t="inlineStr">
        <is>
          <t>FJZP</t>
        </is>
      </c>
      <c r="D1249" s="43" t="inlineStr">
        <is>
          <t>Cisco</t>
        </is>
      </c>
      <c r="E1249" s="43" t="inlineStr">
        <is>
          <t>MCGA</t>
        </is>
      </c>
      <c r="F1249" s="43" t="inlineStr">
        <is>
          <t>018-SRGBU</t>
        </is>
      </c>
      <c r="G1249" s="43" t="inlineStr">
        <is>
          <t>CTANJZ04014</t>
        </is>
      </c>
      <c r="H1249" s="43" t="inlineStr">
        <is>
          <t>For temporary Manufacturing process change</t>
        </is>
      </c>
      <c r="I1249" s="43" t="inlineStr">
        <is>
          <t>Customer Deviation</t>
        </is>
      </c>
      <c r="J1249" s="43" t="inlineStr">
        <is>
          <t>D598638</t>
        </is>
      </c>
      <c r="K1249" s="33" t="inlineStr">
        <is>
          <t>D598638 TBABU: This is extension of D585507.Deviation  Leverages # D585507 (Purpose of the new deviation is to reference new version of DVD 80-100592-02 with old 01 version)The solution for this problem requires IT tool changes in order to permanently resolve the issue; therefore we are using the deviation process (with Director approval) for an extensive period of time.This Deviation will officially authorizes to all Sites to follow Order Fulfillment EAC Compliance DVD Disc Insertion Process during pack outPlease see PageThree for details</t>
        </is>
      </c>
      <c r="L1249" s="43" t="inlineStr">
        <is>
          <t>Closed</t>
        </is>
      </c>
      <c r="M1249" s="43" t="inlineStr">
        <is>
          <t>80-100592-02</t>
        </is>
      </c>
      <c r="N1249" s="43" t="inlineStr"/>
      <c r="O1249" s="43" t="inlineStr">
        <is>
          <t>2030-11-03</t>
        </is>
      </c>
      <c r="P1249" s="33" t="inlineStr">
        <is>
          <t>For temporary Manufacturing process change</t>
        </is>
      </c>
      <c r="Q1249" s="43" t="inlineStr">
        <is>
          <t>Deviation label is not applicable.</t>
        </is>
      </c>
      <c r="R1249" s="43" t="inlineStr">
        <is>
          <t>2024-08-06</t>
        </is>
      </c>
      <c r="S1249" s="43" t="inlineStr">
        <is>
          <t>2024-08-10</t>
        </is>
      </c>
      <c r="T1249" s="43" t="inlineStr"/>
      <c r="U1249" s="43" t="inlineStr"/>
    </row>
    <row r="1250">
      <c r="A1250" s="43" t="n">
        <v>1250</v>
      </c>
      <c r="B1250" s="43" t="inlineStr">
        <is>
          <t>1249</t>
        </is>
      </c>
      <c r="C1250" s="43" t="inlineStr">
        <is>
          <t>FJZP</t>
        </is>
      </c>
      <c r="D1250" s="43" t="inlineStr">
        <is>
          <t>Cisco</t>
        </is>
      </c>
      <c r="E1250" s="43" t="inlineStr">
        <is>
          <t>MCGA</t>
        </is>
      </c>
      <c r="F1250" s="43" t="inlineStr">
        <is>
          <t>239-CRBU</t>
        </is>
      </c>
      <c r="G1250" s="43" t="inlineStr">
        <is>
          <t>CTANJZ05465</t>
        </is>
      </c>
      <c r="H1250" s="43" t="inlineStr">
        <is>
          <t>For temporary Manufacturing process change</t>
        </is>
      </c>
      <c r="I1250" s="43" t="inlineStr">
        <is>
          <t>Customer Deviation</t>
        </is>
      </c>
      <c r="J1250" s="43" t="inlineStr">
        <is>
          <t>D613504</t>
        </is>
      </c>
      <c r="K1250" s="33" t="inlineStr">
        <is>
          <t>D613504 Please see PageThree for details</t>
        </is>
      </c>
      <c r="L1250" s="43" t="inlineStr">
        <is>
          <t>Implementation</t>
        </is>
      </c>
      <c r="M1250" s="43" t="inlineStr">
        <is>
          <t>68-7184-04</t>
        </is>
      </c>
      <c r="N1250" s="43" t="inlineStr"/>
      <c r="O1250" s="43" t="inlineStr">
        <is>
          <t>2026-12-06</t>
        </is>
      </c>
      <c r="P1250" s="33" t="inlineStr">
        <is>
          <t>For temporary Manufacturing process change</t>
        </is>
      </c>
      <c r="Q1250" s="43" t="inlineStr">
        <is>
          <t>place deviation llabel to the unit and program deviation to EEPROM</t>
        </is>
      </c>
      <c r="R1250" s="43" t="inlineStr">
        <is>
          <t>2026-09-08</t>
        </is>
      </c>
      <c r="S1250" s="43" t="inlineStr">
        <is>
          <t>2026-10-02</t>
        </is>
      </c>
      <c r="T1250" s="43" t="inlineStr"/>
      <c r="U1250" s="43" t="inlineStr"/>
    </row>
    <row r="1251">
      <c r="A1251" s="43" t="n">
        <v>1251</v>
      </c>
      <c r="B1251" s="43" t="inlineStr">
        <is>
          <t>1250</t>
        </is>
      </c>
      <c r="C1251" s="43" t="inlineStr">
        <is>
          <t>FJZP</t>
        </is>
      </c>
      <c r="D1251" s="43" t="inlineStr">
        <is>
          <t>Cisco</t>
        </is>
      </c>
      <c r="E1251" s="43" t="inlineStr">
        <is>
          <t>MCGA</t>
        </is>
      </c>
      <c r="F1251" s="43" t="inlineStr">
        <is>
          <t>239-CRBU</t>
        </is>
      </c>
      <c r="G1251" s="43" t="inlineStr">
        <is>
          <t>CTANJZ05465</t>
        </is>
      </c>
      <c r="H1251" s="43" t="inlineStr">
        <is>
          <t>For temporary Manufacturing process change</t>
        </is>
      </c>
      <c r="I1251" s="43" t="inlineStr">
        <is>
          <t>Customer Deviation</t>
        </is>
      </c>
      <c r="J1251" s="43" t="inlineStr">
        <is>
          <t>D613504</t>
        </is>
      </c>
      <c r="K1251" s="33" t="inlineStr">
        <is>
          <t>D613504 Please see PageThree for details</t>
        </is>
      </c>
      <c r="L1251" s="43" t="inlineStr">
        <is>
          <t>Implementation</t>
        </is>
      </c>
      <c r="M1251" s="43" t="inlineStr">
        <is>
          <t>68-7184-05</t>
        </is>
      </c>
      <c r="N1251" s="43" t="inlineStr"/>
      <c r="O1251" s="43" t="inlineStr">
        <is>
          <t>2026-12-06</t>
        </is>
      </c>
      <c r="P1251" s="33" t="inlineStr">
        <is>
          <t>For temporary Manufacturing process change</t>
        </is>
      </c>
      <c r="Q1251" s="43" t="inlineStr">
        <is>
          <t>place deviation llabel to the unit and program deviation to EEPROM</t>
        </is>
      </c>
      <c r="R1251" s="43" t="inlineStr">
        <is>
          <t>2026-09-08</t>
        </is>
      </c>
      <c r="S1251" s="43" t="inlineStr">
        <is>
          <t>2026-10-02</t>
        </is>
      </c>
      <c r="T1251" s="43" t="inlineStr"/>
      <c r="U1251" s="43" t="inlineStr"/>
    </row>
    <row r="1252">
      <c r="A1252" s="43" t="n">
        <v>1252</v>
      </c>
      <c r="B1252" s="43" t="inlineStr">
        <is>
          <t>1251</t>
        </is>
      </c>
      <c r="C1252" s="43" t="inlineStr">
        <is>
          <t>FJZP</t>
        </is>
      </c>
      <c r="D1252" s="43" t="inlineStr">
        <is>
          <t>Cisco</t>
        </is>
      </c>
      <c r="E1252" s="43" t="inlineStr">
        <is>
          <t>MCGA</t>
        </is>
      </c>
      <c r="F1252" s="43" t="inlineStr">
        <is>
          <t>239-CRBU</t>
        </is>
      </c>
      <c r="G1252" s="43" t="inlineStr">
        <is>
          <t>CTANJZ05465</t>
        </is>
      </c>
      <c r="H1252" s="43" t="inlineStr">
        <is>
          <t>For temporary Manufacturing process change</t>
        </is>
      </c>
      <c r="I1252" s="43" t="inlineStr">
        <is>
          <t>Customer Deviation</t>
        </is>
      </c>
      <c r="J1252" s="43" t="inlineStr">
        <is>
          <t>D613504</t>
        </is>
      </c>
      <c r="K1252" s="33" t="inlineStr">
        <is>
          <t>D613504 Please see PageThree for details</t>
        </is>
      </c>
      <c r="L1252" s="43" t="inlineStr">
        <is>
          <t>Implementation</t>
        </is>
      </c>
      <c r="M1252" s="43" t="inlineStr">
        <is>
          <t>68-7184-06</t>
        </is>
      </c>
      <c r="N1252" s="43" t="inlineStr"/>
      <c r="O1252" s="43" t="inlineStr">
        <is>
          <t>2026-12-06</t>
        </is>
      </c>
      <c r="P1252" s="33" t="inlineStr">
        <is>
          <t>For temporary Manufacturing process change</t>
        </is>
      </c>
      <c r="Q1252" s="43" t="inlineStr">
        <is>
          <t>place deviation llabel to the unit and program deviation to EEPROM</t>
        </is>
      </c>
      <c r="R1252" s="43" t="inlineStr">
        <is>
          <t>2026-09-08</t>
        </is>
      </c>
      <c r="S1252" s="43" t="inlineStr">
        <is>
          <t>2026-10-02</t>
        </is>
      </c>
      <c r="T1252" s="43" t="inlineStr"/>
      <c r="U1252" s="43" t="inlineStr"/>
    </row>
    <row r="1253">
      <c r="A1253" s="43" t="n">
        <v>1253</v>
      </c>
      <c r="B1253" s="43" t="inlineStr">
        <is>
          <t>1252</t>
        </is>
      </c>
      <c r="C1253" s="43" t="inlineStr">
        <is>
          <t>FJZP</t>
        </is>
      </c>
      <c r="D1253" s="43" t="inlineStr">
        <is>
          <t>Cisco</t>
        </is>
      </c>
      <c r="E1253" s="43" t="inlineStr">
        <is>
          <t>MCGA</t>
        </is>
      </c>
      <c r="F1253" s="43" t="inlineStr">
        <is>
          <t>239-CRBU</t>
        </is>
      </c>
      <c r="G1253" s="43" t="inlineStr">
        <is>
          <t>CTANJZ05465</t>
        </is>
      </c>
      <c r="H1253" s="43" t="inlineStr">
        <is>
          <t>For temporary Manufacturing process change</t>
        </is>
      </c>
      <c r="I1253" s="43" t="inlineStr">
        <is>
          <t>Customer Deviation</t>
        </is>
      </c>
      <c r="J1253" s="43" t="inlineStr">
        <is>
          <t>D613504</t>
        </is>
      </c>
      <c r="K1253" s="33" t="inlineStr">
        <is>
          <t>D613504 Please see PageThree for details</t>
        </is>
      </c>
      <c r="L1253" s="43" t="inlineStr">
        <is>
          <t>Implementation</t>
        </is>
      </c>
      <c r="M1253" s="43" t="inlineStr">
        <is>
          <t>68-7184-07</t>
        </is>
      </c>
      <c r="N1253" s="43" t="inlineStr"/>
      <c r="O1253" s="43" t="inlineStr">
        <is>
          <t>2026-12-06</t>
        </is>
      </c>
      <c r="P1253" s="33" t="inlineStr">
        <is>
          <t>For temporary Manufacturing process change</t>
        </is>
      </c>
      <c r="Q1253" s="43" t="inlineStr">
        <is>
          <t>place deviation llabel to the unit and program deviation to EEPROM</t>
        </is>
      </c>
      <c r="R1253" s="43" t="inlineStr">
        <is>
          <t>2026-09-08</t>
        </is>
      </c>
      <c r="S1253" s="43" t="inlineStr">
        <is>
          <t>2026-10-02</t>
        </is>
      </c>
      <c r="T1253" s="43" t="inlineStr"/>
      <c r="U1253" s="43" t="inlineStr"/>
    </row>
    <row r="1254">
      <c r="A1254" s="43" t="n">
        <v>1254</v>
      </c>
      <c r="B1254" s="43" t="inlineStr">
        <is>
          <t>1253</t>
        </is>
      </c>
      <c r="C1254" s="43" t="inlineStr">
        <is>
          <t>FJZP</t>
        </is>
      </c>
      <c r="D1254" s="43" t="inlineStr">
        <is>
          <t>Cisco</t>
        </is>
      </c>
      <c r="E1254" s="43" t="inlineStr">
        <is>
          <t>MCGA</t>
        </is>
      </c>
      <c r="F1254" s="43" t="inlineStr">
        <is>
          <t>239-CRBU</t>
        </is>
      </c>
      <c r="G1254" s="43" t="inlineStr">
        <is>
          <t>CTANJZ05465</t>
        </is>
      </c>
      <c r="H1254" s="43" t="inlineStr">
        <is>
          <t>For temporary Manufacturing process change</t>
        </is>
      </c>
      <c r="I1254" s="43" t="inlineStr">
        <is>
          <t>Customer Deviation</t>
        </is>
      </c>
      <c r="J1254" s="43" t="inlineStr">
        <is>
          <t>D613504</t>
        </is>
      </c>
      <c r="K1254" s="33" t="inlineStr">
        <is>
          <t>D613504 Please see PageThree for details</t>
        </is>
      </c>
      <c r="L1254" s="43" t="inlineStr">
        <is>
          <t>Implementation</t>
        </is>
      </c>
      <c r="M1254" s="43" t="inlineStr">
        <is>
          <t>68-7184-09</t>
        </is>
      </c>
      <c r="N1254" s="43" t="inlineStr"/>
      <c r="O1254" s="43" t="inlineStr">
        <is>
          <t>2026-12-06</t>
        </is>
      </c>
      <c r="P1254" s="33" t="inlineStr">
        <is>
          <t>For temporary Manufacturing process change</t>
        </is>
      </c>
      <c r="Q1254" s="43" t="inlineStr">
        <is>
          <t>place deviation llabel to the unit and program deviation to EEPROM</t>
        </is>
      </c>
      <c r="R1254" s="43" t="inlineStr">
        <is>
          <t>2026-09-08</t>
        </is>
      </c>
      <c r="S1254" s="43" t="inlineStr">
        <is>
          <t>2026-10-02</t>
        </is>
      </c>
      <c r="T1254" s="43" t="inlineStr"/>
      <c r="U1254" s="43" t="inlineStr"/>
    </row>
    <row r="1255">
      <c r="A1255" s="43" t="n">
        <v>1255</v>
      </c>
      <c r="B1255" s="43" t="inlineStr">
        <is>
          <t>1254</t>
        </is>
      </c>
      <c r="C1255" s="43" t="inlineStr">
        <is>
          <t>FJZP</t>
        </is>
      </c>
      <c r="D1255" s="43" t="inlineStr">
        <is>
          <t>Cisco</t>
        </is>
      </c>
      <c r="E1255" s="43" t="inlineStr">
        <is>
          <t>MCGA</t>
        </is>
      </c>
      <c r="F1255" s="43" t="inlineStr">
        <is>
          <t>018-SRGBU</t>
        </is>
      </c>
      <c r="G1255" s="43" t="inlineStr">
        <is>
          <t>CTANJZ05437</t>
        </is>
      </c>
      <c r="H1255" s="43" t="inlineStr">
        <is>
          <t>For temporary Manufacturing process change</t>
        </is>
      </c>
      <c r="I1255" s="43" t="inlineStr">
        <is>
          <t>Customer Deviation</t>
        </is>
      </c>
      <c r="J1255" s="43" t="inlineStr">
        <is>
          <t>D613615</t>
        </is>
      </c>
      <c r="K1255" s="33" t="inlineStr">
        <is>
          <t>D613615 SRGBU: ROKU: This deviation requests approval to allow FVT and all DF sites to use a black marker to cross out the incorrect IMEI number printed on the preprinted compliance label for P-LTEA7-NA; P-LTEA7-NA=.The correct IMEI number will be applied separately on the unit with an additional sticker. This change is limited to units where the preprinted label contains the wrong IMEI number.Impacted CPN: 47-110072-01.</t>
        </is>
      </c>
      <c r="L1255" s="43" t="inlineStr">
        <is>
          <t>FAI Status</t>
        </is>
      </c>
      <c r="M1255" s="43" t="inlineStr">
        <is>
          <t>47-110072-01</t>
        </is>
      </c>
      <c r="N1255" s="43" t="inlineStr"/>
      <c r="O1255" s="43" t="inlineStr">
        <is>
          <t>2026-11-22</t>
        </is>
      </c>
      <c r="P1255" s="33" t="inlineStr">
        <is>
          <t>For temporary Manufacturing process change</t>
        </is>
      </c>
      <c r="Q1255" s="43" t="inlineStr">
        <is>
          <t>Please; Place the deviation label in visible area.</t>
        </is>
      </c>
      <c r="R1255" s="43" t="inlineStr">
        <is>
          <t>2026-08-26</t>
        </is>
      </c>
      <c r="S1255" s="43" t="inlineStr">
        <is>
          <t>2026-09-16</t>
        </is>
      </c>
      <c r="T1255" s="43" t="inlineStr"/>
      <c r="U1255" s="43" t="inlineStr"/>
    </row>
    <row r="1256">
      <c r="A1256" s="43" t="n">
        <v>1256</v>
      </c>
      <c r="B1256" s="43" t="inlineStr">
        <is>
          <t>1255</t>
        </is>
      </c>
      <c r="C1256" s="43" t="inlineStr">
        <is>
          <t>FJZP</t>
        </is>
      </c>
      <c r="D1256" s="43" t="inlineStr">
        <is>
          <t>Cisco</t>
        </is>
      </c>
      <c r="E1256" s="43" t="inlineStr">
        <is>
          <t>MCGA</t>
        </is>
      </c>
      <c r="F1256" s="43" t="inlineStr">
        <is>
          <t>239-CRBU</t>
        </is>
      </c>
      <c r="G1256" s="43" t="inlineStr">
        <is>
          <t>CTANJZ05301</t>
        </is>
      </c>
      <c r="H1256" s="43" t="inlineStr">
        <is>
          <t>New Release</t>
        </is>
      </c>
      <c r="I1256" s="43" t="inlineStr">
        <is>
          <t>Customer Deviation</t>
        </is>
      </c>
      <c r="J1256" s="43" t="inlineStr">
        <is>
          <t>D611612</t>
        </is>
      </c>
      <c r="K1256" s="33" t="inlineStr">
        <is>
          <t>D611612 Please see PageThree for details</t>
        </is>
      </c>
      <c r="L1256" s="43" t="inlineStr">
        <is>
          <t>Expired</t>
        </is>
      </c>
      <c r="M1256" s="43" t="inlineStr">
        <is>
          <t>73-20816-03</t>
        </is>
      </c>
      <c r="N1256" s="43" t="inlineStr"/>
      <c r="O1256" s="43" t="inlineStr">
        <is>
          <t>2026-09-16</t>
        </is>
      </c>
      <c r="P1256" s="33" t="inlineStr">
        <is>
          <t>For temporary Manufacturing process change</t>
        </is>
      </c>
      <c r="Q1256" s="43" t="inlineStr">
        <is>
          <t>No marking required as the failed and passed units are being reworked with NXP or Diodes Inc part.</t>
        </is>
      </c>
      <c r="R1256" s="43" t="inlineStr">
        <is>
          <t>2026-06-20</t>
        </is>
      </c>
      <c r="S1256" s="43" t="inlineStr"/>
      <c r="T1256" s="43" t="inlineStr"/>
      <c r="U1256" s="43" t="inlineStr"/>
    </row>
    <row r="1257">
      <c r="A1257" s="43" t="n">
        <v>1257</v>
      </c>
      <c r="B1257" s="43" t="inlineStr">
        <is>
          <t>1256</t>
        </is>
      </c>
      <c r="C1257" s="43" t="inlineStr">
        <is>
          <t>FJZP</t>
        </is>
      </c>
      <c r="D1257" s="43" t="inlineStr">
        <is>
          <t>Cisco</t>
        </is>
      </c>
      <c r="E1257" s="43" t="inlineStr">
        <is>
          <t>MCGA</t>
        </is>
      </c>
      <c r="F1257" s="43" t="inlineStr">
        <is>
          <t>239-CRBU</t>
        </is>
      </c>
      <c r="G1257" s="43" t="inlineStr">
        <is>
          <t>CTANJZ05301</t>
        </is>
      </c>
      <c r="H1257" s="43" t="inlineStr">
        <is>
          <t>New Release</t>
        </is>
      </c>
      <c r="I1257" s="43" t="inlineStr">
        <is>
          <t>Customer Deviation</t>
        </is>
      </c>
      <c r="J1257" s="43" t="inlineStr">
        <is>
          <t>D611612</t>
        </is>
      </c>
      <c r="K1257" s="33" t="inlineStr">
        <is>
          <t>D611612 Please see PageThree for details</t>
        </is>
      </c>
      <c r="L1257" s="43" t="inlineStr">
        <is>
          <t>Expired</t>
        </is>
      </c>
      <c r="M1257" s="43" t="inlineStr">
        <is>
          <t>73-21577-01</t>
        </is>
      </c>
      <c r="N1257" s="43" t="inlineStr"/>
      <c r="O1257" s="43" t="inlineStr">
        <is>
          <t>2026-09-16</t>
        </is>
      </c>
      <c r="P1257" s="33" t="inlineStr">
        <is>
          <t>For temporary Manufacturing process change</t>
        </is>
      </c>
      <c r="Q1257" s="43" t="inlineStr">
        <is>
          <t>No marking required as the failed and passed units are being reworked with NXP or Diodes Inc part.</t>
        </is>
      </c>
      <c r="R1257" s="43" t="inlineStr">
        <is>
          <t>2026-06-20</t>
        </is>
      </c>
      <c r="S1257" s="43" t="inlineStr"/>
      <c r="T1257" s="43" t="inlineStr"/>
      <c r="U1257" s="43" t="inlineStr"/>
    </row>
    <row r="1258">
      <c r="A1258" s="43" t="n">
        <v>1258</v>
      </c>
      <c r="B1258" s="43" t="inlineStr">
        <is>
          <t>1257</t>
        </is>
      </c>
      <c r="C1258" s="43" t="inlineStr">
        <is>
          <t>FJZP</t>
        </is>
      </c>
      <c r="D1258" s="43" t="inlineStr">
        <is>
          <t>Cisco</t>
        </is>
      </c>
      <c r="E1258" s="43" t="inlineStr">
        <is>
          <t>MCGA</t>
        </is>
      </c>
      <c r="F1258" s="43" t="inlineStr">
        <is>
          <t>035-CVEBU</t>
        </is>
      </c>
      <c r="G1258" s="43" t="inlineStr">
        <is>
          <t>CTANJZ05319</t>
        </is>
      </c>
      <c r="H1258" s="43" t="inlineStr">
        <is>
          <t>For temporary Manufacturing process change</t>
        </is>
      </c>
      <c r="I1258" s="43" t="inlineStr">
        <is>
          <t>Customer Deviation</t>
        </is>
      </c>
      <c r="J1258" s="43" t="inlineStr">
        <is>
          <t>D612288</t>
        </is>
      </c>
      <c r="K1258" s="33" t="inlineStr">
        <is>
          <t>D612288 CVEBU;Nixie78-101799-01 -B0 CDOCS;Cisco Table Microphone Pro Installation GuideFJZ is temporarily allowed to use revision -A0 of the Nixie Installation Guide.</t>
        </is>
      </c>
      <c r="L1258" s="43" t="inlineStr">
        <is>
          <t>Expired</t>
        </is>
      </c>
      <c r="M1258" s="43" t="inlineStr">
        <is>
          <t>78-101799-01</t>
        </is>
      </c>
      <c r="N1258" s="43" t="inlineStr"/>
      <c r="O1258" s="43" t="inlineStr">
        <is>
          <t>2026-09-22</t>
        </is>
      </c>
      <c r="P1258" s="33" t="inlineStr">
        <is>
          <t>For temporary Manufacturing process change</t>
        </is>
      </c>
      <c r="Q1258" s="43" t="inlineStr">
        <is>
          <t>No FFF change =&gt; No marking needed</t>
        </is>
      </c>
      <c r="R1258" s="43" t="inlineStr">
        <is>
          <t>2026-06-26</t>
        </is>
      </c>
      <c r="S1258" s="43" t="inlineStr">
        <is>
          <t>2026-07-02</t>
        </is>
      </c>
      <c r="T1258" s="43" t="inlineStr"/>
      <c r="U1258" s="43" t="inlineStr"/>
    </row>
    <row r="1259">
      <c r="A1259" s="43" t="n">
        <v>1259</v>
      </c>
      <c r="B1259" s="43" t="inlineStr">
        <is>
          <t>1258</t>
        </is>
      </c>
      <c r="C1259" s="43" t="inlineStr">
        <is>
          <t>FJZP</t>
        </is>
      </c>
      <c r="D1259" s="43" t="inlineStr">
        <is>
          <t>Cisco</t>
        </is>
      </c>
      <c r="E1259" s="43" t="inlineStr">
        <is>
          <t>MCGA</t>
        </is>
      </c>
      <c r="F1259" s="43" t="inlineStr">
        <is>
          <t>037-STBU</t>
        </is>
      </c>
      <c r="G1259" s="43" t="inlineStr">
        <is>
          <t>CTANJZ05320</t>
        </is>
      </c>
      <c r="H1259" s="43" t="inlineStr">
        <is>
          <t>For temporary Manufacturing process change</t>
        </is>
      </c>
      <c r="I1259" s="43" t="inlineStr">
        <is>
          <t>Customer Deviation</t>
        </is>
      </c>
      <c r="J1259" s="43" t="inlineStr">
        <is>
          <t>D612244</t>
        </is>
      </c>
      <c r="K1259" s="33" t="inlineStr">
        <is>
          <t>D612244 NGFWBU: Warwick Avenue - Factory direction for ICT &amp; process updates to address Renesas PWM programmable device content issue</t>
        </is>
      </c>
      <c r="L1259" s="43" t="inlineStr">
        <is>
          <t>Expired</t>
        </is>
      </c>
      <c r="M1259" s="43" t="inlineStr">
        <is>
          <t>17-102472-02</t>
        </is>
      </c>
      <c r="N1259" s="43" t="inlineStr"/>
      <c r="O1259" s="43" t="inlineStr">
        <is>
          <t>2026-09-23</t>
        </is>
      </c>
      <c r="P1259" s="33" t="inlineStr">
        <is>
          <t>For temporary Manufacturing process change</t>
        </is>
      </c>
      <c r="Q1259" s="43" t="inlineStr">
        <is>
          <t>Label PCBA topside with deviation number where space allows; do not obscure ICT test points.</t>
        </is>
      </c>
      <c r="R1259" s="43" t="inlineStr">
        <is>
          <t>2026-06-26</t>
        </is>
      </c>
      <c r="S1259" s="43" t="inlineStr">
        <is>
          <t>2026-07-16</t>
        </is>
      </c>
      <c r="T1259" s="43" t="inlineStr"/>
      <c r="U1259" s="43" t="inlineStr"/>
    </row>
    <row r="1260">
      <c r="A1260" s="43" t="n">
        <v>1260</v>
      </c>
      <c r="B1260" s="43" t="inlineStr">
        <is>
          <t>1259</t>
        </is>
      </c>
      <c r="C1260" s="43" t="inlineStr">
        <is>
          <t>FJZP</t>
        </is>
      </c>
      <c r="D1260" s="43" t="inlineStr">
        <is>
          <t>Cisco</t>
        </is>
      </c>
      <c r="E1260" s="43" t="inlineStr">
        <is>
          <t>MCGA</t>
        </is>
      </c>
      <c r="F1260" s="43" t="inlineStr">
        <is>
          <t>037-STBU</t>
        </is>
      </c>
      <c r="G1260" s="43" t="inlineStr">
        <is>
          <t>CTANJZ05320</t>
        </is>
      </c>
      <c r="H1260" s="43" t="inlineStr">
        <is>
          <t>For temporary Manufacturing process change</t>
        </is>
      </c>
      <c r="I1260" s="43" t="inlineStr">
        <is>
          <t>Customer Deviation</t>
        </is>
      </c>
      <c r="J1260" s="43" t="inlineStr">
        <is>
          <t>D612244</t>
        </is>
      </c>
      <c r="K1260" s="33" t="inlineStr">
        <is>
          <t>D612244 NGFWBU: Warwick Avenue - Factory direction for ICT &amp; process updates to address Renesas PWM programmable device content issue</t>
        </is>
      </c>
      <c r="L1260" s="43" t="inlineStr">
        <is>
          <t>Expired</t>
        </is>
      </c>
      <c r="M1260" s="43" t="inlineStr">
        <is>
          <t>73-102433-05</t>
        </is>
      </c>
      <c r="N1260" s="43" t="inlineStr"/>
      <c r="O1260" s="43" t="inlineStr">
        <is>
          <t>2026-09-23</t>
        </is>
      </c>
      <c r="P1260" s="33" t="inlineStr">
        <is>
          <t>For temporary Manufacturing process change</t>
        </is>
      </c>
      <c r="Q1260" s="43" t="inlineStr">
        <is>
          <t>Label PCBA topside with deviation number where space allows; do not obscure ICT test points.</t>
        </is>
      </c>
      <c r="R1260" s="43" t="inlineStr">
        <is>
          <t>2026-06-26</t>
        </is>
      </c>
      <c r="S1260" s="43" t="inlineStr">
        <is>
          <t>2026-07-16</t>
        </is>
      </c>
      <c r="T1260" s="43" t="inlineStr"/>
      <c r="U1260" s="43" t="inlineStr"/>
    </row>
    <row r="1261">
      <c r="A1261" s="43" t="n">
        <v>1261</v>
      </c>
      <c r="B1261" s="43" t="inlineStr">
        <is>
          <t>1260</t>
        </is>
      </c>
      <c r="C1261" s="43" t="inlineStr">
        <is>
          <t>FJZP</t>
        </is>
      </c>
      <c r="D1261" s="43" t="inlineStr">
        <is>
          <t>Cisco</t>
        </is>
      </c>
      <c r="E1261" s="43" t="inlineStr">
        <is>
          <t>MCGA</t>
        </is>
      </c>
      <c r="F1261" s="43" t="inlineStr">
        <is>
          <t>037-STBU</t>
        </is>
      </c>
      <c r="G1261" s="43" t="inlineStr">
        <is>
          <t>CTANJZ05320</t>
        </is>
      </c>
      <c r="H1261" s="43" t="inlineStr">
        <is>
          <t>For temporary Manufacturing process change</t>
        </is>
      </c>
      <c r="I1261" s="43" t="inlineStr">
        <is>
          <t>Customer Deviation</t>
        </is>
      </c>
      <c r="J1261" s="43" t="inlineStr">
        <is>
          <t>D612244</t>
        </is>
      </c>
      <c r="K1261" s="33" t="inlineStr">
        <is>
          <t>D612244 NGFWBU: Warwick Avenue - Factory direction for ICT &amp; process updates to address Renesas PWM programmable device content issue</t>
        </is>
      </c>
      <c r="L1261" s="43" t="inlineStr">
        <is>
          <t>Expired</t>
        </is>
      </c>
      <c r="M1261" s="43" t="inlineStr">
        <is>
          <t>73-102434-05</t>
        </is>
      </c>
      <c r="N1261" s="43" t="inlineStr"/>
      <c r="O1261" s="43" t="inlineStr">
        <is>
          <t>2026-09-23</t>
        </is>
      </c>
      <c r="P1261" s="33" t="inlineStr">
        <is>
          <t>For temporary Manufacturing process change</t>
        </is>
      </c>
      <c r="Q1261" s="43" t="inlineStr">
        <is>
          <t>Label PCBA topside with deviation number where space allows; do not obscure ICT test points.</t>
        </is>
      </c>
      <c r="R1261" s="43" t="inlineStr">
        <is>
          <t>2026-06-26</t>
        </is>
      </c>
      <c r="S1261" s="43" t="inlineStr">
        <is>
          <t>2026-07-16</t>
        </is>
      </c>
      <c r="T1261" s="43" t="inlineStr"/>
      <c r="U1261" s="43" t="inlineStr"/>
    </row>
    <row r="1262">
      <c r="A1262" s="43" t="n">
        <v>1262</v>
      </c>
      <c r="B1262" s="43" t="inlineStr">
        <is>
          <t>1261</t>
        </is>
      </c>
      <c r="C1262" s="43" t="inlineStr">
        <is>
          <t>FJZP</t>
        </is>
      </c>
      <c r="D1262" s="43" t="inlineStr">
        <is>
          <t>Cisco</t>
        </is>
      </c>
      <c r="E1262" s="43" t="inlineStr">
        <is>
          <t>MCGA</t>
        </is>
      </c>
      <c r="F1262" s="43" t="inlineStr">
        <is>
          <t>037-STBU</t>
        </is>
      </c>
      <c r="G1262" s="43" t="inlineStr">
        <is>
          <t>CTANJZ05320</t>
        </is>
      </c>
      <c r="H1262" s="43" t="inlineStr">
        <is>
          <t>For temporary Manufacturing process change</t>
        </is>
      </c>
      <c r="I1262" s="43" t="inlineStr">
        <is>
          <t>Customer Deviation</t>
        </is>
      </c>
      <c r="J1262" s="43" t="inlineStr">
        <is>
          <t>D612244</t>
        </is>
      </c>
      <c r="K1262" s="33" t="inlineStr">
        <is>
          <t>D612244 NGFWBU: Warwick Avenue - Factory direction for ICT &amp; process updates to address Renesas PWM programmable device content issue</t>
        </is>
      </c>
      <c r="L1262" s="43" t="inlineStr">
        <is>
          <t>Expired</t>
        </is>
      </c>
      <c r="M1262" s="43" t="inlineStr">
        <is>
          <t>73-102435-05</t>
        </is>
      </c>
      <c r="N1262" s="43" t="inlineStr"/>
      <c r="O1262" s="43" t="inlineStr">
        <is>
          <t>2026-09-23</t>
        </is>
      </c>
      <c r="P1262" s="33" t="inlineStr">
        <is>
          <t>For temporary Manufacturing process change</t>
        </is>
      </c>
      <c r="Q1262" s="43" t="inlineStr">
        <is>
          <t>Label PCBA topside with deviation number where space allows; do not obscure ICT test points.</t>
        </is>
      </c>
      <c r="R1262" s="43" t="inlineStr">
        <is>
          <t>2026-06-26</t>
        </is>
      </c>
      <c r="S1262" s="43" t="inlineStr">
        <is>
          <t>2026-07-16</t>
        </is>
      </c>
      <c r="T1262" s="43" t="inlineStr"/>
      <c r="U1262" s="43" t="inlineStr"/>
    </row>
    <row r="1263">
      <c r="A1263" s="43" t="n">
        <v>1263</v>
      </c>
      <c r="B1263" s="43" t="inlineStr">
        <is>
          <t>1262</t>
        </is>
      </c>
      <c r="C1263" s="43" t="inlineStr">
        <is>
          <t>FJZP</t>
        </is>
      </c>
      <c r="D1263" s="43" t="inlineStr">
        <is>
          <t>Cisco</t>
        </is>
      </c>
      <c r="E1263" s="43" t="inlineStr">
        <is>
          <t>MCGA</t>
        </is>
      </c>
      <c r="F1263" s="43" t="inlineStr">
        <is>
          <t>037-STBU</t>
        </is>
      </c>
      <c r="G1263" s="43" t="inlineStr">
        <is>
          <t>CTANJZ05432</t>
        </is>
      </c>
      <c r="H1263" s="43" t="inlineStr">
        <is>
          <t>For temporary Manufacturing process change</t>
        </is>
      </c>
      <c r="I1263" s="43" t="inlineStr">
        <is>
          <t>Customer Deviation</t>
        </is>
      </c>
      <c r="J1263" s="43" t="inlineStr">
        <is>
          <t>D613436</t>
        </is>
      </c>
      <c r="K1263" s="33" t="inlineStr">
        <is>
          <t>D613436 WESTMINSTER. - TE part 27-2083-01 is on hold; this deviation is to allow FJZ to use up the stock</t>
        </is>
      </c>
      <c r="L1263" s="43" t="inlineStr">
        <is>
          <t>Implementation</t>
        </is>
      </c>
      <c r="M1263" s="43" t="inlineStr">
        <is>
          <t>27-2083-01</t>
        </is>
      </c>
      <c r="N1263" s="43" t="inlineStr"/>
      <c r="O1263" s="43" t="inlineStr">
        <is>
          <t>2026-11-22</t>
        </is>
      </c>
      <c r="P1263" s="33" t="inlineStr">
        <is>
          <t>For temporary Manufacturing process change</t>
        </is>
      </c>
      <c r="Q1263" s="43" t="inlineStr">
        <is>
          <t>NA</t>
        </is>
      </c>
      <c r="R1263" s="43" t="inlineStr">
        <is>
          <t>2026-08-25</t>
        </is>
      </c>
      <c r="S1263" s="43" t="inlineStr">
        <is>
          <t>2026-09-22</t>
        </is>
      </c>
      <c r="T1263" s="43" t="inlineStr"/>
      <c r="U1263" s="43" t="inlineStr"/>
    </row>
    <row r="1264">
      <c r="A1264" s="43" t="n">
        <v>1264</v>
      </c>
      <c r="B1264" s="43" t="inlineStr">
        <is>
          <t>1263</t>
        </is>
      </c>
      <c r="C1264" s="43" t="inlineStr">
        <is>
          <t>FJZP</t>
        </is>
      </c>
      <c r="D1264" s="43" t="inlineStr">
        <is>
          <t>Cisco</t>
        </is>
      </c>
      <c r="E1264" s="43" t="inlineStr">
        <is>
          <t>MCGA</t>
        </is>
      </c>
      <c r="F1264" s="43" t="inlineStr">
        <is>
          <t>037-STBU</t>
        </is>
      </c>
      <c r="G1264" s="43" t="inlineStr">
        <is>
          <t>CTANJZ05432</t>
        </is>
      </c>
      <c r="H1264" s="43" t="inlineStr">
        <is>
          <t>For temporary Manufacturing process change</t>
        </is>
      </c>
      <c r="I1264" s="43" t="inlineStr">
        <is>
          <t>Customer Deviation</t>
        </is>
      </c>
      <c r="J1264" s="43" t="inlineStr">
        <is>
          <t>D613436</t>
        </is>
      </c>
      <c r="K1264" s="33" t="inlineStr">
        <is>
          <t>D613436 WESTMINSTER. - TE part 27-2083-01 is on hold; this deviation is to allow FJZ to use up the stock</t>
        </is>
      </c>
      <c r="L1264" s="43" t="inlineStr">
        <is>
          <t>Implementation</t>
        </is>
      </c>
      <c r="M1264" s="43" t="inlineStr">
        <is>
          <t>73-18488-08</t>
        </is>
      </c>
      <c r="N1264" s="43" t="inlineStr"/>
      <c r="O1264" s="43" t="inlineStr">
        <is>
          <t>2026-11-22</t>
        </is>
      </c>
      <c r="P1264" s="33" t="inlineStr">
        <is>
          <t>For temporary Manufacturing process change</t>
        </is>
      </c>
      <c r="Q1264" s="43" t="inlineStr">
        <is>
          <t>NA</t>
        </is>
      </c>
      <c r="R1264" s="43" t="inlineStr">
        <is>
          <t>2026-08-25</t>
        </is>
      </c>
      <c r="S1264" s="43" t="inlineStr">
        <is>
          <t>2026-09-22</t>
        </is>
      </c>
      <c r="T1264" s="43" t="inlineStr"/>
      <c r="U1264" s="43" t="inlineStr"/>
    </row>
    <row r="1265">
      <c r="A1265" s="43" t="n">
        <v>1265</v>
      </c>
      <c r="B1265" s="43" t="inlineStr">
        <is>
          <t>1264</t>
        </is>
      </c>
      <c r="C1265" s="43" t="inlineStr">
        <is>
          <t>FJZP</t>
        </is>
      </c>
      <c r="D1265" s="43" t="inlineStr">
        <is>
          <t>Cisco</t>
        </is>
      </c>
      <c r="E1265" s="43" t="inlineStr">
        <is>
          <t>MCGA</t>
        </is>
      </c>
      <c r="F1265" s="43" t="inlineStr">
        <is>
          <t>037-STBU</t>
        </is>
      </c>
      <c r="G1265" s="43" t="inlineStr">
        <is>
          <t>CTANJZ05432</t>
        </is>
      </c>
      <c r="H1265" s="43" t="inlineStr">
        <is>
          <t>For temporary Manufacturing process change</t>
        </is>
      </c>
      <c r="I1265" s="43" t="inlineStr">
        <is>
          <t>Customer Deviation</t>
        </is>
      </c>
      <c r="J1265" s="43" t="inlineStr">
        <is>
          <t>D613436</t>
        </is>
      </c>
      <c r="K1265" s="33" t="inlineStr">
        <is>
          <t>D613436 WESTMINSTER. - TE part 27-2083-01 is on hold; this deviation is to allow FJZ to use up the stock</t>
        </is>
      </c>
      <c r="L1265" s="43" t="inlineStr">
        <is>
          <t>Implementation</t>
        </is>
      </c>
      <c r="M1265" s="43" t="inlineStr">
        <is>
          <t>73-18489-08</t>
        </is>
      </c>
      <c r="N1265" s="43" t="inlineStr"/>
      <c r="O1265" s="43" t="inlineStr">
        <is>
          <t>2026-11-22</t>
        </is>
      </c>
      <c r="P1265" s="33" t="inlineStr">
        <is>
          <t>For temporary Manufacturing process change</t>
        </is>
      </c>
      <c r="Q1265" s="43" t="inlineStr">
        <is>
          <t>NA</t>
        </is>
      </c>
      <c r="R1265" s="43" t="inlineStr">
        <is>
          <t>2026-08-25</t>
        </is>
      </c>
      <c r="S1265" s="43" t="inlineStr">
        <is>
          <t>2026-09-22</t>
        </is>
      </c>
      <c r="T1265" s="43" t="inlineStr"/>
      <c r="U1265" s="43" t="inlineStr"/>
    </row>
    <row r="1266">
      <c r="A1266" s="43" t="n">
        <v>1266</v>
      </c>
      <c r="B1266" s="43" t="inlineStr">
        <is>
          <t>1265</t>
        </is>
      </c>
      <c r="C1266" s="43" t="inlineStr">
        <is>
          <t>FJZP</t>
        </is>
      </c>
      <c r="D1266" s="43" t="inlineStr">
        <is>
          <t>Cisco</t>
        </is>
      </c>
      <c r="E1266" s="43" t="inlineStr">
        <is>
          <t>MCGA</t>
        </is>
      </c>
      <c r="F1266" s="43" t="inlineStr">
        <is>
          <t>018-SRGBU</t>
        </is>
      </c>
      <c r="G1266" s="43" t="inlineStr">
        <is>
          <t>CTANJZ05440</t>
        </is>
      </c>
      <c r="H1266" s="43" t="inlineStr">
        <is>
          <t>For temporary Manufacturing process change</t>
        </is>
      </c>
      <c r="I1266" s="43" t="inlineStr">
        <is>
          <t>Customer Deviation</t>
        </is>
      </c>
      <c r="J1266" s="43" t="inlineStr">
        <is>
          <t>D613638</t>
        </is>
      </c>
      <c r="K1266" s="33" t="inlineStr">
        <is>
          <t>D613638 CNGBU: Alduin PIM (74-141119-02) to use raw clock generation Renesas RC21008B001GND#BB0 and Sitime (15-110028-01) and external eeprom STMicro M24C16-RMN6TP (16-100373-01);  and only use TI TPS23881ARTQR under 15-106725-02 for PoE (74-135544-03)</t>
        </is>
      </c>
      <c r="L1266" s="43" t="inlineStr">
        <is>
          <t>Implementation</t>
        </is>
      </c>
      <c r="M1266" s="43" t="inlineStr">
        <is>
          <t>74-135544-03</t>
        </is>
      </c>
      <c r="N1266" s="43" t="inlineStr"/>
      <c r="O1266" s="43" t="inlineStr">
        <is>
          <t>2026-11-24</t>
        </is>
      </c>
      <c r="P1266" s="33" t="inlineStr">
        <is>
          <t>For temporary Manufacturing process change</t>
        </is>
      </c>
      <c r="Q1266" s="43" t="inlineStr">
        <is>
          <t>Label all deviated units with Deviation label and program deviation number into the cookie</t>
        </is>
      </c>
      <c r="R1266" s="43" t="inlineStr">
        <is>
          <t>2026-08-27</t>
        </is>
      </c>
      <c r="S1266" s="43" t="inlineStr">
        <is>
          <t>2026-09-22</t>
        </is>
      </c>
      <c r="T1266" s="43" t="inlineStr"/>
      <c r="U1266" s="43" t="inlineStr"/>
    </row>
    <row r="1267">
      <c r="A1267" s="43" t="n">
        <v>1267</v>
      </c>
      <c r="B1267" s="43" t="inlineStr">
        <is>
          <t>1266</t>
        </is>
      </c>
      <c r="C1267" s="43" t="inlineStr">
        <is>
          <t>FJZP</t>
        </is>
      </c>
      <c r="D1267" s="43" t="inlineStr">
        <is>
          <t>Cisco</t>
        </is>
      </c>
      <c r="E1267" s="43" t="inlineStr">
        <is>
          <t>MCGA</t>
        </is>
      </c>
      <c r="F1267" s="43" t="inlineStr">
        <is>
          <t>018-SRGBU</t>
        </is>
      </c>
      <c r="G1267" s="43" t="inlineStr">
        <is>
          <t>CTANJZ05440</t>
        </is>
      </c>
      <c r="H1267" s="43" t="inlineStr">
        <is>
          <t>For temporary Manufacturing process change</t>
        </is>
      </c>
      <c r="I1267" s="43" t="inlineStr">
        <is>
          <t>Customer Deviation</t>
        </is>
      </c>
      <c r="J1267" s="43" t="inlineStr">
        <is>
          <t>D613638</t>
        </is>
      </c>
      <c r="K1267" s="33" t="inlineStr">
        <is>
          <t>D613638 CNGBU: Alduin PIM (74-141119-02) to use raw clock generation Renesas RC21008B001GND#BB0 and Sitime (15-110028-01) and external eeprom STMicro M24C16-RMN6TP (16-100373-01);  and only use TI TPS23881ARTQR under 15-106725-02 for PoE (74-135544-03)</t>
        </is>
      </c>
      <c r="L1267" s="43" t="inlineStr">
        <is>
          <t>Implementation</t>
        </is>
      </c>
      <c r="M1267" s="43" t="inlineStr">
        <is>
          <t>74-141119-02</t>
        </is>
      </c>
      <c r="N1267" s="43" t="inlineStr"/>
      <c r="O1267" s="43" t="inlineStr">
        <is>
          <t>2026-11-24</t>
        </is>
      </c>
      <c r="P1267" s="33" t="inlineStr">
        <is>
          <t>For temporary Manufacturing process change</t>
        </is>
      </c>
      <c r="Q1267" s="43" t="inlineStr">
        <is>
          <t>Label all deviated units with Deviation label and program deviation number into the cookie</t>
        </is>
      </c>
      <c r="R1267" s="43" t="inlineStr">
        <is>
          <t>2026-08-27</t>
        </is>
      </c>
      <c r="S1267" s="43" t="inlineStr">
        <is>
          <t>2026-09-22</t>
        </is>
      </c>
      <c r="T1267" s="43" t="inlineStr"/>
      <c r="U1267" s="43" t="inlineStr"/>
    </row>
    <row r="1268">
      <c r="A1268" s="43" t="n">
        <v>1268</v>
      </c>
      <c r="B1268" s="43" t="inlineStr">
        <is>
          <t>1267</t>
        </is>
      </c>
      <c r="C1268" s="43" t="inlineStr">
        <is>
          <t>FJZP</t>
        </is>
      </c>
      <c r="D1268" s="43" t="inlineStr">
        <is>
          <t>Cisco</t>
        </is>
      </c>
      <c r="E1268" s="43" t="inlineStr">
        <is>
          <t>MCGA</t>
        </is>
      </c>
      <c r="F1268" s="43" t="inlineStr">
        <is>
          <t>239-CRBU</t>
        </is>
      </c>
      <c r="G1268" s="43" t="inlineStr">
        <is>
          <t>CTANJZ05537</t>
        </is>
      </c>
      <c r="H1268" s="43" t="inlineStr">
        <is>
          <t>For temporary Manufacturing process change</t>
        </is>
      </c>
      <c r="I1268" s="43" t="inlineStr">
        <is>
          <t>Customer Deviation</t>
        </is>
      </c>
      <c r="J1268" s="43" t="inlineStr">
        <is>
          <t>D614497</t>
        </is>
      </c>
      <c r="K1268" s="33" t="inlineStr">
        <is>
          <t>D614497This deviation approve FJZ to build 68-8178-01 and -68-7781-12  using paladin plus connectors 29-106208-02</t>
        </is>
      </c>
      <c r="L1268" s="43" t="inlineStr">
        <is>
          <t>CCB</t>
        </is>
      </c>
      <c r="M1268" s="43" t="inlineStr">
        <is>
          <t>68-7781-12</t>
        </is>
      </c>
      <c r="N1268" s="43" t="inlineStr"/>
      <c r="O1268" s="43" t="inlineStr">
        <is>
          <t>2027-01-12</t>
        </is>
      </c>
      <c r="P1268" s="33" t="inlineStr"/>
      <c r="Q1268" s="43" t="inlineStr">
        <is>
          <t>place deviation on the  units</t>
        </is>
      </c>
      <c r="R1268" s="43" t="inlineStr">
        <is>
          <t>2026-10-15</t>
        </is>
      </c>
      <c r="S1268" s="43" t="inlineStr"/>
      <c r="T1268" s="43" t="inlineStr"/>
      <c r="U1268" s="43" t="inlineStr"/>
    </row>
    <row r="1269">
      <c r="A1269" s="43" t="n">
        <v>1269</v>
      </c>
      <c r="B1269" s="43" t="inlineStr">
        <is>
          <t>1268</t>
        </is>
      </c>
      <c r="C1269" s="43" t="inlineStr">
        <is>
          <t>FJZP</t>
        </is>
      </c>
      <c r="D1269" s="43" t="inlineStr">
        <is>
          <t>Cisco</t>
        </is>
      </c>
      <c r="E1269" s="43" t="inlineStr">
        <is>
          <t>MCGA</t>
        </is>
      </c>
      <c r="F1269" s="43" t="inlineStr">
        <is>
          <t>239-CRBU</t>
        </is>
      </c>
      <c r="G1269" s="43" t="inlineStr">
        <is>
          <t>CTANJZ05537</t>
        </is>
      </c>
      <c r="H1269" s="43" t="inlineStr">
        <is>
          <t>For temporary Manufacturing process change</t>
        </is>
      </c>
      <c r="I1269" s="43" t="inlineStr">
        <is>
          <t>Customer Deviation</t>
        </is>
      </c>
      <c r="J1269" s="43" t="inlineStr">
        <is>
          <t>D614497</t>
        </is>
      </c>
      <c r="K1269" s="33" t="inlineStr">
        <is>
          <t>D614497This deviation approve FJZ to build 68-8178-01 and -68-7781-12  using paladin plus connectors 29-106208-02</t>
        </is>
      </c>
      <c r="L1269" s="43" t="inlineStr">
        <is>
          <t>CCB</t>
        </is>
      </c>
      <c r="M1269" s="43" t="inlineStr">
        <is>
          <t>68-8178-01</t>
        </is>
      </c>
      <c r="N1269" s="43" t="inlineStr"/>
      <c r="O1269" s="43" t="inlineStr">
        <is>
          <t>2027-01-12</t>
        </is>
      </c>
      <c r="P1269" s="33" t="inlineStr"/>
      <c r="Q1269" s="43" t="inlineStr">
        <is>
          <t>place deviation on the  units</t>
        </is>
      </c>
      <c r="R1269" s="43" t="inlineStr">
        <is>
          <t>2026-10-15</t>
        </is>
      </c>
      <c r="S1269" s="43" t="inlineStr"/>
      <c r="T1269" s="43" t="inlineStr"/>
      <c r="U1269" s="43" t="inlineStr"/>
    </row>
    <row r="1270">
      <c r="A1270" s="43" t="n">
        <v>1270</v>
      </c>
      <c r="B1270" s="43" t="inlineStr">
        <is>
          <t>1269</t>
        </is>
      </c>
      <c r="C1270" s="43" t="inlineStr">
        <is>
          <t>FJZP</t>
        </is>
      </c>
      <c r="D1270" s="43" t="inlineStr">
        <is>
          <t>Cisco</t>
        </is>
      </c>
      <c r="E1270" s="43" t="inlineStr">
        <is>
          <t>MCGA</t>
        </is>
      </c>
      <c r="F1270" s="43" t="inlineStr">
        <is>
          <t>035-CVEBU</t>
        </is>
      </c>
      <c r="G1270" s="43" t="inlineStr">
        <is>
          <t>CTANJZ05414</t>
        </is>
      </c>
      <c r="H1270" s="43" t="inlineStr">
        <is>
          <t>For temporary Manufacturing process change</t>
        </is>
      </c>
      <c r="I1270" s="43" t="inlineStr">
        <is>
          <t>Customer Deviation</t>
        </is>
      </c>
      <c r="J1270" s="43" t="inlineStr">
        <is>
          <t>D613039</t>
        </is>
      </c>
      <c r="K1270" s="33" t="inlineStr">
        <is>
          <t>D613039 CVEBU; Heimdall; Temporarily swapping 1.8V LDO from Renesas to TIAffected items73-103459-02; PCA;HEIMDALL MIC BOARD  15-109506-01; IC-LIN;VREG;LDO;DFN;8 P;3.0x3.0mm PKGSIZE;0.65mm PITCH;20.0 V IN;18.0 V OUT;0.5 A;-40 to 125C  15-109628-01; IC-LIN;VREG;LDO;WSON;8 P;3.0x3.0mm PKGSIZE;0.65mm PITCH;16.0 V IN;14.6 V OUT;0.5A;-40 to 125 C; Internal Soft Start  Deviation- FJZ is hereby instructed to perform following changes to 73-103459-02 BOM:- Remove U65/15-109506-01 from BOM- Add U66/15-109628-01 to BOM- Change R149 from 12-4443-01 to 12-2567-02 (from 2.4k to 15k)- Change R151 from 12-100278-01 to 12-4978-01 (from 5.1k to 12k)Additional comment- Above deviation is allowed until stock of 15-109506-01 is available again- Above deviation should not impact SW; but may cause ICT limit adjustment- 15-109506-01 is already used in Tyne Audio Board 73-103758-04; hence pipeline already at FJZ</t>
        </is>
      </c>
      <c r="L1270" s="43" t="inlineStr">
        <is>
          <t>FAI Status</t>
        </is>
      </c>
      <c r="M1270" s="43" t="inlineStr">
        <is>
          <t>15-109506-01</t>
        </is>
      </c>
      <c r="N1270" s="43" t="inlineStr"/>
      <c r="O1270" s="43" t="inlineStr">
        <is>
          <t>2026-10-29</t>
        </is>
      </c>
      <c r="P1270" s="33" t="inlineStr">
        <is>
          <t>For temporary Manufacturing process change</t>
        </is>
      </c>
      <c r="Q1270" s="43" t="inlineStr">
        <is>
          <t>Mark PCB with deviation number</t>
        </is>
      </c>
      <c r="R1270" s="43" t="inlineStr">
        <is>
          <t>2026-08-03</t>
        </is>
      </c>
      <c r="S1270" s="43" t="inlineStr">
        <is>
          <t>2026-09-04</t>
        </is>
      </c>
      <c r="T1270" s="43" t="inlineStr"/>
      <c r="U1270" s="43" t="inlineStr"/>
    </row>
    <row r="1271">
      <c r="A1271" s="43" t="n">
        <v>1271</v>
      </c>
      <c r="B1271" s="43" t="inlineStr">
        <is>
          <t>1270</t>
        </is>
      </c>
      <c r="C1271" s="43" t="inlineStr">
        <is>
          <t>FJZP</t>
        </is>
      </c>
      <c r="D1271" s="43" t="inlineStr">
        <is>
          <t>Cisco</t>
        </is>
      </c>
      <c r="E1271" s="43" t="inlineStr">
        <is>
          <t>MCGA</t>
        </is>
      </c>
      <c r="F1271" s="43" t="inlineStr">
        <is>
          <t>035-CVEBU</t>
        </is>
      </c>
      <c r="G1271" s="43" t="inlineStr">
        <is>
          <t>CTANJZ05414</t>
        </is>
      </c>
      <c r="H1271" s="43" t="inlineStr">
        <is>
          <t>For temporary Manufacturing process change</t>
        </is>
      </c>
      <c r="I1271" s="43" t="inlineStr">
        <is>
          <t>Customer Deviation</t>
        </is>
      </c>
      <c r="J1271" s="43" t="inlineStr">
        <is>
          <t>D613039</t>
        </is>
      </c>
      <c r="K1271" s="33" t="inlineStr">
        <is>
          <t>D613039 CVEBU; Heimdall; Temporarily swapping 1.8V LDO from Renesas to TIAffected items73-103459-02; PCA;HEIMDALL MIC BOARD  15-109506-01; IC-LIN;VREG;LDO;DFN;8 P;3.0x3.0mm PKGSIZE;0.65mm PITCH;20.0 V IN;18.0 V OUT;0.5 A;-40 to 125C  15-109628-01; IC-LIN;VREG;LDO;WSON;8 P;3.0x3.0mm PKGSIZE;0.65mm PITCH;16.0 V IN;14.6 V OUT;0.5A;-40 to 125 C; Internal Soft Start  Deviation- FJZ is hereby instructed to perform following changes to 73-103459-02 BOM:- Remove U65/15-109506-01 from BOM- Add U66/15-109628-01 to BOM- Change R149 from 12-4443-01 to 12-2567-02 (from 2.4k to 15k)- Change R151 from 12-100278-01 to 12-4978-01 (from 5.1k to 12k)Additional comment- Above deviation is allowed until stock of 15-109506-01 is available again- Above deviation should not impact SW; but may cause ICT limit adjustment- 15-109506-01 is already used in Tyne Audio Board 73-103758-04; hence pipeline already at FJZ</t>
        </is>
      </c>
      <c r="L1271" s="43" t="inlineStr">
        <is>
          <t>FAI Status</t>
        </is>
      </c>
      <c r="M1271" s="43" t="inlineStr">
        <is>
          <t>15-109628-01</t>
        </is>
      </c>
      <c r="N1271" s="43" t="inlineStr"/>
      <c r="O1271" s="43" t="inlineStr">
        <is>
          <t>2026-10-29</t>
        </is>
      </c>
      <c r="P1271" s="33" t="inlineStr">
        <is>
          <t>For temporary Manufacturing process change</t>
        </is>
      </c>
      <c r="Q1271" s="43" t="inlineStr">
        <is>
          <t>Mark PCB with deviation number</t>
        </is>
      </c>
      <c r="R1271" s="43" t="inlineStr">
        <is>
          <t>2026-08-03</t>
        </is>
      </c>
      <c r="S1271" s="43" t="inlineStr">
        <is>
          <t>2026-09-04</t>
        </is>
      </c>
      <c r="T1271" s="43" t="inlineStr"/>
      <c r="U1271" s="43" t="inlineStr"/>
    </row>
    <row r="1272">
      <c r="A1272" s="43" t="n">
        <v>1272</v>
      </c>
      <c r="B1272" s="43" t="inlineStr">
        <is>
          <t>1271</t>
        </is>
      </c>
      <c r="C1272" s="43" t="inlineStr">
        <is>
          <t>FJZP</t>
        </is>
      </c>
      <c r="D1272" s="43" t="inlineStr">
        <is>
          <t>Cisco</t>
        </is>
      </c>
      <c r="E1272" s="43" t="inlineStr">
        <is>
          <t>MCGA</t>
        </is>
      </c>
      <c r="F1272" s="43" t="inlineStr">
        <is>
          <t>035-CVEBU</t>
        </is>
      </c>
      <c r="G1272" s="43" t="inlineStr">
        <is>
          <t>CTANJZ05414</t>
        </is>
      </c>
      <c r="H1272" s="43" t="inlineStr">
        <is>
          <t>For temporary Manufacturing process change</t>
        </is>
      </c>
      <c r="I1272" s="43" t="inlineStr">
        <is>
          <t>Customer Deviation</t>
        </is>
      </c>
      <c r="J1272" s="43" t="inlineStr">
        <is>
          <t>D613039</t>
        </is>
      </c>
      <c r="K1272" s="33" t="inlineStr">
        <is>
          <t>D613039 CVEBU; Heimdall; Temporarily swapping 1.8V LDO from Renesas to TIAffected items73-103459-02; PCA;HEIMDALL MIC BOARD  15-109506-01; IC-LIN;VREG;LDO;DFN;8 P;3.0x3.0mm PKGSIZE;0.65mm PITCH;20.0 V IN;18.0 V OUT;0.5 A;-40 to 125C  15-109628-01; IC-LIN;VREG;LDO;WSON;8 P;3.0x3.0mm PKGSIZE;0.65mm PITCH;16.0 V IN;14.6 V OUT;0.5A;-40 to 125 C; Internal Soft Start  Deviation- FJZ is hereby instructed to perform following changes to 73-103459-02 BOM:- Remove U65/15-109506-01 from BOM- Add U66/15-109628-01 to BOM- Change R149 from 12-4443-01 to 12-2567-02 (from 2.4k to 15k)- Change R151 from 12-100278-01 to 12-4978-01 (from 5.1k to 12k)Additional comment- Above deviation is allowed until stock of 15-109506-01 is available again- Above deviation should not impact SW; but may cause ICT limit adjustment- 15-109506-01 is already used in Tyne Audio Board 73-103758-04; hence pipeline already at FJZ</t>
        </is>
      </c>
      <c r="L1272" s="43" t="inlineStr">
        <is>
          <t>FAI Status</t>
        </is>
      </c>
      <c r="M1272" s="43" t="inlineStr">
        <is>
          <t>73-103459-02</t>
        </is>
      </c>
      <c r="N1272" s="43" t="inlineStr"/>
      <c r="O1272" s="43" t="inlineStr">
        <is>
          <t>2026-10-29</t>
        </is>
      </c>
      <c r="P1272" s="33" t="inlineStr">
        <is>
          <t>For temporary Manufacturing process change</t>
        </is>
      </c>
      <c r="Q1272" s="43" t="inlineStr">
        <is>
          <t>Mark PCB with deviation number</t>
        </is>
      </c>
      <c r="R1272" s="43" t="inlineStr">
        <is>
          <t>2026-08-03</t>
        </is>
      </c>
      <c r="S1272" s="43" t="inlineStr">
        <is>
          <t>2026-09-04</t>
        </is>
      </c>
      <c r="T1272" s="43" t="inlineStr"/>
      <c r="U1272" s="43" t="inlineStr"/>
    </row>
    <row r="1273">
      <c r="A1273" s="43" t="n">
        <v>1273</v>
      </c>
      <c r="B1273" s="43" t="inlineStr">
        <is>
          <t>1272</t>
        </is>
      </c>
      <c r="C1273" s="43" t="inlineStr">
        <is>
          <t>FJZP</t>
        </is>
      </c>
      <c r="D1273" s="43" t="inlineStr">
        <is>
          <t>Cisco</t>
        </is>
      </c>
      <c r="E1273" s="43" t="inlineStr">
        <is>
          <t>MCGA</t>
        </is>
      </c>
      <c r="F1273" s="43" t="inlineStr">
        <is>
          <t>037-STBU</t>
        </is>
      </c>
      <c r="G1273" s="43" t="inlineStr">
        <is>
          <t>CTANJZ05343</t>
        </is>
      </c>
      <c r="H1273" s="43" t="inlineStr">
        <is>
          <t>For temporary Manufacturing process change</t>
        </is>
      </c>
      <c r="I1273" s="43" t="inlineStr">
        <is>
          <t>Customer Deviation</t>
        </is>
      </c>
      <c r="J1273" s="43" t="inlineStr">
        <is>
          <t>D612246</t>
        </is>
      </c>
      <c r="K1273" s="33" t="inlineStr">
        <is>
          <t>D612246 A. Restriction of AVL for CPN 16-101652-01:RESTRICT/DO NOT USE: Micron MPN MTFDKCC960TFR-1BC15ABCC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 (MTFDKCC960TFR-1BC15ABCC) must be reworked to replace the drive with the approved Samsung MPN (MZQL2960HCJR-00A07) to allow FPR3K SKUs to continue on the DF side.This deviation applies to MPNs at both PCBA and DF Sites at FJZ effective immediately.</t>
        </is>
      </c>
      <c r="L1273" s="43" t="inlineStr">
        <is>
          <t>Expired</t>
        </is>
      </c>
      <c r="M1273" s="43" t="inlineStr">
        <is>
          <t>68-7255-05</t>
        </is>
      </c>
      <c r="N1273" s="43" t="inlineStr"/>
      <c r="O1273" s="43" t="inlineStr">
        <is>
          <t>2026-10-05</t>
        </is>
      </c>
      <c r="P1273" s="33" t="inlineStr">
        <is>
          <t>For temporary Manufacturing process change</t>
        </is>
      </c>
      <c r="Q1273" s="43" t="inlineStr">
        <is>
          <t>No additional actions need it</t>
        </is>
      </c>
      <c r="R1273" s="43" t="inlineStr">
        <is>
          <t>2026-07-08</t>
        </is>
      </c>
      <c r="S1273" s="43" t="inlineStr">
        <is>
          <t>2026-07-24</t>
        </is>
      </c>
      <c r="T1273" s="43" t="inlineStr"/>
      <c r="U1273" s="43" t="inlineStr"/>
    </row>
    <row r="1274">
      <c r="A1274" s="43" t="n">
        <v>1274</v>
      </c>
      <c r="B1274" s="43" t="inlineStr">
        <is>
          <t>1273</t>
        </is>
      </c>
      <c r="C1274" s="43" t="inlineStr">
        <is>
          <t>FJZP</t>
        </is>
      </c>
      <c r="D1274" s="43" t="inlineStr">
        <is>
          <t>Cisco</t>
        </is>
      </c>
      <c r="E1274" s="43" t="inlineStr">
        <is>
          <t>MCGA</t>
        </is>
      </c>
      <c r="F1274" s="43" t="inlineStr">
        <is>
          <t>037-STBU</t>
        </is>
      </c>
      <c r="G1274" s="43" t="inlineStr">
        <is>
          <t>CTANJZ05343</t>
        </is>
      </c>
      <c r="H1274" s="43" t="inlineStr">
        <is>
          <t>For temporary Manufacturing process change</t>
        </is>
      </c>
      <c r="I1274" s="43" t="inlineStr">
        <is>
          <t>Customer Deviation</t>
        </is>
      </c>
      <c r="J1274" s="43" t="inlineStr">
        <is>
          <t>D612246</t>
        </is>
      </c>
      <c r="K1274" s="33" t="inlineStr">
        <is>
          <t>D612246 A. Restriction of AVL for CPN 16-101652-01:RESTRICT/DO NOT USE: Micron MPN MTFDKCC960TFR-1BC15ABCC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 (MTFDKCC960TFR-1BC15ABCC) must be reworked to replace the drive with the approved Samsung MPN (MZQL2960HCJR-00A07) to allow FPR3K SKUs to continue on the DF side.This deviation applies to MPNs at both PCBA and DF Sites at FJZ effective immediately.</t>
        </is>
      </c>
      <c r="L1274" s="43" t="inlineStr">
        <is>
          <t>Expired</t>
        </is>
      </c>
      <c r="M1274" s="43" t="inlineStr">
        <is>
          <t>68-7256-05</t>
        </is>
      </c>
      <c r="N1274" s="43" t="inlineStr"/>
      <c r="O1274" s="43" t="inlineStr">
        <is>
          <t>2026-10-05</t>
        </is>
      </c>
      <c r="P1274" s="33" t="inlineStr">
        <is>
          <t>For temporary Manufacturing process change</t>
        </is>
      </c>
      <c r="Q1274" s="43" t="inlineStr">
        <is>
          <t>No additional actions need it</t>
        </is>
      </c>
      <c r="R1274" s="43" t="inlineStr">
        <is>
          <t>2026-07-08</t>
        </is>
      </c>
      <c r="S1274" s="43" t="inlineStr">
        <is>
          <t>2026-07-24</t>
        </is>
      </c>
      <c r="T1274" s="43" t="inlineStr"/>
      <c r="U1274" s="43" t="inlineStr"/>
    </row>
    <row r="1275">
      <c r="A1275" s="43" t="n">
        <v>1275</v>
      </c>
      <c r="B1275" s="43" t="inlineStr">
        <is>
          <t>1274</t>
        </is>
      </c>
      <c r="C1275" s="43" t="inlineStr">
        <is>
          <t>FJZP</t>
        </is>
      </c>
      <c r="D1275" s="43" t="inlineStr">
        <is>
          <t>Cisco</t>
        </is>
      </c>
      <c r="E1275" s="43" t="inlineStr">
        <is>
          <t>MCGA</t>
        </is>
      </c>
      <c r="F1275" s="43" t="inlineStr">
        <is>
          <t>037-STBU</t>
        </is>
      </c>
      <c r="G1275" s="43" t="inlineStr">
        <is>
          <t>CTANJZ05343</t>
        </is>
      </c>
      <c r="H1275" s="43" t="inlineStr">
        <is>
          <t>For temporary Manufacturing process change</t>
        </is>
      </c>
      <c r="I1275" s="43" t="inlineStr">
        <is>
          <t>Customer Deviation</t>
        </is>
      </c>
      <c r="J1275" s="43" t="inlineStr">
        <is>
          <t>D612246</t>
        </is>
      </c>
      <c r="K1275" s="33" t="inlineStr">
        <is>
          <t>D612246 A. Restriction of AVL for CPN 16-101652-01:RESTRICT/DO NOT USE: Micron MPN MTFDKCC960TFR-1BC15ABCC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 (MTFDKCC960TFR-1BC15ABCC) must be reworked to replace the drive with the approved Samsung MPN (MZQL2960HCJR-00A07) to allow FPR3K SKUs to continue on the DF side.This deviation applies to MPNs at both PCBA and DF Sites at FJZ effective immediately.</t>
        </is>
      </c>
      <c r="L1275" s="43" t="inlineStr">
        <is>
          <t>Expired</t>
        </is>
      </c>
      <c r="M1275" s="43" t="inlineStr">
        <is>
          <t>68-7638-02</t>
        </is>
      </c>
      <c r="N1275" s="43" t="inlineStr"/>
      <c r="O1275" s="43" t="inlineStr">
        <is>
          <t>2026-10-05</t>
        </is>
      </c>
      <c r="P1275" s="33" t="inlineStr">
        <is>
          <t>For temporary Manufacturing process change</t>
        </is>
      </c>
      <c r="Q1275" s="43" t="inlineStr">
        <is>
          <t>No additional actions need it</t>
        </is>
      </c>
      <c r="R1275" s="43" t="inlineStr">
        <is>
          <t>2026-07-08</t>
        </is>
      </c>
      <c r="S1275" s="43" t="inlineStr">
        <is>
          <t>2026-07-24</t>
        </is>
      </c>
      <c r="T1275" s="43" t="inlineStr"/>
      <c r="U1275" s="43" t="inlineStr"/>
    </row>
    <row r="1276">
      <c r="A1276" s="43" t="n">
        <v>1276</v>
      </c>
      <c r="B1276" s="43" t="inlineStr">
        <is>
          <t>1275</t>
        </is>
      </c>
      <c r="C1276" s="43" t="inlineStr">
        <is>
          <t>FJZP</t>
        </is>
      </c>
      <c r="D1276" s="43" t="inlineStr">
        <is>
          <t>Cisco</t>
        </is>
      </c>
      <c r="E1276" s="43" t="inlineStr">
        <is>
          <t>MCGA</t>
        </is>
      </c>
      <c r="F1276" s="43" t="inlineStr">
        <is>
          <t>037-STBU</t>
        </is>
      </c>
      <c r="G1276" s="43" t="inlineStr">
        <is>
          <t>CTANJZ05343</t>
        </is>
      </c>
      <c r="H1276" s="43" t="inlineStr">
        <is>
          <t>For temporary Manufacturing process change</t>
        </is>
      </c>
      <c r="I1276" s="43" t="inlineStr">
        <is>
          <t>Customer Deviation</t>
        </is>
      </c>
      <c r="J1276" s="43" t="inlineStr">
        <is>
          <t>D612246</t>
        </is>
      </c>
      <c r="K1276" s="33" t="inlineStr">
        <is>
          <t>D612246 A. Restriction of AVL for CPN 16-101652-01:RESTRICT/DO NOT USE: Micron MPN MTFDKCC960TFR-1BC15ABCC in the assembly of 68-103418-01 &amp; on the DF Side of ETE testingAPPROVED FOR USE: FJZ must restrict the AVL to use ONLY Samsung MPN MZQL2960HCJR-00A07.Reason: High failure rate in DF ("no mapped devices boot error") related to MICRON SSDsB. Rework Instructions:FJZ MUST rework the SSD Tray Carrier (68-103418-01).Existing SSD Tray Carrier inventory utilizing the Micron part (MTFDKCC960TFR-1BC15ABCC) must be reworked to replace the drive with the approved Samsung MPN (MZQL2960HCJR-00A07) to allow FPR3K SKUs to continue on the DF side.This deviation applies to MPNs at both PCBA and DF Sites at FJZ effective immediately.</t>
        </is>
      </c>
      <c r="L1276" s="43" t="inlineStr">
        <is>
          <t>Expired</t>
        </is>
      </c>
      <c r="M1276" s="43" t="inlineStr">
        <is>
          <t>74-126726-01</t>
        </is>
      </c>
      <c r="N1276" s="43" t="inlineStr"/>
      <c r="O1276" s="43" t="inlineStr">
        <is>
          <t>2026-10-05</t>
        </is>
      </c>
      <c r="P1276" s="33" t="inlineStr">
        <is>
          <t>For temporary Manufacturing process change</t>
        </is>
      </c>
      <c r="Q1276" s="43" t="inlineStr">
        <is>
          <t>No additional actions need it</t>
        </is>
      </c>
      <c r="R1276" s="43" t="inlineStr">
        <is>
          <t>2026-07-08</t>
        </is>
      </c>
      <c r="S1276" s="43" t="inlineStr">
        <is>
          <t>2026-07-24</t>
        </is>
      </c>
      <c r="T1276" s="43" t="inlineStr"/>
      <c r="U1276" s="43" t="inlineStr"/>
    </row>
    <row r="1277">
      <c r="A1277" s="43" t="n">
        <v>1277</v>
      </c>
      <c r="B1277" s="43" t="inlineStr">
        <is>
          <t>1276</t>
        </is>
      </c>
      <c r="C1277" s="43" t="inlineStr">
        <is>
          <t>FJZP</t>
        </is>
      </c>
      <c r="D1277" s="43" t="inlineStr">
        <is>
          <t>Cisco</t>
        </is>
      </c>
      <c r="E1277" s="43" t="inlineStr">
        <is>
          <t>MCGA</t>
        </is>
      </c>
      <c r="F1277" s="43" t="inlineStr">
        <is>
          <t>018-SRGBU</t>
        </is>
      </c>
      <c r="G1277" s="43" t="inlineStr">
        <is>
          <t>CTANJZ05344</t>
        </is>
      </c>
      <c r="H1277" s="43" t="inlineStr">
        <is>
          <t>For temporary Manufacturing process change</t>
        </is>
      </c>
      <c r="I1277" s="43" t="inlineStr">
        <is>
          <t>Customer Deviation</t>
        </is>
      </c>
      <c r="J1277" s="43" t="inlineStr">
        <is>
          <t>D612031</t>
        </is>
      </c>
      <c r="K1277" s="33" t="inlineStr">
        <is>
          <t>D612031 Replace 20-0127-02 with 20-0643-01 at Q24 and Q25 for Charon 8P; Charon 8P+ and Charon 8P+ w/POE</t>
        </is>
      </c>
      <c r="L1277" s="43" t="inlineStr">
        <is>
          <t>Expired</t>
        </is>
      </c>
      <c r="M1277" s="43" t="inlineStr">
        <is>
          <t>73-21204-06</t>
        </is>
      </c>
      <c r="N1277" s="43" t="inlineStr"/>
      <c r="O1277" s="43" t="inlineStr">
        <is>
          <t>2026-10-06</t>
        </is>
      </c>
      <c r="P1277" s="33" t="inlineStr">
        <is>
          <t>For temporary Manufacturing process change</t>
        </is>
      </c>
      <c r="Q1277" s="43" t="inlineStr">
        <is>
          <t>Place the deviation label on visual area of the boards</t>
        </is>
      </c>
      <c r="R1277" s="43" t="inlineStr">
        <is>
          <t>2026-07-09</t>
        </is>
      </c>
      <c r="S1277" s="43" t="inlineStr">
        <is>
          <t>2026-07-21</t>
        </is>
      </c>
      <c r="T1277" s="43" t="inlineStr"/>
      <c r="U1277" s="43" t="inlineStr"/>
    </row>
    <row r="1278">
      <c r="A1278" s="43" t="n">
        <v>1278</v>
      </c>
      <c r="B1278" s="43" t="inlineStr">
        <is>
          <t>1277</t>
        </is>
      </c>
      <c r="C1278" s="43" t="inlineStr">
        <is>
          <t>FJZP</t>
        </is>
      </c>
      <c r="D1278" s="43" t="inlineStr">
        <is>
          <t>Cisco</t>
        </is>
      </c>
      <c r="E1278" s="43" t="inlineStr">
        <is>
          <t>MCGA</t>
        </is>
      </c>
      <c r="F1278" s="43" t="inlineStr">
        <is>
          <t>018-SRGBU</t>
        </is>
      </c>
      <c r="G1278" s="43" t="inlineStr">
        <is>
          <t>CTANJZ05344</t>
        </is>
      </c>
      <c r="H1278" s="43" t="inlineStr">
        <is>
          <t>For temporary Manufacturing process change</t>
        </is>
      </c>
      <c r="I1278" s="43" t="inlineStr">
        <is>
          <t>Customer Deviation</t>
        </is>
      </c>
      <c r="J1278" s="43" t="inlineStr">
        <is>
          <t>D612031</t>
        </is>
      </c>
      <c r="K1278" s="33" t="inlineStr">
        <is>
          <t>D612031 Replace 20-0127-02 with 20-0643-01 at Q24 and Q25 for Charon 8P; Charon 8P+ and Charon 8P+ w/POE</t>
        </is>
      </c>
      <c r="L1278" s="43" t="inlineStr">
        <is>
          <t>Expired</t>
        </is>
      </c>
      <c r="M1278" s="43" t="inlineStr">
        <is>
          <t>73-21231-05</t>
        </is>
      </c>
      <c r="N1278" s="43" t="inlineStr"/>
      <c r="O1278" s="43" t="inlineStr">
        <is>
          <t>2026-10-06</t>
        </is>
      </c>
      <c r="P1278" s="33" t="inlineStr">
        <is>
          <t>For temporary Manufacturing process change</t>
        </is>
      </c>
      <c r="Q1278" s="43" t="inlineStr">
        <is>
          <t>Place the deviation label on visual area of the boards</t>
        </is>
      </c>
      <c r="R1278" s="43" t="inlineStr">
        <is>
          <t>2026-07-09</t>
        </is>
      </c>
      <c r="S1278" s="43" t="inlineStr">
        <is>
          <t>2026-07-21</t>
        </is>
      </c>
      <c r="T1278" s="43" t="inlineStr"/>
      <c r="U1278" s="43" t="inlineStr"/>
    </row>
    <row r="1279">
      <c r="A1279" s="43" t="n">
        <v>1279</v>
      </c>
      <c r="B1279" s="43" t="inlineStr">
        <is>
          <t>1278</t>
        </is>
      </c>
      <c r="C1279" s="43" t="inlineStr">
        <is>
          <t>FJZP</t>
        </is>
      </c>
      <c r="D1279" s="43" t="inlineStr">
        <is>
          <t>Cisco</t>
        </is>
      </c>
      <c r="E1279" s="43" t="inlineStr">
        <is>
          <t>MCGA</t>
        </is>
      </c>
      <c r="F1279" s="43" t="inlineStr">
        <is>
          <t>018-SRGBU</t>
        </is>
      </c>
      <c r="G1279" s="43" t="inlineStr">
        <is>
          <t>CTANJZ05344</t>
        </is>
      </c>
      <c r="H1279" s="43" t="inlineStr">
        <is>
          <t>For temporary Manufacturing process change</t>
        </is>
      </c>
      <c r="I1279" s="43" t="inlineStr">
        <is>
          <t>Customer Deviation</t>
        </is>
      </c>
      <c r="J1279" s="43" t="inlineStr">
        <is>
          <t>D612031</t>
        </is>
      </c>
      <c r="K1279" s="33" t="inlineStr">
        <is>
          <t>D612031 Replace 20-0127-02 with 20-0643-01 at Q24 and Q25 for Charon 8P; Charon 8P+ and Charon 8P+ w/POE</t>
        </is>
      </c>
      <c r="L1279" s="43" t="inlineStr">
        <is>
          <t>Expired</t>
        </is>
      </c>
      <c r="M1279" s="43" t="inlineStr">
        <is>
          <t>73-21417-05</t>
        </is>
      </c>
      <c r="N1279" s="43" t="inlineStr"/>
      <c r="O1279" s="43" t="inlineStr">
        <is>
          <t>2026-10-06</t>
        </is>
      </c>
      <c r="P1279" s="33" t="inlineStr">
        <is>
          <t>For temporary Manufacturing process change</t>
        </is>
      </c>
      <c r="Q1279" s="43" t="inlineStr">
        <is>
          <t>Place the deviation label on visual area of the boards</t>
        </is>
      </c>
      <c r="R1279" s="43" t="inlineStr">
        <is>
          <t>2026-07-09</t>
        </is>
      </c>
      <c r="S1279" s="43" t="inlineStr">
        <is>
          <t>2026-07-21</t>
        </is>
      </c>
      <c r="T1279" s="43" t="inlineStr"/>
      <c r="U1279" s="43" t="inlineStr"/>
    </row>
    <row r="1280">
      <c r="A1280" s="43" t="n">
        <v>1280</v>
      </c>
      <c r="B1280" s="43" t="inlineStr">
        <is>
          <t>1279</t>
        </is>
      </c>
      <c r="C1280" s="43" t="inlineStr">
        <is>
          <t>FJZP</t>
        </is>
      </c>
      <c r="D1280" s="43" t="inlineStr">
        <is>
          <t>Cisco</t>
        </is>
      </c>
      <c r="E1280" s="43" t="inlineStr">
        <is>
          <t>MCGA</t>
        </is>
      </c>
      <c r="F1280" s="43" t="inlineStr">
        <is>
          <t>037-STBU</t>
        </is>
      </c>
      <c r="G1280" s="43" t="inlineStr">
        <is>
          <t>CTANJZ05345</t>
        </is>
      </c>
      <c r="H1280" s="43" t="inlineStr">
        <is>
          <t>For temporary Manufacturing process change</t>
        </is>
      </c>
      <c r="I1280" s="43" t="inlineStr">
        <is>
          <t>Customer Deviation</t>
        </is>
      </c>
      <c r="J1280" s="43" t="inlineStr">
        <is>
          <t>D612428</t>
        </is>
      </c>
      <c r="K1280" s="33" t="inlineStr">
        <is>
          <t>D612428FJZ has the last 2 orders for the PID FPR-NM-2X40G-F=; this product is EOL so to fulfillment these orders we allow to FJZ to use as substitute the 55-372527-01 instead of 55-101825-01The orders are 119617780-1 and 119461060-6 (End customer: CISCO SYSTEMS INC SERVICE OPERATIONS)</t>
        </is>
      </c>
      <c r="L1280" s="43" t="inlineStr">
        <is>
          <t>Expired</t>
        </is>
      </c>
      <c r="M1280" s="43" t="inlineStr">
        <is>
          <t>502-00135-01</t>
        </is>
      </c>
      <c r="N1280" s="43" t="inlineStr"/>
      <c r="O1280" s="43" t="inlineStr">
        <is>
          <t>2026-10-06</t>
        </is>
      </c>
      <c r="P1280" s="33" t="inlineStr">
        <is>
          <t>For temporary Manufacturing process change</t>
        </is>
      </c>
      <c r="Q1280" s="43" t="inlineStr">
        <is>
          <t>NA</t>
        </is>
      </c>
      <c r="R1280" s="43" t="inlineStr">
        <is>
          <t>2026-07-09</t>
        </is>
      </c>
      <c r="S1280" s="43" t="inlineStr">
        <is>
          <t>2026-07-16</t>
        </is>
      </c>
      <c r="T1280" s="43" t="inlineStr"/>
      <c r="U1280" s="43" t="inlineStr"/>
    </row>
    <row r="1281">
      <c r="A1281" s="43" t="n">
        <v>1281</v>
      </c>
      <c r="B1281" s="43" t="inlineStr">
        <is>
          <t>1280</t>
        </is>
      </c>
      <c r="C1281" s="43" t="inlineStr">
        <is>
          <t>FJZP</t>
        </is>
      </c>
      <c r="D1281" s="43" t="inlineStr">
        <is>
          <t>Cisco</t>
        </is>
      </c>
      <c r="E1281" s="43" t="inlineStr">
        <is>
          <t>MCGA</t>
        </is>
      </c>
      <c r="F1281" s="43" t="inlineStr">
        <is>
          <t>037-STBU</t>
        </is>
      </c>
      <c r="G1281" s="43" t="inlineStr">
        <is>
          <t>CTANJZ05259</t>
        </is>
      </c>
      <c r="H1281" s="43" t="inlineStr">
        <is>
          <t>For temporary Manufacturing process change</t>
        </is>
      </c>
      <c r="I1281" s="43" t="inlineStr">
        <is>
          <t>Customer Deviation</t>
        </is>
      </c>
      <c r="J1281" s="43" t="inlineStr">
        <is>
          <t>D611312</t>
        </is>
      </c>
      <c r="K1281"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81" s="43" t="inlineStr">
        <is>
          <t>Expired</t>
        </is>
      </c>
      <c r="M1281" s="43" t="inlineStr">
        <is>
          <t>68-100283-05</t>
        </is>
      </c>
      <c r="N1281" s="43" t="inlineStr"/>
      <c r="O1281" s="43" t="inlineStr">
        <is>
          <t>2026-08-18</t>
        </is>
      </c>
      <c r="P1281" s="33" t="inlineStr">
        <is>
          <t>For temporary Manufacturing process change</t>
        </is>
      </c>
      <c r="Q1281" s="43" t="inlineStr">
        <is>
          <t>Add a label on the outside of the unit with the deviation number</t>
        </is>
      </c>
      <c r="R1281" s="43" t="inlineStr">
        <is>
          <t>2026-05-21</t>
        </is>
      </c>
      <c r="S1281" s="43" t="inlineStr">
        <is>
          <t>2026-06-10</t>
        </is>
      </c>
      <c r="T1281" s="43" t="inlineStr"/>
      <c r="U1281" s="43" t="inlineStr"/>
    </row>
    <row r="1282">
      <c r="A1282" s="43" t="n">
        <v>1282</v>
      </c>
      <c r="B1282" s="43" t="inlineStr">
        <is>
          <t>1281</t>
        </is>
      </c>
      <c r="C1282" s="43" t="inlineStr">
        <is>
          <t>FJZP</t>
        </is>
      </c>
      <c r="D1282" s="43" t="inlineStr">
        <is>
          <t>Cisco</t>
        </is>
      </c>
      <c r="E1282" s="43" t="inlineStr">
        <is>
          <t>MCGA</t>
        </is>
      </c>
      <c r="F1282" s="43" t="inlineStr">
        <is>
          <t>037-STBU</t>
        </is>
      </c>
      <c r="G1282" s="43" t="inlineStr">
        <is>
          <t>CTANJZ05259</t>
        </is>
      </c>
      <c r="H1282" s="43" t="inlineStr">
        <is>
          <t>For temporary Manufacturing process change</t>
        </is>
      </c>
      <c r="I1282" s="43" t="inlineStr">
        <is>
          <t>Customer Deviation</t>
        </is>
      </c>
      <c r="J1282" s="43" t="inlineStr">
        <is>
          <t>D611312</t>
        </is>
      </c>
      <c r="K1282"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82" s="43" t="inlineStr">
        <is>
          <t>Expired</t>
        </is>
      </c>
      <c r="M1282" s="43" t="inlineStr">
        <is>
          <t>68-100284-05</t>
        </is>
      </c>
      <c r="N1282" s="43" t="inlineStr"/>
      <c r="O1282" s="43" t="inlineStr">
        <is>
          <t>2026-08-18</t>
        </is>
      </c>
      <c r="P1282" s="33" t="inlineStr">
        <is>
          <t>For temporary Manufacturing process change</t>
        </is>
      </c>
      <c r="Q1282" s="43" t="inlineStr">
        <is>
          <t>Add a label on the outside of the unit with the deviation number</t>
        </is>
      </c>
      <c r="R1282" s="43" t="inlineStr">
        <is>
          <t>2026-05-21</t>
        </is>
      </c>
      <c r="S1282" s="43" t="inlineStr">
        <is>
          <t>2026-06-10</t>
        </is>
      </c>
      <c r="T1282" s="43" t="inlineStr"/>
      <c r="U1282" s="43" t="inlineStr"/>
    </row>
    <row r="1283">
      <c r="A1283" s="43" t="n">
        <v>1283</v>
      </c>
      <c r="B1283" s="43" t="inlineStr">
        <is>
          <t>1282</t>
        </is>
      </c>
      <c r="C1283" s="43" t="inlineStr">
        <is>
          <t>FJZP</t>
        </is>
      </c>
      <c r="D1283" s="43" t="inlineStr">
        <is>
          <t>Cisco</t>
        </is>
      </c>
      <c r="E1283" s="43" t="inlineStr">
        <is>
          <t>MCGA</t>
        </is>
      </c>
      <c r="F1283" s="43" t="inlineStr">
        <is>
          <t>037-STBU</t>
        </is>
      </c>
      <c r="G1283" s="43" t="inlineStr">
        <is>
          <t>CTANJZ05259</t>
        </is>
      </c>
      <c r="H1283" s="43" t="inlineStr">
        <is>
          <t>For temporary Manufacturing process change</t>
        </is>
      </c>
      <c r="I1283" s="43" t="inlineStr">
        <is>
          <t>Customer Deviation</t>
        </is>
      </c>
      <c r="J1283" s="43" t="inlineStr">
        <is>
          <t>D611312</t>
        </is>
      </c>
      <c r="K1283"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83" s="43" t="inlineStr">
        <is>
          <t>Expired</t>
        </is>
      </c>
      <c r="M1283" s="43" t="inlineStr">
        <is>
          <t>68-100702-01</t>
        </is>
      </c>
      <c r="N1283" s="43" t="inlineStr"/>
      <c r="O1283" s="43" t="inlineStr">
        <is>
          <t>2026-08-18</t>
        </is>
      </c>
      <c r="P1283" s="33" t="inlineStr">
        <is>
          <t>For temporary Manufacturing process change</t>
        </is>
      </c>
      <c r="Q1283" s="43" t="inlineStr">
        <is>
          <t>Add a label on the outside of the unit with the deviation number</t>
        </is>
      </c>
      <c r="R1283" s="43" t="inlineStr">
        <is>
          <t>2026-05-21</t>
        </is>
      </c>
      <c r="S1283" s="43" t="inlineStr">
        <is>
          <t>2026-06-10</t>
        </is>
      </c>
      <c r="T1283" s="43" t="inlineStr"/>
      <c r="U1283" s="43" t="inlineStr"/>
    </row>
    <row r="1284">
      <c r="A1284" s="43" t="n">
        <v>1284</v>
      </c>
      <c r="B1284" s="43" t="inlineStr">
        <is>
          <t>1283</t>
        </is>
      </c>
      <c r="C1284" s="43" t="inlineStr">
        <is>
          <t>FJZP</t>
        </is>
      </c>
      <c r="D1284" s="43" t="inlineStr">
        <is>
          <t>Cisco</t>
        </is>
      </c>
      <c r="E1284" s="43" t="inlineStr">
        <is>
          <t>MCGA</t>
        </is>
      </c>
      <c r="F1284" s="43" t="inlineStr">
        <is>
          <t>037-STBU</t>
        </is>
      </c>
      <c r="G1284" s="43" t="inlineStr">
        <is>
          <t>CTANJZ05259</t>
        </is>
      </c>
      <c r="H1284" s="43" t="inlineStr">
        <is>
          <t>For temporary Manufacturing process change</t>
        </is>
      </c>
      <c r="I1284" s="43" t="inlineStr">
        <is>
          <t>Customer Deviation</t>
        </is>
      </c>
      <c r="J1284" s="43" t="inlineStr">
        <is>
          <t>D611312</t>
        </is>
      </c>
      <c r="K1284"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84" s="43" t="inlineStr">
        <is>
          <t>Expired</t>
        </is>
      </c>
      <c r="M1284" s="43" t="inlineStr">
        <is>
          <t>68-101218-02</t>
        </is>
      </c>
      <c r="N1284" s="43" t="inlineStr"/>
      <c r="O1284" s="43" t="inlineStr">
        <is>
          <t>2026-08-18</t>
        </is>
      </c>
      <c r="P1284" s="33" t="inlineStr">
        <is>
          <t>For temporary Manufacturing process change</t>
        </is>
      </c>
      <c r="Q1284" s="43" t="inlineStr">
        <is>
          <t>Add a label on the outside of the unit with the deviation number</t>
        </is>
      </c>
      <c r="R1284" s="43" t="inlineStr">
        <is>
          <t>2026-05-21</t>
        </is>
      </c>
      <c r="S1284" s="43" t="inlineStr">
        <is>
          <t>2026-06-10</t>
        </is>
      </c>
      <c r="T1284" s="43" t="inlineStr"/>
      <c r="U1284" s="43" t="inlineStr"/>
    </row>
    <row r="1285">
      <c r="A1285" s="43" t="n">
        <v>1285</v>
      </c>
      <c r="B1285" s="43" t="inlineStr">
        <is>
          <t>1284</t>
        </is>
      </c>
      <c r="C1285" s="43" t="inlineStr">
        <is>
          <t>FJZP</t>
        </is>
      </c>
      <c r="D1285" s="43" t="inlineStr">
        <is>
          <t>Cisco</t>
        </is>
      </c>
      <c r="E1285" s="43" t="inlineStr">
        <is>
          <t>MCGA</t>
        </is>
      </c>
      <c r="F1285" s="43" t="inlineStr">
        <is>
          <t>037-STBU</t>
        </is>
      </c>
      <c r="G1285" s="43" t="inlineStr">
        <is>
          <t>CTANJZ05259</t>
        </is>
      </c>
      <c r="H1285" s="43" t="inlineStr">
        <is>
          <t>For temporary Manufacturing process change</t>
        </is>
      </c>
      <c r="I1285" s="43" t="inlineStr">
        <is>
          <t>Customer Deviation</t>
        </is>
      </c>
      <c r="J1285" s="43" t="inlineStr">
        <is>
          <t>D611312</t>
        </is>
      </c>
      <c r="K1285"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85" s="43" t="inlineStr">
        <is>
          <t>Expired</t>
        </is>
      </c>
      <c r="M1285" s="43" t="inlineStr">
        <is>
          <t>73-16681-10</t>
        </is>
      </c>
      <c r="N1285" s="43" t="inlineStr"/>
      <c r="O1285" s="43" t="inlineStr">
        <is>
          <t>2026-08-18</t>
        </is>
      </c>
      <c r="P1285" s="33" t="inlineStr">
        <is>
          <t>For temporary Manufacturing process change</t>
        </is>
      </c>
      <c r="Q1285" s="43" t="inlineStr">
        <is>
          <t>Add a label on the outside of the unit with the deviation number</t>
        </is>
      </c>
      <c r="R1285" s="43" t="inlineStr">
        <is>
          <t>2026-05-21</t>
        </is>
      </c>
      <c r="S1285" s="43" t="inlineStr">
        <is>
          <t>2026-06-10</t>
        </is>
      </c>
      <c r="T1285" s="43" t="inlineStr"/>
      <c r="U1285" s="43" t="inlineStr"/>
    </row>
    <row r="1286">
      <c r="A1286" s="43" t="n">
        <v>1286</v>
      </c>
      <c r="B1286" s="43" t="inlineStr">
        <is>
          <t>1285</t>
        </is>
      </c>
      <c r="C1286" s="43" t="inlineStr">
        <is>
          <t>FJZP</t>
        </is>
      </c>
      <c r="D1286" s="43" t="inlineStr">
        <is>
          <t>Cisco</t>
        </is>
      </c>
      <c r="E1286" s="43" t="inlineStr">
        <is>
          <t>MCGA</t>
        </is>
      </c>
      <c r="F1286" s="43" t="inlineStr">
        <is>
          <t>037-STBU</t>
        </is>
      </c>
      <c r="G1286" s="43" t="inlineStr">
        <is>
          <t>CTANJZ05259</t>
        </is>
      </c>
      <c r="H1286" s="43" t="inlineStr">
        <is>
          <t>For temporary Manufacturing process change</t>
        </is>
      </c>
      <c r="I1286" s="43" t="inlineStr">
        <is>
          <t>Customer Deviation</t>
        </is>
      </c>
      <c r="J1286" s="43" t="inlineStr">
        <is>
          <t>D611312</t>
        </is>
      </c>
      <c r="K1286"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86" s="43" t="inlineStr">
        <is>
          <t>Expired</t>
        </is>
      </c>
      <c r="M1286" s="43" t="inlineStr">
        <is>
          <t>73-16682-05</t>
        </is>
      </c>
      <c r="N1286" s="43" t="inlineStr"/>
      <c r="O1286" s="43" t="inlineStr">
        <is>
          <t>2026-08-18</t>
        </is>
      </c>
      <c r="P1286" s="33" t="inlineStr">
        <is>
          <t>For temporary Manufacturing process change</t>
        </is>
      </c>
      <c r="Q1286" s="43" t="inlineStr">
        <is>
          <t>Add a label on the outside of the unit with the deviation number</t>
        </is>
      </c>
      <c r="R1286" s="43" t="inlineStr">
        <is>
          <t>2026-05-21</t>
        </is>
      </c>
      <c r="S1286" s="43" t="inlineStr">
        <is>
          <t>2026-06-10</t>
        </is>
      </c>
      <c r="T1286" s="43" t="inlineStr"/>
      <c r="U1286" s="43" t="inlineStr"/>
    </row>
    <row r="1287">
      <c r="A1287" s="43" t="n">
        <v>1287</v>
      </c>
      <c r="B1287" s="43" t="inlineStr">
        <is>
          <t>1286</t>
        </is>
      </c>
      <c r="C1287" s="43" t="inlineStr">
        <is>
          <t>FJZP</t>
        </is>
      </c>
      <c r="D1287" s="43" t="inlineStr">
        <is>
          <t>Cisco</t>
        </is>
      </c>
      <c r="E1287" s="43" t="inlineStr">
        <is>
          <t>MCGA</t>
        </is>
      </c>
      <c r="F1287" s="43" t="inlineStr">
        <is>
          <t>037-STBU</t>
        </is>
      </c>
      <c r="G1287" s="43" t="inlineStr">
        <is>
          <t>CTANJZ05259</t>
        </is>
      </c>
      <c r="H1287" s="43" t="inlineStr">
        <is>
          <t>For temporary Manufacturing process change</t>
        </is>
      </c>
      <c r="I1287" s="43" t="inlineStr">
        <is>
          <t>Customer Deviation</t>
        </is>
      </c>
      <c r="J1287" s="43" t="inlineStr">
        <is>
          <t>D611312</t>
        </is>
      </c>
      <c r="K1287"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87" s="43" t="inlineStr">
        <is>
          <t>Expired</t>
        </is>
      </c>
      <c r="M1287" s="43" t="inlineStr">
        <is>
          <t>73-16685-04</t>
        </is>
      </c>
      <c r="N1287" s="43" t="inlineStr"/>
      <c r="O1287" s="43" t="inlineStr">
        <is>
          <t>2026-08-18</t>
        </is>
      </c>
      <c r="P1287" s="33" t="inlineStr">
        <is>
          <t>For temporary Manufacturing process change</t>
        </is>
      </c>
      <c r="Q1287" s="43" t="inlineStr">
        <is>
          <t>Add a label on the outside of the unit with the deviation number</t>
        </is>
      </c>
      <c r="R1287" s="43" t="inlineStr">
        <is>
          <t>2026-05-21</t>
        </is>
      </c>
      <c r="S1287" s="43" t="inlineStr">
        <is>
          <t>2026-06-10</t>
        </is>
      </c>
      <c r="T1287" s="43" t="inlineStr"/>
      <c r="U1287" s="43" t="inlineStr"/>
    </row>
    <row r="1288">
      <c r="A1288" s="43" t="n">
        <v>1288</v>
      </c>
      <c r="B1288" s="43" t="inlineStr">
        <is>
          <t>1287</t>
        </is>
      </c>
      <c r="C1288" s="43" t="inlineStr">
        <is>
          <t>FJZP</t>
        </is>
      </c>
      <c r="D1288" s="43" t="inlineStr">
        <is>
          <t>Cisco</t>
        </is>
      </c>
      <c r="E1288" s="43" t="inlineStr">
        <is>
          <t>MCGA</t>
        </is>
      </c>
      <c r="F1288" s="43" t="inlineStr">
        <is>
          <t>037-STBU</t>
        </is>
      </c>
      <c r="G1288" s="43" t="inlineStr">
        <is>
          <t>CTANJZ05259</t>
        </is>
      </c>
      <c r="H1288" s="43" t="inlineStr">
        <is>
          <t>For temporary Manufacturing process change</t>
        </is>
      </c>
      <c r="I1288" s="43" t="inlineStr">
        <is>
          <t>Customer Deviation</t>
        </is>
      </c>
      <c r="J1288" s="43" t="inlineStr">
        <is>
          <t>D611312</t>
        </is>
      </c>
      <c r="K1288"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88" s="43" t="inlineStr">
        <is>
          <t>Expired</t>
        </is>
      </c>
      <c r="M1288" s="43" t="inlineStr">
        <is>
          <t>73-16828-04</t>
        </is>
      </c>
      <c r="N1288" s="43" t="inlineStr"/>
      <c r="O1288" s="43" t="inlineStr">
        <is>
          <t>2026-08-18</t>
        </is>
      </c>
      <c r="P1288" s="33" t="inlineStr">
        <is>
          <t>For temporary Manufacturing process change</t>
        </is>
      </c>
      <c r="Q1288" s="43" t="inlineStr">
        <is>
          <t>Add a label on the outside of the unit with the deviation number</t>
        </is>
      </c>
      <c r="R1288" s="43" t="inlineStr">
        <is>
          <t>2026-05-21</t>
        </is>
      </c>
      <c r="S1288" s="43" t="inlineStr">
        <is>
          <t>2026-06-10</t>
        </is>
      </c>
      <c r="T1288" s="43" t="inlineStr"/>
      <c r="U1288" s="43" t="inlineStr"/>
    </row>
    <row r="1289">
      <c r="A1289" s="43" t="n">
        <v>1289</v>
      </c>
      <c r="B1289" s="43" t="inlineStr">
        <is>
          <t>1288</t>
        </is>
      </c>
      <c r="C1289" s="43" t="inlineStr">
        <is>
          <t>FJZP</t>
        </is>
      </c>
      <c r="D1289" s="43" t="inlineStr">
        <is>
          <t>Cisco</t>
        </is>
      </c>
      <c r="E1289" s="43" t="inlineStr">
        <is>
          <t>MCGA</t>
        </is>
      </c>
      <c r="F1289" s="43" t="inlineStr">
        <is>
          <t>035-CVEBU</t>
        </is>
      </c>
      <c r="G1289" s="43" t="inlineStr">
        <is>
          <t>CTANJZ05414</t>
        </is>
      </c>
      <c r="H1289" s="43" t="inlineStr">
        <is>
          <t>For temporary Manufacturing process change</t>
        </is>
      </c>
      <c r="I1289" s="43" t="inlineStr">
        <is>
          <t>Customer Deviation</t>
        </is>
      </c>
      <c r="J1289" s="43" t="inlineStr">
        <is>
          <t>D613039</t>
        </is>
      </c>
      <c r="K1289" s="33" t="inlineStr">
        <is>
          <t>D613039 CVEBU; Heimdall; Temporarily swapping 1.8V LDO from Renesas to TIAffected items73-103459-02; PCA;HEIMDALL MIC BOARD  15-109506-01; IC-LIN;VREG;LDO;DFN;8 P;3.0x3.0mm PKGSIZE;0.65mm PITCH;20.0 V IN;18.0 V OUT;0.5 A;-40 to 125C  15-109628-01; IC-LIN;VREG;LDO;WSON;8 P;3.0x3.0mm PKGSIZE;0.65mm PITCH;16.0 V IN;14.6 V OUT;0.5A;-40 to 125 C; Internal Soft Start  Deviation- FJZ is hereby instructed to perform following changes to 73-103459-02 BOM:- Remove U65/15-109506-01 from BOM- Add U66/15-109628-01 to BOM- Change R149 from 12-4443-01 to 12-2567-02 (from 2.4k to 15k)- Change R151 from 12-100278-01 to 12-4978-01 (from 5.1k to 12k)Additional comment- Above deviation is allowed until stock of 15-109506-01 is available again- Above deviation should not impact SW; but may cause ICT limit adjustment- 15-109506-01 is already used in Tyne Audio Board 73-103758-04; hence pipeline already at FJZ</t>
        </is>
      </c>
      <c r="L1289" s="43" t="inlineStr">
        <is>
          <t>FAI Status</t>
        </is>
      </c>
      <c r="M1289" s="43" t="inlineStr">
        <is>
          <t>73-103758-04</t>
        </is>
      </c>
      <c r="N1289" s="43" t="inlineStr"/>
      <c r="O1289" s="43" t="inlineStr">
        <is>
          <t>2026-10-29</t>
        </is>
      </c>
      <c r="P1289" s="33" t="inlineStr">
        <is>
          <t>For temporary Manufacturing process change</t>
        </is>
      </c>
      <c r="Q1289" s="43" t="inlineStr">
        <is>
          <t>Mark PCB with deviation number</t>
        </is>
      </c>
      <c r="R1289" s="43" t="inlineStr">
        <is>
          <t>2026-08-03</t>
        </is>
      </c>
      <c r="S1289" s="43" t="inlineStr">
        <is>
          <t>2026-09-04</t>
        </is>
      </c>
      <c r="T1289" s="43" t="inlineStr"/>
      <c r="U1289" s="43" t="inlineStr"/>
    </row>
    <row r="1290">
      <c r="A1290" s="43" t="n">
        <v>1290</v>
      </c>
      <c r="B1290" s="43" t="inlineStr">
        <is>
          <t>1289</t>
        </is>
      </c>
      <c r="C1290" s="43" t="inlineStr">
        <is>
          <t>FJZP</t>
        </is>
      </c>
      <c r="D1290" s="43" t="inlineStr">
        <is>
          <t>Cisco</t>
        </is>
      </c>
      <c r="E1290" s="43" t="inlineStr">
        <is>
          <t>MCGA</t>
        </is>
      </c>
      <c r="F1290" s="43" t="inlineStr">
        <is>
          <t>035-CVEBU</t>
        </is>
      </c>
      <c r="G1290" s="43" t="inlineStr">
        <is>
          <t>CTANJZ05424</t>
        </is>
      </c>
      <c r="H1290" s="43" t="inlineStr">
        <is>
          <t>For temporary Manufacturing process change</t>
        </is>
      </c>
      <c r="I1290" s="43" t="inlineStr">
        <is>
          <t>Customer Deviation</t>
        </is>
      </c>
      <c r="J1290" s="43" t="inlineStr">
        <is>
          <t>D613355</t>
        </is>
      </c>
      <c r="K1290" s="33" t="inlineStr">
        <is>
          <t>D613355 CVEBU; Millennium; Allow alternative component set to mitigate shortage on 15-109506-01Affected items73-102226-06; PCA; Millennium Codec Main Board; Radio73-103226-06; PCA; Millennium Codec Main Board; Non-RadioDeviation- FJZ is allowed to mitigate 15-109506-01 by following BOM changes  - Remove 3x 15-109506-01; U108; U360; U363  - Add 3x 15-109628-01; U354; U361; U364  - Remove 1x 12-4489-01; R653  - Add 1x 12-4629-01; R653  - Remove 1x 12-4628-01; R748  - Add 1x 12-4453-01; R748  - Remove 1x 12-2567-02; R698  - Add 1x 12-2814-01; R698Additional information- If 12-2814-01 is not in stock; then 12-5359-01 can be used as alternativeCisco Contact: Christian Kjoelseth</t>
        </is>
      </c>
      <c r="L1290" s="43" t="inlineStr">
        <is>
          <t>FAI Status</t>
        </is>
      </c>
      <c r="M1290" s="43" t="inlineStr">
        <is>
          <t>73-102226-06</t>
        </is>
      </c>
      <c r="N1290" s="43" t="inlineStr"/>
      <c r="O1290" s="43" t="inlineStr">
        <is>
          <t>2026-11-09</t>
        </is>
      </c>
      <c r="P1290" s="33" t="inlineStr">
        <is>
          <t>For temporary Manufacturing process change</t>
        </is>
      </c>
      <c r="Q1290" s="43" t="inlineStr">
        <is>
          <t>Mark PCBAs with deviation number</t>
        </is>
      </c>
      <c r="R1290" s="43" t="inlineStr">
        <is>
          <t>2026-08-13</t>
        </is>
      </c>
      <c r="S1290" s="43" t="inlineStr">
        <is>
          <t>2026-09-22</t>
        </is>
      </c>
      <c r="T1290" s="43" t="inlineStr"/>
      <c r="U1290" s="43" t="inlineStr"/>
    </row>
    <row r="1291">
      <c r="A1291" s="43" t="n">
        <v>1291</v>
      </c>
      <c r="B1291" s="43" t="inlineStr">
        <is>
          <t>1290</t>
        </is>
      </c>
      <c r="C1291" s="43" t="inlineStr">
        <is>
          <t>FJZP</t>
        </is>
      </c>
      <c r="D1291" s="43" t="inlineStr">
        <is>
          <t>Cisco</t>
        </is>
      </c>
      <c r="E1291" s="43" t="inlineStr">
        <is>
          <t>MCGA</t>
        </is>
      </c>
      <c r="F1291" s="43" t="inlineStr">
        <is>
          <t>035-CVEBU</t>
        </is>
      </c>
      <c r="G1291" s="43" t="inlineStr">
        <is>
          <t>CTANJZ05424</t>
        </is>
      </c>
      <c r="H1291" s="43" t="inlineStr">
        <is>
          <t>For temporary Manufacturing process change</t>
        </is>
      </c>
      <c r="I1291" s="43" t="inlineStr">
        <is>
          <t>Customer Deviation</t>
        </is>
      </c>
      <c r="J1291" s="43" t="inlineStr">
        <is>
          <t>D613355</t>
        </is>
      </c>
      <c r="K1291" s="33" t="inlineStr">
        <is>
          <t>D613355 CVEBU; Millennium; Allow alternative component set to mitigate shortage on 15-109506-01Affected items73-102226-06; PCA; Millennium Codec Main Board; Radio73-103226-06; PCA; Millennium Codec Main Board; Non-RadioDeviation- FJZ is allowed to mitigate 15-109506-01 by following BOM changes  - Remove 3x 15-109506-01; U108; U360; U363  - Add 3x 15-109628-01; U354; U361; U364  - Remove 1x 12-4489-01; R653  - Add 1x 12-4629-01; R653  - Remove 1x 12-4628-01; R748  - Add 1x 12-4453-01; R748  - Remove 1x 12-2567-02; R698  - Add 1x 12-2814-01; R698Additional information- If 12-2814-01 is not in stock; then 12-5359-01 can be used as alternativeCisco Contact: Christian Kjoelseth</t>
        </is>
      </c>
      <c r="L1291" s="43" t="inlineStr">
        <is>
          <t>FAI Status</t>
        </is>
      </c>
      <c r="M1291" s="43" t="inlineStr">
        <is>
          <t>73-103226-06</t>
        </is>
      </c>
      <c r="N1291" s="43" t="inlineStr"/>
      <c r="O1291" s="43" t="inlineStr">
        <is>
          <t>2026-11-09</t>
        </is>
      </c>
      <c r="P1291" s="33" t="inlineStr">
        <is>
          <t>For temporary Manufacturing process change</t>
        </is>
      </c>
      <c r="Q1291" s="43" t="inlineStr">
        <is>
          <t>Mark PCBAs with deviation number</t>
        </is>
      </c>
      <c r="R1291" s="43" t="inlineStr">
        <is>
          <t>2026-08-13</t>
        </is>
      </c>
      <c r="S1291" s="43" t="inlineStr">
        <is>
          <t>2026-09-22</t>
        </is>
      </c>
      <c r="T1291" s="43" t="inlineStr"/>
      <c r="U1291" s="43" t="inlineStr"/>
    </row>
    <row r="1292">
      <c r="A1292" s="43" t="n">
        <v>1292</v>
      </c>
      <c r="B1292" s="43" t="inlineStr">
        <is>
          <t>1291</t>
        </is>
      </c>
      <c r="C1292" s="43" t="inlineStr">
        <is>
          <t>FJZP</t>
        </is>
      </c>
      <c r="D1292" s="43" t="inlineStr">
        <is>
          <t>Cisco</t>
        </is>
      </c>
      <c r="E1292" s="43" t="inlineStr">
        <is>
          <t>MCGA</t>
        </is>
      </c>
      <c r="F1292" s="43" t="inlineStr">
        <is>
          <t>035-CVEBU</t>
        </is>
      </c>
      <c r="G1292" s="43" t="inlineStr">
        <is>
          <t>CTANJZ05424</t>
        </is>
      </c>
      <c r="H1292" s="43" t="inlineStr">
        <is>
          <t>For temporary Manufacturing process change</t>
        </is>
      </c>
      <c r="I1292" s="43" t="inlineStr">
        <is>
          <t>Customer Deviation</t>
        </is>
      </c>
      <c r="J1292" s="43" t="inlineStr">
        <is>
          <t>D613355</t>
        </is>
      </c>
      <c r="K1292" s="33" t="inlineStr">
        <is>
          <t>D613355 CVEBU; Millennium; Allow alternative component set to mitigate shortage on 15-109506-01Affected items73-102226-06; PCA; Millennium Codec Main Board; Radio73-103226-06; PCA; Millennium Codec Main Board; Non-RadioDeviation- FJZ is allowed to mitigate 15-109506-01 by following BOM changes  - Remove 3x 15-109506-01; U108; U360; U363  - Add 3x 15-109628-01; U354; U361; U364  - Remove 1x 12-4489-01; R653  - Add 1x 12-4629-01; R653  - Remove 1x 12-4628-01; R748  - Add 1x 12-4453-01; R748  - Remove 1x 12-2567-02; R698  - Add 1x 12-2814-01; R698Additional information- If 12-2814-01 is not in stock; then 12-5359-01 can be used as alternativeCisco Contact: Christian Kjoelseth</t>
        </is>
      </c>
      <c r="L1292" s="43" t="inlineStr">
        <is>
          <t>FAI Status</t>
        </is>
      </c>
      <c r="M1292" s="43" t="inlineStr">
        <is>
          <t>800-110045-01</t>
        </is>
      </c>
      <c r="N1292" s="43" t="inlineStr"/>
      <c r="O1292" s="43" t="inlineStr">
        <is>
          <t>2026-11-09</t>
        </is>
      </c>
      <c r="P1292" s="33" t="inlineStr">
        <is>
          <t>For temporary Manufacturing process change</t>
        </is>
      </c>
      <c r="Q1292" s="43" t="inlineStr">
        <is>
          <t>Mark PCBAs with deviation number</t>
        </is>
      </c>
      <c r="R1292" s="43" t="inlineStr">
        <is>
          <t>2026-08-13</t>
        </is>
      </c>
      <c r="S1292" s="43" t="inlineStr">
        <is>
          <t>2026-09-22</t>
        </is>
      </c>
      <c r="T1292" s="43" t="inlineStr"/>
      <c r="U1292" s="43" t="inlineStr"/>
    </row>
    <row r="1293">
      <c r="A1293" s="43" t="n">
        <v>1293</v>
      </c>
      <c r="B1293" s="43" t="inlineStr">
        <is>
          <t>1292</t>
        </is>
      </c>
      <c r="C1293" s="43" t="inlineStr">
        <is>
          <t>FJZP</t>
        </is>
      </c>
      <c r="D1293" s="43" t="inlineStr">
        <is>
          <t>Cisco</t>
        </is>
      </c>
      <c r="E1293" s="43" t="inlineStr">
        <is>
          <t>MCGA</t>
        </is>
      </c>
      <c r="F1293" s="43" t="inlineStr">
        <is>
          <t>035-CVEBU</t>
        </is>
      </c>
      <c r="G1293" s="43" t="inlineStr">
        <is>
          <t>CTANJZ05424</t>
        </is>
      </c>
      <c r="H1293" s="43" t="inlineStr">
        <is>
          <t>For temporary Manufacturing process change</t>
        </is>
      </c>
      <c r="I1293" s="43" t="inlineStr">
        <is>
          <t>Customer Deviation</t>
        </is>
      </c>
      <c r="J1293" s="43" t="inlineStr">
        <is>
          <t>D613355</t>
        </is>
      </c>
      <c r="K1293" s="33" t="inlineStr">
        <is>
          <t>D613355 CVEBU; Millennium; Allow alternative component set to mitigate shortage on 15-109506-01Affected items73-102226-06; PCA; Millennium Codec Main Board; Radio73-103226-06; PCA; Millennium Codec Main Board; Non-RadioDeviation- FJZ is allowed to mitigate 15-109506-01 by following BOM changes  - Remove 3x 15-109506-01; U108; U360; U363  - Add 3x 15-109628-01; U354; U361; U364  - Remove 1x 12-4489-01; R653  - Add 1x 12-4629-01; R653  - Remove 1x 12-4628-01; R748  - Add 1x 12-4453-01; R748  - Remove 1x 12-2567-02; R698  - Add 1x 12-2814-01; R698Additional information- If 12-2814-01 is not in stock; then 12-5359-01 can be used as alternativeCisco Contact: Christian Kjoelseth</t>
        </is>
      </c>
      <c r="L1293" s="43" t="inlineStr">
        <is>
          <t>FAI Status</t>
        </is>
      </c>
      <c r="M1293" s="43" t="inlineStr">
        <is>
          <t>800-110945-01</t>
        </is>
      </c>
      <c r="N1293" s="43" t="inlineStr"/>
      <c r="O1293" s="43" t="inlineStr">
        <is>
          <t>2026-11-09</t>
        </is>
      </c>
      <c r="P1293" s="33" t="inlineStr">
        <is>
          <t>For temporary Manufacturing process change</t>
        </is>
      </c>
      <c r="Q1293" s="43" t="inlineStr">
        <is>
          <t>Mark PCBAs with deviation number</t>
        </is>
      </c>
      <c r="R1293" s="43" t="inlineStr">
        <is>
          <t>2026-08-13</t>
        </is>
      </c>
      <c r="S1293" s="43" t="inlineStr">
        <is>
          <t>2026-09-22</t>
        </is>
      </c>
      <c r="T1293" s="43" t="inlineStr"/>
      <c r="U1293" s="43" t="inlineStr"/>
    </row>
    <row r="1294">
      <c r="A1294" s="43" t="n">
        <v>1294</v>
      </c>
      <c r="B1294" s="43" t="inlineStr">
        <is>
          <t>1293</t>
        </is>
      </c>
      <c r="C1294" s="43" t="inlineStr">
        <is>
          <t>FJZP</t>
        </is>
      </c>
      <c r="D1294" s="43" t="inlineStr">
        <is>
          <t>Cisco</t>
        </is>
      </c>
      <c r="E1294" s="43" t="inlineStr">
        <is>
          <t>MCGA</t>
        </is>
      </c>
      <c r="F1294" s="43" t="inlineStr">
        <is>
          <t>018-SRGBU</t>
        </is>
      </c>
      <c r="G1294" s="43" t="inlineStr">
        <is>
          <t>CTANJZ05422</t>
        </is>
      </c>
      <c r="H1294" s="43" t="inlineStr">
        <is>
          <t>For temporary Manufacturing process change</t>
        </is>
      </c>
      <c r="I1294" s="43" t="inlineStr">
        <is>
          <t>Customer Deviation</t>
        </is>
      </c>
      <c r="J1294" s="43" t="inlineStr">
        <is>
          <t>D613228</t>
        </is>
      </c>
      <c r="K1294" s="33" t="inlineStr">
        <is>
          <t>D613228 SRGBU-Nutella: Upgrade to Rommon version 17.15.(1r) and use eMMC KLMCG1RCTE-B041 NOTE: This is an extension deviation of D611208.</t>
        </is>
      </c>
      <c r="L1294" s="43" t="inlineStr">
        <is>
          <t>FAI Status</t>
        </is>
      </c>
      <c r="M1294" s="43" t="inlineStr">
        <is>
          <t>17-15632-01</t>
        </is>
      </c>
      <c r="N1294" s="43" t="inlineStr"/>
      <c r="O1294" s="43" t="inlineStr">
        <is>
          <t>2026-11-08</t>
        </is>
      </c>
      <c r="P1294" s="33" t="inlineStr">
        <is>
          <t>For temporary Manufacturing process change</t>
        </is>
      </c>
      <c r="Q1294" s="43" t="inlineStr">
        <is>
          <t>Please Place the deviation label in visible area.</t>
        </is>
      </c>
      <c r="R1294" s="43" t="inlineStr">
        <is>
          <t>2026-08-12</t>
        </is>
      </c>
      <c r="S1294" s="43" t="inlineStr">
        <is>
          <t>2026-08-29</t>
        </is>
      </c>
      <c r="T1294" s="43" t="inlineStr"/>
      <c r="U1294" s="43" t="inlineStr"/>
    </row>
    <row r="1295">
      <c r="A1295" s="43" t="n">
        <v>1295</v>
      </c>
      <c r="B1295" s="43" t="inlineStr">
        <is>
          <t>1294</t>
        </is>
      </c>
      <c r="C1295" s="43" t="inlineStr">
        <is>
          <t>FJZP</t>
        </is>
      </c>
      <c r="D1295" s="43" t="inlineStr">
        <is>
          <t>Cisco</t>
        </is>
      </c>
      <c r="E1295" s="43" t="inlineStr">
        <is>
          <t>MCGA</t>
        </is>
      </c>
      <c r="F1295" s="43" t="inlineStr">
        <is>
          <t>018-SRGBU</t>
        </is>
      </c>
      <c r="G1295" s="43" t="inlineStr">
        <is>
          <t>CTANJZ05422</t>
        </is>
      </c>
      <c r="H1295" s="43" t="inlineStr">
        <is>
          <t>For temporary Manufacturing process change</t>
        </is>
      </c>
      <c r="I1295" s="43" t="inlineStr">
        <is>
          <t>Customer Deviation</t>
        </is>
      </c>
      <c r="J1295" s="43" t="inlineStr">
        <is>
          <t>D613228</t>
        </is>
      </c>
      <c r="K1295" s="33" t="inlineStr">
        <is>
          <t>D613228 SRGBU-Nutella: Upgrade to Rommon version 17.15.(1r) and use eMMC KLMCG1RCTE-B041 NOTE: This is an extension deviation of D611208.</t>
        </is>
      </c>
      <c r="L1295" s="43" t="inlineStr">
        <is>
          <t>FAI Status</t>
        </is>
      </c>
      <c r="M1295" s="43" t="inlineStr">
        <is>
          <t>17-15632-02</t>
        </is>
      </c>
      <c r="N1295" s="43" t="inlineStr"/>
      <c r="O1295" s="43" t="inlineStr">
        <is>
          <t>2026-11-08</t>
        </is>
      </c>
      <c r="P1295" s="33" t="inlineStr">
        <is>
          <t>For temporary Manufacturing process change</t>
        </is>
      </c>
      <c r="Q1295" s="43" t="inlineStr">
        <is>
          <t>Please Place the deviation label in visible area.</t>
        </is>
      </c>
      <c r="R1295" s="43" t="inlineStr">
        <is>
          <t>2026-08-12</t>
        </is>
      </c>
      <c r="S1295" s="43" t="inlineStr">
        <is>
          <t>2026-08-29</t>
        </is>
      </c>
      <c r="T1295" s="43" t="inlineStr"/>
      <c r="U1295" s="43" t="inlineStr"/>
    </row>
    <row r="1296">
      <c r="A1296" s="43" t="n">
        <v>1296</v>
      </c>
      <c r="B1296" s="43" t="inlineStr">
        <is>
          <t>1295</t>
        </is>
      </c>
      <c r="C1296" s="43" t="inlineStr">
        <is>
          <t>FJZP</t>
        </is>
      </c>
      <c r="D1296" s="43" t="inlineStr">
        <is>
          <t>Cisco</t>
        </is>
      </c>
      <c r="E1296" s="43" t="inlineStr">
        <is>
          <t>MCGA</t>
        </is>
      </c>
      <c r="F1296" s="43" t="inlineStr">
        <is>
          <t>037-STBU</t>
        </is>
      </c>
      <c r="G1296" s="43" t="inlineStr">
        <is>
          <t>CTANJZ05259</t>
        </is>
      </c>
      <c r="H1296" s="43" t="inlineStr">
        <is>
          <t>For temporary Manufacturing process change</t>
        </is>
      </c>
      <c r="I1296" s="43" t="inlineStr">
        <is>
          <t>Customer Deviation</t>
        </is>
      </c>
      <c r="J1296" s="43" t="inlineStr">
        <is>
          <t>D611312</t>
        </is>
      </c>
      <c r="K1296"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96" s="43" t="inlineStr">
        <is>
          <t>Expired</t>
        </is>
      </c>
      <c r="M1296" s="43" t="inlineStr">
        <is>
          <t>73-17923-02</t>
        </is>
      </c>
      <c r="N1296" s="43" t="inlineStr"/>
      <c r="O1296" s="43" t="inlineStr">
        <is>
          <t>2026-08-18</t>
        </is>
      </c>
      <c r="P1296" s="33" t="inlineStr">
        <is>
          <t>For temporary Manufacturing process change</t>
        </is>
      </c>
      <c r="Q1296" s="43" t="inlineStr">
        <is>
          <t>Add a label on the outside of the unit with the deviation number</t>
        </is>
      </c>
      <c r="R1296" s="43" t="inlineStr">
        <is>
          <t>2026-05-21</t>
        </is>
      </c>
      <c r="S1296" s="43" t="inlineStr">
        <is>
          <t>2026-06-10</t>
        </is>
      </c>
      <c r="T1296" s="43" t="inlineStr"/>
      <c r="U1296" s="43" t="inlineStr"/>
    </row>
    <row r="1297">
      <c r="A1297" s="43" t="n">
        <v>1297</v>
      </c>
      <c r="B1297" s="43" t="inlineStr">
        <is>
          <t>1296</t>
        </is>
      </c>
      <c r="C1297" s="43" t="inlineStr">
        <is>
          <t>FJZP</t>
        </is>
      </c>
      <c r="D1297" s="43" t="inlineStr">
        <is>
          <t>Cisco</t>
        </is>
      </c>
      <c r="E1297" s="43" t="inlineStr">
        <is>
          <t>MCGA</t>
        </is>
      </c>
      <c r="F1297" s="43" t="inlineStr">
        <is>
          <t>037-STBU</t>
        </is>
      </c>
      <c r="G1297" s="43" t="inlineStr">
        <is>
          <t>CTANJZ05259</t>
        </is>
      </c>
      <c r="H1297" s="43" t="inlineStr">
        <is>
          <t>For temporary Manufacturing process change</t>
        </is>
      </c>
      <c r="I1297" s="43" t="inlineStr">
        <is>
          <t>Customer Deviation</t>
        </is>
      </c>
      <c r="J1297" s="43" t="inlineStr">
        <is>
          <t>D611312</t>
        </is>
      </c>
      <c r="K1297"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97" s="43" t="inlineStr">
        <is>
          <t>Expired</t>
        </is>
      </c>
      <c r="M1297" s="43" t="inlineStr">
        <is>
          <t>73-18632-03</t>
        </is>
      </c>
      <c r="N1297" s="43" t="inlineStr"/>
      <c r="O1297" s="43" t="inlineStr">
        <is>
          <t>2026-08-18</t>
        </is>
      </c>
      <c r="P1297" s="33" t="inlineStr">
        <is>
          <t>For temporary Manufacturing process change</t>
        </is>
      </c>
      <c r="Q1297" s="43" t="inlineStr">
        <is>
          <t>Add a label on the outside of the unit with the deviation number</t>
        </is>
      </c>
      <c r="R1297" s="43" t="inlineStr">
        <is>
          <t>2026-05-21</t>
        </is>
      </c>
      <c r="S1297" s="43" t="inlineStr">
        <is>
          <t>2026-06-10</t>
        </is>
      </c>
      <c r="T1297" s="43" t="inlineStr"/>
      <c r="U1297" s="43" t="inlineStr"/>
    </row>
    <row r="1298">
      <c r="A1298" s="43" t="n">
        <v>1298</v>
      </c>
      <c r="B1298" s="43" t="inlineStr">
        <is>
          <t>1297</t>
        </is>
      </c>
      <c r="C1298" s="43" t="inlineStr">
        <is>
          <t>FJZP</t>
        </is>
      </c>
      <c r="D1298" s="43" t="inlineStr">
        <is>
          <t>Cisco</t>
        </is>
      </c>
      <c r="E1298" s="43" t="inlineStr">
        <is>
          <t>MCGA</t>
        </is>
      </c>
      <c r="F1298" s="43" t="inlineStr">
        <is>
          <t>037-STBU</t>
        </is>
      </c>
      <c r="G1298" s="43" t="inlineStr">
        <is>
          <t>CTANJZ05259</t>
        </is>
      </c>
      <c r="H1298" s="43" t="inlineStr">
        <is>
          <t>For temporary Manufacturing process change</t>
        </is>
      </c>
      <c r="I1298" s="43" t="inlineStr">
        <is>
          <t>Customer Deviation</t>
        </is>
      </c>
      <c r="J1298" s="43" t="inlineStr">
        <is>
          <t>D611312</t>
        </is>
      </c>
      <c r="K1298" s="33" t="inlineStr">
        <is>
          <t>D611312 1. Units will return to PCBA from DF.2. FJZ provided the 73- level serials of the units of complete genealogy to be reworked so PCO can add those serials to the script3. Netmod Unit will be reviewed previous to test to verify cosmetic condition.4. Netmod Unit will be tested again on P2 test since is fully assembled it be re tested again on PCBA area.5. Once the unit pass the unit will be sent to DF so can be processed as needed.</t>
        </is>
      </c>
      <c r="L1298" s="43" t="inlineStr">
        <is>
          <t>Expired</t>
        </is>
      </c>
      <c r="M1298" s="43" t="inlineStr">
        <is>
          <t>800-101934-13</t>
        </is>
      </c>
      <c r="N1298" s="43" t="inlineStr"/>
      <c r="O1298" s="43" t="inlineStr">
        <is>
          <t>2026-08-18</t>
        </is>
      </c>
      <c r="P1298" s="33" t="inlineStr">
        <is>
          <t>For temporary Manufacturing process change</t>
        </is>
      </c>
      <c r="Q1298" s="43" t="inlineStr">
        <is>
          <t>Add a label on the outside of the unit with the deviation number</t>
        </is>
      </c>
      <c r="R1298" s="43" t="inlineStr">
        <is>
          <t>2026-05-21</t>
        </is>
      </c>
      <c r="S1298" s="43" t="inlineStr">
        <is>
          <t>2026-06-10</t>
        </is>
      </c>
      <c r="T1298" s="43" t="inlineStr"/>
      <c r="U1298" s="43" t="inlineStr"/>
    </row>
    <row r="1299">
      <c r="A1299" s="43" t="n">
        <v>1299</v>
      </c>
      <c r="B1299" s="43" t="inlineStr">
        <is>
          <t>1298</t>
        </is>
      </c>
      <c r="C1299" s="43" t="inlineStr">
        <is>
          <t>FJZP</t>
        </is>
      </c>
      <c r="D1299" s="43" t="inlineStr">
        <is>
          <t>Cisco</t>
        </is>
      </c>
      <c r="E1299" s="43" t="inlineStr">
        <is>
          <t>MCGA</t>
        </is>
      </c>
      <c r="F1299" s="43" t="inlineStr">
        <is>
          <t>035-CVEBU</t>
        </is>
      </c>
      <c r="G1299" s="43" t="inlineStr">
        <is>
          <t>CTANJZ05260</t>
        </is>
      </c>
      <c r="H1299" s="43" t="inlineStr">
        <is>
          <t>For temporary Manufacturing process change</t>
        </is>
      </c>
      <c r="I1299" s="43" t="inlineStr">
        <is>
          <t>Customer Deviation</t>
        </is>
      </c>
      <c r="J1299" s="43" t="inlineStr">
        <is>
          <t>D611478</t>
        </is>
      </c>
      <c r="K1299" s="33" t="inlineStr">
        <is>
          <t>D611478 CVEBU; Tyne; Minimal ORT with Millennium ORT chamber until we have the dedicated setup for Tyne availableAffected items68-104853-01; ASY-ELMECH; Tyne Codec; Radio68-104854-01; ASY-ELMECH; Tyne Codec; Non-RadioDeviation- This deviation is to use the Millennium ORT chamber and the supporting test equipment to use for the ORT test for Tyne for a short period of time until we have the dedicated setup for Tyne ORT available up and running.- Also; this deviation is to allow running the minimal ORT for Tyne to gain confidence moving forward with the FCS until we have the dedicated setup for Tyne available.Cisco Contact: Sreelakshmi Paliyath</t>
        </is>
      </c>
      <c r="L1299" s="43" t="inlineStr">
        <is>
          <t>Expired</t>
        </is>
      </c>
      <c r="M1299" s="43" t="inlineStr">
        <is>
          <t>68-104853-01</t>
        </is>
      </c>
      <c r="N1299" s="43" t="inlineStr"/>
      <c r="O1299" s="43" t="inlineStr">
        <is>
          <t>2026-08-18</t>
        </is>
      </c>
      <c r="P1299" s="33" t="inlineStr">
        <is>
          <t>For temporary Manufacturing process change</t>
        </is>
      </c>
      <c r="Q1299" s="43" t="inlineStr">
        <is>
          <t>No marking needed</t>
        </is>
      </c>
      <c r="R1299" s="43" t="inlineStr">
        <is>
          <t>2026-05-21</t>
        </is>
      </c>
      <c r="S1299" s="43" t="inlineStr">
        <is>
          <t>2026-06-01</t>
        </is>
      </c>
      <c r="T1299" s="43" t="inlineStr"/>
      <c r="U1299" s="43" t="inlineStr"/>
    </row>
    <row r="1300">
      <c r="A1300" s="43" t="n">
        <v>1300</v>
      </c>
      <c r="B1300" s="43" t="inlineStr">
        <is>
          <t>1299</t>
        </is>
      </c>
      <c r="C1300" s="43" t="inlineStr">
        <is>
          <t>FJZP</t>
        </is>
      </c>
      <c r="D1300" s="43" t="inlineStr">
        <is>
          <t>Cisco</t>
        </is>
      </c>
      <c r="E1300" s="43" t="inlineStr">
        <is>
          <t>MCGA</t>
        </is>
      </c>
      <c r="F1300" s="43" t="inlineStr">
        <is>
          <t>035-CVEBU</t>
        </is>
      </c>
      <c r="G1300" s="43" t="inlineStr">
        <is>
          <t>CTANJZ05260</t>
        </is>
      </c>
      <c r="H1300" s="43" t="inlineStr">
        <is>
          <t>For temporary Manufacturing process change</t>
        </is>
      </c>
      <c r="I1300" s="43" t="inlineStr">
        <is>
          <t>Customer Deviation</t>
        </is>
      </c>
      <c r="J1300" s="43" t="inlineStr">
        <is>
          <t>D611478</t>
        </is>
      </c>
      <c r="K1300" s="33" t="inlineStr">
        <is>
          <t>D611478 CVEBU; Tyne; Minimal ORT with Millennium ORT chamber until we have the dedicated setup for Tyne availableAffected items68-104853-01; ASY-ELMECH; Tyne Codec; Radio68-104854-01; ASY-ELMECH; Tyne Codec; Non-RadioDeviation- This deviation is to use the Millennium ORT chamber and the supporting test equipment to use for the ORT test for Tyne for a short period of time until we have the dedicated setup for Tyne ORT available up and running.- Also; this deviation is to allow running the minimal ORT for Tyne to gain confidence moving forward with the FCS until we have the dedicated setup for Tyne available.Cisco Contact: Sreelakshmi Paliyath</t>
        </is>
      </c>
      <c r="L1300" s="43" t="inlineStr">
        <is>
          <t>Expired</t>
        </is>
      </c>
      <c r="M1300" s="43" t="inlineStr">
        <is>
          <t>68-104854-01</t>
        </is>
      </c>
      <c r="N1300" s="43" t="inlineStr"/>
      <c r="O1300" s="43" t="inlineStr">
        <is>
          <t>2026-08-18</t>
        </is>
      </c>
      <c r="P1300" s="33" t="inlineStr">
        <is>
          <t>For temporary Manufacturing process change</t>
        </is>
      </c>
      <c r="Q1300" s="43" t="inlineStr">
        <is>
          <t>No marking needed</t>
        </is>
      </c>
      <c r="R1300" s="43" t="inlineStr">
        <is>
          <t>2026-05-21</t>
        </is>
      </c>
      <c r="S1300" s="43" t="inlineStr">
        <is>
          <t>2026-06-01</t>
        </is>
      </c>
      <c r="T1300" s="43" t="inlineStr"/>
      <c r="U1300" s="43" t="inlineStr"/>
    </row>
    <row r="1301">
      <c r="A1301" s="43" t="n">
        <v>1301</v>
      </c>
      <c r="B1301" s="43" t="inlineStr">
        <is>
          <t>1300</t>
        </is>
      </c>
      <c r="C1301" s="43" t="inlineStr">
        <is>
          <t>FJZP</t>
        </is>
      </c>
      <c r="D1301" s="43" t="inlineStr">
        <is>
          <t>Cisco</t>
        </is>
      </c>
      <c r="E1301" s="43" t="inlineStr">
        <is>
          <t>MCGA</t>
        </is>
      </c>
      <c r="F1301" s="43" t="inlineStr">
        <is>
          <t>035-CVEBU</t>
        </is>
      </c>
      <c r="G1301" s="43" t="inlineStr">
        <is>
          <t>CTANJZ05260</t>
        </is>
      </c>
      <c r="H1301" s="43" t="inlineStr">
        <is>
          <t>For temporary Manufacturing process change</t>
        </is>
      </c>
      <c r="I1301" s="43" t="inlineStr">
        <is>
          <t>Customer Deviation</t>
        </is>
      </c>
      <c r="J1301" s="43" t="inlineStr">
        <is>
          <t>D611478</t>
        </is>
      </c>
      <c r="K1301" s="33" t="inlineStr">
        <is>
          <t>D611478 CVEBU; Tyne; Minimal ORT with Millennium ORT chamber until we have the dedicated setup for Tyne availableAffected items68-104853-01; ASY-ELMECH; Tyne Codec; Radio68-104854-01; ASY-ELMECH; Tyne Codec; Non-RadioDeviation- This deviation is to use the Millennium ORT chamber and the supporting test equipment to use for the ORT test for Tyne for a short period of time until we have the dedicated setup for Tyne ORT available up and running.- Also; this deviation is to allow running the minimal ORT for Tyne to gain confidence moving forward with the FCS until we have the dedicated setup for Tyne available.Cisco Contact: Sreelakshmi Paliyath</t>
        </is>
      </c>
      <c r="L1301" s="43" t="inlineStr">
        <is>
          <t>Expired</t>
        </is>
      </c>
      <c r="M1301" s="43" t="inlineStr">
        <is>
          <t>800-113105-01</t>
        </is>
      </c>
      <c r="N1301" s="43" t="inlineStr"/>
      <c r="O1301" s="43" t="inlineStr">
        <is>
          <t>2026-08-18</t>
        </is>
      </c>
      <c r="P1301" s="33" t="inlineStr">
        <is>
          <t>For temporary Manufacturing process change</t>
        </is>
      </c>
      <c r="Q1301" s="43" t="inlineStr">
        <is>
          <t>No marking needed</t>
        </is>
      </c>
      <c r="R1301" s="43" t="inlineStr">
        <is>
          <t>2026-05-21</t>
        </is>
      </c>
      <c r="S1301" s="43" t="inlineStr">
        <is>
          <t>2026-06-01</t>
        </is>
      </c>
      <c r="T1301" s="43" t="inlineStr"/>
      <c r="U1301" s="43" t="inlineStr"/>
    </row>
    <row r="1302">
      <c r="A1302" s="43" t="n">
        <v>1302</v>
      </c>
      <c r="B1302" s="43" t="inlineStr">
        <is>
          <t>1301</t>
        </is>
      </c>
      <c r="C1302" s="43" t="inlineStr">
        <is>
          <t>FJZP</t>
        </is>
      </c>
      <c r="D1302" s="43" t="inlineStr">
        <is>
          <t>Cisco</t>
        </is>
      </c>
      <c r="E1302" s="43" t="inlineStr">
        <is>
          <t>MCGA</t>
        </is>
      </c>
      <c r="F1302" s="43" t="inlineStr">
        <is>
          <t>035-CVEBU</t>
        </is>
      </c>
      <c r="G1302" s="43" t="inlineStr">
        <is>
          <t>CTANJZ05260</t>
        </is>
      </c>
      <c r="H1302" s="43" t="inlineStr">
        <is>
          <t>For temporary Manufacturing process change</t>
        </is>
      </c>
      <c r="I1302" s="43" t="inlineStr">
        <is>
          <t>Customer Deviation</t>
        </is>
      </c>
      <c r="J1302" s="43" t="inlineStr">
        <is>
          <t>D611478</t>
        </is>
      </c>
      <c r="K1302" s="33" t="inlineStr">
        <is>
          <t>D611478 CVEBU; Tyne; Minimal ORT with Millennium ORT chamber until we have the dedicated setup for Tyne availableAffected items68-104853-01; ASY-ELMECH; Tyne Codec; Radio68-104854-01; ASY-ELMECH; Tyne Codec; Non-RadioDeviation- This deviation is to use the Millennium ORT chamber and the supporting test equipment to use for the ORT test for Tyne for a short period of time until we have the dedicated setup for Tyne ORT available up and running.- Also; this deviation is to allow running the minimal ORT for Tyne to gain confidence moving forward with the FCS until we have the dedicated setup for Tyne available.Cisco Contact: Sreelakshmi Paliyath</t>
        </is>
      </c>
      <c r="L1302" s="43" t="inlineStr">
        <is>
          <t>Expired</t>
        </is>
      </c>
      <c r="M1302" s="43" t="inlineStr">
        <is>
          <t>800-113255-01</t>
        </is>
      </c>
      <c r="N1302" s="43" t="inlineStr"/>
      <c r="O1302" s="43" t="inlineStr">
        <is>
          <t>2026-08-18</t>
        </is>
      </c>
      <c r="P1302" s="33" t="inlineStr">
        <is>
          <t>For temporary Manufacturing process change</t>
        </is>
      </c>
      <c r="Q1302" s="43" t="inlineStr">
        <is>
          <t>No marking needed</t>
        </is>
      </c>
      <c r="R1302" s="43" t="inlineStr">
        <is>
          <t>2026-05-21</t>
        </is>
      </c>
      <c r="S1302" s="43" t="inlineStr">
        <is>
          <t>2026-06-01</t>
        </is>
      </c>
      <c r="T1302" s="43" t="inlineStr"/>
      <c r="U1302" s="43" t="inlineStr"/>
    </row>
    <row r="1303">
      <c r="A1303" s="43" t="n">
        <v>1303</v>
      </c>
      <c r="B1303" s="43" t="inlineStr">
        <is>
          <t>1302</t>
        </is>
      </c>
      <c r="C1303" s="43" t="inlineStr">
        <is>
          <t>FJZP</t>
        </is>
      </c>
      <c r="D1303" s="43" t="inlineStr">
        <is>
          <t>Cisco</t>
        </is>
      </c>
      <c r="E1303" s="43" t="inlineStr">
        <is>
          <t>MCGA</t>
        </is>
      </c>
      <c r="F1303" s="43" t="inlineStr">
        <is>
          <t>018-SRGBU</t>
        </is>
      </c>
      <c r="G1303" s="43" t="inlineStr">
        <is>
          <t>CTANJZ05422</t>
        </is>
      </c>
      <c r="H1303" s="43" t="inlineStr">
        <is>
          <t>For temporary Manufacturing process change</t>
        </is>
      </c>
      <c r="I1303" s="43" t="inlineStr">
        <is>
          <t>Customer Deviation</t>
        </is>
      </c>
      <c r="J1303" s="43" t="inlineStr">
        <is>
          <t>D613228</t>
        </is>
      </c>
      <c r="K1303" s="33" t="inlineStr">
        <is>
          <t>D613228 SRGBU-Nutella: Upgrade to Rommon version 17.15.(1r) and use eMMC KLMCG1RCTE-B041 NOTE: This is an extension deviation of D611208.</t>
        </is>
      </c>
      <c r="L1303" s="43" t="inlineStr">
        <is>
          <t>FAI Status</t>
        </is>
      </c>
      <c r="M1303" s="43" t="inlineStr">
        <is>
          <t>74-122742-01</t>
        </is>
      </c>
      <c r="N1303" s="43" t="inlineStr"/>
      <c r="O1303" s="43" t="inlineStr">
        <is>
          <t>2026-11-08</t>
        </is>
      </c>
      <c r="P1303" s="33" t="inlineStr">
        <is>
          <t>For temporary Manufacturing process change</t>
        </is>
      </c>
      <c r="Q1303" s="43" t="inlineStr">
        <is>
          <t>Please Place the deviation label in visible area.</t>
        </is>
      </c>
      <c r="R1303" s="43" t="inlineStr">
        <is>
          <t>2026-08-12</t>
        </is>
      </c>
      <c r="S1303" s="43" t="inlineStr">
        <is>
          <t>2026-08-29</t>
        </is>
      </c>
      <c r="T1303" s="43" t="inlineStr"/>
      <c r="U1303" s="43" t="inlineStr"/>
    </row>
    <row r="1304">
      <c r="A1304" s="43" t="n">
        <v>1304</v>
      </c>
      <c r="B1304" s="43" t="inlineStr">
        <is>
          <t>1303</t>
        </is>
      </c>
      <c r="C1304" s="43" t="inlineStr">
        <is>
          <t>FJZP</t>
        </is>
      </c>
      <c r="D1304" s="43" t="inlineStr">
        <is>
          <t>Cisco</t>
        </is>
      </c>
      <c r="E1304" s="43" t="inlineStr">
        <is>
          <t>MCGA</t>
        </is>
      </c>
      <c r="F1304" s="43" t="inlineStr">
        <is>
          <t>018-SRGBU</t>
        </is>
      </c>
      <c r="G1304" s="43" t="inlineStr">
        <is>
          <t>CTANJZ05422</t>
        </is>
      </c>
      <c r="H1304" s="43" t="inlineStr">
        <is>
          <t>For temporary Manufacturing process change</t>
        </is>
      </c>
      <c r="I1304" s="43" t="inlineStr">
        <is>
          <t>Customer Deviation</t>
        </is>
      </c>
      <c r="J1304" s="43" t="inlineStr">
        <is>
          <t>D613228</t>
        </is>
      </c>
      <c r="K1304" s="33" t="inlineStr">
        <is>
          <t>D613228 SRGBU-Nutella: Upgrade to Rommon version 17.15.(1r) and use eMMC KLMCG1RCTE-B041 NOTE: This is an extension deviation of D611208.</t>
        </is>
      </c>
      <c r="L1304" s="43" t="inlineStr">
        <is>
          <t>FAI Status</t>
        </is>
      </c>
      <c r="M1304" s="43" t="inlineStr">
        <is>
          <t>74-122743-01</t>
        </is>
      </c>
      <c r="N1304" s="43" t="inlineStr"/>
      <c r="O1304" s="43" t="inlineStr">
        <is>
          <t>2026-11-08</t>
        </is>
      </c>
      <c r="P1304" s="33" t="inlineStr">
        <is>
          <t>For temporary Manufacturing process change</t>
        </is>
      </c>
      <c r="Q1304" s="43" t="inlineStr">
        <is>
          <t>Please Place the deviation label in visible area.</t>
        </is>
      </c>
      <c r="R1304" s="43" t="inlineStr">
        <is>
          <t>2026-08-12</t>
        </is>
      </c>
      <c r="S1304" s="43" t="inlineStr">
        <is>
          <t>2026-08-29</t>
        </is>
      </c>
      <c r="T1304" s="43" t="inlineStr"/>
      <c r="U1304" s="43" t="inlineStr"/>
    </row>
    <row r="1305">
      <c r="A1305" s="43" t="n">
        <v>1305</v>
      </c>
      <c r="B1305" s="43" t="inlineStr">
        <is>
          <t>1304</t>
        </is>
      </c>
      <c r="C1305" s="43" t="inlineStr">
        <is>
          <t>FJZP</t>
        </is>
      </c>
      <c r="D1305" s="43" t="inlineStr">
        <is>
          <t>Cisco</t>
        </is>
      </c>
      <c r="E1305" s="43" t="inlineStr">
        <is>
          <t>MCGA</t>
        </is>
      </c>
      <c r="F1305" s="43" t="inlineStr">
        <is>
          <t>018-SRGBU</t>
        </is>
      </c>
      <c r="G1305" s="43" t="inlineStr">
        <is>
          <t>CTANJZ05422</t>
        </is>
      </c>
      <c r="H1305" s="43" t="inlineStr">
        <is>
          <t>For temporary Manufacturing process change</t>
        </is>
      </c>
      <c r="I1305" s="43" t="inlineStr">
        <is>
          <t>Customer Deviation</t>
        </is>
      </c>
      <c r="J1305" s="43" t="inlineStr">
        <is>
          <t>D613228</t>
        </is>
      </c>
      <c r="K1305" s="33" t="inlineStr">
        <is>
          <t>D613228 SRGBU-Nutella: Upgrade to Rommon version 17.15.(1r) and use eMMC KLMCG1RCTE-B041 NOTE: This is an extension deviation of D611208.</t>
        </is>
      </c>
      <c r="L1305" s="43" t="inlineStr">
        <is>
          <t>FAI Status</t>
        </is>
      </c>
      <c r="M1305" s="43" t="inlineStr">
        <is>
          <t>74-122744-01</t>
        </is>
      </c>
      <c r="N1305" s="43" t="inlineStr"/>
      <c r="O1305" s="43" t="inlineStr">
        <is>
          <t>2026-11-08</t>
        </is>
      </c>
      <c r="P1305" s="33" t="inlineStr">
        <is>
          <t>For temporary Manufacturing process change</t>
        </is>
      </c>
      <c r="Q1305" s="43" t="inlineStr">
        <is>
          <t>Please Place the deviation label in visible area.</t>
        </is>
      </c>
      <c r="R1305" s="43" t="inlineStr">
        <is>
          <t>2026-08-12</t>
        </is>
      </c>
      <c r="S1305" s="43" t="inlineStr">
        <is>
          <t>2026-08-29</t>
        </is>
      </c>
      <c r="T1305" s="43" t="inlineStr"/>
      <c r="U1305" s="43" t="inlineStr"/>
    </row>
    <row r="1306">
      <c r="A1306" s="43" t="n">
        <v>1306</v>
      </c>
      <c r="B1306" s="43" t="inlineStr">
        <is>
          <t>1305</t>
        </is>
      </c>
      <c r="C1306" s="43" t="inlineStr">
        <is>
          <t>FJZP</t>
        </is>
      </c>
      <c r="D1306" s="43" t="inlineStr">
        <is>
          <t>Cisco</t>
        </is>
      </c>
      <c r="E1306" s="43" t="inlineStr">
        <is>
          <t>MCGA</t>
        </is>
      </c>
      <c r="F1306" s="43" t="inlineStr">
        <is>
          <t>018-SRGBU</t>
        </is>
      </c>
      <c r="G1306" s="43" t="inlineStr">
        <is>
          <t>CTANJZ05422</t>
        </is>
      </c>
      <c r="H1306" s="43" t="inlineStr">
        <is>
          <t>For temporary Manufacturing process change</t>
        </is>
      </c>
      <c r="I1306" s="43" t="inlineStr">
        <is>
          <t>Customer Deviation</t>
        </is>
      </c>
      <c r="J1306" s="43" t="inlineStr">
        <is>
          <t>D613228</t>
        </is>
      </c>
      <c r="K1306" s="33" t="inlineStr">
        <is>
          <t>D613228 SRGBU-Nutella: Upgrade to Rommon version 17.15.(1r) and use eMMC KLMCG1RCTE-B041 NOTE: This is an extension deviation of D611208.</t>
        </is>
      </c>
      <c r="L1306" s="43" t="inlineStr">
        <is>
          <t>FAI Status</t>
        </is>
      </c>
      <c r="M1306" s="43" t="inlineStr">
        <is>
          <t>74-122859-01</t>
        </is>
      </c>
      <c r="N1306" s="43" t="inlineStr"/>
      <c r="O1306" s="43" t="inlineStr">
        <is>
          <t>2026-11-08</t>
        </is>
      </c>
      <c r="P1306" s="33" t="inlineStr">
        <is>
          <t>For temporary Manufacturing process change</t>
        </is>
      </c>
      <c r="Q1306" s="43" t="inlineStr">
        <is>
          <t>Please Place the deviation label in visible area.</t>
        </is>
      </c>
      <c r="R1306" s="43" t="inlineStr">
        <is>
          <t>2026-08-12</t>
        </is>
      </c>
      <c r="S1306" s="43" t="inlineStr">
        <is>
          <t>2026-08-29</t>
        </is>
      </c>
      <c r="T1306" s="43" t="inlineStr"/>
      <c r="U1306" s="43" t="inlineStr"/>
    </row>
    <row r="1307">
      <c r="A1307" s="43" t="n">
        <v>1307</v>
      </c>
      <c r="B1307" s="43" t="inlineStr">
        <is>
          <t>1306</t>
        </is>
      </c>
      <c r="C1307" s="43" t="inlineStr">
        <is>
          <t>FJZP</t>
        </is>
      </c>
      <c r="D1307" s="43" t="inlineStr">
        <is>
          <t>Cisco</t>
        </is>
      </c>
      <c r="E1307" s="43" t="inlineStr">
        <is>
          <t>MCGA</t>
        </is>
      </c>
      <c r="F1307" s="43" t="inlineStr">
        <is>
          <t>018-SRGBU</t>
        </is>
      </c>
      <c r="G1307" s="43" t="inlineStr">
        <is>
          <t>CTANJZ05422</t>
        </is>
      </c>
      <c r="H1307" s="43" t="inlineStr">
        <is>
          <t>For temporary Manufacturing process change</t>
        </is>
      </c>
      <c r="I1307" s="43" t="inlineStr">
        <is>
          <t>Customer Deviation</t>
        </is>
      </c>
      <c r="J1307" s="43" t="inlineStr">
        <is>
          <t>D613228</t>
        </is>
      </c>
      <c r="K1307" s="33" t="inlineStr">
        <is>
          <t>D613228 SRGBU-Nutella: Upgrade to Rommon version 17.15.(1r) and use eMMC KLMCG1RCTE-B041 NOTE: This is an extension deviation of D611208.</t>
        </is>
      </c>
      <c r="L1307" s="43" t="inlineStr">
        <is>
          <t>FAI Status</t>
        </is>
      </c>
      <c r="M1307" s="43" t="inlineStr">
        <is>
          <t>74-123836-01</t>
        </is>
      </c>
      <c r="N1307" s="43" t="inlineStr"/>
      <c r="O1307" s="43" t="inlineStr">
        <is>
          <t>2026-11-08</t>
        </is>
      </c>
      <c r="P1307" s="33" t="inlineStr">
        <is>
          <t>For temporary Manufacturing process change</t>
        </is>
      </c>
      <c r="Q1307" s="43" t="inlineStr">
        <is>
          <t>Please Place the deviation label in visible area.</t>
        </is>
      </c>
      <c r="R1307" s="43" t="inlineStr">
        <is>
          <t>2026-08-12</t>
        </is>
      </c>
      <c r="S1307" s="43" t="inlineStr">
        <is>
          <t>2026-08-29</t>
        </is>
      </c>
      <c r="T1307" s="43" t="inlineStr"/>
      <c r="U1307" s="43" t="inlineStr"/>
    </row>
    <row r="1308">
      <c r="A1308" s="43" t="n">
        <v>1308</v>
      </c>
      <c r="B1308" s="43" t="inlineStr">
        <is>
          <t>1307</t>
        </is>
      </c>
      <c r="C1308" s="43" t="inlineStr">
        <is>
          <t>FJZP</t>
        </is>
      </c>
      <c r="D1308" s="43" t="inlineStr">
        <is>
          <t>Cisco</t>
        </is>
      </c>
      <c r="E1308" s="43" t="inlineStr">
        <is>
          <t>MCGA</t>
        </is>
      </c>
      <c r="F1308" s="43" t="inlineStr">
        <is>
          <t>018-SRGBU</t>
        </is>
      </c>
      <c r="G1308" s="43" t="inlineStr">
        <is>
          <t>CTANJZ05422</t>
        </is>
      </c>
      <c r="H1308" s="43" t="inlineStr">
        <is>
          <t>For temporary Manufacturing process change</t>
        </is>
      </c>
      <c r="I1308" s="43" t="inlineStr">
        <is>
          <t>Customer Deviation</t>
        </is>
      </c>
      <c r="J1308" s="43" t="inlineStr">
        <is>
          <t>D613228</t>
        </is>
      </c>
      <c r="K1308" s="33" t="inlineStr">
        <is>
          <t>D613228 SRGBU-Nutella: Upgrade to Rommon version 17.15.(1r) and use eMMC KLMCG1RCTE-B041 NOTE: This is an extension deviation of D611208.</t>
        </is>
      </c>
      <c r="L1308" s="43" t="inlineStr">
        <is>
          <t>FAI Status</t>
        </is>
      </c>
      <c r="M1308" s="43" t="inlineStr">
        <is>
          <t>74-123837-01</t>
        </is>
      </c>
      <c r="N1308" s="43" t="inlineStr"/>
      <c r="O1308" s="43" t="inlineStr">
        <is>
          <t>2026-11-08</t>
        </is>
      </c>
      <c r="P1308" s="33" t="inlineStr">
        <is>
          <t>For temporary Manufacturing process change</t>
        </is>
      </c>
      <c r="Q1308" s="43" t="inlineStr">
        <is>
          <t>Please Place the deviation label in visible area.</t>
        </is>
      </c>
      <c r="R1308" s="43" t="inlineStr">
        <is>
          <t>2026-08-12</t>
        </is>
      </c>
      <c r="S1308" s="43" t="inlineStr">
        <is>
          <t>2026-08-29</t>
        </is>
      </c>
      <c r="T1308" s="43" t="inlineStr"/>
      <c r="U1308" s="43" t="inlineStr"/>
    </row>
    <row r="1309">
      <c r="A1309" s="43" t="n">
        <v>1309</v>
      </c>
      <c r="B1309" s="43" t="inlineStr">
        <is>
          <t>1308</t>
        </is>
      </c>
      <c r="C1309" s="43" t="inlineStr">
        <is>
          <t>FJZP</t>
        </is>
      </c>
      <c r="D1309" s="43" t="inlineStr">
        <is>
          <t>Cisco</t>
        </is>
      </c>
      <c r="E1309" s="43" t="inlineStr">
        <is>
          <t>MCGA</t>
        </is>
      </c>
      <c r="F1309" s="43" t="inlineStr">
        <is>
          <t>037-STBU</t>
        </is>
      </c>
      <c r="G1309" s="43" t="inlineStr">
        <is>
          <t>CTANJZ05517</t>
        </is>
      </c>
      <c r="H1309" s="43" t="inlineStr">
        <is>
          <t>For temporary Manufacturing process change</t>
        </is>
      </c>
      <c r="I1309" s="43" t="inlineStr">
        <is>
          <t>Customer Deviation</t>
        </is>
      </c>
      <c r="J1309" s="43" t="inlineStr">
        <is>
          <t>D613872</t>
        </is>
      </c>
      <c r="K1309" s="33" t="inlineStr">
        <is>
          <t>D613872 TPK: Allow FJZ to use CPN 15-108582-01 instead of the original one 15-104475-01 (MPN: NT5AD512M16C4-JR)</t>
        </is>
      </c>
      <c r="L1309" s="43" t="inlineStr">
        <is>
          <t>CCB</t>
        </is>
      </c>
      <c r="M1309" s="43" t="inlineStr">
        <is>
          <t>15-104475-01</t>
        </is>
      </c>
      <c r="N1309" s="43" t="inlineStr"/>
      <c r="O1309" s="43" t="inlineStr">
        <is>
          <t>2027-01-04</t>
        </is>
      </c>
      <c r="P1309" s="33" t="inlineStr">
        <is>
          <t>For temporary Manufacturing process change</t>
        </is>
      </c>
      <c r="Q1309" s="43" t="inlineStr">
        <is>
          <t>1. Perform validation with 3 units and provide test records of ICT; P2C and 2C to Cisco EPE; TE and ME 2. If validation is approved; FJZ is allowed to send these units 3. Place the deviation label on visible part of the board</t>
        </is>
      </c>
      <c r="R1309" s="43" t="inlineStr">
        <is>
          <t>2026-10-07</t>
        </is>
      </c>
      <c r="S1309" s="43" t="inlineStr"/>
      <c r="T1309" s="43" t="inlineStr"/>
      <c r="U1309" s="43" t="inlineStr"/>
    </row>
    <row r="1310">
      <c r="A1310" s="43" t="n">
        <v>1310</v>
      </c>
      <c r="B1310" s="43" t="inlineStr">
        <is>
          <t>1309</t>
        </is>
      </c>
      <c r="C1310" s="43" t="inlineStr">
        <is>
          <t>FJZP</t>
        </is>
      </c>
      <c r="D1310" s="43" t="inlineStr">
        <is>
          <t>Cisco</t>
        </is>
      </c>
      <c r="E1310" s="43" t="inlineStr">
        <is>
          <t>MCGA</t>
        </is>
      </c>
      <c r="F1310" s="43" t="inlineStr">
        <is>
          <t>037-STBU</t>
        </is>
      </c>
      <c r="G1310" s="43" t="inlineStr">
        <is>
          <t>CTANJZ05517</t>
        </is>
      </c>
      <c r="H1310" s="43" t="inlineStr">
        <is>
          <t>For temporary Manufacturing process change</t>
        </is>
      </c>
      <c r="I1310" s="43" t="inlineStr">
        <is>
          <t>Customer Deviation</t>
        </is>
      </c>
      <c r="J1310" s="43" t="inlineStr">
        <is>
          <t>D613872</t>
        </is>
      </c>
      <c r="K1310" s="33" t="inlineStr">
        <is>
          <t>D613872 TPK: Allow FJZ to use CPN 15-108582-01 instead of the original one 15-104475-01 (MPN: NT5AD512M16C4-JR)</t>
        </is>
      </c>
      <c r="L1310" s="43" t="inlineStr">
        <is>
          <t>CCB</t>
        </is>
      </c>
      <c r="M1310" s="43" t="inlineStr">
        <is>
          <t>15-108582-01</t>
        </is>
      </c>
      <c r="N1310" s="43" t="inlineStr"/>
      <c r="O1310" s="43" t="inlineStr">
        <is>
          <t>2027-01-04</t>
        </is>
      </c>
      <c r="P1310" s="33" t="inlineStr">
        <is>
          <t>For temporary Manufacturing process change</t>
        </is>
      </c>
      <c r="Q1310" s="43" t="inlineStr">
        <is>
          <t>1. Perform validation with 3 units and provide test records of ICT; P2C and 2C to Cisco EPE; TE and ME 2. If validation is approved; FJZ is allowed to send these units 3. Place the deviation label on visible part of the board</t>
        </is>
      </c>
      <c r="R1310" s="43" t="inlineStr">
        <is>
          <t>2026-10-07</t>
        </is>
      </c>
      <c r="S1310" s="43" t="inlineStr"/>
      <c r="T1310" s="43" t="inlineStr"/>
      <c r="U1310" s="43" t="inlineStr"/>
    </row>
    <row r="1311">
      <c r="A1311" s="43" t="n">
        <v>1311</v>
      </c>
      <c r="B1311" s="43" t="inlineStr">
        <is>
          <t>1310</t>
        </is>
      </c>
      <c r="C1311" s="43" t="inlineStr">
        <is>
          <t>FJZP</t>
        </is>
      </c>
      <c r="D1311" s="43" t="inlineStr">
        <is>
          <t>Cisco</t>
        </is>
      </c>
      <c r="E1311" s="43" t="inlineStr">
        <is>
          <t>MCGA</t>
        </is>
      </c>
      <c r="F1311" s="43" t="inlineStr">
        <is>
          <t>037-STBU</t>
        </is>
      </c>
      <c r="G1311" s="43" t="inlineStr">
        <is>
          <t>CTANJZ05517</t>
        </is>
      </c>
      <c r="H1311" s="43" t="inlineStr">
        <is>
          <t>For temporary Manufacturing process change</t>
        </is>
      </c>
      <c r="I1311" s="43" t="inlineStr">
        <is>
          <t>Customer Deviation</t>
        </is>
      </c>
      <c r="J1311" s="43" t="inlineStr">
        <is>
          <t>D613872</t>
        </is>
      </c>
      <c r="K1311" s="33" t="inlineStr">
        <is>
          <t>D613872 TPK: Allow FJZ to use CPN 15-108582-01 instead of the original one 15-104475-01 (MPN: NT5AD512M16C4-JR)</t>
        </is>
      </c>
      <c r="L1311" s="43" t="inlineStr">
        <is>
          <t>CCB</t>
        </is>
      </c>
      <c r="M1311" s="43" t="inlineStr">
        <is>
          <t>73-20247-06</t>
        </is>
      </c>
      <c r="N1311" s="43" t="inlineStr"/>
      <c r="O1311" s="43" t="inlineStr">
        <is>
          <t>2027-01-04</t>
        </is>
      </c>
      <c r="P1311" s="33" t="inlineStr">
        <is>
          <t>For temporary Manufacturing process change</t>
        </is>
      </c>
      <c r="Q1311" s="43" t="inlineStr">
        <is>
          <t>1. Perform validation with 3 units and provide test records of ICT; P2C and 2C to Cisco EPE; TE and ME 2. If validation is approved; FJZ is allowed to send these units 3. Place the deviation label on visible part of the board</t>
        </is>
      </c>
      <c r="R1311" s="43" t="inlineStr">
        <is>
          <t>2026-10-07</t>
        </is>
      </c>
      <c r="S1311" s="43" t="inlineStr"/>
      <c r="T1311" s="43" t="inlineStr"/>
      <c r="U1311" s="43" t="inlineStr"/>
    </row>
    <row r="1312">
      <c r="A1312" s="43" t="n">
        <v>1312</v>
      </c>
      <c r="B1312" s="43" t="inlineStr">
        <is>
          <t>1311</t>
        </is>
      </c>
      <c r="C1312" s="43" t="inlineStr">
        <is>
          <t>FJZP</t>
        </is>
      </c>
      <c r="D1312" s="43" t="inlineStr">
        <is>
          <t>Cisco</t>
        </is>
      </c>
      <c r="E1312" s="43" t="inlineStr">
        <is>
          <t>MCGA</t>
        </is>
      </c>
      <c r="F1312" s="43" t="inlineStr">
        <is>
          <t>037-STBU</t>
        </is>
      </c>
      <c r="G1312" s="43" t="inlineStr">
        <is>
          <t>CTANJZ05517</t>
        </is>
      </c>
      <c r="H1312" s="43" t="inlineStr">
        <is>
          <t>For temporary Manufacturing process change</t>
        </is>
      </c>
      <c r="I1312" s="43" t="inlineStr">
        <is>
          <t>Customer Deviation</t>
        </is>
      </c>
      <c r="J1312" s="43" t="inlineStr">
        <is>
          <t>D613872</t>
        </is>
      </c>
      <c r="K1312" s="33" t="inlineStr">
        <is>
          <t>D613872 TPK: Allow FJZ to use CPN 15-108582-01 instead of the original one 15-104475-01 (MPN: NT5AD512M16C4-JR)</t>
        </is>
      </c>
      <c r="L1312" s="43" t="inlineStr">
        <is>
          <t>CCB</t>
        </is>
      </c>
      <c r="M1312" s="43" t="inlineStr">
        <is>
          <t>73-20249-06</t>
        </is>
      </c>
      <c r="N1312" s="43" t="inlineStr"/>
      <c r="O1312" s="43" t="inlineStr">
        <is>
          <t>2027-01-04</t>
        </is>
      </c>
      <c r="P1312" s="33" t="inlineStr">
        <is>
          <t>For temporary Manufacturing process change</t>
        </is>
      </c>
      <c r="Q1312" s="43" t="inlineStr">
        <is>
          <t>1. Perform validation with 3 units and provide test records of ICT; P2C and 2C to Cisco EPE; TE and ME 2. If validation is approved; FJZ is allowed to send these units 3. Place the deviation label on visible part of the board</t>
        </is>
      </c>
      <c r="R1312" s="43" t="inlineStr">
        <is>
          <t>2026-10-07</t>
        </is>
      </c>
      <c r="S1312" s="43" t="inlineStr"/>
      <c r="T1312" s="43" t="inlineStr"/>
      <c r="U1312" s="43" t="inlineStr"/>
    </row>
    <row r="1313">
      <c r="A1313" s="43" t="n">
        <v>1313</v>
      </c>
      <c r="B1313" s="43" t="inlineStr">
        <is>
          <t>1312</t>
        </is>
      </c>
      <c r="C1313" s="43" t="inlineStr">
        <is>
          <t>FJZP</t>
        </is>
      </c>
      <c r="D1313" s="43" t="inlineStr">
        <is>
          <t>Cisco</t>
        </is>
      </c>
      <c r="E1313" s="43" t="inlineStr">
        <is>
          <t>MCGA</t>
        </is>
      </c>
      <c r="F1313" s="43" t="inlineStr">
        <is>
          <t>037-STBU</t>
        </is>
      </c>
      <c r="G1313" s="43" t="inlineStr">
        <is>
          <t>CTANJZ05518</t>
        </is>
      </c>
      <c r="H1313" s="43" t="inlineStr">
        <is>
          <t>For temporary Manufacturing process change</t>
        </is>
      </c>
      <c r="I1313" s="43" t="inlineStr">
        <is>
          <t>Customer Deviation</t>
        </is>
      </c>
      <c r="J1313" s="43" t="inlineStr">
        <is>
          <t>D613870</t>
        </is>
      </c>
      <c r="K1313" s="33" t="inlineStr">
        <is>
          <t>D613870 Extension (D611345): During 2023; EDI for 68-104008-02 was overstated which made FJZ to build a lot of units but booking did not come. After noticing EDI was adjusted way down; these units remained as excess. Now that some customers have asked for these modules on their systems; we need to use this old stock; otherwise orders can be cancelledAs there are already escalations for the orders; we need to fulfill them as needed</t>
        </is>
      </c>
      <c r="L1313" s="43" t="inlineStr">
        <is>
          <t>CCB</t>
        </is>
      </c>
      <c r="M1313" s="43" t="inlineStr">
        <is>
          <t>68-104008-02</t>
        </is>
      </c>
      <c r="N1313" s="43" t="inlineStr"/>
      <c r="O1313" s="43" t="inlineStr">
        <is>
          <t>2027-01-04</t>
        </is>
      </c>
      <c r="P1313" s="33" t="inlineStr">
        <is>
          <t>For temporary Manufacturing process change</t>
        </is>
      </c>
      <c r="Q1313" s="43" t="inlineStr">
        <is>
          <t>Scan the deviation in all the stations to have traceability on these units</t>
        </is>
      </c>
      <c r="R1313" s="43" t="inlineStr">
        <is>
          <t>2026-10-07</t>
        </is>
      </c>
      <c r="S1313" s="43" t="inlineStr"/>
      <c r="T1313" s="43" t="inlineStr"/>
      <c r="U1313" s="43" t="inlineStr"/>
    </row>
    <row r="1314">
      <c r="A1314" s="43" t="n">
        <v>1314</v>
      </c>
      <c r="B1314" s="43" t="inlineStr">
        <is>
          <t>1313</t>
        </is>
      </c>
      <c r="C1314" s="43" t="inlineStr">
        <is>
          <t>FJZP</t>
        </is>
      </c>
      <c r="D1314" s="43" t="inlineStr">
        <is>
          <t>Cisco</t>
        </is>
      </c>
      <c r="E1314" s="43" t="inlineStr">
        <is>
          <t>MCGA</t>
        </is>
      </c>
      <c r="F1314" s="43" t="inlineStr">
        <is>
          <t>037-STBU</t>
        </is>
      </c>
      <c r="G1314" s="43" t="inlineStr">
        <is>
          <t>CTANJZ05286</t>
        </is>
      </c>
      <c r="H1314" s="43" t="inlineStr">
        <is>
          <t>For temporary Manufacturing process change</t>
        </is>
      </c>
      <c r="I1314" s="43" t="inlineStr">
        <is>
          <t>Customer Deviation</t>
        </is>
      </c>
      <c r="J1314" s="43" t="inlineStr">
        <is>
          <t>D611905</t>
        </is>
      </c>
      <c r="K1314"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314" s="43" t="inlineStr">
        <is>
          <t>Expired</t>
        </is>
      </c>
      <c r="M1314" s="43" t="inlineStr">
        <is>
          <t>68-103464-06</t>
        </is>
      </c>
      <c r="N1314" s="43" t="inlineStr"/>
      <c r="O1314" s="43" t="inlineStr">
        <is>
          <t>2026-09-07</t>
        </is>
      </c>
      <c r="P1314" s="33" t="inlineStr">
        <is>
          <t>For temporary Manufacturing process change</t>
        </is>
      </c>
      <c r="Q1314" s="43"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314" s="43" t="inlineStr">
        <is>
          <t>2026-06-10</t>
        </is>
      </c>
      <c r="S1314" s="43" t="inlineStr">
        <is>
          <t>2026-07-07</t>
        </is>
      </c>
      <c r="T1314" s="43" t="inlineStr"/>
      <c r="U1314" s="43" t="inlineStr"/>
    </row>
    <row r="1315">
      <c r="A1315" s="43" t="n">
        <v>1315</v>
      </c>
      <c r="B1315" s="43" t="inlineStr">
        <is>
          <t>1314</t>
        </is>
      </c>
      <c r="C1315" s="43" t="inlineStr">
        <is>
          <t>FJZP</t>
        </is>
      </c>
      <c r="D1315" s="43" t="inlineStr">
        <is>
          <t>Cisco</t>
        </is>
      </c>
      <c r="E1315" s="43" t="inlineStr">
        <is>
          <t>MCGA</t>
        </is>
      </c>
      <c r="F1315" s="43" t="inlineStr">
        <is>
          <t>037-STBU</t>
        </is>
      </c>
      <c r="G1315" s="43" t="inlineStr">
        <is>
          <t>CTANJZ05286</t>
        </is>
      </c>
      <c r="H1315" s="43" t="inlineStr">
        <is>
          <t>For temporary Manufacturing process change</t>
        </is>
      </c>
      <c r="I1315" s="43" t="inlineStr">
        <is>
          <t>Customer Deviation</t>
        </is>
      </c>
      <c r="J1315" s="43" t="inlineStr">
        <is>
          <t>D611905</t>
        </is>
      </c>
      <c r="K1315"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315" s="43" t="inlineStr">
        <is>
          <t>Expired</t>
        </is>
      </c>
      <c r="M1315" s="43" t="inlineStr">
        <is>
          <t>68-103465-06</t>
        </is>
      </c>
      <c r="N1315" s="43" t="inlineStr"/>
      <c r="O1315" s="43" t="inlineStr">
        <is>
          <t>2026-09-07</t>
        </is>
      </c>
      <c r="P1315" s="33" t="inlineStr">
        <is>
          <t>For temporary Manufacturing process change</t>
        </is>
      </c>
      <c r="Q1315" s="43"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315" s="43" t="inlineStr">
        <is>
          <t>2026-06-10</t>
        </is>
      </c>
      <c r="S1315" s="43" t="inlineStr">
        <is>
          <t>2026-07-07</t>
        </is>
      </c>
      <c r="T1315" s="43" t="inlineStr"/>
      <c r="U1315" s="43" t="inlineStr"/>
    </row>
    <row r="1316">
      <c r="A1316" s="43" t="n">
        <v>1316</v>
      </c>
      <c r="B1316" s="43" t="inlineStr">
        <is>
          <t>1315</t>
        </is>
      </c>
      <c r="C1316" s="43" t="inlineStr">
        <is>
          <t>FJZP</t>
        </is>
      </c>
      <c r="D1316" s="43" t="inlineStr">
        <is>
          <t>Cisco</t>
        </is>
      </c>
      <c r="E1316" s="43" t="inlineStr">
        <is>
          <t>MCGA</t>
        </is>
      </c>
      <c r="F1316" s="43" t="inlineStr">
        <is>
          <t>037-STBU</t>
        </is>
      </c>
      <c r="G1316" s="43" t="inlineStr">
        <is>
          <t>CTANJZ05286</t>
        </is>
      </c>
      <c r="H1316" s="43" t="inlineStr">
        <is>
          <t>For temporary Manufacturing process change</t>
        </is>
      </c>
      <c r="I1316" s="43" t="inlineStr">
        <is>
          <t>Customer Deviation</t>
        </is>
      </c>
      <c r="J1316" s="43" t="inlineStr">
        <is>
          <t>D611905</t>
        </is>
      </c>
      <c r="K1316"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316" s="43" t="inlineStr">
        <is>
          <t>Expired</t>
        </is>
      </c>
      <c r="M1316" s="43" t="inlineStr">
        <is>
          <t>68-103466-06</t>
        </is>
      </c>
      <c r="N1316" s="43" t="inlineStr"/>
      <c r="O1316" s="43" t="inlineStr">
        <is>
          <t>2026-09-07</t>
        </is>
      </c>
      <c r="P1316" s="33" t="inlineStr">
        <is>
          <t>For temporary Manufacturing process change</t>
        </is>
      </c>
      <c r="Q1316" s="43"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316" s="43" t="inlineStr">
        <is>
          <t>2026-06-10</t>
        </is>
      </c>
      <c r="S1316" s="43" t="inlineStr">
        <is>
          <t>2026-07-07</t>
        </is>
      </c>
      <c r="T1316" s="43" t="inlineStr"/>
      <c r="U1316" s="43" t="inlineStr"/>
    </row>
    <row r="1317">
      <c r="A1317" s="43" t="n">
        <v>1317</v>
      </c>
      <c r="B1317" s="43" t="inlineStr">
        <is>
          <t>1316</t>
        </is>
      </c>
      <c r="C1317" s="43" t="inlineStr">
        <is>
          <t>FJZP</t>
        </is>
      </c>
      <c r="D1317" s="43" t="inlineStr">
        <is>
          <t>Cisco</t>
        </is>
      </c>
      <c r="E1317" s="43" t="inlineStr">
        <is>
          <t>MCGA</t>
        </is>
      </c>
      <c r="F1317" s="43" t="inlineStr">
        <is>
          <t>037-STBU</t>
        </is>
      </c>
      <c r="G1317" s="43" t="inlineStr">
        <is>
          <t>CTANJZ05286</t>
        </is>
      </c>
      <c r="H1317" s="43" t="inlineStr">
        <is>
          <t>For temporary Manufacturing process change</t>
        </is>
      </c>
      <c r="I1317" s="43" t="inlineStr">
        <is>
          <t>Customer Deviation</t>
        </is>
      </c>
      <c r="J1317" s="43" t="inlineStr">
        <is>
          <t>D611905</t>
        </is>
      </c>
      <c r="K1317"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317" s="43" t="inlineStr">
        <is>
          <t>Expired</t>
        </is>
      </c>
      <c r="M1317" s="43" t="inlineStr">
        <is>
          <t>68-104576-04</t>
        </is>
      </c>
      <c r="N1317" s="43" t="inlineStr"/>
      <c r="O1317" s="43" t="inlineStr">
        <is>
          <t>2026-09-07</t>
        </is>
      </c>
      <c r="P1317" s="33" t="inlineStr">
        <is>
          <t>For temporary Manufacturing process change</t>
        </is>
      </c>
      <c r="Q1317" s="43"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317" s="43" t="inlineStr">
        <is>
          <t>2026-06-10</t>
        </is>
      </c>
      <c r="S1317" s="43" t="inlineStr">
        <is>
          <t>2026-07-07</t>
        </is>
      </c>
      <c r="T1317" s="43" t="inlineStr"/>
      <c r="U1317" s="43" t="inlineStr"/>
    </row>
    <row r="1318">
      <c r="A1318" s="43" t="n">
        <v>1318</v>
      </c>
      <c r="B1318" s="43" t="inlineStr">
        <is>
          <t>1317</t>
        </is>
      </c>
      <c r="C1318" s="43" t="inlineStr">
        <is>
          <t>FJZP</t>
        </is>
      </c>
      <c r="D1318" s="43" t="inlineStr">
        <is>
          <t>Cisco</t>
        </is>
      </c>
      <c r="E1318" s="43" t="inlineStr">
        <is>
          <t>MCGA</t>
        </is>
      </c>
      <c r="F1318" s="43" t="inlineStr">
        <is>
          <t>037-STBU</t>
        </is>
      </c>
      <c r="G1318" s="43" t="inlineStr">
        <is>
          <t>CTANJZ05286</t>
        </is>
      </c>
      <c r="H1318" s="43" t="inlineStr">
        <is>
          <t>For temporary Manufacturing process change</t>
        </is>
      </c>
      <c r="I1318" s="43" t="inlineStr">
        <is>
          <t>Customer Deviation</t>
        </is>
      </c>
      <c r="J1318" s="43" t="inlineStr">
        <is>
          <t>D611905</t>
        </is>
      </c>
      <c r="K1318"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318" s="43" t="inlineStr">
        <is>
          <t>Expired</t>
        </is>
      </c>
      <c r="M1318" s="43" t="inlineStr">
        <is>
          <t>68-104621-04</t>
        </is>
      </c>
      <c r="N1318" s="43" t="inlineStr"/>
      <c r="O1318" s="43" t="inlineStr">
        <is>
          <t>2026-09-07</t>
        </is>
      </c>
      <c r="P1318" s="33" t="inlineStr">
        <is>
          <t>For temporary Manufacturing process change</t>
        </is>
      </c>
      <c r="Q1318" s="43"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318" s="43" t="inlineStr">
        <is>
          <t>2026-06-10</t>
        </is>
      </c>
      <c r="S1318" s="43" t="inlineStr">
        <is>
          <t>2026-07-07</t>
        </is>
      </c>
      <c r="T1318" s="43" t="inlineStr"/>
      <c r="U1318" s="43" t="inlineStr"/>
    </row>
    <row r="1319">
      <c r="A1319" s="43" t="n">
        <v>1319</v>
      </c>
      <c r="B1319" s="43" t="inlineStr">
        <is>
          <t>1318</t>
        </is>
      </c>
      <c r="C1319" s="43" t="inlineStr">
        <is>
          <t>FJZP</t>
        </is>
      </c>
      <c r="D1319" s="43" t="inlineStr">
        <is>
          <t>Cisco</t>
        </is>
      </c>
      <c r="E1319" s="43" t="inlineStr">
        <is>
          <t>MCGA</t>
        </is>
      </c>
      <c r="F1319" s="43" t="inlineStr">
        <is>
          <t>037-STBU</t>
        </is>
      </c>
      <c r="G1319" s="43" t="inlineStr">
        <is>
          <t>CTANJZ05286</t>
        </is>
      </c>
      <c r="H1319" s="43" t="inlineStr">
        <is>
          <t>For temporary Manufacturing process change</t>
        </is>
      </c>
      <c r="I1319" s="43" t="inlineStr">
        <is>
          <t>Customer Deviation</t>
        </is>
      </c>
      <c r="J1319" s="43" t="inlineStr">
        <is>
          <t>D611905</t>
        </is>
      </c>
      <c r="K1319"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319" s="43" t="inlineStr">
        <is>
          <t>Expired</t>
        </is>
      </c>
      <c r="M1319" s="43" t="inlineStr">
        <is>
          <t>68-7253-05</t>
        </is>
      </c>
      <c r="N1319" s="43" t="inlineStr"/>
      <c r="O1319" s="43" t="inlineStr">
        <is>
          <t>2026-09-07</t>
        </is>
      </c>
      <c r="P1319" s="33" t="inlineStr">
        <is>
          <t>For temporary Manufacturing process change</t>
        </is>
      </c>
      <c r="Q1319" s="43"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319" s="43" t="inlineStr">
        <is>
          <t>2026-06-10</t>
        </is>
      </c>
      <c r="S1319" s="43" t="inlineStr">
        <is>
          <t>2026-07-07</t>
        </is>
      </c>
      <c r="T1319" s="43" t="inlineStr"/>
      <c r="U1319" s="43" t="inlineStr"/>
    </row>
    <row r="1320">
      <c r="A1320" s="43" t="n">
        <v>1320</v>
      </c>
      <c r="B1320" s="43" t="inlineStr">
        <is>
          <t>1319</t>
        </is>
      </c>
      <c r="C1320" s="43" t="inlineStr">
        <is>
          <t>FJZP</t>
        </is>
      </c>
      <c r="D1320" s="43" t="inlineStr">
        <is>
          <t>Cisco</t>
        </is>
      </c>
      <c r="E1320" s="43" t="inlineStr">
        <is>
          <t>MCGA</t>
        </is>
      </c>
      <c r="F1320" s="43" t="inlineStr">
        <is>
          <t>037-STBU</t>
        </is>
      </c>
      <c r="G1320" s="43" t="inlineStr">
        <is>
          <t>CTANJZ05345</t>
        </is>
      </c>
      <c r="H1320" s="43" t="inlineStr">
        <is>
          <t>For temporary Manufacturing process change</t>
        </is>
      </c>
      <c r="I1320" s="43" t="inlineStr">
        <is>
          <t>Customer Deviation</t>
        </is>
      </c>
      <c r="J1320" s="43" t="inlineStr">
        <is>
          <t>D612428</t>
        </is>
      </c>
      <c r="K1320" s="33" t="inlineStr">
        <is>
          <t>D612428FJZ has the last 2 orders for the PID FPR-NM-2X40G-F=; this product is EOL so to fulfillment these orders we allow to FJZ to use as substitute the 55-372527-01 instead of 55-101825-01The orders are 119617780-1 and 119461060-6 (End customer: CISCO SYSTEMS INC SERVICE OPERATIONS)</t>
        </is>
      </c>
      <c r="L1320" s="43" t="inlineStr">
        <is>
          <t>Expired</t>
        </is>
      </c>
      <c r="M1320" s="43" t="inlineStr">
        <is>
          <t>55-101825-01</t>
        </is>
      </c>
      <c r="N1320" s="43" t="inlineStr"/>
      <c r="O1320" s="43" t="inlineStr">
        <is>
          <t>2026-10-06</t>
        </is>
      </c>
      <c r="P1320" s="33" t="inlineStr">
        <is>
          <t>For temporary Manufacturing process change</t>
        </is>
      </c>
      <c r="Q1320" s="43" t="inlineStr">
        <is>
          <t>NA</t>
        </is>
      </c>
      <c r="R1320" s="43" t="inlineStr">
        <is>
          <t>2026-07-09</t>
        </is>
      </c>
      <c r="S1320" s="43" t="inlineStr">
        <is>
          <t>2026-07-16</t>
        </is>
      </c>
      <c r="T1320" s="43" t="inlineStr"/>
      <c r="U1320" s="43" t="inlineStr"/>
    </row>
    <row r="1321">
      <c r="A1321" s="43" t="n">
        <v>1321</v>
      </c>
      <c r="B1321" s="43" t="inlineStr">
        <is>
          <t>1320</t>
        </is>
      </c>
      <c r="C1321" s="43" t="inlineStr">
        <is>
          <t>FJZP</t>
        </is>
      </c>
      <c r="D1321" s="43" t="inlineStr">
        <is>
          <t>Cisco</t>
        </is>
      </c>
      <c r="E1321" s="43" t="inlineStr">
        <is>
          <t>MCGA</t>
        </is>
      </c>
      <c r="F1321" s="43" t="inlineStr">
        <is>
          <t>018-SRGBU</t>
        </is>
      </c>
      <c r="G1321" s="43" t="inlineStr">
        <is>
          <t>CTANJZ05389</t>
        </is>
      </c>
      <c r="H1321" s="43" t="inlineStr">
        <is>
          <t>For temporary Manufacturing process change</t>
        </is>
      </c>
      <c r="I1321" s="43" t="inlineStr">
        <is>
          <t>Customer Deviation</t>
        </is>
      </c>
      <c r="J1321" s="43" t="inlineStr">
        <is>
          <t>D612687</t>
        </is>
      </c>
      <c r="K1321" s="33" t="inlineStr">
        <is>
          <t>D612687 The PSU 341-101113-02 reporting to PWR-CC1-400WAC contained error in the 61-104458-02 PCAMAP where the 341-Type Field was incorrectly changed to A0 when it should be C0.  This error caused error message "%Type 160 not supported in ID PROM" to show up in mfg test.</t>
        </is>
      </c>
      <c r="L1321" s="43" t="inlineStr">
        <is>
          <t>Expired</t>
        </is>
      </c>
      <c r="M1321" s="43" t="inlineStr">
        <is>
          <t>341-101113-02</t>
        </is>
      </c>
      <c r="N1321" s="43" t="inlineStr"/>
      <c r="O1321" s="43" t="inlineStr">
        <is>
          <t>2026-10-11</t>
        </is>
      </c>
      <c r="P1321" s="33" t="inlineStr">
        <is>
          <t>For temporary Manufacturing process change</t>
        </is>
      </c>
      <c r="Q1321" s="43" t="inlineStr">
        <is>
          <t>No marking is required. Please generate a system level SN list affected in production and provide it to Cisco for future reference.</t>
        </is>
      </c>
      <c r="R1321" s="43" t="inlineStr">
        <is>
          <t>2026-07-15</t>
        </is>
      </c>
      <c r="S1321" s="43" t="inlineStr">
        <is>
          <t>2026-08-08</t>
        </is>
      </c>
      <c r="T1321" s="43" t="inlineStr"/>
      <c r="U1321" s="43" t="inlineStr"/>
    </row>
    <row r="1322">
      <c r="A1322" s="43" t="n">
        <v>1322</v>
      </c>
      <c r="B1322" s="43" t="inlineStr">
        <is>
          <t>1321</t>
        </is>
      </c>
      <c r="C1322" s="43" t="inlineStr">
        <is>
          <t>FJZP</t>
        </is>
      </c>
      <c r="D1322" s="43" t="inlineStr">
        <is>
          <t>Cisco</t>
        </is>
      </c>
      <c r="E1322" s="43" t="inlineStr">
        <is>
          <t>MCGA</t>
        </is>
      </c>
      <c r="F1322" s="43" t="inlineStr">
        <is>
          <t>037-STBU</t>
        </is>
      </c>
      <c r="G1322" s="43" t="inlineStr">
        <is>
          <t>CTANJZ05286</t>
        </is>
      </c>
      <c r="H1322" s="43" t="inlineStr">
        <is>
          <t>For temporary Manufacturing process change</t>
        </is>
      </c>
      <c r="I1322" s="43" t="inlineStr">
        <is>
          <t>Customer Deviation</t>
        </is>
      </c>
      <c r="J1322" s="43" t="inlineStr">
        <is>
          <t>D611905</t>
        </is>
      </c>
      <c r="K1322"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322" s="43" t="inlineStr">
        <is>
          <t>Expired</t>
        </is>
      </c>
      <c r="M1322" s="43" t="inlineStr">
        <is>
          <t>68-7254-05</t>
        </is>
      </c>
      <c r="N1322" s="43" t="inlineStr"/>
      <c r="O1322" s="43" t="inlineStr">
        <is>
          <t>2026-09-07</t>
        </is>
      </c>
      <c r="P1322" s="33" t="inlineStr">
        <is>
          <t>For temporary Manufacturing process change</t>
        </is>
      </c>
      <c r="Q1322" s="43"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322" s="43" t="inlineStr">
        <is>
          <t>2026-06-10</t>
        </is>
      </c>
      <c r="S1322" s="43" t="inlineStr">
        <is>
          <t>2026-07-07</t>
        </is>
      </c>
      <c r="T1322" s="43" t="inlineStr"/>
      <c r="U1322" s="43" t="inlineStr"/>
    </row>
    <row r="1323">
      <c r="A1323" s="43" t="n">
        <v>1323</v>
      </c>
      <c r="B1323" s="43" t="inlineStr">
        <is>
          <t>1322</t>
        </is>
      </c>
      <c r="C1323" s="43" t="inlineStr">
        <is>
          <t>FJZP</t>
        </is>
      </c>
      <c r="D1323" s="43" t="inlineStr">
        <is>
          <t>Cisco</t>
        </is>
      </c>
      <c r="E1323" s="43" t="inlineStr">
        <is>
          <t>MCGA</t>
        </is>
      </c>
      <c r="F1323" s="43" t="inlineStr">
        <is>
          <t>037-STBU</t>
        </is>
      </c>
      <c r="G1323" s="43" t="inlineStr">
        <is>
          <t>CTANJZ05286</t>
        </is>
      </c>
      <c r="H1323" s="43" t="inlineStr">
        <is>
          <t>For temporary Manufacturing process change</t>
        </is>
      </c>
      <c r="I1323" s="43" t="inlineStr">
        <is>
          <t>Customer Deviation</t>
        </is>
      </c>
      <c r="J1323" s="43" t="inlineStr">
        <is>
          <t>D611905</t>
        </is>
      </c>
      <c r="K1323"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323" s="43" t="inlineStr">
        <is>
          <t>Expired</t>
        </is>
      </c>
      <c r="M1323" s="43" t="inlineStr">
        <is>
          <t>68-7255-05</t>
        </is>
      </c>
      <c r="N1323" s="43" t="inlineStr"/>
      <c r="O1323" s="43" t="inlineStr">
        <is>
          <t>2026-09-07</t>
        </is>
      </c>
      <c r="P1323" s="33" t="inlineStr">
        <is>
          <t>For temporary Manufacturing process change</t>
        </is>
      </c>
      <c r="Q1323" s="43"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323" s="43" t="inlineStr">
        <is>
          <t>2026-06-10</t>
        </is>
      </c>
      <c r="S1323" s="43" t="inlineStr">
        <is>
          <t>2026-07-07</t>
        </is>
      </c>
      <c r="T1323" s="43" t="inlineStr"/>
      <c r="U1323" s="43" t="inlineStr"/>
    </row>
    <row r="1324">
      <c r="A1324" s="43" t="n">
        <v>1324</v>
      </c>
      <c r="B1324" s="43" t="inlineStr">
        <is>
          <t>1323</t>
        </is>
      </c>
      <c r="C1324" s="43" t="inlineStr">
        <is>
          <t>FJZP</t>
        </is>
      </c>
      <c r="D1324" s="43" t="inlineStr">
        <is>
          <t>Cisco</t>
        </is>
      </c>
      <c r="E1324" s="43" t="inlineStr">
        <is>
          <t>MCGA</t>
        </is>
      </c>
      <c r="F1324" s="43" t="inlineStr">
        <is>
          <t>037-STBU</t>
        </is>
      </c>
      <c r="G1324" s="43" t="inlineStr">
        <is>
          <t>CTANJZ05286</t>
        </is>
      </c>
      <c r="H1324" s="43" t="inlineStr">
        <is>
          <t>For temporary Manufacturing process change</t>
        </is>
      </c>
      <c r="I1324" s="43" t="inlineStr">
        <is>
          <t>Customer Deviation</t>
        </is>
      </c>
      <c r="J1324" s="43" t="inlineStr">
        <is>
          <t>D611905</t>
        </is>
      </c>
      <c r="K1324"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324" s="43" t="inlineStr">
        <is>
          <t>Expired</t>
        </is>
      </c>
      <c r="M1324" s="43" t="inlineStr">
        <is>
          <t>68-7256-05</t>
        </is>
      </c>
      <c r="N1324" s="43" t="inlineStr"/>
      <c r="O1324" s="43" t="inlineStr">
        <is>
          <t>2026-09-07</t>
        </is>
      </c>
      <c r="P1324" s="33" t="inlineStr">
        <is>
          <t>For temporary Manufacturing process change</t>
        </is>
      </c>
      <c r="Q1324" s="43"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324" s="43" t="inlineStr">
        <is>
          <t>2026-06-10</t>
        </is>
      </c>
      <c r="S1324" s="43" t="inlineStr">
        <is>
          <t>2026-07-07</t>
        </is>
      </c>
      <c r="T1324" s="43" t="inlineStr"/>
      <c r="U1324" s="43" t="inlineStr"/>
    </row>
    <row r="1325">
      <c r="A1325" s="43" t="n">
        <v>1325</v>
      </c>
      <c r="B1325" s="43" t="inlineStr">
        <is>
          <t>1324</t>
        </is>
      </c>
      <c r="C1325" s="43" t="inlineStr">
        <is>
          <t>FJZP</t>
        </is>
      </c>
      <c r="D1325" s="43" t="inlineStr">
        <is>
          <t>Cisco</t>
        </is>
      </c>
      <c r="E1325" s="43" t="inlineStr">
        <is>
          <t>MCGA</t>
        </is>
      </c>
      <c r="F1325" s="43" t="inlineStr">
        <is>
          <t>037-STBU</t>
        </is>
      </c>
      <c r="G1325" s="43" t="inlineStr">
        <is>
          <t>CTANJZ05286</t>
        </is>
      </c>
      <c r="H1325" s="43" t="inlineStr">
        <is>
          <t>For temporary Manufacturing process change</t>
        </is>
      </c>
      <c r="I1325" s="43" t="inlineStr">
        <is>
          <t>Customer Deviation</t>
        </is>
      </c>
      <c r="J1325" s="43" t="inlineStr">
        <is>
          <t>D611905</t>
        </is>
      </c>
      <c r="K1325" s="33" t="inlineStr">
        <is>
          <t>D611905 This deviation is to FJZ can perform a validation using 20-100690-01 MPN: BSS138BKS for TPK/WA/WPK products to allow them to use it as substitute of PN 20-0405-01The validation needs to be performed with 5 units each product (5 TPK High; 5 TPK Low; 5 WA; 5 WPK) and provided the test logs to Cisco EPEs/ ME to confirm no issuesAfter getting green light from EPEs; FJZ is allowed to use the PN 20-100690-01 MPN: BSS138BKS as substitute of PN 20-0405-01</t>
        </is>
      </c>
      <c r="L1325" s="43" t="inlineStr">
        <is>
          <t>Expired</t>
        </is>
      </c>
      <c r="M1325" s="43" t="inlineStr">
        <is>
          <t>68-7638-02</t>
        </is>
      </c>
      <c r="N1325" s="43" t="inlineStr"/>
      <c r="O1325" s="43" t="inlineStr">
        <is>
          <t>2026-09-07</t>
        </is>
      </c>
      <c r="P1325" s="33" t="inlineStr">
        <is>
          <t>For temporary Manufacturing process change</t>
        </is>
      </c>
      <c r="Q1325" s="43" t="inlineStr">
        <is>
          <t>1. FJZ needs to perform a validation with 5 units each product (5 TPK High; 5 TPK Low; 5 WA; 5 WPK) 2. Stick the labels in a visible area of the PCB 3. Provided the test logs to Cisco EPEs/ ME to confirm no issues (ICT/ PCBP2/ PCB2C) 4. If test logs are approved for the EPEs; FJZ has green light to continue processing units</t>
        </is>
      </c>
      <c r="R1325" s="43" t="inlineStr">
        <is>
          <t>2026-06-10</t>
        </is>
      </c>
      <c r="S1325" s="43" t="inlineStr">
        <is>
          <t>2026-07-07</t>
        </is>
      </c>
      <c r="T1325" s="43" t="inlineStr"/>
      <c r="U1325" s="43" t="inlineStr"/>
    </row>
    <row r="1326">
      <c r="A1326" s="43" t="n">
        <v>1326</v>
      </c>
      <c r="B1326" s="43" t="inlineStr">
        <is>
          <t>1325</t>
        </is>
      </c>
      <c r="C1326" s="43" t="inlineStr">
        <is>
          <t>FJZP</t>
        </is>
      </c>
      <c r="D1326" s="43" t="inlineStr">
        <is>
          <t>Cisco</t>
        </is>
      </c>
      <c r="E1326" s="43" t="inlineStr">
        <is>
          <t>MCGA</t>
        </is>
      </c>
      <c r="F1326" s="43" t="inlineStr">
        <is>
          <t>037-STBU</t>
        </is>
      </c>
      <c r="G1326" s="43" t="inlineStr">
        <is>
          <t>CTANJZ05283</t>
        </is>
      </c>
      <c r="H1326" s="43" t="inlineStr">
        <is>
          <t>For temporary Manufacturing process change</t>
        </is>
      </c>
      <c r="I1326" s="43" t="inlineStr">
        <is>
          <t>Customer Deviation</t>
        </is>
      </c>
      <c r="J1326" s="43" t="inlineStr">
        <is>
          <t>D611711</t>
        </is>
      </c>
      <c r="K1326" s="33" t="inlineStr">
        <is>
          <t>D611711 This deviation allows Foxconn to build Victoria DT; CSF12xx; and PCA assemblies using CPN 15-108821-01 in place of CPN 15-110890-01 at the following reference designators:U1800; U1801; U1900; U1901; U2000; U2100; U2101; U2200; U2201; and U2300.The AVLs for both CPNs are identical; however; NGFWBU has transitioned to a unique Cisco Part Number for future builds. Therefore; this deviation permits the use of the existing equivalent CPN for the affected builds.FJZ May use the following MPN despite status of AVLH5CG48AGBDX018       HYNIX  (Qualified)MT60B2G8HB-48B:A     MICRON (Cancelled)K4RAH086VB-BCQK     SAMSUNG SEMICONDUCTORS (Obsolete)</t>
        </is>
      </c>
      <c r="L1326" s="43" t="inlineStr">
        <is>
          <t>Expired</t>
        </is>
      </c>
      <c r="M1326" s="43" t="inlineStr">
        <is>
          <t>15-108821-01</t>
        </is>
      </c>
      <c r="N1326" s="43" t="inlineStr"/>
      <c r="O1326" s="43" t="inlineStr">
        <is>
          <t>2026-09-03</t>
        </is>
      </c>
      <c r="P1326" s="33" t="inlineStr">
        <is>
          <t>For temporary Manufacturing process change</t>
        </is>
      </c>
      <c r="Q1326" s="43" t="inlineStr">
        <is>
          <t>Please place a deviation label at a visible location on the top side of the PCA near the PCB/SN label.  Please place a deviation label at a visible location on the exterior of the chassis near the POD/agency label.</t>
        </is>
      </c>
      <c r="R1326" s="43" t="inlineStr">
        <is>
          <t>2026-06-06</t>
        </is>
      </c>
      <c r="S1326" s="43" t="inlineStr">
        <is>
          <t>2026-06-27</t>
        </is>
      </c>
      <c r="T1326" s="43" t="inlineStr"/>
      <c r="U1326" s="43" t="inlineStr"/>
    </row>
    <row r="1327">
      <c r="A1327" s="43" t="n">
        <v>1327</v>
      </c>
      <c r="B1327" s="43" t="inlineStr">
        <is>
          <t>1326</t>
        </is>
      </c>
      <c r="C1327" s="43" t="inlineStr">
        <is>
          <t>FJZP</t>
        </is>
      </c>
      <c r="D1327" s="43" t="inlineStr">
        <is>
          <t>Cisco</t>
        </is>
      </c>
      <c r="E1327" s="43" t="inlineStr">
        <is>
          <t>MCGA</t>
        </is>
      </c>
      <c r="F1327" s="43" t="inlineStr">
        <is>
          <t>037-STBU</t>
        </is>
      </c>
      <c r="G1327" s="43" t="inlineStr">
        <is>
          <t>CTANJZ05283</t>
        </is>
      </c>
      <c r="H1327" s="43" t="inlineStr">
        <is>
          <t>For temporary Manufacturing process change</t>
        </is>
      </c>
      <c r="I1327" s="43" t="inlineStr">
        <is>
          <t>Customer Deviation</t>
        </is>
      </c>
      <c r="J1327" s="43" t="inlineStr">
        <is>
          <t>D611711</t>
        </is>
      </c>
      <c r="K1327" s="33" t="inlineStr">
        <is>
          <t>D611711 This deviation allows Foxconn to build Victoria DT; CSF12xx; and PCA assemblies using CPN 15-108821-01 in place of CPN 15-110890-01 at the following reference designators:U1800; U1801; U1900; U1901; U2000; U2100; U2101; U2200; U2201; and U2300.The AVLs for both CPNs are identical; however; NGFWBU has transitioned to a unique Cisco Part Number for future builds. Therefore; this deviation permits the use of the existing equivalent CPN for the affected builds.FJZ May use the following MPN despite status of AVLH5CG48AGBDX018       HYNIX  (Qualified)MT60B2G8HB-48B:A     MICRON (Cancelled)K4RAH086VB-BCQK     SAMSUNG SEMICONDUCTORS (Obsolete)</t>
        </is>
      </c>
      <c r="L1327" s="43" t="inlineStr">
        <is>
          <t>Expired</t>
        </is>
      </c>
      <c r="M1327" s="43" t="inlineStr">
        <is>
          <t>74-134454-04</t>
        </is>
      </c>
      <c r="N1327" s="43" t="inlineStr"/>
      <c r="O1327" s="43" t="inlineStr">
        <is>
          <t>2026-09-03</t>
        </is>
      </c>
      <c r="P1327" s="33" t="inlineStr">
        <is>
          <t>For temporary Manufacturing process change</t>
        </is>
      </c>
      <c r="Q1327" s="43" t="inlineStr">
        <is>
          <t>Please place a deviation label at a visible location on the top side of the PCA near the PCB/SN label.  Please place a deviation label at a visible location on the exterior of the chassis near the POD/agency label.</t>
        </is>
      </c>
      <c r="R1327" s="43" t="inlineStr">
        <is>
          <t>2026-06-06</t>
        </is>
      </c>
      <c r="S1327" s="43" t="inlineStr">
        <is>
          <t>2026-06-27</t>
        </is>
      </c>
      <c r="T1327" s="43" t="inlineStr"/>
      <c r="U1327" s="43" t="inlineStr"/>
    </row>
    <row r="1328">
      <c r="A1328" s="43" t="n">
        <v>1328</v>
      </c>
      <c r="B1328" s="43" t="inlineStr">
        <is>
          <t>1327</t>
        </is>
      </c>
      <c r="C1328" s="43" t="inlineStr">
        <is>
          <t>FJZP</t>
        </is>
      </c>
      <c r="D1328" s="43" t="inlineStr">
        <is>
          <t>Cisco</t>
        </is>
      </c>
      <c r="E1328" s="43" t="inlineStr">
        <is>
          <t>MCGA</t>
        </is>
      </c>
      <c r="F1328" s="43" t="inlineStr">
        <is>
          <t>037-STBU</t>
        </is>
      </c>
      <c r="G1328" s="43" t="inlineStr">
        <is>
          <t>CTANJZ05283</t>
        </is>
      </c>
      <c r="H1328" s="43" t="inlineStr">
        <is>
          <t>For temporary Manufacturing process change</t>
        </is>
      </c>
      <c r="I1328" s="43" t="inlineStr">
        <is>
          <t>Customer Deviation</t>
        </is>
      </c>
      <c r="J1328" s="43" t="inlineStr">
        <is>
          <t>D611711</t>
        </is>
      </c>
      <c r="K1328" s="33" t="inlineStr">
        <is>
          <t>D611711 This deviation allows Foxconn to build Victoria DT; CSF12xx; and PCA assemblies using CPN 15-108821-01 in place of CPN 15-110890-01 at the following reference designators:U1800; U1801; U1900; U1901; U2000; U2100; U2101; U2200; U2201; and U2300.The AVLs for both CPNs are identical; however; NGFWBU has transitioned to a unique Cisco Part Number for future builds. Therefore; this deviation permits the use of the existing equivalent CPN for the affected builds.FJZ May use the following MPN despite status of AVLH5CG48AGBDX018       HYNIX  (Qualified)MT60B2G8HB-48B:A     MICRON (Cancelled)K4RAH086VB-BCQK     SAMSUNG SEMICONDUCTORS (Obsolete)</t>
        </is>
      </c>
      <c r="L1328" s="43" t="inlineStr">
        <is>
          <t>Expired</t>
        </is>
      </c>
      <c r="M1328" s="43" t="inlineStr">
        <is>
          <t>74-134455-04</t>
        </is>
      </c>
      <c r="N1328" s="43" t="inlineStr"/>
      <c r="O1328" s="43" t="inlineStr">
        <is>
          <t>2026-09-03</t>
        </is>
      </c>
      <c r="P1328" s="33" t="inlineStr">
        <is>
          <t>For temporary Manufacturing process change</t>
        </is>
      </c>
      <c r="Q1328" s="43" t="inlineStr">
        <is>
          <t>Please place a deviation label at a visible location on the top side of the PCA near the PCB/SN label.  Please place a deviation label at a visible location on the exterior of the chassis near the POD/agency label.</t>
        </is>
      </c>
      <c r="R1328" s="43" t="inlineStr">
        <is>
          <t>2026-06-06</t>
        </is>
      </c>
      <c r="S1328" s="43" t="inlineStr">
        <is>
          <t>2026-06-27</t>
        </is>
      </c>
      <c r="T1328" s="43" t="inlineStr"/>
      <c r="U1328" s="43" t="inlineStr"/>
    </row>
    <row r="1329">
      <c r="A1329" s="43" t="n">
        <v>1329</v>
      </c>
      <c r="B1329" s="43" t="inlineStr">
        <is>
          <t>1328</t>
        </is>
      </c>
      <c r="C1329" s="43" t="inlineStr">
        <is>
          <t>FJZP</t>
        </is>
      </c>
      <c r="D1329" s="43" t="inlineStr">
        <is>
          <t>Cisco</t>
        </is>
      </c>
      <c r="E1329" s="43" t="inlineStr">
        <is>
          <t>MCGA</t>
        </is>
      </c>
      <c r="F1329" s="43" t="inlineStr">
        <is>
          <t>037-STBU</t>
        </is>
      </c>
      <c r="G1329" s="43" t="inlineStr">
        <is>
          <t>CTANJZ05283</t>
        </is>
      </c>
      <c r="H1329" s="43" t="inlineStr">
        <is>
          <t>For temporary Manufacturing process change</t>
        </is>
      </c>
      <c r="I1329" s="43" t="inlineStr">
        <is>
          <t>Customer Deviation</t>
        </is>
      </c>
      <c r="J1329" s="43" t="inlineStr">
        <is>
          <t>D611711</t>
        </is>
      </c>
      <c r="K1329" s="33" t="inlineStr">
        <is>
          <t>D611711 This deviation allows Foxconn to build Victoria DT; CSF12xx; and PCA assemblies using CPN 15-108821-01 in place of CPN 15-110890-01 at the following reference designators:U1800; U1801; U1900; U1901; U2000; U2100; U2101; U2200; U2201; and U2300.The AVLs for both CPNs are identical; however; NGFWBU has transitioned to a unique Cisco Part Number for future builds. Therefore; this deviation permits the use of the existing equivalent CPN for the affected builds.FJZ May use the following MPN despite status of AVLH5CG48AGBDX018       HYNIX  (Qualified)MT60B2G8HB-48B:A     MICRON (Cancelled)K4RAH086VB-BCQK     SAMSUNG SEMICONDUCTORS (Obsolete)</t>
        </is>
      </c>
      <c r="L1329" s="43" t="inlineStr">
        <is>
          <t>Expired</t>
        </is>
      </c>
      <c r="M1329" s="43" t="inlineStr">
        <is>
          <t>74-134456-04</t>
        </is>
      </c>
      <c r="N1329" s="43" t="inlineStr"/>
      <c r="O1329" s="43" t="inlineStr">
        <is>
          <t>2026-09-03</t>
        </is>
      </c>
      <c r="P1329" s="33" t="inlineStr">
        <is>
          <t>For temporary Manufacturing process change</t>
        </is>
      </c>
      <c r="Q1329" s="43" t="inlineStr">
        <is>
          <t>Please place a deviation label at a visible location on the top side of the PCA near the PCB/SN label.  Please place a deviation label at a visible location on the exterior of the chassis near the POD/agency label.</t>
        </is>
      </c>
      <c r="R1329" s="43" t="inlineStr">
        <is>
          <t>2026-06-06</t>
        </is>
      </c>
      <c r="S1329" s="43" t="inlineStr">
        <is>
          <t>2026-06-27</t>
        </is>
      </c>
      <c r="T1329" s="43" t="inlineStr"/>
      <c r="U1329" s="43" t="inlineStr"/>
    </row>
    <row r="1330">
      <c r="A1330" s="43" t="n">
        <v>1330</v>
      </c>
      <c r="B1330" s="43" t="inlineStr">
        <is>
          <t>1329</t>
        </is>
      </c>
      <c r="C1330" s="43" t="inlineStr">
        <is>
          <t>FJZP</t>
        </is>
      </c>
      <c r="D1330" s="43" t="inlineStr">
        <is>
          <t>Cisco</t>
        </is>
      </c>
      <c r="E1330" s="43" t="inlineStr">
        <is>
          <t>MCGA</t>
        </is>
      </c>
      <c r="F1330" s="43" t="inlineStr">
        <is>
          <t>239-CRBU</t>
        </is>
      </c>
      <c r="G1330" s="43" t="inlineStr">
        <is>
          <t>CTANJZ05298</t>
        </is>
      </c>
      <c r="H1330" s="43" t="inlineStr">
        <is>
          <t>For temporary Manufacturing process change</t>
        </is>
      </c>
      <c r="I1330" s="43" t="inlineStr">
        <is>
          <t>Customer Deviation</t>
        </is>
      </c>
      <c r="J1330" s="43" t="inlineStr">
        <is>
          <t>D612004</t>
        </is>
      </c>
      <c r="K1330" s="33" t="inlineStr">
        <is>
          <t>D612004 CRBU NG-D LC7 ::: Cisco request 100% of a new build going thru the rework and reporting any failures from functional tests.Rework Instructions for addressing the CHECK_LPBK_STATUS failure in PCB2C Diag on Dauntless LC7 WIP/new build.TAN ::: 68-7393-03PCA ::: 73-20516-05 ( any production version &amp; revision )* 73-20516-XX: Rework Instructions1. Removed 0-ohm R1468.2. Add connection between  R1468.1 pad and C1398.2 pad either with 0-ohm resistor or wire jumper (picture depicts below). FOL may re-use the removed 0-ohm resistor from R1468.</t>
        </is>
      </c>
      <c r="L1330" s="43" t="inlineStr">
        <is>
          <t>Expired</t>
        </is>
      </c>
      <c r="M1330" s="43" t="inlineStr">
        <is>
          <t>12-5663-01</t>
        </is>
      </c>
      <c r="N1330" s="43" t="inlineStr"/>
      <c r="O1330" s="43" t="inlineStr">
        <is>
          <t>2026-09-15</t>
        </is>
      </c>
      <c r="P1330" s="33" t="inlineStr">
        <is>
          <t>For temporary Manufacturing process change</t>
        </is>
      </c>
      <c r="Q1330" s="43" t="inlineStr">
        <is>
          <t>Program the deviation number in EEPROM  Place the deviation label</t>
        </is>
      </c>
      <c r="R1330" s="43" t="inlineStr">
        <is>
          <t>2026-06-17</t>
        </is>
      </c>
      <c r="S1330" s="43" t="inlineStr">
        <is>
          <t>2026-07-15</t>
        </is>
      </c>
      <c r="T1330" s="43" t="inlineStr"/>
      <c r="U1330" s="43" t="inlineStr"/>
    </row>
    <row r="1331">
      <c r="A1331" s="43" t="n">
        <v>1331</v>
      </c>
      <c r="B1331" s="43" t="inlineStr">
        <is>
          <t>1330</t>
        </is>
      </c>
      <c r="C1331" s="43" t="inlineStr">
        <is>
          <t>FJZP</t>
        </is>
      </c>
      <c r="D1331" s="43" t="inlineStr">
        <is>
          <t>Cisco</t>
        </is>
      </c>
      <c r="E1331" s="43" t="inlineStr">
        <is>
          <t>MCGA</t>
        </is>
      </c>
      <c r="F1331" s="43" t="inlineStr">
        <is>
          <t>239-CRBU</t>
        </is>
      </c>
      <c r="G1331" s="43" t="inlineStr">
        <is>
          <t>CTANJZ05298</t>
        </is>
      </c>
      <c r="H1331" s="43" t="inlineStr">
        <is>
          <t>For temporary Manufacturing process change</t>
        </is>
      </c>
      <c r="I1331" s="43" t="inlineStr">
        <is>
          <t>Customer Deviation</t>
        </is>
      </c>
      <c r="J1331" s="43" t="inlineStr">
        <is>
          <t>D612004</t>
        </is>
      </c>
      <c r="K1331" s="33" t="inlineStr">
        <is>
          <t>D612004 CRBU NG-D LC7 ::: Cisco request 100% of a new build going thru the rework and reporting any failures from functional tests.Rework Instructions for addressing the CHECK_LPBK_STATUS failure in PCB2C Diag on Dauntless LC7 WIP/new build.TAN ::: 68-7393-03PCA ::: 73-20516-05 ( any production version &amp; revision )* 73-20516-XX: Rework Instructions1. Removed 0-ohm R1468.2. Add connection between  R1468.1 pad and C1398.2 pad either with 0-ohm resistor or wire jumper (picture depicts below). FOL may re-use the removed 0-ohm resistor from R1468.</t>
        </is>
      </c>
      <c r="L1331" s="43" t="inlineStr">
        <is>
          <t>Expired</t>
        </is>
      </c>
      <c r="M1331" s="43" t="inlineStr">
        <is>
          <t>68-7393-03</t>
        </is>
      </c>
      <c r="N1331" s="43" t="inlineStr"/>
      <c r="O1331" s="43" t="inlineStr">
        <is>
          <t>2026-09-15</t>
        </is>
      </c>
      <c r="P1331" s="33" t="inlineStr">
        <is>
          <t>For temporary Manufacturing process change</t>
        </is>
      </c>
      <c r="Q1331" s="43" t="inlineStr">
        <is>
          <t>Program the deviation number in EEPROM  Place the deviation label</t>
        </is>
      </c>
      <c r="R1331" s="43" t="inlineStr">
        <is>
          <t>2026-06-17</t>
        </is>
      </c>
      <c r="S1331" s="43" t="inlineStr">
        <is>
          <t>2026-07-15</t>
        </is>
      </c>
      <c r="T1331" s="43" t="inlineStr"/>
      <c r="U1331" s="43" t="inlineStr"/>
    </row>
    <row r="1332">
      <c r="A1332" s="43" t="n">
        <v>1332</v>
      </c>
      <c r="B1332" s="43" t="inlineStr">
        <is>
          <t>1331</t>
        </is>
      </c>
      <c r="C1332" s="43" t="inlineStr">
        <is>
          <t>FJZP</t>
        </is>
      </c>
      <c r="D1332" s="43" t="inlineStr">
        <is>
          <t>Cisco</t>
        </is>
      </c>
      <c r="E1332" s="43" t="inlineStr">
        <is>
          <t>MCGA</t>
        </is>
      </c>
      <c r="F1332" s="43" t="inlineStr">
        <is>
          <t>239-CRBU</t>
        </is>
      </c>
      <c r="G1332" s="43" t="inlineStr">
        <is>
          <t>CTANJZ05298</t>
        </is>
      </c>
      <c r="H1332" s="43" t="inlineStr">
        <is>
          <t>For temporary Manufacturing process change</t>
        </is>
      </c>
      <c r="I1332" s="43" t="inlineStr">
        <is>
          <t>Customer Deviation</t>
        </is>
      </c>
      <c r="J1332" s="43" t="inlineStr">
        <is>
          <t>D612004</t>
        </is>
      </c>
      <c r="K1332" s="33" t="inlineStr">
        <is>
          <t>D612004 CRBU NG-D LC7 ::: Cisco request 100% of a new build going thru the rework and reporting any failures from functional tests.Rework Instructions for addressing the CHECK_LPBK_STATUS failure in PCB2C Diag on Dauntless LC7 WIP/new build.TAN ::: 68-7393-03PCA ::: 73-20516-05 ( any production version &amp; revision )* 73-20516-XX: Rework Instructions1. Removed 0-ohm R1468.2. Add connection between  R1468.1 pad and C1398.2 pad either with 0-ohm resistor or wire jumper (picture depicts below). FOL may re-use the removed 0-ohm resistor from R1468.</t>
        </is>
      </c>
      <c r="L1332" s="43" t="inlineStr">
        <is>
          <t>Expired</t>
        </is>
      </c>
      <c r="M1332" s="43" t="inlineStr">
        <is>
          <t>73-20516-05</t>
        </is>
      </c>
      <c r="N1332" s="43" t="inlineStr"/>
      <c r="O1332" s="43" t="inlineStr">
        <is>
          <t>2026-09-15</t>
        </is>
      </c>
      <c r="P1332" s="33" t="inlineStr">
        <is>
          <t>For temporary Manufacturing process change</t>
        </is>
      </c>
      <c r="Q1332" s="43" t="inlineStr">
        <is>
          <t>Program the deviation number in EEPROM  Place the deviation label</t>
        </is>
      </c>
      <c r="R1332" s="43" t="inlineStr">
        <is>
          <t>2026-06-17</t>
        </is>
      </c>
      <c r="S1332" s="43" t="inlineStr">
        <is>
          <t>2026-07-15</t>
        </is>
      </c>
      <c r="T1332" s="43" t="inlineStr"/>
      <c r="U1332" s="43" t="inlineStr"/>
    </row>
    <row r="1333">
      <c r="A1333" s="43" t="n">
        <v>1333</v>
      </c>
      <c r="B1333" s="43" t="inlineStr">
        <is>
          <t>1332</t>
        </is>
      </c>
      <c r="C1333" s="43" t="inlineStr">
        <is>
          <t>FJZP</t>
        </is>
      </c>
      <c r="D1333" s="43" t="inlineStr">
        <is>
          <t>Cisco</t>
        </is>
      </c>
      <c r="E1333" s="43" t="inlineStr">
        <is>
          <t>MCGA</t>
        </is>
      </c>
      <c r="F1333" s="43" t="inlineStr">
        <is>
          <t>035-CVEBU</t>
        </is>
      </c>
      <c r="G1333" s="43" t="inlineStr">
        <is>
          <t>CTANJZ05297</t>
        </is>
      </c>
      <c r="H1333" s="43" t="inlineStr">
        <is>
          <t>For temporary Manufacturing process change</t>
        </is>
      </c>
      <c r="I1333" s="43" t="inlineStr">
        <is>
          <t>Customer Deviation</t>
        </is>
      </c>
      <c r="J1333" s="43" t="inlineStr">
        <is>
          <t>D612129</t>
        </is>
      </c>
      <c r="K1333" s="33" t="inlineStr">
        <is>
          <t>D612129 CVEBU: CS-CAM-PTZ4K+; add a prefix SVP in front of the manufacturer Serial number.This new deviation is an extension of D605923.</t>
        </is>
      </c>
      <c r="L1333" s="43" t="inlineStr">
        <is>
          <t>Expired</t>
        </is>
      </c>
      <c r="M1333" s="43" t="inlineStr">
        <is>
          <t>74-126086-02</t>
        </is>
      </c>
      <c r="N1333" s="43" t="inlineStr"/>
      <c r="O1333" s="43" t="inlineStr">
        <is>
          <t>2026-09-14</t>
        </is>
      </c>
      <c r="P1333" s="33" t="inlineStr">
        <is>
          <t>For temporary Manufacturing process change</t>
        </is>
      </c>
      <c r="Q1333" s="43" t="inlineStr">
        <is>
          <t>N/A</t>
        </is>
      </c>
      <c r="R1333" s="43" t="inlineStr">
        <is>
          <t>2026-06-17</t>
        </is>
      </c>
      <c r="S1333" s="43" t="inlineStr">
        <is>
          <t>2026-06-30</t>
        </is>
      </c>
      <c r="T1333" s="43" t="inlineStr"/>
      <c r="U1333" s="43" t="inlineStr"/>
    </row>
    <row r="1334">
      <c r="A1334" s="43" t="n">
        <v>1334</v>
      </c>
      <c r="B1334" s="43" t="inlineStr">
        <is>
          <t>1333</t>
        </is>
      </c>
      <c r="C1334" s="43" t="inlineStr">
        <is>
          <t>FJZP</t>
        </is>
      </c>
      <c r="D1334" s="43" t="inlineStr">
        <is>
          <t>Cisco</t>
        </is>
      </c>
      <c r="E1334" s="43" t="inlineStr">
        <is>
          <t>MCGA</t>
        </is>
      </c>
      <c r="F1334" s="43" t="inlineStr">
        <is>
          <t>037-STBU</t>
        </is>
      </c>
      <c r="G1334" s="43" t="inlineStr">
        <is>
          <t>CTANJZ05295</t>
        </is>
      </c>
      <c r="H1334" s="43" t="inlineStr">
        <is>
          <t>For temporary Manufacturing process change</t>
        </is>
      </c>
      <c r="I1334" s="43" t="inlineStr">
        <is>
          <t>Customer Deviation</t>
        </is>
      </c>
      <c r="J1334" s="43" t="inlineStr">
        <is>
          <t>D611861</t>
        </is>
      </c>
      <c r="K1334" s="33" t="inlineStr">
        <is>
          <t>D611861 During 2023; EDI for 68-104007-02 was overstated which made FJZ to build a lot of units but booking did not come. After noticing EDI was adjusted way down; these units remained as excess. Now that some customers have asked for these modules on their systems; we need to use this old stock; otherwise orders can be cancelledAs there are already escalations for the orders; we need to fulfill them as needed</t>
        </is>
      </c>
      <c r="L1334" s="43" t="inlineStr">
        <is>
          <t>Expired</t>
        </is>
      </c>
      <c r="M1334" s="43" t="inlineStr">
        <is>
          <t>68-104007-02</t>
        </is>
      </c>
      <c r="N1334" s="43" t="inlineStr"/>
      <c r="O1334" s="43" t="inlineStr">
        <is>
          <t>2026-09-14</t>
        </is>
      </c>
      <c r="P1334" s="33" t="inlineStr">
        <is>
          <t>For temporary Manufacturing process change</t>
        </is>
      </c>
      <c r="Q1334" s="43" t="inlineStr">
        <is>
          <t>1. Please scan the deviation to have the record of the unit</t>
        </is>
      </c>
      <c r="R1334" s="43" t="inlineStr">
        <is>
          <t>2026-06-17</t>
        </is>
      </c>
      <c r="S1334" s="43" t="inlineStr">
        <is>
          <t>2026-07-07</t>
        </is>
      </c>
      <c r="T1334" s="43" t="inlineStr"/>
      <c r="U1334" s="43" t="inlineStr"/>
    </row>
    <row r="1335">
      <c r="A1335" s="43" t="n">
        <v>1335</v>
      </c>
      <c r="B1335" s="43" t="inlineStr">
        <is>
          <t>1334</t>
        </is>
      </c>
      <c r="C1335" s="43" t="inlineStr">
        <is>
          <t>FJZP</t>
        </is>
      </c>
      <c r="D1335" s="43" t="inlineStr">
        <is>
          <t>Cisco</t>
        </is>
      </c>
      <c r="E1335" s="43" t="inlineStr">
        <is>
          <t>MCGA</t>
        </is>
      </c>
      <c r="F1335" s="43" t="inlineStr">
        <is>
          <t>037-STBU</t>
        </is>
      </c>
      <c r="G1335" s="43" t="inlineStr">
        <is>
          <t>CTANJZ05515</t>
        </is>
      </c>
      <c r="H1335" s="43" t="inlineStr">
        <is>
          <t>For temporary Manufacturing process change</t>
        </is>
      </c>
      <c r="I1335" s="43" t="inlineStr">
        <is>
          <t>Customer Deviation</t>
        </is>
      </c>
      <c r="J1335" s="43" t="inlineStr">
        <is>
          <t>D614056</t>
        </is>
      </c>
      <c r="K1335"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35" s="43" t="inlineStr">
        <is>
          <t>CCB</t>
        </is>
      </c>
      <c r="M1335" s="43" t="inlineStr">
        <is>
          <t>16-102133-01</t>
        </is>
      </c>
      <c r="N1335" s="43" t="inlineStr"/>
      <c r="O1335" s="43" t="inlineStr">
        <is>
          <t>2027-01-04</t>
        </is>
      </c>
      <c r="P1335" s="33" t="inlineStr">
        <is>
          <t>For temporary Manufacturing process change</t>
        </is>
      </c>
      <c r="Q1335" s="43"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35" s="43" t="inlineStr">
        <is>
          <t>2026-10-07</t>
        </is>
      </c>
      <c r="S1335" s="43" t="inlineStr"/>
      <c r="T1335" s="43" t="inlineStr"/>
      <c r="U1335" s="43" t="inlineStr"/>
    </row>
    <row r="1336">
      <c r="A1336" s="43" t="n">
        <v>1336</v>
      </c>
      <c r="B1336" s="43" t="inlineStr">
        <is>
          <t>1335</t>
        </is>
      </c>
      <c r="C1336" s="43" t="inlineStr">
        <is>
          <t>FJZP</t>
        </is>
      </c>
      <c r="D1336" s="43" t="inlineStr">
        <is>
          <t>Cisco</t>
        </is>
      </c>
      <c r="E1336" s="43" t="inlineStr">
        <is>
          <t>MCGA</t>
        </is>
      </c>
      <c r="F1336" s="43" t="inlineStr">
        <is>
          <t>037-STBU</t>
        </is>
      </c>
      <c r="G1336" s="43" t="inlineStr">
        <is>
          <t>CTANJZ05515</t>
        </is>
      </c>
      <c r="H1336" s="43" t="inlineStr">
        <is>
          <t>For temporary Manufacturing process change</t>
        </is>
      </c>
      <c r="I1336" s="43" t="inlineStr">
        <is>
          <t>Customer Deviation</t>
        </is>
      </c>
      <c r="J1336" s="43" t="inlineStr">
        <is>
          <t>D614056</t>
        </is>
      </c>
      <c r="K1336"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36" s="43" t="inlineStr">
        <is>
          <t>CCB</t>
        </is>
      </c>
      <c r="M1336" s="43" t="inlineStr">
        <is>
          <t>16-4194-01</t>
        </is>
      </c>
      <c r="N1336" s="43" t="inlineStr"/>
      <c r="O1336" s="43" t="inlineStr">
        <is>
          <t>2027-01-04</t>
        </is>
      </c>
      <c r="P1336" s="33" t="inlineStr">
        <is>
          <t>For temporary Manufacturing process change</t>
        </is>
      </c>
      <c r="Q1336" s="43"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36" s="43" t="inlineStr">
        <is>
          <t>2026-10-07</t>
        </is>
      </c>
      <c r="S1336" s="43" t="inlineStr"/>
      <c r="T1336" s="43" t="inlineStr"/>
      <c r="U1336" s="43" t="inlineStr"/>
    </row>
    <row r="1337">
      <c r="A1337" s="43" t="n">
        <v>1337</v>
      </c>
      <c r="B1337" s="43" t="inlineStr">
        <is>
          <t>1336</t>
        </is>
      </c>
      <c r="C1337" s="43" t="inlineStr">
        <is>
          <t>FJZP</t>
        </is>
      </c>
      <c r="D1337" s="43" t="inlineStr">
        <is>
          <t>Cisco</t>
        </is>
      </c>
      <c r="E1337" s="43" t="inlineStr">
        <is>
          <t>MCGA</t>
        </is>
      </c>
      <c r="F1337" s="43" t="inlineStr">
        <is>
          <t>037-STBU</t>
        </is>
      </c>
      <c r="G1337" s="43" t="inlineStr">
        <is>
          <t>CTANJZ05515</t>
        </is>
      </c>
      <c r="H1337" s="43" t="inlineStr">
        <is>
          <t>For temporary Manufacturing process change</t>
        </is>
      </c>
      <c r="I1337" s="43" t="inlineStr">
        <is>
          <t>Customer Deviation</t>
        </is>
      </c>
      <c r="J1337" s="43" t="inlineStr">
        <is>
          <t>D614056</t>
        </is>
      </c>
      <c r="K1337"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37" s="43" t="inlineStr">
        <is>
          <t>CCB</t>
        </is>
      </c>
      <c r="M1337" s="43" t="inlineStr">
        <is>
          <t>16-4194-02</t>
        </is>
      </c>
      <c r="N1337" s="43" t="inlineStr"/>
      <c r="O1337" s="43" t="inlineStr">
        <is>
          <t>2027-01-04</t>
        </is>
      </c>
      <c r="P1337" s="33" t="inlineStr">
        <is>
          <t>For temporary Manufacturing process change</t>
        </is>
      </c>
      <c r="Q1337" s="43"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37" s="43" t="inlineStr">
        <is>
          <t>2026-10-07</t>
        </is>
      </c>
      <c r="S1337" s="43" t="inlineStr"/>
      <c r="T1337" s="43" t="inlineStr"/>
      <c r="U1337" s="43" t="inlineStr"/>
    </row>
    <row r="1338">
      <c r="A1338" s="43" t="n">
        <v>1338</v>
      </c>
      <c r="B1338" s="43" t="inlineStr">
        <is>
          <t>1337</t>
        </is>
      </c>
      <c r="C1338" s="43" t="inlineStr">
        <is>
          <t>FJZP</t>
        </is>
      </c>
      <c r="D1338" s="43" t="inlineStr">
        <is>
          <t>Cisco</t>
        </is>
      </c>
      <c r="E1338" s="43" t="inlineStr">
        <is>
          <t>MCGA</t>
        </is>
      </c>
      <c r="F1338" s="43" t="inlineStr">
        <is>
          <t>037-STBU</t>
        </is>
      </c>
      <c r="G1338" s="43" t="inlineStr">
        <is>
          <t>CTANJZ05515</t>
        </is>
      </c>
      <c r="H1338" s="43" t="inlineStr">
        <is>
          <t>For temporary Manufacturing process change</t>
        </is>
      </c>
      <c r="I1338" s="43" t="inlineStr">
        <is>
          <t>Customer Deviation</t>
        </is>
      </c>
      <c r="J1338" s="43" t="inlineStr">
        <is>
          <t>D614056</t>
        </is>
      </c>
      <c r="K1338"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38" s="43" t="inlineStr">
        <is>
          <t>CCB</t>
        </is>
      </c>
      <c r="M1338" s="43" t="inlineStr">
        <is>
          <t>73-102433-05</t>
        </is>
      </c>
      <c r="N1338" s="43" t="inlineStr"/>
      <c r="O1338" s="43" t="inlineStr">
        <is>
          <t>2027-01-04</t>
        </is>
      </c>
      <c r="P1338" s="33" t="inlineStr">
        <is>
          <t>For temporary Manufacturing process change</t>
        </is>
      </c>
      <c r="Q1338" s="43"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38" s="43" t="inlineStr">
        <is>
          <t>2026-10-07</t>
        </is>
      </c>
      <c r="S1338" s="43" t="inlineStr"/>
      <c r="T1338" s="43" t="inlineStr"/>
      <c r="U1338" s="43" t="inlineStr"/>
    </row>
    <row r="1339">
      <c r="A1339" s="43" t="n">
        <v>1339</v>
      </c>
      <c r="B1339" s="43" t="inlineStr">
        <is>
          <t>1338</t>
        </is>
      </c>
      <c r="C1339" s="43" t="inlineStr">
        <is>
          <t>FJZP</t>
        </is>
      </c>
      <c r="D1339" s="43" t="inlineStr">
        <is>
          <t>Cisco</t>
        </is>
      </c>
      <c r="E1339" s="43" t="inlineStr">
        <is>
          <t>MCGA</t>
        </is>
      </c>
      <c r="F1339" s="43" t="inlineStr">
        <is>
          <t>037-STBU</t>
        </is>
      </c>
      <c r="G1339" s="43" t="inlineStr">
        <is>
          <t>CTANJZ05515</t>
        </is>
      </c>
      <c r="H1339" s="43" t="inlineStr">
        <is>
          <t>For temporary Manufacturing process change</t>
        </is>
      </c>
      <c r="I1339" s="43" t="inlineStr">
        <is>
          <t>Customer Deviation</t>
        </is>
      </c>
      <c r="J1339" s="43" t="inlineStr">
        <is>
          <t>D614056</t>
        </is>
      </c>
      <c r="K1339"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39" s="43" t="inlineStr">
        <is>
          <t>CCB</t>
        </is>
      </c>
      <c r="M1339" s="43" t="inlineStr">
        <is>
          <t>73-102434-05</t>
        </is>
      </c>
      <c r="N1339" s="43" t="inlineStr"/>
      <c r="O1339" s="43" t="inlineStr">
        <is>
          <t>2027-01-04</t>
        </is>
      </c>
      <c r="P1339" s="33" t="inlineStr">
        <is>
          <t>For temporary Manufacturing process change</t>
        </is>
      </c>
      <c r="Q1339" s="43"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39" s="43" t="inlineStr">
        <is>
          <t>2026-10-07</t>
        </is>
      </c>
      <c r="S1339" s="43" t="inlineStr"/>
      <c r="T1339" s="43" t="inlineStr"/>
      <c r="U1339" s="43" t="inlineStr"/>
    </row>
    <row r="1340">
      <c r="A1340" s="43" t="n">
        <v>1340</v>
      </c>
      <c r="B1340" s="43" t="inlineStr">
        <is>
          <t>1339</t>
        </is>
      </c>
      <c r="C1340" s="43" t="inlineStr">
        <is>
          <t>FJZP</t>
        </is>
      </c>
      <c r="D1340" s="43" t="inlineStr">
        <is>
          <t>Cisco</t>
        </is>
      </c>
      <c r="E1340" s="43" t="inlineStr">
        <is>
          <t>MCGA</t>
        </is>
      </c>
      <c r="F1340" s="43" t="inlineStr">
        <is>
          <t>037-STBU</t>
        </is>
      </c>
      <c r="G1340" s="43" t="inlineStr">
        <is>
          <t>CTANJZ05515</t>
        </is>
      </c>
      <c r="H1340" s="43" t="inlineStr">
        <is>
          <t>For temporary Manufacturing process change</t>
        </is>
      </c>
      <c r="I1340" s="43" t="inlineStr">
        <is>
          <t>Customer Deviation</t>
        </is>
      </c>
      <c r="J1340" s="43" t="inlineStr">
        <is>
          <t>D614056</t>
        </is>
      </c>
      <c r="K1340"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40" s="43" t="inlineStr">
        <is>
          <t>CCB</t>
        </is>
      </c>
      <c r="M1340" s="43" t="inlineStr">
        <is>
          <t>73-102435-05</t>
        </is>
      </c>
      <c r="N1340" s="43" t="inlineStr"/>
      <c r="O1340" s="43" t="inlineStr">
        <is>
          <t>2027-01-04</t>
        </is>
      </c>
      <c r="P1340" s="33" t="inlineStr">
        <is>
          <t>For temporary Manufacturing process change</t>
        </is>
      </c>
      <c r="Q1340" s="43"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40" s="43" t="inlineStr">
        <is>
          <t>2026-10-07</t>
        </is>
      </c>
      <c r="S1340" s="43" t="inlineStr"/>
      <c r="T1340" s="43" t="inlineStr"/>
      <c r="U1340" s="43" t="inlineStr"/>
    </row>
    <row r="1341">
      <c r="A1341" s="43" t="n">
        <v>1341</v>
      </c>
      <c r="B1341" s="43" t="inlineStr">
        <is>
          <t>1340</t>
        </is>
      </c>
      <c r="C1341" s="43" t="inlineStr">
        <is>
          <t>FJZP</t>
        </is>
      </c>
      <c r="D1341" s="43" t="inlineStr">
        <is>
          <t>Cisco</t>
        </is>
      </c>
      <c r="E1341" s="43" t="inlineStr">
        <is>
          <t>MCGA</t>
        </is>
      </c>
      <c r="F1341" s="43" t="inlineStr">
        <is>
          <t>037-STBU</t>
        </is>
      </c>
      <c r="G1341" s="43" t="inlineStr">
        <is>
          <t>CTANJZ05515</t>
        </is>
      </c>
      <c r="H1341" s="43" t="inlineStr">
        <is>
          <t>For temporary Manufacturing process change</t>
        </is>
      </c>
      <c r="I1341" s="43" t="inlineStr">
        <is>
          <t>Customer Deviation</t>
        </is>
      </c>
      <c r="J1341" s="43" t="inlineStr">
        <is>
          <t>D614056</t>
        </is>
      </c>
      <c r="K1341"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41" s="43" t="inlineStr">
        <is>
          <t>CCB</t>
        </is>
      </c>
      <c r="M1341" s="43" t="inlineStr">
        <is>
          <t>73-103557-04</t>
        </is>
      </c>
      <c r="N1341" s="43" t="inlineStr"/>
      <c r="O1341" s="43" t="inlineStr">
        <is>
          <t>2027-01-04</t>
        </is>
      </c>
      <c r="P1341" s="33" t="inlineStr">
        <is>
          <t>For temporary Manufacturing process change</t>
        </is>
      </c>
      <c r="Q1341" s="43"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41" s="43" t="inlineStr">
        <is>
          <t>2026-10-07</t>
        </is>
      </c>
      <c r="S1341" s="43" t="inlineStr"/>
      <c r="T1341" s="43" t="inlineStr"/>
      <c r="U1341" s="43" t="inlineStr"/>
    </row>
    <row r="1342">
      <c r="A1342" s="43" t="n">
        <v>1342</v>
      </c>
      <c r="B1342" s="43" t="inlineStr">
        <is>
          <t>1341</t>
        </is>
      </c>
      <c r="C1342" s="43" t="inlineStr">
        <is>
          <t>FJZP</t>
        </is>
      </c>
      <c r="D1342" s="43" t="inlineStr">
        <is>
          <t>Cisco</t>
        </is>
      </c>
      <c r="E1342" s="43" t="inlineStr">
        <is>
          <t>MCGA</t>
        </is>
      </c>
      <c r="F1342" s="43" t="inlineStr">
        <is>
          <t>239-CRBU</t>
        </is>
      </c>
      <c r="G1342" s="43" t="inlineStr">
        <is>
          <t>CTANJZ05291</t>
        </is>
      </c>
      <c r="H1342" s="43" t="inlineStr">
        <is>
          <t>For temporary Manufacturing process change</t>
        </is>
      </c>
      <c r="I1342" s="43" t="inlineStr">
        <is>
          <t>Customer Deviation</t>
        </is>
      </c>
      <c r="J1342" s="43" t="inlineStr">
        <is>
          <t>D611588</t>
        </is>
      </c>
      <c r="K1342" s="33" t="inlineStr">
        <is>
          <t>D611588ERBU : WASP RP:  Allowing FVN to socket program the  17-102236-02 (I210) part with 17-102236-01 image ( p1a_06_flash_readout.bin )(V3.25) and use in production.FVN to follow the below process for the new Build.1. FVN to socket program the  17-102236-02 (I210) part with 17-102236-01 image ( p1a_06_flash_readout.bin )(V3.25)2. Use socket programmed I210 part 17-102236-02 on (U174 ) reference designator in the new Build.3. Do the ETE testing  with the Socket programmed parts verify the V3.30 version .4. Share the Results to Cisco for Log review for first 3 boards.FAI Qualification of the new I210 image parts from SMART 17-102236-03.1. Please take 2 boards of 73-102363-05  and mount the below MPN parts on the boards and do the MFG qual.Verify  the FPD version of the pre-programmed part V3.30 version.CPN:17-102236-03 [I210]MPN:MX25L6433FM2I-08QMFG:MACRONIXQty/Board:1Ref Des:U1742. Please take 2 boards of 73-102363-05  and mount the below MPN parts on the boards and do the MFG qual.Verify  the FPD version of the pre-programmed part V3.30 version.CPN:17-102236-03 [I210]MPN:W25Q64JVSSIMMFG:WINBONDQty/Board:1Ref Des:U1743. Please take 2 boards of 73-102363-05  and mount the below MPN parts on the boards and do the MFG qual.Verify  the FPD version of the pre-programmed part V3.30 version.CPN:17-102236-03 [I210]MPN:IS25LP064A-JBLEMFG:ISSIQty/Board:1Ref Des:U174FVN to share the FAI report .</t>
        </is>
      </c>
      <c r="L1342" s="43" t="inlineStr">
        <is>
          <t>Expired</t>
        </is>
      </c>
      <c r="M1342" s="43" t="inlineStr">
        <is>
          <t>17-102236-02</t>
        </is>
      </c>
      <c r="N1342" s="43" t="inlineStr"/>
      <c r="O1342" s="43" t="inlineStr">
        <is>
          <t>2026-09-12</t>
        </is>
      </c>
      <c r="P1342" s="33" t="inlineStr">
        <is>
          <t>For temporary Manufacturing process change</t>
        </is>
      </c>
      <c r="Q1342" s="43" t="inlineStr">
        <is>
          <t>Mark the units with deviation label.</t>
        </is>
      </c>
      <c r="R1342" s="43" t="inlineStr">
        <is>
          <t>2026-06-15</t>
        </is>
      </c>
      <c r="S1342" s="43" t="inlineStr">
        <is>
          <t>2026-07-02</t>
        </is>
      </c>
      <c r="T1342" s="43" t="inlineStr"/>
      <c r="U1342" s="43" t="inlineStr"/>
    </row>
    <row r="1343">
      <c r="A1343" s="43" t="n">
        <v>1343</v>
      </c>
      <c r="B1343" s="43" t="inlineStr">
        <is>
          <t>1342</t>
        </is>
      </c>
      <c r="C1343" s="43" t="inlineStr">
        <is>
          <t>FJZP</t>
        </is>
      </c>
      <c r="D1343" s="43" t="inlineStr">
        <is>
          <t>Cisco</t>
        </is>
      </c>
      <c r="E1343" s="43" t="inlineStr">
        <is>
          <t>MCGA</t>
        </is>
      </c>
      <c r="F1343" s="43" t="inlineStr">
        <is>
          <t>239-CRBU</t>
        </is>
      </c>
      <c r="G1343" s="43" t="inlineStr">
        <is>
          <t>CTANJZ05291</t>
        </is>
      </c>
      <c r="H1343" s="43" t="inlineStr">
        <is>
          <t>For temporary Manufacturing process change</t>
        </is>
      </c>
      <c r="I1343" s="43" t="inlineStr">
        <is>
          <t>Customer Deviation</t>
        </is>
      </c>
      <c r="J1343" s="43" t="inlineStr">
        <is>
          <t>D611588</t>
        </is>
      </c>
      <c r="K1343" s="33" t="inlineStr">
        <is>
          <t>D611588ERBU : WASP RP:  Allowing FVN to socket program the  17-102236-02 (I210) part with 17-102236-01 image ( p1a_06_flash_readout.bin )(V3.25) and use in production.FVN to follow the below process for the new Build.1. FVN to socket program the  17-102236-02 (I210) part with 17-102236-01 image ( p1a_06_flash_readout.bin )(V3.25)2. Use socket programmed I210 part 17-102236-02 on (U174 ) reference designator in the new Build.3. Do the ETE testing  with the Socket programmed parts verify the V3.30 version .4. Share the Results to Cisco for Log review for first 3 boards.FAI Qualification of the new I210 image parts from SMART 17-102236-03.1. Please take 2 boards of 73-102363-05  and mount the below MPN parts on the boards and do the MFG qual.Verify  the FPD version of the pre-programmed part V3.30 version.CPN:17-102236-03 [I210]MPN:MX25L6433FM2I-08QMFG:MACRONIXQty/Board:1Ref Des:U1742. Please take 2 boards of 73-102363-05  and mount the below MPN parts on the boards and do the MFG qual.Verify  the FPD version of the pre-programmed part V3.30 version.CPN:17-102236-03 [I210]MPN:W25Q64JVSSIMMFG:WINBONDQty/Board:1Ref Des:U1743. Please take 2 boards of 73-102363-05  and mount the below MPN parts on the boards and do the MFG qual.Verify  the FPD version of the pre-programmed part V3.30 version.CPN:17-102236-03 [I210]MPN:IS25LP064A-JBLEMFG:ISSIQty/Board:1Ref Des:U174FVN to share the FAI report .</t>
        </is>
      </c>
      <c r="L1343" s="43" t="inlineStr">
        <is>
          <t>Expired</t>
        </is>
      </c>
      <c r="M1343" s="43" t="inlineStr">
        <is>
          <t>68-7268-05</t>
        </is>
      </c>
      <c r="N1343" s="43" t="inlineStr"/>
      <c r="O1343" s="43" t="inlineStr">
        <is>
          <t>2026-09-12</t>
        </is>
      </c>
      <c r="P1343" s="33" t="inlineStr">
        <is>
          <t>For temporary Manufacturing process change</t>
        </is>
      </c>
      <c r="Q1343" s="43" t="inlineStr">
        <is>
          <t>Mark the units with deviation label.</t>
        </is>
      </c>
      <c r="R1343" s="43" t="inlineStr">
        <is>
          <t>2026-06-15</t>
        </is>
      </c>
      <c r="S1343" s="43" t="inlineStr">
        <is>
          <t>2026-07-02</t>
        </is>
      </c>
      <c r="T1343" s="43" t="inlineStr"/>
      <c r="U1343" s="43" t="inlineStr"/>
    </row>
    <row r="1344">
      <c r="A1344" s="43" t="n">
        <v>1344</v>
      </c>
      <c r="B1344" s="43" t="inlineStr">
        <is>
          <t>1343</t>
        </is>
      </c>
      <c r="C1344" s="43" t="inlineStr">
        <is>
          <t>FJZP</t>
        </is>
      </c>
      <c r="D1344" s="43" t="inlineStr">
        <is>
          <t>Cisco</t>
        </is>
      </c>
      <c r="E1344" s="43" t="inlineStr">
        <is>
          <t>MCGA</t>
        </is>
      </c>
      <c r="F1344" s="43" t="inlineStr">
        <is>
          <t>239-CRBU</t>
        </is>
      </c>
      <c r="G1344" s="43" t="inlineStr">
        <is>
          <t>CTANJZ05291</t>
        </is>
      </c>
      <c r="H1344" s="43" t="inlineStr">
        <is>
          <t>For temporary Manufacturing process change</t>
        </is>
      </c>
      <c r="I1344" s="43" t="inlineStr">
        <is>
          <t>Customer Deviation</t>
        </is>
      </c>
      <c r="J1344" s="43" t="inlineStr">
        <is>
          <t>D611588</t>
        </is>
      </c>
      <c r="K1344" s="33" t="inlineStr">
        <is>
          <t>D611588ERBU : WASP RP:  Allowing FVN to socket program the  17-102236-02 (I210) part with 17-102236-01 image ( p1a_06_flash_readout.bin )(V3.25) and use in production.FVN to follow the below process for the new Build.1. FVN to socket program the  17-102236-02 (I210) part with 17-102236-01 image ( p1a_06_flash_readout.bin )(V3.25)2. Use socket programmed I210 part 17-102236-02 on (U174 ) reference designator in the new Build.3. Do the ETE testing  with the Socket programmed parts verify the V3.30 version .4. Share the Results to Cisco for Log review for first 3 boards.FAI Qualification of the new I210 image parts from SMART 17-102236-03.1. Please take 2 boards of 73-102363-05  and mount the below MPN parts on the boards and do the MFG qual.Verify  the FPD version of the pre-programmed part V3.30 version.CPN:17-102236-03 [I210]MPN:MX25L6433FM2I-08QMFG:MACRONIXQty/Board:1Ref Des:U1742. Please take 2 boards of 73-102363-05  and mount the below MPN parts on the boards and do the MFG qual.Verify  the FPD version of the pre-programmed part V3.30 version.CPN:17-102236-03 [I210]MPN:W25Q64JVSSIMMFG:WINBONDQty/Board:1Ref Des:U1743. Please take 2 boards of 73-102363-05  and mount the below MPN parts on the boards and do the MFG qual.Verify  the FPD version of the pre-programmed part V3.30 version.CPN:17-102236-03 [I210]MPN:IS25LP064A-JBLEMFG:ISSIQty/Board:1Ref Des:U174FVN to share the FAI report .</t>
        </is>
      </c>
      <c r="L1344" s="43" t="inlineStr">
        <is>
          <t>Expired</t>
        </is>
      </c>
      <c r="M1344" s="43" t="inlineStr">
        <is>
          <t>73-102363-05</t>
        </is>
      </c>
      <c r="N1344" s="43" t="inlineStr"/>
      <c r="O1344" s="43" t="inlineStr">
        <is>
          <t>2026-09-12</t>
        </is>
      </c>
      <c r="P1344" s="33" t="inlineStr">
        <is>
          <t>For temporary Manufacturing process change</t>
        </is>
      </c>
      <c r="Q1344" s="43" t="inlineStr">
        <is>
          <t>Mark the units with deviation label.</t>
        </is>
      </c>
      <c r="R1344" s="43" t="inlineStr">
        <is>
          <t>2026-06-15</t>
        </is>
      </c>
      <c r="S1344" s="43" t="inlineStr">
        <is>
          <t>2026-07-02</t>
        </is>
      </c>
      <c r="T1344" s="43" t="inlineStr"/>
      <c r="U1344" s="43" t="inlineStr"/>
    </row>
    <row r="1345">
      <c r="A1345" s="43" t="n">
        <v>1345</v>
      </c>
      <c r="B1345" s="43" t="inlineStr">
        <is>
          <t>1344</t>
        </is>
      </c>
      <c r="C1345" s="43" t="inlineStr">
        <is>
          <t>FJZP</t>
        </is>
      </c>
      <c r="D1345" s="43" t="inlineStr">
        <is>
          <t>Cisco</t>
        </is>
      </c>
      <c r="E1345" s="43" t="inlineStr">
        <is>
          <t>MCGA</t>
        </is>
      </c>
      <c r="F1345" s="43" t="inlineStr">
        <is>
          <t>037-STBU</t>
        </is>
      </c>
      <c r="G1345" s="43" t="inlineStr">
        <is>
          <t>CTANJZ05515</t>
        </is>
      </c>
      <c r="H1345" s="43" t="inlineStr">
        <is>
          <t>For temporary Manufacturing process change</t>
        </is>
      </c>
      <c r="I1345" s="43" t="inlineStr">
        <is>
          <t>Customer Deviation</t>
        </is>
      </c>
      <c r="J1345" s="43" t="inlineStr">
        <is>
          <t>D614056</t>
        </is>
      </c>
      <c r="K1345"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45" s="43" t="inlineStr">
        <is>
          <t>CCB</t>
        </is>
      </c>
      <c r="M1345" s="43" t="inlineStr">
        <is>
          <t>73-103633-04</t>
        </is>
      </c>
      <c r="N1345" s="43" t="inlineStr"/>
      <c r="O1345" s="43" t="inlineStr">
        <is>
          <t>2027-01-04</t>
        </is>
      </c>
      <c r="P1345" s="33" t="inlineStr">
        <is>
          <t>For temporary Manufacturing process change</t>
        </is>
      </c>
      <c r="Q1345" s="43"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45" s="43" t="inlineStr">
        <is>
          <t>2026-10-07</t>
        </is>
      </c>
      <c r="S1345" s="43" t="inlineStr"/>
      <c r="T1345" s="43" t="inlineStr"/>
      <c r="U1345" s="43" t="inlineStr"/>
    </row>
    <row r="1346">
      <c r="A1346" s="43" t="n">
        <v>1346</v>
      </c>
      <c r="B1346" s="43" t="inlineStr">
        <is>
          <t>1345</t>
        </is>
      </c>
      <c r="C1346" s="43" t="inlineStr">
        <is>
          <t>FJZP</t>
        </is>
      </c>
      <c r="D1346" s="43" t="inlineStr">
        <is>
          <t>Cisco</t>
        </is>
      </c>
      <c r="E1346" s="43" t="inlineStr">
        <is>
          <t>MCGA</t>
        </is>
      </c>
      <c r="F1346" s="43" t="inlineStr">
        <is>
          <t>037-STBU</t>
        </is>
      </c>
      <c r="G1346" s="43" t="inlineStr">
        <is>
          <t>CTANJZ05515</t>
        </is>
      </c>
      <c r="H1346" s="43" t="inlineStr">
        <is>
          <t>For temporary Manufacturing process change</t>
        </is>
      </c>
      <c r="I1346" s="43" t="inlineStr">
        <is>
          <t>Customer Deviation</t>
        </is>
      </c>
      <c r="J1346" s="43" t="inlineStr">
        <is>
          <t>D614056</t>
        </is>
      </c>
      <c r="K1346"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46" s="43" t="inlineStr">
        <is>
          <t>CCB</t>
        </is>
      </c>
      <c r="M1346" s="43" t="inlineStr">
        <is>
          <t>73-103633-05</t>
        </is>
      </c>
      <c r="N1346" s="43" t="inlineStr"/>
      <c r="O1346" s="43" t="inlineStr">
        <is>
          <t>2027-01-04</t>
        </is>
      </c>
      <c r="P1346" s="33" t="inlineStr">
        <is>
          <t>For temporary Manufacturing process change</t>
        </is>
      </c>
      <c r="Q1346" s="43"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46" s="43" t="inlineStr">
        <is>
          <t>2026-10-07</t>
        </is>
      </c>
      <c r="S1346" s="43" t="inlineStr"/>
      <c r="T1346" s="43" t="inlineStr"/>
      <c r="U1346" s="43" t="inlineStr"/>
    </row>
    <row r="1347">
      <c r="A1347" s="43" t="n">
        <v>1347</v>
      </c>
      <c r="B1347" s="43" t="inlineStr">
        <is>
          <t>1346</t>
        </is>
      </c>
      <c r="C1347" s="43" t="inlineStr">
        <is>
          <t>FJZP</t>
        </is>
      </c>
      <c r="D1347" s="43" t="inlineStr">
        <is>
          <t>Cisco</t>
        </is>
      </c>
      <c r="E1347" s="43" t="inlineStr">
        <is>
          <t>MCGA</t>
        </is>
      </c>
      <c r="F1347" s="43" t="inlineStr">
        <is>
          <t>037-STBU</t>
        </is>
      </c>
      <c r="G1347" s="43" t="inlineStr">
        <is>
          <t>CTANJZ05515</t>
        </is>
      </c>
      <c r="H1347" s="43" t="inlineStr">
        <is>
          <t>For temporary Manufacturing process change</t>
        </is>
      </c>
      <c r="I1347" s="43" t="inlineStr">
        <is>
          <t>Customer Deviation</t>
        </is>
      </c>
      <c r="J1347" s="43" t="inlineStr">
        <is>
          <t>D614056</t>
        </is>
      </c>
      <c r="K1347"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47" s="43" t="inlineStr">
        <is>
          <t>CCB</t>
        </is>
      </c>
      <c r="M1347" s="43" t="inlineStr">
        <is>
          <t>73-104531-01</t>
        </is>
      </c>
      <c r="N1347" s="43" t="inlineStr"/>
      <c r="O1347" s="43" t="inlineStr">
        <is>
          <t>2027-01-04</t>
        </is>
      </c>
      <c r="P1347" s="33" t="inlineStr">
        <is>
          <t>For temporary Manufacturing process change</t>
        </is>
      </c>
      <c r="Q1347" s="43"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47" s="43" t="inlineStr">
        <is>
          <t>2026-10-07</t>
        </is>
      </c>
      <c r="S1347" s="43" t="inlineStr"/>
      <c r="T1347" s="43" t="inlineStr"/>
      <c r="U1347" s="43" t="inlineStr"/>
    </row>
    <row r="1348">
      <c r="A1348" s="43" t="n">
        <v>1348</v>
      </c>
      <c r="B1348" s="43" t="inlineStr">
        <is>
          <t>1347</t>
        </is>
      </c>
      <c r="C1348" s="43" t="inlineStr">
        <is>
          <t>FJZP</t>
        </is>
      </c>
      <c r="D1348" s="43" t="inlineStr">
        <is>
          <t>Cisco</t>
        </is>
      </c>
      <c r="E1348" s="43" t="inlineStr">
        <is>
          <t>MCGA</t>
        </is>
      </c>
      <c r="F1348" s="43" t="inlineStr">
        <is>
          <t>037-STBU</t>
        </is>
      </c>
      <c r="G1348" s="43" t="inlineStr">
        <is>
          <t>CTANJZ05515</t>
        </is>
      </c>
      <c r="H1348" s="43" t="inlineStr">
        <is>
          <t>For temporary Manufacturing process change</t>
        </is>
      </c>
      <c r="I1348" s="43" t="inlineStr">
        <is>
          <t>Customer Deviation</t>
        </is>
      </c>
      <c r="J1348" s="43" t="inlineStr">
        <is>
          <t>D614056</t>
        </is>
      </c>
      <c r="K1348"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48" s="43" t="inlineStr">
        <is>
          <t>CCB</t>
        </is>
      </c>
      <c r="M1348" s="43" t="inlineStr">
        <is>
          <t>73-104533-01</t>
        </is>
      </c>
      <c r="N1348" s="43" t="inlineStr"/>
      <c r="O1348" s="43" t="inlineStr">
        <is>
          <t>2027-01-04</t>
        </is>
      </c>
      <c r="P1348" s="33" t="inlineStr">
        <is>
          <t>For temporary Manufacturing process change</t>
        </is>
      </c>
      <c r="Q1348" s="43"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48" s="43" t="inlineStr">
        <is>
          <t>2026-10-07</t>
        </is>
      </c>
      <c r="S1348" s="43" t="inlineStr"/>
      <c r="T1348" s="43" t="inlineStr"/>
      <c r="U1348" s="43" t="inlineStr"/>
    </row>
    <row r="1349">
      <c r="A1349" s="43" t="n">
        <v>1349</v>
      </c>
      <c r="B1349" s="43" t="inlineStr">
        <is>
          <t>1348</t>
        </is>
      </c>
      <c r="C1349" s="43" t="inlineStr">
        <is>
          <t>FJZP</t>
        </is>
      </c>
      <c r="D1349" s="43" t="inlineStr">
        <is>
          <t>Cisco</t>
        </is>
      </c>
      <c r="E1349" s="43" t="inlineStr">
        <is>
          <t>MCGA</t>
        </is>
      </c>
      <c r="F1349" s="43" t="inlineStr">
        <is>
          <t>037-STBU</t>
        </is>
      </c>
      <c r="G1349" s="43" t="inlineStr">
        <is>
          <t>CTANJZ05515</t>
        </is>
      </c>
      <c r="H1349" s="43" t="inlineStr">
        <is>
          <t>For temporary Manufacturing process change</t>
        </is>
      </c>
      <c r="I1349" s="43" t="inlineStr">
        <is>
          <t>Customer Deviation</t>
        </is>
      </c>
      <c r="J1349" s="43" t="inlineStr">
        <is>
          <t>D614056</t>
        </is>
      </c>
      <c r="K1349"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49" s="43" t="inlineStr">
        <is>
          <t>CCB</t>
        </is>
      </c>
      <c r="M1349" s="43" t="inlineStr">
        <is>
          <t>73-104536-01</t>
        </is>
      </c>
      <c r="N1349" s="43" t="inlineStr"/>
      <c r="O1349" s="43" t="inlineStr">
        <is>
          <t>2027-01-04</t>
        </is>
      </c>
      <c r="P1349" s="33" t="inlineStr">
        <is>
          <t>For temporary Manufacturing process change</t>
        </is>
      </c>
      <c r="Q1349" s="43"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49" s="43" t="inlineStr">
        <is>
          <t>2026-10-07</t>
        </is>
      </c>
      <c r="S1349" s="43" t="inlineStr"/>
      <c r="T1349" s="43" t="inlineStr"/>
      <c r="U1349" s="43" t="inlineStr"/>
    </row>
    <row r="1350">
      <c r="A1350" s="43" t="n">
        <v>1350</v>
      </c>
      <c r="B1350" s="43" t="inlineStr">
        <is>
          <t>1349</t>
        </is>
      </c>
      <c r="C1350" s="43" t="inlineStr">
        <is>
          <t>FJZP</t>
        </is>
      </c>
      <c r="D1350" s="43" t="inlineStr">
        <is>
          <t>Cisco</t>
        </is>
      </c>
      <c r="E1350" s="43" t="inlineStr">
        <is>
          <t>MCGA</t>
        </is>
      </c>
      <c r="F1350" s="43" t="inlineStr">
        <is>
          <t>037-STBU</t>
        </is>
      </c>
      <c r="G1350" s="43" t="inlineStr">
        <is>
          <t>CTANJZ05515</t>
        </is>
      </c>
      <c r="H1350" s="43" t="inlineStr">
        <is>
          <t>For temporary Manufacturing process change</t>
        </is>
      </c>
      <c r="I1350" s="43" t="inlineStr">
        <is>
          <t>Customer Deviation</t>
        </is>
      </c>
      <c r="J1350" s="43" t="inlineStr">
        <is>
          <t>D614056</t>
        </is>
      </c>
      <c r="K1350"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50" s="43" t="inlineStr">
        <is>
          <t>CCB</t>
        </is>
      </c>
      <c r="M1350" s="43" t="inlineStr">
        <is>
          <t>73-104537-01</t>
        </is>
      </c>
      <c r="N1350" s="43" t="inlineStr"/>
      <c r="O1350" s="43" t="inlineStr">
        <is>
          <t>2027-01-04</t>
        </is>
      </c>
      <c r="P1350" s="33" t="inlineStr">
        <is>
          <t>For temporary Manufacturing process change</t>
        </is>
      </c>
      <c r="Q1350" s="43"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50" s="43" t="inlineStr">
        <is>
          <t>2026-10-07</t>
        </is>
      </c>
      <c r="S1350" s="43" t="inlineStr"/>
      <c r="T1350" s="43" t="inlineStr"/>
      <c r="U1350" s="43" t="inlineStr"/>
    </row>
    <row r="1351">
      <c r="A1351" s="43" t="n">
        <v>1351</v>
      </c>
      <c r="B1351" s="43" t="inlineStr">
        <is>
          <t>1350</t>
        </is>
      </c>
      <c r="C1351" s="43" t="inlineStr">
        <is>
          <t>FJZP</t>
        </is>
      </c>
      <c r="D1351" s="43" t="inlineStr">
        <is>
          <t>Cisco</t>
        </is>
      </c>
      <c r="E1351" s="43" t="inlineStr">
        <is>
          <t>MCGA</t>
        </is>
      </c>
      <c r="F1351" s="43" t="inlineStr">
        <is>
          <t>037-STBU</t>
        </is>
      </c>
      <c r="G1351" s="43" t="inlineStr">
        <is>
          <t>CTANJZ05515</t>
        </is>
      </c>
      <c r="H1351" s="43" t="inlineStr">
        <is>
          <t>For temporary Manufacturing process change</t>
        </is>
      </c>
      <c r="I1351" s="43" t="inlineStr">
        <is>
          <t>Customer Deviation</t>
        </is>
      </c>
      <c r="J1351" s="43" t="inlineStr">
        <is>
          <t>D614056</t>
        </is>
      </c>
      <c r="K1351"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51" s="43" t="inlineStr">
        <is>
          <t>CCB</t>
        </is>
      </c>
      <c r="M1351" s="43" t="inlineStr">
        <is>
          <t>73-20247-06</t>
        </is>
      </c>
      <c r="N1351" s="43" t="inlineStr"/>
      <c r="O1351" s="43" t="inlineStr">
        <is>
          <t>2027-01-04</t>
        </is>
      </c>
      <c r="P1351" s="33" t="inlineStr">
        <is>
          <t>For temporary Manufacturing process change</t>
        </is>
      </c>
      <c r="Q1351" s="43"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51" s="43" t="inlineStr">
        <is>
          <t>2026-10-07</t>
        </is>
      </c>
      <c r="S1351" s="43" t="inlineStr"/>
      <c r="T1351" s="43" t="inlineStr"/>
      <c r="U1351" s="43" t="inlineStr"/>
    </row>
    <row r="1352">
      <c r="A1352" s="43" t="n">
        <v>1352</v>
      </c>
      <c r="B1352" s="43" t="inlineStr">
        <is>
          <t>1351</t>
        </is>
      </c>
      <c r="C1352" s="43" t="inlineStr">
        <is>
          <t>FJZP</t>
        </is>
      </c>
      <c r="D1352" s="43" t="inlineStr">
        <is>
          <t>Cisco</t>
        </is>
      </c>
      <c r="E1352" s="43" t="inlineStr">
        <is>
          <t>MCGA</t>
        </is>
      </c>
      <c r="F1352" s="43" t="inlineStr">
        <is>
          <t>035-CVEBU</t>
        </is>
      </c>
      <c r="G1352" s="43" t="inlineStr">
        <is>
          <t>CTANJZ05325</t>
        </is>
      </c>
      <c r="H1352" s="43" t="inlineStr">
        <is>
          <t>For temporary Manufacturing process change</t>
        </is>
      </c>
      <c r="I1352" s="43" t="inlineStr">
        <is>
          <t>Customer Deviation</t>
        </is>
      </c>
      <c r="J1352" s="43" t="inlineStr">
        <is>
          <t>D611994</t>
        </is>
      </c>
      <c r="K1352" s="33" t="inlineStr">
        <is>
          <t>D611994 CVEBU: Bayfront Pilot build. Deviation to allow use IPQ and old Date Codes parts. May 2026. Replacement of expired deviation D610061.Foxconn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352" s="43" t="inlineStr">
        <is>
          <t>Expired</t>
        </is>
      </c>
      <c r="M1352" s="43" t="inlineStr">
        <is>
          <t>73-103826-05</t>
        </is>
      </c>
      <c r="N1352" s="43" t="inlineStr"/>
      <c r="O1352" s="43" t="inlineStr">
        <is>
          <t>2026-09-24</t>
        </is>
      </c>
      <c r="P1352" s="33" t="inlineStr">
        <is>
          <t>For temporary Manufacturing process change</t>
        </is>
      </c>
      <c r="Q1352" s="43" t="inlineStr">
        <is>
          <t>Mark units with this deviation clearly visible on unit.</t>
        </is>
      </c>
      <c r="R1352" s="43" t="inlineStr">
        <is>
          <t>2026-06-27</t>
        </is>
      </c>
      <c r="S1352" s="43" t="inlineStr">
        <is>
          <t>2026-07-15</t>
        </is>
      </c>
      <c r="T1352" s="43" t="inlineStr"/>
      <c r="U1352" s="43" t="inlineStr"/>
    </row>
    <row r="1353">
      <c r="A1353" s="43" t="n">
        <v>1353</v>
      </c>
      <c r="B1353" s="43" t="inlineStr">
        <is>
          <t>1352</t>
        </is>
      </c>
      <c r="C1353" s="43" t="inlineStr">
        <is>
          <t>FJZP</t>
        </is>
      </c>
      <c r="D1353" s="43" t="inlineStr">
        <is>
          <t>Cisco</t>
        </is>
      </c>
      <c r="E1353" s="43" t="inlineStr">
        <is>
          <t>MCGA</t>
        </is>
      </c>
      <c r="F1353" s="43" t="inlineStr">
        <is>
          <t>035-CVEBU</t>
        </is>
      </c>
      <c r="G1353" s="43" t="inlineStr">
        <is>
          <t>CTANJZ05325</t>
        </is>
      </c>
      <c r="H1353" s="43" t="inlineStr">
        <is>
          <t>For temporary Manufacturing process change</t>
        </is>
      </c>
      <c r="I1353" s="43" t="inlineStr">
        <is>
          <t>Customer Deviation</t>
        </is>
      </c>
      <c r="J1353" s="43" t="inlineStr">
        <is>
          <t>D611994</t>
        </is>
      </c>
      <c r="K1353" s="33" t="inlineStr">
        <is>
          <t>D611994 CVEBU: Bayfront Pilot build. Deviation to allow use IPQ and old Date Codes parts. May 2026. Replacement of expired deviation D610061.Foxconn is allowed to use the following parts? 15-110893-01 Restricted Production LC / ADI ADV7537JBCZ-10 qual status In process - Qual (IPQ) awaiting final approvals.? 15-110981-01   PI4IOE5V6416AZDEX DIODES qual status In process - Qual (IPQ) awaiting final approvals.o 91 pcs old DC DC2348In Assemblies73-103826-05 PCA; BAYFRONT MAIN BOARD73-103880-05 PCA; BAYFRONT MAIN BOARD NRNote. 15-110981-01 DIODES parts old DC DC2348 need to perform solderability testContact Cisco: Jarle Aasland. Contact FVN: Lucky Guo</t>
        </is>
      </c>
      <c r="L1353" s="43" t="inlineStr">
        <is>
          <t>Expired</t>
        </is>
      </c>
      <c r="M1353" s="43" t="inlineStr">
        <is>
          <t>73-103880-05</t>
        </is>
      </c>
      <c r="N1353" s="43" t="inlineStr"/>
      <c r="O1353" s="43" t="inlineStr">
        <is>
          <t>2026-09-24</t>
        </is>
      </c>
      <c r="P1353" s="33" t="inlineStr">
        <is>
          <t>For temporary Manufacturing process change</t>
        </is>
      </c>
      <c r="Q1353" s="43" t="inlineStr">
        <is>
          <t>Mark units with this deviation clearly visible on unit.</t>
        </is>
      </c>
      <c r="R1353" s="43" t="inlineStr">
        <is>
          <t>2026-06-27</t>
        </is>
      </c>
      <c r="S1353" s="43" t="inlineStr">
        <is>
          <t>2026-07-15</t>
        </is>
      </c>
      <c r="T1353" s="43" t="inlineStr"/>
      <c r="U1353" s="43" t="inlineStr"/>
    </row>
    <row r="1354">
      <c r="A1354" s="43" t="n">
        <v>1354</v>
      </c>
      <c r="B1354" s="43" t="inlineStr">
        <is>
          <t>1353</t>
        </is>
      </c>
      <c r="C1354" s="43" t="inlineStr">
        <is>
          <t>FJZP</t>
        </is>
      </c>
      <c r="D1354" s="43" t="inlineStr">
        <is>
          <t>Cisco</t>
        </is>
      </c>
      <c r="E1354" s="43" t="inlineStr">
        <is>
          <t>MCGA</t>
        </is>
      </c>
      <c r="F1354" s="43" t="inlineStr">
        <is>
          <t>239-CRBU</t>
        </is>
      </c>
      <c r="G1354" s="43" t="inlineStr">
        <is>
          <t>CTANJZ05328</t>
        </is>
      </c>
      <c r="H1354" s="43" t="inlineStr">
        <is>
          <t>For temporary Manufacturing process change</t>
        </is>
      </c>
      <c r="I1354" s="43" t="inlineStr">
        <is>
          <t>Customer Deviation</t>
        </is>
      </c>
      <c r="J1354" s="43" t="inlineStr">
        <is>
          <t>D611690</t>
        </is>
      </c>
      <c r="K1354" s="33" t="inlineStr">
        <is>
          <t>D611690 CRBU: 8000 : LC4; LC5 DB - 15-102981-01Allow FJZ to use 15-102981-01 with MPN#74AVCH4T245FT on CRBU products.Product : 73-19875 ( any production version and revision )CPN: 15-102981-01MPN: 74AVCH4T245FTVendor: TOSHIBAQty: 80;365 pcs</t>
        </is>
      </c>
      <c r="L1354" s="43" t="inlineStr">
        <is>
          <t>Expired</t>
        </is>
      </c>
      <c r="M1354" s="43" t="inlineStr">
        <is>
          <t>73-19875-07</t>
        </is>
      </c>
      <c r="N1354" s="43" t="inlineStr"/>
      <c r="O1354" s="43" t="inlineStr">
        <is>
          <t>2026-09-27</t>
        </is>
      </c>
      <c r="P1354" s="33" t="inlineStr">
        <is>
          <t>For temporary Manufacturing process change</t>
        </is>
      </c>
      <c r="Q1354" s="43" t="inlineStr">
        <is>
          <t>NA</t>
        </is>
      </c>
      <c r="R1354" s="43" t="inlineStr">
        <is>
          <t>2026-06-30</t>
        </is>
      </c>
      <c r="S1354" s="43" t="inlineStr">
        <is>
          <t>2026-07-24</t>
        </is>
      </c>
      <c r="T1354" s="43" t="inlineStr"/>
      <c r="U1354" s="43" t="inlineStr"/>
    </row>
    <row r="1355">
      <c r="A1355" s="43" t="n">
        <v>1355</v>
      </c>
      <c r="B1355" s="43" t="inlineStr">
        <is>
          <t>1354</t>
        </is>
      </c>
      <c r="C1355" s="43" t="inlineStr">
        <is>
          <t>FJZP</t>
        </is>
      </c>
      <c r="D1355" s="43" t="inlineStr">
        <is>
          <t>Cisco</t>
        </is>
      </c>
      <c r="E1355" s="43" t="inlineStr">
        <is>
          <t>MCGA</t>
        </is>
      </c>
      <c r="F1355" s="43" t="inlineStr">
        <is>
          <t>037-STBU</t>
        </is>
      </c>
      <c r="G1355" s="43" t="inlineStr">
        <is>
          <t>CTANJZ05515</t>
        </is>
      </c>
      <c r="H1355" s="43" t="inlineStr">
        <is>
          <t>For temporary Manufacturing process change</t>
        </is>
      </c>
      <c r="I1355" s="43" t="inlineStr">
        <is>
          <t>Customer Deviation</t>
        </is>
      </c>
      <c r="J1355" s="43" t="inlineStr">
        <is>
          <t>D614056</t>
        </is>
      </c>
      <c r="K1355" s="33" t="inlineStr">
        <is>
          <t>D614056 Deviation is to allow FJZ to use the stock of 16-102133-01; which is the same for 16-4194-02/ 16-4194-01. These are the MPNs that are allowed to use:Tufnell Park:Micron: MT25QL128ABA1ESE-0SITWinbond: W25Q128JVSIMWA/ NM/ WPK:Micron: MT25QL128ABA1ESE-0SITThey are planning to convert 12K pcs of 16-102133-01 to 16-4194-02 and 6k pcs of 16-102133-01 to 16-4194-01.</t>
        </is>
      </c>
      <c r="L1355" s="43" t="inlineStr">
        <is>
          <t>CCB</t>
        </is>
      </c>
      <c r="M1355" s="43" t="inlineStr">
        <is>
          <t>73-20249-06</t>
        </is>
      </c>
      <c r="N1355" s="43" t="inlineStr"/>
      <c r="O1355" s="43" t="inlineStr">
        <is>
          <t>2027-01-04</t>
        </is>
      </c>
      <c r="P1355" s="33" t="inlineStr">
        <is>
          <t>For temporary Manufacturing process change</t>
        </is>
      </c>
      <c r="Q1355" s="43" t="inlineStr">
        <is>
          <t>1. FJZ re-identifying 16-102133-01 to the CPNs currently used in production for NGFWBU; 16-4194-02 / 16-4194-01 2. Process 2 units of each product to validate in ICT; P2 and 2C to confirm no risk 3. Provide the logs to Cisco EPE; TE; ME to validate and confirms all good 4. If approve; proceed with the rest of the units</t>
        </is>
      </c>
      <c r="R1355" s="43" t="inlineStr">
        <is>
          <t>2026-10-07</t>
        </is>
      </c>
      <c r="S1355" s="43" t="inlineStr"/>
      <c r="T1355" s="43" t="inlineStr"/>
      <c r="U1355" s="43" t="inlineStr"/>
    </row>
    <row r="1356">
      <c r="A1356" s="43" t="n">
        <v>1356</v>
      </c>
      <c r="B1356" s="43" t="inlineStr">
        <is>
          <t>1355</t>
        </is>
      </c>
      <c r="C1356" s="43" t="inlineStr">
        <is>
          <t>FJZP</t>
        </is>
      </c>
      <c r="D1356" s="43" t="inlineStr">
        <is>
          <t>Cisco</t>
        </is>
      </c>
      <c r="E1356" s="43" t="inlineStr">
        <is>
          <t>MCGA</t>
        </is>
      </c>
      <c r="F1356" s="43" t="inlineStr">
        <is>
          <t>035-CVEBU</t>
        </is>
      </c>
      <c r="G1356" s="43" t="inlineStr">
        <is>
          <t>CTANJZ05513</t>
        </is>
      </c>
      <c r="H1356" s="43" t="inlineStr">
        <is>
          <t>For temporary Manufacturing process change</t>
        </is>
      </c>
      <c r="I1356" s="43" t="inlineStr">
        <is>
          <t>Customer Deviation</t>
        </is>
      </c>
      <c r="J1356" s="43" t="inlineStr">
        <is>
          <t>D614398</t>
        </is>
      </c>
      <c r="K1356" s="33" t="inlineStr">
        <is>
          <t>D614398 CVEBU: Tyne; Use  ONLY the MPN = SLB 9673AU2.0 FW27.24 of the CPN 15-108939-01 on new builds. Since ECO EA627423 will change the CPN  to version -03 ; FJZ is allowed to rename the  MPN = SLB 9673AU2.0 FW27.24  to 15-108939-03 to cover the demand for Tyne.NOTE: ST part MPN= ST33HF2X32AHE3C1 can be used in other PFs; but NOT in Tyne</t>
        </is>
      </c>
      <c r="L1356" s="43" t="inlineStr">
        <is>
          <t>Implementation</t>
        </is>
      </c>
      <c r="M1356" s="43" t="inlineStr">
        <is>
          <t>15-108939-01</t>
        </is>
      </c>
      <c r="N1356" s="43" t="inlineStr"/>
      <c r="O1356" s="43" t="inlineStr">
        <is>
          <t>2027-01-03</t>
        </is>
      </c>
      <c r="P1356" s="33" t="inlineStr">
        <is>
          <t>For temporary Manufacturing process change</t>
        </is>
      </c>
      <c r="Q1356" s="43" t="inlineStr">
        <is>
          <t>Add small label with the deviation number on the PCBA</t>
        </is>
      </c>
      <c r="R1356" s="43" t="inlineStr">
        <is>
          <t>2026-10-06</t>
        </is>
      </c>
      <c r="S1356" s="43" t="inlineStr">
        <is>
          <t>2026-10-15</t>
        </is>
      </c>
      <c r="T1356" s="43" t="inlineStr"/>
      <c r="U1356" s="43" t="inlineStr"/>
    </row>
    <row r="1357">
      <c r="A1357" s="43" t="n">
        <v>1357</v>
      </c>
      <c r="B1357" s="43" t="inlineStr">
        <is>
          <t>1356</t>
        </is>
      </c>
      <c r="C1357" s="43" t="inlineStr">
        <is>
          <t>FJZP</t>
        </is>
      </c>
      <c r="D1357" s="43" t="inlineStr">
        <is>
          <t>Cisco</t>
        </is>
      </c>
      <c r="E1357" s="43" t="inlineStr">
        <is>
          <t>MCGA</t>
        </is>
      </c>
      <c r="F1357" s="43" t="inlineStr">
        <is>
          <t>035-CVEBU</t>
        </is>
      </c>
      <c r="G1357" s="43" t="inlineStr">
        <is>
          <t>CTANJZ05513</t>
        </is>
      </c>
      <c r="H1357" s="43" t="inlineStr">
        <is>
          <t>For temporary Manufacturing process change</t>
        </is>
      </c>
      <c r="I1357" s="43" t="inlineStr">
        <is>
          <t>Customer Deviation</t>
        </is>
      </c>
      <c r="J1357" s="43" t="inlineStr">
        <is>
          <t>D614398</t>
        </is>
      </c>
      <c r="K1357" s="33" t="inlineStr">
        <is>
          <t>D614398 CVEBU: Tyne; Use  ONLY the MPN = SLB 9673AU2.0 FW27.24 of the CPN 15-108939-01 on new builds. Since ECO EA627423 will change the CPN  to version -03 ; FJZ is allowed to rename the  MPN = SLB 9673AU2.0 FW27.24  to 15-108939-03 to cover the demand for Tyne.NOTE: ST part MPN= ST33HF2X32AHE3C1 can be used in other PFs; but NOT in Tyne</t>
        </is>
      </c>
      <c r="L1357" s="43" t="inlineStr">
        <is>
          <t>Implementation</t>
        </is>
      </c>
      <c r="M1357" s="43" t="inlineStr">
        <is>
          <t>73-103698-06</t>
        </is>
      </c>
      <c r="N1357" s="43" t="inlineStr"/>
      <c r="O1357" s="43" t="inlineStr">
        <is>
          <t>2027-01-03</t>
        </is>
      </c>
      <c r="P1357" s="33" t="inlineStr">
        <is>
          <t>For temporary Manufacturing process change</t>
        </is>
      </c>
      <c r="Q1357" s="43" t="inlineStr">
        <is>
          <t>Add small label with the deviation number on the PCBA</t>
        </is>
      </c>
      <c r="R1357" s="43" t="inlineStr">
        <is>
          <t>2026-10-06</t>
        </is>
      </c>
      <c r="S1357" s="43" t="inlineStr">
        <is>
          <t>2026-10-15</t>
        </is>
      </c>
      <c r="T1357" s="43" t="inlineStr"/>
      <c r="U1357" s="43" t="inlineStr"/>
    </row>
    <row r="1358">
      <c r="A1358" s="43" t="n">
        <v>1358</v>
      </c>
      <c r="B1358" s="43" t="inlineStr">
        <is>
          <t>1357</t>
        </is>
      </c>
      <c r="C1358" s="43" t="inlineStr">
        <is>
          <t>FJZP</t>
        </is>
      </c>
      <c r="D1358" s="43" t="inlineStr">
        <is>
          <t>Cisco</t>
        </is>
      </c>
      <c r="E1358" s="43" t="inlineStr">
        <is>
          <t>MCGA</t>
        </is>
      </c>
      <c r="F1358" s="43" t="inlineStr">
        <is>
          <t>035-CVEBU</t>
        </is>
      </c>
      <c r="G1358" s="43" t="inlineStr">
        <is>
          <t>CTANJZ05513</t>
        </is>
      </c>
      <c r="H1358" s="43" t="inlineStr">
        <is>
          <t>For temporary Manufacturing process change</t>
        </is>
      </c>
      <c r="I1358" s="43" t="inlineStr">
        <is>
          <t>Customer Deviation</t>
        </is>
      </c>
      <c r="J1358" s="43" t="inlineStr">
        <is>
          <t>D614398</t>
        </is>
      </c>
      <c r="K1358" s="33" t="inlineStr">
        <is>
          <t>D614398 CVEBU: Tyne; Use  ONLY the MPN = SLB 9673AU2.0 FW27.24 of the CPN 15-108939-01 on new builds. Since ECO EA627423 will change the CPN  to version -03 ; FJZ is allowed to rename the  MPN = SLB 9673AU2.0 FW27.24  to 15-108939-03 to cover the demand for Tyne.NOTE: ST part MPN= ST33HF2X32AHE3C1 can be used in other PFs; but NOT in Tyne</t>
        </is>
      </c>
      <c r="L1358" s="43" t="inlineStr">
        <is>
          <t>Implementation</t>
        </is>
      </c>
      <c r="M1358" s="43" t="inlineStr">
        <is>
          <t>73-103940-06</t>
        </is>
      </c>
      <c r="N1358" s="43" t="inlineStr"/>
      <c r="O1358" s="43" t="inlineStr">
        <is>
          <t>2027-01-03</t>
        </is>
      </c>
      <c r="P1358" s="33" t="inlineStr">
        <is>
          <t>For temporary Manufacturing process change</t>
        </is>
      </c>
      <c r="Q1358" s="43" t="inlineStr">
        <is>
          <t>Add small label with the deviation number on the PCBA</t>
        </is>
      </c>
      <c r="R1358" s="43" t="inlineStr">
        <is>
          <t>2026-10-06</t>
        </is>
      </c>
      <c r="S1358" s="43" t="inlineStr">
        <is>
          <t>2026-10-15</t>
        </is>
      </c>
      <c r="T1358" s="43" t="inlineStr"/>
      <c r="U1358" s="43" t="inlineStr"/>
    </row>
    <row r="1359">
      <c r="A1359" s="43" t="n">
        <v>1359</v>
      </c>
      <c r="B1359" s="43" t="inlineStr">
        <is>
          <t>1358</t>
        </is>
      </c>
      <c r="C1359" s="43" t="inlineStr">
        <is>
          <t>FJZP</t>
        </is>
      </c>
      <c r="D1359" s="43" t="inlineStr">
        <is>
          <t>Cisco</t>
        </is>
      </c>
      <c r="E1359" s="43" t="inlineStr">
        <is>
          <t>MCGA</t>
        </is>
      </c>
      <c r="F1359" s="43" t="inlineStr">
        <is>
          <t>037-STBU</t>
        </is>
      </c>
      <c r="G1359" s="43" t="inlineStr">
        <is>
          <t>CTANJZ05512</t>
        </is>
      </c>
      <c r="H1359" s="43" t="inlineStr">
        <is>
          <t>For temporary Manufacturing process change</t>
        </is>
      </c>
      <c r="I1359" s="43" t="inlineStr">
        <is>
          <t>Customer Deviation</t>
        </is>
      </c>
      <c r="J1359" s="43" t="inlineStr">
        <is>
          <t>D613970</t>
        </is>
      </c>
      <c r="K1359" s="33" t="inlineStr">
        <is>
          <t>D613970 Please see PageThree for details</t>
        </is>
      </c>
      <c r="L1359" s="43" t="inlineStr">
        <is>
          <t>CCB</t>
        </is>
      </c>
      <c r="M1359" s="43" t="inlineStr">
        <is>
          <t>72-101965-01</t>
        </is>
      </c>
      <c r="N1359" s="43" t="inlineStr"/>
      <c r="O1359" s="43" t="inlineStr">
        <is>
          <t>2026-12-31</t>
        </is>
      </c>
      <c r="P1359" s="33" t="inlineStr">
        <is>
          <t>For temporary Manufacturing process change</t>
        </is>
      </c>
      <c r="Q1359" s="43" t="inlineStr">
        <is>
          <t>Apply Deviation Label to the bottom surface of the SSD Tray Apply Deviation Label on the outer bulk packaging carton</t>
        </is>
      </c>
      <c r="R1359" s="43" t="inlineStr">
        <is>
          <t>2026-10-06</t>
        </is>
      </c>
      <c r="S1359" s="43" t="inlineStr"/>
      <c r="T1359" s="43" t="inlineStr"/>
      <c r="U1359" s="43" t="inlineStr"/>
    </row>
    <row r="1360">
      <c r="A1360" s="43" t="n">
        <v>1360</v>
      </c>
      <c r="B1360" s="43" t="inlineStr">
        <is>
          <t>1359</t>
        </is>
      </c>
      <c r="C1360" s="43" t="inlineStr">
        <is>
          <t>FJZP</t>
        </is>
      </c>
      <c r="D1360" s="43" t="inlineStr">
        <is>
          <t>Cisco</t>
        </is>
      </c>
      <c r="E1360" s="43" t="inlineStr">
        <is>
          <t>MCGA</t>
        </is>
      </c>
      <c r="F1360" s="43" t="inlineStr">
        <is>
          <t>037-STBU</t>
        </is>
      </c>
      <c r="G1360" s="43" t="inlineStr">
        <is>
          <t>CTANJZ05512</t>
        </is>
      </c>
      <c r="H1360" s="43" t="inlineStr">
        <is>
          <t>For temporary Manufacturing process change</t>
        </is>
      </c>
      <c r="I1360" s="43" t="inlineStr">
        <is>
          <t>Customer Deviation</t>
        </is>
      </c>
      <c r="J1360" s="43" t="inlineStr">
        <is>
          <t>D613970</t>
        </is>
      </c>
      <c r="K1360" s="33" t="inlineStr">
        <is>
          <t>D613970 Please see PageThree for details</t>
        </is>
      </c>
      <c r="L1360" s="43" t="inlineStr">
        <is>
          <t>CCB</t>
        </is>
      </c>
      <c r="M1360" s="43" t="inlineStr">
        <is>
          <t>800-50107-02</t>
        </is>
      </c>
      <c r="N1360" s="43" t="inlineStr"/>
      <c r="O1360" s="43" t="inlineStr">
        <is>
          <t>2026-12-31</t>
        </is>
      </c>
      <c r="P1360" s="33" t="inlineStr">
        <is>
          <t>For temporary Manufacturing process change</t>
        </is>
      </c>
      <c r="Q1360" s="43" t="inlineStr">
        <is>
          <t>Apply Deviation Label to the bottom surface of the SSD Tray Apply Deviation Label on the outer bulk packaging carton</t>
        </is>
      </c>
      <c r="R1360" s="43" t="inlineStr">
        <is>
          <t>2026-10-06</t>
        </is>
      </c>
      <c r="S1360" s="43" t="inlineStr"/>
      <c r="T1360" s="43" t="inlineStr"/>
      <c r="U1360" s="43" t="inlineStr"/>
    </row>
    <row r="1361">
      <c r="A1361" s="43" t="n">
        <v>1361</v>
      </c>
      <c r="B1361" s="43" t="inlineStr">
        <is>
          <t>1360</t>
        </is>
      </c>
      <c r="C1361" s="43" t="inlineStr">
        <is>
          <t>FJZP</t>
        </is>
      </c>
      <c r="D1361" s="43" t="inlineStr">
        <is>
          <t>Cisco</t>
        </is>
      </c>
      <c r="E1361" s="43" t="inlineStr">
        <is>
          <t>MCGA</t>
        </is>
      </c>
      <c r="F1361" s="43" t="inlineStr">
        <is>
          <t>035-CVEBU</t>
        </is>
      </c>
      <c r="G1361" s="43" t="inlineStr">
        <is>
          <t>CTANJZ05408</t>
        </is>
      </c>
      <c r="H1361" s="43" t="inlineStr">
        <is>
          <t>For temporary Manufacturing process change</t>
        </is>
      </c>
      <c r="I1361" s="43" t="inlineStr">
        <is>
          <t>Customer Deviation</t>
        </is>
      </c>
      <c r="J1361" s="43" t="inlineStr">
        <is>
          <t>D613038</t>
        </is>
      </c>
      <c r="K1361"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L1361" s="43" t="inlineStr">
        <is>
          <t>FAI Status</t>
        </is>
      </c>
      <c r="M1361" s="43" t="inlineStr">
        <is>
          <t>15-110522-01</t>
        </is>
      </c>
      <c r="N1361" s="43" t="inlineStr"/>
      <c r="O1361" s="43" t="inlineStr">
        <is>
          <t>2026-10-27</t>
        </is>
      </c>
      <c r="P1361" s="33" t="inlineStr">
        <is>
          <t>For temporary Manufacturing process change</t>
        </is>
      </c>
      <c r="Q1361" s="43" t="inlineStr">
        <is>
          <t>No marking needed as Cesium will record the CPNs used.</t>
        </is>
      </c>
      <c r="R1361" s="43" t="inlineStr">
        <is>
          <t>2026-07-30</t>
        </is>
      </c>
      <c r="S1361" s="43" t="inlineStr">
        <is>
          <t>2026-08-29</t>
        </is>
      </c>
      <c r="T1361" s="43" t="inlineStr"/>
      <c r="U1361" s="43" t="inlineStr"/>
    </row>
    <row r="1362">
      <c r="A1362" s="43" t="n">
        <v>1362</v>
      </c>
      <c r="B1362" s="43" t="inlineStr">
        <is>
          <t>1361</t>
        </is>
      </c>
      <c r="C1362" s="43" t="inlineStr">
        <is>
          <t>FJZP</t>
        </is>
      </c>
      <c r="D1362" s="43" t="inlineStr">
        <is>
          <t>Cisco</t>
        </is>
      </c>
      <c r="E1362" s="43" t="inlineStr">
        <is>
          <t>MCGA</t>
        </is>
      </c>
      <c r="F1362" s="43" t="inlineStr">
        <is>
          <t>035-CVEBU</t>
        </is>
      </c>
      <c r="G1362" s="43" t="inlineStr">
        <is>
          <t>CTANJZ05408</t>
        </is>
      </c>
      <c r="H1362" s="43" t="inlineStr">
        <is>
          <t>For temporary Manufacturing process change</t>
        </is>
      </c>
      <c r="I1362" s="43" t="inlineStr">
        <is>
          <t>Customer Deviation</t>
        </is>
      </c>
      <c r="J1362" s="43" t="inlineStr">
        <is>
          <t>D613038</t>
        </is>
      </c>
      <c r="K1362"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L1362" s="43" t="inlineStr">
        <is>
          <t>FAI Status</t>
        </is>
      </c>
      <c r="M1362" s="43" t="inlineStr">
        <is>
          <t>15-110522-02</t>
        </is>
      </c>
      <c r="N1362" s="43" t="inlineStr"/>
      <c r="O1362" s="43" t="inlineStr">
        <is>
          <t>2026-10-27</t>
        </is>
      </c>
      <c r="P1362" s="33" t="inlineStr">
        <is>
          <t>For temporary Manufacturing process change</t>
        </is>
      </c>
      <c r="Q1362" s="43" t="inlineStr">
        <is>
          <t>No marking needed as Cesium will record the CPNs used.</t>
        </is>
      </c>
      <c r="R1362" s="43" t="inlineStr">
        <is>
          <t>2026-07-30</t>
        </is>
      </c>
      <c r="S1362" s="43" t="inlineStr">
        <is>
          <t>2026-08-29</t>
        </is>
      </c>
      <c r="T1362" s="43" t="inlineStr"/>
      <c r="U1362" s="43" t="inlineStr"/>
    </row>
    <row r="1363">
      <c r="A1363" s="43" t="n">
        <v>1363</v>
      </c>
      <c r="B1363" s="43" t="inlineStr">
        <is>
          <t>1362</t>
        </is>
      </c>
      <c r="C1363" s="43" t="inlineStr">
        <is>
          <t>FJZP</t>
        </is>
      </c>
      <c r="D1363" s="43" t="inlineStr">
        <is>
          <t>Cisco</t>
        </is>
      </c>
      <c r="E1363" s="43" t="inlineStr">
        <is>
          <t>MCGA</t>
        </is>
      </c>
      <c r="F1363" s="43" t="inlineStr">
        <is>
          <t>035-CVEBU</t>
        </is>
      </c>
      <c r="G1363" s="43" t="inlineStr">
        <is>
          <t>CTANJZ05408</t>
        </is>
      </c>
      <c r="H1363" s="43" t="inlineStr">
        <is>
          <t>For temporary Manufacturing process change</t>
        </is>
      </c>
      <c r="I1363" s="43" t="inlineStr">
        <is>
          <t>Customer Deviation</t>
        </is>
      </c>
      <c r="J1363" s="43" t="inlineStr">
        <is>
          <t>D613038</t>
        </is>
      </c>
      <c r="K1363"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L1363" s="43" t="inlineStr">
        <is>
          <t>FAI Status</t>
        </is>
      </c>
      <c r="M1363" s="43" t="inlineStr">
        <is>
          <t>68-104853-01</t>
        </is>
      </c>
      <c r="N1363" s="43" t="inlineStr"/>
      <c r="O1363" s="43" t="inlineStr">
        <is>
          <t>2026-10-27</t>
        </is>
      </c>
      <c r="P1363" s="33" t="inlineStr">
        <is>
          <t>For temporary Manufacturing process change</t>
        </is>
      </c>
      <c r="Q1363" s="43" t="inlineStr">
        <is>
          <t>No marking needed as Cesium will record the CPNs used.</t>
        </is>
      </c>
      <c r="R1363" s="43" t="inlineStr">
        <is>
          <t>2026-07-30</t>
        </is>
      </c>
      <c r="S1363" s="43" t="inlineStr">
        <is>
          <t>2026-08-29</t>
        </is>
      </c>
      <c r="T1363" s="43" t="inlineStr"/>
      <c r="U1363" s="43" t="inlineStr"/>
    </row>
    <row r="1364">
      <c r="A1364" s="43" t="n">
        <v>1364</v>
      </c>
      <c r="B1364" s="43" t="inlineStr">
        <is>
          <t>1363</t>
        </is>
      </c>
      <c r="C1364" s="43" t="inlineStr">
        <is>
          <t>FJZP</t>
        </is>
      </c>
      <c r="D1364" s="43" t="inlineStr">
        <is>
          <t>Cisco</t>
        </is>
      </c>
      <c r="E1364" s="43" t="inlineStr">
        <is>
          <t>MCGA</t>
        </is>
      </c>
      <c r="F1364" s="43" t="inlineStr">
        <is>
          <t>035-CVEBU</t>
        </is>
      </c>
      <c r="G1364" s="43" t="inlineStr">
        <is>
          <t>CTANJZ05408</t>
        </is>
      </c>
      <c r="H1364" s="43" t="inlineStr">
        <is>
          <t>For temporary Manufacturing process change</t>
        </is>
      </c>
      <c r="I1364" s="43" t="inlineStr">
        <is>
          <t>Customer Deviation</t>
        </is>
      </c>
      <c r="J1364" s="43" t="inlineStr">
        <is>
          <t>D613038</t>
        </is>
      </c>
      <c r="K1364"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L1364" s="43" t="inlineStr">
        <is>
          <t>FAI Status</t>
        </is>
      </c>
      <c r="M1364" s="43" t="inlineStr">
        <is>
          <t>68-104854-01</t>
        </is>
      </c>
      <c r="N1364" s="43" t="inlineStr"/>
      <c r="O1364" s="43" t="inlineStr">
        <is>
          <t>2026-10-27</t>
        </is>
      </c>
      <c r="P1364" s="33" t="inlineStr">
        <is>
          <t>For temporary Manufacturing process change</t>
        </is>
      </c>
      <c r="Q1364" s="43" t="inlineStr">
        <is>
          <t>No marking needed as Cesium will record the CPNs used.</t>
        </is>
      </c>
      <c r="R1364" s="43" t="inlineStr">
        <is>
          <t>2026-07-30</t>
        </is>
      </c>
      <c r="S1364" s="43" t="inlineStr">
        <is>
          <t>2026-08-29</t>
        </is>
      </c>
      <c r="T1364" s="43" t="inlineStr"/>
      <c r="U1364" s="43" t="inlineStr"/>
    </row>
    <row r="1365">
      <c r="A1365" s="43" t="n">
        <v>1365</v>
      </c>
      <c r="B1365" s="43" t="inlineStr">
        <is>
          <t>1364</t>
        </is>
      </c>
      <c r="C1365" s="43" t="inlineStr">
        <is>
          <t>FJZP</t>
        </is>
      </c>
      <c r="D1365" s="43" t="inlineStr">
        <is>
          <t>Cisco</t>
        </is>
      </c>
      <c r="E1365" s="43" t="inlineStr">
        <is>
          <t>MCGA</t>
        </is>
      </c>
      <c r="F1365" s="43" t="inlineStr">
        <is>
          <t>035-CVEBU</t>
        </is>
      </c>
      <c r="G1365" s="43" t="inlineStr">
        <is>
          <t>CTANJZ05408</t>
        </is>
      </c>
      <c r="H1365" s="43" t="inlineStr">
        <is>
          <t>For temporary Manufacturing process change</t>
        </is>
      </c>
      <c r="I1365" s="43" t="inlineStr">
        <is>
          <t>Customer Deviation</t>
        </is>
      </c>
      <c r="J1365" s="43" t="inlineStr">
        <is>
          <t>D613038</t>
        </is>
      </c>
      <c r="K1365"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L1365" s="43" t="inlineStr">
        <is>
          <t>FAI Status</t>
        </is>
      </c>
      <c r="M1365" s="43" t="inlineStr">
        <is>
          <t>73-103720-04</t>
        </is>
      </c>
      <c r="N1365" s="43" t="inlineStr"/>
      <c r="O1365" s="43" t="inlineStr">
        <is>
          <t>2026-10-27</t>
        </is>
      </c>
      <c r="P1365" s="33" t="inlineStr">
        <is>
          <t>For temporary Manufacturing process change</t>
        </is>
      </c>
      <c r="Q1365" s="43" t="inlineStr">
        <is>
          <t>No marking needed as Cesium will record the CPNs used.</t>
        </is>
      </c>
      <c r="R1365" s="43" t="inlineStr">
        <is>
          <t>2026-07-30</t>
        </is>
      </c>
      <c r="S1365" s="43" t="inlineStr">
        <is>
          <t>2026-08-29</t>
        </is>
      </c>
      <c r="T1365" s="43" t="inlineStr"/>
      <c r="U1365" s="43" t="inlineStr"/>
    </row>
    <row r="1366">
      <c r="A1366" s="43" t="n">
        <v>1366</v>
      </c>
      <c r="B1366" s="43" t="inlineStr">
        <is>
          <t>1365</t>
        </is>
      </c>
      <c r="C1366" s="43" t="inlineStr">
        <is>
          <t>FJZP</t>
        </is>
      </c>
      <c r="D1366" s="43" t="inlineStr">
        <is>
          <t>Cisco</t>
        </is>
      </c>
      <c r="E1366" s="43" t="inlineStr">
        <is>
          <t>MCGA</t>
        </is>
      </c>
      <c r="F1366" s="43" t="inlineStr">
        <is>
          <t>035-CVEBU</t>
        </is>
      </c>
      <c r="G1366" s="43" t="inlineStr">
        <is>
          <t>CTANJZ05408</t>
        </is>
      </c>
      <c r="H1366" s="43" t="inlineStr">
        <is>
          <t>For temporary Manufacturing process change</t>
        </is>
      </c>
      <c r="I1366" s="43" t="inlineStr">
        <is>
          <t>Customer Deviation</t>
        </is>
      </c>
      <c r="J1366" s="43" t="inlineStr">
        <is>
          <t>D613038</t>
        </is>
      </c>
      <c r="K1366"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L1366" s="43" t="inlineStr">
        <is>
          <t>FAI Status</t>
        </is>
      </c>
      <c r="M1366" s="43" t="inlineStr">
        <is>
          <t>73-103820-04</t>
        </is>
      </c>
      <c r="N1366" s="43" t="inlineStr"/>
      <c r="O1366" s="43" t="inlineStr">
        <is>
          <t>2026-10-27</t>
        </is>
      </c>
      <c r="P1366" s="33" t="inlineStr">
        <is>
          <t>For temporary Manufacturing process change</t>
        </is>
      </c>
      <c r="Q1366" s="43" t="inlineStr">
        <is>
          <t>No marking needed as Cesium will record the CPNs used.</t>
        </is>
      </c>
      <c r="R1366" s="43" t="inlineStr">
        <is>
          <t>2026-07-30</t>
        </is>
      </c>
      <c r="S1366" s="43" t="inlineStr">
        <is>
          <t>2026-08-29</t>
        </is>
      </c>
      <c r="T1366" s="43" t="inlineStr"/>
      <c r="U1366" s="43" t="inlineStr"/>
    </row>
    <row r="1367">
      <c r="A1367" s="43" t="n">
        <v>1367</v>
      </c>
      <c r="B1367" s="43" t="inlineStr">
        <is>
          <t>1366</t>
        </is>
      </c>
      <c r="C1367" s="43" t="inlineStr">
        <is>
          <t>FJZP</t>
        </is>
      </c>
      <c r="D1367" s="43" t="inlineStr">
        <is>
          <t>Cisco</t>
        </is>
      </c>
      <c r="E1367" s="43" t="inlineStr">
        <is>
          <t>MCGA</t>
        </is>
      </c>
      <c r="F1367" s="43" t="inlineStr">
        <is>
          <t>037-STBU</t>
        </is>
      </c>
      <c r="G1367" s="43" t="inlineStr">
        <is>
          <t>CTANJZ05215</t>
        </is>
      </c>
      <c r="H1367" s="43" t="inlineStr">
        <is>
          <t>For temporary Manufacturing process change</t>
        </is>
      </c>
      <c r="I1367" s="43" t="inlineStr">
        <is>
          <t>Customer Deviation</t>
        </is>
      </c>
      <c r="J1367" s="43" t="inlineStr">
        <is>
          <t>D610740</t>
        </is>
      </c>
      <c r="K1367" s="33" t="inlineStr">
        <is>
          <t>D610740 his deviation allows FJZ to use CPN 15-109516-01 in substitute of 15-107676-01 (Hynix -"HMAG94DXNRB204N / HMAG94DXNRB205N and MICRON -MTA36ASF8G72PZ-3G2F1; MTA36ASF8G72PZ-3G2E1) for FPR3120/FPR3140 and CSF4225/CSF4245 Units that are short materialInstructions:1. FJZ needs to override the 15-109516-01 for 15-107676-01 in the Auto DIMM machine2. Place deviation label in visible area of the board3. Deviation labels MUST be scanned at PCBP2 for traceability</t>
        </is>
      </c>
      <c r="L1367" s="43" t="inlineStr">
        <is>
          <t>Expired</t>
        </is>
      </c>
      <c r="M1367" s="43" t="inlineStr">
        <is>
          <t>15-109516-01</t>
        </is>
      </c>
      <c r="N1367" s="43" t="inlineStr"/>
      <c r="O1367" s="43" t="inlineStr">
        <is>
          <t>2026-07-19</t>
        </is>
      </c>
      <c r="P1367" s="33" t="inlineStr">
        <is>
          <t>For temporary Manufacturing process change</t>
        </is>
      </c>
      <c r="Q1367" s="43" t="inlineStr">
        <is>
          <t>1. FJZ needs to override the 15-109516-01 for 15-107676-01 in the Auto DIMM machine 2. Place deviation label in visible area of the board 3. Deviation labels MUST be scanned at PCBP2 for traceability</t>
        </is>
      </c>
      <c r="R1367" s="43" t="inlineStr">
        <is>
          <t>2026-04-21</t>
        </is>
      </c>
      <c r="S1367" s="43" t="inlineStr">
        <is>
          <t>2026-05-19</t>
        </is>
      </c>
      <c r="T1367" s="43" t="inlineStr"/>
      <c r="U1367" s="43" t="inlineStr"/>
    </row>
    <row r="1368">
      <c r="A1368" s="43" t="n">
        <v>1368</v>
      </c>
      <c r="B1368" s="43" t="inlineStr">
        <is>
          <t>1367</t>
        </is>
      </c>
      <c r="C1368" s="43" t="inlineStr">
        <is>
          <t>FJZP</t>
        </is>
      </c>
      <c r="D1368" s="43" t="inlineStr">
        <is>
          <t>Cisco</t>
        </is>
      </c>
      <c r="E1368" s="43" t="inlineStr">
        <is>
          <t>MCGA</t>
        </is>
      </c>
      <c r="F1368" s="43" t="inlineStr">
        <is>
          <t>037-STBU</t>
        </is>
      </c>
      <c r="G1368" s="43" t="inlineStr">
        <is>
          <t>CTANJZ05215</t>
        </is>
      </c>
      <c r="H1368" s="43" t="inlineStr">
        <is>
          <t>For temporary Manufacturing process change</t>
        </is>
      </c>
      <c r="I1368" s="43" t="inlineStr">
        <is>
          <t>Customer Deviation</t>
        </is>
      </c>
      <c r="J1368" s="43" t="inlineStr">
        <is>
          <t>D610740</t>
        </is>
      </c>
      <c r="K1368" s="33" t="inlineStr">
        <is>
          <t>D610740 his deviation allows FJZ to use CPN 15-109516-01 in substitute of 15-107676-01 (Hynix -"HMAG94DXNRB204N / HMAG94DXNRB205N and MICRON -MTA36ASF8G72PZ-3G2F1; MTA36ASF8G72PZ-3G2E1) for FPR3120/FPR3140 and CSF4225/CSF4245 Units that are short materialInstructions:1. FJZ needs to override the 15-109516-01 for 15-107676-01 in the Auto DIMM machine2. Place deviation label in visible area of the board3. Deviation labels MUST be scanned at PCBP2 for traceability</t>
        </is>
      </c>
      <c r="L1368" s="43" t="inlineStr">
        <is>
          <t>Expired</t>
        </is>
      </c>
      <c r="M1368" s="43" t="inlineStr">
        <is>
          <t>68-103465-06</t>
        </is>
      </c>
      <c r="N1368" s="43" t="inlineStr"/>
      <c r="O1368" s="43" t="inlineStr">
        <is>
          <t>2026-07-19</t>
        </is>
      </c>
      <c r="P1368" s="33" t="inlineStr">
        <is>
          <t>For temporary Manufacturing process change</t>
        </is>
      </c>
      <c r="Q1368" s="43" t="inlineStr">
        <is>
          <t>1. FJZ needs to override the 15-109516-01 for 15-107676-01 in the Auto DIMM machine 2. Place deviation label in visible area of the board 3. Deviation labels MUST be scanned at PCBP2 for traceability</t>
        </is>
      </c>
      <c r="R1368" s="43" t="inlineStr">
        <is>
          <t>2026-04-21</t>
        </is>
      </c>
      <c r="S1368" s="43" t="inlineStr">
        <is>
          <t>2026-05-19</t>
        </is>
      </c>
      <c r="T1368" s="43" t="inlineStr"/>
      <c r="U1368" s="43" t="inlineStr"/>
    </row>
    <row r="1369">
      <c r="A1369" s="43" t="n">
        <v>1369</v>
      </c>
      <c r="B1369" s="43" t="inlineStr">
        <is>
          <t>1368</t>
        </is>
      </c>
      <c r="C1369" s="43" t="inlineStr">
        <is>
          <t>FJZP</t>
        </is>
      </c>
      <c r="D1369" s="43" t="inlineStr">
        <is>
          <t>Cisco</t>
        </is>
      </c>
      <c r="E1369" s="43" t="inlineStr">
        <is>
          <t>MCGA</t>
        </is>
      </c>
      <c r="F1369" s="43" t="inlineStr">
        <is>
          <t>037-STBU</t>
        </is>
      </c>
      <c r="G1369" s="43" t="inlineStr">
        <is>
          <t>CTANJZ05215</t>
        </is>
      </c>
      <c r="H1369" s="43" t="inlineStr">
        <is>
          <t>For temporary Manufacturing process change</t>
        </is>
      </c>
      <c r="I1369" s="43" t="inlineStr">
        <is>
          <t>Customer Deviation</t>
        </is>
      </c>
      <c r="J1369" s="43" t="inlineStr">
        <is>
          <t>D610740</t>
        </is>
      </c>
      <c r="K1369" s="33" t="inlineStr">
        <is>
          <t>D610740 his deviation allows FJZ to use CPN 15-109516-01 in substitute of 15-107676-01 (Hynix -"HMAG94DXNRB204N / HMAG94DXNRB205N and MICRON -MTA36ASF8G72PZ-3G2F1; MTA36ASF8G72PZ-3G2E1) for FPR3120/FPR3140 and CSF4225/CSF4245 Units that are short materialInstructions:1. FJZ needs to override the 15-109516-01 for 15-107676-01 in the Auto DIMM machine2. Place deviation label in visible area of the board3. Deviation labels MUST be scanned at PCBP2 for traceability</t>
        </is>
      </c>
      <c r="L1369" s="43" t="inlineStr">
        <is>
          <t>Expired</t>
        </is>
      </c>
      <c r="M1369" s="43" t="inlineStr">
        <is>
          <t>68-103466-06</t>
        </is>
      </c>
      <c r="N1369" s="43" t="inlineStr"/>
      <c r="O1369" s="43" t="inlineStr">
        <is>
          <t>2026-07-19</t>
        </is>
      </c>
      <c r="P1369" s="33" t="inlineStr">
        <is>
          <t>For temporary Manufacturing process change</t>
        </is>
      </c>
      <c r="Q1369" s="43" t="inlineStr">
        <is>
          <t>1. FJZ needs to override the 15-109516-01 for 15-107676-01 in the Auto DIMM machine 2. Place deviation label in visible area of the board 3. Deviation labels MUST be scanned at PCBP2 for traceability</t>
        </is>
      </c>
      <c r="R1369" s="43" t="inlineStr">
        <is>
          <t>2026-04-21</t>
        </is>
      </c>
      <c r="S1369" s="43" t="inlineStr">
        <is>
          <t>2026-05-19</t>
        </is>
      </c>
      <c r="T1369" s="43" t="inlineStr"/>
      <c r="U1369" s="43" t="inlineStr"/>
    </row>
    <row r="1370">
      <c r="A1370" s="43" t="n">
        <v>1370</v>
      </c>
      <c r="B1370" s="43" t="inlineStr">
        <is>
          <t>1369</t>
        </is>
      </c>
      <c r="C1370" s="43" t="inlineStr">
        <is>
          <t>FJZP</t>
        </is>
      </c>
      <c r="D1370" s="43" t="inlineStr">
        <is>
          <t>Cisco</t>
        </is>
      </c>
      <c r="E1370" s="43" t="inlineStr">
        <is>
          <t>MCGA</t>
        </is>
      </c>
      <c r="F1370" s="43" t="inlineStr">
        <is>
          <t>037-STBU</t>
        </is>
      </c>
      <c r="G1370" s="43" t="inlineStr">
        <is>
          <t>CTANJZ05215</t>
        </is>
      </c>
      <c r="H1370" s="43" t="inlineStr">
        <is>
          <t>For temporary Manufacturing process change</t>
        </is>
      </c>
      <c r="I1370" s="43" t="inlineStr">
        <is>
          <t>Customer Deviation</t>
        </is>
      </c>
      <c r="J1370" s="43" t="inlineStr">
        <is>
          <t>D610740</t>
        </is>
      </c>
      <c r="K1370" s="33" t="inlineStr">
        <is>
          <t>D610740 his deviation allows FJZ to use CPN 15-109516-01 in substitute of 15-107676-01 (Hynix -"HMAG94DXNRB204N / HMAG94DXNRB205N and MICRON -MTA36ASF8G72PZ-3G2F1; MTA36ASF8G72PZ-3G2E1) for FPR3120/FPR3140 and CSF4225/CSF4245 Units that are short materialInstructions:1. FJZ needs to override the 15-109516-01 for 15-107676-01 in the Auto DIMM machine2. Place deviation label in visible area of the board3. Deviation labels MUST be scanned at PCBP2 for traceability</t>
        </is>
      </c>
      <c r="L1370" s="43" t="inlineStr">
        <is>
          <t>Expired</t>
        </is>
      </c>
      <c r="M1370" s="43" t="inlineStr">
        <is>
          <t>68-7254-05</t>
        </is>
      </c>
      <c r="N1370" s="43" t="inlineStr"/>
      <c r="O1370" s="43" t="inlineStr">
        <is>
          <t>2026-07-19</t>
        </is>
      </c>
      <c r="P1370" s="33" t="inlineStr">
        <is>
          <t>For temporary Manufacturing process change</t>
        </is>
      </c>
      <c r="Q1370" s="43" t="inlineStr">
        <is>
          <t>1. FJZ needs to override the 15-109516-01 for 15-107676-01 in the Auto DIMM machine 2. Place deviation label in visible area of the board 3. Deviation labels MUST be scanned at PCBP2 for traceability</t>
        </is>
      </c>
      <c r="R1370" s="43" t="inlineStr">
        <is>
          <t>2026-04-21</t>
        </is>
      </c>
      <c r="S1370" s="43" t="inlineStr">
        <is>
          <t>2026-05-19</t>
        </is>
      </c>
      <c r="T1370" s="43" t="inlineStr"/>
      <c r="U1370" s="43" t="inlineStr"/>
    </row>
    <row r="1371">
      <c r="A1371" s="43" t="n">
        <v>1371</v>
      </c>
      <c r="B1371" s="43" t="inlineStr">
        <is>
          <t>1370</t>
        </is>
      </c>
      <c r="C1371" s="43" t="inlineStr">
        <is>
          <t>FJZP</t>
        </is>
      </c>
      <c r="D1371" s="43" t="inlineStr">
        <is>
          <t>Cisco</t>
        </is>
      </c>
      <c r="E1371" s="43" t="inlineStr">
        <is>
          <t>MCGA</t>
        </is>
      </c>
      <c r="F1371" s="43" t="inlineStr">
        <is>
          <t>037-STBU</t>
        </is>
      </c>
      <c r="G1371" s="43" t="inlineStr">
        <is>
          <t>CTANJZ05215</t>
        </is>
      </c>
      <c r="H1371" s="43" t="inlineStr">
        <is>
          <t>For temporary Manufacturing process change</t>
        </is>
      </c>
      <c r="I1371" s="43" t="inlineStr">
        <is>
          <t>Customer Deviation</t>
        </is>
      </c>
      <c r="J1371" s="43" t="inlineStr">
        <is>
          <t>D610740</t>
        </is>
      </c>
      <c r="K1371" s="33" t="inlineStr">
        <is>
          <t>D610740 his deviation allows FJZ to use CPN 15-109516-01 in substitute of 15-107676-01 (Hynix -"HMAG94DXNRB204N / HMAG94DXNRB205N and MICRON -MTA36ASF8G72PZ-3G2F1; MTA36ASF8G72PZ-3G2E1) for FPR3120/FPR3140 and CSF4225/CSF4245 Units that are short materialInstructions:1. FJZ needs to override the 15-109516-01 for 15-107676-01 in the Auto DIMM machine2. Place deviation label in visible area of the board3. Deviation labels MUST be scanned at PCBP2 for traceability</t>
        </is>
      </c>
      <c r="L1371" s="43" t="inlineStr">
        <is>
          <t>Expired</t>
        </is>
      </c>
      <c r="M1371" s="43" t="inlineStr">
        <is>
          <t>68-7256-05</t>
        </is>
      </c>
      <c r="N1371" s="43" t="inlineStr"/>
      <c r="O1371" s="43" t="inlineStr">
        <is>
          <t>2026-07-19</t>
        </is>
      </c>
      <c r="P1371" s="33" t="inlineStr">
        <is>
          <t>For temporary Manufacturing process change</t>
        </is>
      </c>
      <c r="Q1371" s="43" t="inlineStr">
        <is>
          <t>1. FJZ needs to override the 15-109516-01 for 15-107676-01 in the Auto DIMM machine 2. Place deviation label in visible area of the board 3. Deviation labels MUST be scanned at PCBP2 for traceability</t>
        </is>
      </c>
      <c r="R1371" s="43" t="inlineStr">
        <is>
          <t>2026-04-21</t>
        </is>
      </c>
      <c r="S1371" s="43" t="inlineStr">
        <is>
          <t>2026-05-19</t>
        </is>
      </c>
      <c r="T1371" s="43" t="inlineStr"/>
      <c r="U1371" s="43" t="inlineStr"/>
    </row>
    <row r="1372">
      <c r="A1372" s="43" t="n">
        <v>1372</v>
      </c>
      <c r="B1372" s="43" t="inlineStr">
        <is>
          <t>1371</t>
        </is>
      </c>
      <c r="C1372" s="43" t="inlineStr">
        <is>
          <t>FJZP</t>
        </is>
      </c>
      <c r="D1372" s="43" t="inlineStr">
        <is>
          <t>Cisco</t>
        </is>
      </c>
      <c r="E1372" s="43" t="inlineStr">
        <is>
          <t>MCGA</t>
        </is>
      </c>
      <c r="F1372" s="43" t="inlineStr">
        <is>
          <t>035-CVEBU</t>
        </is>
      </c>
      <c r="G1372" s="43" t="inlineStr">
        <is>
          <t>CTANJZ05408</t>
        </is>
      </c>
      <c r="H1372" s="43" t="inlineStr">
        <is>
          <t>For temporary Manufacturing process change</t>
        </is>
      </c>
      <c r="I1372" s="43" t="inlineStr">
        <is>
          <t>Customer Deviation</t>
        </is>
      </c>
      <c r="J1372" s="43" t="inlineStr">
        <is>
          <t>D613038</t>
        </is>
      </c>
      <c r="K1372"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L1372" s="43" t="inlineStr">
        <is>
          <t>FAI Status</t>
        </is>
      </c>
      <c r="M1372" s="43" t="inlineStr">
        <is>
          <t>800-113105-01</t>
        </is>
      </c>
      <c r="N1372" s="43" t="inlineStr"/>
      <c r="O1372" s="43" t="inlineStr">
        <is>
          <t>2026-10-27</t>
        </is>
      </c>
      <c r="P1372" s="33" t="inlineStr">
        <is>
          <t>For temporary Manufacturing process change</t>
        </is>
      </c>
      <c r="Q1372" s="43" t="inlineStr">
        <is>
          <t>No marking needed as Cesium will record the CPNs used.</t>
        </is>
      </c>
      <c r="R1372" s="43" t="inlineStr">
        <is>
          <t>2026-07-30</t>
        </is>
      </c>
      <c r="S1372" s="43" t="inlineStr">
        <is>
          <t>2026-08-29</t>
        </is>
      </c>
      <c r="T1372" s="43" t="inlineStr"/>
      <c r="U1372" s="43" t="inlineStr"/>
    </row>
    <row r="1373">
      <c r="A1373" s="43" t="n">
        <v>1373</v>
      </c>
      <c r="B1373" s="43" t="inlineStr">
        <is>
          <t>1372</t>
        </is>
      </c>
      <c r="C1373" s="43" t="inlineStr">
        <is>
          <t>FJZP</t>
        </is>
      </c>
      <c r="D1373" s="43" t="inlineStr">
        <is>
          <t>Cisco</t>
        </is>
      </c>
      <c r="E1373" s="43" t="inlineStr">
        <is>
          <t>MCGA</t>
        </is>
      </c>
      <c r="F1373" s="43" t="inlineStr">
        <is>
          <t>035-CVEBU</t>
        </is>
      </c>
      <c r="G1373" s="43" t="inlineStr">
        <is>
          <t>CTANJZ05408</t>
        </is>
      </c>
      <c r="H1373" s="43" t="inlineStr">
        <is>
          <t>For temporary Manufacturing process change</t>
        </is>
      </c>
      <c r="I1373" s="43" t="inlineStr">
        <is>
          <t>Customer Deviation</t>
        </is>
      </c>
      <c r="J1373" s="43" t="inlineStr">
        <is>
          <t>D613038</t>
        </is>
      </c>
      <c r="K1373"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L1373" s="43" t="inlineStr">
        <is>
          <t>FAI Status</t>
        </is>
      </c>
      <c r="M1373" s="43" t="inlineStr">
        <is>
          <t>800-113255-01</t>
        </is>
      </c>
      <c r="N1373" s="43" t="inlineStr"/>
      <c r="O1373" s="43" t="inlineStr">
        <is>
          <t>2026-10-27</t>
        </is>
      </c>
      <c r="P1373" s="33" t="inlineStr">
        <is>
          <t>For temporary Manufacturing process change</t>
        </is>
      </c>
      <c r="Q1373" s="43" t="inlineStr">
        <is>
          <t>No marking needed as Cesium will record the CPNs used.</t>
        </is>
      </c>
      <c r="R1373" s="43" t="inlineStr">
        <is>
          <t>2026-07-30</t>
        </is>
      </c>
      <c r="S1373" s="43" t="inlineStr">
        <is>
          <t>2026-08-29</t>
        </is>
      </c>
      <c r="T1373" s="43" t="inlineStr"/>
      <c r="U1373" s="43" t="inlineStr"/>
    </row>
    <row r="1374">
      <c r="A1374" s="43" t="n">
        <v>1374</v>
      </c>
      <c r="B1374" s="43" t="inlineStr">
        <is>
          <t>1373</t>
        </is>
      </c>
      <c r="C1374" s="43" t="inlineStr">
        <is>
          <t>FJZP</t>
        </is>
      </c>
      <c r="D1374" s="43" t="inlineStr">
        <is>
          <t>Cisco</t>
        </is>
      </c>
      <c r="E1374" s="43" t="inlineStr">
        <is>
          <t>MCGA</t>
        </is>
      </c>
      <c r="F1374" s="43" t="inlineStr">
        <is>
          <t>035-CVEBU</t>
        </is>
      </c>
      <c r="G1374" s="43" t="inlineStr">
        <is>
          <t>CTANJZ05408</t>
        </is>
      </c>
      <c r="H1374" s="43" t="inlineStr">
        <is>
          <t>For temporary Manufacturing process change</t>
        </is>
      </c>
      <c r="I1374" s="43" t="inlineStr">
        <is>
          <t>Customer Deviation</t>
        </is>
      </c>
      <c r="J1374" s="43" t="inlineStr">
        <is>
          <t>D613038</t>
        </is>
      </c>
      <c r="K1374"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L1374" s="43" t="inlineStr">
        <is>
          <t>FAI Status</t>
        </is>
      </c>
      <c r="M1374" s="43" t="inlineStr">
        <is>
          <t>800-117978-03</t>
        </is>
      </c>
      <c r="N1374" s="43" t="inlineStr"/>
      <c r="O1374" s="43" t="inlineStr">
        <is>
          <t>2026-10-27</t>
        </is>
      </c>
      <c r="P1374" s="33" t="inlineStr">
        <is>
          <t>For temporary Manufacturing process change</t>
        </is>
      </c>
      <c r="Q1374" s="43" t="inlineStr">
        <is>
          <t>No marking needed as Cesium will record the CPNs used.</t>
        </is>
      </c>
      <c r="R1374" s="43" t="inlineStr">
        <is>
          <t>2026-07-30</t>
        </is>
      </c>
      <c r="S1374" s="43" t="inlineStr">
        <is>
          <t>2026-08-29</t>
        </is>
      </c>
      <c r="T1374" s="43" t="inlineStr"/>
      <c r="U1374" s="43" t="inlineStr"/>
    </row>
    <row r="1375">
      <c r="A1375" s="43" t="n">
        <v>1375</v>
      </c>
      <c r="B1375" s="43" t="inlineStr">
        <is>
          <t>1374</t>
        </is>
      </c>
      <c r="C1375" s="43" t="inlineStr">
        <is>
          <t>FJZP</t>
        </is>
      </c>
      <c r="D1375" s="43" t="inlineStr">
        <is>
          <t>Cisco</t>
        </is>
      </c>
      <c r="E1375" s="43" t="inlineStr">
        <is>
          <t>MCGA</t>
        </is>
      </c>
      <c r="F1375" s="43" t="inlineStr">
        <is>
          <t>035-CVEBU</t>
        </is>
      </c>
      <c r="G1375" s="43" t="inlineStr">
        <is>
          <t>CTANJZ05408</t>
        </is>
      </c>
      <c r="H1375" s="43" t="inlineStr">
        <is>
          <t>For temporary Manufacturing process change</t>
        </is>
      </c>
      <c r="I1375" s="43" t="inlineStr">
        <is>
          <t>Customer Deviation</t>
        </is>
      </c>
      <c r="J1375" s="43" t="inlineStr">
        <is>
          <t>D613038</t>
        </is>
      </c>
      <c r="K1375" s="33" t="inlineStr">
        <is>
          <t>D613038CVEBU; Tyne; Taylor High Module swap; from Micron to Hynix LPDDR5 version + broker buy usage.Affected items68-104853-01; ASY-ELMECH; Tyne Codec; Radio  68-104854-01; ASY-ELMECH; Tyne Codec; Non-Radio  800-117978-03; E/M_ASSY_MECH;TAYLOR HIGH MODULE;MICRON 16GB LPDDR5  - 73-103720-04; PCA;TAYLOR HIGH MODULE WITH MICRON 16GB LPDDR5    - 15-110522-01; IC-DRAM-D;LPDDR5;64Gb(1Gx64bits);3200MHz...;MICRON800-118978-03; E/M_ASSY_MECH;TAYLOR HIGH MODULE;HYNIX 16GB LPDDR5  - 73-103820-04; PCA;TAYLOR HIGH MODULE WITH HYNIX 16GB LPDDR5    - 15-110522-02; IC-DRAM-D;LPDDR5;64Gb(1Gx64bits);4266MHz....;HYNIXDeviation instruction- FJZ is hereby allowed to replace Taylor Module CPN 800-117978-03 with 800-118978-03 in both 68-104853-01 and 68-104854-01 TANs- FJZ is hereby allowed to use below parts from broker as 15-110522-02 in 73-103820-04:  - Broker Smith - MPN: H58G66BK8BX105N; 762 pcs  - Broker Rand - MPN: H58G66BK8QX105N; 9;000 pcsAdditional comments- 15-110522-02 can not replace 15-110522-01 without other PCBA BOM changes; hence the need to swap the entire module- Taylor High Modules 800-117978-03 and 800-118978-03 can be considered as qual and Tyne SW support both versions</t>
        </is>
      </c>
      <c r="L1375" s="43" t="inlineStr">
        <is>
          <t>FAI Status</t>
        </is>
      </c>
      <c r="M1375" s="43" t="inlineStr">
        <is>
          <t>800-118978-03</t>
        </is>
      </c>
      <c r="N1375" s="43" t="inlineStr"/>
      <c r="O1375" s="43" t="inlineStr">
        <is>
          <t>2026-10-27</t>
        </is>
      </c>
      <c r="P1375" s="33" t="inlineStr">
        <is>
          <t>For temporary Manufacturing process change</t>
        </is>
      </c>
      <c r="Q1375" s="43" t="inlineStr">
        <is>
          <t>No marking needed as Cesium will record the CPNs used.</t>
        </is>
      </c>
      <c r="R1375" s="43" t="inlineStr">
        <is>
          <t>2026-07-30</t>
        </is>
      </c>
      <c r="S1375" s="43" t="inlineStr">
        <is>
          <t>2026-08-29</t>
        </is>
      </c>
      <c r="T1375" s="43" t="inlineStr"/>
      <c r="U1375" s="43" t="inlineStr"/>
    </row>
    <row r="1376">
      <c r="A1376" s="43" t="n">
        <v>1376</v>
      </c>
      <c r="B1376" s="43" t="inlineStr">
        <is>
          <t>1375</t>
        </is>
      </c>
      <c r="C1376" s="43" t="inlineStr">
        <is>
          <t>FJZP</t>
        </is>
      </c>
      <c r="D1376" s="43" t="inlineStr">
        <is>
          <t>Cisco</t>
        </is>
      </c>
      <c r="E1376" s="43" t="inlineStr">
        <is>
          <t>MCGA</t>
        </is>
      </c>
      <c r="F1376" s="43" t="inlineStr">
        <is>
          <t>018-SRGBU</t>
        </is>
      </c>
      <c r="G1376" s="43" t="inlineStr">
        <is>
          <t>CTANJZ05406</t>
        </is>
      </c>
      <c r="H1376" s="43" t="inlineStr">
        <is>
          <t>For temporary Manufacturing process change</t>
        </is>
      </c>
      <c r="I1376" s="43" t="inlineStr">
        <is>
          <t>Customer Deviation</t>
        </is>
      </c>
      <c r="J1376" s="43" t="inlineStr">
        <is>
          <t>D612801</t>
        </is>
      </c>
      <c r="K1376" s="33" t="inlineStr">
        <is>
          <t>D612801 Allow Foxconn to program raw part 16-3635-01 with image 17-11551-05</t>
        </is>
      </c>
      <c r="L1376" s="43" t="inlineStr">
        <is>
          <t>FAI Status</t>
        </is>
      </c>
      <c r="M1376" s="43" t="inlineStr">
        <is>
          <t>17-11551-05</t>
        </is>
      </c>
      <c r="N1376" s="43" t="inlineStr"/>
      <c r="O1376" s="43" t="inlineStr">
        <is>
          <t>2026-10-25</t>
        </is>
      </c>
      <c r="P1376" s="33" t="inlineStr">
        <is>
          <t>For temporary Manufacturing process change</t>
        </is>
      </c>
      <c r="Q1376" s="43" t="inlineStr">
        <is>
          <t>Foxconn is to label each assembly that 17-11551-05 is place with the deviation number from this deviation</t>
        </is>
      </c>
      <c r="R1376" s="43" t="inlineStr">
        <is>
          <t>2026-07-28</t>
        </is>
      </c>
      <c r="S1376" s="43" t="inlineStr">
        <is>
          <t>2026-08-12</t>
        </is>
      </c>
      <c r="T1376" s="43" t="inlineStr"/>
      <c r="U1376" s="43" t="inlineStr"/>
    </row>
    <row r="1377">
      <c r="A1377" s="43" t="n">
        <v>1377</v>
      </c>
      <c r="B1377" s="43" t="inlineStr">
        <is>
          <t>1376</t>
        </is>
      </c>
      <c r="C1377" s="43" t="inlineStr">
        <is>
          <t>FJZP</t>
        </is>
      </c>
      <c r="D1377" s="43" t="inlineStr">
        <is>
          <t>Cisco</t>
        </is>
      </c>
      <c r="E1377" s="43" t="inlineStr">
        <is>
          <t>MCGA</t>
        </is>
      </c>
      <c r="F1377" s="43" t="inlineStr">
        <is>
          <t>018-SRGBU</t>
        </is>
      </c>
      <c r="G1377" s="43" t="inlineStr">
        <is>
          <t>CTANJZ05406</t>
        </is>
      </c>
      <c r="H1377" s="43" t="inlineStr">
        <is>
          <t>For temporary Manufacturing process change</t>
        </is>
      </c>
      <c r="I1377" s="43" t="inlineStr">
        <is>
          <t>Customer Deviation</t>
        </is>
      </c>
      <c r="J1377" s="43" t="inlineStr">
        <is>
          <t>D612801</t>
        </is>
      </c>
      <c r="K1377" s="33" t="inlineStr">
        <is>
          <t>D612801 Allow Foxconn to program raw part 16-3635-01 with image 17-11551-05</t>
        </is>
      </c>
      <c r="L1377" s="43" t="inlineStr">
        <is>
          <t>FAI Status</t>
        </is>
      </c>
      <c r="M1377" s="43" t="inlineStr">
        <is>
          <t>73-14506-08</t>
        </is>
      </c>
      <c r="N1377" s="43" t="inlineStr"/>
      <c r="O1377" s="43" t="inlineStr">
        <is>
          <t>2026-10-25</t>
        </is>
      </c>
      <c r="P1377" s="33" t="inlineStr">
        <is>
          <t>For temporary Manufacturing process change</t>
        </is>
      </c>
      <c r="Q1377" s="43" t="inlineStr">
        <is>
          <t>Foxconn is to label each assembly that 17-11551-05 is place with the deviation number from this deviation</t>
        </is>
      </c>
      <c r="R1377" s="43" t="inlineStr">
        <is>
          <t>2026-07-28</t>
        </is>
      </c>
      <c r="S1377" s="43" t="inlineStr">
        <is>
          <t>2026-08-12</t>
        </is>
      </c>
      <c r="T1377" s="43" t="inlineStr"/>
      <c r="U1377" s="43" t="inlineStr"/>
    </row>
    <row r="1378">
      <c r="A1378" s="43" t="n">
        <v>1378</v>
      </c>
      <c r="B1378" s="43" t="inlineStr">
        <is>
          <t>1377</t>
        </is>
      </c>
      <c r="C1378" s="43" t="inlineStr">
        <is>
          <t>FJZP</t>
        </is>
      </c>
      <c r="D1378" s="43" t="inlineStr">
        <is>
          <t>Cisco</t>
        </is>
      </c>
      <c r="E1378" s="43" t="inlineStr">
        <is>
          <t>MCGA</t>
        </is>
      </c>
      <c r="F1378" s="43" t="inlineStr">
        <is>
          <t>035-CVEBU</t>
        </is>
      </c>
      <c r="G1378" s="43" t="inlineStr">
        <is>
          <t>CTANJZ05520</t>
        </is>
      </c>
      <c r="H1378" s="43" t="inlineStr">
        <is>
          <t>For temporary Manufacturing process change</t>
        </is>
      </c>
      <c r="I1378" s="43" t="inlineStr">
        <is>
          <t>Customer Deviation</t>
        </is>
      </c>
      <c r="J1378" s="43" t="inlineStr">
        <is>
          <t>D614397</t>
        </is>
      </c>
      <c r="K1378" s="33" t="inlineStr">
        <is>
          <t>D614397 CVEBU; Millennium; Davinci; Brooklyn:  Allow FJZ to use 16-101838-01 with DC2203 &amp; DC2218. older than 2 YearRun N= 10 pcs of the DC2203 and N=10 pcs of the DC2218. perform the solderability tests and provide Cisco ME the resultsSolderability test needs to be provided before to use the material in sustaining builds.</t>
        </is>
      </c>
      <c r="L1378" s="43" t="inlineStr">
        <is>
          <t>CCB</t>
        </is>
      </c>
      <c r="M1378" s="43" t="inlineStr">
        <is>
          <t>16-101838-01</t>
        </is>
      </c>
      <c r="N1378" s="43" t="inlineStr"/>
      <c r="O1378" s="43" t="inlineStr">
        <is>
          <t>2027-01-05</t>
        </is>
      </c>
      <c r="P1378" s="33" t="inlineStr">
        <is>
          <t>For temporary Manufacturing process change</t>
        </is>
      </c>
      <c r="Q1378" s="43" t="inlineStr">
        <is>
          <t>Add a small label  with the deviation number Track the Sn used as solderability test an share to ME</t>
        </is>
      </c>
      <c r="R1378" s="43" t="inlineStr">
        <is>
          <t>2026-10-08</t>
        </is>
      </c>
      <c r="S1378" s="43" t="inlineStr"/>
      <c r="T1378" s="43" t="inlineStr"/>
      <c r="U1378" s="43" t="inlineStr"/>
    </row>
    <row r="1379">
      <c r="A1379" s="43" t="n">
        <v>1379</v>
      </c>
      <c r="B1379" s="43" t="inlineStr">
        <is>
          <t>1378</t>
        </is>
      </c>
      <c r="C1379" s="43" t="inlineStr">
        <is>
          <t>FJZP</t>
        </is>
      </c>
      <c r="D1379" s="43" t="inlineStr">
        <is>
          <t>Cisco</t>
        </is>
      </c>
      <c r="E1379" s="43" t="inlineStr">
        <is>
          <t>MCGA</t>
        </is>
      </c>
      <c r="F1379" s="43" t="inlineStr">
        <is>
          <t>035-CVEBU</t>
        </is>
      </c>
      <c r="G1379" s="43" t="inlineStr">
        <is>
          <t>CTANJZ05520</t>
        </is>
      </c>
      <c r="H1379" s="43" t="inlineStr">
        <is>
          <t>For temporary Manufacturing process change</t>
        </is>
      </c>
      <c r="I1379" s="43" t="inlineStr">
        <is>
          <t>Customer Deviation</t>
        </is>
      </c>
      <c r="J1379" s="43" t="inlineStr">
        <is>
          <t>D614397</t>
        </is>
      </c>
      <c r="K1379" s="33" t="inlineStr">
        <is>
          <t>D614397 CVEBU; Millennium; Davinci; Brooklyn:  Allow FJZ to use 16-101838-01 with DC2203 &amp; DC2218. older than 2 YearRun N= 10 pcs of the DC2203 and N=10 pcs of the DC2218. perform the solderability tests and provide Cisco ME the resultsSolderability test needs to be provided before to use the material in sustaining builds.</t>
        </is>
      </c>
      <c r="L1379" s="43" t="inlineStr">
        <is>
          <t>CCB</t>
        </is>
      </c>
      <c r="M1379" s="43" t="inlineStr">
        <is>
          <t>73-102226-06</t>
        </is>
      </c>
      <c r="N1379" s="43" t="inlineStr"/>
      <c r="O1379" s="43" t="inlineStr">
        <is>
          <t>2027-01-05</t>
        </is>
      </c>
      <c r="P1379" s="33" t="inlineStr">
        <is>
          <t>For temporary Manufacturing process change</t>
        </is>
      </c>
      <c r="Q1379" s="43" t="inlineStr">
        <is>
          <t>Add a small label  with the deviation number Track the Sn used as solderability test an share to ME</t>
        </is>
      </c>
      <c r="R1379" s="43" t="inlineStr">
        <is>
          <t>2026-10-08</t>
        </is>
      </c>
      <c r="S1379" s="43" t="inlineStr"/>
      <c r="T1379" s="43" t="inlineStr"/>
      <c r="U1379" s="43" t="inlineStr"/>
    </row>
    <row r="1380">
      <c r="A1380" s="43" t="n">
        <v>1380</v>
      </c>
      <c r="B1380" s="43" t="inlineStr">
        <is>
          <t>1379</t>
        </is>
      </c>
      <c r="C1380" s="43" t="inlineStr">
        <is>
          <t>FJZP</t>
        </is>
      </c>
      <c r="D1380" s="43" t="inlineStr">
        <is>
          <t>Cisco</t>
        </is>
      </c>
      <c r="E1380" s="43" t="inlineStr">
        <is>
          <t>MCGA</t>
        </is>
      </c>
      <c r="F1380" s="43" t="inlineStr">
        <is>
          <t>035-CVEBU</t>
        </is>
      </c>
      <c r="G1380" s="43" t="inlineStr">
        <is>
          <t>CTANJZ05520</t>
        </is>
      </c>
      <c r="H1380" s="43" t="inlineStr">
        <is>
          <t>For temporary Manufacturing process change</t>
        </is>
      </c>
      <c r="I1380" s="43" t="inlineStr">
        <is>
          <t>Customer Deviation</t>
        </is>
      </c>
      <c r="J1380" s="43" t="inlineStr">
        <is>
          <t>D614397</t>
        </is>
      </c>
      <c r="K1380" s="33" t="inlineStr">
        <is>
          <t>D614397 CVEBU; Millennium; Davinci; Brooklyn:  Allow FJZ to use 16-101838-01 with DC2203 &amp; DC2218. older than 2 YearRun N= 10 pcs of the DC2203 and N=10 pcs of the DC2218. perform the solderability tests and provide Cisco ME the resultsSolderability test needs to be provided before to use the material in sustaining builds.</t>
        </is>
      </c>
      <c r="L1380" s="43" t="inlineStr">
        <is>
          <t>CCB</t>
        </is>
      </c>
      <c r="M1380" s="43" t="inlineStr">
        <is>
          <t>73-103226-06</t>
        </is>
      </c>
      <c r="N1380" s="43" t="inlineStr"/>
      <c r="O1380" s="43" t="inlineStr">
        <is>
          <t>2027-01-05</t>
        </is>
      </c>
      <c r="P1380" s="33" t="inlineStr">
        <is>
          <t>For temporary Manufacturing process change</t>
        </is>
      </c>
      <c r="Q1380" s="43" t="inlineStr">
        <is>
          <t>Add a small label  with the deviation number Track the Sn used as solderability test an share to ME</t>
        </is>
      </c>
      <c r="R1380" s="43" t="inlineStr">
        <is>
          <t>2026-10-08</t>
        </is>
      </c>
      <c r="S1380" s="43" t="inlineStr"/>
      <c r="T1380" s="43" t="inlineStr"/>
      <c r="U1380" s="43" t="inlineStr"/>
    </row>
    <row r="1381">
      <c r="A1381" s="43" t="n">
        <v>1381</v>
      </c>
      <c r="B1381" s="43" t="inlineStr">
        <is>
          <t>1380</t>
        </is>
      </c>
      <c r="C1381" s="43" t="inlineStr">
        <is>
          <t>FJZP</t>
        </is>
      </c>
      <c r="D1381" s="43" t="inlineStr">
        <is>
          <t>Cisco</t>
        </is>
      </c>
      <c r="E1381" s="43" t="inlineStr">
        <is>
          <t>MCGA</t>
        </is>
      </c>
      <c r="F1381" s="43" t="inlineStr">
        <is>
          <t>037-STBU</t>
        </is>
      </c>
      <c r="G1381" s="43" t="inlineStr">
        <is>
          <t>CTANJZ05400</t>
        </is>
      </c>
      <c r="H1381" s="43" t="inlineStr">
        <is>
          <t>For temporary Manufacturing process change</t>
        </is>
      </c>
      <c r="I1381" s="43" t="inlineStr">
        <is>
          <t>Customer Deviation</t>
        </is>
      </c>
      <c r="J1381" s="43" t="inlineStr">
        <is>
          <t>D612658</t>
        </is>
      </c>
      <c r="K1381" s="33" t="inlineStr">
        <is>
          <t>D612658 For CPN 16-4194-01; FJZ has new PR trigger to buy 1.5K; mainly driven by SUK. Demand within CT2R is covered and exceeded by 1K. In order to not make any purchase to increase excess; we allow FJZ to use the PN 16-102133-01 with MPN MT25QL128ABA1ESE-0SIT; which is the same as the original one</t>
        </is>
      </c>
      <c r="L1381" s="43" t="inlineStr">
        <is>
          <t>FAI Status</t>
        </is>
      </c>
      <c r="M1381" s="43" t="inlineStr">
        <is>
          <t>16-102133-01</t>
        </is>
      </c>
      <c r="N1381" s="43" t="inlineStr"/>
      <c r="O1381" s="43" t="inlineStr">
        <is>
          <t>2026-10-18</t>
        </is>
      </c>
      <c r="P1381" s="33" t="inlineStr">
        <is>
          <t>For temporary Manufacturing process change</t>
        </is>
      </c>
      <c r="Q1381" s="43" t="inlineStr">
        <is>
          <t>Perform a validation with this part and provide test logs from ICT; P2C and 2C to Cisco EPE and ME</t>
        </is>
      </c>
      <c r="R1381" s="43" t="inlineStr">
        <is>
          <t>2026-07-21</t>
        </is>
      </c>
      <c r="S1381" s="43" t="inlineStr">
        <is>
          <t>2026-08-08</t>
        </is>
      </c>
      <c r="T1381" s="43" t="inlineStr"/>
      <c r="U1381" s="43" t="inlineStr"/>
    </row>
    <row r="1382">
      <c r="A1382" s="43" t="n">
        <v>1382</v>
      </c>
      <c r="B1382" s="43" t="inlineStr">
        <is>
          <t>1381</t>
        </is>
      </c>
      <c r="C1382" s="43" t="inlineStr">
        <is>
          <t>FJZP</t>
        </is>
      </c>
      <c r="D1382" s="43" t="inlineStr">
        <is>
          <t>Cisco</t>
        </is>
      </c>
      <c r="E1382" s="43" t="inlineStr">
        <is>
          <t>MCGA</t>
        </is>
      </c>
      <c r="F1382" s="43" t="inlineStr">
        <is>
          <t>037-STBU</t>
        </is>
      </c>
      <c r="G1382" s="43" t="inlineStr">
        <is>
          <t>CTANJZ05400</t>
        </is>
      </c>
      <c r="H1382" s="43" t="inlineStr">
        <is>
          <t>For temporary Manufacturing process change</t>
        </is>
      </c>
      <c r="I1382" s="43" t="inlineStr">
        <is>
          <t>Customer Deviation</t>
        </is>
      </c>
      <c r="J1382" s="43" t="inlineStr">
        <is>
          <t>D612658</t>
        </is>
      </c>
      <c r="K1382" s="33" t="inlineStr">
        <is>
          <t>D612658 For CPN 16-4194-01; FJZ has new PR trigger to buy 1.5K; mainly driven by SUK. Demand within CT2R is covered and exceeded by 1K. In order to not make any purchase to increase excess; we allow FJZ to use the PN 16-102133-01 with MPN MT25QL128ABA1ESE-0SIT; which is the same as the original one</t>
        </is>
      </c>
      <c r="L1382" s="43" t="inlineStr">
        <is>
          <t>FAI Status</t>
        </is>
      </c>
      <c r="M1382" s="43" t="inlineStr">
        <is>
          <t>16-4194-01</t>
        </is>
      </c>
      <c r="N1382" s="43" t="inlineStr"/>
      <c r="O1382" s="43" t="inlineStr">
        <is>
          <t>2026-10-18</t>
        </is>
      </c>
      <c r="P1382" s="33" t="inlineStr">
        <is>
          <t>For temporary Manufacturing process change</t>
        </is>
      </c>
      <c r="Q1382" s="43" t="inlineStr">
        <is>
          <t>Perform a validation with this part and provide test logs from ICT; P2C and 2C to Cisco EPE and ME</t>
        </is>
      </c>
      <c r="R1382" s="43" t="inlineStr">
        <is>
          <t>2026-07-21</t>
        </is>
      </c>
      <c r="S1382" s="43" t="inlineStr">
        <is>
          <t>2026-08-08</t>
        </is>
      </c>
      <c r="T1382" s="43" t="inlineStr"/>
      <c r="U1382" s="43" t="inlineStr"/>
    </row>
    <row r="1383">
      <c r="A1383" s="43" t="n">
        <v>1383</v>
      </c>
      <c r="B1383" s="43" t="inlineStr">
        <is>
          <t>1382</t>
        </is>
      </c>
      <c r="C1383" s="43" t="inlineStr">
        <is>
          <t>FJZP</t>
        </is>
      </c>
      <c r="D1383" s="43" t="inlineStr">
        <is>
          <t>Cisco</t>
        </is>
      </c>
      <c r="E1383" s="43" t="inlineStr">
        <is>
          <t>MCGA</t>
        </is>
      </c>
      <c r="F1383" s="43" t="inlineStr">
        <is>
          <t>037-STBU</t>
        </is>
      </c>
      <c r="G1383" s="43" t="inlineStr">
        <is>
          <t>CTANJZ05400</t>
        </is>
      </c>
      <c r="H1383" s="43" t="inlineStr">
        <is>
          <t>For temporary Manufacturing process change</t>
        </is>
      </c>
      <c r="I1383" s="43" t="inlineStr">
        <is>
          <t>Customer Deviation</t>
        </is>
      </c>
      <c r="J1383" s="43" t="inlineStr">
        <is>
          <t>D612658</t>
        </is>
      </c>
      <c r="K1383" s="33" t="inlineStr">
        <is>
          <t>D612658 For CPN 16-4194-01; FJZ has new PR trigger to buy 1.5K; mainly driven by SUK. Demand within CT2R is covered and exceeded by 1K. In order to not make any purchase to increase excess; we allow FJZ to use the PN 16-102133-01 with MPN MT25QL128ABA1ESE-0SIT; which is the same as the original one</t>
        </is>
      </c>
      <c r="L1383" s="43" t="inlineStr">
        <is>
          <t>FAI Status</t>
        </is>
      </c>
      <c r="M1383" s="43" t="inlineStr">
        <is>
          <t>17-102460-06</t>
        </is>
      </c>
      <c r="N1383" s="43" t="inlineStr"/>
      <c r="O1383" s="43" t="inlineStr">
        <is>
          <t>2026-10-18</t>
        </is>
      </c>
      <c r="P1383" s="33" t="inlineStr">
        <is>
          <t>For temporary Manufacturing process change</t>
        </is>
      </c>
      <c r="Q1383" s="43" t="inlineStr">
        <is>
          <t>Perform a validation with this part and provide test logs from ICT; P2C and 2C to Cisco EPE and ME</t>
        </is>
      </c>
      <c r="R1383" s="43" t="inlineStr">
        <is>
          <t>2026-07-21</t>
        </is>
      </c>
      <c r="S1383" s="43" t="inlineStr">
        <is>
          <t>2026-08-08</t>
        </is>
      </c>
      <c r="T1383" s="43" t="inlineStr"/>
      <c r="U1383" s="43" t="inlineStr"/>
    </row>
    <row r="1384">
      <c r="A1384" s="43" t="n">
        <v>1384</v>
      </c>
      <c r="B1384" s="43" t="inlineStr">
        <is>
          <t>1383</t>
        </is>
      </c>
      <c r="C1384" s="43" t="inlineStr">
        <is>
          <t>FJZP</t>
        </is>
      </c>
      <c r="D1384" s="43" t="inlineStr">
        <is>
          <t>Cisco</t>
        </is>
      </c>
      <c r="E1384" s="43" t="inlineStr">
        <is>
          <t>MCGA</t>
        </is>
      </c>
      <c r="F1384" s="43" t="inlineStr">
        <is>
          <t>037-STBU</t>
        </is>
      </c>
      <c r="G1384" s="43" t="inlineStr">
        <is>
          <t>CTANJZ05400</t>
        </is>
      </c>
      <c r="H1384" s="43" t="inlineStr">
        <is>
          <t>For temporary Manufacturing process change</t>
        </is>
      </c>
      <c r="I1384" s="43" t="inlineStr">
        <is>
          <t>Customer Deviation</t>
        </is>
      </c>
      <c r="J1384" s="43" t="inlineStr">
        <is>
          <t>D612658</t>
        </is>
      </c>
      <c r="K1384" s="33" t="inlineStr">
        <is>
          <t>D612658 For CPN 16-4194-01; FJZ has new PR trigger to buy 1.5K; mainly driven by SUK. Demand within CT2R is covered and exceeded by 1K. In order to not make any purchase to increase excess; we allow FJZ to use the PN 16-102133-01 with MPN MT25QL128ABA1ESE-0SIT; which is the same as the original one</t>
        </is>
      </c>
      <c r="L1384" s="43" t="inlineStr">
        <is>
          <t>FAI Status</t>
        </is>
      </c>
      <c r="M1384" s="43" t="inlineStr">
        <is>
          <t>17-102461-06</t>
        </is>
      </c>
      <c r="N1384" s="43" t="inlineStr"/>
      <c r="O1384" s="43" t="inlineStr">
        <is>
          <t>2026-10-18</t>
        </is>
      </c>
      <c r="P1384" s="33" t="inlineStr">
        <is>
          <t>For temporary Manufacturing process change</t>
        </is>
      </c>
      <c r="Q1384" s="43" t="inlineStr">
        <is>
          <t>Perform a validation with this part and provide test logs from ICT; P2C and 2C to Cisco EPE and ME</t>
        </is>
      </c>
      <c r="R1384" s="43" t="inlineStr">
        <is>
          <t>2026-07-21</t>
        </is>
      </c>
      <c r="S1384" s="43" t="inlineStr">
        <is>
          <t>2026-08-08</t>
        </is>
      </c>
      <c r="T1384" s="43" t="inlineStr"/>
      <c r="U1384" s="43" t="inlineStr"/>
    </row>
    <row r="1385">
      <c r="A1385" s="43" t="n">
        <v>1385</v>
      </c>
      <c r="B1385" s="43" t="inlineStr">
        <is>
          <t>1384</t>
        </is>
      </c>
      <c r="C1385" s="43" t="inlineStr">
        <is>
          <t>FJZP</t>
        </is>
      </c>
      <c r="D1385" s="43" t="inlineStr">
        <is>
          <t>Cisco</t>
        </is>
      </c>
      <c r="E1385" s="43" t="inlineStr">
        <is>
          <t>MCGA</t>
        </is>
      </c>
      <c r="F1385" s="43" t="inlineStr">
        <is>
          <t>037-STBU</t>
        </is>
      </c>
      <c r="G1385" s="43" t="inlineStr">
        <is>
          <t>CTANJZ05400</t>
        </is>
      </c>
      <c r="H1385" s="43" t="inlineStr">
        <is>
          <t>For temporary Manufacturing process change</t>
        </is>
      </c>
      <c r="I1385" s="43" t="inlineStr">
        <is>
          <t>Customer Deviation</t>
        </is>
      </c>
      <c r="J1385" s="43" t="inlineStr">
        <is>
          <t>D612658</t>
        </is>
      </c>
      <c r="K1385" s="33" t="inlineStr">
        <is>
          <t>D612658 For CPN 16-4194-01; FJZ has new PR trigger to buy 1.5K; mainly driven by SUK. Demand within CT2R is covered and exceeded by 1K. In order to not make any purchase to increase excess; we allow FJZ to use the PN 16-102133-01 with MPN MT25QL128ABA1ESE-0SIT; which is the same as the original one</t>
        </is>
      </c>
      <c r="L1385" s="43" t="inlineStr">
        <is>
          <t>FAI Status</t>
        </is>
      </c>
      <c r="M1385" s="43" t="inlineStr">
        <is>
          <t>73-102433-06</t>
        </is>
      </c>
      <c r="N1385" s="43" t="inlineStr"/>
      <c r="O1385" s="43" t="inlineStr">
        <is>
          <t>2026-10-18</t>
        </is>
      </c>
      <c r="P1385" s="33" t="inlineStr">
        <is>
          <t>For temporary Manufacturing process change</t>
        </is>
      </c>
      <c r="Q1385" s="43" t="inlineStr">
        <is>
          <t>Perform a validation with this part and provide test logs from ICT; P2C and 2C to Cisco EPE and ME</t>
        </is>
      </c>
      <c r="R1385" s="43" t="inlineStr">
        <is>
          <t>2026-07-21</t>
        </is>
      </c>
      <c r="S1385" s="43" t="inlineStr">
        <is>
          <t>2026-08-08</t>
        </is>
      </c>
      <c r="T1385" s="43" t="inlineStr"/>
      <c r="U1385" s="43" t="inlineStr"/>
    </row>
    <row r="1386">
      <c r="A1386" s="43" t="n">
        <v>1386</v>
      </c>
      <c r="B1386" s="43" t="inlineStr">
        <is>
          <t>1385</t>
        </is>
      </c>
      <c r="C1386" s="43" t="inlineStr">
        <is>
          <t>FJZP</t>
        </is>
      </c>
      <c r="D1386" s="43" t="inlineStr">
        <is>
          <t>Cisco</t>
        </is>
      </c>
      <c r="E1386" s="43" t="inlineStr">
        <is>
          <t>MCGA</t>
        </is>
      </c>
      <c r="F1386" s="43" t="inlineStr">
        <is>
          <t>037-STBU</t>
        </is>
      </c>
      <c r="G1386" s="43" t="inlineStr">
        <is>
          <t>CTANJZ05400</t>
        </is>
      </c>
      <c r="H1386" s="43" t="inlineStr">
        <is>
          <t>For temporary Manufacturing process change</t>
        </is>
      </c>
      <c r="I1386" s="43" t="inlineStr">
        <is>
          <t>Customer Deviation</t>
        </is>
      </c>
      <c r="J1386" s="43" t="inlineStr">
        <is>
          <t>D612658</t>
        </is>
      </c>
      <c r="K1386" s="33" t="inlineStr">
        <is>
          <t>D612658 For CPN 16-4194-01; FJZ has new PR trigger to buy 1.5K; mainly driven by SUK. Demand within CT2R is covered and exceeded by 1K. In order to not make any purchase to increase excess; we allow FJZ to use the PN 16-102133-01 with MPN MT25QL128ABA1ESE-0SIT; which is the same as the original one</t>
        </is>
      </c>
      <c r="L1386" s="43" t="inlineStr">
        <is>
          <t>FAI Status</t>
        </is>
      </c>
      <c r="M1386" s="43" t="inlineStr">
        <is>
          <t>73-102434-06</t>
        </is>
      </c>
      <c r="N1386" s="43" t="inlineStr"/>
      <c r="O1386" s="43" t="inlineStr">
        <is>
          <t>2026-10-18</t>
        </is>
      </c>
      <c r="P1386" s="33" t="inlineStr">
        <is>
          <t>For temporary Manufacturing process change</t>
        </is>
      </c>
      <c r="Q1386" s="43" t="inlineStr">
        <is>
          <t>Perform a validation with this part and provide test logs from ICT; P2C and 2C to Cisco EPE and ME</t>
        </is>
      </c>
      <c r="R1386" s="43" t="inlineStr">
        <is>
          <t>2026-07-21</t>
        </is>
      </c>
      <c r="S1386" s="43" t="inlineStr">
        <is>
          <t>2026-08-08</t>
        </is>
      </c>
      <c r="T1386" s="43" t="inlineStr"/>
      <c r="U1386" s="43" t="inlineStr"/>
    </row>
    <row r="1387">
      <c r="A1387" s="43" t="n">
        <v>1387</v>
      </c>
      <c r="B1387" s="43" t="inlineStr">
        <is>
          <t>1386</t>
        </is>
      </c>
      <c r="C1387" s="43" t="inlineStr">
        <is>
          <t>FJZP</t>
        </is>
      </c>
      <c r="D1387" s="43" t="inlineStr">
        <is>
          <t>Cisco</t>
        </is>
      </c>
      <c r="E1387" s="43" t="inlineStr">
        <is>
          <t>MCGA</t>
        </is>
      </c>
      <c r="F1387" s="43" t="inlineStr">
        <is>
          <t>037-STBU</t>
        </is>
      </c>
      <c r="G1387" s="43" t="inlineStr">
        <is>
          <t>CTANJZ05400</t>
        </is>
      </c>
      <c r="H1387" s="43" t="inlineStr">
        <is>
          <t>For temporary Manufacturing process change</t>
        </is>
      </c>
      <c r="I1387" s="43" t="inlineStr">
        <is>
          <t>Customer Deviation</t>
        </is>
      </c>
      <c r="J1387" s="43" t="inlineStr">
        <is>
          <t>D612658</t>
        </is>
      </c>
      <c r="K1387" s="33" t="inlineStr">
        <is>
          <t>D612658 For CPN 16-4194-01; FJZ has new PR trigger to buy 1.5K; mainly driven by SUK. Demand within CT2R is covered and exceeded by 1K. In order to not make any purchase to increase excess; we allow FJZ to use the PN 16-102133-01 with MPN MT25QL128ABA1ESE-0SIT; which is the same as the original one</t>
        </is>
      </c>
      <c r="L1387" s="43" t="inlineStr">
        <is>
          <t>FAI Status</t>
        </is>
      </c>
      <c r="M1387" s="43" t="inlineStr">
        <is>
          <t>73-102435-06</t>
        </is>
      </c>
      <c r="N1387" s="43" t="inlineStr"/>
      <c r="O1387" s="43" t="inlineStr">
        <is>
          <t>2026-10-18</t>
        </is>
      </c>
      <c r="P1387" s="33" t="inlineStr">
        <is>
          <t>For temporary Manufacturing process change</t>
        </is>
      </c>
      <c r="Q1387" s="43" t="inlineStr">
        <is>
          <t>Perform a validation with this part and provide test logs from ICT; P2C and 2C to Cisco EPE and ME</t>
        </is>
      </c>
      <c r="R1387" s="43" t="inlineStr">
        <is>
          <t>2026-07-21</t>
        </is>
      </c>
      <c r="S1387" s="43" t="inlineStr">
        <is>
          <t>2026-08-08</t>
        </is>
      </c>
      <c r="T1387" s="43" t="inlineStr"/>
      <c r="U1387" s="43" t="inlineStr"/>
    </row>
    <row r="1388">
      <c r="A1388" s="43" t="n">
        <v>1388</v>
      </c>
      <c r="B1388" s="43" t="inlineStr">
        <is>
          <t>1387</t>
        </is>
      </c>
      <c r="C1388" s="43" t="inlineStr">
        <is>
          <t>FJZP</t>
        </is>
      </c>
      <c r="D1388" s="43" t="inlineStr">
        <is>
          <t>Cisco</t>
        </is>
      </c>
      <c r="E1388" s="43" t="inlineStr">
        <is>
          <t>MCGA</t>
        </is>
      </c>
      <c r="F1388" s="43" t="inlineStr">
        <is>
          <t>037-STBU</t>
        </is>
      </c>
      <c r="G1388" s="43" t="inlineStr">
        <is>
          <t>CTANJZ05400</t>
        </is>
      </c>
      <c r="H1388" s="43" t="inlineStr">
        <is>
          <t>For temporary Manufacturing process change</t>
        </is>
      </c>
      <c r="I1388" s="43" t="inlineStr">
        <is>
          <t>Customer Deviation</t>
        </is>
      </c>
      <c r="J1388" s="43" t="inlineStr">
        <is>
          <t>D612658</t>
        </is>
      </c>
      <c r="K1388" s="33" t="inlineStr">
        <is>
          <t>D612658 For CPN 16-4194-01; FJZ has new PR trigger to buy 1.5K; mainly driven by SUK. Demand within CT2R is covered and exceeded by 1K. In order to not make any purchase to increase excess; we allow FJZ to use the PN 16-102133-01 with MPN MT25QL128ABA1ESE-0SIT; which is the same as the original one</t>
        </is>
      </c>
      <c r="L1388" s="43" t="inlineStr">
        <is>
          <t>FAI Status</t>
        </is>
      </c>
      <c r="M1388" s="43" t="inlineStr">
        <is>
          <t>73-103633-04</t>
        </is>
      </c>
      <c r="N1388" s="43" t="inlineStr"/>
      <c r="O1388" s="43" t="inlineStr">
        <is>
          <t>2026-10-18</t>
        </is>
      </c>
      <c r="P1388" s="33" t="inlineStr">
        <is>
          <t>For temporary Manufacturing process change</t>
        </is>
      </c>
      <c r="Q1388" s="43" t="inlineStr">
        <is>
          <t>Perform a validation with this part and provide test logs from ICT; P2C and 2C to Cisco EPE and ME</t>
        </is>
      </c>
      <c r="R1388" s="43" t="inlineStr">
        <is>
          <t>2026-07-21</t>
        </is>
      </c>
      <c r="S1388" s="43" t="inlineStr">
        <is>
          <t>2026-08-08</t>
        </is>
      </c>
      <c r="T1388" s="43" t="inlineStr"/>
      <c r="U1388" s="43" t="inlineStr"/>
    </row>
    <row r="1389">
      <c r="A1389" s="43" t="n">
        <v>1389</v>
      </c>
      <c r="B1389" s="43" t="inlineStr">
        <is>
          <t>1388</t>
        </is>
      </c>
      <c r="C1389" s="43" t="inlineStr">
        <is>
          <t>FJZP</t>
        </is>
      </c>
      <c r="D1389" s="43" t="inlineStr">
        <is>
          <t>Cisco</t>
        </is>
      </c>
      <c r="E1389" s="43" t="inlineStr">
        <is>
          <t>MCGA</t>
        </is>
      </c>
      <c r="F1389" s="43" t="inlineStr">
        <is>
          <t>239-CRBU</t>
        </is>
      </c>
      <c r="G1389" s="43" t="inlineStr">
        <is>
          <t>CTANJZ05530</t>
        </is>
      </c>
      <c r="H1389" s="43" t="inlineStr">
        <is>
          <t>For temporary Manufacturing process change</t>
        </is>
      </c>
      <c r="I1389" s="43" t="inlineStr">
        <is>
          <t>Customer Deviation</t>
        </is>
      </c>
      <c r="J1389" s="43" t="inlineStr">
        <is>
          <t>D612697</t>
        </is>
      </c>
      <c r="K1389" s="33" t="inlineStr">
        <is>
          <t>D612697 FJZ proceed  a  control run of 30 BB8 production units utilize the new fixture.   This new fixture FOL confirm meet  32lb +/-5 lb pre load press force spec to assembly BB8 NPU heatsink.   a. FJZ is required to document the pre-load pre force on these 30 units and provide the cpk data.a.  Units successfully pass all manufacture test; are approved for shipment to DF site for final delivery to the customer.</t>
        </is>
      </c>
      <c r="L1389" s="43" t="inlineStr">
        <is>
          <t>CCB</t>
        </is>
      </c>
      <c r="M1389" s="43" t="inlineStr">
        <is>
          <t>68-7781-12</t>
        </is>
      </c>
      <c r="N1389" s="43" t="inlineStr"/>
      <c r="O1389" s="43" t="inlineStr">
        <is>
          <t>2027-01-10</t>
        </is>
      </c>
      <c r="P1389" s="33" t="inlineStr">
        <is>
          <t>For temporary Manufacturing process change</t>
        </is>
      </c>
      <c r="Q1389" s="43" t="inlineStr">
        <is>
          <t>place deviation on the unit</t>
        </is>
      </c>
      <c r="R1389" s="43" t="inlineStr">
        <is>
          <t>2026-10-13</t>
        </is>
      </c>
      <c r="S1389" s="43" t="inlineStr"/>
      <c r="T1389" s="43" t="inlineStr"/>
      <c r="U1389" s="43" t="inlineStr"/>
    </row>
    <row r="1390">
      <c r="A1390" s="43" t="n">
        <v>1390</v>
      </c>
      <c r="B1390" s="43" t="inlineStr">
        <is>
          <t>1389</t>
        </is>
      </c>
      <c r="C1390" s="43" t="inlineStr">
        <is>
          <t>FJZP</t>
        </is>
      </c>
      <c r="D1390" s="43" t="inlineStr">
        <is>
          <t>Cisco</t>
        </is>
      </c>
      <c r="E1390" s="43" t="inlineStr">
        <is>
          <t>MCGA</t>
        </is>
      </c>
      <c r="F1390" s="43" t="inlineStr">
        <is>
          <t>037-STBU</t>
        </is>
      </c>
      <c r="G1390" s="43" t="inlineStr">
        <is>
          <t>CTANJZ05509</t>
        </is>
      </c>
      <c r="H1390" s="43" t="inlineStr">
        <is>
          <t>For temporary Manufacturing process change</t>
        </is>
      </c>
      <c r="I1390" s="43" t="inlineStr">
        <is>
          <t>Customer Deviation</t>
        </is>
      </c>
      <c r="J1390" s="43" t="inlineStr">
        <is>
          <t>D614276</t>
        </is>
      </c>
      <c r="K1390" s="33" t="inlineStr">
        <is>
          <t>D614276 NGFWBU: Allow FJZ to use 15-102981-01 with MPN#74AVCH4T245FT on NGFWBU products.CPN: 15-102981-01MPN: 74AVCH4T245FTVendor: TOSHIBAQty: 64K pcs</t>
        </is>
      </c>
      <c r="L1390" s="43" t="inlineStr">
        <is>
          <t>CCB</t>
        </is>
      </c>
      <c r="M1390" s="43" t="inlineStr">
        <is>
          <t>15-102981-01</t>
        </is>
      </c>
      <c r="N1390" s="43" t="inlineStr"/>
      <c r="O1390" s="43" t="inlineStr">
        <is>
          <t>2026-12-29</t>
        </is>
      </c>
      <c r="P1390" s="33" t="inlineStr">
        <is>
          <t>For temporary Manufacturing process change</t>
        </is>
      </c>
      <c r="Q1390" s="43" t="inlineStr">
        <is>
          <t>No marking needed</t>
        </is>
      </c>
      <c r="R1390" s="43" t="inlineStr">
        <is>
          <t>2026-10-02</t>
        </is>
      </c>
      <c r="S1390" s="43" t="inlineStr"/>
      <c r="T1390" s="43" t="inlineStr"/>
      <c r="U1390" s="43" t="inlineStr"/>
    </row>
    <row r="1391">
      <c r="A1391" s="43" t="n">
        <v>1391</v>
      </c>
      <c r="B1391" s="43" t="inlineStr">
        <is>
          <t>1390</t>
        </is>
      </c>
      <c r="C1391" s="43" t="inlineStr">
        <is>
          <t>FJZP</t>
        </is>
      </c>
      <c r="D1391" s="43" t="inlineStr">
        <is>
          <t>Cisco</t>
        </is>
      </c>
      <c r="E1391" s="43" t="inlineStr">
        <is>
          <t>MCGA</t>
        </is>
      </c>
      <c r="F1391" s="43" t="inlineStr">
        <is>
          <t>037-STBU</t>
        </is>
      </c>
      <c r="G1391" s="43" t="inlineStr">
        <is>
          <t>CTANJZ05509</t>
        </is>
      </c>
      <c r="H1391" s="43" t="inlineStr">
        <is>
          <t>For temporary Manufacturing process change</t>
        </is>
      </c>
      <c r="I1391" s="43" t="inlineStr">
        <is>
          <t>Customer Deviation</t>
        </is>
      </c>
      <c r="J1391" s="43" t="inlineStr">
        <is>
          <t>D614276</t>
        </is>
      </c>
      <c r="K1391" s="33" t="inlineStr">
        <is>
          <t>D614276 NGFWBU: Allow FJZ to use 15-102981-01 with MPN#74AVCH4T245FT on NGFWBU products.CPN: 15-102981-01MPN: 74AVCH4T245FTVendor: TOSHIBAQty: 64K pcs</t>
        </is>
      </c>
      <c r="L1391" s="43" t="inlineStr">
        <is>
          <t>CCB</t>
        </is>
      </c>
      <c r="M1391" s="43" t="inlineStr">
        <is>
          <t>68-7253-05</t>
        </is>
      </c>
      <c r="N1391" s="43" t="inlineStr"/>
      <c r="O1391" s="43" t="inlineStr">
        <is>
          <t>2026-12-29</t>
        </is>
      </c>
      <c r="P1391" s="33" t="inlineStr">
        <is>
          <t>For temporary Manufacturing process change</t>
        </is>
      </c>
      <c r="Q1391" s="43" t="inlineStr">
        <is>
          <t>No marking needed</t>
        </is>
      </c>
      <c r="R1391" s="43" t="inlineStr">
        <is>
          <t>2026-10-02</t>
        </is>
      </c>
      <c r="S1391" s="43" t="inlineStr"/>
      <c r="T1391" s="43" t="inlineStr"/>
      <c r="U1391" s="43" t="inlineStr"/>
    </row>
    <row r="1392">
      <c r="A1392" s="43" t="n">
        <v>1392</v>
      </c>
      <c r="B1392" s="43" t="inlineStr">
        <is>
          <t>1391</t>
        </is>
      </c>
      <c r="C1392" s="43" t="inlineStr">
        <is>
          <t>FJZP</t>
        </is>
      </c>
      <c r="D1392" s="43" t="inlineStr">
        <is>
          <t>Cisco</t>
        </is>
      </c>
      <c r="E1392" s="43" t="inlineStr">
        <is>
          <t>MCGA</t>
        </is>
      </c>
      <c r="F1392" s="43" t="inlineStr">
        <is>
          <t>037-STBU</t>
        </is>
      </c>
      <c r="G1392" s="43" t="inlineStr">
        <is>
          <t>CTANJZ05509</t>
        </is>
      </c>
      <c r="H1392" s="43" t="inlineStr">
        <is>
          <t>For temporary Manufacturing process change</t>
        </is>
      </c>
      <c r="I1392" s="43" t="inlineStr">
        <is>
          <t>Customer Deviation</t>
        </is>
      </c>
      <c r="J1392" s="43" t="inlineStr">
        <is>
          <t>D614276</t>
        </is>
      </c>
      <c r="K1392" s="33" t="inlineStr">
        <is>
          <t>D614276 NGFWBU: Allow FJZ to use 15-102981-01 with MPN#74AVCH4T245FT on NGFWBU products.CPN: 15-102981-01MPN: 74AVCH4T245FTVendor: TOSHIBAQty: 64K pcs</t>
        </is>
      </c>
      <c r="L1392" s="43" t="inlineStr">
        <is>
          <t>CCB</t>
        </is>
      </c>
      <c r="M1392" s="43" t="inlineStr">
        <is>
          <t>68-7254-05</t>
        </is>
      </c>
      <c r="N1392" s="43" t="inlineStr"/>
      <c r="O1392" s="43" t="inlineStr">
        <is>
          <t>2026-12-29</t>
        </is>
      </c>
      <c r="P1392" s="33" t="inlineStr">
        <is>
          <t>For temporary Manufacturing process change</t>
        </is>
      </c>
      <c r="Q1392" s="43" t="inlineStr">
        <is>
          <t>No marking needed</t>
        </is>
      </c>
      <c r="R1392" s="43" t="inlineStr">
        <is>
          <t>2026-10-02</t>
        </is>
      </c>
      <c r="S1392" s="43" t="inlineStr"/>
      <c r="T1392" s="43" t="inlineStr"/>
      <c r="U1392" s="43" t="inlineStr"/>
    </row>
    <row r="1393">
      <c r="A1393" s="43" t="n">
        <v>1393</v>
      </c>
      <c r="B1393" s="43" t="inlineStr">
        <is>
          <t>1392</t>
        </is>
      </c>
      <c r="C1393" s="43" t="inlineStr">
        <is>
          <t>FJZP</t>
        </is>
      </c>
      <c r="D1393" s="43" t="inlineStr">
        <is>
          <t>Cisco</t>
        </is>
      </c>
      <c r="E1393" s="43" t="inlineStr">
        <is>
          <t>MCGA</t>
        </is>
      </c>
      <c r="F1393" s="43" t="inlineStr">
        <is>
          <t>037-STBU</t>
        </is>
      </c>
      <c r="G1393" s="43" t="inlineStr">
        <is>
          <t>CTANJZ05509</t>
        </is>
      </c>
      <c r="H1393" s="43" t="inlineStr">
        <is>
          <t>For temporary Manufacturing process change</t>
        </is>
      </c>
      <c r="I1393" s="43" t="inlineStr">
        <is>
          <t>Customer Deviation</t>
        </is>
      </c>
      <c r="J1393" s="43" t="inlineStr">
        <is>
          <t>D614276</t>
        </is>
      </c>
      <c r="K1393" s="33" t="inlineStr">
        <is>
          <t>D614276 NGFWBU: Allow FJZ to use 15-102981-01 with MPN#74AVCH4T245FT on NGFWBU products.CPN: 15-102981-01MPN: 74AVCH4T245FTVendor: TOSHIBAQty: 64K pcs</t>
        </is>
      </c>
      <c r="L1393" s="43" t="inlineStr">
        <is>
          <t>CCB</t>
        </is>
      </c>
      <c r="M1393" s="43" t="inlineStr">
        <is>
          <t>68-7255-05</t>
        </is>
      </c>
      <c r="N1393" s="43" t="inlineStr"/>
      <c r="O1393" s="43" t="inlineStr">
        <is>
          <t>2026-12-29</t>
        </is>
      </c>
      <c r="P1393" s="33" t="inlineStr">
        <is>
          <t>For temporary Manufacturing process change</t>
        </is>
      </c>
      <c r="Q1393" s="43" t="inlineStr">
        <is>
          <t>No marking needed</t>
        </is>
      </c>
      <c r="R1393" s="43" t="inlineStr">
        <is>
          <t>2026-10-02</t>
        </is>
      </c>
      <c r="S1393" s="43" t="inlineStr"/>
      <c r="T1393" s="43" t="inlineStr"/>
      <c r="U1393" s="43" t="inlineStr"/>
    </row>
    <row r="1394">
      <c r="A1394" s="43" t="n">
        <v>1394</v>
      </c>
      <c r="B1394" s="43" t="inlineStr">
        <is>
          <t>1393</t>
        </is>
      </c>
      <c r="C1394" s="43" t="inlineStr">
        <is>
          <t>FJZP</t>
        </is>
      </c>
      <c r="D1394" s="43" t="inlineStr">
        <is>
          <t>Cisco</t>
        </is>
      </c>
      <c r="E1394" s="43" t="inlineStr">
        <is>
          <t>MCGA</t>
        </is>
      </c>
      <c r="F1394" s="43" t="inlineStr">
        <is>
          <t>037-STBU</t>
        </is>
      </c>
      <c r="G1394" s="43" t="inlineStr">
        <is>
          <t>CTANJZ05509</t>
        </is>
      </c>
      <c r="H1394" s="43" t="inlineStr">
        <is>
          <t>For temporary Manufacturing process change</t>
        </is>
      </c>
      <c r="I1394" s="43" t="inlineStr">
        <is>
          <t>Customer Deviation</t>
        </is>
      </c>
      <c r="J1394" s="43" t="inlineStr">
        <is>
          <t>D614276</t>
        </is>
      </c>
      <c r="K1394" s="33" t="inlineStr">
        <is>
          <t>D614276 NGFWBU: Allow FJZ to use 15-102981-01 with MPN#74AVCH4T245FT on NGFWBU products.CPN: 15-102981-01MPN: 74AVCH4T245FTVendor: TOSHIBAQty: 64K pcs</t>
        </is>
      </c>
      <c r="L1394" s="43" t="inlineStr">
        <is>
          <t>CCB</t>
        </is>
      </c>
      <c r="M1394" s="43" t="inlineStr">
        <is>
          <t>68-7256-05</t>
        </is>
      </c>
      <c r="N1394" s="43" t="inlineStr"/>
      <c r="O1394" s="43" t="inlineStr">
        <is>
          <t>2026-12-29</t>
        </is>
      </c>
      <c r="P1394" s="33" t="inlineStr">
        <is>
          <t>For temporary Manufacturing process change</t>
        </is>
      </c>
      <c r="Q1394" s="43" t="inlineStr">
        <is>
          <t>No marking needed</t>
        </is>
      </c>
      <c r="R1394" s="43" t="inlineStr">
        <is>
          <t>2026-10-02</t>
        </is>
      </c>
      <c r="S1394" s="43" t="inlineStr"/>
      <c r="T1394" s="43" t="inlineStr"/>
      <c r="U1394" s="43" t="inlineStr"/>
    </row>
    <row r="1395">
      <c r="A1395" s="43" t="n">
        <v>1395</v>
      </c>
      <c r="B1395" s="43" t="inlineStr">
        <is>
          <t>1394</t>
        </is>
      </c>
      <c r="C1395" s="43" t="inlineStr">
        <is>
          <t>FJZP</t>
        </is>
      </c>
      <c r="D1395" s="43" t="inlineStr">
        <is>
          <t>Cisco</t>
        </is>
      </c>
      <c r="E1395" s="43" t="inlineStr">
        <is>
          <t>MCGA</t>
        </is>
      </c>
      <c r="F1395" s="43" t="inlineStr">
        <is>
          <t>037-STBU</t>
        </is>
      </c>
      <c r="G1395" s="43" t="inlineStr">
        <is>
          <t>CTANJZ05509</t>
        </is>
      </c>
      <c r="H1395" s="43" t="inlineStr">
        <is>
          <t>For temporary Manufacturing process change</t>
        </is>
      </c>
      <c r="I1395" s="43" t="inlineStr">
        <is>
          <t>Customer Deviation</t>
        </is>
      </c>
      <c r="J1395" s="43" t="inlineStr">
        <is>
          <t>D614276</t>
        </is>
      </c>
      <c r="K1395" s="33" t="inlineStr">
        <is>
          <t>D614276 NGFWBU: Allow FJZ to use 15-102981-01 with MPN#74AVCH4T245FT on NGFWBU products.CPN: 15-102981-01MPN: 74AVCH4T245FTVendor: TOSHIBAQty: 64K pcs</t>
        </is>
      </c>
      <c r="L1395" s="43" t="inlineStr">
        <is>
          <t>CCB</t>
        </is>
      </c>
      <c r="M1395" s="43" t="inlineStr">
        <is>
          <t>68-7638-02</t>
        </is>
      </c>
      <c r="N1395" s="43" t="inlineStr"/>
      <c r="O1395" s="43" t="inlineStr">
        <is>
          <t>2026-12-29</t>
        </is>
      </c>
      <c r="P1395" s="33" t="inlineStr">
        <is>
          <t>For temporary Manufacturing process change</t>
        </is>
      </c>
      <c r="Q1395" s="43" t="inlineStr">
        <is>
          <t>No marking needed</t>
        </is>
      </c>
      <c r="R1395" s="43" t="inlineStr">
        <is>
          <t>2026-10-02</t>
        </is>
      </c>
      <c r="S1395" s="43" t="inlineStr"/>
      <c r="T1395" s="43" t="inlineStr"/>
      <c r="U1395" s="43" t="inlineStr"/>
    </row>
    <row r="1396">
      <c r="A1396" s="43" t="n">
        <v>1396</v>
      </c>
      <c r="B1396" s="43" t="inlineStr">
        <is>
          <t>1395</t>
        </is>
      </c>
      <c r="C1396" s="43" t="inlineStr">
        <is>
          <t>FJZP</t>
        </is>
      </c>
      <c r="D1396" s="43" t="inlineStr">
        <is>
          <t>Cisco</t>
        </is>
      </c>
      <c r="E1396" s="43" t="inlineStr">
        <is>
          <t>MCGA</t>
        </is>
      </c>
      <c r="F1396" s="43" t="inlineStr">
        <is>
          <t>037-STBU</t>
        </is>
      </c>
      <c r="G1396" s="43" t="inlineStr">
        <is>
          <t>CTANJZ05505</t>
        </is>
      </c>
      <c r="H1396" s="43" t="inlineStr">
        <is>
          <t>For temporary Manufacturing process change</t>
        </is>
      </c>
      <c r="I1396" s="43" t="inlineStr">
        <is>
          <t>Customer Deviation</t>
        </is>
      </c>
      <c r="J1396" s="43" t="inlineStr">
        <is>
          <t>D613277</t>
        </is>
      </c>
      <c r="K1396" s="33" t="inlineStr">
        <is>
          <t>D613277 Woodside Park. - Due short of material during this quarter end with this memory PN 15-110449-01; we allow to FJZ to use this PN 15-110364-01 as substitute if required using the MPN (HMCGM4MGBRB and M321RYGA0PB2-CWM)</t>
        </is>
      </c>
      <c r="L1396" s="43" t="inlineStr">
        <is>
          <t>Implementation</t>
        </is>
      </c>
      <c r="M1396" s="43" t="inlineStr">
        <is>
          <t>15-110364-01</t>
        </is>
      </c>
      <c r="N1396" s="43" t="inlineStr"/>
      <c r="O1396" s="43" t="inlineStr">
        <is>
          <t>2026-12-21</t>
        </is>
      </c>
      <c r="P1396" s="33" t="inlineStr">
        <is>
          <t>For temporary Manufacturing process change</t>
        </is>
      </c>
      <c r="Q1396" s="43" t="inlineStr">
        <is>
          <t>1. Perform validation to make sure there is no problem in Auto DIMM or test process to use this PN</t>
        </is>
      </c>
      <c r="R1396" s="43" t="inlineStr">
        <is>
          <t>2026-09-23</t>
        </is>
      </c>
      <c r="S1396" s="43" t="inlineStr">
        <is>
          <t>2026-10-13</t>
        </is>
      </c>
      <c r="T1396" s="43" t="inlineStr"/>
      <c r="U1396" s="43" t="inlineStr"/>
    </row>
    <row r="1397">
      <c r="A1397" s="43" t="n">
        <v>1397</v>
      </c>
      <c r="B1397" s="43" t="inlineStr">
        <is>
          <t>1396</t>
        </is>
      </c>
      <c r="C1397" s="43" t="inlineStr">
        <is>
          <t>FJZP</t>
        </is>
      </c>
      <c r="D1397" s="43" t="inlineStr">
        <is>
          <t>Cisco</t>
        </is>
      </c>
      <c r="E1397" s="43" t="inlineStr">
        <is>
          <t>MCGA</t>
        </is>
      </c>
      <c r="F1397" s="43" t="inlineStr">
        <is>
          <t>037-STBU</t>
        </is>
      </c>
      <c r="G1397" s="43" t="inlineStr">
        <is>
          <t>CTANJZ05505</t>
        </is>
      </c>
      <c r="H1397" s="43" t="inlineStr">
        <is>
          <t>For temporary Manufacturing process change</t>
        </is>
      </c>
      <c r="I1397" s="43" t="inlineStr">
        <is>
          <t>Customer Deviation</t>
        </is>
      </c>
      <c r="J1397" s="43" t="inlineStr">
        <is>
          <t>D613277</t>
        </is>
      </c>
      <c r="K1397" s="33" t="inlineStr">
        <is>
          <t>D613277 Woodside Park. - Due short of material during this quarter end with this memory PN 15-110449-01; we allow to FJZ to use this PN 15-110364-01 as substitute if required using the MPN (HMCGM4MGBRB and M321RYGA0PB2-CWM)</t>
        </is>
      </c>
      <c r="L1397" s="43" t="inlineStr">
        <is>
          <t>Implementation</t>
        </is>
      </c>
      <c r="M1397" s="43" t="inlineStr">
        <is>
          <t>15-110449-01</t>
        </is>
      </c>
      <c r="N1397" s="43" t="inlineStr"/>
      <c r="O1397" s="43" t="inlineStr">
        <is>
          <t>2026-12-21</t>
        </is>
      </c>
      <c r="P1397" s="33" t="inlineStr">
        <is>
          <t>For temporary Manufacturing process change</t>
        </is>
      </c>
      <c r="Q1397" s="43" t="inlineStr">
        <is>
          <t>1. Perform validation to make sure there is no problem in Auto DIMM or test process to use this PN</t>
        </is>
      </c>
      <c r="R1397" s="43" t="inlineStr">
        <is>
          <t>2026-09-23</t>
        </is>
      </c>
      <c r="S1397" s="43" t="inlineStr">
        <is>
          <t>2026-10-13</t>
        </is>
      </c>
      <c r="T1397" s="43" t="inlineStr"/>
      <c r="U1397" s="43" t="inlineStr"/>
    </row>
    <row r="1398">
      <c r="A1398" s="43" t="n">
        <v>1398</v>
      </c>
      <c r="B1398" s="43" t="inlineStr">
        <is>
          <t>1397</t>
        </is>
      </c>
      <c r="C1398" s="43" t="inlineStr">
        <is>
          <t>FJZP</t>
        </is>
      </c>
      <c r="D1398" s="43" t="inlineStr">
        <is>
          <t>Cisco</t>
        </is>
      </c>
      <c r="E1398" s="43" t="inlineStr">
        <is>
          <t>MCGA</t>
        </is>
      </c>
      <c r="F1398" s="43" t="inlineStr">
        <is>
          <t>037-STBU</t>
        </is>
      </c>
      <c r="G1398" s="43" t="inlineStr">
        <is>
          <t>CTANJZ05505</t>
        </is>
      </c>
      <c r="H1398" s="43" t="inlineStr">
        <is>
          <t>For temporary Manufacturing process change</t>
        </is>
      </c>
      <c r="I1398" s="43" t="inlineStr">
        <is>
          <t>Customer Deviation</t>
        </is>
      </c>
      <c r="J1398" s="43" t="inlineStr">
        <is>
          <t>D613277</t>
        </is>
      </c>
      <c r="K1398" s="33" t="inlineStr">
        <is>
          <t>D613277 Woodside Park. - Due short of material during this quarter end with this memory PN 15-110449-01; we allow to FJZ to use this PN 15-110364-01 as substitute if required using the MPN (HMCGM4MGBRB and M321RYGA0PB2-CWM)</t>
        </is>
      </c>
      <c r="L1398" s="43" t="inlineStr">
        <is>
          <t>Implementation</t>
        </is>
      </c>
      <c r="M1398" s="43" t="inlineStr">
        <is>
          <t>800-112720-04</t>
        </is>
      </c>
      <c r="N1398" s="43" t="inlineStr"/>
      <c r="O1398" s="43" t="inlineStr">
        <is>
          <t>2026-12-21</t>
        </is>
      </c>
      <c r="P1398" s="33" t="inlineStr">
        <is>
          <t>For temporary Manufacturing process change</t>
        </is>
      </c>
      <c r="Q1398" s="43" t="inlineStr">
        <is>
          <t>1. Perform validation to make sure there is no problem in Auto DIMM or test process to use this PN</t>
        </is>
      </c>
      <c r="R1398" s="43" t="inlineStr">
        <is>
          <t>2026-09-23</t>
        </is>
      </c>
      <c r="S1398" s="43" t="inlineStr">
        <is>
          <t>2026-10-13</t>
        </is>
      </c>
      <c r="T1398" s="43" t="inlineStr"/>
      <c r="U1398" s="43" t="inlineStr"/>
    </row>
    <row r="1399">
      <c r="A1399" s="43" t="n">
        <v>1399</v>
      </c>
      <c r="B1399" s="43" t="inlineStr">
        <is>
          <t>1398</t>
        </is>
      </c>
      <c r="C1399" s="43" t="inlineStr">
        <is>
          <t>FJZP</t>
        </is>
      </c>
      <c r="D1399" s="43" t="inlineStr">
        <is>
          <t>Cisco</t>
        </is>
      </c>
      <c r="E1399" s="43" t="inlineStr">
        <is>
          <t>MCGA</t>
        </is>
      </c>
      <c r="F1399" s="43" t="inlineStr">
        <is>
          <t>037-STBU</t>
        </is>
      </c>
      <c r="G1399" s="43" t="inlineStr">
        <is>
          <t>CTANJZ04504</t>
        </is>
      </c>
      <c r="H1399" s="43" t="inlineStr">
        <is>
          <t>Risk Buy Authorization Only ¡V No Build/Shipment Allowed (Sustaining Only)</t>
        </is>
      </c>
      <c r="I1399" s="43" t="inlineStr">
        <is>
          <t>Customer Deviation</t>
        </is>
      </c>
      <c r="J1399" s="43" t="inlineStr">
        <is>
          <t>D602218</t>
        </is>
      </c>
      <c r="K1399" s="33" t="inlineStr">
        <is>
          <t>D602218 NGFWBU: Risk Buy: GQR No: GQR000040714; AQR No: AQR001532743; CPN:25-1209-01; MFR NAME:HARVATEK CORPORATION; MPN: B2G32UYUG20C000913U1924To execute the above AQR at CM Site.</t>
        </is>
      </c>
      <c r="L1399" s="43" t="inlineStr">
        <is>
          <t>Expired</t>
        </is>
      </c>
      <c r="M1399" s="43" t="inlineStr">
        <is>
          <t>25-1209-01</t>
        </is>
      </c>
      <c r="N1399" s="43" t="inlineStr"/>
      <c r="O1399" s="43" t="inlineStr">
        <is>
          <t>2025-06-16</t>
        </is>
      </c>
      <c r="P1399" s="33" t="inlineStr">
        <is>
          <t>Risk Buy Authorization</t>
        </is>
      </c>
      <c r="Q1399" s="43" t="inlineStr">
        <is>
          <t>No marking required.</t>
        </is>
      </c>
      <c r="R1399" s="43" t="inlineStr">
        <is>
          <t>2025-03-19</t>
        </is>
      </c>
      <c r="S1399" s="43" t="inlineStr">
        <is>
          <t>2025-04-01</t>
        </is>
      </c>
      <c r="T1399" s="43" t="inlineStr"/>
      <c r="U1399" s="43" t="inlineStr"/>
    </row>
    <row r="1400">
      <c r="A1400" s="43" t="n">
        <v>1400</v>
      </c>
      <c r="B1400" s="43" t="inlineStr">
        <is>
          <t>1399</t>
        </is>
      </c>
      <c r="C1400" s="43" t="inlineStr">
        <is>
          <t>FJZP</t>
        </is>
      </c>
      <c r="D1400" s="43" t="inlineStr">
        <is>
          <t>Cisco</t>
        </is>
      </c>
      <c r="E1400" s="43" t="inlineStr">
        <is>
          <t>MCGA</t>
        </is>
      </c>
      <c r="F1400" s="43" t="inlineStr">
        <is>
          <t>037-STBU</t>
        </is>
      </c>
      <c r="G1400" s="43" t="inlineStr">
        <is>
          <t>CTANJZ04504</t>
        </is>
      </c>
      <c r="H1400" s="43" t="inlineStr">
        <is>
          <t>Risk Buy Authorization Only ¡V No Build/Shipment Allowed (Sustaining Only)</t>
        </is>
      </c>
      <c r="I1400" s="43" t="inlineStr">
        <is>
          <t>Customer Deviation</t>
        </is>
      </c>
      <c r="J1400" s="43" t="inlineStr">
        <is>
          <t>D602218</t>
        </is>
      </c>
      <c r="K1400" s="33" t="inlineStr">
        <is>
          <t>D602218 NGFWBU: Risk Buy: GQR No: GQR000040714; AQR No: AQR001532743; CPN:25-1209-01; MFR NAME:HARVATEK CORPORATION; MPN: B2G32UYUG20C000913U1924To execute the above AQR at CM Site.</t>
        </is>
      </c>
      <c r="L1400" s="43" t="inlineStr">
        <is>
          <t>Expired</t>
        </is>
      </c>
      <c r="M1400" s="43" t="inlineStr">
        <is>
          <t>68-7007-02</t>
        </is>
      </c>
      <c r="N1400" s="43" t="inlineStr"/>
      <c r="O1400" s="43" t="inlineStr">
        <is>
          <t>2025-06-16</t>
        </is>
      </c>
      <c r="P1400" s="33" t="inlineStr">
        <is>
          <t>Risk Buy Authorization</t>
        </is>
      </c>
      <c r="Q1400" s="43" t="inlineStr">
        <is>
          <t>No marking required.</t>
        </is>
      </c>
      <c r="R1400" s="43" t="inlineStr">
        <is>
          <t>2025-03-19</t>
        </is>
      </c>
      <c r="S1400" s="43" t="inlineStr">
        <is>
          <t>2025-04-01</t>
        </is>
      </c>
      <c r="T1400" s="43" t="inlineStr"/>
      <c r="U1400" s="43" t="inlineStr"/>
    </row>
    <row r="1401">
      <c r="A1401" s="43" t="n">
        <v>1401</v>
      </c>
      <c r="B1401" s="43" t="inlineStr">
        <is>
          <t>1400</t>
        </is>
      </c>
      <c r="C1401" s="43" t="inlineStr">
        <is>
          <t>FJZP</t>
        </is>
      </c>
      <c r="D1401" s="43" t="inlineStr">
        <is>
          <t>Cisco</t>
        </is>
      </c>
      <c r="E1401" s="43" t="inlineStr">
        <is>
          <t>MCGA</t>
        </is>
      </c>
      <c r="F1401" s="43" t="inlineStr">
        <is>
          <t>037-STBU</t>
        </is>
      </c>
      <c r="G1401" s="43" t="inlineStr">
        <is>
          <t>CTANJZ04504</t>
        </is>
      </c>
      <c r="H1401" s="43" t="inlineStr">
        <is>
          <t>Risk Buy Authorization Only ¡V No Build/Shipment Allowed (Sustaining Only)</t>
        </is>
      </c>
      <c r="I1401" s="43" t="inlineStr">
        <is>
          <t>Customer Deviation</t>
        </is>
      </c>
      <c r="J1401" s="43" t="inlineStr">
        <is>
          <t>D602218</t>
        </is>
      </c>
      <c r="K1401" s="33" t="inlineStr">
        <is>
          <t>D602218 NGFWBU: Risk Buy: GQR No: GQR000040714; AQR No: AQR001532743; CPN:25-1209-01; MFR NAME:HARVATEK CORPORATION; MPN: B2G32UYUG20C000913U1924To execute the above AQR at CM Site.</t>
        </is>
      </c>
      <c r="L1401" s="43" t="inlineStr">
        <is>
          <t>Expired</t>
        </is>
      </c>
      <c r="M1401" s="43" t="inlineStr">
        <is>
          <t>73-18489-07</t>
        </is>
      </c>
      <c r="N1401" s="43" t="inlineStr"/>
      <c r="O1401" s="43" t="inlineStr">
        <is>
          <t>2025-06-16</t>
        </is>
      </c>
      <c r="P1401" s="33" t="inlineStr">
        <is>
          <t>Risk Buy Authorization</t>
        </is>
      </c>
      <c r="Q1401" s="43" t="inlineStr">
        <is>
          <t>No marking required.</t>
        </is>
      </c>
      <c r="R1401" s="43" t="inlineStr">
        <is>
          <t>2025-03-19</t>
        </is>
      </c>
      <c r="S1401" s="43" t="inlineStr">
        <is>
          <t>2025-04-01</t>
        </is>
      </c>
      <c r="T1401" s="43" t="inlineStr"/>
      <c r="U1401" s="43" t="inlineStr"/>
    </row>
    <row r="1402">
      <c r="A1402" s="43" t="n">
        <v>1402</v>
      </c>
      <c r="B1402" s="43" t="inlineStr">
        <is>
          <t>1401</t>
        </is>
      </c>
      <c r="C1402" s="43" t="inlineStr">
        <is>
          <t>FJZP</t>
        </is>
      </c>
      <c r="D1402" s="43" t="inlineStr">
        <is>
          <t>Cisco</t>
        </is>
      </c>
      <c r="E1402" s="43" t="inlineStr">
        <is>
          <t>MCGA</t>
        </is>
      </c>
      <c r="F1402" s="43" t="inlineStr">
        <is>
          <t>037-STBU</t>
        </is>
      </c>
      <c r="G1402" s="43" t="inlineStr">
        <is>
          <t>CTANJZ04503</t>
        </is>
      </c>
      <c r="H1402" s="43" t="inlineStr">
        <is>
          <t>Risk Buy Authorization Only ¡V No Build/Shipment Allowed (Sustaining Only)</t>
        </is>
      </c>
      <c r="I1402" s="43" t="inlineStr">
        <is>
          <t>Customer Deviation</t>
        </is>
      </c>
      <c r="J1402" s="43" t="inlineStr">
        <is>
          <t>D602312</t>
        </is>
      </c>
      <c r="K1402" s="33" t="inlineStr">
        <is>
          <t>D602312 NGFWBU: Risk Buy: F1KLOW: GQR No: GQR000040714; AQR No: AQR001532662; CPN:25-1209-01; MFR NAME: HARVATEK CORPORATION; MPN:B2G32UYUG20C000913U1924To execute the above AQR at CM Site.</t>
        </is>
      </c>
      <c r="L1402" s="43" t="inlineStr">
        <is>
          <t>Expired</t>
        </is>
      </c>
      <c r="M1402" s="43" t="inlineStr">
        <is>
          <t>25-1209-01</t>
        </is>
      </c>
      <c r="N1402" s="43" t="inlineStr"/>
      <c r="O1402" s="43" t="inlineStr">
        <is>
          <t>2025-06-16</t>
        </is>
      </c>
      <c r="P1402" s="33" t="inlineStr">
        <is>
          <t>Risk Buy Authorization</t>
        </is>
      </c>
      <c r="Q1402" s="43" t="inlineStr">
        <is>
          <t>No Marking Required.</t>
        </is>
      </c>
      <c r="R1402" s="43" t="inlineStr">
        <is>
          <t>2025-03-19</t>
        </is>
      </c>
      <c r="S1402" s="43" t="inlineStr">
        <is>
          <t>2025-04-01</t>
        </is>
      </c>
      <c r="T1402" s="43" t="inlineStr"/>
      <c r="U1402" s="43" t="inlineStr"/>
    </row>
    <row r="1403">
      <c r="A1403" s="43" t="n">
        <v>1403</v>
      </c>
      <c r="B1403" s="43" t="inlineStr">
        <is>
          <t>1402</t>
        </is>
      </c>
      <c r="C1403" s="43" t="inlineStr">
        <is>
          <t>FJZP</t>
        </is>
      </c>
      <c r="D1403" s="43" t="inlineStr">
        <is>
          <t>Cisco</t>
        </is>
      </c>
      <c r="E1403" s="43" t="inlineStr">
        <is>
          <t>MCGA</t>
        </is>
      </c>
      <c r="F1403" s="43" t="inlineStr">
        <is>
          <t>037-STBU</t>
        </is>
      </c>
      <c r="G1403" s="43" t="inlineStr">
        <is>
          <t>CTANJZ04503</t>
        </is>
      </c>
      <c r="H1403" s="43" t="inlineStr">
        <is>
          <t>Risk Buy Authorization Only ¡V No Build/Shipment Allowed (Sustaining Only)</t>
        </is>
      </c>
      <c r="I1403" s="43" t="inlineStr">
        <is>
          <t>Customer Deviation</t>
        </is>
      </c>
      <c r="J1403" s="43" t="inlineStr">
        <is>
          <t>D602312</t>
        </is>
      </c>
      <c r="K1403" s="33" t="inlineStr">
        <is>
          <t>D602312 NGFWBU: Risk Buy: F1KLOW: GQR No: GQR000040714; AQR No: AQR001532662; CPN:25-1209-01; MFR NAME: HARVATEK CORPORATION; MPN:B2G32UYUG20C000913U1924To execute the above AQR at CM Site.</t>
        </is>
      </c>
      <c r="L1403" s="43" t="inlineStr">
        <is>
          <t>Expired</t>
        </is>
      </c>
      <c r="M1403" s="43" t="inlineStr">
        <is>
          <t>68-6432-03</t>
        </is>
      </c>
      <c r="N1403" s="43" t="inlineStr"/>
      <c r="O1403" s="43" t="inlineStr">
        <is>
          <t>2025-06-16</t>
        </is>
      </c>
      <c r="P1403" s="33" t="inlineStr">
        <is>
          <t>Risk Buy Authorization</t>
        </is>
      </c>
      <c r="Q1403" s="43" t="inlineStr">
        <is>
          <t>No Marking Required.</t>
        </is>
      </c>
      <c r="R1403" s="43" t="inlineStr">
        <is>
          <t>2025-03-19</t>
        </is>
      </c>
      <c r="S1403" s="43" t="inlineStr">
        <is>
          <t>2025-04-01</t>
        </is>
      </c>
      <c r="T1403" s="43" t="inlineStr"/>
      <c r="U1403" s="43" t="inlineStr"/>
    </row>
    <row r="1404">
      <c r="A1404" s="43" t="n">
        <v>1404</v>
      </c>
      <c r="B1404" s="43" t="inlineStr">
        <is>
          <t>1403</t>
        </is>
      </c>
      <c r="C1404" s="43" t="inlineStr">
        <is>
          <t>FJZP</t>
        </is>
      </c>
      <c r="D1404" s="43" t="inlineStr">
        <is>
          <t>Cisco</t>
        </is>
      </c>
      <c r="E1404" s="43" t="inlineStr">
        <is>
          <t>MCGA</t>
        </is>
      </c>
      <c r="F1404" s="43" t="inlineStr">
        <is>
          <t>037-STBU</t>
        </is>
      </c>
      <c r="G1404" s="43" t="inlineStr">
        <is>
          <t>CTANJZ04503</t>
        </is>
      </c>
      <c r="H1404" s="43" t="inlineStr">
        <is>
          <t>Risk Buy Authorization Only ¡V No Build/Shipment Allowed (Sustaining Only)</t>
        </is>
      </c>
      <c r="I1404" s="43" t="inlineStr">
        <is>
          <t>Customer Deviation</t>
        </is>
      </c>
      <c r="J1404" s="43" t="inlineStr">
        <is>
          <t>D602312</t>
        </is>
      </c>
      <c r="K1404" s="33" t="inlineStr">
        <is>
          <t>D602312 NGFWBU: Risk Buy: F1KLOW: GQR No: GQR000040714; AQR No: AQR001532662; CPN:25-1209-01; MFR NAME: HARVATEK CORPORATION; MPN:B2G32UYUG20C000913U1924To execute the above AQR at CM Site.</t>
        </is>
      </c>
      <c r="L1404" s="43" t="inlineStr">
        <is>
          <t>Expired</t>
        </is>
      </c>
      <c r="M1404" s="43" t="inlineStr">
        <is>
          <t>73-18489-07</t>
        </is>
      </c>
      <c r="N1404" s="43" t="inlineStr"/>
      <c r="O1404" s="43" t="inlineStr">
        <is>
          <t>2025-06-16</t>
        </is>
      </c>
      <c r="P1404" s="33" t="inlineStr">
        <is>
          <t>Risk Buy Authorization</t>
        </is>
      </c>
      <c r="Q1404" s="43" t="inlineStr">
        <is>
          <t>No Marking Required.</t>
        </is>
      </c>
      <c r="R1404" s="43" t="inlineStr">
        <is>
          <t>2025-03-19</t>
        </is>
      </c>
      <c r="S1404" s="43" t="inlineStr">
        <is>
          <t>2025-04-01</t>
        </is>
      </c>
      <c r="T1404" s="43" t="inlineStr"/>
      <c r="U1404" s="43" t="inlineStr"/>
    </row>
    <row r="1405">
      <c r="A1405" s="43" t="n">
        <v>1405</v>
      </c>
      <c r="B1405" s="43" t="inlineStr">
        <is>
          <t>1404</t>
        </is>
      </c>
      <c r="C1405" s="43" t="inlineStr">
        <is>
          <t>FJZP</t>
        </is>
      </c>
      <c r="D1405" s="43" t="inlineStr">
        <is>
          <t>Cisco</t>
        </is>
      </c>
      <c r="E1405" s="43" t="inlineStr">
        <is>
          <t>MCGA</t>
        </is>
      </c>
      <c r="F1405" s="43" t="inlineStr">
        <is>
          <t>037-STBU</t>
        </is>
      </c>
      <c r="G1405" s="43" t="inlineStr">
        <is>
          <t>CTANJZ04578</t>
        </is>
      </c>
      <c r="H1405" s="43" t="inlineStr">
        <is>
          <t>Risk Buy Authorization Only ¡V No Build/Shipment Allowed (Sustaining Only)</t>
        </is>
      </c>
      <c r="I1405" s="43" t="inlineStr">
        <is>
          <t>Customer Deviation</t>
        </is>
      </c>
      <c r="J1405" s="43" t="inlineStr">
        <is>
          <t>D603342</t>
        </is>
      </c>
      <c r="K1405" s="33" t="inlineStr">
        <is>
          <t>D603342 NGFWBU: Risk Buy: GQR No: GQR000049257; AQR No: AQR002319708; CPN: 15-100531-01; MFR NAME:DIODES INC; MPN: PI3CLS39306V8-7To execute the above AQR at CM Site.</t>
        </is>
      </c>
      <c r="L1405" s="43" t="inlineStr">
        <is>
          <t>Expired</t>
        </is>
      </c>
      <c r="M1405" s="43" t="inlineStr">
        <is>
          <t>15-100531-01</t>
        </is>
      </c>
      <c r="N1405" s="43" t="inlineStr"/>
      <c r="O1405" s="43" t="inlineStr">
        <is>
          <t>2025-07-22</t>
        </is>
      </c>
      <c r="P1405" s="33" t="inlineStr">
        <is>
          <t>Risk Buy Authorization</t>
        </is>
      </c>
      <c r="Q1405" s="43" t="inlineStr">
        <is>
          <t>No marking required.</t>
        </is>
      </c>
      <c r="R1405" s="43" t="inlineStr">
        <is>
          <t>2025-04-24</t>
        </is>
      </c>
      <c r="S1405" s="43" t="inlineStr">
        <is>
          <t>2025-05-14</t>
        </is>
      </c>
      <c r="T1405" s="43" t="inlineStr"/>
      <c r="U1405" s="43" t="inlineStr"/>
    </row>
    <row r="1406">
      <c r="A1406" s="43" t="n">
        <v>1406</v>
      </c>
      <c r="B1406" s="43" t="inlineStr">
        <is>
          <t>1405</t>
        </is>
      </c>
      <c r="C1406" s="43" t="inlineStr">
        <is>
          <t>FJZP</t>
        </is>
      </c>
      <c r="D1406" s="43" t="inlineStr">
        <is>
          <t>Cisco</t>
        </is>
      </c>
      <c r="E1406" s="43" t="inlineStr">
        <is>
          <t>MCGA</t>
        </is>
      </c>
      <c r="F1406" s="43" t="inlineStr">
        <is>
          <t>037-STBU</t>
        </is>
      </c>
      <c r="G1406" s="43" t="inlineStr">
        <is>
          <t>CTANJZ04578</t>
        </is>
      </c>
      <c r="H1406" s="43" t="inlineStr">
        <is>
          <t>Risk Buy Authorization Only ¡V No Build/Shipment Allowed (Sustaining Only)</t>
        </is>
      </c>
      <c r="I1406" s="43" t="inlineStr">
        <is>
          <t>Customer Deviation</t>
        </is>
      </c>
      <c r="J1406" s="43" t="inlineStr">
        <is>
          <t>D603342</t>
        </is>
      </c>
      <c r="K1406" s="33" t="inlineStr">
        <is>
          <t>D603342 NGFWBU: Risk Buy: GQR No: GQR000049257; AQR No: AQR002319708; CPN: 15-100531-01; MFR NAME:DIODES INC; MPN: PI3CLS39306V8-7To execute the above AQR at CM Site.</t>
        </is>
      </c>
      <c r="L1406" s="43" t="inlineStr">
        <is>
          <t>Expired</t>
        </is>
      </c>
      <c r="M1406" s="43" t="inlineStr">
        <is>
          <t>68-103466-06</t>
        </is>
      </c>
      <c r="N1406" s="43" t="inlineStr"/>
      <c r="O1406" s="43" t="inlineStr">
        <is>
          <t>2025-07-22</t>
        </is>
      </c>
      <c r="P1406" s="33" t="inlineStr">
        <is>
          <t>Risk Buy Authorization</t>
        </is>
      </c>
      <c r="Q1406" s="43" t="inlineStr">
        <is>
          <t>No marking required.</t>
        </is>
      </c>
      <c r="R1406" s="43" t="inlineStr">
        <is>
          <t>2025-04-24</t>
        </is>
      </c>
      <c r="S1406" s="43" t="inlineStr">
        <is>
          <t>2025-05-14</t>
        </is>
      </c>
      <c r="T1406" s="43" t="inlineStr"/>
      <c r="U1406" s="43" t="inlineStr"/>
    </row>
    <row r="1407">
      <c r="A1407" s="43" t="n">
        <v>1407</v>
      </c>
      <c r="B1407" s="43" t="inlineStr">
        <is>
          <t>1406</t>
        </is>
      </c>
      <c r="C1407" s="43" t="inlineStr">
        <is>
          <t>FJZP</t>
        </is>
      </c>
      <c r="D1407" s="43" t="inlineStr">
        <is>
          <t>Cisco</t>
        </is>
      </c>
      <c r="E1407" s="43" t="inlineStr">
        <is>
          <t>MCGA</t>
        </is>
      </c>
      <c r="F1407" s="43" t="inlineStr">
        <is>
          <t>037-STBU</t>
        </is>
      </c>
      <c r="G1407" s="43" t="inlineStr">
        <is>
          <t>CTANJZ04578</t>
        </is>
      </c>
      <c r="H1407" s="43" t="inlineStr">
        <is>
          <t>Risk Buy Authorization Only ¡V No Build/Shipment Allowed (Sustaining Only)</t>
        </is>
      </c>
      <c r="I1407" s="43" t="inlineStr">
        <is>
          <t>Customer Deviation</t>
        </is>
      </c>
      <c r="J1407" s="43" t="inlineStr">
        <is>
          <t>D603342</t>
        </is>
      </c>
      <c r="K1407" s="33" t="inlineStr">
        <is>
          <t>D603342 NGFWBU: Risk Buy: GQR No: GQR000049257; AQR No: AQR002319708; CPN: 15-100531-01; MFR NAME:DIODES INC; MPN: PI3CLS39306V8-7To execute the above AQR at CM Site.</t>
        </is>
      </c>
      <c r="L1407" s="43" t="inlineStr">
        <is>
          <t>Expired</t>
        </is>
      </c>
      <c r="M1407" s="43" t="inlineStr">
        <is>
          <t>73-102435-05</t>
        </is>
      </c>
      <c r="N1407" s="43" t="inlineStr"/>
      <c r="O1407" s="43" t="inlineStr">
        <is>
          <t>2025-07-22</t>
        </is>
      </c>
      <c r="P1407" s="33" t="inlineStr">
        <is>
          <t>Risk Buy Authorization</t>
        </is>
      </c>
      <c r="Q1407" s="43" t="inlineStr">
        <is>
          <t>No marking required.</t>
        </is>
      </c>
      <c r="R1407" s="43" t="inlineStr">
        <is>
          <t>2025-04-24</t>
        </is>
      </c>
      <c r="S1407" s="43" t="inlineStr">
        <is>
          <t>2025-05-14</t>
        </is>
      </c>
      <c r="T1407" s="43" t="inlineStr"/>
      <c r="U1407" s="43" t="inlineStr"/>
    </row>
    <row r="1408">
      <c r="A1408" s="43" t="n">
        <v>1408</v>
      </c>
      <c r="B1408" s="43" t="inlineStr">
        <is>
          <t>1407</t>
        </is>
      </c>
      <c r="C1408" s="43" t="inlineStr">
        <is>
          <t>FJZP</t>
        </is>
      </c>
      <c r="D1408" s="43" t="inlineStr">
        <is>
          <t>Cisco</t>
        </is>
      </c>
      <c r="E1408" s="43" t="inlineStr">
        <is>
          <t>MCGA</t>
        </is>
      </c>
      <c r="F1408" s="43" t="inlineStr">
        <is>
          <t>037-STBU</t>
        </is>
      </c>
      <c r="G1408" s="43" t="inlineStr">
        <is>
          <t>CTANJZ04618</t>
        </is>
      </c>
      <c r="H1408" s="43" t="inlineStr">
        <is>
          <t>Risk Buy Authorization Only ¡V No Build/Shipment Allowed (Sustaining Only)</t>
        </is>
      </c>
      <c r="I1408" s="43" t="inlineStr">
        <is>
          <t>Customer Deviation</t>
        </is>
      </c>
      <c r="J1408" s="43" t="inlineStr">
        <is>
          <t>D603586</t>
        </is>
      </c>
      <c r="K1408" s="33" t="inlineStr">
        <is>
          <t>D603586 NGFWBU: Risk Buy: GQR No: GQR000047935; AQR No: AQR002263531 ; CPN: 20-0405-01; MFR NAME: ROHM; MPN: US6K1To execute the above AQR at CM Site.</t>
        </is>
      </c>
      <c r="L1408" s="43" t="inlineStr">
        <is>
          <t>Expired</t>
        </is>
      </c>
      <c r="M1408" s="43" t="inlineStr">
        <is>
          <t>20-0405-01</t>
        </is>
      </c>
      <c r="N1408" s="43" t="inlineStr"/>
      <c r="O1408" s="43" t="inlineStr">
        <is>
          <t>2025-08-20</t>
        </is>
      </c>
      <c r="P1408" s="33" t="inlineStr">
        <is>
          <t>Risk Buy Authorization</t>
        </is>
      </c>
      <c r="Q1408" s="43" t="inlineStr">
        <is>
          <t>No marking required.</t>
        </is>
      </c>
      <c r="R1408" s="43" t="inlineStr">
        <is>
          <t>2025-05-23</t>
        </is>
      </c>
      <c r="S1408" s="43" t="inlineStr">
        <is>
          <t>2025-06-11</t>
        </is>
      </c>
      <c r="T1408" s="43" t="inlineStr"/>
      <c r="U1408" s="43" t="inlineStr"/>
    </row>
    <row r="1409">
      <c r="A1409" s="43" t="n">
        <v>1409</v>
      </c>
      <c r="B1409" s="43" t="inlineStr">
        <is>
          <t>1408</t>
        </is>
      </c>
      <c r="C1409" s="43" t="inlineStr">
        <is>
          <t>FJZP</t>
        </is>
      </c>
      <c r="D1409" s="43" t="inlineStr">
        <is>
          <t>Cisco</t>
        </is>
      </c>
      <c r="E1409" s="43" t="inlineStr">
        <is>
          <t>MCGA</t>
        </is>
      </c>
      <c r="F1409" s="43" t="inlineStr">
        <is>
          <t>037-STBU</t>
        </is>
      </c>
      <c r="G1409" s="43" t="inlineStr">
        <is>
          <t>CTANJZ04618</t>
        </is>
      </c>
      <c r="H1409" s="43" t="inlineStr">
        <is>
          <t>Risk Buy Authorization Only ¡V No Build/Shipment Allowed (Sustaining Only)</t>
        </is>
      </c>
      <c r="I1409" s="43" t="inlineStr">
        <is>
          <t>Customer Deviation</t>
        </is>
      </c>
      <c r="J1409" s="43" t="inlineStr">
        <is>
          <t>D603586</t>
        </is>
      </c>
      <c r="K1409" s="33" t="inlineStr">
        <is>
          <t>D603586 NGFWBU: Risk Buy: GQR No: GQR000047935; AQR No: AQR002263531 ; CPN: 20-0405-01; MFR NAME: ROHM; MPN: US6K1To execute the above AQR at CM Site.</t>
        </is>
      </c>
      <c r="L1409" s="43" t="inlineStr">
        <is>
          <t>Expired</t>
        </is>
      </c>
      <c r="M1409" s="43" t="inlineStr">
        <is>
          <t>68-7255-05</t>
        </is>
      </c>
      <c r="N1409" s="43" t="inlineStr"/>
      <c r="O1409" s="43" t="inlineStr">
        <is>
          <t>2025-08-20</t>
        </is>
      </c>
      <c r="P1409" s="33" t="inlineStr">
        <is>
          <t>Risk Buy Authorization</t>
        </is>
      </c>
      <c r="Q1409" s="43" t="inlineStr">
        <is>
          <t>No marking required.</t>
        </is>
      </c>
      <c r="R1409" s="43" t="inlineStr">
        <is>
          <t>2025-05-23</t>
        </is>
      </c>
      <c r="S1409" s="43" t="inlineStr">
        <is>
          <t>2025-06-11</t>
        </is>
      </c>
      <c r="T1409" s="43" t="inlineStr"/>
      <c r="U1409" s="43" t="inlineStr"/>
    </row>
    <row r="1410">
      <c r="A1410" s="43" t="n">
        <v>1410</v>
      </c>
      <c r="B1410" s="43" t="inlineStr">
        <is>
          <t>1409</t>
        </is>
      </c>
      <c r="C1410" s="43" t="inlineStr">
        <is>
          <t>FJZP</t>
        </is>
      </c>
      <c r="D1410" s="43" t="inlineStr">
        <is>
          <t>Cisco</t>
        </is>
      </c>
      <c r="E1410" s="43" t="inlineStr">
        <is>
          <t>MCGA</t>
        </is>
      </c>
      <c r="F1410" s="43" t="inlineStr">
        <is>
          <t>037-STBU</t>
        </is>
      </c>
      <c r="G1410" s="43" t="inlineStr">
        <is>
          <t>CTANJZ04618</t>
        </is>
      </c>
      <c r="H1410" s="43" t="inlineStr">
        <is>
          <t>Risk Buy Authorization Only ¡V No Build/Shipment Allowed (Sustaining Only)</t>
        </is>
      </c>
      <c r="I1410" s="43" t="inlineStr">
        <is>
          <t>Customer Deviation</t>
        </is>
      </c>
      <c r="J1410" s="43" t="inlineStr">
        <is>
          <t>D603586</t>
        </is>
      </c>
      <c r="K1410" s="33" t="inlineStr">
        <is>
          <t>D603586 NGFWBU: Risk Buy: GQR No: GQR000047935; AQR No: AQR002263531 ; CPN: 20-0405-01; MFR NAME: ROHM; MPN: US6K1To execute the above AQR at CM Site.</t>
        </is>
      </c>
      <c r="L1410" s="43" t="inlineStr">
        <is>
          <t>Expired</t>
        </is>
      </c>
      <c r="M1410" s="43" t="inlineStr">
        <is>
          <t>73-20247-06</t>
        </is>
      </c>
      <c r="N1410" s="43" t="inlineStr"/>
      <c r="O1410" s="43" t="inlineStr">
        <is>
          <t>2025-08-20</t>
        </is>
      </c>
      <c r="P1410" s="33" t="inlineStr">
        <is>
          <t>Risk Buy Authorization</t>
        </is>
      </c>
      <c r="Q1410" s="43" t="inlineStr">
        <is>
          <t>No marking required.</t>
        </is>
      </c>
      <c r="R1410" s="43" t="inlineStr">
        <is>
          <t>2025-05-23</t>
        </is>
      </c>
      <c r="S1410" s="43" t="inlineStr">
        <is>
          <t>2025-06-11</t>
        </is>
      </c>
      <c r="T1410" s="43" t="inlineStr"/>
      <c r="U1410" s="43" t="inlineStr"/>
    </row>
    <row r="1411">
      <c r="A1411" s="43" t="n">
        <v>1411</v>
      </c>
      <c r="B1411" s="43" t="inlineStr">
        <is>
          <t>1410</t>
        </is>
      </c>
      <c r="C1411" s="43" t="inlineStr">
        <is>
          <t>FJZP</t>
        </is>
      </c>
      <c r="D1411" s="43" t="inlineStr">
        <is>
          <t>Cisco</t>
        </is>
      </c>
      <c r="E1411" s="43" t="inlineStr">
        <is>
          <t>MCGA</t>
        </is>
      </c>
      <c r="F1411" s="43" t="inlineStr">
        <is>
          <t>037-STBU</t>
        </is>
      </c>
      <c r="G1411" s="43" t="inlineStr">
        <is>
          <t>CTANJZ04453</t>
        </is>
      </c>
      <c r="H1411" s="43" t="inlineStr">
        <is>
          <t>Risk Buy Authorization Only ¡V No Build/Shipment Allowed (Sustaining Only)</t>
        </is>
      </c>
      <c r="I1411" s="43" t="inlineStr">
        <is>
          <t>Customer Deviation</t>
        </is>
      </c>
      <c r="J1411" s="43" t="inlineStr">
        <is>
          <t>D601097</t>
        </is>
      </c>
      <c r="K1411" s="33" t="inlineStr">
        <is>
          <t>D601097NGFWBU: Risk Buy: GQR No: GQR000041154; AQR No: AQR001673096; CPN:36-0227-01; MFR NAME: TAI-TECH ADVANCED ELECTRONICS; MPN:MB15K601-03CTo execute the above AQR at CM Site.</t>
        </is>
      </c>
      <c r="L1411" s="43" t="inlineStr">
        <is>
          <t>Expired</t>
        </is>
      </c>
      <c r="M1411" s="43" t="inlineStr">
        <is>
          <t>36-0227-01</t>
        </is>
      </c>
      <c r="N1411" s="43" t="inlineStr"/>
      <c r="O1411" s="43" t="inlineStr">
        <is>
          <t>2025-05-13</t>
        </is>
      </c>
      <c r="P1411" s="33" t="inlineStr">
        <is>
          <t>Risk Buy Authorization</t>
        </is>
      </c>
      <c r="Q1411" s="43" t="inlineStr">
        <is>
          <t>No marking required</t>
        </is>
      </c>
      <c r="R1411" s="43" t="inlineStr">
        <is>
          <t>2025-02-13</t>
        </is>
      </c>
      <c r="S1411" s="43" t="inlineStr">
        <is>
          <t>2025-02-21</t>
        </is>
      </c>
      <c r="T1411" s="43" t="inlineStr"/>
      <c r="U1411" s="43" t="inlineStr"/>
    </row>
    <row r="1412">
      <c r="A1412" s="43" t="n">
        <v>1412</v>
      </c>
      <c r="B1412" s="43" t="inlineStr">
        <is>
          <t>1411</t>
        </is>
      </c>
      <c r="C1412" s="43" t="inlineStr">
        <is>
          <t>FJZP</t>
        </is>
      </c>
      <c r="D1412" s="43" t="inlineStr">
        <is>
          <t>Cisco</t>
        </is>
      </c>
      <c r="E1412" s="43" t="inlineStr">
        <is>
          <t>MCGA</t>
        </is>
      </c>
      <c r="F1412" s="43" t="inlineStr">
        <is>
          <t>037-STBU</t>
        </is>
      </c>
      <c r="G1412" s="43" t="inlineStr">
        <is>
          <t>CTANJZ04453</t>
        </is>
      </c>
      <c r="H1412" s="43" t="inlineStr">
        <is>
          <t>Risk Buy Authorization Only ¡V No Build/Shipment Allowed (Sustaining Only)</t>
        </is>
      </c>
      <c r="I1412" s="43" t="inlineStr">
        <is>
          <t>Customer Deviation</t>
        </is>
      </c>
      <c r="J1412" s="43" t="inlineStr">
        <is>
          <t>D601097</t>
        </is>
      </c>
      <c r="K1412" s="33" t="inlineStr">
        <is>
          <t>D601097NGFWBU: Risk Buy: GQR No: GQR000041154; AQR No: AQR001673096; CPN:36-0227-01; MFR NAME: TAI-TECH ADVANCED ELECTRONICS; MPN:MB15K601-03CTo execute the above AQR at CM Site.</t>
        </is>
      </c>
      <c r="L1412" s="43" t="inlineStr">
        <is>
          <t>Expired</t>
        </is>
      </c>
      <c r="M1412" s="43" t="inlineStr">
        <is>
          <t>68-6803-03</t>
        </is>
      </c>
      <c r="N1412" s="43" t="inlineStr"/>
      <c r="O1412" s="43" t="inlineStr">
        <is>
          <t>2025-05-13</t>
        </is>
      </c>
      <c r="P1412" s="33" t="inlineStr">
        <is>
          <t>Risk Buy Authorization</t>
        </is>
      </c>
      <c r="Q1412" s="43" t="inlineStr">
        <is>
          <t>No marking required</t>
        </is>
      </c>
      <c r="R1412" s="43" t="inlineStr">
        <is>
          <t>2025-02-13</t>
        </is>
      </c>
      <c r="S1412" s="43" t="inlineStr">
        <is>
          <t>2025-02-21</t>
        </is>
      </c>
      <c r="T1412" s="43" t="inlineStr"/>
      <c r="U1412" s="43" t="inlineStr"/>
    </row>
    <row r="1413">
      <c r="A1413" s="43" t="n">
        <v>1413</v>
      </c>
      <c r="B1413" s="43" t="inlineStr">
        <is>
          <t>1412</t>
        </is>
      </c>
      <c r="C1413" s="43" t="inlineStr">
        <is>
          <t>FJZP</t>
        </is>
      </c>
      <c r="D1413" s="43" t="inlineStr">
        <is>
          <t>Cisco</t>
        </is>
      </c>
      <c r="E1413" s="43" t="inlineStr">
        <is>
          <t>MCGA</t>
        </is>
      </c>
      <c r="F1413" s="43" t="inlineStr">
        <is>
          <t>037-STBU</t>
        </is>
      </c>
      <c r="G1413" s="43" t="inlineStr">
        <is>
          <t>CTANJZ04453</t>
        </is>
      </c>
      <c r="H1413" s="43" t="inlineStr">
        <is>
          <t>Risk Buy Authorization Only ¡V No Build/Shipment Allowed (Sustaining Only)</t>
        </is>
      </c>
      <c r="I1413" s="43" t="inlineStr">
        <is>
          <t>Customer Deviation</t>
        </is>
      </c>
      <c r="J1413" s="43" t="inlineStr">
        <is>
          <t>D601097</t>
        </is>
      </c>
      <c r="K1413" s="33" t="inlineStr">
        <is>
          <t>D601097NGFWBU: Risk Buy: GQR No: GQR000041154; AQR No: AQR001673096; CPN:36-0227-01; MFR NAME: TAI-TECH ADVANCED ELECTRONICS; MPN:MB15K601-03CTo execute the above AQR at CM Site.</t>
        </is>
      </c>
      <c r="L1413" s="43" t="inlineStr">
        <is>
          <t>Expired</t>
        </is>
      </c>
      <c r="M1413" s="43" t="inlineStr">
        <is>
          <t>73-17499-07</t>
        </is>
      </c>
      <c r="N1413" s="43" t="inlineStr"/>
      <c r="O1413" s="43" t="inlineStr">
        <is>
          <t>2025-05-13</t>
        </is>
      </c>
      <c r="P1413" s="33" t="inlineStr">
        <is>
          <t>Risk Buy Authorization</t>
        </is>
      </c>
      <c r="Q1413" s="43" t="inlineStr">
        <is>
          <t>No marking required</t>
        </is>
      </c>
      <c r="R1413" s="43" t="inlineStr">
        <is>
          <t>2025-02-13</t>
        </is>
      </c>
      <c r="S1413" s="43" t="inlineStr">
        <is>
          <t>2025-02-21</t>
        </is>
      </c>
      <c r="T1413" s="43" t="inlineStr"/>
      <c r="U1413" s="43" t="inlineStr"/>
    </row>
    <row r="1414">
      <c r="A1414" s="43" t="n">
        <v>1414</v>
      </c>
      <c r="B1414" s="43" t="inlineStr">
        <is>
          <t>1413</t>
        </is>
      </c>
      <c r="C1414" s="43" t="inlineStr">
        <is>
          <t>FJZP</t>
        </is>
      </c>
      <c r="D1414" s="43" t="inlineStr">
        <is>
          <t>Cisco</t>
        </is>
      </c>
      <c r="E1414" s="43" t="inlineStr">
        <is>
          <t>MCGA</t>
        </is>
      </c>
      <c r="F1414" s="43" t="inlineStr">
        <is>
          <t>037-STBU</t>
        </is>
      </c>
      <c r="G1414" s="43" t="inlineStr">
        <is>
          <t>CTANJZ04510</t>
        </is>
      </c>
      <c r="H1414" s="43" t="inlineStr">
        <is>
          <t>Risk Buy Authorization Only ¡V No Build/Shipment Allowed (Sustaining Only)</t>
        </is>
      </c>
      <c r="I1414" s="43" t="inlineStr">
        <is>
          <t>Customer Deviation</t>
        </is>
      </c>
      <c r="J1414" s="43" t="inlineStr">
        <is>
          <t>D601185</t>
        </is>
      </c>
      <c r="K1414" s="33" t="inlineStr">
        <is>
          <t>D601185 NGFWBU: Risk Buy: GQR No: GQR000006098; AQR No: AQR000305168; CPN:15-100294-01; MFR NAME: ONSEMI; MPN: NCP51200MNTXGTo execute the above AQR at CM Site</t>
        </is>
      </c>
      <c r="L1414" s="43" t="inlineStr">
        <is>
          <t>Expired</t>
        </is>
      </c>
      <c r="M1414" s="43" t="inlineStr">
        <is>
          <t>15-100294-01</t>
        </is>
      </c>
      <c r="N1414" s="43" t="inlineStr"/>
      <c r="O1414" s="43" t="inlineStr">
        <is>
          <t>2025-06-19</t>
        </is>
      </c>
      <c r="P1414" s="33" t="inlineStr">
        <is>
          <t>Risk Buy Authorization</t>
        </is>
      </c>
      <c r="Q1414" s="43" t="inlineStr">
        <is>
          <t>No marking required</t>
        </is>
      </c>
      <c r="R1414" s="43" t="inlineStr">
        <is>
          <t>2025-03-24</t>
        </is>
      </c>
      <c r="S1414" s="43" t="inlineStr">
        <is>
          <t>2025-04-10</t>
        </is>
      </c>
      <c r="T1414" s="43" t="inlineStr"/>
      <c r="U1414" s="43" t="inlineStr"/>
    </row>
    <row r="1415">
      <c r="A1415" s="43" t="n">
        <v>1415</v>
      </c>
      <c r="B1415" s="43" t="inlineStr">
        <is>
          <t>1414</t>
        </is>
      </c>
      <c r="C1415" s="43" t="inlineStr">
        <is>
          <t>FJZP</t>
        </is>
      </c>
      <c r="D1415" s="43" t="inlineStr">
        <is>
          <t>Cisco</t>
        </is>
      </c>
      <c r="E1415" s="43" t="inlineStr">
        <is>
          <t>MCGA</t>
        </is>
      </c>
      <c r="F1415" s="43" t="inlineStr">
        <is>
          <t>037-STBU</t>
        </is>
      </c>
      <c r="G1415" s="43" t="inlineStr">
        <is>
          <t>CTANJZ04649</t>
        </is>
      </c>
      <c r="H1415" s="43" t="inlineStr">
        <is>
          <t>Risk Buy Authorization Only ¡V No Build/Shipment Allowed (Sustaining Only)</t>
        </is>
      </c>
      <c r="I1415" s="43" t="inlineStr">
        <is>
          <t>Customer Deviation</t>
        </is>
      </c>
      <c r="J1415" s="43" t="inlineStr">
        <is>
          <t>D604092</t>
        </is>
      </c>
      <c r="K1415" s="33" t="inlineStr">
        <is>
          <t>D604092 NGFWBU: Risk Buy: GQR No: GQR000052832; AQR No:AQR002399499; CPN: 20-0187-01; MFR NAME: DIODES INC; MPN: DZT2222A-13</t>
        </is>
      </c>
      <c r="L1415" s="43" t="inlineStr">
        <is>
          <t>Expired</t>
        </is>
      </c>
      <c r="M1415" s="43" t="inlineStr">
        <is>
          <t>20-0187-01</t>
        </is>
      </c>
      <c r="N1415" s="43" t="inlineStr"/>
      <c r="O1415" s="43" t="inlineStr">
        <is>
          <t>2025-09-02</t>
        </is>
      </c>
      <c r="P1415" s="33" t="inlineStr">
        <is>
          <t>Risk Buy Authorization</t>
        </is>
      </c>
      <c r="Q1415" s="43" t="inlineStr">
        <is>
          <t>No marking required.</t>
        </is>
      </c>
      <c r="R1415" s="43" t="inlineStr">
        <is>
          <t>2025-06-05</t>
        </is>
      </c>
      <c r="S1415" s="43" t="inlineStr">
        <is>
          <t>2025-06-26</t>
        </is>
      </c>
      <c r="T1415" s="43" t="inlineStr"/>
      <c r="U1415" s="43" t="inlineStr"/>
    </row>
    <row r="1416">
      <c r="A1416" s="43" t="n">
        <v>1416</v>
      </c>
      <c r="B1416" s="43" t="inlineStr">
        <is>
          <t>1415</t>
        </is>
      </c>
      <c r="C1416" s="43" t="inlineStr">
        <is>
          <t>FJZP</t>
        </is>
      </c>
      <c r="D1416" s="43" t="inlineStr">
        <is>
          <t>Cisco</t>
        </is>
      </c>
      <c r="E1416" s="43" t="inlineStr">
        <is>
          <t>MCGA</t>
        </is>
      </c>
      <c r="F1416" s="43" t="inlineStr">
        <is>
          <t>037-STBU</t>
        </is>
      </c>
      <c r="G1416" s="43" t="inlineStr">
        <is>
          <t>CTANJZ04649</t>
        </is>
      </c>
      <c r="H1416" s="43" t="inlineStr">
        <is>
          <t>Risk Buy Authorization Only ¡V No Build/Shipment Allowed (Sustaining Only)</t>
        </is>
      </c>
      <c r="I1416" s="43" t="inlineStr">
        <is>
          <t>Customer Deviation</t>
        </is>
      </c>
      <c r="J1416" s="43" t="inlineStr">
        <is>
          <t>D604092</t>
        </is>
      </c>
      <c r="K1416" s="33" t="inlineStr">
        <is>
          <t>D604092 NGFWBU: Risk Buy: GQR No: GQR000052832; AQR No:AQR002399499; CPN: 20-0187-01; MFR NAME: DIODES INC; MPN: DZT2222A-13</t>
        </is>
      </c>
      <c r="L1416" s="43" t="inlineStr">
        <is>
          <t>Expired</t>
        </is>
      </c>
      <c r="M1416" s="43" t="inlineStr">
        <is>
          <t>68-6804-03</t>
        </is>
      </c>
      <c r="N1416" s="43" t="inlineStr"/>
      <c r="O1416" s="43" t="inlineStr">
        <is>
          <t>2025-09-02</t>
        </is>
      </c>
      <c r="P1416" s="33" t="inlineStr">
        <is>
          <t>Risk Buy Authorization</t>
        </is>
      </c>
      <c r="Q1416" s="43" t="inlineStr">
        <is>
          <t>No marking required.</t>
        </is>
      </c>
      <c r="R1416" s="43" t="inlineStr">
        <is>
          <t>2025-06-05</t>
        </is>
      </c>
      <c r="S1416" s="43" t="inlineStr">
        <is>
          <t>2025-06-26</t>
        </is>
      </c>
      <c r="T1416" s="43" t="inlineStr"/>
      <c r="U1416" s="43" t="inlineStr"/>
    </row>
    <row r="1417">
      <c r="A1417" s="43" t="n">
        <v>1417</v>
      </c>
      <c r="B1417" s="43" t="inlineStr">
        <is>
          <t>1416</t>
        </is>
      </c>
      <c r="C1417" s="43" t="inlineStr">
        <is>
          <t>FJZP</t>
        </is>
      </c>
      <c r="D1417" s="43" t="inlineStr">
        <is>
          <t>Cisco</t>
        </is>
      </c>
      <c r="E1417" s="43" t="inlineStr">
        <is>
          <t>MCGA</t>
        </is>
      </c>
      <c r="F1417" s="43" t="inlineStr">
        <is>
          <t>037-STBU</t>
        </is>
      </c>
      <c r="G1417" s="43" t="inlineStr">
        <is>
          <t>CTANJZ04649</t>
        </is>
      </c>
      <c r="H1417" s="43" t="inlineStr">
        <is>
          <t>Risk Buy Authorization Only ¡V No Build/Shipment Allowed (Sustaining Only)</t>
        </is>
      </c>
      <c r="I1417" s="43" t="inlineStr">
        <is>
          <t>Customer Deviation</t>
        </is>
      </c>
      <c r="J1417" s="43" t="inlineStr">
        <is>
          <t>D604092</t>
        </is>
      </c>
      <c r="K1417" s="33" t="inlineStr">
        <is>
          <t>D604092 NGFWBU: Risk Buy: GQR No: GQR000052832; AQR No:AQR002399499; CPN: 20-0187-01; MFR NAME: DIODES INC; MPN: DZT2222A-13</t>
        </is>
      </c>
      <c r="L1417" s="43" t="inlineStr">
        <is>
          <t>Expired</t>
        </is>
      </c>
      <c r="M1417" s="43" t="inlineStr">
        <is>
          <t>73-17498-04</t>
        </is>
      </c>
      <c r="N1417" s="43" t="inlineStr"/>
      <c r="O1417" s="43" t="inlineStr">
        <is>
          <t>2025-09-02</t>
        </is>
      </c>
      <c r="P1417" s="33" t="inlineStr">
        <is>
          <t>Risk Buy Authorization</t>
        </is>
      </c>
      <c r="Q1417" s="43" t="inlineStr">
        <is>
          <t>No marking required.</t>
        </is>
      </c>
      <c r="R1417" s="43" t="inlineStr">
        <is>
          <t>2025-06-05</t>
        </is>
      </c>
      <c r="S1417" s="43" t="inlineStr">
        <is>
          <t>2025-06-26</t>
        </is>
      </c>
      <c r="T1417" s="43" t="inlineStr"/>
      <c r="U1417" s="43" t="inlineStr"/>
    </row>
    <row r="1418">
      <c r="A1418" s="43" t="n">
        <v>1418</v>
      </c>
      <c r="B1418" s="43" t="inlineStr">
        <is>
          <t>1417</t>
        </is>
      </c>
      <c r="C1418" s="43" t="inlineStr">
        <is>
          <t>FJZP</t>
        </is>
      </c>
      <c r="D1418" s="43" t="inlineStr">
        <is>
          <t>Cisco</t>
        </is>
      </c>
      <c r="E1418" s="43" t="inlineStr">
        <is>
          <t>MCGA</t>
        </is>
      </c>
      <c r="F1418" s="43" t="inlineStr">
        <is>
          <t>037-STBU</t>
        </is>
      </c>
      <c r="G1418" s="43" t="inlineStr">
        <is>
          <t>CTANJZ04649</t>
        </is>
      </c>
      <c r="H1418" s="43" t="inlineStr">
        <is>
          <t>Risk Buy Authorization Only ¡V No Build/Shipment Allowed (Sustaining Only)</t>
        </is>
      </c>
      <c r="I1418" s="43" t="inlineStr">
        <is>
          <t>Customer Deviation</t>
        </is>
      </c>
      <c r="J1418" s="43" t="inlineStr">
        <is>
          <t>D604092</t>
        </is>
      </c>
      <c r="K1418" s="33" t="inlineStr">
        <is>
          <t>D604092 NGFWBU: Risk Buy: GQR No: GQR000052832; AQR No:AQR002399499; CPN: 20-0187-01; MFR NAME: DIODES INC; MPN: DZT2222A-13</t>
        </is>
      </c>
      <c r="L1418" s="43" t="inlineStr">
        <is>
          <t>Expired</t>
        </is>
      </c>
      <c r="M1418" s="43" t="inlineStr">
        <is>
          <t>800-105499-03</t>
        </is>
      </c>
      <c r="N1418" s="43" t="inlineStr"/>
      <c r="O1418" s="43" t="inlineStr">
        <is>
          <t>2025-09-02</t>
        </is>
      </c>
      <c r="P1418" s="33" t="inlineStr">
        <is>
          <t>Risk Buy Authorization</t>
        </is>
      </c>
      <c r="Q1418" s="43" t="inlineStr">
        <is>
          <t>No marking required.</t>
        </is>
      </c>
      <c r="R1418" s="43" t="inlineStr">
        <is>
          <t>2025-06-05</t>
        </is>
      </c>
      <c r="S1418" s="43" t="inlineStr">
        <is>
          <t>2025-06-26</t>
        </is>
      </c>
      <c r="T1418" s="43" t="inlineStr"/>
      <c r="U1418" s="43" t="inlineStr"/>
    </row>
    <row r="1419">
      <c r="A1419" s="43" t="n">
        <v>1419</v>
      </c>
      <c r="B1419" s="43" t="inlineStr">
        <is>
          <t>1418</t>
        </is>
      </c>
      <c r="C1419" s="43" t="inlineStr">
        <is>
          <t>FJZP</t>
        </is>
      </c>
      <c r="D1419" s="43" t="inlineStr">
        <is>
          <t>Cisco</t>
        </is>
      </c>
      <c r="E1419" s="43" t="inlineStr">
        <is>
          <t>MCGA</t>
        </is>
      </c>
      <c r="F1419" s="43" t="inlineStr">
        <is>
          <t>037-STBU</t>
        </is>
      </c>
      <c r="G1419" s="43" t="inlineStr">
        <is>
          <t>CTANJZ04648</t>
        </is>
      </c>
      <c r="H1419" s="43" t="inlineStr">
        <is>
          <t>Risk Buy Authorization Only ¡V No Build/Shipment Allowed (Sustaining Only)</t>
        </is>
      </c>
      <c r="I1419" s="43" t="inlineStr">
        <is>
          <t>Customer Deviation</t>
        </is>
      </c>
      <c r="J1419" s="43" t="inlineStr">
        <is>
          <t>D604046</t>
        </is>
      </c>
      <c r="K1419" s="33" t="inlineStr">
        <is>
          <t>D604046 NGFWBU: Risk Buy: GQR No: GQR000054859; AQR No:AQR002377427; CPN: 20-0443-01; MFR NAME: CYSTECH ELECTRONICS CORP; MPN: MTB2D6N03RJ3</t>
        </is>
      </c>
      <c r="L1419" s="43" t="inlineStr">
        <is>
          <t>Expired</t>
        </is>
      </c>
      <c r="M1419" s="43" t="inlineStr">
        <is>
          <t>20-0443-01</t>
        </is>
      </c>
      <c r="N1419" s="43" t="inlineStr"/>
      <c r="O1419" s="43" t="inlineStr">
        <is>
          <t>2025-09-02</t>
        </is>
      </c>
      <c r="P1419" s="33" t="inlineStr">
        <is>
          <t>Risk Buy Authorization</t>
        </is>
      </c>
      <c r="Q1419" s="43" t="inlineStr">
        <is>
          <t>No marking required.</t>
        </is>
      </c>
      <c r="R1419" s="43" t="inlineStr">
        <is>
          <t>2025-06-05</t>
        </is>
      </c>
      <c r="S1419" s="43" t="inlineStr">
        <is>
          <t>2025-06-26</t>
        </is>
      </c>
      <c r="T1419" s="43" t="inlineStr"/>
      <c r="U1419" s="43" t="inlineStr"/>
    </row>
    <row r="1420">
      <c r="A1420" s="43" t="n">
        <v>1420</v>
      </c>
      <c r="B1420" s="43" t="inlineStr">
        <is>
          <t>1419</t>
        </is>
      </c>
      <c r="C1420" s="43" t="inlineStr">
        <is>
          <t>FJZP</t>
        </is>
      </c>
      <c r="D1420" s="43" t="inlineStr">
        <is>
          <t>Cisco</t>
        </is>
      </c>
      <c r="E1420" s="43" t="inlineStr">
        <is>
          <t>MCGA</t>
        </is>
      </c>
      <c r="F1420" s="43" t="inlineStr">
        <is>
          <t>037-STBU</t>
        </is>
      </c>
      <c r="G1420" s="43" t="inlineStr">
        <is>
          <t>CTANJZ04648</t>
        </is>
      </c>
      <c r="H1420" s="43" t="inlineStr">
        <is>
          <t>Risk Buy Authorization Only ¡V No Build/Shipment Allowed (Sustaining Only)</t>
        </is>
      </c>
      <c r="I1420" s="43" t="inlineStr">
        <is>
          <t>Customer Deviation</t>
        </is>
      </c>
      <c r="J1420" s="43" t="inlineStr">
        <is>
          <t>D604046</t>
        </is>
      </c>
      <c r="K1420" s="33" t="inlineStr">
        <is>
          <t>D604046 NGFWBU: Risk Buy: GQR No: GQR000054859; AQR No:AQR002377427; CPN: 20-0443-01; MFR NAME: CYSTECH ELECTRONICS CORP; MPN: MTB2D6N03RJ3</t>
        </is>
      </c>
      <c r="L1420" s="43" t="inlineStr">
        <is>
          <t>Expired</t>
        </is>
      </c>
      <c r="M1420" s="43" t="inlineStr">
        <is>
          <t>68-6805-03</t>
        </is>
      </c>
      <c r="N1420" s="43" t="inlineStr"/>
      <c r="O1420" s="43" t="inlineStr">
        <is>
          <t>2025-09-02</t>
        </is>
      </c>
      <c r="P1420" s="33" t="inlineStr">
        <is>
          <t>Risk Buy Authorization</t>
        </is>
      </c>
      <c r="Q1420" s="43" t="inlineStr">
        <is>
          <t>No marking required.</t>
        </is>
      </c>
      <c r="R1420" s="43" t="inlineStr">
        <is>
          <t>2025-06-05</t>
        </is>
      </c>
      <c r="S1420" s="43" t="inlineStr">
        <is>
          <t>2025-06-26</t>
        </is>
      </c>
      <c r="T1420" s="43" t="inlineStr"/>
      <c r="U1420" s="43" t="inlineStr"/>
    </row>
    <row r="1421">
      <c r="A1421" s="43" t="n">
        <v>1421</v>
      </c>
      <c r="B1421" s="43" t="inlineStr">
        <is>
          <t>1420</t>
        </is>
      </c>
      <c r="C1421" s="43" t="inlineStr">
        <is>
          <t>FJZP</t>
        </is>
      </c>
      <c r="D1421" s="43" t="inlineStr">
        <is>
          <t>Cisco</t>
        </is>
      </c>
      <c r="E1421" s="43" t="inlineStr">
        <is>
          <t>MCGA</t>
        </is>
      </c>
      <c r="F1421" s="43" t="inlineStr">
        <is>
          <t>037-STBU</t>
        </is>
      </c>
      <c r="G1421" s="43" t="inlineStr">
        <is>
          <t>CTANJZ04648</t>
        </is>
      </c>
      <c r="H1421" s="43" t="inlineStr">
        <is>
          <t>Risk Buy Authorization Only ¡V No Build/Shipment Allowed (Sustaining Only)</t>
        </is>
      </c>
      <c r="I1421" s="43" t="inlineStr">
        <is>
          <t>Customer Deviation</t>
        </is>
      </c>
      <c r="J1421" s="43" t="inlineStr">
        <is>
          <t>D604046</t>
        </is>
      </c>
      <c r="K1421" s="33" t="inlineStr">
        <is>
          <t>D604046 NGFWBU: Risk Buy: GQR No: GQR000054859; AQR No:AQR002377427; CPN: 20-0443-01; MFR NAME: CYSTECH ELECTRONICS CORP; MPN: MTB2D6N03RJ3</t>
        </is>
      </c>
      <c r="L1421" s="43" t="inlineStr">
        <is>
          <t>Expired</t>
        </is>
      </c>
      <c r="M1421" s="43" t="inlineStr">
        <is>
          <t>73-17497-04</t>
        </is>
      </c>
      <c r="N1421" s="43" t="inlineStr"/>
      <c r="O1421" s="43" t="inlineStr">
        <is>
          <t>2025-09-02</t>
        </is>
      </c>
      <c r="P1421" s="33" t="inlineStr">
        <is>
          <t>Risk Buy Authorization</t>
        </is>
      </c>
      <c r="Q1421" s="43" t="inlineStr">
        <is>
          <t>No marking required.</t>
        </is>
      </c>
      <c r="R1421" s="43" t="inlineStr">
        <is>
          <t>2025-06-05</t>
        </is>
      </c>
      <c r="S1421" s="43" t="inlineStr">
        <is>
          <t>2025-06-26</t>
        </is>
      </c>
      <c r="T1421" s="43" t="inlineStr"/>
      <c r="U1421" s="43" t="inlineStr"/>
    </row>
    <row r="1422">
      <c r="A1422" s="43" t="n">
        <v>1422</v>
      </c>
      <c r="B1422" s="43" t="inlineStr">
        <is>
          <t>1421</t>
        </is>
      </c>
      <c r="C1422" s="43" t="inlineStr">
        <is>
          <t>FJZP</t>
        </is>
      </c>
      <c r="D1422" s="43" t="inlineStr">
        <is>
          <t>Cisco</t>
        </is>
      </c>
      <c r="E1422" s="43" t="inlineStr">
        <is>
          <t>MCGA</t>
        </is>
      </c>
      <c r="F1422" s="43" t="inlineStr">
        <is>
          <t>037-STBU</t>
        </is>
      </c>
      <c r="G1422" s="43" t="inlineStr">
        <is>
          <t>CTANJZ04648</t>
        </is>
      </c>
      <c r="H1422" s="43" t="inlineStr">
        <is>
          <t>Risk Buy Authorization Only ¡V No Build/Shipment Allowed (Sustaining Only)</t>
        </is>
      </c>
      <c r="I1422" s="43" t="inlineStr">
        <is>
          <t>Customer Deviation</t>
        </is>
      </c>
      <c r="J1422" s="43" t="inlineStr">
        <is>
          <t>D604046</t>
        </is>
      </c>
      <c r="K1422" s="33" t="inlineStr">
        <is>
          <t>D604046 NGFWBU: Risk Buy: GQR No: GQR000054859; AQR No:AQR002377427; CPN: 20-0443-01; MFR NAME: CYSTECH ELECTRONICS CORP; MPN: MTB2D6N03RJ3</t>
        </is>
      </c>
      <c r="L1422" s="43" t="inlineStr">
        <is>
          <t>Expired</t>
        </is>
      </c>
      <c r="M1422" s="43" t="inlineStr">
        <is>
          <t>800-105500-03</t>
        </is>
      </c>
      <c r="N1422" s="43" t="inlineStr"/>
      <c r="O1422" s="43" t="inlineStr">
        <is>
          <t>2025-09-02</t>
        </is>
      </c>
      <c r="P1422" s="33" t="inlineStr">
        <is>
          <t>Risk Buy Authorization</t>
        </is>
      </c>
      <c r="Q1422" s="43" t="inlineStr">
        <is>
          <t>No marking required.</t>
        </is>
      </c>
      <c r="R1422" s="43" t="inlineStr">
        <is>
          <t>2025-06-05</t>
        </is>
      </c>
      <c r="S1422" s="43" t="inlineStr">
        <is>
          <t>2025-06-26</t>
        </is>
      </c>
      <c r="T1422" s="43" t="inlineStr"/>
      <c r="U1422" s="43" t="inlineStr"/>
    </row>
    <row r="1423">
      <c r="A1423" s="43" t="n">
        <v>1423</v>
      </c>
      <c r="B1423" s="43" t="inlineStr">
        <is>
          <t>1422</t>
        </is>
      </c>
      <c r="C1423" s="43" t="inlineStr">
        <is>
          <t>FJZP</t>
        </is>
      </c>
      <c r="D1423" s="43" t="inlineStr">
        <is>
          <t>Cisco</t>
        </is>
      </c>
      <c r="E1423" s="43" t="inlineStr">
        <is>
          <t>MCGA</t>
        </is>
      </c>
      <c r="F1423" s="43" t="inlineStr">
        <is>
          <t>037-STBU</t>
        </is>
      </c>
      <c r="G1423" s="43" t="inlineStr">
        <is>
          <t>CTANJZ04647</t>
        </is>
      </c>
      <c r="H1423" s="43" t="inlineStr">
        <is>
          <t>Risk Buy Authorization Only ¡V No Build/Shipment Allowed (Sustaining Only)</t>
        </is>
      </c>
      <c r="I1423" s="43" t="inlineStr">
        <is>
          <t>Customer Deviation</t>
        </is>
      </c>
      <c r="J1423" s="43" t="inlineStr">
        <is>
          <t>D604285</t>
        </is>
      </c>
      <c r="K1423" s="33" t="inlineStr">
        <is>
          <t>D604285::::::::::::::NGFWBU FPR4K::::::::::::::::::This deviation seek to allow FJZ to place Risk Buy PO for 16-101919-01 with MPNs:SAMSUNG SEMICONDUCTORS - MZTL21T9HCJR-00A07HYNIX SEMICONDUCTOR - HFS1T9GEEWX091NThis Deviation also allows for FJZ to use Qualified MPNs:SAMSUNG SEMICONDUCTORS - MZTL21T9HCJR-00A07HYNIX SEMICONDUCTOR - HFS1T9GEEWX091N</t>
        </is>
      </c>
      <c r="L1423" s="43" t="inlineStr">
        <is>
          <t>Expired</t>
        </is>
      </c>
      <c r="M1423" s="43" t="inlineStr">
        <is>
          <t>16-101919-01</t>
        </is>
      </c>
      <c r="N1423" s="43" t="inlineStr"/>
      <c r="O1423" s="43" t="inlineStr">
        <is>
          <t>2025-09-02</t>
        </is>
      </c>
      <c r="P1423" s="33" t="inlineStr">
        <is>
          <t>Risk Buy Authorization</t>
        </is>
      </c>
      <c r="Q1423" s="43" t="inlineStr">
        <is>
          <t>N/A</t>
        </is>
      </c>
      <c r="R1423" s="43" t="inlineStr">
        <is>
          <t>2025-06-05</t>
        </is>
      </c>
      <c r="S1423" s="43" t="inlineStr">
        <is>
          <t>2025-07-15</t>
        </is>
      </c>
      <c r="T1423" s="43" t="inlineStr"/>
      <c r="U1423" s="43" t="inlineStr"/>
    </row>
    <row r="1424">
      <c r="A1424" s="43" t="n">
        <v>1424</v>
      </c>
      <c r="B1424" s="43" t="inlineStr">
        <is>
          <t>1423</t>
        </is>
      </c>
      <c r="C1424" s="43" t="inlineStr">
        <is>
          <t>FJZP</t>
        </is>
      </c>
      <c r="D1424" s="43" t="inlineStr">
        <is>
          <t>Cisco</t>
        </is>
      </c>
      <c r="E1424" s="43" t="inlineStr">
        <is>
          <t>MCGA</t>
        </is>
      </c>
      <c r="F1424" s="43" t="inlineStr">
        <is>
          <t>037-STBU</t>
        </is>
      </c>
      <c r="G1424" s="43" t="inlineStr">
        <is>
          <t>CTANJZ04707</t>
        </is>
      </c>
      <c r="H1424" s="43" t="inlineStr">
        <is>
          <t>Risk Buy Authorization Only ¡V No Build/Shipment Allowed (Sustaining Only)</t>
        </is>
      </c>
      <c r="I1424" s="43" t="inlineStr">
        <is>
          <t>Customer Deviation</t>
        </is>
      </c>
      <c r="J1424" s="43" t="inlineStr">
        <is>
          <t>D604653</t>
        </is>
      </c>
      <c r="K1424" s="33" t="inlineStr">
        <is>
          <t>D604653 NGFWBU: Risk Buy: GQR No: GQR000055333; AQR No: AQR002398314; CPN: 15-14278-01; MFR NAME:DIODES INC; MPN: LXS0102VEXTo execute the above AQR at CM Site.</t>
        </is>
      </c>
      <c r="L1424" s="43" t="inlineStr">
        <is>
          <t>Expired</t>
        </is>
      </c>
      <c r="M1424" s="43" t="inlineStr">
        <is>
          <t>15-14278-01</t>
        </is>
      </c>
      <c r="N1424" s="43" t="inlineStr"/>
      <c r="O1424" s="43" t="inlineStr">
        <is>
          <t>2025-09-30</t>
        </is>
      </c>
      <c r="P1424" s="33" t="inlineStr">
        <is>
          <t>Risk Buy Authorization</t>
        </is>
      </c>
      <c r="Q1424" s="43" t="inlineStr">
        <is>
          <t>No marking required.</t>
        </is>
      </c>
      <c r="R1424" s="43" t="inlineStr">
        <is>
          <t>2025-07-03</t>
        </is>
      </c>
      <c r="S1424" s="43" t="inlineStr">
        <is>
          <t>2025-07-18</t>
        </is>
      </c>
      <c r="T1424" s="43" t="inlineStr"/>
      <c r="U1424" s="43" t="inlineStr"/>
    </row>
    <row r="1425">
      <c r="A1425" s="43" t="n">
        <v>1425</v>
      </c>
      <c r="B1425" s="43" t="inlineStr">
        <is>
          <t>1424</t>
        </is>
      </c>
      <c r="C1425" s="43" t="inlineStr">
        <is>
          <t>FJZP</t>
        </is>
      </c>
      <c r="D1425" s="43" t="inlineStr">
        <is>
          <t>Cisco</t>
        </is>
      </c>
      <c r="E1425" s="43" t="inlineStr">
        <is>
          <t>MCGA</t>
        </is>
      </c>
      <c r="F1425" s="43" t="inlineStr">
        <is>
          <t>037-STBU</t>
        </is>
      </c>
      <c r="G1425" s="43" t="inlineStr">
        <is>
          <t>CTANJZ04707</t>
        </is>
      </c>
      <c r="H1425" s="43" t="inlineStr">
        <is>
          <t>Risk Buy Authorization Only ¡V No Build/Shipment Allowed (Sustaining Only)</t>
        </is>
      </c>
      <c r="I1425" s="43" t="inlineStr">
        <is>
          <t>Customer Deviation</t>
        </is>
      </c>
      <c r="J1425" s="43" t="inlineStr">
        <is>
          <t>D604653</t>
        </is>
      </c>
      <c r="K1425" s="33" t="inlineStr">
        <is>
          <t>D604653 NGFWBU: Risk Buy: GQR No: GQR000055333; AQR No: AQR002398314; CPN: 15-14278-01; MFR NAME:DIODES INC; MPN: LXS0102VEXTo execute the above AQR at CM Site.</t>
        </is>
      </c>
      <c r="L1425" s="43" t="inlineStr">
        <is>
          <t>Expired</t>
        </is>
      </c>
      <c r="M1425" s="43" t="inlineStr">
        <is>
          <t>73-17498-04</t>
        </is>
      </c>
      <c r="N1425" s="43" t="inlineStr"/>
      <c r="O1425" s="43" t="inlineStr">
        <is>
          <t>2025-09-30</t>
        </is>
      </c>
      <c r="P1425" s="33" t="inlineStr">
        <is>
          <t>Risk Buy Authorization</t>
        </is>
      </c>
      <c r="Q1425" s="43" t="inlineStr">
        <is>
          <t>No marking required.</t>
        </is>
      </c>
      <c r="R1425" s="43" t="inlineStr">
        <is>
          <t>2025-07-03</t>
        </is>
      </c>
      <c r="S1425" s="43" t="inlineStr">
        <is>
          <t>2025-07-18</t>
        </is>
      </c>
      <c r="T1425" s="43" t="inlineStr"/>
      <c r="U1425" s="43" t="inlineStr"/>
    </row>
    <row r="1426">
      <c r="A1426" s="43" t="n">
        <v>1426</v>
      </c>
      <c r="B1426" s="43" t="inlineStr">
        <is>
          <t>1425</t>
        </is>
      </c>
      <c r="C1426" s="43" t="inlineStr">
        <is>
          <t>FJZP</t>
        </is>
      </c>
      <c r="D1426" s="43" t="inlineStr">
        <is>
          <t>Cisco</t>
        </is>
      </c>
      <c r="E1426" s="43" t="inlineStr">
        <is>
          <t>MCGA</t>
        </is>
      </c>
      <c r="F1426" s="43" t="inlineStr">
        <is>
          <t>037-STBU</t>
        </is>
      </c>
      <c r="G1426" s="43" t="inlineStr">
        <is>
          <t>CTANJZ04709</t>
        </is>
      </c>
      <c r="H1426" s="43" t="inlineStr">
        <is>
          <t>Risk Buy Authorization Only ¡V No Build/Shipment Allowed (Sustaining Only)</t>
        </is>
      </c>
      <c r="I1426" s="43" t="inlineStr">
        <is>
          <t>Customer Deviation</t>
        </is>
      </c>
      <c r="J1426" s="43" t="inlineStr">
        <is>
          <t>D604651</t>
        </is>
      </c>
      <c r="K1426" s="33" t="inlineStr">
        <is>
          <t>D604651 NGFWBU: Risk Buy: GQR No: GQR000056533 ; AQR No: AQR002427706; CPN: 29-6281-01; MFR NAME: TE CONNECTIVITY CORP ; MPN: 2057159-1.To execute the above AQR at CM Site.</t>
        </is>
      </c>
      <c r="L1426" s="43" t="inlineStr">
        <is>
          <t>Expired</t>
        </is>
      </c>
      <c r="M1426" s="43" t="inlineStr">
        <is>
          <t>29-6281-01</t>
        </is>
      </c>
      <c r="N1426" s="43" t="inlineStr"/>
      <c r="O1426" s="43" t="inlineStr">
        <is>
          <t>2025-09-30</t>
        </is>
      </c>
      <c r="P1426" s="33" t="inlineStr">
        <is>
          <t>Risk Buy Authorization</t>
        </is>
      </c>
      <c r="Q1426" s="43" t="inlineStr">
        <is>
          <t>No Marking Required.</t>
        </is>
      </c>
      <c r="R1426" s="43" t="inlineStr">
        <is>
          <t>2025-07-03</t>
        </is>
      </c>
      <c r="S1426" s="43" t="inlineStr">
        <is>
          <t>2025-07-18</t>
        </is>
      </c>
      <c r="T1426" s="43" t="inlineStr"/>
      <c r="U1426" s="43" t="inlineStr"/>
    </row>
    <row r="1427">
      <c r="A1427" s="43" t="n">
        <v>1427</v>
      </c>
      <c r="B1427" s="43" t="inlineStr">
        <is>
          <t>1426</t>
        </is>
      </c>
      <c r="C1427" s="43" t="inlineStr">
        <is>
          <t>FJZP</t>
        </is>
      </c>
      <c r="D1427" s="43" t="inlineStr">
        <is>
          <t>Cisco</t>
        </is>
      </c>
      <c r="E1427" s="43" t="inlineStr">
        <is>
          <t>MCGA</t>
        </is>
      </c>
      <c r="F1427" s="43" t="inlineStr">
        <is>
          <t>037-STBU</t>
        </is>
      </c>
      <c r="G1427" s="43" t="inlineStr">
        <is>
          <t>CTANJZ04709</t>
        </is>
      </c>
      <c r="H1427" s="43" t="inlineStr">
        <is>
          <t>Risk Buy Authorization Only ¡V No Build/Shipment Allowed (Sustaining Only)</t>
        </is>
      </c>
      <c r="I1427" s="43" t="inlineStr">
        <is>
          <t>Customer Deviation</t>
        </is>
      </c>
      <c r="J1427" s="43" t="inlineStr">
        <is>
          <t>D604651</t>
        </is>
      </c>
      <c r="K1427" s="33" t="inlineStr">
        <is>
          <t>D604651 NGFWBU: Risk Buy: GQR No: GQR000056533 ; AQR No: AQR002427706; CPN: 29-6281-01; MFR NAME: TE CONNECTIVITY CORP ; MPN: 2057159-1.To execute the above AQR at CM Site.</t>
        </is>
      </c>
      <c r="L1427" s="43" t="inlineStr">
        <is>
          <t>Expired</t>
        </is>
      </c>
      <c r="M1427" s="43" t="inlineStr">
        <is>
          <t>73-17498-04</t>
        </is>
      </c>
      <c r="N1427" s="43" t="inlineStr"/>
      <c r="O1427" s="43" t="inlineStr">
        <is>
          <t>2025-09-30</t>
        </is>
      </c>
      <c r="P1427" s="33" t="inlineStr">
        <is>
          <t>Risk Buy Authorization</t>
        </is>
      </c>
      <c r="Q1427" s="43" t="inlineStr">
        <is>
          <t>No Marking Required.</t>
        </is>
      </c>
      <c r="R1427" s="43" t="inlineStr">
        <is>
          <t>2025-07-03</t>
        </is>
      </c>
      <c r="S1427" s="43" t="inlineStr">
        <is>
          <t>2025-07-18</t>
        </is>
      </c>
      <c r="T1427" s="43" t="inlineStr"/>
      <c r="U1427" s="43" t="inlineStr"/>
    </row>
    <row r="1428">
      <c r="A1428" s="43" t="n">
        <v>1428</v>
      </c>
      <c r="B1428" s="43" t="inlineStr">
        <is>
          <t>1427</t>
        </is>
      </c>
      <c r="C1428" s="43" t="inlineStr">
        <is>
          <t>FJZP</t>
        </is>
      </c>
      <c r="D1428" s="43" t="inlineStr">
        <is>
          <t>Cisco</t>
        </is>
      </c>
      <c r="E1428" s="43" t="inlineStr">
        <is>
          <t>MCGA</t>
        </is>
      </c>
      <c r="F1428" s="43" t="inlineStr">
        <is>
          <t>037-STBU</t>
        </is>
      </c>
      <c r="G1428" s="43" t="inlineStr">
        <is>
          <t>CTANJZ04703</t>
        </is>
      </c>
      <c r="H1428" s="43" t="inlineStr">
        <is>
          <t>Risk Buy Authorization Only ¡V No Build/Shipment Allowed (Sustaining Only)</t>
        </is>
      </c>
      <c r="I1428" s="43" t="inlineStr">
        <is>
          <t>Customer Deviation</t>
        </is>
      </c>
      <c r="J1428" s="43" t="inlineStr">
        <is>
          <t>D604633</t>
        </is>
      </c>
      <c r="K1428" s="33" t="inlineStr">
        <is>
          <t>D604633 NGFWBU: Risk Buy: GQR No: GQR000046862; AQR No:AQR002450088; CPN: 20-0643-01; MFR NAME: NEXPERIA USA INC; MPN: MMBT3904.To execute the above AQR at CM Site.</t>
        </is>
      </c>
      <c r="L1428" s="43" t="inlineStr">
        <is>
          <t>Expired</t>
        </is>
      </c>
      <c r="M1428" s="43" t="inlineStr">
        <is>
          <t>20-0643-01</t>
        </is>
      </c>
      <c r="N1428" s="43" t="inlineStr"/>
      <c r="O1428" s="43" t="inlineStr">
        <is>
          <t>2025-09-30</t>
        </is>
      </c>
      <c r="P1428" s="33" t="inlineStr">
        <is>
          <t>Risk Buy Authorization</t>
        </is>
      </c>
      <c r="Q1428" s="43" t="inlineStr">
        <is>
          <t>No marking required.</t>
        </is>
      </c>
      <c r="R1428" s="43" t="inlineStr">
        <is>
          <t>2025-07-03</t>
        </is>
      </c>
      <c r="S1428" s="43" t="inlineStr">
        <is>
          <t>2025-07-18</t>
        </is>
      </c>
      <c r="T1428" s="43" t="inlineStr"/>
      <c r="U1428" s="43" t="inlineStr"/>
    </row>
    <row r="1429">
      <c r="A1429" s="43" t="n">
        <v>1429</v>
      </c>
      <c r="B1429" s="43" t="inlineStr">
        <is>
          <t>1428</t>
        </is>
      </c>
      <c r="C1429" s="43" t="inlineStr">
        <is>
          <t>FJZP</t>
        </is>
      </c>
      <c r="D1429" s="43" t="inlineStr">
        <is>
          <t>Cisco</t>
        </is>
      </c>
      <c r="E1429" s="43" t="inlineStr">
        <is>
          <t>MCGA</t>
        </is>
      </c>
      <c r="F1429" s="43" t="inlineStr">
        <is>
          <t>037-STBU</t>
        </is>
      </c>
      <c r="G1429" s="43" t="inlineStr">
        <is>
          <t>CTANJZ04703</t>
        </is>
      </c>
      <c r="H1429" s="43" t="inlineStr">
        <is>
          <t>Risk Buy Authorization Only ¡V No Build/Shipment Allowed (Sustaining Only)</t>
        </is>
      </c>
      <c r="I1429" s="43" t="inlineStr">
        <is>
          <t>Customer Deviation</t>
        </is>
      </c>
      <c r="J1429" s="43" t="inlineStr">
        <is>
          <t>D604633</t>
        </is>
      </c>
      <c r="K1429" s="33" t="inlineStr">
        <is>
          <t>D604633 NGFWBU: Risk Buy: GQR No: GQR000046862; AQR No:AQR002450088; CPN: 20-0643-01; MFR NAME: NEXPERIA USA INC; MPN: MMBT3904.To execute the above AQR at CM Site.</t>
        </is>
      </c>
      <c r="L1429" s="43" t="inlineStr">
        <is>
          <t>Expired</t>
        </is>
      </c>
      <c r="M1429" s="43" t="inlineStr">
        <is>
          <t>73-18489-07</t>
        </is>
      </c>
      <c r="N1429" s="43" t="inlineStr"/>
      <c r="O1429" s="43" t="inlineStr">
        <is>
          <t>2025-09-30</t>
        </is>
      </c>
      <c r="P1429" s="33" t="inlineStr">
        <is>
          <t>Risk Buy Authorization</t>
        </is>
      </c>
      <c r="Q1429" s="43" t="inlineStr">
        <is>
          <t>No marking required.</t>
        </is>
      </c>
      <c r="R1429" s="43" t="inlineStr">
        <is>
          <t>2025-07-03</t>
        </is>
      </c>
      <c r="S1429" s="43" t="inlineStr">
        <is>
          <t>2025-07-18</t>
        </is>
      </c>
      <c r="T1429" s="43" t="inlineStr"/>
      <c r="U1429" s="43" t="inlineStr"/>
    </row>
    <row r="1430">
      <c r="A1430" s="43" t="n">
        <v>1430</v>
      </c>
      <c r="B1430" s="43" t="inlineStr">
        <is>
          <t>1429</t>
        </is>
      </c>
      <c r="C1430" s="43" t="inlineStr">
        <is>
          <t>FJZP</t>
        </is>
      </c>
      <c r="D1430" s="43" t="inlineStr">
        <is>
          <t>Cisco</t>
        </is>
      </c>
      <c r="E1430" s="43" t="inlineStr">
        <is>
          <t>MCGA</t>
        </is>
      </c>
      <c r="F1430" s="43" t="inlineStr">
        <is>
          <t>037-STBU</t>
        </is>
      </c>
      <c r="G1430" s="43" t="inlineStr">
        <is>
          <t>CTANJZ04705</t>
        </is>
      </c>
      <c r="H1430" s="43" t="inlineStr">
        <is>
          <t>Risk Buy Authorization Only ¡V No Build/Shipment Allowed (Sustaining Only)</t>
        </is>
      </c>
      <c r="I1430" s="43" t="inlineStr">
        <is>
          <t>Customer Deviation</t>
        </is>
      </c>
      <c r="J1430" s="43" t="inlineStr">
        <is>
          <t>D604634</t>
        </is>
      </c>
      <c r="K1430" s="33" t="inlineStr">
        <is>
          <t>D604634 NGFWBU: Risk Buy: GQR No: GQR000046862; AQR No:AQR002450087; CPN: 20-0643-01; MFR NAME: NEXPERIA USA INC; MPN: MMBT3904To execute the above AQR at CM Site.</t>
        </is>
      </c>
      <c r="L1430" s="43" t="inlineStr">
        <is>
          <t>Expired</t>
        </is>
      </c>
      <c r="M1430" s="43" t="inlineStr">
        <is>
          <t>20-0643-01</t>
        </is>
      </c>
      <c r="N1430" s="43" t="inlineStr"/>
      <c r="O1430" s="43" t="inlineStr">
        <is>
          <t>2025-09-30</t>
        </is>
      </c>
      <c r="P1430" s="33" t="inlineStr">
        <is>
          <t>Risk Buy Authorization</t>
        </is>
      </c>
      <c r="Q1430" s="43" t="inlineStr">
        <is>
          <t>No marking required.</t>
        </is>
      </c>
      <c r="R1430" s="43" t="inlineStr">
        <is>
          <t>2025-07-03</t>
        </is>
      </c>
      <c r="S1430" s="43" t="inlineStr">
        <is>
          <t>2025-07-18</t>
        </is>
      </c>
      <c r="T1430" s="43" t="inlineStr"/>
      <c r="U1430" s="43" t="inlineStr"/>
    </row>
    <row r="1431">
      <c r="A1431" s="43" t="n">
        <v>1431</v>
      </c>
      <c r="B1431" s="43" t="inlineStr">
        <is>
          <t>1430</t>
        </is>
      </c>
      <c r="C1431" s="43" t="inlineStr">
        <is>
          <t>FJZP</t>
        </is>
      </c>
      <c r="D1431" s="43" t="inlineStr">
        <is>
          <t>Cisco</t>
        </is>
      </c>
      <c r="E1431" s="43" t="inlineStr">
        <is>
          <t>MCGA</t>
        </is>
      </c>
      <c r="F1431" s="43" t="inlineStr">
        <is>
          <t>037-STBU</t>
        </is>
      </c>
      <c r="G1431" s="43" t="inlineStr">
        <is>
          <t>CTANJZ04705</t>
        </is>
      </c>
      <c r="H1431" s="43" t="inlineStr">
        <is>
          <t>Risk Buy Authorization Only ¡V No Build/Shipment Allowed (Sustaining Only)</t>
        </is>
      </c>
      <c r="I1431" s="43" t="inlineStr">
        <is>
          <t>Customer Deviation</t>
        </is>
      </c>
      <c r="J1431" s="43" t="inlineStr">
        <is>
          <t>D604634</t>
        </is>
      </c>
      <c r="K1431" s="33" t="inlineStr">
        <is>
          <t>D604634 NGFWBU: Risk Buy: GQR No: GQR000046862; AQR No:AQR002450087; CPN: 20-0643-01; MFR NAME: NEXPERIA USA INC; MPN: MMBT3904To execute the above AQR at CM Site.</t>
        </is>
      </c>
      <c r="L1431" s="43" t="inlineStr">
        <is>
          <t>Expired</t>
        </is>
      </c>
      <c r="M1431" s="43" t="inlineStr">
        <is>
          <t>73-18488-07</t>
        </is>
      </c>
      <c r="N1431" s="43" t="inlineStr"/>
      <c r="O1431" s="43" t="inlineStr">
        <is>
          <t>2025-09-30</t>
        </is>
      </c>
      <c r="P1431" s="33" t="inlineStr">
        <is>
          <t>Risk Buy Authorization</t>
        </is>
      </c>
      <c r="Q1431" s="43" t="inlineStr">
        <is>
          <t>No marking required.</t>
        </is>
      </c>
      <c r="R1431" s="43" t="inlineStr">
        <is>
          <t>2025-07-03</t>
        </is>
      </c>
      <c r="S1431" s="43" t="inlineStr">
        <is>
          <t>2025-07-18</t>
        </is>
      </c>
      <c r="T1431" s="43" t="inlineStr"/>
      <c r="U1431" s="43" t="inlineStr"/>
    </row>
    <row r="1432">
      <c r="A1432" s="43" t="n">
        <v>1432</v>
      </c>
      <c r="B1432" s="43" t="inlineStr">
        <is>
          <t>1431</t>
        </is>
      </c>
      <c r="C1432" s="43" t="inlineStr">
        <is>
          <t>FJZP</t>
        </is>
      </c>
      <c r="D1432" s="43" t="inlineStr">
        <is>
          <t>Cisco</t>
        </is>
      </c>
      <c r="E1432" s="43" t="inlineStr">
        <is>
          <t>MCGA</t>
        </is>
      </c>
      <c r="F1432" s="43" t="inlineStr">
        <is>
          <t>037-STBU</t>
        </is>
      </c>
      <c r="G1432" s="43" t="inlineStr">
        <is>
          <t>CTANJZ04702</t>
        </is>
      </c>
      <c r="H1432" s="43" t="inlineStr">
        <is>
          <t>Risk Buy Authorization Only ¡V No Build/Shipment Allowed (Sustaining Only)</t>
        </is>
      </c>
      <c r="I1432" s="43" t="inlineStr">
        <is>
          <t>Customer Deviation</t>
        </is>
      </c>
      <c r="J1432" s="43" t="inlineStr">
        <is>
          <t>D604757</t>
        </is>
      </c>
      <c r="K1432" s="33" t="inlineStr">
        <is>
          <t>D604757 NGFWBU: Risk Buy: GQR No: GQR000046874; AQR No:AQR002261011; CPN: 20-0041-02; MFR NAME: NEXPERIA USA INC; MPN: PMBT2907ATo execute the above AQR at CM Site.</t>
        </is>
      </c>
      <c r="L1432" s="43" t="inlineStr">
        <is>
          <t>Expired</t>
        </is>
      </c>
      <c r="M1432" s="43" t="inlineStr">
        <is>
          <t>20-0041-02</t>
        </is>
      </c>
      <c r="N1432" s="43" t="inlineStr"/>
      <c r="O1432" s="43" t="inlineStr">
        <is>
          <t>2025-09-30</t>
        </is>
      </c>
      <c r="P1432" s="33" t="inlineStr">
        <is>
          <t>Risk Buy Authorization</t>
        </is>
      </c>
      <c r="Q1432" s="43" t="inlineStr">
        <is>
          <t>No marking required.</t>
        </is>
      </c>
      <c r="R1432" s="43" t="inlineStr">
        <is>
          <t>2025-07-03</t>
        </is>
      </c>
      <c r="S1432" s="43" t="inlineStr">
        <is>
          <t>2025-07-18</t>
        </is>
      </c>
      <c r="T1432" s="43" t="inlineStr"/>
      <c r="U1432" s="43" t="inlineStr"/>
    </row>
    <row r="1433">
      <c r="A1433" s="43" t="n">
        <v>1433</v>
      </c>
      <c r="B1433" s="43" t="inlineStr">
        <is>
          <t>1432</t>
        </is>
      </c>
      <c r="C1433" s="43" t="inlineStr">
        <is>
          <t>FJZP</t>
        </is>
      </c>
      <c r="D1433" s="43" t="inlineStr">
        <is>
          <t>Cisco</t>
        </is>
      </c>
      <c r="E1433" s="43" t="inlineStr">
        <is>
          <t>MCGA</t>
        </is>
      </c>
      <c r="F1433" s="43" t="inlineStr">
        <is>
          <t>037-STBU</t>
        </is>
      </c>
      <c r="G1433" s="43" t="inlineStr">
        <is>
          <t>CTANJZ04702</t>
        </is>
      </c>
      <c r="H1433" s="43" t="inlineStr">
        <is>
          <t>Risk Buy Authorization Only ¡V No Build/Shipment Allowed (Sustaining Only)</t>
        </is>
      </c>
      <c r="I1433" s="43" t="inlineStr">
        <is>
          <t>Customer Deviation</t>
        </is>
      </c>
      <c r="J1433" s="43" t="inlineStr">
        <is>
          <t>D604757</t>
        </is>
      </c>
      <c r="K1433" s="33" t="inlineStr">
        <is>
          <t>D604757 NGFWBU: Risk Buy: GQR No: GQR000046874; AQR No:AQR002261011; CPN: 20-0041-02; MFR NAME: NEXPERIA USA INC; MPN: PMBT2907ATo execute the above AQR at CM Site.</t>
        </is>
      </c>
      <c r="L1433" s="43" t="inlineStr">
        <is>
          <t>Expired</t>
        </is>
      </c>
      <c r="M1433" s="43" t="inlineStr">
        <is>
          <t>73-18490-09</t>
        </is>
      </c>
      <c r="N1433" s="43" t="inlineStr"/>
      <c r="O1433" s="43" t="inlineStr">
        <is>
          <t>2025-09-30</t>
        </is>
      </c>
      <c r="P1433" s="33" t="inlineStr">
        <is>
          <t>Risk Buy Authorization</t>
        </is>
      </c>
      <c r="Q1433" s="43" t="inlineStr">
        <is>
          <t>No marking required.</t>
        </is>
      </c>
      <c r="R1433" s="43" t="inlineStr">
        <is>
          <t>2025-07-03</t>
        </is>
      </c>
      <c r="S1433" s="43" t="inlineStr">
        <is>
          <t>2025-07-18</t>
        </is>
      </c>
      <c r="T1433" s="43" t="inlineStr"/>
      <c r="U1433" s="43" t="inlineStr"/>
    </row>
    <row r="1434">
      <c r="A1434" s="43" t="n">
        <v>1434</v>
      </c>
      <c r="B1434" s="43" t="inlineStr">
        <is>
          <t>1433</t>
        </is>
      </c>
      <c r="C1434" s="43" t="inlineStr">
        <is>
          <t>FJZP</t>
        </is>
      </c>
      <c r="D1434" s="43" t="inlineStr">
        <is>
          <t>Cisco</t>
        </is>
      </c>
      <c r="E1434" s="43" t="inlineStr">
        <is>
          <t>MCGA</t>
        </is>
      </c>
      <c r="F1434" s="43" t="inlineStr">
        <is>
          <t>037-STBU</t>
        </is>
      </c>
      <c r="G1434" s="43" t="inlineStr">
        <is>
          <t>CTANJZ04711</t>
        </is>
      </c>
      <c r="H1434" s="43" t="inlineStr">
        <is>
          <t>Risk Buy Authorization Only ¡V No Build/Shipment Allowed (Sustaining Only)</t>
        </is>
      </c>
      <c r="I1434" s="43" t="inlineStr">
        <is>
          <t>Customer Deviation</t>
        </is>
      </c>
      <c r="J1434" s="43" t="inlineStr">
        <is>
          <t>D604652</t>
        </is>
      </c>
      <c r="K1434" s="33" t="inlineStr">
        <is>
          <t>D604652 NGFWBU: Risk Buy: GQR No: GQR000056634; AQR No:AQR002431749; CPN: 25-1289-01; MFR NAME: STANLEY ELECTRIC; MPN: FYYPY1211C-10-TRTo execute the above AQR at CM Site.</t>
        </is>
      </c>
      <c r="L1434" s="43" t="inlineStr">
        <is>
          <t>Expired</t>
        </is>
      </c>
      <c r="M1434" s="43" t="inlineStr">
        <is>
          <t>25-1289-01</t>
        </is>
      </c>
      <c r="N1434" s="43" t="inlineStr"/>
      <c r="O1434" s="43" t="inlineStr">
        <is>
          <t>2025-09-30</t>
        </is>
      </c>
      <c r="P1434" s="33" t="inlineStr">
        <is>
          <t>Risk Buy Authorization</t>
        </is>
      </c>
      <c r="Q1434" s="43" t="inlineStr">
        <is>
          <t>No marking required.</t>
        </is>
      </c>
      <c r="R1434" s="43" t="inlineStr">
        <is>
          <t>2025-07-03</t>
        </is>
      </c>
      <c r="S1434" s="43" t="inlineStr">
        <is>
          <t>2025-07-18</t>
        </is>
      </c>
      <c r="T1434" s="43" t="inlineStr"/>
      <c r="U1434" s="43" t="inlineStr"/>
    </row>
    <row r="1435">
      <c r="A1435" s="43" t="n">
        <v>1435</v>
      </c>
      <c r="B1435" s="43" t="inlineStr">
        <is>
          <t>1434</t>
        </is>
      </c>
      <c r="C1435" s="43" t="inlineStr">
        <is>
          <t>FJZP</t>
        </is>
      </c>
      <c r="D1435" s="43" t="inlineStr">
        <is>
          <t>Cisco</t>
        </is>
      </c>
      <c r="E1435" s="43" t="inlineStr">
        <is>
          <t>MCGA</t>
        </is>
      </c>
      <c r="F1435" s="43" t="inlineStr">
        <is>
          <t>037-STBU</t>
        </is>
      </c>
      <c r="G1435" s="43" t="inlineStr">
        <is>
          <t>CTANJZ05014</t>
        </is>
      </c>
      <c r="H1435" s="43" t="inlineStr">
        <is>
          <t>Risk Buy Authorization Only ¡V No Build/Shipment Allowed (Sustaining Only)</t>
        </is>
      </c>
      <c r="I1435" s="43" t="inlineStr">
        <is>
          <t>Customer Deviation</t>
        </is>
      </c>
      <c r="J1435" s="43" t="inlineStr">
        <is>
          <t>D608072</t>
        </is>
      </c>
      <c r="K1435" s="33" t="inlineStr">
        <is>
          <t>D608072NGFWBU: Risk Buy: GQR No: GQR000074710; AQR No: AQR003023126; CPN: 15-12877-02; MFR Name: RICHTEK TECHNOLOGY; MPN: RT9731AZQW.To execute the above AQR at CM site.</t>
        </is>
      </c>
      <c r="L1435" s="43" t="inlineStr">
        <is>
          <t>Expired</t>
        </is>
      </c>
      <c r="M1435" s="43" t="inlineStr">
        <is>
          <t>15-12877-02</t>
        </is>
      </c>
      <c r="N1435" s="43" t="inlineStr"/>
      <c r="O1435" s="43" t="inlineStr">
        <is>
          <t>2026-03-06</t>
        </is>
      </c>
      <c r="P1435" s="33" t="inlineStr">
        <is>
          <t>Risk Buy Authorization</t>
        </is>
      </c>
      <c r="Q1435" s="43" t="inlineStr">
        <is>
          <t>No marking required.</t>
        </is>
      </c>
      <c r="R1435" s="43" t="inlineStr">
        <is>
          <t>2025-12-08</t>
        </is>
      </c>
      <c r="S1435" s="43" t="inlineStr">
        <is>
          <t>2026-01-23</t>
        </is>
      </c>
      <c r="T1435" s="43" t="inlineStr"/>
      <c r="U1435" s="43" t="inlineStr"/>
    </row>
    <row r="1436">
      <c r="A1436" s="43" t="n">
        <v>1436</v>
      </c>
      <c r="B1436" s="43" t="inlineStr">
        <is>
          <t>1435</t>
        </is>
      </c>
      <c r="C1436" s="43" t="inlineStr">
        <is>
          <t>FJZP</t>
        </is>
      </c>
      <c r="D1436" s="43" t="inlineStr">
        <is>
          <t>Cisco</t>
        </is>
      </c>
      <c r="E1436" s="43" t="inlineStr">
        <is>
          <t>MCGA</t>
        </is>
      </c>
      <c r="F1436" s="43" t="inlineStr">
        <is>
          <t>037-STBU</t>
        </is>
      </c>
      <c r="G1436" s="43" t="inlineStr">
        <is>
          <t>CTANJZ04693</t>
        </is>
      </c>
      <c r="H1436" s="43" t="inlineStr">
        <is>
          <t>Risk Buy Authorization Only ¡V No Build/Shipment Allowed (Sustaining Only)</t>
        </is>
      </c>
      <c r="I1436" s="43" t="inlineStr">
        <is>
          <t>Customer Deviation</t>
        </is>
      </c>
      <c r="J1436" s="43" t="inlineStr">
        <is>
          <t>D603586</t>
        </is>
      </c>
      <c r="K1436" s="33" t="inlineStr">
        <is>
          <t>D603586 ---Remark:It is same as CTANJZ04618;just reload the D603586;please review and sign off it;Thank you all.NGFWBU: Risk Buy: GQR No: GQR000047935; AQR No: AQR002263531 ; CPN: 20-0405-01; MFR NAME: ROHM; MPN: US6K1To execute the above AQR at CM Site.</t>
        </is>
      </c>
      <c r="L1436" s="43" t="inlineStr">
        <is>
          <t>Expired</t>
        </is>
      </c>
      <c r="M1436" s="43" t="inlineStr">
        <is>
          <t>20-0405-01</t>
        </is>
      </c>
      <c r="N1436" s="43" t="inlineStr"/>
      <c r="O1436" s="43" t="inlineStr">
        <is>
          <t>2025-08-20</t>
        </is>
      </c>
      <c r="P1436" s="33" t="inlineStr">
        <is>
          <t>Risk Buy Authorization</t>
        </is>
      </c>
      <c r="Q1436" s="43" t="inlineStr">
        <is>
          <t>No marking required.</t>
        </is>
      </c>
      <c r="R1436" s="43" t="inlineStr">
        <is>
          <t>2025-06-26</t>
        </is>
      </c>
      <c r="S1436" s="43" t="inlineStr">
        <is>
          <t>2025-07-15</t>
        </is>
      </c>
      <c r="T1436" s="43" t="inlineStr"/>
      <c r="U1436" s="43" t="inlineStr"/>
    </row>
    <row r="1437">
      <c r="A1437" s="43" t="n">
        <v>1437</v>
      </c>
      <c r="B1437" s="43" t="inlineStr">
        <is>
          <t>1436</t>
        </is>
      </c>
      <c r="C1437" s="43" t="inlineStr">
        <is>
          <t>FJZP</t>
        </is>
      </c>
      <c r="D1437" s="43" t="inlineStr">
        <is>
          <t>Cisco</t>
        </is>
      </c>
      <c r="E1437" s="43" t="inlineStr">
        <is>
          <t>MCGA</t>
        </is>
      </c>
      <c r="F1437" s="43" t="inlineStr">
        <is>
          <t>037-STBU</t>
        </is>
      </c>
      <c r="G1437" s="43" t="inlineStr">
        <is>
          <t>CTANJZ04711</t>
        </is>
      </c>
      <c r="H1437" s="43" t="inlineStr">
        <is>
          <t>Risk Buy Authorization Only ¡V No Build/Shipment Allowed (Sustaining Only)</t>
        </is>
      </c>
      <c r="I1437" s="43" t="inlineStr">
        <is>
          <t>Customer Deviation</t>
        </is>
      </c>
      <c r="J1437" s="43" t="inlineStr">
        <is>
          <t>D604652</t>
        </is>
      </c>
      <c r="K1437" s="33" t="inlineStr">
        <is>
          <t>D604652 NGFWBU: Risk Buy: GQR No: GQR000056634; AQR No:AQR002431749; CPN: 25-1289-01; MFR NAME: STANLEY ELECTRIC; MPN: FYYPY1211C-10-TRTo execute the above AQR at CM Site.</t>
        </is>
      </c>
      <c r="L1437" s="43" t="inlineStr">
        <is>
          <t>Expired</t>
        </is>
      </c>
      <c r="M1437" s="43" t="inlineStr">
        <is>
          <t>73-102433-05</t>
        </is>
      </c>
      <c r="N1437" s="43" t="inlineStr"/>
      <c r="O1437" s="43" t="inlineStr">
        <is>
          <t>2025-09-30</t>
        </is>
      </c>
      <c r="P1437" s="33" t="inlineStr">
        <is>
          <t>Risk Buy Authorization</t>
        </is>
      </c>
      <c r="Q1437" s="43" t="inlineStr">
        <is>
          <t>No marking required.</t>
        </is>
      </c>
      <c r="R1437" s="43" t="inlineStr">
        <is>
          <t>2025-07-03</t>
        </is>
      </c>
      <c r="S1437" s="43" t="inlineStr">
        <is>
          <t>2025-07-18</t>
        </is>
      </c>
      <c r="T1437" s="43" t="inlineStr"/>
      <c r="U1437" s="43" t="inlineStr"/>
    </row>
    <row r="1438">
      <c r="A1438" s="43" t="n">
        <v>1438</v>
      </c>
      <c r="B1438" s="43" t="inlineStr">
        <is>
          <t>1437</t>
        </is>
      </c>
      <c r="C1438" s="43" t="inlineStr">
        <is>
          <t>FJZP</t>
        </is>
      </c>
      <c r="D1438" s="43" t="inlineStr">
        <is>
          <t>Cisco</t>
        </is>
      </c>
      <c r="E1438" s="43" t="inlineStr">
        <is>
          <t>MCGA</t>
        </is>
      </c>
      <c r="F1438" s="43" t="inlineStr">
        <is>
          <t>037-STBU</t>
        </is>
      </c>
      <c r="G1438" s="43" t="inlineStr">
        <is>
          <t>CTANJZ04710</t>
        </is>
      </c>
      <c r="H1438" s="43" t="inlineStr">
        <is>
          <t>Risk Buy Authorization Only ¡V No Build/Shipment Allowed (Sustaining Only)</t>
        </is>
      </c>
      <c r="I1438" s="43" t="inlineStr">
        <is>
          <t>Customer Deviation</t>
        </is>
      </c>
      <c r="J1438" s="43" t="inlineStr">
        <is>
          <t>D604750</t>
        </is>
      </c>
      <c r="K1438" s="33" t="inlineStr">
        <is>
          <t>D604750 NGFWBU: Risk Buy: GQR No: GQR000046866; AQR No:AQR002294673; CPN: 20-0150-02; MFR NAME: NEXPERIA USA INC; MPN: MMBT3904.To execute the above AQR at CM Site.</t>
        </is>
      </c>
      <c r="L1438" s="43" t="inlineStr">
        <is>
          <t>Expired</t>
        </is>
      </c>
      <c r="M1438" s="43" t="inlineStr">
        <is>
          <t>20-0150-02</t>
        </is>
      </c>
      <c r="N1438" s="43" t="inlineStr"/>
      <c r="O1438" s="43" t="inlineStr">
        <is>
          <t>2025-09-30</t>
        </is>
      </c>
      <c r="P1438" s="33" t="inlineStr">
        <is>
          <t>Risk Buy Authorization</t>
        </is>
      </c>
      <c r="Q1438" s="43" t="inlineStr">
        <is>
          <t>No marking required.</t>
        </is>
      </c>
      <c r="R1438" s="43" t="inlineStr">
        <is>
          <t>2025-07-03</t>
        </is>
      </c>
      <c r="S1438" s="43" t="inlineStr">
        <is>
          <t>2025-07-18</t>
        </is>
      </c>
      <c r="T1438" s="43" t="inlineStr"/>
      <c r="U1438" s="43" t="inlineStr"/>
    </row>
    <row r="1439">
      <c r="A1439" s="43" t="n">
        <v>1439</v>
      </c>
      <c r="B1439" s="43" t="inlineStr">
        <is>
          <t>1438</t>
        </is>
      </c>
      <c r="C1439" s="43" t="inlineStr">
        <is>
          <t>FJZP</t>
        </is>
      </c>
      <c r="D1439" s="43" t="inlineStr">
        <is>
          <t>Cisco</t>
        </is>
      </c>
      <c r="E1439" s="43" t="inlineStr">
        <is>
          <t>MCGA</t>
        </is>
      </c>
      <c r="F1439" s="43" t="inlineStr">
        <is>
          <t>037-STBU</t>
        </is>
      </c>
      <c r="G1439" s="43" t="inlineStr">
        <is>
          <t>CTANJZ04710</t>
        </is>
      </c>
      <c r="H1439" s="43" t="inlineStr">
        <is>
          <t>Risk Buy Authorization Only ¡V No Build/Shipment Allowed (Sustaining Only)</t>
        </is>
      </c>
      <c r="I1439" s="43" t="inlineStr">
        <is>
          <t>Customer Deviation</t>
        </is>
      </c>
      <c r="J1439" s="43" t="inlineStr">
        <is>
          <t>D604750</t>
        </is>
      </c>
      <c r="K1439" s="33" t="inlineStr">
        <is>
          <t>D604750 NGFWBU: Risk Buy: GQR No: GQR000046866; AQR No:AQR002294673; CPN: 20-0150-02; MFR NAME: NEXPERIA USA INC; MPN: MMBT3904.To execute the above AQR at CM Site.</t>
        </is>
      </c>
      <c r="L1439" s="43" t="inlineStr">
        <is>
          <t>Expired</t>
        </is>
      </c>
      <c r="M1439" s="43" t="inlineStr">
        <is>
          <t>73-18488-07</t>
        </is>
      </c>
      <c r="N1439" s="43" t="inlineStr"/>
      <c r="O1439" s="43" t="inlineStr">
        <is>
          <t>2025-09-30</t>
        </is>
      </c>
      <c r="P1439" s="33" t="inlineStr">
        <is>
          <t>Risk Buy Authorization</t>
        </is>
      </c>
      <c r="Q1439" s="43" t="inlineStr">
        <is>
          <t>No marking required.</t>
        </is>
      </c>
      <c r="R1439" s="43" t="inlineStr">
        <is>
          <t>2025-07-03</t>
        </is>
      </c>
      <c r="S1439" s="43" t="inlineStr">
        <is>
          <t>2025-07-18</t>
        </is>
      </c>
      <c r="T1439" s="43" t="inlineStr"/>
      <c r="U1439" s="43" t="inlineStr"/>
    </row>
    <row r="1440">
      <c r="A1440" s="43" t="n">
        <v>1440</v>
      </c>
      <c r="B1440" s="43" t="inlineStr">
        <is>
          <t>1439</t>
        </is>
      </c>
      <c r="C1440" s="43" t="inlineStr">
        <is>
          <t>FJZP</t>
        </is>
      </c>
      <c r="D1440" s="43" t="inlineStr">
        <is>
          <t>Cisco</t>
        </is>
      </c>
      <c r="E1440" s="43" t="inlineStr">
        <is>
          <t>MCGA</t>
        </is>
      </c>
      <c r="F1440" s="43" t="inlineStr">
        <is>
          <t>037-STBU</t>
        </is>
      </c>
      <c r="G1440" s="43" t="inlineStr">
        <is>
          <t>CTANJZ04886</t>
        </is>
      </c>
      <c r="H1440" s="43" t="inlineStr">
        <is>
          <t>Risk Buy Authorization Only ¡V No Build/Shipment Allowed (Sustaining Only)</t>
        </is>
      </c>
      <c r="I1440" s="43" t="inlineStr">
        <is>
          <t>Customer Deviation</t>
        </is>
      </c>
      <c r="J1440" s="43" t="inlineStr">
        <is>
          <t>D606659</t>
        </is>
      </c>
      <c r="K1440" s="33" t="inlineStr">
        <is>
          <t>D606659 NGFWBU: Risk Buy: GQR No: GQR000068480; AQR No: AQR002836001; CPN: 22-100237-01; MFR NAME: DIPTRONICS; MPN: TAFG-12WQTo execute the above AQR at CM Site.</t>
        </is>
      </c>
      <c r="L1440" s="43" t="inlineStr">
        <is>
          <t>Expired</t>
        </is>
      </c>
      <c r="M1440" s="43" t="inlineStr">
        <is>
          <t>22-100237-01</t>
        </is>
      </c>
      <c r="N1440" s="43" t="inlineStr"/>
      <c r="O1440" s="43" t="inlineStr">
        <is>
          <t>2025-12-31</t>
        </is>
      </c>
      <c r="P1440" s="33" t="inlineStr">
        <is>
          <t>Risk Buy Authorization</t>
        </is>
      </c>
      <c r="Q1440" s="43" t="inlineStr">
        <is>
          <t>No Marking required.</t>
        </is>
      </c>
      <c r="R1440" s="43" t="inlineStr">
        <is>
          <t>2025-10-07</t>
        </is>
      </c>
      <c r="S1440" s="43" t="inlineStr">
        <is>
          <t>2025-10-21</t>
        </is>
      </c>
      <c r="T1440" s="43" t="inlineStr"/>
      <c r="U1440" s="43" t="inlineStr"/>
    </row>
    <row r="1441">
      <c r="A1441" s="43" t="n">
        <v>1441</v>
      </c>
      <c r="B1441" s="43" t="inlineStr">
        <is>
          <t>1440</t>
        </is>
      </c>
      <c r="C1441" s="43" t="inlineStr">
        <is>
          <t>FJZP</t>
        </is>
      </c>
      <c r="D1441" s="43" t="inlineStr">
        <is>
          <t>Cisco</t>
        </is>
      </c>
      <c r="E1441" s="43" t="inlineStr">
        <is>
          <t>MCGA</t>
        </is>
      </c>
      <c r="F1441" s="43" t="inlineStr">
        <is>
          <t>037-STBU</t>
        </is>
      </c>
      <c r="G1441" s="43" t="inlineStr">
        <is>
          <t>CTANJZ04886</t>
        </is>
      </c>
      <c r="H1441" s="43" t="inlineStr">
        <is>
          <t>Risk Buy Authorization Only ¡V No Build/Shipment Allowed (Sustaining Only)</t>
        </is>
      </c>
      <c r="I1441" s="43" t="inlineStr">
        <is>
          <t>Customer Deviation</t>
        </is>
      </c>
      <c r="J1441" s="43" t="inlineStr">
        <is>
          <t>D606659</t>
        </is>
      </c>
      <c r="K1441" s="33" t="inlineStr">
        <is>
          <t>D606659 NGFWBU: Risk Buy: GQR No: GQR000068480; AQR No: AQR002836001; CPN: 22-100237-01; MFR NAME: DIPTRONICS; MPN: TAFG-12WQTo execute the above AQR at CM Site.</t>
        </is>
      </c>
      <c r="L1441" s="43" t="inlineStr">
        <is>
          <t>Expired</t>
        </is>
      </c>
      <c r="M1441" s="43" t="inlineStr">
        <is>
          <t>73-102435-05</t>
        </is>
      </c>
      <c r="N1441" s="43" t="inlineStr"/>
      <c r="O1441" s="43" t="inlineStr">
        <is>
          <t>2025-12-31</t>
        </is>
      </c>
      <c r="P1441" s="33" t="inlineStr">
        <is>
          <t>Risk Buy Authorization</t>
        </is>
      </c>
      <c r="Q1441" s="43" t="inlineStr">
        <is>
          <t>No Marking required.</t>
        </is>
      </c>
      <c r="R1441" s="43" t="inlineStr">
        <is>
          <t>2025-10-07</t>
        </is>
      </c>
      <c r="S1441" s="43" t="inlineStr">
        <is>
          <t>2025-10-21</t>
        </is>
      </c>
      <c r="T1441" s="43" t="inlineStr"/>
      <c r="U1441" s="43" t="inlineStr"/>
    </row>
    <row r="1442">
      <c r="A1442" s="43" t="n">
        <v>1442</v>
      </c>
      <c r="B1442" s="43" t="inlineStr">
        <is>
          <t>1441</t>
        </is>
      </c>
      <c r="C1442" s="43" t="inlineStr">
        <is>
          <t>FJZP</t>
        </is>
      </c>
      <c r="D1442" s="43" t="inlineStr">
        <is>
          <t>Cisco</t>
        </is>
      </c>
      <c r="E1442" s="43" t="inlineStr">
        <is>
          <t>MCGA</t>
        </is>
      </c>
      <c r="F1442" s="43" t="inlineStr">
        <is>
          <t>037-STBU</t>
        </is>
      </c>
      <c r="G1442" s="43" t="inlineStr">
        <is>
          <t>CTANJZ05001</t>
        </is>
      </c>
      <c r="H1442" s="43" t="inlineStr">
        <is>
          <t>Risk Buy Authorization Only ¡V No Build/Shipment Allowed (Sustaining Only)</t>
        </is>
      </c>
      <c r="I1442" s="43" t="inlineStr">
        <is>
          <t>Customer Deviation</t>
        </is>
      </c>
      <c r="J1442" s="43" t="inlineStr">
        <is>
          <t>D607678</t>
        </is>
      </c>
      <c r="K1442" s="33" t="inlineStr">
        <is>
          <t>D607678 NGFWBU: Risk Buy: GQR No: GQR000072536; AQR No: AQR002981203; CPN: 20-100534-02; MFR NAME: NEXPERIA USA INC ; MPN: PSMNR51-25YLH &amp; MFR NAME: ONSEMI ; MPN: NTMFS0D55N03CGT1GTo execute the above AQR at CM Site.</t>
        </is>
      </c>
      <c r="L1442" s="43" t="inlineStr">
        <is>
          <t>Expired</t>
        </is>
      </c>
      <c r="M1442" s="43" t="inlineStr">
        <is>
          <t>20-100286-01</t>
        </is>
      </c>
      <c r="N1442" s="43" t="inlineStr"/>
      <c r="O1442" s="43" t="inlineStr">
        <is>
          <t>2026-03-02</t>
        </is>
      </c>
      <c r="P1442" s="33" t="inlineStr">
        <is>
          <t>Risk Buy Authorization</t>
        </is>
      </c>
      <c r="Q1442" s="43" t="inlineStr">
        <is>
          <t>No marking required.</t>
        </is>
      </c>
      <c r="R1442" s="43" t="inlineStr">
        <is>
          <t>2025-12-02</t>
        </is>
      </c>
      <c r="S1442" s="43" t="inlineStr">
        <is>
          <t>2026-01-14</t>
        </is>
      </c>
      <c r="T1442" s="43" t="inlineStr"/>
      <c r="U1442" s="43" t="inlineStr"/>
    </row>
    <row r="1443">
      <c r="A1443" s="43" t="n">
        <v>1443</v>
      </c>
      <c r="B1443" s="43" t="inlineStr">
        <is>
          <t>1442</t>
        </is>
      </c>
      <c r="C1443" s="43" t="inlineStr">
        <is>
          <t>FJZP</t>
        </is>
      </c>
      <c r="D1443" s="43" t="inlineStr">
        <is>
          <t>Cisco</t>
        </is>
      </c>
      <c r="E1443" s="43" t="inlineStr">
        <is>
          <t>MCGA</t>
        </is>
      </c>
      <c r="F1443" s="43" t="inlineStr">
        <is>
          <t>037-STBU</t>
        </is>
      </c>
      <c r="G1443" s="43" t="inlineStr">
        <is>
          <t>CTANJZ05001</t>
        </is>
      </c>
      <c r="H1443" s="43" t="inlineStr">
        <is>
          <t>Risk Buy Authorization Only ¡V No Build/Shipment Allowed (Sustaining Only)</t>
        </is>
      </c>
      <c r="I1443" s="43" t="inlineStr">
        <is>
          <t>Customer Deviation</t>
        </is>
      </c>
      <c r="J1443" s="43" t="inlineStr">
        <is>
          <t>D607678</t>
        </is>
      </c>
      <c r="K1443" s="33" t="inlineStr">
        <is>
          <t>D607678 NGFWBU: Risk Buy: GQR No: GQR000072536; AQR No: AQR002981203; CPN: 20-100534-02; MFR NAME: NEXPERIA USA INC ; MPN: PSMNR51-25YLH &amp; MFR NAME: ONSEMI ; MPN: NTMFS0D55N03CGT1GTo execute the above AQR at CM Site.</t>
        </is>
      </c>
      <c r="L1443" s="43" t="inlineStr">
        <is>
          <t>Expired</t>
        </is>
      </c>
      <c r="M1443" s="43" t="inlineStr">
        <is>
          <t>73-20249-06</t>
        </is>
      </c>
      <c r="N1443" s="43" t="inlineStr"/>
      <c r="O1443" s="43" t="inlineStr">
        <is>
          <t>2026-03-02</t>
        </is>
      </c>
      <c r="P1443" s="33" t="inlineStr">
        <is>
          <t>Risk Buy Authorization</t>
        </is>
      </c>
      <c r="Q1443" s="43" t="inlineStr">
        <is>
          <t>No marking required.</t>
        </is>
      </c>
      <c r="R1443" s="43" t="inlineStr">
        <is>
          <t>2025-12-02</t>
        </is>
      </c>
      <c r="S1443" s="43" t="inlineStr">
        <is>
          <t>2026-01-14</t>
        </is>
      </c>
      <c r="T1443" s="43" t="inlineStr"/>
      <c r="U1443" s="43" t="inlineStr"/>
    </row>
    <row r="1444">
      <c r="A1444" s="43" t="n">
        <v>1444</v>
      </c>
      <c r="B1444" s="43" t="inlineStr">
        <is>
          <t>1443</t>
        </is>
      </c>
      <c r="C1444" s="43" t="inlineStr">
        <is>
          <t>FJZP</t>
        </is>
      </c>
      <c r="D1444" s="43" t="inlineStr">
        <is>
          <t>Cisco</t>
        </is>
      </c>
      <c r="E1444" s="43" t="inlineStr">
        <is>
          <t>MCGA</t>
        </is>
      </c>
      <c r="F1444" s="43" t="inlineStr">
        <is>
          <t>037-STBU</t>
        </is>
      </c>
      <c r="G1444" s="43" t="inlineStr">
        <is>
          <t>CTANJZ05064</t>
        </is>
      </c>
      <c r="H1444" s="43" t="inlineStr">
        <is>
          <t>Risk Buy Authorization Only ¡V No Build/Shipment Allowed (Sustaining Only)</t>
        </is>
      </c>
      <c r="I1444" s="43" t="inlineStr">
        <is>
          <t>Customer Deviation</t>
        </is>
      </c>
      <c r="J1444" s="43" t="inlineStr">
        <is>
          <t>D608788</t>
        </is>
      </c>
      <c r="K1444" s="33" t="inlineStr">
        <is>
          <t>D608788 NGFWBU: Risk Buy: GQR: GQR000077986 Case: AQR003242593 CPN: 20-100286-01; MFR NAME: DIODES INC; MPN: DMTH31M1LPSWTo execute the above AQR at CM site</t>
        </is>
      </c>
      <c r="L1444" s="43" t="inlineStr">
        <is>
          <t>Expired</t>
        </is>
      </c>
      <c r="M1444" s="43" t="inlineStr">
        <is>
          <t>20-100286-01</t>
        </is>
      </c>
      <c r="N1444" s="43" t="inlineStr"/>
      <c r="O1444" s="43" t="inlineStr">
        <is>
          <t>2026-04-14</t>
        </is>
      </c>
      <c r="P1444" s="33" t="inlineStr">
        <is>
          <t>Risk Buy Authorization</t>
        </is>
      </c>
      <c r="Q1444" s="43" t="inlineStr">
        <is>
          <t>No marking required.</t>
        </is>
      </c>
      <c r="R1444" s="43" t="inlineStr">
        <is>
          <t>2026-01-14</t>
        </is>
      </c>
      <c r="S1444" s="43" t="inlineStr">
        <is>
          <t>2026-02-11</t>
        </is>
      </c>
      <c r="T1444" s="43" t="inlineStr"/>
      <c r="U1444" s="43" t="inlineStr"/>
    </row>
    <row r="1445">
      <c r="A1445" s="43" t="n">
        <v>1445</v>
      </c>
      <c r="B1445" s="43" t="inlineStr">
        <is>
          <t>1444</t>
        </is>
      </c>
      <c r="C1445" s="43" t="inlineStr">
        <is>
          <t>FJZP</t>
        </is>
      </c>
      <c r="D1445" s="43" t="inlineStr">
        <is>
          <t>Cisco</t>
        </is>
      </c>
      <c r="E1445" s="43" t="inlineStr">
        <is>
          <t>MCGA</t>
        </is>
      </c>
      <c r="F1445" s="43" t="inlineStr">
        <is>
          <t>037-STBU</t>
        </is>
      </c>
      <c r="G1445" s="43" t="inlineStr">
        <is>
          <t>CTANJZ05064</t>
        </is>
      </c>
      <c r="H1445" s="43" t="inlineStr">
        <is>
          <t>Risk Buy Authorization Only ¡V No Build/Shipment Allowed (Sustaining Only)</t>
        </is>
      </c>
      <c r="I1445" s="43" t="inlineStr">
        <is>
          <t>Customer Deviation</t>
        </is>
      </c>
      <c r="J1445" s="43" t="inlineStr">
        <is>
          <t>D608788</t>
        </is>
      </c>
      <c r="K1445" s="33" t="inlineStr">
        <is>
          <t>D608788 NGFWBU: Risk Buy: GQR: GQR000077986 Case: AQR003242593 CPN: 20-100286-01; MFR NAME: DIODES INC; MPN: DMTH31M1LPSWTo execute the above AQR at CM site</t>
        </is>
      </c>
      <c r="L1445" s="43" t="inlineStr">
        <is>
          <t>Expired</t>
        </is>
      </c>
      <c r="M1445" s="43" t="inlineStr">
        <is>
          <t>73-102435-05</t>
        </is>
      </c>
      <c r="N1445" s="43" t="inlineStr"/>
      <c r="O1445" s="43" t="inlineStr">
        <is>
          <t>2026-04-14</t>
        </is>
      </c>
      <c r="P1445" s="33" t="inlineStr">
        <is>
          <t>Risk Buy Authorization</t>
        </is>
      </c>
      <c r="Q1445" s="43" t="inlineStr">
        <is>
          <t>No marking required.</t>
        </is>
      </c>
      <c r="R1445" s="43" t="inlineStr">
        <is>
          <t>2026-01-14</t>
        </is>
      </c>
      <c r="S1445" s="43" t="inlineStr">
        <is>
          <t>2026-02-11</t>
        </is>
      </c>
      <c r="T1445" s="43" t="inlineStr"/>
      <c r="U1445" s="43" t="inlineStr"/>
    </row>
    <row r="1446">
      <c r="A1446" s="43" t="n">
        <v>1446</v>
      </c>
      <c r="B1446" s="43" t="inlineStr">
        <is>
          <t>1445</t>
        </is>
      </c>
      <c r="C1446" s="43" t="inlineStr">
        <is>
          <t>FJZP</t>
        </is>
      </c>
      <c r="D1446" s="43" t="inlineStr">
        <is>
          <t>Cisco</t>
        </is>
      </c>
      <c r="E1446" s="43" t="inlineStr">
        <is>
          <t>MCGA</t>
        </is>
      </c>
      <c r="F1446" s="43" t="inlineStr">
        <is>
          <t>037-STBU</t>
        </is>
      </c>
      <c r="G1446" s="43" t="inlineStr">
        <is>
          <t>CTANJZ05139</t>
        </is>
      </c>
      <c r="H1446" s="43" t="inlineStr">
        <is>
          <t>To track an AML qualification build (EXTENDABLE 2x)</t>
        </is>
      </c>
      <c r="I1446" s="43" t="inlineStr">
        <is>
          <t>Customer Deviation</t>
        </is>
      </c>
      <c r="J1446" s="43" t="inlineStr">
        <is>
          <t>D609791</t>
        </is>
      </c>
      <c r="K1446" s="33" t="inlineStr">
        <is>
          <t>D609791 NGFWBU GQR: GQR000076448 Case: AQR003106226 CPN: 15-14518-02; MFR NAME: RICHTEK TECHNOLOGY; MPN: RTQ6059GJ8; WESTMINSTER RACK MOUNT.This deviation instructs Foxconn Juarez (FJZ) to execute a sample buy and conduct a Mfg qual build for the following part(s):BU: NGFWBUPF: FPRLOWAffected TAN(s): 68-7007-02Affected Item(s): 73-18489-08CPN:15-14518-02; MFR NAME: RICHTEK TECHNOLOGY; MPN: RTQ6059GJ8Build Qty: 5Ref Des: U42_PETo execute the above AQR at CM site; should be tested on Model A.</t>
        </is>
      </c>
      <c r="L1446" s="43" t="inlineStr">
        <is>
          <t>Expired</t>
        </is>
      </c>
      <c r="M1446" s="43" t="inlineStr">
        <is>
          <t>15-14518-02</t>
        </is>
      </c>
      <c r="N1446" s="43" t="inlineStr"/>
      <c r="O1446" s="43" t="inlineStr">
        <is>
          <t>2026-06-07</t>
        </is>
      </c>
      <c r="P1446" s="33" t="inlineStr">
        <is>
          <t>Risk Buy Authorization;To track an AML qualification build (EXTENDABLE 2x)</t>
        </is>
      </c>
      <c r="Q1446" s="43" t="inlineStr">
        <is>
          <t>NA</t>
        </is>
      </c>
      <c r="R1446" s="43" t="inlineStr">
        <is>
          <t>2026-03-10</t>
        </is>
      </c>
      <c r="S1446" s="43" t="inlineStr">
        <is>
          <t>2026-03-24</t>
        </is>
      </c>
      <c r="T1446" s="43" t="inlineStr"/>
      <c r="U1446" s="43" t="inlineStr"/>
    </row>
    <row r="1447">
      <c r="A1447" s="43" t="n">
        <v>1447</v>
      </c>
      <c r="B1447" s="43" t="inlineStr">
        <is>
          <t>1446</t>
        </is>
      </c>
      <c r="C1447" s="43" t="inlineStr">
        <is>
          <t>FJZP</t>
        </is>
      </c>
      <c r="D1447" s="43" t="inlineStr">
        <is>
          <t>Cisco</t>
        </is>
      </c>
      <c r="E1447" s="43" t="inlineStr">
        <is>
          <t>MCGA</t>
        </is>
      </c>
      <c r="F1447" s="43" t="inlineStr">
        <is>
          <t>037-STBU</t>
        </is>
      </c>
      <c r="G1447" s="43" t="inlineStr">
        <is>
          <t>CTANJZ05139</t>
        </is>
      </c>
      <c r="H1447" s="43" t="inlineStr">
        <is>
          <t>To track an AML qualification build (EXTENDABLE 2x)</t>
        </is>
      </c>
      <c r="I1447" s="43" t="inlineStr">
        <is>
          <t>Customer Deviation</t>
        </is>
      </c>
      <c r="J1447" s="43" t="inlineStr">
        <is>
          <t>D609791</t>
        </is>
      </c>
      <c r="K1447" s="33" t="inlineStr">
        <is>
          <t>D609791 NGFWBU GQR: GQR000076448 Case: AQR003106226 CPN: 15-14518-02; MFR NAME: RICHTEK TECHNOLOGY; MPN: RTQ6059GJ8; WESTMINSTER RACK MOUNT.This deviation instructs Foxconn Juarez (FJZ) to execute a sample buy and conduct a Mfg qual build for the following part(s):BU: NGFWBUPF: FPRLOWAffected TAN(s): 68-7007-02Affected Item(s): 73-18489-08CPN:15-14518-02; MFR NAME: RICHTEK TECHNOLOGY; MPN: RTQ6059GJ8Build Qty: 5Ref Des: U42_PETo execute the above AQR at CM site; should be tested on Model A.</t>
        </is>
      </c>
      <c r="L1447" s="43" t="inlineStr">
        <is>
          <t>Expired</t>
        </is>
      </c>
      <c r="M1447" s="43" t="inlineStr">
        <is>
          <t>73-18489-08</t>
        </is>
      </c>
      <c r="N1447" s="43" t="inlineStr"/>
      <c r="O1447" s="43" t="inlineStr">
        <is>
          <t>2026-06-07</t>
        </is>
      </c>
      <c r="P1447" s="33" t="inlineStr">
        <is>
          <t>Risk Buy Authorization;To track an AML qualification build (EXTENDABLE 2x)</t>
        </is>
      </c>
      <c r="Q1447" s="43" t="inlineStr">
        <is>
          <t>NA</t>
        </is>
      </c>
      <c r="R1447" s="43" t="inlineStr">
        <is>
          <t>2026-03-10</t>
        </is>
      </c>
      <c r="S1447" s="43" t="inlineStr">
        <is>
          <t>2026-03-24</t>
        </is>
      </c>
      <c r="T1447" s="43" t="inlineStr"/>
      <c r="U1447" s="43" t="inlineStr"/>
    </row>
    <row r="1448">
      <c r="A1448" s="43" t="n">
        <v>1448</v>
      </c>
      <c r="B1448" s="43" t="inlineStr">
        <is>
          <t>1447</t>
        </is>
      </c>
      <c r="C1448" s="43" t="inlineStr">
        <is>
          <t>FJZP</t>
        </is>
      </c>
      <c r="D1448" s="43" t="inlineStr">
        <is>
          <t>Cisco</t>
        </is>
      </c>
      <c r="E1448" s="43" t="inlineStr">
        <is>
          <t>MCGA</t>
        </is>
      </c>
      <c r="F1448" s="43" t="inlineStr">
        <is>
          <t>037-STBU</t>
        </is>
      </c>
      <c r="G1448" s="43" t="inlineStr">
        <is>
          <t>CTANJZ05014</t>
        </is>
      </c>
      <c r="H1448" s="43" t="inlineStr">
        <is>
          <t>Risk Buy Authorization Only ¡V No Build/Shipment Allowed (Sustaining Only)</t>
        </is>
      </c>
      <c r="I1448" s="43" t="inlineStr">
        <is>
          <t>Customer Deviation</t>
        </is>
      </c>
      <c r="J1448" s="43" t="inlineStr">
        <is>
          <t>D608072</t>
        </is>
      </c>
      <c r="K1448" s="33" t="inlineStr">
        <is>
          <t>D608072NGFWBU: Risk Buy: GQR No: GQR000074710; AQR No: AQR003023126; CPN: 15-12877-02; MFR Name: RICHTEK TECHNOLOGY; MPN: RT9731AZQW.To execute the above AQR at CM site.</t>
        </is>
      </c>
      <c r="L1448" s="43" t="inlineStr">
        <is>
          <t>Expired</t>
        </is>
      </c>
      <c r="M1448" s="43" t="inlineStr">
        <is>
          <t>73-102435-05</t>
        </is>
      </c>
      <c r="N1448" s="43" t="inlineStr"/>
      <c r="O1448" s="43" t="inlineStr">
        <is>
          <t>2026-03-06</t>
        </is>
      </c>
      <c r="P1448" s="33" t="inlineStr">
        <is>
          <t>Risk Buy Authorization</t>
        </is>
      </c>
      <c r="Q1448" s="43" t="inlineStr">
        <is>
          <t>No marking required.</t>
        </is>
      </c>
      <c r="R1448" s="43" t="inlineStr">
        <is>
          <t>2025-12-08</t>
        </is>
      </c>
      <c r="S1448" s="43" t="inlineStr">
        <is>
          <t>2026-01-23</t>
        </is>
      </c>
      <c r="T1448" s="43" t="inlineStr"/>
      <c r="U1448" s="43" t="inlineStr"/>
    </row>
    <row r="1449">
      <c r="A1449" s="43" t="n">
        <v>1449</v>
      </c>
      <c r="B1449" s="43" t="inlineStr">
        <is>
          <t>1448</t>
        </is>
      </c>
      <c r="C1449" s="43" t="inlineStr">
        <is>
          <t>FJZP</t>
        </is>
      </c>
      <c r="D1449" s="43" t="inlineStr">
        <is>
          <t>Cisco</t>
        </is>
      </c>
      <c r="E1449" s="43" t="inlineStr">
        <is>
          <t>MCGA</t>
        </is>
      </c>
      <c r="F1449" s="43" t="inlineStr">
        <is>
          <t>037-STBU</t>
        </is>
      </c>
      <c r="G1449" s="43" t="inlineStr">
        <is>
          <t>CTANJZ05140</t>
        </is>
      </c>
      <c r="H1449" s="43" t="inlineStr">
        <is>
          <t>Risk Buy Authorization Only ¡V No Build/Shipment Allowed (Sustaining Only)</t>
        </is>
      </c>
      <c r="I1449" s="43" t="inlineStr">
        <is>
          <t>Customer Deviation</t>
        </is>
      </c>
      <c r="J1449" s="43" t="inlineStr">
        <is>
          <t>D609792</t>
        </is>
      </c>
      <c r="K1449" s="33" t="inlineStr">
        <is>
          <t>D609792NGFWBU GQR: GQR000076657 Case: AQR003235642 CPN: 36-0333-01; MFR NAME: MAG LAYERS; MPN: GMLB-160808-0220Y-BK ; WESTMINSTER RACK MOUNT.This deviation instructs Foxconn Juarez (FJZ) to execute a sample buy and conduct a Mfg qual build for the following part(s):BU: NGFWBUPF: F1KLOWAffected TAN(s):68-6432-03Affected Item(s): 73-18489-08CPN: 36-0333-01; MFR NAME: MAG LAYERS; MPN: GMLB-160808-0220Y-BKBuild Qty: 5Ref Des: L34;L38;L39To execute the above AQR at CM site; should be tested on Model A.</t>
        </is>
      </c>
      <c r="L1449" s="43" t="inlineStr">
        <is>
          <t>Expired</t>
        </is>
      </c>
      <c r="M1449" s="43" t="inlineStr">
        <is>
          <t>73-18489-08</t>
        </is>
      </c>
      <c r="N1449" s="43" t="inlineStr"/>
      <c r="O1449" s="43" t="inlineStr">
        <is>
          <t>2026-06-07</t>
        </is>
      </c>
      <c r="P1449" s="33" t="inlineStr">
        <is>
          <t>Risk Buy Authorization;To track an AML qualification build (EXTENDABLE 2x)</t>
        </is>
      </c>
      <c r="Q1449" s="43" t="inlineStr">
        <is>
          <t>NA</t>
        </is>
      </c>
      <c r="R1449" s="43" t="inlineStr">
        <is>
          <t>2026-03-10</t>
        </is>
      </c>
      <c r="S1449" s="43" t="inlineStr">
        <is>
          <t>2026-03-25</t>
        </is>
      </c>
      <c r="T1449" s="43" t="inlineStr"/>
      <c r="U1449" s="43" t="inlineStr"/>
    </row>
    <row r="1450">
      <c r="A1450" s="43" t="n">
        <v>1450</v>
      </c>
      <c r="B1450" s="43" t="inlineStr">
        <is>
          <t>1449</t>
        </is>
      </c>
      <c r="C1450" s="43" t="inlineStr">
        <is>
          <t>FJZP</t>
        </is>
      </c>
      <c r="D1450" s="43" t="inlineStr">
        <is>
          <t>Cisco</t>
        </is>
      </c>
      <c r="E1450" s="43" t="inlineStr">
        <is>
          <t>MCGA</t>
        </is>
      </c>
      <c r="F1450" s="43" t="inlineStr">
        <is>
          <t>037-STBU</t>
        </is>
      </c>
      <c r="G1450" s="43" t="inlineStr">
        <is>
          <t>CTANJZ05141</t>
        </is>
      </c>
      <c r="H1450" s="43" t="inlineStr">
        <is>
          <t>Risk Buy Authorization Only ¡V No Build/Shipment Allowed (Sustaining Only)</t>
        </is>
      </c>
      <c r="I1450" s="43" t="inlineStr">
        <is>
          <t>Customer Deviation</t>
        </is>
      </c>
      <c r="J1450" s="43" t="inlineStr">
        <is>
          <t>D609793</t>
        </is>
      </c>
      <c r="K1450" s="33" t="inlineStr">
        <is>
          <t>D609793 NGFWBU GQR: GQR000076658 Case: AQR003234979 CPN: 36-0333-01; MFR NAME: TAI-TECH ADVANCED ELECTRONICS; MPN: MB18K221-03R30V2CThis deviation instructs Foxconn Juarez (FJZ) to execute a sample buy and conduct a Mfg qual build for the following part(s):BU: NGFWBUPF: F1KLOWAffected TAN(s):68-6432-03Affected Item(s): 73-18489-08CPN: 36-0333-01; MFR NAME: TAI-TECH ADVANCED ELECTRONICS; MPN: MB18K221-03R30V2CBuild Qty: 5Ref Des: L34;L38;L39To execute the above AQR at CM site; should be tested on Model A.</t>
        </is>
      </c>
      <c r="L1450" s="43" t="inlineStr">
        <is>
          <t>Expired</t>
        </is>
      </c>
      <c r="M1450" s="43" t="inlineStr">
        <is>
          <t>36-0333-01</t>
        </is>
      </c>
      <c r="N1450" s="43" t="inlineStr"/>
      <c r="O1450" s="43" t="inlineStr">
        <is>
          <t>2026-06-07</t>
        </is>
      </c>
      <c r="P1450" s="33" t="inlineStr">
        <is>
          <t>Risk Buy Authorization;To track an AML qualification build (EXTENDABLE 2x)</t>
        </is>
      </c>
      <c r="Q1450" s="43" t="inlineStr">
        <is>
          <t>NA</t>
        </is>
      </c>
      <c r="R1450" s="43" t="inlineStr">
        <is>
          <t>2026-03-10</t>
        </is>
      </c>
      <c r="S1450" s="43" t="inlineStr">
        <is>
          <t>2026-03-24</t>
        </is>
      </c>
      <c r="T1450" s="43" t="inlineStr"/>
      <c r="U1450" s="43" t="inlineStr"/>
    </row>
    <row r="1451">
      <c r="A1451" s="43" t="n">
        <v>1451</v>
      </c>
      <c r="B1451" s="43" t="inlineStr">
        <is>
          <t>1450</t>
        </is>
      </c>
      <c r="C1451" s="43" t="inlineStr">
        <is>
          <t>FJZP</t>
        </is>
      </c>
      <c r="D1451" s="43" t="inlineStr">
        <is>
          <t>Cisco</t>
        </is>
      </c>
      <c r="E1451" s="43" t="inlineStr">
        <is>
          <t>MCGA</t>
        </is>
      </c>
      <c r="F1451" s="43" t="inlineStr">
        <is>
          <t>037-STBU</t>
        </is>
      </c>
      <c r="G1451" s="43" t="inlineStr">
        <is>
          <t>CTANJZ05141</t>
        </is>
      </c>
      <c r="H1451" s="43" t="inlineStr">
        <is>
          <t>Risk Buy Authorization Only ¡V No Build/Shipment Allowed (Sustaining Only)</t>
        </is>
      </c>
      <c r="I1451" s="43" t="inlineStr">
        <is>
          <t>Customer Deviation</t>
        </is>
      </c>
      <c r="J1451" s="43" t="inlineStr">
        <is>
          <t>D609793</t>
        </is>
      </c>
      <c r="K1451" s="33" t="inlineStr">
        <is>
          <t>D609793 NGFWBU GQR: GQR000076658 Case: AQR003234979 CPN: 36-0333-01; MFR NAME: TAI-TECH ADVANCED ELECTRONICS; MPN: MB18K221-03R30V2CThis deviation instructs Foxconn Juarez (FJZ) to execute a sample buy and conduct a Mfg qual build for the following part(s):BU: NGFWBUPF: F1KLOWAffected TAN(s):68-6432-03Affected Item(s): 73-18489-08CPN: 36-0333-01; MFR NAME: TAI-TECH ADVANCED ELECTRONICS; MPN: MB18K221-03R30V2CBuild Qty: 5Ref Des: L34;L38;L39To execute the above AQR at CM site; should be tested on Model A.</t>
        </is>
      </c>
      <c r="L1451" s="43" t="inlineStr">
        <is>
          <t>Expired</t>
        </is>
      </c>
      <c r="M1451" s="43" t="inlineStr">
        <is>
          <t>73-18489-08</t>
        </is>
      </c>
      <c r="N1451" s="43" t="inlineStr"/>
      <c r="O1451" s="43" t="inlineStr">
        <is>
          <t>2026-06-07</t>
        </is>
      </c>
      <c r="P1451" s="33" t="inlineStr">
        <is>
          <t>Risk Buy Authorization;To track an AML qualification build (EXTENDABLE 2x)</t>
        </is>
      </c>
      <c r="Q1451" s="43" t="inlineStr">
        <is>
          <t>NA</t>
        </is>
      </c>
      <c r="R1451" s="43" t="inlineStr">
        <is>
          <t>2026-03-10</t>
        </is>
      </c>
      <c r="S1451" s="43" t="inlineStr">
        <is>
          <t>2026-03-24</t>
        </is>
      </c>
      <c r="T1451" s="43" t="inlineStr"/>
      <c r="U1451" s="43" t="inlineStr"/>
    </row>
    <row r="1452">
      <c r="A1452" s="43" t="n">
        <v>1452</v>
      </c>
      <c r="B1452" s="43" t="inlineStr">
        <is>
          <t>1451</t>
        </is>
      </c>
      <c r="C1452" s="43" t="inlineStr">
        <is>
          <t>FJZP</t>
        </is>
      </c>
      <c r="D1452" s="43" t="inlineStr">
        <is>
          <t>Cisco</t>
        </is>
      </c>
      <c r="E1452" s="43" t="inlineStr">
        <is>
          <t>MCGA</t>
        </is>
      </c>
      <c r="F1452" s="43" t="inlineStr">
        <is>
          <t>239-CRBU</t>
        </is>
      </c>
      <c r="G1452" s="43" t="inlineStr">
        <is>
          <t>CTANJZ05190</t>
        </is>
      </c>
      <c r="H1452" s="43" t="inlineStr">
        <is>
          <t>Risk Buy Authorization Only ¡V No Build/Shipment Allowed (Sustaining Only)</t>
        </is>
      </c>
      <c r="I1452" s="43" t="inlineStr">
        <is>
          <t>Customer Deviation</t>
        </is>
      </c>
      <c r="J1452" s="43" t="inlineStr">
        <is>
          <t>D610571</t>
        </is>
      </c>
      <c r="K1452" s="33" t="inlineStr">
        <is>
          <t>D610571 Risk Buy for LC4/5 to prepare for the rollout of ECO EA619918LC4 ComponentsMultiplier: 1200 units per BOM QTY15-110847-01 replaces 15-9669-03; BOM QTY 5; U104; U157; U2_13; Total Purchase QTY 600017-16031-07 replaces 17-16031-04; BOM QTY1 U9; Total Purchase QTY 120019-100823-01 replaces 19-100510-0 BOM QTY 1; 1 U316; Total Purchase Total Purchase 120019-100849-01 replaces 19-100493-01; BOM QTY 1 U100; Total Purchase 120019-100850-01 replaces 19-1364-01; BOM QTY 1 U66; Total Purchase 1200LC5 ComponentsMultiplier: 3;000 units per BOM QTY17-16031-07 replaces 17-16031-06; BOM QTY 1; U9; Total Purchase 300025-100310-01 replaces 25-1283-01; BOM QTY 36; Total Purchase 108;000</t>
        </is>
      </c>
      <c r="L1452" s="43" t="inlineStr">
        <is>
          <t>Expired</t>
        </is>
      </c>
      <c r="M1452" s="43" t="inlineStr">
        <is>
          <t>15-9669-03</t>
        </is>
      </c>
      <c r="N1452" s="43" t="inlineStr"/>
      <c r="O1452" s="43" t="inlineStr">
        <is>
          <t>2026-07-05</t>
        </is>
      </c>
      <c r="P1452" s="33" t="inlineStr">
        <is>
          <t>Risk Buy Authorization</t>
        </is>
      </c>
      <c r="Q1452" s="43" t="inlineStr">
        <is>
          <t>Store parts in a secure place with a label that states "For LC4/5 use only after release of ECO EA619918 "</t>
        </is>
      </c>
      <c r="R1452" s="43" t="inlineStr">
        <is>
          <t>2026-04-07</t>
        </is>
      </c>
      <c r="S1452" s="43" t="inlineStr">
        <is>
          <t>2026-05-05</t>
        </is>
      </c>
      <c r="T1452" s="43" t="inlineStr"/>
      <c r="U1452" s="43" t="inlineStr"/>
    </row>
    <row r="1453">
      <c r="A1453" s="43" t="n">
        <v>1453</v>
      </c>
      <c r="B1453" s="43" t="inlineStr">
        <is>
          <t>1452</t>
        </is>
      </c>
      <c r="C1453" s="43" t="inlineStr">
        <is>
          <t>FJZP</t>
        </is>
      </c>
      <c r="D1453" s="43" t="inlineStr">
        <is>
          <t>Cisco</t>
        </is>
      </c>
      <c r="E1453" s="43" t="inlineStr">
        <is>
          <t>MCGA</t>
        </is>
      </c>
      <c r="F1453" s="43" t="inlineStr">
        <is>
          <t>239-CRBU</t>
        </is>
      </c>
      <c r="G1453" s="43" t="inlineStr">
        <is>
          <t>CTANJZ05190</t>
        </is>
      </c>
      <c r="H1453" s="43" t="inlineStr">
        <is>
          <t>Risk Buy Authorization Only ¡V No Build/Shipment Allowed (Sustaining Only)</t>
        </is>
      </c>
      <c r="I1453" s="43" t="inlineStr">
        <is>
          <t>Customer Deviation</t>
        </is>
      </c>
      <c r="J1453" s="43" t="inlineStr">
        <is>
          <t>D610571</t>
        </is>
      </c>
      <c r="K1453" s="33" t="inlineStr">
        <is>
          <t>D610571 Risk Buy for LC4/5 to prepare for the rollout of ECO EA619918LC4 ComponentsMultiplier: 1200 units per BOM QTY15-110847-01 replaces 15-9669-03; BOM QTY 5; U104; U157; U2_13; Total Purchase QTY 600017-16031-07 replaces 17-16031-04; BOM QTY1 U9; Total Purchase QTY 120019-100823-01 replaces 19-100510-0 BOM QTY 1; 1 U316; Total Purchase Total Purchase 120019-100849-01 replaces 19-100493-01; BOM QTY 1 U100; Total Purchase 120019-100850-01 replaces 19-1364-01; BOM QTY 1 U66; Total Purchase 1200LC5 ComponentsMultiplier: 3;000 units per BOM QTY17-16031-07 replaces 17-16031-06; BOM QTY 1; U9; Total Purchase 300025-100310-01 replaces 25-1283-01; BOM QTY 36; Total Purchase 108;000</t>
        </is>
      </c>
      <c r="L1453" s="43" t="inlineStr">
        <is>
          <t>Expired</t>
        </is>
      </c>
      <c r="M1453" s="43" t="inlineStr">
        <is>
          <t>17-16031-04</t>
        </is>
      </c>
      <c r="N1453" s="43" t="inlineStr"/>
      <c r="O1453" s="43" t="inlineStr">
        <is>
          <t>2026-07-05</t>
        </is>
      </c>
      <c r="P1453" s="33" t="inlineStr">
        <is>
          <t>Risk Buy Authorization</t>
        </is>
      </c>
      <c r="Q1453" s="43" t="inlineStr">
        <is>
          <t>Store parts in a secure place with a label that states "For LC4/5 use only after release of ECO EA619918 "</t>
        </is>
      </c>
      <c r="R1453" s="43" t="inlineStr">
        <is>
          <t>2026-04-07</t>
        </is>
      </c>
      <c r="S1453" s="43" t="inlineStr">
        <is>
          <t>2026-05-05</t>
        </is>
      </c>
      <c r="T1453" s="43" t="inlineStr"/>
      <c r="U1453" s="43" t="inlineStr"/>
    </row>
    <row r="1454">
      <c r="A1454" s="43" t="n">
        <v>1454</v>
      </c>
      <c r="B1454" s="43" t="inlineStr">
        <is>
          <t>1453</t>
        </is>
      </c>
      <c r="C1454" s="43" t="inlineStr">
        <is>
          <t>FJZP</t>
        </is>
      </c>
      <c r="D1454" s="43" t="inlineStr">
        <is>
          <t>Cisco</t>
        </is>
      </c>
      <c r="E1454" s="43" t="inlineStr">
        <is>
          <t>MCGA</t>
        </is>
      </c>
      <c r="F1454" s="43" t="inlineStr">
        <is>
          <t>239-CRBU</t>
        </is>
      </c>
      <c r="G1454" s="43" t="inlineStr">
        <is>
          <t>CTANJZ05190</t>
        </is>
      </c>
      <c r="H1454" s="43" t="inlineStr">
        <is>
          <t>Risk Buy Authorization Only ¡V No Build/Shipment Allowed (Sustaining Only)</t>
        </is>
      </c>
      <c r="I1454" s="43" t="inlineStr">
        <is>
          <t>Customer Deviation</t>
        </is>
      </c>
      <c r="J1454" s="43" t="inlineStr">
        <is>
          <t>D610571</t>
        </is>
      </c>
      <c r="K1454" s="33" t="inlineStr">
        <is>
          <t>D610571 Risk Buy for LC4/5 to prepare for the rollout of ECO EA619918LC4 ComponentsMultiplier: 1200 units per BOM QTY15-110847-01 replaces 15-9669-03; BOM QTY 5; U104; U157; U2_13; Total Purchase QTY 600017-16031-07 replaces 17-16031-04; BOM QTY1 U9; Total Purchase QTY 120019-100823-01 replaces 19-100510-0 BOM QTY 1; 1 U316; Total Purchase Total Purchase 120019-100849-01 replaces 19-100493-01; BOM QTY 1 U100; Total Purchase 120019-100850-01 replaces 19-1364-01; BOM QTY 1 U66; Total Purchase 1200LC5 ComponentsMultiplier: 3;000 units per BOM QTY17-16031-07 replaces 17-16031-06; BOM QTY 1; U9; Total Purchase 300025-100310-01 replaces 25-1283-01; BOM QTY 36; Total Purchase 108;000</t>
        </is>
      </c>
      <c r="L1454" s="43" t="inlineStr">
        <is>
          <t>Expired</t>
        </is>
      </c>
      <c r="M1454" s="43" t="inlineStr">
        <is>
          <t>17-16031-06</t>
        </is>
      </c>
      <c r="N1454" s="43" t="inlineStr"/>
      <c r="O1454" s="43" t="inlineStr">
        <is>
          <t>2026-07-05</t>
        </is>
      </c>
      <c r="P1454" s="33" t="inlineStr">
        <is>
          <t>Risk Buy Authorization</t>
        </is>
      </c>
      <c r="Q1454" s="43" t="inlineStr">
        <is>
          <t>Store parts in a secure place with a label that states "For LC4/5 use only after release of ECO EA619918 "</t>
        </is>
      </c>
      <c r="R1454" s="43" t="inlineStr">
        <is>
          <t>2026-04-07</t>
        </is>
      </c>
      <c r="S1454" s="43" t="inlineStr">
        <is>
          <t>2026-05-05</t>
        </is>
      </c>
      <c r="T1454" s="43" t="inlineStr"/>
      <c r="U1454" s="43" t="inlineStr"/>
    </row>
    <row r="1455">
      <c r="A1455" s="43" t="n">
        <v>1455</v>
      </c>
      <c r="B1455" s="43" t="inlineStr">
        <is>
          <t>1454</t>
        </is>
      </c>
      <c r="C1455" s="43" t="inlineStr">
        <is>
          <t>FJZP</t>
        </is>
      </c>
      <c r="D1455" s="43" t="inlineStr">
        <is>
          <t>Cisco</t>
        </is>
      </c>
      <c r="E1455" s="43" t="inlineStr">
        <is>
          <t>MCGA</t>
        </is>
      </c>
      <c r="F1455" s="43" t="inlineStr">
        <is>
          <t>037-STBU</t>
        </is>
      </c>
      <c r="G1455" s="43" t="inlineStr">
        <is>
          <t>CTANJZ04510</t>
        </is>
      </c>
      <c r="H1455" s="43" t="inlineStr">
        <is>
          <t>Risk Buy Authorization Only ¡V No Build/Shipment Allowed (Sustaining Only)</t>
        </is>
      </c>
      <c r="I1455" s="43" t="inlineStr">
        <is>
          <t>Customer Deviation</t>
        </is>
      </c>
      <c r="J1455" s="43" t="inlineStr">
        <is>
          <t>D601185</t>
        </is>
      </c>
      <c r="K1455" s="33" t="inlineStr">
        <is>
          <t>D601185 NGFWBU: Risk Buy: GQR No: GQR000006098; AQR No: AQR000305168; CPN:15-100294-01; MFR NAME: ONSEMI; MPN: NCP51200MNTXGTo execute the above AQR at CM Site</t>
        </is>
      </c>
      <c r="L1455" s="43" t="inlineStr">
        <is>
          <t>Expired</t>
        </is>
      </c>
      <c r="M1455" s="43" t="inlineStr">
        <is>
          <t>68-7255-04</t>
        </is>
      </c>
      <c r="N1455" s="43" t="inlineStr"/>
      <c r="O1455" s="43" t="inlineStr">
        <is>
          <t>2025-06-19</t>
        </is>
      </c>
      <c r="P1455" s="33" t="inlineStr">
        <is>
          <t>Risk Buy Authorization</t>
        </is>
      </c>
      <c r="Q1455" s="43" t="inlineStr">
        <is>
          <t>No marking required</t>
        </is>
      </c>
      <c r="R1455" s="43" t="inlineStr">
        <is>
          <t>2025-03-24</t>
        </is>
      </c>
      <c r="S1455" s="43" t="inlineStr">
        <is>
          <t>2025-04-10</t>
        </is>
      </c>
      <c r="T1455" s="43" t="inlineStr"/>
      <c r="U1455" s="43" t="inlineStr"/>
    </row>
    <row r="1456">
      <c r="A1456" s="43" t="n">
        <v>1456</v>
      </c>
      <c r="B1456" s="43" t="inlineStr">
        <is>
          <t>1455</t>
        </is>
      </c>
      <c r="C1456" s="43" t="inlineStr">
        <is>
          <t>FJZP</t>
        </is>
      </c>
      <c r="D1456" s="43" t="inlineStr">
        <is>
          <t>Cisco</t>
        </is>
      </c>
      <c r="E1456" s="43" t="inlineStr">
        <is>
          <t>MCGA</t>
        </is>
      </c>
      <c r="F1456" s="43" t="inlineStr">
        <is>
          <t>037-STBU</t>
        </is>
      </c>
      <c r="G1456" s="43" t="inlineStr">
        <is>
          <t>CTANJZ04510</t>
        </is>
      </c>
      <c r="H1456" s="43" t="inlineStr">
        <is>
          <t>Risk Buy Authorization Only ¡V No Build/Shipment Allowed (Sustaining Only)</t>
        </is>
      </c>
      <c r="I1456" s="43" t="inlineStr">
        <is>
          <t>Customer Deviation</t>
        </is>
      </c>
      <c r="J1456" s="43" t="inlineStr">
        <is>
          <t>D601185</t>
        </is>
      </c>
      <c r="K1456" s="33" t="inlineStr">
        <is>
          <t>D601185 NGFWBU: Risk Buy: GQR No: GQR000006098; AQR No: AQR000305168; CPN:15-100294-01; MFR NAME: ONSEMI; MPN: NCP51200MNTXGTo execute the above AQR at CM Site</t>
        </is>
      </c>
      <c r="L1456" s="43" t="inlineStr">
        <is>
          <t>Expired</t>
        </is>
      </c>
      <c r="M1456" s="43" t="inlineStr">
        <is>
          <t>73-20247-05</t>
        </is>
      </c>
      <c r="N1456" s="43" t="inlineStr"/>
      <c r="O1456" s="43" t="inlineStr">
        <is>
          <t>2025-06-19</t>
        </is>
      </c>
      <c r="P1456" s="33" t="inlineStr">
        <is>
          <t>Risk Buy Authorization</t>
        </is>
      </c>
      <c r="Q1456" s="43" t="inlineStr">
        <is>
          <t>No marking required</t>
        </is>
      </c>
      <c r="R1456" s="43" t="inlineStr">
        <is>
          <t>2025-03-24</t>
        </is>
      </c>
      <c r="S1456" s="43" t="inlineStr">
        <is>
          <t>2025-04-10</t>
        </is>
      </c>
      <c r="T1456" s="43" t="inlineStr"/>
      <c r="U1456" s="43" t="inlineStr"/>
    </row>
    <row r="1457">
      <c r="A1457" s="43" t="n">
        <v>1457</v>
      </c>
      <c r="B1457" s="43" t="inlineStr">
        <is>
          <t>1456</t>
        </is>
      </c>
      <c r="C1457" s="43" t="inlineStr">
        <is>
          <t>FJZP</t>
        </is>
      </c>
      <c r="D1457" s="43" t="inlineStr">
        <is>
          <t>Cisco</t>
        </is>
      </c>
      <c r="E1457" s="43" t="inlineStr">
        <is>
          <t>MCGA</t>
        </is>
      </c>
      <c r="F1457" s="43" t="inlineStr">
        <is>
          <t>037-STBU</t>
        </is>
      </c>
      <c r="G1457" s="43" t="inlineStr">
        <is>
          <t>CTANJZ04650</t>
        </is>
      </c>
      <c r="H1457" s="43" t="inlineStr">
        <is>
          <t>Risk Buy Authorization Only ¡V No Build/Shipment Allowed (Sustaining Only)</t>
        </is>
      </c>
      <c r="I1457" s="43" t="inlineStr">
        <is>
          <t>Customer Deviation</t>
        </is>
      </c>
      <c r="J1457" s="43" t="inlineStr">
        <is>
          <t>D604195</t>
        </is>
      </c>
      <c r="K1457" s="33" t="inlineStr">
        <is>
          <t>D604195 NGFWBU: Risk Buy: GQR No: GQR000055149; AQR No:AQR002394490; CPN: 24-3133-01; MFR NAME: MAG LAYERS; MPN: MMD-10DZNR36MEX2-CS-RU</t>
        </is>
      </c>
      <c r="L1457" s="43" t="inlineStr">
        <is>
          <t>Expired</t>
        </is>
      </c>
      <c r="M1457" s="43" t="inlineStr">
        <is>
          <t>68-6804-03</t>
        </is>
      </c>
      <c r="N1457" s="43" t="inlineStr"/>
      <c r="O1457" s="43" t="inlineStr">
        <is>
          <t>2025-09-02</t>
        </is>
      </c>
      <c r="P1457" s="33" t="inlineStr">
        <is>
          <t>Risk Buy Authorization</t>
        </is>
      </c>
      <c r="Q1457" s="43" t="inlineStr">
        <is>
          <t>No marking required.</t>
        </is>
      </c>
      <c r="R1457" s="43" t="inlineStr">
        <is>
          <t>2025-06-05</t>
        </is>
      </c>
      <c r="S1457" s="43" t="inlineStr">
        <is>
          <t>2025-07-01</t>
        </is>
      </c>
      <c r="T1457" s="43" t="inlineStr"/>
      <c r="U1457" s="43" t="inlineStr"/>
    </row>
    <row r="1458">
      <c r="A1458" s="43" t="n">
        <v>1458</v>
      </c>
      <c r="B1458" s="43" t="inlineStr">
        <is>
          <t>1457</t>
        </is>
      </c>
      <c r="C1458" s="43" t="inlineStr">
        <is>
          <t>FJZP</t>
        </is>
      </c>
      <c r="D1458" s="43" t="inlineStr">
        <is>
          <t>Cisco</t>
        </is>
      </c>
      <c r="E1458" s="43" t="inlineStr">
        <is>
          <t>MCGA</t>
        </is>
      </c>
      <c r="F1458" s="43" t="inlineStr">
        <is>
          <t>037-STBU</t>
        </is>
      </c>
      <c r="G1458" s="43" t="inlineStr">
        <is>
          <t>CTANJZ04650</t>
        </is>
      </c>
      <c r="H1458" s="43" t="inlineStr">
        <is>
          <t>Risk Buy Authorization Only ¡V No Build/Shipment Allowed (Sustaining Only)</t>
        </is>
      </c>
      <c r="I1458" s="43" t="inlineStr">
        <is>
          <t>Customer Deviation</t>
        </is>
      </c>
      <c r="J1458" s="43" t="inlineStr">
        <is>
          <t>D604195</t>
        </is>
      </c>
      <c r="K1458" s="33" t="inlineStr">
        <is>
          <t>D604195 NGFWBU: Risk Buy: GQR No: GQR000055149; AQR No:AQR002394490; CPN: 24-3133-01; MFR NAME: MAG LAYERS; MPN: MMD-10DZNR36MEX2-CS-RU</t>
        </is>
      </c>
      <c r="L1458" s="43" t="inlineStr">
        <is>
          <t>Expired</t>
        </is>
      </c>
      <c r="M1458" s="43" t="inlineStr">
        <is>
          <t>73-17499-07</t>
        </is>
      </c>
      <c r="N1458" s="43" t="inlineStr"/>
      <c r="O1458" s="43" t="inlineStr">
        <is>
          <t>2025-09-02</t>
        </is>
      </c>
      <c r="P1458" s="33" t="inlineStr">
        <is>
          <t>Risk Buy Authorization</t>
        </is>
      </c>
      <c r="Q1458" s="43" t="inlineStr">
        <is>
          <t>No marking required.</t>
        </is>
      </c>
      <c r="R1458" s="43" t="inlineStr">
        <is>
          <t>2025-06-05</t>
        </is>
      </c>
      <c r="S1458" s="43" t="inlineStr">
        <is>
          <t>2025-07-01</t>
        </is>
      </c>
      <c r="T1458" s="43" t="inlineStr"/>
      <c r="U1458" s="43" t="inlineStr"/>
    </row>
    <row r="1459">
      <c r="A1459" s="43" t="n">
        <v>1459</v>
      </c>
      <c r="B1459" s="43" t="inlineStr">
        <is>
          <t>1458</t>
        </is>
      </c>
      <c r="C1459" s="43" t="inlineStr">
        <is>
          <t>FJZP</t>
        </is>
      </c>
      <c r="D1459" s="43" t="inlineStr">
        <is>
          <t>Cisco</t>
        </is>
      </c>
      <c r="E1459" s="43" t="inlineStr">
        <is>
          <t>MCGA</t>
        </is>
      </c>
      <c r="F1459" s="43" t="inlineStr">
        <is>
          <t>037-STBU</t>
        </is>
      </c>
      <c r="G1459" s="43" t="inlineStr">
        <is>
          <t>CTANJZ04650</t>
        </is>
      </c>
      <c r="H1459" s="43" t="inlineStr">
        <is>
          <t>Risk Buy Authorization Only ¡V No Build/Shipment Allowed (Sustaining Only)</t>
        </is>
      </c>
      <c r="I1459" s="43" t="inlineStr">
        <is>
          <t>Customer Deviation</t>
        </is>
      </c>
      <c r="J1459" s="43" t="inlineStr">
        <is>
          <t>D604195</t>
        </is>
      </c>
      <c r="K1459" s="33" t="inlineStr">
        <is>
          <t>D604195 NGFWBU: Risk Buy: GQR No: GQR000055149; AQR No:AQR002394490; CPN: 24-3133-01; MFR NAME: MAG LAYERS; MPN: MMD-10DZNR36MEX2-CS-RU</t>
        </is>
      </c>
      <c r="L1459" s="43" t="inlineStr">
        <is>
          <t>Expired</t>
        </is>
      </c>
      <c r="M1459" s="43" t="inlineStr">
        <is>
          <t>800-105499-03</t>
        </is>
      </c>
      <c r="N1459" s="43" t="inlineStr"/>
      <c r="O1459" s="43" t="inlineStr">
        <is>
          <t>2025-09-02</t>
        </is>
      </c>
      <c r="P1459" s="33" t="inlineStr">
        <is>
          <t>Risk Buy Authorization</t>
        </is>
      </c>
      <c r="Q1459" s="43" t="inlineStr">
        <is>
          <t>No marking required.</t>
        </is>
      </c>
      <c r="R1459" s="43" t="inlineStr">
        <is>
          <t>2025-06-05</t>
        </is>
      </c>
      <c r="S1459" s="43" t="inlineStr">
        <is>
          <t>2025-07-01</t>
        </is>
      </c>
      <c r="T1459" s="43" t="inlineStr"/>
      <c r="U1459" s="43" t="inlineStr"/>
    </row>
    <row r="1460">
      <c r="A1460" s="43" t="n">
        <v>1460</v>
      </c>
      <c r="B1460" s="43" t="inlineStr">
        <is>
          <t>1459</t>
        </is>
      </c>
      <c r="C1460" s="43" t="inlineStr">
        <is>
          <t>FJZP</t>
        </is>
      </c>
      <c r="D1460" s="43" t="inlineStr">
        <is>
          <t>Cisco</t>
        </is>
      </c>
      <c r="E1460" s="43" t="inlineStr">
        <is>
          <t>MCGA</t>
        </is>
      </c>
      <c r="F1460" s="43" t="inlineStr">
        <is>
          <t>018-SRGBU</t>
        </is>
      </c>
      <c r="G1460" s="43" t="inlineStr">
        <is>
          <t>CTANJZ04941</t>
        </is>
      </c>
      <c r="H1460" s="43" t="inlineStr">
        <is>
          <t>Risk Buy Authorization Only ¡V No Build/Shipment Allowed (Sustaining Only)</t>
        </is>
      </c>
      <c r="I1460" s="43" t="inlineStr">
        <is>
          <t>Customer Deviation</t>
        </is>
      </c>
      <c r="J1460" s="43" t="inlineStr">
        <is>
          <t>D607408</t>
        </is>
      </c>
      <c r="K1460" s="33" t="inlineStr">
        <is>
          <t>D607408 SRGBU ISR1K: Allow Multiple Sites (FVN/FOL/NCB/FJZ) to place Risk Buy PO with SMART for Nanya DDR4 which is currently in IPQ stageCPN: 15-104046-02MPN: NT5AD1024M8H3-JRSites are ONLY allowed to procure the part under risk buy. Do NOT use for manufacturing builds yet. A follow up Deviation will be released later for manufacturing builds once all the testing are completed (tracked by GQR000048111).</t>
        </is>
      </c>
      <c r="L1460" s="43" t="inlineStr">
        <is>
          <t>Expired</t>
        </is>
      </c>
      <c r="M1460" s="43" t="inlineStr">
        <is>
          <t>15-104046-02</t>
        </is>
      </c>
      <c r="N1460" s="43" t="inlineStr"/>
      <c r="O1460" s="43" t="inlineStr">
        <is>
          <t>2026-01-28</t>
        </is>
      </c>
      <c r="P1460" s="33" t="inlineStr">
        <is>
          <t>Risk Buy Authorization</t>
        </is>
      </c>
      <c r="Q1460" s="43" t="inlineStr">
        <is>
          <t>N/A</t>
        </is>
      </c>
      <c r="R1460" s="43" t="inlineStr">
        <is>
          <t>2025-10-30</t>
        </is>
      </c>
      <c r="S1460" s="43" t="inlineStr">
        <is>
          <t>2025-11-14</t>
        </is>
      </c>
      <c r="T1460" s="43" t="inlineStr"/>
      <c r="U1460" s="43" t="inlineStr"/>
    </row>
    <row r="1461">
      <c r="A1461" s="43" t="n">
        <v>1461</v>
      </c>
      <c r="B1461" s="43" t="inlineStr">
        <is>
          <t>1460</t>
        </is>
      </c>
      <c r="C1461" s="43" t="inlineStr">
        <is>
          <t>FJZP</t>
        </is>
      </c>
      <c r="D1461" s="43" t="inlineStr">
        <is>
          <t>Cisco</t>
        </is>
      </c>
      <c r="E1461" s="43" t="inlineStr">
        <is>
          <t>MCGA</t>
        </is>
      </c>
      <c r="F1461" s="43" t="inlineStr">
        <is>
          <t>018-SRGBU</t>
        </is>
      </c>
      <c r="G1461" s="43" t="inlineStr">
        <is>
          <t>CTANJZ04941</t>
        </is>
      </c>
      <c r="H1461" s="43" t="inlineStr">
        <is>
          <t>Risk Buy Authorization Only ¡V No Build/Shipment Allowed (Sustaining Only)</t>
        </is>
      </c>
      <c r="I1461" s="43" t="inlineStr">
        <is>
          <t>Customer Deviation</t>
        </is>
      </c>
      <c r="J1461" s="43" t="inlineStr">
        <is>
          <t>D607408</t>
        </is>
      </c>
      <c r="K1461" s="33" t="inlineStr">
        <is>
          <t>D607408 SRGBU ISR1K: Allow Multiple Sites (FVN/FOL/NCB/FJZ) to place Risk Buy PO with SMART for Nanya DDR4 which is currently in IPQ stageCPN: 15-104046-02MPN: NT5AD1024M8H3-JRSites are ONLY allowed to procure the part under risk buy. Do NOT use for manufacturing builds yet. A follow up Deviation will be released later for manufacturing builds once all the testing are completed (tracked by GQR000048111).</t>
        </is>
      </c>
      <c r="L1461" s="43" t="inlineStr">
        <is>
          <t>Expired</t>
        </is>
      </c>
      <c r="M1461" s="43" t="inlineStr">
        <is>
          <t>74-114186-02</t>
        </is>
      </c>
      <c r="N1461" s="43" t="inlineStr"/>
      <c r="O1461" s="43" t="inlineStr">
        <is>
          <t>2026-01-28</t>
        </is>
      </c>
      <c r="P1461" s="33" t="inlineStr">
        <is>
          <t>Risk Buy Authorization</t>
        </is>
      </c>
      <c r="Q1461" s="43" t="inlineStr">
        <is>
          <t>N/A</t>
        </is>
      </c>
      <c r="R1461" s="43" t="inlineStr">
        <is>
          <t>2025-10-30</t>
        </is>
      </c>
      <c r="S1461" s="43" t="inlineStr">
        <is>
          <t>2025-11-14</t>
        </is>
      </c>
      <c r="T1461" s="43" t="inlineStr"/>
      <c r="U1461" s="43" t="inlineStr"/>
    </row>
    <row r="1462">
      <c r="A1462" s="43" t="n">
        <v>1462</v>
      </c>
      <c r="B1462" s="43" t="inlineStr">
        <is>
          <t>1461</t>
        </is>
      </c>
      <c r="C1462" s="43" t="inlineStr">
        <is>
          <t>FJZP</t>
        </is>
      </c>
      <c r="D1462" s="43" t="inlineStr">
        <is>
          <t>Cisco</t>
        </is>
      </c>
      <c r="E1462" s="43" t="inlineStr">
        <is>
          <t>MCGA</t>
        </is>
      </c>
      <c r="F1462" s="43" t="inlineStr">
        <is>
          <t>239-CRBU</t>
        </is>
      </c>
      <c r="G1462" s="43" t="inlineStr">
        <is>
          <t>CTANJZ05190</t>
        </is>
      </c>
      <c r="H1462" s="43" t="inlineStr">
        <is>
          <t>Risk Buy Authorization Only ¡V No Build/Shipment Allowed (Sustaining Only)</t>
        </is>
      </c>
      <c r="I1462" s="43" t="inlineStr">
        <is>
          <t>Customer Deviation</t>
        </is>
      </c>
      <c r="J1462" s="43" t="inlineStr">
        <is>
          <t>D610571</t>
        </is>
      </c>
      <c r="K1462" s="33" t="inlineStr">
        <is>
          <t>D610571 Risk Buy for LC4/5 to prepare for the rollout of ECO EA619918LC4 ComponentsMultiplier: 1200 units per BOM QTY15-110847-01 replaces 15-9669-03; BOM QTY 5; U104; U157; U2_13; Total Purchase QTY 600017-16031-07 replaces 17-16031-04; BOM QTY1 U9; Total Purchase QTY 120019-100823-01 replaces 19-100510-0 BOM QTY 1; 1 U316; Total Purchase Total Purchase 120019-100849-01 replaces 19-100493-01; BOM QTY 1 U100; Total Purchase 120019-100850-01 replaces 19-1364-01; BOM QTY 1 U66; Total Purchase 1200LC5 ComponentsMultiplier: 3;000 units per BOM QTY17-16031-07 replaces 17-16031-06; BOM QTY 1; U9; Total Purchase 300025-100310-01 replaces 25-1283-01; BOM QTY 36; Total Purchase 108;000</t>
        </is>
      </c>
      <c r="L1462" s="43" t="inlineStr">
        <is>
          <t>Expired</t>
        </is>
      </c>
      <c r="M1462" s="43" t="inlineStr">
        <is>
          <t>25-1283-01</t>
        </is>
      </c>
      <c r="N1462" s="43" t="inlineStr"/>
      <c r="O1462" s="43" t="inlineStr">
        <is>
          <t>2026-07-05</t>
        </is>
      </c>
      <c r="P1462" s="33" t="inlineStr">
        <is>
          <t>Risk Buy Authorization</t>
        </is>
      </c>
      <c r="Q1462" s="43" t="inlineStr">
        <is>
          <t>Store parts in a secure place with a label that states "For LC4/5 use only after release of ECO EA619918 "</t>
        </is>
      </c>
      <c r="R1462" s="43" t="inlineStr">
        <is>
          <t>2026-04-07</t>
        </is>
      </c>
      <c r="S1462" s="43" t="inlineStr">
        <is>
          <t>2026-05-05</t>
        </is>
      </c>
      <c r="T1462" s="43" t="inlineStr"/>
      <c r="U1462" s="43" t="inlineStr"/>
    </row>
    <row r="1463">
      <c r="A1463" s="43" t="n">
        <v>1463</v>
      </c>
      <c r="B1463" s="43" t="inlineStr">
        <is>
          <t>1462</t>
        </is>
      </c>
      <c r="C1463" s="43" t="inlineStr">
        <is>
          <t>FJZP</t>
        </is>
      </c>
      <c r="D1463" s="43" t="inlineStr">
        <is>
          <t>Cisco</t>
        </is>
      </c>
      <c r="E1463" s="43" t="inlineStr">
        <is>
          <t>MCGA</t>
        </is>
      </c>
      <c r="F1463" s="43" t="inlineStr">
        <is>
          <t>239-CRBU</t>
        </is>
      </c>
      <c r="G1463" s="43" t="inlineStr">
        <is>
          <t>CTANJZ05190</t>
        </is>
      </c>
      <c r="H1463" s="43" t="inlineStr">
        <is>
          <t>Risk Buy Authorization Only ¡V No Build/Shipment Allowed (Sustaining Only)</t>
        </is>
      </c>
      <c r="I1463" s="43" t="inlineStr">
        <is>
          <t>Customer Deviation</t>
        </is>
      </c>
      <c r="J1463" s="43" t="inlineStr">
        <is>
          <t>D610571</t>
        </is>
      </c>
      <c r="K1463" s="33" t="inlineStr">
        <is>
          <t>D610571 Risk Buy for LC4/5 to prepare for the rollout of ECO EA619918LC4 ComponentsMultiplier: 1200 units per BOM QTY15-110847-01 replaces 15-9669-03; BOM QTY 5; U104; U157; U2_13; Total Purchase QTY 600017-16031-07 replaces 17-16031-04; BOM QTY1 U9; Total Purchase QTY 120019-100823-01 replaces 19-100510-0 BOM QTY 1; 1 U316; Total Purchase Total Purchase 120019-100849-01 replaces 19-100493-01; BOM QTY 1 U100; Total Purchase 120019-100850-01 replaces 19-1364-01; BOM QTY 1 U66; Total Purchase 1200LC5 ComponentsMultiplier: 3;000 units per BOM QTY17-16031-07 replaces 17-16031-06; BOM QTY 1; U9; Total Purchase 300025-100310-01 replaces 25-1283-01; BOM QTY 36; Total Purchase 108;000</t>
        </is>
      </c>
      <c r="L1463" s="43" t="inlineStr">
        <is>
          <t>Expired</t>
        </is>
      </c>
      <c r="M1463" s="43" t="inlineStr">
        <is>
          <t>73-20176-08</t>
        </is>
      </c>
      <c r="N1463" s="43" t="inlineStr"/>
      <c r="O1463" s="43" t="inlineStr">
        <is>
          <t>2026-07-05</t>
        </is>
      </c>
      <c r="P1463" s="33" t="inlineStr">
        <is>
          <t>Risk Buy Authorization</t>
        </is>
      </c>
      <c r="Q1463" s="43" t="inlineStr">
        <is>
          <t>Store parts in a secure place with a label that states "For LC4/5 use only after release of ECO EA619918 "</t>
        </is>
      </c>
      <c r="R1463" s="43" t="inlineStr">
        <is>
          <t>2026-04-07</t>
        </is>
      </c>
      <c r="S1463" s="43" t="inlineStr">
        <is>
          <t>2026-05-05</t>
        </is>
      </c>
      <c r="T1463" s="43" t="inlineStr"/>
      <c r="U1463" s="43" t="inlineStr"/>
    </row>
    <row r="1464">
      <c r="A1464" s="43" t="n">
        <v>1464</v>
      </c>
      <c r="B1464" s="43" t="inlineStr">
        <is>
          <t>1463</t>
        </is>
      </c>
      <c r="C1464" s="43" t="inlineStr">
        <is>
          <t>FJZP</t>
        </is>
      </c>
      <c r="D1464" s="43" t="inlineStr">
        <is>
          <t>Cisco</t>
        </is>
      </c>
      <c r="E1464" s="43" t="inlineStr">
        <is>
          <t>MCGA</t>
        </is>
      </c>
      <c r="F1464" s="43" t="inlineStr">
        <is>
          <t>239-CRBU</t>
        </is>
      </c>
      <c r="G1464" s="43" t="inlineStr">
        <is>
          <t>CTANJZ05190</t>
        </is>
      </c>
      <c r="H1464" s="43" t="inlineStr">
        <is>
          <t>Risk Buy Authorization Only ¡V No Build/Shipment Allowed (Sustaining Only)</t>
        </is>
      </c>
      <c r="I1464" s="43" t="inlineStr">
        <is>
          <t>Customer Deviation</t>
        </is>
      </c>
      <c r="J1464" s="43" t="inlineStr">
        <is>
          <t>D610571</t>
        </is>
      </c>
      <c r="K1464" s="33" t="inlineStr">
        <is>
          <t>D610571 Risk Buy for LC4/5 to prepare for the rollout of ECO EA619918LC4 ComponentsMultiplier: 1200 units per BOM QTY15-110847-01 replaces 15-9669-03; BOM QTY 5; U104; U157; U2_13; Total Purchase QTY 600017-16031-07 replaces 17-16031-04; BOM QTY1 U9; Total Purchase QTY 120019-100823-01 replaces 19-100510-0 BOM QTY 1; 1 U316; Total Purchase Total Purchase 120019-100849-01 replaces 19-100493-01; BOM QTY 1 U100; Total Purchase 120019-100850-01 replaces 19-1364-01; BOM QTY 1 U66; Total Purchase 1200LC5 ComponentsMultiplier: 3;000 units per BOM QTY17-16031-07 replaces 17-16031-06; BOM QTY 1; U9; Total Purchase 300025-100310-01 replaces 25-1283-01; BOM QTY 36; Total Purchase 108;000</t>
        </is>
      </c>
      <c r="L1464" s="43" t="inlineStr">
        <is>
          <t>Expired</t>
        </is>
      </c>
      <c r="M1464" s="43" t="inlineStr">
        <is>
          <t>73-20513-08</t>
        </is>
      </c>
      <c r="N1464" s="43" t="inlineStr"/>
      <c r="O1464" s="43" t="inlineStr">
        <is>
          <t>2026-07-05</t>
        </is>
      </c>
      <c r="P1464" s="33" t="inlineStr">
        <is>
          <t>Risk Buy Authorization</t>
        </is>
      </c>
      <c r="Q1464" s="43" t="inlineStr">
        <is>
          <t>Store parts in a secure place with a label that states "For LC4/5 use only after release of ECO EA619918 "</t>
        </is>
      </c>
      <c r="R1464" s="43" t="inlineStr">
        <is>
          <t>2026-04-07</t>
        </is>
      </c>
      <c r="S1464" s="43" t="inlineStr">
        <is>
          <t>2026-05-05</t>
        </is>
      </c>
      <c r="T1464" s="43" t="inlineStr"/>
      <c r="U1464" s="43" t="inlineStr"/>
    </row>
    <row r="1465">
      <c r="A1465" s="43" t="n">
        <v>1465</v>
      </c>
      <c r="B1465" s="43" t="inlineStr">
        <is>
          <t>1464</t>
        </is>
      </c>
      <c r="C1465" s="43" t="inlineStr">
        <is>
          <t>FJZP</t>
        </is>
      </c>
      <c r="D1465" s="43" t="inlineStr">
        <is>
          <t>Cisco</t>
        </is>
      </c>
      <c r="E1465" s="43" t="inlineStr">
        <is>
          <t>MCGA</t>
        </is>
      </c>
      <c r="F1465" s="43" t="inlineStr">
        <is>
          <t>037-STBU</t>
        </is>
      </c>
      <c r="G1465" s="43" t="inlineStr">
        <is>
          <t>CTANJZ04647</t>
        </is>
      </c>
      <c r="H1465" s="43" t="inlineStr">
        <is>
          <t>Risk Buy Authorization Only ¡V No Build/Shipment Allowed (Sustaining Only)</t>
        </is>
      </c>
      <c r="I1465" s="43" t="inlineStr">
        <is>
          <t>Customer Deviation</t>
        </is>
      </c>
      <c r="J1465" s="43" t="inlineStr">
        <is>
          <t>D604285</t>
        </is>
      </c>
      <c r="K1465" s="33" t="inlineStr">
        <is>
          <t>D604285::::::::::::::NGFWBU FPR4K::::::::::::::::::This deviation seek to allow FJZ to place Risk Buy PO for 16-101919-01 with MPNs:SAMSUNG SEMICONDUCTORS - MZTL21T9HCJR-00A07HYNIX SEMICONDUCTOR - HFS1T9GEEWX091NThis Deviation also allows for FJZ to use Qualified MPNs:SAMSUNG SEMICONDUCTORS - MZTL21T9HCJR-00A07HYNIX SEMICONDUCTOR - HFS1T9GEEWX091N</t>
        </is>
      </c>
      <c r="L1465" s="43" t="inlineStr">
        <is>
          <t>Expired</t>
        </is>
      </c>
      <c r="M1465" s="43" t="inlineStr">
        <is>
          <t>68-103810-02</t>
        </is>
      </c>
      <c r="N1465" s="43" t="inlineStr"/>
      <c r="O1465" s="43" t="inlineStr">
        <is>
          <t>2025-09-02</t>
        </is>
      </c>
      <c r="P1465" s="33" t="inlineStr">
        <is>
          <t>Risk Buy Authorization</t>
        </is>
      </c>
      <c r="Q1465" s="43" t="inlineStr">
        <is>
          <t>N/A</t>
        </is>
      </c>
      <c r="R1465" s="43" t="inlineStr">
        <is>
          <t>2025-06-05</t>
        </is>
      </c>
      <c r="S1465" s="43" t="inlineStr">
        <is>
          <t>2025-07-15</t>
        </is>
      </c>
      <c r="T1465" s="43" t="inlineStr"/>
      <c r="U1465" s="43" t="inlineStr"/>
    </row>
    <row r="1466">
      <c r="A1466" s="43" t="n">
        <v>1466</v>
      </c>
      <c r="B1466" s="43" t="inlineStr">
        <is>
          <t>1465</t>
        </is>
      </c>
      <c r="C1466" s="43" t="inlineStr">
        <is>
          <t>FJZP</t>
        </is>
      </c>
      <c r="D1466" s="43" t="inlineStr">
        <is>
          <t>Cisco</t>
        </is>
      </c>
      <c r="E1466" s="43" t="inlineStr">
        <is>
          <t>MCGA</t>
        </is>
      </c>
      <c r="F1466" s="43" t="inlineStr">
        <is>
          <t>037-STBU</t>
        </is>
      </c>
      <c r="G1466" s="43" t="inlineStr">
        <is>
          <t>CTANJZ04646</t>
        </is>
      </c>
      <c r="H1466" s="43" t="inlineStr">
        <is>
          <t>Risk Buy Authorization Only ¡V No Build/Shipment Allowed (Sustaining Only)</t>
        </is>
      </c>
      <c r="I1466" s="43" t="inlineStr">
        <is>
          <t>Customer Deviation</t>
        </is>
      </c>
      <c r="J1466" s="43" t="inlineStr">
        <is>
          <t>D604197</t>
        </is>
      </c>
      <c r="K1466" s="33" t="inlineStr">
        <is>
          <t>D604197 NGFWBU: Risk Buy: GQR No: GQR000055332; AQR No:AQR002398401; CPN: 15-5000-01; MFR NAME: TOSHIBA; MPN: TC7PZ34FU;LCISJ(CB</t>
        </is>
      </c>
      <c r="L1466" s="43" t="inlineStr">
        <is>
          <t>Expired</t>
        </is>
      </c>
      <c r="M1466" s="43" t="inlineStr">
        <is>
          <t>15-5000-01</t>
        </is>
      </c>
      <c r="N1466" s="43" t="inlineStr"/>
      <c r="O1466" s="43" t="inlineStr">
        <is>
          <t>2025-09-02</t>
        </is>
      </c>
      <c r="P1466" s="33" t="inlineStr">
        <is>
          <t>Risk Buy Authorization</t>
        </is>
      </c>
      <c r="Q1466" s="43" t="inlineStr">
        <is>
          <t>No marking required.</t>
        </is>
      </c>
      <c r="R1466" s="43" t="inlineStr">
        <is>
          <t>2025-06-05</t>
        </is>
      </c>
      <c r="S1466" s="43" t="inlineStr">
        <is>
          <t>2025-07-01</t>
        </is>
      </c>
      <c r="T1466" s="43" t="inlineStr"/>
      <c r="U1466" s="43" t="inlineStr"/>
    </row>
    <row r="1467">
      <c r="A1467" s="43" t="n">
        <v>1467</v>
      </c>
      <c r="B1467" s="43" t="inlineStr">
        <is>
          <t>1466</t>
        </is>
      </c>
      <c r="C1467" s="43" t="inlineStr">
        <is>
          <t>FJZP</t>
        </is>
      </c>
      <c r="D1467" s="43" t="inlineStr">
        <is>
          <t>Cisco</t>
        </is>
      </c>
      <c r="E1467" s="43" t="inlineStr">
        <is>
          <t>MCGA</t>
        </is>
      </c>
      <c r="F1467" s="43" t="inlineStr">
        <is>
          <t>037-STBU</t>
        </is>
      </c>
      <c r="G1467" s="43" t="inlineStr">
        <is>
          <t>CTANJZ04646</t>
        </is>
      </c>
      <c r="H1467" s="43" t="inlineStr">
        <is>
          <t>Risk Buy Authorization Only ¡V No Build/Shipment Allowed (Sustaining Only)</t>
        </is>
      </c>
      <c r="I1467" s="43" t="inlineStr">
        <is>
          <t>Customer Deviation</t>
        </is>
      </c>
      <c r="J1467" s="43" t="inlineStr">
        <is>
          <t>D604197</t>
        </is>
      </c>
      <c r="K1467" s="33" t="inlineStr">
        <is>
          <t>D604197 NGFWBU: Risk Buy: GQR No: GQR000055332; AQR No:AQR002398401; CPN: 15-5000-01; MFR NAME: TOSHIBA; MPN: TC7PZ34FU;LCISJ(CB</t>
        </is>
      </c>
      <c r="L1467" s="43" t="inlineStr">
        <is>
          <t>Expired</t>
        </is>
      </c>
      <c r="M1467" s="43" t="inlineStr">
        <is>
          <t>68-7133-02</t>
        </is>
      </c>
      <c r="N1467" s="43" t="inlineStr"/>
      <c r="O1467" s="43" t="inlineStr">
        <is>
          <t>2025-09-02</t>
        </is>
      </c>
      <c r="P1467" s="33" t="inlineStr">
        <is>
          <t>Risk Buy Authorization</t>
        </is>
      </c>
      <c r="Q1467" s="43" t="inlineStr">
        <is>
          <t>No marking required.</t>
        </is>
      </c>
      <c r="R1467" s="43" t="inlineStr">
        <is>
          <t>2025-06-05</t>
        </is>
      </c>
      <c r="S1467" s="43" t="inlineStr">
        <is>
          <t>2025-07-01</t>
        </is>
      </c>
      <c r="T1467" s="43" t="inlineStr"/>
      <c r="U1467" s="43" t="inlineStr"/>
    </row>
    <row r="1468">
      <c r="A1468" s="43" t="n">
        <v>1468</v>
      </c>
      <c r="B1468" s="43" t="inlineStr">
        <is>
          <t>1467</t>
        </is>
      </c>
      <c r="C1468" s="43" t="inlineStr">
        <is>
          <t>FJZP</t>
        </is>
      </c>
      <c r="D1468" s="43" t="inlineStr">
        <is>
          <t>Cisco</t>
        </is>
      </c>
      <c r="E1468" s="43" t="inlineStr">
        <is>
          <t>MCGA</t>
        </is>
      </c>
      <c r="F1468" s="43" t="inlineStr">
        <is>
          <t>037-STBU</t>
        </is>
      </c>
      <c r="G1468" s="43" t="inlineStr">
        <is>
          <t>CTANJZ04646</t>
        </is>
      </c>
      <c r="H1468" s="43" t="inlineStr">
        <is>
          <t>Risk Buy Authorization Only ¡V No Build/Shipment Allowed (Sustaining Only)</t>
        </is>
      </c>
      <c r="I1468" s="43" t="inlineStr">
        <is>
          <t>Customer Deviation</t>
        </is>
      </c>
      <c r="J1468" s="43" t="inlineStr">
        <is>
          <t>D604197</t>
        </is>
      </c>
      <c r="K1468" s="33" t="inlineStr">
        <is>
          <t>D604197 NGFWBU: Risk Buy: GQR No: GQR000055332; AQR No:AQR002398401; CPN: 15-5000-01; MFR NAME: TOSHIBA; MPN: TC7PZ34FU;LCISJ(CB</t>
        </is>
      </c>
      <c r="L1468" s="43" t="inlineStr">
        <is>
          <t>Expired</t>
        </is>
      </c>
      <c r="M1468" s="43" t="inlineStr">
        <is>
          <t>73-17499-07</t>
        </is>
      </c>
      <c r="N1468" s="43" t="inlineStr"/>
      <c r="O1468" s="43" t="inlineStr">
        <is>
          <t>2025-09-02</t>
        </is>
      </c>
      <c r="P1468" s="33" t="inlineStr">
        <is>
          <t>Risk Buy Authorization</t>
        </is>
      </c>
      <c r="Q1468" s="43" t="inlineStr">
        <is>
          <t>No marking required.</t>
        </is>
      </c>
      <c r="R1468" s="43" t="inlineStr">
        <is>
          <t>2025-06-05</t>
        </is>
      </c>
      <c r="S1468" s="43" t="inlineStr">
        <is>
          <t>2025-07-01</t>
        </is>
      </c>
      <c r="T1468" s="43" t="inlineStr"/>
      <c r="U1468" s="43" t="inlineStr"/>
    </row>
    <row r="1469">
      <c r="A1469" s="43" t="n">
        <v>1469</v>
      </c>
      <c r="B1469" s="43" t="inlineStr">
        <is>
          <t>1468</t>
        </is>
      </c>
      <c r="C1469" s="43" t="inlineStr">
        <is>
          <t>FJZP</t>
        </is>
      </c>
      <c r="D1469" s="43" t="inlineStr">
        <is>
          <t>Cisco</t>
        </is>
      </c>
      <c r="E1469" s="43" t="inlineStr">
        <is>
          <t>MCGA</t>
        </is>
      </c>
      <c r="F1469" s="43" t="inlineStr">
        <is>
          <t>037-STBU</t>
        </is>
      </c>
      <c r="G1469" s="43" t="inlineStr">
        <is>
          <t>CTANJZ04646</t>
        </is>
      </c>
      <c r="H1469" s="43" t="inlineStr">
        <is>
          <t>Risk Buy Authorization Only ¡V No Build/Shipment Allowed (Sustaining Only)</t>
        </is>
      </c>
      <c r="I1469" s="43" t="inlineStr">
        <is>
          <t>Customer Deviation</t>
        </is>
      </c>
      <c r="J1469" s="43" t="inlineStr">
        <is>
          <t>D604197</t>
        </is>
      </c>
      <c r="K1469" s="33" t="inlineStr">
        <is>
          <t>D604197 NGFWBU: Risk Buy: GQR No: GQR000055332; AQR No:AQR002398401; CPN: 15-5000-01; MFR NAME: TOSHIBA; MPN: TC7PZ34FU;LCISJ(CB</t>
        </is>
      </c>
      <c r="L1469" s="43" t="inlineStr">
        <is>
          <t>Expired</t>
        </is>
      </c>
      <c r="M1469" s="43" t="inlineStr">
        <is>
          <t>800-106838-02</t>
        </is>
      </c>
      <c r="N1469" s="43" t="inlineStr"/>
      <c r="O1469" s="43" t="inlineStr">
        <is>
          <t>2025-09-02</t>
        </is>
      </c>
      <c r="P1469" s="33" t="inlineStr">
        <is>
          <t>Risk Buy Authorization</t>
        </is>
      </c>
      <c r="Q1469" s="43" t="inlineStr">
        <is>
          <t>No marking required.</t>
        </is>
      </c>
      <c r="R1469" s="43" t="inlineStr">
        <is>
          <t>2025-06-05</t>
        </is>
      </c>
      <c r="S1469" s="43" t="inlineStr">
        <is>
          <t>2025-07-01</t>
        </is>
      </c>
      <c r="T1469" s="43" t="inlineStr"/>
      <c r="U1469" s="43" t="inlineStr"/>
    </row>
    <row r="1470">
      <c r="A1470" s="43" t="n">
        <v>1470</v>
      </c>
      <c r="B1470" s="43" t="inlineStr">
        <is>
          <t>1469</t>
        </is>
      </c>
      <c r="C1470" s="43" t="inlineStr">
        <is>
          <t>FJZP</t>
        </is>
      </c>
      <c r="D1470" s="43" t="inlineStr">
        <is>
          <t>Cisco</t>
        </is>
      </c>
      <c r="E1470" s="43" t="inlineStr">
        <is>
          <t>MCGA</t>
        </is>
      </c>
      <c r="F1470" s="43" t="inlineStr">
        <is>
          <t>037-STBU</t>
        </is>
      </c>
      <c r="G1470" s="43" t="inlineStr">
        <is>
          <t>CTANJZ04650</t>
        </is>
      </c>
      <c r="H1470" s="43" t="inlineStr">
        <is>
          <t>Risk Buy Authorization Only ¡V No Build/Shipment Allowed (Sustaining Only)</t>
        </is>
      </c>
      <c r="I1470" s="43" t="inlineStr">
        <is>
          <t>Customer Deviation</t>
        </is>
      </c>
      <c r="J1470" s="43" t="inlineStr">
        <is>
          <t>D604195</t>
        </is>
      </c>
      <c r="K1470" s="33" t="inlineStr">
        <is>
          <t>D604195 NGFWBU: Risk Buy: GQR No: GQR000055149; AQR No:AQR002394490; CPN: 24-3133-01; MFR NAME: MAG LAYERS; MPN: MMD-10DZNR36MEX2-CS-RU</t>
        </is>
      </c>
      <c r="L1470" s="43" t="inlineStr">
        <is>
          <t>Expired</t>
        </is>
      </c>
      <c r="M1470" s="43" t="inlineStr">
        <is>
          <t>24-3133-01</t>
        </is>
      </c>
      <c r="N1470" s="43" t="inlineStr"/>
      <c r="O1470" s="43" t="inlineStr">
        <is>
          <t>2025-09-02</t>
        </is>
      </c>
      <c r="P1470" s="33" t="inlineStr">
        <is>
          <t>Risk Buy Authorization</t>
        </is>
      </c>
      <c r="Q1470" s="43" t="inlineStr">
        <is>
          <t>No marking required.</t>
        </is>
      </c>
      <c r="R1470" s="43" t="inlineStr">
        <is>
          <t>2025-06-05</t>
        </is>
      </c>
      <c r="S1470" s="43" t="inlineStr">
        <is>
          <t>2025-07-01</t>
        </is>
      </c>
      <c r="T1470" s="43" t="inlineStr"/>
      <c r="U1470" s="43" t="inlineStr"/>
    </row>
    <row r="1471">
      <c r="A1471" s="43" t="n">
        <v>1471</v>
      </c>
      <c r="B1471" s="43" t="inlineStr">
        <is>
          <t>1470</t>
        </is>
      </c>
      <c r="C1471" s="43" t="inlineStr">
        <is>
          <t>FJZP</t>
        </is>
      </c>
      <c r="D1471" s="43" t="inlineStr">
        <is>
          <t>Cisco</t>
        </is>
      </c>
      <c r="E1471" s="43" t="inlineStr">
        <is>
          <t>MCGA</t>
        </is>
      </c>
      <c r="F1471" s="43" t="inlineStr">
        <is>
          <t>034-IOTBU</t>
        </is>
      </c>
      <c r="G1471" s="43" t="inlineStr">
        <is>
          <t>CTANJZ04744</t>
        </is>
      </c>
      <c r="H1471" s="43" t="inlineStr">
        <is>
          <t>Risk Buy Authorization Only ¡V No Build/Shipment Allowed (Sustaining Only)</t>
        </is>
      </c>
      <c r="I1471" s="43" t="inlineStr">
        <is>
          <t>Customer Deviation</t>
        </is>
      </c>
      <c r="J1471" s="43" t="inlineStr">
        <is>
          <t>D605288</t>
        </is>
      </c>
      <c r="K1471" s="33" t="inlineStr">
        <is>
          <t>D605288 To authorize a Risk Buy of MFGR/MPN SAMSUNG SEMICONDUCTORS K4A8G085WG-BIWE which is currently listed in IPQ status under CPN 15-105197-01.</t>
        </is>
      </c>
      <c r="L1471" s="43" t="inlineStr">
        <is>
          <t>Expired</t>
        </is>
      </c>
      <c r="M1471" s="43" t="inlineStr">
        <is>
          <t>15-105197-01</t>
        </is>
      </c>
      <c r="N1471" s="43" t="inlineStr"/>
      <c r="O1471" s="43" t="inlineStr">
        <is>
          <t>2025-10-21</t>
        </is>
      </c>
      <c r="P1471" s="33" t="inlineStr">
        <is>
          <t>Risk Buy Authorization</t>
        </is>
      </c>
      <c r="Q1471" s="43" t="inlineStr">
        <is>
          <t>NA</t>
        </is>
      </c>
      <c r="R1471" s="43" t="inlineStr">
        <is>
          <t>2025-07-23</t>
        </is>
      </c>
      <c r="S1471" s="43" t="inlineStr">
        <is>
          <t>2025-07-30</t>
        </is>
      </c>
      <c r="T1471" s="43" t="inlineStr"/>
      <c r="U1471" s="43" t="inlineStr"/>
    </row>
    <row r="1472">
      <c r="A1472" s="43" t="n">
        <v>1472</v>
      </c>
      <c r="B1472" s="43" t="inlineStr">
        <is>
          <t>1471</t>
        </is>
      </c>
      <c r="C1472" s="43" t="inlineStr">
        <is>
          <t>FJZP</t>
        </is>
      </c>
      <c r="D1472" s="43" t="inlineStr">
        <is>
          <t>Cisco</t>
        </is>
      </c>
      <c r="E1472" s="43" t="inlineStr">
        <is>
          <t>MCGA</t>
        </is>
      </c>
      <c r="F1472" s="43" t="inlineStr">
        <is>
          <t>034-IOTBU</t>
        </is>
      </c>
      <c r="G1472" s="43" t="inlineStr">
        <is>
          <t>CTANJZ04744</t>
        </is>
      </c>
      <c r="H1472" s="43" t="inlineStr">
        <is>
          <t>Risk Buy Authorization Only ¡V No Build/Shipment Allowed (Sustaining Only)</t>
        </is>
      </c>
      <c r="I1472" s="43" t="inlineStr">
        <is>
          <t>Customer Deviation</t>
        </is>
      </c>
      <c r="J1472" s="43" t="inlineStr">
        <is>
          <t>D605288</t>
        </is>
      </c>
      <c r="K1472" s="33" t="inlineStr">
        <is>
          <t>D605288 To authorize a Risk Buy of MFGR/MPN SAMSUNG SEMICONDUCTORS K4A8G085WG-BIWE which is currently listed in IPQ status under CPN 15-105197-01.</t>
        </is>
      </c>
      <c r="L1472" s="43" t="inlineStr">
        <is>
          <t>Expired</t>
        </is>
      </c>
      <c r="M1472" s="43" t="inlineStr">
        <is>
          <t>73-101439-04</t>
        </is>
      </c>
      <c r="N1472" s="43" t="inlineStr"/>
      <c r="O1472" s="43" t="inlineStr">
        <is>
          <t>2025-10-21</t>
        </is>
      </c>
      <c r="P1472" s="33" t="inlineStr">
        <is>
          <t>Risk Buy Authorization</t>
        </is>
      </c>
      <c r="Q1472" s="43" t="inlineStr">
        <is>
          <t>NA</t>
        </is>
      </c>
      <c r="R1472" s="43" t="inlineStr">
        <is>
          <t>2025-07-23</t>
        </is>
      </c>
      <c r="S1472" s="43" t="inlineStr">
        <is>
          <t>2025-07-30</t>
        </is>
      </c>
      <c r="T1472" s="43" t="inlineStr"/>
      <c r="U1472" s="43" t="inlineStr"/>
    </row>
    <row r="1473">
      <c r="A1473" s="43" t="n">
        <v>1473</v>
      </c>
      <c r="B1473" s="43" t="inlineStr">
        <is>
          <t>1472</t>
        </is>
      </c>
      <c r="C1473" s="43" t="inlineStr">
        <is>
          <t>FJZP</t>
        </is>
      </c>
      <c r="D1473" s="43" t="inlineStr">
        <is>
          <t>Cisco</t>
        </is>
      </c>
      <c r="E1473" s="43" t="inlineStr">
        <is>
          <t>MCGA</t>
        </is>
      </c>
      <c r="F1473" s="43" t="inlineStr">
        <is>
          <t>037-STBU</t>
        </is>
      </c>
      <c r="G1473" s="43" t="inlineStr">
        <is>
          <t>CTANJZ05233</t>
        </is>
      </c>
      <c r="H1473" s="43" t="inlineStr">
        <is>
          <t>To track an AML qualification build (EXTENDABLE 2x)</t>
        </is>
      </c>
      <c r="I1473" s="43" t="inlineStr">
        <is>
          <t>Customer Deviation</t>
        </is>
      </c>
      <c r="J1473" s="43" t="inlineStr">
        <is>
          <t>D611098</t>
        </is>
      </c>
      <c r="K1473" s="33" t="inlineStr">
        <is>
          <t>D611098 NGFWBU GQR: GQR000089053 Case: AQR003586911 CPN: 29-100625-01; MFR NAME: PULSE; MPN: JG0-0307NLThis deviation instructs Foxconn Juarez (FJZ) to execute a sample buy and conduct a Production Qual build for the following part(s):BU: NGFWBUPF: FPRMID3Affected TAN(s):68-7254-05Affected Item(s): 73-20249-06CPN: 29-100625-01; MFR NAME: PULSE; MPN: JG0-0307NLBuild Qty: 5Ref Des: J3To execute the above AQR at CM site; should be tested on Model A.</t>
        </is>
      </c>
      <c r="L1473" s="43" t="inlineStr">
        <is>
          <t>Expired</t>
        </is>
      </c>
      <c r="M1473" s="43" t="inlineStr">
        <is>
          <t>29-100625-01</t>
        </is>
      </c>
      <c r="N1473" s="43" t="inlineStr"/>
      <c r="O1473" s="43" t="inlineStr">
        <is>
          <t>2026-08-02</t>
        </is>
      </c>
      <c r="P1473" s="33" t="inlineStr">
        <is>
          <t>To track an AML qualification build (EXTENDABLE 2x);Risk Buy Authorization</t>
        </is>
      </c>
      <c r="Q1473" s="43" t="inlineStr">
        <is>
          <t>NA</t>
        </is>
      </c>
      <c r="R1473" s="43" t="inlineStr">
        <is>
          <t>2026-05-06</t>
        </is>
      </c>
      <c r="S1473" s="43" t="inlineStr">
        <is>
          <t>2026-05-29</t>
        </is>
      </c>
      <c r="T1473" s="43" t="inlineStr"/>
      <c r="U1473" s="43" t="inlineStr"/>
    </row>
    <row r="1474">
      <c r="A1474" s="43" t="n">
        <v>1474</v>
      </c>
      <c r="B1474" s="43" t="inlineStr">
        <is>
          <t>1473</t>
        </is>
      </c>
      <c r="C1474" s="43" t="inlineStr">
        <is>
          <t>FJZP</t>
        </is>
      </c>
      <c r="D1474" s="43" t="inlineStr">
        <is>
          <t>Cisco</t>
        </is>
      </c>
      <c r="E1474" s="43" t="inlineStr">
        <is>
          <t>MCGA</t>
        </is>
      </c>
      <c r="F1474" s="43" t="inlineStr">
        <is>
          <t>037-STBU</t>
        </is>
      </c>
      <c r="G1474" s="43" t="inlineStr">
        <is>
          <t>CTANJZ05233</t>
        </is>
      </c>
      <c r="H1474" s="43" t="inlineStr">
        <is>
          <t>To track an AML qualification build (EXTENDABLE 2x)</t>
        </is>
      </c>
      <c r="I1474" s="43" t="inlineStr">
        <is>
          <t>Customer Deviation</t>
        </is>
      </c>
      <c r="J1474" s="43" t="inlineStr">
        <is>
          <t>D611098</t>
        </is>
      </c>
      <c r="K1474" s="33" t="inlineStr">
        <is>
          <t>D611098 NGFWBU GQR: GQR000089053 Case: AQR003586911 CPN: 29-100625-01; MFR NAME: PULSE; MPN: JG0-0307NLThis deviation instructs Foxconn Juarez (FJZ) to execute a sample buy and conduct a Production Qual build for the following part(s):BU: NGFWBUPF: FPRMID3Affected TAN(s):68-7254-05Affected Item(s): 73-20249-06CPN: 29-100625-01; MFR NAME: PULSE; MPN: JG0-0307NLBuild Qty: 5Ref Des: J3To execute the above AQR at CM site; should be tested on Model A.</t>
        </is>
      </c>
      <c r="L1474" s="43" t="inlineStr">
        <is>
          <t>Expired</t>
        </is>
      </c>
      <c r="M1474" s="43" t="inlineStr">
        <is>
          <t>73-20249-06</t>
        </is>
      </c>
      <c r="N1474" s="43" t="inlineStr"/>
      <c r="O1474" s="43" t="inlineStr">
        <is>
          <t>2026-08-02</t>
        </is>
      </c>
      <c r="P1474" s="33" t="inlineStr">
        <is>
          <t>To track an AML qualification build (EXTENDABLE 2x);Risk Buy Authorization</t>
        </is>
      </c>
      <c r="Q1474" s="43" t="inlineStr">
        <is>
          <t>NA</t>
        </is>
      </c>
      <c r="R1474" s="43" t="inlineStr">
        <is>
          <t>2026-05-06</t>
        </is>
      </c>
      <c r="S1474" s="43" t="inlineStr">
        <is>
          <t>2026-05-29</t>
        </is>
      </c>
      <c r="T1474" s="43" t="inlineStr"/>
      <c r="U1474" s="43" t="inlineStr"/>
    </row>
    <row r="1475">
      <c r="A1475" s="43" t="n">
        <v>1475</v>
      </c>
      <c r="B1475" s="43" t="inlineStr">
        <is>
          <t>1474</t>
        </is>
      </c>
      <c r="C1475" s="43" t="inlineStr">
        <is>
          <t>FJZP</t>
        </is>
      </c>
      <c r="D1475" s="43" t="inlineStr">
        <is>
          <t>Cisco</t>
        </is>
      </c>
      <c r="E1475" s="43" t="inlineStr">
        <is>
          <t>MCGA</t>
        </is>
      </c>
      <c r="F1475" s="43" t="inlineStr">
        <is>
          <t>037-STBU</t>
        </is>
      </c>
      <c r="G1475" s="43" t="inlineStr">
        <is>
          <t>CTANJZ05255</t>
        </is>
      </c>
      <c r="H1475" s="43" t="inlineStr">
        <is>
          <t>Risk Buy Authorization Only ¡V No Build/Shipment Allowed (Sustaining Only)</t>
        </is>
      </c>
      <c r="I1475" s="43" t="inlineStr">
        <is>
          <t>Customer Deviation</t>
        </is>
      </c>
      <c r="J1475" s="43" t="inlineStr">
        <is>
          <t>D611205</t>
        </is>
      </c>
      <c r="K1475" s="33" t="inlineStr">
        <is>
          <t>D611205 Please see PageThree for details</t>
        </is>
      </c>
      <c r="L1475" s="43" t="inlineStr">
        <is>
          <t>Expired</t>
        </is>
      </c>
      <c r="M1475" s="43" t="inlineStr">
        <is>
          <t>28-101945-03</t>
        </is>
      </c>
      <c r="N1475" s="43" t="inlineStr"/>
      <c r="O1475" s="43" t="inlineStr">
        <is>
          <t>2026-08-17</t>
        </is>
      </c>
      <c r="P1475" s="33" t="inlineStr">
        <is>
          <t>Risk Buy Authorization</t>
        </is>
      </c>
      <c r="Q1475" s="43" t="inlineStr">
        <is>
          <t>NA</t>
        </is>
      </c>
      <c r="R1475" s="43" t="inlineStr">
        <is>
          <t>2026-05-20</t>
        </is>
      </c>
      <c r="S1475" s="43" t="inlineStr">
        <is>
          <t>2026-06-10</t>
        </is>
      </c>
      <c r="T1475" s="43" t="inlineStr"/>
      <c r="U1475" s="43" t="inlineStr"/>
    </row>
    <row r="1476">
      <c r="A1476" s="43" t="n">
        <v>1476</v>
      </c>
      <c r="B1476" s="43" t="inlineStr">
        <is>
          <t>1475</t>
        </is>
      </c>
      <c r="C1476" s="43" t="inlineStr">
        <is>
          <t>FJZP</t>
        </is>
      </c>
      <c r="D1476" s="43" t="inlineStr">
        <is>
          <t>Cisco</t>
        </is>
      </c>
      <c r="E1476" s="43" t="inlineStr">
        <is>
          <t>MCGA</t>
        </is>
      </c>
      <c r="F1476" s="43" t="inlineStr">
        <is>
          <t>037-STBU</t>
        </is>
      </c>
      <c r="G1476" s="43" t="inlineStr">
        <is>
          <t>CTANJZ05255</t>
        </is>
      </c>
      <c r="H1476" s="43" t="inlineStr">
        <is>
          <t>Risk Buy Authorization Only ¡V No Build/Shipment Allowed (Sustaining Only)</t>
        </is>
      </c>
      <c r="I1476" s="43" t="inlineStr">
        <is>
          <t>Customer Deviation</t>
        </is>
      </c>
      <c r="J1476" s="43" t="inlineStr">
        <is>
          <t>D611205</t>
        </is>
      </c>
      <c r="K1476" s="33" t="inlineStr">
        <is>
          <t>D611205 Please see PageThree for details</t>
        </is>
      </c>
      <c r="L1476" s="43" t="inlineStr">
        <is>
          <t>Expired</t>
        </is>
      </c>
      <c r="M1476" s="43" t="inlineStr">
        <is>
          <t>28-101946-03</t>
        </is>
      </c>
      <c r="N1476" s="43" t="inlineStr"/>
      <c r="O1476" s="43" t="inlineStr">
        <is>
          <t>2026-08-17</t>
        </is>
      </c>
      <c r="P1476" s="33" t="inlineStr">
        <is>
          <t>Risk Buy Authorization</t>
        </is>
      </c>
      <c r="Q1476" s="43" t="inlineStr">
        <is>
          <t>NA</t>
        </is>
      </c>
      <c r="R1476" s="43" t="inlineStr">
        <is>
          <t>2026-05-20</t>
        </is>
      </c>
      <c r="S1476" s="43" t="inlineStr">
        <is>
          <t>2026-06-10</t>
        </is>
      </c>
      <c r="T1476" s="43" t="inlineStr"/>
      <c r="U1476" s="43" t="inlineStr"/>
    </row>
    <row r="1477">
      <c r="A1477" s="43" t="n">
        <v>1477</v>
      </c>
      <c r="B1477" s="43" t="inlineStr">
        <is>
          <t>1476</t>
        </is>
      </c>
      <c r="C1477" s="43" t="inlineStr">
        <is>
          <t>FJZP</t>
        </is>
      </c>
      <c r="D1477" s="43" t="inlineStr">
        <is>
          <t>Cisco</t>
        </is>
      </c>
      <c r="E1477" s="43" t="inlineStr">
        <is>
          <t>MCGA</t>
        </is>
      </c>
      <c r="F1477" s="43" t="inlineStr">
        <is>
          <t>037-STBU</t>
        </is>
      </c>
      <c r="G1477" s="43" t="inlineStr">
        <is>
          <t>CTANJZ05192</t>
        </is>
      </c>
      <c r="H1477" s="43" t="inlineStr">
        <is>
          <t>To track an AML qualification build (EXTENDABLE 2x)</t>
        </is>
      </c>
      <c r="I1477" s="43" t="inlineStr">
        <is>
          <t>Customer Deviation</t>
        </is>
      </c>
      <c r="J1477" s="43" t="inlineStr">
        <is>
          <t>D610167</t>
        </is>
      </c>
      <c r="K1477" s="33" t="inlineStr">
        <is>
          <t>D610167 NGFWBU GQR: GQR000076809 Case: AQR003149309 CPN: 15-110388-01; MFR NAME: MICRON TECHNOLOGY; MPN: MTC10C1084S1TC56BD1This deviation instructs Foxconn Juarez (FJZ) to execute a sample buy and conduct a Production Qual build for the following part(s):BU: NGFWBUPF: CSF1200Affected TAN(s):68-104743-04Affected Item(s): 74-139981-01CPN: 15-110388-01; MFR NAME: MICRON TECHNOLOGY; MPN: MTC10C1084S1TC56BD1Build Qty: 5Ref Des: DIMM_MOD0;DIMM_MOD1To execute the above AQR at CM site; should be tested on Model A.</t>
        </is>
      </c>
      <c r="L1477" s="43" t="inlineStr">
        <is>
          <t>Expired</t>
        </is>
      </c>
      <c r="M1477" s="43" t="inlineStr">
        <is>
          <t>15-110388-01</t>
        </is>
      </c>
      <c r="N1477" s="43" t="inlineStr"/>
      <c r="O1477" s="43" t="inlineStr">
        <is>
          <t>2026-07-02</t>
        </is>
      </c>
      <c r="P1477" s="33" t="inlineStr">
        <is>
          <t>To track an AML qualification build (EXTENDABLE 2x);Risk Buy Authorization</t>
        </is>
      </c>
      <c r="Q1477" s="43" t="inlineStr">
        <is>
          <t>NA</t>
        </is>
      </c>
      <c r="R1477" s="43" t="inlineStr">
        <is>
          <t>2026-04-07</t>
        </is>
      </c>
      <c r="S1477" s="43" t="inlineStr">
        <is>
          <t>2026-04-24</t>
        </is>
      </c>
      <c r="T1477" s="43" t="inlineStr"/>
      <c r="U1477" s="43" t="inlineStr"/>
    </row>
    <row r="1478">
      <c r="A1478" s="43" t="n">
        <v>1478</v>
      </c>
      <c r="B1478" s="43" t="inlineStr">
        <is>
          <t>1477</t>
        </is>
      </c>
      <c r="C1478" s="43" t="inlineStr">
        <is>
          <t>FJZP</t>
        </is>
      </c>
      <c r="D1478" s="43" t="inlineStr">
        <is>
          <t>Cisco</t>
        </is>
      </c>
      <c r="E1478" s="43" t="inlineStr">
        <is>
          <t>MCGA</t>
        </is>
      </c>
      <c r="F1478" s="43" t="inlineStr">
        <is>
          <t>037-STBU</t>
        </is>
      </c>
      <c r="G1478" s="43" t="inlineStr">
        <is>
          <t>CTANJZ05192</t>
        </is>
      </c>
      <c r="H1478" s="43" t="inlineStr">
        <is>
          <t>To track an AML qualification build (EXTENDABLE 2x)</t>
        </is>
      </c>
      <c r="I1478" s="43" t="inlineStr">
        <is>
          <t>Customer Deviation</t>
        </is>
      </c>
      <c r="J1478" s="43" t="inlineStr">
        <is>
          <t>D610167</t>
        </is>
      </c>
      <c r="K1478" s="33" t="inlineStr">
        <is>
          <t>D610167 NGFWBU GQR: GQR000076809 Case: AQR003149309 CPN: 15-110388-01; MFR NAME: MICRON TECHNOLOGY; MPN: MTC10C1084S1TC56BD1This deviation instructs Foxconn Juarez (FJZ) to execute a sample buy and conduct a Production Qual build for the following part(s):BU: NGFWBUPF: CSF1200Affected TAN(s):68-104743-04Affected Item(s): 74-139981-01CPN: 15-110388-01; MFR NAME: MICRON TECHNOLOGY; MPN: MTC10C1084S1TC56BD1Build Qty: 5Ref Des: DIMM_MOD0;DIMM_MOD1To execute the above AQR at CM site; should be tested on Model A.</t>
        </is>
      </c>
      <c r="L1478" s="43" t="inlineStr">
        <is>
          <t>Expired</t>
        </is>
      </c>
      <c r="M1478" s="43" t="inlineStr">
        <is>
          <t>74-139981-01</t>
        </is>
      </c>
      <c r="N1478" s="43" t="inlineStr"/>
      <c r="O1478" s="43" t="inlineStr">
        <is>
          <t>2026-07-02</t>
        </is>
      </c>
      <c r="P1478" s="33" t="inlineStr">
        <is>
          <t>To track an AML qualification build (EXTENDABLE 2x);Risk Buy Authorization</t>
        </is>
      </c>
      <c r="Q1478" s="43" t="inlineStr">
        <is>
          <t>NA</t>
        </is>
      </c>
      <c r="R1478" s="43" t="inlineStr">
        <is>
          <t>2026-04-07</t>
        </is>
      </c>
      <c r="S1478" s="43" t="inlineStr">
        <is>
          <t>2026-04-24</t>
        </is>
      </c>
      <c r="T1478" s="43" t="inlineStr"/>
      <c r="U1478" s="43" t="inlineStr"/>
    </row>
    <row r="1479">
      <c r="A1479" s="43" t="n">
        <v>1479</v>
      </c>
      <c r="B1479" s="43" t="inlineStr">
        <is>
          <t>1478</t>
        </is>
      </c>
      <c r="C1479" s="43" t="inlineStr">
        <is>
          <t>FJZP</t>
        </is>
      </c>
      <c r="D1479" s="43" t="inlineStr">
        <is>
          <t>Cisco</t>
        </is>
      </c>
      <c r="E1479" s="43" t="inlineStr">
        <is>
          <t>MCGA</t>
        </is>
      </c>
      <c r="F1479" s="43" t="inlineStr">
        <is>
          <t>037-STBU</t>
        </is>
      </c>
      <c r="G1479" s="43" t="inlineStr">
        <is>
          <t>CTANJZ05255</t>
        </is>
      </c>
      <c r="H1479" s="43" t="inlineStr">
        <is>
          <t>Risk Buy Authorization Only ¡V No Build/Shipment Allowed (Sustaining Only)</t>
        </is>
      </c>
      <c r="I1479" s="43" t="inlineStr">
        <is>
          <t>Customer Deviation</t>
        </is>
      </c>
      <c r="J1479" s="43" t="inlineStr">
        <is>
          <t>D611205</t>
        </is>
      </c>
      <c r="K1479" s="33" t="inlineStr">
        <is>
          <t>D611205 Please see PageThree for details</t>
        </is>
      </c>
      <c r="L1479" s="43" t="inlineStr">
        <is>
          <t>Expired</t>
        </is>
      </c>
      <c r="M1479" s="43" t="inlineStr">
        <is>
          <t>28-102915-02</t>
        </is>
      </c>
      <c r="N1479" s="43" t="inlineStr"/>
      <c r="O1479" s="43" t="inlineStr">
        <is>
          <t>2026-08-17</t>
        </is>
      </c>
      <c r="P1479" s="33" t="inlineStr">
        <is>
          <t>Risk Buy Authorization</t>
        </is>
      </c>
      <c r="Q1479" s="43" t="inlineStr">
        <is>
          <t>NA</t>
        </is>
      </c>
      <c r="R1479" s="43" t="inlineStr">
        <is>
          <t>2026-05-20</t>
        </is>
      </c>
      <c r="S1479" s="43" t="inlineStr">
        <is>
          <t>2026-06-10</t>
        </is>
      </c>
      <c r="T1479" s="43" t="inlineStr"/>
      <c r="U1479" s="43" t="inlineStr"/>
    </row>
    <row r="1480">
      <c r="A1480" s="43" t="n">
        <v>1480</v>
      </c>
      <c r="B1480" s="43" t="inlineStr">
        <is>
          <t>1479</t>
        </is>
      </c>
      <c r="C1480" s="43" t="inlineStr">
        <is>
          <t>FJZP</t>
        </is>
      </c>
      <c r="D1480" s="43" t="inlineStr">
        <is>
          <t>Cisco</t>
        </is>
      </c>
      <c r="E1480" s="43" t="inlineStr">
        <is>
          <t>MCGA</t>
        </is>
      </c>
      <c r="F1480" s="43" t="inlineStr">
        <is>
          <t>037-STBU</t>
        </is>
      </c>
      <c r="G1480" s="43" t="inlineStr">
        <is>
          <t>CTANJZ05255</t>
        </is>
      </c>
      <c r="H1480" s="43" t="inlineStr">
        <is>
          <t>Risk Buy Authorization Only ¡V No Build/Shipment Allowed (Sustaining Only)</t>
        </is>
      </c>
      <c r="I1480" s="43" t="inlineStr">
        <is>
          <t>Customer Deviation</t>
        </is>
      </c>
      <c r="J1480" s="43" t="inlineStr">
        <is>
          <t>D611205</t>
        </is>
      </c>
      <c r="K1480" s="33" t="inlineStr">
        <is>
          <t>D611205 Please see PageThree for details</t>
        </is>
      </c>
      <c r="L1480" s="43" t="inlineStr">
        <is>
          <t>Expired</t>
        </is>
      </c>
      <c r="M1480" s="43" t="inlineStr">
        <is>
          <t>73-101944-03</t>
        </is>
      </c>
      <c r="N1480" s="43" t="inlineStr"/>
      <c r="O1480" s="43" t="inlineStr">
        <is>
          <t>2026-08-17</t>
        </is>
      </c>
      <c r="P1480" s="33" t="inlineStr">
        <is>
          <t>Risk Buy Authorization</t>
        </is>
      </c>
      <c r="Q1480" s="43" t="inlineStr">
        <is>
          <t>NA</t>
        </is>
      </c>
      <c r="R1480" s="43" t="inlineStr">
        <is>
          <t>2026-05-20</t>
        </is>
      </c>
      <c r="S1480" s="43" t="inlineStr">
        <is>
          <t>2026-06-10</t>
        </is>
      </c>
      <c r="T1480" s="43" t="inlineStr"/>
      <c r="U1480" s="43" t="inlineStr"/>
    </row>
    <row r="1481">
      <c r="A1481" s="43" t="n">
        <v>1481</v>
      </c>
      <c r="B1481" s="43" t="inlineStr">
        <is>
          <t>1480</t>
        </is>
      </c>
      <c r="C1481" s="43" t="inlineStr">
        <is>
          <t>FJZP</t>
        </is>
      </c>
      <c r="D1481" s="43" t="inlineStr">
        <is>
          <t>Cisco</t>
        </is>
      </c>
      <c r="E1481" s="43" t="inlineStr">
        <is>
          <t>MCGA</t>
        </is>
      </c>
      <c r="F1481" s="43" t="inlineStr">
        <is>
          <t>037-STBU</t>
        </is>
      </c>
      <c r="G1481" s="43" t="inlineStr">
        <is>
          <t>CTANJZ05255</t>
        </is>
      </c>
      <c r="H1481" s="43" t="inlineStr">
        <is>
          <t>Risk Buy Authorization Only ¡V No Build/Shipment Allowed (Sustaining Only)</t>
        </is>
      </c>
      <c r="I1481" s="43" t="inlineStr">
        <is>
          <t>Customer Deviation</t>
        </is>
      </c>
      <c r="J1481" s="43" t="inlineStr">
        <is>
          <t>D611205</t>
        </is>
      </c>
      <c r="K1481" s="33" t="inlineStr">
        <is>
          <t>D611205 Please see PageThree for details</t>
        </is>
      </c>
      <c r="L1481" s="43" t="inlineStr">
        <is>
          <t>Expired</t>
        </is>
      </c>
      <c r="M1481" s="43" t="inlineStr">
        <is>
          <t>73-101945-03</t>
        </is>
      </c>
      <c r="N1481" s="43" t="inlineStr"/>
      <c r="O1481" s="43" t="inlineStr">
        <is>
          <t>2026-08-17</t>
        </is>
      </c>
      <c r="P1481" s="33" t="inlineStr">
        <is>
          <t>Risk Buy Authorization</t>
        </is>
      </c>
      <c r="Q1481" s="43" t="inlineStr">
        <is>
          <t>NA</t>
        </is>
      </c>
      <c r="R1481" s="43" t="inlineStr">
        <is>
          <t>2026-05-20</t>
        </is>
      </c>
      <c r="S1481" s="43" t="inlineStr">
        <is>
          <t>2026-06-10</t>
        </is>
      </c>
      <c r="T1481" s="43" t="inlineStr"/>
      <c r="U1481" s="43" t="inlineStr"/>
    </row>
    <row r="1482">
      <c r="A1482" s="43" t="n">
        <v>1482</v>
      </c>
      <c r="B1482" s="43" t="inlineStr">
        <is>
          <t>1481</t>
        </is>
      </c>
      <c r="C1482" s="43" t="inlineStr">
        <is>
          <t>FJZP</t>
        </is>
      </c>
      <c r="D1482" s="43" t="inlineStr">
        <is>
          <t>Cisco</t>
        </is>
      </c>
      <c r="E1482" s="43" t="inlineStr">
        <is>
          <t>MCGA</t>
        </is>
      </c>
      <c r="F1482" s="43" t="inlineStr">
        <is>
          <t>037-STBU</t>
        </is>
      </c>
      <c r="G1482" s="43" t="inlineStr">
        <is>
          <t>CTANJZ05255</t>
        </is>
      </c>
      <c r="H1482" s="43" t="inlineStr">
        <is>
          <t>Risk Buy Authorization Only ¡V No Build/Shipment Allowed (Sustaining Only)</t>
        </is>
      </c>
      <c r="I1482" s="43" t="inlineStr">
        <is>
          <t>Customer Deviation</t>
        </is>
      </c>
      <c r="J1482" s="43" t="inlineStr">
        <is>
          <t>D611205</t>
        </is>
      </c>
      <c r="K1482" s="33" t="inlineStr">
        <is>
          <t>D611205 Please see PageThree for details</t>
        </is>
      </c>
      <c r="L1482" s="43" t="inlineStr">
        <is>
          <t>Expired</t>
        </is>
      </c>
      <c r="M1482" s="43" t="inlineStr">
        <is>
          <t>73-102433-06</t>
        </is>
      </c>
      <c r="N1482" s="43" t="inlineStr"/>
      <c r="O1482" s="43" t="inlineStr">
        <is>
          <t>2026-08-17</t>
        </is>
      </c>
      <c r="P1482" s="33" t="inlineStr">
        <is>
          <t>Risk Buy Authorization</t>
        </is>
      </c>
      <c r="Q1482" s="43" t="inlineStr">
        <is>
          <t>NA</t>
        </is>
      </c>
      <c r="R1482" s="43" t="inlineStr">
        <is>
          <t>2026-05-20</t>
        </is>
      </c>
      <c r="S1482" s="43" t="inlineStr">
        <is>
          <t>2026-06-10</t>
        </is>
      </c>
      <c r="T1482" s="43" t="inlineStr"/>
      <c r="U1482" s="43" t="inlineStr"/>
    </row>
    <row r="1483">
      <c r="A1483" s="43" t="n">
        <v>1483</v>
      </c>
      <c r="B1483" s="43" t="inlineStr">
        <is>
          <t>1482</t>
        </is>
      </c>
      <c r="C1483" s="43" t="inlineStr">
        <is>
          <t>FJZP</t>
        </is>
      </c>
      <c r="D1483" s="43" t="inlineStr">
        <is>
          <t>Cisco</t>
        </is>
      </c>
      <c r="E1483" s="43" t="inlineStr">
        <is>
          <t>MCGA</t>
        </is>
      </c>
      <c r="F1483" s="43" t="inlineStr">
        <is>
          <t>037-STBU</t>
        </is>
      </c>
      <c r="G1483" s="43" t="inlineStr">
        <is>
          <t>CTANJZ05255</t>
        </is>
      </c>
      <c r="H1483" s="43" t="inlineStr">
        <is>
          <t>Risk Buy Authorization Only ¡V No Build/Shipment Allowed (Sustaining Only)</t>
        </is>
      </c>
      <c r="I1483" s="43" t="inlineStr">
        <is>
          <t>Customer Deviation</t>
        </is>
      </c>
      <c r="J1483" s="43" t="inlineStr">
        <is>
          <t>D611205</t>
        </is>
      </c>
      <c r="K1483" s="33" t="inlineStr">
        <is>
          <t>D611205 Please see PageThree for details</t>
        </is>
      </c>
      <c r="L1483" s="43" t="inlineStr">
        <is>
          <t>Expired</t>
        </is>
      </c>
      <c r="M1483" s="43" t="inlineStr">
        <is>
          <t>73-102434-06</t>
        </is>
      </c>
      <c r="N1483" s="43" t="inlineStr"/>
      <c r="O1483" s="43" t="inlineStr">
        <is>
          <t>2026-08-17</t>
        </is>
      </c>
      <c r="P1483" s="33" t="inlineStr">
        <is>
          <t>Risk Buy Authorization</t>
        </is>
      </c>
      <c r="Q1483" s="43" t="inlineStr">
        <is>
          <t>NA</t>
        </is>
      </c>
      <c r="R1483" s="43" t="inlineStr">
        <is>
          <t>2026-05-20</t>
        </is>
      </c>
      <c r="S1483" s="43" t="inlineStr">
        <is>
          <t>2026-06-10</t>
        </is>
      </c>
      <c r="T1483" s="43" t="inlineStr"/>
      <c r="U1483" s="43" t="inlineStr"/>
    </row>
    <row r="1484">
      <c r="A1484" s="43" t="n">
        <v>1484</v>
      </c>
      <c r="B1484" s="43" t="inlineStr">
        <is>
          <t>1483</t>
        </is>
      </c>
      <c r="C1484" s="43" t="inlineStr">
        <is>
          <t>FJZP</t>
        </is>
      </c>
      <c r="D1484" s="43" t="inlineStr">
        <is>
          <t>Cisco</t>
        </is>
      </c>
      <c r="E1484" s="43" t="inlineStr">
        <is>
          <t>MCGA</t>
        </is>
      </c>
      <c r="F1484" s="43" t="inlineStr">
        <is>
          <t>037-STBU</t>
        </is>
      </c>
      <c r="G1484" s="43" t="inlineStr">
        <is>
          <t>CTANJZ05255</t>
        </is>
      </c>
      <c r="H1484" s="43" t="inlineStr">
        <is>
          <t>Risk Buy Authorization Only ¡V No Build/Shipment Allowed (Sustaining Only)</t>
        </is>
      </c>
      <c r="I1484" s="43" t="inlineStr">
        <is>
          <t>Customer Deviation</t>
        </is>
      </c>
      <c r="J1484" s="43" t="inlineStr">
        <is>
          <t>D611205</t>
        </is>
      </c>
      <c r="K1484" s="33" t="inlineStr">
        <is>
          <t>D611205 Please see PageThree for details</t>
        </is>
      </c>
      <c r="L1484" s="43" t="inlineStr">
        <is>
          <t>Expired</t>
        </is>
      </c>
      <c r="M1484" s="43" t="inlineStr">
        <is>
          <t>73-102435-06</t>
        </is>
      </c>
      <c r="N1484" s="43" t="inlineStr"/>
      <c r="O1484" s="43" t="inlineStr">
        <is>
          <t>2026-08-17</t>
        </is>
      </c>
      <c r="P1484" s="33" t="inlineStr">
        <is>
          <t>Risk Buy Authorization</t>
        </is>
      </c>
      <c r="Q1484" s="43" t="inlineStr">
        <is>
          <t>NA</t>
        </is>
      </c>
      <c r="R1484" s="43" t="inlineStr">
        <is>
          <t>2026-05-20</t>
        </is>
      </c>
      <c r="S1484" s="43" t="inlineStr">
        <is>
          <t>2026-06-10</t>
        </is>
      </c>
      <c r="T1484" s="43" t="inlineStr"/>
      <c r="U1484" s="43" t="inlineStr"/>
    </row>
    <row r="1485">
      <c r="A1485" s="43" t="n">
        <v>1485</v>
      </c>
      <c r="B1485" s="43" t="inlineStr">
        <is>
          <t>1484</t>
        </is>
      </c>
      <c r="C1485" s="43" t="inlineStr">
        <is>
          <t>FJZP</t>
        </is>
      </c>
      <c r="D1485" s="43" t="inlineStr">
        <is>
          <t>Cisco</t>
        </is>
      </c>
      <c r="E1485" s="43" t="inlineStr">
        <is>
          <t>MCGA</t>
        </is>
      </c>
      <c r="F1485" s="43" t="inlineStr">
        <is>
          <t>037-STBU</t>
        </is>
      </c>
      <c r="G1485" s="43" t="inlineStr">
        <is>
          <t>CTANJZ05255</t>
        </is>
      </c>
      <c r="H1485" s="43" t="inlineStr">
        <is>
          <t>Risk Buy Authorization Only ¡V No Build/Shipment Allowed (Sustaining Only)</t>
        </is>
      </c>
      <c r="I1485" s="43" t="inlineStr">
        <is>
          <t>Customer Deviation</t>
        </is>
      </c>
      <c r="J1485" s="43" t="inlineStr">
        <is>
          <t>D611205</t>
        </is>
      </c>
      <c r="K1485" s="33" t="inlineStr">
        <is>
          <t>D611205 Please see PageThree for details</t>
        </is>
      </c>
      <c r="L1485" s="43" t="inlineStr">
        <is>
          <t>Expired</t>
        </is>
      </c>
      <c r="M1485" s="43" t="inlineStr">
        <is>
          <t>73-103122-01</t>
        </is>
      </c>
      <c r="N1485" s="43" t="inlineStr"/>
      <c r="O1485" s="43" t="inlineStr">
        <is>
          <t>2026-08-17</t>
        </is>
      </c>
      <c r="P1485" s="33" t="inlineStr">
        <is>
          <t>Risk Buy Authorization</t>
        </is>
      </c>
      <c r="Q1485" s="43" t="inlineStr">
        <is>
          <t>NA</t>
        </is>
      </c>
      <c r="R1485" s="43" t="inlineStr">
        <is>
          <t>2026-05-20</t>
        </is>
      </c>
      <c r="S1485" s="43" t="inlineStr">
        <is>
          <t>2026-06-10</t>
        </is>
      </c>
      <c r="T1485" s="43" t="inlineStr"/>
      <c r="U1485" s="43" t="inlineStr"/>
    </row>
    <row r="1486">
      <c r="A1486" s="43" t="n">
        <v>1486</v>
      </c>
      <c r="B1486" s="43" t="inlineStr">
        <is>
          <t>1485</t>
        </is>
      </c>
      <c r="C1486" s="43" t="inlineStr">
        <is>
          <t>FJZP</t>
        </is>
      </c>
      <c r="D1486" s="43" t="inlineStr">
        <is>
          <t>Cisco</t>
        </is>
      </c>
      <c r="E1486" s="43" t="inlineStr">
        <is>
          <t>MCGA</t>
        </is>
      </c>
      <c r="F1486" s="43" t="inlineStr">
        <is>
          <t>037-STBU</t>
        </is>
      </c>
      <c r="G1486" s="43" t="inlineStr">
        <is>
          <t>CTANJZ05255</t>
        </is>
      </c>
      <c r="H1486" s="43" t="inlineStr">
        <is>
          <t>Risk Buy Authorization Only ¡V No Build/Shipment Allowed (Sustaining Only)</t>
        </is>
      </c>
      <c r="I1486" s="43" t="inlineStr">
        <is>
          <t>Customer Deviation</t>
        </is>
      </c>
      <c r="J1486" s="43" t="inlineStr">
        <is>
          <t>D611205</t>
        </is>
      </c>
      <c r="K1486" s="33" t="inlineStr">
        <is>
          <t>D611205 Please see PageThree for details</t>
        </is>
      </c>
      <c r="L1486" s="43" t="inlineStr">
        <is>
          <t>Expired</t>
        </is>
      </c>
      <c r="M1486" s="43" t="inlineStr">
        <is>
          <t>73-103125-02</t>
        </is>
      </c>
      <c r="N1486" s="43" t="inlineStr"/>
      <c r="O1486" s="43" t="inlineStr">
        <is>
          <t>2026-08-17</t>
        </is>
      </c>
      <c r="P1486" s="33" t="inlineStr">
        <is>
          <t>Risk Buy Authorization</t>
        </is>
      </c>
      <c r="Q1486" s="43" t="inlineStr">
        <is>
          <t>NA</t>
        </is>
      </c>
      <c r="R1486" s="43" t="inlineStr">
        <is>
          <t>2026-05-20</t>
        </is>
      </c>
      <c r="S1486" s="43" t="inlineStr">
        <is>
          <t>2026-06-10</t>
        </is>
      </c>
      <c r="T1486" s="43" t="inlineStr"/>
      <c r="U1486" s="43" t="inlineStr"/>
    </row>
    <row r="1487">
      <c r="A1487" s="43" t="n">
        <v>1487</v>
      </c>
      <c r="B1487" s="43" t="inlineStr">
        <is>
          <t>1486</t>
        </is>
      </c>
      <c r="C1487" s="43" t="inlineStr">
        <is>
          <t>FJZP</t>
        </is>
      </c>
      <c r="D1487" s="43" t="inlineStr">
        <is>
          <t>Cisco</t>
        </is>
      </c>
      <c r="E1487" s="43" t="inlineStr">
        <is>
          <t>MCGA</t>
        </is>
      </c>
      <c r="F1487" s="43" t="inlineStr">
        <is>
          <t>037-STBU</t>
        </is>
      </c>
      <c r="G1487" s="43" t="inlineStr">
        <is>
          <t>CTANJZ05250</t>
        </is>
      </c>
      <c r="H1487" s="43" t="inlineStr">
        <is>
          <t>Risk Buy Authorization Only ¡V No Build/Shipment Allowed (Sustaining Only)</t>
        </is>
      </c>
      <c r="I1487" s="43" t="inlineStr">
        <is>
          <t>Customer Deviation</t>
        </is>
      </c>
      <c r="J1487" s="43" t="inlineStr">
        <is>
          <t>D611256</t>
        </is>
      </c>
      <c r="K1487" s="33" t="inlineStr">
        <is>
          <t>D611256 Please see PageThree for details</t>
        </is>
      </c>
      <c r="L1487" s="43" t="inlineStr">
        <is>
          <t>Expired</t>
        </is>
      </c>
      <c r="M1487" s="43" t="inlineStr">
        <is>
          <t>28-101945-03</t>
        </is>
      </c>
      <c r="N1487" s="43" t="inlineStr"/>
      <c r="O1487" s="43" t="inlineStr">
        <is>
          <t>2026-08-16</t>
        </is>
      </c>
      <c r="P1487" s="33" t="inlineStr">
        <is>
          <t>Risk Buy Authorization</t>
        </is>
      </c>
      <c r="Q1487" s="43" t="inlineStr">
        <is>
          <t>Please; Place the deviation label in visible area.</t>
        </is>
      </c>
      <c r="R1487" s="43" t="inlineStr">
        <is>
          <t>2026-05-20</t>
        </is>
      </c>
      <c r="S1487" s="43" t="inlineStr">
        <is>
          <t>2026-06-10</t>
        </is>
      </c>
      <c r="T1487" s="43" t="inlineStr"/>
      <c r="U1487" s="43" t="inlineStr"/>
    </row>
    <row r="1488">
      <c r="A1488" s="43" t="n">
        <v>1488</v>
      </c>
      <c r="B1488" s="43" t="inlineStr">
        <is>
          <t>1487</t>
        </is>
      </c>
      <c r="C1488" s="43" t="inlineStr">
        <is>
          <t>FJZP</t>
        </is>
      </c>
      <c r="D1488" s="43" t="inlineStr">
        <is>
          <t>Cisco</t>
        </is>
      </c>
      <c r="E1488" s="43" t="inlineStr">
        <is>
          <t>MCGA</t>
        </is>
      </c>
      <c r="F1488" s="43" t="inlineStr">
        <is>
          <t>037-STBU</t>
        </is>
      </c>
      <c r="G1488" s="43" t="inlineStr">
        <is>
          <t>CTANJZ05250</t>
        </is>
      </c>
      <c r="H1488" s="43" t="inlineStr">
        <is>
          <t>Risk Buy Authorization Only ¡V No Build/Shipment Allowed (Sustaining Only)</t>
        </is>
      </c>
      <c r="I1488" s="43" t="inlineStr">
        <is>
          <t>Customer Deviation</t>
        </is>
      </c>
      <c r="J1488" s="43" t="inlineStr">
        <is>
          <t>D611256</t>
        </is>
      </c>
      <c r="K1488" s="33" t="inlineStr">
        <is>
          <t>D611256 Please see PageThree for details</t>
        </is>
      </c>
      <c r="L1488" s="43" t="inlineStr">
        <is>
          <t>Expired</t>
        </is>
      </c>
      <c r="M1488" s="43" t="inlineStr">
        <is>
          <t>28-101946-03</t>
        </is>
      </c>
      <c r="N1488" s="43" t="inlineStr"/>
      <c r="O1488" s="43" t="inlineStr">
        <is>
          <t>2026-08-16</t>
        </is>
      </c>
      <c r="P1488" s="33" t="inlineStr">
        <is>
          <t>Risk Buy Authorization</t>
        </is>
      </c>
      <c r="Q1488" s="43" t="inlineStr">
        <is>
          <t>Please; Place the deviation label in visible area.</t>
        </is>
      </c>
      <c r="R1488" s="43" t="inlineStr">
        <is>
          <t>2026-05-20</t>
        </is>
      </c>
      <c r="S1488" s="43" t="inlineStr">
        <is>
          <t>2026-06-10</t>
        </is>
      </c>
      <c r="T1488" s="43" t="inlineStr"/>
      <c r="U1488" s="43" t="inlineStr"/>
    </row>
    <row r="1489">
      <c r="A1489" s="43" t="n">
        <v>1489</v>
      </c>
      <c r="B1489" s="43" t="inlineStr">
        <is>
          <t>1488</t>
        </is>
      </c>
      <c r="C1489" s="43" t="inlineStr">
        <is>
          <t>FJZP</t>
        </is>
      </c>
      <c r="D1489" s="43" t="inlineStr">
        <is>
          <t>Cisco</t>
        </is>
      </c>
      <c r="E1489" s="43" t="inlineStr">
        <is>
          <t>MCGA</t>
        </is>
      </c>
      <c r="F1489" s="43" t="inlineStr">
        <is>
          <t>037-STBU</t>
        </is>
      </c>
      <c r="G1489" s="43" t="inlineStr">
        <is>
          <t>CTANJZ05250</t>
        </is>
      </c>
      <c r="H1489" s="43" t="inlineStr">
        <is>
          <t>Risk Buy Authorization Only ¡V No Build/Shipment Allowed (Sustaining Only)</t>
        </is>
      </c>
      <c r="I1489" s="43" t="inlineStr">
        <is>
          <t>Customer Deviation</t>
        </is>
      </c>
      <c r="J1489" s="43" t="inlineStr">
        <is>
          <t>D611256</t>
        </is>
      </c>
      <c r="K1489" s="33" t="inlineStr">
        <is>
          <t>D611256 Please see PageThree for details</t>
        </is>
      </c>
      <c r="L1489" s="43" t="inlineStr">
        <is>
          <t>Expired</t>
        </is>
      </c>
      <c r="M1489" s="43" t="inlineStr">
        <is>
          <t>28-102178-04</t>
        </is>
      </c>
      <c r="N1489" s="43" t="inlineStr"/>
      <c r="O1489" s="43" t="inlineStr">
        <is>
          <t>2026-08-16</t>
        </is>
      </c>
      <c r="P1489" s="33" t="inlineStr">
        <is>
          <t>Risk Buy Authorization</t>
        </is>
      </c>
      <c r="Q1489" s="43" t="inlineStr">
        <is>
          <t>Please; Place the deviation label in visible area.</t>
        </is>
      </c>
      <c r="R1489" s="43" t="inlineStr">
        <is>
          <t>2026-05-20</t>
        </is>
      </c>
      <c r="S1489" s="43" t="inlineStr">
        <is>
          <t>2026-06-10</t>
        </is>
      </c>
      <c r="T1489" s="43" t="inlineStr"/>
      <c r="U1489" s="43" t="inlineStr"/>
    </row>
    <row r="1490">
      <c r="A1490" s="43" t="n">
        <v>1490</v>
      </c>
      <c r="B1490" s="43" t="inlineStr">
        <is>
          <t>1489</t>
        </is>
      </c>
      <c r="C1490" s="43" t="inlineStr">
        <is>
          <t>FJZP</t>
        </is>
      </c>
      <c r="D1490" s="43" t="inlineStr">
        <is>
          <t>Cisco</t>
        </is>
      </c>
      <c r="E1490" s="43" t="inlineStr">
        <is>
          <t>MCGA</t>
        </is>
      </c>
      <c r="F1490" s="43" t="inlineStr">
        <is>
          <t>037-STBU</t>
        </is>
      </c>
      <c r="G1490" s="43" t="inlineStr">
        <is>
          <t>CTANJZ05250</t>
        </is>
      </c>
      <c r="H1490" s="43" t="inlineStr">
        <is>
          <t>Risk Buy Authorization Only ¡V No Build/Shipment Allowed (Sustaining Only)</t>
        </is>
      </c>
      <c r="I1490" s="43" t="inlineStr">
        <is>
          <t>Customer Deviation</t>
        </is>
      </c>
      <c r="J1490" s="43" t="inlineStr">
        <is>
          <t>D611256</t>
        </is>
      </c>
      <c r="K1490" s="33" t="inlineStr">
        <is>
          <t>D611256 Please see PageThree for details</t>
        </is>
      </c>
      <c r="L1490" s="43" t="inlineStr">
        <is>
          <t>Expired</t>
        </is>
      </c>
      <c r="M1490" s="43" t="inlineStr">
        <is>
          <t>28-102180-04</t>
        </is>
      </c>
      <c r="N1490" s="43" t="inlineStr"/>
      <c r="O1490" s="43" t="inlineStr">
        <is>
          <t>2026-08-16</t>
        </is>
      </c>
      <c r="P1490" s="33" t="inlineStr">
        <is>
          <t>Risk Buy Authorization</t>
        </is>
      </c>
      <c r="Q1490" s="43" t="inlineStr">
        <is>
          <t>Please; Place the deviation label in visible area.</t>
        </is>
      </c>
      <c r="R1490" s="43" t="inlineStr">
        <is>
          <t>2026-05-20</t>
        </is>
      </c>
      <c r="S1490" s="43" t="inlineStr">
        <is>
          <t>2026-06-10</t>
        </is>
      </c>
      <c r="T1490" s="43" t="inlineStr"/>
      <c r="U1490" s="43" t="inlineStr"/>
    </row>
    <row r="1491">
      <c r="A1491" s="43" t="n">
        <v>1491</v>
      </c>
      <c r="B1491" s="43" t="inlineStr">
        <is>
          <t>1490</t>
        </is>
      </c>
      <c r="C1491" s="43" t="inlineStr">
        <is>
          <t>FJZP</t>
        </is>
      </c>
      <c r="D1491" s="43" t="inlineStr">
        <is>
          <t>Cisco</t>
        </is>
      </c>
      <c r="E1491" s="43" t="inlineStr">
        <is>
          <t>MCGA</t>
        </is>
      </c>
      <c r="F1491" s="43" t="inlineStr">
        <is>
          <t>037-STBU</t>
        </is>
      </c>
      <c r="G1491" s="43" t="inlineStr">
        <is>
          <t>CTANJZ05250</t>
        </is>
      </c>
      <c r="H1491" s="43" t="inlineStr">
        <is>
          <t>Risk Buy Authorization Only ¡V No Build/Shipment Allowed (Sustaining Only)</t>
        </is>
      </c>
      <c r="I1491" s="43" t="inlineStr">
        <is>
          <t>Customer Deviation</t>
        </is>
      </c>
      <c r="J1491" s="43" t="inlineStr">
        <is>
          <t>D611256</t>
        </is>
      </c>
      <c r="K1491" s="33" t="inlineStr">
        <is>
          <t>D611256 Please see PageThree for details</t>
        </is>
      </c>
      <c r="L1491" s="43" t="inlineStr">
        <is>
          <t>Expired</t>
        </is>
      </c>
      <c r="M1491" s="43" t="inlineStr">
        <is>
          <t>28-102297-04</t>
        </is>
      </c>
      <c r="N1491" s="43" t="inlineStr"/>
      <c r="O1491" s="43" t="inlineStr">
        <is>
          <t>2026-08-16</t>
        </is>
      </c>
      <c r="P1491" s="33" t="inlineStr">
        <is>
          <t>Risk Buy Authorization</t>
        </is>
      </c>
      <c r="Q1491" s="43" t="inlineStr">
        <is>
          <t>Please; Place the deviation label in visible area.</t>
        </is>
      </c>
      <c r="R1491" s="43" t="inlineStr">
        <is>
          <t>2026-05-20</t>
        </is>
      </c>
      <c r="S1491" s="43" t="inlineStr">
        <is>
          <t>2026-06-10</t>
        </is>
      </c>
      <c r="T1491" s="43" t="inlineStr"/>
      <c r="U1491" s="43" t="inlineStr"/>
    </row>
    <row r="1492">
      <c r="A1492" s="43" t="n">
        <v>1492</v>
      </c>
      <c r="B1492" s="43" t="inlineStr">
        <is>
          <t>1491</t>
        </is>
      </c>
      <c r="C1492" s="43" t="inlineStr">
        <is>
          <t>FJZP</t>
        </is>
      </c>
      <c r="D1492" s="43" t="inlineStr">
        <is>
          <t>Cisco</t>
        </is>
      </c>
      <c r="E1492" s="43" t="inlineStr">
        <is>
          <t>MCGA</t>
        </is>
      </c>
      <c r="F1492" s="43" t="inlineStr">
        <is>
          <t>037-STBU</t>
        </is>
      </c>
      <c r="G1492" s="43" t="inlineStr">
        <is>
          <t>CTANJZ05250</t>
        </is>
      </c>
      <c r="H1492" s="43" t="inlineStr">
        <is>
          <t>Risk Buy Authorization Only ¡V No Build/Shipment Allowed (Sustaining Only)</t>
        </is>
      </c>
      <c r="I1492" s="43" t="inlineStr">
        <is>
          <t>Customer Deviation</t>
        </is>
      </c>
      <c r="J1492" s="43" t="inlineStr">
        <is>
          <t>D611256</t>
        </is>
      </c>
      <c r="K1492" s="33" t="inlineStr">
        <is>
          <t>D611256 Please see PageThree for details</t>
        </is>
      </c>
      <c r="L1492" s="43" t="inlineStr">
        <is>
          <t>Expired</t>
        </is>
      </c>
      <c r="M1492" s="43" t="inlineStr">
        <is>
          <t>28-102298-03</t>
        </is>
      </c>
      <c r="N1492" s="43" t="inlineStr"/>
      <c r="O1492" s="43" t="inlineStr">
        <is>
          <t>2026-08-16</t>
        </is>
      </c>
      <c r="P1492" s="33" t="inlineStr">
        <is>
          <t>Risk Buy Authorization</t>
        </is>
      </c>
      <c r="Q1492" s="43" t="inlineStr">
        <is>
          <t>Please; Place the deviation label in visible area.</t>
        </is>
      </c>
      <c r="R1492" s="43" t="inlineStr">
        <is>
          <t>2026-05-20</t>
        </is>
      </c>
      <c r="S1492" s="43" t="inlineStr">
        <is>
          <t>2026-06-10</t>
        </is>
      </c>
      <c r="T1492" s="43" t="inlineStr"/>
      <c r="U1492" s="43" t="inlineStr"/>
    </row>
    <row r="1493">
      <c r="A1493" s="43" t="n">
        <v>1493</v>
      </c>
      <c r="B1493" s="43" t="inlineStr">
        <is>
          <t>1492</t>
        </is>
      </c>
      <c r="C1493" s="43" t="inlineStr">
        <is>
          <t>FJZP</t>
        </is>
      </c>
      <c r="D1493" s="43" t="inlineStr">
        <is>
          <t>Cisco</t>
        </is>
      </c>
      <c r="E1493" s="43" t="inlineStr">
        <is>
          <t>MCGA</t>
        </is>
      </c>
      <c r="F1493" s="43" t="inlineStr">
        <is>
          <t>037-STBU</t>
        </is>
      </c>
      <c r="G1493" s="43" t="inlineStr">
        <is>
          <t>CTANJZ05250</t>
        </is>
      </c>
      <c r="H1493" s="43" t="inlineStr">
        <is>
          <t>Risk Buy Authorization Only ¡V No Build/Shipment Allowed (Sustaining Only)</t>
        </is>
      </c>
      <c r="I1493" s="43" t="inlineStr">
        <is>
          <t>Customer Deviation</t>
        </is>
      </c>
      <c r="J1493" s="43" t="inlineStr">
        <is>
          <t>D611256</t>
        </is>
      </c>
      <c r="K1493" s="33" t="inlineStr">
        <is>
          <t>D611256 Please see PageThree for details</t>
        </is>
      </c>
      <c r="L1493" s="43" t="inlineStr">
        <is>
          <t>Expired</t>
        </is>
      </c>
      <c r="M1493" s="43" t="inlineStr">
        <is>
          <t>28-102686-01</t>
        </is>
      </c>
      <c r="N1493" s="43" t="inlineStr"/>
      <c r="O1493" s="43" t="inlineStr">
        <is>
          <t>2026-08-16</t>
        </is>
      </c>
      <c r="P1493" s="33" t="inlineStr">
        <is>
          <t>Risk Buy Authorization</t>
        </is>
      </c>
      <c r="Q1493" s="43" t="inlineStr">
        <is>
          <t>Please; Place the deviation label in visible area.</t>
        </is>
      </c>
      <c r="R1493" s="43" t="inlineStr">
        <is>
          <t>2026-05-20</t>
        </is>
      </c>
      <c r="S1493" s="43" t="inlineStr">
        <is>
          <t>2026-06-10</t>
        </is>
      </c>
      <c r="T1493" s="43" t="inlineStr"/>
      <c r="U1493" s="43" t="inlineStr"/>
    </row>
    <row r="1494">
      <c r="A1494" s="43" t="n">
        <v>1494</v>
      </c>
      <c r="B1494" s="43" t="inlineStr">
        <is>
          <t>1493</t>
        </is>
      </c>
      <c r="C1494" s="43" t="inlineStr">
        <is>
          <t>FJZP</t>
        </is>
      </c>
      <c r="D1494" s="43" t="inlineStr">
        <is>
          <t>Cisco</t>
        </is>
      </c>
      <c r="E1494" s="43" t="inlineStr">
        <is>
          <t>MCGA</t>
        </is>
      </c>
      <c r="F1494" s="43" t="inlineStr">
        <is>
          <t>037-STBU</t>
        </is>
      </c>
      <c r="G1494" s="43" t="inlineStr">
        <is>
          <t>CTANJZ05250</t>
        </is>
      </c>
      <c r="H1494" s="43" t="inlineStr">
        <is>
          <t>Risk Buy Authorization Only ¡V No Build/Shipment Allowed (Sustaining Only)</t>
        </is>
      </c>
      <c r="I1494" s="43" t="inlineStr">
        <is>
          <t>Customer Deviation</t>
        </is>
      </c>
      <c r="J1494" s="43" t="inlineStr">
        <is>
          <t>D611256</t>
        </is>
      </c>
      <c r="K1494" s="33" t="inlineStr">
        <is>
          <t>D611256 Please see PageThree for details</t>
        </is>
      </c>
      <c r="L1494" s="43" t="inlineStr">
        <is>
          <t>Expired</t>
        </is>
      </c>
      <c r="M1494" s="43" t="inlineStr">
        <is>
          <t>73-101944-03</t>
        </is>
      </c>
      <c r="N1494" s="43" t="inlineStr"/>
      <c r="O1494" s="43" t="inlineStr">
        <is>
          <t>2026-08-16</t>
        </is>
      </c>
      <c r="P1494" s="33" t="inlineStr">
        <is>
          <t>Risk Buy Authorization</t>
        </is>
      </c>
      <c r="Q1494" s="43" t="inlineStr">
        <is>
          <t>Please; Place the deviation label in visible area.</t>
        </is>
      </c>
      <c r="R1494" s="43" t="inlineStr">
        <is>
          <t>2026-05-20</t>
        </is>
      </c>
      <c r="S1494" s="43" t="inlineStr">
        <is>
          <t>2026-06-10</t>
        </is>
      </c>
      <c r="T1494" s="43" t="inlineStr"/>
      <c r="U1494" s="43" t="inlineStr"/>
    </row>
    <row r="1495">
      <c r="A1495" s="43" t="n">
        <v>1495</v>
      </c>
      <c r="B1495" s="43" t="inlineStr">
        <is>
          <t>1494</t>
        </is>
      </c>
      <c r="C1495" s="43" t="inlineStr">
        <is>
          <t>FJZP</t>
        </is>
      </c>
      <c r="D1495" s="43" t="inlineStr">
        <is>
          <t>Cisco</t>
        </is>
      </c>
      <c r="E1495" s="43" t="inlineStr">
        <is>
          <t>MCGA</t>
        </is>
      </c>
      <c r="F1495" s="43" t="inlineStr">
        <is>
          <t>037-STBU</t>
        </is>
      </c>
      <c r="G1495" s="43" t="inlineStr">
        <is>
          <t>CTANJZ05250</t>
        </is>
      </c>
      <c r="H1495" s="43" t="inlineStr">
        <is>
          <t>Risk Buy Authorization Only ¡V No Build/Shipment Allowed (Sustaining Only)</t>
        </is>
      </c>
      <c r="I1495" s="43" t="inlineStr">
        <is>
          <t>Customer Deviation</t>
        </is>
      </c>
      <c r="J1495" s="43" t="inlineStr">
        <is>
          <t>D611256</t>
        </is>
      </c>
      <c r="K1495" s="33" t="inlineStr">
        <is>
          <t>D611256 Please see PageThree for details</t>
        </is>
      </c>
      <c r="L1495" s="43" t="inlineStr">
        <is>
          <t>Expired</t>
        </is>
      </c>
      <c r="M1495" s="43" t="inlineStr">
        <is>
          <t>73-101945-03</t>
        </is>
      </c>
      <c r="N1495" s="43" t="inlineStr"/>
      <c r="O1495" s="43" t="inlineStr">
        <is>
          <t>2026-08-16</t>
        </is>
      </c>
      <c r="P1495" s="33" t="inlineStr">
        <is>
          <t>Risk Buy Authorization</t>
        </is>
      </c>
      <c r="Q1495" s="43" t="inlineStr">
        <is>
          <t>Please; Place the deviation label in visible area.</t>
        </is>
      </c>
      <c r="R1495" s="43" t="inlineStr">
        <is>
          <t>2026-05-20</t>
        </is>
      </c>
      <c r="S1495" s="43" t="inlineStr">
        <is>
          <t>2026-06-10</t>
        </is>
      </c>
      <c r="T1495" s="43" t="inlineStr"/>
      <c r="U1495" s="43" t="inlineStr"/>
    </row>
    <row r="1496">
      <c r="A1496" s="43" t="n">
        <v>1496</v>
      </c>
      <c r="B1496" s="43" t="inlineStr">
        <is>
          <t>1495</t>
        </is>
      </c>
      <c r="C1496" s="43" t="inlineStr">
        <is>
          <t>FJZP</t>
        </is>
      </c>
      <c r="D1496" s="43" t="inlineStr">
        <is>
          <t>Cisco</t>
        </is>
      </c>
      <c r="E1496" s="43" t="inlineStr">
        <is>
          <t>MCGA</t>
        </is>
      </c>
      <c r="F1496" s="43" t="inlineStr">
        <is>
          <t>037-STBU</t>
        </is>
      </c>
      <c r="G1496" s="43" t="inlineStr">
        <is>
          <t>CTANJZ05250</t>
        </is>
      </c>
      <c r="H1496" s="43" t="inlineStr">
        <is>
          <t>Risk Buy Authorization Only ¡V No Build/Shipment Allowed (Sustaining Only)</t>
        </is>
      </c>
      <c r="I1496" s="43" t="inlineStr">
        <is>
          <t>Customer Deviation</t>
        </is>
      </c>
      <c r="J1496" s="43" t="inlineStr">
        <is>
          <t>D611256</t>
        </is>
      </c>
      <c r="K1496" s="33" t="inlineStr">
        <is>
          <t>D611256 Please see PageThree for details</t>
        </is>
      </c>
      <c r="L1496" s="43" t="inlineStr">
        <is>
          <t>Expired</t>
        </is>
      </c>
      <c r="M1496" s="43" t="inlineStr">
        <is>
          <t>73-102418-04</t>
        </is>
      </c>
      <c r="N1496" s="43" t="inlineStr"/>
      <c r="O1496" s="43" t="inlineStr">
        <is>
          <t>2026-08-16</t>
        </is>
      </c>
      <c r="P1496" s="33" t="inlineStr">
        <is>
          <t>Risk Buy Authorization</t>
        </is>
      </c>
      <c r="Q1496" s="43" t="inlineStr">
        <is>
          <t>Please; Place the deviation label in visible area.</t>
        </is>
      </c>
      <c r="R1496" s="43" t="inlineStr">
        <is>
          <t>2026-05-20</t>
        </is>
      </c>
      <c r="S1496" s="43" t="inlineStr">
        <is>
          <t>2026-06-10</t>
        </is>
      </c>
      <c r="T1496" s="43" t="inlineStr"/>
      <c r="U1496" s="43" t="inlineStr"/>
    </row>
    <row r="1497">
      <c r="A1497" s="43" t="n">
        <v>1497</v>
      </c>
      <c r="B1497" s="43" t="inlineStr">
        <is>
          <t>1496</t>
        </is>
      </c>
      <c r="C1497" s="43" t="inlineStr">
        <is>
          <t>FJZP</t>
        </is>
      </c>
      <c r="D1497" s="43" t="inlineStr">
        <is>
          <t>Cisco</t>
        </is>
      </c>
      <c r="E1497" s="43" t="inlineStr">
        <is>
          <t>MCGA</t>
        </is>
      </c>
      <c r="F1497" s="43" t="inlineStr">
        <is>
          <t>037-STBU</t>
        </is>
      </c>
      <c r="G1497" s="43" t="inlineStr">
        <is>
          <t>CTANJZ05250</t>
        </is>
      </c>
      <c r="H1497" s="43" t="inlineStr">
        <is>
          <t>Risk Buy Authorization Only ¡V No Build/Shipment Allowed (Sustaining Only)</t>
        </is>
      </c>
      <c r="I1497" s="43" t="inlineStr">
        <is>
          <t>Customer Deviation</t>
        </is>
      </c>
      <c r="J1497" s="43" t="inlineStr">
        <is>
          <t>D611256</t>
        </is>
      </c>
      <c r="K1497" s="33" t="inlineStr">
        <is>
          <t>D611256 Please see PageThree for details</t>
        </is>
      </c>
      <c r="L1497" s="43" t="inlineStr">
        <is>
          <t>Expired</t>
        </is>
      </c>
      <c r="M1497" s="43" t="inlineStr">
        <is>
          <t>73-102419-03</t>
        </is>
      </c>
      <c r="N1497" s="43" t="inlineStr"/>
      <c r="O1497" s="43" t="inlineStr">
        <is>
          <t>2026-08-16</t>
        </is>
      </c>
      <c r="P1497" s="33" t="inlineStr">
        <is>
          <t>Risk Buy Authorization</t>
        </is>
      </c>
      <c r="Q1497" s="43" t="inlineStr">
        <is>
          <t>Please; Place the deviation label in visible area.</t>
        </is>
      </c>
      <c r="R1497" s="43" t="inlineStr">
        <is>
          <t>2026-05-20</t>
        </is>
      </c>
      <c r="S1497" s="43" t="inlineStr">
        <is>
          <t>2026-06-10</t>
        </is>
      </c>
      <c r="T1497" s="43" t="inlineStr"/>
      <c r="U1497" s="43" t="inlineStr"/>
    </row>
    <row r="1498">
      <c r="A1498" s="43" t="n">
        <v>1498</v>
      </c>
      <c r="B1498" s="43" t="inlineStr">
        <is>
          <t>1497</t>
        </is>
      </c>
      <c r="C1498" s="43" t="inlineStr">
        <is>
          <t>FJZP</t>
        </is>
      </c>
      <c r="D1498" s="43" t="inlineStr">
        <is>
          <t>Cisco</t>
        </is>
      </c>
      <c r="E1498" s="43" t="inlineStr">
        <is>
          <t>MCGA</t>
        </is>
      </c>
      <c r="F1498" s="43" t="inlineStr">
        <is>
          <t>037-STBU</t>
        </is>
      </c>
      <c r="G1498" s="43" t="inlineStr">
        <is>
          <t>CTANJZ05250</t>
        </is>
      </c>
      <c r="H1498" s="43" t="inlineStr">
        <is>
          <t>Risk Buy Authorization Only ¡V No Build/Shipment Allowed (Sustaining Only)</t>
        </is>
      </c>
      <c r="I1498" s="43" t="inlineStr">
        <is>
          <t>Customer Deviation</t>
        </is>
      </c>
      <c r="J1498" s="43" t="inlineStr">
        <is>
          <t>D611256</t>
        </is>
      </c>
      <c r="K1498" s="33" t="inlineStr">
        <is>
          <t>D611256 Please see PageThree for details</t>
        </is>
      </c>
      <c r="L1498" s="43" t="inlineStr">
        <is>
          <t>Expired</t>
        </is>
      </c>
      <c r="M1498" s="43" t="inlineStr">
        <is>
          <t>73-102888-01</t>
        </is>
      </c>
      <c r="N1498" s="43" t="inlineStr"/>
      <c r="O1498" s="43" t="inlineStr">
        <is>
          <t>2026-08-16</t>
        </is>
      </c>
      <c r="P1498" s="33" t="inlineStr">
        <is>
          <t>Risk Buy Authorization</t>
        </is>
      </c>
      <c r="Q1498" s="43" t="inlineStr">
        <is>
          <t>Please; Place the deviation label in visible area.</t>
        </is>
      </c>
      <c r="R1498" s="43" t="inlineStr">
        <is>
          <t>2026-05-20</t>
        </is>
      </c>
      <c r="S1498" s="43" t="inlineStr">
        <is>
          <t>2026-06-10</t>
        </is>
      </c>
      <c r="T1498" s="43" t="inlineStr"/>
      <c r="U1498" s="43" t="inlineStr"/>
    </row>
    <row r="1499">
      <c r="A1499" s="43" t="n">
        <v>1499</v>
      </c>
      <c r="B1499" s="43" t="inlineStr">
        <is>
          <t>1498</t>
        </is>
      </c>
      <c r="C1499" s="43" t="inlineStr">
        <is>
          <t>FJZP</t>
        </is>
      </c>
      <c r="D1499" s="43" t="inlineStr">
        <is>
          <t>Cisco</t>
        </is>
      </c>
      <c r="E1499" s="43" t="inlineStr">
        <is>
          <t>MCGA</t>
        </is>
      </c>
      <c r="F1499" s="43" t="inlineStr">
        <is>
          <t>037-STBU</t>
        </is>
      </c>
      <c r="G1499" s="43" t="inlineStr">
        <is>
          <t>CTANJZ05250</t>
        </is>
      </c>
      <c r="H1499" s="43" t="inlineStr">
        <is>
          <t>Risk Buy Authorization Only ¡V No Build/Shipment Allowed (Sustaining Only)</t>
        </is>
      </c>
      <c r="I1499" s="43" t="inlineStr">
        <is>
          <t>Customer Deviation</t>
        </is>
      </c>
      <c r="J1499" s="43" t="inlineStr">
        <is>
          <t>D611256</t>
        </is>
      </c>
      <c r="K1499" s="33" t="inlineStr">
        <is>
          <t>D611256 Please see PageThree for details</t>
        </is>
      </c>
      <c r="L1499" s="43" t="inlineStr">
        <is>
          <t>Expired</t>
        </is>
      </c>
      <c r="M1499" s="43" t="inlineStr">
        <is>
          <t>73-20247-06</t>
        </is>
      </c>
      <c r="N1499" s="43" t="inlineStr"/>
      <c r="O1499" s="43" t="inlineStr">
        <is>
          <t>2026-08-16</t>
        </is>
      </c>
      <c r="P1499" s="33" t="inlineStr">
        <is>
          <t>Risk Buy Authorization</t>
        </is>
      </c>
      <c r="Q1499" s="43" t="inlineStr">
        <is>
          <t>Please; Place the deviation label in visible area.</t>
        </is>
      </c>
      <c r="R1499" s="43" t="inlineStr">
        <is>
          <t>2026-05-20</t>
        </is>
      </c>
      <c r="S1499" s="43" t="inlineStr">
        <is>
          <t>2026-06-10</t>
        </is>
      </c>
      <c r="T1499" s="43" t="inlineStr"/>
      <c r="U1499" s="43" t="inlineStr"/>
    </row>
    <row r="1500">
      <c r="A1500" s="43" t="n">
        <v>1500</v>
      </c>
      <c r="B1500" s="43" t="inlineStr">
        <is>
          <t>1499</t>
        </is>
      </c>
      <c r="C1500" s="43" t="inlineStr">
        <is>
          <t>FJZP</t>
        </is>
      </c>
      <c r="D1500" s="43" t="inlineStr">
        <is>
          <t>Cisco</t>
        </is>
      </c>
      <c r="E1500" s="43" t="inlineStr">
        <is>
          <t>MCGA</t>
        </is>
      </c>
      <c r="F1500" s="43" t="inlineStr">
        <is>
          <t>239-CRBU</t>
        </is>
      </c>
      <c r="G1500" s="43" t="inlineStr">
        <is>
          <t>CTANJZ05285</t>
        </is>
      </c>
      <c r="H1500" s="43" t="inlineStr">
        <is>
          <t>Risk Buy Authorization Only ¡V No Build/Shipment Allowed (Sustaining Only)</t>
        </is>
      </c>
      <c r="I1500" s="43" t="inlineStr">
        <is>
          <t>Customer Deviation</t>
        </is>
      </c>
      <c r="J1500" s="43" t="inlineStr">
        <is>
          <t>D611828</t>
        </is>
      </c>
      <c r="K1500" s="33" t="inlineStr">
        <is>
          <t>D611828 CRBU: LC4/5 Vanguard/Lancer Daughter Board (28-14421-07 rev01) Material EM528 Risk Buy in anticipation of release of ECO EA619918FJZ / FVN sites to proceed ordering replacement EM528 PCB material CPN - 28-14421-07 as existing CPN material with EM888 is EOL.GCE MPN: 28-14421-07_S201_M207-01ISU MPN: 28-14421-07_S102_M207-01WUS MPN: 28-14421-07_S110_M207-01</t>
        </is>
      </c>
      <c r="L1500" s="43" t="inlineStr">
        <is>
          <t>Expired</t>
        </is>
      </c>
      <c r="M1500" s="43" t="inlineStr">
        <is>
          <t>28-14421-07</t>
        </is>
      </c>
      <c r="N1500" s="43" t="inlineStr"/>
      <c r="O1500" s="43" t="inlineStr">
        <is>
          <t>2026-09-05</t>
        </is>
      </c>
      <c r="P1500" s="33" t="inlineStr">
        <is>
          <t>Risk Buy Authorization</t>
        </is>
      </c>
      <c r="Q1500" s="43" t="inlineStr">
        <is>
          <t>Maintain marking standards.</t>
        </is>
      </c>
      <c r="R1500" s="43" t="inlineStr">
        <is>
          <t>2026-06-09</t>
        </is>
      </c>
      <c r="S1500" s="43" t="inlineStr">
        <is>
          <t>2026-07-02</t>
        </is>
      </c>
      <c r="T1500" s="43" t="inlineStr"/>
      <c r="U1500" s="43" t="inlineStr"/>
    </row>
    <row r="1501">
      <c r="A1501" s="43" t="n">
        <v>1501</v>
      </c>
      <c r="B1501" s="43" t="inlineStr">
        <is>
          <t>1500</t>
        </is>
      </c>
      <c r="C1501" s="43" t="inlineStr">
        <is>
          <t>FJZP</t>
        </is>
      </c>
      <c r="D1501" s="43" t="inlineStr">
        <is>
          <t>Cisco</t>
        </is>
      </c>
      <c r="E1501" s="43" t="inlineStr">
        <is>
          <t>MCGA</t>
        </is>
      </c>
      <c r="F1501" s="43" t="inlineStr">
        <is>
          <t>239-CRBU</t>
        </is>
      </c>
      <c r="G1501" s="43" t="inlineStr">
        <is>
          <t>CTANJZ05285</t>
        </is>
      </c>
      <c r="H1501" s="43" t="inlineStr">
        <is>
          <t>Risk Buy Authorization Only ¡V No Build/Shipment Allowed (Sustaining Only)</t>
        </is>
      </c>
      <c r="I1501" s="43" t="inlineStr">
        <is>
          <t>Customer Deviation</t>
        </is>
      </c>
      <c r="J1501" s="43" t="inlineStr">
        <is>
          <t>D611828</t>
        </is>
      </c>
      <c r="K1501" s="33" t="inlineStr">
        <is>
          <t>D611828 CRBU: LC4/5 Vanguard/Lancer Daughter Board (28-14421-07 rev01) Material EM528 Risk Buy in anticipation of release of ECO EA619918FJZ / FVN sites to proceed ordering replacement EM528 PCB material CPN - 28-14421-07 as existing CPN material with EM888 is EOL.GCE MPN: 28-14421-07_S201_M207-01ISU MPN: 28-14421-07_S102_M207-01WUS MPN: 28-14421-07_S110_M207-01</t>
        </is>
      </c>
      <c r="L1501" s="43" t="inlineStr">
        <is>
          <t>Expired</t>
        </is>
      </c>
      <c r="M1501" s="43" t="inlineStr">
        <is>
          <t>68-7184-10</t>
        </is>
      </c>
      <c r="N1501" s="43" t="inlineStr"/>
      <c r="O1501" s="43" t="inlineStr">
        <is>
          <t>2026-09-05</t>
        </is>
      </c>
      <c r="P1501" s="33" t="inlineStr">
        <is>
          <t>Risk Buy Authorization</t>
        </is>
      </c>
      <c r="Q1501" s="43" t="inlineStr">
        <is>
          <t>Maintain marking standards.</t>
        </is>
      </c>
      <c r="R1501" s="43" t="inlineStr">
        <is>
          <t>2026-06-09</t>
        </is>
      </c>
      <c r="S1501" s="43" t="inlineStr">
        <is>
          <t>2026-07-02</t>
        </is>
      </c>
      <c r="T1501" s="43" t="inlineStr"/>
      <c r="U1501" s="43" t="inlineStr"/>
    </row>
    <row r="1502">
      <c r="A1502" s="43" t="n">
        <v>1502</v>
      </c>
      <c r="B1502" s="43" t="inlineStr">
        <is>
          <t>1501</t>
        </is>
      </c>
      <c r="C1502" s="43" t="inlineStr">
        <is>
          <t>FJZP</t>
        </is>
      </c>
      <c r="D1502" s="43" t="inlineStr">
        <is>
          <t>Cisco</t>
        </is>
      </c>
      <c r="E1502" s="43" t="inlineStr">
        <is>
          <t>MCGA</t>
        </is>
      </c>
      <c r="F1502" s="43" t="inlineStr">
        <is>
          <t>239-CRBU</t>
        </is>
      </c>
      <c r="G1502" s="43" t="inlineStr">
        <is>
          <t>CTANJZ05285</t>
        </is>
      </c>
      <c r="H1502" s="43" t="inlineStr">
        <is>
          <t>Risk Buy Authorization Only ¡V No Build/Shipment Allowed (Sustaining Only)</t>
        </is>
      </c>
      <c r="I1502" s="43" t="inlineStr">
        <is>
          <t>Customer Deviation</t>
        </is>
      </c>
      <c r="J1502" s="43" t="inlineStr">
        <is>
          <t>D611828</t>
        </is>
      </c>
      <c r="K1502" s="33" t="inlineStr">
        <is>
          <t>D611828 CRBU: LC4/5 Vanguard/Lancer Daughter Board (28-14421-07 rev01) Material EM528 Risk Buy in anticipation of release of ECO EA619918FJZ / FVN sites to proceed ordering replacement EM528 PCB material CPN - 28-14421-07 as existing CPN material with EM888 is EOL.GCE MPN: 28-14421-07_S201_M207-01ISU MPN: 28-14421-07_S102_M207-01WUS MPN: 28-14421-07_S110_M207-01</t>
        </is>
      </c>
      <c r="L1502" s="43" t="inlineStr">
        <is>
          <t>Expired</t>
        </is>
      </c>
      <c r="M1502" s="43" t="inlineStr">
        <is>
          <t>68-7406-10</t>
        </is>
      </c>
      <c r="N1502" s="43" t="inlineStr"/>
      <c r="O1502" s="43" t="inlineStr">
        <is>
          <t>2026-09-05</t>
        </is>
      </c>
      <c r="P1502" s="33" t="inlineStr">
        <is>
          <t>Risk Buy Authorization</t>
        </is>
      </c>
      <c r="Q1502" s="43" t="inlineStr">
        <is>
          <t>Maintain marking standards.</t>
        </is>
      </c>
      <c r="R1502" s="43" t="inlineStr">
        <is>
          <t>2026-06-09</t>
        </is>
      </c>
      <c r="S1502" s="43" t="inlineStr">
        <is>
          <t>2026-07-02</t>
        </is>
      </c>
      <c r="T1502" s="43" t="inlineStr"/>
      <c r="U1502" s="43" t="inlineStr"/>
    </row>
    <row r="1503">
      <c r="A1503" s="43" t="n">
        <v>1503</v>
      </c>
      <c r="B1503" s="43" t="inlineStr">
        <is>
          <t>1502</t>
        </is>
      </c>
      <c r="C1503" s="43" t="inlineStr">
        <is>
          <t>FJZP</t>
        </is>
      </c>
      <c r="D1503" s="43" t="inlineStr">
        <is>
          <t>Cisco</t>
        </is>
      </c>
      <c r="E1503" s="43" t="inlineStr">
        <is>
          <t>MCGA</t>
        </is>
      </c>
      <c r="F1503" s="43" t="inlineStr">
        <is>
          <t>239-CRBU</t>
        </is>
      </c>
      <c r="G1503" s="43" t="inlineStr">
        <is>
          <t>CTANJZ05285</t>
        </is>
      </c>
      <c r="H1503" s="43" t="inlineStr">
        <is>
          <t>Risk Buy Authorization Only ¡V No Build/Shipment Allowed (Sustaining Only)</t>
        </is>
      </c>
      <c r="I1503" s="43" t="inlineStr">
        <is>
          <t>Customer Deviation</t>
        </is>
      </c>
      <c r="J1503" s="43" t="inlineStr">
        <is>
          <t>D611828</t>
        </is>
      </c>
      <c r="K1503" s="33" t="inlineStr">
        <is>
          <t>D611828 CRBU: LC4/5 Vanguard/Lancer Daughter Board (28-14421-07 rev01) Material EM528 Risk Buy in anticipation of release of ECO EA619918FJZ / FVN sites to proceed ordering replacement EM528 PCB material CPN - 28-14421-07 as existing CPN material with EM888 is EOL.GCE MPN: 28-14421-07_S201_M207-01ISU MPN: 28-14421-07_S102_M207-01WUS MPN: 28-14421-07_S110_M207-01</t>
        </is>
      </c>
      <c r="L1503" s="43" t="inlineStr">
        <is>
          <t>Expired</t>
        </is>
      </c>
      <c r="M1503" s="43" t="inlineStr">
        <is>
          <t>73-19875-07</t>
        </is>
      </c>
      <c r="N1503" s="43" t="inlineStr"/>
      <c r="O1503" s="43" t="inlineStr">
        <is>
          <t>2026-09-05</t>
        </is>
      </c>
      <c r="P1503" s="33" t="inlineStr">
        <is>
          <t>Risk Buy Authorization</t>
        </is>
      </c>
      <c r="Q1503" s="43" t="inlineStr">
        <is>
          <t>Maintain marking standards.</t>
        </is>
      </c>
      <c r="R1503" s="43" t="inlineStr">
        <is>
          <t>2026-06-09</t>
        </is>
      </c>
      <c r="S1503" s="43" t="inlineStr">
        <is>
          <t>2026-07-02</t>
        </is>
      </c>
      <c r="T1503" s="43" t="inlineStr"/>
      <c r="U1503" s="43" t="inlineStr"/>
    </row>
    <row r="1504">
      <c r="A1504" s="43" t="n">
        <v>1504</v>
      </c>
      <c r="B1504" s="43" t="inlineStr">
        <is>
          <t>1503</t>
        </is>
      </c>
      <c r="C1504" s="43" t="inlineStr">
        <is>
          <t>FJZP</t>
        </is>
      </c>
      <c r="D1504" s="43" t="inlineStr">
        <is>
          <t>Cisco</t>
        </is>
      </c>
      <c r="E1504" s="43" t="inlineStr">
        <is>
          <t>MCGA</t>
        </is>
      </c>
      <c r="F1504" s="43" t="inlineStr">
        <is>
          <t>037-STBU</t>
        </is>
      </c>
      <c r="G1504" s="43" t="inlineStr">
        <is>
          <t>CTANJZ05140</t>
        </is>
      </c>
      <c r="H1504" s="43" t="inlineStr">
        <is>
          <t>Risk Buy Authorization Only ¡V No Build/Shipment Allowed (Sustaining Only)</t>
        </is>
      </c>
      <c r="I1504" s="43" t="inlineStr">
        <is>
          <t>Customer Deviation</t>
        </is>
      </c>
      <c r="J1504" s="43" t="inlineStr">
        <is>
          <t>D609792</t>
        </is>
      </c>
      <c r="K1504" s="33" t="inlineStr">
        <is>
          <t>D609792NGFWBU GQR: GQR000076657 Case: AQR003235642 CPN: 36-0333-01; MFR NAME: MAG LAYERS; MPN: GMLB-160808-0220Y-BK ; WESTMINSTER RACK MOUNT.This deviation instructs Foxconn Juarez (FJZ) to execute a sample buy and conduct a Mfg qual build for the following part(s):BU: NGFWBUPF: F1KLOWAffected TAN(s):68-6432-03Affected Item(s): 73-18489-08CPN: 36-0333-01; MFR NAME: MAG LAYERS; MPN: GMLB-160808-0220Y-BKBuild Qty: 5Ref Des: L34;L38;L39To execute the above AQR at CM site; should be tested on Model A.</t>
        </is>
      </c>
      <c r="L1504" s="43" t="inlineStr">
        <is>
          <t>Expired</t>
        </is>
      </c>
      <c r="M1504" s="43" t="inlineStr">
        <is>
          <t>36-0333-01</t>
        </is>
      </c>
      <c r="N1504" s="43" t="inlineStr"/>
      <c r="O1504" s="43" t="inlineStr">
        <is>
          <t>2026-06-07</t>
        </is>
      </c>
      <c r="P1504" s="33" t="inlineStr">
        <is>
          <t>Risk Buy Authorization;To track an AML qualification build (EXTENDABLE 2x)</t>
        </is>
      </c>
      <c r="Q1504" s="43" t="inlineStr">
        <is>
          <t>NA</t>
        </is>
      </c>
      <c r="R1504" s="43" t="inlineStr">
        <is>
          <t>2026-03-10</t>
        </is>
      </c>
      <c r="S1504" s="43" t="inlineStr">
        <is>
          <t>2026-03-25</t>
        </is>
      </c>
      <c r="T1504" s="43" t="inlineStr"/>
      <c r="U1504" s="43" t="inlineStr"/>
    </row>
    <row r="1505">
      <c r="A1505" s="43" t="n">
        <v>1505</v>
      </c>
      <c r="B1505" s="43" t="inlineStr">
        <is>
          <t>1504</t>
        </is>
      </c>
      <c r="C1505" s="43" t="inlineStr">
        <is>
          <t>FJZP</t>
        </is>
      </c>
      <c r="D1505" s="43" t="inlineStr">
        <is>
          <t>Cisco</t>
        </is>
      </c>
      <c r="E1505" s="43" t="inlineStr">
        <is>
          <t>MCGA</t>
        </is>
      </c>
      <c r="F1505" s="43" t="inlineStr">
        <is>
          <t>037-STBU</t>
        </is>
      </c>
      <c r="G1505" s="43" t="inlineStr">
        <is>
          <t>CTANJZ05169</t>
        </is>
      </c>
      <c r="H1505" s="43" t="inlineStr">
        <is>
          <t>To track an AML qualification build (EXTENDABLE 2x)</t>
        </is>
      </c>
      <c r="I1505" s="43" t="inlineStr">
        <is>
          <t>Customer Deviation</t>
        </is>
      </c>
      <c r="J1505" s="43" t="inlineStr">
        <is>
          <t>D610106</t>
        </is>
      </c>
      <c r="K1505" s="33" t="inlineStr">
        <is>
          <t>D610106 NGFWBU GQR: GQR000081537 Case: AQR003508207 CPN: 15-103518-01; MFR NAME: TOSHIBA; MPN: 74AVC1T45FU;LCF(GTThis deviation instructs Foxconn Juarez (FJZ) to execute a sample buy and conduct a Production Qual build for the following part(s):BU: NGFWBUPF: FPRHIGHAffected TAN(s):68-103466-06Affected Item(s): 73-102435-05CPN: 15-103518-01; MFR NAME: TOSHIBA; MPN: 74AVC1T45FU;LCF(GTBuild Qty: 10Ref Des: U228To execute the above AQR at CM site; should be tested on Model A.</t>
        </is>
      </c>
      <c r="L1505" s="43" t="inlineStr">
        <is>
          <t>Expired</t>
        </is>
      </c>
      <c r="M1505" s="43" t="inlineStr">
        <is>
          <t>15-103518-01</t>
        </is>
      </c>
      <c r="N1505" s="43" t="inlineStr"/>
      <c r="O1505" s="43" t="inlineStr">
        <is>
          <t>2026-06-25</t>
        </is>
      </c>
      <c r="P1505" s="33" t="inlineStr">
        <is>
          <t>To track an AML qualification build (EXTENDABLE 2x);Risk Buy Authorization</t>
        </is>
      </c>
      <c r="Q1505" s="43" t="inlineStr">
        <is>
          <t>NA</t>
        </is>
      </c>
      <c r="R1505" s="43" t="inlineStr">
        <is>
          <t>2026-03-30</t>
        </is>
      </c>
      <c r="S1505" s="43" t="inlineStr">
        <is>
          <t>2026-04-24</t>
        </is>
      </c>
      <c r="T1505" s="43" t="inlineStr"/>
      <c r="U1505" s="43" t="inlineStr"/>
    </row>
    <row r="1506">
      <c r="A1506" s="43" t="n">
        <v>1506</v>
      </c>
      <c r="B1506" s="43" t="inlineStr">
        <is>
          <t>1505</t>
        </is>
      </c>
      <c r="C1506" s="43" t="inlineStr">
        <is>
          <t>FJZP</t>
        </is>
      </c>
      <c r="D1506" s="43" t="inlineStr">
        <is>
          <t>Cisco</t>
        </is>
      </c>
      <c r="E1506" s="43" t="inlineStr">
        <is>
          <t>MCGA</t>
        </is>
      </c>
      <c r="F1506" s="43" t="inlineStr">
        <is>
          <t>037-STBU</t>
        </is>
      </c>
      <c r="G1506" s="43" t="inlineStr">
        <is>
          <t>CTANJZ05169</t>
        </is>
      </c>
      <c r="H1506" s="43" t="inlineStr">
        <is>
          <t>To track an AML qualification build (EXTENDABLE 2x)</t>
        </is>
      </c>
      <c r="I1506" s="43" t="inlineStr">
        <is>
          <t>Customer Deviation</t>
        </is>
      </c>
      <c r="J1506" s="43" t="inlineStr">
        <is>
          <t>D610106</t>
        </is>
      </c>
      <c r="K1506" s="33" t="inlineStr">
        <is>
          <t>D610106 NGFWBU GQR: GQR000081537 Case: AQR003508207 CPN: 15-103518-01; MFR NAME: TOSHIBA; MPN: 74AVC1T45FU;LCF(GTThis deviation instructs Foxconn Juarez (FJZ) to execute a sample buy and conduct a Production Qual build for the following part(s):BU: NGFWBUPF: FPRHIGHAffected TAN(s):68-103466-06Affected Item(s): 73-102435-05CPN: 15-103518-01; MFR NAME: TOSHIBA; MPN: 74AVC1T45FU;LCF(GTBuild Qty: 10Ref Des: U228To execute the above AQR at CM site; should be tested on Model A.</t>
        </is>
      </c>
      <c r="L1506" s="43" t="inlineStr">
        <is>
          <t>Expired</t>
        </is>
      </c>
      <c r="M1506" s="43" t="inlineStr">
        <is>
          <t>73-102435-05</t>
        </is>
      </c>
      <c r="N1506" s="43" t="inlineStr"/>
      <c r="O1506" s="43" t="inlineStr">
        <is>
          <t>2026-06-25</t>
        </is>
      </c>
      <c r="P1506" s="33" t="inlineStr">
        <is>
          <t>To track an AML qualification build (EXTENDABLE 2x);Risk Buy Authorization</t>
        </is>
      </c>
      <c r="Q1506" s="43" t="inlineStr">
        <is>
          <t>NA</t>
        </is>
      </c>
      <c r="R1506" s="43" t="inlineStr">
        <is>
          <t>2026-03-30</t>
        </is>
      </c>
      <c r="S1506" s="43" t="inlineStr">
        <is>
          <t>2026-04-24</t>
        </is>
      </c>
      <c r="T1506" s="43" t="inlineStr"/>
      <c r="U1506" s="43" t="inlineStr"/>
    </row>
    <row r="1507">
      <c r="A1507" s="43" t="n">
        <v>1507</v>
      </c>
      <c r="B1507" s="43" t="inlineStr">
        <is>
          <t>1506</t>
        </is>
      </c>
      <c r="C1507" s="43" t="inlineStr">
        <is>
          <t>FJZP</t>
        </is>
      </c>
      <c r="D1507" s="43" t="inlineStr">
        <is>
          <t>Cisco</t>
        </is>
      </c>
      <c r="E1507" s="43" t="inlineStr">
        <is>
          <t>MCGA</t>
        </is>
      </c>
      <c r="F1507" s="43" t="inlineStr">
        <is>
          <t>037-STBU</t>
        </is>
      </c>
      <c r="G1507" s="43" t="inlineStr">
        <is>
          <t>CTANJZ05171</t>
        </is>
      </c>
      <c r="H1507" s="43" t="inlineStr">
        <is>
          <t>To track an AML qualification build (EXTENDABLE 2x)</t>
        </is>
      </c>
      <c r="I1507" s="43" t="inlineStr">
        <is>
          <t>Customer Deviation</t>
        </is>
      </c>
      <c r="J1507" s="43" t="inlineStr">
        <is>
          <t>D610166</t>
        </is>
      </c>
      <c r="K1507" s="33" t="inlineStr">
        <is>
          <t>D610166 NGFWBU GQR: GQR000076808 Case: AQR003149321 CPN: 15-110393-01; MFR NAME: MICRON TECHNOLOGY; MPN: MTC20C2085S1TC56BD1This deviation instructs Foxconn Juarez (FJZ) to execute a sample buy and conduct a Production Qual build for the following part(s):BU: NGFWBUPF: CSF1200Affected TAN(s):68-104744-04Affected Item(s): 74-139982-01CPN: 15-110393-01; MFR NAME: MICRON TECHNOLOGY; MPN: MTC20C2085S1TC56BD1Build Qty: 5Ref Des: DIMM_MOD0;DIMM_MOD1To execute the above AQR at CM site; should be tested on Model A.</t>
        </is>
      </c>
      <c r="L1507" s="43" t="inlineStr">
        <is>
          <t>Expired</t>
        </is>
      </c>
      <c r="M1507" s="43" t="inlineStr">
        <is>
          <t>15-110393-01</t>
        </is>
      </c>
      <c r="N1507" s="43" t="inlineStr"/>
      <c r="O1507" s="43" t="inlineStr">
        <is>
          <t>2026-06-25</t>
        </is>
      </c>
      <c r="P1507" s="33" t="inlineStr">
        <is>
          <t>To track an AML qualification build (EXTENDABLE 2x);Risk Buy Authorization</t>
        </is>
      </c>
      <c r="Q1507" s="43" t="inlineStr">
        <is>
          <t>NA</t>
        </is>
      </c>
      <c r="R1507" s="43" t="inlineStr">
        <is>
          <t>2026-03-30</t>
        </is>
      </c>
      <c r="S1507" s="43" t="inlineStr">
        <is>
          <t>2026-04-24</t>
        </is>
      </c>
      <c r="T1507" s="43" t="inlineStr"/>
      <c r="U1507" s="43" t="inlineStr"/>
    </row>
    <row r="1508">
      <c r="A1508" s="43" t="n">
        <v>1508</v>
      </c>
      <c r="B1508" s="43" t="inlineStr">
        <is>
          <t>1507</t>
        </is>
      </c>
      <c r="C1508" s="43" t="inlineStr">
        <is>
          <t>FJZP</t>
        </is>
      </c>
      <c r="D1508" s="43" t="inlineStr">
        <is>
          <t>Cisco</t>
        </is>
      </c>
      <c r="E1508" s="43" t="inlineStr">
        <is>
          <t>MCGA</t>
        </is>
      </c>
      <c r="F1508" s="43" t="inlineStr">
        <is>
          <t>037-STBU</t>
        </is>
      </c>
      <c r="G1508" s="43" t="inlineStr">
        <is>
          <t>CTANJZ05171</t>
        </is>
      </c>
      <c r="H1508" s="43" t="inlineStr">
        <is>
          <t>To track an AML qualification build (EXTENDABLE 2x)</t>
        </is>
      </c>
      <c r="I1508" s="43" t="inlineStr">
        <is>
          <t>Customer Deviation</t>
        </is>
      </c>
      <c r="J1508" s="43" t="inlineStr">
        <is>
          <t>D610166</t>
        </is>
      </c>
      <c r="K1508" s="33" t="inlineStr">
        <is>
          <t>D610166 NGFWBU GQR: GQR000076808 Case: AQR003149321 CPN: 15-110393-01; MFR NAME: MICRON TECHNOLOGY; MPN: MTC20C2085S1TC56BD1This deviation instructs Foxconn Juarez (FJZ) to execute a sample buy and conduct a Production Qual build for the following part(s):BU: NGFWBUPF: CSF1200Affected TAN(s):68-104744-04Affected Item(s): 74-139982-01CPN: 15-110393-01; MFR NAME: MICRON TECHNOLOGY; MPN: MTC20C2085S1TC56BD1Build Qty: 5Ref Des: DIMM_MOD0;DIMM_MOD1To execute the above AQR at CM site; should be tested on Model A.</t>
        </is>
      </c>
      <c r="L1508" s="43" t="inlineStr">
        <is>
          <t>Expired</t>
        </is>
      </c>
      <c r="M1508" s="43" t="inlineStr">
        <is>
          <t>74-139982-01</t>
        </is>
      </c>
      <c r="N1508" s="43" t="inlineStr"/>
      <c r="O1508" s="43" t="inlineStr">
        <is>
          <t>2026-06-25</t>
        </is>
      </c>
      <c r="P1508" s="33" t="inlineStr">
        <is>
          <t>To track an AML qualification build (EXTENDABLE 2x);Risk Buy Authorization</t>
        </is>
      </c>
      <c r="Q1508" s="43" t="inlineStr">
        <is>
          <t>NA</t>
        </is>
      </c>
      <c r="R1508" s="43" t="inlineStr">
        <is>
          <t>2026-03-30</t>
        </is>
      </c>
      <c r="S1508" s="43" t="inlineStr">
        <is>
          <t>2026-04-24</t>
        </is>
      </c>
      <c r="T1508" s="43" t="inlineStr"/>
      <c r="U1508" s="43" t="inlineStr"/>
    </row>
    <row r="1509">
      <c r="A1509" s="43" t="n">
        <v>1509</v>
      </c>
      <c r="B1509" s="43" t="inlineStr">
        <is>
          <t>1508</t>
        </is>
      </c>
      <c r="C1509" s="43" t="inlineStr">
        <is>
          <t>FJZP</t>
        </is>
      </c>
      <c r="D1509" s="43" t="inlineStr">
        <is>
          <t>Cisco</t>
        </is>
      </c>
      <c r="E1509" s="43" t="inlineStr">
        <is>
          <t>MCGA</t>
        </is>
      </c>
      <c r="F1509" s="43" t="inlineStr">
        <is>
          <t>037-STBU</t>
        </is>
      </c>
      <c r="G1509" s="43" t="inlineStr">
        <is>
          <t>CTANJZ05335</t>
        </is>
      </c>
      <c r="H1509" s="43" t="inlineStr">
        <is>
          <t>Risk Buy Authorization Only ¡V No Build/Shipment Allowed (Sustaining Only)</t>
        </is>
      </c>
      <c r="I1509" s="43" t="inlineStr">
        <is>
          <t>Customer Deviation</t>
        </is>
      </c>
      <c r="J1509" s="43" t="inlineStr">
        <is>
          <t>D612467</t>
        </is>
      </c>
      <c r="K1509" s="33" t="inlineStr">
        <is>
          <t>D612467 Please see PageThree for details</t>
        </is>
      </c>
      <c r="L1509" s="43" t="inlineStr">
        <is>
          <t>Expired</t>
        </is>
      </c>
      <c r="M1509" s="43" t="inlineStr">
        <is>
          <t>28-101945-03</t>
        </is>
      </c>
      <c r="N1509" s="43" t="inlineStr"/>
      <c r="O1509" s="43" t="inlineStr">
        <is>
          <t>2026-09-29</t>
        </is>
      </c>
      <c r="P1509" s="33" t="inlineStr">
        <is>
          <t>Risk Buy Authorization</t>
        </is>
      </c>
      <c r="Q1509" s="43" t="inlineStr">
        <is>
          <t>N/A</t>
        </is>
      </c>
      <c r="R1509" s="43" t="inlineStr">
        <is>
          <t>2026-07-03</t>
        </is>
      </c>
      <c r="S1509" s="43" t="inlineStr">
        <is>
          <t>2026-07-16</t>
        </is>
      </c>
      <c r="T1509" s="43" t="inlineStr"/>
      <c r="U1509" s="43" t="inlineStr"/>
    </row>
    <row r="1510">
      <c r="A1510" s="43" t="n">
        <v>1510</v>
      </c>
      <c r="B1510" s="43" t="inlineStr">
        <is>
          <t>1509</t>
        </is>
      </c>
      <c r="C1510" s="43" t="inlineStr">
        <is>
          <t>FJZP</t>
        </is>
      </c>
      <c r="D1510" s="43" t="inlineStr">
        <is>
          <t>Cisco</t>
        </is>
      </c>
      <c r="E1510" s="43" t="inlineStr">
        <is>
          <t>MCGA</t>
        </is>
      </c>
      <c r="F1510" s="43" t="inlineStr">
        <is>
          <t>037-STBU</t>
        </is>
      </c>
      <c r="G1510" s="43" t="inlineStr">
        <is>
          <t>CTANJZ05335</t>
        </is>
      </c>
      <c r="H1510" s="43" t="inlineStr">
        <is>
          <t>Risk Buy Authorization Only ¡V No Build/Shipment Allowed (Sustaining Only)</t>
        </is>
      </c>
      <c r="I1510" s="43" t="inlineStr">
        <is>
          <t>Customer Deviation</t>
        </is>
      </c>
      <c r="J1510" s="43" t="inlineStr">
        <is>
          <t>D612467</t>
        </is>
      </c>
      <c r="K1510" s="33" t="inlineStr">
        <is>
          <t>D612467 Please see PageThree for details</t>
        </is>
      </c>
      <c r="L1510" s="43" t="inlineStr">
        <is>
          <t>Expired</t>
        </is>
      </c>
      <c r="M1510" s="43" t="inlineStr">
        <is>
          <t>28-101946-03</t>
        </is>
      </c>
      <c r="N1510" s="43" t="inlineStr"/>
      <c r="O1510" s="43" t="inlineStr">
        <is>
          <t>2026-09-29</t>
        </is>
      </c>
      <c r="P1510" s="33" t="inlineStr">
        <is>
          <t>Risk Buy Authorization</t>
        </is>
      </c>
      <c r="Q1510" s="43" t="inlineStr">
        <is>
          <t>N/A</t>
        </is>
      </c>
      <c r="R1510" s="43" t="inlineStr">
        <is>
          <t>2026-07-03</t>
        </is>
      </c>
      <c r="S1510" s="43" t="inlineStr">
        <is>
          <t>2026-07-16</t>
        </is>
      </c>
      <c r="T1510" s="43" t="inlineStr"/>
      <c r="U1510" s="43" t="inlineStr"/>
    </row>
    <row r="1511">
      <c r="A1511" s="43" t="n">
        <v>1511</v>
      </c>
      <c r="B1511" s="43" t="inlineStr">
        <is>
          <t>1510</t>
        </is>
      </c>
      <c r="C1511" s="43" t="inlineStr">
        <is>
          <t>FJZP</t>
        </is>
      </c>
      <c r="D1511" s="43" t="inlineStr">
        <is>
          <t>Cisco</t>
        </is>
      </c>
      <c r="E1511" s="43" t="inlineStr">
        <is>
          <t>MCGA</t>
        </is>
      </c>
      <c r="F1511" s="43" t="inlineStr">
        <is>
          <t>037-STBU</t>
        </is>
      </c>
      <c r="G1511" s="43" t="inlineStr">
        <is>
          <t>CTANJZ05335</t>
        </is>
      </c>
      <c r="H1511" s="43" t="inlineStr">
        <is>
          <t>Risk Buy Authorization Only ¡V No Build/Shipment Allowed (Sustaining Only)</t>
        </is>
      </c>
      <c r="I1511" s="43" t="inlineStr">
        <is>
          <t>Customer Deviation</t>
        </is>
      </c>
      <c r="J1511" s="43" t="inlineStr">
        <is>
          <t>D612467</t>
        </is>
      </c>
      <c r="K1511" s="33" t="inlineStr">
        <is>
          <t>D612467 Please see PageThree for details</t>
        </is>
      </c>
      <c r="L1511" s="43" t="inlineStr">
        <is>
          <t>Expired</t>
        </is>
      </c>
      <c r="M1511" s="43" t="inlineStr">
        <is>
          <t>28-102178-04</t>
        </is>
      </c>
      <c r="N1511" s="43" t="inlineStr"/>
      <c r="O1511" s="43" t="inlineStr">
        <is>
          <t>2026-09-29</t>
        </is>
      </c>
      <c r="P1511" s="33" t="inlineStr">
        <is>
          <t>Risk Buy Authorization</t>
        </is>
      </c>
      <c r="Q1511" s="43" t="inlineStr">
        <is>
          <t>N/A</t>
        </is>
      </c>
      <c r="R1511" s="43" t="inlineStr">
        <is>
          <t>2026-07-03</t>
        </is>
      </c>
      <c r="S1511" s="43" t="inlineStr">
        <is>
          <t>2026-07-16</t>
        </is>
      </c>
      <c r="T1511" s="43" t="inlineStr"/>
      <c r="U1511" s="43" t="inlineStr"/>
    </row>
    <row r="1512">
      <c r="A1512" s="43" t="n">
        <v>1512</v>
      </c>
      <c r="B1512" s="43" t="inlineStr">
        <is>
          <t>1511</t>
        </is>
      </c>
      <c r="C1512" s="43" t="inlineStr">
        <is>
          <t>FJZP</t>
        </is>
      </c>
      <c r="D1512" s="43" t="inlineStr">
        <is>
          <t>Cisco</t>
        </is>
      </c>
      <c r="E1512" s="43" t="inlineStr">
        <is>
          <t>MCGA</t>
        </is>
      </c>
      <c r="F1512" s="43" t="inlineStr">
        <is>
          <t>037-STBU</t>
        </is>
      </c>
      <c r="G1512" s="43" t="inlineStr">
        <is>
          <t>CTANJZ05335</t>
        </is>
      </c>
      <c r="H1512" s="43" t="inlineStr">
        <is>
          <t>Risk Buy Authorization Only ¡V No Build/Shipment Allowed (Sustaining Only)</t>
        </is>
      </c>
      <c r="I1512" s="43" t="inlineStr">
        <is>
          <t>Customer Deviation</t>
        </is>
      </c>
      <c r="J1512" s="43" t="inlineStr">
        <is>
          <t>D612467</t>
        </is>
      </c>
      <c r="K1512" s="33" t="inlineStr">
        <is>
          <t>D612467 Please see PageThree for details</t>
        </is>
      </c>
      <c r="L1512" s="43" t="inlineStr">
        <is>
          <t>Expired</t>
        </is>
      </c>
      <c r="M1512" s="43" t="inlineStr">
        <is>
          <t>28-102180-04</t>
        </is>
      </c>
      <c r="N1512" s="43" t="inlineStr"/>
      <c r="O1512" s="43" t="inlineStr">
        <is>
          <t>2026-09-29</t>
        </is>
      </c>
      <c r="P1512" s="33" t="inlineStr">
        <is>
          <t>Risk Buy Authorization</t>
        </is>
      </c>
      <c r="Q1512" s="43" t="inlineStr">
        <is>
          <t>N/A</t>
        </is>
      </c>
      <c r="R1512" s="43" t="inlineStr">
        <is>
          <t>2026-07-03</t>
        </is>
      </c>
      <c r="S1512" s="43" t="inlineStr">
        <is>
          <t>2026-07-16</t>
        </is>
      </c>
      <c r="T1512" s="43" t="inlineStr"/>
      <c r="U1512" s="43" t="inlineStr"/>
    </row>
    <row r="1513">
      <c r="A1513" s="43" t="n">
        <v>1513</v>
      </c>
      <c r="B1513" s="43" t="inlineStr">
        <is>
          <t>1512</t>
        </is>
      </c>
      <c r="C1513" s="43" t="inlineStr">
        <is>
          <t>FJZP</t>
        </is>
      </c>
      <c r="D1513" s="43" t="inlineStr">
        <is>
          <t>Cisco</t>
        </is>
      </c>
      <c r="E1513" s="43" t="inlineStr">
        <is>
          <t>MCGA</t>
        </is>
      </c>
      <c r="F1513" s="43" t="inlineStr">
        <is>
          <t>037-STBU</t>
        </is>
      </c>
      <c r="G1513" s="43" t="inlineStr">
        <is>
          <t>CTANJZ05335</t>
        </is>
      </c>
      <c r="H1513" s="43" t="inlineStr">
        <is>
          <t>Risk Buy Authorization Only ¡V No Build/Shipment Allowed (Sustaining Only)</t>
        </is>
      </c>
      <c r="I1513" s="43" t="inlineStr">
        <is>
          <t>Customer Deviation</t>
        </is>
      </c>
      <c r="J1513" s="43" t="inlineStr">
        <is>
          <t>D612467</t>
        </is>
      </c>
      <c r="K1513" s="33" t="inlineStr">
        <is>
          <t>D612467 Please see PageThree for details</t>
        </is>
      </c>
      <c r="L1513" s="43" t="inlineStr">
        <is>
          <t>Expired</t>
        </is>
      </c>
      <c r="M1513" s="43" t="inlineStr">
        <is>
          <t>28-102297-04</t>
        </is>
      </c>
      <c r="N1513" s="43" t="inlineStr"/>
      <c r="O1513" s="43" t="inlineStr">
        <is>
          <t>2026-09-29</t>
        </is>
      </c>
      <c r="P1513" s="33" t="inlineStr">
        <is>
          <t>Risk Buy Authorization</t>
        </is>
      </c>
      <c r="Q1513" s="43" t="inlineStr">
        <is>
          <t>N/A</t>
        </is>
      </c>
      <c r="R1513" s="43" t="inlineStr">
        <is>
          <t>2026-07-03</t>
        </is>
      </c>
      <c r="S1513" s="43" t="inlineStr">
        <is>
          <t>2026-07-16</t>
        </is>
      </c>
      <c r="T1513" s="43" t="inlineStr"/>
      <c r="U1513" s="43" t="inlineStr"/>
    </row>
    <row r="1514">
      <c r="A1514" s="43" t="n">
        <v>1514</v>
      </c>
      <c r="B1514" s="43" t="inlineStr">
        <is>
          <t>1513</t>
        </is>
      </c>
      <c r="C1514" s="43" t="inlineStr">
        <is>
          <t>FJZP</t>
        </is>
      </c>
      <c r="D1514" s="43" t="inlineStr">
        <is>
          <t>Cisco</t>
        </is>
      </c>
      <c r="E1514" s="43" t="inlineStr">
        <is>
          <t>MCGA</t>
        </is>
      </c>
      <c r="F1514" s="43" t="inlineStr">
        <is>
          <t>037-STBU</t>
        </is>
      </c>
      <c r="G1514" s="43" t="inlineStr">
        <is>
          <t>CTANJZ05335</t>
        </is>
      </c>
      <c r="H1514" s="43" t="inlineStr">
        <is>
          <t>Risk Buy Authorization Only ¡V No Build/Shipment Allowed (Sustaining Only)</t>
        </is>
      </c>
      <c r="I1514" s="43" t="inlineStr">
        <is>
          <t>Customer Deviation</t>
        </is>
      </c>
      <c r="J1514" s="43" t="inlineStr">
        <is>
          <t>D612467</t>
        </is>
      </c>
      <c r="K1514" s="33" t="inlineStr">
        <is>
          <t>D612467 Please see PageThree for details</t>
        </is>
      </c>
      <c r="L1514" s="43" t="inlineStr">
        <is>
          <t>Expired</t>
        </is>
      </c>
      <c r="M1514" s="43" t="inlineStr">
        <is>
          <t>28-102298-03</t>
        </is>
      </c>
      <c r="N1514" s="43" t="inlineStr"/>
      <c r="O1514" s="43" t="inlineStr">
        <is>
          <t>2026-09-29</t>
        </is>
      </c>
      <c r="P1514" s="33" t="inlineStr">
        <is>
          <t>Risk Buy Authorization</t>
        </is>
      </c>
      <c r="Q1514" s="43" t="inlineStr">
        <is>
          <t>N/A</t>
        </is>
      </c>
      <c r="R1514" s="43" t="inlineStr">
        <is>
          <t>2026-07-03</t>
        </is>
      </c>
      <c r="S1514" s="43" t="inlineStr">
        <is>
          <t>2026-07-16</t>
        </is>
      </c>
      <c r="T1514" s="43" t="inlineStr"/>
      <c r="U1514" s="43" t="inlineStr"/>
    </row>
    <row r="1515">
      <c r="A1515" s="43" t="n">
        <v>1515</v>
      </c>
      <c r="B1515" s="43" t="inlineStr">
        <is>
          <t>1514</t>
        </is>
      </c>
      <c r="C1515" s="43" t="inlineStr">
        <is>
          <t>FJZP</t>
        </is>
      </c>
      <c r="D1515" s="43" t="inlineStr">
        <is>
          <t>Cisco</t>
        </is>
      </c>
      <c r="E1515" s="43" t="inlineStr">
        <is>
          <t>MCGA</t>
        </is>
      </c>
      <c r="F1515" s="43" t="inlineStr">
        <is>
          <t>239-CRBU</t>
        </is>
      </c>
      <c r="G1515" s="43" t="inlineStr">
        <is>
          <t>CTANJZ05190</t>
        </is>
      </c>
      <c r="H1515" s="43" t="inlineStr">
        <is>
          <t>Risk Buy Authorization Only ¡V No Build/Shipment Allowed (Sustaining Only)</t>
        </is>
      </c>
      <c r="I1515" s="43" t="inlineStr">
        <is>
          <t>Customer Deviation</t>
        </is>
      </c>
      <c r="J1515" s="43" t="inlineStr">
        <is>
          <t>D610571</t>
        </is>
      </c>
      <c r="K1515" s="33" t="inlineStr">
        <is>
          <t>D610571 Risk Buy for LC4/5 to prepare for the rollout of ECO EA619918LC4 ComponentsMultiplier: 1200 units per BOM QTY15-110847-01 replaces 15-9669-03; BOM QTY 5; U104; U157; U2_13; Total Purchase QTY 600017-16031-07 replaces 17-16031-04; BOM QTY1 U9; Total Purchase QTY 120019-100823-01 replaces 19-100510-0 BOM QTY 1; 1 U316; Total Purchase Total Purchase 120019-100849-01 replaces 19-100493-01; BOM QTY 1 U100; Total Purchase 120019-100850-01 replaces 19-1364-01; BOM QTY 1 U66; Total Purchase 1200LC5 ComponentsMultiplier: 3;000 units per BOM QTY17-16031-07 replaces 17-16031-06; BOM QTY 1; U9; Total Purchase 300025-100310-01 replaces 25-1283-01; BOM QTY 36; Total Purchase 108;000</t>
        </is>
      </c>
      <c r="L1515" s="43" t="inlineStr">
        <is>
          <t>Expired</t>
        </is>
      </c>
      <c r="M1515" s="43" t="inlineStr">
        <is>
          <t>19-100493-01</t>
        </is>
      </c>
      <c r="N1515" s="43" t="inlineStr"/>
      <c r="O1515" s="43" t="inlineStr">
        <is>
          <t>2026-07-05</t>
        </is>
      </c>
      <c r="P1515" s="33" t="inlineStr">
        <is>
          <t>Risk Buy Authorization</t>
        </is>
      </c>
      <c r="Q1515" s="43" t="inlineStr">
        <is>
          <t>Store parts in a secure place with a label that states "For LC4/5 use only after release of ECO EA619918 "</t>
        </is>
      </c>
      <c r="R1515" s="43" t="inlineStr">
        <is>
          <t>2026-04-07</t>
        </is>
      </c>
      <c r="S1515" s="43" t="inlineStr">
        <is>
          <t>2026-05-05</t>
        </is>
      </c>
      <c r="T1515" s="43" t="inlineStr"/>
      <c r="U1515" s="43" t="inlineStr"/>
    </row>
    <row r="1516">
      <c r="A1516" s="43" t="n">
        <v>1516</v>
      </c>
      <c r="B1516" s="43" t="inlineStr">
        <is>
          <t>1515</t>
        </is>
      </c>
      <c r="C1516" s="43" t="inlineStr">
        <is>
          <t>FJZP</t>
        </is>
      </c>
      <c r="D1516" s="43" t="inlineStr">
        <is>
          <t>Cisco</t>
        </is>
      </c>
      <c r="E1516" s="43" t="inlineStr">
        <is>
          <t>MCGA</t>
        </is>
      </c>
      <c r="F1516" s="43" t="inlineStr">
        <is>
          <t>239-CRBU</t>
        </is>
      </c>
      <c r="G1516" s="43" t="inlineStr">
        <is>
          <t>CTANJZ05190</t>
        </is>
      </c>
      <c r="H1516" s="43" t="inlineStr">
        <is>
          <t>Risk Buy Authorization Only ¡V No Build/Shipment Allowed (Sustaining Only)</t>
        </is>
      </c>
      <c r="I1516" s="43" t="inlineStr">
        <is>
          <t>Customer Deviation</t>
        </is>
      </c>
      <c r="J1516" s="43" t="inlineStr">
        <is>
          <t>D610571</t>
        </is>
      </c>
      <c r="K1516" s="33" t="inlineStr">
        <is>
          <t>D610571 Risk Buy for LC4/5 to prepare for the rollout of ECO EA619918LC4 ComponentsMultiplier: 1200 units per BOM QTY15-110847-01 replaces 15-9669-03; BOM QTY 5; U104; U157; U2_13; Total Purchase QTY 600017-16031-07 replaces 17-16031-04; BOM QTY1 U9; Total Purchase QTY 120019-100823-01 replaces 19-100510-0 BOM QTY 1; 1 U316; Total Purchase Total Purchase 120019-100849-01 replaces 19-100493-01; BOM QTY 1 U100; Total Purchase 120019-100850-01 replaces 19-1364-01; BOM QTY 1 U66; Total Purchase 1200LC5 ComponentsMultiplier: 3;000 units per BOM QTY17-16031-07 replaces 17-16031-06; BOM QTY 1; U9; Total Purchase 300025-100310-01 replaces 25-1283-01; BOM QTY 36; Total Purchase 108;000</t>
        </is>
      </c>
      <c r="L1516" s="43" t="inlineStr">
        <is>
          <t>Expired</t>
        </is>
      </c>
      <c r="M1516" s="43" t="inlineStr">
        <is>
          <t>19-100510-01</t>
        </is>
      </c>
      <c r="N1516" s="43" t="inlineStr"/>
      <c r="O1516" s="43" t="inlineStr">
        <is>
          <t>2026-07-05</t>
        </is>
      </c>
      <c r="P1516" s="33" t="inlineStr">
        <is>
          <t>Risk Buy Authorization</t>
        </is>
      </c>
      <c r="Q1516" s="43" t="inlineStr">
        <is>
          <t>Store parts in a secure place with a label that states "For LC4/5 use only after release of ECO EA619918 "</t>
        </is>
      </c>
      <c r="R1516" s="43" t="inlineStr">
        <is>
          <t>2026-04-07</t>
        </is>
      </c>
      <c r="S1516" s="43" t="inlineStr">
        <is>
          <t>2026-05-05</t>
        </is>
      </c>
      <c r="T1516" s="43" t="inlineStr"/>
      <c r="U1516" s="43" t="inlineStr"/>
    </row>
    <row r="1517">
      <c r="A1517" s="43" t="n">
        <v>1517</v>
      </c>
      <c r="B1517" s="43" t="inlineStr">
        <is>
          <t>1516</t>
        </is>
      </c>
      <c r="C1517" s="43" t="inlineStr">
        <is>
          <t>FJZP</t>
        </is>
      </c>
      <c r="D1517" s="43" t="inlineStr">
        <is>
          <t>Cisco</t>
        </is>
      </c>
      <c r="E1517" s="43" t="inlineStr">
        <is>
          <t>MCGA</t>
        </is>
      </c>
      <c r="F1517" s="43" t="inlineStr">
        <is>
          <t>239-CRBU</t>
        </is>
      </c>
      <c r="G1517" s="43" t="inlineStr">
        <is>
          <t>CTANJZ05190</t>
        </is>
      </c>
      <c r="H1517" s="43" t="inlineStr">
        <is>
          <t>Risk Buy Authorization Only ¡V No Build/Shipment Allowed (Sustaining Only)</t>
        </is>
      </c>
      <c r="I1517" s="43" t="inlineStr">
        <is>
          <t>Customer Deviation</t>
        </is>
      </c>
      <c r="J1517" s="43" t="inlineStr">
        <is>
          <t>D610571</t>
        </is>
      </c>
      <c r="K1517" s="33" t="inlineStr">
        <is>
          <t>D610571 Risk Buy for LC4/5 to prepare for the rollout of ECO EA619918LC4 ComponentsMultiplier: 1200 units per BOM QTY15-110847-01 replaces 15-9669-03; BOM QTY 5; U104; U157; U2_13; Total Purchase QTY 600017-16031-07 replaces 17-16031-04; BOM QTY1 U9; Total Purchase QTY 120019-100823-01 replaces 19-100510-0 BOM QTY 1; 1 U316; Total Purchase Total Purchase 120019-100849-01 replaces 19-100493-01; BOM QTY 1 U100; Total Purchase 120019-100850-01 replaces 19-1364-01; BOM QTY 1 U66; Total Purchase 1200LC5 ComponentsMultiplier: 3;000 units per BOM QTY17-16031-07 replaces 17-16031-06; BOM QTY 1; U9; Total Purchase 300025-100310-01 replaces 25-1283-01; BOM QTY 36; Total Purchase 108;000</t>
        </is>
      </c>
      <c r="L1517" s="43" t="inlineStr">
        <is>
          <t>Expired</t>
        </is>
      </c>
      <c r="M1517" s="43" t="inlineStr">
        <is>
          <t>19-1364-01</t>
        </is>
      </c>
      <c r="N1517" s="43" t="inlineStr"/>
      <c r="O1517" s="43" t="inlineStr">
        <is>
          <t>2026-07-05</t>
        </is>
      </c>
      <c r="P1517" s="33" t="inlineStr">
        <is>
          <t>Risk Buy Authorization</t>
        </is>
      </c>
      <c r="Q1517" s="43" t="inlineStr">
        <is>
          <t>Store parts in a secure place with a label that states "For LC4/5 use only after release of ECO EA619918 "</t>
        </is>
      </c>
      <c r="R1517" s="43" t="inlineStr">
        <is>
          <t>2026-04-07</t>
        </is>
      </c>
      <c r="S1517" s="43" t="inlineStr">
        <is>
          <t>2026-05-05</t>
        </is>
      </c>
      <c r="T1517" s="43" t="inlineStr"/>
      <c r="U1517" s="43" t="inlineStr"/>
    </row>
    <row r="1518">
      <c r="A1518" s="43" t="n">
        <v>1518</v>
      </c>
      <c r="B1518" s="43" t="inlineStr">
        <is>
          <t>1517</t>
        </is>
      </c>
      <c r="C1518" s="43" t="inlineStr">
        <is>
          <t>FJZP</t>
        </is>
      </c>
      <c r="D1518" s="43" t="inlineStr">
        <is>
          <t>Cisco</t>
        </is>
      </c>
      <c r="E1518" s="43" t="inlineStr">
        <is>
          <t>MCGA</t>
        </is>
      </c>
      <c r="F1518" s="43" t="inlineStr">
        <is>
          <t>037-STBU</t>
        </is>
      </c>
      <c r="G1518" s="43" t="inlineStr">
        <is>
          <t>CTANJZ05337</t>
        </is>
      </c>
      <c r="H1518" s="43" t="inlineStr">
        <is>
          <t>Risk Buy Authorization Only ¡V No Build/Shipment Allowed (Sustaining Only)</t>
        </is>
      </c>
      <c r="I1518" s="43" t="inlineStr">
        <is>
          <t>Customer Deviation</t>
        </is>
      </c>
      <c r="J1518" s="43" t="inlineStr">
        <is>
          <t>D612448</t>
        </is>
      </c>
      <c r="K1518" s="33" t="inlineStr">
        <is>
          <t>D612448 Please see PageThree for details</t>
        </is>
      </c>
      <c r="L1518" s="43" t="inlineStr">
        <is>
          <t>Expired</t>
        </is>
      </c>
      <c r="M1518" s="43" t="inlineStr">
        <is>
          <t>28-101945-03</t>
        </is>
      </c>
      <c r="N1518" s="43" t="inlineStr"/>
      <c r="O1518" s="43" t="inlineStr">
        <is>
          <t>2026-09-30</t>
        </is>
      </c>
      <c r="P1518" s="33" t="inlineStr">
        <is>
          <t>Risk Buy Authorization</t>
        </is>
      </c>
      <c r="Q1518" s="43" t="inlineStr">
        <is>
          <t>N/A</t>
        </is>
      </c>
      <c r="R1518" s="43" t="inlineStr">
        <is>
          <t>2026-07-03</t>
        </is>
      </c>
      <c r="S1518" s="43" t="inlineStr">
        <is>
          <t>2026-07-16</t>
        </is>
      </c>
      <c r="T1518" s="43" t="inlineStr"/>
      <c r="U1518" s="43" t="inlineStr"/>
    </row>
    <row r="1519">
      <c r="A1519" s="43" t="n">
        <v>1519</v>
      </c>
      <c r="B1519" s="43" t="inlineStr">
        <is>
          <t>1518</t>
        </is>
      </c>
      <c r="C1519" s="43" t="inlineStr">
        <is>
          <t>FJZP</t>
        </is>
      </c>
      <c r="D1519" s="43" t="inlineStr">
        <is>
          <t>Cisco</t>
        </is>
      </c>
      <c r="E1519" s="43" t="inlineStr">
        <is>
          <t>MCGA</t>
        </is>
      </c>
      <c r="F1519" s="43" t="inlineStr">
        <is>
          <t>037-STBU</t>
        </is>
      </c>
      <c r="G1519" s="43" t="inlineStr">
        <is>
          <t>CTANJZ05337</t>
        </is>
      </c>
      <c r="H1519" s="43" t="inlineStr">
        <is>
          <t>Risk Buy Authorization Only ¡V No Build/Shipment Allowed (Sustaining Only)</t>
        </is>
      </c>
      <c r="I1519" s="43" t="inlineStr">
        <is>
          <t>Customer Deviation</t>
        </is>
      </c>
      <c r="J1519" s="43" t="inlineStr">
        <is>
          <t>D612448</t>
        </is>
      </c>
      <c r="K1519" s="33" t="inlineStr">
        <is>
          <t>D612448 Please see PageThree for details</t>
        </is>
      </c>
      <c r="L1519" s="43" t="inlineStr">
        <is>
          <t>Expired</t>
        </is>
      </c>
      <c r="M1519" s="43" t="inlineStr">
        <is>
          <t>28-101946-03</t>
        </is>
      </c>
      <c r="N1519" s="43" t="inlineStr"/>
      <c r="O1519" s="43" t="inlineStr">
        <is>
          <t>2026-09-30</t>
        </is>
      </c>
      <c r="P1519" s="33" t="inlineStr">
        <is>
          <t>Risk Buy Authorization</t>
        </is>
      </c>
      <c r="Q1519" s="43" t="inlineStr">
        <is>
          <t>N/A</t>
        </is>
      </c>
      <c r="R1519" s="43" t="inlineStr">
        <is>
          <t>2026-07-03</t>
        </is>
      </c>
      <c r="S1519" s="43" t="inlineStr">
        <is>
          <t>2026-07-16</t>
        </is>
      </c>
      <c r="T1519" s="43" t="inlineStr"/>
      <c r="U1519" s="43" t="inlineStr"/>
    </row>
    <row r="1520">
      <c r="A1520" s="43" t="n">
        <v>1520</v>
      </c>
      <c r="B1520" s="43" t="inlineStr">
        <is>
          <t>1519</t>
        </is>
      </c>
      <c r="C1520" s="43" t="inlineStr">
        <is>
          <t>FJZP</t>
        </is>
      </c>
      <c r="D1520" s="43" t="inlineStr">
        <is>
          <t>Cisco</t>
        </is>
      </c>
      <c r="E1520" s="43" t="inlineStr">
        <is>
          <t>MCGA</t>
        </is>
      </c>
      <c r="F1520" s="43" t="inlineStr">
        <is>
          <t>037-STBU</t>
        </is>
      </c>
      <c r="G1520" s="43" t="inlineStr">
        <is>
          <t>CTANJZ05337</t>
        </is>
      </c>
      <c r="H1520" s="43" t="inlineStr">
        <is>
          <t>Risk Buy Authorization Only ¡V No Build/Shipment Allowed (Sustaining Only)</t>
        </is>
      </c>
      <c r="I1520" s="43" t="inlineStr">
        <is>
          <t>Customer Deviation</t>
        </is>
      </c>
      <c r="J1520" s="43" t="inlineStr">
        <is>
          <t>D612448</t>
        </is>
      </c>
      <c r="K1520" s="33" t="inlineStr">
        <is>
          <t>D612448 Please see PageThree for details</t>
        </is>
      </c>
      <c r="L1520" s="43" t="inlineStr">
        <is>
          <t>Expired</t>
        </is>
      </c>
      <c r="M1520" s="43" t="inlineStr">
        <is>
          <t>28-102311-04</t>
        </is>
      </c>
      <c r="N1520" s="43" t="inlineStr"/>
      <c r="O1520" s="43" t="inlineStr">
        <is>
          <t>2026-09-30</t>
        </is>
      </c>
      <c r="P1520" s="33" t="inlineStr">
        <is>
          <t>Risk Buy Authorization</t>
        </is>
      </c>
      <c r="Q1520" s="43" t="inlineStr">
        <is>
          <t>N/A</t>
        </is>
      </c>
      <c r="R1520" s="43" t="inlineStr">
        <is>
          <t>2026-07-03</t>
        </is>
      </c>
      <c r="S1520" s="43" t="inlineStr">
        <is>
          <t>2026-07-16</t>
        </is>
      </c>
      <c r="T1520" s="43" t="inlineStr"/>
      <c r="U1520" s="43" t="inlineStr"/>
    </row>
    <row r="1521">
      <c r="A1521" s="43" t="n">
        <v>1521</v>
      </c>
      <c r="B1521" s="43" t="inlineStr">
        <is>
          <t>1520</t>
        </is>
      </c>
      <c r="C1521" s="43" t="inlineStr">
        <is>
          <t>FJZP</t>
        </is>
      </c>
      <c r="D1521" s="43" t="inlineStr">
        <is>
          <t>Cisco</t>
        </is>
      </c>
      <c r="E1521" s="43" t="inlineStr">
        <is>
          <t>MCGA</t>
        </is>
      </c>
      <c r="F1521" s="43" t="inlineStr">
        <is>
          <t>037-STBU</t>
        </is>
      </c>
      <c r="G1521" s="43" t="inlineStr">
        <is>
          <t>CTANJZ05337</t>
        </is>
      </c>
      <c r="H1521" s="43" t="inlineStr">
        <is>
          <t>Risk Buy Authorization Only ¡V No Build/Shipment Allowed (Sustaining Only)</t>
        </is>
      </c>
      <c r="I1521" s="43" t="inlineStr">
        <is>
          <t>Customer Deviation</t>
        </is>
      </c>
      <c r="J1521" s="43" t="inlineStr">
        <is>
          <t>D612448</t>
        </is>
      </c>
      <c r="K1521" s="33" t="inlineStr">
        <is>
          <t>D612448 Please see PageThree for details</t>
        </is>
      </c>
      <c r="L1521" s="43" t="inlineStr">
        <is>
          <t>Expired</t>
        </is>
      </c>
      <c r="M1521" s="43" t="inlineStr">
        <is>
          <t>28-102686-01</t>
        </is>
      </c>
      <c r="N1521" s="43" t="inlineStr"/>
      <c r="O1521" s="43" t="inlineStr">
        <is>
          <t>2026-09-30</t>
        </is>
      </c>
      <c r="P1521" s="33" t="inlineStr">
        <is>
          <t>Risk Buy Authorization</t>
        </is>
      </c>
      <c r="Q1521" s="43" t="inlineStr">
        <is>
          <t>N/A</t>
        </is>
      </c>
      <c r="R1521" s="43" t="inlineStr">
        <is>
          <t>2026-07-03</t>
        </is>
      </c>
      <c r="S1521" s="43" t="inlineStr">
        <is>
          <t>2026-07-16</t>
        </is>
      </c>
      <c r="T1521" s="43" t="inlineStr"/>
      <c r="U1521" s="43" t="inlineStr"/>
    </row>
    <row r="1522">
      <c r="A1522" s="43" t="n">
        <v>1522</v>
      </c>
      <c r="B1522" s="43" t="inlineStr">
        <is>
          <t>1521</t>
        </is>
      </c>
      <c r="C1522" s="43" t="inlineStr">
        <is>
          <t>FJZP</t>
        </is>
      </c>
      <c r="D1522" s="43" t="inlineStr">
        <is>
          <t>Cisco</t>
        </is>
      </c>
      <c r="E1522" s="43" t="inlineStr">
        <is>
          <t>MCGA</t>
        </is>
      </c>
      <c r="F1522" s="43" t="inlineStr">
        <is>
          <t>037-STBU</t>
        </is>
      </c>
      <c r="G1522" s="43" t="inlineStr">
        <is>
          <t>CTANJZ05337</t>
        </is>
      </c>
      <c r="H1522" s="43" t="inlineStr">
        <is>
          <t>Risk Buy Authorization Only ¡V No Build/Shipment Allowed (Sustaining Only)</t>
        </is>
      </c>
      <c r="I1522" s="43" t="inlineStr">
        <is>
          <t>Customer Deviation</t>
        </is>
      </c>
      <c r="J1522" s="43" t="inlineStr">
        <is>
          <t>D612448</t>
        </is>
      </c>
      <c r="K1522" s="33" t="inlineStr">
        <is>
          <t>D612448 Please see PageThree for details</t>
        </is>
      </c>
      <c r="L1522" s="43" t="inlineStr">
        <is>
          <t>Expired</t>
        </is>
      </c>
      <c r="M1522" s="43" t="inlineStr">
        <is>
          <t>28-102915-02</t>
        </is>
      </c>
      <c r="N1522" s="43" t="inlineStr"/>
      <c r="O1522" s="43" t="inlineStr">
        <is>
          <t>2026-09-30</t>
        </is>
      </c>
      <c r="P1522" s="33" t="inlineStr">
        <is>
          <t>Risk Buy Authorization</t>
        </is>
      </c>
      <c r="Q1522" s="43" t="inlineStr">
        <is>
          <t>N/A</t>
        </is>
      </c>
      <c r="R1522" s="43" t="inlineStr">
        <is>
          <t>2026-07-03</t>
        </is>
      </c>
      <c r="S1522" s="43" t="inlineStr">
        <is>
          <t>2026-07-16</t>
        </is>
      </c>
      <c r="T1522" s="43" t="inlineStr"/>
      <c r="U1522" s="43" t="inlineStr"/>
    </row>
    <row r="1523">
      <c r="A1523" s="43" t="n">
        <v>1523</v>
      </c>
      <c r="B1523" s="43" t="inlineStr">
        <is>
          <t>1522</t>
        </is>
      </c>
      <c r="C1523" s="43" t="inlineStr">
        <is>
          <t>FJZP</t>
        </is>
      </c>
      <c r="D1523" s="43" t="inlineStr">
        <is>
          <t>Cisco</t>
        </is>
      </c>
      <c r="E1523" s="43" t="inlineStr">
        <is>
          <t>MCGA</t>
        </is>
      </c>
      <c r="F1523" s="43" t="inlineStr">
        <is>
          <t>037-STBU</t>
        </is>
      </c>
      <c r="G1523" s="43" t="inlineStr">
        <is>
          <t>CTANJZ05337</t>
        </is>
      </c>
      <c r="H1523" s="43" t="inlineStr">
        <is>
          <t>Risk Buy Authorization Only ¡V No Build/Shipment Allowed (Sustaining Only)</t>
        </is>
      </c>
      <c r="I1523" s="43" t="inlineStr">
        <is>
          <t>Customer Deviation</t>
        </is>
      </c>
      <c r="J1523" s="43" t="inlineStr">
        <is>
          <t>D612448</t>
        </is>
      </c>
      <c r="K1523" s="33" t="inlineStr">
        <is>
          <t>D612448 Please see PageThree for details</t>
        </is>
      </c>
      <c r="L1523" s="43" t="inlineStr">
        <is>
          <t>Expired</t>
        </is>
      </c>
      <c r="M1523" s="43" t="inlineStr">
        <is>
          <t>73-101944-03</t>
        </is>
      </c>
      <c r="N1523" s="43" t="inlineStr"/>
      <c r="O1523" s="43" t="inlineStr">
        <is>
          <t>2026-09-30</t>
        </is>
      </c>
      <c r="P1523" s="33" t="inlineStr">
        <is>
          <t>Risk Buy Authorization</t>
        </is>
      </c>
      <c r="Q1523" s="43" t="inlineStr">
        <is>
          <t>N/A</t>
        </is>
      </c>
      <c r="R1523" s="43" t="inlineStr">
        <is>
          <t>2026-07-03</t>
        </is>
      </c>
      <c r="S1523" s="43" t="inlineStr">
        <is>
          <t>2026-07-16</t>
        </is>
      </c>
      <c r="T1523" s="43" t="inlineStr"/>
      <c r="U1523" s="43" t="inlineStr"/>
    </row>
    <row r="1524">
      <c r="A1524" s="43" t="n">
        <v>1524</v>
      </c>
      <c r="B1524" s="43" t="inlineStr">
        <is>
          <t>1523</t>
        </is>
      </c>
      <c r="C1524" s="43" t="inlineStr">
        <is>
          <t>FJZP</t>
        </is>
      </c>
      <c r="D1524" s="43" t="inlineStr">
        <is>
          <t>Cisco</t>
        </is>
      </c>
      <c r="E1524" s="43" t="inlineStr">
        <is>
          <t>MCGA</t>
        </is>
      </c>
      <c r="F1524" s="43" t="inlineStr">
        <is>
          <t>037-STBU</t>
        </is>
      </c>
      <c r="G1524" s="43" t="inlineStr">
        <is>
          <t>CTANJZ05337</t>
        </is>
      </c>
      <c r="H1524" s="43" t="inlineStr">
        <is>
          <t>Risk Buy Authorization Only ¡V No Build/Shipment Allowed (Sustaining Only)</t>
        </is>
      </c>
      <c r="I1524" s="43" t="inlineStr">
        <is>
          <t>Customer Deviation</t>
        </is>
      </c>
      <c r="J1524" s="43" t="inlineStr">
        <is>
          <t>D612448</t>
        </is>
      </c>
      <c r="K1524" s="33" t="inlineStr">
        <is>
          <t>D612448 Please see PageThree for details</t>
        </is>
      </c>
      <c r="L1524" s="43" t="inlineStr">
        <is>
          <t>Expired</t>
        </is>
      </c>
      <c r="M1524" s="43" t="inlineStr">
        <is>
          <t>73-101945-03</t>
        </is>
      </c>
      <c r="N1524" s="43" t="inlineStr"/>
      <c r="O1524" s="43" t="inlineStr">
        <is>
          <t>2026-09-30</t>
        </is>
      </c>
      <c r="P1524" s="33" t="inlineStr">
        <is>
          <t>Risk Buy Authorization</t>
        </is>
      </c>
      <c r="Q1524" s="43" t="inlineStr">
        <is>
          <t>N/A</t>
        </is>
      </c>
      <c r="R1524" s="43" t="inlineStr">
        <is>
          <t>2026-07-03</t>
        </is>
      </c>
      <c r="S1524" s="43" t="inlineStr">
        <is>
          <t>2026-07-16</t>
        </is>
      </c>
      <c r="T1524" s="43" t="inlineStr"/>
      <c r="U1524" s="43" t="inlineStr"/>
    </row>
    <row r="1525">
      <c r="A1525" s="43" t="n">
        <v>1525</v>
      </c>
      <c r="B1525" s="43" t="inlineStr">
        <is>
          <t>1524</t>
        </is>
      </c>
      <c r="C1525" s="43" t="inlineStr">
        <is>
          <t>FJZP</t>
        </is>
      </c>
      <c r="D1525" s="43" t="inlineStr">
        <is>
          <t>Cisco</t>
        </is>
      </c>
      <c r="E1525" s="43" t="inlineStr">
        <is>
          <t>MCGA</t>
        </is>
      </c>
      <c r="F1525" s="43" t="inlineStr">
        <is>
          <t>037-STBU</t>
        </is>
      </c>
      <c r="G1525" s="43" t="inlineStr">
        <is>
          <t>CTANJZ05337</t>
        </is>
      </c>
      <c r="H1525" s="43" t="inlineStr">
        <is>
          <t>Risk Buy Authorization Only ¡V No Build/Shipment Allowed (Sustaining Only)</t>
        </is>
      </c>
      <c r="I1525" s="43" t="inlineStr">
        <is>
          <t>Customer Deviation</t>
        </is>
      </c>
      <c r="J1525" s="43" t="inlineStr">
        <is>
          <t>D612448</t>
        </is>
      </c>
      <c r="K1525" s="33" t="inlineStr">
        <is>
          <t>D612448 Please see PageThree for details</t>
        </is>
      </c>
      <c r="L1525" s="43" t="inlineStr">
        <is>
          <t>Expired</t>
        </is>
      </c>
      <c r="M1525" s="43" t="inlineStr">
        <is>
          <t>73-102433-06</t>
        </is>
      </c>
      <c r="N1525" s="43" t="inlineStr"/>
      <c r="O1525" s="43" t="inlineStr">
        <is>
          <t>2026-09-30</t>
        </is>
      </c>
      <c r="P1525" s="33" t="inlineStr">
        <is>
          <t>Risk Buy Authorization</t>
        </is>
      </c>
      <c r="Q1525" s="43" t="inlineStr">
        <is>
          <t>N/A</t>
        </is>
      </c>
      <c r="R1525" s="43" t="inlineStr">
        <is>
          <t>2026-07-03</t>
        </is>
      </c>
      <c r="S1525" s="43" t="inlineStr">
        <is>
          <t>2026-07-16</t>
        </is>
      </c>
      <c r="T1525" s="43" t="inlineStr"/>
      <c r="U1525" s="43" t="inlineStr"/>
    </row>
    <row r="1526">
      <c r="A1526" s="43" t="n">
        <v>1526</v>
      </c>
      <c r="B1526" s="43" t="inlineStr">
        <is>
          <t>1525</t>
        </is>
      </c>
      <c r="C1526" s="43" t="inlineStr">
        <is>
          <t>FJZP</t>
        </is>
      </c>
      <c r="D1526" s="43" t="inlineStr">
        <is>
          <t>Cisco</t>
        </is>
      </c>
      <c r="E1526" s="43" t="inlineStr">
        <is>
          <t>MCGA</t>
        </is>
      </c>
      <c r="F1526" s="43" t="inlineStr">
        <is>
          <t>239-CRBU</t>
        </is>
      </c>
      <c r="G1526" s="43" t="inlineStr">
        <is>
          <t>CTANJZ05285</t>
        </is>
      </c>
      <c r="H1526" s="43" t="inlineStr">
        <is>
          <t>Risk Buy Authorization Only ¡V No Build/Shipment Allowed (Sustaining Only)</t>
        </is>
      </c>
      <c r="I1526" s="43" t="inlineStr">
        <is>
          <t>Customer Deviation</t>
        </is>
      </c>
      <c r="J1526" s="43" t="inlineStr">
        <is>
          <t>D611828</t>
        </is>
      </c>
      <c r="K1526" s="33" t="inlineStr">
        <is>
          <t>D611828 CRBU: LC4/5 Vanguard/Lancer Daughter Board (28-14421-07 rev01) Material EM528 Risk Buy in anticipation of release of ECO EA619918FJZ / FVN sites to proceed ordering replacement EM528 PCB material CPN - 28-14421-07 as existing CPN material with EM888 is EOL.GCE MPN: 28-14421-07_S201_M207-01ISU MPN: 28-14421-07_S102_M207-01WUS MPN: 28-14421-07_S110_M207-01</t>
        </is>
      </c>
      <c r="L1526" s="43" t="inlineStr">
        <is>
          <t>Expired</t>
        </is>
      </c>
      <c r="M1526" s="43" t="inlineStr">
        <is>
          <t>73-19875-08</t>
        </is>
      </c>
      <c r="N1526" s="43" t="inlineStr"/>
      <c r="O1526" s="43" t="inlineStr">
        <is>
          <t>2026-09-05</t>
        </is>
      </c>
      <c r="P1526" s="33" t="inlineStr">
        <is>
          <t>Risk Buy Authorization</t>
        </is>
      </c>
      <c r="Q1526" s="43" t="inlineStr">
        <is>
          <t>Maintain marking standards.</t>
        </is>
      </c>
      <c r="R1526" s="43" t="inlineStr">
        <is>
          <t>2026-06-09</t>
        </is>
      </c>
      <c r="S1526" s="43" t="inlineStr">
        <is>
          <t>2026-07-02</t>
        </is>
      </c>
      <c r="T1526" s="43" t="inlineStr"/>
      <c r="U1526" s="43" t="inlineStr"/>
    </row>
    <row r="1527">
      <c r="A1527" s="43" t="n">
        <v>1527</v>
      </c>
      <c r="B1527" s="43" t="inlineStr">
        <is>
          <t>1526</t>
        </is>
      </c>
      <c r="C1527" s="43" t="inlineStr">
        <is>
          <t>FJZP</t>
        </is>
      </c>
      <c r="D1527" s="43" t="inlineStr">
        <is>
          <t>Cisco</t>
        </is>
      </c>
      <c r="E1527" s="43" t="inlineStr">
        <is>
          <t>MCGA</t>
        </is>
      </c>
      <c r="F1527" s="43" t="inlineStr">
        <is>
          <t>239-CRBU</t>
        </is>
      </c>
      <c r="G1527" s="43" t="inlineStr">
        <is>
          <t>CTANJZ05285</t>
        </is>
      </c>
      <c r="H1527" s="43" t="inlineStr">
        <is>
          <t>Risk Buy Authorization Only ¡V No Build/Shipment Allowed (Sustaining Only)</t>
        </is>
      </c>
      <c r="I1527" s="43" t="inlineStr">
        <is>
          <t>Customer Deviation</t>
        </is>
      </c>
      <c r="J1527" s="43" t="inlineStr">
        <is>
          <t>D611828</t>
        </is>
      </c>
      <c r="K1527" s="33" t="inlineStr">
        <is>
          <t>D611828 CRBU: LC4/5 Vanguard/Lancer Daughter Board (28-14421-07 rev01) Material EM528 Risk Buy in anticipation of release of ECO EA619918FJZ / FVN sites to proceed ordering replacement EM528 PCB material CPN - 28-14421-07 as existing CPN material with EM888 is EOL.GCE MPN: 28-14421-07_S201_M207-01ISU MPN: 28-14421-07_S102_M207-01WUS MPN: 28-14421-07_S110_M207-01</t>
        </is>
      </c>
      <c r="L1527" s="43" t="inlineStr">
        <is>
          <t>Expired</t>
        </is>
      </c>
      <c r="M1527" s="43" t="inlineStr">
        <is>
          <t>73-20176-08</t>
        </is>
      </c>
      <c r="N1527" s="43" t="inlineStr"/>
      <c r="O1527" s="43" t="inlineStr">
        <is>
          <t>2026-09-05</t>
        </is>
      </c>
      <c r="P1527" s="33" t="inlineStr">
        <is>
          <t>Risk Buy Authorization</t>
        </is>
      </c>
      <c r="Q1527" s="43" t="inlineStr">
        <is>
          <t>Maintain marking standards.</t>
        </is>
      </c>
      <c r="R1527" s="43" t="inlineStr">
        <is>
          <t>2026-06-09</t>
        </is>
      </c>
      <c r="S1527" s="43" t="inlineStr">
        <is>
          <t>2026-07-02</t>
        </is>
      </c>
      <c r="T1527" s="43" t="inlineStr"/>
      <c r="U1527" s="43" t="inlineStr"/>
    </row>
    <row r="1528">
      <c r="A1528" s="43" t="n">
        <v>1528</v>
      </c>
      <c r="B1528" s="43" t="inlineStr">
        <is>
          <t>1527</t>
        </is>
      </c>
      <c r="C1528" s="43" t="inlineStr">
        <is>
          <t>FJZP</t>
        </is>
      </c>
      <c r="D1528" s="43" t="inlineStr">
        <is>
          <t>Cisco</t>
        </is>
      </c>
      <c r="E1528" s="43" t="inlineStr">
        <is>
          <t>MCGA</t>
        </is>
      </c>
      <c r="F1528" s="43" t="inlineStr">
        <is>
          <t>239-CRBU</t>
        </is>
      </c>
      <c r="G1528" s="43" t="inlineStr">
        <is>
          <t>CTANJZ05285</t>
        </is>
      </c>
      <c r="H1528" s="43" t="inlineStr">
        <is>
          <t>Risk Buy Authorization Only ¡V No Build/Shipment Allowed (Sustaining Only)</t>
        </is>
      </c>
      <c r="I1528" s="43" t="inlineStr">
        <is>
          <t>Customer Deviation</t>
        </is>
      </c>
      <c r="J1528" s="43" t="inlineStr">
        <is>
          <t>D611828</t>
        </is>
      </c>
      <c r="K1528" s="33" t="inlineStr">
        <is>
          <t>D611828 CRBU: LC4/5 Vanguard/Lancer Daughter Board (28-14421-07 rev01) Material EM528 Risk Buy in anticipation of release of ECO EA619918FJZ / FVN sites to proceed ordering replacement EM528 PCB material CPN - 28-14421-07 as existing CPN material with EM888 is EOL.GCE MPN: 28-14421-07_S201_M207-01ISU MPN: 28-14421-07_S102_M207-01WUS MPN: 28-14421-07_S110_M207-01</t>
        </is>
      </c>
      <c r="L1528" s="43" t="inlineStr">
        <is>
          <t>Expired</t>
        </is>
      </c>
      <c r="M1528" s="43" t="inlineStr">
        <is>
          <t>73-20176-09</t>
        </is>
      </c>
      <c r="N1528" s="43" t="inlineStr"/>
      <c r="O1528" s="43" t="inlineStr">
        <is>
          <t>2026-09-05</t>
        </is>
      </c>
      <c r="P1528" s="33" t="inlineStr">
        <is>
          <t>Risk Buy Authorization</t>
        </is>
      </c>
      <c r="Q1528" s="43" t="inlineStr">
        <is>
          <t>Maintain marking standards.</t>
        </is>
      </c>
      <c r="R1528" s="43" t="inlineStr">
        <is>
          <t>2026-06-09</t>
        </is>
      </c>
      <c r="S1528" s="43" t="inlineStr">
        <is>
          <t>2026-07-02</t>
        </is>
      </c>
      <c r="T1528" s="43" t="inlineStr"/>
      <c r="U1528" s="43" t="inlineStr"/>
    </row>
    <row r="1529">
      <c r="A1529" s="43" t="n">
        <v>1529</v>
      </c>
      <c r="B1529" s="43" t="inlineStr">
        <is>
          <t>1528</t>
        </is>
      </c>
      <c r="C1529" s="43" t="inlineStr">
        <is>
          <t>FJZP</t>
        </is>
      </c>
      <c r="D1529" s="43" t="inlineStr">
        <is>
          <t>Cisco</t>
        </is>
      </c>
      <c r="E1529" s="43" t="inlineStr">
        <is>
          <t>MCGA</t>
        </is>
      </c>
      <c r="F1529" s="43" t="inlineStr">
        <is>
          <t>239-CRBU</t>
        </is>
      </c>
      <c r="G1529" s="43" t="inlineStr">
        <is>
          <t>CTANJZ05285</t>
        </is>
      </c>
      <c r="H1529" s="43" t="inlineStr">
        <is>
          <t>Risk Buy Authorization Only ¡V No Build/Shipment Allowed (Sustaining Only)</t>
        </is>
      </c>
      <c r="I1529" s="43" t="inlineStr">
        <is>
          <t>Customer Deviation</t>
        </is>
      </c>
      <c r="J1529" s="43" t="inlineStr">
        <is>
          <t>D611828</t>
        </is>
      </c>
      <c r="K1529" s="33" t="inlineStr">
        <is>
          <t>D611828 CRBU: LC4/5 Vanguard/Lancer Daughter Board (28-14421-07 rev01) Material EM528 Risk Buy in anticipation of release of ECO EA619918FJZ / FVN sites to proceed ordering replacement EM528 PCB material CPN - 28-14421-07 as existing CPN material with EM888 is EOL.GCE MPN: 28-14421-07_S201_M207-01ISU MPN: 28-14421-07_S102_M207-01WUS MPN: 28-14421-07_S110_M207-01</t>
        </is>
      </c>
      <c r="L1529" s="43" t="inlineStr">
        <is>
          <t>Expired</t>
        </is>
      </c>
      <c r="M1529" s="43" t="inlineStr">
        <is>
          <t>73-20513-09</t>
        </is>
      </c>
      <c r="N1529" s="43" t="inlineStr"/>
      <c r="O1529" s="43" t="inlineStr">
        <is>
          <t>2026-09-05</t>
        </is>
      </c>
      <c r="P1529" s="33" t="inlineStr">
        <is>
          <t>Risk Buy Authorization</t>
        </is>
      </c>
      <c r="Q1529" s="43" t="inlineStr">
        <is>
          <t>Maintain marking standards.</t>
        </is>
      </c>
      <c r="R1529" s="43" t="inlineStr">
        <is>
          <t>2026-06-09</t>
        </is>
      </c>
      <c r="S1529" s="43" t="inlineStr">
        <is>
          <t>2026-07-02</t>
        </is>
      </c>
      <c r="T1529" s="43" t="inlineStr"/>
      <c r="U1529" s="43" t="inlineStr"/>
    </row>
    <row r="1530">
      <c r="A1530" s="43" t="n">
        <v>1530</v>
      </c>
      <c r="B1530" s="43" t="inlineStr">
        <is>
          <t>1529</t>
        </is>
      </c>
      <c r="C1530" s="43" t="inlineStr">
        <is>
          <t>FJZP</t>
        </is>
      </c>
      <c r="D1530" s="43" t="inlineStr">
        <is>
          <t>Cisco</t>
        </is>
      </c>
      <c r="E1530" s="43" t="inlineStr">
        <is>
          <t>MCGA</t>
        </is>
      </c>
      <c r="F1530" s="43" t="inlineStr">
        <is>
          <t>037-STBU</t>
        </is>
      </c>
      <c r="G1530" s="43" t="inlineStr">
        <is>
          <t>CTANJZ05348</t>
        </is>
      </c>
      <c r="H1530" s="43" t="inlineStr">
        <is>
          <t>To track an AML qualification build (EXTENDABLE)</t>
        </is>
      </c>
      <c r="I1530" s="43" t="inlineStr">
        <is>
          <t>Customer Deviation</t>
        </is>
      </c>
      <c r="J1530" s="43" t="inlineStr">
        <is>
          <t>D612482</t>
        </is>
      </c>
      <c r="K1530" s="33" t="inlineStr">
        <is>
          <t>D612482 NGFWBU GQR: GQR000097189 Case: AQR003807047 CPN: 36-0097-01; MFR NAME: TAI-TECH ADVANCED ELECTRONICS; MPN: MBP43K800-60CThis deviation instructs Foxconn Juarez (FJZ) to execute a sample buy and conduct a Production Qual build for the following part(s):BU: NGFWBUPF: FPRMID3Affected TAN(s):68-7253-05Affected Item(s): 73-20249-06CPN: 36-0097-01; MFR NAME: TAI-TECH ADVANCED ELECTRONICS; MPN: MBP43K800-60CBuild Qty: 7Ref Des: L28;L97To execute the above AQR at CM site; should be tested on Model A.</t>
        </is>
      </c>
      <c r="L1530" s="43" t="inlineStr">
        <is>
          <t>Expired</t>
        </is>
      </c>
      <c r="M1530" s="43" t="inlineStr">
        <is>
          <t>36-0097-01</t>
        </is>
      </c>
      <c r="N1530" s="43" t="inlineStr"/>
      <c r="O1530" s="43" t="inlineStr">
        <is>
          <t>2026-10-07</t>
        </is>
      </c>
      <c r="P1530" s="33" t="inlineStr">
        <is>
          <t>To track an AML qualification build (EXTENDABLE 2x);Risk Buy Authorization</t>
        </is>
      </c>
      <c r="Q1530" s="43" t="inlineStr">
        <is>
          <t>NA</t>
        </is>
      </c>
      <c r="R1530" s="43" t="inlineStr">
        <is>
          <t>2026-07-10</t>
        </is>
      </c>
      <c r="S1530" s="43" t="inlineStr">
        <is>
          <t>2026-07-21</t>
        </is>
      </c>
      <c r="T1530" s="43" t="inlineStr"/>
      <c r="U1530" s="43" t="inlineStr"/>
    </row>
    <row r="1531">
      <c r="A1531" s="43" t="n">
        <v>1531</v>
      </c>
      <c r="B1531" s="43" t="inlineStr">
        <is>
          <t>1530</t>
        </is>
      </c>
      <c r="C1531" s="43" t="inlineStr">
        <is>
          <t>FJZP</t>
        </is>
      </c>
      <c r="D1531" s="43" t="inlineStr">
        <is>
          <t>Cisco</t>
        </is>
      </c>
      <c r="E1531" s="43" t="inlineStr">
        <is>
          <t>MCGA</t>
        </is>
      </c>
      <c r="F1531" s="43" t="inlineStr">
        <is>
          <t>037-STBU</t>
        </is>
      </c>
      <c r="G1531" s="43" t="inlineStr">
        <is>
          <t>CTANJZ05348</t>
        </is>
      </c>
      <c r="H1531" s="43" t="inlineStr">
        <is>
          <t>To track an AML qualification build (EXTENDABLE)</t>
        </is>
      </c>
      <c r="I1531" s="43" t="inlineStr">
        <is>
          <t>Customer Deviation</t>
        </is>
      </c>
      <c r="J1531" s="43" t="inlineStr">
        <is>
          <t>D612482</t>
        </is>
      </c>
      <c r="K1531" s="33" t="inlineStr">
        <is>
          <t>D612482 NGFWBU GQR: GQR000097189 Case: AQR003807047 CPN: 36-0097-01; MFR NAME: TAI-TECH ADVANCED ELECTRONICS; MPN: MBP43K800-60CThis deviation instructs Foxconn Juarez (FJZ) to execute a sample buy and conduct a Production Qual build for the following part(s):BU: NGFWBUPF: FPRMID3Affected TAN(s):68-7253-05Affected Item(s): 73-20249-06CPN: 36-0097-01; MFR NAME: TAI-TECH ADVANCED ELECTRONICS; MPN: MBP43K800-60CBuild Qty: 7Ref Des: L28;L97To execute the above AQR at CM site; should be tested on Model A.</t>
        </is>
      </c>
      <c r="L1531" s="43" t="inlineStr">
        <is>
          <t>Expired</t>
        </is>
      </c>
      <c r="M1531" s="43" t="inlineStr">
        <is>
          <t>73-20249-06</t>
        </is>
      </c>
      <c r="N1531" s="43" t="inlineStr"/>
      <c r="O1531" s="43" t="inlineStr">
        <is>
          <t>2026-10-07</t>
        </is>
      </c>
      <c r="P1531" s="33" t="inlineStr">
        <is>
          <t>To track an AML qualification build (EXTENDABLE 2x);Risk Buy Authorization</t>
        </is>
      </c>
      <c r="Q1531" s="43" t="inlineStr">
        <is>
          <t>NA</t>
        </is>
      </c>
      <c r="R1531" s="43" t="inlineStr">
        <is>
          <t>2026-07-10</t>
        </is>
      </c>
      <c r="S1531" s="43" t="inlineStr">
        <is>
          <t>2026-07-21</t>
        </is>
      </c>
      <c r="T1531" s="43" t="inlineStr"/>
      <c r="U1531" s="43" t="inlineStr"/>
    </row>
    <row r="1532">
      <c r="A1532" s="43" t="n">
        <v>1532</v>
      </c>
      <c r="B1532" s="43" t="inlineStr">
        <is>
          <t>1531</t>
        </is>
      </c>
      <c r="C1532" s="43" t="inlineStr">
        <is>
          <t>FJZP</t>
        </is>
      </c>
      <c r="D1532" s="43" t="inlineStr">
        <is>
          <t>Cisco</t>
        </is>
      </c>
      <c r="E1532" s="43" t="inlineStr">
        <is>
          <t>MCGA</t>
        </is>
      </c>
      <c r="F1532" s="43" t="inlineStr">
        <is>
          <t>037-STBU</t>
        </is>
      </c>
      <c r="G1532" s="43" t="inlineStr">
        <is>
          <t>CTANJZ05349</t>
        </is>
      </c>
      <c r="H1532" s="43" t="inlineStr">
        <is>
          <t>To track an AML qualification build (EXTENDABLE 2x)</t>
        </is>
      </c>
      <c r="I1532" s="43" t="inlineStr">
        <is>
          <t>Customer Deviation</t>
        </is>
      </c>
      <c r="J1532" s="43" t="inlineStr">
        <is>
          <t>D612481</t>
        </is>
      </c>
      <c r="K1532" s="33" t="inlineStr">
        <is>
          <t>D612481 NGFWBU GQR: GQR000097189 Case: AQR003807064 CPN: 36-0097-01; MFR NAME: TAI-TECH ADVANCED ELECTRONICS; MPN: MBP43K800-60CThis deviation instructs Foxconn Juarez (FJZ) to execute a sample buy and conduct a Production Qual build for the following part(s):BU: NGFWBUPF: F1KLOW ; FPRLOWAffected TAN(s):68-7007-02Affected Item(s): 73-18489-08CPN: 36-0097-01; MFR NAME: TAI-TECH ADVANCED ELECTRONICS; MPN: MBP43K800-60CBuild Qty: 7Ref Des: L3_PE;L45_PETo execute the above AQR at CM site; should be tested on Model A.</t>
        </is>
      </c>
      <c r="L1532" s="43" t="inlineStr">
        <is>
          <t>Expired</t>
        </is>
      </c>
      <c r="M1532" s="43" t="inlineStr">
        <is>
          <t>36-0097-01</t>
        </is>
      </c>
      <c r="N1532" s="43" t="inlineStr"/>
      <c r="O1532" s="43" t="inlineStr">
        <is>
          <t>2026-10-07</t>
        </is>
      </c>
      <c r="P1532" s="33" t="inlineStr">
        <is>
          <t>To track an AML qualification build (EXTENDABLE 2x);Risk Buy Authorization</t>
        </is>
      </c>
      <c r="Q1532" s="43" t="inlineStr">
        <is>
          <t>NA</t>
        </is>
      </c>
      <c r="R1532" s="43" t="inlineStr">
        <is>
          <t>2026-07-10</t>
        </is>
      </c>
      <c r="S1532" s="43" t="inlineStr">
        <is>
          <t>2026-07-21</t>
        </is>
      </c>
      <c r="T1532" s="43" t="inlineStr"/>
      <c r="U1532" s="43" t="inlineStr"/>
    </row>
    <row r="1533">
      <c r="A1533" s="43" t="n">
        <v>1533</v>
      </c>
      <c r="B1533" s="43" t="inlineStr">
        <is>
          <t>1532</t>
        </is>
      </c>
      <c r="C1533" s="43" t="inlineStr">
        <is>
          <t>FJZP</t>
        </is>
      </c>
      <c r="D1533" s="43" t="inlineStr">
        <is>
          <t>Cisco</t>
        </is>
      </c>
      <c r="E1533" s="43" t="inlineStr">
        <is>
          <t>MCGA</t>
        </is>
      </c>
      <c r="F1533" s="43" t="inlineStr">
        <is>
          <t>037-STBU</t>
        </is>
      </c>
      <c r="G1533" s="43" t="inlineStr">
        <is>
          <t>CTANJZ05349</t>
        </is>
      </c>
      <c r="H1533" s="43" t="inlineStr">
        <is>
          <t>To track an AML qualification build (EXTENDABLE 2x)</t>
        </is>
      </c>
      <c r="I1533" s="43" t="inlineStr">
        <is>
          <t>Customer Deviation</t>
        </is>
      </c>
      <c r="J1533" s="43" t="inlineStr">
        <is>
          <t>D612481</t>
        </is>
      </c>
      <c r="K1533" s="33" t="inlineStr">
        <is>
          <t>D612481 NGFWBU GQR: GQR000097189 Case: AQR003807064 CPN: 36-0097-01; MFR NAME: TAI-TECH ADVANCED ELECTRONICS; MPN: MBP43K800-60CThis deviation instructs Foxconn Juarez (FJZ) to execute a sample buy and conduct a Production Qual build for the following part(s):BU: NGFWBUPF: F1KLOW ; FPRLOWAffected TAN(s):68-7007-02Affected Item(s): 73-18489-08CPN: 36-0097-01; MFR NAME: TAI-TECH ADVANCED ELECTRONICS; MPN: MBP43K800-60CBuild Qty: 7Ref Des: L3_PE;L45_PETo execute the above AQR at CM site; should be tested on Model A.</t>
        </is>
      </c>
      <c r="L1533" s="43" t="inlineStr">
        <is>
          <t>Expired</t>
        </is>
      </c>
      <c r="M1533" s="43" t="inlineStr">
        <is>
          <t>73-18489-08</t>
        </is>
      </c>
      <c r="N1533" s="43" t="inlineStr"/>
      <c r="O1533" s="43" t="inlineStr">
        <is>
          <t>2026-10-07</t>
        </is>
      </c>
      <c r="P1533" s="33" t="inlineStr">
        <is>
          <t>To track an AML qualification build (EXTENDABLE 2x);Risk Buy Authorization</t>
        </is>
      </c>
      <c r="Q1533" s="43" t="inlineStr">
        <is>
          <t>NA</t>
        </is>
      </c>
      <c r="R1533" s="43" t="inlineStr">
        <is>
          <t>2026-07-10</t>
        </is>
      </c>
      <c r="S1533" s="43" t="inlineStr">
        <is>
          <t>2026-07-21</t>
        </is>
      </c>
      <c r="T1533" s="43" t="inlineStr"/>
      <c r="U1533" s="43" t="inlineStr"/>
    </row>
    <row r="1534">
      <c r="A1534" s="43" t="n">
        <v>1534</v>
      </c>
      <c r="B1534" s="43" t="inlineStr">
        <is>
          <t>1533</t>
        </is>
      </c>
      <c r="C1534" s="43" t="inlineStr">
        <is>
          <t>FJZP</t>
        </is>
      </c>
      <c r="D1534" s="43" t="inlineStr">
        <is>
          <t>Cisco</t>
        </is>
      </c>
      <c r="E1534" s="43" t="inlineStr">
        <is>
          <t>MCGA</t>
        </is>
      </c>
      <c r="F1534" s="43" t="inlineStr">
        <is>
          <t>037-STBU</t>
        </is>
      </c>
      <c r="G1534" s="43" t="inlineStr">
        <is>
          <t>CTANJZ05337</t>
        </is>
      </c>
      <c r="H1534" s="43" t="inlineStr">
        <is>
          <t>Risk Buy Authorization Only ¡V No Build/Shipment Allowed (Sustaining Only)</t>
        </is>
      </c>
      <c r="I1534" s="43" t="inlineStr">
        <is>
          <t>Customer Deviation</t>
        </is>
      </c>
      <c r="J1534" s="43" t="inlineStr">
        <is>
          <t>D612448</t>
        </is>
      </c>
      <c r="K1534" s="33" t="inlineStr">
        <is>
          <t>D612448 Please see PageThree for details</t>
        </is>
      </c>
      <c r="L1534" s="43" t="inlineStr">
        <is>
          <t>Expired</t>
        </is>
      </c>
      <c r="M1534" s="43" t="inlineStr">
        <is>
          <t>73-102434-06</t>
        </is>
      </c>
      <c r="N1534" s="43" t="inlineStr"/>
      <c r="O1534" s="43" t="inlineStr">
        <is>
          <t>2026-09-30</t>
        </is>
      </c>
      <c r="P1534" s="33" t="inlineStr">
        <is>
          <t>Risk Buy Authorization</t>
        </is>
      </c>
      <c r="Q1534" s="43" t="inlineStr">
        <is>
          <t>N/A</t>
        </is>
      </c>
      <c r="R1534" s="43" t="inlineStr">
        <is>
          <t>2026-07-03</t>
        </is>
      </c>
      <c r="S1534" s="43" t="inlineStr">
        <is>
          <t>2026-07-16</t>
        </is>
      </c>
      <c r="T1534" s="43" t="inlineStr"/>
      <c r="U1534" s="43" t="inlineStr"/>
    </row>
    <row r="1535">
      <c r="A1535" s="43" t="n">
        <v>1535</v>
      </c>
      <c r="B1535" s="43" t="inlineStr">
        <is>
          <t>1534</t>
        </is>
      </c>
      <c r="C1535" s="43" t="inlineStr">
        <is>
          <t>FJZP</t>
        </is>
      </c>
      <c r="D1535" s="43" t="inlineStr">
        <is>
          <t>Cisco</t>
        </is>
      </c>
      <c r="E1535" s="43" t="inlineStr">
        <is>
          <t>MCGA</t>
        </is>
      </c>
      <c r="F1535" s="43" t="inlineStr">
        <is>
          <t>037-STBU</t>
        </is>
      </c>
      <c r="G1535" s="43" t="inlineStr">
        <is>
          <t>CTANJZ05337</t>
        </is>
      </c>
      <c r="H1535" s="43" t="inlineStr">
        <is>
          <t>Risk Buy Authorization Only ¡V No Build/Shipment Allowed (Sustaining Only)</t>
        </is>
      </c>
      <c r="I1535" s="43" t="inlineStr">
        <is>
          <t>Customer Deviation</t>
        </is>
      </c>
      <c r="J1535" s="43" t="inlineStr">
        <is>
          <t>D612448</t>
        </is>
      </c>
      <c r="K1535" s="33" t="inlineStr">
        <is>
          <t>D612448 Please see PageThree for details</t>
        </is>
      </c>
      <c r="L1535" s="43" t="inlineStr">
        <is>
          <t>Expired</t>
        </is>
      </c>
      <c r="M1535" s="43" t="inlineStr">
        <is>
          <t>73-102435-06</t>
        </is>
      </c>
      <c r="N1535" s="43" t="inlineStr"/>
      <c r="O1535" s="43" t="inlineStr">
        <is>
          <t>2026-09-30</t>
        </is>
      </c>
      <c r="P1535" s="33" t="inlineStr">
        <is>
          <t>Risk Buy Authorization</t>
        </is>
      </c>
      <c r="Q1535" s="43" t="inlineStr">
        <is>
          <t>N/A</t>
        </is>
      </c>
      <c r="R1535" s="43" t="inlineStr">
        <is>
          <t>2026-07-03</t>
        </is>
      </c>
      <c r="S1535" s="43" t="inlineStr">
        <is>
          <t>2026-07-16</t>
        </is>
      </c>
      <c r="T1535" s="43" t="inlineStr"/>
      <c r="U1535" s="43" t="inlineStr"/>
    </row>
    <row r="1536">
      <c r="A1536" s="43" t="n">
        <v>1536</v>
      </c>
      <c r="B1536" s="43" t="inlineStr">
        <is>
          <t>1535</t>
        </is>
      </c>
      <c r="C1536" s="43" t="inlineStr">
        <is>
          <t>FJZP</t>
        </is>
      </c>
      <c r="D1536" s="43" t="inlineStr">
        <is>
          <t>Cisco</t>
        </is>
      </c>
      <c r="E1536" s="43" t="inlineStr">
        <is>
          <t>MCGA</t>
        </is>
      </c>
      <c r="F1536" s="43" t="inlineStr">
        <is>
          <t>037-STBU</t>
        </is>
      </c>
      <c r="G1536" s="43" t="inlineStr">
        <is>
          <t>CTANJZ05337</t>
        </is>
      </c>
      <c r="H1536" s="43" t="inlineStr">
        <is>
          <t>Risk Buy Authorization Only ¡V No Build/Shipment Allowed (Sustaining Only)</t>
        </is>
      </c>
      <c r="I1536" s="43" t="inlineStr">
        <is>
          <t>Customer Deviation</t>
        </is>
      </c>
      <c r="J1536" s="43" t="inlineStr">
        <is>
          <t>D612448</t>
        </is>
      </c>
      <c r="K1536" s="33" t="inlineStr">
        <is>
          <t>D612448 Please see PageThree for details</t>
        </is>
      </c>
      <c r="L1536" s="43" t="inlineStr">
        <is>
          <t>Expired</t>
        </is>
      </c>
      <c r="M1536" s="43" t="inlineStr">
        <is>
          <t>73-103122-01</t>
        </is>
      </c>
      <c r="N1536" s="43" t="inlineStr"/>
      <c r="O1536" s="43" t="inlineStr">
        <is>
          <t>2026-09-30</t>
        </is>
      </c>
      <c r="P1536" s="33" t="inlineStr">
        <is>
          <t>Risk Buy Authorization</t>
        </is>
      </c>
      <c r="Q1536" s="43" t="inlineStr">
        <is>
          <t>N/A</t>
        </is>
      </c>
      <c r="R1536" s="43" t="inlineStr">
        <is>
          <t>2026-07-03</t>
        </is>
      </c>
      <c r="S1536" s="43" t="inlineStr">
        <is>
          <t>2026-07-16</t>
        </is>
      </c>
      <c r="T1536" s="43" t="inlineStr"/>
      <c r="U1536" s="43" t="inlineStr"/>
    </row>
    <row r="1537">
      <c r="A1537" s="43" t="n">
        <v>1537</v>
      </c>
      <c r="B1537" s="43" t="inlineStr">
        <is>
          <t>1536</t>
        </is>
      </c>
      <c r="C1537" s="43" t="inlineStr">
        <is>
          <t>FJZP</t>
        </is>
      </c>
      <c r="D1537" s="43" t="inlineStr">
        <is>
          <t>Cisco</t>
        </is>
      </c>
      <c r="E1537" s="43" t="inlineStr">
        <is>
          <t>MCGA</t>
        </is>
      </c>
      <c r="F1537" s="43" t="inlineStr">
        <is>
          <t>037-STBU</t>
        </is>
      </c>
      <c r="G1537" s="43" t="inlineStr">
        <is>
          <t>CTANJZ05337</t>
        </is>
      </c>
      <c r="H1537" s="43" t="inlineStr">
        <is>
          <t>Risk Buy Authorization Only ¡V No Build/Shipment Allowed (Sustaining Only)</t>
        </is>
      </c>
      <c r="I1537" s="43" t="inlineStr">
        <is>
          <t>Customer Deviation</t>
        </is>
      </c>
      <c r="J1537" s="43" t="inlineStr">
        <is>
          <t>D612448</t>
        </is>
      </c>
      <c r="K1537" s="33" t="inlineStr">
        <is>
          <t>D612448 Please see PageThree for details</t>
        </is>
      </c>
      <c r="L1537" s="43" t="inlineStr">
        <is>
          <t>Expired</t>
        </is>
      </c>
      <c r="M1537" s="43" t="inlineStr">
        <is>
          <t>73-103125-02</t>
        </is>
      </c>
      <c r="N1537" s="43" t="inlineStr"/>
      <c r="O1537" s="43" t="inlineStr">
        <is>
          <t>2026-09-30</t>
        </is>
      </c>
      <c r="P1537" s="33" t="inlineStr">
        <is>
          <t>Risk Buy Authorization</t>
        </is>
      </c>
      <c r="Q1537" s="43" t="inlineStr">
        <is>
          <t>N/A</t>
        </is>
      </c>
      <c r="R1537" s="43" t="inlineStr">
        <is>
          <t>2026-07-03</t>
        </is>
      </c>
      <c r="S1537" s="43" t="inlineStr">
        <is>
          <t>2026-07-16</t>
        </is>
      </c>
      <c r="T1537" s="43" t="inlineStr"/>
      <c r="U1537" s="43" t="inlineStr"/>
    </row>
    <row r="1538">
      <c r="A1538" s="43" t="n">
        <v>1538</v>
      </c>
      <c r="B1538" s="43" t="inlineStr">
        <is>
          <t>1537</t>
        </is>
      </c>
      <c r="C1538" s="43" t="inlineStr">
        <is>
          <t>FJZP</t>
        </is>
      </c>
      <c r="D1538" s="43" t="inlineStr">
        <is>
          <t>Cisco</t>
        </is>
      </c>
      <c r="E1538" s="43" t="inlineStr">
        <is>
          <t>MCGA</t>
        </is>
      </c>
      <c r="F1538" s="43" t="inlineStr">
        <is>
          <t>037-STBU</t>
        </is>
      </c>
      <c r="G1538" s="43" t="inlineStr">
        <is>
          <t>CTANJZ05338</t>
        </is>
      </c>
      <c r="H1538" s="43" t="inlineStr">
        <is>
          <t>Risk Buy Authorization Only ¡V No Build/Shipment Allowed (Sustaining Only)</t>
        </is>
      </c>
      <c r="I1538" s="43" t="inlineStr">
        <is>
          <t>Customer Deviation</t>
        </is>
      </c>
      <c r="J1538" s="43" t="inlineStr">
        <is>
          <t>D612446</t>
        </is>
      </c>
      <c r="K1538" s="33" t="inlineStr">
        <is>
          <t>D612446 Please see PageThree for details</t>
        </is>
      </c>
      <c r="L1538" s="43" t="inlineStr">
        <is>
          <t>Expired</t>
        </is>
      </c>
      <c r="M1538" s="43" t="inlineStr">
        <is>
          <t>28-103225-04</t>
        </is>
      </c>
      <c r="N1538" s="43" t="inlineStr"/>
      <c r="O1538" s="43" t="inlineStr">
        <is>
          <t>2026-09-30</t>
        </is>
      </c>
      <c r="P1538" s="33" t="inlineStr">
        <is>
          <t>Risk Buy Authorization</t>
        </is>
      </c>
      <c r="Q1538" s="43" t="inlineStr">
        <is>
          <t>N/A</t>
        </is>
      </c>
      <c r="R1538" s="43" t="inlineStr">
        <is>
          <t>2026-07-03</t>
        </is>
      </c>
      <c r="S1538" s="43" t="inlineStr">
        <is>
          <t>2026-07-16</t>
        </is>
      </c>
      <c r="T1538" s="43" t="inlineStr"/>
      <c r="U1538" s="43" t="inlineStr"/>
    </row>
    <row r="1539">
      <c r="A1539" s="43" t="n">
        <v>1539</v>
      </c>
      <c r="B1539" s="43" t="inlineStr">
        <is>
          <t>1538</t>
        </is>
      </c>
      <c r="C1539" s="43" t="inlineStr">
        <is>
          <t>FJZP</t>
        </is>
      </c>
      <c r="D1539" s="43" t="inlineStr">
        <is>
          <t>Cisco</t>
        </is>
      </c>
      <c r="E1539" s="43" t="inlineStr">
        <is>
          <t>MCGA</t>
        </is>
      </c>
      <c r="F1539" s="43" t="inlineStr">
        <is>
          <t>037-STBU</t>
        </is>
      </c>
      <c r="G1539" s="43" t="inlineStr">
        <is>
          <t>CTANJZ05338</t>
        </is>
      </c>
      <c r="H1539" s="43" t="inlineStr">
        <is>
          <t>Risk Buy Authorization Only ¡V No Build/Shipment Allowed (Sustaining Only)</t>
        </is>
      </c>
      <c r="I1539" s="43" t="inlineStr">
        <is>
          <t>Customer Deviation</t>
        </is>
      </c>
      <c r="J1539" s="43" t="inlineStr">
        <is>
          <t>D612446</t>
        </is>
      </c>
      <c r="K1539" s="33" t="inlineStr">
        <is>
          <t>D612446 Please see PageThree for details</t>
        </is>
      </c>
      <c r="L1539" s="43" t="inlineStr">
        <is>
          <t>Expired</t>
        </is>
      </c>
      <c r="M1539" s="43" t="inlineStr">
        <is>
          <t>28-103226-04</t>
        </is>
      </c>
      <c r="N1539" s="43" t="inlineStr"/>
      <c r="O1539" s="43" t="inlineStr">
        <is>
          <t>2026-09-30</t>
        </is>
      </c>
      <c r="P1539" s="33" t="inlineStr">
        <is>
          <t>Risk Buy Authorization</t>
        </is>
      </c>
      <c r="Q1539" s="43" t="inlineStr">
        <is>
          <t>N/A</t>
        </is>
      </c>
      <c r="R1539" s="43" t="inlineStr">
        <is>
          <t>2026-07-03</t>
        </is>
      </c>
      <c r="S1539" s="43" t="inlineStr">
        <is>
          <t>2026-07-16</t>
        </is>
      </c>
      <c r="T1539" s="43" t="inlineStr"/>
      <c r="U1539" s="43" t="inlineStr"/>
    </row>
    <row r="1540">
      <c r="A1540" s="43" t="n">
        <v>1540</v>
      </c>
      <c r="B1540" s="43" t="inlineStr">
        <is>
          <t>1539</t>
        </is>
      </c>
      <c r="C1540" s="43" t="inlineStr">
        <is>
          <t>FJZP</t>
        </is>
      </c>
      <c r="D1540" s="43" t="inlineStr">
        <is>
          <t>Cisco</t>
        </is>
      </c>
      <c r="E1540" s="43" t="inlineStr">
        <is>
          <t>MCGA</t>
        </is>
      </c>
      <c r="F1540" s="43" t="inlineStr">
        <is>
          <t>037-STBU</t>
        </is>
      </c>
      <c r="G1540" s="43" t="inlineStr">
        <is>
          <t>CTANJZ05338</t>
        </is>
      </c>
      <c r="H1540" s="43" t="inlineStr">
        <is>
          <t>Risk Buy Authorization Only ¡V No Build/Shipment Allowed (Sustaining Only)</t>
        </is>
      </c>
      <c r="I1540" s="43" t="inlineStr">
        <is>
          <t>Customer Deviation</t>
        </is>
      </c>
      <c r="J1540" s="43" t="inlineStr">
        <is>
          <t>D612446</t>
        </is>
      </c>
      <c r="K1540" s="33" t="inlineStr">
        <is>
          <t>D612446 Please see PageThree for details</t>
        </is>
      </c>
      <c r="L1540" s="43" t="inlineStr">
        <is>
          <t>Expired</t>
        </is>
      </c>
      <c r="M1540" s="43" t="inlineStr">
        <is>
          <t>28-103227-04</t>
        </is>
      </c>
      <c r="N1540" s="43" t="inlineStr"/>
      <c r="O1540" s="43" t="inlineStr">
        <is>
          <t>2026-09-30</t>
        </is>
      </c>
      <c r="P1540" s="33" t="inlineStr">
        <is>
          <t>Risk Buy Authorization</t>
        </is>
      </c>
      <c r="Q1540" s="43" t="inlineStr">
        <is>
          <t>N/A</t>
        </is>
      </c>
      <c r="R1540" s="43" t="inlineStr">
        <is>
          <t>2026-07-03</t>
        </is>
      </c>
      <c r="S1540" s="43" t="inlineStr">
        <is>
          <t>2026-07-16</t>
        </is>
      </c>
      <c r="T1540" s="43" t="inlineStr"/>
      <c r="U1540" s="43" t="inlineStr"/>
    </row>
    <row r="1541">
      <c r="A1541" s="43" t="n">
        <v>1541</v>
      </c>
      <c r="B1541" s="43" t="inlineStr">
        <is>
          <t>1540</t>
        </is>
      </c>
      <c r="C1541" s="43" t="inlineStr">
        <is>
          <t>FJZP</t>
        </is>
      </c>
      <c r="D1541" s="43" t="inlineStr">
        <is>
          <t>Cisco</t>
        </is>
      </c>
      <c r="E1541" s="43" t="inlineStr">
        <is>
          <t>MCGA</t>
        </is>
      </c>
      <c r="F1541" s="43" t="inlineStr">
        <is>
          <t>037-STBU</t>
        </is>
      </c>
      <c r="G1541" s="43" t="inlineStr">
        <is>
          <t>CTANJZ05338</t>
        </is>
      </c>
      <c r="H1541" s="43" t="inlineStr">
        <is>
          <t>Risk Buy Authorization Only ¡V No Build/Shipment Allowed (Sustaining Only)</t>
        </is>
      </c>
      <c r="I1541" s="43" t="inlineStr">
        <is>
          <t>Customer Deviation</t>
        </is>
      </c>
      <c r="J1541" s="43" t="inlineStr">
        <is>
          <t>D612446</t>
        </is>
      </c>
      <c r="K1541" s="33" t="inlineStr">
        <is>
          <t>D612446 Please see PageThree for details</t>
        </is>
      </c>
      <c r="L1541" s="43" t="inlineStr">
        <is>
          <t>Expired</t>
        </is>
      </c>
      <c r="M1541" s="43" t="inlineStr">
        <is>
          <t>28-103230-02</t>
        </is>
      </c>
      <c r="N1541" s="43" t="inlineStr"/>
      <c r="O1541" s="43" t="inlineStr">
        <is>
          <t>2026-09-30</t>
        </is>
      </c>
      <c r="P1541" s="33" t="inlineStr">
        <is>
          <t>Risk Buy Authorization</t>
        </is>
      </c>
      <c r="Q1541" s="43" t="inlineStr">
        <is>
          <t>N/A</t>
        </is>
      </c>
      <c r="R1541" s="43" t="inlineStr">
        <is>
          <t>2026-07-03</t>
        </is>
      </c>
      <c r="S1541" s="43" t="inlineStr">
        <is>
          <t>2026-07-16</t>
        </is>
      </c>
      <c r="T1541" s="43" t="inlineStr"/>
      <c r="U1541" s="43" t="inlineStr"/>
    </row>
    <row r="1542">
      <c r="A1542" s="43" t="n">
        <v>1542</v>
      </c>
      <c r="B1542" s="43" t="inlineStr">
        <is>
          <t>1541</t>
        </is>
      </c>
      <c r="C1542" s="43" t="inlineStr">
        <is>
          <t>FJZP</t>
        </is>
      </c>
      <c r="D1542" s="43" t="inlineStr">
        <is>
          <t>Cisco</t>
        </is>
      </c>
      <c r="E1542" s="43" t="inlineStr">
        <is>
          <t>MCGA</t>
        </is>
      </c>
      <c r="F1542" s="43" t="inlineStr">
        <is>
          <t>037-STBU</t>
        </is>
      </c>
      <c r="G1542" s="43" t="inlineStr">
        <is>
          <t>CTANJZ05338</t>
        </is>
      </c>
      <c r="H1542" s="43" t="inlineStr">
        <is>
          <t>Risk Buy Authorization Only ¡V No Build/Shipment Allowed (Sustaining Only)</t>
        </is>
      </c>
      <c r="I1542" s="43" t="inlineStr">
        <is>
          <t>Customer Deviation</t>
        </is>
      </c>
      <c r="J1542" s="43" t="inlineStr">
        <is>
          <t>D612446</t>
        </is>
      </c>
      <c r="K1542" s="33" t="inlineStr">
        <is>
          <t>D612446 Please see PageThree for details</t>
        </is>
      </c>
      <c r="L1542" s="43" t="inlineStr">
        <is>
          <t>Expired</t>
        </is>
      </c>
      <c r="M1542" s="43" t="inlineStr">
        <is>
          <t>28-103304-02</t>
        </is>
      </c>
      <c r="N1542" s="43" t="inlineStr"/>
      <c r="O1542" s="43" t="inlineStr">
        <is>
          <t>2026-09-30</t>
        </is>
      </c>
      <c r="P1542" s="33" t="inlineStr">
        <is>
          <t>Risk Buy Authorization</t>
        </is>
      </c>
      <c r="Q1542" s="43" t="inlineStr">
        <is>
          <t>N/A</t>
        </is>
      </c>
      <c r="R1542" s="43" t="inlineStr">
        <is>
          <t>2026-07-03</t>
        </is>
      </c>
      <c r="S1542" s="43" t="inlineStr">
        <is>
          <t>2026-07-16</t>
        </is>
      </c>
      <c r="T1542" s="43" t="inlineStr"/>
      <c r="U1542" s="43" t="inlineStr"/>
    </row>
    <row r="1543">
      <c r="A1543" s="43" t="n">
        <v>1543</v>
      </c>
      <c r="B1543" s="43" t="inlineStr">
        <is>
          <t>1542</t>
        </is>
      </c>
      <c r="C1543" s="43" t="inlineStr">
        <is>
          <t>FJZP</t>
        </is>
      </c>
      <c r="D1543" s="43" t="inlineStr">
        <is>
          <t>Cisco</t>
        </is>
      </c>
      <c r="E1543" s="43" t="inlineStr">
        <is>
          <t>MCGA</t>
        </is>
      </c>
      <c r="F1543" s="43" t="inlineStr">
        <is>
          <t>037-STBU</t>
        </is>
      </c>
      <c r="G1543" s="43" t="inlineStr">
        <is>
          <t>CTANJZ05338</t>
        </is>
      </c>
      <c r="H1543" s="43" t="inlineStr">
        <is>
          <t>Risk Buy Authorization Only ¡V No Build/Shipment Allowed (Sustaining Only)</t>
        </is>
      </c>
      <c r="I1543" s="43" t="inlineStr">
        <is>
          <t>Customer Deviation</t>
        </is>
      </c>
      <c r="J1543" s="43" t="inlineStr">
        <is>
          <t>D612446</t>
        </is>
      </c>
      <c r="K1543" s="33" t="inlineStr">
        <is>
          <t>D612446 Please see PageThree for details</t>
        </is>
      </c>
      <c r="L1543" s="43" t="inlineStr">
        <is>
          <t>Expired</t>
        </is>
      </c>
      <c r="M1543" s="43" t="inlineStr">
        <is>
          <t>28-103471-04</t>
        </is>
      </c>
      <c r="N1543" s="43" t="inlineStr"/>
      <c r="O1543" s="43" t="inlineStr">
        <is>
          <t>2026-09-30</t>
        </is>
      </c>
      <c r="P1543" s="33" t="inlineStr">
        <is>
          <t>Risk Buy Authorization</t>
        </is>
      </c>
      <c r="Q1543" s="43" t="inlineStr">
        <is>
          <t>N/A</t>
        </is>
      </c>
      <c r="R1543" s="43" t="inlineStr">
        <is>
          <t>2026-07-03</t>
        </is>
      </c>
      <c r="S1543" s="43" t="inlineStr">
        <is>
          <t>2026-07-16</t>
        </is>
      </c>
      <c r="T1543" s="43" t="inlineStr"/>
      <c r="U1543" s="43" t="inlineStr"/>
    </row>
    <row r="1544">
      <c r="A1544" s="43" t="n">
        <v>1544</v>
      </c>
      <c r="B1544" s="43" t="inlineStr">
        <is>
          <t>1543</t>
        </is>
      </c>
      <c r="C1544" s="43" t="inlineStr">
        <is>
          <t>FJZP</t>
        </is>
      </c>
      <c r="D1544" s="43" t="inlineStr">
        <is>
          <t>Cisco</t>
        </is>
      </c>
      <c r="E1544" s="43" t="inlineStr">
        <is>
          <t>MCGA</t>
        </is>
      </c>
      <c r="F1544" s="43" t="inlineStr">
        <is>
          <t>037-STBU</t>
        </is>
      </c>
      <c r="G1544" s="43" t="inlineStr">
        <is>
          <t>CTANJZ05338</t>
        </is>
      </c>
      <c r="H1544" s="43" t="inlineStr">
        <is>
          <t>Risk Buy Authorization Only ¡V No Build/Shipment Allowed (Sustaining Only)</t>
        </is>
      </c>
      <c r="I1544" s="43" t="inlineStr">
        <is>
          <t>Customer Deviation</t>
        </is>
      </c>
      <c r="J1544" s="43" t="inlineStr">
        <is>
          <t>D612446</t>
        </is>
      </c>
      <c r="K1544" s="33" t="inlineStr">
        <is>
          <t>D612446 Please see PageThree for details</t>
        </is>
      </c>
      <c r="L1544" s="43" t="inlineStr">
        <is>
          <t>Expired</t>
        </is>
      </c>
      <c r="M1544" s="43" t="inlineStr">
        <is>
          <t>73-103558-04</t>
        </is>
      </c>
      <c r="N1544" s="43" t="inlineStr"/>
      <c r="O1544" s="43" t="inlineStr">
        <is>
          <t>2026-09-30</t>
        </is>
      </c>
      <c r="P1544" s="33" t="inlineStr">
        <is>
          <t>Risk Buy Authorization</t>
        </is>
      </c>
      <c r="Q1544" s="43" t="inlineStr">
        <is>
          <t>N/A</t>
        </is>
      </c>
      <c r="R1544" s="43" t="inlineStr">
        <is>
          <t>2026-07-03</t>
        </is>
      </c>
      <c r="S1544" s="43" t="inlineStr">
        <is>
          <t>2026-07-16</t>
        </is>
      </c>
      <c r="T1544" s="43" t="inlineStr"/>
      <c r="U1544" s="43" t="inlineStr"/>
    </row>
    <row r="1545">
      <c r="A1545" s="43" t="n">
        <v>1545</v>
      </c>
      <c r="B1545" s="43" t="inlineStr">
        <is>
          <t>1544</t>
        </is>
      </c>
      <c r="C1545" s="43" t="inlineStr">
        <is>
          <t>FJZP</t>
        </is>
      </c>
      <c r="D1545" s="43" t="inlineStr">
        <is>
          <t>Cisco</t>
        </is>
      </c>
      <c r="E1545" s="43" t="inlineStr">
        <is>
          <t>MCGA</t>
        </is>
      </c>
      <c r="F1545" s="43" t="inlineStr">
        <is>
          <t>037-STBU</t>
        </is>
      </c>
      <c r="G1545" s="43" t="inlineStr">
        <is>
          <t>CTANJZ05338</t>
        </is>
      </c>
      <c r="H1545" s="43" t="inlineStr">
        <is>
          <t>Risk Buy Authorization Only ¡V No Build/Shipment Allowed (Sustaining Only)</t>
        </is>
      </c>
      <c r="I1545" s="43" t="inlineStr">
        <is>
          <t>Customer Deviation</t>
        </is>
      </c>
      <c r="J1545" s="43" t="inlineStr">
        <is>
          <t>D612446</t>
        </is>
      </c>
      <c r="K1545" s="33" t="inlineStr">
        <is>
          <t>D612446 Please see PageThree for details</t>
        </is>
      </c>
      <c r="L1545" s="43" t="inlineStr">
        <is>
          <t>Expired</t>
        </is>
      </c>
      <c r="M1545" s="43" t="inlineStr">
        <is>
          <t>73-103559-04</t>
        </is>
      </c>
      <c r="N1545" s="43" t="inlineStr"/>
      <c r="O1545" s="43" t="inlineStr">
        <is>
          <t>2026-09-30</t>
        </is>
      </c>
      <c r="P1545" s="33" t="inlineStr">
        <is>
          <t>Risk Buy Authorization</t>
        </is>
      </c>
      <c r="Q1545" s="43" t="inlineStr">
        <is>
          <t>N/A</t>
        </is>
      </c>
      <c r="R1545" s="43" t="inlineStr">
        <is>
          <t>2026-07-03</t>
        </is>
      </c>
      <c r="S1545" s="43" t="inlineStr">
        <is>
          <t>2026-07-16</t>
        </is>
      </c>
      <c r="T1545" s="43" t="inlineStr"/>
      <c r="U1545" s="43" t="inlineStr"/>
    </row>
    <row r="1546">
      <c r="A1546" s="43" t="n">
        <v>1546</v>
      </c>
      <c r="B1546" s="43" t="inlineStr">
        <is>
          <t>1545</t>
        </is>
      </c>
      <c r="C1546" s="43" t="inlineStr">
        <is>
          <t>FJZP</t>
        </is>
      </c>
      <c r="D1546" s="43" t="inlineStr">
        <is>
          <t>Cisco</t>
        </is>
      </c>
      <c r="E1546" s="43" t="inlineStr">
        <is>
          <t>MCGA</t>
        </is>
      </c>
      <c r="F1546" s="43" t="inlineStr">
        <is>
          <t>037-STBU</t>
        </is>
      </c>
      <c r="G1546" s="43" t="inlineStr">
        <is>
          <t>CTANJZ05338</t>
        </is>
      </c>
      <c r="H1546" s="43" t="inlineStr">
        <is>
          <t>Risk Buy Authorization Only ¡V No Build/Shipment Allowed (Sustaining Only)</t>
        </is>
      </c>
      <c r="I1546" s="43" t="inlineStr">
        <is>
          <t>Customer Deviation</t>
        </is>
      </c>
      <c r="J1546" s="43" t="inlineStr">
        <is>
          <t>D612446</t>
        </is>
      </c>
      <c r="K1546" s="33" t="inlineStr">
        <is>
          <t>D612446 Please see PageThree for details</t>
        </is>
      </c>
      <c r="L1546" s="43" t="inlineStr">
        <is>
          <t>Expired</t>
        </is>
      </c>
      <c r="M1546" s="43" t="inlineStr">
        <is>
          <t>73-103563-02</t>
        </is>
      </c>
      <c r="N1546" s="43" t="inlineStr"/>
      <c r="O1546" s="43" t="inlineStr">
        <is>
          <t>2026-09-30</t>
        </is>
      </c>
      <c r="P1546" s="33" t="inlineStr">
        <is>
          <t>Risk Buy Authorization</t>
        </is>
      </c>
      <c r="Q1546" s="43" t="inlineStr">
        <is>
          <t>N/A</t>
        </is>
      </c>
      <c r="R1546" s="43" t="inlineStr">
        <is>
          <t>2026-07-03</t>
        </is>
      </c>
      <c r="S1546" s="43" t="inlineStr">
        <is>
          <t>2026-07-16</t>
        </is>
      </c>
      <c r="T1546" s="43" t="inlineStr"/>
      <c r="U1546" s="43" t="inlineStr"/>
    </row>
    <row r="1547">
      <c r="A1547" s="43" t="n">
        <v>1547</v>
      </c>
      <c r="B1547" s="43" t="inlineStr">
        <is>
          <t>1546</t>
        </is>
      </c>
      <c r="C1547" s="43" t="inlineStr">
        <is>
          <t>FJZP</t>
        </is>
      </c>
      <c r="D1547" s="43" t="inlineStr">
        <is>
          <t>Cisco</t>
        </is>
      </c>
      <c r="E1547" s="43" t="inlineStr">
        <is>
          <t>MCGA</t>
        </is>
      </c>
      <c r="F1547" s="43" t="inlineStr">
        <is>
          <t>037-STBU</t>
        </is>
      </c>
      <c r="G1547" s="43" t="inlineStr">
        <is>
          <t>CTANJZ05353</t>
        </is>
      </c>
      <c r="H1547" s="43" t="inlineStr">
        <is>
          <t>To track an AML qualification build (EXTENDABLE 2x)</t>
        </is>
      </c>
      <c r="I1547" s="43" t="inlineStr">
        <is>
          <t>Customer Deviation</t>
        </is>
      </c>
      <c r="J1547" s="43" t="inlineStr">
        <is>
          <t>D612478</t>
        </is>
      </c>
      <c r="K1547" s="33" t="inlineStr">
        <is>
          <t>D612478 NGFWBU GQR: GQR000096134 Case: AQR003756973 CPN: 36-0097-01; MFR NAME: MAG LAYERS; MPN: BBUPCS453215800Y00This deviation instructs Foxconn Juarez (FJZ) to execute a sample buy and conduct a Production Qual build for the following part(s):BU: NGFWBUPF: F1KLOW ; FPRLOWAffected TAN(s):68-7007-02Affected Item(s): 73-18489-08CPN: 36-0097-01; MFR NAME: MAG LAYERS; MPN: BBUPCS453215800Y00Build Qty: 7Ref Des: L3_PE;L45_PETo execute the above AQR at CM site; should be tested on Model A.</t>
        </is>
      </c>
      <c r="L1547" s="43" t="inlineStr">
        <is>
          <t>Expired</t>
        </is>
      </c>
      <c r="M1547" s="43" t="inlineStr">
        <is>
          <t>36-0097-01</t>
        </is>
      </c>
      <c r="N1547" s="43" t="inlineStr"/>
      <c r="O1547" s="43" t="inlineStr">
        <is>
          <t>2026-10-07</t>
        </is>
      </c>
      <c r="P1547" s="33" t="inlineStr">
        <is>
          <t>To track an AML qualification build (EXTENDABLE 2x);Risk Buy Authorization</t>
        </is>
      </c>
      <c r="Q1547" s="43" t="inlineStr">
        <is>
          <t>NA</t>
        </is>
      </c>
      <c r="R1547" s="43" t="inlineStr">
        <is>
          <t>2026-07-10</t>
        </is>
      </c>
      <c r="S1547" s="43" t="inlineStr">
        <is>
          <t>2026-07-21</t>
        </is>
      </c>
      <c r="T1547" s="43" t="inlineStr"/>
      <c r="U1547" s="43" t="inlineStr"/>
    </row>
    <row r="1548">
      <c r="A1548" s="43" t="n">
        <v>1548</v>
      </c>
      <c r="B1548" s="43" t="inlineStr">
        <is>
          <t>1547</t>
        </is>
      </c>
      <c r="C1548" s="43" t="inlineStr">
        <is>
          <t>FJZP</t>
        </is>
      </c>
      <c r="D1548" s="43" t="inlineStr">
        <is>
          <t>Cisco</t>
        </is>
      </c>
      <c r="E1548" s="43" t="inlineStr">
        <is>
          <t>MCGA</t>
        </is>
      </c>
      <c r="F1548" s="43" t="inlineStr">
        <is>
          <t>037-STBU</t>
        </is>
      </c>
      <c r="G1548" s="43" t="inlineStr">
        <is>
          <t>CTANJZ05353</t>
        </is>
      </c>
      <c r="H1548" s="43" t="inlineStr">
        <is>
          <t>To track an AML qualification build (EXTENDABLE 2x)</t>
        </is>
      </c>
      <c r="I1548" s="43" t="inlineStr">
        <is>
          <t>Customer Deviation</t>
        </is>
      </c>
      <c r="J1548" s="43" t="inlineStr">
        <is>
          <t>D612478</t>
        </is>
      </c>
      <c r="K1548" s="33" t="inlineStr">
        <is>
          <t>D612478 NGFWBU GQR: GQR000096134 Case: AQR003756973 CPN: 36-0097-01; MFR NAME: MAG LAYERS; MPN: BBUPCS453215800Y00This deviation instructs Foxconn Juarez (FJZ) to execute a sample buy and conduct a Production Qual build for the following part(s):BU: NGFWBUPF: F1KLOW ; FPRLOWAffected TAN(s):68-7007-02Affected Item(s): 73-18489-08CPN: 36-0097-01; MFR NAME: MAG LAYERS; MPN: BBUPCS453215800Y00Build Qty: 7Ref Des: L3_PE;L45_PETo execute the above AQR at CM site; should be tested on Model A.</t>
        </is>
      </c>
      <c r="L1548" s="43" t="inlineStr">
        <is>
          <t>Expired</t>
        </is>
      </c>
      <c r="M1548" s="43" t="inlineStr">
        <is>
          <t>73-18489-08</t>
        </is>
      </c>
      <c r="N1548" s="43" t="inlineStr"/>
      <c r="O1548" s="43" t="inlineStr">
        <is>
          <t>2026-10-07</t>
        </is>
      </c>
      <c r="P1548" s="33" t="inlineStr">
        <is>
          <t>To track an AML qualification build (EXTENDABLE 2x);Risk Buy Authorization</t>
        </is>
      </c>
      <c r="Q1548" s="43" t="inlineStr">
        <is>
          <t>NA</t>
        </is>
      </c>
      <c r="R1548" s="43" t="inlineStr">
        <is>
          <t>2026-07-10</t>
        </is>
      </c>
      <c r="S1548" s="43" t="inlineStr">
        <is>
          <t>2026-07-21</t>
        </is>
      </c>
      <c r="T1548" s="43" t="inlineStr"/>
      <c r="U1548" s="43" t="inlineStr"/>
    </row>
    <row r="1549">
      <c r="A1549" s="43" t="n">
        <v>1549</v>
      </c>
      <c r="B1549" s="43" t="inlineStr">
        <is>
          <t>1548</t>
        </is>
      </c>
      <c r="C1549" s="43" t="inlineStr">
        <is>
          <t>FJZP</t>
        </is>
      </c>
      <c r="D1549" s="43" t="inlineStr">
        <is>
          <t>Cisco</t>
        </is>
      </c>
      <c r="E1549" s="43" t="inlineStr">
        <is>
          <t>MCGA</t>
        </is>
      </c>
      <c r="F1549" s="43" t="inlineStr">
        <is>
          <t>037-STBU</t>
        </is>
      </c>
      <c r="G1549" s="43" t="inlineStr">
        <is>
          <t>CTANJZ04427</t>
        </is>
      </c>
      <c r="H1549" s="43" t="inlineStr">
        <is>
          <t>Risk Buy Authorization Only ¡V No Build/Shipment Allowed (Sustaining Only)</t>
        </is>
      </c>
      <c r="I1549" s="43" t="inlineStr">
        <is>
          <t>Customer Deviation</t>
        </is>
      </c>
      <c r="J1549" s="43" t="inlineStr">
        <is>
          <t>D601187</t>
        </is>
      </c>
      <c r="K1549" s="33" t="inlineStr">
        <is>
          <t>D601187NGFWBU: Risk Buy: GQR No: GQR000020121; AQR No: AQR000831374; CPN:20-0645-01; MFR NAME: INFINEON TECHNOLOGIES; MPN: IRLML9303TRPBFTo execute the above AQR at CM Site.</t>
        </is>
      </c>
      <c r="L1549" s="43" t="inlineStr">
        <is>
          <t>Expired</t>
        </is>
      </c>
      <c r="M1549" s="43" t="inlineStr">
        <is>
          <t>20-0645-01</t>
        </is>
      </c>
      <c r="N1549" s="43" t="inlineStr"/>
      <c r="O1549" s="43" t="inlineStr">
        <is>
          <t>2025-04-28</t>
        </is>
      </c>
      <c r="P1549" s="33" t="inlineStr">
        <is>
          <t>Risk Buy Authorization</t>
        </is>
      </c>
      <c r="Q1549" s="43" t="inlineStr">
        <is>
          <t>No marking required.</t>
        </is>
      </c>
      <c r="R1549" s="43" t="inlineStr">
        <is>
          <t>2025-02-03</t>
        </is>
      </c>
      <c r="S1549" s="43" t="inlineStr">
        <is>
          <t>2025-02-25</t>
        </is>
      </c>
      <c r="T1549" s="43" t="inlineStr"/>
      <c r="U1549" s="43" t="inlineStr"/>
    </row>
    <row r="1550">
      <c r="A1550" s="43" t="n">
        <v>1550</v>
      </c>
      <c r="B1550" s="43" t="inlineStr">
        <is>
          <t>1549</t>
        </is>
      </c>
      <c r="C1550" s="43" t="inlineStr">
        <is>
          <t>FJZP</t>
        </is>
      </c>
      <c r="D1550" s="43" t="inlineStr">
        <is>
          <t>Cisco</t>
        </is>
      </c>
      <c r="E1550" s="43" t="inlineStr">
        <is>
          <t>MCGA</t>
        </is>
      </c>
      <c r="F1550" s="43" t="inlineStr">
        <is>
          <t>037-STBU</t>
        </is>
      </c>
      <c r="G1550" s="43" t="inlineStr">
        <is>
          <t>CTANJZ04427</t>
        </is>
      </c>
      <c r="H1550" s="43" t="inlineStr">
        <is>
          <t>Risk Buy Authorization Only ¡V No Build/Shipment Allowed (Sustaining Only)</t>
        </is>
      </c>
      <c r="I1550" s="43" t="inlineStr">
        <is>
          <t>Customer Deviation</t>
        </is>
      </c>
      <c r="J1550" s="43" t="inlineStr">
        <is>
          <t>D601187</t>
        </is>
      </c>
      <c r="K1550" s="33" t="inlineStr">
        <is>
          <t>D601187NGFWBU: Risk Buy: GQR No: GQR000020121; AQR No: AQR000831374; CPN:20-0645-01; MFR NAME: INFINEON TECHNOLOGIES; MPN: IRLML9303TRPBFTo execute the above AQR at CM Site.</t>
        </is>
      </c>
      <c r="L1550" s="43" t="inlineStr">
        <is>
          <t>Expired</t>
        </is>
      </c>
      <c r="M1550" s="43" t="inlineStr">
        <is>
          <t>68-7253-04</t>
        </is>
      </c>
      <c r="N1550" s="43" t="inlineStr"/>
      <c r="O1550" s="43" t="inlineStr">
        <is>
          <t>2025-04-28</t>
        </is>
      </c>
      <c r="P1550" s="33" t="inlineStr">
        <is>
          <t>Risk Buy Authorization</t>
        </is>
      </c>
      <c r="Q1550" s="43" t="inlineStr">
        <is>
          <t>No marking required.</t>
        </is>
      </c>
      <c r="R1550" s="43" t="inlineStr">
        <is>
          <t>2025-02-03</t>
        </is>
      </c>
      <c r="S1550" s="43" t="inlineStr">
        <is>
          <t>2025-02-25</t>
        </is>
      </c>
      <c r="T1550" s="43" t="inlineStr"/>
      <c r="U1550" s="43" t="inlineStr"/>
    </row>
    <row r="1551">
      <c r="A1551" s="43" t="n">
        <v>1551</v>
      </c>
      <c r="B1551" s="43" t="inlineStr">
        <is>
          <t>1550</t>
        </is>
      </c>
      <c r="C1551" s="43" t="inlineStr">
        <is>
          <t>FJZP</t>
        </is>
      </c>
      <c r="D1551" s="43" t="inlineStr">
        <is>
          <t>Cisco</t>
        </is>
      </c>
      <c r="E1551" s="43" t="inlineStr">
        <is>
          <t>MCGA</t>
        </is>
      </c>
      <c r="F1551" s="43" t="inlineStr">
        <is>
          <t>037-STBU</t>
        </is>
      </c>
      <c r="G1551" s="43" t="inlineStr">
        <is>
          <t>CTANJZ04427</t>
        </is>
      </c>
      <c r="H1551" s="43" t="inlineStr">
        <is>
          <t>Risk Buy Authorization Only ¡V No Build/Shipment Allowed (Sustaining Only)</t>
        </is>
      </c>
      <c r="I1551" s="43" t="inlineStr">
        <is>
          <t>Customer Deviation</t>
        </is>
      </c>
      <c r="J1551" s="43" t="inlineStr">
        <is>
          <t>D601187</t>
        </is>
      </c>
      <c r="K1551" s="33" t="inlineStr">
        <is>
          <t>D601187NGFWBU: Risk Buy: GQR No: GQR000020121; AQR No: AQR000831374; CPN:20-0645-01; MFR NAME: INFINEON TECHNOLOGIES; MPN: IRLML9303TRPBFTo execute the above AQR at CM Site.</t>
        </is>
      </c>
      <c r="L1551" s="43" t="inlineStr">
        <is>
          <t>Expired</t>
        </is>
      </c>
      <c r="M1551" s="43" t="inlineStr">
        <is>
          <t>73-20249-05</t>
        </is>
      </c>
      <c r="N1551" s="43" t="inlineStr"/>
      <c r="O1551" s="43" t="inlineStr">
        <is>
          <t>2025-04-28</t>
        </is>
      </c>
      <c r="P1551" s="33" t="inlineStr">
        <is>
          <t>Risk Buy Authorization</t>
        </is>
      </c>
      <c r="Q1551" s="43" t="inlineStr">
        <is>
          <t>No marking required.</t>
        </is>
      </c>
      <c r="R1551" s="43" t="inlineStr">
        <is>
          <t>2025-02-03</t>
        </is>
      </c>
      <c r="S1551" s="43" t="inlineStr">
        <is>
          <t>2025-02-25</t>
        </is>
      </c>
      <c r="T1551" s="43" t="inlineStr"/>
      <c r="U1551" s="43" t="inlineStr"/>
    </row>
    <row r="1552">
      <c r="A1552" s="43" t="n">
        <v>1552</v>
      </c>
      <c r="B1552" s="43" t="inlineStr">
        <is>
          <t>1551</t>
        </is>
      </c>
      <c r="C1552" s="43" t="inlineStr">
        <is>
          <t>FJZP</t>
        </is>
      </c>
      <c r="D1552" s="43" t="inlineStr">
        <is>
          <t>Cisco</t>
        </is>
      </c>
      <c r="E1552" s="43" t="inlineStr">
        <is>
          <t>MCGA</t>
        </is>
      </c>
      <c r="F1552" s="43" t="inlineStr">
        <is>
          <t>037-STBU</t>
        </is>
      </c>
      <c r="G1552" s="43" t="inlineStr">
        <is>
          <t>CTANJZ04545</t>
        </is>
      </c>
      <c r="H1552" s="43" t="inlineStr">
        <is>
          <t>Risk Buy Authorization Only ¡V No Build/Shipment Allowed (Sustaining Only)</t>
        </is>
      </c>
      <c r="I1552" s="43" t="inlineStr">
        <is>
          <t>Customer Deviation</t>
        </is>
      </c>
      <c r="J1552" s="43" t="inlineStr">
        <is>
          <t>D601188</t>
        </is>
      </c>
      <c r="K1552" s="33" t="inlineStr">
        <is>
          <t>D601188 NGFWBU: Risk Buy: GQR No: GQR000040714; AQR No: AQR001532866; CPN:25-1209-01; MFR NAME: HARVATEK CORPORATION; MPN:B2G32UYUG20C000913U1924To execute the above AQR at CM Site.</t>
        </is>
      </c>
      <c r="L1552" s="43" t="inlineStr">
        <is>
          <t>Expired</t>
        </is>
      </c>
      <c r="M1552" s="43" t="inlineStr">
        <is>
          <t>25-1209-01</t>
        </is>
      </c>
      <c r="N1552" s="43" t="inlineStr"/>
      <c r="O1552" s="43" t="inlineStr">
        <is>
          <t>2025-07-02</t>
        </is>
      </c>
      <c r="P1552" s="33" t="inlineStr">
        <is>
          <t>Risk Buy Authorization</t>
        </is>
      </c>
      <c r="Q1552" s="43" t="inlineStr">
        <is>
          <t>No marking required</t>
        </is>
      </c>
      <c r="R1552" s="43" t="inlineStr">
        <is>
          <t>2025-04-07</t>
        </is>
      </c>
      <c r="S1552" s="43" t="inlineStr">
        <is>
          <t>2025-04-22</t>
        </is>
      </c>
      <c r="T1552" s="43" t="inlineStr"/>
      <c r="U1552" s="43" t="inlineStr"/>
    </row>
    <row r="1553">
      <c r="A1553" s="43" t="n">
        <v>1553</v>
      </c>
      <c r="B1553" s="43" t="inlineStr">
        <is>
          <t>1552</t>
        </is>
      </c>
      <c r="C1553" s="43" t="inlineStr">
        <is>
          <t>FJZP</t>
        </is>
      </c>
      <c r="D1553" s="43" t="inlineStr">
        <is>
          <t>Cisco</t>
        </is>
      </c>
      <c r="E1553" s="43" t="inlineStr">
        <is>
          <t>MCGA</t>
        </is>
      </c>
      <c r="F1553" s="43" t="inlineStr">
        <is>
          <t>037-STBU</t>
        </is>
      </c>
      <c r="G1553" s="43" t="inlineStr">
        <is>
          <t>CTANJZ04545</t>
        </is>
      </c>
      <c r="H1553" s="43" t="inlineStr">
        <is>
          <t>Risk Buy Authorization Only ¡V No Build/Shipment Allowed (Sustaining Only)</t>
        </is>
      </c>
      <c r="I1553" s="43" t="inlineStr">
        <is>
          <t>Customer Deviation</t>
        </is>
      </c>
      <c r="J1553" s="43" t="inlineStr">
        <is>
          <t>D601188</t>
        </is>
      </c>
      <c r="K1553" s="33" t="inlineStr">
        <is>
          <t>D601188 NGFWBU: Risk Buy: GQR No: GQR000040714; AQR No: AQR001532866; CPN:25-1209-01; MFR NAME: HARVATEK CORPORATION; MPN:B2G32UYUG20C000913U1924To execute the above AQR at CM Site.</t>
        </is>
      </c>
      <c r="L1553" s="43" t="inlineStr">
        <is>
          <t>Expired</t>
        </is>
      </c>
      <c r="M1553" s="43" t="inlineStr">
        <is>
          <t>68-7028-03</t>
        </is>
      </c>
      <c r="N1553" s="43" t="inlineStr"/>
      <c r="O1553" s="43" t="inlineStr">
        <is>
          <t>2025-07-02</t>
        </is>
      </c>
      <c r="P1553" s="33" t="inlineStr">
        <is>
          <t>Risk Buy Authorization</t>
        </is>
      </c>
      <c r="Q1553" s="43" t="inlineStr">
        <is>
          <t>No marking required</t>
        </is>
      </c>
      <c r="R1553" s="43" t="inlineStr">
        <is>
          <t>2025-04-07</t>
        </is>
      </c>
      <c r="S1553" s="43" t="inlineStr">
        <is>
          <t>2025-04-22</t>
        </is>
      </c>
      <c r="T1553" s="43" t="inlineStr"/>
      <c r="U1553" s="43" t="inlineStr"/>
    </row>
    <row r="1554">
      <c r="A1554" s="43" t="n">
        <v>1554</v>
      </c>
      <c r="B1554" s="43" t="inlineStr">
        <is>
          <t>1553</t>
        </is>
      </c>
      <c r="C1554" s="43" t="inlineStr">
        <is>
          <t>FJZP</t>
        </is>
      </c>
      <c r="D1554" s="43" t="inlineStr">
        <is>
          <t>Cisco</t>
        </is>
      </c>
      <c r="E1554" s="43" t="inlineStr">
        <is>
          <t>MCGA</t>
        </is>
      </c>
      <c r="F1554" s="43" t="inlineStr">
        <is>
          <t>037-STBU</t>
        </is>
      </c>
      <c r="G1554" s="43" t="inlineStr">
        <is>
          <t>CTANJZ04545</t>
        </is>
      </c>
      <c r="H1554" s="43" t="inlineStr">
        <is>
          <t>Risk Buy Authorization Only ¡V No Build/Shipment Allowed (Sustaining Only)</t>
        </is>
      </c>
      <c r="I1554" s="43" t="inlineStr">
        <is>
          <t>Customer Deviation</t>
        </is>
      </c>
      <c r="J1554" s="43" t="inlineStr">
        <is>
          <t>D601188</t>
        </is>
      </c>
      <c r="K1554" s="33" t="inlineStr">
        <is>
          <t>D601188 NGFWBU: Risk Buy: GQR No: GQR000040714; AQR No: AQR001532866; CPN:25-1209-01; MFR NAME: HARVATEK CORPORATION; MPN:B2G32UYUG20C000913U1924To execute the above AQR at CM Site.</t>
        </is>
      </c>
      <c r="L1554" s="43" t="inlineStr">
        <is>
          <t>Expired</t>
        </is>
      </c>
      <c r="M1554" s="43" t="inlineStr">
        <is>
          <t>73-17498-04</t>
        </is>
      </c>
      <c r="N1554" s="43" t="inlineStr"/>
      <c r="O1554" s="43" t="inlineStr">
        <is>
          <t>2025-07-02</t>
        </is>
      </c>
      <c r="P1554" s="33" t="inlineStr">
        <is>
          <t>Risk Buy Authorization</t>
        </is>
      </c>
      <c r="Q1554" s="43" t="inlineStr">
        <is>
          <t>No marking required</t>
        </is>
      </c>
      <c r="R1554" s="43" t="inlineStr">
        <is>
          <t>2025-04-07</t>
        </is>
      </c>
      <c r="S1554" s="43" t="inlineStr">
        <is>
          <t>2025-04-22</t>
        </is>
      </c>
      <c r="T1554" s="43" t="inlineStr"/>
      <c r="U1554" s="43" t="inlineStr"/>
    </row>
    <row r="1555">
      <c r="A1555" s="43" t="n">
        <v>1555</v>
      </c>
      <c r="B1555" s="43" t="inlineStr">
        <is>
          <t>1554</t>
        </is>
      </c>
      <c r="C1555" s="43" t="inlineStr">
        <is>
          <t>FJZP</t>
        </is>
      </c>
      <c r="D1555" s="43" t="inlineStr">
        <is>
          <t>Cisco</t>
        </is>
      </c>
      <c r="E1555" s="43" t="inlineStr">
        <is>
          <t>MCGA</t>
        </is>
      </c>
      <c r="F1555" s="43" t="inlineStr">
        <is>
          <t>018-SRGBU</t>
        </is>
      </c>
      <c r="G1555" s="43" t="inlineStr">
        <is>
          <t>CTANJZ04764</t>
        </is>
      </c>
      <c r="H1555" s="43" t="inlineStr">
        <is>
          <t>Risk Buy Authorization Only ¡V No Build/Shipment Allowed (Sustaining Only)</t>
        </is>
      </c>
      <c r="I1555" s="43" t="inlineStr">
        <is>
          <t>Customer Deviation</t>
        </is>
      </c>
      <c r="J1555" s="43" t="inlineStr">
        <is>
          <t>D605287</t>
        </is>
      </c>
      <c r="K1555" s="33" t="inlineStr">
        <is>
          <t>D605287 SRGBU: This Deviation is created for risk buy of Nanya NT16GA72D8PFX3K-JR (15-107070-01) of 7K pcs</t>
        </is>
      </c>
      <c r="L1555" s="43" t="inlineStr">
        <is>
          <t>Expired</t>
        </is>
      </c>
      <c r="M1555" s="43" t="inlineStr">
        <is>
          <t>15-107070-01</t>
        </is>
      </c>
      <c r="N1555" s="43" t="inlineStr"/>
      <c r="O1555" s="43" t="inlineStr">
        <is>
          <t>2025-11-03</t>
        </is>
      </c>
      <c r="P1555" s="33" t="inlineStr">
        <is>
          <t>Risk Buy Authorization</t>
        </is>
      </c>
      <c r="Q1555" s="43" t="inlineStr">
        <is>
          <t>No marking instruction is required</t>
        </is>
      </c>
      <c r="R1555" s="43" t="inlineStr">
        <is>
          <t>2025-08-05</t>
        </is>
      </c>
      <c r="S1555" s="43" t="inlineStr">
        <is>
          <t>2025-08-12</t>
        </is>
      </c>
      <c r="T1555" s="43" t="inlineStr"/>
      <c r="U1555" s="43" t="inlineStr"/>
    </row>
    <row r="1556">
      <c r="A1556" s="43" t="n">
        <v>1556</v>
      </c>
      <c r="B1556" s="43" t="inlineStr">
        <is>
          <t>1555</t>
        </is>
      </c>
      <c r="C1556" s="43" t="inlineStr">
        <is>
          <t>FJZP</t>
        </is>
      </c>
      <c r="D1556" s="43" t="inlineStr">
        <is>
          <t>Cisco</t>
        </is>
      </c>
      <c r="E1556" s="43" t="inlineStr">
        <is>
          <t>MCGA</t>
        </is>
      </c>
      <c r="F1556" s="43" t="inlineStr">
        <is>
          <t>037-STBU</t>
        </is>
      </c>
      <c r="G1556" s="43" t="inlineStr">
        <is>
          <t>CTANJZ05022</t>
        </is>
      </c>
      <c r="H1556" s="43" t="inlineStr">
        <is>
          <t>Risk Buy Authorization Only ¡V No Build/Shipment Allowed (Sustaining Only)</t>
        </is>
      </c>
      <c r="I1556" s="43" t="inlineStr">
        <is>
          <t>Customer Deviation</t>
        </is>
      </c>
      <c r="J1556" s="43" t="inlineStr">
        <is>
          <t>D607604</t>
        </is>
      </c>
      <c r="K1556" s="33" t="inlineStr">
        <is>
          <t>D607604 NGFWBU: Risk Buy: GQR No: GQR000072447; AQR No:AQR003000368; CPN: 22-0522-01; MFR NAME: DIPTRONICS ; MPN: DTSA-62N-VTo execute the above AQR at CM Site.</t>
        </is>
      </c>
      <c r="L1556" s="43" t="inlineStr">
        <is>
          <t>Expired</t>
        </is>
      </c>
      <c r="M1556" s="43" t="inlineStr">
        <is>
          <t>22-0522-01</t>
        </is>
      </c>
      <c r="N1556" s="43" t="inlineStr"/>
      <c r="O1556" s="43" t="inlineStr">
        <is>
          <t>2026-03-11</t>
        </is>
      </c>
      <c r="P1556" s="33" t="inlineStr">
        <is>
          <t>Risk Buy Authorization</t>
        </is>
      </c>
      <c r="Q1556" s="43" t="inlineStr">
        <is>
          <t>No marking required.</t>
        </is>
      </c>
      <c r="R1556" s="43" t="inlineStr">
        <is>
          <t>2025-12-11</t>
        </is>
      </c>
      <c r="S1556" s="43" t="inlineStr">
        <is>
          <t>2026-01-27</t>
        </is>
      </c>
      <c r="T1556" s="43" t="inlineStr"/>
      <c r="U1556" s="43" t="inlineStr"/>
    </row>
    <row r="1557">
      <c r="A1557" s="43" t="n">
        <v>1557</v>
      </c>
      <c r="B1557" s="43" t="inlineStr">
        <is>
          <t>1556</t>
        </is>
      </c>
      <c r="C1557" s="43" t="inlineStr">
        <is>
          <t>FJZP</t>
        </is>
      </c>
      <c r="D1557" s="43" t="inlineStr">
        <is>
          <t>Cisco</t>
        </is>
      </c>
      <c r="E1557" s="43" t="inlineStr">
        <is>
          <t>MCGA</t>
        </is>
      </c>
      <c r="F1557" s="43" t="inlineStr">
        <is>
          <t>037-STBU</t>
        </is>
      </c>
      <c r="G1557" s="43" t="inlineStr">
        <is>
          <t>CTANJZ05022</t>
        </is>
      </c>
      <c r="H1557" s="43" t="inlineStr">
        <is>
          <t>Risk Buy Authorization Only ¡V No Build/Shipment Allowed (Sustaining Only)</t>
        </is>
      </c>
      <c r="I1557" s="43" t="inlineStr">
        <is>
          <t>Customer Deviation</t>
        </is>
      </c>
      <c r="J1557" s="43" t="inlineStr">
        <is>
          <t>D607604</t>
        </is>
      </c>
      <c r="K1557" s="33" t="inlineStr">
        <is>
          <t>D607604 NGFWBU: Risk Buy: GQR No: GQR000072447; AQR No:AQR003000368; CPN: 22-0522-01; MFR NAME: DIPTRONICS ; MPN: DTSA-62N-VTo execute the above AQR at CM Site.</t>
        </is>
      </c>
      <c r="L1557" s="43" t="inlineStr">
        <is>
          <t>Expired</t>
        </is>
      </c>
      <c r="M1557" s="43" t="inlineStr">
        <is>
          <t>73-18489-08</t>
        </is>
      </c>
      <c r="N1557" s="43" t="inlineStr"/>
      <c r="O1557" s="43" t="inlineStr">
        <is>
          <t>2026-03-11</t>
        </is>
      </c>
      <c r="P1557" s="33" t="inlineStr">
        <is>
          <t>Risk Buy Authorization</t>
        </is>
      </c>
      <c r="Q1557" s="43" t="inlineStr">
        <is>
          <t>No marking required.</t>
        </is>
      </c>
      <c r="R1557" s="43" t="inlineStr">
        <is>
          <t>2025-12-11</t>
        </is>
      </c>
      <c r="S1557" s="43" t="inlineStr">
        <is>
          <t>2026-01-27</t>
        </is>
      </c>
      <c r="T1557" s="43" t="inlineStr"/>
      <c r="U1557" s="43" t="inlineStr"/>
    </row>
    <row r="1558">
      <c r="A1558" s="43" t="n">
        <v>1558</v>
      </c>
      <c r="B1558" s="43" t="inlineStr">
        <is>
          <t>1557</t>
        </is>
      </c>
      <c r="C1558" s="43" t="inlineStr">
        <is>
          <t>FJZP</t>
        </is>
      </c>
      <c r="D1558" s="43" t="inlineStr">
        <is>
          <t>Cisco</t>
        </is>
      </c>
      <c r="E1558" s="43" t="inlineStr">
        <is>
          <t>MCGA</t>
        </is>
      </c>
      <c r="F1558" s="43" t="inlineStr">
        <is>
          <t>037-STBU</t>
        </is>
      </c>
      <c r="G1558" s="43" t="inlineStr">
        <is>
          <t>CTANJZ05097</t>
        </is>
      </c>
      <c r="H1558" s="43" t="inlineStr">
        <is>
          <t>Risk Buy Authorization Only ¡V No Build/Shipment Allowed (Sustaining Only)</t>
        </is>
      </c>
      <c r="I1558" s="43" t="inlineStr">
        <is>
          <t>Customer Deviation</t>
        </is>
      </c>
      <c r="J1558" s="43" t="inlineStr">
        <is>
          <t>D608813</t>
        </is>
      </c>
      <c r="K1558" s="33" t="inlineStr">
        <is>
          <t>D608813 NGFWBU GQR: GQR000077590 Case: AQR003239330 CPN: 15-110830-01; MFR NAME: HYNIX SEMICONDUCTOR; MPN: HMCG88CHBRATo execute the above AQR at CM site; should be tested on Model A.</t>
        </is>
      </c>
      <c r="L1558" s="43" t="inlineStr">
        <is>
          <t>Expired</t>
        </is>
      </c>
      <c r="M1558" s="43" t="inlineStr">
        <is>
          <t>15-110830-01</t>
        </is>
      </c>
      <c r="N1558" s="43" t="inlineStr"/>
      <c r="O1558" s="43" t="inlineStr">
        <is>
          <t>2026-05-05</t>
        </is>
      </c>
      <c r="P1558" s="33" t="inlineStr">
        <is>
          <t>Risk Buy Authorization</t>
        </is>
      </c>
      <c r="Q1558" s="43" t="inlineStr">
        <is>
          <t>No marking required.</t>
        </is>
      </c>
      <c r="R1558" s="43" t="inlineStr">
        <is>
          <t>2026-02-04</t>
        </is>
      </c>
      <c r="S1558" s="43" t="inlineStr">
        <is>
          <t>2026-02-24</t>
        </is>
      </c>
      <c r="T1558" s="43" t="inlineStr"/>
      <c r="U1558" s="43" t="inlineStr"/>
    </row>
    <row r="1559">
      <c r="A1559" s="43" t="n">
        <v>1559</v>
      </c>
      <c r="B1559" s="43" t="inlineStr">
        <is>
          <t>1558</t>
        </is>
      </c>
      <c r="C1559" s="43" t="inlineStr">
        <is>
          <t>FJZP</t>
        </is>
      </c>
      <c r="D1559" s="43" t="inlineStr">
        <is>
          <t>Cisco</t>
        </is>
      </c>
      <c r="E1559" s="43" t="inlineStr">
        <is>
          <t>MCGA</t>
        </is>
      </c>
      <c r="F1559" s="43" t="inlineStr">
        <is>
          <t>037-STBU</t>
        </is>
      </c>
      <c r="G1559" s="43" t="inlineStr">
        <is>
          <t>CTANJZ05097</t>
        </is>
      </c>
      <c r="H1559" s="43" t="inlineStr">
        <is>
          <t>Risk Buy Authorization Only ¡V No Build/Shipment Allowed (Sustaining Only)</t>
        </is>
      </c>
      <c r="I1559" s="43" t="inlineStr">
        <is>
          <t>Customer Deviation</t>
        </is>
      </c>
      <c r="J1559" s="43" t="inlineStr">
        <is>
          <t>D608813</t>
        </is>
      </c>
      <c r="K1559" s="33" t="inlineStr">
        <is>
          <t>D608813 NGFWBU GQR: GQR000077590 Case: AQR003239330 CPN: 15-110830-01; MFR NAME: HYNIX SEMICONDUCTOR; MPN: HMCG88CHBRATo execute the above AQR at CM site; should be tested on Model A.</t>
        </is>
      </c>
      <c r="L1559" s="43" t="inlineStr">
        <is>
          <t>Expired</t>
        </is>
      </c>
      <c r="M1559" s="43" t="inlineStr">
        <is>
          <t>800-112581-04</t>
        </is>
      </c>
      <c r="N1559" s="43" t="inlineStr"/>
      <c r="O1559" s="43" t="inlineStr">
        <is>
          <t>2026-05-05</t>
        </is>
      </c>
      <c r="P1559" s="33" t="inlineStr">
        <is>
          <t>Risk Buy Authorization</t>
        </is>
      </c>
      <c r="Q1559" s="43" t="inlineStr">
        <is>
          <t>No marking required.</t>
        </is>
      </c>
      <c r="R1559" s="43" t="inlineStr">
        <is>
          <t>2026-02-04</t>
        </is>
      </c>
      <c r="S1559" s="43" t="inlineStr">
        <is>
          <t>2026-02-24</t>
        </is>
      </c>
      <c r="T1559" s="43" t="inlineStr"/>
      <c r="U1559" s="43" t="inlineStr"/>
    </row>
    <row r="1560">
      <c r="A1560" s="43" t="n">
        <v>1560</v>
      </c>
      <c r="B1560" s="43" t="inlineStr">
        <is>
          <t>1559</t>
        </is>
      </c>
      <c r="C1560" s="43" t="inlineStr">
        <is>
          <t>FJZP</t>
        </is>
      </c>
      <c r="D1560" s="43" t="inlineStr">
        <is>
          <t>Cisco</t>
        </is>
      </c>
      <c r="E1560" s="43" t="inlineStr">
        <is>
          <t>MCGA</t>
        </is>
      </c>
      <c r="F1560" s="43" t="inlineStr">
        <is>
          <t>239-CRBU</t>
        </is>
      </c>
      <c r="G1560" s="43" t="inlineStr">
        <is>
          <t>CTANJZ05533</t>
        </is>
      </c>
      <c r="H1560" s="43" t="inlineStr">
        <is>
          <t>New Release</t>
        </is>
      </c>
      <c r="I1560" s="43" t="inlineStr">
        <is>
          <t>Customer Deviation</t>
        </is>
      </c>
      <c r="J1560" s="43" t="inlineStr">
        <is>
          <t>D614415</t>
        </is>
      </c>
      <c r="K1560" s="33" t="inlineStr">
        <is>
          <t>D614415 NGFWBU GQR: GQR000104252 Case: AQR004829994 CPN: 36-0234-01 ; MFR NAME: MAG LAYERS; MPN: BBUPCS160808221Y00  This deviation instructs Foxconn Juarez (FJZ) to execute a sample buy and conduct a Production Qual build for the following part(s):  BU: NGFWBU PF: FPRHIGH Affected TAN(s):68-103465-07 Affected Item(s): 73-102434-06 CPN:36-0234-01; MFR NAME: MAG LAYERS; MPN: BBUPCS160808221Y00 Build Qty: 5 Ref Des: L31;L32  To execute the above AQR at CM site; should be tested on Model A. Note: Can be tested on any Warwick model.</t>
        </is>
      </c>
      <c r="L1560" s="43" t="inlineStr">
        <is>
          <t>Pending</t>
        </is>
      </c>
      <c r="M1560" s="43" t="inlineStr">
        <is>
          <t>36-0234-01</t>
        </is>
      </c>
      <c r="N1560" s="43" t="inlineStr"/>
      <c r="O1560" s="43" t="inlineStr">
        <is>
          <t>2027-01-11</t>
        </is>
      </c>
      <c r="P1560" s="33" t="inlineStr">
        <is>
          <t>To track an AML qualification build (EXTENDABLE 2x);Risk Buy Authorization</t>
        </is>
      </c>
      <c r="Q1560" s="43" t="inlineStr">
        <is>
          <t>NA</t>
        </is>
      </c>
      <c r="R1560" s="43" t="inlineStr">
        <is>
          <t>2026-10-14</t>
        </is>
      </c>
      <c r="S1560" s="43" t="inlineStr"/>
      <c r="T1560" s="43" t="inlineStr"/>
      <c r="U1560" s="43" t="inlineStr"/>
    </row>
    <row r="1561">
      <c r="A1561" s="43" t="n">
        <v>1561</v>
      </c>
      <c r="B1561" s="43" t="inlineStr">
        <is>
          <t>1560</t>
        </is>
      </c>
      <c r="C1561" s="43" t="inlineStr">
        <is>
          <t>FJZP</t>
        </is>
      </c>
      <c r="D1561" s="43" t="inlineStr">
        <is>
          <t>Cisco</t>
        </is>
      </c>
      <c r="E1561" s="43" t="inlineStr">
        <is>
          <t>MCGA</t>
        </is>
      </c>
      <c r="F1561" s="43" t="inlineStr">
        <is>
          <t>239-CRBU</t>
        </is>
      </c>
      <c r="G1561" s="43" t="inlineStr">
        <is>
          <t>CTANJZ05285</t>
        </is>
      </c>
      <c r="H1561" s="43" t="inlineStr">
        <is>
          <t>Risk Buy Authorization Only ¡V No Build/Shipment Allowed (Sustaining Only)</t>
        </is>
      </c>
      <c r="I1561" s="43" t="inlineStr">
        <is>
          <t>Customer Deviation</t>
        </is>
      </c>
      <c r="J1561" s="43" t="inlineStr">
        <is>
          <t>D611828</t>
        </is>
      </c>
      <c r="K1561" s="33" t="inlineStr">
        <is>
          <t>D611828 CRBU: LC4/5 Vanguard/Lancer Daughter Board (28-14421-07 rev01) Material EM528 Risk Buy in anticipation of release of ECO EA619918FJZ / FVN sites to proceed ordering replacement EM528 PCB material CPN - 28-14421-07 as existing CPN material with EM888 is EOL.GCE MPN: 28-14421-07_S201_M207-01ISU MPN: 28-14421-07_S102_M207-01WUS MPN: 28-14421-07_S110_M207-01</t>
        </is>
      </c>
      <c r="L1561" s="43" t="inlineStr">
        <is>
          <t>Expired</t>
        </is>
      </c>
      <c r="M1561" s="43" t="inlineStr">
        <is>
          <t>28-14421-05</t>
        </is>
      </c>
      <c r="N1561" s="43" t="inlineStr"/>
      <c r="O1561" s="43" t="inlineStr">
        <is>
          <t>2026-09-05</t>
        </is>
      </c>
      <c r="P1561" s="33" t="inlineStr">
        <is>
          <t>Risk Buy Authorization</t>
        </is>
      </c>
      <c r="Q1561" s="43" t="inlineStr">
        <is>
          <t>Maintain marking standards.</t>
        </is>
      </c>
      <c r="R1561" s="43" t="inlineStr">
        <is>
          <t>2026-06-09</t>
        </is>
      </c>
      <c r="S1561" s="43" t="inlineStr">
        <is>
          <t>2026-07-02</t>
        </is>
      </c>
      <c r="T1561" s="43" t="inlineStr"/>
      <c r="U1561" s="43" t="inlineStr"/>
    </row>
    <row r="1562">
      <c r="A1562" s="43" t="n">
        <v>1562</v>
      </c>
      <c r="B1562" s="43" t="inlineStr">
        <is>
          <t>1561</t>
        </is>
      </c>
      <c r="C1562" s="43" t="inlineStr">
        <is>
          <t>FJZP</t>
        </is>
      </c>
      <c r="D1562" s="43" t="inlineStr">
        <is>
          <t>Cisco</t>
        </is>
      </c>
      <c r="E1562" s="43" t="inlineStr">
        <is>
          <t>MCGA</t>
        </is>
      </c>
      <c r="F1562" s="43" t="inlineStr">
        <is>
          <t>037-STBU</t>
        </is>
      </c>
      <c r="G1562" s="43" t="inlineStr">
        <is>
          <t>CTANJZ05398</t>
        </is>
      </c>
      <c r="H1562" s="43" t="inlineStr">
        <is>
          <t>To track an AML qualification build (EXTENDABLE 2x)</t>
        </is>
      </c>
      <c r="I1562" s="43" t="inlineStr">
        <is>
          <t>Customer Deviation</t>
        </is>
      </c>
      <c r="J1562" s="43" t="inlineStr">
        <is>
          <t>D612843</t>
        </is>
      </c>
      <c r="K1562" s="33" t="inlineStr">
        <is>
          <t>D612843 NGFWBU GQR: GQR000097930 Case: AQR004608289 CPN: 24-101177-01; MFR NAME: MAG LAYERS; MPN: MSI-100612V-R15L-KCS-RUThis deviation instructs Foxconn Juarez (FJZ) to execute a sample buy and conduct a Production Qual build for the following part(s):BU: NGFWBUPF: FPRMID3Affected TAN(s):68-7255-05Affected Item(s): 73-20247-06CPN: 24-101177-01; MFR NAME: MAG LAYERS; MPN: MSI-100612V-R15L-KCS-RUBuild Qty: 7Ref Des: L3;L6To execute the above AQR at CM site; should be tested on Model A.</t>
        </is>
      </c>
      <c r="L1562" s="43" t="inlineStr">
        <is>
          <t>FAI Status</t>
        </is>
      </c>
      <c r="M1562" s="43" t="inlineStr">
        <is>
          <t>73-20247-06</t>
        </is>
      </c>
      <c r="N1562" s="43" t="inlineStr"/>
      <c r="O1562" s="43" t="inlineStr">
        <is>
          <t>2026-10-18</t>
        </is>
      </c>
      <c r="P1562" s="33" t="inlineStr">
        <is>
          <t>To track an AML qualification build (EXTENDABLE 2x);Risk Buy Authorization</t>
        </is>
      </c>
      <c r="Q1562" s="43" t="inlineStr">
        <is>
          <t>NA</t>
        </is>
      </c>
      <c r="R1562" s="43" t="inlineStr">
        <is>
          <t>2026-07-21</t>
        </is>
      </c>
      <c r="S1562" s="43" t="inlineStr">
        <is>
          <t>2026-08-15</t>
        </is>
      </c>
      <c r="T1562" s="43" t="inlineStr"/>
      <c r="U1562" s="43" t="inlineStr"/>
    </row>
    <row r="1563">
      <c r="A1563" s="43" t="n">
        <v>1563</v>
      </c>
      <c r="B1563" s="43" t="inlineStr">
        <is>
          <t>1562</t>
        </is>
      </c>
      <c r="C1563" s="43" t="inlineStr">
        <is>
          <t>FJZP</t>
        </is>
      </c>
      <c r="D1563" s="43" t="inlineStr">
        <is>
          <t>Cisco</t>
        </is>
      </c>
      <c r="E1563" s="43" t="inlineStr">
        <is>
          <t>MCGA</t>
        </is>
      </c>
      <c r="F1563" s="43" t="inlineStr">
        <is>
          <t>037-STBU</t>
        </is>
      </c>
      <c r="G1563" s="43" t="inlineStr">
        <is>
          <t>CTANJZ05485</t>
        </is>
      </c>
      <c r="H1563" s="43" t="inlineStr">
        <is>
          <t>To track an AML qualification build (EXTENDABLE 2x)</t>
        </is>
      </c>
      <c r="I1563" s="43" t="inlineStr">
        <is>
          <t>Customer Deviation</t>
        </is>
      </c>
      <c r="J1563" s="43" t="inlineStr">
        <is>
          <t>D613992</t>
        </is>
      </c>
      <c r="K1563" s="33" t="inlineStr">
        <is>
          <t>D613992 NGFWBU GQR: GQR000102872 Case: AQR004788029 CPN: 29-101162-01; MFR NAME: FCI; MPN: 61083-181602LFThis deviation instructs Foxconn Juarez (FJZ) to execute a sample buy and conduct a Production Qual build for the following part(s):BU: NGFWBUPF: CSF6100Affected TAN(s):68-104010-02Affected Item(s): 73-102483-02CPN: 29-101162-01; MFR NAME: FCI; MPN: 61083-181602LFBuild Qty: 3Ref Des: J4To execute the above AQR at CM site; should be tested on Model A.</t>
        </is>
      </c>
      <c r="L1563" s="43" t="inlineStr">
        <is>
          <t>Implementation</t>
        </is>
      </c>
      <c r="M1563" s="43" t="inlineStr">
        <is>
          <t>29-101162-01</t>
        </is>
      </c>
      <c r="N1563" s="43" t="inlineStr"/>
      <c r="O1563" s="43" t="inlineStr">
        <is>
          <t>2026-12-14</t>
        </is>
      </c>
      <c r="P1563" s="33" t="inlineStr">
        <is>
          <t>To track an AML qualification build (EXTENDABLE 2x);Risk Buy Authorization</t>
        </is>
      </c>
      <c r="Q1563" s="43" t="inlineStr">
        <is>
          <t>NA</t>
        </is>
      </c>
      <c r="R1563" s="43" t="inlineStr">
        <is>
          <t>2026-09-16</t>
        </is>
      </c>
      <c r="S1563" s="43" t="inlineStr">
        <is>
          <t>2026-10-14</t>
        </is>
      </c>
      <c r="T1563" s="43" t="inlineStr"/>
      <c r="U1563" s="43" t="inlineStr"/>
    </row>
    <row r="1564">
      <c r="A1564" s="43" t="n">
        <v>1564</v>
      </c>
      <c r="B1564" s="43" t="inlineStr">
        <is>
          <t>1563</t>
        </is>
      </c>
      <c r="C1564" s="43" t="inlineStr">
        <is>
          <t>FJZP</t>
        </is>
      </c>
      <c r="D1564" s="43" t="inlineStr">
        <is>
          <t>Cisco</t>
        </is>
      </c>
      <c r="E1564" s="43" t="inlineStr">
        <is>
          <t>MCGA</t>
        </is>
      </c>
      <c r="F1564" s="43" t="inlineStr">
        <is>
          <t>037-STBU</t>
        </is>
      </c>
      <c r="G1564" s="43" t="inlineStr">
        <is>
          <t>CTANJZ05485</t>
        </is>
      </c>
      <c r="H1564" s="43" t="inlineStr">
        <is>
          <t>To track an AML qualification build (EXTENDABLE 2x)</t>
        </is>
      </c>
      <c r="I1564" s="43" t="inlineStr">
        <is>
          <t>Customer Deviation</t>
        </is>
      </c>
      <c r="J1564" s="43" t="inlineStr">
        <is>
          <t>D613992</t>
        </is>
      </c>
      <c r="K1564" s="33" t="inlineStr">
        <is>
          <t>D613992 NGFWBU GQR: GQR000102872 Case: AQR004788029 CPN: 29-101162-01; MFR NAME: FCI; MPN: 61083-181602LFThis deviation instructs Foxconn Juarez (FJZ) to execute a sample buy and conduct a Production Qual build for the following part(s):BU: NGFWBUPF: CSF6100Affected TAN(s):68-104010-02Affected Item(s): 73-102483-02CPN: 29-101162-01; MFR NAME: FCI; MPN: 61083-181602LFBuild Qty: 3Ref Des: J4To execute the above AQR at CM site; should be tested on Model A.</t>
        </is>
      </c>
      <c r="L1564" s="43" t="inlineStr">
        <is>
          <t>Implementation</t>
        </is>
      </c>
      <c r="M1564" s="43" t="inlineStr">
        <is>
          <t>73-102483-02</t>
        </is>
      </c>
      <c r="N1564" s="43" t="inlineStr"/>
      <c r="O1564" s="43" t="inlineStr">
        <is>
          <t>2026-12-14</t>
        </is>
      </c>
      <c r="P1564" s="33" t="inlineStr">
        <is>
          <t>To track an AML qualification build (EXTENDABLE 2x);Risk Buy Authorization</t>
        </is>
      </c>
      <c r="Q1564" s="43" t="inlineStr">
        <is>
          <t>NA</t>
        </is>
      </c>
      <c r="R1564" s="43" t="inlineStr">
        <is>
          <t>2026-09-16</t>
        </is>
      </c>
      <c r="S1564" s="43" t="inlineStr">
        <is>
          <t>2026-10-14</t>
        </is>
      </c>
      <c r="T1564" s="43" t="inlineStr"/>
      <c r="U1564" s="43" t="inlineStr"/>
    </row>
    <row r="1565">
      <c r="A1565" s="43" t="n">
        <v>1565</v>
      </c>
      <c r="B1565" s="43" t="inlineStr">
        <is>
          <t>1564</t>
        </is>
      </c>
      <c r="C1565" s="43" t="inlineStr">
        <is>
          <t>FJZP</t>
        </is>
      </c>
      <c r="D1565" s="43" t="inlineStr">
        <is>
          <t>Cisco</t>
        </is>
      </c>
      <c r="E1565" s="43" t="inlineStr">
        <is>
          <t>MCGA</t>
        </is>
      </c>
      <c r="F1565" s="43" t="inlineStr">
        <is>
          <t>037-STBU</t>
        </is>
      </c>
      <c r="G1565" s="43" t="inlineStr">
        <is>
          <t>CTANJZ05468</t>
        </is>
      </c>
      <c r="H1565" s="43" t="inlineStr">
        <is>
          <t>To track an AML qualification build (EXTENDABLE 2x)</t>
        </is>
      </c>
      <c r="I1565" s="43" t="inlineStr">
        <is>
          <t>Customer Deviation</t>
        </is>
      </c>
      <c r="J1565" s="43" t="inlineStr">
        <is>
          <t>D613858</t>
        </is>
      </c>
      <c r="K1565" s="33" t="inlineStr">
        <is>
          <t>D613858 NGFWBU GQR: GQR000101798 Case: AQR004745855 CPN: 16-2242-02 ; MFR NAME: ST MICROELECTRONICS; MPN: M24C64-RMN6TPThis deviation instructs Foxconn Juarez (FJZ) to execute a sample buy and conduct a Production Qual build for the following part(s):BU: NGFWBUPF: CSF6100Affected TAN(s):68-104008-02Affected Item(s): 73-102418-04CPN: 16-2242-02; MFR NAME: ST MICROELECTRONICS; MPN: M24C64-RMN6TPBuild Qty: 3Ref Des: U4To execute the above AQR at CM site; should be tested on Model A.</t>
        </is>
      </c>
      <c r="L1565" s="43" t="inlineStr">
        <is>
          <t>Implementation</t>
        </is>
      </c>
      <c r="M1565" s="43" t="inlineStr">
        <is>
          <t>16-2242-02</t>
        </is>
      </c>
      <c r="N1565" s="43" t="inlineStr"/>
      <c r="O1565" s="43" t="inlineStr">
        <is>
          <t>2026-12-08</t>
        </is>
      </c>
      <c r="P1565" s="33" t="inlineStr">
        <is>
          <t>To track an AML qualification build (EXTENDABLE 2x);Risk Buy Authorization</t>
        </is>
      </c>
      <c r="Q1565" s="43" t="inlineStr">
        <is>
          <t>NA</t>
        </is>
      </c>
      <c r="R1565" s="43" t="inlineStr">
        <is>
          <t>2026-09-10</t>
        </is>
      </c>
      <c r="S1565" s="43" t="inlineStr">
        <is>
          <t>2026-10-03</t>
        </is>
      </c>
      <c r="T1565" s="43" t="inlineStr"/>
      <c r="U1565" s="43" t="inlineStr"/>
    </row>
    <row r="1566">
      <c r="A1566" s="43" t="n">
        <v>1566</v>
      </c>
      <c r="B1566" s="43" t="inlineStr">
        <is>
          <t>1565</t>
        </is>
      </c>
      <c r="C1566" s="43" t="inlineStr">
        <is>
          <t>FJZP</t>
        </is>
      </c>
      <c r="D1566" s="43" t="inlineStr">
        <is>
          <t>Cisco</t>
        </is>
      </c>
      <c r="E1566" s="43" t="inlineStr">
        <is>
          <t>MCGA</t>
        </is>
      </c>
      <c r="F1566" s="43" t="inlineStr">
        <is>
          <t>037-STBU</t>
        </is>
      </c>
      <c r="G1566" s="43" t="inlineStr">
        <is>
          <t>CTANJZ05468</t>
        </is>
      </c>
      <c r="H1566" s="43" t="inlineStr">
        <is>
          <t>To track an AML qualification build (EXTENDABLE 2x)</t>
        </is>
      </c>
      <c r="I1566" s="43" t="inlineStr">
        <is>
          <t>Customer Deviation</t>
        </is>
      </c>
      <c r="J1566" s="43" t="inlineStr">
        <is>
          <t>D613858</t>
        </is>
      </c>
      <c r="K1566" s="33" t="inlineStr">
        <is>
          <t>D613858 NGFWBU GQR: GQR000101798 Case: AQR004745855 CPN: 16-2242-02 ; MFR NAME: ST MICROELECTRONICS; MPN: M24C64-RMN6TPThis deviation instructs Foxconn Juarez (FJZ) to execute a sample buy and conduct a Production Qual build for the following part(s):BU: NGFWBUPF: CSF6100Affected TAN(s):68-104008-02Affected Item(s): 73-102418-04CPN: 16-2242-02; MFR NAME: ST MICROELECTRONICS; MPN: M24C64-RMN6TPBuild Qty: 3Ref Des: U4To execute the above AQR at CM site; should be tested on Model A.</t>
        </is>
      </c>
      <c r="L1566" s="43" t="inlineStr">
        <is>
          <t>Implementation</t>
        </is>
      </c>
      <c r="M1566" s="43" t="inlineStr">
        <is>
          <t>73-102418-04</t>
        </is>
      </c>
      <c r="N1566" s="43" t="inlineStr"/>
      <c r="O1566" s="43" t="inlineStr">
        <is>
          <t>2026-12-08</t>
        </is>
      </c>
      <c r="P1566" s="33" t="inlineStr">
        <is>
          <t>To track an AML qualification build (EXTENDABLE 2x);Risk Buy Authorization</t>
        </is>
      </c>
      <c r="Q1566" s="43" t="inlineStr">
        <is>
          <t>NA</t>
        </is>
      </c>
      <c r="R1566" s="43" t="inlineStr">
        <is>
          <t>2026-09-10</t>
        </is>
      </c>
      <c r="S1566" s="43" t="inlineStr">
        <is>
          <t>2026-10-03</t>
        </is>
      </c>
      <c r="T1566" s="43" t="inlineStr"/>
      <c r="U1566" s="43" t="inlineStr"/>
    </row>
    <row r="1567">
      <c r="A1567" s="43" t="n">
        <v>1567</v>
      </c>
      <c r="B1567" s="43" t="inlineStr">
        <is>
          <t>1566</t>
        </is>
      </c>
      <c r="C1567" s="43" t="inlineStr">
        <is>
          <t>FJZP</t>
        </is>
      </c>
      <c r="D1567" s="43" t="inlineStr">
        <is>
          <t>Cisco</t>
        </is>
      </c>
      <c r="E1567" s="43" t="inlineStr">
        <is>
          <t>MCGA</t>
        </is>
      </c>
      <c r="F1567" s="43" t="inlineStr">
        <is>
          <t>037-STBU</t>
        </is>
      </c>
      <c r="G1567" s="43" t="inlineStr">
        <is>
          <t>CTANJZ05470</t>
        </is>
      </c>
      <c r="H1567" s="43" t="inlineStr">
        <is>
          <t>To track an AML qualification build (EXTENDABLE 2x)</t>
        </is>
      </c>
      <c r="I1567" s="43" t="inlineStr">
        <is>
          <t>Customer Deviation</t>
        </is>
      </c>
      <c r="J1567" s="43" t="inlineStr">
        <is>
          <t>D613859</t>
        </is>
      </c>
      <c r="K1567" s="33" t="inlineStr">
        <is>
          <t>D613859 NGFWBU GQR: GQR000098291 Case: AQR004634224 CPN: 17-16164-01; MFR NAME: SKYWORKS SOLUTIONS; MPN: SI5394M-A12706-GMThis deviation instructs Foxconn Juarez (FJZ) to execute a sample buy and conduct a Production Qual build for the following part(s):BU: NGFWBUPF: CSF4200Affected TAN(s):68-104010-02Affected Item(s): 73-102482-02CPN: 17-16164-01; MFR NAME: SKYWORKS SOLUTIONS; MPN: SI5394M-A12706-GMBuild Qty: 3Ref Des: U65</t>
        </is>
      </c>
      <c r="L1567" s="43" t="inlineStr">
        <is>
          <t>Implementation</t>
        </is>
      </c>
      <c r="M1567" s="43" t="inlineStr">
        <is>
          <t>17-16164-01</t>
        </is>
      </c>
      <c r="N1567" s="43" t="inlineStr"/>
      <c r="O1567" s="43" t="inlineStr">
        <is>
          <t>2026-12-08</t>
        </is>
      </c>
      <c r="P1567" s="33" t="inlineStr">
        <is>
          <t>To track an AML qualification build (EXTENDABLE 2x);Risk Buy Authorization</t>
        </is>
      </c>
      <c r="Q1567" s="43" t="inlineStr">
        <is>
          <t>NA</t>
        </is>
      </c>
      <c r="R1567" s="43" t="inlineStr">
        <is>
          <t>2026-09-10</t>
        </is>
      </c>
      <c r="S1567" s="43" t="inlineStr">
        <is>
          <t>2026-10-09</t>
        </is>
      </c>
      <c r="T1567" s="43" t="inlineStr"/>
      <c r="U1567" s="43" t="inlineStr"/>
    </row>
    <row r="1568">
      <c r="A1568" s="43" t="n">
        <v>1568</v>
      </c>
      <c r="B1568" s="43" t="inlineStr">
        <is>
          <t>1567</t>
        </is>
      </c>
      <c r="C1568" s="43" t="inlineStr">
        <is>
          <t>FJZP</t>
        </is>
      </c>
      <c r="D1568" s="43" t="inlineStr">
        <is>
          <t>Cisco</t>
        </is>
      </c>
      <c r="E1568" s="43" t="inlineStr">
        <is>
          <t>MCGA</t>
        </is>
      </c>
      <c r="F1568" s="43" t="inlineStr">
        <is>
          <t>037-STBU</t>
        </is>
      </c>
      <c r="G1568" s="43" t="inlineStr">
        <is>
          <t>CTANJZ05470</t>
        </is>
      </c>
      <c r="H1568" s="43" t="inlineStr">
        <is>
          <t>To track an AML qualification build (EXTENDABLE 2x)</t>
        </is>
      </c>
      <c r="I1568" s="43" t="inlineStr">
        <is>
          <t>Customer Deviation</t>
        </is>
      </c>
      <c r="J1568" s="43" t="inlineStr">
        <is>
          <t>D613859</t>
        </is>
      </c>
      <c r="K1568" s="33" t="inlineStr">
        <is>
          <t>D613859 NGFWBU GQR: GQR000098291 Case: AQR004634224 CPN: 17-16164-01; MFR NAME: SKYWORKS SOLUTIONS; MPN: SI5394M-A12706-GMThis deviation instructs Foxconn Juarez (FJZ) to execute a sample buy and conduct a Production Qual build for the following part(s):BU: NGFWBUPF: CSF4200Affected TAN(s):68-104010-02Affected Item(s): 73-102482-02CPN: 17-16164-01; MFR NAME: SKYWORKS SOLUTIONS; MPN: SI5394M-A12706-GMBuild Qty: 3Ref Des: U65</t>
        </is>
      </c>
      <c r="L1568" s="43" t="inlineStr">
        <is>
          <t>Implementation</t>
        </is>
      </c>
      <c r="M1568" s="43" t="inlineStr">
        <is>
          <t>73-102482-02</t>
        </is>
      </c>
      <c r="N1568" s="43" t="inlineStr"/>
      <c r="O1568" s="43" t="inlineStr">
        <is>
          <t>2026-12-08</t>
        </is>
      </c>
      <c r="P1568" s="33" t="inlineStr">
        <is>
          <t>To track an AML qualification build (EXTENDABLE 2x);Risk Buy Authorization</t>
        </is>
      </c>
      <c r="Q1568" s="43" t="inlineStr">
        <is>
          <t>NA</t>
        </is>
      </c>
      <c r="R1568" s="43" t="inlineStr">
        <is>
          <t>2026-09-10</t>
        </is>
      </c>
      <c r="S1568" s="43" t="inlineStr">
        <is>
          <t>2026-10-09</t>
        </is>
      </c>
      <c r="T1568" s="43" t="inlineStr"/>
      <c r="U1568" s="43" t="inlineStr"/>
    </row>
    <row r="1569">
      <c r="A1569" s="43" t="n">
        <v>1569</v>
      </c>
      <c r="B1569" s="43" t="inlineStr">
        <is>
          <t>1568</t>
        </is>
      </c>
      <c r="C1569" s="43" t="inlineStr">
        <is>
          <t>FJZP</t>
        </is>
      </c>
      <c r="D1569" s="43" t="inlineStr">
        <is>
          <t>Cisco</t>
        </is>
      </c>
      <c r="E1569" s="43" t="inlineStr">
        <is>
          <t>MCGA</t>
        </is>
      </c>
      <c r="F1569" s="43" t="inlineStr">
        <is>
          <t>037-STBU</t>
        </is>
      </c>
      <c r="G1569" s="43" t="inlineStr">
        <is>
          <t>CTANJZ05535</t>
        </is>
      </c>
      <c r="H1569" s="43" t="inlineStr">
        <is>
          <t>To track an AML qualification build (EXTENDABLE 2x)</t>
        </is>
      </c>
      <c r="I1569" s="43" t="inlineStr">
        <is>
          <t>Customer Deviation</t>
        </is>
      </c>
      <c r="J1569" s="43" t="inlineStr">
        <is>
          <t>D614316</t>
        </is>
      </c>
      <c r="K1569" s="33" t="inlineStr">
        <is>
          <t>D614316 NGFWBU GQR: GQR000103856 Case: AQR004810096 CPN: 15-102870-01 ; MFR NAME: DIODES INC; MPN: LSF0108T20-13This deviation instructs Foxconn Juarez (FJZ) to execute a sample buy and conduct a Production Qual build for the following part(s):BU: NGFWBUPF: F1KLOWAffected TAN(s):68-6191-07Affected Item(s): 73-18490-10CPN: 15-102870-01; MFR NAME: DIODES INC; MPN: LSF0108T20-13Build Qty: 10Ref Des: U52To execute the above AQR at CM site; should be tested on Model A.</t>
        </is>
      </c>
      <c r="L1569" s="43" t="inlineStr">
        <is>
          <t>CCB</t>
        </is>
      </c>
      <c r="M1569" s="43" t="inlineStr">
        <is>
          <t>15-102870-01</t>
        </is>
      </c>
      <c r="N1569" s="43" t="inlineStr"/>
      <c r="O1569" s="43" t="inlineStr">
        <is>
          <t>2027-01-11</t>
        </is>
      </c>
      <c r="P1569" s="33" t="inlineStr">
        <is>
          <t>To track an AML qualification build (EXTENDABLE 2x);Risk Buy Authorization</t>
        </is>
      </c>
      <c r="Q1569" s="43" t="inlineStr">
        <is>
          <t>NA</t>
        </is>
      </c>
      <c r="R1569" s="43" t="inlineStr">
        <is>
          <t>2026-10-14</t>
        </is>
      </c>
      <c r="S1569" s="43" t="inlineStr"/>
      <c r="T1569" s="43" t="inlineStr"/>
      <c r="U1569" s="43" t="inlineStr"/>
    </row>
    <row r="1570">
      <c r="A1570" s="43" t="n">
        <v>1570</v>
      </c>
      <c r="B1570" s="43" t="inlineStr">
        <is>
          <t>1569</t>
        </is>
      </c>
      <c r="C1570" s="43" t="inlineStr">
        <is>
          <t>FJZP</t>
        </is>
      </c>
      <c r="D1570" s="43" t="inlineStr">
        <is>
          <t>Cisco</t>
        </is>
      </c>
      <c r="E1570" s="43" t="inlineStr">
        <is>
          <t>MCGA</t>
        </is>
      </c>
      <c r="F1570" s="43" t="inlineStr">
        <is>
          <t>037-STBU</t>
        </is>
      </c>
      <c r="G1570" s="43" t="inlineStr">
        <is>
          <t>CTANJZ05535</t>
        </is>
      </c>
      <c r="H1570" s="43" t="inlineStr">
        <is>
          <t>To track an AML qualification build (EXTENDABLE 2x)</t>
        </is>
      </c>
      <c r="I1570" s="43" t="inlineStr">
        <is>
          <t>Customer Deviation</t>
        </is>
      </c>
      <c r="J1570" s="43" t="inlineStr">
        <is>
          <t>D614316</t>
        </is>
      </c>
      <c r="K1570" s="33" t="inlineStr">
        <is>
          <t>D614316 NGFWBU GQR: GQR000103856 Case: AQR004810096 CPN: 15-102870-01 ; MFR NAME: DIODES INC; MPN: LSF0108T20-13This deviation instructs Foxconn Juarez (FJZ) to execute a sample buy and conduct a Production Qual build for the following part(s):BU: NGFWBUPF: F1KLOWAffected TAN(s):68-6191-07Affected Item(s): 73-18490-10CPN: 15-102870-01; MFR NAME: DIODES INC; MPN: LSF0108T20-13Build Qty: 10Ref Des: U52To execute the above AQR at CM site; should be tested on Model A.</t>
        </is>
      </c>
      <c r="L1570" s="43" t="inlineStr">
        <is>
          <t>CCB</t>
        </is>
      </c>
      <c r="M1570" s="43" t="inlineStr">
        <is>
          <t>73-18490-10</t>
        </is>
      </c>
      <c r="N1570" s="43" t="inlineStr"/>
      <c r="O1570" s="43" t="inlineStr">
        <is>
          <t>2027-01-11</t>
        </is>
      </c>
      <c r="P1570" s="33" t="inlineStr">
        <is>
          <t>To track an AML qualification build (EXTENDABLE 2x);Risk Buy Authorization</t>
        </is>
      </c>
      <c r="Q1570" s="43" t="inlineStr">
        <is>
          <t>NA</t>
        </is>
      </c>
      <c r="R1570" s="43" t="inlineStr">
        <is>
          <t>2026-10-14</t>
        </is>
      </c>
      <c r="S1570" s="43" t="inlineStr"/>
      <c r="T1570" s="43" t="inlineStr"/>
      <c r="U1570" s="43" t="inlineStr"/>
    </row>
    <row r="1571">
      <c r="A1571" s="43" t="n">
        <v>1571</v>
      </c>
      <c r="B1571" s="43" t="inlineStr">
        <is>
          <t>1570</t>
        </is>
      </c>
      <c r="C1571" s="43" t="inlineStr">
        <is>
          <t>FJZP</t>
        </is>
      </c>
      <c r="D1571" s="43" t="inlineStr">
        <is>
          <t>Cisco</t>
        </is>
      </c>
      <c r="E1571" s="43" t="inlineStr">
        <is>
          <t>MCGA</t>
        </is>
      </c>
      <c r="F1571" s="43" t="inlineStr">
        <is>
          <t>037-STBU</t>
        </is>
      </c>
      <c r="G1571" s="43" t="inlineStr">
        <is>
          <t>CTANJZ05533</t>
        </is>
      </c>
      <c r="H1571" s="43" t="inlineStr">
        <is>
          <t>To track an AML qualification build (EXTENDABLE 2x)</t>
        </is>
      </c>
      <c r="I1571" s="43" t="inlineStr">
        <is>
          <t>Customer Deviation</t>
        </is>
      </c>
      <c r="J1571" s="43" t="inlineStr">
        <is>
          <t>D614415</t>
        </is>
      </c>
      <c r="K1571" s="33" t="inlineStr">
        <is>
          <t>D614415 NGFWBU GQR: GQR000104252 Case: AQR004829994 CPN: 36-0234-01 ; MFR NAME: MAG LAYERS; MPN: BBUPCS160808221Y00This deviation instructs Foxconn Juarez (FJZ) to execute a sample buy and conduct a Production Qual build for the following part(s):BU: NGFWBUPF: FPRHIGHAffected TAN(s):68-103465-07Affected Item(s): 73-102434-06CPN:36-0234-01; MFR NAME: MAG LAYERS; MPN: BBUPCS160808221Y00Build Qty: 5Ref Des: L31;L32To execute the above AQR at CM site; should be tested on Model A.Note: Can be tested on any Warwick model.</t>
        </is>
      </c>
      <c r="L1571" s="43" t="inlineStr">
        <is>
          <t>CCB</t>
        </is>
      </c>
      <c r="M1571" s="43" t="inlineStr">
        <is>
          <t>36-0234-01</t>
        </is>
      </c>
      <c r="N1571" s="43" t="inlineStr"/>
      <c r="O1571" s="43" t="inlineStr">
        <is>
          <t>2027-01-11</t>
        </is>
      </c>
      <c r="P1571" s="33" t="inlineStr">
        <is>
          <t>To track an AML qualification build (EXTENDABLE 2x);Risk Buy Authorization</t>
        </is>
      </c>
      <c r="Q1571" s="43" t="inlineStr">
        <is>
          <t>NA</t>
        </is>
      </c>
      <c r="R1571" s="43" t="inlineStr">
        <is>
          <t>2026-10-14</t>
        </is>
      </c>
      <c r="S1571" s="43" t="inlineStr"/>
      <c r="T1571" s="43" t="inlineStr"/>
      <c r="U1571" s="43" t="inlineStr"/>
    </row>
    <row r="1572">
      <c r="A1572" s="43" t="n">
        <v>1572</v>
      </c>
      <c r="B1572" s="43" t="inlineStr">
        <is>
          <t>1571</t>
        </is>
      </c>
      <c r="C1572" s="43" t="inlineStr">
        <is>
          <t>FJZP</t>
        </is>
      </c>
      <c r="D1572" s="43" t="inlineStr">
        <is>
          <t>Cisco</t>
        </is>
      </c>
      <c r="E1572" s="43" t="inlineStr">
        <is>
          <t>MCGA</t>
        </is>
      </c>
      <c r="F1572" s="43" t="inlineStr">
        <is>
          <t>037-STBU</t>
        </is>
      </c>
      <c r="G1572" s="43" t="inlineStr">
        <is>
          <t>CTANJZ05533</t>
        </is>
      </c>
      <c r="H1572" s="43" t="inlineStr">
        <is>
          <t>To track an AML qualification build (EXTENDABLE 2x)</t>
        </is>
      </c>
      <c r="I1572" s="43" t="inlineStr">
        <is>
          <t>Customer Deviation</t>
        </is>
      </c>
      <c r="J1572" s="43" t="inlineStr">
        <is>
          <t>D614415</t>
        </is>
      </c>
      <c r="K1572" s="33" t="inlineStr">
        <is>
          <t>D614415 NGFWBU GQR: GQR000104252 Case: AQR004829994 CPN: 36-0234-01 ; MFR NAME: MAG LAYERS; MPN: BBUPCS160808221Y00This deviation instructs Foxconn Juarez (FJZ) to execute a sample buy and conduct a Production Qual build for the following part(s):BU: NGFWBUPF: FPRHIGHAffected TAN(s):68-103465-07Affected Item(s): 73-102434-06CPN:36-0234-01; MFR NAME: MAG LAYERS; MPN: BBUPCS160808221Y00Build Qty: 5Ref Des: L31;L32To execute the above AQR at CM site; should be tested on Model A.Note: Can be tested on any Warwick model.</t>
        </is>
      </c>
      <c r="L1572" s="43" t="inlineStr">
        <is>
          <t>CCB</t>
        </is>
      </c>
      <c r="M1572" s="43" t="inlineStr">
        <is>
          <t>73-102434-06</t>
        </is>
      </c>
      <c r="N1572" s="43" t="inlineStr"/>
      <c r="O1572" s="43" t="inlineStr">
        <is>
          <t>2027-01-11</t>
        </is>
      </c>
      <c r="P1572" s="33" t="inlineStr">
        <is>
          <t>To track an AML qualification build (EXTENDABLE 2x);Risk Buy Authorization</t>
        </is>
      </c>
      <c r="Q1572" s="43" t="inlineStr">
        <is>
          <t>NA</t>
        </is>
      </c>
      <c r="R1572" s="43" t="inlineStr">
        <is>
          <t>2026-10-14</t>
        </is>
      </c>
      <c r="S1572" s="43" t="inlineStr"/>
      <c r="T1572" s="43" t="inlineStr"/>
      <c r="U1572" s="43" t="inlineStr"/>
    </row>
    <row r="1573">
      <c r="A1573" s="43" t="n">
        <v>1573</v>
      </c>
      <c r="B1573" s="43" t="inlineStr">
        <is>
          <t>1572</t>
        </is>
      </c>
      <c r="C1573" s="43" t="inlineStr">
        <is>
          <t>FJZP</t>
        </is>
      </c>
      <c r="D1573" s="43" t="inlineStr">
        <is>
          <t>Cisco</t>
        </is>
      </c>
      <c r="E1573" s="43" t="inlineStr">
        <is>
          <t>MCGA</t>
        </is>
      </c>
      <c r="F1573" s="43" t="inlineStr">
        <is>
          <t>037-STBU</t>
        </is>
      </c>
      <c r="G1573" s="43" t="inlineStr">
        <is>
          <t>CTANJZ05534</t>
        </is>
      </c>
      <c r="H1573" s="43" t="inlineStr">
        <is>
          <t>To track an AML qualification build (EXTENDABLE 2x)</t>
        </is>
      </c>
      <c r="I1573" s="43" t="inlineStr">
        <is>
          <t>Customer Deviation</t>
        </is>
      </c>
      <c r="J1573" s="43" t="inlineStr">
        <is>
          <t>D614416</t>
        </is>
      </c>
      <c r="K1573" s="33" t="inlineStr">
        <is>
          <t>D614416 NGFWBU GQR: GQR000104252 Case: AQR004829764 CPN: 36-0234-01 ; MFR NAME: MAG LAYERS; MPN: BBUPCS160808221Y00This deviation instructs Foxconn Juarez (FJZ) to execute a sample buy and conduct a Production Qual build for the following part(s):BU: NGFWBUPF: FPRMID3Affected TAN(s):68-7256-05Affected Item(s): 73-20247-06CPN: 36-0234-01; MFR NAME: MAG LAYERS; MPN: BBUPCS160808221Y00Build Qty: 30Ref Des: L75To execute the above AQR at CM site; should be tested on Model A.</t>
        </is>
      </c>
      <c r="L1573" s="43" t="inlineStr">
        <is>
          <t>CCB</t>
        </is>
      </c>
      <c r="M1573" s="43" t="inlineStr">
        <is>
          <t>36-0234-01</t>
        </is>
      </c>
      <c r="N1573" s="43" t="inlineStr"/>
      <c r="O1573" s="43" t="inlineStr">
        <is>
          <t>2027-01-11</t>
        </is>
      </c>
      <c r="P1573" s="33" t="inlineStr">
        <is>
          <t>To track an AML qualification build (EXTENDABLE 2x);Risk Buy Authorization</t>
        </is>
      </c>
      <c r="Q1573" s="43" t="inlineStr">
        <is>
          <t>NA</t>
        </is>
      </c>
      <c r="R1573" s="43" t="inlineStr">
        <is>
          <t>2026-10-14</t>
        </is>
      </c>
      <c r="S1573" s="43" t="inlineStr"/>
      <c r="T1573" s="43" t="inlineStr"/>
      <c r="U1573" s="43" t="inlineStr"/>
    </row>
    <row r="1574">
      <c r="A1574" s="43" t="n">
        <v>1574</v>
      </c>
      <c r="B1574" s="43" t="inlineStr">
        <is>
          <t>1573</t>
        </is>
      </c>
      <c r="C1574" s="43" t="inlineStr">
        <is>
          <t>FJZP</t>
        </is>
      </c>
      <c r="D1574" s="43" t="inlineStr">
        <is>
          <t>Cisco</t>
        </is>
      </c>
      <c r="E1574" s="43" t="inlineStr">
        <is>
          <t>MCGA</t>
        </is>
      </c>
      <c r="F1574" s="43" t="inlineStr">
        <is>
          <t>037-STBU</t>
        </is>
      </c>
      <c r="G1574" s="43" t="inlineStr">
        <is>
          <t>CTANJZ05534</t>
        </is>
      </c>
      <c r="H1574" s="43" t="inlineStr">
        <is>
          <t>To track an AML qualification build (EXTENDABLE 2x)</t>
        </is>
      </c>
      <c r="I1574" s="43" t="inlineStr">
        <is>
          <t>Customer Deviation</t>
        </is>
      </c>
      <c r="J1574" s="43" t="inlineStr">
        <is>
          <t>D614416</t>
        </is>
      </c>
      <c r="K1574" s="33" t="inlineStr">
        <is>
          <t>D614416 NGFWBU GQR: GQR000104252 Case: AQR004829764 CPN: 36-0234-01 ; MFR NAME: MAG LAYERS; MPN: BBUPCS160808221Y00This deviation instructs Foxconn Juarez (FJZ) to execute a sample buy and conduct a Production Qual build for the following part(s):BU: NGFWBUPF: FPRMID3Affected TAN(s):68-7256-05Affected Item(s): 73-20247-06CPN: 36-0234-01; MFR NAME: MAG LAYERS; MPN: BBUPCS160808221Y00Build Qty: 30Ref Des: L75To execute the above AQR at CM site; should be tested on Model A.</t>
        </is>
      </c>
      <c r="L1574" s="43" t="inlineStr">
        <is>
          <t>CCB</t>
        </is>
      </c>
      <c r="M1574" s="43" t="inlineStr">
        <is>
          <t>73-20247-06</t>
        </is>
      </c>
      <c r="N1574" s="43" t="inlineStr"/>
      <c r="O1574" s="43" t="inlineStr">
        <is>
          <t>2027-01-11</t>
        </is>
      </c>
      <c r="P1574" s="33" t="inlineStr">
        <is>
          <t>To track an AML qualification build (EXTENDABLE 2x);Risk Buy Authorization</t>
        </is>
      </c>
      <c r="Q1574" s="43" t="inlineStr">
        <is>
          <t>NA</t>
        </is>
      </c>
      <c r="R1574" s="43" t="inlineStr">
        <is>
          <t>2026-10-14</t>
        </is>
      </c>
      <c r="S1574" s="43" t="inlineStr"/>
      <c r="T1574" s="43" t="inlineStr"/>
      <c r="U1574" s="43" t="inlineStr"/>
    </row>
    <row r="1575">
      <c r="A1575" s="43" t="n">
        <v>1575</v>
      </c>
      <c r="B1575" s="43" t="inlineStr">
        <is>
          <t>1574</t>
        </is>
      </c>
      <c r="C1575" s="43" t="inlineStr">
        <is>
          <t>FJZP</t>
        </is>
      </c>
      <c r="D1575" s="43" t="inlineStr">
        <is>
          <t>Cisco</t>
        </is>
      </c>
      <c r="E1575" s="43" t="inlineStr">
        <is>
          <t>MCGA</t>
        </is>
      </c>
      <c r="F1575" s="43" t="inlineStr">
        <is>
          <t>037-STBU</t>
        </is>
      </c>
      <c r="G1575" s="43" t="inlineStr">
        <is>
          <t>CTANJZ05532</t>
        </is>
      </c>
      <c r="H1575" s="43" t="inlineStr">
        <is>
          <t>To track an AML qualification build (EXTENDABLE 2x)</t>
        </is>
      </c>
      <c r="I1575" s="43" t="inlineStr">
        <is>
          <t>Customer Deviation</t>
        </is>
      </c>
      <c r="J1575" s="43" t="inlineStr">
        <is>
          <t>D614414</t>
        </is>
      </c>
      <c r="K1575" s="33" t="inlineStr">
        <is>
          <t>D614414 NGFWBU GQR: GQR000104253 Case: AQR004831459 CPN: 36-0148-02 ; MFR NAME: LAIRD TECHNOLOGIES; MPN: HZ0603C601R-12  This deviation instructs Foxconn Juarez (FJZ) to execute a sample buy and conduct a Production Qual build for the following part(s):  BU: NGFWBU PF: FPRHIGH Affected TAN(s):68-103465-07 Affected Item(s): 73-102434-06 CPN: 36-0148-02; MFR NAME: LAIRD TECHNOLOGIES; MPN: HZ0603C601R-12 Build Qty: 5 Ref Des: L18;L19;L20;L21  To execute the above AQR at CM site; should be tested on Model A. Note: Can be tested on any Warwick model.</t>
        </is>
      </c>
      <c r="L1575" s="43" t="inlineStr">
        <is>
          <t>CCB</t>
        </is>
      </c>
      <c r="M1575" s="43" t="inlineStr">
        <is>
          <t>36-0148-02</t>
        </is>
      </c>
      <c r="N1575" s="43" t="inlineStr"/>
      <c r="O1575" s="43" t="inlineStr">
        <is>
          <t>2027-01-11</t>
        </is>
      </c>
      <c r="P1575" s="33" t="inlineStr">
        <is>
          <t>To track an AML qualification build (EXTENDABLE 2x);Risk Buy Authorization</t>
        </is>
      </c>
      <c r="Q1575" s="43" t="inlineStr">
        <is>
          <t>NA</t>
        </is>
      </c>
      <c r="R1575" s="43" t="inlineStr">
        <is>
          <t>2026-10-14</t>
        </is>
      </c>
      <c r="S1575" s="43" t="inlineStr"/>
      <c r="T1575" s="43" t="inlineStr"/>
      <c r="U1575" s="43" t="inlineStr"/>
    </row>
    <row r="1576">
      <c r="A1576" s="43" t="n">
        <v>1576</v>
      </c>
      <c r="B1576" s="43" t="inlineStr">
        <is>
          <t>1575</t>
        </is>
      </c>
      <c r="C1576" s="43" t="inlineStr">
        <is>
          <t>FJZP</t>
        </is>
      </c>
      <c r="D1576" s="43" t="inlineStr">
        <is>
          <t>Cisco</t>
        </is>
      </c>
      <c r="E1576" s="43" t="inlineStr">
        <is>
          <t>MCGA</t>
        </is>
      </c>
      <c r="F1576" s="43" t="inlineStr">
        <is>
          <t>037-STBU</t>
        </is>
      </c>
      <c r="G1576" s="43" t="inlineStr">
        <is>
          <t>CTANJZ05532</t>
        </is>
      </c>
      <c r="H1576" s="43" t="inlineStr">
        <is>
          <t>To track an AML qualification build (EXTENDABLE 2x)</t>
        </is>
      </c>
      <c r="I1576" s="43" t="inlineStr">
        <is>
          <t>Customer Deviation</t>
        </is>
      </c>
      <c r="J1576" s="43" t="inlineStr">
        <is>
          <t>D614414</t>
        </is>
      </c>
      <c r="K1576" s="33" t="inlineStr">
        <is>
          <t>D614414 NGFWBU GQR: GQR000104253 Case: AQR004831459 CPN: 36-0148-02 ; MFR NAME: LAIRD TECHNOLOGIES; MPN: HZ0603C601R-12  This deviation instructs Foxconn Juarez (FJZ) to execute a sample buy and conduct a Production Qual build for the following part(s):  BU: NGFWBU PF: FPRHIGH Affected TAN(s):68-103465-07 Affected Item(s): 73-102434-06 CPN: 36-0148-02; MFR NAME: LAIRD TECHNOLOGIES; MPN: HZ0603C601R-12 Build Qty: 5 Ref Des: L18;L19;L20;L21  To execute the above AQR at CM site; should be tested on Model A. Note: Can be tested on any Warwick model.</t>
        </is>
      </c>
      <c r="L1576" s="43" t="inlineStr">
        <is>
          <t>CCB</t>
        </is>
      </c>
      <c r="M1576" s="43" t="inlineStr">
        <is>
          <t>73-102434-06</t>
        </is>
      </c>
      <c r="N1576" s="43" t="inlineStr"/>
      <c r="O1576" s="43" t="inlineStr">
        <is>
          <t>2027-01-11</t>
        </is>
      </c>
      <c r="P1576" s="33" t="inlineStr">
        <is>
          <t>To track an AML qualification build (EXTENDABLE 2x);Risk Buy Authorization</t>
        </is>
      </c>
      <c r="Q1576" s="43" t="inlineStr">
        <is>
          <t>NA</t>
        </is>
      </c>
      <c r="R1576" s="43" t="inlineStr">
        <is>
          <t>2026-10-14</t>
        </is>
      </c>
      <c r="S1576" s="43" t="inlineStr"/>
      <c r="T1576" s="43" t="inlineStr"/>
      <c r="U1576" s="43" t="inlineStr"/>
    </row>
    <row r="1577">
      <c r="A1577" s="43" t="n">
        <v>1577</v>
      </c>
      <c r="B1577" s="43" t="inlineStr">
        <is>
          <t>1576</t>
        </is>
      </c>
      <c r="C1577" s="43" t="inlineStr">
        <is>
          <t>FJZP</t>
        </is>
      </c>
      <c r="D1577" s="43" t="inlineStr">
        <is>
          <t>Cisco</t>
        </is>
      </c>
      <c r="E1577" s="43" t="inlineStr">
        <is>
          <t>MCGA</t>
        </is>
      </c>
      <c r="F1577" s="43" t="inlineStr">
        <is>
          <t>037-STBU</t>
        </is>
      </c>
      <c r="G1577" s="43" t="inlineStr">
        <is>
          <t>CTANJZ05350</t>
        </is>
      </c>
      <c r="H1577" s="43" t="inlineStr">
        <is>
          <t>To track an AML qualification build (EXTENDABLE 2x)</t>
        </is>
      </c>
      <c r="I1577" s="43" t="inlineStr">
        <is>
          <t>Customer Deviation</t>
        </is>
      </c>
      <c r="J1577" s="43" t="inlineStr">
        <is>
          <t>D612480</t>
        </is>
      </c>
      <c r="K1577" s="33" t="inlineStr">
        <is>
          <t>D612480NGFWBU GQR: GQR000096134 Case: AQR003756958 CPN: 36-0097-01; MFR NAME: MAG LAYERS; MPN: BBUPCS453215800Y00This deviation instructs Foxconn Juarez (FJZ) to execute a sample buy and conduct a Production Qual build for the following part(s):BU: NGFWBUPF: FPRMID3Affected TAN(s):68-7253-05Affected Item(s): 73-20249-06CPN: 36-0097-01; MFR NAME: MAG LAYERS; MPN: BBUPCS453215800Y00Build Qty: 7Ref Des: L28;L97To execute the above AQR at CM site; should be tested on Model A.</t>
        </is>
      </c>
      <c r="L1577" s="43" t="inlineStr">
        <is>
          <t>Expired</t>
        </is>
      </c>
      <c r="M1577" s="43" t="inlineStr">
        <is>
          <t>36-0097-01</t>
        </is>
      </c>
      <c r="N1577" s="43" t="inlineStr"/>
      <c r="O1577" s="43" t="inlineStr">
        <is>
          <t>2026-10-07</t>
        </is>
      </c>
      <c r="P1577" s="33" t="inlineStr">
        <is>
          <t>To track an AML qualification build (EXTENDABLE 2x);Risk Buy Authorization</t>
        </is>
      </c>
      <c r="Q1577" s="43" t="inlineStr">
        <is>
          <t>NA</t>
        </is>
      </c>
      <c r="R1577" s="43" t="inlineStr">
        <is>
          <t>2026-07-10</t>
        </is>
      </c>
      <c r="S1577" s="43" t="inlineStr">
        <is>
          <t>2026-07-21</t>
        </is>
      </c>
      <c r="T1577" s="43" t="inlineStr"/>
      <c r="U1577" s="43" t="inlineStr"/>
    </row>
    <row r="1578">
      <c r="A1578" s="43" t="n">
        <v>1578</v>
      </c>
      <c r="B1578" s="43" t="inlineStr">
        <is>
          <t>1577</t>
        </is>
      </c>
      <c r="C1578" s="43" t="inlineStr">
        <is>
          <t>FJZP</t>
        </is>
      </c>
      <c r="D1578" s="43" t="inlineStr">
        <is>
          <t>Cisco</t>
        </is>
      </c>
      <c r="E1578" s="43" t="inlineStr">
        <is>
          <t>MCGA</t>
        </is>
      </c>
      <c r="F1578" s="43" t="inlineStr">
        <is>
          <t>037-STBU</t>
        </is>
      </c>
      <c r="G1578" s="43" t="inlineStr">
        <is>
          <t>CTANJZ05350</t>
        </is>
      </c>
      <c r="H1578" s="43" t="inlineStr">
        <is>
          <t>To track an AML qualification build (EXTENDABLE 2x)</t>
        </is>
      </c>
      <c r="I1578" s="43" t="inlineStr">
        <is>
          <t>Customer Deviation</t>
        </is>
      </c>
      <c r="J1578" s="43" t="inlineStr">
        <is>
          <t>D612480</t>
        </is>
      </c>
      <c r="K1578" s="33" t="inlineStr">
        <is>
          <t>D612480NGFWBU GQR: GQR000096134 Case: AQR003756958 CPN: 36-0097-01; MFR NAME: MAG LAYERS; MPN: BBUPCS453215800Y00This deviation instructs Foxconn Juarez (FJZ) to execute a sample buy and conduct a Production Qual build for the following part(s):BU: NGFWBUPF: FPRMID3Affected TAN(s):68-7253-05Affected Item(s): 73-20249-06CPN: 36-0097-01; MFR NAME: MAG LAYERS; MPN: BBUPCS453215800Y00Build Qty: 7Ref Des: L28;L97To execute the above AQR at CM site; should be tested on Model A.</t>
        </is>
      </c>
      <c r="L1578" s="43" t="inlineStr">
        <is>
          <t>Expired</t>
        </is>
      </c>
      <c r="M1578" s="43" t="inlineStr">
        <is>
          <t>73-20249-06</t>
        </is>
      </c>
      <c r="N1578" s="43" t="inlineStr"/>
      <c r="O1578" s="43" t="inlineStr">
        <is>
          <t>2026-10-07</t>
        </is>
      </c>
      <c r="P1578" s="33" t="inlineStr">
        <is>
          <t>To track an AML qualification build (EXTENDABLE 2x);Risk Buy Authorization</t>
        </is>
      </c>
      <c r="Q1578" s="43" t="inlineStr">
        <is>
          <t>NA</t>
        </is>
      </c>
      <c r="R1578" s="43" t="inlineStr">
        <is>
          <t>2026-07-10</t>
        </is>
      </c>
      <c r="S1578" s="43" t="inlineStr">
        <is>
          <t>2026-07-21</t>
        </is>
      </c>
      <c r="T1578" s="43" t="inlineStr"/>
      <c r="U1578" s="43" t="inlineStr"/>
    </row>
    <row r="1579">
      <c r="A1579" s="43" t="n">
        <v>1579</v>
      </c>
      <c r="B1579" s="43" t="inlineStr">
        <is>
          <t>1578</t>
        </is>
      </c>
      <c r="C1579" s="43" t="inlineStr">
        <is>
          <t>FJZP</t>
        </is>
      </c>
      <c r="D1579" s="43" t="inlineStr">
        <is>
          <t>Cisco</t>
        </is>
      </c>
      <c r="E1579" s="43" t="inlineStr">
        <is>
          <t>MCGA</t>
        </is>
      </c>
      <c r="F1579" s="43" t="inlineStr">
        <is>
          <t>037-STBU</t>
        </is>
      </c>
      <c r="G1579" s="43" t="inlineStr">
        <is>
          <t>CTANJZ05403</t>
        </is>
      </c>
      <c r="H1579" s="43" t="inlineStr">
        <is>
          <t>To track an AML qualification build (EXTENDABLE 2x)</t>
        </is>
      </c>
      <c r="I1579" s="43" t="inlineStr">
        <is>
          <t>Customer Deviation</t>
        </is>
      </c>
      <c r="J1579" s="43" t="inlineStr">
        <is>
          <t>D612842</t>
        </is>
      </c>
      <c r="K1579" s="33" t="inlineStr">
        <is>
          <t>D612842 NGFWBU GQR: GQR000097798 Case: AQR004550081 CPN: 15-100109-01; MFR NAME: TOSHIBA; MPN: 74AVC1T45FU;LCF(GTThis deviation instructs Foxconn Juarez (FJZ) to execute a sample buy and conduct a Production Qual build for the following part(s):BU: NGFWBUPF: FPRMID3Affected TAN(s):68-7255-05Affected Item(s): 73-20247-06CPN: 15-100109-01; MFR NAME: TOSHIBA; MPN: 74AVC1T45FU;LCF(GTBuild Qty: 5Ref Des: U43;U68;U70;U74;U132;U198To execute the above AQR at CM site; should be tested on Model A.</t>
        </is>
      </c>
      <c r="L1579" s="43" t="inlineStr">
        <is>
          <t>FAI Status</t>
        </is>
      </c>
      <c r="M1579" s="43" t="inlineStr">
        <is>
          <t>73-20247-06</t>
        </is>
      </c>
      <c r="N1579" s="43" t="inlineStr"/>
      <c r="O1579" s="43" t="inlineStr">
        <is>
          <t>2026-10-20</t>
        </is>
      </c>
      <c r="P1579" s="33" t="inlineStr">
        <is>
          <t>To track an AML qualification build (EXTENDABLE 2x);Risk Buy Authorization</t>
        </is>
      </c>
      <c r="Q1579" s="43" t="inlineStr">
        <is>
          <t>NA</t>
        </is>
      </c>
      <c r="R1579" s="43" t="inlineStr">
        <is>
          <t>2026-07-23</t>
        </is>
      </c>
      <c r="S1579" s="43" t="inlineStr">
        <is>
          <t>2026-09-03</t>
        </is>
      </c>
      <c r="T1579" s="43" t="inlineStr"/>
      <c r="U1579" s="43" t="inlineStr"/>
    </row>
    <row r="1580">
      <c r="A1580" s="43" t="n">
        <v>1580</v>
      </c>
      <c r="B1580" s="43" t="inlineStr">
        <is>
          <t>1579</t>
        </is>
      </c>
      <c r="C1580" s="43" t="inlineStr">
        <is>
          <t>FJZP</t>
        </is>
      </c>
      <c r="D1580" s="43" t="inlineStr">
        <is>
          <t>Cisco</t>
        </is>
      </c>
      <c r="E1580" s="43" t="inlineStr">
        <is>
          <t>MCGA</t>
        </is>
      </c>
      <c r="F1580" s="43" t="inlineStr">
        <is>
          <t>034-IOTBU</t>
        </is>
      </c>
      <c r="G1580" s="43" t="inlineStr">
        <is>
          <t>CTANJZ04744</t>
        </is>
      </c>
      <c r="H1580" s="43" t="inlineStr">
        <is>
          <t>Risk Buy Authorization Only ¡V No Build/Shipment Allowed (Sustaining Only)</t>
        </is>
      </c>
      <c r="I1580" s="43" t="inlineStr">
        <is>
          <t>Customer Deviation</t>
        </is>
      </c>
      <c r="J1580" s="43" t="inlineStr">
        <is>
          <t>D605288</t>
        </is>
      </c>
      <c r="K1580" s="33" t="inlineStr">
        <is>
          <t>D605288 To authorize a Risk Buy of MFGR/MPN SAMSUNG SEMICONDUCTORS K4A8G085WG-BIWE which is currently listed in IPQ status under CPN 15-105197-01.</t>
        </is>
      </c>
      <c r="L1580" s="43" t="inlineStr">
        <is>
          <t>Expired</t>
        </is>
      </c>
      <c r="M1580" s="43" t="inlineStr">
        <is>
          <t>73-102239-04</t>
        </is>
      </c>
      <c r="N1580" s="43" t="inlineStr"/>
      <c r="O1580" s="43" t="inlineStr">
        <is>
          <t>2025-10-21</t>
        </is>
      </c>
      <c r="P1580" s="33" t="inlineStr">
        <is>
          <t>Risk Buy Authorization</t>
        </is>
      </c>
      <c r="Q1580" s="43" t="inlineStr">
        <is>
          <t>NA</t>
        </is>
      </c>
      <c r="R1580" s="43" t="inlineStr">
        <is>
          <t>2025-07-23</t>
        </is>
      </c>
      <c r="S1580" s="43" t="inlineStr">
        <is>
          <t>2025-07-30</t>
        </is>
      </c>
      <c r="T1580" s="43" t="inlineStr"/>
      <c r="U1580" s="43" t="inlineStr"/>
    </row>
    <row r="1581">
      <c r="A1581" s="43" t="n">
        <v>1581</v>
      </c>
      <c r="B1581" s="43" t="inlineStr">
        <is>
          <t>1580</t>
        </is>
      </c>
      <c r="C1581" s="43" t="inlineStr">
        <is>
          <t>FJZP</t>
        </is>
      </c>
      <c r="D1581" s="43" t="inlineStr">
        <is>
          <t>Cisco</t>
        </is>
      </c>
      <c r="E1581" s="43" t="inlineStr">
        <is>
          <t>MCGA</t>
        </is>
      </c>
      <c r="F1581" s="43" t="inlineStr">
        <is>
          <t>034-IOTBU</t>
        </is>
      </c>
      <c r="G1581" s="43" t="inlineStr">
        <is>
          <t>CTANJZ04744</t>
        </is>
      </c>
      <c r="H1581" s="43" t="inlineStr">
        <is>
          <t>Risk Buy Authorization Only ¡V No Build/Shipment Allowed (Sustaining Only)</t>
        </is>
      </c>
      <c r="I1581" s="43" t="inlineStr">
        <is>
          <t>Customer Deviation</t>
        </is>
      </c>
      <c r="J1581" s="43" t="inlineStr">
        <is>
          <t>D605288</t>
        </is>
      </c>
      <c r="K1581" s="33" t="inlineStr">
        <is>
          <t>D605288 To authorize a Risk Buy of MFGR/MPN SAMSUNG SEMICONDUCTORS K4A8G085WG-BIWE which is currently listed in IPQ status under CPN 15-105197-01.</t>
        </is>
      </c>
      <c r="L1581" s="43" t="inlineStr">
        <is>
          <t>Expired</t>
        </is>
      </c>
      <c r="M1581" s="43" t="inlineStr">
        <is>
          <t>73-103098-03</t>
        </is>
      </c>
      <c r="N1581" s="43" t="inlineStr"/>
      <c r="O1581" s="43" t="inlineStr">
        <is>
          <t>2025-10-21</t>
        </is>
      </c>
      <c r="P1581" s="33" t="inlineStr">
        <is>
          <t>Risk Buy Authorization</t>
        </is>
      </c>
      <c r="Q1581" s="43" t="inlineStr">
        <is>
          <t>NA</t>
        </is>
      </c>
      <c r="R1581" s="43" t="inlineStr">
        <is>
          <t>2025-07-23</t>
        </is>
      </c>
      <c r="S1581" s="43" t="inlineStr">
        <is>
          <t>2025-07-30</t>
        </is>
      </c>
      <c r="T1581" s="43" t="inlineStr"/>
      <c r="U1581" s="43" t="inlineStr"/>
    </row>
    <row r="1582">
      <c r="A1582" s="43" t="n">
        <v>1582</v>
      </c>
      <c r="B1582" s="43" t="inlineStr">
        <is>
          <t>1581</t>
        </is>
      </c>
      <c r="C1582" s="43" t="inlineStr">
        <is>
          <t>FJZP</t>
        </is>
      </c>
      <c r="D1582" s="43" t="inlineStr">
        <is>
          <t>Cisco</t>
        </is>
      </c>
      <c r="E1582" s="43" t="inlineStr">
        <is>
          <t>MCGA</t>
        </is>
      </c>
      <c r="F1582" s="43" t="inlineStr">
        <is>
          <t>037-STBU</t>
        </is>
      </c>
      <c r="G1582" s="43" t="inlineStr">
        <is>
          <t>CTANJZ05059</t>
        </is>
      </c>
      <c r="H1582" s="43" t="inlineStr">
        <is>
          <t>Risk Buy Authorization Only ¡V No Build/Shipment Allowed (Sustaining Only)</t>
        </is>
      </c>
      <c r="I1582" s="43" t="inlineStr">
        <is>
          <t>Customer Deviation</t>
        </is>
      </c>
      <c r="J1582" s="43" t="inlineStr">
        <is>
          <t>D608814</t>
        </is>
      </c>
      <c r="K1582" s="33" t="inlineStr">
        <is>
          <t>D608814 NGFWBU GQR: GQR000077588 Case: AQR003239338 CPN: 15-110451-01; MFR NAME: HYNIX SEMICONDUCTOR; MPN: HMCG94CHBRA  To execute the above AQR at CM site; should be tested on Model C</t>
        </is>
      </c>
      <c r="L1582" s="43" t="inlineStr">
        <is>
          <t>Expired</t>
        </is>
      </c>
      <c r="M1582" s="43" t="inlineStr">
        <is>
          <t>15-110451-01</t>
        </is>
      </c>
      <c r="N1582" s="43" t="inlineStr"/>
      <c r="O1582" s="43" t="inlineStr">
        <is>
          <t>2026-04-09</t>
        </is>
      </c>
      <c r="P1582" s="33" t="inlineStr">
        <is>
          <t>Risk Buy Authorization</t>
        </is>
      </c>
      <c r="Q1582" s="43" t="inlineStr">
        <is>
          <t>No marking required.</t>
        </is>
      </c>
      <c r="R1582" s="43" t="inlineStr">
        <is>
          <t>2026-01-09</t>
        </is>
      </c>
      <c r="S1582" s="43" t="inlineStr">
        <is>
          <t>2026-01-31</t>
        </is>
      </c>
      <c r="T1582" s="43" t="inlineStr"/>
      <c r="U1582" s="43" t="inlineStr"/>
    </row>
    <row r="1583">
      <c r="A1583" s="43" t="n">
        <v>1583</v>
      </c>
      <c r="B1583" s="43" t="inlineStr">
        <is>
          <t>1582</t>
        </is>
      </c>
      <c r="C1583" s="43" t="inlineStr">
        <is>
          <t>FJZP</t>
        </is>
      </c>
      <c r="D1583" s="43" t="inlineStr">
        <is>
          <t>Cisco</t>
        </is>
      </c>
      <c r="E1583" s="43" t="inlineStr">
        <is>
          <t>MCGA</t>
        </is>
      </c>
      <c r="F1583" s="43" t="inlineStr">
        <is>
          <t>037-STBU</t>
        </is>
      </c>
      <c r="G1583" s="43" t="inlineStr">
        <is>
          <t>CTANJZ05059</t>
        </is>
      </c>
      <c r="H1583" s="43" t="inlineStr">
        <is>
          <t>Risk Buy Authorization Only ¡V No Build/Shipment Allowed (Sustaining Only)</t>
        </is>
      </c>
      <c r="I1583" s="43" t="inlineStr">
        <is>
          <t>Customer Deviation</t>
        </is>
      </c>
      <c r="J1583" s="43" t="inlineStr">
        <is>
          <t>D608814</t>
        </is>
      </c>
      <c r="K1583" s="33" t="inlineStr">
        <is>
          <t>D608814 NGFWBU GQR: GQR000077588 Case: AQR003239338 CPN: 15-110451-01; MFR NAME: HYNIX SEMICONDUCTOR; MPN: HMCG94CHBRA  To execute the above AQR at CM site; should be tested on Model C</t>
        </is>
      </c>
      <c r="L1583" s="43" t="inlineStr">
        <is>
          <t>Expired</t>
        </is>
      </c>
      <c r="M1583" s="43" t="inlineStr">
        <is>
          <t>800-112583-04</t>
        </is>
      </c>
      <c r="N1583" s="43" t="inlineStr"/>
      <c r="O1583" s="43" t="inlineStr">
        <is>
          <t>2026-04-09</t>
        </is>
      </c>
      <c r="P1583" s="33" t="inlineStr">
        <is>
          <t>Risk Buy Authorization</t>
        </is>
      </c>
      <c r="Q1583" s="43" t="inlineStr">
        <is>
          <t>No marking required.</t>
        </is>
      </c>
      <c r="R1583" s="43" t="inlineStr">
        <is>
          <t>2026-01-09</t>
        </is>
      </c>
      <c r="S1583" s="43" t="inlineStr">
        <is>
          <t>2026-01-31</t>
        </is>
      </c>
      <c r="T1583" s="43" t="inlineStr"/>
      <c r="U1583" s="43" t="inlineStr"/>
    </row>
    <row r="1584">
      <c r="A1584" s="43" t="n">
        <v>1584</v>
      </c>
      <c r="B1584" s="43" t="inlineStr">
        <is>
          <t>1583</t>
        </is>
      </c>
      <c r="C1584" s="43" t="inlineStr">
        <is>
          <t>FJZP</t>
        </is>
      </c>
      <c r="D1584" s="43" t="inlineStr">
        <is>
          <t>Cisco</t>
        </is>
      </c>
      <c r="E1584" s="43" t="inlineStr">
        <is>
          <t>MCGA</t>
        </is>
      </c>
      <c r="F1584" s="43" t="inlineStr">
        <is>
          <t>037-STBU</t>
        </is>
      </c>
      <c r="G1584" s="43" t="inlineStr">
        <is>
          <t>CTANJZ05134</t>
        </is>
      </c>
      <c r="H1584" s="43" t="inlineStr">
        <is>
          <t>Risk Buy Authorization Only ¡V No Build/Shipment Allowed (Sustaining Only)</t>
        </is>
      </c>
      <c r="I1584" s="43" t="inlineStr">
        <is>
          <t>Customer Deviation</t>
        </is>
      </c>
      <c r="J1584" s="43" t="inlineStr">
        <is>
          <t>D609794</t>
        </is>
      </c>
      <c r="K1584" s="33" t="inlineStr">
        <is>
          <t>D609794 NGFWBU GQR: GQR000076448 Case: AQR003106218 CPN: 15-14518-02; MFR NAME: RICHTEK TECHNOLOGY; MPN: RTQ6059GJ8This deviation instructs Foxconn Juarez (FJZ) to execute a sample buy and conduct a Mfg qual build for the following part(s):BU: NGFWBUPF: F1KLOWAffected TAN(s): 68-6191-07Affected Item(s): 73-18490-10CPN:15-14518-02; MFR NAME: RICHTEK TECHNOLOGY; MPN: RTQ6059GJ8Build Qty: 5Ref Des: U42_PETo execute the above AQR at CM site; should be tested on Model A.</t>
        </is>
      </c>
      <c r="L1584" s="43" t="inlineStr">
        <is>
          <t>Expired</t>
        </is>
      </c>
      <c r="M1584" s="43" t="inlineStr">
        <is>
          <t>15-14518-02</t>
        </is>
      </c>
      <c r="N1584" s="43" t="inlineStr"/>
      <c r="O1584" s="43" t="inlineStr">
        <is>
          <t>2026-06-03</t>
        </is>
      </c>
      <c r="P1584" s="33" t="inlineStr">
        <is>
          <t>Risk Buy Authorization</t>
        </is>
      </c>
      <c r="Q1584" s="43" t="inlineStr">
        <is>
          <t>NA</t>
        </is>
      </c>
      <c r="R1584" s="43" t="inlineStr">
        <is>
          <t>2026-03-06</t>
        </is>
      </c>
      <c r="S1584" s="43" t="inlineStr">
        <is>
          <t>2026-03-24</t>
        </is>
      </c>
      <c r="T1584" s="43" t="inlineStr"/>
      <c r="U1584" s="43" t="inlineStr"/>
    </row>
    <row r="1585">
      <c r="A1585" s="43" t="n">
        <v>1585</v>
      </c>
      <c r="B1585" s="43" t="inlineStr">
        <is>
          <t>1584</t>
        </is>
      </c>
      <c r="C1585" s="43" t="inlineStr">
        <is>
          <t>FJZP</t>
        </is>
      </c>
      <c r="D1585" s="43" t="inlineStr">
        <is>
          <t>Cisco</t>
        </is>
      </c>
      <c r="E1585" s="43" t="inlineStr">
        <is>
          <t>MCGA</t>
        </is>
      </c>
      <c r="F1585" s="43" t="inlineStr">
        <is>
          <t>037-STBU</t>
        </is>
      </c>
      <c r="G1585" s="43" t="inlineStr">
        <is>
          <t>CTANJZ05134</t>
        </is>
      </c>
      <c r="H1585" s="43" t="inlineStr">
        <is>
          <t>Risk Buy Authorization Only ¡V No Build/Shipment Allowed (Sustaining Only)</t>
        </is>
      </c>
      <c r="I1585" s="43" t="inlineStr">
        <is>
          <t>Customer Deviation</t>
        </is>
      </c>
      <c r="J1585" s="43" t="inlineStr">
        <is>
          <t>D609794</t>
        </is>
      </c>
      <c r="K1585" s="33" t="inlineStr">
        <is>
          <t>D609794 NGFWBU GQR: GQR000076448 Case: AQR003106218 CPN: 15-14518-02; MFR NAME: RICHTEK TECHNOLOGY; MPN: RTQ6059GJ8This deviation instructs Foxconn Juarez (FJZ) to execute a sample buy and conduct a Mfg qual build for the following part(s):BU: NGFWBUPF: F1KLOWAffected TAN(s): 68-6191-07Affected Item(s): 73-18490-10CPN:15-14518-02; MFR NAME: RICHTEK TECHNOLOGY; MPN: RTQ6059GJ8Build Qty: 5Ref Des: U42_PETo execute the above AQR at CM site; should be tested on Model A.</t>
        </is>
      </c>
      <c r="L1585" s="43" t="inlineStr">
        <is>
          <t>Expired</t>
        </is>
      </c>
      <c r="M1585" s="43" t="inlineStr">
        <is>
          <t>73-18490-10</t>
        </is>
      </c>
      <c r="N1585" s="43" t="inlineStr"/>
      <c r="O1585" s="43" t="inlineStr">
        <is>
          <t>2026-06-03</t>
        </is>
      </c>
      <c r="P1585" s="33" t="inlineStr">
        <is>
          <t>Risk Buy Authorization</t>
        </is>
      </c>
      <c r="Q1585" s="43" t="inlineStr">
        <is>
          <t>NA</t>
        </is>
      </c>
      <c r="R1585" s="43" t="inlineStr">
        <is>
          <t>2026-03-06</t>
        </is>
      </c>
      <c r="S1585" s="43" t="inlineStr">
        <is>
          <t>2026-03-24</t>
        </is>
      </c>
      <c r="T1585" s="43" t="inlineStr"/>
      <c r="U1585" s="43" t="inlineStr"/>
    </row>
    <row r="1586">
      <c r="A1586" s="43" t="n">
        <v>1586</v>
      </c>
      <c r="B1586" s="43" t="inlineStr">
        <is>
          <t>1585</t>
        </is>
      </c>
      <c r="C1586" s="43" t="inlineStr">
        <is>
          <t>FJZP</t>
        </is>
      </c>
      <c r="D1586" s="43" t="inlineStr">
        <is>
          <t>Cisco</t>
        </is>
      </c>
      <c r="E1586" s="43" t="inlineStr">
        <is>
          <t>MCGA</t>
        </is>
      </c>
      <c r="F1586" s="43" t="inlineStr">
        <is>
          <t>239-CRBU</t>
        </is>
      </c>
      <c r="G1586" s="43" t="inlineStr">
        <is>
          <t>CTANJZ05533</t>
        </is>
      </c>
      <c r="H1586" s="43" t="inlineStr">
        <is>
          <t>New Release</t>
        </is>
      </c>
      <c r="I1586" s="43" t="inlineStr">
        <is>
          <t>Customer Deviation</t>
        </is>
      </c>
      <c r="J1586" s="43" t="inlineStr">
        <is>
          <t>D614415</t>
        </is>
      </c>
      <c r="K1586" s="33" t="inlineStr">
        <is>
          <t>D614415 NGFWBU GQR: GQR000104252 Case: AQR004829994 CPN: 36-0234-01 ; MFR NAME: MAG LAYERS; MPN: BBUPCS160808221Y00  This deviation instructs Foxconn Juarez (FJZ) to execute a sample buy and conduct a Production Qual build for the following part(s):  BU: NGFWBU PF: FPRHIGH Affected TAN(s):68-103465-07 Affected Item(s): 73-102434-06 CPN:36-0234-01; MFR NAME: MAG LAYERS; MPN: BBUPCS160808221Y00 Build Qty: 5 Ref Des: L31;L32  To execute the above AQR at CM site; should be tested on Model A. Note: Can be tested on any Warwick model.</t>
        </is>
      </c>
      <c r="L1586" s="43" t="inlineStr">
        <is>
          <t>Pending</t>
        </is>
      </c>
      <c r="M1586" s="43" t="inlineStr">
        <is>
          <t>73-102434-06</t>
        </is>
      </c>
      <c r="N1586" s="43" t="inlineStr"/>
      <c r="O1586" s="43" t="inlineStr">
        <is>
          <t>2027-01-11</t>
        </is>
      </c>
      <c r="P1586" s="33" t="inlineStr">
        <is>
          <t>To track an AML qualification build (EXTENDABLE 2x);Risk Buy Authorization</t>
        </is>
      </c>
      <c r="Q1586" s="43" t="inlineStr">
        <is>
          <t>NA</t>
        </is>
      </c>
      <c r="R1586" s="43" t="inlineStr">
        <is>
          <t>2026-10-14</t>
        </is>
      </c>
      <c r="S1586" s="43" t="inlineStr"/>
      <c r="T1586" s="43" t="inlineStr"/>
      <c r="U1586" s="43" t="inlineStr"/>
    </row>
    <row r="1587">
      <c r="A1587" s="43" t="n">
        <v>1587</v>
      </c>
      <c r="B1587" s="43" t="inlineStr">
        <is>
          <t>1586</t>
        </is>
      </c>
      <c r="C1587" s="43" t="inlineStr">
        <is>
          <t>FJZP</t>
        </is>
      </c>
      <c r="D1587" s="43" t="inlineStr">
        <is>
          <t>Cisco</t>
        </is>
      </c>
      <c r="E1587" s="43" t="inlineStr">
        <is>
          <t>MCGA</t>
        </is>
      </c>
      <c r="F1587" s="43" t="inlineStr">
        <is>
          <t>037-STBU</t>
        </is>
      </c>
      <c r="G1587" s="43" t="inlineStr">
        <is>
          <t>CTANJZ05335</t>
        </is>
      </c>
      <c r="H1587" s="43" t="inlineStr">
        <is>
          <t>Risk Buy Authorization Only ¡V No Build/Shipment Allowed (Sustaining Only)</t>
        </is>
      </c>
      <c r="I1587" s="43" t="inlineStr">
        <is>
          <t>Customer Deviation</t>
        </is>
      </c>
      <c r="J1587" s="43" t="inlineStr">
        <is>
          <t>D612467</t>
        </is>
      </c>
      <c r="K1587" s="33" t="inlineStr">
        <is>
          <t>D612467 Please see PageThree for details</t>
        </is>
      </c>
      <c r="L1587" s="43" t="inlineStr">
        <is>
          <t>Expired</t>
        </is>
      </c>
      <c r="M1587" s="43" t="inlineStr">
        <is>
          <t>73-101944-03</t>
        </is>
      </c>
      <c r="N1587" s="43" t="inlineStr"/>
      <c r="O1587" s="43" t="inlineStr">
        <is>
          <t>2026-09-29</t>
        </is>
      </c>
      <c r="P1587" s="33" t="inlineStr">
        <is>
          <t>Risk Buy Authorization</t>
        </is>
      </c>
      <c r="Q1587" s="43" t="inlineStr">
        <is>
          <t>N/A</t>
        </is>
      </c>
      <c r="R1587" s="43" t="inlineStr">
        <is>
          <t>2026-07-03</t>
        </is>
      </c>
      <c r="S1587" s="43" t="inlineStr">
        <is>
          <t>2026-07-16</t>
        </is>
      </c>
      <c r="T1587" s="43" t="inlineStr"/>
      <c r="U1587" s="43" t="inlineStr"/>
    </row>
    <row r="1588">
      <c r="A1588" s="43" t="n">
        <v>1588</v>
      </c>
      <c r="B1588" s="43" t="inlineStr">
        <is>
          <t>1587</t>
        </is>
      </c>
      <c r="C1588" s="43" t="inlineStr">
        <is>
          <t>FJZP</t>
        </is>
      </c>
      <c r="D1588" s="43" t="inlineStr">
        <is>
          <t>Cisco</t>
        </is>
      </c>
      <c r="E1588" s="43" t="inlineStr">
        <is>
          <t>MCGA</t>
        </is>
      </c>
      <c r="F1588" s="43" t="inlineStr">
        <is>
          <t>037-STBU</t>
        </is>
      </c>
      <c r="G1588" s="43" t="inlineStr">
        <is>
          <t>CTANJZ05335</t>
        </is>
      </c>
      <c r="H1588" s="43" t="inlineStr">
        <is>
          <t>Risk Buy Authorization Only ¡V No Build/Shipment Allowed (Sustaining Only)</t>
        </is>
      </c>
      <c r="I1588" s="43" t="inlineStr">
        <is>
          <t>Customer Deviation</t>
        </is>
      </c>
      <c r="J1588" s="43" t="inlineStr">
        <is>
          <t>D612467</t>
        </is>
      </c>
      <c r="K1588" s="33" t="inlineStr">
        <is>
          <t>D612467 Please see PageThree for details</t>
        </is>
      </c>
      <c r="L1588" s="43" t="inlineStr">
        <is>
          <t>Expired</t>
        </is>
      </c>
      <c r="M1588" s="43" t="inlineStr">
        <is>
          <t>73-101945-03</t>
        </is>
      </c>
      <c r="N1588" s="43" t="inlineStr"/>
      <c r="O1588" s="43" t="inlineStr">
        <is>
          <t>2026-09-29</t>
        </is>
      </c>
      <c r="P1588" s="33" t="inlineStr">
        <is>
          <t>Risk Buy Authorization</t>
        </is>
      </c>
      <c r="Q1588" s="43" t="inlineStr">
        <is>
          <t>N/A</t>
        </is>
      </c>
      <c r="R1588" s="43" t="inlineStr">
        <is>
          <t>2026-07-03</t>
        </is>
      </c>
      <c r="S1588" s="43" t="inlineStr">
        <is>
          <t>2026-07-16</t>
        </is>
      </c>
      <c r="T1588" s="43" t="inlineStr"/>
      <c r="U1588" s="43" t="inlineStr"/>
    </row>
    <row r="1589">
      <c r="A1589" s="43" t="n">
        <v>1589</v>
      </c>
      <c r="B1589" s="43" t="inlineStr">
        <is>
          <t>1588</t>
        </is>
      </c>
      <c r="C1589" s="43" t="inlineStr">
        <is>
          <t>FJZP</t>
        </is>
      </c>
      <c r="D1589" s="43" t="inlineStr">
        <is>
          <t>Cisco</t>
        </is>
      </c>
      <c r="E1589" s="43" t="inlineStr">
        <is>
          <t>MCGA</t>
        </is>
      </c>
      <c r="F1589" s="43" t="inlineStr">
        <is>
          <t>037-STBU</t>
        </is>
      </c>
      <c r="G1589" s="43" t="inlineStr">
        <is>
          <t>CTANJZ05335</t>
        </is>
      </c>
      <c r="H1589" s="43" t="inlineStr">
        <is>
          <t>Risk Buy Authorization Only ¡V No Build/Shipment Allowed (Sustaining Only)</t>
        </is>
      </c>
      <c r="I1589" s="43" t="inlineStr">
        <is>
          <t>Customer Deviation</t>
        </is>
      </c>
      <c r="J1589" s="43" t="inlineStr">
        <is>
          <t>D612467</t>
        </is>
      </c>
      <c r="K1589" s="33" t="inlineStr">
        <is>
          <t>D612467 Please see PageThree for details</t>
        </is>
      </c>
      <c r="L1589" s="43" t="inlineStr">
        <is>
          <t>Expired</t>
        </is>
      </c>
      <c r="M1589" s="43" t="inlineStr">
        <is>
          <t>73-102418-04</t>
        </is>
      </c>
      <c r="N1589" s="43" t="inlineStr"/>
      <c r="O1589" s="43" t="inlineStr">
        <is>
          <t>2026-09-29</t>
        </is>
      </c>
      <c r="P1589" s="33" t="inlineStr">
        <is>
          <t>Risk Buy Authorization</t>
        </is>
      </c>
      <c r="Q1589" s="43" t="inlineStr">
        <is>
          <t>N/A</t>
        </is>
      </c>
      <c r="R1589" s="43" t="inlineStr">
        <is>
          <t>2026-07-03</t>
        </is>
      </c>
      <c r="S1589" s="43" t="inlineStr">
        <is>
          <t>2026-07-16</t>
        </is>
      </c>
      <c r="T1589" s="43" t="inlineStr"/>
      <c r="U1589" s="43" t="inlineStr"/>
    </row>
    <row r="1590">
      <c r="A1590" s="43" t="n">
        <v>1590</v>
      </c>
      <c r="B1590" s="43" t="inlineStr">
        <is>
          <t>1589</t>
        </is>
      </c>
      <c r="C1590" s="43" t="inlineStr">
        <is>
          <t>FJZP</t>
        </is>
      </c>
      <c r="D1590" s="43" t="inlineStr">
        <is>
          <t>Cisco</t>
        </is>
      </c>
      <c r="E1590" s="43" t="inlineStr">
        <is>
          <t>MCGA</t>
        </is>
      </c>
      <c r="F1590" s="43" t="inlineStr">
        <is>
          <t>037-STBU</t>
        </is>
      </c>
      <c r="G1590" s="43" t="inlineStr">
        <is>
          <t>CTANJZ05335</t>
        </is>
      </c>
      <c r="H1590" s="43" t="inlineStr">
        <is>
          <t>Risk Buy Authorization Only ¡V No Build/Shipment Allowed (Sustaining Only)</t>
        </is>
      </c>
      <c r="I1590" s="43" t="inlineStr">
        <is>
          <t>Customer Deviation</t>
        </is>
      </c>
      <c r="J1590" s="43" t="inlineStr">
        <is>
          <t>D612467</t>
        </is>
      </c>
      <c r="K1590" s="33" t="inlineStr">
        <is>
          <t>D612467 Please see PageThree for details</t>
        </is>
      </c>
      <c r="L1590" s="43" t="inlineStr">
        <is>
          <t>Expired</t>
        </is>
      </c>
      <c r="M1590" s="43" t="inlineStr">
        <is>
          <t>73-102419-03</t>
        </is>
      </c>
      <c r="N1590" s="43" t="inlineStr"/>
      <c r="O1590" s="43" t="inlineStr">
        <is>
          <t>2026-09-29</t>
        </is>
      </c>
      <c r="P1590" s="33" t="inlineStr">
        <is>
          <t>Risk Buy Authorization</t>
        </is>
      </c>
      <c r="Q1590" s="43" t="inlineStr">
        <is>
          <t>N/A</t>
        </is>
      </c>
      <c r="R1590" s="43" t="inlineStr">
        <is>
          <t>2026-07-03</t>
        </is>
      </c>
      <c r="S1590" s="43" t="inlineStr">
        <is>
          <t>2026-07-16</t>
        </is>
      </c>
      <c r="T1590" s="43" t="inlineStr"/>
      <c r="U1590" s="43" t="inlineStr"/>
    </row>
    <row r="1591">
      <c r="A1591" s="43" t="n">
        <v>1591</v>
      </c>
      <c r="B1591" s="43" t="inlineStr">
        <is>
          <t>1590</t>
        </is>
      </c>
      <c r="C1591" s="43" t="inlineStr">
        <is>
          <t>FJZP</t>
        </is>
      </c>
      <c r="D1591" s="43" t="inlineStr">
        <is>
          <t>Cisco</t>
        </is>
      </c>
      <c r="E1591" s="43" t="inlineStr">
        <is>
          <t>MCGA</t>
        </is>
      </c>
      <c r="F1591" s="43" t="inlineStr">
        <is>
          <t>037-STBU</t>
        </is>
      </c>
      <c r="G1591" s="43" t="inlineStr">
        <is>
          <t>CTANJZ05335</t>
        </is>
      </c>
      <c r="H1591" s="43" t="inlineStr">
        <is>
          <t>Risk Buy Authorization Only ¡V No Build/Shipment Allowed (Sustaining Only)</t>
        </is>
      </c>
      <c r="I1591" s="43" t="inlineStr">
        <is>
          <t>Customer Deviation</t>
        </is>
      </c>
      <c r="J1591" s="43" t="inlineStr">
        <is>
          <t>D612467</t>
        </is>
      </c>
      <c r="K1591" s="33" t="inlineStr">
        <is>
          <t>D612467 Please see PageThree for details</t>
        </is>
      </c>
      <c r="L1591" s="43" t="inlineStr">
        <is>
          <t>Expired</t>
        </is>
      </c>
      <c r="M1591" s="43" t="inlineStr">
        <is>
          <t>73-20247-06</t>
        </is>
      </c>
      <c r="N1591" s="43" t="inlineStr"/>
      <c r="O1591" s="43" t="inlineStr">
        <is>
          <t>2026-09-29</t>
        </is>
      </c>
      <c r="P1591" s="33" t="inlineStr">
        <is>
          <t>Risk Buy Authorization</t>
        </is>
      </c>
      <c r="Q1591" s="43" t="inlineStr">
        <is>
          <t>N/A</t>
        </is>
      </c>
      <c r="R1591" s="43" t="inlineStr">
        <is>
          <t>2026-07-03</t>
        </is>
      </c>
      <c r="S1591" s="43" t="inlineStr">
        <is>
          <t>2026-07-16</t>
        </is>
      </c>
      <c r="T1591" s="43" t="inlineStr"/>
      <c r="U1591" s="43" t="inlineStr"/>
    </row>
    <row r="1592">
      <c r="A1592" s="43" t="n">
        <v>1592</v>
      </c>
      <c r="B1592" s="43" t="inlineStr">
        <is>
          <t>1591</t>
        </is>
      </c>
      <c r="C1592" s="43" t="inlineStr">
        <is>
          <t>FJZP</t>
        </is>
      </c>
      <c r="D1592" s="43" t="inlineStr">
        <is>
          <t>Cisco</t>
        </is>
      </c>
      <c r="E1592" s="43" t="inlineStr">
        <is>
          <t>MCGA</t>
        </is>
      </c>
      <c r="F1592" s="43" t="inlineStr">
        <is>
          <t>037-STBU</t>
        </is>
      </c>
      <c r="G1592" s="43" t="inlineStr">
        <is>
          <t>CTANJZ05335</t>
        </is>
      </c>
      <c r="H1592" s="43" t="inlineStr">
        <is>
          <t>Risk Buy Authorization Only ¡V No Build/Shipment Allowed (Sustaining Only)</t>
        </is>
      </c>
      <c r="I1592" s="43" t="inlineStr">
        <is>
          <t>Customer Deviation</t>
        </is>
      </c>
      <c r="J1592" s="43" t="inlineStr">
        <is>
          <t>D612467</t>
        </is>
      </c>
      <c r="K1592" s="33" t="inlineStr">
        <is>
          <t>D612467 Please see PageThree for details</t>
        </is>
      </c>
      <c r="L1592" s="43" t="inlineStr">
        <is>
          <t>Expired</t>
        </is>
      </c>
      <c r="M1592" s="43" t="inlineStr">
        <is>
          <t>73-20249-06</t>
        </is>
      </c>
      <c r="N1592" s="43" t="inlineStr"/>
      <c r="O1592" s="43" t="inlineStr">
        <is>
          <t>2026-09-29</t>
        </is>
      </c>
      <c r="P1592" s="33" t="inlineStr">
        <is>
          <t>Risk Buy Authorization</t>
        </is>
      </c>
      <c r="Q1592" s="43" t="inlineStr">
        <is>
          <t>N/A</t>
        </is>
      </c>
      <c r="R1592" s="43" t="inlineStr">
        <is>
          <t>2026-07-03</t>
        </is>
      </c>
      <c r="S1592" s="43" t="inlineStr">
        <is>
          <t>2026-07-16</t>
        </is>
      </c>
      <c r="T1592" s="43" t="inlineStr"/>
      <c r="U1592" s="43" t="inlineStr"/>
    </row>
    <row r="1593">
      <c r="A1593" s="43" t="n">
        <v>1593</v>
      </c>
      <c r="B1593" s="43" t="inlineStr">
        <is>
          <t>1592</t>
        </is>
      </c>
      <c r="C1593" s="43" t="inlineStr">
        <is>
          <t>FJZP</t>
        </is>
      </c>
      <c r="D1593" s="43" t="inlineStr">
        <is>
          <t>Cisco</t>
        </is>
      </c>
      <c r="E1593" s="43" t="inlineStr">
        <is>
          <t>MCGA</t>
        </is>
      </c>
      <c r="F1593" s="43" t="inlineStr">
        <is>
          <t>037-STBU</t>
        </is>
      </c>
      <c r="G1593" s="43" t="inlineStr">
        <is>
          <t>CTANJZ05398</t>
        </is>
      </c>
      <c r="H1593" s="43" t="inlineStr">
        <is>
          <t>To track an AML qualification build (EXTENDABLE 2x)</t>
        </is>
      </c>
      <c r="I1593" s="43" t="inlineStr">
        <is>
          <t>Customer Deviation</t>
        </is>
      </c>
      <c r="J1593" s="43" t="inlineStr">
        <is>
          <t>D612843</t>
        </is>
      </c>
      <c r="K1593" s="33" t="inlineStr">
        <is>
          <t>D612843 NGFWBU GQR: GQR000097930 Case: AQR004608289 CPN: 24-101177-01; MFR NAME: MAG LAYERS; MPN: MSI-100612V-R15L-KCS-RUThis deviation instructs Foxconn Juarez (FJZ) to execute a sample buy and conduct a Production Qual build for the following part(s):BU: NGFWBUPF: FPRMID3Affected TAN(s):68-7255-05Affected Item(s): 73-20247-06CPN: 24-101177-01; MFR NAME: MAG LAYERS; MPN: MSI-100612V-R15L-KCS-RUBuild Qty: 7Ref Des: L3;L6To execute the above AQR at CM site; should be tested on Model A.</t>
        </is>
      </c>
      <c r="L1593" s="43" t="inlineStr">
        <is>
          <t>FAI Status</t>
        </is>
      </c>
      <c r="M1593" s="43" t="inlineStr">
        <is>
          <t>24-101177-01</t>
        </is>
      </c>
      <c r="N1593" s="43" t="inlineStr"/>
      <c r="O1593" s="43" t="inlineStr">
        <is>
          <t>2026-10-18</t>
        </is>
      </c>
      <c r="P1593" s="33" t="inlineStr">
        <is>
          <t>To track an AML qualification build (EXTENDABLE 2x);Risk Buy Authorization</t>
        </is>
      </c>
      <c r="Q1593" s="43" t="inlineStr">
        <is>
          <t>NA</t>
        </is>
      </c>
      <c r="R1593" s="43" t="inlineStr">
        <is>
          <t>2026-07-21</t>
        </is>
      </c>
      <c r="S1593" s="43" t="inlineStr">
        <is>
          <t>2026-08-15</t>
        </is>
      </c>
      <c r="T1593" s="43" t="inlineStr"/>
      <c r="U1593" s="43" t="inlineStr"/>
    </row>
    <row r="1594">
      <c r="A1594" s="43" t="n">
        <v>1594</v>
      </c>
      <c r="B1594" s="43" t="inlineStr">
        <is>
          <t>1593</t>
        </is>
      </c>
      <c r="C1594" s="43" t="inlineStr">
        <is>
          <t>FJZP</t>
        </is>
      </c>
      <c r="D1594" s="43" t="inlineStr">
        <is>
          <t>Cisco</t>
        </is>
      </c>
      <c r="E1594" s="43" t="inlineStr">
        <is>
          <t>MCGA</t>
        </is>
      </c>
      <c r="F1594" s="43" t="inlineStr">
        <is>
          <t>037-STBU</t>
        </is>
      </c>
      <c r="G1594" s="43" t="inlineStr">
        <is>
          <t>CTANJZ05403</t>
        </is>
      </c>
      <c r="H1594" s="43" t="inlineStr">
        <is>
          <t>To track an AML qualification build (EXTENDABLE 2x)</t>
        </is>
      </c>
      <c r="I1594" s="43" t="inlineStr">
        <is>
          <t>Customer Deviation</t>
        </is>
      </c>
      <c r="J1594" s="43" t="inlineStr">
        <is>
          <t>D612842</t>
        </is>
      </c>
      <c r="K1594" s="33" t="inlineStr">
        <is>
          <t>D612842 NGFWBU GQR: GQR000097798 Case: AQR004550081 CPN: 15-100109-01; MFR NAME: TOSHIBA; MPN: 74AVC1T45FU;LCF(GTThis deviation instructs Foxconn Juarez (FJZ) to execute a sample buy and conduct a Production Qual build for the following part(s):BU: NGFWBUPF: FPRMID3Affected TAN(s):68-7255-05Affected Item(s): 73-20247-06CPN: 15-100109-01; MFR NAME: TOSHIBA; MPN: 74AVC1T45FU;LCF(GTBuild Qty: 5Ref Des: U43;U68;U70;U74;U132;U198To execute the above AQR at CM site; should be tested on Model A.</t>
        </is>
      </c>
      <c r="L1594" s="43" t="inlineStr">
        <is>
          <t>FAI Status</t>
        </is>
      </c>
      <c r="M1594" s="43" t="inlineStr">
        <is>
          <t>15-100109-01</t>
        </is>
      </c>
      <c r="N1594" s="43" t="inlineStr"/>
      <c r="O1594" s="43" t="inlineStr">
        <is>
          <t>2026-10-20</t>
        </is>
      </c>
      <c r="P1594" s="33" t="inlineStr">
        <is>
          <t>To track an AML qualification build (EXTENDABLE 2x);Risk Buy Authorization</t>
        </is>
      </c>
      <c r="Q1594" s="43" t="inlineStr">
        <is>
          <t>NA</t>
        </is>
      </c>
      <c r="R1594" s="43" t="inlineStr">
        <is>
          <t>2026-07-23</t>
        </is>
      </c>
      <c r="S1594" s="43" t="inlineStr">
        <is>
          <t>2026-09-03</t>
        </is>
      </c>
      <c r="T1594" s="43" t="inlineStr"/>
      <c r="U1594" s="43" t="inlineStr"/>
    </row>
    <row r="1595">
      <c r="A1595" s="43" t="n">
        <v>1595</v>
      </c>
      <c r="B1595" s="43" t="inlineStr">
        <is>
          <t>1594</t>
        </is>
      </c>
      <c r="C1595" s="43" t="inlineStr">
        <is>
          <t>FJZP</t>
        </is>
      </c>
      <c r="D1595" s="43" t="inlineStr">
        <is>
          <t>Cisco</t>
        </is>
      </c>
      <c r="E1595" s="43" t="inlineStr">
        <is>
          <t>MCGA</t>
        </is>
      </c>
      <c r="F1595" s="43" t="inlineStr">
        <is>
          <t>037-STBU</t>
        </is>
      </c>
      <c r="G1595" s="43" t="inlineStr">
        <is>
          <t>CTANJZ04466</t>
        </is>
      </c>
      <c r="H1595" s="43" t="inlineStr">
        <is>
          <t>Risk Buy Authorization Only ¡V No Build/Shipment Allowed (Sustaining Only)</t>
        </is>
      </c>
      <c r="I1595" s="43" t="inlineStr">
        <is>
          <t>Customer Deviation</t>
        </is>
      </c>
      <c r="J1595" s="43" t="inlineStr">
        <is>
          <t>D602196</t>
        </is>
      </c>
      <c r="K1595" s="33" t="inlineStr">
        <is>
          <t>D602196 Allow FJZ to use the alternative part PR1983 (NJSS-M3-1.53-P) from PENCOM</t>
        </is>
      </c>
      <c r="L1595" s="43" t="inlineStr">
        <is>
          <t>Expired</t>
        </is>
      </c>
      <c r="M1595" s="43" t="inlineStr">
        <is>
          <t>51-1874-01</t>
        </is>
      </c>
      <c r="N1595" s="43" t="inlineStr"/>
      <c r="O1595" s="43" t="inlineStr">
        <is>
          <t>2025-05-19</t>
        </is>
      </c>
      <c r="P1595" s="33" t="inlineStr">
        <is>
          <t>Risk Buy Authorization</t>
        </is>
      </c>
      <c r="Q1595" s="43" t="inlineStr">
        <is>
          <t>Add a label to PCB with the DV number</t>
        </is>
      </c>
      <c r="R1595" s="43" t="inlineStr">
        <is>
          <t>2025-02-19</t>
        </is>
      </c>
      <c r="S1595" s="43" t="inlineStr">
        <is>
          <t>2025-02-28</t>
        </is>
      </c>
      <c r="T1595" s="43" t="inlineStr"/>
      <c r="U1595" s="43" t="inlineStr"/>
    </row>
    <row r="1596">
      <c r="A1596" s="43" t="n">
        <v>1596</v>
      </c>
      <c r="B1596" s="43" t="inlineStr">
        <is>
          <t>1595</t>
        </is>
      </c>
      <c r="C1596" s="43" t="inlineStr">
        <is>
          <t>FJZP</t>
        </is>
      </c>
      <c r="D1596" s="43" t="inlineStr">
        <is>
          <t>Cisco</t>
        </is>
      </c>
      <c r="E1596" s="43" t="inlineStr">
        <is>
          <t>MCGA</t>
        </is>
      </c>
      <c r="F1596" s="43" t="inlineStr">
        <is>
          <t>037-STBU</t>
        </is>
      </c>
      <c r="G1596" s="43" t="inlineStr">
        <is>
          <t>CTANJZ04466</t>
        </is>
      </c>
      <c r="H1596" s="43" t="inlineStr">
        <is>
          <t>Risk Buy Authorization Only ¡V No Build/Shipment Allowed (Sustaining Only)</t>
        </is>
      </c>
      <c r="I1596" s="43" t="inlineStr">
        <is>
          <t>Customer Deviation</t>
        </is>
      </c>
      <c r="J1596" s="43" t="inlineStr">
        <is>
          <t>D602196</t>
        </is>
      </c>
      <c r="K1596" s="33" t="inlineStr">
        <is>
          <t>D602196 Allow FJZ to use the alternative part PR1983 (NJSS-M3-1.53-P) from PENCOM</t>
        </is>
      </c>
      <c r="L1596" s="43" t="inlineStr">
        <is>
          <t>Expired</t>
        </is>
      </c>
      <c r="M1596" s="43" t="inlineStr">
        <is>
          <t>73-17497-04</t>
        </is>
      </c>
      <c r="N1596" s="43" t="inlineStr"/>
      <c r="O1596" s="43" t="inlineStr">
        <is>
          <t>2025-05-19</t>
        </is>
      </c>
      <c r="P1596" s="33" t="inlineStr">
        <is>
          <t>Risk Buy Authorization</t>
        </is>
      </c>
      <c r="Q1596" s="43" t="inlineStr">
        <is>
          <t>Add a label to PCB with the DV number</t>
        </is>
      </c>
      <c r="R1596" s="43" t="inlineStr">
        <is>
          <t>2025-02-19</t>
        </is>
      </c>
      <c r="S1596" s="43" t="inlineStr">
        <is>
          <t>2025-02-28</t>
        </is>
      </c>
      <c r="T1596" s="43" t="inlineStr"/>
      <c r="U1596" s="43" t="inlineStr"/>
    </row>
    <row r="1597">
      <c r="A1597" s="43" t="n">
        <v>1597</v>
      </c>
      <c r="B1597" s="43" t="inlineStr">
        <is>
          <t>1596</t>
        </is>
      </c>
      <c r="C1597" s="43" t="inlineStr">
        <is>
          <t>FJZP</t>
        </is>
      </c>
      <c r="D1597" s="43" t="inlineStr">
        <is>
          <t>Cisco</t>
        </is>
      </c>
      <c r="E1597" s="43" t="inlineStr">
        <is>
          <t>MCGA</t>
        </is>
      </c>
      <c r="F1597" s="43" t="inlineStr">
        <is>
          <t>037-STBU</t>
        </is>
      </c>
      <c r="G1597" s="43" t="inlineStr">
        <is>
          <t>CTANJZ04466</t>
        </is>
      </c>
      <c r="H1597" s="43" t="inlineStr">
        <is>
          <t>Risk Buy Authorization Only ¡V No Build/Shipment Allowed (Sustaining Only)</t>
        </is>
      </c>
      <c r="I1597" s="43" t="inlineStr">
        <is>
          <t>Customer Deviation</t>
        </is>
      </c>
      <c r="J1597" s="43" t="inlineStr">
        <is>
          <t>D602196</t>
        </is>
      </c>
      <c r="K1597" s="33" t="inlineStr">
        <is>
          <t>D602196 Allow FJZ to use the alternative part PR1983 (NJSS-M3-1.53-P) from PENCOM</t>
        </is>
      </c>
      <c r="L1597" s="43" t="inlineStr">
        <is>
          <t>Expired</t>
        </is>
      </c>
      <c r="M1597" s="43" t="inlineStr">
        <is>
          <t>73-17499-07</t>
        </is>
      </c>
      <c r="N1597" s="43" t="inlineStr"/>
      <c r="O1597" s="43" t="inlineStr">
        <is>
          <t>2025-05-19</t>
        </is>
      </c>
      <c r="P1597" s="33" t="inlineStr">
        <is>
          <t>Risk Buy Authorization</t>
        </is>
      </c>
      <c r="Q1597" s="43" t="inlineStr">
        <is>
          <t>Add a label to PCB with the DV number</t>
        </is>
      </c>
      <c r="R1597" s="43" t="inlineStr">
        <is>
          <t>2025-02-19</t>
        </is>
      </c>
      <c r="S1597" s="43" t="inlineStr">
        <is>
          <t>2025-02-28</t>
        </is>
      </c>
      <c r="T1597" s="43" t="inlineStr"/>
      <c r="U1597" s="43" t="inlineStr"/>
    </row>
    <row r="1598">
      <c r="A1598" s="43" t="n">
        <v>1598</v>
      </c>
      <c r="B1598" s="43" t="inlineStr">
        <is>
          <t>1597</t>
        </is>
      </c>
      <c r="C1598" s="43" t="inlineStr">
        <is>
          <t>FJZP</t>
        </is>
      </c>
      <c r="D1598" s="43" t="inlineStr">
        <is>
          <t>Cisco</t>
        </is>
      </c>
      <c r="E1598" s="43" t="inlineStr">
        <is>
          <t>MCGA</t>
        </is>
      </c>
      <c r="F1598" s="43" t="inlineStr">
        <is>
          <t>037-STBU</t>
        </is>
      </c>
      <c r="G1598" s="43" t="inlineStr">
        <is>
          <t>CTANJZ04466</t>
        </is>
      </c>
      <c r="H1598" s="43" t="inlineStr">
        <is>
          <t>Risk Buy Authorization Only ¡V No Build/Shipment Allowed (Sustaining Only)</t>
        </is>
      </c>
      <c r="I1598" s="43" t="inlineStr">
        <is>
          <t>Customer Deviation</t>
        </is>
      </c>
      <c r="J1598" s="43" t="inlineStr">
        <is>
          <t>D602196</t>
        </is>
      </c>
      <c r="K1598" s="33" t="inlineStr">
        <is>
          <t>D602196 Allow FJZ to use the alternative part PR1983 (NJSS-M3-1.53-P) from PENCOM</t>
        </is>
      </c>
      <c r="L1598" s="43" t="inlineStr">
        <is>
          <t>Expired</t>
        </is>
      </c>
      <c r="M1598" s="43" t="inlineStr">
        <is>
          <t>73-20247-06</t>
        </is>
      </c>
      <c r="N1598" s="43" t="inlineStr"/>
      <c r="O1598" s="43" t="inlineStr">
        <is>
          <t>2025-05-19</t>
        </is>
      </c>
      <c r="P1598" s="33" t="inlineStr">
        <is>
          <t>Risk Buy Authorization</t>
        </is>
      </c>
      <c r="Q1598" s="43" t="inlineStr">
        <is>
          <t>Add a label to PCB with the DV number</t>
        </is>
      </c>
      <c r="R1598" s="43" t="inlineStr">
        <is>
          <t>2025-02-19</t>
        </is>
      </c>
      <c r="S1598" s="43" t="inlineStr">
        <is>
          <t>2025-02-28</t>
        </is>
      </c>
      <c r="T1598" s="43" t="inlineStr"/>
      <c r="U1598" s="43" t="inlineStr"/>
    </row>
    <row r="1599">
      <c r="A1599" s="43" t="n">
        <v>1599</v>
      </c>
      <c r="B1599" s="43" t="inlineStr">
        <is>
          <t>1598</t>
        </is>
      </c>
      <c r="C1599" s="43" t="inlineStr">
        <is>
          <t>FJZP</t>
        </is>
      </c>
      <c r="D1599" s="43" t="inlineStr">
        <is>
          <t>Cisco</t>
        </is>
      </c>
      <c r="E1599" s="43" t="inlineStr">
        <is>
          <t>MCGA</t>
        </is>
      </c>
      <c r="F1599" s="43" t="inlineStr">
        <is>
          <t>037-STBU</t>
        </is>
      </c>
      <c r="G1599" s="43" t="inlineStr">
        <is>
          <t>CTANJZ04466</t>
        </is>
      </c>
      <c r="H1599" s="43" t="inlineStr">
        <is>
          <t>Risk Buy Authorization Only ¡V No Build/Shipment Allowed (Sustaining Only)</t>
        </is>
      </c>
      <c r="I1599" s="43" t="inlineStr">
        <is>
          <t>Customer Deviation</t>
        </is>
      </c>
      <c r="J1599" s="43" t="inlineStr">
        <is>
          <t>D602196</t>
        </is>
      </c>
      <c r="K1599" s="33" t="inlineStr">
        <is>
          <t>D602196 Allow FJZ to use the alternative part PR1983 (NJSS-M3-1.53-P) from PENCOM</t>
        </is>
      </c>
      <c r="L1599" s="43" t="inlineStr">
        <is>
          <t>Expired</t>
        </is>
      </c>
      <c r="M1599" s="43" t="inlineStr">
        <is>
          <t>73-20249-06</t>
        </is>
      </c>
      <c r="N1599" s="43" t="inlineStr"/>
      <c r="O1599" s="43" t="inlineStr">
        <is>
          <t>2025-05-19</t>
        </is>
      </c>
      <c r="P1599" s="33" t="inlineStr">
        <is>
          <t>Risk Buy Authorization</t>
        </is>
      </c>
      <c r="Q1599" s="43" t="inlineStr">
        <is>
          <t>Add a label to PCB with the DV number</t>
        </is>
      </c>
      <c r="R1599" s="43" t="inlineStr">
        <is>
          <t>2025-02-19</t>
        </is>
      </c>
      <c r="S1599" s="43" t="inlineStr">
        <is>
          <t>2025-02-28</t>
        </is>
      </c>
      <c r="T1599" s="43" t="inlineStr"/>
      <c r="U1599" s="43" t="inlineStr"/>
    </row>
    <row r="1600">
      <c r="A1600" s="43" t="n">
        <v>1600</v>
      </c>
      <c r="B1600" s="43" t="inlineStr">
        <is>
          <t>1599</t>
        </is>
      </c>
      <c r="C1600" s="43" t="inlineStr">
        <is>
          <t>FJZP</t>
        </is>
      </c>
      <c r="D1600" s="43" t="inlineStr">
        <is>
          <t>Cisco</t>
        </is>
      </c>
      <c r="E1600" s="43" t="inlineStr">
        <is>
          <t>MCGA</t>
        </is>
      </c>
      <c r="F1600" s="43" t="inlineStr">
        <is>
          <t>037-STBU</t>
        </is>
      </c>
      <c r="G1600" s="43" t="inlineStr">
        <is>
          <t>CTANJZ05131</t>
        </is>
      </c>
      <c r="H1600" s="43" t="inlineStr">
        <is>
          <t>Risk Buy Authorization Only ¡V No Build/Shipment Allowed (Sustaining Only)</t>
        </is>
      </c>
      <c r="I1600" s="43" t="inlineStr">
        <is>
          <t>Customer Deviation</t>
        </is>
      </c>
      <c r="J1600" s="43" t="inlineStr">
        <is>
          <t>D609897</t>
        </is>
      </c>
      <c r="K1600" s="33" t="inlineStr">
        <is>
          <t>D609897 Allow Risk buy of PN 15-102934-01 (MPN: CY7C64215-28PVXI) (DC2231);1;755 pcs</t>
        </is>
      </c>
      <c r="L1600" s="43" t="inlineStr">
        <is>
          <t>Expired</t>
        </is>
      </c>
      <c r="M1600" s="43" t="inlineStr">
        <is>
          <t>15-102934-01</t>
        </is>
      </c>
      <c r="N1600" s="43" t="inlineStr"/>
      <c r="O1600" s="43" t="inlineStr">
        <is>
          <t>2026-06-02</t>
        </is>
      </c>
      <c r="P1600" s="33" t="inlineStr">
        <is>
          <t>Risk Buy Authorization</t>
        </is>
      </c>
      <c r="Q1600" s="43" t="inlineStr">
        <is>
          <t>N/A since is for a risk buy deviation</t>
        </is>
      </c>
      <c r="R1600" s="43" t="inlineStr">
        <is>
          <t>2026-03-05</t>
        </is>
      </c>
      <c r="S1600" s="43" t="inlineStr">
        <is>
          <t>2026-03-24</t>
        </is>
      </c>
      <c r="T1600" s="43" t="inlineStr"/>
      <c r="U1600" s="43" t="inlineStr"/>
    </row>
    <row r="1601">
      <c r="A1601" s="43" t="n">
        <v>1601</v>
      </c>
      <c r="B1601" s="43" t="inlineStr">
        <is>
          <t>1600</t>
        </is>
      </c>
      <c r="C1601" s="43" t="inlineStr">
        <is>
          <t>FJZP</t>
        </is>
      </c>
      <c r="D1601" s="43" t="inlineStr">
        <is>
          <t>Cisco</t>
        </is>
      </c>
      <c r="E1601" s="43" t="inlineStr">
        <is>
          <t>MCGA</t>
        </is>
      </c>
      <c r="F1601" s="43" t="inlineStr">
        <is>
          <t>037-STBU</t>
        </is>
      </c>
      <c r="G1601" s="43" t="inlineStr">
        <is>
          <t>CTANJZ05131</t>
        </is>
      </c>
      <c r="H1601" s="43" t="inlineStr">
        <is>
          <t>Risk Buy Authorization Only ¡V No Build/Shipment Allowed (Sustaining Only)</t>
        </is>
      </c>
      <c r="I1601" s="43" t="inlineStr">
        <is>
          <t>Customer Deviation</t>
        </is>
      </c>
      <c r="J1601" s="43" t="inlineStr">
        <is>
          <t>D609897</t>
        </is>
      </c>
      <c r="K1601" s="33" t="inlineStr">
        <is>
          <t>D609897 Allow Risk buy of PN 15-102934-01 (MPN: CY7C64215-28PVXI) (DC2231);1;755 pcs</t>
        </is>
      </c>
      <c r="L1601" s="43" t="inlineStr">
        <is>
          <t>Expired</t>
        </is>
      </c>
      <c r="M1601" s="43" t="inlineStr">
        <is>
          <t>17-13481-01</t>
        </is>
      </c>
      <c r="N1601" s="43" t="inlineStr"/>
      <c r="O1601" s="43" t="inlineStr">
        <is>
          <t>2026-06-02</t>
        </is>
      </c>
      <c r="P1601" s="33" t="inlineStr">
        <is>
          <t>Risk Buy Authorization</t>
        </is>
      </c>
      <c r="Q1601" s="43" t="inlineStr">
        <is>
          <t>N/A since is for a risk buy deviation</t>
        </is>
      </c>
      <c r="R1601" s="43" t="inlineStr">
        <is>
          <t>2026-03-05</t>
        </is>
      </c>
      <c r="S1601" s="43" t="inlineStr">
        <is>
          <t>2026-03-24</t>
        </is>
      </c>
      <c r="T1601" s="43" t="inlineStr"/>
      <c r="U1601" s="43" t="inlineStr"/>
    </row>
    <row r="1602">
      <c r="A1602" s="43" t="n">
        <v>1602</v>
      </c>
      <c r="B1602" s="43" t="inlineStr">
        <is>
          <t>1601</t>
        </is>
      </c>
      <c r="C1602" s="43" t="inlineStr">
        <is>
          <t>FJZP</t>
        </is>
      </c>
      <c r="D1602" s="43" t="inlineStr">
        <is>
          <t>Cisco</t>
        </is>
      </c>
      <c r="E1602" s="43" t="inlineStr">
        <is>
          <t>MCGA</t>
        </is>
      </c>
      <c r="F1602" s="43" t="inlineStr">
        <is>
          <t>037-STBU</t>
        </is>
      </c>
      <c r="G1602" s="43" t="inlineStr">
        <is>
          <t>CTANJZ05242</t>
        </is>
      </c>
      <c r="H1602" s="43" t="inlineStr">
        <is>
          <t>Risk Buy Authorization Only ¡V No Build/Shipment Allowed (Sustaining Only)</t>
        </is>
      </c>
      <c r="I1602" s="43" t="inlineStr">
        <is>
          <t>Customer Deviation</t>
        </is>
      </c>
      <c r="J1602" s="43" t="inlineStr">
        <is>
          <t>D611127</t>
        </is>
      </c>
      <c r="K1602" s="33" t="inlineStr">
        <is>
          <t>D611127 Please see PageThree for details</t>
        </is>
      </c>
      <c r="L1602" s="43" t="inlineStr">
        <is>
          <t>Expired</t>
        </is>
      </c>
      <c r="M1602" s="43" t="inlineStr">
        <is>
          <t>28-13446-07</t>
        </is>
      </c>
      <c r="N1602" s="43" t="inlineStr"/>
      <c r="O1602" s="43" t="inlineStr">
        <is>
          <t>2026-08-12</t>
        </is>
      </c>
      <c r="P1602" s="33" t="inlineStr">
        <is>
          <t>Risk Buy Authorization</t>
        </is>
      </c>
      <c r="Q1602" s="43" t="inlineStr">
        <is>
          <t>N/A</t>
        </is>
      </c>
      <c r="R1602" s="43" t="inlineStr">
        <is>
          <t>2026-05-15</t>
        </is>
      </c>
      <c r="S1602" s="43" t="inlineStr">
        <is>
          <t>2026-06-03</t>
        </is>
      </c>
      <c r="T1602" s="43" t="inlineStr"/>
      <c r="U1602" s="43" t="inlineStr"/>
    </row>
    <row r="1603">
      <c r="A1603" s="43" t="n">
        <v>1603</v>
      </c>
      <c r="B1603" s="43" t="inlineStr">
        <is>
          <t>1602</t>
        </is>
      </c>
      <c r="C1603" s="43" t="inlineStr">
        <is>
          <t>FJZP</t>
        </is>
      </c>
      <c r="D1603" s="43" t="inlineStr">
        <is>
          <t>Cisco</t>
        </is>
      </c>
      <c r="E1603" s="43" t="inlineStr">
        <is>
          <t>MCGA</t>
        </is>
      </c>
      <c r="F1603" s="43" t="inlineStr">
        <is>
          <t>037-STBU</t>
        </is>
      </c>
      <c r="G1603" s="43" t="inlineStr">
        <is>
          <t>CTANJZ05242</t>
        </is>
      </c>
      <c r="H1603" s="43" t="inlineStr">
        <is>
          <t>Risk Buy Authorization Only ¡V No Build/Shipment Allowed (Sustaining Only)</t>
        </is>
      </c>
      <c r="I1603" s="43" t="inlineStr">
        <is>
          <t>Customer Deviation</t>
        </is>
      </c>
      <c r="J1603" s="43" t="inlineStr">
        <is>
          <t>D611127</t>
        </is>
      </c>
      <c r="K1603" s="33" t="inlineStr">
        <is>
          <t>D611127 Please see PageThree for details</t>
        </is>
      </c>
      <c r="L1603" s="43" t="inlineStr">
        <is>
          <t>Expired</t>
        </is>
      </c>
      <c r="M1603" s="43" t="inlineStr">
        <is>
          <t>28-13447-07</t>
        </is>
      </c>
      <c r="N1603" s="43" t="inlineStr"/>
      <c r="O1603" s="43" t="inlineStr">
        <is>
          <t>2026-08-12</t>
        </is>
      </c>
      <c r="P1603" s="33" t="inlineStr">
        <is>
          <t>Risk Buy Authorization</t>
        </is>
      </c>
      <c r="Q1603" s="43" t="inlineStr">
        <is>
          <t>N/A</t>
        </is>
      </c>
      <c r="R1603" s="43" t="inlineStr">
        <is>
          <t>2026-05-15</t>
        </is>
      </c>
      <c r="S1603" s="43" t="inlineStr">
        <is>
          <t>2026-06-03</t>
        </is>
      </c>
      <c r="T1603" s="43" t="inlineStr"/>
      <c r="U1603" s="43" t="inlineStr"/>
    </row>
    <row r="1604">
      <c r="A1604" s="43" t="n">
        <v>1604</v>
      </c>
      <c r="B1604" s="43" t="inlineStr">
        <is>
          <t>1603</t>
        </is>
      </c>
      <c r="C1604" s="43" t="inlineStr">
        <is>
          <t>FJZP</t>
        </is>
      </c>
      <c r="D1604" s="43" t="inlineStr">
        <is>
          <t>Cisco</t>
        </is>
      </c>
      <c r="E1604" s="43" t="inlineStr">
        <is>
          <t>MCGA</t>
        </is>
      </c>
      <c r="F1604" s="43" t="inlineStr">
        <is>
          <t>037-STBU</t>
        </is>
      </c>
      <c r="G1604" s="43" t="inlineStr">
        <is>
          <t>CTANJZ05242</t>
        </is>
      </c>
      <c r="H1604" s="43" t="inlineStr">
        <is>
          <t>Risk Buy Authorization Only ¡V No Build/Shipment Allowed (Sustaining Only)</t>
        </is>
      </c>
      <c r="I1604" s="43" t="inlineStr">
        <is>
          <t>Customer Deviation</t>
        </is>
      </c>
      <c r="J1604" s="43" t="inlineStr">
        <is>
          <t>D611127</t>
        </is>
      </c>
      <c r="K1604" s="33" t="inlineStr">
        <is>
          <t>D611127 Please see PageThree for details</t>
        </is>
      </c>
      <c r="L1604" s="43" t="inlineStr">
        <is>
          <t>Expired</t>
        </is>
      </c>
      <c r="M1604" s="43" t="inlineStr">
        <is>
          <t>73-18488-08</t>
        </is>
      </c>
      <c r="N1604" s="43" t="inlineStr"/>
      <c r="O1604" s="43" t="inlineStr">
        <is>
          <t>2026-08-12</t>
        </is>
      </c>
      <c r="P1604" s="33" t="inlineStr">
        <is>
          <t>Risk Buy Authorization</t>
        </is>
      </c>
      <c r="Q1604" s="43" t="inlineStr">
        <is>
          <t>N/A</t>
        </is>
      </c>
      <c r="R1604" s="43" t="inlineStr">
        <is>
          <t>2026-05-15</t>
        </is>
      </c>
      <c r="S1604" s="43" t="inlineStr">
        <is>
          <t>2026-06-03</t>
        </is>
      </c>
      <c r="T1604" s="43" t="inlineStr"/>
      <c r="U1604" s="43" t="inlineStr"/>
    </row>
    <row r="1605">
      <c r="A1605" s="43" t="n">
        <v>1605</v>
      </c>
      <c r="B1605" s="43" t="inlineStr">
        <is>
          <t>1604</t>
        </is>
      </c>
      <c r="C1605" s="43" t="inlineStr">
        <is>
          <t>FJZP</t>
        </is>
      </c>
      <c r="D1605" s="43" t="inlineStr">
        <is>
          <t>Cisco</t>
        </is>
      </c>
      <c r="E1605" s="43" t="inlineStr">
        <is>
          <t>MCGA</t>
        </is>
      </c>
      <c r="F1605" s="43" t="inlineStr">
        <is>
          <t>037-STBU</t>
        </is>
      </c>
      <c r="G1605" s="43" t="inlineStr">
        <is>
          <t>CTANJZ05242</t>
        </is>
      </c>
      <c r="H1605" s="43" t="inlineStr">
        <is>
          <t>Risk Buy Authorization Only ¡V No Build/Shipment Allowed (Sustaining Only)</t>
        </is>
      </c>
      <c r="I1605" s="43" t="inlineStr">
        <is>
          <t>Customer Deviation</t>
        </is>
      </c>
      <c r="J1605" s="43" t="inlineStr">
        <is>
          <t>D611127</t>
        </is>
      </c>
      <c r="K1605" s="33" t="inlineStr">
        <is>
          <t>D611127 Please see PageThree for details</t>
        </is>
      </c>
      <c r="L1605" s="43" t="inlineStr">
        <is>
          <t>Expired</t>
        </is>
      </c>
      <c r="M1605" s="43" t="inlineStr">
        <is>
          <t>73-18489-08</t>
        </is>
      </c>
      <c r="N1605" s="43" t="inlineStr"/>
      <c r="O1605" s="43" t="inlineStr">
        <is>
          <t>2026-08-12</t>
        </is>
      </c>
      <c r="P1605" s="33" t="inlineStr">
        <is>
          <t>Risk Buy Authorization</t>
        </is>
      </c>
      <c r="Q1605" s="43" t="inlineStr">
        <is>
          <t>N/A</t>
        </is>
      </c>
      <c r="R1605" s="43" t="inlineStr">
        <is>
          <t>2026-05-15</t>
        </is>
      </c>
      <c r="S1605" s="43" t="inlineStr">
        <is>
          <t>2026-06-03</t>
        </is>
      </c>
      <c r="T1605" s="43" t="inlineStr"/>
      <c r="U1605" s="43" t="inlineStr"/>
    </row>
    <row r="1606">
      <c r="A1606" s="43" t="n">
        <v>1606</v>
      </c>
      <c r="B1606" s="43" t="inlineStr">
        <is>
          <t>1605</t>
        </is>
      </c>
      <c r="C1606" s="43" t="inlineStr">
        <is>
          <t>FJZP</t>
        </is>
      </c>
      <c r="D1606" s="43" t="inlineStr">
        <is>
          <t>Cisco</t>
        </is>
      </c>
      <c r="E1606" s="43" t="inlineStr">
        <is>
          <t>MCGA</t>
        </is>
      </c>
      <c r="F1606" s="43" t="inlineStr">
        <is>
          <t>037-STBU</t>
        </is>
      </c>
      <c r="G1606" s="43" t="inlineStr">
        <is>
          <t>CTANJZ05242</t>
        </is>
      </c>
      <c r="H1606" s="43" t="inlineStr">
        <is>
          <t>Risk Buy Authorization Only ¡V No Build/Shipment Allowed (Sustaining Only)</t>
        </is>
      </c>
      <c r="I1606" s="43" t="inlineStr">
        <is>
          <t>Customer Deviation</t>
        </is>
      </c>
      <c r="J1606" s="43" t="inlineStr">
        <is>
          <t>D611127</t>
        </is>
      </c>
      <c r="K1606" s="33" t="inlineStr">
        <is>
          <t>D611127 Please see PageThree for details</t>
        </is>
      </c>
      <c r="L1606" s="43" t="inlineStr">
        <is>
          <t>Expired</t>
        </is>
      </c>
      <c r="M1606" s="43" t="inlineStr">
        <is>
          <t>73-18490-10</t>
        </is>
      </c>
      <c r="N1606" s="43" t="inlineStr"/>
      <c r="O1606" s="43" t="inlineStr">
        <is>
          <t>2026-08-12</t>
        </is>
      </c>
      <c r="P1606" s="33" t="inlineStr">
        <is>
          <t>Risk Buy Authorization</t>
        </is>
      </c>
      <c r="Q1606" s="43" t="inlineStr">
        <is>
          <t>N/A</t>
        </is>
      </c>
      <c r="R1606" s="43" t="inlineStr">
        <is>
          <t>2026-05-15</t>
        </is>
      </c>
      <c r="S1606" s="43" t="inlineStr">
        <is>
          <t>2026-06-03</t>
        </is>
      </c>
      <c r="T1606" s="43" t="inlineStr"/>
      <c r="U1606" s="43" t="inlineStr"/>
    </row>
    <row r="1607">
      <c r="A1607" s="43" t="n">
        <v>1607</v>
      </c>
      <c r="B1607" s="43" t="inlineStr">
        <is>
          <t>1606</t>
        </is>
      </c>
      <c r="C1607" s="43" t="inlineStr">
        <is>
          <t>FJZP</t>
        </is>
      </c>
      <c r="D1607" s="43" t="inlineStr">
        <is>
          <t>Cisco</t>
        </is>
      </c>
      <c r="E1607" s="43" t="inlineStr">
        <is>
          <t>MCGA</t>
        </is>
      </c>
      <c r="F1607" s="43" t="inlineStr">
        <is>
          <t>037-STBU</t>
        </is>
      </c>
      <c r="G1607" s="43" t="inlineStr">
        <is>
          <t>CTANJZ05242</t>
        </is>
      </c>
      <c r="H1607" s="43" t="inlineStr">
        <is>
          <t>Risk Buy Authorization Only ¡V No Build/Shipment Allowed (Sustaining Only)</t>
        </is>
      </c>
      <c r="I1607" s="43" t="inlineStr">
        <is>
          <t>Customer Deviation</t>
        </is>
      </c>
      <c r="J1607" s="43" t="inlineStr">
        <is>
          <t>D611127</t>
        </is>
      </c>
      <c r="K1607" s="33" t="inlineStr">
        <is>
          <t>D611127 Please see PageThree for details</t>
        </is>
      </c>
      <c r="L1607" s="43" t="inlineStr">
        <is>
          <t>Expired</t>
        </is>
      </c>
      <c r="M1607" s="43" t="inlineStr">
        <is>
          <t>73-21007-03</t>
        </is>
      </c>
      <c r="N1607" s="43" t="inlineStr"/>
      <c r="O1607" s="43" t="inlineStr">
        <is>
          <t>2026-08-12</t>
        </is>
      </c>
      <c r="P1607" s="33" t="inlineStr">
        <is>
          <t>Risk Buy Authorization</t>
        </is>
      </c>
      <c r="Q1607" s="43" t="inlineStr">
        <is>
          <t>N/A</t>
        </is>
      </c>
      <c r="R1607" s="43" t="inlineStr">
        <is>
          <t>2026-05-15</t>
        </is>
      </c>
      <c r="S1607" s="43" t="inlineStr">
        <is>
          <t>2026-06-03</t>
        </is>
      </c>
      <c r="T1607" s="43" t="inlineStr"/>
      <c r="U1607" s="43" t="inlineStr"/>
    </row>
    <row r="1608">
      <c r="A1608" s="43" t="n">
        <v>1608</v>
      </c>
      <c r="B1608" s="43" t="inlineStr">
        <is>
          <t>1607</t>
        </is>
      </c>
      <c r="C1608" s="43" t="inlineStr">
        <is>
          <t>FJZP</t>
        </is>
      </c>
      <c r="D1608" s="43" t="inlineStr">
        <is>
          <t>Cisco</t>
        </is>
      </c>
      <c r="E1608" s="43" t="inlineStr">
        <is>
          <t>MCGA</t>
        </is>
      </c>
      <c r="F1608" s="43" t="inlineStr">
        <is>
          <t>037-STBU</t>
        </is>
      </c>
      <c r="G1608" s="43" t="inlineStr">
        <is>
          <t>CTANJZ05250</t>
        </is>
      </c>
      <c r="H1608" s="43" t="inlineStr">
        <is>
          <t>Risk Buy Authorization Only ¡V No Build/Shipment Allowed (Sustaining Only)</t>
        </is>
      </c>
      <c r="I1608" s="43" t="inlineStr">
        <is>
          <t>Customer Deviation</t>
        </is>
      </c>
      <c r="J1608" s="43" t="inlineStr">
        <is>
          <t>D611256</t>
        </is>
      </c>
      <c r="K1608" s="33" t="inlineStr">
        <is>
          <t>D611256 Please see PageThree for details</t>
        </is>
      </c>
      <c r="L1608" s="43" t="inlineStr">
        <is>
          <t>Expired</t>
        </is>
      </c>
      <c r="M1608" s="43" t="inlineStr">
        <is>
          <t>73-20249-06</t>
        </is>
      </c>
      <c r="N1608" s="43" t="inlineStr"/>
      <c r="O1608" s="43" t="inlineStr">
        <is>
          <t>2026-08-16</t>
        </is>
      </c>
      <c r="P1608" s="33" t="inlineStr">
        <is>
          <t>Risk Buy Authorization</t>
        </is>
      </c>
      <c r="Q1608" s="43" t="inlineStr">
        <is>
          <t>Please; Place the deviation label in visible area.</t>
        </is>
      </c>
      <c r="R1608" s="43" t="inlineStr">
        <is>
          <t>2026-05-20</t>
        </is>
      </c>
      <c r="S1608" s="43" t="inlineStr">
        <is>
          <t>2026-06-10</t>
        </is>
      </c>
      <c r="T1608" s="43" t="inlineStr"/>
      <c r="U1608" s="43" t="inlineStr"/>
    </row>
    <row r="1609">
      <c r="A1609" s="43" t="n">
        <v>1609</v>
      </c>
      <c r="B1609" s="43" t="inlineStr">
        <is>
          <t>1608</t>
        </is>
      </c>
      <c r="C1609" s="43" t="inlineStr">
        <is>
          <t>FJZP</t>
        </is>
      </c>
      <c r="D1609" s="43" t="inlineStr">
        <is>
          <t>Cisco</t>
        </is>
      </c>
      <c r="E1609" s="43" t="inlineStr">
        <is>
          <t>MCGA</t>
        </is>
      </c>
      <c r="F1609" s="43" t="inlineStr">
        <is>
          <t>037-STBU</t>
        </is>
      </c>
      <c r="G1609" s="43" t="inlineStr">
        <is>
          <t>CTANJZ05439</t>
        </is>
      </c>
      <c r="H1609" s="43" t="inlineStr">
        <is>
          <t>To track an AML qualification build (EXTENDABLE 2x)</t>
        </is>
      </c>
      <c r="I1609" s="43" t="inlineStr">
        <is>
          <t>Customer Deviation</t>
        </is>
      </c>
      <c r="J1609" s="43" t="inlineStr">
        <is>
          <t>D613561</t>
        </is>
      </c>
      <c r="K1609" s="33" t="inlineStr">
        <is>
          <t>D613561 NGFWBU GQR: GQR000101110 Case: AQR004707739 CPN: 36-0148-02 ; MFR NAME: MAG LAYERS; MPN: BBPYCS160808601Y00This deviation instructs Foxconn Juarez (FJZ) to execute a sample buy and conduct a Production Qual build for the following part(s):BU: NGFWBUPF: F1KLOWAffected TAN(s):68-6432-03Affected Item(s): 73-18489-08CPN: 36-0148-02; MFR NAME: MAG LAYERS; MPN: BBPYCS160808601Y00Build Qty: 5Ref Des: L35;L36;L37;L40;L41;L42;L43;L44;L1_C;L2_C;L3_C;L4_CTo execute the above AQR at CM site; should be tested on Model A.</t>
        </is>
      </c>
      <c r="L1609" s="43" t="inlineStr">
        <is>
          <t>Implementation</t>
        </is>
      </c>
      <c r="M1609" s="43" t="inlineStr">
        <is>
          <t>36-0148-02</t>
        </is>
      </c>
      <c r="N1609" s="43" t="inlineStr"/>
      <c r="O1609" s="43" t="inlineStr">
        <is>
          <t>2026-11-24</t>
        </is>
      </c>
      <c r="P1609" s="33" t="inlineStr">
        <is>
          <t>To track an AML qualification build (EXTENDABLE 2x);Risk Buy Authorization</t>
        </is>
      </c>
      <c r="Q1609" s="43" t="inlineStr">
        <is>
          <t>NA</t>
        </is>
      </c>
      <c r="R1609" s="43" t="inlineStr">
        <is>
          <t>2026-08-27</t>
        </is>
      </c>
      <c r="S1609" s="43" t="inlineStr">
        <is>
          <t>2026-09-22</t>
        </is>
      </c>
      <c r="T1609" s="43" t="inlineStr"/>
      <c r="U1609" s="43" t="inlineStr"/>
    </row>
    <row r="1610">
      <c r="A1610" s="43" t="n">
        <v>1610</v>
      </c>
      <c r="B1610" s="43" t="inlineStr">
        <is>
          <t>1609</t>
        </is>
      </c>
      <c r="C1610" s="43" t="inlineStr">
        <is>
          <t>FJZP</t>
        </is>
      </c>
      <c r="D1610" s="43" t="inlineStr">
        <is>
          <t>Cisco</t>
        </is>
      </c>
      <c r="E1610" s="43" t="inlineStr">
        <is>
          <t>MCGA</t>
        </is>
      </c>
      <c r="F1610" s="43" t="inlineStr">
        <is>
          <t>037-STBU</t>
        </is>
      </c>
      <c r="G1610" s="43" t="inlineStr">
        <is>
          <t>CTANJZ05439</t>
        </is>
      </c>
      <c r="H1610" s="43" t="inlineStr">
        <is>
          <t>To track an AML qualification build (EXTENDABLE 2x)</t>
        </is>
      </c>
      <c r="I1610" s="43" t="inlineStr">
        <is>
          <t>Customer Deviation</t>
        </is>
      </c>
      <c r="J1610" s="43" t="inlineStr">
        <is>
          <t>D613561</t>
        </is>
      </c>
      <c r="K1610" s="33" t="inlineStr">
        <is>
          <t>D613561 NGFWBU GQR: GQR000101110 Case: AQR004707739 CPN: 36-0148-02 ; MFR NAME: MAG LAYERS; MPN: BBPYCS160808601Y00This deviation instructs Foxconn Juarez (FJZ) to execute a sample buy and conduct a Production Qual build for the following part(s):BU: NGFWBUPF: F1KLOWAffected TAN(s):68-6432-03Affected Item(s): 73-18489-08CPN: 36-0148-02; MFR NAME: MAG LAYERS; MPN: BBPYCS160808601Y00Build Qty: 5Ref Des: L35;L36;L37;L40;L41;L42;L43;L44;L1_C;L2_C;L3_C;L4_CTo execute the above AQR at CM site; should be tested on Model A.</t>
        </is>
      </c>
      <c r="L1610" s="43" t="inlineStr">
        <is>
          <t>Implementation</t>
        </is>
      </c>
      <c r="M1610" s="43" t="inlineStr">
        <is>
          <t>73-18489-08</t>
        </is>
      </c>
      <c r="N1610" s="43" t="inlineStr"/>
      <c r="O1610" s="43" t="inlineStr">
        <is>
          <t>2026-11-24</t>
        </is>
      </c>
      <c r="P1610" s="33" t="inlineStr">
        <is>
          <t>To track an AML qualification build (EXTENDABLE 2x);Risk Buy Authorization</t>
        </is>
      </c>
      <c r="Q1610" s="43" t="inlineStr">
        <is>
          <t>NA</t>
        </is>
      </c>
      <c r="R1610" s="43" t="inlineStr">
        <is>
          <t>2026-08-27</t>
        </is>
      </c>
      <c r="S1610" s="43" t="inlineStr">
        <is>
          <t>2026-09-22</t>
        </is>
      </c>
      <c r="T1610" s="43" t="inlineStr"/>
      <c r="U1610" s="43" t="inlineStr"/>
    </row>
    <row r="1611">
      <c r="A1611" s="43" t="n">
        <v>1611</v>
      </c>
      <c r="B1611" s="43" t="inlineStr">
        <is>
          <t>1610</t>
        </is>
      </c>
      <c r="C1611" s="43" t="inlineStr">
        <is>
          <t>FJZP</t>
        </is>
      </c>
      <c r="D1611" s="43" t="inlineStr">
        <is>
          <t>Cisco</t>
        </is>
      </c>
      <c r="E1611" s="43" t="inlineStr">
        <is>
          <t>MCGA</t>
        </is>
      </c>
      <c r="F1611" s="43" t="inlineStr">
        <is>
          <t>037-STBU</t>
        </is>
      </c>
      <c r="G1611" s="43" t="inlineStr">
        <is>
          <t>CTANJZ05255</t>
        </is>
      </c>
      <c r="H1611" s="43" t="inlineStr">
        <is>
          <t>Risk Buy Authorization Only ¡V No Build/Shipment Allowed (Sustaining Only)</t>
        </is>
      </c>
      <c r="I1611" s="43" t="inlineStr">
        <is>
          <t>Customer Deviation</t>
        </is>
      </c>
      <c r="J1611" s="43" t="inlineStr">
        <is>
          <t>D611205</t>
        </is>
      </c>
      <c r="K1611" s="33" t="inlineStr">
        <is>
          <t>D611205 Please see PageThree for details</t>
        </is>
      </c>
      <c r="L1611" s="43" t="inlineStr">
        <is>
          <t>Expired</t>
        </is>
      </c>
      <c r="M1611" s="43" t="inlineStr">
        <is>
          <t>28-102311-04</t>
        </is>
      </c>
      <c r="N1611" s="43" t="inlineStr"/>
      <c r="O1611" s="43" t="inlineStr">
        <is>
          <t>2026-08-17</t>
        </is>
      </c>
      <c r="P1611" s="33" t="inlineStr">
        <is>
          <t>Risk Buy Authorization</t>
        </is>
      </c>
      <c r="Q1611" s="43" t="inlineStr">
        <is>
          <t>NA</t>
        </is>
      </c>
      <c r="R1611" s="43" t="inlineStr">
        <is>
          <t>2026-05-20</t>
        </is>
      </c>
      <c r="S1611" s="43" t="inlineStr">
        <is>
          <t>2026-06-10</t>
        </is>
      </c>
      <c r="T1611" s="43" t="inlineStr"/>
      <c r="U1611" s="43" t="inlineStr"/>
    </row>
    <row r="1612">
      <c r="A1612" s="43" t="n">
        <v>1612</v>
      </c>
      <c r="B1612" s="43" t="inlineStr">
        <is>
          <t>1611</t>
        </is>
      </c>
      <c r="C1612" s="43" t="inlineStr">
        <is>
          <t>FJZP</t>
        </is>
      </c>
      <c r="D1612" s="43" t="inlineStr">
        <is>
          <t>Cisco</t>
        </is>
      </c>
      <c r="E1612" s="43" t="inlineStr">
        <is>
          <t>MCGA</t>
        </is>
      </c>
      <c r="F1612" s="43" t="inlineStr">
        <is>
          <t>037-STBU</t>
        </is>
      </c>
      <c r="G1612" s="43" t="inlineStr">
        <is>
          <t>CTANJZ05255</t>
        </is>
      </c>
      <c r="H1612" s="43" t="inlineStr">
        <is>
          <t>Risk Buy Authorization Only ¡V No Build/Shipment Allowed (Sustaining Only)</t>
        </is>
      </c>
      <c r="I1612" s="43" t="inlineStr">
        <is>
          <t>Customer Deviation</t>
        </is>
      </c>
      <c r="J1612" s="43" t="inlineStr">
        <is>
          <t>D611205</t>
        </is>
      </c>
      <c r="K1612" s="33" t="inlineStr">
        <is>
          <t>D611205 Please see PageThree for details</t>
        </is>
      </c>
      <c r="L1612" s="43" t="inlineStr">
        <is>
          <t>Expired</t>
        </is>
      </c>
      <c r="M1612" s="43" t="inlineStr">
        <is>
          <t>28-102686-01</t>
        </is>
      </c>
      <c r="N1612" s="43" t="inlineStr"/>
      <c r="O1612" s="43" t="inlineStr">
        <is>
          <t>2026-08-17</t>
        </is>
      </c>
      <c r="P1612" s="33" t="inlineStr">
        <is>
          <t>Risk Buy Authorization</t>
        </is>
      </c>
      <c r="Q1612" s="43" t="inlineStr">
        <is>
          <t>NA</t>
        </is>
      </c>
      <c r="R1612" s="43" t="inlineStr">
        <is>
          <t>2026-05-20</t>
        </is>
      </c>
      <c r="S1612" s="43" t="inlineStr">
        <is>
          <t>2026-06-10</t>
        </is>
      </c>
      <c r="T1612" s="43" t="inlineStr"/>
      <c r="U1612" s="43" t="inlineStr"/>
    </row>
    <row r="1613">
      <c r="A1613" s="43" t="n">
        <v>1613</v>
      </c>
      <c r="B1613" s="43" t="inlineStr">
        <is>
          <t>1612</t>
        </is>
      </c>
      <c r="C1613" s="43" t="inlineStr">
        <is>
          <t>FJZP</t>
        </is>
      </c>
      <c r="D1613" s="43" t="inlineStr">
        <is>
          <t>Cisco</t>
        </is>
      </c>
      <c r="E1613" s="43" t="inlineStr">
        <is>
          <t>MCGA</t>
        </is>
      </c>
      <c r="F1613" s="43" t="inlineStr">
        <is>
          <t>037-STBU</t>
        </is>
      </c>
      <c r="G1613" s="43" t="inlineStr">
        <is>
          <t>CTANJZ05254</t>
        </is>
      </c>
      <c r="H1613" s="43" t="inlineStr">
        <is>
          <t>Risk Buy Authorization Only ¡V No Build/Shipment Allowed (Sustaining Only)</t>
        </is>
      </c>
      <c r="I1613" s="43" t="inlineStr">
        <is>
          <t>Customer Deviation</t>
        </is>
      </c>
      <c r="J1613" s="43" t="inlineStr">
        <is>
          <t>D611204</t>
        </is>
      </c>
      <c r="K1613" s="33" t="inlineStr">
        <is>
          <t>D611204 Please see PageThree for details</t>
        </is>
      </c>
      <c r="L1613" s="43" t="inlineStr">
        <is>
          <t>Expired</t>
        </is>
      </c>
      <c r="M1613" s="43" t="inlineStr">
        <is>
          <t>28-103225-04</t>
        </is>
      </c>
      <c r="N1613" s="43" t="inlineStr"/>
      <c r="O1613" s="43" t="inlineStr">
        <is>
          <t>2026-08-18</t>
        </is>
      </c>
      <c r="P1613" s="33" t="inlineStr">
        <is>
          <t>Risk Buy Authorization</t>
        </is>
      </c>
      <c r="Q1613" s="43" t="inlineStr">
        <is>
          <t>N/A</t>
        </is>
      </c>
      <c r="R1613" s="43" t="inlineStr">
        <is>
          <t>2026-05-20</t>
        </is>
      </c>
      <c r="S1613" s="43" t="inlineStr">
        <is>
          <t>2026-06-10</t>
        </is>
      </c>
      <c r="T1613" s="43" t="inlineStr"/>
      <c r="U1613" s="43" t="inlineStr"/>
    </row>
    <row r="1614">
      <c r="A1614" s="43" t="n">
        <v>1614</v>
      </c>
      <c r="B1614" s="43" t="inlineStr">
        <is>
          <t>1613</t>
        </is>
      </c>
      <c r="C1614" s="43" t="inlineStr">
        <is>
          <t>FJZP</t>
        </is>
      </c>
      <c r="D1614" s="43" t="inlineStr">
        <is>
          <t>Cisco</t>
        </is>
      </c>
      <c r="E1614" s="43" t="inlineStr">
        <is>
          <t>MCGA</t>
        </is>
      </c>
      <c r="F1614" s="43" t="inlineStr">
        <is>
          <t>037-STBU</t>
        </is>
      </c>
      <c r="G1614" s="43" t="inlineStr">
        <is>
          <t>CTANJZ05254</t>
        </is>
      </c>
      <c r="H1614" s="43" t="inlineStr">
        <is>
          <t>Risk Buy Authorization Only ¡V No Build/Shipment Allowed (Sustaining Only)</t>
        </is>
      </c>
      <c r="I1614" s="43" t="inlineStr">
        <is>
          <t>Customer Deviation</t>
        </is>
      </c>
      <c r="J1614" s="43" t="inlineStr">
        <is>
          <t>D611204</t>
        </is>
      </c>
      <c r="K1614" s="33" t="inlineStr">
        <is>
          <t>D611204 Please see PageThree for details</t>
        </is>
      </c>
      <c r="L1614" s="43" t="inlineStr">
        <is>
          <t>Expired</t>
        </is>
      </c>
      <c r="M1614" s="43" t="inlineStr">
        <is>
          <t>28-103226-04</t>
        </is>
      </c>
      <c r="N1614" s="43" t="inlineStr"/>
      <c r="O1614" s="43" t="inlineStr">
        <is>
          <t>2026-08-18</t>
        </is>
      </c>
      <c r="P1614" s="33" t="inlineStr">
        <is>
          <t>Risk Buy Authorization</t>
        </is>
      </c>
      <c r="Q1614" s="43" t="inlineStr">
        <is>
          <t>N/A</t>
        </is>
      </c>
      <c r="R1614" s="43" t="inlineStr">
        <is>
          <t>2026-05-20</t>
        </is>
      </c>
      <c r="S1614" s="43" t="inlineStr">
        <is>
          <t>2026-06-10</t>
        </is>
      </c>
      <c r="T1614" s="43" t="inlineStr"/>
      <c r="U1614" s="43" t="inlineStr"/>
    </row>
    <row r="1615">
      <c r="A1615" s="43" t="n">
        <v>1615</v>
      </c>
      <c r="B1615" s="43" t="inlineStr">
        <is>
          <t>1614</t>
        </is>
      </c>
      <c r="C1615" s="43" t="inlineStr">
        <is>
          <t>FJZP</t>
        </is>
      </c>
      <c r="D1615" s="43" t="inlineStr">
        <is>
          <t>Cisco</t>
        </is>
      </c>
      <c r="E1615" s="43" t="inlineStr">
        <is>
          <t>MCGA</t>
        </is>
      </c>
      <c r="F1615" s="43" t="inlineStr">
        <is>
          <t>037-STBU</t>
        </is>
      </c>
      <c r="G1615" s="43" t="inlineStr">
        <is>
          <t>CTANJZ05254</t>
        </is>
      </c>
      <c r="H1615" s="43" t="inlineStr">
        <is>
          <t>Risk Buy Authorization Only ¡V No Build/Shipment Allowed (Sustaining Only)</t>
        </is>
      </c>
      <c r="I1615" s="43" t="inlineStr">
        <is>
          <t>Customer Deviation</t>
        </is>
      </c>
      <c r="J1615" s="43" t="inlineStr">
        <is>
          <t>D611204</t>
        </is>
      </c>
      <c r="K1615" s="33" t="inlineStr">
        <is>
          <t>D611204 Please see PageThree for details</t>
        </is>
      </c>
      <c r="L1615" s="43" t="inlineStr">
        <is>
          <t>Expired</t>
        </is>
      </c>
      <c r="M1615" s="43" t="inlineStr">
        <is>
          <t>28-103227-04</t>
        </is>
      </c>
      <c r="N1615" s="43" t="inlineStr"/>
      <c r="O1615" s="43" t="inlineStr">
        <is>
          <t>2026-08-18</t>
        </is>
      </c>
      <c r="P1615" s="33" t="inlineStr">
        <is>
          <t>Risk Buy Authorization</t>
        </is>
      </c>
      <c r="Q1615" s="43" t="inlineStr">
        <is>
          <t>N/A</t>
        </is>
      </c>
      <c r="R1615" s="43" t="inlineStr">
        <is>
          <t>2026-05-20</t>
        </is>
      </c>
      <c r="S1615" s="43" t="inlineStr">
        <is>
          <t>2026-06-10</t>
        </is>
      </c>
      <c r="T1615" s="43" t="inlineStr"/>
      <c r="U1615" s="43" t="inlineStr"/>
    </row>
    <row r="1616">
      <c r="A1616" s="43" t="n">
        <v>1616</v>
      </c>
      <c r="B1616" s="43" t="inlineStr">
        <is>
          <t>1615</t>
        </is>
      </c>
      <c r="C1616" s="43" t="inlineStr">
        <is>
          <t>FJZP</t>
        </is>
      </c>
      <c r="D1616" s="43" t="inlineStr">
        <is>
          <t>Cisco</t>
        </is>
      </c>
      <c r="E1616" s="43" t="inlineStr">
        <is>
          <t>MCGA</t>
        </is>
      </c>
      <c r="F1616" s="43" t="inlineStr">
        <is>
          <t>037-STBU</t>
        </is>
      </c>
      <c r="G1616" s="43" t="inlineStr">
        <is>
          <t>CTANJZ05254</t>
        </is>
      </c>
      <c r="H1616" s="43" t="inlineStr">
        <is>
          <t>Risk Buy Authorization Only ¡V No Build/Shipment Allowed (Sustaining Only)</t>
        </is>
      </c>
      <c r="I1616" s="43" t="inlineStr">
        <is>
          <t>Customer Deviation</t>
        </is>
      </c>
      <c r="J1616" s="43" t="inlineStr">
        <is>
          <t>D611204</t>
        </is>
      </c>
      <c r="K1616" s="33" t="inlineStr">
        <is>
          <t>D611204 Please see PageThree for details</t>
        </is>
      </c>
      <c r="L1616" s="43" t="inlineStr">
        <is>
          <t>Expired</t>
        </is>
      </c>
      <c r="M1616" s="43" t="inlineStr">
        <is>
          <t>28-103230-02</t>
        </is>
      </c>
      <c r="N1616" s="43" t="inlineStr"/>
      <c r="O1616" s="43" t="inlineStr">
        <is>
          <t>2026-08-18</t>
        </is>
      </c>
      <c r="P1616" s="33" t="inlineStr">
        <is>
          <t>Risk Buy Authorization</t>
        </is>
      </c>
      <c r="Q1616" s="43" t="inlineStr">
        <is>
          <t>N/A</t>
        </is>
      </c>
      <c r="R1616" s="43" t="inlineStr">
        <is>
          <t>2026-05-20</t>
        </is>
      </c>
      <c r="S1616" s="43" t="inlineStr">
        <is>
          <t>2026-06-10</t>
        </is>
      </c>
      <c r="T1616" s="43" t="inlineStr"/>
      <c r="U1616" s="43" t="inlineStr"/>
    </row>
    <row r="1617">
      <c r="A1617" s="43" t="n">
        <v>1617</v>
      </c>
      <c r="B1617" s="43" t="inlineStr">
        <is>
          <t>1616</t>
        </is>
      </c>
      <c r="C1617" s="43" t="inlineStr">
        <is>
          <t>FJZP</t>
        </is>
      </c>
      <c r="D1617" s="43" t="inlineStr">
        <is>
          <t>Cisco</t>
        </is>
      </c>
      <c r="E1617" s="43" t="inlineStr">
        <is>
          <t>MCGA</t>
        </is>
      </c>
      <c r="F1617" s="43" t="inlineStr">
        <is>
          <t>037-STBU</t>
        </is>
      </c>
      <c r="G1617" s="43" t="inlineStr">
        <is>
          <t>CTANJZ05254</t>
        </is>
      </c>
      <c r="H1617" s="43" t="inlineStr">
        <is>
          <t>Risk Buy Authorization Only ¡V No Build/Shipment Allowed (Sustaining Only)</t>
        </is>
      </c>
      <c r="I1617" s="43" t="inlineStr">
        <is>
          <t>Customer Deviation</t>
        </is>
      </c>
      <c r="J1617" s="43" t="inlineStr">
        <is>
          <t>D611204</t>
        </is>
      </c>
      <c r="K1617" s="33" t="inlineStr">
        <is>
          <t>D611204 Please see PageThree for details</t>
        </is>
      </c>
      <c r="L1617" s="43" t="inlineStr">
        <is>
          <t>Expired</t>
        </is>
      </c>
      <c r="M1617" s="43" t="inlineStr">
        <is>
          <t>28-103304-02</t>
        </is>
      </c>
      <c r="N1617" s="43" t="inlineStr"/>
      <c r="O1617" s="43" t="inlineStr">
        <is>
          <t>2026-08-18</t>
        </is>
      </c>
      <c r="P1617" s="33" t="inlineStr">
        <is>
          <t>Risk Buy Authorization</t>
        </is>
      </c>
      <c r="Q1617" s="43" t="inlineStr">
        <is>
          <t>N/A</t>
        </is>
      </c>
      <c r="R1617" s="43" t="inlineStr">
        <is>
          <t>2026-05-20</t>
        </is>
      </c>
      <c r="S1617" s="43" t="inlineStr">
        <is>
          <t>2026-06-10</t>
        </is>
      </c>
      <c r="T1617" s="43" t="inlineStr"/>
      <c r="U1617" s="43" t="inlineStr"/>
    </row>
    <row r="1618">
      <c r="A1618" s="43" t="n">
        <v>1618</v>
      </c>
      <c r="B1618" s="43" t="inlineStr">
        <is>
          <t>1617</t>
        </is>
      </c>
      <c r="C1618" s="43" t="inlineStr">
        <is>
          <t>FJZP</t>
        </is>
      </c>
      <c r="D1618" s="43" t="inlineStr">
        <is>
          <t>Cisco</t>
        </is>
      </c>
      <c r="E1618" s="43" t="inlineStr">
        <is>
          <t>MCGA</t>
        </is>
      </c>
      <c r="F1618" s="43" t="inlineStr">
        <is>
          <t>037-STBU</t>
        </is>
      </c>
      <c r="G1618" s="43" t="inlineStr">
        <is>
          <t>CTANJZ05254</t>
        </is>
      </c>
      <c r="H1618" s="43" t="inlineStr">
        <is>
          <t>Risk Buy Authorization Only ¡V No Build/Shipment Allowed (Sustaining Only)</t>
        </is>
      </c>
      <c r="I1618" s="43" t="inlineStr">
        <is>
          <t>Customer Deviation</t>
        </is>
      </c>
      <c r="J1618" s="43" t="inlineStr">
        <is>
          <t>D611204</t>
        </is>
      </c>
      <c r="K1618" s="33" t="inlineStr">
        <is>
          <t>D611204 Please see PageThree for details</t>
        </is>
      </c>
      <c r="L1618" s="43" t="inlineStr">
        <is>
          <t>Expired</t>
        </is>
      </c>
      <c r="M1618" s="43" t="inlineStr">
        <is>
          <t>73-103558-04</t>
        </is>
      </c>
      <c r="N1618" s="43" t="inlineStr"/>
      <c r="O1618" s="43" t="inlineStr">
        <is>
          <t>2026-08-18</t>
        </is>
      </c>
      <c r="P1618" s="33" t="inlineStr">
        <is>
          <t>Risk Buy Authorization</t>
        </is>
      </c>
      <c r="Q1618" s="43" t="inlineStr">
        <is>
          <t>N/A</t>
        </is>
      </c>
      <c r="R1618" s="43" t="inlineStr">
        <is>
          <t>2026-05-20</t>
        </is>
      </c>
      <c r="S1618" s="43" t="inlineStr">
        <is>
          <t>2026-06-10</t>
        </is>
      </c>
      <c r="T1618" s="43" t="inlineStr"/>
      <c r="U1618" s="43" t="inlineStr"/>
    </row>
    <row r="1619">
      <c r="A1619" s="43" t="n">
        <v>1619</v>
      </c>
      <c r="B1619" s="43" t="inlineStr">
        <is>
          <t>1618</t>
        </is>
      </c>
      <c r="C1619" s="43" t="inlineStr">
        <is>
          <t>FJZP</t>
        </is>
      </c>
      <c r="D1619" s="43" t="inlineStr">
        <is>
          <t>Cisco</t>
        </is>
      </c>
      <c r="E1619" s="43" t="inlineStr">
        <is>
          <t>MCGA</t>
        </is>
      </c>
      <c r="F1619" s="43" t="inlineStr">
        <is>
          <t>037-STBU</t>
        </is>
      </c>
      <c r="G1619" s="43" t="inlineStr">
        <is>
          <t>CTANJZ05254</t>
        </is>
      </c>
      <c r="H1619" s="43" t="inlineStr">
        <is>
          <t>Risk Buy Authorization Only ¡V No Build/Shipment Allowed (Sustaining Only)</t>
        </is>
      </c>
      <c r="I1619" s="43" t="inlineStr">
        <is>
          <t>Customer Deviation</t>
        </is>
      </c>
      <c r="J1619" s="43" t="inlineStr">
        <is>
          <t>D611204</t>
        </is>
      </c>
      <c r="K1619" s="33" t="inlineStr">
        <is>
          <t>D611204 Please see PageThree for details</t>
        </is>
      </c>
      <c r="L1619" s="43" t="inlineStr">
        <is>
          <t>Expired</t>
        </is>
      </c>
      <c r="M1619" s="43" t="inlineStr">
        <is>
          <t>73-103559-04</t>
        </is>
      </c>
      <c r="N1619" s="43" t="inlineStr"/>
      <c r="O1619" s="43" t="inlineStr">
        <is>
          <t>2026-08-18</t>
        </is>
      </c>
      <c r="P1619" s="33" t="inlineStr">
        <is>
          <t>Risk Buy Authorization</t>
        </is>
      </c>
      <c r="Q1619" s="43" t="inlineStr">
        <is>
          <t>N/A</t>
        </is>
      </c>
      <c r="R1619" s="43" t="inlineStr">
        <is>
          <t>2026-05-20</t>
        </is>
      </c>
      <c r="S1619" s="43" t="inlineStr">
        <is>
          <t>2026-06-10</t>
        </is>
      </c>
      <c r="T1619" s="43" t="inlineStr"/>
      <c r="U1619" s="43" t="inlineStr"/>
    </row>
    <row r="1620">
      <c r="A1620" s="43" t="n">
        <v>1620</v>
      </c>
      <c r="B1620" s="43" t="inlineStr">
        <is>
          <t>1619</t>
        </is>
      </c>
      <c r="C1620" s="43" t="inlineStr">
        <is>
          <t>FJZP</t>
        </is>
      </c>
      <c r="D1620" s="43" t="inlineStr">
        <is>
          <t>Cisco</t>
        </is>
      </c>
      <c r="E1620" s="43" t="inlineStr">
        <is>
          <t>MCGA</t>
        </is>
      </c>
      <c r="F1620" s="43" t="inlineStr">
        <is>
          <t>037-STBU</t>
        </is>
      </c>
      <c r="G1620" s="43" t="inlineStr">
        <is>
          <t>CTANJZ05254</t>
        </is>
      </c>
      <c r="H1620" s="43" t="inlineStr">
        <is>
          <t>Risk Buy Authorization Only ¡V No Build/Shipment Allowed (Sustaining Only)</t>
        </is>
      </c>
      <c r="I1620" s="43" t="inlineStr">
        <is>
          <t>Customer Deviation</t>
        </is>
      </c>
      <c r="J1620" s="43" t="inlineStr">
        <is>
          <t>D611204</t>
        </is>
      </c>
      <c r="K1620" s="33" t="inlineStr">
        <is>
          <t>D611204 Please see PageThree for details</t>
        </is>
      </c>
      <c r="L1620" s="43" t="inlineStr">
        <is>
          <t>Expired</t>
        </is>
      </c>
      <c r="M1620" s="43" t="inlineStr">
        <is>
          <t>73-103563-02</t>
        </is>
      </c>
      <c r="N1620" s="43" t="inlineStr"/>
      <c r="O1620" s="43" t="inlineStr">
        <is>
          <t>2026-08-18</t>
        </is>
      </c>
      <c r="P1620" s="33" t="inlineStr">
        <is>
          <t>Risk Buy Authorization</t>
        </is>
      </c>
      <c r="Q1620" s="43" t="inlineStr">
        <is>
          <t>N/A</t>
        </is>
      </c>
      <c r="R1620" s="43" t="inlineStr">
        <is>
          <t>2026-05-20</t>
        </is>
      </c>
      <c r="S1620" s="43" t="inlineStr">
        <is>
          <t>2026-06-10</t>
        </is>
      </c>
      <c r="T1620" s="43" t="inlineStr"/>
      <c r="U1620" s="43" t="inlineStr"/>
    </row>
    <row r="1621">
      <c r="A1621" s="43" t="n">
        <v>1621</v>
      </c>
      <c r="B1621" s="43" t="inlineStr">
        <is>
          <t>1620</t>
        </is>
      </c>
      <c r="C1621" s="43" t="inlineStr">
        <is>
          <t>FJZP</t>
        </is>
      </c>
      <c r="D1621" s="43" t="inlineStr">
        <is>
          <t>Cisco</t>
        </is>
      </c>
      <c r="E1621" s="43" t="inlineStr">
        <is>
          <t>MCGA</t>
        </is>
      </c>
      <c r="F1621" s="43" t="inlineStr">
        <is>
          <t>037-STBU</t>
        </is>
      </c>
      <c r="G1621" s="43" t="inlineStr">
        <is>
          <t>CTANJZ05254</t>
        </is>
      </c>
      <c r="H1621" s="43" t="inlineStr">
        <is>
          <t>Risk Buy Authorization Only ¡V No Build/Shipment Allowed (Sustaining Only)</t>
        </is>
      </c>
      <c r="I1621" s="43" t="inlineStr">
        <is>
          <t>Customer Deviation</t>
        </is>
      </c>
      <c r="J1621" s="43" t="inlineStr">
        <is>
          <t>D611204</t>
        </is>
      </c>
      <c r="K1621" s="33" t="inlineStr">
        <is>
          <t>D611204 Please see PageThree for details</t>
        </is>
      </c>
      <c r="L1621" s="43" t="inlineStr">
        <is>
          <t>Expired</t>
        </is>
      </c>
      <c r="M1621" s="43" t="inlineStr">
        <is>
          <t>73-103622-02</t>
        </is>
      </c>
      <c r="N1621" s="43" t="inlineStr"/>
      <c r="O1621" s="43" t="inlineStr">
        <is>
          <t>2026-08-18</t>
        </is>
      </c>
      <c r="P1621" s="33" t="inlineStr">
        <is>
          <t>Risk Buy Authorization</t>
        </is>
      </c>
      <c r="Q1621" s="43" t="inlineStr">
        <is>
          <t>N/A</t>
        </is>
      </c>
      <c r="R1621" s="43" t="inlineStr">
        <is>
          <t>2026-05-20</t>
        </is>
      </c>
      <c r="S1621" s="43" t="inlineStr">
        <is>
          <t>2026-06-10</t>
        </is>
      </c>
      <c r="T1621" s="43" t="inlineStr"/>
      <c r="U1621" s="43" t="inlineStr"/>
    </row>
    <row r="1622">
      <c r="A1622" s="43" t="n">
        <v>1622</v>
      </c>
      <c r="B1622" s="43" t="inlineStr">
        <is>
          <t>1621</t>
        </is>
      </c>
      <c r="C1622" s="43" t="inlineStr">
        <is>
          <t>FJZP</t>
        </is>
      </c>
      <c r="D1622" s="43" t="inlineStr">
        <is>
          <t>Cisco</t>
        </is>
      </c>
      <c r="E1622" s="43" t="inlineStr">
        <is>
          <t>MCGA</t>
        </is>
      </c>
      <c r="F1622" s="43" t="inlineStr">
        <is>
          <t>037-STBU</t>
        </is>
      </c>
      <c r="G1622" s="43" t="inlineStr">
        <is>
          <t>CTANJZ05254</t>
        </is>
      </c>
      <c r="H1622" s="43" t="inlineStr">
        <is>
          <t>Risk Buy Authorization Only ¡V No Build/Shipment Allowed (Sustaining Only)</t>
        </is>
      </c>
      <c r="I1622" s="43" t="inlineStr">
        <is>
          <t>Customer Deviation</t>
        </is>
      </c>
      <c r="J1622" s="43" t="inlineStr">
        <is>
          <t>D611204</t>
        </is>
      </c>
      <c r="K1622" s="33" t="inlineStr">
        <is>
          <t>D611204 Please see PageThree for details</t>
        </is>
      </c>
      <c r="L1622" s="43" t="inlineStr">
        <is>
          <t>Expired</t>
        </is>
      </c>
      <c r="M1622" s="43" t="inlineStr">
        <is>
          <t>73-103633-04</t>
        </is>
      </c>
      <c r="N1622" s="43" t="inlineStr"/>
      <c r="O1622" s="43" t="inlineStr">
        <is>
          <t>2026-08-18</t>
        </is>
      </c>
      <c r="P1622" s="33" t="inlineStr">
        <is>
          <t>Risk Buy Authorization</t>
        </is>
      </c>
      <c r="Q1622" s="43" t="inlineStr">
        <is>
          <t>N/A</t>
        </is>
      </c>
      <c r="R1622" s="43" t="inlineStr">
        <is>
          <t>2026-05-20</t>
        </is>
      </c>
      <c r="S1622" s="43" t="inlineStr">
        <is>
          <t>2026-06-10</t>
        </is>
      </c>
      <c r="T1622" s="43" t="inlineStr"/>
      <c r="U1622" s="43" t="inlineStr"/>
    </row>
    <row r="1623">
      <c r="A1623" s="43" t="n">
        <v>1623</v>
      </c>
      <c r="B1623" s="43" t="inlineStr">
        <is>
          <t>1622</t>
        </is>
      </c>
      <c r="C1623" s="43" t="inlineStr">
        <is>
          <t>FJZP</t>
        </is>
      </c>
      <c r="D1623" s="43" t="inlineStr">
        <is>
          <t>Cisco</t>
        </is>
      </c>
      <c r="E1623" s="43" t="inlineStr">
        <is>
          <t>MCGA</t>
        </is>
      </c>
      <c r="F1623" s="43" t="inlineStr">
        <is>
          <t>037-STBU</t>
        </is>
      </c>
      <c r="G1623" s="43" t="inlineStr">
        <is>
          <t>CTANJZ05338</t>
        </is>
      </c>
      <c r="H1623" s="43" t="inlineStr">
        <is>
          <t>Risk Buy Authorization Only ¡V No Build/Shipment Allowed (Sustaining Only)</t>
        </is>
      </c>
      <c r="I1623" s="43" t="inlineStr">
        <is>
          <t>Customer Deviation</t>
        </is>
      </c>
      <c r="J1623" s="43" t="inlineStr">
        <is>
          <t>D612446</t>
        </is>
      </c>
      <c r="K1623" s="33" t="inlineStr">
        <is>
          <t>D612446 Please see PageThree for details</t>
        </is>
      </c>
      <c r="L1623" s="43" t="inlineStr">
        <is>
          <t>Expired</t>
        </is>
      </c>
      <c r="M1623" s="43" t="inlineStr">
        <is>
          <t>73-103622-02</t>
        </is>
      </c>
      <c r="N1623" s="43" t="inlineStr"/>
      <c r="O1623" s="43" t="inlineStr">
        <is>
          <t>2026-09-30</t>
        </is>
      </c>
      <c r="P1623" s="33" t="inlineStr">
        <is>
          <t>Risk Buy Authorization</t>
        </is>
      </c>
      <c r="Q1623" s="43" t="inlineStr">
        <is>
          <t>N/A</t>
        </is>
      </c>
      <c r="R1623" s="43" t="inlineStr">
        <is>
          <t>2026-07-03</t>
        </is>
      </c>
      <c r="S1623" s="43" t="inlineStr">
        <is>
          <t>2026-07-16</t>
        </is>
      </c>
      <c r="T1623" s="43" t="inlineStr"/>
      <c r="U1623" s="43" t="inlineStr"/>
    </row>
    <row r="1624">
      <c r="A1624" s="43" t="n">
        <v>1624</v>
      </c>
      <c r="B1624" s="43" t="inlineStr">
        <is>
          <t>1623</t>
        </is>
      </c>
      <c r="C1624" s="43" t="inlineStr">
        <is>
          <t>FJZP</t>
        </is>
      </c>
      <c r="D1624" s="43" t="inlineStr">
        <is>
          <t>Cisco</t>
        </is>
      </c>
      <c r="E1624" s="43" t="inlineStr">
        <is>
          <t>MCGA</t>
        </is>
      </c>
      <c r="F1624" s="43" t="inlineStr">
        <is>
          <t>037-STBU</t>
        </is>
      </c>
      <c r="G1624" s="43" t="inlineStr">
        <is>
          <t>CTANJZ05338</t>
        </is>
      </c>
      <c r="H1624" s="43" t="inlineStr">
        <is>
          <t>Risk Buy Authorization Only ¡V No Build/Shipment Allowed (Sustaining Only)</t>
        </is>
      </c>
      <c r="I1624" s="43" t="inlineStr">
        <is>
          <t>Customer Deviation</t>
        </is>
      </c>
      <c r="J1624" s="43" t="inlineStr">
        <is>
          <t>D612446</t>
        </is>
      </c>
      <c r="K1624" s="33" t="inlineStr">
        <is>
          <t>D612446 Please see PageThree for details</t>
        </is>
      </c>
      <c r="L1624" s="43" t="inlineStr">
        <is>
          <t>Expired</t>
        </is>
      </c>
      <c r="M1624" s="43" t="inlineStr">
        <is>
          <t>73-103633-04</t>
        </is>
      </c>
      <c r="N1624" s="43" t="inlineStr"/>
      <c r="O1624" s="43" t="inlineStr">
        <is>
          <t>2026-09-30</t>
        </is>
      </c>
      <c r="P1624" s="33" t="inlineStr">
        <is>
          <t>Risk Buy Authorization</t>
        </is>
      </c>
      <c r="Q1624" s="43" t="inlineStr">
        <is>
          <t>N/A</t>
        </is>
      </c>
      <c r="R1624" s="43" t="inlineStr">
        <is>
          <t>2026-07-03</t>
        </is>
      </c>
      <c r="S1624" s="43" t="inlineStr">
        <is>
          <t>2026-07-16</t>
        </is>
      </c>
      <c r="T1624" s="43" t="inlineStr"/>
      <c r="U1624" s="43" t="inlineStr"/>
    </row>
    <row r="1625">
      <c r="A1625" s="43" t="n">
        <v>1625</v>
      </c>
      <c r="B1625" s="43" t="inlineStr">
        <is>
          <t>1624</t>
        </is>
      </c>
      <c r="C1625" s="43" t="inlineStr">
        <is>
          <t>FJZP</t>
        </is>
      </c>
      <c r="D1625" s="43" t="inlineStr">
        <is>
          <t>Cisco</t>
        </is>
      </c>
      <c r="E1625" s="43" t="inlineStr">
        <is>
          <t>MCGA</t>
        </is>
      </c>
      <c r="F1625" s="43" t="inlineStr">
        <is>
          <t>037-STBU</t>
        </is>
      </c>
      <c r="G1625" s="43" t="inlineStr">
        <is>
          <t>CTANJZ05338</t>
        </is>
      </c>
      <c r="H1625" s="43" t="inlineStr">
        <is>
          <t>Risk Buy Authorization Only ¡V No Build/Shipment Allowed (Sustaining Only)</t>
        </is>
      </c>
      <c r="I1625" s="43" t="inlineStr">
        <is>
          <t>Customer Deviation</t>
        </is>
      </c>
      <c r="J1625" s="43" t="inlineStr">
        <is>
          <t>D612446</t>
        </is>
      </c>
      <c r="K1625" s="33" t="inlineStr">
        <is>
          <t>D612446 Please see PageThree for details</t>
        </is>
      </c>
      <c r="L1625" s="43" t="inlineStr">
        <is>
          <t>Expired</t>
        </is>
      </c>
      <c r="M1625" s="43" t="inlineStr">
        <is>
          <t>73-103788-04</t>
        </is>
      </c>
      <c r="N1625" s="43" t="inlineStr"/>
      <c r="O1625" s="43" t="inlineStr">
        <is>
          <t>2026-09-30</t>
        </is>
      </c>
      <c r="P1625" s="33" t="inlineStr">
        <is>
          <t>Risk Buy Authorization</t>
        </is>
      </c>
      <c r="Q1625" s="43" t="inlineStr">
        <is>
          <t>N/A</t>
        </is>
      </c>
      <c r="R1625" s="43" t="inlineStr">
        <is>
          <t>2026-07-03</t>
        </is>
      </c>
      <c r="S1625" s="43" t="inlineStr">
        <is>
          <t>2026-07-16</t>
        </is>
      </c>
      <c r="T1625" s="43" t="inlineStr"/>
      <c r="U1625" s="43" t="inlineStr"/>
    </row>
    <row r="1626">
      <c r="A1626" s="43" t="n">
        <v>1626</v>
      </c>
      <c r="B1626" s="43" t="inlineStr">
        <is>
          <t>1625</t>
        </is>
      </c>
      <c r="C1626" s="43" t="inlineStr">
        <is>
          <t>FJZP</t>
        </is>
      </c>
      <c r="D1626" s="43" t="inlineStr">
        <is>
          <t>Cisco</t>
        </is>
      </c>
      <c r="E1626" s="43" t="inlineStr">
        <is>
          <t>MCGA</t>
        </is>
      </c>
      <c r="F1626" s="43" t="inlineStr">
        <is>
          <t>035-CVEBU</t>
        </is>
      </c>
      <c r="G1626" s="43" t="inlineStr">
        <is>
          <t>CTANJZ04854</t>
        </is>
      </c>
      <c r="H1626" s="43" t="inlineStr">
        <is>
          <t>Rework Existing Finished Goods and Work in process</t>
        </is>
      </c>
      <c r="I1626" s="43" t="inlineStr">
        <is>
          <t>Customer Deviation</t>
        </is>
      </c>
      <c r="J1626" s="43" t="inlineStr">
        <is>
          <t>D606187</t>
        </is>
      </c>
      <c r="K1626" s="33" t="inlineStr">
        <is>
          <t>D606187 CVEBU;Brooklyn800-137504-01 (with 73-102022-02) ASY-ELMECH;CPU; BROOKLYN;MAIN BOARD WITH BAILEY;TAA800-147504-01 (with 73-104022-01) ASY-ELMECH;CPU; BROOKLYN;MAIN BOARD NR WITH BAILEY;TAAIn 73-102022-02 and 73-104022-01 BOMs; refdes P4; P5; P6; P7  (4 pcs)29-103082-01 CON;RJ45;R;RA;TH;1 R;8 P;16.1 Wx15.1 Lmm;w/Gn and Ye LEDs;PIP;TAB DOWNQualified: Amphenol RJE73-1CS-0004Since launch of Brooklyn; there has been an unacceptable high failure rate due to bent pin #1 and loss of contact for these Amphenol connectors.Connector P5 interfacing Vecchio (Touch10) has been severely affected.By mid CY2025 improved Amphenol connectors are received; tested and approved by Cisco. The MPN is unchanged. FVN has already received mass production quantities of the improved connector.FJZ will receive mass production quantities of the improved connector by Sep 2025.  The Main board assemblies built at FJZ are shipped to FVN; assembled into Brooklyn units; then finally shipped back to FJZ for SW download and final test.During 2nd half of CY2025; several Main Board assemblies with weak RJ45 connectors have arrived/will arrive FVN for assembly into complete Brooklyn units.All Mexican made Main Board assemblies with Serial Numbers prior to FJZ2938xxxx shall be reworked at FVN by replacing P4; P5; P6; P7 with the new and upgraded RJ45 connector.Date Code for these connectors must be from July 2025 and later.</t>
        </is>
      </c>
      <c r="L1626" s="43" t="inlineStr">
        <is>
          <t>Expired</t>
        </is>
      </c>
      <c r="M1626" s="43" t="inlineStr">
        <is>
          <t>29-103082-01</t>
        </is>
      </c>
      <c r="N1626" s="43" t="inlineStr"/>
      <c r="O1626" s="43" t="inlineStr">
        <is>
          <t>2025-12-14</t>
        </is>
      </c>
      <c r="P1626" s="33" t="inlineStr">
        <is>
          <t>Rework Existing Finished Goods and Work in process</t>
        </is>
      </c>
      <c r="Q1626" s="43" t="inlineStr">
        <is>
          <t>No FFF change =&gt; No marking needed; but FVN shall record all affected serial numbers</t>
        </is>
      </c>
      <c r="R1626" s="43" t="inlineStr">
        <is>
          <t>2025-09-15</t>
        </is>
      </c>
      <c r="S1626" s="43" t="inlineStr">
        <is>
          <t>2025-10-09</t>
        </is>
      </c>
      <c r="T1626" s="43" t="inlineStr"/>
      <c r="U1626" s="43" t="inlineStr"/>
    </row>
    <row r="1627">
      <c r="A1627" s="43" t="n">
        <v>1627</v>
      </c>
      <c r="B1627" s="43" t="inlineStr">
        <is>
          <t>1626</t>
        </is>
      </c>
      <c r="C1627" s="43" t="inlineStr">
        <is>
          <t>FJZP</t>
        </is>
      </c>
      <c r="D1627" s="43" t="inlineStr">
        <is>
          <t>Cisco</t>
        </is>
      </c>
      <c r="E1627" s="43" t="inlineStr">
        <is>
          <t>MCGA</t>
        </is>
      </c>
      <c r="F1627" s="43" t="inlineStr">
        <is>
          <t>035-CVEBU</t>
        </is>
      </c>
      <c r="G1627" s="43" t="inlineStr">
        <is>
          <t>CTANJZ04854</t>
        </is>
      </c>
      <c r="H1627" s="43" t="inlineStr">
        <is>
          <t>Rework Existing Finished Goods and Work in process</t>
        </is>
      </c>
      <c r="I1627" s="43" t="inlineStr">
        <is>
          <t>Customer Deviation</t>
        </is>
      </c>
      <c r="J1627" s="43" t="inlineStr">
        <is>
          <t>D606187</t>
        </is>
      </c>
      <c r="K1627" s="33" t="inlineStr">
        <is>
          <t>D606187 CVEBU;Brooklyn800-137504-01 (with 73-102022-02) ASY-ELMECH;CPU; BROOKLYN;MAIN BOARD WITH BAILEY;TAA800-147504-01 (with 73-104022-01) ASY-ELMECH;CPU; BROOKLYN;MAIN BOARD NR WITH BAILEY;TAAIn 73-102022-02 and 73-104022-01 BOMs; refdes P4; P5; P6; P7  (4 pcs)29-103082-01 CON;RJ45;R;RA;TH;1 R;8 P;16.1 Wx15.1 Lmm;w/Gn and Ye LEDs;PIP;TAB DOWNQualified: Amphenol RJE73-1CS-0004Since launch of Brooklyn; there has been an unacceptable high failure rate due to bent pin #1 and loss of contact for these Amphenol connectors.Connector P5 interfacing Vecchio (Touch10) has been severely affected.By mid CY2025 improved Amphenol connectors are received; tested and approved by Cisco. The MPN is unchanged. FVN has already received mass production quantities of the improved connector.FJZ will receive mass production quantities of the improved connector by Sep 2025.  The Main board assemblies built at FJZ are shipped to FVN; assembled into Brooklyn units; then finally shipped back to FJZ for SW download and final test.During 2nd half of CY2025; several Main Board assemblies with weak RJ45 connectors have arrived/will arrive FVN for assembly into complete Brooklyn units.All Mexican made Main Board assemblies with Serial Numbers prior to FJZ2938xxxx shall be reworked at FVN by replacing P4; P5; P6; P7 with the new and upgraded RJ45 connector.Date Code for these connectors must be from July 2025 and later.</t>
        </is>
      </c>
      <c r="L1627" s="43" t="inlineStr">
        <is>
          <t>Expired</t>
        </is>
      </c>
      <c r="M1627" s="43" t="inlineStr">
        <is>
          <t>73-102022-02</t>
        </is>
      </c>
      <c r="N1627" s="43" t="inlineStr"/>
      <c r="O1627" s="43" t="inlineStr">
        <is>
          <t>2025-12-14</t>
        </is>
      </c>
      <c r="P1627" s="33" t="inlineStr">
        <is>
          <t>Rework Existing Finished Goods and Work in process</t>
        </is>
      </c>
      <c r="Q1627" s="43" t="inlineStr">
        <is>
          <t>No FFF change =&gt; No marking needed; but FVN shall record all affected serial numbers</t>
        </is>
      </c>
      <c r="R1627" s="43" t="inlineStr">
        <is>
          <t>2025-09-15</t>
        </is>
      </c>
      <c r="S1627" s="43" t="inlineStr">
        <is>
          <t>2025-10-09</t>
        </is>
      </c>
      <c r="T1627" s="43" t="inlineStr"/>
      <c r="U1627" s="43" t="inlineStr"/>
    </row>
    <row r="1628">
      <c r="A1628" s="43" t="n">
        <v>1628</v>
      </c>
      <c r="B1628" s="43" t="inlineStr">
        <is>
          <t>1627</t>
        </is>
      </c>
      <c r="C1628" s="43" t="inlineStr">
        <is>
          <t>FJZP</t>
        </is>
      </c>
      <c r="D1628" s="43" t="inlineStr">
        <is>
          <t>Cisco</t>
        </is>
      </c>
      <c r="E1628" s="43" t="inlineStr">
        <is>
          <t>MCGA</t>
        </is>
      </c>
      <c r="F1628" s="43" t="inlineStr">
        <is>
          <t>035-CVEBU</t>
        </is>
      </c>
      <c r="G1628" s="43" t="inlineStr">
        <is>
          <t>CTANJZ04854</t>
        </is>
      </c>
      <c r="H1628" s="43" t="inlineStr">
        <is>
          <t>Rework Existing Finished Goods and Work in process</t>
        </is>
      </c>
      <c r="I1628" s="43" t="inlineStr">
        <is>
          <t>Customer Deviation</t>
        </is>
      </c>
      <c r="J1628" s="43" t="inlineStr">
        <is>
          <t>D606187</t>
        </is>
      </c>
      <c r="K1628" s="33" t="inlineStr">
        <is>
          <t>D606187 CVEBU;Brooklyn800-137504-01 (with 73-102022-02) ASY-ELMECH;CPU; BROOKLYN;MAIN BOARD WITH BAILEY;TAA800-147504-01 (with 73-104022-01) ASY-ELMECH;CPU; BROOKLYN;MAIN BOARD NR WITH BAILEY;TAAIn 73-102022-02 and 73-104022-01 BOMs; refdes P4; P5; P6; P7  (4 pcs)29-103082-01 CON;RJ45;R;RA;TH;1 R;8 P;16.1 Wx15.1 Lmm;w/Gn and Ye LEDs;PIP;TAB DOWNQualified: Amphenol RJE73-1CS-0004Since launch of Brooklyn; there has been an unacceptable high failure rate due to bent pin #1 and loss of contact for these Amphenol connectors.Connector P5 interfacing Vecchio (Touch10) has been severely affected.By mid CY2025 improved Amphenol connectors are received; tested and approved by Cisco. The MPN is unchanged. FVN has already received mass production quantities of the improved connector.FJZ will receive mass production quantities of the improved connector by Sep 2025.  The Main board assemblies built at FJZ are shipped to FVN; assembled into Brooklyn units; then finally shipped back to FJZ for SW download and final test.During 2nd half of CY2025; several Main Board assemblies with weak RJ45 connectors have arrived/will arrive FVN for assembly into complete Brooklyn units.All Mexican made Main Board assemblies with Serial Numbers prior to FJZ2938xxxx shall be reworked at FVN by replacing P4; P5; P6; P7 with the new and upgraded RJ45 connector.Date Code for these connectors must be from July 2025 and later.</t>
        </is>
      </c>
      <c r="L1628" s="43" t="inlineStr">
        <is>
          <t>Expired</t>
        </is>
      </c>
      <c r="M1628" s="43" t="inlineStr">
        <is>
          <t>73-104022-01</t>
        </is>
      </c>
      <c r="N1628" s="43" t="inlineStr"/>
      <c r="O1628" s="43" t="inlineStr">
        <is>
          <t>2025-12-14</t>
        </is>
      </c>
      <c r="P1628" s="33" t="inlineStr">
        <is>
          <t>Rework Existing Finished Goods and Work in process</t>
        </is>
      </c>
      <c r="Q1628" s="43" t="inlineStr">
        <is>
          <t>No FFF change =&gt; No marking needed; but FVN shall record all affected serial numbers</t>
        </is>
      </c>
      <c r="R1628" s="43" t="inlineStr">
        <is>
          <t>2025-09-15</t>
        </is>
      </c>
      <c r="S1628" s="43" t="inlineStr">
        <is>
          <t>2025-10-09</t>
        </is>
      </c>
      <c r="T1628" s="43" t="inlineStr"/>
      <c r="U1628" s="43" t="inlineStr"/>
    </row>
    <row r="1629">
      <c r="A1629" s="43" t="n">
        <v>1629</v>
      </c>
      <c r="B1629" s="43" t="inlineStr">
        <is>
          <t>1628</t>
        </is>
      </c>
      <c r="C1629" s="43" t="inlineStr">
        <is>
          <t>FJZP</t>
        </is>
      </c>
      <c r="D1629" s="43" t="inlineStr">
        <is>
          <t>Cisco</t>
        </is>
      </c>
      <c r="E1629" s="43" t="inlineStr">
        <is>
          <t>MCGA</t>
        </is>
      </c>
      <c r="F1629" s="43" t="inlineStr">
        <is>
          <t>037-STBU</t>
        </is>
      </c>
      <c r="G1629" s="43" t="inlineStr">
        <is>
          <t>CTANJZ05042</t>
        </is>
      </c>
      <c r="H1629" s="43" t="inlineStr">
        <is>
          <t>Rework Existing Finished Goods and Work in process</t>
        </is>
      </c>
      <c r="I1629" s="43" t="inlineStr">
        <is>
          <t>Customer Deviation</t>
        </is>
      </c>
      <c r="J1629" s="43" t="inlineStr">
        <is>
          <t>D608554</t>
        </is>
      </c>
      <c r="K1629" s="33" t="inlineStr">
        <is>
          <t>D608554NGFWBU:Warwick Avenue - Factory direction for ICT &amp; process updates to address Renesas PWM programmable device content issue</t>
        </is>
      </c>
      <c r="L1629" s="43" t="inlineStr">
        <is>
          <t>Expired</t>
        </is>
      </c>
      <c r="M1629" s="43" t="inlineStr">
        <is>
          <t>17-102472-02</t>
        </is>
      </c>
      <c r="N1629" s="43" t="inlineStr"/>
      <c r="O1629" s="43" t="inlineStr">
        <is>
          <t>2026-03-20</t>
        </is>
      </c>
      <c r="P1629" s="33" t="inlineStr"/>
      <c r="Q1629" s="43" t="inlineStr">
        <is>
          <t>Label PCBA topside with Deviation number where space allows; do not obscure ICT test points.</t>
        </is>
      </c>
      <c r="R1629" s="43" t="inlineStr">
        <is>
          <t>2025-12-23</t>
        </is>
      </c>
      <c r="S1629" s="43" t="inlineStr">
        <is>
          <t>2026-01-27</t>
        </is>
      </c>
      <c r="T1629" s="43" t="inlineStr"/>
      <c r="U1629" s="43" t="inlineStr"/>
    </row>
    <row r="1630">
      <c r="A1630" s="43" t="n">
        <v>1630</v>
      </c>
      <c r="B1630" s="43" t="inlineStr">
        <is>
          <t>1629</t>
        </is>
      </c>
      <c r="C1630" s="43" t="inlineStr">
        <is>
          <t>FJZP</t>
        </is>
      </c>
      <c r="D1630" s="43" t="inlineStr">
        <is>
          <t>Cisco</t>
        </is>
      </c>
      <c r="E1630" s="43" t="inlineStr">
        <is>
          <t>MCGA</t>
        </is>
      </c>
      <c r="F1630" s="43" t="inlineStr">
        <is>
          <t>037-STBU</t>
        </is>
      </c>
      <c r="G1630" s="43" t="inlineStr">
        <is>
          <t>CTANJZ05042</t>
        </is>
      </c>
      <c r="H1630" s="43" t="inlineStr">
        <is>
          <t>Rework Existing Finished Goods and Work in process</t>
        </is>
      </c>
      <c r="I1630" s="43" t="inlineStr">
        <is>
          <t>Customer Deviation</t>
        </is>
      </c>
      <c r="J1630" s="43" t="inlineStr">
        <is>
          <t>D608554</t>
        </is>
      </c>
      <c r="K1630" s="33" t="inlineStr">
        <is>
          <t>D608554NGFWBU:Warwick Avenue - Factory direction for ICT &amp; process updates to address Renesas PWM programmable device content issue</t>
        </is>
      </c>
      <c r="L1630" s="43" t="inlineStr">
        <is>
          <t>Expired</t>
        </is>
      </c>
      <c r="M1630" s="43" t="inlineStr">
        <is>
          <t>73-102433-05</t>
        </is>
      </c>
      <c r="N1630" s="43" t="inlineStr"/>
      <c r="O1630" s="43" t="inlineStr">
        <is>
          <t>2026-03-20</t>
        </is>
      </c>
      <c r="P1630" s="33" t="inlineStr"/>
      <c r="Q1630" s="43" t="inlineStr">
        <is>
          <t>Label PCBA topside with Deviation number where space allows; do not obscure ICT test points.</t>
        </is>
      </c>
      <c r="R1630" s="43" t="inlineStr">
        <is>
          <t>2025-12-23</t>
        </is>
      </c>
      <c r="S1630" s="43" t="inlineStr">
        <is>
          <t>2026-01-27</t>
        </is>
      </c>
      <c r="T1630" s="43" t="inlineStr"/>
      <c r="U1630" s="43" t="inlineStr"/>
    </row>
    <row r="1631">
      <c r="A1631" s="43" t="n">
        <v>1631</v>
      </c>
      <c r="B1631" s="43" t="inlineStr">
        <is>
          <t>1630</t>
        </is>
      </c>
      <c r="C1631" s="43" t="inlineStr">
        <is>
          <t>FJZP</t>
        </is>
      </c>
      <c r="D1631" s="43" t="inlineStr">
        <is>
          <t>Cisco</t>
        </is>
      </c>
      <c r="E1631" s="43" t="inlineStr">
        <is>
          <t>MCGA</t>
        </is>
      </c>
      <c r="F1631" s="43" t="inlineStr">
        <is>
          <t>037-STBU</t>
        </is>
      </c>
      <c r="G1631" s="43" t="inlineStr">
        <is>
          <t>CTANJZ04914</t>
        </is>
      </c>
      <c r="H1631" s="43" t="inlineStr">
        <is>
          <t>Rework Existing Finished Goods and Work in process</t>
        </is>
      </c>
      <c r="I1631" s="43" t="inlineStr">
        <is>
          <t>Customer Deviation</t>
        </is>
      </c>
      <c r="J1631" s="43" t="inlineStr">
        <is>
          <t>D606941</t>
        </is>
      </c>
      <c r="K1631" s="33" t="inlineStr">
        <is>
          <t>D606941 The Mezz Cards (for both single and dual) require the following BoM updates for Pilot-1 and Pilot-2:1. Replace R8_CFA with 12-2517-01 (86.6 k£[; 0603)2. Mount C728_CFA with 11-3838-01 (10 £gF; 0603)After implementing both changes; please retest the units. Run ICT and confirm the correct values through ICT coverage.</t>
        </is>
      </c>
      <c r="L1631" s="43" t="inlineStr">
        <is>
          <t>Expired</t>
        </is>
      </c>
      <c r="M1631" s="43" t="inlineStr">
        <is>
          <t>73-103559-04</t>
        </is>
      </c>
      <c r="N1631" s="43" t="inlineStr"/>
      <c r="O1631" s="43" t="inlineStr">
        <is>
          <t>2026-01-12</t>
        </is>
      </c>
      <c r="P1631" s="33" t="inlineStr">
        <is>
          <t>Rework Existing Finished Goods and Work in process</t>
        </is>
      </c>
      <c r="Q1631" s="43" t="inlineStr">
        <is>
          <t>Put Deviation number label on all units at visible location.</t>
        </is>
      </c>
      <c r="R1631" s="43" t="inlineStr">
        <is>
          <t>2025-10-15</t>
        </is>
      </c>
      <c r="S1631" s="43" t="inlineStr">
        <is>
          <t>2025-10-31</t>
        </is>
      </c>
      <c r="T1631" s="43" t="inlineStr"/>
      <c r="U1631" s="43" t="inlineStr"/>
    </row>
    <row r="1632">
      <c r="A1632" s="43" t="n">
        <v>1632</v>
      </c>
      <c r="B1632" s="43" t="inlineStr">
        <is>
          <t>1631</t>
        </is>
      </c>
      <c r="C1632" s="43" t="inlineStr">
        <is>
          <t>FJZP</t>
        </is>
      </c>
      <c r="D1632" s="43" t="inlineStr">
        <is>
          <t>Cisco</t>
        </is>
      </c>
      <c r="E1632" s="43" t="inlineStr">
        <is>
          <t>MCGA</t>
        </is>
      </c>
      <c r="F1632" s="43" t="inlineStr">
        <is>
          <t>037-STBU</t>
        </is>
      </c>
      <c r="G1632" s="43" t="inlineStr">
        <is>
          <t>CTANJZ04914</t>
        </is>
      </c>
      <c r="H1632" s="43" t="inlineStr">
        <is>
          <t>Rework Existing Finished Goods and Work in process</t>
        </is>
      </c>
      <c r="I1632" s="43" t="inlineStr">
        <is>
          <t>Customer Deviation</t>
        </is>
      </c>
      <c r="J1632" s="43" t="inlineStr">
        <is>
          <t>D606941</t>
        </is>
      </c>
      <c r="K1632" s="33" t="inlineStr">
        <is>
          <t>D606941 The Mezz Cards (for both single and dual) require the following BoM updates for Pilot-1 and Pilot-2:1. Replace R8_CFA with 12-2517-01 (86.6 k£[; 0603)2. Mount C728_CFA with 11-3838-01 (10 £gF; 0603)After implementing both changes; please retest the units. Run ICT and confirm the correct values through ICT coverage.</t>
        </is>
      </c>
      <c r="L1632" s="43" t="inlineStr">
        <is>
          <t>Expired</t>
        </is>
      </c>
      <c r="M1632" s="43" t="inlineStr">
        <is>
          <t>73-103648-04</t>
        </is>
      </c>
      <c r="N1632" s="43" t="inlineStr"/>
      <c r="O1632" s="43" t="inlineStr">
        <is>
          <t>2026-01-12</t>
        </is>
      </c>
      <c r="P1632" s="33" t="inlineStr">
        <is>
          <t>Rework Existing Finished Goods and Work in process</t>
        </is>
      </c>
      <c r="Q1632" s="43" t="inlineStr">
        <is>
          <t>Put Deviation number label on all units at visible location.</t>
        </is>
      </c>
      <c r="R1632" s="43" t="inlineStr">
        <is>
          <t>2025-10-15</t>
        </is>
      </c>
      <c r="S1632" s="43" t="inlineStr">
        <is>
          <t>2025-10-31</t>
        </is>
      </c>
      <c r="T1632" s="43" t="inlineStr"/>
      <c r="U1632" s="43" t="inlineStr"/>
    </row>
    <row r="1633">
      <c r="A1633" s="43" t="n">
        <v>1633</v>
      </c>
      <c r="B1633" s="43" t="inlineStr">
        <is>
          <t>1632</t>
        </is>
      </c>
      <c r="C1633" s="43" t="inlineStr">
        <is>
          <t>FJZP</t>
        </is>
      </c>
      <c r="D1633" s="43" t="inlineStr">
        <is>
          <t>Cisco</t>
        </is>
      </c>
      <c r="E1633" s="43" t="inlineStr">
        <is>
          <t>MCGA</t>
        </is>
      </c>
      <c r="F1633" s="43" t="inlineStr">
        <is>
          <t>035-CVEBU</t>
        </is>
      </c>
      <c r="G1633" s="43" t="inlineStr">
        <is>
          <t>CTANJZ05068</t>
        </is>
      </c>
      <c r="H1633" s="43" t="inlineStr">
        <is>
          <t>Rework Existing Finished Goods and Work in process</t>
        </is>
      </c>
      <c r="I1633" s="43" t="inlineStr">
        <is>
          <t>Customer Deviation</t>
        </is>
      </c>
      <c r="J1633" s="43" t="inlineStr">
        <is>
          <t>D609010</t>
        </is>
      </c>
      <c r="K1633" s="33" t="inlineStr">
        <is>
          <t>D609010 CVEBU;Taylor High Hynix for Bayfront800-11600x-01 E/M_ASSY_MECH;TAYLOR HIGH 16GB;W/BAYFRONT MB...In BOMs:800-118978-03  rev -A0 and -B0 E/M_ASSY_MECH;TAYLOR HIGH MODULE;HYNIX 16GB LPDDR5  73-103820-04 rev -A0 and -B0  PCA;TAYLOR HIGH MODULE WITH HYNIX 16GB LPDDR5  To act on an errata from NVIDIA; resistor R59 needs to be removed.This change has been implemented by EA623434 Dec 8th 2025 up-revisioning from -B0 to -C0For 10 pcs Taylor High Hynix rev -B0  Modules in stock at FJZ; resistor with refdes R59 shall be removed.12-100143-01 RES; TKF; 10 Kohm; 1/20W; 1%; 0201Removal of this resistor corrects the logical level for the HDMI CEC signal from 2.0 to 3.3 V</t>
        </is>
      </c>
      <c r="L1633" s="43" t="inlineStr">
        <is>
          <t>Expired</t>
        </is>
      </c>
      <c r="M1633" s="43" t="inlineStr">
        <is>
          <t>12-100143-01</t>
        </is>
      </c>
      <c r="N1633" s="43" t="inlineStr"/>
      <c r="O1633" s="43" t="inlineStr">
        <is>
          <t>2026-04-15</t>
        </is>
      </c>
      <c r="P1633" s="33" t="inlineStr">
        <is>
          <t>Rework Existing Finished Goods and Work in process</t>
        </is>
      </c>
      <c r="Q1633" s="43" t="inlineStr">
        <is>
          <t>Add a label saying D6090xx close to the 800- level serial number</t>
        </is>
      </c>
      <c r="R1633" s="43" t="inlineStr">
        <is>
          <t>2026-01-16</t>
        </is>
      </c>
      <c r="S1633" s="43" t="inlineStr">
        <is>
          <t>2026-01-27</t>
        </is>
      </c>
      <c r="T1633" s="43" t="inlineStr"/>
      <c r="U1633" s="43" t="inlineStr"/>
    </row>
    <row r="1634">
      <c r="A1634" s="43" t="n">
        <v>1634</v>
      </c>
      <c r="B1634" s="43" t="inlineStr">
        <is>
          <t>1633</t>
        </is>
      </c>
      <c r="C1634" s="43" t="inlineStr">
        <is>
          <t>FJZP</t>
        </is>
      </c>
      <c r="D1634" s="43" t="inlineStr">
        <is>
          <t>Cisco</t>
        </is>
      </c>
      <c r="E1634" s="43" t="inlineStr">
        <is>
          <t>MCGA</t>
        </is>
      </c>
      <c r="F1634" s="43" t="inlineStr">
        <is>
          <t>035-CVEBU</t>
        </is>
      </c>
      <c r="G1634" s="43" t="inlineStr">
        <is>
          <t>CTANJZ05068</t>
        </is>
      </c>
      <c r="H1634" s="43" t="inlineStr">
        <is>
          <t>Rework Existing Finished Goods and Work in process</t>
        </is>
      </c>
      <c r="I1634" s="43" t="inlineStr">
        <is>
          <t>Customer Deviation</t>
        </is>
      </c>
      <c r="J1634" s="43" t="inlineStr">
        <is>
          <t>D609010</t>
        </is>
      </c>
      <c r="K1634" s="33" t="inlineStr">
        <is>
          <t>D609010 CVEBU;Taylor High Hynix for Bayfront800-11600x-01 E/M_ASSY_MECH;TAYLOR HIGH 16GB;W/BAYFRONT MB...In BOMs:800-118978-03  rev -A0 and -B0 E/M_ASSY_MECH;TAYLOR HIGH MODULE;HYNIX 16GB LPDDR5  73-103820-04 rev -A0 and -B0  PCA;TAYLOR HIGH MODULE WITH HYNIX 16GB LPDDR5  To act on an errata from NVIDIA; resistor R59 needs to be removed.This change has been implemented by EA623434 Dec 8th 2025 up-revisioning from -B0 to -C0For 10 pcs Taylor High Hynix rev -B0  Modules in stock at FJZ; resistor with refdes R59 shall be removed.12-100143-01 RES; TKF; 10 Kohm; 1/20W; 1%; 0201Removal of this resistor corrects the logical level for the HDMI CEC signal from 2.0 to 3.3 V</t>
        </is>
      </c>
      <c r="L1634" s="43" t="inlineStr">
        <is>
          <t>Expired</t>
        </is>
      </c>
      <c r="M1634" s="43" t="inlineStr">
        <is>
          <t>73-103820-04</t>
        </is>
      </c>
      <c r="N1634" s="43" t="inlineStr"/>
      <c r="O1634" s="43" t="inlineStr">
        <is>
          <t>2026-04-15</t>
        </is>
      </c>
      <c r="P1634" s="33" t="inlineStr">
        <is>
          <t>Rework Existing Finished Goods and Work in process</t>
        </is>
      </c>
      <c r="Q1634" s="43" t="inlineStr">
        <is>
          <t>Add a label saying D6090xx close to the 800- level serial number</t>
        </is>
      </c>
      <c r="R1634" s="43" t="inlineStr">
        <is>
          <t>2026-01-16</t>
        </is>
      </c>
      <c r="S1634" s="43" t="inlineStr">
        <is>
          <t>2026-01-27</t>
        </is>
      </c>
      <c r="T1634" s="43" t="inlineStr"/>
      <c r="U1634" s="43" t="inlineStr"/>
    </row>
    <row r="1635">
      <c r="A1635" s="43" t="n">
        <v>1635</v>
      </c>
      <c r="B1635" s="43" t="inlineStr">
        <is>
          <t>1634</t>
        </is>
      </c>
      <c r="C1635" s="43" t="inlineStr">
        <is>
          <t>FJZP</t>
        </is>
      </c>
      <c r="D1635" s="43" t="inlineStr">
        <is>
          <t>Cisco</t>
        </is>
      </c>
      <c r="E1635" s="43" t="inlineStr">
        <is>
          <t>MCGA</t>
        </is>
      </c>
      <c r="F1635" s="43" t="inlineStr">
        <is>
          <t>018-SRGBU</t>
        </is>
      </c>
      <c r="G1635" s="43" t="inlineStr">
        <is>
          <t>CTANJZ05088</t>
        </is>
      </c>
      <c r="H1635" s="43" t="inlineStr">
        <is>
          <t>Rework Existing Finished Goods and Work in process</t>
        </is>
      </c>
      <c r="I1635" s="43" t="inlineStr">
        <is>
          <t>Customer Deviation</t>
        </is>
      </c>
      <c r="J1635" s="43" t="inlineStr">
        <is>
          <t>D609228</t>
        </is>
      </c>
      <c r="K1635" s="33" t="inlineStr">
        <is>
          <t>D609228TBABU : Effective today; sites are to remove above listed CPNs from the BOM of its respective where used assemblies and stop procurement.? 55-1170-01? 47-21510-01? 47-21512-01? 47-21513-01? 83-1294-01? 78-3621-01This is the Extension deviation of :D569743</t>
        </is>
      </c>
      <c r="L1635" s="43" t="inlineStr">
        <is>
          <t>Expired</t>
        </is>
      </c>
      <c r="M1635" s="43" t="inlineStr">
        <is>
          <t>47-21510-01</t>
        </is>
      </c>
      <c r="N1635" s="43" t="inlineStr"/>
      <c r="O1635" s="43" t="inlineStr">
        <is>
          <t>2026-04-29</t>
        </is>
      </c>
      <c r="P1635" s="33" t="inlineStr">
        <is>
          <t>Rework Existing Finished Goods and Work in process</t>
        </is>
      </c>
      <c r="Q1635" s="43" t="inlineStr">
        <is>
          <t>Please; Place the deviation label in visible area.</t>
        </is>
      </c>
      <c r="R1635" s="43" t="inlineStr">
        <is>
          <t>2026-01-29</t>
        </is>
      </c>
      <c r="S1635" s="43" t="inlineStr">
        <is>
          <t>2026-02-20</t>
        </is>
      </c>
      <c r="T1635" s="43" t="inlineStr"/>
      <c r="U1635" s="43" t="inlineStr"/>
    </row>
    <row r="1636">
      <c r="A1636" s="43" t="n">
        <v>1636</v>
      </c>
      <c r="B1636" s="43" t="inlineStr">
        <is>
          <t>1635</t>
        </is>
      </c>
      <c r="C1636" s="43" t="inlineStr">
        <is>
          <t>FJZP</t>
        </is>
      </c>
      <c r="D1636" s="43" t="inlineStr">
        <is>
          <t>Cisco</t>
        </is>
      </c>
      <c r="E1636" s="43" t="inlineStr">
        <is>
          <t>MCGA</t>
        </is>
      </c>
      <c r="F1636" s="43" t="inlineStr">
        <is>
          <t>018-SRGBU</t>
        </is>
      </c>
      <c r="G1636" s="43" t="inlineStr">
        <is>
          <t>CTANJZ05088</t>
        </is>
      </c>
      <c r="H1636" s="43" t="inlineStr">
        <is>
          <t>Rework Existing Finished Goods and Work in process</t>
        </is>
      </c>
      <c r="I1636" s="43" t="inlineStr">
        <is>
          <t>Customer Deviation</t>
        </is>
      </c>
      <c r="J1636" s="43" t="inlineStr">
        <is>
          <t>D609228</t>
        </is>
      </c>
      <c r="K1636" s="33" t="inlineStr">
        <is>
          <t>D609228TBABU : Effective today; sites are to remove above listed CPNs from the BOM of its respective where used assemblies and stop procurement.? 55-1170-01? 47-21510-01? 47-21512-01? 47-21513-01? 83-1294-01? 78-3621-01This is the Extension deviation of :D569743</t>
        </is>
      </c>
      <c r="L1636" s="43" t="inlineStr">
        <is>
          <t>Expired</t>
        </is>
      </c>
      <c r="M1636" s="43" t="inlineStr">
        <is>
          <t>47-21512-01</t>
        </is>
      </c>
      <c r="N1636" s="43" t="inlineStr"/>
      <c r="O1636" s="43" t="inlineStr">
        <is>
          <t>2026-04-29</t>
        </is>
      </c>
      <c r="P1636" s="33" t="inlineStr">
        <is>
          <t>Rework Existing Finished Goods and Work in process</t>
        </is>
      </c>
      <c r="Q1636" s="43" t="inlineStr">
        <is>
          <t>Please; Place the deviation label in visible area.</t>
        </is>
      </c>
      <c r="R1636" s="43" t="inlineStr">
        <is>
          <t>2026-01-29</t>
        </is>
      </c>
      <c r="S1636" s="43" t="inlineStr">
        <is>
          <t>2026-02-20</t>
        </is>
      </c>
      <c r="T1636" s="43" t="inlineStr"/>
      <c r="U1636" s="43" t="inlineStr"/>
    </row>
    <row r="1637">
      <c r="A1637" s="43" t="n">
        <v>1637</v>
      </c>
      <c r="B1637" s="43" t="inlineStr">
        <is>
          <t>1636</t>
        </is>
      </c>
      <c r="C1637" s="43" t="inlineStr">
        <is>
          <t>FJZP</t>
        </is>
      </c>
      <c r="D1637" s="43" t="inlineStr">
        <is>
          <t>Cisco</t>
        </is>
      </c>
      <c r="E1637" s="43" t="inlineStr">
        <is>
          <t>MCGA</t>
        </is>
      </c>
      <c r="F1637" s="43" t="inlineStr">
        <is>
          <t>018-SRGBU</t>
        </is>
      </c>
      <c r="G1637" s="43" t="inlineStr">
        <is>
          <t>CTANJZ05088</t>
        </is>
      </c>
      <c r="H1637" s="43" t="inlineStr">
        <is>
          <t>Rework Existing Finished Goods and Work in process</t>
        </is>
      </c>
      <c r="I1637" s="43" t="inlineStr">
        <is>
          <t>Customer Deviation</t>
        </is>
      </c>
      <c r="J1637" s="43" t="inlineStr">
        <is>
          <t>D609228</t>
        </is>
      </c>
      <c r="K1637" s="33" t="inlineStr">
        <is>
          <t>D609228TBABU : Effective today; sites are to remove above listed CPNs from the BOM of its respective where used assemblies and stop procurement.? 55-1170-01? 47-21510-01? 47-21512-01? 47-21513-01? 83-1294-01? 78-3621-01This is the Extension deviation of :D569743</t>
        </is>
      </c>
      <c r="L1637" s="43" t="inlineStr">
        <is>
          <t>Expired</t>
        </is>
      </c>
      <c r="M1637" s="43" t="inlineStr">
        <is>
          <t>47-21513-01</t>
        </is>
      </c>
      <c r="N1637" s="43" t="inlineStr"/>
      <c r="O1637" s="43" t="inlineStr">
        <is>
          <t>2026-04-29</t>
        </is>
      </c>
      <c r="P1637" s="33" t="inlineStr">
        <is>
          <t>Rework Existing Finished Goods and Work in process</t>
        </is>
      </c>
      <c r="Q1637" s="43" t="inlineStr">
        <is>
          <t>Please; Place the deviation label in visible area.</t>
        </is>
      </c>
      <c r="R1637" s="43" t="inlineStr">
        <is>
          <t>2026-01-29</t>
        </is>
      </c>
      <c r="S1637" s="43" t="inlineStr">
        <is>
          <t>2026-02-20</t>
        </is>
      </c>
      <c r="T1637" s="43" t="inlineStr"/>
      <c r="U1637" s="43" t="inlineStr"/>
    </row>
    <row r="1638">
      <c r="A1638" s="43" t="n">
        <v>1638</v>
      </c>
      <c r="B1638" s="43" t="inlineStr">
        <is>
          <t>1637</t>
        </is>
      </c>
      <c r="C1638" s="43" t="inlineStr">
        <is>
          <t>FJZP</t>
        </is>
      </c>
      <c r="D1638" s="43" t="inlineStr">
        <is>
          <t>Cisco</t>
        </is>
      </c>
      <c r="E1638" s="43" t="inlineStr">
        <is>
          <t>MCGA</t>
        </is>
      </c>
      <c r="F1638" s="43" t="inlineStr">
        <is>
          <t>018-SRGBU</t>
        </is>
      </c>
      <c r="G1638" s="43" t="inlineStr">
        <is>
          <t>CTANJZ05088</t>
        </is>
      </c>
      <c r="H1638" s="43" t="inlineStr">
        <is>
          <t>Rework Existing Finished Goods and Work in process</t>
        </is>
      </c>
      <c r="I1638" s="43" t="inlineStr">
        <is>
          <t>Customer Deviation</t>
        </is>
      </c>
      <c r="J1638" s="43" t="inlineStr">
        <is>
          <t>D609228</t>
        </is>
      </c>
      <c r="K1638" s="33" t="inlineStr">
        <is>
          <t>D609228TBABU : Effective today; sites are to remove above listed CPNs from the BOM of its respective where used assemblies and stop procurement.? 55-1170-01? 47-21510-01? 47-21512-01? 47-21513-01? 83-1294-01? 78-3621-01This is the Extension deviation of :D569743</t>
        </is>
      </c>
      <c r="L1638" s="43" t="inlineStr">
        <is>
          <t>Expired</t>
        </is>
      </c>
      <c r="M1638" s="43" t="inlineStr">
        <is>
          <t>55-1170-01</t>
        </is>
      </c>
      <c r="N1638" s="43" t="inlineStr"/>
      <c r="O1638" s="43" t="inlineStr">
        <is>
          <t>2026-04-29</t>
        </is>
      </c>
      <c r="P1638" s="33" t="inlineStr">
        <is>
          <t>Rework Existing Finished Goods and Work in process</t>
        </is>
      </c>
      <c r="Q1638" s="43" t="inlineStr">
        <is>
          <t>Please; Place the deviation label in visible area.</t>
        </is>
      </c>
      <c r="R1638" s="43" t="inlineStr">
        <is>
          <t>2026-01-29</t>
        </is>
      </c>
      <c r="S1638" s="43" t="inlineStr">
        <is>
          <t>2026-02-20</t>
        </is>
      </c>
      <c r="T1638" s="43" t="inlineStr"/>
      <c r="U1638" s="43" t="inlineStr"/>
    </row>
    <row r="1639">
      <c r="A1639" s="43" t="n">
        <v>1639</v>
      </c>
      <c r="B1639" s="43" t="inlineStr">
        <is>
          <t>1638</t>
        </is>
      </c>
      <c r="C1639" s="43" t="inlineStr">
        <is>
          <t>FJZP</t>
        </is>
      </c>
      <c r="D1639" s="43" t="inlineStr">
        <is>
          <t>Cisco</t>
        </is>
      </c>
      <c r="E1639" s="43" t="inlineStr">
        <is>
          <t>MCGA</t>
        </is>
      </c>
      <c r="F1639" s="43" t="inlineStr">
        <is>
          <t>018-SRGBU</t>
        </is>
      </c>
      <c r="G1639" s="43" t="inlineStr">
        <is>
          <t>CTANJZ05088</t>
        </is>
      </c>
      <c r="H1639" s="43" t="inlineStr">
        <is>
          <t>Rework Existing Finished Goods and Work in process</t>
        </is>
      </c>
      <c r="I1639" s="43" t="inlineStr">
        <is>
          <t>Customer Deviation</t>
        </is>
      </c>
      <c r="J1639" s="43" t="inlineStr">
        <is>
          <t>D609228</t>
        </is>
      </c>
      <c r="K1639" s="33" t="inlineStr">
        <is>
          <t>D609228TBABU : Effective today; sites are to remove above listed CPNs from the BOM of its respective where used assemblies and stop procurement.? 55-1170-01? 47-21510-01? 47-21512-01? 47-21513-01? 83-1294-01? 78-3621-01This is the Extension deviation of :D569743</t>
        </is>
      </c>
      <c r="L1639" s="43" t="inlineStr">
        <is>
          <t>Expired</t>
        </is>
      </c>
      <c r="M1639" s="43" t="inlineStr">
        <is>
          <t>78-3621-01</t>
        </is>
      </c>
      <c r="N1639" s="43" t="inlineStr"/>
      <c r="O1639" s="43" t="inlineStr">
        <is>
          <t>2026-04-29</t>
        </is>
      </c>
      <c r="P1639" s="33" t="inlineStr">
        <is>
          <t>Rework Existing Finished Goods and Work in process</t>
        </is>
      </c>
      <c r="Q1639" s="43" t="inlineStr">
        <is>
          <t>Please; Place the deviation label in visible area.</t>
        </is>
      </c>
      <c r="R1639" s="43" t="inlineStr">
        <is>
          <t>2026-01-29</t>
        </is>
      </c>
      <c r="S1639" s="43" t="inlineStr">
        <is>
          <t>2026-02-20</t>
        </is>
      </c>
      <c r="T1639" s="43" t="inlineStr"/>
      <c r="U1639" s="43" t="inlineStr"/>
    </row>
    <row r="1640">
      <c r="A1640" s="43" t="n">
        <v>1640</v>
      </c>
      <c r="B1640" s="43" t="inlineStr">
        <is>
          <t>1639</t>
        </is>
      </c>
      <c r="C1640" s="43" t="inlineStr">
        <is>
          <t>FJZP</t>
        </is>
      </c>
      <c r="D1640" s="43" t="inlineStr">
        <is>
          <t>Cisco</t>
        </is>
      </c>
      <c r="E1640" s="43" t="inlineStr">
        <is>
          <t>MCGA</t>
        </is>
      </c>
      <c r="F1640" s="43" t="inlineStr">
        <is>
          <t>035-CVEBU</t>
        </is>
      </c>
      <c r="G1640" s="43" t="inlineStr">
        <is>
          <t>CTANJZ05061</t>
        </is>
      </c>
      <c r="H1640" s="43" t="inlineStr">
        <is>
          <t>Rework Existing Finished Goods and Work in process</t>
        </is>
      </c>
      <c r="I1640" s="43" t="inlineStr">
        <is>
          <t>Customer Deviation</t>
        </is>
      </c>
      <c r="J1640" s="43" t="inlineStr">
        <is>
          <t>D608308</t>
        </is>
      </c>
      <c r="K1640" s="33" t="inlineStr">
        <is>
          <t>D608308 CVEBU;Taylor and Tyne800-117978-03 -A0 E/M_ASSY_MECH;TAYLOR HIGH MODULE;MICRON 16GB LPDDR5  73-103720-04 -A0  PCA;TAYLOR HIGH MODULE WITH MICRON 16GB LPDDR5    To act on an errata from NVIDIA; five 73- BOM instances need to be removed.This change has been implemented by EA623434 Dec 8th 2025 up-revisioning from -B0 to -C0For the 170 pcs stock at FJZ of Taylor High rev -A0  Modules; FJZ shall remove just the resistor:Remove refdes R5912-100143-01 RES; TKF; 10 Kohm; 1/20W; 1%; 0201</t>
        </is>
      </c>
      <c r="L1640" s="43" t="inlineStr">
        <is>
          <t>Expired</t>
        </is>
      </c>
      <c r="M1640" s="43" t="inlineStr">
        <is>
          <t>12-100143-01</t>
        </is>
      </c>
      <c r="N1640" s="43" t="inlineStr"/>
      <c r="O1640" s="43" t="inlineStr">
        <is>
          <t>2026-04-09</t>
        </is>
      </c>
      <c r="P1640" s="33" t="inlineStr">
        <is>
          <t>Rework Existing Finished Goods and Work in process</t>
        </is>
      </c>
      <c r="Q1640" s="43" t="inlineStr">
        <is>
          <t>Add a label saying Dxxxxxx close to the 800- assembly serial number label.</t>
        </is>
      </c>
      <c r="R1640" s="43" t="inlineStr">
        <is>
          <t>2026-01-12</t>
        </is>
      </c>
      <c r="S1640" s="43" t="inlineStr">
        <is>
          <t>2026-01-17</t>
        </is>
      </c>
      <c r="T1640" s="43" t="inlineStr"/>
      <c r="U1640" s="43" t="inlineStr"/>
    </row>
    <row r="1641">
      <c r="A1641" s="43" t="n">
        <v>1641</v>
      </c>
      <c r="B1641" s="43" t="inlineStr">
        <is>
          <t>1640</t>
        </is>
      </c>
      <c r="C1641" s="43" t="inlineStr">
        <is>
          <t>FJZP</t>
        </is>
      </c>
      <c r="D1641" s="43" t="inlineStr">
        <is>
          <t>Cisco</t>
        </is>
      </c>
      <c r="E1641" s="43" t="inlineStr">
        <is>
          <t>MCGA</t>
        </is>
      </c>
      <c r="F1641" s="43" t="inlineStr">
        <is>
          <t>035-CVEBU</t>
        </is>
      </c>
      <c r="G1641" s="43" t="inlineStr">
        <is>
          <t>CTANJZ05061</t>
        </is>
      </c>
      <c r="H1641" s="43" t="inlineStr">
        <is>
          <t>Rework Existing Finished Goods and Work in process</t>
        </is>
      </c>
      <c r="I1641" s="43" t="inlineStr">
        <is>
          <t>Customer Deviation</t>
        </is>
      </c>
      <c r="J1641" s="43" t="inlineStr">
        <is>
          <t>D608308</t>
        </is>
      </c>
      <c r="K1641" s="33" t="inlineStr">
        <is>
          <t>D608308 CVEBU;Taylor and Tyne800-117978-03 -A0 E/M_ASSY_MECH;TAYLOR HIGH MODULE;MICRON 16GB LPDDR5  73-103720-04 -A0  PCA;TAYLOR HIGH MODULE WITH MICRON 16GB LPDDR5    To act on an errata from NVIDIA; five 73- BOM instances need to be removed.This change has been implemented by EA623434 Dec 8th 2025 up-revisioning from -B0 to -C0For the 170 pcs stock at FJZ of Taylor High rev -A0  Modules; FJZ shall remove just the resistor:Remove refdes R5912-100143-01 RES; TKF; 10 Kohm; 1/20W; 1%; 0201</t>
        </is>
      </c>
      <c r="L1641" s="43" t="inlineStr">
        <is>
          <t>Expired</t>
        </is>
      </c>
      <c r="M1641" s="43" t="inlineStr">
        <is>
          <t>73-103720-04</t>
        </is>
      </c>
      <c r="N1641" s="43" t="inlineStr"/>
      <c r="O1641" s="43" t="inlineStr">
        <is>
          <t>2026-04-09</t>
        </is>
      </c>
      <c r="P1641" s="33" t="inlineStr">
        <is>
          <t>Rework Existing Finished Goods and Work in process</t>
        </is>
      </c>
      <c r="Q1641" s="43" t="inlineStr">
        <is>
          <t>Add a label saying Dxxxxxx close to the 800- assembly serial number label.</t>
        </is>
      </c>
      <c r="R1641" s="43" t="inlineStr">
        <is>
          <t>2026-01-12</t>
        </is>
      </c>
      <c r="S1641" s="43" t="inlineStr">
        <is>
          <t>2026-01-17</t>
        </is>
      </c>
      <c r="T1641" s="43" t="inlineStr"/>
      <c r="U1641" s="43" t="inlineStr"/>
    </row>
    <row r="1642">
      <c r="A1642" s="43" t="n">
        <v>1642</v>
      </c>
      <c r="B1642" s="43" t="inlineStr">
        <is>
          <t>1641</t>
        </is>
      </c>
      <c r="C1642" s="43" t="inlineStr">
        <is>
          <t>FJZP</t>
        </is>
      </c>
      <c r="D1642" s="43" t="inlineStr">
        <is>
          <t>Cisco</t>
        </is>
      </c>
      <c r="E1642" s="43" t="inlineStr">
        <is>
          <t>MCGA</t>
        </is>
      </c>
      <c r="F1642" s="43" t="inlineStr">
        <is>
          <t>037-STBU</t>
        </is>
      </c>
      <c r="G1642" s="43" t="inlineStr">
        <is>
          <t>CTANJZ05483</t>
        </is>
      </c>
      <c r="H1642" s="43" t="inlineStr">
        <is>
          <t>Rework Existing Finished Goods and Work in process</t>
        </is>
      </c>
      <c r="I1642" s="43" t="inlineStr">
        <is>
          <t>Customer Deviation</t>
        </is>
      </c>
      <c r="J1642" s="43" t="inlineStr">
        <is>
          <t>D613884</t>
        </is>
      </c>
      <c r="K1642"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42" s="43" t="inlineStr">
        <is>
          <t>Implementation</t>
        </is>
      </c>
      <c r="M1642" s="43" t="inlineStr">
        <is>
          <t>73-17497-04</t>
        </is>
      </c>
      <c r="N1642" s="43" t="inlineStr"/>
      <c r="O1642" s="43" t="inlineStr">
        <is>
          <t>2026-12-14</t>
        </is>
      </c>
      <c r="P1642" s="33" t="inlineStr">
        <is>
          <t>Rework Existing Finished Goods and Work in process</t>
        </is>
      </c>
      <c r="Q1642" s="43" t="inlineStr">
        <is>
          <t>Mark the units with the deviation on the chassis next to UUT serial</t>
        </is>
      </c>
      <c r="R1642" s="43" t="inlineStr">
        <is>
          <t>2026-09-16</t>
        </is>
      </c>
      <c r="S1642" s="43" t="inlineStr">
        <is>
          <t>2026-10-10</t>
        </is>
      </c>
      <c r="T1642" s="43" t="inlineStr"/>
      <c r="U1642" s="43" t="inlineStr"/>
    </row>
    <row r="1643">
      <c r="A1643" s="43" t="n">
        <v>1643</v>
      </c>
      <c r="B1643" s="43" t="inlineStr">
        <is>
          <t>1642</t>
        </is>
      </c>
      <c r="C1643" s="43" t="inlineStr">
        <is>
          <t>FJZP</t>
        </is>
      </c>
      <c r="D1643" s="43" t="inlineStr">
        <is>
          <t>Cisco</t>
        </is>
      </c>
      <c r="E1643" s="43" t="inlineStr">
        <is>
          <t>MCGA</t>
        </is>
      </c>
      <c r="F1643" s="43" t="inlineStr">
        <is>
          <t>037-STBU</t>
        </is>
      </c>
      <c r="G1643" s="43" t="inlineStr">
        <is>
          <t>CTANJZ05483</t>
        </is>
      </c>
      <c r="H1643" s="43" t="inlineStr">
        <is>
          <t>Rework Existing Finished Goods and Work in process</t>
        </is>
      </c>
      <c r="I1643" s="43" t="inlineStr">
        <is>
          <t>Customer Deviation</t>
        </is>
      </c>
      <c r="J1643" s="43" t="inlineStr">
        <is>
          <t>D613884</t>
        </is>
      </c>
      <c r="K1643"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43" s="43" t="inlineStr">
        <is>
          <t>Implementation</t>
        </is>
      </c>
      <c r="M1643" s="43" t="inlineStr">
        <is>
          <t>73-17498-04</t>
        </is>
      </c>
      <c r="N1643" s="43" t="inlineStr"/>
      <c r="O1643" s="43" t="inlineStr">
        <is>
          <t>2026-12-14</t>
        </is>
      </c>
      <c r="P1643" s="33" t="inlineStr">
        <is>
          <t>Rework Existing Finished Goods and Work in process</t>
        </is>
      </c>
      <c r="Q1643" s="43" t="inlineStr">
        <is>
          <t>Mark the units with the deviation on the chassis next to UUT serial</t>
        </is>
      </c>
      <c r="R1643" s="43" t="inlineStr">
        <is>
          <t>2026-09-16</t>
        </is>
      </c>
      <c r="S1643" s="43" t="inlineStr">
        <is>
          <t>2026-10-10</t>
        </is>
      </c>
      <c r="T1643" s="43" t="inlineStr"/>
      <c r="U1643" s="43" t="inlineStr"/>
    </row>
    <row r="1644">
      <c r="A1644" s="43" t="n">
        <v>1644</v>
      </c>
      <c r="B1644" s="43" t="inlineStr">
        <is>
          <t>1643</t>
        </is>
      </c>
      <c r="C1644" s="43" t="inlineStr">
        <is>
          <t>FJZP</t>
        </is>
      </c>
      <c r="D1644" s="43" t="inlineStr">
        <is>
          <t>Cisco</t>
        </is>
      </c>
      <c r="E1644" s="43" t="inlineStr">
        <is>
          <t>MCGA</t>
        </is>
      </c>
      <c r="F1644" s="43" t="inlineStr">
        <is>
          <t>037-STBU</t>
        </is>
      </c>
      <c r="G1644" s="43" t="inlineStr">
        <is>
          <t>CTANJZ05483</t>
        </is>
      </c>
      <c r="H1644" s="43" t="inlineStr">
        <is>
          <t>Rework Existing Finished Goods and Work in process</t>
        </is>
      </c>
      <c r="I1644" s="43" t="inlineStr">
        <is>
          <t>Customer Deviation</t>
        </is>
      </c>
      <c r="J1644" s="43" t="inlineStr">
        <is>
          <t>D613884</t>
        </is>
      </c>
      <c r="K1644"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44" s="43" t="inlineStr">
        <is>
          <t>Implementation</t>
        </is>
      </c>
      <c r="M1644" s="43" t="inlineStr">
        <is>
          <t>73-17499-07</t>
        </is>
      </c>
      <c r="N1644" s="43" t="inlineStr"/>
      <c r="O1644" s="43" t="inlineStr">
        <is>
          <t>2026-12-14</t>
        </is>
      </c>
      <c r="P1644" s="33" t="inlineStr">
        <is>
          <t>Rework Existing Finished Goods and Work in process</t>
        </is>
      </c>
      <c r="Q1644" s="43" t="inlineStr">
        <is>
          <t>Mark the units with the deviation on the chassis next to UUT serial</t>
        </is>
      </c>
      <c r="R1644" s="43" t="inlineStr">
        <is>
          <t>2026-09-16</t>
        </is>
      </c>
      <c r="S1644" s="43" t="inlineStr">
        <is>
          <t>2026-10-10</t>
        </is>
      </c>
      <c r="T1644" s="43" t="inlineStr"/>
      <c r="U1644" s="43" t="inlineStr"/>
    </row>
    <row r="1645">
      <c r="A1645" s="43" t="n">
        <v>1645</v>
      </c>
      <c r="B1645" s="43" t="inlineStr">
        <is>
          <t>1644</t>
        </is>
      </c>
      <c r="C1645" s="43" t="inlineStr">
        <is>
          <t>FJZP</t>
        </is>
      </c>
      <c r="D1645" s="43" t="inlineStr">
        <is>
          <t>Cisco</t>
        </is>
      </c>
      <c r="E1645" s="43" t="inlineStr">
        <is>
          <t>MCGA</t>
        </is>
      </c>
      <c r="F1645" s="43" t="inlineStr">
        <is>
          <t>037-STBU</t>
        </is>
      </c>
      <c r="G1645" s="43" t="inlineStr">
        <is>
          <t>CTANJZ05483</t>
        </is>
      </c>
      <c r="H1645" s="43" t="inlineStr">
        <is>
          <t>Rework Existing Finished Goods and Work in process</t>
        </is>
      </c>
      <c r="I1645" s="43" t="inlineStr">
        <is>
          <t>Customer Deviation</t>
        </is>
      </c>
      <c r="J1645" s="43" t="inlineStr">
        <is>
          <t>D613884</t>
        </is>
      </c>
      <c r="K1645"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45" s="43" t="inlineStr">
        <is>
          <t>Implementation</t>
        </is>
      </c>
      <c r="M1645" s="43" t="inlineStr">
        <is>
          <t>73-17510-02</t>
        </is>
      </c>
      <c r="N1645" s="43" t="inlineStr"/>
      <c r="O1645" s="43" t="inlineStr">
        <is>
          <t>2026-12-14</t>
        </is>
      </c>
      <c r="P1645" s="33" t="inlineStr">
        <is>
          <t>Rework Existing Finished Goods and Work in process</t>
        </is>
      </c>
      <c r="Q1645" s="43" t="inlineStr">
        <is>
          <t>Mark the units with the deviation on the chassis next to UUT serial</t>
        </is>
      </c>
      <c r="R1645" s="43" t="inlineStr">
        <is>
          <t>2026-09-16</t>
        </is>
      </c>
      <c r="S1645" s="43" t="inlineStr">
        <is>
          <t>2026-10-10</t>
        </is>
      </c>
      <c r="T1645" s="43" t="inlineStr"/>
      <c r="U1645" s="43" t="inlineStr"/>
    </row>
    <row r="1646">
      <c r="A1646" s="43" t="n">
        <v>1646</v>
      </c>
      <c r="B1646" s="43" t="inlineStr">
        <is>
          <t>1645</t>
        </is>
      </c>
      <c r="C1646" s="43" t="inlineStr">
        <is>
          <t>FJZP</t>
        </is>
      </c>
      <c r="D1646" s="43" t="inlineStr">
        <is>
          <t>Cisco</t>
        </is>
      </c>
      <c r="E1646" s="43" t="inlineStr">
        <is>
          <t>MCGA</t>
        </is>
      </c>
      <c r="F1646" s="43" t="inlineStr">
        <is>
          <t>035-CVEBU</t>
        </is>
      </c>
      <c r="G1646" s="43" t="inlineStr">
        <is>
          <t>CTANJZ04761</t>
        </is>
      </c>
      <c r="H1646" s="43" t="inlineStr">
        <is>
          <t>Rework Existing Finished Goods and Work in process</t>
        </is>
      </c>
      <c r="I1646" s="43" t="inlineStr">
        <is>
          <t>Customer Deviation</t>
        </is>
      </c>
      <c r="J1646" s="43" t="inlineStr">
        <is>
          <t>DP525183</t>
        </is>
      </c>
      <c r="K1646" s="33" t="inlineStr">
        <is>
          <t>DP525183NPI; CVEBU; Tyne; Rework Tyne Audio Board with Detector Switches at FJZAffected item68-104855-01; ASY-ELMECH; Tyne Codec; Customized Model; Radio  73-103758-03; PCBA; Tyne Codec; Audio Board22-100431-01; SWT; Horizontal Detector switch...Deviation:- FJZ to rework all Audio Boards assembled into DV1 units (10 pieces) with 6x detector switches with CPN 22-100431-01. This applies to S1-S6.- Detector switches with CPN 22-100431-01 will be shipped from FOL August 4th; hence FJZ needs to plan to rework immediately upon arrival to minimize DV1 assembly delay.- It is ok that detector switches are slided into place manually on the PCBA and soldered through one extra reflow cycle.- This deviation superseedes DP525122Cisco Contact: Christian Kjoelseth</t>
        </is>
      </c>
      <c r="L1646" s="43" t="inlineStr">
        <is>
          <t>Expired</t>
        </is>
      </c>
      <c r="M1646" s="43" t="inlineStr">
        <is>
          <t>73-103758-02</t>
        </is>
      </c>
      <c r="N1646" s="43" t="inlineStr"/>
      <c r="O1646" s="43" t="inlineStr">
        <is>
          <t>2025-09-30</t>
        </is>
      </c>
      <c r="P1646" s="33" t="inlineStr"/>
      <c r="Q1646" s="43" t="inlineStr">
        <is>
          <t>No marking needed</t>
        </is>
      </c>
      <c r="R1646" s="43" t="inlineStr">
        <is>
          <t>2025-08-02</t>
        </is>
      </c>
      <c r="S1646" s="43" t="inlineStr">
        <is>
          <t>2025-08-14</t>
        </is>
      </c>
      <c r="T1646" s="43" t="inlineStr"/>
      <c r="U1646" s="43" t="inlineStr"/>
    </row>
    <row r="1647">
      <c r="A1647" s="43" t="n">
        <v>1647</v>
      </c>
      <c r="B1647" s="43" t="inlineStr">
        <is>
          <t>1646</t>
        </is>
      </c>
      <c r="C1647" s="43" t="inlineStr">
        <is>
          <t>FJZP</t>
        </is>
      </c>
      <c r="D1647" s="43" t="inlineStr">
        <is>
          <t>Cisco</t>
        </is>
      </c>
      <c r="E1647" s="43" t="inlineStr">
        <is>
          <t>MCGA</t>
        </is>
      </c>
      <c r="F1647" s="43" t="inlineStr">
        <is>
          <t>035-CVEBU</t>
        </is>
      </c>
      <c r="G1647" s="43" t="inlineStr">
        <is>
          <t>CTANJZ05063</t>
        </is>
      </c>
      <c r="H1647" s="43" t="inlineStr">
        <is>
          <t>Rework Existing Finished Goods and Work in process</t>
        </is>
      </c>
      <c r="I1647" s="43" t="inlineStr">
        <is>
          <t>Customer Deviation</t>
        </is>
      </c>
      <c r="J1647" s="43" t="inlineStr">
        <is>
          <t>DP525718</t>
        </is>
      </c>
      <c r="K1647" s="33" t="inlineStr">
        <is>
          <t>DP525718 NPI; CVEBU; Tyne; Rework of PP1 and PP2 build at FJZAffected item68-104853-0168-104854-01DeviationFJZ to perform following rework on PP1 and PP2 units not yet assembled.1. Remove R59 on Taylor PCBA 73-103720-04 according to D608308 on both PP1 and PP2 units2. On PP1 only; Replace TR10/24-101509-01/RT1GSCMCS-RU with same part from new lot code D5900150005 on Tyne PCBAs 73-103698-04/05 and 73-103940-04/053. Scrap OH stock of TR10/24-101509-01/RT1GSCMCS-RU with LD5500110001 and confirm that no other lot codes currently exists at FJZ.4. No re-test in ICT or PCBDG is needed after reworkNote; the 13 units of 68-104854-01 already assembled are not impacted by this rework deviation; but these must be marked with "R59 not removed / 10Gb not reworked"Cisco Contact: Christian Kjoelseth</t>
        </is>
      </c>
      <c r="L1647" s="43" t="inlineStr">
        <is>
          <t>Expired</t>
        </is>
      </c>
      <c r="M1647" s="43" t="inlineStr">
        <is>
          <t>68-104854-01</t>
        </is>
      </c>
      <c r="N1647" s="43" t="inlineStr"/>
      <c r="O1647" s="43" t="inlineStr">
        <is>
          <t>2026-03-13</t>
        </is>
      </c>
      <c r="P1647" s="33" t="inlineStr">
        <is>
          <t>Rework Existing Finished Goods and Work in process</t>
        </is>
      </c>
      <c r="Q1647" s="43" t="inlineStr">
        <is>
          <t>Only those 13 units not reworked needs to be marked as described in deviation text</t>
        </is>
      </c>
      <c r="R1647" s="43" t="inlineStr">
        <is>
          <t>2026-01-13</t>
        </is>
      </c>
      <c r="S1647" s="43" t="inlineStr">
        <is>
          <t>2026-01-23</t>
        </is>
      </c>
      <c r="T1647" s="43" t="inlineStr"/>
      <c r="U1647" s="43" t="inlineStr"/>
    </row>
    <row r="1648">
      <c r="A1648" s="43" t="n">
        <v>1648</v>
      </c>
      <c r="B1648" s="43" t="inlineStr">
        <is>
          <t>1647</t>
        </is>
      </c>
      <c r="C1648" s="43" t="inlineStr">
        <is>
          <t>FJZP</t>
        </is>
      </c>
      <c r="D1648" s="43" t="inlineStr">
        <is>
          <t>Cisco</t>
        </is>
      </c>
      <c r="E1648" s="43" t="inlineStr">
        <is>
          <t>MCGA</t>
        </is>
      </c>
      <c r="F1648" s="43" t="inlineStr">
        <is>
          <t>037-STBU</t>
        </is>
      </c>
      <c r="G1648" s="43" t="inlineStr">
        <is>
          <t>CTANJZ05222</t>
        </is>
      </c>
      <c r="H1648" s="43" t="inlineStr">
        <is>
          <t>Rework Existing Finished Goods and Work in process</t>
        </is>
      </c>
      <c r="I1648" s="43" t="inlineStr">
        <is>
          <t>Customer Deviation</t>
        </is>
      </c>
      <c r="J1648" s="43" t="inlineStr">
        <is>
          <t>D610909</t>
        </is>
      </c>
      <c r="K1648" s="33" t="inlineStr">
        <is>
          <t>D610909 NGFWBU: FPR3K -Tufnell Park 311 Pc 800-109483-01 (GND0456A70 -AVC):For all AVC(GND0456A70) FPR3K-FAN at DFFJZ is permitted to build assemblies using the 311 RMA AVC fans that have been reworked by the supplier; provided the following tracking controls are implemented:1.) Visible Physical Identification-A deviation label must be clearly and visibly placed on each reworked fan prior to installation.-Label placement must be consistent and auditable at the unit level.2.) The deviation must be explicitly programmed into the board IDPROM for any assembly utilizing one of the reworked RMA fans in order to ensure downstream traceability; failure analysis; and historical correlation of field returns or quality events.3.) Fans must pass SYSFT at DF and display no failures from ETE testing before shipping.***  Cisco Support Team ***PLPM:   Pin MakEPE:    Aiseosa OmorogievaME:       Lluvia Esmeralda Ruvalcaba TorresTE: Pete Martinez RangelTDE: Adrian Liu / Nirupama Padmanabhan</t>
        </is>
      </c>
      <c r="L1648" s="43" t="inlineStr">
        <is>
          <t>Expired</t>
        </is>
      </c>
      <c r="M1648" s="43" t="inlineStr">
        <is>
          <t>800-109483-01</t>
        </is>
      </c>
      <c r="N1648" s="43" t="inlineStr"/>
      <c r="O1648" s="43" t="inlineStr">
        <is>
          <t>2026-07-21</t>
        </is>
      </c>
      <c r="P1648" s="33" t="inlineStr">
        <is>
          <t>Rework Existing Finished Goods and Work in process</t>
        </is>
      </c>
      <c r="Q1648" s="43" t="inlineStr">
        <is>
          <t>Please Deviation Label Visibly and Program into IDPROM</t>
        </is>
      </c>
      <c r="R1648" s="43" t="inlineStr">
        <is>
          <t>2026-04-24</t>
        </is>
      </c>
      <c r="S1648" s="43" t="inlineStr">
        <is>
          <t>2026-05-23</t>
        </is>
      </c>
      <c r="T1648" s="43" t="inlineStr"/>
      <c r="U1648" s="43" t="inlineStr"/>
    </row>
    <row r="1649">
      <c r="A1649" s="43" t="n">
        <v>1649</v>
      </c>
      <c r="B1649" s="43" t="inlineStr">
        <is>
          <t>1648</t>
        </is>
      </c>
      <c r="C1649" s="43" t="inlineStr">
        <is>
          <t>FJZP</t>
        </is>
      </c>
      <c r="D1649" s="43" t="inlineStr">
        <is>
          <t>Cisco</t>
        </is>
      </c>
      <c r="E1649" s="43" t="inlineStr">
        <is>
          <t>MCGA</t>
        </is>
      </c>
      <c r="F1649" s="43" t="inlineStr">
        <is>
          <t>037-STBU</t>
        </is>
      </c>
      <c r="G1649" s="43" t="inlineStr">
        <is>
          <t>CTANJZ05483</t>
        </is>
      </c>
      <c r="H1649" s="43" t="inlineStr">
        <is>
          <t>Rework Existing Finished Goods and Work in process</t>
        </is>
      </c>
      <c r="I1649" s="43" t="inlineStr">
        <is>
          <t>Customer Deviation</t>
        </is>
      </c>
      <c r="J1649" s="43" t="inlineStr">
        <is>
          <t>D613884</t>
        </is>
      </c>
      <c r="K1649"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49" s="43" t="inlineStr">
        <is>
          <t>Implementation</t>
        </is>
      </c>
      <c r="M1649" s="43" t="inlineStr">
        <is>
          <t>73-17530-02</t>
        </is>
      </c>
      <c r="N1649" s="43" t="inlineStr"/>
      <c r="O1649" s="43" t="inlineStr">
        <is>
          <t>2026-12-14</t>
        </is>
      </c>
      <c r="P1649" s="33" t="inlineStr">
        <is>
          <t>Rework Existing Finished Goods and Work in process</t>
        </is>
      </c>
      <c r="Q1649" s="43" t="inlineStr">
        <is>
          <t>Mark the units with the deviation on the chassis next to UUT serial</t>
        </is>
      </c>
      <c r="R1649" s="43" t="inlineStr">
        <is>
          <t>2026-09-16</t>
        </is>
      </c>
      <c r="S1649" s="43" t="inlineStr">
        <is>
          <t>2026-10-10</t>
        </is>
      </c>
      <c r="T1649" s="43" t="inlineStr"/>
      <c r="U1649" s="43" t="inlineStr"/>
    </row>
    <row r="1650">
      <c r="A1650" s="43" t="n">
        <v>1650</v>
      </c>
      <c r="B1650" s="43" t="inlineStr">
        <is>
          <t>1649</t>
        </is>
      </c>
      <c r="C1650" s="43" t="inlineStr">
        <is>
          <t>FJZP</t>
        </is>
      </c>
      <c r="D1650" s="43" t="inlineStr">
        <is>
          <t>Cisco</t>
        </is>
      </c>
      <c r="E1650" s="43" t="inlineStr">
        <is>
          <t>MCGA</t>
        </is>
      </c>
      <c r="F1650" s="43" t="inlineStr">
        <is>
          <t>037-STBU</t>
        </is>
      </c>
      <c r="G1650" s="43" t="inlineStr">
        <is>
          <t>CTANJZ05483</t>
        </is>
      </c>
      <c r="H1650" s="43" t="inlineStr">
        <is>
          <t>Rework Existing Finished Goods and Work in process</t>
        </is>
      </c>
      <c r="I1650" s="43" t="inlineStr">
        <is>
          <t>Customer Deviation</t>
        </is>
      </c>
      <c r="J1650" s="43" t="inlineStr">
        <is>
          <t>D613884</t>
        </is>
      </c>
      <c r="K1650"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50" s="43" t="inlineStr">
        <is>
          <t>Implementation</t>
        </is>
      </c>
      <c r="M1650" s="43" t="inlineStr">
        <is>
          <t>73-18626-04</t>
        </is>
      </c>
      <c r="N1650" s="43" t="inlineStr"/>
      <c r="O1650" s="43" t="inlineStr">
        <is>
          <t>2026-12-14</t>
        </is>
      </c>
      <c r="P1650" s="33" t="inlineStr">
        <is>
          <t>Rework Existing Finished Goods and Work in process</t>
        </is>
      </c>
      <c r="Q1650" s="43" t="inlineStr">
        <is>
          <t>Mark the units with the deviation on the chassis next to UUT serial</t>
        </is>
      </c>
      <c r="R1650" s="43" t="inlineStr">
        <is>
          <t>2026-09-16</t>
        </is>
      </c>
      <c r="S1650" s="43" t="inlineStr">
        <is>
          <t>2026-10-10</t>
        </is>
      </c>
      <c r="T1650" s="43" t="inlineStr"/>
      <c r="U1650" s="43" t="inlineStr"/>
    </row>
    <row r="1651">
      <c r="A1651" s="43" t="n">
        <v>1651</v>
      </c>
      <c r="B1651" s="43" t="inlineStr">
        <is>
          <t>1650</t>
        </is>
      </c>
      <c r="C1651" s="43" t="inlineStr">
        <is>
          <t>FJZP</t>
        </is>
      </c>
      <c r="D1651" s="43" t="inlineStr">
        <is>
          <t>Cisco</t>
        </is>
      </c>
      <c r="E1651" s="43" t="inlineStr">
        <is>
          <t>MCGA</t>
        </is>
      </c>
      <c r="F1651" s="43" t="inlineStr">
        <is>
          <t>037-STBU</t>
        </is>
      </c>
      <c r="G1651" s="43" t="inlineStr">
        <is>
          <t>CTANJZ05483</t>
        </is>
      </c>
      <c r="H1651" s="43" t="inlineStr">
        <is>
          <t>Rework Existing Finished Goods and Work in process</t>
        </is>
      </c>
      <c r="I1651" s="43" t="inlineStr">
        <is>
          <t>Customer Deviation</t>
        </is>
      </c>
      <c r="J1651" s="43" t="inlineStr">
        <is>
          <t>D613884</t>
        </is>
      </c>
      <c r="K1651"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51" s="43" t="inlineStr">
        <is>
          <t>Implementation</t>
        </is>
      </c>
      <c r="M1651" s="43" t="inlineStr">
        <is>
          <t>73-19332-01</t>
        </is>
      </c>
      <c r="N1651" s="43" t="inlineStr"/>
      <c r="O1651" s="43" t="inlineStr">
        <is>
          <t>2026-12-14</t>
        </is>
      </c>
      <c r="P1651" s="33" t="inlineStr">
        <is>
          <t>Rework Existing Finished Goods and Work in process</t>
        </is>
      </c>
      <c r="Q1651" s="43" t="inlineStr">
        <is>
          <t>Mark the units with the deviation on the chassis next to UUT serial</t>
        </is>
      </c>
      <c r="R1651" s="43" t="inlineStr">
        <is>
          <t>2026-09-16</t>
        </is>
      </c>
      <c r="S1651" s="43" t="inlineStr">
        <is>
          <t>2026-10-10</t>
        </is>
      </c>
      <c r="T1651" s="43" t="inlineStr"/>
      <c r="U1651" s="43" t="inlineStr"/>
    </row>
    <row r="1652">
      <c r="A1652" s="43" t="n">
        <v>1652</v>
      </c>
      <c r="B1652" s="43" t="inlineStr">
        <is>
          <t>1651</t>
        </is>
      </c>
      <c r="C1652" s="43" t="inlineStr">
        <is>
          <t>FJZP</t>
        </is>
      </c>
      <c r="D1652" s="43" t="inlineStr">
        <is>
          <t>Cisco</t>
        </is>
      </c>
      <c r="E1652" s="43" t="inlineStr">
        <is>
          <t>MCGA</t>
        </is>
      </c>
      <c r="F1652" s="43" t="inlineStr">
        <is>
          <t>037-STBU</t>
        </is>
      </c>
      <c r="G1652" s="43" t="inlineStr">
        <is>
          <t>CTANJZ05483</t>
        </is>
      </c>
      <c r="H1652" s="43" t="inlineStr">
        <is>
          <t>Rework Existing Finished Goods and Work in process</t>
        </is>
      </c>
      <c r="I1652" s="43" t="inlineStr">
        <is>
          <t>Customer Deviation</t>
        </is>
      </c>
      <c r="J1652" s="43" t="inlineStr">
        <is>
          <t>D613884</t>
        </is>
      </c>
      <c r="K1652"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52" s="43" t="inlineStr">
        <is>
          <t>Implementation</t>
        </is>
      </c>
      <c r="M1652" s="43" t="inlineStr">
        <is>
          <t>800-105500-03</t>
        </is>
      </c>
      <c r="N1652" s="43" t="inlineStr"/>
      <c r="O1652" s="43" t="inlineStr">
        <is>
          <t>2026-12-14</t>
        </is>
      </c>
      <c r="P1652" s="33" t="inlineStr">
        <is>
          <t>Rework Existing Finished Goods and Work in process</t>
        </is>
      </c>
      <c r="Q1652" s="43" t="inlineStr">
        <is>
          <t>Mark the units with the deviation on the chassis next to UUT serial</t>
        </is>
      </c>
      <c r="R1652" s="43" t="inlineStr">
        <is>
          <t>2026-09-16</t>
        </is>
      </c>
      <c r="S1652" s="43" t="inlineStr">
        <is>
          <t>2026-10-10</t>
        </is>
      </c>
      <c r="T1652" s="43" t="inlineStr"/>
      <c r="U1652" s="43" t="inlineStr"/>
    </row>
    <row r="1653">
      <c r="A1653" s="43" t="n">
        <v>1653</v>
      </c>
      <c r="B1653" s="43" t="inlineStr">
        <is>
          <t>1652</t>
        </is>
      </c>
      <c r="C1653" s="43" t="inlineStr">
        <is>
          <t>FJZP</t>
        </is>
      </c>
      <c r="D1653" s="43" t="inlineStr">
        <is>
          <t>Cisco</t>
        </is>
      </c>
      <c r="E1653" s="43" t="inlineStr">
        <is>
          <t>MCGA</t>
        </is>
      </c>
      <c r="F1653" s="43" t="inlineStr">
        <is>
          <t>037-STBU</t>
        </is>
      </c>
      <c r="G1653" s="43" t="inlineStr">
        <is>
          <t>CTANJZ05483</t>
        </is>
      </c>
      <c r="H1653" s="43" t="inlineStr">
        <is>
          <t>Rework Existing Finished Goods and Work in process</t>
        </is>
      </c>
      <c r="I1653" s="43" t="inlineStr">
        <is>
          <t>Customer Deviation</t>
        </is>
      </c>
      <c r="J1653" s="43" t="inlineStr">
        <is>
          <t>D613884</t>
        </is>
      </c>
      <c r="K1653"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53" s="43" t="inlineStr">
        <is>
          <t>Implementation</t>
        </is>
      </c>
      <c r="M1653" s="43" t="inlineStr">
        <is>
          <t>800-106754-02</t>
        </is>
      </c>
      <c r="N1653" s="43" t="inlineStr"/>
      <c r="O1653" s="43" t="inlineStr">
        <is>
          <t>2026-12-14</t>
        </is>
      </c>
      <c r="P1653" s="33" t="inlineStr">
        <is>
          <t>Rework Existing Finished Goods and Work in process</t>
        </is>
      </c>
      <c r="Q1653" s="43" t="inlineStr">
        <is>
          <t>Mark the units with the deviation on the chassis next to UUT serial</t>
        </is>
      </c>
      <c r="R1653" s="43" t="inlineStr">
        <is>
          <t>2026-09-16</t>
        </is>
      </c>
      <c r="S1653" s="43" t="inlineStr">
        <is>
          <t>2026-10-10</t>
        </is>
      </c>
      <c r="T1653" s="43" t="inlineStr"/>
      <c r="U1653" s="43" t="inlineStr"/>
    </row>
    <row r="1654">
      <c r="A1654" s="43" t="n">
        <v>1654</v>
      </c>
      <c r="B1654" s="43" t="inlineStr">
        <is>
          <t>1653</t>
        </is>
      </c>
      <c r="C1654" s="43" t="inlineStr">
        <is>
          <t>FJZP</t>
        </is>
      </c>
      <c r="D1654" s="43" t="inlineStr">
        <is>
          <t>Cisco</t>
        </is>
      </c>
      <c r="E1654" s="43" t="inlineStr">
        <is>
          <t>MCGA</t>
        </is>
      </c>
      <c r="F1654" s="43" t="inlineStr">
        <is>
          <t>037-STBU</t>
        </is>
      </c>
      <c r="G1654" s="43" t="inlineStr">
        <is>
          <t>CTANJZ05469</t>
        </is>
      </c>
      <c r="H1654" s="43" t="inlineStr">
        <is>
          <t>Rework Existing Finished Goods and Work in process</t>
        </is>
      </c>
      <c r="I1654" s="43" t="inlineStr">
        <is>
          <t>Customer Deviation</t>
        </is>
      </c>
      <c r="J1654" s="43" t="inlineStr">
        <is>
          <t>D613812</t>
        </is>
      </c>
      <c r="K1654" s="33" t="inlineStr">
        <is>
          <t>D613812 1. There is 1 order for PID FPR-C9300-AC there are two NM FPR-NM-4X40G &amp; FPR-NM-8X10G needed to complete the system; both of them have expired tests so SN for FPR-NM-4X40G - JAD275105EX; FPR-NM-4X40G - FJZ28111537; FPR-NM-8X10G - FJC30251F7F.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54" s="43" t="inlineStr">
        <is>
          <t>Implementation</t>
        </is>
      </c>
      <c r="M1654" s="43" t="inlineStr">
        <is>
          <t>68-100283-05</t>
        </is>
      </c>
      <c r="N1654" s="43" t="inlineStr"/>
      <c r="O1654" s="43" t="inlineStr">
        <is>
          <t>2026-12-08</t>
        </is>
      </c>
      <c r="P1654" s="33" t="inlineStr">
        <is>
          <t>Rework Existing Finished Goods and Work in process</t>
        </is>
      </c>
      <c r="Q1654" s="43" t="inlineStr">
        <is>
          <t>Need to mark the NM unit with the deviation number next to the chasis label</t>
        </is>
      </c>
      <c r="R1654" s="43" t="inlineStr">
        <is>
          <t>2026-09-10</t>
        </is>
      </c>
      <c r="S1654" s="43" t="inlineStr">
        <is>
          <t>2026-10-09</t>
        </is>
      </c>
      <c r="T1654" s="43" t="inlineStr"/>
      <c r="U1654" s="43" t="inlineStr"/>
    </row>
    <row r="1655">
      <c r="A1655" s="43" t="n">
        <v>1655</v>
      </c>
      <c r="B1655" s="43" t="inlineStr">
        <is>
          <t>1654</t>
        </is>
      </c>
      <c r="C1655" s="43" t="inlineStr">
        <is>
          <t>FJZP</t>
        </is>
      </c>
      <c r="D1655" s="43" t="inlineStr">
        <is>
          <t>Cisco</t>
        </is>
      </c>
      <c r="E1655" s="43" t="inlineStr">
        <is>
          <t>MCGA</t>
        </is>
      </c>
      <c r="F1655" s="43" t="inlineStr">
        <is>
          <t>037-STBU</t>
        </is>
      </c>
      <c r="G1655" s="43" t="inlineStr">
        <is>
          <t>CTANJZ05469</t>
        </is>
      </c>
      <c r="H1655" s="43" t="inlineStr">
        <is>
          <t>Rework Existing Finished Goods and Work in process</t>
        </is>
      </c>
      <c r="I1655" s="43" t="inlineStr">
        <is>
          <t>Customer Deviation</t>
        </is>
      </c>
      <c r="J1655" s="43" t="inlineStr">
        <is>
          <t>D613812</t>
        </is>
      </c>
      <c r="K1655" s="33" t="inlineStr">
        <is>
          <t>D613812 1. There is 1 order for PID FPR-C9300-AC there are two NM FPR-NM-4X40G &amp; FPR-NM-8X10G needed to complete the system; both of them have expired tests so SN for FPR-NM-4X40G - JAD275105EX; FPR-NM-4X40G - FJZ28111537; FPR-NM-8X10G - FJC30251F7F.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55" s="43" t="inlineStr">
        <is>
          <t>Implementation</t>
        </is>
      </c>
      <c r="M1655" s="43" t="inlineStr">
        <is>
          <t>68-100284-05</t>
        </is>
      </c>
      <c r="N1655" s="43" t="inlineStr"/>
      <c r="O1655" s="43" t="inlineStr">
        <is>
          <t>2026-12-08</t>
        </is>
      </c>
      <c r="P1655" s="33" t="inlineStr">
        <is>
          <t>Rework Existing Finished Goods and Work in process</t>
        </is>
      </c>
      <c r="Q1655" s="43" t="inlineStr">
        <is>
          <t>Need to mark the NM unit with the deviation number next to the chasis label</t>
        </is>
      </c>
      <c r="R1655" s="43" t="inlineStr">
        <is>
          <t>2026-09-10</t>
        </is>
      </c>
      <c r="S1655" s="43" t="inlineStr">
        <is>
          <t>2026-10-09</t>
        </is>
      </c>
      <c r="T1655" s="43" t="inlineStr"/>
      <c r="U1655" s="43" t="inlineStr"/>
    </row>
    <row r="1656">
      <c r="A1656" s="43" t="n">
        <v>1656</v>
      </c>
      <c r="B1656" s="43" t="inlineStr">
        <is>
          <t>1655</t>
        </is>
      </c>
      <c r="C1656" s="43" t="inlineStr">
        <is>
          <t>FJZP</t>
        </is>
      </c>
      <c r="D1656" s="43" t="inlineStr">
        <is>
          <t>Cisco</t>
        </is>
      </c>
      <c r="E1656" s="43" t="inlineStr">
        <is>
          <t>MCGA</t>
        </is>
      </c>
      <c r="F1656" s="43" t="inlineStr">
        <is>
          <t>037-STBU</t>
        </is>
      </c>
      <c r="G1656" s="43" t="inlineStr">
        <is>
          <t>CTANJZ05469</t>
        </is>
      </c>
      <c r="H1656" s="43" t="inlineStr">
        <is>
          <t>Rework Existing Finished Goods and Work in process</t>
        </is>
      </c>
      <c r="I1656" s="43" t="inlineStr">
        <is>
          <t>Customer Deviation</t>
        </is>
      </c>
      <c r="J1656" s="43" t="inlineStr">
        <is>
          <t>D613812</t>
        </is>
      </c>
      <c r="K1656" s="33" t="inlineStr">
        <is>
          <t>D613812 1. There is 1 order for PID FPR-C9300-AC there are two NM FPR-NM-4X40G &amp; FPR-NM-8X10G needed to complete the system; both of them have expired tests so SN for FPR-NM-4X40G - JAD275105EX; FPR-NM-4X40G - FJZ28111537; FPR-NM-8X10G - FJC30251F7F.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56" s="43" t="inlineStr">
        <is>
          <t>Implementation</t>
        </is>
      </c>
      <c r="M1656" s="43" t="inlineStr">
        <is>
          <t>800-101939-03</t>
        </is>
      </c>
      <c r="N1656" s="43" t="inlineStr"/>
      <c r="O1656" s="43" t="inlineStr">
        <is>
          <t>2026-12-08</t>
        </is>
      </c>
      <c r="P1656" s="33" t="inlineStr">
        <is>
          <t>Rework Existing Finished Goods and Work in process</t>
        </is>
      </c>
      <c r="Q1656" s="43" t="inlineStr">
        <is>
          <t>Need to mark the NM unit with the deviation number next to the chasis label</t>
        </is>
      </c>
      <c r="R1656" s="43" t="inlineStr">
        <is>
          <t>2026-09-10</t>
        </is>
      </c>
      <c r="S1656" s="43" t="inlineStr">
        <is>
          <t>2026-10-09</t>
        </is>
      </c>
      <c r="T1656" s="43" t="inlineStr"/>
      <c r="U1656" s="43" t="inlineStr"/>
    </row>
    <row r="1657">
      <c r="A1657" s="43" t="n">
        <v>1657</v>
      </c>
      <c r="B1657" s="43" t="inlineStr">
        <is>
          <t>1656</t>
        </is>
      </c>
      <c r="C1657" s="43" t="inlineStr">
        <is>
          <t>FJZP</t>
        </is>
      </c>
      <c r="D1657" s="43" t="inlineStr">
        <is>
          <t>Cisco</t>
        </is>
      </c>
      <c r="E1657" s="43" t="inlineStr">
        <is>
          <t>MCGA</t>
        </is>
      </c>
      <c r="F1657" s="43" t="inlineStr">
        <is>
          <t>037-STBU</t>
        </is>
      </c>
      <c r="G1657" s="43" t="inlineStr">
        <is>
          <t>CTANJZ05469</t>
        </is>
      </c>
      <c r="H1657" s="43" t="inlineStr">
        <is>
          <t>Rework Existing Finished Goods and Work in process</t>
        </is>
      </c>
      <c r="I1657" s="43" t="inlineStr">
        <is>
          <t>Customer Deviation</t>
        </is>
      </c>
      <c r="J1657" s="43" t="inlineStr">
        <is>
          <t>D613812</t>
        </is>
      </c>
      <c r="K1657" s="33" t="inlineStr">
        <is>
          <t>D613812 1. There is 1 order for PID FPR-C9300-AC there are two NM FPR-NM-4X40G &amp; FPR-NM-8X10G needed to complete the system; both of them have expired tests so SN for FPR-NM-4X40G - JAD275105EX; FPR-NM-4X40G - FJZ28111537; FPR-NM-8X10G - FJC30251F7F.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57" s="43" t="inlineStr">
        <is>
          <t>Implementation</t>
        </is>
      </c>
      <c r="M1657" s="43" t="inlineStr">
        <is>
          <t>800-101940-03</t>
        </is>
      </c>
      <c r="N1657" s="43" t="inlineStr"/>
      <c r="O1657" s="43" t="inlineStr">
        <is>
          <t>2026-12-08</t>
        </is>
      </c>
      <c r="P1657" s="33" t="inlineStr">
        <is>
          <t>Rework Existing Finished Goods and Work in process</t>
        </is>
      </c>
      <c r="Q1657" s="43" t="inlineStr">
        <is>
          <t>Need to mark the NM unit with the deviation number next to the chasis label</t>
        </is>
      </c>
      <c r="R1657" s="43" t="inlineStr">
        <is>
          <t>2026-09-10</t>
        </is>
      </c>
      <c r="S1657" s="43" t="inlineStr">
        <is>
          <t>2026-10-09</t>
        </is>
      </c>
      <c r="T1657" s="43" t="inlineStr"/>
      <c r="U1657" s="43" t="inlineStr"/>
    </row>
    <row r="1658">
      <c r="A1658" s="43" t="n">
        <v>1658</v>
      </c>
      <c r="B1658" s="43" t="inlineStr">
        <is>
          <t>1657</t>
        </is>
      </c>
      <c r="C1658" s="43" t="inlineStr">
        <is>
          <t>FJZP</t>
        </is>
      </c>
      <c r="D1658" s="43" t="inlineStr">
        <is>
          <t>Cisco</t>
        </is>
      </c>
      <c r="E1658" s="43" t="inlineStr">
        <is>
          <t>MCGA</t>
        </is>
      </c>
      <c r="F1658" s="43" t="inlineStr">
        <is>
          <t>037-STBU</t>
        </is>
      </c>
      <c r="G1658" s="43" t="inlineStr">
        <is>
          <t>CTANJZ05042</t>
        </is>
      </c>
      <c r="H1658" s="43" t="inlineStr">
        <is>
          <t>Rework Existing Finished Goods and Work in process</t>
        </is>
      </c>
      <c r="I1658" s="43" t="inlineStr">
        <is>
          <t>Customer Deviation</t>
        </is>
      </c>
      <c r="J1658" s="43" t="inlineStr">
        <is>
          <t>D608554</t>
        </is>
      </c>
      <c r="K1658" s="33" t="inlineStr">
        <is>
          <t>D608554NGFWBU:Warwick Avenue - Factory direction for ICT &amp; process updates to address Renesas PWM programmable device content issue</t>
        </is>
      </c>
      <c r="L1658" s="43" t="inlineStr">
        <is>
          <t>Expired</t>
        </is>
      </c>
      <c r="M1658" s="43" t="inlineStr">
        <is>
          <t>73-102434-05</t>
        </is>
      </c>
      <c r="N1658" s="43" t="inlineStr"/>
      <c r="O1658" s="43" t="inlineStr">
        <is>
          <t>2026-03-20</t>
        </is>
      </c>
      <c r="P1658" s="33" t="inlineStr"/>
      <c r="Q1658" s="43" t="inlineStr">
        <is>
          <t>Label PCBA topside with Deviation number where space allows; do not obscure ICT test points.</t>
        </is>
      </c>
      <c r="R1658" s="43" t="inlineStr">
        <is>
          <t>2025-12-23</t>
        </is>
      </c>
      <c r="S1658" s="43" t="inlineStr">
        <is>
          <t>2026-01-27</t>
        </is>
      </c>
      <c r="T1658" s="43" t="inlineStr"/>
      <c r="U1658" s="43" t="inlineStr"/>
    </row>
    <row r="1659">
      <c r="A1659" s="43" t="n">
        <v>1659</v>
      </c>
      <c r="B1659" s="43" t="inlineStr">
        <is>
          <t>1658</t>
        </is>
      </c>
      <c r="C1659" s="43" t="inlineStr">
        <is>
          <t>FJZP</t>
        </is>
      </c>
      <c r="D1659" s="43" t="inlineStr">
        <is>
          <t>Cisco</t>
        </is>
      </c>
      <c r="E1659" s="43" t="inlineStr">
        <is>
          <t>MCGA</t>
        </is>
      </c>
      <c r="F1659" s="43" t="inlineStr">
        <is>
          <t>037-STBU</t>
        </is>
      </c>
      <c r="G1659" s="43" t="inlineStr">
        <is>
          <t>CTANJZ05042</t>
        </is>
      </c>
      <c r="H1659" s="43" t="inlineStr">
        <is>
          <t>Rework Existing Finished Goods and Work in process</t>
        </is>
      </c>
      <c r="I1659" s="43" t="inlineStr">
        <is>
          <t>Customer Deviation</t>
        </is>
      </c>
      <c r="J1659" s="43" t="inlineStr">
        <is>
          <t>D608554</t>
        </is>
      </c>
      <c r="K1659" s="33" t="inlineStr">
        <is>
          <t>D608554NGFWBU:Warwick Avenue - Factory direction for ICT &amp; process updates to address Renesas PWM programmable device content issue</t>
        </is>
      </c>
      <c r="L1659" s="43" t="inlineStr">
        <is>
          <t>Expired</t>
        </is>
      </c>
      <c r="M1659" s="43" t="inlineStr">
        <is>
          <t>73-102435-05</t>
        </is>
      </c>
      <c r="N1659" s="43" t="inlineStr"/>
      <c r="O1659" s="43" t="inlineStr">
        <is>
          <t>2026-03-20</t>
        </is>
      </c>
      <c r="P1659" s="33" t="inlineStr"/>
      <c r="Q1659" s="43" t="inlineStr">
        <is>
          <t>Label PCBA topside with Deviation number where space allows; do not obscure ICT test points.</t>
        </is>
      </c>
      <c r="R1659" s="43" t="inlineStr">
        <is>
          <t>2025-12-23</t>
        </is>
      </c>
      <c r="S1659" s="43" t="inlineStr">
        <is>
          <t>2026-01-27</t>
        </is>
      </c>
      <c r="T1659" s="43" t="inlineStr"/>
      <c r="U1659" s="43" t="inlineStr"/>
    </row>
    <row r="1660">
      <c r="A1660" s="43" t="n">
        <v>1660</v>
      </c>
      <c r="B1660" s="43" t="inlineStr">
        <is>
          <t>1659</t>
        </is>
      </c>
      <c r="C1660" s="43" t="inlineStr">
        <is>
          <t>FJZP</t>
        </is>
      </c>
      <c r="D1660" s="43" t="inlineStr">
        <is>
          <t>Cisco</t>
        </is>
      </c>
      <c r="E1660" s="43" t="inlineStr">
        <is>
          <t>MCGA</t>
        </is>
      </c>
      <c r="F1660" s="43" t="inlineStr">
        <is>
          <t>037-STBU</t>
        </is>
      </c>
      <c r="G1660" s="43" t="inlineStr">
        <is>
          <t>CTANJZ05265</t>
        </is>
      </c>
      <c r="H1660" s="43" t="inlineStr">
        <is>
          <t>Rework Existing Finished Goods and Work in process</t>
        </is>
      </c>
      <c r="I1660" s="43" t="inlineStr">
        <is>
          <t>Customer Deviation</t>
        </is>
      </c>
      <c r="J1660" s="43" t="inlineStr">
        <is>
          <t>D611483</t>
        </is>
      </c>
      <c r="K1660" s="33" t="inlineStr">
        <is>
          <t>D611483 NGFWBU: FPR3K -Tufnell Park 311 Pcs + 5700 Pcs 800-109483-01 (GND0456A70 -AVC):For all AVC(GND0456A70) FPR3K-FAN at DFFJZ is permitted to build assemblies using the 311 +5700 AVC fans that have been reworked by the supplier; provided the following tracking controls are implemented:1.) Visible Physical Identification-For all reworked 6011pcs(311+5700) AVC to use the Original MPN: GND0456A70-A deviation label must be clearly and visibly placed on each reworked fan prior to installation.-Label placement must be consistent and auditable at the unit level.2.) Fans must pass SYSFT at DF and display no failures from ETE testing before shipping.***  Cisco Support Team ***PLPM:   Pin MakEPE:    Aiseosa OmorogievaME:       Lluvia Esmeralda Ruvalcaba TorresTE: Pete Martinez RangelTDE: Adrian Liu / Nirupama Padmanabhan</t>
        </is>
      </c>
      <c r="L1660" s="43" t="inlineStr">
        <is>
          <t>Expired</t>
        </is>
      </c>
      <c r="M1660" s="43" t="inlineStr">
        <is>
          <t>800-109483-01</t>
        </is>
      </c>
      <c r="N1660" s="43" t="inlineStr"/>
      <c r="O1660" s="43" t="inlineStr">
        <is>
          <t>2026-08-22</t>
        </is>
      </c>
      <c r="P1660" s="33" t="inlineStr">
        <is>
          <t>Rework Existing Finished Goods and Work in process</t>
        </is>
      </c>
      <c r="Q1660" s="43" t="inlineStr">
        <is>
          <t>Deviation Labels already placed on Fans</t>
        </is>
      </c>
      <c r="R1660" s="43" t="inlineStr">
        <is>
          <t>2026-05-25</t>
        </is>
      </c>
      <c r="S1660" s="43" t="inlineStr">
        <is>
          <t>2026-06-24</t>
        </is>
      </c>
      <c r="T1660" s="43" t="inlineStr"/>
      <c r="U1660" s="43" t="inlineStr"/>
    </row>
    <row r="1661">
      <c r="A1661" s="43" t="n">
        <v>1661</v>
      </c>
      <c r="B1661" s="43" t="inlineStr">
        <is>
          <t>1660</t>
        </is>
      </c>
      <c r="C1661" s="43" t="inlineStr">
        <is>
          <t>FJZP</t>
        </is>
      </c>
      <c r="D1661" s="43" t="inlineStr">
        <is>
          <t>Cisco</t>
        </is>
      </c>
      <c r="E1661" s="43" t="inlineStr">
        <is>
          <t>MCGA</t>
        </is>
      </c>
      <c r="F1661" s="43" t="inlineStr">
        <is>
          <t>037-STBU</t>
        </is>
      </c>
      <c r="G1661" s="43" t="inlineStr">
        <is>
          <t>CTANJZ05436</t>
        </is>
      </c>
      <c r="H1661" s="43" t="inlineStr">
        <is>
          <t>Rework Existing Finished Goods and Work in process</t>
        </is>
      </c>
      <c r="I1661" s="43" t="inlineStr">
        <is>
          <t>Customer Deviation</t>
        </is>
      </c>
      <c r="J1661" s="43" t="inlineStr">
        <is>
          <t>D613521</t>
        </is>
      </c>
      <c r="K1661"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61" s="43" t="inlineStr">
        <is>
          <t>FAI Status</t>
        </is>
      </c>
      <c r="M1661" s="43" t="inlineStr">
        <is>
          <t>73-17497-04</t>
        </is>
      </c>
      <c r="N1661" s="43" t="inlineStr"/>
      <c r="O1661" s="43" t="inlineStr">
        <is>
          <t>2026-11-22</t>
        </is>
      </c>
      <c r="P1661" s="33" t="inlineStr">
        <is>
          <t>Rework Existing Finished Goods and Work in process</t>
        </is>
      </c>
      <c r="Q1661" s="43" t="inlineStr">
        <is>
          <t>Please place a label with this deviation number on each label.</t>
        </is>
      </c>
      <c r="R1661" s="43" t="inlineStr">
        <is>
          <t>2026-08-25</t>
        </is>
      </c>
      <c r="S1661" s="43" t="inlineStr">
        <is>
          <t>2026-09-22</t>
        </is>
      </c>
      <c r="T1661" s="43" t="inlineStr"/>
      <c r="U1661" s="43" t="inlineStr"/>
    </row>
    <row r="1662">
      <c r="A1662" s="43" t="n">
        <v>1662</v>
      </c>
      <c r="B1662" s="43" t="inlineStr">
        <is>
          <t>1661</t>
        </is>
      </c>
      <c r="C1662" s="43" t="inlineStr">
        <is>
          <t>FJZP</t>
        </is>
      </c>
      <c r="D1662" s="43" t="inlineStr">
        <is>
          <t>Cisco</t>
        </is>
      </c>
      <c r="E1662" s="43" t="inlineStr">
        <is>
          <t>MCGA</t>
        </is>
      </c>
      <c r="F1662" s="43" t="inlineStr">
        <is>
          <t>037-STBU</t>
        </is>
      </c>
      <c r="G1662" s="43" t="inlineStr">
        <is>
          <t>CTANJZ05436</t>
        </is>
      </c>
      <c r="H1662" s="43" t="inlineStr">
        <is>
          <t>Rework Existing Finished Goods and Work in process</t>
        </is>
      </c>
      <c r="I1662" s="43" t="inlineStr">
        <is>
          <t>Customer Deviation</t>
        </is>
      </c>
      <c r="J1662" s="43" t="inlineStr">
        <is>
          <t>D613521</t>
        </is>
      </c>
      <c r="K1662"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62" s="43" t="inlineStr">
        <is>
          <t>FAI Status</t>
        </is>
      </c>
      <c r="M1662" s="43" t="inlineStr">
        <is>
          <t>73-17498-04</t>
        </is>
      </c>
      <c r="N1662" s="43" t="inlineStr"/>
      <c r="O1662" s="43" t="inlineStr">
        <is>
          <t>2026-11-22</t>
        </is>
      </c>
      <c r="P1662" s="33" t="inlineStr">
        <is>
          <t>Rework Existing Finished Goods and Work in process</t>
        </is>
      </c>
      <c r="Q1662" s="43" t="inlineStr">
        <is>
          <t>Please place a label with this deviation number on each label.</t>
        </is>
      </c>
      <c r="R1662" s="43" t="inlineStr">
        <is>
          <t>2026-08-25</t>
        </is>
      </c>
      <c r="S1662" s="43" t="inlineStr">
        <is>
          <t>2026-09-22</t>
        </is>
      </c>
      <c r="T1662" s="43" t="inlineStr"/>
      <c r="U1662" s="43" t="inlineStr"/>
    </row>
    <row r="1663">
      <c r="A1663" s="43" t="n">
        <v>1663</v>
      </c>
      <c r="B1663" s="43" t="inlineStr">
        <is>
          <t>1662</t>
        </is>
      </c>
      <c r="C1663" s="43" t="inlineStr">
        <is>
          <t>FJZP</t>
        </is>
      </c>
      <c r="D1663" s="43" t="inlineStr">
        <is>
          <t>Cisco</t>
        </is>
      </c>
      <c r="E1663" s="43" t="inlineStr">
        <is>
          <t>MCGA</t>
        </is>
      </c>
      <c r="F1663" s="43" t="inlineStr">
        <is>
          <t>037-STBU</t>
        </is>
      </c>
      <c r="G1663" s="43" t="inlineStr">
        <is>
          <t>CTANJZ05436</t>
        </is>
      </c>
      <c r="H1663" s="43" t="inlineStr">
        <is>
          <t>Rework Existing Finished Goods and Work in process</t>
        </is>
      </c>
      <c r="I1663" s="43" t="inlineStr">
        <is>
          <t>Customer Deviation</t>
        </is>
      </c>
      <c r="J1663" s="43" t="inlineStr">
        <is>
          <t>D613521</t>
        </is>
      </c>
      <c r="K1663"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63" s="43" t="inlineStr">
        <is>
          <t>FAI Status</t>
        </is>
      </c>
      <c r="M1663" s="43" t="inlineStr">
        <is>
          <t>73-17499-07</t>
        </is>
      </c>
      <c r="N1663" s="43" t="inlineStr"/>
      <c r="O1663" s="43" t="inlineStr">
        <is>
          <t>2026-11-22</t>
        </is>
      </c>
      <c r="P1663" s="33" t="inlineStr">
        <is>
          <t>Rework Existing Finished Goods and Work in process</t>
        </is>
      </c>
      <c r="Q1663" s="43" t="inlineStr">
        <is>
          <t>Please place a label with this deviation number on each label.</t>
        </is>
      </c>
      <c r="R1663" s="43" t="inlineStr">
        <is>
          <t>2026-08-25</t>
        </is>
      </c>
      <c r="S1663" s="43" t="inlineStr">
        <is>
          <t>2026-09-22</t>
        </is>
      </c>
      <c r="T1663" s="43" t="inlineStr"/>
      <c r="U1663" s="43" t="inlineStr"/>
    </row>
    <row r="1664">
      <c r="A1664" s="43" t="n">
        <v>1664</v>
      </c>
      <c r="B1664" s="43" t="inlineStr">
        <is>
          <t>1663</t>
        </is>
      </c>
      <c r="C1664" s="43" t="inlineStr">
        <is>
          <t>FJZP</t>
        </is>
      </c>
      <c r="D1664" s="43" t="inlineStr">
        <is>
          <t>Cisco</t>
        </is>
      </c>
      <c r="E1664" s="43" t="inlineStr">
        <is>
          <t>MCGA</t>
        </is>
      </c>
      <c r="F1664" s="43" t="inlineStr">
        <is>
          <t>037-STBU</t>
        </is>
      </c>
      <c r="G1664" s="43" t="inlineStr">
        <is>
          <t>CTANJZ05436</t>
        </is>
      </c>
      <c r="H1664" s="43" t="inlineStr">
        <is>
          <t>Rework Existing Finished Goods and Work in process</t>
        </is>
      </c>
      <c r="I1664" s="43" t="inlineStr">
        <is>
          <t>Customer Deviation</t>
        </is>
      </c>
      <c r="J1664" s="43" t="inlineStr">
        <is>
          <t>D613521</t>
        </is>
      </c>
      <c r="K1664"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64" s="43" t="inlineStr">
        <is>
          <t>FAI Status</t>
        </is>
      </c>
      <c r="M1664" s="43" t="inlineStr">
        <is>
          <t>73-17510-02</t>
        </is>
      </c>
      <c r="N1664" s="43" t="inlineStr"/>
      <c r="O1664" s="43" t="inlineStr">
        <is>
          <t>2026-11-22</t>
        </is>
      </c>
      <c r="P1664" s="33" t="inlineStr">
        <is>
          <t>Rework Existing Finished Goods and Work in process</t>
        </is>
      </c>
      <c r="Q1664" s="43" t="inlineStr">
        <is>
          <t>Please place a label with this deviation number on each label.</t>
        </is>
      </c>
      <c r="R1664" s="43" t="inlineStr">
        <is>
          <t>2026-08-25</t>
        </is>
      </c>
      <c r="S1664" s="43" t="inlineStr">
        <is>
          <t>2026-09-22</t>
        </is>
      </c>
      <c r="T1664" s="43" t="inlineStr"/>
      <c r="U1664" s="43" t="inlineStr"/>
    </row>
    <row r="1665">
      <c r="A1665" s="43" t="n">
        <v>1665</v>
      </c>
      <c r="B1665" s="43" t="inlineStr">
        <is>
          <t>1664</t>
        </is>
      </c>
      <c r="C1665" s="43" t="inlineStr">
        <is>
          <t>FJZP</t>
        </is>
      </c>
      <c r="D1665" s="43" t="inlineStr">
        <is>
          <t>Cisco</t>
        </is>
      </c>
      <c r="E1665" s="43" t="inlineStr">
        <is>
          <t>MCGA</t>
        </is>
      </c>
      <c r="F1665" s="43" t="inlineStr">
        <is>
          <t>037-STBU</t>
        </is>
      </c>
      <c r="G1665" s="43" t="inlineStr">
        <is>
          <t>CTANJZ05436</t>
        </is>
      </c>
      <c r="H1665" s="43" t="inlineStr">
        <is>
          <t>Rework Existing Finished Goods and Work in process</t>
        </is>
      </c>
      <c r="I1665" s="43" t="inlineStr">
        <is>
          <t>Customer Deviation</t>
        </is>
      </c>
      <c r="J1665" s="43" t="inlineStr">
        <is>
          <t>D613521</t>
        </is>
      </c>
      <c r="K1665"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65" s="43" t="inlineStr">
        <is>
          <t>FAI Status</t>
        </is>
      </c>
      <c r="M1665" s="43" t="inlineStr">
        <is>
          <t>73-18626-04</t>
        </is>
      </c>
      <c r="N1665" s="43" t="inlineStr"/>
      <c r="O1665" s="43" t="inlineStr">
        <is>
          <t>2026-11-22</t>
        </is>
      </c>
      <c r="P1665" s="33" t="inlineStr">
        <is>
          <t>Rework Existing Finished Goods and Work in process</t>
        </is>
      </c>
      <c r="Q1665" s="43" t="inlineStr">
        <is>
          <t>Please place a label with this deviation number on each label.</t>
        </is>
      </c>
      <c r="R1665" s="43" t="inlineStr">
        <is>
          <t>2026-08-25</t>
        </is>
      </c>
      <c r="S1665" s="43" t="inlineStr">
        <is>
          <t>2026-09-22</t>
        </is>
      </c>
      <c r="T1665" s="43" t="inlineStr"/>
      <c r="U1665" s="43" t="inlineStr"/>
    </row>
    <row r="1666">
      <c r="A1666" s="43" t="n">
        <v>1666</v>
      </c>
      <c r="B1666" s="43" t="inlineStr">
        <is>
          <t>1665</t>
        </is>
      </c>
      <c r="C1666" s="43" t="inlineStr">
        <is>
          <t>FJZP</t>
        </is>
      </c>
      <c r="D1666" s="43" t="inlineStr">
        <is>
          <t>Cisco</t>
        </is>
      </c>
      <c r="E1666" s="43" t="inlineStr">
        <is>
          <t>MCGA</t>
        </is>
      </c>
      <c r="F1666" s="43" t="inlineStr">
        <is>
          <t>037-STBU</t>
        </is>
      </c>
      <c r="G1666" s="43" t="inlineStr">
        <is>
          <t>CTANJZ05436</t>
        </is>
      </c>
      <c r="H1666" s="43" t="inlineStr">
        <is>
          <t>Rework Existing Finished Goods and Work in process</t>
        </is>
      </c>
      <c r="I1666" s="43" t="inlineStr">
        <is>
          <t>Customer Deviation</t>
        </is>
      </c>
      <c r="J1666" s="43" t="inlineStr">
        <is>
          <t>D613521</t>
        </is>
      </c>
      <c r="K1666"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66" s="43" t="inlineStr">
        <is>
          <t>FAI Status</t>
        </is>
      </c>
      <c r="M1666" s="43" t="inlineStr">
        <is>
          <t>73-19332-01</t>
        </is>
      </c>
      <c r="N1666" s="43" t="inlineStr"/>
      <c r="O1666" s="43" t="inlineStr">
        <is>
          <t>2026-11-22</t>
        </is>
      </c>
      <c r="P1666" s="33" t="inlineStr">
        <is>
          <t>Rework Existing Finished Goods and Work in process</t>
        </is>
      </c>
      <c r="Q1666" s="43" t="inlineStr">
        <is>
          <t>Please place a label with this deviation number on each label.</t>
        </is>
      </c>
      <c r="R1666" s="43" t="inlineStr">
        <is>
          <t>2026-08-25</t>
        </is>
      </c>
      <c r="S1666" s="43" t="inlineStr">
        <is>
          <t>2026-09-22</t>
        </is>
      </c>
      <c r="T1666" s="43" t="inlineStr"/>
      <c r="U1666" s="43" t="inlineStr"/>
    </row>
    <row r="1667">
      <c r="A1667" s="43" t="n">
        <v>1667</v>
      </c>
      <c r="B1667" s="43" t="inlineStr">
        <is>
          <t>1666</t>
        </is>
      </c>
      <c r="C1667" s="43" t="inlineStr">
        <is>
          <t>FJZP</t>
        </is>
      </c>
      <c r="D1667" s="43" t="inlineStr">
        <is>
          <t>Cisco</t>
        </is>
      </c>
      <c r="E1667" s="43" t="inlineStr">
        <is>
          <t>MCGA</t>
        </is>
      </c>
      <c r="F1667" s="43" t="inlineStr">
        <is>
          <t>037-STBU</t>
        </is>
      </c>
      <c r="G1667" s="43" t="inlineStr">
        <is>
          <t>CTANJZ05436</t>
        </is>
      </c>
      <c r="H1667" s="43" t="inlineStr">
        <is>
          <t>Rework Existing Finished Goods and Work in process</t>
        </is>
      </c>
      <c r="I1667" s="43" t="inlineStr">
        <is>
          <t>Customer Deviation</t>
        </is>
      </c>
      <c r="J1667" s="43" t="inlineStr">
        <is>
          <t>D613521</t>
        </is>
      </c>
      <c r="K1667"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67" s="43" t="inlineStr">
        <is>
          <t>FAI Status</t>
        </is>
      </c>
      <c r="M1667" s="43" t="inlineStr">
        <is>
          <t>73-19337-01</t>
        </is>
      </c>
      <c r="N1667" s="43" t="inlineStr"/>
      <c r="O1667" s="43" t="inlineStr">
        <is>
          <t>2026-11-22</t>
        </is>
      </c>
      <c r="P1667" s="33" t="inlineStr">
        <is>
          <t>Rework Existing Finished Goods and Work in process</t>
        </is>
      </c>
      <c r="Q1667" s="43" t="inlineStr">
        <is>
          <t>Please place a label with this deviation number on each label.</t>
        </is>
      </c>
      <c r="R1667" s="43" t="inlineStr">
        <is>
          <t>2026-08-25</t>
        </is>
      </c>
      <c r="S1667" s="43" t="inlineStr">
        <is>
          <t>2026-09-22</t>
        </is>
      </c>
      <c r="T1667" s="43" t="inlineStr"/>
      <c r="U1667" s="43" t="inlineStr"/>
    </row>
    <row r="1668">
      <c r="A1668" s="43" t="n">
        <v>1668</v>
      </c>
      <c r="B1668" s="43" t="inlineStr">
        <is>
          <t>1667</t>
        </is>
      </c>
      <c r="C1668" s="43" t="inlineStr">
        <is>
          <t>FJZP</t>
        </is>
      </c>
      <c r="D1668" s="43" t="inlineStr">
        <is>
          <t>Cisco</t>
        </is>
      </c>
      <c r="E1668" s="43" t="inlineStr">
        <is>
          <t>MCGA</t>
        </is>
      </c>
      <c r="F1668" s="43" t="inlineStr">
        <is>
          <t>037-STBU</t>
        </is>
      </c>
      <c r="G1668" s="43" t="inlineStr">
        <is>
          <t>CTANJZ05436</t>
        </is>
      </c>
      <c r="H1668" s="43" t="inlineStr">
        <is>
          <t>Rework Existing Finished Goods and Work in process</t>
        </is>
      </c>
      <c r="I1668" s="43" t="inlineStr">
        <is>
          <t>Customer Deviation</t>
        </is>
      </c>
      <c r="J1668" s="43" t="inlineStr">
        <is>
          <t>D613521</t>
        </is>
      </c>
      <c r="K1668"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68" s="43" t="inlineStr">
        <is>
          <t>FAI Status</t>
        </is>
      </c>
      <c r="M1668" s="43" t="inlineStr">
        <is>
          <t>73-19361-01</t>
        </is>
      </c>
      <c r="N1668" s="43" t="inlineStr"/>
      <c r="O1668" s="43" t="inlineStr">
        <is>
          <t>2026-11-22</t>
        </is>
      </c>
      <c r="P1668" s="33" t="inlineStr">
        <is>
          <t>Rework Existing Finished Goods and Work in process</t>
        </is>
      </c>
      <c r="Q1668" s="43" t="inlineStr">
        <is>
          <t>Please place a label with this deviation number on each label.</t>
        </is>
      </c>
      <c r="R1668" s="43" t="inlineStr">
        <is>
          <t>2026-08-25</t>
        </is>
      </c>
      <c r="S1668" s="43" t="inlineStr">
        <is>
          <t>2026-09-22</t>
        </is>
      </c>
      <c r="T1668" s="43" t="inlineStr"/>
      <c r="U1668" s="43" t="inlineStr"/>
    </row>
    <row r="1669">
      <c r="A1669" s="43" t="n">
        <v>1669</v>
      </c>
      <c r="B1669" s="43" t="inlineStr">
        <is>
          <t>1668</t>
        </is>
      </c>
      <c r="C1669" s="43" t="inlineStr">
        <is>
          <t>FJZP</t>
        </is>
      </c>
      <c r="D1669" s="43" t="inlineStr">
        <is>
          <t>Cisco</t>
        </is>
      </c>
      <c r="E1669" s="43" t="inlineStr">
        <is>
          <t>MCGA</t>
        </is>
      </c>
      <c r="F1669" s="43" t="inlineStr">
        <is>
          <t>037-STBU</t>
        </is>
      </c>
      <c r="G1669" s="43" t="inlineStr">
        <is>
          <t>CTANJZ05436</t>
        </is>
      </c>
      <c r="H1669" s="43" t="inlineStr">
        <is>
          <t>Rework Existing Finished Goods and Work in process</t>
        </is>
      </c>
      <c r="I1669" s="43" t="inlineStr">
        <is>
          <t>Customer Deviation</t>
        </is>
      </c>
      <c r="J1669" s="43" t="inlineStr">
        <is>
          <t>D613521</t>
        </is>
      </c>
      <c r="K1669"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69" s="43" t="inlineStr">
        <is>
          <t>FAI Status</t>
        </is>
      </c>
      <c r="M1669" s="43" t="inlineStr">
        <is>
          <t>73-20007-01</t>
        </is>
      </c>
      <c r="N1669" s="43" t="inlineStr"/>
      <c r="O1669" s="43" t="inlineStr">
        <is>
          <t>2026-11-22</t>
        </is>
      </c>
      <c r="P1669" s="33" t="inlineStr">
        <is>
          <t>Rework Existing Finished Goods and Work in process</t>
        </is>
      </c>
      <c r="Q1669" s="43" t="inlineStr">
        <is>
          <t>Please place a label with this deviation number on each label.</t>
        </is>
      </c>
      <c r="R1669" s="43" t="inlineStr">
        <is>
          <t>2026-08-25</t>
        </is>
      </c>
      <c r="S1669" s="43" t="inlineStr">
        <is>
          <t>2026-09-22</t>
        </is>
      </c>
      <c r="T1669" s="43" t="inlineStr"/>
      <c r="U1669" s="43" t="inlineStr"/>
    </row>
    <row r="1670">
      <c r="A1670" s="43" t="n">
        <v>1670</v>
      </c>
      <c r="B1670" s="43" t="inlineStr">
        <is>
          <t>1669</t>
        </is>
      </c>
      <c r="C1670" s="43" t="inlineStr">
        <is>
          <t>FJZP</t>
        </is>
      </c>
      <c r="D1670" s="43" t="inlineStr">
        <is>
          <t>Cisco</t>
        </is>
      </c>
      <c r="E1670" s="43" t="inlineStr">
        <is>
          <t>MCGA</t>
        </is>
      </c>
      <c r="F1670" s="43" t="inlineStr">
        <is>
          <t>037-STBU</t>
        </is>
      </c>
      <c r="G1670" s="43" t="inlineStr">
        <is>
          <t>CTANJZ05436</t>
        </is>
      </c>
      <c r="H1670" s="43" t="inlineStr">
        <is>
          <t>Rework Existing Finished Goods and Work in process</t>
        </is>
      </c>
      <c r="I1670" s="43" t="inlineStr">
        <is>
          <t>Customer Deviation</t>
        </is>
      </c>
      <c r="J1670" s="43" t="inlineStr">
        <is>
          <t>D613521</t>
        </is>
      </c>
      <c r="K1670"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70" s="43" t="inlineStr">
        <is>
          <t>FAI Status</t>
        </is>
      </c>
      <c r="M1670" s="43" t="inlineStr">
        <is>
          <t>800-105498-03</t>
        </is>
      </c>
      <c r="N1670" s="43" t="inlineStr"/>
      <c r="O1670" s="43" t="inlineStr">
        <is>
          <t>2026-11-22</t>
        </is>
      </c>
      <c r="P1670" s="33" t="inlineStr">
        <is>
          <t>Rework Existing Finished Goods and Work in process</t>
        </is>
      </c>
      <c r="Q1670" s="43" t="inlineStr">
        <is>
          <t>Please place a label with this deviation number on each label.</t>
        </is>
      </c>
      <c r="R1670" s="43" t="inlineStr">
        <is>
          <t>2026-08-25</t>
        </is>
      </c>
      <c r="S1670" s="43" t="inlineStr">
        <is>
          <t>2026-09-22</t>
        </is>
      </c>
      <c r="T1670" s="43" t="inlineStr"/>
      <c r="U1670" s="43" t="inlineStr"/>
    </row>
    <row r="1671">
      <c r="A1671" s="43" t="n">
        <v>1671</v>
      </c>
      <c r="B1671" s="43" t="inlineStr">
        <is>
          <t>1670</t>
        </is>
      </c>
      <c r="C1671" s="43" t="inlineStr">
        <is>
          <t>FJZP</t>
        </is>
      </c>
      <c r="D1671" s="43" t="inlineStr">
        <is>
          <t>Cisco</t>
        </is>
      </c>
      <c r="E1671" s="43" t="inlineStr">
        <is>
          <t>MCGA</t>
        </is>
      </c>
      <c r="F1671" s="43" t="inlineStr">
        <is>
          <t>018-SRGBU</t>
        </is>
      </c>
      <c r="G1671" s="43" t="inlineStr">
        <is>
          <t>CTANJZ05088</t>
        </is>
      </c>
      <c r="H1671" s="43" t="inlineStr">
        <is>
          <t>Rework Existing Finished Goods and Work in process</t>
        </is>
      </c>
      <c r="I1671" s="43" t="inlineStr">
        <is>
          <t>Customer Deviation</t>
        </is>
      </c>
      <c r="J1671" s="43" t="inlineStr">
        <is>
          <t>D609228</t>
        </is>
      </c>
      <c r="K1671" s="33" t="inlineStr">
        <is>
          <t>D609228TBABU : Effective today; sites are to remove above listed CPNs from the BOM of its respective where used assemblies and stop procurement.? 55-1170-01? 47-21510-01? 47-21512-01? 47-21513-01? 83-1294-01? 78-3621-01This is the Extension deviation of :D569743</t>
        </is>
      </c>
      <c r="L1671" s="43" t="inlineStr">
        <is>
          <t>Expired</t>
        </is>
      </c>
      <c r="M1671" s="43" t="inlineStr">
        <is>
          <t>83-1294-01</t>
        </is>
      </c>
      <c r="N1671" s="43" t="inlineStr"/>
      <c r="O1671" s="43" t="inlineStr">
        <is>
          <t>2026-04-29</t>
        </is>
      </c>
      <c r="P1671" s="33" t="inlineStr">
        <is>
          <t>Rework Existing Finished Goods and Work in process</t>
        </is>
      </c>
      <c r="Q1671" s="43" t="inlineStr">
        <is>
          <t>Please; Place the deviation label in visible area.</t>
        </is>
      </c>
      <c r="R1671" s="43" t="inlineStr">
        <is>
          <t>2026-01-29</t>
        </is>
      </c>
      <c r="S1671" s="43" t="inlineStr">
        <is>
          <t>2026-02-20</t>
        </is>
      </c>
      <c r="T1671" s="43" t="inlineStr"/>
      <c r="U1671" s="43" t="inlineStr"/>
    </row>
    <row r="1672">
      <c r="A1672" s="43" t="n">
        <v>1672</v>
      </c>
      <c r="B1672" s="43" t="inlineStr">
        <is>
          <t>1671</t>
        </is>
      </c>
      <c r="C1672" s="43" t="inlineStr">
        <is>
          <t>FJZP</t>
        </is>
      </c>
      <c r="D1672" s="43" t="inlineStr">
        <is>
          <t>Cisco</t>
        </is>
      </c>
      <c r="E1672" s="43" t="inlineStr">
        <is>
          <t>MCGA</t>
        </is>
      </c>
      <c r="F1672" s="43" t="inlineStr">
        <is>
          <t>037-STBU</t>
        </is>
      </c>
      <c r="G1672" s="43" t="inlineStr">
        <is>
          <t>CTANJZ05436</t>
        </is>
      </c>
      <c r="H1672" s="43" t="inlineStr">
        <is>
          <t>Rework Existing Finished Goods and Work in process</t>
        </is>
      </c>
      <c r="I1672" s="43" t="inlineStr">
        <is>
          <t>Customer Deviation</t>
        </is>
      </c>
      <c r="J1672" s="43" t="inlineStr">
        <is>
          <t>D613521</t>
        </is>
      </c>
      <c r="K1672"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72" s="43" t="inlineStr">
        <is>
          <t>FAI Status</t>
        </is>
      </c>
      <c r="M1672" s="43" t="inlineStr">
        <is>
          <t>800-106754-02</t>
        </is>
      </c>
      <c r="N1672" s="43" t="inlineStr"/>
      <c r="O1672" s="43" t="inlineStr">
        <is>
          <t>2026-11-22</t>
        </is>
      </c>
      <c r="P1672" s="33" t="inlineStr">
        <is>
          <t>Rework Existing Finished Goods and Work in process</t>
        </is>
      </c>
      <c r="Q1672" s="43" t="inlineStr">
        <is>
          <t>Please place a label with this deviation number on each label.</t>
        </is>
      </c>
      <c r="R1672" s="43" t="inlineStr">
        <is>
          <t>2026-08-25</t>
        </is>
      </c>
      <c r="S1672" s="43" t="inlineStr">
        <is>
          <t>2026-09-22</t>
        </is>
      </c>
      <c r="T1672" s="43" t="inlineStr"/>
      <c r="U1672" s="43" t="inlineStr"/>
    </row>
    <row r="1673">
      <c r="A1673" s="43" t="n">
        <v>1673</v>
      </c>
      <c r="B1673" s="43" t="inlineStr">
        <is>
          <t>1672</t>
        </is>
      </c>
      <c r="C1673" s="43" t="inlineStr">
        <is>
          <t>FJZP</t>
        </is>
      </c>
      <c r="D1673" s="43" t="inlineStr">
        <is>
          <t>Cisco</t>
        </is>
      </c>
      <c r="E1673" s="43" t="inlineStr">
        <is>
          <t>MCGA</t>
        </is>
      </c>
      <c r="F1673" s="43" t="inlineStr">
        <is>
          <t>037-STBU</t>
        </is>
      </c>
      <c r="G1673" s="43" t="inlineStr">
        <is>
          <t>CTANJZ05510</t>
        </is>
      </c>
      <c r="H1673" s="43" t="inlineStr">
        <is>
          <t>Rework Existing Finished Goods and Work in process</t>
        </is>
      </c>
      <c r="I1673" s="43" t="inlineStr">
        <is>
          <t>Customer Deviation</t>
        </is>
      </c>
      <c r="J1673" s="43" t="inlineStr">
        <is>
          <t>D614346</t>
        </is>
      </c>
      <c r="K1673"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73" s="43" t="inlineStr">
        <is>
          <t>CCB</t>
        </is>
      </c>
      <c r="M1673" s="43" t="inlineStr">
        <is>
          <t>68-100283-05</t>
        </is>
      </c>
      <c r="N1673" s="43" t="inlineStr"/>
      <c r="O1673" s="43" t="inlineStr">
        <is>
          <t>2026-12-29</t>
        </is>
      </c>
      <c r="P1673" s="33" t="inlineStr">
        <is>
          <t>Rework Existing Finished Goods and Work in process</t>
        </is>
      </c>
      <c r="Q1673" s="43" t="inlineStr">
        <is>
          <t>Place a label identifying the material listed on this deviation.</t>
        </is>
      </c>
      <c r="R1673" s="43" t="inlineStr">
        <is>
          <t>2026-10-02</t>
        </is>
      </c>
      <c r="S1673" s="43" t="inlineStr"/>
      <c r="T1673" s="43" t="inlineStr"/>
      <c r="U1673" s="43" t="inlineStr"/>
    </row>
    <row r="1674">
      <c r="A1674" s="43" t="n">
        <v>1674</v>
      </c>
      <c r="B1674" s="43" t="inlineStr">
        <is>
          <t>1673</t>
        </is>
      </c>
      <c r="C1674" s="43" t="inlineStr">
        <is>
          <t>FJZP</t>
        </is>
      </c>
      <c r="D1674" s="43" t="inlineStr">
        <is>
          <t>Cisco</t>
        </is>
      </c>
      <c r="E1674" s="43" t="inlineStr">
        <is>
          <t>MCGA</t>
        </is>
      </c>
      <c r="F1674" s="43" t="inlineStr">
        <is>
          <t>037-STBU</t>
        </is>
      </c>
      <c r="G1674" s="43" t="inlineStr">
        <is>
          <t>CTANJZ05510</t>
        </is>
      </c>
      <c r="H1674" s="43" t="inlineStr">
        <is>
          <t>Rework Existing Finished Goods and Work in process</t>
        </is>
      </c>
      <c r="I1674" s="43" t="inlineStr">
        <is>
          <t>Customer Deviation</t>
        </is>
      </c>
      <c r="J1674" s="43" t="inlineStr">
        <is>
          <t>D614346</t>
        </is>
      </c>
      <c r="K1674"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74" s="43" t="inlineStr">
        <is>
          <t>CCB</t>
        </is>
      </c>
      <c r="M1674" s="43" t="inlineStr">
        <is>
          <t>68-100284-05</t>
        </is>
      </c>
      <c r="N1674" s="43" t="inlineStr"/>
      <c r="O1674" s="43" t="inlineStr">
        <is>
          <t>2026-12-29</t>
        </is>
      </c>
      <c r="P1674" s="33" t="inlineStr">
        <is>
          <t>Rework Existing Finished Goods and Work in process</t>
        </is>
      </c>
      <c r="Q1674" s="43" t="inlineStr">
        <is>
          <t>Place a label identifying the material listed on this deviation.</t>
        </is>
      </c>
      <c r="R1674" s="43" t="inlineStr">
        <is>
          <t>2026-10-02</t>
        </is>
      </c>
      <c r="S1674" s="43" t="inlineStr"/>
      <c r="T1674" s="43" t="inlineStr"/>
      <c r="U1674" s="43" t="inlineStr"/>
    </row>
    <row r="1675">
      <c r="A1675" s="43" t="n">
        <v>1675</v>
      </c>
      <c r="B1675" s="43" t="inlineStr">
        <is>
          <t>1674</t>
        </is>
      </c>
      <c r="C1675" s="43" t="inlineStr">
        <is>
          <t>FJZP</t>
        </is>
      </c>
      <c r="D1675" s="43" t="inlineStr">
        <is>
          <t>Cisco</t>
        </is>
      </c>
      <c r="E1675" s="43" t="inlineStr">
        <is>
          <t>MCGA</t>
        </is>
      </c>
      <c r="F1675" s="43" t="inlineStr">
        <is>
          <t>037-STBU</t>
        </is>
      </c>
      <c r="G1675" s="43" t="inlineStr">
        <is>
          <t>CTANJZ05510</t>
        </is>
      </c>
      <c r="H1675" s="43" t="inlineStr">
        <is>
          <t>Rework Existing Finished Goods and Work in process</t>
        </is>
      </c>
      <c r="I1675" s="43" t="inlineStr">
        <is>
          <t>Customer Deviation</t>
        </is>
      </c>
      <c r="J1675" s="43" t="inlineStr">
        <is>
          <t>D614346</t>
        </is>
      </c>
      <c r="K1675"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75" s="43" t="inlineStr">
        <is>
          <t>CCB</t>
        </is>
      </c>
      <c r="M1675" s="43" t="inlineStr">
        <is>
          <t>68-100702-01</t>
        </is>
      </c>
      <c r="N1675" s="43" t="inlineStr"/>
      <c r="O1675" s="43" t="inlineStr">
        <is>
          <t>2026-12-29</t>
        </is>
      </c>
      <c r="P1675" s="33" t="inlineStr">
        <is>
          <t>Rework Existing Finished Goods and Work in process</t>
        </is>
      </c>
      <c r="Q1675" s="43" t="inlineStr">
        <is>
          <t>Place a label identifying the material listed on this deviation.</t>
        </is>
      </c>
      <c r="R1675" s="43" t="inlineStr">
        <is>
          <t>2026-10-02</t>
        </is>
      </c>
      <c r="S1675" s="43" t="inlineStr"/>
      <c r="T1675" s="43" t="inlineStr"/>
      <c r="U1675" s="43" t="inlineStr"/>
    </row>
    <row r="1676">
      <c r="A1676" s="43" t="n">
        <v>1676</v>
      </c>
      <c r="B1676" s="43" t="inlineStr">
        <is>
          <t>1675</t>
        </is>
      </c>
      <c r="C1676" s="43" t="inlineStr">
        <is>
          <t>FJZP</t>
        </is>
      </c>
      <c r="D1676" s="43" t="inlineStr">
        <is>
          <t>Cisco</t>
        </is>
      </c>
      <c r="E1676" s="43" t="inlineStr">
        <is>
          <t>MCGA</t>
        </is>
      </c>
      <c r="F1676" s="43" t="inlineStr">
        <is>
          <t>037-STBU</t>
        </is>
      </c>
      <c r="G1676" s="43" t="inlineStr">
        <is>
          <t>CTANJZ05510</t>
        </is>
      </c>
      <c r="H1676" s="43" t="inlineStr">
        <is>
          <t>Rework Existing Finished Goods and Work in process</t>
        </is>
      </c>
      <c r="I1676" s="43" t="inlineStr">
        <is>
          <t>Customer Deviation</t>
        </is>
      </c>
      <c r="J1676" s="43" t="inlineStr">
        <is>
          <t>D614346</t>
        </is>
      </c>
      <c r="K1676"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76" s="43" t="inlineStr">
        <is>
          <t>CCB</t>
        </is>
      </c>
      <c r="M1676" s="43" t="inlineStr">
        <is>
          <t>68-101218-02</t>
        </is>
      </c>
      <c r="N1676" s="43" t="inlineStr"/>
      <c r="O1676" s="43" t="inlineStr">
        <is>
          <t>2026-12-29</t>
        </is>
      </c>
      <c r="P1676" s="33" t="inlineStr">
        <is>
          <t>Rework Existing Finished Goods and Work in process</t>
        </is>
      </c>
      <c r="Q1676" s="43" t="inlineStr">
        <is>
          <t>Place a label identifying the material listed on this deviation.</t>
        </is>
      </c>
      <c r="R1676" s="43" t="inlineStr">
        <is>
          <t>2026-10-02</t>
        </is>
      </c>
      <c r="S1676" s="43" t="inlineStr"/>
      <c r="T1676" s="43" t="inlineStr"/>
      <c r="U1676" s="43" t="inlineStr"/>
    </row>
    <row r="1677">
      <c r="A1677" s="43" t="n">
        <v>1677</v>
      </c>
      <c r="B1677" s="43" t="inlineStr">
        <is>
          <t>1676</t>
        </is>
      </c>
      <c r="C1677" s="43" t="inlineStr">
        <is>
          <t>FJZP</t>
        </is>
      </c>
      <c r="D1677" s="43" t="inlineStr">
        <is>
          <t>Cisco</t>
        </is>
      </c>
      <c r="E1677" s="43" t="inlineStr">
        <is>
          <t>MCGA</t>
        </is>
      </c>
      <c r="F1677" s="43" t="inlineStr">
        <is>
          <t>037-STBU</t>
        </is>
      </c>
      <c r="G1677" s="43" t="inlineStr">
        <is>
          <t>CTANJZ05510</t>
        </is>
      </c>
      <c r="H1677" s="43" t="inlineStr">
        <is>
          <t>Rework Existing Finished Goods and Work in process</t>
        </is>
      </c>
      <c r="I1677" s="43" t="inlineStr">
        <is>
          <t>Customer Deviation</t>
        </is>
      </c>
      <c r="J1677" s="43" t="inlineStr">
        <is>
          <t>D614346</t>
        </is>
      </c>
      <c r="K1677"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77" s="43" t="inlineStr">
        <is>
          <t>CCB</t>
        </is>
      </c>
      <c r="M1677" s="43" t="inlineStr">
        <is>
          <t>73-16828-04</t>
        </is>
      </c>
      <c r="N1677" s="43" t="inlineStr"/>
      <c r="O1677" s="43" t="inlineStr">
        <is>
          <t>2026-12-29</t>
        </is>
      </c>
      <c r="P1677" s="33" t="inlineStr">
        <is>
          <t>Rework Existing Finished Goods and Work in process</t>
        </is>
      </c>
      <c r="Q1677" s="43" t="inlineStr">
        <is>
          <t>Place a label identifying the material listed on this deviation.</t>
        </is>
      </c>
      <c r="R1677" s="43" t="inlineStr">
        <is>
          <t>2026-10-02</t>
        </is>
      </c>
      <c r="S1677" s="43" t="inlineStr"/>
      <c r="T1677" s="43" t="inlineStr"/>
      <c r="U1677" s="43" t="inlineStr"/>
    </row>
    <row r="1678">
      <c r="A1678" s="43" t="n">
        <v>1678</v>
      </c>
      <c r="B1678" s="43" t="inlineStr">
        <is>
          <t>1677</t>
        </is>
      </c>
      <c r="C1678" s="43" t="inlineStr">
        <is>
          <t>FJZP</t>
        </is>
      </c>
      <c r="D1678" s="43" t="inlineStr">
        <is>
          <t>Cisco</t>
        </is>
      </c>
      <c r="E1678" s="43" t="inlineStr">
        <is>
          <t>MCGA</t>
        </is>
      </c>
      <c r="F1678" s="43" t="inlineStr">
        <is>
          <t>037-STBU</t>
        </is>
      </c>
      <c r="G1678" s="43" t="inlineStr">
        <is>
          <t>CTANJZ05510</t>
        </is>
      </c>
      <c r="H1678" s="43" t="inlineStr">
        <is>
          <t>Rework Existing Finished Goods and Work in process</t>
        </is>
      </c>
      <c r="I1678" s="43" t="inlineStr">
        <is>
          <t>Customer Deviation</t>
        </is>
      </c>
      <c r="J1678" s="43" t="inlineStr">
        <is>
          <t>D614346</t>
        </is>
      </c>
      <c r="K1678"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78" s="43" t="inlineStr">
        <is>
          <t>CCB</t>
        </is>
      </c>
      <c r="M1678" s="43" t="inlineStr">
        <is>
          <t>73-16835-02</t>
        </is>
      </c>
      <c r="N1678" s="43" t="inlineStr"/>
      <c r="O1678" s="43" t="inlineStr">
        <is>
          <t>2026-12-29</t>
        </is>
      </c>
      <c r="P1678" s="33" t="inlineStr">
        <is>
          <t>Rework Existing Finished Goods and Work in process</t>
        </is>
      </c>
      <c r="Q1678" s="43" t="inlineStr">
        <is>
          <t>Place a label identifying the material listed on this deviation.</t>
        </is>
      </c>
      <c r="R1678" s="43" t="inlineStr">
        <is>
          <t>2026-10-02</t>
        </is>
      </c>
      <c r="S1678" s="43" t="inlineStr"/>
      <c r="T1678" s="43" t="inlineStr"/>
      <c r="U1678" s="43" t="inlineStr"/>
    </row>
    <row r="1679">
      <c r="A1679" s="43" t="n">
        <v>1679</v>
      </c>
      <c r="B1679" s="43" t="inlineStr">
        <is>
          <t>1678</t>
        </is>
      </c>
      <c r="C1679" s="43" t="inlineStr">
        <is>
          <t>FJZP</t>
        </is>
      </c>
      <c r="D1679" s="43" t="inlineStr">
        <is>
          <t>Cisco</t>
        </is>
      </c>
      <c r="E1679" s="43" t="inlineStr">
        <is>
          <t>MCGA</t>
        </is>
      </c>
      <c r="F1679" s="43" t="inlineStr">
        <is>
          <t>037-STBU</t>
        </is>
      </c>
      <c r="G1679" s="43" t="inlineStr">
        <is>
          <t>CTANJZ05510</t>
        </is>
      </c>
      <c r="H1679" s="43" t="inlineStr">
        <is>
          <t>Rework Existing Finished Goods and Work in process</t>
        </is>
      </c>
      <c r="I1679" s="43" t="inlineStr">
        <is>
          <t>Customer Deviation</t>
        </is>
      </c>
      <c r="J1679" s="43" t="inlineStr">
        <is>
          <t>D614346</t>
        </is>
      </c>
      <c r="K1679"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79" s="43" t="inlineStr">
        <is>
          <t>CCB</t>
        </is>
      </c>
      <c r="M1679" s="43" t="inlineStr">
        <is>
          <t>73-17497-04</t>
        </is>
      </c>
      <c r="N1679" s="43" t="inlineStr"/>
      <c r="O1679" s="43" t="inlineStr">
        <is>
          <t>2026-12-29</t>
        </is>
      </c>
      <c r="P1679" s="33" t="inlineStr">
        <is>
          <t>Rework Existing Finished Goods and Work in process</t>
        </is>
      </c>
      <c r="Q1679" s="43" t="inlineStr">
        <is>
          <t>Place a label identifying the material listed on this deviation.</t>
        </is>
      </c>
      <c r="R1679" s="43" t="inlineStr">
        <is>
          <t>2026-10-02</t>
        </is>
      </c>
      <c r="S1679" s="43" t="inlineStr"/>
      <c r="T1679" s="43" t="inlineStr"/>
      <c r="U1679" s="43" t="inlineStr"/>
    </row>
    <row r="1680">
      <c r="A1680" s="43" t="n">
        <v>1680</v>
      </c>
      <c r="B1680" s="43" t="inlineStr">
        <is>
          <t>1679</t>
        </is>
      </c>
      <c r="C1680" s="43" t="inlineStr">
        <is>
          <t>FJZP</t>
        </is>
      </c>
      <c r="D1680" s="43" t="inlineStr">
        <is>
          <t>Cisco</t>
        </is>
      </c>
      <c r="E1680" s="43" t="inlineStr">
        <is>
          <t>MCGA</t>
        </is>
      </c>
      <c r="F1680" s="43" t="inlineStr">
        <is>
          <t>037-STBU</t>
        </is>
      </c>
      <c r="G1680" s="43" t="inlineStr">
        <is>
          <t>CTANJZ05510</t>
        </is>
      </c>
      <c r="H1680" s="43" t="inlineStr">
        <is>
          <t>Rework Existing Finished Goods and Work in process</t>
        </is>
      </c>
      <c r="I1680" s="43" t="inlineStr">
        <is>
          <t>Customer Deviation</t>
        </is>
      </c>
      <c r="J1680" s="43" t="inlineStr">
        <is>
          <t>D614346</t>
        </is>
      </c>
      <c r="K1680"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80" s="43" t="inlineStr">
        <is>
          <t>CCB</t>
        </is>
      </c>
      <c r="M1680" s="43" t="inlineStr">
        <is>
          <t>73-17498-04</t>
        </is>
      </c>
      <c r="N1680" s="43" t="inlineStr"/>
      <c r="O1680" s="43" t="inlineStr">
        <is>
          <t>2026-12-29</t>
        </is>
      </c>
      <c r="P1680" s="33" t="inlineStr">
        <is>
          <t>Rework Existing Finished Goods and Work in process</t>
        </is>
      </c>
      <c r="Q1680" s="43" t="inlineStr">
        <is>
          <t>Place a label identifying the material listed on this deviation.</t>
        </is>
      </c>
      <c r="R1680" s="43" t="inlineStr">
        <is>
          <t>2026-10-02</t>
        </is>
      </c>
      <c r="S1680" s="43" t="inlineStr"/>
      <c r="T1680" s="43" t="inlineStr"/>
      <c r="U1680" s="43" t="inlineStr"/>
    </row>
    <row r="1681">
      <c r="A1681" s="43" t="n">
        <v>1681</v>
      </c>
      <c r="B1681" s="43" t="inlineStr">
        <is>
          <t>1680</t>
        </is>
      </c>
      <c r="C1681" s="43" t="inlineStr">
        <is>
          <t>FJZP</t>
        </is>
      </c>
      <c r="D1681" s="43" t="inlineStr">
        <is>
          <t>Cisco</t>
        </is>
      </c>
      <c r="E1681" s="43" t="inlineStr">
        <is>
          <t>MCGA</t>
        </is>
      </c>
      <c r="F1681" s="43" t="inlineStr">
        <is>
          <t>037-STBU</t>
        </is>
      </c>
      <c r="G1681" s="43" t="inlineStr">
        <is>
          <t>CTANJZ05510</t>
        </is>
      </c>
      <c r="H1681" s="43" t="inlineStr">
        <is>
          <t>Rework Existing Finished Goods and Work in process</t>
        </is>
      </c>
      <c r="I1681" s="43" t="inlineStr">
        <is>
          <t>Customer Deviation</t>
        </is>
      </c>
      <c r="J1681" s="43" t="inlineStr">
        <is>
          <t>D614346</t>
        </is>
      </c>
      <c r="K1681"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81" s="43" t="inlineStr">
        <is>
          <t>CCB</t>
        </is>
      </c>
      <c r="M1681" s="43" t="inlineStr">
        <is>
          <t>73-17499-07</t>
        </is>
      </c>
      <c r="N1681" s="43" t="inlineStr"/>
      <c r="O1681" s="43" t="inlineStr">
        <is>
          <t>2026-12-29</t>
        </is>
      </c>
      <c r="P1681" s="33" t="inlineStr">
        <is>
          <t>Rework Existing Finished Goods and Work in process</t>
        </is>
      </c>
      <c r="Q1681" s="43" t="inlineStr">
        <is>
          <t>Place a label identifying the material listed on this deviation.</t>
        </is>
      </c>
      <c r="R1681" s="43" t="inlineStr">
        <is>
          <t>2026-10-02</t>
        </is>
      </c>
      <c r="S1681" s="43" t="inlineStr"/>
      <c r="T1681" s="43" t="inlineStr"/>
      <c r="U1681" s="43" t="inlineStr"/>
    </row>
    <row r="1682">
      <c r="A1682" s="43" t="n">
        <v>1682</v>
      </c>
      <c r="B1682" s="43" t="inlineStr">
        <is>
          <t>1681</t>
        </is>
      </c>
      <c r="C1682" s="43" t="inlineStr">
        <is>
          <t>FJZP</t>
        </is>
      </c>
      <c r="D1682" s="43" t="inlineStr">
        <is>
          <t>Cisco</t>
        </is>
      </c>
      <c r="E1682" s="43" t="inlineStr">
        <is>
          <t>MCGA</t>
        </is>
      </c>
      <c r="F1682" s="43" t="inlineStr">
        <is>
          <t>037-STBU</t>
        </is>
      </c>
      <c r="G1682" s="43" t="inlineStr">
        <is>
          <t>CTANJZ05510</t>
        </is>
      </c>
      <c r="H1682" s="43" t="inlineStr">
        <is>
          <t>Rework Existing Finished Goods and Work in process</t>
        </is>
      </c>
      <c r="I1682" s="43" t="inlineStr">
        <is>
          <t>Customer Deviation</t>
        </is>
      </c>
      <c r="J1682" s="43" t="inlineStr">
        <is>
          <t>D614346</t>
        </is>
      </c>
      <c r="K1682"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82" s="43" t="inlineStr">
        <is>
          <t>CCB</t>
        </is>
      </c>
      <c r="M1682" s="43" t="inlineStr">
        <is>
          <t>73-17510-02</t>
        </is>
      </c>
      <c r="N1682" s="43" t="inlineStr"/>
      <c r="O1682" s="43" t="inlineStr">
        <is>
          <t>2026-12-29</t>
        </is>
      </c>
      <c r="P1682" s="33" t="inlineStr">
        <is>
          <t>Rework Existing Finished Goods and Work in process</t>
        </is>
      </c>
      <c r="Q1682" s="43" t="inlineStr">
        <is>
          <t>Place a label identifying the material listed on this deviation.</t>
        </is>
      </c>
      <c r="R1682" s="43" t="inlineStr">
        <is>
          <t>2026-10-02</t>
        </is>
      </c>
      <c r="S1682" s="43" t="inlineStr"/>
      <c r="T1682" s="43" t="inlineStr"/>
      <c r="U1682" s="43" t="inlineStr"/>
    </row>
    <row r="1683">
      <c r="A1683" s="43" t="n">
        <v>1683</v>
      </c>
      <c r="B1683" s="43" t="inlineStr">
        <is>
          <t>1682</t>
        </is>
      </c>
      <c r="C1683" s="43" t="inlineStr">
        <is>
          <t>FJZP</t>
        </is>
      </c>
      <c r="D1683" s="43" t="inlineStr">
        <is>
          <t>Cisco</t>
        </is>
      </c>
      <c r="E1683" s="43" t="inlineStr">
        <is>
          <t>MCGA</t>
        </is>
      </c>
      <c r="F1683" s="43" t="inlineStr">
        <is>
          <t>035-CVEBU</t>
        </is>
      </c>
      <c r="G1683" s="43" t="inlineStr">
        <is>
          <t>CTANJZ04761</t>
        </is>
      </c>
      <c r="H1683" s="43" t="inlineStr">
        <is>
          <t>Rework Existing Finished Goods and Work in process</t>
        </is>
      </c>
      <c r="I1683" s="43" t="inlineStr">
        <is>
          <t>Customer Deviation</t>
        </is>
      </c>
      <c r="J1683" s="43" t="inlineStr">
        <is>
          <t>DP525183</t>
        </is>
      </c>
      <c r="K1683" s="33" t="inlineStr">
        <is>
          <t>DP525183NPI; CVEBU; Tyne; Rework Tyne Audio Board with Detector Switches at FJZAffected item68-104855-01; ASY-ELMECH; Tyne Codec; Customized Model; Radio  73-103758-03; PCBA; Tyne Codec; Audio Board22-100431-01; SWT; Horizontal Detector switch...Deviation:- FJZ to rework all Audio Boards assembled into DV1 units (10 pieces) with 6x detector switches with CPN 22-100431-01. This applies to S1-S6.- Detector switches with CPN 22-100431-01 will be shipped from FOL August 4th; hence FJZ needs to plan to rework immediately upon arrival to minimize DV1 assembly delay.- It is ok that detector switches are slided into place manually on the PCBA and soldered through one extra reflow cycle.- This deviation superseedes DP525122Cisco Contact: Christian Kjoelseth</t>
        </is>
      </c>
      <c r="L1683" s="43" t="inlineStr">
        <is>
          <t>Expired</t>
        </is>
      </c>
      <c r="M1683" s="43" t="inlineStr">
        <is>
          <t>22-100431-01</t>
        </is>
      </c>
      <c r="N1683" s="43" t="inlineStr"/>
      <c r="O1683" s="43" t="inlineStr">
        <is>
          <t>2025-09-30</t>
        </is>
      </c>
      <c r="P1683" s="33" t="inlineStr"/>
      <c r="Q1683" s="43" t="inlineStr">
        <is>
          <t>No marking needed</t>
        </is>
      </c>
      <c r="R1683" s="43" t="inlineStr">
        <is>
          <t>2025-08-02</t>
        </is>
      </c>
      <c r="S1683" s="43" t="inlineStr">
        <is>
          <t>2025-08-14</t>
        </is>
      </c>
      <c r="T1683" s="43" t="inlineStr"/>
      <c r="U1683" s="43" t="inlineStr"/>
    </row>
    <row r="1684">
      <c r="A1684" s="43" t="n">
        <v>1684</v>
      </c>
      <c r="B1684" s="43" t="inlineStr">
        <is>
          <t>1683</t>
        </is>
      </c>
      <c r="C1684" s="43" t="inlineStr">
        <is>
          <t>FJZP</t>
        </is>
      </c>
      <c r="D1684" s="43" t="inlineStr">
        <is>
          <t>Cisco</t>
        </is>
      </c>
      <c r="E1684" s="43" t="inlineStr">
        <is>
          <t>MCGA</t>
        </is>
      </c>
      <c r="F1684" s="43" t="inlineStr">
        <is>
          <t>035-CVEBU</t>
        </is>
      </c>
      <c r="G1684" s="43" t="inlineStr">
        <is>
          <t>CTANJZ04761</t>
        </is>
      </c>
      <c r="H1684" s="43" t="inlineStr">
        <is>
          <t>Rework Existing Finished Goods and Work in process</t>
        </is>
      </c>
      <c r="I1684" s="43" t="inlineStr">
        <is>
          <t>Customer Deviation</t>
        </is>
      </c>
      <c r="J1684" s="43" t="inlineStr">
        <is>
          <t>DP525183</t>
        </is>
      </c>
      <c r="K1684" s="33" t="inlineStr">
        <is>
          <t>DP525183NPI; CVEBU; Tyne; Rework Tyne Audio Board with Detector Switches at FJZAffected item68-104855-01; ASY-ELMECH; Tyne Codec; Customized Model; Radio  73-103758-03; PCBA; Tyne Codec; Audio Board22-100431-01; SWT; Horizontal Detector switch...Deviation:- FJZ to rework all Audio Boards assembled into DV1 units (10 pieces) with 6x detector switches with CPN 22-100431-01. This applies to S1-S6.- Detector switches with CPN 22-100431-01 will be shipped from FOL August 4th; hence FJZ needs to plan to rework immediately upon arrival to minimize DV1 assembly delay.- It is ok that detector switches are slided into place manually on the PCBA and soldered through one extra reflow cycle.- This deviation superseedes DP525122Cisco Contact: Christian Kjoelseth</t>
        </is>
      </c>
      <c r="L1684" s="43" t="inlineStr">
        <is>
          <t>Expired</t>
        </is>
      </c>
      <c r="M1684" s="43" t="inlineStr">
        <is>
          <t>68-104855-01</t>
        </is>
      </c>
      <c r="N1684" s="43" t="inlineStr"/>
      <c r="O1684" s="43" t="inlineStr">
        <is>
          <t>2025-09-30</t>
        </is>
      </c>
      <c r="P1684" s="33" t="inlineStr"/>
      <c r="Q1684" s="43" t="inlineStr">
        <is>
          <t>No marking needed</t>
        </is>
      </c>
      <c r="R1684" s="43" t="inlineStr">
        <is>
          <t>2025-08-02</t>
        </is>
      </c>
      <c r="S1684" s="43" t="inlineStr">
        <is>
          <t>2025-08-14</t>
        </is>
      </c>
      <c r="T1684" s="43" t="inlineStr"/>
      <c r="U1684" s="43" t="inlineStr"/>
    </row>
    <row r="1685">
      <c r="A1685" s="43" t="n">
        <v>1685</v>
      </c>
      <c r="B1685" s="43" t="inlineStr">
        <is>
          <t>1684</t>
        </is>
      </c>
      <c r="C1685" s="43" t="inlineStr">
        <is>
          <t>FJZP</t>
        </is>
      </c>
      <c r="D1685" s="43" t="inlineStr">
        <is>
          <t>Cisco</t>
        </is>
      </c>
      <c r="E1685" s="43" t="inlineStr">
        <is>
          <t>MCGA</t>
        </is>
      </c>
      <c r="F1685" s="43" t="inlineStr">
        <is>
          <t>035-CVEBU</t>
        </is>
      </c>
      <c r="G1685" s="43" t="inlineStr">
        <is>
          <t>CTANJZ05063</t>
        </is>
      </c>
      <c r="H1685" s="43" t="inlineStr">
        <is>
          <t>Rework Existing Finished Goods and Work in process</t>
        </is>
      </c>
      <c r="I1685" s="43" t="inlineStr">
        <is>
          <t>Customer Deviation</t>
        </is>
      </c>
      <c r="J1685" s="43" t="inlineStr">
        <is>
          <t>DP525718</t>
        </is>
      </c>
      <c r="K1685" s="33" t="inlineStr">
        <is>
          <t>DP525718 NPI; CVEBU; Tyne; Rework of PP1 and PP2 build at FJZAffected item68-104853-0168-104854-01DeviationFJZ to perform following rework on PP1 and PP2 units not yet assembled.1. Remove R59 on Taylor PCBA 73-103720-04 according to D608308 on both PP1 and PP2 units2. On PP1 only; Replace TR10/24-101509-01/RT1GSCMCS-RU with same part from new lot code D5900150005 on Tyne PCBAs 73-103698-04/05 and 73-103940-04/053. Scrap OH stock of TR10/24-101509-01/RT1GSCMCS-RU with LD5500110001 and confirm that no other lot codes currently exists at FJZ.4. No re-test in ICT or PCBDG is needed after reworkNote; the 13 units of 68-104854-01 already assembled are not impacted by this rework deviation; but these must be marked with "R59 not removed / 10Gb not reworked"Cisco Contact: Christian Kjoelseth</t>
        </is>
      </c>
      <c r="L1685" s="43" t="inlineStr">
        <is>
          <t>Expired</t>
        </is>
      </c>
      <c r="M1685" s="43" t="inlineStr">
        <is>
          <t>68-104853-01</t>
        </is>
      </c>
      <c r="N1685" s="43" t="inlineStr"/>
      <c r="O1685" s="43" t="inlineStr">
        <is>
          <t>2026-03-13</t>
        </is>
      </c>
      <c r="P1685" s="33" t="inlineStr">
        <is>
          <t>Rework Existing Finished Goods and Work in process</t>
        </is>
      </c>
      <c r="Q1685" s="43" t="inlineStr">
        <is>
          <t>Only those 13 units not reworked needs to be marked as described in deviation text</t>
        </is>
      </c>
      <c r="R1685" s="43" t="inlineStr">
        <is>
          <t>2026-01-13</t>
        </is>
      </c>
      <c r="S1685" s="43" t="inlineStr">
        <is>
          <t>2026-01-23</t>
        </is>
      </c>
      <c r="T1685" s="43" t="inlineStr"/>
      <c r="U1685" s="43" t="inlineStr"/>
    </row>
    <row r="1686">
      <c r="A1686" s="43" t="n">
        <v>1686</v>
      </c>
      <c r="B1686" s="43" t="inlineStr">
        <is>
          <t>1685</t>
        </is>
      </c>
      <c r="C1686" s="43" t="inlineStr">
        <is>
          <t>FJZP</t>
        </is>
      </c>
      <c r="D1686" s="43" t="inlineStr">
        <is>
          <t>Cisco</t>
        </is>
      </c>
      <c r="E1686" s="43" t="inlineStr">
        <is>
          <t>MCGA</t>
        </is>
      </c>
      <c r="F1686" s="43" t="inlineStr">
        <is>
          <t>037-STBU</t>
        </is>
      </c>
      <c r="G1686" s="43" t="inlineStr">
        <is>
          <t>CTANJZ05510</t>
        </is>
      </c>
      <c r="H1686" s="43" t="inlineStr">
        <is>
          <t>Rework Existing Finished Goods and Work in process</t>
        </is>
      </c>
      <c r="I1686" s="43" t="inlineStr">
        <is>
          <t>Customer Deviation</t>
        </is>
      </c>
      <c r="J1686" s="43" t="inlineStr">
        <is>
          <t>D614346</t>
        </is>
      </c>
      <c r="K1686"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86" s="43" t="inlineStr">
        <is>
          <t>CCB</t>
        </is>
      </c>
      <c r="M1686" s="43" t="inlineStr">
        <is>
          <t>73-17514-02</t>
        </is>
      </c>
      <c r="N1686" s="43" t="inlineStr"/>
      <c r="O1686" s="43" t="inlineStr">
        <is>
          <t>2026-12-29</t>
        </is>
      </c>
      <c r="P1686" s="33" t="inlineStr">
        <is>
          <t>Rework Existing Finished Goods and Work in process</t>
        </is>
      </c>
      <c r="Q1686" s="43" t="inlineStr">
        <is>
          <t>Place a label identifying the material listed on this deviation.</t>
        </is>
      </c>
      <c r="R1686" s="43" t="inlineStr">
        <is>
          <t>2026-10-02</t>
        </is>
      </c>
      <c r="S1686" s="43" t="inlineStr"/>
      <c r="T1686" s="43" t="inlineStr"/>
      <c r="U1686" s="43" t="inlineStr"/>
    </row>
    <row r="1687">
      <c r="A1687" s="43" t="n">
        <v>1687</v>
      </c>
      <c r="B1687" s="43" t="inlineStr">
        <is>
          <t>1686</t>
        </is>
      </c>
      <c r="C1687" s="43" t="inlineStr">
        <is>
          <t>FJZP</t>
        </is>
      </c>
      <c r="D1687" s="43" t="inlineStr">
        <is>
          <t>Cisco</t>
        </is>
      </c>
      <c r="E1687" s="43" t="inlineStr">
        <is>
          <t>MCGA</t>
        </is>
      </c>
      <c r="F1687" s="43" t="inlineStr">
        <is>
          <t>037-STBU</t>
        </is>
      </c>
      <c r="G1687" s="43" t="inlineStr">
        <is>
          <t>CTANJZ05510</t>
        </is>
      </c>
      <c r="H1687" s="43" t="inlineStr">
        <is>
          <t>Rework Existing Finished Goods and Work in process</t>
        </is>
      </c>
      <c r="I1687" s="43" t="inlineStr">
        <is>
          <t>Customer Deviation</t>
        </is>
      </c>
      <c r="J1687" s="43" t="inlineStr">
        <is>
          <t>D614346</t>
        </is>
      </c>
      <c r="K1687"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87" s="43" t="inlineStr">
        <is>
          <t>CCB</t>
        </is>
      </c>
      <c r="M1687" s="43" t="inlineStr">
        <is>
          <t>73-17530-02</t>
        </is>
      </c>
      <c r="N1687" s="43" t="inlineStr"/>
      <c r="O1687" s="43" t="inlineStr">
        <is>
          <t>2026-12-29</t>
        </is>
      </c>
      <c r="P1687" s="33" t="inlineStr">
        <is>
          <t>Rework Existing Finished Goods and Work in process</t>
        </is>
      </c>
      <c r="Q1687" s="43" t="inlineStr">
        <is>
          <t>Place a label identifying the material listed on this deviation.</t>
        </is>
      </c>
      <c r="R1687" s="43" t="inlineStr">
        <is>
          <t>2026-10-02</t>
        </is>
      </c>
      <c r="S1687" s="43" t="inlineStr"/>
      <c r="T1687" s="43" t="inlineStr"/>
      <c r="U1687" s="43" t="inlineStr"/>
    </row>
    <row r="1688">
      <c r="A1688" s="43" t="n">
        <v>1688</v>
      </c>
      <c r="B1688" s="43" t="inlineStr">
        <is>
          <t>1687</t>
        </is>
      </c>
      <c r="C1688" s="43" t="inlineStr">
        <is>
          <t>FJZP</t>
        </is>
      </c>
      <c r="D1688" s="43" t="inlineStr">
        <is>
          <t>Cisco</t>
        </is>
      </c>
      <c r="E1688" s="43" t="inlineStr">
        <is>
          <t>MCGA</t>
        </is>
      </c>
      <c r="F1688" s="43" t="inlineStr">
        <is>
          <t>037-STBU</t>
        </is>
      </c>
      <c r="G1688" s="43" t="inlineStr">
        <is>
          <t>CTANJZ05510</t>
        </is>
      </c>
      <c r="H1688" s="43" t="inlineStr">
        <is>
          <t>Rework Existing Finished Goods and Work in process</t>
        </is>
      </c>
      <c r="I1688" s="43" t="inlineStr">
        <is>
          <t>Customer Deviation</t>
        </is>
      </c>
      <c r="J1688" s="43" t="inlineStr">
        <is>
          <t>D614346</t>
        </is>
      </c>
      <c r="K1688"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88" s="43" t="inlineStr">
        <is>
          <t>CCB</t>
        </is>
      </c>
      <c r="M1688" s="43" t="inlineStr">
        <is>
          <t>73-17923-02</t>
        </is>
      </c>
      <c r="N1688" s="43" t="inlineStr"/>
      <c r="O1688" s="43" t="inlineStr">
        <is>
          <t>2026-12-29</t>
        </is>
      </c>
      <c r="P1688" s="33" t="inlineStr">
        <is>
          <t>Rework Existing Finished Goods and Work in process</t>
        </is>
      </c>
      <c r="Q1688" s="43" t="inlineStr">
        <is>
          <t>Place a label identifying the material listed on this deviation.</t>
        </is>
      </c>
      <c r="R1688" s="43" t="inlineStr">
        <is>
          <t>2026-10-02</t>
        </is>
      </c>
      <c r="S1688" s="43" t="inlineStr"/>
      <c r="T1688" s="43" t="inlineStr"/>
      <c r="U1688" s="43" t="inlineStr"/>
    </row>
    <row r="1689">
      <c r="A1689" s="43" t="n">
        <v>1689</v>
      </c>
      <c r="B1689" s="43" t="inlineStr">
        <is>
          <t>1688</t>
        </is>
      </c>
      <c r="C1689" s="43" t="inlineStr">
        <is>
          <t>FJZP</t>
        </is>
      </c>
      <c r="D1689" s="43" t="inlineStr">
        <is>
          <t>Cisco</t>
        </is>
      </c>
      <c r="E1689" s="43" t="inlineStr">
        <is>
          <t>MCGA</t>
        </is>
      </c>
      <c r="F1689" s="43" t="inlineStr">
        <is>
          <t>037-STBU</t>
        </is>
      </c>
      <c r="G1689" s="43" t="inlineStr">
        <is>
          <t>CTANJZ05483</t>
        </is>
      </c>
      <c r="H1689" s="43" t="inlineStr">
        <is>
          <t>Rework Existing Finished Goods and Work in process</t>
        </is>
      </c>
      <c r="I1689" s="43" t="inlineStr">
        <is>
          <t>Customer Deviation</t>
        </is>
      </c>
      <c r="J1689" s="43" t="inlineStr">
        <is>
          <t>D613884</t>
        </is>
      </c>
      <c r="K1689"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89" s="43" t="inlineStr">
        <is>
          <t>Implementation</t>
        </is>
      </c>
      <c r="M1689" s="43" t="inlineStr">
        <is>
          <t>73-17514-02</t>
        </is>
      </c>
      <c r="N1689" s="43" t="inlineStr"/>
      <c r="O1689" s="43" t="inlineStr">
        <is>
          <t>2026-12-14</t>
        </is>
      </c>
      <c r="P1689" s="33" t="inlineStr">
        <is>
          <t>Rework Existing Finished Goods and Work in process</t>
        </is>
      </c>
      <c r="Q1689" s="43" t="inlineStr">
        <is>
          <t>Mark the units with the deviation on the chassis next to UUT serial</t>
        </is>
      </c>
      <c r="R1689" s="43" t="inlineStr">
        <is>
          <t>2026-09-16</t>
        </is>
      </c>
      <c r="S1689" s="43" t="inlineStr">
        <is>
          <t>2026-10-10</t>
        </is>
      </c>
      <c r="T1689" s="43" t="inlineStr"/>
      <c r="U1689" s="43" t="inlineStr"/>
    </row>
    <row r="1690">
      <c r="A1690" s="43" t="n">
        <v>1690</v>
      </c>
      <c r="B1690" s="43" t="inlineStr">
        <is>
          <t>1689</t>
        </is>
      </c>
      <c r="C1690" s="43" t="inlineStr">
        <is>
          <t>FJZP</t>
        </is>
      </c>
      <c r="D1690" s="43" t="inlineStr">
        <is>
          <t>Cisco</t>
        </is>
      </c>
      <c r="E1690" s="43" t="inlineStr">
        <is>
          <t>MCGA</t>
        </is>
      </c>
      <c r="F1690" s="43" t="inlineStr">
        <is>
          <t>037-STBU</t>
        </is>
      </c>
      <c r="G1690" s="43" t="inlineStr">
        <is>
          <t>CTANJZ05510</t>
        </is>
      </c>
      <c r="H1690" s="43" t="inlineStr">
        <is>
          <t>Rework Existing Finished Goods and Work in process</t>
        </is>
      </c>
      <c r="I1690" s="43" t="inlineStr">
        <is>
          <t>Customer Deviation</t>
        </is>
      </c>
      <c r="J1690" s="43" t="inlineStr">
        <is>
          <t>D614346</t>
        </is>
      </c>
      <c r="K1690"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90" s="43" t="inlineStr">
        <is>
          <t>CCB</t>
        </is>
      </c>
      <c r="M1690" s="43" t="inlineStr">
        <is>
          <t>73-19337-01</t>
        </is>
      </c>
      <c r="N1690" s="43" t="inlineStr"/>
      <c r="O1690" s="43" t="inlineStr">
        <is>
          <t>2026-12-29</t>
        </is>
      </c>
      <c r="P1690" s="33" t="inlineStr">
        <is>
          <t>Rework Existing Finished Goods and Work in process</t>
        </is>
      </c>
      <c r="Q1690" s="43" t="inlineStr">
        <is>
          <t>Place a label identifying the material listed on this deviation.</t>
        </is>
      </c>
      <c r="R1690" s="43" t="inlineStr">
        <is>
          <t>2026-10-02</t>
        </is>
      </c>
      <c r="S1690" s="43" t="inlineStr"/>
      <c r="T1690" s="43" t="inlineStr"/>
      <c r="U1690" s="43" t="inlineStr"/>
    </row>
    <row r="1691">
      <c r="A1691" s="43" t="n">
        <v>1691</v>
      </c>
      <c r="B1691" s="43" t="inlineStr">
        <is>
          <t>1690</t>
        </is>
      </c>
      <c r="C1691" s="43" t="inlineStr">
        <is>
          <t>FJZP</t>
        </is>
      </c>
      <c r="D1691" s="43" t="inlineStr">
        <is>
          <t>Cisco</t>
        </is>
      </c>
      <c r="E1691" s="43" t="inlineStr">
        <is>
          <t>MCGA</t>
        </is>
      </c>
      <c r="F1691" s="43" t="inlineStr">
        <is>
          <t>037-STBU</t>
        </is>
      </c>
      <c r="G1691" s="43" t="inlineStr">
        <is>
          <t>CTANJZ05510</t>
        </is>
      </c>
      <c r="H1691" s="43" t="inlineStr">
        <is>
          <t>Rework Existing Finished Goods and Work in process</t>
        </is>
      </c>
      <c r="I1691" s="43" t="inlineStr">
        <is>
          <t>Customer Deviation</t>
        </is>
      </c>
      <c r="J1691" s="43" t="inlineStr">
        <is>
          <t>D614346</t>
        </is>
      </c>
      <c r="K1691"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91" s="43" t="inlineStr">
        <is>
          <t>CCB</t>
        </is>
      </c>
      <c r="M1691" s="43" t="inlineStr">
        <is>
          <t>73-19361-01</t>
        </is>
      </c>
      <c r="N1691" s="43" t="inlineStr"/>
      <c r="O1691" s="43" t="inlineStr">
        <is>
          <t>2026-12-29</t>
        </is>
      </c>
      <c r="P1691" s="33" t="inlineStr">
        <is>
          <t>Rework Existing Finished Goods and Work in process</t>
        </is>
      </c>
      <c r="Q1691" s="43" t="inlineStr">
        <is>
          <t>Place a label identifying the material listed on this deviation.</t>
        </is>
      </c>
      <c r="R1691" s="43" t="inlineStr">
        <is>
          <t>2026-10-02</t>
        </is>
      </c>
      <c r="S1691" s="43" t="inlineStr"/>
      <c r="T1691" s="43" t="inlineStr"/>
      <c r="U1691" s="43" t="inlineStr"/>
    </row>
    <row r="1692">
      <c r="A1692" s="43" t="n">
        <v>1692</v>
      </c>
      <c r="B1692" s="43" t="inlineStr">
        <is>
          <t>1691</t>
        </is>
      </c>
      <c r="C1692" s="43" t="inlineStr">
        <is>
          <t>FJZP</t>
        </is>
      </c>
      <c r="D1692" s="43" t="inlineStr">
        <is>
          <t>Cisco</t>
        </is>
      </c>
      <c r="E1692" s="43" t="inlineStr">
        <is>
          <t>MCGA</t>
        </is>
      </c>
      <c r="F1692" s="43" t="inlineStr">
        <is>
          <t>037-STBU</t>
        </is>
      </c>
      <c r="G1692" s="43" t="inlineStr">
        <is>
          <t>CTANJZ05510</t>
        </is>
      </c>
      <c r="H1692" s="43" t="inlineStr">
        <is>
          <t>Rework Existing Finished Goods and Work in process</t>
        </is>
      </c>
      <c r="I1692" s="43" t="inlineStr">
        <is>
          <t>Customer Deviation</t>
        </is>
      </c>
      <c r="J1692" s="43" t="inlineStr">
        <is>
          <t>D614346</t>
        </is>
      </c>
      <c r="K1692"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92" s="43" t="inlineStr">
        <is>
          <t>CCB</t>
        </is>
      </c>
      <c r="M1692" s="43" t="inlineStr">
        <is>
          <t>73-20007-01</t>
        </is>
      </c>
      <c r="N1692" s="43" t="inlineStr"/>
      <c r="O1692" s="43" t="inlineStr">
        <is>
          <t>2026-12-29</t>
        </is>
      </c>
      <c r="P1692" s="33" t="inlineStr">
        <is>
          <t>Rework Existing Finished Goods and Work in process</t>
        </is>
      </c>
      <c r="Q1692" s="43" t="inlineStr">
        <is>
          <t>Place a label identifying the material listed on this deviation.</t>
        </is>
      </c>
      <c r="R1692" s="43" t="inlineStr">
        <is>
          <t>2026-10-02</t>
        </is>
      </c>
      <c r="S1692" s="43" t="inlineStr"/>
      <c r="T1692" s="43" t="inlineStr"/>
      <c r="U1692" s="43" t="inlineStr"/>
    </row>
    <row r="1693">
      <c r="A1693" s="43" t="n">
        <v>1693</v>
      </c>
      <c r="B1693" s="43" t="inlineStr">
        <is>
          <t>1692</t>
        </is>
      </c>
      <c r="C1693" s="43" t="inlineStr">
        <is>
          <t>FJZP</t>
        </is>
      </c>
      <c r="D1693" s="43" t="inlineStr">
        <is>
          <t>Cisco</t>
        </is>
      </c>
      <c r="E1693" s="43" t="inlineStr">
        <is>
          <t>MCGA</t>
        </is>
      </c>
      <c r="F1693" s="43" t="inlineStr">
        <is>
          <t>037-STBU</t>
        </is>
      </c>
      <c r="G1693" s="43" t="inlineStr">
        <is>
          <t>CTANJZ05510</t>
        </is>
      </c>
      <c r="H1693" s="43" t="inlineStr">
        <is>
          <t>Rework Existing Finished Goods and Work in process</t>
        </is>
      </c>
      <c r="I1693" s="43" t="inlineStr">
        <is>
          <t>Customer Deviation</t>
        </is>
      </c>
      <c r="J1693" s="43" t="inlineStr">
        <is>
          <t>D614346</t>
        </is>
      </c>
      <c r="K1693"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93" s="43" t="inlineStr">
        <is>
          <t>CCB</t>
        </is>
      </c>
      <c r="M1693" s="43" t="inlineStr">
        <is>
          <t>800-105498-03</t>
        </is>
      </c>
      <c r="N1693" s="43" t="inlineStr"/>
      <c r="O1693" s="43" t="inlineStr">
        <is>
          <t>2026-12-29</t>
        </is>
      </c>
      <c r="P1693" s="33" t="inlineStr">
        <is>
          <t>Rework Existing Finished Goods and Work in process</t>
        </is>
      </c>
      <c r="Q1693" s="43" t="inlineStr">
        <is>
          <t>Place a label identifying the material listed on this deviation.</t>
        </is>
      </c>
      <c r="R1693" s="43" t="inlineStr">
        <is>
          <t>2026-10-02</t>
        </is>
      </c>
      <c r="S1693" s="43" t="inlineStr"/>
      <c r="T1693" s="43" t="inlineStr"/>
      <c r="U1693" s="43" t="inlineStr"/>
    </row>
    <row r="1694">
      <c r="A1694" s="43" t="n">
        <v>1694</v>
      </c>
      <c r="B1694" s="43" t="inlineStr">
        <is>
          <t>1693</t>
        </is>
      </c>
      <c r="C1694" s="43" t="inlineStr">
        <is>
          <t>FJZP</t>
        </is>
      </c>
      <c r="D1694" s="43" t="inlineStr">
        <is>
          <t>Cisco</t>
        </is>
      </c>
      <c r="E1694" s="43" t="inlineStr">
        <is>
          <t>MCGA</t>
        </is>
      </c>
      <c r="F1694" s="43" t="inlineStr">
        <is>
          <t>037-STBU</t>
        </is>
      </c>
      <c r="G1694" s="43" t="inlineStr">
        <is>
          <t>CTANJZ05510</t>
        </is>
      </c>
      <c r="H1694" s="43" t="inlineStr">
        <is>
          <t>Rework Existing Finished Goods and Work in process</t>
        </is>
      </c>
      <c r="I1694" s="43" t="inlineStr">
        <is>
          <t>Customer Deviation</t>
        </is>
      </c>
      <c r="J1694" s="43" t="inlineStr">
        <is>
          <t>D614346</t>
        </is>
      </c>
      <c r="K1694"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94" s="43" t="inlineStr">
        <is>
          <t>CCB</t>
        </is>
      </c>
      <c r="M1694" s="43" t="inlineStr">
        <is>
          <t>800-105500-03</t>
        </is>
      </c>
      <c r="N1694" s="43" t="inlineStr"/>
      <c r="O1694" s="43" t="inlineStr">
        <is>
          <t>2026-12-29</t>
        </is>
      </c>
      <c r="P1694" s="33" t="inlineStr">
        <is>
          <t>Rework Existing Finished Goods and Work in process</t>
        </is>
      </c>
      <c r="Q1694" s="43" t="inlineStr">
        <is>
          <t>Place a label identifying the material listed on this deviation.</t>
        </is>
      </c>
      <c r="R1694" s="43" t="inlineStr">
        <is>
          <t>2026-10-02</t>
        </is>
      </c>
      <c r="S1694" s="43" t="inlineStr"/>
      <c r="T1694" s="43" t="inlineStr"/>
      <c r="U1694" s="43" t="inlineStr"/>
    </row>
    <row r="1695">
      <c r="A1695" s="43" t="n">
        <v>1695</v>
      </c>
      <c r="B1695" s="43" t="inlineStr">
        <is>
          <t>1694</t>
        </is>
      </c>
      <c r="C1695" s="43" t="inlineStr">
        <is>
          <t>FJZP</t>
        </is>
      </c>
      <c r="D1695" s="43" t="inlineStr">
        <is>
          <t>Cisco</t>
        </is>
      </c>
      <c r="E1695" s="43" t="inlineStr">
        <is>
          <t>MCGA</t>
        </is>
      </c>
      <c r="F1695" s="43" t="inlineStr">
        <is>
          <t>037-STBU</t>
        </is>
      </c>
      <c r="G1695" s="43" t="inlineStr">
        <is>
          <t>CTANJZ05483</t>
        </is>
      </c>
      <c r="H1695" s="43" t="inlineStr">
        <is>
          <t>Rework Existing Finished Goods and Work in process</t>
        </is>
      </c>
      <c r="I1695" s="43" t="inlineStr">
        <is>
          <t>Customer Deviation</t>
        </is>
      </c>
      <c r="J1695" s="43" t="inlineStr">
        <is>
          <t>D613884</t>
        </is>
      </c>
      <c r="K1695"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95" s="43" t="inlineStr">
        <is>
          <t>Implementation</t>
        </is>
      </c>
      <c r="M1695" s="43" t="inlineStr">
        <is>
          <t>73-19337-01</t>
        </is>
      </c>
      <c r="N1695" s="43" t="inlineStr"/>
      <c r="O1695" s="43" t="inlineStr">
        <is>
          <t>2026-12-14</t>
        </is>
      </c>
      <c r="P1695" s="33" t="inlineStr">
        <is>
          <t>Rework Existing Finished Goods and Work in process</t>
        </is>
      </c>
      <c r="Q1695" s="43" t="inlineStr">
        <is>
          <t>Mark the units with the deviation on the chassis next to UUT serial</t>
        </is>
      </c>
      <c r="R1695" s="43" t="inlineStr">
        <is>
          <t>2026-09-16</t>
        </is>
      </c>
      <c r="S1695" s="43" t="inlineStr">
        <is>
          <t>2026-10-10</t>
        </is>
      </c>
      <c r="T1695" s="43" t="inlineStr"/>
      <c r="U1695" s="43" t="inlineStr"/>
    </row>
    <row r="1696">
      <c r="A1696" s="43" t="n">
        <v>1696</v>
      </c>
      <c r="B1696" s="43" t="inlineStr">
        <is>
          <t>1695</t>
        </is>
      </c>
      <c r="C1696" s="43" t="inlineStr">
        <is>
          <t>FJZP</t>
        </is>
      </c>
      <c r="D1696" s="43" t="inlineStr">
        <is>
          <t>Cisco</t>
        </is>
      </c>
      <c r="E1696" s="43" t="inlineStr">
        <is>
          <t>MCGA</t>
        </is>
      </c>
      <c r="F1696" s="43" t="inlineStr">
        <is>
          <t>037-STBU</t>
        </is>
      </c>
      <c r="G1696" s="43" t="inlineStr">
        <is>
          <t>CTANJZ05483</t>
        </is>
      </c>
      <c r="H1696" s="43" t="inlineStr">
        <is>
          <t>Rework Existing Finished Goods and Work in process</t>
        </is>
      </c>
      <c r="I1696" s="43" t="inlineStr">
        <is>
          <t>Customer Deviation</t>
        </is>
      </c>
      <c r="J1696" s="43" t="inlineStr">
        <is>
          <t>D613884</t>
        </is>
      </c>
      <c r="K1696"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96" s="43" t="inlineStr">
        <is>
          <t>Implementation</t>
        </is>
      </c>
      <c r="M1696" s="43" t="inlineStr">
        <is>
          <t>73-19361-01</t>
        </is>
      </c>
      <c r="N1696" s="43" t="inlineStr"/>
      <c r="O1696" s="43" t="inlineStr">
        <is>
          <t>2026-12-14</t>
        </is>
      </c>
      <c r="P1696" s="33" t="inlineStr">
        <is>
          <t>Rework Existing Finished Goods and Work in process</t>
        </is>
      </c>
      <c r="Q1696" s="43" t="inlineStr">
        <is>
          <t>Mark the units with the deviation on the chassis next to UUT serial</t>
        </is>
      </c>
      <c r="R1696" s="43" t="inlineStr">
        <is>
          <t>2026-09-16</t>
        </is>
      </c>
      <c r="S1696" s="43" t="inlineStr">
        <is>
          <t>2026-10-10</t>
        </is>
      </c>
      <c r="T1696" s="43" t="inlineStr"/>
      <c r="U1696" s="43" t="inlineStr"/>
    </row>
    <row r="1697">
      <c r="A1697" s="43" t="n">
        <v>1697</v>
      </c>
      <c r="B1697" s="43" t="inlineStr">
        <is>
          <t>1696</t>
        </is>
      </c>
      <c r="C1697" s="43" t="inlineStr">
        <is>
          <t>FJZP</t>
        </is>
      </c>
      <c r="D1697" s="43" t="inlineStr">
        <is>
          <t>Cisco</t>
        </is>
      </c>
      <c r="E1697" s="43" t="inlineStr">
        <is>
          <t>MCGA</t>
        </is>
      </c>
      <c r="F1697" s="43" t="inlineStr">
        <is>
          <t>037-STBU</t>
        </is>
      </c>
      <c r="G1697" s="43" t="inlineStr">
        <is>
          <t>CTANJZ05483</t>
        </is>
      </c>
      <c r="H1697" s="43" t="inlineStr">
        <is>
          <t>Rework Existing Finished Goods and Work in process</t>
        </is>
      </c>
      <c r="I1697" s="43" t="inlineStr">
        <is>
          <t>Customer Deviation</t>
        </is>
      </c>
      <c r="J1697" s="43" t="inlineStr">
        <is>
          <t>D613884</t>
        </is>
      </c>
      <c r="K1697"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97" s="43" t="inlineStr">
        <is>
          <t>Implementation</t>
        </is>
      </c>
      <c r="M1697" s="43" t="inlineStr">
        <is>
          <t>73-20007-01</t>
        </is>
      </c>
      <c r="N1697" s="43" t="inlineStr"/>
      <c r="O1697" s="43" t="inlineStr">
        <is>
          <t>2026-12-14</t>
        </is>
      </c>
      <c r="P1697" s="33" t="inlineStr">
        <is>
          <t>Rework Existing Finished Goods and Work in process</t>
        </is>
      </c>
      <c r="Q1697" s="43" t="inlineStr">
        <is>
          <t>Mark the units with the deviation on the chassis next to UUT serial</t>
        </is>
      </c>
      <c r="R1697" s="43" t="inlineStr">
        <is>
          <t>2026-09-16</t>
        </is>
      </c>
      <c r="S1697" s="43" t="inlineStr">
        <is>
          <t>2026-10-10</t>
        </is>
      </c>
      <c r="T1697" s="43" t="inlineStr"/>
      <c r="U1697" s="43" t="inlineStr"/>
    </row>
    <row r="1698">
      <c r="A1698" s="43" t="n">
        <v>1698</v>
      </c>
      <c r="B1698" s="43" t="inlineStr">
        <is>
          <t>1697</t>
        </is>
      </c>
      <c r="C1698" s="43" t="inlineStr">
        <is>
          <t>FJZP</t>
        </is>
      </c>
      <c r="D1698" s="43" t="inlineStr">
        <is>
          <t>Cisco</t>
        </is>
      </c>
      <c r="E1698" s="43" t="inlineStr">
        <is>
          <t>MCGA</t>
        </is>
      </c>
      <c r="F1698" s="43" t="inlineStr">
        <is>
          <t>037-STBU</t>
        </is>
      </c>
      <c r="G1698" s="43" t="inlineStr">
        <is>
          <t>CTANJZ05483</t>
        </is>
      </c>
      <c r="H1698" s="43" t="inlineStr">
        <is>
          <t>Rework Existing Finished Goods and Work in process</t>
        </is>
      </c>
      <c r="I1698" s="43" t="inlineStr">
        <is>
          <t>Customer Deviation</t>
        </is>
      </c>
      <c r="J1698" s="43" t="inlineStr">
        <is>
          <t>D613884</t>
        </is>
      </c>
      <c r="K1698" s="33" t="inlineStr">
        <is>
          <t>D613884 1. There are 23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98" s="43" t="inlineStr">
        <is>
          <t>Implementation</t>
        </is>
      </c>
      <c r="M1698" s="43" t="inlineStr">
        <is>
          <t>800-105498-03</t>
        </is>
      </c>
      <c r="N1698" s="43" t="inlineStr"/>
      <c r="O1698" s="43" t="inlineStr">
        <is>
          <t>2026-12-14</t>
        </is>
      </c>
      <c r="P1698" s="33" t="inlineStr">
        <is>
          <t>Rework Existing Finished Goods and Work in process</t>
        </is>
      </c>
      <c r="Q1698" s="43" t="inlineStr">
        <is>
          <t>Mark the units with the deviation on the chassis next to UUT serial</t>
        </is>
      </c>
      <c r="R1698" s="43" t="inlineStr">
        <is>
          <t>2026-09-16</t>
        </is>
      </c>
      <c r="S1698" s="43" t="inlineStr">
        <is>
          <t>2026-10-10</t>
        </is>
      </c>
      <c r="T1698" s="43" t="inlineStr"/>
      <c r="U1698" s="43" t="inlineStr"/>
    </row>
    <row r="1699">
      <c r="A1699" s="43" t="n">
        <v>1699</v>
      </c>
      <c r="B1699" s="43" t="inlineStr">
        <is>
          <t>1698</t>
        </is>
      </c>
      <c r="C1699" s="43" t="inlineStr">
        <is>
          <t>FJZP</t>
        </is>
      </c>
      <c r="D1699" s="43" t="inlineStr">
        <is>
          <t>Cisco</t>
        </is>
      </c>
      <c r="E1699" s="43" t="inlineStr">
        <is>
          <t>MCGA</t>
        </is>
      </c>
      <c r="F1699" s="43" t="inlineStr">
        <is>
          <t>037-STBU</t>
        </is>
      </c>
      <c r="G1699" s="43" t="inlineStr">
        <is>
          <t>CTANJZ05436</t>
        </is>
      </c>
      <c r="H1699" s="43" t="inlineStr">
        <is>
          <t>Rework Existing Finished Goods and Work in process</t>
        </is>
      </c>
      <c r="I1699" s="43" t="inlineStr">
        <is>
          <t>Customer Deviation</t>
        </is>
      </c>
      <c r="J1699" s="43" t="inlineStr">
        <is>
          <t>D613521</t>
        </is>
      </c>
      <c r="K1699"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699" s="43" t="inlineStr">
        <is>
          <t>FAI Status</t>
        </is>
      </c>
      <c r="M1699" s="43" t="inlineStr">
        <is>
          <t>73-17514-02</t>
        </is>
      </c>
      <c r="N1699" s="43" t="inlineStr"/>
      <c r="O1699" s="43" t="inlineStr">
        <is>
          <t>2026-11-22</t>
        </is>
      </c>
      <c r="P1699" s="33" t="inlineStr">
        <is>
          <t>Rework Existing Finished Goods and Work in process</t>
        </is>
      </c>
      <c r="Q1699" s="43" t="inlineStr">
        <is>
          <t>Please place a label with this deviation number on each label.</t>
        </is>
      </c>
      <c r="R1699" s="43" t="inlineStr">
        <is>
          <t>2026-08-25</t>
        </is>
      </c>
      <c r="S1699" s="43" t="inlineStr">
        <is>
          <t>2026-09-22</t>
        </is>
      </c>
      <c r="T1699" s="43" t="inlineStr"/>
      <c r="U1699" s="43" t="inlineStr"/>
    </row>
    <row r="1700">
      <c r="A1700" s="43" t="n">
        <v>1700</v>
      </c>
      <c r="B1700" s="43" t="inlineStr">
        <is>
          <t>1699</t>
        </is>
      </c>
      <c r="C1700" s="43" t="inlineStr">
        <is>
          <t>FJZP</t>
        </is>
      </c>
      <c r="D1700" s="43" t="inlineStr">
        <is>
          <t>Cisco</t>
        </is>
      </c>
      <c r="E1700" s="43" t="inlineStr">
        <is>
          <t>MCGA</t>
        </is>
      </c>
      <c r="F1700" s="43" t="inlineStr">
        <is>
          <t>037-STBU</t>
        </is>
      </c>
      <c r="G1700" s="43" t="inlineStr">
        <is>
          <t>CTANJZ05436</t>
        </is>
      </c>
      <c r="H1700" s="43" t="inlineStr">
        <is>
          <t>Rework Existing Finished Goods and Work in process</t>
        </is>
      </c>
      <c r="I1700" s="43" t="inlineStr">
        <is>
          <t>Customer Deviation</t>
        </is>
      </c>
      <c r="J1700" s="43" t="inlineStr">
        <is>
          <t>D613521</t>
        </is>
      </c>
      <c r="K1700"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700" s="43" t="inlineStr">
        <is>
          <t>FAI Status</t>
        </is>
      </c>
      <c r="M1700" s="43" t="inlineStr">
        <is>
          <t>73-17530-02</t>
        </is>
      </c>
      <c r="N1700" s="43" t="inlineStr"/>
      <c r="O1700" s="43" t="inlineStr">
        <is>
          <t>2026-11-22</t>
        </is>
      </c>
      <c r="P1700" s="33" t="inlineStr">
        <is>
          <t>Rework Existing Finished Goods and Work in process</t>
        </is>
      </c>
      <c r="Q1700" s="43" t="inlineStr">
        <is>
          <t>Please place a label with this deviation number on each label.</t>
        </is>
      </c>
      <c r="R1700" s="43" t="inlineStr">
        <is>
          <t>2026-08-25</t>
        </is>
      </c>
      <c r="S1700" s="43" t="inlineStr">
        <is>
          <t>2026-09-22</t>
        </is>
      </c>
      <c r="T1700" s="43" t="inlineStr"/>
      <c r="U1700" s="43" t="inlineStr"/>
    </row>
    <row r="1701">
      <c r="A1701" s="43" t="n">
        <v>1701</v>
      </c>
      <c r="B1701" s="43" t="inlineStr">
        <is>
          <t>1700</t>
        </is>
      </c>
      <c r="C1701" s="43" t="inlineStr">
        <is>
          <t>FJZP</t>
        </is>
      </c>
      <c r="D1701" s="43" t="inlineStr">
        <is>
          <t>Cisco</t>
        </is>
      </c>
      <c r="E1701" s="43" t="inlineStr">
        <is>
          <t>MCGA</t>
        </is>
      </c>
      <c r="F1701" s="43" t="inlineStr">
        <is>
          <t>037-STBU</t>
        </is>
      </c>
      <c r="G1701" s="43" t="inlineStr">
        <is>
          <t>CTANJZ05436</t>
        </is>
      </c>
      <c r="H1701" s="43" t="inlineStr">
        <is>
          <t>Rework Existing Finished Goods and Work in process</t>
        </is>
      </c>
      <c r="I1701" s="43" t="inlineStr">
        <is>
          <t>Customer Deviation</t>
        </is>
      </c>
      <c r="J1701" s="43" t="inlineStr">
        <is>
          <t>D613521</t>
        </is>
      </c>
      <c r="K1701" s="33" t="inlineStr">
        <is>
          <t>D6135211. There are 13 units left that are needed to complete some open orders. These units will return to PCBA from DF; they are fully assembled but with expired test so they need to retest.2.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701" s="43" t="inlineStr">
        <is>
          <t>FAI Status</t>
        </is>
      </c>
      <c r="M1701" s="43" t="inlineStr">
        <is>
          <t>800-105500-03</t>
        </is>
      </c>
      <c r="N1701" s="43" t="inlineStr"/>
      <c r="O1701" s="43" t="inlineStr">
        <is>
          <t>2026-11-22</t>
        </is>
      </c>
      <c r="P1701" s="33" t="inlineStr">
        <is>
          <t>Rework Existing Finished Goods and Work in process</t>
        </is>
      </c>
      <c r="Q1701" s="43" t="inlineStr">
        <is>
          <t>Please place a label with this deviation number on each label.</t>
        </is>
      </c>
      <c r="R1701" s="43" t="inlineStr">
        <is>
          <t>2026-08-25</t>
        </is>
      </c>
      <c r="S1701" s="43" t="inlineStr">
        <is>
          <t>2026-09-22</t>
        </is>
      </c>
      <c r="T1701" s="43" t="inlineStr"/>
      <c r="U1701" s="43" t="inlineStr"/>
    </row>
    <row r="1702">
      <c r="A1702" s="43" t="n">
        <v>1702</v>
      </c>
      <c r="B1702" s="43" t="inlineStr">
        <is>
          <t>1701</t>
        </is>
      </c>
      <c r="C1702" s="43" t="inlineStr">
        <is>
          <t>FJZP</t>
        </is>
      </c>
      <c r="D1702" s="43" t="inlineStr">
        <is>
          <t>Cisco</t>
        </is>
      </c>
      <c r="E1702" s="43" t="inlineStr">
        <is>
          <t>MCGA</t>
        </is>
      </c>
      <c r="F1702" s="43" t="inlineStr">
        <is>
          <t>037-STBU</t>
        </is>
      </c>
      <c r="G1702" s="43" t="inlineStr">
        <is>
          <t>CTANJZ05510</t>
        </is>
      </c>
      <c r="H1702" s="43" t="inlineStr">
        <is>
          <t>Rework Existing Finished Goods and Work in process</t>
        </is>
      </c>
      <c r="I1702" s="43" t="inlineStr">
        <is>
          <t>Customer Deviation</t>
        </is>
      </c>
      <c r="J1702" s="43" t="inlineStr">
        <is>
          <t>D614346</t>
        </is>
      </c>
      <c r="K1702"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702" s="43" t="inlineStr">
        <is>
          <t>CCB</t>
        </is>
      </c>
      <c r="M1702" s="43" t="inlineStr">
        <is>
          <t>73-16685-04</t>
        </is>
      </c>
      <c r="N1702" s="43" t="inlineStr"/>
      <c r="O1702" s="43" t="inlineStr">
        <is>
          <t>2026-12-29</t>
        </is>
      </c>
      <c r="P1702" s="33" t="inlineStr">
        <is>
          <t>Rework Existing Finished Goods and Work in process</t>
        </is>
      </c>
      <c r="Q1702" s="43" t="inlineStr">
        <is>
          <t>Place a label identifying the material listed on this deviation.</t>
        </is>
      </c>
      <c r="R1702" s="43" t="inlineStr">
        <is>
          <t>2026-10-02</t>
        </is>
      </c>
      <c r="S1702" s="43" t="inlineStr"/>
      <c r="T1702" s="43" t="inlineStr"/>
      <c r="U1702" s="43" t="inlineStr"/>
    </row>
    <row r="1703">
      <c r="A1703" s="43" t="n">
        <v>1703</v>
      </c>
      <c r="B1703" s="43" t="inlineStr">
        <is>
          <t>1702</t>
        </is>
      </c>
      <c r="C1703" s="43" t="inlineStr">
        <is>
          <t>FJZP</t>
        </is>
      </c>
      <c r="D1703" s="43" t="inlineStr">
        <is>
          <t>Cisco</t>
        </is>
      </c>
      <c r="E1703" s="43" t="inlineStr">
        <is>
          <t>MCGA</t>
        </is>
      </c>
      <c r="F1703" s="43" t="inlineStr">
        <is>
          <t>037-STBU</t>
        </is>
      </c>
      <c r="G1703" s="43" t="inlineStr">
        <is>
          <t>CTANJZ05510</t>
        </is>
      </c>
      <c r="H1703" s="43" t="inlineStr">
        <is>
          <t>Rework Existing Finished Goods and Work in process</t>
        </is>
      </c>
      <c r="I1703" s="43" t="inlineStr">
        <is>
          <t>Customer Deviation</t>
        </is>
      </c>
      <c r="J1703" s="43" t="inlineStr">
        <is>
          <t>D614346</t>
        </is>
      </c>
      <c r="K1703"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703" s="43" t="inlineStr">
        <is>
          <t>CCB</t>
        </is>
      </c>
      <c r="M1703" s="43" t="inlineStr">
        <is>
          <t>73-18626-04</t>
        </is>
      </c>
      <c r="N1703" s="43" t="inlineStr"/>
      <c r="O1703" s="43" t="inlineStr">
        <is>
          <t>2026-12-29</t>
        </is>
      </c>
      <c r="P1703" s="33" t="inlineStr">
        <is>
          <t>Rework Existing Finished Goods and Work in process</t>
        </is>
      </c>
      <c r="Q1703" s="43" t="inlineStr">
        <is>
          <t>Place a label identifying the material listed on this deviation.</t>
        </is>
      </c>
      <c r="R1703" s="43" t="inlineStr">
        <is>
          <t>2026-10-02</t>
        </is>
      </c>
      <c r="S1703" s="43" t="inlineStr"/>
      <c r="T1703" s="43" t="inlineStr"/>
      <c r="U1703" s="43" t="inlineStr"/>
    </row>
    <row r="1704">
      <c r="A1704" s="43" t="n">
        <v>1704</v>
      </c>
      <c r="B1704" s="43" t="inlineStr">
        <is>
          <t>1703</t>
        </is>
      </c>
      <c r="C1704" s="43" t="inlineStr">
        <is>
          <t>FJZP</t>
        </is>
      </c>
      <c r="D1704" s="43" t="inlineStr">
        <is>
          <t>Cisco</t>
        </is>
      </c>
      <c r="E1704" s="43" t="inlineStr">
        <is>
          <t>MCGA</t>
        </is>
      </c>
      <c r="F1704" s="43" t="inlineStr">
        <is>
          <t>037-STBU</t>
        </is>
      </c>
      <c r="G1704" s="43" t="inlineStr">
        <is>
          <t>CTANJZ05510</t>
        </is>
      </c>
      <c r="H1704" s="43" t="inlineStr">
        <is>
          <t>Rework Existing Finished Goods and Work in process</t>
        </is>
      </c>
      <c r="I1704" s="43" t="inlineStr">
        <is>
          <t>Customer Deviation</t>
        </is>
      </c>
      <c r="J1704" s="43" t="inlineStr">
        <is>
          <t>D614346</t>
        </is>
      </c>
      <c r="K1704"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704" s="43" t="inlineStr">
        <is>
          <t>CCB</t>
        </is>
      </c>
      <c r="M1704" s="43" t="inlineStr">
        <is>
          <t>73-18632-03</t>
        </is>
      </c>
      <c r="N1704" s="43" t="inlineStr"/>
      <c r="O1704" s="43" t="inlineStr">
        <is>
          <t>2026-12-29</t>
        </is>
      </c>
      <c r="P1704" s="33" t="inlineStr">
        <is>
          <t>Rework Existing Finished Goods and Work in process</t>
        </is>
      </c>
      <c r="Q1704" s="43" t="inlineStr">
        <is>
          <t>Place a label identifying the material listed on this deviation.</t>
        </is>
      </c>
      <c r="R1704" s="43" t="inlineStr">
        <is>
          <t>2026-10-02</t>
        </is>
      </c>
      <c r="S1704" s="43" t="inlineStr"/>
      <c r="T1704" s="43" t="inlineStr"/>
      <c r="U1704" s="43" t="inlineStr"/>
    </row>
    <row r="1705">
      <c r="A1705" s="43" t="n">
        <v>1705</v>
      </c>
      <c r="B1705" s="43" t="inlineStr">
        <is>
          <t>1704</t>
        </is>
      </c>
      <c r="C1705" s="43" t="inlineStr">
        <is>
          <t>FJZP</t>
        </is>
      </c>
      <c r="D1705" s="43" t="inlineStr">
        <is>
          <t>Cisco</t>
        </is>
      </c>
      <c r="E1705" s="43" t="inlineStr">
        <is>
          <t>MCGA</t>
        </is>
      </c>
      <c r="F1705" s="43" t="inlineStr">
        <is>
          <t>037-STBU</t>
        </is>
      </c>
      <c r="G1705" s="43" t="inlineStr">
        <is>
          <t>CTANJZ05510</t>
        </is>
      </c>
      <c r="H1705" s="43" t="inlineStr">
        <is>
          <t>Rework Existing Finished Goods and Work in process</t>
        </is>
      </c>
      <c r="I1705" s="43" t="inlineStr">
        <is>
          <t>Customer Deviation</t>
        </is>
      </c>
      <c r="J1705" s="43" t="inlineStr">
        <is>
          <t>D614346</t>
        </is>
      </c>
      <c r="K1705"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705" s="43" t="inlineStr">
        <is>
          <t>CCB</t>
        </is>
      </c>
      <c r="M1705" s="43" t="inlineStr">
        <is>
          <t>73-19332-01</t>
        </is>
      </c>
      <c r="N1705" s="43" t="inlineStr"/>
      <c r="O1705" s="43" t="inlineStr">
        <is>
          <t>2026-12-29</t>
        </is>
      </c>
      <c r="P1705" s="33" t="inlineStr">
        <is>
          <t>Rework Existing Finished Goods and Work in process</t>
        </is>
      </c>
      <c r="Q1705" s="43" t="inlineStr">
        <is>
          <t>Place a label identifying the material listed on this deviation.</t>
        </is>
      </c>
      <c r="R1705" s="43" t="inlineStr">
        <is>
          <t>2026-10-02</t>
        </is>
      </c>
      <c r="S1705" s="43" t="inlineStr"/>
      <c r="T1705" s="43" t="inlineStr"/>
      <c r="U1705" s="43" t="inlineStr"/>
    </row>
    <row r="1706">
      <c r="A1706" s="43" t="n">
        <v>1706</v>
      </c>
      <c r="B1706" s="43" t="inlineStr">
        <is>
          <t>1705</t>
        </is>
      </c>
      <c r="C1706" s="43" t="inlineStr">
        <is>
          <t>FJZP</t>
        </is>
      </c>
      <c r="D1706" s="43" t="inlineStr">
        <is>
          <t>Cisco</t>
        </is>
      </c>
      <c r="E1706" s="43" t="inlineStr">
        <is>
          <t>MCGA</t>
        </is>
      </c>
      <c r="F1706" s="43" t="inlineStr">
        <is>
          <t>037-STBU</t>
        </is>
      </c>
      <c r="G1706" s="43" t="inlineStr">
        <is>
          <t>CTANJZ05510</t>
        </is>
      </c>
      <c r="H1706" s="43" t="inlineStr">
        <is>
          <t>Rework Existing Finished Goods and Work in process</t>
        </is>
      </c>
      <c r="I1706" s="43" t="inlineStr">
        <is>
          <t>Customer Deviation</t>
        </is>
      </c>
      <c r="J1706" s="43" t="inlineStr">
        <is>
          <t>D614346</t>
        </is>
      </c>
      <c r="K1706" s="33" t="inlineStr">
        <is>
          <t>D614346 1. There are some more units left that are needed to complete some open orders; added on the attached file. These units will return to PCBA from DF; they are fully assembled but with expired test so they need to retest. There are some other -73 level PCBAs that need to retest but not fully assembled.2. FJZ provided the 73- level serials of the units of complete genealogy to be reworked so PCO can add those serials to the script3. Unit will be reviewed previous to test to verify cosmetic condition.4. Unit will be tested again on P2 test since is fully assembled it be re tested again on PCBA area. If the units fails need to review the disposition since there are some materials short and may need to be scrapped since this product is EOL.5. Once the unit pass the unit will be sent to DF so can be processed as needed.</t>
        </is>
      </c>
      <c r="L1706" s="43" t="inlineStr">
        <is>
          <t>CCB</t>
        </is>
      </c>
      <c r="M1706" s="43" t="inlineStr">
        <is>
          <t>800-106754-02</t>
        </is>
      </c>
      <c r="N1706" s="43" t="inlineStr"/>
      <c r="O1706" s="43" t="inlineStr">
        <is>
          <t>2026-12-29</t>
        </is>
      </c>
      <c r="P1706" s="33" t="inlineStr">
        <is>
          <t>Rework Existing Finished Goods and Work in process</t>
        </is>
      </c>
      <c r="Q1706" s="43" t="inlineStr">
        <is>
          <t>Place a label identifying the material listed on this deviation.</t>
        </is>
      </c>
      <c r="R1706" s="43" t="inlineStr">
        <is>
          <t>2026-10-02</t>
        </is>
      </c>
      <c r="S1706" s="43" t="inlineStr"/>
      <c r="T1706" s="43" t="inlineStr"/>
      <c r="U1706" s="43" t="inlineStr"/>
    </row>
    <row r="1707">
      <c r="A1707" s="43" t="n">
        <v>1707</v>
      </c>
      <c r="B1707" s="43" t="inlineStr">
        <is>
          <t>1706</t>
        </is>
      </c>
      <c r="C1707" s="43" t="inlineStr">
        <is>
          <t>FJZP</t>
        </is>
      </c>
      <c r="D1707" s="43" t="inlineStr">
        <is>
          <t>Cisco</t>
        </is>
      </c>
      <c r="E1707" s="43" t="inlineStr">
        <is>
          <t>MCGA</t>
        </is>
      </c>
      <c r="F1707" s="43" t="inlineStr">
        <is>
          <t>037-STBU</t>
        </is>
      </c>
      <c r="G1707" s="43" t="inlineStr">
        <is>
          <t>CTANJZ05526</t>
        </is>
      </c>
      <c r="H1707" s="43" t="inlineStr">
        <is>
          <t>Rework Existing Finished Goods and Work in process</t>
        </is>
      </c>
      <c r="I1707" s="43" t="inlineStr">
        <is>
          <t>Customer Deviation</t>
        </is>
      </c>
      <c r="J1707" s="43" t="inlineStr">
        <is>
          <t>D614537</t>
        </is>
      </c>
      <c r="K1707" s="33" t="inlineStr">
        <is>
          <t>D614537NGFWBU: Warwick - Factory direction for ICT &amp; process updates to address Renesas PWM programmable device content issue</t>
        </is>
      </c>
      <c r="L1707" s="43" t="inlineStr">
        <is>
          <t>CCB</t>
        </is>
      </c>
      <c r="M1707" s="43" t="inlineStr">
        <is>
          <t>17-102458-02</t>
        </is>
      </c>
      <c r="N1707" s="43" t="inlineStr"/>
      <c r="O1707" s="43" t="inlineStr">
        <is>
          <t>2027-01-10</t>
        </is>
      </c>
      <c r="P1707" s="33" t="inlineStr"/>
      <c r="Q1707" s="43" t="inlineStr">
        <is>
          <t>Label PCBA topside with deviation number where space allows; do not obscure ICT test points</t>
        </is>
      </c>
      <c r="R1707" s="43" t="inlineStr">
        <is>
          <t>2026-10-13</t>
        </is>
      </c>
      <c r="S1707" s="43" t="inlineStr"/>
      <c r="T1707" s="43" t="inlineStr"/>
      <c r="U1707" s="43" t="inlineStr"/>
    </row>
    <row r="1708">
      <c r="A1708" s="43" t="n">
        <v>1708</v>
      </c>
      <c r="B1708" s="43" t="inlineStr">
        <is>
          <t>1707</t>
        </is>
      </c>
      <c r="C1708" s="43" t="inlineStr">
        <is>
          <t>FJZP</t>
        </is>
      </c>
      <c r="D1708" s="43" t="inlineStr">
        <is>
          <t>Cisco</t>
        </is>
      </c>
      <c r="E1708" s="43" t="inlineStr">
        <is>
          <t>MCGA</t>
        </is>
      </c>
      <c r="F1708" s="43" t="inlineStr">
        <is>
          <t>037-STBU</t>
        </is>
      </c>
      <c r="G1708" s="43" t="inlineStr">
        <is>
          <t>CTANJZ05526</t>
        </is>
      </c>
      <c r="H1708" s="43" t="inlineStr">
        <is>
          <t>Rework Existing Finished Goods and Work in process</t>
        </is>
      </c>
      <c r="I1708" s="43" t="inlineStr">
        <is>
          <t>Customer Deviation</t>
        </is>
      </c>
      <c r="J1708" s="43" t="inlineStr">
        <is>
          <t>D614537</t>
        </is>
      </c>
      <c r="K1708" s="33" t="inlineStr">
        <is>
          <t>D614537NGFWBU: Warwick - Factory direction for ICT &amp; process updates to address Renesas PWM programmable device content issue</t>
        </is>
      </c>
      <c r="L1708" s="43" t="inlineStr">
        <is>
          <t>CCB</t>
        </is>
      </c>
      <c r="M1708" s="43" t="inlineStr">
        <is>
          <t>17-102472-02</t>
        </is>
      </c>
      <c r="N1708" s="43" t="inlineStr"/>
      <c r="O1708" s="43" t="inlineStr">
        <is>
          <t>2027-01-10</t>
        </is>
      </c>
      <c r="P1708" s="33" t="inlineStr"/>
      <c r="Q1708" s="43" t="inlineStr">
        <is>
          <t>Label PCBA topside with deviation number where space allows; do not obscure ICT test points</t>
        </is>
      </c>
      <c r="R1708" s="43" t="inlineStr">
        <is>
          <t>2026-10-13</t>
        </is>
      </c>
      <c r="S1708" s="43" t="inlineStr"/>
      <c r="T1708" s="43" t="inlineStr"/>
      <c r="U1708" s="43" t="inlineStr"/>
    </row>
    <row r="1709">
      <c r="A1709" s="43" t="n">
        <v>1709</v>
      </c>
      <c r="B1709" s="43" t="inlineStr">
        <is>
          <t>1708</t>
        </is>
      </c>
      <c r="C1709" s="43" t="inlineStr">
        <is>
          <t>FJZP</t>
        </is>
      </c>
      <c r="D1709" s="43" t="inlineStr">
        <is>
          <t>Cisco</t>
        </is>
      </c>
      <c r="E1709" s="43" t="inlineStr">
        <is>
          <t>MCGA</t>
        </is>
      </c>
      <c r="F1709" s="43" t="inlineStr">
        <is>
          <t>037-STBU</t>
        </is>
      </c>
      <c r="G1709" s="43" t="inlineStr">
        <is>
          <t>CTANJZ05526</t>
        </is>
      </c>
      <c r="H1709" s="43" t="inlineStr">
        <is>
          <t>Rework Existing Finished Goods and Work in process</t>
        </is>
      </c>
      <c r="I1709" s="43" t="inlineStr">
        <is>
          <t>Customer Deviation</t>
        </is>
      </c>
      <c r="J1709" s="43" t="inlineStr">
        <is>
          <t>D614537</t>
        </is>
      </c>
      <c r="K1709" s="33" t="inlineStr">
        <is>
          <t>D614537NGFWBU: Warwick - Factory direction for ICT &amp; process updates to address Renesas PWM programmable device content issue</t>
        </is>
      </c>
      <c r="L1709" s="43" t="inlineStr">
        <is>
          <t>CCB</t>
        </is>
      </c>
      <c r="M1709" s="43" t="inlineStr">
        <is>
          <t>73-102433-05</t>
        </is>
      </c>
      <c r="N1709" s="43" t="inlineStr"/>
      <c r="O1709" s="43" t="inlineStr">
        <is>
          <t>2027-01-10</t>
        </is>
      </c>
      <c r="P1709" s="33" t="inlineStr"/>
      <c r="Q1709" s="43" t="inlineStr">
        <is>
          <t>Label PCBA topside with deviation number where space allows; do not obscure ICT test points</t>
        </is>
      </c>
      <c r="R1709" s="43" t="inlineStr">
        <is>
          <t>2026-10-13</t>
        </is>
      </c>
      <c r="S1709" s="43" t="inlineStr"/>
      <c r="T1709" s="43" t="inlineStr"/>
      <c r="U1709" s="43" t="inlineStr"/>
    </row>
    <row r="1710">
      <c r="A1710" s="43" t="n">
        <v>1710</v>
      </c>
      <c r="B1710" s="43" t="inlineStr">
        <is>
          <t>1709</t>
        </is>
      </c>
      <c r="C1710" s="43" t="inlineStr">
        <is>
          <t>FJZP</t>
        </is>
      </c>
      <c r="D1710" s="43" t="inlineStr">
        <is>
          <t>Cisco</t>
        </is>
      </c>
      <c r="E1710" s="43" t="inlineStr">
        <is>
          <t>MCGA</t>
        </is>
      </c>
      <c r="F1710" s="43" t="inlineStr">
        <is>
          <t>037-STBU</t>
        </is>
      </c>
      <c r="G1710" s="43" t="inlineStr">
        <is>
          <t>CTANJZ05526</t>
        </is>
      </c>
      <c r="H1710" s="43" t="inlineStr">
        <is>
          <t>Rework Existing Finished Goods and Work in process</t>
        </is>
      </c>
      <c r="I1710" s="43" t="inlineStr">
        <is>
          <t>Customer Deviation</t>
        </is>
      </c>
      <c r="J1710" s="43" t="inlineStr">
        <is>
          <t>D614537</t>
        </is>
      </c>
      <c r="K1710" s="33" t="inlineStr">
        <is>
          <t>D614537NGFWBU: Warwick - Factory direction for ICT &amp; process updates to address Renesas PWM programmable device content issue</t>
        </is>
      </c>
      <c r="L1710" s="43" t="inlineStr">
        <is>
          <t>CCB</t>
        </is>
      </c>
      <c r="M1710" s="43" t="inlineStr">
        <is>
          <t>73-102433-06</t>
        </is>
      </c>
      <c r="N1710" s="43" t="inlineStr"/>
      <c r="O1710" s="43" t="inlineStr">
        <is>
          <t>2027-01-10</t>
        </is>
      </c>
      <c r="P1710" s="33" t="inlineStr"/>
      <c r="Q1710" s="43" t="inlineStr">
        <is>
          <t>Label PCBA topside with deviation number where space allows; do not obscure ICT test points</t>
        </is>
      </c>
      <c r="R1710" s="43" t="inlineStr">
        <is>
          <t>2026-10-13</t>
        </is>
      </c>
      <c r="S1710" s="43" t="inlineStr"/>
      <c r="T1710" s="43" t="inlineStr"/>
      <c r="U1710" s="43" t="inlineStr"/>
    </row>
    <row r="1711">
      <c r="A1711" s="43" t="n">
        <v>1711</v>
      </c>
      <c r="B1711" s="43" t="inlineStr">
        <is>
          <t>1710</t>
        </is>
      </c>
      <c r="C1711" s="43" t="inlineStr">
        <is>
          <t>FJZP</t>
        </is>
      </c>
      <c r="D1711" s="43" t="inlineStr">
        <is>
          <t>Cisco</t>
        </is>
      </c>
      <c r="E1711" s="43" t="inlineStr">
        <is>
          <t>MCGA</t>
        </is>
      </c>
      <c r="F1711" s="43" t="inlineStr">
        <is>
          <t>037-STBU</t>
        </is>
      </c>
      <c r="G1711" s="43" t="inlineStr">
        <is>
          <t>CTANJZ05526</t>
        </is>
      </c>
      <c r="H1711" s="43" t="inlineStr">
        <is>
          <t>Rework Existing Finished Goods and Work in process</t>
        </is>
      </c>
      <c r="I1711" s="43" t="inlineStr">
        <is>
          <t>Customer Deviation</t>
        </is>
      </c>
      <c r="J1711" s="43" t="inlineStr">
        <is>
          <t>D614537</t>
        </is>
      </c>
      <c r="K1711" s="33" t="inlineStr">
        <is>
          <t>D614537NGFWBU: Warwick - Factory direction for ICT &amp; process updates to address Renesas PWM programmable device content issue</t>
        </is>
      </c>
      <c r="L1711" s="43" t="inlineStr">
        <is>
          <t>CCB</t>
        </is>
      </c>
      <c r="M1711" s="43" t="inlineStr">
        <is>
          <t>73-102434-05</t>
        </is>
      </c>
      <c r="N1711" s="43" t="inlineStr"/>
      <c r="O1711" s="43" t="inlineStr">
        <is>
          <t>2027-01-10</t>
        </is>
      </c>
      <c r="P1711" s="33" t="inlineStr"/>
      <c r="Q1711" s="43" t="inlineStr">
        <is>
          <t>Label PCBA topside with deviation number where space allows; do not obscure ICT test points</t>
        </is>
      </c>
      <c r="R1711" s="43" t="inlineStr">
        <is>
          <t>2026-10-13</t>
        </is>
      </c>
      <c r="S1711" s="43" t="inlineStr"/>
      <c r="T1711" s="43" t="inlineStr"/>
      <c r="U1711" s="43" t="inlineStr"/>
    </row>
    <row r="1712">
      <c r="A1712" s="43" t="n">
        <v>1712</v>
      </c>
      <c r="B1712" s="43" t="inlineStr">
        <is>
          <t>1711</t>
        </is>
      </c>
      <c r="C1712" s="43" t="inlineStr">
        <is>
          <t>FJZP</t>
        </is>
      </c>
      <c r="D1712" s="43" t="inlineStr">
        <is>
          <t>Cisco</t>
        </is>
      </c>
      <c r="E1712" s="43" t="inlineStr">
        <is>
          <t>MCGA</t>
        </is>
      </c>
      <c r="F1712" s="43" t="inlineStr">
        <is>
          <t>037-STBU</t>
        </is>
      </c>
      <c r="G1712" s="43" t="inlineStr">
        <is>
          <t>CTANJZ05526</t>
        </is>
      </c>
      <c r="H1712" s="43" t="inlineStr">
        <is>
          <t>Rework Existing Finished Goods and Work in process</t>
        </is>
      </c>
      <c r="I1712" s="43" t="inlineStr">
        <is>
          <t>Customer Deviation</t>
        </is>
      </c>
      <c r="J1712" s="43" t="inlineStr">
        <is>
          <t>D614537</t>
        </is>
      </c>
      <c r="K1712" s="33" t="inlineStr">
        <is>
          <t>D614537NGFWBU: Warwick - Factory direction for ICT &amp; process updates to address Renesas PWM programmable device content issue</t>
        </is>
      </c>
      <c r="L1712" s="43" t="inlineStr">
        <is>
          <t>CCB</t>
        </is>
      </c>
      <c r="M1712" s="43" t="inlineStr">
        <is>
          <t>73-102434-06</t>
        </is>
      </c>
      <c r="N1712" s="43" t="inlineStr"/>
      <c r="O1712" s="43" t="inlineStr">
        <is>
          <t>2027-01-10</t>
        </is>
      </c>
      <c r="P1712" s="33" t="inlineStr"/>
      <c r="Q1712" s="43" t="inlineStr">
        <is>
          <t>Label PCBA topside with deviation number where space allows; do not obscure ICT test points</t>
        </is>
      </c>
      <c r="R1712" s="43" t="inlineStr">
        <is>
          <t>2026-10-13</t>
        </is>
      </c>
      <c r="S1712" s="43" t="inlineStr"/>
      <c r="T1712" s="43" t="inlineStr"/>
      <c r="U1712" s="43" t="inlineStr"/>
    </row>
    <row r="1713">
      <c r="A1713" s="43" t="n">
        <v>1713</v>
      </c>
      <c r="B1713" s="43" t="inlineStr">
        <is>
          <t>1712</t>
        </is>
      </c>
      <c r="C1713" s="43" t="inlineStr">
        <is>
          <t>FJZP</t>
        </is>
      </c>
      <c r="D1713" s="43" t="inlineStr">
        <is>
          <t>Cisco</t>
        </is>
      </c>
      <c r="E1713" s="43" t="inlineStr">
        <is>
          <t>MCGA</t>
        </is>
      </c>
      <c r="F1713" s="43" t="inlineStr">
        <is>
          <t>037-STBU</t>
        </is>
      </c>
      <c r="G1713" s="43" t="inlineStr">
        <is>
          <t>CTANJZ05526</t>
        </is>
      </c>
      <c r="H1713" s="43" t="inlineStr">
        <is>
          <t>Rework Existing Finished Goods and Work in process</t>
        </is>
      </c>
      <c r="I1713" s="43" t="inlineStr">
        <is>
          <t>Customer Deviation</t>
        </is>
      </c>
      <c r="J1713" s="43" t="inlineStr">
        <is>
          <t>D614537</t>
        </is>
      </c>
      <c r="K1713" s="33" t="inlineStr">
        <is>
          <t>D614537NGFWBU: Warwick - Factory direction for ICT &amp; process updates to address Renesas PWM programmable device content issue</t>
        </is>
      </c>
      <c r="L1713" s="43" t="inlineStr">
        <is>
          <t>CCB</t>
        </is>
      </c>
      <c r="M1713" s="43" t="inlineStr">
        <is>
          <t>73-102435-05</t>
        </is>
      </c>
      <c r="N1713" s="43" t="inlineStr"/>
      <c r="O1713" s="43" t="inlineStr">
        <is>
          <t>2027-01-10</t>
        </is>
      </c>
      <c r="P1713" s="33" t="inlineStr"/>
      <c r="Q1713" s="43" t="inlineStr">
        <is>
          <t>Label PCBA topside with deviation number where space allows; do not obscure ICT test points</t>
        </is>
      </c>
      <c r="R1713" s="43" t="inlineStr">
        <is>
          <t>2026-10-13</t>
        </is>
      </c>
      <c r="S1713" s="43" t="inlineStr"/>
      <c r="T1713" s="43" t="inlineStr"/>
      <c r="U1713" s="43" t="inlineStr"/>
    </row>
    <row r="1714">
      <c r="A1714" s="43" t="n">
        <v>1714</v>
      </c>
      <c r="B1714" s="43" t="inlineStr">
        <is>
          <t>1713</t>
        </is>
      </c>
      <c r="C1714" s="43" t="inlineStr">
        <is>
          <t>FJZP</t>
        </is>
      </c>
      <c r="D1714" s="43" t="inlineStr">
        <is>
          <t>Cisco</t>
        </is>
      </c>
      <c r="E1714" s="43" t="inlineStr">
        <is>
          <t>MCGA</t>
        </is>
      </c>
      <c r="F1714" s="43" t="inlineStr">
        <is>
          <t>037-STBU</t>
        </is>
      </c>
      <c r="G1714" s="43" t="inlineStr">
        <is>
          <t>CTANJZ05526</t>
        </is>
      </c>
      <c r="H1714" s="43" t="inlineStr">
        <is>
          <t>Rework Existing Finished Goods and Work in process</t>
        </is>
      </c>
      <c r="I1714" s="43" t="inlineStr">
        <is>
          <t>Customer Deviation</t>
        </is>
      </c>
      <c r="J1714" s="43" t="inlineStr">
        <is>
          <t>D614537</t>
        </is>
      </c>
      <c r="K1714" s="33" t="inlineStr">
        <is>
          <t>D614537NGFWBU: Warwick - Factory direction for ICT &amp; process updates to address Renesas PWM programmable device content issue</t>
        </is>
      </c>
      <c r="L1714" s="43" t="inlineStr">
        <is>
          <t>CCB</t>
        </is>
      </c>
      <c r="M1714" s="43" t="inlineStr">
        <is>
          <t>73-102435-06</t>
        </is>
      </c>
      <c r="N1714" s="43" t="inlineStr"/>
      <c r="O1714" s="43" t="inlineStr">
        <is>
          <t>2027-01-10</t>
        </is>
      </c>
      <c r="P1714" s="33" t="inlineStr"/>
      <c r="Q1714" s="43" t="inlineStr">
        <is>
          <t>Label PCBA topside with deviation number where space allows; do not obscure ICT test points</t>
        </is>
      </c>
      <c r="R1714" s="43" t="inlineStr">
        <is>
          <t>2026-10-13</t>
        </is>
      </c>
      <c r="S1714" s="43" t="inlineStr"/>
      <c r="T1714" s="43" t="inlineStr"/>
      <c r="U1714" s="43" t="inlineStr"/>
    </row>
    <row r="1715">
      <c r="A1715" s="43" t="n">
        <v>1715</v>
      </c>
      <c r="B1715" s="43" t="inlineStr">
        <is>
          <t>1714</t>
        </is>
      </c>
      <c r="C1715" s="43" t="inlineStr">
        <is>
          <t>FJZP</t>
        </is>
      </c>
      <c r="D1715" s="43" t="inlineStr">
        <is>
          <t>Cisco</t>
        </is>
      </c>
      <c r="E1715" s="43" t="inlineStr">
        <is>
          <t>MCGA</t>
        </is>
      </c>
      <c r="F1715" s="43" t="inlineStr">
        <is>
          <t>037-STBU</t>
        </is>
      </c>
      <c r="G1715" s="43" t="inlineStr">
        <is>
          <t>CTANJZ05524</t>
        </is>
      </c>
      <c r="H1715" s="43" t="inlineStr">
        <is>
          <t>Rework Existing Finished Goods and Work in process</t>
        </is>
      </c>
      <c r="I1715" s="43" t="inlineStr">
        <is>
          <t>Customer Deviation</t>
        </is>
      </c>
      <c r="J1715" s="43" t="inlineStr">
        <is>
          <t>DP526706</t>
        </is>
      </c>
      <c r="K1715" s="33" t="inlineStr">
        <is>
          <t>DP526706 NGFWBU: Greenford- Factory direction for ICT &amp; process updates to address Renesas PWM programmable device content issue</t>
        </is>
      </c>
      <c r="L1715" s="43" t="inlineStr">
        <is>
          <t>CCB</t>
        </is>
      </c>
      <c r="M1715" s="43" t="inlineStr">
        <is>
          <t>73-104531-01</t>
        </is>
      </c>
      <c r="N1715" s="43" t="inlineStr"/>
      <c r="O1715" s="43" t="inlineStr">
        <is>
          <t>2026-12-08</t>
        </is>
      </c>
      <c r="P1715" s="33" t="inlineStr">
        <is>
          <t>Rework Existing Finished Goods and Work in process</t>
        </is>
      </c>
      <c r="Q1715" s="43" t="inlineStr">
        <is>
          <t>Label PCBA topside with deviation number where space allows; do not obscure ICT test points</t>
        </is>
      </c>
      <c r="R1715" s="43" t="inlineStr">
        <is>
          <t>2026-10-10</t>
        </is>
      </c>
      <c r="S1715" s="43" t="inlineStr"/>
      <c r="T1715" s="43" t="inlineStr"/>
      <c r="U1715" s="43" t="inlineStr"/>
    </row>
    <row r="1716">
      <c r="A1716" s="43" t="n">
        <v>1716</v>
      </c>
      <c r="B1716" s="43" t="inlineStr">
        <is>
          <t>1715</t>
        </is>
      </c>
      <c r="C1716" s="43" t="inlineStr">
        <is>
          <t>FJZP</t>
        </is>
      </c>
      <c r="D1716" s="43" t="inlineStr">
        <is>
          <t>Cisco</t>
        </is>
      </c>
      <c r="E1716" s="43" t="inlineStr">
        <is>
          <t>MCGA</t>
        </is>
      </c>
      <c r="F1716" s="43" t="inlineStr">
        <is>
          <t>037-STBU</t>
        </is>
      </c>
      <c r="G1716" s="43" t="inlineStr">
        <is>
          <t>CTANJZ05524</t>
        </is>
      </c>
      <c r="H1716" s="43" t="inlineStr">
        <is>
          <t>Rework Existing Finished Goods and Work in process</t>
        </is>
      </c>
      <c r="I1716" s="43" t="inlineStr">
        <is>
          <t>Customer Deviation</t>
        </is>
      </c>
      <c r="J1716" s="43" t="inlineStr">
        <is>
          <t>DP526706</t>
        </is>
      </c>
      <c r="K1716" s="33" t="inlineStr">
        <is>
          <t>DP526706 NGFWBU: Greenford- Factory direction for ICT &amp; process updates to address Renesas PWM programmable device content issue</t>
        </is>
      </c>
      <c r="L1716" s="43" t="inlineStr">
        <is>
          <t>CCB</t>
        </is>
      </c>
      <c r="M1716" s="43" t="inlineStr">
        <is>
          <t>73-104532-01</t>
        </is>
      </c>
      <c r="N1716" s="43" t="inlineStr"/>
      <c r="O1716" s="43" t="inlineStr">
        <is>
          <t>2026-12-08</t>
        </is>
      </c>
      <c r="P1716" s="33" t="inlineStr">
        <is>
          <t>Rework Existing Finished Goods and Work in process</t>
        </is>
      </c>
      <c r="Q1716" s="43" t="inlineStr">
        <is>
          <t>Label PCBA topside with deviation number where space allows; do not obscure ICT test points</t>
        </is>
      </c>
      <c r="R1716" s="43" t="inlineStr">
        <is>
          <t>2026-10-10</t>
        </is>
      </c>
      <c r="S1716" s="43" t="inlineStr"/>
      <c r="T1716" s="43" t="inlineStr"/>
      <c r="U1716" s="43" t="inlineStr"/>
    </row>
    <row r="1717">
      <c r="A1717" s="43" t="n">
        <v>1717</v>
      </c>
      <c r="B1717" s="43" t="inlineStr">
        <is>
          <t>1716</t>
        </is>
      </c>
      <c r="C1717" s="43" t="inlineStr">
        <is>
          <t>FJZP</t>
        </is>
      </c>
      <c r="D1717" s="43" t="inlineStr">
        <is>
          <t>Cisco</t>
        </is>
      </c>
      <c r="E1717" s="43" t="inlineStr">
        <is>
          <t>MCGA</t>
        </is>
      </c>
      <c r="F1717" s="43" t="inlineStr">
        <is>
          <t>037-STBU</t>
        </is>
      </c>
      <c r="G1717" s="43" t="inlineStr">
        <is>
          <t>CTANJZ05524</t>
        </is>
      </c>
      <c r="H1717" s="43" t="inlineStr">
        <is>
          <t>Rework Existing Finished Goods and Work in process</t>
        </is>
      </c>
      <c r="I1717" s="43" t="inlineStr">
        <is>
          <t>Customer Deviation</t>
        </is>
      </c>
      <c r="J1717" s="43" t="inlineStr">
        <is>
          <t>DP526706</t>
        </is>
      </c>
      <c r="K1717" s="33" t="inlineStr">
        <is>
          <t>DP526706 NGFWBU: Greenford- Factory direction for ICT &amp; process updates to address Renesas PWM programmable device content issue</t>
        </is>
      </c>
      <c r="L1717" s="43" t="inlineStr">
        <is>
          <t>CCB</t>
        </is>
      </c>
      <c r="M1717" s="43" t="inlineStr">
        <is>
          <t>73-104533-01</t>
        </is>
      </c>
      <c r="N1717" s="43" t="inlineStr"/>
      <c r="O1717" s="43" t="inlineStr">
        <is>
          <t>2026-12-08</t>
        </is>
      </c>
      <c r="P1717" s="33" t="inlineStr">
        <is>
          <t>Rework Existing Finished Goods and Work in process</t>
        </is>
      </c>
      <c r="Q1717" s="43" t="inlineStr">
        <is>
          <t>Label PCBA topside with deviation number where space allows; do not obscure ICT test points</t>
        </is>
      </c>
      <c r="R1717" s="43" t="inlineStr">
        <is>
          <t>2026-10-10</t>
        </is>
      </c>
      <c r="S1717" s="43" t="inlineStr"/>
      <c r="T1717" s="43" t="inlineStr"/>
      <c r="U1717" s="43" t="inlineStr"/>
    </row>
    <row r="1718">
      <c r="A1718" s="43" t="n">
        <v>1718</v>
      </c>
      <c r="B1718" s="43" t="inlineStr">
        <is>
          <t>1717</t>
        </is>
      </c>
      <c r="C1718" s="43" t="inlineStr">
        <is>
          <t>FJZP</t>
        </is>
      </c>
      <c r="D1718" s="43" t="inlineStr">
        <is>
          <t>Cisco</t>
        </is>
      </c>
      <c r="E1718" s="43" t="inlineStr">
        <is>
          <t>MCGA</t>
        </is>
      </c>
      <c r="F1718" s="43" t="inlineStr">
        <is>
          <t>037-STBU</t>
        </is>
      </c>
      <c r="G1718" s="43" t="inlineStr">
        <is>
          <t>CTANJZ04557</t>
        </is>
      </c>
      <c r="H1718" s="43" t="inlineStr">
        <is>
          <t>Exception Process: Temporary Deviation written for a permanent change (To Be Followed by ECO)</t>
        </is>
      </c>
      <c r="I1718" s="43" t="inlineStr">
        <is>
          <t>Customer Deviation</t>
        </is>
      </c>
      <c r="J1718" s="43" t="inlineStr">
        <is>
          <t>D603243</t>
        </is>
      </c>
      <c r="K1718" s="33" t="inlineStr">
        <is>
          <t>D603243 FJZ will start to build with APC and AP2 platforms during normal production for PCBA and DF areas.FJZ to scan the DV number for the APC units; the units with no DV (AP2) will be not scanned.Remove the APC label before packing the unit on DF.If confirmed that the script can not test APC and AP2 at the same station; units will need to be tested on the APC station for the APC labeled units and on the AP2 station for the AP2 units without DV; otherwise all the units can be tested on the APC stations.</t>
        </is>
      </c>
      <c r="L1718" s="43" t="inlineStr">
        <is>
          <t>Expired</t>
        </is>
      </c>
      <c r="M1718" s="43" t="inlineStr">
        <is>
          <t>73-18488-07</t>
        </is>
      </c>
      <c r="N1718" s="43" t="inlineStr"/>
      <c r="O1718" s="43" t="inlineStr">
        <is>
          <t>2025-07-09</t>
        </is>
      </c>
      <c r="P1718" s="33" t="inlineStr">
        <is>
          <t>Exception Process: Temporary Deviation written for a permanent change (To Be Followed by ECO)</t>
        </is>
      </c>
      <c r="Q1718" s="43" t="inlineStr">
        <is>
          <t>Add a label on the chassis with the legend APC; this will be removed before packaging on DF; add a label with the DV number on the chassis</t>
        </is>
      </c>
      <c r="R1718" s="43" t="inlineStr">
        <is>
          <t>2025-04-11</t>
        </is>
      </c>
      <c r="S1718" s="43" t="inlineStr">
        <is>
          <t>2025-04-24</t>
        </is>
      </c>
      <c r="T1718" s="43" t="inlineStr"/>
      <c r="U1718" s="43" t="inlineStr"/>
    </row>
    <row r="1719">
      <c r="A1719" s="43" t="n">
        <v>1719</v>
      </c>
      <c r="B1719" s="43" t="inlineStr">
        <is>
          <t>1718</t>
        </is>
      </c>
      <c r="C1719" s="43" t="inlineStr">
        <is>
          <t>FJZP</t>
        </is>
      </c>
      <c r="D1719" s="43" t="inlineStr">
        <is>
          <t>Cisco</t>
        </is>
      </c>
      <c r="E1719" s="43" t="inlineStr">
        <is>
          <t>MCGA</t>
        </is>
      </c>
      <c r="F1719" s="43" t="inlineStr">
        <is>
          <t>037-STBU</t>
        </is>
      </c>
      <c r="G1719" s="43" t="inlineStr">
        <is>
          <t>CTANJZ04557</t>
        </is>
      </c>
      <c r="H1719" s="43" t="inlineStr">
        <is>
          <t>Exception Process: Temporary Deviation written for a permanent change (To Be Followed by ECO)</t>
        </is>
      </c>
      <c r="I1719" s="43" t="inlineStr">
        <is>
          <t>Customer Deviation</t>
        </is>
      </c>
      <c r="J1719" s="43" t="inlineStr">
        <is>
          <t>D603243</t>
        </is>
      </c>
      <c r="K1719" s="33" t="inlineStr">
        <is>
          <t>D603243 FJZ will start to build with APC and AP2 platforms during normal production for PCBA and DF areas.FJZ to scan the DV number for the APC units; the units with no DV (AP2) will be not scanned.Remove the APC label before packing the unit on DF.If confirmed that the script can not test APC and AP2 at the same station; units will need to be tested on the APC station for the APC labeled units and on the AP2 station for the AP2 units without DV; otherwise all the units can be tested on the APC stations.</t>
        </is>
      </c>
      <c r="L1719" s="43" t="inlineStr">
        <is>
          <t>Expired</t>
        </is>
      </c>
      <c r="M1719" s="43" t="inlineStr">
        <is>
          <t>73-18489-07</t>
        </is>
      </c>
      <c r="N1719" s="43" t="inlineStr"/>
      <c r="O1719" s="43" t="inlineStr">
        <is>
          <t>2025-07-09</t>
        </is>
      </c>
      <c r="P1719" s="33" t="inlineStr">
        <is>
          <t>Exception Process: Temporary Deviation written for a permanent change (To Be Followed by ECO)</t>
        </is>
      </c>
      <c r="Q1719" s="43" t="inlineStr">
        <is>
          <t>Add a label on the chassis with the legend APC; this will be removed before packaging on DF; add a label with the DV number on the chassis</t>
        </is>
      </c>
      <c r="R1719" s="43" t="inlineStr">
        <is>
          <t>2025-04-11</t>
        </is>
      </c>
      <c r="S1719" s="43" t="inlineStr">
        <is>
          <t>2025-04-24</t>
        </is>
      </c>
      <c r="T1719" s="43" t="inlineStr"/>
      <c r="U1719" s="43" t="inlineStr"/>
    </row>
    <row r="1720">
      <c r="A1720" s="43" t="n">
        <v>1720</v>
      </c>
      <c r="B1720" s="43" t="inlineStr">
        <is>
          <t>1719</t>
        </is>
      </c>
      <c r="C1720" s="43" t="inlineStr">
        <is>
          <t>FJZP</t>
        </is>
      </c>
      <c r="D1720" s="43" t="inlineStr">
        <is>
          <t>Cisco</t>
        </is>
      </c>
      <c r="E1720" s="43" t="inlineStr">
        <is>
          <t>MCGA</t>
        </is>
      </c>
      <c r="F1720" s="43" t="inlineStr">
        <is>
          <t>037-STBU</t>
        </is>
      </c>
      <c r="G1720" s="43" t="inlineStr">
        <is>
          <t>CTANJZ04557</t>
        </is>
      </c>
      <c r="H1720" s="43" t="inlineStr">
        <is>
          <t>Exception Process: Temporary Deviation written for a permanent change (To Be Followed by ECO)</t>
        </is>
      </c>
      <c r="I1720" s="43" t="inlineStr">
        <is>
          <t>Customer Deviation</t>
        </is>
      </c>
      <c r="J1720" s="43" t="inlineStr">
        <is>
          <t>D603243</t>
        </is>
      </c>
      <c r="K1720" s="33" t="inlineStr">
        <is>
          <t>D603243 FJZ will start to build with APC and AP2 platforms during normal production for PCBA and DF areas.FJZ to scan the DV number for the APC units; the units with no DV (AP2) will be not scanned.Remove the APC label before packing the unit on DF.If confirmed that the script can not test APC and AP2 at the same station; units will need to be tested on the APC station for the APC labeled units and on the AP2 station for the AP2 units without DV; otherwise all the units can be tested on the APC stations.</t>
        </is>
      </c>
      <c r="L1720" s="43" t="inlineStr">
        <is>
          <t>Expired</t>
        </is>
      </c>
      <c r="M1720" s="43" t="inlineStr">
        <is>
          <t>73-18490-09</t>
        </is>
      </c>
      <c r="N1720" s="43" t="inlineStr"/>
      <c r="O1720" s="43" t="inlineStr">
        <is>
          <t>2025-07-09</t>
        </is>
      </c>
      <c r="P1720" s="33" t="inlineStr">
        <is>
          <t>Exception Process: Temporary Deviation written for a permanent change (To Be Followed by ECO)</t>
        </is>
      </c>
      <c r="Q1720" s="43" t="inlineStr">
        <is>
          <t>Add a label on the chassis with the legend APC; this will be removed before packaging on DF; add a label with the DV number on the chassis</t>
        </is>
      </c>
      <c r="R1720" s="43" t="inlineStr">
        <is>
          <t>2025-04-11</t>
        </is>
      </c>
      <c r="S1720" s="43" t="inlineStr">
        <is>
          <t>2025-04-24</t>
        </is>
      </c>
      <c r="T1720" s="43" t="inlineStr"/>
      <c r="U1720" s="43" t="inlineStr"/>
    </row>
    <row r="1721">
      <c r="A1721" s="43" t="n">
        <v>1721</v>
      </c>
      <c r="B1721" s="43" t="inlineStr">
        <is>
          <t>1720</t>
        </is>
      </c>
      <c r="C1721" s="43" t="inlineStr">
        <is>
          <t>FJZP</t>
        </is>
      </c>
      <c r="D1721" s="43" t="inlineStr">
        <is>
          <t>Cisco</t>
        </is>
      </c>
      <c r="E1721" s="43" t="inlineStr">
        <is>
          <t>MCGA</t>
        </is>
      </c>
      <c r="F1721" s="43" t="inlineStr">
        <is>
          <t>037-STBU</t>
        </is>
      </c>
      <c r="G1721" s="43" t="inlineStr">
        <is>
          <t>CTANJZ04557</t>
        </is>
      </c>
      <c r="H1721" s="43" t="inlineStr">
        <is>
          <t>Exception Process: Temporary Deviation written for a permanent change (To Be Followed by ECO)</t>
        </is>
      </c>
      <c r="I1721" s="43" t="inlineStr">
        <is>
          <t>Customer Deviation</t>
        </is>
      </c>
      <c r="J1721" s="43" t="inlineStr">
        <is>
          <t>D603243</t>
        </is>
      </c>
      <c r="K1721" s="33" t="inlineStr">
        <is>
          <t>D603243 FJZ will start to build with APC and AP2 platforms during normal production for PCBA and DF areas.FJZ to scan the DV number for the APC units; the units with no DV (AP2) will be not scanned.Remove the APC label before packing the unit on DF.If confirmed that the script can not test APC and AP2 at the same station; units will need to be tested on the APC station for the APC labeled units and on the AP2 station for the AP2 units without DV; otherwise all the units can be tested on the APC stations.</t>
        </is>
      </c>
      <c r="L1721" s="43" t="inlineStr">
        <is>
          <t>Expired</t>
        </is>
      </c>
      <c r="M1721" s="43" t="inlineStr">
        <is>
          <t>73-21007-02</t>
        </is>
      </c>
      <c r="N1721" s="43" t="inlineStr"/>
      <c r="O1721" s="43" t="inlineStr">
        <is>
          <t>2025-07-09</t>
        </is>
      </c>
      <c r="P1721" s="33" t="inlineStr">
        <is>
          <t>Exception Process: Temporary Deviation written for a permanent change (To Be Followed by ECO)</t>
        </is>
      </c>
      <c r="Q1721" s="43" t="inlineStr">
        <is>
          <t>Add a label on the chassis with the legend APC; this will be removed before packaging on DF; add a label with the DV number on the chassis</t>
        </is>
      </c>
      <c r="R1721" s="43" t="inlineStr">
        <is>
          <t>2025-04-11</t>
        </is>
      </c>
      <c r="S1721" s="43" t="inlineStr">
        <is>
          <t>2025-04-24</t>
        </is>
      </c>
      <c r="T1721" s="43" t="inlineStr"/>
      <c r="U1721" s="43" t="inlineStr"/>
    </row>
    <row r="1722">
      <c r="A1722" s="43" t="n">
        <v>1722</v>
      </c>
      <c r="B1722" s="43" t="inlineStr">
        <is>
          <t>1721</t>
        </is>
      </c>
      <c r="C1722" s="43" t="inlineStr">
        <is>
          <t>FJZP</t>
        </is>
      </c>
      <c r="D1722" s="43" t="inlineStr">
        <is>
          <t>Cisco</t>
        </is>
      </c>
      <c r="E1722" s="43" t="inlineStr">
        <is>
          <t>MCGA</t>
        </is>
      </c>
      <c r="F1722" s="43" t="inlineStr">
        <is>
          <t>037-STBU</t>
        </is>
      </c>
      <c r="G1722" s="43" t="inlineStr">
        <is>
          <t>CTANJZ04557</t>
        </is>
      </c>
      <c r="H1722" s="43" t="inlineStr">
        <is>
          <t>Exception Process: Temporary Deviation written for a permanent change (To Be Followed by ECO)</t>
        </is>
      </c>
      <c r="I1722" s="43" t="inlineStr">
        <is>
          <t>Customer Deviation</t>
        </is>
      </c>
      <c r="J1722" s="43" t="inlineStr">
        <is>
          <t>D603243</t>
        </is>
      </c>
      <c r="K1722" s="33" t="inlineStr">
        <is>
          <t>D603243 FJZ will start to build with APC and AP2 platforms during normal production for PCBA and DF areas.FJZ to scan the DV number for the APC units; the units with no DV (AP2) will be not scanned.Remove the APC label before packing the unit on DF.If confirmed that the script can not test APC and AP2 at the same station; units will need to be tested on the APC station for the APC labeled units and on the AP2 station for the AP2 units without DV; otherwise all the units can be tested on the APC stations.</t>
        </is>
      </c>
      <c r="L1722" s="43" t="inlineStr">
        <is>
          <t>Expired</t>
        </is>
      </c>
      <c r="M1722" s="43" t="inlineStr">
        <is>
          <t>800-104476-07</t>
        </is>
      </c>
      <c r="N1722" s="43" t="inlineStr"/>
      <c r="O1722" s="43" t="inlineStr">
        <is>
          <t>2025-07-09</t>
        </is>
      </c>
      <c r="P1722" s="33" t="inlineStr">
        <is>
          <t>Exception Process: Temporary Deviation written for a permanent change (To Be Followed by ECO)</t>
        </is>
      </c>
      <c r="Q1722" s="43" t="inlineStr">
        <is>
          <t>Add a label on the chassis with the legend APC; this will be removed before packaging on DF; add a label with the DV number on the chassis</t>
        </is>
      </c>
      <c r="R1722" s="43" t="inlineStr">
        <is>
          <t>2025-04-11</t>
        </is>
      </c>
      <c r="S1722" s="43" t="inlineStr">
        <is>
          <t>2025-04-24</t>
        </is>
      </c>
      <c r="T1722" s="43" t="inlineStr"/>
      <c r="U1722" s="43" t="inlineStr"/>
    </row>
    <row r="1723">
      <c r="A1723" s="43" t="n">
        <v>1723</v>
      </c>
      <c r="B1723" s="43" t="inlineStr">
        <is>
          <t>1722</t>
        </is>
      </c>
      <c r="C1723" s="43" t="inlineStr">
        <is>
          <t>FJZP</t>
        </is>
      </c>
      <c r="D1723" s="43" t="inlineStr">
        <is>
          <t>Cisco</t>
        </is>
      </c>
      <c r="E1723" s="43" t="inlineStr">
        <is>
          <t>MCGA</t>
        </is>
      </c>
      <c r="F1723" s="43" t="inlineStr">
        <is>
          <t>037-STBU</t>
        </is>
      </c>
      <c r="G1723" s="43" t="inlineStr">
        <is>
          <t>CTANJZ04557</t>
        </is>
      </c>
      <c r="H1723" s="43" t="inlineStr">
        <is>
          <t>Exception Process: Temporary Deviation written for a permanent change (To Be Followed by ECO)</t>
        </is>
      </c>
      <c r="I1723" s="43" t="inlineStr">
        <is>
          <t>Customer Deviation</t>
        </is>
      </c>
      <c r="J1723" s="43" t="inlineStr">
        <is>
          <t>D603243</t>
        </is>
      </c>
      <c r="K1723" s="33" t="inlineStr">
        <is>
          <t>D603243 FJZ will start to build with APC and AP2 platforms during normal production for PCBA and DF areas.FJZ to scan the DV number for the APC units; the units with no DV (AP2) will be not scanned.Remove the APC label before packing the unit on DF.If confirmed that the script can not test APC and AP2 at the same station; units will need to be tested on the APC station for the APC labeled units and on the AP2 station for the AP2 units without DV; otherwise all the units can be tested on the APC stations.</t>
        </is>
      </c>
      <c r="L1723" s="43" t="inlineStr">
        <is>
          <t>Expired</t>
        </is>
      </c>
      <c r="M1723" s="43" t="inlineStr">
        <is>
          <t>800-104788-03</t>
        </is>
      </c>
      <c r="N1723" s="43" t="inlineStr"/>
      <c r="O1723" s="43" t="inlineStr">
        <is>
          <t>2025-07-09</t>
        </is>
      </c>
      <c r="P1723" s="33" t="inlineStr">
        <is>
          <t>Exception Process: Temporary Deviation written for a permanent change (To Be Followed by ECO)</t>
        </is>
      </c>
      <c r="Q1723" s="43" t="inlineStr">
        <is>
          <t>Add a label on the chassis with the legend APC; this will be removed before packaging on DF; add a label with the DV number on the chassis</t>
        </is>
      </c>
      <c r="R1723" s="43" t="inlineStr">
        <is>
          <t>2025-04-11</t>
        </is>
      </c>
      <c r="S1723" s="43" t="inlineStr">
        <is>
          <t>2025-04-24</t>
        </is>
      </c>
      <c r="T1723" s="43" t="inlineStr"/>
      <c r="U1723" s="43" t="inlineStr"/>
    </row>
    <row r="1724">
      <c r="A1724" s="43" t="n">
        <v>1724</v>
      </c>
      <c r="B1724" s="43" t="inlineStr">
        <is>
          <t>1723</t>
        </is>
      </c>
      <c r="C1724" s="43" t="inlineStr">
        <is>
          <t>FJZP</t>
        </is>
      </c>
      <c r="D1724" s="43" t="inlineStr">
        <is>
          <t>Cisco</t>
        </is>
      </c>
      <c r="E1724" s="43" t="inlineStr">
        <is>
          <t>MCGA</t>
        </is>
      </c>
      <c r="F1724" s="43" t="inlineStr">
        <is>
          <t>037-STBU</t>
        </is>
      </c>
      <c r="G1724" s="43" t="inlineStr">
        <is>
          <t>CTANJZ04726</t>
        </is>
      </c>
      <c r="H1724" s="43" t="inlineStr">
        <is>
          <t>Exception Process: Temporary Deviation written for a permanent change (To Be Followed by ECO)</t>
        </is>
      </c>
      <c r="I1724" s="43" t="inlineStr">
        <is>
          <t>Customer Deviation</t>
        </is>
      </c>
      <c r="J1724" s="43" t="inlineStr">
        <is>
          <t>D604890</t>
        </is>
      </c>
      <c r="K1724" s="33" t="inlineStr">
        <is>
          <t>D604890Allow FJZ the usage of the -06 parts either thru risk buy or site balance for the number 700-107696-06.The EA612121 changed version -05 to -06 without notice to NGFWBU and the TANs were not  included on it.</t>
        </is>
      </c>
      <c r="L1724" s="43" t="inlineStr">
        <is>
          <t>Expired</t>
        </is>
      </c>
      <c r="M1724" s="43" t="inlineStr">
        <is>
          <t>700-107696-05</t>
        </is>
      </c>
      <c r="N1724" s="43" t="inlineStr"/>
      <c r="O1724" s="43" t="inlineStr">
        <is>
          <t>2025-10-09</t>
        </is>
      </c>
      <c r="P1724" s="33" t="inlineStr">
        <is>
          <t>Exception Process: Temporary Deviation written for a permanent change (To Be Followed by ECO)</t>
        </is>
      </c>
      <c r="Q1724" s="43" t="inlineStr">
        <is>
          <t>Add a label on the chassis of the unit next to the chassis label.</t>
        </is>
      </c>
      <c r="R1724" s="43" t="inlineStr">
        <is>
          <t>2025-07-14</t>
        </is>
      </c>
      <c r="S1724" s="43" t="inlineStr">
        <is>
          <t>2025-07-26</t>
        </is>
      </c>
      <c r="T1724" s="43" t="inlineStr"/>
      <c r="U1724" s="43" t="inlineStr"/>
    </row>
    <row r="1725">
      <c r="A1725" s="43" t="n">
        <v>1725</v>
      </c>
      <c r="B1725" s="43" t="inlineStr">
        <is>
          <t>1724</t>
        </is>
      </c>
      <c r="C1725" s="43" t="inlineStr">
        <is>
          <t>FJZP</t>
        </is>
      </c>
      <c r="D1725" s="43" t="inlineStr">
        <is>
          <t>Cisco</t>
        </is>
      </c>
      <c r="E1725" s="43" t="inlineStr">
        <is>
          <t>MCGA</t>
        </is>
      </c>
      <c r="F1725" s="43" t="inlineStr">
        <is>
          <t>037-STBU</t>
        </is>
      </c>
      <c r="G1725" s="43" t="inlineStr">
        <is>
          <t>CTANJZ04726</t>
        </is>
      </c>
      <c r="H1725" s="43" t="inlineStr">
        <is>
          <t>Exception Process: Temporary Deviation written for a permanent change (To Be Followed by ECO)</t>
        </is>
      </c>
      <c r="I1725" s="43" t="inlineStr">
        <is>
          <t>Customer Deviation</t>
        </is>
      </c>
      <c r="J1725" s="43" t="inlineStr">
        <is>
          <t>D604890</t>
        </is>
      </c>
      <c r="K1725" s="33" t="inlineStr">
        <is>
          <t>D604890Allow FJZ the usage of the -06 parts either thru risk buy or site balance for the number 700-107696-06.The EA612121 changed version -05 to -06 without notice to NGFWBU and the TANs were not  included on it.</t>
        </is>
      </c>
      <c r="L1725" s="43" t="inlineStr">
        <is>
          <t>Expired</t>
        </is>
      </c>
      <c r="M1725" s="43" t="inlineStr">
        <is>
          <t>800-105498-03</t>
        </is>
      </c>
      <c r="N1725" s="43" t="inlineStr"/>
      <c r="O1725" s="43" t="inlineStr">
        <is>
          <t>2025-10-09</t>
        </is>
      </c>
      <c r="P1725" s="33" t="inlineStr">
        <is>
          <t>Exception Process: Temporary Deviation written for a permanent change (To Be Followed by ECO)</t>
        </is>
      </c>
      <c r="Q1725" s="43" t="inlineStr">
        <is>
          <t>Add a label on the chassis of the unit next to the chassis label.</t>
        </is>
      </c>
      <c r="R1725" s="43" t="inlineStr">
        <is>
          <t>2025-07-14</t>
        </is>
      </c>
      <c r="S1725" s="43" t="inlineStr">
        <is>
          <t>2025-07-26</t>
        </is>
      </c>
      <c r="T1725" s="43" t="inlineStr"/>
      <c r="U1725" s="43" t="inlineStr"/>
    </row>
    <row r="1726">
      <c r="A1726" s="43" t="n">
        <v>1726</v>
      </c>
      <c r="B1726" s="43" t="inlineStr">
        <is>
          <t>1725</t>
        </is>
      </c>
      <c r="C1726" s="43" t="inlineStr">
        <is>
          <t>FJZP</t>
        </is>
      </c>
      <c r="D1726" s="43" t="inlineStr">
        <is>
          <t>Cisco</t>
        </is>
      </c>
      <c r="E1726" s="43" t="inlineStr">
        <is>
          <t>MCGA</t>
        </is>
      </c>
      <c r="F1726" s="43" t="inlineStr">
        <is>
          <t>037-STBU</t>
        </is>
      </c>
      <c r="G1726" s="43" t="inlineStr">
        <is>
          <t>CTANJZ04726</t>
        </is>
      </c>
      <c r="H1726" s="43" t="inlineStr">
        <is>
          <t>Exception Process: Temporary Deviation written for a permanent change (To Be Followed by ECO)</t>
        </is>
      </c>
      <c r="I1726" s="43" t="inlineStr">
        <is>
          <t>Customer Deviation</t>
        </is>
      </c>
      <c r="J1726" s="43" t="inlineStr">
        <is>
          <t>D604890</t>
        </is>
      </c>
      <c r="K1726" s="33" t="inlineStr">
        <is>
          <t>D604890Allow FJZ the usage of the -06 parts either thru risk buy or site balance for the number 700-107696-06.The EA612121 changed version -05 to -06 without notice to NGFWBU and the TANs were not  included on it.</t>
        </is>
      </c>
      <c r="L1726" s="43" t="inlineStr">
        <is>
          <t>Expired</t>
        </is>
      </c>
      <c r="M1726" s="43" t="inlineStr">
        <is>
          <t>800-105499-03</t>
        </is>
      </c>
      <c r="N1726" s="43" t="inlineStr"/>
      <c r="O1726" s="43" t="inlineStr">
        <is>
          <t>2025-10-09</t>
        </is>
      </c>
      <c r="P1726" s="33" t="inlineStr">
        <is>
          <t>Exception Process: Temporary Deviation written for a permanent change (To Be Followed by ECO)</t>
        </is>
      </c>
      <c r="Q1726" s="43" t="inlineStr">
        <is>
          <t>Add a label on the chassis of the unit next to the chassis label.</t>
        </is>
      </c>
      <c r="R1726" s="43" t="inlineStr">
        <is>
          <t>2025-07-14</t>
        </is>
      </c>
      <c r="S1726" s="43" t="inlineStr">
        <is>
          <t>2025-07-26</t>
        </is>
      </c>
      <c r="T1726" s="43" t="inlineStr"/>
      <c r="U1726" s="43" t="inlineStr"/>
    </row>
    <row r="1727">
      <c r="A1727" s="43" t="n">
        <v>1727</v>
      </c>
      <c r="B1727" s="43" t="inlineStr">
        <is>
          <t>1726</t>
        </is>
      </c>
      <c r="C1727" s="43" t="inlineStr">
        <is>
          <t>FJZP</t>
        </is>
      </c>
      <c r="D1727" s="43" t="inlineStr">
        <is>
          <t>Cisco</t>
        </is>
      </c>
      <c r="E1727" s="43" t="inlineStr">
        <is>
          <t>MCGA</t>
        </is>
      </c>
      <c r="F1727" s="43" t="inlineStr">
        <is>
          <t>037-STBU</t>
        </is>
      </c>
      <c r="G1727" s="43" t="inlineStr">
        <is>
          <t>CTANJZ04726</t>
        </is>
      </c>
      <c r="H1727" s="43" t="inlineStr">
        <is>
          <t>Exception Process: Temporary Deviation written for a permanent change (To Be Followed by ECO)</t>
        </is>
      </c>
      <c r="I1727" s="43" t="inlineStr">
        <is>
          <t>Customer Deviation</t>
        </is>
      </c>
      <c r="J1727" s="43" t="inlineStr">
        <is>
          <t>D604890</t>
        </is>
      </c>
      <c r="K1727" s="33" t="inlineStr">
        <is>
          <t>D604890Allow FJZ the usage of the -06 parts either thru risk buy or site balance for the number 700-107696-06.The EA612121 changed version -05 to -06 without notice to NGFWBU and the TANs were not  included on it.</t>
        </is>
      </c>
      <c r="L1727" s="43" t="inlineStr">
        <is>
          <t>Expired</t>
        </is>
      </c>
      <c r="M1727" s="43" t="inlineStr">
        <is>
          <t>800-105500-03</t>
        </is>
      </c>
      <c r="N1727" s="43" t="inlineStr"/>
      <c r="O1727" s="43" t="inlineStr">
        <is>
          <t>2025-10-09</t>
        </is>
      </c>
      <c r="P1727" s="33" t="inlineStr">
        <is>
          <t>Exception Process: Temporary Deviation written for a permanent change (To Be Followed by ECO)</t>
        </is>
      </c>
      <c r="Q1727" s="43" t="inlineStr">
        <is>
          <t>Add a label on the chassis of the unit next to the chassis label.</t>
        </is>
      </c>
      <c r="R1727" s="43" t="inlineStr">
        <is>
          <t>2025-07-14</t>
        </is>
      </c>
      <c r="S1727" s="43" t="inlineStr">
        <is>
          <t>2025-07-26</t>
        </is>
      </c>
      <c r="T1727" s="43" t="inlineStr"/>
      <c r="U1727" s="43" t="inlineStr"/>
    </row>
    <row r="1728">
      <c r="A1728" s="43" t="n">
        <v>1728</v>
      </c>
      <c r="B1728" s="43" t="inlineStr">
        <is>
          <t>1727</t>
        </is>
      </c>
      <c r="C1728" s="43" t="inlineStr">
        <is>
          <t>FJZP</t>
        </is>
      </c>
      <c r="D1728" s="43" t="inlineStr">
        <is>
          <t>Cisco</t>
        </is>
      </c>
      <c r="E1728" s="43" t="inlineStr">
        <is>
          <t>MCGA</t>
        </is>
      </c>
      <c r="F1728" s="43" t="inlineStr">
        <is>
          <t>037-STBU</t>
        </is>
      </c>
      <c r="G1728" s="43" t="inlineStr">
        <is>
          <t>CTANJZ04726</t>
        </is>
      </c>
      <c r="H1728" s="43" t="inlineStr">
        <is>
          <t>Exception Process: Temporary Deviation written for a permanent change (To Be Followed by ECO)</t>
        </is>
      </c>
      <c r="I1728" s="43" t="inlineStr">
        <is>
          <t>Customer Deviation</t>
        </is>
      </c>
      <c r="J1728" s="43" t="inlineStr">
        <is>
          <t>D604890</t>
        </is>
      </c>
      <c r="K1728" s="33" t="inlineStr">
        <is>
          <t>D604890Allow FJZ the usage of the -06 parts either thru risk buy or site balance for the number 700-107696-06.The EA612121 changed version -05 to -06 without notice to NGFWBU and the TANs were not  included on it.</t>
        </is>
      </c>
      <c r="L1728" s="43" t="inlineStr">
        <is>
          <t>Expired</t>
        </is>
      </c>
      <c r="M1728" s="43" t="inlineStr">
        <is>
          <t>800-106632-03</t>
        </is>
      </c>
      <c r="N1728" s="43" t="inlineStr"/>
      <c r="O1728" s="43" t="inlineStr">
        <is>
          <t>2025-10-09</t>
        </is>
      </c>
      <c r="P1728" s="33" t="inlineStr">
        <is>
          <t>Exception Process: Temporary Deviation written for a permanent change (To Be Followed by ECO)</t>
        </is>
      </c>
      <c r="Q1728" s="43" t="inlineStr">
        <is>
          <t>Add a label on the chassis of the unit next to the chassis label.</t>
        </is>
      </c>
      <c r="R1728" s="43" t="inlineStr">
        <is>
          <t>2025-07-14</t>
        </is>
      </c>
      <c r="S1728" s="43" t="inlineStr">
        <is>
          <t>2025-07-26</t>
        </is>
      </c>
      <c r="T1728" s="43" t="inlineStr"/>
      <c r="U1728" s="43" t="inlineStr"/>
    </row>
    <row r="1729">
      <c r="A1729" s="43" t="n">
        <v>1729</v>
      </c>
      <c r="B1729" s="43" t="inlineStr">
        <is>
          <t>1728</t>
        </is>
      </c>
      <c r="C1729" s="43" t="inlineStr">
        <is>
          <t>FJZP</t>
        </is>
      </c>
      <c r="D1729" s="43" t="inlineStr">
        <is>
          <t>Cisco</t>
        </is>
      </c>
      <c r="E1729" s="43" t="inlineStr">
        <is>
          <t>MCGA</t>
        </is>
      </c>
      <c r="F1729" s="43" t="inlineStr">
        <is>
          <t>037-STBU</t>
        </is>
      </c>
      <c r="G1729" s="43" t="inlineStr">
        <is>
          <t>CTANJZ04726</t>
        </is>
      </c>
      <c r="H1729" s="43" t="inlineStr">
        <is>
          <t>Exception Process: Temporary Deviation written for a permanent change (To Be Followed by ECO)</t>
        </is>
      </c>
      <c r="I1729" s="43" t="inlineStr">
        <is>
          <t>Customer Deviation</t>
        </is>
      </c>
      <c r="J1729" s="43" t="inlineStr">
        <is>
          <t>D604890</t>
        </is>
      </c>
      <c r="K1729" s="33" t="inlineStr">
        <is>
          <t>D604890Allow FJZ the usage of the -06 parts either thru risk buy or site balance for the number 700-107696-06.The EA612121 changed version -05 to -06 without notice to NGFWBU and the TANs were not  included on it.</t>
        </is>
      </c>
      <c r="L1729" s="43" t="inlineStr">
        <is>
          <t>Expired</t>
        </is>
      </c>
      <c r="M1729" s="43" t="inlineStr">
        <is>
          <t>800-106633-03</t>
        </is>
      </c>
      <c r="N1729" s="43" t="inlineStr"/>
      <c r="O1729" s="43" t="inlineStr">
        <is>
          <t>2025-10-09</t>
        </is>
      </c>
      <c r="P1729" s="33" t="inlineStr">
        <is>
          <t>Exception Process: Temporary Deviation written for a permanent change (To Be Followed by ECO)</t>
        </is>
      </c>
      <c r="Q1729" s="43" t="inlineStr">
        <is>
          <t>Add a label on the chassis of the unit next to the chassis label.</t>
        </is>
      </c>
      <c r="R1729" s="43" t="inlineStr">
        <is>
          <t>2025-07-14</t>
        </is>
      </c>
      <c r="S1729" s="43" t="inlineStr">
        <is>
          <t>2025-07-26</t>
        </is>
      </c>
      <c r="T1729" s="43" t="inlineStr"/>
      <c r="U1729" s="43" t="inlineStr"/>
    </row>
    <row r="1730">
      <c r="A1730" s="43" t="n">
        <v>1730</v>
      </c>
      <c r="B1730" s="43" t="inlineStr">
        <is>
          <t>1729</t>
        </is>
      </c>
      <c r="C1730" s="43" t="inlineStr">
        <is>
          <t>FJZP</t>
        </is>
      </c>
      <c r="D1730" s="43" t="inlineStr">
        <is>
          <t>Cisco</t>
        </is>
      </c>
      <c r="E1730" s="43" t="inlineStr">
        <is>
          <t>MCGA</t>
        </is>
      </c>
      <c r="F1730" s="43" t="inlineStr">
        <is>
          <t>037-STBU</t>
        </is>
      </c>
      <c r="G1730" s="43" t="inlineStr">
        <is>
          <t>CTANJZ04726</t>
        </is>
      </c>
      <c r="H1730" s="43" t="inlineStr">
        <is>
          <t>Exception Process: Temporary Deviation written for a permanent change (To Be Followed by ECO)</t>
        </is>
      </c>
      <c r="I1730" s="43" t="inlineStr">
        <is>
          <t>Customer Deviation</t>
        </is>
      </c>
      <c r="J1730" s="43" t="inlineStr">
        <is>
          <t>D604890</t>
        </is>
      </c>
      <c r="K1730" s="33" t="inlineStr">
        <is>
          <t>D604890Allow FJZ the usage of the -06 parts either thru risk buy or site balance for the number 700-107696-06.The EA612121 changed version -05 to -06 without notice to NGFWBU and the TANs were not  included on it.</t>
        </is>
      </c>
      <c r="L1730" s="43" t="inlineStr">
        <is>
          <t>Expired</t>
        </is>
      </c>
      <c r="M1730" s="43" t="inlineStr">
        <is>
          <t>800-106634-03</t>
        </is>
      </c>
      <c r="N1730" s="43" t="inlineStr"/>
      <c r="O1730" s="43" t="inlineStr">
        <is>
          <t>2025-10-09</t>
        </is>
      </c>
      <c r="P1730" s="33" t="inlineStr">
        <is>
          <t>Exception Process: Temporary Deviation written for a permanent change (To Be Followed by ECO)</t>
        </is>
      </c>
      <c r="Q1730" s="43" t="inlineStr">
        <is>
          <t>Add a label on the chassis of the unit next to the chassis label.</t>
        </is>
      </c>
      <c r="R1730" s="43" t="inlineStr">
        <is>
          <t>2025-07-14</t>
        </is>
      </c>
      <c r="S1730" s="43" t="inlineStr">
        <is>
          <t>2025-07-26</t>
        </is>
      </c>
      <c r="T1730" s="43" t="inlineStr"/>
      <c r="U1730" s="43" t="inlineStr"/>
    </row>
    <row r="1731">
      <c r="A1731" s="43" t="n">
        <v>1731</v>
      </c>
      <c r="B1731" s="43" t="inlineStr">
        <is>
          <t>1730</t>
        </is>
      </c>
      <c r="C1731" s="43" t="inlineStr">
        <is>
          <t>FJZP</t>
        </is>
      </c>
      <c r="D1731" s="43" t="inlineStr">
        <is>
          <t>Cisco</t>
        </is>
      </c>
      <c r="E1731" s="43" t="inlineStr">
        <is>
          <t>MCGA</t>
        </is>
      </c>
      <c r="F1731" s="43" t="inlineStr">
        <is>
          <t>037-STBU</t>
        </is>
      </c>
      <c r="G1731" s="43" t="inlineStr">
        <is>
          <t>CTANJZ04726</t>
        </is>
      </c>
      <c r="H1731" s="43" t="inlineStr">
        <is>
          <t>Exception Process: Temporary Deviation written for a permanent change (To Be Followed by ECO)</t>
        </is>
      </c>
      <c r="I1731" s="43" t="inlineStr">
        <is>
          <t>Customer Deviation</t>
        </is>
      </c>
      <c r="J1731" s="43" t="inlineStr">
        <is>
          <t>D604890</t>
        </is>
      </c>
      <c r="K1731" s="33" t="inlineStr">
        <is>
          <t>D604890Allow FJZ the usage of the -06 parts either thru risk buy or site balance for the number 700-107696-06.The EA612121 changed version -05 to -06 without notice to NGFWBU and the TANs were not  included on it.</t>
        </is>
      </c>
      <c r="L1731" s="43" t="inlineStr">
        <is>
          <t>Expired</t>
        </is>
      </c>
      <c r="M1731" s="43" t="inlineStr">
        <is>
          <t>800-106754-02</t>
        </is>
      </c>
      <c r="N1731" s="43" t="inlineStr"/>
      <c r="O1731" s="43" t="inlineStr">
        <is>
          <t>2025-10-09</t>
        </is>
      </c>
      <c r="P1731" s="33" t="inlineStr">
        <is>
          <t>Exception Process: Temporary Deviation written for a permanent change (To Be Followed by ECO)</t>
        </is>
      </c>
      <c r="Q1731" s="43" t="inlineStr">
        <is>
          <t>Add a label on the chassis of the unit next to the chassis label.</t>
        </is>
      </c>
      <c r="R1731" s="43" t="inlineStr">
        <is>
          <t>2025-07-14</t>
        </is>
      </c>
      <c r="S1731" s="43" t="inlineStr">
        <is>
          <t>2025-07-26</t>
        </is>
      </c>
      <c r="T1731" s="43" t="inlineStr"/>
      <c r="U1731" s="43" t="inlineStr"/>
    </row>
    <row r="1732">
      <c r="A1732" s="43" t="n">
        <v>1732</v>
      </c>
      <c r="B1732" s="43" t="inlineStr">
        <is>
          <t>1731</t>
        </is>
      </c>
      <c r="C1732" s="43" t="inlineStr">
        <is>
          <t>FJZP</t>
        </is>
      </c>
      <c r="D1732" s="43" t="inlineStr">
        <is>
          <t>Cisco</t>
        </is>
      </c>
      <c r="E1732" s="43" t="inlineStr">
        <is>
          <t>MCGA</t>
        </is>
      </c>
      <c r="F1732" s="43" t="inlineStr">
        <is>
          <t>037-STBU</t>
        </is>
      </c>
      <c r="G1732" s="43" t="inlineStr">
        <is>
          <t>CTANJZ04726</t>
        </is>
      </c>
      <c r="H1732" s="43" t="inlineStr">
        <is>
          <t>Exception Process: Temporary Deviation written for a permanent change (To Be Followed by ECO)</t>
        </is>
      </c>
      <c r="I1732" s="43" t="inlineStr">
        <is>
          <t>Customer Deviation</t>
        </is>
      </c>
      <c r="J1732" s="43" t="inlineStr">
        <is>
          <t>D604890</t>
        </is>
      </c>
      <c r="K1732" s="33" t="inlineStr">
        <is>
          <t>D604890Allow FJZ the usage of the -06 parts either thru risk buy or site balance for the number 700-107696-06.The EA612121 changed version -05 to -06 without notice to NGFWBU and the TANs were not  included on it.</t>
        </is>
      </c>
      <c r="L1732" s="43" t="inlineStr">
        <is>
          <t>Expired</t>
        </is>
      </c>
      <c r="M1732" s="43" t="inlineStr">
        <is>
          <t>800-106838-02</t>
        </is>
      </c>
      <c r="N1732" s="43" t="inlineStr"/>
      <c r="O1732" s="43" t="inlineStr">
        <is>
          <t>2025-10-09</t>
        </is>
      </c>
      <c r="P1732" s="33" t="inlineStr">
        <is>
          <t>Exception Process: Temporary Deviation written for a permanent change (To Be Followed by ECO)</t>
        </is>
      </c>
      <c r="Q1732" s="43" t="inlineStr">
        <is>
          <t>Add a label on the chassis of the unit next to the chassis label.</t>
        </is>
      </c>
      <c r="R1732" s="43" t="inlineStr">
        <is>
          <t>2025-07-14</t>
        </is>
      </c>
      <c r="S1732" s="43" t="inlineStr">
        <is>
          <t>2025-07-26</t>
        </is>
      </c>
      <c r="T1732" s="43" t="inlineStr"/>
      <c r="U1732" s="43" t="inlineStr"/>
    </row>
    <row r="1733">
      <c r="A1733" s="43" t="n">
        <v>1733</v>
      </c>
      <c r="B1733" s="43" t="inlineStr">
        <is>
          <t>1732</t>
        </is>
      </c>
      <c r="C1733" s="43" t="inlineStr">
        <is>
          <t>FJZP</t>
        </is>
      </c>
      <c r="D1733" s="43" t="inlineStr">
        <is>
          <t>Cisco</t>
        </is>
      </c>
      <c r="E1733" s="43" t="inlineStr">
        <is>
          <t>MCGA</t>
        </is>
      </c>
      <c r="F1733" s="43" t="inlineStr">
        <is>
          <t>037-STBU</t>
        </is>
      </c>
      <c r="G1733" s="43" t="inlineStr">
        <is>
          <t>CTANJZ04435</t>
        </is>
      </c>
      <c r="H1733" s="43" t="inlineStr">
        <is>
          <t>Exception Process: Temporary Deviation written for a permanent change (To Be Followed by ECO)</t>
        </is>
      </c>
      <c r="I1733" s="43" t="inlineStr">
        <is>
          <t>Customer Deviation</t>
        </is>
      </c>
      <c r="J1733" s="43" t="inlineStr">
        <is>
          <t>D596346</t>
        </is>
      </c>
      <c r="K1733" s="33" t="inlineStr">
        <is>
          <t>D596346 NGFWBU: GEN2 Net Mod; 68-104010-01 FNLASY; FPR-X-NM; GEN2;8X1G; BOROUGH.  The Borough PCBA is not sufficiently supported by the Borough mechanical Carrier.  Additional metal Spacer(s) and Formex insulator film is required to support the PCBA and prevent any risk of component damage and prevent potential electrical shorting of active components and via's.  This Deviation supports the evaluation of a temporary fix until a permanent change is implemented.</t>
        </is>
      </c>
      <c r="L1733" s="43" t="inlineStr">
        <is>
          <t>Expired</t>
        </is>
      </c>
      <c r="M1733" s="43" t="inlineStr">
        <is>
          <t>68-104010-01</t>
        </is>
      </c>
      <c r="N1733" s="43" t="inlineStr"/>
      <c r="O1733" s="43" t="inlineStr">
        <is>
          <t>2025-05-06</t>
        </is>
      </c>
      <c r="P1733" s="33" t="inlineStr">
        <is>
          <t>Exception Process: Temporary Deviation written for a permanent change (To Be Followed by ECO)</t>
        </is>
      </c>
      <c r="Q1733" s="43" t="inlineStr">
        <is>
          <t>Please Deviation Number on the bottom surface of the Carrier next to the Compliance Label; POD</t>
        </is>
      </c>
      <c r="R1733" s="43" t="inlineStr">
        <is>
          <t>2025-02-06</t>
        </is>
      </c>
      <c r="S1733" s="43" t="inlineStr">
        <is>
          <t>2025-02-21</t>
        </is>
      </c>
      <c r="T1733" s="43" t="inlineStr"/>
      <c r="U1733" s="43" t="inlineStr"/>
    </row>
    <row r="1734">
      <c r="A1734" s="43" t="n">
        <v>1734</v>
      </c>
      <c r="B1734" s="43" t="inlineStr">
        <is>
          <t>1733</t>
        </is>
      </c>
      <c r="C1734" s="43" t="inlineStr">
        <is>
          <t>FJZP</t>
        </is>
      </c>
      <c r="D1734" s="43" t="inlineStr">
        <is>
          <t>Cisco</t>
        </is>
      </c>
      <c r="E1734" s="43" t="inlineStr">
        <is>
          <t>MCGA</t>
        </is>
      </c>
      <c r="F1734" s="43" t="inlineStr">
        <is>
          <t>018-SRGBU</t>
        </is>
      </c>
      <c r="G1734" s="43" t="inlineStr">
        <is>
          <t>CTANJZ04465</t>
        </is>
      </c>
      <c r="H1734" s="43" t="inlineStr">
        <is>
          <t>Exception Process: Temporary Deviation written for a permanent change (To Be Followed by ECO)</t>
        </is>
      </c>
      <c r="I1734" s="43" t="inlineStr">
        <is>
          <t>Customer Deviation</t>
        </is>
      </c>
      <c r="J1734" s="43" t="inlineStr">
        <is>
          <t>D602184</t>
        </is>
      </c>
      <c r="K1734" s="33" t="inlineStr">
        <is>
          <t>D602184SRGBU-Promethium; Promethium-L; Tabei-L:Allow the use of the Re-Spin fab by the JDM partner; while waiting for confirmation from the MCN/AQR team</t>
        </is>
      </c>
      <c r="L1734" s="43" t="inlineStr">
        <is>
          <t>Expired</t>
        </is>
      </c>
      <c r="M1734" s="43" t="inlineStr">
        <is>
          <t>74-122338-03</t>
        </is>
      </c>
      <c r="N1734" s="43" t="inlineStr"/>
      <c r="O1734" s="43" t="inlineStr">
        <is>
          <t>2025-05-19</t>
        </is>
      </c>
      <c r="P1734" s="33" t="inlineStr">
        <is>
          <t>Exception Process: Temporary Deviation written for a permanent change (To Be Followed by ECO)</t>
        </is>
      </c>
      <c r="Q1734" s="43" t="inlineStr">
        <is>
          <t>All units are to be labeled with this deviation number. All units are to store this deviation number in the ID PROM</t>
        </is>
      </c>
      <c r="R1734" s="43" t="inlineStr">
        <is>
          <t>2025-02-19</t>
        </is>
      </c>
      <c r="S1734" s="43" t="inlineStr">
        <is>
          <t>2025-02-25</t>
        </is>
      </c>
      <c r="T1734" s="43" t="inlineStr"/>
      <c r="U1734" s="43" t="inlineStr"/>
    </row>
    <row r="1735">
      <c r="A1735" s="43" t="n">
        <v>1735</v>
      </c>
      <c r="B1735" s="43" t="inlineStr">
        <is>
          <t>1734</t>
        </is>
      </c>
      <c r="C1735" s="43" t="inlineStr">
        <is>
          <t>FJZP</t>
        </is>
      </c>
      <c r="D1735" s="43" t="inlineStr">
        <is>
          <t>Cisco</t>
        </is>
      </c>
      <c r="E1735" s="43" t="inlineStr">
        <is>
          <t>MCGA</t>
        </is>
      </c>
      <c r="F1735" s="43" t="inlineStr">
        <is>
          <t>018-SRGBU</t>
        </is>
      </c>
      <c r="G1735" s="43" t="inlineStr">
        <is>
          <t>CTANJZ04465</t>
        </is>
      </c>
      <c r="H1735" s="43" t="inlineStr">
        <is>
          <t>Exception Process: Temporary Deviation written for a permanent change (To Be Followed by ECO)</t>
        </is>
      </c>
      <c r="I1735" s="43" t="inlineStr">
        <is>
          <t>Customer Deviation</t>
        </is>
      </c>
      <c r="J1735" s="43" t="inlineStr">
        <is>
          <t>D602184</t>
        </is>
      </c>
      <c r="K1735" s="33" t="inlineStr">
        <is>
          <t>D602184SRGBU-Promethium; Promethium-L; Tabei-L:Allow the use of the Re-Spin fab by the JDM partner; while waiting for confirmation from the MCN/AQR team</t>
        </is>
      </c>
      <c r="L1735" s="43" t="inlineStr">
        <is>
          <t>Expired</t>
        </is>
      </c>
      <c r="M1735" s="43" t="inlineStr">
        <is>
          <t>74-122543-04</t>
        </is>
      </c>
      <c r="N1735" s="43" t="inlineStr"/>
      <c r="O1735" s="43" t="inlineStr">
        <is>
          <t>2025-05-19</t>
        </is>
      </c>
      <c r="P1735" s="33" t="inlineStr">
        <is>
          <t>Exception Process: Temporary Deviation written for a permanent change (To Be Followed by ECO)</t>
        </is>
      </c>
      <c r="Q1735" s="43" t="inlineStr">
        <is>
          <t>All units are to be labeled with this deviation number. All units are to store this deviation number in the ID PROM</t>
        </is>
      </c>
      <c r="R1735" s="43" t="inlineStr">
        <is>
          <t>2025-02-19</t>
        </is>
      </c>
      <c r="S1735" s="43" t="inlineStr">
        <is>
          <t>2025-02-25</t>
        </is>
      </c>
      <c r="T1735" s="43" t="inlineStr"/>
      <c r="U1735" s="43" t="inlineStr"/>
    </row>
    <row r="1736">
      <c r="A1736" s="43" t="n">
        <v>1736</v>
      </c>
      <c r="B1736" s="43" t="inlineStr">
        <is>
          <t>1735</t>
        </is>
      </c>
      <c r="C1736" s="43" t="inlineStr">
        <is>
          <t>FJZP</t>
        </is>
      </c>
      <c r="D1736" s="43" t="inlineStr">
        <is>
          <t>Cisco</t>
        </is>
      </c>
      <c r="E1736" s="43" t="inlineStr">
        <is>
          <t>MCGA</t>
        </is>
      </c>
      <c r="F1736" s="43" t="inlineStr">
        <is>
          <t>018-SRGBU</t>
        </is>
      </c>
      <c r="G1736" s="43" t="inlineStr">
        <is>
          <t>CTANJZ04465</t>
        </is>
      </c>
      <c r="H1736" s="43" t="inlineStr">
        <is>
          <t>Exception Process: Temporary Deviation written for a permanent change (To Be Followed by ECO)</t>
        </is>
      </c>
      <c r="I1736" s="43" t="inlineStr">
        <is>
          <t>Customer Deviation</t>
        </is>
      </c>
      <c r="J1736" s="43" t="inlineStr">
        <is>
          <t>D602184</t>
        </is>
      </c>
      <c r="K1736" s="33" t="inlineStr">
        <is>
          <t>D602184SRGBU-Promethium; Promethium-L; Tabei-L:Allow the use of the Re-Spin fab by the JDM partner; while waiting for confirmation from the MCN/AQR team</t>
        </is>
      </c>
      <c r="L1736" s="43" t="inlineStr">
        <is>
          <t>Expired</t>
        </is>
      </c>
      <c r="M1736" s="43" t="inlineStr">
        <is>
          <t>74-125686-03</t>
        </is>
      </c>
      <c r="N1736" s="43" t="inlineStr"/>
      <c r="O1736" s="43" t="inlineStr">
        <is>
          <t>2025-05-19</t>
        </is>
      </c>
      <c r="P1736" s="33" t="inlineStr">
        <is>
          <t>Exception Process: Temporary Deviation written for a permanent change (To Be Followed by ECO)</t>
        </is>
      </c>
      <c r="Q1736" s="43" t="inlineStr">
        <is>
          <t>All units are to be labeled with this deviation number. All units are to store this deviation number in the ID PROM</t>
        </is>
      </c>
      <c r="R1736" s="43" t="inlineStr">
        <is>
          <t>2025-02-19</t>
        </is>
      </c>
      <c r="S1736" s="43" t="inlineStr">
        <is>
          <t>2025-02-25</t>
        </is>
      </c>
      <c r="T1736" s="43" t="inlineStr"/>
      <c r="U1736" s="43" t="inlineStr"/>
    </row>
    <row r="1737">
      <c r="A1737" s="43" t="n">
        <v>1737</v>
      </c>
      <c r="B1737" s="43" t="inlineStr">
        <is>
          <t>1736</t>
        </is>
      </c>
      <c r="C1737" s="43" t="inlineStr">
        <is>
          <t>FJZP</t>
        </is>
      </c>
      <c r="D1737" s="43" t="inlineStr">
        <is>
          <t>Cisco</t>
        </is>
      </c>
      <c r="E1737" s="43" t="inlineStr">
        <is>
          <t>MCGA</t>
        </is>
      </c>
      <c r="F1737" s="43" t="inlineStr">
        <is>
          <t>037-STBU</t>
        </is>
      </c>
      <c r="G1737" s="43" t="inlineStr">
        <is>
          <t>CTANJZ04473</t>
        </is>
      </c>
      <c r="H1737" s="43" t="inlineStr">
        <is>
          <t>Exception Process: Temporary Deviation written for a permanent change (To Be Followed by ECO)</t>
        </is>
      </c>
      <c r="I1737" s="43" t="inlineStr">
        <is>
          <t>Customer Deviation</t>
        </is>
      </c>
      <c r="J1737" s="43" t="inlineStr">
        <is>
          <t>D602345</t>
        </is>
      </c>
      <c r="K1737" s="33" t="inlineStr">
        <is>
          <t>D602345 Please see PageThree for details</t>
        </is>
      </c>
      <c r="L1737" s="43" t="inlineStr">
        <is>
          <t>Expired</t>
        </is>
      </c>
      <c r="M1737" s="43" t="inlineStr">
        <is>
          <t>17-103202-03</t>
        </is>
      </c>
      <c r="N1737" s="43" t="inlineStr"/>
      <c r="O1737" s="43" t="inlineStr">
        <is>
          <t>2025-05-22</t>
        </is>
      </c>
      <c r="P1737" s="33" t="inlineStr">
        <is>
          <t>Exception Process: Temporary Deviation written for a permanent change (To Be Followed by ECO)</t>
        </is>
      </c>
      <c r="Q1737" s="43" t="inlineStr">
        <is>
          <t>Add this Deviation w/Label; to the PCBA and on the bottom side of the Enclosure in a visible location in proximity with the Compliance Label</t>
        </is>
      </c>
      <c r="R1737" s="43" t="inlineStr">
        <is>
          <t>2025-02-22</t>
        </is>
      </c>
      <c r="S1737" s="43" t="inlineStr">
        <is>
          <t>2025-03-04</t>
        </is>
      </c>
      <c r="T1737" s="43" t="inlineStr"/>
      <c r="U1737" s="43" t="inlineStr"/>
    </row>
    <row r="1738">
      <c r="A1738" s="43" t="n">
        <v>1738</v>
      </c>
      <c r="B1738" s="43" t="inlineStr">
        <is>
          <t>1737</t>
        </is>
      </c>
      <c r="C1738" s="43" t="inlineStr">
        <is>
          <t>FJZP</t>
        </is>
      </c>
      <c r="D1738" s="43" t="inlineStr">
        <is>
          <t>Cisco</t>
        </is>
      </c>
      <c r="E1738" s="43" t="inlineStr">
        <is>
          <t>MCGA</t>
        </is>
      </c>
      <c r="F1738" s="43" t="inlineStr">
        <is>
          <t>037-STBU</t>
        </is>
      </c>
      <c r="G1738" s="43" t="inlineStr">
        <is>
          <t>CTANJZ04473</t>
        </is>
      </c>
      <c r="H1738" s="43" t="inlineStr">
        <is>
          <t>Exception Process: Temporary Deviation written for a permanent change (To Be Followed by ECO)</t>
        </is>
      </c>
      <c r="I1738" s="43" t="inlineStr">
        <is>
          <t>Customer Deviation</t>
        </is>
      </c>
      <c r="J1738" s="43" t="inlineStr">
        <is>
          <t>D602345</t>
        </is>
      </c>
      <c r="K1738" s="33" t="inlineStr">
        <is>
          <t>D602345 Please see PageThree for details</t>
        </is>
      </c>
      <c r="L1738" s="43" t="inlineStr">
        <is>
          <t>Expired</t>
        </is>
      </c>
      <c r="M1738" s="43" t="inlineStr">
        <is>
          <t>74-134450-04</t>
        </is>
      </c>
      <c r="N1738" s="43" t="inlineStr"/>
      <c r="O1738" s="43" t="inlineStr">
        <is>
          <t>2025-05-22</t>
        </is>
      </c>
      <c r="P1738" s="33" t="inlineStr">
        <is>
          <t>Exception Process: Temporary Deviation written for a permanent change (To Be Followed by ECO)</t>
        </is>
      </c>
      <c r="Q1738" s="43" t="inlineStr">
        <is>
          <t>Add this Deviation w/Label; to the PCBA and on the bottom side of the Enclosure in a visible location in proximity with the Compliance Label</t>
        </is>
      </c>
      <c r="R1738" s="43" t="inlineStr">
        <is>
          <t>2025-02-22</t>
        </is>
      </c>
      <c r="S1738" s="43" t="inlineStr">
        <is>
          <t>2025-03-04</t>
        </is>
      </c>
      <c r="T1738" s="43" t="inlineStr"/>
      <c r="U1738" s="43" t="inlineStr"/>
    </row>
    <row r="1739">
      <c r="A1739" s="43" t="n">
        <v>1739</v>
      </c>
      <c r="B1739" s="43" t="inlineStr">
        <is>
          <t>1738</t>
        </is>
      </c>
      <c r="C1739" s="43" t="inlineStr">
        <is>
          <t>FJZP</t>
        </is>
      </c>
      <c r="D1739" s="43" t="inlineStr">
        <is>
          <t>Cisco</t>
        </is>
      </c>
      <c r="E1739" s="43" t="inlineStr">
        <is>
          <t>MCGA</t>
        </is>
      </c>
      <c r="F1739" s="43" t="inlineStr">
        <is>
          <t>037-STBU</t>
        </is>
      </c>
      <c r="G1739" s="43" t="inlineStr">
        <is>
          <t>CTANJZ04473</t>
        </is>
      </c>
      <c r="H1739" s="43" t="inlineStr">
        <is>
          <t>Exception Process: Temporary Deviation written for a permanent change (To Be Followed by ECO)</t>
        </is>
      </c>
      <c r="I1739" s="43" t="inlineStr">
        <is>
          <t>Customer Deviation</t>
        </is>
      </c>
      <c r="J1739" s="43" t="inlineStr">
        <is>
          <t>D602345</t>
        </is>
      </c>
      <c r="K1739" s="33" t="inlineStr">
        <is>
          <t>D602345 Please see PageThree for details</t>
        </is>
      </c>
      <c r="L1739" s="43" t="inlineStr">
        <is>
          <t>Expired</t>
        </is>
      </c>
      <c r="M1739" s="43" t="inlineStr">
        <is>
          <t>74-134451-04</t>
        </is>
      </c>
      <c r="N1739" s="43" t="inlineStr"/>
      <c r="O1739" s="43" t="inlineStr">
        <is>
          <t>2025-05-22</t>
        </is>
      </c>
      <c r="P1739" s="33" t="inlineStr">
        <is>
          <t>Exception Process: Temporary Deviation written for a permanent change (To Be Followed by ECO)</t>
        </is>
      </c>
      <c r="Q1739" s="43" t="inlineStr">
        <is>
          <t>Add this Deviation w/Label; to the PCBA and on the bottom side of the Enclosure in a visible location in proximity with the Compliance Label</t>
        </is>
      </c>
      <c r="R1739" s="43" t="inlineStr">
        <is>
          <t>2025-02-22</t>
        </is>
      </c>
      <c r="S1739" s="43" t="inlineStr">
        <is>
          <t>2025-03-04</t>
        </is>
      </c>
      <c r="T1739" s="43" t="inlineStr"/>
      <c r="U1739" s="43" t="inlineStr"/>
    </row>
    <row r="1740">
      <c r="A1740" s="43" t="n">
        <v>1740</v>
      </c>
      <c r="B1740" s="43" t="inlineStr">
        <is>
          <t>1739</t>
        </is>
      </c>
      <c r="C1740" s="43" t="inlineStr">
        <is>
          <t>FJZP</t>
        </is>
      </c>
      <c r="D1740" s="43" t="inlineStr">
        <is>
          <t>Cisco</t>
        </is>
      </c>
      <c r="E1740" s="43" t="inlineStr">
        <is>
          <t>MCGA</t>
        </is>
      </c>
      <c r="F1740" s="43" t="inlineStr">
        <is>
          <t>037-STBU</t>
        </is>
      </c>
      <c r="G1740" s="43" t="inlineStr">
        <is>
          <t>CTANJZ04473</t>
        </is>
      </c>
      <c r="H1740" s="43" t="inlineStr">
        <is>
          <t>Exception Process: Temporary Deviation written for a permanent change (To Be Followed by ECO)</t>
        </is>
      </c>
      <c r="I1740" s="43" t="inlineStr">
        <is>
          <t>Customer Deviation</t>
        </is>
      </c>
      <c r="J1740" s="43" t="inlineStr">
        <is>
          <t>D602345</t>
        </is>
      </c>
      <c r="K1740" s="33" t="inlineStr">
        <is>
          <t>D602345 Please see PageThree for details</t>
        </is>
      </c>
      <c r="L1740" s="43" t="inlineStr">
        <is>
          <t>Expired</t>
        </is>
      </c>
      <c r="M1740" s="43" t="inlineStr">
        <is>
          <t>74-134452-04</t>
        </is>
      </c>
      <c r="N1740" s="43" t="inlineStr"/>
      <c r="O1740" s="43" t="inlineStr">
        <is>
          <t>2025-05-22</t>
        </is>
      </c>
      <c r="P1740" s="33" t="inlineStr">
        <is>
          <t>Exception Process: Temporary Deviation written for a permanent change (To Be Followed by ECO)</t>
        </is>
      </c>
      <c r="Q1740" s="43" t="inlineStr">
        <is>
          <t>Add this Deviation w/Label; to the PCBA and on the bottom side of the Enclosure in a visible location in proximity with the Compliance Label</t>
        </is>
      </c>
      <c r="R1740" s="43" t="inlineStr">
        <is>
          <t>2025-02-22</t>
        </is>
      </c>
      <c r="S1740" s="43" t="inlineStr">
        <is>
          <t>2025-03-04</t>
        </is>
      </c>
      <c r="T1740" s="43" t="inlineStr"/>
      <c r="U1740" s="43" t="inlineStr"/>
    </row>
    <row r="1741">
      <c r="A1741" s="43" t="n">
        <v>1741</v>
      </c>
      <c r="B1741" s="43" t="inlineStr">
        <is>
          <t>1740</t>
        </is>
      </c>
      <c r="C1741" s="43" t="inlineStr">
        <is>
          <t>FJZP</t>
        </is>
      </c>
      <c r="D1741" s="43" t="inlineStr">
        <is>
          <t>Cisco</t>
        </is>
      </c>
      <c r="E1741" s="43" t="inlineStr">
        <is>
          <t>MCGA</t>
        </is>
      </c>
      <c r="F1741" s="43" t="inlineStr">
        <is>
          <t>037-STBU</t>
        </is>
      </c>
      <c r="G1741" s="43" t="inlineStr">
        <is>
          <t>CTANJZ04473</t>
        </is>
      </c>
      <c r="H1741" s="43" t="inlineStr">
        <is>
          <t>Exception Process: Temporary Deviation written for a permanent change (To Be Followed by ECO)</t>
        </is>
      </c>
      <c r="I1741" s="43" t="inlineStr">
        <is>
          <t>Customer Deviation</t>
        </is>
      </c>
      <c r="J1741" s="43" t="inlineStr">
        <is>
          <t>D602345</t>
        </is>
      </c>
      <c r="K1741" s="33" t="inlineStr">
        <is>
          <t>D602345 Please see PageThree for details</t>
        </is>
      </c>
      <c r="L1741" s="43" t="inlineStr">
        <is>
          <t>Expired</t>
        </is>
      </c>
      <c r="M1741" s="43" t="inlineStr">
        <is>
          <t>74-134453-04</t>
        </is>
      </c>
      <c r="N1741" s="43" t="inlineStr"/>
      <c r="O1741" s="43" t="inlineStr">
        <is>
          <t>2025-05-22</t>
        </is>
      </c>
      <c r="P1741" s="33" t="inlineStr">
        <is>
          <t>Exception Process: Temporary Deviation written for a permanent change (To Be Followed by ECO)</t>
        </is>
      </c>
      <c r="Q1741" s="43" t="inlineStr">
        <is>
          <t>Add this Deviation w/Label; to the PCBA and on the bottom side of the Enclosure in a visible location in proximity with the Compliance Label</t>
        </is>
      </c>
      <c r="R1741" s="43" t="inlineStr">
        <is>
          <t>2025-02-22</t>
        </is>
      </c>
      <c r="S1741" s="43" t="inlineStr">
        <is>
          <t>2025-03-04</t>
        </is>
      </c>
      <c r="T1741" s="43" t="inlineStr"/>
      <c r="U1741" s="43" t="inlineStr"/>
    </row>
    <row r="1742">
      <c r="A1742" s="43" t="n">
        <v>1742</v>
      </c>
      <c r="B1742" s="43" t="inlineStr">
        <is>
          <t>1741</t>
        </is>
      </c>
      <c r="C1742" s="43" t="inlineStr">
        <is>
          <t>FJZP</t>
        </is>
      </c>
      <c r="D1742" s="43" t="inlineStr">
        <is>
          <t>Cisco</t>
        </is>
      </c>
      <c r="E1742" s="43" t="inlineStr">
        <is>
          <t>MCGA</t>
        </is>
      </c>
      <c r="F1742" s="43" t="inlineStr">
        <is>
          <t>037-STBU</t>
        </is>
      </c>
      <c r="G1742" s="43" t="inlineStr">
        <is>
          <t>CTANJZ04493</t>
        </is>
      </c>
      <c r="H1742" s="43" t="inlineStr">
        <is>
          <t>Exception Process: Temporary Deviation written for a permanent change (To Be Followed by ECO)</t>
        </is>
      </c>
      <c r="I1742" s="43" t="inlineStr">
        <is>
          <t>Customer Deviation</t>
        </is>
      </c>
      <c r="J1742" s="43" t="inlineStr">
        <is>
          <t>D602616</t>
        </is>
      </c>
      <c r="K1742" s="33" t="inlineStr">
        <is>
          <t>D602616 This Deviation supports immediate use of updated Victoria RM PCA/TAN MAPs for Victoria A0 Pilot build; currently in process at FJZ.On 68-104742-04_A0;  use updated PCA/TAN MAP 61-107123-04 -A2  On 68-104743-04_A0;  use updated PCA/TAN MAP 61-107124-04 -A2On 68-104744-04_A0;  use updated PCA/TAN MAP 61-107125-04 -A2Updated TAN MAPs are attached to ECO EA618008  and will be forwarded directly to FJZ for Pilot use.</t>
        </is>
      </c>
      <c r="L1742" s="43" t="inlineStr">
        <is>
          <t>Expired</t>
        </is>
      </c>
      <c r="M1742" s="43" t="inlineStr">
        <is>
          <t>74-134451-04</t>
        </is>
      </c>
      <c r="N1742" s="43" t="inlineStr"/>
      <c r="O1742" s="43" t="inlineStr">
        <is>
          <t>2025-06-09</t>
        </is>
      </c>
      <c r="P1742" s="33" t="inlineStr">
        <is>
          <t>Exception Process: Temporary Deviation written for a permanent change (To Be Followed by ECO)</t>
        </is>
      </c>
      <c r="Q1742" s="43" t="inlineStr">
        <is>
          <t>No additional marking instructions required</t>
        </is>
      </c>
      <c r="R1742" s="43" t="inlineStr">
        <is>
          <t>2025-03-12</t>
        </is>
      </c>
      <c r="S1742" s="43" t="inlineStr">
        <is>
          <t>2025-03-26</t>
        </is>
      </c>
      <c r="T1742" s="43" t="inlineStr"/>
      <c r="U1742" s="43" t="inlineStr"/>
    </row>
    <row r="1743">
      <c r="A1743" s="43" t="n">
        <v>1743</v>
      </c>
      <c r="B1743" s="43" t="inlineStr">
        <is>
          <t>1742</t>
        </is>
      </c>
      <c r="C1743" s="43" t="inlineStr">
        <is>
          <t>FJZP</t>
        </is>
      </c>
      <c r="D1743" s="43" t="inlineStr">
        <is>
          <t>Cisco</t>
        </is>
      </c>
      <c r="E1743" s="43" t="inlineStr">
        <is>
          <t>MCGA</t>
        </is>
      </c>
      <c r="F1743" s="43" t="inlineStr">
        <is>
          <t>035-CVEBU</t>
        </is>
      </c>
      <c r="G1743" s="43" t="inlineStr">
        <is>
          <t>CTANJZ04742</t>
        </is>
      </c>
      <c r="H1743" s="43" t="inlineStr">
        <is>
          <t>Exception Process: Temporary Deviation written for a permanent change (To Be Followed by ECO)</t>
        </is>
      </c>
      <c r="I1743" s="43" t="inlineStr">
        <is>
          <t>Customer Deviation</t>
        </is>
      </c>
      <c r="J1743" s="43" t="inlineStr">
        <is>
          <t>D605284</t>
        </is>
      </c>
      <c r="K1743" s="33" t="inlineStr">
        <is>
          <t>D605284 Allow FCZ to update the qty per box for CS-PWR-INJ-30W=55-3315-01 qty 1-355-1205-01 qty 4-8</t>
        </is>
      </c>
      <c r="L1743" s="43" t="inlineStr">
        <is>
          <t>Expired</t>
        </is>
      </c>
      <c r="M1743" s="43" t="inlineStr">
        <is>
          <t>55-1205-01</t>
        </is>
      </c>
      <c r="N1743" s="43" t="inlineStr"/>
      <c r="O1743" s="43" t="inlineStr">
        <is>
          <t>2025-10-20</t>
        </is>
      </c>
      <c r="P1743" s="33" t="inlineStr">
        <is>
          <t>Exception Process: Temporary Deviation written for a permanent change (To Be Followed by ECO)</t>
        </is>
      </c>
      <c r="Q1743" s="43" t="inlineStr">
        <is>
          <t>No marking required</t>
        </is>
      </c>
      <c r="R1743" s="43" t="inlineStr">
        <is>
          <t>2025-07-22</t>
        </is>
      </c>
      <c r="S1743" s="43" t="inlineStr">
        <is>
          <t>2025-07-29</t>
        </is>
      </c>
      <c r="T1743" s="43" t="inlineStr"/>
      <c r="U1743" s="43" t="inlineStr"/>
    </row>
    <row r="1744">
      <c r="A1744" s="43" t="n">
        <v>1744</v>
      </c>
      <c r="B1744" s="43" t="inlineStr">
        <is>
          <t>1743</t>
        </is>
      </c>
      <c r="C1744" s="43" t="inlineStr">
        <is>
          <t>FJZP</t>
        </is>
      </c>
      <c r="D1744" s="43" t="inlineStr">
        <is>
          <t>Cisco</t>
        </is>
      </c>
      <c r="E1744" s="43" t="inlineStr">
        <is>
          <t>MCGA</t>
        </is>
      </c>
      <c r="F1744" s="43" t="inlineStr">
        <is>
          <t>035-CVEBU</t>
        </is>
      </c>
      <c r="G1744" s="43" t="inlineStr">
        <is>
          <t>CTANJZ04742</t>
        </is>
      </c>
      <c r="H1744" s="43" t="inlineStr">
        <is>
          <t>Exception Process: Temporary Deviation written for a permanent change (To Be Followed by ECO)</t>
        </is>
      </c>
      <c r="I1744" s="43" t="inlineStr">
        <is>
          <t>Customer Deviation</t>
        </is>
      </c>
      <c r="J1744" s="43" t="inlineStr">
        <is>
          <t>D605284</t>
        </is>
      </c>
      <c r="K1744" s="33" t="inlineStr">
        <is>
          <t>D605284 Allow FCZ to update the qty per box for CS-PWR-INJ-30W=55-3315-01 qty 1-355-1205-01 qty 4-8</t>
        </is>
      </c>
      <c r="L1744" s="43" t="inlineStr">
        <is>
          <t>Expired</t>
        </is>
      </c>
      <c r="M1744" s="43" t="inlineStr">
        <is>
          <t>55-3315-02</t>
        </is>
      </c>
      <c r="N1744" s="43" t="inlineStr"/>
      <c r="O1744" s="43" t="inlineStr">
        <is>
          <t>2025-10-20</t>
        </is>
      </c>
      <c r="P1744" s="33" t="inlineStr">
        <is>
          <t>Exception Process: Temporary Deviation written for a permanent change (To Be Followed by ECO)</t>
        </is>
      </c>
      <c r="Q1744" s="43" t="inlineStr">
        <is>
          <t>No marking required</t>
        </is>
      </c>
      <c r="R1744" s="43" t="inlineStr">
        <is>
          <t>2025-07-22</t>
        </is>
      </c>
      <c r="S1744" s="43" t="inlineStr">
        <is>
          <t>2025-07-29</t>
        </is>
      </c>
      <c r="T1744" s="43" t="inlineStr"/>
      <c r="U1744" s="43" t="inlineStr"/>
    </row>
    <row r="1745">
      <c r="A1745" s="43" t="n">
        <v>1745</v>
      </c>
      <c r="B1745" s="43" t="inlineStr">
        <is>
          <t>1744</t>
        </is>
      </c>
      <c r="C1745" s="43" t="inlineStr">
        <is>
          <t>FJZP</t>
        </is>
      </c>
      <c r="D1745" s="43" t="inlineStr">
        <is>
          <t>Cisco</t>
        </is>
      </c>
      <c r="E1745" s="43" t="inlineStr">
        <is>
          <t>MCGA</t>
        </is>
      </c>
      <c r="F1745" s="43" t="inlineStr">
        <is>
          <t>037-STBU</t>
        </is>
      </c>
      <c r="G1745" s="43" t="inlineStr">
        <is>
          <t>CTANJZ04760</t>
        </is>
      </c>
      <c r="H1745" s="43" t="inlineStr">
        <is>
          <t>Exception Process: Temporary Deviation written for a permanent change (To Be Followed by ECO)</t>
        </is>
      </c>
      <c r="I1745" s="43" t="inlineStr">
        <is>
          <t>Customer Deviation</t>
        </is>
      </c>
      <c r="J1745" s="43" t="inlineStr">
        <is>
          <t>D605494</t>
        </is>
      </c>
      <c r="K1745" s="33" t="inlineStr">
        <is>
          <t>D605494 Please see PageThree for details</t>
        </is>
      </c>
      <c r="L1745" s="43" t="inlineStr">
        <is>
          <t>Expired</t>
        </is>
      </c>
      <c r="M1745" s="43" t="inlineStr">
        <is>
          <t>17-102038-03</t>
        </is>
      </c>
      <c r="N1745" s="43" t="inlineStr"/>
      <c r="O1745" s="43" t="inlineStr">
        <is>
          <t>2025-10-30</t>
        </is>
      </c>
      <c r="P1745" s="33" t="inlineStr">
        <is>
          <t>Exception Process: Temporary Deviation written for a permanent change (To Be Followed by ECO)</t>
        </is>
      </c>
      <c r="Q1745" s="43" t="inlineStr">
        <is>
          <t>N/A -This is to track a process change</t>
        </is>
      </c>
      <c r="R1745" s="43" t="inlineStr">
        <is>
          <t>2025-08-01</t>
        </is>
      </c>
      <c r="S1745" s="43" t="inlineStr">
        <is>
          <t>2025-08-21</t>
        </is>
      </c>
      <c r="T1745" s="43" t="inlineStr"/>
      <c r="U1745" s="43" t="inlineStr"/>
    </row>
    <row r="1746">
      <c r="A1746" s="43" t="n">
        <v>1746</v>
      </c>
      <c r="B1746" s="43" t="inlineStr">
        <is>
          <t>1745</t>
        </is>
      </c>
      <c r="C1746" s="43" t="inlineStr">
        <is>
          <t>FJZP</t>
        </is>
      </c>
      <c r="D1746" s="43" t="inlineStr">
        <is>
          <t>Cisco</t>
        </is>
      </c>
      <c r="E1746" s="43" t="inlineStr">
        <is>
          <t>MCGA</t>
        </is>
      </c>
      <c r="F1746" s="43" t="inlineStr">
        <is>
          <t>037-STBU</t>
        </is>
      </c>
      <c r="G1746" s="43" t="inlineStr">
        <is>
          <t>CTANJZ04760</t>
        </is>
      </c>
      <c r="H1746" s="43" t="inlineStr">
        <is>
          <t>Exception Process: Temporary Deviation written for a permanent change (To Be Followed by ECO)</t>
        </is>
      </c>
      <c r="I1746" s="43" t="inlineStr">
        <is>
          <t>Customer Deviation</t>
        </is>
      </c>
      <c r="J1746" s="43" t="inlineStr">
        <is>
          <t>D605494</t>
        </is>
      </c>
      <c r="K1746" s="33" t="inlineStr">
        <is>
          <t>D605494 Please see PageThree for details</t>
        </is>
      </c>
      <c r="L1746" s="43" t="inlineStr">
        <is>
          <t>Expired</t>
        </is>
      </c>
      <c r="M1746" s="43" t="inlineStr">
        <is>
          <t>17-102101-03</t>
        </is>
      </c>
      <c r="N1746" s="43" t="inlineStr"/>
      <c r="O1746" s="43" t="inlineStr">
        <is>
          <t>2025-10-30</t>
        </is>
      </c>
      <c r="P1746" s="33" t="inlineStr">
        <is>
          <t>Exception Process: Temporary Deviation written for a permanent change (To Be Followed by ECO)</t>
        </is>
      </c>
      <c r="Q1746" s="43" t="inlineStr">
        <is>
          <t>N/A -This is to track a process change</t>
        </is>
      </c>
      <c r="R1746" s="43" t="inlineStr">
        <is>
          <t>2025-08-01</t>
        </is>
      </c>
      <c r="S1746" s="43" t="inlineStr">
        <is>
          <t>2025-08-21</t>
        </is>
      </c>
      <c r="T1746" s="43" t="inlineStr"/>
      <c r="U1746" s="43" t="inlineStr"/>
    </row>
    <row r="1747">
      <c r="A1747" s="43" t="n">
        <v>1747</v>
      </c>
      <c r="B1747" s="43" t="inlineStr">
        <is>
          <t>1746</t>
        </is>
      </c>
      <c r="C1747" s="43" t="inlineStr">
        <is>
          <t>FJZP</t>
        </is>
      </c>
      <c r="D1747" s="43" t="inlineStr">
        <is>
          <t>Cisco</t>
        </is>
      </c>
      <c r="E1747" s="43" t="inlineStr">
        <is>
          <t>MCGA</t>
        </is>
      </c>
      <c r="F1747" s="43" t="inlineStr">
        <is>
          <t>037-STBU</t>
        </is>
      </c>
      <c r="G1747" s="43" t="inlineStr">
        <is>
          <t>CTANJZ04760</t>
        </is>
      </c>
      <c r="H1747" s="43" t="inlineStr">
        <is>
          <t>Exception Process: Temporary Deviation written for a permanent change (To Be Followed by ECO)</t>
        </is>
      </c>
      <c r="I1747" s="43" t="inlineStr">
        <is>
          <t>Customer Deviation</t>
        </is>
      </c>
      <c r="J1747" s="43" t="inlineStr">
        <is>
          <t>D605494</t>
        </is>
      </c>
      <c r="K1747" s="33" t="inlineStr">
        <is>
          <t>D605494 Please see PageThree for details</t>
        </is>
      </c>
      <c r="L1747" s="43" t="inlineStr">
        <is>
          <t>Expired</t>
        </is>
      </c>
      <c r="M1747" s="43" t="inlineStr">
        <is>
          <t>68-7253-05</t>
        </is>
      </c>
      <c r="N1747" s="43" t="inlineStr"/>
      <c r="O1747" s="43" t="inlineStr">
        <is>
          <t>2025-10-30</t>
        </is>
      </c>
      <c r="P1747" s="33" t="inlineStr">
        <is>
          <t>Exception Process: Temporary Deviation written for a permanent change (To Be Followed by ECO)</t>
        </is>
      </c>
      <c r="Q1747" s="43" t="inlineStr">
        <is>
          <t>N/A -This is to track a process change</t>
        </is>
      </c>
      <c r="R1747" s="43" t="inlineStr">
        <is>
          <t>2025-08-01</t>
        </is>
      </c>
      <c r="S1747" s="43" t="inlineStr">
        <is>
          <t>2025-08-21</t>
        </is>
      </c>
      <c r="T1747" s="43" t="inlineStr"/>
      <c r="U1747" s="43" t="inlineStr"/>
    </row>
    <row r="1748">
      <c r="A1748" s="43" t="n">
        <v>1748</v>
      </c>
      <c r="B1748" s="43" t="inlineStr">
        <is>
          <t>1747</t>
        </is>
      </c>
      <c r="C1748" s="43" t="inlineStr">
        <is>
          <t>FJZP</t>
        </is>
      </c>
      <c r="D1748" s="43" t="inlineStr">
        <is>
          <t>Cisco</t>
        </is>
      </c>
      <c r="E1748" s="43" t="inlineStr">
        <is>
          <t>MCGA</t>
        </is>
      </c>
      <c r="F1748" s="43" t="inlineStr">
        <is>
          <t>037-STBU</t>
        </is>
      </c>
      <c r="G1748" s="43" t="inlineStr">
        <is>
          <t>CTANJZ04760</t>
        </is>
      </c>
      <c r="H1748" s="43" t="inlineStr">
        <is>
          <t>Exception Process: Temporary Deviation written for a permanent change (To Be Followed by ECO)</t>
        </is>
      </c>
      <c r="I1748" s="43" t="inlineStr">
        <is>
          <t>Customer Deviation</t>
        </is>
      </c>
      <c r="J1748" s="43" t="inlineStr">
        <is>
          <t>D605494</t>
        </is>
      </c>
      <c r="K1748" s="33" t="inlineStr">
        <is>
          <t>D605494 Please see PageThree for details</t>
        </is>
      </c>
      <c r="L1748" s="43" t="inlineStr">
        <is>
          <t>Expired</t>
        </is>
      </c>
      <c r="M1748" s="43" t="inlineStr">
        <is>
          <t>68-7254-05</t>
        </is>
      </c>
      <c r="N1748" s="43" t="inlineStr"/>
      <c r="O1748" s="43" t="inlineStr">
        <is>
          <t>2025-10-30</t>
        </is>
      </c>
      <c r="P1748" s="33" t="inlineStr">
        <is>
          <t>Exception Process: Temporary Deviation written for a permanent change (To Be Followed by ECO)</t>
        </is>
      </c>
      <c r="Q1748" s="43" t="inlineStr">
        <is>
          <t>N/A -This is to track a process change</t>
        </is>
      </c>
      <c r="R1748" s="43" t="inlineStr">
        <is>
          <t>2025-08-01</t>
        </is>
      </c>
      <c r="S1748" s="43" t="inlineStr">
        <is>
          <t>2025-08-21</t>
        </is>
      </c>
      <c r="T1748" s="43" t="inlineStr"/>
      <c r="U1748" s="43" t="inlineStr"/>
    </row>
    <row r="1749">
      <c r="A1749" s="43" t="n">
        <v>1749</v>
      </c>
      <c r="B1749" s="43" t="inlineStr">
        <is>
          <t>1748</t>
        </is>
      </c>
      <c r="C1749" s="43" t="inlineStr">
        <is>
          <t>FJZP</t>
        </is>
      </c>
      <c r="D1749" s="43" t="inlineStr">
        <is>
          <t>Cisco</t>
        </is>
      </c>
      <c r="E1749" s="43" t="inlineStr">
        <is>
          <t>MCGA</t>
        </is>
      </c>
      <c r="F1749" s="43" t="inlineStr">
        <is>
          <t>037-STBU</t>
        </is>
      </c>
      <c r="G1749" s="43" t="inlineStr">
        <is>
          <t>CTANJZ04760</t>
        </is>
      </c>
      <c r="H1749" s="43" t="inlineStr">
        <is>
          <t>Exception Process: Temporary Deviation written for a permanent change (To Be Followed by ECO)</t>
        </is>
      </c>
      <c r="I1749" s="43" t="inlineStr">
        <is>
          <t>Customer Deviation</t>
        </is>
      </c>
      <c r="J1749" s="43" t="inlineStr">
        <is>
          <t>D605494</t>
        </is>
      </c>
      <c r="K1749" s="33" t="inlineStr">
        <is>
          <t>D605494 Please see PageThree for details</t>
        </is>
      </c>
      <c r="L1749" s="43" t="inlineStr">
        <is>
          <t>Expired</t>
        </is>
      </c>
      <c r="M1749" s="43" t="inlineStr">
        <is>
          <t>68-7255-05</t>
        </is>
      </c>
      <c r="N1749" s="43" t="inlineStr"/>
      <c r="O1749" s="43" t="inlineStr">
        <is>
          <t>2025-10-30</t>
        </is>
      </c>
      <c r="P1749" s="33" t="inlineStr">
        <is>
          <t>Exception Process: Temporary Deviation written for a permanent change (To Be Followed by ECO)</t>
        </is>
      </c>
      <c r="Q1749" s="43" t="inlineStr">
        <is>
          <t>N/A -This is to track a process change</t>
        </is>
      </c>
      <c r="R1749" s="43" t="inlineStr">
        <is>
          <t>2025-08-01</t>
        </is>
      </c>
      <c r="S1749" s="43" t="inlineStr">
        <is>
          <t>2025-08-21</t>
        </is>
      </c>
      <c r="T1749" s="43" t="inlineStr"/>
      <c r="U1749" s="43" t="inlineStr"/>
    </row>
    <row r="1750">
      <c r="A1750" s="43" t="n">
        <v>1750</v>
      </c>
      <c r="B1750" s="43" t="inlineStr">
        <is>
          <t>1749</t>
        </is>
      </c>
      <c r="C1750" s="43" t="inlineStr">
        <is>
          <t>FJZP</t>
        </is>
      </c>
      <c r="D1750" s="43" t="inlineStr">
        <is>
          <t>Cisco</t>
        </is>
      </c>
      <c r="E1750" s="43" t="inlineStr">
        <is>
          <t>MCGA</t>
        </is>
      </c>
      <c r="F1750" s="43" t="inlineStr">
        <is>
          <t>037-STBU</t>
        </is>
      </c>
      <c r="G1750" s="43" t="inlineStr">
        <is>
          <t>CTANJZ04760</t>
        </is>
      </c>
      <c r="H1750" s="43" t="inlineStr">
        <is>
          <t>Exception Process: Temporary Deviation written for a permanent change (To Be Followed by ECO)</t>
        </is>
      </c>
      <c r="I1750" s="43" t="inlineStr">
        <is>
          <t>Customer Deviation</t>
        </is>
      </c>
      <c r="J1750" s="43" t="inlineStr">
        <is>
          <t>D605494</t>
        </is>
      </c>
      <c r="K1750" s="33" t="inlineStr">
        <is>
          <t>D605494 Please see PageThree for details</t>
        </is>
      </c>
      <c r="L1750" s="43" t="inlineStr">
        <is>
          <t>Expired</t>
        </is>
      </c>
      <c r="M1750" s="43" t="inlineStr">
        <is>
          <t>68-7256-05</t>
        </is>
      </c>
      <c r="N1750" s="43" t="inlineStr"/>
      <c r="O1750" s="43" t="inlineStr">
        <is>
          <t>2025-10-30</t>
        </is>
      </c>
      <c r="P1750" s="33" t="inlineStr">
        <is>
          <t>Exception Process: Temporary Deviation written for a permanent change (To Be Followed by ECO)</t>
        </is>
      </c>
      <c r="Q1750" s="43" t="inlineStr">
        <is>
          <t>N/A -This is to track a process change</t>
        </is>
      </c>
      <c r="R1750" s="43" t="inlineStr">
        <is>
          <t>2025-08-01</t>
        </is>
      </c>
      <c r="S1750" s="43" t="inlineStr">
        <is>
          <t>2025-08-21</t>
        </is>
      </c>
      <c r="T1750" s="43" t="inlineStr"/>
      <c r="U1750" s="43" t="inlineStr"/>
    </row>
    <row r="1751">
      <c r="A1751" s="43" t="n">
        <v>1751</v>
      </c>
      <c r="B1751" s="43" t="inlineStr">
        <is>
          <t>1750</t>
        </is>
      </c>
      <c r="C1751" s="43" t="inlineStr">
        <is>
          <t>FJZP</t>
        </is>
      </c>
      <c r="D1751" s="43" t="inlineStr">
        <is>
          <t>Cisco</t>
        </is>
      </c>
      <c r="E1751" s="43" t="inlineStr">
        <is>
          <t>MCGA</t>
        </is>
      </c>
      <c r="F1751" s="43" t="inlineStr">
        <is>
          <t>037-STBU</t>
        </is>
      </c>
      <c r="G1751" s="43" t="inlineStr">
        <is>
          <t>CTANJZ04760</t>
        </is>
      </c>
      <c r="H1751" s="43" t="inlineStr">
        <is>
          <t>Exception Process: Temporary Deviation written for a permanent change (To Be Followed by ECO)</t>
        </is>
      </c>
      <c r="I1751" s="43" t="inlineStr">
        <is>
          <t>Customer Deviation</t>
        </is>
      </c>
      <c r="J1751" s="43" t="inlineStr">
        <is>
          <t>D605494</t>
        </is>
      </c>
      <c r="K1751" s="33" t="inlineStr">
        <is>
          <t>D605494 Please see PageThree for details</t>
        </is>
      </c>
      <c r="L1751" s="43" t="inlineStr">
        <is>
          <t>Expired</t>
        </is>
      </c>
      <c r="M1751" s="43" t="inlineStr">
        <is>
          <t>68-7638-02</t>
        </is>
      </c>
      <c r="N1751" s="43" t="inlineStr"/>
      <c r="O1751" s="43" t="inlineStr">
        <is>
          <t>2025-10-30</t>
        </is>
      </c>
      <c r="P1751" s="33" t="inlineStr">
        <is>
          <t>Exception Process: Temporary Deviation written for a permanent change (To Be Followed by ECO)</t>
        </is>
      </c>
      <c r="Q1751" s="43" t="inlineStr">
        <is>
          <t>N/A -This is to track a process change</t>
        </is>
      </c>
      <c r="R1751" s="43" t="inlineStr">
        <is>
          <t>2025-08-01</t>
        </is>
      </c>
      <c r="S1751" s="43" t="inlineStr">
        <is>
          <t>2025-08-21</t>
        </is>
      </c>
      <c r="T1751" s="43" t="inlineStr"/>
      <c r="U1751" s="43" t="inlineStr"/>
    </row>
    <row r="1752">
      <c r="A1752" s="43" t="n">
        <v>1752</v>
      </c>
      <c r="B1752" s="43" t="inlineStr">
        <is>
          <t>1751</t>
        </is>
      </c>
      <c r="C1752" s="43" t="inlineStr">
        <is>
          <t>FJZP</t>
        </is>
      </c>
      <c r="D1752" s="43" t="inlineStr">
        <is>
          <t>Cisco</t>
        </is>
      </c>
      <c r="E1752" s="43" t="inlineStr">
        <is>
          <t>MCGA</t>
        </is>
      </c>
      <c r="F1752" s="43" t="inlineStr">
        <is>
          <t>037-STBU</t>
        </is>
      </c>
      <c r="G1752" s="43" t="inlineStr">
        <is>
          <t>CTANJZ04760</t>
        </is>
      </c>
      <c r="H1752" s="43" t="inlineStr">
        <is>
          <t>Exception Process: Temporary Deviation written for a permanent change (To Be Followed by ECO)</t>
        </is>
      </c>
      <c r="I1752" s="43" t="inlineStr">
        <is>
          <t>Customer Deviation</t>
        </is>
      </c>
      <c r="J1752" s="43" t="inlineStr">
        <is>
          <t>D605494</t>
        </is>
      </c>
      <c r="K1752" s="33" t="inlineStr">
        <is>
          <t>D605494 Please see PageThree for details</t>
        </is>
      </c>
      <c r="L1752" s="43" t="inlineStr">
        <is>
          <t>Expired</t>
        </is>
      </c>
      <c r="M1752" s="43" t="inlineStr">
        <is>
          <t>800-108035-05</t>
        </is>
      </c>
      <c r="N1752" s="43" t="inlineStr"/>
      <c r="O1752" s="43" t="inlineStr">
        <is>
          <t>2025-10-30</t>
        </is>
      </c>
      <c r="P1752" s="33" t="inlineStr">
        <is>
          <t>Exception Process: Temporary Deviation written for a permanent change (To Be Followed by ECO)</t>
        </is>
      </c>
      <c r="Q1752" s="43" t="inlineStr">
        <is>
          <t>N/A -This is to track a process change</t>
        </is>
      </c>
      <c r="R1752" s="43" t="inlineStr">
        <is>
          <t>2025-08-01</t>
        </is>
      </c>
      <c r="S1752" s="43" t="inlineStr">
        <is>
          <t>2025-08-21</t>
        </is>
      </c>
      <c r="T1752" s="43" t="inlineStr"/>
      <c r="U1752" s="43" t="inlineStr"/>
    </row>
    <row r="1753">
      <c r="A1753" s="43" t="n">
        <v>1753</v>
      </c>
      <c r="B1753" s="43" t="inlineStr">
        <is>
          <t>1752</t>
        </is>
      </c>
      <c r="C1753" s="43" t="inlineStr">
        <is>
          <t>FJZP</t>
        </is>
      </c>
      <c r="D1753" s="43" t="inlineStr">
        <is>
          <t>Cisco</t>
        </is>
      </c>
      <c r="E1753" s="43" t="inlineStr">
        <is>
          <t>MCGA</t>
        </is>
      </c>
      <c r="F1753" s="43" t="inlineStr">
        <is>
          <t>037-STBU</t>
        </is>
      </c>
      <c r="G1753" s="43" t="inlineStr">
        <is>
          <t>CTANJZ04760</t>
        </is>
      </c>
      <c r="H1753" s="43" t="inlineStr">
        <is>
          <t>Exception Process: Temporary Deviation written for a permanent change (To Be Followed by ECO)</t>
        </is>
      </c>
      <c r="I1753" s="43" t="inlineStr">
        <is>
          <t>Customer Deviation</t>
        </is>
      </c>
      <c r="J1753" s="43" t="inlineStr">
        <is>
          <t>D605494</t>
        </is>
      </c>
      <c r="K1753" s="33" t="inlineStr">
        <is>
          <t>D605494 Please see PageThree for details</t>
        </is>
      </c>
      <c r="L1753" s="43" t="inlineStr">
        <is>
          <t>Expired</t>
        </is>
      </c>
      <c r="M1753" s="43" t="inlineStr">
        <is>
          <t>800-108036-05</t>
        </is>
      </c>
      <c r="N1753" s="43" t="inlineStr"/>
      <c r="O1753" s="43" t="inlineStr">
        <is>
          <t>2025-10-30</t>
        </is>
      </c>
      <c r="P1753" s="33" t="inlineStr">
        <is>
          <t>Exception Process: Temporary Deviation written for a permanent change (To Be Followed by ECO)</t>
        </is>
      </c>
      <c r="Q1753" s="43" t="inlineStr">
        <is>
          <t>N/A -This is to track a process change</t>
        </is>
      </c>
      <c r="R1753" s="43" t="inlineStr">
        <is>
          <t>2025-08-01</t>
        </is>
      </c>
      <c r="S1753" s="43" t="inlineStr">
        <is>
          <t>2025-08-21</t>
        </is>
      </c>
      <c r="T1753" s="43" t="inlineStr"/>
      <c r="U1753" s="43" t="inlineStr"/>
    </row>
    <row r="1754">
      <c r="A1754" s="43" t="n">
        <v>1754</v>
      </c>
      <c r="B1754" s="43" t="inlineStr">
        <is>
          <t>1753</t>
        </is>
      </c>
      <c r="C1754" s="43" t="inlineStr">
        <is>
          <t>FJZP</t>
        </is>
      </c>
      <c r="D1754" s="43" t="inlineStr">
        <is>
          <t>Cisco</t>
        </is>
      </c>
      <c r="E1754" s="43" t="inlineStr">
        <is>
          <t>MCGA</t>
        </is>
      </c>
      <c r="F1754" s="43" t="inlineStr">
        <is>
          <t>037-STBU</t>
        </is>
      </c>
      <c r="G1754" s="43" t="inlineStr">
        <is>
          <t>CTANJZ04760</t>
        </is>
      </c>
      <c r="H1754" s="43" t="inlineStr">
        <is>
          <t>Exception Process: Temporary Deviation written for a permanent change (To Be Followed by ECO)</t>
        </is>
      </c>
      <c r="I1754" s="43" t="inlineStr">
        <is>
          <t>Customer Deviation</t>
        </is>
      </c>
      <c r="J1754" s="43" t="inlineStr">
        <is>
          <t>D605494</t>
        </is>
      </c>
      <c r="K1754" s="33" t="inlineStr">
        <is>
          <t>D605494 Please see PageThree for details</t>
        </is>
      </c>
      <c r="L1754" s="43" t="inlineStr">
        <is>
          <t>Expired</t>
        </is>
      </c>
      <c r="M1754" s="43" t="inlineStr">
        <is>
          <t>800-108037-05</t>
        </is>
      </c>
      <c r="N1754" s="43" t="inlineStr"/>
      <c r="O1754" s="43" t="inlineStr">
        <is>
          <t>2025-10-30</t>
        </is>
      </c>
      <c r="P1754" s="33" t="inlineStr">
        <is>
          <t>Exception Process: Temporary Deviation written for a permanent change (To Be Followed by ECO)</t>
        </is>
      </c>
      <c r="Q1754" s="43" t="inlineStr">
        <is>
          <t>N/A -This is to track a process change</t>
        </is>
      </c>
      <c r="R1754" s="43" t="inlineStr">
        <is>
          <t>2025-08-01</t>
        </is>
      </c>
      <c r="S1754" s="43" t="inlineStr">
        <is>
          <t>2025-08-21</t>
        </is>
      </c>
      <c r="T1754" s="43" t="inlineStr"/>
      <c r="U1754" s="43" t="inlineStr"/>
    </row>
    <row r="1755">
      <c r="A1755" s="43" t="n">
        <v>1755</v>
      </c>
      <c r="B1755" s="43" t="inlineStr">
        <is>
          <t>1754</t>
        </is>
      </c>
      <c r="C1755" s="43" t="inlineStr">
        <is>
          <t>FJZP</t>
        </is>
      </c>
      <c r="D1755" s="43" t="inlineStr">
        <is>
          <t>Cisco</t>
        </is>
      </c>
      <c r="E1755" s="43" t="inlineStr">
        <is>
          <t>MCGA</t>
        </is>
      </c>
      <c r="F1755" s="43" t="inlineStr">
        <is>
          <t>037-STBU</t>
        </is>
      </c>
      <c r="G1755" s="43" t="inlineStr">
        <is>
          <t>CTANJZ04760</t>
        </is>
      </c>
      <c r="H1755" s="43" t="inlineStr">
        <is>
          <t>Exception Process: Temporary Deviation written for a permanent change (To Be Followed by ECO)</t>
        </is>
      </c>
      <c r="I1755" s="43" t="inlineStr">
        <is>
          <t>Customer Deviation</t>
        </is>
      </c>
      <c r="J1755" s="43" t="inlineStr">
        <is>
          <t>D605494</t>
        </is>
      </c>
      <c r="K1755" s="33" t="inlineStr">
        <is>
          <t>D605494 Please see PageThree for details</t>
        </is>
      </c>
      <c r="L1755" s="43" t="inlineStr">
        <is>
          <t>Expired</t>
        </is>
      </c>
      <c r="M1755" s="43" t="inlineStr">
        <is>
          <t>800-108038-05</t>
        </is>
      </c>
      <c r="N1755" s="43" t="inlineStr"/>
      <c r="O1755" s="43" t="inlineStr">
        <is>
          <t>2025-10-30</t>
        </is>
      </c>
      <c r="P1755" s="33" t="inlineStr">
        <is>
          <t>Exception Process: Temporary Deviation written for a permanent change (To Be Followed by ECO)</t>
        </is>
      </c>
      <c r="Q1755" s="43" t="inlineStr">
        <is>
          <t>N/A -This is to track a process change</t>
        </is>
      </c>
      <c r="R1755" s="43" t="inlineStr">
        <is>
          <t>2025-08-01</t>
        </is>
      </c>
      <c r="S1755" s="43" t="inlineStr">
        <is>
          <t>2025-08-21</t>
        </is>
      </c>
      <c r="T1755" s="43" t="inlineStr"/>
      <c r="U1755" s="43" t="inlineStr"/>
    </row>
    <row r="1756">
      <c r="A1756" s="43" t="n">
        <v>1756</v>
      </c>
      <c r="B1756" s="43" t="inlineStr">
        <is>
          <t>1755</t>
        </is>
      </c>
      <c r="C1756" s="43" t="inlineStr">
        <is>
          <t>FJZP</t>
        </is>
      </c>
      <c r="D1756" s="43" t="inlineStr">
        <is>
          <t>Cisco</t>
        </is>
      </c>
      <c r="E1756" s="43" t="inlineStr">
        <is>
          <t>MCGA</t>
        </is>
      </c>
      <c r="F1756" s="43" t="inlineStr">
        <is>
          <t>037-STBU</t>
        </is>
      </c>
      <c r="G1756" s="43" t="inlineStr">
        <is>
          <t>CTANJZ05000</t>
        </is>
      </c>
      <c r="H1756" s="43" t="inlineStr">
        <is>
          <t>Exception Process: Temporary Deviation written for a permanent change (To Be Followed by ECO)</t>
        </is>
      </c>
      <c r="I1756" s="43" t="inlineStr">
        <is>
          <t>Customer Deviation</t>
        </is>
      </c>
      <c r="J1756" s="43" t="inlineStr">
        <is>
          <t>D607991</t>
        </is>
      </c>
      <c r="K1756" s="33" t="inlineStr">
        <is>
          <t>D607991FJZ to rotate the placement of the quack label and serial number label on the PCB to be able to read the serial after the heatsink is assembled.</t>
        </is>
      </c>
      <c r="L1756" s="43" t="inlineStr">
        <is>
          <t>Expired</t>
        </is>
      </c>
      <c r="M1756" s="43" t="inlineStr">
        <is>
          <t>471-00585-01</t>
        </is>
      </c>
      <c r="N1756" s="43" t="inlineStr"/>
      <c r="O1756" s="43" t="inlineStr">
        <is>
          <t>2026-03-02</t>
        </is>
      </c>
      <c r="P1756" s="33" t="inlineStr">
        <is>
          <t>Exception Process: Temporary Deviation written for a permanent change (To Be Followed by ECO)</t>
        </is>
      </c>
      <c r="Q1756" s="43" t="inlineStr">
        <is>
          <t>Place a label with the deviation on the PCBA with the number of the deviation</t>
        </is>
      </c>
      <c r="R1756" s="43" t="inlineStr">
        <is>
          <t>2025-12-02</t>
        </is>
      </c>
      <c r="S1756" s="43" t="inlineStr">
        <is>
          <t>2026-01-13</t>
        </is>
      </c>
      <c r="T1756" s="43" t="inlineStr"/>
      <c r="U1756" s="43" t="inlineStr"/>
    </row>
    <row r="1757">
      <c r="A1757" s="43" t="n">
        <v>1757</v>
      </c>
      <c r="B1757" s="43" t="inlineStr">
        <is>
          <t>1756</t>
        </is>
      </c>
      <c r="C1757" s="43" t="inlineStr">
        <is>
          <t>FJZP</t>
        </is>
      </c>
      <c r="D1757" s="43" t="inlineStr">
        <is>
          <t>Cisco</t>
        </is>
      </c>
      <c r="E1757" s="43" t="inlineStr">
        <is>
          <t>MCGA</t>
        </is>
      </c>
      <c r="F1757" s="43" t="inlineStr">
        <is>
          <t>037-STBU</t>
        </is>
      </c>
      <c r="G1757" s="43" t="inlineStr">
        <is>
          <t>CTANJZ05000</t>
        </is>
      </c>
      <c r="H1757" s="43" t="inlineStr">
        <is>
          <t>Exception Process: Temporary Deviation written for a permanent change (To Be Followed by ECO)</t>
        </is>
      </c>
      <c r="I1757" s="43" t="inlineStr">
        <is>
          <t>Customer Deviation</t>
        </is>
      </c>
      <c r="J1757" s="43" t="inlineStr">
        <is>
          <t>D607991</t>
        </is>
      </c>
      <c r="K1757" s="33" t="inlineStr">
        <is>
          <t>D607991FJZ to rotate the placement of the quack label and serial number label on the PCB to be able to read the serial after the heatsink is assembled.</t>
        </is>
      </c>
      <c r="L1757" s="43" t="inlineStr">
        <is>
          <t>Expired</t>
        </is>
      </c>
      <c r="M1757" s="43" t="inlineStr">
        <is>
          <t>473-00003-01</t>
        </is>
      </c>
      <c r="N1757" s="43" t="inlineStr"/>
      <c r="O1757" s="43" t="inlineStr">
        <is>
          <t>2026-03-02</t>
        </is>
      </c>
      <c r="P1757" s="33" t="inlineStr">
        <is>
          <t>Exception Process: Temporary Deviation written for a permanent change (To Be Followed by ECO)</t>
        </is>
      </c>
      <c r="Q1757" s="43" t="inlineStr">
        <is>
          <t>Place a label with the deviation on the PCBA with the number of the deviation</t>
        </is>
      </c>
      <c r="R1757" s="43" t="inlineStr">
        <is>
          <t>2025-12-02</t>
        </is>
      </c>
      <c r="S1757" s="43" t="inlineStr">
        <is>
          <t>2026-01-13</t>
        </is>
      </c>
      <c r="T1757" s="43" t="inlineStr"/>
      <c r="U1757" s="43" t="inlineStr"/>
    </row>
    <row r="1758">
      <c r="A1758" s="43" t="n">
        <v>1758</v>
      </c>
      <c r="B1758" s="43" t="inlineStr">
        <is>
          <t>1757</t>
        </is>
      </c>
      <c r="C1758" s="43" t="inlineStr">
        <is>
          <t>FJZP</t>
        </is>
      </c>
      <c r="D1758" s="43" t="inlineStr">
        <is>
          <t>Cisco</t>
        </is>
      </c>
      <c r="E1758" s="43" t="inlineStr">
        <is>
          <t>MCGA</t>
        </is>
      </c>
      <c r="F1758" s="43" t="inlineStr">
        <is>
          <t>037-STBU</t>
        </is>
      </c>
      <c r="G1758" s="43" t="inlineStr">
        <is>
          <t>CTANJZ05000</t>
        </is>
      </c>
      <c r="H1758" s="43" t="inlineStr">
        <is>
          <t>Exception Process: Temporary Deviation written for a permanent change (To Be Followed by ECO)</t>
        </is>
      </c>
      <c r="I1758" s="43" t="inlineStr">
        <is>
          <t>Customer Deviation</t>
        </is>
      </c>
      <c r="J1758" s="43" t="inlineStr">
        <is>
          <t>D607991</t>
        </is>
      </c>
      <c r="K1758" s="33" t="inlineStr">
        <is>
          <t>D607991FJZ to rotate the placement of the quack label and serial number label on the PCB to be able to read the serial after the heatsink is assembled.</t>
        </is>
      </c>
      <c r="L1758" s="43" t="inlineStr">
        <is>
          <t>Expired</t>
        </is>
      </c>
      <c r="M1758" s="43" t="inlineStr">
        <is>
          <t>73-18490-09</t>
        </is>
      </c>
      <c r="N1758" s="43" t="inlineStr"/>
      <c r="O1758" s="43" t="inlineStr">
        <is>
          <t>2026-03-02</t>
        </is>
      </c>
      <c r="P1758" s="33" t="inlineStr">
        <is>
          <t>Exception Process: Temporary Deviation written for a permanent change (To Be Followed by ECO)</t>
        </is>
      </c>
      <c r="Q1758" s="43" t="inlineStr">
        <is>
          <t>Place a label with the deviation on the PCBA with the number of the deviation</t>
        </is>
      </c>
      <c r="R1758" s="43" t="inlineStr">
        <is>
          <t>2025-12-02</t>
        </is>
      </c>
      <c r="S1758" s="43" t="inlineStr">
        <is>
          <t>2026-01-13</t>
        </is>
      </c>
      <c r="T1758" s="43" t="inlineStr"/>
      <c r="U1758" s="43" t="inlineStr"/>
    </row>
    <row r="1759">
      <c r="A1759" s="43" t="n">
        <v>1759</v>
      </c>
      <c r="B1759" s="43" t="inlineStr">
        <is>
          <t>1758</t>
        </is>
      </c>
      <c r="C1759" s="43" t="inlineStr">
        <is>
          <t>FJZP</t>
        </is>
      </c>
      <c r="D1759" s="43" t="inlineStr">
        <is>
          <t>Cisco</t>
        </is>
      </c>
      <c r="E1759" s="43" t="inlineStr">
        <is>
          <t>MCGA</t>
        </is>
      </c>
      <c r="F1759" s="43" t="inlineStr">
        <is>
          <t>037-STBU</t>
        </is>
      </c>
      <c r="G1759" s="43" t="inlineStr">
        <is>
          <t>CTANJZ05000</t>
        </is>
      </c>
      <c r="H1759" s="43" t="inlineStr">
        <is>
          <t>Exception Process: Temporary Deviation written for a permanent change (To Be Followed by ECO)</t>
        </is>
      </c>
      <c r="I1759" s="43" t="inlineStr">
        <is>
          <t>Customer Deviation</t>
        </is>
      </c>
      <c r="J1759" s="43" t="inlineStr">
        <is>
          <t>D607991</t>
        </is>
      </c>
      <c r="K1759" s="33" t="inlineStr">
        <is>
          <t>D607991FJZ to rotate the placement of the quack label and serial number label on the PCB to be able to read the serial after the heatsink is assembled.</t>
        </is>
      </c>
      <c r="L1759" s="43" t="inlineStr">
        <is>
          <t>Expired</t>
        </is>
      </c>
      <c r="M1759" s="43" t="inlineStr">
        <is>
          <t>73-18490-10</t>
        </is>
      </c>
      <c r="N1759" s="43" t="inlineStr"/>
      <c r="O1759" s="43" t="inlineStr">
        <is>
          <t>2026-03-02</t>
        </is>
      </c>
      <c r="P1759" s="33" t="inlineStr">
        <is>
          <t>Exception Process: Temporary Deviation written for a permanent change (To Be Followed by ECO)</t>
        </is>
      </c>
      <c r="Q1759" s="43" t="inlineStr">
        <is>
          <t>Place a label with the deviation on the PCBA with the number of the deviation</t>
        </is>
      </c>
      <c r="R1759" s="43" t="inlineStr">
        <is>
          <t>2025-12-02</t>
        </is>
      </c>
      <c r="S1759" s="43" t="inlineStr">
        <is>
          <t>2026-01-13</t>
        </is>
      </c>
      <c r="T1759" s="43" t="inlineStr"/>
      <c r="U1759" s="43" t="inlineStr"/>
    </row>
    <row r="1760">
      <c r="A1760" s="43" t="n">
        <v>1760</v>
      </c>
      <c r="B1760" s="43" t="inlineStr">
        <is>
          <t>1759</t>
        </is>
      </c>
      <c r="C1760" s="43" t="inlineStr">
        <is>
          <t>FJZP</t>
        </is>
      </c>
      <c r="D1760" s="43" t="inlineStr">
        <is>
          <t>Cisco</t>
        </is>
      </c>
      <c r="E1760" s="43" t="inlineStr">
        <is>
          <t>MCGA</t>
        </is>
      </c>
      <c r="F1760" s="43" t="inlineStr">
        <is>
          <t>037-STBU</t>
        </is>
      </c>
      <c r="G1760" s="43" t="inlineStr">
        <is>
          <t>CTANJZ05000</t>
        </is>
      </c>
      <c r="H1760" s="43" t="inlineStr">
        <is>
          <t>Exception Process: Temporary Deviation written for a permanent change (To Be Followed by ECO)</t>
        </is>
      </c>
      <c r="I1760" s="43" t="inlineStr">
        <is>
          <t>Customer Deviation</t>
        </is>
      </c>
      <c r="J1760" s="43" t="inlineStr">
        <is>
          <t>D607991</t>
        </is>
      </c>
      <c r="K1760" s="33" t="inlineStr">
        <is>
          <t>D607991FJZ to rotate the placement of the quack label and serial number label on the PCB to be able to read the serial after the heatsink is assembled.</t>
        </is>
      </c>
      <c r="L1760" s="43" t="inlineStr">
        <is>
          <t>Expired</t>
        </is>
      </c>
      <c r="M1760" s="43" t="inlineStr">
        <is>
          <t>73-21007-02</t>
        </is>
      </c>
      <c r="N1760" s="43" t="inlineStr"/>
      <c r="O1760" s="43" t="inlineStr">
        <is>
          <t>2026-03-02</t>
        </is>
      </c>
      <c r="P1760" s="33" t="inlineStr">
        <is>
          <t>Exception Process: Temporary Deviation written for a permanent change (To Be Followed by ECO)</t>
        </is>
      </c>
      <c r="Q1760" s="43" t="inlineStr">
        <is>
          <t>Place a label with the deviation on the PCBA with the number of the deviation</t>
        </is>
      </c>
      <c r="R1760" s="43" t="inlineStr">
        <is>
          <t>2025-12-02</t>
        </is>
      </c>
      <c r="S1760" s="43" t="inlineStr">
        <is>
          <t>2026-01-13</t>
        </is>
      </c>
      <c r="T1760" s="43" t="inlineStr"/>
      <c r="U1760" s="43" t="inlineStr"/>
    </row>
    <row r="1761">
      <c r="A1761" s="43" t="n">
        <v>1761</v>
      </c>
      <c r="B1761" s="43" t="inlineStr">
        <is>
          <t>1760</t>
        </is>
      </c>
      <c r="C1761" s="43" t="inlineStr">
        <is>
          <t>FJZP</t>
        </is>
      </c>
      <c r="D1761" s="43" t="inlineStr">
        <is>
          <t>Cisco</t>
        </is>
      </c>
      <c r="E1761" s="43" t="inlineStr">
        <is>
          <t>MCGA</t>
        </is>
      </c>
      <c r="F1761" s="43" t="inlineStr">
        <is>
          <t>037-STBU</t>
        </is>
      </c>
      <c r="G1761" s="43" t="inlineStr">
        <is>
          <t>CTANJZ05000</t>
        </is>
      </c>
      <c r="H1761" s="43" t="inlineStr">
        <is>
          <t>Exception Process: Temporary Deviation written for a permanent change (To Be Followed by ECO)</t>
        </is>
      </c>
      <c r="I1761" s="43" t="inlineStr">
        <is>
          <t>Customer Deviation</t>
        </is>
      </c>
      <c r="J1761" s="43" t="inlineStr">
        <is>
          <t>D607991</t>
        </is>
      </c>
      <c r="K1761" s="33" t="inlineStr">
        <is>
          <t>D607991FJZ to rotate the placement of the quack label and serial number label on the PCB to be able to read the serial after the heatsink is assembled.</t>
        </is>
      </c>
      <c r="L1761" s="43" t="inlineStr">
        <is>
          <t>Expired</t>
        </is>
      </c>
      <c r="M1761" s="43" t="inlineStr">
        <is>
          <t>73-21007-03</t>
        </is>
      </c>
      <c r="N1761" s="43" t="inlineStr"/>
      <c r="O1761" s="43" t="inlineStr">
        <is>
          <t>2026-03-02</t>
        </is>
      </c>
      <c r="P1761" s="33" t="inlineStr">
        <is>
          <t>Exception Process: Temporary Deviation written for a permanent change (To Be Followed by ECO)</t>
        </is>
      </c>
      <c r="Q1761" s="43" t="inlineStr">
        <is>
          <t>Place a label with the deviation on the PCBA with the number of the deviation</t>
        </is>
      </c>
      <c r="R1761" s="43" t="inlineStr">
        <is>
          <t>2025-12-02</t>
        </is>
      </c>
      <c r="S1761" s="43" t="inlineStr">
        <is>
          <t>2026-01-13</t>
        </is>
      </c>
      <c r="T1761" s="43" t="inlineStr"/>
      <c r="U1761" s="43" t="inlineStr"/>
    </row>
    <row r="1762">
      <c r="A1762" s="43" t="n">
        <v>1762</v>
      </c>
      <c r="B1762" s="43" t="inlineStr">
        <is>
          <t>1761</t>
        </is>
      </c>
      <c r="C1762" s="43" t="inlineStr">
        <is>
          <t>FJZP</t>
        </is>
      </c>
      <c r="D1762" s="43" t="inlineStr">
        <is>
          <t>Cisco</t>
        </is>
      </c>
      <c r="E1762" s="43" t="inlineStr">
        <is>
          <t>MCGA</t>
        </is>
      </c>
      <c r="F1762" s="43" t="inlineStr">
        <is>
          <t>037-STBU</t>
        </is>
      </c>
      <c r="G1762" s="43" t="inlineStr">
        <is>
          <t>CTANJZ05048</t>
        </is>
      </c>
      <c r="H1762" s="43" t="inlineStr">
        <is>
          <t>Exception Process: Temporary Deviation written for a permanent change (To Be Followed by ECO)</t>
        </is>
      </c>
      <c r="I1762" s="43" t="inlineStr">
        <is>
          <t>Customer Deviation</t>
        </is>
      </c>
      <c r="J1762" s="43" t="inlineStr">
        <is>
          <t>D608514</t>
        </is>
      </c>
      <c r="K1762" s="33" t="inlineStr">
        <is>
          <t>D608514 Please see PageThree for details</t>
        </is>
      </c>
      <c r="L1762" s="43" t="inlineStr">
        <is>
          <t>Expired</t>
        </is>
      </c>
      <c r="M1762" s="43" t="inlineStr">
        <is>
          <t>73-21007-02</t>
        </is>
      </c>
      <c r="N1762" s="43" t="inlineStr"/>
      <c r="O1762" s="43" t="inlineStr">
        <is>
          <t>2026-03-23</t>
        </is>
      </c>
      <c r="P1762" s="33" t="inlineStr">
        <is>
          <t>Exception Process: Temporary Deviation written for a permanent change (To Be Followed by ECO)</t>
        </is>
      </c>
      <c r="Q1762" s="43" t="inlineStr">
        <is>
          <t>Mark and Scan the original deviation D603828 at P2C</t>
        </is>
      </c>
      <c r="R1762" s="43" t="inlineStr">
        <is>
          <t>2025-12-23</t>
        </is>
      </c>
      <c r="S1762" s="43" t="inlineStr">
        <is>
          <t>2026-01-27</t>
        </is>
      </c>
      <c r="T1762" s="43" t="inlineStr"/>
      <c r="U1762" s="43" t="inlineStr"/>
    </row>
    <row r="1763">
      <c r="A1763" s="43" t="n">
        <v>1763</v>
      </c>
      <c r="B1763" s="43" t="inlineStr">
        <is>
          <t>1762</t>
        </is>
      </c>
      <c r="C1763" s="43" t="inlineStr">
        <is>
          <t>FJZP</t>
        </is>
      </c>
      <c r="D1763" s="43" t="inlineStr">
        <is>
          <t>Cisco</t>
        </is>
      </c>
      <c r="E1763" s="43" t="inlineStr">
        <is>
          <t>MCGA</t>
        </is>
      </c>
      <c r="F1763" s="43" t="inlineStr">
        <is>
          <t>037-STBU</t>
        </is>
      </c>
      <c r="G1763" s="43" t="inlineStr">
        <is>
          <t>CTANJZ05048</t>
        </is>
      </c>
      <c r="H1763" s="43" t="inlineStr">
        <is>
          <t>Exception Process: Temporary Deviation written for a permanent change (To Be Followed by ECO)</t>
        </is>
      </c>
      <c r="I1763" s="43" t="inlineStr">
        <is>
          <t>Customer Deviation</t>
        </is>
      </c>
      <c r="J1763" s="43" t="inlineStr">
        <is>
          <t>D608514</t>
        </is>
      </c>
      <c r="K1763" s="33" t="inlineStr">
        <is>
          <t>D608514 Please see PageThree for details</t>
        </is>
      </c>
      <c r="L1763" s="43" t="inlineStr">
        <is>
          <t>Expired</t>
        </is>
      </c>
      <c r="M1763" s="43" t="inlineStr">
        <is>
          <t>800-111297-01</t>
        </is>
      </c>
      <c r="N1763" s="43" t="inlineStr"/>
      <c r="O1763" s="43" t="inlineStr">
        <is>
          <t>2026-03-23</t>
        </is>
      </c>
      <c r="P1763" s="33" t="inlineStr">
        <is>
          <t>Exception Process: Temporary Deviation written for a permanent change (To Be Followed by ECO)</t>
        </is>
      </c>
      <c r="Q1763" s="43" t="inlineStr">
        <is>
          <t>Mark and Scan the original deviation D603828 at P2C</t>
        </is>
      </c>
      <c r="R1763" s="43" t="inlineStr">
        <is>
          <t>2025-12-23</t>
        </is>
      </c>
      <c r="S1763" s="43" t="inlineStr">
        <is>
          <t>2026-01-27</t>
        </is>
      </c>
      <c r="T1763" s="43" t="inlineStr"/>
      <c r="U1763" s="43" t="inlineStr"/>
    </row>
    <row r="1764">
      <c r="A1764" s="43" t="n">
        <v>1764</v>
      </c>
      <c r="B1764" s="43" t="inlineStr">
        <is>
          <t>1763</t>
        </is>
      </c>
      <c r="C1764" s="43" t="inlineStr">
        <is>
          <t>FJZP</t>
        </is>
      </c>
      <c r="D1764" s="43" t="inlineStr">
        <is>
          <t>Cisco</t>
        </is>
      </c>
      <c r="E1764" s="43" t="inlineStr">
        <is>
          <t>MCGA</t>
        </is>
      </c>
      <c r="F1764" s="43" t="inlineStr">
        <is>
          <t>037-STBU</t>
        </is>
      </c>
      <c r="G1764" s="43" t="inlineStr">
        <is>
          <t>CTANJZ05060</t>
        </is>
      </c>
      <c r="H1764" s="43" t="inlineStr">
        <is>
          <t>Exception Process: Temporary Deviation written for a permanent change (To Be Followed by ECO)</t>
        </is>
      </c>
      <c r="I1764" s="43" t="inlineStr">
        <is>
          <t>Customer Deviation</t>
        </is>
      </c>
      <c r="J1764" s="43" t="inlineStr">
        <is>
          <t>D608530</t>
        </is>
      </c>
      <c r="K1764" s="33" t="inlineStr">
        <is>
          <t>D608530 Please see PageThree for details</t>
        </is>
      </c>
      <c r="L1764" s="43" t="inlineStr">
        <is>
          <t>Expired</t>
        </is>
      </c>
      <c r="M1764" s="43" t="inlineStr">
        <is>
          <t>47-110077-01</t>
        </is>
      </c>
      <c r="N1764" s="43" t="inlineStr"/>
      <c r="O1764" s="43" t="inlineStr">
        <is>
          <t>2026-04-10</t>
        </is>
      </c>
      <c r="P1764" s="33" t="inlineStr">
        <is>
          <t>Exception Process: Temporary Deviation written for a permanent change (To Be Followed by ECO)</t>
        </is>
      </c>
      <c r="Q1764" s="43" t="inlineStr">
        <is>
          <t>Apply a Deviation Label aside the updated Compliance Label</t>
        </is>
      </c>
      <c r="R1764" s="43" t="inlineStr">
        <is>
          <t>2026-01-12</t>
        </is>
      </c>
      <c r="S1764" s="43" t="inlineStr">
        <is>
          <t>2026-01-27</t>
        </is>
      </c>
      <c r="T1764" s="43" t="inlineStr"/>
      <c r="U1764" s="43" t="inlineStr"/>
    </row>
    <row r="1765">
      <c r="A1765" s="43" t="n">
        <v>1765</v>
      </c>
      <c r="B1765" s="43" t="inlineStr">
        <is>
          <t>1764</t>
        </is>
      </c>
      <c r="C1765" s="43" t="inlineStr">
        <is>
          <t>FJZP</t>
        </is>
      </c>
      <c r="D1765" s="43" t="inlineStr">
        <is>
          <t>Cisco</t>
        </is>
      </c>
      <c r="E1765" s="43" t="inlineStr">
        <is>
          <t>MCGA</t>
        </is>
      </c>
      <c r="F1765" s="43" t="inlineStr">
        <is>
          <t>037-STBU</t>
        </is>
      </c>
      <c r="G1765" s="43" t="inlineStr">
        <is>
          <t>CTANJZ05060</t>
        </is>
      </c>
      <c r="H1765" s="43" t="inlineStr">
        <is>
          <t>Exception Process: Temporary Deviation written for a permanent change (To Be Followed by ECO)</t>
        </is>
      </c>
      <c r="I1765" s="43" t="inlineStr">
        <is>
          <t>Customer Deviation</t>
        </is>
      </c>
      <c r="J1765" s="43" t="inlineStr">
        <is>
          <t>D608530</t>
        </is>
      </c>
      <c r="K1765" s="33" t="inlineStr">
        <is>
          <t>D608530 Please see PageThree for details</t>
        </is>
      </c>
      <c r="L1765" s="43" t="inlineStr">
        <is>
          <t>Expired</t>
        </is>
      </c>
      <c r="M1765" s="43" t="inlineStr">
        <is>
          <t>47-110078-01</t>
        </is>
      </c>
      <c r="N1765" s="43" t="inlineStr"/>
      <c r="O1765" s="43" t="inlineStr">
        <is>
          <t>2026-04-10</t>
        </is>
      </c>
      <c r="P1765" s="33" t="inlineStr">
        <is>
          <t>Exception Process: Temporary Deviation written for a permanent change (To Be Followed by ECO)</t>
        </is>
      </c>
      <c r="Q1765" s="43" t="inlineStr">
        <is>
          <t>Apply a Deviation Label aside the updated Compliance Label</t>
        </is>
      </c>
      <c r="R1765" s="43" t="inlineStr">
        <is>
          <t>2026-01-12</t>
        </is>
      </c>
      <c r="S1765" s="43" t="inlineStr">
        <is>
          <t>2026-01-27</t>
        </is>
      </c>
      <c r="T1765" s="43" t="inlineStr"/>
      <c r="U1765" s="43" t="inlineStr"/>
    </row>
    <row r="1766">
      <c r="A1766" s="43" t="n">
        <v>1766</v>
      </c>
      <c r="B1766" s="43" t="inlineStr">
        <is>
          <t>1765</t>
        </is>
      </c>
      <c r="C1766" s="43" t="inlineStr">
        <is>
          <t>FJZP</t>
        </is>
      </c>
      <c r="D1766" s="43" t="inlineStr">
        <is>
          <t>Cisco</t>
        </is>
      </c>
      <c r="E1766" s="43" t="inlineStr">
        <is>
          <t>MCGA</t>
        </is>
      </c>
      <c r="F1766" s="43" t="inlineStr">
        <is>
          <t>037-STBU</t>
        </is>
      </c>
      <c r="G1766" s="43" t="inlineStr">
        <is>
          <t>CTANJZ05060</t>
        </is>
      </c>
      <c r="H1766" s="43" t="inlineStr">
        <is>
          <t>Exception Process: Temporary Deviation written for a permanent change (To Be Followed by ECO)</t>
        </is>
      </c>
      <c r="I1766" s="43" t="inlineStr">
        <is>
          <t>Customer Deviation</t>
        </is>
      </c>
      <c r="J1766" s="43" t="inlineStr">
        <is>
          <t>D608530</t>
        </is>
      </c>
      <c r="K1766" s="33" t="inlineStr">
        <is>
          <t>D608530 Please see PageThree for details</t>
        </is>
      </c>
      <c r="L1766" s="43" t="inlineStr">
        <is>
          <t>Expired</t>
        </is>
      </c>
      <c r="M1766" s="43" t="inlineStr">
        <is>
          <t>47-110079-01</t>
        </is>
      </c>
      <c r="N1766" s="43" t="inlineStr"/>
      <c r="O1766" s="43" t="inlineStr">
        <is>
          <t>2026-04-10</t>
        </is>
      </c>
      <c r="P1766" s="33" t="inlineStr">
        <is>
          <t>Exception Process: Temporary Deviation written for a permanent change (To Be Followed by ECO)</t>
        </is>
      </c>
      <c r="Q1766" s="43" t="inlineStr">
        <is>
          <t>Apply a Deviation Label aside the updated Compliance Label</t>
        </is>
      </c>
      <c r="R1766" s="43" t="inlineStr">
        <is>
          <t>2026-01-12</t>
        </is>
      </c>
      <c r="S1766" s="43" t="inlineStr">
        <is>
          <t>2026-01-27</t>
        </is>
      </c>
      <c r="T1766" s="43" t="inlineStr"/>
      <c r="U1766" s="43" t="inlineStr"/>
    </row>
    <row r="1767">
      <c r="A1767" s="43" t="n">
        <v>1767</v>
      </c>
      <c r="B1767" s="43" t="inlineStr">
        <is>
          <t>1766</t>
        </is>
      </c>
      <c r="C1767" s="43" t="inlineStr">
        <is>
          <t>FJZP</t>
        </is>
      </c>
      <c r="D1767" s="43" t="inlineStr">
        <is>
          <t>Cisco</t>
        </is>
      </c>
      <c r="E1767" s="43" t="inlineStr">
        <is>
          <t>MCGA</t>
        </is>
      </c>
      <c r="F1767" s="43" t="inlineStr">
        <is>
          <t>037-STBU</t>
        </is>
      </c>
      <c r="G1767" s="43" t="inlineStr">
        <is>
          <t>CTANJZ04810</t>
        </is>
      </c>
      <c r="H1767" s="43" t="inlineStr">
        <is>
          <t>Exception Process: Temporary Deviation written for a permanent change (To Be Followed by ECO)</t>
        </is>
      </c>
      <c r="I1767" s="43" t="inlineStr">
        <is>
          <t>Customer Deviation</t>
        </is>
      </c>
      <c r="J1767" s="43" t="inlineStr">
        <is>
          <t>D606067</t>
        </is>
      </c>
      <c r="K1767" s="33" t="inlineStr">
        <is>
          <t>D606067 Allow to FJZ to use 502-00002-01 bag for all the PIDs until ECO is released</t>
        </is>
      </c>
      <c r="L1767" s="43" t="inlineStr">
        <is>
          <t>Expired</t>
        </is>
      </c>
      <c r="M1767" s="43" t="inlineStr">
        <is>
          <t>502-00002-01</t>
        </is>
      </c>
      <c r="N1767" s="43" t="inlineStr"/>
      <c r="O1767" s="43" t="inlineStr">
        <is>
          <t>2025-12-07</t>
        </is>
      </c>
      <c r="P1767" s="33" t="inlineStr">
        <is>
          <t>Exception Process: Temporary Deviation written for a permanent change (To Be Followed by ECO)</t>
        </is>
      </c>
      <c r="Q1767" s="43" t="inlineStr">
        <is>
          <t>FJZ to use 502-00002-01 bag for all the PIDs until ECO is released</t>
        </is>
      </c>
      <c r="R1767" s="43" t="inlineStr">
        <is>
          <t>2025-09-09</t>
        </is>
      </c>
      <c r="S1767" s="43" t="inlineStr">
        <is>
          <t>2025-09-30</t>
        </is>
      </c>
      <c r="T1767" s="43" t="inlineStr"/>
      <c r="U1767" s="43" t="inlineStr"/>
    </row>
    <row r="1768">
      <c r="A1768" s="43" t="n">
        <v>1768</v>
      </c>
      <c r="B1768" s="43" t="inlineStr">
        <is>
          <t>1767</t>
        </is>
      </c>
      <c r="C1768" s="43" t="inlineStr">
        <is>
          <t>FJZP</t>
        </is>
      </c>
      <c r="D1768" s="43" t="inlineStr">
        <is>
          <t>Cisco</t>
        </is>
      </c>
      <c r="E1768" s="43" t="inlineStr">
        <is>
          <t>MCGA</t>
        </is>
      </c>
      <c r="F1768" s="43" t="inlineStr">
        <is>
          <t>037-STBU</t>
        </is>
      </c>
      <c r="G1768" s="43" t="inlineStr">
        <is>
          <t>CTANJZ04810</t>
        </is>
      </c>
      <c r="H1768" s="43" t="inlineStr">
        <is>
          <t>Exception Process: Temporary Deviation written for a permanent change (To Be Followed by ECO)</t>
        </is>
      </c>
      <c r="I1768" s="43" t="inlineStr">
        <is>
          <t>Customer Deviation</t>
        </is>
      </c>
      <c r="J1768" s="43" t="inlineStr">
        <is>
          <t>D606067</t>
        </is>
      </c>
      <c r="K1768" s="33" t="inlineStr">
        <is>
          <t>D606067 Allow to FJZ to use 502-00002-01 bag for all the PIDs until ECO is released</t>
        </is>
      </c>
      <c r="L1768" s="43" t="inlineStr">
        <is>
          <t>Expired</t>
        </is>
      </c>
      <c r="M1768" s="43" t="inlineStr">
        <is>
          <t>68-103464-05</t>
        </is>
      </c>
      <c r="N1768" s="43" t="inlineStr"/>
      <c r="O1768" s="43" t="inlineStr">
        <is>
          <t>2025-12-07</t>
        </is>
      </c>
      <c r="P1768" s="33" t="inlineStr">
        <is>
          <t>Exception Process: Temporary Deviation written for a permanent change (To Be Followed by ECO)</t>
        </is>
      </c>
      <c r="Q1768" s="43" t="inlineStr">
        <is>
          <t>FJZ to use 502-00002-01 bag for all the PIDs until ECO is released</t>
        </is>
      </c>
      <c r="R1768" s="43" t="inlineStr">
        <is>
          <t>2025-09-09</t>
        </is>
      </c>
      <c r="S1768" s="43" t="inlineStr">
        <is>
          <t>2025-09-30</t>
        </is>
      </c>
      <c r="T1768" s="43" t="inlineStr"/>
      <c r="U1768" s="43" t="inlineStr"/>
    </row>
    <row r="1769">
      <c r="A1769" s="43" t="n">
        <v>1769</v>
      </c>
      <c r="B1769" s="43" t="inlineStr">
        <is>
          <t>1768</t>
        </is>
      </c>
      <c r="C1769" s="43" t="inlineStr">
        <is>
          <t>FJZP</t>
        </is>
      </c>
      <c r="D1769" s="43" t="inlineStr">
        <is>
          <t>Cisco</t>
        </is>
      </c>
      <c r="E1769" s="43" t="inlineStr">
        <is>
          <t>MCGA</t>
        </is>
      </c>
      <c r="F1769" s="43" t="inlineStr">
        <is>
          <t>037-STBU</t>
        </is>
      </c>
      <c r="G1769" s="43" t="inlineStr">
        <is>
          <t>CTANJZ04810</t>
        </is>
      </c>
      <c r="H1769" s="43" t="inlineStr">
        <is>
          <t>Exception Process: Temporary Deviation written for a permanent change (To Be Followed by ECO)</t>
        </is>
      </c>
      <c r="I1769" s="43" t="inlineStr">
        <is>
          <t>Customer Deviation</t>
        </is>
      </c>
      <c r="J1769" s="43" t="inlineStr">
        <is>
          <t>D606067</t>
        </is>
      </c>
      <c r="K1769" s="33" t="inlineStr">
        <is>
          <t>D606067 Allow to FJZ to use 502-00002-01 bag for all the PIDs until ECO is released</t>
        </is>
      </c>
      <c r="L1769" s="43" t="inlineStr">
        <is>
          <t>Expired</t>
        </is>
      </c>
      <c r="M1769" s="43" t="inlineStr">
        <is>
          <t>68-103465-05</t>
        </is>
      </c>
      <c r="N1769" s="43" t="inlineStr"/>
      <c r="O1769" s="43" t="inlineStr">
        <is>
          <t>2025-12-07</t>
        </is>
      </c>
      <c r="P1769" s="33" t="inlineStr">
        <is>
          <t>Exception Process: Temporary Deviation written for a permanent change (To Be Followed by ECO)</t>
        </is>
      </c>
      <c r="Q1769" s="43" t="inlineStr">
        <is>
          <t>FJZ to use 502-00002-01 bag for all the PIDs until ECO is released</t>
        </is>
      </c>
      <c r="R1769" s="43" t="inlineStr">
        <is>
          <t>2025-09-09</t>
        </is>
      </c>
      <c r="S1769" s="43" t="inlineStr">
        <is>
          <t>2025-09-30</t>
        </is>
      </c>
      <c r="T1769" s="43" t="inlineStr"/>
      <c r="U1769" s="43" t="inlineStr"/>
    </row>
    <row r="1770">
      <c r="A1770" s="43" t="n">
        <v>1770</v>
      </c>
      <c r="B1770" s="43" t="inlineStr">
        <is>
          <t>1769</t>
        </is>
      </c>
      <c r="C1770" s="43" t="inlineStr">
        <is>
          <t>FJZP</t>
        </is>
      </c>
      <c r="D1770" s="43" t="inlineStr">
        <is>
          <t>Cisco</t>
        </is>
      </c>
      <c r="E1770" s="43" t="inlineStr">
        <is>
          <t>MCGA</t>
        </is>
      </c>
      <c r="F1770" s="43" t="inlineStr">
        <is>
          <t>037-STBU</t>
        </is>
      </c>
      <c r="G1770" s="43" t="inlineStr">
        <is>
          <t>CTANJZ04810</t>
        </is>
      </c>
      <c r="H1770" s="43" t="inlineStr">
        <is>
          <t>Exception Process: Temporary Deviation written for a permanent change (To Be Followed by ECO)</t>
        </is>
      </c>
      <c r="I1770" s="43" t="inlineStr">
        <is>
          <t>Customer Deviation</t>
        </is>
      </c>
      <c r="J1770" s="43" t="inlineStr">
        <is>
          <t>D606067</t>
        </is>
      </c>
      <c r="K1770" s="33" t="inlineStr">
        <is>
          <t>D606067 Allow to FJZ to use 502-00002-01 bag for all the PIDs until ECO is released</t>
        </is>
      </c>
      <c r="L1770" s="43" t="inlineStr">
        <is>
          <t>Expired</t>
        </is>
      </c>
      <c r="M1770" s="43" t="inlineStr">
        <is>
          <t>68-103466-05</t>
        </is>
      </c>
      <c r="N1770" s="43" t="inlineStr"/>
      <c r="O1770" s="43" t="inlineStr">
        <is>
          <t>2025-12-07</t>
        </is>
      </c>
      <c r="P1770" s="33" t="inlineStr">
        <is>
          <t>Exception Process: Temporary Deviation written for a permanent change (To Be Followed by ECO)</t>
        </is>
      </c>
      <c r="Q1770" s="43" t="inlineStr">
        <is>
          <t>FJZ to use 502-00002-01 bag for all the PIDs until ECO is released</t>
        </is>
      </c>
      <c r="R1770" s="43" t="inlineStr">
        <is>
          <t>2025-09-09</t>
        </is>
      </c>
      <c r="S1770" s="43" t="inlineStr">
        <is>
          <t>2025-09-30</t>
        </is>
      </c>
      <c r="T1770" s="43" t="inlineStr"/>
      <c r="U1770" s="43" t="inlineStr"/>
    </row>
    <row r="1771">
      <c r="A1771" s="43" t="n">
        <v>1771</v>
      </c>
      <c r="B1771" s="43" t="inlineStr">
        <is>
          <t>1770</t>
        </is>
      </c>
      <c r="C1771" s="43" t="inlineStr">
        <is>
          <t>FJZP</t>
        </is>
      </c>
      <c r="D1771" s="43" t="inlineStr">
        <is>
          <t>Cisco</t>
        </is>
      </c>
      <c r="E1771" s="43" t="inlineStr">
        <is>
          <t>MCGA</t>
        </is>
      </c>
      <c r="F1771" s="43" t="inlineStr">
        <is>
          <t>037-STBU</t>
        </is>
      </c>
      <c r="G1771" s="43" t="inlineStr">
        <is>
          <t>CTANJZ04862</t>
        </is>
      </c>
      <c r="H1771" s="43" t="inlineStr">
        <is>
          <t>Exception Process: Temporary Deviation written for a permanent change (To Be Followed by ECO)</t>
        </is>
      </c>
      <c r="I1771" s="43" t="inlineStr">
        <is>
          <t>Customer Deviation</t>
        </is>
      </c>
      <c r="J1771" s="43" t="inlineStr">
        <is>
          <t>D606224</t>
        </is>
      </c>
      <c r="K1771" s="33" t="inlineStr">
        <is>
          <t>D606224 Please see PageThree for details</t>
        </is>
      </c>
      <c r="L1771" s="43" t="inlineStr">
        <is>
          <t>Expired</t>
        </is>
      </c>
      <c r="M1771" s="43" t="inlineStr">
        <is>
          <t>73-21007-02</t>
        </is>
      </c>
      <c r="N1771" s="43" t="inlineStr"/>
      <c r="O1771" s="43" t="inlineStr">
        <is>
          <t>2025-12-16</t>
        </is>
      </c>
      <c r="P1771" s="33" t="inlineStr">
        <is>
          <t>Exception Process: Temporary Deviation written for a permanent change (To Be Followed by ECO)</t>
        </is>
      </c>
      <c r="Q1771" s="43" t="inlineStr">
        <is>
          <t>Please Deviation Label Visibly on topside of PCBA</t>
        </is>
      </c>
      <c r="R1771" s="43" t="inlineStr">
        <is>
          <t>2025-09-17</t>
        </is>
      </c>
      <c r="S1771" s="43" t="inlineStr">
        <is>
          <t>2025-10-21</t>
        </is>
      </c>
      <c r="T1771" s="43" t="inlineStr"/>
      <c r="U1771" s="43" t="inlineStr"/>
    </row>
    <row r="1772">
      <c r="A1772" s="43" t="n">
        <v>1772</v>
      </c>
      <c r="B1772" s="43" t="inlineStr">
        <is>
          <t>1771</t>
        </is>
      </c>
      <c r="C1772" s="43" t="inlineStr">
        <is>
          <t>FJZP</t>
        </is>
      </c>
      <c r="D1772" s="43" t="inlineStr">
        <is>
          <t>Cisco</t>
        </is>
      </c>
      <c r="E1772" s="43" t="inlineStr">
        <is>
          <t>MCGA</t>
        </is>
      </c>
      <c r="F1772" s="43" t="inlineStr">
        <is>
          <t>037-STBU</t>
        </is>
      </c>
      <c r="G1772" s="43" t="inlineStr">
        <is>
          <t>CTANJZ04862</t>
        </is>
      </c>
      <c r="H1772" s="43" t="inlineStr">
        <is>
          <t>Exception Process: Temporary Deviation written for a permanent change (To Be Followed by ECO)</t>
        </is>
      </c>
      <c r="I1772" s="43" t="inlineStr">
        <is>
          <t>Customer Deviation</t>
        </is>
      </c>
      <c r="J1772" s="43" t="inlineStr">
        <is>
          <t>D606224</t>
        </is>
      </c>
      <c r="K1772" s="33" t="inlineStr">
        <is>
          <t>D606224 Please see PageThree for details</t>
        </is>
      </c>
      <c r="L1772" s="43" t="inlineStr">
        <is>
          <t>Expired</t>
        </is>
      </c>
      <c r="M1772" s="43" t="inlineStr">
        <is>
          <t>800-111297-01</t>
        </is>
      </c>
      <c r="N1772" s="43" t="inlineStr"/>
      <c r="O1772" s="43" t="inlineStr">
        <is>
          <t>2025-12-16</t>
        </is>
      </c>
      <c r="P1772" s="33" t="inlineStr">
        <is>
          <t>Exception Process: Temporary Deviation written for a permanent change (To Be Followed by ECO)</t>
        </is>
      </c>
      <c r="Q1772" s="43" t="inlineStr">
        <is>
          <t>Please Deviation Label Visibly on topside of PCBA</t>
        </is>
      </c>
      <c r="R1772" s="43" t="inlineStr">
        <is>
          <t>2025-09-17</t>
        </is>
      </c>
      <c r="S1772" s="43" t="inlineStr">
        <is>
          <t>2025-10-21</t>
        </is>
      </c>
      <c r="T1772" s="43" t="inlineStr"/>
      <c r="U1772" s="43" t="inlineStr"/>
    </row>
    <row r="1773">
      <c r="A1773" s="43" t="n">
        <v>1773</v>
      </c>
      <c r="B1773" s="43" t="inlineStr">
        <is>
          <t>1772</t>
        </is>
      </c>
      <c r="C1773" s="43" t="inlineStr">
        <is>
          <t>FJZP</t>
        </is>
      </c>
      <c r="D1773" s="43" t="inlineStr">
        <is>
          <t>Cisco</t>
        </is>
      </c>
      <c r="E1773" s="43" t="inlineStr">
        <is>
          <t>MCGA</t>
        </is>
      </c>
      <c r="F1773" s="43" t="inlineStr">
        <is>
          <t>018-SRGBU</t>
        </is>
      </c>
      <c r="G1773" s="43" t="inlineStr">
        <is>
          <t>CTANJZ04920</t>
        </is>
      </c>
      <c r="H1773" s="43" t="inlineStr">
        <is>
          <t>Exception Process: Temporary Deviation written for a permanent change (To Be Followed by ECO)</t>
        </is>
      </c>
      <c r="I1773" s="43" t="inlineStr">
        <is>
          <t>Customer Deviation</t>
        </is>
      </c>
      <c r="J1773" s="43" t="inlineStr">
        <is>
          <t>D607129</t>
        </is>
      </c>
      <c r="K1773" s="33" t="inlineStr">
        <is>
          <t>D607129 SRGBU Accolade: PCAMAP correction/update. Accolade PCAMAP inadvertently contained erroneous sensor data resulting in functional test failures. The PCAMAP has been corrected. Please use the PCAMAP contained in the deviation until ECO EA622613 is issued for permanent update. For all units in WIP at PCBA; please re-run P2C to correct this issue. For all units at NCB or FJZ DF; re-run SYSFT to correct this issue.1. On 73-21143-03; for PCAMAP 61-106693-03; address 0x127 onward updated to remove "Middle 2" sensor. Please use attached PCAMAP (61-106693-03_B0.pdf) for EEPROM programming.</t>
        </is>
      </c>
      <c r="L1773" s="43" t="inlineStr">
        <is>
          <t>Expired</t>
        </is>
      </c>
      <c r="M1773" s="43" t="inlineStr">
        <is>
          <t>800-111374-01</t>
        </is>
      </c>
      <c r="N1773" s="43" t="inlineStr"/>
      <c r="O1773" s="43" t="inlineStr">
        <is>
          <t>2026-01-15</t>
        </is>
      </c>
      <c r="P1773" s="33" t="inlineStr">
        <is>
          <t>Exception Process: Temporary Deviation written for a permanent change (To Be Followed by ECO)</t>
        </is>
      </c>
      <c r="Q1773" s="43" t="inlineStr">
        <is>
          <t>Place deviation label on affected units.</t>
        </is>
      </c>
      <c r="R1773" s="43" t="inlineStr">
        <is>
          <t>2025-10-17</t>
        </is>
      </c>
      <c r="S1773" s="43" t="inlineStr">
        <is>
          <t>2025-10-25</t>
        </is>
      </c>
      <c r="T1773" s="43" t="inlineStr"/>
      <c r="U1773" s="43" t="inlineStr"/>
    </row>
    <row r="1774">
      <c r="A1774" s="43" t="n">
        <v>1774</v>
      </c>
      <c r="B1774" s="43" t="inlineStr">
        <is>
          <t>1773</t>
        </is>
      </c>
      <c r="C1774" s="43" t="inlineStr">
        <is>
          <t>FJZP</t>
        </is>
      </c>
      <c r="D1774" s="43" t="inlineStr">
        <is>
          <t>Cisco</t>
        </is>
      </c>
      <c r="E1774" s="43" t="inlineStr">
        <is>
          <t>MCGA</t>
        </is>
      </c>
      <c r="F1774" s="43" t="inlineStr">
        <is>
          <t>018-SRGBU</t>
        </is>
      </c>
      <c r="G1774" s="43" t="inlineStr">
        <is>
          <t>CTANJZ04942</t>
        </is>
      </c>
      <c r="H1774" s="43" t="inlineStr">
        <is>
          <t>Exception Process: Temporary Deviation written for a permanent change (To Be Followed by ECO)</t>
        </is>
      </c>
      <c r="I1774" s="43" t="inlineStr">
        <is>
          <t>Customer Deviation</t>
        </is>
      </c>
      <c r="J1774" s="43" t="inlineStr">
        <is>
          <t>D607246</t>
        </is>
      </c>
      <c r="K1774" s="33" t="inlineStr">
        <is>
          <t>D607246 SRGBU - This deviation is an extension of Deviation D605484               Nutella production to use new release 17.15.1r Rommon version</t>
        </is>
      </c>
      <c r="L1774" s="43" t="inlineStr">
        <is>
          <t>Expired</t>
        </is>
      </c>
      <c r="M1774" s="43" t="inlineStr">
        <is>
          <t>17-15632-01</t>
        </is>
      </c>
      <c r="N1774" s="43" t="inlineStr"/>
      <c r="O1774" s="43" t="inlineStr">
        <is>
          <t>2026-01-28</t>
        </is>
      </c>
      <c r="P1774" s="33" t="inlineStr">
        <is>
          <t>Exception Process: Temporary Deviation written for a permanent change (To Be Followed by ECO)</t>
        </is>
      </c>
      <c r="Q1774" s="43" t="inlineStr">
        <is>
          <t>Label all deviated units with deviation label and program deviation into cookie</t>
        </is>
      </c>
      <c r="R1774" s="43" t="inlineStr">
        <is>
          <t>2025-10-30</t>
        </is>
      </c>
      <c r="S1774" s="43" t="inlineStr">
        <is>
          <t>2025-11-14</t>
        </is>
      </c>
      <c r="T1774" s="43" t="inlineStr"/>
      <c r="U1774" s="43" t="inlineStr"/>
    </row>
    <row r="1775">
      <c r="A1775" s="43" t="n">
        <v>1775</v>
      </c>
      <c r="B1775" s="43" t="inlineStr">
        <is>
          <t>1774</t>
        </is>
      </c>
      <c r="C1775" s="43" t="inlineStr">
        <is>
          <t>FJZP</t>
        </is>
      </c>
      <c r="D1775" s="43" t="inlineStr">
        <is>
          <t>Cisco</t>
        </is>
      </c>
      <c r="E1775" s="43" t="inlineStr">
        <is>
          <t>MCGA</t>
        </is>
      </c>
      <c r="F1775" s="43" t="inlineStr">
        <is>
          <t>018-SRGBU</t>
        </is>
      </c>
      <c r="G1775" s="43" t="inlineStr">
        <is>
          <t>CTANJZ04942</t>
        </is>
      </c>
      <c r="H1775" s="43" t="inlineStr">
        <is>
          <t>Exception Process: Temporary Deviation written for a permanent change (To Be Followed by ECO)</t>
        </is>
      </c>
      <c r="I1775" s="43" t="inlineStr">
        <is>
          <t>Customer Deviation</t>
        </is>
      </c>
      <c r="J1775" s="43" t="inlineStr">
        <is>
          <t>D607246</t>
        </is>
      </c>
      <c r="K1775" s="33" t="inlineStr">
        <is>
          <t>D607246 SRGBU - This deviation is an extension of Deviation D605484               Nutella production to use new release 17.15.1r Rommon version</t>
        </is>
      </c>
      <c r="L1775" s="43" t="inlineStr">
        <is>
          <t>Expired</t>
        </is>
      </c>
      <c r="M1775" s="43" t="inlineStr">
        <is>
          <t>17-15632-02</t>
        </is>
      </c>
      <c r="N1775" s="43" t="inlineStr"/>
      <c r="O1775" s="43" t="inlineStr">
        <is>
          <t>2026-01-28</t>
        </is>
      </c>
      <c r="P1775" s="33" t="inlineStr">
        <is>
          <t>Exception Process: Temporary Deviation written for a permanent change (To Be Followed by ECO)</t>
        </is>
      </c>
      <c r="Q1775" s="43" t="inlineStr">
        <is>
          <t>Label all deviated units with deviation label and program deviation into cookie</t>
        </is>
      </c>
      <c r="R1775" s="43" t="inlineStr">
        <is>
          <t>2025-10-30</t>
        </is>
      </c>
      <c r="S1775" s="43" t="inlineStr">
        <is>
          <t>2025-11-14</t>
        </is>
      </c>
      <c r="T1775" s="43" t="inlineStr"/>
      <c r="U1775" s="43" t="inlineStr"/>
    </row>
    <row r="1776">
      <c r="A1776" s="43" t="n">
        <v>1776</v>
      </c>
      <c r="B1776" s="43" t="inlineStr">
        <is>
          <t>1775</t>
        </is>
      </c>
      <c r="C1776" s="43" t="inlineStr">
        <is>
          <t>FJZP</t>
        </is>
      </c>
      <c r="D1776" s="43" t="inlineStr">
        <is>
          <t>Cisco</t>
        </is>
      </c>
      <c r="E1776" s="43" t="inlineStr">
        <is>
          <t>MCGA</t>
        </is>
      </c>
      <c r="F1776" s="43" t="inlineStr">
        <is>
          <t>018-SRGBU</t>
        </is>
      </c>
      <c r="G1776" s="43" t="inlineStr">
        <is>
          <t>CTANJZ04942</t>
        </is>
      </c>
      <c r="H1776" s="43" t="inlineStr">
        <is>
          <t>Exception Process: Temporary Deviation written for a permanent change (To Be Followed by ECO)</t>
        </is>
      </c>
      <c r="I1776" s="43" t="inlineStr">
        <is>
          <t>Customer Deviation</t>
        </is>
      </c>
      <c r="J1776" s="43" t="inlineStr">
        <is>
          <t>D607246</t>
        </is>
      </c>
      <c r="K1776" s="33" t="inlineStr">
        <is>
          <t>D607246 SRGBU - This deviation is an extension of Deviation D605484               Nutella production to use new release 17.15.1r Rommon version</t>
        </is>
      </c>
      <c r="L1776" s="43" t="inlineStr">
        <is>
          <t>Expired</t>
        </is>
      </c>
      <c r="M1776" s="43" t="inlineStr">
        <is>
          <t>74-122742-01</t>
        </is>
      </c>
      <c r="N1776" s="43" t="inlineStr"/>
      <c r="O1776" s="43" t="inlineStr">
        <is>
          <t>2026-01-28</t>
        </is>
      </c>
      <c r="P1776" s="33" t="inlineStr">
        <is>
          <t>Exception Process: Temporary Deviation written for a permanent change (To Be Followed by ECO)</t>
        </is>
      </c>
      <c r="Q1776" s="43" t="inlineStr">
        <is>
          <t>Label all deviated units with deviation label and program deviation into cookie</t>
        </is>
      </c>
      <c r="R1776" s="43" t="inlineStr">
        <is>
          <t>2025-10-30</t>
        </is>
      </c>
      <c r="S1776" s="43" t="inlineStr">
        <is>
          <t>2025-11-14</t>
        </is>
      </c>
      <c r="T1776" s="43" t="inlineStr"/>
      <c r="U1776" s="43" t="inlineStr"/>
    </row>
    <row r="1777">
      <c r="A1777" s="43" t="n">
        <v>1777</v>
      </c>
      <c r="B1777" s="43" t="inlineStr">
        <is>
          <t>1776</t>
        </is>
      </c>
      <c r="C1777" s="43" t="inlineStr">
        <is>
          <t>FJZP</t>
        </is>
      </c>
      <c r="D1777" s="43" t="inlineStr">
        <is>
          <t>Cisco</t>
        </is>
      </c>
      <c r="E1777" s="43" t="inlineStr">
        <is>
          <t>MCGA</t>
        </is>
      </c>
      <c r="F1777" s="43" t="inlineStr">
        <is>
          <t>239-CRBU</t>
        </is>
      </c>
      <c r="G1777" s="43" t="inlineStr">
        <is>
          <t>CTANJZ05199</t>
        </is>
      </c>
      <c r="H1777" s="43" t="inlineStr">
        <is>
          <t>Exception Process: Temporary Deviation written for a permanent change (To Be Followed by ECO)</t>
        </is>
      </c>
      <c r="I1777" s="43" t="inlineStr">
        <is>
          <t>Customer Deviation</t>
        </is>
      </c>
      <c r="J1777" s="43" t="inlineStr">
        <is>
          <t>D610304</t>
        </is>
      </c>
      <c r="K1777" s="33" t="inlineStr">
        <is>
          <t>D610304 Deviation extension for D607227.ECO EA622974 is being released to make the change; this deviation to help cover till the ECO is released.ERBU: ASR-9000 Family: To allow Foxconn to follow below deviation points for POD label printing process.1) The manufacturer name is getting appended half way due to .btw file error; allow Foxconn to print manufacturer name as appearing in .btw file2) For ASR-9912; the 2 UKCA logo and Morocco label are missing in the .pdf; but available in the .zip reference folder and excel sheet; Foxconn to follow the excel sheet and .jpeg file available in the .zip folder3) For ASR-9006 ; as new POD label is larger than existing label; Foxconn to stick in on top of chassis.4) For ASR-9922 the Morocco logo are missing in the .pdf; but available in the .zip reference folder and excel sheet; Foxconn to follow the excel sheet and .jpeg file available in the .zip folder5) For ASR-9006; ASR-9010; ASR-9922 the VCCI logo are missing in the .excel sheet; but available in the .pdf; Foxconn to follow the pdf file available in the .zip folder6) For all other PID's: the COO; CLEI; 2D barcode; PID VID; PN Barcode; Date code are duplicated in the BOM; Foxconn to remove all duplicate content smaller label's.Please stick the POD labels in approximate location; for slightly larger size label please stick in suitable locations in center.  FOC to share the FAI report for the same after implementing the deviation.ECO EA622974 is being release to make the change; this deviation to help cover till the ECO is released.</t>
        </is>
      </c>
      <c r="L1777" s="43" t="inlineStr">
        <is>
          <t>Expired</t>
        </is>
      </c>
      <c r="M1777" s="43" t="inlineStr">
        <is>
          <t>47-101282-05</t>
        </is>
      </c>
      <c r="N1777" s="43" t="inlineStr"/>
      <c r="O1777" s="43" t="inlineStr">
        <is>
          <t>2026-07-06</t>
        </is>
      </c>
      <c r="P1777" s="33" t="inlineStr">
        <is>
          <t>Exception Process: Temporary Deviation written for a permanent change (To Be Followed by ECO)</t>
        </is>
      </c>
      <c r="Q1777" s="43" t="inlineStr">
        <is>
          <t>NA</t>
        </is>
      </c>
      <c r="R1777" s="43" t="inlineStr">
        <is>
          <t>2026-04-09</t>
        </is>
      </c>
      <c r="S1777" s="43" t="inlineStr">
        <is>
          <t>2026-05-08</t>
        </is>
      </c>
      <c r="T1777" s="43" t="inlineStr"/>
      <c r="U1777" s="43" t="inlineStr"/>
    </row>
    <row r="1778">
      <c r="A1778" s="43" t="n">
        <v>1778</v>
      </c>
      <c r="B1778" s="43" t="inlineStr">
        <is>
          <t>1777</t>
        </is>
      </c>
      <c r="C1778" s="43" t="inlineStr">
        <is>
          <t>FJZP</t>
        </is>
      </c>
      <c r="D1778" s="43" t="inlineStr">
        <is>
          <t>Cisco</t>
        </is>
      </c>
      <c r="E1778" s="43" t="inlineStr">
        <is>
          <t>MCGA</t>
        </is>
      </c>
      <c r="F1778" s="43" t="inlineStr">
        <is>
          <t>239-CRBU</t>
        </is>
      </c>
      <c r="G1778" s="43" t="inlineStr">
        <is>
          <t>CTANJZ05199</t>
        </is>
      </c>
      <c r="H1778" s="43" t="inlineStr">
        <is>
          <t>Exception Process: Temporary Deviation written for a permanent change (To Be Followed by ECO)</t>
        </is>
      </c>
      <c r="I1778" s="43" t="inlineStr">
        <is>
          <t>Customer Deviation</t>
        </is>
      </c>
      <c r="J1778" s="43" t="inlineStr">
        <is>
          <t>D610304</t>
        </is>
      </c>
      <c r="K1778" s="33" t="inlineStr">
        <is>
          <t>D610304 Deviation extension for D607227.ECO EA622974 is being released to make the change; this deviation to help cover till the ECO is released.ERBU: ASR-9000 Family: To allow Foxconn to follow below deviation points for POD label printing process.1) The manufacturer name is getting appended half way due to .btw file error; allow Foxconn to print manufacturer name as appearing in .btw file2) For ASR-9912; the 2 UKCA logo and Morocco label are missing in the .pdf; but available in the .zip reference folder and excel sheet; Foxconn to follow the excel sheet and .jpeg file available in the .zip folder3) For ASR-9006 ; as new POD label is larger than existing label; Foxconn to stick in on top of chassis.4) For ASR-9922 the Morocco logo are missing in the .pdf; but available in the .zip reference folder and excel sheet; Foxconn to follow the excel sheet and .jpeg file available in the .zip folder5) For ASR-9006; ASR-9010; ASR-9922 the VCCI logo are missing in the .excel sheet; but available in the .pdf; Foxconn to follow the pdf file available in the .zip folder6) For all other PID's: the COO; CLEI; 2D barcode; PID VID; PN Barcode; Date code are duplicated in the BOM; Foxconn to remove all duplicate content smaller label's.Please stick the POD labels in approximate location; for slightly larger size label please stick in suitable locations in center.  FOC to share the FAI report for the same after implementing the deviation.ECO EA622974 is being release to make the change; this deviation to help cover till the ECO is released.</t>
        </is>
      </c>
      <c r="L1778" s="43" t="inlineStr">
        <is>
          <t>Expired</t>
        </is>
      </c>
      <c r="M1778" s="43" t="inlineStr">
        <is>
          <t>47-104183-06</t>
        </is>
      </c>
      <c r="N1778" s="43" t="inlineStr"/>
      <c r="O1778" s="43" t="inlineStr">
        <is>
          <t>2026-07-06</t>
        </is>
      </c>
      <c r="P1778" s="33" t="inlineStr">
        <is>
          <t>Exception Process: Temporary Deviation written for a permanent change (To Be Followed by ECO)</t>
        </is>
      </c>
      <c r="Q1778" s="43" t="inlineStr">
        <is>
          <t>NA</t>
        </is>
      </c>
      <c r="R1778" s="43" t="inlineStr">
        <is>
          <t>2026-04-09</t>
        </is>
      </c>
      <c r="S1778" s="43" t="inlineStr">
        <is>
          <t>2026-05-08</t>
        </is>
      </c>
      <c r="T1778" s="43" t="inlineStr"/>
      <c r="U1778" s="43" t="inlineStr"/>
    </row>
    <row r="1779">
      <c r="A1779" s="43" t="n">
        <v>1779</v>
      </c>
      <c r="B1779" s="43" t="inlineStr">
        <is>
          <t>1778</t>
        </is>
      </c>
      <c r="C1779" s="43" t="inlineStr">
        <is>
          <t>FJZP</t>
        </is>
      </c>
      <c r="D1779" s="43" t="inlineStr">
        <is>
          <t>Cisco</t>
        </is>
      </c>
      <c r="E1779" s="43" t="inlineStr">
        <is>
          <t>MCGA</t>
        </is>
      </c>
      <c r="F1779" s="43" t="inlineStr">
        <is>
          <t>239-CRBU</t>
        </is>
      </c>
      <c r="G1779" s="43" t="inlineStr">
        <is>
          <t>CTANJZ05199</t>
        </is>
      </c>
      <c r="H1779" s="43" t="inlineStr">
        <is>
          <t>Exception Process: Temporary Deviation written for a permanent change (To Be Followed by ECO)</t>
        </is>
      </c>
      <c r="I1779" s="43" t="inlineStr">
        <is>
          <t>Customer Deviation</t>
        </is>
      </c>
      <c r="J1779" s="43" t="inlineStr">
        <is>
          <t>D610304</t>
        </is>
      </c>
      <c r="K1779" s="33" t="inlineStr">
        <is>
          <t>D610304 Deviation extension for D607227.ECO EA622974 is being released to make the change; this deviation to help cover till the ECO is released.ERBU: ASR-9000 Family: To allow Foxconn to follow below deviation points for POD label printing process.1) The manufacturer name is getting appended half way due to .btw file error; allow Foxconn to print manufacturer name as appearing in .btw file2) For ASR-9912; the 2 UKCA logo and Morocco label are missing in the .pdf; but available in the .zip reference folder and excel sheet; Foxconn to follow the excel sheet and .jpeg file available in the .zip folder3) For ASR-9006 ; as new POD label is larger than existing label; Foxconn to stick in on top of chassis.4) For ASR-9922 the Morocco logo are missing in the .pdf; but available in the .zip reference folder and excel sheet; Foxconn to follow the excel sheet and .jpeg file available in the .zip folder5) For ASR-9006; ASR-9010; ASR-9922 the VCCI logo are missing in the .excel sheet; but available in the .pdf; Foxconn to follow the pdf file available in the .zip folder6) For all other PID's: the COO; CLEI; 2D barcode; PID VID; PN Barcode; Date code are duplicated in the BOM; Foxconn to remove all duplicate content smaller label's.Please stick the POD labels in approximate location; for slightly larger size label please stick in suitable locations in center.  FOC to share the FAI report for the same after implementing the deviation.ECO EA622974 is being release to make the change; this deviation to help cover till the ECO is released.</t>
        </is>
      </c>
      <c r="L1779" s="43" t="inlineStr">
        <is>
          <t>Expired</t>
        </is>
      </c>
      <c r="M1779" s="43" t="inlineStr">
        <is>
          <t>47-20614-05</t>
        </is>
      </c>
      <c r="N1779" s="43" t="inlineStr"/>
      <c r="O1779" s="43" t="inlineStr">
        <is>
          <t>2026-07-06</t>
        </is>
      </c>
      <c r="P1779" s="33" t="inlineStr">
        <is>
          <t>Exception Process: Temporary Deviation written for a permanent change (To Be Followed by ECO)</t>
        </is>
      </c>
      <c r="Q1779" s="43" t="inlineStr">
        <is>
          <t>NA</t>
        </is>
      </c>
      <c r="R1779" s="43" t="inlineStr">
        <is>
          <t>2026-04-09</t>
        </is>
      </c>
      <c r="S1779" s="43" t="inlineStr">
        <is>
          <t>2026-05-08</t>
        </is>
      </c>
      <c r="T1779" s="43" t="inlineStr"/>
      <c r="U1779" s="43" t="inlineStr"/>
    </row>
    <row r="1780">
      <c r="A1780" s="43" t="n">
        <v>1780</v>
      </c>
      <c r="B1780" s="43" t="inlineStr">
        <is>
          <t>1779</t>
        </is>
      </c>
      <c r="C1780" s="43" t="inlineStr">
        <is>
          <t>FJZP</t>
        </is>
      </c>
      <c r="D1780" s="43" t="inlineStr">
        <is>
          <t>Cisco</t>
        </is>
      </c>
      <c r="E1780" s="43" t="inlineStr">
        <is>
          <t>MCGA</t>
        </is>
      </c>
      <c r="F1780" s="43" t="inlineStr">
        <is>
          <t>239-CRBU</t>
        </is>
      </c>
      <c r="G1780" s="43" t="inlineStr">
        <is>
          <t>CTANJZ05199</t>
        </is>
      </c>
      <c r="H1780" s="43" t="inlineStr">
        <is>
          <t>Exception Process: Temporary Deviation written for a permanent change (To Be Followed by ECO)</t>
        </is>
      </c>
      <c r="I1780" s="43" t="inlineStr">
        <is>
          <t>Customer Deviation</t>
        </is>
      </c>
      <c r="J1780" s="43" t="inlineStr">
        <is>
          <t>D610304</t>
        </is>
      </c>
      <c r="K1780" s="33" t="inlineStr">
        <is>
          <t>D610304 Deviation extension for D607227.ECO EA622974 is being released to make the change; this deviation to help cover till the ECO is released.ERBU: ASR-9000 Family: To allow Foxconn to follow below deviation points for POD label printing process.1) The manufacturer name is getting appended half way due to .btw file error; allow Foxconn to print manufacturer name as appearing in .btw file2) For ASR-9912; the 2 UKCA logo and Morocco label are missing in the .pdf; but available in the .zip reference folder and excel sheet; Foxconn to follow the excel sheet and .jpeg file available in the .zip folder3) For ASR-9006 ; as new POD label is larger than existing label; Foxconn to stick in on top of chassis.4) For ASR-9922 the Morocco logo are missing in the .pdf; but available in the .zip reference folder and excel sheet; Foxconn to follow the excel sheet and .jpeg file available in the .zip folder5) For ASR-9006; ASR-9010; ASR-9922 the VCCI logo are missing in the .excel sheet; but available in the .pdf; Foxconn to follow the pdf file available in the .zip folder6) For all other PID's: the COO; CLEI; 2D barcode; PID VID; PN Barcode; Date code are duplicated in the BOM; Foxconn to remove all duplicate content smaller label's.Please stick the POD labels in approximate location; for slightly larger size label please stick in suitable locations in center.  FOC to share the FAI report for the same after implementing the deviation.ECO EA622974 is being release to make the change; this deviation to help cover till the ECO is released.</t>
        </is>
      </c>
      <c r="L1780" s="43" t="inlineStr">
        <is>
          <t>Expired</t>
        </is>
      </c>
      <c r="M1780" s="43" t="inlineStr">
        <is>
          <t>47-21293-05</t>
        </is>
      </c>
      <c r="N1780" s="43" t="inlineStr"/>
      <c r="O1780" s="43" t="inlineStr">
        <is>
          <t>2026-07-06</t>
        </is>
      </c>
      <c r="P1780" s="33" t="inlineStr">
        <is>
          <t>Exception Process: Temporary Deviation written for a permanent change (To Be Followed by ECO)</t>
        </is>
      </c>
      <c r="Q1780" s="43" t="inlineStr">
        <is>
          <t>NA</t>
        </is>
      </c>
      <c r="R1780" s="43" t="inlineStr">
        <is>
          <t>2026-04-09</t>
        </is>
      </c>
      <c r="S1780" s="43" t="inlineStr">
        <is>
          <t>2026-05-08</t>
        </is>
      </c>
      <c r="T1780" s="43" t="inlineStr"/>
      <c r="U1780" s="43" t="inlineStr"/>
    </row>
    <row r="1781">
      <c r="A1781" s="43" t="n">
        <v>1781</v>
      </c>
      <c r="B1781" s="43" t="inlineStr">
        <is>
          <t>1780</t>
        </is>
      </c>
      <c r="C1781" s="43" t="inlineStr">
        <is>
          <t>FJZP</t>
        </is>
      </c>
      <c r="D1781" s="43" t="inlineStr">
        <is>
          <t>Cisco</t>
        </is>
      </c>
      <c r="E1781" s="43" t="inlineStr">
        <is>
          <t>MCGA</t>
        </is>
      </c>
      <c r="F1781" s="43" t="inlineStr">
        <is>
          <t>018-SRGBU</t>
        </is>
      </c>
      <c r="G1781" s="43" t="inlineStr">
        <is>
          <t>CTANJZ04942</t>
        </is>
      </c>
      <c r="H1781" s="43" t="inlineStr">
        <is>
          <t>Exception Process: Temporary Deviation written for a permanent change (To Be Followed by ECO)</t>
        </is>
      </c>
      <c r="I1781" s="43" t="inlineStr">
        <is>
          <t>Customer Deviation</t>
        </is>
      </c>
      <c r="J1781" s="43" t="inlineStr">
        <is>
          <t>D607246</t>
        </is>
      </c>
      <c r="K1781" s="33" t="inlineStr">
        <is>
          <t>D607246 SRGBU - This deviation is an extension of Deviation D605484               Nutella production to use new release 17.15.1r Rommon version</t>
        </is>
      </c>
      <c r="L1781" s="43" t="inlineStr">
        <is>
          <t>Expired</t>
        </is>
      </c>
      <c r="M1781" s="43" t="inlineStr">
        <is>
          <t>74-122743-01</t>
        </is>
      </c>
      <c r="N1781" s="43" t="inlineStr"/>
      <c r="O1781" s="43" t="inlineStr">
        <is>
          <t>2026-01-28</t>
        </is>
      </c>
      <c r="P1781" s="33" t="inlineStr">
        <is>
          <t>Exception Process: Temporary Deviation written for a permanent change (To Be Followed by ECO)</t>
        </is>
      </c>
      <c r="Q1781" s="43" t="inlineStr">
        <is>
          <t>Label all deviated units with deviation label and program deviation into cookie</t>
        </is>
      </c>
      <c r="R1781" s="43" t="inlineStr">
        <is>
          <t>2025-10-30</t>
        </is>
      </c>
      <c r="S1781" s="43" t="inlineStr">
        <is>
          <t>2025-11-14</t>
        </is>
      </c>
      <c r="T1781" s="43" t="inlineStr"/>
      <c r="U1781" s="43" t="inlineStr"/>
    </row>
    <row r="1782">
      <c r="A1782" s="43" t="n">
        <v>1782</v>
      </c>
      <c r="B1782" s="43" t="inlineStr">
        <is>
          <t>1781</t>
        </is>
      </c>
      <c r="C1782" s="43" t="inlineStr">
        <is>
          <t>FJZP</t>
        </is>
      </c>
      <c r="D1782" s="43" t="inlineStr">
        <is>
          <t>Cisco</t>
        </is>
      </c>
      <c r="E1782" s="43" t="inlineStr">
        <is>
          <t>MCGA</t>
        </is>
      </c>
      <c r="F1782" s="43" t="inlineStr">
        <is>
          <t>018-SRGBU</t>
        </is>
      </c>
      <c r="G1782" s="43" t="inlineStr">
        <is>
          <t>CTANJZ04942</t>
        </is>
      </c>
      <c r="H1782" s="43" t="inlineStr">
        <is>
          <t>Exception Process: Temporary Deviation written for a permanent change (To Be Followed by ECO)</t>
        </is>
      </c>
      <c r="I1782" s="43" t="inlineStr">
        <is>
          <t>Customer Deviation</t>
        </is>
      </c>
      <c r="J1782" s="43" t="inlineStr">
        <is>
          <t>D607246</t>
        </is>
      </c>
      <c r="K1782" s="33" t="inlineStr">
        <is>
          <t>D607246 SRGBU - This deviation is an extension of Deviation D605484               Nutella production to use new release 17.15.1r Rommon version</t>
        </is>
      </c>
      <c r="L1782" s="43" t="inlineStr">
        <is>
          <t>Expired</t>
        </is>
      </c>
      <c r="M1782" s="43" t="inlineStr">
        <is>
          <t>74-122744-01</t>
        </is>
      </c>
      <c r="N1782" s="43" t="inlineStr"/>
      <c r="O1782" s="43" t="inlineStr">
        <is>
          <t>2026-01-28</t>
        </is>
      </c>
      <c r="P1782" s="33" t="inlineStr">
        <is>
          <t>Exception Process: Temporary Deviation written for a permanent change (To Be Followed by ECO)</t>
        </is>
      </c>
      <c r="Q1782" s="43" t="inlineStr">
        <is>
          <t>Label all deviated units with deviation label and program deviation into cookie</t>
        </is>
      </c>
      <c r="R1782" s="43" t="inlineStr">
        <is>
          <t>2025-10-30</t>
        </is>
      </c>
      <c r="S1782" s="43" t="inlineStr">
        <is>
          <t>2025-11-14</t>
        </is>
      </c>
      <c r="T1782" s="43" t="inlineStr"/>
      <c r="U1782" s="43" t="inlineStr"/>
    </row>
    <row r="1783">
      <c r="A1783" s="43" t="n">
        <v>1783</v>
      </c>
      <c r="B1783" s="43" t="inlineStr">
        <is>
          <t>1782</t>
        </is>
      </c>
      <c r="C1783" s="43" t="inlineStr">
        <is>
          <t>FJZP</t>
        </is>
      </c>
      <c r="D1783" s="43" t="inlineStr">
        <is>
          <t>Cisco</t>
        </is>
      </c>
      <c r="E1783" s="43" t="inlineStr">
        <is>
          <t>MCGA</t>
        </is>
      </c>
      <c r="F1783" s="43" t="inlineStr">
        <is>
          <t>018-SRGBU</t>
        </is>
      </c>
      <c r="G1783" s="43" t="inlineStr">
        <is>
          <t>CTANJZ04942</t>
        </is>
      </c>
      <c r="H1783" s="43" t="inlineStr">
        <is>
          <t>Exception Process: Temporary Deviation written for a permanent change (To Be Followed by ECO)</t>
        </is>
      </c>
      <c r="I1783" s="43" t="inlineStr">
        <is>
          <t>Customer Deviation</t>
        </is>
      </c>
      <c r="J1783" s="43" t="inlineStr">
        <is>
          <t>D607246</t>
        </is>
      </c>
      <c r="K1783" s="33" t="inlineStr">
        <is>
          <t>D607246 SRGBU - This deviation is an extension of Deviation D605484               Nutella production to use new release 17.15.1r Rommon version</t>
        </is>
      </c>
      <c r="L1783" s="43" t="inlineStr">
        <is>
          <t>Expired</t>
        </is>
      </c>
      <c r="M1783" s="43" t="inlineStr">
        <is>
          <t>74-122859-01</t>
        </is>
      </c>
      <c r="N1783" s="43" t="inlineStr"/>
      <c r="O1783" s="43" t="inlineStr">
        <is>
          <t>2026-01-28</t>
        </is>
      </c>
      <c r="P1783" s="33" t="inlineStr">
        <is>
          <t>Exception Process: Temporary Deviation written for a permanent change (To Be Followed by ECO)</t>
        </is>
      </c>
      <c r="Q1783" s="43" t="inlineStr">
        <is>
          <t>Label all deviated units with deviation label and program deviation into cookie</t>
        </is>
      </c>
      <c r="R1783" s="43" t="inlineStr">
        <is>
          <t>2025-10-30</t>
        </is>
      </c>
      <c r="S1783" s="43" t="inlineStr">
        <is>
          <t>2025-11-14</t>
        </is>
      </c>
      <c r="T1783" s="43" t="inlineStr"/>
      <c r="U1783" s="43" t="inlineStr"/>
    </row>
    <row r="1784">
      <c r="A1784" s="43" t="n">
        <v>1784</v>
      </c>
      <c r="B1784" s="43" t="inlineStr">
        <is>
          <t>1783</t>
        </is>
      </c>
      <c r="C1784" s="43" t="inlineStr">
        <is>
          <t>FJZP</t>
        </is>
      </c>
      <c r="D1784" s="43" t="inlineStr">
        <is>
          <t>Cisco</t>
        </is>
      </c>
      <c r="E1784" s="43" t="inlineStr">
        <is>
          <t>MCGA</t>
        </is>
      </c>
      <c r="F1784" s="43" t="inlineStr">
        <is>
          <t>018-SRGBU</t>
        </is>
      </c>
      <c r="G1784" s="43" t="inlineStr">
        <is>
          <t>CTANJZ04942</t>
        </is>
      </c>
      <c r="H1784" s="43" t="inlineStr">
        <is>
          <t>Exception Process: Temporary Deviation written for a permanent change (To Be Followed by ECO)</t>
        </is>
      </c>
      <c r="I1784" s="43" t="inlineStr">
        <is>
          <t>Customer Deviation</t>
        </is>
      </c>
      <c r="J1784" s="43" t="inlineStr">
        <is>
          <t>D607246</t>
        </is>
      </c>
      <c r="K1784" s="33" t="inlineStr">
        <is>
          <t>D607246 SRGBU - This deviation is an extension of Deviation D605484               Nutella production to use new release 17.15.1r Rommon version</t>
        </is>
      </c>
      <c r="L1784" s="43" t="inlineStr">
        <is>
          <t>Expired</t>
        </is>
      </c>
      <c r="M1784" s="43" t="inlineStr">
        <is>
          <t>74-123836-01</t>
        </is>
      </c>
      <c r="N1784" s="43" t="inlineStr"/>
      <c r="O1784" s="43" t="inlineStr">
        <is>
          <t>2026-01-28</t>
        </is>
      </c>
      <c r="P1784" s="33" t="inlineStr">
        <is>
          <t>Exception Process: Temporary Deviation written for a permanent change (To Be Followed by ECO)</t>
        </is>
      </c>
      <c r="Q1784" s="43" t="inlineStr">
        <is>
          <t>Label all deviated units with deviation label and program deviation into cookie</t>
        </is>
      </c>
      <c r="R1784" s="43" t="inlineStr">
        <is>
          <t>2025-10-30</t>
        </is>
      </c>
      <c r="S1784" s="43" t="inlineStr">
        <is>
          <t>2025-11-14</t>
        </is>
      </c>
      <c r="T1784" s="43" t="inlineStr"/>
      <c r="U1784" s="43" t="inlineStr"/>
    </row>
    <row r="1785">
      <c r="A1785" s="43" t="n">
        <v>1785</v>
      </c>
      <c r="B1785" s="43" t="inlineStr">
        <is>
          <t>1784</t>
        </is>
      </c>
      <c r="C1785" s="43" t="inlineStr">
        <is>
          <t>FJZP</t>
        </is>
      </c>
      <c r="D1785" s="43" t="inlineStr">
        <is>
          <t>Cisco</t>
        </is>
      </c>
      <c r="E1785" s="43" t="inlineStr">
        <is>
          <t>MCGA</t>
        </is>
      </c>
      <c r="F1785" s="43" t="inlineStr">
        <is>
          <t>018-SRGBU</t>
        </is>
      </c>
      <c r="G1785" s="43" t="inlineStr">
        <is>
          <t>CTANJZ04942</t>
        </is>
      </c>
      <c r="H1785" s="43" t="inlineStr">
        <is>
          <t>Exception Process: Temporary Deviation written for a permanent change (To Be Followed by ECO)</t>
        </is>
      </c>
      <c r="I1785" s="43" t="inlineStr">
        <is>
          <t>Customer Deviation</t>
        </is>
      </c>
      <c r="J1785" s="43" t="inlineStr">
        <is>
          <t>D607246</t>
        </is>
      </c>
      <c r="K1785" s="33" t="inlineStr">
        <is>
          <t>D607246 SRGBU - This deviation is an extension of Deviation D605484               Nutella production to use new release 17.15.1r Rommon version</t>
        </is>
      </c>
      <c r="L1785" s="43" t="inlineStr">
        <is>
          <t>Expired</t>
        </is>
      </c>
      <c r="M1785" s="43" t="inlineStr">
        <is>
          <t>74-123837-01</t>
        </is>
      </c>
      <c r="N1785" s="43" t="inlineStr"/>
      <c r="O1785" s="43" t="inlineStr">
        <is>
          <t>2026-01-28</t>
        </is>
      </c>
      <c r="P1785" s="33" t="inlineStr">
        <is>
          <t>Exception Process: Temporary Deviation written for a permanent change (To Be Followed by ECO)</t>
        </is>
      </c>
      <c r="Q1785" s="43" t="inlineStr">
        <is>
          <t>Label all deviated units with deviation label and program deviation into cookie</t>
        </is>
      </c>
      <c r="R1785" s="43" t="inlineStr">
        <is>
          <t>2025-10-30</t>
        </is>
      </c>
      <c r="S1785" s="43" t="inlineStr">
        <is>
          <t>2025-11-14</t>
        </is>
      </c>
      <c r="T1785" s="43" t="inlineStr"/>
      <c r="U1785" s="43" t="inlineStr"/>
    </row>
    <row r="1786">
      <c r="A1786" s="43" t="n">
        <v>1786</v>
      </c>
      <c r="B1786" s="43" t="inlineStr">
        <is>
          <t>1785</t>
        </is>
      </c>
      <c r="C1786" s="43" t="inlineStr">
        <is>
          <t>FJZP</t>
        </is>
      </c>
      <c r="D1786" s="43" t="inlineStr">
        <is>
          <t>Cisco</t>
        </is>
      </c>
      <c r="E1786" s="43" t="inlineStr">
        <is>
          <t>MCGA</t>
        </is>
      </c>
      <c r="F1786" s="43" t="inlineStr">
        <is>
          <t>239-CRBU</t>
        </is>
      </c>
      <c r="G1786" s="43" t="inlineStr">
        <is>
          <t>CTANJZ05199</t>
        </is>
      </c>
      <c r="H1786" s="43" t="inlineStr">
        <is>
          <t>Exception Process: Temporary Deviation written for a permanent change (To Be Followed by ECO)</t>
        </is>
      </c>
      <c r="I1786" s="43" t="inlineStr">
        <is>
          <t>Customer Deviation</t>
        </is>
      </c>
      <c r="J1786" s="43" t="inlineStr">
        <is>
          <t>D610304</t>
        </is>
      </c>
      <c r="K1786" s="33" t="inlineStr">
        <is>
          <t>D610304 Deviation extension for D607227.ECO EA622974 is being released to make the change; this deviation to help cover till the ECO is released.ERBU: ASR-9000 Family: To allow Foxconn to follow below deviation points for POD label printing process.1) The manufacturer name is getting appended half way due to .btw file error; allow Foxconn to print manufacturer name as appearing in .btw file2) For ASR-9912; the 2 UKCA logo and Morocco label are missing in the .pdf; but available in the .zip reference folder and excel sheet; Foxconn to follow the excel sheet and .jpeg file available in the .zip folder3) For ASR-9006 ; as new POD label is larger than existing label; Foxconn to stick in on top of chassis.4) For ASR-9922 the Morocco logo are missing in the .pdf; but available in the .zip reference folder and excel sheet; Foxconn to follow the excel sheet and .jpeg file available in the .zip folder5) For ASR-9006; ASR-9010; ASR-9922 the VCCI logo are missing in the .excel sheet; but available in the .pdf; Foxconn to follow the pdf file available in the .zip folder6) For all other PID's: the COO; CLEI; 2D barcode; PID VID; PN Barcode; Date code are duplicated in the BOM; Foxconn to remove all duplicate content smaller label's.Please stick the POD labels in approximate location; for slightly larger size label please stick in suitable locations in center.  FOC to share the FAI report for the same after implementing the deviation.ECO EA622974 is being release to make the change; this deviation to help cover till the ECO is released.</t>
        </is>
      </c>
      <c r="L1786" s="43" t="inlineStr">
        <is>
          <t>Expired</t>
        </is>
      </c>
      <c r="M1786" s="43" t="inlineStr">
        <is>
          <t>47-24670-05</t>
        </is>
      </c>
      <c r="N1786" s="43" t="inlineStr"/>
      <c r="O1786" s="43" t="inlineStr">
        <is>
          <t>2026-07-06</t>
        </is>
      </c>
      <c r="P1786" s="33" t="inlineStr">
        <is>
          <t>Exception Process: Temporary Deviation written for a permanent change (To Be Followed by ECO)</t>
        </is>
      </c>
      <c r="Q1786" s="43" t="inlineStr">
        <is>
          <t>NA</t>
        </is>
      </c>
      <c r="R1786" s="43" t="inlineStr">
        <is>
          <t>2026-04-09</t>
        </is>
      </c>
      <c r="S1786" s="43" t="inlineStr">
        <is>
          <t>2026-05-08</t>
        </is>
      </c>
      <c r="T1786" s="43" t="inlineStr"/>
      <c r="U1786" s="43" t="inlineStr"/>
    </row>
    <row r="1787">
      <c r="A1787" s="43" t="n">
        <v>1787</v>
      </c>
      <c r="B1787" s="43" t="inlineStr">
        <is>
          <t>1786</t>
        </is>
      </c>
      <c r="C1787" s="43" t="inlineStr">
        <is>
          <t>FJZP</t>
        </is>
      </c>
      <c r="D1787" s="43" t="inlineStr">
        <is>
          <t>Cisco</t>
        </is>
      </c>
      <c r="E1787" s="43" t="inlineStr">
        <is>
          <t>MCGA</t>
        </is>
      </c>
      <c r="F1787" s="43" t="inlineStr">
        <is>
          <t>239-CRBU</t>
        </is>
      </c>
      <c r="G1787" s="43" t="inlineStr">
        <is>
          <t>CTANJZ05199</t>
        </is>
      </c>
      <c r="H1787" s="43" t="inlineStr">
        <is>
          <t>Exception Process: Temporary Deviation written for a permanent change (To Be Followed by ECO)</t>
        </is>
      </c>
      <c r="I1787" s="43" t="inlineStr">
        <is>
          <t>Customer Deviation</t>
        </is>
      </c>
      <c r="J1787" s="43" t="inlineStr">
        <is>
          <t>D610304</t>
        </is>
      </c>
      <c r="K1787" s="33" t="inlineStr">
        <is>
          <t>D610304 Deviation extension for D607227.ECO EA622974 is being released to make the change; this deviation to help cover till the ECO is released.ERBU: ASR-9000 Family: To allow Foxconn to follow below deviation points for POD label printing process.1) The manufacturer name is getting appended half way due to .btw file error; allow Foxconn to print manufacturer name as appearing in .btw file2) For ASR-9912; the 2 UKCA logo and Morocco label are missing in the .pdf; but available in the .zip reference folder and excel sheet; Foxconn to follow the excel sheet and .jpeg file available in the .zip folder3) For ASR-9006 ; as new POD label is larger than existing label; Foxconn to stick in on top of chassis.4) For ASR-9922 the Morocco logo are missing in the .pdf; but available in the .zip reference folder and excel sheet; Foxconn to follow the excel sheet and .jpeg file available in the .zip folder5) For ASR-9006; ASR-9010; ASR-9922 the VCCI logo are missing in the .excel sheet; but available in the .pdf; Foxconn to follow the pdf file available in the .zip folder6) For all other PID's: the COO; CLEI; 2D barcode; PID VID; PN Barcode; Date code are duplicated in the BOM; Foxconn to remove all duplicate content smaller label's.Please stick the POD labels in approximate location; for slightly larger size label please stick in suitable locations in center.  FOC to share the FAI report for the same after implementing the deviation.ECO EA622974 is being release to make the change; this deviation to help cover till the ECO is released.</t>
        </is>
      </c>
      <c r="L1787" s="43" t="inlineStr">
        <is>
          <t>Expired</t>
        </is>
      </c>
      <c r="M1787" s="43" t="inlineStr">
        <is>
          <t>47-25424-05</t>
        </is>
      </c>
      <c r="N1787" s="43" t="inlineStr"/>
      <c r="O1787" s="43" t="inlineStr">
        <is>
          <t>2026-07-06</t>
        </is>
      </c>
      <c r="P1787" s="33" t="inlineStr">
        <is>
          <t>Exception Process: Temporary Deviation written for a permanent change (To Be Followed by ECO)</t>
        </is>
      </c>
      <c r="Q1787" s="43" t="inlineStr">
        <is>
          <t>NA</t>
        </is>
      </c>
      <c r="R1787" s="43" t="inlineStr">
        <is>
          <t>2026-04-09</t>
        </is>
      </c>
      <c r="S1787" s="43" t="inlineStr">
        <is>
          <t>2026-05-08</t>
        </is>
      </c>
      <c r="T1787" s="43" t="inlineStr"/>
      <c r="U1787" s="43" t="inlineStr"/>
    </row>
    <row r="1788">
      <c r="A1788" s="43" t="n">
        <v>1788</v>
      </c>
      <c r="B1788" s="43" t="inlineStr">
        <is>
          <t>1787</t>
        </is>
      </c>
      <c r="C1788" s="43" t="inlineStr">
        <is>
          <t>FJZP</t>
        </is>
      </c>
      <c r="D1788" s="43" t="inlineStr">
        <is>
          <t>Cisco</t>
        </is>
      </c>
      <c r="E1788" s="43" t="inlineStr">
        <is>
          <t>MCGA</t>
        </is>
      </c>
      <c r="F1788" s="43" t="inlineStr">
        <is>
          <t>239-CRBU</t>
        </is>
      </c>
      <c r="G1788" s="43" t="inlineStr">
        <is>
          <t>CTANJZ05199</t>
        </is>
      </c>
      <c r="H1788" s="43" t="inlineStr">
        <is>
          <t>Exception Process: Temporary Deviation written for a permanent change (To Be Followed by ECO)</t>
        </is>
      </c>
      <c r="I1788" s="43" t="inlineStr">
        <is>
          <t>Customer Deviation</t>
        </is>
      </c>
      <c r="J1788" s="43" t="inlineStr">
        <is>
          <t>D610304</t>
        </is>
      </c>
      <c r="K1788" s="33" t="inlineStr">
        <is>
          <t>D610304 Deviation extension for D607227.ECO EA622974 is being released to make the change; this deviation to help cover till the ECO is released.ERBU: ASR-9000 Family: To allow Foxconn to follow below deviation points for POD label printing process.1) The manufacturer name is getting appended half way due to .btw file error; allow Foxconn to print manufacturer name as appearing in .btw file2) For ASR-9912; the 2 UKCA logo and Morocco label are missing in the .pdf; but available in the .zip reference folder and excel sheet; Foxconn to follow the excel sheet and .jpeg file available in the .zip folder3) For ASR-9006 ; as new POD label is larger than existing label; Foxconn to stick in on top of chassis.4) For ASR-9922 the Morocco logo are missing in the .pdf; but available in the .zip reference folder and excel sheet; Foxconn to follow the excel sheet and .jpeg file available in the .zip folder5) For ASR-9006; ASR-9010; ASR-9922 the VCCI logo are missing in the .excel sheet; but available in the .pdf; Foxconn to follow the pdf file available in the .zip folder6) For all other PID's: the COO; CLEI; 2D barcode; PID VID; PN Barcode; Date code are duplicated in the BOM; Foxconn to remove all duplicate content smaller label's.Please stick the POD labels in approximate location; for slightly larger size label please stick in suitable locations in center.  FOC to share the FAI report for the same after implementing the deviation.ECO EA622974 is being release to make the change; this deviation to help cover till the ECO is released.</t>
        </is>
      </c>
      <c r="L1788" s="43" t="inlineStr">
        <is>
          <t>Expired</t>
        </is>
      </c>
      <c r="M1788" s="43" t="inlineStr">
        <is>
          <t>68-5766-01</t>
        </is>
      </c>
      <c r="N1788" s="43" t="inlineStr"/>
      <c r="O1788" s="43" t="inlineStr">
        <is>
          <t>2026-07-06</t>
        </is>
      </c>
      <c r="P1788" s="33" t="inlineStr">
        <is>
          <t>Exception Process: Temporary Deviation written for a permanent change (To Be Followed by ECO)</t>
        </is>
      </c>
      <c r="Q1788" s="43" t="inlineStr">
        <is>
          <t>NA</t>
        </is>
      </c>
      <c r="R1788" s="43" t="inlineStr">
        <is>
          <t>2026-04-09</t>
        </is>
      </c>
      <c r="S1788" s="43" t="inlineStr">
        <is>
          <t>2026-05-08</t>
        </is>
      </c>
      <c r="T1788" s="43" t="inlineStr"/>
      <c r="U1788" s="43" t="inlineStr"/>
    </row>
    <row r="1789">
      <c r="A1789" s="43" t="n">
        <v>1789</v>
      </c>
      <c r="B1789" s="43" t="inlineStr">
        <is>
          <t>1788</t>
        </is>
      </c>
      <c r="C1789" s="43" t="inlineStr">
        <is>
          <t>FJZP</t>
        </is>
      </c>
      <c r="D1789" s="43" t="inlineStr">
        <is>
          <t>Cisco</t>
        </is>
      </c>
      <c r="E1789" s="43" t="inlineStr">
        <is>
          <t>MCGA</t>
        </is>
      </c>
      <c r="F1789" s="43" t="inlineStr">
        <is>
          <t>239-CRBU</t>
        </is>
      </c>
      <c r="G1789" s="43" t="inlineStr">
        <is>
          <t>CTANJZ05199</t>
        </is>
      </c>
      <c r="H1789" s="43" t="inlineStr">
        <is>
          <t>Exception Process: Temporary Deviation written for a permanent change (To Be Followed by ECO)</t>
        </is>
      </c>
      <c r="I1789" s="43" t="inlineStr">
        <is>
          <t>Customer Deviation</t>
        </is>
      </c>
      <c r="J1789" s="43" t="inlineStr">
        <is>
          <t>D610304</t>
        </is>
      </c>
      <c r="K1789" s="33" t="inlineStr">
        <is>
          <t>D610304 Deviation extension for D607227.ECO EA622974 is being released to make the change; this deviation to help cover till the ECO is released.ERBU: ASR-9000 Family: To allow Foxconn to follow below deviation points for POD label printing process.1) The manufacturer name is getting appended half way due to .btw file error; allow Foxconn to print manufacturer name as appearing in .btw file2) For ASR-9912; the 2 UKCA logo and Morocco label are missing in the .pdf; but available in the .zip reference folder and excel sheet; Foxconn to follow the excel sheet and .jpeg file available in the .zip folder3) For ASR-9006 ; as new POD label is larger than existing label; Foxconn to stick in on top of chassis.4) For ASR-9922 the Morocco logo are missing in the .pdf; but available in the .zip reference folder and excel sheet; Foxconn to follow the excel sheet and .jpeg file available in the .zip folder5) For ASR-9006; ASR-9010; ASR-9922 the VCCI logo are missing in the .excel sheet; but available in the .pdf; Foxconn to follow the pdf file available in the .zip folder6) For all other PID's: the COO; CLEI; 2D barcode; PID VID; PN Barcode; Date code are duplicated in the BOM; Foxconn to remove all duplicate content smaller label's.Please stick the POD labels in approximate location; for slightly larger size label please stick in suitable locations in center.  FOC to share the FAI report for the same after implementing the deviation.ECO EA622974 is being release to make the change; this deviation to help cover till the ECO is released.</t>
        </is>
      </c>
      <c r="L1789" s="43" t="inlineStr">
        <is>
          <t>Expired</t>
        </is>
      </c>
      <c r="M1789" s="43" t="inlineStr">
        <is>
          <t>68-5986-01</t>
        </is>
      </c>
      <c r="N1789" s="43" t="inlineStr"/>
      <c r="O1789" s="43" t="inlineStr">
        <is>
          <t>2026-07-06</t>
        </is>
      </c>
      <c r="P1789" s="33" t="inlineStr">
        <is>
          <t>Exception Process: Temporary Deviation written for a permanent change (To Be Followed by ECO)</t>
        </is>
      </c>
      <c r="Q1789" s="43" t="inlineStr">
        <is>
          <t>NA</t>
        </is>
      </c>
      <c r="R1789" s="43" t="inlineStr">
        <is>
          <t>2026-04-09</t>
        </is>
      </c>
      <c r="S1789" s="43" t="inlineStr">
        <is>
          <t>2026-05-08</t>
        </is>
      </c>
      <c r="T1789" s="43" t="inlineStr"/>
      <c r="U1789" s="43" t="inlineStr"/>
    </row>
    <row r="1790">
      <c r="A1790" s="43" t="n">
        <v>1790</v>
      </c>
      <c r="B1790" s="43" t="inlineStr">
        <is>
          <t>1789</t>
        </is>
      </c>
      <c r="C1790" s="43" t="inlineStr">
        <is>
          <t>FJZP</t>
        </is>
      </c>
      <c r="D1790" s="43" t="inlineStr">
        <is>
          <t>Cisco</t>
        </is>
      </c>
      <c r="E1790" s="43" t="inlineStr">
        <is>
          <t>MCGA</t>
        </is>
      </c>
      <c r="F1790" s="43" t="inlineStr">
        <is>
          <t>037-STBU</t>
        </is>
      </c>
      <c r="G1790" s="43" t="inlineStr">
        <is>
          <t>CTANJZ05195</t>
        </is>
      </c>
      <c r="H1790" s="43" t="inlineStr">
        <is>
          <t>Exception Process: Temporary Deviation written for a permanent change (To Be Followed by ECO)</t>
        </is>
      </c>
      <c r="I1790" s="43" t="inlineStr">
        <is>
          <t>Customer Deviation</t>
        </is>
      </c>
      <c r="J1790" s="43" t="inlineStr">
        <is>
          <t>D610252</t>
        </is>
      </c>
      <c r="K1790" s="33" t="inlineStr">
        <is>
          <t>D610252 This Deviation will be allowing Likom to rework the Woodside Park NetMod Cage due to some minor interference</t>
        </is>
      </c>
      <c r="L1790" s="43" t="inlineStr">
        <is>
          <t>Expired</t>
        </is>
      </c>
      <c r="M1790" s="43" t="inlineStr">
        <is>
          <t>800-112583-04</t>
        </is>
      </c>
      <c r="N1790" s="43" t="inlineStr"/>
      <c r="O1790" s="43" t="inlineStr">
        <is>
          <t>2026-07-06</t>
        </is>
      </c>
      <c r="P1790" s="33" t="inlineStr">
        <is>
          <t>Exception Process: Temporary Deviation written for a permanent change (To Be Followed by ECO)</t>
        </is>
      </c>
      <c r="Q1790" s="43" t="inlineStr">
        <is>
          <t>None</t>
        </is>
      </c>
      <c r="R1790" s="43" t="inlineStr">
        <is>
          <t>2026-04-09</t>
        </is>
      </c>
      <c r="S1790" s="43" t="inlineStr">
        <is>
          <t>2026-04-24</t>
        </is>
      </c>
      <c r="T1790" s="43" t="inlineStr"/>
      <c r="U1790" s="43" t="inlineStr"/>
    </row>
    <row r="1791">
      <c r="A1791" s="43" t="n">
        <v>1791</v>
      </c>
      <c r="B1791" s="43" t="inlineStr">
        <is>
          <t>1790</t>
        </is>
      </c>
      <c r="C1791" s="43" t="inlineStr">
        <is>
          <t>FJZP</t>
        </is>
      </c>
      <c r="D1791" s="43" t="inlineStr">
        <is>
          <t>Cisco</t>
        </is>
      </c>
      <c r="E1791" s="43" t="inlineStr">
        <is>
          <t>MCGA</t>
        </is>
      </c>
      <c r="F1791" s="43" t="inlineStr">
        <is>
          <t>037-STBU</t>
        </is>
      </c>
      <c r="G1791" s="43" t="inlineStr">
        <is>
          <t>CTANJZ05195</t>
        </is>
      </c>
      <c r="H1791" s="43" t="inlineStr">
        <is>
          <t>Exception Process: Temporary Deviation written for a permanent change (To Be Followed by ECO)</t>
        </is>
      </c>
      <c r="I1791" s="43" t="inlineStr">
        <is>
          <t>Customer Deviation</t>
        </is>
      </c>
      <c r="J1791" s="43" t="inlineStr">
        <is>
          <t>D610252</t>
        </is>
      </c>
      <c r="K1791" s="33" t="inlineStr">
        <is>
          <t>D610252 This Deviation will be allowing Likom to rework the Woodside Park NetMod Cage due to some minor interference</t>
        </is>
      </c>
      <c r="L1791" s="43" t="inlineStr">
        <is>
          <t>Expired</t>
        </is>
      </c>
      <c r="M1791" s="43" t="inlineStr">
        <is>
          <t>800-112611-01</t>
        </is>
      </c>
      <c r="N1791" s="43" t="inlineStr"/>
      <c r="O1791" s="43" t="inlineStr">
        <is>
          <t>2026-07-06</t>
        </is>
      </c>
      <c r="P1791" s="33" t="inlineStr">
        <is>
          <t>Exception Process: Temporary Deviation written for a permanent change (To Be Followed by ECO)</t>
        </is>
      </c>
      <c r="Q1791" s="43" t="inlineStr">
        <is>
          <t>None</t>
        </is>
      </c>
      <c r="R1791" s="43" t="inlineStr">
        <is>
          <t>2026-04-09</t>
        </is>
      </c>
      <c r="S1791" s="43" t="inlineStr">
        <is>
          <t>2026-04-24</t>
        </is>
      </c>
      <c r="T1791" s="43" t="inlineStr"/>
      <c r="U1791" s="43" t="inlineStr"/>
    </row>
    <row r="1792">
      <c r="A1792" s="43" t="n">
        <v>1792</v>
      </c>
      <c r="B1792" s="43" t="inlineStr">
        <is>
          <t>1791</t>
        </is>
      </c>
      <c r="C1792" s="43" t="inlineStr">
        <is>
          <t>FJZP</t>
        </is>
      </c>
      <c r="D1792" s="43" t="inlineStr">
        <is>
          <t>Cisco</t>
        </is>
      </c>
      <c r="E1792" s="43" t="inlineStr">
        <is>
          <t>MCGA</t>
        </is>
      </c>
      <c r="F1792" s="43" t="inlineStr">
        <is>
          <t>037-STBU</t>
        </is>
      </c>
      <c r="G1792" s="43" t="inlineStr">
        <is>
          <t>CTANJZ05195</t>
        </is>
      </c>
      <c r="H1792" s="43" t="inlineStr">
        <is>
          <t>Exception Process: Temporary Deviation written for a permanent change (To Be Followed by ECO)</t>
        </is>
      </c>
      <c r="I1792" s="43" t="inlineStr">
        <is>
          <t>Customer Deviation</t>
        </is>
      </c>
      <c r="J1792" s="43" t="inlineStr">
        <is>
          <t>D610252</t>
        </is>
      </c>
      <c r="K1792" s="33" t="inlineStr">
        <is>
          <t>D610252 This Deviation will be allowing Likom to rework the Woodside Park NetMod Cage due to some minor interference</t>
        </is>
      </c>
      <c r="L1792" s="43" t="inlineStr">
        <is>
          <t>Expired</t>
        </is>
      </c>
      <c r="M1792" s="43" t="inlineStr">
        <is>
          <t>800-112720-04</t>
        </is>
      </c>
      <c r="N1792" s="43" t="inlineStr"/>
      <c r="O1792" s="43" t="inlineStr">
        <is>
          <t>2026-07-06</t>
        </is>
      </c>
      <c r="P1792" s="33" t="inlineStr">
        <is>
          <t>Exception Process: Temporary Deviation written for a permanent change (To Be Followed by ECO)</t>
        </is>
      </c>
      <c r="Q1792" s="43" t="inlineStr">
        <is>
          <t>None</t>
        </is>
      </c>
      <c r="R1792" s="43" t="inlineStr">
        <is>
          <t>2026-04-09</t>
        </is>
      </c>
      <c r="S1792" s="43" t="inlineStr">
        <is>
          <t>2026-04-24</t>
        </is>
      </c>
      <c r="T1792" s="43" t="inlineStr"/>
      <c r="U1792" s="43" t="inlineStr"/>
    </row>
    <row r="1793">
      <c r="A1793" s="43" t="n">
        <v>1793</v>
      </c>
      <c r="B1793" s="43" t="inlineStr">
        <is>
          <t>1792</t>
        </is>
      </c>
      <c r="C1793" s="43" t="inlineStr">
        <is>
          <t>FJZP</t>
        </is>
      </c>
      <c r="D1793" s="43" t="inlineStr">
        <is>
          <t>Cisco</t>
        </is>
      </c>
      <c r="E1793" s="43" t="inlineStr">
        <is>
          <t>MCGA</t>
        </is>
      </c>
      <c r="F1793" s="43" t="inlineStr">
        <is>
          <t>035-CVEBU</t>
        </is>
      </c>
      <c r="G1793" s="43" t="inlineStr">
        <is>
          <t>CTANJZ05214</t>
        </is>
      </c>
      <c r="H1793" s="43" t="inlineStr">
        <is>
          <t>Exception Process: Temporary Deviation written for a permanent change (To Be Followed by ECO)</t>
        </is>
      </c>
      <c r="I1793" s="43" t="inlineStr">
        <is>
          <t>Customer Deviation</t>
        </is>
      </c>
      <c r="J1793" s="43" t="inlineStr">
        <is>
          <t>D610907</t>
        </is>
      </c>
      <c r="K1793" s="33" t="inlineStr">
        <is>
          <t>D610907 CVEBU; Tyne; Pilot 2 rework instructionAffected items68-104853-01; ASY-ELMECH; Tyne Codec; Radio73-103698-06; PCA; Tyne Codec Main Board; Radio68-104854-01; ASY-ELMECH; Tyne Codec; Non-Radio73-103940-06; PCA; Tyne Codec Main Board; Non-RadioRework instruction- FJZ need to rework entire Pilot 2 batch of Tyne Main Boards; 40x 73-103940-06 and 260x 73-103698-06 with following change    - C4355 must be changed from 11-2819-01 (10nF) to 11-3617-01 (220nF)- FJZ must implement updated HW Monitor FW in ICT test prior to ICT. Updated code will be provided by Cisco as soon as possible- FJZ to allocated 20x 68-104853-01 from Pilot 2 batch to be shipped to Norway for new RDT testing    - These 20 must be DEV fusedAdditional comments- Above rework instruction is only valid for Main Boards that has not been powered.- If any Pilot 2 Main Boards has been powered; FJZ must inform Cisco for further details.- Further details in such case will be uploaded as a comment to this deviation.- Pilot 1 units is not affected by this deviation; a separate deviation will be provided for those laterCisco Contact: Christian Kjolseth</t>
        </is>
      </c>
      <c r="L1793" s="43" t="inlineStr">
        <is>
          <t>Expired</t>
        </is>
      </c>
      <c r="M1793" s="43" t="inlineStr">
        <is>
          <t>68-104853-01</t>
        </is>
      </c>
      <c r="N1793" s="43" t="inlineStr"/>
      <c r="O1793" s="43" t="inlineStr">
        <is>
          <t>2026-07-15</t>
        </is>
      </c>
      <c r="P1793" s="33" t="inlineStr">
        <is>
          <t>Exception Process: Temporary Deviation written for a permanent change (To Be Followed by ECO)</t>
        </is>
      </c>
      <c r="Q1793" s="43" t="inlineStr">
        <is>
          <t>Mark PCBA with deviation number</t>
        </is>
      </c>
      <c r="R1793" s="43" t="inlineStr">
        <is>
          <t>2026-04-20</t>
        </is>
      </c>
      <c r="S1793" s="43" t="inlineStr">
        <is>
          <t>2026-05-05</t>
        </is>
      </c>
      <c r="T1793" s="43" t="inlineStr"/>
      <c r="U1793" s="43" t="inlineStr"/>
    </row>
    <row r="1794">
      <c r="A1794" s="43" t="n">
        <v>1794</v>
      </c>
      <c r="B1794" s="43" t="inlineStr">
        <is>
          <t>1793</t>
        </is>
      </c>
      <c r="C1794" s="43" t="inlineStr">
        <is>
          <t>FJZP</t>
        </is>
      </c>
      <c r="D1794" s="43" t="inlineStr">
        <is>
          <t>Cisco</t>
        </is>
      </c>
      <c r="E1794" s="43" t="inlineStr">
        <is>
          <t>MCGA</t>
        </is>
      </c>
      <c r="F1794" s="43" t="inlineStr">
        <is>
          <t>035-CVEBU</t>
        </is>
      </c>
      <c r="G1794" s="43" t="inlineStr">
        <is>
          <t>CTANJZ05214</t>
        </is>
      </c>
      <c r="H1794" s="43" t="inlineStr">
        <is>
          <t>Exception Process: Temporary Deviation written for a permanent change (To Be Followed by ECO)</t>
        </is>
      </c>
      <c r="I1794" s="43" t="inlineStr">
        <is>
          <t>Customer Deviation</t>
        </is>
      </c>
      <c r="J1794" s="43" t="inlineStr">
        <is>
          <t>D610907</t>
        </is>
      </c>
      <c r="K1794" s="33" t="inlineStr">
        <is>
          <t>D610907 CVEBU; Tyne; Pilot 2 rework instructionAffected items68-104853-01; ASY-ELMECH; Tyne Codec; Radio73-103698-06; PCA; Tyne Codec Main Board; Radio68-104854-01; ASY-ELMECH; Tyne Codec; Non-Radio73-103940-06; PCA; Tyne Codec Main Board; Non-RadioRework instruction- FJZ need to rework entire Pilot 2 batch of Tyne Main Boards; 40x 73-103940-06 and 260x 73-103698-06 with following change    - C4355 must be changed from 11-2819-01 (10nF) to 11-3617-01 (220nF)- FJZ must implement updated HW Monitor FW in ICT test prior to ICT. Updated code will be provided by Cisco as soon as possible- FJZ to allocated 20x 68-104853-01 from Pilot 2 batch to be shipped to Norway for new RDT testing    - These 20 must be DEV fusedAdditional comments- Above rework instruction is only valid for Main Boards that has not been powered.- If any Pilot 2 Main Boards has been powered; FJZ must inform Cisco for further details.- Further details in such case will be uploaded as a comment to this deviation.- Pilot 1 units is not affected by this deviation; a separate deviation will be provided for those laterCisco Contact: Christian Kjolseth</t>
        </is>
      </c>
      <c r="L1794" s="43" t="inlineStr">
        <is>
          <t>Expired</t>
        </is>
      </c>
      <c r="M1794" s="43" t="inlineStr">
        <is>
          <t>68-104854-01</t>
        </is>
      </c>
      <c r="N1794" s="43" t="inlineStr"/>
      <c r="O1794" s="43" t="inlineStr">
        <is>
          <t>2026-07-15</t>
        </is>
      </c>
      <c r="P1794" s="33" t="inlineStr">
        <is>
          <t>Exception Process: Temporary Deviation written for a permanent change (To Be Followed by ECO)</t>
        </is>
      </c>
      <c r="Q1794" s="43" t="inlineStr">
        <is>
          <t>Mark PCBA with deviation number</t>
        </is>
      </c>
      <c r="R1794" s="43" t="inlineStr">
        <is>
          <t>2026-04-20</t>
        </is>
      </c>
      <c r="S1794" s="43" t="inlineStr">
        <is>
          <t>2026-05-05</t>
        </is>
      </c>
      <c r="T1794" s="43" t="inlineStr"/>
      <c r="U1794" s="43" t="inlineStr"/>
    </row>
    <row r="1795">
      <c r="A1795" s="43" t="n">
        <v>1795</v>
      </c>
      <c r="B1795" s="43" t="inlineStr">
        <is>
          <t>1794</t>
        </is>
      </c>
      <c r="C1795" s="43" t="inlineStr">
        <is>
          <t>FJZP</t>
        </is>
      </c>
      <c r="D1795" s="43" t="inlineStr">
        <is>
          <t>Cisco</t>
        </is>
      </c>
      <c r="E1795" s="43" t="inlineStr">
        <is>
          <t>MCGA</t>
        </is>
      </c>
      <c r="F1795" s="43" t="inlineStr">
        <is>
          <t>035-CVEBU</t>
        </is>
      </c>
      <c r="G1795" s="43" t="inlineStr">
        <is>
          <t>CTANJZ05214</t>
        </is>
      </c>
      <c r="H1795" s="43" t="inlineStr">
        <is>
          <t>Exception Process: Temporary Deviation written for a permanent change (To Be Followed by ECO)</t>
        </is>
      </c>
      <c r="I1795" s="43" t="inlineStr">
        <is>
          <t>Customer Deviation</t>
        </is>
      </c>
      <c r="J1795" s="43" t="inlineStr">
        <is>
          <t>D610907</t>
        </is>
      </c>
      <c r="K1795" s="33" t="inlineStr">
        <is>
          <t>D610907 CVEBU; Tyne; Pilot 2 rework instructionAffected items68-104853-01; ASY-ELMECH; Tyne Codec; Radio73-103698-06; PCA; Tyne Codec Main Board; Radio68-104854-01; ASY-ELMECH; Tyne Codec; Non-Radio73-103940-06; PCA; Tyne Codec Main Board; Non-RadioRework instruction- FJZ need to rework entire Pilot 2 batch of Tyne Main Boards; 40x 73-103940-06 and 260x 73-103698-06 with following change    - C4355 must be changed from 11-2819-01 (10nF) to 11-3617-01 (220nF)- FJZ must implement updated HW Monitor FW in ICT test prior to ICT. Updated code will be provided by Cisco as soon as possible- FJZ to allocated 20x 68-104853-01 from Pilot 2 batch to be shipped to Norway for new RDT testing    - These 20 must be DEV fusedAdditional comments- Above rework instruction is only valid for Main Boards that has not been powered.- If any Pilot 2 Main Boards has been powered; FJZ must inform Cisco for further details.- Further details in such case will be uploaded as a comment to this deviation.- Pilot 1 units is not affected by this deviation; a separate deviation will be provided for those laterCisco Contact: Christian Kjolseth</t>
        </is>
      </c>
      <c r="L1795" s="43" t="inlineStr">
        <is>
          <t>Expired</t>
        </is>
      </c>
      <c r="M1795" s="43" t="inlineStr">
        <is>
          <t>73-103698-06</t>
        </is>
      </c>
      <c r="N1795" s="43" t="inlineStr"/>
      <c r="O1795" s="43" t="inlineStr">
        <is>
          <t>2026-07-15</t>
        </is>
      </c>
      <c r="P1795" s="33" t="inlineStr">
        <is>
          <t>Exception Process: Temporary Deviation written for a permanent change (To Be Followed by ECO)</t>
        </is>
      </c>
      <c r="Q1795" s="43" t="inlineStr">
        <is>
          <t>Mark PCBA with deviation number</t>
        </is>
      </c>
      <c r="R1795" s="43" t="inlineStr">
        <is>
          <t>2026-04-20</t>
        </is>
      </c>
      <c r="S1795" s="43" t="inlineStr">
        <is>
          <t>2026-05-05</t>
        </is>
      </c>
      <c r="T1795" s="43" t="inlineStr"/>
      <c r="U1795" s="43" t="inlineStr"/>
    </row>
    <row r="1796">
      <c r="A1796" s="43" t="n">
        <v>1796</v>
      </c>
      <c r="B1796" s="43" t="inlineStr">
        <is>
          <t>1795</t>
        </is>
      </c>
      <c r="C1796" s="43" t="inlineStr">
        <is>
          <t>FJZP</t>
        </is>
      </c>
      <c r="D1796" s="43" t="inlineStr">
        <is>
          <t>Cisco</t>
        </is>
      </c>
      <c r="E1796" s="43" t="inlineStr">
        <is>
          <t>MCGA</t>
        </is>
      </c>
      <c r="F1796" s="43" t="inlineStr">
        <is>
          <t>035-CVEBU</t>
        </is>
      </c>
      <c r="G1796" s="43" t="inlineStr">
        <is>
          <t>CTANJZ05214</t>
        </is>
      </c>
      <c r="H1796" s="43" t="inlineStr">
        <is>
          <t>Exception Process: Temporary Deviation written for a permanent change (To Be Followed by ECO)</t>
        </is>
      </c>
      <c r="I1796" s="43" t="inlineStr">
        <is>
          <t>Customer Deviation</t>
        </is>
      </c>
      <c r="J1796" s="43" t="inlineStr">
        <is>
          <t>D610907</t>
        </is>
      </c>
      <c r="K1796" s="33" t="inlineStr">
        <is>
          <t>D610907 CVEBU; Tyne; Pilot 2 rework instructionAffected items68-104853-01; ASY-ELMECH; Tyne Codec; Radio73-103698-06; PCA; Tyne Codec Main Board; Radio68-104854-01; ASY-ELMECH; Tyne Codec; Non-Radio73-103940-06; PCA; Tyne Codec Main Board; Non-RadioRework instruction- FJZ need to rework entire Pilot 2 batch of Tyne Main Boards; 40x 73-103940-06 and 260x 73-103698-06 with following change    - C4355 must be changed from 11-2819-01 (10nF) to 11-3617-01 (220nF)- FJZ must implement updated HW Monitor FW in ICT test prior to ICT. Updated code will be provided by Cisco as soon as possible- FJZ to allocated 20x 68-104853-01 from Pilot 2 batch to be shipped to Norway for new RDT testing    - These 20 must be DEV fusedAdditional comments- Above rework instruction is only valid for Main Boards that has not been powered.- If any Pilot 2 Main Boards has been powered; FJZ must inform Cisco for further details.- Further details in such case will be uploaded as a comment to this deviation.- Pilot 1 units is not affected by this deviation; a separate deviation will be provided for those laterCisco Contact: Christian Kjolseth</t>
        </is>
      </c>
      <c r="L1796" s="43" t="inlineStr">
        <is>
          <t>Expired</t>
        </is>
      </c>
      <c r="M1796" s="43" t="inlineStr">
        <is>
          <t>73-103940-06</t>
        </is>
      </c>
      <c r="N1796" s="43" t="inlineStr"/>
      <c r="O1796" s="43" t="inlineStr">
        <is>
          <t>2026-07-15</t>
        </is>
      </c>
      <c r="P1796" s="33" t="inlineStr">
        <is>
          <t>Exception Process: Temporary Deviation written for a permanent change (To Be Followed by ECO)</t>
        </is>
      </c>
      <c r="Q1796" s="43" t="inlineStr">
        <is>
          <t>Mark PCBA with deviation number</t>
        </is>
      </c>
      <c r="R1796" s="43" t="inlineStr">
        <is>
          <t>2026-04-20</t>
        </is>
      </c>
      <c r="S1796" s="43" t="inlineStr">
        <is>
          <t>2026-05-05</t>
        </is>
      </c>
      <c r="T1796" s="43" t="inlineStr"/>
      <c r="U1796" s="43" t="inlineStr"/>
    </row>
    <row r="1797">
      <c r="A1797" s="43" t="n">
        <v>1797</v>
      </c>
      <c r="B1797" s="43" t="inlineStr">
        <is>
          <t>1796</t>
        </is>
      </c>
      <c r="C1797" s="43" t="inlineStr">
        <is>
          <t>FJZP</t>
        </is>
      </c>
      <c r="D1797" s="43" t="inlineStr">
        <is>
          <t>Cisco</t>
        </is>
      </c>
      <c r="E1797" s="43" t="inlineStr">
        <is>
          <t>MCGA</t>
        </is>
      </c>
      <c r="F1797" s="43" t="inlineStr">
        <is>
          <t>035-CVEBU</t>
        </is>
      </c>
      <c r="G1797" s="43" t="inlineStr">
        <is>
          <t>CTANJZ05214</t>
        </is>
      </c>
      <c r="H1797" s="43" t="inlineStr">
        <is>
          <t>Exception Process: Temporary Deviation written for a permanent change (To Be Followed by ECO)</t>
        </is>
      </c>
      <c r="I1797" s="43" t="inlineStr">
        <is>
          <t>Customer Deviation</t>
        </is>
      </c>
      <c r="J1797" s="43" t="inlineStr">
        <is>
          <t>D610907</t>
        </is>
      </c>
      <c r="K1797" s="33" t="inlineStr">
        <is>
          <t>D610907 CVEBU; Tyne; Pilot 2 rework instructionAffected items68-104853-01; ASY-ELMECH; Tyne Codec; Radio73-103698-06; PCA; Tyne Codec Main Board; Radio68-104854-01; ASY-ELMECH; Tyne Codec; Non-Radio73-103940-06; PCA; Tyne Codec Main Board; Non-RadioRework instruction- FJZ need to rework entire Pilot 2 batch of Tyne Main Boards; 40x 73-103940-06 and 260x 73-103698-06 with following change    - C4355 must be changed from 11-2819-01 (10nF) to 11-3617-01 (220nF)- FJZ must implement updated HW Monitor FW in ICT test prior to ICT. Updated code will be provided by Cisco as soon as possible- FJZ to allocated 20x 68-104853-01 from Pilot 2 batch to be shipped to Norway for new RDT testing    - These 20 must be DEV fusedAdditional comments- Above rework instruction is only valid for Main Boards that has not been powered.- If any Pilot 2 Main Boards has been powered; FJZ must inform Cisco for further details.- Further details in such case will be uploaded as a comment to this deviation.- Pilot 1 units is not affected by this deviation; a separate deviation will be provided for those laterCisco Contact: Christian Kjolseth</t>
        </is>
      </c>
      <c r="L1797" s="43" t="inlineStr">
        <is>
          <t>Expired</t>
        </is>
      </c>
      <c r="M1797" s="43" t="inlineStr">
        <is>
          <t>800-113103-01</t>
        </is>
      </c>
      <c r="N1797" s="43" t="inlineStr"/>
      <c r="O1797" s="43" t="inlineStr">
        <is>
          <t>2026-07-15</t>
        </is>
      </c>
      <c r="P1797" s="33" t="inlineStr">
        <is>
          <t>Exception Process: Temporary Deviation written for a permanent change (To Be Followed by ECO)</t>
        </is>
      </c>
      <c r="Q1797" s="43" t="inlineStr">
        <is>
          <t>Mark PCBA with deviation number</t>
        </is>
      </c>
      <c r="R1797" s="43" t="inlineStr">
        <is>
          <t>2026-04-20</t>
        </is>
      </c>
      <c r="S1797" s="43" t="inlineStr">
        <is>
          <t>2026-05-05</t>
        </is>
      </c>
      <c r="T1797" s="43" t="inlineStr"/>
      <c r="U1797" s="43" t="inlineStr"/>
    </row>
    <row r="1798">
      <c r="A1798" s="43" t="n">
        <v>1798</v>
      </c>
      <c r="B1798" s="43" t="inlineStr">
        <is>
          <t>1797</t>
        </is>
      </c>
      <c r="C1798" s="43" t="inlineStr">
        <is>
          <t>FJZP</t>
        </is>
      </c>
      <c r="D1798" s="43" t="inlineStr">
        <is>
          <t>Cisco</t>
        </is>
      </c>
      <c r="E1798" s="43" t="inlineStr">
        <is>
          <t>MCGA</t>
        </is>
      </c>
      <c r="F1798" s="43" t="inlineStr">
        <is>
          <t>035-CVEBU</t>
        </is>
      </c>
      <c r="G1798" s="43" t="inlineStr">
        <is>
          <t>CTANJZ05214</t>
        </is>
      </c>
      <c r="H1798" s="43" t="inlineStr">
        <is>
          <t>Exception Process: Temporary Deviation written for a permanent change (To Be Followed by ECO)</t>
        </is>
      </c>
      <c r="I1798" s="43" t="inlineStr">
        <is>
          <t>Customer Deviation</t>
        </is>
      </c>
      <c r="J1798" s="43" t="inlineStr">
        <is>
          <t>D610907</t>
        </is>
      </c>
      <c r="K1798" s="33" t="inlineStr">
        <is>
          <t>D610907 CVEBU; Tyne; Pilot 2 rework instructionAffected items68-104853-01; ASY-ELMECH; Tyne Codec; Radio73-103698-06; PCA; Tyne Codec Main Board; Radio68-104854-01; ASY-ELMECH; Tyne Codec; Non-Radio73-103940-06; PCA; Tyne Codec Main Board; Non-RadioRework instruction- FJZ need to rework entire Pilot 2 batch of Tyne Main Boards; 40x 73-103940-06 and 260x 73-103698-06 with following change    - C4355 must be changed from 11-2819-01 (10nF) to 11-3617-01 (220nF)- FJZ must implement updated HW Monitor FW in ICT test prior to ICT. Updated code will be provided by Cisco as soon as possible- FJZ to allocated 20x 68-104853-01 from Pilot 2 batch to be shipped to Norway for new RDT testing    - These 20 must be DEV fusedAdditional comments- Above rework instruction is only valid for Main Boards that has not been powered.- If any Pilot 2 Main Boards has been powered; FJZ must inform Cisco for further details.- Further details in such case will be uploaded as a comment to this deviation.- Pilot 1 units is not affected by this deviation; a separate deviation will be provided for those laterCisco Contact: Christian Kjolseth</t>
        </is>
      </c>
      <c r="L1798" s="43" t="inlineStr">
        <is>
          <t>Expired</t>
        </is>
      </c>
      <c r="M1798" s="43" t="inlineStr">
        <is>
          <t>800-113105-01</t>
        </is>
      </c>
      <c r="N1798" s="43" t="inlineStr"/>
      <c r="O1798" s="43" t="inlineStr">
        <is>
          <t>2026-07-15</t>
        </is>
      </c>
      <c r="P1798" s="33" t="inlineStr">
        <is>
          <t>Exception Process: Temporary Deviation written for a permanent change (To Be Followed by ECO)</t>
        </is>
      </c>
      <c r="Q1798" s="43" t="inlineStr">
        <is>
          <t>Mark PCBA with deviation number</t>
        </is>
      </c>
      <c r="R1798" s="43" t="inlineStr">
        <is>
          <t>2026-04-20</t>
        </is>
      </c>
      <c r="S1798" s="43" t="inlineStr">
        <is>
          <t>2026-05-05</t>
        </is>
      </c>
      <c r="T1798" s="43" t="inlineStr"/>
      <c r="U1798" s="43" t="inlineStr"/>
    </row>
    <row r="1799">
      <c r="A1799" s="43" t="n">
        <v>1799</v>
      </c>
      <c r="B1799" s="43" t="inlineStr">
        <is>
          <t>1798</t>
        </is>
      </c>
      <c r="C1799" s="43" t="inlineStr">
        <is>
          <t>FJZP</t>
        </is>
      </c>
      <c r="D1799" s="43" t="inlineStr">
        <is>
          <t>Cisco</t>
        </is>
      </c>
      <c r="E1799" s="43" t="inlineStr">
        <is>
          <t>MCGA</t>
        </is>
      </c>
      <c r="F1799" s="43" t="inlineStr">
        <is>
          <t>035-CVEBU</t>
        </is>
      </c>
      <c r="G1799" s="43" t="inlineStr">
        <is>
          <t>CTANJZ05214</t>
        </is>
      </c>
      <c r="H1799" s="43" t="inlineStr">
        <is>
          <t>Exception Process: Temporary Deviation written for a permanent change (To Be Followed by ECO)</t>
        </is>
      </c>
      <c r="I1799" s="43" t="inlineStr">
        <is>
          <t>Customer Deviation</t>
        </is>
      </c>
      <c r="J1799" s="43" t="inlineStr">
        <is>
          <t>D610907</t>
        </is>
      </c>
      <c r="K1799" s="33" t="inlineStr">
        <is>
          <t>D610907 CVEBU; Tyne; Pilot 2 rework instructionAffected items68-104853-01; ASY-ELMECH; Tyne Codec; Radio73-103698-06; PCA; Tyne Codec Main Board; Radio68-104854-01; ASY-ELMECH; Tyne Codec; Non-Radio73-103940-06; PCA; Tyne Codec Main Board; Non-RadioRework instruction- FJZ need to rework entire Pilot 2 batch of Tyne Main Boards; 40x 73-103940-06 and 260x 73-103698-06 with following change    - C4355 must be changed from 11-2819-01 (10nF) to 11-3617-01 (220nF)- FJZ must implement updated HW Monitor FW in ICT test prior to ICT. Updated code will be provided by Cisco as soon as possible- FJZ to allocated 20x 68-104853-01 from Pilot 2 batch to be shipped to Norway for new RDT testing    - These 20 must be DEV fusedAdditional comments- Above rework instruction is only valid for Main Boards that has not been powered.- If any Pilot 2 Main Boards has been powered; FJZ must inform Cisco for further details.- Further details in such case will be uploaded as a comment to this deviation.- Pilot 1 units is not affected by this deviation; a separate deviation will be provided for those laterCisco Contact: Christian Kjolseth</t>
        </is>
      </c>
      <c r="L1799" s="43" t="inlineStr">
        <is>
          <t>Expired</t>
        </is>
      </c>
      <c r="M1799" s="43" t="inlineStr">
        <is>
          <t>800-113253-01</t>
        </is>
      </c>
      <c r="N1799" s="43" t="inlineStr"/>
      <c r="O1799" s="43" t="inlineStr">
        <is>
          <t>2026-07-15</t>
        </is>
      </c>
      <c r="P1799" s="33" t="inlineStr">
        <is>
          <t>Exception Process: Temporary Deviation written for a permanent change (To Be Followed by ECO)</t>
        </is>
      </c>
      <c r="Q1799" s="43" t="inlineStr">
        <is>
          <t>Mark PCBA with deviation number</t>
        </is>
      </c>
      <c r="R1799" s="43" t="inlineStr">
        <is>
          <t>2026-04-20</t>
        </is>
      </c>
      <c r="S1799" s="43" t="inlineStr">
        <is>
          <t>2026-05-05</t>
        </is>
      </c>
      <c r="T1799" s="43" t="inlineStr"/>
      <c r="U1799" s="43" t="inlineStr"/>
    </row>
    <row r="1800">
      <c r="A1800" s="43" t="n">
        <v>1800</v>
      </c>
      <c r="B1800" s="43" t="inlineStr">
        <is>
          <t>1799</t>
        </is>
      </c>
      <c r="C1800" s="43" t="inlineStr">
        <is>
          <t>FJZP</t>
        </is>
      </c>
      <c r="D1800" s="43" t="inlineStr">
        <is>
          <t>Cisco</t>
        </is>
      </c>
      <c r="E1800" s="43" t="inlineStr">
        <is>
          <t>MCGA</t>
        </is>
      </c>
      <c r="F1800" s="43" t="inlineStr">
        <is>
          <t>037-STBU</t>
        </is>
      </c>
      <c r="G1800" s="43" t="inlineStr">
        <is>
          <t>CTANJZ04493</t>
        </is>
      </c>
      <c r="H1800" s="43" t="inlineStr">
        <is>
          <t>Exception Process: Temporary Deviation written for a permanent change (To Be Followed by ECO)</t>
        </is>
      </c>
      <c r="I1800" s="43" t="inlineStr">
        <is>
          <t>Customer Deviation</t>
        </is>
      </c>
      <c r="J1800" s="43" t="inlineStr">
        <is>
          <t>D602616</t>
        </is>
      </c>
      <c r="K1800" s="33" t="inlineStr">
        <is>
          <t>D602616 This Deviation supports immediate use of updated Victoria RM PCA/TAN MAPs for Victoria A0 Pilot build; currently in process at FJZ.On 68-104742-04_A0;  use updated PCA/TAN MAP 61-107123-04 -A2  On 68-104743-04_A0;  use updated PCA/TAN MAP 61-107124-04 -A2On 68-104744-04_A0;  use updated PCA/TAN MAP 61-107125-04 -A2Updated TAN MAPs are attached to ECO EA618008  and will be forwarded directly to FJZ for Pilot use.</t>
        </is>
      </c>
      <c r="L1800" s="43" t="inlineStr">
        <is>
          <t>Expired</t>
        </is>
      </c>
      <c r="M1800" s="43" t="inlineStr">
        <is>
          <t>74-134452-04</t>
        </is>
      </c>
      <c r="N1800" s="43" t="inlineStr"/>
      <c r="O1800" s="43" t="inlineStr">
        <is>
          <t>2025-06-09</t>
        </is>
      </c>
      <c r="P1800" s="33" t="inlineStr">
        <is>
          <t>Exception Process: Temporary Deviation written for a permanent change (To Be Followed by ECO)</t>
        </is>
      </c>
      <c r="Q1800" s="43" t="inlineStr">
        <is>
          <t>No additional marking instructions required</t>
        </is>
      </c>
      <c r="R1800" s="43" t="inlineStr">
        <is>
          <t>2025-03-12</t>
        </is>
      </c>
      <c r="S1800" s="43" t="inlineStr">
        <is>
          <t>2025-03-26</t>
        </is>
      </c>
      <c r="T1800" s="43" t="inlineStr"/>
      <c r="U1800" s="43" t="inlineStr"/>
    </row>
    <row r="1801">
      <c r="A1801" s="43" t="n">
        <v>1801</v>
      </c>
      <c r="B1801" s="43" t="inlineStr">
        <is>
          <t>1800</t>
        </is>
      </c>
      <c r="C1801" s="43" t="inlineStr">
        <is>
          <t>FJZP</t>
        </is>
      </c>
      <c r="D1801" s="43" t="inlineStr">
        <is>
          <t>Cisco</t>
        </is>
      </c>
      <c r="E1801" s="43" t="inlineStr">
        <is>
          <t>MCGA</t>
        </is>
      </c>
      <c r="F1801" s="43" t="inlineStr">
        <is>
          <t>037-STBU</t>
        </is>
      </c>
      <c r="G1801" s="43" t="inlineStr">
        <is>
          <t>CTANJZ04493</t>
        </is>
      </c>
      <c r="H1801" s="43" t="inlineStr">
        <is>
          <t>Exception Process: Temporary Deviation written for a permanent change (To Be Followed by ECO)</t>
        </is>
      </c>
      <c r="I1801" s="43" t="inlineStr">
        <is>
          <t>Customer Deviation</t>
        </is>
      </c>
      <c r="J1801" s="43" t="inlineStr">
        <is>
          <t>D602616</t>
        </is>
      </c>
      <c r="K1801" s="33" t="inlineStr">
        <is>
          <t>D602616 This Deviation supports immediate use of updated Victoria RM PCA/TAN MAPs for Victoria A0 Pilot build; currently in process at FJZ.On 68-104742-04_A0;  use updated PCA/TAN MAP 61-107123-04 -A2  On 68-104743-04_A0;  use updated PCA/TAN MAP 61-107124-04 -A2On 68-104744-04_A0;  use updated PCA/TAN MAP 61-107125-04 -A2Updated TAN MAPs are attached to ECO EA618008  and will be forwarded directly to FJZ for Pilot use.</t>
        </is>
      </c>
      <c r="L1801" s="43" t="inlineStr">
        <is>
          <t>Expired</t>
        </is>
      </c>
      <c r="M1801" s="43" t="inlineStr">
        <is>
          <t>74-134453-04</t>
        </is>
      </c>
      <c r="N1801" s="43" t="inlineStr"/>
      <c r="O1801" s="43" t="inlineStr">
        <is>
          <t>2025-06-09</t>
        </is>
      </c>
      <c r="P1801" s="33" t="inlineStr">
        <is>
          <t>Exception Process: Temporary Deviation written for a permanent change (To Be Followed by ECO)</t>
        </is>
      </c>
      <c r="Q1801" s="43" t="inlineStr">
        <is>
          <t>No additional marking instructions required</t>
        </is>
      </c>
      <c r="R1801" s="43" t="inlineStr">
        <is>
          <t>2025-03-12</t>
        </is>
      </c>
      <c r="S1801" s="43" t="inlineStr">
        <is>
          <t>2025-03-26</t>
        </is>
      </c>
      <c r="T1801" s="43" t="inlineStr"/>
      <c r="U1801" s="43" t="inlineStr"/>
    </row>
    <row r="1802">
      <c r="A1802" s="43" t="n">
        <v>1802</v>
      </c>
      <c r="B1802" s="43" t="inlineStr">
        <is>
          <t>1801</t>
        </is>
      </c>
      <c r="C1802" s="43" t="inlineStr">
        <is>
          <t>FJZP</t>
        </is>
      </c>
      <c r="D1802" s="43" t="inlineStr">
        <is>
          <t>Cisco</t>
        </is>
      </c>
      <c r="E1802" s="43" t="inlineStr">
        <is>
          <t>MCGA</t>
        </is>
      </c>
      <c r="F1802" s="43" t="inlineStr">
        <is>
          <t>037-STBU</t>
        </is>
      </c>
      <c r="G1802" s="43" t="inlineStr">
        <is>
          <t>CTANJZ04493</t>
        </is>
      </c>
      <c r="H1802" s="43" t="inlineStr">
        <is>
          <t>Exception Process: Temporary Deviation written for a permanent change (To Be Followed by ECO)</t>
        </is>
      </c>
      <c r="I1802" s="43" t="inlineStr">
        <is>
          <t>Customer Deviation</t>
        </is>
      </c>
      <c r="J1802" s="43" t="inlineStr">
        <is>
          <t>D602616</t>
        </is>
      </c>
      <c r="K1802" s="33" t="inlineStr">
        <is>
          <t>D602616 This Deviation supports immediate use of updated Victoria RM PCA/TAN MAPs for Victoria A0 Pilot build; currently in process at FJZ.On 68-104742-04_A0;  use updated PCA/TAN MAP 61-107123-04 -A2  On 68-104743-04_A0;  use updated PCA/TAN MAP 61-107124-04 -A2On 68-104744-04_A0;  use updated PCA/TAN MAP 61-107125-04 -A2Updated TAN MAPs are attached to ECO EA618008  and will be forwarded directly to FJZ for Pilot use.</t>
        </is>
      </c>
      <c r="L1802" s="43" t="inlineStr">
        <is>
          <t>Expired</t>
        </is>
      </c>
      <c r="M1802" s="43" t="inlineStr">
        <is>
          <t>74-139980-01</t>
        </is>
      </c>
      <c r="N1802" s="43" t="inlineStr"/>
      <c r="O1802" s="43" t="inlineStr">
        <is>
          <t>2025-06-09</t>
        </is>
      </c>
      <c r="P1802" s="33" t="inlineStr">
        <is>
          <t>Exception Process: Temporary Deviation written for a permanent change (To Be Followed by ECO)</t>
        </is>
      </c>
      <c r="Q1802" s="43" t="inlineStr">
        <is>
          <t>No additional marking instructions required</t>
        </is>
      </c>
      <c r="R1802" s="43" t="inlineStr">
        <is>
          <t>2025-03-12</t>
        </is>
      </c>
      <c r="S1802" s="43" t="inlineStr">
        <is>
          <t>2025-03-26</t>
        </is>
      </c>
      <c r="T1802" s="43" t="inlineStr"/>
      <c r="U1802" s="43" t="inlineStr"/>
    </row>
    <row r="1803">
      <c r="A1803" s="43" t="n">
        <v>1803</v>
      </c>
      <c r="B1803" s="43" t="inlineStr">
        <is>
          <t>1802</t>
        </is>
      </c>
      <c r="C1803" s="43" t="inlineStr">
        <is>
          <t>FJZP</t>
        </is>
      </c>
      <c r="D1803" s="43" t="inlineStr">
        <is>
          <t>Cisco</t>
        </is>
      </c>
      <c r="E1803" s="43" t="inlineStr">
        <is>
          <t>MCGA</t>
        </is>
      </c>
      <c r="F1803" s="43" t="inlineStr">
        <is>
          <t>037-STBU</t>
        </is>
      </c>
      <c r="G1803" s="43" t="inlineStr">
        <is>
          <t>CTANJZ04493</t>
        </is>
      </c>
      <c r="H1803" s="43" t="inlineStr">
        <is>
          <t>Exception Process: Temporary Deviation written for a permanent change (To Be Followed by ECO)</t>
        </is>
      </c>
      <c r="I1803" s="43" t="inlineStr">
        <is>
          <t>Customer Deviation</t>
        </is>
      </c>
      <c r="J1803" s="43" t="inlineStr">
        <is>
          <t>D602616</t>
        </is>
      </c>
      <c r="K1803" s="33" t="inlineStr">
        <is>
          <t>D602616 This Deviation supports immediate use of updated Victoria RM PCA/TAN MAPs for Victoria A0 Pilot build; currently in process at FJZ.On 68-104742-04_A0;  use updated PCA/TAN MAP 61-107123-04 -A2  On 68-104743-04_A0;  use updated PCA/TAN MAP 61-107124-04 -A2On 68-104744-04_A0;  use updated PCA/TAN MAP 61-107125-04 -A2Updated TAN MAPs are attached to ECO EA618008  and will be forwarded directly to FJZ for Pilot use.</t>
        </is>
      </c>
      <c r="L1803" s="43" t="inlineStr">
        <is>
          <t>Expired</t>
        </is>
      </c>
      <c r="M1803" s="43" t="inlineStr">
        <is>
          <t>74-139981-01</t>
        </is>
      </c>
      <c r="N1803" s="43" t="inlineStr"/>
      <c r="O1803" s="43" t="inlineStr">
        <is>
          <t>2025-06-09</t>
        </is>
      </c>
      <c r="P1803" s="33" t="inlineStr">
        <is>
          <t>Exception Process: Temporary Deviation written for a permanent change (To Be Followed by ECO)</t>
        </is>
      </c>
      <c r="Q1803" s="43" t="inlineStr">
        <is>
          <t>No additional marking instructions required</t>
        </is>
      </c>
      <c r="R1803" s="43" t="inlineStr">
        <is>
          <t>2025-03-12</t>
        </is>
      </c>
      <c r="S1803" s="43" t="inlineStr">
        <is>
          <t>2025-03-26</t>
        </is>
      </c>
      <c r="T1803" s="43" t="inlineStr"/>
      <c r="U1803" s="43" t="inlineStr"/>
    </row>
    <row r="1804">
      <c r="A1804" s="43" t="n">
        <v>1804</v>
      </c>
      <c r="B1804" s="43" t="inlineStr">
        <is>
          <t>1803</t>
        </is>
      </c>
      <c r="C1804" s="43" t="inlineStr">
        <is>
          <t>FJZP</t>
        </is>
      </c>
      <c r="D1804" s="43" t="inlineStr">
        <is>
          <t>Cisco</t>
        </is>
      </c>
      <c r="E1804" s="43" t="inlineStr">
        <is>
          <t>MCGA</t>
        </is>
      </c>
      <c r="F1804" s="43" t="inlineStr">
        <is>
          <t>037-STBU</t>
        </is>
      </c>
      <c r="G1804" s="43" t="inlineStr">
        <is>
          <t>CTANJZ04493</t>
        </is>
      </c>
      <c r="H1804" s="43" t="inlineStr">
        <is>
          <t>Exception Process: Temporary Deviation written for a permanent change (To Be Followed by ECO)</t>
        </is>
      </c>
      <c r="I1804" s="43" t="inlineStr">
        <is>
          <t>Customer Deviation</t>
        </is>
      </c>
      <c r="J1804" s="43" t="inlineStr">
        <is>
          <t>D602616</t>
        </is>
      </c>
      <c r="K1804" s="33" t="inlineStr">
        <is>
          <t>D602616 This Deviation supports immediate use of updated Victoria RM PCA/TAN MAPs for Victoria A0 Pilot build; currently in process at FJZ.On 68-104742-04_A0;  use updated PCA/TAN MAP 61-107123-04 -A2  On 68-104743-04_A0;  use updated PCA/TAN MAP 61-107124-04 -A2On 68-104744-04_A0;  use updated PCA/TAN MAP 61-107125-04 -A2Updated TAN MAPs are attached to ECO EA618008  and will be forwarded directly to FJZ for Pilot use.</t>
        </is>
      </c>
      <c r="L1804" s="43" t="inlineStr">
        <is>
          <t>Expired</t>
        </is>
      </c>
      <c r="M1804" s="43" t="inlineStr">
        <is>
          <t>74-139982-01</t>
        </is>
      </c>
      <c r="N1804" s="43" t="inlineStr"/>
      <c r="O1804" s="43" t="inlineStr">
        <is>
          <t>2025-06-09</t>
        </is>
      </c>
      <c r="P1804" s="33" t="inlineStr">
        <is>
          <t>Exception Process: Temporary Deviation written for a permanent change (To Be Followed by ECO)</t>
        </is>
      </c>
      <c r="Q1804" s="43" t="inlineStr">
        <is>
          <t>No additional marking instructions required</t>
        </is>
      </c>
      <c r="R1804" s="43" t="inlineStr">
        <is>
          <t>2025-03-12</t>
        </is>
      </c>
      <c r="S1804" s="43" t="inlineStr">
        <is>
          <t>2025-03-26</t>
        </is>
      </c>
      <c r="T1804" s="43" t="inlineStr"/>
      <c r="U1804" s="43" t="inlineStr"/>
    </row>
    <row r="1805">
      <c r="A1805" s="43" t="n">
        <v>1805</v>
      </c>
      <c r="B1805" s="43" t="inlineStr">
        <is>
          <t>1804</t>
        </is>
      </c>
      <c r="C1805" s="43" t="inlineStr">
        <is>
          <t>FJZP</t>
        </is>
      </c>
      <c r="D1805" s="43" t="inlineStr">
        <is>
          <t>Cisco</t>
        </is>
      </c>
      <c r="E1805" s="43" t="inlineStr">
        <is>
          <t>MCGA</t>
        </is>
      </c>
      <c r="F1805" s="43" t="inlineStr">
        <is>
          <t>037-STBU</t>
        </is>
      </c>
      <c r="G1805" s="43" t="inlineStr">
        <is>
          <t>CTANJZ05327</t>
        </is>
      </c>
      <c r="H1805" s="43" t="inlineStr">
        <is>
          <t>Exception Process: Temporary Deviation written for a permanent change (To Be Followed by ECO)</t>
        </is>
      </c>
      <c r="I1805" s="43" t="inlineStr">
        <is>
          <t>Customer Deviation</t>
        </is>
      </c>
      <c r="J1805" s="43" t="inlineStr">
        <is>
          <t>D612196</t>
        </is>
      </c>
      <c r="K1805" s="33" t="inlineStr">
        <is>
          <t>D612196 NGFWBU: Due to all approved MPNs under CPN 25-1283-01 currently showing ¡§Deplete Stock/Cancelled" status in AVL; Foxconn Juarez (FJZ) is unable to procure this part despite ongoing demand. This deviation allows FJZ to continue procurement of CPN 25-1283-01 using existing AVL-listed MPNs and to permit use of this CPN in production for NGFWBU products; overriding lifecycle status restrictions. This is a temporary measure until the new qualified CPN is introduced and added to respective BOMs (TPK/WPK/NMs).CPN 25-100310-01 will replace CPN 25-1283-01 on all affect NGFWBU Products... (See affected Items)</t>
        </is>
      </c>
      <c r="L1805" s="43" t="inlineStr">
        <is>
          <t>Expired</t>
        </is>
      </c>
      <c r="M1805" s="43" t="inlineStr">
        <is>
          <t>25-1283-01</t>
        </is>
      </c>
      <c r="N1805" s="43" t="inlineStr"/>
      <c r="O1805" s="43" t="inlineStr">
        <is>
          <t>2026-09-27</t>
        </is>
      </c>
      <c r="P1805" s="33" t="inlineStr">
        <is>
          <t>Exception Process: Temporary Deviation written for a permanent change (To Be Followed by ECO)</t>
        </is>
      </c>
      <c r="Q1805" s="43" t="inlineStr">
        <is>
          <t>N/A</t>
        </is>
      </c>
      <c r="R1805" s="43" t="inlineStr">
        <is>
          <t>2026-06-30</t>
        </is>
      </c>
      <c r="S1805" s="43" t="inlineStr">
        <is>
          <t>2026-07-20</t>
        </is>
      </c>
      <c r="T1805" s="43" t="inlineStr"/>
      <c r="U1805" s="43" t="inlineStr"/>
    </row>
    <row r="1806">
      <c r="A1806" s="43" t="n">
        <v>1806</v>
      </c>
      <c r="B1806" s="43" t="inlineStr">
        <is>
          <t>1805</t>
        </is>
      </c>
      <c r="C1806" s="43" t="inlineStr">
        <is>
          <t>FJZP</t>
        </is>
      </c>
      <c r="D1806" s="43" t="inlineStr">
        <is>
          <t>Cisco</t>
        </is>
      </c>
      <c r="E1806" s="43" t="inlineStr">
        <is>
          <t>MCGA</t>
        </is>
      </c>
      <c r="F1806" s="43" t="inlineStr">
        <is>
          <t>037-STBU</t>
        </is>
      </c>
      <c r="G1806" s="43" t="inlineStr">
        <is>
          <t>CTANJZ05327</t>
        </is>
      </c>
      <c r="H1806" s="43" t="inlineStr">
        <is>
          <t>Exception Process: Temporary Deviation written for a permanent change (To Be Followed by ECO)</t>
        </is>
      </c>
      <c r="I1806" s="43" t="inlineStr">
        <is>
          <t>Customer Deviation</t>
        </is>
      </c>
      <c r="J1806" s="43" t="inlineStr">
        <is>
          <t>D612196</t>
        </is>
      </c>
      <c r="K1806" s="33" t="inlineStr">
        <is>
          <t>D612196 NGFWBU: Due to all approved MPNs under CPN 25-1283-01 currently showing ¡§Deplete Stock/Cancelled" status in AVL; Foxconn Juarez (FJZ) is unable to procure this part despite ongoing demand. This deviation allows FJZ to continue procurement of CPN 25-1283-01 using existing AVL-listed MPNs and to permit use of this CPN in production for NGFWBU products; overriding lifecycle status restrictions. This is a temporary measure until the new qualified CPN is introduced and added to respective BOMs (TPK/WPK/NMs).CPN 25-100310-01 will replace CPN 25-1283-01 on all affect NGFWBU Products... (See affected Items)</t>
        </is>
      </c>
      <c r="L1806" s="43" t="inlineStr">
        <is>
          <t>Expired</t>
        </is>
      </c>
      <c r="M1806" s="43" t="inlineStr">
        <is>
          <t>73-102418-04</t>
        </is>
      </c>
      <c r="N1806" s="43" t="inlineStr"/>
      <c r="O1806" s="43" t="inlineStr">
        <is>
          <t>2026-09-27</t>
        </is>
      </c>
      <c r="P1806" s="33" t="inlineStr">
        <is>
          <t>Exception Process: Temporary Deviation written for a permanent change (To Be Followed by ECO)</t>
        </is>
      </c>
      <c r="Q1806" s="43" t="inlineStr">
        <is>
          <t>N/A</t>
        </is>
      </c>
      <c r="R1806" s="43" t="inlineStr">
        <is>
          <t>2026-06-30</t>
        </is>
      </c>
      <c r="S1806" s="43" t="inlineStr">
        <is>
          <t>2026-07-20</t>
        </is>
      </c>
      <c r="T1806" s="43" t="inlineStr"/>
      <c r="U1806" s="43" t="inlineStr"/>
    </row>
    <row r="1807">
      <c r="A1807" s="43" t="n">
        <v>1807</v>
      </c>
      <c r="B1807" s="43" t="inlineStr">
        <is>
          <t>1806</t>
        </is>
      </c>
      <c r="C1807" s="43" t="inlineStr">
        <is>
          <t>FJZP</t>
        </is>
      </c>
      <c r="D1807" s="43" t="inlineStr">
        <is>
          <t>Cisco</t>
        </is>
      </c>
      <c r="E1807" s="43" t="inlineStr">
        <is>
          <t>MCGA</t>
        </is>
      </c>
      <c r="F1807" s="43" t="inlineStr">
        <is>
          <t>037-STBU</t>
        </is>
      </c>
      <c r="G1807" s="43" t="inlineStr">
        <is>
          <t>CTANJZ05094</t>
        </is>
      </c>
      <c r="H1807" s="43" t="inlineStr">
        <is>
          <t>Exception Process: Temporary Deviation written for a permanent change (To Be Followed by ECO)</t>
        </is>
      </c>
      <c r="I1807" s="43" t="inlineStr">
        <is>
          <t>Customer Deviation</t>
        </is>
      </c>
      <c r="J1807" s="43" t="inlineStr">
        <is>
          <t>D609408</t>
        </is>
      </c>
      <c r="K1807" s="33" t="inlineStr">
        <is>
          <t>D609408 NGFWBU: FPR1K EA616081 ¡X Validation &amp; FAI ROMMON Reference Designator CorrectionScope: All FPR1K SKUs73-18488-0873-18489-0873-18490-1073-21007-03Deviation / Required Action:Perform PCBA rework to correctly populate the ROMMON SPI Flash ;17-100951-17; at the designated reference designators : U7B_F and U8B_F.Verification / Test Requirement:After rework completion; verify correct placement and functionality of the ROMMON SPI Flash. Once verification is confirmed; run each respective FPR1K unit through PCBA ETE testing per the standard manufacturing test process.</t>
        </is>
      </c>
      <c r="L1807" s="43" t="inlineStr">
        <is>
          <t>Expired</t>
        </is>
      </c>
      <c r="M1807" s="43" t="inlineStr">
        <is>
          <t>73-18488-08</t>
        </is>
      </c>
      <c r="N1807" s="43" t="inlineStr"/>
      <c r="O1807" s="43" t="inlineStr">
        <is>
          <t>2026-05-04</t>
        </is>
      </c>
      <c r="P1807" s="33" t="inlineStr">
        <is>
          <t>Exception Process: Temporary Deviation written for a permanent change (To Be Followed by ECO)</t>
        </is>
      </c>
      <c r="Q1807" s="43" t="inlineStr">
        <is>
          <t>Place deviation Label on PCBA visibly</t>
        </is>
      </c>
      <c r="R1807" s="43" t="inlineStr">
        <is>
          <t>2026-02-03</t>
        </is>
      </c>
      <c r="S1807" s="43" t="inlineStr">
        <is>
          <t>2026-02-28</t>
        </is>
      </c>
      <c r="T1807" s="43" t="inlineStr"/>
      <c r="U1807" s="43" t="inlineStr"/>
    </row>
    <row r="1808">
      <c r="A1808" s="43" t="n">
        <v>1808</v>
      </c>
      <c r="B1808" s="43" t="inlineStr">
        <is>
          <t>1807</t>
        </is>
      </c>
      <c r="C1808" s="43" t="inlineStr">
        <is>
          <t>FJZP</t>
        </is>
      </c>
      <c r="D1808" s="43" t="inlineStr">
        <is>
          <t>Cisco</t>
        </is>
      </c>
      <c r="E1808" s="43" t="inlineStr">
        <is>
          <t>MCGA</t>
        </is>
      </c>
      <c r="F1808" s="43" t="inlineStr">
        <is>
          <t>037-STBU</t>
        </is>
      </c>
      <c r="G1808" s="43" t="inlineStr">
        <is>
          <t>CTANJZ05094</t>
        </is>
      </c>
      <c r="H1808" s="43" t="inlineStr">
        <is>
          <t>Exception Process: Temporary Deviation written for a permanent change (To Be Followed by ECO)</t>
        </is>
      </c>
      <c r="I1808" s="43" t="inlineStr">
        <is>
          <t>Customer Deviation</t>
        </is>
      </c>
      <c r="J1808" s="43" t="inlineStr">
        <is>
          <t>D609408</t>
        </is>
      </c>
      <c r="K1808" s="33" t="inlineStr">
        <is>
          <t>D609408 NGFWBU: FPR1K EA616081 ¡X Validation &amp; FAI ROMMON Reference Designator CorrectionScope: All FPR1K SKUs73-18488-0873-18489-0873-18490-1073-21007-03Deviation / Required Action:Perform PCBA rework to correctly populate the ROMMON SPI Flash ;17-100951-17; at the designated reference designators : U7B_F and U8B_F.Verification / Test Requirement:After rework completion; verify correct placement and functionality of the ROMMON SPI Flash. Once verification is confirmed; run each respective FPR1K unit through PCBA ETE testing per the standard manufacturing test process.</t>
        </is>
      </c>
      <c r="L1808" s="43" t="inlineStr">
        <is>
          <t>Expired</t>
        </is>
      </c>
      <c r="M1808" s="43" t="inlineStr">
        <is>
          <t>73-18489-08</t>
        </is>
      </c>
      <c r="N1808" s="43" t="inlineStr"/>
      <c r="O1808" s="43" t="inlineStr">
        <is>
          <t>2026-05-04</t>
        </is>
      </c>
      <c r="P1808" s="33" t="inlineStr">
        <is>
          <t>Exception Process: Temporary Deviation written for a permanent change (To Be Followed by ECO)</t>
        </is>
      </c>
      <c r="Q1808" s="43" t="inlineStr">
        <is>
          <t>Place deviation Label on PCBA visibly</t>
        </is>
      </c>
      <c r="R1808" s="43" t="inlineStr">
        <is>
          <t>2026-02-03</t>
        </is>
      </c>
      <c r="S1808" s="43" t="inlineStr">
        <is>
          <t>2026-02-28</t>
        </is>
      </c>
      <c r="T1808" s="43" t="inlineStr"/>
      <c r="U1808" s="43" t="inlineStr"/>
    </row>
    <row r="1809">
      <c r="A1809" s="43" t="n">
        <v>1809</v>
      </c>
      <c r="B1809" s="43" t="inlineStr">
        <is>
          <t>1808</t>
        </is>
      </c>
      <c r="C1809" s="43" t="inlineStr">
        <is>
          <t>FJZP</t>
        </is>
      </c>
      <c r="D1809" s="43" t="inlineStr">
        <is>
          <t>Cisco</t>
        </is>
      </c>
      <c r="E1809" s="43" t="inlineStr">
        <is>
          <t>MCGA</t>
        </is>
      </c>
      <c r="F1809" s="43" t="inlineStr">
        <is>
          <t>037-STBU</t>
        </is>
      </c>
      <c r="G1809" s="43" t="inlineStr">
        <is>
          <t>CTANJZ05094</t>
        </is>
      </c>
      <c r="H1809" s="43" t="inlineStr">
        <is>
          <t>Exception Process: Temporary Deviation written for a permanent change (To Be Followed by ECO)</t>
        </is>
      </c>
      <c r="I1809" s="43" t="inlineStr">
        <is>
          <t>Customer Deviation</t>
        </is>
      </c>
      <c r="J1809" s="43" t="inlineStr">
        <is>
          <t>D609408</t>
        </is>
      </c>
      <c r="K1809" s="33" t="inlineStr">
        <is>
          <t>D609408 NGFWBU: FPR1K EA616081 ¡X Validation &amp; FAI ROMMON Reference Designator CorrectionScope: All FPR1K SKUs73-18488-0873-18489-0873-18490-1073-21007-03Deviation / Required Action:Perform PCBA rework to correctly populate the ROMMON SPI Flash ;17-100951-17; at the designated reference designators : U7B_F and U8B_F.Verification / Test Requirement:After rework completion; verify correct placement and functionality of the ROMMON SPI Flash. Once verification is confirmed; run each respective FPR1K unit through PCBA ETE testing per the standard manufacturing test process.</t>
        </is>
      </c>
      <c r="L1809" s="43" t="inlineStr">
        <is>
          <t>Expired</t>
        </is>
      </c>
      <c r="M1809" s="43" t="inlineStr">
        <is>
          <t>73-18490-10</t>
        </is>
      </c>
      <c r="N1809" s="43" t="inlineStr"/>
      <c r="O1809" s="43" t="inlineStr">
        <is>
          <t>2026-05-04</t>
        </is>
      </c>
      <c r="P1809" s="33" t="inlineStr">
        <is>
          <t>Exception Process: Temporary Deviation written for a permanent change (To Be Followed by ECO)</t>
        </is>
      </c>
      <c r="Q1809" s="43" t="inlineStr">
        <is>
          <t>Place deviation Label on PCBA visibly</t>
        </is>
      </c>
      <c r="R1809" s="43" t="inlineStr">
        <is>
          <t>2026-02-03</t>
        </is>
      </c>
      <c r="S1809" s="43" t="inlineStr">
        <is>
          <t>2026-02-28</t>
        </is>
      </c>
      <c r="T1809" s="43" t="inlineStr"/>
      <c r="U1809" s="43" t="inlineStr"/>
    </row>
    <row r="1810">
      <c r="A1810" s="43" t="n">
        <v>1810</v>
      </c>
      <c r="B1810" s="43" t="inlineStr">
        <is>
          <t>1809</t>
        </is>
      </c>
      <c r="C1810" s="43" t="inlineStr">
        <is>
          <t>FJZP</t>
        </is>
      </c>
      <c r="D1810" s="43" t="inlineStr">
        <is>
          <t>Cisco</t>
        </is>
      </c>
      <c r="E1810" s="43" t="inlineStr">
        <is>
          <t>MCGA</t>
        </is>
      </c>
      <c r="F1810" s="43" t="inlineStr">
        <is>
          <t>037-STBU</t>
        </is>
      </c>
      <c r="G1810" s="43" t="inlineStr">
        <is>
          <t>CTANJZ05094</t>
        </is>
      </c>
      <c r="H1810" s="43" t="inlineStr">
        <is>
          <t>Exception Process: Temporary Deviation written for a permanent change (To Be Followed by ECO)</t>
        </is>
      </c>
      <c r="I1810" s="43" t="inlineStr">
        <is>
          <t>Customer Deviation</t>
        </is>
      </c>
      <c r="J1810" s="43" t="inlineStr">
        <is>
          <t>D609408</t>
        </is>
      </c>
      <c r="K1810" s="33" t="inlineStr">
        <is>
          <t>D609408 NGFWBU: FPR1K EA616081 ¡X Validation &amp; FAI ROMMON Reference Designator CorrectionScope: All FPR1K SKUs73-18488-0873-18489-0873-18490-1073-21007-03Deviation / Required Action:Perform PCBA rework to correctly populate the ROMMON SPI Flash ;17-100951-17; at the designated reference designators : U7B_F and U8B_F.Verification / Test Requirement:After rework completion; verify correct placement and functionality of the ROMMON SPI Flash. Once verification is confirmed; run each respective FPR1K unit through PCBA ETE testing per the standard manufacturing test process.</t>
        </is>
      </c>
      <c r="L1810" s="43" t="inlineStr">
        <is>
          <t>Expired</t>
        </is>
      </c>
      <c r="M1810" s="43" t="inlineStr">
        <is>
          <t>73-21007-03</t>
        </is>
      </c>
      <c r="N1810" s="43" t="inlineStr"/>
      <c r="O1810" s="43" t="inlineStr">
        <is>
          <t>2026-05-04</t>
        </is>
      </c>
      <c r="P1810" s="33" t="inlineStr">
        <is>
          <t>Exception Process: Temporary Deviation written for a permanent change (To Be Followed by ECO)</t>
        </is>
      </c>
      <c r="Q1810" s="43" t="inlineStr">
        <is>
          <t>Place deviation Label on PCBA visibly</t>
        </is>
      </c>
      <c r="R1810" s="43" t="inlineStr">
        <is>
          <t>2026-02-03</t>
        </is>
      </c>
      <c r="S1810" s="43" t="inlineStr">
        <is>
          <t>2026-02-28</t>
        </is>
      </c>
      <c r="T1810" s="43" t="inlineStr"/>
      <c r="U1810" s="43" t="inlineStr"/>
    </row>
    <row r="1811">
      <c r="A1811" s="43" t="n">
        <v>1811</v>
      </c>
      <c r="B1811" s="43" t="inlineStr">
        <is>
          <t>1810</t>
        </is>
      </c>
      <c r="C1811" s="43" t="inlineStr">
        <is>
          <t>FJZP</t>
        </is>
      </c>
      <c r="D1811" s="43" t="inlineStr">
        <is>
          <t>Cisco</t>
        </is>
      </c>
      <c r="E1811" s="43" t="inlineStr">
        <is>
          <t>MCGA</t>
        </is>
      </c>
      <c r="F1811" s="43" t="inlineStr">
        <is>
          <t>037-STBU</t>
        </is>
      </c>
      <c r="G1811" s="43" t="inlineStr">
        <is>
          <t>CTANJZ05251</t>
        </is>
      </c>
      <c r="H1811" s="43" t="inlineStr">
        <is>
          <t>New Release</t>
        </is>
      </c>
      <c r="I1811" s="43" t="inlineStr">
        <is>
          <t>Customer Deviation</t>
        </is>
      </c>
      <c r="J1811" s="43" t="inlineStr">
        <is>
          <t>D610647</t>
        </is>
      </c>
      <c r="K1811" s="33" t="inlineStr">
        <is>
          <t>D610647 Please see PageThree for details</t>
        </is>
      </c>
      <c r="L1811" s="43" t="inlineStr">
        <is>
          <t>Expired</t>
        </is>
      </c>
      <c r="M1811" s="43" t="inlineStr">
        <is>
          <t>68-104741-04</t>
        </is>
      </c>
      <c r="N1811" s="43" t="inlineStr"/>
      <c r="O1811" s="43" t="inlineStr">
        <is>
          <t>2026-08-17</t>
        </is>
      </c>
      <c r="P1811" s="33" t="inlineStr">
        <is>
          <t>Exception Process: Temporary Deviation written for a permanent change (To Be Followed by ECO)</t>
        </is>
      </c>
      <c r="Q1811" s="43" t="inlineStr">
        <is>
          <t>Add Deviation Label on the bottom side of the enclosure; and visible location on the PCBA</t>
        </is>
      </c>
      <c r="R1811" s="43" t="inlineStr">
        <is>
          <t>2026-05-20</t>
        </is>
      </c>
      <c r="S1811" s="43" t="inlineStr"/>
      <c r="T1811" s="43" t="inlineStr"/>
      <c r="U1811" s="43" t="inlineStr"/>
    </row>
    <row r="1812">
      <c r="A1812" s="43" t="n">
        <v>1812</v>
      </c>
      <c r="B1812" s="43" t="inlineStr">
        <is>
          <t>1811</t>
        </is>
      </c>
      <c r="C1812" s="43" t="inlineStr">
        <is>
          <t>FJZP</t>
        </is>
      </c>
      <c r="D1812" s="43" t="inlineStr">
        <is>
          <t>Cisco</t>
        </is>
      </c>
      <c r="E1812" s="43" t="inlineStr">
        <is>
          <t>MCGA</t>
        </is>
      </c>
      <c r="F1812" s="43" t="inlineStr">
        <is>
          <t>037-STBU</t>
        </is>
      </c>
      <c r="G1812" s="43" t="inlineStr">
        <is>
          <t>CTANJZ05251</t>
        </is>
      </c>
      <c r="H1812" s="43" t="inlineStr">
        <is>
          <t>New Release</t>
        </is>
      </c>
      <c r="I1812" s="43" t="inlineStr">
        <is>
          <t>Customer Deviation</t>
        </is>
      </c>
      <c r="J1812" s="43" t="inlineStr">
        <is>
          <t>D610647</t>
        </is>
      </c>
      <c r="K1812" s="33" t="inlineStr">
        <is>
          <t>D610647 Please see PageThree for details</t>
        </is>
      </c>
      <c r="L1812" s="43" t="inlineStr">
        <is>
          <t>Expired</t>
        </is>
      </c>
      <c r="M1812" s="43" t="inlineStr">
        <is>
          <t>68-104742-04</t>
        </is>
      </c>
      <c r="N1812" s="43" t="inlineStr"/>
      <c r="O1812" s="43" t="inlineStr">
        <is>
          <t>2026-08-17</t>
        </is>
      </c>
      <c r="P1812" s="33" t="inlineStr">
        <is>
          <t>Exception Process: Temporary Deviation written for a permanent change (To Be Followed by ECO)</t>
        </is>
      </c>
      <c r="Q1812" s="43" t="inlineStr">
        <is>
          <t>Add Deviation Label on the bottom side of the enclosure; and visible location on the PCBA</t>
        </is>
      </c>
      <c r="R1812" s="43" t="inlineStr">
        <is>
          <t>2026-05-20</t>
        </is>
      </c>
      <c r="S1812" s="43" t="inlineStr"/>
      <c r="T1812" s="43" t="inlineStr"/>
      <c r="U1812" s="43" t="inlineStr"/>
    </row>
    <row r="1813">
      <c r="A1813" s="43" t="n">
        <v>1813</v>
      </c>
      <c r="B1813" s="43" t="inlineStr">
        <is>
          <t>1812</t>
        </is>
      </c>
      <c r="C1813" s="43" t="inlineStr">
        <is>
          <t>FJZP</t>
        </is>
      </c>
      <c r="D1813" s="43" t="inlineStr">
        <is>
          <t>Cisco</t>
        </is>
      </c>
      <c r="E1813" s="43" t="inlineStr">
        <is>
          <t>MCGA</t>
        </is>
      </c>
      <c r="F1813" s="43" t="inlineStr">
        <is>
          <t>037-STBU</t>
        </is>
      </c>
      <c r="G1813" s="43" t="inlineStr">
        <is>
          <t>CTANJZ05251</t>
        </is>
      </c>
      <c r="H1813" s="43" t="inlineStr">
        <is>
          <t>New Release</t>
        </is>
      </c>
      <c r="I1813" s="43" t="inlineStr">
        <is>
          <t>Customer Deviation</t>
        </is>
      </c>
      <c r="J1813" s="43" t="inlineStr">
        <is>
          <t>D610647</t>
        </is>
      </c>
      <c r="K1813" s="33" t="inlineStr">
        <is>
          <t>D610647 Please see PageThree for details</t>
        </is>
      </c>
      <c r="L1813" s="43" t="inlineStr">
        <is>
          <t>Expired</t>
        </is>
      </c>
      <c r="M1813" s="43" t="inlineStr">
        <is>
          <t>68-104743-04</t>
        </is>
      </c>
      <c r="N1813" s="43" t="inlineStr"/>
      <c r="O1813" s="43" t="inlineStr">
        <is>
          <t>2026-08-17</t>
        </is>
      </c>
      <c r="P1813" s="33" t="inlineStr">
        <is>
          <t>Exception Process: Temporary Deviation written for a permanent change (To Be Followed by ECO)</t>
        </is>
      </c>
      <c r="Q1813" s="43" t="inlineStr">
        <is>
          <t>Add Deviation Label on the bottom side of the enclosure; and visible location on the PCBA</t>
        </is>
      </c>
      <c r="R1813" s="43" t="inlineStr">
        <is>
          <t>2026-05-20</t>
        </is>
      </c>
      <c r="S1813" s="43" t="inlineStr"/>
      <c r="T1813" s="43" t="inlineStr"/>
      <c r="U1813" s="43" t="inlineStr"/>
    </row>
    <row r="1814">
      <c r="A1814" s="43" t="n">
        <v>1814</v>
      </c>
      <c r="B1814" s="43" t="inlineStr">
        <is>
          <t>1813</t>
        </is>
      </c>
      <c r="C1814" s="43" t="inlineStr">
        <is>
          <t>FJZP</t>
        </is>
      </c>
      <c r="D1814" s="43" t="inlineStr">
        <is>
          <t>Cisco</t>
        </is>
      </c>
      <c r="E1814" s="43" t="inlineStr">
        <is>
          <t>MCGA</t>
        </is>
      </c>
      <c r="F1814" s="43" t="inlineStr">
        <is>
          <t>037-STBU</t>
        </is>
      </c>
      <c r="G1814" s="43" t="inlineStr">
        <is>
          <t>CTANJZ04760</t>
        </is>
      </c>
      <c r="H1814" s="43" t="inlineStr">
        <is>
          <t>Exception Process: Temporary Deviation written for a permanent change (To Be Followed by ECO)</t>
        </is>
      </c>
      <c r="I1814" s="43" t="inlineStr">
        <is>
          <t>Customer Deviation</t>
        </is>
      </c>
      <c r="J1814" s="43" t="inlineStr">
        <is>
          <t>D605494</t>
        </is>
      </c>
      <c r="K1814" s="33" t="inlineStr">
        <is>
          <t>D605494 Please see PageThree for details</t>
        </is>
      </c>
      <c r="L1814" s="43" t="inlineStr">
        <is>
          <t>Expired</t>
        </is>
      </c>
      <c r="M1814" s="43" t="inlineStr">
        <is>
          <t>800-110666-02</t>
        </is>
      </c>
      <c r="N1814" s="43" t="inlineStr"/>
      <c r="O1814" s="43" t="inlineStr">
        <is>
          <t>2025-10-30</t>
        </is>
      </c>
      <c r="P1814" s="33" t="inlineStr">
        <is>
          <t>Exception Process: Temporary Deviation written for a permanent change (To Be Followed by ECO)</t>
        </is>
      </c>
      <c r="Q1814" s="43" t="inlineStr">
        <is>
          <t>N/A -This is to track a process change</t>
        </is>
      </c>
      <c r="R1814" s="43" t="inlineStr">
        <is>
          <t>2025-08-01</t>
        </is>
      </c>
      <c r="S1814" s="43" t="inlineStr">
        <is>
          <t>2025-08-21</t>
        </is>
      </c>
      <c r="T1814" s="43" t="inlineStr"/>
      <c r="U1814" s="43" t="inlineStr"/>
    </row>
    <row r="1815">
      <c r="A1815" s="43" t="n">
        <v>1815</v>
      </c>
      <c r="B1815" s="43" t="inlineStr">
        <is>
          <t>1814</t>
        </is>
      </c>
      <c r="C1815" s="43" t="inlineStr">
        <is>
          <t>FJZP</t>
        </is>
      </c>
      <c r="D1815" s="43" t="inlineStr">
        <is>
          <t>Cisco</t>
        </is>
      </c>
      <c r="E1815" s="43" t="inlineStr">
        <is>
          <t>MCGA</t>
        </is>
      </c>
      <c r="F1815" s="43" t="inlineStr">
        <is>
          <t>018-SRGBU</t>
        </is>
      </c>
      <c r="G1815" s="43" t="inlineStr">
        <is>
          <t>CTANJZ04765</t>
        </is>
      </c>
      <c r="H1815" s="43" t="inlineStr">
        <is>
          <t>Exception Process: Temporary Deviation written for a permanent change (To Be Followed by ECO)</t>
        </is>
      </c>
      <c r="I1815" s="43" t="inlineStr">
        <is>
          <t>Customer Deviation</t>
        </is>
      </c>
      <c r="J1815" s="43" t="inlineStr">
        <is>
          <t>D605484</t>
        </is>
      </c>
      <c r="K1815" s="33" t="inlineStr">
        <is>
          <t>D605484 SRGBU-Nutella production to use new release 17.15.1r Rommon version</t>
        </is>
      </c>
      <c r="L1815" s="43" t="inlineStr">
        <is>
          <t>Expired</t>
        </is>
      </c>
      <c r="M1815" s="43" t="inlineStr">
        <is>
          <t>17-15632-01</t>
        </is>
      </c>
      <c r="N1815" s="43" t="inlineStr"/>
      <c r="O1815" s="43" t="inlineStr">
        <is>
          <t>2025-11-03</t>
        </is>
      </c>
      <c r="P1815" s="33" t="inlineStr">
        <is>
          <t>Exception Process: Temporary Deviation written for a permanent change (To Be Followed by ECO)</t>
        </is>
      </c>
      <c r="Q1815" s="43" t="inlineStr">
        <is>
          <t>Label all deviated units with deviation label and program deviation into cookie</t>
        </is>
      </c>
      <c r="R1815" s="43" t="inlineStr">
        <is>
          <t>2025-08-05</t>
        </is>
      </c>
      <c r="S1815" s="43" t="inlineStr">
        <is>
          <t>2025-08-12</t>
        </is>
      </c>
      <c r="T1815" s="43" t="inlineStr"/>
      <c r="U1815" s="43" t="inlineStr"/>
    </row>
    <row r="1816">
      <c r="A1816" s="43" t="n">
        <v>1816</v>
      </c>
      <c r="B1816" s="43" t="inlineStr">
        <is>
          <t>1815</t>
        </is>
      </c>
      <c r="C1816" s="43" t="inlineStr">
        <is>
          <t>FJZP</t>
        </is>
      </c>
      <c r="D1816" s="43" t="inlineStr">
        <is>
          <t>Cisco</t>
        </is>
      </c>
      <c r="E1816" s="43" t="inlineStr">
        <is>
          <t>MCGA</t>
        </is>
      </c>
      <c r="F1816" s="43" t="inlineStr">
        <is>
          <t>018-SRGBU</t>
        </is>
      </c>
      <c r="G1816" s="43" t="inlineStr">
        <is>
          <t>CTANJZ04765</t>
        </is>
      </c>
      <c r="H1816" s="43" t="inlineStr">
        <is>
          <t>Exception Process: Temporary Deviation written for a permanent change (To Be Followed by ECO)</t>
        </is>
      </c>
      <c r="I1816" s="43" t="inlineStr">
        <is>
          <t>Customer Deviation</t>
        </is>
      </c>
      <c r="J1816" s="43" t="inlineStr">
        <is>
          <t>D605484</t>
        </is>
      </c>
      <c r="K1816" s="33" t="inlineStr">
        <is>
          <t>D605484 SRGBU-Nutella production to use new release 17.15.1r Rommon version</t>
        </is>
      </c>
      <c r="L1816" s="43" t="inlineStr">
        <is>
          <t>Expired</t>
        </is>
      </c>
      <c r="M1816" s="43" t="inlineStr">
        <is>
          <t>17-15632-02</t>
        </is>
      </c>
      <c r="N1816" s="43" t="inlineStr"/>
      <c r="O1816" s="43" t="inlineStr">
        <is>
          <t>2025-11-03</t>
        </is>
      </c>
      <c r="P1816" s="33" t="inlineStr">
        <is>
          <t>Exception Process: Temporary Deviation written for a permanent change (To Be Followed by ECO)</t>
        </is>
      </c>
      <c r="Q1816" s="43" t="inlineStr">
        <is>
          <t>Label all deviated units with deviation label and program deviation into cookie</t>
        </is>
      </c>
      <c r="R1816" s="43" t="inlineStr">
        <is>
          <t>2025-08-05</t>
        </is>
      </c>
      <c r="S1816" s="43" t="inlineStr">
        <is>
          <t>2025-08-12</t>
        </is>
      </c>
      <c r="T1816" s="43" t="inlineStr"/>
      <c r="U1816" s="43" t="inlineStr"/>
    </row>
    <row r="1817">
      <c r="A1817" s="43" t="n">
        <v>1817</v>
      </c>
      <c r="B1817" s="43" t="inlineStr">
        <is>
          <t>1816</t>
        </is>
      </c>
      <c r="C1817" s="43" t="inlineStr">
        <is>
          <t>FJZP</t>
        </is>
      </c>
      <c r="D1817" s="43" t="inlineStr">
        <is>
          <t>Cisco</t>
        </is>
      </c>
      <c r="E1817" s="43" t="inlineStr">
        <is>
          <t>MCGA</t>
        </is>
      </c>
      <c r="F1817" s="43" t="inlineStr">
        <is>
          <t>018-SRGBU</t>
        </is>
      </c>
      <c r="G1817" s="43" t="inlineStr">
        <is>
          <t>CTANJZ04765</t>
        </is>
      </c>
      <c r="H1817" s="43" t="inlineStr">
        <is>
          <t>Exception Process: Temporary Deviation written for a permanent change (To Be Followed by ECO)</t>
        </is>
      </c>
      <c r="I1817" s="43" t="inlineStr">
        <is>
          <t>Customer Deviation</t>
        </is>
      </c>
      <c r="J1817" s="43" t="inlineStr">
        <is>
          <t>D605484</t>
        </is>
      </c>
      <c r="K1817" s="33" t="inlineStr">
        <is>
          <t>D605484 SRGBU-Nutella production to use new release 17.15.1r Rommon version</t>
        </is>
      </c>
      <c r="L1817" s="43" t="inlineStr">
        <is>
          <t>Expired</t>
        </is>
      </c>
      <c r="M1817" s="43" t="inlineStr">
        <is>
          <t>74-122742-01</t>
        </is>
      </c>
      <c r="N1817" s="43" t="inlineStr"/>
      <c r="O1817" s="43" t="inlineStr">
        <is>
          <t>2025-11-03</t>
        </is>
      </c>
      <c r="P1817" s="33" t="inlineStr">
        <is>
          <t>Exception Process: Temporary Deviation written for a permanent change (To Be Followed by ECO)</t>
        </is>
      </c>
      <c r="Q1817" s="43" t="inlineStr">
        <is>
          <t>Label all deviated units with deviation label and program deviation into cookie</t>
        </is>
      </c>
      <c r="R1817" s="43" t="inlineStr">
        <is>
          <t>2025-08-05</t>
        </is>
      </c>
      <c r="S1817" s="43" t="inlineStr">
        <is>
          <t>2025-08-12</t>
        </is>
      </c>
      <c r="T1817" s="43" t="inlineStr"/>
      <c r="U1817" s="43" t="inlineStr"/>
    </row>
    <row r="1818">
      <c r="A1818" s="43" t="n">
        <v>1818</v>
      </c>
      <c r="B1818" s="43" t="inlineStr">
        <is>
          <t>1817</t>
        </is>
      </c>
      <c r="C1818" s="43" t="inlineStr">
        <is>
          <t>FJZP</t>
        </is>
      </c>
      <c r="D1818" s="43" t="inlineStr">
        <is>
          <t>Cisco</t>
        </is>
      </c>
      <c r="E1818" s="43" t="inlineStr">
        <is>
          <t>MCGA</t>
        </is>
      </c>
      <c r="F1818" s="43" t="inlineStr">
        <is>
          <t>018-SRGBU</t>
        </is>
      </c>
      <c r="G1818" s="43" t="inlineStr">
        <is>
          <t>CTANJZ04765</t>
        </is>
      </c>
      <c r="H1818" s="43" t="inlineStr">
        <is>
          <t>Exception Process: Temporary Deviation written for a permanent change (To Be Followed by ECO)</t>
        </is>
      </c>
      <c r="I1818" s="43" t="inlineStr">
        <is>
          <t>Customer Deviation</t>
        </is>
      </c>
      <c r="J1818" s="43" t="inlineStr">
        <is>
          <t>D605484</t>
        </is>
      </c>
      <c r="K1818" s="33" t="inlineStr">
        <is>
          <t>D605484 SRGBU-Nutella production to use new release 17.15.1r Rommon version</t>
        </is>
      </c>
      <c r="L1818" s="43" t="inlineStr">
        <is>
          <t>Expired</t>
        </is>
      </c>
      <c r="M1818" s="43" t="inlineStr">
        <is>
          <t>74-122743-01</t>
        </is>
      </c>
      <c r="N1818" s="43" t="inlineStr"/>
      <c r="O1818" s="43" t="inlineStr">
        <is>
          <t>2025-11-03</t>
        </is>
      </c>
      <c r="P1818" s="33" t="inlineStr">
        <is>
          <t>Exception Process: Temporary Deviation written for a permanent change (To Be Followed by ECO)</t>
        </is>
      </c>
      <c r="Q1818" s="43" t="inlineStr">
        <is>
          <t>Label all deviated units with deviation label and program deviation into cookie</t>
        </is>
      </c>
      <c r="R1818" s="43" t="inlineStr">
        <is>
          <t>2025-08-05</t>
        </is>
      </c>
      <c r="S1818" s="43" t="inlineStr">
        <is>
          <t>2025-08-12</t>
        </is>
      </c>
      <c r="T1818" s="43" t="inlineStr"/>
      <c r="U1818" s="43" t="inlineStr"/>
    </row>
    <row r="1819">
      <c r="A1819" s="43" t="n">
        <v>1819</v>
      </c>
      <c r="B1819" s="43" t="inlineStr">
        <is>
          <t>1818</t>
        </is>
      </c>
      <c r="C1819" s="43" t="inlineStr">
        <is>
          <t>FJZP</t>
        </is>
      </c>
      <c r="D1819" s="43" t="inlineStr">
        <is>
          <t>Cisco</t>
        </is>
      </c>
      <c r="E1819" s="43" t="inlineStr">
        <is>
          <t>MCGA</t>
        </is>
      </c>
      <c r="F1819" s="43" t="inlineStr">
        <is>
          <t>018-SRGBU</t>
        </is>
      </c>
      <c r="G1819" s="43" t="inlineStr">
        <is>
          <t>CTANJZ04765</t>
        </is>
      </c>
      <c r="H1819" s="43" t="inlineStr">
        <is>
          <t>Exception Process: Temporary Deviation written for a permanent change (To Be Followed by ECO)</t>
        </is>
      </c>
      <c r="I1819" s="43" t="inlineStr">
        <is>
          <t>Customer Deviation</t>
        </is>
      </c>
      <c r="J1819" s="43" t="inlineStr">
        <is>
          <t>D605484</t>
        </is>
      </c>
      <c r="K1819" s="33" t="inlineStr">
        <is>
          <t>D605484 SRGBU-Nutella production to use new release 17.15.1r Rommon version</t>
        </is>
      </c>
      <c r="L1819" s="43" t="inlineStr">
        <is>
          <t>Expired</t>
        </is>
      </c>
      <c r="M1819" s="43" t="inlineStr">
        <is>
          <t>74-122744-01</t>
        </is>
      </c>
      <c r="N1819" s="43" t="inlineStr"/>
      <c r="O1819" s="43" t="inlineStr">
        <is>
          <t>2025-11-03</t>
        </is>
      </c>
      <c r="P1819" s="33" t="inlineStr">
        <is>
          <t>Exception Process: Temporary Deviation written for a permanent change (To Be Followed by ECO)</t>
        </is>
      </c>
      <c r="Q1819" s="43" t="inlineStr">
        <is>
          <t>Label all deviated units with deviation label and program deviation into cookie</t>
        </is>
      </c>
      <c r="R1819" s="43" t="inlineStr">
        <is>
          <t>2025-08-05</t>
        </is>
      </c>
      <c r="S1819" s="43" t="inlineStr">
        <is>
          <t>2025-08-12</t>
        </is>
      </c>
      <c r="T1819" s="43" t="inlineStr"/>
      <c r="U1819" s="43" t="inlineStr"/>
    </row>
    <row r="1820">
      <c r="A1820" s="43" t="n">
        <v>1820</v>
      </c>
      <c r="B1820" s="43" t="inlineStr">
        <is>
          <t>1819</t>
        </is>
      </c>
      <c r="C1820" s="43" t="inlineStr">
        <is>
          <t>FJZP</t>
        </is>
      </c>
      <c r="D1820" s="43" t="inlineStr">
        <is>
          <t>Cisco</t>
        </is>
      </c>
      <c r="E1820" s="43" t="inlineStr">
        <is>
          <t>MCGA</t>
        </is>
      </c>
      <c r="F1820" s="43" t="inlineStr">
        <is>
          <t>018-SRGBU</t>
        </is>
      </c>
      <c r="G1820" s="43" t="inlineStr">
        <is>
          <t>CTANJZ04765</t>
        </is>
      </c>
      <c r="H1820" s="43" t="inlineStr">
        <is>
          <t>Exception Process: Temporary Deviation written for a permanent change (To Be Followed by ECO)</t>
        </is>
      </c>
      <c r="I1820" s="43" t="inlineStr">
        <is>
          <t>Customer Deviation</t>
        </is>
      </c>
      <c r="J1820" s="43" t="inlineStr">
        <is>
          <t>D605484</t>
        </is>
      </c>
      <c r="K1820" s="33" t="inlineStr">
        <is>
          <t>D605484 SRGBU-Nutella production to use new release 17.15.1r Rommon version</t>
        </is>
      </c>
      <c r="L1820" s="43" t="inlineStr">
        <is>
          <t>Expired</t>
        </is>
      </c>
      <c r="M1820" s="43" t="inlineStr">
        <is>
          <t>74-122859-01</t>
        </is>
      </c>
      <c r="N1820" s="43" t="inlineStr"/>
      <c r="O1820" s="43" t="inlineStr">
        <is>
          <t>2025-11-03</t>
        </is>
      </c>
      <c r="P1820" s="33" t="inlineStr">
        <is>
          <t>Exception Process: Temporary Deviation written for a permanent change (To Be Followed by ECO)</t>
        </is>
      </c>
      <c r="Q1820" s="43" t="inlineStr">
        <is>
          <t>Label all deviated units with deviation label and program deviation into cookie</t>
        </is>
      </c>
      <c r="R1820" s="43" t="inlineStr">
        <is>
          <t>2025-08-05</t>
        </is>
      </c>
      <c r="S1820" s="43" t="inlineStr">
        <is>
          <t>2025-08-12</t>
        </is>
      </c>
      <c r="T1820" s="43" t="inlineStr"/>
      <c r="U1820" s="43" t="inlineStr"/>
    </row>
    <row r="1821">
      <c r="A1821" s="43" t="n">
        <v>1821</v>
      </c>
      <c r="B1821" s="43" t="inlineStr">
        <is>
          <t>1820</t>
        </is>
      </c>
      <c r="C1821" s="43" t="inlineStr">
        <is>
          <t>FJZP</t>
        </is>
      </c>
      <c r="D1821" s="43" t="inlineStr">
        <is>
          <t>Cisco</t>
        </is>
      </c>
      <c r="E1821" s="43" t="inlineStr">
        <is>
          <t>MCGA</t>
        </is>
      </c>
      <c r="F1821" s="43" t="inlineStr">
        <is>
          <t>018-SRGBU</t>
        </is>
      </c>
      <c r="G1821" s="43" t="inlineStr">
        <is>
          <t>CTANJZ04765</t>
        </is>
      </c>
      <c r="H1821" s="43" t="inlineStr">
        <is>
          <t>Exception Process: Temporary Deviation written for a permanent change (To Be Followed by ECO)</t>
        </is>
      </c>
      <c r="I1821" s="43" t="inlineStr">
        <is>
          <t>Customer Deviation</t>
        </is>
      </c>
      <c r="J1821" s="43" t="inlineStr">
        <is>
          <t>D605484</t>
        </is>
      </c>
      <c r="K1821" s="33" t="inlineStr">
        <is>
          <t>D605484 SRGBU-Nutella production to use new release 17.15.1r Rommon version</t>
        </is>
      </c>
      <c r="L1821" s="43" t="inlineStr">
        <is>
          <t>Expired</t>
        </is>
      </c>
      <c r="M1821" s="43" t="inlineStr">
        <is>
          <t>74-123836-01</t>
        </is>
      </c>
      <c r="N1821" s="43" t="inlineStr"/>
      <c r="O1821" s="43" t="inlineStr">
        <is>
          <t>2025-11-03</t>
        </is>
      </c>
      <c r="P1821" s="33" t="inlineStr">
        <is>
          <t>Exception Process: Temporary Deviation written for a permanent change (To Be Followed by ECO)</t>
        </is>
      </c>
      <c r="Q1821" s="43" t="inlineStr">
        <is>
          <t>Label all deviated units with deviation label and program deviation into cookie</t>
        </is>
      </c>
      <c r="R1821" s="43" t="inlineStr">
        <is>
          <t>2025-08-05</t>
        </is>
      </c>
      <c r="S1821" s="43" t="inlineStr">
        <is>
          <t>2025-08-12</t>
        </is>
      </c>
      <c r="T1821" s="43" t="inlineStr"/>
      <c r="U1821" s="43" t="inlineStr"/>
    </row>
    <row r="1822">
      <c r="A1822" s="43" t="n">
        <v>1822</v>
      </c>
      <c r="B1822" s="43" t="inlineStr">
        <is>
          <t>1821</t>
        </is>
      </c>
      <c r="C1822" s="43" t="inlineStr">
        <is>
          <t>FJZP</t>
        </is>
      </c>
      <c r="D1822" s="43" t="inlineStr">
        <is>
          <t>Cisco</t>
        </is>
      </c>
      <c r="E1822" s="43" t="inlineStr">
        <is>
          <t>MCGA</t>
        </is>
      </c>
      <c r="F1822" s="43" t="inlineStr">
        <is>
          <t>018-SRGBU</t>
        </is>
      </c>
      <c r="G1822" s="43" t="inlineStr">
        <is>
          <t>CTANJZ04765</t>
        </is>
      </c>
      <c r="H1822" s="43" t="inlineStr">
        <is>
          <t>Exception Process: Temporary Deviation written for a permanent change (To Be Followed by ECO)</t>
        </is>
      </c>
      <c r="I1822" s="43" t="inlineStr">
        <is>
          <t>Customer Deviation</t>
        </is>
      </c>
      <c r="J1822" s="43" t="inlineStr">
        <is>
          <t>D605484</t>
        </is>
      </c>
      <c r="K1822" s="33" t="inlineStr">
        <is>
          <t>D605484 SRGBU-Nutella production to use new release 17.15.1r Rommon version</t>
        </is>
      </c>
      <c r="L1822" s="43" t="inlineStr">
        <is>
          <t>Expired</t>
        </is>
      </c>
      <c r="M1822" s="43" t="inlineStr">
        <is>
          <t>74-123837-01</t>
        </is>
      </c>
      <c r="N1822" s="43" t="inlineStr"/>
      <c r="O1822" s="43" t="inlineStr">
        <is>
          <t>2025-11-03</t>
        </is>
      </c>
      <c r="P1822" s="33" t="inlineStr">
        <is>
          <t>Exception Process: Temporary Deviation written for a permanent change (To Be Followed by ECO)</t>
        </is>
      </c>
      <c r="Q1822" s="43" t="inlineStr">
        <is>
          <t>Label all deviated units with deviation label and program deviation into cookie</t>
        </is>
      </c>
      <c r="R1822" s="43" t="inlineStr">
        <is>
          <t>2025-08-05</t>
        </is>
      </c>
      <c r="S1822" s="43" t="inlineStr">
        <is>
          <t>2025-08-12</t>
        </is>
      </c>
      <c r="T1822" s="43" t="inlineStr"/>
      <c r="U1822" s="43" t="inlineStr"/>
    </row>
    <row r="1823">
      <c r="A1823" s="43" t="n">
        <v>1823</v>
      </c>
      <c r="B1823" s="43" t="inlineStr">
        <is>
          <t>1822</t>
        </is>
      </c>
      <c r="C1823" s="43" t="inlineStr">
        <is>
          <t>FJZP</t>
        </is>
      </c>
      <c r="D1823" s="43" t="inlineStr">
        <is>
          <t>Cisco</t>
        </is>
      </c>
      <c r="E1823" s="43" t="inlineStr">
        <is>
          <t>MCGA</t>
        </is>
      </c>
      <c r="F1823" s="43" t="inlineStr">
        <is>
          <t>018-SRGBU</t>
        </is>
      </c>
      <c r="G1823" s="43" t="inlineStr">
        <is>
          <t>CTANJZ04776</t>
        </is>
      </c>
      <c r="H1823" s="43" t="inlineStr">
        <is>
          <t>Exception Process: Temporary Deviation written for a permanent change (To Be Followed by ECO)</t>
        </is>
      </c>
      <c r="I1823" s="43" t="inlineStr">
        <is>
          <t>Customer Deviation</t>
        </is>
      </c>
      <c r="J1823" s="43" t="inlineStr">
        <is>
          <t>D605611</t>
        </is>
      </c>
      <c r="K1823" s="33" t="inlineStr">
        <is>
          <t>D605611 SRGBU: Tabei-M production (74-125442-04/ 68-7717-01) to use CIMC_4.15.0.2R version</t>
        </is>
      </c>
      <c r="L1823" s="43" t="inlineStr">
        <is>
          <t>Expired</t>
        </is>
      </c>
      <c r="M1823" s="43" t="inlineStr">
        <is>
          <t>74-125442-04</t>
        </is>
      </c>
      <c r="N1823" s="43" t="inlineStr"/>
      <c r="O1823" s="43" t="inlineStr">
        <is>
          <t>2025-11-11</t>
        </is>
      </c>
      <c r="P1823" s="33" t="inlineStr">
        <is>
          <t>Exception Process: Temporary Deviation written for a permanent change (To Be Followed by ECO)</t>
        </is>
      </c>
      <c r="Q1823" s="43" t="inlineStr">
        <is>
          <t>Label all deviated units with deviation# and program deviation # into the cookie</t>
        </is>
      </c>
      <c r="R1823" s="43" t="inlineStr">
        <is>
          <t>2025-08-14</t>
        </is>
      </c>
      <c r="S1823" s="43" t="inlineStr">
        <is>
          <t>2025-08-21</t>
        </is>
      </c>
      <c r="T1823" s="43" t="inlineStr"/>
      <c r="U1823" s="43" t="inlineStr"/>
    </row>
    <row r="1824">
      <c r="A1824" s="43" t="n">
        <v>1824</v>
      </c>
      <c r="B1824" s="43" t="inlineStr">
        <is>
          <t>1823</t>
        </is>
      </c>
      <c r="C1824" s="43" t="inlineStr">
        <is>
          <t>FJZP</t>
        </is>
      </c>
      <c r="D1824" s="43" t="inlineStr">
        <is>
          <t>Cisco</t>
        </is>
      </c>
      <c r="E1824" s="43" t="inlineStr">
        <is>
          <t>MCGA</t>
        </is>
      </c>
      <c r="F1824" s="43" t="inlineStr">
        <is>
          <t>037-STBU</t>
        </is>
      </c>
      <c r="G1824" s="43" t="inlineStr">
        <is>
          <t>CTANJZ05173</t>
        </is>
      </c>
      <c r="H1824" s="43" t="inlineStr">
        <is>
          <t>Exception Process: Temporary Deviation written for a permanent change (To Be Followed by ECO)</t>
        </is>
      </c>
      <c r="I1824" s="43" t="inlineStr">
        <is>
          <t>Customer Deviation</t>
        </is>
      </c>
      <c r="J1824" s="43" t="inlineStr">
        <is>
          <t>D609995</t>
        </is>
      </c>
      <c r="K1824" s="33" t="inlineStr">
        <is>
          <t>D609995FJZ to rotate the placement of the quack label and serial number label on the PCB to be able to read the serial after the heatsink is assembled.</t>
        </is>
      </c>
      <c r="L1824" s="43" t="inlineStr">
        <is>
          <t>Expired</t>
        </is>
      </c>
      <c r="M1824" s="43" t="inlineStr">
        <is>
          <t>471-00585-01</t>
        </is>
      </c>
      <c r="N1824" s="43" t="inlineStr"/>
      <c r="O1824" s="43" t="inlineStr">
        <is>
          <t>2026-06-25</t>
        </is>
      </c>
      <c r="P1824" s="33" t="inlineStr">
        <is>
          <t>Exception Process: Temporary Deviation written for a permanent change (To Be Followed by ECO)</t>
        </is>
      </c>
      <c r="Q1824" s="43" t="inlineStr">
        <is>
          <t>Place a label with the deviation on the PCBA with the number D607991 deviation</t>
        </is>
      </c>
      <c r="R1824" s="43" t="inlineStr">
        <is>
          <t>2026-03-30</t>
        </is>
      </c>
      <c r="S1824" s="43" t="inlineStr">
        <is>
          <t>2026-04-24</t>
        </is>
      </c>
      <c r="T1824" s="43" t="inlineStr"/>
      <c r="U1824" s="43" t="inlineStr"/>
    </row>
    <row r="1825">
      <c r="A1825" s="43" t="n">
        <v>1825</v>
      </c>
      <c r="B1825" s="43" t="inlineStr">
        <is>
          <t>1824</t>
        </is>
      </c>
      <c r="C1825" s="43" t="inlineStr">
        <is>
          <t>FJZP</t>
        </is>
      </c>
      <c r="D1825" s="43" t="inlineStr">
        <is>
          <t>Cisco</t>
        </is>
      </c>
      <c r="E1825" s="43" t="inlineStr">
        <is>
          <t>MCGA</t>
        </is>
      </c>
      <c r="F1825" s="43" t="inlineStr">
        <is>
          <t>037-STBU</t>
        </is>
      </c>
      <c r="G1825" s="43" t="inlineStr">
        <is>
          <t>CTANJZ05173</t>
        </is>
      </c>
      <c r="H1825" s="43" t="inlineStr">
        <is>
          <t>Exception Process: Temporary Deviation written for a permanent change (To Be Followed by ECO)</t>
        </is>
      </c>
      <c r="I1825" s="43" t="inlineStr">
        <is>
          <t>Customer Deviation</t>
        </is>
      </c>
      <c r="J1825" s="43" t="inlineStr">
        <is>
          <t>D609995</t>
        </is>
      </c>
      <c r="K1825" s="33" t="inlineStr">
        <is>
          <t>D609995FJZ to rotate the placement of the quack label and serial number label on the PCB to be able to read the serial after the heatsink is assembled.</t>
        </is>
      </c>
      <c r="L1825" s="43" t="inlineStr">
        <is>
          <t>Expired</t>
        </is>
      </c>
      <c r="M1825" s="43" t="inlineStr">
        <is>
          <t>473-00003-01</t>
        </is>
      </c>
      <c r="N1825" s="43" t="inlineStr"/>
      <c r="O1825" s="43" t="inlineStr">
        <is>
          <t>2026-06-25</t>
        </is>
      </c>
      <c r="P1825" s="33" t="inlineStr">
        <is>
          <t>Exception Process: Temporary Deviation written for a permanent change (To Be Followed by ECO)</t>
        </is>
      </c>
      <c r="Q1825" s="43" t="inlineStr">
        <is>
          <t>Place a label with the deviation on the PCBA with the number D607991 deviation</t>
        </is>
      </c>
      <c r="R1825" s="43" t="inlineStr">
        <is>
          <t>2026-03-30</t>
        </is>
      </c>
      <c r="S1825" s="43" t="inlineStr">
        <is>
          <t>2026-04-24</t>
        </is>
      </c>
      <c r="T1825" s="43" t="inlineStr"/>
      <c r="U1825" s="43" t="inlineStr"/>
    </row>
    <row r="1826">
      <c r="A1826" s="43" t="n">
        <v>1826</v>
      </c>
      <c r="B1826" s="43" t="inlineStr">
        <is>
          <t>1825</t>
        </is>
      </c>
      <c r="C1826" s="43" t="inlineStr">
        <is>
          <t>FJZP</t>
        </is>
      </c>
      <c r="D1826" s="43" t="inlineStr">
        <is>
          <t>Cisco</t>
        </is>
      </c>
      <c r="E1826" s="43" t="inlineStr">
        <is>
          <t>MCGA</t>
        </is>
      </c>
      <c r="F1826" s="43" t="inlineStr">
        <is>
          <t>037-STBU</t>
        </is>
      </c>
      <c r="G1826" s="43" t="inlineStr">
        <is>
          <t>CTANJZ05173</t>
        </is>
      </c>
      <c r="H1826" s="43" t="inlineStr">
        <is>
          <t>Exception Process: Temporary Deviation written for a permanent change (To Be Followed by ECO)</t>
        </is>
      </c>
      <c r="I1826" s="43" t="inlineStr">
        <is>
          <t>Customer Deviation</t>
        </is>
      </c>
      <c r="J1826" s="43" t="inlineStr">
        <is>
          <t>D609995</t>
        </is>
      </c>
      <c r="K1826" s="33" t="inlineStr">
        <is>
          <t>D609995FJZ to rotate the placement of the quack label and serial number label on the PCB to be able to read the serial after the heatsink is assembled.</t>
        </is>
      </c>
      <c r="L1826" s="43" t="inlineStr">
        <is>
          <t>Expired</t>
        </is>
      </c>
      <c r="M1826" s="43" t="inlineStr">
        <is>
          <t>73-18490-10</t>
        </is>
      </c>
      <c r="N1826" s="43" t="inlineStr"/>
      <c r="O1826" s="43" t="inlineStr">
        <is>
          <t>2026-06-25</t>
        </is>
      </c>
      <c r="P1826" s="33" t="inlineStr">
        <is>
          <t>Exception Process: Temporary Deviation written for a permanent change (To Be Followed by ECO)</t>
        </is>
      </c>
      <c r="Q1826" s="43" t="inlineStr">
        <is>
          <t>Place a label with the deviation on the PCBA with the number D607991 deviation</t>
        </is>
      </c>
      <c r="R1826" s="43" t="inlineStr">
        <is>
          <t>2026-03-30</t>
        </is>
      </c>
      <c r="S1826" s="43" t="inlineStr">
        <is>
          <t>2026-04-24</t>
        </is>
      </c>
      <c r="T1826" s="43" t="inlineStr"/>
      <c r="U1826" s="43" t="inlineStr"/>
    </row>
    <row r="1827">
      <c r="A1827" s="43" t="n">
        <v>1827</v>
      </c>
      <c r="B1827" s="43" t="inlineStr">
        <is>
          <t>1826</t>
        </is>
      </c>
      <c r="C1827" s="43" t="inlineStr">
        <is>
          <t>FJZP</t>
        </is>
      </c>
      <c r="D1827" s="43" t="inlineStr">
        <is>
          <t>Cisco</t>
        </is>
      </c>
      <c r="E1827" s="43" t="inlineStr">
        <is>
          <t>MCGA</t>
        </is>
      </c>
      <c r="F1827" s="43" t="inlineStr">
        <is>
          <t>037-STBU</t>
        </is>
      </c>
      <c r="G1827" s="43" t="inlineStr">
        <is>
          <t>CTANJZ05173</t>
        </is>
      </c>
      <c r="H1827" s="43" t="inlineStr">
        <is>
          <t>Exception Process: Temporary Deviation written for a permanent change (To Be Followed by ECO)</t>
        </is>
      </c>
      <c r="I1827" s="43" t="inlineStr">
        <is>
          <t>Customer Deviation</t>
        </is>
      </c>
      <c r="J1827" s="43" t="inlineStr">
        <is>
          <t>D609995</t>
        </is>
      </c>
      <c r="K1827" s="33" t="inlineStr">
        <is>
          <t>D609995FJZ to rotate the placement of the quack label and serial number label on the PCB to be able to read the serial after the heatsink is assembled.</t>
        </is>
      </c>
      <c r="L1827" s="43" t="inlineStr">
        <is>
          <t>Expired</t>
        </is>
      </c>
      <c r="M1827" s="43" t="inlineStr">
        <is>
          <t>73-21007-03</t>
        </is>
      </c>
      <c r="N1827" s="43" t="inlineStr"/>
      <c r="O1827" s="43" t="inlineStr">
        <is>
          <t>2026-06-25</t>
        </is>
      </c>
      <c r="P1827" s="33" t="inlineStr">
        <is>
          <t>Exception Process: Temporary Deviation written for a permanent change (To Be Followed by ECO)</t>
        </is>
      </c>
      <c r="Q1827" s="43" t="inlineStr">
        <is>
          <t>Place a label with the deviation on the PCBA with the number D607991 deviation</t>
        </is>
      </c>
      <c r="R1827" s="43" t="inlineStr">
        <is>
          <t>2026-03-30</t>
        </is>
      </c>
      <c r="S1827" s="43" t="inlineStr">
        <is>
          <t>2026-04-24</t>
        </is>
      </c>
      <c r="T1827" s="43" t="inlineStr"/>
      <c r="U1827" s="43" t="inlineStr"/>
    </row>
    <row r="1828">
      <c r="A1828" s="43" t="n">
        <v>1828</v>
      </c>
      <c r="B1828" s="43" t="inlineStr">
        <is>
          <t>1827</t>
        </is>
      </c>
      <c r="C1828" s="43" t="inlineStr">
        <is>
          <t>FJZP</t>
        </is>
      </c>
      <c r="D1828" s="43" t="inlineStr">
        <is>
          <t>Cisco</t>
        </is>
      </c>
      <c r="E1828" s="43" t="inlineStr">
        <is>
          <t>MCGA</t>
        </is>
      </c>
      <c r="F1828" s="43" t="inlineStr">
        <is>
          <t>035-CVEBU</t>
        </is>
      </c>
      <c r="G1828" s="43" t="inlineStr">
        <is>
          <t>CTANJZ05214</t>
        </is>
      </c>
      <c r="H1828" s="43" t="inlineStr">
        <is>
          <t>Exception Process: Temporary Deviation written for a permanent change (To Be Followed by ECO)</t>
        </is>
      </c>
      <c r="I1828" s="43" t="inlineStr">
        <is>
          <t>Customer Deviation</t>
        </is>
      </c>
      <c r="J1828" s="43" t="inlineStr">
        <is>
          <t>D610907</t>
        </is>
      </c>
      <c r="K1828" s="33" t="inlineStr">
        <is>
          <t>D610907 CVEBU; Tyne; Pilot 2 rework instructionAffected items68-104853-01; ASY-ELMECH; Tyne Codec; Radio73-103698-06; PCA; Tyne Codec Main Board; Radio68-104854-01; ASY-ELMECH; Tyne Codec; Non-Radio73-103940-06; PCA; Tyne Codec Main Board; Non-RadioRework instruction- FJZ need to rework entire Pilot 2 batch of Tyne Main Boards; 40x 73-103940-06 and 260x 73-103698-06 with following change    - C4355 must be changed from 11-2819-01 (10nF) to 11-3617-01 (220nF)- FJZ must implement updated HW Monitor FW in ICT test prior to ICT. Updated code will be provided by Cisco as soon as possible- FJZ to allocated 20x 68-104853-01 from Pilot 2 batch to be shipped to Norway for new RDT testing    - These 20 must be DEV fusedAdditional comments- Above rework instruction is only valid for Main Boards that has not been powered.- If any Pilot 2 Main Boards has been powered; FJZ must inform Cisco for further details.- Further details in such case will be uploaded as a comment to this deviation.- Pilot 1 units is not affected by this deviation; a separate deviation will be provided for those laterCisco Contact: Christian Kjolseth</t>
        </is>
      </c>
      <c r="L1828" s="43" t="inlineStr">
        <is>
          <t>Expired</t>
        </is>
      </c>
      <c r="M1828" s="43" t="inlineStr">
        <is>
          <t>800-113255-01</t>
        </is>
      </c>
      <c r="N1828" s="43" t="inlineStr"/>
      <c r="O1828" s="43" t="inlineStr">
        <is>
          <t>2026-07-15</t>
        </is>
      </c>
      <c r="P1828" s="33" t="inlineStr">
        <is>
          <t>Exception Process: Temporary Deviation written for a permanent change (To Be Followed by ECO)</t>
        </is>
      </c>
      <c r="Q1828" s="43" t="inlineStr">
        <is>
          <t>Mark PCBA with deviation number</t>
        </is>
      </c>
      <c r="R1828" s="43" t="inlineStr">
        <is>
          <t>2026-04-20</t>
        </is>
      </c>
      <c r="S1828" s="43" t="inlineStr">
        <is>
          <t>2026-05-05</t>
        </is>
      </c>
      <c r="T1828" s="43" t="inlineStr"/>
      <c r="U1828" s="43" t="inlineStr"/>
    </row>
    <row r="1829">
      <c r="A1829" s="43" t="n">
        <v>1829</v>
      </c>
      <c r="B1829" s="43" t="inlineStr">
        <is>
          <t>1828</t>
        </is>
      </c>
      <c r="C1829" s="43" t="inlineStr">
        <is>
          <t>FJZP</t>
        </is>
      </c>
      <c r="D1829" s="43" t="inlineStr">
        <is>
          <t>Cisco</t>
        </is>
      </c>
      <c r="E1829" s="43" t="inlineStr">
        <is>
          <t>MCGA</t>
        </is>
      </c>
      <c r="F1829" s="43" t="inlineStr">
        <is>
          <t>037-STBU</t>
        </is>
      </c>
      <c r="G1829" s="43" t="inlineStr">
        <is>
          <t>CTANJZ05251</t>
        </is>
      </c>
      <c r="H1829" s="43" t="inlineStr">
        <is>
          <t>Exception Process: Temporary Deviation written for a permanent change (To Be Followed by ECO)</t>
        </is>
      </c>
      <c r="I1829" s="43" t="inlineStr">
        <is>
          <t>Customer Deviation</t>
        </is>
      </c>
      <c r="J1829" s="43" t="inlineStr">
        <is>
          <t>D610647</t>
        </is>
      </c>
      <c r="K1829" s="33" t="inlineStr">
        <is>
          <t>D610647 This Deviation supports rework of Victoria Rack Mount production units; updating the ROMMON image from v1.1.07 to v1.1.09ROMMON image can be updated at either PCBA or DF74-139979-0174-139980-0174-139981-0168-104741-0468-104742-0468-104743-04****  Notes for the CM; FJZ Mfg ****FJZ Mfg will perform a FW upgrade (ROMMON v1.1.09) on Victoria Rack Mount units in production; running with either SW 7.7 or new SW release 10.0The v1.1.09 ROMMON image file has been attached to this Deviation.  Cisco/FJZ TE will create the Mfg Test script (P2C/2C).  The firmware update shall be upgraded at P2C/2C.  Victoria RM units require the v1.1.09 imageCisco/FJZ TE will update the new Deviation Number field in the IDPROM table of Victoria RM Low and High SKUsFJZ Mfg will place a Deviation label on available space on the PCBA and on the Chassis bottom surface of all Victoria RM Pilot units with this ROMMON image updateAll units should be identified with the current TANs and ELMECH part numbers currently released to productionThe firmware change must be validated at DF via test orders for each released SW version for CSF1200 RM product family as part of this Deviation implementation.  FAI will be required from fresh builds with both SW 7.7 and SW 10.0 units;  updated with this new ROMMON version; v1.1.09Any failures during the FW upgrade should be reported to Cisco TE team\\sjck-netapp-ns\local\vpn_board\sae\SSP\Victoria\Programmable\BIOS\RM_v1.1.09.imgNote:This Deviation will be made permanent with the release of ECO EA625636.   This Deviation shall also be used to support quarter end builds with either SW 7.7 or SW 10.0; but only after this validation is completed; using the new RM_v1.1.09 image.  Consult with Cisco TE/ME/PE for approval and direction.</t>
        </is>
      </c>
      <c r="L1829" s="43" t="inlineStr">
        <is>
          <t>Expired</t>
        </is>
      </c>
      <c r="M1829" s="43" t="inlineStr">
        <is>
          <t>74-139979-01</t>
        </is>
      </c>
      <c r="N1829" s="43" t="inlineStr"/>
      <c r="O1829" s="43" t="inlineStr">
        <is>
          <t>2026-08-17</t>
        </is>
      </c>
      <c r="P1829" s="33" t="inlineStr">
        <is>
          <t>Exception Process: Temporary Deviation written for a permanent change (To Be Followed by ECO)</t>
        </is>
      </c>
      <c r="Q1829" s="43" t="inlineStr">
        <is>
          <t>Add Deviation Label on the bottom side of the enclosure; and visible location on the PCBA</t>
        </is>
      </c>
      <c r="R1829" s="43" t="inlineStr">
        <is>
          <t>2026-05-20</t>
        </is>
      </c>
      <c r="S1829" s="43" t="inlineStr">
        <is>
          <t>2026-06-02</t>
        </is>
      </c>
      <c r="T1829" s="43" t="inlineStr"/>
      <c r="U1829" s="43" t="inlineStr"/>
    </row>
    <row r="1830">
      <c r="A1830" s="43" t="n">
        <v>1830</v>
      </c>
      <c r="B1830" s="43" t="inlineStr">
        <is>
          <t>1829</t>
        </is>
      </c>
      <c r="C1830" s="43" t="inlineStr">
        <is>
          <t>FJZP</t>
        </is>
      </c>
      <c r="D1830" s="43" t="inlineStr">
        <is>
          <t>Cisco</t>
        </is>
      </c>
      <c r="E1830" s="43" t="inlineStr">
        <is>
          <t>MCGA</t>
        </is>
      </c>
      <c r="F1830" s="43" t="inlineStr">
        <is>
          <t>037-STBU</t>
        </is>
      </c>
      <c r="G1830" s="43" t="inlineStr">
        <is>
          <t>CTANJZ05251</t>
        </is>
      </c>
      <c r="H1830" s="43" t="inlineStr">
        <is>
          <t>Exception Process: Temporary Deviation written for a permanent change (To Be Followed by ECO)</t>
        </is>
      </c>
      <c r="I1830" s="43" t="inlineStr">
        <is>
          <t>Customer Deviation</t>
        </is>
      </c>
      <c r="J1830" s="43" t="inlineStr">
        <is>
          <t>D610647</t>
        </is>
      </c>
      <c r="K1830" s="33" t="inlineStr">
        <is>
          <t>D610647 This Deviation supports rework of Victoria Rack Mount production units; updating the ROMMON image from v1.1.07 to v1.1.09ROMMON image can be updated at either PCBA or DF74-139979-0174-139980-0174-139981-0168-104741-0468-104742-0468-104743-04****  Notes for the CM; FJZ Mfg ****FJZ Mfg will perform a FW upgrade (ROMMON v1.1.09) on Victoria Rack Mount units in production; running with either SW 7.7 or new SW release 10.0The v1.1.09 ROMMON image file has been attached to this Deviation.  Cisco/FJZ TE will create the Mfg Test script (P2C/2C).  The firmware update shall be upgraded at P2C/2C.  Victoria RM units require the v1.1.09 imageCisco/FJZ TE will update the new Deviation Number field in the IDPROM table of Victoria RM Low and High SKUsFJZ Mfg will place a Deviation label on available space on the PCBA and on the Chassis bottom surface of all Victoria RM Pilot units with this ROMMON image updateAll units should be identified with the current TANs and ELMECH part numbers currently released to productionThe firmware change must be validated at DF via test orders for each released SW version for CSF1200 RM product family as part of this Deviation implementation.  FAI will be required from fresh builds with both SW 7.7 and SW 10.0 units;  updated with this new ROMMON version; v1.1.09Any failures during the FW upgrade should be reported to Cisco TE team\\sjck-netapp-ns\local\vpn_board\sae\SSP\Victoria\Programmable\BIOS\RM_v1.1.09.imgNote:This Deviation will be made permanent with the release of ECO EA625636.   This Deviation shall also be used to support quarter end builds with either SW 7.7 or SW 10.0; but only after this validation is completed; using the new RM_v1.1.09 image.  Consult with Cisco TE/ME/PE for approval and direction.</t>
        </is>
      </c>
      <c r="L1830" s="43" t="inlineStr">
        <is>
          <t>Expired</t>
        </is>
      </c>
      <c r="M1830" s="43" t="inlineStr">
        <is>
          <t>74-139980-01</t>
        </is>
      </c>
      <c r="N1830" s="43" t="inlineStr"/>
      <c r="O1830" s="43" t="inlineStr">
        <is>
          <t>2026-08-17</t>
        </is>
      </c>
      <c r="P1830" s="33" t="inlineStr">
        <is>
          <t>Exception Process: Temporary Deviation written for a permanent change (To Be Followed by ECO)</t>
        </is>
      </c>
      <c r="Q1830" s="43" t="inlineStr">
        <is>
          <t>Add Deviation Label on the bottom side of the enclosure; and visible location on the PCBA</t>
        </is>
      </c>
      <c r="R1830" s="43" t="inlineStr">
        <is>
          <t>2026-05-20</t>
        </is>
      </c>
      <c r="S1830" s="43" t="inlineStr">
        <is>
          <t>2026-06-02</t>
        </is>
      </c>
      <c r="T1830" s="43" t="inlineStr"/>
      <c r="U1830" s="43" t="inlineStr"/>
    </row>
    <row r="1831">
      <c r="A1831" s="43" t="n">
        <v>1831</v>
      </c>
      <c r="B1831" s="43" t="inlineStr">
        <is>
          <t>1830</t>
        </is>
      </c>
      <c r="C1831" s="43" t="inlineStr">
        <is>
          <t>FJZP</t>
        </is>
      </c>
      <c r="D1831" s="43" t="inlineStr">
        <is>
          <t>Cisco</t>
        </is>
      </c>
      <c r="E1831" s="43" t="inlineStr">
        <is>
          <t>MCGA</t>
        </is>
      </c>
      <c r="F1831" s="43" t="inlineStr">
        <is>
          <t>037-STBU</t>
        </is>
      </c>
      <c r="G1831" s="43" t="inlineStr">
        <is>
          <t>CTANJZ05251</t>
        </is>
      </c>
      <c r="H1831" s="43" t="inlineStr">
        <is>
          <t>Exception Process: Temporary Deviation written for a permanent change (To Be Followed by ECO)</t>
        </is>
      </c>
      <c r="I1831" s="43" t="inlineStr">
        <is>
          <t>Customer Deviation</t>
        </is>
      </c>
      <c r="J1831" s="43" t="inlineStr">
        <is>
          <t>D610647</t>
        </is>
      </c>
      <c r="K1831" s="33" t="inlineStr">
        <is>
          <t>D610647 This Deviation supports rework of Victoria Rack Mount production units; updating the ROMMON image from v1.1.07 to v1.1.09ROMMON image can be updated at either PCBA or DF74-139979-0174-139980-0174-139981-0168-104741-0468-104742-0468-104743-04****  Notes for the CM; FJZ Mfg ****FJZ Mfg will perform a FW upgrade (ROMMON v1.1.09) on Victoria Rack Mount units in production; running with either SW 7.7 or new SW release 10.0The v1.1.09 ROMMON image file has been attached to this Deviation.  Cisco/FJZ TE will create the Mfg Test script (P2C/2C).  The firmware update shall be upgraded at P2C/2C.  Victoria RM units require the v1.1.09 imageCisco/FJZ TE will update the new Deviation Number field in the IDPROM table of Victoria RM Low and High SKUsFJZ Mfg will place a Deviation label on available space on the PCBA and on the Chassis bottom surface of all Victoria RM Pilot units with this ROMMON image updateAll units should be identified with the current TANs and ELMECH part numbers currently released to productionThe firmware change must be validated at DF via test orders for each released SW version for CSF1200 RM product family as part of this Deviation implementation.  FAI will be required from fresh builds with both SW 7.7 and SW 10.0 units;  updated with this new ROMMON version; v1.1.09Any failures during the FW upgrade should be reported to Cisco TE team\\sjck-netapp-ns\local\vpn_board\sae\SSP\Victoria\Programmable\BIOS\RM_v1.1.09.imgNote:This Deviation will be made permanent with the release of ECO EA625636.   This Deviation shall also be used to support quarter end builds with either SW 7.7 or SW 10.0; but only after this validation is completed; using the new RM_v1.1.09 image.  Consult with Cisco TE/ME/PE for approval and direction.</t>
        </is>
      </c>
      <c r="L1831" s="43" t="inlineStr">
        <is>
          <t>Expired</t>
        </is>
      </c>
      <c r="M1831" s="43" t="inlineStr">
        <is>
          <t>74-139981-01</t>
        </is>
      </c>
      <c r="N1831" s="43" t="inlineStr"/>
      <c r="O1831" s="43" t="inlineStr">
        <is>
          <t>2026-08-17</t>
        </is>
      </c>
      <c r="P1831" s="33" t="inlineStr">
        <is>
          <t>Exception Process: Temporary Deviation written for a permanent change (To Be Followed by ECO)</t>
        </is>
      </c>
      <c r="Q1831" s="43" t="inlineStr">
        <is>
          <t>Add Deviation Label on the bottom side of the enclosure; and visible location on the PCBA</t>
        </is>
      </c>
      <c r="R1831" s="43" t="inlineStr">
        <is>
          <t>2026-05-20</t>
        </is>
      </c>
      <c r="S1831" s="43" t="inlineStr">
        <is>
          <t>2026-06-02</t>
        </is>
      </c>
      <c r="T1831" s="43" t="inlineStr"/>
      <c r="U1831" s="43" t="inlineStr"/>
    </row>
    <row r="1832">
      <c r="A1832" s="43" t="n">
        <v>1832</v>
      </c>
      <c r="B1832" s="43" t="inlineStr">
        <is>
          <t>1831</t>
        </is>
      </c>
      <c r="C1832" s="43" t="inlineStr">
        <is>
          <t>FJZP</t>
        </is>
      </c>
      <c r="D1832" s="43" t="inlineStr">
        <is>
          <t>Cisco</t>
        </is>
      </c>
      <c r="E1832" s="43" t="inlineStr">
        <is>
          <t>MCGA</t>
        </is>
      </c>
      <c r="F1832" s="43" t="inlineStr">
        <is>
          <t>037-STBU</t>
        </is>
      </c>
      <c r="G1832" s="43" t="inlineStr">
        <is>
          <t>CTANJZ05270</t>
        </is>
      </c>
      <c r="H1832" s="43" t="inlineStr">
        <is>
          <t>Exception Process: Temporary Deviation written for a permanent change (To Be Followed by ECO)</t>
        </is>
      </c>
      <c r="I1832" s="43" t="inlineStr">
        <is>
          <t>Customer Deviation</t>
        </is>
      </c>
      <c r="J1832" s="43" t="inlineStr">
        <is>
          <t>D611661</t>
        </is>
      </c>
      <c r="K1832" s="33" t="inlineStr">
        <is>
          <t>D611661NGFWBU:Warwick Avenue - To address system FPGA PCI-AER failures at PCB2C cold corner; direct factory to upgrade System FPGA in conjunction with updated Diags usage</t>
        </is>
      </c>
      <c r="L1832" s="43" t="inlineStr">
        <is>
          <t>Expired</t>
        </is>
      </c>
      <c r="M1832" s="43" t="inlineStr">
        <is>
          <t>800-109498-07</t>
        </is>
      </c>
      <c r="N1832" s="43" t="inlineStr"/>
      <c r="O1832" s="43" t="inlineStr">
        <is>
          <t>2026-08-26</t>
        </is>
      </c>
      <c r="P1832" s="33" t="inlineStr"/>
      <c r="Q1832" s="43" t="inlineStr">
        <is>
          <t>Please label unit with deviation number where space allows on using best methods.</t>
        </is>
      </c>
      <c r="R1832" s="43" t="inlineStr">
        <is>
          <t>2026-05-29</t>
        </is>
      </c>
      <c r="S1832" s="43" t="inlineStr">
        <is>
          <t>2026-06-27</t>
        </is>
      </c>
      <c r="T1832" s="43" t="inlineStr"/>
      <c r="U1832" s="43" t="inlineStr"/>
    </row>
    <row r="1833">
      <c r="A1833" s="43" t="n">
        <v>1833</v>
      </c>
      <c r="B1833" s="43" t="inlineStr">
        <is>
          <t>1832</t>
        </is>
      </c>
      <c r="C1833" s="43" t="inlineStr">
        <is>
          <t>FJZP</t>
        </is>
      </c>
      <c r="D1833" s="43" t="inlineStr">
        <is>
          <t>Cisco</t>
        </is>
      </c>
      <c r="E1833" s="43" t="inlineStr">
        <is>
          <t>MCGA</t>
        </is>
      </c>
      <c r="F1833" s="43" t="inlineStr">
        <is>
          <t>037-STBU</t>
        </is>
      </c>
      <c r="G1833" s="43" t="inlineStr">
        <is>
          <t>CTANJZ05270</t>
        </is>
      </c>
      <c r="H1833" s="43" t="inlineStr">
        <is>
          <t>Exception Process: Temporary Deviation written for a permanent change (To Be Followed by ECO)</t>
        </is>
      </c>
      <c r="I1833" s="43" t="inlineStr">
        <is>
          <t>Customer Deviation</t>
        </is>
      </c>
      <c r="J1833" s="43" t="inlineStr">
        <is>
          <t>D611661</t>
        </is>
      </c>
      <c r="K1833" s="33" t="inlineStr">
        <is>
          <t>D611661NGFWBU:Warwick Avenue - To address system FPGA PCI-AER failures at PCB2C cold corner; direct factory to upgrade System FPGA in conjunction with updated Diags usage</t>
        </is>
      </c>
      <c r="L1833" s="43" t="inlineStr">
        <is>
          <t>Expired</t>
        </is>
      </c>
      <c r="M1833" s="43" t="inlineStr">
        <is>
          <t>800-109499-07</t>
        </is>
      </c>
      <c r="N1833" s="43" t="inlineStr"/>
      <c r="O1833" s="43" t="inlineStr">
        <is>
          <t>2026-08-26</t>
        </is>
      </c>
      <c r="P1833" s="33" t="inlineStr"/>
      <c r="Q1833" s="43" t="inlineStr">
        <is>
          <t>Please label unit with deviation number where space allows on using best methods.</t>
        </is>
      </c>
      <c r="R1833" s="43" t="inlineStr">
        <is>
          <t>2026-05-29</t>
        </is>
      </c>
      <c r="S1833" s="43" t="inlineStr">
        <is>
          <t>2026-06-27</t>
        </is>
      </c>
      <c r="T1833" s="43" t="inlineStr"/>
      <c r="U1833" s="43" t="inlineStr"/>
    </row>
    <row r="1834">
      <c r="A1834" s="43" t="n">
        <v>1834</v>
      </c>
      <c r="B1834" s="43" t="inlineStr">
        <is>
          <t>1833</t>
        </is>
      </c>
      <c r="C1834" s="43" t="inlineStr">
        <is>
          <t>FJZP</t>
        </is>
      </c>
      <c r="D1834" s="43" t="inlineStr">
        <is>
          <t>Cisco</t>
        </is>
      </c>
      <c r="E1834" s="43" t="inlineStr">
        <is>
          <t>MCGA</t>
        </is>
      </c>
      <c r="F1834" s="43" t="inlineStr">
        <is>
          <t>037-STBU</t>
        </is>
      </c>
      <c r="G1834" s="43" t="inlineStr">
        <is>
          <t>CTANJZ05270</t>
        </is>
      </c>
      <c r="H1834" s="43" t="inlineStr">
        <is>
          <t>Exception Process: Temporary Deviation written for a permanent change (To Be Followed by ECO)</t>
        </is>
      </c>
      <c r="I1834" s="43" t="inlineStr">
        <is>
          <t>Customer Deviation</t>
        </is>
      </c>
      <c r="J1834" s="43" t="inlineStr">
        <is>
          <t>D611661</t>
        </is>
      </c>
      <c r="K1834" s="33" t="inlineStr">
        <is>
          <t>D611661NGFWBU:Warwick Avenue - To address system FPGA PCI-AER failures at PCB2C cold corner; direct factory to upgrade System FPGA in conjunction with updated Diags usage</t>
        </is>
      </c>
      <c r="L1834" s="43" t="inlineStr">
        <is>
          <t>Expired</t>
        </is>
      </c>
      <c r="M1834" s="43" t="inlineStr">
        <is>
          <t>800-109500-07</t>
        </is>
      </c>
      <c r="N1834" s="43" t="inlineStr"/>
      <c r="O1834" s="43" t="inlineStr">
        <is>
          <t>2026-08-26</t>
        </is>
      </c>
      <c r="P1834" s="33" t="inlineStr"/>
      <c r="Q1834" s="43" t="inlineStr">
        <is>
          <t>Please label unit with deviation number where space allows on using best methods.</t>
        </is>
      </c>
      <c r="R1834" s="43" t="inlineStr">
        <is>
          <t>2026-05-29</t>
        </is>
      </c>
      <c r="S1834" s="43" t="inlineStr">
        <is>
          <t>2026-06-27</t>
        </is>
      </c>
      <c r="T1834" s="43" t="inlineStr"/>
      <c r="U1834" s="43" t="inlineStr"/>
    </row>
    <row r="1835">
      <c r="A1835" s="43" t="n">
        <v>1835</v>
      </c>
      <c r="B1835" s="43" t="inlineStr">
        <is>
          <t>1834</t>
        </is>
      </c>
      <c r="C1835" s="43" t="inlineStr">
        <is>
          <t>FJZP</t>
        </is>
      </c>
      <c r="D1835" s="43" t="inlineStr">
        <is>
          <t>Cisco</t>
        </is>
      </c>
      <c r="E1835" s="43" t="inlineStr">
        <is>
          <t>MCGA</t>
        </is>
      </c>
      <c r="F1835" s="43" t="inlineStr">
        <is>
          <t>035-CVEBU</t>
        </is>
      </c>
      <c r="G1835" s="43" t="inlineStr">
        <is>
          <t>CTANJZ05157</t>
        </is>
      </c>
      <c r="H1835" s="43" t="inlineStr">
        <is>
          <t>Exception Process: Temporary Deviation written for a permanent change (To Be Followed by ECO)</t>
        </is>
      </c>
      <c r="I1835" s="43" t="inlineStr">
        <is>
          <t>Customer Deviation</t>
        </is>
      </c>
      <c r="J1835" s="43" t="inlineStr">
        <is>
          <t>D610246</t>
        </is>
      </c>
      <c r="K1835" s="33" t="inlineStr">
        <is>
          <t>D610246 Title: FVN and FJZ shall start to source 28-103096-06 PCB; PICTORIS MBCVEBU;Pictoris73-103103-05 PCA;PICTORIS MB73-103603-05 PCA;PICTORIS MB NRIn BOMs:28-103096-05 PCB;PICTORIS MBFVN and FJZ shall stop sourcing version -05; and instead immediately start sourcing28-103096-06 PCB;PICTORIS MB</t>
        </is>
      </c>
      <c r="L1835" s="43" t="inlineStr">
        <is>
          <t>Expired</t>
        </is>
      </c>
      <c r="M1835" s="43" t="inlineStr">
        <is>
          <t>28-103096-05</t>
        </is>
      </c>
      <c r="N1835" s="43" t="inlineStr"/>
      <c r="O1835" s="43" t="inlineStr">
        <is>
          <t>2026-06-17</t>
        </is>
      </c>
      <c r="P1835" s="33" t="inlineStr">
        <is>
          <t>Exception Process: Temporary Deviation written for a permanent change (To Be Followed by ECO)</t>
        </is>
      </c>
      <c r="Q1835" s="43" t="inlineStr">
        <is>
          <t>No marking needed since this is only a sourcing deviation</t>
        </is>
      </c>
      <c r="R1835" s="43" t="inlineStr">
        <is>
          <t>2026-03-19</t>
        </is>
      </c>
      <c r="S1835" s="43" t="inlineStr">
        <is>
          <t>2026-04-01</t>
        </is>
      </c>
      <c r="T1835" s="43" t="inlineStr"/>
      <c r="U1835" s="43" t="inlineStr"/>
    </row>
    <row r="1836">
      <c r="A1836" s="43" t="n">
        <v>1836</v>
      </c>
      <c r="B1836" s="43" t="inlineStr">
        <is>
          <t>1835</t>
        </is>
      </c>
      <c r="C1836" s="43" t="inlineStr">
        <is>
          <t>FJZP</t>
        </is>
      </c>
      <c r="D1836" s="43" t="inlineStr">
        <is>
          <t>Cisco</t>
        </is>
      </c>
      <c r="E1836" s="43" t="inlineStr">
        <is>
          <t>MCGA</t>
        </is>
      </c>
      <c r="F1836" s="43" t="inlineStr">
        <is>
          <t>035-CVEBU</t>
        </is>
      </c>
      <c r="G1836" s="43" t="inlineStr">
        <is>
          <t>CTANJZ05157</t>
        </is>
      </c>
      <c r="H1836" s="43" t="inlineStr">
        <is>
          <t>Exception Process: Temporary Deviation written for a permanent change (To Be Followed by ECO)</t>
        </is>
      </c>
      <c r="I1836" s="43" t="inlineStr">
        <is>
          <t>Customer Deviation</t>
        </is>
      </c>
      <c r="J1836" s="43" t="inlineStr">
        <is>
          <t>D610246</t>
        </is>
      </c>
      <c r="K1836" s="33" t="inlineStr">
        <is>
          <t>D610246 Title: FVN and FJZ shall start to source 28-103096-06 PCB; PICTORIS MBCVEBU;Pictoris73-103103-05 PCA;PICTORIS MB73-103603-05 PCA;PICTORIS MB NRIn BOMs:28-103096-05 PCB;PICTORIS MBFVN and FJZ shall stop sourcing version -05; and instead immediately start sourcing28-103096-06 PCB;PICTORIS MB</t>
        </is>
      </c>
      <c r="L1836" s="43" t="inlineStr">
        <is>
          <t>Expired</t>
        </is>
      </c>
      <c r="M1836" s="43" t="inlineStr">
        <is>
          <t>73-103103-05</t>
        </is>
      </c>
      <c r="N1836" s="43" t="inlineStr"/>
      <c r="O1836" s="43" t="inlineStr">
        <is>
          <t>2026-06-17</t>
        </is>
      </c>
      <c r="P1836" s="33" t="inlineStr">
        <is>
          <t>Exception Process: Temporary Deviation written for a permanent change (To Be Followed by ECO)</t>
        </is>
      </c>
      <c r="Q1836" s="43" t="inlineStr">
        <is>
          <t>No marking needed since this is only a sourcing deviation</t>
        </is>
      </c>
      <c r="R1836" s="43" t="inlineStr">
        <is>
          <t>2026-03-19</t>
        </is>
      </c>
      <c r="S1836" s="43" t="inlineStr">
        <is>
          <t>2026-04-01</t>
        </is>
      </c>
      <c r="T1836" s="43" t="inlineStr"/>
      <c r="U1836" s="43" t="inlineStr"/>
    </row>
    <row r="1837">
      <c r="A1837" s="43" t="n">
        <v>1837</v>
      </c>
      <c r="B1837" s="43" t="inlineStr">
        <is>
          <t>1836</t>
        </is>
      </c>
      <c r="C1837" s="43" t="inlineStr">
        <is>
          <t>FJZP</t>
        </is>
      </c>
      <c r="D1837" s="43" t="inlineStr">
        <is>
          <t>Cisco</t>
        </is>
      </c>
      <c r="E1837" s="43" t="inlineStr">
        <is>
          <t>MCGA</t>
        </is>
      </c>
      <c r="F1837" s="43" t="inlineStr">
        <is>
          <t>035-CVEBU</t>
        </is>
      </c>
      <c r="G1837" s="43" t="inlineStr">
        <is>
          <t>CTANJZ05157</t>
        </is>
      </c>
      <c r="H1837" s="43" t="inlineStr">
        <is>
          <t>Exception Process: Temporary Deviation written for a permanent change (To Be Followed by ECO)</t>
        </is>
      </c>
      <c r="I1837" s="43" t="inlineStr">
        <is>
          <t>Customer Deviation</t>
        </is>
      </c>
      <c r="J1837" s="43" t="inlineStr">
        <is>
          <t>D610246</t>
        </is>
      </c>
      <c r="K1837" s="33" t="inlineStr">
        <is>
          <t>D610246 Title: FVN and FJZ shall start to source 28-103096-06 PCB; PICTORIS MBCVEBU;Pictoris73-103103-05 PCA;PICTORIS MB73-103603-05 PCA;PICTORIS MB NRIn BOMs:28-103096-05 PCB;PICTORIS MBFVN and FJZ shall stop sourcing version -05; and instead immediately start sourcing28-103096-06 PCB;PICTORIS MB</t>
        </is>
      </c>
      <c r="L1837" s="43" t="inlineStr">
        <is>
          <t>Expired</t>
        </is>
      </c>
      <c r="M1837" s="43" t="inlineStr">
        <is>
          <t>73-103603-05</t>
        </is>
      </c>
      <c r="N1837" s="43" t="inlineStr"/>
      <c r="O1837" s="43" t="inlineStr">
        <is>
          <t>2026-06-17</t>
        </is>
      </c>
      <c r="P1837" s="33" t="inlineStr">
        <is>
          <t>Exception Process: Temporary Deviation written for a permanent change (To Be Followed by ECO)</t>
        </is>
      </c>
      <c r="Q1837" s="43" t="inlineStr">
        <is>
          <t>No marking needed since this is only a sourcing deviation</t>
        </is>
      </c>
      <c r="R1837" s="43" t="inlineStr">
        <is>
          <t>2026-03-19</t>
        </is>
      </c>
      <c r="S1837" s="43" t="inlineStr">
        <is>
          <t>2026-04-01</t>
        </is>
      </c>
      <c r="T1837" s="43" t="inlineStr"/>
      <c r="U1837" s="43" t="inlineStr"/>
    </row>
    <row r="1838">
      <c r="A1838" s="43" t="n">
        <v>1838</v>
      </c>
      <c r="B1838" s="43" t="inlineStr">
        <is>
          <t>1837</t>
        </is>
      </c>
      <c r="C1838" s="43" t="inlineStr">
        <is>
          <t>FJZP</t>
        </is>
      </c>
      <c r="D1838" s="43" t="inlineStr">
        <is>
          <t>Cisco</t>
        </is>
      </c>
      <c r="E1838" s="43" t="inlineStr">
        <is>
          <t>MCGA</t>
        </is>
      </c>
      <c r="F1838" s="43" t="inlineStr">
        <is>
          <t>037-STBU</t>
        </is>
      </c>
      <c r="G1838" s="43" t="inlineStr">
        <is>
          <t>CTANJZ04557</t>
        </is>
      </c>
      <c r="H1838" s="43" t="inlineStr">
        <is>
          <t>Exception Process: Temporary Deviation written for a permanent change (To Be Followed by ECO)</t>
        </is>
      </c>
      <c r="I1838" s="43" t="inlineStr">
        <is>
          <t>Customer Deviation</t>
        </is>
      </c>
      <c r="J1838" s="43" t="inlineStr">
        <is>
          <t>D603243</t>
        </is>
      </c>
      <c r="K1838" s="33" t="inlineStr">
        <is>
          <t>D603243 FJZ will start to build with APC and AP2 platforms during normal production for PCBA and DF areas.FJZ to scan the DV number for the APC units; the units with no DV (AP2) will be not scanned.Remove the APC label before packing the unit on DF.If confirmed that the script can not test APC and AP2 at the same station; units will need to be tested on the APC station for the APC labeled units and on the AP2 station for the AP2 units without DV; otherwise all the units can be tested on the APC stations.</t>
        </is>
      </c>
      <c r="L1838" s="43" t="inlineStr">
        <is>
          <t>Expired</t>
        </is>
      </c>
      <c r="M1838" s="43" t="inlineStr">
        <is>
          <t>800-104789-03</t>
        </is>
      </c>
      <c r="N1838" s="43" t="inlineStr"/>
      <c r="O1838" s="43" t="inlineStr">
        <is>
          <t>2025-07-09</t>
        </is>
      </c>
      <c r="P1838" s="33" t="inlineStr">
        <is>
          <t>Exception Process: Temporary Deviation written for a permanent change (To Be Followed by ECO)</t>
        </is>
      </c>
      <c r="Q1838" s="43" t="inlineStr">
        <is>
          <t>Add a label on the chassis with the legend APC; this will be removed before packaging on DF; add a label with the DV number on the chassis</t>
        </is>
      </c>
      <c r="R1838" s="43" t="inlineStr">
        <is>
          <t>2025-04-11</t>
        </is>
      </c>
      <c r="S1838" s="43" t="inlineStr">
        <is>
          <t>2025-04-24</t>
        </is>
      </c>
      <c r="T1838" s="43" t="inlineStr"/>
      <c r="U1838" s="43" t="inlineStr"/>
    </row>
    <row r="1839">
      <c r="A1839" s="43" t="n">
        <v>1839</v>
      </c>
      <c r="B1839" s="43" t="inlineStr">
        <is>
          <t>1838</t>
        </is>
      </c>
      <c r="C1839" s="43" t="inlineStr">
        <is>
          <t>FJZP</t>
        </is>
      </c>
      <c r="D1839" s="43" t="inlineStr">
        <is>
          <t>Cisco</t>
        </is>
      </c>
      <c r="E1839" s="43" t="inlineStr">
        <is>
          <t>MCGA</t>
        </is>
      </c>
      <c r="F1839" s="43" t="inlineStr">
        <is>
          <t>037-STBU</t>
        </is>
      </c>
      <c r="G1839" s="43" t="inlineStr">
        <is>
          <t>CTANJZ04557</t>
        </is>
      </c>
      <c r="H1839" s="43" t="inlineStr">
        <is>
          <t>Exception Process: Temporary Deviation written for a permanent change (To Be Followed by ECO)</t>
        </is>
      </c>
      <c r="I1839" s="43" t="inlineStr">
        <is>
          <t>Customer Deviation</t>
        </is>
      </c>
      <c r="J1839" s="43" t="inlineStr">
        <is>
          <t>D603243</t>
        </is>
      </c>
      <c r="K1839" s="33" t="inlineStr">
        <is>
          <t>D603243 FJZ will start to build with APC and AP2 platforms during normal production for PCBA and DF areas.FJZ to scan the DV number for the APC units; the units with no DV (AP2) will be not scanned.Remove the APC label before packing the unit on DF.If confirmed that the script can not test APC and AP2 at the same station; units will need to be tested on the APC station for the APC labeled units and on the AP2 station for the AP2 units without DV; otherwise all the units can be tested on the APC stations.</t>
        </is>
      </c>
      <c r="L1839" s="43" t="inlineStr">
        <is>
          <t>Expired</t>
        </is>
      </c>
      <c r="M1839" s="43" t="inlineStr">
        <is>
          <t>800-106375-02</t>
        </is>
      </c>
      <c r="N1839" s="43" t="inlineStr"/>
      <c r="O1839" s="43" t="inlineStr">
        <is>
          <t>2025-07-09</t>
        </is>
      </c>
      <c r="P1839" s="33" t="inlineStr">
        <is>
          <t>Exception Process: Temporary Deviation written for a permanent change (To Be Followed by ECO)</t>
        </is>
      </c>
      <c r="Q1839" s="43" t="inlineStr">
        <is>
          <t>Add a label on the chassis with the legend APC; this will be removed before packaging on DF; add a label with the DV number on the chassis</t>
        </is>
      </c>
      <c r="R1839" s="43" t="inlineStr">
        <is>
          <t>2025-04-11</t>
        </is>
      </c>
      <c r="S1839" s="43" t="inlineStr">
        <is>
          <t>2025-04-24</t>
        </is>
      </c>
      <c r="T1839" s="43" t="inlineStr"/>
      <c r="U1839" s="43" t="inlineStr"/>
    </row>
    <row r="1840">
      <c r="A1840" s="43" t="n">
        <v>1840</v>
      </c>
      <c r="B1840" s="43" t="inlineStr">
        <is>
          <t>1839</t>
        </is>
      </c>
      <c r="C1840" s="43" t="inlineStr">
        <is>
          <t>FJZP</t>
        </is>
      </c>
      <c r="D1840" s="43" t="inlineStr">
        <is>
          <t>Cisco</t>
        </is>
      </c>
      <c r="E1840" s="43" t="inlineStr">
        <is>
          <t>MCGA</t>
        </is>
      </c>
      <c r="F1840" s="43" t="inlineStr">
        <is>
          <t>037-STBU</t>
        </is>
      </c>
      <c r="G1840" s="43" t="inlineStr">
        <is>
          <t>CTANJZ04557</t>
        </is>
      </c>
      <c r="H1840" s="43" t="inlineStr">
        <is>
          <t>Exception Process: Temporary Deviation written for a permanent change (To Be Followed by ECO)</t>
        </is>
      </c>
      <c r="I1840" s="43" t="inlineStr">
        <is>
          <t>Customer Deviation</t>
        </is>
      </c>
      <c r="J1840" s="43" t="inlineStr">
        <is>
          <t>D603243</t>
        </is>
      </c>
      <c r="K1840" s="33" t="inlineStr">
        <is>
          <t>D603243 FJZ will start to build with APC and AP2 platforms during normal production for PCBA and DF areas.FJZ to scan the DV number for the APC units; the units with no DV (AP2) will be not scanned.Remove the APC label before packing the unit on DF.If confirmed that the script can not test APC and AP2 at the same station; units will need to be tested on the APC station for the APC labeled units and on the AP2 station for the AP2 units without DV; otherwise all the units can be tested on the APC stations.</t>
        </is>
      </c>
      <c r="L1840" s="43" t="inlineStr">
        <is>
          <t>Expired</t>
        </is>
      </c>
      <c r="M1840" s="43" t="inlineStr">
        <is>
          <t>800-111297-01</t>
        </is>
      </c>
      <c r="N1840" s="43" t="inlineStr"/>
      <c r="O1840" s="43" t="inlineStr">
        <is>
          <t>2025-07-09</t>
        </is>
      </c>
      <c r="P1840" s="33" t="inlineStr">
        <is>
          <t>Exception Process: Temporary Deviation written for a permanent change (To Be Followed by ECO)</t>
        </is>
      </c>
      <c r="Q1840" s="43" t="inlineStr">
        <is>
          <t>Add a label on the chassis with the legend APC; this will be removed before packaging on DF; add a label with the DV number on the chassis</t>
        </is>
      </c>
      <c r="R1840" s="43" t="inlineStr">
        <is>
          <t>2025-04-11</t>
        </is>
      </c>
      <c r="S1840" s="43" t="inlineStr">
        <is>
          <t>2025-04-24</t>
        </is>
      </c>
      <c r="T1840" s="43" t="inlineStr"/>
      <c r="U1840" s="43" t="inlineStr"/>
    </row>
    <row r="1841">
      <c r="A1841" s="43" t="n">
        <v>1841</v>
      </c>
      <c r="B1841" s="43" t="inlineStr">
        <is>
          <t>1840</t>
        </is>
      </c>
      <c r="C1841" s="43" t="inlineStr">
        <is>
          <t>FJZP</t>
        </is>
      </c>
      <c r="D1841" s="43" t="inlineStr">
        <is>
          <t>Cisco</t>
        </is>
      </c>
      <c r="E1841" s="43" t="inlineStr">
        <is>
          <t>MCGA</t>
        </is>
      </c>
      <c r="F1841" s="43" t="inlineStr">
        <is>
          <t>037-STBU</t>
        </is>
      </c>
      <c r="G1841" s="43" t="inlineStr">
        <is>
          <t>CTANJZ04616</t>
        </is>
      </c>
      <c r="H1841" s="43" t="inlineStr">
        <is>
          <t>Exception Process: Temporary Deviation written for a permanent change (To Be Followed by ECO)</t>
        </is>
      </c>
      <c r="I1841" s="43" t="inlineStr">
        <is>
          <t>Customer Deviation</t>
        </is>
      </c>
      <c r="J1841" s="43" t="inlineStr">
        <is>
          <t>D603828</t>
        </is>
      </c>
      <c r="K1841" s="33" t="inlineStr">
        <is>
          <t>D603828 Please see PageThree for details</t>
        </is>
      </c>
      <c r="L1841" s="43" t="inlineStr">
        <is>
          <t>Expired</t>
        </is>
      </c>
      <c r="M1841" s="43" t="inlineStr">
        <is>
          <t>73-21007-02</t>
        </is>
      </c>
      <c r="N1841" s="43" t="inlineStr"/>
      <c r="O1841" s="43" t="inlineStr">
        <is>
          <t>2025-08-20</t>
        </is>
      </c>
      <c r="P1841" s="33" t="inlineStr">
        <is>
          <t>Exception Process: Temporary Deviation written for a permanent change (To Be Followed by ECO)</t>
        </is>
      </c>
      <c r="Q1841" s="43" t="inlineStr">
        <is>
          <t>Please Deviation Label Visibly</t>
        </is>
      </c>
      <c r="R1841" s="43" t="inlineStr">
        <is>
          <t>2025-05-23</t>
        </is>
      </c>
      <c r="S1841" s="43" t="inlineStr">
        <is>
          <t>2025-06-11</t>
        </is>
      </c>
      <c r="T1841" s="43" t="inlineStr"/>
      <c r="U1841" s="43" t="inlineStr"/>
    </row>
    <row r="1842">
      <c r="A1842" s="43" t="n">
        <v>1842</v>
      </c>
      <c r="B1842" s="43" t="inlineStr">
        <is>
          <t>1841</t>
        </is>
      </c>
      <c r="C1842" s="43" t="inlineStr">
        <is>
          <t>FJZP</t>
        </is>
      </c>
      <c r="D1842" s="43" t="inlineStr">
        <is>
          <t>Cisco</t>
        </is>
      </c>
      <c r="E1842" s="43" t="inlineStr">
        <is>
          <t>MCGA</t>
        </is>
      </c>
      <c r="F1842" s="43" t="inlineStr">
        <is>
          <t>037-STBU</t>
        </is>
      </c>
      <c r="G1842" s="43" t="inlineStr">
        <is>
          <t>CTANJZ04616</t>
        </is>
      </c>
      <c r="H1842" s="43" t="inlineStr">
        <is>
          <t>Exception Process: Temporary Deviation written for a permanent change (To Be Followed by ECO)</t>
        </is>
      </c>
      <c r="I1842" s="43" t="inlineStr">
        <is>
          <t>Customer Deviation</t>
        </is>
      </c>
      <c r="J1842" s="43" t="inlineStr">
        <is>
          <t>D603828</t>
        </is>
      </c>
      <c r="K1842" s="33" t="inlineStr">
        <is>
          <t>D603828 Please see PageThree for details</t>
        </is>
      </c>
      <c r="L1842" s="43" t="inlineStr">
        <is>
          <t>Expired</t>
        </is>
      </c>
      <c r="M1842" s="43" t="inlineStr">
        <is>
          <t>800-111297-01</t>
        </is>
      </c>
      <c r="N1842" s="43" t="inlineStr"/>
      <c r="O1842" s="43" t="inlineStr">
        <is>
          <t>2025-08-20</t>
        </is>
      </c>
      <c r="P1842" s="33" t="inlineStr">
        <is>
          <t>Exception Process: Temporary Deviation written for a permanent change (To Be Followed by ECO)</t>
        </is>
      </c>
      <c r="Q1842" s="43" t="inlineStr">
        <is>
          <t>Please Deviation Label Visibly</t>
        </is>
      </c>
      <c r="R1842" s="43" t="inlineStr">
        <is>
          <t>2025-05-23</t>
        </is>
      </c>
      <c r="S1842" s="43" t="inlineStr">
        <is>
          <t>2025-06-11</t>
        </is>
      </c>
      <c r="T1842" s="43" t="inlineStr"/>
      <c r="U1842" s="43" t="inlineStr"/>
    </row>
    <row r="1843">
      <c r="A1843" s="43" t="n">
        <v>1843</v>
      </c>
      <c r="B1843" s="43" t="inlineStr">
        <is>
          <t>1842</t>
        </is>
      </c>
      <c r="C1843" s="43" t="inlineStr">
        <is>
          <t>FJZP</t>
        </is>
      </c>
      <c r="D1843" s="43" t="inlineStr">
        <is>
          <t>Cisco</t>
        </is>
      </c>
      <c r="E1843" s="43" t="inlineStr">
        <is>
          <t>MCGA</t>
        </is>
      </c>
      <c r="F1843" s="43" t="inlineStr">
        <is>
          <t>035-CVEBU</t>
        </is>
      </c>
      <c r="G1843" s="43" t="inlineStr">
        <is>
          <t>CTANJZ04623</t>
        </is>
      </c>
      <c r="H1843" s="43" t="inlineStr">
        <is>
          <t>Exception Process: Temporary Deviation written for a permanent change (To Be Followed by ECO)</t>
        </is>
      </c>
      <c r="I1843" s="43" t="inlineStr">
        <is>
          <t>Customer Deviation</t>
        </is>
      </c>
      <c r="J1843" s="43" t="inlineStr">
        <is>
          <t>D604124</t>
        </is>
      </c>
      <c r="K1843" s="33" t="inlineStr">
        <is>
          <t>D604124 Add Custom cardboard cutouts and edge boards during palletisation and a note not to depalletize in transit</t>
        </is>
      </c>
      <c r="L1843" s="43" t="inlineStr">
        <is>
          <t>Expired</t>
        </is>
      </c>
      <c r="M1843" s="43" t="inlineStr">
        <is>
          <t>74-146086-01</t>
        </is>
      </c>
      <c r="N1843" s="43" t="inlineStr"/>
      <c r="O1843" s="43" t="inlineStr">
        <is>
          <t>2025-08-21</t>
        </is>
      </c>
      <c r="P1843" s="33" t="inlineStr">
        <is>
          <t>Exception Process: Temporary Deviation written for a permanent change (To Be Followed by ECO)</t>
        </is>
      </c>
      <c r="Q1843" s="43" t="inlineStr">
        <is>
          <t>No marking required</t>
        </is>
      </c>
      <c r="R1843" s="43" t="inlineStr">
        <is>
          <t>2025-05-24</t>
        </is>
      </c>
      <c r="S1843" s="43" t="inlineStr">
        <is>
          <t>2025-06-18</t>
        </is>
      </c>
      <c r="T1843" s="43" t="inlineStr"/>
      <c r="U1843" s="43" t="inlineStr"/>
    </row>
    <row r="1844">
      <c r="A1844" s="43" t="n">
        <v>1844</v>
      </c>
      <c r="B1844" s="43" t="inlineStr">
        <is>
          <t>1843</t>
        </is>
      </c>
      <c r="C1844" s="43" t="inlineStr">
        <is>
          <t>FJZP</t>
        </is>
      </c>
      <c r="D1844" s="43" t="inlineStr">
        <is>
          <t>Cisco</t>
        </is>
      </c>
      <c r="E1844" s="43" t="inlineStr">
        <is>
          <t>MCGA</t>
        </is>
      </c>
      <c r="F1844" s="43" t="inlineStr">
        <is>
          <t>037-STBU</t>
        </is>
      </c>
      <c r="G1844" s="43" t="inlineStr">
        <is>
          <t>CTANJZ04635</t>
        </is>
      </c>
      <c r="H1844" s="43" t="inlineStr">
        <is>
          <t>Exception Process: Temporary Deviation written for a permanent change (To Be Followed by ECO)</t>
        </is>
      </c>
      <c r="I1844" s="43" t="inlineStr">
        <is>
          <t>Customer Deviation</t>
        </is>
      </c>
      <c r="J1844" s="43" t="inlineStr">
        <is>
          <t>D604078</t>
        </is>
      </c>
      <c r="K1844" s="33" t="inlineStr">
        <is>
          <t>D604078 Use individual bag 502-00269-01 per memory instead of use a single bag for 2 memories</t>
        </is>
      </c>
      <c r="L1844" s="43" t="inlineStr">
        <is>
          <t>Expired</t>
        </is>
      </c>
      <c r="M1844" s="43" t="inlineStr">
        <is>
          <t>502-00269-01</t>
        </is>
      </c>
      <c r="N1844" s="43" t="inlineStr"/>
      <c r="O1844" s="43" t="inlineStr">
        <is>
          <t>2025-08-27</t>
        </is>
      </c>
      <c r="P1844" s="33" t="inlineStr">
        <is>
          <t>Exception Process: Temporary Deviation written for a permanent change (To Be Followed by ECO)</t>
        </is>
      </c>
      <c r="Q1844" s="43" t="inlineStr">
        <is>
          <t>Please add a label with the deviation number on the bubble bag</t>
        </is>
      </c>
      <c r="R1844" s="43" t="inlineStr">
        <is>
          <t>2025-05-30</t>
        </is>
      </c>
      <c r="S1844" s="43" t="inlineStr">
        <is>
          <t>2025-06-19</t>
        </is>
      </c>
      <c r="T1844" s="43" t="inlineStr"/>
      <c r="U1844" s="43" t="inlineStr"/>
    </row>
    <row r="1845">
      <c r="A1845" s="43" t="n">
        <v>1845</v>
      </c>
      <c r="B1845" s="43" t="inlineStr">
        <is>
          <t>1844</t>
        </is>
      </c>
      <c r="C1845" s="43" t="inlineStr">
        <is>
          <t>FJZP</t>
        </is>
      </c>
      <c r="D1845" s="43" t="inlineStr">
        <is>
          <t>Cisco</t>
        </is>
      </c>
      <c r="E1845" s="43" t="inlineStr">
        <is>
          <t>MCGA</t>
        </is>
      </c>
      <c r="F1845" s="43" t="inlineStr">
        <is>
          <t>037-STBU</t>
        </is>
      </c>
      <c r="G1845" s="43" t="inlineStr">
        <is>
          <t>CTANJZ05327</t>
        </is>
      </c>
      <c r="H1845" s="43" t="inlineStr">
        <is>
          <t>Exception Process: Temporary Deviation written for a permanent change (To Be Followed by ECO)</t>
        </is>
      </c>
      <c r="I1845" s="43" t="inlineStr">
        <is>
          <t>Customer Deviation</t>
        </is>
      </c>
      <c r="J1845" s="43" t="inlineStr">
        <is>
          <t>D612196</t>
        </is>
      </c>
      <c r="K1845" s="33" t="inlineStr">
        <is>
          <t>D612196 NGFWBU: Due to all approved MPNs under CPN 25-1283-01 currently showing ¡§Deplete Stock/Cancelled" status in AVL; Foxconn Juarez (FJZ) is unable to procure this part despite ongoing demand. This deviation allows FJZ to continue procurement of CPN 25-1283-01 using existing AVL-listed MPNs and to permit use of this CPN in production for NGFWBU products; overriding lifecycle status restrictions. This is a temporary measure until the new qualified CPN is introduced and added to respective BOMs (TPK/WPK/NMs).CPN 25-100310-01 will replace CPN 25-1283-01 on all affect NGFWBU Products... (See affected Items)</t>
        </is>
      </c>
      <c r="L1845" s="43" t="inlineStr">
        <is>
          <t>Expired</t>
        </is>
      </c>
      <c r="M1845" s="43" t="inlineStr">
        <is>
          <t>73-102483-02</t>
        </is>
      </c>
      <c r="N1845" s="43" t="inlineStr"/>
      <c r="O1845" s="43" t="inlineStr">
        <is>
          <t>2026-09-27</t>
        </is>
      </c>
      <c r="P1845" s="33" t="inlineStr">
        <is>
          <t>Exception Process: Temporary Deviation written for a permanent change (To Be Followed by ECO)</t>
        </is>
      </c>
      <c r="Q1845" s="43" t="inlineStr">
        <is>
          <t>N/A</t>
        </is>
      </c>
      <c r="R1845" s="43" t="inlineStr">
        <is>
          <t>2026-06-30</t>
        </is>
      </c>
      <c r="S1845" s="43" t="inlineStr">
        <is>
          <t>2026-07-20</t>
        </is>
      </c>
      <c r="T1845" s="43" t="inlineStr"/>
      <c r="U1845" s="43" t="inlineStr"/>
    </row>
    <row r="1846">
      <c r="A1846" s="43" t="n">
        <v>1846</v>
      </c>
      <c r="B1846" s="43" t="inlineStr">
        <is>
          <t>1845</t>
        </is>
      </c>
      <c r="C1846" s="43" t="inlineStr">
        <is>
          <t>FJZP</t>
        </is>
      </c>
      <c r="D1846" s="43" t="inlineStr">
        <is>
          <t>Cisco</t>
        </is>
      </c>
      <c r="E1846" s="43" t="inlineStr">
        <is>
          <t>MCGA</t>
        </is>
      </c>
      <c r="F1846" s="43" t="inlineStr">
        <is>
          <t>037-STBU</t>
        </is>
      </c>
      <c r="G1846" s="43" t="inlineStr">
        <is>
          <t>CTANJZ05327</t>
        </is>
      </c>
      <c r="H1846" s="43" t="inlineStr">
        <is>
          <t>Exception Process: Temporary Deviation written for a permanent change (To Be Followed by ECO)</t>
        </is>
      </c>
      <c r="I1846" s="43" t="inlineStr">
        <is>
          <t>Customer Deviation</t>
        </is>
      </c>
      <c r="J1846" s="43" t="inlineStr">
        <is>
          <t>D612196</t>
        </is>
      </c>
      <c r="K1846" s="33" t="inlineStr">
        <is>
          <t>D612196 NGFWBU: Due to all approved MPNs under CPN 25-1283-01 currently showing ¡§Deplete Stock/Cancelled" status in AVL; Foxconn Juarez (FJZ) is unable to procure this part despite ongoing demand. This deviation allows FJZ to continue procurement of CPN 25-1283-01 using existing AVL-listed MPNs and to permit use of this CPN in production for NGFWBU products; overriding lifecycle status restrictions. This is a temporary measure until the new qualified CPN is introduced and added to respective BOMs (TPK/WPK/NMs).CPN 25-100310-01 will replace CPN 25-1283-01 on all affect NGFWBU Products... (See affected Items)</t>
        </is>
      </c>
      <c r="L1846" s="43" t="inlineStr">
        <is>
          <t>Expired</t>
        </is>
      </c>
      <c r="M1846" s="43" t="inlineStr">
        <is>
          <t>73-103633-04</t>
        </is>
      </c>
      <c r="N1846" s="43" t="inlineStr"/>
      <c r="O1846" s="43" t="inlineStr">
        <is>
          <t>2026-09-27</t>
        </is>
      </c>
      <c r="P1846" s="33" t="inlineStr">
        <is>
          <t>Exception Process: Temporary Deviation written for a permanent change (To Be Followed by ECO)</t>
        </is>
      </c>
      <c r="Q1846" s="43" t="inlineStr">
        <is>
          <t>N/A</t>
        </is>
      </c>
      <c r="R1846" s="43" t="inlineStr">
        <is>
          <t>2026-06-30</t>
        </is>
      </c>
      <c r="S1846" s="43" t="inlineStr">
        <is>
          <t>2026-07-20</t>
        </is>
      </c>
      <c r="T1846" s="43" t="inlineStr"/>
      <c r="U1846" s="43" t="inlineStr"/>
    </row>
    <row r="1847">
      <c r="A1847" s="43" t="n">
        <v>1847</v>
      </c>
      <c r="B1847" s="43" t="inlineStr">
        <is>
          <t>1846</t>
        </is>
      </c>
      <c r="C1847" s="43" t="inlineStr">
        <is>
          <t>FJZP</t>
        </is>
      </c>
      <c r="D1847" s="43" t="inlineStr">
        <is>
          <t>Cisco</t>
        </is>
      </c>
      <c r="E1847" s="43" t="inlineStr">
        <is>
          <t>MCGA</t>
        </is>
      </c>
      <c r="F1847" s="43" t="inlineStr">
        <is>
          <t>037-STBU</t>
        </is>
      </c>
      <c r="G1847" s="43" t="inlineStr">
        <is>
          <t>CTANJZ05327</t>
        </is>
      </c>
      <c r="H1847" s="43" t="inlineStr">
        <is>
          <t>Exception Process: Temporary Deviation written for a permanent change (To Be Followed by ECO)</t>
        </is>
      </c>
      <c r="I1847" s="43" t="inlineStr">
        <is>
          <t>Customer Deviation</t>
        </is>
      </c>
      <c r="J1847" s="43" t="inlineStr">
        <is>
          <t>D612196</t>
        </is>
      </c>
      <c r="K1847" s="33" t="inlineStr">
        <is>
          <t>D612196 NGFWBU: Due to all approved MPNs under CPN 25-1283-01 currently showing ¡§Deplete Stock/Cancelled" status in AVL; Foxconn Juarez (FJZ) is unable to procure this part despite ongoing demand. This deviation allows FJZ to continue procurement of CPN 25-1283-01 using existing AVL-listed MPNs and to permit use of this CPN in production for NGFWBU products; overriding lifecycle status restrictions. This is a temporary measure until the new qualified CPN is introduced and added to respective BOMs (TPK/WPK/NMs).CPN 25-100310-01 will replace CPN 25-1283-01 on all affect NGFWBU Products... (See affected Items)</t>
        </is>
      </c>
      <c r="L1847" s="43" t="inlineStr">
        <is>
          <t>Expired</t>
        </is>
      </c>
      <c r="M1847" s="43" t="inlineStr">
        <is>
          <t>73-103788-04</t>
        </is>
      </c>
      <c r="N1847" s="43" t="inlineStr"/>
      <c r="O1847" s="43" t="inlineStr">
        <is>
          <t>2026-09-27</t>
        </is>
      </c>
      <c r="P1847" s="33" t="inlineStr">
        <is>
          <t>Exception Process: Temporary Deviation written for a permanent change (To Be Followed by ECO)</t>
        </is>
      </c>
      <c r="Q1847" s="43" t="inlineStr">
        <is>
          <t>N/A</t>
        </is>
      </c>
      <c r="R1847" s="43" t="inlineStr">
        <is>
          <t>2026-06-30</t>
        </is>
      </c>
      <c r="S1847" s="43" t="inlineStr">
        <is>
          <t>2026-07-20</t>
        </is>
      </c>
      <c r="T1847" s="43" t="inlineStr"/>
      <c r="U1847" s="43" t="inlineStr"/>
    </row>
    <row r="1848">
      <c r="A1848" s="43" t="n">
        <v>1848</v>
      </c>
      <c r="B1848" s="43" t="inlineStr">
        <is>
          <t>1847</t>
        </is>
      </c>
      <c r="C1848" s="43" t="inlineStr">
        <is>
          <t>FJZP</t>
        </is>
      </c>
      <c r="D1848" s="43" t="inlineStr">
        <is>
          <t>Cisco</t>
        </is>
      </c>
      <c r="E1848" s="43" t="inlineStr">
        <is>
          <t>MCGA</t>
        </is>
      </c>
      <c r="F1848" s="43" t="inlineStr">
        <is>
          <t>037-STBU</t>
        </is>
      </c>
      <c r="G1848" s="43" t="inlineStr">
        <is>
          <t>CTANJZ05327</t>
        </is>
      </c>
      <c r="H1848" s="43" t="inlineStr">
        <is>
          <t>Exception Process: Temporary Deviation written for a permanent change (To Be Followed by ECO)</t>
        </is>
      </c>
      <c r="I1848" s="43" t="inlineStr">
        <is>
          <t>Customer Deviation</t>
        </is>
      </c>
      <c r="J1848" s="43" t="inlineStr">
        <is>
          <t>D612196</t>
        </is>
      </c>
      <c r="K1848" s="33" t="inlineStr">
        <is>
          <t>D612196 NGFWBU: Due to all approved MPNs under CPN 25-1283-01 currently showing ¡§Deplete Stock/Cancelled" status in AVL; Foxconn Juarez (FJZ) is unable to procure this part despite ongoing demand. This deviation allows FJZ to continue procurement of CPN 25-1283-01 using existing AVL-listed MPNs and to permit use of this CPN in production for NGFWBU products; overriding lifecycle status restrictions. This is a temporary measure until the new qualified CPN is introduced and added to respective BOMs (TPK/WPK/NMs).CPN 25-100310-01 will replace CPN 25-1283-01 on all affect NGFWBU Products... (See affected Items)</t>
        </is>
      </c>
      <c r="L1848" s="43" t="inlineStr">
        <is>
          <t>Expired</t>
        </is>
      </c>
      <c r="M1848" s="43" t="inlineStr">
        <is>
          <t>73-20247-06</t>
        </is>
      </c>
      <c r="N1848" s="43" t="inlineStr"/>
      <c r="O1848" s="43" t="inlineStr">
        <is>
          <t>2026-09-27</t>
        </is>
      </c>
      <c r="P1848" s="33" t="inlineStr">
        <is>
          <t>Exception Process: Temporary Deviation written for a permanent change (To Be Followed by ECO)</t>
        </is>
      </c>
      <c r="Q1848" s="43" t="inlineStr">
        <is>
          <t>N/A</t>
        </is>
      </c>
      <c r="R1848" s="43" t="inlineStr">
        <is>
          <t>2026-06-30</t>
        </is>
      </c>
      <c r="S1848" s="43" t="inlineStr">
        <is>
          <t>2026-07-20</t>
        </is>
      </c>
      <c r="T1848" s="43" t="inlineStr"/>
      <c r="U1848" s="43" t="inlineStr"/>
    </row>
    <row r="1849">
      <c r="A1849" s="43" t="n">
        <v>1849</v>
      </c>
      <c r="B1849" s="43" t="inlineStr">
        <is>
          <t>1848</t>
        </is>
      </c>
      <c r="C1849" s="43" t="inlineStr">
        <is>
          <t>FJZP</t>
        </is>
      </c>
      <c r="D1849" s="43" t="inlineStr">
        <is>
          <t>Cisco</t>
        </is>
      </c>
      <c r="E1849" s="43" t="inlineStr">
        <is>
          <t>MCGA</t>
        </is>
      </c>
      <c r="F1849" s="43" t="inlineStr">
        <is>
          <t>037-STBU</t>
        </is>
      </c>
      <c r="G1849" s="43" t="inlineStr">
        <is>
          <t>CTANJZ05327</t>
        </is>
      </c>
      <c r="H1849" s="43" t="inlineStr">
        <is>
          <t>Exception Process: Temporary Deviation written for a permanent change (To Be Followed by ECO)</t>
        </is>
      </c>
      <c r="I1849" s="43" t="inlineStr">
        <is>
          <t>Customer Deviation</t>
        </is>
      </c>
      <c r="J1849" s="43" t="inlineStr">
        <is>
          <t>D612196</t>
        </is>
      </c>
      <c r="K1849" s="33" t="inlineStr">
        <is>
          <t>D612196 NGFWBU: Due to all approved MPNs under CPN 25-1283-01 currently showing ¡§Deplete Stock/Cancelled" status in AVL; Foxconn Juarez (FJZ) is unable to procure this part despite ongoing demand. This deviation allows FJZ to continue procurement of CPN 25-1283-01 using existing AVL-listed MPNs and to permit use of this CPN in production for NGFWBU products; overriding lifecycle status restrictions. This is a temporary measure until the new qualified CPN is introduced and added to respective BOMs (TPK/WPK/NMs).CPN 25-100310-01 will replace CPN 25-1283-01 on all affect NGFWBU Products... (See affected Items)</t>
        </is>
      </c>
      <c r="L1849" s="43" t="inlineStr">
        <is>
          <t>Expired</t>
        </is>
      </c>
      <c r="M1849" s="43" t="inlineStr">
        <is>
          <t>73-20249-06</t>
        </is>
      </c>
      <c r="N1849" s="43" t="inlineStr"/>
      <c r="O1849" s="43" t="inlineStr">
        <is>
          <t>2026-09-27</t>
        </is>
      </c>
      <c r="P1849" s="33" t="inlineStr">
        <is>
          <t>Exception Process: Temporary Deviation written for a permanent change (To Be Followed by ECO)</t>
        </is>
      </c>
      <c r="Q1849" s="43" t="inlineStr">
        <is>
          <t>N/A</t>
        </is>
      </c>
      <c r="R1849" s="43" t="inlineStr">
        <is>
          <t>2026-06-30</t>
        </is>
      </c>
      <c r="S1849" s="43" t="inlineStr">
        <is>
          <t>2026-07-20</t>
        </is>
      </c>
      <c r="T1849" s="43" t="inlineStr"/>
      <c r="U1849" s="43" t="inlineStr"/>
    </row>
    <row r="1850">
      <c r="A1850" s="43" t="n">
        <v>1850</v>
      </c>
      <c r="B1850" s="43" t="inlineStr">
        <is>
          <t>1849</t>
        </is>
      </c>
      <c r="C1850" s="43" t="inlineStr">
        <is>
          <t>FJZP</t>
        </is>
      </c>
      <c r="D1850" s="43" t="inlineStr">
        <is>
          <t>Cisco</t>
        </is>
      </c>
      <c r="E1850" s="43" t="inlineStr">
        <is>
          <t>MCGA</t>
        </is>
      </c>
      <c r="F1850" s="43" t="inlineStr">
        <is>
          <t>239-CRBU</t>
        </is>
      </c>
      <c r="G1850" s="43" t="inlineStr">
        <is>
          <t>CTANJZ05396</t>
        </is>
      </c>
      <c r="H1850" s="43" t="inlineStr">
        <is>
          <t>Exception Process: Temporary Deviation written for a permanent change (To Be Followed by ECO)</t>
        </is>
      </c>
      <c r="I1850" s="43" t="inlineStr">
        <is>
          <t>Customer Deviation</t>
        </is>
      </c>
      <c r="J1850" s="43" t="inlineStr">
        <is>
          <t>D612685</t>
        </is>
      </c>
      <c r="K1850" s="33" t="inlineStr">
        <is>
          <t>D612685 Allow use of LED 25-100310-01 to replace 25-1283-01 due to deplete stock qualification status for LC5/LC7.Affected PIDs:73-20176-08 (68-7184-09 LC5)73-20516-05 (68-7393-03 LC7)</t>
        </is>
      </c>
      <c r="L1850" s="43" t="inlineStr">
        <is>
          <t>Expired</t>
        </is>
      </c>
      <c r="M1850" s="43" t="inlineStr">
        <is>
          <t>25-1283-01</t>
        </is>
      </c>
      <c r="N1850" s="43" t="inlineStr"/>
      <c r="O1850" s="43" t="inlineStr">
        <is>
          <t>2026-10-13</t>
        </is>
      </c>
      <c r="P1850" s="33" t="inlineStr">
        <is>
          <t>Exception Process: Temporary Deviation written for a permanent change (To Be Followed by ECO)</t>
        </is>
      </c>
      <c r="Q1850" s="43" t="inlineStr">
        <is>
          <t>Same</t>
        </is>
      </c>
      <c r="R1850" s="43" t="inlineStr">
        <is>
          <t>2026-07-17</t>
        </is>
      </c>
      <c r="S1850" s="43" t="inlineStr">
        <is>
          <t>2026-08-21</t>
        </is>
      </c>
      <c r="T1850" s="43" t="inlineStr"/>
      <c r="U1850" s="43" t="inlineStr"/>
    </row>
    <row r="1851">
      <c r="A1851" s="43" t="n">
        <v>1851</v>
      </c>
      <c r="B1851" s="43" t="inlineStr">
        <is>
          <t>1850</t>
        </is>
      </c>
      <c r="C1851" s="43" t="inlineStr">
        <is>
          <t>FJZP</t>
        </is>
      </c>
      <c r="D1851" s="43" t="inlineStr">
        <is>
          <t>Cisco</t>
        </is>
      </c>
      <c r="E1851" s="43" t="inlineStr">
        <is>
          <t>MCGA</t>
        </is>
      </c>
      <c r="F1851" s="43" t="inlineStr">
        <is>
          <t>239-CRBU</t>
        </is>
      </c>
      <c r="G1851" s="43" t="inlineStr">
        <is>
          <t>CTANJZ05396</t>
        </is>
      </c>
      <c r="H1851" s="43" t="inlineStr">
        <is>
          <t>Exception Process: Temporary Deviation written for a permanent change (To Be Followed by ECO)</t>
        </is>
      </c>
      <c r="I1851" s="43" t="inlineStr">
        <is>
          <t>Customer Deviation</t>
        </is>
      </c>
      <c r="J1851" s="43" t="inlineStr">
        <is>
          <t>D612685</t>
        </is>
      </c>
      <c r="K1851" s="33" t="inlineStr">
        <is>
          <t>D612685 Allow use of LED 25-100310-01 to replace 25-1283-01 due to deplete stock qualification status for LC5/LC7.Affected PIDs:73-20176-08 (68-7184-09 LC5)73-20516-05 (68-7393-03 LC7)</t>
        </is>
      </c>
      <c r="L1851" s="43" t="inlineStr">
        <is>
          <t>Expired</t>
        </is>
      </c>
      <c r="M1851" s="43" t="inlineStr">
        <is>
          <t>68-7184-09</t>
        </is>
      </c>
      <c r="N1851" s="43" t="inlineStr"/>
      <c r="O1851" s="43" t="inlineStr">
        <is>
          <t>2026-10-13</t>
        </is>
      </c>
      <c r="P1851" s="33" t="inlineStr">
        <is>
          <t>Exception Process: Temporary Deviation written for a permanent change (To Be Followed by ECO)</t>
        </is>
      </c>
      <c r="Q1851" s="43" t="inlineStr">
        <is>
          <t>Same</t>
        </is>
      </c>
      <c r="R1851" s="43" t="inlineStr">
        <is>
          <t>2026-07-17</t>
        </is>
      </c>
      <c r="S1851" s="43" t="inlineStr">
        <is>
          <t>2026-08-21</t>
        </is>
      </c>
      <c r="T1851" s="43" t="inlineStr"/>
      <c r="U1851" s="43" t="inlineStr"/>
    </row>
    <row r="1852">
      <c r="A1852" s="43" t="n">
        <v>1852</v>
      </c>
      <c r="B1852" s="43" t="inlineStr">
        <is>
          <t>1851</t>
        </is>
      </c>
      <c r="C1852" s="43" t="inlineStr">
        <is>
          <t>FJZP</t>
        </is>
      </c>
      <c r="D1852" s="43" t="inlineStr">
        <is>
          <t>Cisco</t>
        </is>
      </c>
      <c r="E1852" s="43" t="inlineStr">
        <is>
          <t>MCGA</t>
        </is>
      </c>
      <c r="F1852" s="43" t="inlineStr">
        <is>
          <t>239-CRBU</t>
        </is>
      </c>
      <c r="G1852" s="43" t="inlineStr">
        <is>
          <t>CTANJZ05396</t>
        </is>
      </c>
      <c r="H1852" s="43" t="inlineStr">
        <is>
          <t>Exception Process: Temporary Deviation written for a permanent change (To Be Followed by ECO)</t>
        </is>
      </c>
      <c r="I1852" s="43" t="inlineStr">
        <is>
          <t>Customer Deviation</t>
        </is>
      </c>
      <c r="J1852" s="43" t="inlineStr">
        <is>
          <t>D612685</t>
        </is>
      </c>
      <c r="K1852" s="33" t="inlineStr">
        <is>
          <t>D612685 Allow use of LED 25-100310-01 to replace 25-1283-01 due to deplete stock qualification status for LC5/LC7.Affected PIDs:73-20176-08 (68-7184-09 LC5)73-20516-05 (68-7393-03 LC7)</t>
        </is>
      </c>
      <c r="L1852" s="43" t="inlineStr">
        <is>
          <t>Expired</t>
        </is>
      </c>
      <c r="M1852" s="43" t="inlineStr">
        <is>
          <t>68-7393-03</t>
        </is>
      </c>
      <c r="N1852" s="43" t="inlineStr"/>
      <c r="O1852" s="43" t="inlineStr">
        <is>
          <t>2026-10-13</t>
        </is>
      </c>
      <c r="P1852" s="33" t="inlineStr">
        <is>
          <t>Exception Process: Temporary Deviation written for a permanent change (To Be Followed by ECO)</t>
        </is>
      </c>
      <c r="Q1852" s="43" t="inlineStr">
        <is>
          <t>Same</t>
        </is>
      </c>
      <c r="R1852" s="43" t="inlineStr">
        <is>
          <t>2026-07-17</t>
        </is>
      </c>
      <c r="S1852" s="43" t="inlineStr">
        <is>
          <t>2026-08-21</t>
        </is>
      </c>
      <c r="T1852" s="43" t="inlineStr"/>
      <c r="U1852" s="43" t="inlineStr"/>
    </row>
    <row r="1853">
      <c r="A1853" s="43" t="n">
        <v>1853</v>
      </c>
      <c r="B1853" s="43" t="inlineStr">
        <is>
          <t>1852</t>
        </is>
      </c>
      <c r="C1853" s="43" t="inlineStr">
        <is>
          <t>FJZP</t>
        </is>
      </c>
      <c r="D1853" s="43" t="inlineStr">
        <is>
          <t>Cisco</t>
        </is>
      </c>
      <c r="E1853" s="43" t="inlineStr">
        <is>
          <t>MCGA</t>
        </is>
      </c>
      <c r="F1853" s="43" t="inlineStr">
        <is>
          <t>239-CRBU</t>
        </is>
      </c>
      <c r="G1853" s="43" t="inlineStr">
        <is>
          <t>CTANJZ05396</t>
        </is>
      </c>
      <c r="H1853" s="43" t="inlineStr">
        <is>
          <t>Exception Process: Temporary Deviation written for a permanent change (To Be Followed by ECO)</t>
        </is>
      </c>
      <c r="I1853" s="43" t="inlineStr">
        <is>
          <t>Customer Deviation</t>
        </is>
      </c>
      <c r="J1853" s="43" t="inlineStr">
        <is>
          <t>D612685</t>
        </is>
      </c>
      <c r="K1853" s="33" t="inlineStr">
        <is>
          <t>D612685 Allow use of LED 25-100310-01 to replace 25-1283-01 due to deplete stock qualification status for LC5/LC7.Affected PIDs:73-20176-08 (68-7184-09 LC5)73-20516-05 (68-7393-03 LC7)</t>
        </is>
      </c>
      <c r="L1853" s="43" t="inlineStr">
        <is>
          <t>Expired</t>
        </is>
      </c>
      <c r="M1853" s="43" t="inlineStr">
        <is>
          <t>73-20176-08</t>
        </is>
      </c>
      <c r="N1853" s="43" t="inlineStr"/>
      <c r="O1853" s="43" t="inlineStr">
        <is>
          <t>2026-10-13</t>
        </is>
      </c>
      <c r="P1853" s="33" t="inlineStr">
        <is>
          <t>Exception Process: Temporary Deviation written for a permanent change (To Be Followed by ECO)</t>
        </is>
      </c>
      <c r="Q1853" s="43" t="inlineStr">
        <is>
          <t>Same</t>
        </is>
      </c>
      <c r="R1853" s="43" t="inlineStr">
        <is>
          <t>2026-07-17</t>
        </is>
      </c>
      <c r="S1853" s="43" t="inlineStr">
        <is>
          <t>2026-08-21</t>
        </is>
      </c>
      <c r="T1853" s="43" t="inlineStr"/>
      <c r="U1853" s="43" t="inlineStr"/>
    </row>
    <row r="1854">
      <c r="A1854" s="43" t="n">
        <v>1854</v>
      </c>
      <c r="B1854" s="43" t="inlineStr">
        <is>
          <t>1853</t>
        </is>
      </c>
      <c r="C1854" s="43" t="inlineStr">
        <is>
          <t>FJZP</t>
        </is>
      </c>
      <c r="D1854" s="43" t="inlineStr">
        <is>
          <t>Cisco</t>
        </is>
      </c>
      <c r="E1854" s="43" t="inlineStr">
        <is>
          <t>MCGA</t>
        </is>
      </c>
      <c r="F1854" s="43" t="inlineStr">
        <is>
          <t>239-CRBU</t>
        </is>
      </c>
      <c r="G1854" s="43" t="inlineStr">
        <is>
          <t>CTANJZ05396</t>
        </is>
      </c>
      <c r="H1854" s="43" t="inlineStr">
        <is>
          <t>Exception Process: Temporary Deviation written for a permanent change (To Be Followed by ECO)</t>
        </is>
      </c>
      <c r="I1854" s="43" t="inlineStr">
        <is>
          <t>Customer Deviation</t>
        </is>
      </c>
      <c r="J1854" s="43" t="inlineStr">
        <is>
          <t>D612685</t>
        </is>
      </c>
      <c r="K1854" s="33" t="inlineStr">
        <is>
          <t>D612685 Allow use of LED 25-100310-01 to replace 25-1283-01 due to deplete stock qualification status for LC5/LC7.Affected PIDs:73-20176-08 (68-7184-09 LC5)73-20516-05 (68-7393-03 LC7)</t>
        </is>
      </c>
      <c r="L1854" s="43" t="inlineStr">
        <is>
          <t>Expired</t>
        </is>
      </c>
      <c r="M1854" s="43" t="inlineStr">
        <is>
          <t>73-20516-05</t>
        </is>
      </c>
      <c r="N1854" s="43" t="inlineStr"/>
      <c r="O1854" s="43" t="inlineStr">
        <is>
          <t>2026-10-13</t>
        </is>
      </c>
      <c r="P1854" s="33" t="inlineStr">
        <is>
          <t>Exception Process: Temporary Deviation written for a permanent change (To Be Followed by ECO)</t>
        </is>
      </c>
      <c r="Q1854" s="43" t="inlineStr">
        <is>
          <t>Same</t>
        </is>
      </c>
      <c r="R1854" s="43" t="inlineStr">
        <is>
          <t>2026-07-17</t>
        </is>
      </c>
      <c r="S1854" s="43" t="inlineStr">
        <is>
          <t>2026-08-21</t>
        </is>
      </c>
      <c r="T1854" s="43" t="inlineStr"/>
      <c r="U1854" s="43" t="inlineStr"/>
    </row>
    <row r="1855">
      <c r="A1855" s="43" t="n">
        <v>1855</v>
      </c>
      <c r="B1855" s="43" t="inlineStr">
        <is>
          <t>1854</t>
        </is>
      </c>
      <c r="C1855" s="43" t="inlineStr">
        <is>
          <t>FJZP</t>
        </is>
      </c>
      <c r="D1855" s="43" t="inlineStr">
        <is>
          <t>Cisco</t>
        </is>
      </c>
      <c r="E1855" s="43" t="inlineStr">
        <is>
          <t>MCGA</t>
        </is>
      </c>
      <c r="F1855" s="43" t="inlineStr">
        <is>
          <t>018-SRGBU</t>
        </is>
      </c>
      <c r="G1855" s="43" t="inlineStr">
        <is>
          <t>CTANJZ05463</t>
        </is>
      </c>
      <c r="H1855" s="43" t="inlineStr">
        <is>
          <t>Exception Process: Temporary Deviation written for a permanent change (To Be Followed by ECO)</t>
        </is>
      </c>
      <c r="I1855" s="43" t="inlineStr">
        <is>
          <t>Customer Deviation</t>
        </is>
      </c>
      <c r="J1855" s="43" t="inlineStr">
        <is>
          <t>D613810</t>
        </is>
      </c>
      <c r="K1855" s="33" t="inlineStr">
        <is>
          <t>D613810 SRGBU: Arata Rommon 17.18(4.1r).s1.cp upgrade</t>
        </is>
      </c>
      <c r="L1855" s="43" t="inlineStr">
        <is>
          <t>FAI Status</t>
        </is>
      </c>
      <c r="M1855" s="43" t="inlineStr">
        <is>
          <t>17-17541-01</t>
        </is>
      </c>
      <c r="N1855" s="43" t="inlineStr"/>
      <c r="O1855" s="43" t="inlineStr">
        <is>
          <t>2026-12-02</t>
        </is>
      </c>
      <c r="P1855" s="33" t="inlineStr">
        <is>
          <t>Exception Process: Temporary Deviation written for a permanent change (To Be Followed by ECO)</t>
        </is>
      </c>
      <c r="Q1855" s="43" t="inlineStr">
        <is>
          <t>Label all deviated units with deviation label and program deviation number into the cookie</t>
        </is>
      </c>
      <c r="R1855" s="43" t="inlineStr">
        <is>
          <t>2026-09-05</t>
        </is>
      </c>
      <c r="S1855" s="43" t="inlineStr">
        <is>
          <t>2026-09-25</t>
        </is>
      </c>
      <c r="T1855" s="43" t="inlineStr"/>
      <c r="U1855" s="43" t="inlineStr"/>
    </row>
    <row r="1856">
      <c r="A1856" s="43" t="n">
        <v>1856</v>
      </c>
      <c r="B1856" s="43" t="inlineStr">
        <is>
          <t>1855</t>
        </is>
      </c>
      <c r="C1856" s="43" t="inlineStr">
        <is>
          <t>FJZP</t>
        </is>
      </c>
      <c r="D1856" s="43" t="inlineStr">
        <is>
          <t>Cisco</t>
        </is>
      </c>
      <c r="E1856" s="43" t="inlineStr">
        <is>
          <t>MCGA</t>
        </is>
      </c>
      <c r="F1856" s="43" t="inlineStr">
        <is>
          <t>018-SRGBU</t>
        </is>
      </c>
      <c r="G1856" s="43" t="inlineStr">
        <is>
          <t>CTANJZ05463</t>
        </is>
      </c>
      <c r="H1856" s="43" t="inlineStr">
        <is>
          <t>Exception Process: Temporary Deviation written for a permanent change (To Be Followed by ECO)</t>
        </is>
      </c>
      <c r="I1856" s="43" t="inlineStr">
        <is>
          <t>Customer Deviation</t>
        </is>
      </c>
      <c r="J1856" s="43" t="inlineStr">
        <is>
          <t>D613810</t>
        </is>
      </c>
      <c r="K1856" s="33" t="inlineStr">
        <is>
          <t>D613810 SRGBU: Arata Rommon 17.18(4.1r).s1.cp upgrade</t>
        </is>
      </c>
      <c r="L1856" s="43" t="inlineStr">
        <is>
          <t>FAI Status</t>
        </is>
      </c>
      <c r="M1856" s="43" t="inlineStr">
        <is>
          <t>74-133408-02</t>
        </is>
      </c>
      <c r="N1856" s="43" t="inlineStr"/>
      <c r="O1856" s="43" t="inlineStr">
        <is>
          <t>2026-12-02</t>
        </is>
      </c>
      <c r="P1856" s="33" t="inlineStr">
        <is>
          <t>Exception Process: Temporary Deviation written for a permanent change (To Be Followed by ECO)</t>
        </is>
      </c>
      <c r="Q1856" s="43" t="inlineStr">
        <is>
          <t>Label all deviated units with deviation label and program deviation number into the cookie</t>
        </is>
      </c>
      <c r="R1856" s="43" t="inlineStr">
        <is>
          <t>2026-09-05</t>
        </is>
      </c>
      <c r="S1856" s="43" t="inlineStr">
        <is>
          <t>2026-09-25</t>
        </is>
      </c>
      <c r="T1856" s="43" t="inlineStr"/>
      <c r="U1856" s="43" t="inlineStr"/>
    </row>
    <row r="1857">
      <c r="A1857" s="43" t="n">
        <v>1857</v>
      </c>
      <c r="B1857" s="43" t="inlineStr">
        <is>
          <t>1856</t>
        </is>
      </c>
      <c r="C1857" s="43" t="inlineStr">
        <is>
          <t>FJZP</t>
        </is>
      </c>
      <c r="D1857" s="43" t="inlineStr">
        <is>
          <t>Cisco</t>
        </is>
      </c>
      <c r="E1857" s="43" t="inlineStr">
        <is>
          <t>MCGA</t>
        </is>
      </c>
      <c r="F1857" s="43" t="inlineStr">
        <is>
          <t>018-SRGBU</t>
        </is>
      </c>
      <c r="G1857" s="43" t="inlineStr">
        <is>
          <t>CTANJZ05463</t>
        </is>
      </c>
      <c r="H1857" s="43" t="inlineStr">
        <is>
          <t>Exception Process: Temporary Deviation written for a permanent change (To Be Followed by ECO)</t>
        </is>
      </c>
      <c r="I1857" s="43" t="inlineStr">
        <is>
          <t>Customer Deviation</t>
        </is>
      </c>
      <c r="J1857" s="43" t="inlineStr">
        <is>
          <t>D613810</t>
        </is>
      </c>
      <c r="K1857" s="33" t="inlineStr">
        <is>
          <t>D613810 SRGBU: Arata Rommon 17.18(4.1r).s1.cp upgrade</t>
        </is>
      </c>
      <c r="L1857" s="43" t="inlineStr">
        <is>
          <t>FAI Status</t>
        </is>
      </c>
      <c r="M1857" s="43" t="inlineStr">
        <is>
          <t>74-134702-02</t>
        </is>
      </c>
      <c r="N1857" s="43" t="inlineStr"/>
      <c r="O1857" s="43" t="inlineStr">
        <is>
          <t>2026-12-02</t>
        </is>
      </c>
      <c r="P1857" s="33" t="inlineStr">
        <is>
          <t>Exception Process: Temporary Deviation written for a permanent change (To Be Followed by ECO)</t>
        </is>
      </c>
      <c r="Q1857" s="43" t="inlineStr">
        <is>
          <t>Label all deviated units with deviation label and program deviation number into the cookie</t>
        </is>
      </c>
      <c r="R1857" s="43" t="inlineStr">
        <is>
          <t>2026-09-05</t>
        </is>
      </c>
      <c r="S1857" s="43" t="inlineStr">
        <is>
          <t>2026-09-25</t>
        </is>
      </c>
      <c r="T1857" s="43" t="inlineStr"/>
      <c r="U1857" s="43" t="inlineStr"/>
    </row>
    <row r="1858">
      <c r="A1858" s="43" t="n">
        <v>1858</v>
      </c>
      <c r="B1858" s="43" t="inlineStr">
        <is>
          <t>1857</t>
        </is>
      </c>
      <c r="C1858" s="43" t="inlineStr">
        <is>
          <t>FJZP</t>
        </is>
      </c>
      <c r="D1858" s="43" t="inlineStr">
        <is>
          <t>Cisco</t>
        </is>
      </c>
      <c r="E1858" s="43" t="inlineStr">
        <is>
          <t>MCGA</t>
        </is>
      </c>
      <c r="F1858" s="43" t="inlineStr">
        <is>
          <t>037-STBU</t>
        </is>
      </c>
      <c r="G1858" s="43" t="inlineStr">
        <is>
          <t>CTANJZ05462</t>
        </is>
      </c>
      <c r="H1858" s="43" t="inlineStr">
        <is>
          <t>Exception Process: Temporary Deviation written for a permanent change (To Be Followed by ECO)</t>
        </is>
      </c>
      <c r="I1858" s="43" t="inlineStr">
        <is>
          <t>Customer Deviation</t>
        </is>
      </c>
      <c r="J1858" s="43" t="inlineStr">
        <is>
          <t>D613679</t>
        </is>
      </c>
      <c r="K1858" s="33" t="inlineStr">
        <is>
          <t>D613679 Quack (473-00003-01) &amp; Serial Labels (471-00585-01) were inadvertently left off BOM drop and were deleted from BOM in ECO EA622285 as a result.</t>
        </is>
      </c>
      <c r="L1858" s="43" t="inlineStr">
        <is>
          <t>FAI Status</t>
        </is>
      </c>
      <c r="M1858" s="43" t="inlineStr">
        <is>
          <t>73-103633-04</t>
        </is>
      </c>
      <c r="N1858" s="43" t="inlineStr"/>
      <c r="O1858" s="43" t="inlineStr">
        <is>
          <t>2026-12-03</t>
        </is>
      </c>
      <c r="P1858" s="33" t="inlineStr">
        <is>
          <t>Exception Process: Temporary Deviation written for a permanent change (To Be Followed by ECO)</t>
        </is>
      </c>
      <c r="Q1858" s="43" t="inlineStr">
        <is>
          <t>None required</t>
        </is>
      </c>
      <c r="R1858" s="43" t="inlineStr">
        <is>
          <t>2026-09-05</t>
        </is>
      </c>
      <c r="S1858" s="43" t="inlineStr">
        <is>
          <t>2026-09-30</t>
        </is>
      </c>
      <c r="T1858" s="43" t="inlineStr"/>
      <c r="U1858" s="43" t="inlineStr"/>
    </row>
    <row r="1859">
      <c r="A1859" s="43" t="n">
        <v>1859</v>
      </c>
      <c r="B1859" s="43" t="inlineStr">
        <is>
          <t>1858</t>
        </is>
      </c>
      <c r="C1859" s="43" t="inlineStr">
        <is>
          <t>FJZP</t>
        </is>
      </c>
      <c r="D1859" s="43" t="inlineStr">
        <is>
          <t>Cisco</t>
        </is>
      </c>
      <c r="E1859" s="43" t="inlineStr">
        <is>
          <t>MCGA</t>
        </is>
      </c>
      <c r="F1859" s="43" t="inlineStr">
        <is>
          <t>037-STBU</t>
        </is>
      </c>
      <c r="G1859" s="43" t="inlineStr">
        <is>
          <t>CTANJZ05471</t>
        </is>
      </c>
      <c r="H1859" s="43" t="inlineStr">
        <is>
          <t>Exception Process: Temporary Deviation written for a permanent change (To Be Followed by ECO)</t>
        </is>
      </c>
      <c r="I1859" s="43" t="inlineStr">
        <is>
          <t>Customer Deviation</t>
        </is>
      </c>
      <c r="J1859" s="43" t="inlineStr">
        <is>
          <t>D613625</t>
        </is>
      </c>
      <c r="K1859" s="33" t="inlineStr">
        <is>
          <t>D613625 Please see PageThree for details</t>
        </is>
      </c>
      <c r="L1859" s="43" t="inlineStr">
        <is>
          <t>Implementation</t>
        </is>
      </c>
      <c r="M1859" s="43" t="inlineStr">
        <is>
          <t>74-139979-01</t>
        </is>
      </c>
      <c r="N1859" s="43" t="inlineStr"/>
      <c r="O1859" s="43" t="inlineStr">
        <is>
          <t>2026-12-08</t>
        </is>
      </c>
      <c r="P1859" s="33" t="inlineStr">
        <is>
          <t>Exception Process: Temporary Deviation written for a permanent change (To Be Followed by ECO)</t>
        </is>
      </c>
      <c r="Q1859" s="43" t="inlineStr">
        <is>
          <t>Add deviation label on the bottom side of the enclosure; and visible location on the PCBA</t>
        </is>
      </c>
      <c r="R1859" s="43" t="inlineStr">
        <is>
          <t>2026-09-10</t>
        </is>
      </c>
      <c r="S1859" s="43" t="inlineStr">
        <is>
          <t>2026-10-09</t>
        </is>
      </c>
      <c r="T1859" s="43" t="inlineStr"/>
      <c r="U1859" s="43" t="inlineStr"/>
    </row>
    <row r="1860">
      <c r="A1860" s="43" t="n">
        <v>1860</v>
      </c>
      <c r="B1860" s="43" t="inlineStr">
        <is>
          <t>1859</t>
        </is>
      </c>
      <c r="C1860" s="43" t="inlineStr">
        <is>
          <t>FJZP</t>
        </is>
      </c>
      <c r="D1860" s="43" t="inlineStr">
        <is>
          <t>Cisco</t>
        </is>
      </c>
      <c r="E1860" s="43" t="inlineStr">
        <is>
          <t>MCGA</t>
        </is>
      </c>
      <c r="F1860" s="43" t="inlineStr">
        <is>
          <t>037-STBU</t>
        </is>
      </c>
      <c r="G1860" s="43" t="inlineStr">
        <is>
          <t>CTANJZ05471</t>
        </is>
      </c>
      <c r="H1860" s="43" t="inlineStr">
        <is>
          <t>Exception Process: Temporary Deviation written for a permanent change (To Be Followed by ECO)</t>
        </is>
      </c>
      <c r="I1860" s="43" t="inlineStr">
        <is>
          <t>Customer Deviation</t>
        </is>
      </c>
      <c r="J1860" s="43" t="inlineStr">
        <is>
          <t>D613625</t>
        </is>
      </c>
      <c r="K1860" s="33" t="inlineStr">
        <is>
          <t>D613625 Please see PageThree for details</t>
        </is>
      </c>
      <c r="L1860" s="43" t="inlineStr">
        <is>
          <t>Implementation</t>
        </is>
      </c>
      <c r="M1860" s="43" t="inlineStr">
        <is>
          <t>74-139980-01</t>
        </is>
      </c>
      <c r="N1860" s="43" t="inlineStr"/>
      <c r="O1860" s="43" t="inlineStr">
        <is>
          <t>2026-12-08</t>
        </is>
      </c>
      <c r="P1860" s="33" t="inlineStr">
        <is>
          <t>Exception Process: Temporary Deviation written for a permanent change (To Be Followed by ECO)</t>
        </is>
      </c>
      <c r="Q1860" s="43" t="inlineStr">
        <is>
          <t>Add deviation label on the bottom side of the enclosure; and visible location on the PCBA</t>
        </is>
      </c>
      <c r="R1860" s="43" t="inlineStr">
        <is>
          <t>2026-09-10</t>
        </is>
      </c>
      <c r="S1860" s="43" t="inlineStr">
        <is>
          <t>2026-10-09</t>
        </is>
      </c>
      <c r="T1860" s="43" t="inlineStr"/>
      <c r="U1860" s="43" t="inlineStr"/>
    </row>
    <row r="1861">
      <c r="A1861" s="43" t="n">
        <v>1861</v>
      </c>
      <c r="B1861" s="43" t="inlineStr">
        <is>
          <t>1860</t>
        </is>
      </c>
      <c r="C1861" s="43" t="inlineStr">
        <is>
          <t>FJZP</t>
        </is>
      </c>
      <c r="D1861" s="43" t="inlineStr">
        <is>
          <t>Cisco</t>
        </is>
      </c>
      <c r="E1861" s="43" t="inlineStr">
        <is>
          <t>MCGA</t>
        </is>
      </c>
      <c r="F1861" s="43" t="inlineStr">
        <is>
          <t>037-STBU</t>
        </is>
      </c>
      <c r="G1861" s="43" t="inlineStr">
        <is>
          <t>CTANJZ05471</t>
        </is>
      </c>
      <c r="H1861" s="43" t="inlineStr">
        <is>
          <t>Exception Process: Temporary Deviation written for a permanent change (To Be Followed by ECO)</t>
        </is>
      </c>
      <c r="I1861" s="43" t="inlineStr">
        <is>
          <t>Customer Deviation</t>
        </is>
      </c>
      <c r="J1861" s="43" t="inlineStr">
        <is>
          <t>D613625</t>
        </is>
      </c>
      <c r="K1861" s="33" t="inlineStr">
        <is>
          <t>D613625 Please see PageThree for details</t>
        </is>
      </c>
      <c r="L1861" s="43" t="inlineStr">
        <is>
          <t>Implementation</t>
        </is>
      </c>
      <c r="M1861" s="43" t="inlineStr">
        <is>
          <t>74-139981-01</t>
        </is>
      </c>
      <c r="N1861" s="43" t="inlineStr"/>
      <c r="O1861" s="43" t="inlineStr">
        <is>
          <t>2026-12-08</t>
        </is>
      </c>
      <c r="P1861" s="33" t="inlineStr">
        <is>
          <t>Exception Process: Temporary Deviation written for a permanent change (To Be Followed by ECO)</t>
        </is>
      </c>
      <c r="Q1861" s="43" t="inlineStr">
        <is>
          <t>Add deviation label on the bottom side of the enclosure; and visible location on the PCBA</t>
        </is>
      </c>
      <c r="R1861" s="43" t="inlineStr">
        <is>
          <t>2026-09-10</t>
        </is>
      </c>
      <c r="S1861" s="43" t="inlineStr">
        <is>
          <t>2026-10-09</t>
        </is>
      </c>
      <c r="T1861" s="43" t="inlineStr"/>
      <c r="U1861" s="43" t="inlineStr"/>
    </row>
    <row r="1862">
      <c r="A1862" s="43" t="n">
        <v>1862</v>
      </c>
      <c r="B1862" s="43" t="inlineStr">
        <is>
          <t>1861</t>
        </is>
      </c>
      <c r="C1862" s="43" t="inlineStr">
        <is>
          <t>FJZP</t>
        </is>
      </c>
      <c r="D1862" s="43" t="inlineStr">
        <is>
          <t>Cisco</t>
        </is>
      </c>
      <c r="E1862" s="43" t="inlineStr">
        <is>
          <t>MCGA</t>
        </is>
      </c>
      <c r="F1862" s="43" t="inlineStr">
        <is>
          <t>037-STBU</t>
        </is>
      </c>
      <c r="G1862" s="43" t="inlineStr">
        <is>
          <t>CTANJZ05438</t>
        </is>
      </c>
      <c r="H1862" s="43" t="inlineStr">
        <is>
          <t>Exception Process: Temporary Deviation written for a permanent change (To Be Followed by ECO)</t>
        </is>
      </c>
      <c r="I1862" s="43" t="inlineStr">
        <is>
          <t>Customer Deviation</t>
        </is>
      </c>
      <c r="J1862" s="43" t="inlineStr">
        <is>
          <t>D613532</t>
        </is>
      </c>
      <c r="K1862" s="33" t="inlineStr">
        <is>
          <t>D613532 NGFWBU:Warwick Avenue - To address system FPGA PCI-AER failures at PCB2C cold corner; direct factory to upgrade System FPGA in conjunction with updated Diags usage  (Re-issue of D611661)</t>
        </is>
      </c>
      <c r="L1862" s="43" t="inlineStr">
        <is>
          <t>FAI Status</t>
        </is>
      </c>
      <c r="M1862" s="43" t="inlineStr">
        <is>
          <t>800-109498-07</t>
        </is>
      </c>
      <c r="N1862" s="43" t="inlineStr"/>
      <c r="O1862" s="43" t="inlineStr">
        <is>
          <t>2026-11-23</t>
        </is>
      </c>
      <c r="P1862" s="33" t="inlineStr">
        <is>
          <t>Exception Process: Temporary Deviation written for a permanent change (To Be Followed by ECO)</t>
        </is>
      </c>
      <c r="Q1862" s="43" t="inlineStr">
        <is>
          <t>Please label unit with deviation number where space allows on using best methods.</t>
        </is>
      </c>
      <c r="R1862" s="43" t="inlineStr">
        <is>
          <t>2026-08-26</t>
        </is>
      </c>
      <c r="S1862" s="43" t="inlineStr">
        <is>
          <t>2026-09-16</t>
        </is>
      </c>
      <c r="T1862" s="43" t="inlineStr"/>
      <c r="U1862" s="43" t="inlineStr"/>
    </row>
    <row r="1863">
      <c r="A1863" s="43" t="n">
        <v>1863</v>
      </c>
      <c r="B1863" s="43" t="inlineStr">
        <is>
          <t>1862</t>
        </is>
      </c>
      <c r="C1863" s="43" t="inlineStr">
        <is>
          <t>FJZP</t>
        </is>
      </c>
      <c r="D1863" s="43" t="inlineStr">
        <is>
          <t>Cisco</t>
        </is>
      </c>
      <c r="E1863" s="43" t="inlineStr">
        <is>
          <t>MCGA</t>
        </is>
      </c>
      <c r="F1863" s="43" t="inlineStr">
        <is>
          <t>037-STBU</t>
        </is>
      </c>
      <c r="G1863" s="43" t="inlineStr">
        <is>
          <t>CTANJZ05438</t>
        </is>
      </c>
      <c r="H1863" s="43" t="inlineStr">
        <is>
          <t>Exception Process: Temporary Deviation written for a permanent change (To Be Followed by ECO)</t>
        </is>
      </c>
      <c r="I1863" s="43" t="inlineStr">
        <is>
          <t>Customer Deviation</t>
        </is>
      </c>
      <c r="J1863" s="43" t="inlineStr">
        <is>
          <t>D613532</t>
        </is>
      </c>
      <c r="K1863" s="33" t="inlineStr">
        <is>
          <t>D613532 NGFWBU:Warwick Avenue - To address system FPGA PCI-AER failures at PCB2C cold corner; direct factory to upgrade System FPGA in conjunction with updated Diags usage  (Re-issue of D611661)</t>
        </is>
      </c>
      <c r="L1863" s="43" t="inlineStr">
        <is>
          <t>FAI Status</t>
        </is>
      </c>
      <c r="M1863" s="43" t="inlineStr">
        <is>
          <t>800-109499-07</t>
        </is>
      </c>
      <c r="N1863" s="43" t="inlineStr"/>
      <c r="O1863" s="43" t="inlineStr">
        <is>
          <t>2026-11-23</t>
        </is>
      </c>
      <c r="P1863" s="33" t="inlineStr">
        <is>
          <t>Exception Process: Temporary Deviation written for a permanent change (To Be Followed by ECO)</t>
        </is>
      </c>
      <c r="Q1863" s="43" t="inlineStr">
        <is>
          <t>Please label unit with deviation number where space allows on using best methods.</t>
        </is>
      </c>
      <c r="R1863" s="43" t="inlineStr">
        <is>
          <t>2026-08-26</t>
        </is>
      </c>
      <c r="S1863" s="43" t="inlineStr">
        <is>
          <t>2026-09-16</t>
        </is>
      </c>
      <c r="T1863" s="43" t="inlineStr"/>
      <c r="U1863" s="43" t="inlineStr"/>
    </row>
    <row r="1864">
      <c r="A1864" s="43" t="n">
        <v>1864</v>
      </c>
      <c r="B1864" s="43" t="inlineStr">
        <is>
          <t>1863</t>
        </is>
      </c>
      <c r="C1864" s="43" t="inlineStr">
        <is>
          <t>FJZP</t>
        </is>
      </c>
      <c r="D1864" s="43" t="inlineStr">
        <is>
          <t>Cisco</t>
        </is>
      </c>
      <c r="E1864" s="43" t="inlineStr">
        <is>
          <t>MCGA</t>
        </is>
      </c>
      <c r="F1864" s="43" t="inlineStr">
        <is>
          <t>037-STBU</t>
        </is>
      </c>
      <c r="G1864" s="43" t="inlineStr">
        <is>
          <t>CTANJZ05438</t>
        </is>
      </c>
      <c r="H1864" s="43" t="inlineStr">
        <is>
          <t>Exception Process: Temporary Deviation written for a permanent change (To Be Followed by ECO)</t>
        </is>
      </c>
      <c r="I1864" s="43" t="inlineStr">
        <is>
          <t>Customer Deviation</t>
        </is>
      </c>
      <c r="J1864" s="43" t="inlineStr">
        <is>
          <t>D613532</t>
        </is>
      </c>
      <c r="K1864" s="33" t="inlineStr">
        <is>
          <t>D613532 NGFWBU:Warwick Avenue - To address system FPGA PCI-AER failures at PCB2C cold corner; direct factory to upgrade System FPGA in conjunction with updated Diags usage  (Re-issue of D611661)</t>
        </is>
      </c>
      <c r="L1864" s="43" t="inlineStr">
        <is>
          <t>FAI Status</t>
        </is>
      </c>
      <c r="M1864" s="43" t="inlineStr">
        <is>
          <t>800-109500-07</t>
        </is>
      </c>
      <c r="N1864" s="43" t="inlineStr"/>
      <c r="O1864" s="43" t="inlineStr">
        <is>
          <t>2026-11-23</t>
        </is>
      </c>
      <c r="P1864" s="33" t="inlineStr">
        <is>
          <t>Exception Process: Temporary Deviation written for a permanent change (To Be Followed by ECO)</t>
        </is>
      </c>
      <c r="Q1864" s="43" t="inlineStr">
        <is>
          <t>Please label unit with deviation number where space allows on using best methods.</t>
        </is>
      </c>
      <c r="R1864" s="43" t="inlineStr">
        <is>
          <t>2026-08-26</t>
        </is>
      </c>
      <c r="S1864" s="43" t="inlineStr">
        <is>
          <t>2026-09-16</t>
        </is>
      </c>
      <c r="T1864" s="43" t="inlineStr"/>
      <c r="U1864" s="43" t="inlineStr"/>
    </row>
    <row r="1865">
      <c r="A1865" s="43" t="n">
        <v>1865</v>
      </c>
      <c r="B1865" s="43" t="inlineStr">
        <is>
          <t>1864</t>
        </is>
      </c>
      <c r="C1865" s="43" t="inlineStr">
        <is>
          <t>FJZP</t>
        </is>
      </c>
      <c r="D1865" s="43" t="inlineStr">
        <is>
          <t>Cisco</t>
        </is>
      </c>
      <c r="E1865" s="43" t="inlineStr">
        <is>
          <t>MCGA</t>
        </is>
      </c>
      <c r="F1865" s="43" t="inlineStr">
        <is>
          <t>037-STBU</t>
        </is>
      </c>
      <c r="G1865" s="43" t="inlineStr">
        <is>
          <t>CTANJZ05419</t>
        </is>
      </c>
      <c r="H1865" s="43" t="inlineStr">
        <is>
          <t>Exception Process: Temporary Deviation written for a permanent change (To Be Followed by ECO)</t>
        </is>
      </c>
      <c r="I1865" s="43" t="inlineStr">
        <is>
          <t>Customer Deviation</t>
        </is>
      </c>
      <c r="J1865" s="43" t="inlineStr">
        <is>
          <t>D612975</t>
        </is>
      </c>
      <c r="K1865" s="33" t="inlineStr">
        <is>
          <t>D612975 NGFWBU:Warwick Avenue - Nitrox Config SPI resistor changes to address CDETs/security vulnerability</t>
        </is>
      </c>
      <c r="L1865" s="43" t="inlineStr">
        <is>
          <t>FAI Status</t>
        </is>
      </c>
      <c r="M1865" s="43" t="inlineStr">
        <is>
          <t>73-102433-06</t>
        </is>
      </c>
      <c r="N1865" s="43" t="inlineStr"/>
      <c r="O1865" s="43" t="inlineStr">
        <is>
          <t>2026-11-04</t>
        </is>
      </c>
      <c r="P1865" s="33" t="inlineStr">
        <is>
          <t>Exception Process: Temporary Deviation written for a permanent change (To Be Followed by ECO)</t>
        </is>
      </c>
      <c r="Q1865" s="43" t="inlineStr">
        <is>
          <t>Label units with Deviation number using standard practices</t>
        </is>
      </c>
      <c r="R1865" s="43" t="inlineStr">
        <is>
          <t>2026-08-08</t>
        </is>
      </c>
      <c r="S1865" s="43" t="inlineStr">
        <is>
          <t>2026-09-03</t>
        </is>
      </c>
      <c r="T1865" s="43" t="inlineStr"/>
      <c r="U1865" s="43" t="inlineStr"/>
    </row>
    <row r="1866">
      <c r="A1866" s="43" t="n">
        <v>1866</v>
      </c>
      <c r="B1866" s="43" t="inlineStr">
        <is>
          <t>1865</t>
        </is>
      </c>
      <c r="C1866" s="43" t="inlineStr">
        <is>
          <t>FJZP</t>
        </is>
      </c>
      <c r="D1866" s="43" t="inlineStr">
        <is>
          <t>Cisco</t>
        </is>
      </c>
      <c r="E1866" s="43" t="inlineStr">
        <is>
          <t>MCGA</t>
        </is>
      </c>
      <c r="F1866" s="43" t="inlineStr">
        <is>
          <t>037-STBU</t>
        </is>
      </c>
      <c r="G1866" s="43" t="inlineStr">
        <is>
          <t>CTANJZ05419</t>
        </is>
      </c>
      <c r="H1866" s="43" t="inlineStr">
        <is>
          <t>Exception Process: Temporary Deviation written for a permanent change (To Be Followed by ECO)</t>
        </is>
      </c>
      <c r="I1866" s="43" t="inlineStr">
        <is>
          <t>Customer Deviation</t>
        </is>
      </c>
      <c r="J1866" s="43" t="inlineStr">
        <is>
          <t>D612975</t>
        </is>
      </c>
      <c r="K1866" s="33" t="inlineStr">
        <is>
          <t>D612975 NGFWBU:Warwick Avenue - Nitrox Config SPI resistor changes to address CDETs/security vulnerability</t>
        </is>
      </c>
      <c r="L1866" s="43" t="inlineStr">
        <is>
          <t>FAI Status</t>
        </is>
      </c>
      <c r="M1866" s="43" t="inlineStr">
        <is>
          <t>73-102434-06</t>
        </is>
      </c>
      <c r="N1866" s="43" t="inlineStr"/>
      <c r="O1866" s="43" t="inlineStr">
        <is>
          <t>2026-11-04</t>
        </is>
      </c>
      <c r="P1866" s="33" t="inlineStr">
        <is>
          <t>Exception Process: Temporary Deviation written for a permanent change (To Be Followed by ECO)</t>
        </is>
      </c>
      <c r="Q1866" s="43" t="inlineStr">
        <is>
          <t>Label units with Deviation number using standard practices</t>
        </is>
      </c>
      <c r="R1866" s="43" t="inlineStr">
        <is>
          <t>2026-08-08</t>
        </is>
      </c>
      <c r="S1866" s="43" t="inlineStr">
        <is>
          <t>2026-09-03</t>
        </is>
      </c>
      <c r="T1866" s="43" t="inlineStr"/>
      <c r="U1866" s="43" t="inlineStr"/>
    </row>
    <row r="1867">
      <c r="A1867" s="43" t="n">
        <v>1867</v>
      </c>
      <c r="B1867" s="43" t="inlineStr">
        <is>
          <t>1866</t>
        </is>
      </c>
      <c r="C1867" s="43" t="inlineStr">
        <is>
          <t>FJZP</t>
        </is>
      </c>
      <c r="D1867" s="43" t="inlineStr">
        <is>
          <t>Cisco</t>
        </is>
      </c>
      <c r="E1867" s="43" t="inlineStr">
        <is>
          <t>MCGA</t>
        </is>
      </c>
      <c r="F1867" s="43" t="inlineStr">
        <is>
          <t>037-STBU</t>
        </is>
      </c>
      <c r="G1867" s="43" t="inlineStr">
        <is>
          <t>CTANJZ05419</t>
        </is>
      </c>
      <c r="H1867" s="43" t="inlineStr">
        <is>
          <t>Exception Process: Temporary Deviation written for a permanent change (To Be Followed by ECO)</t>
        </is>
      </c>
      <c r="I1867" s="43" t="inlineStr">
        <is>
          <t>Customer Deviation</t>
        </is>
      </c>
      <c r="J1867" s="43" t="inlineStr">
        <is>
          <t>D612975</t>
        </is>
      </c>
      <c r="K1867" s="33" t="inlineStr">
        <is>
          <t>D612975 NGFWBU:Warwick Avenue - Nitrox Config SPI resistor changes to address CDETs/security vulnerability</t>
        </is>
      </c>
      <c r="L1867" s="43" t="inlineStr">
        <is>
          <t>FAI Status</t>
        </is>
      </c>
      <c r="M1867" s="43" t="inlineStr">
        <is>
          <t>73-102435-06</t>
        </is>
      </c>
      <c r="N1867" s="43" t="inlineStr"/>
      <c r="O1867" s="43" t="inlineStr">
        <is>
          <t>2026-11-04</t>
        </is>
      </c>
      <c r="P1867" s="33" t="inlineStr">
        <is>
          <t>Exception Process: Temporary Deviation written for a permanent change (To Be Followed by ECO)</t>
        </is>
      </c>
      <c r="Q1867" s="43" t="inlineStr">
        <is>
          <t>Label units with Deviation number using standard practices</t>
        </is>
      </c>
      <c r="R1867" s="43" t="inlineStr">
        <is>
          <t>2026-08-08</t>
        </is>
      </c>
      <c r="S1867" s="43" t="inlineStr">
        <is>
          <t>2026-09-03</t>
        </is>
      </c>
      <c r="T1867" s="43" t="inlineStr"/>
      <c r="U1867" s="43" t="inlineStr"/>
    </row>
    <row r="1868">
      <c r="A1868" s="43" t="n">
        <v>1868</v>
      </c>
      <c r="B1868" s="43" t="inlineStr">
        <is>
          <t>1867</t>
        </is>
      </c>
      <c r="C1868" s="43" t="inlineStr">
        <is>
          <t>FJZP</t>
        </is>
      </c>
      <c r="D1868" s="43" t="inlineStr">
        <is>
          <t>Cisco</t>
        </is>
      </c>
      <c r="E1868" s="43" t="inlineStr">
        <is>
          <t>MCGA</t>
        </is>
      </c>
      <c r="F1868" s="43" t="inlineStr">
        <is>
          <t>037-STBU</t>
        </is>
      </c>
      <c r="G1868" s="43" t="inlineStr">
        <is>
          <t>CTANJZ05419</t>
        </is>
      </c>
      <c r="H1868" s="43" t="inlineStr">
        <is>
          <t>Exception Process: Temporary Deviation written for a permanent change (To Be Followed by ECO)</t>
        </is>
      </c>
      <c r="I1868" s="43" t="inlineStr">
        <is>
          <t>Customer Deviation</t>
        </is>
      </c>
      <c r="J1868" s="43" t="inlineStr">
        <is>
          <t>D612975</t>
        </is>
      </c>
      <c r="K1868" s="33" t="inlineStr">
        <is>
          <t>D612975 NGFWBU:Warwick Avenue - Nitrox Config SPI resistor changes to address CDETs/security vulnerability</t>
        </is>
      </c>
      <c r="L1868" s="43" t="inlineStr">
        <is>
          <t>FAI Status</t>
        </is>
      </c>
      <c r="M1868" s="43" t="inlineStr">
        <is>
          <t>800-109498-07</t>
        </is>
      </c>
      <c r="N1868" s="43" t="inlineStr"/>
      <c r="O1868" s="43" t="inlineStr">
        <is>
          <t>2026-11-04</t>
        </is>
      </c>
      <c r="P1868" s="33" t="inlineStr">
        <is>
          <t>Exception Process: Temporary Deviation written for a permanent change (To Be Followed by ECO)</t>
        </is>
      </c>
      <c r="Q1868" s="43" t="inlineStr">
        <is>
          <t>Label units with Deviation number using standard practices</t>
        </is>
      </c>
      <c r="R1868" s="43" t="inlineStr">
        <is>
          <t>2026-08-08</t>
        </is>
      </c>
      <c r="S1868" s="43" t="inlineStr">
        <is>
          <t>2026-09-03</t>
        </is>
      </c>
      <c r="T1868" s="43" t="inlineStr"/>
      <c r="U1868" s="43" t="inlineStr"/>
    </row>
    <row r="1869">
      <c r="A1869" s="43" t="n">
        <v>1869</v>
      </c>
      <c r="B1869" s="43" t="inlineStr">
        <is>
          <t>1868</t>
        </is>
      </c>
      <c r="C1869" s="43" t="inlineStr">
        <is>
          <t>FJZP</t>
        </is>
      </c>
      <c r="D1869" s="43" t="inlineStr">
        <is>
          <t>Cisco</t>
        </is>
      </c>
      <c r="E1869" s="43" t="inlineStr">
        <is>
          <t>MCGA</t>
        </is>
      </c>
      <c r="F1869" s="43" t="inlineStr">
        <is>
          <t>037-STBU</t>
        </is>
      </c>
      <c r="G1869" s="43" t="inlineStr">
        <is>
          <t>CTANJZ05419</t>
        </is>
      </c>
      <c r="H1869" s="43" t="inlineStr">
        <is>
          <t>Exception Process: Temporary Deviation written for a permanent change (To Be Followed by ECO)</t>
        </is>
      </c>
      <c r="I1869" s="43" t="inlineStr">
        <is>
          <t>Customer Deviation</t>
        </is>
      </c>
      <c r="J1869" s="43" t="inlineStr">
        <is>
          <t>D612975</t>
        </is>
      </c>
      <c r="K1869" s="33" t="inlineStr">
        <is>
          <t>D612975 NGFWBU:Warwick Avenue - Nitrox Config SPI resistor changes to address CDETs/security vulnerability</t>
        </is>
      </c>
      <c r="L1869" s="43" t="inlineStr">
        <is>
          <t>FAI Status</t>
        </is>
      </c>
      <c r="M1869" s="43" t="inlineStr">
        <is>
          <t>800-109499-07</t>
        </is>
      </c>
      <c r="N1869" s="43" t="inlineStr"/>
      <c r="O1869" s="43" t="inlineStr">
        <is>
          <t>2026-11-04</t>
        </is>
      </c>
      <c r="P1869" s="33" t="inlineStr">
        <is>
          <t>Exception Process: Temporary Deviation written for a permanent change (To Be Followed by ECO)</t>
        </is>
      </c>
      <c r="Q1869" s="43" t="inlineStr">
        <is>
          <t>Label units with Deviation number using standard practices</t>
        </is>
      </c>
      <c r="R1869" s="43" t="inlineStr">
        <is>
          <t>2026-08-08</t>
        </is>
      </c>
      <c r="S1869" s="43" t="inlineStr">
        <is>
          <t>2026-09-03</t>
        </is>
      </c>
      <c r="T1869" s="43" t="inlineStr"/>
      <c r="U1869" s="43" t="inlineStr"/>
    </row>
    <row r="1870">
      <c r="A1870" s="43" t="n">
        <v>1870</v>
      </c>
      <c r="B1870" s="43" t="inlineStr">
        <is>
          <t>1869</t>
        </is>
      </c>
      <c r="C1870" s="43" t="inlineStr">
        <is>
          <t>FJZP</t>
        </is>
      </c>
      <c r="D1870" s="43" t="inlineStr">
        <is>
          <t>Cisco</t>
        </is>
      </c>
      <c r="E1870" s="43" t="inlineStr">
        <is>
          <t>MCGA</t>
        </is>
      </c>
      <c r="F1870" s="43" t="inlineStr">
        <is>
          <t>037-STBU</t>
        </is>
      </c>
      <c r="G1870" s="43" t="inlineStr">
        <is>
          <t>CTANJZ05419</t>
        </is>
      </c>
      <c r="H1870" s="43" t="inlineStr">
        <is>
          <t>Exception Process: Temporary Deviation written for a permanent change (To Be Followed by ECO)</t>
        </is>
      </c>
      <c r="I1870" s="43" t="inlineStr">
        <is>
          <t>Customer Deviation</t>
        </is>
      </c>
      <c r="J1870" s="43" t="inlineStr">
        <is>
          <t>D612975</t>
        </is>
      </c>
      <c r="K1870" s="33" t="inlineStr">
        <is>
          <t>D612975 NGFWBU:Warwick Avenue - Nitrox Config SPI resistor changes to address CDETs/security vulnerability</t>
        </is>
      </c>
      <c r="L1870" s="43" t="inlineStr">
        <is>
          <t>FAI Status</t>
        </is>
      </c>
      <c r="M1870" s="43" t="inlineStr">
        <is>
          <t>800-109500-07</t>
        </is>
      </c>
      <c r="N1870" s="43" t="inlineStr"/>
      <c r="O1870" s="43" t="inlineStr">
        <is>
          <t>2026-11-04</t>
        </is>
      </c>
      <c r="P1870" s="33" t="inlineStr">
        <is>
          <t>Exception Process: Temporary Deviation written for a permanent change (To Be Followed by ECO)</t>
        </is>
      </c>
      <c r="Q1870" s="43" t="inlineStr">
        <is>
          <t>Label units with Deviation number using standard practices</t>
        </is>
      </c>
      <c r="R1870" s="43" t="inlineStr">
        <is>
          <t>2026-08-08</t>
        </is>
      </c>
      <c r="S1870" s="43" t="inlineStr">
        <is>
          <t>2026-09-03</t>
        </is>
      </c>
      <c r="T1870" s="43" t="inlineStr"/>
      <c r="U1870" s="43" t="inlineStr"/>
    </row>
    <row r="1871">
      <c r="A1871" s="43" t="n">
        <v>1871</v>
      </c>
      <c r="B1871" s="43" t="inlineStr">
        <is>
          <t>1870</t>
        </is>
      </c>
      <c r="C1871" s="43" t="inlineStr">
        <is>
          <t>FJZP</t>
        </is>
      </c>
      <c r="D1871" s="43" t="inlineStr">
        <is>
          <t>Cisco</t>
        </is>
      </c>
      <c r="E1871" s="43" t="inlineStr">
        <is>
          <t>MCGA</t>
        </is>
      </c>
      <c r="F1871" s="43" t="inlineStr">
        <is>
          <t>037-STBU</t>
        </is>
      </c>
      <c r="G1871" s="43" t="inlineStr">
        <is>
          <t>CTANJZ05531</t>
        </is>
      </c>
      <c r="H1871" s="43" t="inlineStr">
        <is>
          <t>Exception Process: Temporary Deviation written for a permanent change (To Be Followed by ECO)</t>
        </is>
      </c>
      <c r="I1871" s="43" t="inlineStr">
        <is>
          <t>Customer Deviation</t>
        </is>
      </c>
      <c r="J1871" s="43" t="inlineStr">
        <is>
          <t>D614405</t>
        </is>
      </c>
      <c r="K1871" s="33" t="inlineStr">
        <is>
          <t>D614405 Please see PageThree for details</t>
        </is>
      </c>
      <c r="L1871" s="43" t="inlineStr">
        <is>
          <t>CCB</t>
        </is>
      </c>
      <c r="M1871" s="43" t="inlineStr">
        <is>
          <t>15-108159-01</t>
        </is>
      </c>
      <c r="N1871" s="43" t="inlineStr"/>
      <c r="O1871" s="43" t="inlineStr">
        <is>
          <t>2027-01-11</t>
        </is>
      </c>
      <c r="P1871" s="33" t="inlineStr">
        <is>
          <t>Exception Process: Temporary Deviation written for a permanent change (To Be Followed by ECO)</t>
        </is>
      </c>
      <c r="Q1871" s="43" t="inlineStr">
        <is>
          <t>Place Deviation on PCBA</t>
        </is>
      </c>
      <c r="R1871" s="43" t="inlineStr">
        <is>
          <t>2026-10-14</t>
        </is>
      </c>
      <c r="S1871" s="43" t="inlineStr"/>
      <c r="T1871" s="43" t="inlineStr"/>
      <c r="U1871" s="43" t="inlineStr"/>
    </row>
    <row r="1872">
      <c r="A1872" s="43" t="n">
        <v>1872</v>
      </c>
      <c r="B1872" s="43" t="inlineStr">
        <is>
          <t>1871</t>
        </is>
      </c>
      <c r="C1872" s="43" t="inlineStr">
        <is>
          <t>FJZP</t>
        </is>
      </c>
      <c r="D1872" s="43" t="inlineStr">
        <is>
          <t>Cisco</t>
        </is>
      </c>
      <c r="E1872" s="43" t="inlineStr">
        <is>
          <t>MCGA</t>
        </is>
      </c>
      <c r="F1872" s="43" t="inlineStr">
        <is>
          <t>037-STBU</t>
        </is>
      </c>
      <c r="G1872" s="43" t="inlineStr">
        <is>
          <t>CTANJZ05531</t>
        </is>
      </c>
      <c r="H1872" s="43" t="inlineStr">
        <is>
          <t>Exception Process: Temporary Deviation written for a permanent change (To Be Followed by ECO)</t>
        </is>
      </c>
      <c r="I1872" s="43" t="inlineStr">
        <is>
          <t>Customer Deviation</t>
        </is>
      </c>
      <c r="J1872" s="43" t="inlineStr">
        <is>
          <t>D614405</t>
        </is>
      </c>
      <c r="K1872" s="33" t="inlineStr">
        <is>
          <t>D614405 Please see PageThree for details</t>
        </is>
      </c>
      <c r="L1872" s="43" t="inlineStr">
        <is>
          <t>CCB</t>
        </is>
      </c>
      <c r="M1872" s="43" t="inlineStr">
        <is>
          <t>73-102433-06</t>
        </is>
      </c>
      <c r="N1872" s="43" t="inlineStr"/>
      <c r="O1872" s="43" t="inlineStr">
        <is>
          <t>2027-01-11</t>
        </is>
      </c>
      <c r="P1872" s="33" t="inlineStr">
        <is>
          <t>Exception Process: Temporary Deviation written for a permanent change (To Be Followed by ECO)</t>
        </is>
      </c>
      <c r="Q1872" s="43" t="inlineStr">
        <is>
          <t>Place Deviation on PCBA</t>
        </is>
      </c>
      <c r="R1872" s="43" t="inlineStr">
        <is>
          <t>2026-10-14</t>
        </is>
      </c>
      <c r="S1872" s="43" t="inlineStr"/>
      <c r="T1872" s="43" t="inlineStr"/>
      <c r="U1872" s="43" t="inlineStr"/>
    </row>
    <row r="1873">
      <c r="A1873" s="43" t="n">
        <v>1873</v>
      </c>
      <c r="B1873" s="43" t="inlineStr">
        <is>
          <t>1872</t>
        </is>
      </c>
      <c r="C1873" s="43" t="inlineStr">
        <is>
          <t>FJZP</t>
        </is>
      </c>
      <c r="D1873" s="43" t="inlineStr">
        <is>
          <t>Cisco</t>
        </is>
      </c>
      <c r="E1873" s="43" t="inlineStr">
        <is>
          <t>MCGA</t>
        </is>
      </c>
      <c r="F1873" s="43" t="inlineStr">
        <is>
          <t>037-STBU</t>
        </is>
      </c>
      <c r="G1873" s="43" t="inlineStr">
        <is>
          <t>CTANJZ05531</t>
        </is>
      </c>
      <c r="H1873" s="43" t="inlineStr">
        <is>
          <t>Exception Process: Temporary Deviation written for a permanent change (To Be Followed by ECO)</t>
        </is>
      </c>
      <c r="I1873" s="43" t="inlineStr">
        <is>
          <t>Customer Deviation</t>
        </is>
      </c>
      <c r="J1873" s="43" t="inlineStr">
        <is>
          <t>D614405</t>
        </is>
      </c>
      <c r="K1873" s="33" t="inlineStr">
        <is>
          <t>D614405 Please see PageThree for details</t>
        </is>
      </c>
      <c r="L1873" s="43" t="inlineStr">
        <is>
          <t>CCB</t>
        </is>
      </c>
      <c r="M1873" s="43" t="inlineStr">
        <is>
          <t>800-109498-07</t>
        </is>
      </c>
      <c r="N1873" s="43" t="inlineStr"/>
      <c r="O1873" s="43" t="inlineStr">
        <is>
          <t>2027-01-11</t>
        </is>
      </c>
      <c r="P1873" s="33" t="inlineStr">
        <is>
          <t>Exception Process: Temporary Deviation written for a permanent change (To Be Followed by ECO)</t>
        </is>
      </c>
      <c r="Q1873" s="43" t="inlineStr">
        <is>
          <t>Place Deviation on PCBA</t>
        </is>
      </c>
      <c r="R1873" s="43" t="inlineStr">
        <is>
          <t>2026-10-14</t>
        </is>
      </c>
      <c r="S1873" s="43" t="inlineStr"/>
      <c r="T1873" s="43" t="inlineStr"/>
      <c r="U1873" s="43" t="inlineStr"/>
    </row>
    <row r="1874">
      <c r="A1874" s="43" t="n">
        <v>1874</v>
      </c>
      <c r="B1874" s="43" t="inlineStr">
        <is>
          <t>1873</t>
        </is>
      </c>
      <c r="C1874" s="43" t="inlineStr">
        <is>
          <t>FJZP</t>
        </is>
      </c>
      <c r="D1874" s="43" t="inlineStr">
        <is>
          <t>Cisco</t>
        </is>
      </c>
      <c r="E1874" s="43" t="inlineStr">
        <is>
          <t>MCGA</t>
        </is>
      </c>
      <c r="F1874" s="43" t="inlineStr">
        <is>
          <t>037-STBU</t>
        </is>
      </c>
      <c r="G1874" s="43" t="inlineStr">
        <is>
          <t>CTANJZ05427</t>
        </is>
      </c>
      <c r="H1874" s="43" t="inlineStr">
        <is>
          <t>Exception Process: Temporary Deviation written for a permanent change (To Be Followed by ECO)</t>
        </is>
      </c>
      <c r="I1874" s="43" t="inlineStr">
        <is>
          <t>Customer Deviation</t>
        </is>
      </c>
      <c r="J1874" s="43" t="inlineStr">
        <is>
          <t>D613419</t>
        </is>
      </c>
      <c r="K1874" s="33" t="inlineStr">
        <is>
          <t>D613419 800-50107-02; 5pcs SSD Cage Verification on Tufnell; FPR3K.   We have introduced a second source supplier for the SSD Cable/Tray assembly.  The new Cable is manufactured by Luxshare.   Trend Technologies has provided updated SSD Tray assemblies; 800-50107-02 to FJZ for assembly verification.  The quantity to be tested; and supported by this Deviation is a minimum of 3 assemblies.Trend shall provide 3 ~ 5 Tray assemblies; with the updated Cables from LuxshareFoxconn FJZ will assemble the Tray/Cable assembly under normal manufacturing assembly process.  Same SOP appliesFJZ will conduct all PCBA functional test steps; P2C; 2C; and provide test results on all UUTs applicable under this DeviationFJZ will proceed with DF assembly and normal DF functional tests on these same units.   Provide test results to CiscoAfter assembly; FJZ shall do one of the following; based on material constraints regarding these Tray/Cable Samples;- Disassemble the SSD Tray/Cable samples; and return the TPK systems back to PCBA; where qualified SSD Tray/Cable will be reassembled and units sent back through all functional tests.  Isolate the reworked Trays; return to Trend or Scrap.- Allow the units to ship to Customers.  This is an acceptable option; provided no functional failures were identified during PCBA and DF functional testing.  This decision can be made by Cisco and FJZ team after tests and assembly evaluation is complete.FJZ shall provide the following assembly verification;- Provide top level S/N of the systems assembled- Provide a copy of all test logs created during PCBA and DF on all units tested- Provide any comments regarding the assembly of the Cable to the PCBA and any other visual observations- Document any functional failures identified during this qual build- Contact Aiseosa Omorogieva (aomorogi) &lt;aomorogi@cisco.com&gt;; David Albani (daalbani) &lt;daalbani@cisco.com&gt;; Adrian Liu (adrianli) &lt;adrianli@cisco.com&gt; for any issues during and after assembly and testing of these units.</t>
        </is>
      </c>
      <c r="L1874" s="43" t="inlineStr">
        <is>
          <t>FAI Status</t>
        </is>
      </c>
      <c r="M1874" s="43" t="inlineStr">
        <is>
          <t>800-108035-05</t>
        </is>
      </c>
      <c r="N1874" s="43" t="inlineStr"/>
      <c r="O1874" s="43" t="inlineStr">
        <is>
          <t>2026-11-17</t>
        </is>
      </c>
      <c r="P1874" s="33" t="inlineStr">
        <is>
          <t>Exception Process: Temporary Deviation written for a permanent change (To Be Followed by ECO)</t>
        </is>
      </c>
      <c r="Q1874" s="43" t="inlineStr">
        <is>
          <t>No additional part marking required.  The S/N of each system evaluated and tested should be recorded and reported to Cisco</t>
        </is>
      </c>
      <c r="R1874" s="43" t="inlineStr">
        <is>
          <t>2026-08-20</t>
        </is>
      </c>
      <c r="S1874" s="43" t="inlineStr">
        <is>
          <t>2026-09-16</t>
        </is>
      </c>
      <c r="T1874" s="43" t="inlineStr"/>
      <c r="U1874" s="43" t="inlineStr"/>
    </row>
    <row r="1875">
      <c r="A1875" s="43" t="n">
        <v>1875</v>
      </c>
      <c r="B1875" s="43" t="inlineStr">
        <is>
          <t>1874</t>
        </is>
      </c>
      <c r="C1875" s="43" t="inlineStr">
        <is>
          <t>FJZP</t>
        </is>
      </c>
      <c r="D1875" s="43" t="inlineStr">
        <is>
          <t>Cisco</t>
        </is>
      </c>
      <c r="E1875" s="43" t="inlineStr">
        <is>
          <t>MCGA</t>
        </is>
      </c>
      <c r="F1875" s="43" t="inlineStr">
        <is>
          <t>037-STBU</t>
        </is>
      </c>
      <c r="G1875" s="43" t="inlineStr">
        <is>
          <t>CTANJZ05427</t>
        </is>
      </c>
      <c r="H1875" s="43" t="inlineStr">
        <is>
          <t>Exception Process: Temporary Deviation written for a permanent change (To Be Followed by ECO)</t>
        </is>
      </c>
      <c r="I1875" s="43" t="inlineStr">
        <is>
          <t>Customer Deviation</t>
        </is>
      </c>
      <c r="J1875" s="43" t="inlineStr">
        <is>
          <t>D613419</t>
        </is>
      </c>
      <c r="K1875" s="33" t="inlineStr">
        <is>
          <t>D613419 800-50107-02; 5pcs SSD Cage Verification on Tufnell; FPR3K.   We have introduced a second source supplier for the SSD Cable/Tray assembly.  The new Cable is manufactured by Luxshare.   Trend Technologies has provided updated SSD Tray assemblies; 800-50107-02 to FJZ for assembly verification.  The quantity to be tested; and supported by this Deviation is a minimum of 3 assemblies.Trend shall provide 3 ~ 5 Tray assemblies; with the updated Cables from LuxshareFoxconn FJZ will assemble the Tray/Cable assembly under normal manufacturing assembly process.  Same SOP appliesFJZ will conduct all PCBA functional test steps; P2C; 2C; and provide test results on all UUTs applicable under this DeviationFJZ will proceed with DF assembly and normal DF functional tests on these same units.   Provide test results to CiscoAfter assembly; FJZ shall do one of the following; based on material constraints regarding these Tray/Cable Samples;- Disassemble the SSD Tray/Cable samples; and return the TPK systems back to PCBA; where qualified SSD Tray/Cable will be reassembled and units sent back through all functional tests.  Isolate the reworked Trays; return to Trend or Scrap.- Allow the units to ship to Customers.  This is an acceptable option; provided no functional failures were identified during PCBA and DF functional testing.  This decision can be made by Cisco and FJZ team after tests and assembly evaluation is complete.FJZ shall provide the following assembly verification;- Provide top level S/N of the systems assembled- Provide a copy of all test logs created during PCBA and DF on all units tested- Provide any comments regarding the assembly of the Cable to the PCBA and any other visual observations- Document any functional failures identified during this qual build- Contact Aiseosa Omorogieva (aomorogi) &lt;aomorogi@cisco.com&gt;; David Albani (daalbani) &lt;daalbani@cisco.com&gt;; Adrian Liu (adrianli) &lt;adrianli@cisco.com&gt; for any issues during and after assembly and testing of these units.</t>
        </is>
      </c>
      <c r="L1875" s="43" t="inlineStr">
        <is>
          <t>FAI Status</t>
        </is>
      </c>
      <c r="M1875" s="43" t="inlineStr">
        <is>
          <t>800-108036-05</t>
        </is>
      </c>
      <c r="N1875" s="43" t="inlineStr"/>
      <c r="O1875" s="43" t="inlineStr">
        <is>
          <t>2026-11-17</t>
        </is>
      </c>
      <c r="P1875" s="33" t="inlineStr">
        <is>
          <t>Exception Process: Temporary Deviation written for a permanent change (To Be Followed by ECO)</t>
        </is>
      </c>
      <c r="Q1875" s="43" t="inlineStr">
        <is>
          <t>No additional part marking required.  The S/N of each system evaluated and tested should be recorded and reported to Cisco</t>
        </is>
      </c>
      <c r="R1875" s="43" t="inlineStr">
        <is>
          <t>2026-08-20</t>
        </is>
      </c>
      <c r="S1875" s="43" t="inlineStr">
        <is>
          <t>2026-09-16</t>
        </is>
      </c>
      <c r="T1875" s="43" t="inlineStr"/>
      <c r="U1875" s="43" t="inlineStr"/>
    </row>
    <row r="1876">
      <c r="A1876" s="43" t="n">
        <v>1876</v>
      </c>
      <c r="B1876" s="43" t="inlineStr">
        <is>
          <t>1875</t>
        </is>
      </c>
      <c r="C1876" s="43" t="inlineStr">
        <is>
          <t>FJZP</t>
        </is>
      </c>
      <c r="D1876" s="43" t="inlineStr">
        <is>
          <t>Cisco</t>
        </is>
      </c>
      <c r="E1876" s="43" t="inlineStr">
        <is>
          <t>MCGA</t>
        </is>
      </c>
      <c r="F1876" s="43" t="inlineStr">
        <is>
          <t>037-STBU</t>
        </is>
      </c>
      <c r="G1876" s="43" t="inlineStr">
        <is>
          <t>CTANJZ05427</t>
        </is>
      </c>
      <c r="H1876" s="43" t="inlineStr">
        <is>
          <t>Exception Process: Temporary Deviation written for a permanent change (To Be Followed by ECO)</t>
        </is>
      </c>
      <c r="I1876" s="43" t="inlineStr">
        <is>
          <t>Customer Deviation</t>
        </is>
      </c>
      <c r="J1876" s="43" t="inlineStr">
        <is>
          <t>D613419</t>
        </is>
      </c>
      <c r="K1876" s="33" t="inlineStr">
        <is>
          <t>D613419 800-50107-02; 5pcs SSD Cage Verification on Tufnell; FPR3K.   We have introduced a second source supplier for the SSD Cable/Tray assembly.  The new Cable is manufactured by Luxshare.   Trend Technologies has provided updated SSD Tray assemblies; 800-50107-02 to FJZ for assembly verification.  The quantity to be tested; and supported by this Deviation is a minimum of 3 assemblies.Trend shall provide 3 ~ 5 Tray assemblies; with the updated Cables from LuxshareFoxconn FJZ will assemble the Tray/Cable assembly under normal manufacturing assembly process.  Same SOP appliesFJZ will conduct all PCBA functional test steps; P2C; 2C; and provide test results on all UUTs applicable under this DeviationFJZ will proceed with DF assembly and normal DF functional tests on these same units.   Provide test results to CiscoAfter assembly; FJZ shall do one of the following; based on material constraints regarding these Tray/Cable Samples;- Disassemble the SSD Tray/Cable samples; and return the TPK systems back to PCBA; where qualified SSD Tray/Cable will be reassembled and units sent back through all functional tests.  Isolate the reworked Trays; return to Trend or Scrap.- Allow the units to ship to Customers.  This is an acceptable option; provided no functional failures were identified during PCBA and DF functional testing.  This decision can be made by Cisco and FJZ team after tests and assembly evaluation is complete.FJZ shall provide the following assembly verification;- Provide top level S/N of the systems assembled- Provide a copy of all test logs created during PCBA and DF on all units tested- Provide any comments regarding the assembly of the Cable to the PCBA and any other visual observations- Document any functional failures identified during this qual build- Contact Aiseosa Omorogieva (aomorogi) &lt;aomorogi@cisco.com&gt;; David Albani (daalbani) &lt;daalbani@cisco.com&gt;; Adrian Liu (adrianli) &lt;adrianli@cisco.com&gt; for any issues during and after assembly and testing of these units.</t>
        </is>
      </c>
      <c r="L1876" s="43" t="inlineStr">
        <is>
          <t>FAI Status</t>
        </is>
      </c>
      <c r="M1876" s="43" t="inlineStr">
        <is>
          <t>800-108037-05</t>
        </is>
      </c>
      <c r="N1876" s="43" t="inlineStr"/>
      <c r="O1876" s="43" t="inlineStr">
        <is>
          <t>2026-11-17</t>
        </is>
      </c>
      <c r="P1876" s="33" t="inlineStr">
        <is>
          <t>Exception Process: Temporary Deviation written for a permanent change (To Be Followed by ECO)</t>
        </is>
      </c>
      <c r="Q1876" s="43" t="inlineStr">
        <is>
          <t>No additional part marking required.  The S/N of each system evaluated and tested should be recorded and reported to Cisco</t>
        </is>
      </c>
      <c r="R1876" s="43" t="inlineStr">
        <is>
          <t>2026-08-20</t>
        </is>
      </c>
      <c r="S1876" s="43" t="inlineStr">
        <is>
          <t>2026-09-16</t>
        </is>
      </c>
      <c r="T1876" s="43" t="inlineStr"/>
      <c r="U1876" s="43" t="inlineStr"/>
    </row>
    <row r="1877">
      <c r="A1877" s="43" t="n">
        <v>1877</v>
      </c>
      <c r="B1877" s="43" t="inlineStr">
        <is>
          <t>1876</t>
        </is>
      </c>
      <c r="C1877" s="43" t="inlineStr">
        <is>
          <t>FJZP</t>
        </is>
      </c>
      <c r="D1877" s="43" t="inlineStr">
        <is>
          <t>Cisco</t>
        </is>
      </c>
      <c r="E1877" s="43" t="inlineStr">
        <is>
          <t>MCGA</t>
        </is>
      </c>
      <c r="F1877" s="43" t="inlineStr">
        <is>
          <t>037-STBU</t>
        </is>
      </c>
      <c r="G1877" s="43" t="inlineStr">
        <is>
          <t>CTANJZ05427</t>
        </is>
      </c>
      <c r="H1877" s="43" t="inlineStr">
        <is>
          <t>Exception Process: Temporary Deviation written for a permanent change (To Be Followed by ECO)</t>
        </is>
      </c>
      <c r="I1877" s="43" t="inlineStr">
        <is>
          <t>Customer Deviation</t>
        </is>
      </c>
      <c r="J1877" s="43" t="inlineStr">
        <is>
          <t>D613419</t>
        </is>
      </c>
      <c r="K1877" s="33" t="inlineStr">
        <is>
          <t>D613419 800-50107-02; 5pcs SSD Cage Verification on Tufnell; FPR3K.   We have introduced a second source supplier for the SSD Cable/Tray assembly.  The new Cable is manufactured by Luxshare.   Trend Technologies has provided updated SSD Tray assemblies; 800-50107-02 to FJZ for assembly verification.  The quantity to be tested; and supported by this Deviation is a minimum of 3 assemblies.Trend shall provide 3 ~ 5 Tray assemblies; with the updated Cables from LuxshareFoxconn FJZ will assemble the Tray/Cable assembly under normal manufacturing assembly process.  Same SOP appliesFJZ will conduct all PCBA functional test steps; P2C; 2C; and provide test results on all UUTs applicable under this DeviationFJZ will proceed with DF assembly and normal DF functional tests on these same units.   Provide test results to CiscoAfter assembly; FJZ shall do one of the following; based on material constraints regarding these Tray/Cable Samples;- Disassemble the SSD Tray/Cable samples; and return the TPK systems back to PCBA; where qualified SSD Tray/Cable will be reassembled and units sent back through all functional tests.  Isolate the reworked Trays; return to Trend or Scrap.- Allow the units to ship to Customers.  This is an acceptable option; provided no functional failures were identified during PCBA and DF functional testing.  This decision can be made by Cisco and FJZ team after tests and assembly evaluation is complete.FJZ shall provide the following assembly verification;- Provide top level S/N of the systems assembled- Provide a copy of all test logs created during PCBA and DF on all units tested- Provide any comments regarding the assembly of the Cable to the PCBA and any other visual observations- Document any functional failures identified during this qual build- Contact Aiseosa Omorogieva (aomorogi) &lt;aomorogi@cisco.com&gt;; David Albani (daalbani) &lt;daalbani@cisco.com&gt;; Adrian Liu (adrianli) &lt;adrianli@cisco.com&gt; for any issues during and after assembly and testing of these units.</t>
        </is>
      </c>
      <c r="L1877" s="43" t="inlineStr">
        <is>
          <t>FAI Status</t>
        </is>
      </c>
      <c r="M1877" s="43" t="inlineStr">
        <is>
          <t>800-108038-05</t>
        </is>
      </c>
      <c r="N1877" s="43" t="inlineStr"/>
      <c r="O1877" s="43" t="inlineStr">
        <is>
          <t>2026-11-17</t>
        </is>
      </c>
      <c r="P1877" s="33" t="inlineStr">
        <is>
          <t>Exception Process: Temporary Deviation written for a permanent change (To Be Followed by ECO)</t>
        </is>
      </c>
      <c r="Q1877" s="43" t="inlineStr">
        <is>
          <t>No additional part marking required.  The S/N of each system evaluated and tested should be recorded and reported to Cisco</t>
        </is>
      </c>
      <c r="R1877" s="43" t="inlineStr">
        <is>
          <t>2026-08-20</t>
        </is>
      </c>
      <c r="S1877" s="43" t="inlineStr">
        <is>
          <t>2026-09-16</t>
        </is>
      </c>
      <c r="T1877" s="43" t="inlineStr"/>
      <c r="U1877" s="43" t="inlineStr"/>
    </row>
    <row r="1878">
      <c r="A1878" s="43" t="n">
        <v>1878</v>
      </c>
      <c r="B1878" s="43" t="inlineStr">
        <is>
          <t>1877</t>
        </is>
      </c>
      <c r="C1878" s="43" t="inlineStr">
        <is>
          <t>FJZP</t>
        </is>
      </c>
      <c r="D1878" s="43" t="inlineStr">
        <is>
          <t>Cisco</t>
        </is>
      </c>
      <c r="E1878" s="43" t="inlineStr">
        <is>
          <t>MCGA</t>
        </is>
      </c>
      <c r="F1878" s="43" t="inlineStr">
        <is>
          <t>037-STBU</t>
        </is>
      </c>
      <c r="G1878" s="43" t="inlineStr">
        <is>
          <t>CTANJZ05427</t>
        </is>
      </c>
      <c r="H1878" s="43" t="inlineStr">
        <is>
          <t>Exception Process: Temporary Deviation written for a permanent change (To Be Followed by ECO)</t>
        </is>
      </c>
      <c r="I1878" s="43" t="inlineStr">
        <is>
          <t>Customer Deviation</t>
        </is>
      </c>
      <c r="J1878" s="43" t="inlineStr">
        <is>
          <t>D613419</t>
        </is>
      </c>
      <c r="K1878" s="33" t="inlineStr">
        <is>
          <t>D613419 800-50107-02; 5pcs SSD Cage Verification on Tufnell; FPR3K.   We have introduced a second source supplier for the SSD Cable/Tray assembly.  The new Cable is manufactured by Luxshare.   Trend Technologies has provided updated SSD Tray assemblies; 800-50107-02 to FJZ for assembly verification.  The quantity to be tested; and supported by this Deviation is a minimum of 3 assemblies.Trend shall provide 3 ~ 5 Tray assemblies; with the updated Cables from LuxshareFoxconn FJZ will assemble the Tray/Cable assembly under normal manufacturing assembly process.  Same SOP appliesFJZ will conduct all PCBA functional test steps; P2C; 2C; and provide test results on all UUTs applicable under this DeviationFJZ will proceed with DF assembly and normal DF functional tests on these same units.   Provide test results to CiscoAfter assembly; FJZ shall do one of the following; based on material constraints regarding these Tray/Cable Samples;- Disassemble the SSD Tray/Cable samples; and return the TPK systems back to PCBA; where qualified SSD Tray/Cable will be reassembled and units sent back through all functional tests.  Isolate the reworked Trays; return to Trend or Scrap.- Allow the units to ship to Customers.  This is an acceptable option; provided no functional failures were identified during PCBA and DF functional testing.  This decision can be made by Cisco and FJZ team after tests and assembly evaluation is complete.FJZ shall provide the following assembly verification;- Provide top level S/N of the systems assembled- Provide a copy of all test logs created during PCBA and DF on all units tested- Provide any comments regarding the assembly of the Cable to the PCBA and any other visual observations- Document any functional failures identified during this qual build- Contact Aiseosa Omorogieva (aomorogi) &lt;aomorogi@cisco.com&gt;; David Albani (daalbani) &lt;daalbani@cisco.com&gt;; Adrian Liu (adrianli) &lt;adrianli@cisco.com&gt; for any issues during and after assembly and testing of these units.</t>
        </is>
      </c>
      <c r="L1878" s="43" t="inlineStr">
        <is>
          <t>FAI Status</t>
        </is>
      </c>
      <c r="M1878" s="43" t="inlineStr">
        <is>
          <t>800-110666-02</t>
        </is>
      </c>
      <c r="N1878" s="43" t="inlineStr"/>
      <c r="O1878" s="43" t="inlineStr">
        <is>
          <t>2026-11-17</t>
        </is>
      </c>
      <c r="P1878" s="33" t="inlineStr">
        <is>
          <t>Exception Process: Temporary Deviation written for a permanent change (To Be Followed by ECO)</t>
        </is>
      </c>
      <c r="Q1878" s="43" t="inlineStr">
        <is>
          <t>No additional part marking required.  The S/N of each system evaluated and tested should be recorded and reported to Cisco</t>
        </is>
      </c>
      <c r="R1878" s="43" t="inlineStr">
        <is>
          <t>2026-08-20</t>
        </is>
      </c>
      <c r="S1878" s="43" t="inlineStr">
        <is>
          <t>2026-09-16</t>
        </is>
      </c>
      <c r="T1878" s="43" t="inlineStr"/>
      <c r="U1878" s="43" t="inlineStr"/>
    </row>
    <row r="1879">
      <c r="A1879" s="43" t="n">
        <v>1879</v>
      </c>
      <c r="B1879" s="43" t="inlineStr">
        <is>
          <t>1878</t>
        </is>
      </c>
      <c r="C1879" s="43" t="inlineStr">
        <is>
          <t>FJZP</t>
        </is>
      </c>
      <c r="D1879" s="43" t="inlineStr">
        <is>
          <t>Cisco</t>
        </is>
      </c>
      <c r="E1879" s="43" t="inlineStr">
        <is>
          <t>MCGA</t>
        </is>
      </c>
      <c r="F1879" s="43" t="inlineStr">
        <is>
          <t>037-STBU</t>
        </is>
      </c>
      <c r="G1879" s="43" t="inlineStr">
        <is>
          <t>CTANJZ05427</t>
        </is>
      </c>
      <c r="H1879" s="43" t="inlineStr">
        <is>
          <t>Exception Process: Temporary Deviation written for a permanent change (To Be Followed by ECO)</t>
        </is>
      </c>
      <c r="I1879" s="43" t="inlineStr">
        <is>
          <t>Customer Deviation</t>
        </is>
      </c>
      <c r="J1879" s="43" t="inlineStr">
        <is>
          <t>D613419</t>
        </is>
      </c>
      <c r="K1879" s="33" t="inlineStr">
        <is>
          <t>D613419 800-50107-02; 5pcs SSD Cage Verification on Tufnell; FPR3K.   We have introduced a second source supplier for the SSD Cable/Tray assembly.  The new Cable is manufactured by Luxshare.   Trend Technologies has provided updated SSD Tray assemblies; 800-50107-02 to FJZ for assembly verification.  The quantity to be tested; and supported by this Deviation is a minimum of 3 assemblies.Trend shall provide 3 ~ 5 Tray assemblies; with the updated Cables from LuxshareFoxconn FJZ will assemble the Tray/Cable assembly under normal manufacturing assembly process.  Same SOP appliesFJZ will conduct all PCBA functional test steps; P2C; 2C; and provide test results on all UUTs applicable under this DeviationFJZ will proceed with DF assembly and normal DF functional tests on these same units.   Provide test results to CiscoAfter assembly; FJZ shall do one of the following; based on material constraints regarding these Tray/Cable Samples;- Disassemble the SSD Tray/Cable samples; and return the TPK systems back to PCBA; where qualified SSD Tray/Cable will be reassembled and units sent back through all functional tests.  Isolate the reworked Trays; return to Trend or Scrap.- Allow the units to ship to Customers.  This is an acceptable option; provided no functional failures were identified during PCBA and DF functional testing.  This decision can be made by Cisco and FJZ team after tests and assembly evaluation is complete.FJZ shall provide the following assembly verification;- Provide top level S/N of the systems assembled- Provide a copy of all test logs created during PCBA and DF on all units tested- Provide any comments regarding the assembly of the Cable to the PCBA and any other visual observations- Document any functional failures identified during this qual build- Contact Aiseosa Omorogieva (aomorogi) &lt;aomorogi@cisco.com&gt;; David Albani (daalbani) &lt;daalbani@cisco.com&gt;; Adrian Liu (adrianli) &lt;adrianli@cisco.com&gt; for any issues during and after assembly and testing of these units.</t>
        </is>
      </c>
      <c r="L1879" s="43" t="inlineStr">
        <is>
          <t>FAI Status</t>
        </is>
      </c>
      <c r="M1879" s="43" t="inlineStr">
        <is>
          <t>800-50107-02</t>
        </is>
      </c>
      <c r="N1879" s="43" t="inlineStr"/>
      <c r="O1879" s="43" t="inlineStr">
        <is>
          <t>2026-11-17</t>
        </is>
      </c>
      <c r="P1879" s="33" t="inlineStr">
        <is>
          <t>Exception Process: Temporary Deviation written for a permanent change (To Be Followed by ECO)</t>
        </is>
      </c>
      <c r="Q1879" s="43" t="inlineStr">
        <is>
          <t>No additional part marking required.  The S/N of each system evaluated and tested should be recorded and reported to Cisco</t>
        </is>
      </c>
      <c r="R1879" s="43" t="inlineStr">
        <is>
          <t>2026-08-20</t>
        </is>
      </c>
      <c r="S1879" s="43" t="inlineStr">
        <is>
          <t>2026-09-16</t>
        </is>
      </c>
      <c r="T1879" s="43" t="inlineStr"/>
      <c r="U1879" s="43" t="inlineStr"/>
    </row>
    <row r="1880">
      <c r="A1880" s="43" t="n">
        <v>1880</v>
      </c>
      <c r="B1880" s="43" t="inlineStr">
        <is>
          <t>1879</t>
        </is>
      </c>
      <c r="C1880" s="43" t="inlineStr">
        <is>
          <t>FJZP</t>
        </is>
      </c>
      <c r="D1880" s="43" t="inlineStr">
        <is>
          <t>Cisco</t>
        </is>
      </c>
      <c r="E1880" s="43" t="inlineStr">
        <is>
          <t>MCGA</t>
        </is>
      </c>
      <c r="F1880" s="43" t="inlineStr">
        <is>
          <t>037-STBU</t>
        </is>
      </c>
      <c r="G1880" s="43" t="inlineStr">
        <is>
          <t>CTANJZ05514</t>
        </is>
      </c>
      <c r="H1880" s="43" t="inlineStr">
        <is>
          <t>Exception Process: Temporary Deviation written for a permanent change (To Be Followed by ECO)</t>
        </is>
      </c>
      <c r="I1880" s="43" t="inlineStr">
        <is>
          <t>Customer Deviation</t>
        </is>
      </c>
      <c r="J1880" s="43" t="inlineStr">
        <is>
          <t>D613278</t>
        </is>
      </c>
      <c r="K1880" s="33" t="inlineStr">
        <is>
          <t>D613278 Please see PageThree for details</t>
        </is>
      </c>
      <c r="L1880" s="43" t="inlineStr">
        <is>
          <t>CCB</t>
        </is>
      </c>
      <c r="M1880" s="43" t="inlineStr">
        <is>
          <t>17-102040-06</t>
        </is>
      </c>
      <c r="N1880" s="43" t="inlineStr"/>
      <c r="O1880" s="43" t="inlineStr">
        <is>
          <t>2027-01-03</t>
        </is>
      </c>
      <c r="P1880" s="33" t="inlineStr">
        <is>
          <t>Exception Process: Temporary Deviation written for a permanent change (To Be Followed by ECO)</t>
        </is>
      </c>
      <c r="Q1880" s="43" t="inlineStr">
        <is>
          <t>Apply Deviation Label on the bottom outside surface of the Chassis; in close position with the 73- part number and S/N Label</t>
        </is>
      </c>
      <c r="R1880" s="43" t="inlineStr">
        <is>
          <t>2026-10-06</t>
        </is>
      </c>
      <c r="S1880" s="43" t="inlineStr"/>
      <c r="T1880" s="43" t="inlineStr"/>
      <c r="U1880" s="43" t="inlineStr"/>
    </row>
    <row r="1881">
      <c r="A1881" s="43" t="n">
        <v>1881</v>
      </c>
      <c r="B1881" s="43" t="inlineStr">
        <is>
          <t>1880</t>
        </is>
      </c>
      <c r="C1881" s="43" t="inlineStr">
        <is>
          <t>FJZP</t>
        </is>
      </c>
      <c r="D1881" s="43" t="inlineStr">
        <is>
          <t>Cisco</t>
        </is>
      </c>
      <c r="E1881" s="43" t="inlineStr">
        <is>
          <t>MCGA</t>
        </is>
      </c>
      <c r="F1881" s="43" t="inlineStr">
        <is>
          <t>037-STBU</t>
        </is>
      </c>
      <c r="G1881" s="43" t="inlineStr">
        <is>
          <t>CTANJZ05514</t>
        </is>
      </c>
      <c r="H1881" s="43" t="inlineStr">
        <is>
          <t>Exception Process: Temporary Deviation written for a permanent change (To Be Followed by ECO)</t>
        </is>
      </c>
      <c r="I1881" s="43" t="inlineStr">
        <is>
          <t>Customer Deviation</t>
        </is>
      </c>
      <c r="J1881" s="43" t="inlineStr">
        <is>
          <t>D613278</t>
        </is>
      </c>
      <c r="K1881" s="33" t="inlineStr">
        <is>
          <t>D613278 Please see PageThree for details</t>
        </is>
      </c>
      <c r="L1881" s="43" t="inlineStr">
        <is>
          <t>CCB</t>
        </is>
      </c>
      <c r="M1881" s="43" t="inlineStr">
        <is>
          <t>73-20247-06</t>
        </is>
      </c>
      <c r="N1881" s="43" t="inlineStr"/>
      <c r="O1881" s="43" t="inlineStr">
        <is>
          <t>2027-01-03</t>
        </is>
      </c>
      <c r="P1881" s="33" t="inlineStr">
        <is>
          <t>Exception Process: Temporary Deviation written for a permanent change (To Be Followed by ECO)</t>
        </is>
      </c>
      <c r="Q1881" s="43" t="inlineStr">
        <is>
          <t>Apply Deviation Label on the bottom outside surface of the Chassis; in close position with the 73- part number and S/N Label</t>
        </is>
      </c>
      <c r="R1881" s="43" t="inlineStr">
        <is>
          <t>2026-10-06</t>
        </is>
      </c>
      <c r="S1881" s="43" t="inlineStr"/>
      <c r="T1881" s="43" t="inlineStr"/>
      <c r="U1881" s="43" t="inlineStr"/>
    </row>
    <row r="1882">
      <c r="A1882" s="43" t="n">
        <v>1882</v>
      </c>
      <c r="B1882" s="43" t="inlineStr">
        <is>
          <t>1881</t>
        </is>
      </c>
      <c r="C1882" s="43" t="inlineStr">
        <is>
          <t>FJZP</t>
        </is>
      </c>
      <c r="D1882" s="43" t="inlineStr">
        <is>
          <t>Cisco</t>
        </is>
      </c>
      <c r="E1882" s="43" t="inlineStr">
        <is>
          <t>MCGA</t>
        </is>
      </c>
      <c r="F1882" s="43" t="inlineStr">
        <is>
          <t>037-STBU</t>
        </is>
      </c>
      <c r="G1882" s="43" t="inlineStr">
        <is>
          <t>CTANJZ05514</t>
        </is>
      </c>
      <c r="H1882" s="43" t="inlineStr">
        <is>
          <t>Exception Process: Temporary Deviation written for a permanent change (To Be Followed by ECO)</t>
        </is>
      </c>
      <c r="I1882" s="43" t="inlineStr">
        <is>
          <t>Customer Deviation</t>
        </is>
      </c>
      <c r="J1882" s="43" t="inlineStr">
        <is>
          <t>D613278</t>
        </is>
      </c>
      <c r="K1882" s="33" t="inlineStr">
        <is>
          <t>D613278 Please see PageThree for details</t>
        </is>
      </c>
      <c r="L1882" s="43" t="inlineStr">
        <is>
          <t>CCB</t>
        </is>
      </c>
      <c r="M1882" s="43" t="inlineStr">
        <is>
          <t>73-20249-06</t>
        </is>
      </c>
      <c r="N1882" s="43" t="inlineStr"/>
      <c r="O1882" s="43" t="inlineStr">
        <is>
          <t>2027-01-03</t>
        </is>
      </c>
      <c r="P1882" s="33" t="inlineStr">
        <is>
          <t>Exception Process: Temporary Deviation written for a permanent change (To Be Followed by ECO)</t>
        </is>
      </c>
      <c r="Q1882" s="43" t="inlineStr">
        <is>
          <t>Apply Deviation Label on the bottom outside surface of the Chassis; in close position with the 73- part number and S/N Label</t>
        </is>
      </c>
      <c r="R1882" s="43" t="inlineStr">
        <is>
          <t>2026-10-06</t>
        </is>
      </c>
      <c r="S1882" s="43" t="inlineStr"/>
      <c r="T1882" s="43" t="inlineStr"/>
      <c r="U1882" s="43" t="inlineStr"/>
    </row>
    <row r="1883">
      <c r="A1883" s="43" t="n">
        <v>1883</v>
      </c>
      <c r="B1883" s="43" t="inlineStr">
        <is>
          <t>1882</t>
        </is>
      </c>
      <c r="C1883" s="43" t="inlineStr">
        <is>
          <t>FJZP</t>
        </is>
      </c>
      <c r="D1883" s="43" t="inlineStr">
        <is>
          <t>Cisco</t>
        </is>
      </c>
      <c r="E1883" s="43" t="inlineStr">
        <is>
          <t>MCGA</t>
        </is>
      </c>
      <c r="F1883" s="43" t="inlineStr">
        <is>
          <t>035-CVEBU</t>
        </is>
      </c>
      <c r="G1883" s="43" t="inlineStr">
        <is>
          <t>CTANJZ05210</t>
        </is>
      </c>
      <c r="H1883" s="43" t="inlineStr">
        <is>
          <t>New Release</t>
        </is>
      </c>
      <c r="I1883" s="43" t="inlineStr">
        <is>
          <t>Customer Deviation</t>
        </is>
      </c>
      <c r="J1883" s="43" t="inlineStr">
        <is>
          <t>DP526044</t>
        </is>
      </c>
      <c r="K1883" s="33" t="inlineStr">
        <is>
          <t>DP526044 CVEBU; Vasco. Allow Foxconn MPN mismatch with PCB CPN 28-103757-02  15-APR 2026.  Tripod has shipped wrong material code: 28-103757-02_S105_M202 In Agile: 28-103757-02_S105_M604 It is ok to use these boards in Vasco Wall mount builds at FJZ.  Assembly: 73-104175-02. VASCO WM INTERFACE BOARD Contact Cisco: Jarle Aasland; Contact FJZ:</t>
        </is>
      </c>
      <c r="L1883" s="43" t="inlineStr">
        <is>
          <t>Expired</t>
        </is>
      </c>
      <c r="M1883" s="43" t="inlineStr">
        <is>
          <t>28-103757-02</t>
        </is>
      </c>
      <c r="N1883" s="43" t="inlineStr"/>
      <c r="O1883" s="43" t="inlineStr">
        <is>
          <t>2026-06-14</t>
        </is>
      </c>
      <c r="P1883" s="33" t="inlineStr"/>
      <c r="Q1883" s="43" t="inlineStr">
        <is>
          <t>NA</t>
        </is>
      </c>
      <c r="R1883" s="43" t="inlineStr">
        <is>
          <t>2026-04-16</t>
        </is>
      </c>
      <c r="S1883" s="43" t="inlineStr"/>
      <c r="T1883" s="43" t="inlineStr"/>
      <c r="U1883" s="43" t="inlineStr"/>
    </row>
    <row r="1884">
      <c r="A1884" s="43" t="n">
        <v>1884</v>
      </c>
      <c r="B1884" s="43" t="inlineStr">
        <is>
          <t>1883</t>
        </is>
      </c>
      <c r="C1884" s="43" t="inlineStr">
        <is>
          <t>FJZP</t>
        </is>
      </c>
      <c r="D1884" s="43" t="inlineStr">
        <is>
          <t>Cisco</t>
        </is>
      </c>
      <c r="E1884" s="43" t="inlineStr">
        <is>
          <t>MCGA</t>
        </is>
      </c>
      <c r="F1884" s="43" t="inlineStr">
        <is>
          <t>035-CVEBU</t>
        </is>
      </c>
      <c r="G1884" s="43" t="inlineStr">
        <is>
          <t>CTANJZ05210</t>
        </is>
      </c>
      <c r="H1884" s="43" t="inlineStr">
        <is>
          <t>New Release</t>
        </is>
      </c>
      <c r="I1884" s="43" t="inlineStr">
        <is>
          <t>Customer Deviation</t>
        </is>
      </c>
      <c r="J1884" s="43" t="inlineStr">
        <is>
          <t>DP526044</t>
        </is>
      </c>
      <c r="K1884" s="33" t="inlineStr">
        <is>
          <t>DP526044 CVEBU; Vasco. Allow Foxconn MPN mismatch with PCB CPN 28-103757-02  15-APR 2026.  Tripod has shipped wrong material code: 28-103757-02_S105_M202 In Agile: 28-103757-02_S105_M604 It is ok to use these boards in Vasco Wall mount builds at FJZ.  Assembly: 73-104175-02. VASCO WM INTERFACE BOARD Contact Cisco: Jarle Aasland; Contact FJZ:</t>
        </is>
      </c>
      <c r="L1884" s="43" t="inlineStr">
        <is>
          <t>Expired</t>
        </is>
      </c>
      <c r="M1884" s="43" t="inlineStr">
        <is>
          <t>73-104175-02</t>
        </is>
      </c>
      <c r="N1884" s="43" t="inlineStr"/>
      <c r="O1884" s="43" t="inlineStr">
        <is>
          <t>2026-06-14</t>
        </is>
      </c>
      <c r="P1884" s="33" t="inlineStr"/>
      <c r="Q1884" s="43" t="inlineStr">
        <is>
          <t>NA</t>
        </is>
      </c>
      <c r="R1884" s="43" t="inlineStr">
        <is>
          <t>2026-04-16</t>
        </is>
      </c>
      <c r="S1884" s="43" t="inlineStr"/>
      <c r="T1884" s="43" t="inlineStr"/>
      <c r="U1884" s="43" t="inlineStr"/>
    </row>
    <row r="1885">
      <c r="A1885" s="43" t="n">
        <v>1885</v>
      </c>
      <c r="B1885" s="43" t="inlineStr">
        <is>
          <t>1884</t>
        </is>
      </c>
      <c r="C1885" s="43" t="inlineStr">
        <is>
          <t>FJZP</t>
        </is>
      </c>
      <c r="D1885" s="43" t="inlineStr">
        <is>
          <t>Cisco</t>
        </is>
      </c>
      <c r="E1885" s="43" t="inlineStr">
        <is>
          <t>MCGA</t>
        </is>
      </c>
      <c r="F1885" s="43" t="inlineStr">
        <is>
          <t>035-CVEBU</t>
        </is>
      </c>
      <c r="G1885" s="43" t="inlineStr">
        <is>
          <t>CTANJZ05318</t>
        </is>
      </c>
      <c r="H1885" s="43" t="inlineStr">
        <is>
          <t>Risk Buy Authorization Only ¡V No Build/Shipment Allowed (Sustaining Only)</t>
        </is>
      </c>
      <c r="I1885" s="43" t="inlineStr">
        <is>
          <t>Customer Deviation</t>
        </is>
      </c>
      <c r="J1885" s="43" t="inlineStr">
        <is>
          <t>D611340</t>
        </is>
      </c>
      <c r="K1885" s="33" t="inlineStr">
        <is>
          <t>D611340CVEBU; Vecchio; NDAA Risk Buy InstructionThis deviation instruct FJZ and FVN to place risk buy POs according to below instruction.Affected items28-103876-09; PCBFAB;8L;High Temp FR4;OSP;41.3MIL;Vecchio Main Board; NDAA (28-101964-09)  28-103877-03; PCBFAB;4 L;Polyimide; 31.5MIL; Vecchio Sensor Rigid Flex; NDAA (28-102113-03)  28-103878-02; PCBFAB;4 L;High Temp FR4; OSP; 39.4MIL; Vecchio Wall Mount Board; NDAA (28-101990-02)  43-100393-01; DISPLAY WITH TOUCH;10.1in;10.1in TOUCH SIZE;1200x1920;LED;GRAPHICS;In-Cell;Multi-touch;NDAAFJZ is hereby instructed to place PO for following:- 1800 pieces of 28-103876-09/28-101964-09_S602_M202FVN is hereby instructed to place PO for following:- 3000 pieces of 28-103877-03/28-102113-03_S803_MA02- 4150 pieces of 28-103878-02/28-101990-02_S802_M604- 4000 pieces of 43-100393-01/GV101WUM-LS0-3SP2Comments- Vecchio NDAA TANs will follow U-Turn strategy; hence Main Board will be made at FJZ; while unit assembly will take place at FVN before final SW loading and rating label is applied at FJZ again.- Below NDAA TANs are about to be released to A0 shortly and connection to PID with forecast will be done as soon as possible thereafter   - 68-105251-05; ASY-ELMECH; Vecchio Table Stand; First Light; Made in Mexico; NDAA     - 68-105252-05; ASY-ELMECH; Vecchio Wall Mount; First Light; Made in Mexico; NDAACisco Contact: Annette Farrell and Christian Kjoelseth</t>
        </is>
      </c>
      <c r="L1885" s="43" t="inlineStr">
        <is>
          <t>Expired</t>
        </is>
      </c>
      <c r="M1885" s="43" t="inlineStr">
        <is>
          <t>28-103876-09</t>
        </is>
      </c>
      <c r="N1885" s="43" t="inlineStr"/>
      <c r="O1885" s="43" t="inlineStr">
        <is>
          <t>2026-08-16</t>
        </is>
      </c>
      <c r="P1885" s="33" t="inlineStr"/>
      <c r="Q1885" s="43" t="inlineStr">
        <is>
          <t>N/A</t>
        </is>
      </c>
      <c r="R1885" s="43" t="inlineStr">
        <is>
          <t>2026-06-26</t>
        </is>
      </c>
      <c r="S1885" s="43" t="inlineStr">
        <is>
          <t>2026-07-02</t>
        </is>
      </c>
      <c r="T1885" s="43" t="inlineStr"/>
      <c r="U1885" s="43" t="inlineStr"/>
    </row>
    <row r="1886">
      <c r="A1886" s="43" t="n">
        <v>1886</v>
      </c>
      <c r="B1886" s="43" t="inlineStr">
        <is>
          <t>1885</t>
        </is>
      </c>
      <c r="C1886" s="43" t="inlineStr">
        <is>
          <t>FJZP</t>
        </is>
      </c>
      <c r="D1886" s="43" t="inlineStr">
        <is>
          <t>Cisco</t>
        </is>
      </c>
      <c r="E1886" s="43" t="inlineStr">
        <is>
          <t>MCGA</t>
        </is>
      </c>
      <c r="F1886" s="43" t="inlineStr">
        <is>
          <t>035-CVEBU</t>
        </is>
      </c>
      <c r="G1886" s="43" t="inlineStr">
        <is>
          <t>CTANJZ05318</t>
        </is>
      </c>
      <c r="H1886" s="43" t="inlineStr">
        <is>
          <t>Risk Buy Authorization Only ¡V No Build/Shipment Allowed (Sustaining Only)</t>
        </is>
      </c>
      <c r="I1886" s="43" t="inlineStr">
        <is>
          <t>Customer Deviation</t>
        </is>
      </c>
      <c r="J1886" s="43" t="inlineStr">
        <is>
          <t>D611340</t>
        </is>
      </c>
      <c r="K1886" s="33" t="inlineStr">
        <is>
          <t>D611340CVEBU; Vecchio; NDAA Risk Buy InstructionThis deviation instruct FJZ and FVN to place risk buy POs according to below instruction.Affected items28-103876-09; PCBFAB;8L;High Temp FR4;OSP;41.3MIL;Vecchio Main Board; NDAA (28-101964-09)  28-103877-03; PCBFAB;4 L;Polyimide; 31.5MIL; Vecchio Sensor Rigid Flex; NDAA (28-102113-03)  28-103878-02; PCBFAB;4 L;High Temp FR4; OSP; 39.4MIL; Vecchio Wall Mount Board; NDAA (28-101990-02)  43-100393-01; DISPLAY WITH TOUCH;10.1in;10.1in TOUCH SIZE;1200x1920;LED;GRAPHICS;In-Cell;Multi-touch;NDAAFJZ is hereby instructed to place PO for following:- 1800 pieces of 28-103876-09/28-101964-09_S602_M202FVN is hereby instructed to place PO for following:- 3000 pieces of 28-103877-03/28-102113-03_S803_MA02- 4150 pieces of 28-103878-02/28-101990-02_S802_M604- 4000 pieces of 43-100393-01/GV101WUM-LS0-3SP2Comments- Vecchio NDAA TANs will follow U-Turn strategy; hence Main Board will be made at FJZ; while unit assembly will take place at FVN before final SW loading and rating label is applied at FJZ again.- Below NDAA TANs are about to be released to A0 shortly and connection to PID with forecast will be done as soon as possible thereafter   - 68-105251-05; ASY-ELMECH; Vecchio Table Stand; First Light; Made in Mexico; NDAA     - 68-105252-05; ASY-ELMECH; Vecchio Wall Mount; First Light; Made in Mexico; NDAACisco Contact: Annette Farrell and Christian Kjoelseth</t>
        </is>
      </c>
      <c r="L1886" s="43" t="inlineStr">
        <is>
          <t>Expired</t>
        </is>
      </c>
      <c r="M1886" s="43" t="inlineStr">
        <is>
          <t>28-103877-03</t>
        </is>
      </c>
      <c r="N1886" s="43" t="inlineStr"/>
      <c r="O1886" s="43" t="inlineStr">
        <is>
          <t>2026-08-16</t>
        </is>
      </c>
      <c r="P1886" s="33" t="inlineStr"/>
      <c r="Q1886" s="43" t="inlineStr">
        <is>
          <t>N/A</t>
        </is>
      </c>
      <c r="R1886" s="43" t="inlineStr">
        <is>
          <t>2026-06-26</t>
        </is>
      </c>
      <c r="S1886" s="43" t="inlineStr">
        <is>
          <t>2026-07-02</t>
        </is>
      </c>
      <c r="T1886" s="43" t="inlineStr"/>
      <c r="U1886" s="43" t="inlineStr"/>
    </row>
    <row r="1887">
      <c r="A1887" s="43" t="n">
        <v>1887</v>
      </c>
      <c r="B1887" s="43" t="inlineStr">
        <is>
          <t>1886</t>
        </is>
      </c>
      <c r="C1887" s="43" t="inlineStr">
        <is>
          <t>FJZP</t>
        </is>
      </c>
      <c r="D1887" s="43" t="inlineStr">
        <is>
          <t>Cisco</t>
        </is>
      </c>
      <c r="E1887" s="43" t="inlineStr">
        <is>
          <t>MCGA</t>
        </is>
      </c>
      <c r="F1887" s="43" t="inlineStr">
        <is>
          <t>037-STBU</t>
        </is>
      </c>
      <c r="G1887" s="43" t="inlineStr">
        <is>
          <t>CTANJZ05501</t>
        </is>
      </c>
      <c r="H1887" s="43" t="inlineStr">
        <is>
          <t>New Release</t>
        </is>
      </c>
      <c r="I1887" s="43" t="inlineStr">
        <is>
          <t>Customer Deviation</t>
        </is>
      </c>
      <c r="J1887" s="43" t="inlineStr">
        <is>
          <t>DP526639</t>
        </is>
      </c>
      <c r="K1887" s="33" t="inlineStr">
        <is>
          <t>DP526639 NGFWBU: GREENFORD/WARWICK AVENUE - Changes needed to support P2 build at FJZ</t>
        </is>
      </c>
      <c r="L1887" s="43" t="inlineStr">
        <is>
          <t>CCB</t>
        </is>
      </c>
      <c r="M1887" s="43" t="inlineStr">
        <is>
          <t>28-102311-05</t>
        </is>
      </c>
      <c r="N1887" s="43" t="inlineStr"/>
      <c r="O1887" s="43" t="inlineStr">
        <is>
          <t>2026-11-20</t>
        </is>
      </c>
      <c r="P1887" s="33" t="inlineStr"/>
      <c r="Q1887" s="43" t="inlineStr">
        <is>
          <t>No marking required</t>
        </is>
      </c>
      <c r="R1887" s="43" t="inlineStr">
        <is>
          <t>2026-09-22</t>
        </is>
      </c>
      <c r="S1887" s="43" t="inlineStr"/>
      <c r="T1887" s="43" t="inlineStr"/>
      <c r="U1887" s="43" t="inlineStr"/>
    </row>
    <row r="1888">
      <c r="A1888" s="43" t="n">
        <v>1888</v>
      </c>
      <c r="B1888" s="43" t="inlineStr">
        <is>
          <t>1887</t>
        </is>
      </c>
      <c r="C1888" s="43" t="inlineStr">
        <is>
          <t>FJZP</t>
        </is>
      </c>
      <c r="D1888" s="43" t="inlineStr">
        <is>
          <t>Cisco</t>
        </is>
      </c>
      <c r="E1888" s="43" t="inlineStr">
        <is>
          <t>MCGA</t>
        </is>
      </c>
      <c r="F1888" s="43" t="inlineStr">
        <is>
          <t>037-STBU</t>
        </is>
      </c>
      <c r="G1888" s="43" t="inlineStr">
        <is>
          <t>CTANJZ05501</t>
        </is>
      </c>
      <c r="H1888" s="43" t="inlineStr">
        <is>
          <t>New Release</t>
        </is>
      </c>
      <c r="I1888" s="43" t="inlineStr">
        <is>
          <t>Customer Deviation</t>
        </is>
      </c>
      <c r="J1888" s="43" t="inlineStr">
        <is>
          <t>DP526639</t>
        </is>
      </c>
      <c r="K1888" s="33" t="inlineStr">
        <is>
          <t>DP526639 NGFWBU: GREENFORD/WARWICK AVENUE - Changes needed to support P2 build at FJZ</t>
        </is>
      </c>
      <c r="L1888" s="43" t="inlineStr">
        <is>
          <t>CCB</t>
        </is>
      </c>
      <c r="M1888" s="43" t="inlineStr">
        <is>
          <t>73-104531-01</t>
        </is>
      </c>
      <c r="N1888" s="43" t="inlineStr"/>
      <c r="O1888" s="43" t="inlineStr">
        <is>
          <t>2026-11-20</t>
        </is>
      </c>
      <c r="P1888" s="33" t="inlineStr"/>
      <c r="Q1888" s="43" t="inlineStr">
        <is>
          <t>No marking required</t>
        </is>
      </c>
      <c r="R1888" s="43" t="inlineStr">
        <is>
          <t>2026-09-22</t>
        </is>
      </c>
      <c r="S1888" s="43" t="inlineStr"/>
      <c r="T1888" s="43" t="inlineStr"/>
      <c r="U1888" s="43" t="inlineStr"/>
    </row>
    <row r="1889">
      <c r="A1889" s="43" t="n">
        <v>1889</v>
      </c>
      <c r="B1889" s="43" t="inlineStr">
        <is>
          <t>1888</t>
        </is>
      </c>
      <c r="C1889" s="43" t="inlineStr">
        <is>
          <t>FJZP</t>
        </is>
      </c>
      <c r="D1889" s="43" t="inlineStr">
        <is>
          <t>Cisco</t>
        </is>
      </c>
      <c r="E1889" s="43" t="inlineStr">
        <is>
          <t>MCGA</t>
        </is>
      </c>
      <c r="F1889" s="43" t="inlineStr">
        <is>
          <t>037-STBU</t>
        </is>
      </c>
      <c r="G1889" s="43" t="inlineStr">
        <is>
          <t>CTANJZ05501</t>
        </is>
      </c>
      <c r="H1889" s="43" t="inlineStr">
        <is>
          <t>New Release</t>
        </is>
      </c>
      <c r="I1889" s="43" t="inlineStr">
        <is>
          <t>Customer Deviation</t>
        </is>
      </c>
      <c r="J1889" s="43" t="inlineStr">
        <is>
          <t>DP526639</t>
        </is>
      </c>
      <c r="K1889" s="33" t="inlineStr">
        <is>
          <t>DP526639 NGFWBU: GREENFORD/WARWICK AVENUE - Changes needed to support P2 build at FJZ</t>
        </is>
      </c>
      <c r="L1889" s="43" t="inlineStr">
        <is>
          <t>CCB</t>
        </is>
      </c>
      <c r="M1889" s="43" t="inlineStr">
        <is>
          <t>73-104532-01</t>
        </is>
      </c>
      <c r="N1889" s="43" t="inlineStr"/>
      <c r="O1889" s="43" t="inlineStr">
        <is>
          <t>2026-11-20</t>
        </is>
      </c>
      <c r="P1889" s="33" t="inlineStr"/>
      <c r="Q1889" s="43" t="inlineStr">
        <is>
          <t>No marking required</t>
        </is>
      </c>
      <c r="R1889" s="43" t="inlineStr">
        <is>
          <t>2026-09-22</t>
        </is>
      </c>
      <c r="S1889" s="43" t="inlineStr"/>
      <c r="T1889" s="43" t="inlineStr"/>
      <c r="U1889" s="43" t="inlineStr"/>
    </row>
    <row r="1890">
      <c r="A1890" s="43" t="n">
        <v>1890</v>
      </c>
      <c r="B1890" s="43" t="inlineStr">
        <is>
          <t>1889</t>
        </is>
      </c>
      <c r="C1890" s="43" t="inlineStr">
        <is>
          <t>FJZP</t>
        </is>
      </c>
      <c r="D1890" s="43" t="inlineStr">
        <is>
          <t>Cisco</t>
        </is>
      </c>
      <c r="E1890" s="43" t="inlineStr">
        <is>
          <t>MCGA</t>
        </is>
      </c>
      <c r="F1890" s="43" t="inlineStr">
        <is>
          <t>037-STBU</t>
        </is>
      </c>
      <c r="G1890" s="43" t="inlineStr">
        <is>
          <t>CTANJZ05501</t>
        </is>
      </c>
      <c r="H1890" s="43" t="inlineStr">
        <is>
          <t>New Release</t>
        </is>
      </c>
      <c r="I1890" s="43" t="inlineStr">
        <is>
          <t>Customer Deviation</t>
        </is>
      </c>
      <c r="J1890" s="43" t="inlineStr">
        <is>
          <t>DP526639</t>
        </is>
      </c>
      <c r="K1890" s="33" t="inlineStr">
        <is>
          <t>DP526639 NGFWBU: GREENFORD/WARWICK AVENUE - Changes needed to support P2 build at FJZ</t>
        </is>
      </c>
      <c r="L1890" s="43" t="inlineStr">
        <is>
          <t>CCB</t>
        </is>
      </c>
      <c r="M1890" s="43" t="inlineStr">
        <is>
          <t>73-104533-01</t>
        </is>
      </c>
      <c r="N1890" s="43" t="inlineStr"/>
      <c r="O1890" s="43" t="inlineStr">
        <is>
          <t>2026-11-20</t>
        </is>
      </c>
      <c r="P1890" s="33" t="inlineStr"/>
      <c r="Q1890" s="43" t="inlineStr">
        <is>
          <t>No marking required</t>
        </is>
      </c>
      <c r="R1890" s="43" t="inlineStr">
        <is>
          <t>2026-09-22</t>
        </is>
      </c>
      <c r="S1890" s="43" t="inlineStr"/>
      <c r="T1890" s="43" t="inlineStr"/>
      <c r="U1890" s="43" t="inlineStr"/>
    </row>
    <row r="1891">
      <c r="A1891" s="43" t="n">
        <v>1891</v>
      </c>
      <c r="B1891" s="43" t="inlineStr">
        <is>
          <t>1890</t>
        </is>
      </c>
      <c r="C1891" s="43" t="inlineStr">
        <is>
          <t>FJZP</t>
        </is>
      </c>
      <c r="D1891" s="43" t="inlineStr">
        <is>
          <t>Cisco</t>
        </is>
      </c>
      <c r="E1891" s="43" t="inlineStr">
        <is>
          <t>MCGA</t>
        </is>
      </c>
      <c r="F1891" s="43" t="inlineStr">
        <is>
          <t>035-CVEBU</t>
        </is>
      </c>
      <c r="G1891" s="43" t="inlineStr">
        <is>
          <t>CTANJZ05303</t>
        </is>
      </c>
      <c r="H1891" s="43" t="inlineStr">
        <is>
          <t>New Release</t>
        </is>
      </c>
      <c r="I1891" s="43" t="inlineStr">
        <is>
          <t>Customer Deviation</t>
        </is>
      </c>
      <c r="J1891" s="43" t="inlineStr">
        <is>
          <t>DP526278</t>
        </is>
      </c>
      <c r="K1891" s="33" t="inlineStr">
        <is>
          <t>DP526278 CVEBU; Risk buy of NDAA Stylus for use in Pictoris  Affected items 74-137567-02; TPASY-OTHER;ACCESSORY; DESK PRO STYLUS;NDAA    Risk buy instruction to FJZ DF Site - FJZ DF site is hereby instructed to place following risk buy PO    - 1000 pieces of 74-137567-02/74-137567-02 from Wacom with fastest possible ETD    - 1000 pieces of 74-137567-02/74-137567-02 from Wacom with ETD March 1st 2027</t>
        </is>
      </c>
      <c r="L1891" s="43" t="inlineStr">
        <is>
          <t>Expired</t>
        </is>
      </c>
      <c r="M1891" s="43" t="inlineStr">
        <is>
          <t>74-137567-02</t>
        </is>
      </c>
      <c r="N1891" s="43" t="inlineStr"/>
      <c r="O1891" s="43" t="inlineStr">
        <is>
          <t>2026-08-17</t>
        </is>
      </c>
      <c r="P1891" s="33" t="inlineStr"/>
      <c r="Q1891" s="43" t="inlineStr">
        <is>
          <t>No marking needed</t>
        </is>
      </c>
      <c r="R1891" s="43" t="inlineStr">
        <is>
          <t>2026-06-20</t>
        </is>
      </c>
      <c r="S1891" s="43" t="inlineStr"/>
      <c r="T1891" s="43" t="inlineStr"/>
      <c r="U1891" s="43" t="inlineStr"/>
    </row>
  </sheetData>
  <printOptions horizontalCentered="0"/>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2026-10-07T02:39:39Z</dcterms:created>
  <dcterms:modified xmlns:dcterms="http://purl.org/dc/terms/" xmlns:xsi="http://www.w3.org/2001/XMLSchema-instance" xsi:type="dcterms:W3CDTF">2026-10-16T03:34:02Z</dcterms:modified>
</cp:coreProperties>
</file>